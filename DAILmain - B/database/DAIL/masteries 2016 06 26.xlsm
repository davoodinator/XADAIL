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filterPrivacy="1" codeName="ThisWorkbook" defaultThemeVersion="124226"/>
  <bookViews>
    <workbookView xWindow="240" yWindow="105" windowWidth="14805" windowHeight="8010"/>
  </bookViews>
  <sheets>
    <sheet name="x" sheetId="2" r:id="rId1"/>
    <sheet name="x0001" sheetId="1" r:id="rId2"/>
    <sheet name="x0002" sheetId="4" r:id="rId3"/>
    <sheet name="x0003" sheetId="6" r:id="rId4"/>
    <sheet name="x0004" sheetId="7" r:id="rId5"/>
    <sheet name="x0005" sheetId="8" r:id="rId6"/>
    <sheet name="x0006" sheetId="9" r:id="rId7"/>
    <sheet name="x0007" sheetId="10" r:id="rId8"/>
    <sheet name="x0008" sheetId="11" r:id="rId9"/>
    <sheet name="x0009" sheetId="12" r:id="rId10"/>
    <sheet name="x0010" sheetId="13" r:id="rId11"/>
    <sheet name="x0011" sheetId="14" r:id="rId12"/>
    <sheet name="x0012" sheetId="15" r:id="rId13"/>
    <sheet name="x0013" sheetId="16" r:id="rId14"/>
    <sheet name="x0016" sheetId="20" r:id="rId15"/>
    <sheet name="x0017" sheetId="21" r:id="rId16"/>
    <sheet name="x0018" sheetId="22" r:id="rId17"/>
    <sheet name="x0019" sheetId="23" r:id="rId18"/>
    <sheet name="x0020" sheetId="24" r:id="rId19"/>
    <sheet name="x0021" sheetId="25" r:id="rId20"/>
    <sheet name="x0022" sheetId="26" r:id="rId21"/>
    <sheet name="x0023" sheetId="28" r:id="rId22"/>
    <sheet name="x0024" sheetId="27" r:id="rId23"/>
    <sheet name="x0026" sheetId="17" r:id="rId24"/>
    <sheet name="x0027" sheetId="19" r:id="rId25"/>
    <sheet name="x0028" sheetId="18" r:id="rId26"/>
  </sheets>
  <calcPr calcId="152511"/>
</workbook>
</file>

<file path=xl/calcChain.xml><?xml version="1.0" encoding="utf-8"?>
<calcChain xmlns="http://schemas.openxmlformats.org/spreadsheetml/2006/main">
  <c r="AI102" i="28" l="1"/>
  <c r="AA102" i="28"/>
  <c r="Z102" i="28"/>
  <c r="X102" i="28"/>
  <c r="W102" i="28"/>
  <c r="U102" i="28"/>
  <c r="T102" i="28"/>
  <c r="S102" i="28"/>
  <c r="R102" i="28"/>
  <c r="Q102" i="28"/>
  <c r="P102" i="28"/>
  <c r="O102" i="28"/>
  <c r="G102" i="28"/>
  <c r="M102" i="28" s="1"/>
  <c r="F102" i="28"/>
  <c r="AI101" i="28"/>
  <c r="AA101" i="28"/>
  <c r="Z101" i="28"/>
  <c r="X101" i="28"/>
  <c r="W101" i="28"/>
  <c r="U101" i="28"/>
  <c r="T101" i="28"/>
  <c r="S101" i="28"/>
  <c r="R101" i="28"/>
  <c r="Q101" i="28"/>
  <c r="P101" i="28"/>
  <c r="O101" i="28"/>
  <c r="G101" i="28"/>
  <c r="M101" i="28" s="1"/>
  <c r="F101" i="28"/>
  <c r="AI100" i="28"/>
  <c r="AA100" i="28"/>
  <c r="Z100" i="28"/>
  <c r="X100" i="28"/>
  <c r="W100" i="28"/>
  <c r="U100" i="28"/>
  <c r="T100" i="28"/>
  <c r="S100" i="28"/>
  <c r="R100" i="28"/>
  <c r="Q100" i="28"/>
  <c r="P100" i="28"/>
  <c r="O100" i="28"/>
  <c r="G100" i="28"/>
  <c r="M100" i="28" s="1"/>
  <c r="F100" i="28"/>
  <c r="AI99" i="28"/>
  <c r="AA99" i="28"/>
  <c r="Z99" i="28"/>
  <c r="X99" i="28"/>
  <c r="W99" i="28"/>
  <c r="U99" i="28"/>
  <c r="T99" i="28"/>
  <c r="S99" i="28"/>
  <c r="R99" i="28"/>
  <c r="Q99" i="28"/>
  <c r="P99" i="28"/>
  <c r="O99" i="28"/>
  <c r="G99" i="28"/>
  <c r="F99" i="28"/>
  <c r="AI98" i="28"/>
  <c r="AA98" i="28"/>
  <c r="Z98" i="28"/>
  <c r="X98" i="28"/>
  <c r="W98" i="28"/>
  <c r="U98" i="28"/>
  <c r="T98" i="28"/>
  <c r="S98" i="28"/>
  <c r="R98" i="28"/>
  <c r="Q98" i="28"/>
  <c r="P98" i="28"/>
  <c r="O98" i="28"/>
  <c r="G98" i="28"/>
  <c r="M98" i="28" s="1"/>
  <c r="F98" i="28"/>
  <c r="AI97" i="28"/>
  <c r="AA97" i="28"/>
  <c r="Z97" i="28"/>
  <c r="X97" i="28"/>
  <c r="W97" i="28"/>
  <c r="U97" i="28"/>
  <c r="T97" i="28"/>
  <c r="S97" i="28"/>
  <c r="R97" i="28"/>
  <c r="Q97" i="28"/>
  <c r="P97" i="28"/>
  <c r="O97" i="28"/>
  <c r="G97" i="28"/>
  <c r="M97" i="28" s="1"/>
  <c r="F97" i="28"/>
  <c r="AI96" i="28"/>
  <c r="AA96" i="28"/>
  <c r="Z96" i="28"/>
  <c r="X96" i="28"/>
  <c r="W96" i="28"/>
  <c r="U96" i="28"/>
  <c r="T96" i="28"/>
  <c r="S96" i="28"/>
  <c r="R96" i="28"/>
  <c r="Q96" i="28"/>
  <c r="P96" i="28"/>
  <c r="O96" i="28"/>
  <c r="G96" i="28"/>
  <c r="M96" i="28" s="1"/>
  <c r="F96" i="28"/>
  <c r="AI95" i="28"/>
  <c r="AA95" i="28"/>
  <c r="Z95" i="28"/>
  <c r="X95" i="28"/>
  <c r="W95" i="28"/>
  <c r="U95" i="28"/>
  <c r="T95" i="28"/>
  <c r="S95" i="28"/>
  <c r="R95" i="28"/>
  <c r="Q95" i="28"/>
  <c r="P95" i="28"/>
  <c r="O95" i="28"/>
  <c r="G95" i="28"/>
  <c r="M95" i="28" s="1"/>
  <c r="F95" i="28"/>
  <c r="AI94" i="28"/>
  <c r="AA94" i="28"/>
  <c r="Z94" i="28"/>
  <c r="X94" i="28"/>
  <c r="W94" i="28"/>
  <c r="U94" i="28"/>
  <c r="T94" i="28"/>
  <c r="S94" i="28"/>
  <c r="R94" i="28"/>
  <c r="Q94" i="28"/>
  <c r="P94" i="28"/>
  <c r="O94" i="28"/>
  <c r="G94" i="28"/>
  <c r="M94" i="28" s="1"/>
  <c r="F94" i="28"/>
  <c r="AI93" i="28"/>
  <c r="AA93" i="28"/>
  <c r="Z93" i="28"/>
  <c r="X93" i="28"/>
  <c r="W93" i="28"/>
  <c r="U93" i="28"/>
  <c r="T93" i="28"/>
  <c r="S93" i="28"/>
  <c r="R93" i="28"/>
  <c r="Q93" i="28"/>
  <c r="P93" i="28"/>
  <c r="O93" i="28"/>
  <c r="G93" i="28"/>
  <c r="M93" i="28" s="1"/>
  <c r="F93" i="28"/>
  <c r="AI92" i="28"/>
  <c r="AA92" i="28"/>
  <c r="Z92" i="28"/>
  <c r="X92" i="28"/>
  <c r="W92" i="28"/>
  <c r="U92" i="28"/>
  <c r="T92" i="28"/>
  <c r="S92" i="28"/>
  <c r="R92" i="28"/>
  <c r="Q92" i="28"/>
  <c r="P92" i="28"/>
  <c r="O92" i="28"/>
  <c r="G92" i="28"/>
  <c r="M92" i="28" s="1"/>
  <c r="F92" i="28"/>
  <c r="AI91" i="28"/>
  <c r="AA91" i="28"/>
  <c r="Z91" i="28"/>
  <c r="X91" i="28"/>
  <c r="W91" i="28"/>
  <c r="U91" i="28"/>
  <c r="T91" i="28"/>
  <c r="S91" i="28"/>
  <c r="R91" i="28"/>
  <c r="Q91" i="28"/>
  <c r="P91" i="28"/>
  <c r="O91" i="28"/>
  <c r="G91" i="28"/>
  <c r="M91" i="28" s="1"/>
  <c r="F91" i="28"/>
  <c r="AI90" i="28"/>
  <c r="AA90" i="28"/>
  <c r="Z90" i="28"/>
  <c r="X90" i="28"/>
  <c r="W90" i="28"/>
  <c r="U90" i="28"/>
  <c r="T90" i="28"/>
  <c r="S90" i="28"/>
  <c r="R90" i="28"/>
  <c r="Q90" i="28"/>
  <c r="P90" i="28"/>
  <c r="O90" i="28"/>
  <c r="G90" i="28"/>
  <c r="M90" i="28" s="1"/>
  <c r="F90" i="28"/>
  <c r="AI89" i="28"/>
  <c r="AA89" i="28"/>
  <c r="Z89" i="28"/>
  <c r="X89" i="28"/>
  <c r="W89" i="28"/>
  <c r="U89" i="28"/>
  <c r="T89" i="28"/>
  <c r="S89" i="28"/>
  <c r="R89" i="28"/>
  <c r="Q89" i="28"/>
  <c r="P89" i="28"/>
  <c r="O89" i="28"/>
  <c r="G89" i="28"/>
  <c r="M89" i="28" s="1"/>
  <c r="F89" i="28"/>
  <c r="AI88" i="28"/>
  <c r="AA88" i="28"/>
  <c r="Z88" i="28"/>
  <c r="X88" i="28"/>
  <c r="W88" i="28"/>
  <c r="U88" i="28"/>
  <c r="T88" i="28"/>
  <c r="S88" i="28"/>
  <c r="R88" i="28"/>
  <c r="Q88" i="28"/>
  <c r="P88" i="28"/>
  <c r="O88" i="28"/>
  <c r="G88" i="28"/>
  <c r="M88" i="28" s="1"/>
  <c r="F88" i="28"/>
  <c r="AI87" i="28"/>
  <c r="AA87" i="28"/>
  <c r="Z87" i="28"/>
  <c r="X87" i="28"/>
  <c r="W87" i="28"/>
  <c r="U87" i="28"/>
  <c r="T87" i="28"/>
  <c r="S87" i="28"/>
  <c r="R87" i="28"/>
  <c r="Q87" i="28"/>
  <c r="P87" i="28"/>
  <c r="O87" i="28"/>
  <c r="G87" i="28"/>
  <c r="F87" i="28"/>
  <c r="AI86" i="28"/>
  <c r="AA86" i="28"/>
  <c r="Z86" i="28"/>
  <c r="X86" i="28"/>
  <c r="W86" i="28"/>
  <c r="U86" i="28"/>
  <c r="T86" i="28"/>
  <c r="S86" i="28"/>
  <c r="R86" i="28"/>
  <c r="Q86" i="28"/>
  <c r="P86" i="28"/>
  <c r="O86" i="28"/>
  <c r="G86" i="28"/>
  <c r="M86" i="28" s="1"/>
  <c r="F86" i="28"/>
  <c r="AI85" i="28"/>
  <c r="AA85" i="28"/>
  <c r="Z85" i="28"/>
  <c r="X85" i="28"/>
  <c r="W85" i="28"/>
  <c r="U85" i="28"/>
  <c r="T85" i="28"/>
  <c r="S85" i="28"/>
  <c r="R85" i="28"/>
  <c r="Q85" i="28"/>
  <c r="P85" i="28"/>
  <c r="O85" i="28"/>
  <c r="G85" i="28"/>
  <c r="M85" i="28" s="1"/>
  <c r="F85" i="28"/>
  <c r="AI84" i="28"/>
  <c r="AA84" i="28"/>
  <c r="Z84" i="28"/>
  <c r="X84" i="28"/>
  <c r="W84" i="28"/>
  <c r="U84" i="28"/>
  <c r="T84" i="28"/>
  <c r="S84" i="28"/>
  <c r="R84" i="28"/>
  <c r="Q84" i="28"/>
  <c r="P84" i="28"/>
  <c r="O84" i="28"/>
  <c r="G84" i="28"/>
  <c r="M84" i="28" s="1"/>
  <c r="F84" i="28"/>
  <c r="AI83" i="28"/>
  <c r="AA83" i="28"/>
  <c r="Z83" i="28"/>
  <c r="X83" i="28"/>
  <c r="W83" i="28"/>
  <c r="U83" i="28"/>
  <c r="T83" i="28"/>
  <c r="S83" i="28"/>
  <c r="R83" i="28"/>
  <c r="Q83" i="28"/>
  <c r="P83" i="28"/>
  <c r="O83" i="28"/>
  <c r="G83" i="28"/>
  <c r="M83" i="28" s="1"/>
  <c r="F83" i="28"/>
  <c r="AI82" i="28"/>
  <c r="AA82" i="28"/>
  <c r="Z82" i="28"/>
  <c r="X82" i="28"/>
  <c r="W82" i="28"/>
  <c r="U82" i="28"/>
  <c r="T82" i="28"/>
  <c r="S82" i="28"/>
  <c r="R82" i="28"/>
  <c r="Q82" i="28"/>
  <c r="P82" i="28"/>
  <c r="O82" i="28"/>
  <c r="G82" i="28"/>
  <c r="M82" i="28" s="1"/>
  <c r="F82" i="28"/>
  <c r="AI81" i="28"/>
  <c r="AA81" i="28"/>
  <c r="Z81" i="28"/>
  <c r="X81" i="28"/>
  <c r="W81" i="28"/>
  <c r="U81" i="28"/>
  <c r="T81" i="28"/>
  <c r="S81" i="28"/>
  <c r="R81" i="28"/>
  <c r="Q81" i="28"/>
  <c r="P81" i="28"/>
  <c r="O81" i="28"/>
  <c r="G81" i="28"/>
  <c r="M81" i="28" s="1"/>
  <c r="F81" i="28"/>
  <c r="AI80" i="28"/>
  <c r="AA80" i="28"/>
  <c r="Z80" i="28"/>
  <c r="X80" i="28"/>
  <c r="W80" i="28"/>
  <c r="U80" i="28"/>
  <c r="T80" i="28"/>
  <c r="S80" i="28"/>
  <c r="R80" i="28"/>
  <c r="Q80" i="28"/>
  <c r="P80" i="28"/>
  <c r="O80" i="28"/>
  <c r="G80" i="28"/>
  <c r="M80" i="28" s="1"/>
  <c r="F80" i="28"/>
  <c r="AI79" i="28"/>
  <c r="AA79" i="28"/>
  <c r="Z79" i="28"/>
  <c r="X79" i="28"/>
  <c r="W79" i="28"/>
  <c r="U79" i="28"/>
  <c r="T79" i="28"/>
  <c r="S79" i="28"/>
  <c r="R79" i="28"/>
  <c r="Q79" i="28"/>
  <c r="P79" i="28"/>
  <c r="O79" i="28"/>
  <c r="G79" i="28"/>
  <c r="M79" i="28" s="1"/>
  <c r="F79" i="28"/>
  <c r="AI78" i="28"/>
  <c r="AA78" i="28"/>
  <c r="Z78" i="28"/>
  <c r="X78" i="28"/>
  <c r="W78" i="28"/>
  <c r="U78" i="28"/>
  <c r="T78" i="28"/>
  <c r="S78" i="28"/>
  <c r="R78" i="28"/>
  <c r="Q78" i="28"/>
  <c r="P78" i="28"/>
  <c r="O78" i="28"/>
  <c r="G78" i="28"/>
  <c r="M78" i="28" s="1"/>
  <c r="F78" i="28"/>
  <c r="AI77" i="28"/>
  <c r="AA77" i="28"/>
  <c r="Z77" i="28"/>
  <c r="X77" i="28"/>
  <c r="W77" i="28"/>
  <c r="U77" i="28"/>
  <c r="T77" i="28"/>
  <c r="S77" i="28"/>
  <c r="R77" i="28"/>
  <c r="Q77" i="28"/>
  <c r="P77" i="28"/>
  <c r="O77" i="28"/>
  <c r="G77" i="28"/>
  <c r="M77" i="28" s="1"/>
  <c r="F77" i="28"/>
  <c r="AI76" i="28"/>
  <c r="AA76" i="28"/>
  <c r="Z76" i="28"/>
  <c r="X76" i="28"/>
  <c r="W76" i="28"/>
  <c r="U76" i="28"/>
  <c r="T76" i="28"/>
  <c r="S76" i="28"/>
  <c r="R76" i="28"/>
  <c r="Q76" i="28"/>
  <c r="P76" i="28"/>
  <c r="O76" i="28"/>
  <c r="G76" i="28"/>
  <c r="M76" i="28" s="1"/>
  <c r="F76" i="28"/>
  <c r="AI75" i="28"/>
  <c r="AA75" i="28"/>
  <c r="Z75" i="28"/>
  <c r="X75" i="28"/>
  <c r="W75" i="28"/>
  <c r="U75" i="28"/>
  <c r="T75" i="28"/>
  <c r="S75" i="28"/>
  <c r="R75" i="28"/>
  <c r="Q75" i="28"/>
  <c r="P75" i="28"/>
  <c r="O75" i="28"/>
  <c r="G75" i="28"/>
  <c r="F75" i="28"/>
  <c r="AI74" i="28"/>
  <c r="AA74" i="28"/>
  <c r="Z74" i="28"/>
  <c r="X74" i="28"/>
  <c r="W74" i="28"/>
  <c r="U74" i="28"/>
  <c r="T74" i="28"/>
  <c r="S74" i="28"/>
  <c r="R74" i="28"/>
  <c r="Q74" i="28"/>
  <c r="P74" i="28"/>
  <c r="O74" i="28"/>
  <c r="G74" i="28"/>
  <c r="M74" i="28" s="1"/>
  <c r="F74" i="28"/>
  <c r="AI73" i="28"/>
  <c r="AA73" i="28"/>
  <c r="Z73" i="28"/>
  <c r="X73" i="28"/>
  <c r="W73" i="28"/>
  <c r="U73" i="28"/>
  <c r="T73" i="28"/>
  <c r="S73" i="28"/>
  <c r="R73" i="28"/>
  <c r="Q73" i="28"/>
  <c r="P73" i="28"/>
  <c r="O73" i="28"/>
  <c r="G73" i="28"/>
  <c r="M73" i="28" s="1"/>
  <c r="F73" i="28"/>
  <c r="AI72" i="28"/>
  <c r="AA72" i="28"/>
  <c r="Z72" i="28"/>
  <c r="X72" i="28"/>
  <c r="W72" i="28"/>
  <c r="U72" i="28"/>
  <c r="T72" i="28"/>
  <c r="S72" i="28"/>
  <c r="R72" i="28"/>
  <c r="Q72" i="28"/>
  <c r="P72" i="28"/>
  <c r="O72" i="28"/>
  <c r="G72" i="28"/>
  <c r="M72" i="28" s="1"/>
  <c r="F72" i="28"/>
  <c r="AI71" i="28"/>
  <c r="AA71" i="28"/>
  <c r="Z71" i="28"/>
  <c r="X71" i="28"/>
  <c r="W71" i="28"/>
  <c r="U71" i="28"/>
  <c r="T71" i="28"/>
  <c r="S71" i="28"/>
  <c r="R71" i="28"/>
  <c r="Q71" i="28"/>
  <c r="P71" i="28"/>
  <c r="O71" i="28"/>
  <c r="G71" i="28"/>
  <c r="M71" i="28" s="1"/>
  <c r="F71" i="28"/>
  <c r="AI70" i="28"/>
  <c r="AA70" i="28"/>
  <c r="Z70" i="28"/>
  <c r="X70" i="28"/>
  <c r="W70" i="28"/>
  <c r="U70" i="28"/>
  <c r="T70" i="28"/>
  <c r="S70" i="28"/>
  <c r="R70" i="28"/>
  <c r="Q70" i="28"/>
  <c r="P70" i="28"/>
  <c r="O70" i="28"/>
  <c r="G70" i="28"/>
  <c r="M70" i="28" s="1"/>
  <c r="F70" i="28"/>
  <c r="AI69" i="28"/>
  <c r="AA69" i="28"/>
  <c r="Z69" i="28"/>
  <c r="X69" i="28"/>
  <c r="W69" i="28"/>
  <c r="U69" i="28"/>
  <c r="T69" i="28"/>
  <c r="S69" i="28"/>
  <c r="R69" i="28"/>
  <c r="Q69" i="28"/>
  <c r="P69" i="28"/>
  <c r="O69" i="28"/>
  <c r="G69" i="28"/>
  <c r="M69" i="28" s="1"/>
  <c r="F69" i="28"/>
  <c r="AI68" i="28"/>
  <c r="AA68" i="28"/>
  <c r="Z68" i="28"/>
  <c r="X68" i="28"/>
  <c r="W68" i="28"/>
  <c r="U68" i="28"/>
  <c r="T68" i="28"/>
  <c r="S68" i="28"/>
  <c r="R68" i="28"/>
  <c r="Q68" i="28"/>
  <c r="P68" i="28"/>
  <c r="O68" i="28"/>
  <c r="G68" i="28"/>
  <c r="M68" i="28" s="1"/>
  <c r="F68" i="28"/>
  <c r="AI67" i="28"/>
  <c r="AA67" i="28"/>
  <c r="Z67" i="28"/>
  <c r="X67" i="28"/>
  <c r="W67" i="28"/>
  <c r="U67" i="28"/>
  <c r="T67" i="28"/>
  <c r="S67" i="28"/>
  <c r="R67" i="28"/>
  <c r="Q67" i="28"/>
  <c r="P67" i="28"/>
  <c r="O67" i="28"/>
  <c r="G67" i="28"/>
  <c r="M67" i="28" s="1"/>
  <c r="F67" i="28"/>
  <c r="AI66" i="28"/>
  <c r="Z66" i="28"/>
  <c r="X66" i="28"/>
  <c r="W66" i="28"/>
  <c r="U66" i="28"/>
  <c r="T66" i="28"/>
  <c r="S66" i="28"/>
  <c r="R66" i="28"/>
  <c r="Q66" i="28"/>
  <c r="P66" i="28"/>
  <c r="O66" i="28"/>
  <c r="G66" i="28"/>
  <c r="M66" i="28" s="1"/>
  <c r="F66" i="28"/>
  <c r="AI65" i="28"/>
  <c r="F65" i="28"/>
  <c r="AI64" i="28"/>
  <c r="F64" i="28"/>
  <c r="AI63" i="28"/>
  <c r="F63" i="28"/>
  <c r="AI62" i="28"/>
  <c r="F62" i="28"/>
  <c r="AI61" i="28"/>
  <c r="F61" i="28"/>
  <c r="AI60" i="28"/>
  <c r="F60" i="28"/>
  <c r="AI59" i="28"/>
  <c r="F59" i="28"/>
  <c r="AI58" i="28"/>
  <c r="F58" i="28"/>
  <c r="AI57" i="28"/>
  <c r="F57" i="28"/>
  <c r="AI56" i="28"/>
  <c r="F56" i="28"/>
  <c r="AI55" i="28"/>
  <c r="F55" i="28"/>
  <c r="AI54" i="28"/>
  <c r="F54" i="28"/>
  <c r="AI53" i="28"/>
  <c r="F53" i="28"/>
  <c r="AI52" i="28"/>
  <c r="F52" i="28"/>
  <c r="AI51" i="28"/>
  <c r="F51" i="28"/>
  <c r="AI50" i="28"/>
  <c r="F50" i="28"/>
  <c r="AI49" i="28"/>
  <c r="F49" i="28"/>
  <c r="AI48" i="28"/>
  <c r="F48" i="28"/>
  <c r="AI47" i="28"/>
  <c r="F47" i="28"/>
  <c r="AI46" i="28"/>
  <c r="G46" i="28"/>
  <c r="M46" i="28" s="1"/>
  <c r="X46" i="28" s="1"/>
  <c r="F46" i="28"/>
  <c r="U46" i="28" s="1"/>
  <c r="AI45" i="28"/>
  <c r="F45" i="28"/>
  <c r="AI44" i="28"/>
  <c r="F44" i="28"/>
  <c r="AI43" i="28"/>
  <c r="F43" i="28"/>
  <c r="AI42" i="28"/>
  <c r="F42" i="28"/>
  <c r="AI41" i="28"/>
  <c r="F41" i="28"/>
  <c r="AI40" i="28"/>
  <c r="F40" i="28"/>
  <c r="AI39" i="28"/>
  <c r="F39" i="28"/>
  <c r="AI38" i="28"/>
  <c r="F38" i="28"/>
  <c r="AI37" i="28"/>
  <c r="F37" i="28"/>
  <c r="AI36" i="28"/>
  <c r="F36" i="28"/>
  <c r="AI35" i="28"/>
  <c r="F35" i="28"/>
  <c r="AI34" i="28"/>
  <c r="F34" i="28"/>
  <c r="AI33" i="28"/>
  <c r="F33" i="28"/>
  <c r="AI32" i="28"/>
  <c r="F32" i="28"/>
  <c r="AI31" i="28"/>
  <c r="F31" i="28"/>
  <c r="AI30" i="28"/>
  <c r="F30" i="28"/>
  <c r="AI29" i="28"/>
  <c r="F29" i="28"/>
  <c r="AI28" i="28"/>
  <c r="F28" i="28"/>
  <c r="AI27" i="28"/>
  <c r="F27" i="28"/>
  <c r="AI26" i="28"/>
  <c r="X26" i="28"/>
  <c r="P26" i="28"/>
  <c r="G26" i="28"/>
  <c r="M26" i="28" s="1"/>
  <c r="F26" i="28"/>
  <c r="U26" i="28" s="1"/>
  <c r="AI25" i="28"/>
  <c r="F25" i="28"/>
  <c r="AI24" i="28"/>
  <c r="F24" i="28"/>
  <c r="AI23" i="28"/>
  <c r="F23" i="28"/>
  <c r="AI22" i="28"/>
  <c r="F22" i="28"/>
  <c r="AI21" i="28"/>
  <c r="F21" i="28"/>
  <c r="AI20" i="28"/>
  <c r="F20" i="28"/>
  <c r="AI19" i="28"/>
  <c r="F19" i="28"/>
  <c r="AI18" i="28"/>
  <c r="F18" i="28"/>
  <c r="AI17" i="28"/>
  <c r="F17" i="28"/>
  <c r="AI16" i="28"/>
  <c r="F16" i="28"/>
  <c r="AI15" i="28"/>
  <c r="F15" i="28"/>
  <c r="AI14" i="28"/>
  <c r="F14" i="28"/>
  <c r="AI13" i="28"/>
  <c r="F13" i="28"/>
  <c r="AI12" i="28"/>
  <c r="F12" i="28"/>
  <c r="AI11" i="28"/>
  <c r="F11" i="28"/>
  <c r="AI10" i="28"/>
  <c r="F10" i="28"/>
  <c r="AI9" i="28"/>
  <c r="F9" i="28"/>
  <c r="AI8" i="28"/>
  <c r="F8" i="28"/>
  <c r="AI7" i="28"/>
  <c r="AH7" i="28"/>
  <c r="AH8" i="28" s="1"/>
  <c r="F7" i="28"/>
  <c r="AI6" i="28"/>
  <c r="P6" i="28"/>
  <c r="G6" i="28"/>
  <c r="M6" i="28" s="1"/>
  <c r="X6" i="28" s="1"/>
  <c r="F6" i="28"/>
  <c r="U6" i="28" s="1"/>
  <c r="N5" i="28"/>
  <c r="H5" i="28"/>
  <c r="H6" i="28" s="1"/>
  <c r="F5" i="28"/>
  <c r="N4" i="28"/>
  <c r="K4" i="28"/>
  <c r="K5" i="28" s="1"/>
  <c r="K6" i="28" s="1"/>
  <c r="K7" i="28" s="1"/>
  <c r="K8" i="28" s="1"/>
  <c r="K9" i="28" s="1"/>
  <c r="K10" i="28" s="1"/>
  <c r="K11" i="28" s="1"/>
  <c r="K12" i="28" s="1"/>
  <c r="K13" i="28" s="1"/>
  <c r="K14" i="28" s="1"/>
  <c r="K15" i="28" s="1"/>
  <c r="K16" i="28" s="1"/>
  <c r="K17" i="28" s="1"/>
  <c r="K18" i="28" s="1"/>
  <c r="K19" i="28" s="1"/>
  <c r="K20" i="28" s="1"/>
  <c r="K21" i="28" s="1"/>
  <c r="K22" i="28" s="1"/>
  <c r="K23" i="28" s="1"/>
  <c r="K24" i="28" s="1"/>
  <c r="K25" i="28" s="1"/>
  <c r="K26" i="28" s="1"/>
  <c r="K27" i="28" s="1"/>
  <c r="K28" i="28" s="1"/>
  <c r="K29" i="28" s="1"/>
  <c r="K30" i="28" s="1"/>
  <c r="K31" i="28" s="1"/>
  <c r="K32" i="28" s="1"/>
  <c r="K33" i="28" s="1"/>
  <c r="K34" i="28" s="1"/>
  <c r="K35" i="28" s="1"/>
  <c r="K36" i="28" s="1"/>
  <c r="K37" i="28" s="1"/>
  <c r="K38" i="28" s="1"/>
  <c r="K39" i="28" s="1"/>
  <c r="K40" i="28" s="1"/>
  <c r="K41" i="28" s="1"/>
  <c r="K42" i="28" s="1"/>
  <c r="K43" i="28" s="1"/>
  <c r="K44" i="28" s="1"/>
  <c r="K45" i="28" s="1"/>
  <c r="K46" i="28" s="1"/>
  <c r="K47" i="28" s="1"/>
  <c r="K48" i="28" s="1"/>
  <c r="K49" i="28" s="1"/>
  <c r="K50" i="28" s="1"/>
  <c r="K51" i="28" s="1"/>
  <c r="K52" i="28" s="1"/>
  <c r="K53" i="28" s="1"/>
  <c r="K54" i="28" s="1"/>
  <c r="K55" i="28" s="1"/>
  <c r="K56" i="28" s="1"/>
  <c r="K57" i="28" s="1"/>
  <c r="K58" i="28" s="1"/>
  <c r="K59" i="28" s="1"/>
  <c r="K60" i="28" s="1"/>
  <c r="K61" i="28" s="1"/>
  <c r="K62" i="28" s="1"/>
  <c r="K63" i="28" s="1"/>
  <c r="K64" i="28" s="1"/>
  <c r="K65" i="28" s="1"/>
  <c r="K66" i="28" s="1"/>
  <c r="K67" i="28" s="1"/>
  <c r="K68" i="28" s="1"/>
  <c r="K69" i="28" s="1"/>
  <c r="K70" i="28" s="1"/>
  <c r="K71" i="28" s="1"/>
  <c r="K72" i="28" s="1"/>
  <c r="K73" i="28" s="1"/>
  <c r="K74" i="28" s="1"/>
  <c r="K75" i="28" s="1"/>
  <c r="K76" i="28" s="1"/>
  <c r="K77" i="28" s="1"/>
  <c r="K78" i="28" s="1"/>
  <c r="K79" i="28" s="1"/>
  <c r="K80" i="28" s="1"/>
  <c r="K81" i="28" s="1"/>
  <c r="K82" i="28" s="1"/>
  <c r="K83" i="28" s="1"/>
  <c r="K84" i="28" s="1"/>
  <c r="K85" i="28" s="1"/>
  <c r="K86" i="28" s="1"/>
  <c r="K87" i="28" s="1"/>
  <c r="K88" i="28" s="1"/>
  <c r="K89" i="28" s="1"/>
  <c r="K90" i="28" s="1"/>
  <c r="K91" i="28" s="1"/>
  <c r="K92" i="28" s="1"/>
  <c r="K93" i="28" s="1"/>
  <c r="K94" i="28" s="1"/>
  <c r="K95" i="28" s="1"/>
  <c r="K96" i="28" s="1"/>
  <c r="K97" i="28" s="1"/>
  <c r="K98" i="28" s="1"/>
  <c r="K99" i="28" s="1"/>
  <c r="K100" i="28" s="1"/>
  <c r="K101" i="28" s="1"/>
  <c r="K102" i="28" s="1"/>
  <c r="J4" i="28"/>
  <c r="H4" i="28"/>
  <c r="F4" i="28"/>
  <c r="Z3" i="28"/>
  <c r="O3" i="28"/>
  <c r="N3" i="28"/>
  <c r="M3" i="28"/>
  <c r="X3" i="28" s="1"/>
  <c r="L3" i="28"/>
  <c r="W3" i="28" s="1"/>
  <c r="G3" i="28"/>
  <c r="D3" i="28" s="1"/>
  <c r="S3" i="28" s="1"/>
  <c r="F3" i="28"/>
  <c r="U3" i="28" s="1"/>
  <c r="AI102" i="27"/>
  <c r="AA102" i="27"/>
  <c r="Z102" i="27"/>
  <c r="X102" i="27"/>
  <c r="W102" i="27"/>
  <c r="U102" i="27"/>
  <c r="T102" i="27"/>
  <c r="S102" i="27"/>
  <c r="R102" i="27"/>
  <c r="Q102" i="27"/>
  <c r="P102" i="27"/>
  <c r="O102" i="27"/>
  <c r="G102" i="27"/>
  <c r="M102" i="27" s="1"/>
  <c r="F102" i="27"/>
  <c r="AI101" i="27"/>
  <c r="AA101" i="27"/>
  <c r="Z101" i="27"/>
  <c r="X101" i="27"/>
  <c r="W101" i="27"/>
  <c r="U101" i="27"/>
  <c r="T101" i="27"/>
  <c r="S101" i="27"/>
  <c r="R101" i="27"/>
  <c r="Q101" i="27"/>
  <c r="P101" i="27"/>
  <c r="O101" i="27"/>
  <c r="G101" i="27"/>
  <c r="M101" i="27" s="1"/>
  <c r="F101" i="27"/>
  <c r="AI100" i="27"/>
  <c r="AA100" i="27"/>
  <c r="Z100" i="27"/>
  <c r="X100" i="27"/>
  <c r="W100" i="27"/>
  <c r="U100" i="27"/>
  <c r="T100" i="27"/>
  <c r="S100" i="27"/>
  <c r="R100" i="27"/>
  <c r="Q100" i="27"/>
  <c r="P100" i="27"/>
  <c r="O100" i="27"/>
  <c r="G100" i="27"/>
  <c r="F100" i="27"/>
  <c r="AI99" i="27"/>
  <c r="AA99" i="27"/>
  <c r="Z99" i="27"/>
  <c r="X99" i="27"/>
  <c r="W99" i="27"/>
  <c r="U99" i="27"/>
  <c r="T99" i="27"/>
  <c r="S99" i="27"/>
  <c r="R99" i="27"/>
  <c r="Q99" i="27"/>
  <c r="P99" i="27"/>
  <c r="O99" i="27"/>
  <c r="G99" i="27"/>
  <c r="M99" i="27" s="1"/>
  <c r="F99" i="27"/>
  <c r="AI98" i="27"/>
  <c r="AA98" i="27"/>
  <c r="Z98" i="27"/>
  <c r="X98" i="27"/>
  <c r="W98" i="27"/>
  <c r="U98" i="27"/>
  <c r="T98" i="27"/>
  <c r="S98" i="27"/>
  <c r="R98" i="27"/>
  <c r="Q98" i="27"/>
  <c r="P98" i="27"/>
  <c r="O98" i="27"/>
  <c r="G98" i="27"/>
  <c r="M98" i="27" s="1"/>
  <c r="F98" i="27"/>
  <c r="AI97" i="27"/>
  <c r="AA97" i="27"/>
  <c r="Z97" i="27"/>
  <c r="X97" i="27"/>
  <c r="W97" i="27"/>
  <c r="U97" i="27"/>
  <c r="T97" i="27"/>
  <c r="S97" i="27"/>
  <c r="R97" i="27"/>
  <c r="Q97" i="27"/>
  <c r="P97" i="27"/>
  <c r="O97" i="27"/>
  <c r="G97" i="27"/>
  <c r="M97" i="27" s="1"/>
  <c r="F97" i="27"/>
  <c r="AI96" i="27"/>
  <c r="AA96" i="27"/>
  <c r="Z96" i="27"/>
  <c r="X96" i="27"/>
  <c r="W96" i="27"/>
  <c r="U96" i="27"/>
  <c r="T96" i="27"/>
  <c r="S96" i="27"/>
  <c r="R96" i="27"/>
  <c r="Q96" i="27"/>
  <c r="P96" i="27"/>
  <c r="O96" i="27"/>
  <c r="G96" i="27"/>
  <c r="M96" i="27" s="1"/>
  <c r="F96" i="27"/>
  <c r="AI95" i="27"/>
  <c r="AA95" i="27"/>
  <c r="Z95" i="27"/>
  <c r="X95" i="27"/>
  <c r="W95" i="27"/>
  <c r="U95" i="27"/>
  <c r="T95" i="27"/>
  <c r="S95" i="27"/>
  <c r="R95" i="27"/>
  <c r="Q95" i="27"/>
  <c r="P95" i="27"/>
  <c r="O95" i="27"/>
  <c r="G95" i="27"/>
  <c r="M95" i="27" s="1"/>
  <c r="F95" i="27"/>
  <c r="AI94" i="27"/>
  <c r="AA94" i="27"/>
  <c r="Z94" i="27"/>
  <c r="X94" i="27"/>
  <c r="W94" i="27"/>
  <c r="U94" i="27"/>
  <c r="T94" i="27"/>
  <c r="S94" i="27"/>
  <c r="R94" i="27"/>
  <c r="Q94" i="27"/>
  <c r="P94" i="27"/>
  <c r="O94" i="27"/>
  <c r="G94" i="27"/>
  <c r="F94" i="27"/>
  <c r="AI93" i="27"/>
  <c r="AA93" i="27"/>
  <c r="Z93" i="27"/>
  <c r="X93" i="27"/>
  <c r="W93" i="27"/>
  <c r="U93" i="27"/>
  <c r="T93" i="27"/>
  <c r="S93" i="27"/>
  <c r="R93" i="27"/>
  <c r="Q93" i="27"/>
  <c r="P93" i="27"/>
  <c r="O93" i="27"/>
  <c r="G93" i="27"/>
  <c r="M93" i="27" s="1"/>
  <c r="F93" i="27"/>
  <c r="AI92" i="27"/>
  <c r="AA92" i="27"/>
  <c r="Z92" i="27"/>
  <c r="X92" i="27"/>
  <c r="W92" i="27"/>
  <c r="U92" i="27"/>
  <c r="T92" i="27"/>
  <c r="S92" i="27"/>
  <c r="R92" i="27"/>
  <c r="Q92" i="27"/>
  <c r="P92" i="27"/>
  <c r="O92" i="27"/>
  <c r="G92" i="27"/>
  <c r="M92" i="27" s="1"/>
  <c r="F92" i="27"/>
  <c r="AI91" i="27"/>
  <c r="AA91" i="27"/>
  <c r="Z91" i="27"/>
  <c r="X91" i="27"/>
  <c r="W91" i="27"/>
  <c r="U91" i="27"/>
  <c r="T91" i="27"/>
  <c r="S91" i="27"/>
  <c r="R91" i="27"/>
  <c r="Q91" i="27"/>
  <c r="P91" i="27"/>
  <c r="O91" i="27"/>
  <c r="G91" i="27"/>
  <c r="M91" i="27" s="1"/>
  <c r="F91" i="27"/>
  <c r="AI90" i="27"/>
  <c r="AA90" i="27"/>
  <c r="Z90" i="27"/>
  <c r="X90" i="27"/>
  <c r="W90" i="27"/>
  <c r="U90" i="27"/>
  <c r="T90" i="27"/>
  <c r="S90" i="27"/>
  <c r="R90" i="27"/>
  <c r="Q90" i="27"/>
  <c r="P90" i="27"/>
  <c r="O90" i="27"/>
  <c r="G90" i="27"/>
  <c r="M90" i="27" s="1"/>
  <c r="F90" i="27"/>
  <c r="AI89" i="27"/>
  <c r="AA89" i="27"/>
  <c r="Z89" i="27"/>
  <c r="X89" i="27"/>
  <c r="W89" i="27"/>
  <c r="U89" i="27"/>
  <c r="T89" i="27"/>
  <c r="S89" i="27"/>
  <c r="R89" i="27"/>
  <c r="Q89" i="27"/>
  <c r="P89" i="27"/>
  <c r="O89" i="27"/>
  <c r="G89" i="27"/>
  <c r="M89" i="27" s="1"/>
  <c r="F89" i="27"/>
  <c r="AI88" i="27"/>
  <c r="AA88" i="27"/>
  <c r="Z88" i="27"/>
  <c r="X88" i="27"/>
  <c r="W88" i="27"/>
  <c r="U88" i="27"/>
  <c r="T88" i="27"/>
  <c r="S88" i="27"/>
  <c r="R88" i="27"/>
  <c r="Q88" i="27"/>
  <c r="P88" i="27"/>
  <c r="O88" i="27"/>
  <c r="G88" i="27"/>
  <c r="F88" i="27"/>
  <c r="AI87" i="27"/>
  <c r="AA87" i="27"/>
  <c r="Z87" i="27"/>
  <c r="X87" i="27"/>
  <c r="W87" i="27"/>
  <c r="U87" i="27"/>
  <c r="T87" i="27"/>
  <c r="S87" i="27"/>
  <c r="R87" i="27"/>
  <c r="Q87" i="27"/>
  <c r="P87" i="27"/>
  <c r="O87" i="27"/>
  <c r="G87" i="27"/>
  <c r="M87" i="27" s="1"/>
  <c r="F87" i="27"/>
  <c r="AI86" i="27"/>
  <c r="AA86" i="27"/>
  <c r="Z86" i="27"/>
  <c r="X86" i="27"/>
  <c r="W86" i="27"/>
  <c r="U86" i="27"/>
  <c r="T86" i="27"/>
  <c r="S86" i="27"/>
  <c r="R86" i="27"/>
  <c r="Q86" i="27"/>
  <c r="P86" i="27"/>
  <c r="O86" i="27"/>
  <c r="G86" i="27"/>
  <c r="M86" i="27" s="1"/>
  <c r="F86" i="27"/>
  <c r="AI85" i="27"/>
  <c r="AA85" i="27"/>
  <c r="Z85" i="27"/>
  <c r="X85" i="27"/>
  <c r="W85" i="27"/>
  <c r="U85" i="27"/>
  <c r="T85" i="27"/>
  <c r="S85" i="27"/>
  <c r="R85" i="27"/>
  <c r="Q85" i="27"/>
  <c r="P85" i="27"/>
  <c r="O85" i="27"/>
  <c r="G85" i="27"/>
  <c r="M85" i="27" s="1"/>
  <c r="F85" i="27"/>
  <c r="AI84" i="27"/>
  <c r="AA84" i="27"/>
  <c r="Z84" i="27"/>
  <c r="X84" i="27"/>
  <c r="W84" i="27"/>
  <c r="U84" i="27"/>
  <c r="T84" i="27"/>
  <c r="S84" i="27"/>
  <c r="R84" i="27"/>
  <c r="Q84" i="27"/>
  <c r="P84" i="27"/>
  <c r="O84" i="27"/>
  <c r="G84" i="27"/>
  <c r="M84" i="27" s="1"/>
  <c r="F84" i="27"/>
  <c r="AI83" i="27"/>
  <c r="AA83" i="27"/>
  <c r="Z83" i="27"/>
  <c r="X83" i="27"/>
  <c r="W83" i="27"/>
  <c r="U83" i="27"/>
  <c r="T83" i="27"/>
  <c r="S83" i="27"/>
  <c r="R83" i="27"/>
  <c r="Q83" i="27"/>
  <c r="P83" i="27"/>
  <c r="O83" i="27"/>
  <c r="G83" i="27"/>
  <c r="M83" i="27" s="1"/>
  <c r="F83" i="27"/>
  <c r="AI82" i="27"/>
  <c r="AA82" i="27"/>
  <c r="Z82" i="27"/>
  <c r="X82" i="27"/>
  <c r="W82" i="27"/>
  <c r="U82" i="27"/>
  <c r="T82" i="27"/>
  <c r="S82" i="27"/>
  <c r="R82" i="27"/>
  <c r="Q82" i="27"/>
  <c r="P82" i="27"/>
  <c r="O82" i="27"/>
  <c r="G82" i="27"/>
  <c r="M82" i="27" s="1"/>
  <c r="F82" i="27"/>
  <c r="AI81" i="27"/>
  <c r="AA81" i="27"/>
  <c r="Z81" i="27"/>
  <c r="X81" i="27"/>
  <c r="W81" i="27"/>
  <c r="U81" i="27"/>
  <c r="T81" i="27"/>
  <c r="S81" i="27"/>
  <c r="R81" i="27"/>
  <c r="Q81" i="27"/>
  <c r="P81" i="27"/>
  <c r="O81" i="27"/>
  <c r="G81" i="27"/>
  <c r="M81" i="27" s="1"/>
  <c r="F81" i="27"/>
  <c r="AI80" i="27"/>
  <c r="AA80" i="27"/>
  <c r="Z80" i="27"/>
  <c r="X80" i="27"/>
  <c r="W80" i="27"/>
  <c r="U80" i="27"/>
  <c r="T80" i="27"/>
  <c r="S80" i="27"/>
  <c r="R80" i="27"/>
  <c r="Q80" i="27"/>
  <c r="P80" i="27"/>
  <c r="O80" i="27"/>
  <c r="G80" i="27"/>
  <c r="M80" i="27" s="1"/>
  <c r="F80" i="27"/>
  <c r="AI79" i="27"/>
  <c r="AA79" i="27"/>
  <c r="Z79" i="27"/>
  <c r="X79" i="27"/>
  <c r="W79" i="27"/>
  <c r="U79" i="27"/>
  <c r="T79" i="27"/>
  <c r="S79" i="27"/>
  <c r="R79" i="27"/>
  <c r="Q79" i="27"/>
  <c r="P79" i="27"/>
  <c r="O79" i="27"/>
  <c r="G79" i="27"/>
  <c r="M79" i="27" s="1"/>
  <c r="F79" i="27"/>
  <c r="AI78" i="27"/>
  <c r="AA78" i="27"/>
  <c r="Z78" i="27"/>
  <c r="X78" i="27"/>
  <c r="W78" i="27"/>
  <c r="U78" i="27"/>
  <c r="T78" i="27"/>
  <c r="S78" i="27"/>
  <c r="R78" i="27"/>
  <c r="Q78" i="27"/>
  <c r="P78" i="27"/>
  <c r="O78" i="27"/>
  <c r="G78" i="27"/>
  <c r="M78" i="27" s="1"/>
  <c r="F78" i="27"/>
  <c r="AI77" i="27"/>
  <c r="AA77" i="27"/>
  <c r="Z77" i="27"/>
  <c r="X77" i="27"/>
  <c r="W77" i="27"/>
  <c r="U77" i="27"/>
  <c r="T77" i="27"/>
  <c r="S77" i="27"/>
  <c r="R77" i="27"/>
  <c r="Q77" i="27"/>
  <c r="P77" i="27"/>
  <c r="O77" i="27"/>
  <c r="G77" i="27"/>
  <c r="M77" i="27" s="1"/>
  <c r="F77" i="27"/>
  <c r="AI76" i="27"/>
  <c r="AA76" i="27"/>
  <c r="Z76" i="27"/>
  <c r="X76" i="27"/>
  <c r="W76" i="27"/>
  <c r="U76" i="27"/>
  <c r="T76" i="27"/>
  <c r="S76" i="27"/>
  <c r="R76" i="27"/>
  <c r="Q76" i="27"/>
  <c r="P76" i="27"/>
  <c r="O76" i="27"/>
  <c r="G76" i="27"/>
  <c r="F76" i="27"/>
  <c r="AI75" i="27"/>
  <c r="AA75" i="27"/>
  <c r="Z75" i="27"/>
  <c r="X75" i="27"/>
  <c r="W75" i="27"/>
  <c r="U75" i="27"/>
  <c r="T75" i="27"/>
  <c r="S75" i="27"/>
  <c r="R75" i="27"/>
  <c r="Q75" i="27"/>
  <c r="P75" i="27"/>
  <c r="O75" i="27"/>
  <c r="G75" i="27"/>
  <c r="M75" i="27" s="1"/>
  <c r="F75" i="27"/>
  <c r="AI74" i="27"/>
  <c r="AA74" i="27"/>
  <c r="Z74" i="27"/>
  <c r="X74" i="27"/>
  <c r="W74" i="27"/>
  <c r="U74" i="27"/>
  <c r="T74" i="27"/>
  <c r="S74" i="27"/>
  <c r="R74" i="27"/>
  <c r="Q74" i="27"/>
  <c r="P74" i="27"/>
  <c r="O74" i="27"/>
  <c r="G74" i="27"/>
  <c r="M74" i="27" s="1"/>
  <c r="F74" i="27"/>
  <c r="AI73" i="27"/>
  <c r="AA73" i="27"/>
  <c r="Z73" i="27"/>
  <c r="X73" i="27"/>
  <c r="W73" i="27"/>
  <c r="U73" i="27"/>
  <c r="T73" i="27"/>
  <c r="S73" i="27"/>
  <c r="R73" i="27"/>
  <c r="Q73" i="27"/>
  <c r="P73" i="27"/>
  <c r="O73" i="27"/>
  <c r="G73" i="27"/>
  <c r="M73" i="27" s="1"/>
  <c r="F73" i="27"/>
  <c r="AI72" i="27"/>
  <c r="AA72" i="27"/>
  <c r="Z72" i="27"/>
  <c r="X72" i="27"/>
  <c r="W72" i="27"/>
  <c r="U72" i="27"/>
  <c r="T72" i="27"/>
  <c r="S72" i="27"/>
  <c r="R72" i="27"/>
  <c r="Q72" i="27"/>
  <c r="P72" i="27"/>
  <c r="O72" i="27"/>
  <c r="G72" i="27"/>
  <c r="M72" i="27" s="1"/>
  <c r="F72" i="27"/>
  <c r="AI71" i="27"/>
  <c r="AA71" i="27"/>
  <c r="Z71" i="27"/>
  <c r="X71" i="27"/>
  <c r="W71" i="27"/>
  <c r="U71" i="27"/>
  <c r="T71" i="27"/>
  <c r="S71" i="27"/>
  <c r="R71" i="27"/>
  <c r="Q71" i="27"/>
  <c r="P71" i="27"/>
  <c r="O71" i="27"/>
  <c r="G71" i="27"/>
  <c r="M71" i="27" s="1"/>
  <c r="F71" i="27"/>
  <c r="AI70" i="27"/>
  <c r="AA70" i="27"/>
  <c r="Z70" i="27"/>
  <c r="X70" i="27"/>
  <c r="W70" i="27"/>
  <c r="U70" i="27"/>
  <c r="T70" i="27"/>
  <c r="S70" i="27"/>
  <c r="R70" i="27"/>
  <c r="Q70" i="27"/>
  <c r="P70" i="27"/>
  <c r="O70" i="27"/>
  <c r="G70" i="27"/>
  <c r="M70" i="27" s="1"/>
  <c r="F70" i="27"/>
  <c r="AI69" i="27"/>
  <c r="AA69" i="27"/>
  <c r="Z69" i="27"/>
  <c r="X69" i="27"/>
  <c r="W69" i="27"/>
  <c r="U69" i="27"/>
  <c r="T69" i="27"/>
  <c r="S69" i="27"/>
  <c r="R69" i="27"/>
  <c r="Q69" i="27"/>
  <c r="P69" i="27"/>
  <c r="O69" i="27"/>
  <c r="G69" i="27"/>
  <c r="M69" i="27" s="1"/>
  <c r="F69" i="27"/>
  <c r="AI68" i="27"/>
  <c r="AA68" i="27"/>
  <c r="Z68" i="27"/>
  <c r="X68" i="27"/>
  <c r="W68" i="27"/>
  <c r="U68" i="27"/>
  <c r="T68" i="27"/>
  <c r="S68" i="27"/>
  <c r="R68" i="27"/>
  <c r="Q68" i="27"/>
  <c r="P68" i="27"/>
  <c r="O68" i="27"/>
  <c r="G68" i="27"/>
  <c r="M68" i="27" s="1"/>
  <c r="F68" i="27"/>
  <c r="AI67" i="27"/>
  <c r="AA67" i="27"/>
  <c r="Z67" i="27"/>
  <c r="X67" i="27"/>
  <c r="W67" i="27"/>
  <c r="U67" i="27"/>
  <c r="T67" i="27"/>
  <c r="S67" i="27"/>
  <c r="R67" i="27"/>
  <c r="Q67" i="27"/>
  <c r="P67" i="27"/>
  <c r="O67" i="27"/>
  <c r="G67" i="27"/>
  <c r="M67" i="27" s="1"/>
  <c r="F67" i="27"/>
  <c r="AI66" i="27"/>
  <c r="Z66" i="27"/>
  <c r="X66" i="27"/>
  <c r="W66" i="27"/>
  <c r="U66" i="27"/>
  <c r="T66" i="27"/>
  <c r="S66" i="27"/>
  <c r="R66" i="27"/>
  <c r="Q66" i="27"/>
  <c r="P66" i="27"/>
  <c r="O66" i="27"/>
  <c r="G66" i="27"/>
  <c r="M66" i="27" s="1"/>
  <c r="F66" i="27"/>
  <c r="AI65" i="27"/>
  <c r="F65" i="27"/>
  <c r="AI64" i="27"/>
  <c r="F64" i="27"/>
  <c r="AI63" i="27"/>
  <c r="F63" i="27"/>
  <c r="AI62" i="27"/>
  <c r="F62" i="27"/>
  <c r="AI61" i="27"/>
  <c r="F61" i="27"/>
  <c r="AI60" i="27"/>
  <c r="F60" i="27"/>
  <c r="AI59" i="27"/>
  <c r="F59" i="27"/>
  <c r="AI58" i="27"/>
  <c r="F58" i="27"/>
  <c r="AI57" i="27"/>
  <c r="F57" i="27"/>
  <c r="AI56" i="27"/>
  <c r="F56" i="27"/>
  <c r="AI55" i="27"/>
  <c r="F55" i="27"/>
  <c r="AI54" i="27"/>
  <c r="F54" i="27"/>
  <c r="AI53" i="27"/>
  <c r="F53" i="27"/>
  <c r="AI52" i="27"/>
  <c r="F52" i="27"/>
  <c r="AI51" i="27"/>
  <c r="F51" i="27"/>
  <c r="AI50" i="27"/>
  <c r="F50" i="27"/>
  <c r="AI49" i="27"/>
  <c r="F49" i="27"/>
  <c r="AI48" i="27"/>
  <c r="F48" i="27"/>
  <c r="AI47" i="27"/>
  <c r="F47" i="27"/>
  <c r="AI46" i="27"/>
  <c r="G46" i="27"/>
  <c r="M46" i="27" s="1"/>
  <c r="X46" i="27" s="1"/>
  <c r="F46" i="27"/>
  <c r="U46" i="27" s="1"/>
  <c r="AI45" i="27"/>
  <c r="F45" i="27"/>
  <c r="AI44" i="27"/>
  <c r="F44" i="27"/>
  <c r="AI43" i="27"/>
  <c r="F43" i="27"/>
  <c r="AI42" i="27"/>
  <c r="F42" i="27"/>
  <c r="AI41" i="27"/>
  <c r="F41" i="27"/>
  <c r="AI40" i="27"/>
  <c r="F40" i="27"/>
  <c r="AI39" i="27"/>
  <c r="F39" i="27"/>
  <c r="AI38" i="27"/>
  <c r="F38" i="27"/>
  <c r="AI37" i="27"/>
  <c r="F37" i="27"/>
  <c r="AI36" i="27"/>
  <c r="F36" i="27"/>
  <c r="AI35" i="27"/>
  <c r="F35" i="27"/>
  <c r="AI34" i="27"/>
  <c r="F34" i="27"/>
  <c r="AI33" i="27"/>
  <c r="F33" i="27"/>
  <c r="AI32" i="27"/>
  <c r="F32" i="27"/>
  <c r="AI31" i="27"/>
  <c r="F31" i="27"/>
  <c r="AI30" i="27"/>
  <c r="F30" i="27"/>
  <c r="AI29" i="27"/>
  <c r="F29" i="27"/>
  <c r="AI28" i="27"/>
  <c r="F28" i="27"/>
  <c r="AI27" i="27"/>
  <c r="F27" i="27"/>
  <c r="AI26" i="27"/>
  <c r="X26" i="27"/>
  <c r="G26" i="27"/>
  <c r="M26" i="27" s="1"/>
  <c r="F26" i="27"/>
  <c r="U26" i="27" s="1"/>
  <c r="AI25" i="27"/>
  <c r="F25" i="27"/>
  <c r="AI24" i="27"/>
  <c r="F24" i="27"/>
  <c r="AI23" i="27"/>
  <c r="F23" i="27"/>
  <c r="AI22" i="27"/>
  <c r="F22" i="27"/>
  <c r="AI21" i="27"/>
  <c r="F21" i="27"/>
  <c r="AI20" i="27"/>
  <c r="F20" i="27"/>
  <c r="AI19" i="27"/>
  <c r="F19" i="27"/>
  <c r="AI18" i="27"/>
  <c r="F18" i="27"/>
  <c r="AI17" i="27"/>
  <c r="F17" i="27"/>
  <c r="AI16" i="27"/>
  <c r="F16" i="27"/>
  <c r="AI15" i="27"/>
  <c r="F15" i="27"/>
  <c r="AI14" i="27"/>
  <c r="F14" i="27"/>
  <c r="AI13" i="27"/>
  <c r="F13" i="27"/>
  <c r="AI12" i="27"/>
  <c r="F12" i="27"/>
  <c r="AI11" i="27"/>
  <c r="F11" i="27"/>
  <c r="AI10" i="27"/>
  <c r="F10" i="27"/>
  <c r="AI9" i="27"/>
  <c r="F9" i="27"/>
  <c r="AI8" i="27"/>
  <c r="F8" i="27"/>
  <c r="AI7" i="27"/>
  <c r="AH7" i="27"/>
  <c r="AH8" i="27" s="1"/>
  <c r="AH9" i="27" s="1"/>
  <c r="F7" i="27"/>
  <c r="AI6" i="27"/>
  <c r="Q6" i="27"/>
  <c r="P6" i="27"/>
  <c r="G6" i="27"/>
  <c r="M6" i="27" s="1"/>
  <c r="X6" i="27" s="1"/>
  <c r="F6" i="27"/>
  <c r="U6" i="27" s="1"/>
  <c r="N5" i="27"/>
  <c r="F5" i="27"/>
  <c r="N4" i="27"/>
  <c r="K4" i="27"/>
  <c r="K5" i="27" s="1"/>
  <c r="K6" i="27" s="1"/>
  <c r="K7" i="27" s="1"/>
  <c r="K8" i="27" s="1"/>
  <c r="K9" i="27" s="1"/>
  <c r="K10" i="27" s="1"/>
  <c r="K11" i="27" s="1"/>
  <c r="K12" i="27" s="1"/>
  <c r="K13" i="27" s="1"/>
  <c r="K14" i="27" s="1"/>
  <c r="K15" i="27" s="1"/>
  <c r="K16" i="27" s="1"/>
  <c r="K17" i="27" s="1"/>
  <c r="K18" i="27" s="1"/>
  <c r="K19" i="27" s="1"/>
  <c r="K20" i="27" s="1"/>
  <c r="K21" i="27" s="1"/>
  <c r="K22" i="27" s="1"/>
  <c r="K23" i="27" s="1"/>
  <c r="K24" i="27" s="1"/>
  <c r="K25" i="27" s="1"/>
  <c r="K26" i="27" s="1"/>
  <c r="K27" i="27" s="1"/>
  <c r="K28" i="27" s="1"/>
  <c r="K29" i="27" s="1"/>
  <c r="K30" i="27" s="1"/>
  <c r="K31" i="27" s="1"/>
  <c r="K32" i="27" s="1"/>
  <c r="K33" i="27" s="1"/>
  <c r="K34" i="27" s="1"/>
  <c r="K35" i="27" s="1"/>
  <c r="K36" i="27" s="1"/>
  <c r="K37" i="27" s="1"/>
  <c r="K38" i="27" s="1"/>
  <c r="K39" i="27" s="1"/>
  <c r="K40" i="27" s="1"/>
  <c r="K41" i="27" s="1"/>
  <c r="K42" i="27" s="1"/>
  <c r="K43" i="27" s="1"/>
  <c r="K44" i="27" s="1"/>
  <c r="K45" i="27" s="1"/>
  <c r="K46" i="27" s="1"/>
  <c r="K47" i="27" s="1"/>
  <c r="K48" i="27" s="1"/>
  <c r="K49" i="27" s="1"/>
  <c r="K50" i="27" s="1"/>
  <c r="K51" i="27" s="1"/>
  <c r="K52" i="27" s="1"/>
  <c r="K53" i="27" s="1"/>
  <c r="K54" i="27" s="1"/>
  <c r="K55" i="27" s="1"/>
  <c r="K56" i="27" s="1"/>
  <c r="K57" i="27" s="1"/>
  <c r="K58" i="27" s="1"/>
  <c r="K59" i="27" s="1"/>
  <c r="K60" i="27" s="1"/>
  <c r="K61" i="27" s="1"/>
  <c r="K62" i="27" s="1"/>
  <c r="K63" i="27" s="1"/>
  <c r="K64" i="27" s="1"/>
  <c r="K65" i="27" s="1"/>
  <c r="K66" i="27" s="1"/>
  <c r="K67" i="27" s="1"/>
  <c r="K68" i="27" s="1"/>
  <c r="K69" i="27" s="1"/>
  <c r="K70" i="27" s="1"/>
  <c r="K71" i="27" s="1"/>
  <c r="K72" i="27" s="1"/>
  <c r="K73" i="27" s="1"/>
  <c r="K74" i="27" s="1"/>
  <c r="K75" i="27" s="1"/>
  <c r="K76" i="27" s="1"/>
  <c r="K77" i="27" s="1"/>
  <c r="K78" i="27" s="1"/>
  <c r="K79" i="27" s="1"/>
  <c r="K80" i="27" s="1"/>
  <c r="K81" i="27" s="1"/>
  <c r="K82" i="27" s="1"/>
  <c r="K83" i="27" s="1"/>
  <c r="K84" i="27" s="1"/>
  <c r="K85" i="27" s="1"/>
  <c r="K86" i="27" s="1"/>
  <c r="K87" i="27" s="1"/>
  <c r="K88" i="27" s="1"/>
  <c r="K89" i="27" s="1"/>
  <c r="K90" i="27" s="1"/>
  <c r="K91" i="27" s="1"/>
  <c r="K92" i="27" s="1"/>
  <c r="K93" i="27" s="1"/>
  <c r="K94" i="27" s="1"/>
  <c r="K95" i="27" s="1"/>
  <c r="K96" i="27" s="1"/>
  <c r="K97" i="27" s="1"/>
  <c r="K98" i="27" s="1"/>
  <c r="K99" i="27" s="1"/>
  <c r="K100" i="27" s="1"/>
  <c r="K101" i="27" s="1"/>
  <c r="K102" i="27" s="1"/>
  <c r="J4" i="27"/>
  <c r="J5" i="27" s="1"/>
  <c r="H4" i="27"/>
  <c r="H5" i="27" s="1"/>
  <c r="F4" i="27"/>
  <c r="N3" i="27"/>
  <c r="G3" i="27"/>
  <c r="F3" i="27"/>
  <c r="AI102" i="26"/>
  <c r="AA102" i="26"/>
  <c r="Z102" i="26"/>
  <c r="X102" i="26"/>
  <c r="W102" i="26"/>
  <c r="U102" i="26"/>
  <c r="T102" i="26"/>
  <c r="S102" i="26"/>
  <c r="R102" i="26"/>
  <c r="Q102" i="26"/>
  <c r="P102" i="26"/>
  <c r="O102" i="26"/>
  <c r="G102" i="26"/>
  <c r="M102" i="26" s="1"/>
  <c r="F102" i="26"/>
  <c r="AI101" i="26"/>
  <c r="AA101" i="26"/>
  <c r="Z101" i="26"/>
  <c r="X101" i="26"/>
  <c r="W101" i="26"/>
  <c r="U101" i="26"/>
  <c r="T101" i="26"/>
  <c r="S101" i="26"/>
  <c r="R101" i="26"/>
  <c r="Q101" i="26"/>
  <c r="P101" i="26"/>
  <c r="O101" i="26"/>
  <c r="G101" i="26"/>
  <c r="M101" i="26" s="1"/>
  <c r="F101" i="26"/>
  <c r="AI100" i="26"/>
  <c r="AA100" i="26"/>
  <c r="Z100" i="26"/>
  <c r="X100" i="26"/>
  <c r="W100" i="26"/>
  <c r="U100" i="26"/>
  <c r="T100" i="26"/>
  <c r="S100" i="26"/>
  <c r="R100" i="26"/>
  <c r="Q100" i="26"/>
  <c r="P100" i="26"/>
  <c r="O100" i="26"/>
  <c r="G100" i="26"/>
  <c r="M100" i="26" s="1"/>
  <c r="F100" i="26"/>
  <c r="AI99" i="26"/>
  <c r="AA99" i="26"/>
  <c r="Z99" i="26"/>
  <c r="X99" i="26"/>
  <c r="W99" i="26"/>
  <c r="U99" i="26"/>
  <c r="T99" i="26"/>
  <c r="S99" i="26"/>
  <c r="R99" i="26"/>
  <c r="Q99" i="26"/>
  <c r="P99" i="26"/>
  <c r="O99" i="26"/>
  <c r="G99" i="26"/>
  <c r="M99" i="26" s="1"/>
  <c r="F99" i="26"/>
  <c r="AI98" i="26"/>
  <c r="AA98" i="26"/>
  <c r="Z98" i="26"/>
  <c r="X98" i="26"/>
  <c r="W98" i="26"/>
  <c r="U98" i="26"/>
  <c r="T98" i="26"/>
  <c r="S98" i="26"/>
  <c r="R98" i="26"/>
  <c r="Q98" i="26"/>
  <c r="P98" i="26"/>
  <c r="O98" i="26"/>
  <c r="G98" i="26"/>
  <c r="M98" i="26" s="1"/>
  <c r="F98" i="26"/>
  <c r="AI97" i="26"/>
  <c r="AA97" i="26"/>
  <c r="Z97" i="26"/>
  <c r="X97" i="26"/>
  <c r="W97" i="26"/>
  <c r="U97" i="26"/>
  <c r="T97" i="26"/>
  <c r="S97" i="26"/>
  <c r="R97" i="26"/>
  <c r="Q97" i="26"/>
  <c r="P97" i="26"/>
  <c r="O97" i="26"/>
  <c r="G97" i="26"/>
  <c r="M97" i="26" s="1"/>
  <c r="F97" i="26"/>
  <c r="AI96" i="26"/>
  <c r="AA96" i="26"/>
  <c r="Z96" i="26"/>
  <c r="X96" i="26"/>
  <c r="W96" i="26"/>
  <c r="U96" i="26"/>
  <c r="T96" i="26"/>
  <c r="S96" i="26"/>
  <c r="R96" i="26"/>
  <c r="Q96" i="26"/>
  <c r="P96" i="26"/>
  <c r="O96" i="26"/>
  <c r="G96" i="26"/>
  <c r="M96" i="26" s="1"/>
  <c r="F96" i="26"/>
  <c r="AI95" i="26"/>
  <c r="AA95" i="26"/>
  <c r="Z95" i="26"/>
  <c r="X95" i="26"/>
  <c r="W95" i="26"/>
  <c r="U95" i="26"/>
  <c r="T95" i="26"/>
  <c r="S95" i="26"/>
  <c r="R95" i="26"/>
  <c r="Q95" i="26"/>
  <c r="P95" i="26"/>
  <c r="O95" i="26"/>
  <c r="G95" i="26"/>
  <c r="M95" i="26" s="1"/>
  <c r="F95" i="26"/>
  <c r="AI94" i="26"/>
  <c r="AA94" i="26"/>
  <c r="Z94" i="26"/>
  <c r="X94" i="26"/>
  <c r="W94" i="26"/>
  <c r="U94" i="26"/>
  <c r="T94" i="26"/>
  <c r="S94" i="26"/>
  <c r="R94" i="26"/>
  <c r="Q94" i="26"/>
  <c r="P94" i="26"/>
  <c r="O94" i="26"/>
  <c r="G94" i="26"/>
  <c r="M94" i="26" s="1"/>
  <c r="F94" i="26"/>
  <c r="AI93" i="26"/>
  <c r="AA93" i="26"/>
  <c r="Z93" i="26"/>
  <c r="X93" i="26"/>
  <c r="W93" i="26"/>
  <c r="U93" i="26"/>
  <c r="T93" i="26"/>
  <c r="S93" i="26"/>
  <c r="R93" i="26"/>
  <c r="Q93" i="26"/>
  <c r="P93" i="26"/>
  <c r="O93" i="26"/>
  <c r="G93" i="26"/>
  <c r="M93" i="26" s="1"/>
  <c r="F93" i="26"/>
  <c r="AI92" i="26"/>
  <c r="AA92" i="26"/>
  <c r="Z92" i="26"/>
  <c r="X92" i="26"/>
  <c r="W92" i="26"/>
  <c r="U92" i="26"/>
  <c r="T92" i="26"/>
  <c r="S92" i="26"/>
  <c r="R92" i="26"/>
  <c r="Q92" i="26"/>
  <c r="P92" i="26"/>
  <c r="O92" i="26"/>
  <c r="G92" i="26"/>
  <c r="M92" i="26" s="1"/>
  <c r="F92" i="26"/>
  <c r="AI91" i="26"/>
  <c r="AA91" i="26"/>
  <c r="Z91" i="26"/>
  <c r="X91" i="26"/>
  <c r="W91" i="26"/>
  <c r="U91" i="26"/>
  <c r="T91" i="26"/>
  <c r="S91" i="26"/>
  <c r="R91" i="26"/>
  <c r="Q91" i="26"/>
  <c r="P91" i="26"/>
  <c r="O91" i="26"/>
  <c r="G91" i="26"/>
  <c r="F91" i="26"/>
  <c r="AI90" i="26"/>
  <c r="AA90" i="26"/>
  <c r="Z90" i="26"/>
  <c r="X90" i="26"/>
  <c r="W90" i="26"/>
  <c r="U90" i="26"/>
  <c r="T90" i="26"/>
  <c r="S90" i="26"/>
  <c r="R90" i="26"/>
  <c r="Q90" i="26"/>
  <c r="P90" i="26"/>
  <c r="O90" i="26"/>
  <c r="G90" i="26"/>
  <c r="M90" i="26" s="1"/>
  <c r="F90" i="26"/>
  <c r="AI89" i="26"/>
  <c r="AA89" i="26"/>
  <c r="Z89" i="26"/>
  <c r="X89" i="26"/>
  <c r="W89" i="26"/>
  <c r="U89" i="26"/>
  <c r="T89" i="26"/>
  <c r="S89" i="26"/>
  <c r="R89" i="26"/>
  <c r="Q89" i="26"/>
  <c r="P89" i="26"/>
  <c r="O89" i="26"/>
  <c r="G89" i="26"/>
  <c r="M89" i="26" s="1"/>
  <c r="F89" i="26"/>
  <c r="AI88" i="26"/>
  <c r="AA88" i="26"/>
  <c r="Z88" i="26"/>
  <c r="X88" i="26"/>
  <c r="W88" i="26"/>
  <c r="U88" i="26"/>
  <c r="T88" i="26"/>
  <c r="S88" i="26"/>
  <c r="R88" i="26"/>
  <c r="Q88" i="26"/>
  <c r="P88" i="26"/>
  <c r="O88" i="26"/>
  <c r="G88" i="26"/>
  <c r="M88" i="26" s="1"/>
  <c r="F88" i="26"/>
  <c r="AI87" i="26"/>
  <c r="AA87" i="26"/>
  <c r="Z87" i="26"/>
  <c r="X87" i="26"/>
  <c r="W87" i="26"/>
  <c r="U87" i="26"/>
  <c r="T87" i="26"/>
  <c r="S87" i="26"/>
  <c r="R87" i="26"/>
  <c r="Q87" i="26"/>
  <c r="P87" i="26"/>
  <c r="O87" i="26"/>
  <c r="G87" i="26"/>
  <c r="M87" i="26" s="1"/>
  <c r="F87" i="26"/>
  <c r="AI86" i="26"/>
  <c r="AA86" i="26"/>
  <c r="Z86" i="26"/>
  <c r="X86" i="26"/>
  <c r="W86" i="26"/>
  <c r="U86" i="26"/>
  <c r="T86" i="26"/>
  <c r="S86" i="26"/>
  <c r="R86" i="26"/>
  <c r="Q86" i="26"/>
  <c r="P86" i="26"/>
  <c r="O86" i="26"/>
  <c r="G86" i="26"/>
  <c r="M86" i="26" s="1"/>
  <c r="F86" i="26"/>
  <c r="AI85" i="26"/>
  <c r="AA85" i="26"/>
  <c r="Z85" i="26"/>
  <c r="X85" i="26"/>
  <c r="W85" i="26"/>
  <c r="U85" i="26"/>
  <c r="T85" i="26"/>
  <c r="S85" i="26"/>
  <c r="R85" i="26"/>
  <c r="Q85" i="26"/>
  <c r="P85" i="26"/>
  <c r="O85" i="26"/>
  <c r="G85" i="26"/>
  <c r="M85" i="26" s="1"/>
  <c r="F85" i="26"/>
  <c r="AI84" i="26"/>
  <c r="AA84" i="26"/>
  <c r="Z84" i="26"/>
  <c r="X84" i="26"/>
  <c r="W84" i="26"/>
  <c r="U84" i="26"/>
  <c r="T84" i="26"/>
  <c r="S84" i="26"/>
  <c r="R84" i="26"/>
  <c r="Q84" i="26"/>
  <c r="P84" i="26"/>
  <c r="O84" i="26"/>
  <c r="G84" i="26"/>
  <c r="M84" i="26" s="1"/>
  <c r="F84" i="26"/>
  <c r="AI83" i="26"/>
  <c r="AA83" i="26"/>
  <c r="Z83" i="26"/>
  <c r="X83" i="26"/>
  <c r="W83" i="26"/>
  <c r="U83" i="26"/>
  <c r="T83" i="26"/>
  <c r="S83" i="26"/>
  <c r="R83" i="26"/>
  <c r="Q83" i="26"/>
  <c r="P83" i="26"/>
  <c r="O83" i="26"/>
  <c r="G83" i="26"/>
  <c r="M83" i="26" s="1"/>
  <c r="F83" i="26"/>
  <c r="AI82" i="26"/>
  <c r="AA82" i="26"/>
  <c r="Z82" i="26"/>
  <c r="X82" i="26"/>
  <c r="W82" i="26"/>
  <c r="U82" i="26"/>
  <c r="T82" i="26"/>
  <c r="S82" i="26"/>
  <c r="R82" i="26"/>
  <c r="Q82" i="26"/>
  <c r="P82" i="26"/>
  <c r="O82" i="26"/>
  <c r="G82" i="26"/>
  <c r="M82" i="26" s="1"/>
  <c r="F82" i="26"/>
  <c r="AI81" i="26"/>
  <c r="AA81" i="26"/>
  <c r="Z81" i="26"/>
  <c r="X81" i="26"/>
  <c r="W81" i="26"/>
  <c r="U81" i="26"/>
  <c r="T81" i="26"/>
  <c r="S81" i="26"/>
  <c r="R81" i="26"/>
  <c r="Q81" i="26"/>
  <c r="P81" i="26"/>
  <c r="O81" i="26"/>
  <c r="G81" i="26"/>
  <c r="M81" i="26" s="1"/>
  <c r="F81" i="26"/>
  <c r="AI80" i="26"/>
  <c r="AA80" i="26"/>
  <c r="Z80" i="26"/>
  <c r="X80" i="26"/>
  <c r="W80" i="26"/>
  <c r="U80" i="26"/>
  <c r="T80" i="26"/>
  <c r="S80" i="26"/>
  <c r="R80" i="26"/>
  <c r="Q80" i="26"/>
  <c r="P80" i="26"/>
  <c r="O80" i="26"/>
  <c r="G80" i="26"/>
  <c r="M80" i="26" s="1"/>
  <c r="F80" i="26"/>
  <c r="AI79" i="26"/>
  <c r="AA79" i="26"/>
  <c r="Z79" i="26"/>
  <c r="X79" i="26"/>
  <c r="W79" i="26"/>
  <c r="U79" i="26"/>
  <c r="T79" i="26"/>
  <c r="S79" i="26"/>
  <c r="R79" i="26"/>
  <c r="Q79" i="26"/>
  <c r="P79" i="26"/>
  <c r="O79" i="26"/>
  <c r="G79" i="26"/>
  <c r="F79" i="26"/>
  <c r="AI78" i="26"/>
  <c r="AA78" i="26"/>
  <c r="Z78" i="26"/>
  <c r="X78" i="26"/>
  <c r="W78" i="26"/>
  <c r="U78" i="26"/>
  <c r="T78" i="26"/>
  <c r="S78" i="26"/>
  <c r="R78" i="26"/>
  <c r="Q78" i="26"/>
  <c r="P78" i="26"/>
  <c r="O78" i="26"/>
  <c r="G78" i="26"/>
  <c r="M78" i="26" s="1"/>
  <c r="F78" i="26"/>
  <c r="AI77" i="26"/>
  <c r="AA77" i="26"/>
  <c r="Z77" i="26"/>
  <c r="X77" i="26"/>
  <c r="W77" i="26"/>
  <c r="U77" i="26"/>
  <c r="T77" i="26"/>
  <c r="S77" i="26"/>
  <c r="R77" i="26"/>
  <c r="Q77" i="26"/>
  <c r="P77" i="26"/>
  <c r="O77" i="26"/>
  <c r="G77" i="26"/>
  <c r="M77" i="26" s="1"/>
  <c r="F77" i="26"/>
  <c r="AI76" i="26"/>
  <c r="AA76" i="26"/>
  <c r="Z76" i="26"/>
  <c r="X76" i="26"/>
  <c r="W76" i="26"/>
  <c r="U76" i="26"/>
  <c r="T76" i="26"/>
  <c r="S76" i="26"/>
  <c r="R76" i="26"/>
  <c r="Q76" i="26"/>
  <c r="P76" i="26"/>
  <c r="O76" i="26"/>
  <c r="G76" i="26"/>
  <c r="M76" i="26" s="1"/>
  <c r="F76" i="26"/>
  <c r="AI75" i="26"/>
  <c r="AA75" i="26"/>
  <c r="Z75" i="26"/>
  <c r="X75" i="26"/>
  <c r="W75" i="26"/>
  <c r="U75" i="26"/>
  <c r="T75" i="26"/>
  <c r="S75" i="26"/>
  <c r="R75" i="26"/>
  <c r="Q75" i="26"/>
  <c r="P75" i="26"/>
  <c r="O75" i="26"/>
  <c r="G75" i="26"/>
  <c r="M75" i="26" s="1"/>
  <c r="F75" i="26"/>
  <c r="AI74" i="26"/>
  <c r="AA74" i="26"/>
  <c r="Z74" i="26"/>
  <c r="X74" i="26"/>
  <c r="W74" i="26"/>
  <c r="U74" i="26"/>
  <c r="T74" i="26"/>
  <c r="S74" i="26"/>
  <c r="R74" i="26"/>
  <c r="Q74" i="26"/>
  <c r="P74" i="26"/>
  <c r="O74" i="26"/>
  <c r="G74" i="26"/>
  <c r="M74" i="26" s="1"/>
  <c r="F74" i="26"/>
  <c r="AI73" i="26"/>
  <c r="AA73" i="26"/>
  <c r="Z73" i="26"/>
  <c r="X73" i="26"/>
  <c r="W73" i="26"/>
  <c r="U73" i="26"/>
  <c r="T73" i="26"/>
  <c r="S73" i="26"/>
  <c r="R73" i="26"/>
  <c r="Q73" i="26"/>
  <c r="P73" i="26"/>
  <c r="O73" i="26"/>
  <c r="G73" i="26"/>
  <c r="F73" i="26"/>
  <c r="AI72" i="26"/>
  <c r="AA72" i="26"/>
  <c r="Z72" i="26"/>
  <c r="X72" i="26"/>
  <c r="W72" i="26"/>
  <c r="U72" i="26"/>
  <c r="T72" i="26"/>
  <c r="S72" i="26"/>
  <c r="R72" i="26"/>
  <c r="Q72" i="26"/>
  <c r="P72" i="26"/>
  <c r="O72" i="26"/>
  <c r="G72" i="26"/>
  <c r="M72" i="26" s="1"/>
  <c r="F72" i="26"/>
  <c r="AI71" i="26"/>
  <c r="AA71" i="26"/>
  <c r="Z71" i="26"/>
  <c r="X71" i="26"/>
  <c r="W71" i="26"/>
  <c r="U71" i="26"/>
  <c r="T71" i="26"/>
  <c r="S71" i="26"/>
  <c r="R71" i="26"/>
  <c r="Q71" i="26"/>
  <c r="P71" i="26"/>
  <c r="O71" i="26"/>
  <c r="G71" i="26"/>
  <c r="M71" i="26" s="1"/>
  <c r="F71" i="26"/>
  <c r="AI70" i="26"/>
  <c r="AA70" i="26"/>
  <c r="Z70" i="26"/>
  <c r="X70" i="26"/>
  <c r="W70" i="26"/>
  <c r="U70" i="26"/>
  <c r="T70" i="26"/>
  <c r="S70" i="26"/>
  <c r="R70" i="26"/>
  <c r="Q70" i="26"/>
  <c r="P70" i="26"/>
  <c r="O70" i="26"/>
  <c r="G70" i="26"/>
  <c r="M70" i="26" s="1"/>
  <c r="F70" i="26"/>
  <c r="AI69" i="26"/>
  <c r="AA69" i="26"/>
  <c r="Z69" i="26"/>
  <c r="X69" i="26"/>
  <c r="W69" i="26"/>
  <c r="U69" i="26"/>
  <c r="T69" i="26"/>
  <c r="S69" i="26"/>
  <c r="R69" i="26"/>
  <c r="Q69" i="26"/>
  <c r="P69" i="26"/>
  <c r="O69" i="26"/>
  <c r="G69" i="26"/>
  <c r="M69" i="26" s="1"/>
  <c r="F69" i="26"/>
  <c r="AI68" i="26"/>
  <c r="AA68" i="26"/>
  <c r="Z68" i="26"/>
  <c r="X68" i="26"/>
  <c r="W68" i="26"/>
  <c r="U68" i="26"/>
  <c r="T68" i="26"/>
  <c r="S68" i="26"/>
  <c r="R68" i="26"/>
  <c r="Q68" i="26"/>
  <c r="P68" i="26"/>
  <c r="O68" i="26"/>
  <c r="G68" i="26"/>
  <c r="M68" i="26" s="1"/>
  <c r="F68" i="26"/>
  <c r="AI67" i="26"/>
  <c r="AA67" i="26"/>
  <c r="Z67" i="26"/>
  <c r="X67" i="26"/>
  <c r="W67" i="26"/>
  <c r="U67" i="26"/>
  <c r="T67" i="26"/>
  <c r="S67" i="26"/>
  <c r="R67" i="26"/>
  <c r="Q67" i="26"/>
  <c r="P67" i="26"/>
  <c r="O67" i="26"/>
  <c r="G67" i="26"/>
  <c r="F67" i="26"/>
  <c r="AI66" i="26"/>
  <c r="Z66" i="26"/>
  <c r="X66" i="26"/>
  <c r="W66" i="26"/>
  <c r="U66" i="26"/>
  <c r="T66" i="26"/>
  <c r="S66" i="26"/>
  <c r="R66" i="26"/>
  <c r="Q66" i="26"/>
  <c r="P66" i="26"/>
  <c r="O66" i="26"/>
  <c r="G66" i="26"/>
  <c r="M66" i="26" s="1"/>
  <c r="F66" i="26"/>
  <c r="AI65" i="26"/>
  <c r="F65" i="26"/>
  <c r="AI64" i="26"/>
  <c r="F64" i="26"/>
  <c r="AI63" i="26"/>
  <c r="F63" i="26"/>
  <c r="AI62" i="26"/>
  <c r="F62" i="26"/>
  <c r="AI61" i="26"/>
  <c r="F61" i="26"/>
  <c r="AI60" i="26"/>
  <c r="F60" i="26"/>
  <c r="AI59" i="26"/>
  <c r="F59" i="26"/>
  <c r="AI58" i="26"/>
  <c r="F58" i="26"/>
  <c r="AI57" i="26"/>
  <c r="F57" i="26"/>
  <c r="AI56" i="26"/>
  <c r="F56" i="26"/>
  <c r="AI55" i="26"/>
  <c r="F55" i="26"/>
  <c r="AI54" i="26"/>
  <c r="F54" i="26"/>
  <c r="AI53" i="26"/>
  <c r="F53" i="26"/>
  <c r="AI52" i="26"/>
  <c r="F52" i="26"/>
  <c r="AI51" i="26"/>
  <c r="F51" i="26"/>
  <c r="AI50" i="26"/>
  <c r="F50" i="26"/>
  <c r="AI49" i="26"/>
  <c r="F49" i="26"/>
  <c r="AI48" i="26"/>
  <c r="F48" i="26"/>
  <c r="AI47" i="26"/>
  <c r="F47" i="26"/>
  <c r="AI46" i="26"/>
  <c r="G46" i="26"/>
  <c r="Q46" i="26" s="1"/>
  <c r="F46" i="26"/>
  <c r="U46" i="26" s="1"/>
  <c r="AI45" i="26"/>
  <c r="F45" i="26"/>
  <c r="AI44" i="26"/>
  <c r="F44" i="26"/>
  <c r="AI43" i="26"/>
  <c r="F43" i="26"/>
  <c r="AI42" i="26"/>
  <c r="F42" i="26"/>
  <c r="AI41" i="26"/>
  <c r="F41" i="26"/>
  <c r="AI40" i="26"/>
  <c r="F40" i="26"/>
  <c r="AI39" i="26"/>
  <c r="F39" i="26"/>
  <c r="AI38" i="26"/>
  <c r="F38" i="26"/>
  <c r="AI37" i="26"/>
  <c r="F37" i="26"/>
  <c r="AI36" i="26"/>
  <c r="F36" i="26"/>
  <c r="AI35" i="26"/>
  <c r="F35" i="26"/>
  <c r="AI34" i="26"/>
  <c r="F34" i="26"/>
  <c r="AI33" i="26"/>
  <c r="F33" i="26"/>
  <c r="AI32" i="26"/>
  <c r="F32" i="26"/>
  <c r="AI31" i="26"/>
  <c r="F31" i="26"/>
  <c r="AI30" i="26"/>
  <c r="F30" i="26"/>
  <c r="AI29" i="26"/>
  <c r="F29" i="26"/>
  <c r="AI28" i="26"/>
  <c r="F28" i="26"/>
  <c r="AI27" i="26"/>
  <c r="F27" i="26"/>
  <c r="AI26" i="26"/>
  <c r="X26" i="26"/>
  <c r="G26" i="26"/>
  <c r="M26" i="26" s="1"/>
  <c r="F26" i="26"/>
  <c r="U26" i="26" s="1"/>
  <c r="AI25" i="26"/>
  <c r="F25" i="26"/>
  <c r="AI24" i="26"/>
  <c r="F24" i="26"/>
  <c r="AI23" i="26"/>
  <c r="F23" i="26"/>
  <c r="AI22" i="26"/>
  <c r="F22" i="26"/>
  <c r="AI21" i="26"/>
  <c r="F21" i="26"/>
  <c r="AI20" i="26"/>
  <c r="F20" i="26"/>
  <c r="AI19" i="26"/>
  <c r="F19" i="26"/>
  <c r="AI18" i="26"/>
  <c r="F18" i="26"/>
  <c r="AI17" i="26"/>
  <c r="F17" i="26"/>
  <c r="AI16" i="26"/>
  <c r="F16" i="26"/>
  <c r="AI15" i="26"/>
  <c r="F15" i="26"/>
  <c r="AI14" i="26"/>
  <c r="F14" i="26"/>
  <c r="AI13" i="26"/>
  <c r="F13" i="26"/>
  <c r="AI12" i="26"/>
  <c r="F12" i="26"/>
  <c r="AI11" i="26"/>
  <c r="F11" i="26"/>
  <c r="AI10" i="26"/>
  <c r="F10" i="26"/>
  <c r="AI9" i="26"/>
  <c r="F9" i="26"/>
  <c r="AI8" i="26"/>
  <c r="F8" i="26"/>
  <c r="AI7" i="26"/>
  <c r="AH7" i="26"/>
  <c r="F7" i="26"/>
  <c r="AI6" i="26"/>
  <c r="U6" i="26"/>
  <c r="Q6" i="26"/>
  <c r="P6" i="26"/>
  <c r="G6" i="26"/>
  <c r="M6" i="26" s="1"/>
  <c r="X6" i="26" s="1"/>
  <c r="F6" i="26"/>
  <c r="N5" i="26"/>
  <c r="F5" i="26"/>
  <c r="N4" i="26"/>
  <c r="K4" i="26"/>
  <c r="K5" i="26" s="1"/>
  <c r="K6" i="26" s="1"/>
  <c r="K7" i="26" s="1"/>
  <c r="K8" i="26" s="1"/>
  <c r="K9" i="26" s="1"/>
  <c r="K10" i="26" s="1"/>
  <c r="K11" i="26" s="1"/>
  <c r="K12" i="26" s="1"/>
  <c r="K13" i="26" s="1"/>
  <c r="K14" i="26" s="1"/>
  <c r="K15" i="26" s="1"/>
  <c r="K16" i="26" s="1"/>
  <c r="K17" i="26" s="1"/>
  <c r="K18" i="26" s="1"/>
  <c r="K19" i="26" s="1"/>
  <c r="K20" i="26" s="1"/>
  <c r="K21" i="26" s="1"/>
  <c r="K22" i="26" s="1"/>
  <c r="K23" i="26" s="1"/>
  <c r="K24" i="26" s="1"/>
  <c r="K25" i="26" s="1"/>
  <c r="K26" i="26" s="1"/>
  <c r="K27" i="26" s="1"/>
  <c r="K28" i="26" s="1"/>
  <c r="K29" i="26" s="1"/>
  <c r="K30" i="26" s="1"/>
  <c r="K31" i="26" s="1"/>
  <c r="K32" i="26" s="1"/>
  <c r="K33" i="26" s="1"/>
  <c r="K34" i="26" s="1"/>
  <c r="K35" i="26" s="1"/>
  <c r="K36" i="26" s="1"/>
  <c r="K37" i="26" s="1"/>
  <c r="K38" i="26" s="1"/>
  <c r="K39" i="26" s="1"/>
  <c r="K40" i="26" s="1"/>
  <c r="K41" i="26" s="1"/>
  <c r="K42" i="26" s="1"/>
  <c r="K43" i="26" s="1"/>
  <c r="K44" i="26" s="1"/>
  <c r="K45" i="26" s="1"/>
  <c r="K46" i="26" s="1"/>
  <c r="K47" i="26" s="1"/>
  <c r="K48" i="26" s="1"/>
  <c r="K49" i="26" s="1"/>
  <c r="K50" i="26" s="1"/>
  <c r="K51" i="26" s="1"/>
  <c r="K52" i="26" s="1"/>
  <c r="K53" i="26" s="1"/>
  <c r="K54" i="26" s="1"/>
  <c r="K55" i="26" s="1"/>
  <c r="K56" i="26" s="1"/>
  <c r="K57" i="26" s="1"/>
  <c r="K58" i="26" s="1"/>
  <c r="K59" i="26" s="1"/>
  <c r="K60" i="26" s="1"/>
  <c r="K61" i="26" s="1"/>
  <c r="K62" i="26" s="1"/>
  <c r="K63" i="26" s="1"/>
  <c r="K64" i="26" s="1"/>
  <c r="K65" i="26" s="1"/>
  <c r="K66" i="26" s="1"/>
  <c r="K67" i="26" s="1"/>
  <c r="K68" i="26" s="1"/>
  <c r="K69" i="26" s="1"/>
  <c r="K70" i="26" s="1"/>
  <c r="K71" i="26" s="1"/>
  <c r="K72" i="26" s="1"/>
  <c r="K73" i="26" s="1"/>
  <c r="K74" i="26" s="1"/>
  <c r="K75" i="26" s="1"/>
  <c r="K76" i="26" s="1"/>
  <c r="K77" i="26" s="1"/>
  <c r="K78" i="26" s="1"/>
  <c r="K79" i="26" s="1"/>
  <c r="K80" i="26" s="1"/>
  <c r="K81" i="26" s="1"/>
  <c r="K82" i="26" s="1"/>
  <c r="K83" i="26" s="1"/>
  <c r="K84" i="26" s="1"/>
  <c r="K85" i="26" s="1"/>
  <c r="K86" i="26" s="1"/>
  <c r="K87" i="26" s="1"/>
  <c r="K88" i="26" s="1"/>
  <c r="K89" i="26" s="1"/>
  <c r="K90" i="26" s="1"/>
  <c r="K91" i="26" s="1"/>
  <c r="K92" i="26" s="1"/>
  <c r="K93" i="26" s="1"/>
  <c r="K94" i="26" s="1"/>
  <c r="K95" i="26" s="1"/>
  <c r="K96" i="26" s="1"/>
  <c r="K97" i="26" s="1"/>
  <c r="K98" i="26" s="1"/>
  <c r="K99" i="26" s="1"/>
  <c r="K100" i="26" s="1"/>
  <c r="K101" i="26" s="1"/>
  <c r="K102" i="26" s="1"/>
  <c r="J4" i="26"/>
  <c r="H4" i="26"/>
  <c r="H5" i="26" s="1"/>
  <c r="F4" i="26"/>
  <c r="T3" i="26"/>
  <c r="P3" i="26"/>
  <c r="N3" i="26"/>
  <c r="G3" i="26"/>
  <c r="G4" i="26" s="1"/>
  <c r="F3" i="26"/>
  <c r="U3" i="26" s="1"/>
  <c r="C3" i="26"/>
  <c r="R3" i="26" s="1"/>
  <c r="O2" i="26"/>
  <c r="AI102" i="25"/>
  <c r="AA102" i="25"/>
  <c r="Z102" i="25"/>
  <c r="X102" i="25"/>
  <c r="W102" i="25"/>
  <c r="U102" i="25"/>
  <c r="T102" i="25"/>
  <c r="S102" i="25"/>
  <c r="R102" i="25"/>
  <c r="Q102" i="25"/>
  <c r="P102" i="25"/>
  <c r="O102" i="25"/>
  <c r="G102" i="25"/>
  <c r="M102" i="25" s="1"/>
  <c r="F102" i="25"/>
  <c r="AI101" i="25"/>
  <c r="AA101" i="25"/>
  <c r="Z101" i="25"/>
  <c r="X101" i="25"/>
  <c r="W101" i="25"/>
  <c r="U101" i="25"/>
  <c r="T101" i="25"/>
  <c r="S101" i="25"/>
  <c r="R101" i="25"/>
  <c r="Q101" i="25"/>
  <c r="P101" i="25"/>
  <c r="O101" i="25"/>
  <c r="G101" i="25"/>
  <c r="M101" i="25" s="1"/>
  <c r="F101" i="25"/>
  <c r="AI100" i="25"/>
  <c r="AA100" i="25"/>
  <c r="Z100" i="25"/>
  <c r="X100" i="25"/>
  <c r="W100" i="25"/>
  <c r="U100" i="25"/>
  <c r="T100" i="25"/>
  <c r="S100" i="25"/>
  <c r="R100" i="25"/>
  <c r="Q100" i="25"/>
  <c r="P100" i="25"/>
  <c r="O100" i="25"/>
  <c r="G100" i="25"/>
  <c r="M100" i="25" s="1"/>
  <c r="F100" i="25"/>
  <c r="AI99" i="25"/>
  <c r="AA99" i="25"/>
  <c r="Z99" i="25"/>
  <c r="X99" i="25"/>
  <c r="W99" i="25"/>
  <c r="U99" i="25"/>
  <c r="T99" i="25"/>
  <c r="S99" i="25"/>
  <c r="R99" i="25"/>
  <c r="Q99" i="25"/>
  <c r="P99" i="25"/>
  <c r="O99" i="25"/>
  <c r="G99" i="25"/>
  <c r="F99" i="25"/>
  <c r="AI98" i="25"/>
  <c r="AA98" i="25"/>
  <c r="Z98" i="25"/>
  <c r="X98" i="25"/>
  <c r="W98" i="25"/>
  <c r="U98" i="25"/>
  <c r="T98" i="25"/>
  <c r="S98" i="25"/>
  <c r="R98" i="25"/>
  <c r="Q98" i="25"/>
  <c r="P98" i="25"/>
  <c r="O98" i="25"/>
  <c r="G98" i="25"/>
  <c r="M98" i="25" s="1"/>
  <c r="F98" i="25"/>
  <c r="AI97" i="25"/>
  <c r="AA97" i="25"/>
  <c r="Z97" i="25"/>
  <c r="X97" i="25"/>
  <c r="W97" i="25"/>
  <c r="U97" i="25"/>
  <c r="T97" i="25"/>
  <c r="S97" i="25"/>
  <c r="R97" i="25"/>
  <c r="Q97" i="25"/>
  <c r="P97" i="25"/>
  <c r="O97" i="25"/>
  <c r="G97" i="25"/>
  <c r="M97" i="25" s="1"/>
  <c r="F97" i="25"/>
  <c r="AI96" i="25"/>
  <c r="AA96" i="25"/>
  <c r="Z96" i="25"/>
  <c r="X96" i="25"/>
  <c r="W96" i="25"/>
  <c r="U96" i="25"/>
  <c r="T96" i="25"/>
  <c r="S96" i="25"/>
  <c r="R96" i="25"/>
  <c r="Q96" i="25"/>
  <c r="P96" i="25"/>
  <c r="O96" i="25"/>
  <c r="G96" i="25"/>
  <c r="M96" i="25" s="1"/>
  <c r="F96" i="25"/>
  <c r="AI95" i="25"/>
  <c r="AA95" i="25"/>
  <c r="Z95" i="25"/>
  <c r="X95" i="25"/>
  <c r="W95" i="25"/>
  <c r="U95" i="25"/>
  <c r="T95" i="25"/>
  <c r="S95" i="25"/>
  <c r="R95" i="25"/>
  <c r="Q95" i="25"/>
  <c r="P95" i="25"/>
  <c r="O95" i="25"/>
  <c r="G95" i="25"/>
  <c r="M95" i="25" s="1"/>
  <c r="F95" i="25"/>
  <c r="AI94" i="25"/>
  <c r="AA94" i="25"/>
  <c r="Z94" i="25"/>
  <c r="X94" i="25"/>
  <c r="W94" i="25"/>
  <c r="U94" i="25"/>
  <c r="T94" i="25"/>
  <c r="S94" i="25"/>
  <c r="R94" i="25"/>
  <c r="Q94" i="25"/>
  <c r="P94" i="25"/>
  <c r="O94" i="25"/>
  <c r="G94" i="25"/>
  <c r="M94" i="25" s="1"/>
  <c r="F94" i="25"/>
  <c r="AI93" i="25"/>
  <c r="AA93" i="25"/>
  <c r="Z93" i="25"/>
  <c r="X93" i="25"/>
  <c r="W93" i="25"/>
  <c r="U93" i="25"/>
  <c r="T93" i="25"/>
  <c r="S93" i="25"/>
  <c r="R93" i="25"/>
  <c r="Q93" i="25"/>
  <c r="P93" i="25"/>
  <c r="O93" i="25"/>
  <c r="G93" i="25"/>
  <c r="M93" i="25" s="1"/>
  <c r="F93" i="25"/>
  <c r="AI92" i="25"/>
  <c r="AA92" i="25"/>
  <c r="Z92" i="25"/>
  <c r="X92" i="25"/>
  <c r="W92" i="25"/>
  <c r="U92" i="25"/>
  <c r="T92" i="25"/>
  <c r="S92" i="25"/>
  <c r="R92" i="25"/>
  <c r="Q92" i="25"/>
  <c r="P92" i="25"/>
  <c r="O92" i="25"/>
  <c r="G92" i="25"/>
  <c r="M92" i="25" s="1"/>
  <c r="F92" i="25"/>
  <c r="AI91" i="25"/>
  <c r="AA91" i="25"/>
  <c r="Z91" i="25"/>
  <c r="X91" i="25"/>
  <c r="W91" i="25"/>
  <c r="U91" i="25"/>
  <c r="T91" i="25"/>
  <c r="S91" i="25"/>
  <c r="R91" i="25"/>
  <c r="Q91" i="25"/>
  <c r="P91" i="25"/>
  <c r="O91" i="25"/>
  <c r="G91" i="25"/>
  <c r="M91" i="25" s="1"/>
  <c r="F91" i="25"/>
  <c r="AI90" i="25"/>
  <c r="AA90" i="25"/>
  <c r="Z90" i="25"/>
  <c r="X90" i="25"/>
  <c r="W90" i="25"/>
  <c r="U90" i="25"/>
  <c r="T90" i="25"/>
  <c r="S90" i="25"/>
  <c r="R90" i="25"/>
  <c r="Q90" i="25"/>
  <c r="P90" i="25"/>
  <c r="O90" i="25"/>
  <c r="G90" i="25"/>
  <c r="M90" i="25" s="1"/>
  <c r="F90" i="25"/>
  <c r="AI89" i="25"/>
  <c r="AA89" i="25"/>
  <c r="Z89" i="25"/>
  <c r="X89" i="25"/>
  <c r="W89" i="25"/>
  <c r="U89" i="25"/>
  <c r="T89" i="25"/>
  <c r="S89" i="25"/>
  <c r="R89" i="25"/>
  <c r="Q89" i="25"/>
  <c r="P89" i="25"/>
  <c r="O89" i="25"/>
  <c r="G89" i="25"/>
  <c r="M89" i="25" s="1"/>
  <c r="F89" i="25"/>
  <c r="AI88" i="25"/>
  <c r="AA88" i="25"/>
  <c r="Z88" i="25"/>
  <c r="X88" i="25"/>
  <c r="W88" i="25"/>
  <c r="U88" i="25"/>
  <c r="T88" i="25"/>
  <c r="S88" i="25"/>
  <c r="R88" i="25"/>
  <c r="Q88" i="25"/>
  <c r="P88" i="25"/>
  <c r="O88" i="25"/>
  <c r="G88" i="25"/>
  <c r="M88" i="25" s="1"/>
  <c r="F88" i="25"/>
  <c r="AI87" i="25"/>
  <c r="AA87" i="25"/>
  <c r="Z87" i="25"/>
  <c r="X87" i="25"/>
  <c r="W87" i="25"/>
  <c r="U87" i="25"/>
  <c r="T87" i="25"/>
  <c r="S87" i="25"/>
  <c r="R87" i="25"/>
  <c r="Q87" i="25"/>
  <c r="P87" i="25"/>
  <c r="O87" i="25"/>
  <c r="G87" i="25"/>
  <c r="F87" i="25"/>
  <c r="AI86" i="25"/>
  <c r="AA86" i="25"/>
  <c r="Z86" i="25"/>
  <c r="X86" i="25"/>
  <c r="W86" i="25"/>
  <c r="U86" i="25"/>
  <c r="T86" i="25"/>
  <c r="S86" i="25"/>
  <c r="R86" i="25"/>
  <c r="Q86" i="25"/>
  <c r="P86" i="25"/>
  <c r="O86" i="25"/>
  <c r="G86" i="25"/>
  <c r="M86" i="25" s="1"/>
  <c r="F86" i="25"/>
  <c r="AI85" i="25"/>
  <c r="AA85" i="25"/>
  <c r="Z85" i="25"/>
  <c r="X85" i="25"/>
  <c r="W85" i="25"/>
  <c r="U85" i="25"/>
  <c r="T85" i="25"/>
  <c r="S85" i="25"/>
  <c r="R85" i="25"/>
  <c r="Q85" i="25"/>
  <c r="P85" i="25"/>
  <c r="O85" i="25"/>
  <c r="G85" i="25"/>
  <c r="M85" i="25" s="1"/>
  <c r="F85" i="25"/>
  <c r="AI84" i="25"/>
  <c r="AA84" i="25"/>
  <c r="Z84" i="25"/>
  <c r="X84" i="25"/>
  <c r="W84" i="25"/>
  <c r="U84" i="25"/>
  <c r="T84" i="25"/>
  <c r="S84" i="25"/>
  <c r="R84" i="25"/>
  <c r="Q84" i="25"/>
  <c r="P84" i="25"/>
  <c r="O84" i="25"/>
  <c r="G84" i="25"/>
  <c r="M84" i="25" s="1"/>
  <c r="F84" i="25"/>
  <c r="AI83" i="25"/>
  <c r="AA83" i="25"/>
  <c r="Z83" i="25"/>
  <c r="X83" i="25"/>
  <c r="W83" i="25"/>
  <c r="U83" i="25"/>
  <c r="T83" i="25"/>
  <c r="S83" i="25"/>
  <c r="R83" i="25"/>
  <c r="Q83" i="25"/>
  <c r="P83" i="25"/>
  <c r="O83" i="25"/>
  <c r="G83" i="25"/>
  <c r="M83" i="25" s="1"/>
  <c r="F83" i="25"/>
  <c r="AI82" i="25"/>
  <c r="AA82" i="25"/>
  <c r="Z82" i="25"/>
  <c r="X82" i="25"/>
  <c r="W82" i="25"/>
  <c r="U82" i="25"/>
  <c r="T82" i="25"/>
  <c r="S82" i="25"/>
  <c r="R82" i="25"/>
  <c r="Q82" i="25"/>
  <c r="P82" i="25"/>
  <c r="O82" i="25"/>
  <c r="G82" i="25"/>
  <c r="M82" i="25" s="1"/>
  <c r="F82" i="25"/>
  <c r="AI81" i="25"/>
  <c r="AA81" i="25"/>
  <c r="Z81" i="25"/>
  <c r="X81" i="25"/>
  <c r="W81" i="25"/>
  <c r="U81" i="25"/>
  <c r="T81" i="25"/>
  <c r="S81" i="25"/>
  <c r="R81" i="25"/>
  <c r="Q81" i="25"/>
  <c r="P81" i="25"/>
  <c r="O81" i="25"/>
  <c r="G81" i="25"/>
  <c r="M81" i="25" s="1"/>
  <c r="F81" i="25"/>
  <c r="AI80" i="25"/>
  <c r="AA80" i="25"/>
  <c r="Z80" i="25"/>
  <c r="X80" i="25"/>
  <c r="W80" i="25"/>
  <c r="U80" i="25"/>
  <c r="T80" i="25"/>
  <c r="S80" i="25"/>
  <c r="R80" i="25"/>
  <c r="Q80" i="25"/>
  <c r="P80" i="25"/>
  <c r="O80" i="25"/>
  <c r="G80" i="25"/>
  <c r="M80" i="25" s="1"/>
  <c r="F80" i="25"/>
  <c r="AI79" i="25"/>
  <c r="AA79" i="25"/>
  <c r="Z79" i="25"/>
  <c r="X79" i="25"/>
  <c r="W79" i="25"/>
  <c r="U79" i="25"/>
  <c r="T79" i="25"/>
  <c r="S79" i="25"/>
  <c r="R79" i="25"/>
  <c r="Q79" i="25"/>
  <c r="P79" i="25"/>
  <c r="O79" i="25"/>
  <c r="G79" i="25"/>
  <c r="M79" i="25" s="1"/>
  <c r="F79" i="25"/>
  <c r="AI78" i="25"/>
  <c r="AA78" i="25"/>
  <c r="Z78" i="25"/>
  <c r="X78" i="25"/>
  <c r="W78" i="25"/>
  <c r="U78" i="25"/>
  <c r="T78" i="25"/>
  <c r="S78" i="25"/>
  <c r="R78" i="25"/>
  <c r="Q78" i="25"/>
  <c r="P78" i="25"/>
  <c r="O78" i="25"/>
  <c r="G78" i="25"/>
  <c r="F78" i="25"/>
  <c r="AI77" i="25"/>
  <c r="AA77" i="25"/>
  <c r="Z77" i="25"/>
  <c r="X77" i="25"/>
  <c r="W77" i="25"/>
  <c r="U77" i="25"/>
  <c r="T77" i="25"/>
  <c r="S77" i="25"/>
  <c r="R77" i="25"/>
  <c r="Q77" i="25"/>
  <c r="P77" i="25"/>
  <c r="O77" i="25"/>
  <c r="G77" i="25"/>
  <c r="F77" i="25"/>
  <c r="AI76" i="25"/>
  <c r="AA76" i="25"/>
  <c r="Z76" i="25"/>
  <c r="X76" i="25"/>
  <c r="W76" i="25"/>
  <c r="U76" i="25"/>
  <c r="T76" i="25"/>
  <c r="S76" i="25"/>
  <c r="R76" i="25"/>
  <c r="Q76" i="25"/>
  <c r="P76" i="25"/>
  <c r="O76" i="25"/>
  <c r="G76" i="25"/>
  <c r="F76" i="25"/>
  <c r="AI75" i="25"/>
  <c r="AA75" i="25"/>
  <c r="Z75" i="25"/>
  <c r="X75" i="25"/>
  <c r="W75" i="25"/>
  <c r="U75" i="25"/>
  <c r="T75" i="25"/>
  <c r="S75" i="25"/>
  <c r="R75" i="25"/>
  <c r="Q75" i="25"/>
  <c r="P75" i="25"/>
  <c r="O75" i="25"/>
  <c r="G75" i="25"/>
  <c r="F75" i="25"/>
  <c r="AI74" i="25"/>
  <c r="AA74" i="25"/>
  <c r="Z74" i="25"/>
  <c r="X74" i="25"/>
  <c r="W74" i="25"/>
  <c r="U74" i="25"/>
  <c r="T74" i="25"/>
  <c r="S74" i="25"/>
  <c r="R74" i="25"/>
  <c r="Q74" i="25"/>
  <c r="P74" i="25"/>
  <c r="O74" i="25"/>
  <c r="G74" i="25"/>
  <c r="M74" i="25" s="1"/>
  <c r="F74" i="25"/>
  <c r="AI73" i="25"/>
  <c r="AA73" i="25"/>
  <c r="Z73" i="25"/>
  <c r="X73" i="25"/>
  <c r="W73" i="25"/>
  <c r="U73" i="25"/>
  <c r="T73" i="25"/>
  <c r="S73" i="25"/>
  <c r="R73" i="25"/>
  <c r="Q73" i="25"/>
  <c r="P73" i="25"/>
  <c r="O73" i="25"/>
  <c r="G73" i="25"/>
  <c r="M73" i="25" s="1"/>
  <c r="F73" i="25"/>
  <c r="AI72" i="25"/>
  <c r="AA72" i="25"/>
  <c r="Z72" i="25"/>
  <c r="X72" i="25"/>
  <c r="W72" i="25"/>
  <c r="U72" i="25"/>
  <c r="T72" i="25"/>
  <c r="S72" i="25"/>
  <c r="R72" i="25"/>
  <c r="Q72" i="25"/>
  <c r="P72" i="25"/>
  <c r="O72" i="25"/>
  <c r="G72" i="25"/>
  <c r="M72" i="25" s="1"/>
  <c r="F72" i="25"/>
  <c r="AI71" i="25"/>
  <c r="AA71" i="25"/>
  <c r="Z71" i="25"/>
  <c r="X71" i="25"/>
  <c r="W71" i="25"/>
  <c r="U71" i="25"/>
  <c r="T71" i="25"/>
  <c r="S71" i="25"/>
  <c r="R71" i="25"/>
  <c r="Q71" i="25"/>
  <c r="P71" i="25"/>
  <c r="O71" i="25"/>
  <c r="G71" i="25"/>
  <c r="M71" i="25" s="1"/>
  <c r="F71" i="25"/>
  <c r="AI70" i="25"/>
  <c r="AA70" i="25"/>
  <c r="Z70" i="25"/>
  <c r="X70" i="25"/>
  <c r="W70" i="25"/>
  <c r="U70" i="25"/>
  <c r="T70" i="25"/>
  <c r="S70" i="25"/>
  <c r="R70" i="25"/>
  <c r="Q70" i="25"/>
  <c r="P70" i="25"/>
  <c r="O70" i="25"/>
  <c r="G70" i="25"/>
  <c r="F70" i="25"/>
  <c r="AI69" i="25"/>
  <c r="AA69" i="25"/>
  <c r="Z69" i="25"/>
  <c r="X69" i="25"/>
  <c r="W69" i="25"/>
  <c r="U69" i="25"/>
  <c r="T69" i="25"/>
  <c r="S69" i="25"/>
  <c r="R69" i="25"/>
  <c r="Q69" i="25"/>
  <c r="P69" i="25"/>
  <c r="O69" i="25"/>
  <c r="G69" i="25"/>
  <c r="M69" i="25" s="1"/>
  <c r="F69" i="25"/>
  <c r="AI68" i="25"/>
  <c r="AA68" i="25"/>
  <c r="Z68" i="25"/>
  <c r="X68" i="25"/>
  <c r="W68" i="25"/>
  <c r="U68" i="25"/>
  <c r="T68" i="25"/>
  <c r="S68" i="25"/>
  <c r="R68" i="25"/>
  <c r="Q68" i="25"/>
  <c r="P68" i="25"/>
  <c r="O68" i="25"/>
  <c r="G68" i="25"/>
  <c r="F68" i="25"/>
  <c r="AI67" i="25"/>
  <c r="AA67" i="25"/>
  <c r="Z67" i="25"/>
  <c r="X67" i="25"/>
  <c r="W67" i="25"/>
  <c r="U67" i="25"/>
  <c r="T67" i="25"/>
  <c r="S67" i="25"/>
  <c r="R67" i="25"/>
  <c r="Q67" i="25"/>
  <c r="P67" i="25"/>
  <c r="O67" i="25"/>
  <c r="G67" i="25"/>
  <c r="F67" i="25"/>
  <c r="AI66" i="25"/>
  <c r="Z66" i="25"/>
  <c r="X66" i="25"/>
  <c r="W66" i="25"/>
  <c r="U66" i="25"/>
  <c r="T66" i="25"/>
  <c r="S66" i="25"/>
  <c r="R66" i="25"/>
  <c r="Q66" i="25"/>
  <c r="P66" i="25"/>
  <c r="O66" i="25"/>
  <c r="G66" i="25"/>
  <c r="M66" i="25" s="1"/>
  <c r="F66" i="25"/>
  <c r="AI65" i="25"/>
  <c r="F65" i="25"/>
  <c r="AI64" i="25"/>
  <c r="F64" i="25"/>
  <c r="AI63" i="25"/>
  <c r="F63" i="25"/>
  <c r="AI62" i="25"/>
  <c r="F62" i="25"/>
  <c r="AI61" i="25"/>
  <c r="F61" i="25"/>
  <c r="AI60" i="25"/>
  <c r="F60" i="25"/>
  <c r="AI59" i="25"/>
  <c r="F59" i="25"/>
  <c r="AI58" i="25"/>
  <c r="F58" i="25"/>
  <c r="AI57" i="25"/>
  <c r="F57" i="25"/>
  <c r="AI56" i="25"/>
  <c r="F56" i="25"/>
  <c r="AI55" i="25"/>
  <c r="F55" i="25"/>
  <c r="AI54" i="25"/>
  <c r="F54" i="25"/>
  <c r="AI53" i="25"/>
  <c r="F53" i="25"/>
  <c r="AI52" i="25"/>
  <c r="F52" i="25"/>
  <c r="AI51" i="25"/>
  <c r="F51" i="25"/>
  <c r="AI50" i="25"/>
  <c r="F50" i="25"/>
  <c r="AI49" i="25"/>
  <c r="F49" i="25"/>
  <c r="AI48" i="25"/>
  <c r="F48" i="25"/>
  <c r="AI47" i="25"/>
  <c r="G47" i="25"/>
  <c r="M47" i="25" s="1"/>
  <c r="X47" i="25" s="1"/>
  <c r="F47" i="25"/>
  <c r="U47" i="25" s="1"/>
  <c r="AI46" i="25"/>
  <c r="Q46" i="25"/>
  <c r="P46" i="25"/>
  <c r="G46" i="25"/>
  <c r="M46" i="25" s="1"/>
  <c r="X46" i="25" s="1"/>
  <c r="F46" i="25"/>
  <c r="U46" i="25" s="1"/>
  <c r="AI45" i="25"/>
  <c r="F45" i="25"/>
  <c r="AI44" i="25"/>
  <c r="F44" i="25"/>
  <c r="AI43" i="25"/>
  <c r="F43" i="25"/>
  <c r="AI42" i="25"/>
  <c r="F42" i="25"/>
  <c r="AI41" i="25"/>
  <c r="F41" i="25"/>
  <c r="AI40" i="25"/>
  <c r="F40" i="25"/>
  <c r="AI39" i="25"/>
  <c r="F39" i="25"/>
  <c r="AI38" i="25"/>
  <c r="F38" i="25"/>
  <c r="AI37" i="25"/>
  <c r="F37" i="25"/>
  <c r="AI36" i="25"/>
  <c r="F36" i="25"/>
  <c r="AI35" i="25"/>
  <c r="F35" i="25"/>
  <c r="AI34" i="25"/>
  <c r="F34" i="25"/>
  <c r="AI33" i="25"/>
  <c r="F33" i="25"/>
  <c r="AI32" i="25"/>
  <c r="F32" i="25"/>
  <c r="AI31" i="25"/>
  <c r="F31" i="25"/>
  <c r="AI30" i="25"/>
  <c r="F30" i="25"/>
  <c r="AI29" i="25"/>
  <c r="F29" i="25"/>
  <c r="AI28" i="25"/>
  <c r="F28" i="25"/>
  <c r="AI27" i="25"/>
  <c r="F27" i="25"/>
  <c r="AI26" i="25"/>
  <c r="P26" i="25"/>
  <c r="G26" i="25"/>
  <c r="M26" i="25" s="1"/>
  <c r="X26" i="25" s="1"/>
  <c r="F26" i="25"/>
  <c r="U26" i="25" s="1"/>
  <c r="AI25" i="25"/>
  <c r="F25" i="25"/>
  <c r="AI24" i="25"/>
  <c r="F24" i="25"/>
  <c r="AI23" i="25"/>
  <c r="F23" i="25"/>
  <c r="AI22" i="25"/>
  <c r="F22" i="25"/>
  <c r="AI21" i="25"/>
  <c r="F21" i="25"/>
  <c r="AI20" i="25"/>
  <c r="F20" i="25"/>
  <c r="AI19" i="25"/>
  <c r="F19" i="25"/>
  <c r="AI18" i="25"/>
  <c r="F18" i="25"/>
  <c r="AI17" i="25"/>
  <c r="F17" i="25"/>
  <c r="AI16" i="25"/>
  <c r="F16" i="25"/>
  <c r="AI15" i="25"/>
  <c r="F15" i="25"/>
  <c r="AI14" i="25"/>
  <c r="F14" i="25"/>
  <c r="AI13" i="25"/>
  <c r="F13" i="25"/>
  <c r="AI12" i="25"/>
  <c r="F12" i="25"/>
  <c r="AI11" i="25"/>
  <c r="F11" i="25"/>
  <c r="AI10" i="25"/>
  <c r="F10" i="25"/>
  <c r="AI9" i="25"/>
  <c r="F9" i="25"/>
  <c r="AI8" i="25"/>
  <c r="F8" i="25"/>
  <c r="AI7" i="25"/>
  <c r="AH7" i="25"/>
  <c r="F7" i="25"/>
  <c r="AI6" i="25"/>
  <c r="Q6" i="25"/>
  <c r="G6" i="25"/>
  <c r="P6" i="25" s="1"/>
  <c r="F6" i="25"/>
  <c r="N5" i="25"/>
  <c r="J5" i="25"/>
  <c r="H5" i="25"/>
  <c r="H6" i="25" s="1"/>
  <c r="H7" i="25" s="1"/>
  <c r="F5" i="25"/>
  <c r="N4" i="25"/>
  <c r="K4" i="25"/>
  <c r="K5" i="25" s="1"/>
  <c r="K6" i="25" s="1"/>
  <c r="K7" i="25" s="1"/>
  <c r="K8" i="25" s="1"/>
  <c r="K9" i="25" s="1"/>
  <c r="K10" i="25" s="1"/>
  <c r="K11" i="25" s="1"/>
  <c r="K12" i="25" s="1"/>
  <c r="K13" i="25" s="1"/>
  <c r="K14" i="25" s="1"/>
  <c r="K15" i="25" s="1"/>
  <c r="K16" i="25" s="1"/>
  <c r="K17" i="25" s="1"/>
  <c r="K18" i="25" s="1"/>
  <c r="K19" i="25" s="1"/>
  <c r="K20" i="25" s="1"/>
  <c r="K21" i="25" s="1"/>
  <c r="K22" i="25" s="1"/>
  <c r="K23" i="25" s="1"/>
  <c r="K24" i="25" s="1"/>
  <c r="K25" i="25" s="1"/>
  <c r="K26" i="25" s="1"/>
  <c r="K27" i="25" s="1"/>
  <c r="K28" i="25" s="1"/>
  <c r="K29" i="25" s="1"/>
  <c r="K30" i="25" s="1"/>
  <c r="K31" i="25" s="1"/>
  <c r="K32" i="25" s="1"/>
  <c r="K33" i="25" s="1"/>
  <c r="K34" i="25" s="1"/>
  <c r="K35" i="25" s="1"/>
  <c r="K36" i="25" s="1"/>
  <c r="K37" i="25" s="1"/>
  <c r="K38" i="25" s="1"/>
  <c r="K39" i="25" s="1"/>
  <c r="K40" i="25" s="1"/>
  <c r="K41" i="25" s="1"/>
  <c r="K42" i="25" s="1"/>
  <c r="K43" i="25" s="1"/>
  <c r="K44" i="25" s="1"/>
  <c r="K45" i="25" s="1"/>
  <c r="K46" i="25" s="1"/>
  <c r="K47" i="25" s="1"/>
  <c r="K48" i="25" s="1"/>
  <c r="K49" i="25" s="1"/>
  <c r="K50" i="25" s="1"/>
  <c r="K51" i="25" s="1"/>
  <c r="K52" i="25" s="1"/>
  <c r="K53" i="25" s="1"/>
  <c r="K54" i="25" s="1"/>
  <c r="K55" i="25" s="1"/>
  <c r="K56" i="25" s="1"/>
  <c r="K57" i="25" s="1"/>
  <c r="K58" i="25" s="1"/>
  <c r="K59" i="25" s="1"/>
  <c r="K60" i="25" s="1"/>
  <c r="K61" i="25" s="1"/>
  <c r="K62" i="25" s="1"/>
  <c r="K63" i="25" s="1"/>
  <c r="K64" i="25" s="1"/>
  <c r="K65" i="25" s="1"/>
  <c r="K66" i="25" s="1"/>
  <c r="K67" i="25" s="1"/>
  <c r="K68" i="25" s="1"/>
  <c r="K69" i="25" s="1"/>
  <c r="K70" i="25" s="1"/>
  <c r="K71" i="25" s="1"/>
  <c r="K72" i="25" s="1"/>
  <c r="K73" i="25" s="1"/>
  <c r="K74" i="25" s="1"/>
  <c r="K75" i="25" s="1"/>
  <c r="K76" i="25" s="1"/>
  <c r="K77" i="25" s="1"/>
  <c r="K78" i="25" s="1"/>
  <c r="K79" i="25" s="1"/>
  <c r="K80" i="25" s="1"/>
  <c r="K81" i="25" s="1"/>
  <c r="K82" i="25" s="1"/>
  <c r="K83" i="25" s="1"/>
  <c r="K84" i="25" s="1"/>
  <c r="K85" i="25" s="1"/>
  <c r="K86" i="25" s="1"/>
  <c r="K87" i="25" s="1"/>
  <c r="K88" i="25" s="1"/>
  <c r="K89" i="25" s="1"/>
  <c r="K90" i="25" s="1"/>
  <c r="K91" i="25" s="1"/>
  <c r="K92" i="25" s="1"/>
  <c r="K93" i="25" s="1"/>
  <c r="K94" i="25" s="1"/>
  <c r="K95" i="25" s="1"/>
  <c r="K96" i="25" s="1"/>
  <c r="K97" i="25" s="1"/>
  <c r="K98" i="25" s="1"/>
  <c r="K99" i="25" s="1"/>
  <c r="K100" i="25" s="1"/>
  <c r="K101" i="25" s="1"/>
  <c r="K102" i="25" s="1"/>
  <c r="J4" i="25"/>
  <c r="H4" i="25"/>
  <c r="G4" i="25"/>
  <c r="T4" i="25" s="1"/>
  <c r="F4" i="25"/>
  <c r="U4" i="25" s="1"/>
  <c r="AA3" i="25"/>
  <c r="U3" i="25"/>
  <c r="T3" i="25"/>
  <c r="Q3" i="25"/>
  <c r="P3" i="25"/>
  <c r="O3" i="25"/>
  <c r="N3" i="25"/>
  <c r="M3" i="25"/>
  <c r="X3" i="25" s="1"/>
  <c r="G3" i="25"/>
  <c r="Z3" i="25" s="1"/>
  <c r="F3" i="25"/>
  <c r="D3" i="25"/>
  <c r="S3" i="25" s="1"/>
  <c r="C3" i="25"/>
  <c r="R3" i="25" s="1"/>
  <c r="O2" i="25"/>
  <c r="AI102" i="24"/>
  <c r="AA102" i="24"/>
  <c r="Z102" i="24"/>
  <c r="X102" i="24"/>
  <c r="W102" i="24"/>
  <c r="U102" i="24"/>
  <c r="T102" i="24"/>
  <c r="S102" i="24"/>
  <c r="R102" i="24"/>
  <c r="Q102" i="24"/>
  <c r="P102" i="24"/>
  <c r="O102" i="24"/>
  <c r="G102" i="24"/>
  <c r="M102" i="24" s="1"/>
  <c r="F102" i="24"/>
  <c r="AI101" i="24"/>
  <c r="AA101" i="24"/>
  <c r="Z101" i="24"/>
  <c r="X101" i="24"/>
  <c r="W101" i="24"/>
  <c r="U101" i="24"/>
  <c r="T101" i="24"/>
  <c r="S101" i="24"/>
  <c r="R101" i="24"/>
  <c r="Q101" i="24"/>
  <c r="P101" i="24"/>
  <c r="O101" i="24"/>
  <c r="G101" i="24"/>
  <c r="M101" i="24" s="1"/>
  <c r="F101" i="24"/>
  <c r="AI100" i="24"/>
  <c r="AA100" i="24"/>
  <c r="Z100" i="24"/>
  <c r="X100" i="24"/>
  <c r="W100" i="24"/>
  <c r="U100" i="24"/>
  <c r="T100" i="24"/>
  <c r="S100" i="24"/>
  <c r="R100" i="24"/>
  <c r="Q100" i="24"/>
  <c r="P100" i="24"/>
  <c r="O100" i="24"/>
  <c r="G100" i="24"/>
  <c r="M100" i="24" s="1"/>
  <c r="F100" i="24"/>
  <c r="AI99" i="24"/>
  <c r="AA99" i="24"/>
  <c r="Z99" i="24"/>
  <c r="X99" i="24"/>
  <c r="W99" i="24"/>
  <c r="U99" i="24"/>
  <c r="T99" i="24"/>
  <c r="S99" i="24"/>
  <c r="R99" i="24"/>
  <c r="Q99" i="24"/>
  <c r="P99" i="24"/>
  <c r="O99" i="24"/>
  <c r="G99" i="24"/>
  <c r="F99" i="24"/>
  <c r="AI98" i="24"/>
  <c r="AA98" i="24"/>
  <c r="Z98" i="24"/>
  <c r="X98" i="24"/>
  <c r="W98" i="24"/>
  <c r="U98" i="24"/>
  <c r="T98" i="24"/>
  <c r="S98" i="24"/>
  <c r="R98" i="24"/>
  <c r="Q98" i="24"/>
  <c r="P98" i="24"/>
  <c r="O98" i="24"/>
  <c r="G98" i="24"/>
  <c r="M98" i="24" s="1"/>
  <c r="F98" i="24"/>
  <c r="AI97" i="24"/>
  <c r="AA97" i="24"/>
  <c r="Z97" i="24"/>
  <c r="X97" i="24"/>
  <c r="W97" i="24"/>
  <c r="U97" i="24"/>
  <c r="T97" i="24"/>
  <c r="S97" i="24"/>
  <c r="R97" i="24"/>
  <c r="Q97" i="24"/>
  <c r="P97" i="24"/>
  <c r="O97" i="24"/>
  <c r="G97" i="24"/>
  <c r="M97" i="24" s="1"/>
  <c r="F97" i="24"/>
  <c r="AI96" i="24"/>
  <c r="AA96" i="24"/>
  <c r="Z96" i="24"/>
  <c r="X96" i="24"/>
  <c r="W96" i="24"/>
  <c r="U96" i="24"/>
  <c r="T96" i="24"/>
  <c r="S96" i="24"/>
  <c r="R96" i="24"/>
  <c r="Q96" i="24"/>
  <c r="P96" i="24"/>
  <c r="O96" i="24"/>
  <c r="G96" i="24"/>
  <c r="M96" i="24" s="1"/>
  <c r="F96" i="24"/>
  <c r="AI95" i="24"/>
  <c r="AA95" i="24"/>
  <c r="Z95" i="24"/>
  <c r="X95" i="24"/>
  <c r="W95" i="24"/>
  <c r="U95" i="24"/>
  <c r="T95" i="24"/>
  <c r="S95" i="24"/>
  <c r="R95" i="24"/>
  <c r="Q95" i="24"/>
  <c r="P95" i="24"/>
  <c r="O95" i="24"/>
  <c r="G95" i="24"/>
  <c r="M95" i="24" s="1"/>
  <c r="F95" i="24"/>
  <c r="AI94" i="24"/>
  <c r="AA94" i="24"/>
  <c r="Z94" i="24"/>
  <c r="X94" i="24"/>
  <c r="W94" i="24"/>
  <c r="U94" i="24"/>
  <c r="T94" i="24"/>
  <c r="S94" i="24"/>
  <c r="R94" i="24"/>
  <c r="Q94" i="24"/>
  <c r="P94" i="24"/>
  <c r="O94" i="24"/>
  <c r="G94" i="24"/>
  <c r="M94" i="24" s="1"/>
  <c r="F94" i="24"/>
  <c r="AI93" i="24"/>
  <c r="AA93" i="24"/>
  <c r="Z93" i="24"/>
  <c r="X93" i="24"/>
  <c r="W93" i="24"/>
  <c r="U93" i="24"/>
  <c r="T93" i="24"/>
  <c r="S93" i="24"/>
  <c r="R93" i="24"/>
  <c r="Q93" i="24"/>
  <c r="P93" i="24"/>
  <c r="O93" i="24"/>
  <c r="G93" i="24"/>
  <c r="M93" i="24" s="1"/>
  <c r="F93" i="24"/>
  <c r="AI92" i="24"/>
  <c r="AA92" i="24"/>
  <c r="Z92" i="24"/>
  <c r="X92" i="24"/>
  <c r="W92" i="24"/>
  <c r="U92" i="24"/>
  <c r="T92" i="24"/>
  <c r="S92" i="24"/>
  <c r="R92" i="24"/>
  <c r="Q92" i="24"/>
  <c r="P92" i="24"/>
  <c r="O92" i="24"/>
  <c r="G92" i="24"/>
  <c r="M92" i="24" s="1"/>
  <c r="F92" i="24"/>
  <c r="AI91" i="24"/>
  <c r="AA91" i="24"/>
  <c r="Z91" i="24"/>
  <c r="X91" i="24"/>
  <c r="W91" i="24"/>
  <c r="U91" i="24"/>
  <c r="T91" i="24"/>
  <c r="S91" i="24"/>
  <c r="R91" i="24"/>
  <c r="Q91" i="24"/>
  <c r="P91" i="24"/>
  <c r="O91" i="24"/>
  <c r="G91" i="24"/>
  <c r="M91" i="24" s="1"/>
  <c r="F91" i="24"/>
  <c r="AI90" i="24"/>
  <c r="AA90" i="24"/>
  <c r="Z90" i="24"/>
  <c r="X90" i="24"/>
  <c r="W90" i="24"/>
  <c r="U90" i="24"/>
  <c r="T90" i="24"/>
  <c r="S90" i="24"/>
  <c r="R90" i="24"/>
  <c r="Q90" i="24"/>
  <c r="P90" i="24"/>
  <c r="O90" i="24"/>
  <c r="G90" i="24"/>
  <c r="F90" i="24"/>
  <c r="AI89" i="24"/>
  <c r="AA89" i="24"/>
  <c r="Z89" i="24"/>
  <c r="X89" i="24"/>
  <c r="W89" i="24"/>
  <c r="U89" i="24"/>
  <c r="T89" i="24"/>
  <c r="S89" i="24"/>
  <c r="R89" i="24"/>
  <c r="Q89" i="24"/>
  <c r="P89" i="24"/>
  <c r="O89" i="24"/>
  <c r="G89" i="24"/>
  <c r="F89" i="24"/>
  <c r="AI88" i="24"/>
  <c r="AA88" i="24"/>
  <c r="Z88" i="24"/>
  <c r="X88" i="24"/>
  <c r="W88" i="24"/>
  <c r="U88" i="24"/>
  <c r="T88" i="24"/>
  <c r="S88" i="24"/>
  <c r="R88" i="24"/>
  <c r="Q88" i="24"/>
  <c r="P88" i="24"/>
  <c r="O88" i="24"/>
  <c r="G88" i="24"/>
  <c r="M88" i="24" s="1"/>
  <c r="F88" i="24"/>
  <c r="AI87" i="24"/>
  <c r="AA87" i="24"/>
  <c r="Z87" i="24"/>
  <c r="X87" i="24"/>
  <c r="W87" i="24"/>
  <c r="U87" i="24"/>
  <c r="T87" i="24"/>
  <c r="S87" i="24"/>
  <c r="R87" i="24"/>
  <c r="Q87" i="24"/>
  <c r="P87" i="24"/>
  <c r="O87" i="24"/>
  <c r="G87" i="24"/>
  <c r="M87" i="24" s="1"/>
  <c r="F87" i="24"/>
  <c r="AI86" i="24"/>
  <c r="AA86" i="24"/>
  <c r="Z86" i="24"/>
  <c r="X86" i="24"/>
  <c r="W86" i="24"/>
  <c r="U86" i="24"/>
  <c r="T86" i="24"/>
  <c r="S86" i="24"/>
  <c r="R86" i="24"/>
  <c r="Q86" i="24"/>
  <c r="P86" i="24"/>
  <c r="O86" i="24"/>
  <c r="G86" i="24"/>
  <c r="M86" i="24" s="1"/>
  <c r="F86" i="24"/>
  <c r="AI85" i="24"/>
  <c r="AA85" i="24"/>
  <c r="Z85" i="24"/>
  <c r="X85" i="24"/>
  <c r="W85" i="24"/>
  <c r="U85" i="24"/>
  <c r="T85" i="24"/>
  <c r="S85" i="24"/>
  <c r="R85" i="24"/>
  <c r="Q85" i="24"/>
  <c r="P85" i="24"/>
  <c r="O85" i="24"/>
  <c r="G85" i="24"/>
  <c r="M85" i="24" s="1"/>
  <c r="F85" i="24"/>
  <c r="AI84" i="24"/>
  <c r="AA84" i="24"/>
  <c r="Z84" i="24"/>
  <c r="X84" i="24"/>
  <c r="W84" i="24"/>
  <c r="U84" i="24"/>
  <c r="T84" i="24"/>
  <c r="S84" i="24"/>
  <c r="R84" i="24"/>
  <c r="Q84" i="24"/>
  <c r="P84" i="24"/>
  <c r="O84" i="24"/>
  <c r="G84" i="24"/>
  <c r="M84" i="24" s="1"/>
  <c r="F84" i="24"/>
  <c r="AI83" i="24"/>
  <c r="AA83" i="24"/>
  <c r="Z83" i="24"/>
  <c r="X83" i="24"/>
  <c r="W83" i="24"/>
  <c r="U83" i="24"/>
  <c r="T83" i="24"/>
  <c r="S83" i="24"/>
  <c r="R83" i="24"/>
  <c r="Q83" i="24"/>
  <c r="P83" i="24"/>
  <c r="O83" i="24"/>
  <c r="G83" i="24"/>
  <c r="M83" i="24" s="1"/>
  <c r="F83" i="24"/>
  <c r="AI82" i="24"/>
  <c r="AA82" i="24"/>
  <c r="Z82" i="24"/>
  <c r="X82" i="24"/>
  <c r="W82" i="24"/>
  <c r="U82" i="24"/>
  <c r="T82" i="24"/>
  <c r="S82" i="24"/>
  <c r="R82" i="24"/>
  <c r="Q82" i="24"/>
  <c r="P82" i="24"/>
  <c r="O82" i="24"/>
  <c r="G82" i="24"/>
  <c r="M82" i="24" s="1"/>
  <c r="F82" i="24"/>
  <c r="AI81" i="24"/>
  <c r="AA81" i="24"/>
  <c r="Z81" i="24"/>
  <c r="X81" i="24"/>
  <c r="W81" i="24"/>
  <c r="U81" i="24"/>
  <c r="T81" i="24"/>
  <c r="S81" i="24"/>
  <c r="R81" i="24"/>
  <c r="Q81" i="24"/>
  <c r="P81" i="24"/>
  <c r="O81" i="24"/>
  <c r="G81" i="24"/>
  <c r="M81" i="24" s="1"/>
  <c r="F81" i="24"/>
  <c r="AI80" i="24"/>
  <c r="AA80" i="24"/>
  <c r="Z80" i="24"/>
  <c r="X80" i="24"/>
  <c r="W80" i="24"/>
  <c r="U80" i="24"/>
  <c r="T80" i="24"/>
  <c r="S80" i="24"/>
  <c r="R80" i="24"/>
  <c r="Q80" i="24"/>
  <c r="P80" i="24"/>
  <c r="O80" i="24"/>
  <c r="G80" i="24"/>
  <c r="M80" i="24" s="1"/>
  <c r="F80" i="24"/>
  <c r="AI79" i="24"/>
  <c r="AA79" i="24"/>
  <c r="Z79" i="24"/>
  <c r="X79" i="24"/>
  <c r="W79" i="24"/>
  <c r="U79" i="24"/>
  <c r="T79" i="24"/>
  <c r="S79" i="24"/>
  <c r="R79" i="24"/>
  <c r="Q79" i="24"/>
  <c r="P79" i="24"/>
  <c r="O79" i="24"/>
  <c r="G79" i="24"/>
  <c r="M79" i="24" s="1"/>
  <c r="F79" i="24"/>
  <c r="AI78" i="24"/>
  <c r="AA78" i="24"/>
  <c r="Z78" i="24"/>
  <c r="X78" i="24"/>
  <c r="W78" i="24"/>
  <c r="U78" i="24"/>
  <c r="T78" i="24"/>
  <c r="S78" i="24"/>
  <c r="R78" i="24"/>
  <c r="Q78" i="24"/>
  <c r="P78" i="24"/>
  <c r="O78" i="24"/>
  <c r="G78" i="24"/>
  <c r="F78" i="24"/>
  <c r="AI77" i="24"/>
  <c r="AA77" i="24"/>
  <c r="Z77" i="24"/>
  <c r="X77" i="24"/>
  <c r="W77" i="24"/>
  <c r="U77" i="24"/>
  <c r="T77" i="24"/>
  <c r="S77" i="24"/>
  <c r="R77" i="24"/>
  <c r="Q77" i="24"/>
  <c r="P77" i="24"/>
  <c r="O77" i="24"/>
  <c r="G77" i="24"/>
  <c r="F77" i="24"/>
  <c r="AI76" i="24"/>
  <c r="AA76" i="24"/>
  <c r="Z76" i="24"/>
  <c r="X76" i="24"/>
  <c r="W76" i="24"/>
  <c r="U76" i="24"/>
  <c r="T76" i="24"/>
  <c r="S76" i="24"/>
  <c r="R76" i="24"/>
  <c r="Q76" i="24"/>
  <c r="P76" i="24"/>
  <c r="O76" i="24"/>
  <c r="G76" i="24"/>
  <c r="M76" i="24" s="1"/>
  <c r="F76" i="24"/>
  <c r="AI75" i="24"/>
  <c r="AA75" i="24"/>
  <c r="Z75" i="24"/>
  <c r="X75" i="24"/>
  <c r="W75" i="24"/>
  <c r="U75" i="24"/>
  <c r="T75" i="24"/>
  <c r="S75" i="24"/>
  <c r="R75" i="24"/>
  <c r="Q75" i="24"/>
  <c r="P75" i="24"/>
  <c r="O75" i="24"/>
  <c r="G75" i="24"/>
  <c r="M75" i="24" s="1"/>
  <c r="F75" i="24"/>
  <c r="AI74" i="24"/>
  <c r="AA74" i="24"/>
  <c r="Z74" i="24"/>
  <c r="X74" i="24"/>
  <c r="W74" i="24"/>
  <c r="U74" i="24"/>
  <c r="T74" i="24"/>
  <c r="S74" i="24"/>
  <c r="R74" i="24"/>
  <c r="Q74" i="24"/>
  <c r="P74" i="24"/>
  <c r="O74" i="24"/>
  <c r="G74" i="24"/>
  <c r="M74" i="24" s="1"/>
  <c r="F74" i="24"/>
  <c r="AI73" i="24"/>
  <c r="AA73" i="24"/>
  <c r="Z73" i="24"/>
  <c r="X73" i="24"/>
  <c r="W73" i="24"/>
  <c r="U73" i="24"/>
  <c r="T73" i="24"/>
  <c r="S73" i="24"/>
  <c r="R73" i="24"/>
  <c r="Q73" i="24"/>
  <c r="P73" i="24"/>
  <c r="O73" i="24"/>
  <c r="G73" i="24"/>
  <c r="M73" i="24" s="1"/>
  <c r="F73" i="24"/>
  <c r="AI72" i="24"/>
  <c r="AA72" i="24"/>
  <c r="Z72" i="24"/>
  <c r="X72" i="24"/>
  <c r="W72" i="24"/>
  <c r="U72" i="24"/>
  <c r="T72" i="24"/>
  <c r="S72" i="24"/>
  <c r="R72" i="24"/>
  <c r="Q72" i="24"/>
  <c r="P72" i="24"/>
  <c r="O72" i="24"/>
  <c r="G72" i="24"/>
  <c r="M72" i="24" s="1"/>
  <c r="F72" i="24"/>
  <c r="AI71" i="24"/>
  <c r="AA71" i="24"/>
  <c r="Z71" i="24"/>
  <c r="X71" i="24"/>
  <c r="W71" i="24"/>
  <c r="U71" i="24"/>
  <c r="T71" i="24"/>
  <c r="S71" i="24"/>
  <c r="R71" i="24"/>
  <c r="Q71" i="24"/>
  <c r="P71" i="24"/>
  <c r="O71" i="24"/>
  <c r="G71" i="24"/>
  <c r="M71" i="24" s="1"/>
  <c r="F71" i="24"/>
  <c r="AI70" i="24"/>
  <c r="AA70" i="24"/>
  <c r="Z70" i="24"/>
  <c r="X70" i="24"/>
  <c r="W70" i="24"/>
  <c r="U70" i="24"/>
  <c r="T70" i="24"/>
  <c r="S70" i="24"/>
  <c r="R70" i="24"/>
  <c r="Q70" i="24"/>
  <c r="P70" i="24"/>
  <c r="O70" i="24"/>
  <c r="G70" i="24"/>
  <c r="M70" i="24" s="1"/>
  <c r="F70" i="24"/>
  <c r="AI69" i="24"/>
  <c r="AA69" i="24"/>
  <c r="Z69" i="24"/>
  <c r="X69" i="24"/>
  <c r="W69" i="24"/>
  <c r="U69" i="24"/>
  <c r="T69" i="24"/>
  <c r="S69" i="24"/>
  <c r="R69" i="24"/>
  <c r="Q69" i="24"/>
  <c r="P69" i="24"/>
  <c r="O69" i="24"/>
  <c r="G69" i="24"/>
  <c r="M69" i="24" s="1"/>
  <c r="F69" i="24"/>
  <c r="AI68" i="24"/>
  <c r="AA68" i="24"/>
  <c r="Z68" i="24"/>
  <c r="X68" i="24"/>
  <c r="W68" i="24"/>
  <c r="U68" i="24"/>
  <c r="T68" i="24"/>
  <c r="S68" i="24"/>
  <c r="R68" i="24"/>
  <c r="Q68" i="24"/>
  <c r="P68" i="24"/>
  <c r="O68" i="24"/>
  <c r="G68" i="24"/>
  <c r="M68" i="24" s="1"/>
  <c r="F68" i="24"/>
  <c r="AI67" i="24"/>
  <c r="AA67" i="24"/>
  <c r="Z67" i="24"/>
  <c r="X67" i="24"/>
  <c r="W67" i="24"/>
  <c r="U67" i="24"/>
  <c r="T67" i="24"/>
  <c r="S67" i="24"/>
  <c r="R67" i="24"/>
  <c r="Q67" i="24"/>
  <c r="P67" i="24"/>
  <c r="O67" i="24"/>
  <c r="G67" i="24"/>
  <c r="M67" i="24" s="1"/>
  <c r="F67" i="24"/>
  <c r="AI66" i="24"/>
  <c r="Z66" i="24"/>
  <c r="X66" i="24"/>
  <c r="W66" i="24"/>
  <c r="U66" i="24"/>
  <c r="T66" i="24"/>
  <c r="S66" i="24"/>
  <c r="R66" i="24"/>
  <c r="Q66" i="24"/>
  <c r="P66" i="24"/>
  <c r="O66" i="24"/>
  <c r="G66" i="24"/>
  <c r="F66" i="24"/>
  <c r="AI65" i="24"/>
  <c r="F65" i="24"/>
  <c r="AI64" i="24"/>
  <c r="F64" i="24"/>
  <c r="AI63" i="24"/>
  <c r="F63" i="24"/>
  <c r="AI62" i="24"/>
  <c r="F62" i="24"/>
  <c r="AI61" i="24"/>
  <c r="F61" i="24"/>
  <c r="AI60" i="24"/>
  <c r="F60" i="24"/>
  <c r="AI59" i="24"/>
  <c r="F59" i="24"/>
  <c r="AI58" i="24"/>
  <c r="F58" i="24"/>
  <c r="AI57" i="24"/>
  <c r="F57" i="24"/>
  <c r="AI56" i="24"/>
  <c r="F56" i="24"/>
  <c r="AI55" i="24"/>
  <c r="F55" i="24"/>
  <c r="AI54" i="24"/>
  <c r="F54" i="24"/>
  <c r="AI53" i="24"/>
  <c r="F53" i="24"/>
  <c r="AI52" i="24"/>
  <c r="F52" i="24"/>
  <c r="AI51" i="24"/>
  <c r="F51" i="24"/>
  <c r="AI50" i="24"/>
  <c r="F50" i="24"/>
  <c r="AI49" i="24"/>
  <c r="F49" i="24"/>
  <c r="AI48" i="24"/>
  <c r="F48" i="24"/>
  <c r="AI47" i="24"/>
  <c r="F47" i="24"/>
  <c r="AI46" i="24"/>
  <c r="U46" i="24"/>
  <c r="Q46" i="24"/>
  <c r="P46" i="24"/>
  <c r="G46" i="24"/>
  <c r="G47" i="24" s="1"/>
  <c r="F46" i="24"/>
  <c r="AI45" i="24"/>
  <c r="F45" i="24"/>
  <c r="AI44" i="24"/>
  <c r="F44" i="24"/>
  <c r="AI43" i="24"/>
  <c r="F43" i="24"/>
  <c r="AI42" i="24"/>
  <c r="F42" i="24"/>
  <c r="AI41" i="24"/>
  <c r="F41" i="24"/>
  <c r="AI40" i="24"/>
  <c r="F40" i="24"/>
  <c r="AI39" i="24"/>
  <c r="F39" i="24"/>
  <c r="AI38" i="24"/>
  <c r="F38" i="24"/>
  <c r="AI37" i="24"/>
  <c r="F37" i="24"/>
  <c r="AI36" i="24"/>
  <c r="F36" i="24"/>
  <c r="AI35" i="24"/>
  <c r="F35" i="24"/>
  <c r="AI34" i="24"/>
  <c r="F34" i="24"/>
  <c r="AI33" i="24"/>
  <c r="F33" i="24"/>
  <c r="AI32" i="24"/>
  <c r="F32" i="24"/>
  <c r="AI31" i="24"/>
  <c r="F31" i="24"/>
  <c r="AI30" i="24"/>
  <c r="F30" i="24"/>
  <c r="AI29" i="24"/>
  <c r="F29" i="24"/>
  <c r="AI28" i="24"/>
  <c r="F28" i="24"/>
  <c r="AI27" i="24"/>
  <c r="F27" i="24"/>
  <c r="AI26" i="24"/>
  <c r="X26" i="24"/>
  <c r="G26" i="24"/>
  <c r="M26" i="24" s="1"/>
  <c r="F26" i="24"/>
  <c r="U26" i="24" s="1"/>
  <c r="AI25" i="24"/>
  <c r="F25" i="24"/>
  <c r="AI24" i="24"/>
  <c r="F24" i="24"/>
  <c r="AI23" i="24"/>
  <c r="F23" i="24"/>
  <c r="AI22" i="24"/>
  <c r="F22" i="24"/>
  <c r="AI21" i="24"/>
  <c r="F21" i="24"/>
  <c r="AI20" i="24"/>
  <c r="F20" i="24"/>
  <c r="AI19" i="24"/>
  <c r="F19" i="24"/>
  <c r="AI18" i="24"/>
  <c r="F18" i="24"/>
  <c r="AI17" i="24"/>
  <c r="F17" i="24"/>
  <c r="AI16" i="24"/>
  <c r="F16" i="24"/>
  <c r="AI15" i="24"/>
  <c r="F15" i="24"/>
  <c r="AI14" i="24"/>
  <c r="F14" i="24"/>
  <c r="AI13" i="24"/>
  <c r="F13" i="24"/>
  <c r="AI12" i="24"/>
  <c r="F12" i="24"/>
  <c r="AI11" i="24"/>
  <c r="F11" i="24"/>
  <c r="AI10" i="24"/>
  <c r="F10" i="24"/>
  <c r="AI9" i="24"/>
  <c r="F9" i="24"/>
  <c r="AI8" i="24"/>
  <c r="F8" i="24"/>
  <c r="AI7" i="24"/>
  <c r="AH7" i="24"/>
  <c r="AH8" i="24" s="1"/>
  <c r="F7" i="24"/>
  <c r="AI6" i="24"/>
  <c r="Q6" i="24"/>
  <c r="P6" i="24"/>
  <c r="G6" i="24"/>
  <c r="M6" i="24" s="1"/>
  <c r="X6" i="24" s="1"/>
  <c r="F6" i="24"/>
  <c r="U6" i="24" s="1"/>
  <c r="N5" i="24"/>
  <c r="F5" i="24"/>
  <c r="N4" i="24"/>
  <c r="K4" i="24"/>
  <c r="K5" i="24" s="1"/>
  <c r="K6" i="24" s="1"/>
  <c r="K7" i="24" s="1"/>
  <c r="K8" i="24" s="1"/>
  <c r="K9" i="24" s="1"/>
  <c r="K10" i="24" s="1"/>
  <c r="K11" i="24" s="1"/>
  <c r="K12" i="24" s="1"/>
  <c r="K13" i="24" s="1"/>
  <c r="K14" i="24" s="1"/>
  <c r="K15" i="24" s="1"/>
  <c r="K16" i="24" s="1"/>
  <c r="K17" i="24" s="1"/>
  <c r="K18" i="24" s="1"/>
  <c r="K19" i="24" s="1"/>
  <c r="K20" i="24" s="1"/>
  <c r="K21" i="24" s="1"/>
  <c r="K22" i="24" s="1"/>
  <c r="K23" i="24" s="1"/>
  <c r="K24" i="24" s="1"/>
  <c r="K25" i="24" s="1"/>
  <c r="K26" i="24" s="1"/>
  <c r="K27" i="24" s="1"/>
  <c r="K28" i="24" s="1"/>
  <c r="K29" i="24" s="1"/>
  <c r="K30" i="24" s="1"/>
  <c r="K31" i="24" s="1"/>
  <c r="K32" i="24" s="1"/>
  <c r="K33" i="24" s="1"/>
  <c r="K34" i="24" s="1"/>
  <c r="K35" i="24" s="1"/>
  <c r="K36" i="24" s="1"/>
  <c r="K37" i="24" s="1"/>
  <c r="K38" i="24" s="1"/>
  <c r="K39" i="24" s="1"/>
  <c r="K40" i="24" s="1"/>
  <c r="K41" i="24" s="1"/>
  <c r="K42" i="24" s="1"/>
  <c r="K43" i="24" s="1"/>
  <c r="K44" i="24" s="1"/>
  <c r="K45" i="24" s="1"/>
  <c r="K46" i="24" s="1"/>
  <c r="K47" i="24" s="1"/>
  <c r="K48" i="24" s="1"/>
  <c r="K49" i="24" s="1"/>
  <c r="K50" i="24" s="1"/>
  <c r="K51" i="24" s="1"/>
  <c r="K52" i="24" s="1"/>
  <c r="K53" i="24" s="1"/>
  <c r="K54" i="24" s="1"/>
  <c r="K55" i="24" s="1"/>
  <c r="K56" i="24" s="1"/>
  <c r="K57" i="24" s="1"/>
  <c r="K58" i="24" s="1"/>
  <c r="K59" i="24" s="1"/>
  <c r="K60" i="24" s="1"/>
  <c r="K61" i="24" s="1"/>
  <c r="K62" i="24" s="1"/>
  <c r="K63" i="24" s="1"/>
  <c r="K64" i="24" s="1"/>
  <c r="K65" i="24" s="1"/>
  <c r="K66" i="24" s="1"/>
  <c r="K67" i="24" s="1"/>
  <c r="K68" i="24" s="1"/>
  <c r="K69" i="24" s="1"/>
  <c r="K70" i="24" s="1"/>
  <c r="K71" i="24" s="1"/>
  <c r="K72" i="24" s="1"/>
  <c r="K73" i="24" s="1"/>
  <c r="K74" i="24" s="1"/>
  <c r="K75" i="24" s="1"/>
  <c r="K76" i="24" s="1"/>
  <c r="K77" i="24" s="1"/>
  <c r="K78" i="24" s="1"/>
  <c r="K79" i="24" s="1"/>
  <c r="K80" i="24" s="1"/>
  <c r="K81" i="24" s="1"/>
  <c r="K82" i="24" s="1"/>
  <c r="K83" i="24" s="1"/>
  <c r="K84" i="24" s="1"/>
  <c r="K85" i="24" s="1"/>
  <c r="K86" i="24" s="1"/>
  <c r="K87" i="24" s="1"/>
  <c r="K88" i="24" s="1"/>
  <c r="K89" i="24" s="1"/>
  <c r="K90" i="24" s="1"/>
  <c r="K91" i="24" s="1"/>
  <c r="K92" i="24" s="1"/>
  <c r="K93" i="24" s="1"/>
  <c r="K94" i="24" s="1"/>
  <c r="K95" i="24" s="1"/>
  <c r="K96" i="24" s="1"/>
  <c r="K97" i="24" s="1"/>
  <c r="K98" i="24" s="1"/>
  <c r="K99" i="24" s="1"/>
  <c r="K100" i="24" s="1"/>
  <c r="K101" i="24" s="1"/>
  <c r="K102" i="24" s="1"/>
  <c r="J4" i="24"/>
  <c r="T4" i="24" s="1"/>
  <c r="H4" i="24"/>
  <c r="H5" i="24" s="1"/>
  <c r="F4" i="24"/>
  <c r="N3" i="24"/>
  <c r="G3" i="24"/>
  <c r="G4" i="24" s="1"/>
  <c r="F3" i="24"/>
  <c r="U3" i="24" s="1"/>
  <c r="O2" i="24"/>
  <c r="AI102" i="23"/>
  <c r="AA102" i="23"/>
  <c r="Z102" i="23"/>
  <c r="X102" i="23"/>
  <c r="W102" i="23"/>
  <c r="U102" i="23"/>
  <c r="T102" i="23"/>
  <c r="S102" i="23"/>
  <c r="R102" i="23"/>
  <c r="Q102" i="23"/>
  <c r="P102" i="23"/>
  <c r="O102" i="23"/>
  <c r="G102" i="23"/>
  <c r="M102" i="23" s="1"/>
  <c r="F102" i="23"/>
  <c r="AI101" i="23"/>
  <c r="AA101" i="23"/>
  <c r="Z101" i="23"/>
  <c r="X101" i="23"/>
  <c r="W101" i="23"/>
  <c r="U101" i="23"/>
  <c r="T101" i="23"/>
  <c r="S101" i="23"/>
  <c r="R101" i="23"/>
  <c r="Q101" i="23"/>
  <c r="P101" i="23"/>
  <c r="O101" i="23"/>
  <c r="G101" i="23"/>
  <c r="M101" i="23" s="1"/>
  <c r="F101" i="23"/>
  <c r="AI100" i="23"/>
  <c r="AA100" i="23"/>
  <c r="Z100" i="23"/>
  <c r="X100" i="23"/>
  <c r="W100" i="23"/>
  <c r="U100" i="23"/>
  <c r="T100" i="23"/>
  <c r="S100" i="23"/>
  <c r="R100" i="23"/>
  <c r="Q100" i="23"/>
  <c r="P100" i="23"/>
  <c r="O100" i="23"/>
  <c r="G100" i="23"/>
  <c r="M100" i="23" s="1"/>
  <c r="F100" i="23"/>
  <c r="AI99" i="23"/>
  <c r="AA99" i="23"/>
  <c r="Z99" i="23"/>
  <c r="X99" i="23"/>
  <c r="W99" i="23"/>
  <c r="U99" i="23"/>
  <c r="T99" i="23"/>
  <c r="S99" i="23"/>
  <c r="R99" i="23"/>
  <c r="Q99" i="23"/>
  <c r="P99" i="23"/>
  <c r="O99" i="23"/>
  <c r="G99" i="23"/>
  <c r="M99" i="23" s="1"/>
  <c r="F99" i="23"/>
  <c r="AI98" i="23"/>
  <c r="AA98" i="23"/>
  <c r="Z98" i="23"/>
  <c r="X98" i="23"/>
  <c r="W98" i="23"/>
  <c r="U98" i="23"/>
  <c r="T98" i="23"/>
  <c r="S98" i="23"/>
  <c r="R98" i="23"/>
  <c r="Q98" i="23"/>
  <c r="P98" i="23"/>
  <c r="O98" i="23"/>
  <c r="G98" i="23"/>
  <c r="M98" i="23" s="1"/>
  <c r="F98" i="23"/>
  <c r="AI97" i="23"/>
  <c r="AA97" i="23"/>
  <c r="Z97" i="23"/>
  <c r="X97" i="23"/>
  <c r="W97" i="23"/>
  <c r="U97" i="23"/>
  <c r="T97" i="23"/>
  <c r="S97" i="23"/>
  <c r="R97" i="23"/>
  <c r="Q97" i="23"/>
  <c r="P97" i="23"/>
  <c r="O97" i="23"/>
  <c r="G97" i="23"/>
  <c r="M97" i="23" s="1"/>
  <c r="F97" i="23"/>
  <c r="AI96" i="23"/>
  <c r="AA96" i="23"/>
  <c r="Z96" i="23"/>
  <c r="X96" i="23"/>
  <c r="W96" i="23"/>
  <c r="U96" i="23"/>
  <c r="T96" i="23"/>
  <c r="S96" i="23"/>
  <c r="R96" i="23"/>
  <c r="Q96" i="23"/>
  <c r="P96" i="23"/>
  <c r="O96" i="23"/>
  <c r="M96" i="23"/>
  <c r="G96" i="23"/>
  <c r="F96" i="23"/>
  <c r="AI95" i="23"/>
  <c r="AA95" i="23"/>
  <c r="Z95" i="23"/>
  <c r="X95" i="23"/>
  <c r="W95" i="23"/>
  <c r="U95" i="23"/>
  <c r="T95" i="23"/>
  <c r="S95" i="23"/>
  <c r="R95" i="23"/>
  <c r="Q95" i="23"/>
  <c r="P95" i="23"/>
  <c r="O95" i="23"/>
  <c r="G95" i="23"/>
  <c r="M95" i="23" s="1"/>
  <c r="F95" i="23"/>
  <c r="AI94" i="23"/>
  <c r="AA94" i="23"/>
  <c r="Z94" i="23"/>
  <c r="X94" i="23"/>
  <c r="W94" i="23"/>
  <c r="U94" i="23"/>
  <c r="T94" i="23"/>
  <c r="S94" i="23"/>
  <c r="R94" i="23"/>
  <c r="Q94" i="23"/>
  <c r="P94" i="23"/>
  <c r="O94" i="23"/>
  <c r="G94" i="23"/>
  <c r="M94" i="23" s="1"/>
  <c r="F94" i="23"/>
  <c r="AI93" i="23"/>
  <c r="AA93" i="23"/>
  <c r="Z93" i="23"/>
  <c r="X93" i="23"/>
  <c r="W93" i="23"/>
  <c r="U93" i="23"/>
  <c r="T93" i="23"/>
  <c r="S93" i="23"/>
  <c r="R93" i="23"/>
  <c r="Q93" i="23"/>
  <c r="P93" i="23"/>
  <c r="O93" i="23"/>
  <c r="G93" i="23"/>
  <c r="M93" i="23" s="1"/>
  <c r="F93" i="23"/>
  <c r="AI92" i="23"/>
  <c r="AA92" i="23"/>
  <c r="Z92" i="23"/>
  <c r="X92" i="23"/>
  <c r="W92" i="23"/>
  <c r="U92" i="23"/>
  <c r="T92" i="23"/>
  <c r="S92" i="23"/>
  <c r="R92" i="23"/>
  <c r="Q92" i="23"/>
  <c r="P92" i="23"/>
  <c r="O92" i="23"/>
  <c r="G92" i="23"/>
  <c r="M92" i="23" s="1"/>
  <c r="F92" i="23"/>
  <c r="AI91" i="23"/>
  <c r="AA91" i="23"/>
  <c r="Z91" i="23"/>
  <c r="X91" i="23"/>
  <c r="W91" i="23"/>
  <c r="U91" i="23"/>
  <c r="T91" i="23"/>
  <c r="S91" i="23"/>
  <c r="R91" i="23"/>
  <c r="Q91" i="23"/>
  <c r="P91" i="23"/>
  <c r="O91" i="23"/>
  <c r="G91" i="23"/>
  <c r="M91" i="23" s="1"/>
  <c r="F91" i="23"/>
  <c r="AI90" i="23"/>
  <c r="AA90" i="23"/>
  <c r="Z90" i="23"/>
  <c r="X90" i="23"/>
  <c r="W90" i="23"/>
  <c r="U90" i="23"/>
  <c r="T90" i="23"/>
  <c r="S90" i="23"/>
  <c r="R90" i="23"/>
  <c r="Q90" i="23"/>
  <c r="P90" i="23"/>
  <c r="O90" i="23"/>
  <c r="G90" i="23"/>
  <c r="M90" i="23" s="1"/>
  <c r="F90" i="23"/>
  <c r="AI89" i="23"/>
  <c r="AA89" i="23"/>
  <c r="Z89" i="23"/>
  <c r="X89" i="23"/>
  <c r="W89" i="23"/>
  <c r="U89" i="23"/>
  <c r="T89" i="23"/>
  <c r="S89" i="23"/>
  <c r="R89" i="23"/>
  <c r="Q89" i="23"/>
  <c r="P89" i="23"/>
  <c r="O89" i="23"/>
  <c r="G89" i="23"/>
  <c r="M89" i="23" s="1"/>
  <c r="F89" i="23"/>
  <c r="AI88" i="23"/>
  <c r="AA88" i="23"/>
  <c r="Z88" i="23"/>
  <c r="X88" i="23"/>
  <c r="W88" i="23"/>
  <c r="U88" i="23"/>
  <c r="T88" i="23"/>
  <c r="S88" i="23"/>
  <c r="R88" i="23"/>
  <c r="Q88" i="23"/>
  <c r="P88" i="23"/>
  <c r="O88" i="23"/>
  <c r="G88" i="23"/>
  <c r="M88" i="23" s="1"/>
  <c r="F88" i="23"/>
  <c r="AI87" i="23"/>
  <c r="AA87" i="23"/>
  <c r="Z87" i="23"/>
  <c r="X87" i="23"/>
  <c r="W87" i="23"/>
  <c r="U87" i="23"/>
  <c r="T87" i="23"/>
  <c r="S87" i="23"/>
  <c r="R87" i="23"/>
  <c r="Q87" i="23"/>
  <c r="P87" i="23"/>
  <c r="O87" i="23"/>
  <c r="G87" i="23"/>
  <c r="M87" i="23" s="1"/>
  <c r="F87" i="23"/>
  <c r="AI86" i="23"/>
  <c r="AA86" i="23"/>
  <c r="Z86" i="23"/>
  <c r="X86" i="23"/>
  <c r="W86" i="23"/>
  <c r="U86" i="23"/>
  <c r="T86" i="23"/>
  <c r="S86" i="23"/>
  <c r="R86" i="23"/>
  <c r="Q86" i="23"/>
  <c r="P86" i="23"/>
  <c r="O86" i="23"/>
  <c r="G86" i="23"/>
  <c r="M86" i="23" s="1"/>
  <c r="F86" i="23"/>
  <c r="AI85" i="23"/>
  <c r="AA85" i="23"/>
  <c r="Z85" i="23"/>
  <c r="X85" i="23"/>
  <c r="W85" i="23"/>
  <c r="U85" i="23"/>
  <c r="T85" i="23"/>
  <c r="S85" i="23"/>
  <c r="R85" i="23"/>
  <c r="Q85" i="23"/>
  <c r="P85" i="23"/>
  <c r="O85" i="23"/>
  <c r="G85" i="23"/>
  <c r="M85" i="23" s="1"/>
  <c r="F85" i="23"/>
  <c r="AI84" i="23"/>
  <c r="AA84" i="23"/>
  <c r="Z84" i="23"/>
  <c r="X84" i="23"/>
  <c r="W84" i="23"/>
  <c r="U84" i="23"/>
  <c r="T84" i="23"/>
  <c r="S84" i="23"/>
  <c r="R84" i="23"/>
  <c r="Q84" i="23"/>
  <c r="P84" i="23"/>
  <c r="O84" i="23"/>
  <c r="G84" i="23"/>
  <c r="M84" i="23" s="1"/>
  <c r="F84" i="23"/>
  <c r="AI83" i="23"/>
  <c r="AA83" i="23"/>
  <c r="Z83" i="23"/>
  <c r="X83" i="23"/>
  <c r="W83" i="23"/>
  <c r="U83" i="23"/>
  <c r="T83" i="23"/>
  <c r="S83" i="23"/>
  <c r="R83" i="23"/>
  <c r="Q83" i="23"/>
  <c r="P83" i="23"/>
  <c r="O83" i="23"/>
  <c r="G83" i="23"/>
  <c r="M83" i="23" s="1"/>
  <c r="F83" i="23"/>
  <c r="AI82" i="23"/>
  <c r="AA82" i="23"/>
  <c r="Z82" i="23"/>
  <c r="X82" i="23"/>
  <c r="W82" i="23"/>
  <c r="U82" i="23"/>
  <c r="T82" i="23"/>
  <c r="S82" i="23"/>
  <c r="R82" i="23"/>
  <c r="Q82" i="23"/>
  <c r="P82" i="23"/>
  <c r="O82" i="23"/>
  <c r="G82" i="23"/>
  <c r="M82" i="23" s="1"/>
  <c r="F82" i="23"/>
  <c r="AI81" i="23"/>
  <c r="AA81" i="23"/>
  <c r="Z81" i="23"/>
  <c r="X81" i="23"/>
  <c r="W81" i="23"/>
  <c r="U81" i="23"/>
  <c r="T81" i="23"/>
  <c r="S81" i="23"/>
  <c r="R81" i="23"/>
  <c r="Q81" i="23"/>
  <c r="P81" i="23"/>
  <c r="O81" i="23"/>
  <c r="G81" i="23"/>
  <c r="M81" i="23" s="1"/>
  <c r="F81" i="23"/>
  <c r="AI80" i="23"/>
  <c r="AA80" i="23"/>
  <c r="Z80" i="23"/>
  <c r="X80" i="23"/>
  <c r="W80" i="23"/>
  <c r="U80" i="23"/>
  <c r="T80" i="23"/>
  <c r="S80" i="23"/>
  <c r="R80" i="23"/>
  <c r="Q80" i="23"/>
  <c r="P80" i="23"/>
  <c r="O80" i="23"/>
  <c r="G80" i="23"/>
  <c r="M80" i="23" s="1"/>
  <c r="F80" i="23"/>
  <c r="AI79" i="23"/>
  <c r="AA79" i="23"/>
  <c r="Z79" i="23"/>
  <c r="X79" i="23"/>
  <c r="W79" i="23"/>
  <c r="U79" i="23"/>
  <c r="T79" i="23"/>
  <c r="S79" i="23"/>
  <c r="R79" i="23"/>
  <c r="Q79" i="23"/>
  <c r="P79" i="23"/>
  <c r="O79" i="23"/>
  <c r="G79" i="23"/>
  <c r="M79" i="23" s="1"/>
  <c r="F79" i="23"/>
  <c r="AI78" i="23"/>
  <c r="AA78" i="23"/>
  <c r="Z78" i="23"/>
  <c r="X78" i="23"/>
  <c r="W78" i="23"/>
  <c r="U78" i="23"/>
  <c r="T78" i="23"/>
  <c r="S78" i="23"/>
  <c r="R78" i="23"/>
  <c r="Q78" i="23"/>
  <c r="P78" i="23"/>
  <c r="O78" i="23"/>
  <c r="G78" i="23"/>
  <c r="M78" i="23" s="1"/>
  <c r="F78" i="23"/>
  <c r="AI77" i="23"/>
  <c r="AA77" i="23"/>
  <c r="Z77" i="23"/>
  <c r="X77" i="23"/>
  <c r="W77" i="23"/>
  <c r="U77" i="23"/>
  <c r="T77" i="23"/>
  <c r="S77" i="23"/>
  <c r="R77" i="23"/>
  <c r="Q77" i="23"/>
  <c r="P77" i="23"/>
  <c r="O77" i="23"/>
  <c r="G77" i="23"/>
  <c r="M77" i="23" s="1"/>
  <c r="F77" i="23"/>
  <c r="AI76" i="23"/>
  <c r="AA76" i="23"/>
  <c r="Z76" i="23"/>
  <c r="X76" i="23"/>
  <c r="W76" i="23"/>
  <c r="U76" i="23"/>
  <c r="T76" i="23"/>
  <c r="S76" i="23"/>
  <c r="R76" i="23"/>
  <c r="Q76" i="23"/>
  <c r="P76" i="23"/>
  <c r="O76" i="23"/>
  <c r="G76" i="23"/>
  <c r="M76" i="23" s="1"/>
  <c r="F76" i="23"/>
  <c r="AI75" i="23"/>
  <c r="AA75" i="23"/>
  <c r="Z75" i="23"/>
  <c r="X75" i="23"/>
  <c r="W75" i="23"/>
  <c r="U75" i="23"/>
  <c r="T75" i="23"/>
  <c r="S75" i="23"/>
  <c r="R75" i="23"/>
  <c r="Q75" i="23"/>
  <c r="P75" i="23"/>
  <c r="O75" i="23"/>
  <c r="G75" i="23"/>
  <c r="M75" i="23" s="1"/>
  <c r="F75" i="23"/>
  <c r="AI74" i="23"/>
  <c r="AA74" i="23"/>
  <c r="Z74" i="23"/>
  <c r="X74" i="23"/>
  <c r="W74" i="23"/>
  <c r="U74" i="23"/>
  <c r="T74" i="23"/>
  <c r="S74" i="23"/>
  <c r="R74" i="23"/>
  <c r="Q74" i="23"/>
  <c r="P74" i="23"/>
  <c r="O74" i="23"/>
  <c r="G74" i="23"/>
  <c r="M74" i="23" s="1"/>
  <c r="F74" i="23"/>
  <c r="AI73" i="23"/>
  <c r="AA73" i="23"/>
  <c r="Z73" i="23"/>
  <c r="X73" i="23"/>
  <c r="W73" i="23"/>
  <c r="U73" i="23"/>
  <c r="T73" i="23"/>
  <c r="S73" i="23"/>
  <c r="R73" i="23"/>
  <c r="Q73" i="23"/>
  <c r="P73" i="23"/>
  <c r="O73" i="23"/>
  <c r="G73" i="23"/>
  <c r="M73" i="23" s="1"/>
  <c r="F73" i="23"/>
  <c r="AI72" i="23"/>
  <c r="AA72" i="23"/>
  <c r="Z72" i="23"/>
  <c r="X72" i="23"/>
  <c r="W72" i="23"/>
  <c r="U72" i="23"/>
  <c r="T72" i="23"/>
  <c r="S72" i="23"/>
  <c r="R72" i="23"/>
  <c r="Q72" i="23"/>
  <c r="P72" i="23"/>
  <c r="O72" i="23"/>
  <c r="G72" i="23"/>
  <c r="M72" i="23" s="1"/>
  <c r="F72" i="23"/>
  <c r="AI71" i="23"/>
  <c r="AA71" i="23"/>
  <c r="Z71" i="23"/>
  <c r="X71" i="23"/>
  <c r="W71" i="23"/>
  <c r="U71" i="23"/>
  <c r="T71" i="23"/>
  <c r="S71" i="23"/>
  <c r="R71" i="23"/>
  <c r="Q71" i="23"/>
  <c r="P71" i="23"/>
  <c r="O71" i="23"/>
  <c r="G71" i="23"/>
  <c r="M71" i="23" s="1"/>
  <c r="F71" i="23"/>
  <c r="AI70" i="23"/>
  <c r="AA70" i="23"/>
  <c r="Z70" i="23"/>
  <c r="X70" i="23"/>
  <c r="W70" i="23"/>
  <c r="U70" i="23"/>
  <c r="T70" i="23"/>
  <c r="S70" i="23"/>
  <c r="R70" i="23"/>
  <c r="Q70" i="23"/>
  <c r="P70" i="23"/>
  <c r="O70" i="23"/>
  <c r="G70" i="23"/>
  <c r="M70" i="23" s="1"/>
  <c r="F70" i="23"/>
  <c r="AI69" i="23"/>
  <c r="AA69" i="23"/>
  <c r="Z69" i="23"/>
  <c r="X69" i="23"/>
  <c r="W69" i="23"/>
  <c r="U69" i="23"/>
  <c r="T69" i="23"/>
  <c r="S69" i="23"/>
  <c r="R69" i="23"/>
  <c r="Q69" i="23"/>
  <c r="P69" i="23"/>
  <c r="O69" i="23"/>
  <c r="G69" i="23"/>
  <c r="M69" i="23" s="1"/>
  <c r="F69" i="23"/>
  <c r="AI68" i="23"/>
  <c r="AA68" i="23"/>
  <c r="Z68" i="23"/>
  <c r="X68" i="23"/>
  <c r="W68" i="23"/>
  <c r="U68" i="23"/>
  <c r="T68" i="23"/>
  <c r="S68" i="23"/>
  <c r="R68" i="23"/>
  <c r="Q68" i="23"/>
  <c r="P68" i="23"/>
  <c r="O68" i="23"/>
  <c r="G68" i="23"/>
  <c r="M68" i="23" s="1"/>
  <c r="F68" i="23"/>
  <c r="AI67" i="23"/>
  <c r="AA67" i="23"/>
  <c r="Z67" i="23"/>
  <c r="X67" i="23"/>
  <c r="W67" i="23"/>
  <c r="U67" i="23"/>
  <c r="T67" i="23"/>
  <c r="S67" i="23"/>
  <c r="R67" i="23"/>
  <c r="Q67" i="23"/>
  <c r="P67" i="23"/>
  <c r="O67" i="23"/>
  <c r="G67" i="23"/>
  <c r="M67" i="23" s="1"/>
  <c r="F67" i="23"/>
  <c r="AI66" i="23"/>
  <c r="Z66" i="23"/>
  <c r="X66" i="23"/>
  <c r="W66" i="23"/>
  <c r="U66" i="23"/>
  <c r="T66" i="23"/>
  <c r="S66" i="23"/>
  <c r="R66" i="23"/>
  <c r="Q66" i="23"/>
  <c r="P66" i="23"/>
  <c r="O66" i="23"/>
  <c r="G66" i="23"/>
  <c r="M66" i="23" s="1"/>
  <c r="F66" i="23"/>
  <c r="AI65" i="23"/>
  <c r="F65" i="23"/>
  <c r="AI64" i="23"/>
  <c r="F64" i="23"/>
  <c r="AI63" i="23"/>
  <c r="F63" i="23"/>
  <c r="AI62" i="23"/>
  <c r="F62" i="23"/>
  <c r="AI61" i="23"/>
  <c r="F61" i="23"/>
  <c r="AI60" i="23"/>
  <c r="F60" i="23"/>
  <c r="AI59" i="23"/>
  <c r="F59" i="23"/>
  <c r="AI58" i="23"/>
  <c r="F58" i="23"/>
  <c r="AI57" i="23"/>
  <c r="F57" i="23"/>
  <c r="AI56" i="23"/>
  <c r="F56" i="23"/>
  <c r="AI55" i="23"/>
  <c r="F55" i="23"/>
  <c r="AI54" i="23"/>
  <c r="F54" i="23"/>
  <c r="AI53" i="23"/>
  <c r="F53" i="23"/>
  <c r="AI52" i="23"/>
  <c r="F52" i="23"/>
  <c r="AI51" i="23"/>
  <c r="F51" i="23"/>
  <c r="AI50" i="23"/>
  <c r="F50" i="23"/>
  <c r="AI49" i="23"/>
  <c r="F49" i="23"/>
  <c r="AI48" i="23"/>
  <c r="F48" i="23"/>
  <c r="AI47" i="23"/>
  <c r="F47" i="23"/>
  <c r="AI46" i="23"/>
  <c r="X46" i="23"/>
  <c r="P46" i="23"/>
  <c r="G46" i="23"/>
  <c r="M46" i="23" s="1"/>
  <c r="F46" i="23"/>
  <c r="U46" i="23" s="1"/>
  <c r="AI45" i="23"/>
  <c r="F45" i="23"/>
  <c r="AI44" i="23"/>
  <c r="F44" i="23"/>
  <c r="AI43" i="23"/>
  <c r="F43" i="23"/>
  <c r="AI42" i="23"/>
  <c r="F42" i="23"/>
  <c r="AI41" i="23"/>
  <c r="F41" i="23"/>
  <c r="AI40" i="23"/>
  <c r="F40" i="23"/>
  <c r="AI39" i="23"/>
  <c r="F39" i="23"/>
  <c r="AI38" i="23"/>
  <c r="F38" i="23"/>
  <c r="AI37" i="23"/>
  <c r="F37" i="23"/>
  <c r="AI36" i="23"/>
  <c r="F36" i="23"/>
  <c r="AI35" i="23"/>
  <c r="F35" i="23"/>
  <c r="AI34" i="23"/>
  <c r="F34" i="23"/>
  <c r="AI33" i="23"/>
  <c r="F33" i="23"/>
  <c r="AI32" i="23"/>
  <c r="F32" i="23"/>
  <c r="AI31" i="23"/>
  <c r="F31" i="23"/>
  <c r="AI30" i="23"/>
  <c r="F30" i="23"/>
  <c r="AI29" i="23"/>
  <c r="F29" i="23"/>
  <c r="AI28" i="23"/>
  <c r="F28" i="23"/>
  <c r="AI27" i="23"/>
  <c r="F27" i="23"/>
  <c r="AI26" i="23"/>
  <c r="F26" i="23"/>
  <c r="AI25" i="23"/>
  <c r="F25" i="23"/>
  <c r="AI24" i="23"/>
  <c r="F24" i="23"/>
  <c r="AI23" i="23"/>
  <c r="F23" i="23"/>
  <c r="AI22" i="23"/>
  <c r="F22" i="23"/>
  <c r="AI21" i="23"/>
  <c r="F21" i="23"/>
  <c r="AI20" i="23"/>
  <c r="F20" i="23"/>
  <c r="AI19" i="23"/>
  <c r="F19" i="23"/>
  <c r="AI18" i="23"/>
  <c r="F18" i="23"/>
  <c r="AI17" i="23"/>
  <c r="F17" i="23"/>
  <c r="AI16" i="23"/>
  <c r="F16" i="23"/>
  <c r="AI15" i="23"/>
  <c r="F15" i="23"/>
  <c r="AI14" i="23"/>
  <c r="F14" i="23"/>
  <c r="AI13" i="23"/>
  <c r="F13" i="23"/>
  <c r="AI12" i="23"/>
  <c r="F12" i="23"/>
  <c r="AI11" i="23"/>
  <c r="F11" i="23"/>
  <c r="AI10" i="23"/>
  <c r="F10" i="23"/>
  <c r="AI9" i="23"/>
  <c r="F9" i="23"/>
  <c r="AI8" i="23"/>
  <c r="F8" i="23"/>
  <c r="AI7" i="23"/>
  <c r="AH7" i="23"/>
  <c r="AH8" i="23" s="1"/>
  <c r="F7" i="23"/>
  <c r="AI6" i="23"/>
  <c r="X6" i="23"/>
  <c r="G6" i="23"/>
  <c r="M6" i="23" s="1"/>
  <c r="F6" i="23"/>
  <c r="U6" i="23" s="1"/>
  <c r="N5" i="23"/>
  <c r="F5" i="23"/>
  <c r="N4" i="23"/>
  <c r="K4" i="23"/>
  <c r="K5" i="23" s="1"/>
  <c r="K6" i="23" s="1"/>
  <c r="K7" i="23" s="1"/>
  <c r="K8" i="23" s="1"/>
  <c r="K9" i="23" s="1"/>
  <c r="K10" i="23" s="1"/>
  <c r="K11" i="23" s="1"/>
  <c r="K12" i="23" s="1"/>
  <c r="K13" i="23" s="1"/>
  <c r="K14" i="23" s="1"/>
  <c r="K15" i="23" s="1"/>
  <c r="K16" i="23" s="1"/>
  <c r="K17" i="23" s="1"/>
  <c r="K18" i="23" s="1"/>
  <c r="K19" i="23" s="1"/>
  <c r="K20" i="23" s="1"/>
  <c r="K21" i="23" s="1"/>
  <c r="K22" i="23" s="1"/>
  <c r="K23" i="23" s="1"/>
  <c r="K24" i="23" s="1"/>
  <c r="K25" i="23" s="1"/>
  <c r="K26" i="23" s="1"/>
  <c r="K27" i="23" s="1"/>
  <c r="K28" i="23" s="1"/>
  <c r="K29" i="23" s="1"/>
  <c r="K30" i="23" s="1"/>
  <c r="K31" i="23" s="1"/>
  <c r="K32" i="23" s="1"/>
  <c r="K33" i="23" s="1"/>
  <c r="K34" i="23" s="1"/>
  <c r="K35" i="23" s="1"/>
  <c r="K36" i="23" s="1"/>
  <c r="K37" i="23" s="1"/>
  <c r="K38" i="23" s="1"/>
  <c r="K39" i="23" s="1"/>
  <c r="K40" i="23" s="1"/>
  <c r="K41" i="23" s="1"/>
  <c r="K42" i="23" s="1"/>
  <c r="K43" i="23" s="1"/>
  <c r="K44" i="23" s="1"/>
  <c r="K45" i="23" s="1"/>
  <c r="K46" i="23" s="1"/>
  <c r="K47" i="23" s="1"/>
  <c r="K48" i="23" s="1"/>
  <c r="K49" i="23" s="1"/>
  <c r="K50" i="23" s="1"/>
  <c r="K51" i="23" s="1"/>
  <c r="K52" i="23" s="1"/>
  <c r="K53" i="23" s="1"/>
  <c r="K54" i="23" s="1"/>
  <c r="K55" i="23" s="1"/>
  <c r="K56" i="23" s="1"/>
  <c r="K57" i="23" s="1"/>
  <c r="K58" i="23" s="1"/>
  <c r="K59" i="23" s="1"/>
  <c r="K60" i="23" s="1"/>
  <c r="K61" i="23" s="1"/>
  <c r="K62" i="23" s="1"/>
  <c r="K63" i="23" s="1"/>
  <c r="K64" i="23" s="1"/>
  <c r="K65" i="23" s="1"/>
  <c r="K66" i="23" s="1"/>
  <c r="K67" i="23" s="1"/>
  <c r="K68" i="23" s="1"/>
  <c r="K69" i="23" s="1"/>
  <c r="K70" i="23" s="1"/>
  <c r="K71" i="23" s="1"/>
  <c r="K72" i="23" s="1"/>
  <c r="K73" i="23" s="1"/>
  <c r="K74" i="23" s="1"/>
  <c r="K75" i="23" s="1"/>
  <c r="K76" i="23" s="1"/>
  <c r="K77" i="23" s="1"/>
  <c r="K78" i="23" s="1"/>
  <c r="K79" i="23" s="1"/>
  <c r="K80" i="23" s="1"/>
  <c r="K81" i="23" s="1"/>
  <c r="K82" i="23" s="1"/>
  <c r="K83" i="23" s="1"/>
  <c r="K84" i="23" s="1"/>
  <c r="K85" i="23" s="1"/>
  <c r="K86" i="23" s="1"/>
  <c r="K87" i="23" s="1"/>
  <c r="K88" i="23" s="1"/>
  <c r="K89" i="23" s="1"/>
  <c r="K90" i="23" s="1"/>
  <c r="K91" i="23" s="1"/>
  <c r="K92" i="23" s="1"/>
  <c r="K93" i="23" s="1"/>
  <c r="K94" i="23" s="1"/>
  <c r="K95" i="23" s="1"/>
  <c r="K96" i="23" s="1"/>
  <c r="K97" i="23" s="1"/>
  <c r="K98" i="23" s="1"/>
  <c r="K99" i="23" s="1"/>
  <c r="K100" i="23" s="1"/>
  <c r="K101" i="23" s="1"/>
  <c r="K102" i="23" s="1"/>
  <c r="J4" i="23"/>
  <c r="H4" i="23"/>
  <c r="F4" i="23"/>
  <c r="T3" i="23"/>
  <c r="N3" i="23"/>
  <c r="G3" i="23"/>
  <c r="AA3" i="23" s="1"/>
  <c r="F3" i="23"/>
  <c r="U3" i="23" s="1"/>
  <c r="C3" i="23"/>
  <c r="R3" i="23" s="1"/>
  <c r="AI102" i="22"/>
  <c r="AA102" i="22"/>
  <c r="Z102" i="22"/>
  <c r="X102" i="22"/>
  <c r="W102" i="22"/>
  <c r="U102" i="22"/>
  <c r="T102" i="22"/>
  <c r="S102" i="22"/>
  <c r="R102" i="22"/>
  <c r="Q102" i="22"/>
  <c r="P102" i="22"/>
  <c r="O102" i="22"/>
  <c r="G102" i="22"/>
  <c r="M102" i="22" s="1"/>
  <c r="F102" i="22"/>
  <c r="AI101" i="22"/>
  <c r="AA101" i="22"/>
  <c r="Z101" i="22"/>
  <c r="X101" i="22"/>
  <c r="W101" i="22"/>
  <c r="U101" i="22"/>
  <c r="T101" i="22"/>
  <c r="S101" i="22"/>
  <c r="R101" i="22"/>
  <c r="Q101" i="22"/>
  <c r="P101" i="22"/>
  <c r="O101" i="22"/>
  <c r="G101" i="22"/>
  <c r="M101" i="22" s="1"/>
  <c r="F101" i="22"/>
  <c r="AI100" i="22"/>
  <c r="AA100" i="22"/>
  <c r="Z100" i="22"/>
  <c r="X100" i="22"/>
  <c r="W100" i="22"/>
  <c r="U100" i="22"/>
  <c r="T100" i="22"/>
  <c r="S100" i="22"/>
  <c r="R100" i="22"/>
  <c r="Q100" i="22"/>
  <c r="P100" i="22"/>
  <c r="O100" i="22"/>
  <c r="G100" i="22"/>
  <c r="M100" i="22" s="1"/>
  <c r="F100" i="22"/>
  <c r="AI99" i="22"/>
  <c r="AA99" i="22"/>
  <c r="Z99" i="22"/>
  <c r="X99" i="22"/>
  <c r="W99" i="22"/>
  <c r="U99" i="22"/>
  <c r="T99" i="22"/>
  <c r="S99" i="22"/>
  <c r="R99" i="22"/>
  <c r="Q99" i="22"/>
  <c r="P99" i="22"/>
  <c r="O99" i="22"/>
  <c r="G99" i="22"/>
  <c r="M99" i="22" s="1"/>
  <c r="F99" i="22"/>
  <c r="AI98" i="22"/>
  <c r="AA98" i="22"/>
  <c r="Z98" i="22"/>
  <c r="X98" i="22"/>
  <c r="W98" i="22"/>
  <c r="U98" i="22"/>
  <c r="T98" i="22"/>
  <c r="S98" i="22"/>
  <c r="R98" i="22"/>
  <c r="Q98" i="22"/>
  <c r="P98" i="22"/>
  <c r="O98" i="22"/>
  <c r="G98" i="22"/>
  <c r="M98" i="22" s="1"/>
  <c r="F98" i="22"/>
  <c r="AI97" i="22"/>
  <c r="AA97" i="22"/>
  <c r="Z97" i="22"/>
  <c r="X97" i="22"/>
  <c r="W97" i="22"/>
  <c r="U97" i="22"/>
  <c r="T97" i="22"/>
  <c r="S97" i="22"/>
  <c r="R97" i="22"/>
  <c r="Q97" i="22"/>
  <c r="P97" i="22"/>
  <c r="O97" i="22"/>
  <c r="G97" i="22"/>
  <c r="M97" i="22" s="1"/>
  <c r="F97" i="22"/>
  <c r="AI96" i="22"/>
  <c r="AA96" i="22"/>
  <c r="Z96" i="22"/>
  <c r="X96" i="22"/>
  <c r="W96" i="22"/>
  <c r="U96" i="22"/>
  <c r="T96" i="22"/>
  <c r="S96" i="22"/>
  <c r="R96" i="22"/>
  <c r="Q96" i="22"/>
  <c r="P96" i="22"/>
  <c r="O96" i="22"/>
  <c r="G96" i="22"/>
  <c r="M96" i="22" s="1"/>
  <c r="F96" i="22"/>
  <c r="AI95" i="22"/>
  <c r="AA95" i="22"/>
  <c r="Z95" i="22"/>
  <c r="X95" i="22"/>
  <c r="W95" i="22"/>
  <c r="U95" i="22"/>
  <c r="T95" i="22"/>
  <c r="S95" i="22"/>
  <c r="R95" i="22"/>
  <c r="Q95" i="22"/>
  <c r="P95" i="22"/>
  <c r="O95" i="22"/>
  <c r="G95" i="22"/>
  <c r="M95" i="22" s="1"/>
  <c r="F95" i="22"/>
  <c r="AI94" i="22"/>
  <c r="AA94" i="22"/>
  <c r="Z94" i="22"/>
  <c r="X94" i="22"/>
  <c r="W94" i="22"/>
  <c r="U94" i="22"/>
  <c r="T94" i="22"/>
  <c r="S94" i="22"/>
  <c r="R94" i="22"/>
  <c r="Q94" i="22"/>
  <c r="P94" i="22"/>
  <c r="O94" i="22"/>
  <c r="G94" i="22"/>
  <c r="F94" i="22"/>
  <c r="AI93" i="22"/>
  <c r="AA93" i="22"/>
  <c r="Z93" i="22"/>
  <c r="X93" i="22"/>
  <c r="W93" i="22"/>
  <c r="U93" i="22"/>
  <c r="T93" i="22"/>
  <c r="S93" i="22"/>
  <c r="R93" i="22"/>
  <c r="Q93" i="22"/>
  <c r="P93" i="22"/>
  <c r="O93" i="22"/>
  <c r="G93" i="22"/>
  <c r="M93" i="22" s="1"/>
  <c r="F93" i="22"/>
  <c r="AI92" i="22"/>
  <c r="AA92" i="22"/>
  <c r="Z92" i="22"/>
  <c r="X92" i="22"/>
  <c r="W92" i="22"/>
  <c r="U92" i="22"/>
  <c r="T92" i="22"/>
  <c r="S92" i="22"/>
  <c r="R92" i="22"/>
  <c r="Q92" i="22"/>
  <c r="P92" i="22"/>
  <c r="O92" i="22"/>
  <c r="G92" i="22"/>
  <c r="M92" i="22" s="1"/>
  <c r="F92" i="22"/>
  <c r="AI91" i="22"/>
  <c r="AA91" i="22"/>
  <c r="Z91" i="22"/>
  <c r="X91" i="22"/>
  <c r="W91" i="22"/>
  <c r="U91" i="22"/>
  <c r="T91" i="22"/>
  <c r="S91" i="22"/>
  <c r="R91" i="22"/>
  <c r="Q91" i="22"/>
  <c r="P91" i="22"/>
  <c r="O91" i="22"/>
  <c r="G91" i="22"/>
  <c r="M91" i="22" s="1"/>
  <c r="F91" i="22"/>
  <c r="AI90" i="22"/>
  <c r="AA90" i="22"/>
  <c r="Z90" i="22"/>
  <c r="X90" i="22"/>
  <c r="W90" i="22"/>
  <c r="U90" i="22"/>
  <c r="T90" i="22"/>
  <c r="S90" i="22"/>
  <c r="R90" i="22"/>
  <c r="Q90" i="22"/>
  <c r="P90" i="22"/>
  <c r="O90" i="22"/>
  <c r="G90" i="22"/>
  <c r="M90" i="22" s="1"/>
  <c r="F90" i="22"/>
  <c r="AI89" i="22"/>
  <c r="AA89" i="22"/>
  <c r="Z89" i="22"/>
  <c r="X89" i="22"/>
  <c r="W89" i="22"/>
  <c r="U89" i="22"/>
  <c r="T89" i="22"/>
  <c r="S89" i="22"/>
  <c r="R89" i="22"/>
  <c r="Q89" i="22"/>
  <c r="P89" i="22"/>
  <c r="O89" i="22"/>
  <c r="G89" i="22"/>
  <c r="M89" i="22" s="1"/>
  <c r="F89" i="22"/>
  <c r="AI88" i="22"/>
  <c r="AA88" i="22"/>
  <c r="Z88" i="22"/>
  <c r="X88" i="22"/>
  <c r="W88" i="22"/>
  <c r="U88" i="22"/>
  <c r="T88" i="22"/>
  <c r="S88" i="22"/>
  <c r="R88" i="22"/>
  <c r="Q88" i="22"/>
  <c r="P88" i="22"/>
  <c r="O88" i="22"/>
  <c r="G88" i="22"/>
  <c r="M88" i="22" s="1"/>
  <c r="F88" i="22"/>
  <c r="AI87" i="22"/>
  <c r="AA87" i="22"/>
  <c r="Z87" i="22"/>
  <c r="X87" i="22"/>
  <c r="W87" i="22"/>
  <c r="U87" i="22"/>
  <c r="T87" i="22"/>
  <c r="S87" i="22"/>
  <c r="R87" i="22"/>
  <c r="Q87" i="22"/>
  <c r="P87" i="22"/>
  <c r="O87" i="22"/>
  <c r="G87" i="22"/>
  <c r="M87" i="22" s="1"/>
  <c r="F87" i="22"/>
  <c r="AI86" i="22"/>
  <c r="AA86" i="22"/>
  <c r="Z86" i="22"/>
  <c r="X86" i="22"/>
  <c r="W86" i="22"/>
  <c r="U86" i="22"/>
  <c r="T86" i="22"/>
  <c r="S86" i="22"/>
  <c r="R86" i="22"/>
  <c r="Q86" i="22"/>
  <c r="P86" i="22"/>
  <c r="O86" i="22"/>
  <c r="G86" i="22"/>
  <c r="M86" i="22" s="1"/>
  <c r="F86" i="22"/>
  <c r="AI85" i="22"/>
  <c r="AA85" i="22"/>
  <c r="Z85" i="22"/>
  <c r="X85" i="22"/>
  <c r="W85" i="22"/>
  <c r="U85" i="22"/>
  <c r="T85" i="22"/>
  <c r="S85" i="22"/>
  <c r="R85" i="22"/>
  <c r="Q85" i="22"/>
  <c r="P85" i="22"/>
  <c r="O85" i="22"/>
  <c r="G85" i="22"/>
  <c r="M85" i="22" s="1"/>
  <c r="F85" i="22"/>
  <c r="AI84" i="22"/>
  <c r="AA84" i="22"/>
  <c r="Z84" i="22"/>
  <c r="X84" i="22"/>
  <c r="W84" i="22"/>
  <c r="U84" i="22"/>
  <c r="T84" i="22"/>
  <c r="S84" i="22"/>
  <c r="R84" i="22"/>
  <c r="Q84" i="22"/>
  <c r="P84" i="22"/>
  <c r="O84" i="22"/>
  <c r="G84" i="22"/>
  <c r="M84" i="22" s="1"/>
  <c r="F84" i="22"/>
  <c r="AI83" i="22"/>
  <c r="AA83" i="22"/>
  <c r="Z83" i="22"/>
  <c r="X83" i="22"/>
  <c r="W83" i="22"/>
  <c r="U83" i="22"/>
  <c r="T83" i="22"/>
  <c r="S83" i="22"/>
  <c r="R83" i="22"/>
  <c r="Q83" i="22"/>
  <c r="P83" i="22"/>
  <c r="O83" i="22"/>
  <c r="G83" i="22"/>
  <c r="M83" i="22" s="1"/>
  <c r="F83" i="22"/>
  <c r="AI82" i="22"/>
  <c r="AA82" i="22"/>
  <c r="Z82" i="22"/>
  <c r="X82" i="22"/>
  <c r="W82" i="22"/>
  <c r="U82" i="22"/>
  <c r="T82" i="22"/>
  <c r="S82" i="22"/>
  <c r="R82" i="22"/>
  <c r="Q82" i="22"/>
  <c r="P82" i="22"/>
  <c r="O82" i="22"/>
  <c r="G82" i="22"/>
  <c r="F82" i="22"/>
  <c r="AI81" i="22"/>
  <c r="AA81" i="22"/>
  <c r="Z81" i="22"/>
  <c r="X81" i="22"/>
  <c r="W81" i="22"/>
  <c r="U81" i="22"/>
  <c r="T81" i="22"/>
  <c r="S81" i="22"/>
  <c r="R81" i="22"/>
  <c r="Q81" i="22"/>
  <c r="P81" i="22"/>
  <c r="O81" i="22"/>
  <c r="G81" i="22"/>
  <c r="M81" i="22" s="1"/>
  <c r="F81" i="22"/>
  <c r="AI80" i="22"/>
  <c r="AA80" i="22"/>
  <c r="Z80" i="22"/>
  <c r="X80" i="22"/>
  <c r="W80" i="22"/>
  <c r="U80" i="22"/>
  <c r="T80" i="22"/>
  <c r="S80" i="22"/>
  <c r="R80" i="22"/>
  <c r="Q80" i="22"/>
  <c r="P80" i="22"/>
  <c r="O80" i="22"/>
  <c r="G80" i="22"/>
  <c r="M80" i="22" s="1"/>
  <c r="F80" i="22"/>
  <c r="AI79" i="22"/>
  <c r="AA79" i="22"/>
  <c r="Z79" i="22"/>
  <c r="X79" i="22"/>
  <c r="W79" i="22"/>
  <c r="U79" i="22"/>
  <c r="T79" i="22"/>
  <c r="S79" i="22"/>
  <c r="R79" i="22"/>
  <c r="Q79" i="22"/>
  <c r="P79" i="22"/>
  <c r="O79" i="22"/>
  <c r="G79" i="22"/>
  <c r="M79" i="22" s="1"/>
  <c r="F79" i="22"/>
  <c r="AI78" i="22"/>
  <c r="AA78" i="22"/>
  <c r="Z78" i="22"/>
  <c r="X78" i="22"/>
  <c r="W78" i="22"/>
  <c r="U78" i="22"/>
  <c r="T78" i="22"/>
  <c r="S78" i="22"/>
  <c r="R78" i="22"/>
  <c r="Q78" i="22"/>
  <c r="P78" i="22"/>
  <c r="O78" i="22"/>
  <c r="G78" i="22"/>
  <c r="M78" i="22" s="1"/>
  <c r="F78" i="22"/>
  <c r="AI77" i="22"/>
  <c r="AA77" i="22"/>
  <c r="Z77" i="22"/>
  <c r="X77" i="22"/>
  <c r="W77" i="22"/>
  <c r="U77" i="22"/>
  <c r="T77" i="22"/>
  <c r="S77" i="22"/>
  <c r="R77" i="22"/>
  <c r="Q77" i="22"/>
  <c r="P77" i="22"/>
  <c r="O77" i="22"/>
  <c r="G77" i="22"/>
  <c r="M77" i="22" s="1"/>
  <c r="F77" i="22"/>
  <c r="AI76" i="22"/>
  <c r="AA76" i="22"/>
  <c r="Z76" i="22"/>
  <c r="X76" i="22"/>
  <c r="W76" i="22"/>
  <c r="U76" i="22"/>
  <c r="T76" i="22"/>
  <c r="S76" i="22"/>
  <c r="R76" i="22"/>
  <c r="Q76" i="22"/>
  <c r="P76" i="22"/>
  <c r="O76" i="22"/>
  <c r="G76" i="22"/>
  <c r="M76" i="22" s="1"/>
  <c r="F76" i="22"/>
  <c r="AI75" i="22"/>
  <c r="AA75" i="22"/>
  <c r="Z75" i="22"/>
  <c r="X75" i="22"/>
  <c r="W75" i="22"/>
  <c r="U75" i="22"/>
  <c r="T75" i="22"/>
  <c r="S75" i="22"/>
  <c r="R75" i="22"/>
  <c r="Q75" i="22"/>
  <c r="P75" i="22"/>
  <c r="O75" i="22"/>
  <c r="G75" i="22"/>
  <c r="M75" i="22" s="1"/>
  <c r="F75" i="22"/>
  <c r="AI74" i="22"/>
  <c r="AA74" i="22"/>
  <c r="Z74" i="22"/>
  <c r="X74" i="22"/>
  <c r="W74" i="22"/>
  <c r="U74" i="22"/>
  <c r="T74" i="22"/>
  <c r="S74" i="22"/>
  <c r="R74" i="22"/>
  <c r="Q74" i="22"/>
  <c r="P74" i="22"/>
  <c r="O74" i="22"/>
  <c r="G74" i="22"/>
  <c r="M74" i="22" s="1"/>
  <c r="F74" i="22"/>
  <c r="AI73" i="22"/>
  <c r="AA73" i="22"/>
  <c r="Z73" i="22"/>
  <c r="X73" i="22"/>
  <c r="W73" i="22"/>
  <c r="U73" i="22"/>
  <c r="T73" i="22"/>
  <c r="S73" i="22"/>
  <c r="R73" i="22"/>
  <c r="Q73" i="22"/>
  <c r="P73" i="22"/>
  <c r="O73" i="22"/>
  <c r="G73" i="22"/>
  <c r="M73" i="22" s="1"/>
  <c r="F73" i="22"/>
  <c r="AI72" i="22"/>
  <c r="AA72" i="22"/>
  <c r="Z72" i="22"/>
  <c r="X72" i="22"/>
  <c r="W72" i="22"/>
  <c r="U72" i="22"/>
  <c r="T72" i="22"/>
  <c r="S72" i="22"/>
  <c r="R72" i="22"/>
  <c r="Q72" i="22"/>
  <c r="P72" i="22"/>
  <c r="O72" i="22"/>
  <c r="G72" i="22"/>
  <c r="M72" i="22" s="1"/>
  <c r="F72" i="22"/>
  <c r="AI71" i="22"/>
  <c r="AA71" i="22"/>
  <c r="Z71" i="22"/>
  <c r="X71" i="22"/>
  <c r="W71" i="22"/>
  <c r="U71" i="22"/>
  <c r="T71" i="22"/>
  <c r="S71" i="22"/>
  <c r="R71" i="22"/>
  <c r="Q71" i="22"/>
  <c r="P71" i="22"/>
  <c r="O71" i="22"/>
  <c r="G71" i="22"/>
  <c r="M71" i="22" s="1"/>
  <c r="F71" i="22"/>
  <c r="AI70" i="22"/>
  <c r="AA70" i="22"/>
  <c r="Z70" i="22"/>
  <c r="X70" i="22"/>
  <c r="W70" i="22"/>
  <c r="U70" i="22"/>
  <c r="T70" i="22"/>
  <c r="S70" i="22"/>
  <c r="R70" i="22"/>
  <c r="Q70" i="22"/>
  <c r="P70" i="22"/>
  <c r="O70" i="22"/>
  <c r="G70" i="22"/>
  <c r="F70" i="22"/>
  <c r="AI69" i="22"/>
  <c r="AA69" i="22"/>
  <c r="Z69" i="22"/>
  <c r="X69" i="22"/>
  <c r="W69" i="22"/>
  <c r="U69" i="22"/>
  <c r="T69" i="22"/>
  <c r="S69" i="22"/>
  <c r="R69" i="22"/>
  <c r="Q69" i="22"/>
  <c r="P69" i="22"/>
  <c r="O69" i="22"/>
  <c r="G69" i="22"/>
  <c r="M69" i="22" s="1"/>
  <c r="F69" i="22"/>
  <c r="AI68" i="22"/>
  <c r="AA68" i="22"/>
  <c r="Z68" i="22"/>
  <c r="X68" i="22"/>
  <c r="W68" i="22"/>
  <c r="U68" i="22"/>
  <c r="T68" i="22"/>
  <c r="S68" i="22"/>
  <c r="R68" i="22"/>
  <c r="Q68" i="22"/>
  <c r="P68" i="22"/>
  <c r="O68" i="22"/>
  <c r="G68" i="22"/>
  <c r="M68" i="22" s="1"/>
  <c r="F68" i="22"/>
  <c r="AI67" i="22"/>
  <c r="AA67" i="22"/>
  <c r="Z67" i="22"/>
  <c r="X67" i="22"/>
  <c r="W67" i="22"/>
  <c r="U67" i="22"/>
  <c r="T67" i="22"/>
  <c r="S67" i="22"/>
  <c r="R67" i="22"/>
  <c r="Q67" i="22"/>
  <c r="P67" i="22"/>
  <c r="O67" i="22"/>
  <c r="G67" i="22"/>
  <c r="M67" i="22" s="1"/>
  <c r="F67" i="22"/>
  <c r="AI66" i="22"/>
  <c r="X66" i="22"/>
  <c r="W66" i="22"/>
  <c r="U66" i="22"/>
  <c r="T66" i="22"/>
  <c r="S66" i="22"/>
  <c r="R66" i="22"/>
  <c r="Q66" i="22"/>
  <c r="P66" i="22"/>
  <c r="O66" i="22"/>
  <c r="G66" i="22"/>
  <c r="M66" i="22" s="1"/>
  <c r="F66" i="22"/>
  <c r="AI65" i="22"/>
  <c r="F65" i="22"/>
  <c r="AI64" i="22"/>
  <c r="F64" i="22"/>
  <c r="AI63" i="22"/>
  <c r="F63" i="22"/>
  <c r="AI62" i="22"/>
  <c r="F62" i="22"/>
  <c r="AI61" i="22"/>
  <c r="F61" i="22"/>
  <c r="AI60" i="22"/>
  <c r="F60" i="22"/>
  <c r="AI59" i="22"/>
  <c r="F59" i="22"/>
  <c r="AI58" i="22"/>
  <c r="F58" i="22"/>
  <c r="AI57" i="22"/>
  <c r="F57" i="22"/>
  <c r="AI56" i="22"/>
  <c r="F56" i="22"/>
  <c r="AI55" i="22"/>
  <c r="F55" i="22"/>
  <c r="AI54" i="22"/>
  <c r="F54" i="22"/>
  <c r="AI53" i="22"/>
  <c r="F53" i="22"/>
  <c r="AI52" i="22"/>
  <c r="F52" i="22"/>
  <c r="AI51" i="22"/>
  <c r="F51" i="22"/>
  <c r="AI50" i="22"/>
  <c r="F50" i="22"/>
  <c r="AI49" i="22"/>
  <c r="F49" i="22"/>
  <c r="AI48" i="22"/>
  <c r="F48" i="22"/>
  <c r="AI47" i="22"/>
  <c r="F47" i="22"/>
  <c r="AI46" i="22"/>
  <c r="Q46" i="22"/>
  <c r="G46" i="22"/>
  <c r="P46" i="22" s="1"/>
  <c r="F46" i="22"/>
  <c r="U46" i="22" s="1"/>
  <c r="AI45" i="22"/>
  <c r="F45" i="22"/>
  <c r="AI44" i="22"/>
  <c r="F44" i="22"/>
  <c r="AI43" i="22"/>
  <c r="F43" i="22"/>
  <c r="AI42" i="22"/>
  <c r="F42" i="22"/>
  <c r="AI41" i="22"/>
  <c r="F41" i="22"/>
  <c r="AI40" i="22"/>
  <c r="F40" i="22"/>
  <c r="AI39" i="22"/>
  <c r="F39" i="22"/>
  <c r="AI38" i="22"/>
  <c r="F38" i="22"/>
  <c r="AI37" i="22"/>
  <c r="F37" i="22"/>
  <c r="AI36" i="22"/>
  <c r="F36" i="22"/>
  <c r="AI35" i="22"/>
  <c r="F35" i="22"/>
  <c r="AI34" i="22"/>
  <c r="F34" i="22"/>
  <c r="AI33" i="22"/>
  <c r="F33" i="22"/>
  <c r="AI32" i="22"/>
  <c r="F32" i="22"/>
  <c r="AI31" i="22"/>
  <c r="F31" i="22"/>
  <c r="AI30" i="22"/>
  <c r="F30" i="22"/>
  <c r="AI29" i="22"/>
  <c r="F29" i="22"/>
  <c r="AI28" i="22"/>
  <c r="F28" i="22"/>
  <c r="AI27" i="22"/>
  <c r="F27" i="22"/>
  <c r="AI26" i="22"/>
  <c r="G26" i="22"/>
  <c r="M26" i="22" s="1"/>
  <c r="X26" i="22" s="1"/>
  <c r="F26" i="22"/>
  <c r="U26" i="22" s="1"/>
  <c r="AI25" i="22"/>
  <c r="F25" i="22"/>
  <c r="AI24" i="22"/>
  <c r="F24" i="22"/>
  <c r="AI23" i="22"/>
  <c r="F23" i="22"/>
  <c r="AI22" i="22"/>
  <c r="F22" i="22"/>
  <c r="AI21" i="22"/>
  <c r="F21" i="22"/>
  <c r="AI20" i="22"/>
  <c r="F20" i="22"/>
  <c r="AI19" i="22"/>
  <c r="F19" i="22"/>
  <c r="AI18" i="22"/>
  <c r="F18" i="22"/>
  <c r="AI17" i="22"/>
  <c r="F17" i="22"/>
  <c r="AI16" i="22"/>
  <c r="F16" i="22"/>
  <c r="AI15" i="22"/>
  <c r="F15" i="22"/>
  <c r="AI14" i="22"/>
  <c r="F14" i="22"/>
  <c r="AI13" i="22"/>
  <c r="F13" i="22"/>
  <c r="AI12" i="22"/>
  <c r="F12" i="22"/>
  <c r="AI11" i="22"/>
  <c r="F11" i="22"/>
  <c r="AI10" i="22"/>
  <c r="F10" i="22"/>
  <c r="AI9" i="22"/>
  <c r="F9" i="22"/>
  <c r="AI8" i="22"/>
  <c r="F8" i="22"/>
  <c r="AI7" i="22"/>
  <c r="AH7" i="22"/>
  <c r="AH8" i="22" s="1"/>
  <c r="F7" i="22"/>
  <c r="AI6" i="22"/>
  <c r="X6" i="22"/>
  <c r="U6" i="22"/>
  <c r="G6" i="22"/>
  <c r="M6" i="22" s="1"/>
  <c r="F6" i="22"/>
  <c r="N5" i="22"/>
  <c r="H5" i="22"/>
  <c r="H6" i="22" s="1"/>
  <c r="F5" i="22"/>
  <c r="N4" i="22"/>
  <c r="K4" i="22"/>
  <c r="K5" i="22" s="1"/>
  <c r="K6" i="22" s="1"/>
  <c r="K7" i="22" s="1"/>
  <c r="K8" i="22" s="1"/>
  <c r="K9" i="22" s="1"/>
  <c r="K10" i="22" s="1"/>
  <c r="K11" i="22" s="1"/>
  <c r="K12" i="22" s="1"/>
  <c r="K13" i="22" s="1"/>
  <c r="K14" i="22" s="1"/>
  <c r="K15" i="22" s="1"/>
  <c r="K16" i="22" s="1"/>
  <c r="K17" i="22" s="1"/>
  <c r="K18" i="22" s="1"/>
  <c r="K19" i="22" s="1"/>
  <c r="K20" i="22" s="1"/>
  <c r="K21" i="22" s="1"/>
  <c r="K22" i="22" s="1"/>
  <c r="K23" i="22" s="1"/>
  <c r="K24" i="22" s="1"/>
  <c r="K25" i="22" s="1"/>
  <c r="K26" i="22" s="1"/>
  <c r="K27" i="22" s="1"/>
  <c r="K28" i="22" s="1"/>
  <c r="K29" i="22" s="1"/>
  <c r="K30" i="22" s="1"/>
  <c r="K31" i="22" s="1"/>
  <c r="K32" i="22" s="1"/>
  <c r="K33" i="22" s="1"/>
  <c r="K34" i="22" s="1"/>
  <c r="K35" i="22" s="1"/>
  <c r="K36" i="22" s="1"/>
  <c r="K37" i="22" s="1"/>
  <c r="K38" i="22" s="1"/>
  <c r="K39" i="22" s="1"/>
  <c r="K40" i="22" s="1"/>
  <c r="K41" i="22" s="1"/>
  <c r="K42" i="22" s="1"/>
  <c r="K43" i="22" s="1"/>
  <c r="K44" i="22" s="1"/>
  <c r="K45" i="22" s="1"/>
  <c r="K46" i="22" s="1"/>
  <c r="K47" i="22" s="1"/>
  <c r="K48" i="22" s="1"/>
  <c r="K49" i="22" s="1"/>
  <c r="K50" i="22" s="1"/>
  <c r="K51" i="22" s="1"/>
  <c r="K52" i="22" s="1"/>
  <c r="K53" i="22" s="1"/>
  <c r="K54" i="22" s="1"/>
  <c r="K55" i="22" s="1"/>
  <c r="K56" i="22" s="1"/>
  <c r="K57" i="22" s="1"/>
  <c r="K58" i="22" s="1"/>
  <c r="K59" i="22" s="1"/>
  <c r="K60" i="22" s="1"/>
  <c r="K61" i="22" s="1"/>
  <c r="K62" i="22" s="1"/>
  <c r="K63" i="22" s="1"/>
  <c r="K64" i="22" s="1"/>
  <c r="K65" i="22" s="1"/>
  <c r="K66" i="22" s="1"/>
  <c r="K67" i="22" s="1"/>
  <c r="K68" i="22" s="1"/>
  <c r="K69" i="22" s="1"/>
  <c r="K70" i="22" s="1"/>
  <c r="K71" i="22" s="1"/>
  <c r="K72" i="22" s="1"/>
  <c r="K73" i="22" s="1"/>
  <c r="K74" i="22" s="1"/>
  <c r="K75" i="22" s="1"/>
  <c r="K76" i="22" s="1"/>
  <c r="K77" i="22" s="1"/>
  <c r="K78" i="22" s="1"/>
  <c r="K79" i="22" s="1"/>
  <c r="K80" i="22" s="1"/>
  <c r="K81" i="22" s="1"/>
  <c r="K82" i="22" s="1"/>
  <c r="K83" i="22" s="1"/>
  <c r="K84" i="22" s="1"/>
  <c r="K85" i="22" s="1"/>
  <c r="K86" i="22" s="1"/>
  <c r="K87" i="22" s="1"/>
  <c r="K88" i="22" s="1"/>
  <c r="K89" i="22" s="1"/>
  <c r="K90" i="22" s="1"/>
  <c r="K91" i="22" s="1"/>
  <c r="K92" i="22" s="1"/>
  <c r="K93" i="22" s="1"/>
  <c r="K94" i="22" s="1"/>
  <c r="K95" i="22" s="1"/>
  <c r="K96" i="22" s="1"/>
  <c r="K97" i="22" s="1"/>
  <c r="K98" i="22" s="1"/>
  <c r="K99" i="22" s="1"/>
  <c r="K100" i="22" s="1"/>
  <c r="K101" i="22" s="1"/>
  <c r="K102" i="22" s="1"/>
  <c r="J4" i="22"/>
  <c r="H4" i="22"/>
  <c r="F4" i="22"/>
  <c r="AA3" i="22"/>
  <c r="Z3" i="22"/>
  <c r="T3" i="22"/>
  <c r="P3" i="22"/>
  <c r="N3" i="22"/>
  <c r="L3" i="22"/>
  <c r="W3" i="22" s="1"/>
  <c r="G3" i="22"/>
  <c r="D3" i="22" s="1"/>
  <c r="S3" i="22" s="1"/>
  <c r="F3" i="22"/>
  <c r="U3" i="22" s="1"/>
  <c r="O2" i="22"/>
  <c r="AI102" i="21"/>
  <c r="AA102" i="21"/>
  <c r="Z102" i="21"/>
  <c r="X102" i="21"/>
  <c r="W102" i="21"/>
  <c r="U102" i="21"/>
  <c r="T102" i="21"/>
  <c r="S102" i="21"/>
  <c r="R102" i="21"/>
  <c r="Q102" i="21"/>
  <c r="P102" i="21"/>
  <c r="O102" i="21"/>
  <c r="G102" i="21"/>
  <c r="M102" i="21" s="1"/>
  <c r="F102" i="21"/>
  <c r="AI101" i="21"/>
  <c r="AA101" i="21"/>
  <c r="Z101" i="21"/>
  <c r="X101" i="21"/>
  <c r="W101" i="21"/>
  <c r="U101" i="21"/>
  <c r="T101" i="21"/>
  <c r="S101" i="21"/>
  <c r="R101" i="21"/>
  <c r="Q101" i="21"/>
  <c r="P101" i="21"/>
  <c r="O101" i="21"/>
  <c r="G101" i="21"/>
  <c r="M101" i="21" s="1"/>
  <c r="F101" i="21"/>
  <c r="AI100" i="21"/>
  <c r="AA100" i="21"/>
  <c r="Z100" i="21"/>
  <c r="X100" i="21"/>
  <c r="W100" i="21"/>
  <c r="U100" i="21"/>
  <c r="T100" i="21"/>
  <c r="S100" i="21"/>
  <c r="R100" i="21"/>
  <c r="Q100" i="21"/>
  <c r="P100" i="21"/>
  <c r="O100" i="21"/>
  <c r="G100" i="21"/>
  <c r="M100" i="21" s="1"/>
  <c r="F100" i="21"/>
  <c r="AI99" i="21"/>
  <c r="AA99" i="21"/>
  <c r="Z99" i="21"/>
  <c r="X99" i="21"/>
  <c r="W99" i="21"/>
  <c r="U99" i="21"/>
  <c r="T99" i="21"/>
  <c r="S99" i="21"/>
  <c r="R99" i="21"/>
  <c r="Q99" i="21"/>
  <c r="P99" i="21"/>
  <c r="O99" i="21"/>
  <c r="G99" i="21"/>
  <c r="M99" i="21" s="1"/>
  <c r="F99" i="21"/>
  <c r="AI98" i="21"/>
  <c r="AA98" i="21"/>
  <c r="Z98" i="21"/>
  <c r="X98" i="21"/>
  <c r="W98" i="21"/>
  <c r="U98" i="21"/>
  <c r="T98" i="21"/>
  <c r="S98" i="21"/>
  <c r="R98" i="21"/>
  <c r="Q98" i="21"/>
  <c r="P98" i="21"/>
  <c r="O98" i="21"/>
  <c r="G98" i="21"/>
  <c r="M98" i="21" s="1"/>
  <c r="F98" i="21"/>
  <c r="AI97" i="21"/>
  <c r="AA97" i="21"/>
  <c r="Z97" i="21"/>
  <c r="X97" i="21"/>
  <c r="W97" i="21"/>
  <c r="U97" i="21"/>
  <c r="T97" i="21"/>
  <c r="S97" i="21"/>
  <c r="R97" i="21"/>
  <c r="Q97" i="21"/>
  <c r="P97" i="21"/>
  <c r="O97" i="21"/>
  <c r="G97" i="21"/>
  <c r="M97" i="21" s="1"/>
  <c r="F97" i="21"/>
  <c r="AI96" i="21"/>
  <c r="AA96" i="21"/>
  <c r="Z96" i="21"/>
  <c r="X96" i="21"/>
  <c r="W96" i="21"/>
  <c r="U96" i="21"/>
  <c r="T96" i="21"/>
  <c r="S96" i="21"/>
  <c r="R96" i="21"/>
  <c r="Q96" i="21"/>
  <c r="P96" i="21"/>
  <c r="O96" i="21"/>
  <c r="G96" i="21"/>
  <c r="M96" i="21" s="1"/>
  <c r="F96" i="21"/>
  <c r="AI95" i="21"/>
  <c r="AA95" i="21"/>
  <c r="Z95" i="21"/>
  <c r="X95" i="21"/>
  <c r="W95" i="21"/>
  <c r="U95" i="21"/>
  <c r="T95" i="21"/>
  <c r="S95" i="21"/>
  <c r="R95" i="21"/>
  <c r="Q95" i="21"/>
  <c r="P95" i="21"/>
  <c r="O95" i="21"/>
  <c r="G95" i="21"/>
  <c r="M95" i="21" s="1"/>
  <c r="F95" i="21"/>
  <c r="AI94" i="21"/>
  <c r="AA94" i="21"/>
  <c r="Z94" i="21"/>
  <c r="X94" i="21"/>
  <c r="W94" i="21"/>
  <c r="U94" i="21"/>
  <c r="T94" i="21"/>
  <c r="S94" i="21"/>
  <c r="R94" i="21"/>
  <c r="Q94" i="21"/>
  <c r="P94" i="21"/>
  <c r="O94" i="21"/>
  <c r="G94" i="21"/>
  <c r="M94" i="21" s="1"/>
  <c r="F94" i="21"/>
  <c r="AI93" i="21"/>
  <c r="AA93" i="21"/>
  <c r="Z93" i="21"/>
  <c r="X93" i="21"/>
  <c r="W93" i="21"/>
  <c r="U93" i="21"/>
  <c r="T93" i="21"/>
  <c r="S93" i="21"/>
  <c r="R93" i="21"/>
  <c r="Q93" i="21"/>
  <c r="P93" i="21"/>
  <c r="O93" i="21"/>
  <c r="G93" i="21"/>
  <c r="M93" i="21" s="1"/>
  <c r="F93" i="21"/>
  <c r="AI92" i="21"/>
  <c r="AA92" i="21"/>
  <c r="Z92" i="21"/>
  <c r="X92" i="21"/>
  <c r="W92" i="21"/>
  <c r="U92" i="21"/>
  <c r="T92" i="21"/>
  <c r="S92" i="21"/>
  <c r="R92" i="21"/>
  <c r="Q92" i="21"/>
  <c r="P92" i="21"/>
  <c r="O92" i="21"/>
  <c r="G92" i="21"/>
  <c r="M92" i="21" s="1"/>
  <c r="F92" i="21"/>
  <c r="AI91" i="21"/>
  <c r="AA91" i="21"/>
  <c r="Z91" i="21"/>
  <c r="X91" i="21"/>
  <c r="W91" i="21"/>
  <c r="U91" i="21"/>
  <c r="T91" i="21"/>
  <c r="S91" i="21"/>
  <c r="R91" i="21"/>
  <c r="Q91" i="21"/>
  <c r="P91" i="21"/>
  <c r="O91" i="21"/>
  <c r="G91" i="21"/>
  <c r="M91" i="21" s="1"/>
  <c r="F91" i="21"/>
  <c r="AI90" i="21"/>
  <c r="AA90" i="21"/>
  <c r="Z90" i="21"/>
  <c r="X90" i="21"/>
  <c r="W90" i="21"/>
  <c r="U90" i="21"/>
  <c r="T90" i="21"/>
  <c r="S90" i="21"/>
  <c r="R90" i="21"/>
  <c r="Q90" i="21"/>
  <c r="P90" i="21"/>
  <c r="O90" i="21"/>
  <c r="G90" i="21"/>
  <c r="M90" i="21" s="1"/>
  <c r="F90" i="21"/>
  <c r="AI89" i="21"/>
  <c r="AA89" i="21"/>
  <c r="Z89" i="21"/>
  <c r="X89" i="21"/>
  <c r="W89" i="21"/>
  <c r="U89" i="21"/>
  <c r="T89" i="21"/>
  <c r="S89" i="21"/>
  <c r="R89" i="21"/>
  <c r="Q89" i="21"/>
  <c r="P89" i="21"/>
  <c r="O89" i="21"/>
  <c r="G89" i="21"/>
  <c r="M89" i="21" s="1"/>
  <c r="F89" i="21"/>
  <c r="AI88" i="21"/>
  <c r="AA88" i="21"/>
  <c r="Z88" i="21"/>
  <c r="X88" i="21"/>
  <c r="W88" i="21"/>
  <c r="U88" i="21"/>
  <c r="T88" i="21"/>
  <c r="S88" i="21"/>
  <c r="R88" i="21"/>
  <c r="Q88" i="21"/>
  <c r="P88" i="21"/>
  <c r="O88" i="21"/>
  <c r="G88" i="21"/>
  <c r="M88" i="21" s="1"/>
  <c r="F88" i="21"/>
  <c r="AI87" i="21"/>
  <c r="AA87" i="21"/>
  <c r="Z87" i="21"/>
  <c r="X87" i="21"/>
  <c r="W87" i="21"/>
  <c r="U87" i="21"/>
  <c r="T87" i="21"/>
  <c r="S87" i="21"/>
  <c r="R87" i="21"/>
  <c r="Q87" i="21"/>
  <c r="P87" i="21"/>
  <c r="O87" i="21"/>
  <c r="G87" i="21"/>
  <c r="M87" i="21" s="1"/>
  <c r="F87" i="21"/>
  <c r="AI86" i="21"/>
  <c r="AA86" i="21"/>
  <c r="Z86" i="21"/>
  <c r="X86" i="21"/>
  <c r="W86" i="21"/>
  <c r="U86" i="21"/>
  <c r="T86" i="21"/>
  <c r="S86" i="21"/>
  <c r="R86" i="21"/>
  <c r="Q86" i="21"/>
  <c r="P86" i="21"/>
  <c r="O86" i="21"/>
  <c r="G86" i="21"/>
  <c r="M86" i="21" s="1"/>
  <c r="F86" i="21"/>
  <c r="AI85" i="21"/>
  <c r="AA85" i="21"/>
  <c r="Z85" i="21"/>
  <c r="X85" i="21"/>
  <c r="W85" i="21"/>
  <c r="U85" i="21"/>
  <c r="T85" i="21"/>
  <c r="S85" i="21"/>
  <c r="R85" i="21"/>
  <c r="Q85" i="21"/>
  <c r="P85" i="21"/>
  <c r="O85" i="21"/>
  <c r="G85" i="21"/>
  <c r="M85" i="21" s="1"/>
  <c r="F85" i="21"/>
  <c r="AI84" i="21"/>
  <c r="AA84" i="21"/>
  <c r="Z84" i="21"/>
  <c r="X84" i="21"/>
  <c r="W84" i="21"/>
  <c r="U84" i="21"/>
  <c r="T84" i="21"/>
  <c r="S84" i="21"/>
  <c r="R84" i="21"/>
  <c r="Q84" i="21"/>
  <c r="P84" i="21"/>
  <c r="O84" i="21"/>
  <c r="G84" i="21"/>
  <c r="M84" i="21" s="1"/>
  <c r="F84" i="21"/>
  <c r="AI83" i="21"/>
  <c r="AA83" i="21"/>
  <c r="Z83" i="21"/>
  <c r="X83" i="21"/>
  <c r="W83" i="21"/>
  <c r="U83" i="21"/>
  <c r="T83" i="21"/>
  <c r="S83" i="21"/>
  <c r="R83" i="21"/>
  <c r="Q83" i="21"/>
  <c r="P83" i="21"/>
  <c r="O83" i="21"/>
  <c r="G83" i="21"/>
  <c r="M83" i="21" s="1"/>
  <c r="F83" i="21"/>
  <c r="AI82" i="21"/>
  <c r="AA82" i="21"/>
  <c r="Z82" i="21"/>
  <c r="X82" i="21"/>
  <c r="W82" i="21"/>
  <c r="U82" i="21"/>
  <c r="T82" i="21"/>
  <c r="S82" i="21"/>
  <c r="R82" i="21"/>
  <c r="Q82" i="21"/>
  <c r="P82" i="21"/>
  <c r="O82" i="21"/>
  <c r="G82" i="21"/>
  <c r="M82" i="21" s="1"/>
  <c r="F82" i="21"/>
  <c r="AI81" i="21"/>
  <c r="AA81" i="21"/>
  <c r="Z81" i="21"/>
  <c r="X81" i="21"/>
  <c r="W81" i="21"/>
  <c r="U81" i="21"/>
  <c r="T81" i="21"/>
  <c r="S81" i="21"/>
  <c r="R81" i="21"/>
  <c r="Q81" i="21"/>
  <c r="P81" i="21"/>
  <c r="O81" i="21"/>
  <c r="G81" i="21"/>
  <c r="M81" i="21" s="1"/>
  <c r="F81" i="21"/>
  <c r="AI80" i="21"/>
  <c r="AA80" i="21"/>
  <c r="Z80" i="21"/>
  <c r="X80" i="21"/>
  <c r="W80" i="21"/>
  <c r="U80" i="21"/>
  <c r="T80" i="21"/>
  <c r="S80" i="21"/>
  <c r="R80" i="21"/>
  <c r="Q80" i="21"/>
  <c r="P80" i="21"/>
  <c r="O80" i="21"/>
  <c r="G80" i="21"/>
  <c r="M80" i="21" s="1"/>
  <c r="F80" i="21"/>
  <c r="AI79" i="21"/>
  <c r="AA79" i="21"/>
  <c r="Z79" i="21"/>
  <c r="X79" i="21"/>
  <c r="W79" i="21"/>
  <c r="U79" i="21"/>
  <c r="T79" i="21"/>
  <c r="S79" i="21"/>
  <c r="R79" i="21"/>
  <c r="Q79" i="21"/>
  <c r="P79" i="21"/>
  <c r="O79" i="21"/>
  <c r="G79" i="21"/>
  <c r="M79" i="21" s="1"/>
  <c r="F79" i="21"/>
  <c r="AI78" i="21"/>
  <c r="AA78" i="21"/>
  <c r="Z78" i="21"/>
  <c r="X78" i="21"/>
  <c r="W78" i="21"/>
  <c r="U78" i="21"/>
  <c r="T78" i="21"/>
  <c r="S78" i="21"/>
  <c r="R78" i="21"/>
  <c r="Q78" i="21"/>
  <c r="P78" i="21"/>
  <c r="O78" i="21"/>
  <c r="G78" i="21"/>
  <c r="M78" i="21" s="1"/>
  <c r="F78" i="21"/>
  <c r="AI77" i="21"/>
  <c r="AA77" i="21"/>
  <c r="Z77" i="21"/>
  <c r="X77" i="21"/>
  <c r="W77" i="21"/>
  <c r="U77" i="21"/>
  <c r="T77" i="21"/>
  <c r="S77" i="21"/>
  <c r="R77" i="21"/>
  <c r="Q77" i="21"/>
  <c r="P77" i="21"/>
  <c r="O77" i="21"/>
  <c r="G77" i="21"/>
  <c r="M77" i="21" s="1"/>
  <c r="F77" i="21"/>
  <c r="AI76" i="21"/>
  <c r="AA76" i="21"/>
  <c r="Z76" i="21"/>
  <c r="X76" i="21"/>
  <c r="W76" i="21"/>
  <c r="U76" i="21"/>
  <c r="T76" i="21"/>
  <c r="S76" i="21"/>
  <c r="R76" i="21"/>
  <c r="Q76" i="21"/>
  <c r="P76" i="21"/>
  <c r="O76" i="21"/>
  <c r="G76" i="21"/>
  <c r="M76" i="21" s="1"/>
  <c r="F76" i="21"/>
  <c r="AI75" i="21"/>
  <c r="AA75" i="21"/>
  <c r="Z75" i="21"/>
  <c r="X75" i="21"/>
  <c r="W75" i="21"/>
  <c r="U75" i="21"/>
  <c r="T75" i="21"/>
  <c r="S75" i="21"/>
  <c r="R75" i="21"/>
  <c r="Q75" i="21"/>
  <c r="P75" i="21"/>
  <c r="O75" i="21"/>
  <c r="G75" i="21"/>
  <c r="M75" i="21" s="1"/>
  <c r="F75" i="21"/>
  <c r="AI74" i="21"/>
  <c r="AA74" i="21"/>
  <c r="Z74" i="21"/>
  <c r="X74" i="21"/>
  <c r="W74" i="21"/>
  <c r="U74" i="21"/>
  <c r="T74" i="21"/>
  <c r="S74" i="21"/>
  <c r="R74" i="21"/>
  <c r="Q74" i="21"/>
  <c r="P74" i="21"/>
  <c r="O74" i="21"/>
  <c r="G74" i="21"/>
  <c r="M74" i="21" s="1"/>
  <c r="F74" i="21"/>
  <c r="AI73" i="21"/>
  <c r="AA73" i="21"/>
  <c r="Z73" i="21"/>
  <c r="X73" i="21"/>
  <c r="W73" i="21"/>
  <c r="U73" i="21"/>
  <c r="T73" i="21"/>
  <c r="S73" i="21"/>
  <c r="R73" i="21"/>
  <c r="Q73" i="21"/>
  <c r="P73" i="21"/>
  <c r="O73" i="21"/>
  <c r="G73" i="21"/>
  <c r="M73" i="21" s="1"/>
  <c r="F73" i="21"/>
  <c r="AI72" i="21"/>
  <c r="AA72" i="21"/>
  <c r="Z72" i="21"/>
  <c r="X72" i="21"/>
  <c r="W72" i="21"/>
  <c r="U72" i="21"/>
  <c r="T72" i="21"/>
  <c r="S72" i="21"/>
  <c r="R72" i="21"/>
  <c r="Q72" i="21"/>
  <c r="P72" i="21"/>
  <c r="O72" i="21"/>
  <c r="G72" i="21"/>
  <c r="M72" i="21" s="1"/>
  <c r="F72" i="21"/>
  <c r="AI71" i="21"/>
  <c r="AA71" i="21"/>
  <c r="Z71" i="21"/>
  <c r="X71" i="21"/>
  <c r="W71" i="21"/>
  <c r="U71" i="21"/>
  <c r="T71" i="21"/>
  <c r="S71" i="21"/>
  <c r="R71" i="21"/>
  <c r="Q71" i="21"/>
  <c r="P71" i="21"/>
  <c r="O71" i="21"/>
  <c r="G71" i="21"/>
  <c r="M71" i="21" s="1"/>
  <c r="F71" i="21"/>
  <c r="AI70" i="21"/>
  <c r="AA70" i="21"/>
  <c r="Z70" i="21"/>
  <c r="X70" i="21"/>
  <c r="W70" i="21"/>
  <c r="U70" i="21"/>
  <c r="T70" i="21"/>
  <c r="S70" i="21"/>
  <c r="R70" i="21"/>
  <c r="Q70" i="21"/>
  <c r="P70" i="21"/>
  <c r="O70" i="21"/>
  <c r="G70" i="21"/>
  <c r="M70" i="21" s="1"/>
  <c r="F70" i="21"/>
  <c r="AI69" i="21"/>
  <c r="AA69" i="21"/>
  <c r="Z69" i="21"/>
  <c r="X69" i="21"/>
  <c r="W69" i="21"/>
  <c r="U69" i="21"/>
  <c r="T69" i="21"/>
  <c r="S69" i="21"/>
  <c r="R69" i="21"/>
  <c r="Q69" i="21"/>
  <c r="P69" i="21"/>
  <c r="O69" i="21"/>
  <c r="G69" i="21"/>
  <c r="M69" i="21" s="1"/>
  <c r="F69" i="21"/>
  <c r="AI68" i="21"/>
  <c r="AA68" i="21"/>
  <c r="Z68" i="21"/>
  <c r="X68" i="21"/>
  <c r="W68" i="21"/>
  <c r="U68" i="21"/>
  <c r="T68" i="21"/>
  <c r="S68" i="21"/>
  <c r="R68" i="21"/>
  <c r="Q68" i="21"/>
  <c r="P68" i="21"/>
  <c r="O68" i="21"/>
  <c r="G68" i="21"/>
  <c r="M68" i="21" s="1"/>
  <c r="F68" i="21"/>
  <c r="AI67" i="21"/>
  <c r="AA67" i="21"/>
  <c r="Z67" i="21"/>
  <c r="X67" i="21"/>
  <c r="W67" i="21"/>
  <c r="U67" i="21"/>
  <c r="T67" i="21"/>
  <c r="S67" i="21"/>
  <c r="R67" i="21"/>
  <c r="Q67" i="21"/>
  <c r="P67" i="21"/>
  <c r="O67" i="21"/>
  <c r="G67" i="21"/>
  <c r="M67" i="21" s="1"/>
  <c r="F67" i="21"/>
  <c r="AI66" i="21"/>
  <c r="Z66" i="21"/>
  <c r="X66" i="21"/>
  <c r="W66" i="21"/>
  <c r="U66" i="21"/>
  <c r="T66" i="21"/>
  <c r="S66" i="21"/>
  <c r="R66" i="21"/>
  <c r="Q66" i="21"/>
  <c r="P66" i="21"/>
  <c r="O66" i="21"/>
  <c r="G66" i="21"/>
  <c r="F66" i="21"/>
  <c r="AI65" i="21"/>
  <c r="F65" i="21"/>
  <c r="AI64" i="21"/>
  <c r="F64" i="21"/>
  <c r="AI63" i="21"/>
  <c r="F63" i="21"/>
  <c r="AI62" i="21"/>
  <c r="F62" i="21"/>
  <c r="AI61" i="21"/>
  <c r="F61" i="21"/>
  <c r="AI60" i="21"/>
  <c r="F60" i="21"/>
  <c r="AI59" i="21"/>
  <c r="F59" i="21"/>
  <c r="AI58" i="21"/>
  <c r="F58" i="21"/>
  <c r="AI57" i="21"/>
  <c r="F57" i="21"/>
  <c r="AI56" i="21"/>
  <c r="F56" i="21"/>
  <c r="AI55" i="21"/>
  <c r="F55" i="21"/>
  <c r="AI54" i="21"/>
  <c r="F54" i="21"/>
  <c r="AI53" i="21"/>
  <c r="F53" i="21"/>
  <c r="AI52" i="21"/>
  <c r="F52" i="21"/>
  <c r="AI51" i="21"/>
  <c r="F51" i="21"/>
  <c r="AI50" i="21"/>
  <c r="F50" i="21"/>
  <c r="AI49" i="21"/>
  <c r="F49" i="21"/>
  <c r="AI48" i="21"/>
  <c r="F48" i="21"/>
  <c r="AI47" i="21"/>
  <c r="F47" i="21"/>
  <c r="AI46" i="21"/>
  <c r="P46" i="21"/>
  <c r="G46" i="21"/>
  <c r="M46" i="21" s="1"/>
  <c r="X46" i="21" s="1"/>
  <c r="F46" i="21"/>
  <c r="AI45" i="21"/>
  <c r="F45" i="21"/>
  <c r="AI44" i="21"/>
  <c r="F44" i="21"/>
  <c r="AI43" i="21"/>
  <c r="F43" i="21"/>
  <c r="AI42" i="21"/>
  <c r="F42" i="21"/>
  <c r="AI41" i="21"/>
  <c r="F41" i="21"/>
  <c r="AI40" i="21"/>
  <c r="F40" i="21"/>
  <c r="AI39" i="21"/>
  <c r="F39" i="21"/>
  <c r="AI38" i="21"/>
  <c r="F38" i="21"/>
  <c r="AI37" i="21"/>
  <c r="F37" i="21"/>
  <c r="AI36" i="21"/>
  <c r="F36" i="21"/>
  <c r="AI35" i="21"/>
  <c r="F35" i="21"/>
  <c r="AI34" i="21"/>
  <c r="F34" i="21"/>
  <c r="AI33" i="21"/>
  <c r="F33" i="21"/>
  <c r="AI32" i="21"/>
  <c r="F32" i="21"/>
  <c r="AI31" i="21"/>
  <c r="F31" i="21"/>
  <c r="AI30" i="21"/>
  <c r="F30" i="21"/>
  <c r="AI29" i="21"/>
  <c r="F29" i="21"/>
  <c r="AI28" i="21"/>
  <c r="F28" i="21"/>
  <c r="AI27" i="21"/>
  <c r="F27" i="21"/>
  <c r="AI26" i="21"/>
  <c r="X26" i="21"/>
  <c r="Q26" i="21"/>
  <c r="P26" i="21"/>
  <c r="G26" i="21"/>
  <c r="M26" i="21" s="1"/>
  <c r="F26" i="21"/>
  <c r="U26" i="21" s="1"/>
  <c r="AI25" i="21"/>
  <c r="F25" i="21"/>
  <c r="AI24" i="21"/>
  <c r="F24" i="21"/>
  <c r="AI23" i="21"/>
  <c r="F23" i="21"/>
  <c r="AI22" i="21"/>
  <c r="F22" i="21"/>
  <c r="AI21" i="21"/>
  <c r="F21" i="21"/>
  <c r="AI20" i="21"/>
  <c r="F20" i="21"/>
  <c r="AI19" i="21"/>
  <c r="F19" i="21"/>
  <c r="AI18" i="21"/>
  <c r="F18" i="21"/>
  <c r="AI17" i="21"/>
  <c r="F17" i="21"/>
  <c r="AI16" i="21"/>
  <c r="F16" i="21"/>
  <c r="AI15" i="21"/>
  <c r="F15" i="21"/>
  <c r="AI14" i="21"/>
  <c r="F14" i="21"/>
  <c r="AI13" i="21"/>
  <c r="F13" i="21"/>
  <c r="AI12" i="21"/>
  <c r="F12" i="21"/>
  <c r="AI11" i="21"/>
  <c r="F11" i="21"/>
  <c r="AI10" i="21"/>
  <c r="F10" i="21"/>
  <c r="AI9" i="21"/>
  <c r="F9" i="21"/>
  <c r="AI8" i="21"/>
  <c r="F8" i="21"/>
  <c r="AI7" i="21"/>
  <c r="AH7" i="21"/>
  <c r="AH8" i="21" s="1"/>
  <c r="F7" i="21"/>
  <c r="AI6" i="21"/>
  <c r="X6" i="21"/>
  <c r="U6" i="21"/>
  <c r="Q6" i="21"/>
  <c r="P6" i="21"/>
  <c r="G6" i="21"/>
  <c r="M6" i="21" s="1"/>
  <c r="F6" i="21"/>
  <c r="N5" i="21"/>
  <c r="F5" i="21"/>
  <c r="N4" i="21"/>
  <c r="K4" i="21"/>
  <c r="K5" i="21" s="1"/>
  <c r="K6" i="21" s="1"/>
  <c r="K7" i="21" s="1"/>
  <c r="K8" i="21" s="1"/>
  <c r="K9" i="21" s="1"/>
  <c r="K10" i="21" s="1"/>
  <c r="K11" i="21" s="1"/>
  <c r="K12" i="21" s="1"/>
  <c r="K13" i="21" s="1"/>
  <c r="K14" i="21" s="1"/>
  <c r="K15" i="21" s="1"/>
  <c r="K16" i="21" s="1"/>
  <c r="K17" i="21" s="1"/>
  <c r="K18" i="21" s="1"/>
  <c r="K19" i="21" s="1"/>
  <c r="K20" i="21" s="1"/>
  <c r="K21" i="21" s="1"/>
  <c r="K22" i="21" s="1"/>
  <c r="K23" i="21" s="1"/>
  <c r="K24" i="21" s="1"/>
  <c r="K25" i="21" s="1"/>
  <c r="K26" i="21" s="1"/>
  <c r="K27" i="21" s="1"/>
  <c r="K28" i="21" s="1"/>
  <c r="K29" i="21" s="1"/>
  <c r="K30" i="21" s="1"/>
  <c r="K31" i="21" s="1"/>
  <c r="K32" i="21" s="1"/>
  <c r="K33" i="21" s="1"/>
  <c r="K34" i="21" s="1"/>
  <c r="K35" i="21" s="1"/>
  <c r="K36" i="21" s="1"/>
  <c r="K37" i="21" s="1"/>
  <c r="K38" i="21" s="1"/>
  <c r="K39" i="21" s="1"/>
  <c r="K40" i="21" s="1"/>
  <c r="K41" i="21" s="1"/>
  <c r="K42" i="21" s="1"/>
  <c r="K43" i="21" s="1"/>
  <c r="K44" i="21" s="1"/>
  <c r="K45" i="21" s="1"/>
  <c r="K46" i="21" s="1"/>
  <c r="K47" i="21" s="1"/>
  <c r="K48" i="21" s="1"/>
  <c r="K49" i="21" s="1"/>
  <c r="K50" i="21" s="1"/>
  <c r="K51" i="21" s="1"/>
  <c r="K52" i="21" s="1"/>
  <c r="K53" i="21" s="1"/>
  <c r="K54" i="21" s="1"/>
  <c r="K55" i="21" s="1"/>
  <c r="K56" i="21" s="1"/>
  <c r="K57" i="21" s="1"/>
  <c r="K58" i="21" s="1"/>
  <c r="K59" i="21" s="1"/>
  <c r="K60" i="21" s="1"/>
  <c r="K61" i="21" s="1"/>
  <c r="K62" i="21" s="1"/>
  <c r="K63" i="21" s="1"/>
  <c r="K64" i="21" s="1"/>
  <c r="K65" i="21" s="1"/>
  <c r="K66" i="21" s="1"/>
  <c r="K67" i="21" s="1"/>
  <c r="K68" i="21" s="1"/>
  <c r="K69" i="21" s="1"/>
  <c r="K70" i="21" s="1"/>
  <c r="K71" i="21" s="1"/>
  <c r="K72" i="21" s="1"/>
  <c r="K73" i="21" s="1"/>
  <c r="K74" i="21" s="1"/>
  <c r="K75" i="21" s="1"/>
  <c r="K76" i="21" s="1"/>
  <c r="K77" i="21" s="1"/>
  <c r="K78" i="21" s="1"/>
  <c r="K79" i="21" s="1"/>
  <c r="K80" i="21" s="1"/>
  <c r="K81" i="21" s="1"/>
  <c r="K82" i="21" s="1"/>
  <c r="K83" i="21" s="1"/>
  <c r="K84" i="21" s="1"/>
  <c r="K85" i="21" s="1"/>
  <c r="K86" i="21" s="1"/>
  <c r="K87" i="21" s="1"/>
  <c r="K88" i="21" s="1"/>
  <c r="K89" i="21" s="1"/>
  <c r="K90" i="21" s="1"/>
  <c r="K91" i="21" s="1"/>
  <c r="K92" i="21" s="1"/>
  <c r="K93" i="21" s="1"/>
  <c r="K94" i="21" s="1"/>
  <c r="K95" i="21" s="1"/>
  <c r="K96" i="21" s="1"/>
  <c r="K97" i="21" s="1"/>
  <c r="K98" i="21" s="1"/>
  <c r="K99" i="21" s="1"/>
  <c r="K100" i="21" s="1"/>
  <c r="K101" i="21" s="1"/>
  <c r="K102" i="21" s="1"/>
  <c r="J4" i="21"/>
  <c r="H4" i="21"/>
  <c r="H5" i="21" s="1"/>
  <c r="G4" i="21"/>
  <c r="G5" i="21" s="1"/>
  <c r="F4" i="21"/>
  <c r="Q3" i="21"/>
  <c r="N3" i="21"/>
  <c r="M3" i="21"/>
  <c r="X3" i="21" s="1"/>
  <c r="G3" i="21"/>
  <c r="O3" i="21" s="1"/>
  <c r="F3" i="21"/>
  <c r="O2" i="21"/>
  <c r="AI102" i="20"/>
  <c r="AA102" i="20"/>
  <c r="Z102" i="20"/>
  <c r="X102" i="20"/>
  <c r="W102" i="20"/>
  <c r="U102" i="20"/>
  <c r="T102" i="20"/>
  <c r="S102" i="20"/>
  <c r="R102" i="20"/>
  <c r="Q102" i="20"/>
  <c r="P102" i="20"/>
  <c r="O102" i="20"/>
  <c r="G102" i="20"/>
  <c r="M102" i="20" s="1"/>
  <c r="F102" i="20"/>
  <c r="AI101" i="20"/>
  <c r="AA101" i="20"/>
  <c r="Z101" i="20"/>
  <c r="X101" i="20"/>
  <c r="W101" i="20"/>
  <c r="U101" i="20"/>
  <c r="T101" i="20"/>
  <c r="S101" i="20"/>
  <c r="R101" i="20"/>
  <c r="Q101" i="20"/>
  <c r="P101" i="20"/>
  <c r="O101" i="20"/>
  <c r="G101" i="20"/>
  <c r="M101" i="20" s="1"/>
  <c r="F101" i="20"/>
  <c r="AI100" i="20"/>
  <c r="AA100" i="20"/>
  <c r="Z100" i="20"/>
  <c r="X100" i="20"/>
  <c r="W100" i="20"/>
  <c r="U100" i="20"/>
  <c r="T100" i="20"/>
  <c r="S100" i="20"/>
  <c r="R100" i="20"/>
  <c r="Q100" i="20"/>
  <c r="P100" i="20"/>
  <c r="O100" i="20"/>
  <c r="G100" i="20"/>
  <c r="M100" i="20" s="1"/>
  <c r="F100" i="20"/>
  <c r="AI99" i="20"/>
  <c r="AA99" i="20"/>
  <c r="Z99" i="20"/>
  <c r="X99" i="20"/>
  <c r="W99" i="20"/>
  <c r="U99" i="20"/>
  <c r="T99" i="20"/>
  <c r="S99" i="20"/>
  <c r="R99" i="20"/>
  <c r="Q99" i="20"/>
  <c r="P99" i="20"/>
  <c r="O99" i="20"/>
  <c r="G99" i="20"/>
  <c r="M99" i="20" s="1"/>
  <c r="F99" i="20"/>
  <c r="AI98" i="20"/>
  <c r="AA98" i="20"/>
  <c r="Z98" i="20"/>
  <c r="X98" i="20"/>
  <c r="W98" i="20"/>
  <c r="U98" i="20"/>
  <c r="T98" i="20"/>
  <c r="S98" i="20"/>
  <c r="R98" i="20"/>
  <c r="Q98" i="20"/>
  <c r="P98" i="20"/>
  <c r="O98" i="20"/>
  <c r="G98" i="20"/>
  <c r="M98" i="20" s="1"/>
  <c r="F98" i="20"/>
  <c r="AI97" i="20"/>
  <c r="AA97" i="20"/>
  <c r="Z97" i="20"/>
  <c r="X97" i="20"/>
  <c r="W97" i="20"/>
  <c r="U97" i="20"/>
  <c r="T97" i="20"/>
  <c r="S97" i="20"/>
  <c r="R97" i="20"/>
  <c r="Q97" i="20"/>
  <c r="P97" i="20"/>
  <c r="O97" i="20"/>
  <c r="G97" i="20"/>
  <c r="F97" i="20"/>
  <c r="AI96" i="20"/>
  <c r="AA96" i="20"/>
  <c r="Z96" i="20"/>
  <c r="X96" i="20"/>
  <c r="W96" i="20"/>
  <c r="U96" i="20"/>
  <c r="T96" i="20"/>
  <c r="S96" i="20"/>
  <c r="R96" i="20"/>
  <c r="Q96" i="20"/>
  <c r="P96" i="20"/>
  <c r="O96" i="20"/>
  <c r="G96" i="20"/>
  <c r="M96" i="20" s="1"/>
  <c r="F96" i="20"/>
  <c r="AI95" i="20"/>
  <c r="AA95" i="20"/>
  <c r="Z95" i="20"/>
  <c r="X95" i="20"/>
  <c r="W95" i="20"/>
  <c r="U95" i="20"/>
  <c r="T95" i="20"/>
  <c r="S95" i="20"/>
  <c r="R95" i="20"/>
  <c r="Q95" i="20"/>
  <c r="P95" i="20"/>
  <c r="O95" i="20"/>
  <c r="G95" i="20"/>
  <c r="M95" i="20" s="1"/>
  <c r="F95" i="20"/>
  <c r="AI94" i="20"/>
  <c r="AA94" i="20"/>
  <c r="Z94" i="20"/>
  <c r="X94" i="20"/>
  <c r="W94" i="20"/>
  <c r="U94" i="20"/>
  <c r="T94" i="20"/>
  <c r="S94" i="20"/>
  <c r="R94" i="20"/>
  <c r="Q94" i="20"/>
  <c r="P94" i="20"/>
  <c r="O94" i="20"/>
  <c r="G94" i="20"/>
  <c r="M94" i="20" s="1"/>
  <c r="F94" i="20"/>
  <c r="AI93" i="20"/>
  <c r="AA93" i="20"/>
  <c r="Z93" i="20"/>
  <c r="X93" i="20"/>
  <c r="W93" i="20"/>
  <c r="U93" i="20"/>
  <c r="T93" i="20"/>
  <c r="S93" i="20"/>
  <c r="R93" i="20"/>
  <c r="Q93" i="20"/>
  <c r="P93" i="20"/>
  <c r="O93" i="20"/>
  <c r="G93" i="20"/>
  <c r="M93" i="20" s="1"/>
  <c r="F93" i="20"/>
  <c r="AI92" i="20"/>
  <c r="AA92" i="20"/>
  <c r="Z92" i="20"/>
  <c r="X92" i="20"/>
  <c r="W92" i="20"/>
  <c r="U92" i="20"/>
  <c r="T92" i="20"/>
  <c r="S92" i="20"/>
  <c r="R92" i="20"/>
  <c r="Q92" i="20"/>
  <c r="P92" i="20"/>
  <c r="O92" i="20"/>
  <c r="G92" i="20"/>
  <c r="M92" i="20" s="1"/>
  <c r="F92" i="20"/>
  <c r="AI91" i="20"/>
  <c r="AA91" i="20"/>
  <c r="Z91" i="20"/>
  <c r="X91" i="20"/>
  <c r="W91" i="20"/>
  <c r="U91" i="20"/>
  <c r="T91" i="20"/>
  <c r="S91" i="20"/>
  <c r="R91" i="20"/>
  <c r="Q91" i="20"/>
  <c r="P91" i="20"/>
  <c r="O91" i="20"/>
  <c r="G91" i="20"/>
  <c r="M91" i="20" s="1"/>
  <c r="F91" i="20"/>
  <c r="AI90" i="20"/>
  <c r="AA90" i="20"/>
  <c r="Z90" i="20"/>
  <c r="X90" i="20"/>
  <c r="W90" i="20"/>
  <c r="U90" i="20"/>
  <c r="T90" i="20"/>
  <c r="S90" i="20"/>
  <c r="R90" i="20"/>
  <c r="Q90" i="20"/>
  <c r="P90" i="20"/>
  <c r="O90" i="20"/>
  <c r="G90" i="20"/>
  <c r="M90" i="20" s="1"/>
  <c r="F90" i="20"/>
  <c r="AI89" i="20"/>
  <c r="AA89" i="20"/>
  <c r="Z89" i="20"/>
  <c r="X89" i="20"/>
  <c r="W89" i="20"/>
  <c r="U89" i="20"/>
  <c r="T89" i="20"/>
  <c r="S89" i="20"/>
  <c r="R89" i="20"/>
  <c r="Q89" i="20"/>
  <c r="P89" i="20"/>
  <c r="O89" i="20"/>
  <c r="G89" i="20"/>
  <c r="M89" i="20" s="1"/>
  <c r="F89" i="20"/>
  <c r="AI88" i="20"/>
  <c r="AA88" i="20"/>
  <c r="Z88" i="20"/>
  <c r="X88" i="20"/>
  <c r="W88" i="20"/>
  <c r="U88" i="20"/>
  <c r="T88" i="20"/>
  <c r="S88" i="20"/>
  <c r="R88" i="20"/>
  <c r="Q88" i="20"/>
  <c r="P88" i="20"/>
  <c r="O88" i="20"/>
  <c r="G88" i="20"/>
  <c r="M88" i="20" s="1"/>
  <c r="F88" i="20"/>
  <c r="AI87" i="20"/>
  <c r="AA87" i="20"/>
  <c r="Z87" i="20"/>
  <c r="X87" i="20"/>
  <c r="W87" i="20"/>
  <c r="U87" i="20"/>
  <c r="T87" i="20"/>
  <c r="S87" i="20"/>
  <c r="R87" i="20"/>
  <c r="Q87" i="20"/>
  <c r="P87" i="20"/>
  <c r="O87" i="20"/>
  <c r="G87" i="20"/>
  <c r="M87" i="20" s="1"/>
  <c r="F87" i="20"/>
  <c r="AI86" i="20"/>
  <c r="AA86" i="20"/>
  <c r="Z86" i="20"/>
  <c r="X86" i="20"/>
  <c r="W86" i="20"/>
  <c r="U86" i="20"/>
  <c r="T86" i="20"/>
  <c r="S86" i="20"/>
  <c r="R86" i="20"/>
  <c r="Q86" i="20"/>
  <c r="P86" i="20"/>
  <c r="O86" i="20"/>
  <c r="G86" i="20"/>
  <c r="M86" i="20" s="1"/>
  <c r="F86" i="20"/>
  <c r="AI85" i="20"/>
  <c r="AA85" i="20"/>
  <c r="Z85" i="20"/>
  <c r="X85" i="20"/>
  <c r="W85" i="20"/>
  <c r="U85" i="20"/>
  <c r="T85" i="20"/>
  <c r="S85" i="20"/>
  <c r="R85" i="20"/>
  <c r="Q85" i="20"/>
  <c r="P85" i="20"/>
  <c r="O85" i="20"/>
  <c r="G85" i="20"/>
  <c r="F85" i="20"/>
  <c r="AI84" i="20"/>
  <c r="AA84" i="20"/>
  <c r="Z84" i="20"/>
  <c r="X84" i="20"/>
  <c r="W84" i="20"/>
  <c r="U84" i="20"/>
  <c r="T84" i="20"/>
  <c r="S84" i="20"/>
  <c r="R84" i="20"/>
  <c r="Q84" i="20"/>
  <c r="P84" i="20"/>
  <c r="O84" i="20"/>
  <c r="G84" i="20"/>
  <c r="M84" i="20" s="1"/>
  <c r="F84" i="20"/>
  <c r="AI83" i="20"/>
  <c r="AA83" i="20"/>
  <c r="Z83" i="20"/>
  <c r="X83" i="20"/>
  <c r="W83" i="20"/>
  <c r="U83" i="20"/>
  <c r="T83" i="20"/>
  <c r="S83" i="20"/>
  <c r="R83" i="20"/>
  <c r="Q83" i="20"/>
  <c r="P83" i="20"/>
  <c r="O83" i="20"/>
  <c r="G83" i="20"/>
  <c r="M83" i="20" s="1"/>
  <c r="F83" i="20"/>
  <c r="AI82" i="20"/>
  <c r="AA82" i="20"/>
  <c r="Z82" i="20"/>
  <c r="X82" i="20"/>
  <c r="W82" i="20"/>
  <c r="U82" i="20"/>
  <c r="T82" i="20"/>
  <c r="S82" i="20"/>
  <c r="R82" i="20"/>
  <c r="Q82" i="20"/>
  <c r="P82" i="20"/>
  <c r="O82" i="20"/>
  <c r="G82" i="20"/>
  <c r="M82" i="20" s="1"/>
  <c r="F82" i="20"/>
  <c r="AI81" i="20"/>
  <c r="AA81" i="20"/>
  <c r="Z81" i="20"/>
  <c r="X81" i="20"/>
  <c r="W81" i="20"/>
  <c r="U81" i="20"/>
  <c r="T81" i="20"/>
  <c r="S81" i="20"/>
  <c r="R81" i="20"/>
  <c r="Q81" i="20"/>
  <c r="P81" i="20"/>
  <c r="O81" i="20"/>
  <c r="G81" i="20"/>
  <c r="M81" i="20" s="1"/>
  <c r="F81" i="20"/>
  <c r="AI80" i="20"/>
  <c r="AA80" i="20"/>
  <c r="Z80" i="20"/>
  <c r="X80" i="20"/>
  <c r="W80" i="20"/>
  <c r="U80" i="20"/>
  <c r="T80" i="20"/>
  <c r="S80" i="20"/>
  <c r="R80" i="20"/>
  <c r="Q80" i="20"/>
  <c r="P80" i="20"/>
  <c r="O80" i="20"/>
  <c r="G80" i="20"/>
  <c r="M80" i="20" s="1"/>
  <c r="F80" i="20"/>
  <c r="AI79" i="20"/>
  <c r="AA79" i="20"/>
  <c r="Z79" i="20"/>
  <c r="X79" i="20"/>
  <c r="W79" i="20"/>
  <c r="U79" i="20"/>
  <c r="T79" i="20"/>
  <c r="S79" i="20"/>
  <c r="R79" i="20"/>
  <c r="Q79" i="20"/>
  <c r="P79" i="20"/>
  <c r="O79" i="20"/>
  <c r="G79" i="20"/>
  <c r="M79" i="20" s="1"/>
  <c r="F79" i="20"/>
  <c r="AI78" i="20"/>
  <c r="AA78" i="20"/>
  <c r="Z78" i="20"/>
  <c r="X78" i="20"/>
  <c r="W78" i="20"/>
  <c r="U78" i="20"/>
  <c r="T78" i="20"/>
  <c r="S78" i="20"/>
  <c r="R78" i="20"/>
  <c r="Q78" i="20"/>
  <c r="P78" i="20"/>
  <c r="O78" i="20"/>
  <c r="G78" i="20"/>
  <c r="M78" i="20" s="1"/>
  <c r="F78" i="20"/>
  <c r="AI77" i="20"/>
  <c r="AA77" i="20"/>
  <c r="Z77" i="20"/>
  <c r="X77" i="20"/>
  <c r="W77" i="20"/>
  <c r="U77" i="20"/>
  <c r="T77" i="20"/>
  <c r="S77" i="20"/>
  <c r="R77" i="20"/>
  <c r="Q77" i="20"/>
  <c r="P77" i="20"/>
  <c r="O77" i="20"/>
  <c r="G77" i="20"/>
  <c r="M77" i="20" s="1"/>
  <c r="F77" i="20"/>
  <c r="AI76" i="20"/>
  <c r="AA76" i="20"/>
  <c r="Z76" i="20"/>
  <c r="X76" i="20"/>
  <c r="W76" i="20"/>
  <c r="U76" i="20"/>
  <c r="T76" i="20"/>
  <c r="S76" i="20"/>
  <c r="R76" i="20"/>
  <c r="Q76" i="20"/>
  <c r="P76" i="20"/>
  <c r="O76" i="20"/>
  <c r="G76" i="20"/>
  <c r="M76" i="20" s="1"/>
  <c r="F76" i="20"/>
  <c r="AI75" i="20"/>
  <c r="X75" i="20"/>
  <c r="W75" i="20"/>
  <c r="U75" i="20"/>
  <c r="T75" i="20"/>
  <c r="S75" i="20"/>
  <c r="R75" i="20"/>
  <c r="Q75" i="20"/>
  <c r="P75" i="20"/>
  <c r="O75" i="20"/>
  <c r="G75" i="20"/>
  <c r="M75" i="20" s="1"/>
  <c r="F75" i="20"/>
  <c r="AI74" i="20"/>
  <c r="F74" i="20"/>
  <c r="AI73" i="20"/>
  <c r="F73" i="20"/>
  <c r="AI72" i="20"/>
  <c r="F72" i="20"/>
  <c r="AI71" i="20"/>
  <c r="F71" i="20"/>
  <c r="AI70" i="20"/>
  <c r="F70" i="20"/>
  <c r="AI69" i="20"/>
  <c r="F69" i="20"/>
  <c r="AI68" i="20"/>
  <c r="F68" i="20"/>
  <c r="AI67" i="20"/>
  <c r="F67" i="20"/>
  <c r="AI66" i="20"/>
  <c r="F66" i="20"/>
  <c r="AI65" i="20"/>
  <c r="F65" i="20"/>
  <c r="AI64" i="20"/>
  <c r="F64" i="20"/>
  <c r="AI63" i="20"/>
  <c r="F63" i="20"/>
  <c r="AI62" i="20"/>
  <c r="F62" i="20"/>
  <c r="AI61" i="20"/>
  <c r="F61" i="20"/>
  <c r="AI60" i="20"/>
  <c r="F60" i="20"/>
  <c r="AI59" i="20"/>
  <c r="F59" i="20"/>
  <c r="AI58" i="20"/>
  <c r="F58" i="20"/>
  <c r="AI57" i="20"/>
  <c r="F57" i="20"/>
  <c r="AI56" i="20"/>
  <c r="F56" i="20"/>
  <c r="AI55" i="20"/>
  <c r="F55" i="20"/>
  <c r="AI54" i="20"/>
  <c r="F54" i="20"/>
  <c r="AI53" i="20"/>
  <c r="F53" i="20"/>
  <c r="AI52" i="20"/>
  <c r="F52" i="20"/>
  <c r="AI51" i="20"/>
  <c r="F51" i="20"/>
  <c r="AI50" i="20"/>
  <c r="F50" i="20"/>
  <c r="AI49" i="20"/>
  <c r="F49" i="20"/>
  <c r="AI48" i="20"/>
  <c r="F48" i="20"/>
  <c r="AI47" i="20"/>
  <c r="F47" i="20"/>
  <c r="AI46" i="20"/>
  <c r="F46" i="20"/>
  <c r="AI45" i="20"/>
  <c r="F45" i="20"/>
  <c r="AI44" i="20"/>
  <c r="F44" i="20"/>
  <c r="AI43" i="20"/>
  <c r="F43" i="20"/>
  <c r="AI42" i="20"/>
  <c r="F42" i="20"/>
  <c r="AI41" i="20"/>
  <c r="F41" i="20"/>
  <c r="AI40" i="20"/>
  <c r="F40" i="20"/>
  <c r="AI39" i="20"/>
  <c r="F39" i="20"/>
  <c r="AI38" i="20"/>
  <c r="F38" i="20"/>
  <c r="AI37" i="20"/>
  <c r="F37" i="20"/>
  <c r="AI36" i="20"/>
  <c r="F36" i="20"/>
  <c r="AI35" i="20"/>
  <c r="F35" i="20"/>
  <c r="AI34" i="20"/>
  <c r="F34" i="20"/>
  <c r="AI33" i="20"/>
  <c r="F33" i="20"/>
  <c r="AI32" i="20"/>
  <c r="F32" i="20"/>
  <c r="AI31" i="20"/>
  <c r="F31" i="20"/>
  <c r="AI30" i="20"/>
  <c r="F30" i="20"/>
  <c r="AI29" i="20"/>
  <c r="F29" i="20"/>
  <c r="AI28" i="20"/>
  <c r="F28" i="20"/>
  <c r="AI27" i="20"/>
  <c r="F27" i="20"/>
  <c r="AI26" i="20"/>
  <c r="F26" i="20"/>
  <c r="AI25" i="20"/>
  <c r="F25" i="20"/>
  <c r="AI24" i="20"/>
  <c r="F24" i="20"/>
  <c r="AI23" i="20"/>
  <c r="F23" i="20"/>
  <c r="AI22" i="20"/>
  <c r="F22" i="20"/>
  <c r="AI21" i="20"/>
  <c r="F21" i="20"/>
  <c r="AI20" i="20"/>
  <c r="F20" i="20"/>
  <c r="AI19" i="20"/>
  <c r="F19" i="20"/>
  <c r="AI18" i="20"/>
  <c r="F18" i="20"/>
  <c r="AI17" i="20"/>
  <c r="F17" i="20"/>
  <c r="AI16" i="20"/>
  <c r="F16" i="20"/>
  <c r="AI15" i="20"/>
  <c r="F15" i="20"/>
  <c r="AI14" i="20"/>
  <c r="F14" i="20"/>
  <c r="AI13" i="20"/>
  <c r="F13" i="20"/>
  <c r="AI12" i="20"/>
  <c r="F12" i="20"/>
  <c r="AI11" i="20"/>
  <c r="F11" i="20"/>
  <c r="AI10" i="20"/>
  <c r="F10" i="20"/>
  <c r="AI9" i="20"/>
  <c r="F9" i="20"/>
  <c r="AI8" i="20"/>
  <c r="F8" i="20"/>
  <c r="AI7" i="20"/>
  <c r="AH7" i="20"/>
  <c r="AH8" i="20" s="1"/>
  <c r="F7" i="20"/>
  <c r="AI6" i="20"/>
  <c r="F6" i="20"/>
  <c r="N5" i="20"/>
  <c r="F5" i="20"/>
  <c r="N4" i="20"/>
  <c r="K4" i="20"/>
  <c r="K5" i="20" s="1"/>
  <c r="K6" i="20" s="1"/>
  <c r="K7" i="20" s="1"/>
  <c r="K8" i="20" s="1"/>
  <c r="K9" i="20" s="1"/>
  <c r="K10" i="20" s="1"/>
  <c r="K11" i="20" s="1"/>
  <c r="K12" i="20" s="1"/>
  <c r="K13" i="20" s="1"/>
  <c r="K14" i="20" s="1"/>
  <c r="K15" i="20" s="1"/>
  <c r="K16" i="20" s="1"/>
  <c r="K17" i="20" s="1"/>
  <c r="K18" i="20" s="1"/>
  <c r="K19" i="20" s="1"/>
  <c r="K20" i="20" s="1"/>
  <c r="K21" i="20" s="1"/>
  <c r="K22" i="20" s="1"/>
  <c r="K23" i="20" s="1"/>
  <c r="K24" i="20" s="1"/>
  <c r="K25" i="20" s="1"/>
  <c r="K26" i="20" s="1"/>
  <c r="K27" i="20" s="1"/>
  <c r="K28" i="20" s="1"/>
  <c r="K29" i="20" s="1"/>
  <c r="K30" i="20" s="1"/>
  <c r="K31" i="20" s="1"/>
  <c r="K32" i="20" s="1"/>
  <c r="K33" i="20" s="1"/>
  <c r="K34" i="20" s="1"/>
  <c r="K35" i="20" s="1"/>
  <c r="K36" i="20" s="1"/>
  <c r="K37" i="20" s="1"/>
  <c r="K38" i="20" s="1"/>
  <c r="K39" i="20" s="1"/>
  <c r="K40" i="20" s="1"/>
  <c r="K41" i="20" s="1"/>
  <c r="K42" i="20" s="1"/>
  <c r="K43" i="20" s="1"/>
  <c r="K44" i="20" s="1"/>
  <c r="K45" i="20" s="1"/>
  <c r="K46" i="20" s="1"/>
  <c r="K47" i="20" s="1"/>
  <c r="K48" i="20" s="1"/>
  <c r="K49" i="20" s="1"/>
  <c r="K50" i="20" s="1"/>
  <c r="K51" i="20" s="1"/>
  <c r="K52" i="20" s="1"/>
  <c r="K53" i="20" s="1"/>
  <c r="K54" i="20" s="1"/>
  <c r="K55" i="20" s="1"/>
  <c r="K56" i="20" s="1"/>
  <c r="K57" i="20" s="1"/>
  <c r="K58" i="20" s="1"/>
  <c r="K59" i="20" s="1"/>
  <c r="K60" i="20" s="1"/>
  <c r="K61" i="20" s="1"/>
  <c r="K62" i="20" s="1"/>
  <c r="K63" i="20" s="1"/>
  <c r="K64" i="20" s="1"/>
  <c r="K65" i="20" s="1"/>
  <c r="K66" i="20" s="1"/>
  <c r="K67" i="20" s="1"/>
  <c r="K68" i="20" s="1"/>
  <c r="K69" i="20" s="1"/>
  <c r="K70" i="20" s="1"/>
  <c r="K71" i="20" s="1"/>
  <c r="K72" i="20" s="1"/>
  <c r="K73" i="20" s="1"/>
  <c r="K74" i="20" s="1"/>
  <c r="K75" i="20" s="1"/>
  <c r="K76" i="20" s="1"/>
  <c r="K77" i="20" s="1"/>
  <c r="K78" i="20" s="1"/>
  <c r="K79" i="20" s="1"/>
  <c r="K80" i="20" s="1"/>
  <c r="K81" i="20" s="1"/>
  <c r="K82" i="20" s="1"/>
  <c r="K83" i="20" s="1"/>
  <c r="K84" i="20" s="1"/>
  <c r="K85" i="20" s="1"/>
  <c r="K86" i="20" s="1"/>
  <c r="K87" i="20" s="1"/>
  <c r="K88" i="20" s="1"/>
  <c r="K89" i="20" s="1"/>
  <c r="K90" i="20" s="1"/>
  <c r="K91" i="20" s="1"/>
  <c r="K92" i="20" s="1"/>
  <c r="K93" i="20" s="1"/>
  <c r="K94" i="20" s="1"/>
  <c r="K95" i="20" s="1"/>
  <c r="K96" i="20" s="1"/>
  <c r="K97" i="20" s="1"/>
  <c r="K98" i="20" s="1"/>
  <c r="K99" i="20" s="1"/>
  <c r="K100" i="20" s="1"/>
  <c r="K101" i="20" s="1"/>
  <c r="K102" i="20" s="1"/>
  <c r="J4" i="20"/>
  <c r="H4" i="20"/>
  <c r="H5" i="20" s="1"/>
  <c r="H6" i="20" s="1"/>
  <c r="F4" i="20"/>
  <c r="T3" i="20"/>
  <c r="O3" i="20"/>
  <c r="N3" i="20"/>
  <c r="G3" i="20"/>
  <c r="AA3" i="20" s="1"/>
  <c r="F3" i="20"/>
  <c r="U3" i="20" s="1"/>
  <c r="Q46" i="27" l="1"/>
  <c r="Z46" i="27"/>
  <c r="G47" i="27"/>
  <c r="P46" i="27"/>
  <c r="G27" i="27"/>
  <c r="U27" i="27" s="1"/>
  <c r="P26" i="27"/>
  <c r="Q26" i="27"/>
  <c r="Z26" i="27"/>
  <c r="G7" i="27"/>
  <c r="U3" i="27"/>
  <c r="U47" i="28"/>
  <c r="Z46" i="28"/>
  <c r="G47" i="28"/>
  <c r="P46" i="28"/>
  <c r="Q46" i="28"/>
  <c r="U27" i="28"/>
  <c r="Z26" i="28"/>
  <c r="G27" i="28"/>
  <c r="AL6" i="28"/>
  <c r="AL7" i="28" s="1"/>
  <c r="Q26" i="28"/>
  <c r="Q6" i="28"/>
  <c r="D6" i="28"/>
  <c r="S6" i="28" s="1"/>
  <c r="G7" i="28"/>
  <c r="T3" i="28"/>
  <c r="AA3" i="28"/>
  <c r="C3" i="28"/>
  <c r="R3" i="28" s="1"/>
  <c r="U47" i="26"/>
  <c r="Z46" i="26"/>
  <c r="G47" i="26"/>
  <c r="P46" i="26"/>
  <c r="U27" i="26"/>
  <c r="P26" i="26"/>
  <c r="G27" i="26"/>
  <c r="Q26" i="26"/>
  <c r="G7" i="26"/>
  <c r="Z26" i="26"/>
  <c r="U4" i="26"/>
  <c r="Z3" i="26"/>
  <c r="D3" i="26"/>
  <c r="S3" i="26" s="1"/>
  <c r="L3" i="26"/>
  <c r="W3" i="26" s="1"/>
  <c r="Q47" i="25"/>
  <c r="P47" i="25"/>
  <c r="Z46" i="25"/>
  <c r="G48" i="25"/>
  <c r="Z47" i="25"/>
  <c r="U27" i="25"/>
  <c r="G27" i="25"/>
  <c r="AL6" i="25"/>
  <c r="AL9" i="25" s="1"/>
  <c r="Q26" i="25"/>
  <c r="Z26" i="25"/>
  <c r="U6" i="25"/>
  <c r="M6" i="25"/>
  <c r="X6" i="25" s="1"/>
  <c r="G7" i="25"/>
  <c r="C6" i="25"/>
  <c r="R6" i="25" s="1"/>
  <c r="D6" i="25"/>
  <c r="S6" i="25" s="1"/>
  <c r="C7" i="25"/>
  <c r="R7" i="25" s="1"/>
  <c r="L4" i="25"/>
  <c r="W4" i="25" s="1"/>
  <c r="Z4" i="25"/>
  <c r="G48" i="24"/>
  <c r="P47" i="24"/>
  <c r="Z47" i="24"/>
  <c r="U47" i="24"/>
  <c r="Q47" i="24"/>
  <c r="G27" i="24"/>
  <c r="U27" i="24" s="1"/>
  <c r="Z46" i="24"/>
  <c r="P26" i="24"/>
  <c r="Q26" i="24"/>
  <c r="AL6" i="24"/>
  <c r="AL9" i="24" s="1"/>
  <c r="Z26" i="24"/>
  <c r="G7" i="24"/>
  <c r="G47" i="23"/>
  <c r="Q46" i="23"/>
  <c r="Z46" i="23"/>
  <c r="U7" i="23"/>
  <c r="G7" i="23"/>
  <c r="P6" i="23"/>
  <c r="Q6" i="23"/>
  <c r="AL6" i="23"/>
  <c r="AL7" i="23" s="1"/>
  <c r="AJ8" i="23" s="1"/>
  <c r="E8" i="23" s="1"/>
  <c r="Z46" i="22"/>
  <c r="G47" i="22"/>
  <c r="Z66" i="22"/>
  <c r="G27" i="22"/>
  <c r="AL6" i="22"/>
  <c r="AL7" i="22" s="1"/>
  <c r="P26" i="22"/>
  <c r="Q26" i="22"/>
  <c r="G7" i="22"/>
  <c r="P6" i="22"/>
  <c r="Z26" i="22"/>
  <c r="Q6" i="22"/>
  <c r="D6" i="22"/>
  <c r="S6" i="22" s="1"/>
  <c r="C3" i="22"/>
  <c r="R3" i="22" s="1"/>
  <c r="M3" i="22"/>
  <c r="X3" i="22" s="1"/>
  <c r="U47" i="21"/>
  <c r="U46" i="21"/>
  <c r="Z46" i="21"/>
  <c r="G47" i="21"/>
  <c r="Q46" i="21"/>
  <c r="G27" i="21"/>
  <c r="AL6" i="21"/>
  <c r="AL9" i="21" s="1"/>
  <c r="G7" i="21"/>
  <c r="Z26" i="21"/>
  <c r="U3" i="21"/>
  <c r="Q4" i="21"/>
  <c r="L3" i="21"/>
  <c r="W3" i="21" s="1"/>
  <c r="T3" i="21"/>
  <c r="Z3" i="21"/>
  <c r="AA3" i="21"/>
  <c r="T4" i="21"/>
  <c r="C3" i="21"/>
  <c r="R3" i="21" s="1"/>
  <c r="AL6" i="20"/>
  <c r="AL9" i="20" s="1"/>
  <c r="C3" i="20"/>
  <c r="R3" i="20" s="1"/>
  <c r="AH9" i="28"/>
  <c r="M87" i="28"/>
  <c r="H7" i="28"/>
  <c r="M27" i="28"/>
  <c r="X27" i="28" s="1"/>
  <c r="M99" i="28"/>
  <c r="P3" i="28"/>
  <c r="J5" i="28"/>
  <c r="Z6" i="28"/>
  <c r="Q3" i="28"/>
  <c r="G4" i="28"/>
  <c r="O2" i="28"/>
  <c r="M75" i="28"/>
  <c r="C6" i="28"/>
  <c r="R6" i="28" s="1"/>
  <c r="AH9" i="24"/>
  <c r="U4" i="24"/>
  <c r="G5" i="24"/>
  <c r="M4" i="24"/>
  <c r="X4" i="24" s="1"/>
  <c r="L4" i="24"/>
  <c r="W4" i="24" s="1"/>
  <c r="H6" i="24"/>
  <c r="C3" i="24"/>
  <c r="R3" i="24" s="1"/>
  <c r="T3" i="24"/>
  <c r="M47" i="24"/>
  <c r="X47" i="24" s="1"/>
  <c r="D3" i="24"/>
  <c r="S3" i="24" s="1"/>
  <c r="Z4" i="24"/>
  <c r="AA4" i="24"/>
  <c r="L3" i="24"/>
  <c r="W3" i="24" s="1"/>
  <c r="Z3" i="24"/>
  <c r="O4" i="24"/>
  <c r="M3" i="24"/>
  <c r="X3" i="24" s="1"/>
  <c r="AA3" i="24"/>
  <c r="P4" i="24"/>
  <c r="C4" i="24"/>
  <c r="R4" i="24" s="1"/>
  <c r="Q4" i="24"/>
  <c r="M77" i="24"/>
  <c r="M90" i="24"/>
  <c r="O3" i="24"/>
  <c r="D4" i="24"/>
  <c r="S4" i="24" s="1"/>
  <c r="M46" i="24"/>
  <c r="X46" i="24" s="1"/>
  <c r="M89" i="24"/>
  <c r="P3" i="24"/>
  <c r="J5" i="24"/>
  <c r="M66" i="24"/>
  <c r="M67" i="25"/>
  <c r="Q3" i="24"/>
  <c r="M78" i="24"/>
  <c r="AH8" i="25"/>
  <c r="M68" i="25"/>
  <c r="D4" i="25"/>
  <c r="S4" i="25" s="1"/>
  <c r="G5" i="25"/>
  <c r="D5" i="25" s="1"/>
  <c r="S5" i="25" s="1"/>
  <c r="C4" i="25"/>
  <c r="R4" i="25" s="1"/>
  <c r="AA4" i="25"/>
  <c r="M4" i="25"/>
  <c r="X4" i="25" s="1"/>
  <c r="Z6" i="25"/>
  <c r="U5" i="25"/>
  <c r="J6" i="25"/>
  <c r="M70" i="25"/>
  <c r="M76" i="25"/>
  <c r="Q4" i="25"/>
  <c r="P4" i="25"/>
  <c r="O4" i="25"/>
  <c r="M99" i="24"/>
  <c r="H8" i="25"/>
  <c r="M78" i="25"/>
  <c r="AH10" i="27"/>
  <c r="M87" i="25"/>
  <c r="H6" i="26"/>
  <c r="M91" i="26"/>
  <c r="T4" i="26"/>
  <c r="J5" i="26"/>
  <c r="Q4" i="26"/>
  <c r="P4" i="26"/>
  <c r="O4" i="26"/>
  <c r="AH8" i="26"/>
  <c r="L3" i="25"/>
  <c r="W3" i="25" s="1"/>
  <c r="M75" i="25"/>
  <c r="M77" i="25"/>
  <c r="M99" i="25"/>
  <c r="G5" i="26"/>
  <c r="C5" i="26" s="1"/>
  <c r="AA4" i="26"/>
  <c r="M4" i="26"/>
  <c r="X4" i="26" s="1"/>
  <c r="Z4" i="26"/>
  <c r="L4" i="26"/>
  <c r="W4" i="26" s="1"/>
  <c r="AL6" i="26"/>
  <c r="AL6" i="27"/>
  <c r="D3" i="27"/>
  <c r="S3" i="27" s="1"/>
  <c r="T3" i="27"/>
  <c r="C3" i="27"/>
  <c r="R3" i="27" s="1"/>
  <c r="O2" i="27"/>
  <c r="G4" i="27"/>
  <c r="Z4" i="27" s="1"/>
  <c r="Q3" i="27"/>
  <c r="P3" i="27"/>
  <c r="O3" i="27"/>
  <c r="AA3" i="27"/>
  <c r="M3" i="27"/>
  <c r="X3" i="27" s="1"/>
  <c r="Z3" i="27"/>
  <c r="L3" i="27"/>
  <c r="W3" i="27" s="1"/>
  <c r="M46" i="26"/>
  <c r="X46" i="26" s="1"/>
  <c r="M67" i="26"/>
  <c r="M3" i="26"/>
  <c r="X3" i="26" s="1"/>
  <c r="AA3" i="26"/>
  <c r="C4" i="26"/>
  <c r="R4" i="26" s="1"/>
  <c r="O3" i="26"/>
  <c r="D4" i="26"/>
  <c r="S4" i="26" s="1"/>
  <c r="M79" i="26"/>
  <c r="J6" i="27"/>
  <c r="J7" i="27" s="1"/>
  <c r="Q3" i="26"/>
  <c r="M73" i="26"/>
  <c r="H6" i="27"/>
  <c r="M88" i="27"/>
  <c r="M100" i="27"/>
  <c r="M76" i="27"/>
  <c r="M94" i="27"/>
  <c r="AH9" i="22"/>
  <c r="H7" i="22"/>
  <c r="O3" i="22"/>
  <c r="M70" i="22"/>
  <c r="J5" i="22"/>
  <c r="Z6" i="22"/>
  <c r="Q3" i="22"/>
  <c r="G4" i="22"/>
  <c r="P4" i="22" s="1"/>
  <c r="M82" i="22"/>
  <c r="AH9" i="23"/>
  <c r="M46" i="22"/>
  <c r="X46" i="22" s="1"/>
  <c r="C6" i="22"/>
  <c r="R6" i="22" s="1"/>
  <c r="M94" i="22"/>
  <c r="O3" i="23"/>
  <c r="H5" i="23"/>
  <c r="P3" i="23"/>
  <c r="J5" i="23"/>
  <c r="Q3" i="23"/>
  <c r="G4" i="23"/>
  <c r="U4" i="23" s="1"/>
  <c r="O2" i="23"/>
  <c r="D3" i="23"/>
  <c r="S3" i="23" s="1"/>
  <c r="L3" i="23"/>
  <c r="W3" i="23" s="1"/>
  <c r="Z3" i="23"/>
  <c r="M3" i="23"/>
  <c r="X3" i="23" s="1"/>
  <c r="M5" i="21"/>
  <c r="X5" i="21" s="1"/>
  <c r="AH9" i="21"/>
  <c r="D5" i="21"/>
  <c r="H6" i="21"/>
  <c r="C5" i="21"/>
  <c r="AA5" i="21"/>
  <c r="Z5" i="21"/>
  <c r="P3" i="21"/>
  <c r="J5" i="21"/>
  <c r="U5" i="21" s="1"/>
  <c r="U4" i="21"/>
  <c r="M66" i="21"/>
  <c r="D3" i="21"/>
  <c r="S3" i="21" s="1"/>
  <c r="L4" i="21"/>
  <c r="W4" i="21" s="1"/>
  <c r="Z4" i="21"/>
  <c r="M4" i="21"/>
  <c r="X4" i="21" s="1"/>
  <c r="AA4" i="21"/>
  <c r="P4" i="21"/>
  <c r="O4" i="21"/>
  <c r="C4" i="21"/>
  <c r="R4" i="21" s="1"/>
  <c r="D4" i="21"/>
  <c r="S4" i="21" s="1"/>
  <c r="AH9" i="20"/>
  <c r="H7" i="20"/>
  <c r="P3" i="20"/>
  <c r="J5" i="20"/>
  <c r="Q3" i="20"/>
  <c r="G4" i="20"/>
  <c r="U4" i="20" s="1"/>
  <c r="O2" i="20"/>
  <c r="D3" i="20"/>
  <c r="S3" i="20" s="1"/>
  <c r="L3" i="20"/>
  <c r="W3" i="20" s="1"/>
  <c r="Z3" i="20"/>
  <c r="M3" i="20"/>
  <c r="X3" i="20" s="1"/>
  <c r="M97" i="20"/>
  <c r="M85" i="20"/>
  <c r="AI102" i="19"/>
  <c r="X102" i="19"/>
  <c r="W102" i="19"/>
  <c r="U102" i="19"/>
  <c r="T102" i="19"/>
  <c r="S102" i="19"/>
  <c r="R102" i="19"/>
  <c r="Q102" i="19"/>
  <c r="P102" i="19"/>
  <c r="O102" i="19"/>
  <c r="G102" i="19"/>
  <c r="M102" i="19" s="1"/>
  <c r="F102" i="19"/>
  <c r="AI101" i="19"/>
  <c r="F101" i="19"/>
  <c r="AI100" i="19"/>
  <c r="F100" i="19"/>
  <c r="AI99" i="19"/>
  <c r="F99" i="19"/>
  <c r="AI98" i="19"/>
  <c r="F98" i="19"/>
  <c r="AI97" i="19"/>
  <c r="F97" i="19"/>
  <c r="AI96" i="19"/>
  <c r="F96" i="19"/>
  <c r="AI95" i="19"/>
  <c r="F95" i="19"/>
  <c r="AI94" i="19"/>
  <c r="F94" i="19"/>
  <c r="AI93" i="19"/>
  <c r="F93" i="19"/>
  <c r="AI92" i="19"/>
  <c r="F92" i="19"/>
  <c r="AI91" i="19"/>
  <c r="F91" i="19"/>
  <c r="AI90" i="19"/>
  <c r="F90" i="19"/>
  <c r="AI89" i="19"/>
  <c r="F89" i="19"/>
  <c r="AI88" i="19"/>
  <c r="F88" i="19"/>
  <c r="AI87" i="19"/>
  <c r="F87" i="19"/>
  <c r="AI86" i="19"/>
  <c r="F86" i="19"/>
  <c r="AI85" i="19"/>
  <c r="F85" i="19"/>
  <c r="AI84" i="19"/>
  <c r="F84" i="19"/>
  <c r="AI83" i="19"/>
  <c r="F83" i="19"/>
  <c r="AI82" i="19"/>
  <c r="F82" i="19"/>
  <c r="AI81" i="19"/>
  <c r="F81" i="19"/>
  <c r="AI80" i="19"/>
  <c r="F80" i="19"/>
  <c r="AI79" i="19"/>
  <c r="F79" i="19"/>
  <c r="AI78" i="19"/>
  <c r="F78" i="19"/>
  <c r="AI77" i="19"/>
  <c r="F77" i="19"/>
  <c r="AI76" i="19"/>
  <c r="F76" i="19"/>
  <c r="AI75" i="19"/>
  <c r="F75" i="19"/>
  <c r="AI74" i="19"/>
  <c r="F74" i="19"/>
  <c r="AI73" i="19"/>
  <c r="F73" i="19"/>
  <c r="AI72" i="19"/>
  <c r="F72" i="19"/>
  <c r="AI71" i="19"/>
  <c r="F71" i="19"/>
  <c r="AI70" i="19"/>
  <c r="F70" i="19"/>
  <c r="AI69" i="19"/>
  <c r="F69" i="19"/>
  <c r="AI68" i="19"/>
  <c r="F68" i="19"/>
  <c r="AI67" i="19"/>
  <c r="F67" i="19"/>
  <c r="AI66" i="19"/>
  <c r="F66" i="19"/>
  <c r="AI65" i="19"/>
  <c r="F65" i="19"/>
  <c r="AI64" i="19"/>
  <c r="F64" i="19"/>
  <c r="AI63" i="19"/>
  <c r="F63" i="19"/>
  <c r="AI62" i="19"/>
  <c r="F62" i="19"/>
  <c r="AI61" i="19"/>
  <c r="F61" i="19"/>
  <c r="AI60" i="19"/>
  <c r="F60" i="19"/>
  <c r="AI59" i="19"/>
  <c r="F59" i="19"/>
  <c r="AI58" i="19"/>
  <c r="F58" i="19"/>
  <c r="AI57" i="19"/>
  <c r="F57" i="19"/>
  <c r="AI56" i="19"/>
  <c r="F56" i="19"/>
  <c r="AI55" i="19"/>
  <c r="F55" i="19"/>
  <c r="AI54" i="19"/>
  <c r="F54" i="19"/>
  <c r="AI53" i="19"/>
  <c r="F53" i="19"/>
  <c r="AI52" i="19"/>
  <c r="F52" i="19"/>
  <c r="AI51" i="19"/>
  <c r="F51" i="19"/>
  <c r="AI50" i="19"/>
  <c r="F50" i="19"/>
  <c r="AI49" i="19"/>
  <c r="F49" i="19"/>
  <c r="AI48" i="19"/>
  <c r="F48" i="19"/>
  <c r="AI47" i="19"/>
  <c r="F47" i="19"/>
  <c r="AI46" i="19"/>
  <c r="F46" i="19"/>
  <c r="AI45" i="19"/>
  <c r="F45" i="19"/>
  <c r="AI44" i="19"/>
  <c r="F44" i="19"/>
  <c r="AI43" i="19"/>
  <c r="F43" i="19"/>
  <c r="AI42" i="19"/>
  <c r="F42" i="19"/>
  <c r="AI41" i="19"/>
  <c r="F41" i="19"/>
  <c r="AI40" i="19"/>
  <c r="F40" i="19"/>
  <c r="AI39" i="19"/>
  <c r="F39" i="19"/>
  <c r="AI38" i="19"/>
  <c r="F38" i="19"/>
  <c r="AI37" i="19"/>
  <c r="F37" i="19"/>
  <c r="AI36" i="19"/>
  <c r="F36" i="19"/>
  <c r="AI35" i="19"/>
  <c r="F35" i="19"/>
  <c r="AI34" i="19"/>
  <c r="F34" i="19"/>
  <c r="AI33" i="19"/>
  <c r="F33" i="19"/>
  <c r="AI32" i="19"/>
  <c r="F32" i="19"/>
  <c r="AI31" i="19"/>
  <c r="F31" i="19"/>
  <c r="AI30" i="19"/>
  <c r="F30" i="19"/>
  <c r="AI29" i="19"/>
  <c r="F29" i="19"/>
  <c r="AI28" i="19"/>
  <c r="F28" i="19"/>
  <c r="AI27" i="19"/>
  <c r="F27" i="19"/>
  <c r="AI26" i="19"/>
  <c r="F26" i="19"/>
  <c r="AI25" i="19"/>
  <c r="F25" i="19"/>
  <c r="AI24" i="19"/>
  <c r="F24" i="19"/>
  <c r="AI23" i="19"/>
  <c r="F23" i="19"/>
  <c r="AI22" i="19"/>
  <c r="F22" i="19"/>
  <c r="AI21" i="19"/>
  <c r="F21" i="19"/>
  <c r="AI20" i="19"/>
  <c r="F20" i="19"/>
  <c r="AI19" i="19"/>
  <c r="F19" i="19"/>
  <c r="AI18" i="19"/>
  <c r="F18" i="19"/>
  <c r="AI17" i="19"/>
  <c r="F17" i="19"/>
  <c r="AI16" i="19"/>
  <c r="F16" i="19"/>
  <c r="AI15" i="19"/>
  <c r="F15" i="19"/>
  <c r="AI14" i="19"/>
  <c r="F14" i="19"/>
  <c r="AI13" i="19"/>
  <c r="F13" i="19"/>
  <c r="AI12" i="19"/>
  <c r="F12" i="19"/>
  <c r="AI11" i="19"/>
  <c r="F11" i="19"/>
  <c r="AI10" i="19"/>
  <c r="AH10" i="19"/>
  <c r="F10" i="19"/>
  <c r="AI9" i="19"/>
  <c r="AL6" i="19" s="1"/>
  <c r="AH9" i="19"/>
  <c r="F9" i="19"/>
  <c r="AI8" i="19"/>
  <c r="AH8" i="19"/>
  <c r="F8" i="19"/>
  <c r="AI7" i="19"/>
  <c r="AH7" i="19"/>
  <c r="F7" i="19"/>
  <c r="AI6" i="19"/>
  <c r="F6" i="19"/>
  <c r="N5" i="19"/>
  <c r="F5" i="19"/>
  <c r="N4" i="19"/>
  <c r="K4" i="19"/>
  <c r="K5" i="19" s="1"/>
  <c r="K6" i="19" s="1"/>
  <c r="K7" i="19" s="1"/>
  <c r="K8" i="19" s="1"/>
  <c r="K9" i="19" s="1"/>
  <c r="K10" i="19" s="1"/>
  <c r="K11" i="19" s="1"/>
  <c r="K12" i="19" s="1"/>
  <c r="K13" i="19" s="1"/>
  <c r="K14" i="19" s="1"/>
  <c r="K15" i="19" s="1"/>
  <c r="K16" i="19" s="1"/>
  <c r="K17" i="19" s="1"/>
  <c r="K18" i="19" s="1"/>
  <c r="K19" i="19" s="1"/>
  <c r="K20" i="19" s="1"/>
  <c r="K21" i="19" s="1"/>
  <c r="K22" i="19" s="1"/>
  <c r="K23" i="19" s="1"/>
  <c r="K24" i="19" s="1"/>
  <c r="K25" i="19" s="1"/>
  <c r="K26" i="19" s="1"/>
  <c r="K27" i="19" s="1"/>
  <c r="K28" i="19" s="1"/>
  <c r="K29" i="19" s="1"/>
  <c r="K30" i="19" s="1"/>
  <c r="K31" i="19" s="1"/>
  <c r="K32" i="19" s="1"/>
  <c r="K33" i="19" s="1"/>
  <c r="K34" i="19" s="1"/>
  <c r="K35" i="19" s="1"/>
  <c r="K36" i="19" s="1"/>
  <c r="K37" i="19" s="1"/>
  <c r="K38" i="19" s="1"/>
  <c r="K39" i="19" s="1"/>
  <c r="K40" i="19" s="1"/>
  <c r="K41" i="19" s="1"/>
  <c r="K42" i="19" s="1"/>
  <c r="K43" i="19" s="1"/>
  <c r="K44" i="19" s="1"/>
  <c r="K45" i="19" s="1"/>
  <c r="K46" i="19" s="1"/>
  <c r="K47" i="19" s="1"/>
  <c r="K48" i="19" s="1"/>
  <c r="K49" i="19" s="1"/>
  <c r="K50" i="19" s="1"/>
  <c r="K51" i="19" s="1"/>
  <c r="K52" i="19" s="1"/>
  <c r="K53" i="19" s="1"/>
  <c r="K54" i="19" s="1"/>
  <c r="K55" i="19" s="1"/>
  <c r="K56" i="19" s="1"/>
  <c r="K57" i="19" s="1"/>
  <c r="K58" i="19" s="1"/>
  <c r="K59" i="19" s="1"/>
  <c r="K60" i="19" s="1"/>
  <c r="K61" i="19" s="1"/>
  <c r="K62" i="19" s="1"/>
  <c r="K63" i="19" s="1"/>
  <c r="K64" i="19" s="1"/>
  <c r="K65" i="19" s="1"/>
  <c r="K66" i="19" s="1"/>
  <c r="K67" i="19" s="1"/>
  <c r="K68" i="19" s="1"/>
  <c r="K69" i="19" s="1"/>
  <c r="K70" i="19" s="1"/>
  <c r="K71" i="19" s="1"/>
  <c r="K72" i="19" s="1"/>
  <c r="K73" i="19" s="1"/>
  <c r="K74" i="19" s="1"/>
  <c r="K75" i="19" s="1"/>
  <c r="K76" i="19" s="1"/>
  <c r="K77" i="19" s="1"/>
  <c r="K78" i="19" s="1"/>
  <c r="K79" i="19" s="1"/>
  <c r="K80" i="19" s="1"/>
  <c r="K81" i="19" s="1"/>
  <c r="K82" i="19" s="1"/>
  <c r="K83" i="19" s="1"/>
  <c r="K84" i="19" s="1"/>
  <c r="K85" i="19" s="1"/>
  <c r="K86" i="19" s="1"/>
  <c r="K87" i="19" s="1"/>
  <c r="K88" i="19" s="1"/>
  <c r="K89" i="19" s="1"/>
  <c r="K90" i="19" s="1"/>
  <c r="K91" i="19" s="1"/>
  <c r="K92" i="19" s="1"/>
  <c r="K93" i="19" s="1"/>
  <c r="K94" i="19" s="1"/>
  <c r="K95" i="19" s="1"/>
  <c r="K96" i="19" s="1"/>
  <c r="K97" i="19" s="1"/>
  <c r="K98" i="19" s="1"/>
  <c r="K99" i="19" s="1"/>
  <c r="K100" i="19" s="1"/>
  <c r="K101" i="19" s="1"/>
  <c r="K102" i="19" s="1"/>
  <c r="J4" i="19"/>
  <c r="H4" i="19"/>
  <c r="F4" i="19"/>
  <c r="N3" i="19"/>
  <c r="G3" i="19"/>
  <c r="M3" i="19" s="1"/>
  <c r="X3" i="19" s="1"/>
  <c r="F3" i="19"/>
  <c r="U3" i="19" s="1"/>
  <c r="M47" i="27" l="1"/>
  <c r="X47" i="27" s="1"/>
  <c r="Z47" i="27"/>
  <c r="Q47" i="27"/>
  <c r="U47" i="27"/>
  <c r="G48" i="27"/>
  <c r="P47" i="27"/>
  <c r="M27" i="27"/>
  <c r="X27" i="27" s="1"/>
  <c r="Q27" i="27"/>
  <c r="G28" i="27"/>
  <c r="P27" i="27"/>
  <c r="Z27" i="27"/>
  <c r="M7" i="27"/>
  <c r="X7" i="27" s="1"/>
  <c r="Q7" i="27"/>
  <c r="Z7" i="27"/>
  <c r="G8" i="27"/>
  <c r="P7" i="27"/>
  <c r="U7" i="27"/>
  <c r="O4" i="27"/>
  <c r="M47" i="28"/>
  <c r="X47" i="28" s="1"/>
  <c r="G48" i="28"/>
  <c r="P47" i="28"/>
  <c r="Z47" i="28"/>
  <c r="Q47" i="28"/>
  <c r="AL9" i="28"/>
  <c r="Z27" i="28"/>
  <c r="Q27" i="28"/>
  <c r="G28" i="28"/>
  <c r="P27" i="28"/>
  <c r="M7" i="28"/>
  <c r="X7" i="28" s="1"/>
  <c r="P7" i="28"/>
  <c r="Z7" i="28"/>
  <c r="G8" i="28"/>
  <c r="Q7" i="28"/>
  <c r="U7" i="28"/>
  <c r="M47" i="26"/>
  <c r="X47" i="26" s="1"/>
  <c r="Q47" i="26"/>
  <c r="G48" i="26"/>
  <c r="P47" i="26"/>
  <c r="Z47" i="26"/>
  <c r="M27" i="26"/>
  <c r="X27" i="26" s="1"/>
  <c r="Q27" i="26"/>
  <c r="G28" i="26"/>
  <c r="P27" i="26"/>
  <c r="Z27" i="26"/>
  <c r="M7" i="26"/>
  <c r="X7" i="26" s="1"/>
  <c r="Z7" i="26"/>
  <c r="U7" i="26"/>
  <c r="Q7" i="26"/>
  <c r="P7" i="26"/>
  <c r="G8" i="26"/>
  <c r="M48" i="25"/>
  <c r="X48" i="25" s="1"/>
  <c r="Q48" i="25"/>
  <c r="G49" i="25"/>
  <c r="P48" i="25"/>
  <c r="Z48" i="25"/>
  <c r="U48" i="25"/>
  <c r="AL7" i="25"/>
  <c r="M27" i="25"/>
  <c r="X27" i="25" s="1"/>
  <c r="Q27" i="25"/>
  <c r="G28" i="25"/>
  <c r="P27" i="25"/>
  <c r="Z27" i="25"/>
  <c r="M7" i="25"/>
  <c r="X7" i="25" s="1"/>
  <c r="Z7" i="25"/>
  <c r="G8" i="25"/>
  <c r="Q7" i="25"/>
  <c r="P7" i="25"/>
  <c r="D7" i="25"/>
  <c r="S7" i="25" s="1"/>
  <c r="U7" i="25"/>
  <c r="AL7" i="24"/>
  <c r="M48" i="24"/>
  <c r="X48" i="24" s="1"/>
  <c r="Z48" i="24"/>
  <c r="Q48" i="24"/>
  <c r="U48" i="24"/>
  <c r="P48" i="24"/>
  <c r="G49" i="24"/>
  <c r="M27" i="24"/>
  <c r="X27" i="24" s="1"/>
  <c r="Q27" i="24"/>
  <c r="G28" i="24"/>
  <c r="P27" i="24"/>
  <c r="Z27" i="24"/>
  <c r="M7" i="24"/>
  <c r="X7" i="24" s="1"/>
  <c r="P7" i="24"/>
  <c r="Z7" i="24"/>
  <c r="G8" i="24"/>
  <c r="Q7" i="24"/>
  <c r="U7" i="24"/>
  <c r="M47" i="23"/>
  <c r="X47" i="23" s="1"/>
  <c r="U47" i="23"/>
  <c r="Q47" i="23"/>
  <c r="G48" i="23"/>
  <c r="P47" i="23"/>
  <c r="Z47" i="23"/>
  <c r="N8" i="23"/>
  <c r="O8" i="23" s="1"/>
  <c r="AJ6" i="23"/>
  <c r="E6" i="23" s="1"/>
  <c r="AL8" i="23"/>
  <c r="AJ7" i="23"/>
  <c r="E7" i="23" s="1"/>
  <c r="AL9" i="23"/>
  <c r="M7" i="23"/>
  <c r="X7" i="23" s="1"/>
  <c r="G8" i="23"/>
  <c r="Q7" i="23"/>
  <c r="P7" i="23"/>
  <c r="Z7" i="23"/>
  <c r="T4" i="23"/>
  <c r="O4" i="23"/>
  <c r="AA4" i="23"/>
  <c r="Z4" i="23"/>
  <c r="D4" i="23"/>
  <c r="S4" i="23" s="1"/>
  <c r="M47" i="22"/>
  <c r="X47" i="22" s="1"/>
  <c r="Q47" i="22"/>
  <c r="G48" i="22"/>
  <c r="P47" i="22"/>
  <c r="Z47" i="22"/>
  <c r="U47" i="22"/>
  <c r="M27" i="22"/>
  <c r="X27" i="22" s="1"/>
  <c r="Q27" i="22"/>
  <c r="G28" i="22"/>
  <c r="P27" i="22"/>
  <c r="Z27" i="22"/>
  <c r="AL9" i="22"/>
  <c r="U27" i="22"/>
  <c r="M7" i="22"/>
  <c r="X7" i="22" s="1"/>
  <c r="G8" i="22"/>
  <c r="Q7" i="22"/>
  <c r="P7" i="22"/>
  <c r="Z7" i="22"/>
  <c r="U7" i="22"/>
  <c r="U4" i="22"/>
  <c r="AA4" i="22"/>
  <c r="Z4" i="22"/>
  <c r="Q4" i="22"/>
  <c r="C4" i="22"/>
  <c r="R4" i="22" s="1"/>
  <c r="AL7" i="21"/>
  <c r="M47" i="21"/>
  <c r="X47" i="21" s="1"/>
  <c r="G48" i="21"/>
  <c r="P47" i="21"/>
  <c r="Z47" i="21"/>
  <c r="Q47" i="21"/>
  <c r="M27" i="21"/>
  <c r="X27" i="21" s="1"/>
  <c r="Q27" i="21"/>
  <c r="Z27" i="21"/>
  <c r="G28" i="21"/>
  <c r="P27" i="21"/>
  <c r="U27" i="21"/>
  <c r="M7" i="21"/>
  <c r="X7" i="21" s="1"/>
  <c r="P7" i="21"/>
  <c r="Z7" i="21"/>
  <c r="U7" i="21"/>
  <c r="G8" i="21"/>
  <c r="Q7" i="21"/>
  <c r="AL7" i="20"/>
  <c r="P4" i="20"/>
  <c r="T4" i="20"/>
  <c r="O4" i="20"/>
  <c r="AA4" i="20"/>
  <c r="Z4" i="20"/>
  <c r="R5" i="26"/>
  <c r="R5" i="21"/>
  <c r="S5" i="21"/>
  <c r="AA4" i="28"/>
  <c r="M4" i="28"/>
  <c r="X4" i="28" s="1"/>
  <c r="L4" i="28"/>
  <c r="W4" i="28" s="1"/>
  <c r="O4" i="28"/>
  <c r="D4" i="28"/>
  <c r="S4" i="28" s="1"/>
  <c r="G5" i="28"/>
  <c r="Q5" i="28" s="1"/>
  <c r="C4" i="28"/>
  <c r="R4" i="28" s="1"/>
  <c r="P4" i="28"/>
  <c r="AL8" i="28"/>
  <c r="AJ7" i="28" s="1"/>
  <c r="E7" i="28" s="1"/>
  <c r="T4" i="28"/>
  <c r="Z4" i="28"/>
  <c r="D7" i="28"/>
  <c r="S7" i="28" s="1"/>
  <c r="C7" i="28"/>
  <c r="R7" i="28" s="1"/>
  <c r="H8" i="28"/>
  <c r="U4" i="28"/>
  <c r="J6" i="28"/>
  <c r="Q4" i="28"/>
  <c r="AJ8" i="28"/>
  <c r="E8" i="28" s="1"/>
  <c r="AH10" i="28"/>
  <c r="AJ9" i="28"/>
  <c r="E9" i="28" s="1"/>
  <c r="U4" i="27"/>
  <c r="T4" i="27"/>
  <c r="J6" i="26"/>
  <c r="T5" i="26"/>
  <c r="Q5" i="26"/>
  <c r="P5" i="26"/>
  <c r="O5" i="26"/>
  <c r="Z5" i="26"/>
  <c r="AH11" i="27"/>
  <c r="L5" i="24"/>
  <c r="W5" i="24" s="1"/>
  <c r="M5" i="24"/>
  <c r="X5" i="24" s="1"/>
  <c r="L5" i="25"/>
  <c r="W5" i="25" s="1"/>
  <c r="M5" i="25"/>
  <c r="X5" i="25" s="1"/>
  <c r="AA5" i="25"/>
  <c r="O5" i="25"/>
  <c r="J8" i="27"/>
  <c r="L5" i="26"/>
  <c r="W5" i="26" s="1"/>
  <c r="AA5" i="26"/>
  <c r="M5" i="26"/>
  <c r="X5" i="26" s="1"/>
  <c r="D5" i="26"/>
  <c r="S5" i="26" s="1"/>
  <c r="Z6" i="26"/>
  <c r="H7" i="26"/>
  <c r="D6" i="26"/>
  <c r="S6" i="26" s="1"/>
  <c r="C6" i="26"/>
  <c r="R6" i="26" s="1"/>
  <c r="AL8" i="25"/>
  <c r="AJ7" i="25" s="1"/>
  <c r="E7" i="25" s="1"/>
  <c r="AJ6" i="25"/>
  <c r="E6" i="25" s="1"/>
  <c r="AH10" i="24"/>
  <c r="AJ9" i="24"/>
  <c r="E9" i="24" s="1"/>
  <c r="L6" i="27"/>
  <c r="W6" i="27" s="1"/>
  <c r="U5" i="26"/>
  <c r="Z5" i="24"/>
  <c r="L4" i="27"/>
  <c r="W4" i="27" s="1"/>
  <c r="D4" i="27"/>
  <c r="S4" i="27" s="1"/>
  <c r="G5" i="27"/>
  <c r="Q4" i="27"/>
  <c r="C4" i="27"/>
  <c r="R4" i="27" s="1"/>
  <c r="AA4" i="27"/>
  <c r="M4" i="27"/>
  <c r="X4" i="27" s="1"/>
  <c r="D6" i="27"/>
  <c r="S6" i="27" s="1"/>
  <c r="C6" i="27"/>
  <c r="R6" i="27" s="1"/>
  <c r="Z6" i="27"/>
  <c r="H7" i="27"/>
  <c r="L7" i="27" s="1"/>
  <c r="W7" i="27" s="1"/>
  <c r="C5" i="25"/>
  <c r="R5" i="25" s="1"/>
  <c r="Z5" i="25"/>
  <c r="P5" i="25"/>
  <c r="C5" i="24"/>
  <c r="R5" i="24" s="1"/>
  <c r="P4" i="27"/>
  <c r="AL9" i="27"/>
  <c r="AL7" i="27"/>
  <c r="Q5" i="25"/>
  <c r="AA5" i="24"/>
  <c r="AL8" i="24"/>
  <c r="AJ6" i="24"/>
  <c r="E6" i="24" s="1"/>
  <c r="AH9" i="26"/>
  <c r="T5" i="25"/>
  <c r="D5" i="24"/>
  <c r="S5" i="24" s="1"/>
  <c r="AH9" i="25"/>
  <c r="AJ8" i="25"/>
  <c r="E8" i="25" s="1"/>
  <c r="AL9" i="26"/>
  <c r="AL7" i="26"/>
  <c r="D8" i="25"/>
  <c r="S8" i="25" s="1"/>
  <c r="C8" i="25"/>
  <c r="R8" i="25" s="1"/>
  <c r="H9" i="25"/>
  <c r="J7" i="25"/>
  <c r="L6" i="25"/>
  <c r="W6" i="25" s="1"/>
  <c r="J6" i="24"/>
  <c r="T5" i="24"/>
  <c r="Q5" i="24"/>
  <c r="P5" i="24"/>
  <c r="O5" i="24"/>
  <c r="Z6" i="24"/>
  <c r="H7" i="24"/>
  <c r="D6" i="24"/>
  <c r="S6" i="24" s="1"/>
  <c r="C6" i="24"/>
  <c r="R6" i="24" s="1"/>
  <c r="U5" i="24"/>
  <c r="J6" i="23"/>
  <c r="D7" i="22"/>
  <c r="S7" i="22" s="1"/>
  <c r="C7" i="22"/>
  <c r="R7" i="22" s="1"/>
  <c r="H8" i="22"/>
  <c r="J6" i="22"/>
  <c r="AH10" i="22"/>
  <c r="M4" i="23"/>
  <c r="X4" i="23" s="1"/>
  <c r="L4" i="23"/>
  <c r="W4" i="23" s="1"/>
  <c r="G5" i="23"/>
  <c r="AA5" i="23" s="1"/>
  <c r="Q4" i="23"/>
  <c r="C4" i="23"/>
  <c r="R4" i="23" s="1"/>
  <c r="AH10" i="23"/>
  <c r="AJ9" i="23"/>
  <c r="E9" i="23" s="1"/>
  <c r="M4" i="22"/>
  <c r="X4" i="22" s="1"/>
  <c r="L4" i="22"/>
  <c r="W4" i="22" s="1"/>
  <c r="O4" i="22"/>
  <c r="D4" i="22"/>
  <c r="S4" i="22" s="1"/>
  <c r="G5" i="22"/>
  <c r="Q5" i="22" s="1"/>
  <c r="AL8" i="22"/>
  <c r="P4" i="23"/>
  <c r="H6" i="23"/>
  <c r="T4" i="22"/>
  <c r="H7" i="21"/>
  <c r="D6" i="21"/>
  <c r="S6" i="21" s="1"/>
  <c r="C6" i="21"/>
  <c r="R6" i="21" s="1"/>
  <c r="Z6" i="21"/>
  <c r="AH10" i="21"/>
  <c r="AJ9" i="21"/>
  <c r="E9" i="21" s="1"/>
  <c r="L5" i="21"/>
  <c r="W5" i="21" s="1"/>
  <c r="J6" i="21"/>
  <c r="T5" i="21"/>
  <c r="Q5" i="21"/>
  <c r="P5" i="21"/>
  <c r="O5" i="21"/>
  <c r="AL8" i="21"/>
  <c r="AJ6" i="21"/>
  <c r="E6" i="21" s="1"/>
  <c r="G5" i="20"/>
  <c r="T5" i="20" s="1"/>
  <c r="D4" i="20"/>
  <c r="S4" i="20" s="1"/>
  <c r="M4" i="20"/>
  <c r="X4" i="20" s="1"/>
  <c r="L4" i="20"/>
  <c r="W4" i="20" s="1"/>
  <c r="H8" i="20"/>
  <c r="Q4" i="20"/>
  <c r="C4" i="20"/>
  <c r="R4" i="20" s="1"/>
  <c r="J6" i="20"/>
  <c r="AL8" i="20"/>
  <c r="AJ7" i="20" s="1"/>
  <c r="E7" i="20" s="1"/>
  <c r="N7" i="20" s="1"/>
  <c r="AJ6" i="20"/>
  <c r="E6" i="20" s="1"/>
  <c r="AH10" i="20"/>
  <c r="AJ9" i="20"/>
  <c r="E9" i="20" s="1"/>
  <c r="L3" i="19"/>
  <c r="W3" i="19" s="1"/>
  <c r="AH11" i="19"/>
  <c r="D3" i="19"/>
  <c r="S3" i="19" s="1"/>
  <c r="T3" i="19"/>
  <c r="C3" i="19"/>
  <c r="R3" i="19" s="1"/>
  <c r="O2" i="19"/>
  <c r="G4" i="19"/>
  <c r="U4" i="19" s="1"/>
  <c r="Q3" i="19"/>
  <c r="P3" i="19"/>
  <c r="O3" i="19"/>
  <c r="AA3" i="19"/>
  <c r="AL7" i="19"/>
  <c r="AJ10" i="19" s="1"/>
  <c r="E10" i="19" s="1"/>
  <c r="AL9" i="19"/>
  <c r="Z3" i="19"/>
  <c r="T4" i="19"/>
  <c r="Q4" i="19"/>
  <c r="H5" i="19"/>
  <c r="J5" i="19"/>
  <c r="Z4" i="19"/>
  <c r="F102" i="18"/>
  <c r="F101" i="18"/>
  <c r="F100" i="18"/>
  <c r="F99" i="18"/>
  <c r="F98" i="18"/>
  <c r="F97" i="18"/>
  <c r="F96" i="18"/>
  <c r="F95" i="18"/>
  <c r="F94" i="18"/>
  <c r="F93" i="18"/>
  <c r="F92" i="18"/>
  <c r="F91" i="18"/>
  <c r="F90" i="18"/>
  <c r="F89" i="18"/>
  <c r="F88" i="18"/>
  <c r="F87" i="18"/>
  <c r="F86" i="18"/>
  <c r="F85" i="18"/>
  <c r="F84" i="18"/>
  <c r="F83" i="18"/>
  <c r="F82" i="18"/>
  <c r="F81" i="18"/>
  <c r="F80" i="18"/>
  <c r="F79" i="18"/>
  <c r="F78" i="18"/>
  <c r="F77" i="18"/>
  <c r="F76" i="18"/>
  <c r="F75" i="18"/>
  <c r="F74" i="18"/>
  <c r="F73" i="18"/>
  <c r="F72" i="18"/>
  <c r="F71" i="18"/>
  <c r="F70" i="18"/>
  <c r="F69" i="18"/>
  <c r="F68" i="18"/>
  <c r="F67" i="18"/>
  <c r="F66" i="18"/>
  <c r="F65" i="18"/>
  <c r="F64" i="18"/>
  <c r="F63" i="18"/>
  <c r="F62" i="18"/>
  <c r="F61" i="18"/>
  <c r="F60" i="18"/>
  <c r="F59" i="18"/>
  <c r="F58" i="18"/>
  <c r="F57" i="18"/>
  <c r="F56" i="18"/>
  <c r="F55" i="18"/>
  <c r="F54" i="18"/>
  <c r="F53" i="18"/>
  <c r="F52" i="18"/>
  <c r="F51" i="18"/>
  <c r="F50" i="18"/>
  <c r="F49" i="18"/>
  <c r="F48" i="18"/>
  <c r="F47" i="18"/>
  <c r="F46" i="18"/>
  <c r="F45" i="18"/>
  <c r="F44" i="18"/>
  <c r="F43" i="18"/>
  <c r="F42" i="18"/>
  <c r="F41" i="18"/>
  <c r="F40" i="18"/>
  <c r="F39" i="18"/>
  <c r="F38" i="18"/>
  <c r="F37" i="18"/>
  <c r="F36" i="18"/>
  <c r="F35" i="18"/>
  <c r="F34" i="18"/>
  <c r="F33" i="18"/>
  <c r="F32" i="18"/>
  <c r="F31" i="18"/>
  <c r="F30" i="18"/>
  <c r="F29" i="18"/>
  <c r="F28" i="18"/>
  <c r="F27" i="18"/>
  <c r="F26" i="18"/>
  <c r="F25" i="18"/>
  <c r="F24" i="18"/>
  <c r="F23" i="18"/>
  <c r="F22" i="18"/>
  <c r="F21" i="18"/>
  <c r="F20" i="18"/>
  <c r="F19" i="18"/>
  <c r="F18" i="18"/>
  <c r="F17" i="18"/>
  <c r="F16" i="18"/>
  <c r="F15" i="18"/>
  <c r="F14" i="18"/>
  <c r="F13" i="18"/>
  <c r="F12" i="18"/>
  <c r="F11" i="18"/>
  <c r="F10" i="18"/>
  <c r="F9" i="18"/>
  <c r="F8" i="18"/>
  <c r="F7" i="18"/>
  <c r="F6" i="18"/>
  <c r="F5" i="18"/>
  <c r="F4" i="18"/>
  <c r="D4" i="18"/>
  <c r="C4" i="18"/>
  <c r="F3" i="18"/>
  <c r="U3" i="18" s="1"/>
  <c r="D3" i="18"/>
  <c r="C3" i="18"/>
  <c r="F102" i="17"/>
  <c r="F101" i="17"/>
  <c r="F100" i="17"/>
  <c r="F99" i="17"/>
  <c r="F98" i="17"/>
  <c r="F97" i="17"/>
  <c r="F96" i="17"/>
  <c r="F95" i="17"/>
  <c r="F94" i="17"/>
  <c r="F93" i="17"/>
  <c r="F92" i="17"/>
  <c r="F91" i="17"/>
  <c r="F90" i="17"/>
  <c r="F89" i="17"/>
  <c r="F88" i="17"/>
  <c r="F87" i="17"/>
  <c r="F86" i="17"/>
  <c r="F85" i="17"/>
  <c r="F84" i="17"/>
  <c r="F83" i="17"/>
  <c r="F82" i="17"/>
  <c r="F81" i="17"/>
  <c r="F80" i="17"/>
  <c r="F79" i="17"/>
  <c r="F78" i="17"/>
  <c r="F77" i="17"/>
  <c r="F76" i="17"/>
  <c r="F75" i="17"/>
  <c r="F74" i="17"/>
  <c r="F73" i="17"/>
  <c r="F72" i="17"/>
  <c r="F71" i="17"/>
  <c r="F70" i="17"/>
  <c r="F69" i="17"/>
  <c r="F68" i="17"/>
  <c r="F67" i="17"/>
  <c r="F66" i="17"/>
  <c r="F65" i="17"/>
  <c r="F64" i="17"/>
  <c r="F63" i="17"/>
  <c r="F62" i="17"/>
  <c r="F61" i="17"/>
  <c r="F60" i="17"/>
  <c r="F59" i="17"/>
  <c r="F58" i="17"/>
  <c r="F57" i="17"/>
  <c r="F56" i="17"/>
  <c r="F55" i="17"/>
  <c r="F54" i="17"/>
  <c r="F53" i="17"/>
  <c r="F52" i="17"/>
  <c r="F51" i="17"/>
  <c r="F50" i="17"/>
  <c r="F49" i="17"/>
  <c r="F48" i="17"/>
  <c r="F47" i="17"/>
  <c r="F46" i="17"/>
  <c r="F45" i="17"/>
  <c r="F44" i="17"/>
  <c r="F43" i="17"/>
  <c r="F42" i="17"/>
  <c r="F41" i="17"/>
  <c r="F40" i="17"/>
  <c r="F39" i="17"/>
  <c r="F38" i="17"/>
  <c r="F37" i="17"/>
  <c r="F36" i="17"/>
  <c r="F35" i="17"/>
  <c r="F34" i="17"/>
  <c r="F33" i="17"/>
  <c r="F32" i="17"/>
  <c r="F31" i="17"/>
  <c r="F30" i="17"/>
  <c r="F29" i="17"/>
  <c r="F28" i="17"/>
  <c r="F27" i="17"/>
  <c r="F26" i="17"/>
  <c r="F25" i="17"/>
  <c r="F24" i="17"/>
  <c r="F23" i="17"/>
  <c r="F22" i="17"/>
  <c r="F21" i="17"/>
  <c r="F20" i="17"/>
  <c r="F19" i="17"/>
  <c r="F18" i="17"/>
  <c r="F17" i="17"/>
  <c r="F16" i="17"/>
  <c r="F15" i="17"/>
  <c r="F14" i="17"/>
  <c r="F13" i="17"/>
  <c r="F12" i="17"/>
  <c r="F11" i="17"/>
  <c r="F10" i="17"/>
  <c r="F9" i="17"/>
  <c r="F8" i="17"/>
  <c r="F7" i="17"/>
  <c r="F6" i="17"/>
  <c r="F5" i="17"/>
  <c r="D5" i="17"/>
  <c r="C5" i="17"/>
  <c r="F4" i="17"/>
  <c r="D4" i="17"/>
  <c r="C4" i="17"/>
  <c r="F3" i="17"/>
  <c r="U3" i="17" s="1"/>
  <c r="D3" i="17"/>
  <c r="C3" i="17"/>
  <c r="F102" i="16"/>
  <c r="F101" i="16"/>
  <c r="F100" i="16"/>
  <c r="F99" i="16"/>
  <c r="F98" i="16"/>
  <c r="F97" i="16"/>
  <c r="F96" i="16"/>
  <c r="F95" i="16"/>
  <c r="F94" i="16"/>
  <c r="F93" i="16"/>
  <c r="F92" i="16"/>
  <c r="F91" i="16"/>
  <c r="F90" i="16"/>
  <c r="F89" i="16"/>
  <c r="F88" i="16"/>
  <c r="F87" i="16"/>
  <c r="F86" i="16"/>
  <c r="F85" i="16"/>
  <c r="F84" i="16"/>
  <c r="F83" i="16"/>
  <c r="F82" i="16"/>
  <c r="F81" i="16"/>
  <c r="F80" i="16"/>
  <c r="F79" i="16"/>
  <c r="F78" i="16"/>
  <c r="F77" i="16"/>
  <c r="F76" i="16"/>
  <c r="F75" i="16"/>
  <c r="F74" i="16"/>
  <c r="F73" i="16"/>
  <c r="F72" i="16"/>
  <c r="F71" i="16"/>
  <c r="F70" i="16"/>
  <c r="F69" i="16"/>
  <c r="F68" i="16"/>
  <c r="F67" i="16"/>
  <c r="F66" i="16"/>
  <c r="F65" i="16"/>
  <c r="F64" i="16"/>
  <c r="F63" i="16"/>
  <c r="F62" i="16"/>
  <c r="F61" i="16"/>
  <c r="F60" i="16"/>
  <c r="F59" i="16"/>
  <c r="F58" i="16"/>
  <c r="F57" i="16"/>
  <c r="F56" i="16"/>
  <c r="F55" i="16"/>
  <c r="F54" i="16"/>
  <c r="F53" i="16"/>
  <c r="F52" i="16"/>
  <c r="F51" i="16"/>
  <c r="F50" i="16"/>
  <c r="F49" i="16"/>
  <c r="F48" i="16"/>
  <c r="F47" i="16"/>
  <c r="F46" i="16"/>
  <c r="F45" i="16"/>
  <c r="F44" i="16"/>
  <c r="F43" i="16"/>
  <c r="F42" i="16"/>
  <c r="F41" i="16"/>
  <c r="F40" i="16"/>
  <c r="F39" i="16"/>
  <c r="F38" i="16"/>
  <c r="F37" i="16"/>
  <c r="F36" i="16"/>
  <c r="F35" i="16"/>
  <c r="F34" i="16"/>
  <c r="F33" i="16"/>
  <c r="F32" i="16"/>
  <c r="F31" i="16"/>
  <c r="F30" i="16"/>
  <c r="F29" i="16"/>
  <c r="F28" i="16"/>
  <c r="F27" i="16"/>
  <c r="F26" i="16"/>
  <c r="F25" i="16"/>
  <c r="F24" i="16"/>
  <c r="F23" i="16"/>
  <c r="F22" i="16"/>
  <c r="F21" i="16"/>
  <c r="F20" i="16"/>
  <c r="F19" i="16"/>
  <c r="F18" i="16"/>
  <c r="F17" i="16"/>
  <c r="F16" i="16"/>
  <c r="F15" i="16"/>
  <c r="F14" i="16"/>
  <c r="F13" i="16"/>
  <c r="F12" i="16"/>
  <c r="F11" i="16"/>
  <c r="F10" i="16"/>
  <c r="F9" i="16"/>
  <c r="F8" i="16"/>
  <c r="F7" i="16"/>
  <c r="F6" i="16"/>
  <c r="F5" i="16"/>
  <c r="F4" i="16"/>
  <c r="F3" i="16"/>
  <c r="U3" i="16" s="1"/>
  <c r="D3" i="16"/>
  <c r="C3" i="16"/>
  <c r="F102" i="15"/>
  <c r="F101" i="15"/>
  <c r="F100" i="15"/>
  <c r="F99" i="15"/>
  <c r="F98" i="15"/>
  <c r="F97" i="15"/>
  <c r="F96" i="15"/>
  <c r="F95" i="15"/>
  <c r="F94" i="15"/>
  <c r="F93" i="15"/>
  <c r="F92" i="15"/>
  <c r="F91" i="15"/>
  <c r="F90" i="15"/>
  <c r="F89" i="15"/>
  <c r="F88" i="15"/>
  <c r="F87" i="15"/>
  <c r="F86" i="15"/>
  <c r="F85" i="15"/>
  <c r="F84" i="15"/>
  <c r="F83" i="15"/>
  <c r="F82" i="15"/>
  <c r="F81" i="15"/>
  <c r="F80" i="15"/>
  <c r="F79" i="15"/>
  <c r="F78" i="15"/>
  <c r="F77" i="15"/>
  <c r="F76" i="15"/>
  <c r="F75" i="15"/>
  <c r="F74" i="15"/>
  <c r="F73" i="15"/>
  <c r="F72" i="15"/>
  <c r="F71" i="15"/>
  <c r="F70" i="15"/>
  <c r="F69" i="15"/>
  <c r="F68" i="15"/>
  <c r="F67" i="15"/>
  <c r="F66" i="15"/>
  <c r="F65" i="15"/>
  <c r="F64" i="15"/>
  <c r="F63" i="15"/>
  <c r="F62" i="15"/>
  <c r="F61" i="15"/>
  <c r="F60" i="15"/>
  <c r="F59" i="15"/>
  <c r="F58" i="15"/>
  <c r="F57" i="15"/>
  <c r="F56" i="15"/>
  <c r="F55" i="15"/>
  <c r="F54" i="15"/>
  <c r="F53" i="15"/>
  <c r="F52" i="15"/>
  <c r="F51" i="15"/>
  <c r="F50" i="15"/>
  <c r="F49" i="15"/>
  <c r="F48" i="15"/>
  <c r="F47" i="15"/>
  <c r="F46" i="15"/>
  <c r="F45" i="15"/>
  <c r="F44" i="15"/>
  <c r="F43" i="15"/>
  <c r="F42" i="15"/>
  <c r="F41" i="15"/>
  <c r="F40" i="15"/>
  <c r="F39" i="15"/>
  <c r="F38" i="15"/>
  <c r="F37" i="15"/>
  <c r="F36" i="15"/>
  <c r="F35" i="15"/>
  <c r="F34" i="15"/>
  <c r="F33" i="15"/>
  <c r="F32" i="15"/>
  <c r="F31" i="15"/>
  <c r="F30" i="15"/>
  <c r="F29" i="15"/>
  <c r="F28" i="15"/>
  <c r="F27" i="15"/>
  <c r="F26" i="15"/>
  <c r="F25" i="15"/>
  <c r="F24" i="15"/>
  <c r="F23" i="15"/>
  <c r="F22" i="15"/>
  <c r="F21" i="15"/>
  <c r="F20" i="15"/>
  <c r="F19" i="15"/>
  <c r="F18" i="15"/>
  <c r="F17" i="15"/>
  <c r="F16" i="15"/>
  <c r="F15" i="15"/>
  <c r="F14" i="15"/>
  <c r="F13" i="15"/>
  <c r="F12" i="15"/>
  <c r="F11" i="15"/>
  <c r="F10" i="15"/>
  <c r="F9" i="15"/>
  <c r="F8" i="15"/>
  <c r="F7" i="15"/>
  <c r="F6" i="15"/>
  <c r="F5" i="15"/>
  <c r="D5" i="15"/>
  <c r="C5" i="15"/>
  <c r="F4" i="15"/>
  <c r="D4" i="15"/>
  <c r="C4" i="15"/>
  <c r="F3" i="15"/>
  <c r="D3" i="15"/>
  <c r="C3" i="15"/>
  <c r="F102" i="14"/>
  <c r="F101" i="14"/>
  <c r="F100" i="14"/>
  <c r="F99" i="14"/>
  <c r="F98" i="14"/>
  <c r="F97" i="14"/>
  <c r="F96" i="14"/>
  <c r="F95" i="14"/>
  <c r="F94" i="14"/>
  <c r="F93" i="14"/>
  <c r="F92" i="14"/>
  <c r="F91" i="14"/>
  <c r="F90" i="14"/>
  <c r="F89" i="14"/>
  <c r="F88" i="14"/>
  <c r="F87" i="14"/>
  <c r="F86" i="14"/>
  <c r="F85" i="14"/>
  <c r="F84" i="14"/>
  <c r="F83" i="14"/>
  <c r="F82" i="14"/>
  <c r="F81" i="14"/>
  <c r="F80" i="14"/>
  <c r="F79" i="14"/>
  <c r="F78" i="14"/>
  <c r="F77" i="14"/>
  <c r="F76" i="14"/>
  <c r="F75" i="14"/>
  <c r="F74" i="14"/>
  <c r="F73" i="14"/>
  <c r="F72" i="14"/>
  <c r="F71" i="14"/>
  <c r="F70" i="14"/>
  <c r="F69" i="14"/>
  <c r="F68" i="14"/>
  <c r="F67" i="14"/>
  <c r="F66" i="14"/>
  <c r="F65" i="14"/>
  <c r="F64" i="14"/>
  <c r="F63" i="14"/>
  <c r="F62" i="14"/>
  <c r="F61" i="14"/>
  <c r="F60" i="14"/>
  <c r="F59" i="14"/>
  <c r="F58" i="14"/>
  <c r="F57" i="14"/>
  <c r="F56" i="14"/>
  <c r="F55" i="14"/>
  <c r="F54" i="14"/>
  <c r="F53" i="14"/>
  <c r="F52" i="14"/>
  <c r="F51" i="14"/>
  <c r="F50" i="14"/>
  <c r="F49" i="14"/>
  <c r="F48" i="14"/>
  <c r="F47" i="14"/>
  <c r="F46" i="14"/>
  <c r="F45" i="14"/>
  <c r="F44" i="14"/>
  <c r="F43" i="14"/>
  <c r="F42" i="14"/>
  <c r="F41" i="14"/>
  <c r="F40" i="14"/>
  <c r="F39" i="14"/>
  <c r="F38" i="14"/>
  <c r="F37" i="14"/>
  <c r="F36" i="14"/>
  <c r="F35" i="14"/>
  <c r="F34" i="14"/>
  <c r="F33" i="14"/>
  <c r="F32" i="14"/>
  <c r="F31" i="14"/>
  <c r="F30" i="14"/>
  <c r="F29" i="14"/>
  <c r="F28" i="14"/>
  <c r="F27" i="14"/>
  <c r="F26" i="14"/>
  <c r="F25" i="14"/>
  <c r="F24" i="14"/>
  <c r="F23" i="14"/>
  <c r="F22" i="14"/>
  <c r="F21" i="14"/>
  <c r="F20" i="14"/>
  <c r="F19" i="14"/>
  <c r="F18" i="14"/>
  <c r="F17" i="14"/>
  <c r="F16" i="14"/>
  <c r="F15" i="14"/>
  <c r="F14" i="14"/>
  <c r="F13" i="14"/>
  <c r="F12" i="14"/>
  <c r="F11" i="14"/>
  <c r="F10" i="14"/>
  <c r="F9" i="14"/>
  <c r="F8" i="14"/>
  <c r="F7" i="14"/>
  <c r="F6" i="14"/>
  <c r="F5" i="14"/>
  <c r="F4" i="14"/>
  <c r="F3" i="14"/>
  <c r="F102" i="13"/>
  <c r="F101" i="13"/>
  <c r="F100" i="13"/>
  <c r="F99" i="13"/>
  <c r="F98" i="13"/>
  <c r="F97" i="13"/>
  <c r="F96" i="13"/>
  <c r="F95" i="13"/>
  <c r="F94" i="13"/>
  <c r="F93" i="13"/>
  <c r="F92" i="13"/>
  <c r="F91" i="13"/>
  <c r="F90" i="13"/>
  <c r="F89" i="13"/>
  <c r="F88" i="13"/>
  <c r="F87" i="13"/>
  <c r="F86" i="13"/>
  <c r="F85" i="13"/>
  <c r="F84" i="13"/>
  <c r="F83" i="13"/>
  <c r="F82" i="13"/>
  <c r="F81" i="13"/>
  <c r="F80" i="13"/>
  <c r="F79" i="13"/>
  <c r="F78" i="13"/>
  <c r="F77" i="13"/>
  <c r="F76" i="13"/>
  <c r="F75" i="13"/>
  <c r="F74" i="13"/>
  <c r="F73" i="13"/>
  <c r="F72" i="13"/>
  <c r="F71" i="13"/>
  <c r="F70" i="13"/>
  <c r="F69" i="13"/>
  <c r="F68" i="13"/>
  <c r="F67" i="13"/>
  <c r="F66" i="13"/>
  <c r="F65" i="13"/>
  <c r="F64" i="13"/>
  <c r="F63" i="13"/>
  <c r="F62" i="13"/>
  <c r="F61" i="13"/>
  <c r="F60" i="13"/>
  <c r="F59" i="13"/>
  <c r="F58" i="13"/>
  <c r="F57" i="13"/>
  <c r="F56" i="13"/>
  <c r="F55" i="13"/>
  <c r="F54" i="13"/>
  <c r="F53" i="13"/>
  <c r="F52" i="13"/>
  <c r="F51" i="13"/>
  <c r="F50" i="13"/>
  <c r="F49" i="13"/>
  <c r="F48" i="13"/>
  <c r="F47" i="13"/>
  <c r="F46" i="13"/>
  <c r="F45" i="13"/>
  <c r="F44" i="13"/>
  <c r="F43" i="13"/>
  <c r="F42" i="13"/>
  <c r="F41" i="13"/>
  <c r="F40" i="13"/>
  <c r="F39" i="13"/>
  <c r="F38" i="13"/>
  <c r="F37" i="13"/>
  <c r="F36" i="13"/>
  <c r="F35" i="13"/>
  <c r="F34" i="13"/>
  <c r="F33" i="13"/>
  <c r="F32" i="13"/>
  <c r="F31" i="13"/>
  <c r="F30" i="13"/>
  <c r="F29" i="13"/>
  <c r="F28" i="13"/>
  <c r="F27" i="13"/>
  <c r="F26" i="13"/>
  <c r="F25" i="13"/>
  <c r="F24" i="13"/>
  <c r="F23" i="13"/>
  <c r="F22" i="13"/>
  <c r="F21" i="13"/>
  <c r="F20" i="13"/>
  <c r="F19" i="13"/>
  <c r="F18" i="13"/>
  <c r="F17" i="13"/>
  <c r="F16" i="13"/>
  <c r="F15" i="13"/>
  <c r="F14" i="13"/>
  <c r="F13" i="13"/>
  <c r="F12" i="13"/>
  <c r="F11" i="13"/>
  <c r="F10" i="13"/>
  <c r="F9" i="13"/>
  <c r="F8" i="13"/>
  <c r="F7" i="13"/>
  <c r="F6" i="13"/>
  <c r="F5" i="13"/>
  <c r="F4" i="13"/>
  <c r="D4" i="13"/>
  <c r="C4" i="13"/>
  <c r="F3" i="13"/>
  <c r="D3" i="13"/>
  <c r="C3" i="13"/>
  <c r="F102" i="12"/>
  <c r="F101" i="12"/>
  <c r="F100" i="12"/>
  <c r="F99" i="12"/>
  <c r="F98" i="12"/>
  <c r="F97" i="12"/>
  <c r="F96" i="12"/>
  <c r="F95" i="12"/>
  <c r="F94" i="12"/>
  <c r="F93" i="12"/>
  <c r="F92" i="12"/>
  <c r="F91" i="12"/>
  <c r="F90" i="12"/>
  <c r="F89" i="12"/>
  <c r="F88" i="12"/>
  <c r="F87" i="12"/>
  <c r="F86" i="12"/>
  <c r="F85" i="12"/>
  <c r="F84" i="12"/>
  <c r="F83" i="12"/>
  <c r="F82" i="12"/>
  <c r="F81" i="12"/>
  <c r="F80" i="12"/>
  <c r="F79" i="12"/>
  <c r="F78" i="12"/>
  <c r="F77" i="12"/>
  <c r="F76" i="12"/>
  <c r="F75" i="12"/>
  <c r="F74" i="12"/>
  <c r="F73" i="12"/>
  <c r="F72" i="12"/>
  <c r="F71" i="12"/>
  <c r="F70" i="12"/>
  <c r="F69" i="12"/>
  <c r="F68" i="12"/>
  <c r="F67" i="12"/>
  <c r="F66" i="12"/>
  <c r="F65" i="12"/>
  <c r="F64" i="12"/>
  <c r="F63" i="12"/>
  <c r="F62" i="12"/>
  <c r="F61" i="12"/>
  <c r="F60" i="12"/>
  <c r="F59" i="12"/>
  <c r="F58" i="12"/>
  <c r="F57" i="12"/>
  <c r="F56" i="12"/>
  <c r="F55" i="12"/>
  <c r="F54" i="12"/>
  <c r="F53" i="12"/>
  <c r="F52" i="12"/>
  <c r="F51" i="12"/>
  <c r="F50" i="12"/>
  <c r="F49" i="12"/>
  <c r="F48" i="12"/>
  <c r="F47" i="12"/>
  <c r="F46" i="12"/>
  <c r="F45" i="12"/>
  <c r="F44" i="12"/>
  <c r="F43" i="12"/>
  <c r="F42" i="12"/>
  <c r="F41" i="12"/>
  <c r="F40" i="12"/>
  <c r="F39" i="12"/>
  <c r="F38" i="12"/>
  <c r="F37" i="12"/>
  <c r="F36" i="12"/>
  <c r="F35" i="12"/>
  <c r="F34" i="12"/>
  <c r="F33" i="12"/>
  <c r="F32" i="12"/>
  <c r="F31" i="12"/>
  <c r="F30" i="12"/>
  <c r="F29" i="12"/>
  <c r="F28" i="12"/>
  <c r="F27" i="12"/>
  <c r="F26" i="12"/>
  <c r="F25" i="12"/>
  <c r="F24" i="12"/>
  <c r="F23" i="12"/>
  <c r="F22" i="12"/>
  <c r="F21" i="12"/>
  <c r="F20" i="12"/>
  <c r="F19" i="12"/>
  <c r="F18" i="12"/>
  <c r="F17" i="12"/>
  <c r="F16" i="12"/>
  <c r="F15" i="12"/>
  <c r="F14" i="12"/>
  <c r="F13" i="12"/>
  <c r="F12" i="12"/>
  <c r="F11" i="12"/>
  <c r="F10" i="12"/>
  <c r="F9" i="12"/>
  <c r="F8" i="12"/>
  <c r="F7" i="12"/>
  <c r="F6" i="12"/>
  <c r="F5" i="12"/>
  <c r="D5" i="12"/>
  <c r="C5" i="12"/>
  <c r="F4" i="12"/>
  <c r="D4" i="12"/>
  <c r="C4" i="12"/>
  <c r="F3" i="12"/>
  <c r="D3" i="12"/>
  <c r="C3" i="12"/>
  <c r="F102" i="11"/>
  <c r="F101" i="11"/>
  <c r="F100" i="11"/>
  <c r="F99" i="11"/>
  <c r="F98" i="11"/>
  <c r="F97" i="11"/>
  <c r="F96" i="11"/>
  <c r="F95" i="11"/>
  <c r="F94" i="11"/>
  <c r="F93" i="11"/>
  <c r="F92" i="11"/>
  <c r="F91" i="11"/>
  <c r="F90" i="11"/>
  <c r="F89" i="11"/>
  <c r="F88" i="11"/>
  <c r="F87" i="11"/>
  <c r="F86" i="11"/>
  <c r="F85" i="11"/>
  <c r="F84" i="11"/>
  <c r="F83" i="11"/>
  <c r="F82" i="11"/>
  <c r="F81" i="11"/>
  <c r="F80" i="11"/>
  <c r="F79" i="11"/>
  <c r="F78" i="11"/>
  <c r="F77" i="11"/>
  <c r="F76" i="11"/>
  <c r="F75" i="11"/>
  <c r="F74" i="11"/>
  <c r="F73" i="11"/>
  <c r="F72" i="11"/>
  <c r="F71" i="11"/>
  <c r="F70" i="11"/>
  <c r="F69" i="11"/>
  <c r="F68" i="11"/>
  <c r="F67" i="11"/>
  <c r="F66" i="11"/>
  <c r="F65" i="11"/>
  <c r="F64" i="11"/>
  <c r="F63" i="11"/>
  <c r="F62" i="11"/>
  <c r="F61" i="11"/>
  <c r="F60" i="11"/>
  <c r="F59" i="11"/>
  <c r="F58" i="11"/>
  <c r="F57" i="11"/>
  <c r="F56" i="11"/>
  <c r="F55" i="11"/>
  <c r="F54" i="11"/>
  <c r="F53" i="11"/>
  <c r="F52" i="11"/>
  <c r="F51" i="11"/>
  <c r="F50" i="11"/>
  <c r="F49" i="11"/>
  <c r="F48" i="11"/>
  <c r="F47" i="11"/>
  <c r="F46" i="11"/>
  <c r="F45" i="11"/>
  <c r="F44" i="11"/>
  <c r="F43" i="11"/>
  <c r="F42" i="11"/>
  <c r="F41" i="11"/>
  <c r="F40" i="11"/>
  <c r="F39" i="11"/>
  <c r="F38" i="11"/>
  <c r="F37" i="11"/>
  <c r="F36" i="11"/>
  <c r="F35" i="11"/>
  <c r="F34" i="11"/>
  <c r="F33" i="11"/>
  <c r="F32" i="11"/>
  <c r="F31" i="11"/>
  <c r="F30" i="11"/>
  <c r="F29" i="11"/>
  <c r="F28" i="11"/>
  <c r="F27" i="11"/>
  <c r="F26" i="11"/>
  <c r="F25" i="11"/>
  <c r="F24" i="11"/>
  <c r="F23" i="11"/>
  <c r="F22" i="11"/>
  <c r="F21" i="11"/>
  <c r="F20" i="11"/>
  <c r="F19" i="11"/>
  <c r="F18" i="11"/>
  <c r="F17" i="11"/>
  <c r="F16" i="11"/>
  <c r="F15" i="11"/>
  <c r="F14" i="11"/>
  <c r="F13" i="11"/>
  <c r="F12" i="11"/>
  <c r="F11" i="11"/>
  <c r="F10" i="11"/>
  <c r="F9" i="11"/>
  <c r="F8" i="11"/>
  <c r="F7" i="11"/>
  <c r="F6" i="11"/>
  <c r="F5" i="11"/>
  <c r="F4" i="11"/>
  <c r="D4" i="11"/>
  <c r="C4" i="11"/>
  <c r="F3" i="11"/>
  <c r="D3" i="11"/>
  <c r="C3" i="11"/>
  <c r="F102" i="10"/>
  <c r="F101" i="10"/>
  <c r="F100" i="10"/>
  <c r="F99" i="10"/>
  <c r="F98" i="10"/>
  <c r="F97" i="10"/>
  <c r="F96" i="10"/>
  <c r="F95" i="10"/>
  <c r="F94" i="10"/>
  <c r="F93" i="10"/>
  <c r="F92" i="10"/>
  <c r="F91" i="10"/>
  <c r="F90" i="10"/>
  <c r="F89" i="10"/>
  <c r="F88" i="10"/>
  <c r="F87" i="10"/>
  <c r="F86" i="10"/>
  <c r="F85" i="10"/>
  <c r="F84" i="10"/>
  <c r="F83" i="10"/>
  <c r="F82" i="10"/>
  <c r="F81" i="10"/>
  <c r="F80" i="10"/>
  <c r="F79" i="10"/>
  <c r="F78" i="10"/>
  <c r="F77" i="10"/>
  <c r="F76" i="10"/>
  <c r="F75" i="10"/>
  <c r="F74" i="10"/>
  <c r="F73" i="10"/>
  <c r="F72" i="10"/>
  <c r="F71" i="10"/>
  <c r="F70" i="10"/>
  <c r="F69" i="10"/>
  <c r="F68" i="10"/>
  <c r="F67" i="10"/>
  <c r="F66" i="10"/>
  <c r="F65" i="10"/>
  <c r="F64" i="10"/>
  <c r="F63" i="10"/>
  <c r="F62" i="10"/>
  <c r="F61" i="10"/>
  <c r="F60" i="10"/>
  <c r="F59" i="10"/>
  <c r="F58" i="10"/>
  <c r="F57" i="10"/>
  <c r="F56" i="10"/>
  <c r="F55" i="10"/>
  <c r="F54" i="10"/>
  <c r="F53" i="10"/>
  <c r="F52" i="10"/>
  <c r="F51" i="10"/>
  <c r="F50" i="10"/>
  <c r="F49" i="10"/>
  <c r="F48" i="10"/>
  <c r="F47" i="10"/>
  <c r="F46" i="10"/>
  <c r="F45" i="10"/>
  <c r="F44" i="10"/>
  <c r="F43" i="10"/>
  <c r="F42" i="10"/>
  <c r="F41" i="10"/>
  <c r="F40" i="10"/>
  <c r="F39" i="10"/>
  <c r="F38" i="10"/>
  <c r="F37" i="10"/>
  <c r="F36" i="10"/>
  <c r="F35" i="10"/>
  <c r="F34" i="10"/>
  <c r="F33" i="10"/>
  <c r="F32" i="10"/>
  <c r="F31" i="10"/>
  <c r="F30" i="10"/>
  <c r="F29" i="10"/>
  <c r="F28" i="10"/>
  <c r="F27" i="10"/>
  <c r="F26" i="10"/>
  <c r="F25" i="10"/>
  <c r="F24" i="10"/>
  <c r="F23" i="10"/>
  <c r="F22" i="10"/>
  <c r="F21" i="10"/>
  <c r="F20" i="10"/>
  <c r="F19" i="10"/>
  <c r="F18" i="10"/>
  <c r="F17" i="10"/>
  <c r="F16" i="10"/>
  <c r="F15" i="10"/>
  <c r="F14" i="10"/>
  <c r="F13" i="10"/>
  <c r="F12" i="10"/>
  <c r="F11" i="10"/>
  <c r="F10" i="10"/>
  <c r="F9" i="10"/>
  <c r="F8" i="10"/>
  <c r="F7" i="10"/>
  <c r="F6" i="10"/>
  <c r="F5" i="10"/>
  <c r="F4" i="10"/>
  <c r="F3" i="10"/>
  <c r="U3" i="10" s="1"/>
  <c r="F102" i="9"/>
  <c r="F101" i="9"/>
  <c r="F100" i="9"/>
  <c r="F99" i="9"/>
  <c r="F98" i="9"/>
  <c r="F97" i="9"/>
  <c r="F96" i="9"/>
  <c r="F95" i="9"/>
  <c r="F94" i="9"/>
  <c r="F93" i="9"/>
  <c r="F92" i="9"/>
  <c r="F91" i="9"/>
  <c r="F90" i="9"/>
  <c r="F89" i="9"/>
  <c r="F88" i="9"/>
  <c r="F87" i="9"/>
  <c r="F86" i="9"/>
  <c r="F85" i="9"/>
  <c r="F84" i="9"/>
  <c r="F83" i="9"/>
  <c r="F82" i="9"/>
  <c r="F81" i="9"/>
  <c r="F80" i="9"/>
  <c r="F79" i="9"/>
  <c r="F78" i="9"/>
  <c r="F77" i="9"/>
  <c r="F76" i="9"/>
  <c r="F75" i="9"/>
  <c r="F74" i="9"/>
  <c r="F73" i="9"/>
  <c r="F72" i="9"/>
  <c r="F71" i="9"/>
  <c r="F70" i="9"/>
  <c r="F69" i="9"/>
  <c r="F68" i="9"/>
  <c r="F67" i="9"/>
  <c r="F66" i="9"/>
  <c r="F65" i="9"/>
  <c r="F64" i="9"/>
  <c r="F63" i="9"/>
  <c r="F62" i="9"/>
  <c r="F61" i="9"/>
  <c r="F60" i="9"/>
  <c r="F59" i="9"/>
  <c r="F58" i="9"/>
  <c r="F57" i="9"/>
  <c r="F56" i="9"/>
  <c r="F55" i="9"/>
  <c r="F54" i="9"/>
  <c r="F53" i="9"/>
  <c r="F52" i="9"/>
  <c r="F51" i="9"/>
  <c r="F50" i="9"/>
  <c r="F49" i="9"/>
  <c r="F48" i="9"/>
  <c r="F47" i="9"/>
  <c r="F46" i="9"/>
  <c r="F45" i="9"/>
  <c r="F44" i="9"/>
  <c r="F43" i="9"/>
  <c r="F42" i="9"/>
  <c r="F41" i="9"/>
  <c r="F40" i="9"/>
  <c r="F39" i="9"/>
  <c r="F38" i="9"/>
  <c r="F37" i="9"/>
  <c r="F36" i="9"/>
  <c r="F35" i="9"/>
  <c r="F34" i="9"/>
  <c r="F33" i="9"/>
  <c r="F32" i="9"/>
  <c r="F31" i="9"/>
  <c r="F30" i="9"/>
  <c r="F29" i="9"/>
  <c r="F28" i="9"/>
  <c r="F27" i="9"/>
  <c r="F26" i="9"/>
  <c r="F25" i="9"/>
  <c r="F24" i="9"/>
  <c r="F23" i="9"/>
  <c r="F22" i="9"/>
  <c r="F21" i="9"/>
  <c r="F20" i="9"/>
  <c r="F19" i="9"/>
  <c r="F18" i="9"/>
  <c r="F17" i="9"/>
  <c r="F16" i="9"/>
  <c r="F15" i="9"/>
  <c r="F14" i="9"/>
  <c r="F13" i="9"/>
  <c r="F12" i="9"/>
  <c r="F11" i="9"/>
  <c r="F10" i="9"/>
  <c r="F9" i="9"/>
  <c r="F8" i="9"/>
  <c r="F7" i="9"/>
  <c r="F6" i="9"/>
  <c r="F5" i="9"/>
  <c r="D5" i="9"/>
  <c r="C5" i="9"/>
  <c r="F4" i="9"/>
  <c r="D4" i="9"/>
  <c r="C4" i="9"/>
  <c r="F3" i="9"/>
  <c r="D3" i="9"/>
  <c r="C3" i="9"/>
  <c r="F102" i="8"/>
  <c r="F101" i="8"/>
  <c r="F100" i="8"/>
  <c r="F99" i="8"/>
  <c r="F98" i="8"/>
  <c r="F97" i="8"/>
  <c r="F96" i="8"/>
  <c r="F95" i="8"/>
  <c r="F94" i="8"/>
  <c r="F93" i="8"/>
  <c r="F92" i="8"/>
  <c r="F91" i="8"/>
  <c r="F90" i="8"/>
  <c r="F89" i="8"/>
  <c r="F88" i="8"/>
  <c r="F87" i="8"/>
  <c r="F86" i="8"/>
  <c r="F85" i="8"/>
  <c r="F84" i="8"/>
  <c r="F83" i="8"/>
  <c r="F82" i="8"/>
  <c r="F81" i="8"/>
  <c r="F80" i="8"/>
  <c r="F79" i="8"/>
  <c r="F78" i="8"/>
  <c r="F77" i="8"/>
  <c r="F76" i="8"/>
  <c r="F75" i="8"/>
  <c r="F74" i="8"/>
  <c r="F73" i="8"/>
  <c r="F72" i="8"/>
  <c r="F71" i="8"/>
  <c r="F70" i="8"/>
  <c r="F69" i="8"/>
  <c r="F68" i="8"/>
  <c r="F67" i="8"/>
  <c r="F66" i="8"/>
  <c r="F65" i="8"/>
  <c r="F64" i="8"/>
  <c r="F63" i="8"/>
  <c r="F62" i="8"/>
  <c r="F61" i="8"/>
  <c r="F60" i="8"/>
  <c r="F59" i="8"/>
  <c r="F58" i="8"/>
  <c r="F57" i="8"/>
  <c r="F56" i="8"/>
  <c r="F55" i="8"/>
  <c r="F54" i="8"/>
  <c r="F53" i="8"/>
  <c r="F52" i="8"/>
  <c r="F51" i="8"/>
  <c r="F50" i="8"/>
  <c r="F49" i="8"/>
  <c r="F48" i="8"/>
  <c r="F47" i="8"/>
  <c r="F46" i="8"/>
  <c r="F45" i="8"/>
  <c r="F44" i="8"/>
  <c r="F43" i="8"/>
  <c r="F42" i="8"/>
  <c r="F41" i="8"/>
  <c r="F40" i="8"/>
  <c r="F39" i="8"/>
  <c r="F38" i="8"/>
  <c r="F37" i="8"/>
  <c r="F36" i="8"/>
  <c r="F35" i="8"/>
  <c r="F34" i="8"/>
  <c r="F33" i="8"/>
  <c r="F32" i="8"/>
  <c r="F31" i="8"/>
  <c r="F30" i="8"/>
  <c r="F29" i="8"/>
  <c r="F28" i="8"/>
  <c r="F27" i="8"/>
  <c r="F26" i="8"/>
  <c r="F25" i="8"/>
  <c r="F24" i="8"/>
  <c r="F23" i="8"/>
  <c r="F22" i="8"/>
  <c r="F21" i="8"/>
  <c r="F20" i="8"/>
  <c r="F19" i="8"/>
  <c r="F18" i="8"/>
  <c r="F17" i="8"/>
  <c r="F16" i="8"/>
  <c r="F15" i="8"/>
  <c r="F14" i="8"/>
  <c r="F13" i="8"/>
  <c r="F12" i="8"/>
  <c r="F11" i="8"/>
  <c r="F10" i="8"/>
  <c r="F9" i="8"/>
  <c r="F8" i="8"/>
  <c r="F7" i="8"/>
  <c r="F6" i="8"/>
  <c r="F5" i="8"/>
  <c r="D5" i="8"/>
  <c r="C5" i="8"/>
  <c r="F4" i="8"/>
  <c r="D4" i="8"/>
  <c r="C4" i="8"/>
  <c r="F3" i="8"/>
  <c r="U3" i="8" s="1"/>
  <c r="D3" i="8"/>
  <c r="C3" i="8"/>
  <c r="F102" i="7"/>
  <c r="AN102" i="7" s="1"/>
  <c r="F101" i="7"/>
  <c r="AN101" i="7" s="1"/>
  <c r="F100" i="7"/>
  <c r="AN100" i="7" s="1"/>
  <c r="F99" i="7"/>
  <c r="AN99" i="7" s="1"/>
  <c r="F98" i="7"/>
  <c r="AN98" i="7" s="1"/>
  <c r="F97" i="7"/>
  <c r="AN97" i="7" s="1"/>
  <c r="F96" i="7"/>
  <c r="AN96" i="7" s="1"/>
  <c r="F95" i="7"/>
  <c r="AN95" i="7" s="1"/>
  <c r="F94" i="7"/>
  <c r="AN94" i="7" s="1"/>
  <c r="F93" i="7"/>
  <c r="AN93" i="7" s="1"/>
  <c r="F92" i="7"/>
  <c r="AN92" i="7" s="1"/>
  <c r="F91" i="7"/>
  <c r="AN91" i="7" s="1"/>
  <c r="F90" i="7"/>
  <c r="AN90" i="7" s="1"/>
  <c r="F89" i="7"/>
  <c r="AN89" i="7" s="1"/>
  <c r="F88" i="7"/>
  <c r="AN88" i="7" s="1"/>
  <c r="F87" i="7"/>
  <c r="AN87" i="7" s="1"/>
  <c r="F86" i="7"/>
  <c r="AN86" i="7" s="1"/>
  <c r="F85" i="7"/>
  <c r="AN85" i="7" s="1"/>
  <c r="F84" i="7"/>
  <c r="AN84" i="7" s="1"/>
  <c r="F83" i="7"/>
  <c r="AN83" i="7" s="1"/>
  <c r="F82" i="7"/>
  <c r="AN82" i="7" s="1"/>
  <c r="F81" i="7"/>
  <c r="AN81" i="7" s="1"/>
  <c r="F80" i="7"/>
  <c r="AN80" i="7" s="1"/>
  <c r="F79" i="7"/>
  <c r="AN79" i="7" s="1"/>
  <c r="F78" i="7"/>
  <c r="AN78" i="7" s="1"/>
  <c r="F77" i="7"/>
  <c r="AN77" i="7" s="1"/>
  <c r="F76" i="7"/>
  <c r="AN76" i="7" s="1"/>
  <c r="F75" i="7"/>
  <c r="AN75" i="7" s="1"/>
  <c r="F74" i="7"/>
  <c r="AN74" i="7" s="1"/>
  <c r="F73" i="7"/>
  <c r="AN73" i="7" s="1"/>
  <c r="F72" i="7"/>
  <c r="AN72" i="7" s="1"/>
  <c r="F71" i="7"/>
  <c r="AN71" i="7" s="1"/>
  <c r="F70" i="7"/>
  <c r="AN70" i="7" s="1"/>
  <c r="F69" i="7"/>
  <c r="AN69" i="7" s="1"/>
  <c r="F68" i="7"/>
  <c r="AN68" i="7" s="1"/>
  <c r="F67" i="7"/>
  <c r="AN67" i="7" s="1"/>
  <c r="F66" i="7"/>
  <c r="AN66" i="7" s="1"/>
  <c r="F65" i="7"/>
  <c r="AN65" i="7" s="1"/>
  <c r="F64" i="7"/>
  <c r="AN64" i="7" s="1"/>
  <c r="F63" i="7"/>
  <c r="AN63" i="7" s="1"/>
  <c r="F62" i="7"/>
  <c r="AN62" i="7" s="1"/>
  <c r="F61" i="7"/>
  <c r="AN61" i="7" s="1"/>
  <c r="F60" i="7"/>
  <c r="AN60" i="7" s="1"/>
  <c r="F59" i="7"/>
  <c r="AN59" i="7" s="1"/>
  <c r="F58" i="7"/>
  <c r="AN58" i="7" s="1"/>
  <c r="F57" i="7"/>
  <c r="AN57" i="7" s="1"/>
  <c r="F56" i="7"/>
  <c r="AN56" i="7" s="1"/>
  <c r="F55" i="7"/>
  <c r="AN55" i="7" s="1"/>
  <c r="F54" i="7"/>
  <c r="AN54" i="7" s="1"/>
  <c r="F53" i="7"/>
  <c r="AN53" i="7" s="1"/>
  <c r="F52" i="7"/>
  <c r="AN52" i="7" s="1"/>
  <c r="F51" i="7"/>
  <c r="AN51" i="7" s="1"/>
  <c r="F50" i="7"/>
  <c r="AN50" i="7" s="1"/>
  <c r="F49" i="7"/>
  <c r="AN49" i="7" s="1"/>
  <c r="F48" i="7"/>
  <c r="AN48" i="7" s="1"/>
  <c r="F47" i="7"/>
  <c r="AN47" i="7" s="1"/>
  <c r="F46" i="7"/>
  <c r="AN46" i="7" s="1"/>
  <c r="F45" i="7"/>
  <c r="AN45" i="7" s="1"/>
  <c r="F44" i="7"/>
  <c r="AN44" i="7" s="1"/>
  <c r="F43" i="7"/>
  <c r="AN43" i="7" s="1"/>
  <c r="F42" i="7"/>
  <c r="AN42" i="7" s="1"/>
  <c r="F41" i="7"/>
  <c r="AN41" i="7" s="1"/>
  <c r="F40" i="7"/>
  <c r="AN40" i="7" s="1"/>
  <c r="F39" i="7"/>
  <c r="AN39" i="7" s="1"/>
  <c r="F38" i="7"/>
  <c r="AN38" i="7" s="1"/>
  <c r="F37" i="7"/>
  <c r="AN37" i="7" s="1"/>
  <c r="F36" i="7"/>
  <c r="AN36" i="7" s="1"/>
  <c r="F35" i="7"/>
  <c r="AN35" i="7" s="1"/>
  <c r="F34" i="7"/>
  <c r="AN34" i="7" s="1"/>
  <c r="F33" i="7"/>
  <c r="AN33" i="7" s="1"/>
  <c r="F32" i="7"/>
  <c r="AN32" i="7" s="1"/>
  <c r="F31" i="7"/>
  <c r="AN31" i="7" s="1"/>
  <c r="F30" i="7"/>
  <c r="AN30" i="7" s="1"/>
  <c r="F29" i="7"/>
  <c r="AN29" i="7" s="1"/>
  <c r="F28" i="7"/>
  <c r="AN28" i="7" s="1"/>
  <c r="F27" i="7"/>
  <c r="AN27" i="7" s="1"/>
  <c r="F26" i="7"/>
  <c r="AN26" i="7" s="1"/>
  <c r="F25" i="7"/>
  <c r="AN25" i="7" s="1"/>
  <c r="F24" i="7"/>
  <c r="AN24" i="7" s="1"/>
  <c r="F23" i="7"/>
  <c r="AN23" i="7" s="1"/>
  <c r="F22" i="7"/>
  <c r="AN22" i="7" s="1"/>
  <c r="F21" i="7"/>
  <c r="AN21" i="7" s="1"/>
  <c r="F20" i="7"/>
  <c r="AN20" i="7" s="1"/>
  <c r="F19" i="7"/>
  <c r="AN19" i="7" s="1"/>
  <c r="F18" i="7"/>
  <c r="AN18" i="7" s="1"/>
  <c r="F17" i="7"/>
  <c r="AN17" i="7" s="1"/>
  <c r="F16" i="7"/>
  <c r="AN16" i="7" s="1"/>
  <c r="F15" i="7"/>
  <c r="AN15" i="7" s="1"/>
  <c r="F14" i="7"/>
  <c r="AN14" i="7" s="1"/>
  <c r="F13" i="7"/>
  <c r="AN13" i="7" s="1"/>
  <c r="F12" i="7"/>
  <c r="AN12" i="7" s="1"/>
  <c r="F11" i="7"/>
  <c r="AN11" i="7" s="1"/>
  <c r="F10" i="7"/>
  <c r="AN10" i="7" s="1"/>
  <c r="F9" i="7"/>
  <c r="AN9" i="7" s="1"/>
  <c r="F8" i="7"/>
  <c r="AN8" i="7" s="1"/>
  <c r="F7" i="7"/>
  <c r="AN7" i="7" s="1"/>
  <c r="F6" i="7"/>
  <c r="AN6" i="7" s="1"/>
  <c r="F5" i="7"/>
  <c r="AN5" i="7" s="1"/>
  <c r="F4" i="7"/>
  <c r="AN4" i="7" s="1"/>
  <c r="F3" i="7"/>
  <c r="AN3" i="7" s="1"/>
  <c r="F102" i="6"/>
  <c r="F101" i="6"/>
  <c r="F100" i="6"/>
  <c r="F99" i="6"/>
  <c r="F98" i="6"/>
  <c r="F97" i="6"/>
  <c r="F96" i="6"/>
  <c r="F95" i="6"/>
  <c r="F94" i="6"/>
  <c r="F93" i="6"/>
  <c r="F92" i="6"/>
  <c r="F91" i="6"/>
  <c r="F90" i="6"/>
  <c r="F89" i="6"/>
  <c r="F88" i="6"/>
  <c r="F87" i="6"/>
  <c r="F86" i="6"/>
  <c r="F85" i="6"/>
  <c r="F84" i="6"/>
  <c r="F83" i="6"/>
  <c r="F82" i="6"/>
  <c r="F81" i="6"/>
  <c r="F80" i="6"/>
  <c r="F79" i="6"/>
  <c r="F78" i="6"/>
  <c r="F77" i="6"/>
  <c r="F76" i="6"/>
  <c r="F75" i="6"/>
  <c r="F74" i="6"/>
  <c r="F73" i="6"/>
  <c r="F72" i="6"/>
  <c r="F71" i="6"/>
  <c r="F70" i="6"/>
  <c r="F69" i="6"/>
  <c r="F68" i="6"/>
  <c r="F67" i="6"/>
  <c r="F66" i="6"/>
  <c r="F65" i="6"/>
  <c r="F64" i="6"/>
  <c r="F63" i="6"/>
  <c r="F62" i="6"/>
  <c r="F61" i="6"/>
  <c r="F60" i="6"/>
  <c r="F59" i="6"/>
  <c r="F58" i="6"/>
  <c r="F57" i="6"/>
  <c r="F56" i="6"/>
  <c r="F55" i="6"/>
  <c r="F54" i="6"/>
  <c r="F53" i="6"/>
  <c r="F52" i="6"/>
  <c r="F51" i="6"/>
  <c r="F50" i="6"/>
  <c r="F49" i="6"/>
  <c r="F48" i="6"/>
  <c r="F47" i="6"/>
  <c r="F46" i="6"/>
  <c r="F45" i="6"/>
  <c r="F44" i="6"/>
  <c r="F43" i="6"/>
  <c r="F42" i="6"/>
  <c r="F41" i="6"/>
  <c r="F40" i="6"/>
  <c r="F39" i="6"/>
  <c r="F38" i="6"/>
  <c r="F37" i="6"/>
  <c r="F36" i="6"/>
  <c r="F35" i="6"/>
  <c r="F34" i="6"/>
  <c r="F33" i="6"/>
  <c r="F32" i="6"/>
  <c r="F31" i="6"/>
  <c r="F30" i="6"/>
  <c r="F29" i="6"/>
  <c r="F28" i="6"/>
  <c r="F27" i="6"/>
  <c r="F26" i="6"/>
  <c r="F25" i="6"/>
  <c r="F24" i="6"/>
  <c r="F23" i="6"/>
  <c r="F22" i="6"/>
  <c r="F21" i="6"/>
  <c r="F20" i="6"/>
  <c r="F19" i="6"/>
  <c r="F18" i="6"/>
  <c r="F17" i="6"/>
  <c r="F16" i="6"/>
  <c r="F15" i="6"/>
  <c r="F14" i="6"/>
  <c r="F13" i="6"/>
  <c r="F12" i="6"/>
  <c r="F11" i="6"/>
  <c r="F10" i="6"/>
  <c r="F9" i="6"/>
  <c r="F8" i="6"/>
  <c r="F7" i="6"/>
  <c r="F6" i="6"/>
  <c r="F5" i="6"/>
  <c r="D5" i="6"/>
  <c r="C5" i="6"/>
  <c r="F4" i="6"/>
  <c r="D4" i="6"/>
  <c r="C4" i="6"/>
  <c r="F3" i="6"/>
  <c r="U3" i="6" s="1"/>
  <c r="D3" i="6"/>
  <c r="C3" i="6"/>
  <c r="F102" i="4"/>
  <c r="F101" i="4"/>
  <c r="F100" i="4"/>
  <c r="F99" i="4"/>
  <c r="F98" i="4"/>
  <c r="F97" i="4"/>
  <c r="F96" i="4"/>
  <c r="F95" i="4"/>
  <c r="F94" i="4"/>
  <c r="F93" i="4"/>
  <c r="F92" i="4"/>
  <c r="F91" i="4"/>
  <c r="F90" i="4"/>
  <c r="F89" i="4"/>
  <c r="F88" i="4"/>
  <c r="F87" i="4"/>
  <c r="F86" i="4"/>
  <c r="F85" i="4"/>
  <c r="F84" i="4"/>
  <c r="F83" i="4"/>
  <c r="F82" i="4"/>
  <c r="F81" i="4"/>
  <c r="F80" i="4"/>
  <c r="F79" i="4"/>
  <c r="F78" i="4"/>
  <c r="F77" i="4"/>
  <c r="F76" i="4"/>
  <c r="F75" i="4"/>
  <c r="F74" i="4"/>
  <c r="F73" i="4"/>
  <c r="F72" i="4"/>
  <c r="F71" i="4"/>
  <c r="F70" i="4"/>
  <c r="F69" i="4"/>
  <c r="F68" i="4"/>
  <c r="F67" i="4"/>
  <c r="F66" i="4"/>
  <c r="F65" i="4"/>
  <c r="F64" i="4"/>
  <c r="F63" i="4"/>
  <c r="F62" i="4"/>
  <c r="F61" i="4"/>
  <c r="F60" i="4"/>
  <c r="F59" i="4"/>
  <c r="F58" i="4"/>
  <c r="F57" i="4"/>
  <c r="F56" i="4"/>
  <c r="F55" i="4"/>
  <c r="F54" i="4"/>
  <c r="F53" i="4"/>
  <c r="F52" i="4"/>
  <c r="F51" i="4"/>
  <c r="F50" i="4"/>
  <c r="F49" i="4"/>
  <c r="F48" i="4"/>
  <c r="F47" i="4"/>
  <c r="F46" i="4"/>
  <c r="F45" i="4"/>
  <c r="F44" i="4"/>
  <c r="F43" i="4"/>
  <c r="F42" i="4"/>
  <c r="F41" i="4"/>
  <c r="F40" i="4"/>
  <c r="F39" i="4"/>
  <c r="F38" i="4"/>
  <c r="F37" i="4"/>
  <c r="F36" i="4"/>
  <c r="F35" i="4"/>
  <c r="F34" i="4"/>
  <c r="F33" i="4"/>
  <c r="F32" i="4"/>
  <c r="F31" i="4"/>
  <c r="F30" i="4"/>
  <c r="F29" i="4"/>
  <c r="F28" i="4"/>
  <c r="F27" i="4"/>
  <c r="F26" i="4"/>
  <c r="F25" i="4"/>
  <c r="F24" i="4"/>
  <c r="F23" i="4"/>
  <c r="F22" i="4"/>
  <c r="F21" i="4"/>
  <c r="F20" i="4"/>
  <c r="F19" i="4"/>
  <c r="F18" i="4"/>
  <c r="F17" i="4"/>
  <c r="F16" i="4"/>
  <c r="F15" i="4"/>
  <c r="F14" i="4"/>
  <c r="F13" i="4"/>
  <c r="F12" i="4"/>
  <c r="F11" i="4"/>
  <c r="F10" i="4"/>
  <c r="F9" i="4"/>
  <c r="F8" i="4"/>
  <c r="F7" i="4"/>
  <c r="F6" i="4"/>
  <c r="F5" i="4"/>
  <c r="F4" i="4"/>
  <c r="F3" i="4"/>
  <c r="U3" i="4" s="1"/>
  <c r="F102" i="1"/>
  <c r="F101" i="1"/>
  <c r="F100" i="1"/>
  <c r="F99" i="1"/>
  <c r="F98" i="1"/>
  <c r="F97" i="1"/>
  <c r="F96" i="1"/>
  <c r="F95" i="1"/>
  <c r="F94" i="1"/>
  <c r="F93" i="1"/>
  <c r="F92" i="1"/>
  <c r="F91" i="1"/>
  <c r="F90" i="1"/>
  <c r="F89" i="1"/>
  <c r="F88" i="1"/>
  <c r="F87" i="1"/>
  <c r="F86" i="1"/>
  <c r="F85" i="1"/>
  <c r="F84" i="1"/>
  <c r="F83" i="1"/>
  <c r="F82" i="1"/>
  <c r="F81" i="1"/>
  <c r="F80" i="1"/>
  <c r="F79" i="1"/>
  <c r="F78" i="1"/>
  <c r="F77" i="1"/>
  <c r="F76" i="1"/>
  <c r="F75" i="1"/>
  <c r="F74" i="1"/>
  <c r="F73" i="1"/>
  <c r="F72" i="1"/>
  <c r="F71" i="1"/>
  <c r="F70" i="1"/>
  <c r="F69" i="1"/>
  <c r="F68" i="1"/>
  <c r="F67" i="1"/>
  <c r="F66" i="1"/>
  <c r="F65" i="1"/>
  <c r="F64" i="1"/>
  <c r="F63" i="1"/>
  <c r="F62" i="1"/>
  <c r="F61" i="1"/>
  <c r="F60" i="1"/>
  <c r="F59" i="1"/>
  <c r="F58" i="1"/>
  <c r="F57" i="1"/>
  <c r="F56" i="1"/>
  <c r="F55" i="1"/>
  <c r="F54" i="1"/>
  <c r="F53" i="1"/>
  <c r="F52" i="1"/>
  <c r="F51" i="1"/>
  <c r="F50" i="1"/>
  <c r="F49" i="1"/>
  <c r="F48" i="1"/>
  <c r="F47" i="1"/>
  <c r="F46" i="1"/>
  <c r="F45" i="1"/>
  <c r="F44" i="1"/>
  <c r="F43" i="1"/>
  <c r="F42" i="1"/>
  <c r="F41" i="1"/>
  <c r="F40" i="1"/>
  <c r="F39" i="1"/>
  <c r="F38" i="1"/>
  <c r="F37" i="1"/>
  <c r="F36" i="1"/>
  <c r="F35" i="1"/>
  <c r="F34" i="1"/>
  <c r="F33" i="1"/>
  <c r="F32" i="1"/>
  <c r="F31" i="1"/>
  <c r="F30" i="1"/>
  <c r="F29" i="1"/>
  <c r="F28" i="1"/>
  <c r="F27" i="1"/>
  <c r="F26" i="1"/>
  <c r="F25" i="1"/>
  <c r="F24" i="1"/>
  <c r="F23" i="1"/>
  <c r="F22" i="1"/>
  <c r="F21" i="1"/>
  <c r="F20" i="1"/>
  <c r="F19" i="1"/>
  <c r="F18" i="1"/>
  <c r="F17" i="1"/>
  <c r="F16" i="1"/>
  <c r="F15" i="1"/>
  <c r="F14" i="1"/>
  <c r="F13" i="1"/>
  <c r="F12" i="1"/>
  <c r="F11" i="1"/>
  <c r="F10" i="1"/>
  <c r="F9" i="1"/>
  <c r="F8" i="1"/>
  <c r="F7" i="1"/>
  <c r="F6" i="1"/>
  <c r="AI102" i="18"/>
  <c r="X102" i="18"/>
  <c r="W102" i="18"/>
  <c r="U102" i="18"/>
  <c r="T102" i="18"/>
  <c r="S102" i="18"/>
  <c r="R102" i="18"/>
  <c r="Q102" i="18"/>
  <c r="P102" i="18"/>
  <c r="O102" i="18"/>
  <c r="G102" i="18"/>
  <c r="M102" i="18" s="1"/>
  <c r="AI101" i="18"/>
  <c r="AI100" i="18"/>
  <c r="AI99" i="18"/>
  <c r="AI98" i="18"/>
  <c r="AI97" i="18"/>
  <c r="AI96" i="18"/>
  <c r="AI95" i="18"/>
  <c r="AI94" i="18"/>
  <c r="AI93" i="18"/>
  <c r="AI92" i="18"/>
  <c r="AI91" i="18"/>
  <c r="AI90" i="18"/>
  <c r="AI89" i="18"/>
  <c r="AI88" i="18"/>
  <c r="AI87" i="18"/>
  <c r="AI86" i="18"/>
  <c r="AI85" i="18"/>
  <c r="AI84" i="18"/>
  <c r="AI83" i="18"/>
  <c r="AI82" i="18"/>
  <c r="AI81" i="18"/>
  <c r="AI80" i="18"/>
  <c r="AI79" i="18"/>
  <c r="AI78" i="18"/>
  <c r="AI77" i="18"/>
  <c r="AI76" i="18"/>
  <c r="AI75" i="18"/>
  <c r="AI74" i="18"/>
  <c r="AI73" i="18"/>
  <c r="AI72" i="18"/>
  <c r="AI71" i="18"/>
  <c r="AI70" i="18"/>
  <c r="AI69" i="18"/>
  <c r="AI68" i="18"/>
  <c r="AI67" i="18"/>
  <c r="AI66" i="18"/>
  <c r="AI65" i="18"/>
  <c r="AI64" i="18"/>
  <c r="AI63" i="18"/>
  <c r="AI62" i="18"/>
  <c r="AI61" i="18"/>
  <c r="AI60" i="18"/>
  <c r="AI59" i="18"/>
  <c r="AI58" i="18"/>
  <c r="AI57" i="18"/>
  <c r="AI56" i="18"/>
  <c r="AI55" i="18"/>
  <c r="AI54" i="18"/>
  <c r="AI53" i="18"/>
  <c r="AI52" i="18"/>
  <c r="AI51" i="18"/>
  <c r="AI50" i="18"/>
  <c r="AI49" i="18"/>
  <c r="AI48" i="18"/>
  <c r="AI47" i="18"/>
  <c r="AI46" i="18"/>
  <c r="AI45" i="18"/>
  <c r="AI44" i="18"/>
  <c r="AI43" i="18"/>
  <c r="AI42" i="18"/>
  <c r="AI41" i="18"/>
  <c r="AI40" i="18"/>
  <c r="AI39" i="18"/>
  <c r="AI38" i="18"/>
  <c r="AI37" i="18"/>
  <c r="AI36" i="18"/>
  <c r="AI35" i="18"/>
  <c r="AI34" i="18"/>
  <c r="AI33" i="18"/>
  <c r="AI32" i="18"/>
  <c r="AI31" i="18"/>
  <c r="AI30" i="18"/>
  <c r="AI29" i="18"/>
  <c r="AI28" i="18"/>
  <c r="AI27" i="18"/>
  <c r="AI26" i="18"/>
  <c r="AI25" i="18"/>
  <c r="AI24" i="18"/>
  <c r="AI23" i="18"/>
  <c r="AI22" i="18"/>
  <c r="AI21" i="18"/>
  <c r="AI20" i="18"/>
  <c r="AI19" i="18"/>
  <c r="AI18" i="18"/>
  <c r="AI17" i="18"/>
  <c r="AI16" i="18"/>
  <c r="AI15" i="18"/>
  <c r="AI14" i="18"/>
  <c r="AI13" i="18"/>
  <c r="AI12" i="18"/>
  <c r="AI11" i="18"/>
  <c r="AI10" i="18"/>
  <c r="AI9" i="18"/>
  <c r="AI8" i="18"/>
  <c r="AH8" i="18"/>
  <c r="AI7" i="18"/>
  <c r="AH7" i="18"/>
  <c r="AI6" i="18"/>
  <c r="N5" i="18"/>
  <c r="N4" i="18"/>
  <c r="K4" i="18"/>
  <c r="K5" i="18" s="1"/>
  <c r="K6" i="18" s="1"/>
  <c r="K7" i="18" s="1"/>
  <c r="K8" i="18" s="1"/>
  <c r="K9" i="18" s="1"/>
  <c r="K10" i="18" s="1"/>
  <c r="K11" i="18" s="1"/>
  <c r="K12" i="18" s="1"/>
  <c r="K13" i="18" s="1"/>
  <c r="K14" i="18" s="1"/>
  <c r="K15" i="18" s="1"/>
  <c r="K16" i="18" s="1"/>
  <c r="K17" i="18" s="1"/>
  <c r="K18" i="18" s="1"/>
  <c r="K19" i="18" s="1"/>
  <c r="K20" i="18" s="1"/>
  <c r="K21" i="18" s="1"/>
  <c r="K22" i="18" s="1"/>
  <c r="K23" i="18" s="1"/>
  <c r="K24" i="18" s="1"/>
  <c r="K25" i="18" s="1"/>
  <c r="K26" i="18" s="1"/>
  <c r="K27" i="18" s="1"/>
  <c r="K28" i="18" s="1"/>
  <c r="K29" i="18" s="1"/>
  <c r="K30" i="18" s="1"/>
  <c r="K31" i="18" s="1"/>
  <c r="K32" i="18" s="1"/>
  <c r="K33" i="18" s="1"/>
  <c r="K34" i="18" s="1"/>
  <c r="K35" i="18" s="1"/>
  <c r="K36" i="18" s="1"/>
  <c r="K37" i="18" s="1"/>
  <c r="K38" i="18" s="1"/>
  <c r="K39" i="18" s="1"/>
  <c r="K40" i="18" s="1"/>
  <c r="K41" i="18" s="1"/>
  <c r="K42" i="18" s="1"/>
  <c r="K43" i="18" s="1"/>
  <c r="K44" i="18" s="1"/>
  <c r="K45" i="18" s="1"/>
  <c r="K46" i="18" s="1"/>
  <c r="K47" i="18" s="1"/>
  <c r="K48" i="18" s="1"/>
  <c r="K49" i="18" s="1"/>
  <c r="K50" i="18" s="1"/>
  <c r="K51" i="18" s="1"/>
  <c r="K52" i="18" s="1"/>
  <c r="K53" i="18" s="1"/>
  <c r="K54" i="18" s="1"/>
  <c r="K55" i="18" s="1"/>
  <c r="K56" i="18" s="1"/>
  <c r="K57" i="18" s="1"/>
  <c r="K58" i="18" s="1"/>
  <c r="K59" i="18" s="1"/>
  <c r="K60" i="18" s="1"/>
  <c r="K61" i="18" s="1"/>
  <c r="K62" i="18" s="1"/>
  <c r="K63" i="18" s="1"/>
  <c r="K64" i="18" s="1"/>
  <c r="K65" i="18" s="1"/>
  <c r="K66" i="18" s="1"/>
  <c r="K67" i="18" s="1"/>
  <c r="K68" i="18" s="1"/>
  <c r="K69" i="18" s="1"/>
  <c r="K70" i="18" s="1"/>
  <c r="K71" i="18" s="1"/>
  <c r="K72" i="18" s="1"/>
  <c r="K73" i="18" s="1"/>
  <c r="K74" i="18" s="1"/>
  <c r="K75" i="18" s="1"/>
  <c r="K76" i="18" s="1"/>
  <c r="K77" i="18" s="1"/>
  <c r="K78" i="18" s="1"/>
  <c r="K79" i="18" s="1"/>
  <c r="K80" i="18" s="1"/>
  <c r="K81" i="18" s="1"/>
  <c r="K82" i="18" s="1"/>
  <c r="K83" i="18" s="1"/>
  <c r="K84" i="18" s="1"/>
  <c r="K85" i="18" s="1"/>
  <c r="K86" i="18" s="1"/>
  <c r="K87" i="18" s="1"/>
  <c r="K88" i="18" s="1"/>
  <c r="K89" i="18" s="1"/>
  <c r="K90" i="18" s="1"/>
  <c r="K91" i="18" s="1"/>
  <c r="K92" i="18" s="1"/>
  <c r="K93" i="18" s="1"/>
  <c r="K94" i="18" s="1"/>
  <c r="K95" i="18" s="1"/>
  <c r="K96" i="18" s="1"/>
  <c r="K97" i="18" s="1"/>
  <c r="K98" i="18" s="1"/>
  <c r="K99" i="18" s="1"/>
  <c r="K100" i="18" s="1"/>
  <c r="K101" i="18" s="1"/>
  <c r="K102" i="18" s="1"/>
  <c r="J4" i="18"/>
  <c r="J5" i="18" s="1"/>
  <c r="H4" i="18"/>
  <c r="H5" i="18" s="1"/>
  <c r="Z3" i="18"/>
  <c r="T3" i="18"/>
  <c r="Q3" i="18"/>
  <c r="N3" i="18"/>
  <c r="G3" i="18"/>
  <c r="P3" i="18" s="1"/>
  <c r="R3" i="18"/>
  <c r="AI102" i="17"/>
  <c r="AA102" i="17"/>
  <c r="Z102" i="17"/>
  <c r="X102" i="17"/>
  <c r="W102" i="17"/>
  <c r="U102" i="17"/>
  <c r="T102" i="17"/>
  <c r="S102" i="17"/>
  <c r="R102" i="17"/>
  <c r="Q102" i="17"/>
  <c r="P102" i="17"/>
  <c r="O102" i="17"/>
  <c r="G102" i="17"/>
  <c r="M102" i="17" s="1"/>
  <c r="AI101" i="17"/>
  <c r="AA101" i="17"/>
  <c r="Z101" i="17"/>
  <c r="X101" i="17"/>
  <c r="W101" i="17"/>
  <c r="U101" i="17"/>
  <c r="T101" i="17"/>
  <c r="S101" i="17"/>
  <c r="R101" i="17"/>
  <c r="Q101" i="17"/>
  <c r="P101" i="17"/>
  <c r="O101" i="17"/>
  <c r="G101" i="17"/>
  <c r="M101" i="17" s="1"/>
  <c r="AI100" i="17"/>
  <c r="AA100" i="17"/>
  <c r="Z100" i="17"/>
  <c r="X100" i="17"/>
  <c r="W100" i="17"/>
  <c r="U100" i="17"/>
  <c r="T100" i="17"/>
  <c r="S100" i="17"/>
  <c r="R100" i="17"/>
  <c r="Q100" i="17"/>
  <c r="P100" i="17"/>
  <c r="O100" i="17"/>
  <c r="G100" i="17"/>
  <c r="M100" i="17" s="1"/>
  <c r="AI99" i="17"/>
  <c r="AA99" i="17"/>
  <c r="Z99" i="17"/>
  <c r="X99" i="17"/>
  <c r="W99" i="17"/>
  <c r="U99" i="17"/>
  <c r="T99" i="17"/>
  <c r="S99" i="17"/>
  <c r="R99" i="17"/>
  <c r="Q99" i="17"/>
  <c r="P99" i="17"/>
  <c r="O99" i="17"/>
  <c r="G99" i="17"/>
  <c r="D99" i="17" s="1"/>
  <c r="AI98" i="17"/>
  <c r="AA98" i="17"/>
  <c r="Z98" i="17"/>
  <c r="X98" i="17"/>
  <c r="W98" i="17"/>
  <c r="U98" i="17"/>
  <c r="T98" i="17"/>
  <c r="S98" i="17"/>
  <c r="R98" i="17"/>
  <c r="Q98" i="17"/>
  <c r="P98" i="17"/>
  <c r="O98" i="17"/>
  <c r="G98" i="17"/>
  <c r="M98" i="17" s="1"/>
  <c r="AI97" i="17"/>
  <c r="AA97" i="17"/>
  <c r="Z97" i="17"/>
  <c r="X97" i="17"/>
  <c r="W97" i="17"/>
  <c r="U97" i="17"/>
  <c r="T97" i="17"/>
  <c r="S97" i="17"/>
  <c r="R97" i="17"/>
  <c r="Q97" i="17"/>
  <c r="P97" i="17"/>
  <c r="O97" i="17"/>
  <c r="G97" i="17"/>
  <c r="M97" i="17" s="1"/>
  <c r="AI96" i="17"/>
  <c r="AA96" i="17"/>
  <c r="Z96" i="17"/>
  <c r="X96" i="17"/>
  <c r="W96" i="17"/>
  <c r="U96" i="17"/>
  <c r="T96" i="17"/>
  <c r="S96" i="17"/>
  <c r="R96" i="17"/>
  <c r="Q96" i="17"/>
  <c r="P96" i="17"/>
  <c r="O96" i="17"/>
  <c r="G96" i="17"/>
  <c r="M96" i="17" s="1"/>
  <c r="AI95" i="17"/>
  <c r="AA95" i="17"/>
  <c r="Z95" i="17"/>
  <c r="X95" i="17"/>
  <c r="W95" i="17"/>
  <c r="U95" i="17"/>
  <c r="T95" i="17"/>
  <c r="S95" i="17"/>
  <c r="R95" i="17"/>
  <c r="Q95" i="17"/>
  <c r="P95" i="17"/>
  <c r="O95" i="17"/>
  <c r="G95" i="17"/>
  <c r="M95" i="17" s="1"/>
  <c r="AI94" i="17"/>
  <c r="AA94" i="17"/>
  <c r="Z94" i="17"/>
  <c r="X94" i="17"/>
  <c r="W94" i="17"/>
  <c r="U94" i="17"/>
  <c r="T94" i="17"/>
  <c r="S94" i="17"/>
  <c r="R94" i="17"/>
  <c r="Q94" i="17"/>
  <c r="P94" i="17"/>
  <c r="O94" i="17"/>
  <c r="G94" i="17"/>
  <c r="M94" i="17" s="1"/>
  <c r="AI93" i="17"/>
  <c r="AA93" i="17"/>
  <c r="Z93" i="17"/>
  <c r="X93" i="17"/>
  <c r="W93" i="17"/>
  <c r="U93" i="17"/>
  <c r="T93" i="17"/>
  <c r="S93" i="17"/>
  <c r="R93" i="17"/>
  <c r="Q93" i="17"/>
  <c r="P93" i="17"/>
  <c r="O93" i="17"/>
  <c r="G93" i="17"/>
  <c r="M93" i="17" s="1"/>
  <c r="AI92" i="17"/>
  <c r="AA92" i="17"/>
  <c r="Z92" i="17"/>
  <c r="X92" i="17"/>
  <c r="W92" i="17"/>
  <c r="U92" i="17"/>
  <c r="T92" i="17"/>
  <c r="S92" i="17"/>
  <c r="R92" i="17"/>
  <c r="Q92" i="17"/>
  <c r="P92" i="17"/>
  <c r="O92" i="17"/>
  <c r="G92" i="17"/>
  <c r="M92" i="17" s="1"/>
  <c r="AI91" i="17"/>
  <c r="AA91" i="17"/>
  <c r="Z91" i="17"/>
  <c r="X91" i="17"/>
  <c r="W91" i="17"/>
  <c r="U91" i="17"/>
  <c r="T91" i="17"/>
  <c r="S91" i="17"/>
  <c r="R91" i="17"/>
  <c r="Q91" i="17"/>
  <c r="P91" i="17"/>
  <c r="O91" i="17"/>
  <c r="G91" i="17"/>
  <c r="M91" i="17" s="1"/>
  <c r="AI90" i="17"/>
  <c r="AA90" i="17"/>
  <c r="Z90" i="17"/>
  <c r="X90" i="17"/>
  <c r="W90" i="17"/>
  <c r="U90" i="17"/>
  <c r="T90" i="17"/>
  <c r="S90" i="17"/>
  <c r="R90" i="17"/>
  <c r="Q90" i="17"/>
  <c r="P90" i="17"/>
  <c r="O90" i="17"/>
  <c r="G90" i="17"/>
  <c r="M90" i="17" s="1"/>
  <c r="AI89" i="17"/>
  <c r="AA89" i="17"/>
  <c r="Z89" i="17"/>
  <c r="X89" i="17"/>
  <c r="W89" i="17"/>
  <c r="U89" i="17"/>
  <c r="T89" i="17"/>
  <c r="S89" i="17"/>
  <c r="R89" i="17"/>
  <c r="Q89" i="17"/>
  <c r="P89" i="17"/>
  <c r="O89" i="17"/>
  <c r="G89" i="17"/>
  <c r="M89" i="17" s="1"/>
  <c r="AI88" i="17"/>
  <c r="AA88" i="17"/>
  <c r="Z88" i="17"/>
  <c r="X88" i="17"/>
  <c r="W88" i="17"/>
  <c r="U88" i="17"/>
  <c r="T88" i="17"/>
  <c r="S88" i="17"/>
  <c r="R88" i="17"/>
  <c r="Q88" i="17"/>
  <c r="P88" i="17"/>
  <c r="O88" i="17"/>
  <c r="G88" i="17"/>
  <c r="M88" i="17" s="1"/>
  <c r="AI87" i="17"/>
  <c r="AA87" i="17"/>
  <c r="Z87" i="17"/>
  <c r="X87" i="17"/>
  <c r="W87" i="17"/>
  <c r="U87" i="17"/>
  <c r="T87" i="17"/>
  <c r="S87" i="17"/>
  <c r="R87" i="17"/>
  <c r="Q87" i="17"/>
  <c r="P87" i="17"/>
  <c r="O87" i="17"/>
  <c r="G87" i="17"/>
  <c r="D87" i="17" s="1"/>
  <c r="AI86" i="17"/>
  <c r="AA86" i="17"/>
  <c r="Z86" i="17"/>
  <c r="X86" i="17"/>
  <c r="W86" i="17"/>
  <c r="U86" i="17"/>
  <c r="T86" i="17"/>
  <c r="S86" i="17"/>
  <c r="R86" i="17"/>
  <c r="Q86" i="17"/>
  <c r="P86" i="17"/>
  <c r="O86" i="17"/>
  <c r="G86" i="17"/>
  <c r="M86" i="17" s="1"/>
  <c r="AI85" i="17"/>
  <c r="AA85" i="17"/>
  <c r="Z85" i="17"/>
  <c r="X85" i="17"/>
  <c r="W85" i="17"/>
  <c r="U85" i="17"/>
  <c r="T85" i="17"/>
  <c r="S85" i="17"/>
  <c r="R85" i="17"/>
  <c r="Q85" i="17"/>
  <c r="P85" i="17"/>
  <c r="O85" i="17"/>
  <c r="G85" i="17"/>
  <c r="M85" i="17" s="1"/>
  <c r="AI84" i="17"/>
  <c r="AA84" i="17"/>
  <c r="Z84" i="17"/>
  <c r="X84" i="17"/>
  <c r="W84" i="17"/>
  <c r="U84" i="17"/>
  <c r="T84" i="17"/>
  <c r="S84" i="17"/>
  <c r="R84" i="17"/>
  <c r="Q84" i="17"/>
  <c r="P84" i="17"/>
  <c r="O84" i="17"/>
  <c r="G84" i="17"/>
  <c r="M84" i="17" s="1"/>
  <c r="AI83" i="17"/>
  <c r="AA83" i="17"/>
  <c r="Z83" i="17"/>
  <c r="X83" i="17"/>
  <c r="W83" i="17"/>
  <c r="U83" i="17"/>
  <c r="T83" i="17"/>
  <c r="S83" i="17"/>
  <c r="R83" i="17"/>
  <c r="Q83" i="17"/>
  <c r="P83" i="17"/>
  <c r="O83" i="17"/>
  <c r="G83" i="17"/>
  <c r="M83" i="17" s="1"/>
  <c r="AI82" i="17"/>
  <c r="AA82" i="17"/>
  <c r="Z82" i="17"/>
  <c r="X82" i="17"/>
  <c r="W82" i="17"/>
  <c r="U82" i="17"/>
  <c r="T82" i="17"/>
  <c r="S82" i="17"/>
  <c r="R82" i="17"/>
  <c r="Q82" i="17"/>
  <c r="P82" i="17"/>
  <c r="O82" i="17"/>
  <c r="G82" i="17"/>
  <c r="M82" i="17" s="1"/>
  <c r="AI81" i="17"/>
  <c r="X81" i="17"/>
  <c r="W81" i="17"/>
  <c r="U81" i="17"/>
  <c r="T81" i="17"/>
  <c r="S81" i="17"/>
  <c r="R81" i="17"/>
  <c r="Q81" i="17"/>
  <c r="P81" i="17"/>
  <c r="O81" i="17"/>
  <c r="G81" i="17"/>
  <c r="M81" i="17" s="1"/>
  <c r="AI80" i="17"/>
  <c r="AI79" i="17"/>
  <c r="AI78" i="17"/>
  <c r="AI77" i="17"/>
  <c r="AI76" i="17"/>
  <c r="AI75" i="17"/>
  <c r="AI74" i="17"/>
  <c r="AI73" i="17"/>
  <c r="AI72" i="17"/>
  <c r="AI71" i="17"/>
  <c r="AI70" i="17"/>
  <c r="AI69" i="17"/>
  <c r="AI68" i="17"/>
  <c r="AI67" i="17"/>
  <c r="AI66" i="17"/>
  <c r="AI65" i="17"/>
  <c r="AI64" i="17"/>
  <c r="AI63" i="17"/>
  <c r="AI62" i="17"/>
  <c r="AI61" i="17"/>
  <c r="AI60" i="17"/>
  <c r="AI59" i="17"/>
  <c r="AI58" i="17"/>
  <c r="AI57" i="17"/>
  <c r="AI56" i="17"/>
  <c r="AI55" i="17"/>
  <c r="AI54" i="17"/>
  <c r="AI53" i="17"/>
  <c r="AI52" i="17"/>
  <c r="AI51" i="17"/>
  <c r="AI50" i="17"/>
  <c r="AI49" i="17"/>
  <c r="AI48" i="17"/>
  <c r="AI47" i="17"/>
  <c r="AI46" i="17"/>
  <c r="AI45" i="17"/>
  <c r="AI44" i="17"/>
  <c r="AI43" i="17"/>
  <c r="AI42" i="17"/>
  <c r="AI41" i="17"/>
  <c r="AI40" i="17"/>
  <c r="AI39" i="17"/>
  <c r="AI38" i="17"/>
  <c r="AI37" i="17"/>
  <c r="AI36" i="17"/>
  <c r="AI35" i="17"/>
  <c r="AI34" i="17"/>
  <c r="AI33" i="17"/>
  <c r="AI32" i="17"/>
  <c r="AI31" i="17"/>
  <c r="AI30" i="17"/>
  <c r="AI29" i="17"/>
  <c r="AI28" i="17"/>
  <c r="AI27" i="17"/>
  <c r="AI26" i="17"/>
  <c r="AI25" i="17"/>
  <c r="AI24" i="17"/>
  <c r="AI23" i="17"/>
  <c r="AI22" i="17"/>
  <c r="AI21" i="17"/>
  <c r="AI20" i="17"/>
  <c r="AI19" i="17"/>
  <c r="AI18" i="17"/>
  <c r="AI17" i="17"/>
  <c r="AI16" i="17"/>
  <c r="AI15" i="17"/>
  <c r="AI14" i="17"/>
  <c r="AI13" i="17"/>
  <c r="AI12" i="17"/>
  <c r="AI11" i="17"/>
  <c r="AI10" i="17"/>
  <c r="AI9" i="17"/>
  <c r="AI8" i="17"/>
  <c r="AH8" i="17"/>
  <c r="AH9" i="17" s="1"/>
  <c r="AI7" i="17"/>
  <c r="AH7" i="17"/>
  <c r="AI6" i="17"/>
  <c r="N5" i="17"/>
  <c r="N4" i="17"/>
  <c r="K4" i="17"/>
  <c r="K5" i="17" s="1"/>
  <c r="K6" i="17" s="1"/>
  <c r="K7" i="17" s="1"/>
  <c r="K8" i="17" s="1"/>
  <c r="K9" i="17" s="1"/>
  <c r="K10" i="17" s="1"/>
  <c r="K11" i="17" s="1"/>
  <c r="K12" i="17" s="1"/>
  <c r="K13" i="17" s="1"/>
  <c r="K14" i="17" s="1"/>
  <c r="K15" i="17" s="1"/>
  <c r="K16" i="17" s="1"/>
  <c r="K17" i="17" s="1"/>
  <c r="K18" i="17" s="1"/>
  <c r="K19" i="17" s="1"/>
  <c r="K20" i="17" s="1"/>
  <c r="K21" i="17" s="1"/>
  <c r="K22" i="17" s="1"/>
  <c r="K23" i="17" s="1"/>
  <c r="K24" i="17" s="1"/>
  <c r="K25" i="17" s="1"/>
  <c r="K26" i="17" s="1"/>
  <c r="K27" i="17" s="1"/>
  <c r="K28" i="17" s="1"/>
  <c r="K29" i="17" s="1"/>
  <c r="K30" i="17" s="1"/>
  <c r="K31" i="17" s="1"/>
  <c r="K32" i="17" s="1"/>
  <c r="K33" i="17" s="1"/>
  <c r="K34" i="17" s="1"/>
  <c r="K35" i="17" s="1"/>
  <c r="K36" i="17" s="1"/>
  <c r="K37" i="17" s="1"/>
  <c r="K38" i="17" s="1"/>
  <c r="K39" i="17" s="1"/>
  <c r="K40" i="17" s="1"/>
  <c r="K41" i="17" s="1"/>
  <c r="K42" i="17" s="1"/>
  <c r="K43" i="17" s="1"/>
  <c r="K44" i="17" s="1"/>
  <c r="K45" i="17" s="1"/>
  <c r="K46" i="17" s="1"/>
  <c r="K47" i="17" s="1"/>
  <c r="K48" i="17" s="1"/>
  <c r="K49" i="17" s="1"/>
  <c r="K50" i="17" s="1"/>
  <c r="K51" i="17" s="1"/>
  <c r="K52" i="17" s="1"/>
  <c r="K53" i="17" s="1"/>
  <c r="K54" i="17" s="1"/>
  <c r="K55" i="17" s="1"/>
  <c r="K56" i="17" s="1"/>
  <c r="K57" i="17" s="1"/>
  <c r="K58" i="17" s="1"/>
  <c r="K59" i="17" s="1"/>
  <c r="K60" i="17" s="1"/>
  <c r="K61" i="17" s="1"/>
  <c r="K62" i="17" s="1"/>
  <c r="K63" i="17" s="1"/>
  <c r="K64" i="17" s="1"/>
  <c r="K65" i="17" s="1"/>
  <c r="K66" i="17" s="1"/>
  <c r="K67" i="17" s="1"/>
  <c r="K68" i="17" s="1"/>
  <c r="K69" i="17" s="1"/>
  <c r="K70" i="17" s="1"/>
  <c r="K71" i="17" s="1"/>
  <c r="K72" i="17" s="1"/>
  <c r="K73" i="17" s="1"/>
  <c r="K74" i="17" s="1"/>
  <c r="K75" i="17" s="1"/>
  <c r="K76" i="17" s="1"/>
  <c r="K77" i="17" s="1"/>
  <c r="K78" i="17" s="1"/>
  <c r="K79" i="17" s="1"/>
  <c r="K80" i="17" s="1"/>
  <c r="K81" i="17" s="1"/>
  <c r="K82" i="17" s="1"/>
  <c r="K83" i="17" s="1"/>
  <c r="K84" i="17" s="1"/>
  <c r="K85" i="17" s="1"/>
  <c r="K86" i="17" s="1"/>
  <c r="K87" i="17" s="1"/>
  <c r="K88" i="17" s="1"/>
  <c r="K89" i="17" s="1"/>
  <c r="K90" i="17" s="1"/>
  <c r="K91" i="17" s="1"/>
  <c r="K92" i="17" s="1"/>
  <c r="K93" i="17" s="1"/>
  <c r="K94" i="17" s="1"/>
  <c r="K95" i="17" s="1"/>
  <c r="K96" i="17" s="1"/>
  <c r="K97" i="17" s="1"/>
  <c r="K98" i="17" s="1"/>
  <c r="K99" i="17" s="1"/>
  <c r="K100" i="17" s="1"/>
  <c r="K101" i="17" s="1"/>
  <c r="K102" i="17" s="1"/>
  <c r="J4" i="17"/>
  <c r="H4" i="17"/>
  <c r="H5" i="17" s="1"/>
  <c r="AA3" i="17"/>
  <c r="T3" i="17"/>
  <c r="N3" i="17"/>
  <c r="G3" i="17"/>
  <c r="O2" i="17" s="1"/>
  <c r="R3" i="17"/>
  <c r="AI102" i="16"/>
  <c r="AA102" i="16"/>
  <c r="Z102" i="16"/>
  <c r="X102" i="16"/>
  <c r="W102" i="16"/>
  <c r="U102" i="16"/>
  <c r="T102" i="16"/>
  <c r="S102" i="16"/>
  <c r="R102" i="16"/>
  <c r="Q102" i="16"/>
  <c r="P102" i="16"/>
  <c r="O102" i="16"/>
  <c r="G102" i="16"/>
  <c r="M102" i="16" s="1"/>
  <c r="AI101" i="16"/>
  <c r="AA101" i="16"/>
  <c r="Z101" i="16"/>
  <c r="X101" i="16"/>
  <c r="W101" i="16"/>
  <c r="U101" i="16"/>
  <c r="T101" i="16"/>
  <c r="S101" i="16"/>
  <c r="R101" i="16"/>
  <c r="Q101" i="16"/>
  <c r="P101" i="16"/>
  <c r="O101" i="16"/>
  <c r="G101" i="16"/>
  <c r="M101" i="16" s="1"/>
  <c r="AI100" i="16"/>
  <c r="AA100" i="16"/>
  <c r="Z100" i="16"/>
  <c r="X100" i="16"/>
  <c r="W100" i="16"/>
  <c r="U100" i="16"/>
  <c r="T100" i="16"/>
  <c r="S100" i="16"/>
  <c r="R100" i="16"/>
  <c r="Q100" i="16"/>
  <c r="P100" i="16"/>
  <c r="O100" i="16"/>
  <c r="G100" i="16"/>
  <c r="M100" i="16" s="1"/>
  <c r="AI99" i="16"/>
  <c r="AA99" i="16"/>
  <c r="Z99" i="16"/>
  <c r="X99" i="16"/>
  <c r="W99" i="16"/>
  <c r="U99" i="16"/>
  <c r="T99" i="16"/>
  <c r="S99" i="16"/>
  <c r="R99" i="16"/>
  <c r="Q99" i="16"/>
  <c r="P99" i="16"/>
  <c r="O99" i="16"/>
  <c r="G99" i="16"/>
  <c r="AI98" i="16"/>
  <c r="AA98" i="16"/>
  <c r="Z98" i="16"/>
  <c r="X98" i="16"/>
  <c r="W98" i="16"/>
  <c r="U98" i="16"/>
  <c r="T98" i="16"/>
  <c r="S98" i="16"/>
  <c r="R98" i="16"/>
  <c r="Q98" i="16"/>
  <c r="P98" i="16"/>
  <c r="O98" i="16"/>
  <c r="G98" i="16"/>
  <c r="M98" i="16" s="1"/>
  <c r="AI97" i="16"/>
  <c r="AA97" i="16"/>
  <c r="Z97" i="16"/>
  <c r="X97" i="16"/>
  <c r="W97" i="16"/>
  <c r="U97" i="16"/>
  <c r="T97" i="16"/>
  <c r="S97" i="16"/>
  <c r="R97" i="16"/>
  <c r="Q97" i="16"/>
  <c r="P97" i="16"/>
  <c r="O97" i="16"/>
  <c r="G97" i="16"/>
  <c r="M97" i="16" s="1"/>
  <c r="AI96" i="16"/>
  <c r="AA96" i="16"/>
  <c r="Z96" i="16"/>
  <c r="X96" i="16"/>
  <c r="W96" i="16"/>
  <c r="U96" i="16"/>
  <c r="T96" i="16"/>
  <c r="S96" i="16"/>
  <c r="R96" i="16"/>
  <c r="Q96" i="16"/>
  <c r="P96" i="16"/>
  <c r="O96" i="16"/>
  <c r="G96" i="16"/>
  <c r="M96" i="16" s="1"/>
  <c r="AI95" i="16"/>
  <c r="AA95" i="16"/>
  <c r="Z95" i="16"/>
  <c r="X95" i="16"/>
  <c r="W95" i="16"/>
  <c r="U95" i="16"/>
  <c r="T95" i="16"/>
  <c r="S95" i="16"/>
  <c r="R95" i="16"/>
  <c r="Q95" i="16"/>
  <c r="P95" i="16"/>
  <c r="O95" i="16"/>
  <c r="G95" i="16"/>
  <c r="M95" i="16" s="1"/>
  <c r="AI94" i="16"/>
  <c r="AA94" i="16"/>
  <c r="Z94" i="16"/>
  <c r="X94" i="16"/>
  <c r="W94" i="16"/>
  <c r="U94" i="16"/>
  <c r="T94" i="16"/>
  <c r="S94" i="16"/>
  <c r="R94" i="16"/>
  <c r="Q94" i="16"/>
  <c r="P94" i="16"/>
  <c r="O94" i="16"/>
  <c r="G94" i="16"/>
  <c r="M94" i="16" s="1"/>
  <c r="AI93" i="16"/>
  <c r="AA93" i="16"/>
  <c r="Z93" i="16"/>
  <c r="X93" i="16"/>
  <c r="W93" i="16"/>
  <c r="U93" i="16"/>
  <c r="T93" i="16"/>
  <c r="S93" i="16"/>
  <c r="R93" i="16"/>
  <c r="Q93" i="16"/>
  <c r="P93" i="16"/>
  <c r="O93" i="16"/>
  <c r="G93" i="16"/>
  <c r="M93" i="16" s="1"/>
  <c r="AI92" i="16"/>
  <c r="AA92" i="16"/>
  <c r="Z92" i="16"/>
  <c r="X92" i="16"/>
  <c r="W92" i="16"/>
  <c r="U92" i="16"/>
  <c r="T92" i="16"/>
  <c r="S92" i="16"/>
  <c r="R92" i="16"/>
  <c r="Q92" i="16"/>
  <c r="P92" i="16"/>
  <c r="O92" i="16"/>
  <c r="G92" i="16"/>
  <c r="M92" i="16" s="1"/>
  <c r="AI91" i="16"/>
  <c r="AA91" i="16"/>
  <c r="Z91" i="16"/>
  <c r="X91" i="16"/>
  <c r="W91" i="16"/>
  <c r="U91" i="16"/>
  <c r="T91" i="16"/>
  <c r="S91" i="16"/>
  <c r="R91" i="16"/>
  <c r="Q91" i="16"/>
  <c r="P91" i="16"/>
  <c r="O91" i="16"/>
  <c r="G91" i="16"/>
  <c r="M91" i="16" s="1"/>
  <c r="AI90" i="16"/>
  <c r="AA90" i="16"/>
  <c r="Z90" i="16"/>
  <c r="X90" i="16"/>
  <c r="W90" i="16"/>
  <c r="U90" i="16"/>
  <c r="T90" i="16"/>
  <c r="S90" i="16"/>
  <c r="R90" i="16"/>
  <c r="Q90" i="16"/>
  <c r="P90" i="16"/>
  <c r="O90" i="16"/>
  <c r="G90" i="16"/>
  <c r="M90" i="16" s="1"/>
  <c r="AI89" i="16"/>
  <c r="AA89" i="16"/>
  <c r="Z89" i="16"/>
  <c r="X89" i="16"/>
  <c r="W89" i="16"/>
  <c r="U89" i="16"/>
  <c r="T89" i="16"/>
  <c r="S89" i="16"/>
  <c r="R89" i="16"/>
  <c r="Q89" i="16"/>
  <c r="P89" i="16"/>
  <c r="O89" i="16"/>
  <c r="G89" i="16"/>
  <c r="M89" i="16" s="1"/>
  <c r="AI88" i="16"/>
  <c r="AA88" i="16"/>
  <c r="Z88" i="16"/>
  <c r="X88" i="16"/>
  <c r="W88" i="16"/>
  <c r="U88" i="16"/>
  <c r="T88" i="16"/>
  <c r="S88" i="16"/>
  <c r="R88" i="16"/>
  <c r="Q88" i="16"/>
  <c r="P88" i="16"/>
  <c r="O88" i="16"/>
  <c r="G88" i="16"/>
  <c r="M88" i="16" s="1"/>
  <c r="AI87" i="16"/>
  <c r="AA87" i="16"/>
  <c r="Z87" i="16"/>
  <c r="X87" i="16"/>
  <c r="W87" i="16"/>
  <c r="U87" i="16"/>
  <c r="T87" i="16"/>
  <c r="S87" i="16"/>
  <c r="R87" i="16"/>
  <c r="Q87" i="16"/>
  <c r="P87" i="16"/>
  <c r="O87" i="16"/>
  <c r="G87" i="16"/>
  <c r="AI86" i="16"/>
  <c r="AA86" i="16"/>
  <c r="Z86" i="16"/>
  <c r="X86" i="16"/>
  <c r="W86" i="16"/>
  <c r="U86" i="16"/>
  <c r="T86" i="16"/>
  <c r="S86" i="16"/>
  <c r="R86" i="16"/>
  <c r="Q86" i="16"/>
  <c r="P86" i="16"/>
  <c r="O86" i="16"/>
  <c r="G86" i="16"/>
  <c r="M86" i="16" s="1"/>
  <c r="AI85" i="16"/>
  <c r="AA85" i="16"/>
  <c r="Z85" i="16"/>
  <c r="X85" i="16"/>
  <c r="W85" i="16"/>
  <c r="U85" i="16"/>
  <c r="T85" i="16"/>
  <c r="S85" i="16"/>
  <c r="R85" i="16"/>
  <c r="Q85" i="16"/>
  <c r="P85" i="16"/>
  <c r="O85" i="16"/>
  <c r="G85" i="16"/>
  <c r="M85" i="16" s="1"/>
  <c r="AI84" i="16"/>
  <c r="AA84" i="16"/>
  <c r="Z84" i="16"/>
  <c r="X84" i="16"/>
  <c r="W84" i="16"/>
  <c r="U84" i="16"/>
  <c r="T84" i="16"/>
  <c r="S84" i="16"/>
  <c r="R84" i="16"/>
  <c r="Q84" i="16"/>
  <c r="P84" i="16"/>
  <c r="O84" i="16"/>
  <c r="G84" i="16"/>
  <c r="M84" i="16" s="1"/>
  <c r="AI83" i="16"/>
  <c r="AA83" i="16"/>
  <c r="Z83" i="16"/>
  <c r="X83" i="16"/>
  <c r="W83" i="16"/>
  <c r="U83" i="16"/>
  <c r="T83" i="16"/>
  <c r="S83" i="16"/>
  <c r="R83" i="16"/>
  <c r="Q83" i="16"/>
  <c r="P83" i="16"/>
  <c r="O83" i="16"/>
  <c r="G83" i="16"/>
  <c r="M83" i="16" s="1"/>
  <c r="AI82" i="16"/>
  <c r="AA82" i="16"/>
  <c r="Z82" i="16"/>
  <c r="X82" i="16"/>
  <c r="W82" i="16"/>
  <c r="U82" i="16"/>
  <c r="T82" i="16"/>
  <c r="S82" i="16"/>
  <c r="R82" i="16"/>
  <c r="Q82" i="16"/>
  <c r="P82" i="16"/>
  <c r="O82" i="16"/>
  <c r="G82" i="16"/>
  <c r="M82" i="16" s="1"/>
  <c r="AI81" i="16"/>
  <c r="X81" i="16"/>
  <c r="W81" i="16"/>
  <c r="U81" i="16"/>
  <c r="T81" i="16"/>
  <c r="S81" i="16"/>
  <c r="R81" i="16"/>
  <c r="Q81" i="16"/>
  <c r="P81" i="16"/>
  <c r="O81" i="16"/>
  <c r="G81" i="16"/>
  <c r="M81" i="16" s="1"/>
  <c r="AI80" i="16"/>
  <c r="AI79" i="16"/>
  <c r="AI78" i="16"/>
  <c r="AI77" i="16"/>
  <c r="AI76" i="16"/>
  <c r="AI75" i="16"/>
  <c r="AI74" i="16"/>
  <c r="AI73" i="16"/>
  <c r="AI72" i="16"/>
  <c r="AI71" i="16"/>
  <c r="AI70" i="16"/>
  <c r="AI69" i="16"/>
  <c r="AI68" i="16"/>
  <c r="AI67" i="16"/>
  <c r="AI66" i="16"/>
  <c r="AI65" i="16"/>
  <c r="AI64" i="16"/>
  <c r="AI63" i="16"/>
  <c r="AI62" i="16"/>
  <c r="AI61" i="16"/>
  <c r="AI60" i="16"/>
  <c r="AI59" i="16"/>
  <c r="AI58" i="16"/>
  <c r="AI57" i="16"/>
  <c r="AI56" i="16"/>
  <c r="AI55" i="16"/>
  <c r="AI54" i="16"/>
  <c r="AI53" i="16"/>
  <c r="AI52" i="16"/>
  <c r="AI51" i="16"/>
  <c r="AI50" i="16"/>
  <c r="AI49" i="16"/>
  <c r="AI48" i="16"/>
  <c r="AI47" i="16"/>
  <c r="AI46" i="16"/>
  <c r="AI45" i="16"/>
  <c r="AI44" i="16"/>
  <c r="AI43" i="16"/>
  <c r="AI42" i="16"/>
  <c r="AI41" i="16"/>
  <c r="AI40" i="16"/>
  <c r="AI39" i="16"/>
  <c r="AI38" i="16"/>
  <c r="AI37" i="16"/>
  <c r="AI36" i="16"/>
  <c r="AI35" i="16"/>
  <c r="AI34" i="16"/>
  <c r="AI33" i="16"/>
  <c r="AI32" i="16"/>
  <c r="AI31" i="16"/>
  <c r="AI30" i="16"/>
  <c r="AI29" i="16"/>
  <c r="AI28" i="16"/>
  <c r="AI27" i="16"/>
  <c r="AI26" i="16"/>
  <c r="AI25" i="16"/>
  <c r="AI24" i="16"/>
  <c r="AI23" i="16"/>
  <c r="AI22" i="16"/>
  <c r="AI21" i="16"/>
  <c r="AI20" i="16"/>
  <c r="AI19" i="16"/>
  <c r="AI18" i="16"/>
  <c r="AI17" i="16"/>
  <c r="AI16" i="16"/>
  <c r="AI15" i="16"/>
  <c r="AI14" i="16"/>
  <c r="AI13" i="16"/>
  <c r="AI12" i="16"/>
  <c r="AI11" i="16"/>
  <c r="AI10" i="16"/>
  <c r="AI9" i="16"/>
  <c r="AI8" i="16"/>
  <c r="AI7" i="16"/>
  <c r="AH7" i="16"/>
  <c r="AI6" i="16"/>
  <c r="N5" i="16"/>
  <c r="N4" i="16"/>
  <c r="K4" i="16"/>
  <c r="K5" i="16" s="1"/>
  <c r="K6" i="16" s="1"/>
  <c r="K7" i="16" s="1"/>
  <c r="K8" i="16" s="1"/>
  <c r="K9" i="16" s="1"/>
  <c r="K10" i="16" s="1"/>
  <c r="K11" i="16" s="1"/>
  <c r="K12" i="16" s="1"/>
  <c r="K13" i="16" s="1"/>
  <c r="K14" i="16" s="1"/>
  <c r="K15" i="16" s="1"/>
  <c r="K16" i="16" s="1"/>
  <c r="K17" i="16" s="1"/>
  <c r="K18" i="16" s="1"/>
  <c r="K19" i="16" s="1"/>
  <c r="K20" i="16" s="1"/>
  <c r="K21" i="16" s="1"/>
  <c r="K22" i="16" s="1"/>
  <c r="K23" i="16" s="1"/>
  <c r="K24" i="16" s="1"/>
  <c r="K25" i="16" s="1"/>
  <c r="K26" i="16" s="1"/>
  <c r="K27" i="16" s="1"/>
  <c r="K28" i="16" s="1"/>
  <c r="K29" i="16" s="1"/>
  <c r="K30" i="16" s="1"/>
  <c r="K31" i="16" s="1"/>
  <c r="K32" i="16" s="1"/>
  <c r="K33" i="16" s="1"/>
  <c r="K34" i="16" s="1"/>
  <c r="K35" i="16" s="1"/>
  <c r="K36" i="16" s="1"/>
  <c r="K37" i="16" s="1"/>
  <c r="K38" i="16" s="1"/>
  <c r="K39" i="16" s="1"/>
  <c r="K40" i="16" s="1"/>
  <c r="K41" i="16" s="1"/>
  <c r="K42" i="16" s="1"/>
  <c r="K43" i="16" s="1"/>
  <c r="K44" i="16" s="1"/>
  <c r="K45" i="16" s="1"/>
  <c r="K46" i="16" s="1"/>
  <c r="K47" i="16" s="1"/>
  <c r="K48" i="16" s="1"/>
  <c r="K49" i="16" s="1"/>
  <c r="K50" i="16" s="1"/>
  <c r="K51" i="16" s="1"/>
  <c r="K52" i="16" s="1"/>
  <c r="K53" i="16" s="1"/>
  <c r="K54" i="16" s="1"/>
  <c r="K55" i="16" s="1"/>
  <c r="K56" i="16" s="1"/>
  <c r="K57" i="16" s="1"/>
  <c r="K58" i="16" s="1"/>
  <c r="K59" i="16" s="1"/>
  <c r="K60" i="16" s="1"/>
  <c r="K61" i="16" s="1"/>
  <c r="K62" i="16" s="1"/>
  <c r="K63" i="16" s="1"/>
  <c r="K64" i="16" s="1"/>
  <c r="K65" i="16" s="1"/>
  <c r="K66" i="16" s="1"/>
  <c r="K67" i="16" s="1"/>
  <c r="K68" i="16" s="1"/>
  <c r="K69" i="16" s="1"/>
  <c r="K70" i="16" s="1"/>
  <c r="K71" i="16" s="1"/>
  <c r="K72" i="16" s="1"/>
  <c r="K73" i="16" s="1"/>
  <c r="K74" i="16" s="1"/>
  <c r="K75" i="16" s="1"/>
  <c r="K76" i="16" s="1"/>
  <c r="K77" i="16" s="1"/>
  <c r="K78" i="16" s="1"/>
  <c r="K79" i="16" s="1"/>
  <c r="K80" i="16" s="1"/>
  <c r="K81" i="16" s="1"/>
  <c r="K82" i="16" s="1"/>
  <c r="K83" i="16" s="1"/>
  <c r="K84" i="16" s="1"/>
  <c r="K85" i="16" s="1"/>
  <c r="K86" i="16" s="1"/>
  <c r="K87" i="16" s="1"/>
  <c r="K88" i="16" s="1"/>
  <c r="K89" i="16" s="1"/>
  <c r="K90" i="16" s="1"/>
  <c r="K91" i="16" s="1"/>
  <c r="K92" i="16" s="1"/>
  <c r="K93" i="16" s="1"/>
  <c r="K94" i="16" s="1"/>
  <c r="K95" i="16" s="1"/>
  <c r="K96" i="16" s="1"/>
  <c r="K97" i="16" s="1"/>
  <c r="K98" i="16" s="1"/>
  <c r="K99" i="16" s="1"/>
  <c r="K100" i="16" s="1"/>
  <c r="K101" i="16" s="1"/>
  <c r="K102" i="16" s="1"/>
  <c r="J4" i="16"/>
  <c r="H4" i="16"/>
  <c r="H5" i="16" s="1"/>
  <c r="D5" i="16" s="1"/>
  <c r="T3" i="16"/>
  <c r="N3" i="16"/>
  <c r="G3" i="16"/>
  <c r="G4" i="16" s="1"/>
  <c r="S3" i="16"/>
  <c r="AI102" i="15"/>
  <c r="AA102" i="15"/>
  <c r="Z102" i="15"/>
  <c r="X102" i="15"/>
  <c r="W102" i="15"/>
  <c r="U102" i="15"/>
  <c r="T102" i="15"/>
  <c r="S102" i="15"/>
  <c r="R102" i="15"/>
  <c r="Q102" i="15"/>
  <c r="P102" i="15"/>
  <c r="O102" i="15"/>
  <c r="G102" i="15"/>
  <c r="M102" i="15" s="1"/>
  <c r="AI101" i="15"/>
  <c r="AA101" i="15"/>
  <c r="Z101" i="15"/>
  <c r="X101" i="15"/>
  <c r="W101" i="15"/>
  <c r="U101" i="15"/>
  <c r="T101" i="15"/>
  <c r="S101" i="15"/>
  <c r="R101" i="15"/>
  <c r="Q101" i="15"/>
  <c r="P101" i="15"/>
  <c r="O101" i="15"/>
  <c r="G101" i="15"/>
  <c r="M101" i="15" s="1"/>
  <c r="AI100" i="15"/>
  <c r="AA100" i="15"/>
  <c r="Z100" i="15"/>
  <c r="X100" i="15"/>
  <c r="W100" i="15"/>
  <c r="U100" i="15"/>
  <c r="T100" i="15"/>
  <c r="S100" i="15"/>
  <c r="R100" i="15"/>
  <c r="Q100" i="15"/>
  <c r="P100" i="15"/>
  <c r="O100" i="15"/>
  <c r="G100" i="15"/>
  <c r="M100" i="15" s="1"/>
  <c r="AI99" i="15"/>
  <c r="AA99" i="15"/>
  <c r="Z99" i="15"/>
  <c r="X99" i="15"/>
  <c r="W99" i="15"/>
  <c r="U99" i="15"/>
  <c r="T99" i="15"/>
  <c r="S99" i="15"/>
  <c r="R99" i="15"/>
  <c r="Q99" i="15"/>
  <c r="P99" i="15"/>
  <c r="O99" i="15"/>
  <c r="G99" i="15"/>
  <c r="D99" i="15" s="1"/>
  <c r="AI98" i="15"/>
  <c r="AA98" i="15"/>
  <c r="Z98" i="15"/>
  <c r="X98" i="15"/>
  <c r="W98" i="15"/>
  <c r="U98" i="15"/>
  <c r="T98" i="15"/>
  <c r="S98" i="15"/>
  <c r="R98" i="15"/>
  <c r="Q98" i="15"/>
  <c r="P98" i="15"/>
  <c r="O98" i="15"/>
  <c r="G98" i="15"/>
  <c r="M98" i="15" s="1"/>
  <c r="AI97" i="15"/>
  <c r="AA97" i="15"/>
  <c r="Z97" i="15"/>
  <c r="X97" i="15"/>
  <c r="W97" i="15"/>
  <c r="U97" i="15"/>
  <c r="T97" i="15"/>
  <c r="S97" i="15"/>
  <c r="R97" i="15"/>
  <c r="Q97" i="15"/>
  <c r="P97" i="15"/>
  <c r="O97" i="15"/>
  <c r="G97" i="15"/>
  <c r="M97" i="15" s="1"/>
  <c r="AI96" i="15"/>
  <c r="AA96" i="15"/>
  <c r="Z96" i="15"/>
  <c r="X96" i="15"/>
  <c r="W96" i="15"/>
  <c r="U96" i="15"/>
  <c r="T96" i="15"/>
  <c r="S96" i="15"/>
  <c r="R96" i="15"/>
  <c r="Q96" i="15"/>
  <c r="P96" i="15"/>
  <c r="O96" i="15"/>
  <c r="G96" i="15"/>
  <c r="M96" i="15" s="1"/>
  <c r="AI95" i="15"/>
  <c r="AA95" i="15"/>
  <c r="Z95" i="15"/>
  <c r="X95" i="15"/>
  <c r="W95" i="15"/>
  <c r="U95" i="15"/>
  <c r="T95" i="15"/>
  <c r="S95" i="15"/>
  <c r="R95" i="15"/>
  <c r="Q95" i="15"/>
  <c r="P95" i="15"/>
  <c r="O95" i="15"/>
  <c r="G95" i="15"/>
  <c r="M95" i="15" s="1"/>
  <c r="AI94" i="15"/>
  <c r="AA94" i="15"/>
  <c r="Z94" i="15"/>
  <c r="X94" i="15"/>
  <c r="W94" i="15"/>
  <c r="U94" i="15"/>
  <c r="T94" i="15"/>
  <c r="S94" i="15"/>
  <c r="R94" i="15"/>
  <c r="Q94" i="15"/>
  <c r="P94" i="15"/>
  <c r="O94" i="15"/>
  <c r="G94" i="15"/>
  <c r="M94" i="15" s="1"/>
  <c r="AI93" i="15"/>
  <c r="AA93" i="15"/>
  <c r="Z93" i="15"/>
  <c r="X93" i="15"/>
  <c r="W93" i="15"/>
  <c r="U93" i="15"/>
  <c r="T93" i="15"/>
  <c r="S93" i="15"/>
  <c r="R93" i="15"/>
  <c r="Q93" i="15"/>
  <c r="P93" i="15"/>
  <c r="O93" i="15"/>
  <c r="G93" i="15"/>
  <c r="M93" i="15" s="1"/>
  <c r="AI92" i="15"/>
  <c r="AA92" i="15"/>
  <c r="Z92" i="15"/>
  <c r="X92" i="15"/>
  <c r="W92" i="15"/>
  <c r="U92" i="15"/>
  <c r="T92" i="15"/>
  <c r="S92" i="15"/>
  <c r="R92" i="15"/>
  <c r="Q92" i="15"/>
  <c r="P92" i="15"/>
  <c r="O92" i="15"/>
  <c r="G92" i="15"/>
  <c r="M92" i="15" s="1"/>
  <c r="AI91" i="15"/>
  <c r="AA91" i="15"/>
  <c r="Z91" i="15"/>
  <c r="X91" i="15"/>
  <c r="W91" i="15"/>
  <c r="U91" i="15"/>
  <c r="T91" i="15"/>
  <c r="S91" i="15"/>
  <c r="R91" i="15"/>
  <c r="Q91" i="15"/>
  <c r="P91" i="15"/>
  <c r="O91" i="15"/>
  <c r="G91" i="15"/>
  <c r="M91" i="15" s="1"/>
  <c r="AI90" i="15"/>
  <c r="AA90" i="15"/>
  <c r="Z90" i="15"/>
  <c r="X90" i="15"/>
  <c r="W90" i="15"/>
  <c r="U90" i="15"/>
  <c r="T90" i="15"/>
  <c r="S90" i="15"/>
  <c r="R90" i="15"/>
  <c r="Q90" i="15"/>
  <c r="P90" i="15"/>
  <c r="O90" i="15"/>
  <c r="G90" i="15"/>
  <c r="M90" i="15" s="1"/>
  <c r="AI89" i="15"/>
  <c r="AA89" i="15"/>
  <c r="Z89" i="15"/>
  <c r="X89" i="15"/>
  <c r="W89" i="15"/>
  <c r="U89" i="15"/>
  <c r="T89" i="15"/>
  <c r="S89" i="15"/>
  <c r="R89" i="15"/>
  <c r="Q89" i="15"/>
  <c r="P89" i="15"/>
  <c r="O89" i="15"/>
  <c r="G89" i="15"/>
  <c r="D89" i="15" s="1"/>
  <c r="AI88" i="15"/>
  <c r="AA88" i="15"/>
  <c r="Z88" i="15"/>
  <c r="X88" i="15"/>
  <c r="W88" i="15"/>
  <c r="U88" i="15"/>
  <c r="T88" i="15"/>
  <c r="S88" i="15"/>
  <c r="R88" i="15"/>
  <c r="Q88" i="15"/>
  <c r="P88" i="15"/>
  <c r="O88" i="15"/>
  <c r="G88" i="15"/>
  <c r="M88" i="15" s="1"/>
  <c r="AI87" i="15"/>
  <c r="AA87" i="15"/>
  <c r="Z87" i="15"/>
  <c r="X87" i="15"/>
  <c r="W87" i="15"/>
  <c r="U87" i="15"/>
  <c r="T87" i="15"/>
  <c r="S87" i="15"/>
  <c r="R87" i="15"/>
  <c r="Q87" i="15"/>
  <c r="P87" i="15"/>
  <c r="O87" i="15"/>
  <c r="G87" i="15"/>
  <c r="D87" i="15" s="1"/>
  <c r="AI86" i="15"/>
  <c r="AA86" i="15"/>
  <c r="Z86" i="15"/>
  <c r="X86" i="15"/>
  <c r="W86" i="15"/>
  <c r="U86" i="15"/>
  <c r="T86" i="15"/>
  <c r="S86" i="15"/>
  <c r="R86" i="15"/>
  <c r="Q86" i="15"/>
  <c r="P86" i="15"/>
  <c r="O86" i="15"/>
  <c r="G86" i="15"/>
  <c r="M86" i="15" s="1"/>
  <c r="AI85" i="15"/>
  <c r="AA85" i="15"/>
  <c r="Z85" i="15"/>
  <c r="X85" i="15"/>
  <c r="W85" i="15"/>
  <c r="U85" i="15"/>
  <c r="T85" i="15"/>
  <c r="S85" i="15"/>
  <c r="R85" i="15"/>
  <c r="Q85" i="15"/>
  <c r="P85" i="15"/>
  <c r="O85" i="15"/>
  <c r="G85" i="15"/>
  <c r="M85" i="15" s="1"/>
  <c r="AI84" i="15"/>
  <c r="AA84" i="15"/>
  <c r="Z84" i="15"/>
  <c r="X84" i="15"/>
  <c r="W84" i="15"/>
  <c r="U84" i="15"/>
  <c r="T84" i="15"/>
  <c r="S84" i="15"/>
  <c r="R84" i="15"/>
  <c r="Q84" i="15"/>
  <c r="P84" i="15"/>
  <c r="O84" i="15"/>
  <c r="G84" i="15"/>
  <c r="M84" i="15" s="1"/>
  <c r="AI83" i="15"/>
  <c r="AA83" i="15"/>
  <c r="Z83" i="15"/>
  <c r="X83" i="15"/>
  <c r="W83" i="15"/>
  <c r="U83" i="15"/>
  <c r="T83" i="15"/>
  <c r="S83" i="15"/>
  <c r="R83" i="15"/>
  <c r="Q83" i="15"/>
  <c r="P83" i="15"/>
  <c r="O83" i="15"/>
  <c r="G83" i="15"/>
  <c r="M83" i="15" s="1"/>
  <c r="AI82" i="15"/>
  <c r="AA82" i="15"/>
  <c r="Z82" i="15"/>
  <c r="X82" i="15"/>
  <c r="W82" i="15"/>
  <c r="U82" i="15"/>
  <c r="T82" i="15"/>
  <c r="S82" i="15"/>
  <c r="R82" i="15"/>
  <c r="Q82" i="15"/>
  <c r="P82" i="15"/>
  <c r="O82" i="15"/>
  <c r="G82" i="15"/>
  <c r="M82" i="15" s="1"/>
  <c r="AI81" i="15"/>
  <c r="X81" i="15"/>
  <c r="W81" i="15"/>
  <c r="U81" i="15"/>
  <c r="T81" i="15"/>
  <c r="S81" i="15"/>
  <c r="R81" i="15"/>
  <c r="Q81" i="15"/>
  <c r="P81" i="15"/>
  <c r="O81" i="15"/>
  <c r="G81" i="15"/>
  <c r="M81" i="15" s="1"/>
  <c r="AI80" i="15"/>
  <c r="AI79" i="15"/>
  <c r="AI78" i="15"/>
  <c r="AI77" i="15"/>
  <c r="AI76" i="15"/>
  <c r="AI75" i="15"/>
  <c r="AI74" i="15"/>
  <c r="AI73" i="15"/>
  <c r="AI72" i="15"/>
  <c r="AI71" i="15"/>
  <c r="AI70" i="15"/>
  <c r="AI69" i="15"/>
  <c r="AI68" i="15"/>
  <c r="AI67" i="15"/>
  <c r="AI66" i="15"/>
  <c r="AI65" i="15"/>
  <c r="AI64" i="15"/>
  <c r="AI63" i="15"/>
  <c r="AI62" i="15"/>
  <c r="AI61" i="15"/>
  <c r="AI60" i="15"/>
  <c r="AI59" i="15"/>
  <c r="AI58" i="15"/>
  <c r="AI57" i="15"/>
  <c r="AI56" i="15"/>
  <c r="AI55" i="15"/>
  <c r="AI54" i="15"/>
  <c r="AI53" i="15"/>
  <c r="AI52" i="15"/>
  <c r="AI51" i="15"/>
  <c r="AI50" i="15"/>
  <c r="AI49" i="15"/>
  <c r="AI48" i="15"/>
  <c r="AI47" i="15"/>
  <c r="AI46" i="15"/>
  <c r="AI45" i="15"/>
  <c r="AI44" i="15"/>
  <c r="AI43" i="15"/>
  <c r="AI42" i="15"/>
  <c r="AI41" i="15"/>
  <c r="AI40" i="15"/>
  <c r="AI39" i="15"/>
  <c r="AI38" i="15"/>
  <c r="AI37" i="15"/>
  <c r="AI36" i="15"/>
  <c r="AI35" i="15"/>
  <c r="AI34" i="15"/>
  <c r="AI33" i="15"/>
  <c r="AI32" i="15"/>
  <c r="AI31" i="15"/>
  <c r="AI30" i="15"/>
  <c r="AI29" i="15"/>
  <c r="AI28" i="15"/>
  <c r="AI27" i="15"/>
  <c r="AI26" i="15"/>
  <c r="AI25" i="15"/>
  <c r="AI24" i="15"/>
  <c r="AI23" i="15"/>
  <c r="AI22" i="15"/>
  <c r="AI21" i="15"/>
  <c r="AI20" i="15"/>
  <c r="AI19" i="15"/>
  <c r="AI18" i="15"/>
  <c r="AI17" i="15"/>
  <c r="AI16" i="15"/>
  <c r="AI15" i="15"/>
  <c r="AI14" i="15"/>
  <c r="AI13" i="15"/>
  <c r="AI12" i="15"/>
  <c r="AI11" i="15"/>
  <c r="AI10" i="15"/>
  <c r="AI9" i="15"/>
  <c r="AI8" i="15"/>
  <c r="AH8" i="15"/>
  <c r="AI7" i="15"/>
  <c r="AH7" i="15"/>
  <c r="AI6" i="15"/>
  <c r="N5" i="15"/>
  <c r="N4" i="15"/>
  <c r="K4" i="15"/>
  <c r="K5" i="15" s="1"/>
  <c r="K6" i="15" s="1"/>
  <c r="K7" i="15" s="1"/>
  <c r="K8" i="15" s="1"/>
  <c r="K9" i="15" s="1"/>
  <c r="K10" i="15" s="1"/>
  <c r="K11" i="15" s="1"/>
  <c r="K12" i="15" s="1"/>
  <c r="K13" i="15" s="1"/>
  <c r="K14" i="15" s="1"/>
  <c r="K15" i="15" s="1"/>
  <c r="K16" i="15" s="1"/>
  <c r="K17" i="15" s="1"/>
  <c r="K18" i="15" s="1"/>
  <c r="K19" i="15" s="1"/>
  <c r="K20" i="15" s="1"/>
  <c r="K21" i="15" s="1"/>
  <c r="K22" i="15" s="1"/>
  <c r="K23" i="15" s="1"/>
  <c r="K24" i="15" s="1"/>
  <c r="K25" i="15" s="1"/>
  <c r="K26" i="15" s="1"/>
  <c r="K27" i="15" s="1"/>
  <c r="K28" i="15" s="1"/>
  <c r="K29" i="15" s="1"/>
  <c r="K30" i="15" s="1"/>
  <c r="K31" i="15" s="1"/>
  <c r="K32" i="15" s="1"/>
  <c r="K33" i="15" s="1"/>
  <c r="K34" i="15" s="1"/>
  <c r="K35" i="15" s="1"/>
  <c r="K36" i="15" s="1"/>
  <c r="K37" i="15" s="1"/>
  <c r="K38" i="15" s="1"/>
  <c r="K39" i="15" s="1"/>
  <c r="K40" i="15" s="1"/>
  <c r="K41" i="15" s="1"/>
  <c r="K42" i="15" s="1"/>
  <c r="K43" i="15" s="1"/>
  <c r="K44" i="15" s="1"/>
  <c r="K45" i="15" s="1"/>
  <c r="K46" i="15" s="1"/>
  <c r="K47" i="15" s="1"/>
  <c r="K48" i="15" s="1"/>
  <c r="K49" i="15" s="1"/>
  <c r="K50" i="15" s="1"/>
  <c r="K51" i="15" s="1"/>
  <c r="K52" i="15" s="1"/>
  <c r="K53" i="15" s="1"/>
  <c r="K54" i="15" s="1"/>
  <c r="K55" i="15" s="1"/>
  <c r="K56" i="15" s="1"/>
  <c r="K57" i="15" s="1"/>
  <c r="K58" i="15" s="1"/>
  <c r="K59" i="15" s="1"/>
  <c r="K60" i="15" s="1"/>
  <c r="K61" i="15" s="1"/>
  <c r="K62" i="15" s="1"/>
  <c r="K63" i="15" s="1"/>
  <c r="K64" i="15" s="1"/>
  <c r="K65" i="15" s="1"/>
  <c r="K66" i="15" s="1"/>
  <c r="K67" i="15" s="1"/>
  <c r="K68" i="15" s="1"/>
  <c r="K69" i="15" s="1"/>
  <c r="K70" i="15" s="1"/>
  <c r="K71" i="15" s="1"/>
  <c r="K72" i="15" s="1"/>
  <c r="K73" i="15" s="1"/>
  <c r="K74" i="15" s="1"/>
  <c r="K75" i="15" s="1"/>
  <c r="K76" i="15" s="1"/>
  <c r="K77" i="15" s="1"/>
  <c r="K78" i="15" s="1"/>
  <c r="K79" i="15" s="1"/>
  <c r="K80" i="15" s="1"/>
  <c r="K81" i="15" s="1"/>
  <c r="K82" i="15" s="1"/>
  <c r="K83" i="15" s="1"/>
  <c r="K84" i="15" s="1"/>
  <c r="K85" i="15" s="1"/>
  <c r="K86" i="15" s="1"/>
  <c r="K87" i="15" s="1"/>
  <c r="K88" i="15" s="1"/>
  <c r="K89" i="15" s="1"/>
  <c r="K90" i="15" s="1"/>
  <c r="K91" i="15" s="1"/>
  <c r="K92" i="15" s="1"/>
  <c r="K93" i="15" s="1"/>
  <c r="K94" i="15" s="1"/>
  <c r="K95" i="15" s="1"/>
  <c r="K96" i="15" s="1"/>
  <c r="K97" i="15" s="1"/>
  <c r="K98" i="15" s="1"/>
  <c r="K99" i="15" s="1"/>
  <c r="K100" i="15" s="1"/>
  <c r="K101" i="15" s="1"/>
  <c r="K102" i="15" s="1"/>
  <c r="J4" i="15"/>
  <c r="J5" i="15" s="1"/>
  <c r="H4" i="15"/>
  <c r="H5" i="15" s="1"/>
  <c r="T3" i="15"/>
  <c r="P3" i="15"/>
  <c r="N3" i="15"/>
  <c r="L3" i="15"/>
  <c r="W3" i="15" s="1"/>
  <c r="G3" i="15"/>
  <c r="O2" i="15" s="1"/>
  <c r="U3" i="15"/>
  <c r="AI102" i="14"/>
  <c r="AA102" i="14"/>
  <c r="Z102" i="14"/>
  <c r="X102" i="14"/>
  <c r="W102" i="14"/>
  <c r="U102" i="14"/>
  <c r="T102" i="14"/>
  <c r="S102" i="14"/>
  <c r="R102" i="14"/>
  <c r="Q102" i="14"/>
  <c r="P102" i="14"/>
  <c r="O102" i="14"/>
  <c r="G102" i="14"/>
  <c r="AI101" i="14"/>
  <c r="AA101" i="14"/>
  <c r="Z101" i="14"/>
  <c r="X101" i="14"/>
  <c r="W101" i="14"/>
  <c r="U101" i="14"/>
  <c r="T101" i="14"/>
  <c r="S101" i="14"/>
  <c r="R101" i="14"/>
  <c r="Q101" i="14"/>
  <c r="P101" i="14"/>
  <c r="O101" i="14"/>
  <c r="G101" i="14"/>
  <c r="AI100" i="14"/>
  <c r="AA100" i="14"/>
  <c r="Z100" i="14"/>
  <c r="X100" i="14"/>
  <c r="W100" i="14"/>
  <c r="U100" i="14"/>
  <c r="T100" i="14"/>
  <c r="S100" i="14"/>
  <c r="R100" i="14"/>
  <c r="Q100" i="14"/>
  <c r="P100" i="14"/>
  <c r="O100" i="14"/>
  <c r="G100" i="14"/>
  <c r="M100" i="14" s="1"/>
  <c r="AI99" i="14"/>
  <c r="AA99" i="14"/>
  <c r="Z99" i="14"/>
  <c r="X99" i="14"/>
  <c r="W99" i="14"/>
  <c r="U99" i="14"/>
  <c r="T99" i="14"/>
  <c r="S99" i="14"/>
  <c r="R99" i="14"/>
  <c r="Q99" i="14"/>
  <c r="P99" i="14"/>
  <c r="O99" i="14"/>
  <c r="G99" i="14"/>
  <c r="M99" i="14" s="1"/>
  <c r="AI98" i="14"/>
  <c r="AA98" i="14"/>
  <c r="Z98" i="14"/>
  <c r="X98" i="14"/>
  <c r="W98" i="14"/>
  <c r="U98" i="14"/>
  <c r="T98" i="14"/>
  <c r="S98" i="14"/>
  <c r="R98" i="14"/>
  <c r="Q98" i="14"/>
  <c r="P98" i="14"/>
  <c r="O98" i="14"/>
  <c r="G98" i="14"/>
  <c r="M98" i="14" s="1"/>
  <c r="AI97" i="14"/>
  <c r="AA97" i="14"/>
  <c r="Z97" i="14"/>
  <c r="X97" i="14"/>
  <c r="W97" i="14"/>
  <c r="U97" i="14"/>
  <c r="T97" i="14"/>
  <c r="S97" i="14"/>
  <c r="R97" i="14"/>
  <c r="Q97" i="14"/>
  <c r="P97" i="14"/>
  <c r="O97" i="14"/>
  <c r="G97" i="14"/>
  <c r="M97" i="14" s="1"/>
  <c r="AI96" i="14"/>
  <c r="AA96" i="14"/>
  <c r="Z96" i="14"/>
  <c r="X96" i="14"/>
  <c r="W96" i="14"/>
  <c r="U96" i="14"/>
  <c r="T96" i="14"/>
  <c r="S96" i="14"/>
  <c r="R96" i="14"/>
  <c r="Q96" i="14"/>
  <c r="P96" i="14"/>
  <c r="O96" i="14"/>
  <c r="G96" i="14"/>
  <c r="M96" i="14" s="1"/>
  <c r="AI95" i="14"/>
  <c r="AA95" i="14"/>
  <c r="Z95" i="14"/>
  <c r="X95" i="14"/>
  <c r="W95" i="14"/>
  <c r="U95" i="14"/>
  <c r="T95" i="14"/>
  <c r="S95" i="14"/>
  <c r="R95" i="14"/>
  <c r="Q95" i="14"/>
  <c r="P95" i="14"/>
  <c r="O95" i="14"/>
  <c r="G95" i="14"/>
  <c r="M95" i="14" s="1"/>
  <c r="AI94" i="14"/>
  <c r="AA94" i="14"/>
  <c r="Z94" i="14"/>
  <c r="X94" i="14"/>
  <c r="W94" i="14"/>
  <c r="U94" i="14"/>
  <c r="T94" i="14"/>
  <c r="S94" i="14"/>
  <c r="R94" i="14"/>
  <c r="Q94" i="14"/>
  <c r="P94" i="14"/>
  <c r="O94" i="14"/>
  <c r="G94" i="14"/>
  <c r="M94" i="14" s="1"/>
  <c r="AI93" i="14"/>
  <c r="AA93" i="14"/>
  <c r="Z93" i="14"/>
  <c r="X93" i="14"/>
  <c r="W93" i="14"/>
  <c r="U93" i="14"/>
  <c r="T93" i="14"/>
  <c r="S93" i="14"/>
  <c r="R93" i="14"/>
  <c r="Q93" i="14"/>
  <c r="P93" i="14"/>
  <c r="O93" i="14"/>
  <c r="G93" i="14"/>
  <c r="AI92" i="14"/>
  <c r="AA92" i="14"/>
  <c r="Z92" i="14"/>
  <c r="X92" i="14"/>
  <c r="W92" i="14"/>
  <c r="U92" i="14"/>
  <c r="T92" i="14"/>
  <c r="S92" i="14"/>
  <c r="R92" i="14"/>
  <c r="Q92" i="14"/>
  <c r="P92" i="14"/>
  <c r="O92" i="14"/>
  <c r="G92" i="14"/>
  <c r="M92" i="14" s="1"/>
  <c r="AI91" i="14"/>
  <c r="AA91" i="14"/>
  <c r="Z91" i="14"/>
  <c r="X91" i="14"/>
  <c r="W91" i="14"/>
  <c r="U91" i="14"/>
  <c r="T91" i="14"/>
  <c r="S91" i="14"/>
  <c r="R91" i="14"/>
  <c r="Q91" i="14"/>
  <c r="P91" i="14"/>
  <c r="O91" i="14"/>
  <c r="G91" i="14"/>
  <c r="M91" i="14" s="1"/>
  <c r="AI90" i="14"/>
  <c r="AA90" i="14"/>
  <c r="Z90" i="14"/>
  <c r="X90" i="14"/>
  <c r="W90" i="14"/>
  <c r="U90" i="14"/>
  <c r="T90" i="14"/>
  <c r="S90" i="14"/>
  <c r="R90" i="14"/>
  <c r="Q90" i="14"/>
  <c r="P90" i="14"/>
  <c r="O90" i="14"/>
  <c r="G90" i="14"/>
  <c r="AI89" i="14"/>
  <c r="AA89" i="14"/>
  <c r="Z89" i="14"/>
  <c r="X89" i="14"/>
  <c r="W89" i="14"/>
  <c r="U89" i="14"/>
  <c r="T89" i="14"/>
  <c r="S89" i="14"/>
  <c r="R89" i="14"/>
  <c r="Q89" i="14"/>
  <c r="P89" i="14"/>
  <c r="O89" i="14"/>
  <c r="G89" i="14"/>
  <c r="M89" i="14" s="1"/>
  <c r="AI88" i="14"/>
  <c r="AA88" i="14"/>
  <c r="Z88" i="14"/>
  <c r="X88" i="14"/>
  <c r="W88" i="14"/>
  <c r="U88" i="14"/>
  <c r="T88" i="14"/>
  <c r="S88" i="14"/>
  <c r="R88" i="14"/>
  <c r="Q88" i="14"/>
  <c r="P88" i="14"/>
  <c r="O88" i="14"/>
  <c r="G88" i="14"/>
  <c r="M88" i="14" s="1"/>
  <c r="AI87" i="14"/>
  <c r="AA87" i="14"/>
  <c r="Z87" i="14"/>
  <c r="X87" i="14"/>
  <c r="W87" i="14"/>
  <c r="U87" i="14"/>
  <c r="T87" i="14"/>
  <c r="S87" i="14"/>
  <c r="R87" i="14"/>
  <c r="Q87" i="14"/>
  <c r="P87" i="14"/>
  <c r="O87" i="14"/>
  <c r="G87" i="14"/>
  <c r="M87" i="14" s="1"/>
  <c r="AI86" i="14"/>
  <c r="AA86" i="14"/>
  <c r="Z86" i="14"/>
  <c r="X86" i="14"/>
  <c r="W86" i="14"/>
  <c r="U86" i="14"/>
  <c r="T86" i="14"/>
  <c r="S86" i="14"/>
  <c r="R86" i="14"/>
  <c r="Q86" i="14"/>
  <c r="P86" i="14"/>
  <c r="O86" i="14"/>
  <c r="G86" i="14"/>
  <c r="M86" i="14" s="1"/>
  <c r="AI85" i="14"/>
  <c r="AA85" i="14"/>
  <c r="Z85" i="14"/>
  <c r="X85" i="14"/>
  <c r="W85" i="14"/>
  <c r="U85" i="14"/>
  <c r="T85" i="14"/>
  <c r="S85" i="14"/>
  <c r="R85" i="14"/>
  <c r="Q85" i="14"/>
  <c r="P85" i="14"/>
  <c r="O85" i="14"/>
  <c r="G85" i="14"/>
  <c r="M85" i="14" s="1"/>
  <c r="AI84" i="14"/>
  <c r="AA84" i="14"/>
  <c r="Z84" i="14"/>
  <c r="X84" i="14"/>
  <c r="W84" i="14"/>
  <c r="U84" i="14"/>
  <c r="T84" i="14"/>
  <c r="S84" i="14"/>
  <c r="R84" i="14"/>
  <c r="Q84" i="14"/>
  <c r="P84" i="14"/>
  <c r="O84" i="14"/>
  <c r="G84" i="14"/>
  <c r="M84" i="14" s="1"/>
  <c r="AI83" i="14"/>
  <c r="AA83" i="14"/>
  <c r="Z83" i="14"/>
  <c r="X83" i="14"/>
  <c r="W83" i="14"/>
  <c r="U83" i="14"/>
  <c r="T83" i="14"/>
  <c r="S83" i="14"/>
  <c r="R83" i="14"/>
  <c r="Q83" i="14"/>
  <c r="P83" i="14"/>
  <c r="O83" i="14"/>
  <c r="G83" i="14"/>
  <c r="M83" i="14" s="1"/>
  <c r="AI82" i="14"/>
  <c r="AA82" i="14"/>
  <c r="Z82" i="14"/>
  <c r="X82" i="14"/>
  <c r="W82" i="14"/>
  <c r="U82" i="14"/>
  <c r="T82" i="14"/>
  <c r="S82" i="14"/>
  <c r="R82" i="14"/>
  <c r="Q82" i="14"/>
  <c r="P82" i="14"/>
  <c r="O82" i="14"/>
  <c r="G82" i="14"/>
  <c r="AI81" i="14"/>
  <c r="X81" i="14"/>
  <c r="W81" i="14"/>
  <c r="U81" i="14"/>
  <c r="T81" i="14"/>
  <c r="S81" i="14"/>
  <c r="R81" i="14"/>
  <c r="Q81" i="14"/>
  <c r="P81" i="14"/>
  <c r="O81" i="14"/>
  <c r="G81" i="14"/>
  <c r="AI80" i="14"/>
  <c r="AI79" i="14"/>
  <c r="AI78" i="14"/>
  <c r="AI77" i="14"/>
  <c r="AI76" i="14"/>
  <c r="AI75" i="14"/>
  <c r="AI74" i="14"/>
  <c r="AI73" i="14"/>
  <c r="AI72" i="14"/>
  <c r="AI71" i="14"/>
  <c r="AI70" i="14"/>
  <c r="AI69" i="14"/>
  <c r="AI68" i="14"/>
  <c r="AI67" i="14"/>
  <c r="AI66" i="14"/>
  <c r="AI65" i="14"/>
  <c r="AI64" i="14"/>
  <c r="AI63" i="14"/>
  <c r="AI62" i="14"/>
  <c r="AI61" i="14"/>
  <c r="AI60" i="14"/>
  <c r="AI59" i="14"/>
  <c r="AI58" i="14"/>
  <c r="AI57" i="14"/>
  <c r="AI56" i="14"/>
  <c r="AI55" i="14"/>
  <c r="AI54" i="14"/>
  <c r="AI53" i="14"/>
  <c r="AI52" i="14"/>
  <c r="AI51" i="14"/>
  <c r="AI50" i="14"/>
  <c r="AI49" i="14"/>
  <c r="AI48" i="14"/>
  <c r="AI47" i="14"/>
  <c r="AI46" i="14"/>
  <c r="AI45" i="14"/>
  <c r="AI44" i="14"/>
  <c r="AI43" i="14"/>
  <c r="AI42" i="14"/>
  <c r="AI41" i="14"/>
  <c r="AI40" i="14"/>
  <c r="AI39" i="14"/>
  <c r="AI38" i="14"/>
  <c r="AI37" i="14"/>
  <c r="AI36" i="14"/>
  <c r="AI35" i="14"/>
  <c r="AI34" i="14"/>
  <c r="AI33" i="14"/>
  <c r="AI32" i="14"/>
  <c r="AI31" i="14"/>
  <c r="AI30" i="14"/>
  <c r="AI29" i="14"/>
  <c r="AI28" i="14"/>
  <c r="AI27" i="14"/>
  <c r="AI26" i="14"/>
  <c r="AI25" i="14"/>
  <c r="AI24" i="14"/>
  <c r="AI23" i="14"/>
  <c r="AI22" i="14"/>
  <c r="AI21" i="14"/>
  <c r="AI20" i="14"/>
  <c r="AI19" i="14"/>
  <c r="AI18" i="14"/>
  <c r="AI17" i="14"/>
  <c r="AI16" i="14"/>
  <c r="AI15" i="14"/>
  <c r="AI14" i="14"/>
  <c r="AI13" i="14"/>
  <c r="AI12" i="14"/>
  <c r="AI11" i="14"/>
  <c r="AI10" i="14"/>
  <c r="AI9" i="14"/>
  <c r="AI8" i="14"/>
  <c r="AI7" i="14"/>
  <c r="AH7" i="14"/>
  <c r="AH8" i="14" s="1"/>
  <c r="AI6" i="14"/>
  <c r="N5" i="14"/>
  <c r="N4" i="14"/>
  <c r="K4" i="14"/>
  <c r="K5" i="14" s="1"/>
  <c r="K6" i="14" s="1"/>
  <c r="K7" i="14" s="1"/>
  <c r="K8" i="14" s="1"/>
  <c r="K9" i="14" s="1"/>
  <c r="K10" i="14" s="1"/>
  <c r="K11" i="14" s="1"/>
  <c r="K12" i="14" s="1"/>
  <c r="K13" i="14" s="1"/>
  <c r="K14" i="14" s="1"/>
  <c r="K15" i="14" s="1"/>
  <c r="K16" i="14" s="1"/>
  <c r="K17" i="14" s="1"/>
  <c r="K18" i="14" s="1"/>
  <c r="K19" i="14" s="1"/>
  <c r="K20" i="14" s="1"/>
  <c r="K21" i="14" s="1"/>
  <c r="K22" i="14" s="1"/>
  <c r="K23" i="14" s="1"/>
  <c r="K24" i="14" s="1"/>
  <c r="K25" i="14" s="1"/>
  <c r="K26" i="14" s="1"/>
  <c r="K27" i="14" s="1"/>
  <c r="K28" i="14" s="1"/>
  <c r="K29" i="14" s="1"/>
  <c r="K30" i="14" s="1"/>
  <c r="K31" i="14" s="1"/>
  <c r="K32" i="14" s="1"/>
  <c r="K33" i="14" s="1"/>
  <c r="K34" i="14" s="1"/>
  <c r="K35" i="14" s="1"/>
  <c r="K36" i="14" s="1"/>
  <c r="K37" i="14" s="1"/>
  <c r="K38" i="14" s="1"/>
  <c r="K39" i="14" s="1"/>
  <c r="K40" i="14" s="1"/>
  <c r="K41" i="14" s="1"/>
  <c r="K42" i="14" s="1"/>
  <c r="K43" i="14" s="1"/>
  <c r="K44" i="14" s="1"/>
  <c r="K45" i="14" s="1"/>
  <c r="K46" i="14" s="1"/>
  <c r="K47" i="14" s="1"/>
  <c r="K48" i="14" s="1"/>
  <c r="K49" i="14" s="1"/>
  <c r="K50" i="14" s="1"/>
  <c r="K51" i="14" s="1"/>
  <c r="K52" i="14" s="1"/>
  <c r="K53" i="14" s="1"/>
  <c r="K54" i="14" s="1"/>
  <c r="K55" i="14" s="1"/>
  <c r="K56" i="14" s="1"/>
  <c r="K57" i="14" s="1"/>
  <c r="K58" i="14" s="1"/>
  <c r="K59" i="14" s="1"/>
  <c r="K60" i="14" s="1"/>
  <c r="K61" i="14" s="1"/>
  <c r="K62" i="14" s="1"/>
  <c r="K63" i="14" s="1"/>
  <c r="K64" i="14" s="1"/>
  <c r="K65" i="14" s="1"/>
  <c r="K66" i="14" s="1"/>
  <c r="K67" i="14" s="1"/>
  <c r="K68" i="14" s="1"/>
  <c r="K69" i="14" s="1"/>
  <c r="K70" i="14" s="1"/>
  <c r="K71" i="14" s="1"/>
  <c r="K72" i="14" s="1"/>
  <c r="K73" i="14" s="1"/>
  <c r="K74" i="14" s="1"/>
  <c r="K75" i="14" s="1"/>
  <c r="K76" i="14" s="1"/>
  <c r="K77" i="14" s="1"/>
  <c r="K78" i="14" s="1"/>
  <c r="K79" i="14" s="1"/>
  <c r="K80" i="14" s="1"/>
  <c r="K81" i="14" s="1"/>
  <c r="K82" i="14" s="1"/>
  <c r="K83" i="14" s="1"/>
  <c r="K84" i="14" s="1"/>
  <c r="K85" i="14" s="1"/>
  <c r="K86" i="14" s="1"/>
  <c r="K87" i="14" s="1"/>
  <c r="K88" i="14" s="1"/>
  <c r="K89" i="14" s="1"/>
  <c r="K90" i="14" s="1"/>
  <c r="K91" i="14" s="1"/>
  <c r="K92" i="14" s="1"/>
  <c r="K93" i="14" s="1"/>
  <c r="K94" i="14" s="1"/>
  <c r="K95" i="14" s="1"/>
  <c r="K96" i="14" s="1"/>
  <c r="K97" i="14" s="1"/>
  <c r="K98" i="14" s="1"/>
  <c r="K99" i="14" s="1"/>
  <c r="K100" i="14" s="1"/>
  <c r="K101" i="14" s="1"/>
  <c r="K102" i="14" s="1"/>
  <c r="J4" i="14"/>
  <c r="H4" i="14"/>
  <c r="H5" i="14" s="1"/>
  <c r="N3" i="14"/>
  <c r="G3" i="14"/>
  <c r="G4" i="14" s="1"/>
  <c r="AI102" i="13"/>
  <c r="X102" i="13"/>
  <c r="W102" i="13"/>
  <c r="U102" i="13"/>
  <c r="T102" i="13"/>
  <c r="S102" i="13"/>
  <c r="R102" i="13"/>
  <c r="Q102" i="13"/>
  <c r="P102" i="13"/>
  <c r="O102" i="13"/>
  <c r="G102" i="13"/>
  <c r="M102" i="13" s="1"/>
  <c r="AI101" i="13"/>
  <c r="AI100" i="13"/>
  <c r="AI99" i="13"/>
  <c r="AI98" i="13"/>
  <c r="AI97" i="13"/>
  <c r="AI96" i="13"/>
  <c r="AI95" i="13"/>
  <c r="AI94" i="13"/>
  <c r="AI93" i="13"/>
  <c r="AI92" i="13"/>
  <c r="AI91" i="13"/>
  <c r="AI90" i="13"/>
  <c r="AI89" i="13"/>
  <c r="AI88" i="13"/>
  <c r="AI87" i="13"/>
  <c r="AI86" i="13"/>
  <c r="AI85" i="13"/>
  <c r="AI84" i="13"/>
  <c r="AI83" i="13"/>
  <c r="AI82" i="13"/>
  <c r="AI81" i="13"/>
  <c r="AI80" i="13"/>
  <c r="AI79" i="13"/>
  <c r="AI78" i="13"/>
  <c r="AI77" i="13"/>
  <c r="AI76" i="13"/>
  <c r="AI75" i="13"/>
  <c r="AI74" i="13"/>
  <c r="AI73" i="13"/>
  <c r="AI72" i="13"/>
  <c r="AI71" i="13"/>
  <c r="AI70" i="13"/>
  <c r="AI69" i="13"/>
  <c r="AI68" i="13"/>
  <c r="AI67" i="13"/>
  <c r="AI66" i="13"/>
  <c r="AI65" i="13"/>
  <c r="AI64" i="13"/>
  <c r="AI63" i="13"/>
  <c r="AI62" i="13"/>
  <c r="AI61" i="13"/>
  <c r="AI60" i="13"/>
  <c r="AI59" i="13"/>
  <c r="AI58" i="13"/>
  <c r="AI57" i="13"/>
  <c r="AI56" i="13"/>
  <c r="AI55" i="13"/>
  <c r="AI54" i="13"/>
  <c r="AI53" i="13"/>
  <c r="AI52" i="13"/>
  <c r="AI51" i="13"/>
  <c r="AI50" i="13"/>
  <c r="AI49" i="13"/>
  <c r="AI48" i="13"/>
  <c r="AI47" i="13"/>
  <c r="AI46" i="13"/>
  <c r="AI45" i="13"/>
  <c r="AI44" i="13"/>
  <c r="AI43" i="13"/>
  <c r="AI42" i="13"/>
  <c r="AI41" i="13"/>
  <c r="AI40" i="13"/>
  <c r="AI39" i="13"/>
  <c r="AI38" i="13"/>
  <c r="AI37" i="13"/>
  <c r="AI36" i="13"/>
  <c r="AI35" i="13"/>
  <c r="AI34" i="13"/>
  <c r="AI33" i="13"/>
  <c r="AI32" i="13"/>
  <c r="AI31" i="13"/>
  <c r="AI30" i="13"/>
  <c r="AI29" i="13"/>
  <c r="AI28" i="13"/>
  <c r="AI27" i="13"/>
  <c r="AI26" i="13"/>
  <c r="AI25" i="13"/>
  <c r="AI24" i="13"/>
  <c r="AI23" i="13"/>
  <c r="AI22" i="13"/>
  <c r="AI21" i="13"/>
  <c r="AI20" i="13"/>
  <c r="AI19" i="13"/>
  <c r="AI18" i="13"/>
  <c r="AI17" i="13"/>
  <c r="AI16" i="13"/>
  <c r="AI15" i="13"/>
  <c r="AI14" i="13"/>
  <c r="AI13" i="13"/>
  <c r="AI12" i="13"/>
  <c r="AI11" i="13"/>
  <c r="AI10" i="13"/>
  <c r="AI9" i="13"/>
  <c r="AI8" i="13"/>
  <c r="AH8" i="13"/>
  <c r="AH9" i="13" s="1"/>
  <c r="AI7" i="13"/>
  <c r="AH7" i="13"/>
  <c r="AI6" i="13"/>
  <c r="N5" i="13"/>
  <c r="J5" i="13"/>
  <c r="J6" i="13" s="1"/>
  <c r="N4" i="13"/>
  <c r="K4" i="13"/>
  <c r="K5" i="13" s="1"/>
  <c r="K6" i="13" s="1"/>
  <c r="K7" i="13" s="1"/>
  <c r="K8" i="13" s="1"/>
  <c r="K9" i="13" s="1"/>
  <c r="K10" i="13" s="1"/>
  <c r="K11" i="13" s="1"/>
  <c r="K12" i="13" s="1"/>
  <c r="K13" i="13" s="1"/>
  <c r="K14" i="13" s="1"/>
  <c r="K15" i="13" s="1"/>
  <c r="K16" i="13" s="1"/>
  <c r="K17" i="13" s="1"/>
  <c r="K18" i="13" s="1"/>
  <c r="K19" i="13" s="1"/>
  <c r="K20" i="13" s="1"/>
  <c r="K21" i="13" s="1"/>
  <c r="K22" i="13" s="1"/>
  <c r="K23" i="13" s="1"/>
  <c r="K24" i="13" s="1"/>
  <c r="K25" i="13" s="1"/>
  <c r="K26" i="13" s="1"/>
  <c r="K27" i="13" s="1"/>
  <c r="K28" i="13" s="1"/>
  <c r="K29" i="13" s="1"/>
  <c r="K30" i="13" s="1"/>
  <c r="K31" i="13" s="1"/>
  <c r="K32" i="13" s="1"/>
  <c r="K33" i="13" s="1"/>
  <c r="K34" i="13" s="1"/>
  <c r="K35" i="13" s="1"/>
  <c r="K36" i="13" s="1"/>
  <c r="K37" i="13" s="1"/>
  <c r="K38" i="13" s="1"/>
  <c r="K39" i="13" s="1"/>
  <c r="K40" i="13" s="1"/>
  <c r="K41" i="13" s="1"/>
  <c r="K42" i="13" s="1"/>
  <c r="K43" i="13" s="1"/>
  <c r="K44" i="13" s="1"/>
  <c r="K45" i="13" s="1"/>
  <c r="K46" i="13" s="1"/>
  <c r="K47" i="13" s="1"/>
  <c r="K48" i="13" s="1"/>
  <c r="K49" i="13" s="1"/>
  <c r="K50" i="13" s="1"/>
  <c r="K51" i="13" s="1"/>
  <c r="K52" i="13" s="1"/>
  <c r="K53" i="13" s="1"/>
  <c r="K54" i="13" s="1"/>
  <c r="K55" i="13" s="1"/>
  <c r="K56" i="13" s="1"/>
  <c r="K57" i="13" s="1"/>
  <c r="K58" i="13" s="1"/>
  <c r="K59" i="13" s="1"/>
  <c r="K60" i="13" s="1"/>
  <c r="K61" i="13" s="1"/>
  <c r="K62" i="13" s="1"/>
  <c r="K63" i="13" s="1"/>
  <c r="K64" i="13" s="1"/>
  <c r="K65" i="13" s="1"/>
  <c r="K66" i="13" s="1"/>
  <c r="K67" i="13" s="1"/>
  <c r="K68" i="13" s="1"/>
  <c r="K69" i="13" s="1"/>
  <c r="K70" i="13" s="1"/>
  <c r="K71" i="13" s="1"/>
  <c r="K72" i="13" s="1"/>
  <c r="K73" i="13" s="1"/>
  <c r="K74" i="13" s="1"/>
  <c r="K75" i="13" s="1"/>
  <c r="K76" i="13" s="1"/>
  <c r="K77" i="13" s="1"/>
  <c r="K78" i="13" s="1"/>
  <c r="K79" i="13" s="1"/>
  <c r="K80" i="13" s="1"/>
  <c r="K81" i="13" s="1"/>
  <c r="K82" i="13" s="1"/>
  <c r="K83" i="13" s="1"/>
  <c r="K84" i="13" s="1"/>
  <c r="K85" i="13" s="1"/>
  <c r="K86" i="13" s="1"/>
  <c r="K87" i="13" s="1"/>
  <c r="K88" i="13" s="1"/>
  <c r="K89" i="13" s="1"/>
  <c r="K90" i="13" s="1"/>
  <c r="K91" i="13" s="1"/>
  <c r="K92" i="13" s="1"/>
  <c r="K93" i="13" s="1"/>
  <c r="K94" i="13" s="1"/>
  <c r="K95" i="13" s="1"/>
  <c r="K96" i="13" s="1"/>
  <c r="K97" i="13" s="1"/>
  <c r="K98" i="13" s="1"/>
  <c r="K99" i="13" s="1"/>
  <c r="K100" i="13" s="1"/>
  <c r="K101" i="13" s="1"/>
  <c r="K102" i="13" s="1"/>
  <c r="J4" i="13"/>
  <c r="H4" i="13"/>
  <c r="H5" i="13" s="1"/>
  <c r="T3" i="13"/>
  <c r="P3" i="13"/>
  <c r="N3" i="13"/>
  <c r="G3" i="13"/>
  <c r="O3" i="13" s="1"/>
  <c r="U3" i="13"/>
  <c r="AI102" i="12"/>
  <c r="AA102" i="12"/>
  <c r="Z102" i="12"/>
  <c r="X102" i="12"/>
  <c r="W102" i="12"/>
  <c r="U102" i="12"/>
  <c r="T102" i="12"/>
  <c r="S102" i="12"/>
  <c r="R102" i="12"/>
  <c r="Q102" i="12"/>
  <c r="P102" i="12"/>
  <c r="O102" i="12"/>
  <c r="G102" i="12"/>
  <c r="M102" i="12" s="1"/>
  <c r="AI101" i="12"/>
  <c r="AA101" i="12"/>
  <c r="Z101" i="12"/>
  <c r="X101" i="12"/>
  <c r="W101" i="12"/>
  <c r="U101" i="12"/>
  <c r="T101" i="12"/>
  <c r="S101" i="12"/>
  <c r="R101" i="12"/>
  <c r="Q101" i="12"/>
  <c r="P101" i="12"/>
  <c r="O101" i="12"/>
  <c r="G101" i="12"/>
  <c r="M101" i="12" s="1"/>
  <c r="AI100" i="12"/>
  <c r="AA100" i="12"/>
  <c r="Z100" i="12"/>
  <c r="X100" i="12"/>
  <c r="W100" i="12"/>
  <c r="U100" i="12"/>
  <c r="T100" i="12"/>
  <c r="S100" i="12"/>
  <c r="R100" i="12"/>
  <c r="Q100" i="12"/>
  <c r="P100" i="12"/>
  <c r="O100" i="12"/>
  <c r="G100" i="12"/>
  <c r="M100" i="12" s="1"/>
  <c r="AI99" i="12"/>
  <c r="AA99" i="12"/>
  <c r="Z99" i="12"/>
  <c r="X99" i="12"/>
  <c r="W99" i="12"/>
  <c r="U99" i="12"/>
  <c r="T99" i="12"/>
  <c r="S99" i="12"/>
  <c r="R99" i="12"/>
  <c r="Q99" i="12"/>
  <c r="P99" i="12"/>
  <c r="O99" i="12"/>
  <c r="G99" i="12"/>
  <c r="D99" i="12" s="1"/>
  <c r="AI98" i="12"/>
  <c r="AA98" i="12"/>
  <c r="Z98" i="12"/>
  <c r="X98" i="12"/>
  <c r="W98" i="12"/>
  <c r="U98" i="12"/>
  <c r="T98" i="12"/>
  <c r="S98" i="12"/>
  <c r="R98" i="12"/>
  <c r="Q98" i="12"/>
  <c r="P98" i="12"/>
  <c r="O98" i="12"/>
  <c r="G98" i="12"/>
  <c r="M98" i="12" s="1"/>
  <c r="AI97" i="12"/>
  <c r="AA97" i="12"/>
  <c r="Z97" i="12"/>
  <c r="X97" i="12"/>
  <c r="W97" i="12"/>
  <c r="U97" i="12"/>
  <c r="T97" i="12"/>
  <c r="S97" i="12"/>
  <c r="R97" i="12"/>
  <c r="Q97" i="12"/>
  <c r="P97" i="12"/>
  <c r="O97" i="12"/>
  <c r="G97" i="12"/>
  <c r="M97" i="12" s="1"/>
  <c r="AI96" i="12"/>
  <c r="AA96" i="12"/>
  <c r="Z96" i="12"/>
  <c r="X96" i="12"/>
  <c r="W96" i="12"/>
  <c r="U96" i="12"/>
  <c r="T96" i="12"/>
  <c r="S96" i="12"/>
  <c r="R96" i="12"/>
  <c r="Q96" i="12"/>
  <c r="P96" i="12"/>
  <c r="O96" i="12"/>
  <c r="G96" i="12"/>
  <c r="M96" i="12" s="1"/>
  <c r="AI95" i="12"/>
  <c r="AA95" i="12"/>
  <c r="Z95" i="12"/>
  <c r="X95" i="12"/>
  <c r="W95" i="12"/>
  <c r="U95" i="12"/>
  <c r="T95" i="12"/>
  <c r="S95" i="12"/>
  <c r="R95" i="12"/>
  <c r="Q95" i="12"/>
  <c r="P95" i="12"/>
  <c r="O95" i="12"/>
  <c r="G95" i="12"/>
  <c r="M95" i="12" s="1"/>
  <c r="AI94" i="12"/>
  <c r="AA94" i="12"/>
  <c r="Z94" i="12"/>
  <c r="X94" i="12"/>
  <c r="W94" i="12"/>
  <c r="U94" i="12"/>
  <c r="T94" i="12"/>
  <c r="S94" i="12"/>
  <c r="R94" i="12"/>
  <c r="Q94" i="12"/>
  <c r="P94" i="12"/>
  <c r="O94" i="12"/>
  <c r="G94" i="12"/>
  <c r="M94" i="12" s="1"/>
  <c r="AI93" i="12"/>
  <c r="AA93" i="12"/>
  <c r="Z93" i="12"/>
  <c r="X93" i="12"/>
  <c r="W93" i="12"/>
  <c r="U93" i="12"/>
  <c r="T93" i="12"/>
  <c r="S93" i="12"/>
  <c r="R93" i="12"/>
  <c r="Q93" i="12"/>
  <c r="P93" i="12"/>
  <c r="O93" i="12"/>
  <c r="G93" i="12"/>
  <c r="M93" i="12" s="1"/>
  <c r="AI92" i="12"/>
  <c r="AA92" i="12"/>
  <c r="Z92" i="12"/>
  <c r="X92" i="12"/>
  <c r="W92" i="12"/>
  <c r="U92" i="12"/>
  <c r="T92" i="12"/>
  <c r="S92" i="12"/>
  <c r="R92" i="12"/>
  <c r="Q92" i="12"/>
  <c r="P92" i="12"/>
  <c r="O92" i="12"/>
  <c r="G92" i="12"/>
  <c r="M92" i="12" s="1"/>
  <c r="AI91" i="12"/>
  <c r="AA91" i="12"/>
  <c r="Z91" i="12"/>
  <c r="X91" i="12"/>
  <c r="W91" i="12"/>
  <c r="U91" i="12"/>
  <c r="T91" i="12"/>
  <c r="S91" i="12"/>
  <c r="R91" i="12"/>
  <c r="Q91" i="12"/>
  <c r="P91" i="12"/>
  <c r="O91" i="12"/>
  <c r="G91" i="12"/>
  <c r="M91" i="12" s="1"/>
  <c r="AI90" i="12"/>
  <c r="AA90" i="12"/>
  <c r="Z90" i="12"/>
  <c r="X90" i="12"/>
  <c r="W90" i="12"/>
  <c r="U90" i="12"/>
  <c r="T90" i="12"/>
  <c r="S90" i="12"/>
  <c r="R90" i="12"/>
  <c r="Q90" i="12"/>
  <c r="P90" i="12"/>
  <c r="O90" i="12"/>
  <c r="G90" i="12"/>
  <c r="M90" i="12" s="1"/>
  <c r="AI89" i="12"/>
  <c r="AA89" i="12"/>
  <c r="Z89" i="12"/>
  <c r="X89" i="12"/>
  <c r="W89" i="12"/>
  <c r="U89" i="12"/>
  <c r="T89" i="12"/>
  <c r="S89" i="12"/>
  <c r="R89" i="12"/>
  <c r="Q89" i="12"/>
  <c r="P89" i="12"/>
  <c r="O89" i="12"/>
  <c r="G89" i="12"/>
  <c r="M89" i="12" s="1"/>
  <c r="AI88" i="12"/>
  <c r="AA88" i="12"/>
  <c r="Z88" i="12"/>
  <c r="X88" i="12"/>
  <c r="W88" i="12"/>
  <c r="U88" i="12"/>
  <c r="T88" i="12"/>
  <c r="S88" i="12"/>
  <c r="R88" i="12"/>
  <c r="Q88" i="12"/>
  <c r="P88" i="12"/>
  <c r="O88" i="12"/>
  <c r="G88" i="12"/>
  <c r="M88" i="12" s="1"/>
  <c r="AI87" i="12"/>
  <c r="AA87" i="12"/>
  <c r="Z87" i="12"/>
  <c r="X87" i="12"/>
  <c r="W87" i="12"/>
  <c r="U87" i="12"/>
  <c r="T87" i="12"/>
  <c r="S87" i="12"/>
  <c r="R87" i="12"/>
  <c r="Q87" i="12"/>
  <c r="P87" i="12"/>
  <c r="O87" i="12"/>
  <c r="G87" i="12"/>
  <c r="D87" i="12" s="1"/>
  <c r="AI86" i="12"/>
  <c r="AA86" i="12"/>
  <c r="Z86" i="12"/>
  <c r="X86" i="12"/>
  <c r="W86" i="12"/>
  <c r="U86" i="12"/>
  <c r="T86" i="12"/>
  <c r="S86" i="12"/>
  <c r="R86" i="12"/>
  <c r="Q86" i="12"/>
  <c r="P86" i="12"/>
  <c r="O86" i="12"/>
  <c r="G86" i="12"/>
  <c r="M86" i="12" s="1"/>
  <c r="AI85" i="12"/>
  <c r="AA85" i="12"/>
  <c r="Z85" i="12"/>
  <c r="X85" i="12"/>
  <c r="W85" i="12"/>
  <c r="U85" i="12"/>
  <c r="T85" i="12"/>
  <c r="S85" i="12"/>
  <c r="R85" i="12"/>
  <c r="Q85" i="12"/>
  <c r="P85" i="12"/>
  <c r="O85" i="12"/>
  <c r="G85" i="12"/>
  <c r="M85" i="12" s="1"/>
  <c r="AI84" i="12"/>
  <c r="AA84" i="12"/>
  <c r="Z84" i="12"/>
  <c r="X84" i="12"/>
  <c r="W84" i="12"/>
  <c r="U84" i="12"/>
  <c r="T84" i="12"/>
  <c r="S84" i="12"/>
  <c r="R84" i="12"/>
  <c r="Q84" i="12"/>
  <c r="P84" i="12"/>
  <c r="O84" i="12"/>
  <c r="G84" i="12"/>
  <c r="M84" i="12" s="1"/>
  <c r="AI83" i="12"/>
  <c r="AA83" i="12"/>
  <c r="Z83" i="12"/>
  <c r="X83" i="12"/>
  <c r="W83" i="12"/>
  <c r="U83" i="12"/>
  <c r="T83" i="12"/>
  <c r="S83" i="12"/>
  <c r="R83" i="12"/>
  <c r="Q83" i="12"/>
  <c r="P83" i="12"/>
  <c r="O83" i="12"/>
  <c r="G83" i="12"/>
  <c r="M83" i="12" s="1"/>
  <c r="AI82" i="12"/>
  <c r="AA82" i="12"/>
  <c r="Z82" i="12"/>
  <c r="X82" i="12"/>
  <c r="W82" i="12"/>
  <c r="U82" i="12"/>
  <c r="T82" i="12"/>
  <c r="S82" i="12"/>
  <c r="R82" i="12"/>
  <c r="Q82" i="12"/>
  <c r="P82" i="12"/>
  <c r="O82" i="12"/>
  <c r="G82" i="12"/>
  <c r="M82" i="12" s="1"/>
  <c r="AI81" i="12"/>
  <c r="X81" i="12"/>
  <c r="W81" i="12"/>
  <c r="U81" i="12"/>
  <c r="T81" i="12"/>
  <c r="S81" i="12"/>
  <c r="R81" i="12"/>
  <c r="Q81" i="12"/>
  <c r="P81" i="12"/>
  <c r="O81" i="12"/>
  <c r="G81" i="12"/>
  <c r="M81" i="12" s="1"/>
  <c r="AI80" i="12"/>
  <c r="AI79" i="12"/>
  <c r="AI78" i="12"/>
  <c r="AI77" i="12"/>
  <c r="AI76" i="12"/>
  <c r="AI75" i="12"/>
  <c r="AI74" i="12"/>
  <c r="AI73" i="12"/>
  <c r="AI72" i="12"/>
  <c r="AI71" i="12"/>
  <c r="AI70" i="12"/>
  <c r="AI69" i="12"/>
  <c r="AI68" i="12"/>
  <c r="AI67" i="12"/>
  <c r="AI66" i="12"/>
  <c r="AI65" i="12"/>
  <c r="AI64" i="12"/>
  <c r="AI63" i="12"/>
  <c r="AI62" i="12"/>
  <c r="AI61" i="12"/>
  <c r="AI60" i="12"/>
  <c r="AI59" i="12"/>
  <c r="AI58" i="12"/>
  <c r="AI57" i="12"/>
  <c r="AI56" i="12"/>
  <c r="AI55" i="12"/>
  <c r="AI54" i="12"/>
  <c r="AI53" i="12"/>
  <c r="AI52" i="12"/>
  <c r="AI51" i="12"/>
  <c r="AI50" i="12"/>
  <c r="AI49" i="12"/>
  <c r="AI48" i="12"/>
  <c r="AI47" i="12"/>
  <c r="AI46" i="12"/>
  <c r="AI45" i="12"/>
  <c r="AI44" i="12"/>
  <c r="AI43" i="12"/>
  <c r="AI42" i="12"/>
  <c r="AI41" i="12"/>
  <c r="AI40" i="12"/>
  <c r="AI39" i="12"/>
  <c r="AI38" i="12"/>
  <c r="AI37" i="12"/>
  <c r="AI36" i="12"/>
  <c r="AI35" i="12"/>
  <c r="AI34" i="12"/>
  <c r="AI33" i="12"/>
  <c r="AI32" i="12"/>
  <c r="AI31" i="12"/>
  <c r="AI30" i="12"/>
  <c r="AI29" i="12"/>
  <c r="AI28" i="12"/>
  <c r="AI27" i="12"/>
  <c r="AI26" i="12"/>
  <c r="AI25" i="12"/>
  <c r="AI24" i="12"/>
  <c r="AI23" i="12"/>
  <c r="AI22" i="12"/>
  <c r="AI21" i="12"/>
  <c r="AI20" i="12"/>
  <c r="AI19" i="12"/>
  <c r="AI18" i="12"/>
  <c r="AI17" i="12"/>
  <c r="AI16" i="12"/>
  <c r="AI15" i="12"/>
  <c r="AI14" i="12"/>
  <c r="AI13" i="12"/>
  <c r="AI12" i="12"/>
  <c r="AI11" i="12"/>
  <c r="AI10" i="12"/>
  <c r="AI9" i="12"/>
  <c r="AI8" i="12"/>
  <c r="AI7" i="12"/>
  <c r="AH7" i="12"/>
  <c r="AH8" i="12" s="1"/>
  <c r="AI6" i="12"/>
  <c r="K6" i="12"/>
  <c r="K7" i="12" s="1"/>
  <c r="K8" i="12" s="1"/>
  <c r="K9" i="12" s="1"/>
  <c r="K10" i="12" s="1"/>
  <c r="K11" i="12" s="1"/>
  <c r="K12" i="12" s="1"/>
  <c r="K13" i="12" s="1"/>
  <c r="K14" i="12" s="1"/>
  <c r="K15" i="12" s="1"/>
  <c r="K16" i="12" s="1"/>
  <c r="K17" i="12" s="1"/>
  <c r="K18" i="12" s="1"/>
  <c r="K19" i="12" s="1"/>
  <c r="K20" i="12" s="1"/>
  <c r="K21" i="12" s="1"/>
  <c r="K22" i="12" s="1"/>
  <c r="K23" i="12" s="1"/>
  <c r="K24" i="12" s="1"/>
  <c r="K25" i="12" s="1"/>
  <c r="K26" i="12" s="1"/>
  <c r="K27" i="12" s="1"/>
  <c r="K28" i="12" s="1"/>
  <c r="K29" i="12" s="1"/>
  <c r="K30" i="12" s="1"/>
  <c r="K31" i="12" s="1"/>
  <c r="K32" i="12" s="1"/>
  <c r="K33" i="12" s="1"/>
  <c r="K34" i="12" s="1"/>
  <c r="K35" i="12" s="1"/>
  <c r="K36" i="12" s="1"/>
  <c r="K37" i="12" s="1"/>
  <c r="K38" i="12" s="1"/>
  <c r="K39" i="12" s="1"/>
  <c r="K40" i="12" s="1"/>
  <c r="K41" i="12" s="1"/>
  <c r="K42" i="12" s="1"/>
  <c r="K43" i="12" s="1"/>
  <c r="K44" i="12" s="1"/>
  <c r="K45" i="12" s="1"/>
  <c r="K46" i="12" s="1"/>
  <c r="K47" i="12" s="1"/>
  <c r="K48" i="12" s="1"/>
  <c r="K49" i="12" s="1"/>
  <c r="K50" i="12" s="1"/>
  <c r="K51" i="12" s="1"/>
  <c r="K52" i="12" s="1"/>
  <c r="K53" i="12" s="1"/>
  <c r="K54" i="12" s="1"/>
  <c r="K55" i="12" s="1"/>
  <c r="K56" i="12" s="1"/>
  <c r="K57" i="12" s="1"/>
  <c r="K58" i="12" s="1"/>
  <c r="K59" i="12" s="1"/>
  <c r="K60" i="12" s="1"/>
  <c r="K61" i="12" s="1"/>
  <c r="K62" i="12" s="1"/>
  <c r="K63" i="12" s="1"/>
  <c r="K64" i="12" s="1"/>
  <c r="K65" i="12" s="1"/>
  <c r="K66" i="12" s="1"/>
  <c r="K67" i="12" s="1"/>
  <c r="K68" i="12" s="1"/>
  <c r="K69" i="12" s="1"/>
  <c r="K70" i="12" s="1"/>
  <c r="K71" i="12" s="1"/>
  <c r="K72" i="12" s="1"/>
  <c r="K73" i="12" s="1"/>
  <c r="K74" i="12" s="1"/>
  <c r="K75" i="12" s="1"/>
  <c r="K76" i="12" s="1"/>
  <c r="K77" i="12" s="1"/>
  <c r="K78" i="12" s="1"/>
  <c r="K79" i="12" s="1"/>
  <c r="K80" i="12" s="1"/>
  <c r="K81" i="12" s="1"/>
  <c r="K82" i="12" s="1"/>
  <c r="K83" i="12" s="1"/>
  <c r="K84" i="12" s="1"/>
  <c r="K85" i="12" s="1"/>
  <c r="K86" i="12" s="1"/>
  <c r="K87" i="12" s="1"/>
  <c r="K88" i="12" s="1"/>
  <c r="K89" i="12" s="1"/>
  <c r="K90" i="12" s="1"/>
  <c r="K91" i="12" s="1"/>
  <c r="K92" i="12" s="1"/>
  <c r="K93" i="12" s="1"/>
  <c r="K94" i="12" s="1"/>
  <c r="K95" i="12" s="1"/>
  <c r="K96" i="12" s="1"/>
  <c r="K97" i="12" s="1"/>
  <c r="K98" i="12" s="1"/>
  <c r="K99" i="12" s="1"/>
  <c r="K100" i="12" s="1"/>
  <c r="K101" i="12" s="1"/>
  <c r="K102" i="12" s="1"/>
  <c r="N5" i="12"/>
  <c r="N4" i="12"/>
  <c r="K4" i="12"/>
  <c r="K5" i="12" s="1"/>
  <c r="J4" i="12"/>
  <c r="H4" i="12"/>
  <c r="T3" i="12"/>
  <c r="Q3" i="12"/>
  <c r="O3" i="12"/>
  <c r="N3" i="12"/>
  <c r="G3" i="12"/>
  <c r="AA3" i="12" s="1"/>
  <c r="U3" i="12"/>
  <c r="AI102" i="11"/>
  <c r="AI101" i="11"/>
  <c r="AI100" i="11"/>
  <c r="AI99" i="11"/>
  <c r="AI98" i="11"/>
  <c r="AI97" i="11"/>
  <c r="AI96" i="11"/>
  <c r="AI95" i="11"/>
  <c r="AI94" i="11"/>
  <c r="AI93" i="11"/>
  <c r="AI92" i="11"/>
  <c r="AI91" i="11"/>
  <c r="AI90" i="11"/>
  <c r="AI89" i="11"/>
  <c r="AI88" i="11"/>
  <c r="AI87" i="11"/>
  <c r="AI86" i="11"/>
  <c r="AI85" i="11"/>
  <c r="AI84" i="11"/>
  <c r="AI83" i="11"/>
  <c r="AI82" i="11"/>
  <c r="AI81" i="11"/>
  <c r="AI80" i="11"/>
  <c r="AI79" i="11"/>
  <c r="AI78" i="11"/>
  <c r="AI77" i="11"/>
  <c r="AI76" i="11"/>
  <c r="AI75" i="11"/>
  <c r="AI74" i="11"/>
  <c r="AI73" i="11"/>
  <c r="AI72" i="11"/>
  <c r="AI71" i="11"/>
  <c r="AI70" i="11"/>
  <c r="AI69" i="11"/>
  <c r="AI68" i="11"/>
  <c r="AI67" i="11"/>
  <c r="AI66" i="11"/>
  <c r="AI65" i="11"/>
  <c r="AI64" i="11"/>
  <c r="AI63" i="11"/>
  <c r="AI62" i="11"/>
  <c r="AI61" i="11"/>
  <c r="AI60" i="11"/>
  <c r="AI59" i="11"/>
  <c r="AI58" i="11"/>
  <c r="AI57" i="11"/>
  <c r="AI56" i="11"/>
  <c r="AI55" i="11"/>
  <c r="AI54" i="11"/>
  <c r="AI53" i="11"/>
  <c r="AI52" i="11"/>
  <c r="AI51" i="11"/>
  <c r="AI50" i="11"/>
  <c r="AI49" i="11"/>
  <c r="AI48" i="11"/>
  <c r="AI47" i="11"/>
  <c r="AI46" i="11"/>
  <c r="AI45" i="11"/>
  <c r="AI44" i="11"/>
  <c r="AI43" i="11"/>
  <c r="AI42" i="11"/>
  <c r="AI41" i="11"/>
  <c r="AI40" i="11"/>
  <c r="AI39" i="11"/>
  <c r="AI38" i="11"/>
  <c r="AI37" i="11"/>
  <c r="AI36" i="11"/>
  <c r="AI35" i="11"/>
  <c r="AI34" i="11"/>
  <c r="AI33" i="11"/>
  <c r="AI32" i="11"/>
  <c r="AI31" i="11"/>
  <c r="AI30" i="11"/>
  <c r="AI29" i="11"/>
  <c r="AI28" i="11"/>
  <c r="AI27" i="11"/>
  <c r="AI26" i="11"/>
  <c r="AI25" i="11"/>
  <c r="AI24" i="11"/>
  <c r="AI23" i="11"/>
  <c r="AI22" i="11"/>
  <c r="AI21" i="11"/>
  <c r="AI20" i="11"/>
  <c r="AI19" i="11"/>
  <c r="AI18" i="11"/>
  <c r="AI17" i="11"/>
  <c r="AI16" i="11"/>
  <c r="AI15" i="11"/>
  <c r="AI14" i="11"/>
  <c r="AI13" i="11"/>
  <c r="AI12" i="11"/>
  <c r="AI11" i="11"/>
  <c r="AI10" i="11"/>
  <c r="AI9" i="11"/>
  <c r="AI8" i="11"/>
  <c r="AI7" i="11"/>
  <c r="AH7" i="11"/>
  <c r="AH8" i="11" s="1"/>
  <c r="AI6" i="11"/>
  <c r="N5" i="11"/>
  <c r="N4" i="11"/>
  <c r="K4" i="11"/>
  <c r="K5" i="11" s="1"/>
  <c r="K6" i="11" s="1"/>
  <c r="K7" i="11" s="1"/>
  <c r="K8" i="11" s="1"/>
  <c r="K9" i="11" s="1"/>
  <c r="K10" i="11" s="1"/>
  <c r="K11" i="11" s="1"/>
  <c r="K12" i="11" s="1"/>
  <c r="K13" i="11" s="1"/>
  <c r="K14" i="11" s="1"/>
  <c r="K15" i="11" s="1"/>
  <c r="K16" i="11" s="1"/>
  <c r="K17" i="11" s="1"/>
  <c r="K18" i="11" s="1"/>
  <c r="K19" i="11" s="1"/>
  <c r="K20" i="11" s="1"/>
  <c r="K21" i="11" s="1"/>
  <c r="K22" i="11" s="1"/>
  <c r="K23" i="11" s="1"/>
  <c r="K24" i="11" s="1"/>
  <c r="K25" i="11" s="1"/>
  <c r="K26" i="11" s="1"/>
  <c r="K27" i="11" s="1"/>
  <c r="K28" i="11" s="1"/>
  <c r="K29" i="11" s="1"/>
  <c r="K30" i="11" s="1"/>
  <c r="K31" i="11" s="1"/>
  <c r="K32" i="11" s="1"/>
  <c r="K33" i="11" s="1"/>
  <c r="K34" i="11" s="1"/>
  <c r="K35" i="11" s="1"/>
  <c r="K36" i="11" s="1"/>
  <c r="K37" i="11" s="1"/>
  <c r="K38" i="11" s="1"/>
  <c r="K39" i="11" s="1"/>
  <c r="K40" i="11" s="1"/>
  <c r="K41" i="11" s="1"/>
  <c r="K42" i="11" s="1"/>
  <c r="K43" i="11" s="1"/>
  <c r="K44" i="11" s="1"/>
  <c r="K45" i="11" s="1"/>
  <c r="K46" i="11" s="1"/>
  <c r="K47" i="11" s="1"/>
  <c r="K48" i="11" s="1"/>
  <c r="K49" i="11" s="1"/>
  <c r="K50" i="11" s="1"/>
  <c r="K51" i="11" s="1"/>
  <c r="K52" i="11" s="1"/>
  <c r="K53" i="11" s="1"/>
  <c r="K54" i="11" s="1"/>
  <c r="K55" i="11" s="1"/>
  <c r="K56" i="11" s="1"/>
  <c r="K57" i="11" s="1"/>
  <c r="K58" i="11" s="1"/>
  <c r="K59" i="11" s="1"/>
  <c r="K60" i="11" s="1"/>
  <c r="K61" i="11" s="1"/>
  <c r="K62" i="11" s="1"/>
  <c r="K63" i="11" s="1"/>
  <c r="K64" i="11" s="1"/>
  <c r="K65" i="11" s="1"/>
  <c r="K66" i="11" s="1"/>
  <c r="K67" i="11" s="1"/>
  <c r="K68" i="11" s="1"/>
  <c r="K69" i="11" s="1"/>
  <c r="K70" i="11" s="1"/>
  <c r="K71" i="11" s="1"/>
  <c r="K72" i="11" s="1"/>
  <c r="K73" i="11" s="1"/>
  <c r="K74" i="11" s="1"/>
  <c r="K75" i="11" s="1"/>
  <c r="K76" i="11" s="1"/>
  <c r="K77" i="11" s="1"/>
  <c r="K78" i="11" s="1"/>
  <c r="K79" i="11" s="1"/>
  <c r="K80" i="11" s="1"/>
  <c r="K81" i="11" s="1"/>
  <c r="K82" i="11" s="1"/>
  <c r="K83" i="11" s="1"/>
  <c r="K84" i="11" s="1"/>
  <c r="K85" i="11" s="1"/>
  <c r="K86" i="11" s="1"/>
  <c r="K87" i="11" s="1"/>
  <c r="K88" i="11" s="1"/>
  <c r="K89" i="11" s="1"/>
  <c r="K90" i="11" s="1"/>
  <c r="K91" i="11" s="1"/>
  <c r="K92" i="11" s="1"/>
  <c r="K93" i="11" s="1"/>
  <c r="K94" i="11" s="1"/>
  <c r="K95" i="11" s="1"/>
  <c r="K96" i="11" s="1"/>
  <c r="K97" i="11" s="1"/>
  <c r="K98" i="11" s="1"/>
  <c r="K99" i="11" s="1"/>
  <c r="K100" i="11" s="1"/>
  <c r="K101" i="11" s="1"/>
  <c r="K102" i="11" s="1"/>
  <c r="J4" i="11"/>
  <c r="H4" i="11"/>
  <c r="T3" i="11"/>
  <c r="Q3" i="11"/>
  <c r="P3" i="11"/>
  <c r="N3" i="11"/>
  <c r="G3" i="11"/>
  <c r="AA3" i="11" s="1"/>
  <c r="U3" i="11"/>
  <c r="R3" i="11"/>
  <c r="AI102" i="10"/>
  <c r="Z102" i="10"/>
  <c r="X102" i="10"/>
  <c r="W102" i="10"/>
  <c r="U102" i="10"/>
  <c r="T102" i="10"/>
  <c r="S102" i="10"/>
  <c r="R102" i="10"/>
  <c r="Q102" i="10"/>
  <c r="P102" i="10"/>
  <c r="O102" i="10"/>
  <c r="G102" i="10"/>
  <c r="M102" i="10" s="1"/>
  <c r="AI101" i="10"/>
  <c r="AI100" i="10"/>
  <c r="AI99" i="10"/>
  <c r="AI98" i="10"/>
  <c r="AI97" i="10"/>
  <c r="AI96" i="10"/>
  <c r="AI95" i="10"/>
  <c r="AI94" i="10"/>
  <c r="AI93" i="10"/>
  <c r="AI92" i="10"/>
  <c r="AI91" i="10"/>
  <c r="AI90" i="10"/>
  <c r="AI89" i="10"/>
  <c r="AI88" i="10"/>
  <c r="AI87" i="10"/>
  <c r="AI86" i="10"/>
  <c r="AI85" i="10"/>
  <c r="AI84" i="10"/>
  <c r="AI83" i="10"/>
  <c r="AI82" i="10"/>
  <c r="AI81" i="10"/>
  <c r="AI80" i="10"/>
  <c r="AI79" i="10"/>
  <c r="AI78" i="10"/>
  <c r="AI77" i="10"/>
  <c r="AI76" i="10"/>
  <c r="AI75" i="10"/>
  <c r="AI74" i="10"/>
  <c r="AI73" i="10"/>
  <c r="AI72" i="10"/>
  <c r="AI71" i="10"/>
  <c r="AI70" i="10"/>
  <c r="AI69" i="10"/>
  <c r="AI68" i="10"/>
  <c r="AI67" i="10"/>
  <c r="AI66" i="10"/>
  <c r="AI65" i="10"/>
  <c r="AI64" i="10"/>
  <c r="AI63" i="10"/>
  <c r="AI62" i="10"/>
  <c r="AI61" i="10"/>
  <c r="AI60" i="10"/>
  <c r="AI59" i="10"/>
  <c r="AI58" i="10"/>
  <c r="AI57" i="10"/>
  <c r="AI56" i="10"/>
  <c r="AI55" i="10"/>
  <c r="AI54" i="10"/>
  <c r="AI53" i="10"/>
  <c r="AI52" i="10"/>
  <c r="AI51" i="10"/>
  <c r="AI50" i="10"/>
  <c r="AI49" i="10"/>
  <c r="AI48" i="10"/>
  <c r="AI47" i="10"/>
  <c r="AI46" i="10"/>
  <c r="AI45" i="10"/>
  <c r="AI44" i="10"/>
  <c r="AI43" i="10"/>
  <c r="AI42" i="10"/>
  <c r="AI41" i="10"/>
  <c r="AI40" i="10"/>
  <c r="AI39" i="10"/>
  <c r="AI38" i="10"/>
  <c r="AI37" i="10"/>
  <c r="AI36" i="10"/>
  <c r="AI35" i="10"/>
  <c r="AI34" i="10"/>
  <c r="AI33" i="10"/>
  <c r="AI32" i="10"/>
  <c r="AI31" i="10"/>
  <c r="AI30" i="10"/>
  <c r="AI29" i="10"/>
  <c r="AI28" i="10"/>
  <c r="AI27" i="10"/>
  <c r="AI26" i="10"/>
  <c r="AI25" i="10"/>
  <c r="AI24" i="10"/>
  <c r="AI23" i="10"/>
  <c r="AI22" i="10"/>
  <c r="AI21" i="10"/>
  <c r="AI20" i="10"/>
  <c r="AI19" i="10"/>
  <c r="AI18" i="10"/>
  <c r="AI17" i="10"/>
  <c r="AI16" i="10"/>
  <c r="AI15" i="10"/>
  <c r="AI14" i="10"/>
  <c r="AI13" i="10"/>
  <c r="AI12" i="10"/>
  <c r="AI11" i="10"/>
  <c r="AI10" i="10"/>
  <c r="AI9" i="10"/>
  <c r="AI8" i="10"/>
  <c r="AH8" i="10"/>
  <c r="AI7" i="10"/>
  <c r="AH7" i="10"/>
  <c r="AI6" i="10"/>
  <c r="N5" i="10"/>
  <c r="N4" i="10"/>
  <c r="K4" i="10"/>
  <c r="K5" i="10" s="1"/>
  <c r="K6" i="10" s="1"/>
  <c r="K7" i="10" s="1"/>
  <c r="K8" i="10" s="1"/>
  <c r="K9" i="10" s="1"/>
  <c r="K10" i="10" s="1"/>
  <c r="K11" i="10" s="1"/>
  <c r="K12" i="10" s="1"/>
  <c r="K13" i="10" s="1"/>
  <c r="K14" i="10" s="1"/>
  <c r="K15" i="10" s="1"/>
  <c r="K16" i="10" s="1"/>
  <c r="K17" i="10" s="1"/>
  <c r="K18" i="10" s="1"/>
  <c r="K19" i="10" s="1"/>
  <c r="K20" i="10" s="1"/>
  <c r="K21" i="10" s="1"/>
  <c r="K22" i="10" s="1"/>
  <c r="K23" i="10" s="1"/>
  <c r="K24" i="10" s="1"/>
  <c r="K25" i="10" s="1"/>
  <c r="K26" i="10" s="1"/>
  <c r="K27" i="10" s="1"/>
  <c r="K28" i="10" s="1"/>
  <c r="K29" i="10" s="1"/>
  <c r="K30" i="10" s="1"/>
  <c r="K31" i="10" s="1"/>
  <c r="K32" i="10" s="1"/>
  <c r="K33" i="10" s="1"/>
  <c r="K34" i="10" s="1"/>
  <c r="K35" i="10" s="1"/>
  <c r="K36" i="10" s="1"/>
  <c r="K37" i="10" s="1"/>
  <c r="K38" i="10" s="1"/>
  <c r="K39" i="10" s="1"/>
  <c r="K40" i="10" s="1"/>
  <c r="K41" i="10" s="1"/>
  <c r="K42" i="10" s="1"/>
  <c r="K43" i="10" s="1"/>
  <c r="K44" i="10" s="1"/>
  <c r="K45" i="10" s="1"/>
  <c r="K46" i="10" s="1"/>
  <c r="K47" i="10" s="1"/>
  <c r="K48" i="10" s="1"/>
  <c r="K49" i="10" s="1"/>
  <c r="K50" i="10" s="1"/>
  <c r="K51" i="10" s="1"/>
  <c r="K52" i="10" s="1"/>
  <c r="K53" i="10" s="1"/>
  <c r="K54" i="10" s="1"/>
  <c r="K55" i="10" s="1"/>
  <c r="K56" i="10" s="1"/>
  <c r="K57" i="10" s="1"/>
  <c r="K58" i="10" s="1"/>
  <c r="K59" i="10" s="1"/>
  <c r="K60" i="10" s="1"/>
  <c r="K61" i="10" s="1"/>
  <c r="K62" i="10" s="1"/>
  <c r="K63" i="10" s="1"/>
  <c r="K64" i="10" s="1"/>
  <c r="K65" i="10" s="1"/>
  <c r="K66" i="10" s="1"/>
  <c r="K67" i="10" s="1"/>
  <c r="K68" i="10" s="1"/>
  <c r="K69" i="10" s="1"/>
  <c r="K70" i="10" s="1"/>
  <c r="K71" i="10" s="1"/>
  <c r="K72" i="10" s="1"/>
  <c r="K73" i="10" s="1"/>
  <c r="K74" i="10" s="1"/>
  <c r="K75" i="10" s="1"/>
  <c r="K76" i="10" s="1"/>
  <c r="K77" i="10" s="1"/>
  <c r="K78" i="10" s="1"/>
  <c r="K79" i="10" s="1"/>
  <c r="K80" i="10" s="1"/>
  <c r="K81" i="10" s="1"/>
  <c r="K82" i="10" s="1"/>
  <c r="K83" i="10" s="1"/>
  <c r="K84" i="10" s="1"/>
  <c r="K85" i="10" s="1"/>
  <c r="K86" i="10" s="1"/>
  <c r="K87" i="10" s="1"/>
  <c r="K88" i="10" s="1"/>
  <c r="K89" i="10" s="1"/>
  <c r="K90" i="10" s="1"/>
  <c r="K91" i="10" s="1"/>
  <c r="K92" i="10" s="1"/>
  <c r="K93" i="10" s="1"/>
  <c r="K94" i="10" s="1"/>
  <c r="K95" i="10" s="1"/>
  <c r="K96" i="10" s="1"/>
  <c r="K97" i="10" s="1"/>
  <c r="K98" i="10" s="1"/>
  <c r="K99" i="10" s="1"/>
  <c r="K100" i="10" s="1"/>
  <c r="K101" i="10" s="1"/>
  <c r="K102" i="10" s="1"/>
  <c r="J4" i="10"/>
  <c r="H4" i="10"/>
  <c r="G4" i="10"/>
  <c r="C4" i="10" s="1"/>
  <c r="Q3" i="10"/>
  <c r="O3" i="10"/>
  <c r="N3" i="10"/>
  <c r="G3" i="10"/>
  <c r="M3" i="10" s="1"/>
  <c r="X3" i="10" s="1"/>
  <c r="AI102" i="9"/>
  <c r="AA102" i="9"/>
  <c r="Z102" i="9"/>
  <c r="X102" i="9"/>
  <c r="W102" i="9"/>
  <c r="U102" i="9"/>
  <c r="T102" i="9"/>
  <c r="S102" i="9"/>
  <c r="R102" i="9"/>
  <c r="Q102" i="9"/>
  <c r="P102" i="9"/>
  <c r="O102" i="9"/>
  <c r="G102" i="9"/>
  <c r="M102" i="9" s="1"/>
  <c r="AI101" i="9"/>
  <c r="AA101" i="9"/>
  <c r="Z101" i="9"/>
  <c r="X101" i="9"/>
  <c r="W101" i="9"/>
  <c r="U101" i="9"/>
  <c r="T101" i="9"/>
  <c r="S101" i="9"/>
  <c r="R101" i="9"/>
  <c r="Q101" i="9"/>
  <c r="P101" i="9"/>
  <c r="O101" i="9"/>
  <c r="G101" i="9"/>
  <c r="M101" i="9" s="1"/>
  <c r="AI100" i="9"/>
  <c r="AA100" i="9"/>
  <c r="Z100" i="9"/>
  <c r="X100" i="9"/>
  <c r="W100" i="9"/>
  <c r="U100" i="9"/>
  <c r="T100" i="9"/>
  <c r="S100" i="9"/>
  <c r="R100" i="9"/>
  <c r="Q100" i="9"/>
  <c r="P100" i="9"/>
  <c r="O100" i="9"/>
  <c r="G100" i="9"/>
  <c r="M100" i="9" s="1"/>
  <c r="AI99" i="9"/>
  <c r="AA99" i="9"/>
  <c r="Z99" i="9"/>
  <c r="X99" i="9"/>
  <c r="W99" i="9"/>
  <c r="U99" i="9"/>
  <c r="T99" i="9"/>
  <c r="S99" i="9"/>
  <c r="R99" i="9"/>
  <c r="Q99" i="9"/>
  <c r="P99" i="9"/>
  <c r="O99" i="9"/>
  <c r="G99" i="9"/>
  <c r="M99" i="9" s="1"/>
  <c r="AI98" i="9"/>
  <c r="AA98" i="9"/>
  <c r="Z98" i="9"/>
  <c r="X98" i="9"/>
  <c r="W98" i="9"/>
  <c r="U98" i="9"/>
  <c r="T98" i="9"/>
  <c r="S98" i="9"/>
  <c r="R98" i="9"/>
  <c r="Q98" i="9"/>
  <c r="P98" i="9"/>
  <c r="O98" i="9"/>
  <c r="G98" i="9"/>
  <c r="M98" i="9" s="1"/>
  <c r="AI97" i="9"/>
  <c r="AA97" i="9"/>
  <c r="Z97" i="9"/>
  <c r="X97" i="9"/>
  <c r="W97" i="9"/>
  <c r="U97" i="9"/>
  <c r="T97" i="9"/>
  <c r="S97" i="9"/>
  <c r="R97" i="9"/>
  <c r="Q97" i="9"/>
  <c r="P97" i="9"/>
  <c r="O97" i="9"/>
  <c r="G97" i="9"/>
  <c r="M97" i="9" s="1"/>
  <c r="AI96" i="9"/>
  <c r="X96" i="9"/>
  <c r="W96" i="9"/>
  <c r="U96" i="9"/>
  <c r="T96" i="9"/>
  <c r="S96" i="9"/>
  <c r="R96" i="9"/>
  <c r="Q96" i="9"/>
  <c r="P96" i="9"/>
  <c r="O96" i="9"/>
  <c r="G96" i="9"/>
  <c r="M96" i="9" s="1"/>
  <c r="AI95" i="9"/>
  <c r="AI94" i="9"/>
  <c r="AI93" i="9"/>
  <c r="AI92" i="9"/>
  <c r="AI91" i="9"/>
  <c r="AI90" i="9"/>
  <c r="AI89" i="9"/>
  <c r="AI88" i="9"/>
  <c r="AI87" i="9"/>
  <c r="AI86" i="9"/>
  <c r="AI85" i="9"/>
  <c r="AI84" i="9"/>
  <c r="AI83" i="9"/>
  <c r="AI82" i="9"/>
  <c r="AI81" i="9"/>
  <c r="AI80" i="9"/>
  <c r="AI79" i="9"/>
  <c r="AI78" i="9"/>
  <c r="AI77" i="9"/>
  <c r="AI76" i="9"/>
  <c r="AI75" i="9"/>
  <c r="AI74" i="9"/>
  <c r="AI73" i="9"/>
  <c r="AI72" i="9"/>
  <c r="AI71" i="9"/>
  <c r="AI70" i="9"/>
  <c r="AI69" i="9"/>
  <c r="AI68" i="9"/>
  <c r="AI67" i="9"/>
  <c r="AI66" i="9"/>
  <c r="AI65" i="9"/>
  <c r="AI64" i="9"/>
  <c r="AI63" i="9"/>
  <c r="AI62" i="9"/>
  <c r="AI61" i="9"/>
  <c r="AI60" i="9"/>
  <c r="AI59" i="9"/>
  <c r="AI58" i="9"/>
  <c r="AI57" i="9"/>
  <c r="AI56" i="9"/>
  <c r="AI55" i="9"/>
  <c r="AI54" i="9"/>
  <c r="AI53" i="9"/>
  <c r="AI52" i="9"/>
  <c r="AI51" i="9"/>
  <c r="AI50" i="9"/>
  <c r="AI49" i="9"/>
  <c r="AI48" i="9"/>
  <c r="AI47" i="9"/>
  <c r="AI46" i="9"/>
  <c r="AI45" i="9"/>
  <c r="AI44" i="9"/>
  <c r="AI43" i="9"/>
  <c r="AI42" i="9"/>
  <c r="AI41" i="9"/>
  <c r="AI40" i="9"/>
  <c r="AI39" i="9"/>
  <c r="AI38" i="9"/>
  <c r="AI37" i="9"/>
  <c r="AI36" i="9"/>
  <c r="AI35" i="9"/>
  <c r="AI34" i="9"/>
  <c r="AI33" i="9"/>
  <c r="AI32" i="9"/>
  <c r="AI31" i="9"/>
  <c r="AI30" i="9"/>
  <c r="AI29" i="9"/>
  <c r="AI28" i="9"/>
  <c r="AI27" i="9"/>
  <c r="AI26" i="9"/>
  <c r="AI25" i="9"/>
  <c r="AI24" i="9"/>
  <c r="AI23" i="9"/>
  <c r="AI22" i="9"/>
  <c r="AI21" i="9"/>
  <c r="AI20" i="9"/>
  <c r="AI19" i="9"/>
  <c r="AI18" i="9"/>
  <c r="AI17" i="9"/>
  <c r="AI16" i="9"/>
  <c r="AI15" i="9"/>
  <c r="AI14" i="9"/>
  <c r="AI13" i="9"/>
  <c r="AI12" i="9"/>
  <c r="AI11" i="9"/>
  <c r="AI10" i="9"/>
  <c r="AI9" i="9"/>
  <c r="AI8" i="9"/>
  <c r="AI7" i="9"/>
  <c r="AH7" i="9"/>
  <c r="AH8" i="9" s="1"/>
  <c r="AI6" i="9"/>
  <c r="N5" i="9"/>
  <c r="N4" i="9"/>
  <c r="K4" i="9"/>
  <c r="K5" i="9" s="1"/>
  <c r="K6" i="9" s="1"/>
  <c r="K7" i="9" s="1"/>
  <c r="K8" i="9" s="1"/>
  <c r="K9" i="9" s="1"/>
  <c r="K10" i="9" s="1"/>
  <c r="K11" i="9" s="1"/>
  <c r="K12" i="9" s="1"/>
  <c r="K13" i="9" s="1"/>
  <c r="K14" i="9" s="1"/>
  <c r="K15" i="9" s="1"/>
  <c r="K16" i="9" s="1"/>
  <c r="K17" i="9" s="1"/>
  <c r="K18" i="9" s="1"/>
  <c r="K19" i="9" s="1"/>
  <c r="K20" i="9" s="1"/>
  <c r="K21" i="9" s="1"/>
  <c r="K22" i="9" s="1"/>
  <c r="K23" i="9" s="1"/>
  <c r="K24" i="9" s="1"/>
  <c r="K25" i="9" s="1"/>
  <c r="K26" i="9" s="1"/>
  <c r="K27" i="9" s="1"/>
  <c r="K28" i="9" s="1"/>
  <c r="K29" i="9" s="1"/>
  <c r="K30" i="9" s="1"/>
  <c r="K31" i="9" s="1"/>
  <c r="K32" i="9" s="1"/>
  <c r="K33" i="9" s="1"/>
  <c r="K34" i="9" s="1"/>
  <c r="K35" i="9" s="1"/>
  <c r="K36" i="9" s="1"/>
  <c r="K37" i="9" s="1"/>
  <c r="K38" i="9" s="1"/>
  <c r="K39" i="9" s="1"/>
  <c r="K40" i="9" s="1"/>
  <c r="K41" i="9" s="1"/>
  <c r="K42" i="9" s="1"/>
  <c r="K43" i="9" s="1"/>
  <c r="K44" i="9" s="1"/>
  <c r="K45" i="9" s="1"/>
  <c r="K46" i="9" s="1"/>
  <c r="K47" i="9" s="1"/>
  <c r="K48" i="9" s="1"/>
  <c r="K49" i="9" s="1"/>
  <c r="K50" i="9" s="1"/>
  <c r="K51" i="9" s="1"/>
  <c r="K52" i="9" s="1"/>
  <c r="K53" i="9" s="1"/>
  <c r="K54" i="9" s="1"/>
  <c r="K55" i="9" s="1"/>
  <c r="K56" i="9" s="1"/>
  <c r="K57" i="9" s="1"/>
  <c r="K58" i="9" s="1"/>
  <c r="K59" i="9" s="1"/>
  <c r="K60" i="9" s="1"/>
  <c r="K61" i="9" s="1"/>
  <c r="K62" i="9" s="1"/>
  <c r="K63" i="9" s="1"/>
  <c r="K64" i="9" s="1"/>
  <c r="K65" i="9" s="1"/>
  <c r="K66" i="9" s="1"/>
  <c r="K67" i="9" s="1"/>
  <c r="K68" i="9" s="1"/>
  <c r="K69" i="9" s="1"/>
  <c r="K70" i="9" s="1"/>
  <c r="K71" i="9" s="1"/>
  <c r="K72" i="9" s="1"/>
  <c r="K73" i="9" s="1"/>
  <c r="K74" i="9" s="1"/>
  <c r="K75" i="9" s="1"/>
  <c r="K76" i="9" s="1"/>
  <c r="K77" i="9" s="1"/>
  <c r="K78" i="9" s="1"/>
  <c r="K79" i="9" s="1"/>
  <c r="K80" i="9" s="1"/>
  <c r="K81" i="9" s="1"/>
  <c r="K82" i="9" s="1"/>
  <c r="K83" i="9" s="1"/>
  <c r="K84" i="9" s="1"/>
  <c r="K85" i="9" s="1"/>
  <c r="K86" i="9" s="1"/>
  <c r="K87" i="9" s="1"/>
  <c r="K88" i="9" s="1"/>
  <c r="K89" i="9" s="1"/>
  <c r="K90" i="9" s="1"/>
  <c r="K91" i="9" s="1"/>
  <c r="K92" i="9" s="1"/>
  <c r="K93" i="9" s="1"/>
  <c r="K94" i="9" s="1"/>
  <c r="K95" i="9" s="1"/>
  <c r="K96" i="9" s="1"/>
  <c r="K97" i="9" s="1"/>
  <c r="K98" i="9" s="1"/>
  <c r="K99" i="9" s="1"/>
  <c r="K100" i="9" s="1"/>
  <c r="K101" i="9" s="1"/>
  <c r="K102" i="9" s="1"/>
  <c r="J4" i="9"/>
  <c r="H4" i="9"/>
  <c r="H5" i="9" s="1"/>
  <c r="H6" i="9" s="1"/>
  <c r="N3" i="9"/>
  <c r="G3" i="9"/>
  <c r="G4" i="9" s="1"/>
  <c r="U3" i="9"/>
  <c r="AI102" i="8"/>
  <c r="AA102" i="8"/>
  <c r="Z102" i="8"/>
  <c r="X102" i="8"/>
  <c r="W102" i="8"/>
  <c r="U102" i="8"/>
  <c r="T102" i="8"/>
  <c r="S102" i="8"/>
  <c r="R102" i="8"/>
  <c r="Q102" i="8"/>
  <c r="P102" i="8"/>
  <c r="O102" i="8"/>
  <c r="G102" i="8"/>
  <c r="M102" i="8" s="1"/>
  <c r="AI101" i="8"/>
  <c r="AA101" i="8"/>
  <c r="Z101" i="8"/>
  <c r="X101" i="8"/>
  <c r="W101" i="8"/>
  <c r="U101" i="8"/>
  <c r="T101" i="8"/>
  <c r="S101" i="8"/>
  <c r="R101" i="8"/>
  <c r="Q101" i="8"/>
  <c r="P101" i="8"/>
  <c r="O101" i="8"/>
  <c r="G101" i="8"/>
  <c r="M101" i="8" s="1"/>
  <c r="AI100" i="8"/>
  <c r="AA100" i="8"/>
  <c r="Z100" i="8"/>
  <c r="X100" i="8"/>
  <c r="W100" i="8"/>
  <c r="U100" i="8"/>
  <c r="T100" i="8"/>
  <c r="S100" i="8"/>
  <c r="R100" i="8"/>
  <c r="Q100" i="8"/>
  <c r="P100" i="8"/>
  <c r="O100" i="8"/>
  <c r="G100" i="8"/>
  <c r="M100" i="8" s="1"/>
  <c r="AI99" i="8"/>
  <c r="AA99" i="8"/>
  <c r="Z99" i="8"/>
  <c r="X99" i="8"/>
  <c r="W99" i="8"/>
  <c r="U99" i="8"/>
  <c r="T99" i="8"/>
  <c r="S99" i="8"/>
  <c r="R99" i="8"/>
  <c r="Q99" i="8"/>
  <c r="P99" i="8"/>
  <c r="O99" i="8"/>
  <c r="G99" i="8"/>
  <c r="D99" i="8" s="1"/>
  <c r="AI98" i="8"/>
  <c r="AA98" i="8"/>
  <c r="Z98" i="8"/>
  <c r="X98" i="8"/>
  <c r="W98" i="8"/>
  <c r="U98" i="8"/>
  <c r="T98" i="8"/>
  <c r="S98" i="8"/>
  <c r="R98" i="8"/>
  <c r="Q98" i="8"/>
  <c r="P98" i="8"/>
  <c r="O98" i="8"/>
  <c r="G98" i="8"/>
  <c r="M98" i="8" s="1"/>
  <c r="AI97" i="8"/>
  <c r="AA97" i="8"/>
  <c r="Z97" i="8"/>
  <c r="X97" i="8"/>
  <c r="W97" i="8"/>
  <c r="U97" i="8"/>
  <c r="T97" i="8"/>
  <c r="S97" i="8"/>
  <c r="R97" i="8"/>
  <c r="Q97" i="8"/>
  <c r="P97" i="8"/>
  <c r="O97" i="8"/>
  <c r="G97" i="8"/>
  <c r="M97" i="8" s="1"/>
  <c r="AI96" i="8"/>
  <c r="X96" i="8"/>
  <c r="W96" i="8"/>
  <c r="U96" i="8"/>
  <c r="T96" i="8"/>
  <c r="S96" i="8"/>
  <c r="R96" i="8"/>
  <c r="Q96" i="8"/>
  <c r="P96" i="8"/>
  <c r="O96" i="8"/>
  <c r="G96" i="8"/>
  <c r="M96" i="8" s="1"/>
  <c r="AI95" i="8"/>
  <c r="AI94" i="8"/>
  <c r="AI93" i="8"/>
  <c r="AI92" i="8"/>
  <c r="AI91" i="8"/>
  <c r="AI90" i="8"/>
  <c r="AI89" i="8"/>
  <c r="AI88" i="8"/>
  <c r="AI87" i="8"/>
  <c r="AI86" i="8"/>
  <c r="AI85" i="8"/>
  <c r="AI84" i="8"/>
  <c r="AI83" i="8"/>
  <c r="AI82" i="8"/>
  <c r="AI81" i="8"/>
  <c r="AI80" i="8"/>
  <c r="AI79" i="8"/>
  <c r="AI78" i="8"/>
  <c r="AI77" i="8"/>
  <c r="AI76" i="8"/>
  <c r="AI75" i="8"/>
  <c r="AI74" i="8"/>
  <c r="AI73" i="8"/>
  <c r="AI72" i="8"/>
  <c r="AI71" i="8"/>
  <c r="AI70" i="8"/>
  <c r="AI69" i="8"/>
  <c r="AI68" i="8"/>
  <c r="AI67" i="8"/>
  <c r="AI66" i="8"/>
  <c r="AI65" i="8"/>
  <c r="AI64" i="8"/>
  <c r="AI63" i="8"/>
  <c r="AI62" i="8"/>
  <c r="AI61" i="8"/>
  <c r="AI60" i="8"/>
  <c r="AI59" i="8"/>
  <c r="AI58" i="8"/>
  <c r="AI57" i="8"/>
  <c r="AI56" i="8"/>
  <c r="AI55" i="8"/>
  <c r="AI54" i="8"/>
  <c r="AI53" i="8"/>
  <c r="AI52" i="8"/>
  <c r="AI51" i="8"/>
  <c r="AI50" i="8"/>
  <c r="AI49" i="8"/>
  <c r="AI48" i="8"/>
  <c r="AI47" i="8"/>
  <c r="AI46" i="8"/>
  <c r="AI45" i="8"/>
  <c r="AI44" i="8"/>
  <c r="AI43" i="8"/>
  <c r="AI42" i="8"/>
  <c r="AI41" i="8"/>
  <c r="AI40" i="8"/>
  <c r="AI39" i="8"/>
  <c r="AI38" i="8"/>
  <c r="AI37" i="8"/>
  <c r="AI36" i="8"/>
  <c r="AI35" i="8"/>
  <c r="AI34" i="8"/>
  <c r="AI33" i="8"/>
  <c r="AI32" i="8"/>
  <c r="AI31" i="8"/>
  <c r="AI30" i="8"/>
  <c r="AI29" i="8"/>
  <c r="AI28" i="8"/>
  <c r="AI27" i="8"/>
  <c r="AI26" i="8"/>
  <c r="AI25" i="8"/>
  <c r="AI24" i="8"/>
  <c r="AI23" i="8"/>
  <c r="AI22" i="8"/>
  <c r="AI21" i="8"/>
  <c r="AI20" i="8"/>
  <c r="AI19" i="8"/>
  <c r="AI18" i="8"/>
  <c r="AI17" i="8"/>
  <c r="AI16" i="8"/>
  <c r="AI15" i="8"/>
  <c r="AI14" i="8"/>
  <c r="AI13" i="8"/>
  <c r="AI12" i="8"/>
  <c r="AI11" i="8"/>
  <c r="AI10" i="8"/>
  <c r="AI9" i="8"/>
  <c r="AI8" i="8"/>
  <c r="AH8" i="8"/>
  <c r="AH9" i="8" s="1"/>
  <c r="AI7" i="8"/>
  <c r="AH7" i="8"/>
  <c r="AI6" i="8"/>
  <c r="N5" i="8"/>
  <c r="N4" i="8"/>
  <c r="K4" i="8"/>
  <c r="K5" i="8" s="1"/>
  <c r="K6" i="8" s="1"/>
  <c r="K7" i="8" s="1"/>
  <c r="K8" i="8" s="1"/>
  <c r="K9" i="8" s="1"/>
  <c r="K10" i="8" s="1"/>
  <c r="K11" i="8" s="1"/>
  <c r="K12" i="8" s="1"/>
  <c r="K13" i="8" s="1"/>
  <c r="K14" i="8" s="1"/>
  <c r="K15" i="8" s="1"/>
  <c r="K16" i="8" s="1"/>
  <c r="K17" i="8" s="1"/>
  <c r="K18" i="8" s="1"/>
  <c r="K19" i="8" s="1"/>
  <c r="K20" i="8" s="1"/>
  <c r="K21" i="8" s="1"/>
  <c r="K22" i="8" s="1"/>
  <c r="K23" i="8" s="1"/>
  <c r="K24" i="8" s="1"/>
  <c r="K25" i="8" s="1"/>
  <c r="K26" i="8" s="1"/>
  <c r="K27" i="8" s="1"/>
  <c r="K28" i="8" s="1"/>
  <c r="K29" i="8" s="1"/>
  <c r="K30" i="8" s="1"/>
  <c r="K31" i="8" s="1"/>
  <c r="K32" i="8" s="1"/>
  <c r="K33" i="8" s="1"/>
  <c r="K34" i="8" s="1"/>
  <c r="K35" i="8" s="1"/>
  <c r="K36" i="8" s="1"/>
  <c r="K37" i="8" s="1"/>
  <c r="K38" i="8" s="1"/>
  <c r="K39" i="8" s="1"/>
  <c r="K40" i="8" s="1"/>
  <c r="K41" i="8" s="1"/>
  <c r="K42" i="8" s="1"/>
  <c r="K43" i="8" s="1"/>
  <c r="K44" i="8" s="1"/>
  <c r="K45" i="8" s="1"/>
  <c r="K46" i="8" s="1"/>
  <c r="K47" i="8" s="1"/>
  <c r="K48" i="8" s="1"/>
  <c r="K49" i="8" s="1"/>
  <c r="K50" i="8" s="1"/>
  <c r="K51" i="8" s="1"/>
  <c r="K52" i="8" s="1"/>
  <c r="K53" i="8" s="1"/>
  <c r="K54" i="8" s="1"/>
  <c r="K55" i="8" s="1"/>
  <c r="K56" i="8" s="1"/>
  <c r="K57" i="8" s="1"/>
  <c r="K58" i="8" s="1"/>
  <c r="K59" i="8" s="1"/>
  <c r="K60" i="8" s="1"/>
  <c r="K61" i="8" s="1"/>
  <c r="K62" i="8" s="1"/>
  <c r="K63" i="8" s="1"/>
  <c r="K64" i="8" s="1"/>
  <c r="K65" i="8" s="1"/>
  <c r="K66" i="8" s="1"/>
  <c r="K67" i="8" s="1"/>
  <c r="K68" i="8" s="1"/>
  <c r="K69" i="8" s="1"/>
  <c r="K70" i="8" s="1"/>
  <c r="K71" i="8" s="1"/>
  <c r="K72" i="8" s="1"/>
  <c r="K73" i="8" s="1"/>
  <c r="K74" i="8" s="1"/>
  <c r="K75" i="8" s="1"/>
  <c r="K76" i="8" s="1"/>
  <c r="K77" i="8" s="1"/>
  <c r="K78" i="8" s="1"/>
  <c r="K79" i="8" s="1"/>
  <c r="K80" i="8" s="1"/>
  <c r="K81" i="8" s="1"/>
  <c r="K82" i="8" s="1"/>
  <c r="K83" i="8" s="1"/>
  <c r="K84" i="8" s="1"/>
  <c r="K85" i="8" s="1"/>
  <c r="K86" i="8" s="1"/>
  <c r="K87" i="8" s="1"/>
  <c r="K88" i="8" s="1"/>
  <c r="K89" i="8" s="1"/>
  <c r="K90" i="8" s="1"/>
  <c r="K91" i="8" s="1"/>
  <c r="K92" i="8" s="1"/>
  <c r="K93" i="8" s="1"/>
  <c r="K94" i="8" s="1"/>
  <c r="K95" i="8" s="1"/>
  <c r="K96" i="8" s="1"/>
  <c r="K97" i="8" s="1"/>
  <c r="K98" i="8" s="1"/>
  <c r="K99" i="8" s="1"/>
  <c r="K100" i="8" s="1"/>
  <c r="K101" i="8" s="1"/>
  <c r="K102" i="8" s="1"/>
  <c r="J4" i="8"/>
  <c r="H4" i="8"/>
  <c r="H5" i="8" s="1"/>
  <c r="G4" i="8"/>
  <c r="G5" i="8" s="1"/>
  <c r="T3" i="8"/>
  <c r="Q3" i="8"/>
  <c r="P3" i="8"/>
  <c r="N3" i="8"/>
  <c r="G3" i="8"/>
  <c r="O3" i="8" s="1"/>
  <c r="AI102" i="7"/>
  <c r="AI101" i="7"/>
  <c r="AI100" i="7"/>
  <c r="AI99" i="7"/>
  <c r="AI98" i="7"/>
  <c r="AI97" i="7"/>
  <c r="AI96" i="7"/>
  <c r="AI95" i="7"/>
  <c r="AI94" i="7"/>
  <c r="AI93" i="7"/>
  <c r="AI92" i="7"/>
  <c r="AI91" i="7"/>
  <c r="AI90" i="7"/>
  <c r="AI89" i="7"/>
  <c r="AI88" i="7"/>
  <c r="AI87" i="7"/>
  <c r="AI86" i="7"/>
  <c r="AI85" i="7"/>
  <c r="AI84" i="7"/>
  <c r="AI83" i="7"/>
  <c r="AI82" i="7"/>
  <c r="AI81" i="7"/>
  <c r="AI80" i="7"/>
  <c r="AI79" i="7"/>
  <c r="AI78" i="7"/>
  <c r="AI77" i="7"/>
  <c r="AI76" i="7"/>
  <c r="AI75" i="7"/>
  <c r="AI74" i="7"/>
  <c r="AI73" i="7"/>
  <c r="AI72" i="7"/>
  <c r="AI71" i="7"/>
  <c r="AI70" i="7"/>
  <c r="AI69" i="7"/>
  <c r="AI68" i="7"/>
  <c r="AI67" i="7"/>
  <c r="AI66" i="7"/>
  <c r="AI65" i="7"/>
  <c r="AI64" i="7"/>
  <c r="AI63" i="7"/>
  <c r="AI62" i="7"/>
  <c r="AI61" i="7"/>
  <c r="AI60" i="7"/>
  <c r="AI59" i="7"/>
  <c r="AI58" i="7"/>
  <c r="AI57" i="7"/>
  <c r="AI56" i="7"/>
  <c r="AI55" i="7"/>
  <c r="AI54" i="7"/>
  <c r="AI53" i="7"/>
  <c r="AI52" i="7"/>
  <c r="AI51" i="7"/>
  <c r="AI50" i="7"/>
  <c r="AI49" i="7"/>
  <c r="AI48" i="7"/>
  <c r="AI47" i="7"/>
  <c r="AI46" i="7"/>
  <c r="AI45" i="7"/>
  <c r="AI44" i="7"/>
  <c r="AI43" i="7"/>
  <c r="AI42" i="7"/>
  <c r="AI41" i="7"/>
  <c r="AI40" i="7"/>
  <c r="AI39" i="7"/>
  <c r="AI38" i="7"/>
  <c r="AI37" i="7"/>
  <c r="AI36" i="7"/>
  <c r="AI35" i="7"/>
  <c r="AI34" i="7"/>
  <c r="AI33" i="7"/>
  <c r="AI32" i="7"/>
  <c r="AI31" i="7"/>
  <c r="AI30" i="7"/>
  <c r="AI29" i="7"/>
  <c r="AI28" i="7"/>
  <c r="AI27" i="7"/>
  <c r="AI26" i="7"/>
  <c r="AI25" i="7"/>
  <c r="AI24" i="7"/>
  <c r="AI23" i="7"/>
  <c r="AI22" i="7"/>
  <c r="AI21" i="7"/>
  <c r="AI20" i="7"/>
  <c r="AI19" i="7"/>
  <c r="AI18" i="7"/>
  <c r="AI17" i="7"/>
  <c r="AI16" i="7"/>
  <c r="AI15" i="7"/>
  <c r="AI14" i="7"/>
  <c r="AI13" i="7"/>
  <c r="AI12" i="7"/>
  <c r="AI11" i="7"/>
  <c r="AI10" i="7"/>
  <c r="AI9" i="7"/>
  <c r="AI8" i="7"/>
  <c r="AH8" i="7"/>
  <c r="AH9" i="7" s="1"/>
  <c r="AI7" i="7"/>
  <c r="AH7" i="7"/>
  <c r="AI6" i="7"/>
  <c r="N5" i="7"/>
  <c r="H5" i="7"/>
  <c r="H6" i="7" s="1"/>
  <c r="N4" i="7"/>
  <c r="K4" i="7"/>
  <c r="K5" i="7" s="1"/>
  <c r="K6" i="7" s="1"/>
  <c r="K7" i="7" s="1"/>
  <c r="K8" i="7" s="1"/>
  <c r="K9" i="7" s="1"/>
  <c r="K10" i="7" s="1"/>
  <c r="K11" i="7" s="1"/>
  <c r="K12" i="7" s="1"/>
  <c r="K13" i="7" s="1"/>
  <c r="K14" i="7" s="1"/>
  <c r="K15" i="7" s="1"/>
  <c r="K16" i="7" s="1"/>
  <c r="K17" i="7" s="1"/>
  <c r="K18" i="7" s="1"/>
  <c r="K19" i="7" s="1"/>
  <c r="K20" i="7" s="1"/>
  <c r="K21" i="7" s="1"/>
  <c r="K22" i="7" s="1"/>
  <c r="K23" i="7" s="1"/>
  <c r="K24" i="7" s="1"/>
  <c r="K25" i="7" s="1"/>
  <c r="K26" i="7" s="1"/>
  <c r="K27" i="7" s="1"/>
  <c r="K28" i="7" s="1"/>
  <c r="K29" i="7" s="1"/>
  <c r="K30" i="7" s="1"/>
  <c r="K31" i="7" s="1"/>
  <c r="K32" i="7" s="1"/>
  <c r="K33" i="7" s="1"/>
  <c r="K34" i="7" s="1"/>
  <c r="K35" i="7" s="1"/>
  <c r="K36" i="7" s="1"/>
  <c r="K37" i="7" s="1"/>
  <c r="K38" i="7" s="1"/>
  <c r="K39" i="7" s="1"/>
  <c r="K40" i="7" s="1"/>
  <c r="K41" i="7" s="1"/>
  <c r="K42" i="7" s="1"/>
  <c r="K43" i="7" s="1"/>
  <c r="K44" i="7" s="1"/>
  <c r="K45" i="7" s="1"/>
  <c r="K46" i="7" s="1"/>
  <c r="K47" i="7" s="1"/>
  <c r="K48" i="7" s="1"/>
  <c r="K49" i="7" s="1"/>
  <c r="K50" i="7" s="1"/>
  <c r="K51" i="7" s="1"/>
  <c r="K52" i="7" s="1"/>
  <c r="K53" i="7" s="1"/>
  <c r="K54" i="7" s="1"/>
  <c r="K55" i="7" s="1"/>
  <c r="K56" i="7" s="1"/>
  <c r="K57" i="7" s="1"/>
  <c r="K58" i="7" s="1"/>
  <c r="K59" i="7" s="1"/>
  <c r="K60" i="7" s="1"/>
  <c r="K61" i="7" s="1"/>
  <c r="K62" i="7" s="1"/>
  <c r="K63" i="7" s="1"/>
  <c r="K64" i="7" s="1"/>
  <c r="K65" i="7" s="1"/>
  <c r="K66" i="7" s="1"/>
  <c r="K67" i="7" s="1"/>
  <c r="K68" i="7" s="1"/>
  <c r="K69" i="7" s="1"/>
  <c r="K70" i="7" s="1"/>
  <c r="K71" i="7" s="1"/>
  <c r="K72" i="7" s="1"/>
  <c r="K73" i="7" s="1"/>
  <c r="K74" i="7" s="1"/>
  <c r="K75" i="7" s="1"/>
  <c r="K76" i="7" s="1"/>
  <c r="K77" i="7" s="1"/>
  <c r="K78" i="7" s="1"/>
  <c r="K79" i="7" s="1"/>
  <c r="K80" i="7" s="1"/>
  <c r="K81" i="7" s="1"/>
  <c r="K82" i="7" s="1"/>
  <c r="K83" i="7" s="1"/>
  <c r="K84" i="7" s="1"/>
  <c r="K85" i="7" s="1"/>
  <c r="K86" i="7" s="1"/>
  <c r="K87" i="7" s="1"/>
  <c r="K88" i="7" s="1"/>
  <c r="K89" i="7" s="1"/>
  <c r="K90" i="7" s="1"/>
  <c r="K91" i="7" s="1"/>
  <c r="K92" i="7" s="1"/>
  <c r="K93" i="7" s="1"/>
  <c r="K94" i="7" s="1"/>
  <c r="K95" i="7" s="1"/>
  <c r="K96" i="7" s="1"/>
  <c r="K97" i="7" s="1"/>
  <c r="K98" i="7" s="1"/>
  <c r="K99" i="7" s="1"/>
  <c r="K100" i="7" s="1"/>
  <c r="K101" i="7" s="1"/>
  <c r="K102" i="7" s="1"/>
  <c r="J4" i="7"/>
  <c r="H4" i="7"/>
  <c r="N3" i="7"/>
  <c r="G3" i="7"/>
  <c r="Q3" i="7" s="1"/>
  <c r="U3" i="7"/>
  <c r="AI102" i="6"/>
  <c r="AA102" i="6"/>
  <c r="Z102" i="6"/>
  <c r="X102" i="6"/>
  <c r="W102" i="6"/>
  <c r="U102" i="6"/>
  <c r="T102" i="6"/>
  <c r="S102" i="6"/>
  <c r="R102" i="6"/>
  <c r="Q102" i="6"/>
  <c r="P102" i="6"/>
  <c r="O102" i="6"/>
  <c r="G102" i="6"/>
  <c r="M102" i="6" s="1"/>
  <c r="AI101" i="6"/>
  <c r="AA101" i="6"/>
  <c r="Z101" i="6"/>
  <c r="X101" i="6"/>
  <c r="W101" i="6"/>
  <c r="U101" i="6"/>
  <c r="T101" i="6"/>
  <c r="S101" i="6"/>
  <c r="R101" i="6"/>
  <c r="Q101" i="6"/>
  <c r="P101" i="6"/>
  <c r="O101" i="6"/>
  <c r="G101" i="6"/>
  <c r="M101" i="6" s="1"/>
  <c r="AI100" i="6"/>
  <c r="AA100" i="6"/>
  <c r="Z100" i="6"/>
  <c r="X100" i="6"/>
  <c r="W100" i="6"/>
  <c r="U100" i="6"/>
  <c r="T100" i="6"/>
  <c r="S100" i="6"/>
  <c r="R100" i="6"/>
  <c r="Q100" i="6"/>
  <c r="P100" i="6"/>
  <c r="O100" i="6"/>
  <c r="G100" i="6"/>
  <c r="M100" i="6" s="1"/>
  <c r="AI99" i="6"/>
  <c r="AA99" i="6"/>
  <c r="Z99" i="6"/>
  <c r="X99" i="6"/>
  <c r="W99" i="6"/>
  <c r="U99" i="6"/>
  <c r="T99" i="6"/>
  <c r="S99" i="6"/>
  <c r="R99" i="6"/>
  <c r="Q99" i="6"/>
  <c r="P99" i="6"/>
  <c r="O99" i="6"/>
  <c r="G99" i="6"/>
  <c r="D99" i="6" s="1"/>
  <c r="AI98" i="6"/>
  <c r="AA98" i="6"/>
  <c r="Z98" i="6"/>
  <c r="X98" i="6"/>
  <c r="W98" i="6"/>
  <c r="U98" i="6"/>
  <c r="T98" i="6"/>
  <c r="S98" i="6"/>
  <c r="R98" i="6"/>
  <c r="Q98" i="6"/>
  <c r="P98" i="6"/>
  <c r="O98" i="6"/>
  <c r="G98" i="6"/>
  <c r="M98" i="6" s="1"/>
  <c r="AI97" i="6"/>
  <c r="AA97" i="6"/>
  <c r="Z97" i="6"/>
  <c r="X97" i="6"/>
  <c r="W97" i="6"/>
  <c r="U97" i="6"/>
  <c r="T97" i="6"/>
  <c r="S97" i="6"/>
  <c r="R97" i="6"/>
  <c r="Q97" i="6"/>
  <c r="P97" i="6"/>
  <c r="O97" i="6"/>
  <c r="G97" i="6"/>
  <c r="M97" i="6" s="1"/>
  <c r="AI96" i="6"/>
  <c r="X96" i="6"/>
  <c r="W96" i="6"/>
  <c r="U96" i="6"/>
  <c r="T96" i="6"/>
  <c r="S96" i="6"/>
  <c r="R96" i="6"/>
  <c r="Q96" i="6"/>
  <c r="P96" i="6"/>
  <c r="O96" i="6"/>
  <c r="G96" i="6"/>
  <c r="M96" i="6" s="1"/>
  <c r="AI95" i="6"/>
  <c r="AI94" i="6"/>
  <c r="AI93" i="6"/>
  <c r="AI92" i="6"/>
  <c r="AI91" i="6"/>
  <c r="AI90" i="6"/>
  <c r="AI89" i="6"/>
  <c r="AI88" i="6"/>
  <c r="AI87" i="6"/>
  <c r="AI86" i="6"/>
  <c r="AI85" i="6"/>
  <c r="AI84" i="6"/>
  <c r="AI83" i="6"/>
  <c r="AI82" i="6"/>
  <c r="AI81" i="6"/>
  <c r="AI80" i="6"/>
  <c r="AI79" i="6"/>
  <c r="AI78" i="6"/>
  <c r="AI77" i="6"/>
  <c r="AI76" i="6"/>
  <c r="AI75" i="6"/>
  <c r="AI74" i="6"/>
  <c r="AI73" i="6"/>
  <c r="AI72" i="6"/>
  <c r="AI71" i="6"/>
  <c r="AI70" i="6"/>
  <c r="AI69" i="6"/>
  <c r="AI68" i="6"/>
  <c r="AI67" i="6"/>
  <c r="AI66" i="6"/>
  <c r="AI65" i="6"/>
  <c r="AI64" i="6"/>
  <c r="AI63" i="6"/>
  <c r="AI62" i="6"/>
  <c r="AI61" i="6"/>
  <c r="AI60" i="6"/>
  <c r="AI59" i="6"/>
  <c r="AI58" i="6"/>
  <c r="AI57" i="6"/>
  <c r="AI56" i="6"/>
  <c r="AI55" i="6"/>
  <c r="AI54" i="6"/>
  <c r="AI53" i="6"/>
  <c r="AI52" i="6"/>
  <c r="AI51" i="6"/>
  <c r="AI50" i="6"/>
  <c r="AI49" i="6"/>
  <c r="AI48" i="6"/>
  <c r="AI47" i="6"/>
  <c r="AI46" i="6"/>
  <c r="AI45" i="6"/>
  <c r="AI44" i="6"/>
  <c r="AI43" i="6"/>
  <c r="AI42" i="6"/>
  <c r="AI41" i="6"/>
  <c r="AI40" i="6"/>
  <c r="AI39" i="6"/>
  <c r="AI38" i="6"/>
  <c r="AI37" i="6"/>
  <c r="AI36" i="6"/>
  <c r="AI35" i="6"/>
  <c r="AI34" i="6"/>
  <c r="AI33" i="6"/>
  <c r="AI32" i="6"/>
  <c r="AI31" i="6"/>
  <c r="AI30" i="6"/>
  <c r="AI29" i="6"/>
  <c r="AI28" i="6"/>
  <c r="AI27" i="6"/>
  <c r="AI26" i="6"/>
  <c r="AI25" i="6"/>
  <c r="AI24" i="6"/>
  <c r="AI23" i="6"/>
  <c r="AI22" i="6"/>
  <c r="AI21" i="6"/>
  <c r="AI20" i="6"/>
  <c r="AI19" i="6"/>
  <c r="AI18" i="6"/>
  <c r="AI17" i="6"/>
  <c r="AI16" i="6"/>
  <c r="AI15" i="6"/>
  <c r="AI14" i="6"/>
  <c r="AI13" i="6"/>
  <c r="AI12" i="6"/>
  <c r="AI11" i="6"/>
  <c r="AI10" i="6"/>
  <c r="AI9" i="6"/>
  <c r="AI8" i="6"/>
  <c r="AI7" i="6"/>
  <c r="AH7" i="6"/>
  <c r="AH8" i="6" s="1"/>
  <c r="AI6" i="6"/>
  <c r="N5" i="6"/>
  <c r="N4" i="6"/>
  <c r="K4" i="6"/>
  <c r="K5" i="6" s="1"/>
  <c r="K6" i="6" s="1"/>
  <c r="K7" i="6" s="1"/>
  <c r="K8" i="6" s="1"/>
  <c r="K9" i="6" s="1"/>
  <c r="K10" i="6" s="1"/>
  <c r="K11" i="6" s="1"/>
  <c r="K12" i="6" s="1"/>
  <c r="K13" i="6" s="1"/>
  <c r="K14" i="6" s="1"/>
  <c r="K15" i="6" s="1"/>
  <c r="K16" i="6" s="1"/>
  <c r="K17" i="6" s="1"/>
  <c r="K18" i="6" s="1"/>
  <c r="K19" i="6" s="1"/>
  <c r="K20" i="6" s="1"/>
  <c r="K21" i="6" s="1"/>
  <c r="K22" i="6" s="1"/>
  <c r="K23" i="6" s="1"/>
  <c r="K24" i="6" s="1"/>
  <c r="K25" i="6" s="1"/>
  <c r="K26" i="6" s="1"/>
  <c r="K27" i="6" s="1"/>
  <c r="K28" i="6" s="1"/>
  <c r="K29" i="6" s="1"/>
  <c r="K30" i="6" s="1"/>
  <c r="K31" i="6" s="1"/>
  <c r="K32" i="6" s="1"/>
  <c r="K33" i="6" s="1"/>
  <c r="K34" i="6" s="1"/>
  <c r="K35" i="6" s="1"/>
  <c r="K36" i="6" s="1"/>
  <c r="K37" i="6" s="1"/>
  <c r="K38" i="6" s="1"/>
  <c r="K39" i="6" s="1"/>
  <c r="K40" i="6" s="1"/>
  <c r="K41" i="6" s="1"/>
  <c r="K42" i="6" s="1"/>
  <c r="K43" i="6" s="1"/>
  <c r="K44" i="6" s="1"/>
  <c r="K45" i="6" s="1"/>
  <c r="K46" i="6" s="1"/>
  <c r="K47" i="6" s="1"/>
  <c r="K48" i="6" s="1"/>
  <c r="K49" i="6" s="1"/>
  <c r="K50" i="6" s="1"/>
  <c r="K51" i="6" s="1"/>
  <c r="K52" i="6" s="1"/>
  <c r="K53" i="6" s="1"/>
  <c r="K54" i="6" s="1"/>
  <c r="K55" i="6" s="1"/>
  <c r="K56" i="6" s="1"/>
  <c r="K57" i="6" s="1"/>
  <c r="K58" i="6" s="1"/>
  <c r="K59" i="6" s="1"/>
  <c r="K60" i="6" s="1"/>
  <c r="K61" i="6" s="1"/>
  <c r="K62" i="6" s="1"/>
  <c r="K63" i="6" s="1"/>
  <c r="K64" i="6" s="1"/>
  <c r="K65" i="6" s="1"/>
  <c r="K66" i="6" s="1"/>
  <c r="K67" i="6" s="1"/>
  <c r="K68" i="6" s="1"/>
  <c r="K69" i="6" s="1"/>
  <c r="K70" i="6" s="1"/>
  <c r="K71" i="6" s="1"/>
  <c r="K72" i="6" s="1"/>
  <c r="K73" i="6" s="1"/>
  <c r="K74" i="6" s="1"/>
  <c r="K75" i="6" s="1"/>
  <c r="K76" i="6" s="1"/>
  <c r="K77" i="6" s="1"/>
  <c r="K78" i="6" s="1"/>
  <c r="K79" i="6" s="1"/>
  <c r="K80" i="6" s="1"/>
  <c r="K81" i="6" s="1"/>
  <c r="K82" i="6" s="1"/>
  <c r="K83" i="6" s="1"/>
  <c r="K84" i="6" s="1"/>
  <c r="K85" i="6" s="1"/>
  <c r="K86" i="6" s="1"/>
  <c r="K87" i="6" s="1"/>
  <c r="K88" i="6" s="1"/>
  <c r="K89" i="6" s="1"/>
  <c r="K90" i="6" s="1"/>
  <c r="K91" i="6" s="1"/>
  <c r="K92" i="6" s="1"/>
  <c r="K93" i="6" s="1"/>
  <c r="K94" i="6" s="1"/>
  <c r="K95" i="6" s="1"/>
  <c r="K96" i="6" s="1"/>
  <c r="K97" i="6" s="1"/>
  <c r="K98" i="6" s="1"/>
  <c r="K99" i="6" s="1"/>
  <c r="K100" i="6" s="1"/>
  <c r="K101" i="6" s="1"/>
  <c r="K102" i="6" s="1"/>
  <c r="J4" i="6"/>
  <c r="H4" i="6"/>
  <c r="H5" i="6" s="1"/>
  <c r="T3" i="6"/>
  <c r="Q3" i="6"/>
  <c r="P3" i="6"/>
  <c r="N3" i="6"/>
  <c r="G3" i="6"/>
  <c r="O3" i="6" s="1"/>
  <c r="R3" i="6"/>
  <c r="AI102" i="4"/>
  <c r="AI101" i="4"/>
  <c r="AI100" i="4"/>
  <c r="AI99" i="4"/>
  <c r="AI98" i="4"/>
  <c r="AI97" i="4"/>
  <c r="AI96" i="4"/>
  <c r="AI95" i="4"/>
  <c r="AI94" i="4"/>
  <c r="AI93" i="4"/>
  <c r="AI92" i="4"/>
  <c r="AI91" i="4"/>
  <c r="AI90" i="4"/>
  <c r="AI89" i="4"/>
  <c r="AI88" i="4"/>
  <c r="AI87" i="4"/>
  <c r="AI86" i="4"/>
  <c r="AI85" i="4"/>
  <c r="AI84" i="4"/>
  <c r="AI83" i="4"/>
  <c r="AI82" i="4"/>
  <c r="AI81" i="4"/>
  <c r="AI80" i="4"/>
  <c r="AI79" i="4"/>
  <c r="AI78" i="4"/>
  <c r="AI77" i="4"/>
  <c r="AI76" i="4"/>
  <c r="AI75" i="4"/>
  <c r="AI74" i="4"/>
  <c r="AI73" i="4"/>
  <c r="AI72" i="4"/>
  <c r="AI71" i="4"/>
  <c r="AI70" i="4"/>
  <c r="AI69" i="4"/>
  <c r="AI68" i="4"/>
  <c r="AI67" i="4"/>
  <c r="AI66" i="4"/>
  <c r="AI65" i="4"/>
  <c r="AI64" i="4"/>
  <c r="AI63" i="4"/>
  <c r="AI62" i="4"/>
  <c r="AI61" i="4"/>
  <c r="AI60" i="4"/>
  <c r="AI59" i="4"/>
  <c r="AI58" i="4"/>
  <c r="AI57" i="4"/>
  <c r="AI56" i="4"/>
  <c r="AI55" i="4"/>
  <c r="AI54" i="4"/>
  <c r="AI53" i="4"/>
  <c r="AI52" i="4"/>
  <c r="AI51" i="4"/>
  <c r="AI50" i="4"/>
  <c r="AI49" i="4"/>
  <c r="AI48" i="4"/>
  <c r="AI47" i="4"/>
  <c r="AI46" i="4"/>
  <c r="AI45" i="4"/>
  <c r="AI44" i="4"/>
  <c r="AI43" i="4"/>
  <c r="AI42" i="4"/>
  <c r="AI41" i="4"/>
  <c r="AI40" i="4"/>
  <c r="AI39" i="4"/>
  <c r="AI38" i="4"/>
  <c r="AI37" i="4"/>
  <c r="AI36" i="4"/>
  <c r="AI35" i="4"/>
  <c r="AI34" i="4"/>
  <c r="AI33" i="4"/>
  <c r="AI32" i="4"/>
  <c r="AI31" i="4"/>
  <c r="AI30" i="4"/>
  <c r="AI29" i="4"/>
  <c r="AI28" i="4"/>
  <c r="AI27" i="4"/>
  <c r="AI26" i="4"/>
  <c r="AI25" i="4"/>
  <c r="AI24" i="4"/>
  <c r="AI23" i="4"/>
  <c r="AI22" i="4"/>
  <c r="AI21" i="4"/>
  <c r="AI20" i="4"/>
  <c r="AI19" i="4"/>
  <c r="AI18" i="4"/>
  <c r="AI17" i="4"/>
  <c r="AI16" i="4"/>
  <c r="AI15" i="4"/>
  <c r="AI14" i="4"/>
  <c r="AI13" i="4"/>
  <c r="AI12" i="4"/>
  <c r="AI11" i="4"/>
  <c r="AI10" i="4"/>
  <c r="AI9" i="4"/>
  <c r="AI8" i="4"/>
  <c r="AI7" i="4"/>
  <c r="AH7" i="4"/>
  <c r="AH8" i="4" s="1"/>
  <c r="AI6" i="4"/>
  <c r="N5" i="4"/>
  <c r="J5" i="4"/>
  <c r="J6" i="4" s="1"/>
  <c r="J7" i="4" s="1"/>
  <c r="N4" i="4"/>
  <c r="K4" i="4"/>
  <c r="K5" i="4" s="1"/>
  <c r="K6" i="4" s="1"/>
  <c r="K7" i="4" s="1"/>
  <c r="K8" i="4" s="1"/>
  <c r="K9" i="4" s="1"/>
  <c r="K10" i="4" s="1"/>
  <c r="K11" i="4" s="1"/>
  <c r="K12" i="4" s="1"/>
  <c r="K13" i="4" s="1"/>
  <c r="K14" i="4" s="1"/>
  <c r="K15" i="4" s="1"/>
  <c r="K16" i="4" s="1"/>
  <c r="K17" i="4" s="1"/>
  <c r="K18" i="4" s="1"/>
  <c r="K19" i="4" s="1"/>
  <c r="K20" i="4" s="1"/>
  <c r="K21" i="4" s="1"/>
  <c r="K22" i="4" s="1"/>
  <c r="K23" i="4" s="1"/>
  <c r="K24" i="4" s="1"/>
  <c r="K25" i="4" s="1"/>
  <c r="K26" i="4" s="1"/>
  <c r="K27" i="4" s="1"/>
  <c r="K28" i="4" s="1"/>
  <c r="K29" i="4" s="1"/>
  <c r="K30" i="4" s="1"/>
  <c r="K31" i="4" s="1"/>
  <c r="K32" i="4" s="1"/>
  <c r="K33" i="4" s="1"/>
  <c r="K34" i="4" s="1"/>
  <c r="K35" i="4" s="1"/>
  <c r="K36" i="4" s="1"/>
  <c r="K37" i="4" s="1"/>
  <c r="K38" i="4" s="1"/>
  <c r="K39" i="4" s="1"/>
  <c r="K40" i="4" s="1"/>
  <c r="K41" i="4" s="1"/>
  <c r="K42" i="4" s="1"/>
  <c r="K43" i="4" s="1"/>
  <c r="K44" i="4" s="1"/>
  <c r="K45" i="4" s="1"/>
  <c r="K46" i="4" s="1"/>
  <c r="K47" i="4" s="1"/>
  <c r="K48" i="4" s="1"/>
  <c r="K49" i="4" s="1"/>
  <c r="K50" i="4" s="1"/>
  <c r="K51" i="4" s="1"/>
  <c r="K52" i="4" s="1"/>
  <c r="K53" i="4" s="1"/>
  <c r="K54" i="4" s="1"/>
  <c r="K55" i="4" s="1"/>
  <c r="K56" i="4" s="1"/>
  <c r="K57" i="4" s="1"/>
  <c r="K58" i="4" s="1"/>
  <c r="K59" i="4" s="1"/>
  <c r="K60" i="4" s="1"/>
  <c r="K61" i="4" s="1"/>
  <c r="K62" i="4" s="1"/>
  <c r="K63" i="4" s="1"/>
  <c r="K64" i="4" s="1"/>
  <c r="K65" i="4" s="1"/>
  <c r="K66" i="4" s="1"/>
  <c r="K67" i="4" s="1"/>
  <c r="K68" i="4" s="1"/>
  <c r="K69" i="4" s="1"/>
  <c r="K70" i="4" s="1"/>
  <c r="K71" i="4" s="1"/>
  <c r="K72" i="4" s="1"/>
  <c r="K73" i="4" s="1"/>
  <c r="K74" i="4" s="1"/>
  <c r="K75" i="4" s="1"/>
  <c r="K76" i="4" s="1"/>
  <c r="K77" i="4" s="1"/>
  <c r="K78" i="4" s="1"/>
  <c r="K79" i="4" s="1"/>
  <c r="K80" i="4" s="1"/>
  <c r="K81" i="4" s="1"/>
  <c r="K82" i="4" s="1"/>
  <c r="K83" i="4" s="1"/>
  <c r="K84" i="4" s="1"/>
  <c r="K85" i="4" s="1"/>
  <c r="K86" i="4" s="1"/>
  <c r="K87" i="4" s="1"/>
  <c r="K88" i="4" s="1"/>
  <c r="K89" i="4" s="1"/>
  <c r="K90" i="4" s="1"/>
  <c r="K91" i="4" s="1"/>
  <c r="K92" i="4" s="1"/>
  <c r="K93" i="4" s="1"/>
  <c r="K94" i="4" s="1"/>
  <c r="K95" i="4" s="1"/>
  <c r="K96" i="4" s="1"/>
  <c r="K97" i="4" s="1"/>
  <c r="K98" i="4" s="1"/>
  <c r="K99" i="4" s="1"/>
  <c r="K100" i="4" s="1"/>
  <c r="K101" i="4" s="1"/>
  <c r="K102" i="4" s="1"/>
  <c r="J4" i="4"/>
  <c r="H4" i="4"/>
  <c r="H5" i="4" s="1"/>
  <c r="Z3" i="4"/>
  <c r="T3" i="4"/>
  <c r="P3" i="4"/>
  <c r="O3" i="4"/>
  <c r="N3" i="4"/>
  <c r="G3" i="4"/>
  <c r="AA3" i="4" s="1"/>
  <c r="O2" i="4"/>
  <c r="AH8" i="1"/>
  <c r="AH9" i="1" s="1"/>
  <c r="AH10" i="1" s="1"/>
  <c r="AH11" i="1" s="1"/>
  <c r="AH12" i="1" s="1"/>
  <c r="AH13" i="1" s="1"/>
  <c r="AH14" i="1" s="1"/>
  <c r="AH15" i="1" s="1"/>
  <c r="AH16" i="1" s="1"/>
  <c r="AH17" i="1" s="1"/>
  <c r="AH18" i="1" s="1"/>
  <c r="AH19" i="1" s="1"/>
  <c r="AH20" i="1" s="1"/>
  <c r="AH21" i="1" s="1"/>
  <c r="AH22" i="1" s="1"/>
  <c r="AH23" i="1" s="1"/>
  <c r="AH24" i="1" s="1"/>
  <c r="AH25" i="1" s="1"/>
  <c r="AH26" i="1" s="1"/>
  <c r="AH27" i="1" s="1"/>
  <c r="AH28" i="1" s="1"/>
  <c r="AH29" i="1" s="1"/>
  <c r="AH30" i="1" s="1"/>
  <c r="AH31" i="1" s="1"/>
  <c r="AH32" i="1" s="1"/>
  <c r="AH33" i="1" s="1"/>
  <c r="AH34" i="1" s="1"/>
  <c r="AH35" i="1" s="1"/>
  <c r="AH36" i="1" s="1"/>
  <c r="AH37" i="1" s="1"/>
  <c r="AH38" i="1" s="1"/>
  <c r="AH39" i="1" s="1"/>
  <c r="AH40" i="1" s="1"/>
  <c r="AH41" i="1" s="1"/>
  <c r="AH42" i="1" s="1"/>
  <c r="AH43" i="1" s="1"/>
  <c r="AH44" i="1" s="1"/>
  <c r="AH45" i="1" s="1"/>
  <c r="AH46" i="1" s="1"/>
  <c r="AH47" i="1" s="1"/>
  <c r="AH48" i="1" s="1"/>
  <c r="AH49" i="1" s="1"/>
  <c r="AH50" i="1" s="1"/>
  <c r="AH51" i="1" s="1"/>
  <c r="AH52" i="1" s="1"/>
  <c r="AH53" i="1" s="1"/>
  <c r="AH54" i="1" s="1"/>
  <c r="AH55" i="1" s="1"/>
  <c r="AH56" i="1" s="1"/>
  <c r="AH57" i="1" s="1"/>
  <c r="AH58" i="1" s="1"/>
  <c r="AH59" i="1" s="1"/>
  <c r="AH60" i="1" s="1"/>
  <c r="AH61" i="1" s="1"/>
  <c r="AH62" i="1" s="1"/>
  <c r="AH63" i="1" s="1"/>
  <c r="AH64" i="1" s="1"/>
  <c r="AH65" i="1" s="1"/>
  <c r="AH66" i="1" s="1"/>
  <c r="AH67" i="1" s="1"/>
  <c r="AH68" i="1" s="1"/>
  <c r="AH69" i="1" s="1"/>
  <c r="AH70" i="1" s="1"/>
  <c r="AH71" i="1" s="1"/>
  <c r="AH72" i="1" s="1"/>
  <c r="AH73" i="1" s="1"/>
  <c r="AH74" i="1" s="1"/>
  <c r="AH75" i="1" s="1"/>
  <c r="AH76" i="1" s="1"/>
  <c r="AH77" i="1" s="1"/>
  <c r="AH78" i="1" s="1"/>
  <c r="AH79" i="1" s="1"/>
  <c r="AH80" i="1" s="1"/>
  <c r="AH81" i="1" s="1"/>
  <c r="AH82" i="1" s="1"/>
  <c r="AH83" i="1" s="1"/>
  <c r="AH84" i="1" s="1"/>
  <c r="AH85" i="1" s="1"/>
  <c r="AH86" i="1" s="1"/>
  <c r="AH87" i="1" s="1"/>
  <c r="AH88" i="1" s="1"/>
  <c r="AH89" i="1" s="1"/>
  <c r="AH90" i="1" s="1"/>
  <c r="AH91" i="1" s="1"/>
  <c r="AH92" i="1" s="1"/>
  <c r="AH93" i="1" s="1"/>
  <c r="AH94" i="1" s="1"/>
  <c r="AH95" i="1" s="1"/>
  <c r="AH96" i="1" s="1"/>
  <c r="AH97" i="1" s="1"/>
  <c r="AH98" i="1" s="1"/>
  <c r="AH99" i="1" s="1"/>
  <c r="AH100" i="1" s="1"/>
  <c r="AH101" i="1" s="1"/>
  <c r="AH102" i="1" s="1"/>
  <c r="AH7" i="1"/>
  <c r="AI102" i="1"/>
  <c r="AI101" i="1"/>
  <c r="AI100" i="1"/>
  <c r="AI99" i="1"/>
  <c r="AI98" i="1"/>
  <c r="AI97" i="1"/>
  <c r="AI96" i="1"/>
  <c r="AI95" i="1"/>
  <c r="AI94" i="1"/>
  <c r="AI93" i="1"/>
  <c r="AI92" i="1"/>
  <c r="AI91" i="1"/>
  <c r="AI90" i="1"/>
  <c r="AI89" i="1"/>
  <c r="AI88" i="1"/>
  <c r="AI87" i="1"/>
  <c r="AI86" i="1"/>
  <c r="AI85" i="1"/>
  <c r="AI84" i="1"/>
  <c r="AI83" i="1"/>
  <c r="AI82" i="1"/>
  <c r="AI81" i="1"/>
  <c r="AI80" i="1"/>
  <c r="AI79" i="1"/>
  <c r="AI78" i="1"/>
  <c r="AI77" i="1"/>
  <c r="AI76" i="1"/>
  <c r="AI75" i="1"/>
  <c r="AI74" i="1"/>
  <c r="AI73" i="1"/>
  <c r="AI72" i="1"/>
  <c r="AI71" i="1"/>
  <c r="AI70" i="1"/>
  <c r="AI69" i="1"/>
  <c r="AI68" i="1"/>
  <c r="AI67" i="1"/>
  <c r="AI66" i="1"/>
  <c r="AI65" i="1"/>
  <c r="AI64" i="1"/>
  <c r="AI63" i="1"/>
  <c r="AI62" i="1"/>
  <c r="AI61" i="1"/>
  <c r="AI60" i="1"/>
  <c r="AI59" i="1"/>
  <c r="AI58" i="1"/>
  <c r="AI57" i="1"/>
  <c r="AI56" i="1"/>
  <c r="AI55" i="1"/>
  <c r="AI54" i="1"/>
  <c r="AI53" i="1"/>
  <c r="AI52" i="1"/>
  <c r="AI51" i="1"/>
  <c r="AI50" i="1"/>
  <c r="AI49" i="1"/>
  <c r="AI48" i="1"/>
  <c r="AI47" i="1"/>
  <c r="AI46" i="1"/>
  <c r="AI45" i="1"/>
  <c r="AI44" i="1"/>
  <c r="AI43" i="1"/>
  <c r="AI42" i="1"/>
  <c r="AI41" i="1"/>
  <c r="AI40" i="1"/>
  <c r="AI39" i="1"/>
  <c r="AI38" i="1"/>
  <c r="AI37" i="1"/>
  <c r="AI36" i="1"/>
  <c r="AI35" i="1"/>
  <c r="AI34" i="1"/>
  <c r="AI33" i="1"/>
  <c r="AI32" i="1"/>
  <c r="AI31" i="1"/>
  <c r="AI30" i="1"/>
  <c r="AI29" i="1"/>
  <c r="AI28" i="1"/>
  <c r="AI27" i="1"/>
  <c r="AI26" i="1"/>
  <c r="AI25" i="1"/>
  <c r="AI24" i="1"/>
  <c r="AI23" i="1"/>
  <c r="AI22" i="1"/>
  <c r="AI21" i="1"/>
  <c r="AI20" i="1"/>
  <c r="AI19" i="1"/>
  <c r="AI18" i="1"/>
  <c r="AI17" i="1"/>
  <c r="AI16" i="1"/>
  <c r="AI15" i="1"/>
  <c r="AI14" i="1"/>
  <c r="AI13" i="1"/>
  <c r="AI12" i="1"/>
  <c r="AI11" i="1"/>
  <c r="AI10" i="1"/>
  <c r="AI9" i="1"/>
  <c r="AI8" i="1"/>
  <c r="AI7" i="1"/>
  <c r="AI6" i="1"/>
  <c r="O102" i="1"/>
  <c r="O101" i="1"/>
  <c r="O100" i="1"/>
  <c r="O99" i="1"/>
  <c r="AA102" i="1"/>
  <c r="AA101" i="1"/>
  <c r="AA100" i="1"/>
  <c r="N5" i="1"/>
  <c r="N4" i="1"/>
  <c r="N3" i="1"/>
  <c r="F5" i="1"/>
  <c r="F4" i="1"/>
  <c r="AA5" i="1"/>
  <c r="AA4" i="1"/>
  <c r="AA3" i="1"/>
  <c r="Z102" i="1"/>
  <c r="Z101" i="1"/>
  <c r="Z100" i="1"/>
  <c r="Z5" i="1"/>
  <c r="Z4" i="1"/>
  <c r="Z3" i="1"/>
  <c r="O5" i="1"/>
  <c r="O4" i="1"/>
  <c r="O3" i="1"/>
  <c r="X102" i="1"/>
  <c r="W102" i="1"/>
  <c r="X101" i="1"/>
  <c r="W101" i="1"/>
  <c r="X100" i="1"/>
  <c r="W100" i="1"/>
  <c r="X99" i="1"/>
  <c r="W99" i="1"/>
  <c r="X5" i="1"/>
  <c r="W5" i="1"/>
  <c r="X4" i="1"/>
  <c r="W4" i="1"/>
  <c r="X3" i="1"/>
  <c r="W3" i="1"/>
  <c r="K5" i="1"/>
  <c r="K6" i="1" s="1"/>
  <c r="K7" i="1" s="1"/>
  <c r="K8" i="1" s="1"/>
  <c r="K9" i="1" s="1"/>
  <c r="K10" i="1" s="1"/>
  <c r="K11" i="1" s="1"/>
  <c r="K12" i="1" s="1"/>
  <c r="K13" i="1" s="1"/>
  <c r="K14" i="1" s="1"/>
  <c r="K15" i="1" s="1"/>
  <c r="K16" i="1" s="1"/>
  <c r="K17" i="1" s="1"/>
  <c r="K18" i="1" s="1"/>
  <c r="K19" i="1" s="1"/>
  <c r="K20" i="1" s="1"/>
  <c r="K21" i="1" s="1"/>
  <c r="K22" i="1" s="1"/>
  <c r="K23" i="1" s="1"/>
  <c r="K24" i="1" s="1"/>
  <c r="K25" i="1" s="1"/>
  <c r="K26" i="1" s="1"/>
  <c r="K27" i="1" s="1"/>
  <c r="K28" i="1" s="1"/>
  <c r="K29" i="1" s="1"/>
  <c r="K30" i="1" s="1"/>
  <c r="K31" i="1" s="1"/>
  <c r="K32" i="1" s="1"/>
  <c r="K33" i="1" s="1"/>
  <c r="K34" i="1" s="1"/>
  <c r="K35" i="1" s="1"/>
  <c r="K36" i="1" s="1"/>
  <c r="K37" i="1" s="1"/>
  <c r="K38" i="1" s="1"/>
  <c r="K39" i="1" s="1"/>
  <c r="K40" i="1" s="1"/>
  <c r="K41" i="1" s="1"/>
  <c r="K42" i="1" s="1"/>
  <c r="K43" i="1" s="1"/>
  <c r="K44" i="1" s="1"/>
  <c r="K45" i="1" s="1"/>
  <c r="K46" i="1" s="1"/>
  <c r="K47" i="1" s="1"/>
  <c r="K48" i="1" s="1"/>
  <c r="K49" i="1" s="1"/>
  <c r="K50" i="1" s="1"/>
  <c r="K51" i="1" s="1"/>
  <c r="K52" i="1" s="1"/>
  <c r="K53" i="1" s="1"/>
  <c r="K54" i="1" s="1"/>
  <c r="K55" i="1" s="1"/>
  <c r="K56" i="1" s="1"/>
  <c r="K57" i="1" s="1"/>
  <c r="K58" i="1" s="1"/>
  <c r="K59" i="1" s="1"/>
  <c r="K60" i="1" s="1"/>
  <c r="K61" i="1" s="1"/>
  <c r="K62" i="1" s="1"/>
  <c r="K63" i="1" s="1"/>
  <c r="K64" i="1" s="1"/>
  <c r="K65" i="1" s="1"/>
  <c r="K66" i="1" s="1"/>
  <c r="K67" i="1" s="1"/>
  <c r="K68" i="1" s="1"/>
  <c r="K69" i="1" s="1"/>
  <c r="K70" i="1" s="1"/>
  <c r="K71" i="1" s="1"/>
  <c r="K72" i="1" s="1"/>
  <c r="K73" i="1" s="1"/>
  <c r="K74" i="1" s="1"/>
  <c r="K75" i="1" s="1"/>
  <c r="K76" i="1" s="1"/>
  <c r="K77" i="1" s="1"/>
  <c r="K78" i="1" s="1"/>
  <c r="K79" i="1" s="1"/>
  <c r="K80" i="1" s="1"/>
  <c r="K81" i="1" s="1"/>
  <c r="K82" i="1" s="1"/>
  <c r="K83" i="1" s="1"/>
  <c r="K84" i="1" s="1"/>
  <c r="K85" i="1" s="1"/>
  <c r="K86" i="1" s="1"/>
  <c r="K87" i="1" s="1"/>
  <c r="K88" i="1" s="1"/>
  <c r="K89" i="1" s="1"/>
  <c r="K90" i="1" s="1"/>
  <c r="K91" i="1" s="1"/>
  <c r="K92" i="1" s="1"/>
  <c r="K93" i="1" s="1"/>
  <c r="K94" i="1" s="1"/>
  <c r="K95" i="1" s="1"/>
  <c r="K96" i="1" s="1"/>
  <c r="K97" i="1" s="1"/>
  <c r="K98" i="1" s="1"/>
  <c r="K99" i="1" s="1"/>
  <c r="K100" i="1" s="1"/>
  <c r="K101" i="1" s="1"/>
  <c r="K102" i="1" s="1"/>
  <c r="K4" i="1"/>
  <c r="U102" i="1"/>
  <c r="T102" i="1"/>
  <c r="S102" i="1"/>
  <c r="R102" i="1"/>
  <c r="Q102" i="1"/>
  <c r="P102" i="1"/>
  <c r="U101" i="1"/>
  <c r="T101" i="1"/>
  <c r="S101" i="1"/>
  <c r="R101" i="1"/>
  <c r="Q101" i="1"/>
  <c r="P101" i="1"/>
  <c r="U100" i="1"/>
  <c r="T100" i="1"/>
  <c r="S100" i="1"/>
  <c r="R100" i="1"/>
  <c r="Q100" i="1"/>
  <c r="P100" i="1"/>
  <c r="U99" i="1"/>
  <c r="T99" i="1"/>
  <c r="S99" i="1"/>
  <c r="R99" i="1"/>
  <c r="Q99" i="1"/>
  <c r="P99" i="1"/>
  <c r="U5" i="1"/>
  <c r="T5" i="1"/>
  <c r="S5" i="1"/>
  <c r="R5" i="1"/>
  <c r="Q5" i="1"/>
  <c r="P5" i="1"/>
  <c r="U4" i="1"/>
  <c r="T4" i="1"/>
  <c r="S4" i="1"/>
  <c r="R4" i="1"/>
  <c r="Q4" i="1"/>
  <c r="P4" i="1"/>
  <c r="U3" i="1"/>
  <c r="T3" i="1"/>
  <c r="S3" i="1"/>
  <c r="R3" i="1"/>
  <c r="Q3" i="1"/>
  <c r="P3" i="1"/>
  <c r="M48" i="27" l="1"/>
  <c r="X48" i="27" s="1"/>
  <c r="P48" i="27"/>
  <c r="Z48" i="27"/>
  <c r="Q48" i="27"/>
  <c r="G49" i="27"/>
  <c r="U48" i="27"/>
  <c r="Q28" i="27"/>
  <c r="G29" i="27"/>
  <c r="P28" i="27"/>
  <c r="Z28" i="27"/>
  <c r="U28" i="27"/>
  <c r="M28" i="27"/>
  <c r="X28" i="27" s="1"/>
  <c r="M8" i="27"/>
  <c r="X8" i="27" s="1"/>
  <c r="Z8" i="27"/>
  <c r="Q8" i="27"/>
  <c r="G9" i="27"/>
  <c r="P8" i="27"/>
  <c r="U8" i="27"/>
  <c r="M48" i="28"/>
  <c r="X48" i="28" s="1"/>
  <c r="G49" i="28"/>
  <c r="Z48" i="28"/>
  <c r="Q48" i="28"/>
  <c r="U48" i="28"/>
  <c r="P48" i="28"/>
  <c r="M28" i="28"/>
  <c r="X28" i="28" s="1"/>
  <c r="Q28" i="28"/>
  <c r="G29" i="28"/>
  <c r="P28" i="28"/>
  <c r="Z28" i="28"/>
  <c r="U28" i="28"/>
  <c r="N9" i="28"/>
  <c r="N8" i="28"/>
  <c r="O8" i="28" s="1"/>
  <c r="T8" i="28"/>
  <c r="M8" i="28"/>
  <c r="X8" i="28" s="1"/>
  <c r="Z8" i="28"/>
  <c r="Q8" i="28"/>
  <c r="G9" i="28"/>
  <c r="P8" i="28"/>
  <c r="U8" i="28"/>
  <c r="N7" i="28"/>
  <c r="T7" i="28"/>
  <c r="T5" i="28"/>
  <c r="O5" i="28"/>
  <c r="P5" i="28"/>
  <c r="U5" i="28"/>
  <c r="M48" i="26"/>
  <c r="X48" i="26" s="1"/>
  <c r="Z48" i="26"/>
  <c r="P48" i="26"/>
  <c r="Q48" i="26"/>
  <c r="G49" i="26"/>
  <c r="U48" i="26"/>
  <c r="M28" i="26"/>
  <c r="X28" i="26" s="1"/>
  <c r="Z28" i="26"/>
  <c r="Q28" i="26"/>
  <c r="G29" i="26"/>
  <c r="P28" i="26"/>
  <c r="U28" i="26"/>
  <c r="M8" i="26"/>
  <c r="X8" i="26" s="1"/>
  <c r="Z8" i="26"/>
  <c r="Q8" i="26"/>
  <c r="G9" i="26"/>
  <c r="P8" i="26"/>
  <c r="U8" i="26"/>
  <c r="M49" i="25"/>
  <c r="X49" i="25" s="1"/>
  <c r="Q49" i="25"/>
  <c r="G50" i="25"/>
  <c r="P49" i="25"/>
  <c r="Z49" i="25"/>
  <c r="U49" i="25"/>
  <c r="M28" i="25"/>
  <c r="X28" i="25" s="1"/>
  <c r="G29" i="25"/>
  <c r="P28" i="25"/>
  <c r="Z28" i="25"/>
  <c r="Q28" i="25"/>
  <c r="U28" i="25"/>
  <c r="N6" i="25"/>
  <c r="T6" i="25"/>
  <c r="N7" i="25"/>
  <c r="T7" i="25"/>
  <c r="M8" i="25"/>
  <c r="X8" i="25" s="1"/>
  <c r="Z8" i="25"/>
  <c r="Q8" i="25"/>
  <c r="G9" i="25"/>
  <c r="P8" i="25"/>
  <c r="U8" i="25"/>
  <c r="N8" i="25"/>
  <c r="O8" i="25" s="1"/>
  <c r="T8" i="25"/>
  <c r="M49" i="24"/>
  <c r="X49" i="24" s="1"/>
  <c r="Z49" i="24"/>
  <c r="G50" i="24"/>
  <c r="P49" i="24"/>
  <c r="Q49" i="24"/>
  <c r="U49" i="24"/>
  <c r="Q28" i="24"/>
  <c r="G29" i="24"/>
  <c r="P28" i="24"/>
  <c r="Z28" i="24"/>
  <c r="U28" i="24"/>
  <c r="M28" i="24"/>
  <c r="X28" i="24" s="1"/>
  <c r="N9" i="24"/>
  <c r="O9" i="24" s="1"/>
  <c r="M8" i="24"/>
  <c r="X8" i="24" s="1"/>
  <c r="Q8" i="24"/>
  <c r="G9" i="24"/>
  <c r="P8" i="24"/>
  <c r="Z8" i="24"/>
  <c r="U8" i="24"/>
  <c r="N6" i="24"/>
  <c r="T6" i="24"/>
  <c r="M48" i="23"/>
  <c r="X48" i="23" s="1"/>
  <c r="Q48" i="23"/>
  <c r="G49" i="23"/>
  <c r="P48" i="23"/>
  <c r="Z48" i="23"/>
  <c r="U48" i="23"/>
  <c r="M8" i="23"/>
  <c r="X8" i="23" s="1"/>
  <c r="Q8" i="23"/>
  <c r="G9" i="23"/>
  <c r="P8" i="23"/>
  <c r="AA8" i="23"/>
  <c r="Z8" i="23"/>
  <c r="U8" i="23"/>
  <c r="N7" i="23"/>
  <c r="T7" i="23"/>
  <c r="N6" i="23"/>
  <c r="O6" i="23" s="1"/>
  <c r="T6" i="23"/>
  <c r="T8" i="23"/>
  <c r="N9" i="23"/>
  <c r="O9" i="23" s="1"/>
  <c r="T9" i="23"/>
  <c r="C5" i="23"/>
  <c r="R5" i="23" s="1"/>
  <c r="D5" i="23"/>
  <c r="S5" i="23" s="1"/>
  <c r="M48" i="22"/>
  <c r="X48" i="22" s="1"/>
  <c r="Q48" i="22"/>
  <c r="G49" i="22"/>
  <c r="P48" i="22"/>
  <c r="Z48" i="22"/>
  <c r="U48" i="22"/>
  <c r="M28" i="22"/>
  <c r="X28" i="22" s="1"/>
  <c r="Q28" i="22"/>
  <c r="G29" i="22"/>
  <c r="P28" i="22"/>
  <c r="Z28" i="22"/>
  <c r="U28" i="22"/>
  <c r="M8" i="22"/>
  <c r="X8" i="22" s="1"/>
  <c r="Z8" i="22"/>
  <c r="P8" i="22"/>
  <c r="U8" i="22"/>
  <c r="G9" i="22"/>
  <c r="Q8" i="22"/>
  <c r="O5" i="22"/>
  <c r="P5" i="22"/>
  <c r="M48" i="21"/>
  <c r="X48" i="21" s="1"/>
  <c r="Z48" i="21"/>
  <c r="P48" i="21"/>
  <c r="Q48" i="21"/>
  <c r="G49" i="21"/>
  <c r="U48" i="21"/>
  <c r="Q28" i="21"/>
  <c r="G29" i="21"/>
  <c r="P28" i="21"/>
  <c r="Z28" i="21"/>
  <c r="U28" i="21"/>
  <c r="M28" i="21"/>
  <c r="X28" i="21" s="1"/>
  <c r="N9" i="21"/>
  <c r="O9" i="21" s="1"/>
  <c r="M8" i="21"/>
  <c r="X8" i="21" s="1"/>
  <c r="Z8" i="21"/>
  <c r="Q8" i="21"/>
  <c r="G9" i="21"/>
  <c r="P8" i="21"/>
  <c r="U8" i="21"/>
  <c r="N6" i="21"/>
  <c r="T6" i="21"/>
  <c r="O5" i="20"/>
  <c r="P5" i="20"/>
  <c r="Q5" i="20"/>
  <c r="U5" i="20"/>
  <c r="AJ10" i="28"/>
  <c r="E10" i="28" s="1"/>
  <c r="AH11" i="28"/>
  <c r="AJ6" i="28"/>
  <c r="E6" i="28" s="1"/>
  <c r="J7" i="28"/>
  <c r="L6" i="28"/>
  <c r="W6" i="28" s="1"/>
  <c r="D5" i="28"/>
  <c r="S5" i="28" s="1"/>
  <c r="M5" i="28"/>
  <c r="X5" i="28" s="1"/>
  <c r="L5" i="28"/>
  <c r="W5" i="28" s="1"/>
  <c r="AA5" i="28"/>
  <c r="Z5" i="28"/>
  <c r="C5" i="28"/>
  <c r="R5" i="28" s="1"/>
  <c r="H9" i="28"/>
  <c r="C8" i="28"/>
  <c r="R8" i="28" s="1"/>
  <c r="D8" i="28"/>
  <c r="S8" i="28" s="1"/>
  <c r="L7" i="25"/>
  <c r="W7" i="25" s="1"/>
  <c r="J8" i="25"/>
  <c r="AH12" i="27"/>
  <c r="D9" i="25"/>
  <c r="S9" i="25" s="1"/>
  <c r="C9" i="25"/>
  <c r="R9" i="25" s="1"/>
  <c r="H10" i="25"/>
  <c r="AJ7" i="24"/>
  <c r="E7" i="24" s="1"/>
  <c r="AJ8" i="24"/>
  <c r="E8" i="24" s="1"/>
  <c r="H8" i="24"/>
  <c r="D7" i="24"/>
  <c r="S7" i="24" s="1"/>
  <c r="C7" i="24"/>
  <c r="R7" i="24" s="1"/>
  <c r="AJ10" i="24"/>
  <c r="E10" i="24" s="1"/>
  <c r="AH11" i="24"/>
  <c r="AL8" i="26"/>
  <c r="AJ8" i="26" s="1"/>
  <c r="E8" i="26" s="1"/>
  <c r="AJ6" i="26"/>
  <c r="E6" i="26" s="1"/>
  <c r="AJ7" i="26"/>
  <c r="E7" i="26" s="1"/>
  <c r="AL8" i="27"/>
  <c r="AJ10" i="27" s="1"/>
  <c r="E10" i="27" s="1"/>
  <c r="AJ8" i="27"/>
  <c r="E8" i="27" s="1"/>
  <c r="AJ7" i="27"/>
  <c r="E7" i="27" s="1"/>
  <c r="AJ9" i="27"/>
  <c r="E9" i="27" s="1"/>
  <c r="J9" i="27"/>
  <c r="AH10" i="26"/>
  <c r="AJ9" i="26"/>
  <c r="E9" i="26" s="1"/>
  <c r="L6" i="26"/>
  <c r="W6" i="26" s="1"/>
  <c r="J7" i="26"/>
  <c r="AH10" i="25"/>
  <c r="AJ9" i="25"/>
  <c r="E9" i="25" s="1"/>
  <c r="L6" i="24"/>
  <c r="W6" i="24" s="1"/>
  <c r="J7" i="24"/>
  <c r="C7" i="27"/>
  <c r="R7" i="27" s="1"/>
  <c r="H8" i="27"/>
  <c r="L8" i="27" s="1"/>
  <c r="W8" i="27" s="1"/>
  <c r="D7" i="27"/>
  <c r="S7" i="27" s="1"/>
  <c r="M5" i="27"/>
  <c r="X5" i="27" s="1"/>
  <c r="L5" i="27"/>
  <c r="W5" i="27" s="1"/>
  <c r="C5" i="27"/>
  <c r="R5" i="27" s="1"/>
  <c r="T5" i="27"/>
  <c r="D5" i="27"/>
  <c r="S5" i="27" s="1"/>
  <c r="P5" i="27"/>
  <c r="AA5" i="27"/>
  <c r="Q5" i="27"/>
  <c r="U5" i="27"/>
  <c r="Z5" i="27"/>
  <c r="O5" i="27"/>
  <c r="H8" i="26"/>
  <c r="D7" i="26"/>
  <c r="S7" i="26" s="1"/>
  <c r="C7" i="26"/>
  <c r="R7" i="26" s="1"/>
  <c r="AJ10" i="23"/>
  <c r="E10" i="23" s="1"/>
  <c r="AH11" i="23"/>
  <c r="D6" i="23"/>
  <c r="S6" i="23" s="1"/>
  <c r="C6" i="23"/>
  <c r="R6" i="23" s="1"/>
  <c r="Z6" i="23"/>
  <c r="H7" i="23"/>
  <c r="C8" i="22"/>
  <c r="R8" i="22" s="1"/>
  <c r="H9" i="22"/>
  <c r="D8" i="22"/>
  <c r="S8" i="22" s="1"/>
  <c r="M5" i="23"/>
  <c r="X5" i="23" s="1"/>
  <c r="L5" i="23"/>
  <c r="W5" i="23" s="1"/>
  <c r="AJ7" i="22"/>
  <c r="E7" i="22" s="1"/>
  <c r="AJ8" i="22"/>
  <c r="E8" i="22" s="1"/>
  <c r="AJ6" i="22"/>
  <c r="E6" i="22" s="1"/>
  <c r="T5" i="23"/>
  <c r="C5" i="22"/>
  <c r="R5" i="22" s="1"/>
  <c r="AA5" i="22"/>
  <c r="M5" i="22"/>
  <c r="X5" i="22" s="1"/>
  <c r="L5" i="22"/>
  <c r="W5" i="22" s="1"/>
  <c r="D5" i="22"/>
  <c r="S5" i="22" s="1"/>
  <c r="Z5" i="22"/>
  <c r="AJ9" i="22"/>
  <c r="E9" i="22" s="1"/>
  <c r="J7" i="23"/>
  <c r="L6" i="23"/>
  <c r="W6" i="23" s="1"/>
  <c r="AJ10" i="22"/>
  <c r="E10" i="22" s="1"/>
  <c r="AH11" i="22"/>
  <c r="U5" i="23"/>
  <c r="U5" i="22"/>
  <c r="O5" i="23"/>
  <c r="T5" i="22"/>
  <c r="P5" i="23"/>
  <c r="Z5" i="23"/>
  <c r="J7" i="22"/>
  <c r="L6" i="22"/>
  <c r="W6" i="22" s="1"/>
  <c r="Q5" i="23"/>
  <c r="J7" i="21"/>
  <c r="L6" i="21"/>
  <c r="W6" i="21" s="1"/>
  <c r="AJ10" i="21"/>
  <c r="E10" i="21" s="1"/>
  <c r="AH11" i="21"/>
  <c r="AJ7" i="21"/>
  <c r="E7" i="21" s="1"/>
  <c r="AJ8" i="21"/>
  <c r="E8" i="21" s="1"/>
  <c r="D7" i="21"/>
  <c r="S7" i="21" s="1"/>
  <c r="C7" i="21"/>
  <c r="R7" i="21" s="1"/>
  <c r="H8" i="21"/>
  <c r="AJ8" i="20"/>
  <c r="E8" i="20" s="1"/>
  <c r="N8" i="20" s="1"/>
  <c r="AJ10" i="20"/>
  <c r="E10" i="20" s="1"/>
  <c r="AH11" i="20"/>
  <c r="G6" i="20"/>
  <c r="Q6" i="20" s="1"/>
  <c r="M5" i="20"/>
  <c r="X5" i="20" s="1"/>
  <c r="L5" i="20"/>
  <c r="W5" i="20" s="1"/>
  <c r="Z5" i="20"/>
  <c r="D5" i="20"/>
  <c r="S5" i="20" s="1"/>
  <c r="AA5" i="20"/>
  <c r="C5" i="20"/>
  <c r="R5" i="20" s="1"/>
  <c r="J7" i="20"/>
  <c r="U6" i="20"/>
  <c r="T6" i="20"/>
  <c r="N6" i="20"/>
  <c r="O6" i="20" s="1"/>
  <c r="N9" i="20"/>
  <c r="H9" i="20"/>
  <c r="D4" i="19"/>
  <c r="S4" i="19" s="1"/>
  <c r="C4" i="19"/>
  <c r="R4" i="19" s="1"/>
  <c r="AA4" i="19"/>
  <c r="N10" i="19"/>
  <c r="J6" i="19"/>
  <c r="H6" i="19"/>
  <c r="C5" i="19"/>
  <c r="R5" i="19" s="1"/>
  <c r="AJ11" i="19"/>
  <c r="E11" i="19" s="1"/>
  <c r="AH12" i="19"/>
  <c r="M4" i="19"/>
  <c r="X4" i="19" s="1"/>
  <c r="L4" i="19"/>
  <c r="W4" i="19" s="1"/>
  <c r="G5" i="19"/>
  <c r="T5" i="19" s="1"/>
  <c r="O4" i="19"/>
  <c r="P4" i="19"/>
  <c r="AJ7" i="19"/>
  <c r="E7" i="19" s="1"/>
  <c r="AJ6" i="19"/>
  <c r="E6" i="19" s="1"/>
  <c r="AL8" i="19"/>
  <c r="AJ8" i="19"/>
  <c r="E8" i="19" s="1"/>
  <c r="AJ9" i="19"/>
  <c r="E9" i="19" s="1"/>
  <c r="D4" i="14"/>
  <c r="D4" i="16"/>
  <c r="C5" i="16"/>
  <c r="C4" i="16"/>
  <c r="T3" i="14"/>
  <c r="C3" i="14"/>
  <c r="AA3" i="14"/>
  <c r="D3" i="14"/>
  <c r="C4" i="14"/>
  <c r="U3" i="14"/>
  <c r="C3" i="4"/>
  <c r="R3" i="4" s="1"/>
  <c r="D3" i="4"/>
  <c r="L3" i="4"/>
  <c r="W3" i="4" s="1"/>
  <c r="C3" i="7"/>
  <c r="R3" i="7" s="1"/>
  <c r="O3" i="7"/>
  <c r="D3" i="7"/>
  <c r="S3" i="7" s="1"/>
  <c r="P3" i="7"/>
  <c r="AA3" i="7"/>
  <c r="Z102" i="13"/>
  <c r="Z102" i="18"/>
  <c r="D82" i="17"/>
  <c r="D89" i="17"/>
  <c r="D97" i="17"/>
  <c r="D83" i="17"/>
  <c r="D91" i="17"/>
  <c r="D98" i="17"/>
  <c r="D85" i="17"/>
  <c r="D92" i="17"/>
  <c r="D100" i="17"/>
  <c r="D86" i="17"/>
  <c r="D94" i="17"/>
  <c r="D101" i="17"/>
  <c r="D88" i="17"/>
  <c r="D95" i="17"/>
  <c r="C83" i="15"/>
  <c r="C95" i="15"/>
  <c r="C86" i="15"/>
  <c r="C98" i="15"/>
  <c r="C89" i="15"/>
  <c r="C101" i="15"/>
  <c r="D4" i="10"/>
  <c r="C102" i="10"/>
  <c r="D102" i="10"/>
  <c r="C3" i="10"/>
  <c r="D3" i="10"/>
  <c r="C102" i="18"/>
  <c r="D102" i="18"/>
  <c r="C83" i="17"/>
  <c r="C86" i="17"/>
  <c r="C89" i="17"/>
  <c r="C92" i="17"/>
  <c r="C95" i="17"/>
  <c r="C98" i="17"/>
  <c r="C101" i="17"/>
  <c r="C81" i="17"/>
  <c r="C84" i="17"/>
  <c r="C87" i="17"/>
  <c r="C90" i="17"/>
  <c r="C93" i="17"/>
  <c r="C96" i="17"/>
  <c r="C99" i="17"/>
  <c r="C102" i="17"/>
  <c r="D81" i="17"/>
  <c r="D84" i="17"/>
  <c r="D90" i="17"/>
  <c r="D93" i="17"/>
  <c r="D96" i="17"/>
  <c r="D102" i="17"/>
  <c r="C82" i="17"/>
  <c r="C85" i="17"/>
  <c r="C88" i="17"/>
  <c r="C91" i="17"/>
  <c r="C94" i="17"/>
  <c r="C97" i="17"/>
  <c r="C100" i="17"/>
  <c r="C92" i="15"/>
  <c r="D83" i="15"/>
  <c r="D86" i="15"/>
  <c r="D92" i="15"/>
  <c r="D95" i="15"/>
  <c r="D98" i="15"/>
  <c r="D101" i="15"/>
  <c r="C81" i="15"/>
  <c r="C84" i="15"/>
  <c r="C87" i="15"/>
  <c r="C90" i="15"/>
  <c r="C93" i="15"/>
  <c r="C96" i="15"/>
  <c r="C99" i="15"/>
  <c r="C102" i="15"/>
  <c r="D81" i="15"/>
  <c r="D84" i="15"/>
  <c r="D90" i="15"/>
  <c r="D93" i="15"/>
  <c r="D96" i="15"/>
  <c r="D102" i="15"/>
  <c r="C82" i="15"/>
  <c r="C85" i="15"/>
  <c r="C88" i="15"/>
  <c r="C91" i="15"/>
  <c r="C94" i="15"/>
  <c r="C97" i="15"/>
  <c r="C100" i="15"/>
  <c r="D82" i="15"/>
  <c r="D85" i="15"/>
  <c r="D88" i="15"/>
  <c r="D91" i="15"/>
  <c r="D94" i="15"/>
  <c r="D97" i="15"/>
  <c r="D100" i="15"/>
  <c r="C102" i="13"/>
  <c r="D102" i="13"/>
  <c r="C81" i="12"/>
  <c r="C84" i="12"/>
  <c r="C87" i="12"/>
  <c r="C90" i="12"/>
  <c r="C93" i="12"/>
  <c r="C96" i="12"/>
  <c r="C99" i="12"/>
  <c r="C102" i="12"/>
  <c r="D81" i="12"/>
  <c r="D84" i="12"/>
  <c r="D90" i="12"/>
  <c r="D93" i="12"/>
  <c r="D96" i="12"/>
  <c r="D102" i="12"/>
  <c r="C82" i="12"/>
  <c r="C85" i="12"/>
  <c r="C88" i="12"/>
  <c r="C91" i="12"/>
  <c r="C94" i="12"/>
  <c r="C97" i="12"/>
  <c r="C100" i="12"/>
  <c r="D82" i="12"/>
  <c r="D85" i="12"/>
  <c r="D88" i="12"/>
  <c r="D91" i="12"/>
  <c r="D94" i="12"/>
  <c r="D97" i="12"/>
  <c r="D100" i="12"/>
  <c r="C83" i="12"/>
  <c r="C86" i="12"/>
  <c r="C89" i="12"/>
  <c r="C92" i="12"/>
  <c r="C95" i="12"/>
  <c r="C98" i="12"/>
  <c r="C101" i="12"/>
  <c r="D83" i="12"/>
  <c r="D86" i="12"/>
  <c r="D89" i="12"/>
  <c r="D92" i="12"/>
  <c r="D95" i="12"/>
  <c r="D98" i="12"/>
  <c r="D101" i="12"/>
  <c r="AL6" i="10"/>
  <c r="AL7" i="10" s="1"/>
  <c r="C102" i="9"/>
  <c r="Z96" i="9"/>
  <c r="C96" i="9"/>
  <c r="C99" i="9"/>
  <c r="D96" i="9"/>
  <c r="D99" i="9"/>
  <c r="D102" i="9"/>
  <c r="C97" i="9"/>
  <c r="C100" i="9"/>
  <c r="D97" i="9"/>
  <c r="D100" i="9"/>
  <c r="C98" i="9"/>
  <c r="C101" i="9"/>
  <c r="D98" i="9"/>
  <c r="D101" i="9"/>
  <c r="Z96" i="8"/>
  <c r="C97" i="8"/>
  <c r="C100" i="8"/>
  <c r="D97" i="8"/>
  <c r="D100" i="8"/>
  <c r="C98" i="8"/>
  <c r="C101" i="8"/>
  <c r="D98" i="8"/>
  <c r="D101" i="8"/>
  <c r="C96" i="8"/>
  <c r="C99" i="8"/>
  <c r="C102" i="8"/>
  <c r="D96" i="8"/>
  <c r="D102" i="8"/>
  <c r="Z96" i="6"/>
  <c r="C98" i="6"/>
  <c r="C101" i="6"/>
  <c r="D98" i="6"/>
  <c r="D101" i="6"/>
  <c r="C96" i="6"/>
  <c r="C99" i="6"/>
  <c r="C102" i="6"/>
  <c r="D96" i="6"/>
  <c r="D102" i="6"/>
  <c r="C97" i="6"/>
  <c r="C100" i="6"/>
  <c r="D97" i="6"/>
  <c r="D100" i="6"/>
  <c r="AL6" i="1"/>
  <c r="AL9" i="1" s="1"/>
  <c r="AL6" i="18"/>
  <c r="AL9" i="18" s="1"/>
  <c r="G4" i="18"/>
  <c r="G5" i="18" s="1"/>
  <c r="L3" i="18"/>
  <c r="W3" i="18" s="1"/>
  <c r="AL6" i="17"/>
  <c r="AL9" i="17" s="1"/>
  <c r="M3" i="17"/>
  <c r="X3" i="17" s="1"/>
  <c r="AL6" i="16"/>
  <c r="AL9" i="16" s="1"/>
  <c r="O2" i="16"/>
  <c r="R3" i="16"/>
  <c r="M3" i="15"/>
  <c r="X3" i="15" s="1"/>
  <c r="Z3" i="15"/>
  <c r="AA3" i="15"/>
  <c r="R3" i="15"/>
  <c r="S3" i="15"/>
  <c r="AL6" i="14"/>
  <c r="AL9" i="14" s="1"/>
  <c r="O2" i="14"/>
  <c r="R3" i="14"/>
  <c r="M3" i="14"/>
  <c r="X3" i="14" s="1"/>
  <c r="AL6" i="13"/>
  <c r="AL9" i="13" s="1"/>
  <c r="R3" i="13"/>
  <c r="S3" i="13"/>
  <c r="AL6" i="11"/>
  <c r="AL9" i="11" s="1"/>
  <c r="O3" i="11"/>
  <c r="Q4" i="11"/>
  <c r="G4" i="11"/>
  <c r="G5" i="11" s="1"/>
  <c r="AL6" i="12"/>
  <c r="AL7" i="12" s="1"/>
  <c r="R3" i="12"/>
  <c r="G4" i="12"/>
  <c r="G5" i="12" s="1"/>
  <c r="Q4" i="12"/>
  <c r="AL6" i="9"/>
  <c r="AL7" i="9" s="1"/>
  <c r="L3" i="9"/>
  <c r="W3" i="9" s="1"/>
  <c r="M3" i="9"/>
  <c r="X3" i="9" s="1"/>
  <c r="O3" i="9"/>
  <c r="P3" i="9"/>
  <c r="T3" i="9"/>
  <c r="Z3" i="9"/>
  <c r="O2" i="9"/>
  <c r="AA3" i="9"/>
  <c r="R3" i="9"/>
  <c r="S3" i="9"/>
  <c r="AL6" i="8"/>
  <c r="AL9" i="8" s="1"/>
  <c r="P4" i="8"/>
  <c r="R3" i="8"/>
  <c r="AL6" i="7"/>
  <c r="AL9" i="7" s="1"/>
  <c r="G4" i="7"/>
  <c r="Q4" i="7"/>
  <c r="AL6" i="6"/>
  <c r="AL7" i="6" s="1"/>
  <c r="AJ8" i="6" s="1"/>
  <c r="E8" i="6" s="1"/>
  <c r="G4" i="6"/>
  <c r="G5" i="6" s="1"/>
  <c r="Q4" i="6"/>
  <c r="U4" i="18"/>
  <c r="S4" i="12"/>
  <c r="H5" i="12"/>
  <c r="J5" i="11"/>
  <c r="J6" i="11" s="1"/>
  <c r="J7" i="11" s="1"/>
  <c r="U4" i="11"/>
  <c r="H5" i="11"/>
  <c r="S4" i="11"/>
  <c r="U5" i="11"/>
  <c r="T4" i="8"/>
  <c r="J5" i="8"/>
  <c r="H6" i="18"/>
  <c r="J6" i="18"/>
  <c r="T4" i="18"/>
  <c r="O2" i="18"/>
  <c r="S3" i="18"/>
  <c r="L4" i="18"/>
  <c r="W4" i="18" s="1"/>
  <c r="Z4" i="18"/>
  <c r="M4" i="18"/>
  <c r="X4" i="18" s="1"/>
  <c r="AA4" i="18"/>
  <c r="AH9" i="18"/>
  <c r="O4" i="18"/>
  <c r="M3" i="18"/>
  <c r="X3" i="18" s="1"/>
  <c r="AA3" i="18"/>
  <c r="P4" i="18"/>
  <c r="R4" i="18"/>
  <c r="Q4" i="18"/>
  <c r="O3" i="18"/>
  <c r="S4" i="18"/>
  <c r="H6" i="17"/>
  <c r="AH10" i="17"/>
  <c r="S3" i="17"/>
  <c r="L3" i="17"/>
  <c r="W3" i="17" s="1"/>
  <c r="Z3" i="17"/>
  <c r="O3" i="17"/>
  <c r="P3" i="17"/>
  <c r="J5" i="17"/>
  <c r="Q3" i="17"/>
  <c r="G4" i="17"/>
  <c r="U4" i="17" s="1"/>
  <c r="M87" i="17"/>
  <c r="M99" i="17"/>
  <c r="J5" i="7"/>
  <c r="J6" i="7" s="1"/>
  <c r="J5" i="6"/>
  <c r="J6" i="6" s="1"/>
  <c r="H6" i="13"/>
  <c r="U4" i="13"/>
  <c r="P4" i="13"/>
  <c r="AH10" i="13"/>
  <c r="J7" i="13"/>
  <c r="Q3" i="13"/>
  <c r="G4" i="13"/>
  <c r="S4" i="13" s="1"/>
  <c r="T4" i="13"/>
  <c r="O2" i="13"/>
  <c r="AA4" i="13"/>
  <c r="L3" i="13"/>
  <c r="W3" i="13" s="1"/>
  <c r="Z3" i="13"/>
  <c r="M3" i="13"/>
  <c r="X3" i="13" s="1"/>
  <c r="AA3" i="13"/>
  <c r="U4" i="14"/>
  <c r="H6" i="14"/>
  <c r="T4" i="14"/>
  <c r="AH9" i="14"/>
  <c r="S4" i="14"/>
  <c r="G5" i="14"/>
  <c r="R4" i="14"/>
  <c r="P4" i="14"/>
  <c r="M4" i="14"/>
  <c r="X4" i="14" s="1"/>
  <c r="Z4" i="14"/>
  <c r="L4" i="14"/>
  <c r="W4" i="14" s="1"/>
  <c r="S3" i="14"/>
  <c r="AA4" i="14"/>
  <c r="L3" i="14"/>
  <c r="W3" i="14" s="1"/>
  <c r="Z3" i="14"/>
  <c r="O4" i="14"/>
  <c r="Q4" i="14"/>
  <c r="O3" i="14"/>
  <c r="P3" i="14"/>
  <c r="J5" i="14"/>
  <c r="Q3" i="14"/>
  <c r="M93" i="14"/>
  <c r="M102" i="14"/>
  <c r="J6" i="15"/>
  <c r="M82" i="14"/>
  <c r="M90" i="14"/>
  <c r="H6" i="15"/>
  <c r="AH9" i="15"/>
  <c r="AL6" i="15"/>
  <c r="M81" i="14"/>
  <c r="M101" i="14"/>
  <c r="AH8" i="16"/>
  <c r="O3" i="15"/>
  <c r="Q3" i="15"/>
  <c r="G4" i="15"/>
  <c r="U4" i="15" s="1"/>
  <c r="M99" i="15"/>
  <c r="M89" i="15"/>
  <c r="G5" i="16"/>
  <c r="AA5" i="16" s="1"/>
  <c r="M4" i="16"/>
  <c r="X4" i="16" s="1"/>
  <c r="Z4" i="16"/>
  <c r="L4" i="16"/>
  <c r="W4" i="16" s="1"/>
  <c r="M87" i="15"/>
  <c r="U4" i="16"/>
  <c r="Z5" i="16"/>
  <c r="H6" i="16"/>
  <c r="T4" i="16"/>
  <c r="J5" i="16"/>
  <c r="U5" i="16" s="1"/>
  <c r="Q4" i="16"/>
  <c r="P4" i="16"/>
  <c r="O4" i="16"/>
  <c r="AA4" i="16"/>
  <c r="L3" i="16"/>
  <c r="W3" i="16" s="1"/>
  <c r="Z3" i="16"/>
  <c r="M3" i="16"/>
  <c r="X3" i="16" s="1"/>
  <c r="AA3" i="16"/>
  <c r="R4" i="16"/>
  <c r="O3" i="16"/>
  <c r="S4" i="16"/>
  <c r="P3" i="16"/>
  <c r="Q3" i="16"/>
  <c r="M87" i="16"/>
  <c r="M99" i="16"/>
  <c r="U4" i="9"/>
  <c r="AH9" i="9"/>
  <c r="P4" i="9"/>
  <c r="M4" i="9"/>
  <c r="X4" i="9" s="1"/>
  <c r="L4" i="9"/>
  <c r="W4" i="9" s="1"/>
  <c r="S4" i="9"/>
  <c r="G5" i="9"/>
  <c r="Q4" i="9"/>
  <c r="R4" i="9"/>
  <c r="AA4" i="9"/>
  <c r="O4" i="9"/>
  <c r="H7" i="9"/>
  <c r="J5" i="9"/>
  <c r="Q3" i="9"/>
  <c r="T4" i="9"/>
  <c r="Z4" i="9"/>
  <c r="M4" i="10"/>
  <c r="X4" i="10" s="1"/>
  <c r="Z4" i="10"/>
  <c r="L4" i="10"/>
  <c r="W4" i="10" s="1"/>
  <c r="G5" i="10"/>
  <c r="P3" i="10"/>
  <c r="H5" i="10"/>
  <c r="S4" i="10"/>
  <c r="AA4" i="10"/>
  <c r="T4" i="10"/>
  <c r="O2" i="10"/>
  <c r="R3" i="10"/>
  <c r="T3" i="10"/>
  <c r="S3" i="10"/>
  <c r="O4" i="10"/>
  <c r="Q4" i="10"/>
  <c r="AH9" i="10"/>
  <c r="Z3" i="10"/>
  <c r="L3" i="10"/>
  <c r="W3" i="10" s="1"/>
  <c r="AA3" i="10"/>
  <c r="R4" i="10"/>
  <c r="U4" i="10"/>
  <c r="P4" i="10"/>
  <c r="J5" i="10"/>
  <c r="G6" i="11"/>
  <c r="M5" i="11"/>
  <c r="X5" i="11" s="1"/>
  <c r="L5" i="11"/>
  <c r="W5" i="11" s="1"/>
  <c r="J8" i="11"/>
  <c r="H6" i="11"/>
  <c r="AA5" i="11"/>
  <c r="Z5" i="11"/>
  <c r="AH9" i="11"/>
  <c r="T4" i="11"/>
  <c r="O2" i="11"/>
  <c r="S3" i="11"/>
  <c r="L4" i="11"/>
  <c r="W4" i="11" s="1"/>
  <c r="Z4" i="11"/>
  <c r="O5" i="11"/>
  <c r="M4" i="11"/>
  <c r="X4" i="11" s="1"/>
  <c r="AA4" i="11"/>
  <c r="P5" i="11"/>
  <c r="Q5" i="11"/>
  <c r="L3" i="11"/>
  <c r="W3" i="11" s="1"/>
  <c r="Z3" i="11"/>
  <c r="O4" i="11"/>
  <c r="M3" i="11"/>
  <c r="X3" i="11" s="1"/>
  <c r="P4" i="11"/>
  <c r="T5" i="11"/>
  <c r="G6" i="12"/>
  <c r="M5" i="12"/>
  <c r="X5" i="12" s="1"/>
  <c r="AH9" i="12"/>
  <c r="H6" i="12"/>
  <c r="R5" i="12"/>
  <c r="AA5" i="12"/>
  <c r="Z5" i="12"/>
  <c r="P3" i="12"/>
  <c r="J5" i="12"/>
  <c r="L5" i="12" s="1"/>
  <c r="W5" i="12" s="1"/>
  <c r="T4" i="12"/>
  <c r="O2" i="12"/>
  <c r="S3" i="12"/>
  <c r="L4" i="12"/>
  <c r="W4" i="12" s="1"/>
  <c r="Z4" i="12"/>
  <c r="M4" i="12"/>
  <c r="X4" i="12" s="1"/>
  <c r="AA4" i="12"/>
  <c r="L3" i="12"/>
  <c r="W3" i="12" s="1"/>
  <c r="Z3" i="12"/>
  <c r="O4" i="12"/>
  <c r="M3" i="12"/>
  <c r="X3" i="12" s="1"/>
  <c r="P4" i="12"/>
  <c r="M87" i="12"/>
  <c r="M99" i="12"/>
  <c r="G6" i="8"/>
  <c r="M5" i="8"/>
  <c r="X5" i="8" s="1"/>
  <c r="L5" i="8"/>
  <c r="W5" i="8" s="1"/>
  <c r="H6" i="8"/>
  <c r="S5" i="8"/>
  <c r="R5" i="8"/>
  <c r="AA5" i="8"/>
  <c r="Z5" i="8"/>
  <c r="AH10" i="8"/>
  <c r="U5" i="8"/>
  <c r="U4" i="8"/>
  <c r="O2" i="8"/>
  <c r="S3" i="8"/>
  <c r="L4" i="8"/>
  <c r="W4" i="8" s="1"/>
  <c r="Z4" i="8"/>
  <c r="O5" i="8"/>
  <c r="M4" i="8"/>
  <c r="X4" i="8" s="1"/>
  <c r="AA4" i="8"/>
  <c r="P5" i="8"/>
  <c r="Q5" i="8"/>
  <c r="L3" i="8"/>
  <c r="W3" i="8" s="1"/>
  <c r="Z3" i="8"/>
  <c r="O4" i="8"/>
  <c r="M3" i="8"/>
  <c r="X3" i="8" s="1"/>
  <c r="AA3" i="8"/>
  <c r="R4" i="8"/>
  <c r="Q4" i="8"/>
  <c r="T5" i="8"/>
  <c r="J6" i="8"/>
  <c r="S4" i="8"/>
  <c r="M99" i="8"/>
  <c r="AH10" i="7"/>
  <c r="H7" i="7"/>
  <c r="J7" i="7"/>
  <c r="O2" i="7"/>
  <c r="T3" i="7"/>
  <c r="L4" i="7"/>
  <c r="W4" i="7" s="1"/>
  <c r="Z4" i="7"/>
  <c r="T4" i="7"/>
  <c r="M4" i="7"/>
  <c r="X4" i="7" s="1"/>
  <c r="L3" i="7"/>
  <c r="W3" i="7" s="1"/>
  <c r="Z3" i="7"/>
  <c r="O4" i="7"/>
  <c r="M3" i="7"/>
  <c r="X3" i="7" s="1"/>
  <c r="P4" i="7"/>
  <c r="AH9" i="6"/>
  <c r="G6" i="6"/>
  <c r="M5" i="6"/>
  <c r="X5" i="6" s="1"/>
  <c r="L5" i="6"/>
  <c r="W5" i="6" s="1"/>
  <c r="H6" i="6"/>
  <c r="S5" i="6"/>
  <c r="R5" i="6"/>
  <c r="AA5" i="6"/>
  <c r="Z5" i="6"/>
  <c r="U5" i="6"/>
  <c r="J7" i="6"/>
  <c r="Q6" i="6"/>
  <c r="T4" i="6"/>
  <c r="O2" i="6"/>
  <c r="S3" i="6"/>
  <c r="L4" i="6"/>
  <c r="W4" i="6" s="1"/>
  <c r="Z4" i="6"/>
  <c r="O5" i="6"/>
  <c r="M4" i="6"/>
  <c r="X4" i="6" s="1"/>
  <c r="AA4" i="6"/>
  <c r="P5" i="6"/>
  <c r="Q5" i="6"/>
  <c r="L3" i="6"/>
  <c r="W3" i="6" s="1"/>
  <c r="Z3" i="6"/>
  <c r="O4" i="6"/>
  <c r="M3" i="6"/>
  <c r="X3" i="6" s="1"/>
  <c r="AA3" i="6"/>
  <c r="P4" i="6"/>
  <c r="R4" i="6"/>
  <c r="T5" i="6"/>
  <c r="S4" i="6"/>
  <c r="M99" i="6"/>
  <c r="AL6" i="4"/>
  <c r="AL9" i="4" s="1"/>
  <c r="J8" i="4"/>
  <c r="AH9" i="4"/>
  <c r="H6" i="4"/>
  <c r="Q3" i="4"/>
  <c r="G4" i="4"/>
  <c r="Z4" i="4" s="1"/>
  <c r="T4" i="4"/>
  <c r="S3" i="4"/>
  <c r="M3" i="4"/>
  <c r="X3" i="4" s="1"/>
  <c r="L5" i="1"/>
  <c r="L4" i="1"/>
  <c r="L3" i="1"/>
  <c r="J5" i="1"/>
  <c r="J6" i="1" s="1"/>
  <c r="J7" i="1" s="1"/>
  <c r="J8" i="1" s="1"/>
  <c r="J9" i="1" s="1"/>
  <c r="J10" i="1" s="1"/>
  <c r="J11" i="1" s="1"/>
  <c r="J12" i="1" s="1"/>
  <c r="J13" i="1" s="1"/>
  <c r="J14" i="1" s="1"/>
  <c r="J15" i="1" s="1"/>
  <c r="J16" i="1" s="1"/>
  <c r="J17" i="1" s="1"/>
  <c r="J18" i="1" s="1"/>
  <c r="J19" i="1" s="1"/>
  <c r="J20" i="1" s="1"/>
  <c r="J21" i="1" s="1"/>
  <c r="J22" i="1" s="1"/>
  <c r="J23" i="1" s="1"/>
  <c r="J24" i="1" s="1"/>
  <c r="J25" i="1" s="1"/>
  <c r="J26" i="1" s="1"/>
  <c r="J27" i="1" s="1"/>
  <c r="J28" i="1" s="1"/>
  <c r="J29" i="1" s="1"/>
  <c r="J30" i="1" s="1"/>
  <c r="J31" i="1" s="1"/>
  <c r="J32" i="1" s="1"/>
  <c r="J33" i="1" s="1"/>
  <c r="J34" i="1" s="1"/>
  <c r="J35" i="1" s="1"/>
  <c r="J36" i="1" s="1"/>
  <c r="J37" i="1" s="1"/>
  <c r="J38" i="1" s="1"/>
  <c r="J39" i="1" s="1"/>
  <c r="J40" i="1" s="1"/>
  <c r="J41" i="1" s="1"/>
  <c r="J42" i="1" s="1"/>
  <c r="J43" i="1" s="1"/>
  <c r="J44" i="1" s="1"/>
  <c r="J45" i="1" s="1"/>
  <c r="J46" i="1" s="1"/>
  <c r="J47" i="1" s="1"/>
  <c r="J48" i="1" s="1"/>
  <c r="J49" i="1" s="1"/>
  <c r="J50" i="1" s="1"/>
  <c r="J51" i="1" s="1"/>
  <c r="J52" i="1" s="1"/>
  <c r="J53" i="1" s="1"/>
  <c r="J54" i="1" s="1"/>
  <c r="J55" i="1" s="1"/>
  <c r="J56" i="1" s="1"/>
  <c r="J57" i="1" s="1"/>
  <c r="J58" i="1" s="1"/>
  <c r="J59" i="1" s="1"/>
  <c r="J60" i="1" s="1"/>
  <c r="J61" i="1" s="1"/>
  <c r="J62" i="1" s="1"/>
  <c r="J63" i="1" s="1"/>
  <c r="J64" i="1" s="1"/>
  <c r="J65" i="1" s="1"/>
  <c r="J66" i="1" s="1"/>
  <c r="J67" i="1" s="1"/>
  <c r="J68" i="1" s="1"/>
  <c r="J69" i="1" s="1"/>
  <c r="J70" i="1" s="1"/>
  <c r="J71" i="1" s="1"/>
  <c r="J72" i="1" s="1"/>
  <c r="J73" i="1" s="1"/>
  <c r="J74" i="1" s="1"/>
  <c r="J75" i="1" s="1"/>
  <c r="J76" i="1" s="1"/>
  <c r="J77" i="1" s="1"/>
  <c r="J78" i="1" s="1"/>
  <c r="J79" i="1" s="1"/>
  <c r="J80" i="1" s="1"/>
  <c r="J81" i="1" s="1"/>
  <c r="J82" i="1" s="1"/>
  <c r="J83" i="1" s="1"/>
  <c r="J84" i="1" s="1"/>
  <c r="J85" i="1" s="1"/>
  <c r="J86" i="1" s="1"/>
  <c r="J87" i="1" s="1"/>
  <c r="J88" i="1" s="1"/>
  <c r="J89" i="1" s="1"/>
  <c r="J90" i="1" s="1"/>
  <c r="J91" i="1" s="1"/>
  <c r="J92" i="1" s="1"/>
  <c r="J93" i="1" s="1"/>
  <c r="J94" i="1" s="1"/>
  <c r="J95" i="1" s="1"/>
  <c r="J96" i="1" s="1"/>
  <c r="J97" i="1" s="1"/>
  <c r="J98" i="1" s="1"/>
  <c r="J99" i="1" s="1"/>
  <c r="J100" i="1" s="1"/>
  <c r="J101" i="1" s="1"/>
  <c r="J102" i="1" s="1"/>
  <c r="J4" i="1"/>
  <c r="H5" i="1"/>
  <c r="H6" i="1" s="1"/>
  <c r="H4" i="1"/>
  <c r="O2" i="1"/>
  <c r="M5" i="1"/>
  <c r="M4" i="1"/>
  <c r="M3" i="1"/>
  <c r="C5" i="1"/>
  <c r="C4" i="1"/>
  <c r="C3" i="1"/>
  <c r="D5" i="1"/>
  <c r="D4" i="1"/>
  <c r="D3" i="1"/>
  <c r="G102" i="1"/>
  <c r="L102" i="1" s="1"/>
  <c r="G101" i="1"/>
  <c r="L101" i="1" s="1"/>
  <c r="G100" i="1"/>
  <c r="D100" i="1" s="1"/>
  <c r="G99" i="1"/>
  <c r="G5" i="1"/>
  <c r="G6" i="1" s="1"/>
  <c r="G4" i="1"/>
  <c r="F3" i="1"/>
  <c r="G3" i="1"/>
  <c r="M49" i="27" l="1"/>
  <c r="X49" i="27" s="1"/>
  <c r="Q49" i="27"/>
  <c r="G50" i="27"/>
  <c r="P49" i="27"/>
  <c r="Z49" i="27"/>
  <c r="U49" i="27"/>
  <c r="G30" i="27"/>
  <c r="P29" i="27"/>
  <c r="M29" i="27"/>
  <c r="X29" i="27" s="1"/>
  <c r="Z29" i="27"/>
  <c r="U29" i="27"/>
  <c r="Q29" i="27"/>
  <c r="N9" i="27"/>
  <c r="O9" i="27" s="1"/>
  <c r="T9" i="27"/>
  <c r="N7" i="27"/>
  <c r="T7" i="27"/>
  <c r="N8" i="27"/>
  <c r="T8" i="27"/>
  <c r="M9" i="27"/>
  <c r="X9" i="27" s="1"/>
  <c r="Q9" i="27"/>
  <c r="G10" i="27"/>
  <c r="P9" i="27"/>
  <c r="Z9" i="27"/>
  <c r="U9" i="27"/>
  <c r="N10" i="27"/>
  <c r="O10" i="27" s="1"/>
  <c r="M49" i="28"/>
  <c r="X49" i="28" s="1"/>
  <c r="Z49" i="28"/>
  <c r="Q49" i="28"/>
  <c r="G50" i="28"/>
  <c r="P49" i="28"/>
  <c r="U49" i="28"/>
  <c r="M29" i="28"/>
  <c r="X29" i="28" s="1"/>
  <c r="G30" i="28"/>
  <c r="P29" i="28"/>
  <c r="Z29" i="28"/>
  <c r="U29" i="28"/>
  <c r="Q29" i="28"/>
  <c r="AA8" i="28"/>
  <c r="O7" i="28"/>
  <c r="AA7" i="28"/>
  <c r="M9" i="28"/>
  <c r="X9" i="28" s="1"/>
  <c r="Q9" i="28"/>
  <c r="G10" i="28"/>
  <c r="P9" i="28"/>
  <c r="AA9" i="28"/>
  <c r="Z9" i="28"/>
  <c r="U9" i="28"/>
  <c r="N6" i="28"/>
  <c r="T6" i="28"/>
  <c r="N10" i="28"/>
  <c r="O10" i="28" s="1"/>
  <c r="T10" i="28"/>
  <c r="T9" i="28"/>
  <c r="O9" i="28"/>
  <c r="M49" i="26"/>
  <c r="X49" i="26" s="1"/>
  <c r="Z49" i="26"/>
  <c r="U49" i="26"/>
  <c r="Q49" i="26"/>
  <c r="G50" i="26"/>
  <c r="P49" i="26"/>
  <c r="M29" i="26"/>
  <c r="X29" i="26" s="1"/>
  <c r="Q29" i="26"/>
  <c r="G30" i="26"/>
  <c r="P29" i="26"/>
  <c r="Z29" i="26"/>
  <c r="U29" i="26"/>
  <c r="N7" i="26"/>
  <c r="T7" i="26"/>
  <c r="N6" i="26"/>
  <c r="T6" i="26"/>
  <c r="M9" i="26"/>
  <c r="X9" i="26" s="1"/>
  <c r="Z9" i="26"/>
  <c r="Q9" i="26"/>
  <c r="G10" i="26"/>
  <c r="P9" i="26"/>
  <c r="U9" i="26"/>
  <c r="N8" i="26"/>
  <c r="T8" i="26"/>
  <c r="N9" i="26"/>
  <c r="O9" i="26" s="1"/>
  <c r="T9" i="26"/>
  <c r="M50" i="25"/>
  <c r="X50" i="25" s="1"/>
  <c r="Q50" i="25"/>
  <c r="G51" i="25"/>
  <c r="P50" i="25"/>
  <c r="U50" i="25"/>
  <c r="Z50" i="25"/>
  <c r="M29" i="25"/>
  <c r="X29" i="25" s="1"/>
  <c r="Z29" i="25"/>
  <c r="U29" i="25"/>
  <c r="G30" i="25"/>
  <c r="Q29" i="25"/>
  <c r="P29" i="25"/>
  <c r="AA8" i="25"/>
  <c r="N9" i="25"/>
  <c r="O9" i="25" s="1"/>
  <c r="T9" i="25"/>
  <c r="M9" i="25"/>
  <c r="X9" i="25" s="1"/>
  <c r="Q9" i="25"/>
  <c r="G10" i="25"/>
  <c r="P9" i="25"/>
  <c r="Z9" i="25"/>
  <c r="U9" i="25"/>
  <c r="O7" i="25"/>
  <c r="AA7" i="25"/>
  <c r="AA6" i="25"/>
  <c r="O6" i="25"/>
  <c r="M50" i="24"/>
  <c r="X50" i="24" s="1"/>
  <c r="Z50" i="24"/>
  <c r="Q50" i="24"/>
  <c r="G51" i="24"/>
  <c r="P50" i="24"/>
  <c r="U50" i="24"/>
  <c r="M29" i="24"/>
  <c r="X29" i="24" s="1"/>
  <c r="Q29" i="24"/>
  <c r="G30" i="24"/>
  <c r="P29" i="24"/>
  <c r="Z29" i="24"/>
  <c r="U29" i="24"/>
  <c r="AA6" i="24"/>
  <c r="O6" i="24"/>
  <c r="N10" i="24"/>
  <c r="O10" i="24" s="1"/>
  <c r="M9" i="24"/>
  <c r="X9" i="24" s="1"/>
  <c r="Q9" i="24"/>
  <c r="G10" i="24"/>
  <c r="P9" i="24"/>
  <c r="AA9" i="24"/>
  <c r="Z9" i="24"/>
  <c r="U9" i="24"/>
  <c r="N8" i="24"/>
  <c r="T8" i="24"/>
  <c r="N7" i="24"/>
  <c r="T7" i="24"/>
  <c r="T9" i="24"/>
  <c r="M49" i="23"/>
  <c r="X49" i="23" s="1"/>
  <c r="Q49" i="23"/>
  <c r="G50" i="23"/>
  <c r="P49" i="23"/>
  <c r="Z49" i="23"/>
  <c r="U49" i="23"/>
  <c r="AA6" i="23"/>
  <c r="N10" i="23"/>
  <c r="O10" i="23" s="1"/>
  <c r="T10" i="23"/>
  <c r="M9" i="23"/>
  <c r="X9" i="23" s="1"/>
  <c r="G10" i="23"/>
  <c r="P9" i="23"/>
  <c r="AA9" i="23"/>
  <c r="Z9" i="23"/>
  <c r="U9" i="23"/>
  <c r="Q9" i="23"/>
  <c r="O7" i="23"/>
  <c r="AA7" i="23"/>
  <c r="M49" i="22"/>
  <c r="X49" i="22" s="1"/>
  <c r="Z49" i="22"/>
  <c r="Q49" i="22"/>
  <c r="G50" i="22"/>
  <c r="P49" i="22"/>
  <c r="U49" i="22"/>
  <c r="M29" i="22"/>
  <c r="X29" i="22" s="1"/>
  <c r="Q29" i="22"/>
  <c r="G30" i="22"/>
  <c r="P29" i="22"/>
  <c r="U29" i="22"/>
  <c r="Z29" i="22"/>
  <c r="N7" i="22"/>
  <c r="T7" i="22"/>
  <c r="N9" i="22"/>
  <c r="O9" i="22" s="1"/>
  <c r="T9" i="22"/>
  <c r="M9" i="22"/>
  <c r="X9" i="22" s="1"/>
  <c r="Z9" i="22"/>
  <c r="P9" i="22"/>
  <c r="Q9" i="22"/>
  <c r="G10" i="22"/>
  <c r="U9" i="22"/>
  <c r="N6" i="22"/>
  <c r="T6" i="22"/>
  <c r="N10" i="22"/>
  <c r="N8" i="22"/>
  <c r="T8" i="22"/>
  <c r="M49" i="21"/>
  <c r="X49" i="21" s="1"/>
  <c r="Z49" i="21"/>
  <c r="U49" i="21"/>
  <c r="Q49" i="21"/>
  <c r="G50" i="21"/>
  <c r="P49" i="21"/>
  <c r="M29" i="21"/>
  <c r="X29" i="21" s="1"/>
  <c r="Q29" i="21"/>
  <c r="G30" i="21"/>
  <c r="P29" i="21"/>
  <c r="Z29" i="21"/>
  <c r="U29" i="21"/>
  <c r="N8" i="21"/>
  <c r="T8" i="21"/>
  <c r="AA6" i="21"/>
  <c r="O6" i="21"/>
  <c r="N7" i="21"/>
  <c r="T7" i="21"/>
  <c r="N10" i="21"/>
  <c r="M9" i="21"/>
  <c r="X9" i="21" s="1"/>
  <c r="AA9" i="21"/>
  <c r="Q9" i="21"/>
  <c r="G10" i="21"/>
  <c r="T10" i="21" s="1"/>
  <c r="P9" i="21"/>
  <c r="Z9" i="21"/>
  <c r="U9" i="21"/>
  <c r="T9" i="21"/>
  <c r="P6" i="20"/>
  <c r="H10" i="28"/>
  <c r="D9" i="28"/>
  <c r="S9" i="28" s="1"/>
  <c r="C9" i="28"/>
  <c r="R9" i="28" s="1"/>
  <c r="J8" i="28"/>
  <c r="L7" i="28"/>
  <c r="W7" i="28" s="1"/>
  <c r="AH12" i="28"/>
  <c r="AJ11" i="28"/>
  <c r="E11" i="28" s="1"/>
  <c r="D8" i="26"/>
  <c r="S8" i="26" s="1"/>
  <c r="C8" i="26"/>
  <c r="R8" i="26" s="1"/>
  <c r="H9" i="26"/>
  <c r="J10" i="27"/>
  <c r="H9" i="27"/>
  <c r="D8" i="27"/>
  <c r="S8" i="27" s="1"/>
  <c r="C8" i="27"/>
  <c r="R8" i="27" s="1"/>
  <c r="H9" i="24"/>
  <c r="D8" i="24"/>
  <c r="S8" i="24" s="1"/>
  <c r="C8" i="24"/>
  <c r="R8" i="24" s="1"/>
  <c r="J8" i="24"/>
  <c r="L7" i="24"/>
  <c r="W7" i="24" s="1"/>
  <c r="C10" i="25"/>
  <c r="R10" i="25" s="1"/>
  <c r="D10" i="25"/>
  <c r="S10" i="25" s="1"/>
  <c r="H11" i="25"/>
  <c r="AJ6" i="27"/>
  <c r="E6" i="27" s="1"/>
  <c r="AJ10" i="25"/>
  <c r="E10" i="25" s="1"/>
  <c r="AH11" i="25"/>
  <c r="J8" i="26"/>
  <c r="L7" i="26"/>
  <c r="W7" i="26" s="1"/>
  <c r="AH13" i="27"/>
  <c r="AJ12" i="27"/>
  <c r="E12" i="27" s="1"/>
  <c r="AJ11" i="27"/>
  <c r="E11" i="27" s="1"/>
  <c r="AJ11" i="24"/>
  <c r="E11" i="24" s="1"/>
  <c r="AH12" i="24"/>
  <c r="J9" i="25"/>
  <c r="L8" i="25"/>
  <c r="W8" i="25" s="1"/>
  <c r="AJ10" i="26"/>
  <c r="E10" i="26" s="1"/>
  <c r="AH11" i="26"/>
  <c r="J8" i="22"/>
  <c r="L7" i="22"/>
  <c r="W7" i="22" s="1"/>
  <c r="H10" i="22"/>
  <c r="D9" i="22"/>
  <c r="S9" i="22" s="1"/>
  <c r="C9" i="22"/>
  <c r="R9" i="22" s="1"/>
  <c r="D7" i="23"/>
  <c r="S7" i="23" s="1"/>
  <c r="C7" i="23"/>
  <c r="R7" i="23" s="1"/>
  <c r="H8" i="23"/>
  <c r="J8" i="23"/>
  <c r="L7" i="23"/>
  <c r="W7" i="23" s="1"/>
  <c r="AJ11" i="22"/>
  <c r="E11" i="22" s="1"/>
  <c r="AH12" i="22"/>
  <c r="AJ11" i="23"/>
  <c r="E11" i="23" s="1"/>
  <c r="AH12" i="23"/>
  <c r="D8" i="21"/>
  <c r="S8" i="21" s="1"/>
  <c r="C8" i="21"/>
  <c r="R8" i="21" s="1"/>
  <c r="H9" i="21"/>
  <c r="AH12" i="21"/>
  <c r="AJ11" i="21"/>
  <c r="E11" i="21" s="1"/>
  <c r="J8" i="21"/>
  <c r="L7" i="21"/>
  <c r="W7" i="21" s="1"/>
  <c r="H10" i="20"/>
  <c r="J8" i="20"/>
  <c r="G7" i="20"/>
  <c r="M6" i="20"/>
  <c r="X6" i="20" s="1"/>
  <c r="L6" i="20"/>
  <c r="W6" i="20" s="1"/>
  <c r="D6" i="20"/>
  <c r="S6" i="20" s="1"/>
  <c r="AA6" i="20"/>
  <c r="Z6" i="20"/>
  <c r="C6" i="20"/>
  <c r="R6" i="20" s="1"/>
  <c r="O7" i="20"/>
  <c r="AJ11" i="20"/>
  <c r="E11" i="20" s="1"/>
  <c r="AH12" i="20"/>
  <c r="N10" i="20"/>
  <c r="Z5" i="19"/>
  <c r="AA5" i="19"/>
  <c r="Q5" i="19"/>
  <c r="N8" i="19"/>
  <c r="H7" i="19"/>
  <c r="N7" i="19"/>
  <c r="M5" i="19"/>
  <c r="X5" i="19" s="1"/>
  <c r="L5" i="19"/>
  <c r="W5" i="19" s="1"/>
  <c r="G6" i="19"/>
  <c r="T6" i="19" s="1"/>
  <c r="Q6" i="19"/>
  <c r="J7" i="19"/>
  <c r="O5" i="19"/>
  <c r="N6" i="19"/>
  <c r="O6" i="19" s="1"/>
  <c r="P5" i="19"/>
  <c r="N11" i="19"/>
  <c r="AJ12" i="19"/>
  <c r="E12" i="19" s="1"/>
  <c r="AH13" i="19"/>
  <c r="N9" i="19"/>
  <c r="D5" i="19"/>
  <c r="S5" i="19" s="1"/>
  <c r="U5" i="19"/>
  <c r="Z5" i="14"/>
  <c r="D5" i="14"/>
  <c r="C5" i="14"/>
  <c r="R5" i="14" s="1"/>
  <c r="D4" i="4"/>
  <c r="C4" i="4"/>
  <c r="G5" i="7"/>
  <c r="AA4" i="7"/>
  <c r="D4" i="7"/>
  <c r="S4" i="7" s="1"/>
  <c r="C4" i="7"/>
  <c r="D5" i="18"/>
  <c r="S5" i="18" s="1"/>
  <c r="C5" i="18"/>
  <c r="R5" i="18" s="1"/>
  <c r="L5" i="18"/>
  <c r="W5" i="18" s="1"/>
  <c r="U5" i="18"/>
  <c r="M5" i="18"/>
  <c r="X5" i="18" s="1"/>
  <c r="G6" i="18"/>
  <c r="U6" i="18" s="1"/>
  <c r="P5" i="18"/>
  <c r="Q5" i="18"/>
  <c r="T5" i="18"/>
  <c r="O5" i="18"/>
  <c r="Z5" i="18"/>
  <c r="AA5" i="18"/>
  <c r="C5" i="11"/>
  <c r="R5" i="11" s="1"/>
  <c r="D5" i="11"/>
  <c r="S5" i="11" s="1"/>
  <c r="AL9" i="10"/>
  <c r="D5" i="10"/>
  <c r="C5" i="10"/>
  <c r="D6" i="18"/>
  <c r="C6" i="18"/>
  <c r="AL7" i="14"/>
  <c r="AJ8" i="14" s="1"/>
  <c r="E8" i="14" s="1"/>
  <c r="D6" i="12"/>
  <c r="C6" i="12"/>
  <c r="AL9" i="12"/>
  <c r="P6" i="11"/>
  <c r="C6" i="11"/>
  <c r="D6" i="11"/>
  <c r="AL8" i="10"/>
  <c r="AJ8" i="10" s="1"/>
  <c r="E8" i="10" s="1"/>
  <c r="AJ7" i="10"/>
  <c r="E7" i="10" s="1"/>
  <c r="N7" i="10" s="1"/>
  <c r="D6" i="8"/>
  <c r="C6" i="8"/>
  <c r="AL7" i="8"/>
  <c r="AJ8" i="8" s="1"/>
  <c r="E8" i="8" s="1"/>
  <c r="AA5" i="7"/>
  <c r="D5" i="7"/>
  <c r="S5" i="7" s="1"/>
  <c r="C5" i="7"/>
  <c r="R5" i="7" s="1"/>
  <c r="AL9" i="6"/>
  <c r="D6" i="6"/>
  <c r="C6" i="6"/>
  <c r="D99" i="1"/>
  <c r="Z99" i="1"/>
  <c r="D101" i="1"/>
  <c r="C102" i="1"/>
  <c r="AL7" i="1"/>
  <c r="AJ13" i="1" s="1"/>
  <c r="E13" i="1" s="1"/>
  <c r="C101" i="1"/>
  <c r="D102" i="1"/>
  <c r="M99" i="1"/>
  <c r="M100" i="1"/>
  <c r="L99" i="1"/>
  <c r="M101" i="1"/>
  <c r="L100" i="1"/>
  <c r="M102" i="1"/>
  <c r="AJ6" i="1"/>
  <c r="E6" i="1" s="1"/>
  <c r="AJ17" i="1"/>
  <c r="E17" i="1" s="1"/>
  <c r="AJ16" i="1"/>
  <c r="E16" i="1" s="1"/>
  <c r="AL8" i="1"/>
  <c r="AJ18" i="1" s="1"/>
  <c r="E18" i="1" s="1"/>
  <c r="AJ32" i="1"/>
  <c r="E32" i="1" s="1"/>
  <c r="AJ15" i="1"/>
  <c r="E15" i="1" s="1"/>
  <c r="AJ14" i="1"/>
  <c r="E14" i="1" s="1"/>
  <c r="AJ85" i="1"/>
  <c r="E85" i="1" s="1"/>
  <c r="AJ25" i="1"/>
  <c r="E25" i="1" s="1"/>
  <c r="AJ24" i="1"/>
  <c r="E24" i="1" s="1"/>
  <c r="AJ12" i="1"/>
  <c r="E12" i="1" s="1"/>
  <c r="AJ95" i="1"/>
  <c r="E95" i="1" s="1"/>
  <c r="AJ23" i="1"/>
  <c r="E23" i="1" s="1"/>
  <c r="AJ11" i="1"/>
  <c r="E11" i="1" s="1"/>
  <c r="AJ94" i="1"/>
  <c r="E94" i="1" s="1"/>
  <c r="AJ58" i="1"/>
  <c r="E58" i="1" s="1"/>
  <c r="AJ34" i="1"/>
  <c r="E34" i="1" s="1"/>
  <c r="AJ45" i="1"/>
  <c r="E45" i="1" s="1"/>
  <c r="AJ21" i="1"/>
  <c r="E21" i="1" s="1"/>
  <c r="AJ9" i="1"/>
  <c r="E9" i="1" s="1"/>
  <c r="AJ80" i="1"/>
  <c r="E80" i="1" s="1"/>
  <c r="AJ91" i="1"/>
  <c r="E91" i="1" s="1"/>
  <c r="AJ31" i="1"/>
  <c r="E31" i="1" s="1"/>
  <c r="C99" i="1"/>
  <c r="G7" i="1"/>
  <c r="U6" i="1"/>
  <c r="Q6" i="1"/>
  <c r="P6" i="1"/>
  <c r="Z6" i="1"/>
  <c r="L6" i="1"/>
  <c r="W6" i="1" s="1"/>
  <c r="M6" i="1"/>
  <c r="X6" i="1" s="1"/>
  <c r="C100" i="1"/>
  <c r="AL7" i="18"/>
  <c r="AL7" i="17"/>
  <c r="AJ7" i="17" s="1"/>
  <c r="E7" i="17" s="1"/>
  <c r="AL7" i="16"/>
  <c r="AL8" i="16" s="1"/>
  <c r="AJ8" i="16" s="1"/>
  <c r="E8" i="16" s="1"/>
  <c r="R5" i="16"/>
  <c r="T4" i="15"/>
  <c r="U5" i="14"/>
  <c r="AL7" i="13"/>
  <c r="AL8" i="13" s="1"/>
  <c r="AJ10" i="13" s="1"/>
  <c r="E10" i="13" s="1"/>
  <c r="AL7" i="11"/>
  <c r="AL8" i="11" s="1"/>
  <c r="R4" i="11"/>
  <c r="U4" i="12"/>
  <c r="R4" i="12"/>
  <c r="AL9" i="9"/>
  <c r="AA5" i="9"/>
  <c r="Z5" i="9"/>
  <c r="R5" i="9"/>
  <c r="AL7" i="7"/>
  <c r="U4" i="7"/>
  <c r="R4" i="7"/>
  <c r="AJ7" i="6"/>
  <c r="E7" i="6" s="1"/>
  <c r="N7" i="6" s="1"/>
  <c r="O7" i="6" s="1"/>
  <c r="P6" i="6"/>
  <c r="U4" i="6"/>
  <c r="J7" i="18"/>
  <c r="Q6" i="18"/>
  <c r="P6" i="18"/>
  <c r="Z6" i="18"/>
  <c r="H7" i="18"/>
  <c r="S6" i="18"/>
  <c r="R6" i="18"/>
  <c r="AJ9" i="18"/>
  <c r="E9" i="18" s="1"/>
  <c r="AH10" i="18"/>
  <c r="AL8" i="18"/>
  <c r="AJ7" i="18"/>
  <c r="E7" i="18" s="1"/>
  <c r="AJ6" i="18"/>
  <c r="E6" i="18" s="1"/>
  <c r="L6" i="18"/>
  <c r="W6" i="18" s="1"/>
  <c r="G7" i="18"/>
  <c r="M6" i="18"/>
  <c r="X6" i="18" s="1"/>
  <c r="Q4" i="17"/>
  <c r="R4" i="17"/>
  <c r="AH11" i="17"/>
  <c r="T4" i="17"/>
  <c r="J6" i="17"/>
  <c r="T5" i="17"/>
  <c r="Q5" i="17"/>
  <c r="O5" i="17"/>
  <c r="AJ6" i="17"/>
  <c r="E6" i="17" s="1"/>
  <c r="AL8" i="17"/>
  <c r="H7" i="17"/>
  <c r="AA4" i="17"/>
  <c r="S4" i="17"/>
  <c r="G5" i="17"/>
  <c r="P4" i="17"/>
  <c r="O4" i="17"/>
  <c r="M4" i="17"/>
  <c r="X4" i="17" s="1"/>
  <c r="Z4" i="17"/>
  <c r="L4" i="17"/>
  <c r="W4" i="17" s="1"/>
  <c r="U5" i="17"/>
  <c r="AH11" i="13"/>
  <c r="J7" i="15"/>
  <c r="G5" i="15"/>
  <c r="Q4" i="15"/>
  <c r="R4" i="15"/>
  <c r="P4" i="15"/>
  <c r="O4" i="15"/>
  <c r="AA4" i="15"/>
  <c r="M4" i="15"/>
  <c r="X4" i="15" s="1"/>
  <c r="L4" i="15"/>
  <c r="W4" i="15" s="1"/>
  <c r="Z4" i="15"/>
  <c r="AH9" i="16"/>
  <c r="S5" i="14"/>
  <c r="J8" i="13"/>
  <c r="H7" i="15"/>
  <c r="H7" i="14"/>
  <c r="J6" i="16"/>
  <c r="T5" i="16"/>
  <c r="Q5" i="16"/>
  <c r="P5" i="16"/>
  <c r="O5" i="16"/>
  <c r="M5" i="14"/>
  <c r="X5" i="14" s="1"/>
  <c r="L5" i="14"/>
  <c r="W5" i="14" s="1"/>
  <c r="G6" i="14"/>
  <c r="AH10" i="14"/>
  <c r="AA5" i="14"/>
  <c r="AL9" i="15"/>
  <c r="AL7" i="15"/>
  <c r="J6" i="14"/>
  <c r="T5" i="14"/>
  <c r="Q5" i="14"/>
  <c r="P5" i="14"/>
  <c r="O5" i="14"/>
  <c r="G5" i="13"/>
  <c r="Q4" i="13"/>
  <c r="R4" i="13"/>
  <c r="O4" i="13"/>
  <c r="M4" i="13"/>
  <c r="X4" i="13" s="1"/>
  <c r="Z4" i="13"/>
  <c r="L4" i="13"/>
  <c r="W4" i="13" s="1"/>
  <c r="S5" i="16"/>
  <c r="L5" i="16"/>
  <c r="W5" i="16" s="1"/>
  <c r="G6" i="16"/>
  <c r="M5" i="16"/>
  <c r="X5" i="16" s="1"/>
  <c r="H7" i="13"/>
  <c r="H7" i="16"/>
  <c r="S4" i="15"/>
  <c r="AH10" i="15"/>
  <c r="AH10" i="12"/>
  <c r="H7" i="11"/>
  <c r="S6" i="11"/>
  <c r="R6" i="11"/>
  <c r="Z6" i="11"/>
  <c r="J9" i="11"/>
  <c r="AL8" i="9"/>
  <c r="AJ7" i="9" s="1"/>
  <c r="E7" i="9" s="1"/>
  <c r="N7" i="9" s="1"/>
  <c r="G7" i="12"/>
  <c r="M6" i="12"/>
  <c r="X6" i="12" s="1"/>
  <c r="G6" i="9"/>
  <c r="M5" i="9"/>
  <c r="X5" i="9" s="1"/>
  <c r="L5" i="9"/>
  <c r="W5" i="9" s="1"/>
  <c r="U6" i="11"/>
  <c r="AA5" i="10"/>
  <c r="Z5" i="10"/>
  <c r="H6" i="10"/>
  <c r="S5" i="10"/>
  <c r="R5" i="10"/>
  <c r="Q5" i="9"/>
  <c r="P5" i="9"/>
  <c r="O5" i="9"/>
  <c r="J6" i="9"/>
  <c r="T5" i="9"/>
  <c r="AL8" i="12"/>
  <c r="AJ9" i="12" s="1"/>
  <c r="E9" i="12" s="1"/>
  <c r="AJ6" i="12"/>
  <c r="E6" i="12" s="1"/>
  <c r="P5" i="10"/>
  <c r="J6" i="10"/>
  <c r="T5" i="10"/>
  <c r="Q5" i="10"/>
  <c r="O5" i="10"/>
  <c r="S5" i="12"/>
  <c r="Q6" i="11"/>
  <c r="S5" i="9"/>
  <c r="H7" i="12"/>
  <c r="Z6" i="12"/>
  <c r="G7" i="11"/>
  <c r="M6" i="11"/>
  <c r="X6" i="11" s="1"/>
  <c r="L6" i="11"/>
  <c r="W6" i="11" s="1"/>
  <c r="U5" i="10"/>
  <c r="U5" i="9"/>
  <c r="AH10" i="11"/>
  <c r="M5" i="10"/>
  <c r="X5" i="10" s="1"/>
  <c r="L5" i="10"/>
  <c r="W5" i="10" s="1"/>
  <c r="G6" i="10"/>
  <c r="H8" i="9"/>
  <c r="J6" i="12"/>
  <c r="L6" i="12" s="1"/>
  <c r="W6" i="12" s="1"/>
  <c r="T5" i="12"/>
  <c r="Q5" i="12"/>
  <c r="P5" i="12"/>
  <c r="O5" i="12"/>
  <c r="U5" i="12"/>
  <c r="N8" i="10"/>
  <c r="AJ8" i="9"/>
  <c r="E8" i="9" s="1"/>
  <c r="AH10" i="10"/>
  <c r="AJ9" i="10"/>
  <c r="E9" i="10" s="1"/>
  <c r="AJ9" i="9"/>
  <c r="E9" i="9" s="1"/>
  <c r="AH10" i="9"/>
  <c r="N8" i="8"/>
  <c r="AJ9" i="8"/>
  <c r="E9" i="8" s="1"/>
  <c r="J7" i="8"/>
  <c r="Q6" i="8"/>
  <c r="P6" i="8"/>
  <c r="H7" i="8"/>
  <c r="S6" i="8"/>
  <c r="R6" i="8"/>
  <c r="Z6" i="8"/>
  <c r="U6" i="8"/>
  <c r="AL8" i="8"/>
  <c r="AJ7" i="8"/>
  <c r="E7" i="8" s="1"/>
  <c r="AJ6" i="8"/>
  <c r="E6" i="8" s="1"/>
  <c r="AH11" i="8"/>
  <c r="AJ10" i="8"/>
  <c r="E10" i="8" s="1"/>
  <c r="G7" i="8"/>
  <c r="L6" i="8"/>
  <c r="W6" i="8" s="1"/>
  <c r="M6" i="8"/>
  <c r="X6" i="8" s="1"/>
  <c r="H8" i="7"/>
  <c r="J8" i="7"/>
  <c r="AH11" i="7"/>
  <c r="AL8" i="7"/>
  <c r="AJ7" i="7"/>
  <c r="E7" i="7" s="1"/>
  <c r="N8" i="6"/>
  <c r="H7" i="6"/>
  <c r="S6" i="6"/>
  <c r="R6" i="6"/>
  <c r="Z6" i="6"/>
  <c r="U6" i="6"/>
  <c r="G7" i="6"/>
  <c r="L6" i="6"/>
  <c r="W6" i="6" s="1"/>
  <c r="M6" i="6"/>
  <c r="X6" i="6" s="1"/>
  <c r="J8" i="6"/>
  <c r="AH10" i="6"/>
  <c r="AJ9" i="6"/>
  <c r="E9" i="6" s="1"/>
  <c r="AL8" i="6"/>
  <c r="AJ6" i="6"/>
  <c r="E6" i="6" s="1"/>
  <c r="U7" i="6"/>
  <c r="AL7" i="4"/>
  <c r="AL8" i="4" s="1"/>
  <c r="AJ9" i="4" s="1"/>
  <c r="E9" i="4" s="1"/>
  <c r="G5" i="4"/>
  <c r="O4" i="4"/>
  <c r="M4" i="4"/>
  <c r="X4" i="4" s="1"/>
  <c r="L4" i="4"/>
  <c r="W4" i="4" s="1"/>
  <c r="S4" i="4"/>
  <c r="H7" i="4"/>
  <c r="Q4" i="4"/>
  <c r="AH10" i="4"/>
  <c r="P4" i="4"/>
  <c r="AA4" i="4"/>
  <c r="R4" i="4"/>
  <c r="J9" i="4"/>
  <c r="U4" i="4"/>
  <c r="D6" i="1"/>
  <c r="S6" i="1" s="1"/>
  <c r="C6" i="1"/>
  <c r="R6" i="1" s="1"/>
  <c r="H7" i="1"/>
  <c r="M50" i="27" l="1"/>
  <c r="X50" i="27" s="1"/>
  <c r="Q50" i="27"/>
  <c r="G51" i="27"/>
  <c r="P50" i="27"/>
  <c r="Z50" i="27"/>
  <c r="U50" i="27"/>
  <c r="AA9" i="27"/>
  <c r="M30" i="27"/>
  <c r="X30" i="27" s="1"/>
  <c r="Z30" i="27"/>
  <c r="U30" i="27"/>
  <c r="Q30" i="27"/>
  <c r="G31" i="27"/>
  <c r="P30" i="27"/>
  <c r="M10" i="27"/>
  <c r="X10" i="27" s="1"/>
  <c r="Q10" i="27"/>
  <c r="G11" i="27"/>
  <c r="P10" i="27"/>
  <c r="AA10" i="27"/>
  <c r="Z10" i="27"/>
  <c r="U10" i="27"/>
  <c r="N11" i="27"/>
  <c r="O11" i="27" s="1"/>
  <c r="T11" i="27"/>
  <c r="N12" i="27"/>
  <c r="O8" i="27"/>
  <c r="AA8" i="27"/>
  <c r="T10" i="27"/>
  <c r="O7" i="27"/>
  <c r="AA7" i="27"/>
  <c r="N6" i="27"/>
  <c r="T6" i="27"/>
  <c r="M50" i="28"/>
  <c r="X50" i="28" s="1"/>
  <c r="Q50" i="28"/>
  <c r="G51" i="28"/>
  <c r="P50" i="28"/>
  <c r="Z50" i="28"/>
  <c r="U50" i="28"/>
  <c r="M30" i="28"/>
  <c r="X30" i="28" s="1"/>
  <c r="Z30" i="28"/>
  <c r="U30" i="28"/>
  <c r="Q30" i="28"/>
  <c r="G31" i="28"/>
  <c r="P30" i="28"/>
  <c r="AA6" i="28"/>
  <c r="O6" i="28"/>
  <c r="N11" i="28"/>
  <c r="M10" i="28"/>
  <c r="X10" i="28" s="1"/>
  <c r="Q10" i="28"/>
  <c r="U10" i="28"/>
  <c r="G11" i="28"/>
  <c r="P10" i="28"/>
  <c r="AA10" i="28"/>
  <c r="Z10" i="28"/>
  <c r="M50" i="26"/>
  <c r="X50" i="26" s="1"/>
  <c r="P50" i="26"/>
  <c r="Q50" i="26"/>
  <c r="G51" i="26"/>
  <c r="Z50" i="26"/>
  <c r="U50" i="26"/>
  <c r="AA9" i="26"/>
  <c r="M30" i="26"/>
  <c r="X30" i="26" s="1"/>
  <c r="G31" i="26"/>
  <c r="P30" i="26"/>
  <c r="Z30" i="26"/>
  <c r="Q30" i="26"/>
  <c r="U30" i="26"/>
  <c r="O8" i="26"/>
  <c r="AA8" i="26"/>
  <c r="Q10" i="26"/>
  <c r="G11" i="26"/>
  <c r="P10" i="26"/>
  <c r="Z10" i="26"/>
  <c r="U10" i="26"/>
  <c r="M10" i="26"/>
  <c r="X10" i="26" s="1"/>
  <c r="N10" i="26"/>
  <c r="O10" i="26" s="1"/>
  <c r="T10" i="26"/>
  <c r="AA6" i="26"/>
  <c r="O6" i="26"/>
  <c r="O7" i="26"/>
  <c r="AA7" i="26"/>
  <c r="M51" i="25"/>
  <c r="X51" i="25" s="1"/>
  <c r="G52" i="25"/>
  <c r="P51" i="25"/>
  <c r="Z51" i="25"/>
  <c r="Q51" i="25"/>
  <c r="U51" i="25"/>
  <c r="Q30" i="25"/>
  <c r="G31" i="25"/>
  <c r="P30" i="25"/>
  <c r="M30" i="25"/>
  <c r="X30" i="25" s="1"/>
  <c r="Z30" i="25"/>
  <c r="U30" i="25"/>
  <c r="AA9" i="25"/>
  <c r="N10" i="25"/>
  <c r="O10" i="25" s="1"/>
  <c r="T10" i="25"/>
  <c r="Q10" i="25"/>
  <c r="U10" i="25"/>
  <c r="G11" i="25"/>
  <c r="P10" i="25"/>
  <c r="Z10" i="25"/>
  <c r="M10" i="25"/>
  <c r="X10" i="25" s="1"/>
  <c r="M51" i="24"/>
  <c r="X51" i="24" s="1"/>
  <c r="Z51" i="24"/>
  <c r="Q51" i="24"/>
  <c r="G52" i="24"/>
  <c r="P51" i="24"/>
  <c r="U51" i="24"/>
  <c r="M30" i="24"/>
  <c r="X30" i="24" s="1"/>
  <c r="Z30" i="24"/>
  <c r="Q30" i="24"/>
  <c r="G31" i="24"/>
  <c r="P30" i="24"/>
  <c r="U30" i="24"/>
  <c r="O8" i="24"/>
  <c r="AA8" i="24"/>
  <c r="M10" i="24"/>
  <c r="X10" i="24" s="1"/>
  <c r="Q10" i="24"/>
  <c r="G11" i="24"/>
  <c r="P10" i="24"/>
  <c r="U10" i="24"/>
  <c r="AA10" i="24"/>
  <c r="Z10" i="24"/>
  <c r="N11" i="24"/>
  <c r="O11" i="24" s="1"/>
  <c r="T11" i="24"/>
  <c r="T10" i="24"/>
  <c r="O7" i="24"/>
  <c r="AA7" i="24"/>
  <c r="M50" i="23"/>
  <c r="X50" i="23" s="1"/>
  <c r="Q50" i="23"/>
  <c r="G51" i="23"/>
  <c r="P50" i="23"/>
  <c r="U50" i="23"/>
  <c r="Z50" i="23"/>
  <c r="N11" i="23"/>
  <c r="O11" i="23" s="1"/>
  <c r="M10" i="23"/>
  <c r="X10" i="23" s="1"/>
  <c r="AA10" i="23"/>
  <c r="Z10" i="23"/>
  <c r="Q10" i="23"/>
  <c r="G11" i="23"/>
  <c r="P10" i="23"/>
  <c r="U10" i="23"/>
  <c r="M50" i="22"/>
  <c r="X50" i="22" s="1"/>
  <c r="Z50" i="22"/>
  <c r="P50" i="22"/>
  <c r="Q50" i="22"/>
  <c r="G51" i="22"/>
  <c r="U50" i="22"/>
  <c r="AA9" i="22"/>
  <c r="M30" i="22"/>
  <c r="X30" i="22" s="1"/>
  <c r="Q30" i="22"/>
  <c r="G31" i="22"/>
  <c r="P30" i="22"/>
  <c r="Z30" i="22"/>
  <c r="U30" i="22"/>
  <c r="AA6" i="22"/>
  <c r="O6" i="22"/>
  <c r="M10" i="22"/>
  <c r="X10" i="22" s="1"/>
  <c r="AA10" i="22"/>
  <c r="Z10" i="22"/>
  <c r="Q10" i="22"/>
  <c r="G11" i="22"/>
  <c r="P10" i="22"/>
  <c r="U10" i="22"/>
  <c r="N11" i="22"/>
  <c r="O11" i="22" s="1"/>
  <c r="T11" i="22"/>
  <c r="O8" i="22"/>
  <c r="AA8" i="22"/>
  <c r="T10" i="22"/>
  <c r="O10" i="22"/>
  <c r="O7" i="22"/>
  <c r="AA7" i="22"/>
  <c r="M50" i="21"/>
  <c r="X50" i="21" s="1"/>
  <c r="Z50" i="21"/>
  <c r="U50" i="21"/>
  <c r="Q50" i="21"/>
  <c r="G51" i="21"/>
  <c r="P50" i="21"/>
  <c r="G31" i="21"/>
  <c r="P30" i="21"/>
  <c r="Z30" i="21"/>
  <c r="Q30" i="21"/>
  <c r="U30" i="21"/>
  <c r="M30" i="21"/>
  <c r="X30" i="21" s="1"/>
  <c r="N11" i="21"/>
  <c r="O10" i="21"/>
  <c r="M10" i="21"/>
  <c r="X10" i="21" s="1"/>
  <c r="Q10" i="21"/>
  <c r="G11" i="21"/>
  <c r="P10" i="21"/>
  <c r="AA10" i="21"/>
  <c r="Z10" i="21"/>
  <c r="U10" i="21"/>
  <c r="O7" i="21"/>
  <c r="AA7" i="21"/>
  <c r="O8" i="21"/>
  <c r="AA8" i="21"/>
  <c r="AJ12" i="28"/>
  <c r="E12" i="28" s="1"/>
  <c r="AH13" i="28"/>
  <c r="J9" i="28"/>
  <c r="L8" i="28"/>
  <c r="W8" i="28" s="1"/>
  <c r="H11" i="28"/>
  <c r="D10" i="28"/>
  <c r="S10" i="28" s="1"/>
  <c r="C10" i="28"/>
  <c r="R10" i="28" s="1"/>
  <c r="AH14" i="27"/>
  <c r="AJ13" i="27"/>
  <c r="E13" i="27" s="1"/>
  <c r="D9" i="24"/>
  <c r="S9" i="24" s="1"/>
  <c r="C9" i="24"/>
  <c r="R9" i="24" s="1"/>
  <c r="H10" i="24"/>
  <c r="L8" i="26"/>
  <c r="W8" i="26" s="1"/>
  <c r="J9" i="26"/>
  <c r="AH12" i="25"/>
  <c r="AJ11" i="25"/>
  <c r="E11" i="25" s="1"/>
  <c r="AJ11" i="26"/>
  <c r="E11" i="26" s="1"/>
  <c r="AH12" i="26"/>
  <c r="H10" i="27"/>
  <c r="L10" i="27" s="1"/>
  <c r="W10" i="27" s="1"/>
  <c r="D9" i="27"/>
  <c r="S9" i="27" s="1"/>
  <c r="C9" i="27"/>
  <c r="R9" i="27" s="1"/>
  <c r="L9" i="27"/>
  <c r="W9" i="27" s="1"/>
  <c r="H12" i="25"/>
  <c r="D11" i="25"/>
  <c r="S11" i="25" s="1"/>
  <c r="C11" i="25"/>
  <c r="R11" i="25" s="1"/>
  <c r="J11" i="27"/>
  <c r="J10" i="25"/>
  <c r="L9" i="25"/>
  <c r="W9" i="25" s="1"/>
  <c r="D9" i="26"/>
  <c r="S9" i="26" s="1"/>
  <c r="C9" i="26"/>
  <c r="R9" i="26" s="1"/>
  <c r="H10" i="26"/>
  <c r="AJ12" i="24"/>
  <c r="E12" i="24" s="1"/>
  <c r="AH13" i="24"/>
  <c r="L8" i="24"/>
  <c r="W8" i="24" s="1"/>
  <c r="J9" i="24"/>
  <c r="AJ12" i="22"/>
  <c r="E12" i="22" s="1"/>
  <c r="AH13" i="22"/>
  <c r="J9" i="23"/>
  <c r="L8" i="23"/>
  <c r="W8" i="23" s="1"/>
  <c r="D8" i="23"/>
  <c r="S8" i="23" s="1"/>
  <c r="C8" i="23"/>
  <c r="R8" i="23" s="1"/>
  <c r="H9" i="23"/>
  <c r="H11" i="22"/>
  <c r="D10" i="22"/>
  <c r="S10" i="22" s="1"/>
  <c r="C10" i="22"/>
  <c r="R10" i="22" s="1"/>
  <c r="AJ12" i="23"/>
  <c r="E12" i="23" s="1"/>
  <c r="AH13" i="23"/>
  <c r="J9" i="22"/>
  <c r="L8" i="22"/>
  <c r="W8" i="22" s="1"/>
  <c r="J9" i="21"/>
  <c r="L8" i="21"/>
  <c r="W8" i="21" s="1"/>
  <c r="AH13" i="21"/>
  <c r="AJ12" i="21"/>
  <c r="E12" i="21" s="1"/>
  <c r="D9" i="21"/>
  <c r="S9" i="21" s="1"/>
  <c r="C9" i="21"/>
  <c r="R9" i="21" s="1"/>
  <c r="H10" i="21"/>
  <c r="M7" i="20"/>
  <c r="X7" i="20" s="1"/>
  <c r="G8" i="20"/>
  <c r="T8" i="20" s="1"/>
  <c r="L7" i="20"/>
  <c r="W7" i="20" s="1"/>
  <c r="D7" i="20"/>
  <c r="S7" i="20" s="1"/>
  <c r="C7" i="20"/>
  <c r="R7" i="20" s="1"/>
  <c r="AA7" i="20"/>
  <c r="Z7" i="20"/>
  <c r="T7" i="20"/>
  <c r="AJ12" i="20"/>
  <c r="E12" i="20" s="1"/>
  <c r="AH13" i="20"/>
  <c r="U7" i="20"/>
  <c r="N11" i="20"/>
  <c r="Q8" i="20"/>
  <c r="P8" i="20"/>
  <c r="J9" i="20"/>
  <c r="U8" i="20"/>
  <c r="O8" i="20"/>
  <c r="P7" i="20"/>
  <c r="Q7" i="20"/>
  <c r="H11" i="20"/>
  <c r="N12" i="19"/>
  <c r="M6" i="19"/>
  <c r="X6" i="19" s="1"/>
  <c r="L6" i="19"/>
  <c r="W6" i="19" s="1"/>
  <c r="G7" i="19"/>
  <c r="Q7" i="19" s="1"/>
  <c r="H8" i="19"/>
  <c r="Z6" i="19"/>
  <c r="AA6" i="19"/>
  <c r="U6" i="19"/>
  <c r="D6" i="19"/>
  <c r="S6" i="19" s="1"/>
  <c r="P7" i="19"/>
  <c r="J8" i="19"/>
  <c r="C6" i="19"/>
  <c r="R6" i="19" s="1"/>
  <c r="P6" i="19"/>
  <c r="AJ13" i="19"/>
  <c r="E13" i="19" s="1"/>
  <c r="AH14" i="19"/>
  <c r="P5" i="7"/>
  <c r="T5" i="7"/>
  <c r="Q5" i="7"/>
  <c r="U5" i="7"/>
  <c r="Z5" i="7"/>
  <c r="M5" i="7"/>
  <c r="X5" i="7" s="1"/>
  <c r="O5" i="7"/>
  <c r="G6" i="7"/>
  <c r="L5" i="7"/>
  <c r="W5" i="7" s="1"/>
  <c r="AJ43" i="1"/>
  <c r="E43" i="1" s="1"/>
  <c r="AJ46" i="1"/>
  <c r="E46" i="1" s="1"/>
  <c r="AJ61" i="1"/>
  <c r="E61" i="1" s="1"/>
  <c r="AJ9" i="13"/>
  <c r="E9" i="13" s="1"/>
  <c r="AJ57" i="1"/>
  <c r="E57" i="1" s="1"/>
  <c r="AJ56" i="1"/>
  <c r="E56" i="1" s="1"/>
  <c r="AJ69" i="1"/>
  <c r="E69" i="1" s="1"/>
  <c r="AJ81" i="1"/>
  <c r="E81" i="1" s="1"/>
  <c r="AJ7" i="1"/>
  <c r="E7" i="1" s="1"/>
  <c r="AJ10" i="1"/>
  <c r="E10" i="1" s="1"/>
  <c r="AJ8" i="1"/>
  <c r="E8" i="1" s="1"/>
  <c r="AJ19" i="1"/>
  <c r="E19" i="1" s="1"/>
  <c r="N19" i="1" s="1"/>
  <c r="AJ22" i="1"/>
  <c r="E22" i="1" s="1"/>
  <c r="AJ9" i="14"/>
  <c r="E9" i="14" s="1"/>
  <c r="N9" i="14" s="1"/>
  <c r="AL8" i="14"/>
  <c r="AJ6" i="14"/>
  <c r="E6" i="14" s="1"/>
  <c r="AJ6" i="13"/>
  <c r="E6" i="13" s="1"/>
  <c r="D5" i="13"/>
  <c r="C5" i="13"/>
  <c r="AJ7" i="13"/>
  <c r="E7" i="13" s="1"/>
  <c r="AJ8" i="18"/>
  <c r="C7" i="18"/>
  <c r="D7" i="18"/>
  <c r="S7" i="18" s="1"/>
  <c r="AJ10" i="17"/>
  <c r="E10" i="17" s="1"/>
  <c r="N10" i="17" s="1"/>
  <c r="Z6" i="16"/>
  <c r="D6" i="16"/>
  <c r="C6" i="16"/>
  <c r="R6" i="16" s="1"/>
  <c r="D6" i="14"/>
  <c r="C6" i="14"/>
  <c r="AJ7" i="14"/>
  <c r="E7" i="14" s="1"/>
  <c r="N7" i="14" s="1"/>
  <c r="AJ8" i="13"/>
  <c r="E8" i="13" s="1"/>
  <c r="N8" i="13" s="1"/>
  <c r="AJ7" i="12"/>
  <c r="E7" i="12" s="1"/>
  <c r="N7" i="12" s="1"/>
  <c r="AA7" i="12" s="1"/>
  <c r="AJ8" i="12"/>
  <c r="E8" i="12" s="1"/>
  <c r="N8" i="12" s="1"/>
  <c r="D7" i="12"/>
  <c r="C7" i="12"/>
  <c r="AJ9" i="11"/>
  <c r="E9" i="11" s="1"/>
  <c r="N9" i="11" s="1"/>
  <c r="AJ6" i="11"/>
  <c r="E6" i="11" s="1"/>
  <c r="AJ7" i="11"/>
  <c r="E7" i="11" s="1"/>
  <c r="D7" i="11"/>
  <c r="C7" i="11"/>
  <c r="AJ8" i="11"/>
  <c r="E8" i="11" s="1"/>
  <c r="C6" i="10"/>
  <c r="D6" i="10"/>
  <c r="S6" i="10" s="1"/>
  <c r="AJ6" i="10"/>
  <c r="E6" i="10" s="1"/>
  <c r="N6" i="10" s="1"/>
  <c r="O6" i="10" s="1"/>
  <c r="C6" i="9"/>
  <c r="D6" i="9"/>
  <c r="AJ6" i="9"/>
  <c r="E6" i="9" s="1"/>
  <c r="D7" i="8"/>
  <c r="S7" i="8" s="1"/>
  <c r="C7" i="8"/>
  <c r="AJ10" i="7"/>
  <c r="E10" i="7" s="1"/>
  <c r="D7" i="6"/>
  <c r="C7" i="6"/>
  <c r="AJ8" i="4"/>
  <c r="E8" i="4" s="1"/>
  <c r="D5" i="4"/>
  <c r="C5" i="4"/>
  <c r="AJ6" i="4"/>
  <c r="E6" i="4" s="1"/>
  <c r="N91" i="1"/>
  <c r="N85" i="1"/>
  <c r="N80" i="1"/>
  <c r="N95" i="1"/>
  <c r="N69" i="1"/>
  <c r="N94" i="1"/>
  <c r="N81" i="1"/>
  <c r="N61" i="1"/>
  <c r="N46" i="1"/>
  <c r="N56" i="1"/>
  <c r="AJ70" i="1"/>
  <c r="E70" i="1" s="1"/>
  <c r="AJ50" i="1"/>
  <c r="E50" i="1" s="1"/>
  <c r="AJ100" i="1"/>
  <c r="E100" i="1" s="1"/>
  <c r="N100" i="1" s="1"/>
  <c r="N58" i="1"/>
  <c r="AJ33" i="1"/>
  <c r="E33" i="1" s="1"/>
  <c r="N33" i="1" s="1"/>
  <c r="AJ82" i="1"/>
  <c r="E82" i="1" s="1"/>
  <c r="AJ36" i="1"/>
  <c r="E36" i="1" s="1"/>
  <c r="AJ62" i="1"/>
  <c r="E62" i="1" s="1"/>
  <c r="N45" i="1"/>
  <c r="AJ60" i="1"/>
  <c r="E60" i="1" s="1"/>
  <c r="AJ74" i="1"/>
  <c r="E74" i="1" s="1"/>
  <c r="N57" i="1"/>
  <c r="AJ84" i="1"/>
  <c r="E84" i="1" s="1"/>
  <c r="AJ98" i="1"/>
  <c r="E98" i="1" s="1"/>
  <c r="AJ30" i="1"/>
  <c r="E30" i="1" s="1"/>
  <c r="N30" i="1" s="1"/>
  <c r="AJ44" i="1"/>
  <c r="E44" i="1" s="1"/>
  <c r="AJ42" i="1"/>
  <c r="E42" i="1" s="1"/>
  <c r="N42" i="1" s="1"/>
  <c r="AJ35" i="1"/>
  <c r="E35" i="1" s="1"/>
  <c r="N35" i="1" s="1"/>
  <c r="AJ68" i="1"/>
  <c r="E68" i="1" s="1"/>
  <c r="AJ55" i="1"/>
  <c r="E55" i="1" s="1"/>
  <c r="AJ93" i="1"/>
  <c r="E93" i="1" s="1"/>
  <c r="AJ47" i="1"/>
  <c r="E47" i="1" s="1"/>
  <c r="AJ27" i="1"/>
  <c r="E27" i="1" s="1"/>
  <c r="N27" i="1" s="1"/>
  <c r="AJ67" i="1"/>
  <c r="E67" i="1" s="1"/>
  <c r="AJ59" i="1"/>
  <c r="E59" i="1" s="1"/>
  <c r="AJ87" i="1"/>
  <c r="E87" i="1" s="1"/>
  <c r="AJ79" i="1"/>
  <c r="E79" i="1" s="1"/>
  <c r="AJ83" i="1"/>
  <c r="E83" i="1" s="1"/>
  <c r="AJ49" i="1"/>
  <c r="E49" i="1" s="1"/>
  <c r="AJ99" i="1"/>
  <c r="E99" i="1" s="1"/>
  <c r="N99" i="1" s="1"/>
  <c r="AA99" i="1" s="1"/>
  <c r="N18" i="1"/>
  <c r="N13" i="1"/>
  <c r="N9" i="1"/>
  <c r="N25" i="1"/>
  <c r="N32" i="1"/>
  <c r="AJ29" i="1"/>
  <c r="E29" i="1" s="1"/>
  <c r="AJ54" i="1"/>
  <c r="E54" i="1" s="1"/>
  <c r="N34" i="1"/>
  <c r="G8" i="1"/>
  <c r="Q7" i="1"/>
  <c r="Z7" i="1"/>
  <c r="P7" i="1"/>
  <c r="M7" i="1"/>
  <c r="X7" i="1" s="1"/>
  <c r="L7" i="1"/>
  <c r="W7" i="1" s="1"/>
  <c r="U7" i="1"/>
  <c r="N21" i="1"/>
  <c r="N12" i="1"/>
  <c r="AJ37" i="1"/>
  <c r="E37" i="1" s="1"/>
  <c r="AJ86" i="1"/>
  <c r="E86" i="1" s="1"/>
  <c r="AJ92" i="1"/>
  <c r="E92" i="1" s="1"/>
  <c r="AJ41" i="1"/>
  <c r="E41" i="1" s="1"/>
  <c r="AJ66" i="1"/>
  <c r="E66" i="1" s="1"/>
  <c r="N24" i="1"/>
  <c r="AJ53" i="1"/>
  <c r="E53" i="1" s="1"/>
  <c r="AJ78" i="1"/>
  <c r="E78" i="1" s="1"/>
  <c r="T7" i="1"/>
  <c r="N7" i="1"/>
  <c r="N36" i="1"/>
  <c r="N44" i="1"/>
  <c r="N16" i="1"/>
  <c r="AJ65" i="1"/>
  <c r="E65" i="1" s="1"/>
  <c r="AJ90" i="1"/>
  <c r="E90" i="1" s="1"/>
  <c r="N11" i="1"/>
  <c r="AJ48" i="1"/>
  <c r="E48" i="1" s="1"/>
  <c r="AJ73" i="1"/>
  <c r="E73" i="1" s="1"/>
  <c r="N15" i="1"/>
  <c r="AJ28" i="1"/>
  <c r="E28" i="1" s="1"/>
  <c r="AJ77" i="1"/>
  <c r="E77" i="1" s="1"/>
  <c r="AJ102" i="1"/>
  <c r="E102" i="1" s="1"/>
  <c r="N102" i="1" s="1"/>
  <c r="N17" i="1"/>
  <c r="N31" i="1"/>
  <c r="N23" i="1"/>
  <c r="AJ40" i="1"/>
  <c r="E40" i="1" s="1"/>
  <c r="AJ89" i="1"/>
  <c r="E89" i="1" s="1"/>
  <c r="N43" i="1"/>
  <c r="AJ72" i="1"/>
  <c r="E72" i="1" s="1"/>
  <c r="AJ97" i="1"/>
  <c r="E97" i="1" s="1"/>
  <c r="AJ39" i="1"/>
  <c r="E39" i="1" s="1"/>
  <c r="AJ52" i="1"/>
  <c r="E52" i="1" s="1"/>
  <c r="AJ101" i="1"/>
  <c r="E101" i="1" s="1"/>
  <c r="N101" i="1" s="1"/>
  <c r="N14" i="1"/>
  <c r="AJ51" i="1"/>
  <c r="E51" i="1" s="1"/>
  <c r="AJ64" i="1"/>
  <c r="E64" i="1" s="1"/>
  <c r="AJ20" i="1"/>
  <c r="E20" i="1" s="1"/>
  <c r="N10" i="1"/>
  <c r="AJ96" i="1"/>
  <c r="E96" i="1" s="1"/>
  <c r="AJ26" i="1"/>
  <c r="E26" i="1" s="1"/>
  <c r="AJ63" i="1"/>
  <c r="E63" i="1" s="1"/>
  <c r="AJ76" i="1"/>
  <c r="E76" i="1" s="1"/>
  <c r="N6" i="1"/>
  <c r="T6" i="1"/>
  <c r="N22" i="1"/>
  <c r="AJ71" i="1"/>
  <c r="E71" i="1" s="1"/>
  <c r="N8" i="1"/>
  <c r="O8" i="1" s="1"/>
  <c r="T8" i="1"/>
  <c r="AJ38" i="1"/>
  <c r="E38" i="1" s="1"/>
  <c r="AJ75" i="1"/>
  <c r="E75" i="1" s="1"/>
  <c r="AJ88" i="1"/>
  <c r="E88" i="1" s="1"/>
  <c r="AJ6" i="7"/>
  <c r="E6" i="7" s="1"/>
  <c r="AJ9" i="17"/>
  <c r="AJ8" i="17"/>
  <c r="S6" i="16"/>
  <c r="AJ6" i="16"/>
  <c r="AJ7" i="16"/>
  <c r="AJ9" i="7"/>
  <c r="AJ8" i="7"/>
  <c r="R6" i="14"/>
  <c r="AH11" i="18"/>
  <c r="AJ10" i="18"/>
  <c r="E10" i="18" s="1"/>
  <c r="N9" i="18"/>
  <c r="H8" i="18"/>
  <c r="R7" i="18"/>
  <c r="Z7" i="18"/>
  <c r="G8" i="18"/>
  <c r="M7" i="18"/>
  <c r="X7" i="18" s="1"/>
  <c r="L7" i="18"/>
  <c r="W7" i="18" s="1"/>
  <c r="T6" i="18"/>
  <c r="N6" i="18"/>
  <c r="Q7" i="18"/>
  <c r="P7" i="18"/>
  <c r="J8" i="18"/>
  <c r="U7" i="18"/>
  <c r="T7" i="18"/>
  <c r="N7" i="18"/>
  <c r="O7" i="18" s="1"/>
  <c r="J7" i="17"/>
  <c r="H8" i="17"/>
  <c r="AJ11" i="17"/>
  <c r="E11" i="17" s="1"/>
  <c r="AH12" i="17"/>
  <c r="N7" i="17"/>
  <c r="N6" i="17"/>
  <c r="M5" i="17"/>
  <c r="X5" i="17" s="1"/>
  <c r="L5" i="17"/>
  <c r="W5" i="17" s="1"/>
  <c r="G6" i="17"/>
  <c r="AA5" i="17"/>
  <c r="Z5" i="17"/>
  <c r="S5" i="17"/>
  <c r="R5" i="17"/>
  <c r="P5" i="17"/>
  <c r="J7" i="14"/>
  <c r="U6" i="14"/>
  <c r="Q6" i="14"/>
  <c r="P6" i="14"/>
  <c r="H8" i="16"/>
  <c r="N8" i="14"/>
  <c r="AH10" i="16"/>
  <c r="AJ9" i="16"/>
  <c r="E9" i="16" s="1"/>
  <c r="AJ6" i="15"/>
  <c r="E6" i="15" s="1"/>
  <c r="AL8" i="15"/>
  <c r="AJ8" i="15" s="1"/>
  <c r="E8" i="15" s="1"/>
  <c r="AJ7" i="15"/>
  <c r="E7" i="15" s="1"/>
  <c r="N6" i="13"/>
  <c r="N7" i="13"/>
  <c r="M5" i="15"/>
  <c r="X5" i="15" s="1"/>
  <c r="L5" i="15"/>
  <c r="W5" i="15" s="1"/>
  <c r="G6" i="15"/>
  <c r="AA5" i="15"/>
  <c r="Z5" i="15"/>
  <c r="U5" i="15"/>
  <c r="S5" i="15"/>
  <c r="R5" i="15"/>
  <c r="O5" i="15"/>
  <c r="P5" i="15"/>
  <c r="T5" i="15"/>
  <c r="Q5" i="15"/>
  <c r="N8" i="16"/>
  <c r="H8" i="15"/>
  <c r="J7" i="16"/>
  <c r="Q6" i="16"/>
  <c r="P6" i="16"/>
  <c r="U6" i="16"/>
  <c r="J8" i="15"/>
  <c r="N9" i="13"/>
  <c r="G6" i="13"/>
  <c r="M5" i="13"/>
  <c r="X5" i="13" s="1"/>
  <c r="L5" i="13"/>
  <c r="W5" i="13" s="1"/>
  <c r="P5" i="13"/>
  <c r="S5" i="13"/>
  <c r="Q5" i="13"/>
  <c r="R5" i="13"/>
  <c r="AA5" i="13"/>
  <c r="O5" i="13"/>
  <c r="Z5" i="13"/>
  <c r="U5" i="13"/>
  <c r="T5" i="13"/>
  <c r="AJ10" i="14"/>
  <c r="E10" i="14" s="1"/>
  <c r="AH11" i="14"/>
  <c r="J9" i="13"/>
  <c r="AJ9" i="15"/>
  <c r="E9" i="15" s="1"/>
  <c r="H8" i="13"/>
  <c r="M6" i="14"/>
  <c r="X6" i="14" s="1"/>
  <c r="L6" i="14"/>
  <c r="W6" i="14" s="1"/>
  <c r="G7" i="14"/>
  <c r="O7" i="14" s="1"/>
  <c r="S6" i="14"/>
  <c r="AH12" i="13"/>
  <c r="AJ11" i="13"/>
  <c r="E11" i="13" s="1"/>
  <c r="AJ10" i="15"/>
  <c r="E10" i="15" s="1"/>
  <c r="AH11" i="15"/>
  <c r="H8" i="14"/>
  <c r="N10" i="13"/>
  <c r="M6" i="16"/>
  <c r="X6" i="16" s="1"/>
  <c r="L6" i="16"/>
  <c r="W6" i="16" s="1"/>
  <c r="G7" i="16"/>
  <c r="Z6" i="14"/>
  <c r="N6" i="14"/>
  <c r="O6" i="14" s="1"/>
  <c r="T6" i="14"/>
  <c r="N9" i="10"/>
  <c r="AH11" i="11"/>
  <c r="AJ10" i="11"/>
  <c r="E10" i="11" s="1"/>
  <c r="G7" i="9"/>
  <c r="M6" i="9"/>
  <c r="X6" i="9" s="1"/>
  <c r="L6" i="9"/>
  <c r="W6" i="9" s="1"/>
  <c r="S6" i="9"/>
  <c r="Z6" i="9"/>
  <c r="R6" i="9"/>
  <c r="Q6" i="9"/>
  <c r="P6" i="9"/>
  <c r="J7" i="9"/>
  <c r="U6" i="9"/>
  <c r="H9" i="9"/>
  <c r="J10" i="11"/>
  <c r="AJ10" i="10"/>
  <c r="E10" i="10" s="1"/>
  <c r="AH11" i="10"/>
  <c r="M7" i="11"/>
  <c r="X7" i="11" s="1"/>
  <c r="L7" i="11"/>
  <c r="W7" i="11" s="1"/>
  <c r="G8" i="11"/>
  <c r="Z6" i="10"/>
  <c r="H7" i="10"/>
  <c r="R6" i="10"/>
  <c r="M7" i="12"/>
  <c r="X7" i="12" s="1"/>
  <c r="G8" i="12"/>
  <c r="N8" i="9"/>
  <c r="N8" i="11"/>
  <c r="J7" i="10"/>
  <c r="Q6" i="10"/>
  <c r="P6" i="10"/>
  <c r="U6" i="10"/>
  <c r="T6" i="9"/>
  <c r="N6" i="9"/>
  <c r="O6" i="9" s="1"/>
  <c r="S7" i="11"/>
  <c r="R7" i="11"/>
  <c r="Z7" i="11"/>
  <c r="H8" i="11"/>
  <c r="U7" i="11"/>
  <c r="Q7" i="11"/>
  <c r="P7" i="11"/>
  <c r="S7" i="12"/>
  <c r="R7" i="12"/>
  <c r="Z7" i="12"/>
  <c r="H8" i="12"/>
  <c r="N9" i="12"/>
  <c r="Q6" i="12"/>
  <c r="P6" i="12"/>
  <c r="J7" i="12"/>
  <c r="U6" i="12"/>
  <c r="AJ10" i="9"/>
  <c r="E10" i="9" s="1"/>
  <c r="AH11" i="9"/>
  <c r="M6" i="10"/>
  <c r="X6" i="10" s="1"/>
  <c r="L6" i="10"/>
  <c r="W6" i="10" s="1"/>
  <c r="G7" i="10"/>
  <c r="T6" i="12"/>
  <c r="N6" i="12"/>
  <c r="T6" i="11"/>
  <c r="N6" i="11"/>
  <c r="AH11" i="12"/>
  <c r="AJ10" i="12"/>
  <c r="E10" i="12" s="1"/>
  <c r="N9" i="9"/>
  <c r="R6" i="12"/>
  <c r="O7" i="9"/>
  <c r="S6" i="12"/>
  <c r="R7" i="8"/>
  <c r="Z7" i="8"/>
  <c r="H8" i="8"/>
  <c r="G8" i="8"/>
  <c r="L7" i="8"/>
  <c r="W7" i="8" s="1"/>
  <c r="M7" i="8"/>
  <c r="X7" i="8" s="1"/>
  <c r="N10" i="8"/>
  <c r="AJ11" i="8"/>
  <c r="E11" i="8" s="1"/>
  <c r="AH12" i="8"/>
  <c r="Q7" i="8"/>
  <c r="J8" i="8"/>
  <c r="P7" i="8"/>
  <c r="U7" i="8"/>
  <c r="N9" i="8"/>
  <c r="O8" i="8"/>
  <c r="T6" i="8"/>
  <c r="N6" i="8"/>
  <c r="T7" i="8"/>
  <c r="N7" i="8"/>
  <c r="O7" i="8" s="1"/>
  <c r="AJ11" i="7"/>
  <c r="E11" i="7" s="1"/>
  <c r="AH12" i="7"/>
  <c r="J9" i="7"/>
  <c r="N10" i="7"/>
  <c r="N7" i="7"/>
  <c r="H9" i="7"/>
  <c r="G8" i="6"/>
  <c r="M7" i="6"/>
  <c r="X7" i="6" s="1"/>
  <c r="L7" i="6"/>
  <c r="W7" i="6" s="1"/>
  <c r="N9" i="6"/>
  <c r="AH11" i="6"/>
  <c r="AJ10" i="6"/>
  <c r="E10" i="6" s="1"/>
  <c r="S7" i="6"/>
  <c r="R7" i="6"/>
  <c r="H8" i="6"/>
  <c r="AA7" i="6"/>
  <c r="Z7" i="6"/>
  <c r="J9" i="6"/>
  <c r="P7" i="6"/>
  <c r="T7" i="6"/>
  <c r="T6" i="6"/>
  <c r="N6" i="6"/>
  <c r="Q7" i="6"/>
  <c r="AJ7" i="4"/>
  <c r="H8" i="4"/>
  <c r="N9" i="4"/>
  <c r="AH11" i="4"/>
  <c r="AJ10" i="4"/>
  <c r="E10" i="4" s="1"/>
  <c r="N8" i="4"/>
  <c r="G6" i="4"/>
  <c r="M5" i="4"/>
  <c r="X5" i="4" s="1"/>
  <c r="L5" i="4"/>
  <c r="W5" i="4" s="1"/>
  <c r="U5" i="4"/>
  <c r="R5" i="4"/>
  <c r="AA5" i="4"/>
  <c r="Z5" i="4"/>
  <c r="P5" i="4"/>
  <c r="T5" i="4"/>
  <c r="Q5" i="4"/>
  <c r="O5" i="4"/>
  <c r="S5" i="4"/>
  <c r="J10" i="4"/>
  <c r="D7" i="1"/>
  <c r="S7" i="1" s="1"/>
  <c r="C7" i="1"/>
  <c r="R7" i="1" s="1"/>
  <c r="H8" i="1"/>
  <c r="M51" i="27" l="1"/>
  <c r="X51" i="27" s="1"/>
  <c r="Q51" i="27"/>
  <c r="U51" i="27"/>
  <c r="G52" i="27"/>
  <c r="P51" i="27"/>
  <c r="Z51" i="27"/>
  <c r="M31" i="27"/>
  <c r="X31" i="27" s="1"/>
  <c r="Z31" i="27"/>
  <c r="G32" i="27"/>
  <c r="P31" i="27"/>
  <c r="Q31" i="27"/>
  <c r="U31" i="27"/>
  <c r="N13" i="27"/>
  <c r="AA6" i="27"/>
  <c r="O6" i="27"/>
  <c r="M11" i="27"/>
  <c r="X11" i="27" s="1"/>
  <c r="Q11" i="27"/>
  <c r="G12" i="27"/>
  <c r="P11" i="27"/>
  <c r="U11" i="27"/>
  <c r="AA11" i="27"/>
  <c r="Z11" i="27"/>
  <c r="Q51" i="28"/>
  <c r="G52" i="28"/>
  <c r="P51" i="28"/>
  <c r="Z51" i="28"/>
  <c r="U51" i="28"/>
  <c r="M51" i="28"/>
  <c r="X51" i="28" s="1"/>
  <c r="M31" i="28"/>
  <c r="X31" i="28" s="1"/>
  <c r="Z31" i="28"/>
  <c r="G32" i="28"/>
  <c r="Q31" i="28"/>
  <c r="P31" i="28"/>
  <c r="U31" i="28"/>
  <c r="N12" i="28"/>
  <c r="O12" i="28" s="1"/>
  <c r="M11" i="28"/>
  <c r="X11" i="28" s="1"/>
  <c r="Q11" i="28"/>
  <c r="G12" i="28"/>
  <c r="P11" i="28"/>
  <c r="AA11" i="28"/>
  <c r="Z11" i="28"/>
  <c r="U11" i="28"/>
  <c r="T11" i="28"/>
  <c r="O11" i="28"/>
  <c r="M51" i="26"/>
  <c r="X51" i="26" s="1"/>
  <c r="Q51" i="26"/>
  <c r="G52" i="26"/>
  <c r="P51" i="26"/>
  <c r="Z51" i="26"/>
  <c r="U51" i="26"/>
  <c r="M31" i="26"/>
  <c r="X31" i="26" s="1"/>
  <c r="Z31" i="26"/>
  <c r="Q31" i="26"/>
  <c r="G32" i="26"/>
  <c r="P31" i="26"/>
  <c r="U31" i="26"/>
  <c r="AA10" i="26"/>
  <c r="N11" i="26"/>
  <c r="O11" i="26" s="1"/>
  <c r="T11" i="26"/>
  <c r="M11" i="26"/>
  <c r="X11" i="26" s="1"/>
  <c r="Q11" i="26"/>
  <c r="G12" i="26"/>
  <c r="P11" i="26"/>
  <c r="Z11" i="26"/>
  <c r="U11" i="26"/>
  <c r="M52" i="25"/>
  <c r="X52" i="25" s="1"/>
  <c r="P52" i="25"/>
  <c r="Z52" i="25"/>
  <c r="G53" i="25"/>
  <c r="Q52" i="25"/>
  <c r="U52" i="25"/>
  <c r="AA10" i="25"/>
  <c r="Q31" i="25"/>
  <c r="G32" i="25"/>
  <c r="P31" i="25"/>
  <c r="Z31" i="25"/>
  <c r="M31" i="25"/>
  <c r="X31" i="25" s="1"/>
  <c r="U31" i="25"/>
  <c r="Q11" i="25"/>
  <c r="G12" i="25"/>
  <c r="P11" i="25"/>
  <c r="Z11" i="25"/>
  <c r="M11" i="25"/>
  <c r="X11" i="25" s="1"/>
  <c r="U11" i="25"/>
  <c r="N11" i="25"/>
  <c r="O11" i="25" s="1"/>
  <c r="T11" i="25"/>
  <c r="M52" i="24"/>
  <c r="X52" i="24" s="1"/>
  <c r="Q52" i="24"/>
  <c r="G53" i="24"/>
  <c r="P52" i="24"/>
  <c r="Z52" i="24"/>
  <c r="U52" i="24"/>
  <c r="M31" i="24"/>
  <c r="X31" i="24" s="1"/>
  <c r="Z31" i="24"/>
  <c r="Q31" i="24"/>
  <c r="G32" i="24"/>
  <c r="P31" i="24"/>
  <c r="U31" i="24"/>
  <c r="N12" i="24"/>
  <c r="M11" i="24"/>
  <c r="X11" i="24" s="1"/>
  <c r="Q11" i="24"/>
  <c r="G12" i="24"/>
  <c r="P11" i="24"/>
  <c r="AA11" i="24"/>
  <c r="Z11" i="24"/>
  <c r="U11" i="24"/>
  <c r="M51" i="23"/>
  <c r="X51" i="23" s="1"/>
  <c r="Z51" i="23"/>
  <c r="Q51" i="23"/>
  <c r="G52" i="23"/>
  <c r="P51" i="23"/>
  <c r="U51" i="23"/>
  <c r="M11" i="23"/>
  <c r="X11" i="23" s="1"/>
  <c r="Z11" i="23"/>
  <c r="G12" i="23"/>
  <c r="Q11" i="23"/>
  <c r="AA11" i="23"/>
  <c r="P11" i="23"/>
  <c r="U11" i="23"/>
  <c r="N12" i="23"/>
  <c r="O12" i="23" s="1"/>
  <c r="T12" i="23"/>
  <c r="T11" i="23"/>
  <c r="M51" i="22"/>
  <c r="X51" i="22" s="1"/>
  <c r="Q51" i="22"/>
  <c r="G52" i="22"/>
  <c r="P51" i="22"/>
  <c r="Z51" i="22"/>
  <c r="U51" i="22"/>
  <c r="M31" i="22"/>
  <c r="X31" i="22" s="1"/>
  <c r="Z31" i="22"/>
  <c r="U31" i="22"/>
  <c r="Q31" i="22"/>
  <c r="G32" i="22"/>
  <c r="P31" i="22"/>
  <c r="M11" i="22"/>
  <c r="X11" i="22" s="1"/>
  <c r="Z11" i="22"/>
  <c r="Q11" i="22"/>
  <c r="G12" i="22"/>
  <c r="P11" i="22"/>
  <c r="AA11" i="22"/>
  <c r="U11" i="22"/>
  <c r="N12" i="22"/>
  <c r="O12" i="22" s="1"/>
  <c r="T12" i="22"/>
  <c r="Q51" i="21"/>
  <c r="G52" i="21"/>
  <c r="P51" i="21"/>
  <c r="Z51" i="21"/>
  <c r="M51" i="21"/>
  <c r="X51" i="21" s="1"/>
  <c r="U51" i="21"/>
  <c r="M31" i="21"/>
  <c r="X31" i="21" s="1"/>
  <c r="Z31" i="21"/>
  <c r="G32" i="21"/>
  <c r="P31" i="21"/>
  <c r="Q31" i="21"/>
  <c r="U31" i="21"/>
  <c r="N12" i="21"/>
  <c r="M11" i="21"/>
  <c r="X11" i="21" s="1"/>
  <c r="Q11" i="21"/>
  <c r="U11" i="21"/>
  <c r="G12" i="21"/>
  <c r="P11" i="21"/>
  <c r="AA11" i="21"/>
  <c r="Z11" i="21"/>
  <c r="T11" i="21"/>
  <c r="O11" i="21"/>
  <c r="H12" i="28"/>
  <c r="D11" i="28"/>
  <c r="S11" i="28" s="1"/>
  <c r="C11" i="28"/>
  <c r="R11" i="28" s="1"/>
  <c r="J10" i="28"/>
  <c r="L9" i="28"/>
  <c r="W9" i="28" s="1"/>
  <c r="AH14" i="28"/>
  <c r="AJ13" i="28"/>
  <c r="E13" i="28" s="1"/>
  <c r="AJ12" i="26"/>
  <c r="E12" i="26" s="1"/>
  <c r="AH13" i="26"/>
  <c r="J11" i="25"/>
  <c r="L10" i="25"/>
  <c r="W10" i="25" s="1"/>
  <c r="AH13" i="25"/>
  <c r="AJ12" i="25"/>
  <c r="E12" i="25" s="1"/>
  <c r="H11" i="27"/>
  <c r="L11" i="27" s="1"/>
  <c r="W11" i="27" s="1"/>
  <c r="D10" i="27"/>
  <c r="S10" i="27" s="1"/>
  <c r="C10" i="27"/>
  <c r="R10" i="27" s="1"/>
  <c r="J12" i="27"/>
  <c r="J10" i="26"/>
  <c r="L9" i="26"/>
  <c r="W9" i="26" s="1"/>
  <c r="J10" i="24"/>
  <c r="L9" i="24"/>
  <c r="W9" i="24" s="1"/>
  <c r="D10" i="24"/>
  <c r="S10" i="24" s="1"/>
  <c r="C10" i="24"/>
  <c r="R10" i="24" s="1"/>
  <c r="H11" i="24"/>
  <c r="H13" i="25"/>
  <c r="D12" i="25"/>
  <c r="S12" i="25" s="1"/>
  <c r="C12" i="25"/>
  <c r="R12" i="25" s="1"/>
  <c r="AH14" i="24"/>
  <c r="AJ13" i="24"/>
  <c r="E13" i="24" s="1"/>
  <c r="D10" i="26"/>
  <c r="S10" i="26" s="1"/>
  <c r="C10" i="26"/>
  <c r="R10" i="26" s="1"/>
  <c r="H11" i="26"/>
  <c r="AJ14" i="27"/>
  <c r="E14" i="27" s="1"/>
  <c r="AH15" i="27"/>
  <c r="AH14" i="23"/>
  <c r="AJ13" i="23"/>
  <c r="E13" i="23" s="1"/>
  <c r="H12" i="22"/>
  <c r="D11" i="22"/>
  <c r="S11" i="22" s="1"/>
  <c r="C11" i="22"/>
  <c r="R11" i="22" s="1"/>
  <c r="C9" i="23"/>
  <c r="R9" i="23" s="1"/>
  <c r="H10" i="23"/>
  <c r="D9" i="23"/>
  <c r="S9" i="23" s="1"/>
  <c r="J10" i="23"/>
  <c r="L9" i="23"/>
  <c r="W9" i="23" s="1"/>
  <c r="AJ13" i="22"/>
  <c r="E13" i="22" s="1"/>
  <c r="AH14" i="22"/>
  <c r="J10" i="22"/>
  <c r="L9" i="22"/>
  <c r="W9" i="22" s="1"/>
  <c r="C10" i="21"/>
  <c r="R10" i="21" s="1"/>
  <c r="H11" i="21"/>
  <c r="D10" i="21"/>
  <c r="S10" i="21" s="1"/>
  <c r="AJ13" i="21"/>
  <c r="E13" i="21" s="1"/>
  <c r="AH14" i="21"/>
  <c r="J10" i="21"/>
  <c r="L9" i="21"/>
  <c r="W9" i="21" s="1"/>
  <c r="AJ13" i="20"/>
  <c r="E13" i="20" s="1"/>
  <c r="AH14" i="20"/>
  <c r="N12" i="20"/>
  <c r="J10" i="20"/>
  <c r="T9" i="20"/>
  <c r="O9" i="20"/>
  <c r="H12" i="20"/>
  <c r="M8" i="20"/>
  <c r="X8" i="20" s="1"/>
  <c r="L8" i="20"/>
  <c r="W8" i="20" s="1"/>
  <c r="G9" i="20"/>
  <c r="U9" i="20" s="1"/>
  <c r="C8" i="20"/>
  <c r="R8" i="20" s="1"/>
  <c r="D8" i="20"/>
  <c r="S8" i="20" s="1"/>
  <c r="AA8" i="20"/>
  <c r="Z8" i="20"/>
  <c r="Z7" i="19"/>
  <c r="AA7" i="19"/>
  <c r="C7" i="19"/>
  <c r="R7" i="19" s="1"/>
  <c r="U7" i="19"/>
  <c r="D7" i="19"/>
  <c r="S7" i="19" s="1"/>
  <c r="O7" i="19"/>
  <c r="N13" i="19"/>
  <c r="H9" i="19"/>
  <c r="J9" i="19"/>
  <c r="M7" i="19"/>
  <c r="X7" i="19" s="1"/>
  <c r="L7" i="19"/>
  <c r="W7" i="19" s="1"/>
  <c r="G8" i="19"/>
  <c r="Z8" i="19" s="1"/>
  <c r="T7" i="19"/>
  <c r="AJ14" i="19"/>
  <c r="E14" i="19" s="1"/>
  <c r="AH15" i="19"/>
  <c r="T6" i="4"/>
  <c r="T6" i="7"/>
  <c r="D6" i="7"/>
  <c r="S6" i="7" s="1"/>
  <c r="Q6" i="7"/>
  <c r="C6" i="7"/>
  <c r="R6" i="7" s="1"/>
  <c r="P6" i="7"/>
  <c r="G7" i="7"/>
  <c r="M6" i="7"/>
  <c r="X6" i="7" s="1"/>
  <c r="L6" i="7"/>
  <c r="W6" i="7" s="1"/>
  <c r="Z6" i="7"/>
  <c r="U6" i="7"/>
  <c r="O7" i="7"/>
  <c r="N6" i="4"/>
  <c r="O6" i="4" s="1"/>
  <c r="O6" i="17"/>
  <c r="N7" i="11"/>
  <c r="T7" i="11"/>
  <c r="T6" i="10"/>
  <c r="AA6" i="10"/>
  <c r="D8" i="18"/>
  <c r="C8" i="18"/>
  <c r="E8" i="18"/>
  <c r="N8" i="18" s="1"/>
  <c r="O8" i="18" s="1"/>
  <c r="D6" i="17"/>
  <c r="C6" i="17"/>
  <c r="R6" i="17" s="1"/>
  <c r="E8" i="17"/>
  <c r="N8" i="17" s="1"/>
  <c r="E9" i="17"/>
  <c r="N9" i="17" s="1"/>
  <c r="E7" i="16"/>
  <c r="N7" i="16" s="1"/>
  <c r="AA7" i="16" s="1"/>
  <c r="E6" i="16"/>
  <c r="D7" i="16"/>
  <c r="C7" i="16"/>
  <c r="D6" i="15"/>
  <c r="C6" i="15"/>
  <c r="D7" i="14"/>
  <c r="S7" i="14" s="1"/>
  <c r="C7" i="14"/>
  <c r="R7" i="14" s="1"/>
  <c r="D6" i="13"/>
  <c r="C6" i="13"/>
  <c r="R6" i="13" s="1"/>
  <c r="D8" i="12"/>
  <c r="S8" i="12" s="1"/>
  <c r="C8" i="12"/>
  <c r="R8" i="12" s="1"/>
  <c r="D8" i="11"/>
  <c r="C8" i="11"/>
  <c r="D7" i="10"/>
  <c r="C7" i="10"/>
  <c r="D7" i="9"/>
  <c r="C7" i="9"/>
  <c r="D8" i="8"/>
  <c r="C8" i="8"/>
  <c r="N6" i="7"/>
  <c r="AA6" i="7" s="1"/>
  <c r="AA7" i="7"/>
  <c r="D8" i="6"/>
  <c r="C8" i="6"/>
  <c r="T8" i="6"/>
  <c r="D6" i="4"/>
  <c r="C6" i="4"/>
  <c r="E7" i="4"/>
  <c r="N7" i="4" s="1"/>
  <c r="N77" i="1"/>
  <c r="N76" i="1"/>
  <c r="N97" i="1"/>
  <c r="N93" i="1"/>
  <c r="N72" i="1"/>
  <c r="N74" i="1"/>
  <c r="N73" i="1"/>
  <c r="N78" i="1"/>
  <c r="N68" i="1"/>
  <c r="N88" i="1"/>
  <c r="N96" i="1"/>
  <c r="N82" i="1"/>
  <c r="N75" i="1"/>
  <c r="N89" i="1"/>
  <c r="N83" i="1"/>
  <c r="N90" i="1"/>
  <c r="N79" i="1"/>
  <c r="N92" i="1"/>
  <c r="N87" i="1"/>
  <c r="N98" i="1"/>
  <c r="N71" i="1"/>
  <c r="N86" i="1"/>
  <c r="N84" i="1"/>
  <c r="N70" i="1"/>
  <c r="N54" i="1"/>
  <c r="N59" i="1"/>
  <c r="N52" i="1"/>
  <c r="N67" i="1"/>
  <c r="N50" i="1"/>
  <c r="N63" i="1"/>
  <c r="N47" i="1"/>
  <c r="N60" i="1"/>
  <c r="N65" i="1"/>
  <c r="N55" i="1"/>
  <c r="N48" i="1"/>
  <c r="N53" i="1"/>
  <c r="N62" i="1"/>
  <c r="N64" i="1"/>
  <c r="N49" i="1"/>
  <c r="N51" i="1"/>
  <c r="N66" i="1"/>
  <c r="N28" i="1"/>
  <c r="O6" i="1"/>
  <c r="AA6" i="1"/>
  <c r="N40" i="1"/>
  <c r="N39" i="1"/>
  <c r="N26" i="1"/>
  <c r="N41" i="1"/>
  <c r="N38" i="1"/>
  <c r="O7" i="1"/>
  <c r="AA7" i="1"/>
  <c r="G9" i="1"/>
  <c r="Q8" i="1"/>
  <c r="Z8" i="1"/>
  <c r="P8" i="1"/>
  <c r="L8" i="1"/>
  <c r="W8" i="1" s="1"/>
  <c r="AA8" i="1"/>
  <c r="U8" i="1"/>
  <c r="M8" i="1"/>
  <c r="X8" i="1" s="1"/>
  <c r="N29" i="1"/>
  <c r="N20" i="1"/>
  <c r="N37" i="1"/>
  <c r="E8" i="7"/>
  <c r="N8" i="7" s="1"/>
  <c r="E9" i="7"/>
  <c r="N9" i="7" s="1"/>
  <c r="Z7" i="14"/>
  <c r="T8" i="11"/>
  <c r="M8" i="18"/>
  <c r="X8" i="18" s="1"/>
  <c r="L8" i="18"/>
  <c r="W8" i="18" s="1"/>
  <c r="G9" i="18"/>
  <c r="AA7" i="18"/>
  <c r="Q8" i="18"/>
  <c r="P8" i="18"/>
  <c r="J9" i="18"/>
  <c r="U8" i="18"/>
  <c r="S8" i="18"/>
  <c r="R8" i="18"/>
  <c r="Z8" i="18"/>
  <c r="H9" i="18"/>
  <c r="O6" i="18"/>
  <c r="AA6" i="18"/>
  <c r="N10" i="18"/>
  <c r="AJ11" i="18"/>
  <c r="E11" i="18" s="1"/>
  <c r="AH12" i="18"/>
  <c r="M6" i="17"/>
  <c r="X6" i="17" s="1"/>
  <c r="L6" i="17"/>
  <c r="W6" i="17" s="1"/>
  <c r="G7" i="17"/>
  <c r="Q7" i="17" s="1"/>
  <c r="AA6" i="17"/>
  <c r="Z6" i="17"/>
  <c r="S6" i="17"/>
  <c r="H9" i="17"/>
  <c r="N11" i="17"/>
  <c r="T6" i="17"/>
  <c r="Q6" i="17"/>
  <c r="P6" i="17"/>
  <c r="U6" i="17"/>
  <c r="AJ12" i="17"/>
  <c r="E12" i="17" s="1"/>
  <c r="AH13" i="17"/>
  <c r="J8" i="17"/>
  <c r="M7" i="14"/>
  <c r="X7" i="14" s="1"/>
  <c r="L7" i="14"/>
  <c r="W7" i="14" s="1"/>
  <c r="G8" i="14"/>
  <c r="J8" i="16"/>
  <c r="Q7" i="16"/>
  <c r="P7" i="16"/>
  <c r="U7" i="16"/>
  <c r="AJ11" i="14"/>
  <c r="E11" i="14" s="1"/>
  <c r="AH12" i="14"/>
  <c r="R7" i="16"/>
  <c r="N10" i="14"/>
  <c r="G7" i="13"/>
  <c r="M6" i="13"/>
  <c r="X6" i="13" s="1"/>
  <c r="L6" i="13"/>
  <c r="W6" i="13" s="1"/>
  <c r="Q6" i="13"/>
  <c r="P6" i="13"/>
  <c r="U6" i="13"/>
  <c r="Z6" i="13"/>
  <c r="S6" i="13"/>
  <c r="AA6" i="13"/>
  <c r="O6" i="13"/>
  <c r="S7" i="16"/>
  <c r="AA6" i="14"/>
  <c r="H9" i="14"/>
  <c r="T6" i="13"/>
  <c r="H9" i="16"/>
  <c r="N8" i="15"/>
  <c r="Z7" i="16"/>
  <c r="AA7" i="14"/>
  <c r="N7" i="15"/>
  <c r="AJ11" i="15"/>
  <c r="E11" i="15" s="1"/>
  <c r="AH12" i="15"/>
  <c r="H9" i="15"/>
  <c r="H9" i="13"/>
  <c r="M7" i="16"/>
  <c r="X7" i="16" s="1"/>
  <c r="L7" i="16"/>
  <c r="W7" i="16" s="1"/>
  <c r="G8" i="16"/>
  <c r="N10" i="15"/>
  <c r="N6" i="15"/>
  <c r="O6" i="15" s="1"/>
  <c r="T6" i="15"/>
  <c r="N11" i="13"/>
  <c r="N9" i="15"/>
  <c r="J9" i="15"/>
  <c r="M6" i="15"/>
  <c r="X6" i="15" s="1"/>
  <c r="G7" i="15"/>
  <c r="L6" i="15"/>
  <c r="W6" i="15" s="1"/>
  <c r="P6" i="15"/>
  <c r="R6" i="15"/>
  <c r="U6" i="15"/>
  <c r="Q6" i="15"/>
  <c r="Z6" i="15"/>
  <c r="S6" i="15"/>
  <c r="N9" i="16"/>
  <c r="AH13" i="13"/>
  <c r="AJ12" i="13"/>
  <c r="E12" i="13" s="1"/>
  <c r="J10" i="13"/>
  <c r="O8" i="16"/>
  <c r="AJ10" i="16"/>
  <c r="E10" i="16" s="1"/>
  <c r="AH11" i="16"/>
  <c r="J8" i="14"/>
  <c r="U7" i="14"/>
  <c r="Q7" i="14"/>
  <c r="P7" i="14"/>
  <c r="T7" i="14"/>
  <c r="N10" i="12"/>
  <c r="AA7" i="10"/>
  <c r="Z7" i="10"/>
  <c r="H8" i="10"/>
  <c r="S7" i="10"/>
  <c r="R7" i="10"/>
  <c r="H10" i="9"/>
  <c r="AJ11" i="12"/>
  <c r="E11" i="12" s="1"/>
  <c r="AH12" i="12"/>
  <c r="Q7" i="12"/>
  <c r="P7" i="12"/>
  <c r="J8" i="12"/>
  <c r="U7" i="12"/>
  <c r="T7" i="12"/>
  <c r="J8" i="10"/>
  <c r="Q7" i="10"/>
  <c r="U7" i="10"/>
  <c r="P7" i="10"/>
  <c r="T7" i="10"/>
  <c r="O7" i="10"/>
  <c r="AA6" i="9"/>
  <c r="AJ11" i="9"/>
  <c r="E11" i="9" s="1"/>
  <c r="AH12" i="9"/>
  <c r="S8" i="11"/>
  <c r="R8" i="11"/>
  <c r="AA8" i="11"/>
  <c r="Z8" i="11"/>
  <c r="H9" i="11"/>
  <c r="U8" i="11"/>
  <c r="Q8" i="11"/>
  <c r="P8" i="11"/>
  <c r="O8" i="11"/>
  <c r="M8" i="11"/>
  <c r="X8" i="11" s="1"/>
  <c r="L8" i="11"/>
  <c r="W8" i="11" s="1"/>
  <c r="G9" i="11"/>
  <c r="O6" i="11"/>
  <c r="AA6" i="11"/>
  <c r="O6" i="12"/>
  <c r="AA6" i="12"/>
  <c r="M7" i="9"/>
  <c r="X7" i="9" s="1"/>
  <c r="L7" i="9"/>
  <c r="W7" i="9" s="1"/>
  <c r="G8" i="9"/>
  <c r="S7" i="9"/>
  <c r="R7" i="9"/>
  <c r="AA7" i="9"/>
  <c r="Z7" i="9"/>
  <c r="O7" i="12"/>
  <c r="AJ11" i="10"/>
  <c r="E11" i="10" s="1"/>
  <c r="AH12" i="10"/>
  <c r="O9" i="11"/>
  <c r="N10" i="11"/>
  <c r="M7" i="10"/>
  <c r="X7" i="10" s="1"/>
  <c r="L7" i="10"/>
  <c r="W7" i="10" s="1"/>
  <c r="G8" i="10"/>
  <c r="AA8" i="12"/>
  <c r="Z8" i="12"/>
  <c r="H9" i="12"/>
  <c r="M8" i="12"/>
  <c r="X8" i="12" s="1"/>
  <c r="L8" i="12"/>
  <c r="W8" i="12" s="1"/>
  <c r="G9" i="12"/>
  <c r="N10" i="10"/>
  <c r="AJ11" i="11"/>
  <c r="E11" i="11" s="1"/>
  <c r="AH12" i="11"/>
  <c r="N10" i="9"/>
  <c r="L7" i="12"/>
  <c r="W7" i="12" s="1"/>
  <c r="Q7" i="9"/>
  <c r="P7" i="9"/>
  <c r="J8" i="9"/>
  <c r="O8" i="9" s="1"/>
  <c r="U7" i="9"/>
  <c r="T7" i="9"/>
  <c r="J11" i="11"/>
  <c r="O6" i="8"/>
  <c r="AA6" i="8"/>
  <c r="AJ12" i="8"/>
  <c r="E12" i="8" s="1"/>
  <c r="AH13" i="8"/>
  <c r="G9" i="8"/>
  <c r="M8" i="8"/>
  <c r="X8" i="8" s="1"/>
  <c r="L8" i="8"/>
  <c r="W8" i="8" s="1"/>
  <c r="S8" i="8"/>
  <c r="R8" i="8"/>
  <c r="AA8" i="8"/>
  <c r="Z8" i="8"/>
  <c r="H9" i="8"/>
  <c r="AA7" i="8"/>
  <c r="N11" i="8"/>
  <c r="Q8" i="8"/>
  <c r="P8" i="8"/>
  <c r="J9" i="8"/>
  <c r="O9" i="8" s="1"/>
  <c r="U8" i="8"/>
  <c r="T8" i="8"/>
  <c r="J10" i="7"/>
  <c r="H10" i="7"/>
  <c r="O6" i="7"/>
  <c r="AJ12" i="7"/>
  <c r="E12" i="7" s="1"/>
  <c r="AH13" i="7"/>
  <c r="N11" i="7"/>
  <c r="H9" i="6"/>
  <c r="S8" i="6"/>
  <c r="R8" i="6"/>
  <c r="AA8" i="6"/>
  <c r="Z8" i="6"/>
  <c r="N10" i="6"/>
  <c r="AJ11" i="6"/>
  <c r="E11" i="6" s="1"/>
  <c r="AH12" i="6"/>
  <c r="U8" i="6"/>
  <c r="O8" i="6"/>
  <c r="O6" i="6"/>
  <c r="AA6" i="6"/>
  <c r="J10" i="6"/>
  <c r="P8" i="6"/>
  <c r="Q8" i="6"/>
  <c r="G9" i="6"/>
  <c r="M8" i="6"/>
  <c r="X8" i="6" s="1"/>
  <c r="L8" i="6"/>
  <c r="W8" i="6" s="1"/>
  <c r="AJ11" i="4"/>
  <c r="E11" i="4" s="1"/>
  <c r="AH12" i="4"/>
  <c r="N10" i="4"/>
  <c r="G7" i="4"/>
  <c r="L6" i="4"/>
  <c r="W6" i="4" s="1"/>
  <c r="M6" i="4"/>
  <c r="X6" i="4" s="1"/>
  <c r="U6" i="4"/>
  <c r="Z6" i="4"/>
  <c r="S6" i="4"/>
  <c r="R6" i="4"/>
  <c r="P6" i="4"/>
  <c r="AA6" i="4"/>
  <c r="Q6" i="4"/>
  <c r="H9" i="4"/>
  <c r="J11" i="4"/>
  <c r="H9" i="1"/>
  <c r="C8" i="1"/>
  <c r="R8" i="1" s="1"/>
  <c r="D8" i="1"/>
  <c r="S8" i="1" s="1"/>
  <c r="Q52" i="27" l="1"/>
  <c r="G53" i="27"/>
  <c r="P52" i="27"/>
  <c r="Z52" i="27"/>
  <c r="M52" i="27"/>
  <c r="X52" i="27" s="1"/>
  <c r="U52" i="27"/>
  <c r="M32" i="27"/>
  <c r="X32" i="27" s="1"/>
  <c r="Q32" i="27"/>
  <c r="G33" i="27"/>
  <c r="P32" i="27"/>
  <c r="Z32" i="27"/>
  <c r="U32" i="27"/>
  <c r="N14" i="27"/>
  <c r="M12" i="27"/>
  <c r="X12" i="27" s="1"/>
  <c r="G13" i="27"/>
  <c r="P12" i="27"/>
  <c r="AA12" i="27"/>
  <c r="Z12" i="27"/>
  <c r="U12" i="27"/>
  <c r="Q12" i="27"/>
  <c r="T12" i="27"/>
  <c r="O12" i="27"/>
  <c r="O13" i="27"/>
  <c r="M52" i="28"/>
  <c r="X52" i="28" s="1"/>
  <c r="Q52" i="28"/>
  <c r="G53" i="28"/>
  <c r="P52" i="28"/>
  <c r="U52" i="28"/>
  <c r="Z52" i="28"/>
  <c r="M32" i="28"/>
  <c r="X32" i="28" s="1"/>
  <c r="Q32" i="28"/>
  <c r="G33" i="28"/>
  <c r="P32" i="28"/>
  <c r="Z32" i="28"/>
  <c r="U32" i="28"/>
  <c r="N13" i="28"/>
  <c r="M12" i="28"/>
  <c r="X12" i="28" s="1"/>
  <c r="G13" i="28"/>
  <c r="P12" i="28"/>
  <c r="AA12" i="28"/>
  <c r="Z12" i="28"/>
  <c r="Q12" i="28"/>
  <c r="U12" i="28"/>
  <c r="T12" i="28"/>
  <c r="M52" i="26"/>
  <c r="X52" i="26" s="1"/>
  <c r="Z52" i="26"/>
  <c r="Q52" i="26"/>
  <c r="G53" i="26"/>
  <c r="P52" i="26"/>
  <c r="U52" i="26"/>
  <c r="M32" i="26"/>
  <c r="X32" i="26" s="1"/>
  <c r="Z32" i="26"/>
  <c r="G33" i="26"/>
  <c r="P32" i="26"/>
  <c r="Q32" i="26"/>
  <c r="U32" i="26"/>
  <c r="AA11" i="26"/>
  <c r="N12" i="26"/>
  <c r="O12" i="26" s="1"/>
  <c r="T12" i="26"/>
  <c r="M12" i="26"/>
  <c r="X12" i="26" s="1"/>
  <c r="G13" i="26"/>
  <c r="P12" i="26"/>
  <c r="Z12" i="26"/>
  <c r="Q12" i="26"/>
  <c r="U12" i="26"/>
  <c r="M53" i="25"/>
  <c r="X53" i="25" s="1"/>
  <c r="Z53" i="25"/>
  <c r="P53" i="25"/>
  <c r="G54" i="25"/>
  <c r="Q53" i="25"/>
  <c r="U53" i="25"/>
  <c r="Q32" i="25"/>
  <c r="G33" i="25"/>
  <c r="P32" i="25"/>
  <c r="U32" i="25"/>
  <c r="Z32" i="25"/>
  <c r="M32" i="25"/>
  <c r="X32" i="25" s="1"/>
  <c r="N12" i="25"/>
  <c r="O12" i="25" s="1"/>
  <c r="T12" i="25"/>
  <c r="AA11" i="25"/>
  <c r="G13" i="25"/>
  <c r="P12" i="25"/>
  <c r="Q12" i="25"/>
  <c r="Z12" i="25"/>
  <c r="U12" i="25"/>
  <c r="M12" i="25"/>
  <c r="X12" i="25" s="1"/>
  <c r="G54" i="24"/>
  <c r="P53" i="24"/>
  <c r="Z53" i="24"/>
  <c r="U53" i="24"/>
  <c r="Q53" i="24"/>
  <c r="M53" i="24"/>
  <c r="X53" i="24" s="1"/>
  <c r="M32" i="24"/>
  <c r="X32" i="24" s="1"/>
  <c r="Q32" i="24"/>
  <c r="G33" i="24"/>
  <c r="P32" i="24"/>
  <c r="Z32" i="24"/>
  <c r="U32" i="24"/>
  <c r="M12" i="24"/>
  <c r="X12" i="24" s="1"/>
  <c r="AA12" i="24"/>
  <c r="Q12" i="24"/>
  <c r="Z12" i="24"/>
  <c r="G13" i="24"/>
  <c r="P12" i="24"/>
  <c r="U12" i="24"/>
  <c r="N13" i="24"/>
  <c r="O13" i="24" s="1"/>
  <c r="T13" i="24"/>
  <c r="T12" i="24"/>
  <c r="O12" i="24"/>
  <c r="M52" i="23"/>
  <c r="X52" i="23" s="1"/>
  <c r="Q52" i="23"/>
  <c r="Z52" i="23"/>
  <c r="G53" i="23"/>
  <c r="P52" i="23"/>
  <c r="U52" i="23"/>
  <c r="N13" i="23"/>
  <c r="M12" i="23"/>
  <c r="X12" i="23" s="1"/>
  <c r="Q12" i="23"/>
  <c r="G13" i="23"/>
  <c r="P12" i="23"/>
  <c r="AA12" i="23"/>
  <c r="Z12" i="23"/>
  <c r="U12" i="23"/>
  <c r="M52" i="22"/>
  <c r="X52" i="22" s="1"/>
  <c r="Q52" i="22"/>
  <c r="G53" i="22"/>
  <c r="P52" i="22"/>
  <c r="Z52" i="22"/>
  <c r="U52" i="22"/>
  <c r="M32" i="22"/>
  <c r="X32" i="22" s="1"/>
  <c r="Z32" i="22"/>
  <c r="Q32" i="22"/>
  <c r="G33" i="22"/>
  <c r="P32" i="22"/>
  <c r="U32" i="22"/>
  <c r="N13" i="22"/>
  <c r="O13" i="22" s="1"/>
  <c r="M12" i="22"/>
  <c r="X12" i="22" s="1"/>
  <c r="Q12" i="22"/>
  <c r="G13" i="22"/>
  <c r="P12" i="22"/>
  <c r="U12" i="22"/>
  <c r="AA12" i="22"/>
  <c r="Z12" i="22"/>
  <c r="M52" i="21"/>
  <c r="X52" i="21" s="1"/>
  <c r="Q52" i="21"/>
  <c r="G53" i="21"/>
  <c r="P52" i="21"/>
  <c r="Z52" i="21"/>
  <c r="U52" i="21"/>
  <c r="M32" i="21"/>
  <c r="X32" i="21" s="1"/>
  <c r="Z32" i="21"/>
  <c r="Q32" i="21"/>
  <c r="G33" i="21"/>
  <c r="P32" i="21"/>
  <c r="U32" i="21"/>
  <c r="M12" i="21"/>
  <c r="X12" i="21" s="1"/>
  <c r="Q12" i="21"/>
  <c r="G13" i="21"/>
  <c r="P12" i="21"/>
  <c r="AA12" i="21"/>
  <c r="Z12" i="21"/>
  <c r="U12" i="21"/>
  <c r="N13" i="21"/>
  <c r="O13" i="21" s="1"/>
  <c r="T13" i="21"/>
  <c r="T12" i="21"/>
  <c r="O12" i="21"/>
  <c r="AH15" i="28"/>
  <c r="AJ14" i="28"/>
  <c r="E14" i="28" s="1"/>
  <c r="L10" i="28"/>
  <c r="W10" i="28" s="1"/>
  <c r="J11" i="28"/>
  <c r="H13" i="28"/>
  <c r="C12" i="28"/>
  <c r="R12" i="28" s="1"/>
  <c r="D12" i="28"/>
  <c r="S12" i="28" s="1"/>
  <c r="AJ14" i="24"/>
  <c r="E14" i="24" s="1"/>
  <c r="AH15" i="24"/>
  <c r="J13" i="27"/>
  <c r="J11" i="26"/>
  <c r="L10" i="26"/>
  <c r="W10" i="26" s="1"/>
  <c r="H14" i="25"/>
  <c r="C13" i="25"/>
  <c r="R13" i="25" s="1"/>
  <c r="D13" i="25"/>
  <c r="S13" i="25" s="1"/>
  <c r="H12" i="27"/>
  <c r="D11" i="27"/>
  <c r="S11" i="27" s="1"/>
  <c r="C11" i="27"/>
  <c r="R11" i="27" s="1"/>
  <c r="D11" i="24"/>
  <c r="S11" i="24" s="1"/>
  <c r="C11" i="24"/>
  <c r="R11" i="24" s="1"/>
  <c r="H12" i="24"/>
  <c r="AJ13" i="25"/>
  <c r="E13" i="25" s="1"/>
  <c r="AH14" i="25"/>
  <c r="AJ15" i="27"/>
  <c r="E15" i="27" s="1"/>
  <c r="AH16" i="27"/>
  <c r="J12" i="25"/>
  <c r="L11" i="25"/>
  <c r="W11" i="25" s="1"/>
  <c r="D11" i="26"/>
  <c r="S11" i="26" s="1"/>
  <c r="C11" i="26"/>
  <c r="R11" i="26" s="1"/>
  <c r="H12" i="26"/>
  <c r="J11" i="24"/>
  <c r="L10" i="24"/>
  <c r="W10" i="24" s="1"/>
  <c r="AH14" i="26"/>
  <c r="AJ13" i="26"/>
  <c r="E13" i="26" s="1"/>
  <c r="AJ14" i="22"/>
  <c r="E14" i="22" s="1"/>
  <c r="AH15" i="22"/>
  <c r="J11" i="23"/>
  <c r="L10" i="23"/>
  <c r="W10" i="23" s="1"/>
  <c r="H11" i="23"/>
  <c r="D10" i="23"/>
  <c r="S10" i="23" s="1"/>
  <c r="C10" i="23"/>
  <c r="R10" i="23" s="1"/>
  <c r="H13" i="22"/>
  <c r="D12" i="22"/>
  <c r="S12" i="22" s="1"/>
  <c r="C12" i="22"/>
  <c r="R12" i="22" s="1"/>
  <c r="J11" i="22"/>
  <c r="L10" i="22"/>
  <c r="W10" i="22" s="1"/>
  <c r="AJ14" i="23"/>
  <c r="E14" i="23" s="1"/>
  <c r="AH15" i="23"/>
  <c r="J11" i="21"/>
  <c r="L10" i="21"/>
  <c r="W10" i="21" s="1"/>
  <c r="AJ14" i="21"/>
  <c r="E14" i="21" s="1"/>
  <c r="AH15" i="21"/>
  <c r="D11" i="21"/>
  <c r="S11" i="21" s="1"/>
  <c r="H12" i="21"/>
  <c r="C11" i="21"/>
  <c r="R11" i="21" s="1"/>
  <c r="J11" i="20"/>
  <c r="M9" i="20"/>
  <c r="X9" i="20" s="1"/>
  <c r="L9" i="20"/>
  <c r="W9" i="20" s="1"/>
  <c r="G10" i="20"/>
  <c r="D9" i="20"/>
  <c r="S9" i="20" s="1"/>
  <c r="C9" i="20"/>
  <c r="R9" i="20" s="1"/>
  <c r="AA9" i="20"/>
  <c r="Z9" i="20"/>
  <c r="P9" i="20"/>
  <c r="Q9" i="20"/>
  <c r="AH15" i="20"/>
  <c r="AJ14" i="20"/>
  <c r="E14" i="20" s="1"/>
  <c r="H13" i="20"/>
  <c r="N13" i="20"/>
  <c r="T8" i="19"/>
  <c r="U8" i="19"/>
  <c r="P8" i="19"/>
  <c r="Q8" i="19"/>
  <c r="C8" i="19"/>
  <c r="R8" i="19" s="1"/>
  <c r="D8" i="19"/>
  <c r="S8" i="19" s="1"/>
  <c r="O8" i="19"/>
  <c r="AJ15" i="19"/>
  <c r="E15" i="19" s="1"/>
  <c r="AH16" i="19"/>
  <c r="J10" i="19"/>
  <c r="N14" i="19"/>
  <c r="H10" i="19"/>
  <c r="M8" i="19"/>
  <c r="X8" i="19" s="1"/>
  <c r="L8" i="19"/>
  <c r="W8" i="19" s="1"/>
  <c r="G9" i="19"/>
  <c r="T9" i="19" s="1"/>
  <c r="AA8" i="19"/>
  <c r="Q7" i="7"/>
  <c r="Z7" i="7"/>
  <c r="T7" i="7"/>
  <c r="D7" i="7"/>
  <c r="S7" i="7" s="1"/>
  <c r="C7" i="7"/>
  <c r="R7" i="7" s="1"/>
  <c r="P7" i="7"/>
  <c r="L7" i="7"/>
  <c r="W7" i="7" s="1"/>
  <c r="M7" i="7"/>
  <c r="X7" i="7" s="1"/>
  <c r="G8" i="7"/>
  <c r="O8" i="7" s="1"/>
  <c r="U7" i="7"/>
  <c r="T8" i="18"/>
  <c r="AA8" i="18"/>
  <c r="O7" i="17"/>
  <c r="U7" i="17"/>
  <c r="P7" i="17"/>
  <c r="T7" i="16"/>
  <c r="O7" i="16"/>
  <c r="N6" i="16"/>
  <c r="T6" i="16"/>
  <c r="AA6" i="15"/>
  <c r="O7" i="11"/>
  <c r="AA7" i="11"/>
  <c r="D9" i="18"/>
  <c r="S9" i="18" s="1"/>
  <c r="C9" i="18"/>
  <c r="R9" i="18" s="1"/>
  <c r="C7" i="17"/>
  <c r="R7" i="17" s="1"/>
  <c r="D7" i="17"/>
  <c r="D8" i="16"/>
  <c r="S8" i="16" s="1"/>
  <c r="C8" i="16"/>
  <c r="R8" i="16" s="1"/>
  <c r="T7" i="15"/>
  <c r="D7" i="15"/>
  <c r="S7" i="15" s="1"/>
  <c r="C7" i="15"/>
  <c r="R7" i="15" s="1"/>
  <c r="C8" i="14"/>
  <c r="R8" i="14" s="1"/>
  <c r="D8" i="14"/>
  <c r="S8" i="14" s="1"/>
  <c r="D7" i="13"/>
  <c r="C7" i="13"/>
  <c r="D9" i="12"/>
  <c r="C9" i="12"/>
  <c r="C9" i="11"/>
  <c r="D9" i="11"/>
  <c r="D8" i="10"/>
  <c r="C8" i="10"/>
  <c r="R8" i="10" s="1"/>
  <c r="D8" i="9"/>
  <c r="C8" i="9"/>
  <c r="D9" i="8"/>
  <c r="C9" i="8"/>
  <c r="O9" i="6"/>
  <c r="D9" i="6"/>
  <c r="C9" i="6"/>
  <c r="D7" i="4"/>
  <c r="C7" i="4"/>
  <c r="G10" i="1"/>
  <c r="Q9" i="1"/>
  <c r="P9" i="1"/>
  <c r="Z9" i="1"/>
  <c r="U9" i="1"/>
  <c r="AA9" i="1"/>
  <c r="M9" i="1"/>
  <c r="X9" i="1" s="1"/>
  <c r="L9" i="1"/>
  <c r="W9" i="1" s="1"/>
  <c r="T9" i="1"/>
  <c r="O9" i="1"/>
  <c r="Z8" i="14"/>
  <c r="AA8" i="14"/>
  <c r="P9" i="6"/>
  <c r="Q9" i="6"/>
  <c r="AJ12" i="18"/>
  <c r="E12" i="18" s="1"/>
  <c r="AH13" i="18"/>
  <c r="N11" i="18"/>
  <c r="J10" i="18"/>
  <c r="Q9" i="18"/>
  <c r="P9" i="18"/>
  <c r="U9" i="18"/>
  <c r="T9" i="18"/>
  <c r="O9" i="18"/>
  <c r="M9" i="18"/>
  <c r="X9" i="18" s="1"/>
  <c r="L9" i="18"/>
  <c r="W9" i="18" s="1"/>
  <c r="G10" i="18"/>
  <c r="Z9" i="18"/>
  <c r="AA9" i="18"/>
  <c r="H10" i="18"/>
  <c r="J9" i="17"/>
  <c r="AJ13" i="17"/>
  <c r="E13" i="17" s="1"/>
  <c r="AH14" i="17"/>
  <c r="H10" i="17"/>
  <c r="N12" i="17"/>
  <c r="M7" i="17"/>
  <c r="X7" i="17" s="1"/>
  <c r="L7" i="17"/>
  <c r="W7" i="17" s="1"/>
  <c r="G8" i="17"/>
  <c r="T7" i="17"/>
  <c r="AA7" i="17"/>
  <c r="Z7" i="17"/>
  <c r="S7" i="17"/>
  <c r="AJ13" i="13"/>
  <c r="E13" i="13" s="1"/>
  <c r="AH14" i="13"/>
  <c r="H10" i="14"/>
  <c r="O9" i="16"/>
  <c r="G9" i="16"/>
  <c r="AA9" i="16" s="1"/>
  <c r="M8" i="16"/>
  <c r="X8" i="16" s="1"/>
  <c r="L8" i="16"/>
  <c r="W8" i="16" s="1"/>
  <c r="U8" i="16"/>
  <c r="Q8" i="16"/>
  <c r="P8" i="16"/>
  <c r="J9" i="16"/>
  <c r="T8" i="16"/>
  <c r="H10" i="15"/>
  <c r="Z8" i="16"/>
  <c r="G8" i="13"/>
  <c r="M7" i="13"/>
  <c r="X7" i="13" s="1"/>
  <c r="L7" i="13"/>
  <c r="W7" i="13" s="1"/>
  <c r="S7" i="13"/>
  <c r="R7" i="13"/>
  <c r="AA7" i="13"/>
  <c r="U7" i="13"/>
  <c r="P7" i="13"/>
  <c r="Z7" i="13"/>
  <c r="T7" i="13"/>
  <c r="Q7" i="13"/>
  <c r="J9" i="14"/>
  <c r="Q8" i="14"/>
  <c r="P8" i="14"/>
  <c r="U8" i="14"/>
  <c r="T8" i="14"/>
  <c r="AA8" i="16"/>
  <c r="L8" i="14"/>
  <c r="W8" i="14" s="1"/>
  <c r="G9" i="14"/>
  <c r="M8" i="14"/>
  <c r="X8" i="14" s="1"/>
  <c r="AJ11" i="16"/>
  <c r="E11" i="16" s="1"/>
  <c r="AH12" i="16"/>
  <c r="J10" i="15"/>
  <c r="H10" i="13"/>
  <c r="AJ12" i="15"/>
  <c r="E12" i="15" s="1"/>
  <c r="AH13" i="15"/>
  <c r="N10" i="16"/>
  <c r="N11" i="15"/>
  <c r="Z9" i="16"/>
  <c r="H10" i="16"/>
  <c r="O8" i="14"/>
  <c r="AJ12" i="14"/>
  <c r="E12" i="14" s="1"/>
  <c r="AH13" i="14"/>
  <c r="O7" i="13"/>
  <c r="M7" i="15"/>
  <c r="X7" i="15" s="1"/>
  <c r="L7" i="15"/>
  <c r="W7" i="15" s="1"/>
  <c r="G8" i="15"/>
  <c r="AA7" i="15"/>
  <c r="Z7" i="15"/>
  <c r="Q7" i="15"/>
  <c r="P7" i="15"/>
  <c r="U7" i="15"/>
  <c r="O7" i="15"/>
  <c r="N11" i="14"/>
  <c r="J11" i="13"/>
  <c r="N12" i="13"/>
  <c r="G10" i="12"/>
  <c r="M9" i="12"/>
  <c r="X9" i="12" s="1"/>
  <c r="H11" i="9"/>
  <c r="Q8" i="9"/>
  <c r="P8" i="9"/>
  <c r="J9" i="9"/>
  <c r="U8" i="9"/>
  <c r="T8" i="9"/>
  <c r="AJ12" i="10"/>
  <c r="E12" i="10" s="1"/>
  <c r="AH13" i="10"/>
  <c r="S9" i="11"/>
  <c r="R9" i="11"/>
  <c r="AA9" i="11"/>
  <c r="Z9" i="11"/>
  <c r="H10" i="11"/>
  <c r="P9" i="11"/>
  <c r="U9" i="11"/>
  <c r="Q9" i="11"/>
  <c r="T9" i="11"/>
  <c r="AA9" i="12"/>
  <c r="Z9" i="12"/>
  <c r="H10" i="12"/>
  <c r="N11" i="10"/>
  <c r="J9" i="10"/>
  <c r="Q8" i="10"/>
  <c r="P8" i="10"/>
  <c r="U8" i="10"/>
  <c r="T8" i="10"/>
  <c r="O8" i="10"/>
  <c r="Q8" i="12"/>
  <c r="P8" i="12"/>
  <c r="J9" i="12"/>
  <c r="U8" i="12"/>
  <c r="T8" i="12"/>
  <c r="O8" i="12"/>
  <c r="AA8" i="10"/>
  <c r="Z8" i="10"/>
  <c r="H9" i="10"/>
  <c r="S8" i="10"/>
  <c r="M9" i="11"/>
  <c r="X9" i="11" s="1"/>
  <c r="L9" i="11"/>
  <c r="W9" i="11" s="1"/>
  <c r="G10" i="11"/>
  <c r="AJ12" i="9"/>
  <c r="E12" i="9" s="1"/>
  <c r="AH13" i="9"/>
  <c r="AJ12" i="11"/>
  <c r="E12" i="11" s="1"/>
  <c r="AH13" i="11"/>
  <c r="M8" i="10"/>
  <c r="X8" i="10" s="1"/>
  <c r="L8" i="10"/>
  <c r="W8" i="10" s="1"/>
  <c r="G9" i="10"/>
  <c r="N11" i="9"/>
  <c r="N11" i="11"/>
  <c r="M8" i="9"/>
  <c r="X8" i="9" s="1"/>
  <c r="L8" i="9"/>
  <c r="W8" i="9" s="1"/>
  <c r="G9" i="9"/>
  <c r="S8" i="9"/>
  <c r="R8" i="9"/>
  <c r="AA8" i="9"/>
  <c r="Z8" i="9"/>
  <c r="AH13" i="12"/>
  <c r="AJ12" i="12"/>
  <c r="E12" i="12" s="1"/>
  <c r="J12" i="11"/>
  <c r="N11" i="12"/>
  <c r="M9" i="8"/>
  <c r="X9" i="8" s="1"/>
  <c r="L9" i="8"/>
  <c r="W9" i="8" s="1"/>
  <c r="G10" i="8"/>
  <c r="Q9" i="8"/>
  <c r="P9" i="8"/>
  <c r="J10" i="8"/>
  <c r="U9" i="8"/>
  <c r="T9" i="8"/>
  <c r="AJ13" i="8"/>
  <c r="E13" i="8" s="1"/>
  <c r="AH14" i="8"/>
  <c r="N12" i="8"/>
  <c r="S9" i="8"/>
  <c r="R9" i="8"/>
  <c r="AA9" i="8"/>
  <c r="Z9" i="8"/>
  <c r="H10" i="8"/>
  <c r="H11" i="7"/>
  <c r="J11" i="7"/>
  <c r="N12" i="7"/>
  <c r="AH14" i="7"/>
  <c r="AJ13" i="7"/>
  <c r="E13" i="7" s="1"/>
  <c r="G10" i="6"/>
  <c r="Q10" i="6" s="1"/>
  <c r="M9" i="6"/>
  <c r="X9" i="6" s="1"/>
  <c r="L9" i="6"/>
  <c r="W9" i="6" s="1"/>
  <c r="AJ12" i="6"/>
  <c r="E12" i="6" s="1"/>
  <c r="AH13" i="6"/>
  <c r="N11" i="6"/>
  <c r="O10" i="6"/>
  <c r="U9" i="6"/>
  <c r="U10" i="6"/>
  <c r="J11" i="6"/>
  <c r="Z9" i="6"/>
  <c r="AA9" i="6"/>
  <c r="S9" i="6"/>
  <c r="R9" i="6"/>
  <c r="H10" i="6"/>
  <c r="T9" i="6"/>
  <c r="M7" i="4"/>
  <c r="X7" i="4" s="1"/>
  <c r="L7" i="4"/>
  <c r="W7" i="4" s="1"/>
  <c r="G8" i="4"/>
  <c r="S7" i="4"/>
  <c r="R7" i="4"/>
  <c r="O7" i="4"/>
  <c r="T7" i="4"/>
  <c r="AA7" i="4"/>
  <c r="Z7" i="4"/>
  <c r="Q7" i="4"/>
  <c r="P7" i="4"/>
  <c r="U7" i="4"/>
  <c r="J12" i="4"/>
  <c r="H10" i="4"/>
  <c r="AH13" i="4"/>
  <c r="AJ12" i="4"/>
  <c r="E12" i="4" s="1"/>
  <c r="N11" i="4"/>
  <c r="C9" i="1"/>
  <c r="R9" i="1" s="1"/>
  <c r="H10" i="1"/>
  <c r="D9" i="1"/>
  <c r="S9" i="1" s="1"/>
  <c r="M53" i="27" l="1"/>
  <c r="X53" i="27" s="1"/>
  <c r="Q53" i="27"/>
  <c r="Z53" i="27"/>
  <c r="U53" i="27"/>
  <c r="G54" i="27"/>
  <c r="P53" i="27"/>
  <c r="M33" i="27"/>
  <c r="X33" i="27" s="1"/>
  <c r="Z33" i="27"/>
  <c r="Q33" i="27"/>
  <c r="G34" i="27"/>
  <c r="P33" i="27"/>
  <c r="U33" i="27"/>
  <c r="N15" i="27"/>
  <c r="AA13" i="27"/>
  <c r="Z13" i="27"/>
  <c r="G14" i="27"/>
  <c r="Q13" i="27"/>
  <c r="P13" i="27"/>
  <c r="M13" i="27"/>
  <c r="X13" i="27" s="1"/>
  <c r="U13" i="27"/>
  <c r="T13" i="27"/>
  <c r="O14" i="27"/>
  <c r="M53" i="28"/>
  <c r="X53" i="28" s="1"/>
  <c r="G54" i="28"/>
  <c r="P53" i="28"/>
  <c r="Z53" i="28"/>
  <c r="Q53" i="28"/>
  <c r="U53" i="28"/>
  <c r="M33" i="28"/>
  <c r="X33" i="28" s="1"/>
  <c r="Q33" i="28"/>
  <c r="G34" i="28"/>
  <c r="P33" i="28"/>
  <c r="Z33" i="28"/>
  <c r="U33" i="28"/>
  <c r="M13" i="28"/>
  <c r="X13" i="28" s="1"/>
  <c r="AA13" i="28"/>
  <c r="Z13" i="28"/>
  <c r="U13" i="28"/>
  <c r="Q13" i="28"/>
  <c r="G14" i="28"/>
  <c r="P13" i="28"/>
  <c r="N14" i="28"/>
  <c r="O14" i="28" s="1"/>
  <c r="T14" i="28"/>
  <c r="T13" i="28"/>
  <c r="O13" i="28"/>
  <c r="M53" i="26"/>
  <c r="X53" i="26" s="1"/>
  <c r="Q53" i="26"/>
  <c r="G54" i="26"/>
  <c r="P53" i="26"/>
  <c r="Z53" i="26"/>
  <c r="U53" i="26"/>
  <c r="M33" i="26"/>
  <c r="X33" i="26" s="1"/>
  <c r="Q33" i="26"/>
  <c r="G34" i="26"/>
  <c r="P33" i="26"/>
  <c r="Z33" i="26"/>
  <c r="U33" i="26"/>
  <c r="AA12" i="26"/>
  <c r="N13" i="26"/>
  <c r="O13" i="26" s="1"/>
  <c r="T13" i="26"/>
  <c r="M13" i="26"/>
  <c r="X13" i="26" s="1"/>
  <c r="Z13" i="26"/>
  <c r="U13" i="26"/>
  <c r="P13" i="26"/>
  <c r="G14" i="26"/>
  <c r="Q13" i="26"/>
  <c r="M54" i="25"/>
  <c r="X54" i="25" s="1"/>
  <c r="Z54" i="25"/>
  <c r="Q54" i="25"/>
  <c r="G55" i="25"/>
  <c r="P54" i="25"/>
  <c r="U54" i="25"/>
  <c r="AA12" i="25"/>
  <c r="M33" i="25"/>
  <c r="X33" i="25" s="1"/>
  <c r="Q33" i="25"/>
  <c r="G34" i="25"/>
  <c r="P33" i="25"/>
  <c r="Z33" i="25"/>
  <c r="U33" i="25"/>
  <c r="N13" i="25"/>
  <c r="O13" i="25" s="1"/>
  <c r="T13" i="25"/>
  <c r="M13" i="25"/>
  <c r="X13" i="25" s="1"/>
  <c r="Z13" i="25"/>
  <c r="Q13" i="25"/>
  <c r="G14" i="25"/>
  <c r="P13" i="25"/>
  <c r="U13" i="25"/>
  <c r="Q54" i="24"/>
  <c r="Z54" i="24"/>
  <c r="G55" i="24"/>
  <c r="U54" i="24"/>
  <c r="P54" i="24"/>
  <c r="M54" i="24"/>
  <c r="X54" i="24" s="1"/>
  <c r="Q33" i="24"/>
  <c r="G34" i="24"/>
  <c r="P33" i="24"/>
  <c r="Z33" i="24"/>
  <c r="M33" i="24"/>
  <c r="X33" i="24" s="1"/>
  <c r="U33" i="24"/>
  <c r="M13" i="24"/>
  <c r="X13" i="24" s="1"/>
  <c r="AA13" i="24"/>
  <c r="Z13" i="24"/>
  <c r="Q13" i="24"/>
  <c r="G14" i="24"/>
  <c r="P13" i="24"/>
  <c r="U13" i="24"/>
  <c r="N14" i="24"/>
  <c r="O14" i="24" s="1"/>
  <c r="T14" i="24"/>
  <c r="M53" i="23"/>
  <c r="X53" i="23" s="1"/>
  <c r="U53" i="23"/>
  <c r="Q53" i="23"/>
  <c r="G54" i="23"/>
  <c r="P53" i="23"/>
  <c r="Z53" i="23"/>
  <c r="M13" i="23"/>
  <c r="X13" i="23" s="1"/>
  <c r="Q13" i="23"/>
  <c r="G14" i="23"/>
  <c r="P13" i="23"/>
  <c r="AA13" i="23"/>
  <c r="Z13" i="23"/>
  <c r="U13" i="23"/>
  <c r="N14" i="23"/>
  <c r="O14" i="23" s="1"/>
  <c r="T14" i="23"/>
  <c r="T13" i="23"/>
  <c r="O13" i="23"/>
  <c r="M53" i="22"/>
  <c r="X53" i="22" s="1"/>
  <c r="Q53" i="22"/>
  <c r="G54" i="22"/>
  <c r="P53" i="22"/>
  <c r="Z53" i="22"/>
  <c r="U53" i="22"/>
  <c r="Q33" i="22"/>
  <c r="G34" i="22"/>
  <c r="P33" i="22"/>
  <c r="Z33" i="22"/>
  <c r="U33" i="22"/>
  <c r="M33" i="22"/>
  <c r="X33" i="22" s="1"/>
  <c r="N14" i="22"/>
  <c r="O14" i="22" s="1"/>
  <c r="M13" i="22"/>
  <c r="X13" i="22" s="1"/>
  <c r="G14" i="22"/>
  <c r="P13" i="22"/>
  <c r="AA13" i="22"/>
  <c r="Z13" i="22"/>
  <c r="U13" i="22"/>
  <c r="Q13" i="22"/>
  <c r="T13" i="22"/>
  <c r="M53" i="21"/>
  <c r="X53" i="21" s="1"/>
  <c r="G54" i="21"/>
  <c r="P53" i="21"/>
  <c r="Z53" i="21"/>
  <c r="Q53" i="21"/>
  <c r="U53" i="21"/>
  <c r="M33" i="21"/>
  <c r="X33" i="21" s="1"/>
  <c r="Z33" i="21"/>
  <c r="Q33" i="21"/>
  <c r="G34" i="21"/>
  <c r="P33" i="21"/>
  <c r="U33" i="21"/>
  <c r="AA13" i="21"/>
  <c r="Z13" i="21"/>
  <c r="Q13" i="21"/>
  <c r="G14" i="21"/>
  <c r="P13" i="21"/>
  <c r="U13" i="21"/>
  <c r="M13" i="21"/>
  <c r="X13" i="21" s="1"/>
  <c r="N14" i="21"/>
  <c r="O14" i="21" s="1"/>
  <c r="T14" i="21"/>
  <c r="D13" i="28"/>
  <c r="S13" i="28" s="1"/>
  <c r="C13" i="28"/>
  <c r="R13" i="28" s="1"/>
  <c r="H14" i="28"/>
  <c r="J12" i="28"/>
  <c r="L11" i="28"/>
  <c r="W11" i="28" s="1"/>
  <c r="AJ15" i="28"/>
  <c r="E15" i="28" s="1"/>
  <c r="AH16" i="28"/>
  <c r="C12" i="26"/>
  <c r="R12" i="26" s="1"/>
  <c r="H13" i="26"/>
  <c r="D12" i="26"/>
  <c r="S12" i="26" s="1"/>
  <c r="J13" i="25"/>
  <c r="L12" i="25"/>
  <c r="W12" i="25" s="1"/>
  <c r="AJ16" i="27"/>
  <c r="E16" i="27" s="1"/>
  <c r="AH17" i="27"/>
  <c r="H15" i="25"/>
  <c r="D14" i="25"/>
  <c r="S14" i="25" s="1"/>
  <c r="C14" i="25"/>
  <c r="R14" i="25" s="1"/>
  <c r="H13" i="27"/>
  <c r="D12" i="27"/>
  <c r="S12" i="27" s="1"/>
  <c r="C12" i="27"/>
  <c r="R12" i="27" s="1"/>
  <c r="AJ14" i="25"/>
  <c r="E14" i="25" s="1"/>
  <c r="AH15" i="25"/>
  <c r="J12" i="26"/>
  <c r="L11" i="26"/>
  <c r="W11" i="26" s="1"/>
  <c r="L12" i="27"/>
  <c r="W12" i="27" s="1"/>
  <c r="AH15" i="26"/>
  <c r="AJ14" i="26"/>
  <c r="E14" i="26" s="1"/>
  <c r="C12" i="24"/>
  <c r="R12" i="24" s="1"/>
  <c r="D12" i="24"/>
  <c r="S12" i="24" s="1"/>
  <c r="H13" i="24"/>
  <c r="J14" i="27"/>
  <c r="AH16" i="24"/>
  <c r="AJ15" i="24"/>
  <c r="E15" i="24" s="1"/>
  <c r="J12" i="24"/>
  <c r="L11" i="24"/>
  <c r="W11" i="24" s="1"/>
  <c r="J12" i="22"/>
  <c r="L11" i="22"/>
  <c r="W11" i="22" s="1"/>
  <c r="D13" i="22"/>
  <c r="S13" i="22" s="1"/>
  <c r="C13" i="22"/>
  <c r="R13" i="22" s="1"/>
  <c r="H14" i="22"/>
  <c r="H12" i="23"/>
  <c r="D11" i="23"/>
  <c r="S11" i="23" s="1"/>
  <c r="C11" i="23"/>
  <c r="R11" i="23" s="1"/>
  <c r="L11" i="23"/>
  <c r="W11" i="23" s="1"/>
  <c r="J12" i="23"/>
  <c r="AJ15" i="23"/>
  <c r="E15" i="23" s="1"/>
  <c r="AH16" i="23"/>
  <c r="AJ15" i="22"/>
  <c r="E15" i="22" s="1"/>
  <c r="AH16" i="22"/>
  <c r="D12" i="21"/>
  <c r="S12" i="21" s="1"/>
  <c r="C12" i="21"/>
  <c r="R12" i="21" s="1"/>
  <c r="H13" i="21"/>
  <c r="AH16" i="21"/>
  <c r="AJ15" i="21"/>
  <c r="E15" i="21" s="1"/>
  <c r="L11" i="21"/>
  <c r="W11" i="21" s="1"/>
  <c r="J12" i="21"/>
  <c r="M10" i="20"/>
  <c r="X10" i="20" s="1"/>
  <c r="L10" i="20"/>
  <c r="W10" i="20" s="1"/>
  <c r="G11" i="20"/>
  <c r="Q11" i="20" s="1"/>
  <c r="Z10" i="20"/>
  <c r="D10" i="20"/>
  <c r="S10" i="20" s="1"/>
  <c r="C10" i="20"/>
  <c r="R10" i="20" s="1"/>
  <c r="AA10" i="20"/>
  <c r="N14" i="20"/>
  <c r="O10" i="20"/>
  <c r="H14" i="20"/>
  <c r="AJ15" i="20"/>
  <c r="E15" i="20" s="1"/>
  <c r="AH16" i="20"/>
  <c r="T10" i="20"/>
  <c r="U10" i="20"/>
  <c r="Q10" i="20"/>
  <c r="P10" i="20"/>
  <c r="J12" i="20"/>
  <c r="P11" i="20"/>
  <c r="Z9" i="19"/>
  <c r="O9" i="19"/>
  <c r="AA9" i="19"/>
  <c r="M9" i="19"/>
  <c r="X9" i="19" s="1"/>
  <c r="L9" i="19"/>
  <c r="W9" i="19" s="1"/>
  <c r="G10" i="19"/>
  <c r="P10" i="19" s="1"/>
  <c r="U9" i="19"/>
  <c r="P9" i="19"/>
  <c r="Q9" i="19"/>
  <c r="C9" i="19"/>
  <c r="R9" i="19" s="1"/>
  <c r="J11" i="19"/>
  <c r="Q10" i="19"/>
  <c r="D9" i="19"/>
  <c r="S9" i="19" s="1"/>
  <c r="AJ16" i="19"/>
  <c r="E16" i="19" s="1"/>
  <c r="AH17" i="19"/>
  <c r="H11" i="19"/>
  <c r="C10" i="19"/>
  <c r="R10" i="19" s="1"/>
  <c r="Z10" i="19"/>
  <c r="AA10" i="19"/>
  <c r="N15" i="19"/>
  <c r="T8" i="7"/>
  <c r="Q8" i="7"/>
  <c r="P8" i="7"/>
  <c r="G9" i="7"/>
  <c r="Z8" i="7"/>
  <c r="D8" i="7"/>
  <c r="S8" i="7" s="1"/>
  <c r="M8" i="7"/>
  <c r="X8" i="7" s="1"/>
  <c r="C8" i="7"/>
  <c r="R8" i="7" s="1"/>
  <c r="L8" i="7"/>
  <c r="W8" i="7" s="1"/>
  <c r="U8" i="7"/>
  <c r="AA8" i="7"/>
  <c r="AA6" i="16"/>
  <c r="O6" i="16"/>
  <c r="D10" i="18"/>
  <c r="C10" i="18"/>
  <c r="D8" i="17"/>
  <c r="C8" i="17"/>
  <c r="D9" i="16"/>
  <c r="S9" i="16" s="1"/>
  <c r="C9" i="16"/>
  <c r="R9" i="16" s="1"/>
  <c r="O8" i="15"/>
  <c r="C8" i="15"/>
  <c r="D8" i="15"/>
  <c r="S8" i="15" s="1"/>
  <c r="C9" i="14"/>
  <c r="R9" i="14" s="1"/>
  <c r="D9" i="14"/>
  <c r="S9" i="14" s="1"/>
  <c r="C8" i="13"/>
  <c r="R8" i="13" s="1"/>
  <c r="D8" i="13"/>
  <c r="D10" i="12"/>
  <c r="C10" i="12"/>
  <c r="D10" i="11"/>
  <c r="C10" i="11"/>
  <c r="D9" i="10"/>
  <c r="C9" i="10"/>
  <c r="C9" i="9"/>
  <c r="D9" i="9"/>
  <c r="D10" i="8"/>
  <c r="S10" i="8" s="1"/>
  <c r="C10" i="8"/>
  <c r="D10" i="6"/>
  <c r="C10" i="6"/>
  <c r="C8" i="4"/>
  <c r="D8" i="4"/>
  <c r="G11" i="1"/>
  <c r="U10" i="1"/>
  <c r="Z10" i="1"/>
  <c r="Q10" i="1"/>
  <c r="P10" i="1"/>
  <c r="AA10" i="1"/>
  <c r="M10" i="1"/>
  <c r="X10" i="1" s="1"/>
  <c r="L10" i="1"/>
  <c r="W10" i="1" s="1"/>
  <c r="T10" i="1"/>
  <c r="O10" i="1"/>
  <c r="H11" i="18"/>
  <c r="S10" i="18"/>
  <c r="R10" i="18"/>
  <c r="AA10" i="18"/>
  <c r="Z10" i="18"/>
  <c r="Q10" i="18"/>
  <c r="J11" i="18"/>
  <c r="P10" i="18"/>
  <c r="U10" i="18"/>
  <c r="T10" i="18"/>
  <c r="O10" i="18"/>
  <c r="G11" i="18"/>
  <c r="O11" i="18" s="1"/>
  <c r="M10" i="18"/>
  <c r="X10" i="18" s="1"/>
  <c r="L10" i="18"/>
  <c r="W10" i="18" s="1"/>
  <c r="AJ13" i="18"/>
  <c r="E13" i="18" s="1"/>
  <c r="AH14" i="18"/>
  <c r="N12" i="18"/>
  <c r="AJ14" i="17"/>
  <c r="E14" i="17" s="1"/>
  <c r="AH15" i="17"/>
  <c r="N13" i="17"/>
  <c r="L8" i="17"/>
  <c r="W8" i="17" s="1"/>
  <c r="G9" i="17"/>
  <c r="U9" i="17" s="1"/>
  <c r="M8" i="17"/>
  <c r="X8" i="17" s="1"/>
  <c r="R8" i="17"/>
  <c r="S8" i="17"/>
  <c r="Z8" i="17"/>
  <c r="AA8" i="17"/>
  <c r="O8" i="17"/>
  <c r="T8" i="17"/>
  <c r="P8" i="17"/>
  <c r="Q8" i="17"/>
  <c r="H11" i="17"/>
  <c r="U8" i="17"/>
  <c r="Q9" i="17"/>
  <c r="P9" i="17"/>
  <c r="J10" i="17"/>
  <c r="O9" i="17"/>
  <c r="AH13" i="16"/>
  <c r="AJ12" i="16"/>
  <c r="E12" i="16" s="1"/>
  <c r="N12" i="15"/>
  <c r="N11" i="16"/>
  <c r="M9" i="16"/>
  <c r="X9" i="16" s="1"/>
  <c r="L9" i="16"/>
  <c r="W9" i="16" s="1"/>
  <c r="G10" i="16"/>
  <c r="AA10" i="16" s="1"/>
  <c r="J12" i="13"/>
  <c r="H11" i="16"/>
  <c r="H11" i="13"/>
  <c r="AJ13" i="15"/>
  <c r="E13" i="15" s="1"/>
  <c r="AH14" i="15"/>
  <c r="H11" i="14"/>
  <c r="G10" i="14"/>
  <c r="M9" i="14"/>
  <c r="X9" i="14" s="1"/>
  <c r="L9" i="14"/>
  <c r="W9" i="14" s="1"/>
  <c r="Z9" i="14"/>
  <c r="Q9" i="14"/>
  <c r="P9" i="14"/>
  <c r="J10" i="14"/>
  <c r="U9" i="14"/>
  <c r="T9" i="14"/>
  <c r="O9" i="14"/>
  <c r="M8" i="15"/>
  <c r="X8" i="15" s="1"/>
  <c r="L8" i="15"/>
  <c r="W8" i="15" s="1"/>
  <c r="G9" i="15"/>
  <c r="AA8" i="15"/>
  <c r="Z8" i="15"/>
  <c r="Q8" i="15"/>
  <c r="P8" i="15"/>
  <c r="U8" i="15"/>
  <c r="T8" i="15"/>
  <c r="R8" i="15"/>
  <c r="H11" i="15"/>
  <c r="AA9" i="14"/>
  <c r="Q9" i="16"/>
  <c r="P9" i="16"/>
  <c r="J10" i="16"/>
  <c r="U9" i="16"/>
  <c r="T9" i="16"/>
  <c r="AJ14" i="13"/>
  <c r="E14" i="13" s="1"/>
  <c r="AH15" i="13"/>
  <c r="AJ13" i="14"/>
  <c r="E13" i="14" s="1"/>
  <c r="AH14" i="14"/>
  <c r="J11" i="15"/>
  <c r="N13" i="13"/>
  <c r="N12" i="14"/>
  <c r="O10" i="16"/>
  <c r="M8" i="13"/>
  <c r="X8" i="13" s="1"/>
  <c r="L8" i="13"/>
  <c r="W8" i="13" s="1"/>
  <c r="G9" i="13"/>
  <c r="P8" i="13"/>
  <c r="Q8" i="13"/>
  <c r="O8" i="13"/>
  <c r="S8" i="13"/>
  <c r="AA8" i="13"/>
  <c r="Z8" i="13"/>
  <c r="T8" i="13"/>
  <c r="U8" i="13"/>
  <c r="AJ13" i="11"/>
  <c r="E13" i="11" s="1"/>
  <c r="AH14" i="11"/>
  <c r="P9" i="10"/>
  <c r="J10" i="10"/>
  <c r="Q9" i="10"/>
  <c r="U9" i="10"/>
  <c r="T9" i="10"/>
  <c r="O9" i="10"/>
  <c r="AA10" i="11"/>
  <c r="Z10" i="11"/>
  <c r="H11" i="11"/>
  <c r="S10" i="11"/>
  <c r="R10" i="11"/>
  <c r="Q10" i="11"/>
  <c r="P10" i="11"/>
  <c r="U10" i="11"/>
  <c r="T10" i="11"/>
  <c r="N12" i="11"/>
  <c r="M9" i="9"/>
  <c r="X9" i="9" s="1"/>
  <c r="L9" i="9"/>
  <c r="W9" i="9" s="1"/>
  <c r="G10" i="9"/>
  <c r="R9" i="9"/>
  <c r="AA9" i="9"/>
  <c r="Z9" i="9"/>
  <c r="S9" i="9"/>
  <c r="AJ13" i="9"/>
  <c r="E13" i="9" s="1"/>
  <c r="AH14" i="9"/>
  <c r="H12" i="9"/>
  <c r="J10" i="9"/>
  <c r="P9" i="9"/>
  <c r="Q9" i="9"/>
  <c r="U9" i="9"/>
  <c r="T9" i="9"/>
  <c r="O9" i="9"/>
  <c r="N12" i="9"/>
  <c r="P9" i="12"/>
  <c r="Q9" i="12"/>
  <c r="U9" i="12"/>
  <c r="J10" i="12"/>
  <c r="T9" i="12"/>
  <c r="O9" i="12"/>
  <c r="AA10" i="12"/>
  <c r="Z10" i="12"/>
  <c r="H11" i="12"/>
  <c r="M10" i="11"/>
  <c r="X10" i="11" s="1"/>
  <c r="L10" i="11"/>
  <c r="W10" i="11" s="1"/>
  <c r="G11" i="11"/>
  <c r="H10" i="10"/>
  <c r="R9" i="10"/>
  <c r="AA9" i="10"/>
  <c r="S9" i="10"/>
  <c r="Z9" i="10"/>
  <c r="AJ13" i="10"/>
  <c r="E13" i="10" s="1"/>
  <c r="AH14" i="10"/>
  <c r="O10" i="11"/>
  <c r="G10" i="10"/>
  <c r="M9" i="10"/>
  <c r="X9" i="10" s="1"/>
  <c r="L9" i="10"/>
  <c r="W9" i="10" s="1"/>
  <c r="O11" i="11"/>
  <c r="R9" i="12"/>
  <c r="N12" i="10"/>
  <c r="L9" i="12"/>
  <c r="W9" i="12" s="1"/>
  <c r="AJ13" i="12"/>
  <c r="E13" i="12" s="1"/>
  <c r="AH14" i="12"/>
  <c r="J13" i="11"/>
  <c r="S9" i="12"/>
  <c r="N12" i="12"/>
  <c r="M10" i="12"/>
  <c r="X10" i="12" s="1"/>
  <c r="L10" i="12"/>
  <c r="W10" i="12" s="1"/>
  <c r="G11" i="12"/>
  <c r="N13" i="8"/>
  <c r="AH15" i="8"/>
  <c r="AJ14" i="8"/>
  <c r="E14" i="8" s="1"/>
  <c r="P10" i="8"/>
  <c r="J11" i="8"/>
  <c r="Q10" i="8"/>
  <c r="U10" i="8"/>
  <c r="T10" i="8"/>
  <c r="O10" i="8"/>
  <c r="H11" i="8"/>
  <c r="R10" i="8"/>
  <c r="AA10" i="8"/>
  <c r="Z10" i="8"/>
  <c r="M10" i="8"/>
  <c r="X10" i="8" s="1"/>
  <c r="L10" i="8"/>
  <c r="W10" i="8" s="1"/>
  <c r="G11" i="8"/>
  <c r="J12" i="7"/>
  <c r="H12" i="7"/>
  <c r="N13" i="7"/>
  <c r="AJ14" i="7"/>
  <c r="E14" i="7" s="1"/>
  <c r="AH15" i="7"/>
  <c r="AJ13" i="6"/>
  <c r="E13" i="6" s="1"/>
  <c r="AH14" i="6"/>
  <c r="N12" i="6"/>
  <c r="J12" i="6"/>
  <c r="L10" i="6"/>
  <c r="W10" i="6" s="1"/>
  <c r="M10" i="6"/>
  <c r="X10" i="6" s="1"/>
  <c r="G11" i="6"/>
  <c r="H11" i="6"/>
  <c r="S10" i="6"/>
  <c r="Z10" i="6"/>
  <c r="AA10" i="6"/>
  <c r="R10" i="6"/>
  <c r="P10" i="6"/>
  <c r="T10" i="6"/>
  <c r="N12" i="4"/>
  <c r="M8" i="4"/>
  <c r="X8" i="4" s="1"/>
  <c r="L8" i="4"/>
  <c r="W8" i="4" s="1"/>
  <c r="G9" i="4"/>
  <c r="S8" i="4"/>
  <c r="U8" i="4"/>
  <c r="T8" i="4"/>
  <c r="R8" i="4"/>
  <c r="O8" i="4"/>
  <c r="AA8" i="4"/>
  <c r="Z8" i="4"/>
  <c r="P8" i="4"/>
  <c r="Q8" i="4"/>
  <c r="H11" i="4"/>
  <c r="J13" i="4"/>
  <c r="AJ13" i="4"/>
  <c r="E13" i="4" s="1"/>
  <c r="AH14" i="4"/>
  <c r="D10" i="1"/>
  <c r="S10" i="1" s="1"/>
  <c r="C10" i="1"/>
  <c r="R10" i="1" s="1"/>
  <c r="H11" i="1"/>
  <c r="M54" i="27" l="1"/>
  <c r="X54" i="27" s="1"/>
  <c r="P54" i="27"/>
  <c r="Z54" i="27"/>
  <c r="G55" i="27"/>
  <c r="Q54" i="27"/>
  <c r="U54" i="27"/>
  <c r="M34" i="27"/>
  <c r="X34" i="27" s="1"/>
  <c r="Q34" i="27"/>
  <c r="G35" i="27"/>
  <c r="P34" i="27"/>
  <c r="Z34" i="27"/>
  <c r="U34" i="27"/>
  <c r="M14" i="27"/>
  <c r="X14" i="27" s="1"/>
  <c r="Z14" i="27"/>
  <c r="Q14" i="27"/>
  <c r="G15" i="27"/>
  <c r="P14" i="27"/>
  <c r="AA14" i="27"/>
  <c r="U14" i="27"/>
  <c r="T14" i="27"/>
  <c r="N16" i="27"/>
  <c r="O15" i="27"/>
  <c r="M54" i="28"/>
  <c r="X54" i="28" s="1"/>
  <c r="Z54" i="28"/>
  <c r="U54" i="28"/>
  <c r="G55" i="28"/>
  <c r="P54" i="28"/>
  <c r="Q54" i="28"/>
  <c r="M34" i="28"/>
  <c r="X34" i="28" s="1"/>
  <c r="Q34" i="28"/>
  <c r="G35" i="28"/>
  <c r="P34" i="28"/>
  <c r="Z34" i="28"/>
  <c r="U34" i="28"/>
  <c r="N15" i="28"/>
  <c r="M14" i="28"/>
  <c r="X14" i="28" s="1"/>
  <c r="Z14" i="28"/>
  <c r="AA14" i="28"/>
  <c r="Q14" i="28"/>
  <c r="G15" i="28"/>
  <c r="P14" i="28"/>
  <c r="U14" i="28"/>
  <c r="M54" i="26"/>
  <c r="X54" i="26" s="1"/>
  <c r="Z54" i="26"/>
  <c r="P54" i="26"/>
  <c r="G55" i="26"/>
  <c r="Q54" i="26"/>
  <c r="U54" i="26"/>
  <c r="AA13" i="26"/>
  <c r="Q34" i="26"/>
  <c r="G35" i="26"/>
  <c r="P34" i="26"/>
  <c r="Z34" i="26"/>
  <c r="U34" i="26"/>
  <c r="M34" i="26"/>
  <c r="X34" i="26" s="1"/>
  <c r="M14" i="26"/>
  <c r="X14" i="26" s="1"/>
  <c r="Z14" i="26"/>
  <c r="Q14" i="26"/>
  <c r="G15" i="26"/>
  <c r="P14" i="26"/>
  <c r="U14" i="26"/>
  <c r="N14" i="26"/>
  <c r="O14" i="26" s="1"/>
  <c r="T14" i="26"/>
  <c r="Z55" i="25"/>
  <c r="Q55" i="25"/>
  <c r="G56" i="25"/>
  <c r="P55" i="25"/>
  <c r="U55" i="25"/>
  <c r="M55" i="25"/>
  <c r="X55" i="25" s="1"/>
  <c r="AA13" i="25"/>
  <c r="M34" i="25"/>
  <c r="X34" i="25" s="1"/>
  <c r="Z34" i="25"/>
  <c r="Q34" i="25"/>
  <c r="G35" i="25"/>
  <c r="P34" i="25"/>
  <c r="U34" i="25"/>
  <c r="Q14" i="25"/>
  <c r="G15" i="25"/>
  <c r="P14" i="25"/>
  <c r="M14" i="25"/>
  <c r="X14" i="25" s="1"/>
  <c r="Z14" i="25"/>
  <c r="U14" i="25"/>
  <c r="N14" i="25"/>
  <c r="O14" i="25" s="1"/>
  <c r="T14" i="25"/>
  <c r="M55" i="24"/>
  <c r="X55" i="24" s="1"/>
  <c r="Z55" i="24"/>
  <c r="G56" i="24"/>
  <c r="Q55" i="24"/>
  <c r="P55" i="24"/>
  <c r="U55" i="24"/>
  <c r="Q34" i="24"/>
  <c r="G35" i="24"/>
  <c r="P34" i="24"/>
  <c r="U34" i="24"/>
  <c r="Z34" i="24"/>
  <c r="M34" i="24"/>
  <c r="X34" i="24" s="1"/>
  <c r="N15" i="24"/>
  <c r="O15" i="24" s="1"/>
  <c r="M14" i="24"/>
  <c r="X14" i="24" s="1"/>
  <c r="AA14" i="24"/>
  <c r="Q14" i="24"/>
  <c r="G15" i="24"/>
  <c r="P14" i="24"/>
  <c r="Z14" i="24"/>
  <c r="U14" i="24"/>
  <c r="M54" i="23"/>
  <c r="X54" i="23" s="1"/>
  <c r="Q54" i="23"/>
  <c r="G55" i="23"/>
  <c r="P54" i="23"/>
  <c r="Z54" i="23"/>
  <c r="U54" i="23"/>
  <c r="N15" i="23"/>
  <c r="M14" i="23"/>
  <c r="X14" i="23" s="1"/>
  <c r="Q14" i="23"/>
  <c r="G15" i="23"/>
  <c r="P14" i="23"/>
  <c r="AA14" i="23"/>
  <c r="Z14" i="23"/>
  <c r="U14" i="23"/>
  <c r="M54" i="22"/>
  <c r="X54" i="22" s="1"/>
  <c r="Q54" i="22"/>
  <c r="G55" i="22"/>
  <c r="P54" i="22"/>
  <c r="Z54" i="22"/>
  <c r="U54" i="22"/>
  <c r="M34" i="22"/>
  <c r="X34" i="22" s="1"/>
  <c r="Q34" i="22"/>
  <c r="G35" i="22"/>
  <c r="P34" i="22"/>
  <c r="Z34" i="22"/>
  <c r="U34" i="22"/>
  <c r="N15" i="22"/>
  <c r="AA14" i="22"/>
  <c r="Z14" i="22"/>
  <c r="P14" i="22"/>
  <c r="Q14" i="22"/>
  <c r="G15" i="22"/>
  <c r="M14" i="22"/>
  <c r="X14" i="22" s="1"/>
  <c r="U14" i="22"/>
  <c r="T14" i="22"/>
  <c r="Z54" i="21"/>
  <c r="P54" i="21"/>
  <c r="G55" i="21"/>
  <c r="Q54" i="21"/>
  <c r="M54" i="21"/>
  <c r="X54" i="21" s="1"/>
  <c r="U54" i="21"/>
  <c r="M34" i="21"/>
  <c r="X34" i="21" s="1"/>
  <c r="Q34" i="21"/>
  <c r="G35" i="21"/>
  <c r="P34" i="21"/>
  <c r="U34" i="21"/>
  <c r="Z34" i="21"/>
  <c r="M14" i="21"/>
  <c r="X14" i="21" s="1"/>
  <c r="AA14" i="21"/>
  <c r="Z14" i="21"/>
  <c r="Q14" i="21"/>
  <c r="G15" i="21"/>
  <c r="P14" i="21"/>
  <c r="U14" i="21"/>
  <c r="N15" i="21"/>
  <c r="O15" i="21" s="1"/>
  <c r="T15" i="21"/>
  <c r="O11" i="20"/>
  <c r="T11" i="20"/>
  <c r="U11" i="20"/>
  <c r="AJ16" i="28"/>
  <c r="E16" i="28" s="1"/>
  <c r="AH17" i="28"/>
  <c r="J13" i="28"/>
  <c r="L12" i="28"/>
  <c r="W12" i="28" s="1"/>
  <c r="D14" i="28"/>
  <c r="S14" i="28" s="1"/>
  <c r="H15" i="28"/>
  <c r="C14" i="28"/>
  <c r="R14" i="28" s="1"/>
  <c r="J15" i="27"/>
  <c r="H16" i="25"/>
  <c r="D15" i="25"/>
  <c r="S15" i="25" s="1"/>
  <c r="C15" i="25"/>
  <c r="R15" i="25" s="1"/>
  <c r="C13" i="24"/>
  <c r="R13" i="24" s="1"/>
  <c r="D13" i="24"/>
  <c r="S13" i="24" s="1"/>
  <c r="H14" i="24"/>
  <c r="AJ15" i="26"/>
  <c r="E15" i="26" s="1"/>
  <c r="AH16" i="26"/>
  <c r="AH18" i="27"/>
  <c r="AJ17" i="27"/>
  <c r="E17" i="27" s="1"/>
  <c r="H14" i="27"/>
  <c r="L14" i="27" s="1"/>
  <c r="W14" i="27" s="1"/>
  <c r="D13" i="27"/>
  <c r="S13" i="27" s="1"/>
  <c r="C13" i="27"/>
  <c r="R13" i="27" s="1"/>
  <c r="J13" i="24"/>
  <c r="L12" i="24"/>
  <c r="W12" i="24" s="1"/>
  <c r="J13" i="26"/>
  <c r="L12" i="26"/>
  <c r="W12" i="26" s="1"/>
  <c r="J14" i="25"/>
  <c r="L13" i="25"/>
  <c r="W13" i="25" s="1"/>
  <c r="AH16" i="25"/>
  <c r="AJ15" i="25"/>
  <c r="E15" i="25" s="1"/>
  <c r="AJ16" i="24"/>
  <c r="E16" i="24" s="1"/>
  <c r="AH17" i="24"/>
  <c r="H14" i="26"/>
  <c r="C13" i="26"/>
  <c r="R13" i="26" s="1"/>
  <c r="D13" i="26"/>
  <c r="S13" i="26" s="1"/>
  <c r="L13" i="27"/>
  <c r="W13" i="27" s="1"/>
  <c r="AJ16" i="23"/>
  <c r="E16" i="23" s="1"/>
  <c r="AH17" i="23"/>
  <c r="L12" i="23"/>
  <c r="W12" i="23" s="1"/>
  <c r="J13" i="23"/>
  <c r="C12" i="23"/>
  <c r="R12" i="23" s="1"/>
  <c r="H13" i="23"/>
  <c r="D12" i="23"/>
  <c r="S12" i="23" s="1"/>
  <c r="D14" i="22"/>
  <c r="S14" i="22" s="1"/>
  <c r="C14" i="22"/>
  <c r="R14" i="22" s="1"/>
  <c r="H15" i="22"/>
  <c r="AJ16" i="22"/>
  <c r="E16" i="22" s="1"/>
  <c r="AH17" i="22"/>
  <c r="J13" i="22"/>
  <c r="L12" i="22"/>
  <c r="W12" i="22" s="1"/>
  <c r="J13" i="21"/>
  <c r="L12" i="21"/>
  <c r="W12" i="21" s="1"/>
  <c r="AJ16" i="21"/>
  <c r="E16" i="21" s="1"/>
  <c r="AH17" i="21"/>
  <c r="D13" i="21"/>
  <c r="S13" i="21" s="1"/>
  <c r="C13" i="21"/>
  <c r="R13" i="21" s="1"/>
  <c r="H14" i="21"/>
  <c r="J13" i="20"/>
  <c r="O12" i="20"/>
  <c r="AJ16" i="20"/>
  <c r="E16" i="20" s="1"/>
  <c r="AH17" i="20"/>
  <c r="N15" i="20"/>
  <c r="M11" i="20"/>
  <c r="X11" i="20" s="1"/>
  <c r="L11" i="20"/>
  <c r="W11" i="20" s="1"/>
  <c r="G12" i="20"/>
  <c r="U12" i="20" s="1"/>
  <c r="Z11" i="20"/>
  <c r="D11" i="20"/>
  <c r="S11" i="20" s="1"/>
  <c r="C11" i="20"/>
  <c r="R11" i="20" s="1"/>
  <c r="AA11" i="20"/>
  <c r="H15" i="20"/>
  <c r="D10" i="19"/>
  <c r="S10" i="19" s="1"/>
  <c r="O10" i="19"/>
  <c r="T10" i="19"/>
  <c r="U10" i="19"/>
  <c r="H12" i="19"/>
  <c r="AJ17" i="19"/>
  <c r="E17" i="19" s="1"/>
  <c r="AH18" i="19"/>
  <c r="N16" i="19"/>
  <c r="G11" i="19"/>
  <c r="T11" i="19" s="1"/>
  <c r="M10" i="19"/>
  <c r="X10" i="19" s="1"/>
  <c r="L10" i="19"/>
  <c r="W10" i="19" s="1"/>
  <c r="J12" i="19"/>
  <c r="AA9" i="7"/>
  <c r="T9" i="7"/>
  <c r="Z9" i="7"/>
  <c r="U9" i="7"/>
  <c r="P9" i="7"/>
  <c r="Q9" i="7"/>
  <c r="D9" i="7"/>
  <c r="S9" i="7" s="1"/>
  <c r="C9" i="7"/>
  <c r="R9" i="7" s="1"/>
  <c r="M9" i="7"/>
  <c r="X9" i="7" s="1"/>
  <c r="L9" i="7"/>
  <c r="W9" i="7" s="1"/>
  <c r="G10" i="7"/>
  <c r="O9" i="7"/>
  <c r="T9" i="17"/>
  <c r="D11" i="18"/>
  <c r="C11" i="18"/>
  <c r="D9" i="17"/>
  <c r="C9" i="17"/>
  <c r="D10" i="16"/>
  <c r="C10" i="16"/>
  <c r="D9" i="15"/>
  <c r="S9" i="15" s="1"/>
  <c r="C9" i="15"/>
  <c r="R9" i="15" s="1"/>
  <c r="D10" i="14"/>
  <c r="S10" i="14" s="1"/>
  <c r="C10" i="14"/>
  <c r="R10" i="14" s="1"/>
  <c r="D9" i="13"/>
  <c r="S9" i="13" s="1"/>
  <c r="C9" i="13"/>
  <c r="R9" i="13" s="1"/>
  <c r="D11" i="12"/>
  <c r="C11" i="12"/>
  <c r="D11" i="11"/>
  <c r="C11" i="11"/>
  <c r="D10" i="10"/>
  <c r="C10" i="10"/>
  <c r="D10" i="9"/>
  <c r="C10" i="9"/>
  <c r="D11" i="8"/>
  <c r="C11" i="8"/>
  <c r="D11" i="6"/>
  <c r="C11" i="6"/>
  <c r="D9" i="4"/>
  <c r="C9" i="4"/>
  <c r="G12" i="1"/>
  <c r="Q11" i="1"/>
  <c r="P11" i="1"/>
  <c r="AA11" i="1"/>
  <c r="Z11" i="1"/>
  <c r="U11" i="1"/>
  <c r="M11" i="1"/>
  <c r="X11" i="1" s="1"/>
  <c r="L11" i="1"/>
  <c r="W11" i="1" s="1"/>
  <c r="T11" i="1"/>
  <c r="O11" i="1"/>
  <c r="S10" i="12"/>
  <c r="Q11" i="18"/>
  <c r="P11" i="18"/>
  <c r="J12" i="18"/>
  <c r="U11" i="18"/>
  <c r="T11" i="18"/>
  <c r="AJ14" i="18"/>
  <c r="E14" i="18" s="1"/>
  <c r="AH15" i="18"/>
  <c r="N13" i="18"/>
  <c r="G12" i="18"/>
  <c r="M11" i="18"/>
  <c r="X11" i="18" s="1"/>
  <c r="L11" i="18"/>
  <c r="W11" i="18" s="1"/>
  <c r="R11" i="18"/>
  <c r="AA11" i="18"/>
  <c r="Z11" i="18"/>
  <c r="S11" i="18"/>
  <c r="H12" i="18"/>
  <c r="H12" i="17"/>
  <c r="G10" i="17"/>
  <c r="M9" i="17"/>
  <c r="X9" i="17" s="1"/>
  <c r="L9" i="17"/>
  <c r="W9" i="17" s="1"/>
  <c r="Z9" i="17"/>
  <c r="S9" i="17"/>
  <c r="R9" i="17"/>
  <c r="AA9" i="17"/>
  <c r="AJ15" i="17"/>
  <c r="E15" i="17" s="1"/>
  <c r="AH16" i="17"/>
  <c r="J11" i="17"/>
  <c r="N14" i="17"/>
  <c r="J13" i="13"/>
  <c r="H12" i="15"/>
  <c r="M10" i="16"/>
  <c r="X10" i="16" s="1"/>
  <c r="L10" i="16"/>
  <c r="W10" i="16" s="1"/>
  <c r="G11" i="16"/>
  <c r="AJ15" i="13"/>
  <c r="E15" i="13" s="1"/>
  <c r="AH16" i="13"/>
  <c r="G10" i="15"/>
  <c r="M9" i="15"/>
  <c r="X9" i="15" s="1"/>
  <c r="L9" i="15"/>
  <c r="W9" i="15" s="1"/>
  <c r="Q9" i="15"/>
  <c r="P9" i="15"/>
  <c r="T9" i="15"/>
  <c r="U9" i="15"/>
  <c r="AA9" i="15"/>
  <c r="Z9" i="15"/>
  <c r="O9" i="15"/>
  <c r="M10" i="14"/>
  <c r="X10" i="14" s="1"/>
  <c r="L10" i="14"/>
  <c r="W10" i="14" s="1"/>
  <c r="G11" i="14"/>
  <c r="N13" i="14"/>
  <c r="N14" i="13"/>
  <c r="H12" i="14"/>
  <c r="H12" i="16"/>
  <c r="Z10" i="14"/>
  <c r="Z10" i="16"/>
  <c r="AA10" i="14"/>
  <c r="J12" i="15"/>
  <c r="R10" i="16"/>
  <c r="M9" i="13"/>
  <c r="X9" i="13" s="1"/>
  <c r="L9" i="13"/>
  <c r="W9" i="13" s="1"/>
  <c r="G10" i="13"/>
  <c r="O9" i="13"/>
  <c r="U9" i="13"/>
  <c r="P9" i="13"/>
  <c r="T9" i="13"/>
  <c r="Q9" i="13"/>
  <c r="AA9" i="13"/>
  <c r="Z9" i="13"/>
  <c r="Q10" i="16"/>
  <c r="P10" i="16"/>
  <c r="J11" i="16"/>
  <c r="O11" i="16" s="1"/>
  <c r="U10" i="16"/>
  <c r="T10" i="16"/>
  <c r="S10" i="16"/>
  <c r="H12" i="13"/>
  <c r="Q10" i="14"/>
  <c r="P10" i="14"/>
  <c r="J11" i="14"/>
  <c r="U10" i="14"/>
  <c r="T10" i="14"/>
  <c r="O10" i="14"/>
  <c r="AJ14" i="15"/>
  <c r="E14" i="15" s="1"/>
  <c r="AH15" i="15"/>
  <c r="N12" i="16"/>
  <c r="AH15" i="14"/>
  <c r="AJ14" i="14"/>
  <c r="E14" i="14" s="1"/>
  <c r="N13" i="15"/>
  <c r="AJ13" i="16"/>
  <c r="E13" i="16" s="1"/>
  <c r="AH14" i="16"/>
  <c r="J11" i="12"/>
  <c r="Q10" i="12"/>
  <c r="P10" i="12"/>
  <c r="U10" i="12"/>
  <c r="T10" i="12"/>
  <c r="O10" i="12"/>
  <c r="AA11" i="11"/>
  <c r="Z11" i="11"/>
  <c r="H12" i="11"/>
  <c r="S11" i="11"/>
  <c r="R11" i="11"/>
  <c r="Q11" i="11"/>
  <c r="T11" i="11"/>
  <c r="P11" i="11"/>
  <c r="U11" i="11"/>
  <c r="S10" i="10"/>
  <c r="R10" i="10"/>
  <c r="AA10" i="10"/>
  <c r="Z10" i="10"/>
  <c r="H11" i="10"/>
  <c r="H13" i="9"/>
  <c r="G11" i="10"/>
  <c r="M10" i="10"/>
  <c r="X10" i="10" s="1"/>
  <c r="L10" i="10"/>
  <c r="W10" i="10" s="1"/>
  <c r="R10" i="12"/>
  <c r="AJ14" i="9"/>
  <c r="E14" i="9" s="1"/>
  <c r="AH15" i="9"/>
  <c r="N13" i="9"/>
  <c r="J11" i="9"/>
  <c r="U10" i="9"/>
  <c r="Q10" i="9"/>
  <c r="P10" i="9"/>
  <c r="T10" i="9"/>
  <c r="O10" i="9"/>
  <c r="J14" i="11"/>
  <c r="AJ14" i="10"/>
  <c r="E14" i="10" s="1"/>
  <c r="AH15" i="10"/>
  <c r="AA11" i="12"/>
  <c r="Z11" i="12"/>
  <c r="H12" i="12"/>
  <c r="R11" i="12"/>
  <c r="S11" i="12"/>
  <c r="Q10" i="10"/>
  <c r="P10" i="10"/>
  <c r="J11" i="10"/>
  <c r="U10" i="10"/>
  <c r="T10" i="10"/>
  <c r="O10" i="10"/>
  <c r="M10" i="9"/>
  <c r="X10" i="9" s="1"/>
  <c r="L10" i="9"/>
  <c r="W10" i="9" s="1"/>
  <c r="G11" i="9"/>
  <c r="AA10" i="9"/>
  <c r="Z10" i="9"/>
  <c r="S10" i="9"/>
  <c r="R10" i="9"/>
  <c r="AJ14" i="12"/>
  <c r="E14" i="12" s="1"/>
  <c r="AH15" i="12"/>
  <c r="N13" i="10"/>
  <c r="M11" i="11"/>
  <c r="X11" i="11" s="1"/>
  <c r="L11" i="11"/>
  <c r="W11" i="11" s="1"/>
  <c r="G12" i="11"/>
  <c r="M11" i="12"/>
  <c r="X11" i="12" s="1"/>
  <c r="L11" i="12"/>
  <c r="W11" i="12" s="1"/>
  <c r="G12" i="12"/>
  <c r="N13" i="12"/>
  <c r="AJ14" i="11"/>
  <c r="E14" i="11" s="1"/>
  <c r="AH15" i="11"/>
  <c r="N13" i="11"/>
  <c r="AA11" i="8"/>
  <c r="Z11" i="8"/>
  <c r="H12" i="8"/>
  <c r="S11" i="8"/>
  <c r="R11" i="8"/>
  <c r="M11" i="8"/>
  <c r="X11" i="8" s="1"/>
  <c r="L11" i="8"/>
  <c r="W11" i="8" s="1"/>
  <c r="G12" i="8"/>
  <c r="J12" i="8"/>
  <c r="Q11" i="8"/>
  <c r="P11" i="8"/>
  <c r="U11" i="8"/>
  <c r="T11" i="8"/>
  <c r="O11" i="8"/>
  <c r="N14" i="8"/>
  <c r="AJ15" i="8"/>
  <c r="E15" i="8" s="1"/>
  <c r="AH16" i="8"/>
  <c r="H13" i="7"/>
  <c r="N14" i="7"/>
  <c r="J13" i="7"/>
  <c r="AH16" i="7"/>
  <c r="AJ15" i="7"/>
  <c r="E15" i="7" s="1"/>
  <c r="G12" i="6"/>
  <c r="M11" i="6"/>
  <c r="X11" i="6" s="1"/>
  <c r="L11" i="6"/>
  <c r="W11" i="6" s="1"/>
  <c r="J13" i="6"/>
  <c r="P11" i="6"/>
  <c r="Q11" i="6"/>
  <c r="AH15" i="6"/>
  <c r="AJ14" i="6"/>
  <c r="E14" i="6" s="1"/>
  <c r="U11" i="6"/>
  <c r="N13" i="6"/>
  <c r="S11" i="6"/>
  <c r="R11" i="6"/>
  <c r="AA11" i="6"/>
  <c r="Z11" i="6"/>
  <c r="H12" i="6"/>
  <c r="T11" i="6"/>
  <c r="O11" i="6"/>
  <c r="J14" i="4"/>
  <c r="N13" i="4"/>
  <c r="H12" i="4"/>
  <c r="M9" i="4"/>
  <c r="X9" i="4" s="1"/>
  <c r="L9" i="4"/>
  <c r="W9" i="4" s="1"/>
  <c r="G10" i="4"/>
  <c r="U9" i="4"/>
  <c r="T9" i="4"/>
  <c r="S9" i="4"/>
  <c r="O9" i="4"/>
  <c r="AA9" i="4"/>
  <c r="P9" i="4"/>
  <c r="Q9" i="4"/>
  <c r="R9" i="4"/>
  <c r="Z9" i="4"/>
  <c r="AJ14" i="4"/>
  <c r="E14" i="4" s="1"/>
  <c r="AH15" i="4"/>
  <c r="D11" i="1"/>
  <c r="S11" i="1" s="1"/>
  <c r="C11" i="1"/>
  <c r="R11" i="1" s="1"/>
  <c r="H12" i="1"/>
  <c r="M55" i="27" l="1"/>
  <c r="X55" i="27" s="1"/>
  <c r="Q55" i="27"/>
  <c r="G56" i="27"/>
  <c r="P55" i="27"/>
  <c r="Z55" i="27"/>
  <c r="U55" i="27"/>
  <c r="M35" i="27"/>
  <c r="X35" i="27" s="1"/>
  <c r="G36" i="27"/>
  <c r="P35" i="27"/>
  <c r="Z35" i="27"/>
  <c r="U35" i="27"/>
  <c r="Q35" i="27"/>
  <c r="M15" i="27"/>
  <c r="X15" i="27" s="1"/>
  <c r="Z15" i="27"/>
  <c r="Q15" i="27"/>
  <c r="AA15" i="27"/>
  <c r="G16" i="27"/>
  <c r="P15" i="27"/>
  <c r="U15" i="27"/>
  <c r="T15" i="27"/>
  <c r="N17" i="27"/>
  <c r="M55" i="28"/>
  <c r="X55" i="28" s="1"/>
  <c r="Z55" i="28"/>
  <c r="Q55" i="28"/>
  <c r="G56" i="28"/>
  <c r="P55" i="28"/>
  <c r="U55" i="28"/>
  <c r="M35" i="28"/>
  <c r="X35" i="28" s="1"/>
  <c r="G36" i="28"/>
  <c r="P35" i="28"/>
  <c r="Z35" i="28"/>
  <c r="U35" i="28"/>
  <c r="Q35" i="28"/>
  <c r="N16" i="28"/>
  <c r="O16" i="28" s="1"/>
  <c r="M15" i="28"/>
  <c r="X15" i="28" s="1"/>
  <c r="Q15" i="28"/>
  <c r="G16" i="28"/>
  <c r="P15" i="28"/>
  <c r="AA15" i="28"/>
  <c r="Z15" i="28"/>
  <c r="U15" i="28"/>
  <c r="T15" i="28"/>
  <c r="O15" i="28"/>
  <c r="Z55" i="26"/>
  <c r="U55" i="26"/>
  <c r="Q55" i="26"/>
  <c r="G56" i="26"/>
  <c r="P55" i="26"/>
  <c r="M55" i="26"/>
  <c r="X55" i="26" s="1"/>
  <c r="M35" i="26"/>
  <c r="X35" i="26" s="1"/>
  <c r="Q35" i="26"/>
  <c r="G36" i="26"/>
  <c r="P35" i="26"/>
  <c r="Z35" i="26"/>
  <c r="U35" i="26"/>
  <c r="AA14" i="26"/>
  <c r="N15" i="26"/>
  <c r="O15" i="26" s="1"/>
  <c r="T15" i="26"/>
  <c r="M15" i="26"/>
  <c r="X15" i="26" s="1"/>
  <c r="Q15" i="26"/>
  <c r="G16" i="26"/>
  <c r="P15" i="26"/>
  <c r="Z15" i="26"/>
  <c r="U15" i="26"/>
  <c r="Q56" i="25"/>
  <c r="G57" i="25"/>
  <c r="P56" i="25"/>
  <c r="U56" i="25"/>
  <c r="Z56" i="25"/>
  <c r="M56" i="25"/>
  <c r="X56" i="25" s="1"/>
  <c r="M35" i="25"/>
  <c r="X35" i="25" s="1"/>
  <c r="Z35" i="25"/>
  <c r="Q35" i="25"/>
  <c r="G36" i="25"/>
  <c r="P35" i="25"/>
  <c r="U35" i="25"/>
  <c r="N15" i="25"/>
  <c r="O15" i="25" s="1"/>
  <c r="T15" i="25"/>
  <c r="AA14" i="25"/>
  <c r="Q15" i="25"/>
  <c r="G16" i="25"/>
  <c r="P15" i="25"/>
  <c r="M15" i="25"/>
  <c r="X15" i="25" s="1"/>
  <c r="U15" i="25"/>
  <c r="Z15" i="25"/>
  <c r="M56" i="24"/>
  <c r="X56" i="24" s="1"/>
  <c r="Z56" i="24"/>
  <c r="Q56" i="24"/>
  <c r="G57" i="24"/>
  <c r="P56" i="24"/>
  <c r="U56" i="24"/>
  <c r="G36" i="24"/>
  <c r="P35" i="24"/>
  <c r="M35" i="24"/>
  <c r="X35" i="24" s="1"/>
  <c r="Z35" i="24"/>
  <c r="U35" i="24"/>
  <c r="Q35" i="24"/>
  <c r="M15" i="24"/>
  <c r="X15" i="24" s="1"/>
  <c r="Q15" i="24"/>
  <c r="G16" i="24"/>
  <c r="P15" i="24"/>
  <c r="AA15" i="24"/>
  <c r="Z15" i="24"/>
  <c r="U15" i="24"/>
  <c r="N16" i="24"/>
  <c r="O16" i="24" s="1"/>
  <c r="T16" i="24"/>
  <c r="T15" i="24"/>
  <c r="M55" i="23"/>
  <c r="X55" i="23" s="1"/>
  <c r="Q55" i="23"/>
  <c r="G56" i="23"/>
  <c r="P55" i="23"/>
  <c r="Z55" i="23"/>
  <c r="U55" i="23"/>
  <c r="N16" i="23"/>
  <c r="G16" i="23"/>
  <c r="P15" i="23"/>
  <c r="AA15" i="23"/>
  <c r="Z15" i="23"/>
  <c r="U15" i="23"/>
  <c r="Q15" i="23"/>
  <c r="M15" i="23"/>
  <c r="X15" i="23" s="1"/>
  <c r="T15" i="23"/>
  <c r="O15" i="23"/>
  <c r="M55" i="22"/>
  <c r="X55" i="22" s="1"/>
  <c r="Z55" i="22"/>
  <c r="U55" i="22"/>
  <c r="Q55" i="22"/>
  <c r="G56" i="22"/>
  <c r="P55" i="22"/>
  <c r="M35" i="22"/>
  <c r="X35" i="22" s="1"/>
  <c r="U35" i="22"/>
  <c r="Q35" i="22"/>
  <c r="G36" i="22"/>
  <c r="P35" i="22"/>
  <c r="Z35" i="22"/>
  <c r="N16" i="22"/>
  <c r="M15" i="22"/>
  <c r="X15" i="22" s="1"/>
  <c r="AA15" i="22"/>
  <c r="Q15" i="22"/>
  <c r="G16" i="22"/>
  <c r="P15" i="22"/>
  <c r="Z15" i="22"/>
  <c r="U15" i="22"/>
  <c r="T15" i="22"/>
  <c r="O15" i="22"/>
  <c r="M55" i="21"/>
  <c r="X55" i="21" s="1"/>
  <c r="Z55" i="21"/>
  <c r="U55" i="21"/>
  <c r="Q55" i="21"/>
  <c r="G56" i="21"/>
  <c r="P55" i="21"/>
  <c r="M35" i="21"/>
  <c r="X35" i="21" s="1"/>
  <c r="Q35" i="21"/>
  <c r="G36" i="21"/>
  <c r="P35" i="21"/>
  <c r="Z35" i="21"/>
  <c r="U35" i="21"/>
  <c r="M15" i="21"/>
  <c r="X15" i="21" s="1"/>
  <c r="AA15" i="21"/>
  <c r="Q15" i="21"/>
  <c r="G16" i="21"/>
  <c r="P15" i="21"/>
  <c r="Z15" i="21"/>
  <c r="U15" i="21"/>
  <c r="N16" i="21"/>
  <c r="O16" i="21" s="1"/>
  <c r="T16" i="21"/>
  <c r="T12" i="20"/>
  <c r="D15" i="28"/>
  <c r="S15" i="28" s="1"/>
  <c r="C15" i="28"/>
  <c r="R15" i="28" s="1"/>
  <c r="H16" i="28"/>
  <c r="J14" i="28"/>
  <c r="L13" i="28"/>
  <c r="W13" i="28" s="1"/>
  <c r="AH18" i="28"/>
  <c r="AJ17" i="28"/>
  <c r="E17" i="28" s="1"/>
  <c r="AJ16" i="26"/>
  <c r="E16" i="26" s="1"/>
  <c r="AH17" i="26"/>
  <c r="AJ16" i="25"/>
  <c r="E16" i="25" s="1"/>
  <c r="AH17" i="25"/>
  <c r="L14" i="25"/>
  <c r="W14" i="25" s="1"/>
  <c r="J15" i="25"/>
  <c r="H15" i="24"/>
  <c r="C14" i="24"/>
  <c r="R14" i="24" s="1"/>
  <c r="D14" i="24"/>
  <c r="S14" i="24" s="1"/>
  <c r="AJ18" i="27"/>
  <c r="E18" i="27" s="1"/>
  <c r="AH19" i="27"/>
  <c r="J14" i="26"/>
  <c r="L13" i="26"/>
  <c r="W13" i="26" s="1"/>
  <c r="J14" i="24"/>
  <c r="L13" i="24"/>
  <c r="W13" i="24" s="1"/>
  <c r="H17" i="25"/>
  <c r="D16" i="25"/>
  <c r="S16" i="25" s="1"/>
  <c r="C16" i="25"/>
  <c r="R16" i="25" s="1"/>
  <c r="H15" i="26"/>
  <c r="D14" i="26"/>
  <c r="S14" i="26" s="1"/>
  <c r="C14" i="26"/>
  <c r="R14" i="26" s="1"/>
  <c r="AJ17" i="24"/>
  <c r="E17" i="24" s="1"/>
  <c r="AH18" i="24"/>
  <c r="D14" i="27"/>
  <c r="S14" i="27" s="1"/>
  <c r="H15" i="27"/>
  <c r="L15" i="27" s="1"/>
  <c r="W15" i="27" s="1"/>
  <c r="C14" i="27"/>
  <c r="R14" i="27" s="1"/>
  <c r="J16" i="27"/>
  <c r="AJ17" i="22"/>
  <c r="E17" i="22" s="1"/>
  <c r="AH18" i="22"/>
  <c r="D15" i="22"/>
  <c r="S15" i="22" s="1"/>
  <c r="C15" i="22"/>
  <c r="R15" i="22" s="1"/>
  <c r="H16" i="22"/>
  <c r="H14" i="23"/>
  <c r="D13" i="23"/>
  <c r="S13" i="23" s="1"/>
  <c r="C13" i="23"/>
  <c r="R13" i="23" s="1"/>
  <c r="J14" i="23"/>
  <c r="L13" i="23"/>
  <c r="W13" i="23" s="1"/>
  <c r="AJ17" i="23"/>
  <c r="E17" i="23" s="1"/>
  <c r="AH18" i="23"/>
  <c r="J14" i="22"/>
  <c r="L13" i="22"/>
  <c r="W13" i="22" s="1"/>
  <c r="C14" i="21"/>
  <c r="R14" i="21" s="1"/>
  <c r="D14" i="21"/>
  <c r="S14" i="21" s="1"/>
  <c r="H15" i="21"/>
  <c r="AJ17" i="21"/>
  <c r="E17" i="21" s="1"/>
  <c r="AH18" i="21"/>
  <c r="J14" i="21"/>
  <c r="L13" i="21"/>
  <c r="W13" i="21" s="1"/>
  <c r="H16" i="20"/>
  <c r="N16" i="20"/>
  <c r="AJ17" i="20"/>
  <c r="E17" i="20" s="1"/>
  <c r="AH18" i="20"/>
  <c r="P13" i="20"/>
  <c r="J14" i="20"/>
  <c r="G13" i="20"/>
  <c r="L12" i="20"/>
  <c r="W12" i="20" s="1"/>
  <c r="M12" i="20"/>
  <c r="X12" i="20" s="1"/>
  <c r="D12" i="20"/>
  <c r="S12" i="20" s="1"/>
  <c r="Z12" i="20"/>
  <c r="C12" i="20"/>
  <c r="R12" i="20" s="1"/>
  <c r="AA12" i="20"/>
  <c r="P12" i="20"/>
  <c r="Q12" i="20"/>
  <c r="O11" i="19"/>
  <c r="G12" i="19"/>
  <c r="M11" i="19"/>
  <c r="X11" i="19" s="1"/>
  <c r="L11" i="19"/>
  <c r="W11" i="19" s="1"/>
  <c r="AJ18" i="19"/>
  <c r="E18" i="19" s="1"/>
  <c r="AH19" i="19"/>
  <c r="N17" i="19"/>
  <c r="Z11" i="19"/>
  <c r="Q12" i="19"/>
  <c r="P12" i="19"/>
  <c r="J13" i="19"/>
  <c r="U12" i="19"/>
  <c r="T12" i="19"/>
  <c r="O12" i="19"/>
  <c r="AA11" i="19"/>
  <c r="P11" i="19"/>
  <c r="C11" i="19"/>
  <c r="R11" i="19" s="1"/>
  <c r="Q11" i="19"/>
  <c r="D11" i="19"/>
  <c r="S11" i="19" s="1"/>
  <c r="U11" i="19"/>
  <c r="D12" i="19"/>
  <c r="S12" i="19" s="1"/>
  <c r="C12" i="19"/>
  <c r="R12" i="19" s="1"/>
  <c r="AA12" i="19"/>
  <c r="Z12" i="19"/>
  <c r="H13" i="19"/>
  <c r="AA10" i="7"/>
  <c r="Z10" i="7"/>
  <c r="D10" i="7"/>
  <c r="S10" i="7" s="1"/>
  <c r="C10" i="7"/>
  <c r="R10" i="7" s="1"/>
  <c r="O10" i="7"/>
  <c r="M10" i="7"/>
  <c r="X10" i="7" s="1"/>
  <c r="L10" i="7"/>
  <c r="W10" i="7" s="1"/>
  <c r="T10" i="7"/>
  <c r="G11" i="7"/>
  <c r="U10" i="7"/>
  <c r="P10" i="7"/>
  <c r="Q10" i="7"/>
  <c r="Q12" i="6"/>
  <c r="D12" i="18"/>
  <c r="C12" i="18"/>
  <c r="Q10" i="17"/>
  <c r="C10" i="17"/>
  <c r="R10" i="17" s="1"/>
  <c r="D10" i="17"/>
  <c r="D11" i="16"/>
  <c r="C11" i="16"/>
  <c r="R11" i="16" s="1"/>
  <c r="D10" i="15"/>
  <c r="C10" i="15"/>
  <c r="AA11" i="14"/>
  <c r="D11" i="14"/>
  <c r="S11" i="14" s="1"/>
  <c r="C11" i="14"/>
  <c r="R11" i="14" s="1"/>
  <c r="D10" i="13"/>
  <c r="C10" i="13"/>
  <c r="D12" i="12"/>
  <c r="C12" i="12"/>
  <c r="O12" i="11"/>
  <c r="C12" i="11"/>
  <c r="D12" i="11"/>
  <c r="D11" i="10"/>
  <c r="C11" i="10"/>
  <c r="R11" i="10" s="1"/>
  <c r="D11" i="9"/>
  <c r="C11" i="9"/>
  <c r="R11" i="9" s="1"/>
  <c r="D12" i="8"/>
  <c r="C12" i="8"/>
  <c r="D12" i="6"/>
  <c r="C12" i="6"/>
  <c r="D10" i="4"/>
  <c r="C10" i="4"/>
  <c r="G13" i="1"/>
  <c r="Z12" i="1"/>
  <c r="P12" i="1"/>
  <c r="Q12" i="1"/>
  <c r="U12" i="1"/>
  <c r="AA12" i="1"/>
  <c r="M12" i="1"/>
  <c r="X12" i="1" s="1"/>
  <c r="L12" i="1"/>
  <c r="W12" i="1" s="1"/>
  <c r="T12" i="1"/>
  <c r="O12" i="1"/>
  <c r="O10" i="17"/>
  <c r="T10" i="17"/>
  <c r="P10" i="17"/>
  <c r="Z11" i="16"/>
  <c r="AA11" i="16"/>
  <c r="Z11" i="14"/>
  <c r="M12" i="18"/>
  <c r="X12" i="18" s="1"/>
  <c r="L12" i="18"/>
  <c r="W12" i="18" s="1"/>
  <c r="G13" i="18"/>
  <c r="AJ15" i="18"/>
  <c r="E15" i="18" s="1"/>
  <c r="AH16" i="18"/>
  <c r="N14" i="18"/>
  <c r="R12" i="18"/>
  <c r="AA12" i="18"/>
  <c r="Z12" i="18"/>
  <c r="H13" i="18"/>
  <c r="S12" i="18"/>
  <c r="Q12" i="18"/>
  <c r="P12" i="18"/>
  <c r="J13" i="18"/>
  <c r="U12" i="18"/>
  <c r="T12" i="18"/>
  <c r="O12" i="18"/>
  <c r="J12" i="17"/>
  <c r="G11" i="17"/>
  <c r="O11" i="17" s="1"/>
  <c r="M10" i="17"/>
  <c r="X10" i="17" s="1"/>
  <c r="L10" i="17"/>
  <c r="W10" i="17" s="1"/>
  <c r="S10" i="17"/>
  <c r="AA10" i="17"/>
  <c r="Z10" i="17"/>
  <c r="U10" i="17"/>
  <c r="AJ16" i="17"/>
  <c r="E16" i="17" s="1"/>
  <c r="AH17" i="17"/>
  <c r="N15" i="17"/>
  <c r="H13" i="17"/>
  <c r="T12" i="6"/>
  <c r="O12" i="6"/>
  <c r="AJ15" i="14"/>
  <c r="E15" i="14" s="1"/>
  <c r="AH16" i="14"/>
  <c r="H13" i="16"/>
  <c r="H13" i="13"/>
  <c r="G12" i="14"/>
  <c r="AA12" i="14" s="1"/>
  <c r="M11" i="14"/>
  <c r="X11" i="14" s="1"/>
  <c r="L11" i="14"/>
  <c r="W11" i="14" s="1"/>
  <c r="M10" i="13"/>
  <c r="X10" i="13" s="1"/>
  <c r="L10" i="13"/>
  <c r="W10" i="13" s="1"/>
  <c r="G11" i="13"/>
  <c r="T10" i="13"/>
  <c r="P10" i="13"/>
  <c r="Q10" i="13"/>
  <c r="U10" i="13"/>
  <c r="R10" i="13"/>
  <c r="AA10" i="13"/>
  <c r="O10" i="13"/>
  <c r="Z10" i="13"/>
  <c r="S10" i="13"/>
  <c r="H13" i="15"/>
  <c r="AJ15" i="15"/>
  <c r="E15" i="15" s="1"/>
  <c r="AH16" i="15"/>
  <c r="S11" i="16"/>
  <c r="N14" i="15"/>
  <c r="J13" i="15"/>
  <c r="G11" i="15"/>
  <c r="M10" i="15"/>
  <c r="X10" i="15" s="1"/>
  <c r="L10" i="15"/>
  <c r="W10" i="15" s="1"/>
  <c r="O10" i="15"/>
  <c r="U10" i="15"/>
  <c r="Q10" i="15"/>
  <c r="P10" i="15"/>
  <c r="S10" i="15"/>
  <c r="R10" i="15"/>
  <c r="T10" i="15"/>
  <c r="AA10" i="15"/>
  <c r="Z10" i="15"/>
  <c r="N14" i="14"/>
  <c r="AH15" i="16"/>
  <c r="AJ14" i="16"/>
  <c r="E14" i="16" s="1"/>
  <c r="N13" i="16"/>
  <c r="N15" i="13"/>
  <c r="G12" i="16"/>
  <c r="M11" i="16"/>
  <c r="X11" i="16" s="1"/>
  <c r="L11" i="16"/>
  <c r="W11" i="16" s="1"/>
  <c r="J14" i="13"/>
  <c r="Q11" i="16"/>
  <c r="P11" i="16"/>
  <c r="J12" i="16"/>
  <c r="U11" i="16"/>
  <c r="T11" i="16"/>
  <c r="AJ16" i="13"/>
  <c r="E16" i="13" s="1"/>
  <c r="AH17" i="13"/>
  <c r="Q11" i="14"/>
  <c r="P11" i="14"/>
  <c r="J12" i="14"/>
  <c r="U11" i="14"/>
  <c r="T11" i="14"/>
  <c r="O11" i="14"/>
  <c r="H13" i="14"/>
  <c r="AJ15" i="9"/>
  <c r="E15" i="9" s="1"/>
  <c r="AH16" i="9"/>
  <c r="H14" i="9"/>
  <c r="N14" i="9"/>
  <c r="S11" i="10"/>
  <c r="AA11" i="10"/>
  <c r="Z11" i="10"/>
  <c r="H12" i="10"/>
  <c r="AA12" i="11"/>
  <c r="Z12" i="11"/>
  <c r="H13" i="11"/>
  <c r="S12" i="11"/>
  <c r="R12" i="11"/>
  <c r="U12" i="11"/>
  <c r="T12" i="11"/>
  <c r="Q12" i="11"/>
  <c r="P12" i="11"/>
  <c r="AJ15" i="11"/>
  <c r="E15" i="11" s="1"/>
  <c r="AH16" i="11"/>
  <c r="AJ15" i="12"/>
  <c r="E15" i="12" s="1"/>
  <c r="AH16" i="12"/>
  <c r="Q11" i="10"/>
  <c r="P11" i="10"/>
  <c r="J12" i="10"/>
  <c r="U11" i="10"/>
  <c r="T11" i="10"/>
  <c r="O11" i="10"/>
  <c r="N14" i="12"/>
  <c r="J15" i="11"/>
  <c r="N14" i="10"/>
  <c r="M11" i="10"/>
  <c r="X11" i="10" s="1"/>
  <c r="L11" i="10"/>
  <c r="W11" i="10" s="1"/>
  <c r="G12" i="10"/>
  <c r="AA12" i="12"/>
  <c r="Z12" i="12"/>
  <c r="H13" i="12"/>
  <c r="M12" i="12"/>
  <c r="X12" i="12" s="1"/>
  <c r="G13" i="12"/>
  <c r="L11" i="9"/>
  <c r="W11" i="9" s="1"/>
  <c r="G12" i="9"/>
  <c r="M11" i="9"/>
  <c r="X11" i="9" s="1"/>
  <c r="S11" i="9"/>
  <c r="Z11" i="9"/>
  <c r="AA11" i="9"/>
  <c r="N14" i="11"/>
  <c r="M12" i="11"/>
  <c r="X12" i="11" s="1"/>
  <c r="L12" i="11"/>
  <c r="W12" i="11" s="1"/>
  <c r="G13" i="11"/>
  <c r="J12" i="9"/>
  <c r="Q11" i="9"/>
  <c r="P11" i="9"/>
  <c r="U11" i="9"/>
  <c r="T11" i="9"/>
  <c r="O11" i="9"/>
  <c r="J12" i="12"/>
  <c r="L12" i="12" s="1"/>
  <c r="W12" i="12" s="1"/>
  <c r="P11" i="12"/>
  <c r="Q11" i="12"/>
  <c r="U11" i="12"/>
  <c r="T11" i="12"/>
  <c r="O11" i="12"/>
  <c r="AJ15" i="10"/>
  <c r="E15" i="10" s="1"/>
  <c r="AH16" i="10"/>
  <c r="J13" i="8"/>
  <c r="Q12" i="8"/>
  <c r="P12" i="8"/>
  <c r="U12" i="8"/>
  <c r="T12" i="8"/>
  <c r="O12" i="8"/>
  <c r="M12" i="8"/>
  <c r="X12" i="8" s="1"/>
  <c r="L12" i="8"/>
  <c r="W12" i="8" s="1"/>
  <c r="G13" i="8"/>
  <c r="AJ16" i="8"/>
  <c r="E16" i="8" s="1"/>
  <c r="AH17" i="8"/>
  <c r="AA12" i="8"/>
  <c r="Z12" i="8"/>
  <c r="H13" i="8"/>
  <c r="S12" i="8"/>
  <c r="R12" i="8"/>
  <c r="N15" i="8"/>
  <c r="AJ16" i="7"/>
  <c r="E16" i="7" s="1"/>
  <c r="AH17" i="7"/>
  <c r="H14" i="7"/>
  <c r="N15" i="7"/>
  <c r="J14" i="7"/>
  <c r="J14" i="6"/>
  <c r="U12" i="6"/>
  <c r="P12" i="6"/>
  <c r="AJ15" i="6"/>
  <c r="E15" i="6" s="1"/>
  <c r="AH16" i="6"/>
  <c r="S12" i="6"/>
  <c r="R12" i="6"/>
  <c r="AA12" i="6"/>
  <c r="Z12" i="6"/>
  <c r="H13" i="6"/>
  <c r="N14" i="6"/>
  <c r="M12" i="6"/>
  <c r="X12" i="6" s="1"/>
  <c r="L12" i="6"/>
  <c r="W12" i="6" s="1"/>
  <c r="G13" i="6"/>
  <c r="H13" i="4"/>
  <c r="AJ15" i="4"/>
  <c r="E15" i="4" s="1"/>
  <c r="AH16" i="4"/>
  <c r="M10" i="4"/>
  <c r="X10" i="4" s="1"/>
  <c r="L10" i="4"/>
  <c r="W10" i="4" s="1"/>
  <c r="G11" i="4"/>
  <c r="S10" i="4"/>
  <c r="R10" i="4"/>
  <c r="Q10" i="4"/>
  <c r="AA10" i="4"/>
  <c r="Z10" i="4"/>
  <c r="U10" i="4"/>
  <c r="O10" i="4"/>
  <c r="P10" i="4"/>
  <c r="T10" i="4"/>
  <c r="N14" i="4"/>
  <c r="J15" i="4"/>
  <c r="C12" i="1"/>
  <c r="R12" i="1" s="1"/>
  <c r="H13" i="1"/>
  <c r="D12" i="1"/>
  <c r="S12" i="1" s="1"/>
  <c r="M56" i="27" l="1"/>
  <c r="X56" i="27" s="1"/>
  <c r="Z56" i="27"/>
  <c r="Q56" i="27"/>
  <c r="G57" i="27"/>
  <c r="P56" i="27"/>
  <c r="U56" i="27"/>
  <c r="M36" i="27"/>
  <c r="X36" i="27" s="1"/>
  <c r="Z36" i="27"/>
  <c r="U36" i="27"/>
  <c r="Q36" i="27"/>
  <c r="G37" i="27"/>
  <c r="P36" i="27"/>
  <c r="N18" i="27"/>
  <c r="Q16" i="27"/>
  <c r="G17" i="27"/>
  <c r="P16" i="27"/>
  <c r="AA16" i="27"/>
  <c r="Z16" i="27"/>
  <c r="M16" i="27"/>
  <c r="X16" i="27" s="1"/>
  <c r="U16" i="27"/>
  <c r="T16" i="27"/>
  <c r="O16" i="27"/>
  <c r="M56" i="28"/>
  <c r="X56" i="28" s="1"/>
  <c r="Q56" i="28"/>
  <c r="G57" i="28"/>
  <c r="P56" i="28"/>
  <c r="Z56" i="28"/>
  <c r="U56" i="28"/>
  <c r="M36" i="28"/>
  <c r="X36" i="28" s="1"/>
  <c r="Z36" i="28"/>
  <c r="U36" i="28"/>
  <c r="Q36" i="28"/>
  <c r="G37" i="28"/>
  <c r="P36" i="28"/>
  <c r="N17" i="28"/>
  <c r="O17" i="28" s="1"/>
  <c r="M16" i="28"/>
  <c r="X16" i="28" s="1"/>
  <c r="U16" i="28"/>
  <c r="Q16" i="28"/>
  <c r="G17" i="28"/>
  <c r="P16" i="28"/>
  <c r="AA16" i="28"/>
  <c r="Z16" i="28"/>
  <c r="T16" i="28"/>
  <c r="M56" i="26"/>
  <c r="X56" i="26" s="1"/>
  <c r="P56" i="26"/>
  <c r="Q56" i="26"/>
  <c r="G57" i="26"/>
  <c r="Z56" i="26"/>
  <c r="U56" i="26"/>
  <c r="AA15" i="26"/>
  <c r="M36" i="26"/>
  <c r="X36" i="26" s="1"/>
  <c r="G37" i="26"/>
  <c r="P36" i="26"/>
  <c r="Z36" i="26"/>
  <c r="Q36" i="26"/>
  <c r="U36" i="26"/>
  <c r="M16" i="26"/>
  <c r="X16" i="26" s="1"/>
  <c r="Q16" i="26"/>
  <c r="G17" i="26"/>
  <c r="P16" i="26"/>
  <c r="Z16" i="26"/>
  <c r="U16" i="26"/>
  <c r="N16" i="26"/>
  <c r="O16" i="26" s="1"/>
  <c r="T16" i="26"/>
  <c r="M57" i="25"/>
  <c r="X57" i="25" s="1"/>
  <c r="G58" i="25"/>
  <c r="P57" i="25"/>
  <c r="Z57" i="25"/>
  <c r="Q57" i="25"/>
  <c r="U57" i="25"/>
  <c r="M36" i="25"/>
  <c r="X36" i="25" s="1"/>
  <c r="Q36" i="25"/>
  <c r="G37" i="25"/>
  <c r="P36" i="25"/>
  <c r="Z36" i="25"/>
  <c r="U36" i="25"/>
  <c r="AA15" i="25"/>
  <c r="N16" i="25"/>
  <c r="O16" i="25" s="1"/>
  <c r="T16" i="25"/>
  <c r="M16" i="25"/>
  <c r="X16" i="25" s="1"/>
  <c r="Q16" i="25"/>
  <c r="G17" i="25"/>
  <c r="P16" i="25"/>
  <c r="Z16" i="25"/>
  <c r="U16" i="25"/>
  <c r="M57" i="24"/>
  <c r="X57" i="24" s="1"/>
  <c r="Q57" i="24"/>
  <c r="G58" i="24"/>
  <c r="P57" i="24"/>
  <c r="Z57" i="24"/>
  <c r="U57" i="24"/>
  <c r="M36" i="24"/>
  <c r="X36" i="24" s="1"/>
  <c r="Z36" i="24"/>
  <c r="Q36" i="24"/>
  <c r="G37" i="24"/>
  <c r="P36" i="24"/>
  <c r="U36" i="24"/>
  <c r="N17" i="24"/>
  <c r="O17" i="24" s="1"/>
  <c r="M16" i="24"/>
  <c r="X16" i="24" s="1"/>
  <c r="Q16" i="24"/>
  <c r="G17" i="24"/>
  <c r="P16" i="24"/>
  <c r="U16" i="24"/>
  <c r="AA16" i="24"/>
  <c r="Z16" i="24"/>
  <c r="M56" i="23"/>
  <c r="X56" i="23" s="1"/>
  <c r="Q56" i="23"/>
  <c r="G57" i="23"/>
  <c r="P56" i="23"/>
  <c r="U56" i="23"/>
  <c r="Z56" i="23"/>
  <c r="N17" i="23"/>
  <c r="M16" i="23"/>
  <c r="X16" i="23" s="1"/>
  <c r="AA16" i="23"/>
  <c r="Z16" i="23"/>
  <c r="Q16" i="23"/>
  <c r="G17" i="23"/>
  <c r="P16" i="23"/>
  <c r="U16" i="23"/>
  <c r="T16" i="23"/>
  <c r="O16" i="23"/>
  <c r="M56" i="22"/>
  <c r="X56" i="22" s="1"/>
  <c r="Z56" i="22"/>
  <c r="P56" i="22"/>
  <c r="G57" i="22"/>
  <c r="Q56" i="22"/>
  <c r="U56" i="22"/>
  <c r="M36" i="22"/>
  <c r="X36" i="22" s="1"/>
  <c r="Q36" i="22"/>
  <c r="G37" i="22"/>
  <c r="P36" i="22"/>
  <c r="Z36" i="22"/>
  <c r="U36" i="22"/>
  <c r="N17" i="22"/>
  <c r="M16" i="22"/>
  <c r="X16" i="22" s="1"/>
  <c r="Z16" i="22"/>
  <c r="AA16" i="22"/>
  <c r="Q16" i="22"/>
  <c r="G17" i="22"/>
  <c r="P16" i="22"/>
  <c r="U16" i="22"/>
  <c r="T16" i="22"/>
  <c r="O16" i="22"/>
  <c r="M56" i="21"/>
  <c r="X56" i="21" s="1"/>
  <c r="Z56" i="21"/>
  <c r="U56" i="21"/>
  <c r="Q56" i="21"/>
  <c r="G57" i="21"/>
  <c r="P56" i="21"/>
  <c r="M36" i="21"/>
  <c r="X36" i="21" s="1"/>
  <c r="G37" i="21"/>
  <c r="P36" i="21"/>
  <c r="Z36" i="21"/>
  <c r="Q36" i="21"/>
  <c r="U36" i="21"/>
  <c r="M16" i="21"/>
  <c r="X16" i="21" s="1"/>
  <c r="Q16" i="21"/>
  <c r="G17" i="21"/>
  <c r="P16" i="21"/>
  <c r="AA16" i="21"/>
  <c r="Z16" i="21"/>
  <c r="U16" i="21"/>
  <c r="N17" i="21"/>
  <c r="O17" i="21" s="1"/>
  <c r="T17" i="21"/>
  <c r="AJ18" i="28"/>
  <c r="E18" i="28" s="1"/>
  <c r="AH19" i="28"/>
  <c r="J15" i="28"/>
  <c r="L14" i="28"/>
  <c r="W14" i="28" s="1"/>
  <c r="C16" i="28"/>
  <c r="R16" i="28" s="1"/>
  <c r="H17" i="28"/>
  <c r="D16" i="28"/>
  <c r="S16" i="28" s="1"/>
  <c r="J15" i="26"/>
  <c r="L14" i="26"/>
  <c r="W14" i="26" s="1"/>
  <c r="AJ18" i="24"/>
  <c r="E18" i="24" s="1"/>
  <c r="AH19" i="24"/>
  <c r="H16" i="26"/>
  <c r="D15" i="26"/>
  <c r="S15" i="26" s="1"/>
  <c r="C15" i="26"/>
  <c r="R15" i="26" s="1"/>
  <c r="H16" i="24"/>
  <c r="D15" i="24"/>
  <c r="S15" i="24" s="1"/>
  <c r="C15" i="24"/>
  <c r="R15" i="24" s="1"/>
  <c r="J16" i="25"/>
  <c r="L15" i="25"/>
  <c r="W15" i="25" s="1"/>
  <c r="D17" i="25"/>
  <c r="S17" i="25" s="1"/>
  <c r="C17" i="25"/>
  <c r="R17" i="25" s="1"/>
  <c r="H18" i="25"/>
  <c r="AJ17" i="25"/>
  <c r="E17" i="25" s="1"/>
  <c r="AH18" i="25"/>
  <c r="J17" i="27"/>
  <c r="AH20" i="27"/>
  <c r="AJ19" i="27"/>
  <c r="E19" i="27" s="1"/>
  <c r="J15" i="24"/>
  <c r="L14" i="24"/>
  <c r="W14" i="24" s="1"/>
  <c r="AJ17" i="26"/>
  <c r="E17" i="26" s="1"/>
  <c r="AH18" i="26"/>
  <c r="D15" i="27"/>
  <c r="S15" i="27" s="1"/>
  <c r="C15" i="27"/>
  <c r="R15" i="27" s="1"/>
  <c r="H16" i="27"/>
  <c r="L16" i="27" s="1"/>
  <c r="W16" i="27" s="1"/>
  <c r="AJ18" i="23"/>
  <c r="E18" i="23" s="1"/>
  <c r="AH19" i="23"/>
  <c r="J15" i="23"/>
  <c r="L14" i="23"/>
  <c r="W14" i="23" s="1"/>
  <c r="H15" i="23"/>
  <c r="D14" i="23"/>
  <c r="S14" i="23" s="1"/>
  <c r="C14" i="23"/>
  <c r="R14" i="23" s="1"/>
  <c r="D16" i="22"/>
  <c r="S16" i="22" s="1"/>
  <c r="C16" i="22"/>
  <c r="R16" i="22" s="1"/>
  <c r="H17" i="22"/>
  <c r="AJ18" i="22"/>
  <c r="E18" i="22" s="1"/>
  <c r="AH19" i="22"/>
  <c r="J15" i="22"/>
  <c r="L14" i="22"/>
  <c r="W14" i="22" s="1"/>
  <c r="J15" i="21"/>
  <c r="L14" i="21"/>
  <c r="W14" i="21" s="1"/>
  <c r="AJ18" i="21"/>
  <c r="E18" i="21" s="1"/>
  <c r="AH19" i="21"/>
  <c r="H16" i="21"/>
  <c r="D15" i="21"/>
  <c r="S15" i="21" s="1"/>
  <c r="C15" i="21"/>
  <c r="R15" i="21" s="1"/>
  <c r="J15" i="20"/>
  <c r="T14" i="20"/>
  <c r="O14" i="20"/>
  <c r="AH19" i="20"/>
  <c r="AJ18" i="20"/>
  <c r="E18" i="20" s="1"/>
  <c r="N17" i="20"/>
  <c r="M13" i="20"/>
  <c r="X13" i="20" s="1"/>
  <c r="L13" i="20"/>
  <c r="W13" i="20" s="1"/>
  <c r="G14" i="20"/>
  <c r="P14" i="20" s="1"/>
  <c r="Z13" i="20"/>
  <c r="D13" i="20"/>
  <c r="S13" i="20" s="1"/>
  <c r="C13" i="20"/>
  <c r="R13" i="20" s="1"/>
  <c r="AA13" i="20"/>
  <c r="H17" i="20"/>
  <c r="O13" i="20"/>
  <c r="T13" i="20"/>
  <c r="Q13" i="20"/>
  <c r="U13" i="20"/>
  <c r="J14" i="19"/>
  <c r="AH20" i="19"/>
  <c r="AJ19" i="19"/>
  <c r="E19" i="19" s="1"/>
  <c r="N18" i="19"/>
  <c r="H14" i="19"/>
  <c r="G13" i="19"/>
  <c r="O13" i="19" s="1"/>
  <c r="M12" i="19"/>
  <c r="X12" i="19" s="1"/>
  <c r="L12" i="19"/>
  <c r="W12" i="19" s="1"/>
  <c r="Z12" i="14"/>
  <c r="AA11" i="7"/>
  <c r="D11" i="7"/>
  <c r="S11" i="7" s="1"/>
  <c r="C11" i="7"/>
  <c r="R11" i="7" s="1"/>
  <c r="M11" i="7"/>
  <c r="X11" i="7" s="1"/>
  <c r="Z11" i="7"/>
  <c r="L11" i="7"/>
  <c r="W11" i="7" s="1"/>
  <c r="T11" i="7"/>
  <c r="G12" i="7"/>
  <c r="O11" i="7"/>
  <c r="Q11" i="7"/>
  <c r="U11" i="7"/>
  <c r="P11" i="7"/>
  <c r="D13" i="18"/>
  <c r="C13" i="18"/>
  <c r="D11" i="17"/>
  <c r="C11" i="17"/>
  <c r="D12" i="16"/>
  <c r="S12" i="16" s="1"/>
  <c r="C12" i="16"/>
  <c r="C11" i="15"/>
  <c r="D11" i="15"/>
  <c r="C12" i="14"/>
  <c r="R12" i="14" s="1"/>
  <c r="D12" i="14"/>
  <c r="S12" i="14" s="1"/>
  <c r="C11" i="13"/>
  <c r="R11" i="13" s="1"/>
  <c r="D11" i="13"/>
  <c r="S11" i="13" s="1"/>
  <c r="D13" i="12"/>
  <c r="C13" i="12"/>
  <c r="O13" i="11"/>
  <c r="D13" i="11"/>
  <c r="C13" i="11"/>
  <c r="C12" i="10"/>
  <c r="D12" i="10"/>
  <c r="C12" i="9"/>
  <c r="D12" i="9"/>
  <c r="D13" i="8"/>
  <c r="C13" i="8"/>
  <c r="D13" i="6"/>
  <c r="C13" i="6"/>
  <c r="C11" i="4"/>
  <c r="D11" i="4"/>
  <c r="G14" i="1"/>
  <c r="Q13" i="1"/>
  <c r="Z13" i="1"/>
  <c r="P13" i="1"/>
  <c r="U13" i="1"/>
  <c r="M13" i="1"/>
  <c r="X13" i="1" s="1"/>
  <c r="L13" i="1"/>
  <c r="W13" i="1" s="1"/>
  <c r="AA13" i="1"/>
  <c r="T13" i="1"/>
  <c r="O13" i="1"/>
  <c r="O12" i="16"/>
  <c r="Q13" i="6"/>
  <c r="S13" i="18"/>
  <c r="R13" i="18"/>
  <c r="Z13" i="18"/>
  <c r="H14" i="18"/>
  <c r="AA13" i="18"/>
  <c r="AJ16" i="18"/>
  <c r="E16" i="18" s="1"/>
  <c r="AH17" i="18"/>
  <c r="N15" i="18"/>
  <c r="Q13" i="18"/>
  <c r="P13" i="18"/>
  <c r="J14" i="18"/>
  <c r="U13" i="18"/>
  <c r="T13" i="18"/>
  <c r="O13" i="18"/>
  <c r="L13" i="18"/>
  <c r="W13" i="18" s="1"/>
  <c r="G14" i="18"/>
  <c r="M13" i="18"/>
  <c r="X13" i="18" s="1"/>
  <c r="H14" i="17"/>
  <c r="G12" i="17"/>
  <c r="L11" i="17"/>
  <c r="W11" i="17" s="1"/>
  <c r="M11" i="17"/>
  <c r="X11" i="17" s="1"/>
  <c r="AA11" i="17"/>
  <c r="Z11" i="17"/>
  <c r="S11" i="17"/>
  <c r="R11" i="17"/>
  <c r="T11" i="17"/>
  <c r="AJ17" i="17"/>
  <c r="E17" i="17" s="1"/>
  <c r="AH18" i="17"/>
  <c r="U11" i="17"/>
  <c r="N16" i="17"/>
  <c r="P11" i="17"/>
  <c r="Q12" i="17"/>
  <c r="P12" i="17"/>
  <c r="J13" i="17"/>
  <c r="Q11" i="17"/>
  <c r="J14" i="15"/>
  <c r="M11" i="13"/>
  <c r="X11" i="13" s="1"/>
  <c r="L11" i="13"/>
  <c r="W11" i="13" s="1"/>
  <c r="G12" i="13"/>
  <c r="U11" i="13"/>
  <c r="P11" i="13"/>
  <c r="O11" i="13"/>
  <c r="Q11" i="13"/>
  <c r="AA11" i="13"/>
  <c r="Z11" i="13"/>
  <c r="T11" i="13"/>
  <c r="Z12" i="16"/>
  <c r="H14" i="13"/>
  <c r="AA12" i="16"/>
  <c r="Q12" i="14"/>
  <c r="J13" i="14"/>
  <c r="P12" i="14"/>
  <c r="U12" i="14"/>
  <c r="T12" i="14"/>
  <c r="O12" i="14"/>
  <c r="J15" i="13"/>
  <c r="N14" i="16"/>
  <c r="G13" i="14"/>
  <c r="Z13" i="14" s="1"/>
  <c r="M12" i="14"/>
  <c r="X12" i="14" s="1"/>
  <c r="L12" i="14"/>
  <c r="W12" i="14" s="1"/>
  <c r="R12" i="16"/>
  <c r="AJ17" i="13"/>
  <c r="E17" i="13" s="1"/>
  <c r="AH18" i="13"/>
  <c r="AJ15" i="16"/>
  <c r="E15" i="16" s="1"/>
  <c r="AH16" i="16"/>
  <c r="H14" i="16"/>
  <c r="G13" i="16"/>
  <c r="M12" i="16"/>
  <c r="X12" i="16" s="1"/>
  <c r="L12" i="16"/>
  <c r="W12" i="16" s="1"/>
  <c r="AH17" i="15"/>
  <c r="AJ16" i="15"/>
  <c r="E16" i="15" s="1"/>
  <c r="AJ16" i="14"/>
  <c r="E16" i="14" s="1"/>
  <c r="AH17" i="14"/>
  <c r="N16" i="13"/>
  <c r="M11" i="15"/>
  <c r="X11" i="15" s="1"/>
  <c r="L11" i="15"/>
  <c r="W11" i="15" s="1"/>
  <c r="G12" i="15"/>
  <c r="O11" i="15"/>
  <c r="P11" i="15"/>
  <c r="Q11" i="15"/>
  <c r="U11" i="15"/>
  <c r="S11" i="15"/>
  <c r="T11" i="15"/>
  <c r="R11" i="15"/>
  <c r="Z11" i="15"/>
  <c r="AA11" i="15"/>
  <c r="N15" i="15"/>
  <c r="N15" i="14"/>
  <c r="H14" i="14"/>
  <c r="Q12" i="16"/>
  <c r="P12" i="16"/>
  <c r="J13" i="16"/>
  <c r="U12" i="16"/>
  <c r="T12" i="16"/>
  <c r="H14" i="15"/>
  <c r="L12" i="10"/>
  <c r="W12" i="10" s="1"/>
  <c r="G13" i="10"/>
  <c r="M12" i="10"/>
  <c r="X12" i="10" s="1"/>
  <c r="AH17" i="10"/>
  <c r="AJ16" i="10"/>
  <c r="E16" i="10" s="1"/>
  <c r="G13" i="9"/>
  <c r="L12" i="9"/>
  <c r="W12" i="9" s="1"/>
  <c r="M12" i="9"/>
  <c r="X12" i="9" s="1"/>
  <c r="S12" i="9"/>
  <c r="R12" i="9"/>
  <c r="AA12" i="9"/>
  <c r="Z12" i="9"/>
  <c r="J13" i="9"/>
  <c r="Q12" i="9"/>
  <c r="P12" i="9"/>
  <c r="U12" i="9"/>
  <c r="T12" i="9"/>
  <c r="O12" i="9"/>
  <c r="Q12" i="10"/>
  <c r="P12" i="10"/>
  <c r="J13" i="10"/>
  <c r="U12" i="10"/>
  <c r="T12" i="10"/>
  <c r="O12" i="10"/>
  <c r="L13" i="11"/>
  <c r="W13" i="11" s="1"/>
  <c r="G14" i="11"/>
  <c r="M13" i="11"/>
  <c r="X13" i="11" s="1"/>
  <c r="G14" i="12"/>
  <c r="M13" i="12"/>
  <c r="X13" i="12" s="1"/>
  <c r="Z13" i="11"/>
  <c r="H14" i="11"/>
  <c r="S13" i="11"/>
  <c r="R13" i="11"/>
  <c r="AA13" i="11"/>
  <c r="Q13" i="11"/>
  <c r="P13" i="11"/>
  <c r="T13" i="11"/>
  <c r="U13" i="11"/>
  <c r="AJ16" i="12"/>
  <c r="E16" i="12" s="1"/>
  <c r="AH17" i="12"/>
  <c r="O14" i="11"/>
  <c r="R12" i="12"/>
  <c r="N15" i="12"/>
  <c r="S12" i="10"/>
  <c r="R12" i="10"/>
  <c r="Z12" i="10"/>
  <c r="H13" i="10"/>
  <c r="AA12" i="10"/>
  <c r="N15" i="10"/>
  <c r="S12" i="12"/>
  <c r="AJ16" i="11"/>
  <c r="E16" i="11" s="1"/>
  <c r="AH17" i="11"/>
  <c r="H15" i="9"/>
  <c r="J13" i="12"/>
  <c r="L13" i="12" s="1"/>
  <c r="W13" i="12" s="1"/>
  <c r="Q12" i="12"/>
  <c r="P12" i="12"/>
  <c r="U12" i="12"/>
  <c r="T12" i="12"/>
  <c r="O12" i="12"/>
  <c r="Z13" i="12"/>
  <c r="H14" i="12"/>
  <c r="AA13" i="12"/>
  <c r="J16" i="11"/>
  <c r="N15" i="11"/>
  <c r="AH17" i="9"/>
  <c r="AJ16" i="9"/>
  <c r="E16" i="9" s="1"/>
  <c r="N15" i="9"/>
  <c r="N16" i="8"/>
  <c r="AJ17" i="8"/>
  <c r="E17" i="8" s="1"/>
  <c r="AH18" i="8"/>
  <c r="L13" i="8"/>
  <c r="W13" i="8" s="1"/>
  <c r="G14" i="8"/>
  <c r="M13" i="8"/>
  <c r="X13" i="8" s="1"/>
  <c r="Z13" i="8"/>
  <c r="H14" i="8"/>
  <c r="R13" i="8"/>
  <c r="AA13" i="8"/>
  <c r="S13" i="8"/>
  <c r="J14" i="8"/>
  <c r="P13" i="8"/>
  <c r="Q13" i="8"/>
  <c r="U13" i="8"/>
  <c r="T13" i="8"/>
  <c r="O13" i="8"/>
  <c r="H15" i="7"/>
  <c r="J15" i="7"/>
  <c r="AH18" i="7"/>
  <c r="AJ17" i="7"/>
  <c r="E17" i="7" s="1"/>
  <c r="N16" i="7"/>
  <c r="AJ16" i="6"/>
  <c r="E16" i="6" s="1"/>
  <c r="AH17" i="6"/>
  <c r="N15" i="6"/>
  <c r="L13" i="6"/>
  <c r="W13" i="6" s="1"/>
  <c r="G14" i="6"/>
  <c r="M13" i="6"/>
  <c r="X13" i="6" s="1"/>
  <c r="T13" i="6"/>
  <c r="O14" i="6"/>
  <c r="U13" i="6"/>
  <c r="O13" i="6"/>
  <c r="R13" i="6"/>
  <c r="Z13" i="6"/>
  <c r="H14" i="6"/>
  <c r="S13" i="6"/>
  <c r="AA13" i="6"/>
  <c r="Q14" i="6"/>
  <c r="J15" i="6"/>
  <c r="P14" i="6"/>
  <c r="U14" i="6"/>
  <c r="P13" i="6"/>
  <c r="N15" i="4"/>
  <c r="AJ16" i="4"/>
  <c r="E16" i="4" s="1"/>
  <c r="AH17" i="4"/>
  <c r="J16" i="4"/>
  <c r="M11" i="4"/>
  <c r="X11" i="4" s="1"/>
  <c r="L11" i="4"/>
  <c r="W11" i="4" s="1"/>
  <c r="G12" i="4"/>
  <c r="O11" i="4"/>
  <c r="P11" i="4"/>
  <c r="U11" i="4"/>
  <c r="T11" i="4"/>
  <c r="S11" i="4"/>
  <c r="AA11" i="4"/>
  <c r="Z11" i="4"/>
  <c r="Q11" i="4"/>
  <c r="R11" i="4"/>
  <c r="H14" i="4"/>
  <c r="C13" i="1"/>
  <c r="R13" i="1" s="1"/>
  <c r="H14" i="1"/>
  <c r="D13" i="1"/>
  <c r="S13" i="1" s="1"/>
  <c r="M57" i="27" l="1"/>
  <c r="X57" i="27" s="1"/>
  <c r="Q57" i="27"/>
  <c r="G58" i="27"/>
  <c r="P57" i="27"/>
  <c r="Z57" i="27"/>
  <c r="U57" i="27"/>
  <c r="M37" i="27"/>
  <c r="X37" i="27" s="1"/>
  <c r="Z37" i="27"/>
  <c r="P37" i="27"/>
  <c r="G38" i="27"/>
  <c r="Q37" i="27"/>
  <c r="U37" i="27"/>
  <c r="M17" i="27"/>
  <c r="X17" i="27" s="1"/>
  <c r="Q17" i="27"/>
  <c r="U17" i="27"/>
  <c r="G18" i="27"/>
  <c r="P17" i="27"/>
  <c r="AA17" i="27"/>
  <c r="Z17" i="27"/>
  <c r="T17" i="27"/>
  <c r="O18" i="27"/>
  <c r="N19" i="27"/>
  <c r="O17" i="27"/>
  <c r="M57" i="28"/>
  <c r="X57" i="28" s="1"/>
  <c r="Q57" i="28"/>
  <c r="G58" i="28"/>
  <c r="P57" i="28"/>
  <c r="Z57" i="28"/>
  <c r="U57" i="28"/>
  <c r="M37" i="28"/>
  <c r="X37" i="28" s="1"/>
  <c r="Z37" i="28"/>
  <c r="G38" i="28"/>
  <c r="P37" i="28"/>
  <c r="Q37" i="28"/>
  <c r="U37" i="28"/>
  <c r="N18" i="28"/>
  <c r="O18" i="28" s="1"/>
  <c r="Q17" i="28"/>
  <c r="G18" i="28"/>
  <c r="P17" i="28"/>
  <c r="AA17" i="28"/>
  <c r="Z17" i="28"/>
  <c r="M17" i="28"/>
  <c r="X17" i="28" s="1"/>
  <c r="U17" i="28"/>
  <c r="T17" i="28"/>
  <c r="M57" i="26"/>
  <c r="X57" i="26" s="1"/>
  <c r="U57" i="26"/>
  <c r="Q57" i="26"/>
  <c r="G58" i="26"/>
  <c r="P57" i="26"/>
  <c r="Z57" i="26"/>
  <c r="M37" i="26"/>
  <c r="X37" i="26" s="1"/>
  <c r="Z37" i="26"/>
  <c r="Q37" i="26"/>
  <c r="G38" i="26"/>
  <c r="P37" i="26"/>
  <c r="U37" i="26"/>
  <c r="N17" i="26"/>
  <c r="O17" i="26" s="1"/>
  <c r="T17" i="26"/>
  <c r="AA16" i="26"/>
  <c r="M17" i="26"/>
  <c r="X17" i="26" s="1"/>
  <c r="Q17" i="26"/>
  <c r="G18" i="26"/>
  <c r="P17" i="26"/>
  <c r="Z17" i="26"/>
  <c r="U17" i="26"/>
  <c r="M58" i="25"/>
  <c r="X58" i="25" s="1"/>
  <c r="P58" i="25"/>
  <c r="Z58" i="25"/>
  <c r="Q58" i="25"/>
  <c r="G59" i="25"/>
  <c r="U58" i="25"/>
  <c r="Q37" i="25"/>
  <c r="G38" i="25"/>
  <c r="P37" i="25"/>
  <c r="M37" i="25"/>
  <c r="X37" i="25" s="1"/>
  <c r="Z37" i="25"/>
  <c r="U37" i="25"/>
  <c r="AA16" i="25"/>
  <c r="M17" i="25"/>
  <c r="X17" i="25" s="1"/>
  <c r="G18" i="25"/>
  <c r="P17" i="25"/>
  <c r="Z17" i="25"/>
  <c r="U17" i="25"/>
  <c r="Q17" i="25"/>
  <c r="N17" i="25"/>
  <c r="O17" i="25" s="1"/>
  <c r="T17" i="25"/>
  <c r="M58" i="24"/>
  <c r="X58" i="24" s="1"/>
  <c r="Q58" i="24"/>
  <c r="G59" i="24"/>
  <c r="P58" i="24"/>
  <c r="Z58" i="24"/>
  <c r="U58" i="24"/>
  <c r="M37" i="24"/>
  <c r="X37" i="24" s="1"/>
  <c r="Z37" i="24"/>
  <c r="G38" i="24"/>
  <c r="P37" i="24"/>
  <c r="Q37" i="24"/>
  <c r="U37" i="24"/>
  <c r="N18" i="24"/>
  <c r="M17" i="24"/>
  <c r="X17" i="24" s="1"/>
  <c r="Q17" i="24"/>
  <c r="G18" i="24"/>
  <c r="P17" i="24"/>
  <c r="AA17" i="24"/>
  <c r="Z17" i="24"/>
  <c r="U17" i="24"/>
  <c r="T17" i="24"/>
  <c r="M57" i="23"/>
  <c r="X57" i="23" s="1"/>
  <c r="Z57" i="23"/>
  <c r="Q57" i="23"/>
  <c r="G58" i="23"/>
  <c r="P57" i="23"/>
  <c r="U57" i="23"/>
  <c r="M17" i="23"/>
  <c r="X17" i="23" s="1"/>
  <c r="Z17" i="23"/>
  <c r="P17" i="23"/>
  <c r="G18" i="23"/>
  <c r="Q17" i="23"/>
  <c r="AA17" i="23"/>
  <c r="U17" i="23"/>
  <c r="N18" i="23"/>
  <c r="O18" i="23" s="1"/>
  <c r="T18" i="23"/>
  <c r="T17" i="23"/>
  <c r="O17" i="23"/>
  <c r="M57" i="22"/>
  <c r="X57" i="22" s="1"/>
  <c r="Q57" i="22"/>
  <c r="G58" i="22"/>
  <c r="P57" i="22"/>
  <c r="Z57" i="22"/>
  <c r="U57" i="22"/>
  <c r="M37" i="22"/>
  <c r="X37" i="22" s="1"/>
  <c r="Z37" i="22"/>
  <c r="U37" i="22"/>
  <c r="Q37" i="22"/>
  <c r="G38" i="22"/>
  <c r="P37" i="22"/>
  <c r="M17" i="22"/>
  <c r="X17" i="22" s="1"/>
  <c r="Q17" i="22"/>
  <c r="G18" i="22"/>
  <c r="P17" i="22"/>
  <c r="U17" i="22"/>
  <c r="AA17" i="22"/>
  <c r="Z17" i="22"/>
  <c r="N18" i="22"/>
  <c r="O18" i="22" s="1"/>
  <c r="T18" i="22"/>
  <c r="T17" i="22"/>
  <c r="O17" i="22"/>
  <c r="M57" i="21"/>
  <c r="X57" i="21" s="1"/>
  <c r="Q57" i="21"/>
  <c r="G58" i="21"/>
  <c r="P57" i="21"/>
  <c r="Z57" i="21"/>
  <c r="U57" i="21"/>
  <c r="Z37" i="21"/>
  <c r="M37" i="21"/>
  <c r="X37" i="21" s="1"/>
  <c r="Q37" i="21"/>
  <c r="G38" i="21"/>
  <c r="P37" i="21"/>
  <c r="U37" i="21"/>
  <c r="N18" i="21"/>
  <c r="O18" i="21" s="1"/>
  <c r="Q17" i="21"/>
  <c r="G18" i="21"/>
  <c r="P17" i="21"/>
  <c r="M17" i="21"/>
  <c r="X17" i="21" s="1"/>
  <c r="AA17" i="21"/>
  <c r="Z17" i="21"/>
  <c r="U17" i="21"/>
  <c r="D17" i="28"/>
  <c r="S17" i="28" s="1"/>
  <c r="H18" i="28"/>
  <c r="C17" i="28"/>
  <c r="R17" i="28" s="1"/>
  <c r="J16" i="28"/>
  <c r="L15" i="28"/>
  <c r="W15" i="28" s="1"/>
  <c r="AH20" i="28"/>
  <c r="AJ19" i="28"/>
  <c r="E19" i="28" s="1"/>
  <c r="J17" i="25"/>
  <c r="L16" i="25"/>
  <c r="W16" i="25" s="1"/>
  <c r="L15" i="24"/>
  <c r="W15" i="24" s="1"/>
  <c r="J16" i="24"/>
  <c r="H17" i="24"/>
  <c r="D16" i="24"/>
  <c r="S16" i="24" s="1"/>
  <c r="C16" i="24"/>
  <c r="R16" i="24" s="1"/>
  <c r="AH21" i="27"/>
  <c r="AJ20" i="27"/>
  <c r="E20" i="27" s="1"/>
  <c r="J18" i="27"/>
  <c r="AJ18" i="25"/>
  <c r="E18" i="25" s="1"/>
  <c r="AH19" i="25"/>
  <c r="H17" i="26"/>
  <c r="D16" i="26"/>
  <c r="S16" i="26" s="1"/>
  <c r="C16" i="26"/>
  <c r="R16" i="26" s="1"/>
  <c r="C16" i="27"/>
  <c r="R16" i="27" s="1"/>
  <c r="D16" i="27"/>
  <c r="S16" i="27" s="1"/>
  <c r="H17" i="27"/>
  <c r="L17" i="27" s="1"/>
  <c r="W17" i="27" s="1"/>
  <c r="AJ19" i="24"/>
  <c r="E19" i="24" s="1"/>
  <c r="AH20" i="24"/>
  <c r="D18" i="25"/>
  <c r="S18" i="25" s="1"/>
  <c r="C18" i="25"/>
  <c r="R18" i="25" s="1"/>
  <c r="H19" i="25"/>
  <c r="AJ18" i="26"/>
  <c r="E18" i="26" s="1"/>
  <c r="AH19" i="26"/>
  <c r="J16" i="26"/>
  <c r="L15" i="26"/>
  <c r="W15" i="26" s="1"/>
  <c r="AH20" i="22"/>
  <c r="AJ19" i="22"/>
  <c r="E19" i="22" s="1"/>
  <c r="D17" i="22"/>
  <c r="S17" i="22" s="1"/>
  <c r="C17" i="22"/>
  <c r="R17" i="22" s="1"/>
  <c r="H18" i="22"/>
  <c r="D15" i="23"/>
  <c r="S15" i="23" s="1"/>
  <c r="C15" i="23"/>
  <c r="R15" i="23" s="1"/>
  <c r="H16" i="23"/>
  <c r="J16" i="23"/>
  <c r="L15" i="23"/>
  <c r="W15" i="23" s="1"/>
  <c r="AH20" i="23"/>
  <c r="AJ19" i="23"/>
  <c r="E19" i="23" s="1"/>
  <c r="J16" i="22"/>
  <c r="L15" i="22"/>
  <c r="W15" i="22" s="1"/>
  <c r="D16" i="21"/>
  <c r="S16" i="21" s="1"/>
  <c r="C16" i="21"/>
  <c r="R16" i="21" s="1"/>
  <c r="H17" i="21"/>
  <c r="AH20" i="21"/>
  <c r="AJ19" i="21"/>
  <c r="E19" i="21" s="1"/>
  <c r="J16" i="21"/>
  <c r="L15" i="21"/>
  <c r="W15" i="21" s="1"/>
  <c r="H18" i="20"/>
  <c r="N18" i="20"/>
  <c r="AJ19" i="20"/>
  <c r="E19" i="20" s="1"/>
  <c r="AH20" i="20"/>
  <c r="J16" i="20"/>
  <c r="M14" i="20"/>
  <c r="X14" i="20" s="1"/>
  <c r="L14" i="20"/>
  <c r="W14" i="20" s="1"/>
  <c r="G15" i="20"/>
  <c r="Q15" i="20" s="1"/>
  <c r="AA14" i="20"/>
  <c r="D14" i="20"/>
  <c r="S14" i="20" s="1"/>
  <c r="Z14" i="20"/>
  <c r="C14" i="20"/>
  <c r="R14" i="20" s="1"/>
  <c r="U14" i="20"/>
  <c r="Q14" i="20"/>
  <c r="D13" i="19"/>
  <c r="S13" i="19" s="1"/>
  <c r="N19" i="19"/>
  <c r="AJ20" i="19"/>
  <c r="E20" i="19" s="1"/>
  <c r="AH21" i="19"/>
  <c r="M13" i="19"/>
  <c r="X13" i="19" s="1"/>
  <c r="L13" i="19"/>
  <c r="W13" i="19" s="1"/>
  <c r="G14" i="19"/>
  <c r="U14" i="19" s="1"/>
  <c r="T13" i="19"/>
  <c r="C14" i="19"/>
  <c r="R14" i="19" s="1"/>
  <c r="AA14" i="19"/>
  <c r="H15" i="19"/>
  <c r="P14" i="19"/>
  <c r="J15" i="19"/>
  <c r="Z13" i="19"/>
  <c r="U13" i="19"/>
  <c r="AA13" i="19"/>
  <c r="P13" i="19"/>
  <c r="C13" i="19"/>
  <c r="R13" i="19" s="1"/>
  <c r="Q13" i="19"/>
  <c r="AA12" i="7"/>
  <c r="U12" i="7"/>
  <c r="O12" i="7"/>
  <c r="P12" i="7"/>
  <c r="Z12" i="7"/>
  <c r="D12" i="7"/>
  <c r="S12" i="7" s="1"/>
  <c r="C12" i="7"/>
  <c r="R12" i="7" s="1"/>
  <c r="Q12" i="7"/>
  <c r="M12" i="7"/>
  <c r="X12" i="7" s="1"/>
  <c r="L12" i="7"/>
  <c r="W12" i="7" s="1"/>
  <c r="G13" i="7"/>
  <c r="T12" i="7"/>
  <c r="D14" i="18"/>
  <c r="C14" i="18"/>
  <c r="U12" i="17"/>
  <c r="D12" i="17"/>
  <c r="C12" i="17"/>
  <c r="R12" i="17" s="1"/>
  <c r="D13" i="16"/>
  <c r="C13" i="16"/>
  <c r="D12" i="15"/>
  <c r="C12" i="15"/>
  <c r="R12" i="15" s="1"/>
  <c r="D13" i="14"/>
  <c r="S13" i="14" s="1"/>
  <c r="C13" i="14"/>
  <c r="R13" i="14" s="1"/>
  <c r="D12" i="13"/>
  <c r="S12" i="13" s="1"/>
  <c r="C12" i="13"/>
  <c r="D14" i="12"/>
  <c r="C14" i="12"/>
  <c r="D14" i="11"/>
  <c r="C14" i="11"/>
  <c r="D13" i="10"/>
  <c r="C13" i="10"/>
  <c r="D13" i="9"/>
  <c r="C13" i="9"/>
  <c r="D14" i="8"/>
  <c r="C14" i="8"/>
  <c r="D14" i="6"/>
  <c r="C14" i="6"/>
  <c r="D12" i="4"/>
  <c r="C12" i="4"/>
  <c r="G15" i="1"/>
  <c r="Z14" i="1"/>
  <c r="U14" i="1"/>
  <c r="P14" i="1"/>
  <c r="Q14" i="1"/>
  <c r="AA14" i="1"/>
  <c r="M14" i="1"/>
  <c r="X14" i="1" s="1"/>
  <c r="L14" i="1"/>
  <c r="W14" i="1" s="1"/>
  <c r="T14" i="1"/>
  <c r="O14" i="1"/>
  <c r="O12" i="17"/>
  <c r="O13" i="16"/>
  <c r="R13" i="12"/>
  <c r="S13" i="12"/>
  <c r="AH18" i="18"/>
  <c r="AJ17" i="18"/>
  <c r="E17" i="18" s="1"/>
  <c r="N16" i="18"/>
  <c r="M14" i="18"/>
  <c r="X14" i="18" s="1"/>
  <c r="G15" i="18"/>
  <c r="L14" i="18"/>
  <c r="W14" i="18" s="1"/>
  <c r="O14" i="18"/>
  <c r="S14" i="18"/>
  <c r="R14" i="18"/>
  <c r="AA14" i="18"/>
  <c r="H15" i="18"/>
  <c r="Z14" i="18"/>
  <c r="Q14" i="18"/>
  <c r="P14" i="18"/>
  <c r="J15" i="18"/>
  <c r="U14" i="18"/>
  <c r="T14" i="18"/>
  <c r="J14" i="17"/>
  <c r="G13" i="17"/>
  <c r="M12" i="17"/>
  <c r="X12" i="17" s="1"/>
  <c r="L12" i="17"/>
  <c r="W12" i="17" s="1"/>
  <c r="S12" i="17"/>
  <c r="AA12" i="17"/>
  <c r="Z12" i="17"/>
  <c r="H15" i="17"/>
  <c r="AH19" i="17"/>
  <c r="AJ18" i="17"/>
  <c r="E18" i="17" s="1"/>
  <c r="N17" i="17"/>
  <c r="T12" i="17"/>
  <c r="G14" i="16"/>
  <c r="M13" i="16"/>
  <c r="X13" i="16" s="1"/>
  <c r="L13" i="16"/>
  <c r="W13" i="16" s="1"/>
  <c r="Z13" i="16"/>
  <c r="G14" i="14"/>
  <c r="AA14" i="14" s="1"/>
  <c r="M13" i="14"/>
  <c r="X13" i="14" s="1"/>
  <c r="L13" i="14"/>
  <c r="W13" i="14" s="1"/>
  <c r="M12" i="13"/>
  <c r="X12" i="13" s="1"/>
  <c r="L12" i="13"/>
  <c r="W12" i="13" s="1"/>
  <c r="G13" i="13"/>
  <c r="P12" i="13"/>
  <c r="R12" i="13"/>
  <c r="U12" i="13"/>
  <c r="O12" i="13"/>
  <c r="T12" i="13"/>
  <c r="Q12" i="13"/>
  <c r="AA12" i="13"/>
  <c r="Z12" i="13"/>
  <c r="AA13" i="16"/>
  <c r="P13" i="16"/>
  <c r="U13" i="16"/>
  <c r="J14" i="16"/>
  <c r="Q13" i="16"/>
  <c r="T13" i="16"/>
  <c r="S13" i="16"/>
  <c r="P13" i="14"/>
  <c r="J14" i="14"/>
  <c r="U13" i="14"/>
  <c r="Q13" i="14"/>
  <c r="T13" i="14"/>
  <c r="O13" i="14"/>
  <c r="AJ17" i="14"/>
  <c r="E17" i="14" s="1"/>
  <c r="AH18" i="14"/>
  <c r="R13" i="16"/>
  <c r="H15" i="15"/>
  <c r="H15" i="14"/>
  <c r="N16" i="14"/>
  <c r="AJ16" i="16"/>
  <c r="E16" i="16" s="1"/>
  <c r="AH17" i="16"/>
  <c r="J15" i="15"/>
  <c r="N16" i="15"/>
  <c r="N15" i="16"/>
  <c r="AA13" i="14"/>
  <c r="AJ17" i="15"/>
  <c r="E17" i="15" s="1"/>
  <c r="AH18" i="15"/>
  <c r="AJ18" i="13"/>
  <c r="E18" i="13" s="1"/>
  <c r="AH19" i="13"/>
  <c r="H15" i="16"/>
  <c r="N17" i="13"/>
  <c r="J16" i="13"/>
  <c r="M12" i="15"/>
  <c r="X12" i="15" s="1"/>
  <c r="L12" i="15"/>
  <c r="W12" i="15" s="1"/>
  <c r="G13" i="15"/>
  <c r="T12" i="15"/>
  <c r="U12" i="15"/>
  <c r="O12" i="15"/>
  <c r="Z12" i="15"/>
  <c r="S12" i="15"/>
  <c r="Q12" i="15"/>
  <c r="P12" i="15"/>
  <c r="AA12" i="15"/>
  <c r="H15" i="13"/>
  <c r="H15" i="12"/>
  <c r="AA14" i="12"/>
  <c r="Z14" i="12"/>
  <c r="H16" i="9"/>
  <c r="Q13" i="10"/>
  <c r="P13" i="10"/>
  <c r="J14" i="10"/>
  <c r="U13" i="10"/>
  <c r="T13" i="10"/>
  <c r="O13" i="10"/>
  <c r="AJ17" i="11"/>
  <c r="E17" i="11" s="1"/>
  <c r="AH18" i="11"/>
  <c r="H15" i="11"/>
  <c r="S14" i="11"/>
  <c r="R14" i="11"/>
  <c r="AA14" i="11"/>
  <c r="Z14" i="11"/>
  <c r="Q14" i="11"/>
  <c r="T14" i="11"/>
  <c r="P14" i="11"/>
  <c r="U14" i="11"/>
  <c r="AJ17" i="12"/>
  <c r="E17" i="12" s="1"/>
  <c r="AH18" i="12"/>
  <c r="G14" i="9"/>
  <c r="M13" i="9"/>
  <c r="X13" i="9" s="1"/>
  <c r="L13" i="9"/>
  <c r="W13" i="9" s="1"/>
  <c r="S13" i="9"/>
  <c r="R13" i="9"/>
  <c r="AA13" i="9"/>
  <c r="Z13" i="9"/>
  <c r="N16" i="9"/>
  <c r="N16" i="12"/>
  <c r="G15" i="12"/>
  <c r="M14" i="12"/>
  <c r="X14" i="12" s="1"/>
  <c r="N16" i="10"/>
  <c r="N16" i="11"/>
  <c r="J17" i="11"/>
  <c r="AJ17" i="10"/>
  <c r="E17" i="10" s="1"/>
  <c r="AH18" i="10"/>
  <c r="AJ17" i="9"/>
  <c r="E17" i="9" s="1"/>
  <c r="AH18" i="9"/>
  <c r="J14" i="12"/>
  <c r="L14" i="12" s="1"/>
  <c r="W14" i="12" s="1"/>
  <c r="Q13" i="12"/>
  <c r="P13" i="12"/>
  <c r="U13" i="12"/>
  <c r="T13" i="12"/>
  <c r="O13" i="12"/>
  <c r="S13" i="10"/>
  <c r="R13" i="10"/>
  <c r="AA13" i="10"/>
  <c r="H14" i="10"/>
  <c r="Z13" i="10"/>
  <c r="G15" i="11"/>
  <c r="M14" i="11"/>
  <c r="X14" i="11" s="1"/>
  <c r="L14" i="11"/>
  <c r="W14" i="11" s="1"/>
  <c r="M13" i="10"/>
  <c r="X13" i="10" s="1"/>
  <c r="G14" i="10"/>
  <c r="L13" i="10"/>
  <c r="W13" i="10" s="1"/>
  <c r="Q13" i="9"/>
  <c r="P13" i="9"/>
  <c r="J14" i="9"/>
  <c r="U13" i="9"/>
  <c r="T13" i="9"/>
  <c r="O13" i="9"/>
  <c r="H15" i="8"/>
  <c r="S14" i="8"/>
  <c r="R14" i="8"/>
  <c r="AA14" i="8"/>
  <c r="Z14" i="8"/>
  <c r="G15" i="8"/>
  <c r="M14" i="8"/>
  <c r="X14" i="8" s="1"/>
  <c r="L14" i="8"/>
  <c r="W14" i="8" s="1"/>
  <c r="AJ18" i="8"/>
  <c r="E18" i="8" s="1"/>
  <c r="AH19" i="8"/>
  <c r="N17" i="8"/>
  <c r="J15" i="8"/>
  <c r="Q14" i="8"/>
  <c r="P14" i="8"/>
  <c r="U14" i="8"/>
  <c r="T14" i="8"/>
  <c r="O14" i="8"/>
  <c r="AJ18" i="7"/>
  <c r="E18" i="7" s="1"/>
  <c r="AH19" i="7"/>
  <c r="J16" i="7"/>
  <c r="H16" i="7"/>
  <c r="N17" i="7"/>
  <c r="J16" i="6"/>
  <c r="M14" i="6"/>
  <c r="X14" i="6" s="1"/>
  <c r="G15" i="6"/>
  <c r="L14" i="6"/>
  <c r="W14" i="6" s="1"/>
  <c r="S14" i="6"/>
  <c r="AA14" i="6"/>
  <c r="H15" i="6"/>
  <c r="R14" i="6"/>
  <c r="Z14" i="6"/>
  <c r="T14" i="6"/>
  <c r="AH18" i="6"/>
  <c r="AJ17" i="6"/>
  <c r="E17" i="6" s="1"/>
  <c r="N16" i="6"/>
  <c r="M12" i="4"/>
  <c r="X12" i="4" s="1"/>
  <c r="L12" i="4"/>
  <c r="W12" i="4" s="1"/>
  <c r="G13" i="4"/>
  <c r="O12" i="4"/>
  <c r="AA12" i="4"/>
  <c r="Z12" i="4"/>
  <c r="S12" i="4"/>
  <c r="R12" i="4"/>
  <c r="T12" i="4"/>
  <c r="Q12" i="4"/>
  <c r="P12" i="4"/>
  <c r="U12" i="4"/>
  <c r="J17" i="4"/>
  <c r="AJ17" i="4"/>
  <c r="E17" i="4" s="1"/>
  <c r="AH18" i="4"/>
  <c r="N16" i="4"/>
  <c r="H15" i="4"/>
  <c r="C14" i="1"/>
  <c r="R14" i="1" s="1"/>
  <c r="H15" i="1"/>
  <c r="D14" i="1"/>
  <c r="S14" i="1" s="1"/>
  <c r="M58" i="27" l="1"/>
  <c r="X58" i="27" s="1"/>
  <c r="Q58" i="27"/>
  <c r="G59" i="27"/>
  <c r="P58" i="27"/>
  <c r="Z58" i="27"/>
  <c r="U58" i="27"/>
  <c r="M38" i="27"/>
  <c r="X38" i="27" s="1"/>
  <c r="Q38" i="27"/>
  <c r="G39" i="27"/>
  <c r="P38" i="27"/>
  <c r="Z38" i="27"/>
  <c r="U38" i="27"/>
  <c r="O19" i="27"/>
  <c r="N20" i="27"/>
  <c r="G19" i="27"/>
  <c r="P18" i="27"/>
  <c r="AA18" i="27"/>
  <c r="Z18" i="27"/>
  <c r="U18" i="27"/>
  <c r="Q18" i="27"/>
  <c r="M18" i="27"/>
  <c r="X18" i="27" s="1"/>
  <c r="T18" i="27"/>
  <c r="M58" i="28"/>
  <c r="X58" i="28" s="1"/>
  <c r="Q58" i="28"/>
  <c r="G59" i="28"/>
  <c r="P58" i="28"/>
  <c r="Z58" i="28"/>
  <c r="U58" i="28"/>
  <c r="M38" i="28"/>
  <c r="X38" i="28" s="1"/>
  <c r="Q38" i="28"/>
  <c r="G39" i="28"/>
  <c r="P38" i="28"/>
  <c r="Z38" i="28"/>
  <c r="U38" i="28"/>
  <c r="N19" i="28"/>
  <c r="O19" i="28" s="1"/>
  <c r="M18" i="28"/>
  <c r="X18" i="28" s="1"/>
  <c r="G19" i="28"/>
  <c r="P18" i="28"/>
  <c r="AA18" i="28"/>
  <c r="Z18" i="28"/>
  <c r="Q18" i="28"/>
  <c r="U18" i="28"/>
  <c r="T18" i="28"/>
  <c r="M58" i="26"/>
  <c r="X58" i="26" s="1"/>
  <c r="Z58" i="26"/>
  <c r="Q58" i="26"/>
  <c r="G59" i="26"/>
  <c r="P58" i="26"/>
  <c r="U58" i="26"/>
  <c r="M38" i="26"/>
  <c r="X38" i="26" s="1"/>
  <c r="Z38" i="26"/>
  <c r="G39" i="26"/>
  <c r="P38" i="26"/>
  <c r="Q38" i="26"/>
  <c r="U38" i="26"/>
  <c r="AA17" i="26"/>
  <c r="N18" i="26"/>
  <c r="O18" i="26" s="1"/>
  <c r="T18" i="26"/>
  <c r="M18" i="26"/>
  <c r="X18" i="26" s="1"/>
  <c r="G19" i="26"/>
  <c r="P18" i="26"/>
  <c r="Z18" i="26"/>
  <c r="Q18" i="26"/>
  <c r="U18" i="26"/>
  <c r="M59" i="25"/>
  <c r="X59" i="25" s="1"/>
  <c r="Z59" i="25"/>
  <c r="P59" i="25"/>
  <c r="G60" i="25"/>
  <c r="Q59" i="25"/>
  <c r="U59" i="25"/>
  <c r="M38" i="25"/>
  <c r="X38" i="25" s="1"/>
  <c r="Q38" i="25"/>
  <c r="G39" i="25"/>
  <c r="P38" i="25"/>
  <c r="Z38" i="25"/>
  <c r="U38" i="25"/>
  <c r="AA17" i="25"/>
  <c r="M18" i="25"/>
  <c r="X18" i="25" s="1"/>
  <c r="Z18" i="25"/>
  <c r="Q18" i="25"/>
  <c r="G19" i="25"/>
  <c r="P18" i="25"/>
  <c r="U18" i="25"/>
  <c r="N18" i="25"/>
  <c r="O18" i="25" s="1"/>
  <c r="T18" i="25"/>
  <c r="M59" i="24"/>
  <c r="X59" i="24" s="1"/>
  <c r="G60" i="24"/>
  <c r="P59" i="24"/>
  <c r="Z59" i="24"/>
  <c r="U59" i="24"/>
  <c r="Q59" i="24"/>
  <c r="M38" i="24"/>
  <c r="X38" i="24" s="1"/>
  <c r="U38" i="24"/>
  <c r="Q38" i="24"/>
  <c r="G39" i="24"/>
  <c r="P38" i="24"/>
  <c r="Z38" i="24"/>
  <c r="M18" i="24"/>
  <c r="X18" i="24" s="1"/>
  <c r="AA18" i="24"/>
  <c r="Z18" i="24"/>
  <c r="Q18" i="24"/>
  <c r="G19" i="24"/>
  <c r="P18" i="24"/>
  <c r="U18" i="24"/>
  <c r="T18" i="24"/>
  <c r="N19" i="24"/>
  <c r="O19" i="24" s="1"/>
  <c r="T19" i="24"/>
  <c r="O18" i="24"/>
  <c r="M58" i="23"/>
  <c r="X58" i="23" s="1"/>
  <c r="Z58" i="23"/>
  <c r="Q58" i="23"/>
  <c r="G59" i="23"/>
  <c r="P58" i="23"/>
  <c r="U58" i="23"/>
  <c r="N19" i="23"/>
  <c r="T19" i="23"/>
  <c r="Q18" i="23"/>
  <c r="G19" i="23"/>
  <c r="P18" i="23"/>
  <c r="AA18" i="23"/>
  <c r="Z18" i="23"/>
  <c r="U18" i="23"/>
  <c r="M18" i="23"/>
  <c r="X18" i="23" s="1"/>
  <c r="Q58" i="22"/>
  <c r="G59" i="22"/>
  <c r="P58" i="22"/>
  <c r="Z58" i="22"/>
  <c r="U58" i="22"/>
  <c r="M58" i="22"/>
  <c r="X58" i="22" s="1"/>
  <c r="M38" i="22"/>
  <c r="X38" i="22" s="1"/>
  <c r="Z38" i="22"/>
  <c r="Q38" i="22"/>
  <c r="G39" i="22"/>
  <c r="P38" i="22"/>
  <c r="U38" i="22"/>
  <c r="M18" i="22"/>
  <c r="X18" i="22" s="1"/>
  <c r="Q18" i="22"/>
  <c r="G19" i="22"/>
  <c r="P18" i="22"/>
  <c r="U18" i="22"/>
  <c r="AA18" i="22"/>
  <c r="Z18" i="22"/>
  <c r="N19" i="22"/>
  <c r="O19" i="22" s="1"/>
  <c r="T19" i="22"/>
  <c r="M58" i="21"/>
  <c r="X58" i="21" s="1"/>
  <c r="Q58" i="21"/>
  <c r="G59" i="21"/>
  <c r="P58" i="21"/>
  <c r="Z58" i="21"/>
  <c r="U58" i="21"/>
  <c r="M38" i="21"/>
  <c r="X38" i="21" s="1"/>
  <c r="Z38" i="21"/>
  <c r="Q38" i="21"/>
  <c r="G39" i="21"/>
  <c r="P38" i="21"/>
  <c r="U38" i="21"/>
  <c r="G19" i="21"/>
  <c r="P18" i="21"/>
  <c r="AA18" i="21"/>
  <c r="Z18" i="21"/>
  <c r="U18" i="21"/>
  <c r="Q18" i="21"/>
  <c r="M18" i="21"/>
  <c r="X18" i="21" s="1"/>
  <c r="N19" i="21"/>
  <c r="O19" i="21" s="1"/>
  <c r="T19" i="21"/>
  <c r="T18" i="21"/>
  <c r="P15" i="20"/>
  <c r="AJ20" i="28"/>
  <c r="E20" i="28" s="1"/>
  <c r="AH21" i="28"/>
  <c r="L16" i="28"/>
  <c r="W16" i="28" s="1"/>
  <c r="J17" i="28"/>
  <c r="C18" i="28"/>
  <c r="R18" i="28" s="1"/>
  <c r="H19" i="28"/>
  <c r="D18" i="28"/>
  <c r="S18" i="28" s="1"/>
  <c r="AJ20" i="24"/>
  <c r="E20" i="24" s="1"/>
  <c r="AH21" i="24"/>
  <c r="D19" i="25"/>
  <c r="S19" i="25" s="1"/>
  <c r="C19" i="25"/>
  <c r="R19" i="25" s="1"/>
  <c r="H20" i="25"/>
  <c r="AJ21" i="27"/>
  <c r="E21" i="27" s="1"/>
  <c r="AH22" i="27"/>
  <c r="D17" i="27"/>
  <c r="S17" i="27" s="1"/>
  <c r="H18" i="27"/>
  <c r="L18" i="27" s="1"/>
  <c r="W18" i="27" s="1"/>
  <c r="C17" i="27"/>
  <c r="R17" i="27" s="1"/>
  <c r="J19" i="27"/>
  <c r="H18" i="24"/>
  <c r="D17" i="24"/>
  <c r="S17" i="24" s="1"/>
  <c r="C17" i="24"/>
  <c r="R17" i="24" s="1"/>
  <c r="J17" i="24"/>
  <c r="L16" i="24"/>
  <c r="W16" i="24" s="1"/>
  <c r="L16" i="26"/>
  <c r="W16" i="26" s="1"/>
  <c r="J17" i="26"/>
  <c r="AJ19" i="26"/>
  <c r="E19" i="26" s="1"/>
  <c r="AH20" i="26"/>
  <c r="H18" i="26"/>
  <c r="D17" i="26"/>
  <c r="S17" i="26" s="1"/>
  <c r="C17" i="26"/>
  <c r="R17" i="26" s="1"/>
  <c r="AJ19" i="25"/>
  <c r="E19" i="25" s="1"/>
  <c r="AH20" i="25"/>
  <c r="J18" i="25"/>
  <c r="L17" i="25"/>
  <c r="W17" i="25" s="1"/>
  <c r="AJ20" i="23"/>
  <c r="E20" i="23" s="1"/>
  <c r="AH21" i="23"/>
  <c r="J17" i="23"/>
  <c r="L16" i="23"/>
  <c r="W16" i="23" s="1"/>
  <c r="H17" i="23"/>
  <c r="D16" i="23"/>
  <c r="S16" i="23" s="1"/>
  <c r="C16" i="23"/>
  <c r="R16" i="23" s="1"/>
  <c r="C18" i="22"/>
  <c r="R18" i="22" s="1"/>
  <c r="H19" i="22"/>
  <c r="D18" i="22"/>
  <c r="S18" i="22" s="1"/>
  <c r="J17" i="22"/>
  <c r="L16" i="22"/>
  <c r="W16" i="22" s="1"/>
  <c r="AH21" i="22"/>
  <c r="AJ20" i="22"/>
  <c r="E20" i="22" s="1"/>
  <c r="L16" i="21"/>
  <c r="W16" i="21" s="1"/>
  <c r="J17" i="21"/>
  <c r="AH21" i="21"/>
  <c r="AJ20" i="21"/>
  <c r="E20" i="21" s="1"/>
  <c r="D17" i="21"/>
  <c r="S17" i="21" s="1"/>
  <c r="C17" i="21"/>
  <c r="R17" i="21" s="1"/>
  <c r="H18" i="21"/>
  <c r="AJ20" i="20"/>
  <c r="E20" i="20" s="1"/>
  <c r="AH21" i="20"/>
  <c r="N19" i="20"/>
  <c r="M15" i="20"/>
  <c r="X15" i="20" s="1"/>
  <c r="L15" i="20"/>
  <c r="W15" i="20" s="1"/>
  <c r="G16" i="20"/>
  <c r="D15" i="20"/>
  <c r="S15" i="20" s="1"/>
  <c r="C15" i="20"/>
  <c r="R15" i="20" s="1"/>
  <c r="AA15" i="20"/>
  <c r="Z15" i="20"/>
  <c r="O15" i="20"/>
  <c r="T15" i="20"/>
  <c r="H19" i="20"/>
  <c r="U15" i="20"/>
  <c r="Q16" i="20"/>
  <c r="P16" i="20"/>
  <c r="J17" i="20"/>
  <c r="U16" i="20"/>
  <c r="T16" i="20"/>
  <c r="O16" i="20"/>
  <c r="O14" i="19"/>
  <c r="D14" i="19"/>
  <c r="S14" i="19" s="1"/>
  <c r="T14" i="19"/>
  <c r="M14" i="19"/>
  <c r="X14" i="19" s="1"/>
  <c r="L14" i="19"/>
  <c r="W14" i="19" s="1"/>
  <c r="G15" i="19"/>
  <c r="AA15" i="19" s="1"/>
  <c r="J16" i="19"/>
  <c r="AJ21" i="19"/>
  <c r="E21" i="19" s="1"/>
  <c r="AH22" i="19"/>
  <c r="N20" i="19"/>
  <c r="Q14" i="19"/>
  <c r="H16" i="19"/>
  <c r="Z14" i="19"/>
  <c r="AA13" i="7"/>
  <c r="D13" i="7"/>
  <c r="S13" i="7" s="1"/>
  <c r="O13" i="7"/>
  <c r="C13" i="7"/>
  <c r="R13" i="7" s="1"/>
  <c r="P13" i="7"/>
  <c r="Z13" i="7"/>
  <c r="Q13" i="7"/>
  <c r="G14" i="7"/>
  <c r="M13" i="7"/>
  <c r="X13" i="7" s="1"/>
  <c r="U13" i="7"/>
  <c r="T13" i="7"/>
  <c r="L13" i="7"/>
  <c r="W13" i="7" s="1"/>
  <c r="Z14" i="14"/>
  <c r="D15" i="18"/>
  <c r="C15" i="18"/>
  <c r="O13" i="17"/>
  <c r="C13" i="17"/>
  <c r="D13" i="17"/>
  <c r="S13" i="17" s="1"/>
  <c r="AA14" i="16"/>
  <c r="D14" i="16"/>
  <c r="S14" i="16" s="1"/>
  <c r="C14" i="16"/>
  <c r="R14" i="16" s="1"/>
  <c r="D13" i="15"/>
  <c r="S13" i="15" s="1"/>
  <c r="C13" i="15"/>
  <c r="R13" i="15" s="1"/>
  <c r="C14" i="14"/>
  <c r="R14" i="14" s="1"/>
  <c r="D14" i="14"/>
  <c r="S14" i="14" s="1"/>
  <c r="D13" i="13"/>
  <c r="C13" i="13"/>
  <c r="D15" i="12"/>
  <c r="C15" i="12"/>
  <c r="C15" i="11"/>
  <c r="D15" i="11"/>
  <c r="D14" i="10"/>
  <c r="C14" i="10"/>
  <c r="D14" i="9"/>
  <c r="C14" i="9"/>
  <c r="D15" i="8"/>
  <c r="S15" i="8" s="1"/>
  <c r="C15" i="8"/>
  <c r="D15" i="6"/>
  <c r="C15" i="6"/>
  <c r="D13" i="4"/>
  <c r="C13" i="4"/>
  <c r="G16" i="1"/>
  <c r="Z15" i="1"/>
  <c r="Q15" i="1"/>
  <c r="P15" i="1"/>
  <c r="U15" i="1"/>
  <c r="AA15" i="1"/>
  <c r="M15" i="1"/>
  <c r="X15" i="1" s="1"/>
  <c r="L15" i="1"/>
  <c r="W15" i="1" s="1"/>
  <c r="T15" i="1"/>
  <c r="O15" i="1"/>
  <c r="O14" i="16"/>
  <c r="Z14" i="16"/>
  <c r="O15" i="11"/>
  <c r="M15" i="18"/>
  <c r="X15" i="18" s="1"/>
  <c r="L15" i="18"/>
  <c r="W15" i="18" s="1"/>
  <c r="G16" i="18"/>
  <c r="Q15" i="18"/>
  <c r="P15" i="18"/>
  <c r="J16" i="18"/>
  <c r="U15" i="18"/>
  <c r="T15" i="18"/>
  <c r="N17" i="18"/>
  <c r="AJ18" i="18"/>
  <c r="E18" i="18" s="1"/>
  <c r="AH19" i="18"/>
  <c r="S15" i="18"/>
  <c r="R15" i="18"/>
  <c r="AA15" i="18"/>
  <c r="Z15" i="18"/>
  <c r="H16" i="18"/>
  <c r="O15" i="18"/>
  <c r="N18" i="17"/>
  <c r="AJ19" i="17"/>
  <c r="E19" i="17" s="1"/>
  <c r="AH20" i="17"/>
  <c r="M13" i="17"/>
  <c r="X13" i="17" s="1"/>
  <c r="L13" i="17"/>
  <c r="W13" i="17" s="1"/>
  <c r="G14" i="17"/>
  <c r="R13" i="17"/>
  <c r="AA13" i="17"/>
  <c r="Z13" i="17"/>
  <c r="H16" i="17"/>
  <c r="T13" i="17"/>
  <c r="U13" i="17"/>
  <c r="J15" i="17"/>
  <c r="P13" i="17"/>
  <c r="Q13" i="17"/>
  <c r="H16" i="16"/>
  <c r="J16" i="15"/>
  <c r="H16" i="15"/>
  <c r="AJ19" i="13"/>
  <c r="E19" i="13" s="1"/>
  <c r="AH20" i="13"/>
  <c r="P14" i="14"/>
  <c r="J15" i="14"/>
  <c r="U14" i="14"/>
  <c r="Q14" i="14"/>
  <c r="T14" i="14"/>
  <c r="O14" i="14"/>
  <c r="M14" i="14"/>
  <c r="X14" i="14" s="1"/>
  <c r="L14" i="14"/>
  <c r="W14" i="14" s="1"/>
  <c r="G15" i="14"/>
  <c r="N18" i="13"/>
  <c r="AJ18" i="15"/>
  <c r="E18" i="15" s="1"/>
  <c r="AH19" i="15"/>
  <c r="AJ17" i="16"/>
  <c r="E17" i="16" s="1"/>
  <c r="AH18" i="16"/>
  <c r="J17" i="13"/>
  <c r="N17" i="15"/>
  <c r="N16" i="16"/>
  <c r="H16" i="13"/>
  <c r="AH19" i="14"/>
  <c r="AJ18" i="14"/>
  <c r="E18" i="14" s="1"/>
  <c r="M14" i="16"/>
  <c r="X14" i="16" s="1"/>
  <c r="L14" i="16"/>
  <c r="W14" i="16" s="1"/>
  <c r="G15" i="16"/>
  <c r="N17" i="14"/>
  <c r="Q14" i="16"/>
  <c r="P14" i="16"/>
  <c r="J15" i="16"/>
  <c r="U14" i="16"/>
  <c r="T14" i="16"/>
  <c r="AA15" i="14"/>
  <c r="Z15" i="14"/>
  <c r="H16" i="14"/>
  <c r="M13" i="15"/>
  <c r="X13" i="15" s="1"/>
  <c r="L13" i="15"/>
  <c r="W13" i="15" s="1"/>
  <c r="G14" i="15"/>
  <c r="O13" i="15"/>
  <c r="Q13" i="15"/>
  <c r="AA13" i="15"/>
  <c r="P13" i="15"/>
  <c r="Z13" i="15"/>
  <c r="U13" i="15"/>
  <c r="T13" i="15"/>
  <c r="M13" i="13"/>
  <c r="X13" i="13" s="1"/>
  <c r="L13" i="13"/>
  <c r="W13" i="13" s="1"/>
  <c r="G14" i="13"/>
  <c r="U13" i="13"/>
  <c r="P13" i="13"/>
  <c r="S13" i="13"/>
  <c r="R13" i="13"/>
  <c r="Z13" i="13"/>
  <c r="O13" i="13"/>
  <c r="Q13" i="13"/>
  <c r="T13" i="13"/>
  <c r="AA13" i="13"/>
  <c r="H17" i="9"/>
  <c r="N17" i="9"/>
  <c r="N17" i="10"/>
  <c r="G16" i="12"/>
  <c r="M15" i="12"/>
  <c r="X15" i="12" s="1"/>
  <c r="G15" i="9"/>
  <c r="M14" i="9"/>
  <c r="X14" i="9" s="1"/>
  <c r="L14" i="9"/>
  <c r="W14" i="9" s="1"/>
  <c r="AA14" i="9"/>
  <c r="Z14" i="9"/>
  <c r="R14" i="9"/>
  <c r="S14" i="9"/>
  <c r="H16" i="11"/>
  <c r="S15" i="11"/>
  <c r="R15" i="11"/>
  <c r="AA15" i="11"/>
  <c r="Z15" i="11"/>
  <c r="U15" i="11"/>
  <c r="Q15" i="11"/>
  <c r="P15" i="11"/>
  <c r="T15" i="11"/>
  <c r="S14" i="10"/>
  <c r="R14" i="10"/>
  <c r="AA14" i="10"/>
  <c r="Z14" i="10"/>
  <c r="H15" i="10"/>
  <c r="AJ18" i="10"/>
  <c r="E18" i="10" s="1"/>
  <c r="AH19" i="10"/>
  <c r="Q14" i="9"/>
  <c r="P14" i="9"/>
  <c r="J15" i="9"/>
  <c r="U14" i="9"/>
  <c r="T14" i="9"/>
  <c r="O14" i="9"/>
  <c r="AJ18" i="12"/>
  <c r="E18" i="12" s="1"/>
  <c r="AH19" i="12"/>
  <c r="AJ18" i="11"/>
  <c r="E18" i="11" s="1"/>
  <c r="AH19" i="11"/>
  <c r="N17" i="12"/>
  <c r="N17" i="11"/>
  <c r="J18" i="11"/>
  <c r="R14" i="12"/>
  <c r="G16" i="11"/>
  <c r="M15" i="11"/>
  <c r="X15" i="11" s="1"/>
  <c r="L15" i="11"/>
  <c r="W15" i="11" s="1"/>
  <c r="M14" i="10"/>
  <c r="X14" i="10" s="1"/>
  <c r="L14" i="10"/>
  <c r="W14" i="10" s="1"/>
  <c r="G15" i="10"/>
  <c r="S14" i="12"/>
  <c r="J15" i="12"/>
  <c r="Q14" i="12"/>
  <c r="P14" i="12"/>
  <c r="U14" i="12"/>
  <c r="T14" i="12"/>
  <c r="O14" i="12"/>
  <c r="Q14" i="10"/>
  <c r="P14" i="10"/>
  <c r="J15" i="10"/>
  <c r="U14" i="10"/>
  <c r="T14" i="10"/>
  <c r="O14" i="10"/>
  <c r="H16" i="12"/>
  <c r="R15" i="12"/>
  <c r="AA15" i="12"/>
  <c r="Z15" i="12"/>
  <c r="AJ18" i="9"/>
  <c r="E18" i="9" s="1"/>
  <c r="AH19" i="9"/>
  <c r="AJ19" i="8"/>
  <c r="E19" i="8" s="1"/>
  <c r="AH20" i="8"/>
  <c r="N18" i="8"/>
  <c r="G16" i="8"/>
  <c r="M15" i="8"/>
  <c r="X15" i="8" s="1"/>
  <c r="L15" i="8"/>
  <c r="W15" i="8" s="1"/>
  <c r="Q15" i="8"/>
  <c r="P15" i="8"/>
  <c r="J16" i="8"/>
  <c r="U15" i="8"/>
  <c r="T15" i="8"/>
  <c r="O15" i="8"/>
  <c r="H16" i="8"/>
  <c r="R15" i="8"/>
  <c r="AA15" i="8"/>
  <c r="Z15" i="8"/>
  <c r="AJ19" i="7"/>
  <c r="E19" i="7" s="1"/>
  <c r="AH20" i="7"/>
  <c r="N18" i="7"/>
  <c r="J17" i="7"/>
  <c r="H17" i="7"/>
  <c r="S15" i="6"/>
  <c r="R15" i="6"/>
  <c r="AA15" i="6"/>
  <c r="Z15" i="6"/>
  <c r="H16" i="6"/>
  <c r="T15" i="6"/>
  <c r="M15" i="6"/>
  <c r="X15" i="6" s="1"/>
  <c r="L15" i="6"/>
  <c r="W15" i="6" s="1"/>
  <c r="G16" i="6"/>
  <c r="N17" i="6"/>
  <c r="AJ18" i="6"/>
  <c r="E18" i="6" s="1"/>
  <c r="AH19" i="6"/>
  <c r="J17" i="6"/>
  <c r="U15" i="6"/>
  <c r="P15" i="6"/>
  <c r="O15" i="6"/>
  <c r="Q15" i="6"/>
  <c r="AJ18" i="4"/>
  <c r="E18" i="4" s="1"/>
  <c r="AH19" i="4"/>
  <c r="H16" i="4"/>
  <c r="N17" i="4"/>
  <c r="L13" i="4"/>
  <c r="W13" i="4" s="1"/>
  <c r="G14" i="4"/>
  <c r="M13" i="4"/>
  <c r="X13" i="4" s="1"/>
  <c r="O13" i="4"/>
  <c r="AA13" i="4"/>
  <c r="Q13" i="4"/>
  <c r="P13" i="4"/>
  <c r="U13" i="4"/>
  <c r="T13" i="4"/>
  <c r="Z13" i="4"/>
  <c r="S13" i="4"/>
  <c r="R13" i="4"/>
  <c r="J18" i="4"/>
  <c r="C15" i="1"/>
  <c r="R15" i="1" s="1"/>
  <c r="H16" i="1"/>
  <c r="D15" i="1"/>
  <c r="S15" i="1" s="1"/>
  <c r="M59" i="27" l="1"/>
  <c r="X59" i="27" s="1"/>
  <c r="Q59" i="27"/>
  <c r="Z59" i="27"/>
  <c r="U59" i="27"/>
  <c r="G60" i="27"/>
  <c r="P59" i="27"/>
  <c r="M39" i="27"/>
  <c r="X39" i="27" s="1"/>
  <c r="Z39" i="27"/>
  <c r="Q39" i="27"/>
  <c r="G40" i="27"/>
  <c r="P39" i="27"/>
  <c r="U39" i="27"/>
  <c r="M19" i="27"/>
  <c r="X19" i="27" s="1"/>
  <c r="AA19" i="27"/>
  <c r="Z19" i="27"/>
  <c r="P19" i="27"/>
  <c r="G20" i="27"/>
  <c r="Q19" i="27"/>
  <c r="U19" i="27"/>
  <c r="T19" i="27"/>
  <c r="O20" i="27"/>
  <c r="N21" i="27"/>
  <c r="M59" i="28"/>
  <c r="X59" i="28" s="1"/>
  <c r="G60" i="28"/>
  <c r="P59" i="28"/>
  <c r="Z59" i="28"/>
  <c r="Q59" i="28"/>
  <c r="U59" i="28"/>
  <c r="Q39" i="28"/>
  <c r="G40" i="28"/>
  <c r="P39" i="28"/>
  <c r="Z39" i="28"/>
  <c r="M39" i="28"/>
  <c r="X39" i="28" s="1"/>
  <c r="U39" i="28"/>
  <c r="M19" i="28"/>
  <c r="X19" i="28" s="1"/>
  <c r="AA19" i="28"/>
  <c r="Z19" i="28"/>
  <c r="U19" i="28"/>
  <c r="Q19" i="28"/>
  <c r="G20" i="28"/>
  <c r="P19" i="28"/>
  <c r="N20" i="28"/>
  <c r="O20" i="28" s="1"/>
  <c r="T20" i="28"/>
  <c r="T19" i="28"/>
  <c r="M59" i="26"/>
  <c r="X59" i="26" s="1"/>
  <c r="Q59" i="26"/>
  <c r="G60" i="26"/>
  <c r="P59" i="26"/>
  <c r="Z59" i="26"/>
  <c r="U59" i="26"/>
  <c r="M39" i="26"/>
  <c r="X39" i="26" s="1"/>
  <c r="Q39" i="26"/>
  <c r="G40" i="26"/>
  <c r="P39" i="26"/>
  <c r="Z39" i="26"/>
  <c r="U39" i="26"/>
  <c r="AA18" i="26"/>
  <c r="N19" i="26"/>
  <c r="O19" i="26" s="1"/>
  <c r="T19" i="26"/>
  <c r="M19" i="26"/>
  <c r="X19" i="26" s="1"/>
  <c r="AA19" i="26"/>
  <c r="Z19" i="26"/>
  <c r="U19" i="26"/>
  <c r="G20" i="26"/>
  <c r="Q19" i="26"/>
  <c r="P19" i="26"/>
  <c r="M60" i="25"/>
  <c r="X60" i="25" s="1"/>
  <c r="Z60" i="25"/>
  <c r="Q60" i="25"/>
  <c r="G61" i="25"/>
  <c r="P60" i="25"/>
  <c r="U60" i="25"/>
  <c r="M39" i="25"/>
  <c r="X39" i="25" s="1"/>
  <c r="G40" i="25"/>
  <c r="P39" i="25"/>
  <c r="Z39" i="25"/>
  <c r="Q39" i="25"/>
  <c r="U39" i="25"/>
  <c r="Z19" i="25"/>
  <c r="Q19" i="25"/>
  <c r="G20" i="25"/>
  <c r="P19" i="25"/>
  <c r="M19" i="25"/>
  <c r="X19" i="25" s="1"/>
  <c r="U19" i="25"/>
  <c r="N19" i="25"/>
  <c r="O19" i="25" s="1"/>
  <c r="T19" i="25"/>
  <c r="AA18" i="25"/>
  <c r="M60" i="24"/>
  <c r="X60" i="24" s="1"/>
  <c r="Q60" i="24"/>
  <c r="P60" i="24"/>
  <c r="Z60" i="24"/>
  <c r="G61" i="24"/>
  <c r="U60" i="24"/>
  <c r="M39" i="24"/>
  <c r="X39" i="24" s="1"/>
  <c r="Q39" i="24"/>
  <c r="G40" i="24"/>
  <c r="P39" i="24"/>
  <c r="Z39" i="24"/>
  <c r="U39" i="24"/>
  <c r="N20" i="24"/>
  <c r="M19" i="24"/>
  <c r="X19" i="24" s="1"/>
  <c r="AA19" i="24"/>
  <c r="Z19" i="24"/>
  <c r="Q19" i="24"/>
  <c r="G20" i="24"/>
  <c r="P19" i="24"/>
  <c r="U19" i="24"/>
  <c r="M59" i="23"/>
  <c r="X59" i="23" s="1"/>
  <c r="U59" i="23"/>
  <c r="Q59" i="23"/>
  <c r="G60" i="23"/>
  <c r="P59" i="23"/>
  <c r="Z59" i="23"/>
  <c r="N20" i="23"/>
  <c r="M19" i="23"/>
  <c r="X19" i="23" s="1"/>
  <c r="Q19" i="23"/>
  <c r="G20" i="23"/>
  <c r="P19" i="23"/>
  <c r="Z19" i="23"/>
  <c r="AA19" i="23"/>
  <c r="U19" i="23"/>
  <c r="O19" i="23"/>
  <c r="M59" i="22"/>
  <c r="X59" i="22" s="1"/>
  <c r="Q59" i="22"/>
  <c r="G60" i="22"/>
  <c r="P59" i="22"/>
  <c r="Z59" i="22"/>
  <c r="U59" i="22"/>
  <c r="M39" i="22"/>
  <c r="X39" i="22" s="1"/>
  <c r="Q39" i="22"/>
  <c r="G40" i="22"/>
  <c r="P39" i="22"/>
  <c r="Z39" i="22"/>
  <c r="U39" i="22"/>
  <c r="N20" i="22"/>
  <c r="M19" i="22"/>
  <c r="X19" i="22" s="1"/>
  <c r="Q19" i="22"/>
  <c r="AA19" i="22"/>
  <c r="Z19" i="22"/>
  <c r="G20" i="22"/>
  <c r="P19" i="22"/>
  <c r="U19" i="22"/>
  <c r="M59" i="21"/>
  <c r="X59" i="21" s="1"/>
  <c r="Z59" i="21"/>
  <c r="Q59" i="21"/>
  <c r="G60" i="21"/>
  <c r="P59" i="21"/>
  <c r="U59" i="21"/>
  <c r="Q39" i="21"/>
  <c r="G40" i="21"/>
  <c r="P39" i="21"/>
  <c r="Z39" i="21"/>
  <c r="M39" i="21"/>
  <c r="X39" i="21" s="1"/>
  <c r="U39" i="21"/>
  <c r="N20" i="21"/>
  <c r="M19" i="21"/>
  <c r="X19" i="21" s="1"/>
  <c r="AA19" i="21"/>
  <c r="Z19" i="21"/>
  <c r="U19" i="21"/>
  <c r="G20" i="21"/>
  <c r="Q19" i="21"/>
  <c r="P19" i="21"/>
  <c r="H20" i="28"/>
  <c r="D19" i="28"/>
  <c r="S19" i="28" s="1"/>
  <c r="C19" i="28"/>
  <c r="R19" i="28" s="1"/>
  <c r="J18" i="28"/>
  <c r="L17" i="28"/>
  <c r="W17" i="28" s="1"/>
  <c r="AH22" i="28"/>
  <c r="AJ21" i="28"/>
  <c r="E21" i="28" s="1"/>
  <c r="AJ20" i="26"/>
  <c r="E20" i="26" s="1"/>
  <c r="AH21" i="26"/>
  <c r="C18" i="27"/>
  <c r="R18" i="27" s="1"/>
  <c r="H19" i="27"/>
  <c r="D18" i="27"/>
  <c r="S18" i="27" s="1"/>
  <c r="H19" i="26"/>
  <c r="D18" i="26"/>
  <c r="S18" i="26" s="1"/>
  <c r="C18" i="26"/>
  <c r="R18" i="26" s="1"/>
  <c r="J18" i="26"/>
  <c r="L17" i="26"/>
  <c r="W17" i="26" s="1"/>
  <c r="AJ22" i="27"/>
  <c r="E22" i="27" s="1"/>
  <c r="AH23" i="27"/>
  <c r="D20" i="25"/>
  <c r="S20" i="25" s="1"/>
  <c r="C20" i="25"/>
  <c r="R20" i="25" s="1"/>
  <c r="H21" i="25"/>
  <c r="J18" i="24"/>
  <c r="L17" i="24"/>
  <c r="W17" i="24" s="1"/>
  <c r="L18" i="25"/>
  <c r="W18" i="25" s="1"/>
  <c r="J19" i="25"/>
  <c r="AJ20" i="25"/>
  <c r="E20" i="25" s="1"/>
  <c r="AH21" i="25"/>
  <c r="AJ21" i="24"/>
  <c r="E21" i="24" s="1"/>
  <c r="AH22" i="24"/>
  <c r="J20" i="27"/>
  <c r="L19" i="27"/>
  <c r="W19" i="27" s="1"/>
  <c r="H19" i="24"/>
  <c r="D18" i="24"/>
  <c r="S18" i="24" s="1"/>
  <c r="C18" i="24"/>
  <c r="R18" i="24" s="1"/>
  <c r="L17" i="22"/>
  <c r="W17" i="22" s="1"/>
  <c r="J18" i="22"/>
  <c r="H20" i="22"/>
  <c r="C19" i="22"/>
  <c r="R19" i="22" s="1"/>
  <c r="D19" i="22"/>
  <c r="S19" i="22" s="1"/>
  <c r="H18" i="23"/>
  <c r="D17" i="23"/>
  <c r="S17" i="23" s="1"/>
  <c r="C17" i="23"/>
  <c r="R17" i="23" s="1"/>
  <c r="J18" i="23"/>
  <c r="L17" i="23"/>
  <c r="W17" i="23" s="1"/>
  <c r="AH22" i="23"/>
  <c r="AJ21" i="23"/>
  <c r="E21" i="23" s="1"/>
  <c r="AJ21" i="22"/>
  <c r="E21" i="22" s="1"/>
  <c r="AH22" i="22"/>
  <c r="C18" i="21"/>
  <c r="R18" i="21" s="1"/>
  <c r="D18" i="21"/>
  <c r="S18" i="21" s="1"/>
  <c r="H19" i="21"/>
  <c r="AJ21" i="21"/>
  <c r="E21" i="21" s="1"/>
  <c r="AH22" i="21"/>
  <c r="J18" i="21"/>
  <c r="L17" i="21"/>
  <c r="W17" i="21" s="1"/>
  <c r="J18" i="20"/>
  <c r="M16" i="20"/>
  <c r="X16" i="20" s="1"/>
  <c r="L16" i="20"/>
  <c r="W16" i="20" s="1"/>
  <c r="G17" i="20"/>
  <c r="AA16" i="20"/>
  <c r="C16" i="20"/>
  <c r="R16" i="20" s="1"/>
  <c r="D16" i="20"/>
  <c r="S16" i="20" s="1"/>
  <c r="Z16" i="20"/>
  <c r="H20" i="20"/>
  <c r="AJ21" i="20"/>
  <c r="E21" i="20" s="1"/>
  <c r="AH22" i="20"/>
  <c r="N20" i="20"/>
  <c r="O15" i="19"/>
  <c r="T15" i="19"/>
  <c r="U15" i="19"/>
  <c r="Z15" i="19"/>
  <c r="P15" i="19"/>
  <c r="C15" i="19"/>
  <c r="R15" i="19" s="1"/>
  <c r="D15" i="19"/>
  <c r="S15" i="19" s="1"/>
  <c r="Q15" i="19"/>
  <c r="AJ22" i="19"/>
  <c r="E22" i="19" s="1"/>
  <c r="AH23" i="19"/>
  <c r="N21" i="19"/>
  <c r="H17" i="19"/>
  <c r="J17" i="19"/>
  <c r="M15" i="19"/>
  <c r="X15" i="19" s="1"/>
  <c r="L15" i="19"/>
  <c r="W15" i="19" s="1"/>
  <c r="G16" i="19"/>
  <c r="Q16" i="19" s="1"/>
  <c r="AA14" i="7"/>
  <c r="T14" i="7"/>
  <c r="O14" i="7"/>
  <c r="C14" i="7"/>
  <c r="R14" i="7" s="1"/>
  <c r="G15" i="7"/>
  <c r="M14" i="7"/>
  <c r="X14" i="7" s="1"/>
  <c r="L14" i="7"/>
  <c r="W14" i="7" s="1"/>
  <c r="D14" i="7"/>
  <c r="S14" i="7" s="1"/>
  <c r="U14" i="7"/>
  <c r="Z14" i="7"/>
  <c r="P14" i="7"/>
  <c r="Q14" i="7"/>
  <c r="O16" i="18"/>
  <c r="D16" i="18"/>
  <c r="C16" i="18"/>
  <c r="Q14" i="17"/>
  <c r="D14" i="17"/>
  <c r="C14" i="17"/>
  <c r="D15" i="16"/>
  <c r="C15" i="16"/>
  <c r="C14" i="15"/>
  <c r="R14" i="15" s="1"/>
  <c r="D14" i="15"/>
  <c r="S14" i="15" s="1"/>
  <c r="C15" i="14"/>
  <c r="R15" i="14" s="1"/>
  <c r="D15" i="14"/>
  <c r="S15" i="14" s="1"/>
  <c r="C14" i="13"/>
  <c r="D14" i="13"/>
  <c r="D16" i="12"/>
  <c r="C16" i="12"/>
  <c r="O16" i="11"/>
  <c r="D16" i="11"/>
  <c r="C16" i="11"/>
  <c r="D15" i="10"/>
  <c r="C15" i="10"/>
  <c r="C15" i="9"/>
  <c r="D15" i="9"/>
  <c r="D16" i="8"/>
  <c r="S16" i="8" s="1"/>
  <c r="C16" i="8"/>
  <c r="D16" i="6"/>
  <c r="C16" i="6"/>
  <c r="C14" i="4"/>
  <c r="D14" i="4"/>
  <c r="G17" i="1"/>
  <c r="U16" i="1"/>
  <c r="Q16" i="1"/>
  <c r="P16" i="1"/>
  <c r="Z16" i="1"/>
  <c r="AA16" i="1"/>
  <c r="M16" i="1"/>
  <c r="X16" i="1" s="1"/>
  <c r="L16" i="1"/>
  <c r="W16" i="1" s="1"/>
  <c r="T16" i="1"/>
  <c r="O16" i="1"/>
  <c r="T14" i="17"/>
  <c r="U14" i="17"/>
  <c r="P14" i="17"/>
  <c r="S15" i="16"/>
  <c r="S15" i="12"/>
  <c r="N18" i="18"/>
  <c r="R16" i="18"/>
  <c r="AA16" i="18"/>
  <c r="Z16" i="18"/>
  <c r="S16" i="18"/>
  <c r="H17" i="18"/>
  <c r="P16" i="18"/>
  <c r="J17" i="18"/>
  <c r="Q16" i="18"/>
  <c r="U16" i="18"/>
  <c r="T16" i="18"/>
  <c r="M16" i="18"/>
  <c r="X16" i="18" s="1"/>
  <c r="L16" i="18"/>
  <c r="W16" i="18" s="1"/>
  <c r="G17" i="18"/>
  <c r="AJ19" i="18"/>
  <c r="E19" i="18" s="1"/>
  <c r="AH20" i="18"/>
  <c r="J16" i="17"/>
  <c r="M14" i="17"/>
  <c r="X14" i="17" s="1"/>
  <c r="L14" i="17"/>
  <c r="W14" i="17" s="1"/>
  <c r="G15" i="17"/>
  <c r="S14" i="17"/>
  <c r="R14" i="17"/>
  <c r="AA14" i="17"/>
  <c r="Z14" i="17"/>
  <c r="H17" i="17"/>
  <c r="AJ20" i="17"/>
  <c r="E20" i="17" s="1"/>
  <c r="AH21" i="17"/>
  <c r="N19" i="17"/>
  <c r="O14" i="17"/>
  <c r="U16" i="6"/>
  <c r="J17" i="15"/>
  <c r="N18" i="14"/>
  <c r="AJ20" i="13"/>
  <c r="E20" i="13" s="1"/>
  <c r="AH21" i="13"/>
  <c r="N18" i="15"/>
  <c r="Q15" i="16"/>
  <c r="P15" i="16"/>
  <c r="J16" i="16"/>
  <c r="U15" i="16"/>
  <c r="T15" i="16"/>
  <c r="M15" i="14"/>
  <c r="X15" i="14" s="1"/>
  <c r="L15" i="14"/>
  <c r="W15" i="14" s="1"/>
  <c r="G16" i="14"/>
  <c r="H17" i="16"/>
  <c r="N19" i="13"/>
  <c r="H17" i="15"/>
  <c r="Z15" i="16"/>
  <c r="L14" i="13"/>
  <c r="W14" i="13" s="1"/>
  <c r="G15" i="13"/>
  <c r="M14" i="13"/>
  <c r="X14" i="13" s="1"/>
  <c r="U14" i="13"/>
  <c r="Q14" i="13"/>
  <c r="P14" i="13"/>
  <c r="T14" i="13"/>
  <c r="O14" i="13"/>
  <c r="AA14" i="13"/>
  <c r="S14" i="13"/>
  <c r="R14" i="13"/>
  <c r="Z14" i="13"/>
  <c r="M14" i="15"/>
  <c r="X14" i="15" s="1"/>
  <c r="L14" i="15"/>
  <c r="W14" i="15" s="1"/>
  <c r="G15" i="15"/>
  <c r="O14" i="15"/>
  <c r="AA14" i="15"/>
  <c r="Q14" i="15"/>
  <c r="Z14" i="15"/>
  <c r="P14" i="15"/>
  <c r="U14" i="15"/>
  <c r="T14" i="15"/>
  <c r="J18" i="13"/>
  <c r="AA15" i="16"/>
  <c r="R15" i="16"/>
  <c r="AH20" i="14"/>
  <c r="AJ19" i="14"/>
  <c r="E19" i="14" s="1"/>
  <c r="AJ19" i="15"/>
  <c r="E19" i="15" s="1"/>
  <c r="AH20" i="15"/>
  <c r="AA16" i="14"/>
  <c r="Z16" i="14"/>
  <c r="H17" i="14"/>
  <c r="O15" i="16"/>
  <c r="H17" i="13"/>
  <c r="AJ18" i="16"/>
  <c r="E18" i="16" s="1"/>
  <c r="AH19" i="16"/>
  <c r="J16" i="14"/>
  <c r="Q15" i="14"/>
  <c r="P15" i="14"/>
  <c r="U15" i="14"/>
  <c r="T15" i="14"/>
  <c r="O15" i="14"/>
  <c r="M15" i="16"/>
  <c r="X15" i="16" s="1"/>
  <c r="L15" i="16"/>
  <c r="W15" i="16" s="1"/>
  <c r="G16" i="16"/>
  <c r="N17" i="16"/>
  <c r="AJ19" i="11"/>
  <c r="E19" i="11" s="1"/>
  <c r="AH20" i="11"/>
  <c r="N18" i="10"/>
  <c r="G17" i="12"/>
  <c r="M16" i="12"/>
  <c r="X16" i="12" s="1"/>
  <c r="G17" i="11"/>
  <c r="M16" i="11"/>
  <c r="X16" i="11" s="1"/>
  <c r="L16" i="11"/>
  <c r="W16" i="11" s="1"/>
  <c r="N18" i="11"/>
  <c r="R15" i="10"/>
  <c r="AA15" i="10"/>
  <c r="Z15" i="10"/>
  <c r="S15" i="10"/>
  <c r="H16" i="10"/>
  <c r="S16" i="11"/>
  <c r="R16" i="11"/>
  <c r="AA16" i="11"/>
  <c r="Z16" i="11"/>
  <c r="H17" i="11"/>
  <c r="T16" i="11"/>
  <c r="Q16" i="11"/>
  <c r="P16" i="11"/>
  <c r="U16" i="11"/>
  <c r="AJ19" i="10"/>
  <c r="E19" i="10" s="1"/>
  <c r="AH20" i="10"/>
  <c r="N18" i="12"/>
  <c r="S16" i="12"/>
  <c r="R16" i="12"/>
  <c r="AA16" i="12"/>
  <c r="Z16" i="12"/>
  <c r="H17" i="12"/>
  <c r="J19" i="11"/>
  <c r="Q15" i="12"/>
  <c r="P15" i="12"/>
  <c r="J16" i="12"/>
  <c r="U15" i="12"/>
  <c r="T15" i="12"/>
  <c r="O15" i="12"/>
  <c r="N18" i="9"/>
  <c r="AJ19" i="12"/>
  <c r="E19" i="12" s="1"/>
  <c r="AH20" i="12"/>
  <c r="M15" i="10"/>
  <c r="X15" i="10" s="1"/>
  <c r="L15" i="10"/>
  <c r="W15" i="10" s="1"/>
  <c r="G16" i="10"/>
  <c r="O17" i="11"/>
  <c r="U15" i="9"/>
  <c r="Q15" i="9"/>
  <c r="P15" i="9"/>
  <c r="J16" i="9"/>
  <c r="T15" i="9"/>
  <c r="O15" i="9"/>
  <c r="P15" i="10"/>
  <c r="J16" i="10"/>
  <c r="Q15" i="10"/>
  <c r="U15" i="10"/>
  <c r="T15" i="10"/>
  <c r="O15" i="10"/>
  <c r="G16" i="9"/>
  <c r="M15" i="9"/>
  <c r="X15" i="9" s="1"/>
  <c r="L15" i="9"/>
  <c r="W15" i="9" s="1"/>
  <c r="S15" i="9"/>
  <c r="R15" i="9"/>
  <c r="AA15" i="9"/>
  <c r="Z15" i="9"/>
  <c r="H18" i="9"/>
  <c r="AJ19" i="9"/>
  <c r="E19" i="9" s="1"/>
  <c r="AH20" i="9"/>
  <c r="L15" i="12"/>
  <c r="W15" i="12" s="1"/>
  <c r="Q16" i="8"/>
  <c r="P16" i="8"/>
  <c r="J17" i="8"/>
  <c r="U16" i="8"/>
  <c r="T16" i="8"/>
  <c r="O16" i="8"/>
  <c r="G17" i="8"/>
  <c r="M16" i="8"/>
  <c r="X16" i="8" s="1"/>
  <c r="L16" i="8"/>
  <c r="W16" i="8" s="1"/>
  <c r="R16" i="8"/>
  <c r="AA16" i="8"/>
  <c r="Z16" i="8"/>
  <c r="H17" i="8"/>
  <c r="AJ20" i="8"/>
  <c r="E20" i="8" s="1"/>
  <c r="AH21" i="8"/>
  <c r="N19" i="8"/>
  <c r="J18" i="7"/>
  <c r="H18" i="7"/>
  <c r="AH21" i="7"/>
  <c r="AJ20" i="7"/>
  <c r="E20" i="7" s="1"/>
  <c r="N19" i="7"/>
  <c r="O16" i="6"/>
  <c r="Q16" i="6"/>
  <c r="R16" i="6"/>
  <c r="AA16" i="6"/>
  <c r="Z16" i="6"/>
  <c r="H17" i="6"/>
  <c r="S16" i="6"/>
  <c r="T16" i="6"/>
  <c r="O17" i="6"/>
  <c r="J18" i="6"/>
  <c r="M16" i="6"/>
  <c r="X16" i="6" s="1"/>
  <c r="L16" i="6"/>
  <c r="W16" i="6" s="1"/>
  <c r="G17" i="6"/>
  <c r="P16" i="6"/>
  <c r="AJ19" i="6"/>
  <c r="E19" i="6" s="1"/>
  <c r="AH20" i="6"/>
  <c r="N18" i="6"/>
  <c r="J19" i="4"/>
  <c r="G15" i="4"/>
  <c r="M14" i="4"/>
  <c r="X14" i="4" s="1"/>
  <c r="L14" i="4"/>
  <c r="W14" i="4" s="1"/>
  <c r="O14" i="4"/>
  <c r="AA14" i="4"/>
  <c r="Z14" i="4"/>
  <c r="U14" i="4"/>
  <c r="P14" i="4"/>
  <c r="S14" i="4"/>
  <c r="T14" i="4"/>
  <c r="R14" i="4"/>
  <c r="Q14" i="4"/>
  <c r="H17" i="4"/>
  <c r="AJ19" i="4"/>
  <c r="E19" i="4" s="1"/>
  <c r="AH20" i="4"/>
  <c r="N18" i="4"/>
  <c r="H17" i="1"/>
  <c r="D16" i="1"/>
  <c r="S16" i="1" s="1"/>
  <c r="C16" i="1"/>
  <c r="R16" i="1" s="1"/>
  <c r="M60" i="27" l="1"/>
  <c r="X60" i="27" s="1"/>
  <c r="Z60" i="27"/>
  <c r="P60" i="27"/>
  <c r="Q60" i="27"/>
  <c r="G61" i="27"/>
  <c r="U60" i="27"/>
  <c r="Q40" i="27"/>
  <c r="G41" i="27"/>
  <c r="P40" i="27"/>
  <c r="Z40" i="27"/>
  <c r="U40" i="27"/>
  <c r="M40" i="27"/>
  <c r="X40" i="27" s="1"/>
  <c r="O21" i="27"/>
  <c r="M20" i="27"/>
  <c r="X20" i="27" s="1"/>
  <c r="Q20" i="27"/>
  <c r="G21" i="27"/>
  <c r="P20" i="27"/>
  <c r="AA20" i="27"/>
  <c r="Z20" i="27"/>
  <c r="U20" i="27"/>
  <c r="T20" i="27"/>
  <c r="N22" i="27"/>
  <c r="M60" i="28"/>
  <c r="X60" i="28" s="1"/>
  <c r="G61" i="28"/>
  <c r="Z60" i="28"/>
  <c r="U60" i="28"/>
  <c r="P60" i="28"/>
  <c r="Q60" i="28"/>
  <c r="M40" i="28"/>
  <c r="X40" i="28" s="1"/>
  <c r="Q40" i="28"/>
  <c r="G41" i="28"/>
  <c r="P40" i="28"/>
  <c r="Z40" i="28"/>
  <c r="U40" i="28"/>
  <c r="M20" i="28"/>
  <c r="X20" i="28" s="1"/>
  <c r="Z20" i="28"/>
  <c r="AA20" i="28"/>
  <c r="Q20" i="28"/>
  <c r="G21" i="28"/>
  <c r="P20" i="28"/>
  <c r="U20" i="28"/>
  <c r="N21" i="28"/>
  <c r="O21" i="28" s="1"/>
  <c r="T21" i="28"/>
  <c r="M60" i="26"/>
  <c r="X60" i="26" s="1"/>
  <c r="Z60" i="26"/>
  <c r="P60" i="26"/>
  <c r="G61" i="26"/>
  <c r="Q60" i="26"/>
  <c r="U60" i="26"/>
  <c r="M40" i="26"/>
  <c r="X40" i="26" s="1"/>
  <c r="Q40" i="26"/>
  <c r="G41" i="26"/>
  <c r="P40" i="26"/>
  <c r="Z40" i="26"/>
  <c r="U40" i="26"/>
  <c r="M20" i="26"/>
  <c r="X20" i="26" s="1"/>
  <c r="Z20" i="26"/>
  <c r="Q20" i="26"/>
  <c r="G21" i="26"/>
  <c r="P20" i="26"/>
  <c r="U20" i="26"/>
  <c r="N20" i="26"/>
  <c r="O20" i="26" s="1"/>
  <c r="T20" i="26"/>
  <c r="M61" i="25"/>
  <c r="X61" i="25" s="1"/>
  <c r="Q61" i="25"/>
  <c r="G62" i="25"/>
  <c r="P61" i="25"/>
  <c r="Z61" i="25"/>
  <c r="U61" i="25"/>
  <c r="M40" i="25"/>
  <c r="X40" i="25" s="1"/>
  <c r="Z40" i="25"/>
  <c r="U40" i="25"/>
  <c r="G41" i="25"/>
  <c r="P40" i="25"/>
  <c r="Q40" i="25"/>
  <c r="AA19" i="25"/>
  <c r="N20" i="25"/>
  <c r="O20" i="25" s="1"/>
  <c r="T20" i="25"/>
  <c r="Q20" i="25"/>
  <c r="G21" i="25"/>
  <c r="P20" i="25"/>
  <c r="Z20" i="25"/>
  <c r="M20" i="25"/>
  <c r="X20" i="25" s="1"/>
  <c r="U20" i="25"/>
  <c r="M61" i="24"/>
  <c r="X61" i="24" s="1"/>
  <c r="Z61" i="24"/>
  <c r="P61" i="24"/>
  <c r="G62" i="24"/>
  <c r="Q61" i="24"/>
  <c r="U61" i="24"/>
  <c r="M40" i="24"/>
  <c r="X40" i="24" s="1"/>
  <c r="Q40" i="24"/>
  <c r="G41" i="24"/>
  <c r="P40" i="24"/>
  <c r="Z40" i="24"/>
  <c r="U40" i="24"/>
  <c r="N21" i="24"/>
  <c r="O21" i="24" s="1"/>
  <c r="M20" i="24"/>
  <c r="X20" i="24" s="1"/>
  <c r="AA20" i="24"/>
  <c r="Q20" i="24"/>
  <c r="G21" i="24"/>
  <c r="P20" i="24"/>
  <c r="Z20" i="24"/>
  <c r="U20" i="24"/>
  <c r="T20" i="24"/>
  <c r="O20" i="24"/>
  <c r="M60" i="23"/>
  <c r="X60" i="23" s="1"/>
  <c r="Q60" i="23"/>
  <c r="G61" i="23"/>
  <c r="P60" i="23"/>
  <c r="Z60" i="23"/>
  <c r="U60" i="23"/>
  <c r="M20" i="23"/>
  <c r="X20" i="23" s="1"/>
  <c r="Q20" i="23"/>
  <c r="G21" i="23"/>
  <c r="P20" i="23"/>
  <c r="AA20" i="23"/>
  <c r="Z20" i="23"/>
  <c r="U20" i="23"/>
  <c r="T20" i="23"/>
  <c r="N21" i="23"/>
  <c r="O21" i="23" s="1"/>
  <c r="T21" i="23"/>
  <c r="O20" i="23"/>
  <c r="M60" i="22"/>
  <c r="X60" i="22" s="1"/>
  <c r="Q60" i="22"/>
  <c r="G61" i="22"/>
  <c r="P60" i="22"/>
  <c r="Z60" i="22"/>
  <c r="U60" i="22"/>
  <c r="M40" i="22"/>
  <c r="X40" i="22" s="1"/>
  <c r="Q40" i="22"/>
  <c r="G41" i="22"/>
  <c r="P40" i="22"/>
  <c r="Z40" i="22"/>
  <c r="U40" i="22"/>
  <c r="M20" i="22"/>
  <c r="X20" i="22" s="1"/>
  <c r="AA20" i="22"/>
  <c r="Z20" i="22"/>
  <c r="P20" i="22"/>
  <c r="G21" i="22"/>
  <c r="Q20" i="22"/>
  <c r="U20" i="22"/>
  <c r="N21" i="22"/>
  <c r="O21" i="22" s="1"/>
  <c r="T21" i="22"/>
  <c r="T20" i="22"/>
  <c r="O20" i="22"/>
  <c r="M60" i="21"/>
  <c r="X60" i="21" s="1"/>
  <c r="Z60" i="21"/>
  <c r="Q60" i="21"/>
  <c r="G61" i="21"/>
  <c r="P60" i="21"/>
  <c r="U60" i="21"/>
  <c r="Q40" i="21"/>
  <c r="G41" i="21"/>
  <c r="P40" i="21"/>
  <c r="U40" i="21"/>
  <c r="Z40" i="21"/>
  <c r="M40" i="21"/>
  <c r="X40" i="21" s="1"/>
  <c r="Z20" i="21"/>
  <c r="Q20" i="21"/>
  <c r="G21" i="21"/>
  <c r="P20" i="21"/>
  <c r="AA20" i="21"/>
  <c r="U20" i="21"/>
  <c r="M20" i="21"/>
  <c r="X20" i="21" s="1"/>
  <c r="N21" i="21"/>
  <c r="O21" i="21" s="1"/>
  <c r="T21" i="21"/>
  <c r="T20" i="21"/>
  <c r="O20" i="21"/>
  <c r="AJ22" i="28"/>
  <c r="E22" i="28" s="1"/>
  <c r="AH23" i="28"/>
  <c r="L18" i="28"/>
  <c r="W18" i="28" s="1"/>
  <c r="J19" i="28"/>
  <c r="H21" i="28"/>
  <c r="C20" i="28"/>
  <c r="R20" i="28" s="1"/>
  <c r="D20" i="28"/>
  <c r="S20" i="28" s="1"/>
  <c r="AJ22" i="24"/>
  <c r="E22" i="24" s="1"/>
  <c r="AH23" i="24"/>
  <c r="J21" i="27"/>
  <c r="AJ23" i="27"/>
  <c r="E23" i="27" s="1"/>
  <c r="AH24" i="27"/>
  <c r="AJ21" i="25"/>
  <c r="E21" i="25" s="1"/>
  <c r="AH22" i="25"/>
  <c r="J19" i="26"/>
  <c r="L18" i="26"/>
  <c r="W18" i="26" s="1"/>
  <c r="J20" i="25"/>
  <c r="L19" i="25"/>
  <c r="W19" i="25" s="1"/>
  <c r="D19" i="26"/>
  <c r="S19" i="26" s="1"/>
  <c r="C19" i="26"/>
  <c r="R19" i="26" s="1"/>
  <c r="H20" i="26"/>
  <c r="J19" i="24"/>
  <c r="L18" i="24"/>
  <c r="W18" i="24" s="1"/>
  <c r="H20" i="27"/>
  <c r="C19" i="27"/>
  <c r="R19" i="27" s="1"/>
  <c r="D19" i="27"/>
  <c r="S19" i="27" s="1"/>
  <c r="D21" i="25"/>
  <c r="S21" i="25" s="1"/>
  <c r="C21" i="25"/>
  <c r="R21" i="25" s="1"/>
  <c r="H22" i="25"/>
  <c r="D19" i="24"/>
  <c r="S19" i="24" s="1"/>
  <c r="C19" i="24"/>
  <c r="R19" i="24" s="1"/>
  <c r="H20" i="24"/>
  <c r="AJ21" i="26"/>
  <c r="E21" i="26" s="1"/>
  <c r="AH22" i="26"/>
  <c r="AJ22" i="23"/>
  <c r="E22" i="23" s="1"/>
  <c r="AH23" i="23"/>
  <c r="J19" i="23"/>
  <c r="L18" i="23"/>
  <c r="W18" i="23" s="1"/>
  <c r="C18" i="23"/>
  <c r="R18" i="23" s="1"/>
  <c r="H19" i="23"/>
  <c r="D18" i="23"/>
  <c r="S18" i="23" s="1"/>
  <c r="H21" i="22"/>
  <c r="D20" i="22"/>
  <c r="S20" i="22" s="1"/>
  <c r="C20" i="22"/>
  <c r="R20" i="22" s="1"/>
  <c r="AJ22" i="22"/>
  <c r="E22" i="22" s="1"/>
  <c r="AH23" i="22"/>
  <c r="L18" i="22"/>
  <c r="W18" i="22" s="1"/>
  <c r="J19" i="22"/>
  <c r="J19" i="21"/>
  <c r="L18" i="21"/>
  <c r="W18" i="21" s="1"/>
  <c r="AH23" i="21"/>
  <c r="AJ22" i="21"/>
  <c r="E22" i="21" s="1"/>
  <c r="H20" i="21"/>
  <c r="D19" i="21"/>
  <c r="S19" i="21" s="1"/>
  <c r="C19" i="21"/>
  <c r="R19" i="21" s="1"/>
  <c r="AH23" i="20"/>
  <c r="AJ22" i="20"/>
  <c r="E22" i="20" s="1"/>
  <c r="L17" i="20"/>
  <c r="W17" i="20" s="1"/>
  <c r="G18" i="20"/>
  <c r="P18" i="20" s="1"/>
  <c r="M17" i="20"/>
  <c r="X17" i="20" s="1"/>
  <c r="C17" i="20"/>
  <c r="R17" i="20" s="1"/>
  <c r="Z17" i="20"/>
  <c r="D17" i="20"/>
  <c r="S17" i="20" s="1"/>
  <c r="AA17" i="20"/>
  <c r="N21" i="20"/>
  <c r="O17" i="20"/>
  <c r="T17" i="20"/>
  <c r="H21" i="20"/>
  <c r="Q17" i="20"/>
  <c r="U17" i="20"/>
  <c r="J19" i="20"/>
  <c r="P17" i="20"/>
  <c r="Z16" i="19"/>
  <c r="P16" i="19"/>
  <c r="J18" i="19"/>
  <c r="H18" i="19"/>
  <c r="M16" i="19"/>
  <c r="X16" i="19" s="1"/>
  <c r="L16" i="19"/>
  <c r="W16" i="19" s="1"/>
  <c r="G17" i="19"/>
  <c r="U17" i="19" s="1"/>
  <c r="AA16" i="19"/>
  <c r="C16" i="19"/>
  <c r="R16" i="19" s="1"/>
  <c r="D16" i="19"/>
  <c r="S16" i="19" s="1"/>
  <c r="O16" i="19"/>
  <c r="T16" i="19"/>
  <c r="AJ23" i="19"/>
  <c r="E23" i="19" s="1"/>
  <c r="AH24" i="19"/>
  <c r="U16" i="19"/>
  <c r="N22" i="19"/>
  <c r="AA15" i="7"/>
  <c r="Q15" i="7"/>
  <c r="U15" i="7"/>
  <c r="Z15" i="7"/>
  <c r="M15" i="7"/>
  <c r="X15" i="7" s="1"/>
  <c r="T15" i="7"/>
  <c r="G16" i="7"/>
  <c r="P15" i="7"/>
  <c r="D15" i="7"/>
  <c r="S15" i="7" s="1"/>
  <c r="L15" i="7"/>
  <c r="W15" i="7" s="1"/>
  <c r="C15" i="7"/>
  <c r="R15" i="7" s="1"/>
  <c r="O15" i="7"/>
  <c r="D17" i="18"/>
  <c r="C17" i="18"/>
  <c r="D15" i="17"/>
  <c r="C15" i="17"/>
  <c r="D16" i="16"/>
  <c r="S16" i="16" s="1"/>
  <c r="C16" i="16"/>
  <c r="R16" i="16" s="1"/>
  <c r="D15" i="15"/>
  <c r="C15" i="15"/>
  <c r="D16" i="14"/>
  <c r="S16" i="14" s="1"/>
  <c r="C16" i="14"/>
  <c r="R16" i="14" s="1"/>
  <c r="D15" i="13"/>
  <c r="S15" i="13" s="1"/>
  <c r="C15" i="13"/>
  <c r="R15" i="13" s="1"/>
  <c r="D17" i="12"/>
  <c r="C17" i="12"/>
  <c r="D17" i="11"/>
  <c r="C17" i="11"/>
  <c r="D16" i="10"/>
  <c r="C16" i="10"/>
  <c r="D16" i="9"/>
  <c r="C16" i="9"/>
  <c r="D17" i="8"/>
  <c r="C17" i="8"/>
  <c r="U17" i="6"/>
  <c r="D17" i="6"/>
  <c r="C17" i="6"/>
  <c r="D15" i="4"/>
  <c r="C15" i="4"/>
  <c r="G18" i="1"/>
  <c r="Q17" i="1"/>
  <c r="P17" i="1"/>
  <c r="U17" i="1"/>
  <c r="Z17" i="1"/>
  <c r="M17" i="1"/>
  <c r="X17" i="1" s="1"/>
  <c r="L17" i="1"/>
  <c r="W17" i="1" s="1"/>
  <c r="AA17" i="1"/>
  <c r="T17" i="1"/>
  <c r="O17" i="1"/>
  <c r="AA16" i="16"/>
  <c r="Q17" i="6"/>
  <c r="J18" i="18"/>
  <c r="Q17" i="18"/>
  <c r="U17" i="18"/>
  <c r="P17" i="18"/>
  <c r="T17" i="18"/>
  <c r="AA17" i="18"/>
  <c r="Z17" i="18"/>
  <c r="H18" i="18"/>
  <c r="S17" i="18"/>
  <c r="R17" i="18"/>
  <c r="AJ20" i="18"/>
  <c r="E20" i="18" s="1"/>
  <c r="AH21" i="18"/>
  <c r="N19" i="18"/>
  <c r="M17" i="18"/>
  <c r="X17" i="18" s="1"/>
  <c r="L17" i="18"/>
  <c r="W17" i="18" s="1"/>
  <c r="G18" i="18"/>
  <c r="O17" i="18"/>
  <c r="M15" i="17"/>
  <c r="X15" i="17" s="1"/>
  <c r="L15" i="17"/>
  <c r="W15" i="17" s="1"/>
  <c r="G16" i="17"/>
  <c r="S15" i="17"/>
  <c r="R15" i="17"/>
  <c r="AA15" i="17"/>
  <c r="Z15" i="17"/>
  <c r="AJ21" i="17"/>
  <c r="E21" i="17" s="1"/>
  <c r="AH22" i="17"/>
  <c r="N20" i="17"/>
  <c r="H18" i="17"/>
  <c r="O15" i="17"/>
  <c r="T15" i="17"/>
  <c r="U15" i="17"/>
  <c r="Q16" i="17"/>
  <c r="P16" i="17"/>
  <c r="J17" i="17"/>
  <c r="U16" i="17"/>
  <c r="T16" i="17"/>
  <c r="O16" i="17"/>
  <c r="P15" i="17"/>
  <c r="Q15" i="17"/>
  <c r="N18" i="16"/>
  <c r="AJ20" i="15"/>
  <c r="E20" i="15" s="1"/>
  <c r="AH21" i="15"/>
  <c r="AJ21" i="13"/>
  <c r="E21" i="13" s="1"/>
  <c r="AH22" i="13"/>
  <c r="G16" i="13"/>
  <c r="L15" i="13"/>
  <c r="W15" i="13" s="1"/>
  <c r="M15" i="13"/>
  <c r="X15" i="13" s="1"/>
  <c r="Q15" i="13"/>
  <c r="T15" i="13"/>
  <c r="AA15" i="13"/>
  <c r="Z15" i="13"/>
  <c r="O15" i="13"/>
  <c r="U15" i="13"/>
  <c r="P15" i="13"/>
  <c r="M16" i="16"/>
  <c r="X16" i="16" s="1"/>
  <c r="L16" i="16"/>
  <c r="W16" i="16" s="1"/>
  <c r="G17" i="16"/>
  <c r="N19" i="15"/>
  <c r="M16" i="14"/>
  <c r="X16" i="14" s="1"/>
  <c r="L16" i="14"/>
  <c r="W16" i="14" s="1"/>
  <c r="G17" i="14"/>
  <c r="N20" i="13"/>
  <c r="N19" i="14"/>
  <c r="H18" i="15"/>
  <c r="AH20" i="16"/>
  <c r="AJ19" i="16"/>
  <c r="E19" i="16" s="1"/>
  <c r="AJ20" i="14"/>
  <c r="E20" i="14" s="1"/>
  <c r="AH21" i="14"/>
  <c r="H18" i="13"/>
  <c r="Q16" i="16"/>
  <c r="P16" i="16"/>
  <c r="J17" i="16"/>
  <c r="O17" i="16" s="1"/>
  <c r="U16" i="16"/>
  <c r="T16" i="16"/>
  <c r="H18" i="16"/>
  <c r="J17" i="14"/>
  <c r="Q16" i="14"/>
  <c r="P16" i="14"/>
  <c r="U16" i="14"/>
  <c r="T16" i="14"/>
  <c r="O16" i="14"/>
  <c r="H18" i="14"/>
  <c r="J19" i="13"/>
  <c r="M15" i="15"/>
  <c r="X15" i="15" s="1"/>
  <c r="L15" i="15"/>
  <c r="W15" i="15" s="1"/>
  <c r="G16" i="15"/>
  <c r="Q15" i="15"/>
  <c r="T15" i="15"/>
  <c r="R15" i="15"/>
  <c r="O15" i="15"/>
  <c r="AA15" i="15"/>
  <c r="Z15" i="15"/>
  <c r="U15" i="15"/>
  <c r="S15" i="15"/>
  <c r="P15" i="15"/>
  <c r="Z16" i="16"/>
  <c r="O16" i="16"/>
  <c r="J18" i="15"/>
  <c r="S17" i="11"/>
  <c r="R17" i="11"/>
  <c r="AA17" i="11"/>
  <c r="Z17" i="11"/>
  <c r="H18" i="11"/>
  <c r="T17" i="11"/>
  <c r="Q17" i="11"/>
  <c r="P17" i="11"/>
  <c r="U17" i="11"/>
  <c r="N19" i="9"/>
  <c r="G17" i="9"/>
  <c r="M16" i="9"/>
  <c r="X16" i="9" s="1"/>
  <c r="L16" i="9"/>
  <c r="W16" i="9" s="1"/>
  <c r="S16" i="9"/>
  <c r="R16" i="9"/>
  <c r="AA16" i="9"/>
  <c r="Z16" i="9"/>
  <c r="Q16" i="12"/>
  <c r="P16" i="12"/>
  <c r="J17" i="12"/>
  <c r="L17" i="12" s="1"/>
  <c r="W17" i="12" s="1"/>
  <c r="U16" i="12"/>
  <c r="T16" i="12"/>
  <c r="O16" i="12"/>
  <c r="M17" i="11"/>
  <c r="X17" i="11" s="1"/>
  <c r="L17" i="11"/>
  <c r="W17" i="11" s="1"/>
  <c r="G18" i="11"/>
  <c r="L16" i="12"/>
  <c r="W16" i="12" s="1"/>
  <c r="M16" i="10"/>
  <c r="X16" i="10" s="1"/>
  <c r="L16" i="10"/>
  <c r="W16" i="10" s="1"/>
  <c r="G17" i="10"/>
  <c r="AH21" i="9"/>
  <c r="AJ20" i="9"/>
  <c r="E20" i="9" s="1"/>
  <c r="AJ20" i="10"/>
  <c r="E20" i="10" s="1"/>
  <c r="AH21" i="10"/>
  <c r="AA16" i="10"/>
  <c r="Z16" i="10"/>
  <c r="H17" i="10"/>
  <c r="S16" i="10"/>
  <c r="R16" i="10"/>
  <c r="M17" i="12"/>
  <c r="X17" i="12" s="1"/>
  <c r="G18" i="12"/>
  <c r="J20" i="11"/>
  <c r="N19" i="10"/>
  <c r="H19" i="9"/>
  <c r="J17" i="10"/>
  <c r="Q16" i="10"/>
  <c r="U16" i="10"/>
  <c r="P16" i="10"/>
  <c r="T16" i="10"/>
  <c r="O16" i="10"/>
  <c r="AJ20" i="12"/>
  <c r="E20" i="12" s="1"/>
  <c r="AH21" i="12"/>
  <c r="J17" i="9"/>
  <c r="Q16" i="9"/>
  <c r="P16" i="9"/>
  <c r="U16" i="9"/>
  <c r="T16" i="9"/>
  <c r="O16" i="9"/>
  <c r="N19" i="12"/>
  <c r="AJ20" i="11"/>
  <c r="E20" i="11" s="1"/>
  <c r="AH21" i="11"/>
  <c r="AA17" i="12"/>
  <c r="Z17" i="12"/>
  <c r="H18" i="12"/>
  <c r="N19" i="11"/>
  <c r="L17" i="8"/>
  <c r="W17" i="8" s="1"/>
  <c r="G18" i="8"/>
  <c r="M17" i="8"/>
  <c r="X17" i="8" s="1"/>
  <c r="AJ21" i="8"/>
  <c r="E21" i="8" s="1"/>
  <c r="AH22" i="8"/>
  <c r="N20" i="8"/>
  <c r="S17" i="8"/>
  <c r="R17" i="8"/>
  <c r="Z17" i="8"/>
  <c r="H18" i="8"/>
  <c r="AA17" i="8"/>
  <c r="Q17" i="8"/>
  <c r="P17" i="8"/>
  <c r="J18" i="8"/>
  <c r="U17" i="8"/>
  <c r="T17" i="8"/>
  <c r="O17" i="8"/>
  <c r="H19" i="7"/>
  <c r="N20" i="7"/>
  <c r="AJ21" i="7"/>
  <c r="E21" i="7" s="1"/>
  <c r="AH22" i="7"/>
  <c r="J19" i="7"/>
  <c r="N19" i="6"/>
  <c r="Z17" i="6"/>
  <c r="H18" i="6"/>
  <c r="S17" i="6"/>
  <c r="R17" i="6"/>
  <c r="AA17" i="6"/>
  <c r="T17" i="6"/>
  <c r="L17" i="6"/>
  <c r="W17" i="6" s="1"/>
  <c r="M17" i="6"/>
  <c r="X17" i="6" s="1"/>
  <c r="G18" i="6"/>
  <c r="P18" i="6" s="1"/>
  <c r="J19" i="6"/>
  <c r="U18" i="6"/>
  <c r="AJ20" i="6"/>
  <c r="E20" i="6" s="1"/>
  <c r="AH21" i="6"/>
  <c r="P17" i="6"/>
  <c r="G16" i="4"/>
  <c r="L15" i="4"/>
  <c r="W15" i="4" s="1"/>
  <c r="M15" i="4"/>
  <c r="X15" i="4" s="1"/>
  <c r="O15" i="4"/>
  <c r="U15" i="4"/>
  <c r="S15" i="4"/>
  <c r="R15" i="4"/>
  <c r="Z15" i="4"/>
  <c r="AA15" i="4"/>
  <c r="T15" i="4"/>
  <c r="Q15" i="4"/>
  <c r="P15" i="4"/>
  <c r="AJ20" i="4"/>
  <c r="E20" i="4" s="1"/>
  <c r="AH21" i="4"/>
  <c r="J20" i="4"/>
  <c r="N19" i="4"/>
  <c r="H18" i="4"/>
  <c r="H18" i="1"/>
  <c r="D17" i="1"/>
  <c r="S17" i="1" s="1"/>
  <c r="C17" i="1"/>
  <c r="R17" i="1" s="1"/>
  <c r="M61" i="27" l="1"/>
  <c r="X61" i="27" s="1"/>
  <c r="Q61" i="27"/>
  <c r="G62" i="27"/>
  <c r="P61" i="27"/>
  <c r="Z61" i="27"/>
  <c r="U61" i="27"/>
  <c r="M41" i="27"/>
  <c r="X41" i="27" s="1"/>
  <c r="G42" i="27"/>
  <c r="P41" i="27"/>
  <c r="Z41" i="27"/>
  <c r="U41" i="27"/>
  <c r="Q41" i="27"/>
  <c r="M21" i="27"/>
  <c r="X21" i="27" s="1"/>
  <c r="U21" i="27"/>
  <c r="Q21" i="27"/>
  <c r="G22" i="27"/>
  <c r="P21" i="27"/>
  <c r="Z21" i="27"/>
  <c r="AA21" i="27"/>
  <c r="T21" i="27"/>
  <c r="N23" i="27"/>
  <c r="M61" i="28"/>
  <c r="X61" i="28" s="1"/>
  <c r="Z61" i="28"/>
  <c r="Q61" i="28"/>
  <c r="G62" i="28"/>
  <c r="P61" i="28"/>
  <c r="U61" i="28"/>
  <c r="M41" i="28"/>
  <c r="X41" i="28" s="1"/>
  <c r="G42" i="28"/>
  <c r="P41" i="28"/>
  <c r="Z41" i="28"/>
  <c r="U41" i="28"/>
  <c r="Q41" i="28"/>
  <c r="M21" i="28"/>
  <c r="X21" i="28" s="1"/>
  <c r="Q21" i="28"/>
  <c r="G22" i="28"/>
  <c r="P21" i="28"/>
  <c r="AA21" i="28"/>
  <c r="Z21" i="28"/>
  <c r="U21" i="28"/>
  <c r="N22" i="28"/>
  <c r="O22" i="28" s="1"/>
  <c r="T22" i="28"/>
  <c r="M61" i="26"/>
  <c r="X61" i="26" s="1"/>
  <c r="Z61" i="26"/>
  <c r="U61" i="26"/>
  <c r="Q61" i="26"/>
  <c r="G62" i="26"/>
  <c r="P61" i="26"/>
  <c r="M41" i="26"/>
  <c r="X41" i="26" s="1"/>
  <c r="Q41" i="26"/>
  <c r="G42" i="26"/>
  <c r="P41" i="26"/>
  <c r="Z41" i="26"/>
  <c r="U41" i="26"/>
  <c r="AA20" i="26"/>
  <c r="N21" i="26"/>
  <c r="O21" i="26" s="1"/>
  <c r="T21" i="26"/>
  <c r="M21" i="26"/>
  <c r="X21" i="26" s="1"/>
  <c r="Z21" i="26"/>
  <c r="Q21" i="26"/>
  <c r="G22" i="26"/>
  <c r="P21" i="26"/>
  <c r="U21" i="26"/>
  <c r="M62" i="25"/>
  <c r="X62" i="25" s="1"/>
  <c r="Q62" i="25"/>
  <c r="G63" i="25"/>
  <c r="P62" i="25"/>
  <c r="U62" i="25"/>
  <c r="Z62" i="25"/>
  <c r="M41" i="25"/>
  <c r="X41" i="25" s="1"/>
  <c r="Z41" i="25"/>
  <c r="Q41" i="25"/>
  <c r="G42" i="25"/>
  <c r="P41" i="25"/>
  <c r="U41" i="25"/>
  <c r="AA20" i="25"/>
  <c r="M21" i="25"/>
  <c r="X21" i="25" s="1"/>
  <c r="Q21" i="25"/>
  <c r="G22" i="25"/>
  <c r="P21" i="25"/>
  <c r="Z21" i="25"/>
  <c r="U21" i="25"/>
  <c r="N21" i="25"/>
  <c r="O21" i="25" s="1"/>
  <c r="T21" i="25"/>
  <c r="M62" i="24"/>
  <c r="X62" i="24" s="1"/>
  <c r="Z62" i="24"/>
  <c r="Q62" i="24"/>
  <c r="G63" i="24"/>
  <c r="P62" i="24"/>
  <c r="U62" i="24"/>
  <c r="M41" i="24"/>
  <c r="X41" i="24" s="1"/>
  <c r="G42" i="24"/>
  <c r="P41" i="24"/>
  <c r="Z41" i="24"/>
  <c r="U41" i="24"/>
  <c r="Q41" i="24"/>
  <c r="N22" i="24"/>
  <c r="O22" i="24" s="1"/>
  <c r="M21" i="24"/>
  <c r="X21" i="24" s="1"/>
  <c r="Q21" i="24"/>
  <c r="G22" i="24"/>
  <c r="P21" i="24"/>
  <c r="AA21" i="24"/>
  <c r="Z21" i="24"/>
  <c r="U21" i="24"/>
  <c r="T21" i="24"/>
  <c r="M61" i="23"/>
  <c r="X61" i="23" s="1"/>
  <c r="Q61" i="23"/>
  <c r="G62" i="23"/>
  <c r="P61" i="23"/>
  <c r="Z61" i="23"/>
  <c r="U61" i="23"/>
  <c r="N22" i="23"/>
  <c r="O22" i="23" s="1"/>
  <c r="M21" i="23"/>
  <c r="X21" i="23" s="1"/>
  <c r="G22" i="23"/>
  <c r="P21" i="23"/>
  <c r="AA21" i="23"/>
  <c r="Z21" i="23"/>
  <c r="U21" i="23"/>
  <c r="Q21" i="23"/>
  <c r="M61" i="22"/>
  <c r="X61" i="22" s="1"/>
  <c r="Z61" i="22"/>
  <c r="Q61" i="22"/>
  <c r="G62" i="22"/>
  <c r="P61" i="22"/>
  <c r="U61" i="22"/>
  <c r="M41" i="22"/>
  <c r="X41" i="22" s="1"/>
  <c r="Q41" i="22"/>
  <c r="G42" i="22"/>
  <c r="P41" i="22"/>
  <c r="U41" i="22"/>
  <c r="Z41" i="22"/>
  <c r="N22" i="22"/>
  <c r="O22" i="22" s="1"/>
  <c r="M21" i="22"/>
  <c r="X21" i="22" s="1"/>
  <c r="AA21" i="22"/>
  <c r="Q21" i="22"/>
  <c r="G22" i="22"/>
  <c r="P21" i="22"/>
  <c r="Z21" i="22"/>
  <c r="U21" i="22"/>
  <c r="M61" i="21"/>
  <c r="X61" i="21" s="1"/>
  <c r="Q61" i="21"/>
  <c r="G62" i="21"/>
  <c r="P61" i="21"/>
  <c r="Z61" i="21"/>
  <c r="U61" i="21"/>
  <c r="M41" i="21"/>
  <c r="X41" i="21" s="1"/>
  <c r="Q41" i="21"/>
  <c r="G42" i="21"/>
  <c r="P41" i="21"/>
  <c r="Z41" i="21"/>
  <c r="U41" i="21"/>
  <c r="N22" i="21"/>
  <c r="M21" i="21"/>
  <c r="X21" i="21" s="1"/>
  <c r="Z21" i="21"/>
  <c r="Q21" i="21"/>
  <c r="G22" i="21"/>
  <c r="P21" i="21"/>
  <c r="AA21" i="21"/>
  <c r="U21" i="21"/>
  <c r="Q18" i="20"/>
  <c r="O18" i="20"/>
  <c r="T18" i="20"/>
  <c r="U18" i="20"/>
  <c r="H22" i="28"/>
  <c r="D21" i="28"/>
  <c r="S21" i="28" s="1"/>
  <c r="C21" i="28"/>
  <c r="R21" i="28" s="1"/>
  <c r="J20" i="28"/>
  <c r="L19" i="28"/>
  <c r="W19" i="28" s="1"/>
  <c r="AJ23" i="28"/>
  <c r="E23" i="28" s="1"/>
  <c r="AH24" i="28"/>
  <c r="C22" i="25"/>
  <c r="R22" i="25" s="1"/>
  <c r="H23" i="25"/>
  <c r="D22" i="25"/>
  <c r="S22" i="25" s="1"/>
  <c r="L19" i="26"/>
  <c r="W19" i="26" s="1"/>
  <c r="J20" i="26"/>
  <c r="AJ22" i="25"/>
  <c r="E22" i="25" s="1"/>
  <c r="AH23" i="25"/>
  <c r="J21" i="25"/>
  <c r="L20" i="25"/>
  <c r="W20" i="25" s="1"/>
  <c r="H21" i="27"/>
  <c r="D20" i="27"/>
  <c r="S20" i="27" s="1"/>
  <c r="C20" i="27"/>
  <c r="R20" i="27" s="1"/>
  <c r="AJ24" i="27"/>
  <c r="E24" i="27" s="1"/>
  <c r="AH25" i="27"/>
  <c r="AJ22" i="26"/>
  <c r="E22" i="26" s="1"/>
  <c r="AH23" i="26"/>
  <c r="J20" i="24"/>
  <c r="L19" i="24"/>
  <c r="W19" i="24" s="1"/>
  <c r="J22" i="27"/>
  <c r="D20" i="26"/>
  <c r="S20" i="26" s="1"/>
  <c r="C20" i="26"/>
  <c r="R20" i="26" s="1"/>
  <c r="H21" i="26"/>
  <c r="L20" i="27"/>
  <c r="W20" i="27" s="1"/>
  <c r="H21" i="24"/>
  <c r="D20" i="24"/>
  <c r="S20" i="24" s="1"/>
  <c r="C20" i="24"/>
  <c r="R20" i="24" s="1"/>
  <c r="AJ23" i="24"/>
  <c r="E23" i="24" s="1"/>
  <c r="AH24" i="24"/>
  <c r="H22" i="22"/>
  <c r="D21" i="22"/>
  <c r="S21" i="22" s="1"/>
  <c r="C21" i="22"/>
  <c r="R21" i="22" s="1"/>
  <c r="H20" i="23"/>
  <c r="D19" i="23"/>
  <c r="S19" i="23" s="1"/>
  <c r="C19" i="23"/>
  <c r="R19" i="23" s="1"/>
  <c r="AJ23" i="22"/>
  <c r="E23" i="22" s="1"/>
  <c r="AH24" i="22"/>
  <c r="J20" i="23"/>
  <c r="L19" i="23"/>
  <c r="W19" i="23" s="1"/>
  <c r="J20" i="22"/>
  <c r="L19" i="22"/>
  <c r="W19" i="22" s="1"/>
  <c r="AJ23" i="23"/>
  <c r="E23" i="23" s="1"/>
  <c r="AH24" i="23"/>
  <c r="H21" i="21"/>
  <c r="D20" i="21"/>
  <c r="S20" i="21" s="1"/>
  <c r="C20" i="21"/>
  <c r="R20" i="21" s="1"/>
  <c r="AH24" i="21"/>
  <c r="AJ23" i="21"/>
  <c r="E23" i="21" s="1"/>
  <c r="J20" i="21"/>
  <c r="L19" i="21"/>
  <c r="W19" i="21" s="1"/>
  <c r="P19" i="20"/>
  <c r="J20" i="20"/>
  <c r="H22" i="20"/>
  <c r="M18" i="20"/>
  <c r="X18" i="20" s="1"/>
  <c r="G19" i="20"/>
  <c r="U19" i="20" s="1"/>
  <c r="L18" i="20"/>
  <c r="W18" i="20" s="1"/>
  <c r="AA18" i="20"/>
  <c r="D18" i="20"/>
  <c r="S18" i="20" s="1"/>
  <c r="C18" i="20"/>
  <c r="R18" i="20" s="1"/>
  <c r="Z18" i="20"/>
  <c r="N22" i="20"/>
  <c r="AJ23" i="20"/>
  <c r="E23" i="20" s="1"/>
  <c r="AH24" i="20"/>
  <c r="Z17" i="19"/>
  <c r="AA17" i="19"/>
  <c r="C17" i="19"/>
  <c r="R17" i="19" s="1"/>
  <c r="D17" i="19"/>
  <c r="S17" i="19" s="1"/>
  <c r="O17" i="19"/>
  <c r="T17" i="19"/>
  <c r="H19" i="19"/>
  <c r="N23" i="19"/>
  <c r="AJ24" i="19"/>
  <c r="E24" i="19" s="1"/>
  <c r="AH25" i="19"/>
  <c r="P18" i="19"/>
  <c r="J19" i="19"/>
  <c r="M17" i="19"/>
  <c r="X17" i="19" s="1"/>
  <c r="L17" i="19"/>
  <c r="W17" i="19" s="1"/>
  <c r="G18" i="19"/>
  <c r="Q18" i="19" s="1"/>
  <c r="P17" i="19"/>
  <c r="Q17" i="19"/>
  <c r="AA16" i="7"/>
  <c r="U16" i="7"/>
  <c r="Z16" i="7"/>
  <c r="C16" i="7"/>
  <c r="R16" i="7" s="1"/>
  <c r="D16" i="7"/>
  <c r="S16" i="7" s="1"/>
  <c r="L16" i="7"/>
  <c r="W16" i="7" s="1"/>
  <c r="G17" i="7"/>
  <c r="Q16" i="7"/>
  <c r="M16" i="7"/>
  <c r="X16" i="7" s="1"/>
  <c r="O16" i="7"/>
  <c r="T16" i="7"/>
  <c r="P16" i="7"/>
  <c r="O18" i="18"/>
  <c r="D18" i="18"/>
  <c r="C18" i="18"/>
  <c r="C16" i="17"/>
  <c r="D16" i="17"/>
  <c r="D17" i="16"/>
  <c r="S17" i="16" s="1"/>
  <c r="C17" i="16"/>
  <c r="R17" i="16" s="1"/>
  <c r="D16" i="15"/>
  <c r="C16" i="15"/>
  <c r="C17" i="14"/>
  <c r="R17" i="14" s="1"/>
  <c r="D17" i="14"/>
  <c r="S17" i="14" s="1"/>
  <c r="D16" i="13"/>
  <c r="S16" i="13" s="1"/>
  <c r="C16" i="13"/>
  <c r="D18" i="12"/>
  <c r="C18" i="12"/>
  <c r="C18" i="11"/>
  <c r="D18" i="11"/>
  <c r="D17" i="10"/>
  <c r="C17" i="10"/>
  <c r="D17" i="9"/>
  <c r="C17" i="9"/>
  <c r="D18" i="8"/>
  <c r="C18" i="8"/>
  <c r="D18" i="6"/>
  <c r="C18" i="6"/>
  <c r="D16" i="4"/>
  <c r="C16" i="4"/>
  <c r="U18" i="1"/>
  <c r="Q18" i="1"/>
  <c r="P18" i="1"/>
  <c r="Z18" i="1"/>
  <c r="M18" i="1"/>
  <c r="X18" i="1" s="1"/>
  <c r="L18" i="1"/>
  <c r="W18" i="1" s="1"/>
  <c r="G19" i="1"/>
  <c r="AA18" i="1"/>
  <c r="T18" i="1"/>
  <c r="O18" i="1"/>
  <c r="Z17" i="16"/>
  <c r="AA17" i="16"/>
  <c r="Z17" i="14"/>
  <c r="AA17" i="14"/>
  <c r="R17" i="12"/>
  <c r="S17" i="12"/>
  <c r="AJ21" i="18"/>
  <c r="E21" i="18" s="1"/>
  <c r="AH22" i="18"/>
  <c r="N20" i="18"/>
  <c r="AA18" i="18"/>
  <c r="Z18" i="18"/>
  <c r="H19" i="18"/>
  <c r="S18" i="18"/>
  <c r="R18" i="18"/>
  <c r="M18" i="18"/>
  <c r="X18" i="18" s="1"/>
  <c r="L18" i="18"/>
  <c r="W18" i="18" s="1"/>
  <c r="G19" i="18"/>
  <c r="J19" i="18"/>
  <c r="Q18" i="18"/>
  <c r="P18" i="18"/>
  <c r="U18" i="18"/>
  <c r="T18" i="18"/>
  <c r="J18" i="17"/>
  <c r="AJ22" i="17"/>
  <c r="E22" i="17" s="1"/>
  <c r="AH23" i="17"/>
  <c r="N21" i="17"/>
  <c r="H19" i="17"/>
  <c r="M16" i="17"/>
  <c r="X16" i="17" s="1"/>
  <c r="L16" i="17"/>
  <c r="W16" i="17" s="1"/>
  <c r="G17" i="17"/>
  <c r="S16" i="17"/>
  <c r="R16" i="17"/>
  <c r="AA16" i="17"/>
  <c r="Z16" i="17"/>
  <c r="H19" i="14"/>
  <c r="H19" i="15"/>
  <c r="M17" i="16"/>
  <c r="X17" i="16" s="1"/>
  <c r="L17" i="16"/>
  <c r="W17" i="16" s="1"/>
  <c r="G18" i="16"/>
  <c r="J19" i="15"/>
  <c r="M16" i="15"/>
  <c r="X16" i="15" s="1"/>
  <c r="L16" i="15"/>
  <c r="W16" i="15" s="1"/>
  <c r="G17" i="15"/>
  <c r="Q16" i="15"/>
  <c r="P16" i="15"/>
  <c r="U16" i="15"/>
  <c r="T16" i="15"/>
  <c r="AA16" i="15"/>
  <c r="Z16" i="15"/>
  <c r="S16" i="15"/>
  <c r="R16" i="15"/>
  <c r="O16" i="15"/>
  <c r="G17" i="13"/>
  <c r="M16" i="13"/>
  <c r="X16" i="13" s="1"/>
  <c r="L16" i="13"/>
  <c r="W16" i="13" s="1"/>
  <c r="O16" i="13"/>
  <c r="U16" i="13"/>
  <c r="Q16" i="13"/>
  <c r="P16" i="13"/>
  <c r="T16" i="13"/>
  <c r="AA16" i="13"/>
  <c r="R16" i="13"/>
  <c r="Z16" i="13"/>
  <c r="H19" i="13"/>
  <c r="AJ22" i="13"/>
  <c r="E22" i="13" s="1"/>
  <c r="AH23" i="13"/>
  <c r="N21" i="13"/>
  <c r="Q17" i="16"/>
  <c r="P17" i="16"/>
  <c r="J18" i="16"/>
  <c r="U17" i="16"/>
  <c r="T17" i="16"/>
  <c r="AJ21" i="14"/>
  <c r="E21" i="14" s="1"/>
  <c r="AH22" i="14"/>
  <c r="AJ21" i="15"/>
  <c r="E21" i="15" s="1"/>
  <c r="AH22" i="15"/>
  <c r="J20" i="13"/>
  <c r="N20" i="14"/>
  <c r="N20" i="15"/>
  <c r="J18" i="14"/>
  <c r="P17" i="14"/>
  <c r="Q17" i="14"/>
  <c r="U17" i="14"/>
  <c r="T17" i="14"/>
  <c r="O17" i="14"/>
  <c r="N19" i="16"/>
  <c r="L17" i="14"/>
  <c r="W17" i="14" s="1"/>
  <c r="G18" i="14"/>
  <c r="M17" i="14"/>
  <c r="X17" i="14" s="1"/>
  <c r="AA18" i="16"/>
  <c r="Z18" i="16"/>
  <c r="H19" i="16"/>
  <c r="AJ20" i="16"/>
  <c r="E20" i="16" s="1"/>
  <c r="AH21" i="16"/>
  <c r="O18" i="16"/>
  <c r="N20" i="9"/>
  <c r="J18" i="10"/>
  <c r="Q17" i="10"/>
  <c r="P17" i="10"/>
  <c r="U17" i="10"/>
  <c r="T17" i="10"/>
  <c r="O17" i="10"/>
  <c r="AJ21" i="9"/>
  <c r="E21" i="9" s="1"/>
  <c r="AH22" i="9"/>
  <c r="Q17" i="12"/>
  <c r="P17" i="12"/>
  <c r="J18" i="12"/>
  <c r="L18" i="12" s="1"/>
  <c r="W18" i="12" s="1"/>
  <c r="U17" i="12"/>
  <c r="T17" i="12"/>
  <c r="O17" i="12"/>
  <c r="M18" i="12"/>
  <c r="X18" i="12" s="1"/>
  <c r="G19" i="12"/>
  <c r="AA18" i="12"/>
  <c r="Z18" i="12"/>
  <c r="H19" i="12"/>
  <c r="H20" i="9"/>
  <c r="M17" i="10"/>
  <c r="X17" i="10" s="1"/>
  <c r="L17" i="10"/>
  <c r="W17" i="10" s="1"/>
  <c r="G18" i="10"/>
  <c r="J21" i="11"/>
  <c r="Q17" i="9"/>
  <c r="P17" i="9"/>
  <c r="U17" i="9"/>
  <c r="J18" i="9"/>
  <c r="T17" i="9"/>
  <c r="O17" i="9"/>
  <c r="S18" i="11"/>
  <c r="R18" i="11"/>
  <c r="AA18" i="11"/>
  <c r="Z18" i="11"/>
  <c r="H19" i="11"/>
  <c r="Q18" i="11"/>
  <c r="P18" i="11"/>
  <c r="T18" i="11"/>
  <c r="U18" i="11"/>
  <c r="AJ21" i="12"/>
  <c r="E21" i="12" s="1"/>
  <c r="AH22" i="12"/>
  <c r="N20" i="12"/>
  <c r="AA17" i="10"/>
  <c r="Z17" i="10"/>
  <c r="H18" i="10"/>
  <c r="S17" i="10"/>
  <c r="R17" i="10"/>
  <c r="M18" i="11"/>
  <c r="X18" i="11" s="1"/>
  <c r="L18" i="11"/>
  <c r="W18" i="11" s="1"/>
  <c r="G19" i="11"/>
  <c r="N20" i="10"/>
  <c r="AJ21" i="11"/>
  <c r="E21" i="11" s="1"/>
  <c r="AH22" i="11"/>
  <c r="N20" i="11"/>
  <c r="AH22" i="10"/>
  <c r="AJ21" i="10"/>
  <c r="E21" i="10" s="1"/>
  <c r="G18" i="9"/>
  <c r="M17" i="9"/>
  <c r="X17" i="9" s="1"/>
  <c r="L17" i="9"/>
  <c r="W17" i="9" s="1"/>
  <c r="S17" i="9"/>
  <c r="Z17" i="9"/>
  <c r="R17" i="9"/>
  <c r="AA17" i="9"/>
  <c r="O18" i="11"/>
  <c r="AH23" i="8"/>
  <c r="AJ22" i="8"/>
  <c r="E22" i="8" s="1"/>
  <c r="N21" i="8"/>
  <c r="Q18" i="8"/>
  <c r="P18" i="8"/>
  <c r="J19" i="8"/>
  <c r="U18" i="8"/>
  <c r="T18" i="8"/>
  <c r="O18" i="8"/>
  <c r="S18" i="8"/>
  <c r="R18" i="8"/>
  <c r="AA18" i="8"/>
  <c r="H19" i="8"/>
  <c r="Z18" i="8"/>
  <c r="M18" i="8"/>
  <c r="X18" i="8" s="1"/>
  <c r="G19" i="8"/>
  <c r="L18" i="8"/>
  <c r="W18" i="8" s="1"/>
  <c r="J20" i="7"/>
  <c r="H20" i="7"/>
  <c r="AJ22" i="7"/>
  <c r="E22" i="7" s="1"/>
  <c r="AH23" i="7"/>
  <c r="N21" i="7"/>
  <c r="N20" i="6"/>
  <c r="AA18" i="6"/>
  <c r="H19" i="6"/>
  <c r="O19" i="6" s="1"/>
  <c r="S18" i="6"/>
  <c r="R18" i="6"/>
  <c r="Z18" i="6"/>
  <c r="Q18" i="6"/>
  <c r="O18" i="6"/>
  <c r="AJ21" i="6"/>
  <c r="E21" i="6" s="1"/>
  <c r="AH22" i="6"/>
  <c r="J20" i="6"/>
  <c r="M18" i="6"/>
  <c r="X18" i="6" s="1"/>
  <c r="G19" i="6"/>
  <c r="L18" i="6"/>
  <c r="W18" i="6" s="1"/>
  <c r="T18" i="6"/>
  <c r="H19" i="4"/>
  <c r="J21" i="4"/>
  <c r="AJ21" i="4"/>
  <c r="E21" i="4" s="1"/>
  <c r="AH22" i="4"/>
  <c r="N20" i="4"/>
  <c r="G17" i="4"/>
  <c r="M16" i="4"/>
  <c r="X16" i="4" s="1"/>
  <c r="L16" i="4"/>
  <c r="W16" i="4" s="1"/>
  <c r="U16" i="4"/>
  <c r="R16" i="4"/>
  <c r="O16" i="4"/>
  <c r="P16" i="4"/>
  <c r="AA16" i="4"/>
  <c r="Q16" i="4"/>
  <c r="S16" i="4"/>
  <c r="Z16" i="4"/>
  <c r="T16" i="4"/>
  <c r="D18" i="1"/>
  <c r="S18" i="1" s="1"/>
  <c r="C18" i="1"/>
  <c r="R18" i="1" s="1"/>
  <c r="H19" i="1"/>
  <c r="M62" i="27" l="1"/>
  <c r="X62" i="27" s="1"/>
  <c r="Z62" i="27"/>
  <c r="Q62" i="27"/>
  <c r="G63" i="27"/>
  <c r="P62" i="27"/>
  <c r="U62" i="27"/>
  <c r="M42" i="27"/>
  <c r="X42" i="27" s="1"/>
  <c r="Z42" i="27"/>
  <c r="U42" i="27"/>
  <c r="Q42" i="27"/>
  <c r="G43" i="27"/>
  <c r="P42" i="27"/>
  <c r="N24" i="27"/>
  <c r="M22" i="27"/>
  <c r="X22" i="27" s="1"/>
  <c r="Q22" i="27"/>
  <c r="G23" i="27"/>
  <c r="P22" i="27"/>
  <c r="U22" i="27"/>
  <c r="AA22" i="27"/>
  <c r="Z22" i="27"/>
  <c r="T22" i="27"/>
  <c r="O22" i="27"/>
  <c r="M62" i="28"/>
  <c r="X62" i="28" s="1"/>
  <c r="Q62" i="28"/>
  <c r="G63" i="28"/>
  <c r="P62" i="28"/>
  <c r="Z62" i="28"/>
  <c r="U62" i="28"/>
  <c r="M42" i="28"/>
  <c r="X42" i="28" s="1"/>
  <c r="Z42" i="28"/>
  <c r="U42" i="28"/>
  <c r="Q42" i="28"/>
  <c r="G43" i="28"/>
  <c r="P42" i="28"/>
  <c r="N23" i="28"/>
  <c r="M22" i="28"/>
  <c r="X22" i="28" s="1"/>
  <c r="Q22" i="28"/>
  <c r="G23" i="28"/>
  <c r="P22" i="28"/>
  <c r="U22" i="28"/>
  <c r="AA22" i="28"/>
  <c r="Z22" i="28"/>
  <c r="M62" i="26"/>
  <c r="X62" i="26" s="1"/>
  <c r="G63" i="26"/>
  <c r="P62" i="26"/>
  <c r="Q62" i="26"/>
  <c r="Z62" i="26"/>
  <c r="U62" i="26"/>
  <c r="AA21" i="26"/>
  <c r="M42" i="26"/>
  <c r="X42" i="26" s="1"/>
  <c r="G43" i="26"/>
  <c r="P42" i="26"/>
  <c r="Z42" i="26"/>
  <c r="Q42" i="26"/>
  <c r="U42" i="26"/>
  <c r="N22" i="26"/>
  <c r="O22" i="26" s="1"/>
  <c r="T22" i="26"/>
  <c r="Q22" i="26"/>
  <c r="G23" i="26"/>
  <c r="P22" i="26"/>
  <c r="Z22" i="26"/>
  <c r="M22" i="26"/>
  <c r="X22" i="26" s="1"/>
  <c r="U22" i="26"/>
  <c r="M63" i="25"/>
  <c r="X63" i="25" s="1"/>
  <c r="G64" i="25"/>
  <c r="P63" i="25"/>
  <c r="Z63" i="25"/>
  <c r="Q63" i="25"/>
  <c r="U63" i="25"/>
  <c r="M42" i="25"/>
  <c r="X42" i="25" s="1"/>
  <c r="Z42" i="25"/>
  <c r="Q42" i="25"/>
  <c r="G43" i="25"/>
  <c r="P42" i="25"/>
  <c r="U42" i="25"/>
  <c r="N22" i="25"/>
  <c r="O22" i="25" s="1"/>
  <c r="T22" i="25"/>
  <c r="AA21" i="25"/>
  <c r="M22" i="25"/>
  <c r="X22" i="25" s="1"/>
  <c r="Q22" i="25"/>
  <c r="G23" i="25"/>
  <c r="P22" i="25"/>
  <c r="Z22" i="25"/>
  <c r="U22" i="25"/>
  <c r="M63" i="24"/>
  <c r="X63" i="24" s="1"/>
  <c r="Q63" i="24"/>
  <c r="Z63" i="24"/>
  <c r="G64" i="24"/>
  <c r="P63" i="24"/>
  <c r="U63" i="24"/>
  <c r="M42" i="24"/>
  <c r="X42" i="24" s="1"/>
  <c r="P42" i="24"/>
  <c r="Z42" i="24"/>
  <c r="Q42" i="24"/>
  <c r="G43" i="24"/>
  <c r="U42" i="24"/>
  <c r="N23" i="24"/>
  <c r="O23" i="24" s="1"/>
  <c r="M22" i="24"/>
  <c r="X22" i="24" s="1"/>
  <c r="Q22" i="24"/>
  <c r="G23" i="24"/>
  <c r="P22" i="24"/>
  <c r="AA22" i="24"/>
  <c r="U22" i="24"/>
  <c r="Z22" i="24"/>
  <c r="T22" i="24"/>
  <c r="M62" i="23"/>
  <c r="X62" i="23" s="1"/>
  <c r="Q62" i="23"/>
  <c r="U62" i="23"/>
  <c r="G63" i="23"/>
  <c r="P62" i="23"/>
  <c r="Z62" i="23"/>
  <c r="N23" i="23"/>
  <c r="T23" i="23"/>
  <c r="M22" i="23"/>
  <c r="X22" i="23" s="1"/>
  <c r="AA22" i="23"/>
  <c r="Z22" i="23"/>
  <c r="Q22" i="23"/>
  <c r="G23" i="23"/>
  <c r="P22" i="23"/>
  <c r="U22" i="23"/>
  <c r="T22" i="23"/>
  <c r="M62" i="22"/>
  <c r="X62" i="22" s="1"/>
  <c r="Z62" i="22"/>
  <c r="G63" i="22"/>
  <c r="Q62" i="22"/>
  <c r="P62" i="22"/>
  <c r="U62" i="22"/>
  <c r="M42" i="22"/>
  <c r="X42" i="22" s="1"/>
  <c r="Q42" i="22"/>
  <c r="G43" i="22"/>
  <c r="P42" i="22"/>
  <c r="Z42" i="22"/>
  <c r="U42" i="22"/>
  <c r="M22" i="22"/>
  <c r="X22" i="22" s="1"/>
  <c r="Z22" i="22"/>
  <c r="AA22" i="22"/>
  <c r="Q22" i="22"/>
  <c r="G23" i="22"/>
  <c r="P22" i="22"/>
  <c r="U22" i="22"/>
  <c r="N23" i="22"/>
  <c r="O23" i="22" s="1"/>
  <c r="T23" i="22"/>
  <c r="T22" i="22"/>
  <c r="M62" i="21"/>
  <c r="X62" i="21" s="1"/>
  <c r="Q62" i="21"/>
  <c r="G63" i="21"/>
  <c r="P62" i="21"/>
  <c r="Z62" i="21"/>
  <c r="U62" i="21"/>
  <c r="G43" i="21"/>
  <c r="Z42" i="21"/>
  <c r="Q42" i="21"/>
  <c r="P42" i="21"/>
  <c r="U42" i="21"/>
  <c r="M42" i="21"/>
  <c r="X42" i="21" s="1"/>
  <c r="N23" i="21"/>
  <c r="M22" i="21"/>
  <c r="X22" i="21" s="1"/>
  <c r="Q22" i="21"/>
  <c r="G23" i="21"/>
  <c r="P22" i="21"/>
  <c r="AA22" i="21"/>
  <c r="Z22" i="21"/>
  <c r="U22" i="21"/>
  <c r="T22" i="21"/>
  <c r="O22" i="21"/>
  <c r="O19" i="20"/>
  <c r="T19" i="20"/>
  <c r="AJ24" i="28"/>
  <c r="E24" i="28" s="1"/>
  <c r="AH25" i="28"/>
  <c r="J21" i="28"/>
  <c r="L20" i="28"/>
  <c r="W20" i="28" s="1"/>
  <c r="H23" i="28"/>
  <c r="D22" i="28"/>
  <c r="S22" i="28" s="1"/>
  <c r="C22" i="28"/>
  <c r="R22" i="28" s="1"/>
  <c r="H22" i="27"/>
  <c r="L22" i="27" s="1"/>
  <c r="W22" i="27" s="1"/>
  <c r="D21" i="27"/>
  <c r="S21" i="27" s="1"/>
  <c r="C21" i="27"/>
  <c r="R21" i="27" s="1"/>
  <c r="J23" i="27"/>
  <c r="L21" i="25"/>
  <c r="W21" i="25" s="1"/>
  <c r="J22" i="25"/>
  <c r="L21" i="27"/>
  <c r="W21" i="27" s="1"/>
  <c r="AH24" i="25"/>
  <c r="AJ23" i="25"/>
  <c r="E23" i="25" s="1"/>
  <c r="AJ24" i="24"/>
  <c r="E24" i="24" s="1"/>
  <c r="AH25" i="24"/>
  <c r="L20" i="24"/>
  <c r="W20" i="24" s="1"/>
  <c r="J21" i="24"/>
  <c r="L20" i="26"/>
  <c r="W20" i="26" s="1"/>
  <c r="J21" i="26"/>
  <c r="AJ23" i="26"/>
  <c r="E23" i="26" s="1"/>
  <c r="AH24" i="26"/>
  <c r="AJ25" i="27"/>
  <c r="E25" i="27" s="1"/>
  <c r="AH26" i="27"/>
  <c r="H24" i="25"/>
  <c r="D23" i="25"/>
  <c r="S23" i="25" s="1"/>
  <c r="C23" i="25"/>
  <c r="R23" i="25" s="1"/>
  <c r="D21" i="26"/>
  <c r="S21" i="26" s="1"/>
  <c r="C21" i="26"/>
  <c r="R21" i="26" s="1"/>
  <c r="H22" i="26"/>
  <c r="D21" i="24"/>
  <c r="S21" i="24" s="1"/>
  <c r="C21" i="24"/>
  <c r="R21" i="24" s="1"/>
  <c r="H22" i="24"/>
  <c r="J21" i="22"/>
  <c r="L20" i="22"/>
  <c r="W20" i="22" s="1"/>
  <c r="L20" i="23"/>
  <c r="W20" i="23" s="1"/>
  <c r="J21" i="23"/>
  <c r="AJ24" i="22"/>
  <c r="E24" i="22" s="1"/>
  <c r="AH25" i="22"/>
  <c r="H21" i="23"/>
  <c r="C20" i="23"/>
  <c r="R20" i="23" s="1"/>
  <c r="D20" i="23"/>
  <c r="S20" i="23" s="1"/>
  <c r="AJ24" i="23"/>
  <c r="E24" i="23" s="1"/>
  <c r="AH25" i="23"/>
  <c r="H23" i="22"/>
  <c r="D22" i="22"/>
  <c r="S22" i="22" s="1"/>
  <c r="C22" i="22"/>
  <c r="R22" i="22" s="1"/>
  <c r="J21" i="21"/>
  <c r="L20" i="21"/>
  <c r="W20" i="21" s="1"/>
  <c r="AJ24" i="21"/>
  <c r="E24" i="21" s="1"/>
  <c r="AH25" i="21"/>
  <c r="H22" i="21"/>
  <c r="C21" i="21"/>
  <c r="R21" i="21" s="1"/>
  <c r="D21" i="21"/>
  <c r="S21" i="21" s="1"/>
  <c r="AJ24" i="20"/>
  <c r="E24" i="20" s="1"/>
  <c r="AH25" i="20"/>
  <c r="N23" i="20"/>
  <c r="H23" i="20"/>
  <c r="J21" i="20"/>
  <c r="M19" i="20"/>
  <c r="X19" i="20" s="1"/>
  <c r="L19" i="20"/>
  <c r="W19" i="20" s="1"/>
  <c r="G20" i="20"/>
  <c r="U20" i="20" s="1"/>
  <c r="AA19" i="20"/>
  <c r="Z19" i="20"/>
  <c r="D19" i="20"/>
  <c r="S19" i="20" s="1"/>
  <c r="C19" i="20"/>
  <c r="R19" i="20" s="1"/>
  <c r="Q19" i="20"/>
  <c r="J20" i="19"/>
  <c r="AJ25" i="19"/>
  <c r="E25" i="19" s="1"/>
  <c r="AH26" i="19"/>
  <c r="N24" i="19"/>
  <c r="M18" i="19"/>
  <c r="X18" i="19" s="1"/>
  <c r="L18" i="19"/>
  <c r="W18" i="19" s="1"/>
  <c r="G19" i="19"/>
  <c r="Q19" i="19" s="1"/>
  <c r="D18" i="19"/>
  <c r="S18" i="19" s="1"/>
  <c r="AA19" i="19"/>
  <c r="H20" i="19"/>
  <c r="D19" i="19"/>
  <c r="S19" i="19" s="1"/>
  <c r="O18" i="19"/>
  <c r="Z18" i="19"/>
  <c r="T18" i="19"/>
  <c r="AA18" i="19"/>
  <c r="U18" i="19"/>
  <c r="C18" i="19"/>
  <c r="R18" i="19" s="1"/>
  <c r="AA17" i="7"/>
  <c r="O17" i="7"/>
  <c r="C17" i="7"/>
  <c r="R17" i="7" s="1"/>
  <c r="U17" i="7"/>
  <c r="D17" i="7"/>
  <c r="S17" i="7" s="1"/>
  <c r="G18" i="7"/>
  <c r="L17" i="7"/>
  <c r="W17" i="7" s="1"/>
  <c r="M17" i="7"/>
  <c r="X17" i="7" s="1"/>
  <c r="Q17" i="7"/>
  <c r="T17" i="7"/>
  <c r="Z17" i="7"/>
  <c r="P17" i="7"/>
  <c r="O19" i="11"/>
  <c r="D19" i="18"/>
  <c r="C19" i="18"/>
  <c r="D17" i="17"/>
  <c r="C17" i="17"/>
  <c r="D18" i="16"/>
  <c r="S18" i="16" s="1"/>
  <c r="C18" i="16"/>
  <c r="R18" i="16" s="1"/>
  <c r="C17" i="15"/>
  <c r="R17" i="15" s="1"/>
  <c r="D17" i="15"/>
  <c r="D18" i="14"/>
  <c r="S18" i="14" s="1"/>
  <c r="C18" i="14"/>
  <c r="R18" i="14" s="1"/>
  <c r="C17" i="13"/>
  <c r="R17" i="13" s="1"/>
  <c r="D17" i="13"/>
  <c r="D19" i="12"/>
  <c r="C19" i="12"/>
  <c r="D19" i="11"/>
  <c r="C19" i="11"/>
  <c r="C18" i="10"/>
  <c r="D18" i="10"/>
  <c r="C18" i="9"/>
  <c r="D18" i="9"/>
  <c r="D19" i="8"/>
  <c r="C19" i="8"/>
  <c r="D19" i="6"/>
  <c r="C19" i="6"/>
  <c r="D17" i="4"/>
  <c r="C17" i="4"/>
  <c r="G20" i="1"/>
  <c r="Q19" i="1"/>
  <c r="P19" i="1"/>
  <c r="Z19" i="1"/>
  <c r="M19" i="1"/>
  <c r="X19" i="1" s="1"/>
  <c r="L19" i="1"/>
  <c r="W19" i="1" s="1"/>
  <c r="U19" i="1"/>
  <c r="AA19" i="1"/>
  <c r="T19" i="1"/>
  <c r="O19" i="1"/>
  <c r="R18" i="12"/>
  <c r="S18" i="12"/>
  <c r="M19" i="18"/>
  <c r="X19" i="18" s="1"/>
  <c r="L19" i="18"/>
  <c r="W19" i="18" s="1"/>
  <c r="G20" i="18"/>
  <c r="AA19" i="18"/>
  <c r="Z19" i="18"/>
  <c r="H20" i="18"/>
  <c r="S19" i="18"/>
  <c r="R19" i="18"/>
  <c r="J20" i="18"/>
  <c r="Q19" i="18"/>
  <c r="P19" i="18"/>
  <c r="U19" i="18"/>
  <c r="T19" i="18"/>
  <c r="AJ22" i="18"/>
  <c r="E22" i="18" s="1"/>
  <c r="AH23" i="18"/>
  <c r="O19" i="18"/>
  <c r="N21" i="18"/>
  <c r="AJ23" i="17"/>
  <c r="E23" i="17" s="1"/>
  <c r="AH24" i="17"/>
  <c r="N22" i="17"/>
  <c r="M17" i="17"/>
  <c r="X17" i="17" s="1"/>
  <c r="L17" i="17"/>
  <c r="W17" i="17" s="1"/>
  <c r="G18" i="17"/>
  <c r="R17" i="17"/>
  <c r="AA17" i="17"/>
  <c r="Z17" i="17"/>
  <c r="S17" i="17"/>
  <c r="O17" i="17"/>
  <c r="T17" i="17"/>
  <c r="U17" i="17"/>
  <c r="Q17" i="17"/>
  <c r="J19" i="17"/>
  <c r="Q18" i="17"/>
  <c r="P18" i="17"/>
  <c r="U18" i="17"/>
  <c r="T18" i="17"/>
  <c r="O18" i="17"/>
  <c r="H20" i="17"/>
  <c r="P17" i="17"/>
  <c r="P18" i="16"/>
  <c r="J19" i="16"/>
  <c r="Q18" i="16"/>
  <c r="U18" i="16"/>
  <c r="T18" i="16"/>
  <c r="AJ21" i="16"/>
  <c r="E21" i="16" s="1"/>
  <c r="AH22" i="16"/>
  <c r="M17" i="15"/>
  <c r="X17" i="15" s="1"/>
  <c r="L17" i="15"/>
  <c r="W17" i="15" s="1"/>
  <c r="G18" i="15"/>
  <c r="O17" i="15"/>
  <c r="T17" i="15"/>
  <c r="P17" i="15"/>
  <c r="S17" i="15"/>
  <c r="AA17" i="15"/>
  <c r="U17" i="15"/>
  <c r="Z17" i="15"/>
  <c r="Q17" i="15"/>
  <c r="H20" i="16"/>
  <c r="H20" i="15"/>
  <c r="N20" i="16"/>
  <c r="J21" i="13"/>
  <c r="G18" i="13"/>
  <c r="M17" i="13"/>
  <c r="X17" i="13" s="1"/>
  <c r="L17" i="13"/>
  <c r="W17" i="13" s="1"/>
  <c r="Q17" i="13"/>
  <c r="P17" i="13"/>
  <c r="O17" i="13"/>
  <c r="Z17" i="13"/>
  <c r="S17" i="13"/>
  <c r="T17" i="13"/>
  <c r="U17" i="13"/>
  <c r="AA17" i="13"/>
  <c r="J19" i="14"/>
  <c r="Q18" i="14"/>
  <c r="P18" i="14"/>
  <c r="U18" i="14"/>
  <c r="T18" i="14"/>
  <c r="O18" i="14"/>
  <c r="Z18" i="14"/>
  <c r="AJ22" i="15"/>
  <c r="E22" i="15" s="1"/>
  <c r="AH23" i="15"/>
  <c r="N21" i="15"/>
  <c r="AH24" i="13"/>
  <c r="AJ23" i="13"/>
  <c r="E23" i="13" s="1"/>
  <c r="H20" i="13"/>
  <c r="G19" i="14"/>
  <c r="M18" i="14"/>
  <c r="X18" i="14" s="1"/>
  <c r="L18" i="14"/>
  <c r="W18" i="14" s="1"/>
  <c r="AJ22" i="14"/>
  <c r="E22" i="14" s="1"/>
  <c r="AH23" i="14"/>
  <c r="N22" i="13"/>
  <c r="J20" i="15"/>
  <c r="AA18" i="14"/>
  <c r="N21" i="14"/>
  <c r="M18" i="16"/>
  <c r="X18" i="16" s="1"/>
  <c r="L18" i="16"/>
  <c r="W18" i="16" s="1"/>
  <c r="G19" i="16"/>
  <c r="H20" i="14"/>
  <c r="Z19" i="14"/>
  <c r="AH23" i="11"/>
  <c r="AJ22" i="11"/>
  <c r="E22" i="11" s="1"/>
  <c r="N21" i="9"/>
  <c r="N21" i="11"/>
  <c r="M18" i="10"/>
  <c r="X18" i="10" s="1"/>
  <c r="L18" i="10"/>
  <c r="W18" i="10" s="1"/>
  <c r="G19" i="10"/>
  <c r="M19" i="12"/>
  <c r="X19" i="12" s="1"/>
  <c r="G20" i="12"/>
  <c r="AH23" i="12"/>
  <c r="AJ22" i="12"/>
  <c r="E22" i="12" s="1"/>
  <c r="AH23" i="9"/>
  <c r="AJ22" i="9"/>
  <c r="E22" i="9" s="1"/>
  <c r="M19" i="11"/>
  <c r="X19" i="11" s="1"/>
  <c r="L19" i="11"/>
  <c r="W19" i="11" s="1"/>
  <c r="G20" i="11"/>
  <c r="N21" i="12"/>
  <c r="P18" i="9"/>
  <c r="J19" i="9"/>
  <c r="Q18" i="9"/>
  <c r="U18" i="9"/>
  <c r="T18" i="9"/>
  <c r="O18" i="9"/>
  <c r="J19" i="10"/>
  <c r="Q18" i="10"/>
  <c r="P18" i="10"/>
  <c r="U18" i="10"/>
  <c r="T18" i="10"/>
  <c r="O18" i="10"/>
  <c r="G19" i="9"/>
  <c r="M18" i="9"/>
  <c r="X18" i="9" s="1"/>
  <c r="L18" i="9"/>
  <c r="W18" i="9" s="1"/>
  <c r="R18" i="9"/>
  <c r="AA18" i="9"/>
  <c r="S18" i="9"/>
  <c r="Z18" i="9"/>
  <c r="H21" i="9"/>
  <c r="N21" i="10"/>
  <c r="Q18" i="12"/>
  <c r="P18" i="12"/>
  <c r="J19" i="12"/>
  <c r="L19" i="12" s="1"/>
  <c r="W19" i="12" s="1"/>
  <c r="U18" i="12"/>
  <c r="T18" i="12"/>
  <c r="O18" i="12"/>
  <c r="AJ22" i="10"/>
  <c r="E22" i="10" s="1"/>
  <c r="AH23" i="10"/>
  <c r="S19" i="12"/>
  <c r="R19" i="12"/>
  <c r="AA19" i="12"/>
  <c r="Z19" i="12"/>
  <c r="H20" i="12"/>
  <c r="AA18" i="10"/>
  <c r="Z18" i="10"/>
  <c r="H19" i="10"/>
  <c r="S18" i="10"/>
  <c r="R18" i="10"/>
  <c r="S19" i="11"/>
  <c r="R19" i="11"/>
  <c r="AA19" i="11"/>
  <c r="Z19" i="11"/>
  <c r="H20" i="11"/>
  <c r="U19" i="11"/>
  <c r="Q19" i="11"/>
  <c r="T19" i="11"/>
  <c r="P19" i="11"/>
  <c r="J22" i="11"/>
  <c r="Q19" i="8"/>
  <c r="P19" i="8"/>
  <c r="J20" i="8"/>
  <c r="U19" i="8"/>
  <c r="T19" i="8"/>
  <c r="O19" i="8"/>
  <c r="M19" i="8"/>
  <c r="X19" i="8" s="1"/>
  <c r="L19" i="8"/>
  <c r="W19" i="8" s="1"/>
  <c r="G20" i="8"/>
  <c r="S19" i="8"/>
  <c r="R19" i="8"/>
  <c r="AA19" i="8"/>
  <c r="Z19" i="8"/>
  <c r="H20" i="8"/>
  <c r="N22" i="8"/>
  <c r="AH24" i="8"/>
  <c r="AJ23" i="8"/>
  <c r="E23" i="8" s="1"/>
  <c r="AJ23" i="7"/>
  <c r="E23" i="7" s="1"/>
  <c r="AH24" i="7"/>
  <c r="J21" i="7"/>
  <c r="N22" i="7"/>
  <c r="H21" i="7"/>
  <c r="AA19" i="6"/>
  <c r="Z19" i="6"/>
  <c r="H20" i="6"/>
  <c r="S19" i="6"/>
  <c r="R19" i="6"/>
  <c r="N21" i="6"/>
  <c r="O20" i="6"/>
  <c r="M19" i="6"/>
  <c r="X19" i="6" s="1"/>
  <c r="L19" i="6"/>
  <c r="W19" i="6" s="1"/>
  <c r="G20" i="6"/>
  <c r="J21" i="6"/>
  <c r="Q19" i="6"/>
  <c r="U19" i="6"/>
  <c r="P19" i="6"/>
  <c r="AH23" i="6"/>
  <c r="AJ22" i="6"/>
  <c r="E22" i="6" s="1"/>
  <c r="T19" i="6"/>
  <c r="M17" i="4"/>
  <c r="X17" i="4" s="1"/>
  <c r="L17" i="4"/>
  <c r="W17" i="4" s="1"/>
  <c r="G18" i="4"/>
  <c r="AA17" i="4"/>
  <c r="Q17" i="4"/>
  <c r="O17" i="4"/>
  <c r="Z17" i="4"/>
  <c r="T17" i="4"/>
  <c r="U17" i="4"/>
  <c r="R17" i="4"/>
  <c r="P17" i="4"/>
  <c r="S17" i="4"/>
  <c r="H20" i="4"/>
  <c r="AH23" i="4"/>
  <c r="AJ22" i="4"/>
  <c r="E22" i="4" s="1"/>
  <c r="N21" i="4"/>
  <c r="J22" i="4"/>
  <c r="H20" i="1"/>
  <c r="D19" i="1"/>
  <c r="S19" i="1" s="1"/>
  <c r="C19" i="1"/>
  <c r="R19" i="1" s="1"/>
  <c r="M63" i="27" l="1"/>
  <c r="X63" i="27" s="1"/>
  <c r="Q63" i="27"/>
  <c r="G64" i="27"/>
  <c r="P63" i="27"/>
  <c r="U63" i="27"/>
  <c r="Z63" i="27"/>
  <c r="M43" i="27"/>
  <c r="X43" i="27" s="1"/>
  <c r="Z43" i="27"/>
  <c r="G44" i="27"/>
  <c r="Q43" i="27"/>
  <c r="P43" i="27"/>
  <c r="U43" i="27"/>
  <c r="M23" i="27"/>
  <c r="X23" i="27" s="1"/>
  <c r="Q23" i="27"/>
  <c r="G24" i="27"/>
  <c r="P23" i="27"/>
  <c r="AA23" i="27"/>
  <c r="Z23" i="27"/>
  <c r="U23" i="27"/>
  <c r="T23" i="27"/>
  <c r="N25" i="27"/>
  <c r="O24" i="27"/>
  <c r="O23" i="27"/>
  <c r="Q63" i="28"/>
  <c r="G64" i="28"/>
  <c r="P63" i="28"/>
  <c r="Z63" i="28"/>
  <c r="U63" i="28"/>
  <c r="M63" i="28"/>
  <c r="X63" i="28" s="1"/>
  <c r="M43" i="28"/>
  <c r="X43" i="28" s="1"/>
  <c r="Z43" i="28"/>
  <c r="P43" i="28"/>
  <c r="Q43" i="28"/>
  <c r="G44" i="28"/>
  <c r="U43" i="28"/>
  <c r="M23" i="28"/>
  <c r="X23" i="28" s="1"/>
  <c r="Q23" i="28"/>
  <c r="G24" i="28"/>
  <c r="P23" i="28"/>
  <c r="AA23" i="28"/>
  <c r="Z23" i="28"/>
  <c r="U23" i="28"/>
  <c r="N24" i="28"/>
  <c r="O24" i="28" s="1"/>
  <c r="T24" i="28"/>
  <c r="T23" i="28"/>
  <c r="O23" i="28"/>
  <c r="M63" i="26"/>
  <c r="X63" i="26" s="1"/>
  <c r="Q63" i="26"/>
  <c r="G64" i="26"/>
  <c r="P63" i="26"/>
  <c r="Z63" i="26"/>
  <c r="U63" i="26"/>
  <c r="Z43" i="26"/>
  <c r="Q43" i="26"/>
  <c r="G44" i="26"/>
  <c r="P43" i="26"/>
  <c r="U43" i="26"/>
  <c r="M43" i="26"/>
  <c r="X43" i="26" s="1"/>
  <c r="AA22" i="26"/>
  <c r="N23" i="26"/>
  <c r="O23" i="26" s="1"/>
  <c r="T23" i="26"/>
  <c r="M23" i="26"/>
  <c r="X23" i="26" s="1"/>
  <c r="Q23" i="26"/>
  <c r="G24" i="26"/>
  <c r="P23" i="26"/>
  <c r="Z23" i="26"/>
  <c r="U23" i="26"/>
  <c r="M64" i="25"/>
  <c r="X64" i="25" s="1"/>
  <c r="G65" i="25"/>
  <c r="Z64" i="25"/>
  <c r="Q64" i="25"/>
  <c r="P64" i="25"/>
  <c r="U64" i="25"/>
  <c r="Q43" i="25"/>
  <c r="G44" i="25"/>
  <c r="P43" i="25"/>
  <c r="Z43" i="25"/>
  <c r="U43" i="25"/>
  <c r="M43" i="25"/>
  <c r="X43" i="25" s="1"/>
  <c r="AA22" i="25"/>
  <c r="M23" i="25"/>
  <c r="X23" i="25" s="1"/>
  <c r="G24" i="25"/>
  <c r="P23" i="25"/>
  <c r="Z23" i="25"/>
  <c r="U23" i="25"/>
  <c r="Q23" i="25"/>
  <c r="N23" i="25"/>
  <c r="O23" i="25" s="1"/>
  <c r="T23" i="25"/>
  <c r="M64" i="24"/>
  <c r="X64" i="24" s="1"/>
  <c r="Q64" i="24"/>
  <c r="G65" i="24"/>
  <c r="P64" i="24"/>
  <c r="Z64" i="24"/>
  <c r="U64" i="24"/>
  <c r="M43" i="24"/>
  <c r="X43" i="24" s="1"/>
  <c r="Z43" i="24"/>
  <c r="G44" i="24"/>
  <c r="Q43" i="24"/>
  <c r="P43" i="24"/>
  <c r="U43" i="24"/>
  <c r="N24" i="24"/>
  <c r="M23" i="24"/>
  <c r="X23" i="24" s="1"/>
  <c r="Q23" i="24"/>
  <c r="G24" i="24"/>
  <c r="P23" i="24"/>
  <c r="AA23" i="24"/>
  <c r="Z23" i="24"/>
  <c r="U23" i="24"/>
  <c r="T23" i="24"/>
  <c r="M63" i="23"/>
  <c r="X63" i="23" s="1"/>
  <c r="Z63" i="23"/>
  <c r="Q63" i="23"/>
  <c r="G64" i="23"/>
  <c r="P63" i="23"/>
  <c r="U63" i="23"/>
  <c r="Z23" i="23"/>
  <c r="G24" i="23"/>
  <c r="Q23" i="23"/>
  <c r="P23" i="23"/>
  <c r="AA23" i="23"/>
  <c r="U23" i="23"/>
  <c r="M23" i="23"/>
  <c r="X23" i="23" s="1"/>
  <c r="N24" i="23"/>
  <c r="O24" i="23" s="1"/>
  <c r="T24" i="23"/>
  <c r="O23" i="23"/>
  <c r="M63" i="22"/>
  <c r="X63" i="22" s="1"/>
  <c r="Q63" i="22"/>
  <c r="G64" i="22"/>
  <c r="P63" i="22"/>
  <c r="Z63" i="22"/>
  <c r="U63" i="22"/>
  <c r="M43" i="22"/>
  <c r="X43" i="22" s="1"/>
  <c r="Z43" i="22"/>
  <c r="Q43" i="22"/>
  <c r="G44" i="22"/>
  <c r="P43" i="22"/>
  <c r="U43" i="22"/>
  <c r="M23" i="22"/>
  <c r="X23" i="22" s="1"/>
  <c r="Q23" i="22"/>
  <c r="G24" i="22"/>
  <c r="P23" i="22"/>
  <c r="U23" i="22"/>
  <c r="AA23" i="22"/>
  <c r="Z23" i="22"/>
  <c r="N24" i="22"/>
  <c r="O24" i="22" s="1"/>
  <c r="T24" i="22"/>
  <c r="M63" i="21"/>
  <c r="X63" i="21" s="1"/>
  <c r="Q63" i="21"/>
  <c r="G64" i="21"/>
  <c r="P63" i="21"/>
  <c r="Z63" i="21"/>
  <c r="U63" i="21"/>
  <c r="M43" i="21"/>
  <c r="X43" i="21" s="1"/>
  <c r="Z43" i="21"/>
  <c r="Q43" i="21"/>
  <c r="G44" i="21"/>
  <c r="P43" i="21"/>
  <c r="U43" i="21"/>
  <c r="N24" i="21"/>
  <c r="M23" i="21"/>
  <c r="X23" i="21" s="1"/>
  <c r="Q23" i="21"/>
  <c r="G24" i="21"/>
  <c r="P23" i="21"/>
  <c r="AA23" i="21"/>
  <c r="Z23" i="21"/>
  <c r="U23" i="21"/>
  <c r="T23" i="21"/>
  <c r="O23" i="21"/>
  <c r="O20" i="20"/>
  <c r="H24" i="28"/>
  <c r="D23" i="28"/>
  <c r="S23" i="28" s="1"/>
  <c r="C23" i="28"/>
  <c r="R23" i="28" s="1"/>
  <c r="L21" i="28"/>
  <c r="W21" i="28" s="1"/>
  <c r="J22" i="28"/>
  <c r="AJ25" i="28"/>
  <c r="E25" i="28" s="1"/>
  <c r="AH26" i="28"/>
  <c r="AH26" i="24"/>
  <c r="AJ25" i="24"/>
  <c r="E25" i="24" s="1"/>
  <c r="H25" i="25"/>
  <c r="D24" i="25"/>
  <c r="S24" i="25" s="1"/>
  <c r="C24" i="25"/>
  <c r="R24" i="25" s="1"/>
  <c r="AH25" i="25"/>
  <c r="AJ24" i="25"/>
  <c r="E24" i="25" s="1"/>
  <c r="AJ26" i="27"/>
  <c r="E26" i="27" s="1"/>
  <c r="AH27" i="27"/>
  <c r="J23" i="25"/>
  <c r="L22" i="25"/>
  <c r="W22" i="25" s="1"/>
  <c r="AJ24" i="26"/>
  <c r="E24" i="26" s="1"/>
  <c r="AH25" i="26"/>
  <c r="D22" i="24"/>
  <c r="S22" i="24" s="1"/>
  <c r="C22" i="24"/>
  <c r="R22" i="24" s="1"/>
  <c r="H23" i="24"/>
  <c r="L21" i="26"/>
  <c r="W21" i="26" s="1"/>
  <c r="J22" i="26"/>
  <c r="J24" i="27"/>
  <c r="D22" i="26"/>
  <c r="S22" i="26" s="1"/>
  <c r="C22" i="26"/>
  <c r="R22" i="26" s="1"/>
  <c r="H23" i="26"/>
  <c r="J22" i="24"/>
  <c r="L21" i="24"/>
  <c r="W21" i="24" s="1"/>
  <c r="H23" i="27"/>
  <c r="L23" i="27" s="1"/>
  <c r="W23" i="27" s="1"/>
  <c r="D22" i="27"/>
  <c r="S22" i="27" s="1"/>
  <c r="C22" i="27"/>
  <c r="R22" i="27" s="1"/>
  <c r="AJ25" i="23"/>
  <c r="E25" i="23" s="1"/>
  <c r="AH26" i="23"/>
  <c r="D21" i="23"/>
  <c r="S21" i="23" s="1"/>
  <c r="C21" i="23"/>
  <c r="R21" i="23" s="1"/>
  <c r="H22" i="23"/>
  <c r="H24" i="22"/>
  <c r="D23" i="22"/>
  <c r="S23" i="22" s="1"/>
  <c r="C23" i="22"/>
  <c r="R23" i="22" s="1"/>
  <c r="AJ25" i="22"/>
  <c r="E25" i="22" s="1"/>
  <c r="AH26" i="22"/>
  <c r="J22" i="23"/>
  <c r="L21" i="23"/>
  <c r="W21" i="23" s="1"/>
  <c r="L21" i="22"/>
  <c r="W21" i="22" s="1"/>
  <c r="J22" i="22"/>
  <c r="H23" i="21"/>
  <c r="D22" i="21"/>
  <c r="S22" i="21" s="1"/>
  <c r="C22" i="21"/>
  <c r="R22" i="21" s="1"/>
  <c r="AJ25" i="21"/>
  <c r="E25" i="21" s="1"/>
  <c r="AH26" i="21"/>
  <c r="L21" i="21"/>
  <c r="W21" i="21" s="1"/>
  <c r="J22" i="21"/>
  <c r="J22" i="20"/>
  <c r="M20" i="20"/>
  <c r="X20" i="20" s="1"/>
  <c r="L20" i="20"/>
  <c r="W20" i="20" s="1"/>
  <c r="G21" i="20"/>
  <c r="AA20" i="20"/>
  <c r="Z20" i="20"/>
  <c r="D20" i="20"/>
  <c r="S20" i="20" s="1"/>
  <c r="C20" i="20"/>
  <c r="R20" i="20" s="1"/>
  <c r="H24" i="20"/>
  <c r="T20" i="20"/>
  <c r="P20" i="20"/>
  <c r="AJ25" i="20"/>
  <c r="E25" i="20" s="1"/>
  <c r="AH26" i="20"/>
  <c r="Q20" i="20"/>
  <c r="N24" i="20"/>
  <c r="O19" i="19"/>
  <c r="C19" i="19"/>
  <c r="R19" i="19" s="1"/>
  <c r="T19" i="19"/>
  <c r="U19" i="19"/>
  <c r="Z19" i="19"/>
  <c r="AJ26" i="19"/>
  <c r="E26" i="19" s="1"/>
  <c r="AH27" i="19"/>
  <c r="N25" i="19"/>
  <c r="AA20" i="19"/>
  <c r="Z20" i="19"/>
  <c r="H21" i="19"/>
  <c r="D20" i="19"/>
  <c r="S20" i="19" s="1"/>
  <c r="M19" i="19"/>
  <c r="X19" i="19" s="1"/>
  <c r="L19" i="19"/>
  <c r="W19" i="19" s="1"/>
  <c r="G20" i="19"/>
  <c r="C20" i="19" s="1"/>
  <c r="R20" i="19" s="1"/>
  <c r="P19" i="19"/>
  <c r="J21" i="19"/>
  <c r="Q20" i="19"/>
  <c r="P20" i="19"/>
  <c r="U20" i="19"/>
  <c r="T20" i="19"/>
  <c r="O20" i="19"/>
  <c r="AA18" i="7"/>
  <c r="D18" i="7"/>
  <c r="S18" i="7" s="1"/>
  <c r="M18" i="7"/>
  <c r="X18" i="7" s="1"/>
  <c r="T18" i="7"/>
  <c r="C18" i="7"/>
  <c r="R18" i="7" s="1"/>
  <c r="L18" i="7"/>
  <c r="W18" i="7" s="1"/>
  <c r="G19" i="7"/>
  <c r="U18" i="7"/>
  <c r="Q18" i="7"/>
  <c r="O18" i="7"/>
  <c r="P18" i="7"/>
  <c r="Z18" i="7"/>
  <c r="O20" i="11"/>
  <c r="D20" i="18"/>
  <c r="C20" i="18"/>
  <c r="D18" i="17"/>
  <c r="C18" i="17"/>
  <c r="D19" i="16"/>
  <c r="S19" i="16" s="1"/>
  <c r="C19" i="16"/>
  <c r="R19" i="16" s="1"/>
  <c r="D18" i="15"/>
  <c r="C18" i="15"/>
  <c r="D19" i="14"/>
  <c r="S19" i="14" s="1"/>
  <c r="C19" i="14"/>
  <c r="R19" i="14" s="1"/>
  <c r="D18" i="13"/>
  <c r="S18" i="13" s="1"/>
  <c r="C18" i="13"/>
  <c r="D20" i="12"/>
  <c r="C20" i="12"/>
  <c r="D20" i="11"/>
  <c r="C20" i="11"/>
  <c r="D19" i="10"/>
  <c r="C19" i="10"/>
  <c r="R19" i="10" s="1"/>
  <c r="D19" i="9"/>
  <c r="C19" i="9"/>
  <c r="D20" i="8"/>
  <c r="C20" i="8"/>
  <c r="D20" i="6"/>
  <c r="C20" i="6"/>
  <c r="D18" i="4"/>
  <c r="C18" i="4"/>
  <c r="G21" i="1"/>
  <c r="P20" i="1"/>
  <c r="Z20" i="1"/>
  <c r="Q20" i="1"/>
  <c r="L20" i="1"/>
  <c r="W20" i="1" s="1"/>
  <c r="AA20" i="1"/>
  <c r="U20" i="1"/>
  <c r="M20" i="1"/>
  <c r="X20" i="1" s="1"/>
  <c r="T20" i="1"/>
  <c r="O20" i="1"/>
  <c r="Z19" i="16"/>
  <c r="J21" i="18"/>
  <c r="U20" i="18"/>
  <c r="Q20" i="18"/>
  <c r="P20" i="18"/>
  <c r="T20" i="18"/>
  <c r="O20" i="18"/>
  <c r="Z20" i="18"/>
  <c r="H21" i="18"/>
  <c r="S20" i="18"/>
  <c r="R20" i="18"/>
  <c r="AA20" i="18"/>
  <c r="AJ23" i="18"/>
  <c r="E23" i="18" s="1"/>
  <c r="AH24" i="18"/>
  <c r="N22" i="18"/>
  <c r="L20" i="18"/>
  <c r="W20" i="18" s="1"/>
  <c r="G21" i="18"/>
  <c r="M20" i="18"/>
  <c r="X20" i="18" s="1"/>
  <c r="M18" i="17"/>
  <c r="X18" i="17" s="1"/>
  <c r="L18" i="17"/>
  <c r="W18" i="17" s="1"/>
  <c r="G19" i="17"/>
  <c r="Z18" i="17"/>
  <c r="S18" i="17"/>
  <c r="AA18" i="17"/>
  <c r="R18" i="17"/>
  <c r="J20" i="17"/>
  <c r="AJ24" i="17"/>
  <c r="E24" i="17" s="1"/>
  <c r="AH25" i="17"/>
  <c r="N23" i="17"/>
  <c r="H21" i="17"/>
  <c r="J21" i="15"/>
  <c r="H21" i="14"/>
  <c r="AA19" i="16"/>
  <c r="AJ23" i="14"/>
  <c r="E23" i="14" s="1"/>
  <c r="AH24" i="14"/>
  <c r="AH25" i="13"/>
  <c r="AJ24" i="13"/>
  <c r="E24" i="13" s="1"/>
  <c r="AJ22" i="16"/>
  <c r="E22" i="16" s="1"/>
  <c r="AH23" i="16"/>
  <c r="N22" i="14"/>
  <c r="N21" i="16"/>
  <c r="N23" i="13"/>
  <c r="Q19" i="14"/>
  <c r="P19" i="14"/>
  <c r="J20" i="14"/>
  <c r="U19" i="14"/>
  <c r="T19" i="14"/>
  <c r="O19" i="14"/>
  <c r="H21" i="15"/>
  <c r="AJ23" i="15"/>
  <c r="E23" i="15" s="1"/>
  <c r="AH24" i="15"/>
  <c r="M18" i="13"/>
  <c r="X18" i="13" s="1"/>
  <c r="L18" i="13"/>
  <c r="W18" i="13" s="1"/>
  <c r="G19" i="13"/>
  <c r="T18" i="13"/>
  <c r="O18" i="13"/>
  <c r="P18" i="13"/>
  <c r="Q18" i="13"/>
  <c r="U18" i="13"/>
  <c r="R18" i="13"/>
  <c r="AA18" i="13"/>
  <c r="Z18" i="13"/>
  <c r="G20" i="14"/>
  <c r="M19" i="14"/>
  <c r="X19" i="14" s="1"/>
  <c r="L19" i="14"/>
  <c r="W19" i="14" s="1"/>
  <c r="N22" i="15"/>
  <c r="J20" i="16"/>
  <c r="Q19" i="16"/>
  <c r="P19" i="16"/>
  <c r="U19" i="16"/>
  <c r="T19" i="16"/>
  <c r="H21" i="13"/>
  <c r="O19" i="16"/>
  <c r="J22" i="13"/>
  <c r="M19" i="16"/>
  <c r="X19" i="16" s="1"/>
  <c r="L19" i="16"/>
  <c r="W19" i="16" s="1"/>
  <c r="G20" i="16"/>
  <c r="AA19" i="14"/>
  <c r="H21" i="16"/>
  <c r="M18" i="15"/>
  <c r="X18" i="15" s="1"/>
  <c r="L18" i="15"/>
  <c r="W18" i="15" s="1"/>
  <c r="G19" i="15"/>
  <c r="Q18" i="15"/>
  <c r="P18" i="15"/>
  <c r="O18" i="15"/>
  <c r="U18" i="15"/>
  <c r="AA18" i="15"/>
  <c r="T18" i="15"/>
  <c r="Z18" i="15"/>
  <c r="S18" i="15"/>
  <c r="R18" i="15"/>
  <c r="M20" i="12"/>
  <c r="X20" i="12" s="1"/>
  <c r="G21" i="12"/>
  <c r="L19" i="9"/>
  <c r="W19" i="9" s="1"/>
  <c r="G20" i="9"/>
  <c r="M19" i="9"/>
  <c r="X19" i="9" s="1"/>
  <c r="Z19" i="9"/>
  <c r="AA19" i="9"/>
  <c r="S19" i="9"/>
  <c r="R19" i="9"/>
  <c r="AJ23" i="10"/>
  <c r="E23" i="10" s="1"/>
  <c r="AH24" i="10"/>
  <c r="N22" i="10"/>
  <c r="L19" i="10"/>
  <c r="W19" i="10" s="1"/>
  <c r="G20" i="10"/>
  <c r="M19" i="10"/>
  <c r="X19" i="10" s="1"/>
  <c r="H22" i="9"/>
  <c r="M20" i="11"/>
  <c r="X20" i="11" s="1"/>
  <c r="L20" i="11"/>
  <c r="W20" i="11" s="1"/>
  <c r="G21" i="11"/>
  <c r="P19" i="9"/>
  <c r="J20" i="9"/>
  <c r="Q19" i="9"/>
  <c r="U19" i="9"/>
  <c r="T19" i="9"/>
  <c r="O19" i="9"/>
  <c r="J23" i="11"/>
  <c r="Z19" i="10"/>
  <c r="H20" i="10"/>
  <c r="S19" i="10"/>
  <c r="AA19" i="10"/>
  <c r="J20" i="10"/>
  <c r="Q19" i="10"/>
  <c r="P19" i="10"/>
  <c r="U19" i="10"/>
  <c r="T19" i="10"/>
  <c r="O19" i="10"/>
  <c r="N22" i="9"/>
  <c r="Q19" i="12"/>
  <c r="P19" i="12"/>
  <c r="J20" i="12"/>
  <c r="U19" i="12"/>
  <c r="T19" i="12"/>
  <c r="O19" i="12"/>
  <c r="AJ23" i="9"/>
  <c r="E23" i="9" s="1"/>
  <c r="AH24" i="9"/>
  <c r="AA20" i="12"/>
  <c r="Z20" i="12"/>
  <c r="H21" i="12"/>
  <c r="N22" i="12"/>
  <c r="AJ23" i="12"/>
  <c r="E23" i="12" s="1"/>
  <c r="AH24" i="12"/>
  <c r="N22" i="11"/>
  <c r="S20" i="11"/>
  <c r="R20" i="11"/>
  <c r="AA20" i="11"/>
  <c r="Z20" i="11"/>
  <c r="H21" i="11"/>
  <c r="T20" i="11"/>
  <c r="U20" i="11"/>
  <c r="P20" i="11"/>
  <c r="Q20" i="11"/>
  <c r="AH24" i="11"/>
  <c r="AJ23" i="11"/>
  <c r="E23" i="11" s="1"/>
  <c r="M20" i="8"/>
  <c r="X20" i="8" s="1"/>
  <c r="L20" i="8"/>
  <c r="W20" i="8" s="1"/>
  <c r="G21" i="8"/>
  <c r="N23" i="8"/>
  <c r="AJ24" i="8"/>
  <c r="E24" i="8" s="1"/>
  <c r="AH25" i="8"/>
  <c r="S20" i="8"/>
  <c r="R20" i="8"/>
  <c r="AA20" i="8"/>
  <c r="Z20" i="8"/>
  <c r="H21" i="8"/>
  <c r="Q20" i="8"/>
  <c r="P20" i="8"/>
  <c r="J21" i="8"/>
  <c r="U20" i="8"/>
  <c r="T20" i="8"/>
  <c r="O20" i="8"/>
  <c r="J22" i="7"/>
  <c r="H22" i="7"/>
  <c r="AH25" i="7"/>
  <c r="AJ24" i="7"/>
  <c r="E24" i="7" s="1"/>
  <c r="N23" i="7"/>
  <c r="L20" i="6"/>
  <c r="W20" i="6" s="1"/>
  <c r="G21" i="6"/>
  <c r="U21" i="6" s="1"/>
  <c r="M20" i="6"/>
  <c r="X20" i="6" s="1"/>
  <c r="AJ23" i="6"/>
  <c r="E23" i="6" s="1"/>
  <c r="AH24" i="6"/>
  <c r="N22" i="6"/>
  <c r="U20" i="6"/>
  <c r="Z20" i="6"/>
  <c r="S20" i="6"/>
  <c r="R20" i="6"/>
  <c r="H21" i="6"/>
  <c r="AA20" i="6"/>
  <c r="J22" i="6"/>
  <c r="P21" i="6"/>
  <c r="P20" i="6"/>
  <c r="T20" i="6"/>
  <c r="Q20" i="6"/>
  <c r="AJ23" i="4"/>
  <c r="E23" i="4" s="1"/>
  <c r="AH24" i="4"/>
  <c r="N22" i="4"/>
  <c r="H21" i="4"/>
  <c r="J23" i="4"/>
  <c r="G19" i="4"/>
  <c r="M18" i="4"/>
  <c r="X18" i="4" s="1"/>
  <c r="L18" i="4"/>
  <c r="W18" i="4" s="1"/>
  <c r="S18" i="4"/>
  <c r="R18" i="4"/>
  <c r="O18" i="4"/>
  <c r="AA18" i="4"/>
  <c r="Z18" i="4"/>
  <c r="Q18" i="4"/>
  <c r="U18" i="4"/>
  <c r="P18" i="4"/>
  <c r="T18" i="4"/>
  <c r="H21" i="1"/>
  <c r="D20" i="1"/>
  <c r="S20" i="1" s="1"/>
  <c r="C20" i="1"/>
  <c r="R20" i="1" s="1"/>
  <c r="Q64" i="27" l="1"/>
  <c r="G65" i="27"/>
  <c r="P64" i="27"/>
  <c r="Z64" i="27"/>
  <c r="M64" i="27"/>
  <c r="X64" i="27" s="1"/>
  <c r="U64" i="27"/>
  <c r="N26" i="27"/>
  <c r="T26" i="27"/>
  <c r="M44" i="27"/>
  <c r="X44" i="27" s="1"/>
  <c r="Q44" i="27"/>
  <c r="G45" i="27"/>
  <c r="P44" i="27"/>
  <c r="Z44" i="27"/>
  <c r="U44" i="27"/>
  <c r="M24" i="27"/>
  <c r="X24" i="27" s="1"/>
  <c r="Q24" i="27"/>
  <c r="AA24" i="27"/>
  <c r="Z24" i="27"/>
  <c r="G25" i="27"/>
  <c r="P24" i="27"/>
  <c r="U24" i="27"/>
  <c r="T24" i="27"/>
  <c r="M64" i="28"/>
  <c r="X64" i="28" s="1"/>
  <c r="U64" i="28"/>
  <c r="Q64" i="28"/>
  <c r="G65" i="28"/>
  <c r="P64" i="28"/>
  <c r="Z64" i="28"/>
  <c r="M44" i="28"/>
  <c r="X44" i="28" s="1"/>
  <c r="Q44" i="28"/>
  <c r="G45" i="28"/>
  <c r="P44" i="28"/>
  <c r="Z44" i="28"/>
  <c r="U44" i="28"/>
  <c r="N25" i="28"/>
  <c r="O25" i="28" s="1"/>
  <c r="M24" i="28"/>
  <c r="X24" i="28" s="1"/>
  <c r="G25" i="28"/>
  <c r="P24" i="28"/>
  <c r="AA24" i="28"/>
  <c r="Z24" i="28"/>
  <c r="Q24" i="28"/>
  <c r="U24" i="28"/>
  <c r="M64" i="26"/>
  <c r="X64" i="26" s="1"/>
  <c r="Z64" i="26"/>
  <c r="Q64" i="26"/>
  <c r="G65" i="26"/>
  <c r="P64" i="26"/>
  <c r="U64" i="26"/>
  <c r="M44" i="26"/>
  <c r="X44" i="26" s="1"/>
  <c r="Z44" i="26"/>
  <c r="G45" i="26"/>
  <c r="P44" i="26"/>
  <c r="Q44" i="26"/>
  <c r="U44" i="26"/>
  <c r="AA23" i="26"/>
  <c r="N24" i="26"/>
  <c r="O24" i="26" s="1"/>
  <c r="T24" i="26"/>
  <c r="M24" i="26"/>
  <c r="X24" i="26" s="1"/>
  <c r="G25" i="26"/>
  <c r="P24" i="26"/>
  <c r="Z24" i="26"/>
  <c r="Q24" i="26"/>
  <c r="U24" i="26"/>
  <c r="M65" i="25"/>
  <c r="X65" i="25" s="1"/>
  <c r="Z65" i="25"/>
  <c r="P65" i="25"/>
  <c r="Q65" i="25"/>
  <c r="U65" i="25"/>
  <c r="Q44" i="25"/>
  <c r="G45" i="25"/>
  <c r="P44" i="25"/>
  <c r="Z44" i="25"/>
  <c r="U44" i="25"/>
  <c r="M44" i="25"/>
  <c r="X44" i="25" s="1"/>
  <c r="N24" i="25"/>
  <c r="O24" i="25" s="1"/>
  <c r="T24" i="25"/>
  <c r="AA23" i="25"/>
  <c r="M24" i="25"/>
  <c r="X24" i="25" s="1"/>
  <c r="AA24" i="25"/>
  <c r="Z24" i="25"/>
  <c r="Q24" i="25"/>
  <c r="G25" i="25"/>
  <c r="P24" i="25"/>
  <c r="U24" i="25"/>
  <c r="P65" i="24"/>
  <c r="Z65" i="24"/>
  <c r="U65" i="24"/>
  <c r="Q65" i="24"/>
  <c r="M65" i="24"/>
  <c r="X65" i="24" s="1"/>
  <c r="M44" i="24"/>
  <c r="X44" i="24" s="1"/>
  <c r="U44" i="24"/>
  <c r="Q44" i="24"/>
  <c r="G45" i="24"/>
  <c r="P44" i="24"/>
  <c r="Z44" i="24"/>
  <c r="N25" i="24"/>
  <c r="M24" i="24"/>
  <c r="X24" i="24" s="1"/>
  <c r="AA24" i="24"/>
  <c r="Z24" i="24"/>
  <c r="Q24" i="24"/>
  <c r="G25" i="24"/>
  <c r="P24" i="24"/>
  <c r="U24" i="24"/>
  <c r="T24" i="24"/>
  <c r="O24" i="24"/>
  <c r="M64" i="23"/>
  <c r="X64" i="23" s="1"/>
  <c r="Z64" i="23"/>
  <c r="G65" i="23"/>
  <c r="P64" i="23"/>
  <c r="Q64" i="23"/>
  <c r="U64" i="23"/>
  <c r="N25" i="23"/>
  <c r="M24" i="23"/>
  <c r="X24" i="23" s="1"/>
  <c r="Q24" i="23"/>
  <c r="G25" i="23"/>
  <c r="G26" i="23" s="1"/>
  <c r="P24" i="23"/>
  <c r="AA24" i="23"/>
  <c r="Z24" i="23"/>
  <c r="U24" i="23"/>
  <c r="M64" i="22"/>
  <c r="X64" i="22" s="1"/>
  <c r="Z64" i="22"/>
  <c r="Q64" i="22"/>
  <c r="G65" i="22"/>
  <c r="P64" i="22"/>
  <c r="U64" i="22"/>
  <c r="M44" i="22"/>
  <c r="X44" i="22" s="1"/>
  <c r="Z44" i="22"/>
  <c r="Q44" i="22"/>
  <c r="G45" i="22"/>
  <c r="P44" i="22"/>
  <c r="U44" i="22"/>
  <c r="N25" i="22"/>
  <c r="O25" i="22" s="1"/>
  <c r="M24" i="22"/>
  <c r="X24" i="22" s="1"/>
  <c r="Q24" i="22"/>
  <c r="G25" i="22"/>
  <c r="P24" i="22"/>
  <c r="AA24" i="22"/>
  <c r="Z24" i="22"/>
  <c r="U24" i="22"/>
  <c r="M64" i="21"/>
  <c r="X64" i="21" s="1"/>
  <c r="Q64" i="21"/>
  <c r="G65" i="21"/>
  <c r="P64" i="21"/>
  <c r="Z64" i="21"/>
  <c r="U64" i="21"/>
  <c r="M44" i="21"/>
  <c r="X44" i="21" s="1"/>
  <c r="Q44" i="21"/>
  <c r="G45" i="21"/>
  <c r="P44" i="21"/>
  <c r="Z44" i="21"/>
  <c r="U44" i="21"/>
  <c r="N25" i="21"/>
  <c r="O25" i="21" s="1"/>
  <c r="M24" i="21"/>
  <c r="X24" i="21" s="1"/>
  <c r="G25" i="21"/>
  <c r="P24" i="21"/>
  <c r="AA24" i="21"/>
  <c r="Z24" i="21"/>
  <c r="U24" i="21"/>
  <c r="Q24" i="21"/>
  <c r="T24" i="21"/>
  <c r="O24" i="21"/>
  <c r="J23" i="28"/>
  <c r="L22" i="28"/>
  <c r="W22" i="28" s="1"/>
  <c r="AJ26" i="28"/>
  <c r="E26" i="28" s="1"/>
  <c r="AH27" i="28"/>
  <c r="H25" i="28"/>
  <c r="D24" i="28"/>
  <c r="S24" i="28" s="1"/>
  <c r="C24" i="28"/>
  <c r="R24" i="28" s="1"/>
  <c r="J23" i="24"/>
  <c r="L22" i="24"/>
  <c r="W22" i="24" s="1"/>
  <c r="J24" i="25"/>
  <c r="L23" i="25"/>
  <c r="W23" i="25" s="1"/>
  <c r="AJ27" i="27"/>
  <c r="E27" i="27" s="1"/>
  <c r="AH28" i="27"/>
  <c r="J25" i="27"/>
  <c r="J23" i="26"/>
  <c r="L22" i="26"/>
  <c r="W22" i="26" s="1"/>
  <c r="AJ25" i="25"/>
  <c r="E25" i="25" s="1"/>
  <c r="AH26" i="25"/>
  <c r="D23" i="24"/>
  <c r="S23" i="24" s="1"/>
  <c r="C23" i="24"/>
  <c r="R23" i="24" s="1"/>
  <c r="H24" i="24"/>
  <c r="H26" i="25"/>
  <c r="D25" i="25"/>
  <c r="S25" i="25" s="1"/>
  <c r="C25" i="25"/>
  <c r="R25" i="25" s="1"/>
  <c r="H24" i="27"/>
  <c r="L24" i="27" s="1"/>
  <c r="W24" i="27" s="1"/>
  <c r="D23" i="27"/>
  <c r="S23" i="27" s="1"/>
  <c r="C23" i="27"/>
  <c r="R23" i="27" s="1"/>
  <c r="D23" i="26"/>
  <c r="S23" i="26" s="1"/>
  <c r="C23" i="26"/>
  <c r="R23" i="26" s="1"/>
  <c r="H24" i="26"/>
  <c r="AH26" i="26"/>
  <c r="AJ25" i="26"/>
  <c r="E25" i="26" s="1"/>
  <c r="AH27" i="24"/>
  <c r="AJ26" i="24"/>
  <c r="E26" i="24" s="1"/>
  <c r="L22" i="23"/>
  <c r="W22" i="23" s="1"/>
  <c r="J23" i="23"/>
  <c r="AJ26" i="22"/>
  <c r="E26" i="22" s="1"/>
  <c r="AH27" i="22"/>
  <c r="H25" i="22"/>
  <c r="D24" i="22"/>
  <c r="S24" i="22" s="1"/>
  <c r="C24" i="22"/>
  <c r="R24" i="22" s="1"/>
  <c r="H23" i="23"/>
  <c r="D22" i="23"/>
  <c r="S22" i="23" s="1"/>
  <c r="C22" i="23"/>
  <c r="R22" i="23" s="1"/>
  <c r="J23" i="22"/>
  <c r="L22" i="22"/>
  <c r="W22" i="22" s="1"/>
  <c r="AJ26" i="23"/>
  <c r="E26" i="23" s="1"/>
  <c r="AH27" i="23"/>
  <c r="L22" i="21"/>
  <c r="W22" i="21" s="1"/>
  <c r="J23" i="21"/>
  <c r="AJ26" i="21"/>
  <c r="E26" i="21" s="1"/>
  <c r="AH27" i="21"/>
  <c r="H24" i="21"/>
  <c r="D23" i="21"/>
  <c r="S23" i="21" s="1"/>
  <c r="C23" i="21"/>
  <c r="R23" i="21" s="1"/>
  <c r="AH27" i="20"/>
  <c r="AJ26" i="20"/>
  <c r="E26" i="20" s="1"/>
  <c r="N25" i="20"/>
  <c r="L21" i="20"/>
  <c r="W21" i="20" s="1"/>
  <c r="M21" i="20"/>
  <c r="X21" i="20" s="1"/>
  <c r="G22" i="20"/>
  <c r="Z21" i="20"/>
  <c r="C21" i="20"/>
  <c r="R21" i="20" s="1"/>
  <c r="D21" i="20"/>
  <c r="S21" i="20" s="1"/>
  <c r="AA21" i="20"/>
  <c r="O21" i="20"/>
  <c r="T21" i="20"/>
  <c r="U21" i="20"/>
  <c r="Q21" i="20"/>
  <c r="H25" i="20"/>
  <c r="P21" i="20"/>
  <c r="J23" i="20"/>
  <c r="Q22" i="20"/>
  <c r="P22" i="20"/>
  <c r="U22" i="20"/>
  <c r="T22" i="20"/>
  <c r="O22" i="20"/>
  <c r="H22" i="19"/>
  <c r="J22" i="19"/>
  <c r="AJ27" i="19"/>
  <c r="E27" i="19" s="1"/>
  <c r="AH28" i="19"/>
  <c r="N26" i="19"/>
  <c r="M20" i="19"/>
  <c r="X20" i="19" s="1"/>
  <c r="L20" i="19"/>
  <c r="W20" i="19" s="1"/>
  <c r="G21" i="19"/>
  <c r="Q21" i="19" s="1"/>
  <c r="AA19" i="7"/>
  <c r="C19" i="7"/>
  <c r="R19" i="7" s="1"/>
  <c r="O19" i="7"/>
  <c r="P19" i="7"/>
  <c r="U19" i="7"/>
  <c r="T19" i="7"/>
  <c r="Q19" i="7"/>
  <c r="M19" i="7"/>
  <c r="X19" i="7" s="1"/>
  <c r="D19" i="7"/>
  <c r="S19" i="7" s="1"/>
  <c r="L19" i="7"/>
  <c r="W19" i="7" s="1"/>
  <c r="G20" i="7"/>
  <c r="Z19" i="7"/>
  <c r="O21" i="6"/>
  <c r="Q21" i="6"/>
  <c r="D21" i="18"/>
  <c r="C21" i="18"/>
  <c r="Q19" i="17"/>
  <c r="C19" i="17"/>
  <c r="D19" i="17"/>
  <c r="AA20" i="16"/>
  <c r="D20" i="16"/>
  <c r="C20" i="16"/>
  <c r="D19" i="15"/>
  <c r="C19" i="15"/>
  <c r="R19" i="15" s="1"/>
  <c r="D20" i="14"/>
  <c r="S20" i="14" s="1"/>
  <c r="C20" i="14"/>
  <c r="R20" i="14" s="1"/>
  <c r="D19" i="13"/>
  <c r="C19" i="13"/>
  <c r="D21" i="12"/>
  <c r="C21" i="12"/>
  <c r="C21" i="11"/>
  <c r="D21" i="11"/>
  <c r="D20" i="10"/>
  <c r="C20" i="10"/>
  <c r="D20" i="9"/>
  <c r="S20" i="9" s="1"/>
  <c r="C20" i="9"/>
  <c r="D21" i="8"/>
  <c r="C21" i="8"/>
  <c r="D21" i="6"/>
  <c r="C21" i="6"/>
  <c r="D19" i="4"/>
  <c r="C19" i="4"/>
  <c r="G22" i="1"/>
  <c r="U21" i="1"/>
  <c r="Q21" i="1"/>
  <c r="P21" i="1"/>
  <c r="Z21" i="1"/>
  <c r="M21" i="1"/>
  <c r="X21" i="1" s="1"/>
  <c r="L21" i="1"/>
  <c r="W21" i="1" s="1"/>
  <c r="AA21" i="1"/>
  <c r="T21" i="1"/>
  <c r="O21" i="1"/>
  <c r="O19" i="17"/>
  <c r="T19" i="17"/>
  <c r="U19" i="17"/>
  <c r="P19" i="17"/>
  <c r="R20" i="12"/>
  <c r="S20" i="12"/>
  <c r="H22" i="18"/>
  <c r="S21" i="18"/>
  <c r="R21" i="18"/>
  <c r="AA21" i="18"/>
  <c r="Z21" i="18"/>
  <c r="O21" i="18"/>
  <c r="G22" i="18"/>
  <c r="O22" i="18" s="1"/>
  <c r="M21" i="18"/>
  <c r="X21" i="18" s="1"/>
  <c r="L21" i="18"/>
  <c r="W21" i="18" s="1"/>
  <c r="AJ24" i="18"/>
  <c r="E24" i="18" s="1"/>
  <c r="AH25" i="18"/>
  <c r="N23" i="18"/>
  <c r="J22" i="18"/>
  <c r="U21" i="18"/>
  <c r="Q21" i="18"/>
  <c r="P21" i="18"/>
  <c r="T21" i="18"/>
  <c r="H22" i="17"/>
  <c r="J21" i="17"/>
  <c r="U20" i="17"/>
  <c r="AJ25" i="17"/>
  <c r="E25" i="17" s="1"/>
  <c r="AH26" i="17"/>
  <c r="N24" i="17"/>
  <c r="M19" i="17"/>
  <c r="X19" i="17" s="1"/>
  <c r="L19" i="17"/>
  <c r="W19" i="17" s="1"/>
  <c r="G20" i="17"/>
  <c r="O20" i="17" s="1"/>
  <c r="S19" i="17"/>
  <c r="R19" i="17"/>
  <c r="Z19" i="17"/>
  <c r="AA19" i="17"/>
  <c r="H22" i="14"/>
  <c r="Z20" i="14"/>
  <c r="M20" i="16"/>
  <c r="X20" i="16" s="1"/>
  <c r="L20" i="16"/>
  <c r="W20" i="16" s="1"/>
  <c r="G21" i="16"/>
  <c r="H22" i="13"/>
  <c r="M19" i="13"/>
  <c r="X19" i="13" s="1"/>
  <c r="L19" i="13"/>
  <c r="W19" i="13" s="1"/>
  <c r="G20" i="13"/>
  <c r="Q19" i="13"/>
  <c r="AA19" i="13"/>
  <c r="O19" i="13"/>
  <c r="Z19" i="13"/>
  <c r="U19" i="13"/>
  <c r="P19" i="13"/>
  <c r="R19" i="13"/>
  <c r="T19" i="13"/>
  <c r="S19" i="13"/>
  <c r="AA20" i="14"/>
  <c r="H22" i="15"/>
  <c r="Q20" i="14"/>
  <c r="P20" i="14"/>
  <c r="J21" i="14"/>
  <c r="U20" i="14"/>
  <c r="T20" i="14"/>
  <c r="O20" i="14"/>
  <c r="L19" i="15"/>
  <c r="W19" i="15" s="1"/>
  <c r="G20" i="15"/>
  <c r="M19" i="15"/>
  <c r="X19" i="15" s="1"/>
  <c r="O19" i="15"/>
  <c r="U19" i="15"/>
  <c r="Q19" i="15"/>
  <c r="P19" i="15"/>
  <c r="T19" i="15"/>
  <c r="Z19" i="15"/>
  <c r="S19" i="15"/>
  <c r="AA19" i="15"/>
  <c r="G21" i="14"/>
  <c r="M20" i="14"/>
  <c r="X20" i="14" s="1"/>
  <c r="L20" i="14"/>
  <c r="W20" i="14" s="1"/>
  <c r="AJ23" i="16"/>
  <c r="E23" i="16" s="1"/>
  <c r="AH24" i="16"/>
  <c r="J21" i="16"/>
  <c r="Q20" i="16"/>
  <c r="P20" i="16"/>
  <c r="U20" i="16"/>
  <c r="T20" i="16"/>
  <c r="AH25" i="15"/>
  <c r="AJ24" i="15"/>
  <c r="E24" i="15" s="1"/>
  <c r="N22" i="16"/>
  <c r="N23" i="15"/>
  <c r="N24" i="13"/>
  <c r="R20" i="16"/>
  <c r="J23" i="13"/>
  <c r="AJ25" i="13"/>
  <c r="E25" i="13" s="1"/>
  <c r="AH26" i="13"/>
  <c r="S20" i="16"/>
  <c r="AJ24" i="14"/>
  <c r="E24" i="14" s="1"/>
  <c r="AH25" i="14"/>
  <c r="H22" i="16"/>
  <c r="N23" i="14"/>
  <c r="J22" i="15"/>
  <c r="Z20" i="16"/>
  <c r="O20" i="16"/>
  <c r="N23" i="10"/>
  <c r="N23" i="11"/>
  <c r="AH25" i="9"/>
  <c r="AJ24" i="9"/>
  <c r="E24" i="9" s="1"/>
  <c r="H23" i="9"/>
  <c r="N23" i="9"/>
  <c r="J24" i="11"/>
  <c r="AJ24" i="12"/>
  <c r="E24" i="12" s="1"/>
  <c r="AH25" i="12"/>
  <c r="AJ24" i="10"/>
  <c r="E24" i="10" s="1"/>
  <c r="AH25" i="10"/>
  <c r="N23" i="12"/>
  <c r="J21" i="10"/>
  <c r="U20" i="10"/>
  <c r="P20" i="10"/>
  <c r="Q20" i="10"/>
  <c r="T20" i="10"/>
  <c r="O20" i="10"/>
  <c r="Q20" i="12"/>
  <c r="P20" i="12"/>
  <c r="J21" i="12"/>
  <c r="U20" i="12"/>
  <c r="T20" i="12"/>
  <c r="O20" i="12"/>
  <c r="G21" i="10"/>
  <c r="M20" i="10"/>
  <c r="X20" i="10" s="1"/>
  <c r="L20" i="10"/>
  <c r="W20" i="10" s="1"/>
  <c r="M20" i="9"/>
  <c r="X20" i="9" s="1"/>
  <c r="G21" i="9"/>
  <c r="L20" i="9"/>
  <c r="W20" i="9" s="1"/>
  <c r="AA20" i="9"/>
  <c r="Z20" i="9"/>
  <c r="R20" i="9"/>
  <c r="Q20" i="9"/>
  <c r="J21" i="9"/>
  <c r="U20" i="9"/>
  <c r="P20" i="9"/>
  <c r="T20" i="9"/>
  <c r="O20" i="9"/>
  <c r="AH25" i="11"/>
  <c r="AJ24" i="11"/>
  <c r="E24" i="11" s="1"/>
  <c r="R21" i="11"/>
  <c r="AA21" i="11"/>
  <c r="Z21" i="11"/>
  <c r="H22" i="11"/>
  <c r="S21" i="11"/>
  <c r="U21" i="11"/>
  <c r="T21" i="11"/>
  <c r="P21" i="11"/>
  <c r="Q21" i="11"/>
  <c r="R21" i="12"/>
  <c r="AA21" i="12"/>
  <c r="Z21" i="12"/>
  <c r="H22" i="12"/>
  <c r="S21" i="12"/>
  <c r="M21" i="12"/>
  <c r="X21" i="12" s="1"/>
  <c r="L21" i="12"/>
  <c r="W21" i="12" s="1"/>
  <c r="G22" i="12"/>
  <c r="O21" i="11"/>
  <c r="H21" i="10"/>
  <c r="R20" i="10"/>
  <c r="AA20" i="10"/>
  <c r="Z20" i="10"/>
  <c r="S20" i="10"/>
  <c r="M21" i="11"/>
  <c r="X21" i="11" s="1"/>
  <c r="L21" i="11"/>
  <c r="W21" i="11" s="1"/>
  <c r="G22" i="11"/>
  <c r="L20" i="12"/>
  <c r="W20" i="12" s="1"/>
  <c r="AJ25" i="8"/>
  <c r="E25" i="8" s="1"/>
  <c r="AH26" i="8"/>
  <c r="N24" i="8"/>
  <c r="M21" i="8"/>
  <c r="X21" i="8" s="1"/>
  <c r="L21" i="8"/>
  <c r="W21" i="8" s="1"/>
  <c r="G22" i="8"/>
  <c r="P21" i="8"/>
  <c r="J22" i="8"/>
  <c r="U21" i="8"/>
  <c r="Q21" i="8"/>
  <c r="T21" i="8"/>
  <c r="O21" i="8"/>
  <c r="R21" i="8"/>
  <c r="AA21" i="8"/>
  <c r="Z21" i="8"/>
  <c r="H22" i="8"/>
  <c r="S21" i="8"/>
  <c r="H23" i="7"/>
  <c r="N24" i="7"/>
  <c r="J23" i="7"/>
  <c r="AH26" i="7"/>
  <c r="AJ25" i="7"/>
  <c r="E25" i="7" s="1"/>
  <c r="AJ24" i="6"/>
  <c r="E24" i="6" s="1"/>
  <c r="AH25" i="6"/>
  <c r="N23" i="6"/>
  <c r="J23" i="6"/>
  <c r="M21" i="6"/>
  <c r="X21" i="6" s="1"/>
  <c r="L21" i="6"/>
  <c r="W21" i="6" s="1"/>
  <c r="G22" i="6"/>
  <c r="H22" i="6"/>
  <c r="R21" i="6"/>
  <c r="AA21" i="6"/>
  <c r="Z21" i="6"/>
  <c r="S21" i="6"/>
  <c r="T21" i="6"/>
  <c r="H22" i="4"/>
  <c r="M19" i="4"/>
  <c r="X19" i="4" s="1"/>
  <c r="L19" i="4"/>
  <c r="W19" i="4" s="1"/>
  <c r="G20" i="4"/>
  <c r="O19" i="4"/>
  <c r="S19" i="4"/>
  <c r="T19" i="4"/>
  <c r="R19" i="4"/>
  <c r="AA19" i="4"/>
  <c r="Q19" i="4"/>
  <c r="P19" i="4"/>
  <c r="Z19" i="4"/>
  <c r="U19" i="4"/>
  <c r="J24" i="4"/>
  <c r="AH25" i="4"/>
  <c r="AJ24" i="4"/>
  <c r="E24" i="4" s="1"/>
  <c r="N23" i="4"/>
  <c r="D21" i="1"/>
  <c r="S21" i="1" s="1"/>
  <c r="C21" i="1"/>
  <c r="R21" i="1" s="1"/>
  <c r="H22" i="1"/>
  <c r="M65" i="27" l="1"/>
  <c r="X65" i="27" s="1"/>
  <c r="Z65" i="27"/>
  <c r="Q65" i="27"/>
  <c r="P65" i="27"/>
  <c r="U65" i="27"/>
  <c r="N27" i="27"/>
  <c r="T27" i="27"/>
  <c r="M45" i="27"/>
  <c r="X45" i="27" s="1"/>
  <c r="Q45" i="27"/>
  <c r="P45" i="27"/>
  <c r="Z45" i="27"/>
  <c r="U45" i="27"/>
  <c r="AA26" i="27"/>
  <c r="O26" i="27"/>
  <c r="M25" i="27"/>
  <c r="X25" i="27" s="1"/>
  <c r="AA25" i="27"/>
  <c r="Z25" i="27"/>
  <c r="Q25" i="27"/>
  <c r="P25" i="27"/>
  <c r="U25" i="27"/>
  <c r="T25" i="27"/>
  <c r="O25" i="27"/>
  <c r="M65" i="28"/>
  <c r="X65" i="28" s="1"/>
  <c r="P65" i="28"/>
  <c r="Z65" i="28"/>
  <c r="Q65" i="28"/>
  <c r="U65" i="28"/>
  <c r="N26" i="28"/>
  <c r="T26" i="28"/>
  <c r="M45" i="28"/>
  <c r="X45" i="28" s="1"/>
  <c r="Z45" i="28"/>
  <c r="Q45" i="28"/>
  <c r="P45" i="28"/>
  <c r="U45" i="28"/>
  <c r="M25" i="28"/>
  <c r="X25" i="28" s="1"/>
  <c r="AA25" i="28"/>
  <c r="Z25" i="28"/>
  <c r="U25" i="28"/>
  <c r="Q25" i="28"/>
  <c r="P25" i="28"/>
  <c r="T25" i="28"/>
  <c r="M65" i="26"/>
  <c r="X65" i="26" s="1"/>
  <c r="Q65" i="26"/>
  <c r="P65" i="26"/>
  <c r="Z65" i="26"/>
  <c r="U65" i="26"/>
  <c r="M45" i="26"/>
  <c r="X45" i="26" s="1"/>
  <c r="Q45" i="26"/>
  <c r="P45" i="26"/>
  <c r="Z45" i="26"/>
  <c r="U45" i="26"/>
  <c r="AA24" i="26"/>
  <c r="N25" i="26"/>
  <c r="O25" i="26" s="1"/>
  <c r="T25" i="26"/>
  <c r="M25" i="26"/>
  <c r="X25" i="26" s="1"/>
  <c r="P25" i="26"/>
  <c r="Z25" i="26"/>
  <c r="U25" i="26"/>
  <c r="Q25" i="26"/>
  <c r="M45" i="25"/>
  <c r="X45" i="25" s="1"/>
  <c r="P45" i="25"/>
  <c r="Z45" i="25"/>
  <c r="Q45" i="25"/>
  <c r="U45" i="25"/>
  <c r="N25" i="25"/>
  <c r="O25" i="25" s="1"/>
  <c r="T25" i="25"/>
  <c r="M25" i="25"/>
  <c r="X25" i="25" s="1"/>
  <c r="Z25" i="25"/>
  <c r="AA25" i="25"/>
  <c r="Q25" i="25"/>
  <c r="P25" i="25"/>
  <c r="U25" i="25"/>
  <c r="Q45" i="24"/>
  <c r="P45" i="24"/>
  <c r="Z45" i="24"/>
  <c r="M45" i="24"/>
  <c r="X45" i="24" s="1"/>
  <c r="U45" i="24"/>
  <c r="N26" i="24"/>
  <c r="T26" i="24"/>
  <c r="M25" i="24"/>
  <c r="X25" i="24" s="1"/>
  <c r="AA25" i="24"/>
  <c r="Z25" i="24"/>
  <c r="Q25" i="24"/>
  <c r="P25" i="24"/>
  <c r="U25" i="24"/>
  <c r="T25" i="24"/>
  <c r="O25" i="24"/>
  <c r="M65" i="23"/>
  <c r="X65" i="23" s="1"/>
  <c r="U65" i="23"/>
  <c r="Q65" i="23"/>
  <c r="P65" i="23"/>
  <c r="Z65" i="23"/>
  <c r="M26" i="23"/>
  <c r="X26" i="23" s="1"/>
  <c r="P26" i="23"/>
  <c r="G27" i="23"/>
  <c r="Z26" i="23"/>
  <c r="U26" i="23"/>
  <c r="Q26" i="23"/>
  <c r="N26" i="23"/>
  <c r="T26" i="23"/>
  <c r="M25" i="23"/>
  <c r="X25" i="23" s="1"/>
  <c r="Q25" i="23"/>
  <c r="P25" i="23"/>
  <c r="Z25" i="23"/>
  <c r="AA25" i="23"/>
  <c r="U25" i="23"/>
  <c r="T25" i="23"/>
  <c r="O25" i="23"/>
  <c r="M65" i="22"/>
  <c r="X65" i="22" s="1"/>
  <c r="Q65" i="22"/>
  <c r="P65" i="22"/>
  <c r="Z65" i="22"/>
  <c r="U65" i="22"/>
  <c r="M45" i="22"/>
  <c r="X45" i="22" s="1"/>
  <c r="Q45" i="22"/>
  <c r="P45" i="22"/>
  <c r="Z45" i="22"/>
  <c r="U45" i="22"/>
  <c r="N26" i="22"/>
  <c r="T26" i="22"/>
  <c r="M25" i="22"/>
  <c r="X25" i="22" s="1"/>
  <c r="AA25" i="22"/>
  <c r="Z25" i="22"/>
  <c r="Q25" i="22"/>
  <c r="P25" i="22"/>
  <c r="U25" i="22"/>
  <c r="T25" i="22"/>
  <c r="M65" i="21"/>
  <c r="X65" i="21" s="1"/>
  <c r="Z65" i="21"/>
  <c r="Q65" i="21"/>
  <c r="P65" i="21"/>
  <c r="U65" i="21"/>
  <c r="N26" i="21"/>
  <c r="T26" i="21"/>
  <c r="M45" i="21"/>
  <c r="X45" i="21" s="1"/>
  <c r="Q45" i="21"/>
  <c r="P45" i="21"/>
  <c r="Z45" i="21"/>
  <c r="U45" i="21"/>
  <c r="M25" i="21"/>
  <c r="X25" i="21" s="1"/>
  <c r="AA25" i="21"/>
  <c r="Z25" i="21"/>
  <c r="U25" i="21"/>
  <c r="Q25" i="21"/>
  <c r="P25" i="21"/>
  <c r="T25" i="21"/>
  <c r="D25" i="28"/>
  <c r="S25" i="28" s="1"/>
  <c r="C25" i="28"/>
  <c r="R25" i="28" s="1"/>
  <c r="H26" i="28"/>
  <c r="AJ27" i="28"/>
  <c r="E27" i="28" s="1"/>
  <c r="AH28" i="28"/>
  <c r="J24" i="28"/>
  <c r="L23" i="28"/>
  <c r="W23" i="28" s="1"/>
  <c r="C24" i="26"/>
  <c r="R24" i="26" s="1"/>
  <c r="H25" i="26"/>
  <c r="D24" i="26"/>
  <c r="S24" i="26" s="1"/>
  <c r="AJ26" i="25"/>
  <c r="E26" i="25" s="1"/>
  <c r="AH27" i="25"/>
  <c r="J24" i="26"/>
  <c r="L23" i="26"/>
  <c r="W23" i="26" s="1"/>
  <c r="H25" i="27"/>
  <c r="D24" i="27"/>
  <c r="S24" i="27" s="1"/>
  <c r="C24" i="27"/>
  <c r="R24" i="27" s="1"/>
  <c r="J26" i="27"/>
  <c r="L25" i="27"/>
  <c r="W25" i="27" s="1"/>
  <c r="AJ28" i="27"/>
  <c r="E28" i="27" s="1"/>
  <c r="AH29" i="27"/>
  <c r="H27" i="25"/>
  <c r="D26" i="25"/>
  <c r="S26" i="25" s="1"/>
  <c r="C26" i="25"/>
  <c r="R26" i="25" s="1"/>
  <c r="AH28" i="24"/>
  <c r="AJ27" i="24"/>
  <c r="E27" i="24" s="1"/>
  <c r="C24" i="24"/>
  <c r="R24" i="24" s="1"/>
  <c r="H25" i="24"/>
  <c r="D24" i="24"/>
  <c r="S24" i="24" s="1"/>
  <c r="J25" i="25"/>
  <c r="L24" i="25"/>
  <c r="W24" i="25" s="1"/>
  <c r="AH27" i="26"/>
  <c r="AJ26" i="26"/>
  <c r="E26" i="26" s="1"/>
  <c r="J24" i="24"/>
  <c r="L23" i="24"/>
  <c r="W23" i="24" s="1"/>
  <c r="J24" i="22"/>
  <c r="L23" i="22"/>
  <c r="W23" i="22" s="1"/>
  <c r="H24" i="23"/>
  <c r="D23" i="23"/>
  <c r="S23" i="23" s="1"/>
  <c r="C23" i="23"/>
  <c r="R23" i="23" s="1"/>
  <c r="D25" i="22"/>
  <c r="S25" i="22" s="1"/>
  <c r="C25" i="22"/>
  <c r="R25" i="22" s="1"/>
  <c r="H26" i="22"/>
  <c r="AJ27" i="22"/>
  <c r="E27" i="22" s="1"/>
  <c r="AH28" i="22"/>
  <c r="AH28" i="23"/>
  <c r="AJ27" i="23"/>
  <c r="E27" i="23" s="1"/>
  <c r="J24" i="23"/>
  <c r="L23" i="23"/>
  <c r="W23" i="23" s="1"/>
  <c r="H25" i="21"/>
  <c r="D24" i="21"/>
  <c r="S24" i="21" s="1"/>
  <c r="C24" i="21"/>
  <c r="R24" i="21" s="1"/>
  <c r="AJ27" i="21"/>
  <c r="E27" i="21" s="1"/>
  <c r="AH28" i="21"/>
  <c r="J24" i="21"/>
  <c r="L23" i="21"/>
  <c r="W23" i="21" s="1"/>
  <c r="H26" i="20"/>
  <c r="G23" i="20"/>
  <c r="M22" i="20"/>
  <c r="X22" i="20" s="1"/>
  <c r="L22" i="20"/>
  <c r="W22" i="20" s="1"/>
  <c r="D22" i="20"/>
  <c r="S22" i="20" s="1"/>
  <c r="AA22" i="20"/>
  <c r="C22" i="20"/>
  <c r="R22" i="20" s="1"/>
  <c r="Z22" i="20"/>
  <c r="J24" i="20"/>
  <c r="O23" i="20"/>
  <c r="N26" i="20"/>
  <c r="AJ27" i="20"/>
  <c r="E27" i="20" s="1"/>
  <c r="AH28" i="20"/>
  <c r="O21" i="19"/>
  <c r="T21" i="19"/>
  <c r="U21" i="19"/>
  <c r="P21" i="19"/>
  <c r="M21" i="19"/>
  <c r="X21" i="19" s="1"/>
  <c r="L21" i="19"/>
  <c r="W21" i="19" s="1"/>
  <c r="G22" i="19"/>
  <c r="O22" i="19" s="1"/>
  <c r="J23" i="19"/>
  <c r="Q22" i="19"/>
  <c r="P22" i="19"/>
  <c r="U22" i="19"/>
  <c r="T22" i="19"/>
  <c r="C21" i="19"/>
  <c r="R21" i="19" s="1"/>
  <c r="D21" i="19"/>
  <c r="S21" i="19" s="1"/>
  <c r="H23" i="19"/>
  <c r="D22" i="19"/>
  <c r="S22" i="19" s="1"/>
  <c r="C22" i="19"/>
  <c r="R22" i="19" s="1"/>
  <c r="AA22" i="19"/>
  <c r="AJ28" i="19"/>
  <c r="E28" i="19" s="1"/>
  <c r="AH29" i="19"/>
  <c r="Z21" i="19"/>
  <c r="N27" i="19"/>
  <c r="AA21" i="19"/>
  <c r="AA20" i="7"/>
  <c r="Z20" i="7"/>
  <c r="T20" i="7"/>
  <c r="U20" i="7"/>
  <c r="P20" i="7"/>
  <c r="Q20" i="7"/>
  <c r="D20" i="7"/>
  <c r="S20" i="7" s="1"/>
  <c r="L20" i="7"/>
  <c r="W20" i="7" s="1"/>
  <c r="O20" i="7"/>
  <c r="C20" i="7"/>
  <c r="R20" i="7" s="1"/>
  <c r="G21" i="7"/>
  <c r="M20" i="7"/>
  <c r="X20" i="7" s="1"/>
  <c r="T20" i="17"/>
  <c r="P20" i="17"/>
  <c r="C22" i="18"/>
  <c r="D22" i="18"/>
  <c r="D20" i="17"/>
  <c r="C20" i="17"/>
  <c r="D21" i="16"/>
  <c r="S21" i="16" s="1"/>
  <c r="C21" i="16"/>
  <c r="R21" i="16" s="1"/>
  <c r="C20" i="15"/>
  <c r="D20" i="15"/>
  <c r="C21" i="14"/>
  <c r="R21" i="14" s="1"/>
  <c r="D21" i="14"/>
  <c r="S21" i="14" s="1"/>
  <c r="C20" i="13"/>
  <c r="R20" i="13" s="1"/>
  <c r="D20" i="13"/>
  <c r="S20" i="13" s="1"/>
  <c r="D22" i="12"/>
  <c r="C22" i="12"/>
  <c r="D22" i="11"/>
  <c r="C22" i="11"/>
  <c r="D21" i="10"/>
  <c r="C21" i="10"/>
  <c r="D21" i="9"/>
  <c r="C21" i="9"/>
  <c r="D22" i="8"/>
  <c r="C22" i="8"/>
  <c r="R22" i="8" s="1"/>
  <c r="D22" i="6"/>
  <c r="C22" i="6"/>
  <c r="C20" i="4"/>
  <c r="D20" i="4"/>
  <c r="G23" i="1"/>
  <c r="Z22" i="1"/>
  <c r="U22" i="1"/>
  <c r="Q22" i="1"/>
  <c r="P22" i="1"/>
  <c r="L22" i="1"/>
  <c r="W22" i="1" s="1"/>
  <c r="AA22" i="1"/>
  <c r="M22" i="1"/>
  <c r="X22" i="1" s="1"/>
  <c r="T22" i="1"/>
  <c r="O22" i="1"/>
  <c r="O22" i="11"/>
  <c r="P22" i="6"/>
  <c r="AJ25" i="18"/>
  <c r="E25" i="18" s="1"/>
  <c r="AH26" i="18"/>
  <c r="N24" i="18"/>
  <c r="G23" i="18"/>
  <c r="M22" i="18"/>
  <c r="X22" i="18" s="1"/>
  <c r="L22" i="18"/>
  <c r="W22" i="18" s="1"/>
  <c r="Q22" i="18"/>
  <c r="P22" i="18"/>
  <c r="J23" i="18"/>
  <c r="U22" i="18"/>
  <c r="T22" i="18"/>
  <c r="H23" i="18"/>
  <c r="S22" i="18"/>
  <c r="R22" i="18"/>
  <c r="AA22" i="18"/>
  <c r="Z22" i="18"/>
  <c r="M20" i="17"/>
  <c r="X20" i="17" s="1"/>
  <c r="L20" i="17"/>
  <c r="W20" i="17" s="1"/>
  <c r="G21" i="17"/>
  <c r="AA20" i="17"/>
  <c r="Z20" i="17"/>
  <c r="S20" i="17"/>
  <c r="R20" i="17"/>
  <c r="Q20" i="17"/>
  <c r="J22" i="17"/>
  <c r="AJ26" i="17"/>
  <c r="E26" i="17" s="1"/>
  <c r="AH27" i="17"/>
  <c r="H23" i="17"/>
  <c r="N25" i="17"/>
  <c r="N25" i="13"/>
  <c r="N23" i="16"/>
  <c r="N24" i="15"/>
  <c r="G21" i="15"/>
  <c r="M20" i="15"/>
  <c r="X20" i="15" s="1"/>
  <c r="L20" i="15"/>
  <c r="W20" i="15" s="1"/>
  <c r="S20" i="15"/>
  <c r="R20" i="15"/>
  <c r="Q20" i="15"/>
  <c r="AA20" i="15"/>
  <c r="P20" i="15"/>
  <c r="Z20" i="15"/>
  <c r="U20" i="15"/>
  <c r="O20" i="15"/>
  <c r="T20" i="15"/>
  <c r="H23" i="15"/>
  <c r="M20" i="13"/>
  <c r="X20" i="13" s="1"/>
  <c r="L20" i="13"/>
  <c r="W20" i="13" s="1"/>
  <c r="G21" i="13"/>
  <c r="Q20" i="13"/>
  <c r="T20" i="13"/>
  <c r="U20" i="13"/>
  <c r="AA20" i="13"/>
  <c r="Z20" i="13"/>
  <c r="O20" i="13"/>
  <c r="P20" i="13"/>
  <c r="O21" i="16"/>
  <c r="AH26" i="15"/>
  <c r="AJ25" i="15"/>
  <c r="E25" i="15" s="1"/>
  <c r="M21" i="14"/>
  <c r="X21" i="14" s="1"/>
  <c r="L21" i="14"/>
  <c r="W21" i="14" s="1"/>
  <c r="G22" i="14"/>
  <c r="H23" i="14"/>
  <c r="H23" i="16"/>
  <c r="J24" i="13"/>
  <c r="Z21" i="14"/>
  <c r="M21" i="16"/>
  <c r="X21" i="16" s="1"/>
  <c r="L21" i="16"/>
  <c r="W21" i="16" s="1"/>
  <c r="G22" i="16"/>
  <c r="Z21" i="16"/>
  <c r="AA21" i="14"/>
  <c r="AA21" i="16"/>
  <c r="H23" i="13"/>
  <c r="J23" i="15"/>
  <c r="AJ25" i="14"/>
  <c r="E25" i="14" s="1"/>
  <c r="AH26" i="14"/>
  <c r="Q21" i="14"/>
  <c r="P21" i="14"/>
  <c r="J22" i="14"/>
  <c r="U21" i="14"/>
  <c r="T21" i="14"/>
  <c r="O21" i="14"/>
  <c r="AJ26" i="13"/>
  <c r="E26" i="13" s="1"/>
  <c r="AH27" i="13"/>
  <c r="N24" i="14"/>
  <c r="J22" i="16"/>
  <c r="U21" i="16"/>
  <c r="Q21" i="16"/>
  <c r="P21" i="16"/>
  <c r="T21" i="16"/>
  <c r="AJ24" i="16"/>
  <c r="E24" i="16" s="1"/>
  <c r="AH25" i="16"/>
  <c r="P21" i="12"/>
  <c r="J22" i="12"/>
  <c r="L22" i="12" s="1"/>
  <c r="W22" i="12" s="1"/>
  <c r="Q21" i="12"/>
  <c r="U21" i="12"/>
  <c r="T21" i="12"/>
  <c r="O21" i="12"/>
  <c r="H24" i="9"/>
  <c r="AJ25" i="10"/>
  <c r="E25" i="10" s="1"/>
  <c r="AH26" i="10"/>
  <c r="N24" i="11"/>
  <c r="N24" i="10"/>
  <c r="AJ25" i="11"/>
  <c r="E25" i="11" s="1"/>
  <c r="AH26" i="11"/>
  <c r="AJ25" i="12"/>
  <c r="E25" i="12" s="1"/>
  <c r="AH26" i="12"/>
  <c r="M21" i="9"/>
  <c r="X21" i="9" s="1"/>
  <c r="L21" i="9"/>
  <c r="W21" i="9" s="1"/>
  <c r="G22" i="9"/>
  <c r="R21" i="9"/>
  <c r="AA21" i="9"/>
  <c r="Z21" i="9"/>
  <c r="S21" i="9"/>
  <c r="N24" i="12"/>
  <c r="N24" i="9"/>
  <c r="AJ25" i="9"/>
  <c r="E25" i="9" s="1"/>
  <c r="AH26" i="9"/>
  <c r="AA22" i="11"/>
  <c r="Z22" i="11"/>
  <c r="H23" i="11"/>
  <c r="S22" i="11"/>
  <c r="R22" i="11"/>
  <c r="U22" i="11"/>
  <c r="Q22" i="11"/>
  <c r="T22" i="11"/>
  <c r="P22" i="11"/>
  <c r="AA22" i="12"/>
  <c r="Z22" i="12"/>
  <c r="H23" i="12"/>
  <c r="S22" i="12"/>
  <c r="H22" i="10"/>
  <c r="S21" i="10"/>
  <c r="AA21" i="10"/>
  <c r="Z21" i="10"/>
  <c r="R21" i="10"/>
  <c r="P21" i="9"/>
  <c r="Q21" i="9"/>
  <c r="J22" i="9"/>
  <c r="U21" i="9"/>
  <c r="T21" i="9"/>
  <c r="O21" i="9"/>
  <c r="G22" i="10"/>
  <c r="M21" i="10"/>
  <c r="X21" i="10" s="1"/>
  <c r="L21" i="10"/>
  <c r="W21" i="10" s="1"/>
  <c r="J25" i="11"/>
  <c r="M22" i="11"/>
  <c r="X22" i="11" s="1"/>
  <c r="L22" i="11"/>
  <c r="W22" i="11" s="1"/>
  <c r="G23" i="11"/>
  <c r="M22" i="12"/>
  <c r="X22" i="12" s="1"/>
  <c r="G23" i="12"/>
  <c r="Q21" i="10"/>
  <c r="P21" i="10"/>
  <c r="J22" i="10"/>
  <c r="U21" i="10"/>
  <c r="T21" i="10"/>
  <c r="O21" i="10"/>
  <c r="J23" i="8"/>
  <c r="U22" i="8"/>
  <c r="Q22" i="8"/>
  <c r="P22" i="8"/>
  <c r="T22" i="8"/>
  <c r="O22" i="8"/>
  <c r="M22" i="8"/>
  <c r="X22" i="8" s="1"/>
  <c r="L22" i="8"/>
  <c r="W22" i="8" s="1"/>
  <c r="G23" i="8"/>
  <c r="AA22" i="8"/>
  <c r="Z22" i="8"/>
  <c r="H23" i="8"/>
  <c r="S22" i="8"/>
  <c r="AJ26" i="8"/>
  <c r="E26" i="8" s="1"/>
  <c r="AH27" i="8"/>
  <c r="N25" i="8"/>
  <c r="N25" i="7"/>
  <c r="AH27" i="7"/>
  <c r="AJ26" i="7"/>
  <c r="E26" i="7" s="1"/>
  <c r="J24" i="7"/>
  <c r="H24" i="7"/>
  <c r="G23" i="6"/>
  <c r="M22" i="6"/>
  <c r="X22" i="6" s="1"/>
  <c r="L22" i="6"/>
  <c r="W22" i="6" s="1"/>
  <c r="J24" i="6"/>
  <c r="U23" i="6"/>
  <c r="Q22" i="6"/>
  <c r="U22" i="6"/>
  <c r="AJ25" i="6"/>
  <c r="E25" i="6" s="1"/>
  <c r="AH26" i="6"/>
  <c r="N24" i="6"/>
  <c r="H23" i="6"/>
  <c r="P23" i="6" s="1"/>
  <c r="S22" i="6"/>
  <c r="AA22" i="6"/>
  <c r="Z22" i="6"/>
  <c r="R22" i="6"/>
  <c r="T22" i="6"/>
  <c r="O22" i="6"/>
  <c r="J25" i="4"/>
  <c r="AJ25" i="4"/>
  <c r="E25" i="4" s="1"/>
  <c r="AH26" i="4"/>
  <c r="H23" i="4"/>
  <c r="N24" i="4"/>
  <c r="M20" i="4"/>
  <c r="X20" i="4" s="1"/>
  <c r="L20" i="4"/>
  <c r="W20" i="4" s="1"/>
  <c r="G21" i="4"/>
  <c r="Q20" i="4"/>
  <c r="O20" i="4"/>
  <c r="T20" i="4"/>
  <c r="S20" i="4"/>
  <c r="R20" i="4"/>
  <c r="AA20" i="4"/>
  <c r="Z20" i="4"/>
  <c r="U20" i="4"/>
  <c r="P20" i="4"/>
  <c r="D22" i="1"/>
  <c r="S22" i="1" s="1"/>
  <c r="C22" i="1"/>
  <c r="R22" i="1" s="1"/>
  <c r="H23" i="1"/>
  <c r="N28" i="27" l="1"/>
  <c r="T28" i="27"/>
  <c r="O27" i="27"/>
  <c r="AA27" i="27"/>
  <c r="N27" i="28"/>
  <c r="T27" i="28"/>
  <c r="AA26" i="28"/>
  <c r="O26" i="28"/>
  <c r="AA25" i="26"/>
  <c r="N26" i="26"/>
  <c r="T26" i="26"/>
  <c r="N26" i="25"/>
  <c r="T26" i="25"/>
  <c r="AA26" i="24"/>
  <c r="O26" i="24"/>
  <c r="N27" i="24"/>
  <c r="T27" i="24"/>
  <c r="AA26" i="23"/>
  <c r="O26" i="23"/>
  <c r="N27" i="23"/>
  <c r="O27" i="23" s="1"/>
  <c r="T27" i="23"/>
  <c r="M27" i="23"/>
  <c r="X27" i="23" s="1"/>
  <c r="Z27" i="23"/>
  <c r="Q27" i="23"/>
  <c r="U27" i="23"/>
  <c r="G28" i="23"/>
  <c r="P27" i="23"/>
  <c r="AA26" i="22"/>
  <c r="O26" i="22"/>
  <c r="N27" i="22"/>
  <c r="T27" i="22"/>
  <c r="N27" i="21"/>
  <c r="T27" i="21"/>
  <c r="AA26" i="21"/>
  <c r="O26" i="21"/>
  <c r="L24" i="28"/>
  <c r="W24" i="28" s="1"/>
  <c r="J25" i="28"/>
  <c r="AJ28" i="28"/>
  <c r="E28" i="28" s="1"/>
  <c r="AH29" i="28"/>
  <c r="D26" i="28"/>
  <c r="S26" i="28" s="1"/>
  <c r="C26" i="28"/>
  <c r="R26" i="28" s="1"/>
  <c r="H27" i="28"/>
  <c r="D25" i="24"/>
  <c r="S25" i="24" s="1"/>
  <c r="H26" i="24"/>
  <c r="C25" i="24"/>
  <c r="R25" i="24" s="1"/>
  <c r="D25" i="27"/>
  <c r="S25" i="27" s="1"/>
  <c r="C25" i="27"/>
  <c r="R25" i="27" s="1"/>
  <c r="H26" i="27"/>
  <c r="AH29" i="24"/>
  <c r="AJ28" i="24"/>
  <c r="E28" i="24" s="1"/>
  <c r="J25" i="26"/>
  <c r="L24" i="26"/>
  <c r="W24" i="26" s="1"/>
  <c r="AJ27" i="25"/>
  <c r="E27" i="25" s="1"/>
  <c r="AH28" i="25"/>
  <c r="J25" i="24"/>
  <c r="L24" i="24"/>
  <c r="W24" i="24" s="1"/>
  <c r="H28" i="25"/>
  <c r="D27" i="25"/>
  <c r="S27" i="25" s="1"/>
  <c r="C27" i="25"/>
  <c r="R27" i="25" s="1"/>
  <c r="J26" i="25"/>
  <c r="L25" i="25"/>
  <c r="W25" i="25" s="1"/>
  <c r="AJ29" i="27"/>
  <c r="E29" i="27" s="1"/>
  <c r="AH30" i="27"/>
  <c r="H26" i="26"/>
  <c r="C25" i="26"/>
  <c r="R25" i="26" s="1"/>
  <c r="D25" i="26"/>
  <c r="S25" i="26" s="1"/>
  <c r="J27" i="27"/>
  <c r="AJ27" i="26"/>
  <c r="E27" i="26" s="1"/>
  <c r="AH28" i="26"/>
  <c r="AJ28" i="23"/>
  <c r="E28" i="23" s="1"/>
  <c r="AH29" i="23"/>
  <c r="AJ28" i="22"/>
  <c r="E28" i="22" s="1"/>
  <c r="AH29" i="22"/>
  <c r="D26" i="22"/>
  <c r="S26" i="22" s="1"/>
  <c r="C26" i="22"/>
  <c r="R26" i="22" s="1"/>
  <c r="H27" i="22"/>
  <c r="H25" i="23"/>
  <c r="D24" i="23"/>
  <c r="S24" i="23" s="1"/>
  <c r="C24" i="23"/>
  <c r="R24" i="23" s="1"/>
  <c r="J25" i="23"/>
  <c r="L24" i="23"/>
  <c r="W24" i="23" s="1"/>
  <c r="L24" i="22"/>
  <c r="W24" i="22" s="1"/>
  <c r="J25" i="22"/>
  <c r="L24" i="21"/>
  <c r="W24" i="21" s="1"/>
  <c r="J25" i="21"/>
  <c r="AJ28" i="21"/>
  <c r="E28" i="21" s="1"/>
  <c r="AH29" i="21"/>
  <c r="D25" i="21"/>
  <c r="S25" i="21" s="1"/>
  <c r="C25" i="21"/>
  <c r="R25" i="21" s="1"/>
  <c r="H26" i="21"/>
  <c r="N27" i="20"/>
  <c r="AJ28" i="20"/>
  <c r="E28" i="20" s="1"/>
  <c r="AH29" i="20"/>
  <c r="G24" i="20"/>
  <c r="M23" i="20"/>
  <c r="X23" i="20" s="1"/>
  <c r="L23" i="20"/>
  <c r="W23" i="20" s="1"/>
  <c r="D23" i="20"/>
  <c r="S23" i="20" s="1"/>
  <c r="C23" i="20"/>
  <c r="R23" i="20" s="1"/>
  <c r="AA23" i="20"/>
  <c r="Z23" i="20"/>
  <c r="T23" i="20"/>
  <c r="U23" i="20"/>
  <c r="P24" i="20"/>
  <c r="J25" i="20"/>
  <c r="U24" i="20"/>
  <c r="T24" i="20"/>
  <c r="O24" i="20"/>
  <c r="H27" i="20"/>
  <c r="P23" i="20"/>
  <c r="Q23" i="20"/>
  <c r="Z22" i="19"/>
  <c r="AH30" i="19"/>
  <c r="AJ29" i="19"/>
  <c r="E29" i="19" s="1"/>
  <c r="N28" i="19"/>
  <c r="J24" i="19"/>
  <c r="L22" i="19"/>
  <c r="W22" i="19" s="1"/>
  <c r="G23" i="19"/>
  <c r="D23" i="19" s="1"/>
  <c r="S23" i="19" s="1"/>
  <c r="M22" i="19"/>
  <c r="X22" i="19" s="1"/>
  <c r="H24" i="19"/>
  <c r="AA21" i="7"/>
  <c r="P21" i="7"/>
  <c r="G22" i="7"/>
  <c r="Q21" i="7"/>
  <c r="M21" i="7"/>
  <c r="X21" i="7" s="1"/>
  <c r="L21" i="7"/>
  <c r="W21" i="7" s="1"/>
  <c r="Z21" i="7"/>
  <c r="D21" i="7"/>
  <c r="S21" i="7" s="1"/>
  <c r="T21" i="7"/>
  <c r="C21" i="7"/>
  <c r="R21" i="7" s="1"/>
  <c r="U21" i="7"/>
  <c r="O21" i="7"/>
  <c r="D23" i="18"/>
  <c r="C23" i="18"/>
  <c r="Q21" i="17"/>
  <c r="D21" i="17"/>
  <c r="C21" i="17"/>
  <c r="D22" i="16"/>
  <c r="C22" i="16"/>
  <c r="R22" i="16" s="1"/>
  <c r="D21" i="15"/>
  <c r="C21" i="15"/>
  <c r="R21" i="15" s="1"/>
  <c r="D22" i="14"/>
  <c r="S22" i="14" s="1"/>
  <c r="C22" i="14"/>
  <c r="R22" i="14" s="1"/>
  <c r="D21" i="13"/>
  <c r="S21" i="13" s="1"/>
  <c r="C21" i="13"/>
  <c r="D23" i="12"/>
  <c r="C23" i="12"/>
  <c r="O23" i="11"/>
  <c r="D23" i="11"/>
  <c r="C23" i="11"/>
  <c r="D22" i="10"/>
  <c r="C22" i="10"/>
  <c r="D22" i="9"/>
  <c r="C22" i="9"/>
  <c r="D23" i="8"/>
  <c r="C23" i="8"/>
  <c r="R23" i="8" s="1"/>
  <c r="O23" i="6"/>
  <c r="D23" i="6"/>
  <c r="C23" i="6"/>
  <c r="D21" i="4"/>
  <c r="C21" i="4"/>
  <c r="G24" i="1"/>
  <c r="U23" i="1"/>
  <c r="Z23" i="1"/>
  <c r="Q23" i="1"/>
  <c r="P23" i="1"/>
  <c r="L23" i="1"/>
  <c r="W23" i="1" s="1"/>
  <c r="M23" i="1"/>
  <c r="X23" i="1" s="1"/>
  <c r="T23" i="1"/>
  <c r="AA23" i="1"/>
  <c r="O23" i="1"/>
  <c r="O21" i="17"/>
  <c r="T21" i="17"/>
  <c r="U21" i="17"/>
  <c r="P21" i="17"/>
  <c r="AA22" i="16"/>
  <c r="AA22" i="14"/>
  <c r="Z22" i="14"/>
  <c r="T23" i="6"/>
  <c r="R22" i="12"/>
  <c r="Q23" i="18"/>
  <c r="P23" i="18"/>
  <c r="J24" i="18"/>
  <c r="U23" i="18"/>
  <c r="T23" i="18"/>
  <c r="G24" i="18"/>
  <c r="M23" i="18"/>
  <c r="X23" i="18" s="1"/>
  <c r="L23" i="18"/>
  <c r="W23" i="18" s="1"/>
  <c r="O24" i="18"/>
  <c r="S23" i="18"/>
  <c r="R23" i="18"/>
  <c r="AA23" i="18"/>
  <c r="Z23" i="18"/>
  <c r="H24" i="18"/>
  <c r="AJ26" i="18"/>
  <c r="E26" i="18" s="1"/>
  <c r="AH27" i="18"/>
  <c r="O23" i="18"/>
  <c r="N25" i="18"/>
  <c r="J23" i="17"/>
  <c r="H24" i="17"/>
  <c r="AJ27" i="17"/>
  <c r="E27" i="17" s="1"/>
  <c r="AH28" i="17"/>
  <c r="N26" i="17"/>
  <c r="L21" i="17"/>
  <c r="W21" i="17" s="1"/>
  <c r="G22" i="17"/>
  <c r="O22" i="17" s="1"/>
  <c r="M21" i="17"/>
  <c r="X21" i="17" s="1"/>
  <c r="Z21" i="17"/>
  <c r="S21" i="17"/>
  <c r="R21" i="17"/>
  <c r="AA21" i="17"/>
  <c r="H24" i="14"/>
  <c r="H24" i="13"/>
  <c r="Q22" i="14"/>
  <c r="P22" i="14"/>
  <c r="J23" i="14"/>
  <c r="U22" i="14"/>
  <c r="T22" i="14"/>
  <c r="O22" i="14"/>
  <c r="G22" i="15"/>
  <c r="M21" i="15"/>
  <c r="X21" i="15" s="1"/>
  <c r="L21" i="15"/>
  <c r="W21" i="15" s="1"/>
  <c r="O21" i="15"/>
  <c r="Z21" i="15"/>
  <c r="Q21" i="15"/>
  <c r="P21" i="15"/>
  <c r="U21" i="15"/>
  <c r="T21" i="15"/>
  <c r="AA21" i="15"/>
  <c r="S21" i="15"/>
  <c r="J23" i="16"/>
  <c r="Q22" i="16"/>
  <c r="P22" i="16"/>
  <c r="U22" i="16"/>
  <c r="T22" i="16"/>
  <c r="L22" i="14"/>
  <c r="W22" i="14" s="1"/>
  <c r="G23" i="14"/>
  <c r="M22" i="14"/>
  <c r="X22" i="14" s="1"/>
  <c r="AH27" i="14"/>
  <c r="AJ26" i="14"/>
  <c r="E26" i="14" s="1"/>
  <c r="J25" i="13"/>
  <c r="AJ25" i="16"/>
  <c r="E25" i="16" s="1"/>
  <c r="AH26" i="16"/>
  <c r="N25" i="14"/>
  <c r="N24" i="16"/>
  <c r="N25" i="15"/>
  <c r="M21" i="13"/>
  <c r="X21" i="13" s="1"/>
  <c r="L21" i="13"/>
  <c r="W21" i="13" s="1"/>
  <c r="G22" i="13"/>
  <c r="R21" i="13"/>
  <c r="P21" i="13"/>
  <c r="AA21" i="13"/>
  <c r="Z21" i="13"/>
  <c r="U21" i="13"/>
  <c r="O21" i="13"/>
  <c r="T21" i="13"/>
  <c r="Q21" i="13"/>
  <c r="AJ27" i="13"/>
  <c r="E27" i="13" s="1"/>
  <c r="AH28" i="13"/>
  <c r="J24" i="15"/>
  <c r="S22" i="16"/>
  <c r="AJ26" i="15"/>
  <c r="E26" i="15" s="1"/>
  <c r="AH27" i="15"/>
  <c r="O22" i="16"/>
  <c r="N26" i="13"/>
  <c r="L22" i="16"/>
  <c r="W22" i="16" s="1"/>
  <c r="G23" i="16"/>
  <c r="M22" i="16"/>
  <c r="X22" i="16" s="1"/>
  <c r="H24" i="16"/>
  <c r="Z22" i="16"/>
  <c r="H24" i="15"/>
  <c r="Q22" i="9"/>
  <c r="J23" i="9"/>
  <c r="P22" i="9"/>
  <c r="U22" i="9"/>
  <c r="T22" i="9"/>
  <c r="O22" i="9"/>
  <c r="N25" i="9"/>
  <c r="AJ26" i="12"/>
  <c r="E26" i="12" s="1"/>
  <c r="AH27" i="12"/>
  <c r="H25" i="9"/>
  <c r="N25" i="12"/>
  <c r="AH27" i="11"/>
  <c r="AJ26" i="11"/>
  <c r="E26" i="11" s="1"/>
  <c r="N25" i="11"/>
  <c r="AA23" i="12"/>
  <c r="Z23" i="12"/>
  <c r="H24" i="12"/>
  <c r="Q22" i="10"/>
  <c r="P22" i="10"/>
  <c r="J23" i="10"/>
  <c r="U22" i="10"/>
  <c r="T22" i="10"/>
  <c r="O22" i="10"/>
  <c r="J26" i="11"/>
  <c r="G23" i="10"/>
  <c r="M22" i="10"/>
  <c r="X22" i="10" s="1"/>
  <c r="L22" i="10"/>
  <c r="W22" i="10" s="1"/>
  <c r="S22" i="10"/>
  <c r="R22" i="10"/>
  <c r="AA22" i="10"/>
  <c r="Z22" i="10"/>
  <c r="H23" i="10"/>
  <c r="AA23" i="11"/>
  <c r="Z23" i="11"/>
  <c r="H24" i="11"/>
  <c r="S23" i="11"/>
  <c r="R23" i="11"/>
  <c r="Q23" i="11"/>
  <c r="T23" i="11"/>
  <c r="P23" i="11"/>
  <c r="U23" i="11"/>
  <c r="AH27" i="9"/>
  <c r="AJ26" i="9"/>
  <c r="E26" i="9" s="1"/>
  <c r="M23" i="12"/>
  <c r="X23" i="12" s="1"/>
  <c r="G24" i="12"/>
  <c r="M22" i="9"/>
  <c r="X22" i="9" s="1"/>
  <c r="L22" i="9"/>
  <c r="W22" i="9" s="1"/>
  <c r="G23" i="9"/>
  <c r="S22" i="9"/>
  <c r="AA22" i="9"/>
  <c r="Z22" i="9"/>
  <c r="R22" i="9"/>
  <c r="AJ26" i="10"/>
  <c r="E26" i="10" s="1"/>
  <c r="AH27" i="10"/>
  <c r="J23" i="12"/>
  <c r="Q22" i="12"/>
  <c r="P22" i="12"/>
  <c r="U22" i="12"/>
  <c r="T22" i="12"/>
  <c r="O22" i="12"/>
  <c r="M23" i="11"/>
  <c r="X23" i="11" s="1"/>
  <c r="L23" i="11"/>
  <c r="W23" i="11" s="1"/>
  <c r="G24" i="11"/>
  <c r="N25" i="10"/>
  <c r="M23" i="8"/>
  <c r="X23" i="8" s="1"/>
  <c r="L23" i="8"/>
  <c r="W23" i="8" s="1"/>
  <c r="G24" i="8"/>
  <c r="AJ27" i="8"/>
  <c r="E27" i="8" s="1"/>
  <c r="AH28" i="8"/>
  <c r="N26" i="8"/>
  <c r="AA23" i="8"/>
  <c r="Z23" i="8"/>
  <c r="H24" i="8"/>
  <c r="S23" i="8"/>
  <c r="J24" i="8"/>
  <c r="Q23" i="8"/>
  <c r="P23" i="8"/>
  <c r="U23" i="8"/>
  <c r="T23" i="8"/>
  <c r="O23" i="8"/>
  <c r="J25" i="7"/>
  <c r="H25" i="7"/>
  <c r="N26" i="7"/>
  <c r="AJ27" i="7"/>
  <c r="E27" i="7" s="1"/>
  <c r="AH28" i="7"/>
  <c r="N25" i="6"/>
  <c r="J25" i="6"/>
  <c r="S23" i="6"/>
  <c r="R23" i="6"/>
  <c r="AA23" i="6"/>
  <c r="Z23" i="6"/>
  <c r="H24" i="6"/>
  <c r="Q23" i="6"/>
  <c r="AH27" i="6"/>
  <c r="AJ26" i="6"/>
  <c r="E26" i="6" s="1"/>
  <c r="G24" i="6"/>
  <c r="M23" i="6"/>
  <c r="X23" i="6" s="1"/>
  <c r="L23" i="6"/>
  <c r="W23" i="6" s="1"/>
  <c r="H24" i="4"/>
  <c r="M21" i="4"/>
  <c r="X21" i="4" s="1"/>
  <c r="L21" i="4"/>
  <c r="W21" i="4" s="1"/>
  <c r="G22" i="4"/>
  <c r="R21" i="4"/>
  <c r="AA21" i="4"/>
  <c r="Z21" i="4"/>
  <c r="S21" i="4"/>
  <c r="T21" i="4"/>
  <c r="P21" i="4"/>
  <c r="Q21" i="4"/>
  <c r="U21" i="4"/>
  <c r="O21" i="4"/>
  <c r="N25" i="4"/>
  <c r="AJ26" i="4"/>
  <c r="E26" i="4" s="1"/>
  <c r="AH27" i="4"/>
  <c r="J26" i="4"/>
  <c r="D23" i="1"/>
  <c r="S23" i="1" s="1"/>
  <c r="C23" i="1"/>
  <c r="R23" i="1" s="1"/>
  <c r="H24" i="1"/>
  <c r="N29" i="27" l="1"/>
  <c r="T29" i="27"/>
  <c r="O28" i="27"/>
  <c r="AA28" i="27"/>
  <c r="N28" i="28"/>
  <c r="T28" i="28"/>
  <c r="O27" i="28"/>
  <c r="AA27" i="28"/>
  <c r="N27" i="26"/>
  <c r="T27" i="26"/>
  <c r="AA26" i="26"/>
  <c r="O26" i="26"/>
  <c r="N27" i="25"/>
  <c r="T27" i="25"/>
  <c r="AA26" i="25"/>
  <c r="O26" i="25"/>
  <c r="O27" i="24"/>
  <c r="AA27" i="24"/>
  <c r="N28" i="24"/>
  <c r="T28" i="24"/>
  <c r="M28" i="23"/>
  <c r="X28" i="23" s="1"/>
  <c r="Z28" i="23"/>
  <c r="Q28" i="23"/>
  <c r="G29" i="23"/>
  <c r="P28" i="23"/>
  <c r="U28" i="23"/>
  <c r="N28" i="23"/>
  <c r="O28" i="23" s="1"/>
  <c r="T28" i="23"/>
  <c r="AA27" i="23"/>
  <c r="N28" i="22"/>
  <c r="T28" i="22"/>
  <c r="O27" i="22"/>
  <c r="AA27" i="22"/>
  <c r="N28" i="21"/>
  <c r="T28" i="21"/>
  <c r="O27" i="21"/>
  <c r="AA27" i="21"/>
  <c r="D27" i="28"/>
  <c r="S27" i="28" s="1"/>
  <c r="C27" i="28"/>
  <c r="R27" i="28" s="1"/>
  <c r="H28" i="28"/>
  <c r="AJ29" i="28"/>
  <c r="E29" i="28" s="1"/>
  <c r="AH30" i="28"/>
  <c r="J26" i="28"/>
  <c r="L25" i="28"/>
  <c r="W25" i="28" s="1"/>
  <c r="J26" i="26"/>
  <c r="L25" i="26"/>
  <c r="W25" i="26" s="1"/>
  <c r="AJ28" i="25"/>
  <c r="E28" i="25" s="1"/>
  <c r="AH29" i="25"/>
  <c r="H27" i="26"/>
  <c r="D26" i="26"/>
  <c r="S26" i="26" s="1"/>
  <c r="C26" i="26"/>
  <c r="R26" i="26" s="1"/>
  <c r="AJ29" i="24"/>
  <c r="E29" i="24" s="1"/>
  <c r="AH30" i="24"/>
  <c r="L26" i="25"/>
  <c r="W26" i="25" s="1"/>
  <c r="J27" i="25"/>
  <c r="D26" i="27"/>
  <c r="S26" i="27" s="1"/>
  <c r="C26" i="27"/>
  <c r="R26" i="27" s="1"/>
  <c r="H27" i="27"/>
  <c r="L27" i="27" s="1"/>
  <c r="W27" i="27" s="1"/>
  <c r="AJ28" i="26"/>
  <c r="E28" i="26" s="1"/>
  <c r="AH29" i="26"/>
  <c r="H29" i="25"/>
  <c r="D28" i="25"/>
  <c r="S28" i="25" s="1"/>
  <c r="C28" i="25"/>
  <c r="R28" i="25" s="1"/>
  <c r="AJ30" i="27"/>
  <c r="E30" i="27" s="1"/>
  <c r="AH31" i="27"/>
  <c r="J28" i="27"/>
  <c r="C26" i="24"/>
  <c r="R26" i="24" s="1"/>
  <c r="H27" i="24"/>
  <c r="D26" i="24"/>
  <c r="S26" i="24" s="1"/>
  <c r="L26" i="27"/>
  <c r="W26" i="27" s="1"/>
  <c r="J26" i="24"/>
  <c r="L25" i="24"/>
  <c r="W25" i="24" s="1"/>
  <c r="J26" i="23"/>
  <c r="L25" i="23"/>
  <c r="W25" i="23" s="1"/>
  <c r="D25" i="23"/>
  <c r="S25" i="23" s="1"/>
  <c r="C25" i="23"/>
  <c r="R25" i="23" s="1"/>
  <c r="H26" i="23"/>
  <c r="D27" i="22"/>
  <c r="S27" i="22" s="1"/>
  <c r="C27" i="22"/>
  <c r="R27" i="22" s="1"/>
  <c r="H28" i="22"/>
  <c r="AJ29" i="22"/>
  <c r="E29" i="22" s="1"/>
  <c r="AH30" i="22"/>
  <c r="J26" i="22"/>
  <c r="L25" i="22"/>
  <c r="W25" i="22" s="1"/>
  <c r="AJ29" i="23"/>
  <c r="E29" i="23" s="1"/>
  <c r="AH30" i="23"/>
  <c r="D26" i="21"/>
  <c r="S26" i="21" s="1"/>
  <c r="C26" i="21"/>
  <c r="R26" i="21" s="1"/>
  <c r="H27" i="21"/>
  <c r="AJ29" i="21"/>
  <c r="E29" i="21" s="1"/>
  <c r="AH30" i="21"/>
  <c r="J26" i="21"/>
  <c r="L25" i="21"/>
  <c r="W25" i="21" s="1"/>
  <c r="H28" i="20"/>
  <c r="G25" i="20"/>
  <c r="Q25" i="20" s="1"/>
  <c r="M24" i="20"/>
  <c r="X24" i="20" s="1"/>
  <c r="L24" i="20"/>
  <c r="W24" i="20" s="1"/>
  <c r="D24" i="20"/>
  <c r="S24" i="20" s="1"/>
  <c r="C24" i="20"/>
  <c r="R24" i="20" s="1"/>
  <c r="AA24" i="20"/>
  <c r="Z24" i="20"/>
  <c r="J26" i="20"/>
  <c r="T25" i="20"/>
  <c r="O25" i="20"/>
  <c r="AJ29" i="20"/>
  <c r="E29" i="20" s="1"/>
  <c r="AH30" i="20"/>
  <c r="N28" i="20"/>
  <c r="Q24" i="20"/>
  <c r="P23" i="19"/>
  <c r="O23" i="19"/>
  <c r="T23" i="19"/>
  <c r="U23" i="19"/>
  <c r="AA23" i="19"/>
  <c r="Q23" i="19"/>
  <c r="Z23" i="19"/>
  <c r="C23" i="19"/>
  <c r="R23" i="19" s="1"/>
  <c r="J25" i="19"/>
  <c r="H25" i="19"/>
  <c r="C24" i="19"/>
  <c r="R24" i="19" s="1"/>
  <c r="N29" i="19"/>
  <c r="AH31" i="19"/>
  <c r="AJ30" i="19"/>
  <c r="E30" i="19" s="1"/>
  <c r="G24" i="19"/>
  <c r="AA24" i="19" s="1"/>
  <c r="M23" i="19"/>
  <c r="X23" i="19" s="1"/>
  <c r="L23" i="19"/>
  <c r="W23" i="19" s="1"/>
  <c r="AA22" i="7"/>
  <c r="Z22" i="7"/>
  <c r="Q22" i="7"/>
  <c r="O22" i="7"/>
  <c r="D22" i="7"/>
  <c r="S22" i="7" s="1"/>
  <c r="C22" i="7"/>
  <c r="R22" i="7" s="1"/>
  <c r="T22" i="7"/>
  <c r="G23" i="7"/>
  <c r="U22" i="7"/>
  <c r="M22" i="7"/>
  <c r="X22" i="7" s="1"/>
  <c r="L22" i="7"/>
  <c r="W22" i="7" s="1"/>
  <c r="P22" i="7"/>
  <c r="U24" i="6"/>
  <c r="D24" i="18"/>
  <c r="C24" i="18"/>
  <c r="C22" i="17"/>
  <c r="D22" i="17"/>
  <c r="O23" i="16"/>
  <c r="D23" i="16"/>
  <c r="S23" i="16" s="1"/>
  <c r="C23" i="16"/>
  <c r="R23" i="16" s="1"/>
  <c r="D22" i="15"/>
  <c r="C22" i="15"/>
  <c r="C23" i="14"/>
  <c r="R23" i="14" s="1"/>
  <c r="D23" i="14"/>
  <c r="S23" i="14" s="1"/>
  <c r="D22" i="13"/>
  <c r="S22" i="13" s="1"/>
  <c r="C22" i="13"/>
  <c r="D24" i="12"/>
  <c r="C24" i="12"/>
  <c r="C24" i="11"/>
  <c r="D24" i="11"/>
  <c r="D23" i="10"/>
  <c r="C23" i="10"/>
  <c r="D23" i="9"/>
  <c r="C23" i="9"/>
  <c r="D24" i="8"/>
  <c r="C24" i="8"/>
  <c r="R24" i="8" s="1"/>
  <c r="D24" i="6"/>
  <c r="C24" i="6"/>
  <c r="D22" i="4"/>
  <c r="C22" i="4"/>
  <c r="G25" i="1"/>
  <c r="Q24" i="1"/>
  <c r="Z24" i="1"/>
  <c r="P24" i="1"/>
  <c r="U24" i="1"/>
  <c r="AA24" i="1"/>
  <c r="M24" i="1"/>
  <c r="X24" i="1" s="1"/>
  <c r="L24" i="1"/>
  <c r="W24" i="1" s="1"/>
  <c r="T24" i="1"/>
  <c r="O24" i="1"/>
  <c r="Z23" i="16"/>
  <c r="AA23" i="16"/>
  <c r="O24" i="11"/>
  <c r="M24" i="18"/>
  <c r="X24" i="18" s="1"/>
  <c r="L24" i="18"/>
  <c r="W24" i="18" s="1"/>
  <c r="G25" i="18"/>
  <c r="AJ27" i="18"/>
  <c r="E27" i="18" s="1"/>
  <c r="AH28" i="18"/>
  <c r="N26" i="18"/>
  <c r="Q24" i="18"/>
  <c r="P24" i="18"/>
  <c r="J25" i="18"/>
  <c r="U24" i="18"/>
  <c r="T24" i="18"/>
  <c r="S24" i="18"/>
  <c r="R24" i="18"/>
  <c r="AA24" i="18"/>
  <c r="Z24" i="18"/>
  <c r="H25" i="18"/>
  <c r="H25" i="17"/>
  <c r="G23" i="17"/>
  <c r="M22" i="17"/>
  <c r="X22" i="17" s="1"/>
  <c r="L22" i="17"/>
  <c r="W22" i="17" s="1"/>
  <c r="S22" i="17"/>
  <c r="R22" i="17"/>
  <c r="AA22" i="17"/>
  <c r="Z22" i="17"/>
  <c r="T22" i="17"/>
  <c r="U22" i="17"/>
  <c r="P22" i="17"/>
  <c r="Q22" i="17"/>
  <c r="AJ28" i="17"/>
  <c r="E28" i="17" s="1"/>
  <c r="AH29" i="17"/>
  <c r="J24" i="17"/>
  <c r="N27" i="17"/>
  <c r="N26" i="15"/>
  <c r="N26" i="14"/>
  <c r="J24" i="16"/>
  <c r="Q23" i="16"/>
  <c r="P23" i="16"/>
  <c r="U23" i="16"/>
  <c r="T23" i="16"/>
  <c r="G23" i="15"/>
  <c r="M22" i="15"/>
  <c r="X22" i="15" s="1"/>
  <c r="L22" i="15"/>
  <c r="W22" i="15" s="1"/>
  <c r="Q22" i="15"/>
  <c r="Z22" i="15"/>
  <c r="P22" i="15"/>
  <c r="T22" i="15"/>
  <c r="U22" i="15"/>
  <c r="O22" i="15"/>
  <c r="S22" i="15"/>
  <c r="R22" i="15"/>
  <c r="AA22" i="15"/>
  <c r="AJ27" i="14"/>
  <c r="E27" i="14" s="1"/>
  <c r="AH28" i="14"/>
  <c r="H25" i="13"/>
  <c r="AJ27" i="15"/>
  <c r="E27" i="15" s="1"/>
  <c r="AH28" i="15"/>
  <c r="J26" i="13"/>
  <c r="H25" i="16"/>
  <c r="J25" i="15"/>
  <c r="M23" i="14"/>
  <c r="X23" i="14" s="1"/>
  <c r="G24" i="14"/>
  <c r="L23" i="14"/>
  <c r="W23" i="14" s="1"/>
  <c r="Z23" i="14"/>
  <c r="AJ26" i="16"/>
  <c r="E26" i="16" s="1"/>
  <c r="AH27" i="16"/>
  <c r="H25" i="14"/>
  <c r="H25" i="15"/>
  <c r="G24" i="16"/>
  <c r="M23" i="16"/>
  <c r="X23" i="16" s="1"/>
  <c r="L23" i="16"/>
  <c r="W23" i="16" s="1"/>
  <c r="M22" i="13"/>
  <c r="X22" i="13" s="1"/>
  <c r="L22" i="13"/>
  <c r="W22" i="13" s="1"/>
  <c r="G23" i="13"/>
  <c r="P22" i="13"/>
  <c r="U22" i="13"/>
  <c r="Q22" i="13"/>
  <c r="T22" i="13"/>
  <c r="O22" i="13"/>
  <c r="R22" i="13"/>
  <c r="AA22" i="13"/>
  <c r="Z22" i="13"/>
  <c r="N25" i="16"/>
  <c r="Q23" i="14"/>
  <c r="P23" i="14"/>
  <c r="J24" i="14"/>
  <c r="U23" i="14"/>
  <c r="T23" i="14"/>
  <c r="O23" i="14"/>
  <c r="AA23" i="14"/>
  <c r="AJ28" i="13"/>
  <c r="E28" i="13" s="1"/>
  <c r="AH29" i="13"/>
  <c r="N27" i="13"/>
  <c r="AJ27" i="10"/>
  <c r="E27" i="10" s="1"/>
  <c r="AH28" i="10"/>
  <c r="N26" i="9"/>
  <c r="J27" i="11"/>
  <c r="N26" i="10"/>
  <c r="AJ27" i="9"/>
  <c r="E27" i="9" s="1"/>
  <c r="AH28" i="9"/>
  <c r="AJ27" i="12"/>
  <c r="E27" i="12" s="1"/>
  <c r="AH28" i="12"/>
  <c r="N26" i="12"/>
  <c r="S23" i="10"/>
  <c r="R23" i="10"/>
  <c r="AA23" i="10"/>
  <c r="Z23" i="10"/>
  <c r="H24" i="10"/>
  <c r="N26" i="11"/>
  <c r="Q23" i="10"/>
  <c r="P23" i="10"/>
  <c r="J24" i="10"/>
  <c r="U23" i="10"/>
  <c r="T23" i="10"/>
  <c r="O23" i="10"/>
  <c r="AJ27" i="11"/>
  <c r="E27" i="11" s="1"/>
  <c r="AH28" i="11"/>
  <c r="G25" i="11"/>
  <c r="M24" i="11"/>
  <c r="X24" i="11" s="1"/>
  <c r="L24" i="11"/>
  <c r="W24" i="11" s="1"/>
  <c r="M23" i="9"/>
  <c r="X23" i="9" s="1"/>
  <c r="L23" i="9"/>
  <c r="W23" i="9" s="1"/>
  <c r="G24" i="9"/>
  <c r="R23" i="9"/>
  <c r="AA23" i="9"/>
  <c r="Z23" i="9"/>
  <c r="S23" i="9"/>
  <c r="M23" i="10"/>
  <c r="X23" i="10" s="1"/>
  <c r="L23" i="10"/>
  <c r="W23" i="10" s="1"/>
  <c r="G24" i="10"/>
  <c r="J24" i="12"/>
  <c r="Q23" i="12"/>
  <c r="P23" i="12"/>
  <c r="U23" i="12"/>
  <c r="T23" i="12"/>
  <c r="O23" i="12"/>
  <c r="R23" i="12"/>
  <c r="AA24" i="11"/>
  <c r="Z24" i="11"/>
  <c r="H25" i="11"/>
  <c r="S24" i="11"/>
  <c r="R24" i="11"/>
  <c r="T24" i="11"/>
  <c r="Q24" i="11"/>
  <c r="U24" i="11"/>
  <c r="P24" i="11"/>
  <c r="S23" i="12"/>
  <c r="M24" i="12"/>
  <c r="X24" i="12" s="1"/>
  <c r="L24" i="12"/>
  <c r="W24" i="12" s="1"/>
  <c r="G25" i="12"/>
  <c r="AA24" i="12"/>
  <c r="Z24" i="12"/>
  <c r="H25" i="12"/>
  <c r="R24" i="12"/>
  <c r="P23" i="9"/>
  <c r="J24" i="9"/>
  <c r="Q23" i="9"/>
  <c r="U23" i="9"/>
  <c r="T23" i="9"/>
  <c r="O23" i="9"/>
  <c r="L23" i="12"/>
  <c r="W23" i="12" s="1"/>
  <c r="H26" i="9"/>
  <c r="AJ28" i="8"/>
  <c r="E28" i="8" s="1"/>
  <c r="AH29" i="8"/>
  <c r="N27" i="8"/>
  <c r="AA24" i="8"/>
  <c r="Z24" i="8"/>
  <c r="H25" i="8"/>
  <c r="S24" i="8"/>
  <c r="M24" i="8"/>
  <c r="X24" i="8" s="1"/>
  <c r="L24" i="8"/>
  <c r="W24" i="8" s="1"/>
  <c r="G25" i="8"/>
  <c r="J25" i="8"/>
  <c r="Q24" i="8"/>
  <c r="P24" i="8"/>
  <c r="U24" i="8"/>
  <c r="T24" i="8"/>
  <c r="O24" i="8"/>
  <c r="H26" i="7"/>
  <c r="AJ28" i="7"/>
  <c r="E28" i="7" s="1"/>
  <c r="AH29" i="7"/>
  <c r="N27" i="7"/>
  <c r="J26" i="7"/>
  <c r="S24" i="6"/>
  <c r="R24" i="6"/>
  <c r="AA24" i="6"/>
  <c r="Z24" i="6"/>
  <c r="H25" i="6"/>
  <c r="M24" i="6"/>
  <c r="X24" i="6" s="1"/>
  <c r="L24" i="6"/>
  <c r="W24" i="6" s="1"/>
  <c r="G25" i="6"/>
  <c r="J26" i="6"/>
  <c r="Q25" i="6"/>
  <c r="N26" i="6"/>
  <c r="P24" i="6"/>
  <c r="AJ27" i="6"/>
  <c r="E27" i="6" s="1"/>
  <c r="AH28" i="6"/>
  <c r="Q24" i="6"/>
  <c r="T24" i="6"/>
  <c r="T25" i="6"/>
  <c r="O24" i="6"/>
  <c r="O25" i="6"/>
  <c r="M22" i="4"/>
  <c r="X22" i="4" s="1"/>
  <c r="L22" i="4"/>
  <c r="W22" i="4" s="1"/>
  <c r="G23" i="4"/>
  <c r="O22" i="4"/>
  <c r="U22" i="4"/>
  <c r="T22" i="4"/>
  <c r="Q22" i="4"/>
  <c r="S22" i="4"/>
  <c r="P22" i="4"/>
  <c r="AA22" i="4"/>
  <c r="Z22" i="4"/>
  <c r="R22" i="4"/>
  <c r="N26" i="4"/>
  <c r="H25" i="4"/>
  <c r="J27" i="4"/>
  <c r="AH28" i="4"/>
  <c r="AJ27" i="4"/>
  <c r="E27" i="4" s="1"/>
  <c r="H25" i="1"/>
  <c r="D24" i="1"/>
  <c r="S24" i="1" s="1"/>
  <c r="C24" i="1"/>
  <c r="R24" i="1" s="1"/>
  <c r="N30" i="27" l="1"/>
  <c r="T30" i="27"/>
  <c r="O29" i="27"/>
  <c r="AA29" i="27"/>
  <c r="N29" i="28"/>
  <c r="T29" i="28"/>
  <c r="O28" i="28"/>
  <c r="AA28" i="28"/>
  <c r="N28" i="26"/>
  <c r="T28" i="26"/>
  <c r="O27" i="26"/>
  <c r="AA27" i="26"/>
  <c r="N28" i="25"/>
  <c r="T28" i="25"/>
  <c r="O27" i="25"/>
  <c r="AA27" i="25"/>
  <c r="N29" i="24"/>
  <c r="T29" i="24"/>
  <c r="O28" i="24"/>
  <c r="AA28" i="24"/>
  <c r="N29" i="23"/>
  <c r="O29" i="23" s="1"/>
  <c r="T29" i="23"/>
  <c r="AA29" i="23"/>
  <c r="Q29" i="23"/>
  <c r="G30" i="23"/>
  <c r="P29" i="23"/>
  <c r="Z29" i="23"/>
  <c r="U29" i="23"/>
  <c r="M29" i="23"/>
  <c r="X29" i="23" s="1"/>
  <c r="AA28" i="23"/>
  <c r="N29" i="22"/>
  <c r="T29" i="22"/>
  <c r="O28" i="22"/>
  <c r="AA28" i="22"/>
  <c r="N29" i="21"/>
  <c r="T29" i="21"/>
  <c r="O28" i="21"/>
  <c r="AA28" i="21"/>
  <c r="L26" i="28"/>
  <c r="W26" i="28" s="1"/>
  <c r="J27" i="28"/>
  <c r="AJ30" i="28"/>
  <c r="E30" i="28" s="1"/>
  <c r="AH31" i="28"/>
  <c r="D28" i="28"/>
  <c r="S28" i="28" s="1"/>
  <c r="C28" i="28"/>
  <c r="R28" i="28" s="1"/>
  <c r="H29" i="28"/>
  <c r="J29" i="27"/>
  <c r="AH32" i="27"/>
  <c r="AJ31" i="27"/>
  <c r="E31" i="27" s="1"/>
  <c r="AJ30" i="24"/>
  <c r="E30" i="24" s="1"/>
  <c r="AH31" i="24"/>
  <c r="D29" i="25"/>
  <c r="S29" i="25" s="1"/>
  <c r="C29" i="25"/>
  <c r="R29" i="25" s="1"/>
  <c r="H30" i="25"/>
  <c r="H28" i="26"/>
  <c r="D27" i="26"/>
  <c r="S27" i="26" s="1"/>
  <c r="C27" i="26"/>
  <c r="R27" i="26" s="1"/>
  <c r="J27" i="24"/>
  <c r="L26" i="24"/>
  <c r="W26" i="24" s="1"/>
  <c r="AJ29" i="26"/>
  <c r="E29" i="26" s="1"/>
  <c r="AH30" i="26"/>
  <c r="AJ29" i="25"/>
  <c r="E29" i="25" s="1"/>
  <c r="AH30" i="25"/>
  <c r="J28" i="25"/>
  <c r="L27" i="25"/>
  <c r="W27" i="25" s="1"/>
  <c r="D27" i="27"/>
  <c r="S27" i="27" s="1"/>
  <c r="C27" i="27"/>
  <c r="R27" i="27" s="1"/>
  <c r="H28" i="27"/>
  <c r="H28" i="24"/>
  <c r="D27" i="24"/>
  <c r="S27" i="24" s="1"/>
  <c r="C27" i="24"/>
  <c r="R27" i="24" s="1"/>
  <c r="J27" i="26"/>
  <c r="L26" i="26"/>
  <c r="W26" i="26" s="1"/>
  <c r="J27" i="22"/>
  <c r="L26" i="22"/>
  <c r="W26" i="22" s="1"/>
  <c r="AJ30" i="22"/>
  <c r="E30" i="22" s="1"/>
  <c r="AH31" i="22"/>
  <c r="D28" i="22"/>
  <c r="S28" i="22" s="1"/>
  <c r="C28" i="22"/>
  <c r="R28" i="22" s="1"/>
  <c r="H29" i="22"/>
  <c r="C26" i="23"/>
  <c r="R26" i="23" s="1"/>
  <c r="H27" i="23"/>
  <c r="D26" i="23"/>
  <c r="S26" i="23" s="1"/>
  <c r="AJ30" i="23"/>
  <c r="E30" i="23" s="1"/>
  <c r="AH31" i="23"/>
  <c r="L26" i="23"/>
  <c r="W26" i="23" s="1"/>
  <c r="J27" i="23"/>
  <c r="J27" i="21"/>
  <c r="L26" i="21"/>
  <c r="W26" i="21" s="1"/>
  <c r="AJ30" i="21"/>
  <c r="E30" i="21" s="1"/>
  <c r="AH31" i="21"/>
  <c r="D27" i="21"/>
  <c r="S27" i="21" s="1"/>
  <c r="C27" i="21"/>
  <c r="R27" i="21" s="1"/>
  <c r="H28" i="21"/>
  <c r="N29" i="20"/>
  <c r="AH31" i="20"/>
  <c r="AJ30" i="20"/>
  <c r="E30" i="20" s="1"/>
  <c r="L25" i="20"/>
  <c r="W25" i="20" s="1"/>
  <c r="M25" i="20"/>
  <c r="X25" i="20" s="1"/>
  <c r="G26" i="20"/>
  <c r="C25" i="20"/>
  <c r="R25" i="20" s="1"/>
  <c r="Z25" i="20"/>
  <c r="AA25" i="20"/>
  <c r="D25" i="20"/>
  <c r="S25" i="20" s="1"/>
  <c r="H29" i="20"/>
  <c r="U25" i="20"/>
  <c r="Q26" i="20"/>
  <c r="J27" i="20"/>
  <c r="U26" i="20"/>
  <c r="P26" i="20"/>
  <c r="T26" i="20"/>
  <c r="O26" i="20"/>
  <c r="P25" i="20"/>
  <c r="D24" i="19"/>
  <c r="S24" i="19" s="1"/>
  <c r="O24" i="19"/>
  <c r="Z24" i="19"/>
  <c r="H26" i="19"/>
  <c r="G25" i="19"/>
  <c r="P25" i="19" s="1"/>
  <c r="M24" i="19"/>
  <c r="X24" i="19" s="1"/>
  <c r="L24" i="19"/>
  <c r="W24" i="19" s="1"/>
  <c r="T24" i="19"/>
  <c r="N30" i="19"/>
  <c r="U24" i="19"/>
  <c r="AH32" i="19"/>
  <c r="AJ31" i="19"/>
  <c r="E31" i="19" s="1"/>
  <c r="J26" i="19"/>
  <c r="P24" i="19"/>
  <c r="Q24" i="19"/>
  <c r="AA23" i="7"/>
  <c r="Z23" i="7"/>
  <c r="L23" i="7"/>
  <c r="W23" i="7" s="1"/>
  <c r="T23" i="7"/>
  <c r="M23" i="7"/>
  <c r="X23" i="7" s="1"/>
  <c r="U23" i="7"/>
  <c r="O23" i="7"/>
  <c r="P23" i="7"/>
  <c r="Q23" i="7"/>
  <c r="D23" i="7"/>
  <c r="S23" i="7" s="1"/>
  <c r="C23" i="7"/>
  <c r="R23" i="7" s="1"/>
  <c r="G24" i="7"/>
  <c r="D25" i="18"/>
  <c r="C25" i="18"/>
  <c r="Q23" i="17"/>
  <c r="D23" i="17"/>
  <c r="C23" i="17"/>
  <c r="D24" i="16"/>
  <c r="C24" i="16"/>
  <c r="R24" i="16" s="1"/>
  <c r="C23" i="15"/>
  <c r="D23" i="15"/>
  <c r="C24" i="14"/>
  <c r="R24" i="14" s="1"/>
  <c r="D24" i="14"/>
  <c r="S24" i="14" s="1"/>
  <c r="C23" i="13"/>
  <c r="R23" i="13" s="1"/>
  <c r="D23" i="13"/>
  <c r="D25" i="12"/>
  <c r="C25" i="12"/>
  <c r="D25" i="11"/>
  <c r="C25" i="11"/>
  <c r="D24" i="10"/>
  <c r="C24" i="10"/>
  <c r="C24" i="9"/>
  <c r="D24" i="9"/>
  <c r="D25" i="8"/>
  <c r="C25" i="8"/>
  <c r="P25" i="6"/>
  <c r="D25" i="6"/>
  <c r="C25" i="6"/>
  <c r="U25" i="6"/>
  <c r="C23" i="4"/>
  <c r="D23" i="4"/>
  <c r="G26" i="1"/>
  <c r="Z25" i="1"/>
  <c r="Q25" i="1"/>
  <c r="P25" i="1"/>
  <c r="U25" i="1"/>
  <c r="M25" i="1"/>
  <c r="X25" i="1" s="1"/>
  <c r="AA25" i="1"/>
  <c r="L25" i="1"/>
  <c r="W25" i="1" s="1"/>
  <c r="T25" i="1"/>
  <c r="O25" i="1"/>
  <c r="O23" i="17"/>
  <c r="T23" i="17"/>
  <c r="U23" i="17"/>
  <c r="P23" i="17"/>
  <c r="Z24" i="14"/>
  <c r="AA24" i="14"/>
  <c r="S24" i="12"/>
  <c r="Q25" i="18"/>
  <c r="P25" i="18"/>
  <c r="J26" i="18"/>
  <c r="U25" i="18"/>
  <c r="T25" i="18"/>
  <c r="S25" i="18"/>
  <c r="R25" i="18"/>
  <c r="AA25" i="18"/>
  <c r="Z25" i="18"/>
  <c r="H26" i="18"/>
  <c r="AJ28" i="18"/>
  <c r="E28" i="18" s="1"/>
  <c r="AH29" i="18"/>
  <c r="N27" i="18"/>
  <c r="M25" i="18"/>
  <c r="X25" i="18" s="1"/>
  <c r="L25" i="18"/>
  <c r="W25" i="18" s="1"/>
  <c r="G26" i="18"/>
  <c r="O25" i="18"/>
  <c r="J25" i="17"/>
  <c r="AJ29" i="17"/>
  <c r="E29" i="17" s="1"/>
  <c r="AH30" i="17"/>
  <c r="N28" i="17"/>
  <c r="G24" i="17"/>
  <c r="M23" i="17"/>
  <c r="X23" i="17" s="1"/>
  <c r="L23" i="17"/>
  <c r="W23" i="17" s="1"/>
  <c r="Z23" i="17"/>
  <c r="S23" i="17"/>
  <c r="R23" i="17"/>
  <c r="AA23" i="17"/>
  <c r="H26" i="17"/>
  <c r="J26" i="15"/>
  <c r="J27" i="13"/>
  <c r="AJ28" i="15"/>
  <c r="E28" i="15" s="1"/>
  <c r="AH29" i="15"/>
  <c r="AJ27" i="16"/>
  <c r="E27" i="16" s="1"/>
  <c r="AH28" i="16"/>
  <c r="N27" i="15"/>
  <c r="N28" i="13"/>
  <c r="G25" i="16"/>
  <c r="M24" i="16"/>
  <c r="X24" i="16" s="1"/>
  <c r="L24" i="16"/>
  <c r="W24" i="16" s="1"/>
  <c r="N26" i="16"/>
  <c r="Z24" i="16"/>
  <c r="U24" i="16"/>
  <c r="Q24" i="16"/>
  <c r="P24" i="16"/>
  <c r="J25" i="16"/>
  <c r="T24" i="16"/>
  <c r="AJ29" i="13"/>
  <c r="E29" i="13" s="1"/>
  <c r="AH30" i="13"/>
  <c r="H26" i="15"/>
  <c r="AA24" i="16"/>
  <c r="N27" i="14"/>
  <c r="S24" i="16"/>
  <c r="H26" i="13"/>
  <c r="O24" i="16"/>
  <c r="M24" i="14"/>
  <c r="X24" i="14" s="1"/>
  <c r="L24" i="14"/>
  <c r="W24" i="14" s="1"/>
  <c r="G25" i="14"/>
  <c r="AA25" i="14" s="1"/>
  <c r="H26" i="16"/>
  <c r="M23" i="13"/>
  <c r="X23" i="13" s="1"/>
  <c r="L23" i="13"/>
  <c r="W23" i="13" s="1"/>
  <c r="G24" i="13"/>
  <c r="T23" i="13"/>
  <c r="U23" i="13"/>
  <c r="P23" i="13"/>
  <c r="O23" i="13"/>
  <c r="AA23" i="13"/>
  <c r="Z23" i="13"/>
  <c r="Q23" i="13"/>
  <c r="S23" i="13"/>
  <c r="M23" i="15"/>
  <c r="X23" i="15" s="1"/>
  <c r="L23" i="15"/>
  <c r="W23" i="15" s="1"/>
  <c r="G24" i="15"/>
  <c r="O23" i="15"/>
  <c r="S23" i="15"/>
  <c r="R23" i="15"/>
  <c r="AA23" i="15"/>
  <c r="Q23" i="15"/>
  <c r="Z23" i="15"/>
  <c r="P23" i="15"/>
  <c r="T23" i="15"/>
  <c r="U23" i="15"/>
  <c r="Q24" i="14"/>
  <c r="P24" i="14"/>
  <c r="J25" i="14"/>
  <c r="U24" i="14"/>
  <c r="T24" i="14"/>
  <c r="O24" i="14"/>
  <c r="H26" i="14"/>
  <c r="AJ28" i="14"/>
  <c r="E28" i="14" s="1"/>
  <c r="AH29" i="14"/>
  <c r="AH29" i="9"/>
  <c r="AJ28" i="9"/>
  <c r="E28" i="9" s="1"/>
  <c r="H27" i="9"/>
  <c r="Z25" i="12"/>
  <c r="H26" i="12"/>
  <c r="AA25" i="12"/>
  <c r="L24" i="10"/>
  <c r="W24" i="10" s="1"/>
  <c r="G25" i="10"/>
  <c r="M24" i="10"/>
  <c r="X24" i="10" s="1"/>
  <c r="M25" i="11"/>
  <c r="X25" i="11" s="1"/>
  <c r="L25" i="11"/>
  <c r="W25" i="11" s="1"/>
  <c r="G26" i="11"/>
  <c r="N27" i="9"/>
  <c r="AA25" i="11"/>
  <c r="Z25" i="11"/>
  <c r="H26" i="11"/>
  <c r="R25" i="11"/>
  <c r="S25" i="11"/>
  <c r="Q25" i="11"/>
  <c r="U25" i="11"/>
  <c r="P25" i="11"/>
  <c r="T25" i="11"/>
  <c r="S24" i="10"/>
  <c r="R24" i="10"/>
  <c r="Z24" i="10"/>
  <c r="H25" i="10"/>
  <c r="AA24" i="10"/>
  <c r="G26" i="12"/>
  <c r="M25" i="12"/>
  <c r="X25" i="12" s="1"/>
  <c r="AJ28" i="11"/>
  <c r="E28" i="11" s="1"/>
  <c r="AH29" i="11"/>
  <c r="N27" i="11"/>
  <c r="J28" i="11"/>
  <c r="M24" i="9"/>
  <c r="X24" i="9" s="1"/>
  <c r="L24" i="9"/>
  <c r="W24" i="9" s="1"/>
  <c r="G25" i="9"/>
  <c r="S24" i="9"/>
  <c r="R24" i="9"/>
  <c r="AA24" i="9"/>
  <c r="Z24" i="9"/>
  <c r="J25" i="9"/>
  <c r="Q24" i="9"/>
  <c r="P24" i="9"/>
  <c r="U24" i="9"/>
  <c r="T24" i="9"/>
  <c r="O24" i="9"/>
  <c r="Q24" i="10"/>
  <c r="P24" i="10"/>
  <c r="J25" i="10"/>
  <c r="U24" i="10"/>
  <c r="T24" i="10"/>
  <c r="O24" i="10"/>
  <c r="AJ28" i="12"/>
  <c r="E28" i="12" s="1"/>
  <c r="AH29" i="12"/>
  <c r="N27" i="12"/>
  <c r="AH29" i="10"/>
  <c r="AJ28" i="10"/>
  <c r="E28" i="10" s="1"/>
  <c r="J25" i="12"/>
  <c r="Q24" i="12"/>
  <c r="P24" i="12"/>
  <c r="U24" i="12"/>
  <c r="T24" i="12"/>
  <c r="O24" i="12"/>
  <c r="O25" i="11"/>
  <c r="N27" i="10"/>
  <c r="Z25" i="8"/>
  <c r="H26" i="8"/>
  <c r="S25" i="8"/>
  <c r="R25" i="8"/>
  <c r="AA25" i="8"/>
  <c r="AJ29" i="8"/>
  <c r="E29" i="8" s="1"/>
  <c r="AH30" i="8"/>
  <c r="J26" i="8"/>
  <c r="Q25" i="8"/>
  <c r="P25" i="8"/>
  <c r="U25" i="8"/>
  <c r="T25" i="8"/>
  <c r="O25" i="8"/>
  <c r="N28" i="8"/>
  <c r="L25" i="8"/>
  <c r="W25" i="8" s="1"/>
  <c r="G26" i="8"/>
  <c r="M25" i="8"/>
  <c r="X25" i="8" s="1"/>
  <c r="N28" i="7"/>
  <c r="J27" i="7"/>
  <c r="H27" i="7"/>
  <c r="AJ29" i="7"/>
  <c r="E29" i="7" s="1"/>
  <c r="AH30" i="7"/>
  <c r="J27" i="6"/>
  <c r="L25" i="6"/>
  <c r="W25" i="6" s="1"/>
  <c r="G26" i="6"/>
  <c r="M25" i="6"/>
  <c r="X25" i="6" s="1"/>
  <c r="AJ28" i="6"/>
  <c r="E28" i="6" s="1"/>
  <c r="AH29" i="6"/>
  <c r="R25" i="6"/>
  <c r="Z25" i="6"/>
  <c r="H26" i="6"/>
  <c r="S25" i="6"/>
  <c r="AA25" i="6"/>
  <c r="N27" i="6"/>
  <c r="H26" i="4"/>
  <c r="M23" i="4"/>
  <c r="X23" i="4" s="1"/>
  <c r="L23" i="4"/>
  <c r="W23" i="4" s="1"/>
  <c r="G24" i="4"/>
  <c r="AA23" i="4"/>
  <c r="Z23" i="4"/>
  <c r="O23" i="4"/>
  <c r="T23" i="4"/>
  <c r="R23" i="4"/>
  <c r="S23" i="4"/>
  <c r="Q23" i="4"/>
  <c r="P23" i="4"/>
  <c r="U23" i="4"/>
  <c r="N27" i="4"/>
  <c r="AJ28" i="4"/>
  <c r="E28" i="4" s="1"/>
  <c r="AH29" i="4"/>
  <c r="J28" i="4"/>
  <c r="D25" i="1"/>
  <c r="S25" i="1" s="1"/>
  <c r="H26" i="1"/>
  <c r="C25" i="1"/>
  <c r="R25" i="1" s="1"/>
  <c r="N31" i="27" l="1"/>
  <c r="T31" i="27"/>
  <c r="O30" i="27"/>
  <c r="AA30" i="27"/>
  <c r="N30" i="28"/>
  <c r="T30" i="28"/>
  <c r="O29" i="28"/>
  <c r="AA29" i="28"/>
  <c r="N29" i="26"/>
  <c r="T29" i="26"/>
  <c r="O28" i="26"/>
  <c r="AA28" i="26"/>
  <c r="N29" i="25"/>
  <c r="T29" i="25"/>
  <c r="O28" i="25"/>
  <c r="AA28" i="25"/>
  <c r="N30" i="24"/>
  <c r="T30" i="24"/>
  <c r="O29" i="24"/>
  <c r="AA29" i="24"/>
  <c r="M30" i="23"/>
  <c r="X30" i="23" s="1"/>
  <c r="Q30" i="23"/>
  <c r="G31" i="23"/>
  <c r="P30" i="23"/>
  <c r="Z30" i="23"/>
  <c r="U30" i="23"/>
  <c r="N30" i="23"/>
  <c r="O30" i="23" s="1"/>
  <c r="T30" i="23"/>
  <c r="N30" i="22"/>
  <c r="T30" i="22"/>
  <c r="O29" i="22"/>
  <c r="AA29" i="22"/>
  <c r="N30" i="21"/>
  <c r="T30" i="21"/>
  <c r="O29" i="21"/>
  <c r="AA29" i="21"/>
  <c r="D29" i="28"/>
  <c r="S29" i="28" s="1"/>
  <c r="C29" i="28"/>
  <c r="R29" i="28" s="1"/>
  <c r="H30" i="28"/>
  <c r="AH32" i="28"/>
  <c r="AJ31" i="28"/>
  <c r="E31" i="28" s="1"/>
  <c r="J28" i="28"/>
  <c r="L27" i="28"/>
  <c r="W27" i="28" s="1"/>
  <c r="D28" i="27"/>
  <c r="S28" i="27" s="1"/>
  <c r="C28" i="27"/>
  <c r="R28" i="27" s="1"/>
  <c r="H29" i="27"/>
  <c r="C28" i="24"/>
  <c r="R28" i="24" s="1"/>
  <c r="H29" i="24"/>
  <c r="D28" i="24"/>
  <c r="S28" i="24" s="1"/>
  <c r="H29" i="26"/>
  <c r="D28" i="26"/>
  <c r="S28" i="26" s="1"/>
  <c r="C28" i="26"/>
  <c r="R28" i="26" s="1"/>
  <c r="D30" i="25"/>
  <c r="S30" i="25" s="1"/>
  <c r="C30" i="25"/>
  <c r="R30" i="25" s="1"/>
  <c r="H31" i="25"/>
  <c r="J29" i="25"/>
  <c r="L28" i="25"/>
  <c r="W28" i="25" s="1"/>
  <c r="AJ30" i="25"/>
  <c r="E30" i="25" s="1"/>
  <c r="AH31" i="25"/>
  <c r="AJ31" i="24"/>
  <c r="E31" i="24" s="1"/>
  <c r="AH32" i="24"/>
  <c r="AJ30" i="26"/>
  <c r="E30" i="26" s="1"/>
  <c r="AH31" i="26"/>
  <c r="J28" i="26"/>
  <c r="L27" i="26"/>
  <c r="W27" i="26" s="1"/>
  <c r="AH33" i="27"/>
  <c r="AJ32" i="27"/>
  <c r="E32" i="27" s="1"/>
  <c r="L28" i="27"/>
  <c r="W28" i="27" s="1"/>
  <c r="L27" i="24"/>
  <c r="W27" i="24" s="1"/>
  <c r="J28" i="24"/>
  <c r="L29" i="27"/>
  <c r="W29" i="27" s="1"/>
  <c r="J30" i="27"/>
  <c r="AH32" i="23"/>
  <c r="AJ31" i="23"/>
  <c r="E31" i="23" s="1"/>
  <c r="D27" i="23"/>
  <c r="S27" i="23" s="1"/>
  <c r="C27" i="23"/>
  <c r="R27" i="23" s="1"/>
  <c r="H28" i="23"/>
  <c r="D29" i="22"/>
  <c r="S29" i="22" s="1"/>
  <c r="C29" i="22"/>
  <c r="R29" i="22" s="1"/>
  <c r="H30" i="22"/>
  <c r="AH32" i="22"/>
  <c r="AJ31" i="22"/>
  <c r="E31" i="22" s="1"/>
  <c r="J28" i="23"/>
  <c r="L27" i="23"/>
  <c r="W27" i="23" s="1"/>
  <c r="J28" i="22"/>
  <c r="L27" i="22"/>
  <c r="W27" i="22" s="1"/>
  <c r="D28" i="21"/>
  <c r="S28" i="21" s="1"/>
  <c r="C28" i="21"/>
  <c r="R28" i="21" s="1"/>
  <c r="H29" i="21"/>
  <c r="AH32" i="21"/>
  <c r="AJ31" i="21"/>
  <c r="E31" i="21" s="1"/>
  <c r="J28" i="21"/>
  <c r="L27" i="21"/>
  <c r="W27" i="21" s="1"/>
  <c r="J28" i="20"/>
  <c r="M26" i="20"/>
  <c r="X26" i="20" s="1"/>
  <c r="G27" i="20"/>
  <c r="L26" i="20"/>
  <c r="W26" i="20" s="1"/>
  <c r="Z26" i="20"/>
  <c r="AA26" i="20"/>
  <c r="D26" i="20"/>
  <c r="S26" i="20" s="1"/>
  <c r="C26" i="20"/>
  <c r="R26" i="20" s="1"/>
  <c r="H30" i="20"/>
  <c r="N30" i="20"/>
  <c r="AJ31" i="20"/>
  <c r="E31" i="20" s="1"/>
  <c r="AH32" i="20"/>
  <c r="O25" i="19"/>
  <c r="T25" i="19"/>
  <c r="J27" i="19"/>
  <c r="G26" i="19"/>
  <c r="O26" i="19" s="1"/>
  <c r="M25" i="19"/>
  <c r="X25" i="19" s="1"/>
  <c r="L25" i="19"/>
  <c r="W25" i="19" s="1"/>
  <c r="H27" i="19"/>
  <c r="Q25" i="19"/>
  <c r="Z25" i="19"/>
  <c r="U25" i="19"/>
  <c r="AA25" i="19"/>
  <c r="N31" i="19"/>
  <c r="C25" i="19"/>
  <c r="R25" i="19" s="1"/>
  <c r="AJ32" i="19"/>
  <c r="E32" i="19" s="1"/>
  <c r="AH33" i="19"/>
  <c r="D25" i="19"/>
  <c r="S25" i="19" s="1"/>
  <c r="Z25" i="14"/>
  <c r="AA24" i="7"/>
  <c r="T24" i="7"/>
  <c r="U24" i="7"/>
  <c r="Q24" i="7"/>
  <c r="P24" i="7"/>
  <c r="D24" i="7"/>
  <c r="S24" i="7" s="1"/>
  <c r="C24" i="7"/>
  <c r="R24" i="7" s="1"/>
  <c r="M24" i="7"/>
  <c r="X24" i="7" s="1"/>
  <c r="G25" i="7"/>
  <c r="L24" i="7"/>
  <c r="W24" i="7" s="1"/>
  <c r="Z24" i="7"/>
  <c r="O24" i="7"/>
  <c r="D26" i="18"/>
  <c r="C26" i="18"/>
  <c r="D24" i="17"/>
  <c r="C24" i="17"/>
  <c r="D25" i="16"/>
  <c r="S25" i="16" s="1"/>
  <c r="C25" i="16"/>
  <c r="R25" i="16" s="1"/>
  <c r="D24" i="15"/>
  <c r="C24" i="15"/>
  <c r="D25" i="14"/>
  <c r="S25" i="14" s="1"/>
  <c r="C25" i="14"/>
  <c r="R25" i="14" s="1"/>
  <c r="D24" i="13"/>
  <c r="S24" i="13" s="1"/>
  <c r="C24" i="13"/>
  <c r="R24" i="13" s="1"/>
  <c r="D26" i="12"/>
  <c r="C26" i="12"/>
  <c r="D26" i="11"/>
  <c r="C26" i="11"/>
  <c r="D25" i="10"/>
  <c r="C25" i="10"/>
  <c r="D25" i="9"/>
  <c r="C25" i="9"/>
  <c r="D26" i="8"/>
  <c r="C26" i="8"/>
  <c r="D26" i="6"/>
  <c r="S26" i="6" s="1"/>
  <c r="C26" i="6"/>
  <c r="D24" i="4"/>
  <c r="C24" i="4"/>
  <c r="G27" i="1"/>
  <c r="Z26" i="1"/>
  <c r="U26" i="1"/>
  <c r="Q26" i="1"/>
  <c r="P26" i="1"/>
  <c r="AA26" i="1"/>
  <c r="M26" i="1"/>
  <c r="X26" i="1" s="1"/>
  <c r="L26" i="1"/>
  <c r="W26" i="1" s="1"/>
  <c r="T26" i="1"/>
  <c r="O26" i="1"/>
  <c r="Z25" i="16"/>
  <c r="AA25" i="16"/>
  <c r="O26" i="11"/>
  <c r="U26" i="6"/>
  <c r="N28" i="18"/>
  <c r="S26" i="18"/>
  <c r="R26" i="18"/>
  <c r="AA26" i="18"/>
  <c r="Z26" i="18"/>
  <c r="H27" i="18"/>
  <c r="M26" i="18"/>
  <c r="X26" i="18" s="1"/>
  <c r="L26" i="18"/>
  <c r="W26" i="18" s="1"/>
  <c r="G27" i="18"/>
  <c r="O26" i="18"/>
  <c r="Q26" i="18"/>
  <c r="P26" i="18"/>
  <c r="J27" i="18"/>
  <c r="U26" i="18"/>
  <c r="T26" i="18"/>
  <c r="AH30" i="18"/>
  <c r="AJ29" i="18"/>
  <c r="E29" i="18" s="1"/>
  <c r="G25" i="17"/>
  <c r="M24" i="17"/>
  <c r="X24" i="17" s="1"/>
  <c r="L24" i="17"/>
  <c r="W24" i="17" s="1"/>
  <c r="S24" i="17"/>
  <c r="R24" i="17"/>
  <c r="AA24" i="17"/>
  <c r="Z24" i="17"/>
  <c r="H27" i="17"/>
  <c r="AH31" i="17"/>
  <c r="AJ30" i="17"/>
  <c r="E30" i="17" s="1"/>
  <c r="N29" i="17"/>
  <c r="O24" i="17"/>
  <c r="T24" i="17"/>
  <c r="U24" i="17"/>
  <c r="Q25" i="17"/>
  <c r="P25" i="17"/>
  <c r="J26" i="17"/>
  <c r="U25" i="17"/>
  <c r="T25" i="17"/>
  <c r="O25" i="17"/>
  <c r="P24" i="17"/>
  <c r="Q24" i="17"/>
  <c r="H27" i="14"/>
  <c r="N28" i="15"/>
  <c r="AJ30" i="13"/>
  <c r="E30" i="13" s="1"/>
  <c r="AH31" i="13"/>
  <c r="G26" i="16"/>
  <c r="M25" i="16"/>
  <c r="X25" i="16" s="1"/>
  <c r="L25" i="16"/>
  <c r="W25" i="16" s="1"/>
  <c r="N29" i="13"/>
  <c r="M25" i="14"/>
  <c r="X25" i="14" s="1"/>
  <c r="L25" i="14"/>
  <c r="W25" i="14" s="1"/>
  <c r="G26" i="14"/>
  <c r="H27" i="16"/>
  <c r="U25" i="16"/>
  <c r="Q25" i="16"/>
  <c r="P25" i="16"/>
  <c r="J26" i="16"/>
  <c r="T25" i="16"/>
  <c r="O25" i="16"/>
  <c r="J28" i="13"/>
  <c r="H27" i="13"/>
  <c r="AJ29" i="14"/>
  <c r="E29" i="14" s="1"/>
  <c r="AH30" i="14"/>
  <c r="P25" i="14"/>
  <c r="J26" i="14"/>
  <c r="U25" i="14"/>
  <c r="Q25" i="14"/>
  <c r="T25" i="14"/>
  <c r="O25" i="14"/>
  <c r="M24" i="15"/>
  <c r="X24" i="15" s="1"/>
  <c r="L24" i="15"/>
  <c r="W24" i="15" s="1"/>
  <c r="G25" i="15"/>
  <c r="O24" i="15"/>
  <c r="S24" i="15"/>
  <c r="R24" i="15"/>
  <c r="AA24" i="15"/>
  <c r="Z24" i="15"/>
  <c r="U24" i="15"/>
  <c r="Q24" i="15"/>
  <c r="P24" i="15"/>
  <c r="T24" i="15"/>
  <c r="M24" i="13"/>
  <c r="X24" i="13" s="1"/>
  <c r="L24" i="13"/>
  <c r="W24" i="13" s="1"/>
  <c r="G25" i="13"/>
  <c r="T24" i="13"/>
  <c r="Q24" i="13"/>
  <c r="U24" i="13"/>
  <c r="AA24" i="13"/>
  <c r="Z24" i="13"/>
  <c r="P24" i="13"/>
  <c r="O24" i="13"/>
  <c r="J27" i="15"/>
  <c r="N28" i="14"/>
  <c r="H27" i="15"/>
  <c r="AJ28" i="16"/>
  <c r="E28" i="16" s="1"/>
  <c r="AH29" i="16"/>
  <c r="AH30" i="15"/>
  <c r="AJ29" i="15"/>
  <c r="E29" i="15" s="1"/>
  <c r="N27" i="16"/>
  <c r="R25" i="12"/>
  <c r="AJ29" i="12"/>
  <c r="E29" i="12" s="1"/>
  <c r="AH30" i="12"/>
  <c r="S25" i="10"/>
  <c r="R25" i="10"/>
  <c r="AA25" i="10"/>
  <c r="H26" i="10"/>
  <c r="Z25" i="10"/>
  <c r="S25" i="12"/>
  <c r="N28" i="12"/>
  <c r="J26" i="9"/>
  <c r="P25" i="9"/>
  <c r="Q25" i="9"/>
  <c r="U25" i="9"/>
  <c r="T25" i="9"/>
  <c r="O25" i="9"/>
  <c r="J29" i="11"/>
  <c r="H27" i="12"/>
  <c r="S26" i="12"/>
  <c r="AA26" i="12"/>
  <c r="Z26" i="12"/>
  <c r="AA26" i="11"/>
  <c r="Z26" i="11"/>
  <c r="H27" i="11"/>
  <c r="S26" i="11"/>
  <c r="R26" i="11"/>
  <c r="Q26" i="11"/>
  <c r="P26" i="11"/>
  <c r="U26" i="11"/>
  <c r="T26" i="11"/>
  <c r="M26" i="11"/>
  <c r="X26" i="11" s="1"/>
  <c r="L26" i="11"/>
  <c r="W26" i="11" s="1"/>
  <c r="G27" i="11"/>
  <c r="Q25" i="10"/>
  <c r="P25" i="10"/>
  <c r="J26" i="10"/>
  <c r="U25" i="10"/>
  <c r="T25" i="10"/>
  <c r="O25" i="10"/>
  <c r="AJ29" i="11"/>
  <c r="E29" i="11" s="1"/>
  <c r="AH30" i="11"/>
  <c r="H28" i="9"/>
  <c r="N28" i="11"/>
  <c r="J26" i="12"/>
  <c r="Q25" i="12"/>
  <c r="P25" i="12"/>
  <c r="U25" i="12"/>
  <c r="T25" i="12"/>
  <c r="O25" i="12"/>
  <c r="M25" i="9"/>
  <c r="X25" i="9" s="1"/>
  <c r="L25" i="9"/>
  <c r="W25" i="9" s="1"/>
  <c r="G26" i="9"/>
  <c r="S25" i="9"/>
  <c r="AA25" i="9"/>
  <c r="R25" i="9"/>
  <c r="Z25" i="9"/>
  <c r="N28" i="10"/>
  <c r="G27" i="12"/>
  <c r="M26" i="12"/>
  <c r="X26" i="12" s="1"/>
  <c r="M25" i="10"/>
  <c r="X25" i="10" s="1"/>
  <c r="G26" i="10"/>
  <c r="L25" i="10"/>
  <c r="W25" i="10" s="1"/>
  <c r="N28" i="9"/>
  <c r="AJ29" i="10"/>
  <c r="E29" i="10" s="1"/>
  <c r="AH30" i="10"/>
  <c r="L25" i="12"/>
  <c r="W25" i="12" s="1"/>
  <c r="AJ29" i="9"/>
  <c r="E29" i="9" s="1"/>
  <c r="AH30" i="9"/>
  <c r="J27" i="8"/>
  <c r="Q26" i="8"/>
  <c r="P26" i="8"/>
  <c r="U26" i="8"/>
  <c r="T26" i="8"/>
  <c r="O26" i="8"/>
  <c r="AJ30" i="8"/>
  <c r="E30" i="8" s="1"/>
  <c r="AH31" i="8"/>
  <c r="N29" i="8"/>
  <c r="G27" i="8"/>
  <c r="M26" i="8"/>
  <c r="X26" i="8" s="1"/>
  <c r="L26" i="8"/>
  <c r="W26" i="8" s="1"/>
  <c r="H27" i="8"/>
  <c r="S26" i="8"/>
  <c r="R26" i="8"/>
  <c r="AA26" i="8"/>
  <c r="Z26" i="8"/>
  <c r="J28" i="7"/>
  <c r="AJ30" i="7"/>
  <c r="E30" i="7" s="1"/>
  <c r="AH31" i="7"/>
  <c r="N29" i="7"/>
  <c r="H28" i="7"/>
  <c r="O26" i="6"/>
  <c r="M26" i="6"/>
  <c r="X26" i="6" s="1"/>
  <c r="G27" i="6"/>
  <c r="L26" i="6"/>
  <c r="W26" i="6" s="1"/>
  <c r="AH30" i="6"/>
  <c r="AJ29" i="6"/>
  <c r="E29" i="6" s="1"/>
  <c r="AA26" i="6"/>
  <c r="H27" i="6"/>
  <c r="R26" i="6"/>
  <c r="Z26" i="6"/>
  <c r="P26" i="6"/>
  <c r="N28" i="6"/>
  <c r="J28" i="6"/>
  <c r="T26" i="6"/>
  <c r="Q26" i="6"/>
  <c r="M24" i="4"/>
  <c r="X24" i="4" s="1"/>
  <c r="L24" i="4"/>
  <c r="W24" i="4" s="1"/>
  <c r="G25" i="4"/>
  <c r="O24" i="4"/>
  <c r="AA24" i="4"/>
  <c r="Z24" i="4"/>
  <c r="R24" i="4"/>
  <c r="U24" i="4"/>
  <c r="Q24" i="4"/>
  <c r="S24" i="4"/>
  <c r="P24" i="4"/>
  <c r="T24" i="4"/>
  <c r="J29" i="4"/>
  <c r="AJ29" i="4"/>
  <c r="E29" i="4" s="1"/>
  <c r="AH30" i="4"/>
  <c r="H27" i="4"/>
  <c r="N28" i="4"/>
  <c r="D26" i="1"/>
  <c r="S26" i="1" s="1"/>
  <c r="C26" i="1"/>
  <c r="R26" i="1" s="1"/>
  <c r="H27" i="1"/>
  <c r="N32" i="27" l="1"/>
  <c r="T32" i="27"/>
  <c r="O31" i="27"/>
  <c r="AA31" i="27"/>
  <c r="N31" i="28"/>
  <c r="T31" i="28"/>
  <c r="O30" i="28"/>
  <c r="AA30" i="28"/>
  <c r="N30" i="26"/>
  <c r="T30" i="26"/>
  <c r="O29" i="26"/>
  <c r="AA29" i="26"/>
  <c r="N30" i="25"/>
  <c r="T30" i="25"/>
  <c r="O29" i="25"/>
  <c r="AA29" i="25"/>
  <c r="N31" i="24"/>
  <c r="T31" i="24"/>
  <c r="O30" i="24"/>
  <c r="AA30" i="24"/>
  <c r="N31" i="23"/>
  <c r="O31" i="23" s="1"/>
  <c r="T31" i="23"/>
  <c r="AA30" i="23"/>
  <c r="M31" i="23"/>
  <c r="X31" i="23" s="1"/>
  <c r="Q31" i="23"/>
  <c r="G32" i="23"/>
  <c r="P31" i="23"/>
  <c r="AA31" i="23"/>
  <c r="Z31" i="23"/>
  <c r="U31" i="23"/>
  <c r="N31" i="22"/>
  <c r="T31" i="22"/>
  <c r="O30" i="22"/>
  <c r="AA30" i="22"/>
  <c r="N31" i="21"/>
  <c r="T31" i="21"/>
  <c r="O30" i="21"/>
  <c r="AA30" i="21"/>
  <c r="J29" i="28"/>
  <c r="L28" i="28"/>
  <c r="W28" i="28" s="1"/>
  <c r="AJ32" i="28"/>
  <c r="E32" i="28" s="1"/>
  <c r="AH33" i="28"/>
  <c r="C30" i="28"/>
  <c r="R30" i="28" s="1"/>
  <c r="H31" i="28"/>
  <c r="D30" i="28"/>
  <c r="S30" i="28" s="1"/>
  <c r="D31" i="25"/>
  <c r="S31" i="25" s="1"/>
  <c r="C31" i="25"/>
  <c r="R31" i="25" s="1"/>
  <c r="H32" i="25"/>
  <c r="L28" i="26"/>
  <c r="W28" i="26" s="1"/>
  <c r="J29" i="26"/>
  <c r="AJ31" i="26"/>
  <c r="E31" i="26" s="1"/>
  <c r="AH32" i="26"/>
  <c r="AJ33" i="27"/>
  <c r="E33" i="27" s="1"/>
  <c r="AH34" i="27"/>
  <c r="H30" i="26"/>
  <c r="D29" i="26"/>
  <c r="S29" i="26" s="1"/>
  <c r="C29" i="26"/>
  <c r="R29" i="26" s="1"/>
  <c r="AH33" i="24"/>
  <c r="AJ32" i="24"/>
  <c r="E32" i="24" s="1"/>
  <c r="J31" i="27"/>
  <c r="C29" i="24"/>
  <c r="R29" i="24" s="1"/>
  <c r="H30" i="24"/>
  <c r="D29" i="24"/>
  <c r="S29" i="24" s="1"/>
  <c r="AJ31" i="25"/>
  <c r="E31" i="25" s="1"/>
  <c r="AH32" i="25"/>
  <c r="J29" i="24"/>
  <c r="L28" i="24"/>
  <c r="W28" i="24" s="1"/>
  <c r="D29" i="27"/>
  <c r="S29" i="27" s="1"/>
  <c r="C29" i="27"/>
  <c r="R29" i="27" s="1"/>
  <c r="H30" i="27"/>
  <c r="L30" i="27" s="1"/>
  <c r="W30" i="27" s="1"/>
  <c r="J30" i="25"/>
  <c r="L29" i="25"/>
  <c r="W29" i="25" s="1"/>
  <c r="AH33" i="22"/>
  <c r="AJ32" i="22"/>
  <c r="E32" i="22" s="1"/>
  <c r="C30" i="22"/>
  <c r="R30" i="22" s="1"/>
  <c r="H31" i="22"/>
  <c r="D30" i="22"/>
  <c r="S30" i="22" s="1"/>
  <c r="J29" i="23"/>
  <c r="L28" i="23"/>
  <c r="W28" i="23" s="1"/>
  <c r="D28" i="23"/>
  <c r="S28" i="23" s="1"/>
  <c r="C28" i="23"/>
  <c r="R28" i="23" s="1"/>
  <c r="H29" i="23"/>
  <c r="J29" i="22"/>
  <c r="L28" i="22"/>
  <c r="W28" i="22" s="1"/>
  <c r="AJ32" i="23"/>
  <c r="E32" i="23" s="1"/>
  <c r="AH33" i="23"/>
  <c r="J29" i="21"/>
  <c r="L28" i="21"/>
  <c r="W28" i="21" s="1"/>
  <c r="AH33" i="21"/>
  <c r="AJ32" i="21"/>
  <c r="E32" i="21" s="1"/>
  <c r="D29" i="21"/>
  <c r="S29" i="21" s="1"/>
  <c r="C29" i="21"/>
  <c r="R29" i="21" s="1"/>
  <c r="H30" i="21"/>
  <c r="AJ32" i="20"/>
  <c r="E32" i="20" s="1"/>
  <c r="AH33" i="20"/>
  <c r="M27" i="20"/>
  <c r="X27" i="20" s="1"/>
  <c r="L27" i="20"/>
  <c r="W27" i="20" s="1"/>
  <c r="G28" i="20"/>
  <c r="D27" i="20"/>
  <c r="S27" i="20" s="1"/>
  <c r="C27" i="20"/>
  <c r="R27" i="20" s="1"/>
  <c r="AA27" i="20"/>
  <c r="Z27" i="20"/>
  <c r="N31" i="20"/>
  <c r="O27" i="20"/>
  <c r="T27" i="20"/>
  <c r="H31" i="20"/>
  <c r="U27" i="20"/>
  <c r="Q28" i="20"/>
  <c r="P28" i="20"/>
  <c r="J29" i="20"/>
  <c r="U28" i="20"/>
  <c r="T28" i="20"/>
  <c r="O28" i="20"/>
  <c r="P27" i="20"/>
  <c r="Q27" i="20"/>
  <c r="C26" i="19"/>
  <c r="R26" i="19" s="1"/>
  <c r="D26" i="19"/>
  <c r="S26" i="19" s="1"/>
  <c r="N32" i="19"/>
  <c r="M26" i="19"/>
  <c r="X26" i="19" s="1"/>
  <c r="L26" i="19"/>
  <c r="W26" i="19" s="1"/>
  <c r="G27" i="19"/>
  <c r="C27" i="19" s="1"/>
  <c r="R27" i="19" s="1"/>
  <c r="T26" i="19"/>
  <c r="U26" i="19"/>
  <c r="Q27" i="19"/>
  <c r="P27" i="19"/>
  <c r="J28" i="19"/>
  <c r="U27" i="19"/>
  <c r="O27" i="19"/>
  <c r="D27" i="19"/>
  <c r="S27" i="19" s="1"/>
  <c r="H28" i="19"/>
  <c r="P26" i="19"/>
  <c r="Z26" i="19"/>
  <c r="Q26" i="19"/>
  <c r="AH34" i="19"/>
  <c r="AJ33" i="19"/>
  <c r="E33" i="19" s="1"/>
  <c r="AA26" i="19"/>
  <c r="AA25" i="7"/>
  <c r="Q25" i="7"/>
  <c r="L25" i="7"/>
  <c r="W25" i="7" s="1"/>
  <c r="T25" i="7"/>
  <c r="G26" i="7"/>
  <c r="P25" i="7"/>
  <c r="O25" i="7"/>
  <c r="U25" i="7"/>
  <c r="D25" i="7"/>
  <c r="S25" i="7" s="1"/>
  <c r="C25" i="7"/>
  <c r="R25" i="7" s="1"/>
  <c r="M25" i="7"/>
  <c r="X25" i="7" s="1"/>
  <c r="Z25" i="7"/>
  <c r="D27" i="18"/>
  <c r="C27" i="18"/>
  <c r="C25" i="17"/>
  <c r="D25" i="17"/>
  <c r="D26" i="16"/>
  <c r="C26" i="16"/>
  <c r="R26" i="16" s="1"/>
  <c r="D25" i="15"/>
  <c r="C25" i="15"/>
  <c r="C26" i="14"/>
  <c r="R26" i="14" s="1"/>
  <c r="D26" i="14"/>
  <c r="S26" i="14" s="1"/>
  <c r="D25" i="13"/>
  <c r="S25" i="13" s="1"/>
  <c r="C25" i="13"/>
  <c r="R25" i="13" s="1"/>
  <c r="D27" i="12"/>
  <c r="C27" i="12"/>
  <c r="C27" i="11"/>
  <c r="D27" i="11"/>
  <c r="D26" i="10"/>
  <c r="C26" i="10"/>
  <c r="D26" i="9"/>
  <c r="C26" i="9"/>
  <c r="D27" i="8"/>
  <c r="C27" i="8"/>
  <c r="D27" i="6"/>
  <c r="C27" i="6"/>
  <c r="D25" i="4"/>
  <c r="C25" i="4"/>
  <c r="G28" i="1"/>
  <c r="Z27" i="1"/>
  <c r="U27" i="1"/>
  <c r="Q27" i="1"/>
  <c r="P27" i="1"/>
  <c r="M27" i="1"/>
  <c r="X27" i="1" s="1"/>
  <c r="AA27" i="1"/>
  <c r="L27" i="1"/>
  <c r="W27" i="1" s="1"/>
  <c r="T27" i="1"/>
  <c r="O27" i="1"/>
  <c r="P27" i="6"/>
  <c r="M27" i="18"/>
  <c r="X27" i="18" s="1"/>
  <c r="L27" i="18"/>
  <c r="W27" i="18" s="1"/>
  <c r="G28" i="18"/>
  <c r="O28" i="18" s="1"/>
  <c r="N29" i="18"/>
  <c r="S27" i="18"/>
  <c r="R27" i="18"/>
  <c r="AA27" i="18"/>
  <c r="Z27" i="18"/>
  <c r="H28" i="18"/>
  <c r="AJ30" i="18"/>
  <c r="E30" i="18" s="1"/>
  <c r="AH31" i="18"/>
  <c r="O27" i="18"/>
  <c r="Q27" i="18"/>
  <c r="P27" i="18"/>
  <c r="J28" i="18"/>
  <c r="U27" i="18"/>
  <c r="T27" i="18"/>
  <c r="H28" i="17"/>
  <c r="J27" i="17"/>
  <c r="N30" i="17"/>
  <c r="AJ31" i="17"/>
  <c r="E31" i="17" s="1"/>
  <c r="AH32" i="17"/>
  <c r="M25" i="17"/>
  <c r="X25" i="17" s="1"/>
  <c r="L25" i="17"/>
  <c r="W25" i="17" s="1"/>
  <c r="G26" i="17"/>
  <c r="U26" i="17" s="1"/>
  <c r="S25" i="17"/>
  <c r="R25" i="17"/>
  <c r="AA25" i="17"/>
  <c r="Z25" i="17"/>
  <c r="O27" i="6"/>
  <c r="M26" i="16"/>
  <c r="X26" i="16" s="1"/>
  <c r="L26" i="16"/>
  <c r="W26" i="16" s="1"/>
  <c r="G27" i="16"/>
  <c r="O26" i="16"/>
  <c r="AJ30" i="14"/>
  <c r="E30" i="14" s="1"/>
  <c r="AH31" i="14"/>
  <c r="S26" i="16"/>
  <c r="AJ31" i="13"/>
  <c r="E31" i="13" s="1"/>
  <c r="AH32" i="13"/>
  <c r="N29" i="15"/>
  <c r="J28" i="15"/>
  <c r="N29" i="14"/>
  <c r="M26" i="14"/>
  <c r="X26" i="14" s="1"/>
  <c r="L26" i="14"/>
  <c r="W26" i="14" s="1"/>
  <c r="G27" i="14"/>
  <c r="N30" i="13"/>
  <c r="AJ29" i="16"/>
  <c r="E29" i="16" s="1"/>
  <c r="AH30" i="16"/>
  <c r="M25" i="13"/>
  <c r="X25" i="13" s="1"/>
  <c r="L25" i="13"/>
  <c r="W25" i="13" s="1"/>
  <c r="G26" i="13"/>
  <c r="Q25" i="13"/>
  <c r="P25" i="13"/>
  <c r="U25" i="13"/>
  <c r="Z25" i="13"/>
  <c r="O25" i="13"/>
  <c r="T25" i="13"/>
  <c r="AA25" i="13"/>
  <c r="G26" i="15"/>
  <c r="M25" i="15"/>
  <c r="X25" i="15" s="1"/>
  <c r="L25" i="15"/>
  <c r="W25" i="15" s="1"/>
  <c r="Q25" i="15"/>
  <c r="Z25" i="15"/>
  <c r="P25" i="15"/>
  <c r="O25" i="15"/>
  <c r="AA25" i="15"/>
  <c r="U25" i="15"/>
  <c r="R25" i="15"/>
  <c r="T25" i="15"/>
  <c r="S25" i="15"/>
  <c r="Q26" i="16"/>
  <c r="P26" i="16"/>
  <c r="J27" i="16"/>
  <c r="O27" i="16" s="1"/>
  <c r="U26" i="16"/>
  <c r="T26" i="16"/>
  <c r="N28" i="16"/>
  <c r="H28" i="15"/>
  <c r="AJ30" i="15"/>
  <c r="E30" i="15" s="1"/>
  <c r="AH31" i="15"/>
  <c r="AA27" i="14"/>
  <c r="Z27" i="14"/>
  <c r="H28" i="14"/>
  <c r="H28" i="13"/>
  <c r="AA27" i="16"/>
  <c r="Z27" i="16"/>
  <c r="H28" i="16"/>
  <c r="Z26" i="14"/>
  <c r="Z26" i="16"/>
  <c r="AA26" i="14"/>
  <c r="J27" i="14"/>
  <c r="U26" i="14"/>
  <c r="Q26" i="14"/>
  <c r="P26" i="14"/>
  <c r="T26" i="14"/>
  <c r="O26" i="14"/>
  <c r="J29" i="13"/>
  <c r="AA26" i="16"/>
  <c r="H28" i="12"/>
  <c r="AA27" i="12"/>
  <c r="Z27" i="12"/>
  <c r="AJ30" i="10"/>
  <c r="E30" i="10" s="1"/>
  <c r="AH31" i="10"/>
  <c r="J27" i="12"/>
  <c r="L27" i="12" s="1"/>
  <c r="W27" i="12" s="1"/>
  <c r="U26" i="12"/>
  <c r="Q26" i="12"/>
  <c r="P26" i="12"/>
  <c r="T26" i="12"/>
  <c r="O26" i="12"/>
  <c r="Q26" i="10"/>
  <c r="P26" i="10"/>
  <c r="J27" i="10"/>
  <c r="U26" i="10"/>
  <c r="T26" i="10"/>
  <c r="O26" i="10"/>
  <c r="Z27" i="11"/>
  <c r="H28" i="11"/>
  <c r="S27" i="11"/>
  <c r="R27" i="11"/>
  <c r="AA27" i="11"/>
  <c r="T27" i="11"/>
  <c r="Q27" i="11"/>
  <c r="U27" i="11"/>
  <c r="P27" i="11"/>
  <c r="S26" i="10"/>
  <c r="R26" i="10"/>
  <c r="AA26" i="10"/>
  <c r="Z26" i="10"/>
  <c r="H27" i="10"/>
  <c r="N29" i="10"/>
  <c r="J30" i="11"/>
  <c r="N29" i="9"/>
  <c r="M26" i="9"/>
  <c r="X26" i="9" s="1"/>
  <c r="L26" i="9"/>
  <c r="W26" i="9" s="1"/>
  <c r="G27" i="9"/>
  <c r="AA26" i="9"/>
  <c r="Z26" i="9"/>
  <c r="S26" i="9"/>
  <c r="R26" i="9"/>
  <c r="L27" i="11"/>
  <c r="W27" i="11" s="1"/>
  <c r="G28" i="11"/>
  <c r="M27" i="11"/>
  <c r="X27" i="11" s="1"/>
  <c r="H29" i="9"/>
  <c r="AJ30" i="12"/>
  <c r="E30" i="12" s="1"/>
  <c r="AH31" i="12"/>
  <c r="M26" i="10"/>
  <c r="X26" i="10" s="1"/>
  <c r="L26" i="10"/>
  <c r="W26" i="10" s="1"/>
  <c r="G27" i="10"/>
  <c r="L26" i="12"/>
  <c r="W26" i="12" s="1"/>
  <c r="O27" i="11"/>
  <c r="N29" i="12"/>
  <c r="AJ30" i="11"/>
  <c r="E30" i="11" s="1"/>
  <c r="AH31" i="11"/>
  <c r="AJ30" i="9"/>
  <c r="E30" i="9" s="1"/>
  <c r="AH31" i="9"/>
  <c r="G28" i="12"/>
  <c r="M27" i="12"/>
  <c r="X27" i="12" s="1"/>
  <c r="N29" i="11"/>
  <c r="R26" i="12"/>
  <c r="J27" i="9"/>
  <c r="U26" i="9"/>
  <c r="Q26" i="9"/>
  <c r="P26" i="9"/>
  <c r="T26" i="9"/>
  <c r="O26" i="9"/>
  <c r="G28" i="8"/>
  <c r="M27" i="8"/>
  <c r="X27" i="8" s="1"/>
  <c r="L27" i="8"/>
  <c r="W27" i="8" s="1"/>
  <c r="AJ31" i="8"/>
  <c r="E31" i="8" s="1"/>
  <c r="AH32" i="8"/>
  <c r="N30" i="8"/>
  <c r="H28" i="8"/>
  <c r="S27" i="8"/>
  <c r="R27" i="8"/>
  <c r="AA27" i="8"/>
  <c r="Z27" i="8"/>
  <c r="Q27" i="8"/>
  <c r="P27" i="8"/>
  <c r="J28" i="8"/>
  <c r="U27" i="8"/>
  <c r="T27" i="8"/>
  <c r="O27" i="8"/>
  <c r="AJ31" i="7"/>
  <c r="E31" i="7" s="1"/>
  <c r="AH32" i="7"/>
  <c r="N30" i="7"/>
  <c r="H29" i="7"/>
  <c r="J29" i="7"/>
  <c r="N29" i="6"/>
  <c r="J29" i="6"/>
  <c r="AJ30" i="6"/>
  <c r="E30" i="6" s="1"/>
  <c r="AH31" i="6"/>
  <c r="M27" i="6"/>
  <c r="X27" i="6" s="1"/>
  <c r="L27" i="6"/>
  <c r="W27" i="6" s="1"/>
  <c r="G28" i="6"/>
  <c r="S27" i="6"/>
  <c r="R27" i="6"/>
  <c r="AA27" i="6"/>
  <c r="Z27" i="6"/>
  <c r="H28" i="6"/>
  <c r="T27" i="6"/>
  <c r="Q27" i="6"/>
  <c r="U27" i="6"/>
  <c r="H28" i="4"/>
  <c r="AJ30" i="4"/>
  <c r="E30" i="4" s="1"/>
  <c r="AH31" i="4"/>
  <c r="N29" i="4"/>
  <c r="L25" i="4"/>
  <c r="W25" i="4" s="1"/>
  <c r="G26" i="4"/>
  <c r="M25" i="4"/>
  <c r="X25" i="4" s="1"/>
  <c r="O25" i="4"/>
  <c r="Z25" i="4"/>
  <c r="S25" i="4"/>
  <c r="R25" i="4"/>
  <c r="AA25" i="4"/>
  <c r="Q25" i="4"/>
  <c r="P25" i="4"/>
  <c r="U25" i="4"/>
  <c r="T25" i="4"/>
  <c r="J30" i="4"/>
  <c r="H28" i="1"/>
  <c r="D27" i="1"/>
  <c r="S27" i="1" s="1"/>
  <c r="C27" i="1"/>
  <c r="R27" i="1" s="1"/>
  <c r="N33" i="27" l="1"/>
  <c r="T33" i="27"/>
  <c r="O32" i="27"/>
  <c r="AA32" i="27"/>
  <c r="N32" i="28"/>
  <c r="T32" i="28"/>
  <c r="O31" i="28"/>
  <c r="AA31" i="28"/>
  <c r="N31" i="26"/>
  <c r="T31" i="26"/>
  <c r="O30" i="26"/>
  <c r="AA30" i="26"/>
  <c r="N31" i="25"/>
  <c r="T31" i="25"/>
  <c r="O30" i="25"/>
  <c r="AA30" i="25"/>
  <c r="N32" i="24"/>
  <c r="T32" i="24"/>
  <c r="O31" i="24"/>
  <c r="AA31" i="24"/>
  <c r="N32" i="23"/>
  <c r="O32" i="23" s="1"/>
  <c r="T32" i="23"/>
  <c r="M32" i="23"/>
  <c r="X32" i="23" s="1"/>
  <c r="Q32" i="23"/>
  <c r="G33" i="23"/>
  <c r="P32" i="23"/>
  <c r="AA32" i="23"/>
  <c r="Z32" i="23"/>
  <c r="U32" i="23"/>
  <c r="N32" i="22"/>
  <c r="T32" i="22"/>
  <c r="O31" i="22"/>
  <c r="AA31" i="22"/>
  <c r="N32" i="21"/>
  <c r="T32" i="21"/>
  <c r="O31" i="21"/>
  <c r="AA31" i="21"/>
  <c r="H32" i="28"/>
  <c r="D31" i="28"/>
  <c r="S31" i="28" s="1"/>
  <c r="C31" i="28"/>
  <c r="R31" i="28" s="1"/>
  <c r="AJ33" i="28"/>
  <c r="E33" i="28" s="1"/>
  <c r="AH34" i="28"/>
  <c r="J30" i="28"/>
  <c r="L29" i="28"/>
  <c r="W29" i="28" s="1"/>
  <c r="J30" i="24"/>
  <c r="L29" i="24"/>
  <c r="W29" i="24" s="1"/>
  <c r="H31" i="26"/>
  <c r="D30" i="26"/>
  <c r="S30" i="26" s="1"/>
  <c r="C30" i="26"/>
  <c r="R30" i="26" s="1"/>
  <c r="AJ32" i="26"/>
  <c r="E32" i="26" s="1"/>
  <c r="AH33" i="26"/>
  <c r="D30" i="24"/>
  <c r="S30" i="24" s="1"/>
  <c r="H31" i="24"/>
  <c r="C30" i="24"/>
  <c r="R30" i="24" s="1"/>
  <c r="AJ34" i="27"/>
  <c r="E34" i="27" s="1"/>
  <c r="AH35" i="27"/>
  <c r="J30" i="26"/>
  <c r="L29" i="26"/>
  <c r="W29" i="26" s="1"/>
  <c r="AJ32" i="25"/>
  <c r="E32" i="25" s="1"/>
  <c r="AH33" i="25"/>
  <c r="L30" i="25"/>
  <c r="W30" i="25" s="1"/>
  <c r="J31" i="25"/>
  <c r="J32" i="27"/>
  <c r="L31" i="27"/>
  <c r="W31" i="27" s="1"/>
  <c r="D32" i="25"/>
  <c r="S32" i="25" s="1"/>
  <c r="C32" i="25"/>
  <c r="R32" i="25" s="1"/>
  <c r="H33" i="25"/>
  <c r="C30" i="27"/>
  <c r="R30" i="27" s="1"/>
  <c r="H31" i="27"/>
  <c r="D30" i="27"/>
  <c r="S30" i="27" s="1"/>
  <c r="AH34" i="24"/>
  <c r="AJ33" i="24"/>
  <c r="E33" i="24" s="1"/>
  <c r="L29" i="22"/>
  <c r="W29" i="22" s="1"/>
  <c r="J30" i="22"/>
  <c r="D29" i="23"/>
  <c r="S29" i="23" s="1"/>
  <c r="C29" i="23"/>
  <c r="R29" i="23" s="1"/>
  <c r="H30" i="23"/>
  <c r="J30" i="23"/>
  <c r="L29" i="23"/>
  <c r="W29" i="23" s="1"/>
  <c r="H32" i="22"/>
  <c r="C31" i="22"/>
  <c r="R31" i="22" s="1"/>
  <c r="D31" i="22"/>
  <c r="S31" i="22" s="1"/>
  <c r="AJ33" i="23"/>
  <c r="E33" i="23" s="1"/>
  <c r="AH34" i="23"/>
  <c r="AJ33" i="22"/>
  <c r="E33" i="22" s="1"/>
  <c r="AH34" i="22"/>
  <c r="C30" i="21"/>
  <c r="R30" i="21" s="1"/>
  <c r="H31" i="21"/>
  <c r="D30" i="21"/>
  <c r="S30" i="21" s="1"/>
  <c r="AJ33" i="21"/>
  <c r="E33" i="21" s="1"/>
  <c r="AH34" i="21"/>
  <c r="L29" i="21"/>
  <c r="W29" i="21" s="1"/>
  <c r="J30" i="21"/>
  <c r="J30" i="20"/>
  <c r="O29" i="20"/>
  <c r="M28" i="20"/>
  <c r="X28" i="20" s="1"/>
  <c r="L28" i="20"/>
  <c r="W28" i="20" s="1"/>
  <c r="G29" i="20"/>
  <c r="D28" i="20"/>
  <c r="S28" i="20" s="1"/>
  <c r="C28" i="20"/>
  <c r="R28" i="20" s="1"/>
  <c r="AA28" i="20"/>
  <c r="Z28" i="20"/>
  <c r="H32" i="20"/>
  <c r="AJ33" i="20"/>
  <c r="E33" i="20" s="1"/>
  <c r="AH34" i="20"/>
  <c r="N32" i="20"/>
  <c r="Z27" i="19"/>
  <c r="AA27" i="19"/>
  <c r="J29" i="19"/>
  <c r="AJ34" i="19"/>
  <c r="E34" i="19" s="1"/>
  <c r="AH35" i="19"/>
  <c r="N33" i="19"/>
  <c r="H29" i="19"/>
  <c r="M27" i="19"/>
  <c r="X27" i="19" s="1"/>
  <c r="L27" i="19"/>
  <c r="W27" i="19" s="1"/>
  <c r="G28" i="19"/>
  <c r="D28" i="19" s="1"/>
  <c r="S28" i="19" s="1"/>
  <c r="T27" i="19"/>
  <c r="AA26" i="7"/>
  <c r="Q26" i="7"/>
  <c r="P26" i="7"/>
  <c r="D26" i="7"/>
  <c r="S26" i="7" s="1"/>
  <c r="M26" i="7"/>
  <c r="X26" i="7" s="1"/>
  <c r="C26" i="7"/>
  <c r="R26" i="7" s="1"/>
  <c r="L26" i="7"/>
  <c r="W26" i="7" s="1"/>
  <c r="G27" i="7"/>
  <c r="Z26" i="7"/>
  <c r="O26" i="7"/>
  <c r="T26" i="7"/>
  <c r="U26" i="7"/>
  <c r="T26" i="17"/>
  <c r="C28" i="18"/>
  <c r="D28" i="18"/>
  <c r="O26" i="17"/>
  <c r="D26" i="17"/>
  <c r="C26" i="17"/>
  <c r="D27" i="16"/>
  <c r="S27" i="16" s="1"/>
  <c r="C27" i="16"/>
  <c r="R27" i="16" s="1"/>
  <c r="C26" i="15"/>
  <c r="D26" i="15"/>
  <c r="C27" i="14"/>
  <c r="R27" i="14" s="1"/>
  <c r="D27" i="14"/>
  <c r="S27" i="14" s="1"/>
  <c r="C26" i="13"/>
  <c r="R26" i="13" s="1"/>
  <c r="D26" i="13"/>
  <c r="D28" i="12"/>
  <c r="C28" i="12"/>
  <c r="D28" i="11"/>
  <c r="C28" i="11"/>
  <c r="D27" i="10"/>
  <c r="C27" i="10"/>
  <c r="C27" i="9"/>
  <c r="D27" i="9"/>
  <c r="D28" i="8"/>
  <c r="C28" i="8"/>
  <c r="R28" i="8" s="1"/>
  <c r="O28" i="6"/>
  <c r="D28" i="6"/>
  <c r="C28" i="6"/>
  <c r="C26" i="4"/>
  <c r="D26" i="4"/>
  <c r="G29" i="1"/>
  <c r="Q28" i="1"/>
  <c r="U28" i="1"/>
  <c r="Z28" i="1"/>
  <c r="P28" i="1"/>
  <c r="AA28" i="1"/>
  <c r="M28" i="1"/>
  <c r="X28" i="1" s="1"/>
  <c r="L28" i="1"/>
  <c r="W28" i="1" s="1"/>
  <c r="T28" i="1"/>
  <c r="O28" i="1"/>
  <c r="AJ31" i="18"/>
  <c r="E31" i="18" s="1"/>
  <c r="AH32" i="18"/>
  <c r="N30" i="18"/>
  <c r="R28" i="18"/>
  <c r="AA28" i="18"/>
  <c r="Z28" i="18"/>
  <c r="H29" i="18"/>
  <c r="S28" i="18"/>
  <c r="P28" i="18"/>
  <c r="J29" i="18"/>
  <c r="Q28" i="18"/>
  <c r="U28" i="18"/>
  <c r="T28" i="18"/>
  <c r="M28" i="18"/>
  <c r="X28" i="18" s="1"/>
  <c r="L28" i="18"/>
  <c r="W28" i="18" s="1"/>
  <c r="G29" i="18"/>
  <c r="J28" i="17"/>
  <c r="M26" i="17"/>
  <c r="X26" i="17" s="1"/>
  <c r="L26" i="17"/>
  <c r="W26" i="17" s="1"/>
  <c r="G27" i="17"/>
  <c r="O27" i="17" s="1"/>
  <c r="S26" i="17"/>
  <c r="R26" i="17"/>
  <c r="AA26" i="17"/>
  <c r="Z26" i="17"/>
  <c r="P26" i="17"/>
  <c r="Q26" i="17"/>
  <c r="H29" i="17"/>
  <c r="AJ32" i="17"/>
  <c r="E32" i="17" s="1"/>
  <c r="AH33" i="17"/>
  <c r="N31" i="17"/>
  <c r="AH32" i="15"/>
  <c r="AJ31" i="15"/>
  <c r="E31" i="15" s="1"/>
  <c r="M27" i="14"/>
  <c r="X27" i="14" s="1"/>
  <c r="L27" i="14"/>
  <c r="W27" i="14" s="1"/>
  <c r="G28" i="14"/>
  <c r="AJ32" i="13"/>
  <c r="E32" i="13" s="1"/>
  <c r="AH33" i="13"/>
  <c r="N31" i="13"/>
  <c r="J28" i="14"/>
  <c r="Q27" i="14"/>
  <c r="P27" i="14"/>
  <c r="U27" i="14"/>
  <c r="T27" i="14"/>
  <c r="O27" i="14"/>
  <c r="AJ31" i="14"/>
  <c r="E31" i="14" s="1"/>
  <c r="AH32" i="14"/>
  <c r="N30" i="14"/>
  <c r="N30" i="15"/>
  <c r="Q27" i="16"/>
  <c r="P27" i="16"/>
  <c r="J28" i="16"/>
  <c r="O28" i="16" s="1"/>
  <c r="U27" i="16"/>
  <c r="T27" i="16"/>
  <c r="G27" i="13"/>
  <c r="M26" i="13"/>
  <c r="X26" i="13" s="1"/>
  <c r="L26" i="13"/>
  <c r="W26" i="13" s="1"/>
  <c r="P26" i="13"/>
  <c r="U26" i="13"/>
  <c r="AA26" i="13"/>
  <c r="S26" i="13"/>
  <c r="Z26" i="13"/>
  <c r="Q26" i="13"/>
  <c r="O26" i="13"/>
  <c r="T26" i="13"/>
  <c r="H29" i="13"/>
  <c r="J29" i="15"/>
  <c r="M27" i="16"/>
  <c r="X27" i="16" s="1"/>
  <c r="L27" i="16"/>
  <c r="W27" i="16" s="1"/>
  <c r="G28" i="16"/>
  <c r="J30" i="13"/>
  <c r="H29" i="15"/>
  <c r="M26" i="15"/>
  <c r="X26" i="15" s="1"/>
  <c r="L26" i="15"/>
  <c r="W26" i="15" s="1"/>
  <c r="G27" i="15"/>
  <c r="O26" i="15"/>
  <c r="U26" i="15"/>
  <c r="S26" i="15"/>
  <c r="AA26" i="15"/>
  <c r="Z26" i="15"/>
  <c r="R26" i="15"/>
  <c r="Q26" i="15"/>
  <c r="P26" i="15"/>
  <c r="T26" i="15"/>
  <c r="AA28" i="16"/>
  <c r="Z28" i="16"/>
  <c r="H29" i="16"/>
  <c r="AJ30" i="16"/>
  <c r="E30" i="16" s="1"/>
  <c r="AH31" i="16"/>
  <c r="AA28" i="14"/>
  <c r="Z28" i="14"/>
  <c r="H29" i="14"/>
  <c r="N29" i="16"/>
  <c r="AJ31" i="11"/>
  <c r="E31" i="11" s="1"/>
  <c r="AH32" i="11"/>
  <c r="L27" i="9"/>
  <c r="W27" i="9" s="1"/>
  <c r="G28" i="9"/>
  <c r="M27" i="9"/>
  <c r="X27" i="9" s="1"/>
  <c r="Z27" i="9"/>
  <c r="R27" i="9"/>
  <c r="AA27" i="9"/>
  <c r="S27" i="9"/>
  <c r="R27" i="10"/>
  <c r="AA27" i="10"/>
  <c r="Z27" i="10"/>
  <c r="S27" i="10"/>
  <c r="H28" i="10"/>
  <c r="H29" i="11"/>
  <c r="S28" i="11"/>
  <c r="R28" i="11"/>
  <c r="AA28" i="11"/>
  <c r="Z28" i="11"/>
  <c r="Q28" i="11"/>
  <c r="T28" i="11"/>
  <c r="P28" i="11"/>
  <c r="U28" i="11"/>
  <c r="N30" i="11"/>
  <c r="U27" i="12"/>
  <c r="Q27" i="12"/>
  <c r="P27" i="12"/>
  <c r="J28" i="12"/>
  <c r="L28" i="12" s="1"/>
  <c r="W28" i="12" s="1"/>
  <c r="T27" i="12"/>
  <c r="O27" i="12"/>
  <c r="J28" i="9"/>
  <c r="U27" i="9"/>
  <c r="P27" i="9"/>
  <c r="Q27" i="9"/>
  <c r="T27" i="9"/>
  <c r="O27" i="9"/>
  <c r="H30" i="9"/>
  <c r="AJ31" i="10"/>
  <c r="E31" i="10" s="1"/>
  <c r="AH32" i="10"/>
  <c r="N30" i="10"/>
  <c r="P27" i="10"/>
  <c r="J28" i="10"/>
  <c r="Q27" i="10"/>
  <c r="U27" i="10"/>
  <c r="T27" i="10"/>
  <c r="O27" i="10"/>
  <c r="N30" i="9"/>
  <c r="M27" i="10"/>
  <c r="X27" i="10" s="1"/>
  <c r="L27" i="10"/>
  <c r="W27" i="10" s="1"/>
  <c r="G28" i="10"/>
  <c r="G29" i="11"/>
  <c r="M28" i="11"/>
  <c r="X28" i="11" s="1"/>
  <c r="L28" i="11"/>
  <c r="W28" i="11" s="1"/>
  <c r="J31" i="11"/>
  <c r="R27" i="12"/>
  <c r="O28" i="11"/>
  <c r="S27" i="12"/>
  <c r="G29" i="12"/>
  <c r="M28" i="12"/>
  <c r="X28" i="12" s="1"/>
  <c r="AJ31" i="12"/>
  <c r="E31" i="12" s="1"/>
  <c r="AH32" i="12"/>
  <c r="AA28" i="12"/>
  <c r="Z28" i="12"/>
  <c r="H29" i="12"/>
  <c r="AJ31" i="9"/>
  <c r="E31" i="9" s="1"/>
  <c r="AH32" i="9"/>
  <c r="N30" i="12"/>
  <c r="S28" i="8"/>
  <c r="AA28" i="8"/>
  <c r="Z28" i="8"/>
  <c r="H29" i="8"/>
  <c r="AJ32" i="8"/>
  <c r="E32" i="8" s="1"/>
  <c r="AH33" i="8"/>
  <c r="N31" i="8"/>
  <c r="Q28" i="8"/>
  <c r="P28" i="8"/>
  <c r="J29" i="8"/>
  <c r="U28" i="8"/>
  <c r="T28" i="8"/>
  <c r="O28" i="8"/>
  <c r="G29" i="8"/>
  <c r="M28" i="8"/>
  <c r="X28" i="8" s="1"/>
  <c r="L28" i="8"/>
  <c r="W28" i="8" s="1"/>
  <c r="J30" i="7"/>
  <c r="H30" i="7"/>
  <c r="AJ32" i="7"/>
  <c r="E32" i="7" s="1"/>
  <c r="AH33" i="7"/>
  <c r="N31" i="7"/>
  <c r="M28" i="6"/>
  <c r="X28" i="6" s="1"/>
  <c r="L28" i="6"/>
  <c r="W28" i="6" s="1"/>
  <c r="G29" i="6"/>
  <c r="AJ31" i="6"/>
  <c r="E31" i="6" s="1"/>
  <c r="AH32" i="6"/>
  <c r="N30" i="6"/>
  <c r="U28" i="6"/>
  <c r="R28" i="6"/>
  <c r="AA28" i="6"/>
  <c r="Z28" i="6"/>
  <c r="S28" i="6"/>
  <c r="H29" i="6"/>
  <c r="Q28" i="6"/>
  <c r="J30" i="6"/>
  <c r="P28" i="6"/>
  <c r="T28" i="6"/>
  <c r="N30" i="4"/>
  <c r="AH32" i="4"/>
  <c r="AJ31" i="4"/>
  <c r="E31" i="4" s="1"/>
  <c r="J31" i="4"/>
  <c r="G27" i="4"/>
  <c r="M26" i="4"/>
  <c r="X26" i="4" s="1"/>
  <c r="L26" i="4"/>
  <c r="W26" i="4" s="1"/>
  <c r="O26" i="4"/>
  <c r="T26" i="4"/>
  <c r="U26" i="4"/>
  <c r="Q26" i="4"/>
  <c r="R26" i="4"/>
  <c r="Z26" i="4"/>
  <c r="P26" i="4"/>
  <c r="S26" i="4"/>
  <c r="AA26" i="4"/>
  <c r="H29" i="4"/>
  <c r="H29" i="1"/>
  <c r="D28" i="1"/>
  <c r="S28" i="1" s="1"/>
  <c r="C28" i="1"/>
  <c r="R28" i="1" s="1"/>
  <c r="N34" i="27" l="1"/>
  <c r="T34" i="27"/>
  <c r="O33" i="27"/>
  <c r="AA33" i="27"/>
  <c r="N33" i="28"/>
  <c r="T33" i="28"/>
  <c r="O32" i="28"/>
  <c r="AA32" i="28"/>
  <c r="N32" i="26"/>
  <c r="T32" i="26"/>
  <c r="O31" i="26"/>
  <c r="AA31" i="26"/>
  <c r="N32" i="25"/>
  <c r="T32" i="25"/>
  <c r="O31" i="25"/>
  <c r="AA31" i="25"/>
  <c r="N33" i="24"/>
  <c r="T33" i="24"/>
  <c r="O32" i="24"/>
  <c r="AA32" i="24"/>
  <c r="M33" i="23"/>
  <c r="X33" i="23" s="1"/>
  <c r="Z33" i="23"/>
  <c r="Q33" i="23"/>
  <c r="U33" i="23"/>
  <c r="G34" i="23"/>
  <c r="P33" i="23"/>
  <c r="N33" i="23"/>
  <c r="O33" i="23" s="1"/>
  <c r="T33" i="23"/>
  <c r="N33" i="22"/>
  <c r="T33" i="22"/>
  <c r="O32" i="22"/>
  <c r="AA32" i="22"/>
  <c r="N33" i="21"/>
  <c r="T33" i="21"/>
  <c r="O32" i="21"/>
  <c r="AA32" i="21"/>
  <c r="L30" i="28"/>
  <c r="W30" i="28" s="1"/>
  <c r="J31" i="28"/>
  <c r="AJ34" i="28"/>
  <c r="E34" i="28" s="1"/>
  <c r="AH35" i="28"/>
  <c r="H33" i="28"/>
  <c r="D32" i="28"/>
  <c r="S32" i="28" s="1"/>
  <c r="C32" i="28"/>
  <c r="R32" i="28" s="1"/>
  <c r="AJ35" i="27"/>
  <c r="E35" i="27" s="1"/>
  <c r="AH36" i="27"/>
  <c r="C31" i="24"/>
  <c r="R31" i="24" s="1"/>
  <c r="D31" i="24"/>
  <c r="S31" i="24" s="1"/>
  <c r="H32" i="24"/>
  <c r="D33" i="25"/>
  <c r="S33" i="25" s="1"/>
  <c r="C33" i="25"/>
  <c r="R33" i="25" s="1"/>
  <c r="H34" i="25"/>
  <c r="J33" i="27"/>
  <c r="AJ33" i="26"/>
  <c r="E33" i="26" s="1"/>
  <c r="AH34" i="26"/>
  <c r="J32" i="25"/>
  <c r="L31" i="25"/>
  <c r="W31" i="25" s="1"/>
  <c r="AJ33" i="25"/>
  <c r="E33" i="25" s="1"/>
  <c r="AH34" i="25"/>
  <c r="AJ34" i="24"/>
  <c r="E34" i="24" s="1"/>
  <c r="AH35" i="24"/>
  <c r="D31" i="26"/>
  <c r="S31" i="26" s="1"/>
  <c r="C31" i="26"/>
  <c r="R31" i="26" s="1"/>
  <c r="H32" i="26"/>
  <c r="H32" i="27"/>
  <c r="C31" i="27"/>
  <c r="R31" i="27" s="1"/>
  <c r="D31" i="27"/>
  <c r="S31" i="27" s="1"/>
  <c r="J31" i="26"/>
  <c r="L30" i="26"/>
  <c r="W30" i="26" s="1"/>
  <c r="J31" i="24"/>
  <c r="L30" i="24"/>
  <c r="W30" i="24" s="1"/>
  <c r="AJ34" i="23"/>
  <c r="E34" i="23" s="1"/>
  <c r="AH35" i="23"/>
  <c r="H33" i="22"/>
  <c r="D32" i="22"/>
  <c r="S32" i="22" s="1"/>
  <c r="C32" i="22"/>
  <c r="R32" i="22" s="1"/>
  <c r="J31" i="23"/>
  <c r="L30" i="23"/>
  <c r="W30" i="23" s="1"/>
  <c r="C30" i="23"/>
  <c r="R30" i="23" s="1"/>
  <c r="H31" i="23"/>
  <c r="D30" i="23"/>
  <c r="S30" i="23" s="1"/>
  <c r="AJ34" i="22"/>
  <c r="E34" i="22" s="1"/>
  <c r="AH35" i="22"/>
  <c r="L30" i="22"/>
  <c r="W30" i="22" s="1"/>
  <c r="J31" i="22"/>
  <c r="J31" i="21"/>
  <c r="L30" i="21"/>
  <c r="W30" i="21" s="1"/>
  <c r="AH35" i="21"/>
  <c r="AJ34" i="21"/>
  <c r="E34" i="21" s="1"/>
  <c r="H32" i="21"/>
  <c r="D31" i="21"/>
  <c r="S31" i="21" s="1"/>
  <c r="C31" i="21"/>
  <c r="R31" i="21" s="1"/>
  <c r="L29" i="20"/>
  <c r="W29" i="20" s="1"/>
  <c r="G30" i="20"/>
  <c r="O30" i="20" s="1"/>
  <c r="M29" i="20"/>
  <c r="X29" i="20" s="1"/>
  <c r="C29" i="20"/>
  <c r="R29" i="20" s="1"/>
  <c r="Z29" i="20"/>
  <c r="D29" i="20"/>
  <c r="S29" i="20" s="1"/>
  <c r="AA29" i="20"/>
  <c r="N33" i="20"/>
  <c r="H33" i="20"/>
  <c r="T29" i="20"/>
  <c r="Q29" i="20"/>
  <c r="U29" i="20"/>
  <c r="J31" i="20"/>
  <c r="Q30" i="20"/>
  <c r="AH35" i="20"/>
  <c r="AJ34" i="20"/>
  <c r="E34" i="20" s="1"/>
  <c r="P29" i="20"/>
  <c r="C28" i="19"/>
  <c r="R28" i="19" s="1"/>
  <c r="AH36" i="19"/>
  <c r="AJ35" i="19"/>
  <c r="E35" i="19" s="1"/>
  <c r="N34" i="19"/>
  <c r="M28" i="19"/>
  <c r="X28" i="19" s="1"/>
  <c r="L28" i="19"/>
  <c r="W28" i="19" s="1"/>
  <c r="G29" i="19"/>
  <c r="U29" i="19" s="1"/>
  <c r="O28" i="19"/>
  <c r="T28" i="19"/>
  <c r="U28" i="19"/>
  <c r="H30" i="19"/>
  <c r="P29" i="19"/>
  <c r="J30" i="19"/>
  <c r="Z28" i="19"/>
  <c r="P28" i="19"/>
  <c r="AA28" i="19"/>
  <c r="Q28" i="19"/>
  <c r="T27" i="7"/>
  <c r="AA27" i="7"/>
  <c r="U27" i="7"/>
  <c r="P27" i="7"/>
  <c r="D27" i="7"/>
  <c r="S27" i="7" s="1"/>
  <c r="C27" i="7"/>
  <c r="R27" i="7" s="1"/>
  <c r="Q27" i="7"/>
  <c r="Z27" i="7"/>
  <c r="O27" i="7"/>
  <c r="L27" i="7"/>
  <c r="W27" i="7" s="1"/>
  <c r="G28" i="7"/>
  <c r="M27" i="7"/>
  <c r="X27" i="7" s="1"/>
  <c r="D29" i="18"/>
  <c r="C29" i="18"/>
  <c r="D27" i="17"/>
  <c r="C27" i="17"/>
  <c r="D28" i="16"/>
  <c r="S28" i="16" s="1"/>
  <c r="C28" i="16"/>
  <c r="R28" i="16" s="1"/>
  <c r="D27" i="15"/>
  <c r="C27" i="15"/>
  <c r="R27" i="15" s="1"/>
  <c r="D28" i="14"/>
  <c r="S28" i="14" s="1"/>
  <c r="C28" i="14"/>
  <c r="R28" i="14" s="1"/>
  <c r="D27" i="13"/>
  <c r="S27" i="13" s="1"/>
  <c r="C27" i="13"/>
  <c r="R27" i="13" s="1"/>
  <c r="D29" i="12"/>
  <c r="C29" i="12"/>
  <c r="D29" i="11"/>
  <c r="C29" i="11"/>
  <c r="D28" i="10"/>
  <c r="C28" i="10"/>
  <c r="D28" i="9"/>
  <c r="C28" i="9"/>
  <c r="D29" i="8"/>
  <c r="C29" i="8"/>
  <c r="D29" i="6"/>
  <c r="C29" i="6"/>
  <c r="R29" i="6" s="1"/>
  <c r="D27" i="4"/>
  <c r="C27" i="4"/>
  <c r="G30" i="1"/>
  <c r="U29" i="1"/>
  <c r="Z29" i="1"/>
  <c r="Q29" i="1"/>
  <c r="P29" i="1"/>
  <c r="M29" i="1"/>
  <c r="X29" i="1" s="1"/>
  <c r="L29" i="1"/>
  <c r="W29" i="1" s="1"/>
  <c r="T29" i="1"/>
  <c r="AA29" i="1"/>
  <c r="O29" i="1"/>
  <c r="Q29" i="6"/>
  <c r="R28" i="12"/>
  <c r="S28" i="12"/>
  <c r="J30" i="18"/>
  <c r="U29" i="18"/>
  <c r="Q29" i="18"/>
  <c r="P29" i="18"/>
  <c r="T29" i="18"/>
  <c r="AA29" i="18"/>
  <c r="Z29" i="18"/>
  <c r="H30" i="18"/>
  <c r="S29" i="18"/>
  <c r="R29" i="18"/>
  <c r="M29" i="18"/>
  <c r="X29" i="18" s="1"/>
  <c r="L29" i="18"/>
  <c r="W29" i="18" s="1"/>
  <c r="G30" i="18"/>
  <c r="O29" i="18"/>
  <c r="AJ32" i="18"/>
  <c r="E32" i="18" s="1"/>
  <c r="AH33" i="18"/>
  <c r="N31" i="18"/>
  <c r="AJ33" i="17"/>
  <c r="E33" i="17" s="1"/>
  <c r="AH34" i="17"/>
  <c r="N32" i="17"/>
  <c r="M27" i="17"/>
  <c r="X27" i="17" s="1"/>
  <c r="L27" i="17"/>
  <c r="W27" i="17" s="1"/>
  <c r="G28" i="17"/>
  <c r="S27" i="17"/>
  <c r="R27" i="17"/>
  <c r="AA27" i="17"/>
  <c r="Z27" i="17"/>
  <c r="H30" i="17"/>
  <c r="T27" i="17"/>
  <c r="U27" i="17"/>
  <c r="Q28" i="17"/>
  <c r="P28" i="17"/>
  <c r="J29" i="17"/>
  <c r="U28" i="17"/>
  <c r="T28" i="17"/>
  <c r="P27" i="17"/>
  <c r="Q27" i="17"/>
  <c r="P29" i="6"/>
  <c r="O29" i="6"/>
  <c r="U29" i="6"/>
  <c r="T29" i="6"/>
  <c r="H30" i="16"/>
  <c r="H30" i="13"/>
  <c r="J31" i="13"/>
  <c r="M27" i="15"/>
  <c r="X27" i="15" s="1"/>
  <c r="L27" i="15"/>
  <c r="W27" i="15" s="1"/>
  <c r="G28" i="15"/>
  <c r="Q27" i="15"/>
  <c r="AA27" i="15"/>
  <c r="P27" i="15"/>
  <c r="Z27" i="15"/>
  <c r="U27" i="15"/>
  <c r="O27" i="15"/>
  <c r="T27" i="15"/>
  <c r="S27" i="15"/>
  <c r="AJ32" i="14"/>
  <c r="E32" i="14" s="1"/>
  <c r="AH33" i="14"/>
  <c r="AJ33" i="13"/>
  <c r="E33" i="13" s="1"/>
  <c r="AH34" i="13"/>
  <c r="N31" i="14"/>
  <c r="N32" i="13"/>
  <c r="H30" i="14"/>
  <c r="M28" i="16"/>
  <c r="X28" i="16" s="1"/>
  <c r="L28" i="16"/>
  <c r="W28" i="16" s="1"/>
  <c r="G29" i="16"/>
  <c r="G28" i="13"/>
  <c r="M27" i="13"/>
  <c r="X27" i="13" s="1"/>
  <c r="L27" i="13"/>
  <c r="W27" i="13" s="1"/>
  <c r="T27" i="13"/>
  <c r="Q27" i="13"/>
  <c r="P27" i="13"/>
  <c r="U27" i="13"/>
  <c r="Z27" i="13"/>
  <c r="AA27" i="13"/>
  <c r="O27" i="13"/>
  <c r="M28" i="14"/>
  <c r="X28" i="14" s="1"/>
  <c r="L28" i="14"/>
  <c r="W28" i="14" s="1"/>
  <c r="G29" i="14"/>
  <c r="H30" i="15"/>
  <c r="Q28" i="16"/>
  <c r="P28" i="16"/>
  <c r="J29" i="16"/>
  <c r="U28" i="16"/>
  <c r="T28" i="16"/>
  <c r="N31" i="15"/>
  <c r="AJ32" i="15"/>
  <c r="E32" i="15" s="1"/>
  <c r="AH33" i="15"/>
  <c r="AH32" i="16"/>
  <c r="AJ31" i="16"/>
  <c r="E31" i="16" s="1"/>
  <c r="N30" i="16"/>
  <c r="J30" i="15"/>
  <c r="J29" i="14"/>
  <c r="Q28" i="14"/>
  <c r="P28" i="14"/>
  <c r="U28" i="14"/>
  <c r="T28" i="14"/>
  <c r="O28" i="14"/>
  <c r="AJ32" i="9"/>
  <c r="E32" i="9" s="1"/>
  <c r="AH33" i="9"/>
  <c r="AA29" i="12"/>
  <c r="Z29" i="12"/>
  <c r="H30" i="12"/>
  <c r="AJ32" i="10"/>
  <c r="E32" i="10" s="1"/>
  <c r="AH33" i="10"/>
  <c r="J29" i="9"/>
  <c r="Q28" i="9"/>
  <c r="P28" i="9"/>
  <c r="U28" i="9"/>
  <c r="T28" i="9"/>
  <c r="O28" i="9"/>
  <c r="J32" i="11"/>
  <c r="N31" i="10"/>
  <c r="N31" i="9"/>
  <c r="M29" i="12"/>
  <c r="X29" i="12" s="1"/>
  <c r="G30" i="12"/>
  <c r="U28" i="12"/>
  <c r="Q28" i="12"/>
  <c r="P28" i="12"/>
  <c r="J29" i="12"/>
  <c r="T28" i="12"/>
  <c r="O28" i="12"/>
  <c r="AJ32" i="12"/>
  <c r="E32" i="12" s="1"/>
  <c r="AH33" i="12"/>
  <c r="J29" i="10"/>
  <c r="Q28" i="10"/>
  <c r="U28" i="10"/>
  <c r="P28" i="10"/>
  <c r="T28" i="10"/>
  <c r="O28" i="10"/>
  <c r="G29" i="9"/>
  <c r="M28" i="9"/>
  <c r="X28" i="9" s="1"/>
  <c r="L28" i="9"/>
  <c r="W28" i="9" s="1"/>
  <c r="Z28" i="9"/>
  <c r="S28" i="9"/>
  <c r="AA28" i="9"/>
  <c r="R28" i="9"/>
  <c r="N31" i="12"/>
  <c r="H31" i="9"/>
  <c r="H30" i="11"/>
  <c r="S29" i="11"/>
  <c r="R29" i="11"/>
  <c r="Z29" i="11"/>
  <c r="AA29" i="11"/>
  <c r="Q29" i="11"/>
  <c r="P29" i="11"/>
  <c r="U29" i="11"/>
  <c r="T29" i="11"/>
  <c r="G30" i="11"/>
  <c r="O30" i="11" s="1"/>
  <c r="L29" i="11"/>
  <c r="W29" i="11" s="1"/>
  <c r="M29" i="11"/>
  <c r="X29" i="11" s="1"/>
  <c r="O29" i="11"/>
  <c r="AA28" i="10"/>
  <c r="Z28" i="10"/>
  <c r="H29" i="10"/>
  <c r="S28" i="10"/>
  <c r="R28" i="10"/>
  <c r="AJ32" i="11"/>
  <c r="E32" i="11" s="1"/>
  <c r="AH33" i="11"/>
  <c r="M28" i="10"/>
  <c r="X28" i="10" s="1"/>
  <c r="L28" i="10"/>
  <c r="W28" i="10" s="1"/>
  <c r="G29" i="10"/>
  <c r="N31" i="11"/>
  <c r="AJ33" i="8"/>
  <c r="E33" i="8" s="1"/>
  <c r="AH34" i="8"/>
  <c r="N32" i="8"/>
  <c r="M29" i="8"/>
  <c r="X29" i="8" s="1"/>
  <c r="L29" i="8"/>
  <c r="W29" i="8" s="1"/>
  <c r="G30" i="8"/>
  <c r="S29" i="8"/>
  <c r="R29" i="8"/>
  <c r="AA29" i="8"/>
  <c r="Z29" i="8"/>
  <c r="H30" i="8"/>
  <c r="Q29" i="8"/>
  <c r="P29" i="8"/>
  <c r="J30" i="8"/>
  <c r="U29" i="8"/>
  <c r="T29" i="8"/>
  <c r="O29" i="8"/>
  <c r="H31" i="7"/>
  <c r="AJ33" i="7"/>
  <c r="E33" i="7" s="1"/>
  <c r="AH34" i="7"/>
  <c r="N32" i="7"/>
  <c r="J31" i="7"/>
  <c r="AJ32" i="6"/>
  <c r="E32" i="6" s="1"/>
  <c r="AH33" i="6"/>
  <c r="N31" i="6"/>
  <c r="J31" i="6"/>
  <c r="L29" i="6"/>
  <c r="W29" i="6" s="1"/>
  <c r="M29" i="6"/>
  <c r="X29" i="6" s="1"/>
  <c r="G30" i="6"/>
  <c r="Z29" i="6"/>
  <c r="H30" i="6"/>
  <c r="S29" i="6"/>
  <c r="AA29" i="6"/>
  <c r="G28" i="4"/>
  <c r="M27" i="4"/>
  <c r="X27" i="4" s="1"/>
  <c r="L27" i="4"/>
  <c r="W27" i="4" s="1"/>
  <c r="S27" i="4"/>
  <c r="R27" i="4"/>
  <c r="O27" i="4"/>
  <c r="Z27" i="4"/>
  <c r="AA27" i="4"/>
  <c r="U27" i="4"/>
  <c r="Q27" i="4"/>
  <c r="P27" i="4"/>
  <c r="T27" i="4"/>
  <c r="J32" i="4"/>
  <c r="N31" i="4"/>
  <c r="AJ32" i="4"/>
  <c r="E32" i="4" s="1"/>
  <c r="AH33" i="4"/>
  <c r="H30" i="4"/>
  <c r="H30" i="1"/>
  <c r="D29" i="1"/>
  <c r="S29" i="1" s="1"/>
  <c r="C29" i="1"/>
  <c r="R29" i="1" s="1"/>
  <c r="N35" i="27" l="1"/>
  <c r="T35" i="27"/>
  <c r="O34" i="27"/>
  <c r="AA34" i="27"/>
  <c r="N34" i="28"/>
  <c r="T34" i="28"/>
  <c r="O33" i="28"/>
  <c r="AA33" i="28"/>
  <c r="N33" i="26"/>
  <c r="T33" i="26"/>
  <c r="O32" i="26"/>
  <c r="AA32" i="26"/>
  <c r="N33" i="25"/>
  <c r="T33" i="25"/>
  <c r="O32" i="25"/>
  <c r="AA32" i="25"/>
  <c r="N34" i="24"/>
  <c r="T34" i="24"/>
  <c r="O33" i="24"/>
  <c r="AA33" i="24"/>
  <c r="M34" i="23"/>
  <c r="X34" i="23" s="1"/>
  <c r="Z34" i="23"/>
  <c r="Q34" i="23"/>
  <c r="G35" i="23"/>
  <c r="P34" i="23"/>
  <c r="U34" i="23"/>
  <c r="N34" i="23"/>
  <c r="O34" i="23" s="1"/>
  <c r="T34" i="23"/>
  <c r="AA33" i="23"/>
  <c r="N34" i="22"/>
  <c r="T34" i="22"/>
  <c r="O33" i="22"/>
  <c r="AA33" i="22"/>
  <c r="N34" i="21"/>
  <c r="T34" i="21"/>
  <c r="O33" i="21"/>
  <c r="AA33" i="21"/>
  <c r="T30" i="20"/>
  <c r="U30" i="20"/>
  <c r="P30" i="20"/>
  <c r="H34" i="28"/>
  <c r="D33" i="28"/>
  <c r="S33" i="28" s="1"/>
  <c r="C33" i="28"/>
  <c r="R33" i="28" s="1"/>
  <c r="AJ35" i="28"/>
  <c r="E35" i="28" s="1"/>
  <c r="AH36" i="28"/>
  <c r="L31" i="28"/>
  <c r="W31" i="28" s="1"/>
  <c r="J32" i="28"/>
  <c r="AJ34" i="26"/>
  <c r="E34" i="26" s="1"/>
  <c r="AH35" i="26"/>
  <c r="H33" i="27"/>
  <c r="L33" i="27" s="1"/>
  <c r="W33" i="27" s="1"/>
  <c r="D32" i="27"/>
  <c r="S32" i="27" s="1"/>
  <c r="C32" i="27"/>
  <c r="R32" i="27" s="1"/>
  <c r="D32" i="26"/>
  <c r="S32" i="26" s="1"/>
  <c r="C32" i="26"/>
  <c r="R32" i="26" s="1"/>
  <c r="H33" i="26"/>
  <c r="J34" i="27"/>
  <c r="L32" i="27"/>
  <c r="W32" i="27" s="1"/>
  <c r="C34" i="25"/>
  <c r="R34" i="25" s="1"/>
  <c r="H35" i="25"/>
  <c r="D34" i="25"/>
  <c r="S34" i="25" s="1"/>
  <c r="AJ35" i="24"/>
  <c r="E35" i="24" s="1"/>
  <c r="AH36" i="24"/>
  <c r="D32" i="24"/>
  <c r="S32" i="24" s="1"/>
  <c r="C32" i="24"/>
  <c r="R32" i="24" s="1"/>
  <c r="H33" i="24"/>
  <c r="AJ34" i="25"/>
  <c r="E34" i="25" s="1"/>
  <c r="AH35" i="25"/>
  <c r="L31" i="24"/>
  <c r="W31" i="24" s="1"/>
  <c r="J32" i="24"/>
  <c r="AJ36" i="27"/>
  <c r="E36" i="27" s="1"/>
  <c r="AH37" i="27"/>
  <c r="L31" i="26"/>
  <c r="W31" i="26" s="1"/>
  <c r="J32" i="26"/>
  <c r="J33" i="25"/>
  <c r="L32" i="25"/>
  <c r="W32" i="25" s="1"/>
  <c r="AJ35" i="22"/>
  <c r="E35" i="22" s="1"/>
  <c r="AH36" i="22"/>
  <c r="H32" i="23"/>
  <c r="D31" i="23"/>
  <c r="S31" i="23" s="1"/>
  <c r="C31" i="23"/>
  <c r="R31" i="23" s="1"/>
  <c r="J32" i="23"/>
  <c r="L31" i="23"/>
  <c r="W31" i="23" s="1"/>
  <c r="H34" i="22"/>
  <c r="D33" i="22"/>
  <c r="S33" i="22" s="1"/>
  <c r="C33" i="22"/>
  <c r="R33" i="22" s="1"/>
  <c r="J32" i="22"/>
  <c r="L31" i="22"/>
  <c r="W31" i="22" s="1"/>
  <c r="AJ35" i="23"/>
  <c r="E35" i="23" s="1"/>
  <c r="AH36" i="23"/>
  <c r="H33" i="21"/>
  <c r="D32" i="21"/>
  <c r="S32" i="21" s="1"/>
  <c r="C32" i="21"/>
  <c r="R32" i="21" s="1"/>
  <c r="AJ35" i="21"/>
  <c r="E35" i="21" s="1"/>
  <c r="AH36" i="21"/>
  <c r="J32" i="21"/>
  <c r="L31" i="21"/>
  <c r="W31" i="21" s="1"/>
  <c r="J32" i="20"/>
  <c r="H34" i="20"/>
  <c r="M30" i="20"/>
  <c r="X30" i="20" s="1"/>
  <c r="G31" i="20"/>
  <c r="U31" i="20" s="1"/>
  <c r="L30" i="20"/>
  <c r="W30" i="20" s="1"/>
  <c r="AA30" i="20"/>
  <c r="D30" i="20"/>
  <c r="S30" i="20" s="1"/>
  <c r="Z30" i="20"/>
  <c r="C30" i="20"/>
  <c r="R30" i="20" s="1"/>
  <c r="N34" i="20"/>
  <c r="AJ35" i="20"/>
  <c r="E35" i="20" s="1"/>
  <c r="AH36" i="20"/>
  <c r="D29" i="19"/>
  <c r="S29" i="19" s="1"/>
  <c r="O29" i="19"/>
  <c r="T29" i="19"/>
  <c r="M29" i="19"/>
  <c r="X29" i="19" s="1"/>
  <c r="L29" i="19"/>
  <c r="W29" i="19" s="1"/>
  <c r="G30" i="19"/>
  <c r="AA30" i="19" s="1"/>
  <c r="J31" i="19"/>
  <c r="O30" i="19"/>
  <c r="Q29" i="19"/>
  <c r="H31" i="19"/>
  <c r="D30" i="19"/>
  <c r="S30" i="19" s="1"/>
  <c r="Z29" i="19"/>
  <c r="N35" i="19"/>
  <c r="AA29" i="19"/>
  <c r="AH37" i="19"/>
  <c r="AJ36" i="19"/>
  <c r="E36" i="19" s="1"/>
  <c r="C29" i="19"/>
  <c r="R29" i="19" s="1"/>
  <c r="AA28" i="7"/>
  <c r="P28" i="7"/>
  <c r="Z28" i="7"/>
  <c r="Q28" i="7"/>
  <c r="D28" i="7"/>
  <c r="S28" i="7" s="1"/>
  <c r="T28" i="7"/>
  <c r="C28" i="7"/>
  <c r="R28" i="7" s="1"/>
  <c r="U28" i="7"/>
  <c r="G29" i="7"/>
  <c r="M28" i="7"/>
  <c r="X28" i="7" s="1"/>
  <c r="L28" i="7"/>
  <c r="W28" i="7" s="1"/>
  <c r="O28" i="7"/>
  <c r="D30" i="18"/>
  <c r="C30" i="18"/>
  <c r="C28" i="17"/>
  <c r="D28" i="17"/>
  <c r="D29" i="16"/>
  <c r="S29" i="16" s="1"/>
  <c r="C29" i="16"/>
  <c r="D28" i="15"/>
  <c r="C28" i="15"/>
  <c r="Z29" i="14"/>
  <c r="C29" i="14"/>
  <c r="R29" i="14" s="1"/>
  <c r="D29" i="14"/>
  <c r="S29" i="14" s="1"/>
  <c r="D28" i="13"/>
  <c r="S28" i="13" s="1"/>
  <c r="C28" i="13"/>
  <c r="D30" i="12"/>
  <c r="C30" i="12"/>
  <c r="D30" i="11"/>
  <c r="C30" i="11"/>
  <c r="D29" i="10"/>
  <c r="C29" i="10"/>
  <c r="D29" i="9"/>
  <c r="C29" i="9"/>
  <c r="D30" i="8"/>
  <c r="C30" i="8"/>
  <c r="Q30" i="6"/>
  <c r="D30" i="6"/>
  <c r="C30" i="6"/>
  <c r="D28" i="4"/>
  <c r="C28" i="4"/>
  <c r="G31" i="1"/>
  <c r="Q30" i="1"/>
  <c r="U30" i="1"/>
  <c r="Z30" i="1"/>
  <c r="P30" i="1"/>
  <c r="M30" i="1"/>
  <c r="X30" i="1" s="1"/>
  <c r="L30" i="1"/>
  <c r="W30" i="1" s="1"/>
  <c r="AA30" i="1"/>
  <c r="T30" i="1"/>
  <c r="O30" i="1"/>
  <c r="AA30" i="18"/>
  <c r="Z30" i="18"/>
  <c r="H31" i="18"/>
  <c r="S30" i="18"/>
  <c r="R30" i="18"/>
  <c r="AJ33" i="18"/>
  <c r="E33" i="18" s="1"/>
  <c r="AH34" i="18"/>
  <c r="N32" i="18"/>
  <c r="O30" i="18"/>
  <c r="M30" i="18"/>
  <c r="X30" i="18" s="1"/>
  <c r="L30" i="18"/>
  <c r="W30" i="18" s="1"/>
  <c r="G31" i="18"/>
  <c r="O31" i="18" s="1"/>
  <c r="J31" i="18"/>
  <c r="Q30" i="18"/>
  <c r="P30" i="18"/>
  <c r="U30" i="18"/>
  <c r="T30" i="18"/>
  <c r="J30" i="17"/>
  <c r="M28" i="17"/>
  <c r="X28" i="17" s="1"/>
  <c r="L28" i="17"/>
  <c r="W28" i="17" s="1"/>
  <c r="G29" i="17"/>
  <c r="S28" i="17"/>
  <c r="R28" i="17"/>
  <c r="AA28" i="17"/>
  <c r="Z28" i="17"/>
  <c r="H31" i="17"/>
  <c r="AJ34" i="17"/>
  <c r="E34" i="17" s="1"/>
  <c r="AH35" i="17"/>
  <c r="N33" i="17"/>
  <c r="O28" i="17"/>
  <c r="AJ33" i="14"/>
  <c r="E33" i="14" s="1"/>
  <c r="AH34" i="14"/>
  <c r="M28" i="15"/>
  <c r="X28" i="15" s="1"/>
  <c r="L28" i="15"/>
  <c r="W28" i="15" s="1"/>
  <c r="G29" i="15"/>
  <c r="O28" i="15"/>
  <c r="U28" i="15"/>
  <c r="R28" i="15"/>
  <c r="S28" i="15"/>
  <c r="Q28" i="15"/>
  <c r="AA28" i="15"/>
  <c r="T28" i="15"/>
  <c r="Z28" i="15"/>
  <c r="P28" i="15"/>
  <c r="H31" i="13"/>
  <c r="AA29" i="14"/>
  <c r="N32" i="14"/>
  <c r="N31" i="16"/>
  <c r="AJ32" i="16"/>
  <c r="E32" i="16" s="1"/>
  <c r="AH33" i="16"/>
  <c r="H31" i="14"/>
  <c r="J31" i="15"/>
  <c r="H31" i="15"/>
  <c r="AJ33" i="15"/>
  <c r="E33" i="15" s="1"/>
  <c r="AH34" i="15"/>
  <c r="H31" i="16"/>
  <c r="N32" i="15"/>
  <c r="J32" i="13"/>
  <c r="Z29" i="16"/>
  <c r="Q29" i="16"/>
  <c r="P29" i="16"/>
  <c r="J30" i="16"/>
  <c r="U29" i="16"/>
  <c r="T29" i="16"/>
  <c r="J30" i="14"/>
  <c r="U29" i="14"/>
  <c r="Q29" i="14"/>
  <c r="P29" i="14"/>
  <c r="T29" i="14"/>
  <c r="O29" i="14"/>
  <c r="L29" i="14"/>
  <c r="W29" i="14" s="1"/>
  <c r="G30" i="14"/>
  <c r="AA30" i="14" s="1"/>
  <c r="M29" i="14"/>
  <c r="X29" i="14" s="1"/>
  <c r="AA29" i="16"/>
  <c r="N33" i="13"/>
  <c r="R29" i="16"/>
  <c r="G29" i="13"/>
  <c r="M28" i="13"/>
  <c r="X28" i="13" s="1"/>
  <c r="L28" i="13"/>
  <c r="W28" i="13" s="1"/>
  <c r="P28" i="13"/>
  <c r="U28" i="13"/>
  <c r="T28" i="13"/>
  <c r="Q28" i="13"/>
  <c r="O28" i="13"/>
  <c r="R28" i="13"/>
  <c r="AA28" i="13"/>
  <c r="Z28" i="13"/>
  <c r="O29" i="16"/>
  <c r="M29" i="16"/>
  <c r="X29" i="16" s="1"/>
  <c r="L29" i="16"/>
  <c r="W29" i="16" s="1"/>
  <c r="G30" i="16"/>
  <c r="AH35" i="13"/>
  <c r="AJ34" i="13"/>
  <c r="E34" i="13" s="1"/>
  <c r="AA29" i="10"/>
  <c r="Z29" i="10"/>
  <c r="H30" i="10"/>
  <c r="S29" i="10"/>
  <c r="R29" i="10"/>
  <c r="AJ33" i="12"/>
  <c r="E33" i="12" s="1"/>
  <c r="AH34" i="12"/>
  <c r="U29" i="9"/>
  <c r="Q29" i="9"/>
  <c r="P29" i="9"/>
  <c r="J30" i="9"/>
  <c r="T29" i="9"/>
  <c r="O29" i="9"/>
  <c r="N32" i="12"/>
  <c r="AJ33" i="10"/>
  <c r="E33" i="10" s="1"/>
  <c r="AH34" i="10"/>
  <c r="N32" i="10"/>
  <c r="S30" i="11"/>
  <c r="R30" i="11"/>
  <c r="AA30" i="11"/>
  <c r="H31" i="11"/>
  <c r="Z30" i="11"/>
  <c r="T30" i="11"/>
  <c r="U30" i="11"/>
  <c r="Q30" i="11"/>
  <c r="P30" i="11"/>
  <c r="AA30" i="12"/>
  <c r="Z30" i="12"/>
  <c r="H31" i="12"/>
  <c r="M29" i="10"/>
  <c r="X29" i="10" s="1"/>
  <c r="L29" i="10"/>
  <c r="W29" i="10" s="1"/>
  <c r="G30" i="10"/>
  <c r="Q29" i="12"/>
  <c r="P29" i="12"/>
  <c r="J30" i="12"/>
  <c r="U29" i="12"/>
  <c r="T29" i="12"/>
  <c r="O29" i="12"/>
  <c r="J33" i="11"/>
  <c r="H32" i="9"/>
  <c r="G30" i="9"/>
  <c r="L29" i="9"/>
  <c r="W29" i="9" s="1"/>
  <c r="M29" i="9"/>
  <c r="X29" i="9" s="1"/>
  <c r="S29" i="9"/>
  <c r="R29" i="9"/>
  <c r="Z29" i="9"/>
  <c r="AA29" i="9"/>
  <c r="G31" i="11"/>
  <c r="M30" i="11"/>
  <c r="X30" i="11" s="1"/>
  <c r="L30" i="11"/>
  <c r="W30" i="11" s="1"/>
  <c r="R29" i="12"/>
  <c r="S29" i="12"/>
  <c r="AJ33" i="11"/>
  <c r="E33" i="11" s="1"/>
  <c r="AH34" i="11"/>
  <c r="M30" i="12"/>
  <c r="X30" i="12" s="1"/>
  <c r="L30" i="12"/>
  <c r="W30" i="12" s="1"/>
  <c r="G31" i="12"/>
  <c r="N32" i="11"/>
  <c r="L29" i="12"/>
  <c r="W29" i="12" s="1"/>
  <c r="AJ33" i="9"/>
  <c r="E33" i="9" s="1"/>
  <c r="AH34" i="9"/>
  <c r="J30" i="10"/>
  <c r="Q29" i="10"/>
  <c r="P29" i="10"/>
  <c r="U29" i="10"/>
  <c r="T29" i="10"/>
  <c r="O29" i="10"/>
  <c r="N32" i="9"/>
  <c r="M30" i="8"/>
  <c r="X30" i="8" s="1"/>
  <c r="L30" i="8"/>
  <c r="W30" i="8" s="1"/>
  <c r="G31" i="8"/>
  <c r="Q30" i="8"/>
  <c r="P30" i="8"/>
  <c r="J31" i="8"/>
  <c r="U30" i="8"/>
  <c r="T30" i="8"/>
  <c r="O30" i="8"/>
  <c r="AH35" i="8"/>
  <c r="AJ34" i="8"/>
  <c r="E34" i="8" s="1"/>
  <c r="N33" i="8"/>
  <c r="S30" i="8"/>
  <c r="R30" i="8"/>
  <c r="AA30" i="8"/>
  <c r="Z30" i="8"/>
  <c r="H31" i="8"/>
  <c r="J32" i="7"/>
  <c r="H32" i="7"/>
  <c r="AJ34" i="7"/>
  <c r="E34" i="7" s="1"/>
  <c r="AH35" i="7"/>
  <c r="N33" i="7"/>
  <c r="P30" i="6"/>
  <c r="J32" i="6"/>
  <c r="M30" i="6"/>
  <c r="X30" i="6" s="1"/>
  <c r="G31" i="6"/>
  <c r="L30" i="6"/>
  <c r="W30" i="6" s="1"/>
  <c r="AJ33" i="6"/>
  <c r="E33" i="6" s="1"/>
  <c r="AH34" i="6"/>
  <c r="AA30" i="6"/>
  <c r="H31" i="6"/>
  <c r="P31" i="6" s="1"/>
  <c r="S30" i="6"/>
  <c r="R30" i="6"/>
  <c r="Z30" i="6"/>
  <c r="T30" i="6"/>
  <c r="N32" i="6"/>
  <c r="U30" i="6"/>
  <c r="O30" i="6"/>
  <c r="AJ33" i="4"/>
  <c r="E33" i="4" s="1"/>
  <c r="AH34" i="4"/>
  <c r="N32" i="4"/>
  <c r="H31" i="4"/>
  <c r="J33" i="4"/>
  <c r="G29" i="4"/>
  <c r="M28" i="4"/>
  <c r="X28" i="4" s="1"/>
  <c r="L28" i="4"/>
  <c r="W28" i="4" s="1"/>
  <c r="O28" i="4"/>
  <c r="P28" i="4"/>
  <c r="Z28" i="4"/>
  <c r="T28" i="4"/>
  <c r="Q28" i="4"/>
  <c r="U28" i="4"/>
  <c r="AA28" i="4"/>
  <c r="S28" i="4"/>
  <c r="R28" i="4"/>
  <c r="D30" i="1"/>
  <c r="S30" i="1" s="1"/>
  <c r="C30" i="1"/>
  <c r="R30" i="1" s="1"/>
  <c r="H31" i="1"/>
  <c r="N36" i="27" l="1"/>
  <c r="T36" i="27"/>
  <c r="O35" i="27"/>
  <c r="AA35" i="27"/>
  <c r="N35" i="28"/>
  <c r="T35" i="28"/>
  <c r="O34" i="28"/>
  <c r="AA34" i="28"/>
  <c r="N34" i="26"/>
  <c r="T34" i="26"/>
  <c r="O33" i="26"/>
  <c r="AA33" i="26"/>
  <c r="N34" i="25"/>
  <c r="T34" i="25"/>
  <c r="O33" i="25"/>
  <c r="AA33" i="25"/>
  <c r="N35" i="24"/>
  <c r="T35" i="24"/>
  <c r="O34" i="24"/>
  <c r="AA34" i="24"/>
  <c r="N35" i="23"/>
  <c r="O35" i="23" s="1"/>
  <c r="T35" i="23"/>
  <c r="M35" i="23"/>
  <c r="X35" i="23" s="1"/>
  <c r="Q35" i="23"/>
  <c r="G36" i="23"/>
  <c r="P35" i="23"/>
  <c r="Z35" i="23"/>
  <c r="AA35" i="23"/>
  <c r="U35" i="23"/>
  <c r="AA34" i="23"/>
  <c r="N35" i="22"/>
  <c r="T35" i="22"/>
  <c r="O34" i="22"/>
  <c r="AA34" i="22"/>
  <c r="N35" i="21"/>
  <c r="T35" i="21"/>
  <c r="O34" i="21"/>
  <c r="AA34" i="21"/>
  <c r="O31" i="20"/>
  <c r="T31" i="20"/>
  <c r="P31" i="20"/>
  <c r="L32" i="28"/>
  <c r="W32" i="28" s="1"/>
  <c r="J33" i="28"/>
  <c r="AJ36" i="28"/>
  <c r="E36" i="28" s="1"/>
  <c r="AH37" i="28"/>
  <c r="H35" i="28"/>
  <c r="D34" i="28"/>
  <c r="S34" i="28" s="1"/>
  <c r="C34" i="28"/>
  <c r="R34" i="28" s="1"/>
  <c r="J35" i="27"/>
  <c r="AH36" i="25"/>
  <c r="AJ35" i="25"/>
  <c r="E35" i="25" s="1"/>
  <c r="D33" i="26"/>
  <c r="S33" i="26" s="1"/>
  <c r="C33" i="26"/>
  <c r="R33" i="26" s="1"/>
  <c r="H34" i="26"/>
  <c r="D33" i="24"/>
  <c r="S33" i="24" s="1"/>
  <c r="C33" i="24"/>
  <c r="R33" i="24" s="1"/>
  <c r="H34" i="24"/>
  <c r="L33" i="25"/>
  <c r="W33" i="25" s="1"/>
  <c r="J34" i="25"/>
  <c r="AJ36" i="24"/>
  <c r="E36" i="24" s="1"/>
  <c r="AH37" i="24"/>
  <c r="L32" i="26"/>
  <c r="W32" i="26" s="1"/>
  <c r="J33" i="26"/>
  <c r="H34" i="27"/>
  <c r="D33" i="27"/>
  <c r="S33" i="27" s="1"/>
  <c r="C33" i="27"/>
  <c r="R33" i="27" s="1"/>
  <c r="AJ35" i="26"/>
  <c r="E35" i="26" s="1"/>
  <c r="AH36" i="26"/>
  <c r="L32" i="24"/>
  <c r="W32" i="24" s="1"/>
  <c r="J33" i="24"/>
  <c r="AJ37" i="27"/>
  <c r="E37" i="27" s="1"/>
  <c r="AH38" i="27"/>
  <c r="H36" i="25"/>
  <c r="D35" i="25"/>
  <c r="S35" i="25" s="1"/>
  <c r="C35" i="25"/>
  <c r="R35" i="25" s="1"/>
  <c r="L32" i="22"/>
  <c r="W32" i="22" s="1"/>
  <c r="J33" i="22"/>
  <c r="D34" i="22"/>
  <c r="S34" i="22" s="1"/>
  <c r="H35" i="22"/>
  <c r="C34" i="22"/>
  <c r="R34" i="22" s="1"/>
  <c r="L32" i="23"/>
  <c r="W32" i="23" s="1"/>
  <c r="J33" i="23"/>
  <c r="H33" i="23"/>
  <c r="D32" i="23"/>
  <c r="S32" i="23" s="1"/>
  <c r="C32" i="23"/>
  <c r="R32" i="23" s="1"/>
  <c r="AJ36" i="23"/>
  <c r="E36" i="23" s="1"/>
  <c r="AH37" i="23"/>
  <c r="AJ36" i="22"/>
  <c r="E36" i="22" s="1"/>
  <c r="AH37" i="22"/>
  <c r="J33" i="21"/>
  <c r="L32" i="21"/>
  <c r="W32" i="21" s="1"/>
  <c r="AJ36" i="21"/>
  <c r="E36" i="21" s="1"/>
  <c r="AH37" i="21"/>
  <c r="H34" i="21"/>
  <c r="C33" i="21"/>
  <c r="R33" i="21" s="1"/>
  <c r="D33" i="21"/>
  <c r="S33" i="21" s="1"/>
  <c r="AJ36" i="20"/>
  <c r="E36" i="20" s="1"/>
  <c r="AH37" i="20"/>
  <c r="N35" i="20"/>
  <c r="H35" i="20"/>
  <c r="J33" i="20"/>
  <c r="M31" i="20"/>
  <c r="X31" i="20" s="1"/>
  <c r="L31" i="20"/>
  <c r="W31" i="20" s="1"/>
  <c r="G32" i="20"/>
  <c r="U32" i="20" s="1"/>
  <c r="AA31" i="20"/>
  <c r="Z31" i="20"/>
  <c r="D31" i="20"/>
  <c r="S31" i="20" s="1"/>
  <c r="C31" i="20"/>
  <c r="R31" i="20" s="1"/>
  <c r="Q31" i="20"/>
  <c r="T30" i="19"/>
  <c r="U30" i="19"/>
  <c r="P30" i="19"/>
  <c r="Q30" i="19"/>
  <c r="Z30" i="19"/>
  <c r="C30" i="19"/>
  <c r="R30" i="19" s="1"/>
  <c r="N36" i="19"/>
  <c r="AJ37" i="19"/>
  <c r="E37" i="19" s="1"/>
  <c r="AH38" i="19"/>
  <c r="Q31" i="19"/>
  <c r="U31" i="19"/>
  <c r="P31" i="19"/>
  <c r="J32" i="19"/>
  <c r="M30" i="19"/>
  <c r="X30" i="19" s="1"/>
  <c r="G31" i="19"/>
  <c r="T31" i="19" s="1"/>
  <c r="L30" i="19"/>
  <c r="W30" i="19" s="1"/>
  <c r="AA31" i="19"/>
  <c r="Z31" i="19"/>
  <c r="H32" i="19"/>
  <c r="D31" i="19"/>
  <c r="S31" i="19" s="1"/>
  <c r="C31" i="19"/>
  <c r="R31" i="19" s="1"/>
  <c r="AA29" i="7"/>
  <c r="D29" i="7"/>
  <c r="S29" i="7" s="1"/>
  <c r="T29" i="7"/>
  <c r="C29" i="7"/>
  <c r="R29" i="7" s="1"/>
  <c r="U29" i="7"/>
  <c r="Z29" i="7"/>
  <c r="P29" i="7"/>
  <c r="G30" i="7"/>
  <c r="Q29" i="7"/>
  <c r="M29" i="7"/>
  <c r="X29" i="7" s="1"/>
  <c r="L29" i="7"/>
  <c r="W29" i="7" s="1"/>
  <c r="O29" i="7"/>
  <c r="Z30" i="14"/>
  <c r="D31" i="18"/>
  <c r="C31" i="18"/>
  <c r="D29" i="17"/>
  <c r="C29" i="17"/>
  <c r="D30" i="16"/>
  <c r="S30" i="16" s="1"/>
  <c r="C30" i="16"/>
  <c r="D29" i="15"/>
  <c r="C29" i="15"/>
  <c r="D30" i="14"/>
  <c r="S30" i="14" s="1"/>
  <c r="C30" i="14"/>
  <c r="R30" i="14" s="1"/>
  <c r="C29" i="13"/>
  <c r="R29" i="13" s="1"/>
  <c r="D29" i="13"/>
  <c r="D31" i="12"/>
  <c r="C31" i="12"/>
  <c r="D31" i="11"/>
  <c r="C31" i="11"/>
  <c r="C30" i="10"/>
  <c r="D30" i="10"/>
  <c r="C30" i="9"/>
  <c r="D30" i="9"/>
  <c r="D31" i="8"/>
  <c r="C31" i="8"/>
  <c r="D31" i="6"/>
  <c r="C31" i="6"/>
  <c r="C29" i="4"/>
  <c r="D29" i="4"/>
  <c r="G32" i="1"/>
  <c r="Q31" i="1"/>
  <c r="P31" i="1"/>
  <c r="Z31" i="1"/>
  <c r="M31" i="1"/>
  <c r="X31" i="1" s="1"/>
  <c r="L31" i="1"/>
  <c r="W31" i="1" s="1"/>
  <c r="U31" i="1"/>
  <c r="AA31" i="1"/>
  <c r="T31" i="1"/>
  <c r="O31" i="1"/>
  <c r="AJ34" i="18"/>
  <c r="E34" i="18" s="1"/>
  <c r="AH35" i="18"/>
  <c r="N33" i="18"/>
  <c r="J32" i="18"/>
  <c r="Q31" i="18"/>
  <c r="P31" i="18"/>
  <c r="U31" i="18"/>
  <c r="T31" i="18"/>
  <c r="AA31" i="18"/>
  <c r="Z31" i="18"/>
  <c r="H32" i="18"/>
  <c r="S31" i="18"/>
  <c r="R31" i="18"/>
  <c r="M31" i="18"/>
  <c r="X31" i="18" s="1"/>
  <c r="L31" i="18"/>
  <c r="W31" i="18" s="1"/>
  <c r="G32" i="18"/>
  <c r="AJ35" i="17"/>
  <c r="E35" i="17" s="1"/>
  <c r="AH36" i="17"/>
  <c r="M29" i="17"/>
  <c r="X29" i="17" s="1"/>
  <c r="L29" i="17"/>
  <c r="W29" i="17" s="1"/>
  <c r="G30" i="17"/>
  <c r="R29" i="17"/>
  <c r="AA29" i="17"/>
  <c r="Z29" i="17"/>
  <c r="S29" i="17"/>
  <c r="N34" i="17"/>
  <c r="O29" i="17"/>
  <c r="H32" i="17"/>
  <c r="T29" i="17"/>
  <c r="U29" i="17"/>
  <c r="Q29" i="17"/>
  <c r="J31" i="17"/>
  <c r="U30" i="17"/>
  <c r="Q30" i="17"/>
  <c r="P30" i="17"/>
  <c r="T30" i="17"/>
  <c r="O30" i="17"/>
  <c r="P29" i="17"/>
  <c r="T31" i="6"/>
  <c r="O31" i="6"/>
  <c r="N33" i="15"/>
  <c r="H32" i="15"/>
  <c r="J31" i="14"/>
  <c r="Q30" i="14"/>
  <c r="P30" i="14"/>
  <c r="U30" i="14"/>
  <c r="T30" i="14"/>
  <c r="O30" i="14"/>
  <c r="H32" i="14"/>
  <c r="H32" i="13"/>
  <c r="AJ35" i="13"/>
  <c r="E35" i="13" s="1"/>
  <c r="AH36" i="13"/>
  <c r="AJ33" i="16"/>
  <c r="E33" i="16" s="1"/>
  <c r="AH34" i="16"/>
  <c r="M30" i="16"/>
  <c r="X30" i="16" s="1"/>
  <c r="L30" i="16"/>
  <c r="W30" i="16" s="1"/>
  <c r="G31" i="16"/>
  <c r="P30" i="16"/>
  <c r="J31" i="16"/>
  <c r="Q30" i="16"/>
  <c r="U30" i="16"/>
  <c r="T30" i="16"/>
  <c r="H32" i="16"/>
  <c r="N32" i="16"/>
  <c r="M29" i="15"/>
  <c r="X29" i="15" s="1"/>
  <c r="L29" i="15"/>
  <c r="W29" i="15" s="1"/>
  <c r="G30" i="15"/>
  <c r="O29" i="15"/>
  <c r="U29" i="15"/>
  <c r="P29" i="15"/>
  <c r="T29" i="15"/>
  <c r="S29" i="15"/>
  <c r="AA29" i="15"/>
  <c r="Z29" i="15"/>
  <c r="R29" i="15"/>
  <c r="Q29" i="15"/>
  <c r="N34" i="13"/>
  <c r="G31" i="14"/>
  <c r="M30" i="14"/>
  <c r="X30" i="14" s="1"/>
  <c r="L30" i="14"/>
  <c r="W30" i="14" s="1"/>
  <c r="Z30" i="16"/>
  <c r="AA30" i="16"/>
  <c r="M29" i="13"/>
  <c r="X29" i="13" s="1"/>
  <c r="L29" i="13"/>
  <c r="W29" i="13" s="1"/>
  <c r="G30" i="13"/>
  <c r="T29" i="13"/>
  <c r="Q29" i="13"/>
  <c r="U29" i="13"/>
  <c r="S29" i="13"/>
  <c r="AA29" i="13"/>
  <c r="P29" i="13"/>
  <c r="Z29" i="13"/>
  <c r="O29" i="13"/>
  <c r="R30" i="16"/>
  <c r="J32" i="15"/>
  <c r="AJ34" i="14"/>
  <c r="E34" i="14" s="1"/>
  <c r="AH35" i="14"/>
  <c r="N33" i="14"/>
  <c r="J33" i="13"/>
  <c r="AJ34" i="15"/>
  <c r="E34" i="15" s="1"/>
  <c r="AH35" i="15"/>
  <c r="O30" i="16"/>
  <c r="M31" i="12"/>
  <c r="X31" i="12" s="1"/>
  <c r="G32" i="12"/>
  <c r="AA31" i="12"/>
  <c r="Z31" i="12"/>
  <c r="H32" i="12"/>
  <c r="J34" i="11"/>
  <c r="AJ34" i="11"/>
  <c r="E34" i="11" s="1"/>
  <c r="AH35" i="11"/>
  <c r="R30" i="12"/>
  <c r="AH35" i="12"/>
  <c r="AJ34" i="12"/>
  <c r="E34" i="12" s="1"/>
  <c r="N33" i="11"/>
  <c r="G31" i="9"/>
  <c r="M30" i="9"/>
  <c r="X30" i="9" s="1"/>
  <c r="L30" i="9"/>
  <c r="W30" i="9" s="1"/>
  <c r="S30" i="9"/>
  <c r="R30" i="9"/>
  <c r="AA30" i="9"/>
  <c r="Z30" i="9"/>
  <c r="S30" i="12"/>
  <c r="AJ34" i="10"/>
  <c r="E34" i="10" s="1"/>
  <c r="AH35" i="10"/>
  <c r="N33" i="12"/>
  <c r="Q30" i="12"/>
  <c r="P30" i="12"/>
  <c r="J31" i="12"/>
  <c r="U30" i="12"/>
  <c r="T30" i="12"/>
  <c r="O30" i="12"/>
  <c r="N33" i="10"/>
  <c r="J31" i="10"/>
  <c r="Q30" i="10"/>
  <c r="P30" i="10"/>
  <c r="U30" i="10"/>
  <c r="T30" i="10"/>
  <c r="O30" i="10"/>
  <c r="H33" i="9"/>
  <c r="AJ34" i="9"/>
  <c r="E34" i="9" s="1"/>
  <c r="AH35" i="9"/>
  <c r="AA30" i="10"/>
  <c r="Z30" i="10"/>
  <c r="H31" i="10"/>
  <c r="S30" i="10"/>
  <c r="R30" i="10"/>
  <c r="N33" i="9"/>
  <c r="M30" i="10"/>
  <c r="X30" i="10" s="1"/>
  <c r="L30" i="10"/>
  <c r="W30" i="10" s="1"/>
  <c r="G31" i="10"/>
  <c r="M31" i="11"/>
  <c r="X31" i="11" s="1"/>
  <c r="L31" i="11"/>
  <c r="W31" i="11" s="1"/>
  <c r="G32" i="11"/>
  <c r="U30" i="9"/>
  <c r="Q30" i="9"/>
  <c r="P30" i="9"/>
  <c r="J31" i="9"/>
  <c r="T30" i="9"/>
  <c r="O30" i="9"/>
  <c r="S31" i="11"/>
  <c r="R31" i="11"/>
  <c r="AA31" i="11"/>
  <c r="Z31" i="11"/>
  <c r="H32" i="11"/>
  <c r="Q31" i="11"/>
  <c r="P31" i="11"/>
  <c r="U31" i="11"/>
  <c r="T31" i="11"/>
  <c r="O31" i="11"/>
  <c r="N34" i="8"/>
  <c r="S31" i="8"/>
  <c r="R31" i="8"/>
  <c r="AA31" i="8"/>
  <c r="Z31" i="8"/>
  <c r="H32" i="8"/>
  <c r="Q31" i="8"/>
  <c r="P31" i="8"/>
  <c r="J32" i="8"/>
  <c r="U31" i="8"/>
  <c r="T31" i="8"/>
  <c r="O31" i="8"/>
  <c r="M31" i="8"/>
  <c r="X31" i="8" s="1"/>
  <c r="L31" i="8"/>
  <c r="W31" i="8" s="1"/>
  <c r="G32" i="8"/>
  <c r="AJ35" i="8"/>
  <c r="E35" i="8" s="1"/>
  <c r="AH36" i="8"/>
  <c r="N34" i="7"/>
  <c r="J33" i="7"/>
  <c r="AJ35" i="7"/>
  <c r="E35" i="7" s="1"/>
  <c r="AH36" i="7"/>
  <c r="H33" i="7"/>
  <c r="AH35" i="6"/>
  <c r="AJ34" i="6"/>
  <c r="E34" i="6" s="1"/>
  <c r="M31" i="6"/>
  <c r="X31" i="6" s="1"/>
  <c r="L31" i="6"/>
  <c r="W31" i="6" s="1"/>
  <c r="G32" i="6"/>
  <c r="U31" i="6"/>
  <c r="J33" i="6"/>
  <c r="AA31" i="6"/>
  <c r="Z31" i="6"/>
  <c r="H32" i="6"/>
  <c r="S31" i="6"/>
  <c r="R31" i="6"/>
  <c r="Q31" i="6"/>
  <c r="N33" i="6"/>
  <c r="H32" i="4"/>
  <c r="M29" i="4"/>
  <c r="X29" i="4" s="1"/>
  <c r="L29" i="4"/>
  <c r="W29" i="4" s="1"/>
  <c r="G30" i="4"/>
  <c r="O29" i="4"/>
  <c r="Q29" i="4"/>
  <c r="P29" i="4"/>
  <c r="U29" i="4"/>
  <c r="T29" i="4"/>
  <c r="Z29" i="4"/>
  <c r="R29" i="4"/>
  <c r="S29" i="4"/>
  <c r="AA29" i="4"/>
  <c r="J34" i="4"/>
  <c r="AJ34" i="4"/>
  <c r="E34" i="4" s="1"/>
  <c r="AH35" i="4"/>
  <c r="N33" i="4"/>
  <c r="H32" i="1"/>
  <c r="C31" i="1"/>
  <c r="R31" i="1" s="1"/>
  <c r="D31" i="1"/>
  <c r="S31" i="1" s="1"/>
  <c r="N37" i="27" l="1"/>
  <c r="T37" i="27"/>
  <c r="O36" i="27"/>
  <c r="AA36" i="27"/>
  <c r="N36" i="28"/>
  <c r="T36" i="28"/>
  <c r="O35" i="28"/>
  <c r="AA35" i="28"/>
  <c r="N35" i="26"/>
  <c r="T35" i="26"/>
  <c r="O34" i="26"/>
  <c r="AA34" i="26"/>
  <c r="N35" i="25"/>
  <c r="T35" i="25"/>
  <c r="O34" i="25"/>
  <c r="AA34" i="25"/>
  <c r="N36" i="24"/>
  <c r="T36" i="24"/>
  <c r="O35" i="24"/>
  <c r="AA35" i="24"/>
  <c r="N36" i="23"/>
  <c r="O36" i="23" s="1"/>
  <c r="T36" i="23"/>
  <c r="M36" i="23"/>
  <c r="X36" i="23" s="1"/>
  <c r="Q36" i="23"/>
  <c r="G37" i="23"/>
  <c r="P36" i="23"/>
  <c r="AA36" i="23"/>
  <c r="Z36" i="23"/>
  <c r="U36" i="23"/>
  <c r="N36" i="22"/>
  <c r="T36" i="22"/>
  <c r="O35" i="22"/>
  <c r="AA35" i="22"/>
  <c r="N36" i="21"/>
  <c r="T36" i="21"/>
  <c r="O35" i="21"/>
  <c r="AA35" i="21"/>
  <c r="O32" i="20"/>
  <c r="H36" i="28"/>
  <c r="D35" i="28"/>
  <c r="S35" i="28" s="1"/>
  <c r="C35" i="28"/>
  <c r="R35" i="28" s="1"/>
  <c r="AJ37" i="28"/>
  <c r="E37" i="28" s="1"/>
  <c r="AH38" i="28"/>
  <c r="L33" i="28"/>
  <c r="W33" i="28" s="1"/>
  <c r="J34" i="28"/>
  <c r="J35" i="25"/>
  <c r="L34" i="25"/>
  <c r="W34" i="25" s="1"/>
  <c r="H35" i="24"/>
  <c r="D34" i="24"/>
  <c r="S34" i="24" s="1"/>
  <c r="C34" i="24"/>
  <c r="R34" i="24" s="1"/>
  <c r="AJ36" i="26"/>
  <c r="E36" i="26" s="1"/>
  <c r="AH37" i="26"/>
  <c r="D34" i="26"/>
  <c r="S34" i="26" s="1"/>
  <c r="C34" i="26"/>
  <c r="R34" i="26" s="1"/>
  <c r="H35" i="26"/>
  <c r="H35" i="27"/>
  <c r="D34" i="27"/>
  <c r="S34" i="27" s="1"/>
  <c r="C34" i="27"/>
  <c r="R34" i="27" s="1"/>
  <c r="L33" i="26"/>
  <c r="W33" i="26" s="1"/>
  <c r="J34" i="26"/>
  <c r="AH37" i="25"/>
  <c r="AJ36" i="25"/>
  <c r="E36" i="25" s="1"/>
  <c r="J34" i="24"/>
  <c r="L33" i="24"/>
  <c r="W33" i="24" s="1"/>
  <c r="H37" i="25"/>
  <c r="D36" i="25"/>
  <c r="S36" i="25" s="1"/>
  <c r="C36" i="25"/>
  <c r="R36" i="25" s="1"/>
  <c r="AH38" i="24"/>
  <c r="AJ37" i="24"/>
  <c r="E37" i="24" s="1"/>
  <c r="L34" i="27"/>
  <c r="W34" i="27" s="1"/>
  <c r="AJ38" i="27"/>
  <c r="E38" i="27" s="1"/>
  <c r="AH39" i="27"/>
  <c r="J36" i="27"/>
  <c r="AJ37" i="23"/>
  <c r="E37" i="23" s="1"/>
  <c r="AH38" i="23"/>
  <c r="H34" i="23"/>
  <c r="D33" i="23"/>
  <c r="S33" i="23" s="1"/>
  <c r="C33" i="23"/>
  <c r="R33" i="23" s="1"/>
  <c r="J34" i="23"/>
  <c r="L33" i="23"/>
  <c r="W33" i="23" s="1"/>
  <c r="D35" i="22"/>
  <c r="S35" i="22" s="1"/>
  <c r="C35" i="22"/>
  <c r="R35" i="22" s="1"/>
  <c r="H36" i="22"/>
  <c r="AJ37" i="22"/>
  <c r="E37" i="22" s="1"/>
  <c r="AH38" i="22"/>
  <c r="J34" i="22"/>
  <c r="L33" i="22"/>
  <c r="W33" i="22" s="1"/>
  <c r="H35" i="21"/>
  <c r="D34" i="21"/>
  <c r="S34" i="21" s="1"/>
  <c r="C34" i="21"/>
  <c r="R34" i="21" s="1"/>
  <c r="AJ37" i="21"/>
  <c r="E37" i="21" s="1"/>
  <c r="AH38" i="21"/>
  <c r="L33" i="21"/>
  <c r="W33" i="21" s="1"/>
  <c r="J34" i="21"/>
  <c r="J34" i="20"/>
  <c r="M32" i="20"/>
  <c r="X32" i="20" s="1"/>
  <c r="L32" i="20"/>
  <c r="W32" i="20" s="1"/>
  <c r="G33" i="20"/>
  <c r="D32" i="20"/>
  <c r="S32" i="20" s="1"/>
  <c r="C32" i="20"/>
  <c r="R32" i="20" s="1"/>
  <c r="AA32" i="20"/>
  <c r="Z32" i="20"/>
  <c r="H36" i="20"/>
  <c r="T32" i="20"/>
  <c r="P32" i="20"/>
  <c r="AJ37" i="20"/>
  <c r="E37" i="20" s="1"/>
  <c r="AH38" i="20"/>
  <c r="Q32" i="20"/>
  <c r="N36" i="20"/>
  <c r="O31" i="19"/>
  <c r="J33" i="19"/>
  <c r="H33" i="19"/>
  <c r="AH39" i="19"/>
  <c r="AJ38" i="19"/>
  <c r="E38" i="19" s="1"/>
  <c r="N37" i="19"/>
  <c r="M31" i="19"/>
  <c r="X31" i="19" s="1"/>
  <c r="L31" i="19"/>
  <c r="W31" i="19" s="1"/>
  <c r="G32" i="19"/>
  <c r="C32" i="19" s="1"/>
  <c r="R32" i="19" s="1"/>
  <c r="AA30" i="7"/>
  <c r="U30" i="7"/>
  <c r="Z30" i="7"/>
  <c r="P30" i="7"/>
  <c r="D30" i="7"/>
  <c r="S30" i="7" s="1"/>
  <c r="G31" i="7"/>
  <c r="T30" i="7"/>
  <c r="C30" i="7"/>
  <c r="R30" i="7" s="1"/>
  <c r="M30" i="7"/>
  <c r="X30" i="7" s="1"/>
  <c r="L30" i="7"/>
  <c r="W30" i="7" s="1"/>
  <c r="O30" i="7"/>
  <c r="Q30" i="7"/>
  <c r="D32" i="18"/>
  <c r="C32" i="18"/>
  <c r="D30" i="17"/>
  <c r="C30" i="17"/>
  <c r="D31" i="16"/>
  <c r="C31" i="16"/>
  <c r="D30" i="15"/>
  <c r="C30" i="15"/>
  <c r="D31" i="14"/>
  <c r="S31" i="14" s="1"/>
  <c r="C31" i="14"/>
  <c r="R31" i="14" s="1"/>
  <c r="D30" i="13"/>
  <c r="S30" i="13" s="1"/>
  <c r="C30" i="13"/>
  <c r="R30" i="13" s="1"/>
  <c r="D32" i="12"/>
  <c r="C32" i="12"/>
  <c r="D32" i="11"/>
  <c r="C32" i="11"/>
  <c r="D31" i="10"/>
  <c r="C31" i="10"/>
  <c r="D31" i="9"/>
  <c r="C31" i="9"/>
  <c r="D32" i="8"/>
  <c r="C32" i="8"/>
  <c r="Q32" i="6"/>
  <c r="D32" i="6"/>
  <c r="C32" i="6"/>
  <c r="D30" i="4"/>
  <c r="C30" i="4"/>
  <c r="G33" i="1"/>
  <c r="Q32" i="1"/>
  <c r="P32" i="1"/>
  <c r="Z32" i="1"/>
  <c r="U32" i="1"/>
  <c r="L32" i="1"/>
  <c r="W32" i="1" s="1"/>
  <c r="M32" i="1"/>
  <c r="X32" i="1" s="1"/>
  <c r="AA32" i="1"/>
  <c r="T32" i="1"/>
  <c r="O32" i="1"/>
  <c r="O32" i="11"/>
  <c r="U32" i="6"/>
  <c r="O32" i="6"/>
  <c r="L32" i="18"/>
  <c r="W32" i="18" s="1"/>
  <c r="G33" i="18"/>
  <c r="M32" i="18"/>
  <c r="X32" i="18" s="1"/>
  <c r="J33" i="18"/>
  <c r="U32" i="18"/>
  <c r="Q32" i="18"/>
  <c r="P32" i="18"/>
  <c r="T32" i="18"/>
  <c r="AJ35" i="18"/>
  <c r="E35" i="18" s="1"/>
  <c r="AH36" i="18"/>
  <c r="N34" i="18"/>
  <c r="Z32" i="18"/>
  <c r="H33" i="18"/>
  <c r="S32" i="18"/>
  <c r="R32" i="18"/>
  <c r="AA32" i="18"/>
  <c r="O32" i="18"/>
  <c r="J32" i="17"/>
  <c r="M30" i="17"/>
  <c r="X30" i="17" s="1"/>
  <c r="L30" i="17"/>
  <c r="W30" i="17" s="1"/>
  <c r="G31" i="17"/>
  <c r="AA30" i="17"/>
  <c r="Z30" i="17"/>
  <c r="S30" i="17"/>
  <c r="R30" i="17"/>
  <c r="H33" i="17"/>
  <c r="AJ36" i="17"/>
  <c r="E36" i="17" s="1"/>
  <c r="AH37" i="17"/>
  <c r="N35" i="17"/>
  <c r="P32" i="6"/>
  <c r="N34" i="15"/>
  <c r="M31" i="16"/>
  <c r="X31" i="16" s="1"/>
  <c r="L31" i="16"/>
  <c r="W31" i="16" s="1"/>
  <c r="G32" i="16"/>
  <c r="Z31" i="14"/>
  <c r="AA31" i="14"/>
  <c r="J34" i="13"/>
  <c r="J33" i="15"/>
  <c r="M30" i="13"/>
  <c r="X30" i="13" s="1"/>
  <c r="L30" i="13"/>
  <c r="W30" i="13" s="1"/>
  <c r="G31" i="13"/>
  <c r="T30" i="13"/>
  <c r="Q30" i="13"/>
  <c r="U30" i="13"/>
  <c r="AA30" i="13"/>
  <c r="Z30" i="13"/>
  <c r="P30" i="13"/>
  <c r="O30" i="13"/>
  <c r="R31" i="16"/>
  <c r="J32" i="16"/>
  <c r="Q31" i="16"/>
  <c r="P31" i="16"/>
  <c r="U31" i="16"/>
  <c r="T31" i="16"/>
  <c r="Q31" i="14"/>
  <c r="P31" i="14"/>
  <c r="J32" i="14"/>
  <c r="U31" i="14"/>
  <c r="T31" i="14"/>
  <c r="O31" i="14"/>
  <c r="S31" i="16"/>
  <c r="AJ34" i="16"/>
  <c r="E34" i="16" s="1"/>
  <c r="AH35" i="16"/>
  <c r="H33" i="15"/>
  <c r="AA32" i="16"/>
  <c r="Z32" i="16"/>
  <c r="H33" i="16"/>
  <c r="N33" i="16"/>
  <c r="H33" i="14"/>
  <c r="Z31" i="16"/>
  <c r="AJ36" i="13"/>
  <c r="E36" i="13" s="1"/>
  <c r="AH37" i="13"/>
  <c r="AA31" i="16"/>
  <c r="N35" i="13"/>
  <c r="AJ35" i="14"/>
  <c r="E35" i="14" s="1"/>
  <c r="AH36" i="14"/>
  <c r="H33" i="13"/>
  <c r="N34" i="14"/>
  <c r="AJ35" i="15"/>
  <c r="E35" i="15" s="1"/>
  <c r="AH36" i="15"/>
  <c r="O31" i="16"/>
  <c r="G32" i="14"/>
  <c r="Z32" i="14" s="1"/>
  <c r="M31" i="14"/>
  <c r="X31" i="14" s="1"/>
  <c r="L31" i="14"/>
  <c r="W31" i="14" s="1"/>
  <c r="M30" i="15"/>
  <c r="X30" i="15" s="1"/>
  <c r="L30" i="15"/>
  <c r="W30" i="15" s="1"/>
  <c r="G31" i="15"/>
  <c r="O30" i="15"/>
  <c r="P30" i="15"/>
  <c r="S30" i="15"/>
  <c r="Q30" i="15"/>
  <c r="U30" i="15"/>
  <c r="T30" i="15"/>
  <c r="R30" i="15"/>
  <c r="AA30" i="15"/>
  <c r="Z30" i="15"/>
  <c r="J35" i="11"/>
  <c r="Z31" i="10"/>
  <c r="H32" i="10"/>
  <c r="S31" i="10"/>
  <c r="R31" i="10"/>
  <c r="AA31" i="10"/>
  <c r="M32" i="11"/>
  <c r="X32" i="11" s="1"/>
  <c r="L32" i="11"/>
  <c r="W32" i="11" s="1"/>
  <c r="G33" i="11"/>
  <c r="L31" i="9"/>
  <c r="W31" i="9" s="1"/>
  <c r="G32" i="9"/>
  <c r="M31" i="9"/>
  <c r="X31" i="9" s="1"/>
  <c r="S31" i="9"/>
  <c r="R31" i="9"/>
  <c r="Z31" i="9"/>
  <c r="AA31" i="9"/>
  <c r="AA32" i="12"/>
  <c r="Z32" i="12"/>
  <c r="H33" i="12"/>
  <c r="AJ35" i="9"/>
  <c r="E35" i="9" s="1"/>
  <c r="AH36" i="9"/>
  <c r="J32" i="10"/>
  <c r="Q31" i="10"/>
  <c r="P31" i="10"/>
  <c r="U31" i="10"/>
  <c r="T31" i="10"/>
  <c r="O31" i="10"/>
  <c r="N34" i="9"/>
  <c r="AJ35" i="10"/>
  <c r="E35" i="10" s="1"/>
  <c r="AH36" i="10"/>
  <c r="N34" i="12"/>
  <c r="L31" i="10"/>
  <c r="W31" i="10" s="1"/>
  <c r="G32" i="10"/>
  <c r="M31" i="10"/>
  <c r="X31" i="10" s="1"/>
  <c r="H34" i="9"/>
  <c r="N34" i="10"/>
  <c r="AJ35" i="12"/>
  <c r="E35" i="12" s="1"/>
  <c r="AH36" i="12"/>
  <c r="R31" i="12"/>
  <c r="Q31" i="12"/>
  <c r="P31" i="12"/>
  <c r="J32" i="12"/>
  <c r="U31" i="12"/>
  <c r="T31" i="12"/>
  <c r="O31" i="12"/>
  <c r="S31" i="12"/>
  <c r="AJ35" i="11"/>
  <c r="E35" i="11" s="1"/>
  <c r="AH36" i="11"/>
  <c r="M32" i="12"/>
  <c r="X32" i="12" s="1"/>
  <c r="G33" i="12"/>
  <c r="N34" i="11"/>
  <c r="L31" i="12"/>
  <c r="W31" i="12" s="1"/>
  <c r="S32" i="11"/>
  <c r="R32" i="11"/>
  <c r="AA32" i="11"/>
  <c r="Z32" i="11"/>
  <c r="H33" i="11"/>
  <c r="U32" i="11"/>
  <c r="T32" i="11"/>
  <c r="Q32" i="11"/>
  <c r="P32" i="11"/>
  <c r="Q31" i="9"/>
  <c r="P31" i="9"/>
  <c r="J32" i="9"/>
  <c r="U31" i="9"/>
  <c r="T31" i="9"/>
  <c r="O31" i="9"/>
  <c r="Q32" i="8"/>
  <c r="P32" i="8"/>
  <c r="J33" i="8"/>
  <c r="U32" i="8"/>
  <c r="T32" i="8"/>
  <c r="O32" i="8"/>
  <c r="S32" i="8"/>
  <c r="R32" i="8"/>
  <c r="AA32" i="8"/>
  <c r="Z32" i="8"/>
  <c r="H33" i="8"/>
  <c r="N35" i="8"/>
  <c r="AJ36" i="8"/>
  <c r="E36" i="8" s="1"/>
  <c r="AH37" i="8"/>
  <c r="M32" i="8"/>
  <c r="X32" i="8" s="1"/>
  <c r="L32" i="8"/>
  <c r="W32" i="8" s="1"/>
  <c r="G33" i="8"/>
  <c r="AH37" i="7"/>
  <c r="AJ36" i="7"/>
  <c r="E36" i="7" s="1"/>
  <c r="N35" i="7"/>
  <c r="J34" i="7"/>
  <c r="H34" i="7"/>
  <c r="J34" i="6"/>
  <c r="L32" i="6"/>
  <c r="W32" i="6" s="1"/>
  <c r="G33" i="6"/>
  <c r="M32" i="6"/>
  <c r="X32" i="6" s="1"/>
  <c r="N34" i="6"/>
  <c r="Z32" i="6"/>
  <c r="S32" i="6"/>
  <c r="R32" i="6"/>
  <c r="AA32" i="6"/>
  <c r="H33" i="6"/>
  <c r="T32" i="6"/>
  <c r="AJ35" i="6"/>
  <c r="E35" i="6" s="1"/>
  <c r="AH36" i="6"/>
  <c r="L30" i="4"/>
  <c r="W30" i="4" s="1"/>
  <c r="M30" i="4"/>
  <c r="X30" i="4" s="1"/>
  <c r="G31" i="4"/>
  <c r="O30" i="4"/>
  <c r="Q30" i="4"/>
  <c r="U30" i="4"/>
  <c r="P30" i="4"/>
  <c r="R30" i="4"/>
  <c r="Z30" i="4"/>
  <c r="T30" i="4"/>
  <c r="S30" i="4"/>
  <c r="AA30" i="4"/>
  <c r="AJ35" i="4"/>
  <c r="E35" i="4" s="1"/>
  <c r="AH36" i="4"/>
  <c r="N34" i="4"/>
  <c r="J35" i="4"/>
  <c r="H33" i="4"/>
  <c r="D32" i="1"/>
  <c r="S32" i="1" s="1"/>
  <c r="C32" i="1"/>
  <c r="R32" i="1" s="1"/>
  <c r="H33" i="1"/>
  <c r="N38" i="27" l="1"/>
  <c r="T38" i="27"/>
  <c r="O37" i="27"/>
  <c r="AA37" i="27"/>
  <c r="N37" i="28"/>
  <c r="T37" i="28"/>
  <c r="O36" i="28"/>
  <c r="AA36" i="28"/>
  <c r="N36" i="26"/>
  <c r="T36" i="26"/>
  <c r="O35" i="26"/>
  <c r="AA35" i="26"/>
  <c r="N36" i="25"/>
  <c r="T36" i="25"/>
  <c r="O35" i="25"/>
  <c r="AA35" i="25"/>
  <c r="N37" i="24"/>
  <c r="T37" i="24"/>
  <c r="O36" i="24"/>
  <c r="AA36" i="24"/>
  <c r="N37" i="23"/>
  <c r="O37" i="23" s="1"/>
  <c r="T37" i="23"/>
  <c r="M37" i="23"/>
  <c r="X37" i="23" s="1"/>
  <c r="U37" i="23"/>
  <c r="Q37" i="23"/>
  <c r="G38" i="23"/>
  <c r="P37" i="23"/>
  <c r="AA37" i="23"/>
  <c r="Z37" i="23"/>
  <c r="N37" i="22"/>
  <c r="T37" i="22"/>
  <c r="O36" i="22"/>
  <c r="AA36" i="22"/>
  <c r="N37" i="21"/>
  <c r="T37" i="21"/>
  <c r="O36" i="21"/>
  <c r="AA36" i="21"/>
  <c r="J35" i="28"/>
  <c r="L34" i="28"/>
  <c r="W34" i="28" s="1"/>
  <c r="AJ38" i="28"/>
  <c r="E38" i="28" s="1"/>
  <c r="AH39" i="28"/>
  <c r="H37" i="28"/>
  <c r="D36" i="28"/>
  <c r="S36" i="28" s="1"/>
  <c r="C36" i="28"/>
  <c r="R36" i="28" s="1"/>
  <c r="AH39" i="24"/>
  <c r="AJ38" i="24"/>
  <c r="E38" i="24" s="1"/>
  <c r="H36" i="27"/>
  <c r="L36" i="27" s="1"/>
  <c r="W36" i="27" s="1"/>
  <c r="D35" i="27"/>
  <c r="S35" i="27" s="1"/>
  <c r="C35" i="27"/>
  <c r="R35" i="27" s="1"/>
  <c r="D35" i="26"/>
  <c r="S35" i="26" s="1"/>
  <c r="C35" i="26"/>
  <c r="R35" i="26" s="1"/>
  <c r="H36" i="26"/>
  <c r="H38" i="25"/>
  <c r="D37" i="25"/>
  <c r="S37" i="25" s="1"/>
  <c r="C37" i="25"/>
  <c r="R37" i="25" s="1"/>
  <c r="AH38" i="26"/>
  <c r="AJ37" i="26"/>
  <c r="E37" i="26" s="1"/>
  <c r="J35" i="24"/>
  <c r="L34" i="24"/>
  <c r="W34" i="24" s="1"/>
  <c r="L35" i="27"/>
  <c r="W35" i="27" s="1"/>
  <c r="J37" i="27"/>
  <c r="AJ37" i="25"/>
  <c r="E37" i="25" s="1"/>
  <c r="AH38" i="25"/>
  <c r="AJ39" i="27"/>
  <c r="E39" i="27" s="1"/>
  <c r="AH40" i="27"/>
  <c r="J35" i="26"/>
  <c r="L34" i="26"/>
  <c r="W34" i="26" s="1"/>
  <c r="H36" i="24"/>
  <c r="D35" i="24"/>
  <c r="S35" i="24" s="1"/>
  <c r="C35" i="24"/>
  <c r="R35" i="24" s="1"/>
  <c r="J36" i="25"/>
  <c r="L35" i="25"/>
  <c r="W35" i="25" s="1"/>
  <c r="AH39" i="22"/>
  <c r="AJ38" i="22"/>
  <c r="E38" i="22" s="1"/>
  <c r="L34" i="23"/>
  <c r="W34" i="23" s="1"/>
  <c r="J35" i="23"/>
  <c r="H35" i="23"/>
  <c r="D34" i="23"/>
  <c r="S34" i="23" s="1"/>
  <c r="C34" i="23"/>
  <c r="R34" i="23" s="1"/>
  <c r="D36" i="22"/>
  <c r="S36" i="22" s="1"/>
  <c r="C36" i="22"/>
  <c r="R36" i="22" s="1"/>
  <c r="H37" i="22"/>
  <c r="AJ38" i="23"/>
  <c r="E38" i="23" s="1"/>
  <c r="AH39" i="23"/>
  <c r="J35" i="22"/>
  <c r="L34" i="22"/>
  <c r="W34" i="22" s="1"/>
  <c r="L34" i="21"/>
  <c r="W34" i="21" s="1"/>
  <c r="J35" i="21"/>
  <c r="AJ38" i="21"/>
  <c r="E38" i="21" s="1"/>
  <c r="AH39" i="21"/>
  <c r="H36" i="21"/>
  <c r="D35" i="21"/>
  <c r="S35" i="21" s="1"/>
  <c r="C35" i="21"/>
  <c r="R35" i="21" s="1"/>
  <c r="AJ38" i="20"/>
  <c r="E38" i="20" s="1"/>
  <c r="AH39" i="20"/>
  <c r="N37" i="20"/>
  <c r="L33" i="20"/>
  <c r="W33" i="20" s="1"/>
  <c r="M33" i="20"/>
  <c r="X33" i="20" s="1"/>
  <c r="G34" i="20"/>
  <c r="O34" i="20" s="1"/>
  <c r="Z33" i="20"/>
  <c r="C33" i="20"/>
  <c r="R33" i="20" s="1"/>
  <c r="D33" i="20"/>
  <c r="S33" i="20" s="1"/>
  <c r="AA33" i="20"/>
  <c r="O33" i="20"/>
  <c r="T33" i="20"/>
  <c r="Q33" i="20"/>
  <c r="U33" i="20"/>
  <c r="H37" i="20"/>
  <c r="P33" i="20"/>
  <c r="J35" i="20"/>
  <c r="Q34" i="20"/>
  <c r="D32" i="19"/>
  <c r="S32" i="19" s="1"/>
  <c r="AJ39" i="19"/>
  <c r="E39" i="19" s="1"/>
  <c r="AH40" i="19"/>
  <c r="H34" i="19"/>
  <c r="AA32" i="19"/>
  <c r="L32" i="19"/>
  <c r="W32" i="19" s="1"/>
  <c r="G33" i="19"/>
  <c r="M32" i="19"/>
  <c r="X32" i="19" s="1"/>
  <c r="Z32" i="19"/>
  <c r="O32" i="19"/>
  <c r="T32" i="19"/>
  <c r="U32" i="19"/>
  <c r="Q32" i="19"/>
  <c r="P32" i="19"/>
  <c r="N38" i="19"/>
  <c r="J34" i="19"/>
  <c r="Q33" i="19"/>
  <c r="P33" i="19"/>
  <c r="U33" i="19"/>
  <c r="AA31" i="7"/>
  <c r="O31" i="7"/>
  <c r="Z31" i="7"/>
  <c r="D31" i="7"/>
  <c r="S31" i="7" s="1"/>
  <c r="C31" i="7"/>
  <c r="R31" i="7" s="1"/>
  <c r="L31" i="7"/>
  <c r="W31" i="7" s="1"/>
  <c r="T31" i="7"/>
  <c r="U31" i="7"/>
  <c r="P31" i="7"/>
  <c r="G32" i="7"/>
  <c r="Q31" i="7"/>
  <c r="M31" i="7"/>
  <c r="X31" i="7" s="1"/>
  <c r="O33" i="18"/>
  <c r="D33" i="18"/>
  <c r="C33" i="18"/>
  <c r="C31" i="17"/>
  <c r="D31" i="17"/>
  <c r="D32" i="16"/>
  <c r="S32" i="16" s="1"/>
  <c r="C32" i="16"/>
  <c r="R32" i="16" s="1"/>
  <c r="D31" i="15"/>
  <c r="C31" i="15"/>
  <c r="R31" i="15" s="1"/>
  <c r="D32" i="14"/>
  <c r="S32" i="14" s="1"/>
  <c r="C32" i="14"/>
  <c r="R32" i="14" s="1"/>
  <c r="D31" i="13"/>
  <c r="S31" i="13" s="1"/>
  <c r="C31" i="13"/>
  <c r="D33" i="12"/>
  <c r="C33" i="12"/>
  <c r="C33" i="11"/>
  <c r="D33" i="11"/>
  <c r="D32" i="10"/>
  <c r="C32" i="10"/>
  <c r="D32" i="9"/>
  <c r="C32" i="9"/>
  <c r="D33" i="8"/>
  <c r="C33" i="8"/>
  <c r="D33" i="6"/>
  <c r="S33" i="6" s="1"/>
  <c r="C33" i="6"/>
  <c r="D31" i="4"/>
  <c r="C31" i="4"/>
  <c r="G34" i="1"/>
  <c r="U33" i="1"/>
  <c r="Z33" i="1"/>
  <c r="Q33" i="1"/>
  <c r="P33" i="1"/>
  <c r="M33" i="1"/>
  <c r="X33" i="1" s="1"/>
  <c r="AA33" i="1"/>
  <c r="L33" i="1"/>
  <c r="W33" i="1" s="1"/>
  <c r="T33" i="1"/>
  <c r="O33" i="1"/>
  <c r="O33" i="11"/>
  <c r="AJ36" i="18"/>
  <c r="E36" i="18" s="1"/>
  <c r="AH37" i="18"/>
  <c r="N35" i="18"/>
  <c r="J34" i="18"/>
  <c r="Q33" i="18"/>
  <c r="P33" i="18"/>
  <c r="U33" i="18"/>
  <c r="T33" i="18"/>
  <c r="H34" i="18"/>
  <c r="O34" i="18" s="1"/>
  <c r="S33" i="18"/>
  <c r="R33" i="18"/>
  <c r="AA33" i="18"/>
  <c r="Z33" i="18"/>
  <c r="G34" i="18"/>
  <c r="M33" i="18"/>
  <c r="X33" i="18" s="1"/>
  <c r="L33" i="18"/>
  <c r="W33" i="18" s="1"/>
  <c r="M31" i="17"/>
  <c r="X31" i="17" s="1"/>
  <c r="L31" i="17"/>
  <c r="W31" i="17" s="1"/>
  <c r="G32" i="17"/>
  <c r="AA31" i="17"/>
  <c r="Z31" i="17"/>
  <c r="S31" i="17"/>
  <c r="R31" i="17"/>
  <c r="AJ37" i="17"/>
  <c r="E37" i="17" s="1"/>
  <c r="AH38" i="17"/>
  <c r="N36" i="17"/>
  <c r="O31" i="17"/>
  <c r="T31" i="17"/>
  <c r="H34" i="17"/>
  <c r="U31" i="17"/>
  <c r="P31" i="17"/>
  <c r="Q31" i="17"/>
  <c r="J33" i="17"/>
  <c r="H34" i="15"/>
  <c r="N34" i="16"/>
  <c r="J33" i="16"/>
  <c r="Q32" i="16"/>
  <c r="P32" i="16"/>
  <c r="U32" i="16"/>
  <c r="T32" i="16"/>
  <c r="M31" i="13"/>
  <c r="X31" i="13" s="1"/>
  <c r="L31" i="13"/>
  <c r="W31" i="13" s="1"/>
  <c r="G32" i="13"/>
  <c r="T31" i="13"/>
  <c r="P31" i="13"/>
  <c r="O31" i="13"/>
  <c r="Q31" i="13"/>
  <c r="AA31" i="13"/>
  <c r="R31" i="13"/>
  <c r="Z31" i="13"/>
  <c r="U31" i="13"/>
  <c r="AJ35" i="16"/>
  <c r="E35" i="16" s="1"/>
  <c r="AH36" i="16"/>
  <c r="J35" i="13"/>
  <c r="M31" i="15"/>
  <c r="X31" i="15" s="1"/>
  <c r="L31" i="15"/>
  <c r="W31" i="15" s="1"/>
  <c r="G32" i="15"/>
  <c r="AA31" i="15"/>
  <c r="Z31" i="15"/>
  <c r="O31" i="15"/>
  <c r="T31" i="15"/>
  <c r="S31" i="15"/>
  <c r="Q31" i="15"/>
  <c r="U31" i="15"/>
  <c r="P31" i="15"/>
  <c r="H34" i="13"/>
  <c r="AJ37" i="13"/>
  <c r="E37" i="13" s="1"/>
  <c r="AH38" i="13"/>
  <c r="N35" i="15"/>
  <c r="N36" i="13"/>
  <c r="O32" i="16"/>
  <c r="M32" i="16"/>
  <c r="X32" i="16" s="1"/>
  <c r="L32" i="16"/>
  <c r="W32" i="16" s="1"/>
  <c r="G33" i="16"/>
  <c r="O33" i="16" s="1"/>
  <c r="Q32" i="14"/>
  <c r="P32" i="14"/>
  <c r="J33" i="14"/>
  <c r="U32" i="14"/>
  <c r="T32" i="14"/>
  <c r="O32" i="14"/>
  <c r="G33" i="14"/>
  <c r="M32" i="14"/>
  <c r="X32" i="14" s="1"/>
  <c r="L32" i="14"/>
  <c r="W32" i="14" s="1"/>
  <c r="AJ36" i="14"/>
  <c r="E36" i="14" s="1"/>
  <c r="AH37" i="14"/>
  <c r="H34" i="14"/>
  <c r="N35" i="14"/>
  <c r="J34" i="15"/>
  <c r="H34" i="16"/>
  <c r="AJ36" i="15"/>
  <c r="E36" i="15" s="1"/>
  <c r="AH37" i="15"/>
  <c r="AA32" i="14"/>
  <c r="Q32" i="12"/>
  <c r="P32" i="12"/>
  <c r="J33" i="12"/>
  <c r="U32" i="12"/>
  <c r="T32" i="12"/>
  <c r="O32" i="12"/>
  <c r="R32" i="12"/>
  <c r="S32" i="12"/>
  <c r="R33" i="12"/>
  <c r="AA33" i="12"/>
  <c r="Z33" i="12"/>
  <c r="H34" i="12"/>
  <c r="S33" i="12"/>
  <c r="M33" i="12"/>
  <c r="X33" i="12" s="1"/>
  <c r="L33" i="12"/>
  <c r="W33" i="12" s="1"/>
  <c r="G34" i="12"/>
  <c r="G33" i="10"/>
  <c r="M32" i="10"/>
  <c r="X32" i="10" s="1"/>
  <c r="L32" i="10"/>
  <c r="W32" i="10" s="1"/>
  <c r="H33" i="10"/>
  <c r="S32" i="10"/>
  <c r="R32" i="10"/>
  <c r="AA32" i="10"/>
  <c r="Z32" i="10"/>
  <c r="H35" i="9"/>
  <c r="Q32" i="9"/>
  <c r="P32" i="9"/>
  <c r="J33" i="9"/>
  <c r="U32" i="9"/>
  <c r="T32" i="9"/>
  <c r="O32" i="9"/>
  <c r="AJ36" i="12"/>
  <c r="E36" i="12" s="1"/>
  <c r="AH37" i="12"/>
  <c r="L32" i="12"/>
  <c r="W32" i="12" s="1"/>
  <c r="N35" i="12"/>
  <c r="M33" i="11"/>
  <c r="X33" i="11" s="1"/>
  <c r="L33" i="11"/>
  <c r="W33" i="11" s="1"/>
  <c r="G34" i="11"/>
  <c r="AH37" i="11"/>
  <c r="AJ36" i="11"/>
  <c r="E36" i="11" s="1"/>
  <c r="J33" i="10"/>
  <c r="U32" i="10"/>
  <c r="Q32" i="10"/>
  <c r="P32" i="10"/>
  <c r="T32" i="10"/>
  <c r="O32" i="10"/>
  <c r="J36" i="11"/>
  <c r="S33" i="11"/>
  <c r="R33" i="11"/>
  <c r="AA33" i="11"/>
  <c r="Z33" i="11"/>
  <c r="H34" i="11"/>
  <c r="U33" i="11"/>
  <c r="T33" i="11"/>
  <c r="Q33" i="11"/>
  <c r="P33" i="11"/>
  <c r="N35" i="11"/>
  <c r="AJ36" i="10"/>
  <c r="E36" i="10" s="1"/>
  <c r="AH37" i="10"/>
  <c r="AH37" i="9"/>
  <c r="AJ36" i="9"/>
  <c r="E36" i="9" s="1"/>
  <c r="M32" i="9"/>
  <c r="X32" i="9" s="1"/>
  <c r="G33" i="9"/>
  <c r="L32" i="9"/>
  <c r="W32" i="9" s="1"/>
  <c r="S32" i="9"/>
  <c r="R32" i="9"/>
  <c r="AA32" i="9"/>
  <c r="Z32" i="9"/>
  <c r="N35" i="10"/>
  <c r="N35" i="9"/>
  <c r="AJ37" i="8"/>
  <c r="E37" i="8" s="1"/>
  <c r="AH38" i="8"/>
  <c r="P33" i="8"/>
  <c r="J34" i="8"/>
  <c r="U33" i="8"/>
  <c r="Q33" i="8"/>
  <c r="T33" i="8"/>
  <c r="O33" i="8"/>
  <c r="R33" i="8"/>
  <c r="AA33" i="8"/>
  <c r="Z33" i="8"/>
  <c r="H34" i="8"/>
  <c r="S33" i="8"/>
  <c r="N36" i="8"/>
  <c r="M33" i="8"/>
  <c r="X33" i="8" s="1"/>
  <c r="L33" i="8"/>
  <c r="W33" i="8" s="1"/>
  <c r="G34" i="8"/>
  <c r="J35" i="7"/>
  <c r="H35" i="7"/>
  <c r="N36" i="7"/>
  <c r="AH38" i="7"/>
  <c r="AJ37" i="7"/>
  <c r="E37" i="7" s="1"/>
  <c r="M33" i="6"/>
  <c r="X33" i="6" s="1"/>
  <c r="G34" i="6"/>
  <c r="Q34" i="6" s="1"/>
  <c r="L33" i="6"/>
  <c r="W33" i="6" s="1"/>
  <c r="N35" i="6"/>
  <c r="T33" i="6"/>
  <c r="O33" i="6"/>
  <c r="H34" i="6"/>
  <c r="R33" i="6"/>
  <c r="AA33" i="6"/>
  <c r="Z33" i="6"/>
  <c r="Q33" i="6"/>
  <c r="U33" i="6"/>
  <c r="P33" i="6"/>
  <c r="AJ36" i="6"/>
  <c r="E36" i="6" s="1"/>
  <c r="AH37" i="6"/>
  <c r="J35" i="6"/>
  <c r="P34" i="6"/>
  <c r="U34" i="6"/>
  <c r="H34" i="4"/>
  <c r="J36" i="4"/>
  <c r="M31" i="4"/>
  <c r="X31" i="4" s="1"/>
  <c r="G32" i="4"/>
  <c r="L31" i="4"/>
  <c r="W31" i="4" s="1"/>
  <c r="AA31" i="4"/>
  <c r="S31" i="4"/>
  <c r="O31" i="4"/>
  <c r="R31" i="4"/>
  <c r="Z31" i="4"/>
  <c r="U31" i="4"/>
  <c r="Q31" i="4"/>
  <c r="T31" i="4"/>
  <c r="P31" i="4"/>
  <c r="AJ36" i="4"/>
  <c r="E36" i="4" s="1"/>
  <c r="AH37" i="4"/>
  <c r="N35" i="4"/>
  <c r="D33" i="1"/>
  <c r="S33" i="1" s="1"/>
  <c r="C33" i="1"/>
  <c r="R33" i="1" s="1"/>
  <c r="H34" i="1"/>
  <c r="N39" i="27" l="1"/>
  <c r="T39" i="27"/>
  <c r="O38" i="27"/>
  <c r="AA38" i="27"/>
  <c r="N38" i="28"/>
  <c r="T38" i="28"/>
  <c r="O37" i="28"/>
  <c r="AA37" i="28"/>
  <c r="N37" i="26"/>
  <c r="T37" i="26"/>
  <c r="O36" i="26"/>
  <c r="AA36" i="26"/>
  <c r="N37" i="25"/>
  <c r="T37" i="25"/>
  <c r="O36" i="25"/>
  <c r="AA36" i="25"/>
  <c r="N38" i="24"/>
  <c r="T38" i="24"/>
  <c r="O37" i="24"/>
  <c r="AA37" i="24"/>
  <c r="M38" i="23"/>
  <c r="X38" i="23" s="1"/>
  <c r="Q38" i="23"/>
  <c r="G39" i="23"/>
  <c r="P38" i="23"/>
  <c r="Z38" i="23"/>
  <c r="U38" i="23"/>
  <c r="N38" i="23"/>
  <c r="O38" i="23" s="1"/>
  <c r="T38" i="23"/>
  <c r="N38" i="22"/>
  <c r="T38" i="22"/>
  <c r="O37" i="22"/>
  <c r="AA37" i="22"/>
  <c r="N38" i="21"/>
  <c r="T38" i="21"/>
  <c r="O37" i="21"/>
  <c r="AA37" i="21"/>
  <c r="D37" i="28"/>
  <c r="S37" i="28" s="1"/>
  <c r="C37" i="28"/>
  <c r="R37" i="28" s="1"/>
  <c r="H38" i="28"/>
  <c r="AJ39" i="28"/>
  <c r="E39" i="28" s="1"/>
  <c r="AH40" i="28"/>
  <c r="J36" i="28"/>
  <c r="L35" i="28"/>
  <c r="W35" i="28" s="1"/>
  <c r="AH39" i="26"/>
  <c r="AJ38" i="26"/>
  <c r="E38" i="26" s="1"/>
  <c r="J36" i="26"/>
  <c r="L35" i="26"/>
  <c r="W35" i="26" s="1"/>
  <c r="AJ40" i="27"/>
  <c r="E40" i="27" s="1"/>
  <c r="AH41" i="27"/>
  <c r="H39" i="25"/>
  <c r="D38" i="25"/>
  <c r="S38" i="25" s="1"/>
  <c r="C38" i="25"/>
  <c r="R38" i="25" s="1"/>
  <c r="AJ38" i="25"/>
  <c r="E38" i="25" s="1"/>
  <c r="AH39" i="25"/>
  <c r="C36" i="26"/>
  <c r="R36" i="26" s="1"/>
  <c r="H37" i="26"/>
  <c r="D36" i="26"/>
  <c r="S36" i="26" s="1"/>
  <c r="J38" i="27"/>
  <c r="J37" i="25"/>
  <c r="L36" i="25"/>
  <c r="W36" i="25" s="1"/>
  <c r="H37" i="27"/>
  <c r="L37" i="27" s="1"/>
  <c r="W37" i="27" s="1"/>
  <c r="D36" i="27"/>
  <c r="S36" i="27" s="1"/>
  <c r="C36" i="27"/>
  <c r="R36" i="27" s="1"/>
  <c r="J36" i="24"/>
  <c r="L35" i="24"/>
  <c r="W35" i="24" s="1"/>
  <c r="H37" i="24"/>
  <c r="C36" i="24"/>
  <c r="R36" i="24" s="1"/>
  <c r="D36" i="24"/>
  <c r="S36" i="24" s="1"/>
  <c r="AH40" i="24"/>
  <c r="AJ39" i="24"/>
  <c r="E39" i="24" s="1"/>
  <c r="AJ39" i="23"/>
  <c r="E39" i="23" s="1"/>
  <c r="AH40" i="23"/>
  <c r="C37" i="22"/>
  <c r="R37" i="22" s="1"/>
  <c r="H38" i="22"/>
  <c r="D37" i="22"/>
  <c r="S37" i="22" s="1"/>
  <c r="H36" i="23"/>
  <c r="D35" i="23"/>
  <c r="S35" i="23" s="1"/>
  <c r="C35" i="23"/>
  <c r="R35" i="23" s="1"/>
  <c r="J36" i="23"/>
  <c r="L35" i="23"/>
  <c r="W35" i="23" s="1"/>
  <c r="J36" i="22"/>
  <c r="L35" i="22"/>
  <c r="W35" i="22" s="1"/>
  <c r="AJ39" i="22"/>
  <c r="E39" i="22" s="1"/>
  <c r="AH40" i="22"/>
  <c r="H37" i="21"/>
  <c r="D36" i="21"/>
  <c r="S36" i="21" s="1"/>
  <c r="C36" i="21"/>
  <c r="R36" i="21" s="1"/>
  <c r="AJ39" i="21"/>
  <c r="E39" i="21" s="1"/>
  <c r="AH40" i="21"/>
  <c r="J36" i="21"/>
  <c r="L35" i="21"/>
  <c r="W35" i="21" s="1"/>
  <c r="P35" i="20"/>
  <c r="J36" i="20"/>
  <c r="U35" i="20"/>
  <c r="T35" i="20"/>
  <c r="O35" i="20"/>
  <c r="H38" i="20"/>
  <c r="G35" i="20"/>
  <c r="M34" i="20"/>
  <c r="X34" i="20" s="1"/>
  <c r="L34" i="20"/>
  <c r="W34" i="20" s="1"/>
  <c r="D34" i="20"/>
  <c r="S34" i="20" s="1"/>
  <c r="AA34" i="20"/>
  <c r="Z34" i="20"/>
  <c r="C34" i="20"/>
  <c r="R34" i="20" s="1"/>
  <c r="T34" i="20"/>
  <c r="U34" i="20"/>
  <c r="AJ39" i="20"/>
  <c r="E39" i="20" s="1"/>
  <c r="AH40" i="20"/>
  <c r="P34" i="20"/>
  <c r="N38" i="20"/>
  <c r="L33" i="19"/>
  <c r="W33" i="19" s="1"/>
  <c r="G34" i="19"/>
  <c r="M33" i="19"/>
  <c r="X33" i="19" s="1"/>
  <c r="P34" i="19"/>
  <c r="J35" i="19"/>
  <c r="Q34" i="19"/>
  <c r="U34" i="19"/>
  <c r="T34" i="19"/>
  <c r="O34" i="19"/>
  <c r="AA33" i="19"/>
  <c r="C33" i="19"/>
  <c r="R33" i="19" s="1"/>
  <c r="Z33" i="19"/>
  <c r="D33" i="19"/>
  <c r="S33" i="19" s="1"/>
  <c r="H35" i="19"/>
  <c r="C34" i="19"/>
  <c r="R34" i="19" s="1"/>
  <c r="Z34" i="19"/>
  <c r="AA34" i="19"/>
  <c r="D34" i="19"/>
  <c r="S34" i="19" s="1"/>
  <c r="O33" i="19"/>
  <c r="AJ40" i="19"/>
  <c r="E40" i="19" s="1"/>
  <c r="AH41" i="19"/>
  <c r="T33" i="19"/>
  <c r="N39" i="19"/>
  <c r="M32" i="7"/>
  <c r="X32" i="7" s="1"/>
  <c r="AA32" i="7"/>
  <c r="D32" i="7"/>
  <c r="S32" i="7" s="1"/>
  <c r="L32" i="7"/>
  <c r="W32" i="7" s="1"/>
  <c r="C32" i="7"/>
  <c r="R32" i="7" s="1"/>
  <c r="G33" i="7"/>
  <c r="O32" i="7"/>
  <c r="Z32" i="7"/>
  <c r="U32" i="7"/>
  <c r="Q32" i="7"/>
  <c r="P32" i="7"/>
  <c r="T32" i="7"/>
  <c r="D34" i="18"/>
  <c r="C34" i="18"/>
  <c r="Q32" i="17"/>
  <c r="D32" i="17"/>
  <c r="C32" i="17"/>
  <c r="AA33" i="16"/>
  <c r="D33" i="16"/>
  <c r="S33" i="16" s="1"/>
  <c r="C33" i="16"/>
  <c r="R33" i="16" s="1"/>
  <c r="C32" i="15"/>
  <c r="D32" i="15"/>
  <c r="S32" i="15" s="1"/>
  <c r="S33" i="14"/>
  <c r="C33" i="14"/>
  <c r="R33" i="14" s="1"/>
  <c r="D33" i="14"/>
  <c r="C32" i="13"/>
  <c r="D32" i="13"/>
  <c r="D34" i="12"/>
  <c r="C34" i="12"/>
  <c r="D34" i="11"/>
  <c r="C34" i="11"/>
  <c r="C33" i="10"/>
  <c r="D33" i="10"/>
  <c r="C33" i="9"/>
  <c r="D33" i="9"/>
  <c r="D34" i="8"/>
  <c r="C34" i="8"/>
  <c r="D34" i="6"/>
  <c r="C34" i="6"/>
  <c r="C32" i="4"/>
  <c r="D32" i="4"/>
  <c r="G35" i="1"/>
  <c r="Q34" i="1"/>
  <c r="P34" i="1"/>
  <c r="Z34" i="1"/>
  <c r="U34" i="1"/>
  <c r="L34" i="1"/>
  <c r="W34" i="1" s="1"/>
  <c r="AA34" i="1"/>
  <c r="M34" i="1"/>
  <c r="X34" i="1" s="1"/>
  <c r="T34" i="1"/>
  <c r="O34" i="1"/>
  <c r="O32" i="17"/>
  <c r="T32" i="17"/>
  <c r="U32" i="17"/>
  <c r="P32" i="17"/>
  <c r="Z33" i="16"/>
  <c r="Z33" i="14"/>
  <c r="H35" i="18"/>
  <c r="S34" i="18"/>
  <c r="R34" i="18"/>
  <c r="AA34" i="18"/>
  <c r="Z34" i="18"/>
  <c r="Q34" i="18"/>
  <c r="P34" i="18"/>
  <c r="J35" i="18"/>
  <c r="U34" i="18"/>
  <c r="T34" i="18"/>
  <c r="O35" i="18"/>
  <c r="G35" i="18"/>
  <c r="M34" i="18"/>
  <c r="X34" i="18" s="1"/>
  <c r="L34" i="18"/>
  <c r="W34" i="18" s="1"/>
  <c r="AJ37" i="18"/>
  <c r="E37" i="18" s="1"/>
  <c r="AH38" i="18"/>
  <c r="N36" i="18"/>
  <c r="J34" i="17"/>
  <c r="AJ38" i="17"/>
  <c r="E38" i="17" s="1"/>
  <c r="AH39" i="17"/>
  <c r="N37" i="17"/>
  <c r="H35" i="17"/>
  <c r="M32" i="17"/>
  <c r="X32" i="17" s="1"/>
  <c r="L32" i="17"/>
  <c r="W32" i="17" s="1"/>
  <c r="G33" i="17"/>
  <c r="AA32" i="17"/>
  <c r="Z32" i="17"/>
  <c r="S32" i="17"/>
  <c r="R32" i="17"/>
  <c r="N36" i="15"/>
  <c r="M33" i="14"/>
  <c r="X33" i="14" s="1"/>
  <c r="L33" i="14"/>
  <c r="W33" i="14" s="1"/>
  <c r="G34" i="14"/>
  <c r="Z34" i="14" s="1"/>
  <c r="J34" i="16"/>
  <c r="U33" i="16"/>
  <c r="Q33" i="16"/>
  <c r="P33" i="16"/>
  <c r="T33" i="16"/>
  <c r="H35" i="16"/>
  <c r="H35" i="14"/>
  <c r="AA33" i="14"/>
  <c r="Q33" i="14"/>
  <c r="P33" i="14"/>
  <c r="J34" i="14"/>
  <c r="U33" i="14"/>
  <c r="T33" i="14"/>
  <c r="O33" i="14"/>
  <c r="J36" i="13"/>
  <c r="M32" i="13"/>
  <c r="X32" i="13" s="1"/>
  <c r="L32" i="13"/>
  <c r="W32" i="13" s="1"/>
  <c r="G33" i="13"/>
  <c r="Q32" i="13"/>
  <c r="P32" i="13"/>
  <c r="T32" i="13"/>
  <c r="U32" i="13"/>
  <c r="AA32" i="13"/>
  <c r="O32" i="13"/>
  <c r="S32" i="13"/>
  <c r="R32" i="13"/>
  <c r="Z32" i="13"/>
  <c r="AJ38" i="13"/>
  <c r="E38" i="13" s="1"/>
  <c r="AH39" i="13"/>
  <c r="AJ36" i="16"/>
  <c r="E36" i="16" s="1"/>
  <c r="AH37" i="16"/>
  <c r="N37" i="13"/>
  <c r="N35" i="16"/>
  <c r="AJ37" i="14"/>
  <c r="E37" i="14" s="1"/>
  <c r="AH38" i="14"/>
  <c r="H35" i="15"/>
  <c r="J35" i="15"/>
  <c r="N36" i="14"/>
  <c r="M33" i="16"/>
  <c r="X33" i="16" s="1"/>
  <c r="L33" i="16"/>
  <c r="W33" i="16" s="1"/>
  <c r="G34" i="16"/>
  <c r="H35" i="13"/>
  <c r="AJ37" i="15"/>
  <c r="E37" i="15" s="1"/>
  <c r="AH38" i="15"/>
  <c r="L32" i="15"/>
  <c r="W32" i="15" s="1"/>
  <c r="G33" i="15"/>
  <c r="M32" i="15"/>
  <c r="X32" i="15" s="1"/>
  <c r="T32" i="15"/>
  <c r="R32" i="15"/>
  <c r="U32" i="15"/>
  <c r="AA32" i="15"/>
  <c r="Q32" i="15"/>
  <c r="P32" i="15"/>
  <c r="Z32" i="15"/>
  <c r="O32" i="15"/>
  <c r="N36" i="10"/>
  <c r="N36" i="11"/>
  <c r="AJ37" i="11"/>
  <c r="E37" i="11" s="1"/>
  <c r="AH38" i="11"/>
  <c r="Q33" i="9"/>
  <c r="P33" i="9"/>
  <c r="J34" i="9"/>
  <c r="U33" i="9"/>
  <c r="T33" i="9"/>
  <c r="O33" i="9"/>
  <c r="H34" i="10"/>
  <c r="S33" i="10"/>
  <c r="R33" i="10"/>
  <c r="AA33" i="10"/>
  <c r="Z33" i="10"/>
  <c r="J37" i="11"/>
  <c r="M34" i="11"/>
  <c r="X34" i="11" s="1"/>
  <c r="L34" i="11"/>
  <c r="W34" i="11" s="1"/>
  <c r="G35" i="11"/>
  <c r="AJ37" i="10"/>
  <c r="E37" i="10" s="1"/>
  <c r="AH38" i="10"/>
  <c r="H36" i="9"/>
  <c r="G34" i="10"/>
  <c r="M33" i="10"/>
  <c r="X33" i="10" s="1"/>
  <c r="L33" i="10"/>
  <c r="W33" i="10" s="1"/>
  <c r="M34" i="12"/>
  <c r="X34" i="12" s="1"/>
  <c r="G35" i="12"/>
  <c r="M33" i="9"/>
  <c r="X33" i="9" s="1"/>
  <c r="L33" i="9"/>
  <c r="W33" i="9" s="1"/>
  <c r="G34" i="9"/>
  <c r="S33" i="9"/>
  <c r="R33" i="9"/>
  <c r="AA33" i="9"/>
  <c r="Z33" i="9"/>
  <c r="S34" i="11"/>
  <c r="R34" i="11"/>
  <c r="AA34" i="11"/>
  <c r="Z34" i="11"/>
  <c r="H35" i="11"/>
  <c r="Q34" i="11"/>
  <c r="P34" i="11"/>
  <c r="T34" i="11"/>
  <c r="U34" i="11"/>
  <c r="P33" i="12"/>
  <c r="J34" i="12"/>
  <c r="Q33" i="12"/>
  <c r="U33" i="12"/>
  <c r="T33" i="12"/>
  <c r="O33" i="12"/>
  <c r="AJ37" i="12"/>
  <c r="E37" i="12" s="1"/>
  <c r="AH38" i="12"/>
  <c r="O34" i="11"/>
  <c r="N36" i="9"/>
  <c r="Q33" i="10"/>
  <c r="P33" i="10"/>
  <c r="J34" i="10"/>
  <c r="U33" i="10"/>
  <c r="T33" i="10"/>
  <c r="O33" i="10"/>
  <c r="N36" i="12"/>
  <c r="AJ37" i="9"/>
  <c r="E37" i="9" s="1"/>
  <c r="AH38" i="9"/>
  <c r="AA34" i="12"/>
  <c r="Z34" i="12"/>
  <c r="H35" i="12"/>
  <c r="M34" i="8"/>
  <c r="X34" i="8" s="1"/>
  <c r="L34" i="8"/>
  <c r="W34" i="8" s="1"/>
  <c r="G35" i="8"/>
  <c r="AA34" i="8"/>
  <c r="Z34" i="8"/>
  <c r="H35" i="8"/>
  <c r="S34" i="8"/>
  <c r="R34" i="8"/>
  <c r="J35" i="8"/>
  <c r="U34" i="8"/>
  <c r="Q34" i="8"/>
  <c r="P34" i="8"/>
  <c r="T34" i="8"/>
  <c r="O34" i="8"/>
  <c r="AJ38" i="8"/>
  <c r="E38" i="8" s="1"/>
  <c r="AH39" i="8"/>
  <c r="N37" i="8"/>
  <c r="J36" i="7"/>
  <c r="H36" i="7"/>
  <c r="N37" i="7"/>
  <c r="AJ38" i="7"/>
  <c r="E38" i="7" s="1"/>
  <c r="AH39" i="7"/>
  <c r="J36" i="6"/>
  <c r="H35" i="6"/>
  <c r="O35" i="6" s="1"/>
  <c r="S34" i="6"/>
  <c r="AA34" i="6"/>
  <c r="Z34" i="6"/>
  <c r="R34" i="6"/>
  <c r="T34" i="6"/>
  <c r="N36" i="6"/>
  <c r="AJ37" i="6"/>
  <c r="E37" i="6" s="1"/>
  <c r="AH38" i="6"/>
  <c r="O34" i="6"/>
  <c r="G35" i="6"/>
  <c r="M34" i="6"/>
  <c r="X34" i="6" s="1"/>
  <c r="L34" i="6"/>
  <c r="W34" i="6" s="1"/>
  <c r="J37" i="4"/>
  <c r="H35" i="4"/>
  <c r="AJ37" i="4"/>
  <c r="E37" i="4" s="1"/>
  <c r="AH38" i="4"/>
  <c r="M32" i="4"/>
  <c r="X32" i="4" s="1"/>
  <c r="L32" i="4"/>
  <c r="W32" i="4" s="1"/>
  <c r="G33" i="4"/>
  <c r="O32" i="4"/>
  <c r="R32" i="4"/>
  <c r="AA32" i="4"/>
  <c r="S32" i="4"/>
  <c r="P32" i="4"/>
  <c r="T32" i="4"/>
  <c r="U32" i="4"/>
  <c r="Q32" i="4"/>
  <c r="Z32" i="4"/>
  <c r="N36" i="4"/>
  <c r="D34" i="1"/>
  <c r="S34" i="1" s="1"/>
  <c r="C34" i="1"/>
  <c r="R34" i="1" s="1"/>
  <c r="H35" i="1"/>
  <c r="N40" i="27" l="1"/>
  <c r="T40" i="27"/>
  <c r="O39" i="27"/>
  <c r="AA39" i="27"/>
  <c r="N39" i="28"/>
  <c r="T39" i="28"/>
  <c r="O38" i="28"/>
  <c r="AA38" i="28"/>
  <c r="N38" i="26"/>
  <c r="T38" i="26"/>
  <c r="O37" i="26"/>
  <c r="AA37" i="26"/>
  <c r="N38" i="25"/>
  <c r="T38" i="25"/>
  <c r="O37" i="25"/>
  <c r="AA37" i="25"/>
  <c r="N39" i="24"/>
  <c r="T39" i="24"/>
  <c r="O38" i="24"/>
  <c r="AA38" i="24"/>
  <c r="N39" i="23"/>
  <c r="O39" i="23" s="1"/>
  <c r="T39" i="23"/>
  <c r="AA38" i="23"/>
  <c r="M39" i="23"/>
  <c r="X39" i="23" s="1"/>
  <c r="AA39" i="23"/>
  <c r="Z39" i="23"/>
  <c r="Q39" i="23"/>
  <c r="U39" i="23"/>
  <c r="G40" i="23"/>
  <c r="P39" i="23"/>
  <c r="N39" i="22"/>
  <c r="T39" i="22"/>
  <c r="O38" i="22"/>
  <c r="AA38" i="22"/>
  <c r="N39" i="21"/>
  <c r="T39" i="21"/>
  <c r="O38" i="21"/>
  <c r="AA38" i="21"/>
  <c r="L36" i="28"/>
  <c r="W36" i="28" s="1"/>
  <c r="J37" i="28"/>
  <c r="AJ40" i="28"/>
  <c r="E40" i="28" s="1"/>
  <c r="AH41" i="28"/>
  <c r="D38" i="28"/>
  <c r="S38" i="28" s="1"/>
  <c r="C38" i="28"/>
  <c r="R38" i="28" s="1"/>
  <c r="H39" i="28"/>
  <c r="H38" i="24"/>
  <c r="D37" i="24"/>
  <c r="S37" i="24" s="1"/>
  <c r="C37" i="24"/>
  <c r="R37" i="24" s="1"/>
  <c r="AJ39" i="25"/>
  <c r="E39" i="25" s="1"/>
  <c r="AH40" i="25"/>
  <c r="L36" i="24"/>
  <c r="W36" i="24" s="1"/>
  <c r="J37" i="24"/>
  <c r="D37" i="27"/>
  <c r="S37" i="27" s="1"/>
  <c r="C37" i="27"/>
  <c r="R37" i="27" s="1"/>
  <c r="H38" i="27"/>
  <c r="H40" i="25"/>
  <c r="D39" i="25"/>
  <c r="S39" i="25" s="1"/>
  <c r="C39" i="25"/>
  <c r="R39" i="25" s="1"/>
  <c r="AJ41" i="27"/>
  <c r="E41" i="27" s="1"/>
  <c r="AH42" i="27"/>
  <c r="J38" i="25"/>
  <c r="L37" i="25"/>
  <c r="W37" i="25" s="1"/>
  <c r="AJ40" i="24"/>
  <c r="E40" i="24" s="1"/>
  <c r="AH41" i="24"/>
  <c r="L38" i="27"/>
  <c r="W38" i="27" s="1"/>
  <c r="J39" i="27"/>
  <c r="J37" i="26"/>
  <c r="L36" i="26"/>
  <c r="W36" i="26" s="1"/>
  <c r="H38" i="26"/>
  <c r="C37" i="26"/>
  <c r="R37" i="26" s="1"/>
  <c r="D37" i="26"/>
  <c r="S37" i="26" s="1"/>
  <c r="AJ39" i="26"/>
  <c r="E39" i="26" s="1"/>
  <c r="AH40" i="26"/>
  <c r="L36" i="22"/>
  <c r="W36" i="22" s="1"/>
  <c r="J37" i="22"/>
  <c r="J37" i="23"/>
  <c r="L36" i="23"/>
  <c r="W36" i="23" s="1"/>
  <c r="H37" i="23"/>
  <c r="D36" i="23"/>
  <c r="S36" i="23" s="1"/>
  <c r="C36" i="23"/>
  <c r="R36" i="23" s="1"/>
  <c r="H39" i="22"/>
  <c r="D38" i="22"/>
  <c r="S38" i="22" s="1"/>
  <c r="C38" i="22"/>
  <c r="R38" i="22" s="1"/>
  <c r="AJ40" i="22"/>
  <c r="E40" i="22" s="1"/>
  <c r="AH41" i="22"/>
  <c r="AJ40" i="23"/>
  <c r="E40" i="23" s="1"/>
  <c r="AH41" i="23"/>
  <c r="J37" i="21"/>
  <c r="L36" i="21"/>
  <c r="W36" i="21" s="1"/>
  <c r="AJ40" i="21"/>
  <c r="E40" i="21" s="1"/>
  <c r="AH41" i="21"/>
  <c r="D37" i="21"/>
  <c r="S37" i="21" s="1"/>
  <c r="C37" i="21"/>
  <c r="R37" i="21" s="1"/>
  <c r="H38" i="21"/>
  <c r="AJ40" i="20"/>
  <c r="E40" i="20" s="1"/>
  <c r="AH41" i="20"/>
  <c r="N39" i="20"/>
  <c r="H39" i="20"/>
  <c r="J37" i="20"/>
  <c r="O36" i="20"/>
  <c r="G36" i="20"/>
  <c r="Q36" i="20" s="1"/>
  <c r="M35" i="20"/>
  <c r="X35" i="20" s="1"/>
  <c r="L35" i="20"/>
  <c r="W35" i="20" s="1"/>
  <c r="D35" i="20"/>
  <c r="S35" i="20" s="1"/>
  <c r="C35" i="20"/>
  <c r="R35" i="20" s="1"/>
  <c r="AA35" i="20"/>
  <c r="Z35" i="20"/>
  <c r="Q35" i="20"/>
  <c r="N40" i="19"/>
  <c r="AH42" i="19"/>
  <c r="AJ41" i="19"/>
  <c r="E41" i="19" s="1"/>
  <c r="J36" i="19"/>
  <c r="H36" i="19"/>
  <c r="G35" i="19"/>
  <c r="Q35" i="19" s="1"/>
  <c r="M34" i="19"/>
  <c r="X34" i="19" s="1"/>
  <c r="L34" i="19"/>
  <c r="W34" i="19" s="1"/>
  <c r="AA34" i="14"/>
  <c r="AA33" i="7"/>
  <c r="L33" i="7"/>
  <c r="W33" i="7" s="1"/>
  <c r="Q33" i="7"/>
  <c r="G34" i="7"/>
  <c r="D33" i="7"/>
  <c r="S33" i="7" s="1"/>
  <c r="O33" i="7"/>
  <c r="C33" i="7"/>
  <c r="R33" i="7" s="1"/>
  <c r="T33" i="7"/>
  <c r="U33" i="7"/>
  <c r="M33" i="7"/>
  <c r="X33" i="7" s="1"/>
  <c r="Z33" i="7"/>
  <c r="P33" i="7"/>
  <c r="D35" i="18"/>
  <c r="C35" i="18"/>
  <c r="D33" i="17"/>
  <c r="C33" i="17"/>
  <c r="R33" i="17" s="1"/>
  <c r="D34" i="16"/>
  <c r="C34" i="16"/>
  <c r="R34" i="16" s="1"/>
  <c r="D33" i="15"/>
  <c r="C33" i="15"/>
  <c r="D34" i="14"/>
  <c r="S34" i="14" s="1"/>
  <c r="C34" i="14"/>
  <c r="R34" i="14" s="1"/>
  <c r="D33" i="13"/>
  <c r="S33" i="13" s="1"/>
  <c r="C33" i="13"/>
  <c r="R33" i="13" s="1"/>
  <c r="D35" i="12"/>
  <c r="C35" i="12"/>
  <c r="D35" i="11"/>
  <c r="C35" i="11"/>
  <c r="D34" i="10"/>
  <c r="C34" i="10"/>
  <c r="D34" i="9"/>
  <c r="C34" i="9"/>
  <c r="D35" i="8"/>
  <c r="C35" i="8"/>
  <c r="D35" i="6"/>
  <c r="C35" i="6"/>
  <c r="R35" i="6" s="1"/>
  <c r="D33" i="4"/>
  <c r="C33" i="4"/>
  <c r="G36" i="1"/>
  <c r="Z35" i="1"/>
  <c r="U35" i="1"/>
  <c r="Q35" i="1"/>
  <c r="P35" i="1"/>
  <c r="M35" i="1"/>
  <c r="X35" i="1" s="1"/>
  <c r="L35" i="1"/>
  <c r="W35" i="1" s="1"/>
  <c r="T35" i="1"/>
  <c r="AA35" i="1"/>
  <c r="O35" i="1"/>
  <c r="O35" i="11"/>
  <c r="R34" i="12"/>
  <c r="S34" i="12"/>
  <c r="G36" i="18"/>
  <c r="M35" i="18"/>
  <c r="X35" i="18" s="1"/>
  <c r="L35" i="18"/>
  <c r="W35" i="18" s="1"/>
  <c r="Q35" i="18"/>
  <c r="P35" i="18"/>
  <c r="J36" i="18"/>
  <c r="U35" i="18"/>
  <c r="T35" i="18"/>
  <c r="AJ38" i="18"/>
  <c r="E38" i="18" s="1"/>
  <c r="AH39" i="18"/>
  <c r="N37" i="18"/>
  <c r="S35" i="18"/>
  <c r="R35" i="18"/>
  <c r="AA35" i="18"/>
  <c r="Z35" i="18"/>
  <c r="H36" i="18"/>
  <c r="H36" i="17"/>
  <c r="AJ39" i="17"/>
  <c r="E39" i="17" s="1"/>
  <c r="AH40" i="17"/>
  <c r="N38" i="17"/>
  <c r="L33" i="17"/>
  <c r="W33" i="17" s="1"/>
  <c r="G34" i="17"/>
  <c r="M33" i="17"/>
  <c r="X33" i="17" s="1"/>
  <c r="Z33" i="17"/>
  <c r="S33" i="17"/>
  <c r="AA33" i="17"/>
  <c r="O33" i="17"/>
  <c r="T33" i="17"/>
  <c r="U33" i="17"/>
  <c r="P33" i="17"/>
  <c r="Q33" i="17"/>
  <c r="J35" i="17"/>
  <c r="U34" i="17"/>
  <c r="U35" i="6"/>
  <c r="T35" i="6"/>
  <c r="J36" i="15"/>
  <c r="H36" i="13"/>
  <c r="AJ37" i="16"/>
  <c r="E37" i="16" s="1"/>
  <c r="AH38" i="16"/>
  <c r="N36" i="16"/>
  <c r="Q34" i="14"/>
  <c r="P34" i="14"/>
  <c r="J35" i="14"/>
  <c r="U34" i="14"/>
  <c r="T34" i="14"/>
  <c r="O34" i="14"/>
  <c r="AA34" i="16"/>
  <c r="J35" i="16"/>
  <c r="U34" i="16"/>
  <c r="Q34" i="16"/>
  <c r="P34" i="16"/>
  <c r="T34" i="16"/>
  <c r="N37" i="15"/>
  <c r="AJ39" i="13"/>
  <c r="E39" i="13" s="1"/>
  <c r="AH40" i="13"/>
  <c r="M33" i="13"/>
  <c r="X33" i="13" s="1"/>
  <c r="L33" i="13"/>
  <c r="W33" i="13" s="1"/>
  <c r="G34" i="13"/>
  <c r="Q33" i="13"/>
  <c r="P33" i="13"/>
  <c r="Z33" i="13"/>
  <c r="O33" i="13"/>
  <c r="T33" i="13"/>
  <c r="AA33" i="13"/>
  <c r="U33" i="13"/>
  <c r="M34" i="14"/>
  <c r="X34" i="14" s="1"/>
  <c r="L34" i="14"/>
  <c r="W34" i="14" s="1"/>
  <c r="G35" i="14"/>
  <c r="L34" i="16"/>
  <c r="W34" i="16" s="1"/>
  <c r="G35" i="16"/>
  <c r="M34" i="16"/>
  <c r="X34" i="16" s="1"/>
  <c r="N38" i="13"/>
  <c r="S34" i="16"/>
  <c r="H36" i="15"/>
  <c r="H36" i="16"/>
  <c r="J37" i="13"/>
  <c r="Z34" i="16"/>
  <c r="M33" i="15"/>
  <c r="X33" i="15" s="1"/>
  <c r="G34" i="15"/>
  <c r="L33" i="15"/>
  <c r="W33" i="15" s="1"/>
  <c r="U33" i="15"/>
  <c r="AA33" i="15"/>
  <c r="Q33" i="15"/>
  <c r="P33" i="15"/>
  <c r="T33" i="15"/>
  <c r="S33" i="15"/>
  <c r="R33" i="15"/>
  <c r="Z33" i="15"/>
  <c r="O33" i="15"/>
  <c r="AH39" i="14"/>
  <c r="AJ38" i="14"/>
  <c r="E38" i="14" s="1"/>
  <c r="O34" i="16"/>
  <c r="N37" i="14"/>
  <c r="AJ38" i="15"/>
  <c r="E38" i="15" s="1"/>
  <c r="AH39" i="15"/>
  <c r="H36" i="14"/>
  <c r="Q34" i="10"/>
  <c r="P34" i="10"/>
  <c r="J35" i="10"/>
  <c r="U34" i="10"/>
  <c r="T34" i="10"/>
  <c r="O34" i="10"/>
  <c r="J35" i="12"/>
  <c r="Q34" i="12"/>
  <c r="P34" i="12"/>
  <c r="U34" i="12"/>
  <c r="T34" i="12"/>
  <c r="O34" i="12"/>
  <c r="G35" i="10"/>
  <c r="M34" i="10"/>
  <c r="X34" i="10" s="1"/>
  <c r="L34" i="10"/>
  <c r="W34" i="10" s="1"/>
  <c r="Q34" i="9"/>
  <c r="P34" i="9"/>
  <c r="J35" i="9"/>
  <c r="U34" i="9"/>
  <c r="T34" i="9"/>
  <c r="O34" i="9"/>
  <c r="AA35" i="12"/>
  <c r="Z35" i="12"/>
  <c r="H36" i="12"/>
  <c r="R35" i="12"/>
  <c r="H37" i="9"/>
  <c r="M34" i="9"/>
  <c r="X34" i="9" s="1"/>
  <c r="L34" i="9"/>
  <c r="W34" i="9" s="1"/>
  <c r="G35" i="9"/>
  <c r="S34" i="9"/>
  <c r="R34" i="9"/>
  <c r="AA34" i="9"/>
  <c r="Z34" i="9"/>
  <c r="J38" i="11"/>
  <c r="AH39" i="11"/>
  <c r="AJ38" i="11"/>
  <c r="E38" i="11" s="1"/>
  <c r="AJ38" i="9"/>
  <c r="E38" i="9" s="1"/>
  <c r="AH39" i="9"/>
  <c r="N37" i="11"/>
  <c r="N37" i="9"/>
  <c r="AJ38" i="12"/>
  <c r="E38" i="12" s="1"/>
  <c r="AH39" i="12"/>
  <c r="R35" i="11"/>
  <c r="AA35" i="11"/>
  <c r="Z35" i="11"/>
  <c r="H36" i="11"/>
  <c r="S35" i="11"/>
  <c r="P35" i="11"/>
  <c r="Q35" i="11"/>
  <c r="T35" i="11"/>
  <c r="U35" i="11"/>
  <c r="AJ38" i="10"/>
  <c r="E38" i="10" s="1"/>
  <c r="AH39" i="10"/>
  <c r="N37" i="12"/>
  <c r="M35" i="12"/>
  <c r="X35" i="12" s="1"/>
  <c r="L35" i="12"/>
  <c r="W35" i="12" s="1"/>
  <c r="G36" i="12"/>
  <c r="N37" i="10"/>
  <c r="L34" i="12"/>
  <c r="W34" i="12" s="1"/>
  <c r="M35" i="11"/>
  <c r="X35" i="11" s="1"/>
  <c r="L35" i="11"/>
  <c r="W35" i="11" s="1"/>
  <c r="G36" i="11"/>
  <c r="S34" i="10"/>
  <c r="R34" i="10"/>
  <c r="AA34" i="10"/>
  <c r="Z34" i="10"/>
  <c r="H35" i="10"/>
  <c r="J36" i="8"/>
  <c r="Q35" i="8"/>
  <c r="P35" i="8"/>
  <c r="U35" i="8"/>
  <c r="T35" i="8"/>
  <c r="O35" i="8"/>
  <c r="AA35" i="8"/>
  <c r="Z35" i="8"/>
  <c r="H36" i="8"/>
  <c r="S35" i="8"/>
  <c r="R35" i="8"/>
  <c r="AJ39" i="8"/>
  <c r="E39" i="8" s="1"/>
  <c r="AH40" i="8"/>
  <c r="N38" i="8"/>
  <c r="M35" i="8"/>
  <c r="X35" i="8" s="1"/>
  <c r="L35" i="8"/>
  <c r="W35" i="8" s="1"/>
  <c r="G36" i="8"/>
  <c r="H37" i="7"/>
  <c r="AH40" i="7"/>
  <c r="AJ39" i="7"/>
  <c r="E39" i="7" s="1"/>
  <c r="N38" i="7"/>
  <c r="J37" i="7"/>
  <c r="S35" i="6"/>
  <c r="AA35" i="6"/>
  <c r="Z35" i="6"/>
  <c r="H36" i="6"/>
  <c r="G36" i="6"/>
  <c r="U36" i="6" s="1"/>
  <c r="M35" i="6"/>
  <c r="X35" i="6" s="1"/>
  <c r="L35" i="6"/>
  <c r="W35" i="6" s="1"/>
  <c r="AJ38" i="6"/>
  <c r="E38" i="6" s="1"/>
  <c r="AH39" i="6"/>
  <c r="N37" i="6"/>
  <c r="J37" i="6"/>
  <c r="P35" i="6"/>
  <c r="Q35" i="6"/>
  <c r="M33" i="4"/>
  <c r="X33" i="4" s="1"/>
  <c r="L33" i="4"/>
  <c r="W33" i="4" s="1"/>
  <c r="G34" i="4"/>
  <c r="O33" i="4"/>
  <c r="AA33" i="4"/>
  <c r="Z33" i="4"/>
  <c r="U33" i="4"/>
  <c r="S33" i="4"/>
  <c r="R33" i="4"/>
  <c r="T33" i="4"/>
  <c r="Q33" i="4"/>
  <c r="P33" i="4"/>
  <c r="H36" i="4"/>
  <c r="AJ38" i="4"/>
  <c r="E38" i="4" s="1"/>
  <c r="AH39" i="4"/>
  <c r="N37" i="4"/>
  <c r="J38" i="4"/>
  <c r="H36" i="1"/>
  <c r="C35" i="1"/>
  <c r="R35" i="1" s="1"/>
  <c r="D35" i="1"/>
  <c r="S35" i="1" s="1"/>
  <c r="N41" i="27" l="1"/>
  <c r="T41" i="27"/>
  <c r="O40" i="27"/>
  <c r="AA40" i="27"/>
  <c r="N40" i="28"/>
  <c r="T40" i="28"/>
  <c r="O39" i="28"/>
  <c r="AA39" i="28"/>
  <c r="N39" i="26"/>
  <c r="T39" i="26"/>
  <c r="O38" i="26"/>
  <c r="AA38" i="26"/>
  <c r="N39" i="25"/>
  <c r="T39" i="25"/>
  <c r="O38" i="25"/>
  <c r="AA38" i="25"/>
  <c r="N40" i="24"/>
  <c r="T40" i="24"/>
  <c r="O39" i="24"/>
  <c r="AA39" i="24"/>
  <c r="M40" i="23"/>
  <c r="X40" i="23" s="1"/>
  <c r="Z40" i="23"/>
  <c r="Q40" i="23"/>
  <c r="G41" i="23"/>
  <c r="P40" i="23"/>
  <c r="U40" i="23"/>
  <c r="N40" i="23"/>
  <c r="O40" i="23" s="1"/>
  <c r="T40" i="23"/>
  <c r="N40" i="22"/>
  <c r="T40" i="22"/>
  <c r="O39" i="22"/>
  <c r="AA39" i="22"/>
  <c r="N40" i="21"/>
  <c r="T40" i="21"/>
  <c r="O39" i="21"/>
  <c r="AA39" i="21"/>
  <c r="P36" i="20"/>
  <c r="D39" i="28"/>
  <c r="S39" i="28" s="1"/>
  <c r="C39" i="28"/>
  <c r="R39" i="28" s="1"/>
  <c r="H40" i="28"/>
  <c r="AJ41" i="28"/>
  <c r="E41" i="28" s="1"/>
  <c r="AH42" i="28"/>
  <c r="L37" i="28"/>
  <c r="W37" i="28" s="1"/>
  <c r="J38" i="28"/>
  <c r="H39" i="26"/>
  <c r="D38" i="26"/>
  <c r="S38" i="26" s="1"/>
  <c r="C38" i="26"/>
  <c r="R38" i="26" s="1"/>
  <c r="H41" i="25"/>
  <c r="D40" i="25"/>
  <c r="S40" i="25" s="1"/>
  <c r="C40" i="25"/>
  <c r="R40" i="25" s="1"/>
  <c r="J38" i="26"/>
  <c r="L37" i="26"/>
  <c r="W37" i="26" s="1"/>
  <c r="D38" i="27"/>
  <c r="S38" i="27" s="1"/>
  <c r="C38" i="27"/>
  <c r="R38" i="27" s="1"/>
  <c r="H39" i="27"/>
  <c r="J40" i="27"/>
  <c r="AJ41" i="24"/>
  <c r="E41" i="24" s="1"/>
  <c r="AH42" i="24"/>
  <c r="J38" i="24"/>
  <c r="L37" i="24"/>
  <c r="W37" i="24" s="1"/>
  <c r="AJ40" i="25"/>
  <c r="E40" i="25" s="1"/>
  <c r="AH41" i="25"/>
  <c r="AJ40" i="26"/>
  <c r="E40" i="26" s="1"/>
  <c r="AH41" i="26"/>
  <c r="L38" i="25"/>
  <c r="W38" i="25" s="1"/>
  <c r="J39" i="25"/>
  <c r="AJ42" i="27"/>
  <c r="E42" i="27" s="1"/>
  <c r="AH43" i="27"/>
  <c r="H39" i="24"/>
  <c r="D38" i="24"/>
  <c r="S38" i="24" s="1"/>
  <c r="C38" i="24"/>
  <c r="R38" i="24" s="1"/>
  <c r="AJ41" i="22"/>
  <c r="E41" i="22" s="1"/>
  <c r="AH42" i="22"/>
  <c r="H40" i="22"/>
  <c r="D39" i="22"/>
  <c r="S39" i="22" s="1"/>
  <c r="C39" i="22"/>
  <c r="R39" i="22" s="1"/>
  <c r="D37" i="23"/>
  <c r="S37" i="23" s="1"/>
  <c r="C37" i="23"/>
  <c r="R37" i="23" s="1"/>
  <c r="H38" i="23"/>
  <c r="L37" i="23"/>
  <c r="W37" i="23" s="1"/>
  <c r="J38" i="23"/>
  <c r="AJ41" i="23"/>
  <c r="E41" i="23" s="1"/>
  <c r="AH42" i="23"/>
  <c r="J38" i="22"/>
  <c r="L37" i="22"/>
  <c r="W37" i="22" s="1"/>
  <c r="D38" i="21"/>
  <c r="S38" i="21" s="1"/>
  <c r="C38" i="21"/>
  <c r="R38" i="21" s="1"/>
  <c r="H39" i="21"/>
  <c r="AJ41" i="21"/>
  <c r="E41" i="21" s="1"/>
  <c r="AH42" i="21"/>
  <c r="J38" i="21"/>
  <c r="L37" i="21"/>
  <c r="W37" i="21" s="1"/>
  <c r="J38" i="20"/>
  <c r="G37" i="20"/>
  <c r="P37" i="20" s="1"/>
  <c r="M36" i="20"/>
  <c r="X36" i="20" s="1"/>
  <c r="L36" i="20"/>
  <c r="W36" i="20" s="1"/>
  <c r="Z36" i="20"/>
  <c r="D36" i="20"/>
  <c r="S36" i="20" s="1"/>
  <c r="C36" i="20"/>
  <c r="R36" i="20" s="1"/>
  <c r="AA36" i="20"/>
  <c r="T36" i="20"/>
  <c r="AJ41" i="20"/>
  <c r="E41" i="20" s="1"/>
  <c r="AH42" i="20"/>
  <c r="H40" i="20"/>
  <c r="U36" i="20"/>
  <c r="N40" i="20"/>
  <c r="T35" i="19"/>
  <c r="C35" i="19"/>
  <c r="R35" i="19" s="1"/>
  <c r="AA35" i="19"/>
  <c r="O35" i="19"/>
  <c r="U35" i="19"/>
  <c r="J37" i="19"/>
  <c r="P35" i="19"/>
  <c r="G36" i="19"/>
  <c r="C36" i="19" s="1"/>
  <c r="R36" i="19" s="1"/>
  <c r="M35" i="19"/>
  <c r="X35" i="19" s="1"/>
  <c r="L35" i="19"/>
  <c r="W35" i="19" s="1"/>
  <c r="N41" i="19"/>
  <c r="Z35" i="19"/>
  <c r="AJ42" i="19"/>
  <c r="E42" i="19" s="1"/>
  <c r="AH43" i="19"/>
  <c r="H37" i="19"/>
  <c r="D35" i="19"/>
  <c r="S35" i="19" s="1"/>
  <c r="M34" i="7"/>
  <c r="X34" i="7" s="1"/>
  <c r="U34" i="7"/>
  <c r="L34" i="7"/>
  <c r="W34" i="7" s="1"/>
  <c r="AA34" i="7"/>
  <c r="G35" i="7"/>
  <c r="P34" i="7"/>
  <c r="O34" i="7"/>
  <c r="Z34" i="7"/>
  <c r="Q34" i="7"/>
  <c r="T34" i="7"/>
  <c r="D34" i="7"/>
  <c r="S34" i="7" s="1"/>
  <c r="C34" i="7"/>
  <c r="R34" i="7" s="1"/>
  <c r="D36" i="18"/>
  <c r="C36" i="18"/>
  <c r="C34" i="17"/>
  <c r="D34" i="17"/>
  <c r="S34" i="17" s="1"/>
  <c r="D35" i="16"/>
  <c r="C35" i="16"/>
  <c r="D34" i="15"/>
  <c r="C34" i="15"/>
  <c r="C35" i="14"/>
  <c r="D35" i="14"/>
  <c r="S35" i="14" s="1"/>
  <c r="D34" i="13"/>
  <c r="S34" i="13" s="1"/>
  <c r="C34" i="13"/>
  <c r="R34" i="13" s="1"/>
  <c r="D36" i="12"/>
  <c r="C36" i="12"/>
  <c r="C36" i="11"/>
  <c r="D36" i="11"/>
  <c r="D35" i="10"/>
  <c r="C35" i="10"/>
  <c r="D35" i="9"/>
  <c r="C35" i="9"/>
  <c r="D36" i="8"/>
  <c r="C36" i="8"/>
  <c r="O36" i="6"/>
  <c r="P36" i="6"/>
  <c r="D36" i="6"/>
  <c r="C36" i="6"/>
  <c r="D34" i="4"/>
  <c r="C34" i="4"/>
  <c r="G37" i="1"/>
  <c r="Q36" i="1"/>
  <c r="Z36" i="1"/>
  <c r="P36" i="1"/>
  <c r="U36" i="1"/>
  <c r="M36" i="1"/>
  <c r="X36" i="1" s="1"/>
  <c r="AA36" i="1"/>
  <c r="L36" i="1"/>
  <c r="W36" i="1" s="1"/>
  <c r="T36" i="1"/>
  <c r="O36" i="1"/>
  <c r="O36" i="18"/>
  <c r="Z35" i="16"/>
  <c r="AA35" i="16"/>
  <c r="O35" i="16"/>
  <c r="Q36" i="6"/>
  <c r="S35" i="16"/>
  <c r="AJ39" i="18"/>
  <c r="E39" i="18" s="1"/>
  <c r="AH40" i="18"/>
  <c r="N38" i="18"/>
  <c r="S36" i="18"/>
  <c r="R36" i="18"/>
  <c r="AA36" i="18"/>
  <c r="Z36" i="18"/>
  <c r="H37" i="18"/>
  <c r="Q36" i="18"/>
  <c r="P36" i="18"/>
  <c r="J37" i="18"/>
  <c r="U36" i="18"/>
  <c r="T36" i="18"/>
  <c r="M36" i="18"/>
  <c r="X36" i="18" s="1"/>
  <c r="L36" i="18"/>
  <c r="W36" i="18" s="1"/>
  <c r="G37" i="18"/>
  <c r="G35" i="17"/>
  <c r="M34" i="17"/>
  <c r="X34" i="17" s="1"/>
  <c r="L34" i="17"/>
  <c r="W34" i="17" s="1"/>
  <c r="R34" i="17"/>
  <c r="AA34" i="17"/>
  <c r="Z34" i="17"/>
  <c r="J36" i="17"/>
  <c r="AJ40" i="17"/>
  <c r="E40" i="17" s="1"/>
  <c r="AH41" i="17"/>
  <c r="N39" i="17"/>
  <c r="O34" i="17"/>
  <c r="T34" i="17"/>
  <c r="P34" i="17"/>
  <c r="Q34" i="17"/>
  <c r="H37" i="17"/>
  <c r="H37" i="15"/>
  <c r="M35" i="14"/>
  <c r="X35" i="14" s="1"/>
  <c r="L35" i="14"/>
  <c r="W35" i="14" s="1"/>
  <c r="G36" i="14"/>
  <c r="N38" i="15"/>
  <c r="H37" i="13"/>
  <c r="AJ40" i="13"/>
  <c r="E40" i="13" s="1"/>
  <c r="AH41" i="13"/>
  <c r="AJ39" i="15"/>
  <c r="E39" i="15" s="1"/>
  <c r="AH40" i="15"/>
  <c r="H37" i="16"/>
  <c r="M34" i="13"/>
  <c r="X34" i="13" s="1"/>
  <c r="L34" i="13"/>
  <c r="W34" i="13" s="1"/>
  <c r="G35" i="13"/>
  <c r="U34" i="13"/>
  <c r="T34" i="13"/>
  <c r="O34" i="13"/>
  <c r="P34" i="13"/>
  <c r="Q34" i="13"/>
  <c r="AA34" i="13"/>
  <c r="Z34" i="13"/>
  <c r="N39" i="13"/>
  <c r="Q35" i="14"/>
  <c r="P35" i="14"/>
  <c r="J36" i="14"/>
  <c r="U35" i="14"/>
  <c r="T35" i="14"/>
  <c r="O35" i="14"/>
  <c r="AJ39" i="14"/>
  <c r="E39" i="14" s="1"/>
  <c r="AH40" i="14"/>
  <c r="H37" i="14"/>
  <c r="Z35" i="14"/>
  <c r="J38" i="13"/>
  <c r="J36" i="16"/>
  <c r="Q35" i="16"/>
  <c r="P35" i="16"/>
  <c r="U35" i="16"/>
  <c r="T35" i="16"/>
  <c r="AA35" i="14"/>
  <c r="R35" i="14"/>
  <c r="AJ38" i="16"/>
  <c r="E38" i="16" s="1"/>
  <c r="AH39" i="16"/>
  <c r="N38" i="14"/>
  <c r="L34" i="15"/>
  <c r="W34" i="15" s="1"/>
  <c r="G35" i="15"/>
  <c r="M34" i="15"/>
  <c r="X34" i="15" s="1"/>
  <c r="T34" i="15"/>
  <c r="O34" i="15"/>
  <c r="Z34" i="15"/>
  <c r="S34" i="15"/>
  <c r="R34" i="15"/>
  <c r="AA34" i="15"/>
  <c r="Q34" i="15"/>
  <c r="U34" i="15"/>
  <c r="P34" i="15"/>
  <c r="R35" i="16"/>
  <c r="G36" i="16"/>
  <c r="M35" i="16"/>
  <c r="X35" i="16" s="1"/>
  <c r="L35" i="16"/>
  <c r="W35" i="16" s="1"/>
  <c r="N37" i="16"/>
  <c r="J37" i="15"/>
  <c r="AJ39" i="9"/>
  <c r="E39" i="9" s="1"/>
  <c r="AH40" i="9"/>
  <c r="AA36" i="12"/>
  <c r="Z36" i="12"/>
  <c r="H37" i="12"/>
  <c r="M36" i="12"/>
  <c r="X36" i="12" s="1"/>
  <c r="G37" i="12"/>
  <c r="N38" i="9"/>
  <c r="M35" i="9"/>
  <c r="X35" i="9" s="1"/>
  <c r="L35" i="9"/>
  <c r="W35" i="9" s="1"/>
  <c r="G36" i="9"/>
  <c r="R35" i="9"/>
  <c r="AA35" i="9"/>
  <c r="Z35" i="9"/>
  <c r="S35" i="9"/>
  <c r="N38" i="11"/>
  <c r="AJ39" i="11"/>
  <c r="E39" i="11" s="1"/>
  <c r="AH40" i="11"/>
  <c r="J36" i="12"/>
  <c r="L36" i="12" s="1"/>
  <c r="W36" i="12" s="1"/>
  <c r="Q35" i="12"/>
  <c r="P35" i="12"/>
  <c r="U35" i="12"/>
  <c r="T35" i="12"/>
  <c r="O35" i="12"/>
  <c r="S35" i="10"/>
  <c r="R35" i="10"/>
  <c r="AA35" i="10"/>
  <c r="Z35" i="10"/>
  <c r="H36" i="10"/>
  <c r="P35" i="9"/>
  <c r="J36" i="9"/>
  <c r="Q35" i="9"/>
  <c r="U35" i="9"/>
  <c r="T35" i="9"/>
  <c r="O35" i="9"/>
  <c r="M36" i="11"/>
  <c r="X36" i="11" s="1"/>
  <c r="L36" i="11"/>
  <c r="W36" i="11" s="1"/>
  <c r="G37" i="11"/>
  <c r="AJ39" i="12"/>
  <c r="E39" i="12" s="1"/>
  <c r="AH40" i="12"/>
  <c r="H38" i="9"/>
  <c r="AJ39" i="10"/>
  <c r="E39" i="10" s="1"/>
  <c r="AH40" i="10"/>
  <c r="N38" i="12"/>
  <c r="AA36" i="11"/>
  <c r="Z36" i="11"/>
  <c r="H37" i="11"/>
  <c r="S36" i="11"/>
  <c r="R36" i="11"/>
  <c r="T36" i="11"/>
  <c r="Q36" i="11"/>
  <c r="P36" i="11"/>
  <c r="U36" i="11"/>
  <c r="N38" i="10"/>
  <c r="J39" i="11"/>
  <c r="Q35" i="10"/>
  <c r="P35" i="10"/>
  <c r="J36" i="10"/>
  <c r="U35" i="10"/>
  <c r="T35" i="10"/>
  <c r="O35" i="10"/>
  <c r="O36" i="11"/>
  <c r="S35" i="12"/>
  <c r="M35" i="10"/>
  <c r="X35" i="10" s="1"/>
  <c r="L35" i="10"/>
  <c r="W35" i="10" s="1"/>
  <c r="G36" i="10"/>
  <c r="AA36" i="8"/>
  <c r="Z36" i="8"/>
  <c r="H37" i="8"/>
  <c r="S36" i="8"/>
  <c r="R36" i="8"/>
  <c r="N39" i="8"/>
  <c r="M36" i="8"/>
  <c r="X36" i="8" s="1"/>
  <c r="L36" i="8"/>
  <c r="W36" i="8" s="1"/>
  <c r="G37" i="8"/>
  <c r="AJ40" i="8"/>
  <c r="E40" i="8" s="1"/>
  <c r="AH41" i="8"/>
  <c r="J37" i="8"/>
  <c r="Q36" i="8"/>
  <c r="P36" i="8"/>
  <c r="U36" i="8"/>
  <c r="T36" i="8"/>
  <c r="O36" i="8"/>
  <c r="N39" i="7"/>
  <c r="AJ40" i="7"/>
  <c r="E40" i="7" s="1"/>
  <c r="AH41" i="7"/>
  <c r="J38" i="7"/>
  <c r="H38" i="7"/>
  <c r="AJ39" i="6"/>
  <c r="E39" i="6" s="1"/>
  <c r="AH40" i="6"/>
  <c r="M36" i="6"/>
  <c r="X36" i="6" s="1"/>
  <c r="L36" i="6"/>
  <c r="W36" i="6" s="1"/>
  <c r="G37" i="6"/>
  <c r="S36" i="6"/>
  <c r="R36" i="6"/>
  <c r="AA36" i="6"/>
  <c r="Z36" i="6"/>
  <c r="H37" i="6"/>
  <c r="T36" i="6"/>
  <c r="J38" i="6"/>
  <c r="N38" i="6"/>
  <c r="AJ39" i="4"/>
  <c r="E39" i="4" s="1"/>
  <c r="AH40" i="4"/>
  <c r="J39" i="4"/>
  <c r="L34" i="4"/>
  <c r="W34" i="4" s="1"/>
  <c r="M34" i="4"/>
  <c r="X34" i="4" s="1"/>
  <c r="G35" i="4"/>
  <c r="O34" i="4"/>
  <c r="U34" i="4"/>
  <c r="T34" i="4"/>
  <c r="P34" i="4"/>
  <c r="Q34" i="4"/>
  <c r="Z34" i="4"/>
  <c r="S34" i="4"/>
  <c r="R34" i="4"/>
  <c r="AA34" i="4"/>
  <c r="N38" i="4"/>
  <c r="H37" i="4"/>
  <c r="H37" i="1"/>
  <c r="D36" i="1"/>
  <c r="S36" i="1" s="1"/>
  <c r="C36" i="1"/>
  <c r="R36" i="1" s="1"/>
  <c r="N42" i="27" l="1"/>
  <c r="T42" i="27"/>
  <c r="O41" i="27"/>
  <c r="AA41" i="27"/>
  <c r="N41" i="28"/>
  <c r="T41" i="28"/>
  <c r="O40" i="28"/>
  <c r="AA40" i="28"/>
  <c r="N40" i="26"/>
  <c r="T40" i="26"/>
  <c r="O39" i="26"/>
  <c r="AA39" i="26"/>
  <c r="N40" i="25"/>
  <c r="T40" i="25"/>
  <c r="O39" i="25"/>
  <c r="AA39" i="25"/>
  <c r="N41" i="24"/>
  <c r="T41" i="24"/>
  <c r="O40" i="24"/>
  <c r="AA40" i="24"/>
  <c r="M41" i="23"/>
  <c r="X41" i="23" s="1"/>
  <c r="Q41" i="23"/>
  <c r="G42" i="23"/>
  <c r="P41" i="23"/>
  <c r="Z41" i="23"/>
  <c r="U41" i="23"/>
  <c r="N41" i="23"/>
  <c r="O41" i="23" s="1"/>
  <c r="T41" i="23"/>
  <c r="AA40" i="23"/>
  <c r="N41" i="22"/>
  <c r="T41" i="22"/>
  <c r="O40" i="22"/>
  <c r="AA40" i="22"/>
  <c r="N41" i="21"/>
  <c r="T41" i="21"/>
  <c r="O40" i="21"/>
  <c r="AA40" i="21"/>
  <c r="O37" i="20"/>
  <c r="L38" i="28"/>
  <c r="W38" i="28" s="1"/>
  <c r="J39" i="28"/>
  <c r="AJ42" i="28"/>
  <c r="E42" i="28" s="1"/>
  <c r="AH43" i="28"/>
  <c r="D40" i="28"/>
  <c r="S40" i="28" s="1"/>
  <c r="C40" i="28"/>
  <c r="R40" i="28" s="1"/>
  <c r="H41" i="28"/>
  <c r="J41" i="27"/>
  <c r="J40" i="25"/>
  <c r="L39" i="25"/>
  <c r="W39" i="25" s="1"/>
  <c r="D39" i="27"/>
  <c r="S39" i="27" s="1"/>
  <c r="C39" i="27"/>
  <c r="R39" i="27" s="1"/>
  <c r="H40" i="27"/>
  <c r="AJ41" i="25"/>
  <c r="E41" i="25" s="1"/>
  <c r="AH42" i="25"/>
  <c r="J39" i="26"/>
  <c r="L38" i="26"/>
  <c r="W38" i="26" s="1"/>
  <c r="AJ41" i="26"/>
  <c r="E41" i="26" s="1"/>
  <c r="AH42" i="26"/>
  <c r="J39" i="24"/>
  <c r="L38" i="24"/>
  <c r="W38" i="24" s="1"/>
  <c r="D41" i="25"/>
  <c r="S41" i="25" s="1"/>
  <c r="C41" i="25"/>
  <c r="R41" i="25" s="1"/>
  <c r="H42" i="25"/>
  <c r="AJ42" i="24"/>
  <c r="E42" i="24" s="1"/>
  <c r="AH43" i="24"/>
  <c r="D39" i="24"/>
  <c r="S39" i="24" s="1"/>
  <c r="C39" i="24"/>
  <c r="R39" i="24" s="1"/>
  <c r="H40" i="24"/>
  <c r="AH44" i="27"/>
  <c r="AJ43" i="27"/>
  <c r="E43" i="27" s="1"/>
  <c r="L39" i="27"/>
  <c r="W39" i="27" s="1"/>
  <c r="H40" i="26"/>
  <c r="D39" i="26"/>
  <c r="S39" i="26" s="1"/>
  <c r="C39" i="26"/>
  <c r="R39" i="26" s="1"/>
  <c r="AJ42" i="23"/>
  <c r="E42" i="23" s="1"/>
  <c r="AH43" i="23"/>
  <c r="J39" i="23"/>
  <c r="L38" i="23"/>
  <c r="W38" i="23" s="1"/>
  <c r="D38" i="23"/>
  <c r="S38" i="23" s="1"/>
  <c r="C38" i="23"/>
  <c r="R38" i="23" s="1"/>
  <c r="H39" i="23"/>
  <c r="H41" i="22"/>
  <c r="D40" i="22"/>
  <c r="S40" i="22" s="1"/>
  <c r="C40" i="22"/>
  <c r="R40" i="22" s="1"/>
  <c r="AJ42" i="22"/>
  <c r="E42" i="22" s="1"/>
  <c r="AH43" i="22"/>
  <c r="J39" i="22"/>
  <c r="L38" i="22"/>
  <c r="W38" i="22" s="1"/>
  <c r="J39" i="21"/>
  <c r="L38" i="21"/>
  <c r="W38" i="21" s="1"/>
  <c r="AJ42" i="21"/>
  <c r="E42" i="21" s="1"/>
  <c r="AH43" i="21"/>
  <c r="D39" i="21"/>
  <c r="S39" i="21" s="1"/>
  <c r="C39" i="21"/>
  <c r="R39" i="21" s="1"/>
  <c r="H40" i="21"/>
  <c r="H41" i="20"/>
  <c r="AH43" i="20"/>
  <c r="AJ42" i="20"/>
  <c r="E42" i="20" s="1"/>
  <c r="T37" i="20"/>
  <c r="N41" i="20"/>
  <c r="U37" i="20"/>
  <c r="J39" i="20"/>
  <c r="L37" i="20"/>
  <c r="W37" i="20" s="1"/>
  <c r="M37" i="20"/>
  <c r="X37" i="20" s="1"/>
  <c r="G38" i="20"/>
  <c r="D37" i="20"/>
  <c r="S37" i="20" s="1"/>
  <c r="C37" i="20"/>
  <c r="R37" i="20" s="1"/>
  <c r="Z37" i="20"/>
  <c r="AA37" i="20"/>
  <c r="Q37" i="20"/>
  <c r="AA36" i="19"/>
  <c r="L36" i="19"/>
  <c r="W36" i="19" s="1"/>
  <c r="G37" i="19"/>
  <c r="C37" i="19" s="1"/>
  <c r="R37" i="19" s="1"/>
  <c r="M36" i="19"/>
  <c r="X36" i="19" s="1"/>
  <c r="AA37" i="19"/>
  <c r="H38" i="19"/>
  <c r="D37" i="19"/>
  <c r="S37" i="19" s="1"/>
  <c r="Z37" i="19"/>
  <c r="O36" i="19"/>
  <c r="Z36" i="19"/>
  <c r="T36" i="19"/>
  <c r="D36" i="19"/>
  <c r="S36" i="19" s="1"/>
  <c r="P37" i="19"/>
  <c r="J38" i="19"/>
  <c r="U37" i="19"/>
  <c r="Q37" i="19"/>
  <c r="T37" i="19"/>
  <c r="O37" i="19"/>
  <c r="AH44" i="19"/>
  <c r="AJ43" i="19"/>
  <c r="E43" i="19" s="1"/>
  <c r="P36" i="19"/>
  <c r="N42" i="19"/>
  <c r="U36" i="19"/>
  <c r="Q36" i="19"/>
  <c r="AA35" i="7"/>
  <c r="Z35" i="7"/>
  <c r="D35" i="7"/>
  <c r="S35" i="7" s="1"/>
  <c r="C35" i="7"/>
  <c r="R35" i="7" s="1"/>
  <c r="M35" i="7"/>
  <c r="X35" i="7" s="1"/>
  <c r="O35" i="7"/>
  <c r="P35" i="7"/>
  <c r="T35" i="7"/>
  <c r="L35" i="7"/>
  <c r="W35" i="7" s="1"/>
  <c r="G36" i="7"/>
  <c r="U35" i="7"/>
  <c r="Q35" i="7"/>
  <c r="O37" i="11"/>
  <c r="D37" i="18"/>
  <c r="C37" i="18"/>
  <c r="Q35" i="17"/>
  <c r="D35" i="17"/>
  <c r="C35" i="17"/>
  <c r="R35" i="17" s="1"/>
  <c r="D36" i="16"/>
  <c r="S36" i="16" s="1"/>
  <c r="C36" i="16"/>
  <c r="R36" i="16" s="1"/>
  <c r="C35" i="15"/>
  <c r="R35" i="15" s="1"/>
  <c r="D35" i="15"/>
  <c r="S35" i="15" s="1"/>
  <c r="S36" i="14"/>
  <c r="C36" i="14"/>
  <c r="R36" i="14" s="1"/>
  <c r="D36" i="14"/>
  <c r="C35" i="13"/>
  <c r="D35" i="13"/>
  <c r="D37" i="12"/>
  <c r="C37" i="12"/>
  <c r="D37" i="11"/>
  <c r="C37" i="11"/>
  <c r="D36" i="10"/>
  <c r="C36" i="10"/>
  <c r="C36" i="9"/>
  <c r="D36" i="9"/>
  <c r="D37" i="8"/>
  <c r="S37" i="8" s="1"/>
  <c r="C37" i="8"/>
  <c r="D37" i="6"/>
  <c r="C37" i="6"/>
  <c r="C35" i="4"/>
  <c r="D35" i="4"/>
  <c r="G38" i="1"/>
  <c r="Z37" i="1"/>
  <c r="U37" i="1"/>
  <c r="Q37" i="1"/>
  <c r="P37" i="1"/>
  <c r="M37" i="1"/>
  <c r="X37" i="1" s="1"/>
  <c r="L37" i="1"/>
  <c r="W37" i="1" s="1"/>
  <c r="AA37" i="1"/>
  <c r="T37" i="1"/>
  <c r="O37" i="1"/>
  <c r="O35" i="17"/>
  <c r="T35" i="17"/>
  <c r="U35" i="17"/>
  <c r="P35" i="17"/>
  <c r="O36" i="16"/>
  <c r="Z36" i="16"/>
  <c r="Z36" i="14"/>
  <c r="AA36" i="14"/>
  <c r="O37" i="6"/>
  <c r="R36" i="12"/>
  <c r="S37" i="18"/>
  <c r="R37" i="18"/>
  <c r="AA37" i="18"/>
  <c r="Z37" i="18"/>
  <c r="H38" i="18"/>
  <c r="M37" i="18"/>
  <c r="X37" i="18" s="1"/>
  <c r="L37" i="18"/>
  <c r="W37" i="18" s="1"/>
  <c r="G38" i="18"/>
  <c r="O38" i="18"/>
  <c r="AJ40" i="18"/>
  <c r="E40" i="18" s="1"/>
  <c r="AH41" i="18"/>
  <c r="N39" i="18"/>
  <c r="Q37" i="18"/>
  <c r="P37" i="18"/>
  <c r="J38" i="18"/>
  <c r="U37" i="18"/>
  <c r="T37" i="18"/>
  <c r="O37" i="18"/>
  <c r="J37" i="17"/>
  <c r="AJ41" i="17"/>
  <c r="E41" i="17" s="1"/>
  <c r="AH42" i="17"/>
  <c r="H38" i="17"/>
  <c r="N40" i="17"/>
  <c r="G36" i="17"/>
  <c r="O36" i="17" s="1"/>
  <c r="M35" i="17"/>
  <c r="X35" i="17" s="1"/>
  <c r="L35" i="17"/>
  <c r="W35" i="17" s="1"/>
  <c r="S35" i="17"/>
  <c r="AA35" i="17"/>
  <c r="Z35" i="17"/>
  <c r="AJ39" i="16"/>
  <c r="E39" i="16" s="1"/>
  <c r="AH40" i="16"/>
  <c r="AA36" i="16"/>
  <c r="N39" i="14"/>
  <c r="N38" i="16"/>
  <c r="H38" i="16"/>
  <c r="M36" i="14"/>
  <c r="X36" i="14" s="1"/>
  <c r="L36" i="14"/>
  <c r="W36" i="14" s="1"/>
  <c r="G37" i="14"/>
  <c r="AJ40" i="15"/>
  <c r="E40" i="15" s="1"/>
  <c r="AH41" i="15"/>
  <c r="J39" i="13"/>
  <c r="N39" i="15"/>
  <c r="J38" i="15"/>
  <c r="Q36" i="14"/>
  <c r="P36" i="14"/>
  <c r="J37" i="14"/>
  <c r="U36" i="14"/>
  <c r="T36" i="14"/>
  <c r="O36" i="14"/>
  <c r="AJ41" i="13"/>
  <c r="E41" i="13" s="1"/>
  <c r="AH42" i="13"/>
  <c r="N40" i="13"/>
  <c r="G37" i="16"/>
  <c r="Z37" i="16" s="1"/>
  <c r="M36" i="16"/>
  <c r="X36" i="16" s="1"/>
  <c r="L36" i="16"/>
  <c r="W36" i="16" s="1"/>
  <c r="G36" i="15"/>
  <c r="M35" i="15"/>
  <c r="X35" i="15" s="1"/>
  <c r="L35" i="15"/>
  <c r="W35" i="15" s="1"/>
  <c r="O35" i="15"/>
  <c r="Q35" i="15"/>
  <c r="P35" i="15"/>
  <c r="U35" i="15"/>
  <c r="T35" i="15"/>
  <c r="AA35" i="15"/>
  <c r="Z35" i="15"/>
  <c r="H38" i="14"/>
  <c r="M35" i="13"/>
  <c r="X35" i="13" s="1"/>
  <c r="L35" i="13"/>
  <c r="W35" i="13" s="1"/>
  <c r="G36" i="13"/>
  <c r="U35" i="13"/>
  <c r="P35" i="13"/>
  <c r="AA35" i="13"/>
  <c r="R35" i="13"/>
  <c r="Z35" i="13"/>
  <c r="Q35" i="13"/>
  <c r="T35" i="13"/>
  <c r="S35" i="13"/>
  <c r="O35" i="13"/>
  <c r="AJ40" i="14"/>
  <c r="E40" i="14" s="1"/>
  <c r="AH41" i="14"/>
  <c r="Q36" i="16"/>
  <c r="P36" i="16"/>
  <c r="J37" i="16"/>
  <c r="O37" i="16" s="1"/>
  <c r="U36" i="16"/>
  <c r="T36" i="16"/>
  <c r="H38" i="13"/>
  <c r="H38" i="15"/>
  <c r="N39" i="12"/>
  <c r="N39" i="11"/>
  <c r="G38" i="12"/>
  <c r="M37" i="12"/>
  <c r="X37" i="12" s="1"/>
  <c r="M37" i="11"/>
  <c r="X37" i="11" s="1"/>
  <c r="L37" i="11"/>
  <c r="W37" i="11" s="1"/>
  <c r="G38" i="11"/>
  <c r="O38" i="11"/>
  <c r="AJ40" i="12"/>
  <c r="E40" i="12" s="1"/>
  <c r="AH41" i="12"/>
  <c r="AH41" i="10"/>
  <c r="AJ40" i="10"/>
  <c r="E40" i="10" s="1"/>
  <c r="S36" i="12"/>
  <c r="M36" i="10"/>
  <c r="X36" i="10" s="1"/>
  <c r="L36" i="10"/>
  <c r="W36" i="10" s="1"/>
  <c r="G37" i="10"/>
  <c r="N39" i="10"/>
  <c r="Z37" i="12"/>
  <c r="H38" i="12"/>
  <c r="AA37" i="12"/>
  <c r="J40" i="11"/>
  <c r="M36" i="9"/>
  <c r="X36" i="9" s="1"/>
  <c r="L36" i="9"/>
  <c r="W36" i="9" s="1"/>
  <c r="G37" i="9"/>
  <c r="AA36" i="9"/>
  <c r="Z36" i="9"/>
  <c r="S36" i="9"/>
  <c r="R36" i="9"/>
  <c r="Q36" i="10"/>
  <c r="P36" i="10"/>
  <c r="J37" i="10"/>
  <c r="U36" i="10"/>
  <c r="T36" i="10"/>
  <c r="O36" i="10"/>
  <c r="H39" i="9"/>
  <c r="J37" i="9"/>
  <c r="Q36" i="9"/>
  <c r="P36" i="9"/>
  <c r="U36" i="9"/>
  <c r="T36" i="9"/>
  <c r="O36" i="9"/>
  <c r="AH41" i="9"/>
  <c r="AJ40" i="9"/>
  <c r="E40" i="9" s="1"/>
  <c r="AA37" i="11"/>
  <c r="Z37" i="11"/>
  <c r="H38" i="11"/>
  <c r="R37" i="11"/>
  <c r="S37" i="11"/>
  <c r="T37" i="11"/>
  <c r="P37" i="11"/>
  <c r="Q37" i="11"/>
  <c r="U37" i="11"/>
  <c r="J37" i="12"/>
  <c r="L37" i="12" s="1"/>
  <c r="W37" i="12" s="1"/>
  <c r="Q36" i="12"/>
  <c r="P36" i="12"/>
  <c r="U36" i="12"/>
  <c r="T36" i="12"/>
  <c r="O36" i="12"/>
  <c r="N39" i="9"/>
  <c r="AJ40" i="11"/>
  <c r="E40" i="11" s="1"/>
  <c r="AH41" i="11"/>
  <c r="S36" i="10"/>
  <c r="R36" i="10"/>
  <c r="AA36" i="10"/>
  <c r="Z36" i="10"/>
  <c r="H37" i="10"/>
  <c r="L37" i="8"/>
  <c r="W37" i="8" s="1"/>
  <c r="G38" i="8"/>
  <c r="M37" i="8"/>
  <c r="X37" i="8" s="1"/>
  <c r="N40" i="8"/>
  <c r="Z37" i="8"/>
  <c r="H38" i="8"/>
  <c r="R37" i="8"/>
  <c r="AA37" i="8"/>
  <c r="J38" i="8"/>
  <c r="Q37" i="8"/>
  <c r="P37" i="8"/>
  <c r="U37" i="8"/>
  <c r="T37" i="8"/>
  <c r="O37" i="8"/>
  <c r="AJ41" i="8"/>
  <c r="E41" i="8" s="1"/>
  <c r="AH42" i="8"/>
  <c r="H39" i="7"/>
  <c r="AJ41" i="7"/>
  <c r="E41" i="7" s="1"/>
  <c r="AH42" i="7"/>
  <c r="N40" i="7"/>
  <c r="J39" i="7"/>
  <c r="L37" i="6"/>
  <c r="W37" i="6" s="1"/>
  <c r="G38" i="6"/>
  <c r="M37" i="6"/>
  <c r="X37" i="6" s="1"/>
  <c r="S37" i="6"/>
  <c r="R37" i="6"/>
  <c r="Z37" i="6"/>
  <c r="H38" i="6"/>
  <c r="AA37" i="6"/>
  <c r="T37" i="6"/>
  <c r="P37" i="6"/>
  <c r="AJ40" i="6"/>
  <c r="E40" i="6" s="1"/>
  <c r="AH41" i="6"/>
  <c r="U37" i="6"/>
  <c r="J39" i="6"/>
  <c r="Q37" i="6"/>
  <c r="N39" i="6"/>
  <c r="G36" i="4"/>
  <c r="M35" i="4"/>
  <c r="X35" i="4" s="1"/>
  <c r="L35" i="4"/>
  <c r="W35" i="4" s="1"/>
  <c r="S35" i="4"/>
  <c r="Z35" i="4"/>
  <c r="R35" i="4"/>
  <c r="AA35" i="4"/>
  <c r="O35" i="4"/>
  <c r="Q35" i="4"/>
  <c r="U35" i="4"/>
  <c r="P35" i="4"/>
  <c r="T35" i="4"/>
  <c r="J40" i="4"/>
  <c r="H38" i="4"/>
  <c r="AJ40" i="4"/>
  <c r="E40" i="4" s="1"/>
  <c r="AH41" i="4"/>
  <c r="N39" i="4"/>
  <c r="D37" i="1"/>
  <c r="S37" i="1" s="1"/>
  <c r="H38" i="1"/>
  <c r="C37" i="1"/>
  <c r="R37" i="1" s="1"/>
  <c r="N43" i="27" l="1"/>
  <c r="T43" i="27"/>
  <c r="O42" i="27"/>
  <c r="AA42" i="27"/>
  <c r="N42" i="28"/>
  <c r="T42" i="28"/>
  <c r="O41" i="28"/>
  <c r="AA41" i="28"/>
  <c r="N41" i="26"/>
  <c r="T41" i="26"/>
  <c r="O40" i="26"/>
  <c r="AA40" i="26"/>
  <c r="N41" i="25"/>
  <c r="T41" i="25"/>
  <c r="O40" i="25"/>
  <c r="AA40" i="25"/>
  <c r="N42" i="24"/>
  <c r="T42" i="24"/>
  <c r="O41" i="24"/>
  <c r="AA41" i="24"/>
  <c r="N42" i="23"/>
  <c r="O42" i="23" s="1"/>
  <c r="T42" i="23"/>
  <c r="AA41" i="23"/>
  <c r="M42" i="23"/>
  <c r="X42" i="23" s="1"/>
  <c r="Q42" i="23"/>
  <c r="G43" i="23"/>
  <c r="P42" i="23"/>
  <c r="AA42" i="23"/>
  <c r="Z42" i="23"/>
  <c r="U42" i="23"/>
  <c r="N42" i="22"/>
  <c r="T42" i="22"/>
  <c r="O41" i="22"/>
  <c r="AA41" i="22"/>
  <c r="N42" i="21"/>
  <c r="T42" i="21"/>
  <c r="O41" i="21"/>
  <c r="AA41" i="21"/>
  <c r="D41" i="28"/>
  <c r="S41" i="28" s="1"/>
  <c r="C41" i="28"/>
  <c r="R41" i="28" s="1"/>
  <c r="H42" i="28"/>
  <c r="AH44" i="28"/>
  <c r="AJ43" i="28"/>
  <c r="E43" i="28" s="1"/>
  <c r="J40" i="28"/>
  <c r="L39" i="28"/>
  <c r="W39" i="28" s="1"/>
  <c r="AH45" i="27"/>
  <c r="AJ44" i="27"/>
  <c r="E44" i="27" s="1"/>
  <c r="J40" i="26"/>
  <c r="L39" i="26"/>
  <c r="W39" i="26" s="1"/>
  <c r="AJ42" i="25"/>
  <c r="E42" i="25" s="1"/>
  <c r="AH43" i="25"/>
  <c r="AJ43" i="24"/>
  <c r="E43" i="24" s="1"/>
  <c r="AH44" i="24"/>
  <c r="D40" i="27"/>
  <c r="S40" i="27" s="1"/>
  <c r="C40" i="27"/>
  <c r="R40" i="27" s="1"/>
  <c r="H41" i="27"/>
  <c r="D40" i="24"/>
  <c r="S40" i="24" s="1"/>
  <c r="C40" i="24"/>
  <c r="R40" i="24" s="1"/>
  <c r="H41" i="24"/>
  <c r="D42" i="25"/>
  <c r="S42" i="25" s="1"/>
  <c r="C42" i="25"/>
  <c r="R42" i="25" s="1"/>
  <c r="H43" i="25"/>
  <c r="D40" i="26"/>
  <c r="S40" i="26" s="1"/>
  <c r="C40" i="26"/>
  <c r="R40" i="26" s="1"/>
  <c r="H41" i="26"/>
  <c r="J41" i="25"/>
  <c r="L40" i="25"/>
  <c r="W40" i="25" s="1"/>
  <c r="L39" i="24"/>
  <c r="W39" i="24" s="1"/>
  <c r="J40" i="24"/>
  <c r="L40" i="27"/>
  <c r="W40" i="27" s="1"/>
  <c r="AJ42" i="26"/>
  <c r="E42" i="26" s="1"/>
  <c r="AH43" i="26"/>
  <c r="J42" i="27"/>
  <c r="AJ43" i="22"/>
  <c r="E43" i="22" s="1"/>
  <c r="AH44" i="22"/>
  <c r="H42" i="22"/>
  <c r="D41" i="22"/>
  <c r="S41" i="22" s="1"/>
  <c r="C41" i="22"/>
  <c r="R41" i="22" s="1"/>
  <c r="D39" i="23"/>
  <c r="S39" i="23" s="1"/>
  <c r="C39" i="23"/>
  <c r="R39" i="23" s="1"/>
  <c r="H40" i="23"/>
  <c r="J40" i="23"/>
  <c r="L39" i="23"/>
  <c r="W39" i="23" s="1"/>
  <c r="AH44" i="23"/>
  <c r="AJ43" i="23"/>
  <c r="E43" i="23" s="1"/>
  <c r="J40" i="22"/>
  <c r="L39" i="22"/>
  <c r="W39" i="22" s="1"/>
  <c r="D40" i="21"/>
  <c r="S40" i="21" s="1"/>
  <c r="C40" i="21"/>
  <c r="R40" i="21" s="1"/>
  <c r="H41" i="21"/>
  <c r="AH44" i="21"/>
  <c r="AJ43" i="21"/>
  <c r="E43" i="21" s="1"/>
  <c r="J40" i="21"/>
  <c r="L39" i="21"/>
  <c r="W39" i="21" s="1"/>
  <c r="M38" i="20"/>
  <c r="X38" i="20" s="1"/>
  <c r="G39" i="20"/>
  <c r="U39" i="20" s="1"/>
  <c r="L38" i="20"/>
  <c r="W38" i="20" s="1"/>
  <c r="D38" i="20"/>
  <c r="S38" i="20" s="1"/>
  <c r="C38" i="20"/>
  <c r="R38" i="20" s="1"/>
  <c r="AA38" i="20"/>
  <c r="Z38" i="20"/>
  <c r="O38" i="20"/>
  <c r="H42" i="20"/>
  <c r="T38" i="20"/>
  <c r="U38" i="20"/>
  <c r="AH44" i="20"/>
  <c r="AJ43" i="20"/>
  <c r="E43" i="20" s="1"/>
  <c r="Q39" i="20"/>
  <c r="P39" i="20"/>
  <c r="J40" i="20"/>
  <c r="O39" i="20"/>
  <c r="P38" i="20"/>
  <c r="N42" i="20"/>
  <c r="Q38" i="20"/>
  <c r="N43" i="19"/>
  <c r="AJ44" i="19"/>
  <c r="E44" i="19" s="1"/>
  <c r="AH45" i="19"/>
  <c r="H39" i="19"/>
  <c r="J39" i="19"/>
  <c r="M37" i="19"/>
  <c r="X37" i="19" s="1"/>
  <c r="L37" i="19"/>
  <c r="W37" i="19" s="1"/>
  <c r="G38" i="19"/>
  <c r="C38" i="19" s="1"/>
  <c r="R38" i="19" s="1"/>
  <c r="AA36" i="7"/>
  <c r="Z36" i="7"/>
  <c r="P36" i="7"/>
  <c r="D36" i="7"/>
  <c r="S36" i="7" s="1"/>
  <c r="C36" i="7"/>
  <c r="R36" i="7" s="1"/>
  <c r="U36" i="7"/>
  <c r="O36" i="7"/>
  <c r="M36" i="7"/>
  <c r="X36" i="7" s="1"/>
  <c r="L36" i="7"/>
  <c r="W36" i="7" s="1"/>
  <c r="G37" i="7"/>
  <c r="Q36" i="7"/>
  <c r="T36" i="7"/>
  <c r="D38" i="18"/>
  <c r="C38" i="18"/>
  <c r="D36" i="17"/>
  <c r="C36" i="17"/>
  <c r="D37" i="16"/>
  <c r="S37" i="16" s="1"/>
  <c r="C37" i="16"/>
  <c r="D36" i="15"/>
  <c r="C36" i="15"/>
  <c r="D37" i="14"/>
  <c r="S37" i="14" s="1"/>
  <c r="C37" i="14"/>
  <c r="R37" i="14" s="1"/>
  <c r="D36" i="13"/>
  <c r="S36" i="13" s="1"/>
  <c r="C36" i="13"/>
  <c r="R36" i="13" s="1"/>
  <c r="D38" i="12"/>
  <c r="C38" i="12"/>
  <c r="D38" i="11"/>
  <c r="C38" i="11"/>
  <c r="D37" i="10"/>
  <c r="C37" i="10"/>
  <c r="D37" i="9"/>
  <c r="S37" i="9" s="1"/>
  <c r="C37" i="9"/>
  <c r="D38" i="8"/>
  <c r="C38" i="8"/>
  <c r="D38" i="6"/>
  <c r="C38" i="6"/>
  <c r="R38" i="6" s="1"/>
  <c r="D36" i="4"/>
  <c r="C36" i="4"/>
  <c r="G39" i="1"/>
  <c r="Z38" i="1"/>
  <c r="Q38" i="1"/>
  <c r="U38" i="1"/>
  <c r="P38" i="1"/>
  <c r="AA38" i="1"/>
  <c r="M38" i="1"/>
  <c r="X38" i="1" s="1"/>
  <c r="L38" i="1"/>
  <c r="W38" i="1" s="1"/>
  <c r="T38" i="1"/>
  <c r="O38" i="1"/>
  <c r="Z37" i="14"/>
  <c r="AA37" i="14"/>
  <c r="AH42" i="18"/>
  <c r="AJ41" i="18"/>
  <c r="E41" i="18" s="1"/>
  <c r="N40" i="18"/>
  <c r="M38" i="18"/>
  <c r="X38" i="18" s="1"/>
  <c r="L38" i="18"/>
  <c r="W38" i="18" s="1"/>
  <c r="G39" i="18"/>
  <c r="S38" i="18"/>
  <c r="R38" i="18"/>
  <c r="AA38" i="18"/>
  <c r="Z38" i="18"/>
  <c r="H39" i="18"/>
  <c r="Q38" i="18"/>
  <c r="P38" i="18"/>
  <c r="J39" i="18"/>
  <c r="U38" i="18"/>
  <c r="T38" i="18"/>
  <c r="AH43" i="17"/>
  <c r="AJ42" i="17"/>
  <c r="E42" i="17" s="1"/>
  <c r="N41" i="17"/>
  <c r="G37" i="17"/>
  <c r="M36" i="17"/>
  <c r="X36" i="17" s="1"/>
  <c r="L36" i="17"/>
  <c r="W36" i="17" s="1"/>
  <c r="AA36" i="17"/>
  <c r="Z36" i="17"/>
  <c r="S36" i="17"/>
  <c r="R36" i="17"/>
  <c r="T36" i="17"/>
  <c r="U36" i="17"/>
  <c r="J38" i="17"/>
  <c r="H39" i="17"/>
  <c r="P36" i="17"/>
  <c r="Q36" i="17"/>
  <c r="M36" i="15"/>
  <c r="X36" i="15" s="1"/>
  <c r="L36" i="15"/>
  <c r="W36" i="15" s="1"/>
  <c r="G37" i="15"/>
  <c r="O36" i="15"/>
  <c r="S36" i="15"/>
  <c r="R36" i="15"/>
  <c r="AA36" i="15"/>
  <c r="Z36" i="15"/>
  <c r="Q36" i="15"/>
  <c r="P36" i="15"/>
  <c r="T36" i="15"/>
  <c r="U36" i="15"/>
  <c r="AA37" i="16"/>
  <c r="R37" i="16"/>
  <c r="H39" i="15"/>
  <c r="G38" i="16"/>
  <c r="AA38" i="16" s="1"/>
  <c r="M37" i="16"/>
  <c r="X37" i="16" s="1"/>
  <c r="L37" i="16"/>
  <c r="W37" i="16" s="1"/>
  <c r="J40" i="13"/>
  <c r="AJ41" i="15"/>
  <c r="E41" i="15" s="1"/>
  <c r="AH42" i="15"/>
  <c r="AJ41" i="14"/>
  <c r="E41" i="14" s="1"/>
  <c r="AH42" i="14"/>
  <c r="M36" i="13"/>
  <c r="X36" i="13" s="1"/>
  <c r="L36" i="13"/>
  <c r="W36" i="13" s="1"/>
  <c r="G37" i="13"/>
  <c r="Q36" i="13"/>
  <c r="P36" i="13"/>
  <c r="U36" i="13"/>
  <c r="T36" i="13"/>
  <c r="O36" i="13"/>
  <c r="AA36" i="13"/>
  <c r="Z36" i="13"/>
  <c r="J39" i="15"/>
  <c r="N40" i="15"/>
  <c r="N40" i="14"/>
  <c r="AJ42" i="13"/>
  <c r="E42" i="13" s="1"/>
  <c r="AH43" i="13"/>
  <c r="N41" i="13"/>
  <c r="M37" i="14"/>
  <c r="X37" i="14" s="1"/>
  <c r="L37" i="14"/>
  <c r="W37" i="14" s="1"/>
  <c r="G38" i="14"/>
  <c r="AA38" i="14" s="1"/>
  <c r="P37" i="14"/>
  <c r="J38" i="14"/>
  <c r="U37" i="14"/>
  <c r="Q37" i="14"/>
  <c r="T37" i="14"/>
  <c r="O37" i="14"/>
  <c r="H39" i="14"/>
  <c r="AJ40" i="16"/>
  <c r="E40" i="16" s="1"/>
  <c r="AH41" i="16"/>
  <c r="U37" i="16"/>
  <c r="Q37" i="16"/>
  <c r="P37" i="16"/>
  <c r="J38" i="16"/>
  <c r="O38" i="16" s="1"/>
  <c r="T37" i="16"/>
  <c r="H39" i="13"/>
  <c r="H39" i="16"/>
  <c r="N39" i="16"/>
  <c r="M37" i="9"/>
  <c r="X37" i="9" s="1"/>
  <c r="L37" i="9"/>
  <c r="W37" i="9" s="1"/>
  <c r="G38" i="9"/>
  <c r="AA37" i="9"/>
  <c r="Z37" i="9"/>
  <c r="R37" i="9"/>
  <c r="S37" i="10"/>
  <c r="R37" i="10"/>
  <c r="AA37" i="10"/>
  <c r="Z37" i="10"/>
  <c r="H38" i="10"/>
  <c r="N40" i="9"/>
  <c r="M38" i="11"/>
  <c r="X38" i="11" s="1"/>
  <c r="L38" i="11"/>
  <c r="W38" i="11" s="1"/>
  <c r="G39" i="11"/>
  <c r="AJ41" i="9"/>
  <c r="E41" i="9" s="1"/>
  <c r="AH42" i="9"/>
  <c r="J38" i="12"/>
  <c r="Q37" i="12"/>
  <c r="P37" i="12"/>
  <c r="U37" i="12"/>
  <c r="T37" i="12"/>
  <c r="O37" i="12"/>
  <c r="M37" i="10"/>
  <c r="X37" i="10" s="1"/>
  <c r="L37" i="10"/>
  <c r="W37" i="10" s="1"/>
  <c r="G38" i="10"/>
  <c r="N40" i="12"/>
  <c r="Q37" i="10"/>
  <c r="P37" i="10"/>
  <c r="J38" i="10"/>
  <c r="U37" i="10"/>
  <c r="T37" i="10"/>
  <c r="O37" i="10"/>
  <c r="G39" i="12"/>
  <c r="M38" i="12"/>
  <c r="X38" i="12" s="1"/>
  <c r="L38" i="12"/>
  <c r="W38" i="12" s="1"/>
  <c r="H40" i="9"/>
  <c r="N40" i="11"/>
  <c r="N40" i="10"/>
  <c r="J38" i="9"/>
  <c r="Q37" i="9"/>
  <c r="P37" i="9"/>
  <c r="U37" i="9"/>
  <c r="T37" i="9"/>
  <c r="O37" i="9"/>
  <c r="R37" i="12"/>
  <c r="AJ41" i="10"/>
  <c r="E41" i="10" s="1"/>
  <c r="AH42" i="10"/>
  <c r="J41" i="11"/>
  <c r="S37" i="12"/>
  <c r="AJ41" i="11"/>
  <c r="E41" i="11" s="1"/>
  <c r="AH42" i="11"/>
  <c r="AA38" i="11"/>
  <c r="Z38" i="11"/>
  <c r="H39" i="11"/>
  <c r="S38" i="11"/>
  <c r="R38" i="11"/>
  <c r="U38" i="11"/>
  <c r="Q38" i="11"/>
  <c r="T38" i="11"/>
  <c r="P38" i="11"/>
  <c r="H39" i="12"/>
  <c r="S38" i="12"/>
  <c r="R38" i="12"/>
  <c r="AA38" i="12"/>
  <c r="Z38" i="12"/>
  <c r="AJ41" i="12"/>
  <c r="E41" i="12" s="1"/>
  <c r="AH42" i="12"/>
  <c r="H39" i="8"/>
  <c r="S38" i="8"/>
  <c r="R38" i="8"/>
  <c r="AA38" i="8"/>
  <c r="Z38" i="8"/>
  <c r="AJ42" i="8"/>
  <c r="E42" i="8" s="1"/>
  <c r="AH43" i="8"/>
  <c r="N41" i="8"/>
  <c r="J39" i="8"/>
  <c r="Q38" i="8"/>
  <c r="P38" i="8"/>
  <c r="U38" i="8"/>
  <c r="T38" i="8"/>
  <c r="O38" i="8"/>
  <c r="G39" i="8"/>
  <c r="L38" i="8"/>
  <c r="W38" i="8" s="1"/>
  <c r="M38" i="8"/>
  <c r="X38" i="8" s="1"/>
  <c r="J40" i="7"/>
  <c r="AJ42" i="7"/>
  <c r="E42" i="7" s="1"/>
  <c r="AH43" i="7"/>
  <c r="N41" i="7"/>
  <c r="H40" i="7"/>
  <c r="S38" i="6"/>
  <c r="AA38" i="6"/>
  <c r="H39" i="6"/>
  <c r="Z38" i="6"/>
  <c r="T38" i="6"/>
  <c r="O39" i="6"/>
  <c r="N40" i="6"/>
  <c r="U38" i="6"/>
  <c r="P39" i="6"/>
  <c r="J40" i="6"/>
  <c r="P38" i="6"/>
  <c r="Q38" i="6"/>
  <c r="M38" i="6"/>
  <c r="X38" i="6" s="1"/>
  <c r="G39" i="6"/>
  <c r="Q39" i="6" s="1"/>
  <c r="L38" i="6"/>
  <c r="W38" i="6" s="1"/>
  <c r="AH42" i="6"/>
  <c r="AJ41" i="6"/>
  <c r="E41" i="6" s="1"/>
  <c r="O38" i="6"/>
  <c r="H39" i="4"/>
  <c r="N40" i="4"/>
  <c r="AJ41" i="4"/>
  <c r="E41" i="4" s="1"/>
  <c r="AH42" i="4"/>
  <c r="J41" i="4"/>
  <c r="G37" i="4"/>
  <c r="M36" i="4"/>
  <c r="X36" i="4" s="1"/>
  <c r="L36" i="4"/>
  <c r="W36" i="4" s="1"/>
  <c r="O36" i="4"/>
  <c r="AA36" i="4"/>
  <c r="P36" i="4"/>
  <c r="T36" i="4"/>
  <c r="Z36" i="4"/>
  <c r="S36" i="4"/>
  <c r="Q36" i="4"/>
  <c r="U36" i="4"/>
  <c r="R36" i="4"/>
  <c r="D38" i="1"/>
  <c r="S38" i="1" s="1"/>
  <c r="C38" i="1"/>
  <c r="R38" i="1" s="1"/>
  <c r="H39" i="1"/>
  <c r="N44" i="27" l="1"/>
  <c r="T44" i="27"/>
  <c r="O43" i="27"/>
  <c r="AA43" i="27"/>
  <c r="N43" i="28"/>
  <c r="T43" i="28"/>
  <c r="O42" i="28"/>
  <c r="AA42" i="28"/>
  <c r="N42" i="26"/>
  <c r="T42" i="26"/>
  <c r="O41" i="26"/>
  <c r="AA41" i="26"/>
  <c r="N42" i="25"/>
  <c r="T42" i="25"/>
  <c r="O41" i="25"/>
  <c r="AA41" i="25"/>
  <c r="N43" i="24"/>
  <c r="T43" i="24"/>
  <c r="O42" i="24"/>
  <c r="AA42" i="24"/>
  <c r="M43" i="23"/>
  <c r="X43" i="23" s="1"/>
  <c r="Q43" i="23"/>
  <c r="G44" i="23"/>
  <c r="G45" i="23" s="1"/>
  <c r="P43" i="23"/>
  <c r="U43" i="23"/>
  <c r="Z43" i="23"/>
  <c r="N43" i="23"/>
  <c r="O43" i="23" s="1"/>
  <c r="T43" i="23"/>
  <c r="N43" i="22"/>
  <c r="T43" i="22"/>
  <c r="O42" i="22"/>
  <c r="AA42" i="22"/>
  <c r="N43" i="21"/>
  <c r="T43" i="21"/>
  <c r="O42" i="21"/>
  <c r="AA42" i="21"/>
  <c r="T39" i="20"/>
  <c r="J41" i="28"/>
  <c r="L40" i="28"/>
  <c r="W40" i="28" s="1"/>
  <c r="AJ44" i="28"/>
  <c r="E44" i="28" s="1"/>
  <c r="AH45" i="28"/>
  <c r="C42" i="28"/>
  <c r="R42" i="28" s="1"/>
  <c r="H43" i="28"/>
  <c r="D42" i="28"/>
  <c r="S42" i="28" s="1"/>
  <c r="J41" i="24"/>
  <c r="L40" i="24"/>
  <c r="W40" i="24" s="1"/>
  <c r="D41" i="27"/>
  <c r="S41" i="27" s="1"/>
  <c r="C41" i="27"/>
  <c r="R41" i="27" s="1"/>
  <c r="H42" i="27"/>
  <c r="C41" i="26"/>
  <c r="R41" i="26" s="1"/>
  <c r="D41" i="26"/>
  <c r="S41" i="26" s="1"/>
  <c r="H42" i="26"/>
  <c r="AJ44" i="24"/>
  <c r="E44" i="24" s="1"/>
  <c r="AH45" i="24"/>
  <c r="J42" i="25"/>
  <c r="L41" i="25"/>
  <c r="W41" i="25" s="1"/>
  <c r="AJ43" i="25"/>
  <c r="E43" i="25" s="1"/>
  <c r="AH44" i="25"/>
  <c r="J43" i="27"/>
  <c r="L42" i="27"/>
  <c r="W42" i="27" s="1"/>
  <c r="D43" i="25"/>
  <c r="S43" i="25" s="1"/>
  <c r="C43" i="25"/>
  <c r="R43" i="25" s="1"/>
  <c r="H44" i="25"/>
  <c r="L41" i="27"/>
  <c r="W41" i="27" s="1"/>
  <c r="AJ43" i="26"/>
  <c r="E43" i="26" s="1"/>
  <c r="AH44" i="26"/>
  <c r="L40" i="26"/>
  <c r="W40" i="26" s="1"/>
  <c r="J41" i="26"/>
  <c r="D41" i="24"/>
  <c r="S41" i="24" s="1"/>
  <c r="C41" i="24"/>
  <c r="R41" i="24" s="1"/>
  <c r="H42" i="24"/>
  <c r="AJ45" i="27"/>
  <c r="E45" i="27" s="1"/>
  <c r="AH46" i="27"/>
  <c r="L40" i="23"/>
  <c r="W40" i="23" s="1"/>
  <c r="J41" i="23"/>
  <c r="AJ44" i="23"/>
  <c r="E44" i="23" s="1"/>
  <c r="AH45" i="23"/>
  <c r="D40" i="23"/>
  <c r="S40" i="23" s="1"/>
  <c r="C40" i="23"/>
  <c r="R40" i="23" s="1"/>
  <c r="H41" i="23"/>
  <c r="H43" i="22"/>
  <c r="D42" i="22"/>
  <c r="S42" i="22" s="1"/>
  <c r="C42" i="22"/>
  <c r="R42" i="22" s="1"/>
  <c r="AJ44" i="22"/>
  <c r="E44" i="22" s="1"/>
  <c r="AH45" i="22"/>
  <c r="J41" i="22"/>
  <c r="L40" i="22"/>
  <c r="W40" i="22" s="1"/>
  <c r="J41" i="21"/>
  <c r="L40" i="21"/>
  <c r="W40" i="21" s="1"/>
  <c r="AJ44" i="21"/>
  <c r="E44" i="21" s="1"/>
  <c r="AH45" i="21"/>
  <c r="D41" i="21"/>
  <c r="S41" i="21" s="1"/>
  <c r="C41" i="21"/>
  <c r="R41" i="21" s="1"/>
  <c r="H42" i="21"/>
  <c r="J41" i="20"/>
  <c r="N43" i="20"/>
  <c r="AJ44" i="20"/>
  <c r="E44" i="20" s="1"/>
  <c r="AH45" i="20"/>
  <c r="M39" i="20"/>
  <c r="X39" i="20" s="1"/>
  <c r="L39" i="20"/>
  <c r="W39" i="20" s="1"/>
  <c r="G40" i="20"/>
  <c r="U40" i="20" s="1"/>
  <c r="C39" i="20"/>
  <c r="R39" i="20" s="1"/>
  <c r="D39" i="20"/>
  <c r="S39" i="20" s="1"/>
  <c r="AA39" i="20"/>
  <c r="Z39" i="20"/>
  <c r="H43" i="20"/>
  <c r="U38" i="19"/>
  <c r="Q38" i="19"/>
  <c r="AA38" i="19"/>
  <c r="H40" i="19"/>
  <c r="L38" i="19"/>
  <c r="W38" i="19" s="1"/>
  <c r="G39" i="19"/>
  <c r="U39" i="19" s="1"/>
  <c r="M38" i="19"/>
  <c r="X38" i="19" s="1"/>
  <c r="Z38" i="19"/>
  <c r="D38" i="19"/>
  <c r="S38" i="19" s="1"/>
  <c r="O38" i="19"/>
  <c r="AH46" i="19"/>
  <c r="AJ45" i="19"/>
  <c r="E45" i="19" s="1"/>
  <c r="T38" i="19"/>
  <c r="N44" i="19"/>
  <c r="J40" i="19"/>
  <c r="P38" i="19"/>
  <c r="C37" i="7"/>
  <c r="R37" i="7" s="1"/>
  <c r="Z37" i="7"/>
  <c r="AA37" i="7"/>
  <c r="M37" i="7"/>
  <c r="X37" i="7" s="1"/>
  <c r="L37" i="7"/>
  <c r="W37" i="7" s="1"/>
  <c r="T37" i="7"/>
  <c r="G38" i="7"/>
  <c r="D37" i="7"/>
  <c r="S37" i="7" s="1"/>
  <c r="P37" i="7"/>
  <c r="O37" i="7"/>
  <c r="Q37" i="7"/>
  <c r="U37" i="7"/>
  <c r="Z38" i="14"/>
  <c r="D39" i="18"/>
  <c r="C39" i="18"/>
  <c r="T37" i="17"/>
  <c r="C37" i="17"/>
  <c r="D37" i="17"/>
  <c r="D38" i="16"/>
  <c r="C38" i="16"/>
  <c r="R38" i="16" s="1"/>
  <c r="D37" i="15"/>
  <c r="C37" i="15"/>
  <c r="R37" i="15" s="1"/>
  <c r="C38" i="14"/>
  <c r="R38" i="14" s="1"/>
  <c r="D38" i="14"/>
  <c r="S38" i="14" s="1"/>
  <c r="D37" i="13"/>
  <c r="S37" i="13" s="1"/>
  <c r="C37" i="13"/>
  <c r="D39" i="12"/>
  <c r="C39" i="12"/>
  <c r="C39" i="11"/>
  <c r="D39" i="11"/>
  <c r="D38" i="10"/>
  <c r="C38" i="10"/>
  <c r="D38" i="9"/>
  <c r="S38" i="9" s="1"/>
  <c r="C38" i="9"/>
  <c r="D39" i="8"/>
  <c r="C39" i="8"/>
  <c r="R39" i="8" s="1"/>
  <c r="D39" i="6"/>
  <c r="C39" i="6"/>
  <c r="D37" i="4"/>
  <c r="C37" i="4"/>
  <c r="G40" i="1"/>
  <c r="Z39" i="1"/>
  <c r="U39" i="1"/>
  <c r="Q39" i="1"/>
  <c r="P39" i="1"/>
  <c r="M39" i="1"/>
  <c r="X39" i="1" s="1"/>
  <c r="L39" i="1"/>
  <c r="W39" i="1" s="1"/>
  <c r="AA39" i="1"/>
  <c r="T39" i="1"/>
  <c r="O39" i="1"/>
  <c r="U37" i="17"/>
  <c r="P37" i="17"/>
  <c r="Q37" i="17"/>
  <c r="O37" i="17"/>
  <c r="S38" i="16"/>
  <c r="M39" i="18"/>
  <c r="X39" i="18" s="1"/>
  <c r="L39" i="18"/>
  <c r="W39" i="18" s="1"/>
  <c r="G40" i="18"/>
  <c r="Q39" i="18"/>
  <c r="P39" i="18"/>
  <c r="J40" i="18"/>
  <c r="U39" i="18"/>
  <c r="T39" i="18"/>
  <c r="N41" i="18"/>
  <c r="AJ42" i="18"/>
  <c r="E42" i="18" s="1"/>
  <c r="AH43" i="18"/>
  <c r="S39" i="18"/>
  <c r="R39" i="18"/>
  <c r="AA39" i="18"/>
  <c r="Z39" i="18"/>
  <c r="H40" i="18"/>
  <c r="O39" i="18"/>
  <c r="J39" i="17"/>
  <c r="M37" i="17"/>
  <c r="X37" i="17" s="1"/>
  <c r="L37" i="17"/>
  <c r="W37" i="17" s="1"/>
  <c r="G38" i="17"/>
  <c r="Z37" i="17"/>
  <c r="S37" i="17"/>
  <c r="R37" i="17"/>
  <c r="AA37" i="17"/>
  <c r="N42" i="17"/>
  <c r="H40" i="17"/>
  <c r="AJ43" i="17"/>
  <c r="E43" i="17" s="1"/>
  <c r="AH44" i="17"/>
  <c r="N42" i="13"/>
  <c r="AJ42" i="15"/>
  <c r="E42" i="15" s="1"/>
  <c r="AH43" i="15"/>
  <c r="H40" i="15"/>
  <c r="AJ43" i="13"/>
  <c r="E43" i="13" s="1"/>
  <c r="AH44" i="13"/>
  <c r="J39" i="14"/>
  <c r="U38" i="14"/>
  <c r="Q38" i="14"/>
  <c r="P38" i="14"/>
  <c r="T38" i="14"/>
  <c r="O38" i="14"/>
  <c r="N41" i="15"/>
  <c r="AJ41" i="16"/>
  <c r="E41" i="16" s="1"/>
  <c r="AH42" i="16"/>
  <c r="N40" i="16"/>
  <c r="M38" i="14"/>
  <c r="X38" i="14" s="1"/>
  <c r="L38" i="14"/>
  <c r="W38" i="14" s="1"/>
  <c r="G39" i="14"/>
  <c r="M38" i="16"/>
  <c r="X38" i="16" s="1"/>
  <c r="L38" i="16"/>
  <c r="W38" i="16" s="1"/>
  <c r="G39" i="16"/>
  <c r="H40" i="14"/>
  <c r="J41" i="13"/>
  <c r="G38" i="15"/>
  <c r="M37" i="15"/>
  <c r="X37" i="15" s="1"/>
  <c r="L37" i="15"/>
  <c r="W37" i="15" s="1"/>
  <c r="Q37" i="15"/>
  <c r="P37" i="15"/>
  <c r="S37" i="15"/>
  <c r="Z37" i="15"/>
  <c r="U37" i="15"/>
  <c r="T37" i="15"/>
  <c r="AA37" i="15"/>
  <c r="O37" i="15"/>
  <c r="J40" i="15"/>
  <c r="L37" i="13"/>
  <c r="W37" i="13" s="1"/>
  <c r="G38" i="13"/>
  <c r="M37" i="13"/>
  <c r="X37" i="13" s="1"/>
  <c r="T37" i="13"/>
  <c r="Q37" i="13"/>
  <c r="P37" i="13"/>
  <c r="U37" i="13"/>
  <c r="R37" i="13"/>
  <c r="Z37" i="13"/>
  <c r="AA37" i="13"/>
  <c r="O37" i="13"/>
  <c r="H40" i="13"/>
  <c r="N41" i="14"/>
  <c r="H40" i="16"/>
  <c r="Z38" i="16"/>
  <c r="Q38" i="16"/>
  <c r="P38" i="16"/>
  <c r="J39" i="16"/>
  <c r="O39" i="16" s="1"/>
  <c r="U38" i="16"/>
  <c r="T38" i="16"/>
  <c r="AH43" i="14"/>
  <c r="AJ42" i="14"/>
  <c r="E42" i="14" s="1"/>
  <c r="AJ42" i="10"/>
  <c r="E42" i="10" s="1"/>
  <c r="AH43" i="10"/>
  <c r="Z39" i="11"/>
  <c r="H40" i="11"/>
  <c r="S39" i="11"/>
  <c r="R39" i="11"/>
  <c r="AA39" i="11"/>
  <c r="T39" i="11"/>
  <c r="Q39" i="11"/>
  <c r="P39" i="11"/>
  <c r="U39" i="11"/>
  <c r="Q38" i="10"/>
  <c r="P38" i="10"/>
  <c r="J39" i="10"/>
  <c r="U38" i="10"/>
  <c r="T38" i="10"/>
  <c r="O38" i="10"/>
  <c r="J39" i="12"/>
  <c r="U38" i="12"/>
  <c r="Q38" i="12"/>
  <c r="P38" i="12"/>
  <c r="T38" i="12"/>
  <c r="O38" i="12"/>
  <c r="AJ42" i="11"/>
  <c r="E42" i="11" s="1"/>
  <c r="AH43" i="11"/>
  <c r="AJ42" i="9"/>
  <c r="E42" i="9" s="1"/>
  <c r="AH43" i="9"/>
  <c r="N41" i="9"/>
  <c r="AJ42" i="12"/>
  <c r="E42" i="12" s="1"/>
  <c r="AH43" i="12"/>
  <c r="N41" i="10"/>
  <c r="H40" i="12"/>
  <c r="AA39" i="12"/>
  <c r="Z39" i="12"/>
  <c r="H41" i="9"/>
  <c r="L39" i="11"/>
  <c r="W39" i="11" s="1"/>
  <c r="G40" i="11"/>
  <c r="M39" i="11"/>
  <c r="X39" i="11" s="1"/>
  <c r="N41" i="11"/>
  <c r="M38" i="10"/>
  <c r="X38" i="10" s="1"/>
  <c r="L38" i="10"/>
  <c r="W38" i="10" s="1"/>
  <c r="G39" i="10"/>
  <c r="S38" i="10"/>
  <c r="R38" i="10"/>
  <c r="AA38" i="10"/>
  <c r="Z38" i="10"/>
  <c r="H39" i="10"/>
  <c r="M38" i="9"/>
  <c r="X38" i="9" s="1"/>
  <c r="L38" i="9"/>
  <c r="W38" i="9" s="1"/>
  <c r="G39" i="9"/>
  <c r="R38" i="9"/>
  <c r="Z38" i="9"/>
  <c r="AA38" i="9"/>
  <c r="O39" i="11"/>
  <c r="G40" i="12"/>
  <c r="M39" i="12"/>
  <c r="X39" i="12" s="1"/>
  <c r="L39" i="12"/>
  <c r="W39" i="12" s="1"/>
  <c r="N41" i="12"/>
  <c r="J39" i="9"/>
  <c r="U38" i="9"/>
  <c r="Q38" i="9"/>
  <c r="P38" i="9"/>
  <c r="T38" i="9"/>
  <c r="O38" i="9"/>
  <c r="J42" i="11"/>
  <c r="AJ43" i="8"/>
  <c r="E43" i="8" s="1"/>
  <c r="AH44" i="8"/>
  <c r="N42" i="8"/>
  <c r="Q39" i="8"/>
  <c r="P39" i="8"/>
  <c r="J40" i="8"/>
  <c r="U39" i="8"/>
  <c r="T39" i="8"/>
  <c r="O39" i="8"/>
  <c r="G40" i="8"/>
  <c r="M39" i="8"/>
  <c r="X39" i="8" s="1"/>
  <c r="L39" i="8"/>
  <c r="W39" i="8" s="1"/>
  <c r="H40" i="8"/>
  <c r="S39" i="8"/>
  <c r="AA39" i="8"/>
  <c r="Z39" i="8"/>
  <c r="AJ43" i="7"/>
  <c r="E43" i="7" s="1"/>
  <c r="AH44" i="7"/>
  <c r="N42" i="7"/>
  <c r="H41" i="7"/>
  <c r="J41" i="7"/>
  <c r="AJ42" i="6"/>
  <c r="E42" i="6" s="1"/>
  <c r="AH43" i="6"/>
  <c r="S39" i="6"/>
  <c r="R39" i="6"/>
  <c r="AA39" i="6"/>
  <c r="Z39" i="6"/>
  <c r="H40" i="6"/>
  <c r="T39" i="6"/>
  <c r="N41" i="6"/>
  <c r="M39" i="6"/>
  <c r="X39" i="6" s="1"/>
  <c r="L39" i="6"/>
  <c r="W39" i="6" s="1"/>
  <c r="G40" i="6"/>
  <c r="U39" i="6"/>
  <c r="J41" i="6"/>
  <c r="U40" i="6"/>
  <c r="G38" i="4"/>
  <c r="M37" i="4"/>
  <c r="X37" i="4" s="1"/>
  <c r="L37" i="4"/>
  <c r="W37" i="4" s="1"/>
  <c r="O37" i="4"/>
  <c r="T37" i="4"/>
  <c r="Q37" i="4"/>
  <c r="R37" i="4"/>
  <c r="AA37" i="4"/>
  <c r="Z37" i="4"/>
  <c r="P37" i="4"/>
  <c r="S37" i="4"/>
  <c r="U37" i="4"/>
  <c r="J42" i="4"/>
  <c r="H40" i="4"/>
  <c r="AJ42" i="4"/>
  <c r="E42" i="4" s="1"/>
  <c r="AH43" i="4"/>
  <c r="N41" i="4"/>
  <c r="H40" i="1"/>
  <c r="D39" i="1"/>
  <c r="S39" i="1" s="1"/>
  <c r="C39" i="1"/>
  <c r="R39" i="1" s="1"/>
  <c r="N45" i="27" l="1"/>
  <c r="T45" i="27"/>
  <c r="O44" i="27"/>
  <c r="AA44" i="27"/>
  <c r="N44" i="28"/>
  <c r="T44" i="28"/>
  <c r="O43" i="28"/>
  <c r="AA43" i="28"/>
  <c r="N43" i="26"/>
  <c r="T43" i="26"/>
  <c r="O42" i="26"/>
  <c r="AA42" i="26"/>
  <c r="N43" i="25"/>
  <c r="T43" i="25"/>
  <c r="O42" i="25"/>
  <c r="AA42" i="25"/>
  <c r="N44" i="24"/>
  <c r="T44" i="24"/>
  <c r="O43" i="24"/>
  <c r="AA43" i="24"/>
  <c r="M45" i="23"/>
  <c r="X45" i="23" s="1"/>
  <c r="Q45" i="23"/>
  <c r="P45" i="23"/>
  <c r="U45" i="23"/>
  <c r="Z45" i="23"/>
  <c r="N44" i="23"/>
  <c r="O44" i="23" s="1"/>
  <c r="T44" i="23"/>
  <c r="AA43" i="23"/>
  <c r="M44" i="23"/>
  <c r="X44" i="23" s="1"/>
  <c r="Q44" i="23"/>
  <c r="P44" i="23"/>
  <c r="AA44" i="23"/>
  <c r="Z44" i="23"/>
  <c r="U44" i="23"/>
  <c r="N44" i="22"/>
  <c r="T44" i="22"/>
  <c r="O43" i="22"/>
  <c r="AA43" i="22"/>
  <c r="N44" i="21"/>
  <c r="T44" i="21"/>
  <c r="O43" i="21"/>
  <c r="AA43" i="21"/>
  <c r="P40" i="20"/>
  <c r="O40" i="20"/>
  <c r="T40" i="20"/>
  <c r="H44" i="28"/>
  <c r="D43" i="28"/>
  <c r="S43" i="28" s="1"/>
  <c r="C43" i="28"/>
  <c r="R43" i="28" s="1"/>
  <c r="AJ45" i="28"/>
  <c r="E45" i="28" s="1"/>
  <c r="AH46" i="28"/>
  <c r="J42" i="28"/>
  <c r="L41" i="28"/>
  <c r="W41" i="28" s="1"/>
  <c r="L41" i="26"/>
  <c r="W41" i="26" s="1"/>
  <c r="J42" i="26"/>
  <c r="L42" i="25"/>
  <c r="W42" i="25" s="1"/>
  <c r="J43" i="25"/>
  <c r="AJ44" i="26"/>
  <c r="E44" i="26" s="1"/>
  <c r="AH45" i="26"/>
  <c r="AH46" i="24"/>
  <c r="AJ45" i="24"/>
  <c r="E45" i="24" s="1"/>
  <c r="D42" i="26"/>
  <c r="S42" i="26" s="1"/>
  <c r="C42" i="26"/>
  <c r="R42" i="26" s="1"/>
  <c r="H43" i="26"/>
  <c r="D44" i="25"/>
  <c r="S44" i="25" s="1"/>
  <c r="C44" i="25"/>
  <c r="R44" i="25" s="1"/>
  <c r="H45" i="25"/>
  <c r="AJ46" i="27"/>
  <c r="E46" i="27" s="1"/>
  <c r="AH47" i="27"/>
  <c r="C42" i="27"/>
  <c r="R42" i="27" s="1"/>
  <c r="H43" i="27"/>
  <c r="D42" i="27"/>
  <c r="S42" i="27" s="1"/>
  <c r="D42" i="24"/>
  <c r="S42" i="24" s="1"/>
  <c r="C42" i="24"/>
  <c r="R42" i="24" s="1"/>
  <c r="H43" i="24"/>
  <c r="J44" i="27"/>
  <c r="L43" i="27"/>
  <c r="W43" i="27" s="1"/>
  <c r="AJ44" i="25"/>
  <c r="E44" i="25" s="1"/>
  <c r="AH45" i="25"/>
  <c r="J42" i="24"/>
  <c r="L41" i="24"/>
  <c r="W41" i="24" s="1"/>
  <c r="AJ45" i="22"/>
  <c r="E45" i="22" s="1"/>
  <c r="AH46" i="22"/>
  <c r="H44" i="22"/>
  <c r="D43" i="22"/>
  <c r="S43" i="22" s="1"/>
  <c r="C43" i="22"/>
  <c r="R43" i="22" s="1"/>
  <c r="D41" i="23"/>
  <c r="S41" i="23" s="1"/>
  <c r="C41" i="23"/>
  <c r="R41" i="23" s="1"/>
  <c r="H42" i="23"/>
  <c r="AJ45" i="23"/>
  <c r="E45" i="23" s="1"/>
  <c r="AH46" i="23"/>
  <c r="J42" i="23"/>
  <c r="L41" i="23"/>
  <c r="W41" i="23" s="1"/>
  <c r="J42" i="22"/>
  <c r="L41" i="22"/>
  <c r="W41" i="22" s="1"/>
  <c r="C42" i="21"/>
  <c r="R42" i="21" s="1"/>
  <c r="H43" i="21"/>
  <c r="D42" i="21"/>
  <c r="S42" i="21" s="1"/>
  <c r="AJ45" i="21"/>
  <c r="E45" i="21" s="1"/>
  <c r="AH46" i="21"/>
  <c r="L41" i="21"/>
  <c r="W41" i="21" s="1"/>
  <c r="J42" i="21"/>
  <c r="AH46" i="20"/>
  <c r="AJ45" i="20"/>
  <c r="E45" i="20" s="1"/>
  <c r="H44" i="20"/>
  <c r="N44" i="20"/>
  <c r="J42" i="20"/>
  <c r="O41" i="20"/>
  <c r="M40" i="20"/>
  <c r="X40" i="20" s="1"/>
  <c r="L40" i="20"/>
  <c r="W40" i="20" s="1"/>
  <c r="G41" i="20"/>
  <c r="P41" i="20" s="1"/>
  <c r="D40" i="20"/>
  <c r="S40" i="20" s="1"/>
  <c r="C40" i="20"/>
  <c r="R40" i="20" s="1"/>
  <c r="AA40" i="20"/>
  <c r="Z40" i="20"/>
  <c r="Q40" i="20"/>
  <c r="T39" i="19"/>
  <c r="O39" i="19"/>
  <c r="P39" i="19"/>
  <c r="J41" i="19"/>
  <c r="G40" i="19"/>
  <c r="O40" i="19" s="1"/>
  <c r="M39" i="19"/>
  <c r="X39" i="19" s="1"/>
  <c r="L39" i="19"/>
  <c r="W39" i="19" s="1"/>
  <c r="Q39" i="19"/>
  <c r="Z39" i="19"/>
  <c r="AA39" i="19"/>
  <c r="H41" i="19"/>
  <c r="C39" i="19"/>
  <c r="R39" i="19" s="1"/>
  <c r="AJ46" i="19"/>
  <c r="E46" i="19" s="1"/>
  <c r="AH47" i="19"/>
  <c r="N45" i="19"/>
  <c r="D39" i="19"/>
  <c r="S39" i="19" s="1"/>
  <c r="AA38" i="7"/>
  <c r="D38" i="7"/>
  <c r="S38" i="7" s="1"/>
  <c r="L38" i="7"/>
  <c r="W38" i="7" s="1"/>
  <c r="C38" i="7"/>
  <c r="R38" i="7" s="1"/>
  <c r="G39" i="7"/>
  <c r="O38" i="7"/>
  <c r="T38" i="7"/>
  <c r="Q38" i="7"/>
  <c r="Z38" i="7"/>
  <c r="U38" i="7"/>
  <c r="P38" i="7"/>
  <c r="M38" i="7"/>
  <c r="X38" i="7" s="1"/>
  <c r="O40" i="18"/>
  <c r="C40" i="18"/>
  <c r="D40" i="18"/>
  <c r="O38" i="17"/>
  <c r="D38" i="17"/>
  <c r="C38" i="17"/>
  <c r="R38" i="17" s="1"/>
  <c r="D39" i="16"/>
  <c r="S39" i="16" s="1"/>
  <c r="C39" i="16"/>
  <c r="R39" i="16" s="1"/>
  <c r="C38" i="15"/>
  <c r="D38" i="15"/>
  <c r="S38" i="15" s="1"/>
  <c r="C39" i="14"/>
  <c r="R39" i="14" s="1"/>
  <c r="D39" i="14"/>
  <c r="S39" i="14" s="1"/>
  <c r="C38" i="13"/>
  <c r="D38" i="13"/>
  <c r="D40" i="12"/>
  <c r="C40" i="12"/>
  <c r="D40" i="11"/>
  <c r="C40" i="11"/>
  <c r="D39" i="10"/>
  <c r="C39" i="10"/>
  <c r="D39" i="9"/>
  <c r="S39" i="9" s="1"/>
  <c r="C39" i="9"/>
  <c r="D40" i="8"/>
  <c r="C40" i="8"/>
  <c r="R40" i="8" s="1"/>
  <c r="D40" i="6"/>
  <c r="C40" i="6"/>
  <c r="C38" i="4"/>
  <c r="D38" i="4"/>
  <c r="G41" i="1"/>
  <c r="U40" i="1"/>
  <c r="Q40" i="1"/>
  <c r="P40" i="1"/>
  <c r="Z40" i="1"/>
  <c r="AA40" i="1"/>
  <c r="M40" i="1"/>
  <c r="X40" i="1" s="1"/>
  <c r="L40" i="1"/>
  <c r="W40" i="1" s="1"/>
  <c r="T40" i="1"/>
  <c r="O40" i="1"/>
  <c r="N42" i="18"/>
  <c r="R40" i="18"/>
  <c r="AA40" i="18"/>
  <c r="Z40" i="18"/>
  <c r="H41" i="18"/>
  <c r="S40" i="18"/>
  <c r="P40" i="18"/>
  <c r="J41" i="18"/>
  <c r="U40" i="18"/>
  <c r="Q40" i="18"/>
  <c r="T40" i="18"/>
  <c r="M40" i="18"/>
  <c r="X40" i="18" s="1"/>
  <c r="L40" i="18"/>
  <c r="W40" i="18" s="1"/>
  <c r="G41" i="18"/>
  <c r="AJ43" i="18"/>
  <c r="E43" i="18" s="1"/>
  <c r="AH44" i="18"/>
  <c r="AJ44" i="17"/>
  <c r="E44" i="17" s="1"/>
  <c r="AH45" i="17"/>
  <c r="N43" i="17"/>
  <c r="H41" i="17"/>
  <c r="M38" i="17"/>
  <c r="X38" i="17" s="1"/>
  <c r="L38" i="17"/>
  <c r="W38" i="17" s="1"/>
  <c r="G39" i="17"/>
  <c r="S38" i="17"/>
  <c r="AA38" i="17"/>
  <c r="Z38" i="17"/>
  <c r="T38" i="17"/>
  <c r="U38" i="17"/>
  <c r="J40" i="17"/>
  <c r="P38" i="17"/>
  <c r="Q38" i="17"/>
  <c r="M38" i="15"/>
  <c r="X38" i="15" s="1"/>
  <c r="L38" i="15"/>
  <c r="W38" i="15" s="1"/>
  <c r="G39" i="15"/>
  <c r="Q38" i="15"/>
  <c r="P38" i="15"/>
  <c r="U38" i="15"/>
  <c r="T38" i="15"/>
  <c r="O38" i="15"/>
  <c r="R38" i="15"/>
  <c r="AA38" i="15"/>
  <c r="Z38" i="15"/>
  <c r="N41" i="16"/>
  <c r="H41" i="15"/>
  <c r="AJ42" i="16"/>
  <c r="E42" i="16" s="1"/>
  <c r="AH43" i="16"/>
  <c r="J42" i="13"/>
  <c r="M39" i="14"/>
  <c r="X39" i="14" s="1"/>
  <c r="L39" i="14"/>
  <c r="W39" i="14" s="1"/>
  <c r="G40" i="14"/>
  <c r="Z40" i="16"/>
  <c r="H41" i="16"/>
  <c r="N43" i="13"/>
  <c r="Z39" i="16"/>
  <c r="AH44" i="15"/>
  <c r="AJ43" i="15"/>
  <c r="E43" i="15" s="1"/>
  <c r="AA39" i="16"/>
  <c r="H41" i="13"/>
  <c r="G39" i="13"/>
  <c r="M38" i="13"/>
  <c r="X38" i="13" s="1"/>
  <c r="L38" i="13"/>
  <c r="W38" i="13" s="1"/>
  <c r="T38" i="13"/>
  <c r="Q38" i="13"/>
  <c r="U38" i="13"/>
  <c r="S38" i="13"/>
  <c r="P38" i="13"/>
  <c r="R38" i="13"/>
  <c r="Z38" i="13"/>
  <c r="AA38" i="13"/>
  <c r="O38" i="13"/>
  <c r="N42" i="15"/>
  <c r="Q39" i="16"/>
  <c r="P39" i="16"/>
  <c r="J40" i="16"/>
  <c r="U39" i="16"/>
  <c r="T39" i="16"/>
  <c r="N42" i="14"/>
  <c r="H41" i="14"/>
  <c r="M39" i="16"/>
  <c r="X39" i="16" s="1"/>
  <c r="L39" i="16"/>
  <c r="W39" i="16" s="1"/>
  <c r="G40" i="16"/>
  <c r="AJ43" i="14"/>
  <c r="E43" i="14" s="1"/>
  <c r="AH44" i="14"/>
  <c r="Z39" i="14"/>
  <c r="J40" i="14"/>
  <c r="Q39" i="14"/>
  <c r="P39" i="14"/>
  <c r="U39" i="14"/>
  <c r="T39" i="14"/>
  <c r="O39" i="14"/>
  <c r="J41" i="15"/>
  <c r="AA39" i="14"/>
  <c r="AJ44" i="13"/>
  <c r="E44" i="13" s="1"/>
  <c r="AH45" i="13"/>
  <c r="AA40" i="12"/>
  <c r="Z40" i="12"/>
  <c r="H41" i="12"/>
  <c r="R39" i="10"/>
  <c r="AA39" i="10"/>
  <c r="Z39" i="10"/>
  <c r="H40" i="10"/>
  <c r="S39" i="10"/>
  <c r="G41" i="11"/>
  <c r="O41" i="11" s="1"/>
  <c r="M40" i="11"/>
  <c r="X40" i="11" s="1"/>
  <c r="L40" i="11"/>
  <c r="W40" i="11" s="1"/>
  <c r="AJ43" i="12"/>
  <c r="E43" i="12" s="1"/>
  <c r="AH44" i="12"/>
  <c r="G41" i="12"/>
  <c r="M40" i="12"/>
  <c r="X40" i="12" s="1"/>
  <c r="N42" i="12"/>
  <c r="U39" i="12"/>
  <c r="Q39" i="12"/>
  <c r="P39" i="12"/>
  <c r="J40" i="12"/>
  <c r="L40" i="12" s="1"/>
  <c r="W40" i="12" s="1"/>
  <c r="T39" i="12"/>
  <c r="O39" i="12"/>
  <c r="M39" i="10"/>
  <c r="X39" i="10" s="1"/>
  <c r="L39" i="10"/>
  <c r="W39" i="10" s="1"/>
  <c r="G40" i="10"/>
  <c r="H42" i="9"/>
  <c r="H41" i="11"/>
  <c r="S40" i="11"/>
  <c r="R40" i="11"/>
  <c r="AA40" i="11"/>
  <c r="Z40" i="11"/>
  <c r="Q40" i="11"/>
  <c r="U40" i="11"/>
  <c r="P40" i="11"/>
  <c r="T40" i="11"/>
  <c r="AJ43" i="9"/>
  <c r="E43" i="9" s="1"/>
  <c r="AH44" i="9"/>
  <c r="J43" i="11"/>
  <c r="N42" i="9"/>
  <c r="P39" i="10"/>
  <c r="J40" i="10"/>
  <c r="Q39" i="10"/>
  <c r="U39" i="10"/>
  <c r="T39" i="10"/>
  <c r="O39" i="10"/>
  <c r="J40" i="9"/>
  <c r="U39" i="9"/>
  <c r="P39" i="9"/>
  <c r="Q39" i="9"/>
  <c r="T39" i="9"/>
  <c r="O39" i="9"/>
  <c r="L39" i="9"/>
  <c r="W39" i="9" s="1"/>
  <c r="G40" i="9"/>
  <c r="M39" i="9"/>
  <c r="X39" i="9" s="1"/>
  <c r="Z39" i="9"/>
  <c r="R39" i="9"/>
  <c r="AA39" i="9"/>
  <c r="R39" i="12"/>
  <c r="AJ43" i="11"/>
  <c r="E43" i="11" s="1"/>
  <c r="AH44" i="11"/>
  <c r="AJ43" i="10"/>
  <c r="E43" i="10" s="1"/>
  <c r="AH44" i="10"/>
  <c r="O40" i="11"/>
  <c r="S39" i="12"/>
  <c r="N42" i="11"/>
  <c r="N42" i="10"/>
  <c r="G41" i="8"/>
  <c r="M40" i="8"/>
  <c r="X40" i="8" s="1"/>
  <c r="L40" i="8"/>
  <c r="W40" i="8" s="1"/>
  <c r="S40" i="8"/>
  <c r="AA40" i="8"/>
  <c r="Z40" i="8"/>
  <c r="H41" i="8"/>
  <c r="AJ44" i="8"/>
  <c r="E44" i="8" s="1"/>
  <c r="AH45" i="8"/>
  <c r="N43" i="8"/>
  <c r="Q40" i="8"/>
  <c r="P40" i="8"/>
  <c r="J41" i="8"/>
  <c r="U40" i="8"/>
  <c r="T40" i="8"/>
  <c r="O40" i="8"/>
  <c r="AJ44" i="7"/>
  <c r="E44" i="7" s="1"/>
  <c r="AH45" i="7"/>
  <c r="J42" i="7"/>
  <c r="H42" i="7"/>
  <c r="N43" i="7"/>
  <c r="R40" i="6"/>
  <c r="AA40" i="6"/>
  <c r="Z40" i="6"/>
  <c r="S40" i="6"/>
  <c r="H41" i="6"/>
  <c r="T40" i="6"/>
  <c r="J42" i="6"/>
  <c r="Q41" i="6"/>
  <c r="U41" i="6"/>
  <c r="AJ43" i="6"/>
  <c r="E43" i="6" s="1"/>
  <c r="AH44" i="6"/>
  <c r="Q40" i="6"/>
  <c r="P40" i="6"/>
  <c r="M40" i="6"/>
  <c r="X40" i="6" s="1"/>
  <c r="L40" i="6"/>
  <c r="W40" i="6" s="1"/>
  <c r="G41" i="6"/>
  <c r="P41" i="6" s="1"/>
  <c r="N42" i="6"/>
  <c r="O40" i="6"/>
  <c r="H41" i="4"/>
  <c r="AH44" i="4"/>
  <c r="AJ43" i="4"/>
  <c r="E43" i="4" s="1"/>
  <c r="N42" i="4"/>
  <c r="J43" i="4"/>
  <c r="M38" i="4"/>
  <c r="X38" i="4" s="1"/>
  <c r="L38" i="4"/>
  <c r="W38" i="4" s="1"/>
  <c r="G39" i="4"/>
  <c r="O38" i="4"/>
  <c r="S38" i="4"/>
  <c r="R38" i="4"/>
  <c r="AA38" i="4"/>
  <c r="Z38" i="4"/>
  <c r="U38" i="4"/>
  <c r="Q38" i="4"/>
  <c r="T38" i="4"/>
  <c r="P38" i="4"/>
  <c r="H41" i="1"/>
  <c r="D40" i="1"/>
  <c r="S40" i="1" s="1"/>
  <c r="C40" i="1"/>
  <c r="R40" i="1" s="1"/>
  <c r="N46" i="27" l="1"/>
  <c r="T46" i="27"/>
  <c r="O45" i="27"/>
  <c r="AA45" i="27"/>
  <c r="N45" i="28"/>
  <c r="T45" i="28"/>
  <c r="O44" i="28"/>
  <c r="AA44" i="28"/>
  <c r="N44" i="26"/>
  <c r="T44" i="26"/>
  <c r="O43" i="26"/>
  <c r="AA43" i="26"/>
  <c r="N44" i="25"/>
  <c r="T44" i="25"/>
  <c r="O43" i="25"/>
  <c r="AA43" i="25"/>
  <c r="N45" i="24"/>
  <c r="T45" i="24"/>
  <c r="O44" i="24"/>
  <c r="AA44" i="24"/>
  <c r="N45" i="23"/>
  <c r="T45" i="23"/>
  <c r="N45" i="22"/>
  <c r="T45" i="22"/>
  <c r="O44" i="22"/>
  <c r="AA44" i="22"/>
  <c r="N45" i="21"/>
  <c r="T45" i="21"/>
  <c r="O44" i="21"/>
  <c r="AA44" i="21"/>
  <c r="T41" i="20"/>
  <c r="Q41" i="20"/>
  <c r="J43" i="28"/>
  <c r="L42" i="28"/>
  <c r="W42" i="28" s="1"/>
  <c r="AJ46" i="28"/>
  <c r="E46" i="28" s="1"/>
  <c r="AH47" i="28"/>
  <c r="H45" i="28"/>
  <c r="D44" i="28"/>
  <c r="S44" i="28" s="1"/>
  <c r="C44" i="28"/>
  <c r="R44" i="28" s="1"/>
  <c r="J45" i="27"/>
  <c r="D43" i="26"/>
  <c r="S43" i="26" s="1"/>
  <c r="C43" i="26"/>
  <c r="R43" i="26" s="1"/>
  <c r="H44" i="26"/>
  <c r="D43" i="24"/>
  <c r="S43" i="24" s="1"/>
  <c r="C43" i="24"/>
  <c r="R43" i="24" s="1"/>
  <c r="H44" i="24"/>
  <c r="AJ46" i="24"/>
  <c r="E46" i="24" s="1"/>
  <c r="AH47" i="24"/>
  <c r="H44" i="27"/>
  <c r="C43" i="27"/>
  <c r="R43" i="27" s="1"/>
  <c r="D43" i="27"/>
  <c r="S43" i="27" s="1"/>
  <c r="AJ45" i="26"/>
  <c r="E45" i="26" s="1"/>
  <c r="AH46" i="26"/>
  <c r="AJ47" i="27"/>
  <c r="E47" i="27" s="1"/>
  <c r="AH48" i="27"/>
  <c r="J44" i="25"/>
  <c r="L43" i="25"/>
  <c r="W43" i="25" s="1"/>
  <c r="L42" i="24"/>
  <c r="W42" i="24" s="1"/>
  <c r="J43" i="24"/>
  <c r="AJ45" i="25"/>
  <c r="E45" i="25" s="1"/>
  <c r="AH46" i="25"/>
  <c r="D45" i="25"/>
  <c r="S45" i="25" s="1"/>
  <c r="C45" i="25"/>
  <c r="R45" i="25" s="1"/>
  <c r="H46" i="25"/>
  <c r="J43" i="26"/>
  <c r="L42" i="26"/>
  <c r="W42" i="26" s="1"/>
  <c r="AJ46" i="23"/>
  <c r="E46" i="23" s="1"/>
  <c r="AH47" i="23"/>
  <c r="C42" i="23"/>
  <c r="R42" i="23" s="1"/>
  <c r="H43" i="23"/>
  <c r="D42" i="23"/>
  <c r="S42" i="23" s="1"/>
  <c r="J43" i="23"/>
  <c r="L42" i="23"/>
  <c r="W42" i="23" s="1"/>
  <c r="D44" i="22"/>
  <c r="S44" i="22" s="1"/>
  <c r="C44" i="22"/>
  <c r="R44" i="22" s="1"/>
  <c r="H45" i="22"/>
  <c r="AJ46" i="22"/>
  <c r="E46" i="22" s="1"/>
  <c r="AH47" i="22"/>
  <c r="J43" i="22"/>
  <c r="L42" i="22"/>
  <c r="W42" i="22" s="1"/>
  <c r="J43" i="21"/>
  <c r="L42" i="21"/>
  <c r="W42" i="21" s="1"/>
  <c r="AH47" i="21"/>
  <c r="AJ46" i="21"/>
  <c r="E46" i="21" s="1"/>
  <c r="H44" i="21"/>
  <c r="D43" i="21"/>
  <c r="S43" i="21" s="1"/>
  <c r="C43" i="21"/>
  <c r="R43" i="21" s="1"/>
  <c r="M41" i="20"/>
  <c r="X41" i="20" s="1"/>
  <c r="L41" i="20"/>
  <c r="W41" i="20" s="1"/>
  <c r="G42" i="20"/>
  <c r="Q42" i="20" s="1"/>
  <c r="D41" i="20"/>
  <c r="S41" i="20" s="1"/>
  <c r="C41" i="20"/>
  <c r="R41" i="20" s="1"/>
  <c r="AA41" i="20"/>
  <c r="Z41" i="20"/>
  <c r="J43" i="20"/>
  <c r="U42" i="20"/>
  <c r="T42" i="20"/>
  <c r="H45" i="20"/>
  <c r="N45" i="20"/>
  <c r="U41" i="20"/>
  <c r="AJ46" i="20"/>
  <c r="E46" i="20" s="1"/>
  <c r="AH47" i="20"/>
  <c r="Z40" i="19"/>
  <c r="AH48" i="19"/>
  <c r="AJ47" i="19"/>
  <c r="E47" i="19" s="1"/>
  <c r="N46" i="19"/>
  <c r="M40" i="19"/>
  <c r="X40" i="19" s="1"/>
  <c r="G41" i="19"/>
  <c r="Q41" i="19" s="1"/>
  <c r="L40" i="19"/>
  <c r="W40" i="19" s="1"/>
  <c r="D40" i="19"/>
  <c r="S40" i="19" s="1"/>
  <c r="T40" i="19"/>
  <c r="C41" i="19"/>
  <c r="R41" i="19" s="1"/>
  <c r="H42" i="19"/>
  <c r="U40" i="19"/>
  <c r="AA40" i="19"/>
  <c r="J42" i="19"/>
  <c r="C40" i="19"/>
  <c r="R40" i="19" s="1"/>
  <c r="Q40" i="19"/>
  <c r="P40" i="19"/>
  <c r="O39" i="7"/>
  <c r="Z39" i="7"/>
  <c r="AA39" i="7"/>
  <c r="L39" i="7"/>
  <c r="W39" i="7" s="1"/>
  <c r="T39" i="7"/>
  <c r="G40" i="7"/>
  <c r="D39" i="7"/>
  <c r="S39" i="7" s="1"/>
  <c r="M39" i="7"/>
  <c r="X39" i="7" s="1"/>
  <c r="C39" i="7"/>
  <c r="R39" i="7" s="1"/>
  <c r="U39" i="7"/>
  <c r="P39" i="7"/>
  <c r="Q39" i="7"/>
  <c r="D41" i="18"/>
  <c r="C41" i="18"/>
  <c r="P39" i="17"/>
  <c r="D39" i="17"/>
  <c r="C39" i="17"/>
  <c r="AA40" i="16"/>
  <c r="D40" i="16"/>
  <c r="C40" i="16"/>
  <c r="R40" i="16" s="1"/>
  <c r="D39" i="15"/>
  <c r="C39" i="15"/>
  <c r="R39" i="15" s="1"/>
  <c r="AA40" i="14"/>
  <c r="D40" i="14"/>
  <c r="S40" i="14" s="1"/>
  <c r="C40" i="14"/>
  <c r="D39" i="13"/>
  <c r="C39" i="13"/>
  <c r="D41" i="12"/>
  <c r="C41" i="12"/>
  <c r="D41" i="11"/>
  <c r="C41" i="11"/>
  <c r="D40" i="10"/>
  <c r="C40" i="10"/>
  <c r="R40" i="10" s="1"/>
  <c r="D40" i="9"/>
  <c r="C40" i="9"/>
  <c r="D41" i="8"/>
  <c r="S41" i="8" s="1"/>
  <c r="C41" i="8"/>
  <c r="D41" i="6"/>
  <c r="C41" i="6"/>
  <c r="D39" i="4"/>
  <c r="C39" i="4"/>
  <c r="G42" i="1"/>
  <c r="U41" i="1"/>
  <c r="Z41" i="1"/>
  <c r="Q41" i="1"/>
  <c r="P41" i="1"/>
  <c r="M41" i="1"/>
  <c r="X41" i="1" s="1"/>
  <c r="L41" i="1"/>
  <c r="W41" i="1" s="1"/>
  <c r="AA41" i="1"/>
  <c r="T41" i="1"/>
  <c r="O41" i="1"/>
  <c r="T39" i="17"/>
  <c r="U39" i="17"/>
  <c r="Z40" i="14"/>
  <c r="J42" i="18"/>
  <c r="U41" i="18"/>
  <c r="Q41" i="18"/>
  <c r="P41" i="18"/>
  <c r="T41" i="18"/>
  <c r="AA41" i="18"/>
  <c r="Z41" i="18"/>
  <c r="H42" i="18"/>
  <c r="S41" i="18"/>
  <c r="R41" i="18"/>
  <c r="AJ44" i="18"/>
  <c r="E44" i="18" s="1"/>
  <c r="AH45" i="18"/>
  <c r="N43" i="18"/>
  <c r="M41" i="18"/>
  <c r="X41" i="18" s="1"/>
  <c r="L41" i="18"/>
  <c r="W41" i="18" s="1"/>
  <c r="G42" i="18"/>
  <c r="O41" i="18"/>
  <c r="O42" i="18"/>
  <c r="M39" i="17"/>
  <c r="X39" i="17" s="1"/>
  <c r="L39" i="17"/>
  <c r="W39" i="17" s="1"/>
  <c r="G40" i="17"/>
  <c r="Q40" i="17" s="1"/>
  <c r="S39" i="17"/>
  <c r="R39" i="17"/>
  <c r="AA39" i="17"/>
  <c r="Z39" i="17"/>
  <c r="J41" i="17"/>
  <c r="H42" i="17"/>
  <c r="Q39" i="17"/>
  <c r="AJ45" i="17"/>
  <c r="E45" i="17" s="1"/>
  <c r="AH46" i="17"/>
  <c r="O39" i="17"/>
  <c r="N44" i="17"/>
  <c r="J42" i="15"/>
  <c r="N43" i="14"/>
  <c r="N42" i="16"/>
  <c r="M40" i="16"/>
  <c r="X40" i="16" s="1"/>
  <c r="L40" i="16"/>
  <c r="W40" i="16" s="1"/>
  <c r="G41" i="16"/>
  <c r="H42" i="13"/>
  <c r="AH44" i="16"/>
  <c r="AJ43" i="16"/>
  <c r="E43" i="16" s="1"/>
  <c r="Q40" i="16"/>
  <c r="P40" i="16"/>
  <c r="J41" i="16"/>
  <c r="U40" i="16"/>
  <c r="T40" i="16"/>
  <c r="S40" i="16"/>
  <c r="H42" i="15"/>
  <c r="M40" i="14"/>
  <c r="X40" i="14" s="1"/>
  <c r="L40" i="14"/>
  <c r="W40" i="14" s="1"/>
  <c r="G41" i="14"/>
  <c r="R40" i="14"/>
  <c r="N43" i="15"/>
  <c r="AJ45" i="13"/>
  <c r="E45" i="13" s="1"/>
  <c r="AH46" i="13"/>
  <c r="AJ44" i="15"/>
  <c r="E44" i="15" s="1"/>
  <c r="AH45" i="15"/>
  <c r="M39" i="15"/>
  <c r="X39" i="15" s="1"/>
  <c r="L39" i="15"/>
  <c r="W39" i="15" s="1"/>
  <c r="G40" i="15"/>
  <c r="O39" i="15"/>
  <c r="U39" i="15"/>
  <c r="T39" i="15"/>
  <c r="S39" i="15"/>
  <c r="AA39" i="15"/>
  <c r="P39" i="15"/>
  <c r="Z39" i="15"/>
  <c r="Q39" i="15"/>
  <c r="N44" i="13"/>
  <c r="H42" i="14"/>
  <c r="O40" i="16"/>
  <c r="J41" i="14"/>
  <c r="Q40" i="14"/>
  <c r="P40" i="14"/>
  <c r="U40" i="14"/>
  <c r="T40" i="14"/>
  <c r="O40" i="14"/>
  <c r="J43" i="13"/>
  <c r="G40" i="13"/>
  <c r="M39" i="13"/>
  <c r="X39" i="13" s="1"/>
  <c r="L39" i="13"/>
  <c r="W39" i="13" s="1"/>
  <c r="P39" i="13"/>
  <c r="T39" i="13"/>
  <c r="S39" i="13"/>
  <c r="R39" i="13"/>
  <c r="AA39" i="13"/>
  <c r="U39" i="13"/>
  <c r="Z39" i="13"/>
  <c r="O39" i="13"/>
  <c r="Q39" i="13"/>
  <c r="AH45" i="14"/>
  <c r="AJ44" i="14"/>
  <c r="E44" i="14" s="1"/>
  <c r="H42" i="16"/>
  <c r="AJ44" i="9"/>
  <c r="E44" i="9" s="1"/>
  <c r="AH45" i="9"/>
  <c r="G42" i="11"/>
  <c r="L41" i="11"/>
  <c r="W41" i="11" s="1"/>
  <c r="M41" i="11"/>
  <c r="X41" i="11" s="1"/>
  <c r="N43" i="9"/>
  <c r="AA40" i="10"/>
  <c r="Z40" i="10"/>
  <c r="H41" i="10"/>
  <c r="S40" i="10"/>
  <c r="G41" i="9"/>
  <c r="M40" i="9"/>
  <c r="X40" i="9" s="1"/>
  <c r="L40" i="9"/>
  <c r="W40" i="9" s="1"/>
  <c r="S40" i="9"/>
  <c r="AA40" i="9"/>
  <c r="R40" i="9"/>
  <c r="Z40" i="9"/>
  <c r="J41" i="10"/>
  <c r="U40" i="10"/>
  <c r="Q40" i="10"/>
  <c r="P40" i="10"/>
  <c r="T40" i="10"/>
  <c r="O40" i="10"/>
  <c r="H43" i="9"/>
  <c r="M40" i="10"/>
  <c r="X40" i="10" s="1"/>
  <c r="L40" i="10"/>
  <c r="W40" i="10" s="1"/>
  <c r="G41" i="10"/>
  <c r="AJ44" i="10"/>
  <c r="E44" i="10" s="1"/>
  <c r="AH45" i="10"/>
  <c r="N43" i="10"/>
  <c r="M41" i="12"/>
  <c r="X41" i="12" s="1"/>
  <c r="G42" i="12"/>
  <c r="AA41" i="12"/>
  <c r="Z41" i="12"/>
  <c r="H42" i="12"/>
  <c r="AJ44" i="11"/>
  <c r="E44" i="11" s="1"/>
  <c r="AH45" i="11"/>
  <c r="AJ44" i="12"/>
  <c r="E44" i="12" s="1"/>
  <c r="AH45" i="12"/>
  <c r="N43" i="11"/>
  <c r="N43" i="12"/>
  <c r="J44" i="11"/>
  <c r="Q40" i="12"/>
  <c r="P40" i="12"/>
  <c r="J41" i="12"/>
  <c r="L41" i="12" s="1"/>
  <c r="W41" i="12" s="1"/>
  <c r="U40" i="12"/>
  <c r="T40" i="12"/>
  <c r="O40" i="12"/>
  <c r="R40" i="12"/>
  <c r="J41" i="9"/>
  <c r="Q40" i="9"/>
  <c r="P40" i="9"/>
  <c r="U40" i="9"/>
  <c r="T40" i="9"/>
  <c r="O40" i="9"/>
  <c r="H42" i="11"/>
  <c r="S41" i="11"/>
  <c r="R41" i="11"/>
  <c r="Z41" i="11"/>
  <c r="AA41" i="11"/>
  <c r="T41" i="11"/>
  <c r="Q41" i="11"/>
  <c r="P41" i="11"/>
  <c r="U41" i="11"/>
  <c r="S40" i="12"/>
  <c r="AJ45" i="8"/>
  <c r="E45" i="8" s="1"/>
  <c r="AH46" i="8"/>
  <c r="N44" i="8"/>
  <c r="R41" i="8"/>
  <c r="AA41" i="8"/>
  <c r="Z41" i="8"/>
  <c r="H42" i="8"/>
  <c r="Q41" i="8"/>
  <c r="P41" i="8"/>
  <c r="J42" i="8"/>
  <c r="U41" i="8"/>
  <c r="T41" i="8"/>
  <c r="O41" i="8"/>
  <c r="M41" i="8"/>
  <c r="X41" i="8" s="1"/>
  <c r="L41" i="8"/>
  <c r="W41" i="8" s="1"/>
  <c r="G42" i="8"/>
  <c r="AJ45" i="7"/>
  <c r="E45" i="7" s="1"/>
  <c r="AH46" i="7"/>
  <c r="N44" i="7"/>
  <c r="H43" i="7"/>
  <c r="J43" i="7"/>
  <c r="N43" i="6"/>
  <c r="J43" i="6"/>
  <c r="O42" i="6"/>
  <c r="M41" i="6"/>
  <c r="X41" i="6" s="1"/>
  <c r="L41" i="6"/>
  <c r="W41" i="6" s="1"/>
  <c r="G42" i="6"/>
  <c r="AA41" i="6"/>
  <c r="Z41" i="6"/>
  <c r="H42" i="6"/>
  <c r="S41" i="6"/>
  <c r="R41" i="6"/>
  <c r="T41" i="6"/>
  <c r="AJ44" i="6"/>
  <c r="E44" i="6" s="1"/>
  <c r="AH45" i="6"/>
  <c r="O41" i="6"/>
  <c r="AH45" i="4"/>
  <c r="AJ44" i="4"/>
  <c r="E44" i="4" s="1"/>
  <c r="M39" i="4"/>
  <c r="X39" i="4" s="1"/>
  <c r="L39" i="4"/>
  <c r="W39" i="4" s="1"/>
  <c r="G40" i="4"/>
  <c r="U39" i="4"/>
  <c r="Q39" i="4"/>
  <c r="AA39" i="4"/>
  <c r="Z39" i="4"/>
  <c r="S39" i="4"/>
  <c r="R39" i="4"/>
  <c r="O39" i="4"/>
  <c r="P39" i="4"/>
  <c r="T39" i="4"/>
  <c r="H42" i="4"/>
  <c r="J44" i="4"/>
  <c r="N43" i="4"/>
  <c r="H42" i="1"/>
  <c r="D41" i="1"/>
  <c r="S41" i="1" s="1"/>
  <c r="C41" i="1"/>
  <c r="R41" i="1" s="1"/>
  <c r="N47" i="27" l="1"/>
  <c r="T47" i="27"/>
  <c r="AA46" i="27"/>
  <c r="O46" i="27"/>
  <c r="N46" i="28"/>
  <c r="T46" i="28"/>
  <c r="O45" i="28"/>
  <c r="AA45" i="28"/>
  <c r="N45" i="26"/>
  <c r="T45" i="26"/>
  <c r="O44" i="26"/>
  <c r="AA44" i="26"/>
  <c r="N45" i="25"/>
  <c r="T45" i="25"/>
  <c r="O44" i="25"/>
  <c r="AA44" i="25"/>
  <c r="N46" i="24"/>
  <c r="T46" i="24"/>
  <c r="O45" i="24"/>
  <c r="AA45" i="24"/>
  <c r="N46" i="23"/>
  <c r="T46" i="23"/>
  <c r="AA45" i="23"/>
  <c r="O45" i="23"/>
  <c r="N46" i="22"/>
  <c r="T46" i="22"/>
  <c r="O45" i="22"/>
  <c r="AA45" i="22"/>
  <c r="N46" i="21"/>
  <c r="T46" i="21"/>
  <c r="O45" i="21"/>
  <c r="AA45" i="21"/>
  <c r="O42" i="20"/>
  <c r="P42" i="20"/>
  <c r="H46" i="28"/>
  <c r="D45" i="28"/>
  <c r="S45" i="28" s="1"/>
  <c r="C45" i="28"/>
  <c r="R45" i="28" s="1"/>
  <c r="AJ47" i="28"/>
  <c r="E47" i="28" s="1"/>
  <c r="AH48" i="28"/>
  <c r="L43" i="28"/>
  <c r="W43" i="28" s="1"/>
  <c r="J44" i="28"/>
  <c r="AJ46" i="25"/>
  <c r="E46" i="25" s="1"/>
  <c r="AH47" i="25"/>
  <c r="H45" i="27"/>
  <c r="D44" i="27"/>
  <c r="S44" i="27" s="1"/>
  <c r="C44" i="27"/>
  <c r="R44" i="27" s="1"/>
  <c r="AJ47" i="24"/>
  <c r="E47" i="24" s="1"/>
  <c r="AH48" i="24"/>
  <c r="C44" i="24"/>
  <c r="R44" i="24" s="1"/>
  <c r="H45" i="24"/>
  <c r="D44" i="24"/>
  <c r="S44" i="24" s="1"/>
  <c r="J44" i="24"/>
  <c r="L43" i="24"/>
  <c r="W43" i="24" s="1"/>
  <c r="J45" i="25"/>
  <c r="L44" i="25"/>
  <c r="W44" i="25" s="1"/>
  <c r="AJ48" i="27"/>
  <c r="E48" i="27" s="1"/>
  <c r="AH49" i="27"/>
  <c r="D44" i="26"/>
  <c r="S44" i="26" s="1"/>
  <c r="C44" i="26"/>
  <c r="R44" i="26" s="1"/>
  <c r="H45" i="26"/>
  <c r="J44" i="26"/>
  <c r="L43" i="26"/>
  <c r="W43" i="26" s="1"/>
  <c r="AH47" i="26"/>
  <c r="AJ46" i="26"/>
  <c r="E46" i="26" s="1"/>
  <c r="C46" i="25"/>
  <c r="R46" i="25" s="1"/>
  <c r="H47" i="25"/>
  <c r="D46" i="25"/>
  <c r="S46" i="25" s="1"/>
  <c r="L45" i="27"/>
  <c r="W45" i="27" s="1"/>
  <c r="J46" i="27"/>
  <c r="L44" i="27"/>
  <c r="W44" i="27" s="1"/>
  <c r="D45" i="22"/>
  <c r="S45" i="22" s="1"/>
  <c r="C45" i="22"/>
  <c r="R45" i="22" s="1"/>
  <c r="H46" i="22"/>
  <c r="AJ47" i="22"/>
  <c r="E47" i="22" s="1"/>
  <c r="AH48" i="22"/>
  <c r="L43" i="23"/>
  <c r="W43" i="23" s="1"/>
  <c r="J44" i="23"/>
  <c r="H44" i="23"/>
  <c r="D43" i="23"/>
  <c r="S43" i="23" s="1"/>
  <c r="C43" i="23"/>
  <c r="R43" i="23" s="1"/>
  <c r="AJ47" i="23"/>
  <c r="E47" i="23" s="1"/>
  <c r="AH48" i="23"/>
  <c r="L43" i="22"/>
  <c r="W43" i="22" s="1"/>
  <c r="J44" i="22"/>
  <c r="H45" i="21"/>
  <c r="D44" i="21"/>
  <c r="S44" i="21" s="1"/>
  <c r="C44" i="21"/>
  <c r="R44" i="21" s="1"/>
  <c r="AJ47" i="21"/>
  <c r="E47" i="21" s="1"/>
  <c r="AH48" i="21"/>
  <c r="J44" i="21"/>
  <c r="L43" i="21"/>
  <c r="W43" i="21" s="1"/>
  <c r="AH48" i="20"/>
  <c r="AJ47" i="20"/>
  <c r="E47" i="20" s="1"/>
  <c r="N46" i="20"/>
  <c r="J44" i="20"/>
  <c r="O43" i="20"/>
  <c r="M42" i="20"/>
  <c r="X42" i="20" s="1"/>
  <c r="L42" i="20"/>
  <c r="W42" i="20" s="1"/>
  <c r="G43" i="20"/>
  <c r="Q43" i="20" s="1"/>
  <c r="AA42" i="20"/>
  <c r="Z42" i="20"/>
  <c r="D42" i="20"/>
  <c r="S42" i="20" s="1"/>
  <c r="C42" i="20"/>
  <c r="R42" i="20" s="1"/>
  <c r="H46" i="20"/>
  <c r="O41" i="19"/>
  <c r="U41" i="19"/>
  <c r="D41" i="19"/>
  <c r="S41" i="19" s="1"/>
  <c r="Z41" i="19"/>
  <c r="T41" i="19"/>
  <c r="P41" i="19"/>
  <c r="J43" i="19"/>
  <c r="L41" i="19"/>
  <c r="W41" i="19" s="1"/>
  <c r="G42" i="19"/>
  <c r="D42" i="19" s="1"/>
  <c r="S42" i="19" s="1"/>
  <c r="M41" i="19"/>
  <c r="X41" i="19" s="1"/>
  <c r="AA41" i="19"/>
  <c r="N47" i="19"/>
  <c r="H43" i="19"/>
  <c r="AJ48" i="19"/>
  <c r="E48" i="19" s="1"/>
  <c r="AH49" i="19"/>
  <c r="AA40" i="7"/>
  <c r="Q40" i="7"/>
  <c r="P40" i="7"/>
  <c r="U40" i="7"/>
  <c r="T40" i="7"/>
  <c r="G41" i="7"/>
  <c r="L40" i="7"/>
  <c r="W40" i="7" s="1"/>
  <c r="D40" i="7"/>
  <c r="S40" i="7" s="1"/>
  <c r="M40" i="7"/>
  <c r="X40" i="7" s="1"/>
  <c r="C40" i="7"/>
  <c r="R40" i="7" s="1"/>
  <c r="O40" i="7"/>
  <c r="Z40" i="7"/>
  <c r="O40" i="17"/>
  <c r="T40" i="17"/>
  <c r="U40" i="17"/>
  <c r="P40" i="17"/>
  <c r="D42" i="18"/>
  <c r="C42" i="18"/>
  <c r="C40" i="17"/>
  <c r="D40" i="17"/>
  <c r="S40" i="17" s="1"/>
  <c r="D41" i="16"/>
  <c r="C41" i="16"/>
  <c r="R41" i="16" s="1"/>
  <c r="D40" i="15"/>
  <c r="C40" i="15"/>
  <c r="R40" i="15" s="1"/>
  <c r="D41" i="14"/>
  <c r="C41" i="14"/>
  <c r="D40" i="13"/>
  <c r="S40" i="13" s="1"/>
  <c r="C40" i="13"/>
  <c r="R40" i="13" s="1"/>
  <c r="D42" i="12"/>
  <c r="C42" i="12"/>
  <c r="C42" i="11"/>
  <c r="D42" i="11"/>
  <c r="D41" i="10"/>
  <c r="C41" i="10"/>
  <c r="D41" i="9"/>
  <c r="C41" i="9"/>
  <c r="R41" i="9" s="1"/>
  <c r="D42" i="8"/>
  <c r="C42" i="8"/>
  <c r="Q42" i="6"/>
  <c r="D42" i="6"/>
  <c r="C42" i="6"/>
  <c r="D40" i="4"/>
  <c r="C40" i="4"/>
  <c r="G43" i="1"/>
  <c r="Q42" i="1"/>
  <c r="P42" i="1"/>
  <c r="U42" i="1"/>
  <c r="Z42" i="1"/>
  <c r="M42" i="1"/>
  <c r="X42" i="1" s="1"/>
  <c r="L42" i="1"/>
  <c r="W42" i="1" s="1"/>
  <c r="AA42" i="1"/>
  <c r="T42" i="1"/>
  <c r="O42" i="1"/>
  <c r="S41" i="14"/>
  <c r="R41" i="12"/>
  <c r="S41" i="12"/>
  <c r="AJ45" i="18"/>
  <c r="E45" i="18" s="1"/>
  <c r="AH46" i="18"/>
  <c r="N44" i="18"/>
  <c r="AA42" i="18"/>
  <c r="Z42" i="18"/>
  <c r="H43" i="18"/>
  <c r="S42" i="18"/>
  <c r="R42" i="18"/>
  <c r="M42" i="18"/>
  <c r="X42" i="18" s="1"/>
  <c r="L42" i="18"/>
  <c r="W42" i="18" s="1"/>
  <c r="G43" i="18"/>
  <c r="J43" i="18"/>
  <c r="Q42" i="18"/>
  <c r="P42" i="18"/>
  <c r="U42" i="18"/>
  <c r="T42" i="18"/>
  <c r="AJ46" i="17"/>
  <c r="E46" i="17" s="1"/>
  <c r="AH47" i="17"/>
  <c r="J42" i="17"/>
  <c r="N45" i="17"/>
  <c r="H43" i="17"/>
  <c r="M40" i="17"/>
  <c r="X40" i="17" s="1"/>
  <c r="L40" i="17"/>
  <c r="W40" i="17" s="1"/>
  <c r="G41" i="17"/>
  <c r="R40" i="17"/>
  <c r="AA40" i="17"/>
  <c r="Z40" i="17"/>
  <c r="M41" i="16"/>
  <c r="X41" i="16" s="1"/>
  <c r="L41" i="16"/>
  <c r="W41" i="16" s="1"/>
  <c r="G42" i="16"/>
  <c r="Z42" i="16" s="1"/>
  <c r="N43" i="16"/>
  <c r="AJ45" i="14"/>
  <c r="E45" i="14" s="1"/>
  <c r="AH46" i="14"/>
  <c r="H43" i="15"/>
  <c r="AJ44" i="16"/>
  <c r="E44" i="16" s="1"/>
  <c r="AH45" i="16"/>
  <c r="G41" i="13"/>
  <c r="M40" i="13"/>
  <c r="X40" i="13" s="1"/>
  <c r="L40" i="13"/>
  <c r="W40" i="13" s="1"/>
  <c r="P40" i="13"/>
  <c r="U40" i="13"/>
  <c r="T40" i="13"/>
  <c r="Q40" i="13"/>
  <c r="O40" i="13"/>
  <c r="AA40" i="13"/>
  <c r="Z40" i="13"/>
  <c r="AJ45" i="15"/>
  <c r="E45" i="15" s="1"/>
  <c r="AH46" i="15"/>
  <c r="O41" i="16"/>
  <c r="J42" i="14"/>
  <c r="Q41" i="14"/>
  <c r="P41" i="14"/>
  <c r="U41" i="14"/>
  <c r="T41" i="14"/>
  <c r="O41" i="14"/>
  <c r="N44" i="15"/>
  <c r="H43" i="13"/>
  <c r="N44" i="14"/>
  <c r="AA42" i="16"/>
  <c r="H43" i="16"/>
  <c r="AH47" i="13"/>
  <c r="AJ46" i="13"/>
  <c r="E46" i="13" s="1"/>
  <c r="Z41" i="14"/>
  <c r="Z41" i="16"/>
  <c r="J44" i="13"/>
  <c r="AA41" i="14"/>
  <c r="N45" i="13"/>
  <c r="AA41" i="16"/>
  <c r="R41" i="14"/>
  <c r="J43" i="15"/>
  <c r="M40" i="15"/>
  <c r="X40" i="15" s="1"/>
  <c r="L40" i="15"/>
  <c r="W40" i="15" s="1"/>
  <c r="G41" i="15"/>
  <c r="T40" i="15"/>
  <c r="O40" i="15"/>
  <c r="U40" i="15"/>
  <c r="S40" i="15"/>
  <c r="AA40" i="15"/>
  <c r="Z40" i="15"/>
  <c r="Q40" i="15"/>
  <c r="P40" i="15"/>
  <c r="L41" i="14"/>
  <c r="W41" i="14" s="1"/>
  <c r="G42" i="14"/>
  <c r="M41" i="14"/>
  <c r="X41" i="14" s="1"/>
  <c r="S41" i="16"/>
  <c r="H43" i="14"/>
  <c r="Q41" i="16"/>
  <c r="P41" i="16"/>
  <c r="J42" i="16"/>
  <c r="O42" i="16" s="1"/>
  <c r="U41" i="16"/>
  <c r="T41" i="16"/>
  <c r="M41" i="10"/>
  <c r="X41" i="10" s="1"/>
  <c r="L41" i="10"/>
  <c r="W41" i="10" s="1"/>
  <c r="G42" i="10"/>
  <c r="AA41" i="10"/>
  <c r="Z41" i="10"/>
  <c r="H42" i="10"/>
  <c r="S41" i="10"/>
  <c r="R41" i="10"/>
  <c r="N44" i="10"/>
  <c r="U41" i="9"/>
  <c r="Q41" i="9"/>
  <c r="P41" i="9"/>
  <c r="J42" i="9"/>
  <c r="T41" i="9"/>
  <c r="O41" i="9"/>
  <c r="P41" i="10"/>
  <c r="U41" i="10"/>
  <c r="J42" i="10"/>
  <c r="Q41" i="10"/>
  <c r="T41" i="10"/>
  <c r="O41" i="10"/>
  <c r="M42" i="12"/>
  <c r="X42" i="12" s="1"/>
  <c r="G43" i="12"/>
  <c r="H44" i="9"/>
  <c r="AJ45" i="12"/>
  <c r="E45" i="12" s="1"/>
  <c r="AH46" i="12"/>
  <c r="Q41" i="12"/>
  <c r="P41" i="12"/>
  <c r="J42" i="12"/>
  <c r="L42" i="12" s="1"/>
  <c r="W42" i="12" s="1"/>
  <c r="U41" i="12"/>
  <c r="T41" i="12"/>
  <c r="O41" i="12"/>
  <c r="N44" i="12"/>
  <c r="G43" i="11"/>
  <c r="M42" i="11"/>
  <c r="X42" i="11" s="1"/>
  <c r="L42" i="11"/>
  <c r="W42" i="11" s="1"/>
  <c r="S42" i="11"/>
  <c r="R42" i="11"/>
  <c r="AA42" i="11"/>
  <c r="H43" i="11"/>
  <c r="Z42" i="11"/>
  <c r="P42" i="11"/>
  <c r="U42" i="11"/>
  <c r="Q42" i="11"/>
  <c r="T42" i="11"/>
  <c r="AJ45" i="11"/>
  <c r="E45" i="11" s="1"/>
  <c r="AH46" i="11"/>
  <c r="AJ45" i="9"/>
  <c r="E45" i="9" s="1"/>
  <c r="AH46" i="9"/>
  <c r="N44" i="11"/>
  <c r="G42" i="9"/>
  <c r="M41" i="9"/>
  <c r="X41" i="9" s="1"/>
  <c r="L41" i="9"/>
  <c r="W41" i="9" s="1"/>
  <c r="Z41" i="9"/>
  <c r="S41" i="9"/>
  <c r="AA41" i="9"/>
  <c r="N44" i="9"/>
  <c r="S42" i="12"/>
  <c r="R42" i="12"/>
  <c r="AA42" i="12"/>
  <c r="Z42" i="12"/>
  <c r="H43" i="12"/>
  <c r="J45" i="11"/>
  <c r="AJ45" i="10"/>
  <c r="E45" i="10" s="1"/>
  <c r="AH46" i="10"/>
  <c r="O42" i="11"/>
  <c r="S42" i="8"/>
  <c r="R42" i="8"/>
  <c r="AA42" i="8"/>
  <c r="Z42" i="8"/>
  <c r="H43" i="8"/>
  <c r="Q42" i="8"/>
  <c r="P42" i="8"/>
  <c r="J43" i="8"/>
  <c r="U42" i="8"/>
  <c r="T42" i="8"/>
  <c r="O42" i="8"/>
  <c r="AH47" i="8"/>
  <c r="AJ46" i="8"/>
  <c r="E46" i="8" s="1"/>
  <c r="M42" i="8"/>
  <c r="X42" i="8" s="1"/>
  <c r="L42" i="8"/>
  <c r="W42" i="8" s="1"/>
  <c r="G43" i="8"/>
  <c r="N45" i="8"/>
  <c r="H44" i="7"/>
  <c r="AH47" i="7"/>
  <c r="AJ46" i="7"/>
  <c r="E46" i="7" s="1"/>
  <c r="J44" i="7"/>
  <c r="N45" i="7"/>
  <c r="AJ45" i="6"/>
  <c r="E45" i="6" s="1"/>
  <c r="AH46" i="6"/>
  <c r="U42" i="6"/>
  <c r="N44" i="6"/>
  <c r="P42" i="6"/>
  <c r="J44" i="6"/>
  <c r="M42" i="6"/>
  <c r="X42" i="6" s="1"/>
  <c r="L42" i="6"/>
  <c r="W42" i="6" s="1"/>
  <c r="G43" i="6"/>
  <c r="AA42" i="6"/>
  <c r="Z42" i="6"/>
  <c r="H43" i="6"/>
  <c r="S42" i="6"/>
  <c r="R42" i="6"/>
  <c r="T42" i="6"/>
  <c r="H43" i="4"/>
  <c r="J45" i="4"/>
  <c r="M40" i="4"/>
  <c r="X40" i="4" s="1"/>
  <c r="L40" i="4"/>
  <c r="W40" i="4" s="1"/>
  <c r="G41" i="4"/>
  <c r="T40" i="4"/>
  <c r="S40" i="4"/>
  <c r="R40" i="4"/>
  <c r="AA40" i="4"/>
  <c r="Z40" i="4"/>
  <c r="U40" i="4"/>
  <c r="Q40" i="4"/>
  <c r="P40" i="4"/>
  <c r="O40" i="4"/>
  <c r="N44" i="4"/>
  <c r="AJ45" i="4"/>
  <c r="E45" i="4" s="1"/>
  <c r="AH46" i="4"/>
  <c r="D42" i="1"/>
  <c r="S42" i="1" s="1"/>
  <c r="C42" i="1"/>
  <c r="R42" i="1" s="1"/>
  <c r="H43" i="1"/>
  <c r="N48" i="27" l="1"/>
  <c r="T48" i="27"/>
  <c r="O47" i="27"/>
  <c r="AA47" i="27"/>
  <c r="N47" i="28"/>
  <c r="T47" i="28"/>
  <c r="AA46" i="28"/>
  <c r="O46" i="28"/>
  <c r="N46" i="26"/>
  <c r="T46" i="26"/>
  <c r="O45" i="26"/>
  <c r="AA45" i="26"/>
  <c r="N46" i="25"/>
  <c r="T46" i="25"/>
  <c r="O45" i="25"/>
  <c r="AA45" i="25"/>
  <c r="N47" i="24"/>
  <c r="T47" i="24"/>
  <c r="AA46" i="24"/>
  <c r="O46" i="24"/>
  <c r="N47" i="23"/>
  <c r="T47" i="23"/>
  <c r="AA46" i="23"/>
  <c r="O46" i="23"/>
  <c r="N47" i="22"/>
  <c r="T47" i="22"/>
  <c r="AA46" i="22"/>
  <c r="O46" i="22"/>
  <c r="N47" i="21"/>
  <c r="T47" i="21"/>
  <c r="AA46" i="21"/>
  <c r="O46" i="21"/>
  <c r="T43" i="20"/>
  <c r="U43" i="20"/>
  <c r="P43" i="20"/>
  <c r="J45" i="28"/>
  <c r="L44" i="28"/>
  <c r="W44" i="28" s="1"/>
  <c r="AJ48" i="28"/>
  <c r="E48" i="28" s="1"/>
  <c r="AH49" i="28"/>
  <c r="H47" i="28"/>
  <c r="D46" i="28"/>
  <c r="S46" i="28" s="1"/>
  <c r="C46" i="28"/>
  <c r="R46" i="28" s="1"/>
  <c r="L44" i="24"/>
  <c r="W44" i="24" s="1"/>
  <c r="J45" i="24"/>
  <c r="AH48" i="26"/>
  <c r="AJ47" i="26"/>
  <c r="E47" i="26" s="1"/>
  <c r="C45" i="26"/>
  <c r="R45" i="26" s="1"/>
  <c r="H46" i="26"/>
  <c r="D45" i="26"/>
  <c r="S45" i="26" s="1"/>
  <c r="AJ48" i="24"/>
  <c r="E48" i="24" s="1"/>
  <c r="AH49" i="24"/>
  <c r="H46" i="24"/>
  <c r="C45" i="24"/>
  <c r="R45" i="24" s="1"/>
  <c r="D45" i="24"/>
  <c r="S45" i="24" s="1"/>
  <c r="J47" i="27"/>
  <c r="AJ49" i="27"/>
  <c r="E49" i="27" s="1"/>
  <c r="AH50" i="27"/>
  <c r="H46" i="27"/>
  <c r="D45" i="27"/>
  <c r="S45" i="27" s="1"/>
  <c r="C45" i="27"/>
  <c r="R45" i="27" s="1"/>
  <c r="J45" i="26"/>
  <c r="L44" i="26"/>
  <c r="W44" i="26" s="1"/>
  <c r="AH48" i="25"/>
  <c r="AJ47" i="25"/>
  <c r="E47" i="25" s="1"/>
  <c r="H48" i="25"/>
  <c r="D47" i="25"/>
  <c r="S47" i="25" s="1"/>
  <c r="C47" i="25"/>
  <c r="R47" i="25" s="1"/>
  <c r="J46" i="25"/>
  <c r="L45" i="25"/>
  <c r="W45" i="25" s="1"/>
  <c r="H45" i="23"/>
  <c r="D44" i="23"/>
  <c r="S44" i="23" s="1"/>
  <c r="C44" i="23"/>
  <c r="R44" i="23" s="1"/>
  <c r="J45" i="23"/>
  <c r="L44" i="23"/>
  <c r="W44" i="23" s="1"/>
  <c r="AJ48" i="23"/>
  <c r="E48" i="23" s="1"/>
  <c r="AH49" i="23"/>
  <c r="AJ48" i="22"/>
  <c r="E48" i="22" s="1"/>
  <c r="AH49" i="22"/>
  <c r="D46" i="22"/>
  <c r="S46" i="22" s="1"/>
  <c r="C46" i="22"/>
  <c r="R46" i="22" s="1"/>
  <c r="H47" i="22"/>
  <c r="J45" i="22"/>
  <c r="L44" i="22"/>
  <c r="W44" i="22" s="1"/>
  <c r="J45" i="21"/>
  <c r="L44" i="21"/>
  <c r="W44" i="21" s="1"/>
  <c r="AJ48" i="21"/>
  <c r="E48" i="21" s="1"/>
  <c r="AH49" i="21"/>
  <c r="H46" i="21"/>
  <c r="C45" i="21"/>
  <c r="R45" i="21" s="1"/>
  <c r="D45" i="21"/>
  <c r="S45" i="21" s="1"/>
  <c r="H47" i="20"/>
  <c r="J45" i="20"/>
  <c r="M43" i="20"/>
  <c r="X43" i="20" s="1"/>
  <c r="L43" i="20"/>
  <c r="W43" i="20" s="1"/>
  <c r="G44" i="20"/>
  <c r="U44" i="20" s="1"/>
  <c r="AA43" i="20"/>
  <c r="Z43" i="20"/>
  <c r="D43" i="20"/>
  <c r="S43" i="20" s="1"/>
  <c r="C43" i="20"/>
  <c r="R43" i="20" s="1"/>
  <c r="N47" i="20"/>
  <c r="AJ48" i="20"/>
  <c r="E48" i="20" s="1"/>
  <c r="AH49" i="20"/>
  <c r="O42" i="19"/>
  <c r="T42" i="19"/>
  <c r="Z42" i="19"/>
  <c r="AJ49" i="19"/>
  <c r="E49" i="19" s="1"/>
  <c r="AH50" i="19"/>
  <c r="M42" i="19"/>
  <c r="X42" i="19" s="1"/>
  <c r="G43" i="19"/>
  <c r="AA43" i="19" s="1"/>
  <c r="L42" i="19"/>
  <c r="W42" i="19" s="1"/>
  <c r="N48" i="19"/>
  <c r="H44" i="19"/>
  <c r="D43" i="19"/>
  <c r="S43" i="19" s="1"/>
  <c r="C43" i="19"/>
  <c r="R43" i="19" s="1"/>
  <c r="Q42" i="19"/>
  <c r="C42" i="19"/>
  <c r="R42" i="19" s="1"/>
  <c r="U42" i="19"/>
  <c r="AA42" i="19"/>
  <c r="P42" i="19"/>
  <c r="Q43" i="19"/>
  <c r="J44" i="19"/>
  <c r="U43" i="19"/>
  <c r="P43" i="19"/>
  <c r="T43" i="19"/>
  <c r="O43" i="19"/>
  <c r="O41" i="7"/>
  <c r="Q41" i="7"/>
  <c r="G42" i="7"/>
  <c r="AA41" i="7"/>
  <c r="M41" i="7"/>
  <c r="X41" i="7" s="1"/>
  <c r="C41" i="7"/>
  <c r="R41" i="7" s="1"/>
  <c r="T41" i="7"/>
  <c r="L41" i="7"/>
  <c r="W41" i="7" s="1"/>
  <c r="Z41" i="7"/>
  <c r="U41" i="7"/>
  <c r="P41" i="7"/>
  <c r="D41" i="7"/>
  <c r="S41" i="7" s="1"/>
  <c r="D43" i="18"/>
  <c r="C43" i="18"/>
  <c r="T41" i="17"/>
  <c r="D41" i="17"/>
  <c r="S41" i="17" s="1"/>
  <c r="C41" i="17"/>
  <c r="D42" i="16"/>
  <c r="C42" i="16"/>
  <c r="C41" i="15"/>
  <c r="D41" i="15"/>
  <c r="S41" i="15" s="1"/>
  <c r="D42" i="14"/>
  <c r="S42" i="14" s="1"/>
  <c r="C42" i="14"/>
  <c r="R42" i="14" s="1"/>
  <c r="C41" i="13"/>
  <c r="R41" i="13" s="1"/>
  <c r="D41" i="13"/>
  <c r="D43" i="12"/>
  <c r="C43" i="12"/>
  <c r="D43" i="11"/>
  <c r="C43" i="11"/>
  <c r="C42" i="10"/>
  <c r="D42" i="10"/>
  <c r="C42" i="9"/>
  <c r="D42" i="9"/>
  <c r="D43" i="8"/>
  <c r="C43" i="8"/>
  <c r="Q43" i="6"/>
  <c r="D43" i="6"/>
  <c r="C43" i="6"/>
  <c r="C41" i="4"/>
  <c r="D41" i="4"/>
  <c r="G44" i="1"/>
  <c r="Z43" i="1"/>
  <c r="Q43" i="1"/>
  <c r="P43" i="1"/>
  <c r="M43" i="1"/>
  <c r="X43" i="1" s="1"/>
  <c r="L43" i="1"/>
  <c r="W43" i="1" s="1"/>
  <c r="U43" i="1"/>
  <c r="AA43" i="1"/>
  <c r="T43" i="1"/>
  <c r="O43" i="1"/>
  <c r="O41" i="17"/>
  <c r="Z42" i="14"/>
  <c r="AA42" i="14"/>
  <c r="O43" i="6"/>
  <c r="U43" i="6"/>
  <c r="T43" i="6"/>
  <c r="P43" i="6"/>
  <c r="M43" i="18"/>
  <c r="X43" i="18" s="1"/>
  <c r="L43" i="18"/>
  <c r="W43" i="18" s="1"/>
  <c r="G44" i="18"/>
  <c r="AA43" i="18"/>
  <c r="Z43" i="18"/>
  <c r="H44" i="18"/>
  <c r="S43" i="18"/>
  <c r="R43" i="18"/>
  <c r="J44" i="18"/>
  <c r="O44" i="18" s="1"/>
  <c r="Q43" i="18"/>
  <c r="P43" i="18"/>
  <c r="U43" i="18"/>
  <c r="T43" i="18"/>
  <c r="AJ46" i="18"/>
  <c r="E46" i="18" s="1"/>
  <c r="AH47" i="18"/>
  <c r="O43" i="18"/>
  <c r="N45" i="18"/>
  <c r="M41" i="17"/>
  <c r="X41" i="17" s="1"/>
  <c r="L41" i="17"/>
  <c r="W41" i="17" s="1"/>
  <c r="G42" i="17"/>
  <c r="R41" i="17"/>
  <c r="AA41" i="17"/>
  <c r="Z41" i="17"/>
  <c r="U41" i="17"/>
  <c r="Q41" i="17"/>
  <c r="J43" i="17"/>
  <c r="P41" i="17"/>
  <c r="AH48" i="17"/>
  <c r="AJ47" i="17"/>
  <c r="E47" i="17" s="1"/>
  <c r="H44" i="17"/>
  <c r="N46" i="17"/>
  <c r="J45" i="13"/>
  <c r="H44" i="15"/>
  <c r="J44" i="15"/>
  <c r="H44" i="13"/>
  <c r="J43" i="14"/>
  <c r="Q42" i="14"/>
  <c r="P42" i="14"/>
  <c r="U42" i="14"/>
  <c r="T42" i="14"/>
  <c r="O42" i="14"/>
  <c r="AJ46" i="14"/>
  <c r="E46" i="14" s="1"/>
  <c r="AH47" i="14"/>
  <c r="N46" i="13"/>
  <c r="N45" i="14"/>
  <c r="H44" i="14"/>
  <c r="AJ47" i="13"/>
  <c r="E47" i="13" s="1"/>
  <c r="AH48" i="13"/>
  <c r="S42" i="16"/>
  <c r="AJ46" i="15"/>
  <c r="E46" i="15" s="1"/>
  <c r="AH47" i="15"/>
  <c r="G43" i="14"/>
  <c r="M42" i="14"/>
  <c r="X42" i="14" s="1"/>
  <c r="L42" i="14"/>
  <c r="W42" i="14" s="1"/>
  <c r="H44" i="16"/>
  <c r="N45" i="15"/>
  <c r="M41" i="13"/>
  <c r="X41" i="13" s="1"/>
  <c r="L41" i="13"/>
  <c r="W41" i="13" s="1"/>
  <c r="G42" i="13"/>
  <c r="S41" i="13"/>
  <c r="AA41" i="13"/>
  <c r="U41" i="13"/>
  <c r="Z41" i="13"/>
  <c r="Q41" i="13"/>
  <c r="O41" i="13"/>
  <c r="T41" i="13"/>
  <c r="P41" i="13"/>
  <c r="M41" i="15"/>
  <c r="X41" i="15" s="1"/>
  <c r="L41" i="15"/>
  <c r="W41" i="15" s="1"/>
  <c r="G42" i="15"/>
  <c r="Q41" i="15"/>
  <c r="P41" i="15"/>
  <c r="O41" i="15"/>
  <c r="U41" i="15"/>
  <c r="T41" i="15"/>
  <c r="R41" i="15"/>
  <c r="AA41" i="15"/>
  <c r="Z41" i="15"/>
  <c r="AJ45" i="16"/>
  <c r="E45" i="16" s="1"/>
  <c r="AH46" i="16"/>
  <c r="M42" i="16"/>
  <c r="X42" i="16" s="1"/>
  <c r="L42" i="16"/>
  <c r="W42" i="16" s="1"/>
  <c r="G43" i="16"/>
  <c r="P42" i="16"/>
  <c r="J43" i="16"/>
  <c r="Q42" i="16"/>
  <c r="U42" i="16"/>
  <c r="T42" i="16"/>
  <c r="N44" i="16"/>
  <c r="R42" i="16"/>
  <c r="N45" i="9"/>
  <c r="AH47" i="12"/>
  <c r="AJ46" i="12"/>
  <c r="E46" i="12" s="1"/>
  <c r="N45" i="12"/>
  <c r="N45" i="10"/>
  <c r="AJ46" i="11"/>
  <c r="E46" i="11" s="1"/>
  <c r="AH47" i="11"/>
  <c r="N45" i="11"/>
  <c r="M43" i="11"/>
  <c r="X43" i="11" s="1"/>
  <c r="L43" i="11"/>
  <c r="W43" i="11" s="1"/>
  <c r="G44" i="11"/>
  <c r="O44" i="11" s="1"/>
  <c r="H45" i="9"/>
  <c r="Q42" i="10"/>
  <c r="P42" i="10"/>
  <c r="J43" i="10"/>
  <c r="U42" i="10"/>
  <c r="T42" i="10"/>
  <c r="O42" i="10"/>
  <c r="S42" i="10"/>
  <c r="AA42" i="10"/>
  <c r="Z42" i="10"/>
  <c r="H43" i="10"/>
  <c r="R42" i="10"/>
  <c r="AH47" i="10"/>
  <c r="AJ46" i="10"/>
  <c r="E46" i="10" s="1"/>
  <c r="AA43" i="12"/>
  <c r="Z43" i="12"/>
  <c r="H44" i="12"/>
  <c r="M43" i="12"/>
  <c r="X43" i="12" s="1"/>
  <c r="G44" i="12"/>
  <c r="G43" i="9"/>
  <c r="M42" i="9"/>
  <c r="X42" i="9" s="1"/>
  <c r="L42" i="9"/>
  <c r="W42" i="9" s="1"/>
  <c r="S42" i="9"/>
  <c r="R42" i="9"/>
  <c r="AA42" i="9"/>
  <c r="Z42" i="9"/>
  <c r="M42" i="10"/>
  <c r="X42" i="10" s="1"/>
  <c r="L42" i="10"/>
  <c r="W42" i="10" s="1"/>
  <c r="G43" i="10"/>
  <c r="AJ46" i="9"/>
  <c r="E46" i="9" s="1"/>
  <c r="AH47" i="9"/>
  <c r="J46" i="11"/>
  <c r="S43" i="11"/>
  <c r="R43" i="11"/>
  <c r="AA43" i="11"/>
  <c r="Z43" i="11"/>
  <c r="H44" i="11"/>
  <c r="U43" i="11"/>
  <c r="T43" i="11"/>
  <c r="Q43" i="11"/>
  <c r="P43" i="11"/>
  <c r="Q42" i="12"/>
  <c r="P42" i="12"/>
  <c r="J43" i="12"/>
  <c r="U42" i="12"/>
  <c r="T42" i="12"/>
  <c r="O42" i="12"/>
  <c r="Q42" i="9"/>
  <c r="P42" i="9"/>
  <c r="J43" i="9"/>
  <c r="U42" i="9"/>
  <c r="T42" i="9"/>
  <c r="O42" i="9"/>
  <c r="O43" i="11"/>
  <c r="Q43" i="8"/>
  <c r="P43" i="8"/>
  <c r="J44" i="8"/>
  <c r="U43" i="8"/>
  <c r="T43" i="8"/>
  <c r="O43" i="8"/>
  <c r="M43" i="8"/>
  <c r="X43" i="8" s="1"/>
  <c r="L43" i="8"/>
  <c r="W43" i="8" s="1"/>
  <c r="G44" i="8"/>
  <c r="S43" i="8"/>
  <c r="R43" i="8"/>
  <c r="AA43" i="8"/>
  <c r="Z43" i="8"/>
  <c r="H44" i="8"/>
  <c r="N46" i="8"/>
  <c r="AH48" i="8"/>
  <c r="AJ47" i="8"/>
  <c r="E47" i="8" s="1"/>
  <c r="AJ47" i="7"/>
  <c r="E47" i="7" s="1"/>
  <c r="AH48" i="7"/>
  <c r="H45" i="7"/>
  <c r="N46" i="7"/>
  <c r="J45" i="7"/>
  <c r="J45" i="6"/>
  <c r="AA43" i="6"/>
  <c r="Z43" i="6"/>
  <c r="H44" i="6"/>
  <c r="S43" i="6"/>
  <c r="R43" i="6"/>
  <c r="M43" i="6"/>
  <c r="X43" i="6" s="1"/>
  <c r="L43" i="6"/>
  <c r="W43" i="6" s="1"/>
  <c r="G44" i="6"/>
  <c r="AH47" i="6"/>
  <c r="AJ46" i="6"/>
  <c r="E46" i="6" s="1"/>
  <c r="N45" i="6"/>
  <c r="N45" i="4"/>
  <c r="J46" i="4"/>
  <c r="M41" i="4"/>
  <c r="X41" i="4" s="1"/>
  <c r="L41" i="4"/>
  <c r="W41" i="4" s="1"/>
  <c r="G42" i="4"/>
  <c r="S41" i="4"/>
  <c r="R41" i="4"/>
  <c r="P41" i="4"/>
  <c r="O41" i="4"/>
  <c r="T41" i="4"/>
  <c r="AA41" i="4"/>
  <c r="Z41" i="4"/>
  <c r="Q41" i="4"/>
  <c r="U41" i="4"/>
  <c r="H44" i="4"/>
  <c r="AJ46" i="4"/>
  <c r="E46" i="4" s="1"/>
  <c r="AH47" i="4"/>
  <c r="C43" i="1"/>
  <c r="R43" i="1" s="1"/>
  <c r="D43" i="1"/>
  <c r="S43" i="1" s="1"/>
  <c r="H44" i="1"/>
  <c r="N49" i="27" l="1"/>
  <c r="T49" i="27"/>
  <c r="O48" i="27"/>
  <c r="AA48" i="27"/>
  <c r="N48" i="28"/>
  <c r="T48" i="28"/>
  <c r="O47" i="28"/>
  <c r="AA47" i="28"/>
  <c r="N47" i="26"/>
  <c r="T47" i="26"/>
  <c r="AA46" i="26"/>
  <c r="O46" i="26"/>
  <c r="N47" i="25"/>
  <c r="T47" i="25"/>
  <c r="AA46" i="25"/>
  <c r="O46" i="25"/>
  <c r="N48" i="24"/>
  <c r="T48" i="24"/>
  <c r="O47" i="24"/>
  <c r="AA47" i="24"/>
  <c r="N48" i="23"/>
  <c r="T48" i="23"/>
  <c r="O47" i="23"/>
  <c r="AA47" i="23"/>
  <c r="N48" i="22"/>
  <c r="T48" i="22"/>
  <c r="O47" i="22"/>
  <c r="AA47" i="22"/>
  <c r="N48" i="21"/>
  <c r="T48" i="21"/>
  <c r="O47" i="21"/>
  <c r="AA47" i="21"/>
  <c r="O44" i="20"/>
  <c r="T44" i="20"/>
  <c r="P44" i="20"/>
  <c r="Q44" i="20"/>
  <c r="H48" i="28"/>
  <c r="D47" i="28"/>
  <c r="S47" i="28" s="1"/>
  <c r="C47" i="28"/>
  <c r="R47" i="28" s="1"/>
  <c r="AJ49" i="28"/>
  <c r="E49" i="28" s="1"/>
  <c r="AH50" i="28"/>
  <c r="L45" i="28"/>
  <c r="W45" i="28" s="1"/>
  <c r="J46" i="28"/>
  <c r="AH49" i="25"/>
  <c r="AJ48" i="25"/>
  <c r="E48" i="25" s="1"/>
  <c r="H49" i="25"/>
  <c r="D48" i="25"/>
  <c r="S48" i="25" s="1"/>
  <c r="C48" i="25"/>
  <c r="R48" i="25" s="1"/>
  <c r="AH50" i="24"/>
  <c r="AJ49" i="24"/>
  <c r="E49" i="24" s="1"/>
  <c r="L45" i="26"/>
  <c r="W45" i="26" s="1"/>
  <c r="J46" i="26"/>
  <c r="H47" i="26"/>
  <c r="C46" i="26"/>
  <c r="R46" i="26" s="1"/>
  <c r="D46" i="26"/>
  <c r="S46" i="26" s="1"/>
  <c r="H47" i="24"/>
  <c r="D46" i="24"/>
  <c r="S46" i="24" s="1"/>
  <c r="C46" i="24"/>
  <c r="R46" i="24" s="1"/>
  <c r="H47" i="27"/>
  <c r="D46" i="27"/>
  <c r="S46" i="27" s="1"/>
  <c r="C46" i="27"/>
  <c r="R46" i="27" s="1"/>
  <c r="AJ50" i="27"/>
  <c r="E50" i="27" s="1"/>
  <c r="AH51" i="27"/>
  <c r="J47" i="25"/>
  <c r="L46" i="25"/>
  <c r="W46" i="25" s="1"/>
  <c r="AJ48" i="26"/>
  <c r="E48" i="26" s="1"/>
  <c r="AH49" i="26"/>
  <c r="L46" i="27"/>
  <c r="W46" i="27" s="1"/>
  <c r="J46" i="24"/>
  <c r="L45" i="24"/>
  <c r="W45" i="24" s="1"/>
  <c r="J48" i="27"/>
  <c r="L47" i="27"/>
  <c r="W47" i="27" s="1"/>
  <c r="AJ49" i="22"/>
  <c r="E49" i="22" s="1"/>
  <c r="AH50" i="22"/>
  <c r="AJ49" i="23"/>
  <c r="E49" i="23" s="1"/>
  <c r="AH50" i="23"/>
  <c r="D47" i="22"/>
  <c r="S47" i="22" s="1"/>
  <c r="C47" i="22"/>
  <c r="R47" i="22" s="1"/>
  <c r="H48" i="22"/>
  <c r="J46" i="23"/>
  <c r="L45" i="23"/>
  <c r="W45" i="23" s="1"/>
  <c r="J46" i="22"/>
  <c r="L45" i="22"/>
  <c r="W45" i="22" s="1"/>
  <c r="H46" i="23"/>
  <c r="D45" i="23"/>
  <c r="S45" i="23" s="1"/>
  <c r="C45" i="23"/>
  <c r="R45" i="23" s="1"/>
  <c r="H47" i="21"/>
  <c r="D46" i="21"/>
  <c r="S46" i="21" s="1"/>
  <c r="C46" i="21"/>
  <c r="R46" i="21" s="1"/>
  <c r="AJ49" i="21"/>
  <c r="E49" i="21" s="1"/>
  <c r="AH50" i="21"/>
  <c r="L45" i="21"/>
  <c r="W45" i="21" s="1"/>
  <c r="J46" i="21"/>
  <c r="N48" i="20"/>
  <c r="AJ49" i="20"/>
  <c r="E49" i="20" s="1"/>
  <c r="AH50" i="20"/>
  <c r="Q45" i="20"/>
  <c r="P45" i="20"/>
  <c r="J46" i="20"/>
  <c r="U45" i="20"/>
  <c r="T45" i="20"/>
  <c r="O45" i="20"/>
  <c r="M44" i="20"/>
  <c r="X44" i="20" s="1"/>
  <c r="L44" i="20"/>
  <c r="W44" i="20" s="1"/>
  <c r="G45" i="20"/>
  <c r="AA44" i="20"/>
  <c r="Z44" i="20"/>
  <c r="D44" i="20"/>
  <c r="S44" i="20" s="1"/>
  <c r="C44" i="20"/>
  <c r="R44" i="20" s="1"/>
  <c r="H48" i="20"/>
  <c r="Z43" i="19"/>
  <c r="H45" i="19"/>
  <c r="J45" i="19"/>
  <c r="M43" i="19"/>
  <c r="X43" i="19" s="1"/>
  <c r="L43" i="19"/>
  <c r="W43" i="19" s="1"/>
  <c r="G44" i="19"/>
  <c r="D44" i="19" s="1"/>
  <c r="S44" i="19" s="1"/>
  <c r="AH51" i="19"/>
  <c r="AJ50" i="19"/>
  <c r="E50" i="19" s="1"/>
  <c r="N49" i="19"/>
  <c r="L42" i="7"/>
  <c r="W42" i="7" s="1"/>
  <c r="T42" i="7"/>
  <c r="Z42" i="7"/>
  <c r="AA42" i="7"/>
  <c r="G43" i="7"/>
  <c r="M42" i="7"/>
  <c r="X42" i="7" s="1"/>
  <c r="P42" i="7"/>
  <c r="C42" i="7"/>
  <c r="R42" i="7" s="1"/>
  <c r="Q42" i="7"/>
  <c r="O42" i="7"/>
  <c r="U42" i="7"/>
  <c r="D42" i="7"/>
  <c r="S42" i="7" s="1"/>
  <c r="D44" i="18"/>
  <c r="C44" i="18"/>
  <c r="U42" i="17"/>
  <c r="D42" i="17"/>
  <c r="C42" i="17"/>
  <c r="Z43" i="16"/>
  <c r="D43" i="16"/>
  <c r="C43" i="16"/>
  <c r="R43" i="16" s="1"/>
  <c r="D42" i="15"/>
  <c r="S42" i="15" s="1"/>
  <c r="C42" i="15"/>
  <c r="R42" i="15" s="1"/>
  <c r="Z43" i="14"/>
  <c r="D43" i="14"/>
  <c r="S43" i="14" s="1"/>
  <c r="C43" i="14"/>
  <c r="D42" i="13"/>
  <c r="C42" i="13"/>
  <c r="D44" i="12"/>
  <c r="C44" i="12"/>
  <c r="D44" i="11"/>
  <c r="C44" i="11"/>
  <c r="D43" i="10"/>
  <c r="C43" i="10"/>
  <c r="D43" i="9"/>
  <c r="C43" i="9"/>
  <c r="D44" i="8"/>
  <c r="S44" i="8" s="1"/>
  <c r="C44" i="8"/>
  <c r="D44" i="6"/>
  <c r="C44" i="6"/>
  <c r="D42" i="4"/>
  <c r="C42" i="4"/>
  <c r="G45" i="1"/>
  <c r="Q44" i="1"/>
  <c r="P44" i="1"/>
  <c r="Z44" i="1"/>
  <c r="L44" i="1"/>
  <c r="W44" i="1" s="1"/>
  <c r="U44" i="1"/>
  <c r="M44" i="1"/>
  <c r="X44" i="1" s="1"/>
  <c r="AA44" i="1"/>
  <c r="T44" i="1"/>
  <c r="O44" i="1"/>
  <c r="O42" i="17"/>
  <c r="T42" i="17"/>
  <c r="P42" i="17"/>
  <c r="Q42" i="17"/>
  <c r="O43" i="16"/>
  <c r="T44" i="6"/>
  <c r="J45" i="18"/>
  <c r="U44" i="18"/>
  <c r="Q44" i="18"/>
  <c r="P44" i="18"/>
  <c r="T44" i="18"/>
  <c r="Z44" i="18"/>
  <c r="H45" i="18"/>
  <c r="S44" i="18"/>
  <c r="R44" i="18"/>
  <c r="AA44" i="18"/>
  <c r="AJ47" i="18"/>
  <c r="E47" i="18" s="1"/>
  <c r="AH48" i="18"/>
  <c r="N46" i="18"/>
  <c r="L44" i="18"/>
  <c r="W44" i="18" s="1"/>
  <c r="G45" i="18"/>
  <c r="M44" i="18"/>
  <c r="X44" i="18" s="1"/>
  <c r="J44" i="17"/>
  <c r="H45" i="17"/>
  <c r="N47" i="17"/>
  <c r="AH49" i="17"/>
  <c r="AJ48" i="17"/>
  <c r="E48" i="17" s="1"/>
  <c r="M42" i="17"/>
  <c r="X42" i="17" s="1"/>
  <c r="L42" i="17"/>
  <c r="W42" i="17" s="1"/>
  <c r="G43" i="17"/>
  <c r="S42" i="17"/>
  <c r="R42" i="17"/>
  <c r="AA42" i="17"/>
  <c r="Z42" i="17"/>
  <c r="AJ46" i="16"/>
  <c r="E46" i="16" s="1"/>
  <c r="AH47" i="16"/>
  <c r="M42" i="13"/>
  <c r="X42" i="13" s="1"/>
  <c r="L42" i="13"/>
  <c r="W42" i="13" s="1"/>
  <c r="G43" i="13"/>
  <c r="Q42" i="13"/>
  <c r="P42" i="13"/>
  <c r="U42" i="13"/>
  <c r="T42" i="13"/>
  <c r="S42" i="13"/>
  <c r="R42" i="13"/>
  <c r="AA42" i="13"/>
  <c r="Z42" i="13"/>
  <c r="O42" i="13"/>
  <c r="P43" i="14"/>
  <c r="J44" i="14"/>
  <c r="Q43" i="14"/>
  <c r="U43" i="14"/>
  <c r="T43" i="14"/>
  <c r="O43" i="14"/>
  <c r="N45" i="16"/>
  <c r="G44" i="14"/>
  <c r="M43" i="14"/>
  <c r="X43" i="14" s="1"/>
  <c r="L43" i="14"/>
  <c r="W43" i="14" s="1"/>
  <c r="H45" i="13"/>
  <c r="M42" i="15"/>
  <c r="X42" i="15" s="1"/>
  <c r="L42" i="15"/>
  <c r="W42" i="15" s="1"/>
  <c r="G43" i="15"/>
  <c r="O42" i="15"/>
  <c r="T42" i="15"/>
  <c r="P42" i="15"/>
  <c r="AA42" i="15"/>
  <c r="Q42" i="15"/>
  <c r="Z42" i="15"/>
  <c r="U42" i="15"/>
  <c r="AJ47" i="15"/>
  <c r="E47" i="15" s="1"/>
  <c r="AH48" i="15"/>
  <c r="H45" i="15"/>
  <c r="N46" i="15"/>
  <c r="H45" i="14"/>
  <c r="AH48" i="14"/>
  <c r="AJ47" i="14"/>
  <c r="E47" i="14" s="1"/>
  <c r="S43" i="16"/>
  <c r="AJ48" i="13"/>
  <c r="E48" i="13" s="1"/>
  <c r="AH49" i="13"/>
  <c r="N46" i="14"/>
  <c r="J44" i="16"/>
  <c r="U43" i="16"/>
  <c r="Q43" i="16"/>
  <c r="P43" i="16"/>
  <c r="T43" i="16"/>
  <c r="H45" i="16"/>
  <c r="N47" i="13"/>
  <c r="R43" i="14"/>
  <c r="J46" i="13"/>
  <c r="M43" i="16"/>
  <c r="X43" i="16" s="1"/>
  <c r="L43" i="16"/>
  <c r="W43" i="16" s="1"/>
  <c r="G44" i="16"/>
  <c r="AA43" i="16"/>
  <c r="J45" i="15"/>
  <c r="AA43" i="14"/>
  <c r="Q43" i="12"/>
  <c r="P43" i="12"/>
  <c r="J44" i="12"/>
  <c r="U43" i="12"/>
  <c r="T43" i="12"/>
  <c r="O43" i="12"/>
  <c r="J47" i="11"/>
  <c r="AJ47" i="10"/>
  <c r="E47" i="10" s="1"/>
  <c r="AH48" i="10"/>
  <c r="AJ47" i="11"/>
  <c r="E47" i="11" s="1"/>
  <c r="AH48" i="11"/>
  <c r="N46" i="11"/>
  <c r="L43" i="9"/>
  <c r="W43" i="9" s="1"/>
  <c r="M43" i="9"/>
  <c r="X43" i="9" s="1"/>
  <c r="G44" i="9"/>
  <c r="S43" i="9"/>
  <c r="R43" i="9"/>
  <c r="Z43" i="9"/>
  <c r="AA43" i="9"/>
  <c r="S43" i="10"/>
  <c r="R43" i="10"/>
  <c r="AA43" i="10"/>
  <c r="Z43" i="10"/>
  <c r="H44" i="10"/>
  <c r="H46" i="9"/>
  <c r="AJ47" i="9"/>
  <c r="E47" i="9" s="1"/>
  <c r="AH48" i="9"/>
  <c r="M44" i="12"/>
  <c r="X44" i="12" s="1"/>
  <c r="L44" i="12"/>
  <c r="W44" i="12" s="1"/>
  <c r="G45" i="12"/>
  <c r="N46" i="9"/>
  <c r="L43" i="12"/>
  <c r="W43" i="12" s="1"/>
  <c r="Q43" i="9"/>
  <c r="P43" i="9"/>
  <c r="J44" i="9"/>
  <c r="U43" i="9"/>
  <c r="T43" i="9"/>
  <c r="O43" i="9"/>
  <c r="M43" i="10"/>
  <c r="X43" i="10" s="1"/>
  <c r="L43" i="10"/>
  <c r="W43" i="10" s="1"/>
  <c r="G44" i="10"/>
  <c r="S44" i="11"/>
  <c r="R44" i="11"/>
  <c r="AA44" i="11"/>
  <c r="Z44" i="11"/>
  <c r="H45" i="11"/>
  <c r="T44" i="11"/>
  <c r="Q44" i="11"/>
  <c r="P44" i="11"/>
  <c r="U44" i="11"/>
  <c r="S44" i="12"/>
  <c r="R44" i="12"/>
  <c r="AA44" i="12"/>
  <c r="Z44" i="12"/>
  <c r="H45" i="12"/>
  <c r="M44" i="11"/>
  <c r="X44" i="11" s="1"/>
  <c r="L44" i="11"/>
  <c r="W44" i="11" s="1"/>
  <c r="G45" i="11"/>
  <c r="N46" i="12"/>
  <c r="N46" i="10"/>
  <c r="AJ47" i="12"/>
  <c r="E47" i="12" s="1"/>
  <c r="AH48" i="12"/>
  <c r="R43" i="12"/>
  <c r="S43" i="12"/>
  <c r="Q43" i="10"/>
  <c r="P43" i="10"/>
  <c r="J44" i="10"/>
  <c r="U43" i="10"/>
  <c r="T43" i="10"/>
  <c r="O43" i="10"/>
  <c r="O45" i="11"/>
  <c r="M44" i="8"/>
  <c r="X44" i="8" s="1"/>
  <c r="L44" i="8"/>
  <c r="W44" i="8" s="1"/>
  <c r="G45" i="8"/>
  <c r="N47" i="8"/>
  <c r="AJ48" i="8"/>
  <c r="E48" i="8" s="1"/>
  <c r="AH49" i="8"/>
  <c r="R44" i="8"/>
  <c r="AA44" i="8"/>
  <c r="Z44" i="8"/>
  <c r="H45" i="8"/>
  <c r="Q44" i="8"/>
  <c r="P44" i="8"/>
  <c r="J45" i="8"/>
  <c r="U44" i="8"/>
  <c r="T44" i="8"/>
  <c r="O44" i="8"/>
  <c r="J46" i="7"/>
  <c r="H46" i="7"/>
  <c r="AJ48" i="7"/>
  <c r="E48" i="7" s="1"/>
  <c r="AH49" i="7"/>
  <c r="N47" i="7"/>
  <c r="Z44" i="6"/>
  <c r="H45" i="6"/>
  <c r="S44" i="6"/>
  <c r="R44" i="6"/>
  <c r="AA44" i="6"/>
  <c r="O44" i="6"/>
  <c r="N46" i="6"/>
  <c r="P44" i="6"/>
  <c r="AJ47" i="6"/>
  <c r="E47" i="6" s="1"/>
  <c r="AH48" i="6"/>
  <c r="Q44" i="6"/>
  <c r="L44" i="6"/>
  <c r="W44" i="6" s="1"/>
  <c r="G45" i="6"/>
  <c r="M44" i="6"/>
  <c r="X44" i="6" s="1"/>
  <c r="U44" i="6"/>
  <c r="J46" i="6"/>
  <c r="U45" i="6"/>
  <c r="P45" i="6"/>
  <c r="N46" i="4"/>
  <c r="H45" i="4"/>
  <c r="M42" i="4"/>
  <c r="X42" i="4" s="1"/>
  <c r="L42" i="4"/>
  <c r="W42" i="4" s="1"/>
  <c r="G43" i="4"/>
  <c r="R42" i="4"/>
  <c r="AA42" i="4"/>
  <c r="Z42" i="4"/>
  <c r="S42" i="4"/>
  <c r="O42" i="4"/>
  <c r="T42" i="4"/>
  <c r="P42" i="4"/>
  <c r="U42" i="4"/>
  <c r="Q42" i="4"/>
  <c r="AJ47" i="4"/>
  <c r="E47" i="4" s="1"/>
  <c r="AH48" i="4"/>
  <c r="J47" i="4"/>
  <c r="H45" i="1"/>
  <c r="H46" i="1" s="1"/>
  <c r="H47" i="1" s="1"/>
  <c r="H48" i="1" s="1"/>
  <c r="H49" i="1" s="1"/>
  <c r="H50" i="1" s="1"/>
  <c r="H51" i="1" s="1"/>
  <c r="H52" i="1" s="1"/>
  <c r="H53" i="1" s="1"/>
  <c r="H54" i="1" s="1"/>
  <c r="H55" i="1" s="1"/>
  <c r="H56" i="1" s="1"/>
  <c r="H57" i="1" s="1"/>
  <c r="H58" i="1" s="1"/>
  <c r="H59" i="1" s="1"/>
  <c r="H60" i="1" s="1"/>
  <c r="H61" i="1" s="1"/>
  <c r="H62" i="1" s="1"/>
  <c r="H63" i="1" s="1"/>
  <c r="H64" i="1" s="1"/>
  <c r="H65" i="1" s="1"/>
  <c r="H66" i="1" s="1"/>
  <c r="H67" i="1" s="1"/>
  <c r="H68" i="1" s="1"/>
  <c r="H69" i="1" s="1"/>
  <c r="H70" i="1" s="1"/>
  <c r="H71" i="1" s="1"/>
  <c r="H72" i="1" s="1"/>
  <c r="H73" i="1" s="1"/>
  <c r="H74" i="1" s="1"/>
  <c r="H75" i="1" s="1"/>
  <c r="H76" i="1" s="1"/>
  <c r="H77" i="1" s="1"/>
  <c r="H78" i="1" s="1"/>
  <c r="H79" i="1" s="1"/>
  <c r="H80" i="1" s="1"/>
  <c r="H81" i="1" s="1"/>
  <c r="H82" i="1" s="1"/>
  <c r="H83" i="1" s="1"/>
  <c r="H84" i="1" s="1"/>
  <c r="H85" i="1" s="1"/>
  <c r="H86" i="1" s="1"/>
  <c r="H87" i="1" s="1"/>
  <c r="H88" i="1" s="1"/>
  <c r="H89" i="1" s="1"/>
  <c r="H90" i="1" s="1"/>
  <c r="H91" i="1" s="1"/>
  <c r="H92" i="1" s="1"/>
  <c r="H93" i="1" s="1"/>
  <c r="H94" i="1" s="1"/>
  <c r="H95" i="1" s="1"/>
  <c r="H96" i="1" s="1"/>
  <c r="H97" i="1" s="1"/>
  <c r="H98" i="1" s="1"/>
  <c r="H99" i="1" s="1"/>
  <c r="H100" i="1" s="1"/>
  <c r="H101" i="1" s="1"/>
  <c r="H102" i="1" s="1"/>
  <c r="D44" i="1"/>
  <c r="S44" i="1" s="1"/>
  <c r="C44" i="1"/>
  <c r="R44" i="1" s="1"/>
  <c r="N50" i="27" l="1"/>
  <c r="T50" i="27"/>
  <c r="O49" i="27"/>
  <c r="AA49" i="27"/>
  <c r="N49" i="28"/>
  <c r="T49" i="28"/>
  <c r="O48" i="28"/>
  <c r="AA48" i="28"/>
  <c r="N48" i="26"/>
  <c r="T48" i="26"/>
  <c r="O47" i="26"/>
  <c r="AA47" i="26"/>
  <c r="N48" i="25"/>
  <c r="T48" i="25"/>
  <c r="O47" i="25"/>
  <c r="AA47" i="25"/>
  <c r="N49" i="24"/>
  <c r="T49" i="24"/>
  <c r="O48" i="24"/>
  <c r="AA48" i="24"/>
  <c r="N49" i="23"/>
  <c r="T49" i="23"/>
  <c r="O48" i="23"/>
  <c r="AA48" i="23"/>
  <c r="N49" i="22"/>
  <c r="T49" i="22"/>
  <c r="O48" i="22"/>
  <c r="AA48" i="22"/>
  <c r="N49" i="21"/>
  <c r="T49" i="21"/>
  <c r="O48" i="21"/>
  <c r="AA48" i="21"/>
  <c r="J47" i="28"/>
  <c r="L46" i="28"/>
  <c r="W46" i="28" s="1"/>
  <c r="AJ50" i="28"/>
  <c r="E50" i="28" s="1"/>
  <c r="AH51" i="28"/>
  <c r="H49" i="28"/>
  <c r="D48" i="28"/>
  <c r="S48" i="28" s="1"/>
  <c r="C48" i="28"/>
  <c r="R48" i="28" s="1"/>
  <c r="J48" i="25"/>
  <c r="L47" i="25"/>
  <c r="W47" i="25" s="1"/>
  <c r="AJ49" i="26"/>
  <c r="E49" i="26" s="1"/>
  <c r="AH50" i="26"/>
  <c r="H48" i="26"/>
  <c r="D47" i="26"/>
  <c r="S47" i="26" s="1"/>
  <c r="C47" i="26"/>
  <c r="R47" i="26" s="1"/>
  <c r="J47" i="26"/>
  <c r="L46" i="26"/>
  <c r="W46" i="26" s="1"/>
  <c r="AJ51" i="27"/>
  <c r="E51" i="27" s="1"/>
  <c r="AH52" i="27"/>
  <c r="AH51" i="24"/>
  <c r="AJ50" i="24"/>
  <c r="E50" i="24" s="1"/>
  <c r="J49" i="27"/>
  <c r="H48" i="27"/>
  <c r="L48" i="27" s="1"/>
  <c r="W48" i="27" s="1"/>
  <c r="D47" i="27"/>
  <c r="S47" i="27" s="1"/>
  <c r="C47" i="27"/>
  <c r="R47" i="27" s="1"/>
  <c r="H50" i="25"/>
  <c r="D49" i="25"/>
  <c r="S49" i="25" s="1"/>
  <c r="C49" i="25"/>
  <c r="R49" i="25" s="1"/>
  <c r="J47" i="24"/>
  <c r="L46" i="24"/>
  <c r="W46" i="24" s="1"/>
  <c r="H48" i="24"/>
  <c r="D47" i="24"/>
  <c r="S47" i="24" s="1"/>
  <c r="C47" i="24"/>
  <c r="R47" i="24" s="1"/>
  <c r="AJ49" i="25"/>
  <c r="E49" i="25" s="1"/>
  <c r="AH50" i="25"/>
  <c r="J47" i="22"/>
  <c r="L46" i="22"/>
  <c r="W46" i="22" s="1"/>
  <c r="L46" i="23"/>
  <c r="W46" i="23" s="1"/>
  <c r="J47" i="23"/>
  <c r="D48" i="22"/>
  <c r="S48" i="22" s="1"/>
  <c r="C48" i="22"/>
  <c r="R48" i="22" s="1"/>
  <c r="H49" i="22"/>
  <c r="H47" i="23"/>
  <c r="D46" i="23"/>
  <c r="S46" i="23" s="1"/>
  <c r="C46" i="23"/>
  <c r="R46" i="23" s="1"/>
  <c r="AJ50" i="23"/>
  <c r="E50" i="23" s="1"/>
  <c r="AH51" i="23"/>
  <c r="AH51" i="22"/>
  <c r="AJ50" i="22"/>
  <c r="E50" i="22" s="1"/>
  <c r="L46" i="21"/>
  <c r="W46" i="21" s="1"/>
  <c r="J47" i="21"/>
  <c r="AJ50" i="21"/>
  <c r="E50" i="21" s="1"/>
  <c r="AH51" i="21"/>
  <c r="H48" i="21"/>
  <c r="D47" i="21"/>
  <c r="S47" i="21" s="1"/>
  <c r="C47" i="21"/>
  <c r="R47" i="21" s="1"/>
  <c r="H49" i="20"/>
  <c r="P46" i="20"/>
  <c r="J47" i="20"/>
  <c r="Q46" i="20"/>
  <c r="AJ50" i="20"/>
  <c r="E50" i="20" s="1"/>
  <c r="AH51" i="20"/>
  <c r="N49" i="20"/>
  <c r="M45" i="20"/>
  <c r="X45" i="20" s="1"/>
  <c r="G46" i="20"/>
  <c r="U46" i="20" s="1"/>
  <c r="L45" i="20"/>
  <c r="W45" i="20" s="1"/>
  <c r="AA45" i="20"/>
  <c r="C45" i="20"/>
  <c r="R45" i="20" s="1"/>
  <c r="Z45" i="20"/>
  <c r="D45" i="20"/>
  <c r="S45" i="20" s="1"/>
  <c r="O44" i="19"/>
  <c r="T44" i="19"/>
  <c r="U44" i="19"/>
  <c r="Q44" i="19"/>
  <c r="P44" i="19"/>
  <c r="J46" i="19"/>
  <c r="O45" i="19"/>
  <c r="N50" i="19"/>
  <c r="AJ51" i="19"/>
  <c r="E51" i="19" s="1"/>
  <c r="AH52" i="19"/>
  <c r="H46" i="19"/>
  <c r="L44" i="19"/>
  <c r="W44" i="19" s="1"/>
  <c r="G45" i="19"/>
  <c r="M44" i="19"/>
  <c r="X44" i="19" s="1"/>
  <c r="AA44" i="19"/>
  <c r="C44" i="19"/>
  <c r="R44" i="19" s="1"/>
  <c r="Z44" i="19"/>
  <c r="AA43" i="7"/>
  <c r="U43" i="7"/>
  <c r="O43" i="7"/>
  <c r="D43" i="7"/>
  <c r="S43" i="7" s="1"/>
  <c r="P43" i="7"/>
  <c r="C43" i="7"/>
  <c r="R43" i="7" s="1"/>
  <c r="Q43" i="7"/>
  <c r="M43" i="7"/>
  <c r="X43" i="7" s="1"/>
  <c r="T43" i="7"/>
  <c r="G44" i="7"/>
  <c r="Z43" i="7"/>
  <c r="L43" i="7"/>
  <c r="W43" i="7" s="1"/>
  <c r="O45" i="18"/>
  <c r="D45" i="18"/>
  <c r="C45" i="18"/>
  <c r="C43" i="17"/>
  <c r="R43" i="17" s="1"/>
  <c r="D43" i="17"/>
  <c r="Z44" i="16"/>
  <c r="D44" i="16"/>
  <c r="S44" i="16" s="1"/>
  <c r="C44" i="16"/>
  <c r="R44" i="16" s="1"/>
  <c r="D43" i="15"/>
  <c r="C43" i="15"/>
  <c r="R43" i="15" s="1"/>
  <c r="S44" i="14"/>
  <c r="C44" i="14"/>
  <c r="R44" i="14" s="1"/>
  <c r="D44" i="14"/>
  <c r="D43" i="13"/>
  <c r="C43" i="13"/>
  <c r="D45" i="12"/>
  <c r="C45" i="12"/>
  <c r="C45" i="11"/>
  <c r="D45" i="11"/>
  <c r="D44" i="10"/>
  <c r="C44" i="10"/>
  <c r="D44" i="9"/>
  <c r="C44" i="9"/>
  <c r="R44" i="9" s="1"/>
  <c r="D45" i="8"/>
  <c r="C45" i="8"/>
  <c r="Q45" i="6"/>
  <c r="D45" i="6"/>
  <c r="C45" i="6"/>
  <c r="D43" i="4"/>
  <c r="C43" i="4"/>
  <c r="U45" i="1"/>
  <c r="P45" i="1"/>
  <c r="Q45" i="1"/>
  <c r="T45" i="1"/>
  <c r="O45" i="1"/>
  <c r="G46" i="1"/>
  <c r="Z45" i="1"/>
  <c r="M45" i="1"/>
  <c r="X45" i="1" s="1"/>
  <c r="D45" i="1"/>
  <c r="S45" i="1" s="1"/>
  <c r="C45" i="1"/>
  <c r="R45" i="1" s="1"/>
  <c r="L45" i="1"/>
  <c r="W45" i="1" s="1"/>
  <c r="AA45" i="1"/>
  <c r="Z44" i="14"/>
  <c r="AA44" i="14"/>
  <c r="N47" i="18"/>
  <c r="H46" i="18"/>
  <c r="S45" i="18"/>
  <c r="R45" i="18"/>
  <c r="AA45" i="18"/>
  <c r="Z45" i="18"/>
  <c r="G46" i="18"/>
  <c r="M45" i="18"/>
  <c r="X45" i="18" s="1"/>
  <c r="L45" i="18"/>
  <c r="W45" i="18" s="1"/>
  <c r="O46" i="18"/>
  <c r="AH49" i="18"/>
  <c r="AJ48" i="18"/>
  <c r="E48" i="18" s="1"/>
  <c r="J46" i="18"/>
  <c r="Q45" i="18"/>
  <c r="P45" i="18"/>
  <c r="U45" i="18"/>
  <c r="T45" i="18"/>
  <c r="H46" i="17"/>
  <c r="M43" i="17"/>
  <c r="X43" i="17" s="1"/>
  <c r="L43" i="17"/>
  <c r="W43" i="17" s="1"/>
  <c r="G44" i="17"/>
  <c r="AA43" i="17"/>
  <c r="Z43" i="17"/>
  <c r="S43" i="17"/>
  <c r="O43" i="17"/>
  <c r="T43" i="17"/>
  <c r="P43" i="17"/>
  <c r="N48" i="17"/>
  <c r="Q43" i="17"/>
  <c r="AJ49" i="17"/>
  <c r="E49" i="17" s="1"/>
  <c r="AH50" i="17"/>
  <c r="U43" i="17"/>
  <c r="J45" i="17"/>
  <c r="Q44" i="17"/>
  <c r="O44" i="17"/>
  <c r="J45" i="16"/>
  <c r="Q44" i="16"/>
  <c r="P44" i="16"/>
  <c r="U44" i="16"/>
  <c r="T44" i="16"/>
  <c r="H46" i="14"/>
  <c r="N47" i="15"/>
  <c r="O44" i="16"/>
  <c r="H46" i="13"/>
  <c r="M44" i="16"/>
  <c r="X44" i="16" s="1"/>
  <c r="L44" i="16"/>
  <c r="W44" i="16" s="1"/>
  <c r="G45" i="16"/>
  <c r="AA45" i="16" s="1"/>
  <c r="AJ49" i="13"/>
  <c r="E49" i="13" s="1"/>
  <c r="AH50" i="13"/>
  <c r="J46" i="15"/>
  <c r="H46" i="16"/>
  <c r="N48" i="13"/>
  <c r="M43" i="13"/>
  <c r="X43" i="13" s="1"/>
  <c r="L43" i="13"/>
  <c r="W43" i="13" s="1"/>
  <c r="G44" i="13"/>
  <c r="U43" i="13"/>
  <c r="T43" i="13"/>
  <c r="Q43" i="13"/>
  <c r="P43" i="13"/>
  <c r="S43" i="13"/>
  <c r="R43" i="13"/>
  <c r="AA43" i="13"/>
  <c r="Z43" i="13"/>
  <c r="O43" i="13"/>
  <c r="Q44" i="14"/>
  <c r="J45" i="14"/>
  <c r="P44" i="14"/>
  <c r="U44" i="14"/>
  <c r="T44" i="14"/>
  <c r="O44" i="14"/>
  <c r="AJ48" i="15"/>
  <c r="E48" i="15" s="1"/>
  <c r="AH49" i="15"/>
  <c r="AA44" i="16"/>
  <c r="N47" i="14"/>
  <c r="AH49" i="14"/>
  <c r="AJ48" i="14"/>
  <c r="E48" i="14" s="1"/>
  <c r="H46" i="15"/>
  <c r="AJ47" i="16"/>
  <c r="E47" i="16" s="1"/>
  <c r="AH48" i="16"/>
  <c r="J47" i="13"/>
  <c r="N46" i="16"/>
  <c r="M43" i="15"/>
  <c r="X43" i="15" s="1"/>
  <c r="L43" i="15"/>
  <c r="W43" i="15" s="1"/>
  <c r="G44" i="15"/>
  <c r="Q43" i="15"/>
  <c r="P43" i="15"/>
  <c r="U43" i="15"/>
  <c r="T43" i="15"/>
  <c r="AA43" i="15"/>
  <c r="Z43" i="15"/>
  <c r="O43" i="15"/>
  <c r="S43" i="15"/>
  <c r="M44" i="14"/>
  <c r="X44" i="14" s="1"/>
  <c r="G45" i="14"/>
  <c r="L44" i="14"/>
  <c r="W44" i="14" s="1"/>
  <c r="AH49" i="9"/>
  <c r="AJ48" i="9"/>
  <c r="E48" i="9" s="1"/>
  <c r="N47" i="10"/>
  <c r="N47" i="9"/>
  <c r="AH49" i="10"/>
  <c r="AJ48" i="10"/>
  <c r="E48" i="10" s="1"/>
  <c r="M45" i="11"/>
  <c r="X45" i="11" s="1"/>
  <c r="L45" i="11"/>
  <c r="W45" i="11" s="1"/>
  <c r="G46" i="11"/>
  <c r="S45" i="11"/>
  <c r="R45" i="11"/>
  <c r="AA45" i="11"/>
  <c r="Z45" i="11"/>
  <c r="H46" i="11"/>
  <c r="U45" i="11"/>
  <c r="T45" i="11"/>
  <c r="Q45" i="11"/>
  <c r="P45" i="11"/>
  <c r="Q44" i="9"/>
  <c r="P44" i="9"/>
  <c r="J45" i="9"/>
  <c r="U44" i="9"/>
  <c r="T44" i="9"/>
  <c r="O44" i="9"/>
  <c r="H47" i="9"/>
  <c r="J48" i="11"/>
  <c r="Q44" i="10"/>
  <c r="P44" i="10"/>
  <c r="J45" i="10"/>
  <c r="U44" i="10"/>
  <c r="T44" i="10"/>
  <c r="O44" i="10"/>
  <c r="M44" i="9"/>
  <c r="X44" i="9" s="1"/>
  <c r="G45" i="9"/>
  <c r="L44" i="9"/>
  <c r="W44" i="9" s="1"/>
  <c r="S44" i="9"/>
  <c r="AA44" i="9"/>
  <c r="Z44" i="9"/>
  <c r="S44" i="10"/>
  <c r="R44" i="10"/>
  <c r="AA44" i="10"/>
  <c r="Z44" i="10"/>
  <c r="H45" i="10"/>
  <c r="AJ48" i="12"/>
  <c r="E48" i="12" s="1"/>
  <c r="AH49" i="12"/>
  <c r="M44" i="10"/>
  <c r="X44" i="10" s="1"/>
  <c r="L44" i="10"/>
  <c r="W44" i="10" s="1"/>
  <c r="G45" i="10"/>
  <c r="Q44" i="12"/>
  <c r="P44" i="12"/>
  <c r="J45" i="12"/>
  <c r="L45" i="12" s="1"/>
  <c r="W45" i="12" s="1"/>
  <c r="U44" i="12"/>
  <c r="T44" i="12"/>
  <c r="O44" i="12"/>
  <c r="AA45" i="12"/>
  <c r="Z45" i="12"/>
  <c r="H46" i="12"/>
  <c r="N47" i="12"/>
  <c r="M45" i="12"/>
  <c r="X45" i="12" s="1"/>
  <c r="G46" i="12"/>
  <c r="AH49" i="11"/>
  <c r="AJ48" i="11"/>
  <c r="E48" i="11" s="1"/>
  <c r="N47" i="11"/>
  <c r="N48" i="8"/>
  <c r="P45" i="8"/>
  <c r="J46" i="8"/>
  <c r="U45" i="8"/>
  <c r="Q45" i="8"/>
  <c r="T45" i="8"/>
  <c r="O45" i="8"/>
  <c r="M45" i="8"/>
  <c r="X45" i="8" s="1"/>
  <c r="L45" i="8"/>
  <c r="W45" i="8" s="1"/>
  <c r="G46" i="8"/>
  <c r="AJ49" i="8"/>
  <c r="E49" i="8" s="1"/>
  <c r="AH50" i="8"/>
  <c r="R45" i="8"/>
  <c r="AA45" i="8"/>
  <c r="Z45" i="8"/>
  <c r="H46" i="8"/>
  <c r="S45" i="8"/>
  <c r="N48" i="7"/>
  <c r="J47" i="7"/>
  <c r="H47" i="7"/>
  <c r="AJ49" i="7"/>
  <c r="E49" i="7" s="1"/>
  <c r="AH50" i="7"/>
  <c r="AJ48" i="6"/>
  <c r="E48" i="6" s="1"/>
  <c r="AH49" i="6"/>
  <c r="N47" i="6"/>
  <c r="J47" i="6"/>
  <c r="G46" i="6"/>
  <c r="M45" i="6"/>
  <c r="X45" i="6" s="1"/>
  <c r="L45" i="6"/>
  <c r="W45" i="6" s="1"/>
  <c r="H46" i="6"/>
  <c r="R45" i="6"/>
  <c r="AA45" i="6"/>
  <c r="Z45" i="6"/>
  <c r="S45" i="6"/>
  <c r="T45" i="6"/>
  <c r="O46" i="6"/>
  <c r="O45" i="6"/>
  <c r="N47" i="4"/>
  <c r="AJ48" i="4"/>
  <c r="E48" i="4" s="1"/>
  <c r="AH49" i="4"/>
  <c r="J48" i="4"/>
  <c r="H46" i="4"/>
  <c r="M43" i="4"/>
  <c r="X43" i="4" s="1"/>
  <c r="L43" i="4"/>
  <c r="W43" i="4" s="1"/>
  <c r="G44" i="4"/>
  <c r="O43" i="4"/>
  <c r="R43" i="4"/>
  <c r="AA43" i="4"/>
  <c r="Z43" i="4"/>
  <c r="Q43" i="4"/>
  <c r="T43" i="4"/>
  <c r="S43" i="4"/>
  <c r="U43" i="4"/>
  <c r="P43" i="4"/>
  <c r="N51" i="27" l="1"/>
  <c r="T51" i="27"/>
  <c r="O50" i="27"/>
  <c r="AA50" i="27"/>
  <c r="N50" i="28"/>
  <c r="T50" i="28"/>
  <c r="O49" i="28"/>
  <c r="AA49" i="28"/>
  <c r="N49" i="26"/>
  <c r="T49" i="26"/>
  <c r="O48" i="26"/>
  <c r="AA48" i="26"/>
  <c r="N49" i="25"/>
  <c r="T49" i="25"/>
  <c r="O48" i="25"/>
  <c r="AA48" i="25"/>
  <c r="N50" i="24"/>
  <c r="T50" i="24"/>
  <c r="O49" i="24"/>
  <c r="AA49" i="24"/>
  <c r="N50" i="23"/>
  <c r="T50" i="23"/>
  <c r="O49" i="23"/>
  <c r="AA49" i="23"/>
  <c r="N50" i="22"/>
  <c r="T50" i="22"/>
  <c r="O49" i="22"/>
  <c r="AA49" i="22"/>
  <c r="N50" i="21"/>
  <c r="T50" i="21"/>
  <c r="O49" i="21"/>
  <c r="AA49" i="21"/>
  <c r="O46" i="20"/>
  <c r="T46" i="20"/>
  <c r="D49" i="28"/>
  <c r="S49" i="28" s="1"/>
  <c r="C49" i="28"/>
  <c r="R49" i="28" s="1"/>
  <c r="H50" i="28"/>
  <c r="AJ51" i="28"/>
  <c r="E51" i="28" s="1"/>
  <c r="AH52" i="28"/>
  <c r="J48" i="28"/>
  <c r="L47" i="28"/>
  <c r="W47" i="28" s="1"/>
  <c r="H49" i="24"/>
  <c r="C48" i="24"/>
  <c r="R48" i="24" s="1"/>
  <c r="D48" i="24"/>
  <c r="S48" i="24" s="1"/>
  <c r="AH52" i="24"/>
  <c r="AJ51" i="24"/>
  <c r="E51" i="24" s="1"/>
  <c r="AJ52" i="27"/>
  <c r="E52" i="27" s="1"/>
  <c r="AH53" i="27"/>
  <c r="J48" i="24"/>
  <c r="L47" i="24"/>
  <c r="W47" i="24" s="1"/>
  <c r="J48" i="26"/>
  <c r="L47" i="26"/>
  <c r="W47" i="26" s="1"/>
  <c r="H51" i="25"/>
  <c r="D50" i="25"/>
  <c r="S50" i="25" s="1"/>
  <c r="C50" i="25"/>
  <c r="R50" i="25" s="1"/>
  <c r="H49" i="26"/>
  <c r="D48" i="26"/>
  <c r="S48" i="26" s="1"/>
  <c r="C48" i="26"/>
  <c r="R48" i="26" s="1"/>
  <c r="AJ50" i="25"/>
  <c r="E50" i="25" s="1"/>
  <c r="AH51" i="25"/>
  <c r="H49" i="27"/>
  <c r="D48" i="27"/>
  <c r="S48" i="27" s="1"/>
  <c r="C48" i="27"/>
  <c r="R48" i="27" s="1"/>
  <c r="AJ50" i="26"/>
  <c r="E50" i="26" s="1"/>
  <c r="AH51" i="26"/>
  <c r="J50" i="27"/>
  <c r="J49" i="25"/>
  <c r="L48" i="25"/>
  <c r="W48" i="25" s="1"/>
  <c r="AJ51" i="23"/>
  <c r="E51" i="23" s="1"/>
  <c r="AH52" i="23"/>
  <c r="H48" i="23"/>
  <c r="D47" i="23"/>
  <c r="S47" i="23" s="1"/>
  <c r="C47" i="23"/>
  <c r="R47" i="23" s="1"/>
  <c r="C49" i="22"/>
  <c r="R49" i="22" s="1"/>
  <c r="H50" i="22"/>
  <c r="D49" i="22"/>
  <c r="S49" i="22" s="1"/>
  <c r="J48" i="23"/>
  <c r="L47" i="23"/>
  <c r="W47" i="23" s="1"/>
  <c r="AJ51" i="22"/>
  <c r="E51" i="22" s="1"/>
  <c r="AH52" i="22"/>
  <c r="L47" i="22"/>
  <c r="W47" i="22" s="1"/>
  <c r="J48" i="22"/>
  <c r="H49" i="21"/>
  <c r="D48" i="21"/>
  <c r="S48" i="21" s="1"/>
  <c r="C48" i="21"/>
  <c r="R48" i="21" s="1"/>
  <c r="AJ51" i="21"/>
  <c r="E51" i="21" s="1"/>
  <c r="AH52" i="21"/>
  <c r="J48" i="21"/>
  <c r="L47" i="21"/>
  <c r="W47" i="21" s="1"/>
  <c r="J48" i="20"/>
  <c r="O47" i="20"/>
  <c r="L46" i="20"/>
  <c r="W46" i="20" s="1"/>
  <c r="G47" i="20"/>
  <c r="M46" i="20"/>
  <c r="X46" i="20" s="1"/>
  <c r="Z46" i="20"/>
  <c r="C46" i="20"/>
  <c r="R46" i="20" s="1"/>
  <c r="D46" i="20"/>
  <c r="S46" i="20" s="1"/>
  <c r="AA46" i="20"/>
  <c r="N50" i="20"/>
  <c r="AJ51" i="20"/>
  <c r="E51" i="20" s="1"/>
  <c r="AH52" i="20"/>
  <c r="H50" i="20"/>
  <c r="AJ52" i="19"/>
  <c r="E52" i="19" s="1"/>
  <c r="AH53" i="19"/>
  <c r="N51" i="19"/>
  <c r="M45" i="19"/>
  <c r="X45" i="19" s="1"/>
  <c r="L45" i="19"/>
  <c r="W45" i="19" s="1"/>
  <c r="G46" i="19"/>
  <c r="P46" i="19" s="1"/>
  <c r="T45" i="19"/>
  <c r="U45" i="19"/>
  <c r="C45" i="19"/>
  <c r="R45" i="19" s="1"/>
  <c r="P45" i="19"/>
  <c r="H47" i="19"/>
  <c r="AA46" i="19"/>
  <c r="Z45" i="19"/>
  <c r="Q45" i="19"/>
  <c r="AA45" i="19"/>
  <c r="J47" i="19"/>
  <c r="Q46" i="19"/>
  <c r="D45" i="19"/>
  <c r="S45" i="19" s="1"/>
  <c r="T44" i="7"/>
  <c r="AA44" i="7"/>
  <c r="M44" i="7"/>
  <c r="X44" i="7" s="1"/>
  <c r="Z44" i="7"/>
  <c r="L44" i="7"/>
  <c r="W44" i="7" s="1"/>
  <c r="G45" i="7"/>
  <c r="P44" i="7"/>
  <c r="O44" i="7"/>
  <c r="D44" i="7"/>
  <c r="S44" i="7" s="1"/>
  <c r="C44" i="7"/>
  <c r="R44" i="7" s="1"/>
  <c r="U44" i="7"/>
  <c r="Q44" i="7"/>
  <c r="D46" i="18"/>
  <c r="C46" i="18"/>
  <c r="D44" i="17"/>
  <c r="C44" i="17"/>
  <c r="Z45" i="16"/>
  <c r="D45" i="16"/>
  <c r="C45" i="16"/>
  <c r="D44" i="15"/>
  <c r="C44" i="15"/>
  <c r="R44" i="15" s="1"/>
  <c r="C45" i="14"/>
  <c r="R45" i="14" s="1"/>
  <c r="D45" i="14"/>
  <c r="S45" i="14" s="1"/>
  <c r="C44" i="13"/>
  <c r="R44" i="13" s="1"/>
  <c r="D44" i="13"/>
  <c r="D46" i="12"/>
  <c r="C46" i="12"/>
  <c r="D46" i="11"/>
  <c r="C46" i="11"/>
  <c r="D45" i="10"/>
  <c r="C45" i="10"/>
  <c r="C45" i="9"/>
  <c r="D45" i="9"/>
  <c r="D46" i="8"/>
  <c r="C46" i="8"/>
  <c r="D46" i="6"/>
  <c r="C46" i="6"/>
  <c r="G45" i="4"/>
  <c r="C44" i="4"/>
  <c r="D44" i="4"/>
  <c r="U46" i="1"/>
  <c r="Z46" i="1"/>
  <c r="P46" i="1"/>
  <c r="Q46" i="1"/>
  <c r="AA46" i="1"/>
  <c r="T46" i="1"/>
  <c r="O46" i="1"/>
  <c r="G47" i="1"/>
  <c r="D46" i="1"/>
  <c r="S46" i="1" s="1"/>
  <c r="M46" i="1"/>
  <c r="X46" i="1" s="1"/>
  <c r="C46" i="1"/>
  <c r="R46" i="1" s="1"/>
  <c r="L46" i="1"/>
  <c r="W46" i="1" s="1"/>
  <c r="O45" i="16"/>
  <c r="S45" i="16"/>
  <c r="R45" i="16"/>
  <c r="S45" i="12"/>
  <c r="R45" i="12"/>
  <c r="AJ49" i="18"/>
  <c r="E49" i="18" s="1"/>
  <c r="AH50" i="18"/>
  <c r="G47" i="18"/>
  <c r="M46" i="18"/>
  <c r="X46" i="18" s="1"/>
  <c r="L46" i="18"/>
  <c r="W46" i="18" s="1"/>
  <c r="H47" i="18"/>
  <c r="S46" i="18"/>
  <c r="R46" i="18"/>
  <c r="AA46" i="18"/>
  <c r="Z46" i="18"/>
  <c r="Q46" i="18"/>
  <c r="P46" i="18"/>
  <c r="J47" i="18"/>
  <c r="U46" i="18"/>
  <c r="T46" i="18"/>
  <c r="O47" i="18"/>
  <c r="N48" i="18"/>
  <c r="J46" i="17"/>
  <c r="AJ50" i="17"/>
  <c r="E50" i="17" s="1"/>
  <c r="AH51" i="17"/>
  <c r="M44" i="17"/>
  <c r="X44" i="17" s="1"/>
  <c r="L44" i="17"/>
  <c r="W44" i="17" s="1"/>
  <c r="G45" i="17"/>
  <c r="AA44" i="17"/>
  <c r="Z44" i="17"/>
  <c r="S44" i="17"/>
  <c r="R44" i="17"/>
  <c r="N49" i="17"/>
  <c r="T44" i="17"/>
  <c r="U44" i="17"/>
  <c r="H47" i="17"/>
  <c r="P44" i="17"/>
  <c r="H47" i="15"/>
  <c r="Z45" i="14"/>
  <c r="AA45" i="14"/>
  <c r="M44" i="13"/>
  <c r="X44" i="13" s="1"/>
  <c r="L44" i="13"/>
  <c r="W44" i="13" s="1"/>
  <c r="G45" i="13"/>
  <c r="O44" i="13"/>
  <c r="S44" i="13"/>
  <c r="Q44" i="13"/>
  <c r="AA44" i="13"/>
  <c r="Z44" i="13"/>
  <c r="T44" i="13"/>
  <c r="U44" i="13"/>
  <c r="P44" i="13"/>
  <c r="H47" i="13"/>
  <c r="H47" i="14"/>
  <c r="N48" i="14"/>
  <c r="Q45" i="14"/>
  <c r="P45" i="14"/>
  <c r="J46" i="14"/>
  <c r="U45" i="14"/>
  <c r="T45" i="14"/>
  <c r="O45" i="14"/>
  <c r="M45" i="14"/>
  <c r="X45" i="14" s="1"/>
  <c r="L45" i="14"/>
  <c r="W45" i="14" s="1"/>
  <c r="G46" i="14"/>
  <c r="AJ49" i="14"/>
  <c r="E49" i="14" s="1"/>
  <c r="AH50" i="14"/>
  <c r="J47" i="15"/>
  <c r="AJ50" i="13"/>
  <c r="E50" i="13" s="1"/>
  <c r="AH51" i="13"/>
  <c r="J48" i="13"/>
  <c r="N49" i="13"/>
  <c r="AJ48" i="16"/>
  <c r="E48" i="16" s="1"/>
  <c r="AH49" i="16"/>
  <c r="J46" i="16"/>
  <c r="Q45" i="16"/>
  <c r="P45" i="16"/>
  <c r="U45" i="16"/>
  <c r="T45" i="16"/>
  <c r="N47" i="16"/>
  <c r="AJ49" i="15"/>
  <c r="E49" i="15" s="1"/>
  <c r="AH50" i="15"/>
  <c r="H47" i="16"/>
  <c r="M45" i="16"/>
  <c r="X45" i="16" s="1"/>
  <c r="L45" i="16"/>
  <c r="W45" i="16" s="1"/>
  <c r="G46" i="16"/>
  <c r="M44" i="15"/>
  <c r="X44" i="15" s="1"/>
  <c r="L44" i="15"/>
  <c r="W44" i="15" s="1"/>
  <c r="G45" i="15"/>
  <c r="O44" i="15"/>
  <c r="AA44" i="15"/>
  <c r="Q44" i="15"/>
  <c r="Z44" i="15"/>
  <c r="P44" i="15"/>
  <c r="U44" i="15"/>
  <c r="S44" i="15"/>
  <c r="T44" i="15"/>
  <c r="N48" i="15"/>
  <c r="AJ49" i="12"/>
  <c r="E49" i="12" s="1"/>
  <c r="AH50" i="12"/>
  <c r="J49" i="11"/>
  <c r="N48" i="12"/>
  <c r="N48" i="10"/>
  <c r="N48" i="11"/>
  <c r="R45" i="10"/>
  <c r="AA45" i="10"/>
  <c r="Z45" i="10"/>
  <c r="H46" i="10"/>
  <c r="S45" i="10"/>
  <c r="M45" i="9"/>
  <c r="X45" i="9" s="1"/>
  <c r="L45" i="9"/>
  <c r="W45" i="9" s="1"/>
  <c r="G46" i="9"/>
  <c r="S45" i="9"/>
  <c r="R45" i="9"/>
  <c r="AA45" i="9"/>
  <c r="Z45" i="9"/>
  <c r="H48" i="9"/>
  <c r="AJ49" i="10"/>
  <c r="E49" i="10" s="1"/>
  <c r="AH50" i="10"/>
  <c r="AJ49" i="11"/>
  <c r="E49" i="11" s="1"/>
  <c r="AH50" i="11"/>
  <c r="M46" i="12"/>
  <c r="X46" i="12" s="1"/>
  <c r="G47" i="12"/>
  <c r="P45" i="12"/>
  <c r="J46" i="12"/>
  <c r="L46" i="12" s="1"/>
  <c r="W46" i="12" s="1"/>
  <c r="Q45" i="12"/>
  <c r="U45" i="12"/>
  <c r="T45" i="12"/>
  <c r="O45" i="12"/>
  <c r="S46" i="11"/>
  <c r="R46" i="11"/>
  <c r="AA46" i="11"/>
  <c r="Z46" i="11"/>
  <c r="H47" i="11"/>
  <c r="T46" i="11"/>
  <c r="Q46" i="11"/>
  <c r="P46" i="11"/>
  <c r="U46" i="11"/>
  <c r="M46" i="11"/>
  <c r="X46" i="11" s="1"/>
  <c r="L46" i="11"/>
  <c r="W46" i="11" s="1"/>
  <c r="G47" i="11"/>
  <c r="Q45" i="9"/>
  <c r="P45" i="9"/>
  <c r="J46" i="9"/>
  <c r="U45" i="9"/>
  <c r="T45" i="9"/>
  <c r="O45" i="9"/>
  <c r="P45" i="10"/>
  <c r="J46" i="10"/>
  <c r="Q45" i="10"/>
  <c r="U45" i="10"/>
  <c r="T45" i="10"/>
  <c r="O45" i="10"/>
  <c r="AA46" i="12"/>
  <c r="Z46" i="12"/>
  <c r="H47" i="12"/>
  <c r="S46" i="12"/>
  <c r="R46" i="12"/>
  <c r="O46" i="11"/>
  <c r="N48" i="9"/>
  <c r="M45" i="10"/>
  <c r="X45" i="10" s="1"/>
  <c r="L45" i="10"/>
  <c r="W45" i="10" s="1"/>
  <c r="G46" i="10"/>
  <c r="AJ49" i="9"/>
  <c r="E49" i="9" s="1"/>
  <c r="AH50" i="9"/>
  <c r="M46" i="8"/>
  <c r="X46" i="8" s="1"/>
  <c r="L46" i="8"/>
  <c r="W46" i="8" s="1"/>
  <c r="G47" i="8"/>
  <c r="AA46" i="8"/>
  <c r="Z46" i="8"/>
  <c r="H47" i="8"/>
  <c r="S46" i="8"/>
  <c r="R46" i="8"/>
  <c r="J47" i="8"/>
  <c r="U46" i="8"/>
  <c r="P46" i="8"/>
  <c r="Q46" i="8"/>
  <c r="T46" i="8"/>
  <c r="O46" i="8"/>
  <c r="AJ50" i="8"/>
  <c r="E50" i="8" s="1"/>
  <c r="AH51" i="8"/>
  <c r="N49" i="8"/>
  <c r="J48" i="7"/>
  <c r="AJ50" i="7"/>
  <c r="E50" i="7" s="1"/>
  <c r="AH51" i="7"/>
  <c r="H48" i="7"/>
  <c r="N49" i="7"/>
  <c r="G47" i="6"/>
  <c r="T47" i="6" s="1"/>
  <c r="M46" i="6"/>
  <c r="X46" i="6" s="1"/>
  <c r="L46" i="6"/>
  <c r="W46" i="6" s="1"/>
  <c r="J48" i="6"/>
  <c r="P46" i="6"/>
  <c r="U46" i="6"/>
  <c r="Q46" i="6"/>
  <c r="AJ49" i="6"/>
  <c r="E49" i="6" s="1"/>
  <c r="AH50" i="6"/>
  <c r="N48" i="6"/>
  <c r="H47" i="6"/>
  <c r="Q47" i="6" s="1"/>
  <c r="S46" i="6"/>
  <c r="AA46" i="6"/>
  <c r="Z46" i="6"/>
  <c r="R46" i="6"/>
  <c r="T46" i="6"/>
  <c r="L45" i="4"/>
  <c r="W45" i="4" s="1"/>
  <c r="Z45" i="4"/>
  <c r="N48" i="4"/>
  <c r="M45" i="4"/>
  <c r="X45" i="4" s="1"/>
  <c r="Q45" i="4"/>
  <c r="P45" i="4"/>
  <c r="G46" i="4"/>
  <c r="U45" i="4"/>
  <c r="T45" i="4"/>
  <c r="O45" i="4"/>
  <c r="H47" i="4"/>
  <c r="J49" i="4"/>
  <c r="AJ49" i="4"/>
  <c r="E49" i="4" s="1"/>
  <c r="AH50" i="4"/>
  <c r="M44" i="4"/>
  <c r="X44" i="4" s="1"/>
  <c r="L44" i="4"/>
  <c r="W44" i="4" s="1"/>
  <c r="O44" i="4"/>
  <c r="AA44" i="4"/>
  <c r="Z44" i="4"/>
  <c r="U44" i="4"/>
  <c r="S44" i="4"/>
  <c r="R44" i="4"/>
  <c r="P44" i="4"/>
  <c r="T44" i="4"/>
  <c r="Q44" i="4"/>
  <c r="N52" i="27" l="1"/>
  <c r="T52" i="27"/>
  <c r="O51" i="27"/>
  <c r="AA51" i="27"/>
  <c r="N51" i="28"/>
  <c r="T51" i="28"/>
  <c r="O50" i="28"/>
  <c r="AA50" i="28"/>
  <c r="N50" i="26"/>
  <c r="T50" i="26"/>
  <c r="O49" i="26"/>
  <c r="AA49" i="26"/>
  <c r="N50" i="25"/>
  <c r="T50" i="25"/>
  <c r="O49" i="25"/>
  <c r="AA49" i="25"/>
  <c r="N51" i="24"/>
  <c r="T51" i="24"/>
  <c r="O50" i="24"/>
  <c r="AA50" i="24"/>
  <c r="N51" i="23"/>
  <c r="T51" i="23"/>
  <c r="O50" i="23"/>
  <c r="AA50" i="23"/>
  <c r="N51" i="22"/>
  <c r="T51" i="22"/>
  <c r="O50" i="22"/>
  <c r="AA50" i="22"/>
  <c r="N51" i="21"/>
  <c r="T51" i="21"/>
  <c r="O50" i="21"/>
  <c r="AA50" i="21"/>
  <c r="L48" i="28"/>
  <c r="W48" i="28" s="1"/>
  <c r="J49" i="28"/>
  <c r="AJ52" i="28"/>
  <c r="E52" i="28" s="1"/>
  <c r="AH53" i="28"/>
  <c r="D50" i="28"/>
  <c r="S50" i="28" s="1"/>
  <c r="C50" i="28"/>
  <c r="R50" i="28" s="1"/>
  <c r="H51" i="28"/>
  <c r="AJ51" i="26"/>
  <c r="E51" i="26" s="1"/>
  <c r="AH52" i="26"/>
  <c r="H52" i="25"/>
  <c r="D51" i="25"/>
  <c r="S51" i="25" s="1"/>
  <c r="C51" i="25"/>
  <c r="R51" i="25" s="1"/>
  <c r="L48" i="26"/>
  <c r="W48" i="26" s="1"/>
  <c r="J49" i="26"/>
  <c r="D49" i="27"/>
  <c r="S49" i="27" s="1"/>
  <c r="C49" i="27"/>
  <c r="R49" i="27" s="1"/>
  <c r="H50" i="27"/>
  <c r="L48" i="24"/>
  <c r="W48" i="24" s="1"/>
  <c r="J49" i="24"/>
  <c r="AJ51" i="25"/>
  <c r="E51" i="25" s="1"/>
  <c r="AH52" i="25"/>
  <c r="AJ53" i="27"/>
  <c r="E53" i="27" s="1"/>
  <c r="AH54" i="27"/>
  <c r="AJ52" i="24"/>
  <c r="E52" i="24" s="1"/>
  <c r="AH53" i="24"/>
  <c r="J50" i="25"/>
  <c r="L49" i="25"/>
  <c r="W49" i="25" s="1"/>
  <c r="H50" i="26"/>
  <c r="D49" i="26"/>
  <c r="S49" i="26" s="1"/>
  <c r="C49" i="26"/>
  <c r="R49" i="26" s="1"/>
  <c r="L49" i="27"/>
  <c r="W49" i="27" s="1"/>
  <c r="J51" i="27"/>
  <c r="H50" i="24"/>
  <c r="D49" i="24"/>
  <c r="S49" i="24" s="1"/>
  <c r="C49" i="24"/>
  <c r="R49" i="24" s="1"/>
  <c r="J49" i="23"/>
  <c r="L48" i="23"/>
  <c r="W48" i="23" s="1"/>
  <c r="H51" i="22"/>
  <c r="D50" i="22"/>
  <c r="S50" i="22" s="1"/>
  <c r="C50" i="22"/>
  <c r="R50" i="22" s="1"/>
  <c r="H49" i="23"/>
  <c r="D48" i="23"/>
  <c r="S48" i="23" s="1"/>
  <c r="C48" i="23"/>
  <c r="R48" i="23" s="1"/>
  <c r="L48" i="22"/>
  <c r="W48" i="22" s="1"/>
  <c r="J49" i="22"/>
  <c r="AJ52" i="23"/>
  <c r="E52" i="23" s="1"/>
  <c r="AH53" i="23"/>
  <c r="AJ52" i="22"/>
  <c r="E52" i="22" s="1"/>
  <c r="AH53" i="22"/>
  <c r="L48" i="21"/>
  <c r="W48" i="21" s="1"/>
  <c r="J49" i="21"/>
  <c r="AJ52" i="21"/>
  <c r="E52" i="21" s="1"/>
  <c r="AH53" i="21"/>
  <c r="D49" i="21"/>
  <c r="S49" i="21" s="1"/>
  <c r="C49" i="21"/>
  <c r="R49" i="21" s="1"/>
  <c r="H50" i="21"/>
  <c r="H51" i="20"/>
  <c r="M47" i="20"/>
  <c r="X47" i="20" s="1"/>
  <c r="G48" i="20"/>
  <c r="Q48" i="20" s="1"/>
  <c r="L47" i="20"/>
  <c r="W47" i="20" s="1"/>
  <c r="D47" i="20"/>
  <c r="S47" i="20" s="1"/>
  <c r="C47" i="20"/>
  <c r="R47" i="20" s="1"/>
  <c r="AA47" i="20"/>
  <c r="Z47" i="20"/>
  <c r="AH53" i="20"/>
  <c r="AJ52" i="20"/>
  <c r="E52" i="20" s="1"/>
  <c r="N51" i="20"/>
  <c r="T47" i="20"/>
  <c r="P47" i="20"/>
  <c r="U47" i="20"/>
  <c r="Q47" i="20"/>
  <c r="P48" i="20"/>
  <c r="U48" i="20"/>
  <c r="J49" i="20"/>
  <c r="U46" i="19"/>
  <c r="J48" i="19"/>
  <c r="G47" i="19"/>
  <c r="AA47" i="19" s="1"/>
  <c r="M46" i="19"/>
  <c r="X46" i="19" s="1"/>
  <c r="L46" i="19"/>
  <c r="W46" i="19" s="1"/>
  <c r="D46" i="19"/>
  <c r="S46" i="19" s="1"/>
  <c r="Z46" i="19"/>
  <c r="O46" i="19"/>
  <c r="C46" i="19"/>
  <c r="R46" i="19" s="1"/>
  <c r="AH54" i="19"/>
  <c r="AJ53" i="19"/>
  <c r="E53" i="19" s="1"/>
  <c r="T46" i="19"/>
  <c r="H48" i="19"/>
  <c r="D47" i="19"/>
  <c r="S47" i="19" s="1"/>
  <c r="N52" i="19"/>
  <c r="AA45" i="7"/>
  <c r="O45" i="7"/>
  <c r="L45" i="7"/>
  <c r="W45" i="7" s="1"/>
  <c r="G46" i="7"/>
  <c r="P45" i="7"/>
  <c r="Z45" i="7"/>
  <c r="Q45" i="7"/>
  <c r="D45" i="7"/>
  <c r="S45" i="7" s="1"/>
  <c r="T45" i="7"/>
  <c r="C45" i="7"/>
  <c r="R45" i="7" s="1"/>
  <c r="U45" i="7"/>
  <c r="M45" i="7"/>
  <c r="X45" i="7" s="1"/>
  <c r="O47" i="6"/>
  <c r="D47" i="18"/>
  <c r="C47" i="18"/>
  <c r="D45" i="17"/>
  <c r="C45" i="17"/>
  <c r="D46" i="16"/>
  <c r="C46" i="16"/>
  <c r="R46" i="16" s="1"/>
  <c r="D45" i="15"/>
  <c r="C45" i="15"/>
  <c r="D46" i="14"/>
  <c r="S46" i="14" s="1"/>
  <c r="C46" i="14"/>
  <c r="R46" i="14" s="1"/>
  <c r="D45" i="13"/>
  <c r="S45" i="13" s="1"/>
  <c r="C45" i="13"/>
  <c r="R45" i="13" s="1"/>
  <c r="D47" i="12"/>
  <c r="C47" i="12"/>
  <c r="D47" i="11"/>
  <c r="C47" i="11"/>
  <c r="D46" i="10"/>
  <c r="C46" i="10"/>
  <c r="D46" i="9"/>
  <c r="S46" i="9" s="1"/>
  <c r="C46" i="9"/>
  <c r="D47" i="8"/>
  <c r="C47" i="8"/>
  <c r="R47" i="8" s="1"/>
  <c r="D47" i="6"/>
  <c r="S47" i="6" s="1"/>
  <c r="C47" i="6"/>
  <c r="D46" i="4"/>
  <c r="C46" i="4"/>
  <c r="R46" i="4" s="1"/>
  <c r="AA45" i="4"/>
  <c r="D45" i="4"/>
  <c r="S45" i="4" s="1"/>
  <c r="C45" i="4"/>
  <c r="R45" i="4" s="1"/>
  <c r="Z47" i="1"/>
  <c r="P47" i="1"/>
  <c r="U47" i="1"/>
  <c r="AA47" i="1"/>
  <c r="Q47" i="1"/>
  <c r="T47" i="1"/>
  <c r="O47" i="1"/>
  <c r="G48" i="1"/>
  <c r="L47" i="1"/>
  <c r="W47" i="1" s="1"/>
  <c r="D47" i="1"/>
  <c r="S47" i="1" s="1"/>
  <c r="C47" i="1"/>
  <c r="R47" i="1" s="1"/>
  <c r="M47" i="1"/>
  <c r="X47" i="1" s="1"/>
  <c r="O46" i="16"/>
  <c r="O47" i="11"/>
  <c r="AA47" i="18"/>
  <c r="S47" i="18"/>
  <c r="H48" i="18"/>
  <c r="R47" i="18"/>
  <c r="Z47" i="18"/>
  <c r="G48" i="18"/>
  <c r="M47" i="18"/>
  <c r="X47" i="18" s="1"/>
  <c r="L47" i="18"/>
  <c r="W47" i="18" s="1"/>
  <c r="AJ50" i="18"/>
  <c r="E50" i="18" s="1"/>
  <c r="AH51" i="18"/>
  <c r="J48" i="18"/>
  <c r="Q47" i="18"/>
  <c r="P47" i="18"/>
  <c r="U47" i="18"/>
  <c r="T47" i="18"/>
  <c r="N49" i="18"/>
  <c r="L45" i="17"/>
  <c r="W45" i="17" s="1"/>
  <c r="G46" i="17"/>
  <c r="M45" i="17"/>
  <c r="X45" i="17" s="1"/>
  <c r="Z45" i="17"/>
  <c r="S45" i="17"/>
  <c r="R45" i="17"/>
  <c r="AA45" i="17"/>
  <c r="H48" i="17"/>
  <c r="AJ51" i="17"/>
  <c r="E51" i="17" s="1"/>
  <c r="AH52" i="17"/>
  <c r="N50" i="17"/>
  <c r="O45" i="17"/>
  <c r="T45" i="17"/>
  <c r="U45" i="17"/>
  <c r="P45" i="17"/>
  <c r="Q45" i="17"/>
  <c r="J47" i="17"/>
  <c r="H48" i="13"/>
  <c r="M45" i="13"/>
  <c r="X45" i="13" s="1"/>
  <c r="L45" i="13"/>
  <c r="W45" i="13" s="1"/>
  <c r="G46" i="13"/>
  <c r="P45" i="13"/>
  <c r="Q45" i="13"/>
  <c r="U45" i="13"/>
  <c r="T45" i="13"/>
  <c r="AA45" i="13"/>
  <c r="Z45" i="13"/>
  <c r="O45" i="13"/>
  <c r="P46" i="14"/>
  <c r="J47" i="14"/>
  <c r="Q46" i="14"/>
  <c r="U46" i="14"/>
  <c r="T46" i="14"/>
  <c r="O46" i="14"/>
  <c r="L46" i="16"/>
  <c r="W46" i="16" s="1"/>
  <c r="G47" i="16"/>
  <c r="AA47" i="16" s="1"/>
  <c r="M46" i="16"/>
  <c r="X46" i="16" s="1"/>
  <c r="J48" i="15"/>
  <c r="AJ50" i="14"/>
  <c r="E50" i="14" s="1"/>
  <c r="AH51" i="14"/>
  <c r="N49" i="14"/>
  <c r="AA46" i="16"/>
  <c r="J49" i="13"/>
  <c r="M46" i="14"/>
  <c r="X46" i="14" s="1"/>
  <c r="L46" i="14"/>
  <c r="W46" i="14" s="1"/>
  <c r="G47" i="14"/>
  <c r="H48" i="14"/>
  <c r="J47" i="16"/>
  <c r="Q46" i="16"/>
  <c r="P46" i="16"/>
  <c r="U46" i="16"/>
  <c r="T46" i="16"/>
  <c r="AJ51" i="13"/>
  <c r="E51" i="13" s="1"/>
  <c r="AH52" i="13"/>
  <c r="Z46" i="14"/>
  <c r="S46" i="16"/>
  <c r="AJ49" i="16"/>
  <c r="E49" i="16" s="1"/>
  <c r="AH50" i="16"/>
  <c r="N50" i="13"/>
  <c r="AA46" i="14"/>
  <c r="Z47" i="16"/>
  <c r="H48" i="16"/>
  <c r="N48" i="16"/>
  <c r="M45" i="15"/>
  <c r="X45" i="15" s="1"/>
  <c r="L45" i="15"/>
  <c r="W45" i="15" s="1"/>
  <c r="G46" i="15"/>
  <c r="O45" i="15"/>
  <c r="R45" i="15"/>
  <c r="U45" i="15"/>
  <c r="Q45" i="15"/>
  <c r="AA45" i="15"/>
  <c r="P45" i="15"/>
  <c r="Z45" i="15"/>
  <c r="S45" i="15"/>
  <c r="T45" i="15"/>
  <c r="Z46" i="16"/>
  <c r="H48" i="15"/>
  <c r="N49" i="15"/>
  <c r="AJ50" i="15"/>
  <c r="E50" i="15" s="1"/>
  <c r="AH51" i="15"/>
  <c r="AA47" i="12"/>
  <c r="H48" i="12"/>
  <c r="Z47" i="12"/>
  <c r="Q46" i="9"/>
  <c r="P46" i="9"/>
  <c r="J47" i="9"/>
  <c r="U46" i="9"/>
  <c r="T46" i="9"/>
  <c r="O46" i="9"/>
  <c r="AJ50" i="11"/>
  <c r="E50" i="11" s="1"/>
  <c r="AH51" i="11"/>
  <c r="M46" i="10"/>
  <c r="X46" i="10" s="1"/>
  <c r="L46" i="10"/>
  <c r="W46" i="10" s="1"/>
  <c r="G47" i="10"/>
  <c r="N49" i="11"/>
  <c r="M46" i="9"/>
  <c r="X46" i="9" s="1"/>
  <c r="L46" i="9"/>
  <c r="W46" i="9" s="1"/>
  <c r="G47" i="9"/>
  <c r="R46" i="9"/>
  <c r="AA46" i="9"/>
  <c r="Z46" i="9"/>
  <c r="M47" i="11"/>
  <c r="X47" i="11" s="1"/>
  <c r="L47" i="11"/>
  <c r="W47" i="11" s="1"/>
  <c r="G48" i="11"/>
  <c r="AJ50" i="10"/>
  <c r="E50" i="10" s="1"/>
  <c r="AH51" i="10"/>
  <c r="N49" i="10"/>
  <c r="N49" i="9"/>
  <c r="H49" i="9"/>
  <c r="AA46" i="10"/>
  <c r="Z46" i="10"/>
  <c r="H47" i="10"/>
  <c r="S46" i="10"/>
  <c r="R46" i="10"/>
  <c r="J47" i="10"/>
  <c r="Q46" i="10"/>
  <c r="P46" i="10"/>
  <c r="U46" i="10"/>
  <c r="T46" i="10"/>
  <c r="O46" i="10"/>
  <c r="J47" i="12"/>
  <c r="L47" i="12" s="1"/>
  <c r="W47" i="12" s="1"/>
  <c r="Q46" i="12"/>
  <c r="P46" i="12"/>
  <c r="U46" i="12"/>
  <c r="T46" i="12"/>
  <c r="O46" i="12"/>
  <c r="J50" i="11"/>
  <c r="AJ50" i="12"/>
  <c r="E50" i="12" s="1"/>
  <c r="AH51" i="12"/>
  <c r="AJ50" i="9"/>
  <c r="E50" i="9" s="1"/>
  <c r="AH51" i="9"/>
  <c r="R47" i="11"/>
  <c r="AA47" i="11"/>
  <c r="Z47" i="11"/>
  <c r="H48" i="11"/>
  <c r="S47" i="11"/>
  <c r="U47" i="11"/>
  <c r="P47" i="11"/>
  <c r="T47" i="11"/>
  <c r="Q47" i="11"/>
  <c r="G48" i="12"/>
  <c r="M47" i="12"/>
  <c r="X47" i="12" s="1"/>
  <c r="N49" i="12"/>
  <c r="J48" i="8"/>
  <c r="Q47" i="8"/>
  <c r="P47" i="8"/>
  <c r="U47" i="8"/>
  <c r="T47" i="8"/>
  <c r="O47" i="8"/>
  <c r="AA47" i="8"/>
  <c r="Z47" i="8"/>
  <c r="S47" i="8"/>
  <c r="H48" i="8"/>
  <c r="AJ51" i="8"/>
  <c r="E51" i="8" s="1"/>
  <c r="AH52" i="8"/>
  <c r="N50" i="8"/>
  <c r="M47" i="8"/>
  <c r="X47" i="8" s="1"/>
  <c r="L47" i="8"/>
  <c r="W47" i="8" s="1"/>
  <c r="G48" i="8"/>
  <c r="H49" i="7"/>
  <c r="AJ51" i="7"/>
  <c r="E51" i="7" s="1"/>
  <c r="AH52" i="7"/>
  <c r="N50" i="7"/>
  <c r="J49" i="7"/>
  <c r="U47" i="6"/>
  <c r="P47" i="6"/>
  <c r="J49" i="6"/>
  <c r="AA47" i="6"/>
  <c r="R47" i="6"/>
  <c r="Z47" i="6"/>
  <c r="H48" i="6"/>
  <c r="AJ50" i="6"/>
  <c r="E50" i="6" s="1"/>
  <c r="AH51" i="6"/>
  <c r="N49" i="6"/>
  <c r="G48" i="6"/>
  <c r="M47" i="6"/>
  <c r="X47" i="6" s="1"/>
  <c r="L47" i="6"/>
  <c r="W47" i="6" s="1"/>
  <c r="M46" i="4"/>
  <c r="X46" i="4" s="1"/>
  <c r="Z46" i="4"/>
  <c r="AA46" i="4"/>
  <c r="Q46" i="4"/>
  <c r="G47" i="4"/>
  <c r="P46" i="4"/>
  <c r="U46" i="4"/>
  <c r="T46" i="4"/>
  <c r="O46" i="4"/>
  <c r="N49" i="4"/>
  <c r="L46" i="4"/>
  <c r="W46" i="4" s="1"/>
  <c r="S46" i="4"/>
  <c r="J50" i="4"/>
  <c r="AJ50" i="4"/>
  <c r="E50" i="4" s="1"/>
  <c r="AH51" i="4"/>
  <c r="H48" i="4"/>
  <c r="N53" i="27" l="1"/>
  <c r="T53" i="27"/>
  <c r="O52" i="27"/>
  <c r="AA52" i="27"/>
  <c r="N52" i="28"/>
  <c r="T52" i="28"/>
  <c r="O51" i="28"/>
  <c r="AA51" i="28"/>
  <c r="N51" i="26"/>
  <c r="T51" i="26"/>
  <c r="O50" i="26"/>
  <c r="AA50" i="26"/>
  <c r="N51" i="25"/>
  <c r="T51" i="25"/>
  <c r="O50" i="25"/>
  <c r="AA50" i="25"/>
  <c r="N52" i="24"/>
  <c r="T52" i="24"/>
  <c r="O51" i="24"/>
  <c r="AA51" i="24"/>
  <c r="N52" i="23"/>
  <c r="T52" i="23"/>
  <c r="O51" i="23"/>
  <c r="AA51" i="23"/>
  <c r="N52" i="22"/>
  <c r="T52" i="22"/>
  <c r="O51" i="22"/>
  <c r="AA51" i="22"/>
  <c r="N52" i="21"/>
  <c r="T52" i="21"/>
  <c r="O51" i="21"/>
  <c r="AA51" i="21"/>
  <c r="D51" i="28"/>
  <c r="S51" i="28" s="1"/>
  <c r="C51" i="28"/>
  <c r="R51" i="28" s="1"/>
  <c r="H52" i="28"/>
  <c r="AJ53" i="28"/>
  <c r="E53" i="28" s="1"/>
  <c r="AH54" i="28"/>
  <c r="L49" i="28"/>
  <c r="W49" i="28" s="1"/>
  <c r="J50" i="28"/>
  <c r="J50" i="24"/>
  <c r="L49" i="24"/>
  <c r="W49" i="24" s="1"/>
  <c r="L50" i="25"/>
  <c r="W50" i="25" s="1"/>
  <c r="J51" i="25"/>
  <c r="J50" i="26"/>
  <c r="L49" i="26"/>
  <c r="W49" i="26" s="1"/>
  <c r="D50" i="27"/>
  <c r="S50" i="27" s="1"/>
  <c r="C50" i="27"/>
  <c r="R50" i="27" s="1"/>
  <c r="H51" i="27"/>
  <c r="AJ53" i="24"/>
  <c r="E53" i="24" s="1"/>
  <c r="AH54" i="24"/>
  <c r="H51" i="26"/>
  <c r="D50" i="26"/>
  <c r="S50" i="26" s="1"/>
  <c r="C50" i="26"/>
  <c r="R50" i="26" s="1"/>
  <c r="AJ54" i="27"/>
  <c r="E54" i="27" s="1"/>
  <c r="AH55" i="27"/>
  <c r="H51" i="24"/>
  <c r="D50" i="24"/>
  <c r="S50" i="24" s="1"/>
  <c r="C50" i="24"/>
  <c r="R50" i="24" s="1"/>
  <c r="H53" i="25"/>
  <c r="D52" i="25"/>
  <c r="S52" i="25" s="1"/>
  <c r="C52" i="25"/>
  <c r="R52" i="25" s="1"/>
  <c r="J52" i="27"/>
  <c r="L51" i="27"/>
  <c r="W51" i="27" s="1"/>
  <c r="AJ52" i="25"/>
  <c r="E52" i="25" s="1"/>
  <c r="AH53" i="25"/>
  <c r="AJ52" i="26"/>
  <c r="E52" i="26" s="1"/>
  <c r="AH53" i="26"/>
  <c r="L50" i="27"/>
  <c r="W50" i="27" s="1"/>
  <c r="L49" i="22"/>
  <c r="W49" i="22" s="1"/>
  <c r="J50" i="22"/>
  <c r="D49" i="23"/>
  <c r="S49" i="23" s="1"/>
  <c r="C49" i="23"/>
  <c r="R49" i="23" s="1"/>
  <c r="H50" i="23"/>
  <c r="H52" i="22"/>
  <c r="D51" i="22"/>
  <c r="S51" i="22" s="1"/>
  <c r="C51" i="22"/>
  <c r="R51" i="22" s="1"/>
  <c r="AJ53" i="22"/>
  <c r="E53" i="22" s="1"/>
  <c r="AH54" i="22"/>
  <c r="AJ53" i="23"/>
  <c r="E53" i="23" s="1"/>
  <c r="AH54" i="23"/>
  <c r="L49" i="23"/>
  <c r="W49" i="23" s="1"/>
  <c r="J50" i="23"/>
  <c r="D50" i="21"/>
  <c r="S50" i="21" s="1"/>
  <c r="C50" i="21"/>
  <c r="R50" i="21" s="1"/>
  <c r="H51" i="21"/>
  <c r="AJ53" i="21"/>
  <c r="E53" i="21" s="1"/>
  <c r="AH54" i="21"/>
  <c r="J50" i="21"/>
  <c r="L49" i="21"/>
  <c r="W49" i="21" s="1"/>
  <c r="G49" i="20"/>
  <c r="T49" i="20" s="1"/>
  <c r="M48" i="20"/>
  <c r="X48" i="20" s="1"/>
  <c r="L48" i="20"/>
  <c r="W48" i="20" s="1"/>
  <c r="D48" i="20"/>
  <c r="S48" i="20" s="1"/>
  <c r="C48" i="20"/>
  <c r="R48" i="20" s="1"/>
  <c r="AA48" i="20"/>
  <c r="Z48" i="20"/>
  <c r="H52" i="20"/>
  <c r="O48" i="20"/>
  <c r="T48" i="20"/>
  <c r="N52" i="20"/>
  <c r="Q49" i="20"/>
  <c r="P49" i="20"/>
  <c r="J50" i="20"/>
  <c r="U49" i="20"/>
  <c r="O49" i="20"/>
  <c r="AH54" i="20"/>
  <c r="AJ53" i="20"/>
  <c r="E53" i="20" s="1"/>
  <c r="C47" i="19"/>
  <c r="R47" i="19" s="1"/>
  <c r="O47" i="19"/>
  <c r="Z47" i="19"/>
  <c r="H49" i="19"/>
  <c r="G48" i="19"/>
  <c r="Q48" i="19" s="1"/>
  <c r="M47" i="19"/>
  <c r="X47" i="19" s="1"/>
  <c r="L47" i="19"/>
  <c r="W47" i="19" s="1"/>
  <c r="T47" i="19"/>
  <c r="N53" i="19"/>
  <c r="U47" i="19"/>
  <c r="AJ54" i="19"/>
  <c r="E54" i="19" s="1"/>
  <c r="AH55" i="19"/>
  <c r="P47" i="19"/>
  <c r="Q47" i="19"/>
  <c r="J49" i="19"/>
  <c r="U48" i="19"/>
  <c r="AA46" i="7"/>
  <c r="Q46" i="7"/>
  <c r="Z46" i="7"/>
  <c r="T46" i="7"/>
  <c r="M46" i="7"/>
  <c r="X46" i="7" s="1"/>
  <c r="U46" i="7"/>
  <c r="D46" i="7"/>
  <c r="S46" i="7" s="1"/>
  <c r="L46" i="7"/>
  <c r="W46" i="7" s="1"/>
  <c r="O46" i="7"/>
  <c r="C46" i="7"/>
  <c r="R46" i="7" s="1"/>
  <c r="G47" i="7"/>
  <c r="P46" i="7"/>
  <c r="D48" i="18"/>
  <c r="C48" i="18"/>
  <c r="Q46" i="17"/>
  <c r="C46" i="17"/>
  <c r="D46" i="17"/>
  <c r="S46" i="17" s="1"/>
  <c r="D47" i="16"/>
  <c r="S47" i="16" s="1"/>
  <c r="C47" i="16"/>
  <c r="R47" i="16" s="1"/>
  <c r="D46" i="15"/>
  <c r="S46" i="15" s="1"/>
  <c r="C46" i="15"/>
  <c r="R46" i="15" s="1"/>
  <c r="Z47" i="14"/>
  <c r="C47" i="14"/>
  <c r="R47" i="14" s="1"/>
  <c r="D47" i="14"/>
  <c r="S47" i="14" s="1"/>
  <c r="D46" i="13"/>
  <c r="C46" i="13"/>
  <c r="D48" i="12"/>
  <c r="C48" i="12"/>
  <c r="C48" i="11"/>
  <c r="D48" i="11"/>
  <c r="D47" i="10"/>
  <c r="C47" i="10"/>
  <c r="D47" i="9"/>
  <c r="C47" i="9"/>
  <c r="D48" i="8"/>
  <c r="C48" i="8"/>
  <c r="R48" i="8" s="1"/>
  <c r="D48" i="6"/>
  <c r="C48" i="6"/>
  <c r="C47" i="4"/>
  <c r="D47" i="4"/>
  <c r="S47" i="4" s="1"/>
  <c r="Q48" i="1"/>
  <c r="P48" i="1"/>
  <c r="AA48" i="1"/>
  <c r="Z48" i="1"/>
  <c r="U48" i="1"/>
  <c r="T48" i="1"/>
  <c r="O48" i="1"/>
  <c r="G49" i="1"/>
  <c r="M48" i="1"/>
  <c r="X48" i="1" s="1"/>
  <c r="D48" i="1"/>
  <c r="S48" i="1" s="1"/>
  <c r="L48" i="1"/>
  <c r="W48" i="1" s="1"/>
  <c r="C48" i="1"/>
  <c r="R48" i="1" s="1"/>
  <c r="O46" i="17"/>
  <c r="T46" i="17"/>
  <c r="U46" i="17"/>
  <c r="P46" i="17"/>
  <c r="Q48" i="18"/>
  <c r="P48" i="18"/>
  <c r="J49" i="18"/>
  <c r="U48" i="18"/>
  <c r="T48" i="18"/>
  <c r="AH52" i="18"/>
  <c r="AJ51" i="18"/>
  <c r="E51" i="18" s="1"/>
  <c r="N50" i="18"/>
  <c r="G49" i="18"/>
  <c r="L48" i="18"/>
  <c r="W48" i="18" s="1"/>
  <c r="M48" i="18"/>
  <c r="X48" i="18" s="1"/>
  <c r="H49" i="18"/>
  <c r="S48" i="18"/>
  <c r="Z48" i="18"/>
  <c r="R48" i="18"/>
  <c r="AA48" i="18"/>
  <c r="O48" i="18"/>
  <c r="J48" i="17"/>
  <c r="H49" i="17"/>
  <c r="AJ52" i="17"/>
  <c r="E52" i="17" s="1"/>
  <c r="AH53" i="17"/>
  <c r="G47" i="17"/>
  <c r="O47" i="17" s="1"/>
  <c r="M46" i="17"/>
  <c r="X46" i="17" s="1"/>
  <c r="L46" i="17"/>
  <c r="W46" i="17" s="1"/>
  <c r="Z46" i="17"/>
  <c r="R46" i="17"/>
  <c r="AA46" i="17"/>
  <c r="N51" i="17"/>
  <c r="N51" i="13"/>
  <c r="L47" i="14"/>
  <c r="W47" i="14" s="1"/>
  <c r="G48" i="14"/>
  <c r="AA48" i="14" s="1"/>
  <c r="M47" i="14"/>
  <c r="X47" i="14" s="1"/>
  <c r="H49" i="16"/>
  <c r="AJ51" i="14"/>
  <c r="E51" i="14" s="1"/>
  <c r="AH52" i="14"/>
  <c r="N50" i="14"/>
  <c r="M46" i="13"/>
  <c r="X46" i="13" s="1"/>
  <c r="L46" i="13"/>
  <c r="W46" i="13" s="1"/>
  <c r="G47" i="13"/>
  <c r="U46" i="13"/>
  <c r="Q46" i="13"/>
  <c r="P46" i="13"/>
  <c r="T46" i="13"/>
  <c r="R46" i="13"/>
  <c r="S46" i="13"/>
  <c r="AA46" i="13"/>
  <c r="Z46" i="13"/>
  <c r="O46" i="13"/>
  <c r="J48" i="14"/>
  <c r="U47" i="14"/>
  <c r="Q47" i="14"/>
  <c r="P47" i="14"/>
  <c r="T47" i="14"/>
  <c r="O47" i="14"/>
  <c r="H49" i="15"/>
  <c r="L46" i="15"/>
  <c r="W46" i="15" s="1"/>
  <c r="G47" i="15"/>
  <c r="M46" i="15"/>
  <c r="X46" i="15" s="1"/>
  <c r="Z46" i="15"/>
  <c r="T46" i="15"/>
  <c r="O46" i="15"/>
  <c r="U46" i="15"/>
  <c r="AA46" i="15"/>
  <c r="Q46" i="15"/>
  <c r="P46" i="15"/>
  <c r="P47" i="16"/>
  <c r="J48" i="16"/>
  <c r="Q47" i="16"/>
  <c r="U47" i="16"/>
  <c r="T47" i="16"/>
  <c r="AJ52" i="13"/>
  <c r="E52" i="13" s="1"/>
  <c r="AH53" i="13"/>
  <c r="AH51" i="16"/>
  <c r="AJ50" i="16"/>
  <c r="E50" i="16" s="1"/>
  <c r="J50" i="13"/>
  <c r="J49" i="15"/>
  <c r="H49" i="13"/>
  <c r="AJ51" i="15"/>
  <c r="E51" i="15" s="1"/>
  <c r="AH52" i="15"/>
  <c r="N49" i="16"/>
  <c r="N50" i="15"/>
  <c r="AA47" i="14"/>
  <c r="G48" i="16"/>
  <c r="M47" i="16"/>
  <c r="X47" i="16" s="1"/>
  <c r="L47" i="16"/>
  <c r="W47" i="16" s="1"/>
  <c r="H49" i="14"/>
  <c r="O47" i="16"/>
  <c r="M47" i="9"/>
  <c r="X47" i="9" s="1"/>
  <c r="L47" i="9"/>
  <c r="W47" i="9" s="1"/>
  <c r="G48" i="9"/>
  <c r="R47" i="9"/>
  <c r="AA47" i="9"/>
  <c r="Z47" i="9"/>
  <c r="S47" i="9"/>
  <c r="AA48" i="11"/>
  <c r="Z48" i="11"/>
  <c r="H49" i="11"/>
  <c r="S48" i="11"/>
  <c r="R48" i="11"/>
  <c r="T48" i="11"/>
  <c r="U48" i="11"/>
  <c r="Q48" i="11"/>
  <c r="P48" i="11"/>
  <c r="AA47" i="10"/>
  <c r="Z47" i="10"/>
  <c r="H48" i="10"/>
  <c r="R47" i="10"/>
  <c r="S47" i="10"/>
  <c r="AJ51" i="9"/>
  <c r="E51" i="9" s="1"/>
  <c r="AH52" i="9"/>
  <c r="AJ51" i="10"/>
  <c r="E51" i="10" s="1"/>
  <c r="AH52" i="10"/>
  <c r="P47" i="9"/>
  <c r="J48" i="9"/>
  <c r="U47" i="9"/>
  <c r="Q47" i="9"/>
  <c r="T47" i="9"/>
  <c r="O47" i="9"/>
  <c r="N50" i="10"/>
  <c r="N50" i="11"/>
  <c r="J48" i="12"/>
  <c r="L48" i="12" s="1"/>
  <c r="W48" i="12" s="1"/>
  <c r="P47" i="12"/>
  <c r="Q47" i="12"/>
  <c r="U47" i="12"/>
  <c r="T47" i="12"/>
  <c r="O47" i="12"/>
  <c r="G49" i="12"/>
  <c r="M48" i="12"/>
  <c r="X48" i="12" s="1"/>
  <c r="AJ51" i="12"/>
  <c r="E51" i="12" s="1"/>
  <c r="AH52" i="12"/>
  <c r="M48" i="11"/>
  <c r="X48" i="11" s="1"/>
  <c r="L48" i="11"/>
  <c r="W48" i="11" s="1"/>
  <c r="G49" i="11"/>
  <c r="M47" i="10"/>
  <c r="X47" i="10" s="1"/>
  <c r="L47" i="10"/>
  <c r="W47" i="10" s="1"/>
  <c r="G48" i="10"/>
  <c r="N50" i="12"/>
  <c r="H50" i="9"/>
  <c r="R47" i="12"/>
  <c r="S47" i="12"/>
  <c r="O48" i="11"/>
  <c r="N50" i="9"/>
  <c r="H49" i="12"/>
  <c r="S48" i="12"/>
  <c r="Z48" i="12"/>
  <c r="AA48" i="12"/>
  <c r="J51" i="11"/>
  <c r="J48" i="10"/>
  <c r="P47" i="10"/>
  <c r="Q47" i="10"/>
  <c r="U47" i="10"/>
  <c r="T47" i="10"/>
  <c r="O47" i="10"/>
  <c r="AJ51" i="11"/>
  <c r="E51" i="11" s="1"/>
  <c r="AH52" i="11"/>
  <c r="H49" i="8"/>
  <c r="S48" i="8"/>
  <c r="AA48" i="8"/>
  <c r="Z48" i="8"/>
  <c r="G49" i="8"/>
  <c r="M48" i="8"/>
  <c r="X48" i="8" s="1"/>
  <c r="L48" i="8"/>
  <c r="W48" i="8" s="1"/>
  <c r="AJ52" i="8"/>
  <c r="E52" i="8" s="1"/>
  <c r="AH53" i="8"/>
  <c r="N51" i="8"/>
  <c r="Q48" i="8"/>
  <c r="P48" i="8"/>
  <c r="U48" i="8"/>
  <c r="J49" i="8"/>
  <c r="T48" i="8"/>
  <c r="O48" i="8"/>
  <c r="AH53" i="7"/>
  <c r="AJ52" i="7"/>
  <c r="E52" i="7" s="1"/>
  <c r="N51" i="7"/>
  <c r="J50" i="7"/>
  <c r="H50" i="7"/>
  <c r="S48" i="6"/>
  <c r="R48" i="6"/>
  <c r="AA48" i="6"/>
  <c r="Z48" i="6"/>
  <c r="H49" i="6"/>
  <c r="T48" i="6"/>
  <c r="U48" i="6"/>
  <c r="G49" i="6"/>
  <c r="M48" i="6"/>
  <c r="X48" i="6" s="1"/>
  <c r="L48" i="6"/>
  <c r="W48" i="6" s="1"/>
  <c r="P48" i="6"/>
  <c r="Q48" i="6"/>
  <c r="O48" i="6"/>
  <c r="J50" i="6"/>
  <c r="AH52" i="6"/>
  <c r="AJ51" i="6"/>
  <c r="E51" i="6" s="1"/>
  <c r="N50" i="6"/>
  <c r="R47" i="4"/>
  <c r="L47" i="4"/>
  <c r="W47" i="4" s="1"/>
  <c r="M47" i="4"/>
  <c r="X47" i="4" s="1"/>
  <c r="Q47" i="4"/>
  <c r="G48" i="4"/>
  <c r="P47" i="4"/>
  <c r="AA47" i="4"/>
  <c r="Z47" i="4"/>
  <c r="U47" i="4"/>
  <c r="T47" i="4"/>
  <c r="O47" i="4"/>
  <c r="N50" i="4"/>
  <c r="H49" i="4"/>
  <c r="AJ51" i="4"/>
  <c r="E51" i="4" s="1"/>
  <c r="AH52" i="4"/>
  <c r="J51" i="4"/>
  <c r="N54" i="27" l="1"/>
  <c r="T54" i="27"/>
  <c r="O53" i="27"/>
  <c r="AA53" i="27"/>
  <c r="N53" i="28"/>
  <c r="T53" i="28"/>
  <c r="O52" i="28"/>
  <c r="AA52" i="28"/>
  <c r="N52" i="26"/>
  <c r="T52" i="26"/>
  <c r="O51" i="26"/>
  <c r="AA51" i="26"/>
  <c r="N52" i="25"/>
  <c r="T52" i="25"/>
  <c r="O51" i="25"/>
  <c r="AA51" i="25"/>
  <c r="N53" i="24"/>
  <c r="T53" i="24"/>
  <c r="O52" i="24"/>
  <c r="AA52" i="24"/>
  <c r="N53" i="23"/>
  <c r="T53" i="23"/>
  <c r="O52" i="23"/>
  <c r="AA52" i="23"/>
  <c r="N53" i="22"/>
  <c r="T53" i="22"/>
  <c r="O52" i="22"/>
  <c r="AA52" i="22"/>
  <c r="N53" i="21"/>
  <c r="T53" i="21"/>
  <c r="O52" i="21"/>
  <c r="AA52" i="21"/>
  <c r="L50" i="28"/>
  <c r="W50" i="28" s="1"/>
  <c r="J51" i="28"/>
  <c r="AJ54" i="28"/>
  <c r="E54" i="28" s="1"/>
  <c r="AH55" i="28"/>
  <c r="D52" i="28"/>
  <c r="S52" i="28" s="1"/>
  <c r="C52" i="28"/>
  <c r="R52" i="28" s="1"/>
  <c r="H53" i="28"/>
  <c r="H52" i="26"/>
  <c r="D51" i="26"/>
  <c r="S51" i="26" s="1"/>
  <c r="C51" i="26"/>
  <c r="R51" i="26" s="1"/>
  <c r="D51" i="27"/>
  <c r="S51" i="27" s="1"/>
  <c r="C51" i="27"/>
  <c r="R51" i="27" s="1"/>
  <c r="H52" i="27"/>
  <c r="D53" i="25"/>
  <c r="S53" i="25" s="1"/>
  <c r="C53" i="25"/>
  <c r="R53" i="25" s="1"/>
  <c r="H54" i="25"/>
  <c r="AJ54" i="24"/>
  <c r="E54" i="24" s="1"/>
  <c r="AH55" i="24"/>
  <c r="D51" i="24"/>
  <c r="S51" i="24" s="1"/>
  <c r="H52" i="24"/>
  <c r="C51" i="24"/>
  <c r="R51" i="24" s="1"/>
  <c r="J51" i="26"/>
  <c r="L50" i="26"/>
  <c r="W50" i="26" s="1"/>
  <c r="AJ53" i="26"/>
  <c r="E53" i="26" s="1"/>
  <c r="AH54" i="26"/>
  <c r="AH56" i="27"/>
  <c r="AJ55" i="27"/>
  <c r="E55" i="27" s="1"/>
  <c r="J52" i="25"/>
  <c r="L51" i="25"/>
  <c r="W51" i="25" s="1"/>
  <c r="AJ53" i="25"/>
  <c r="E53" i="25" s="1"/>
  <c r="AH54" i="25"/>
  <c r="J53" i="27"/>
  <c r="J51" i="24"/>
  <c r="L50" i="24"/>
  <c r="W50" i="24" s="1"/>
  <c r="AJ54" i="22"/>
  <c r="E54" i="22" s="1"/>
  <c r="AH55" i="22"/>
  <c r="H53" i="22"/>
  <c r="D52" i="22"/>
  <c r="S52" i="22" s="1"/>
  <c r="C52" i="22"/>
  <c r="R52" i="22" s="1"/>
  <c r="D50" i="23"/>
  <c r="S50" i="23" s="1"/>
  <c r="C50" i="23"/>
  <c r="R50" i="23" s="1"/>
  <c r="H51" i="23"/>
  <c r="AJ54" i="23"/>
  <c r="E54" i="23" s="1"/>
  <c r="AH55" i="23"/>
  <c r="L50" i="23"/>
  <c r="W50" i="23" s="1"/>
  <c r="J51" i="23"/>
  <c r="J51" i="22"/>
  <c r="L50" i="22"/>
  <c r="W50" i="22" s="1"/>
  <c r="J51" i="21"/>
  <c r="L50" i="21"/>
  <c r="W50" i="21" s="1"/>
  <c r="AJ54" i="21"/>
  <c r="E54" i="21" s="1"/>
  <c r="AH55" i="21"/>
  <c r="D51" i="21"/>
  <c r="S51" i="21" s="1"/>
  <c r="C51" i="21"/>
  <c r="R51" i="21" s="1"/>
  <c r="H52" i="21"/>
  <c r="H53" i="20"/>
  <c r="AJ54" i="20"/>
  <c r="E54" i="20" s="1"/>
  <c r="AH55" i="20"/>
  <c r="Q50" i="20"/>
  <c r="P50" i="20"/>
  <c r="J51" i="20"/>
  <c r="N53" i="20"/>
  <c r="G50" i="20"/>
  <c r="U50" i="20" s="1"/>
  <c r="M49" i="20"/>
  <c r="X49" i="20" s="1"/>
  <c r="L49" i="20"/>
  <c r="W49" i="20" s="1"/>
  <c r="D49" i="20"/>
  <c r="S49" i="20" s="1"/>
  <c r="C49" i="20"/>
  <c r="R49" i="20" s="1"/>
  <c r="AA49" i="20"/>
  <c r="Z49" i="20"/>
  <c r="O48" i="19"/>
  <c r="T48" i="19"/>
  <c r="P48" i="19"/>
  <c r="J50" i="19"/>
  <c r="L48" i="19"/>
  <c r="W48" i="19" s="1"/>
  <c r="G49" i="19"/>
  <c r="O49" i="19" s="1"/>
  <c r="M48" i="19"/>
  <c r="X48" i="19" s="1"/>
  <c r="AA48" i="19"/>
  <c r="C48" i="19"/>
  <c r="R48" i="19" s="1"/>
  <c r="H50" i="19"/>
  <c r="AJ55" i="19"/>
  <c r="E55" i="19" s="1"/>
  <c r="AH56" i="19"/>
  <c r="Z48" i="19"/>
  <c r="N54" i="19"/>
  <c r="D48" i="19"/>
  <c r="S48" i="19" s="1"/>
  <c r="AA47" i="7"/>
  <c r="G48" i="7"/>
  <c r="M47" i="7"/>
  <c r="X47" i="7" s="1"/>
  <c r="L47" i="7"/>
  <c r="W47" i="7" s="1"/>
  <c r="T47" i="7"/>
  <c r="U47" i="7"/>
  <c r="O47" i="7"/>
  <c r="D47" i="7"/>
  <c r="S47" i="7" s="1"/>
  <c r="Q47" i="7"/>
  <c r="C47" i="7"/>
  <c r="R47" i="7" s="1"/>
  <c r="P47" i="7"/>
  <c r="Z47" i="7"/>
  <c r="O48" i="16"/>
  <c r="Z48" i="14"/>
  <c r="D49" i="18"/>
  <c r="C49" i="18"/>
  <c r="U47" i="17"/>
  <c r="D47" i="17"/>
  <c r="C47" i="17"/>
  <c r="R47" i="17" s="1"/>
  <c r="D48" i="16"/>
  <c r="S48" i="16" s="1"/>
  <c r="C48" i="16"/>
  <c r="R48" i="16" s="1"/>
  <c r="C47" i="15"/>
  <c r="R47" i="15" s="1"/>
  <c r="D47" i="15"/>
  <c r="S47" i="15" s="1"/>
  <c r="C48" i="14"/>
  <c r="R48" i="14" s="1"/>
  <c r="D48" i="14"/>
  <c r="S48" i="14" s="1"/>
  <c r="C47" i="13"/>
  <c r="D47" i="13"/>
  <c r="D49" i="12"/>
  <c r="C49" i="12"/>
  <c r="D49" i="11"/>
  <c r="C49" i="11"/>
  <c r="D48" i="10"/>
  <c r="C48" i="10"/>
  <c r="C48" i="9"/>
  <c r="D48" i="9"/>
  <c r="D49" i="8"/>
  <c r="S49" i="8" s="1"/>
  <c r="C49" i="8"/>
  <c r="O49" i="6"/>
  <c r="D49" i="6"/>
  <c r="C49" i="6"/>
  <c r="D48" i="4"/>
  <c r="C48" i="4"/>
  <c r="P49" i="1"/>
  <c r="U49" i="1"/>
  <c r="AA49" i="1"/>
  <c r="Z49" i="1"/>
  <c r="Q49" i="1"/>
  <c r="T49" i="1"/>
  <c r="O49" i="1"/>
  <c r="G50" i="1"/>
  <c r="M49" i="1"/>
  <c r="X49" i="1" s="1"/>
  <c r="D49" i="1"/>
  <c r="S49" i="1" s="1"/>
  <c r="C49" i="1"/>
  <c r="R49" i="1" s="1"/>
  <c r="L49" i="1"/>
  <c r="W49" i="1" s="1"/>
  <c r="O49" i="11"/>
  <c r="T49" i="6"/>
  <c r="P49" i="6"/>
  <c r="R48" i="12"/>
  <c r="G50" i="18"/>
  <c r="M49" i="18"/>
  <c r="X49" i="18" s="1"/>
  <c r="L49" i="18"/>
  <c r="W49" i="18" s="1"/>
  <c r="N51" i="18"/>
  <c r="AJ52" i="18"/>
  <c r="E52" i="18" s="1"/>
  <c r="AH53" i="18"/>
  <c r="Q49" i="18"/>
  <c r="P49" i="18"/>
  <c r="J50" i="18"/>
  <c r="U49" i="18"/>
  <c r="T49" i="18"/>
  <c r="S49" i="18"/>
  <c r="R49" i="18"/>
  <c r="AA49" i="18"/>
  <c r="Z49" i="18"/>
  <c r="H50" i="18"/>
  <c r="O49" i="18"/>
  <c r="H50" i="17"/>
  <c r="T47" i="17"/>
  <c r="G48" i="17"/>
  <c r="P48" i="17" s="1"/>
  <c r="M47" i="17"/>
  <c r="X47" i="17" s="1"/>
  <c r="L47" i="17"/>
  <c r="W47" i="17" s="1"/>
  <c r="AA47" i="17"/>
  <c r="Z47" i="17"/>
  <c r="S47" i="17"/>
  <c r="P47" i="17"/>
  <c r="AJ53" i="17"/>
  <c r="E53" i="17" s="1"/>
  <c r="AH54" i="17"/>
  <c r="Q47" i="17"/>
  <c r="N52" i="17"/>
  <c r="J49" i="17"/>
  <c r="Q48" i="17"/>
  <c r="U48" i="17"/>
  <c r="O48" i="17"/>
  <c r="AJ51" i="16"/>
  <c r="E51" i="16" s="1"/>
  <c r="AH52" i="16"/>
  <c r="N51" i="14"/>
  <c r="J50" i="15"/>
  <c r="Z48" i="16"/>
  <c r="AJ52" i="14"/>
  <c r="E52" i="14" s="1"/>
  <c r="AH53" i="14"/>
  <c r="AJ53" i="13"/>
  <c r="E53" i="13" s="1"/>
  <c r="AH54" i="13"/>
  <c r="H50" i="15"/>
  <c r="AA48" i="16"/>
  <c r="N52" i="13"/>
  <c r="H50" i="14"/>
  <c r="AJ52" i="15"/>
  <c r="E52" i="15" s="1"/>
  <c r="AH53" i="15"/>
  <c r="H50" i="16"/>
  <c r="N51" i="15"/>
  <c r="M47" i="13"/>
  <c r="X47" i="13" s="1"/>
  <c r="L47" i="13"/>
  <c r="W47" i="13" s="1"/>
  <c r="G48" i="13"/>
  <c r="O47" i="13"/>
  <c r="Q47" i="13"/>
  <c r="P47" i="13"/>
  <c r="U47" i="13"/>
  <c r="T47" i="13"/>
  <c r="AA47" i="13"/>
  <c r="Z47" i="13"/>
  <c r="S47" i="13"/>
  <c r="R47" i="13"/>
  <c r="Q48" i="16"/>
  <c r="P48" i="16"/>
  <c r="J49" i="16"/>
  <c r="U48" i="16"/>
  <c r="T48" i="16"/>
  <c r="M48" i="14"/>
  <c r="X48" i="14" s="1"/>
  <c r="G49" i="14"/>
  <c r="L48" i="14"/>
  <c r="W48" i="14" s="1"/>
  <c r="G48" i="15"/>
  <c r="M47" i="15"/>
  <c r="X47" i="15" s="1"/>
  <c r="L47" i="15"/>
  <c r="W47" i="15" s="1"/>
  <c r="O47" i="15"/>
  <c r="Q47" i="15"/>
  <c r="P47" i="15"/>
  <c r="U47" i="15"/>
  <c r="T47" i="15"/>
  <c r="AA47" i="15"/>
  <c r="Z47" i="15"/>
  <c r="J49" i="14"/>
  <c r="Q48" i="14"/>
  <c r="P48" i="14"/>
  <c r="U48" i="14"/>
  <c r="T48" i="14"/>
  <c r="O48" i="14"/>
  <c r="N50" i="16"/>
  <c r="G49" i="16"/>
  <c r="M48" i="16"/>
  <c r="X48" i="16" s="1"/>
  <c r="L48" i="16"/>
  <c r="W48" i="16" s="1"/>
  <c r="H50" i="13"/>
  <c r="J51" i="13"/>
  <c r="AA49" i="11"/>
  <c r="Z49" i="11"/>
  <c r="H50" i="11"/>
  <c r="S49" i="11"/>
  <c r="R49" i="11"/>
  <c r="Q49" i="11"/>
  <c r="P49" i="11"/>
  <c r="U49" i="11"/>
  <c r="T49" i="11"/>
  <c r="N51" i="11"/>
  <c r="G50" i="12"/>
  <c r="M49" i="12"/>
  <c r="X49" i="12" s="1"/>
  <c r="H51" i="9"/>
  <c r="AA48" i="10"/>
  <c r="Z48" i="10"/>
  <c r="H49" i="10"/>
  <c r="S48" i="10"/>
  <c r="R48" i="10"/>
  <c r="M48" i="10"/>
  <c r="X48" i="10" s="1"/>
  <c r="L48" i="10"/>
  <c r="W48" i="10" s="1"/>
  <c r="G49" i="10"/>
  <c r="N51" i="9"/>
  <c r="J49" i="9"/>
  <c r="Q48" i="9"/>
  <c r="P48" i="9"/>
  <c r="U48" i="9"/>
  <c r="T48" i="9"/>
  <c r="O48" i="9"/>
  <c r="AA49" i="12"/>
  <c r="Z49" i="12"/>
  <c r="H50" i="12"/>
  <c r="M49" i="11"/>
  <c r="X49" i="11" s="1"/>
  <c r="L49" i="11"/>
  <c r="W49" i="11" s="1"/>
  <c r="G50" i="11"/>
  <c r="M48" i="9"/>
  <c r="X48" i="9" s="1"/>
  <c r="L48" i="9"/>
  <c r="W48" i="9" s="1"/>
  <c r="G49" i="9"/>
  <c r="AA48" i="9"/>
  <c r="Z48" i="9"/>
  <c r="S48" i="9"/>
  <c r="R48" i="9"/>
  <c r="Q48" i="12"/>
  <c r="P48" i="12"/>
  <c r="J49" i="12"/>
  <c r="U48" i="12"/>
  <c r="T48" i="12"/>
  <c r="O48" i="12"/>
  <c r="AJ52" i="10"/>
  <c r="E52" i="10" s="1"/>
  <c r="AH53" i="10"/>
  <c r="N51" i="12"/>
  <c r="J52" i="11"/>
  <c r="O50" i="11"/>
  <c r="N51" i="10"/>
  <c r="J49" i="10"/>
  <c r="Q48" i="10"/>
  <c r="P48" i="10"/>
  <c r="U48" i="10"/>
  <c r="T48" i="10"/>
  <c r="O48" i="10"/>
  <c r="AJ52" i="11"/>
  <c r="E52" i="11" s="1"/>
  <c r="AH53" i="11"/>
  <c r="AJ52" i="12"/>
  <c r="E52" i="12" s="1"/>
  <c r="AH53" i="12"/>
  <c r="AH53" i="9"/>
  <c r="AJ52" i="9"/>
  <c r="E52" i="9" s="1"/>
  <c r="G50" i="8"/>
  <c r="M49" i="8"/>
  <c r="X49" i="8" s="1"/>
  <c r="L49" i="8"/>
  <c r="W49" i="8" s="1"/>
  <c r="AJ53" i="8"/>
  <c r="E53" i="8" s="1"/>
  <c r="AH54" i="8"/>
  <c r="Q49" i="8"/>
  <c r="P49" i="8"/>
  <c r="J50" i="8"/>
  <c r="U49" i="8"/>
  <c r="T49" i="8"/>
  <c r="O49" i="8"/>
  <c r="N52" i="8"/>
  <c r="R49" i="8"/>
  <c r="AA49" i="8"/>
  <c r="Z49" i="8"/>
  <c r="H50" i="8"/>
  <c r="N52" i="7"/>
  <c r="AJ53" i="7"/>
  <c r="E53" i="7" s="1"/>
  <c r="AH54" i="7"/>
  <c r="J51" i="7"/>
  <c r="H51" i="7"/>
  <c r="N51" i="6"/>
  <c r="AJ52" i="6"/>
  <c r="E52" i="6" s="1"/>
  <c r="AH53" i="6"/>
  <c r="G50" i="6"/>
  <c r="M49" i="6"/>
  <c r="X49" i="6" s="1"/>
  <c r="L49" i="6"/>
  <c r="W49" i="6" s="1"/>
  <c r="J51" i="6"/>
  <c r="S49" i="6"/>
  <c r="R49" i="6"/>
  <c r="AA49" i="6"/>
  <c r="Z49" i="6"/>
  <c r="H50" i="6"/>
  <c r="Q49" i="6"/>
  <c r="U49" i="6"/>
  <c r="O50" i="6"/>
  <c r="N51" i="4"/>
  <c r="M48" i="4"/>
  <c r="X48" i="4" s="1"/>
  <c r="Q48" i="4"/>
  <c r="G49" i="4"/>
  <c r="P48" i="4"/>
  <c r="U48" i="4"/>
  <c r="AA48" i="4"/>
  <c r="Z48" i="4"/>
  <c r="T48" i="4"/>
  <c r="O48" i="4"/>
  <c r="L48" i="4"/>
  <c r="W48" i="4" s="1"/>
  <c r="R48" i="4"/>
  <c r="S48" i="4"/>
  <c r="J52" i="4"/>
  <c r="AJ52" i="4"/>
  <c r="E52" i="4" s="1"/>
  <c r="AH53" i="4"/>
  <c r="H50" i="4"/>
  <c r="L49" i="4"/>
  <c r="W49" i="4" s="1"/>
  <c r="N55" i="27" l="1"/>
  <c r="T55" i="27"/>
  <c r="O54" i="27"/>
  <c r="AA54" i="27"/>
  <c r="N54" i="28"/>
  <c r="T54" i="28"/>
  <c r="O53" i="28"/>
  <c r="AA53" i="28"/>
  <c r="N53" i="26"/>
  <c r="T53" i="26"/>
  <c r="O52" i="26"/>
  <c r="AA52" i="26"/>
  <c r="N53" i="25"/>
  <c r="T53" i="25"/>
  <c r="O52" i="25"/>
  <c r="AA52" i="25"/>
  <c r="N54" i="24"/>
  <c r="T54" i="24"/>
  <c r="O53" i="24"/>
  <c r="AA53" i="24"/>
  <c r="N54" i="23"/>
  <c r="T54" i="23"/>
  <c r="O53" i="23"/>
  <c r="AA53" i="23"/>
  <c r="N54" i="22"/>
  <c r="T54" i="22"/>
  <c r="O53" i="22"/>
  <c r="AA53" i="22"/>
  <c r="N54" i="21"/>
  <c r="T54" i="21"/>
  <c r="O53" i="21"/>
  <c r="AA53" i="21"/>
  <c r="T50" i="20"/>
  <c r="D53" i="28"/>
  <c r="S53" i="28" s="1"/>
  <c r="C53" i="28"/>
  <c r="R53" i="28" s="1"/>
  <c r="H54" i="28"/>
  <c r="AH56" i="28"/>
  <c r="AJ55" i="28"/>
  <c r="E55" i="28" s="1"/>
  <c r="J52" i="28"/>
  <c r="L51" i="28"/>
  <c r="W51" i="28" s="1"/>
  <c r="AJ54" i="25"/>
  <c r="E54" i="25" s="1"/>
  <c r="AH55" i="25"/>
  <c r="L52" i="25"/>
  <c r="W52" i="25" s="1"/>
  <c r="J53" i="25"/>
  <c r="D54" i="25"/>
  <c r="S54" i="25" s="1"/>
  <c r="C54" i="25"/>
  <c r="R54" i="25" s="1"/>
  <c r="H55" i="25"/>
  <c r="AJ55" i="24"/>
  <c r="E55" i="24" s="1"/>
  <c r="AH56" i="24"/>
  <c r="AH57" i="27"/>
  <c r="AJ56" i="27"/>
  <c r="E56" i="27" s="1"/>
  <c r="AJ54" i="26"/>
  <c r="E54" i="26" s="1"/>
  <c r="AH55" i="26"/>
  <c r="D52" i="27"/>
  <c r="S52" i="27" s="1"/>
  <c r="C52" i="27"/>
  <c r="R52" i="27" s="1"/>
  <c r="H53" i="27"/>
  <c r="L51" i="24"/>
  <c r="W51" i="24" s="1"/>
  <c r="J52" i="24"/>
  <c r="J52" i="26"/>
  <c r="L51" i="26"/>
  <c r="W51" i="26" s="1"/>
  <c r="L52" i="27"/>
  <c r="W52" i="27" s="1"/>
  <c r="L53" i="27"/>
  <c r="W53" i="27" s="1"/>
  <c r="J54" i="27"/>
  <c r="D52" i="24"/>
  <c r="S52" i="24" s="1"/>
  <c r="C52" i="24"/>
  <c r="R52" i="24" s="1"/>
  <c r="H53" i="24"/>
  <c r="D52" i="26"/>
  <c r="S52" i="26" s="1"/>
  <c r="C52" i="26"/>
  <c r="R52" i="26" s="1"/>
  <c r="H53" i="26"/>
  <c r="AH56" i="23"/>
  <c r="AJ55" i="23"/>
  <c r="E55" i="23" s="1"/>
  <c r="D51" i="23"/>
  <c r="S51" i="23" s="1"/>
  <c r="C51" i="23"/>
  <c r="R51" i="23" s="1"/>
  <c r="H52" i="23"/>
  <c r="J52" i="23"/>
  <c r="L51" i="23"/>
  <c r="W51" i="23" s="1"/>
  <c r="H54" i="22"/>
  <c r="D53" i="22"/>
  <c r="S53" i="22" s="1"/>
  <c r="C53" i="22"/>
  <c r="R53" i="22" s="1"/>
  <c r="AJ55" i="22"/>
  <c r="E55" i="22" s="1"/>
  <c r="AH56" i="22"/>
  <c r="J52" i="22"/>
  <c r="L51" i="22"/>
  <c r="W51" i="22" s="1"/>
  <c r="D52" i="21"/>
  <c r="S52" i="21" s="1"/>
  <c r="C52" i="21"/>
  <c r="R52" i="21" s="1"/>
  <c r="H53" i="21"/>
  <c r="AH56" i="21"/>
  <c r="AJ55" i="21"/>
  <c r="E55" i="21" s="1"/>
  <c r="J52" i="21"/>
  <c r="L51" i="21"/>
  <c r="W51" i="21" s="1"/>
  <c r="J52" i="20"/>
  <c r="N54" i="20"/>
  <c r="L50" i="20"/>
  <c r="W50" i="20" s="1"/>
  <c r="M50" i="20"/>
  <c r="X50" i="20" s="1"/>
  <c r="G51" i="20"/>
  <c r="D50" i="20"/>
  <c r="S50" i="20" s="1"/>
  <c r="C50" i="20"/>
  <c r="R50" i="20" s="1"/>
  <c r="Z50" i="20"/>
  <c r="AA50" i="20"/>
  <c r="H54" i="20"/>
  <c r="AH56" i="20"/>
  <c r="AJ55" i="20"/>
  <c r="E55" i="20" s="1"/>
  <c r="O50" i="20"/>
  <c r="M49" i="19"/>
  <c r="X49" i="19" s="1"/>
  <c r="G50" i="19"/>
  <c r="L49" i="19"/>
  <c r="W49" i="19" s="1"/>
  <c r="AJ56" i="19"/>
  <c r="E56" i="19" s="1"/>
  <c r="AH57" i="19"/>
  <c r="N55" i="19"/>
  <c r="T49" i="19"/>
  <c r="Z49" i="19"/>
  <c r="Q49" i="19"/>
  <c r="D49" i="19"/>
  <c r="S49" i="19" s="1"/>
  <c r="U49" i="19"/>
  <c r="D50" i="19"/>
  <c r="S50" i="19" s="1"/>
  <c r="Z50" i="19"/>
  <c r="H51" i="19"/>
  <c r="C50" i="19"/>
  <c r="R50" i="19" s="1"/>
  <c r="AA50" i="19"/>
  <c r="Q50" i="19"/>
  <c r="U50" i="19"/>
  <c r="P50" i="19"/>
  <c r="J51" i="19"/>
  <c r="T50" i="19"/>
  <c r="O50" i="19"/>
  <c r="AA49" i="19"/>
  <c r="P49" i="19"/>
  <c r="C49" i="19"/>
  <c r="R49" i="19" s="1"/>
  <c r="AA48" i="7"/>
  <c r="O48" i="7"/>
  <c r="G49" i="7"/>
  <c r="T48" i="7"/>
  <c r="M48" i="7"/>
  <c r="X48" i="7" s="1"/>
  <c r="P48" i="7"/>
  <c r="L48" i="7"/>
  <c r="W48" i="7" s="1"/>
  <c r="U48" i="7"/>
  <c r="D48" i="7"/>
  <c r="S48" i="7" s="1"/>
  <c r="C48" i="7"/>
  <c r="R48" i="7" s="1"/>
  <c r="Z48" i="7"/>
  <c r="Q48" i="7"/>
  <c r="D50" i="18"/>
  <c r="C50" i="18"/>
  <c r="D48" i="17"/>
  <c r="C48" i="17"/>
  <c r="Z49" i="16"/>
  <c r="D49" i="16"/>
  <c r="C49" i="16"/>
  <c r="D48" i="15"/>
  <c r="C48" i="15"/>
  <c r="R48" i="15" s="1"/>
  <c r="AA49" i="14"/>
  <c r="D49" i="14"/>
  <c r="S49" i="14" s="1"/>
  <c r="C49" i="14"/>
  <c r="R49" i="14" s="1"/>
  <c r="D48" i="13"/>
  <c r="C48" i="13"/>
  <c r="D50" i="12"/>
  <c r="C50" i="12"/>
  <c r="D50" i="11"/>
  <c r="C50" i="11"/>
  <c r="D49" i="10"/>
  <c r="C49" i="10"/>
  <c r="D49" i="9"/>
  <c r="C49" i="9"/>
  <c r="D50" i="8"/>
  <c r="C50" i="8"/>
  <c r="U50" i="6"/>
  <c r="D50" i="6"/>
  <c r="C50" i="6"/>
  <c r="D49" i="4"/>
  <c r="S49" i="4" s="1"/>
  <c r="C49" i="4"/>
  <c r="R49" i="4" s="1"/>
  <c r="U50" i="1"/>
  <c r="P50" i="1"/>
  <c r="AA50" i="1"/>
  <c r="Q50" i="1"/>
  <c r="Z50" i="1"/>
  <c r="G51" i="1"/>
  <c r="T50" i="1"/>
  <c r="O50" i="1"/>
  <c r="D50" i="1"/>
  <c r="S50" i="1" s="1"/>
  <c r="C50" i="1"/>
  <c r="R50" i="1" s="1"/>
  <c r="L50" i="1"/>
  <c r="W50" i="1" s="1"/>
  <c r="M50" i="1"/>
  <c r="X50" i="1" s="1"/>
  <c r="R49" i="16"/>
  <c r="O49" i="16"/>
  <c r="P50" i="6"/>
  <c r="Q50" i="6"/>
  <c r="P50" i="18"/>
  <c r="U50" i="18"/>
  <c r="Q50" i="18"/>
  <c r="J51" i="18"/>
  <c r="T50" i="18"/>
  <c r="AJ53" i="18"/>
  <c r="E53" i="18" s="1"/>
  <c r="AH54" i="18"/>
  <c r="N52" i="18"/>
  <c r="R50" i="18"/>
  <c r="AA50" i="18"/>
  <c r="Z50" i="18"/>
  <c r="H51" i="18"/>
  <c r="S50" i="18"/>
  <c r="O50" i="18"/>
  <c r="M50" i="18"/>
  <c r="X50" i="18" s="1"/>
  <c r="L50" i="18"/>
  <c r="W50" i="18" s="1"/>
  <c r="G51" i="18"/>
  <c r="J50" i="17"/>
  <c r="G49" i="17"/>
  <c r="M48" i="17"/>
  <c r="X48" i="17" s="1"/>
  <c r="L48" i="17"/>
  <c r="W48" i="17" s="1"/>
  <c r="AA48" i="17"/>
  <c r="Z48" i="17"/>
  <c r="S48" i="17"/>
  <c r="R48" i="17"/>
  <c r="AJ54" i="17"/>
  <c r="E54" i="17" s="1"/>
  <c r="AH55" i="17"/>
  <c r="N53" i="17"/>
  <c r="H51" i="17"/>
  <c r="T48" i="17"/>
  <c r="P49" i="16"/>
  <c r="J50" i="16"/>
  <c r="Q49" i="16"/>
  <c r="U49" i="16"/>
  <c r="T49" i="16"/>
  <c r="J52" i="13"/>
  <c r="M48" i="13"/>
  <c r="X48" i="13" s="1"/>
  <c r="L48" i="13"/>
  <c r="W48" i="13" s="1"/>
  <c r="G49" i="13"/>
  <c r="Q48" i="13"/>
  <c r="O48" i="13"/>
  <c r="P48" i="13"/>
  <c r="U48" i="13"/>
  <c r="T48" i="13"/>
  <c r="Z48" i="13"/>
  <c r="S48" i="13"/>
  <c r="R48" i="13"/>
  <c r="AA48" i="13"/>
  <c r="AJ53" i="15"/>
  <c r="E53" i="15" s="1"/>
  <c r="AH54" i="15"/>
  <c r="H51" i="15"/>
  <c r="N52" i="15"/>
  <c r="J51" i="15"/>
  <c r="H51" i="14"/>
  <c r="H51" i="13"/>
  <c r="Q49" i="14"/>
  <c r="P49" i="14"/>
  <c r="J50" i="14"/>
  <c r="U49" i="14"/>
  <c r="T49" i="14"/>
  <c r="O49" i="14"/>
  <c r="G49" i="15"/>
  <c r="M48" i="15"/>
  <c r="X48" i="15" s="1"/>
  <c r="L48" i="15"/>
  <c r="W48" i="15" s="1"/>
  <c r="O48" i="15"/>
  <c r="Z48" i="15"/>
  <c r="U48" i="15"/>
  <c r="Q48" i="15"/>
  <c r="P48" i="15"/>
  <c r="S48" i="15"/>
  <c r="T48" i="15"/>
  <c r="AA48" i="15"/>
  <c r="Z49" i="14"/>
  <c r="AJ54" i="13"/>
  <c r="E54" i="13" s="1"/>
  <c r="AH55" i="13"/>
  <c r="S49" i="16"/>
  <c r="N53" i="13"/>
  <c r="AJ52" i="16"/>
  <c r="E52" i="16" s="1"/>
  <c r="AH53" i="16"/>
  <c r="M49" i="14"/>
  <c r="X49" i="14" s="1"/>
  <c r="L49" i="14"/>
  <c r="W49" i="14" s="1"/>
  <c r="G50" i="14"/>
  <c r="H51" i="16"/>
  <c r="AJ53" i="14"/>
  <c r="E53" i="14" s="1"/>
  <c r="AH54" i="14"/>
  <c r="N51" i="16"/>
  <c r="N52" i="14"/>
  <c r="G50" i="16"/>
  <c r="M49" i="16"/>
  <c r="X49" i="16" s="1"/>
  <c r="L49" i="16"/>
  <c r="W49" i="16" s="1"/>
  <c r="AA49" i="16"/>
  <c r="J50" i="10"/>
  <c r="Q49" i="10"/>
  <c r="P49" i="10"/>
  <c r="U49" i="10"/>
  <c r="T49" i="10"/>
  <c r="O49" i="10"/>
  <c r="N52" i="10"/>
  <c r="AH54" i="9"/>
  <c r="AJ53" i="9"/>
  <c r="E53" i="9" s="1"/>
  <c r="M50" i="11"/>
  <c r="X50" i="11" s="1"/>
  <c r="L50" i="11"/>
  <c r="W50" i="11" s="1"/>
  <c r="G51" i="11"/>
  <c r="N52" i="9"/>
  <c r="AJ53" i="12"/>
  <c r="E53" i="12" s="1"/>
  <c r="AH54" i="12"/>
  <c r="J50" i="9"/>
  <c r="Q49" i="9"/>
  <c r="P49" i="9"/>
  <c r="U49" i="9"/>
  <c r="T49" i="9"/>
  <c r="O49" i="9"/>
  <c r="Q49" i="12"/>
  <c r="P49" i="12"/>
  <c r="J50" i="12"/>
  <c r="L50" i="12" s="1"/>
  <c r="W50" i="12" s="1"/>
  <c r="U49" i="12"/>
  <c r="T49" i="12"/>
  <c r="O49" i="12"/>
  <c r="N52" i="12"/>
  <c r="AJ53" i="11"/>
  <c r="E53" i="11" s="1"/>
  <c r="AH54" i="11"/>
  <c r="AA50" i="12"/>
  <c r="Z50" i="12"/>
  <c r="H51" i="12"/>
  <c r="H52" i="9"/>
  <c r="N52" i="11"/>
  <c r="L49" i="10"/>
  <c r="W49" i="10" s="1"/>
  <c r="G50" i="10"/>
  <c r="M49" i="10"/>
  <c r="X49" i="10" s="1"/>
  <c r="AA50" i="11"/>
  <c r="Z50" i="11"/>
  <c r="H51" i="11"/>
  <c r="S50" i="11"/>
  <c r="R50" i="11"/>
  <c r="T50" i="11"/>
  <c r="Q50" i="11"/>
  <c r="P50" i="11"/>
  <c r="U50" i="11"/>
  <c r="M49" i="9"/>
  <c r="X49" i="9" s="1"/>
  <c r="L49" i="9"/>
  <c r="W49" i="9" s="1"/>
  <c r="G50" i="9"/>
  <c r="S49" i="9"/>
  <c r="R49" i="9"/>
  <c r="AA49" i="9"/>
  <c r="Z49" i="9"/>
  <c r="J53" i="11"/>
  <c r="R49" i="12"/>
  <c r="L49" i="12"/>
  <c r="W49" i="12" s="1"/>
  <c r="Z49" i="10"/>
  <c r="H50" i="10"/>
  <c r="S49" i="10"/>
  <c r="R49" i="10"/>
  <c r="AA49" i="10"/>
  <c r="S49" i="12"/>
  <c r="AJ53" i="10"/>
  <c r="E53" i="10" s="1"/>
  <c r="AH54" i="10"/>
  <c r="M50" i="12"/>
  <c r="X50" i="12" s="1"/>
  <c r="G51" i="12"/>
  <c r="Q50" i="8"/>
  <c r="P50" i="8"/>
  <c r="J51" i="8"/>
  <c r="U50" i="8"/>
  <c r="T50" i="8"/>
  <c r="O50" i="8"/>
  <c r="S50" i="8"/>
  <c r="R50" i="8"/>
  <c r="Z50" i="8"/>
  <c r="H51" i="8"/>
  <c r="AA50" i="8"/>
  <c r="AJ54" i="8"/>
  <c r="E54" i="8" s="1"/>
  <c r="AH55" i="8"/>
  <c r="N53" i="8"/>
  <c r="L50" i="8"/>
  <c r="W50" i="8" s="1"/>
  <c r="M50" i="8"/>
  <c r="X50" i="8" s="1"/>
  <c r="G51" i="8"/>
  <c r="J52" i="7"/>
  <c r="AJ54" i="7"/>
  <c r="E54" i="7" s="1"/>
  <c r="AH55" i="7"/>
  <c r="N53" i="7"/>
  <c r="H52" i="7"/>
  <c r="J52" i="6"/>
  <c r="M50" i="6"/>
  <c r="X50" i="6" s="1"/>
  <c r="L50" i="6"/>
  <c r="W50" i="6" s="1"/>
  <c r="G51" i="6"/>
  <c r="R50" i="6"/>
  <c r="AA50" i="6"/>
  <c r="Z50" i="6"/>
  <c r="H51" i="6"/>
  <c r="S50" i="6"/>
  <c r="T50" i="6"/>
  <c r="AJ53" i="6"/>
  <c r="E53" i="6" s="1"/>
  <c r="AH54" i="6"/>
  <c r="N52" i="6"/>
  <c r="N52" i="4"/>
  <c r="M49" i="4"/>
  <c r="X49" i="4" s="1"/>
  <c r="Q49" i="4"/>
  <c r="G50" i="4"/>
  <c r="P49" i="4"/>
  <c r="AA49" i="4"/>
  <c r="Z49" i="4"/>
  <c r="U49" i="4"/>
  <c r="T49" i="4"/>
  <c r="O49" i="4"/>
  <c r="H51" i="4"/>
  <c r="AJ53" i="4"/>
  <c r="E53" i="4" s="1"/>
  <c r="AH54" i="4"/>
  <c r="J53" i="4"/>
  <c r="N56" i="27" l="1"/>
  <c r="T56" i="27"/>
  <c r="O55" i="27"/>
  <c r="AA55" i="27"/>
  <c r="N55" i="28"/>
  <c r="T55" i="28"/>
  <c r="O54" i="28"/>
  <c r="AA54" i="28"/>
  <c r="N54" i="26"/>
  <c r="T54" i="26"/>
  <c r="O53" i="26"/>
  <c r="AA53" i="26"/>
  <c r="N54" i="25"/>
  <c r="T54" i="25"/>
  <c r="O53" i="25"/>
  <c r="AA53" i="25"/>
  <c r="N55" i="24"/>
  <c r="T55" i="24"/>
  <c r="O54" i="24"/>
  <c r="AA54" i="24"/>
  <c r="N55" i="23"/>
  <c r="T55" i="23"/>
  <c r="O54" i="23"/>
  <c r="AA54" i="23"/>
  <c r="N55" i="22"/>
  <c r="T55" i="22"/>
  <c r="O54" i="22"/>
  <c r="AA54" i="22"/>
  <c r="N55" i="21"/>
  <c r="T55" i="21"/>
  <c r="O54" i="21"/>
  <c r="AA54" i="21"/>
  <c r="J53" i="28"/>
  <c r="L52" i="28"/>
  <c r="W52" i="28" s="1"/>
  <c r="AJ56" i="28"/>
  <c r="E56" i="28" s="1"/>
  <c r="AH57" i="28"/>
  <c r="C54" i="28"/>
  <c r="R54" i="28" s="1"/>
  <c r="H55" i="28"/>
  <c r="D54" i="28"/>
  <c r="S54" i="28" s="1"/>
  <c r="AJ57" i="27"/>
  <c r="E57" i="27" s="1"/>
  <c r="AH58" i="27"/>
  <c r="AJ56" i="24"/>
  <c r="E56" i="24" s="1"/>
  <c r="AH57" i="24"/>
  <c r="L52" i="26"/>
  <c r="W52" i="26" s="1"/>
  <c r="J53" i="26"/>
  <c r="D55" i="25"/>
  <c r="S55" i="25" s="1"/>
  <c r="C55" i="25"/>
  <c r="R55" i="25" s="1"/>
  <c r="H56" i="25"/>
  <c r="J55" i="27"/>
  <c r="L54" i="27"/>
  <c r="W54" i="27" s="1"/>
  <c r="J53" i="24"/>
  <c r="L52" i="24"/>
  <c r="W52" i="24" s="1"/>
  <c r="D53" i="26"/>
  <c r="S53" i="26" s="1"/>
  <c r="C53" i="26"/>
  <c r="R53" i="26" s="1"/>
  <c r="H54" i="26"/>
  <c r="D53" i="27"/>
  <c r="S53" i="27" s="1"/>
  <c r="C53" i="27"/>
  <c r="R53" i="27" s="1"/>
  <c r="H54" i="27"/>
  <c r="L53" i="25"/>
  <c r="W53" i="25" s="1"/>
  <c r="J54" i="25"/>
  <c r="D53" i="24"/>
  <c r="S53" i="24" s="1"/>
  <c r="C53" i="24"/>
  <c r="R53" i="24" s="1"/>
  <c r="H54" i="24"/>
  <c r="AJ55" i="25"/>
  <c r="E55" i="25" s="1"/>
  <c r="AH56" i="25"/>
  <c r="AJ55" i="26"/>
  <c r="E55" i="26" s="1"/>
  <c r="AH56" i="26"/>
  <c r="AJ56" i="22"/>
  <c r="E56" i="22" s="1"/>
  <c r="AH57" i="22"/>
  <c r="H55" i="22"/>
  <c r="D54" i="22"/>
  <c r="S54" i="22" s="1"/>
  <c r="C54" i="22"/>
  <c r="R54" i="22" s="1"/>
  <c r="L52" i="23"/>
  <c r="W52" i="23" s="1"/>
  <c r="J53" i="23"/>
  <c r="D52" i="23"/>
  <c r="S52" i="23" s="1"/>
  <c r="C52" i="23"/>
  <c r="R52" i="23" s="1"/>
  <c r="H53" i="23"/>
  <c r="J53" i="22"/>
  <c r="L52" i="22"/>
  <c r="W52" i="22" s="1"/>
  <c r="AJ56" i="23"/>
  <c r="E56" i="23" s="1"/>
  <c r="AH57" i="23"/>
  <c r="J53" i="21"/>
  <c r="L52" i="21"/>
  <c r="W52" i="21" s="1"/>
  <c r="AJ56" i="21"/>
  <c r="E56" i="21" s="1"/>
  <c r="AH57" i="21"/>
  <c r="D53" i="21"/>
  <c r="S53" i="21" s="1"/>
  <c r="C53" i="21"/>
  <c r="R53" i="21" s="1"/>
  <c r="H54" i="21"/>
  <c r="M51" i="20"/>
  <c r="X51" i="20" s="1"/>
  <c r="L51" i="20"/>
  <c r="W51" i="20" s="1"/>
  <c r="G52" i="20"/>
  <c r="Q52" i="20" s="1"/>
  <c r="C51" i="20"/>
  <c r="R51" i="20" s="1"/>
  <c r="AA51" i="20"/>
  <c r="D51" i="20"/>
  <c r="S51" i="20" s="1"/>
  <c r="Z51" i="20"/>
  <c r="AJ56" i="20"/>
  <c r="E56" i="20" s="1"/>
  <c r="AH57" i="20"/>
  <c r="N55" i="20"/>
  <c r="H55" i="20"/>
  <c r="O51" i="20"/>
  <c r="T51" i="20"/>
  <c r="Q51" i="20"/>
  <c r="U51" i="20"/>
  <c r="U52" i="20"/>
  <c r="J53" i="20"/>
  <c r="T52" i="20"/>
  <c r="P51" i="20"/>
  <c r="J52" i="19"/>
  <c r="AH58" i="19"/>
  <c r="AJ57" i="19"/>
  <c r="E57" i="19" s="1"/>
  <c r="N56" i="19"/>
  <c r="H52" i="19"/>
  <c r="L50" i="19"/>
  <c r="W50" i="19" s="1"/>
  <c r="G51" i="19"/>
  <c r="D51" i="19" s="1"/>
  <c r="S51" i="19" s="1"/>
  <c r="M50" i="19"/>
  <c r="X50" i="19" s="1"/>
  <c r="Z49" i="7"/>
  <c r="T49" i="7"/>
  <c r="D49" i="7"/>
  <c r="S49" i="7" s="1"/>
  <c r="AA49" i="7"/>
  <c r="C49" i="7"/>
  <c r="R49" i="7" s="1"/>
  <c r="Q49" i="7"/>
  <c r="G50" i="7"/>
  <c r="L49" i="7"/>
  <c r="W49" i="7" s="1"/>
  <c r="M49" i="7"/>
  <c r="X49" i="7" s="1"/>
  <c r="U49" i="7"/>
  <c r="O49" i="7"/>
  <c r="P49" i="7"/>
  <c r="D51" i="18"/>
  <c r="C51" i="18"/>
  <c r="O49" i="17"/>
  <c r="C49" i="17"/>
  <c r="D49" i="17"/>
  <c r="D50" i="16"/>
  <c r="S50" i="16" s="1"/>
  <c r="C50" i="16"/>
  <c r="R50" i="16" s="1"/>
  <c r="D49" i="15"/>
  <c r="S49" i="15" s="1"/>
  <c r="C49" i="15"/>
  <c r="C50" i="14"/>
  <c r="D50" i="14"/>
  <c r="S50" i="14" s="1"/>
  <c r="D49" i="13"/>
  <c r="S49" i="13" s="1"/>
  <c r="C49" i="13"/>
  <c r="D51" i="12"/>
  <c r="C51" i="12"/>
  <c r="C51" i="11"/>
  <c r="D51" i="11"/>
  <c r="D50" i="10"/>
  <c r="C50" i="10"/>
  <c r="D50" i="9"/>
  <c r="C50" i="9"/>
  <c r="D51" i="8"/>
  <c r="C51" i="8"/>
  <c r="O51" i="6"/>
  <c r="D51" i="6"/>
  <c r="C51" i="6"/>
  <c r="C50" i="4"/>
  <c r="D50" i="4"/>
  <c r="D51" i="1"/>
  <c r="S51" i="1" s="1"/>
  <c r="AA51" i="1"/>
  <c r="P51" i="1"/>
  <c r="U51" i="1"/>
  <c r="Q51" i="1"/>
  <c r="Z51" i="1"/>
  <c r="G52" i="1"/>
  <c r="C51" i="1"/>
  <c r="R51" i="1" s="1"/>
  <c r="M51" i="1"/>
  <c r="X51" i="1" s="1"/>
  <c r="L51" i="1"/>
  <c r="W51" i="1" s="1"/>
  <c r="T51" i="1"/>
  <c r="O51" i="1"/>
  <c r="O51" i="18"/>
  <c r="P51" i="6"/>
  <c r="R50" i="12"/>
  <c r="S50" i="12"/>
  <c r="M51" i="18"/>
  <c r="X51" i="18" s="1"/>
  <c r="L51" i="18"/>
  <c r="W51" i="18" s="1"/>
  <c r="G52" i="18"/>
  <c r="AJ54" i="18"/>
  <c r="E54" i="18" s="1"/>
  <c r="AH55" i="18"/>
  <c r="N53" i="18"/>
  <c r="Q51" i="18"/>
  <c r="J52" i="18"/>
  <c r="P51" i="18"/>
  <c r="U51" i="18"/>
  <c r="T51" i="18"/>
  <c r="S51" i="18"/>
  <c r="AA51" i="18"/>
  <c r="Z51" i="18"/>
  <c r="R51" i="18"/>
  <c r="H52" i="18"/>
  <c r="H52" i="17"/>
  <c r="M49" i="17"/>
  <c r="X49" i="17" s="1"/>
  <c r="L49" i="17"/>
  <c r="W49" i="17" s="1"/>
  <c r="G50" i="17"/>
  <c r="S49" i="17"/>
  <c r="AA49" i="17"/>
  <c r="Z49" i="17"/>
  <c r="R49" i="17"/>
  <c r="T49" i="17"/>
  <c r="AH56" i="17"/>
  <c r="AJ55" i="17"/>
  <c r="E55" i="17" s="1"/>
  <c r="U49" i="17"/>
  <c r="N54" i="17"/>
  <c r="J51" i="17"/>
  <c r="P49" i="17"/>
  <c r="Q49" i="17"/>
  <c r="M50" i="16"/>
  <c r="X50" i="16" s="1"/>
  <c r="L50" i="16"/>
  <c r="W50" i="16" s="1"/>
  <c r="G51" i="16"/>
  <c r="H52" i="13"/>
  <c r="J52" i="15"/>
  <c r="N53" i="15"/>
  <c r="AA50" i="16"/>
  <c r="G50" i="15"/>
  <c r="M49" i="15"/>
  <c r="X49" i="15" s="1"/>
  <c r="L49" i="15"/>
  <c r="W49" i="15" s="1"/>
  <c r="Q49" i="15"/>
  <c r="R49" i="15"/>
  <c r="P49" i="15"/>
  <c r="AA49" i="15"/>
  <c r="Z49" i="15"/>
  <c r="U49" i="15"/>
  <c r="O49" i="15"/>
  <c r="T49" i="15"/>
  <c r="N54" i="13"/>
  <c r="AJ54" i="15"/>
  <c r="E54" i="15" s="1"/>
  <c r="AH55" i="15"/>
  <c r="L50" i="14"/>
  <c r="W50" i="14" s="1"/>
  <c r="G51" i="14"/>
  <c r="AA51" i="14" s="1"/>
  <c r="M50" i="14"/>
  <c r="X50" i="14" s="1"/>
  <c r="AA50" i="14"/>
  <c r="J53" i="13"/>
  <c r="H52" i="14"/>
  <c r="Z50" i="16"/>
  <c r="AJ53" i="16"/>
  <c r="E53" i="16" s="1"/>
  <c r="AH54" i="16"/>
  <c r="J51" i="14"/>
  <c r="Q50" i="14"/>
  <c r="P50" i="14"/>
  <c r="U50" i="14"/>
  <c r="T50" i="14"/>
  <c r="O50" i="14"/>
  <c r="R50" i="14"/>
  <c r="O50" i="16"/>
  <c r="N52" i="16"/>
  <c r="H52" i="15"/>
  <c r="AJ54" i="14"/>
  <c r="E54" i="14" s="1"/>
  <c r="AH55" i="14"/>
  <c r="Z50" i="14"/>
  <c r="N53" i="14"/>
  <c r="Q50" i="16"/>
  <c r="J51" i="16"/>
  <c r="P50" i="16"/>
  <c r="U50" i="16"/>
  <c r="T50" i="16"/>
  <c r="H52" i="16"/>
  <c r="AJ55" i="13"/>
  <c r="E55" i="13" s="1"/>
  <c r="AH56" i="13"/>
  <c r="L49" i="13"/>
  <c r="W49" i="13" s="1"/>
  <c r="G50" i="13"/>
  <c r="M49" i="13"/>
  <c r="X49" i="13" s="1"/>
  <c r="U49" i="13"/>
  <c r="Z49" i="13"/>
  <c r="R49" i="13"/>
  <c r="P49" i="13"/>
  <c r="Q49" i="13"/>
  <c r="AA49" i="13"/>
  <c r="O49" i="13"/>
  <c r="T49" i="13"/>
  <c r="N53" i="11"/>
  <c r="N53" i="9"/>
  <c r="AH55" i="9"/>
  <c r="AJ54" i="9"/>
  <c r="E54" i="9" s="1"/>
  <c r="AJ54" i="10"/>
  <c r="E54" i="10" s="1"/>
  <c r="AH55" i="10"/>
  <c r="N53" i="10"/>
  <c r="J54" i="11"/>
  <c r="J51" i="9"/>
  <c r="U50" i="9"/>
  <c r="Q50" i="9"/>
  <c r="P50" i="9"/>
  <c r="T50" i="9"/>
  <c r="O50" i="9"/>
  <c r="H53" i="9"/>
  <c r="AJ54" i="12"/>
  <c r="E54" i="12" s="1"/>
  <c r="AH55" i="12"/>
  <c r="AJ54" i="11"/>
  <c r="E54" i="11" s="1"/>
  <c r="AH55" i="11"/>
  <c r="Z51" i="11"/>
  <c r="H52" i="11"/>
  <c r="S51" i="11"/>
  <c r="R51" i="11"/>
  <c r="AA51" i="11"/>
  <c r="U51" i="11"/>
  <c r="Q51" i="11"/>
  <c r="P51" i="11"/>
  <c r="T51" i="11"/>
  <c r="N53" i="12"/>
  <c r="S51" i="12"/>
  <c r="AA51" i="12"/>
  <c r="Z51" i="12"/>
  <c r="H52" i="12"/>
  <c r="Q50" i="12"/>
  <c r="P50" i="12"/>
  <c r="J51" i="12"/>
  <c r="U50" i="12"/>
  <c r="T50" i="12"/>
  <c r="O50" i="12"/>
  <c r="H51" i="10"/>
  <c r="S50" i="10"/>
  <c r="R50" i="10"/>
  <c r="AA50" i="10"/>
  <c r="Z50" i="10"/>
  <c r="M50" i="9"/>
  <c r="X50" i="9" s="1"/>
  <c r="L50" i="9"/>
  <c r="W50" i="9" s="1"/>
  <c r="G51" i="9"/>
  <c r="AA50" i="9"/>
  <c r="Z50" i="9"/>
  <c r="S50" i="9"/>
  <c r="R50" i="9"/>
  <c r="L51" i="11"/>
  <c r="W51" i="11" s="1"/>
  <c r="G52" i="11"/>
  <c r="M51" i="11"/>
  <c r="X51" i="11" s="1"/>
  <c r="G51" i="10"/>
  <c r="M50" i="10"/>
  <c r="X50" i="10" s="1"/>
  <c r="L50" i="10"/>
  <c r="W50" i="10" s="1"/>
  <c r="J51" i="10"/>
  <c r="Q50" i="10"/>
  <c r="P50" i="10"/>
  <c r="U50" i="10"/>
  <c r="T50" i="10"/>
  <c r="O50" i="10"/>
  <c r="M51" i="12"/>
  <c r="X51" i="12" s="1"/>
  <c r="L51" i="12"/>
  <c r="W51" i="12" s="1"/>
  <c r="G52" i="12"/>
  <c r="O51" i="11"/>
  <c r="N54" i="8"/>
  <c r="Q51" i="8"/>
  <c r="P51" i="8"/>
  <c r="J52" i="8"/>
  <c r="U51" i="8"/>
  <c r="T51" i="8"/>
  <c r="O51" i="8"/>
  <c r="S51" i="8"/>
  <c r="R51" i="8"/>
  <c r="AA51" i="8"/>
  <c r="H52" i="8"/>
  <c r="Z51" i="8"/>
  <c r="M51" i="8"/>
  <c r="X51" i="8" s="1"/>
  <c r="L51" i="8"/>
  <c r="W51" i="8" s="1"/>
  <c r="G52" i="8"/>
  <c r="AH56" i="8"/>
  <c r="AJ55" i="8"/>
  <c r="E55" i="8" s="1"/>
  <c r="N54" i="7"/>
  <c r="H53" i="7"/>
  <c r="J53" i="7"/>
  <c r="AH56" i="7"/>
  <c r="AJ55" i="7"/>
  <c r="E55" i="7" s="1"/>
  <c r="M51" i="6"/>
  <c r="X51" i="6" s="1"/>
  <c r="L51" i="6"/>
  <c r="W51" i="6" s="1"/>
  <c r="G52" i="6"/>
  <c r="U51" i="6"/>
  <c r="AJ54" i="6"/>
  <c r="E54" i="6" s="1"/>
  <c r="AH55" i="6"/>
  <c r="N53" i="6"/>
  <c r="Q52" i="6"/>
  <c r="P52" i="6"/>
  <c r="J53" i="6"/>
  <c r="S51" i="6"/>
  <c r="AA51" i="6"/>
  <c r="Z51" i="6"/>
  <c r="H52" i="6"/>
  <c r="R51" i="6"/>
  <c r="T51" i="6"/>
  <c r="Q51" i="6"/>
  <c r="M50" i="4"/>
  <c r="X50" i="4" s="1"/>
  <c r="G51" i="4"/>
  <c r="P50" i="4"/>
  <c r="Q50" i="4"/>
  <c r="AA50" i="4"/>
  <c r="Z50" i="4"/>
  <c r="U50" i="4"/>
  <c r="T50" i="4"/>
  <c r="O50" i="4"/>
  <c r="L50" i="4"/>
  <c r="W50" i="4" s="1"/>
  <c r="R50" i="4"/>
  <c r="N53" i="4"/>
  <c r="S50" i="4"/>
  <c r="AJ54" i="4"/>
  <c r="E54" i="4" s="1"/>
  <c r="AH55" i="4"/>
  <c r="H52" i="4"/>
  <c r="L51" i="4"/>
  <c r="W51" i="4" s="1"/>
  <c r="J54" i="4"/>
  <c r="N57" i="27" l="1"/>
  <c r="T57" i="27"/>
  <c r="O56" i="27"/>
  <c r="AA56" i="27"/>
  <c r="N56" i="28"/>
  <c r="T56" i="28"/>
  <c r="O55" i="28"/>
  <c r="AA55" i="28"/>
  <c r="N55" i="26"/>
  <c r="T55" i="26"/>
  <c r="O54" i="26"/>
  <c r="AA54" i="26"/>
  <c r="N55" i="25"/>
  <c r="T55" i="25"/>
  <c r="O54" i="25"/>
  <c r="AA54" i="25"/>
  <c r="N56" i="24"/>
  <c r="T56" i="24"/>
  <c r="O55" i="24"/>
  <c r="AA55" i="24"/>
  <c r="N56" i="23"/>
  <c r="T56" i="23"/>
  <c r="O55" i="23"/>
  <c r="AA55" i="23"/>
  <c r="N56" i="22"/>
  <c r="T56" i="22"/>
  <c r="O55" i="22"/>
  <c r="AA55" i="22"/>
  <c r="N56" i="21"/>
  <c r="T56" i="21"/>
  <c r="O55" i="21"/>
  <c r="AA55" i="21"/>
  <c r="O52" i="20"/>
  <c r="P52" i="20"/>
  <c r="H56" i="28"/>
  <c r="D55" i="28"/>
  <c r="S55" i="28" s="1"/>
  <c r="C55" i="28"/>
  <c r="R55" i="28" s="1"/>
  <c r="AJ57" i="28"/>
  <c r="E57" i="28" s="1"/>
  <c r="AH58" i="28"/>
  <c r="J54" i="28"/>
  <c r="L53" i="28"/>
  <c r="W53" i="28" s="1"/>
  <c r="D54" i="24"/>
  <c r="S54" i="24" s="1"/>
  <c r="C54" i="24"/>
  <c r="R54" i="24" s="1"/>
  <c r="H55" i="24"/>
  <c r="J54" i="24"/>
  <c r="L53" i="24"/>
  <c r="W53" i="24" s="1"/>
  <c r="L54" i="25"/>
  <c r="W54" i="25" s="1"/>
  <c r="J55" i="25"/>
  <c r="D56" i="25"/>
  <c r="S56" i="25" s="1"/>
  <c r="C56" i="25"/>
  <c r="R56" i="25" s="1"/>
  <c r="H57" i="25"/>
  <c r="J56" i="27"/>
  <c r="C54" i="27"/>
  <c r="R54" i="27" s="1"/>
  <c r="H55" i="27"/>
  <c r="L55" i="27" s="1"/>
  <c r="W55" i="27" s="1"/>
  <c r="D54" i="27"/>
  <c r="S54" i="27" s="1"/>
  <c r="L53" i="26"/>
  <c r="W53" i="26" s="1"/>
  <c r="J54" i="26"/>
  <c r="AJ56" i="26"/>
  <c r="E56" i="26" s="1"/>
  <c r="AH57" i="26"/>
  <c r="D54" i="26"/>
  <c r="S54" i="26" s="1"/>
  <c r="C54" i="26"/>
  <c r="R54" i="26" s="1"/>
  <c r="H55" i="26"/>
  <c r="AH58" i="24"/>
  <c r="AJ57" i="24"/>
  <c r="E57" i="24" s="1"/>
  <c r="AJ56" i="25"/>
  <c r="E56" i="25" s="1"/>
  <c r="AH57" i="25"/>
  <c r="AJ58" i="27"/>
  <c r="E58" i="27" s="1"/>
  <c r="AH59" i="27"/>
  <c r="D53" i="23"/>
  <c r="S53" i="23" s="1"/>
  <c r="C53" i="23"/>
  <c r="R53" i="23" s="1"/>
  <c r="H54" i="23"/>
  <c r="J54" i="22"/>
  <c r="L53" i="22"/>
  <c r="W53" i="22" s="1"/>
  <c r="J54" i="23"/>
  <c r="L53" i="23"/>
  <c r="W53" i="23" s="1"/>
  <c r="H56" i="22"/>
  <c r="D55" i="22"/>
  <c r="S55" i="22" s="1"/>
  <c r="C55" i="22"/>
  <c r="R55" i="22" s="1"/>
  <c r="AJ57" i="23"/>
  <c r="E57" i="23" s="1"/>
  <c r="AH58" i="23"/>
  <c r="AJ57" i="22"/>
  <c r="E57" i="22" s="1"/>
  <c r="AH58" i="22"/>
  <c r="C54" i="21"/>
  <c r="R54" i="21" s="1"/>
  <c r="H55" i="21"/>
  <c r="D54" i="21"/>
  <c r="S54" i="21" s="1"/>
  <c r="AJ57" i="21"/>
  <c r="E57" i="21" s="1"/>
  <c r="AH58" i="21"/>
  <c r="L53" i="21"/>
  <c r="W53" i="21" s="1"/>
  <c r="J54" i="21"/>
  <c r="AH58" i="20"/>
  <c r="AJ57" i="20"/>
  <c r="E57" i="20" s="1"/>
  <c r="N56" i="20"/>
  <c r="H56" i="20"/>
  <c r="M52" i="20"/>
  <c r="X52" i="20" s="1"/>
  <c r="L52" i="20"/>
  <c r="W52" i="20" s="1"/>
  <c r="G53" i="20"/>
  <c r="T53" i="20" s="1"/>
  <c r="AA52" i="20"/>
  <c r="Z52" i="20"/>
  <c r="D52" i="20"/>
  <c r="S52" i="20" s="1"/>
  <c r="C52" i="20"/>
  <c r="R52" i="20" s="1"/>
  <c r="Q53" i="20"/>
  <c r="J54" i="20"/>
  <c r="P53" i="20"/>
  <c r="U53" i="20"/>
  <c r="O53" i="20"/>
  <c r="N57" i="19"/>
  <c r="AJ58" i="19"/>
  <c r="E58" i="19" s="1"/>
  <c r="AH59" i="19"/>
  <c r="G52" i="19"/>
  <c r="P52" i="19" s="1"/>
  <c r="M51" i="19"/>
  <c r="X51" i="19" s="1"/>
  <c r="L51" i="19"/>
  <c r="W51" i="19" s="1"/>
  <c r="O51" i="19"/>
  <c r="T51" i="19"/>
  <c r="AA51" i="19"/>
  <c r="U51" i="19"/>
  <c r="H53" i="19"/>
  <c r="D52" i="19"/>
  <c r="S52" i="19" s="1"/>
  <c r="J53" i="19"/>
  <c r="O52" i="19"/>
  <c r="Z51" i="19"/>
  <c r="P51" i="19"/>
  <c r="C51" i="19"/>
  <c r="R51" i="19" s="1"/>
  <c r="Q51" i="19"/>
  <c r="T50" i="7"/>
  <c r="L50" i="7"/>
  <c r="W50" i="7" s="1"/>
  <c r="AA50" i="7"/>
  <c r="G51" i="7"/>
  <c r="Z50" i="7"/>
  <c r="M50" i="7"/>
  <c r="X50" i="7" s="1"/>
  <c r="Q50" i="7"/>
  <c r="U50" i="7"/>
  <c r="D50" i="7"/>
  <c r="S50" i="7" s="1"/>
  <c r="C50" i="7"/>
  <c r="R50" i="7" s="1"/>
  <c r="O50" i="7"/>
  <c r="P50" i="7"/>
  <c r="D52" i="18"/>
  <c r="C52" i="18"/>
  <c r="U50" i="17"/>
  <c r="D50" i="17"/>
  <c r="S50" i="17" s="1"/>
  <c r="C50" i="17"/>
  <c r="R50" i="17" s="1"/>
  <c r="D51" i="16"/>
  <c r="S51" i="16" s="1"/>
  <c r="C51" i="16"/>
  <c r="R51" i="16" s="1"/>
  <c r="C50" i="15"/>
  <c r="R50" i="15" s="1"/>
  <c r="D50" i="15"/>
  <c r="S50" i="15" s="1"/>
  <c r="Z51" i="14"/>
  <c r="C51" i="14"/>
  <c r="R51" i="14" s="1"/>
  <c r="D51" i="14"/>
  <c r="S51" i="14" s="1"/>
  <c r="C50" i="13"/>
  <c r="D50" i="13"/>
  <c r="D52" i="12"/>
  <c r="C52" i="12"/>
  <c r="D52" i="11"/>
  <c r="C52" i="11"/>
  <c r="D51" i="10"/>
  <c r="C51" i="10"/>
  <c r="C51" i="9"/>
  <c r="D51" i="9"/>
  <c r="D52" i="8"/>
  <c r="C52" i="8"/>
  <c r="R52" i="8" s="1"/>
  <c r="D52" i="6"/>
  <c r="C52" i="6"/>
  <c r="D51" i="4"/>
  <c r="S51" i="4" s="1"/>
  <c r="C51" i="4"/>
  <c r="R51" i="4" s="1"/>
  <c r="D52" i="1"/>
  <c r="S52" i="1" s="1"/>
  <c r="U52" i="1"/>
  <c r="Q52" i="1"/>
  <c r="AA52" i="1"/>
  <c r="P52" i="1"/>
  <c r="Z52" i="1"/>
  <c r="G53" i="1"/>
  <c r="M52" i="1"/>
  <c r="X52" i="1" s="1"/>
  <c r="L52" i="1"/>
  <c r="W52" i="1" s="1"/>
  <c r="C52" i="1"/>
  <c r="R52" i="1" s="1"/>
  <c r="T52" i="1"/>
  <c r="O52" i="1"/>
  <c r="P50" i="17"/>
  <c r="Q50" i="17"/>
  <c r="T50" i="17"/>
  <c r="Z51" i="16"/>
  <c r="AA51" i="16"/>
  <c r="R51" i="12"/>
  <c r="Q52" i="18"/>
  <c r="P52" i="18"/>
  <c r="J53" i="18"/>
  <c r="U52" i="18"/>
  <c r="T52" i="18"/>
  <c r="S52" i="18"/>
  <c r="R52" i="18"/>
  <c r="AA52" i="18"/>
  <c r="Z52" i="18"/>
  <c r="H53" i="18"/>
  <c r="AH56" i="18"/>
  <c r="AJ55" i="18"/>
  <c r="E55" i="18" s="1"/>
  <c r="N54" i="18"/>
  <c r="M52" i="18"/>
  <c r="X52" i="18" s="1"/>
  <c r="L52" i="18"/>
  <c r="W52" i="18" s="1"/>
  <c r="G53" i="18"/>
  <c r="O52" i="18"/>
  <c r="J52" i="17"/>
  <c r="M50" i="17"/>
  <c r="X50" i="17" s="1"/>
  <c r="L50" i="17"/>
  <c r="W50" i="17" s="1"/>
  <c r="G51" i="17"/>
  <c r="AA50" i="17"/>
  <c r="Z50" i="17"/>
  <c r="N55" i="17"/>
  <c r="H53" i="17"/>
  <c r="AJ56" i="17"/>
  <c r="E56" i="17" s="1"/>
  <c r="AH57" i="17"/>
  <c r="O50" i="17"/>
  <c r="G51" i="13"/>
  <c r="M50" i="13"/>
  <c r="X50" i="13" s="1"/>
  <c r="L50" i="13"/>
  <c r="W50" i="13" s="1"/>
  <c r="T50" i="13"/>
  <c r="O50" i="13"/>
  <c r="P50" i="13"/>
  <c r="Q50" i="13"/>
  <c r="R50" i="13"/>
  <c r="AA50" i="13"/>
  <c r="Z50" i="13"/>
  <c r="S50" i="13"/>
  <c r="U50" i="13"/>
  <c r="Q51" i="16"/>
  <c r="P51" i="16"/>
  <c r="J52" i="16"/>
  <c r="U51" i="16"/>
  <c r="T51" i="16"/>
  <c r="H53" i="14"/>
  <c r="AH56" i="15"/>
  <c r="AJ55" i="15"/>
  <c r="E55" i="15" s="1"/>
  <c r="J53" i="15"/>
  <c r="N54" i="15"/>
  <c r="AJ56" i="13"/>
  <c r="E56" i="13" s="1"/>
  <c r="AH57" i="13"/>
  <c r="J52" i="14"/>
  <c r="Q51" i="14"/>
  <c r="P51" i="14"/>
  <c r="U51" i="14"/>
  <c r="T51" i="14"/>
  <c r="O51" i="14"/>
  <c r="N55" i="13"/>
  <c r="AJ54" i="16"/>
  <c r="E54" i="16" s="1"/>
  <c r="AH55" i="16"/>
  <c r="J54" i="13"/>
  <c r="H53" i="16"/>
  <c r="N53" i="16"/>
  <c r="O51" i="16"/>
  <c r="M50" i="15"/>
  <c r="X50" i="15" s="1"/>
  <c r="L50" i="15"/>
  <c r="W50" i="15" s="1"/>
  <c r="G51" i="15"/>
  <c r="T50" i="15"/>
  <c r="AA50" i="15"/>
  <c r="U50" i="15"/>
  <c r="Z50" i="15"/>
  <c r="Q50" i="15"/>
  <c r="P50" i="15"/>
  <c r="O50" i="15"/>
  <c r="AJ55" i="14"/>
  <c r="E55" i="14" s="1"/>
  <c r="AH56" i="14"/>
  <c r="H53" i="13"/>
  <c r="N54" i="14"/>
  <c r="M51" i="16"/>
  <c r="X51" i="16" s="1"/>
  <c r="L51" i="16"/>
  <c r="W51" i="16" s="1"/>
  <c r="G52" i="16"/>
  <c r="H53" i="15"/>
  <c r="L51" i="14"/>
  <c r="W51" i="14" s="1"/>
  <c r="G52" i="14"/>
  <c r="M51" i="14"/>
  <c r="X51" i="14" s="1"/>
  <c r="H54" i="9"/>
  <c r="H53" i="11"/>
  <c r="S52" i="11"/>
  <c r="R52" i="11"/>
  <c r="AA52" i="11"/>
  <c r="Z52" i="11"/>
  <c r="Q52" i="11"/>
  <c r="P52" i="11"/>
  <c r="T52" i="11"/>
  <c r="U52" i="11"/>
  <c r="G53" i="11"/>
  <c r="M52" i="11"/>
  <c r="X52" i="11" s="1"/>
  <c r="L52" i="11"/>
  <c r="W52" i="11" s="1"/>
  <c r="AJ55" i="10"/>
  <c r="E55" i="10" s="1"/>
  <c r="AH56" i="10"/>
  <c r="H52" i="10"/>
  <c r="S51" i="10"/>
  <c r="R51" i="10"/>
  <c r="Z51" i="10"/>
  <c r="AA51" i="10"/>
  <c r="AJ55" i="11"/>
  <c r="E55" i="11" s="1"/>
  <c r="AH56" i="11"/>
  <c r="N54" i="10"/>
  <c r="N54" i="11"/>
  <c r="N54" i="9"/>
  <c r="M52" i="12"/>
  <c r="X52" i="12" s="1"/>
  <c r="G53" i="12"/>
  <c r="AH56" i="12"/>
  <c r="AJ55" i="12"/>
  <c r="E55" i="12" s="1"/>
  <c r="J52" i="9"/>
  <c r="U51" i="9"/>
  <c r="P51" i="9"/>
  <c r="Q51" i="9"/>
  <c r="T51" i="9"/>
  <c r="O51" i="9"/>
  <c r="AJ55" i="9"/>
  <c r="E55" i="9" s="1"/>
  <c r="AH56" i="9"/>
  <c r="N54" i="12"/>
  <c r="Q51" i="12"/>
  <c r="P51" i="12"/>
  <c r="J52" i="12"/>
  <c r="L52" i="12" s="1"/>
  <c r="W52" i="12" s="1"/>
  <c r="U51" i="12"/>
  <c r="T51" i="12"/>
  <c r="O51" i="12"/>
  <c r="J55" i="11"/>
  <c r="S52" i="12"/>
  <c r="AA52" i="12"/>
  <c r="Z52" i="12"/>
  <c r="H53" i="12"/>
  <c r="L51" i="9"/>
  <c r="W51" i="9" s="1"/>
  <c r="G52" i="9"/>
  <c r="M51" i="9"/>
  <c r="X51" i="9" s="1"/>
  <c r="Z51" i="9"/>
  <c r="R51" i="9"/>
  <c r="AA51" i="9"/>
  <c r="S51" i="9"/>
  <c r="O53" i="11"/>
  <c r="G52" i="10"/>
  <c r="L51" i="10"/>
  <c r="W51" i="10" s="1"/>
  <c r="M51" i="10"/>
  <c r="X51" i="10" s="1"/>
  <c r="Q51" i="10"/>
  <c r="P51" i="10"/>
  <c r="J52" i="10"/>
  <c r="U51" i="10"/>
  <c r="T51" i="10"/>
  <c r="O51" i="10"/>
  <c r="O52" i="11"/>
  <c r="N55" i="8"/>
  <c r="AH57" i="8"/>
  <c r="AJ56" i="8"/>
  <c r="E56" i="8" s="1"/>
  <c r="M52" i="8"/>
  <c r="X52" i="8" s="1"/>
  <c r="L52" i="8"/>
  <c r="W52" i="8" s="1"/>
  <c r="G53" i="8"/>
  <c r="Q52" i="8"/>
  <c r="P52" i="8"/>
  <c r="J53" i="8"/>
  <c r="U52" i="8"/>
  <c r="T52" i="8"/>
  <c r="O52" i="8"/>
  <c r="S52" i="8"/>
  <c r="AA52" i="8"/>
  <c r="Z52" i="8"/>
  <c r="H53" i="8"/>
  <c r="H54" i="7"/>
  <c r="J54" i="7"/>
  <c r="N55" i="7"/>
  <c r="AJ56" i="7"/>
  <c r="E56" i="7" s="1"/>
  <c r="AH57" i="7"/>
  <c r="AH56" i="6"/>
  <c r="AJ55" i="6"/>
  <c r="E55" i="6" s="1"/>
  <c r="N54" i="6"/>
  <c r="S52" i="6"/>
  <c r="R52" i="6"/>
  <c r="AA52" i="6"/>
  <c r="Z52" i="6"/>
  <c r="H53" i="6"/>
  <c r="T52" i="6"/>
  <c r="O52" i="6"/>
  <c r="J54" i="6"/>
  <c r="M52" i="6"/>
  <c r="X52" i="6" s="1"/>
  <c r="L52" i="6"/>
  <c r="W52" i="6" s="1"/>
  <c r="G53" i="6"/>
  <c r="U52" i="6"/>
  <c r="N54" i="4"/>
  <c r="AA51" i="4"/>
  <c r="Z51" i="4"/>
  <c r="U51" i="4"/>
  <c r="Q51" i="4"/>
  <c r="G52" i="4"/>
  <c r="P51" i="4"/>
  <c r="M51" i="4"/>
  <c r="X51" i="4" s="1"/>
  <c r="T51" i="4"/>
  <c r="O51" i="4"/>
  <c r="H53" i="4"/>
  <c r="J55" i="4"/>
  <c r="AH56" i="4"/>
  <c r="AJ55" i="4"/>
  <c r="E55" i="4" s="1"/>
  <c r="N58" i="27" l="1"/>
  <c r="T58" i="27"/>
  <c r="O57" i="27"/>
  <c r="AA57" i="27"/>
  <c r="N57" i="28"/>
  <c r="T57" i="28"/>
  <c r="O56" i="28"/>
  <c r="AA56" i="28"/>
  <c r="N56" i="26"/>
  <c r="T56" i="26"/>
  <c r="O55" i="26"/>
  <c r="AA55" i="26"/>
  <c r="N56" i="25"/>
  <c r="T56" i="25"/>
  <c r="O55" i="25"/>
  <c r="AA55" i="25"/>
  <c r="N57" i="24"/>
  <c r="T57" i="24"/>
  <c r="O56" i="24"/>
  <c r="AA56" i="24"/>
  <c r="N57" i="23"/>
  <c r="T57" i="23"/>
  <c r="O56" i="23"/>
  <c r="AA56" i="23"/>
  <c r="N57" i="22"/>
  <c r="T57" i="22"/>
  <c r="O56" i="22"/>
  <c r="AA56" i="22"/>
  <c r="N57" i="21"/>
  <c r="T57" i="21"/>
  <c r="O56" i="21"/>
  <c r="AA56" i="21"/>
  <c r="J55" i="28"/>
  <c r="L54" i="28"/>
  <c r="W54" i="28" s="1"/>
  <c r="AJ58" i="28"/>
  <c r="E58" i="28" s="1"/>
  <c r="AH59" i="28"/>
  <c r="H57" i="28"/>
  <c r="D56" i="28"/>
  <c r="S56" i="28" s="1"/>
  <c r="C56" i="28"/>
  <c r="R56" i="28" s="1"/>
  <c r="D57" i="25"/>
  <c r="S57" i="25" s="1"/>
  <c r="C57" i="25"/>
  <c r="R57" i="25" s="1"/>
  <c r="H58" i="25"/>
  <c r="D55" i="26"/>
  <c r="S55" i="26" s="1"/>
  <c r="C55" i="26"/>
  <c r="R55" i="26" s="1"/>
  <c r="H56" i="26"/>
  <c r="J57" i="27"/>
  <c r="AJ57" i="26"/>
  <c r="E57" i="26" s="1"/>
  <c r="AH58" i="26"/>
  <c r="J56" i="25"/>
  <c r="L55" i="25"/>
  <c r="W55" i="25" s="1"/>
  <c r="AH59" i="24"/>
  <c r="AJ58" i="24"/>
  <c r="E58" i="24" s="1"/>
  <c r="L54" i="26"/>
  <c r="W54" i="26" s="1"/>
  <c r="J55" i="26"/>
  <c r="J55" i="24"/>
  <c r="L54" i="24"/>
  <c r="W54" i="24" s="1"/>
  <c r="D55" i="24"/>
  <c r="S55" i="24" s="1"/>
  <c r="C55" i="24"/>
  <c r="R55" i="24" s="1"/>
  <c r="H56" i="24"/>
  <c r="AJ59" i="27"/>
  <c r="E59" i="27" s="1"/>
  <c r="AH60" i="27"/>
  <c r="AJ57" i="25"/>
  <c r="E57" i="25" s="1"/>
  <c r="AH58" i="25"/>
  <c r="H56" i="27"/>
  <c r="L56" i="27" s="1"/>
  <c r="W56" i="27" s="1"/>
  <c r="C55" i="27"/>
  <c r="R55" i="27" s="1"/>
  <c r="D55" i="27"/>
  <c r="S55" i="27" s="1"/>
  <c r="AJ58" i="23"/>
  <c r="E58" i="23" s="1"/>
  <c r="AH59" i="23"/>
  <c r="D56" i="22"/>
  <c r="S56" i="22" s="1"/>
  <c r="C56" i="22"/>
  <c r="R56" i="22" s="1"/>
  <c r="H57" i="22"/>
  <c r="J55" i="23"/>
  <c r="L54" i="23"/>
  <c r="W54" i="23" s="1"/>
  <c r="J55" i="22"/>
  <c r="L54" i="22"/>
  <c r="W54" i="22" s="1"/>
  <c r="C54" i="23"/>
  <c r="R54" i="23" s="1"/>
  <c r="H55" i="23"/>
  <c r="D54" i="23"/>
  <c r="S54" i="23" s="1"/>
  <c r="AJ58" i="22"/>
  <c r="E58" i="22" s="1"/>
  <c r="AH59" i="22"/>
  <c r="J55" i="21"/>
  <c r="L54" i="21"/>
  <c r="W54" i="21" s="1"/>
  <c r="AH59" i="21"/>
  <c r="AJ58" i="21"/>
  <c r="E58" i="21" s="1"/>
  <c r="H56" i="21"/>
  <c r="D55" i="21"/>
  <c r="S55" i="21" s="1"/>
  <c r="C55" i="21"/>
  <c r="R55" i="21" s="1"/>
  <c r="H57" i="20"/>
  <c r="J55" i="20"/>
  <c r="O54" i="20"/>
  <c r="N57" i="20"/>
  <c r="AJ58" i="20"/>
  <c r="E58" i="20" s="1"/>
  <c r="AH59" i="20"/>
  <c r="M53" i="20"/>
  <c r="X53" i="20" s="1"/>
  <c r="L53" i="20"/>
  <c r="W53" i="20" s="1"/>
  <c r="G54" i="20"/>
  <c r="P54" i="20" s="1"/>
  <c r="D53" i="20"/>
  <c r="S53" i="20" s="1"/>
  <c r="Z53" i="20"/>
  <c r="AA53" i="20"/>
  <c r="C53" i="20"/>
  <c r="R53" i="20" s="1"/>
  <c r="T52" i="19"/>
  <c r="U52" i="19"/>
  <c r="Q52" i="19"/>
  <c r="J54" i="19"/>
  <c r="M52" i="19"/>
  <c r="X52" i="19" s="1"/>
  <c r="L52" i="19"/>
  <c r="W52" i="19" s="1"/>
  <c r="G53" i="19"/>
  <c r="AA53" i="19" s="1"/>
  <c r="Z52" i="19"/>
  <c r="AJ59" i="19"/>
  <c r="E59" i="19" s="1"/>
  <c r="AH60" i="19"/>
  <c r="N58" i="19"/>
  <c r="H54" i="19"/>
  <c r="AA52" i="19"/>
  <c r="C52" i="19"/>
  <c r="R52" i="19" s="1"/>
  <c r="AA51" i="7"/>
  <c r="M51" i="7"/>
  <c r="X51" i="7" s="1"/>
  <c r="L51" i="7"/>
  <c r="W51" i="7" s="1"/>
  <c r="P51" i="7"/>
  <c r="G52" i="7"/>
  <c r="T51" i="7"/>
  <c r="D51" i="7"/>
  <c r="S51" i="7" s="1"/>
  <c r="U51" i="7"/>
  <c r="C51" i="7"/>
  <c r="R51" i="7" s="1"/>
  <c r="Z51" i="7"/>
  <c r="Q51" i="7"/>
  <c r="O51" i="7"/>
  <c r="D53" i="18"/>
  <c r="C53" i="18"/>
  <c r="D51" i="17"/>
  <c r="C51" i="17"/>
  <c r="D52" i="16"/>
  <c r="S52" i="16" s="1"/>
  <c r="C52" i="16"/>
  <c r="R52" i="16" s="1"/>
  <c r="D51" i="15"/>
  <c r="C51" i="15"/>
  <c r="D52" i="14"/>
  <c r="C52" i="14"/>
  <c r="D51" i="13"/>
  <c r="S51" i="13" s="1"/>
  <c r="C51" i="13"/>
  <c r="R51" i="13" s="1"/>
  <c r="D53" i="12"/>
  <c r="C53" i="12"/>
  <c r="D53" i="11"/>
  <c r="C53" i="11"/>
  <c r="D52" i="10"/>
  <c r="C52" i="10"/>
  <c r="D52" i="9"/>
  <c r="C52" i="9"/>
  <c r="D53" i="8"/>
  <c r="C53" i="8"/>
  <c r="D53" i="6"/>
  <c r="C53" i="6"/>
  <c r="R53" i="6" s="1"/>
  <c r="D52" i="4"/>
  <c r="C52" i="4"/>
  <c r="L53" i="1"/>
  <c r="W53" i="1" s="1"/>
  <c r="AA53" i="1"/>
  <c r="P53" i="1"/>
  <c r="Z53" i="1"/>
  <c r="U53" i="1"/>
  <c r="Q53" i="1"/>
  <c r="D53" i="1"/>
  <c r="S53" i="1" s="1"/>
  <c r="G54" i="1"/>
  <c r="M53" i="1"/>
  <c r="X53" i="1" s="1"/>
  <c r="C53" i="1"/>
  <c r="R53" i="1" s="1"/>
  <c r="T53" i="1"/>
  <c r="O53" i="1"/>
  <c r="Z52" i="16"/>
  <c r="AA52" i="16"/>
  <c r="O52" i="16"/>
  <c r="R52" i="12"/>
  <c r="AJ56" i="18"/>
  <c r="E56" i="18" s="1"/>
  <c r="AH57" i="18"/>
  <c r="S53" i="18"/>
  <c r="R53" i="18"/>
  <c r="AA53" i="18"/>
  <c r="Z53" i="18"/>
  <c r="H54" i="18"/>
  <c r="M53" i="18"/>
  <c r="X53" i="18" s="1"/>
  <c r="L53" i="18"/>
  <c r="W53" i="18" s="1"/>
  <c r="G54" i="18"/>
  <c r="O53" i="18"/>
  <c r="Q53" i="18"/>
  <c r="P53" i="18"/>
  <c r="J54" i="18"/>
  <c r="U53" i="18"/>
  <c r="T53" i="18"/>
  <c r="N55" i="18"/>
  <c r="AJ57" i="17"/>
  <c r="E57" i="17" s="1"/>
  <c r="AH58" i="17"/>
  <c r="N56" i="17"/>
  <c r="L51" i="17"/>
  <c r="W51" i="17" s="1"/>
  <c r="G52" i="17"/>
  <c r="M51" i="17"/>
  <c r="X51" i="17" s="1"/>
  <c r="S51" i="17"/>
  <c r="R51" i="17"/>
  <c r="Z51" i="17"/>
  <c r="AA51" i="17"/>
  <c r="H54" i="17"/>
  <c r="O51" i="17"/>
  <c r="T51" i="17"/>
  <c r="U51" i="17"/>
  <c r="J53" i="17"/>
  <c r="P51" i="17"/>
  <c r="Q51" i="17"/>
  <c r="G53" i="14"/>
  <c r="M52" i="14"/>
  <c r="X52" i="14" s="1"/>
  <c r="L52" i="14"/>
  <c r="W52" i="14" s="1"/>
  <c r="Q52" i="14"/>
  <c r="P52" i="14"/>
  <c r="J53" i="14"/>
  <c r="U52" i="14"/>
  <c r="T52" i="14"/>
  <c r="O52" i="14"/>
  <c r="Z52" i="14"/>
  <c r="AH56" i="16"/>
  <c r="AJ55" i="16"/>
  <c r="E55" i="16" s="1"/>
  <c r="AJ57" i="13"/>
  <c r="E57" i="13" s="1"/>
  <c r="AH58" i="13"/>
  <c r="AA52" i="14"/>
  <c r="H54" i="16"/>
  <c r="N54" i="16"/>
  <c r="N56" i="13"/>
  <c r="R52" i="14"/>
  <c r="S52" i="14"/>
  <c r="H54" i="14"/>
  <c r="H54" i="13"/>
  <c r="J54" i="15"/>
  <c r="Q52" i="16"/>
  <c r="P52" i="16"/>
  <c r="J53" i="16"/>
  <c r="U52" i="16"/>
  <c r="T52" i="16"/>
  <c r="AJ56" i="15"/>
  <c r="E56" i="15" s="1"/>
  <c r="AH57" i="15"/>
  <c r="M51" i="15"/>
  <c r="X51" i="15" s="1"/>
  <c r="L51" i="15"/>
  <c r="W51" i="15" s="1"/>
  <c r="G52" i="15"/>
  <c r="O51" i="15"/>
  <c r="T51" i="15"/>
  <c r="Z51" i="15"/>
  <c r="AA51" i="15"/>
  <c r="Q51" i="15"/>
  <c r="P51" i="15"/>
  <c r="S51" i="15"/>
  <c r="R51" i="15"/>
  <c r="U51" i="15"/>
  <c r="H54" i="15"/>
  <c r="M52" i="16"/>
  <c r="X52" i="16" s="1"/>
  <c r="L52" i="16"/>
  <c r="W52" i="16" s="1"/>
  <c r="G53" i="16"/>
  <c r="AH57" i="14"/>
  <c r="AJ56" i="14"/>
  <c r="E56" i="14" s="1"/>
  <c r="G52" i="13"/>
  <c r="M51" i="13"/>
  <c r="X51" i="13" s="1"/>
  <c r="L51" i="13"/>
  <c r="W51" i="13" s="1"/>
  <c r="U51" i="13"/>
  <c r="P51" i="13"/>
  <c r="Q51" i="13"/>
  <c r="O51" i="13"/>
  <c r="AA51" i="13"/>
  <c r="T51" i="13"/>
  <c r="Z51" i="13"/>
  <c r="N55" i="14"/>
  <c r="J55" i="13"/>
  <c r="N55" i="15"/>
  <c r="M53" i="12"/>
  <c r="X53" i="12" s="1"/>
  <c r="G54" i="12"/>
  <c r="J56" i="11"/>
  <c r="AH57" i="9"/>
  <c r="AJ56" i="9"/>
  <c r="E56" i="9" s="1"/>
  <c r="N55" i="9"/>
  <c r="S52" i="10"/>
  <c r="R52" i="10"/>
  <c r="AA52" i="10"/>
  <c r="H53" i="10"/>
  <c r="Z52" i="10"/>
  <c r="AJ56" i="10"/>
  <c r="E56" i="10" s="1"/>
  <c r="AH57" i="10"/>
  <c r="Q52" i="10"/>
  <c r="P52" i="10"/>
  <c r="J53" i="10"/>
  <c r="U52" i="10"/>
  <c r="T52" i="10"/>
  <c r="O52" i="10"/>
  <c r="G53" i="9"/>
  <c r="M52" i="9"/>
  <c r="X52" i="9" s="1"/>
  <c r="L52" i="9"/>
  <c r="W52" i="9" s="1"/>
  <c r="S52" i="9"/>
  <c r="AA52" i="9"/>
  <c r="R52" i="9"/>
  <c r="Z52" i="9"/>
  <c r="N55" i="10"/>
  <c r="H54" i="11"/>
  <c r="S53" i="11"/>
  <c r="R53" i="11"/>
  <c r="AA53" i="11"/>
  <c r="Z53" i="11"/>
  <c r="T53" i="11"/>
  <c r="Q53" i="11"/>
  <c r="P53" i="11"/>
  <c r="U53" i="11"/>
  <c r="S53" i="12"/>
  <c r="AA53" i="12"/>
  <c r="Z53" i="12"/>
  <c r="H54" i="12"/>
  <c r="Q52" i="12"/>
  <c r="P52" i="12"/>
  <c r="J53" i="12"/>
  <c r="U52" i="12"/>
  <c r="T52" i="12"/>
  <c r="O52" i="12"/>
  <c r="J53" i="9"/>
  <c r="Q52" i="9"/>
  <c r="P52" i="9"/>
  <c r="U52" i="9"/>
  <c r="T52" i="9"/>
  <c r="O52" i="9"/>
  <c r="G54" i="11"/>
  <c r="M53" i="11"/>
  <c r="X53" i="11" s="1"/>
  <c r="L53" i="11"/>
  <c r="W53" i="11" s="1"/>
  <c r="N55" i="12"/>
  <c r="AJ56" i="11"/>
  <c r="E56" i="11" s="1"/>
  <c r="AH57" i="11"/>
  <c r="G53" i="10"/>
  <c r="M52" i="10"/>
  <c r="X52" i="10" s="1"/>
  <c r="L52" i="10"/>
  <c r="W52" i="10" s="1"/>
  <c r="AJ56" i="12"/>
  <c r="E56" i="12" s="1"/>
  <c r="AH57" i="12"/>
  <c r="N55" i="11"/>
  <c r="H55" i="9"/>
  <c r="Q53" i="8"/>
  <c r="P53" i="8"/>
  <c r="J54" i="8"/>
  <c r="U53" i="8"/>
  <c r="T53" i="8"/>
  <c r="O53" i="8"/>
  <c r="M53" i="8"/>
  <c r="X53" i="8" s="1"/>
  <c r="L53" i="8"/>
  <c r="W53" i="8" s="1"/>
  <c r="G54" i="8"/>
  <c r="N56" i="8"/>
  <c r="AJ57" i="8"/>
  <c r="E57" i="8" s="1"/>
  <c r="AH58" i="8"/>
  <c r="S53" i="8"/>
  <c r="R53" i="8"/>
  <c r="AA53" i="8"/>
  <c r="Z53" i="8"/>
  <c r="H54" i="8"/>
  <c r="J55" i="7"/>
  <c r="N56" i="7"/>
  <c r="H55" i="7"/>
  <c r="AJ57" i="7"/>
  <c r="E57" i="7" s="1"/>
  <c r="AH58" i="7"/>
  <c r="S53" i="6"/>
  <c r="AA53" i="6"/>
  <c r="Z53" i="6"/>
  <c r="H54" i="6"/>
  <c r="N55" i="6"/>
  <c r="J55" i="6"/>
  <c r="P53" i="6"/>
  <c r="AJ56" i="6"/>
  <c r="E56" i="6" s="1"/>
  <c r="AH57" i="6"/>
  <c r="M53" i="6"/>
  <c r="X53" i="6" s="1"/>
  <c r="L53" i="6"/>
  <c r="W53" i="6" s="1"/>
  <c r="G54" i="6"/>
  <c r="U53" i="6"/>
  <c r="Q53" i="6"/>
  <c r="O53" i="6"/>
  <c r="T53" i="6"/>
  <c r="M52" i="4"/>
  <c r="X52" i="4" s="1"/>
  <c r="Z52" i="4"/>
  <c r="Q52" i="4"/>
  <c r="G53" i="4"/>
  <c r="P52" i="4"/>
  <c r="AA52" i="4"/>
  <c r="U52" i="4"/>
  <c r="T52" i="4"/>
  <c r="O52" i="4"/>
  <c r="N55" i="4"/>
  <c r="L52" i="4"/>
  <c r="W52" i="4" s="1"/>
  <c r="R52" i="4"/>
  <c r="S52" i="4"/>
  <c r="AJ56" i="4"/>
  <c r="E56" i="4" s="1"/>
  <c r="AH57" i="4"/>
  <c r="H54" i="4"/>
  <c r="J56" i="4"/>
  <c r="N59" i="27" l="1"/>
  <c r="T59" i="27"/>
  <c r="O58" i="27"/>
  <c r="AA58" i="27"/>
  <c r="N58" i="28"/>
  <c r="T58" i="28"/>
  <c r="O57" i="28"/>
  <c r="AA57" i="28"/>
  <c r="N57" i="26"/>
  <c r="T57" i="26"/>
  <c r="O56" i="26"/>
  <c r="AA56" i="26"/>
  <c r="N57" i="25"/>
  <c r="T57" i="25"/>
  <c r="O56" i="25"/>
  <c r="AA56" i="25"/>
  <c r="N58" i="24"/>
  <c r="T58" i="24"/>
  <c r="O57" i="24"/>
  <c r="AA57" i="24"/>
  <c r="N58" i="23"/>
  <c r="T58" i="23"/>
  <c r="O57" i="23"/>
  <c r="AA57" i="23"/>
  <c r="N58" i="22"/>
  <c r="T58" i="22"/>
  <c r="O57" i="22"/>
  <c r="AA57" i="22"/>
  <c r="N58" i="21"/>
  <c r="T58" i="21"/>
  <c r="O57" i="21"/>
  <c r="AA57" i="21"/>
  <c r="H58" i="28"/>
  <c r="D57" i="28"/>
  <c r="S57" i="28" s="1"/>
  <c r="C57" i="28"/>
  <c r="R57" i="28" s="1"/>
  <c r="AJ59" i="28"/>
  <c r="E59" i="28" s="1"/>
  <c r="AH60" i="28"/>
  <c r="L55" i="28"/>
  <c r="W55" i="28" s="1"/>
  <c r="J56" i="28"/>
  <c r="AH59" i="26"/>
  <c r="AJ58" i="26"/>
  <c r="E58" i="26" s="1"/>
  <c r="C56" i="24"/>
  <c r="R56" i="24" s="1"/>
  <c r="H57" i="24"/>
  <c r="D56" i="24"/>
  <c r="S56" i="24" s="1"/>
  <c r="J58" i="27"/>
  <c r="AJ60" i="27"/>
  <c r="E60" i="27" s="1"/>
  <c r="AH61" i="27"/>
  <c r="D56" i="26"/>
  <c r="S56" i="26" s="1"/>
  <c r="C56" i="26"/>
  <c r="R56" i="26" s="1"/>
  <c r="H57" i="26"/>
  <c r="L55" i="24"/>
  <c r="W55" i="24" s="1"/>
  <c r="J56" i="24"/>
  <c r="J56" i="26"/>
  <c r="L55" i="26"/>
  <c r="W55" i="26" s="1"/>
  <c r="C58" i="25"/>
  <c r="R58" i="25" s="1"/>
  <c r="H59" i="25"/>
  <c r="D58" i="25"/>
  <c r="S58" i="25" s="1"/>
  <c r="J57" i="25"/>
  <c r="L56" i="25"/>
  <c r="W56" i="25" s="1"/>
  <c r="H57" i="27"/>
  <c r="D56" i="27"/>
  <c r="S56" i="27" s="1"/>
  <c r="C56" i="27"/>
  <c r="R56" i="27" s="1"/>
  <c r="AJ58" i="25"/>
  <c r="E58" i="25" s="1"/>
  <c r="AH59" i="25"/>
  <c r="AJ59" i="24"/>
  <c r="E59" i="24" s="1"/>
  <c r="AH60" i="24"/>
  <c r="H56" i="23"/>
  <c r="D55" i="23"/>
  <c r="S55" i="23" s="1"/>
  <c r="C55" i="23"/>
  <c r="R55" i="23" s="1"/>
  <c r="L55" i="22"/>
  <c r="W55" i="22" s="1"/>
  <c r="J56" i="22"/>
  <c r="L55" i="23"/>
  <c r="W55" i="23" s="1"/>
  <c r="J56" i="23"/>
  <c r="D57" i="22"/>
  <c r="S57" i="22" s="1"/>
  <c r="C57" i="22"/>
  <c r="R57" i="22" s="1"/>
  <c r="H58" i="22"/>
  <c r="AJ59" i="22"/>
  <c r="E59" i="22" s="1"/>
  <c r="AH60" i="22"/>
  <c r="AJ59" i="23"/>
  <c r="E59" i="23" s="1"/>
  <c r="AH60" i="23"/>
  <c r="H57" i="21"/>
  <c r="D56" i="21"/>
  <c r="S56" i="21" s="1"/>
  <c r="C56" i="21"/>
  <c r="R56" i="21" s="1"/>
  <c r="AJ59" i="21"/>
  <c r="E59" i="21" s="1"/>
  <c r="AH60" i="21"/>
  <c r="J56" i="21"/>
  <c r="L55" i="21"/>
  <c r="W55" i="21" s="1"/>
  <c r="T54" i="20"/>
  <c r="U54" i="20"/>
  <c r="Q54" i="20"/>
  <c r="J56" i="20"/>
  <c r="U55" i="20"/>
  <c r="M54" i="20"/>
  <c r="X54" i="20" s="1"/>
  <c r="L54" i="20"/>
  <c r="W54" i="20" s="1"/>
  <c r="G55" i="20"/>
  <c r="AA54" i="20"/>
  <c r="Z54" i="20"/>
  <c r="D54" i="20"/>
  <c r="S54" i="20" s="1"/>
  <c r="C54" i="20"/>
  <c r="R54" i="20" s="1"/>
  <c r="AJ59" i="20"/>
  <c r="E59" i="20" s="1"/>
  <c r="AH60" i="20"/>
  <c r="N58" i="20"/>
  <c r="H58" i="20"/>
  <c r="C53" i="19"/>
  <c r="R53" i="19" s="1"/>
  <c r="O53" i="19"/>
  <c r="AJ60" i="19"/>
  <c r="E60" i="19" s="1"/>
  <c r="AH61" i="19"/>
  <c r="L53" i="19"/>
  <c r="W53" i="19" s="1"/>
  <c r="G54" i="19"/>
  <c r="U54" i="19" s="1"/>
  <c r="M53" i="19"/>
  <c r="X53" i="19" s="1"/>
  <c r="N59" i="19"/>
  <c r="D53" i="19"/>
  <c r="S53" i="19" s="1"/>
  <c r="T53" i="19"/>
  <c r="H55" i="19"/>
  <c r="U53" i="19"/>
  <c r="Z53" i="19"/>
  <c r="J55" i="19"/>
  <c r="P53" i="19"/>
  <c r="Q53" i="19"/>
  <c r="AA52" i="7"/>
  <c r="T52" i="7"/>
  <c r="U52" i="7"/>
  <c r="O52" i="7"/>
  <c r="P52" i="7"/>
  <c r="Q52" i="7"/>
  <c r="Z52" i="7"/>
  <c r="G53" i="7"/>
  <c r="D52" i="7"/>
  <c r="S52" i="7" s="1"/>
  <c r="C52" i="7"/>
  <c r="R52" i="7" s="1"/>
  <c r="M52" i="7"/>
  <c r="X52" i="7" s="1"/>
  <c r="L52" i="7"/>
  <c r="W52" i="7" s="1"/>
  <c r="D54" i="18"/>
  <c r="C54" i="18"/>
  <c r="O52" i="17"/>
  <c r="C52" i="17"/>
  <c r="D52" i="17"/>
  <c r="S52" i="17" s="1"/>
  <c r="D53" i="16"/>
  <c r="S53" i="16" s="1"/>
  <c r="C53" i="16"/>
  <c r="R53" i="16" s="1"/>
  <c r="D52" i="15"/>
  <c r="C52" i="15"/>
  <c r="D53" i="14"/>
  <c r="S53" i="14" s="1"/>
  <c r="C53" i="14"/>
  <c r="R53" i="14" s="1"/>
  <c r="D52" i="13"/>
  <c r="S52" i="13" s="1"/>
  <c r="C52" i="13"/>
  <c r="D54" i="12"/>
  <c r="C54" i="12"/>
  <c r="O54" i="11"/>
  <c r="C54" i="11"/>
  <c r="D54" i="11"/>
  <c r="D53" i="10"/>
  <c r="C53" i="10"/>
  <c r="R53" i="10" s="1"/>
  <c r="D53" i="9"/>
  <c r="C53" i="9"/>
  <c r="D54" i="8"/>
  <c r="C54" i="8"/>
  <c r="R54" i="8" s="1"/>
  <c r="P54" i="6"/>
  <c r="D54" i="6"/>
  <c r="C54" i="6"/>
  <c r="C53" i="4"/>
  <c r="R53" i="4" s="1"/>
  <c r="D53" i="4"/>
  <c r="L53" i="4"/>
  <c r="W53" i="4" s="1"/>
  <c r="L54" i="1"/>
  <c r="W54" i="1" s="1"/>
  <c r="AA54" i="1"/>
  <c r="U54" i="1"/>
  <c r="Q54" i="1"/>
  <c r="Z54" i="1"/>
  <c r="P54" i="1"/>
  <c r="G55" i="1"/>
  <c r="C54" i="1"/>
  <c r="R54" i="1" s="1"/>
  <c r="M54" i="1"/>
  <c r="X54" i="1" s="1"/>
  <c r="D54" i="1"/>
  <c r="S54" i="1" s="1"/>
  <c r="T54" i="1"/>
  <c r="O54" i="1"/>
  <c r="U52" i="17"/>
  <c r="P52" i="17"/>
  <c r="Q52" i="17"/>
  <c r="Z53" i="14"/>
  <c r="AA53" i="14"/>
  <c r="U54" i="6"/>
  <c r="O54" i="6"/>
  <c r="Q54" i="6"/>
  <c r="R53" i="12"/>
  <c r="M54" i="18"/>
  <c r="X54" i="18" s="1"/>
  <c r="L54" i="18"/>
  <c r="W54" i="18" s="1"/>
  <c r="G55" i="18"/>
  <c r="R54" i="18"/>
  <c r="AA54" i="18"/>
  <c r="Z54" i="18"/>
  <c r="H55" i="18"/>
  <c r="S54" i="18"/>
  <c r="O54" i="18"/>
  <c r="P54" i="18"/>
  <c r="J55" i="18"/>
  <c r="Q54" i="18"/>
  <c r="U54" i="18"/>
  <c r="T54" i="18"/>
  <c r="AJ57" i="18"/>
  <c r="E57" i="18" s="1"/>
  <c r="AH58" i="18"/>
  <c r="N56" i="18"/>
  <c r="J54" i="17"/>
  <c r="M52" i="17"/>
  <c r="X52" i="17" s="1"/>
  <c r="G53" i="17"/>
  <c r="L52" i="17"/>
  <c r="W52" i="17" s="1"/>
  <c r="R52" i="17"/>
  <c r="AA52" i="17"/>
  <c r="Z52" i="17"/>
  <c r="H55" i="17"/>
  <c r="AJ58" i="17"/>
  <c r="E58" i="17" s="1"/>
  <c r="AH59" i="17"/>
  <c r="T52" i="17"/>
  <c r="N57" i="17"/>
  <c r="Z53" i="16"/>
  <c r="M52" i="15"/>
  <c r="X52" i="15" s="1"/>
  <c r="L52" i="15"/>
  <c r="W52" i="15" s="1"/>
  <c r="G53" i="15"/>
  <c r="O52" i="15"/>
  <c r="Q52" i="15"/>
  <c r="AA52" i="15"/>
  <c r="P52" i="15"/>
  <c r="S52" i="15"/>
  <c r="R52" i="15"/>
  <c r="U52" i="15"/>
  <c r="T52" i="15"/>
  <c r="Z52" i="15"/>
  <c r="J55" i="15"/>
  <c r="AA53" i="16"/>
  <c r="J56" i="13"/>
  <c r="H55" i="16"/>
  <c r="Q53" i="14"/>
  <c r="P53" i="14"/>
  <c r="J54" i="14"/>
  <c r="U53" i="14"/>
  <c r="T53" i="14"/>
  <c r="O53" i="14"/>
  <c r="H55" i="14"/>
  <c r="G53" i="13"/>
  <c r="M52" i="13"/>
  <c r="X52" i="13" s="1"/>
  <c r="L52" i="13"/>
  <c r="W52" i="13" s="1"/>
  <c r="Q52" i="13"/>
  <c r="P52" i="13"/>
  <c r="U52" i="13"/>
  <c r="T52" i="13"/>
  <c r="AA52" i="13"/>
  <c r="R52" i="13"/>
  <c r="Z52" i="13"/>
  <c r="O52" i="13"/>
  <c r="AJ57" i="15"/>
  <c r="E57" i="15" s="1"/>
  <c r="AH58" i="15"/>
  <c r="N56" i="14"/>
  <c r="N56" i="15"/>
  <c r="H55" i="13"/>
  <c r="AH59" i="13"/>
  <c r="AJ58" i="13"/>
  <c r="E58" i="13" s="1"/>
  <c r="AJ57" i="14"/>
  <c r="E57" i="14" s="1"/>
  <c r="AH58" i="14"/>
  <c r="N57" i="13"/>
  <c r="M53" i="16"/>
  <c r="X53" i="16" s="1"/>
  <c r="L53" i="16"/>
  <c r="W53" i="16" s="1"/>
  <c r="G54" i="16"/>
  <c r="N55" i="16"/>
  <c r="Q53" i="16"/>
  <c r="P53" i="16"/>
  <c r="J54" i="16"/>
  <c r="U53" i="16"/>
  <c r="T53" i="16"/>
  <c r="AJ56" i="16"/>
  <c r="E56" i="16" s="1"/>
  <c r="AH57" i="16"/>
  <c r="G54" i="14"/>
  <c r="M53" i="14"/>
  <c r="X53" i="14" s="1"/>
  <c r="L53" i="14"/>
  <c r="W53" i="14" s="1"/>
  <c r="O53" i="16"/>
  <c r="H55" i="15"/>
  <c r="M53" i="10"/>
  <c r="X53" i="10" s="1"/>
  <c r="L53" i="10"/>
  <c r="W53" i="10" s="1"/>
  <c r="G54" i="10"/>
  <c r="Q53" i="10"/>
  <c r="P53" i="10"/>
  <c r="U53" i="10"/>
  <c r="J54" i="10"/>
  <c r="T53" i="10"/>
  <c r="O53" i="10"/>
  <c r="N56" i="9"/>
  <c r="N56" i="11"/>
  <c r="Q53" i="9"/>
  <c r="P53" i="9"/>
  <c r="J54" i="9"/>
  <c r="U53" i="9"/>
  <c r="T53" i="9"/>
  <c r="O53" i="9"/>
  <c r="AJ57" i="9"/>
  <c r="E57" i="9" s="1"/>
  <c r="AH58" i="9"/>
  <c r="AJ57" i="10"/>
  <c r="E57" i="10" s="1"/>
  <c r="AH58" i="10"/>
  <c r="N56" i="10"/>
  <c r="J57" i="11"/>
  <c r="Q53" i="12"/>
  <c r="P53" i="12"/>
  <c r="J54" i="12"/>
  <c r="U53" i="12"/>
  <c r="T53" i="12"/>
  <c r="O53" i="12"/>
  <c r="S53" i="10"/>
  <c r="AA53" i="10"/>
  <c r="Z53" i="10"/>
  <c r="H54" i="10"/>
  <c r="AJ57" i="11"/>
  <c r="E57" i="11" s="1"/>
  <c r="AH58" i="11"/>
  <c r="H56" i="9"/>
  <c r="G55" i="11"/>
  <c r="M54" i="11"/>
  <c r="X54" i="11" s="1"/>
  <c r="L54" i="11"/>
  <c r="W54" i="11" s="1"/>
  <c r="M54" i="12"/>
  <c r="X54" i="12" s="1"/>
  <c r="L54" i="12"/>
  <c r="W54" i="12" s="1"/>
  <c r="G55" i="12"/>
  <c r="AJ57" i="12"/>
  <c r="E57" i="12" s="1"/>
  <c r="AH58" i="12"/>
  <c r="G54" i="9"/>
  <c r="M53" i="9"/>
  <c r="X53" i="9" s="1"/>
  <c r="L53" i="9"/>
  <c r="W53" i="9" s="1"/>
  <c r="S53" i="9"/>
  <c r="R53" i="9"/>
  <c r="AA53" i="9"/>
  <c r="Z53" i="9"/>
  <c r="L53" i="12"/>
  <c r="W53" i="12" s="1"/>
  <c r="N56" i="12"/>
  <c r="R54" i="12"/>
  <c r="AA54" i="12"/>
  <c r="Z54" i="12"/>
  <c r="H55" i="12"/>
  <c r="S54" i="12"/>
  <c r="S54" i="11"/>
  <c r="R54" i="11"/>
  <c r="AA54" i="11"/>
  <c r="Z54" i="11"/>
  <c r="H55" i="11"/>
  <c r="O55" i="11" s="1"/>
  <c r="T54" i="11"/>
  <c r="Q54" i="11"/>
  <c r="P54" i="11"/>
  <c r="U54" i="11"/>
  <c r="M54" i="8"/>
  <c r="X54" i="8" s="1"/>
  <c r="L54" i="8"/>
  <c r="W54" i="8" s="1"/>
  <c r="G55" i="8"/>
  <c r="AA54" i="8"/>
  <c r="Z54" i="8"/>
  <c r="H55" i="8"/>
  <c r="S54" i="8"/>
  <c r="P54" i="8"/>
  <c r="J55" i="8"/>
  <c r="U54" i="8"/>
  <c r="Q54" i="8"/>
  <c r="T54" i="8"/>
  <c r="O54" i="8"/>
  <c r="N57" i="8"/>
  <c r="AJ58" i="8"/>
  <c r="E58" i="8" s="1"/>
  <c r="AH59" i="8"/>
  <c r="H56" i="7"/>
  <c r="AJ58" i="7"/>
  <c r="E58" i="7" s="1"/>
  <c r="AH59" i="7"/>
  <c r="J56" i="7"/>
  <c r="N57" i="7"/>
  <c r="J56" i="6"/>
  <c r="R54" i="6"/>
  <c r="AA54" i="6"/>
  <c r="Z54" i="6"/>
  <c r="H55" i="6"/>
  <c r="O55" i="6" s="1"/>
  <c r="S54" i="6"/>
  <c r="T54" i="6"/>
  <c r="AJ57" i="6"/>
  <c r="E57" i="6" s="1"/>
  <c r="AH58" i="6"/>
  <c r="M54" i="6"/>
  <c r="X54" i="6" s="1"/>
  <c r="L54" i="6"/>
  <c r="W54" i="6" s="1"/>
  <c r="G55" i="6"/>
  <c r="N56" i="6"/>
  <c r="S53" i="4"/>
  <c r="N56" i="4"/>
  <c r="M53" i="4"/>
  <c r="X53" i="4" s="1"/>
  <c r="Q53" i="4"/>
  <c r="G54" i="4"/>
  <c r="P53" i="4"/>
  <c r="AA53" i="4"/>
  <c r="Z53" i="4"/>
  <c r="U53" i="4"/>
  <c r="T53" i="4"/>
  <c r="O53" i="4"/>
  <c r="J57" i="4"/>
  <c r="H55" i="4"/>
  <c r="AJ57" i="4"/>
  <c r="E57" i="4" s="1"/>
  <c r="AH58" i="4"/>
  <c r="N60" i="27" l="1"/>
  <c r="T60" i="27"/>
  <c r="O59" i="27"/>
  <c r="AA59" i="27"/>
  <c r="N59" i="28"/>
  <c r="T59" i="28"/>
  <c r="O58" i="28"/>
  <c r="AA58" i="28"/>
  <c r="N58" i="26"/>
  <c r="T58" i="26"/>
  <c r="O57" i="26"/>
  <c r="AA57" i="26"/>
  <c r="N58" i="25"/>
  <c r="T58" i="25"/>
  <c r="O57" i="25"/>
  <c r="AA57" i="25"/>
  <c r="N59" i="24"/>
  <c r="T59" i="24"/>
  <c r="O58" i="24"/>
  <c r="AA58" i="24"/>
  <c r="N59" i="23"/>
  <c r="T59" i="23"/>
  <c r="O58" i="23"/>
  <c r="AA58" i="23"/>
  <c r="N59" i="22"/>
  <c r="T59" i="22"/>
  <c r="O58" i="22"/>
  <c r="AA58" i="22"/>
  <c r="N59" i="21"/>
  <c r="T59" i="21"/>
  <c r="O58" i="21"/>
  <c r="AA58" i="21"/>
  <c r="J57" i="28"/>
  <c r="L56" i="28"/>
  <c r="W56" i="28" s="1"/>
  <c r="AJ60" i="28"/>
  <c r="E60" i="28" s="1"/>
  <c r="AH61" i="28"/>
  <c r="H59" i="28"/>
  <c r="D58" i="28"/>
  <c r="S58" i="28" s="1"/>
  <c r="C58" i="28"/>
  <c r="R58" i="28" s="1"/>
  <c r="C57" i="26"/>
  <c r="R57" i="26" s="1"/>
  <c r="H58" i="26"/>
  <c r="D57" i="26"/>
  <c r="S57" i="26" s="1"/>
  <c r="H58" i="27"/>
  <c r="D57" i="27"/>
  <c r="S57" i="27" s="1"/>
  <c r="C57" i="27"/>
  <c r="R57" i="27" s="1"/>
  <c r="AJ61" i="27"/>
  <c r="E61" i="27" s="1"/>
  <c r="AH62" i="27"/>
  <c r="J58" i="25"/>
  <c r="L57" i="25"/>
  <c r="W57" i="25" s="1"/>
  <c r="L57" i="27"/>
  <c r="W57" i="27" s="1"/>
  <c r="H60" i="25"/>
  <c r="D59" i="25"/>
  <c r="S59" i="25" s="1"/>
  <c r="C59" i="25"/>
  <c r="R59" i="25" s="1"/>
  <c r="J59" i="27"/>
  <c r="L58" i="27"/>
  <c r="W58" i="27" s="1"/>
  <c r="AJ60" i="24"/>
  <c r="E60" i="24" s="1"/>
  <c r="AH61" i="24"/>
  <c r="H58" i="24"/>
  <c r="D57" i="24"/>
  <c r="S57" i="24" s="1"/>
  <c r="C57" i="24"/>
  <c r="R57" i="24" s="1"/>
  <c r="J57" i="26"/>
  <c r="L56" i="26"/>
  <c r="W56" i="26" s="1"/>
  <c r="AH60" i="25"/>
  <c r="AJ59" i="25"/>
  <c r="E59" i="25" s="1"/>
  <c r="L56" i="24"/>
  <c r="W56" i="24" s="1"/>
  <c r="J57" i="24"/>
  <c r="AH60" i="26"/>
  <c r="AJ59" i="26"/>
  <c r="E59" i="26" s="1"/>
  <c r="D58" i="22"/>
  <c r="S58" i="22" s="1"/>
  <c r="C58" i="22"/>
  <c r="R58" i="22" s="1"/>
  <c r="H59" i="22"/>
  <c r="J57" i="23"/>
  <c r="L56" i="23"/>
  <c r="W56" i="23" s="1"/>
  <c r="AJ60" i="22"/>
  <c r="E60" i="22" s="1"/>
  <c r="AH61" i="22"/>
  <c r="J57" i="22"/>
  <c r="L56" i="22"/>
  <c r="W56" i="22" s="1"/>
  <c r="AJ60" i="23"/>
  <c r="E60" i="23" s="1"/>
  <c r="AH61" i="23"/>
  <c r="H57" i="23"/>
  <c r="D56" i="23"/>
  <c r="S56" i="23" s="1"/>
  <c r="C56" i="23"/>
  <c r="R56" i="23" s="1"/>
  <c r="J57" i="21"/>
  <c r="L56" i="21"/>
  <c r="W56" i="21" s="1"/>
  <c r="AJ60" i="21"/>
  <c r="E60" i="21" s="1"/>
  <c r="AH61" i="21"/>
  <c r="H58" i="21"/>
  <c r="C57" i="21"/>
  <c r="R57" i="21" s="1"/>
  <c r="D57" i="21"/>
  <c r="S57" i="21" s="1"/>
  <c r="M55" i="20"/>
  <c r="X55" i="20" s="1"/>
  <c r="L55" i="20"/>
  <c r="W55" i="20" s="1"/>
  <c r="G56" i="20"/>
  <c r="P56" i="20" s="1"/>
  <c r="AA55" i="20"/>
  <c r="Z55" i="20"/>
  <c r="C55" i="20"/>
  <c r="R55" i="20" s="1"/>
  <c r="D55" i="20"/>
  <c r="S55" i="20" s="1"/>
  <c r="H59" i="20"/>
  <c r="O55" i="20"/>
  <c r="T55" i="20"/>
  <c r="AJ60" i="20"/>
  <c r="E60" i="20" s="1"/>
  <c r="AH61" i="20"/>
  <c r="P55" i="20"/>
  <c r="N59" i="20"/>
  <c r="Q55" i="20"/>
  <c r="J57" i="20"/>
  <c r="Q56" i="20"/>
  <c r="O56" i="20"/>
  <c r="D54" i="19"/>
  <c r="S54" i="19" s="1"/>
  <c r="O54" i="19"/>
  <c r="AA54" i="19"/>
  <c r="T54" i="19"/>
  <c r="Q54" i="19"/>
  <c r="P54" i="19"/>
  <c r="C54" i="19"/>
  <c r="R54" i="19" s="1"/>
  <c r="J56" i="19"/>
  <c r="M54" i="19"/>
  <c r="X54" i="19" s="1"/>
  <c r="G55" i="19"/>
  <c r="C55" i="19" s="1"/>
  <c r="R55" i="19" s="1"/>
  <c r="L54" i="19"/>
  <c r="W54" i="19" s="1"/>
  <c r="Z54" i="19"/>
  <c r="AJ61" i="19"/>
  <c r="E61" i="19" s="1"/>
  <c r="AH62" i="19"/>
  <c r="H56" i="19"/>
  <c r="N60" i="19"/>
  <c r="AA53" i="7"/>
  <c r="Z53" i="7"/>
  <c r="D53" i="7"/>
  <c r="S53" i="7" s="1"/>
  <c r="C53" i="7"/>
  <c r="R53" i="7" s="1"/>
  <c r="M53" i="7"/>
  <c r="X53" i="7" s="1"/>
  <c r="L53" i="7"/>
  <c r="W53" i="7" s="1"/>
  <c r="G54" i="7"/>
  <c r="O53" i="7"/>
  <c r="U53" i="7"/>
  <c r="T53" i="7"/>
  <c r="P53" i="7"/>
  <c r="Q53" i="7"/>
  <c r="D55" i="18"/>
  <c r="C55" i="18"/>
  <c r="O53" i="17"/>
  <c r="D53" i="17"/>
  <c r="C53" i="17"/>
  <c r="D54" i="16"/>
  <c r="S54" i="16" s="1"/>
  <c r="C54" i="16"/>
  <c r="R54" i="16" s="1"/>
  <c r="C53" i="15"/>
  <c r="D53" i="15"/>
  <c r="S53" i="15" s="1"/>
  <c r="Z54" i="14"/>
  <c r="D54" i="14"/>
  <c r="S54" i="14" s="1"/>
  <c r="C54" i="14"/>
  <c r="R54" i="14" s="1"/>
  <c r="C53" i="13"/>
  <c r="D53" i="13"/>
  <c r="D55" i="12"/>
  <c r="C55" i="12"/>
  <c r="D55" i="11"/>
  <c r="C55" i="11"/>
  <c r="C54" i="10"/>
  <c r="D54" i="10"/>
  <c r="S54" i="10" s="1"/>
  <c r="C54" i="9"/>
  <c r="D54" i="9"/>
  <c r="D55" i="8"/>
  <c r="C55" i="8"/>
  <c r="R55" i="8" s="1"/>
  <c r="D55" i="6"/>
  <c r="C55" i="6"/>
  <c r="L54" i="4"/>
  <c r="W54" i="4" s="1"/>
  <c r="D54" i="4"/>
  <c r="C54" i="4"/>
  <c r="L55" i="1"/>
  <c r="W55" i="1" s="1"/>
  <c r="AA55" i="1"/>
  <c r="Z55" i="1"/>
  <c r="U55" i="1"/>
  <c r="P55" i="1"/>
  <c r="Q55" i="1"/>
  <c r="G56" i="1"/>
  <c r="D55" i="1"/>
  <c r="S55" i="1" s="1"/>
  <c r="C55" i="1"/>
  <c r="R55" i="1" s="1"/>
  <c r="M55" i="1"/>
  <c r="X55" i="1" s="1"/>
  <c r="T55" i="1"/>
  <c r="O55" i="1"/>
  <c r="J56" i="18"/>
  <c r="U55" i="18"/>
  <c r="Q55" i="18"/>
  <c r="P55" i="18"/>
  <c r="T55" i="18"/>
  <c r="O55" i="18"/>
  <c r="AA55" i="18"/>
  <c r="Z55" i="18"/>
  <c r="H56" i="18"/>
  <c r="S55" i="18"/>
  <c r="R55" i="18"/>
  <c r="O56" i="18"/>
  <c r="AJ58" i="18"/>
  <c r="E58" i="18" s="1"/>
  <c r="AH59" i="18"/>
  <c r="N57" i="18"/>
  <c r="M55" i="18"/>
  <c r="X55" i="18" s="1"/>
  <c r="L55" i="18"/>
  <c r="W55" i="18" s="1"/>
  <c r="G56" i="18"/>
  <c r="AJ59" i="17"/>
  <c r="E59" i="17" s="1"/>
  <c r="AH60" i="17"/>
  <c r="N58" i="17"/>
  <c r="M53" i="17"/>
  <c r="X53" i="17" s="1"/>
  <c r="L53" i="17"/>
  <c r="W53" i="17" s="1"/>
  <c r="G54" i="17"/>
  <c r="R53" i="17"/>
  <c r="AA53" i="17"/>
  <c r="Z53" i="17"/>
  <c r="S53" i="17"/>
  <c r="H56" i="17"/>
  <c r="T53" i="17"/>
  <c r="U53" i="17"/>
  <c r="J55" i="17"/>
  <c r="P53" i="17"/>
  <c r="Q53" i="17"/>
  <c r="H56" i="15"/>
  <c r="AJ58" i="14"/>
  <c r="E58" i="14" s="1"/>
  <c r="AH59" i="14"/>
  <c r="J57" i="13"/>
  <c r="N57" i="14"/>
  <c r="Q54" i="14"/>
  <c r="P54" i="14"/>
  <c r="J55" i="14"/>
  <c r="U54" i="14"/>
  <c r="T54" i="14"/>
  <c r="O54" i="14"/>
  <c r="P54" i="16"/>
  <c r="J55" i="16"/>
  <c r="Q54" i="16"/>
  <c r="U54" i="16"/>
  <c r="T54" i="16"/>
  <c r="N58" i="13"/>
  <c r="AJ58" i="15"/>
  <c r="E58" i="15" s="1"/>
  <c r="AH59" i="15"/>
  <c r="AJ59" i="13"/>
  <c r="E59" i="13" s="1"/>
  <c r="AH60" i="13"/>
  <c r="N57" i="15"/>
  <c r="M53" i="13"/>
  <c r="X53" i="13" s="1"/>
  <c r="L53" i="13"/>
  <c r="W53" i="13" s="1"/>
  <c r="G54" i="13"/>
  <c r="P53" i="13"/>
  <c r="Q53" i="13"/>
  <c r="S53" i="13"/>
  <c r="R53" i="13"/>
  <c r="AA53" i="13"/>
  <c r="Z53" i="13"/>
  <c r="O53" i="13"/>
  <c r="U53" i="13"/>
  <c r="T53" i="13"/>
  <c r="H56" i="13"/>
  <c r="H56" i="14"/>
  <c r="O55" i="16"/>
  <c r="H56" i="16"/>
  <c r="M53" i="15"/>
  <c r="X53" i="15" s="1"/>
  <c r="L53" i="15"/>
  <c r="W53" i="15" s="1"/>
  <c r="G54" i="15"/>
  <c r="Z53" i="15"/>
  <c r="O53" i="15"/>
  <c r="T53" i="15"/>
  <c r="Q53" i="15"/>
  <c r="P53" i="15"/>
  <c r="R53" i="15"/>
  <c r="U53" i="15"/>
  <c r="AA53" i="15"/>
  <c r="M54" i="14"/>
  <c r="X54" i="14" s="1"/>
  <c r="L54" i="14"/>
  <c r="W54" i="14" s="1"/>
  <c r="G55" i="14"/>
  <c r="M54" i="16"/>
  <c r="X54" i="16" s="1"/>
  <c r="L54" i="16"/>
  <c r="W54" i="16" s="1"/>
  <c r="G55" i="16"/>
  <c r="AA54" i="14"/>
  <c r="Z54" i="16"/>
  <c r="J56" i="15"/>
  <c r="AJ57" i="16"/>
  <c r="E57" i="16" s="1"/>
  <c r="AH58" i="16"/>
  <c r="AA54" i="16"/>
  <c r="O54" i="16"/>
  <c r="N56" i="16"/>
  <c r="AJ58" i="12"/>
  <c r="E58" i="12" s="1"/>
  <c r="AH59" i="12"/>
  <c r="P54" i="12"/>
  <c r="J55" i="12"/>
  <c r="Q54" i="12"/>
  <c r="U54" i="12"/>
  <c r="T54" i="12"/>
  <c r="O54" i="12"/>
  <c r="AJ58" i="9"/>
  <c r="E58" i="9" s="1"/>
  <c r="AH59" i="9"/>
  <c r="N57" i="12"/>
  <c r="N57" i="9"/>
  <c r="AH59" i="11"/>
  <c r="AJ58" i="11"/>
  <c r="E58" i="11" s="1"/>
  <c r="Q54" i="10"/>
  <c r="P54" i="10"/>
  <c r="J55" i="10"/>
  <c r="U54" i="10"/>
  <c r="T54" i="10"/>
  <c r="O54" i="10"/>
  <c r="M55" i="12"/>
  <c r="X55" i="12" s="1"/>
  <c r="L55" i="12"/>
  <c r="W55" i="12" s="1"/>
  <c r="G56" i="12"/>
  <c r="N57" i="11"/>
  <c r="R54" i="10"/>
  <c r="AA54" i="10"/>
  <c r="Z54" i="10"/>
  <c r="H55" i="10"/>
  <c r="S55" i="11"/>
  <c r="R55" i="11"/>
  <c r="AA55" i="11"/>
  <c r="Z55" i="11"/>
  <c r="H56" i="11"/>
  <c r="T55" i="11"/>
  <c r="Q55" i="11"/>
  <c r="P55" i="11"/>
  <c r="U55" i="11"/>
  <c r="J58" i="11"/>
  <c r="J55" i="9"/>
  <c r="U54" i="9"/>
  <c r="Q54" i="9"/>
  <c r="P54" i="9"/>
  <c r="T54" i="9"/>
  <c r="O54" i="9"/>
  <c r="N57" i="10"/>
  <c r="M54" i="10"/>
  <c r="X54" i="10" s="1"/>
  <c r="L54" i="10"/>
  <c r="W54" i="10" s="1"/>
  <c r="G55" i="10"/>
  <c r="G55" i="9"/>
  <c r="M54" i="9"/>
  <c r="X54" i="9" s="1"/>
  <c r="L54" i="9"/>
  <c r="W54" i="9" s="1"/>
  <c r="S54" i="9"/>
  <c r="Z54" i="9"/>
  <c r="R54" i="9"/>
  <c r="AA54" i="9"/>
  <c r="M55" i="11"/>
  <c r="X55" i="11" s="1"/>
  <c r="L55" i="11"/>
  <c r="W55" i="11" s="1"/>
  <c r="G56" i="11"/>
  <c r="H57" i="9"/>
  <c r="AA55" i="12"/>
  <c r="Z55" i="12"/>
  <c r="H56" i="12"/>
  <c r="S55" i="12"/>
  <c r="R55" i="12"/>
  <c r="AH59" i="10"/>
  <c r="AJ58" i="10"/>
  <c r="E58" i="10" s="1"/>
  <c r="J56" i="8"/>
  <c r="Q55" i="8"/>
  <c r="P55" i="8"/>
  <c r="U55" i="8"/>
  <c r="T55" i="8"/>
  <c r="O55" i="8"/>
  <c r="AA55" i="8"/>
  <c r="Z55" i="8"/>
  <c r="H56" i="8"/>
  <c r="S55" i="8"/>
  <c r="N58" i="8"/>
  <c r="M55" i="8"/>
  <c r="X55" i="8" s="1"/>
  <c r="L55" i="8"/>
  <c r="W55" i="8" s="1"/>
  <c r="G56" i="8"/>
  <c r="AJ59" i="8"/>
  <c r="E59" i="8" s="1"/>
  <c r="AH60" i="8"/>
  <c r="AJ59" i="7"/>
  <c r="E59" i="7" s="1"/>
  <c r="AH60" i="7"/>
  <c r="H57" i="7"/>
  <c r="N58" i="7"/>
  <c r="J57" i="7"/>
  <c r="AA55" i="6"/>
  <c r="Z55" i="6"/>
  <c r="H56" i="6"/>
  <c r="S55" i="6"/>
  <c r="R55" i="6"/>
  <c r="T55" i="6"/>
  <c r="P55" i="6"/>
  <c r="Q55" i="6"/>
  <c r="N57" i="6"/>
  <c r="U55" i="6"/>
  <c r="M55" i="6"/>
  <c r="X55" i="6" s="1"/>
  <c r="L55" i="6"/>
  <c r="W55" i="6" s="1"/>
  <c r="G56" i="6"/>
  <c r="AJ58" i="6"/>
  <c r="E58" i="6" s="1"/>
  <c r="AH59" i="6"/>
  <c r="J57" i="6"/>
  <c r="N57" i="4"/>
  <c r="M54" i="4"/>
  <c r="X54" i="4" s="1"/>
  <c r="Q54" i="4"/>
  <c r="G55" i="4"/>
  <c r="P54" i="4"/>
  <c r="U54" i="4"/>
  <c r="AA54" i="4"/>
  <c r="Z54" i="4"/>
  <c r="T54" i="4"/>
  <c r="O54" i="4"/>
  <c r="S54" i="4"/>
  <c r="R54" i="4"/>
  <c r="H56" i="4"/>
  <c r="AJ58" i="4"/>
  <c r="E58" i="4" s="1"/>
  <c r="AH59" i="4"/>
  <c r="J58" i="4"/>
  <c r="N61" i="27" l="1"/>
  <c r="T61" i="27"/>
  <c r="O60" i="27"/>
  <c r="AA60" i="27"/>
  <c r="N60" i="28"/>
  <c r="T60" i="28"/>
  <c r="O59" i="28"/>
  <c r="AA59" i="28"/>
  <c r="N59" i="26"/>
  <c r="T59" i="26"/>
  <c r="O58" i="26"/>
  <c r="AA58" i="26"/>
  <c r="N59" i="25"/>
  <c r="T59" i="25"/>
  <c r="O58" i="25"/>
  <c r="AA58" i="25"/>
  <c r="N60" i="24"/>
  <c r="T60" i="24"/>
  <c r="O59" i="24"/>
  <c r="AA59" i="24"/>
  <c r="N60" i="23"/>
  <c r="T60" i="23"/>
  <c r="O59" i="23"/>
  <c r="AA59" i="23"/>
  <c r="N60" i="22"/>
  <c r="T60" i="22"/>
  <c r="O59" i="22"/>
  <c r="AA59" i="22"/>
  <c r="N60" i="21"/>
  <c r="T60" i="21"/>
  <c r="O59" i="21"/>
  <c r="AA59" i="21"/>
  <c r="T56" i="20"/>
  <c r="U56" i="20"/>
  <c r="H60" i="28"/>
  <c r="D59" i="28"/>
  <c r="S59" i="28" s="1"/>
  <c r="C59" i="28"/>
  <c r="R59" i="28" s="1"/>
  <c r="AJ61" i="28"/>
  <c r="E61" i="28" s="1"/>
  <c r="AH62" i="28"/>
  <c r="L57" i="28"/>
  <c r="W57" i="28" s="1"/>
  <c r="J58" i="28"/>
  <c r="AH61" i="25"/>
  <c r="AJ60" i="25"/>
  <c r="E60" i="25" s="1"/>
  <c r="H61" i="25"/>
  <c r="D60" i="25"/>
  <c r="S60" i="25" s="1"/>
  <c r="C60" i="25"/>
  <c r="R60" i="25" s="1"/>
  <c r="J59" i="25"/>
  <c r="L58" i="25"/>
  <c r="W58" i="25" s="1"/>
  <c r="AJ62" i="27"/>
  <c r="E62" i="27" s="1"/>
  <c r="AH63" i="27"/>
  <c r="J58" i="26"/>
  <c r="L57" i="26"/>
  <c r="W57" i="26" s="1"/>
  <c r="H59" i="24"/>
  <c r="D58" i="24"/>
  <c r="S58" i="24" s="1"/>
  <c r="C58" i="24"/>
  <c r="R58" i="24" s="1"/>
  <c r="AJ61" i="24"/>
  <c r="E61" i="24" s="1"/>
  <c r="AH62" i="24"/>
  <c r="AJ60" i="26"/>
  <c r="E60" i="26" s="1"/>
  <c r="AH61" i="26"/>
  <c r="H59" i="27"/>
  <c r="D58" i="27"/>
  <c r="S58" i="27" s="1"/>
  <c r="C58" i="27"/>
  <c r="R58" i="27" s="1"/>
  <c r="J58" i="24"/>
  <c r="L57" i="24"/>
  <c r="W57" i="24" s="1"/>
  <c r="J60" i="27"/>
  <c r="H59" i="26"/>
  <c r="C58" i="26"/>
  <c r="R58" i="26" s="1"/>
  <c r="D58" i="26"/>
  <c r="S58" i="26" s="1"/>
  <c r="AJ61" i="23"/>
  <c r="E61" i="23" s="1"/>
  <c r="AH62" i="23"/>
  <c r="J58" i="22"/>
  <c r="L57" i="22"/>
  <c r="W57" i="22" s="1"/>
  <c r="AJ61" i="22"/>
  <c r="E61" i="22" s="1"/>
  <c r="AH62" i="22"/>
  <c r="H58" i="23"/>
  <c r="D57" i="23"/>
  <c r="S57" i="23" s="1"/>
  <c r="C57" i="23"/>
  <c r="R57" i="23" s="1"/>
  <c r="J58" i="23"/>
  <c r="L57" i="23"/>
  <c r="W57" i="23" s="1"/>
  <c r="D59" i="22"/>
  <c r="S59" i="22" s="1"/>
  <c r="C59" i="22"/>
  <c r="R59" i="22" s="1"/>
  <c r="H60" i="22"/>
  <c r="H59" i="21"/>
  <c r="D58" i="21"/>
  <c r="S58" i="21" s="1"/>
  <c r="C58" i="21"/>
  <c r="R58" i="21" s="1"/>
  <c r="AJ61" i="21"/>
  <c r="E61" i="21" s="1"/>
  <c r="AH62" i="21"/>
  <c r="L57" i="21"/>
  <c r="W57" i="21" s="1"/>
  <c r="J58" i="21"/>
  <c r="J58" i="20"/>
  <c r="H60" i="20"/>
  <c r="AJ61" i="20"/>
  <c r="E61" i="20" s="1"/>
  <c r="AH62" i="20"/>
  <c r="N60" i="20"/>
  <c r="L56" i="20"/>
  <c r="W56" i="20" s="1"/>
  <c r="G57" i="20"/>
  <c r="M56" i="20"/>
  <c r="X56" i="20" s="1"/>
  <c r="Z56" i="20"/>
  <c r="C56" i="20"/>
  <c r="R56" i="20" s="1"/>
  <c r="AA56" i="20"/>
  <c r="D56" i="20"/>
  <c r="S56" i="20" s="1"/>
  <c r="O55" i="19"/>
  <c r="M55" i="19"/>
  <c r="X55" i="19" s="1"/>
  <c r="L55" i="19"/>
  <c r="W55" i="19" s="1"/>
  <c r="G56" i="19"/>
  <c r="T55" i="19"/>
  <c r="D55" i="19"/>
  <c r="S55" i="19" s="1"/>
  <c r="J57" i="19"/>
  <c r="U56" i="19"/>
  <c r="P56" i="19"/>
  <c r="Q56" i="19"/>
  <c r="T56" i="19"/>
  <c r="O56" i="19"/>
  <c r="Z56" i="19"/>
  <c r="C56" i="19"/>
  <c r="R56" i="19" s="1"/>
  <c r="AA56" i="19"/>
  <c r="D56" i="19"/>
  <c r="S56" i="19" s="1"/>
  <c r="H57" i="19"/>
  <c r="U55" i="19"/>
  <c r="N61" i="19"/>
  <c r="Z55" i="19"/>
  <c r="P55" i="19"/>
  <c r="AA55" i="19"/>
  <c r="Q55" i="19"/>
  <c r="AJ62" i="19"/>
  <c r="E62" i="19" s="1"/>
  <c r="AH63" i="19"/>
  <c r="AA54" i="7"/>
  <c r="P54" i="7"/>
  <c r="Z54" i="7"/>
  <c r="T54" i="7"/>
  <c r="Q54" i="7"/>
  <c r="U54" i="7"/>
  <c r="D54" i="7"/>
  <c r="S54" i="7" s="1"/>
  <c r="M54" i="7"/>
  <c r="X54" i="7" s="1"/>
  <c r="O54" i="7"/>
  <c r="C54" i="7"/>
  <c r="R54" i="7" s="1"/>
  <c r="L54" i="7"/>
  <c r="W54" i="7" s="1"/>
  <c r="G55" i="7"/>
  <c r="D56" i="18"/>
  <c r="C56" i="18"/>
  <c r="P54" i="17"/>
  <c r="D54" i="17"/>
  <c r="C54" i="17"/>
  <c r="R54" i="17" s="1"/>
  <c r="AA55" i="16"/>
  <c r="D55" i="16"/>
  <c r="C55" i="16"/>
  <c r="R55" i="16" s="1"/>
  <c r="D54" i="15"/>
  <c r="S54" i="15" s="1"/>
  <c r="C54" i="15"/>
  <c r="R54" i="15" s="1"/>
  <c r="D55" i="14"/>
  <c r="S55" i="14" s="1"/>
  <c r="C55" i="14"/>
  <c r="R55" i="14" s="1"/>
  <c r="D54" i="13"/>
  <c r="C54" i="13"/>
  <c r="D56" i="12"/>
  <c r="C56" i="12"/>
  <c r="D56" i="11"/>
  <c r="C56" i="11"/>
  <c r="D55" i="10"/>
  <c r="C55" i="10"/>
  <c r="D55" i="9"/>
  <c r="C55" i="9"/>
  <c r="D56" i="8"/>
  <c r="C56" i="8"/>
  <c r="R56" i="8" s="1"/>
  <c r="D56" i="6"/>
  <c r="C56" i="6"/>
  <c r="D55" i="4"/>
  <c r="S55" i="4" s="1"/>
  <c r="C55" i="4"/>
  <c r="L56" i="1"/>
  <c r="W56" i="1" s="1"/>
  <c r="U56" i="1"/>
  <c r="Q56" i="1"/>
  <c r="Z56" i="1"/>
  <c r="P56" i="1"/>
  <c r="AA56" i="1"/>
  <c r="G57" i="1"/>
  <c r="D56" i="1"/>
  <c r="S56" i="1" s="1"/>
  <c r="M56" i="1"/>
  <c r="X56" i="1" s="1"/>
  <c r="C56" i="1"/>
  <c r="R56" i="1" s="1"/>
  <c r="T56" i="1"/>
  <c r="O56" i="1"/>
  <c r="T54" i="17"/>
  <c r="U54" i="17"/>
  <c r="Q54" i="17"/>
  <c r="S55" i="16"/>
  <c r="Z55" i="16"/>
  <c r="Z55" i="14"/>
  <c r="Q56" i="6"/>
  <c r="AA56" i="18"/>
  <c r="Z56" i="18"/>
  <c r="H57" i="18"/>
  <c r="S56" i="18"/>
  <c r="R56" i="18"/>
  <c r="M56" i="18"/>
  <c r="X56" i="18" s="1"/>
  <c r="L56" i="18"/>
  <c r="W56" i="18" s="1"/>
  <c r="G57" i="18"/>
  <c r="O57" i="18" s="1"/>
  <c r="AJ59" i="18"/>
  <c r="E59" i="18" s="1"/>
  <c r="AH60" i="18"/>
  <c r="N58" i="18"/>
  <c r="J57" i="18"/>
  <c r="Q56" i="18"/>
  <c r="P56" i="18"/>
  <c r="U56" i="18"/>
  <c r="T56" i="18"/>
  <c r="J56" i="17"/>
  <c r="M54" i="17"/>
  <c r="X54" i="17" s="1"/>
  <c r="L54" i="17"/>
  <c r="W54" i="17" s="1"/>
  <c r="G55" i="17"/>
  <c r="AA54" i="17"/>
  <c r="Z54" i="17"/>
  <c r="S54" i="17"/>
  <c r="H57" i="17"/>
  <c r="AJ60" i="17"/>
  <c r="E60" i="17" s="1"/>
  <c r="AH61" i="17"/>
  <c r="N59" i="17"/>
  <c r="O54" i="17"/>
  <c r="O56" i="6"/>
  <c r="U56" i="6"/>
  <c r="P56" i="6"/>
  <c r="AJ58" i="16"/>
  <c r="E58" i="16" s="1"/>
  <c r="AH59" i="16"/>
  <c r="M55" i="14"/>
  <c r="X55" i="14" s="1"/>
  <c r="L55" i="14"/>
  <c r="W55" i="14" s="1"/>
  <c r="G56" i="14"/>
  <c r="M54" i="15"/>
  <c r="X54" i="15" s="1"/>
  <c r="L54" i="15"/>
  <c r="W54" i="15" s="1"/>
  <c r="G55" i="15"/>
  <c r="O54" i="15"/>
  <c r="P54" i="15"/>
  <c r="Q54" i="15"/>
  <c r="U54" i="15"/>
  <c r="T54" i="15"/>
  <c r="AA54" i="15"/>
  <c r="Z54" i="15"/>
  <c r="AA55" i="14"/>
  <c r="AJ59" i="15"/>
  <c r="E59" i="15" s="1"/>
  <c r="AH60" i="15"/>
  <c r="AH60" i="14"/>
  <c r="AJ59" i="14"/>
  <c r="E59" i="14" s="1"/>
  <c r="N58" i="15"/>
  <c r="P55" i="14"/>
  <c r="J56" i="14"/>
  <c r="U55" i="14"/>
  <c r="Q55" i="14"/>
  <c r="T55" i="14"/>
  <c r="O55" i="14"/>
  <c r="N58" i="14"/>
  <c r="H57" i="13"/>
  <c r="H57" i="15"/>
  <c r="N59" i="13"/>
  <c r="H57" i="16"/>
  <c r="M54" i="13"/>
  <c r="X54" i="13" s="1"/>
  <c r="L54" i="13"/>
  <c r="W54" i="13" s="1"/>
  <c r="G55" i="13"/>
  <c r="U54" i="13"/>
  <c r="T54" i="13"/>
  <c r="Q54" i="13"/>
  <c r="P54" i="13"/>
  <c r="S54" i="13"/>
  <c r="R54" i="13"/>
  <c r="AA54" i="13"/>
  <c r="Z54" i="13"/>
  <c r="O54" i="13"/>
  <c r="J57" i="15"/>
  <c r="N57" i="16"/>
  <c r="J56" i="16"/>
  <c r="Q55" i="16"/>
  <c r="P55" i="16"/>
  <c r="U55" i="16"/>
  <c r="T55" i="16"/>
  <c r="M55" i="16"/>
  <c r="X55" i="16" s="1"/>
  <c r="L55" i="16"/>
  <c r="W55" i="16" s="1"/>
  <c r="G56" i="16"/>
  <c r="J58" i="13"/>
  <c r="H57" i="14"/>
  <c r="AJ60" i="13"/>
  <c r="E60" i="13" s="1"/>
  <c r="AH61" i="13"/>
  <c r="J56" i="9"/>
  <c r="U55" i="9"/>
  <c r="Q55" i="9"/>
  <c r="P55" i="9"/>
  <c r="T55" i="9"/>
  <c r="O55" i="9"/>
  <c r="M55" i="9"/>
  <c r="X55" i="9" s="1"/>
  <c r="L55" i="9"/>
  <c r="W55" i="9" s="1"/>
  <c r="G56" i="9"/>
  <c r="R55" i="9"/>
  <c r="S55" i="9"/>
  <c r="AA55" i="9"/>
  <c r="Z55" i="9"/>
  <c r="AJ59" i="9"/>
  <c r="E59" i="9" s="1"/>
  <c r="AH60" i="9"/>
  <c r="N58" i="10"/>
  <c r="M55" i="10"/>
  <c r="X55" i="10" s="1"/>
  <c r="L55" i="10"/>
  <c r="W55" i="10" s="1"/>
  <c r="G56" i="10"/>
  <c r="J59" i="11"/>
  <c r="S55" i="10"/>
  <c r="R55" i="10"/>
  <c r="AA55" i="10"/>
  <c r="Z55" i="10"/>
  <c r="H56" i="10"/>
  <c r="N58" i="9"/>
  <c r="AJ59" i="10"/>
  <c r="E59" i="10" s="1"/>
  <c r="AH60" i="10"/>
  <c r="H58" i="9"/>
  <c r="Q55" i="10"/>
  <c r="P55" i="10"/>
  <c r="J56" i="10"/>
  <c r="U55" i="10"/>
  <c r="T55" i="10"/>
  <c r="O55" i="10"/>
  <c r="M56" i="11"/>
  <c r="X56" i="11" s="1"/>
  <c r="L56" i="11"/>
  <c r="W56" i="11" s="1"/>
  <c r="G57" i="11"/>
  <c r="N58" i="11"/>
  <c r="J56" i="12"/>
  <c r="L56" i="12" s="1"/>
  <c r="W56" i="12" s="1"/>
  <c r="Q55" i="12"/>
  <c r="P55" i="12"/>
  <c r="U55" i="12"/>
  <c r="T55" i="12"/>
  <c r="O55" i="12"/>
  <c r="AH60" i="11"/>
  <c r="AJ59" i="11"/>
  <c r="E59" i="11" s="1"/>
  <c r="AA56" i="12"/>
  <c r="Z56" i="12"/>
  <c r="H57" i="12"/>
  <c r="O56" i="11"/>
  <c r="S56" i="11"/>
  <c r="R56" i="11"/>
  <c r="AA56" i="11"/>
  <c r="Z56" i="11"/>
  <c r="H57" i="11"/>
  <c r="T56" i="11"/>
  <c r="Q56" i="11"/>
  <c r="P56" i="11"/>
  <c r="U56" i="11"/>
  <c r="M56" i="12"/>
  <c r="X56" i="12" s="1"/>
  <c r="G57" i="12"/>
  <c r="AJ59" i="12"/>
  <c r="E59" i="12" s="1"/>
  <c r="AH60" i="12"/>
  <c r="N58" i="12"/>
  <c r="M56" i="8"/>
  <c r="X56" i="8" s="1"/>
  <c r="L56" i="8"/>
  <c r="W56" i="8" s="1"/>
  <c r="G57" i="8"/>
  <c r="AJ60" i="8"/>
  <c r="E60" i="8" s="1"/>
  <c r="AH61" i="8"/>
  <c r="AA56" i="8"/>
  <c r="Z56" i="8"/>
  <c r="H57" i="8"/>
  <c r="S56" i="8"/>
  <c r="N59" i="8"/>
  <c r="J57" i="8"/>
  <c r="Q56" i="8"/>
  <c r="P56" i="8"/>
  <c r="U56" i="8"/>
  <c r="T56" i="8"/>
  <c r="O56" i="8"/>
  <c r="H58" i="7"/>
  <c r="AJ60" i="7"/>
  <c r="E60" i="7" s="1"/>
  <c r="AH61" i="7"/>
  <c r="N59" i="7"/>
  <c r="J58" i="7"/>
  <c r="J58" i="6"/>
  <c r="AJ59" i="6"/>
  <c r="E59" i="6" s="1"/>
  <c r="AH60" i="6"/>
  <c r="N58" i="6"/>
  <c r="M56" i="6"/>
  <c r="X56" i="6" s="1"/>
  <c r="L56" i="6"/>
  <c r="W56" i="6" s="1"/>
  <c r="G57" i="6"/>
  <c r="AA56" i="6"/>
  <c r="Z56" i="6"/>
  <c r="H57" i="6"/>
  <c r="S56" i="6"/>
  <c r="R56" i="6"/>
  <c r="T56" i="6"/>
  <c r="L55" i="4"/>
  <c r="W55" i="4" s="1"/>
  <c r="R55" i="4"/>
  <c r="M55" i="4"/>
  <c r="X55" i="4" s="1"/>
  <c r="Q55" i="4"/>
  <c r="G56" i="4"/>
  <c r="P55" i="4"/>
  <c r="AA55" i="4"/>
  <c r="Z55" i="4"/>
  <c r="U55" i="4"/>
  <c r="T55" i="4"/>
  <c r="O55" i="4"/>
  <c r="N58" i="4"/>
  <c r="AJ59" i="4"/>
  <c r="E59" i="4" s="1"/>
  <c r="AH60" i="4"/>
  <c r="J59" i="4"/>
  <c r="H57" i="4"/>
  <c r="N62" i="27" l="1"/>
  <c r="T62" i="27"/>
  <c r="O61" i="27"/>
  <c r="AA61" i="27"/>
  <c r="N61" i="28"/>
  <c r="T61" i="28"/>
  <c r="O60" i="28"/>
  <c r="AA60" i="28"/>
  <c r="N60" i="26"/>
  <c r="T60" i="26"/>
  <c r="O59" i="26"/>
  <c r="AA59" i="26"/>
  <c r="N60" i="25"/>
  <c r="T60" i="25"/>
  <c r="O59" i="25"/>
  <c r="AA59" i="25"/>
  <c r="N61" i="24"/>
  <c r="T61" i="24"/>
  <c r="O60" i="24"/>
  <c r="AA60" i="24"/>
  <c r="N61" i="23"/>
  <c r="T61" i="23"/>
  <c r="O60" i="23"/>
  <c r="AA60" i="23"/>
  <c r="N61" i="22"/>
  <c r="T61" i="22"/>
  <c r="O60" i="22"/>
  <c r="AA60" i="22"/>
  <c r="N61" i="21"/>
  <c r="T61" i="21"/>
  <c r="O60" i="21"/>
  <c r="AA60" i="21"/>
  <c r="J59" i="28"/>
  <c r="L58" i="28"/>
  <c r="W58" i="28" s="1"/>
  <c r="AJ62" i="28"/>
  <c r="E62" i="28" s="1"/>
  <c r="AH63" i="28"/>
  <c r="H61" i="28"/>
  <c r="D60" i="28"/>
  <c r="S60" i="28" s="1"/>
  <c r="C60" i="28"/>
  <c r="R60" i="28" s="1"/>
  <c r="J61" i="27"/>
  <c r="H60" i="24"/>
  <c r="D59" i="24"/>
  <c r="S59" i="24" s="1"/>
  <c r="C59" i="24"/>
  <c r="R59" i="24" s="1"/>
  <c r="J59" i="26"/>
  <c r="L58" i="26"/>
  <c r="W58" i="26" s="1"/>
  <c r="AJ63" i="27"/>
  <c r="E63" i="27" s="1"/>
  <c r="AH64" i="27"/>
  <c r="H60" i="27"/>
  <c r="D59" i="27"/>
  <c r="S59" i="27" s="1"/>
  <c r="C59" i="27"/>
  <c r="R59" i="27" s="1"/>
  <c r="AJ61" i="26"/>
  <c r="E61" i="26" s="1"/>
  <c r="AH62" i="26"/>
  <c r="J60" i="25"/>
  <c r="L59" i="25"/>
  <c r="W59" i="25" s="1"/>
  <c r="J59" i="24"/>
  <c r="L58" i="24"/>
  <c r="W58" i="24" s="1"/>
  <c r="AJ62" i="24"/>
  <c r="E62" i="24" s="1"/>
  <c r="AH63" i="24"/>
  <c r="H62" i="25"/>
  <c r="D61" i="25"/>
  <c r="S61" i="25" s="1"/>
  <c r="C61" i="25"/>
  <c r="R61" i="25" s="1"/>
  <c r="H60" i="26"/>
  <c r="D59" i="26"/>
  <c r="S59" i="26" s="1"/>
  <c r="C59" i="26"/>
  <c r="R59" i="26" s="1"/>
  <c r="L59" i="27"/>
  <c r="W59" i="27" s="1"/>
  <c r="AJ61" i="25"/>
  <c r="E61" i="25" s="1"/>
  <c r="AH62" i="25"/>
  <c r="L58" i="23"/>
  <c r="W58" i="23" s="1"/>
  <c r="J59" i="23"/>
  <c r="H59" i="23"/>
  <c r="D58" i="23"/>
  <c r="S58" i="23" s="1"/>
  <c r="C58" i="23"/>
  <c r="R58" i="23" s="1"/>
  <c r="AH63" i="22"/>
  <c r="AJ62" i="22"/>
  <c r="E62" i="22" s="1"/>
  <c r="J59" i="22"/>
  <c r="L58" i="22"/>
  <c r="W58" i="22" s="1"/>
  <c r="D60" i="22"/>
  <c r="S60" i="22" s="1"/>
  <c r="C60" i="22"/>
  <c r="R60" i="22" s="1"/>
  <c r="H61" i="22"/>
  <c r="AJ62" i="23"/>
  <c r="E62" i="23" s="1"/>
  <c r="AH63" i="23"/>
  <c r="L58" i="21"/>
  <c r="W58" i="21" s="1"/>
  <c r="J59" i="21"/>
  <c r="AJ62" i="21"/>
  <c r="E62" i="21" s="1"/>
  <c r="AH63" i="21"/>
  <c r="H60" i="21"/>
  <c r="D59" i="21"/>
  <c r="S59" i="21" s="1"/>
  <c r="C59" i="21"/>
  <c r="R59" i="21" s="1"/>
  <c r="H61" i="20"/>
  <c r="M57" i="20"/>
  <c r="X57" i="20" s="1"/>
  <c r="G58" i="20"/>
  <c r="Q58" i="20" s="1"/>
  <c r="L57" i="20"/>
  <c r="W57" i="20" s="1"/>
  <c r="Z57" i="20"/>
  <c r="C57" i="20"/>
  <c r="R57" i="20" s="1"/>
  <c r="AA57" i="20"/>
  <c r="D57" i="20"/>
  <c r="S57" i="20" s="1"/>
  <c r="O57" i="20"/>
  <c r="T57" i="20"/>
  <c r="U57" i="20"/>
  <c r="P57" i="20"/>
  <c r="AJ62" i="20"/>
  <c r="E62" i="20" s="1"/>
  <c r="AH63" i="20"/>
  <c r="Q57" i="20"/>
  <c r="N61" i="20"/>
  <c r="J59" i="20"/>
  <c r="J58" i="19"/>
  <c r="H58" i="19"/>
  <c r="L56" i="19"/>
  <c r="W56" i="19" s="1"/>
  <c r="G57" i="19"/>
  <c r="Q57" i="19" s="1"/>
  <c r="M56" i="19"/>
  <c r="X56" i="19" s="1"/>
  <c r="AH64" i="19"/>
  <c r="AJ63" i="19"/>
  <c r="E63" i="19" s="1"/>
  <c r="N62" i="19"/>
  <c r="O55" i="7"/>
  <c r="U55" i="7"/>
  <c r="AA55" i="7"/>
  <c r="P55" i="7"/>
  <c r="Z55" i="7"/>
  <c r="T55" i="7"/>
  <c r="Q55" i="7"/>
  <c r="L55" i="7"/>
  <c r="W55" i="7" s="1"/>
  <c r="D55" i="7"/>
  <c r="S55" i="7" s="1"/>
  <c r="G56" i="7"/>
  <c r="C55" i="7"/>
  <c r="R55" i="7" s="1"/>
  <c r="M55" i="7"/>
  <c r="X55" i="7" s="1"/>
  <c r="O56" i="16"/>
  <c r="D57" i="18"/>
  <c r="C57" i="18"/>
  <c r="C55" i="17"/>
  <c r="D55" i="17"/>
  <c r="AA56" i="16"/>
  <c r="D56" i="16"/>
  <c r="C56" i="16"/>
  <c r="D55" i="15"/>
  <c r="C55" i="15"/>
  <c r="C56" i="14"/>
  <c r="R56" i="14" s="1"/>
  <c r="D56" i="14"/>
  <c r="S56" i="14" s="1"/>
  <c r="D55" i="13"/>
  <c r="C55" i="13"/>
  <c r="D57" i="12"/>
  <c r="C57" i="12"/>
  <c r="O57" i="11"/>
  <c r="C57" i="11"/>
  <c r="D57" i="11"/>
  <c r="D56" i="10"/>
  <c r="C56" i="10"/>
  <c r="D56" i="9"/>
  <c r="C56" i="9"/>
  <c r="D57" i="8"/>
  <c r="S57" i="8" s="1"/>
  <c r="C57" i="8"/>
  <c r="D57" i="6"/>
  <c r="C57" i="6"/>
  <c r="P57" i="6"/>
  <c r="C56" i="4"/>
  <c r="D56" i="4"/>
  <c r="S56" i="4" s="1"/>
  <c r="M57" i="1"/>
  <c r="X57" i="1" s="1"/>
  <c r="Z57" i="1"/>
  <c r="P57" i="1"/>
  <c r="U57" i="1"/>
  <c r="AA57" i="1"/>
  <c r="Q57" i="1"/>
  <c r="G58" i="1"/>
  <c r="L57" i="1"/>
  <c r="W57" i="1" s="1"/>
  <c r="C57" i="1"/>
  <c r="R57" i="1" s="1"/>
  <c r="D57" i="1"/>
  <c r="S57" i="1" s="1"/>
  <c r="T57" i="1"/>
  <c r="O57" i="1"/>
  <c r="Z56" i="16"/>
  <c r="Z56" i="14"/>
  <c r="AA56" i="14"/>
  <c r="R56" i="12"/>
  <c r="S56" i="12"/>
  <c r="AJ60" i="18"/>
  <c r="E60" i="18" s="1"/>
  <c r="AH61" i="18"/>
  <c r="N59" i="18"/>
  <c r="M57" i="18"/>
  <c r="X57" i="18" s="1"/>
  <c r="L57" i="18"/>
  <c r="W57" i="18" s="1"/>
  <c r="G58" i="18"/>
  <c r="AA57" i="18"/>
  <c r="Z57" i="18"/>
  <c r="H58" i="18"/>
  <c r="S57" i="18"/>
  <c r="R57" i="18"/>
  <c r="J58" i="18"/>
  <c r="Q57" i="18"/>
  <c r="P57" i="18"/>
  <c r="U57" i="18"/>
  <c r="T57" i="18"/>
  <c r="O58" i="18"/>
  <c r="AJ61" i="17"/>
  <c r="E61" i="17" s="1"/>
  <c r="AH62" i="17"/>
  <c r="M55" i="17"/>
  <c r="X55" i="17" s="1"/>
  <c r="L55" i="17"/>
  <c r="W55" i="17" s="1"/>
  <c r="G56" i="17"/>
  <c r="AA55" i="17"/>
  <c r="Z55" i="17"/>
  <c r="S55" i="17"/>
  <c r="R55" i="17"/>
  <c r="N60" i="17"/>
  <c r="O55" i="17"/>
  <c r="H58" i="17"/>
  <c r="T55" i="17"/>
  <c r="P55" i="17"/>
  <c r="Q55" i="17"/>
  <c r="U55" i="17"/>
  <c r="J57" i="17"/>
  <c r="Q56" i="17"/>
  <c r="P56" i="17"/>
  <c r="U56" i="17"/>
  <c r="O56" i="17"/>
  <c r="U57" i="6"/>
  <c r="H58" i="14"/>
  <c r="N59" i="14"/>
  <c r="AH61" i="14"/>
  <c r="AJ60" i="14"/>
  <c r="E60" i="14" s="1"/>
  <c r="AJ60" i="15"/>
  <c r="E60" i="15" s="1"/>
  <c r="AH61" i="15"/>
  <c r="M55" i="15"/>
  <c r="X55" i="15" s="1"/>
  <c r="L55" i="15"/>
  <c r="W55" i="15" s="1"/>
  <c r="G56" i="15"/>
  <c r="O55" i="15"/>
  <c r="AA55" i="15"/>
  <c r="Z55" i="15"/>
  <c r="Q55" i="15"/>
  <c r="P55" i="15"/>
  <c r="S55" i="15"/>
  <c r="U55" i="15"/>
  <c r="T55" i="15"/>
  <c r="R55" i="15"/>
  <c r="N59" i="15"/>
  <c r="M55" i="13"/>
  <c r="X55" i="13" s="1"/>
  <c r="L55" i="13"/>
  <c r="W55" i="13" s="1"/>
  <c r="G56" i="13"/>
  <c r="O55" i="13"/>
  <c r="T55" i="13"/>
  <c r="Q55" i="13"/>
  <c r="P55" i="13"/>
  <c r="U55" i="13"/>
  <c r="S55" i="13"/>
  <c r="R55" i="13"/>
  <c r="AA55" i="13"/>
  <c r="Z55" i="13"/>
  <c r="H58" i="15"/>
  <c r="M56" i="16"/>
  <c r="X56" i="16" s="1"/>
  <c r="L56" i="16"/>
  <c r="W56" i="16" s="1"/>
  <c r="G57" i="16"/>
  <c r="Z57" i="16" s="1"/>
  <c r="M56" i="14"/>
  <c r="X56" i="14" s="1"/>
  <c r="L56" i="14"/>
  <c r="W56" i="14" s="1"/>
  <c r="G57" i="14"/>
  <c r="J58" i="15"/>
  <c r="J59" i="13"/>
  <c r="R56" i="16"/>
  <c r="J57" i="16"/>
  <c r="Q56" i="16"/>
  <c r="P56" i="16"/>
  <c r="U56" i="16"/>
  <c r="T56" i="16"/>
  <c r="AJ61" i="13"/>
  <c r="E61" i="13" s="1"/>
  <c r="AH62" i="13"/>
  <c r="S56" i="16"/>
  <c r="Q56" i="14"/>
  <c r="J57" i="14"/>
  <c r="P56" i="14"/>
  <c r="U56" i="14"/>
  <c r="T56" i="14"/>
  <c r="O56" i="14"/>
  <c r="AJ59" i="16"/>
  <c r="E59" i="16" s="1"/>
  <c r="AH60" i="16"/>
  <c r="N60" i="13"/>
  <c r="AA57" i="16"/>
  <c r="H58" i="16"/>
  <c r="H58" i="13"/>
  <c r="N58" i="16"/>
  <c r="S57" i="11"/>
  <c r="R57" i="11"/>
  <c r="AA57" i="11"/>
  <c r="Z57" i="11"/>
  <c r="H58" i="11"/>
  <c r="T57" i="11"/>
  <c r="Q57" i="11"/>
  <c r="P57" i="11"/>
  <c r="U57" i="11"/>
  <c r="AH61" i="11"/>
  <c r="AJ60" i="11"/>
  <c r="E60" i="11" s="1"/>
  <c r="AJ60" i="10"/>
  <c r="E60" i="10" s="1"/>
  <c r="AH61" i="10"/>
  <c r="N59" i="10"/>
  <c r="M56" i="10"/>
  <c r="X56" i="10" s="1"/>
  <c r="L56" i="10"/>
  <c r="W56" i="10" s="1"/>
  <c r="G57" i="10"/>
  <c r="L56" i="9"/>
  <c r="W56" i="9" s="1"/>
  <c r="G57" i="9"/>
  <c r="M56" i="9"/>
  <c r="X56" i="9" s="1"/>
  <c r="AA56" i="9"/>
  <c r="S56" i="9"/>
  <c r="Z56" i="9"/>
  <c r="R56" i="9"/>
  <c r="AJ60" i="12"/>
  <c r="E60" i="12" s="1"/>
  <c r="AH61" i="12"/>
  <c r="N59" i="11"/>
  <c r="N59" i="12"/>
  <c r="M57" i="12"/>
  <c r="X57" i="12" s="1"/>
  <c r="G58" i="12"/>
  <c r="Q56" i="10"/>
  <c r="P56" i="10"/>
  <c r="J57" i="10"/>
  <c r="U56" i="10"/>
  <c r="T56" i="10"/>
  <c r="O56" i="10"/>
  <c r="S56" i="10"/>
  <c r="R56" i="10"/>
  <c r="AA56" i="10"/>
  <c r="Z56" i="10"/>
  <c r="H57" i="10"/>
  <c r="J60" i="11"/>
  <c r="J57" i="12"/>
  <c r="L57" i="12" s="1"/>
  <c r="W57" i="12" s="1"/>
  <c r="Q56" i="12"/>
  <c r="P56" i="12"/>
  <c r="U56" i="12"/>
  <c r="T56" i="12"/>
  <c r="O56" i="12"/>
  <c r="AA57" i="12"/>
  <c r="Z57" i="12"/>
  <c r="H58" i="12"/>
  <c r="R57" i="12"/>
  <c r="AJ60" i="9"/>
  <c r="E60" i="9" s="1"/>
  <c r="AH61" i="9"/>
  <c r="H59" i="9"/>
  <c r="N59" i="9"/>
  <c r="M57" i="11"/>
  <c r="X57" i="11" s="1"/>
  <c r="L57" i="11"/>
  <c r="W57" i="11" s="1"/>
  <c r="G58" i="11"/>
  <c r="Q56" i="9"/>
  <c r="J57" i="9"/>
  <c r="P56" i="9"/>
  <c r="U56" i="9"/>
  <c r="T56" i="9"/>
  <c r="O56" i="9"/>
  <c r="AA57" i="8"/>
  <c r="Z57" i="8"/>
  <c r="H58" i="8"/>
  <c r="R57" i="8"/>
  <c r="AJ61" i="8"/>
  <c r="E61" i="8" s="1"/>
  <c r="AH62" i="8"/>
  <c r="N60" i="8"/>
  <c r="M57" i="8"/>
  <c r="X57" i="8" s="1"/>
  <c r="L57" i="8"/>
  <c r="W57" i="8" s="1"/>
  <c r="G58" i="8"/>
  <c r="J58" i="8"/>
  <c r="U57" i="8"/>
  <c r="Q57" i="8"/>
  <c r="P57" i="8"/>
  <c r="T57" i="8"/>
  <c r="O57" i="8"/>
  <c r="AJ61" i="7"/>
  <c r="E61" i="7" s="1"/>
  <c r="AH62" i="7"/>
  <c r="J59" i="7"/>
  <c r="H59" i="7"/>
  <c r="N60" i="7"/>
  <c r="AJ60" i="6"/>
  <c r="E60" i="6" s="1"/>
  <c r="AH61" i="6"/>
  <c r="N59" i="6"/>
  <c r="AA57" i="6"/>
  <c r="Z57" i="6"/>
  <c r="H58" i="6"/>
  <c r="S57" i="6"/>
  <c r="R57" i="6"/>
  <c r="Q57" i="6"/>
  <c r="J59" i="6"/>
  <c r="O57" i="6"/>
  <c r="M57" i="6"/>
  <c r="X57" i="6" s="1"/>
  <c r="L57" i="6"/>
  <c r="W57" i="6" s="1"/>
  <c r="G58" i="6"/>
  <c r="T57" i="6"/>
  <c r="R56" i="4"/>
  <c r="L56" i="4"/>
  <c r="W56" i="4" s="1"/>
  <c r="M56" i="4"/>
  <c r="X56" i="4" s="1"/>
  <c r="G57" i="4"/>
  <c r="L57" i="4" s="1"/>
  <c r="W57" i="4" s="1"/>
  <c r="P56" i="4"/>
  <c r="Q56" i="4"/>
  <c r="AA56" i="4"/>
  <c r="Z56" i="4"/>
  <c r="U56" i="4"/>
  <c r="T56" i="4"/>
  <c r="O56" i="4"/>
  <c r="N59" i="4"/>
  <c r="H58" i="4"/>
  <c r="J60" i="4"/>
  <c r="AJ60" i="4"/>
  <c r="E60" i="4" s="1"/>
  <c r="AH61" i="4"/>
  <c r="N63" i="27" l="1"/>
  <c r="T63" i="27"/>
  <c r="O62" i="27"/>
  <c r="AA62" i="27"/>
  <c r="N62" i="28"/>
  <c r="T62" i="28"/>
  <c r="O61" i="28"/>
  <c r="AA61" i="28"/>
  <c r="N61" i="26"/>
  <c r="T61" i="26"/>
  <c r="O60" i="26"/>
  <c r="AA60" i="26"/>
  <c r="N61" i="25"/>
  <c r="T61" i="25"/>
  <c r="O60" i="25"/>
  <c r="AA60" i="25"/>
  <c r="N62" i="24"/>
  <c r="T62" i="24"/>
  <c r="O61" i="24"/>
  <c r="AA61" i="24"/>
  <c r="N62" i="23"/>
  <c r="T62" i="23"/>
  <c r="O61" i="23"/>
  <c r="AA61" i="23"/>
  <c r="N62" i="22"/>
  <c r="T62" i="22"/>
  <c r="O61" i="22"/>
  <c r="AA61" i="22"/>
  <c r="N62" i="21"/>
  <c r="T62" i="21"/>
  <c r="O61" i="21"/>
  <c r="AA61" i="21"/>
  <c r="P58" i="20"/>
  <c r="D61" i="28"/>
  <c r="S61" i="28" s="1"/>
  <c r="C61" i="28"/>
  <c r="R61" i="28" s="1"/>
  <c r="H62" i="28"/>
  <c r="AJ63" i="28"/>
  <c r="E63" i="28" s="1"/>
  <c r="AH64" i="28"/>
  <c r="J60" i="28"/>
  <c r="L59" i="28"/>
  <c r="W59" i="28" s="1"/>
  <c r="H61" i="26"/>
  <c r="D60" i="26"/>
  <c r="S60" i="26" s="1"/>
  <c r="C60" i="26"/>
  <c r="R60" i="26" s="1"/>
  <c r="H61" i="27"/>
  <c r="D60" i="27"/>
  <c r="S60" i="27" s="1"/>
  <c r="C60" i="27"/>
  <c r="R60" i="27" s="1"/>
  <c r="AJ63" i="24"/>
  <c r="E63" i="24" s="1"/>
  <c r="AH64" i="24"/>
  <c r="H63" i="25"/>
  <c r="D62" i="25"/>
  <c r="S62" i="25" s="1"/>
  <c r="C62" i="25"/>
  <c r="R62" i="25" s="1"/>
  <c r="J60" i="26"/>
  <c r="L59" i="26"/>
  <c r="W59" i="26" s="1"/>
  <c r="AJ64" i="27"/>
  <c r="E64" i="27" s="1"/>
  <c r="AH65" i="27"/>
  <c r="AJ62" i="25"/>
  <c r="E62" i="25" s="1"/>
  <c r="AH63" i="25"/>
  <c r="J60" i="24"/>
  <c r="L59" i="24"/>
  <c r="W59" i="24" s="1"/>
  <c r="J61" i="25"/>
  <c r="L60" i="25"/>
  <c r="W60" i="25" s="1"/>
  <c r="H61" i="24"/>
  <c r="D60" i="24"/>
  <c r="S60" i="24" s="1"/>
  <c r="C60" i="24"/>
  <c r="R60" i="24" s="1"/>
  <c r="AJ62" i="26"/>
  <c r="E62" i="26" s="1"/>
  <c r="AH63" i="26"/>
  <c r="L60" i="27"/>
  <c r="W60" i="27" s="1"/>
  <c r="J62" i="27"/>
  <c r="L61" i="27"/>
  <c r="W61" i="27" s="1"/>
  <c r="L59" i="22"/>
  <c r="W59" i="22" s="1"/>
  <c r="J60" i="22"/>
  <c r="AJ63" i="22"/>
  <c r="E63" i="22" s="1"/>
  <c r="AH64" i="22"/>
  <c r="H60" i="23"/>
  <c r="D59" i="23"/>
  <c r="S59" i="23" s="1"/>
  <c r="C59" i="23"/>
  <c r="R59" i="23" s="1"/>
  <c r="AJ63" i="23"/>
  <c r="E63" i="23" s="1"/>
  <c r="AH64" i="23"/>
  <c r="J60" i="23"/>
  <c r="L59" i="23"/>
  <c r="W59" i="23" s="1"/>
  <c r="C61" i="22"/>
  <c r="R61" i="22" s="1"/>
  <c r="H62" i="22"/>
  <c r="D61" i="22"/>
  <c r="S61" i="22" s="1"/>
  <c r="H61" i="21"/>
  <c r="D60" i="21"/>
  <c r="S60" i="21" s="1"/>
  <c r="C60" i="21"/>
  <c r="R60" i="21" s="1"/>
  <c r="AJ63" i="21"/>
  <c r="E63" i="21" s="1"/>
  <c r="AH64" i="21"/>
  <c r="J60" i="21"/>
  <c r="L59" i="21"/>
  <c r="W59" i="21" s="1"/>
  <c r="L58" i="20"/>
  <c r="W58" i="20" s="1"/>
  <c r="G59" i="20"/>
  <c r="U59" i="20" s="1"/>
  <c r="M58" i="20"/>
  <c r="X58" i="20" s="1"/>
  <c r="Z58" i="20"/>
  <c r="D58" i="20"/>
  <c r="S58" i="20" s="1"/>
  <c r="C58" i="20"/>
  <c r="R58" i="20" s="1"/>
  <c r="AA58" i="20"/>
  <c r="N62" i="20"/>
  <c r="O58" i="20"/>
  <c r="T58" i="20"/>
  <c r="AJ63" i="20"/>
  <c r="E63" i="20" s="1"/>
  <c r="AH64" i="20"/>
  <c r="U58" i="20"/>
  <c r="J60" i="20"/>
  <c r="T59" i="20"/>
  <c r="O59" i="20"/>
  <c r="H62" i="20"/>
  <c r="C57" i="19"/>
  <c r="R57" i="19" s="1"/>
  <c r="Z57" i="19"/>
  <c r="AA57" i="19"/>
  <c r="D57" i="19"/>
  <c r="S57" i="19" s="1"/>
  <c r="O57" i="19"/>
  <c r="T57" i="19"/>
  <c r="U57" i="19"/>
  <c r="P57" i="19"/>
  <c r="H59" i="19"/>
  <c r="N63" i="19"/>
  <c r="AJ64" i="19"/>
  <c r="E64" i="19" s="1"/>
  <c r="AH65" i="19"/>
  <c r="M57" i="19"/>
  <c r="X57" i="19" s="1"/>
  <c r="L57" i="19"/>
  <c r="W57" i="19" s="1"/>
  <c r="G58" i="19"/>
  <c r="D58" i="19" s="1"/>
  <c r="S58" i="19" s="1"/>
  <c r="J59" i="19"/>
  <c r="Q58" i="19"/>
  <c r="P58" i="19"/>
  <c r="AA56" i="7"/>
  <c r="Q56" i="7"/>
  <c r="U56" i="7"/>
  <c r="P56" i="7"/>
  <c r="D56" i="7"/>
  <c r="S56" i="7" s="1"/>
  <c r="T56" i="7"/>
  <c r="M56" i="7"/>
  <c r="X56" i="7" s="1"/>
  <c r="O56" i="7"/>
  <c r="C56" i="7"/>
  <c r="R56" i="7" s="1"/>
  <c r="Z56" i="7"/>
  <c r="G57" i="7"/>
  <c r="L56" i="7"/>
  <c r="W56" i="7" s="1"/>
  <c r="C58" i="18"/>
  <c r="D58" i="18"/>
  <c r="D56" i="17"/>
  <c r="C56" i="17"/>
  <c r="D57" i="16"/>
  <c r="C57" i="16"/>
  <c r="R57" i="16" s="1"/>
  <c r="C56" i="15"/>
  <c r="R56" i="15" s="1"/>
  <c r="D56" i="15"/>
  <c r="Z57" i="14"/>
  <c r="C57" i="14"/>
  <c r="R57" i="14" s="1"/>
  <c r="D57" i="14"/>
  <c r="S57" i="14" s="1"/>
  <c r="C56" i="13"/>
  <c r="R56" i="13" s="1"/>
  <c r="D56" i="13"/>
  <c r="D58" i="12"/>
  <c r="C58" i="12"/>
  <c r="O58" i="11"/>
  <c r="D58" i="11"/>
  <c r="C58" i="11"/>
  <c r="C57" i="10"/>
  <c r="D57" i="10"/>
  <c r="C57" i="9"/>
  <c r="D57" i="9"/>
  <c r="D58" i="8"/>
  <c r="C58" i="8"/>
  <c r="R58" i="8" s="1"/>
  <c r="D58" i="6"/>
  <c r="C58" i="6"/>
  <c r="D57" i="4"/>
  <c r="S57" i="4" s="1"/>
  <c r="C57" i="4"/>
  <c r="R57" i="4" s="1"/>
  <c r="D58" i="1"/>
  <c r="S58" i="1" s="1"/>
  <c r="U58" i="1"/>
  <c r="Z58" i="1"/>
  <c r="Q58" i="1"/>
  <c r="P58" i="1"/>
  <c r="AA58" i="1"/>
  <c r="L58" i="1"/>
  <c r="W58" i="1" s="1"/>
  <c r="G59" i="1"/>
  <c r="C58" i="1"/>
  <c r="R58" i="1" s="1"/>
  <c r="M58" i="1"/>
  <c r="X58" i="1" s="1"/>
  <c r="T58" i="1"/>
  <c r="O58" i="1"/>
  <c r="S57" i="16"/>
  <c r="Z58" i="18"/>
  <c r="H59" i="18"/>
  <c r="S58" i="18"/>
  <c r="R58" i="18"/>
  <c r="AA58" i="18"/>
  <c r="L58" i="18"/>
  <c r="W58" i="18" s="1"/>
  <c r="G59" i="18"/>
  <c r="M58" i="18"/>
  <c r="X58" i="18" s="1"/>
  <c r="AJ61" i="18"/>
  <c r="E61" i="18" s="1"/>
  <c r="AH62" i="18"/>
  <c r="J59" i="18"/>
  <c r="U58" i="18"/>
  <c r="Q58" i="18"/>
  <c r="P58" i="18"/>
  <c r="T58" i="18"/>
  <c r="N60" i="18"/>
  <c r="J58" i="17"/>
  <c r="M56" i="17"/>
  <c r="X56" i="17" s="1"/>
  <c r="L56" i="17"/>
  <c r="W56" i="17" s="1"/>
  <c r="G57" i="17"/>
  <c r="AA56" i="17"/>
  <c r="Z56" i="17"/>
  <c r="S56" i="17"/>
  <c r="R56" i="17"/>
  <c r="H59" i="17"/>
  <c r="T56" i="17"/>
  <c r="AJ62" i="17"/>
  <c r="E62" i="17" s="1"/>
  <c r="AH63" i="17"/>
  <c r="N61" i="17"/>
  <c r="AJ62" i="13"/>
  <c r="E62" i="13" s="1"/>
  <c r="AH63" i="13"/>
  <c r="N60" i="14"/>
  <c r="N61" i="13"/>
  <c r="J60" i="13"/>
  <c r="AJ61" i="14"/>
  <c r="E61" i="14" s="1"/>
  <c r="AH62" i="14"/>
  <c r="AJ60" i="16"/>
  <c r="E60" i="16" s="1"/>
  <c r="AH61" i="16"/>
  <c r="H59" i="15"/>
  <c r="M56" i="13"/>
  <c r="X56" i="13" s="1"/>
  <c r="L56" i="13"/>
  <c r="W56" i="13" s="1"/>
  <c r="G57" i="13"/>
  <c r="Q56" i="13"/>
  <c r="O56" i="13"/>
  <c r="P56" i="13"/>
  <c r="T56" i="13"/>
  <c r="Z56" i="13"/>
  <c r="U56" i="13"/>
  <c r="S56" i="13"/>
  <c r="AA56" i="13"/>
  <c r="N59" i="16"/>
  <c r="M56" i="15"/>
  <c r="X56" i="15" s="1"/>
  <c r="L56" i="15"/>
  <c r="W56" i="15" s="1"/>
  <c r="G57" i="15"/>
  <c r="AA56" i="15"/>
  <c r="Z56" i="15"/>
  <c r="Q56" i="15"/>
  <c r="P56" i="15"/>
  <c r="S56" i="15"/>
  <c r="U56" i="15"/>
  <c r="T56" i="15"/>
  <c r="O56" i="15"/>
  <c r="H59" i="14"/>
  <c r="J58" i="16"/>
  <c r="U57" i="16"/>
  <c r="Q57" i="16"/>
  <c r="P57" i="16"/>
  <c r="T57" i="16"/>
  <c r="J59" i="15"/>
  <c r="M57" i="14"/>
  <c r="X57" i="14" s="1"/>
  <c r="L57" i="14"/>
  <c r="W57" i="14" s="1"/>
  <c r="G58" i="14"/>
  <c r="AA57" i="14"/>
  <c r="AJ61" i="15"/>
  <c r="E61" i="15" s="1"/>
  <c r="AH62" i="15"/>
  <c r="Q57" i="14"/>
  <c r="P57" i="14"/>
  <c r="J58" i="14"/>
  <c r="U57" i="14"/>
  <c r="T57" i="14"/>
  <c r="O57" i="14"/>
  <c r="N60" i="15"/>
  <c r="H59" i="13"/>
  <c r="H59" i="16"/>
  <c r="M57" i="16"/>
  <c r="X57" i="16" s="1"/>
  <c r="L57" i="16"/>
  <c r="W57" i="16" s="1"/>
  <c r="G58" i="16"/>
  <c r="O57" i="16"/>
  <c r="N60" i="11"/>
  <c r="H60" i="9"/>
  <c r="R57" i="10"/>
  <c r="AA57" i="10"/>
  <c r="Z57" i="10"/>
  <c r="H58" i="10"/>
  <c r="S57" i="10"/>
  <c r="AJ61" i="11"/>
  <c r="E61" i="11" s="1"/>
  <c r="AH62" i="11"/>
  <c r="G58" i="9"/>
  <c r="M57" i="9"/>
  <c r="X57" i="9" s="1"/>
  <c r="L57" i="9"/>
  <c r="W57" i="9" s="1"/>
  <c r="AA57" i="9"/>
  <c r="Z57" i="9"/>
  <c r="R57" i="9"/>
  <c r="S57" i="9"/>
  <c r="G59" i="12"/>
  <c r="M58" i="12"/>
  <c r="X58" i="12" s="1"/>
  <c r="M57" i="10"/>
  <c r="X57" i="10" s="1"/>
  <c r="L57" i="10"/>
  <c r="W57" i="10" s="1"/>
  <c r="G58" i="10"/>
  <c r="S58" i="11"/>
  <c r="R58" i="11"/>
  <c r="AA58" i="11"/>
  <c r="Z58" i="11"/>
  <c r="H59" i="11"/>
  <c r="U58" i="11"/>
  <c r="T58" i="11"/>
  <c r="Q58" i="11"/>
  <c r="P58" i="11"/>
  <c r="Q57" i="9"/>
  <c r="P57" i="9"/>
  <c r="J58" i="9"/>
  <c r="U57" i="9"/>
  <c r="T57" i="9"/>
  <c r="O57" i="9"/>
  <c r="AJ61" i="9"/>
  <c r="E61" i="9" s="1"/>
  <c r="AH62" i="9"/>
  <c r="J58" i="12"/>
  <c r="Q57" i="12"/>
  <c r="P57" i="12"/>
  <c r="U57" i="12"/>
  <c r="T57" i="12"/>
  <c r="O57" i="12"/>
  <c r="M58" i="11"/>
  <c r="X58" i="11" s="1"/>
  <c r="L58" i="11"/>
  <c r="W58" i="11" s="1"/>
  <c r="G59" i="11"/>
  <c r="N60" i="9"/>
  <c r="AJ61" i="12"/>
  <c r="E61" i="12" s="1"/>
  <c r="AH62" i="12"/>
  <c r="P57" i="10"/>
  <c r="J58" i="10"/>
  <c r="Q57" i="10"/>
  <c r="U57" i="10"/>
  <c r="T57" i="10"/>
  <c r="O57" i="10"/>
  <c r="N60" i="12"/>
  <c r="S57" i="12"/>
  <c r="J61" i="11"/>
  <c r="AJ61" i="10"/>
  <c r="E61" i="10" s="1"/>
  <c r="AH62" i="10"/>
  <c r="Z58" i="12"/>
  <c r="H59" i="12"/>
  <c r="AA58" i="12"/>
  <c r="N60" i="10"/>
  <c r="AJ62" i="8"/>
  <c r="E62" i="8" s="1"/>
  <c r="AH63" i="8"/>
  <c r="N61" i="8"/>
  <c r="Z58" i="8"/>
  <c r="H59" i="8"/>
  <c r="S58" i="8"/>
  <c r="AA58" i="8"/>
  <c r="J59" i="8"/>
  <c r="Q58" i="8"/>
  <c r="P58" i="8"/>
  <c r="U58" i="8"/>
  <c r="T58" i="8"/>
  <c r="O58" i="8"/>
  <c r="L58" i="8"/>
  <c r="W58" i="8" s="1"/>
  <c r="G59" i="8"/>
  <c r="M58" i="8"/>
  <c r="X58" i="8" s="1"/>
  <c r="H60" i="7"/>
  <c r="J60" i="7"/>
  <c r="AJ62" i="7"/>
  <c r="E62" i="7" s="1"/>
  <c r="AH63" i="7"/>
  <c r="N61" i="7"/>
  <c r="Z58" i="6"/>
  <c r="H59" i="6"/>
  <c r="S58" i="6"/>
  <c r="R58" i="6"/>
  <c r="AA58" i="6"/>
  <c r="T58" i="6"/>
  <c r="J60" i="6"/>
  <c r="L58" i="6"/>
  <c r="W58" i="6" s="1"/>
  <c r="G59" i="6"/>
  <c r="M58" i="6"/>
  <c r="X58" i="6" s="1"/>
  <c r="P58" i="6"/>
  <c r="AJ61" i="6"/>
  <c r="E61" i="6" s="1"/>
  <c r="AH62" i="6"/>
  <c r="Q58" i="6"/>
  <c r="N60" i="6"/>
  <c r="O59" i="6"/>
  <c r="U58" i="6"/>
  <c r="O58" i="6"/>
  <c r="M57" i="4"/>
  <c r="X57" i="4" s="1"/>
  <c r="AA57" i="4"/>
  <c r="Z57" i="4"/>
  <c r="U57" i="4"/>
  <c r="Q57" i="4"/>
  <c r="G58" i="4"/>
  <c r="P57" i="4"/>
  <c r="T57" i="4"/>
  <c r="O57" i="4"/>
  <c r="N60" i="4"/>
  <c r="J61" i="4"/>
  <c r="AJ61" i="4"/>
  <c r="E61" i="4" s="1"/>
  <c r="AH62" i="4"/>
  <c r="H59" i="4"/>
  <c r="N64" i="27" l="1"/>
  <c r="T64" i="27"/>
  <c r="O63" i="27"/>
  <c r="AA63" i="27"/>
  <c r="N63" i="28"/>
  <c r="T63" i="28"/>
  <c r="O62" i="28"/>
  <c r="AA62" i="28"/>
  <c r="N62" i="26"/>
  <c r="T62" i="26"/>
  <c r="O61" i="26"/>
  <c r="AA61" i="26"/>
  <c r="N62" i="25"/>
  <c r="T62" i="25"/>
  <c r="O61" i="25"/>
  <c r="AA61" i="25"/>
  <c r="N63" i="24"/>
  <c r="T63" i="24"/>
  <c r="O62" i="24"/>
  <c r="AA62" i="24"/>
  <c r="N63" i="23"/>
  <c r="T63" i="23"/>
  <c r="O62" i="23"/>
  <c r="AA62" i="23"/>
  <c r="N63" i="22"/>
  <c r="T63" i="22"/>
  <c r="O62" i="22"/>
  <c r="AA62" i="22"/>
  <c r="N63" i="21"/>
  <c r="T63" i="21"/>
  <c r="O62" i="21"/>
  <c r="AA62" i="21"/>
  <c r="P59" i="20"/>
  <c r="Q59" i="20"/>
  <c r="L60" i="28"/>
  <c r="W60" i="28" s="1"/>
  <c r="J61" i="28"/>
  <c r="AJ64" i="28"/>
  <c r="E64" i="28" s="1"/>
  <c r="AH65" i="28"/>
  <c r="D62" i="28"/>
  <c r="S62" i="28" s="1"/>
  <c r="C62" i="28"/>
  <c r="R62" i="28" s="1"/>
  <c r="H63" i="28"/>
  <c r="L60" i="26"/>
  <c r="W60" i="26" s="1"/>
  <c r="J61" i="26"/>
  <c r="H62" i="24"/>
  <c r="D61" i="24"/>
  <c r="S61" i="24" s="1"/>
  <c r="C61" i="24"/>
  <c r="R61" i="24" s="1"/>
  <c r="H64" i="25"/>
  <c r="D63" i="25"/>
  <c r="S63" i="25" s="1"/>
  <c r="C63" i="25"/>
  <c r="R63" i="25" s="1"/>
  <c r="J62" i="25"/>
  <c r="L61" i="25"/>
  <c r="W61" i="25" s="1"/>
  <c r="AJ64" i="24"/>
  <c r="E64" i="24" s="1"/>
  <c r="AH65" i="24"/>
  <c r="L60" i="24"/>
  <c r="W60" i="24" s="1"/>
  <c r="J61" i="24"/>
  <c r="AJ63" i="25"/>
  <c r="E63" i="25" s="1"/>
  <c r="AH64" i="25"/>
  <c r="J63" i="27"/>
  <c r="D61" i="27"/>
  <c r="S61" i="27" s="1"/>
  <c r="C61" i="27"/>
  <c r="R61" i="27" s="1"/>
  <c r="H62" i="27"/>
  <c r="AJ65" i="27"/>
  <c r="E65" i="27" s="1"/>
  <c r="AH66" i="27"/>
  <c r="AJ63" i="26"/>
  <c r="E63" i="26" s="1"/>
  <c r="AH64" i="26"/>
  <c r="H62" i="26"/>
  <c r="D61" i="26"/>
  <c r="S61" i="26" s="1"/>
  <c r="C61" i="26"/>
  <c r="R61" i="26" s="1"/>
  <c r="J61" i="23"/>
  <c r="L60" i="23"/>
  <c r="W60" i="23" s="1"/>
  <c r="AJ64" i="23"/>
  <c r="E64" i="23" s="1"/>
  <c r="AH65" i="23"/>
  <c r="H61" i="23"/>
  <c r="D60" i="23"/>
  <c r="S60" i="23" s="1"/>
  <c r="C60" i="23"/>
  <c r="R60" i="23" s="1"/>
  <c r="AJ64" i="22"/>
  <c r="E64" i="22" s="1"/>
  <c r="AH65" i="22"/>
  <c r="L60" i="22"/>
  <c r="W60" i="22" s="1"/>
  <c r="J61" i="22"/>
  <c r="H63" i="22"/>
  <c r="D62" i="22"/>
  <c r="S62" i="22" s="1"/>
  <c r="C62" i="22"/>
  <c r="R62" i="22" s="1"/>
  <c r="L60" i="21"/>
  <c r="W60" i="21" s="1"/>
  <c r="J61" i="21"/>
  <c r="AJ64" i="21"/>
  <c r="E64" i="21" s="1"/>
  <c r="AH65" i="21"/>
  <c r="D61" i="21"/>
  <c r="S61" i="21" s="1"/>
  <c r="C61" i="21"/>
  <c r="R61" i="21" s="1"/>
  <c r="H62" i="21"/>
  <c r="J61" i="20"/>
  <c r="G60" i="20"/>
  <c r="O60" i="20" s="1"/>
  <c r="M59" i="20"/>
  <c r="X59" i="20" s="1"/>
  <c r="L59" i="20"/>
  <c r="W59" i="20" s="1"/>
  <c r="D59" i="20"/>
  <c r="S59" i="20" s="1"/>
  <c r="C59" i="20"/>
  <c r="R59" i="20" s="1"/>
  <c r="AA59" i="20"/>
  <c r="Z59" i="20"/>
  <c r="AJ64" i="20"/>
  <c r="E64" i="20" s="1"/>
  <c r="AH65" i="20"/>
  <c r="H63" i="20"/>
  <c r="N63" i="20"/>
  <c r="O58" i="19"/>
  <c r="AA58" i="19"/>
  <c r="T58" i="19"/>
  <c r="U58" i="19"/>
  <c r="C58" i="19"/>
  <c r="R58" i="19" s="1"/>
  <c r="AJ65" i="19"/>
  <c r="E65" i="19" s="1"/>
  <c r="AH66" i="19"/>
  <c r="N64" i="19"/>
  <c r="H60" i="19"/>
  <c r="J60" i="19"/>
  <c r="G59" i="19"/>
  <c r="AA59" i="19" s="1"/>
  <c r="M58" i="19"/>
  <c r="X58" i="19" s="1"/>
  <c r="L58" i="19"/>
  <c r="W58" i="19" s="1"/>
  <c r="Z58" i="19"/>
  <c r="AA57" i="7"/>
  <c r="O57" i="7"/>
  <c r="T57" i="7"/>
  <c r="P57" i="7"/>
  <c r="Q57" i="7"/>
  <c r="U57" i="7"/>
  <c r="M57" i="7"/>
  <c r="X57" i="7" s="1"/>
  <c r="D57" i="7"/>
  <c r="S57" i="7" s="1"/>
  <c r="L57" i="7"/>
  <c r="W57" i="7" s="1"/>
  <c r="Z57" i="7"/>
  <c r="C57" i="7"/>
  <c r="R57" i="7" s="1"/>
  <c r="G58" i="7"/>
  <c r="D59" i="18"/>
  <c r="C59" i="18"/>
  <c r="D57" i="17"/>
  <c r="C57" i="17"/>
  <c r="D58" i="16"/>
  <c r="S58" i="16" s="1"/>
  <c r="C58" i="16"/>
  <c r="R58" i="16" s="1"/>
  <c r="D57" i="15"/>
  <c r="C57" i="15"/>
  <c r="R57" i="15" s="1"/>
  <c r="Z58" i="14"/>
  <c r="D58" i="14"/>
  <c r="S58" i="14" s="1"/>
  <c r="C58" i="14"/>
  <c r="R58" i="14" s="1"/>
  <c r="D57" i="13"/>
  <c r="S57" i="13" s="1"/>
  <c r="C57" i="13"/>
  <c r="D59" i="12"/>
  <c r="C59" i="12"/>
  <c r="D59" i="11"/>
  <c r="C59" i="11"/>
  <c r="D58" i="10"/>
  <c r="C58" i="10"/>
  <c r="D58" i="9"/>
  <c r="C58" i="9"/>
  <c r="D59" i="8"/>
  <c r="S59" i="8" s="1"/>
  <c r="C59" i="8"/>
  <c r="U59" i="6"/>
  <c r="D59" i="6"/>
  <c r="C59" i="6"/>
  <c r="D58" i="4"/>
  <c r="C58" i="4"/>
  <c r="R58" i="4" s="1"/>
  <c r="C59" i="1"/>
  <c r="R59" i="1" s="1"/>
  <c r="Z59" i="1"/>
  <c r="U59" i="1"/>
  <c r="AA59" i="1"/>
  <c r="P59" i="1"/>
  <c r="Q59" i="1"/>
  <c r="L59" i="1"/>
  <c r="W59" i="1" s="1"/>
  <c r="G60" i="1"/>
  <c r="D59" i="1"/>
  <c r="S59" i="1" s="1"/>
  <c r="M59" i="1"/>
  <c r="X59" i="1" s="1"/>
  <c r="T59" i="1"/>
  <c r="O59" i="1"/>
  <c r="AA58" i="16"/>
  <c r="Z58" i="16"/>
  <c r="T59" i="6"/>
  <c r="Q59" i="6"/>
  <c r="J60" i="18"/>
  <c r="U59" i="18"/>
  <c r="Q59" i="18"/>
  <c r="P59" i="18"/>
  <c r="T59" i="18"/>
  <c r="AJ62" i="18"/>
  <c r="E62" i="18" s="1"/>
  <c r="AH63" i="18"/>
  <c r="N61" i="18"/>
  <c r="O59" i="18"/>
  <c r="G60" i="18"/>
  <c r="M59" i="18"/>
  <c r="X59" i="18" s="1"/>
  <c r="L59" i="18"/>
  <c r="W59" i="18" s="1"/>
  <c r="H60" i="18"/>
  <c r="S59" i="18"/>
  <c r="R59" i="18"/>
  <c r="AA59" i="18"/>
  <c r="Z59" i="18"/>
  <c r="AJ63" i="17"/>
  <c r="E63" i="17" s="1"/>
  <c r="AH64" i="17"/>
  <c r="M57" i="17"/>
  <c r="X57" i="17" s="1"/>
  <c r="L57" i="17"/>
  <c r="W57" i="17" s="1"/>
  <c r="G58" i="17"/>
  <c r="Q58" i="17" s="1"/>
  <c r="AA57" i="17"/>
  <c r="Z57" i="17"/>
  <c r="S57" i="17"/>
  <c r="R57" i="17"/>
  <c r="N62" i="17"/>
  <c r="O57" i="17"/>
  <c r="T57" i="17"/>
  <c r="U57" i="17"/>
  <c r="H60" i="17"/>
  <c r="P57" i="17"/>
  <c r="Q57" i="17"/>
  <c r="J59" i="17"/>
  <c r="P59" i="6"/>
  <c r="J59" i="16"/>
  <c r="U58" i="16"/>
  <c r="Q58" i="16"/>
  <c r="P58" i="16"/>
  <c r="T58" i="16"/>
  <c r="H60" i="15"/>
  <c r="J61" i="13"/>
  <c r="H60" i="16"/>
  <c r="H60" i="14"/>
  <c r="AJ61" i="16"/>
  <c r="E61" i="16" s="1"/>
  <c r="AH62" i="16"/>
  <c r="P58" i="14"/>
  <c r="J59" i="14"/>
  <c r="U58" i="14"/>
  <c r="Q58" i="14"/>
  <c r="T58" i="14"/>
  <c r="O58" i="14"/>
  <c r="M57" i="15"/>
  <c r="X57" i="15" s="1"/>
  <c r="L57" i="15"/>
  <c r="W57" i="15" s="1"/>
  <c r="G58" i="15"/>
  <c r="O57" i="15"/>
  <c r="AA57" i="15"/>
  <c r="U57" i="15"/>
  <c r="Z57" i="15"/>
  <c r="Q57" i="15"/>
  <c r="P57" i="15"/>
  <c r="S57" i="15"/>
  <c r="T57" i="15"/>
  <c r="N60" i="16"/>
  <c r="O58" i="16"/>
  <c r="M58" i="14"/>
  <c r="X58" i="14" s="1"/>
  <c r="L58" i="14"/>
  <c r="W58" i="14" s="1"/>
  <c r="G59" i="14"/>
  <c r="AA58" i="14"/>
  <c r="AJ62" i="14"/>
  <c r="E62" i="14" s="1"/>
  <c r="AH63" i="14"/>
  <c r="M57" i="13"/>
  <c r="X57" i="13" s="1"/>
  <c r="L57" i="13"/>
  <c r="W57" i="13" s="1"/>
  <c r="G58" i="13"/>
  <c r="P57" i="13"/>
  <c r="Q57" i="13"/>
  <c r="U57" i="13"/>
  <c r="T57" i="13"/>
  <c r="O57" i="13"/>
  <c r="R57" i="13"/>
  <c r="AA57" i="13"/>
  <c r="Z57" i="13"/>
  <c r="N61" i="14"/>
  <c r="L58" i="16"/>
  <c r="W58" i="16" s="1"/>
  <c r="G59" i="16"/>
  <c r="M58" i="16"/>
  <c r="X58" i="16" s="1"/>
  <c r="AH63" i="15"/>
  <c r="AJ62" i="15"/>
  <c r="E62" i="15" s="1"/>
  <c r="J60" i="15"/>
  <c r="AH64" i="13"/>
  <c r="AJ63" i="13"/>
  <c r="E63" i="13" s="1"/>
  <c r="N61" i="15"/>
  <c r="N62" i="13"/>
  <c r="H60" i="13"/>
  <c r="N61" i="12"/>
  <c r="AJ62" i="9"/>
  <c r="E62" i="9" s="1"/>
  <c r="AH63" i="9"/>
  <c r="H60" i="11"/>
  <c r="R59" i="11"/>
  <c r="AA59" i="11"/>
  <c r="Z59" i="11"/>
  <c r="S59" i="11"/>
  <c r="P59" i="11"/>
  <c r="U59" i="11"/>
  <c r="Q59" i="11"/>
  <c r="T59" i="11"/>
  <c r="J59" i="12"/>
  <c r="L59" i="12" s="1"/>
  <c r="W59" i="12" s="1"/>
  <c r="Q58" i="12"/>
  <c r="P58" i="12"/>
  <c r="U58" i="12"/>
  <c r="T58" i="12"/>
  <c r="O58" i="12"/>
  <c r="N61" i="9"/>
  <c r="AA58" i="10"/>
  <c r="Z58" i="10"/>
  <c r="H59" i="10"/>
  <c r="S58" i="10"/>
  <c r="R58" i="10"/>
  <c r="G60" i="11"/>
  <c r="M59" i="11"/>
  <c r="X59" i="11" s="1"/>
  <c r="L59" i="11"/>
  <c r="W59" i="11" s="1"/>
  <c r="H61" i="9"/>
  <c r="R58" i="12"/>
  <c r="H60" i="12"/>
  <c r="AA59" i="12"/>
  <c r="Z59" i="12"/>
  <c r="Q58" i="9"/>
  <c r="P58" i="9"/>
  <c r="J59" i="9"/>
  <c r="U58" i="9"/>
  <c r="T58" i="9"/>
  <c r="O58" i="9"/>
  <c r="O59" i="11"/>
  <c r="L58" i="12"/>
  <c r="W58" i="12" s="1"/>
  <c r="S58" i="12"/>
  <c r="M58" i="10"/>
  <c r="X58" i="10" s="1"/>
  <c r="L58" i="10"/>
  <c r="W58" i="10" s="1"/>
  <c r="G59" i="10"/>
  <c r="M58" i="9"/>
  <c r="X58" i="9" s="1"/>
  <c r="L58" i="9"/>
  <c r="W58" i="9" s="1"/>
  <c r="G59" i="9"/>
  <c r="S58" i="9"/>
  <c r="R58" i="9"/>
  <c r="AA58" i="9"/>
  <c r="Z58" i="9"/>
  <c r="AJ62" i="12"/>
  <c r="E62" i="12" s="1"/>
  <c r="AH63" i="12"/>
  <c r="AJ62" i="10"/>
  <c r="E62" i="10" s="1"/>
  <c r="AH63" i="10"/>
  <c r="N61" i="10"/>
  <c r="AJ62" i="11"/>
  <c r="E62" i="11" s="1"/>
  <c r="AH63" i="11"/>
  <c r="J62" i="11"/>
  <c r="J59" i="10"/>
  <c r="Q58" i="10"/>
  <c r="P58" i="10"/>
  <c r="U58" i="10"/>
  <c r="T58" i="10"/>
  <c r="O58" i="10"/>
  <c r="N61" i="11"/>
  <c r="G60" i="12"/>
  <c r="M59" i="12"/>
  <c r="X59" i="12" s="1"/>
  <c r="J60" i="8"/>
  <c r="U59" i="8"/>
  <c r="Q59" i="8"/>
  <c r="P59" i="8"/>
  <c r="T59" i="8"/>
  <c r="O59" i="8"/>
  <c r="H60" i="8"/>
  <c r="R59" i="8"/>
  <c r="AA59" i="8"/>
  <c r="Z59" i="8"/>
  <c r="G60" i="8"/>
  <c r="M59" i="8"/>
  <c r="X59" i="8" s="1"/>
  <c r="L59" i="8"/>
  <c r="W59" i="8" s="1"/>
  <c r="AJ63" i="8"/>
  <c r="E63" i="8" s="1"/>
  <c r="AH64" i="8"/>
  <c r="N62" i="8"/>
  <c r="N62" i="7"/>
  <c r="J61" i="7"/>
  <c r="AJ63" i="7"/>
  <c r="E63" i="7" s="1"/>
  <c r="AH64" i="7"/>
  <c r="H61" i="7"/>
  <c r="J61" i="6"/>
  <c r="AJ62" i="6"/>
  <c r="E62" i="6" s="1"/>
  <c r="AH63" i="6"/>
  <c r="H60" i="6"/>
  <c r="S59" i="6"/>
  <c r="R59" i="6"/>
  <c r="AA59" i="6"/>
  <c r="Z59" i="6"/>
  <c r="N61" i="6"/>
  <c r="G60" i="6"/>
  <c r="O60" i="6" s="1"/>
  <c r="M59" i="6"/>
  <c r="X59" i="6" s="1"/>
  <c r="L59" i="6"/>
  <c r="W59" i="6" s="1"/>
  <c r="L58" i="4"/>
  <c r="W58" i="4" s="1"/>
  <c r="M58" i="4"/>
  <c r="X58" i="4" s="1"/>
  <c r="Z58" i="4"/>
  <c r="Q58" i="4"/>
  <c r="G59" i="4"/>
  <c r="P58" i="4"/>
  <c r="AA58" i="4"/>
  <c r="U58" i="4"/>
  <c r="T58" i="4"/>
  <c r="O58" i="4"/>
  <c r="S58" i="4"/>
  <c r="N61" i="4"/>
  <c r="H60" i="4"/>
  <c r="AJ62" i="4"/>
  <c r="E62" i="4" s="1"/>
  <c r="AH63" i="4"/>
  <c r="J62" i="4"/>
  <c r="N65" i="27" l="1"/>
  <c r="T65" i="27"/>
  <c r="O64" i="27"/>
  <c r="AA64" i="27"/>
  <c r="N64" i="28"/>
  <c r="T64" i="28"/>
  <c r="O63" i="28"/>
  <c r="AA63" i="28"/>
  <c r="N63" i="26"/>
  <c r="T63" i="26"/>
  <c r="O62" i="26"/>
  <c r="AA62" i="26"/>
  <c r="N63" i="25"/>
  <c r="T63" i="25"/>
  <c r="O62" i="25"/>
  <c r="AA62" i="25"/>
  <c r="N64" i="24"/>
  <c r="T64" i="24"/>
  <c r="O63" i="24"/>
  <c r="AA63" i="24"/>
  <c r="N64" i="23"/>
  <c r="T64" i="23"/>
  <c r="O63" i="23"/>
  <c r="AA63" i="23"/>
  <c r="N64" i="22"/>
  <c r="T64" i="22"/>
  <c r="O63" i="22"/>
  <c r="AA63" i="22"/>
  <c r="N64" i="21"/>
  <c r="T64" i="21"/>
  <c r="O63" i="21"/>
  <c r="AA63" i="21"/>
  <c r="D63" i="28"/>
  <c r="S63" i="28" s="1"/>
  <c r="C63" i="28"/>
  <c r="R63" i="28" s="1"/>
  <c r="H64" i="28"/>
  <c r="AJ65" i="28"/>
  <c r="E65" i="28" s="1"/>
  <c r="AH66" i="28"/>
  <c r="L61" i="28"/>
  <c r="W61" i="28" s="1"/>
  <c r="J62" i="28"/>
  <c r="AJ65" i="24"/>
  <c r="E65" i="24" s="1"/>
  <c r="AH66" i="24"/>
  <c r="D62" i="27"/>
  <c r="S62" i="27" s="1"/>
  <c r="C62" i="27"/>
  <c r="R62" i="27" s="1"/>
  <c r="H63" i="27"/>
  <c r="L63" i="27" s="1"/>
  <c r="W63" i="27" s="1"/>
  <c r="L62" i="25"/>
  <c r="W62" i="25" s="1"/>
  <c r="J63" i="25"/>
  <c r="J64" i="27"/>
  <c r="H65" i="25"/>
  <c r="D64" i="25"/>
  <c r="S64" i="25" s="1"/>
  <c r="C64" i="25"/>
  <c r="R64" i="25" s="1"/>
  <c r="AJ66" i="27"/>
  <c r="E66" i="27" s="1"/>
  <c r="N66" i="27" s="1"/>
  <c r="AA66" i="27" s="1"/>
  <c r="AH67" i="27"/>
  <c r="L62" i="27"/>
  <c r="W62" i="27" s="1"/>
  <c r="AJ64" i="25"/>
  <c r="E64" i="25" s="1"/>
  <c r="AH65" i="25"/>
  <c r="H63" i="24"/>
  <c r="D62" i="24"/>
  <c r="S62" i="24" s="1"/>
  <c r="C62" i="24"/>
  <c r="R62" i="24" s="1"/>
  <c r="H63" i="26"/>
  <c r="D62" i="26"/>
  <c r="S62" i="26" s="1"/>
  <c r="C62" i="26"/>
  <c r="R62" i="26" s="1"/>
  <c r="J62" i="24"/>
  <c r="L61" i="24"/>
  <c r="W61" i="24" s="1"/>
  <c r="J62" i="26"/>
  <c r="L61" i="26"/>
  <c r="W61" i="26" s="1"/>
  <c r="AJ64" i="26"/>
  <c r="E64" i="26" s="1"/>
  <c r="AH65" i="26"/>
  <c r="L61" i="22"/>
  <c r="W61" i="22" s="1"/>
  <c r="J62" i="22"/>
  <c r="AJ65" i="22"/>
  <c r="E65" i="22" s="1"/>
  <c r="AH66" i="22"/>
  <c r="D61" i="23"/>
  <c r="S61" i="23" s="1"/>
  <c r="C61" i="23"/>
  <c r="R61" i="23" s="1"/>
  <c r="H62" i="23"/>
  <c r="AJ65" i="23"/>
  <c r="E65" i="23" s="1"/>
  <c r="AH66" i="23"/>
  <c r="H64" i="22"/>
  <c r="D63" i="22"/>
  <c r="S63" i="22" s="1"/>
  <c r="C63" i="22"/>
  <c r="R63" i="22" s="1"/>
  <c r="L61" i="23"/>
  <c r="W61" i="23" s="1"/>
  <c r="J62" i="23"/>
  <c r="D62" i="21"/>
  <c r="S62" i="21" s="1"/>
  <c r="C62" i="21"/>
  <c r="R62" i="21" s="1"/>
  <c r="H63" i="21"/>
  <c r="AJ65" i="21"/>
  <c r="E65" i="21" s="1"/>
  <c r="AH66" i="21"/>
  <c r="J62" i="21"/>
  <c r="L61" i="21"/>
  <c r="W61" i="21" s="1"/>
  <c r="H64" i="20"/>
  <c r="L60" i="20"/>
  <c r="W60" i="20" s="1"/>
  <c r="M60" i="20"/>
  <c r="X60" i="20" s="1"/>
  <c r="G61" i="20"/>
  <c r="D60" i="20"/>
  <c r="S60" i="20" s="1"/>
  <c r="C60" i="20"/>
  <c r="R60" i="20" s="1"/>
  <c r="Z60" i="20"/>
  <c r="AA60" i="20"/>
  <c r="T60" i="20"/>
  <c r="U60" i="20"/>
  <c r="AH66" i="20"/>
  <c r="AJ65" i="20"/>
  <c r="E65" i="20" s="1"/>
  <c r="Q61" i="20"/>
  <c r="P61" i="20"/>
  <c r="J62" i="20"/>
  <c r="U61" i="20"/>
  <c r="T61" i="20"/>
  <c r="O61" i="20"/>
  <c r="N64" i="20"/>
  <c r="P60" i="20"/>
  <c r="Q60" i="20"/>
  <c r="Z59" i="19"/>
  <c r="C59" i="19"/>
  <c r="R59" i="19" s="1"/>
  <c r="D59" i="19"/>
  <c r="S59" i="19" s="1"/>
  <c r="T59" i="19"/>
  <c r="P59" i="19"/>
  <c r="Q59" i="19"/>
  <c r="H61" i="19"/>
  <c r="M59" i="19"/>
  <c r="X59" i="19" s="1"/>
  <c r="L59" i="19"/>
  <c r="W59" i="19" s="1"/>
  <c r="G60" i="19"/>
  <c r="O60" i="19" s="1"/>
  <c r="O59" i="19"/>
  <c r="J61" i="19"/>
  <c r="AJ66" i="19"/>
  <c r="E66" i="19" s="1"/>
  <c r="AH67" i="19"/>
  <c r="U59" i="19"/>
  <c r="N65" i="19"/>
  <c r="AA58" i="7"/>
  <c r="Z58" i="7"/>
  <c r="O58" i="7"/>
  <c r="T58" i="7"/>
  <c r="U58" i="7"/>
  <c r="P58" i="7"/>
  <c r="Q58" i="7"/>
  <c r="L58" i="7"/>
  <c r="W58" i="7" s="1"/>
  <c r="G59" i="7"/>
  <c r="M58" i="7"/>
  <c r="X58" i="7" s="1"/>
  <c r="D58" i="7"/>
  <c r="S58" i="7" s="1"/>
  <c r="C58" i="7"/>
  <c r="R58" i="7" s="1"/>
  <c r="O58" i="17"/>
  <c r="T58" i="17"/>
  <c r="U58" i="17"/>
  <c r="P58" i="17"/>
  <c r="O60" i="11"/>
  <c r="D60" i="18"/>
  <c r="C60" i="18"/>
  <c r="C58" i="17"/>
  <c r="R58" i="17" s="1"/>
  <c r="D58" i="17"/>
  <c r="D59" i="16"/>
  <c r="S59" i="16" s="1"/>
  <c r="C59" i="16"/>
  <c r="R59" i="16" s="1"/>
  <c r="D58" i="15"/>
  <c r="S58" i="15" s="1"/>
  <c r="C58" i="15"/>
  <c r="R58" i="15" s="1"/>
  <c r="C59" i="14"/>
  <c r="D59" i="14"/>
  <c r="S59" i="14" s="1"/>
  <c r="D58" i="13"/>
  <c r="C58" i="13"/>
  <c r="D60" i="12"/>
  <c r="C60" i="12"/>
  <c r="C60" i="11"/>
  <c r="D60" i="11"/>
  <c r="D59" i="10"/>
  <c r="C59" i="10"/>
  <c r="D59" i="9"/>
  <c r="S59" i="9" s="1"/>
  <c r="C59" i="9"/>
  <c r="D60" i="8"/>
  <c r="C60" i="8"/>
  <c r="U60" i="6"/>
  <c r="D60" i="6"/>
  <c r="C60" i="6"/>
  <c r="C59" i="4"/>
  <c r="R59" i="4" s="1"/>
  <c r="D59" i="4"/>
  <c r="D60" i="1"/>
  <c r="S60" i="1" s="1"/>
  <c r="Z60" i="1"/>
  <c r="Q60" i="1"/>
  <c r="P60" i="1"/>
  <c r="AA60" i="1"/>
  <c r="U60" i="1"/>
  <c r="G61" i="1"/>
  <c r="M60" i="1"/>
  <c r="X60" i="1" s="1"/>
  <c r="C60" i="1"/>
  <c r="R60" i="1" s="1"/>
  <c r="L60" i="1"/>
  <c r="W60" i="1" s="1"/>
  <c r="T60" i="1"/>
  <c r="O60" i="1"/>
  <c r="Z59" i="16"/>
  <c r="R59" i="12"/>
  <c r="S59" i="12"/>
  <c r="G61" i="18"/>
  <c r="M60" i="18"/>
  <c r="X60" i="18" s="1"/>
  <c r="L60" i="18"/>
  <c r="W60" i="18" s="1"/>
  <c r="AJ63" i="18"/>
  <c r="E63" i="18" s="1"/>
  <c r="AH64" i="18"/>
  <c r="N62" i="18"/>
  <c r="H61" i="18"/>
  <c r="S60" i="18"/>
  <c r="R60" i="18"/>
  <c r="AA60" i="18"/>
  <c r="Z60" i="18"/>
  <c r="O60" i="18"/>
  <c r="Q60" i="18"/>
  <c r="P60" i="18"/>
  <c r="J61" i="18"/>
  <c r="U60" i="18"/>
  <c r="T60" i="18"/>
  <c r="J60" i="17"/>
  <c r="L58" i="17"/>
  <c r="W58" i="17" s="1"/>
  <c r="G59" i="17"/>
  <c r="O59" i="17" s="1"/>
  <c r="M58" i="17"/>
  <c r="X58" i="17" s="1"/>
  <c r="Z58" i="17"/>
  <c r="S58" i="17"/>
  <c r="AA58" i="17"/>
  <c r="H61" i="17"/>
  <c r="AJ64" i="17"/>
  <c r="E64" i="17" s="1"/>
  <c r="AH65" i="17"/>
  <c r="N63" i="17"/>
  <c r="AA59" i="16"/>
  <c r="J61" i="15"/>
  <c r="J60" i="14"/>
  <c r="U59" i="14"/>
  <c r="Q59" i="14"/>
  <c r="P59" i="14"/>
  <c r="T59" i="14"/>
  <c r="O59" i="14"/>
  <c r="N62" i="15"/>
  <c r="AJ63" i="15"/>
  <c r="E63" i="15" s="1"/>
  <c r="AH64" i="15"/>
  <c r="L59" i="14"/>
  <c r="W59" i="14" s="1"/>
  <c r="G60" i="14"/>
  <c r="M59" i="14"/>
  <c r="X59" i="14" s="1"/>
  <c r="H61" i="16"/>
  <c r="AJ62" i="16"/>
  <c r="E62" i="16" s="1"/>
  <c r="AH63" i="16"/>
  <c r="H61" i="15"/>
  <c r="N61" i="16"/>
  <c r="G60" i="16"/>
  <c r="M59" i="16"/>
  <c r="X59" i="16" s="1"/>
  <c r="L59" i="16"/>
  <c r="W59" i="16" s="1"/>
  <c r="AJ64" i="13"/>
  <c r="E64" i="13" s="1"/>
  <c r="AH65" i="13"/>
  <c r="M58" i="13"/>
  <c r="X58" i="13" s="1"/>
  <c r="L58" i="13"/>
  <c r="W58" i="13" s="1"/>
  <c r="G59" i="13"/>
  <c r="Q58" i="13"/>
  <c r="T58" i="13"/>
  <c r="AA58" i="13"/>
  <c r="Z58" i="13"/>
  <c r="U58" i="13"/>
  <c r="S58" i="13"/>
  <c r="R58" i="13"/>
  <c r="P58" i="13"/>
  <c r="O58" i="13"/>
  <c r="L58" i="15"/>
  <c r="W58" i="15" s="1"/>
  <c r="G59" i="15"/>
  <c r="M58" i="15"/>
  <c r="X58" i="15" s="1"/>
  <c r="O58" i="15"/>
  <c r="AA58" i="15"/>
  <c r="Q58" i="15"/>
  <c r="P58" i="15"/>
  <c r="U58" i="15"/>
  <c r="T58" i="15"/>
  <c r="Z58" i="15"/>
  <c r="AA59" i="14"/>
  <c r="R59" i="14"/>
  <c r="O59" i="16"/>
  <c r="J62" i="13"/>
  <c r="N62" i="14"/>
  <c r="H61" i="14"/>
  <c r="J60" i="16"/>
  <c r="Q59" i="16"/>
  <c r="P59" i="16"/>
  <c r="U59" i="16"/>
  <c r="T59" i="16"/>
  <c r="N63" i="13"/>
  <c r="H61" i="13"/>
  <c r="AJ63" i="14"/>
  <c r="E63" i="14" s="1"/>
  <c r="AH64" i="14"/>
  <c r="Z59" i="14"/>
  <c r="G61" i="12"/>
  <c r="M60" i="12"/>
  <c r="X60" i="12" s="1"/>
  <c r="AH64" i="11"/>
  <c r="AJ63" i="11"/>
  <c r="E63" i="11" s="1"/>
  <c r="M59" i="9"/>
  <c r="X59" i="9" s="1"/>
  <c r="L59" i="9"/>
  <c r="W59" i="9" s="1"/>
  <c r="G60" i="9"/>
  <c r="R59" i="9"/>
  <c r="AA59" i="9"/>
  <c r="Z59" i="9"/>
  <c r="Q59" i="9"/>
  <c r="P59" i="9"/>
  <c r="J60" i="9"/>
  <c r="U59" i="9"/>
  <c r="T59" i="9"/>
  <c r="O59" i="9"/>
  <c r="H62" i="9"/>
  <c r="N62" i="11"/>
  <c r="M59" i="10"/>
  <c r="X59" i="10" s="1"/>
  <c r="L59" i="10"/>
  <c r="W59" i="10" s="1"/>
  <c r="G60" i="10"/>
  <c r="S60" i="11"/>
  <c r="AA60" i="11"/>
  <c r="H61" i="11"/>
  <c r="Z60" i="11"/>
  <c r="R60" i="11"/>
  <c r="P60" i="11"/>
  <c r="T60" i="11"/>
  <c r="Q60" i="11"/>
  <c r="U60" i="11"/>
  <c r="AJ63" i="10"/>
  <c r="E63" i="10" s="1"/>
  <c r="AH64" i="10"/>
  <c r="M60" i="11"/>
  <c r="X60" i="11" s="1"/>
  <c r="L60" i="11"/>
  <c r="W60" i="11" s="1"/>
  <c r="G61" i="11"/>
  <c r="AH64" i="9"/>
  <c r="AJ63" i="9"/>
  <c r="E63" i="9" s="1"/>
  <c r="N62" i="10"/>
  <c r="N62" i="9"/>
  <c r="J60" i="10"/>
  <c r="P59" i="10"/>
  <c r="Q59" i="10"/>
  <c r="U59" i="10"/>
  <c r="T59" i="10"/>
  <c r="O59" i="10"/>
  <c r="AJ63" i="12"/>
  <c r="E63" i="12" s="1"/>
  <c r="AH64" i="12"/>
  <c r="J60" i="12"/>
  <c r="U59" i="12"/>
  <c r="Q59" i="12"/>
  <c r="P59" i="12"/>
  <c r="T59" i="12"/>
  <c r="O59" i="12"/>
  <c r="N62" i="12"/>
  <c r="H61" i="12"/>
  <c r="AA60" i="12"/>
  <c r="Z60" i="12"/>
  <c r="AA59" i="10"/>
  <c r="Z59" i="10"/>
  <c r="H60" i="10"/>
  <c r="R59" i="10"/>
  <c r="S59" i="10"/>
  <c r="J63" i="11"/>
  <c r="H61" i="8"/>
  <c r="S60" i="8"/>
  <c r="R60" i="8"/>
  <c r="AA60" i="8"/>
  <c r="Z60" i="8"/>
  <c r="G61" i="8"/>
  <c r="M60" i="8"/>
  <c r="X60" i="8" s="1"/>
  <c r="L60" i="8"/>
  <c r="W60" i="8" s="1"/>
  <c r="AJ64" i="8"/>
  <c r="E64" i="8" s="1"/>
  <c r="AH65" i="8"/>
  <c r="N63" i="8"/>
  <c r="Q60" i="8"/>
  <c r="P60" i="8"/>
  <c r="J61" i="8"/>
  <c r="U60" i="8"/>
  <c r="T60" i="8"/>
  <c r="O60" i="8"/>
  <c r="H62" i="7"/>
  <c r="AH65" i="7"/>
  <c r="AJ64" i="7"/>
  <c r="E64" i="7" s="1"/>
  <c r="N63" i="7"/>
  <c r="J62" i="7"/>
  <c r="AJ63" i="6"/>
  <c r="E63" i="6" s="1"/>
  <c r="AH64" i="6"/>
  <c r="N62" i="6"/>
  <c r="H61" i="6"/>
  <c r="S60" i="6"/>
  <c r="R60" i="6"/>
  <c r="AA60" i="6"/>
  <c r="Z60" i="6"/>
  <c r="T60" i="6"/>
  <c r="G61" i="6"/>
  <c r="M60" i="6"/>
  <c r="X60" i="6" s="1"/>
  <c r="L60" i="6"/>
  <c r="W60" i="6" s="1"/>
  <c r="J62" i="6"/>
  <c r="P60" i="6"/>
  <c r="Q60" i="6"/>
  <c r="L59" i="4"/>
  <c r="W59" i="4" s="1"/>
  <c r="M59" i="4"/>
  <c r="X59" i="4" s="1"/>
  <c r="Q59" i="4"/>
  <c r="G60" i="4"/>
  <c r="L60" i="4" s="1"/>
  <c r="W60" i="4" s="1"/>
  <c r="P59" i="4"/>
  <c r="AA59" i="4"/>
  <c r="Z59" i="4"/>
  <c r="U59" i="4"/>
  <c r="T59" i="4"/>
  <c r="O59" i="4"/>
  <c r="S59" i="4"/>
  <c r="N62" i="4"/>
  <c r="AJ63" i="4"/>
  <c r="E63" i="4" s="1"/>
  <c r="AH64" i="4"/>
  <c r="J63" i="4"/>
  <c r="H61" i="4"/>
  <c r="O65" i="27" l="1"/>
  <c r="AA65" i="27"/>
  <c r="N65" i="28"/>
  <c r="T65" i="28"/>
  <c r="O64" i="28"/>
  <c r="AA64" i="28"/>
  <c r="N64" i="26"/>
  <c r="T64" i="26"/>
  <c r="O63" i="26"/>
  <c r="AA63" i="26"/>
  <c r="N64" i="25"/>
  <c r="T64" i="25"/>
  <c r="O63" i="25"/>
  <c r="AA63" i="25"/>
  <c r="N65" i="24"/>
  <c r="T65" i="24"/>
  <c r="O64" i="24"/>
  <c r="AA64" i="24"/>
  <c r="N65" i="23"/>
  <c r="T65" i="23"/>
  <c r="O64" i="23"/>
  <c r="AA64" i="23"/>
  <c r="N65" i="22"/>
  <c r="T65" i="22"/>
  <c r="O64" i="22"/>
  <c r="AA64" i="22"/>
  <c r="N65" i="21"/>
  <c r="T65" i="21"/>
  <c r="O64" i="21"/>
  <c r="AA64" i="21"/>
  <c r="L62" i="28"/>
  <c r="W62" i="28" s="1"/>
  <c r="J63" i="28"/>
  <c r="AJ66" i="28"/>
  <c r="E66" i="28" s="1"/>
  <c r="N66" i="28" s="1"/>
  <c r="AA66" i="28" s="1"/>
  <c r="AH67" i="28"/>
  <c r="D64" i="28"/>
  <c r="S64" i="28" s="1"/>
  <c r="C64" i="28"/>
  <c r="R64" i="28" s="1"/>
  <c r="H65" i="28"/>
  <c r="J63" i="24"/>
  <c r="L62" i="24"/>
  <c r="W62" i="24" s="1"/>
  <c r="D65" i="25"/>
  <c r="S65" i="25" s="1"/>
  <c r="C65" i="25"/>
  <c r="R65" i="25" s="1"/>
  <c r="H66" i="25"/>
  <c r="H64" i="26"/>
  <c r="D63" i="26"/>
  <c r="S63" i="26" s="1"/>
  <c r="C63" i="26"/>
  <c r="R63" i="26" s="1"/>
  <c r="J65" i="27"/>
  <c r="J64" i="25"/>
  <c r="L63" i="25"/>
  <c r="W63" i="25" s="1"/>
  <c r="D63" i="24"/>
  <c r="S63" i="24" s="1"/>
  <c r="C63" i="24"/>
  <c r="R63" i="24" s="1"/>
  <c r="H64" i="24"/>
  <c r="AJ65" i="26"/>
  <c r="E65" i="26" s="1"/>
  <c r="AH66" i="26"/>
  <c r="AJ65" i="25"/>
  <c r="E65" i="25" s="1"/>
  <c r="AH66" i="25"/>
  <c r="D63" i="27"/>
  <c r="S63" i="27" s="1"/>
  <c r="C63" i="27"/>
  <c r="R63" i="27" s="1"/>
  <c r="H64" i="27"/>
  <c r="J63" i="26"/>
  <c r="L62" i="26"/>
  <c r="W62" i="26" s="1"/>
  <c r="AH68" i="27"/>
  <c r="AJ67" i="27"/>
  <c r="E67" i="27" s="1"/>
  <c r="N67" i="27" s="1"/>
  <c r="AJ66" i="24"/>
  <c r="E66" i="24" s="1"/>
  <c r="N66" i="24" s="1"/>
  <c r="AA66" i="24" s="1"/>
  <c r="AH67" i="24"/>
  <c r="H65" i="22"/>
  <c r="D64" i="22"/>
  <c r="S64" i="22" s="1"/>
  <c r="C64" i="22"/>
  <c r="R64" i="22" s="1"/>
  <c r="AJ66" i="23"/>
  <c r="E66" i="23" s="1"/>
  <c r="N66" i="23" s="1"/>
  <c r="AA66" i="23" s="1"/>
  <c r="AH67" i="23"/>
  <c r="D62" i="23"/>
  <c r="S62" i="23" s="1"/>
  <c r="C62" i="23"/>
  <c r="R62" i="23" s="1"/>
  <c r="H63" i="23"/>
  <c r="AJ66" i="22"/>
  <c r="E66" i="22" s="1"/>
  <c r="N66" i="22" s="1"/>
  <c r="AA66" i="22" s="1"/>
  <c r="AH67" i="22"/>
  <c r="L62" i="23"/>
  <c r="W62" i="23" s="1"/>
  <c r="J63" i="23"/>
  <c r="J63" i="22"/>
  <c r="L62" i="22"/>
  <c r="W62" i="22" s="1"/>
  <c r="J63" i="21"/>
  <c r="L62" i="21"/>
  <c r="W62" i="21" s="1"/>
  <c r="AJ66" i="21"/>
  <c r="E66" i="21" s="1"/>
  <c r="N66" i="21" s="1"/>
  <c r="AA66" i="21" s="1"/>
  <c r="AH67" i="21"/>
  <c r="D63" i="21"/>
  <c r="S63" i="21" s="1"/>
  <c r="C63" i="21"/>
  <c r="R63" i="21" s="1"/>
  <c r="H64" i="21"/>
  <c r="G62" i="20"/>
  <c r="Q62" i="20" s="1"/>
  <c r="M61" i="20"/>
  <c r="X61" i="20" s="1"/>
  <c r="L61" i="20"/>
  <c r="W61" i="20" s="1"/>
  <c r="Z61" i="20"/>
  <c r="AA61" i="20"/>
  <c r="C61" i="20"/>
  <c r="R61" i="20" s="1"/>
  <c r="D61" i="20"/>
  <c r="S61" i="20" s="1"/>
  <c r="J63" i="20"/>
  <c r="O62" i="20"/>
  <c r="H65" i="20"/>
  <c r="N65" i="20"/>
  <c r="AJ66" i="20"/>
  <c r="E66" i="20" s="1"/>
  <c r="AH67" i="20"/>
  <c r="Q60" i="19"/>
  <c r="P60" i="19"/>
  <c r="G61" i="19"/>
  <c r="Z61" i="19" s="1"/>
  <c r="M60" i="19"/>
  <c r="X60" i="19" s="1"/>
  <c r="L60" i="19"/>
  <c r="W60" i="19" s="1"/>
  <c r="AH68" i="19"/>
  <c r="AJ67" i="19"/>
  <c r="E67" i="19" s="1"/>
  <c r="N66" i="19"/>
  <c r="Z60" i="19"/>
  <c r="D61" i="19"/>
  <c r="S61" i="19" s="1"/>
  <c r="C61" i="19"/>
  <c r="R61" i="19" s="1"/>
  <c r="AA61" i="19"/>
  <c r="H62" i="19"/>
  <c r="T60" i="19"/>
  <c r="AA60" i="19"/>
  <c r="U60" i="19"/>
  <c r="C60" i="19"/>
  <c r="R60" i="19" s="1"/>
  <c r="Q61" i="19"/>
  <c r="P61" i="19"/>
  <c r="U61" i="19"/>
  <c r="J62" i="19"/>
  <c r="T61" i="19"/>
  <c r="O61" i="19"/>
  <c r="D60" i="19"/>
  <c r="S60" i="19" s="1"/>
  <c r="AA59" i="7"/>
  <c r="G60" i="7"/>
  <c r="Q59" i="7"/>
  <c r="L59" i="7"/>
  <c r="W59" i="7" s="1"/>
  <c r="P59" i="7"/>
  <c r="D59" i="7"/>
  <c r="S59" i="7" s="1"/>
  <c r="M59" i="7"/>
  <c r="X59" i="7" s="1"/>
  <c r="C59" i="7"/>
  <c r="R59" i="7" s="1"/>
  <c r="O59" i="7"/>
  <c r="Z59" i="7"/>
  <c r="T59" i="7"/>
  <c r="U59" i="7"/>
  <c r="D61" i="18"/>
  <c r="C61" i="18"/>
  <c r="D59" i="17"/>
  <c r="C59" i="17"/>
  <c r="D60" i="16"/>
  <c r="S60" i="16" s="1"/>
  <c r="C60" i="16"/>
  <c r="D59" i="15"/>
  <c r="C59" i="15"/>
  <c r="AA60" i="14"/>
  <c r="C60" i="14"/>
  <c r="R60" i="14" s="1"/>
  <c r="D60" i="14"/>
  <c r="S60" i="14" s="1"/>
  <c r="C59" i="13"/>
  <c r="R59" i="13" s="1"/>
  <c r="D59" i="13"/>
  <c r="D61" i="12"/>
  <c r="C61" i="12"/>
  <c r="D61" i="11"/>
  <c r="C61" i="11"/>
  <c r="D60" i="10"/>
  <c r="C60" i="10"/>
  <c r="C60" i="9"/>
  <c r="D60" i="9"/>
  <c r="D61" i="8"/>
  <c r="C61" i="8"/>
  <c r="D61" i="6"/>
  <c r="C61" i="6"/>
  <c r="D60" i="4"/>
  <c r="S60" i="4" s="1"/>
  <c r="C60" i="4"/>
  <c r="R60" i="4" s="1"/>
  <c r="D61" i="1"/>
  <c r="S61" i="1" s="1"/>
  <c r="AA61" i="1"/>
  <c r="U61" i="1"/>
  <c r="Q61" i="1"/>
  <c r="Z61" i="1"/>
  <c r="P61" i="1"/>
  <c r="G62" i="1"/>
  <c r="M61" i="1"/>
  <c r="X61" i="1" s="1"/>
  <c r="C61" i="1"/>
  <c r="R61" i="1" s="1"/>
  <c r="L61" i="1"/>
  <c r="W61" i="1" s="1"/>
  <c r="T61" i="1"/>
  <c r="O61" i="1"/>
  <c r="Z60" i="14"/>
  <c r="S61" i="18"/>
  <c r="R61" i="18"/>
  <c r="AA61" i="18"/>
  <c r="Z61" i="18"/>
  <c r="H62" i="18"/>
  <c r="AJ64" i="18"/>
  <c r="E64" i="18" s="1"/>
  <c r="AH65" i="18"/>
  <c r="U61" i="18"/>
  <c r="Q61" i="18"/>
  <c r="P61" i="18"/>
  <c r="J62" i="18"/>
  <c r="T61" i="18"/>
  <c r="N63" i="18"/>
  <c r="O61" i="18"/>
  <c r="G62" i="18"/>
  <c r="M61" i="18"/>
  <c r="X61" i="18" s="1"/>
  <c r="L61" i="18"/>
  <c r="W61" i="18" s="1"/>
  <c r="AJ65" i="17"/>
  <c r="E65" i="17" s="1"/>
  <c r="AH66" i="17"/>
  <c r="G60" i="17"/>
  <c r="T60" i="17" s="1"/>
  <c r="M59" i="17"/>
  <c r="X59" i="17" s="1"/>
  <c r="L59" i="17"/>
  <c r="W59" i="17" s="1"/>
  <c r="S59" i="17"/>
  <c r="R59" i="17"/>
  <c r="AA59" i="17"/>
  <c r="Z59" i="17"/>
  <c r="N64" i="17"/>
  <c r="T59" i="17"/>
  <c r="U59" i="17"/>
  <c r="P59" i="17"/>
  <c r="H62" i="17"/>
  <c r="Q59" i="17"/>
  <c r="J61" i="17"/>
  <c r="U60" i="17"/>
  <c r="G60" i="15"/>
  <c r="M59" i="15"/>
  <c r="X59" i="15" s="1"/>
  <c r="L59" i="15"/>
  <c r="W59" i="15" s="1"/>
  <c r="O59" i="15"/>
  <c r="U59" i="15"/>
  <c r="T59" i="15"/>
  <c r="P59" i="15"/>
  <c r="S59" i="15"/>
  <c r="R59" i="15"/>
  <c r="AA59" i="15"/>
  <c r="Z59" i="15"/>
  <c r="Q59" i="15"/>
  <c r="M60" i="14"/>
  <c r="X60" i="14" s="1"/>
  <c r="G61" i="14"/>
  <c r="L60" i="14"/>
  <c r="W60" i="14" s="1"/>
  <c r="AJ65" i="13"/>
  <c r="E65" i="13" s="1"/>
  <c r="AH66" i="13"/>
  <c r="H62" i="15"/>
  <c r="J61" i="14"/>
  <c r="Q60" i="14"/>
  <c r="P60" i="14"/>
  <c r="U60" i="14"/>
  <c r="T60" i="14"/>
  <c r="O60" i="14"/>
  <c r="N64" i="13"/>
  <c r="AJ64" i="15"/>
  <c r="E64" i="15" s="1"/>
  <c r="AH65" i="15"/>
  <c r="AJ64" i="14"/>
  <c r="E64" i="14" s="1"/>
  <c r="AH65" i="14"/>
  <c r="AJ63" i="16"/>
  <c r="E63" i="16" s="1"/>
  <c r="AH64" i="16"/>
  <c r="N63" i="15"/>
  <c r="J62" i="15"/>
  <c r="Q60" i="16"/>
  <c r="P60" i="16"/>
  <c r="J61" i="16"/>
  <c r="U60" i="16"/>
  <c r="T60" i="16"/>
  <c r="N62" i="16"/>
  <c r="N63" i="14"/>
  <c r="J63" i="13"/>
  <c r="G61" i="16"/>
  <c r="Z61" i="16" s="1"/>
  <c r="M60" i="16"/>
  <c r="X60" i="16" s="1"/>
  <c r="L60" i="16"/>
  <c r="W60" i="16" s="1"/>
  <c r="Z60" i="16"/>
  <c r="M59" i="13"/>
  <c r="X59" i="13" s="1"/>
  <c r="L59" i="13"/>
  <c r="W59" i="13" s="1"/>
  <c r="G60" i="13"/>
  <c r="Q59" i="13"/>
  <c r="U59" i="13"/>
  <c r="S59" i="13"/>
  <c r="P59" i="13"/>
  <c r="T59" i="13"/>
  <c r="Z59" i="13"/>
  <c r="O59" i="13"/>
  <c r="AA59" i="13"/>
  <c r="AA60" i="16"/>
  <c r="O61" i="16"/>
  <c r="R60" i="16"/>
  <c r="H62" i="13"/>
  <c r="H62" i="14"/>
  <c r="O60" i="16"/>
  <c r="H62" i="16"/>
  <c r="N63" i="9"/>
  <c r="AJ64" i="12"/>
  <c r="E64" i="12" s="1"/>
  <c r="AH65" i="12"/>
  <c r="S60" i="12"/>
  <c r="N63" i="12"/>
  <c r="AJ64" i="9"/>
  <c r="E64" i="9" s="1"/>
  <c r="AH65" i="9"/>
  <c r="R60" i="12"/>
  <c r="S61" i="12"/>
  <c r="AA61" i="12"/>
  <c r="Z61" i="12"/>
  <c r="H62" i="12"/>
  <c r="M61" i="11"/>
  <c r="X61" i="11" s="1"/>
  <c r="L61" i="11"/>
  <c r="W61" i="11" s="1"/>
  <c r="G62" i="11"/>
  <c r="S61" i="11"/>
  <c r="R61" i="11"/>
  <c r="AA61" i="11"/>
  <c r="Z61" i="11"/>
  <c r="H62" i="11"/>
  <c r="P61" i="11"/>
  <c r="U61" i="11"/>
  <c r="T61" i="11"/>
  <c r="Q61" i="11"/>
  <c r="M60" i="9"/>
  <c r="X60" i="9" s="1"/>
  <c r="L60" i="9"/>
  <c r="W60" i="9" s="1"/>
  <c r="G61" i="9"/>
  <c r="S60" i="9"/>
  <c r="R60" i="9"/>
  <c r="AA60" i="9"/>
  <c r="Z60" i="9"/>
  <c r="Q60" i="12"/>
  <c r="P60" i="12"/>
  <c r="J61" i="12"/>
  <c r="U60" i="12"/>
  <c r="T60" i="12"/>
  <c r="O60" i="12"/>
  <c r="AJ64" i="10"/>
  <c r="E64" i="10" s="1"/>
  <c r="AH65" i="10"/>
  <c r="M60" i="10"/>
  <c r="X60" i="10" s="1"/>
  <c r="L60" i="10"/>
  <c r="W60" i="10" s="1"/>
  <c r="G61" i="10"/>
  <c r="N63" i="11"/>
  <c r="J64" i="11"/>
  <c r="N63" i="10"/>
  <c r="AJ64" i="11"/>
  <c r="E64" i="11" s="1"/>
  <c r="AH65" i="11"/>
  <c r="AA60" i="10"/>
  <c r="Z60" i="10"/>
  <c r="H61" i="10"/>
  <c r="S60" i="10"/>
  <c r="R60" i="10"/>
  <c r="J61" i="10"/>
  <c r="U60" i="10"/>
  <c r="Q60" i="10"/>
  <c r="P60" i="10"/>
  <c r="T60" i="10"/>
  <c r="O60" i="10"/>
  <c r="Q60" i="9"/>
  <c r="P60" i="9"/>
  <c r="J61" i="9"/>
  <c r="U60" i="9"/>
  <c r="T60" i="9"/>
  <c r="O60" i="9"/>
  <c r="O61" i="11"/>
  <c r="L60" i="12"/>
  <c r="W60" i="12" s="1"/>
  <c r="H63" i="9"/>
  <c r="G62" i="12"/>
  <c r="M61" i="12"/>
  <c r="X61" i="12" s="1"/>
  <c r="L61" i="12"/>
  <c r="W61" i="12" s="1"/>
  <c r="N64" i="8"/>
  <c r="G62" i="8"/>
  <c r="M61" i="8"/>
  <c r="X61" i="8" s="1"/>
  <c r="L61" i="8"/>
  <c r="W61" i="8" s="1"/>
  <c r="AJ65" i="8"/>
  <c r="E65" i="8" s="1"/>
  <c r="AH66" i="8"/>
  <c r="Q61" i="8"/>
  <c r="P61" i="8"/>
  <c r="J62" i="8"/>
  <c r="U61" i="8"/>
  <c r="T61" i="8"/>
  <c r="O61" i="8"/>
  <c r="S61" i="8"/>
  <c r="R61" i="8"/>
  <c r="AA61" i="8"/>
  <c r="Z61" i="8"/>
  <c r="H62" i="8"/>
  <c r="AJ65" i="7"/>
  <c r="E65" i="7" s="1"/>
  <c r="AH66" i="7"/>
  <c r="H63" i="7"/>
  <c r="N64" i="7"/>
  <c r="J63" i="7"/>
  <c r="S61" i="6"/>
  <c r="R61" i="6"/>
  <c r="AA61" i="6"/>
  <c r="Z61" i="6"/>
  <c r="H62" i="6"/>
  <c r="G62" i="6"/>
  <c r="O62" i="6" s="1"/>
  <c r="M61" i="6"/>
  <c r="X61" i="6" s="1"/>
  <c r="L61" i="6"/>
  <c r="W61" i="6" s="1"/>
  <c r="T61" i="6"/>
  <c r="J63" i="6"/>
  <c r="P61" i="6"/>
  <c r="U61" i="6"/>
  <c r="Q61" i="6"/>
  <c r="AJ64" i="6"/>
  <c r="E64" i="6" s="1"/>
  <c r="AH65" i="6"/>
  <c r="O61" i="6"/>
  <c r="N63" i="6"/>
  <c r="M60" i="4"/>
  <c r="X60" i="4" s="1"/>
  <c r="Q60" i="4"/>
  <c r="G61" i="4"/>
  <c r="P60" i="4"/>
  <c r="AA60" i="4"/>
  <c r="Z60" i="4"/>
  <c r="U60" i="4"/>
  <c r="T60" i="4"/>
  <c r="O60" i="4"/>
  <c r="N63" i="4"/>
  <c r="J64" i="4"/>
  <c r="H62" i="4"/>
  <c r="AJ64" i="4"/>
  <c r="E64" i="4" s="1"/>
  <c r="AH65" i="4"/>
  <c r="O65" i="28" l="1"/>
  <c r="AA65" i="28"/>
  <c r="N65" i="26"/>
  <c r="T65" i="26"/>
  <c r="O64" i="26"/>
  <c r="AA64" i="26"/>
  <c r="N65" i="25"/>
  <c r="T65" i="25"/>
  <c r="O64" i="25"/>
  <c r="AA64" i="25"/>
  <c r="O65" i="24"/>
  <c r="AA65" i="24"/>
  <c r="O65" i="23"/>
  <c r="AA65" i="23"/>
  <c r="O65" i="22"/>
  <c r="AA65" i="22"/>
  <c r="O65" i="21"/>
  <c r="AA65" i="21"/>
  <c r="T62" i="20"/>
  <c r="U62" i="20"/>
  <c r="P62" i="20"/>
  <c r="D65" i="28"/>
  <c r="S65" i="28" s="1"/>
  <c r="C65" i="28"/>
  <c r="R65" i="28" s="1"/>
  <c r="H66" i="28"/>
  <c r="AH68" i="28"/>
  <c r="AJ67" i="28"/>
  <c r="E67" i="28" s="1"/>
  <c r="N67" i="28" s="1"/>
  <c r="J64" i="28"/>
  <c r="L63" i="28"/>
  <c r="W63" i="28" s="1"/>
  <c r="J64" i="26"/>
  <c r="L63" i="26"/>
  <c r="W63" i="26" s="1"/>
  <c r="L64" i="25"/>
  <c r="W64" i="25" s="1"/>
  <c r="J65" i="25"/>
  <c r="D64" i="27"/>
  <c r="S64" i="27" s="1"/>
  <c r="C64" i="27"/>
  <c r="R64" i="27" s="1"/>
  <c r="H65" i="27"/>
  <c r="L65" i="27" s="1"/>
  <c r="W65" i="27" s="1"/>
  <c r="L64" i="27"/>
  <c r="W64" i="27" s="1"/>
  <c r="J66" i="27"/>
  <c r="AJ66" i="25"/>
  <c r="E66" i="25" s="1"/>
  <c r="N66" i="25" s="1"/>
  <c r="AA66" i="25" s="1"/>
  <c r="AH67" i="25"/>
  <c r="D64" i="26"/>
  <c r="S64" i="26" s="1"/>
  <c r="C64" i="26"/>
  <c r="R64" i="26" s="1"/>
  <c r="H65" i="26"/>
  <c r="AJ66" i="26"/>
  <c r="E66" i="26" s="1"/>
  <c r="N66" i="26" s="1"/>
  <c r="AA66" i="26" s="1"/>
  <c r="AH67" i="26"/>
  <c r="D66" i="25"/>
  <c r="C66" i="25"/>
  <c r="H67" i="25"/>
  <c r="AJ67" i="24"/>
  <c r="E67" i="24" s="1"/>
  <c r="N67" i="24" s="1"/>
  <c r="AH68" i="24"/>
  <c r="D64" i="24"/>
  <c r="S64" i="24" s="1"/>
  <c r="C64" i="24"/>
  <c r="R64" i="24" s="1"/>
  <c r="H65" i="24"/>
  <c r="AH69" i="27"/>
  <c r="AJ68" i="27"/>
  <c r="E68" i="27" s="1"/>
  <c r="N68" i="27" s="1"/>
  <c r="L63" i="24"/>
  <c r="W63" i="24" s="1"/>
  <c r="J64" i="24"/>
  <c r="AJ67" i="22"/>
  <c r="E67" i="22" s="1"/>
  <c r="N67" i="22" s="1"/>
  <c r="AH68" i="22"/>
  <c r="D63" i="23"/>
  <c r="S63" i="23" s="1"/>
  <c r="C63" i="23"/>
  <c r="R63" i="23" s="1"/>
  <c r="H64" i="23"/>
  <c r="AH68" i="23"/>
  <c r="AJ67" i="23"/>
  <c r="E67" i="23" s="1"/>
  <c r="N67" i="23" s="1"/>
  <c r="J64" i="23"/>
  <c r="L63" i="23"/>
  <c r="W63" i="23" s="1"/>
  <c r="J64" i="22"/>
  <c r="L63" i="22"/>
  <c r="W63" i="22" s="1"/>
  <c r="H66" i="22"/>
  <c r="D65" i="22"/>
  <c r="S65" i="22" s="1"/>
  <c r="C65" i="22"/>
  <c r="R65" i="22" s="1"/>
  <c r="D64" i="21"/>
  <c r="S64" i="21" s="1"/>
  <c r="C64" i="21"/>
  <c r="R64" i="21" s="1"/>
  <c r="H65" i="21"/>
  <c r="AH68" i="21"/>
  <c r="AJ67" i="21"/>
  <c r="E67" i="21" s="1"/>
  <c r="N67" i="21" s="1"/>
  <c r="J64" i="21"/>
  <c r="L63" i="21"/>
  <c r="W63" i="21" s="1"/>
  <c r="AH68" i="20"/>
  <c r="AJ67" i="20"/>
  <c r="E67" i="20" s="1"/>
  <c r="J64" i="20"/>
  <c r="N66" i="20"/>
  <c r="H66" i="20"/>
  <c r="M62" i="20"/>
  <c r="X62" i="20" s="1"/>
  <c r="L62" i="20"/>
  <c r="W62" i="20" s="1"/>
  <c r="G63" i="20"/>
  <c r="Q63" i="20" s="1"/>
  <c r="AA62" i="20"/>
  <c r="D62" i="20"/>
  <c r="S62" i="20" s="1"/>
  <c r="C62" i="20"/>
  <c r="R62" i="20" s="1"/>
  <c r="Z62" i="20"/>
  <c r="J63" i="19"/>
  <c r="N67" i="19"/>
  <c r="AH69" i="19"/>
  <c r="AJ68" i="19"/>
  <c r="E68" i="19" s="1"/>
  <c r="H63" i="19"/>
  <c r="M61" i="19"/>
  <c r="X61" i="19" s="1"/>
  <c r="L61" i="19"/>
  <c r="W61" i="19" s="1"/>
  <c r="G62" i="19"/>
  <c r="C62" i="19" s="1"/>
  <c r="R62" i="19" s="1"/>
  <c r="AA60" i="7"/>
  <c r="U60" i="7"/>
  <c r="G61" i="7"/>
  <c r="P60" i="7"/>
  <c r="M60" i="7"/>
  <c r="X60" i="7" s="1"/>
  <c r="Q60" i="7"/>
  <c r="L60" i="7"/>
  <c r="W60" i="7" s="1"/>
  <c r="O60" i="7"/>
  <c r="Z60" i="7"/>
  <c r="D60" i="7"/>
  <c r="S60" i="7" s="1"/>
  <c r="T60" i="7"/>
  <c r="C60" i="7"/>
  <c r="R60" i="7" s="1"/>
  <c r="U62" i="6"/>
  <c r="P60" i="17"/>
  <c r="Q60" i="17"/>
  <c r="O60" i="17"/>
  <c r="D62" i="18"/>
  <c r="C62" i="18"/>
  <c r="D60" i="17"/>
  <c r="C60" i="17"/>
  <c r="D61" i="16"/>
  <c r="S61" i="16" s="1"/>
  <c r="C61" i="16"/>
  <c r="R61" i="16" s="1"/>
  <c r="D60" i="15"/>
  <c r="C60" i="15"/>
  <c r="R60" i="15" s="1"/>
  <c r="Z61" i="14"/>
  <c r="D61" i="14"/>
  <c r="S61" i="14" s="1"/>
  <c r="C61" i="14"/>
  <c r="R61" i="14" s="1"/>
  <c r="D60" i="13"/>
  <c r="C60" i="13"/>
  <c r="D62" i="12"/>
  <c r="C62" i="12"/>
  <c r="O62" i="11"/>
  <c r="D62" i="11"/>
  <c r="C62" i="11"/>
  <c r="D61" i="10"/>
  <c r="C61" i="10"/>
  <c r="R61" i="10" s="1"/>
  <c r="D61" i="9"/>
  <c r="C61" i="9"/>
  <c r="D62" i="8"/>
  <c r="C62" i="8"/>
  <c r="D62" i="6"/>
  <c r="C62" i="6"/>
  <c r="D61" i="4"/>
  <c r="C61" i="4"/>
  <c r="D62" i="1"/>
  <c r="S62" i="1" s="1"/>
  <c r="U62" i="1"/>
  <c r="AA62" i="1"/>
  <c r="Q62" i="1"/>
  <c r="P62" i="1"/>
  <c r="Z62" i="1"/>
  <c r="G63" i="1"/>
  <c r="M62" i="1"/>
  <c r="X62" i="1" s="1"/>
  <c r="L62" i="1"/>
  <c r="W62" i="1" s="1"/>
  <c r="C62" i="1"/>
  <c r="R62" i="1" s="1"/>
  <c r="T62" i="1"/>
  <c r="O62" i="1"/>
  <c r="AA61" i="16"/>
  <c r="AA61" i="14"/>
  <c r="R61" i="12"/>
  <c r="Q62" i="18"/>
  <c r="P62" i="18"/>
  <c r="J63" i="18"/>
  <c r="U62" i="18"/>
  <c r="T62" i="18"/>
  <c r="AJ65" i="18"/>
  <c r="E65" i="18" s="1"/>
  <c r="AH66" i="18"/>
  <c r="N64" i="18"/>
  <c r="O62" i="18"/>
  <c r="M62" i="18"/>
  <c r="X62" i="18" s="1"/>
  <c r="L62" i="18"/>
  <c r="W62" i="18" s="1"/>
  <c r="G63" i="18"/>
  <c r="S62" i="18"/>
  <c r="R62" i="18"/>
  <c r="AA62" i="18"/>
  <c r="Z62" i="18"/>
  <c r="H63" i="18"/>
  <c r="O63" i="18" s="1"/>
  <c r="J62" i="17"/>
  <c r="O61" i="17"/>
  <c r="H63" i="17"/>
  <c r="G61" i="17"/>
  <c r="M60" i="17"/>
  <c r="X60" i="17" s="1"/>
  <c r="L60" i="17"/>
  <c r="W60" i="17" s="1"/>
  <c r="S60" i="17"/>
  <c r="R60" i="17"/>
  <c r="AA60" i="17"/>
  <c r="Z60" i="17"/>
  <c r="AJ66" i="17"/>
  <c r="E66" i="17" s="1"/>
  <c r="AH67" i="17"/>
  <c r="N65" i="17"/>
  <c r="T62" i="6"/>
  <c r="P62" i="6"/>
  <c r="Q62" i="6"/>
  <c r="N64" i="15"/>
  <c r="J63" i="15"/>
  <c r="H63" i="14"/>
  <c r="J64" i="13"/>
  <c r="AJ66" i="13"/>
  <c r="E66" i="13" s="1"/>
  <c r="AH67" i="13"/>
  <c r="H63" i="16"/>
  <c r="N65" i="13"/>
  <c r="G62" i="16"/>
  <c r="M61" i="16"/>
  <c r="X61" i="16" s="1"/>
  <c r="L61" i="16"/>
  <c r="W61" i="16" s="1"/>
  <c r="AJ64" i="16"/>
  <c r="E64" i="16" s="1"/>
  <c r="AH65" i="16"/>
  <c r="M60" i="13"/>
  <c r="X60" i="13" s="1"/>
  <c r="L60" i="13"/>
  <c r="W60" i="13" s="1"/>
  <c r="G61" i="13"/>
  <c r="Q60" i="13"/>
  <c r="AA60" i="13"/>
  <c r="Z60" i="13"/>
  <c r="U60" i="13"/>
  <c r="S60" i="13"/>
  <c r="R60" i="13"/>
  <c r="O60" i="13"/>
  <c r="T60" i="13"/>
  <c r="P60" i="13"/>
  <c r="H63" i="13"/>
  <c r="N63" i="16"/>
  <c r="M61" i="14"/>
  <c r="X61" i="14" s="1"/>
  <c r="L61" i="14"/>
  <c r="W61" i="14" s="1"/>
  <c r="G62" i="14"/>
  <c r="U61" i="16"/>
  <c r="Q61" i="16"/>
  <c r="P61" i="16"/>
  <c r="J62" i="16"/>
  <c r="T61" i="16"/>
  <c r="G61" i="15"/>
  <c r="M60" i="15"/>
  <c r="X60" i="15" s="1"/>
  <c r="L60" i="15"/>
  <c r="W60" i="15" s="1"/>
  <c r="Z60" i="15"/>
  <c r="U60" i="15"/>
  <c r="Q60" i="15"/>
  <c r="O60" i="15"/>
  <c r="P60" i="15"/>
  <c r="T60" i="15"/>
  <c r="S60" i="15"/>
  <c r="AA60" i="15"/>
  <c r="AJ65" i="15"/>
  <c r="E65" i="15" s="1"/>
  <c r="AH66" i="15"/>
  <c r="AJ65" i="14"/>
  <c r="E65" i="14" s="1"/>
  <c r="AH66" i="14"/>
  <c r="Q61" i="14"/>
  <c r="P61" i="14"/>
  <c r="J62" i="14"/>
  <c r="U61" i="14"/>
  <c r="T61" i="14"/>
  <c r="O61" i="14"/>
  <c r="N64" i="14"/>
  <c r="H63" i="15"/>
  <c r="Z61" i="10"/>
  <c r="H62" i="10"/>
  <c r="S61" i="10"/>
  <c r="AA61" i="10"/>
  <c r="R62" i="11"/>
  <c r="AA62" i="11"/>
  <c r="Z62" i="11"/>
  <c r="H63" i="11"/>
  <c r="S62" i="11"/>
  <c r="T62" i="11"/>
  <c r="P62" i="11"/>
  <c r="Q62" i="11"/>
  <c r="U62" i="11"/>
  <c r="H64" i="9"/>
  <c r="Q61" i="9"/>
  <c r="P61" i="9"/>
  <c r="J62" i="9"/>
  <c r="U61" i="9"/>
  <c r="T61" i="9"/>
  <c r="O61" i="9"/>
  <c r="L61" i="10"/>
  <c r="W61" i="10" s="1"/>
  <c r="G62" i="10"/>
  <c r="M61" i="10"/>
  <c r="X61" i="10" s="1"/>
  <c r="AJ65" i="9"/>
  <c r="E65" i="9" s="1"/>
  <c r="AH66" i="9"/>
  <c r="M62" i="12"/>
  <c r="X62" i="12" s="1"/>
  <c r="G63" i="12"/>
  <c r="AJ65" i="11"/>
  <c r="E65" i="11" s="1"/>
  <c r="AH66" i="11"/>
  <c r="N64" i="9"/>
  <c r="N64" i="11"/>
  <c r="AJ65" i="10"/>
  <c r="E65" i="10" s="1"/>
  <c r="AH66" i="10"/>
  <c r="N64" i="10"/>
  <c r="M61" i="9"/>
  <c r="X61" i="9" s="1"/>
  <c r="L61" i="9"/>
  <c r="W61" i="9" s="1"/>
  <c r="G62" i="9"/>
  <c r="S61" i="9"/>
  <c r="R61" i="9"/>
  <c r="AA61" i="9"/>
  <c r="Z61" i="9"/>
  <c r="M62" i="11"/>
  <c r="X62" i="11" s="1"/>
  <c r="L62" i="11"/>
  <c r="W62" i="11" s="1"/>
  <c r="G63" i="11"/>
  <c r="AJ65" i="12"/>
  <c r="E65" i="12" s="1"/>
  <c r="AH66" i="12"/>
  <c r="AA62" i="12"/>
  <c r="Z62" i="12"/>
  <c r="H63" i="12"/>
  <c r="N64" i="12"/>
  <c r="J62" i="10"/>
  <c r="U61" i="10"/>
  <c r="Q61" i="10"/>
  <c r="P61" i="10"/>
  <c r="T61" i="10"/>
  <c r="O61" i="10"/>
  <c r="Q61" i="12"/>
  <c r="P61" i="12"/>
  <c r="J62" i="12"/>
  <c r="L62" i="12" s="1"/>
  <c r="W62" i="12" s="1"/>
  <c r="U61" i="12"/>
  <c r="T61" i="12"/>
  <c r="O61" i="12"/>
  <c r="J65" i="11"/>
  <c r="Q62" i="8"/>
  <c r="P62" i="8"/>
  <c r="J63" i="8"/>
  <c r="U62" i="8"/>
  <c r="T62" i="8"/>
  <c r="O62" i="8"/>
  <c r="S62" i="8"/>
  <c r="R62" i="8"/>
  <c r="AA62" i="8"/>
  <c r="Z62" i="8"/>
  <c r="H63" i="8"/>
  <c r="AJ66" i="8"/>
  <c r="E66" i="8" s="1"/>
  <c r="AH67" i="8"/>
  <c r="N65" i="8"/>
  <c r="M62" i="8"/>
  <c r="X62" i="8" s="1"/>
  <c r="L62" i="8"/>
  <c r="W62" i="8" s="1"/>
  <c r="G63" i="8"/>
  <c r="H64" i="7"/>
  <c r="AJ66" i="7"/>
  <c r="E66" i="7" s="1"/>
  <c r="AH67" i="7"/>
  <c r="J64" i="7"/>
  <c r="N65" i="7"/>
  <c r="N64" i="6"/>
  <c r="M62" i="6"/>
  <c r="X62" i="6" s="1"/>
  <c r="L62" i="6"/>
  <c r="W62" i="6" s="1"/>
  <c r="G63" i="6"/>
  <c r="S62" i="6"/>
  <c r="R62" i="6"/>
  <c r="AA62" i="6"/>
  <c r="Z62" i="6"/>
  <c r="H63" i="6"/>
  <c r="AJ65" i="6"/>
  <c r="E65" i="6" s="1"/>
  <c r="AH66" i="6"/>
  <c r="J64" i="6"/>
  <c r="N64" i="4"/>
  <c r="M61" i="4"/>
  <c r="X61" i="4" s="1"/>
  <c r="Q61" i="4"/>
  <c r="G62" i="4"/>
  <c r="P61" i="4"/>
  <c r="AA61" i="4"/>
  <c r="Z61" i="4"/>
  <c r="U61" i="4"/>
  <c r="T61" i="4"/>
  <c r="O61" i="4"/>
  <c r="L61" i="4"/>
  <c r="W61" i="4" s="1"/>
  <c r="S61" i="4"/>
  <c r="R61" i="4"/>
  <c r="AJ65" i="4"/>
  <c r="E65" i="4" s="1"/>
  <c r="AH66" i="4"/>
  <c r="H63" i="4"/>
  <c r="J65" i="4"/>
  <c r="O65" i="26" l="1"/>
  <c r="AA65" i="26"/>
  <c r="O65" i="25"/>
  <c r="AA65" i="25"/>
  <c r="T63" i="20"/>
  <c r="J65" i="28"/>
  <c r="L64" i="28"/>
  <c r="W64" i="28" s="1"/>
  <c r="AJ68" i="28"/>
  <c r="E68" i="28" s="1"/>
  <c r="N68" i="28" s="1"/>
  <c r="AH69" i="28"/>
  <c r="C66" i="28"/>
  <c r="H67" i="28"/>
  <c r="D66" i="28"/>
  <c r="AJ67" i="25"/>
  <c r="E67" i="25" s="1"/>
  <c r="N67" i="25" s="1"/>
  <c r="AH68" i="25"/>
  <c r="AJ68" i="24"/>
  <c r="E68" i="24" s="1"/>
  <c r="N68" i="24" s="1"/>
  <c r="AH69" i="24"/>
  <c r="J67" i="27"/>
  <c r="H68" i="25"/>
  <c r="D67" i="25"/>
  <c r="C67" i="25"/>
  <c r="D65" i="27"/>
  <c r="S65" i="27" s="1"/>
  <c r="C65" i="27"/>
  <c r="R65" i="27" s="1"/>
  <c r="H66" i="27"/>
  <c r="J65" i="24"/>
  <c r="L64" i="24"/>
  <c r="W64" i="24" s="1"/>
  <c r="AJ67" i="26"/>
  <c r="E67" i="26" s="1"/>
  <c r="N67" i="26" s="1"/>
  <c r="AH68" i="26"/>
  <c r="L65" i="25"/>
  <c r="W65" i="25" s="1"/>
  <c r="J66" i="25"/>
  <c r="D65" i="26"/>
  <c r="S65" i="26" s="1"/>
  <c r="C65" i="26"/>
  <c r="R65" i="26" s="1"/>
  <c r="H66" i="26"/>
  <c r="AJ69" i="27"/>
  <c r="E69" i="27" s="1"/>
  <c r="N69" i="27" s="1"/>
  <c r="AH70" i="27"/>
  <c r="D65" i="24"/>
  <c r="S65" i="24" s="1"/>
  <c r="C65" i="24"/>
  <c r="R65" i="24" s="1"/>
  <c r="H66" i="24"/>
  <c r="L64" i="26"/>
  <c r="W64" i="26" s="1"/>
  <c r="J65" i="26"/>
  <c r="J65" i="22"/>
  <c r="L64" i="22"/>
  <c r="W64" i="22" s="1"/>
  <c r="J65" i="23"/>
  <c r="L64" i="23"/>
  <c r="W64" i="23" s="1"/>
  <c r="AJ68" i="23"/>
  <c r="E68" i="23" s="1"/>
  <c r="N68" i="23" s="1"/>
  <c r="AH69" i="23"/>
  <c r="D64" i="23"/>
  <c r="S64" i="23" s="1"/>
  <c r="C64" i="23"/>
  <c r="R64" i="23" s="1"/>
  <c r="H65" i="23"/>
  <c r="AJ68" i="22"/>
  <c r="E68" i="22" s="1"/>
  <c r="N68" i="22" s="1"/>
  <c r="AH69" i="22"/>
  <c r="H67" i="22"/>
  <c r="D66" i="22"/>
  <c r="C66" i="22"/>
  <c r="J65" i="21"/>
  <c r="L64" i="21"/>
  <c r="W64" i="21" s="1"/>
  <c r="AJ68" i="21"/>
  <c r="E68" i="21" s="1"/>
  <c r="N68" i="21" s="1"/>
  <c r="AH69" i="21"/>
  <c r="D65" i="21"/>
  <c r="S65" i="21" s="1"/>
  <c r="C65" i="21"/>
  <c r="R65" i="21" s="1"/>
  <c r="H66" i="21"/>
  <c r="O63" i="20"/>
  <c r="U63" i="20"/>
  <c r="J65" i="20"/>
  <c r="U64" i="20"/>
  <c r="P63" i="20"/>
  <c r="H67" i="20"/>
  <c r="N67" i="20"/>
  <c r="M63" i="20"/>
  <c r="X63" i="20" s="1"/>
  <c r="L63" i="20"/>
  <c r="W63" i="20" s="1"/>
  <c r="G64" i="20"/>
  <c r="Q64" i="20" s="1"/>
  <c r="D63" i="20"/>
  <c r="S63" i="20" s="1"/>
  <c r="C63" i="20"/>
  <c r="R63" i="20" s="1"/>
  <c r="AA63" i="20"/>
  <c r="Z63" i="20"/>
  <c r="AJ68" i="20"/>
  <c r="E68" i="20" s="1"/>
  <c r="AH69" i="20"/>
  <c r="N68" i="19"/>
  <c r="AJ69" i="19"/>
  <c r="E69" i="19" s="1"/>
  <c r="AH70" i="19"/>
  <c r="M62" i="19"/>
  <c r="X62" i="19" s="1"/>
  <c r="L62" i="19"/>
  <c r="W62" i="19" s="1"/>
  <c r="G63" i="19"/>
  <c r="D63" i="19" s="1"/>
  <c r="S63" i="19" s="1"/>
  <c r="O62" i="19"/>
  <c r="T62" i="19"/>
  <c r="D62" i="19"/>
  <c r="S62" i="19" s="1"/>
  <c r="Q63" i="19"/>
  <c r="J64" i="19"/>
  <c r="O63" i="19"/>
  <c r="H64" i="19"/>
  <c r="Q62" i="19"/>
  <c r="Z62" i="19"/>
  <c r="U62" i="19"/>
  <c r="AA62" i="19"/>
  <c r="P62" i="19"/>
  <c r="AA61" i="7"/>
  <c r="U61" i="7"/>
  <c r="P61" i="7"/>
  <c r="L61" i="7"/>
  <c r="W61" i="7" s="1"/>
  <c r="O61" i="7"/>
  <c r="M61" i="7"/>
  <c r="X61" i="7" s="1"/>
  <c r="T61" i="7"/>
  <c r="D61" i="7"/>
  <c r="S61" i="7" s="1"/>
  <c r="Q61" i="7"/>
  <c r="C61" i="7"/>
  <c r="R61" i="7" s="1"/>
  <c r="Z61" i="7"/>
  <c r="G62" i="7"/>
  <c r="D63" i="18"/>
  <c r="C63" i="18"/>
  <c r="Q61" i="17"/>
  <c r="C61" i="17"/>
  <c r="D61" i="17"/>
  <c r="D62" i="16"/>
  <c r="S62" i="16" s="1"/>
  <c r="C62" i="16"/>
  <c r="D61" i="15"/>
  <c r="C61" i="15"/>
  <c r="R61" i="15" s="1"/>
  <c r="D62" i="14"/>
  <c r="S62" i="14" s="1"/>
  <c r="C62" i="14"/>
  <c r="R62" i="14" s="1"/>
  <c r="D61" i="13"/>
  <c r="S61" i="13" s="1"/>
  <c r="C61" i="13"/>
  <c r="D63" i="12"/>
  <c r="C63" i="12"/>
  <c r="C63" i="11"/>
  <c r="D63" i="11"/>
  <c r="D62" i="10"/>
  <c r="C62" i="10"/>
  <c r="D62" i="9"/>
  <c r="C62" i="9"/>
  <c r="D63" i="8"/>
  <c r="C63" i="8"/>
  <c r="D63" i="6"/>
  <c r="C63" i="6"/>
  <c r="C62" i="4"/>
  <c r="D62" i="4"/>
  <c r="S62" i="4" s="1"/>
  <c r="D63" i="1"/>
  <c r="S63" i="1" s="1"/>
  <c r="AA63" i="1"/>
  <c r="U63" i="1"/>
  <c r="Q63" i="1"/>
  <c r="Z63" i="1"/>
  <c r="P63" i="1"/>
  <c r="G64" i="1"/>
  <c r="C63" i="1"/>
  <c r="R63" i="1" s="1"/>
  <c r="M63" i="1"/>
  <c r="X63" i="1" s="1"/>
  <c r="L63" i="1"/>
  <c r="W63" i="1" s="1"/>
  <c r="T63" i="1"/>
  <c r="O63" i="1"/>
  <c r="T61" i="17"/>
  <c r="P61" i="17"/>
  <c r="R62" i="16"/>
  <c r="R62" i="12"/>
  <c r="S62" i="12"/>
  <c r="AJ66" i="18"/>
  <c r="E66" i="18" s="1"/>
  <c r="AH67" i="18"/>
  <c r="S63" i="18"/>
  <c r="R63" i="18"/>
  <c r="AA63" i="18"/>
  <c r="Z63" i="18"/>
  <c r="H64" i="18"/>
  <c r="N65" i="18"/>
  <c r="Q63" i="18"/>
  <c r="P63" i="18"/>
  <c r="J64" i="18"/>
  <c r="U63" i="18"/>
  <c r="T63" i="18"/>
  <c r="M63" i="18"/>
  <c r="X63" i="18" s="1"/>
  <c r="L63" i="18"/>
  <c r="W63" i="18" s="1"/>
  <c r="G64" i="18"/>
  <c r="H64" i="17"/>
  <c r="AH68" i="17"/>
  <c r="AJ67" i="17"/>
  <c r="E67" i="17" s="1"/>
  <c r="N66" i="17"/>
  <c r="J63" i="17"/>
  <c r="O62" i="17"/>
  <c r="G62" i="17"/>
  <c r="M61" i="17"/>
  <c r="X61" i="17" s="1"/>
  <c r="L61" i="17"/>
  <c r="W61" i="17" s="1"/>
  <c r="S61" i="17"/>
  <c r="R61" i="17"/>
  <c r="AA61" i="17"/>
  <c r="Z61" i="17"/>
  <c r="U61" i="17"/>
  <c r="L62" i="14"/>
  <c r="W62" i="14" s="1"/>
  <c r="G63" i="14"/>
  <c r="M62" i="14"/>
  <c r="X62" i="14" s="1"/>
  <c r="N64" i="16"/>
  <c r="AJ66" i="14"/>
  <c r="E66" i="14" s="1"/>
  <c r="AH67" i="14"/>
  <c r="AJ67" i="13"/>
  <c r="E67" i="13" s="1"/>
  <c r="AH68" i="13"/>
  <c r="Z62" i="14"/>
  <c r="N65" i="14"/>
  <c r="N66" i="13"/>
  <c r="M62" i="16"/>
  <c r="X62" i="16" s="1"/>
  <c r="L62" i="16"/>
  <c r="W62" i="16" s="1"/>
  <c r="G63" i="16"/>
  <c r="AJ66" i="15"/>
  <c r="E66" i="15" s="1"/>
  <c r="AH67" i="15"/>
  <c r="J64" i="15"/>
  <c r="N65" i="15"/>
  <c r="G62" i="15"/>
  <c r="M61" i="15"/>
  <c r="X61" i="15" s="1"/>
  <c r="L61" i="15"/>
  <c r="W61" i="15" s="1"/>
  <c r="T61" i="15"/>
  <c r="Z61" i="15"/>
  <c r="Q61" i="15"/>
  <c r="O61" i="15"/>
  <c r="S61" i="15"/>
  <c r="P61" i="15"/>
  <c r="AA61" i="15"/>
  <c r="U61" i="15"/>
  <c r="Q62" i="16"/>
  <c r="P62" i="16"/>
  <c r="J63" i="16"/>
  <c r="U62" i="16"/>
  <c r="T62" i="16"/>
  <c r="O62" i="16"/>
  <c r="J65" i="13"/>
  <c r="L61" i="13"/>
  <c r="W61" i="13" s="1"/>
  <c r="G62" i="13"/>
  <c r="M61" i="13"/>
  <c r="X61" i="13" s="1"/>
  <c r="U61" i="13"/>
  <c r="Q61" i="13"/>
  <c r="Z61" i="13"/>
  <c r="T61" i="13"/>
  <c r="R61" i="13"/>
  <c r="AA61" i="13"/>
  <c r="P61" i="13"/>
  <c r="O61" i="13"/>
  <c r="H64" i="16"/>
  <c r="Z62" i="16"/>
  <c r="AA62" i="14"/>
  <c r="AJ65" i="16"/>
  <c r="E65" i="16" s="1"/>
  <c r="AH66" i="16"/>
  <c r="H64" i="15"/>
  <c r="J63" i="14"/>
  <c r="Q62" i="14"/>
  <c r="P62" i="14"/>
  <c r="U62" i="14"/>
  <c r="T62" i="14"/>
  <c r="O62" i="14"/>
  <c r="H64" i="13"/>
  <c r="AA62" i="16"/>
  <c r="H64" i="14"/>
  <c r="Z63" i="14"/>
  <c r="AA63" i="14"/>
  <c r="N65" i="11"/>
  <c r="P62" i="9"/>
  <c r="J63" i="9"/>
  <c r="Q62" i="9"/>
  <c r="U62" i="9"/>
  <c r="T62" i="9"/>
  <c r="O62" i="9"/>
  <c r="AJ66" i="12"/>
  <c r="E66" i="12" s="1"/>
  <c r="AH67" i="12"/>
  <c r="M63" i="12"/>
  <c r="X63" i="12" s="1"/>
  <c r="G64" i="12"/>
  <c r="AA63" i="11"/>
  <c r="Z63" i="11"/>
  <c r="H64" i="11"/>
  <c r="S63" i="11"/>
  <c r="R63" i="11"/>
  <c r="P63" i="11"/>
  <c r="U63" i="11"/>
  <c r="Q63" i="11"/>
  <c r="T63" i="11"/>
  <c r="N65" i="12"/>
  <c r="AJ66" i="11"/>
  <c r="E66" i="11" s="1"/>
  <c r="AH67" i="11"/>
  <c r="M63" i="11"/>
  <c r="X63" i="11" s="1"/>
  <c r="L63" i="11"/>
  <c r="W63" i="11" s="1"/>
  <c r="G64" i="11"/>
  <c r="AJ66" i="9"/>
  <c r="E66" i="9" s="1"/>
  <c r="AH67" i="9"/>
  <c r="J66" i="11"/>
  <c r="J63" i="10"/>
  <c r="Q62" i="10"/>
  <c r="P62" i="10"/>
  <c r="U62" i="10"/>
  <c r="T62" i="10"/>
  <c r="O62" i="10"/>
  <c r="AJ66" i="10"/>
  <c r="E66" i="10" s="1"/>
  <c r="AH67" i="10"/>
  <c r="N65" i="9"/>
  <c r="H65" i="9"/>
  <c r="O63" i="11"/>
  <c r="N65" i="10"/>
  <c r="M62" i="9"/>
  <c r="X62" i="9" s="1"/>
  <c r="L62" i="9"/>
  <c r="W62" i="9" s="1"/>
  <c r="G63" i="9"/>
  <c r="R62" i="9"/>
  <c r="Z62" i="9"/>
  <c r="AA62" i="9"/>
  <c r="S62" i="9"/>
  <c r="G63" i="10"/>
  <c r="M62" i="10"/>
  <c r="X62" i="10" s="1"/>
  <c r="L62" i="10"/>
  <c r="W62" i="10" s="1"/>
  <c r="AA63" i="12"/>
  <c r="Z63" i="12"/>
  <c r="H64" i="12"/>
  <c r="Q62" i="12"/>
  <c r="P62" i="12"/>
  <c r="J63" i="12"/>
  <c r="L63" i="12" s="1"/>
  <c r="W63" i="12" s="1"/>
  <c r="U62" i="12"/>
  <c r="T62" i="12"/>
  <c r="O62" i="12"/>
  <c r="H63" i="10"/>
  <c r="S62" i="10"/>
  <c r="R62" i="10"/>
  <c r="AA62" i="10"/>
  <c r="Z62" i="10"/>
  <c r="N66" i="8"/>
  <c r="S63" i="8"/>
  <c r="R63" i="8"/>
  <c r="AA63" i="8"/>
  <c r="Z63" i="8"/>
  <c r="H64" i="8"/>
  <c r="M63" i="8"/>
  <c r="X63" i="8" s="1"/>
  <c r="L63" i="8"/>
  <c r="W63" i="8" s="1"/>
  <c r="G64" i="8"/>
  <c r="Q63" i="8"/>
  <c r="P63" i="8"/>
  <c r="J64" i="8"/>
  <c r="U63" i="8"/>
  <c r="T63" i="8"/>
  <c r="O63" i="8"/>
  <c r="AH68" i="8"/>
  <c r="AJ67" i="8"/>
  <c r="E67" i="8" s="1"/>
  <c r="J65" i="7"/>
  <c r="AH68" i="7"/>
  <c r="AJ67" i="7"/>
  <c r="E67" i="7" s="1"/>
  <c r="H65" i="7"/>
  <c r="N66" i="7"/>
  <c r="M63" i="6"/>
  <c r="X63" i="6" s="1"/>
  <c r="L63" i="6"/>
  <c r="W63" i="6" s="1"/>
  <c r="G64" i="6"/>
  <c r="S63" i="6"/>
  <c r="R63" i="6"/>
  <c r="AA63" i="6"/>
  <c r="Z63" i="6"/>
  <c r="H64" i="6"/>
  <c r="T63" i="6"/>
  <c r="Q64" i="6"/>
  <c r="P64" i="6"/>
  <c r="J65" i="6"/>
  <c r="P63" i="6"/>
  <c r="O64" i="6"/>
  <c r="N65" i="6"/>
  <c r="U63" i="6"/>
  <c r="Q63" i="6"/>
  <c r="AJ66" i="6"/>
  <c r="E66" i="6" s="1"/>
  <c r="AH67" i="6"/>
  <c r="O63" i="6"/>
  <c r="L62" i="4"/>
  <c r="W62" i="4" s="1"/>
  <c r="R62" i="4"/>
  <c r="M62" i="4"/>
  <c r="X62" i="4" s="1"/>
  <c r="G63" i="4"/>
  <c r="P62" i="4"/>
  <c r="AA62" i="4"/>
  <c r="Z62" i="4"/>
  <c r="Q62" i="4"/>
  <c r="U62" i="4"/>
  <c r="T62" i="4"/>
  <c r="O62" i="4"/>
  <c r="N65" i="4"/>
  <c r="H64" i="4"/>
  <c r="AJ66" i="4"/>
  <c r="E66" i="4" s="1"/>
  <c r="AH67" i="4"/>
  <c r="J66" i="4"/>
  <c r="O64" i="20" l="1"/>
  <c r="H68" i="28"/>
  <c r="D67" i="28"/>
  <c r="C67" i="28"/>
  <c r="AJ69" i="28"/>
  <c r="E69" i="28" s="1"/>
  <c r="N69" i="28" s="1"/>
  <c r="AH70" i="28"/>
  <c r="J66" i="28"/>
  <c r="L65" i="28"/>
  <c r="W65" i="28" s="1"/>
  <c r="C66" i="27"/>
  <c r="H67" i="27"/>
  <c r="D66" i="27"/>
  <c r="AJ70" i="27"/>
  <c r="E70" i="27" s="1"/>
  <c r="N70" i="27" s="1"/>
  <c r="AH71" i="27"/>
  <c r="D66" i="26"/>
  <c r="C66" i="26"/>
  <c r="H67" i="26"/>
  <c r="D68" i="25"/>
  <c r="C68" i="25"/>
  <c r="H69" i="25"/>
  <c r="L66" i="25"/>
  <c r="J67" i="25"/>
  <c r="L66" i="27"/>
  <c r="J68" i="27"/>
  <c r="L67" i="27"/>
  <c r="L65" i="26"/>
  <c r="W65" i="26" s="1"/>
  <c r="J66" i="26"/>
  <c r="AJ68" i="26"/>
  <c r="E68" i="26" s="1"/>
  <c r="N68" i="26" s="1"/>
  <c r="AH69" i="26"/>
  <c r="AH70" i="24"/>
  <c r="AJ69" i="24"/>
  <c r="E69" i="24" s="1"/>
  <c r="N69" i="24" s="1"/>
  <c r="D66" i="24"/>
  <c r="C66" i="24"/>
  <c r="H67" i="24"/>
  <c r="AJ68" i="25"/>
  <c r="E68" i="25" s="1"/>
  <c r="N68" i="25" s="1"/>
  <c r="AH69" i="25"/>
  <c r="J66" i="24"/>
  <c r="L65" i="24"/>
  <c r="W65" i="24" s="1"/>
  <c r="AJ69" i="22"/>
  <c r="E69" i="22" s="1"/>
  <c r="N69" i="22" s="1"/>
  <c r="AH70" i="22"/>
  <c r="D65" i="23"/>
  <c r="S65" i="23" s="1"/>
  <c r="C65" i="23"/>
  <c r="R65" i="23" s="1"/>
  <c r="H66" i="23"/>
  <c r="H68" i="22"/>
  <c r="D67" i="22"/>
  <c r="C67" i="22"/>
  <c r="AJ69" i="23"/>
  <c r="E69" i="23" s="1"/>
  <c r="N69" i="23" s="1"/>
  <c r="AH70" i="23"/>
  <c r="J66" i="23"/>
  <c r="L65" i="23"/>
  <c r="W65" i="23" s="1"/>
  <c r="J66" i="22"/>
  <c r="L65" i="22"/>
  <c r="W65" i="22" s="1"/>
  <c r="C66" i="21"/>
  <c r="H67" i="21"/>
  <c r="D66" i="21"/>
  <c r="AJ69" i="21"/>
  <c r="E69" i="21" s="1"/>
  <c r="N69" i="21" s="1"/>
  <c r="AH70" i="21"/>
  <c r="L65" i="21"/>
  <c r="W65" i="21" s="1"/>
  <c r="J66" i="21"/>
  <c r="M64" i="20"/>
  <c r="X64" i="20" s="1"/>
  <c r="L64" i="20"/>
  <c r="W64" i="20" s="1"/>
  <c r="G65" i="20"/>
  <c r="C64" i="20"/>
  <c r="R64" i="20" s="1"/>
  <c r="AA64" i="20"/>
  <c r="Z64" i="20"/>
  <c r="D64" i="20"/>
  <c r="S64" i="20" s="1"/>
  <c r="T64" i="20"/>
  <c r="Q65" i="20"/>
  <c r="J66" i="20"/>
  <c r="P65" i="20"/>
  <c r="U65" i="20"/>
  <c r="T65" i="20"/>
  <c r="O65" i="20"/>
  <c r="P64" i="20"/>
  <c r="AJ69" i="20"/>
  <c r="E69" i="20" s="1"/>
  <c r="AH70" i="20"/>
  <c r="H68" i="20"/>
  <c r="N68" i="20"/>
  <c r="C63" i="19"/>
  <c r="R63" i="19" s="1"/>
  <c r="Z63" i="19"/>
  <c r="AA63" i="19"/>
  <c r="H65" i="19"/>
  <c r="M63" i="19"/>
  <c r="X63" i="19" s="1"/>
  <c r="L63" i="19"/>
  <c r="W63" i="19" s="1"/>
  <c r="G64" i="19"/>
  <c r="T64" i="19" s="1"/>
  <c r="T63" i="19"/>
  <c r="AJ70" i="19"/>
  <c r="E70" i="19" s="1"/>
  <c r="AH71" i="19"/>
  <c r="P63" i="19"/>
  <c r="N69" i="19"/>
  <c r="U63" i="19"/>
  <c r="J65" i="19"/>
  <c r="D62" i="7"/>
  <c r="S62" i="7" s="1"/>
  <c r="O62" i="7"/>
  <c r="C62" i="7"/>
  <c r="R62" i="7" s="1"/>
  <c r="T62" i="7"/>
  <c r="U62" i="7"/>
  <c r="Q62" i="7"/>
  <c r="AA62" i="7"/>
  <c r="Z62" i="7"/>
  <c r="G63" i="7"/>
  <c r="M62" i="7"/>
  <c r="X62" i="7" s="1"/>
  <c r="P62" i="7"/>
  <c r="L62" i="7"/>
  <c r="W62" i="7" s="1"/>
  <c r="C64" i="18"/>
  <c r="D64" i="18"/>
  <c r="Q62" i="17"/>
  <c r="D62" i="17"/>
  <c r="C62" i="17"/>
  <c r="D63" i="16"/>
  <c r="S63" i="16" s="1"/>
  <c r="C63" i="16"/>
  <c r="R63" i="16" s="1"/>
  <c r="C62" i="15"/>
  <c r="R62" i="15" s="1"/>
  <c r="D62" i="15"/>
  <c r="C63" i="14"/>
  <c r="R63" i="14" s="1"/>
  <c r="D63" i="14"/>
  <c r="S63" i="14" s="1"/>
  <c r="C62" i="13"/>
  <c r="R62" i="13" s="1"/>
  <c r="D62" i="13"/>
  <c r="D64" i="12"/>
  <c r="C64" i="12"/>
  <c r="D64" i="11"/>
  <c r="C64" i="11"/>
  <c r="D63" i="10"/>
  <c r="C63" i="10"/>
  <c r="C63" i="9"/>
  <c r="D63" i="9"/>
  <c r="D64" i="8"/>
  <c r="C64" i="8"/>
  <c r="D64" i="6"/>
  <c r="C64" i="6"/>
  <c r="D63" i="4"/>
  <c r="S63" i="4" s="1"/>
  <c r="C63" i="4"/>
  <c r="D64" i="1"/>
  <c r="S64" i="1" s="1"/>
  <c r="U64" i="1"/>
  <c r="AA64" i="1"/>
  <c r="Q64" i="1"/>
  <c r="P64" i="1"/>
  <c r="Z64" i="1"/>
  <c r="G65" i="1"/>
  <c r="M64" i="1"/>
  <c r="X64" i="1" s="1"/>
  <c r="C64" i="1"/>
  <c r="R64" i="1" s="1"/>
  <c r="L64" i="1"/>
  <c r="W64" i="1" s="1"/>
  <c r="T64" i="1"/>
  <c r="O64" i="1"/>
  <c r="P62" i="17"/>
  <c r="Z63" i="16"/>
  <c r="AA63" i="16"/>
  <c r="O64" i="11"/>
  <c r="R63" i="12"/>
  <c r="S63" i="12"/>
  <c r="S64" i="18"/>
  <c r="R64" i="18"/>
  <c r="AA64" i="18"/>
  <c r="Z64" i="18"/>
  <c r="H65" i="18"/>
  <c r="M64" i="18"/>
  <c r="X64" i="18" s="1"/>
  <c r="L64" i="18"/>
  <c r="W64" i="18" s="1"/>
  <c r="G65" i="18"/>
  <c r="AH68" i="18"/>
  <c r="AJ67" i="18"/>
  <c r="E67" i="18" s="1"/>
  <c r="N66" i="18"/>
  <c r="Q64" i="18"/>
  <c r="P64" i="18"/>
  <c r="J65" i="18"/>
  <c r="U64" i="18"/>
  <c r="T64" i="18"/>
  <c r="O64" i="18"/>
  <c r="N67" i="17"/>
  <c r="AJ68" i="17"/>
  <c r="E68" i="17" s="1"/>
  <c r="AH69" i="17"/>
  <c r="H65" i="17"/>
  <c r="M62" i="17"/>
  <c r="X62" i="17" s="1"/>
  <c r="L62" i="17"/>
  <c r="W62" i="17" s="1"/>
  <c r="G63" i="17"/>
  <c r="Z62" i="17"/>
  <c r="S62" i="17"/>
  <c r="R62" i="17"/>
  <c r="AA62" i="17"/>
  <c r="T62" i="17"/>
  <c r="U62" i="17"/>
  <c r="J64" i="17"/>
  <c r="N67" i="13"/>
  <c r="G63" i="15"/>
  <c r="M62" i="15"/>
  <c r="X62" i="15" s="1"/>
  <c r="L62" i="15"/>
  <c r="W62" i="15" s="1"/>
  <c r="O62" i="15"/>
  <c r="Z62" i="15"/>
  <c r="Q62" i="15"/>
  <c r="P62" i="15"/>
  <c r="U62" i="15"/>
  <c r="S62" i="15"/>
  <c r="T62" i="15"/>
  <c r="AA62" i="15"/>
  <c r="AJ67" i="14"/>
  <c r="E67" i="14" s="1"/>
  <c r="AH68" i="14"/>
  <c r="N66" i="15"/>
  <c r="H65" i="13"/>
  <c r="AJ66" i="16"/>
  <c r="E66" i="16" s="1"/>
  <c r="AH67" i="16"/>
  <c r="J66" i="13"/>
  <c r="N66" i="14"/>
  <c r="N65" i="16"/>
  <c r="M63" i="16"/>
  <c r="X63" i="16" s="1"/>
  <c r="L63" i="16"/>
  <c r="W63" i="16" s="1"/>
  <c r="G64" i="16"/>
  <c r="J65" i="15"/>
  <c r="H65" i="16"/>
  <c r="M63" i="14"/>
  <c r="X63" i="14" s="1"/>
  <c r="L63" i="14"/>
  <c r="W63" i="14" s="1"/>
  <c r="G64" i="14"/>
  <c r="AH68" i="15"/>
  <c r="AJ67" i="15"/>
  <c r="E67" i="15" s="1"/>
  <c r="H65" i="14"/>
  <c r="J64" i="14"/>
  <c r="Q63" i="14"/>
  <c r="P63" i="14"/>
  <c r="U63" i="14"/>
  <c r="T63" i="14"/>
  <c r="O63" i="14"/>
  <c r="H65" i="15"/>
  <c r="Q63" i="16"/>
  <c r="P63" i="16"/>
  <c r="J64" i="16"/>
  <c r="U63" i="16"/>
  <c r="T63" i="16"/>
  <c r="AH69" i="13"/>
  <c r="AJ68" i="13"/>
  <c r="E68" i="13" s="1"/>
  <c r="G63" i="13"/>
  <c r="M62" i="13"/>
  <c r="X62" i="13" s="1"/>
  <c r="L62" i="13"/>
  <c r="W62" i="13" s="1"/>
  <c r="S62" i="13"/>
  <c r="AA62" i="13"/>
  <c r="Z62" i="13"/>
  <c r="O62" i="13"/>
  <c r="T62" i="13"/>
  <c r="Q62" i="13"/>
  <c r="U62" i="13"/>
  <c r="P62" i="13"/>
  <c r="O63" i="16"/>
  <c r="AA64" i="12"/>
  <c r="Z64" i="12"/>
  <c r="H65" i="12"/>
  <c r="AH68" i="12"/>
  <c r="AJ67" i="12"/>
  <c r="E67" i="12" s="1"/>
  <c r="M63" i="9"/>
  <c r="X63" i="9" s="1"/>
  <c r="L63" i="9"/>
  <c r="W63" i="9" s="1"/>
  <c r="G64" i="9"/>
  <c r="AA63" i="9"/>
  <c r="Z63" i="9"/>
  <c r="S63" i="9"/>
  <c r="R63" i="9"/>
  <c r="J67" i="11"/>
  <c r="N66" i="12"/>
  <c r="AJ67" i="10"/>
  <c r="E67" i="10" s="1"/>
  <c r="AH68" i="10"/>
  <c r="AJ67" i="9"/>
  <c r="E67" i="9" s="1"/>
  <c r="AH68" i="9"/>
  <c r="N66" i="10"/>
  <c r="N66" i="9"/>
  <c r="M64" i="11"/>
  <c r="X64" i="11" s="1"/>
  <c r="L64" i="11"/>
  <c r="W64" i="11" s="1"/>
  <c r="G65" i="11"/>
  <c r="O65" i="11" s="1"/>
  <c r="H64" i="10"/>
  <c r="S63" i="10"/>
  <c r="R63" i="10"/>
  <c r="AA63" i="10"/>
  <c r="Z63" i="10"/>
  <c r="AA64" i="11"/>
  <c r="Z64" i="11"/>
  <c r="H65" i="11"/>
  <c r="S64" i="11"/>
  <c r="R64" i="11"/>
  <c r="T64" i="11"/>
  <c r="Q64" i="11"/>
  <c r="P64" i="11"/>
  <c r="U64" i="11"/>
  <c r="J64" i="9"/>
  <c r="Q63" i="9"/>
  <c r="P63" i="9"/>
  <c r="U63" i="9"/>
  <c r="T63" i="9"/>
  <c r="O63" i="9"/>
  <c r="G64" i="10"/>
  <c r="M63" i="10"/>
  <c r="X63" i="10" s="1"/>
  <c r="L63" i="10"/>
  <c r="W63" i="10" s="1"/>
  <c r="AJ67" i="11"/>
  <c r="E67" i="11" s="1"/>
  <c r="AH68" i="11"/>
  <c r="Q63" i="12"/>
  <c r="P63" i="12"/>
  <c r="J64" i="12"/>
  <c r="U63" i="12"/>
  <c r="T63" i="12"/>
  <c r="O63" i="12"/>
  <c r="N66" i="11"/>
  <c r="H66" i="9"/>
  <c r="Q63" i="10"/>
  <c r="P63" i="10"/>
  <c r="J64" i="10"/>
  <c r="U63" i="10"/>
  <c r="T63" i="10"/>
  <c r="O63" i="10"/>
  <c r="M64" i="12"/>
  <c r="X64" i="12" s="1"/>
  <c r="L64" i="12"/>
  <c r="W64" i="12" s="1"/>
  <c r="G65" i="12"/>
  <c r="M64" i="8"/>
  <c r="X64" i="8" s="1"/>
  <c r="L64" i="8"/>
  <c r="W64" i="8" s="1"/>
  <c r="G65" i="8"/>
  <c r="N67" i="8"/>
  <c r="S64" i="8"/>
  <c r="R64" i="8"/>
  <c r="AA64" i="8"/>
  <c r="Z64" i="8"/>
  <c r="H65" i="8"/>
  <c r="AH69" i="8"/>
  <c r="AJ68" i="8"/>
  <c r="E68" i="8" s="1"/>
  <c r="Q64" i="8"/>
  <c r="P64" i="8"/>
  <c r="J65" i="8"/>
  <c r="U64" i="8"/>
  <c r="T64" i="8"/>
  <c r="O64" i="8"/>
  <c r="H66" i="7"/>
  <c r="J66" i="7"/>
  <c r="N67" i="7"/>
  <c r="AJ68" i="7"/>
  <c r="E68" i="7" s="1"/>
  <c r="AH69" i="7"/>
  <c r="S64" i="6"/>
  <c r="R64" i="6"/>
  <c r="AA64" i="6"/>
  <c r="Z64" i="6"/>
  <c r="H65" i="6"/>
  <c r="J66" i="6"/>
  <c r="U65" i="6"/>
  <c r="O65" i="6"/>
  <c r="T64" i="6"/>
  <c r="M64" i="6"/>
  <c r="X64" i="6" s="1"/>
  <c r="L64" i="6"/>
  <c r="W64" i="6" s="1"/>
  <c r="G65" i="6"/>
  <c r="AH68" i="6"/>
  <c r="AJ67" i="6"/>
  <c r="E67" i="6" s="1"/>
  <c r="N66" i="6"/>
  <c r="U64" i="6"/>
  <c r="L63" i="4"/>
  <c r="W63" i="4" s="1"/>
  <c r="R63" i="4"/>
  <c r="N66" i="4"/>
  <c r="AA63" i="4"/>
  <c r="Z63" i="4"/>
  <c r="U63" i="4"/>
  <c r="Q63" i="4"/>
  <c r="G64" i="4"/>
  <c r="P63" i="4"/>
  <c r="M63" i="4"/>
  <c r="X63" i="4" s="1"/>
  <c r="T63" i="4"/>
  <c r="O63" i="4"/>
  <c r="J67" i="4"/>
  <c r="AH68" i="4"/>
  <c r="AJ67" i="4"/>
  <c r="E67" i="4" s="1"/>
  <c r="H65" i="4"/>
  <c r="J67" i="28" l="1"/>
  <c r="L66" i="28"/>
  <c r="AJ70" i="28"/>
  <c r="E70" i="28" s="1"/>
  <c r="N70" i="28" s="1"/>
  <c r="AH71" i="28"/>
  <c r="H69" i="28"/>
  <c r="D68" i="28"/>
  <c r="C68" i="28"/>
  <c r="AH71" i="24"/>
  <c r="AJ70" i="24"/>
  <c r="E70" i="24" s="1"/>
  <c r="N70" i="24" s="1"/>
  <c r="AJ69" i="26"/>
  <c r="E69" i="26" s="1"/>
  <c r="N69" i="26" s="1"/>
  <c r="AH70" i="26"/>
  <c r="D67" i="26"/>
  <c r="C67" i="26"/>
  <c r="H68" i="26"/>
  <c r="L66" i="26"/>
  <c r="J67" i="26"/>
  <c r="AJ71" i="27"/>
  <c r="E71" i="27" s="1"/>
  <c r="N71" i="27" s="1"/>
  <c r="AH72" i="27"/>
  <c r="H70" i="25"/>
  <c r="D69" i="25"/>
  <c r="C69" i="25"/>
  <c r="J67" i="24"/>
  <c r="L66" i="24"/>
  <c r="AJ69" i="25"/>
  <c r="E69" i="25" s="1"/>
  <c r="N69" i="25" s="1"/>
  <c r="AH70" i="25"/>
  <c r="L68" i="27"/>
  <c r="J69" i="27"/>
  <c r="H68" i="27"/>
  <c r="C67" i="27"/>
  <c r="D67" i="27"/>
  <c r="D67" i="24"/>
  <c r="C67" i="24"/>
  <c r="H68" i="24"/>
  <c r="J68" i="25"/>
  <c r="L67" i="25"/>
  <c r="J67" i="23"/>
  <c r="L66" i="23"/>
  <c r="AJ70" i="23"/>
  <c r="E70" i="23" s="1"/>
  <c r="N70" i="23" s="1"/>
  <c r="AH71" i="23"/>
  <c r="D68" i="22"/>
  <c r="C68" i="22"/>
  <c r="H69" i="22"/>
  <c r="C66" i="23"/>
  <c r="H67" i="23"/>
  <c r="D66" i="23"/>
  <c r="AJ70" i="22"/>
  <c r="E70" i="22" s="1"/>
  <c r="N70" i="22" s="1"/>
  <c r="AH71" i="22"/>
  <c r="J67" i="22"/>
  <c r="L66" i="22"/>
  <c r="J67" i="21"/>
  <c r="L66" i="21"/>
  <c r="AH71" i="21"/>
  <c r="AJ70" i="21"/>
  <c r="E70" i="21" s="1"/>
  <c r="N70" i="21" s="1"/>
  <c r="H68" i="21"/>
  <c r="D67" i="21"/>
  <c r="C67" i="21"/>
  <c r="J67" i="20"/>
  <c r="H69" i="20"/>
  <c r="N69" i="20"/>
  <c r="AJ70" i="20"/>
  <c r="E70" i="20" s="1"/>
  <c r="AH71" i="20"/>
  <c r="M65" i="20"/>
  <c r="X65" i="20" s="1"/>
  <c r="L65" i="20"/>
  <c r="W65" i="20" s="1"/>
  <c r="G66" i="20"/>
  <c r="AA65" i="20"/>
  <c r="Z65" i="20"/>
  <c r="C65" i="20"/>
  <c r="R65" i="20" s="1"/>
  <c r="D65" i="20"/>
  <c r="S65" i="20" s="1"/>
  <c r="O64" i="19"/>
  <c r="U64" i="19"/>
  <c r="AJ71" i="19"/>
  <c r="E71" i="19" s="1"/>
  <c r="AH72" i="19"/>
  <c r="N70" i="19"/>
  <c r="M64" i="19"/>
  <c r="X64" i="19" s="1"/>
  <c r="L64" i="19"/>
  <c r="W64" i="19" s="1"/>
  <c r="G65" i="19"/>
  <c r="Q65" i="19" s="1"/>
  <c r="J66" i="19"/>
  <c r="P64" i="19"/>
  <c r="H66" i="19"/>
  <c r="Q64" i="19"/>
  <c r="Z64" i="19"/>
  <c r="AA64" i="19"/>
  <c r="C64" i="19"/>
  <c r="R64" i="19" s="1"/>
  <c r="D64" i="19"/>
  <c r="S64" i="19" s="1"/>
  <c r="AA63" i="7"/>
  <c r="G64" i="7"/>
  <c r="O63" i="7"/>
  <c r="L63" i="7"/>
  <c r="W63" i="7" s="1"/>
  <c r="P63" i="7"/>
  <c r="T63" i="7"/>
  <c r="U63" i="7"/>
  <c r="D63" i="7"/>
  <c r="S63" i="7" s="1"/>
  <c r="C63" i="7"/>
  <c r="R63" i="7" s="1"/>
  <c r="Q63" i="7"/>
  <c r="Z63" i="7"/>
  <c r="M63" i="7"/>
  <c r="X63" i="7" s="1"/>
  <c r="O64" i="16"/>
  <c r="D65" i="18"/>
  <c r="C65" i="18"/>
  <c r="Q63" i="17"/>
  <c r="D63" i="17"/>
  <c r="C63" i="17"/>
  <c r="D64" i="16"/>
  <c r="C64" i="16"/>
  <c r="R64" i="16" s="1"/>
  <c r="D63" i="15"/>
  <c r="S63" i="15" s="1"/>
  <c r="C63" i="15"/>
  <c r="R63" i="15" s="1"/>
  <c r="D64" i="14"/>
  <c r="S64" i="14" s="1"/>
  <c r="C64" i="14"/>
  <c r="R64" i="14" s="1"/>
  <c r="D63" i="13"/>
  <c r="S63" i="13" s="1"/>
  <c r="C63" i="13"/>
  <c r="D65" i="12"/>
  <c r="C65" i="12"/>
  <c r="D65" i="11"/>
  <c r="C65" i="11"/>
  <c r="D64" i="10"/>
  <c r="C64" i="10"/>
  <c r="D64" i="9"/>
  <c r="C64" i="9"/>
  <c r="D65" i="8"/>
  <c r="C65" i="8"/>
  <c r="R65" i="8" s="1"/>
  <c r="T65" i="6"/>
  <c r="D65" i="6"/>
  <c r="C65" i="6"/>
  <c r="Q65" i="6"/>
  <c r="D64" i="4"/>
  <c r="C64" i="4"/>
  <c r="L65" i="1"/>
  <c r="W65" i="1" s="1"/>
  <c r="AA65" i="1"/>
  <c r="Z65" i="1"/>
  <c r="U65" i="1"/>
  <c r="P65" i="1"/>
  <c r="Q65" i="1"/>
  <c r="D65" i="1"/>
  <c r="S65" i="1" s="1"/>
  <c r="G66" i="1"/>
  <c r="M65" i="1"/>
  <c r="X65" i="1" s="1"/>
  <c r="C65" i="1"/>
  <c r="R65" i="1" s="1"/>
  <c r="T65" i="1"/>
  <c r="O65" i="1"/>
  <c r="O63" i="17"/>
  <c r="T63" i="17"/>
  <c r="U63" i="17"/>
  <c r="P63" i="17"/>
  <c r="Z64" i="16"/>
  <c r="AA64" i="16"/>
  <c r="N67" i="18"/>
  <c r="AJ68" i="18"/>
  <c r="E68" i="18" s="1"/>
  <c r="AH69" i="18"/>
  <c r="M65" i="18"/>
  <c r="X65" i="18" s="1"/>
  <c r="L65" i="18"/>
  <c r="W65" i="18" s="1"/>
  <c r="G66" i="18"/>
  <c r="S65" i="18"/>
  <c r="R65" i="18"/>
  <c r="AA65" i="18"/>
  <c r="Z65" i="18"/>
  <c r="H66" i="18"/>
  <c r="Q65" i="18"/>
  <c r="P65" i="18"/>
  <c r="J66" i="18"/>
  <c r="U65" i="18"/>
  <c r="T65" i="18"/>
  <c r="O65" i="18"/>
  <c r="J65" i="17"/>
  <c r="H66" i="17"/>
  <c r="AJ69" i="17"/>
  <c r="E69" i="17" s="1"/>
  <c r="AH70" i="17"/>
  <c r="N68" i="17"/>
  <c r="M63" i="17"/>
  <c r="X63" i="17" s="1"/>
  <c r="L63" i="17"/>
  <c r="W63" i="17" s="1"/>
  <c r="G64" i="17"/>
  <c r="O64" i="17" s="1"/>
  <c r="S63" i="17"/>
  <c r="R63" i="17"/>
  <c r="AA63" i="17"/>
  <c r="Z63" i="17"/>
  <c r="P65" i="6"/>
  <c r="G65" i="14"/>
  <c r="AA65" i="14" s="1"/>
  <c r="M64" i="14"/>
  <c r="X64" i="14" s="1"/>
  <c r="L64" i="14"/>
  <c r="W64" i="14" s="1"/>
  <c r="H66" i="13"/>
  <c r="Q64" i="14"/>
  <c r="P64" i="14"/>
  <c r="J65" i="14"/>
  <c r="U64" i="14"/>
  <c r="T64" i="14"/>
  <c r="O64" i="14"/>
  <c r="H66" i="16"/>
  <c r="H66" i="15"/>
  <c r="Z64" i="14"/>
  <c r="J67" i="13"/>
  <c r="AH69" i="14"/>
  <c r="AJ68" i="14"/>
  <c r="E68" i="14" s="1"/>
  <c r="J66" i="15"/>
  <c r="AA64" i="14"/>
  <c r="M64" i="16"/>
  <c r="X64" i="16" s="1"/>
  <c r="L64" i="16"/>
  <c r="W64" i="16" s="1"/>
  <c r="G65" i="16"/>
  <c r="N67" i="14"/>
  <c r="M63" i="15"/>
  <c r="X63" i="15" s="1"/>
  <c r="L63" i="15"/>
  <c r="W63" i="15" s="1"/>
  <c r="G64" i="15"/>
  <c r="O63" i="15"/>
  <c r="Q63" i="15"/>
  <c r="P63" i="15"/>
  <c r="AA63" i="15"/>
  <c r="Z63" i="15"/>
  <c r="U63" i="15"/>
  <c r="T63" i="15"/>
  <c r="S64" i="16"/>
  <c r="AH68" i="16"/>
  <c r="AJ67" i="16"/>
  <c r="E67" i="16" s="1"/>
  <c r="G64" i="13"/>
  <c r="M63" i="13"/>
  <c r="X63" i="13" s="1"/>
  <c r="L63" i="13"/>
  <c r="W63" i="13" s="1"/>
  <c r="Q63" i="13"/>
  <c r="Z63" i="13"/>
  <c r="U63" i="13"/>
  <c r="R63" i="13"/>
  <c r="O63" i="13"/>
  <c r="T63" i="13"/>
  <c r="AA63" i="13"/>
  <c r="P63" i="13"/>
  <c r="Z65" i="14"/>
  <c r="H66" i="14"/>
  <c r="N66" i="16"/>
  <c r="AJ69" i="13"/>
  <c r="E69" i="13" s="1"/>
  <c r="AH70" i="13"/>
  <c r="AH69" i="15"/>
  <c r="AJ68" i="15"/>
  <c r="E68" i="15" s="1"/>
  <c r="Q64" i="16"/>
  <c r="P64" i="16"/>
  <c r="J65" i="16"/>
  <c r="U64" i="16"/>
  <c r="T64" i="16"/>
  <c r="N68" i="13"/>
  <c r="N67" i="15"/>
  <c r="AJ68" i="10"/>
  <c r="E68" i="10" s="1"/>
  <c r="AH69" i="10"/>
  <c r="H67" i="9"/>
  <c r="AJ68" i="11"/>
  <c r="E68" i="11" s="1"/>
  <c r="AH69" i="11"/>
  <c r="S64" i="10"/>
  <c r="R64" i="10"/>
  <c r="AA64" i="10"/>
  <c r="Z64" i="10"/>
  <c r="H65" i="10"/>
  <c r="N67" i="10"/>
  <c r="M64" i="9"/>
  <c r="X64" i="9" s="1"/>
  <c r="L64" i="9"/>
  <c r="W64" i="9" s="1"/>
  <c r="G65" i="9"/>
  <c r="R64" i="9"/>
  <c r="S64" i="9"/>
  <c r="Z64" i="9"/>
  <c r="AA64" i="9"/>
  <c r="M65" i="12"/>
  <c r="X65" i="12" s="1"/>
  <c r="G66" i="12"/>
  <c r="N67" i="11"/>
  <c r="M65" i="11"/>
  <c r="X65" i="11" s="1"/>
  <c r="L65" i="11"/>
  <c r="W65" i="11" s="1"/>
  <c r="G66" i="11"/>
  <c r="N67" i="12"/>
  <c r="AJ68" i="12"/>
  <c r="E68" i="12" s="1"/>
  <c r="AH69" i="12"/>
  <c r="G65" i="10"/>
  <c r="M64" i="10"/>
  <c r="X64" i="10" s="1"/>
  <c r="L64" i="10"/>
  <c r="W64" i="10" s="1"/>
  <c r="AA65" i="11"/>
  <c r="Z65" i="11"/>
  <c r="H66" i="11"/>
  <c r="S65" i="11"/>
  <c r="R65" i="11"/>
  <c r="T65" i="11"/>
  <c r="U65" i="11"/>
  <c r="Q65" i="11"/>
  <c r="P65" i="11"/>
  <c r="J68" i="11"/>
  <c r="AA65" i="12"/>
  <c r="Z65" i="12"/>
  <c r="H66" i="12"/>
  <c r="Q64" i="10"/>
  <c r="P64" i="10"/>
  <c r="J65" i="10"/>
  <c r="U64" i="10"/>
  <c r="T64" i="10"/>
  <c r="O64" i="10"/>
  <c r="Q64" i="12"/>
  <c r="P64" i="12"/>
  <c r="J65" i="12"/>
  <c r="U64" i="12"/>
  <c r="T64" i="12"/>
  <c r="O64" i="12"/>
  <c r="AJ68" i="9"/>
  <c r="E68" i="9" s="1"/>
  <c r="AH69" i="9"/>
  <c r="R64" i="12"/>
  <c r="J65" i="9"/>
  <c r="P64" i="9"/>
  <c r="Q64" i="9"/>
  <c r="U64" i="9"/>
  <c r="T64" i="9"/>
  <c r="O64" i="9"/>
  <c r="N67" i="9"/>
  <c r="S64" i="12"/>
  <c r="S65" i="8"/>
  <c r="AA65" i="8"/>
  <c r="Z65" i="8"/>
  <c r="H66" i="8"/>
  <c r="N68" i="8"/>
  <c r="Q65" i="8"/>
  <c r="P65" i="8"/>
  <c r="J66" i="8"/>
  <c r="U65" i="8"/>
  <c r="T65" i="8"/>
  <c r="O65" i="8"/>
  <c r="M65" i="8"/>
  <c r="X65" i="8" s="1"/>
  <c r="L65" i="8"/>
  <c r="W65" i="8" s="1"/>
  <c r="G66" i="8"/>
  <c r="AJ69" i="8"/>
  <c r="E69" i="8" s="1"/>
  <c r="AH70" i="8"/>
  <c r="J67" i="7"/>
  <c r="N68" i="7"/>
  <c r="H67" i="7"/>
  <c r="AJ69" i="7"/>
  <c r="E69" i="7" s="1"/>
  <c r="AH70" i="7"/>
  <c r="J67" i="6"/>
  <c r="S65" i="6"/>
  <c r="R65" i="6"/>
  <c r="AA65" i="6"/>
  <c r="Z65" i="6"/>
  <c r="H66" i="6"/>
  <c r="N67" i="6"/>
  <c r="AJ68" i="6"/>
  <c r="E68" i="6" s="1"/>
  <c r="AH69" i="6"/>
  <c r="M65" i="6"/>
  <c r="X65" i="6" s="1"/>
  <c r="L65" i="6"/>
  <c r="W65" i="6" s="1"/>
  <c r="G66" i="6"/>
  <c r="M64" i="4"/>
  <c r="X64" i="4" s="1"/>
  <c r="Z64" i="4"/>
  <c r="AA64" i="4"/>
  <c r="Q64" i="4"/>
  <c r="G65" i="4"/>
  <c r="P64" i="4"/>
  <c r="U64" i="4"/>
  <c r="T64" i="4"/>
  <c r="O64" i="4"/>
  <c r="R64" i="4"/>
  <c r="S64" i="4"/>
  <c r="L64" i="4"/>
  <c r="W64" i="4" s="1"/>
  <c r="N67" i="4"/>
  <c r="H66" i="4"/>
  <c r="AJ68" i="4"/>
  <c r="E68" i="4" s="1"/>
  <c r="AH69" i="4"/>
  <c r="J68" i="4"/>
  <c r="H70" i="28" l="1"/>
  <c r="D69" i="28"/>
  <c r="C69" i="28"/>
  <c r="AJ71" i="28"/>
  <c r="E71" i="28" s="1"/>
  <c r="N71" i="28" s="1"/>
  <c r="AH72" i="28"/>
  <c r="L67" i="28"/>
  <c r="J68" i="28"/>
  <c r="D70" i="25"/>
  <c r="C70" i="25"/>
  <c r="H71" i="25"/>
  <c r="H69" i="27"/>
  <c r="L69" i="27" s="1"/>
  <c r="D68" i="27"/>
  <c r="C68" i="27"/>
  <c r="J68" i="26"/>
  <c r="L67" i="26"/>
  <c r="J70" i="27"/>
  <c r="AJ72" i="27"/>
  <c r="E72" i="27" s="1"/>
  <c r="N72" i="27" s="1"/>
  <c r="AH73" i="27"/>
  <c r="D68" i="26"/>
  <c r="C68" i="26"/>
  <c r="H69" i="26"/>
  <c r="AJ70" i="25"/>
  <c r="E70" i="25" s="1"/>
  <c r="N70" i="25" s="1"/>
  <c r="AH71" i="25"/>
  <c r="AH71" i="26"/>
  <c r="AJ70" i="26"/>
  <c r="E70" i="26" s="1"/>
  <c r="N70" i="26" s="1"/>
  <c r="J69" i="25"/>
  <c r="L68" i="25"/>
  <c r="L67" i="24"/>
  <c r="J68" i="24"/>
  <c r="C68" i="24"/>
  <c r="H69" i="24"/>
  <c r="D68" i="24"/>
  <c r="AJ71" i="24"/>
  <c r="E71" i="24" s="1"/>
  <c r="N71" i="24" s="1"/>
  <c r="AH72" i="24"/>
  <c r="H68" i="23"/>
  <c r="D67" i="23"/>
  <c r="C67" i="23"/>
  <c r="D69" i="22"/>
  <c r="C69" i="22"/>
  <c r="H70" i="22"/>
  <c r="AJ71" i="23"/>
  <c r="E71" i="23" s="1"/>
  <c r="N71" i="23" s="1"/>
  <c r="AH72" i="23"/>
  <c r="AJ71" i="22"/>
  <c r="E71" i="22" s="1"/>
  <c r="N71" i="22" s="1"/>
  <c r="AH72" i="22"/>
  <c r="L67" i="22"/>
  <c r="J68" i="22"/>
  <c r="L67" i="23"/>
  <c r="J68" i="23"/>
  <c r="H69" i="21"/>
  <c r="D68" i="21"/>
  <c r="C68" i="21"/>
  <c r="AJ71" i="21"/>
  <c r="E71" i="21" s="1"/>
  <c r="N71" i="21" s="1"/>
  <c r="AH72" i="21"/>
  <c r="J68" i="21"/>
  <c r="L67" i="21"/>
  <c r="H70" i="20"/>
  <c r="M66" i="20"/>
  <c r="X66" i="20" s="1"/>
  <c r="L66" i="20"/>
  <c r="W66" i="20" s="1"/>
  <c r="G67" i="20"/>
  <c r="Z66" i="20"/>
  <c r="D66" i="20"/>
  <c r="S66" i="20" s="1"/>
  <c r="C66" i="20"/>
  <c r="R66" i="20" s="1"/>
  <c r="AA66" i="20"/>
  <c r="O66" i="20"/>
  <c r="T66" i="20"/>
  <c r="AJ71" i="20"/>
  <c r="E71" i="20" s="1"/>
  <c r="AH72" i="20"/>
  <c r="U66" i="20"/>
  <c r="N70" i="20"/>
  <c r="Q66" i="20"/>
  <c r="J68" i="20"/>
  <c r="Q67" i="20"/>
  <c r="P67" i="20"/>
  <c r="U67" i="20"/>
  <c r="T67" i="20"/>
  <c r="O67" i="20"/>
  <c r="P66" i="20"/>
  <c r="C65" i="19"/>
  <c r="R65" i="19" s="1"/>
  <c r="T65" i="19"/>
  <c r="U65" i="19"/>
  <c r="P65" i="19"/>
  <c r="Z65" i="19"/>
  <c r="J67" i="19"/>
  <c r="H67" i="19"/>
  <c r="M65" i="19"/>
  <c r="X65" i="19" s="1"/>
  <c r="L65" i="19"/>
  <c r="W65" i="19" s="1"/>
  <c r="G66" i="19"/>
  <c r="AA66" i="19" s="1"/>
  <c r="AA65" i="19"/>
  <c r="D65" i="19"/>
  <c r="S65" i="19" s="1"/>
  <c r="AJ72" i="19"/>
  <c r="E72" i="19" s="1"/>
  <c r="AH73" i="19"/>
  <c r="O65" i="19"/>
  <c r="N71" i="19"/>
  <c r="AA64" i="7"/>
  <c r="G65" i="7"/>
  <c r="O64" i="7"/>
  <c r="T64" i="7"/>
  <c r="L64" i="7"/>
  <c r="W64" i="7" s="1"/>
  <c r="U64" i="7"/>
  <c r="P64" i="7"/>
  <c r="D64" i="7"/>
  <c r="S64" i="7" s="1"/>
  <c r="C64" i="7"/>
  <c r="R64" i="7" s="1"/>
  <c r="Q64" i="7"/>
  <c r="Z64" i="7"/>
  <c r="M64" i="7"/>
  <c r="X64" i="7" s="1"/>
  <c r="D66" i="18"/>
  <c r="C66" i="18"/>
  <c r="C64" i="17"/>
  <c r="D64" i="17"/>
  <c r="D65" i="16"/>
  <c r="C65" i="16"/>
  <c r="D64" i="15"/>
  <c r="C64" i="15"/>
  <c r="C65" i="14"/>
  <c r="R65" i="14" s="1"/>
  <c r="D65" i="14"/>
  <c r="S65" i="14" s="1"/>
  <c r="D64" i="13"/>
  <c r="S64" i="13" s="1"/>
  <c r="C64" i="13"/>
  <c r="R64" i="13" s="1"/>
  <c r="D66" i="12"/>
  <c r="C66" i="12"/>
  <c r="C66" i="11"/>
  <c r="D66" i="11"/>
  <c r="D65" i="10"/>
  <c r="C65" i="10"/>
  <c r="D65" i="9"/>
  <c r="C65" i="9"/>
  <c r="D66" i="8"/>
  <c r="C66" i="8"/>
  <c r="R66" i="8" s="1"/>
  <c r="D66" i="6"/>
  <c r="C66" i="6"/>
  <c r="C65" i="4"/>
  <c r="R65" i="4" s="1"/>
  <c r="D65" i="4"/>
  <c r="L66" i="1"/>
  <c r="W66" i="1" s="1"/>
  <c r="AA66" i="1"/>
  <c r="U66" i="1"/>
  <c r="Q66" i="1"/>
  <c r="Z66" i="1"/>
  <c r="P66" i="1"/>
  <c r="G67" i="1"/>
  <c r="G68" i="1" s="1"/>
  <c r="C66" i="1"/>
  <c r="R66" i="1" s="1"/>
  <c r="M66" i="1"/>
  <c r="X66" i="1" s="1"/>
  <c r="D66" i="1"/>
  <c r="S66" i="1" s="1"/>
  <c r="T66" i="1"/>
  <c r="O66" i="1"/>
  <c r="U66" i="6"/>
  <c r="R65" i="12"/>
  <c r="M66" i="18"/>
  <c r="X66" i="18" s="1"/>
  <c r="L66" i="18"/>
  <c r="W66" i="18" s="1"/>
  <c r="G67" i="18"/>
  <c r="AJ69" i="18"/>
  <c r="E69" i="18" s="1"/>
  <c r="AH70" i="18"/>
  <c r="P66" i="18"/>
  <c r="J67" i="18"/>
  <c r="Q66" i="18"/>
  <c r="U66" i="18"/>
  <c r="T66" i="18"/>
  <c r="N68" i="18"/>
  <c r="R66" i="18"/>
  <c r="AA66" i="18"/>
  <c r="Z66" i="18"/>
  <c r="H67" i="18"/>
  <c r="S66" i="18"/>
  <c r="O66" i="18"/>
  <c r="N69" i="17"/>
  <c r="H67" i="17"/>
  <c r="M64" i="17"/>
  <c r="X64" i="17" s="1"/>
  <c r="L64" i="17"/>
  <c r="W64" i="17" s="1"/>
  <c r="G65" i="17"/>
  <c r="U65" i="17" s="1"/>
  <c r="S64" i="17"/>
  <c r="R64" i="17"/>
  <c r="AA64" i="17"/>
  <c r="Z64" i="17"/>
  <c r="T64" i="17"/>
  <c r="U64" i="17"/>
  <c r="J66" i="17"/>
  <c r="O65" i="17"/>
  <c r="P64" i="17"/>
  <c r="AJ70" i="17"/>
  <c r="E70" i="17" s="1"/>
  <c r="AH71" i="17"/>
  <c r="Q64" i="17"/>
  <c r="N68" i="14"/>
  <c r="H67" i="14"/>
  <c r="AJ69" i="14"/>
  <c r="E69" i="14" s="1"/>
  <c r="AH70" i="14"/>
  <c r="Q65" i="16"/>
  <c r="P65" i="16"/>
  <c r="J66" i="16"/>
  <c r="U65" i="16"/>
  <c r="T65" i="16"/>
  <c r="H67" i="16"/>
  <c r="H67" i="13"/>
  <c r="M65" i="16"/>
  <c r="X65" i="16" s="1"/>
  <c r="L65" i="16"/>
  <c r="W65" i="16" s="1"/>
  <c r="G66" i="16"/>
  <c r="Z65" i="16"/>
  <c r="J68" i="13"/>
  <c r="AA65" i="16"/>
  <c r="N68" i="15"/>
  <c r="M64" i="13"/>
  <c r="X64" i="13" s="1"/>
  <c r="L64" i="13"/>
  <c r="W64" i="13" s="1"/>
  <c r="G65" i="13"/>
  <c r="T64" i="13"/>
  <c r="P64" i="13"/>
  <c r="U64" i="13"/>
  <c r="Q64" i="13"/>
  <c r="Z64" i="13"/>
  <c r="O64" i="13"/>
  <c r="AA64" i="13"/>
  <c r="R65" i="16"/>
  <c r="AJ69" i="15"/>
  <c r="E69" i="15" s="1"/>
  <c r="AH70" i="15"/>
  <c r="S65" i="16"/>
  <c r="AJ70" i="13"/>
  <c r="E70" i="13" s="1"/>
  <c r="AH71" i="13"/>
  <c r="N67" i="16"/>
  <c r="O65" i="16"/>
  <c r="N69" i="13"/>
  <c r="AJ68" i="16"/>
  <c r="E68" i="16" s="1"/>
  <c r="AH69" i="16"/>
  <c r="H67" i="15"/>
  <c r="M64" i="15"/>
  <c r="X64" i="15" s="1"/>
  <c r="L64" i="15"/>
  <c r="W64" i="15" s="1"/>
  <c r="G65" i="15"/>
  <c r="O64" i="15"/>
  <c r="U64" i="15"/>
  <c r="T64" i="15"/>
  <c r="S64" i="15"/>
  <c r="R64" i="15"/>
  <c r="AA64" i="15"/>
  <c r="Z64" i="15"/>
  <c r="Q64" i="15"/>
  <c r="P64" i="15"/>
  <c r="J67" i="15"/>
  <c r="Q65" i="14"/>
  <c r="P65" i="14"/>
  <c r="J66" i="14"/>
  <c r="U65" i="14"/>
  <c r="T65" i="14"/>
  <c r="O65" i="14"/>
  <c r="G66" i="14"/>
  <c r="M65" i="14"/>
  <c r="X65" i="14" s="1"/>
  <c r="L65" i="14"/>
  <c r="W65" i="14" s="1"/>
  <c r="AA66" i="12"/>
  <c r="Z66" i="12"/>
  <c r="H67" i="12"/>
  <c r="N68" i="12"/>
  <c r="AJ69" i="11"/>
  <c r="E69" i="11" s="1"/>
  <c r="AH70" i="11"/>
  <c r="N68" i="11"/>
  <c r="S65" i="12"/>
  <c r="Z66" i="11"/>
  <c r="H67" i="11"/>
  <c r="S66" i="11"/>
  <c r="R66" i="11"/>
  <c r="AA66" i="11"/>
  <c r="U66" i="11"/>
  <c r="T66" i="11"/>
  <c r="Q66" i="11"/>
  <c r="P66" i="11"/>
  <c r="L66" i="11"/>
  <c r="W66" i="11" s="1"/>
  <c r="G67" i="11"/>
  <c r="M66" i="11"/>
  <c r="X66" i="11" s="1"/>
  <c r="M65" i="9"/>
  <c r="X65" i="9" s="1"/>
  <c r="L65" i="9"/>
  <c r="W65" i="9" s="1"/>
  <c r="G66" i="9"/>
  <c r="R65" i="9"/>
  <c r="AA65" i="9"/>
  <c r="S65" i="9"/>
  <c r="Z65" i="9"/>
  <c r="Q65" i="12"/>
  <c r="P65" i="12"/>
  <c r="J66" i="12"/>
  <c r="L66" i="12" s="1"/>
  <c r="W66" i="12" s="1"/>
  <c r="U65" i="12"/>
  <c r="T65" i="12"/>
  <c r="O65" i="12"/>
  <c r="J66" i="9"/>
  <c r="Q65" i="9"/>
  <c r="P65" i="9"/>
  <c r="U65" i="9"/>
  <c r="T65" i="9"/>
  <c r="O65" i="9"/>
  <c r="H68" i="9"/>
  <c r="J69" i="11"/>
  <c r="AJ69" i="9"/>
  <c r="E69" i="9" s="1"/>
  <c r="AH70" i="9"/>
  <c r="Q65" i="10"/>
  <c r="P65" i="10"/>
  <c r="J66" i="10"/>
  <c r="U65" i="10"/>
  <c r="T65" i="10"/>
  <c r="O65" i="10"/>
  <c r="M65" i="10"/>
  <c r="X65" i="10" s="1"/>
  <c r="L65" i="10"/>
  <c r="W65" i="10" s="1"/>
  <c r="G66" i="10"/>
  <c r="M66" i="12"/>
  <c r="X66" i="12" s="1"/>
  <c r="G67" i="12"/>
  <c r="S65" i="10"/>
  <c r="R65" i="10"/>
  <c r="AA65" i="10"/>
  <c r="Z65" i="10"/>
  <c r="H66" i="10"/>
  <c r="AJ69" i="10"/>
  <c r="E69" i="10" s="1"/>
  <c r="AH70" i="10"/>
  <c r="AJ69" i="12"/>
  <c r="E69" i="12" s="1"/>
  <c r="AH70" i="12"/>
  <c r="N68" i="9"/>
  <c r="O66" i="11"/>
  <c r="L65" i="12"/>
  <c r="W65" i="12" s="1"/>
  <c r="N68" i="10"/>
  <c r="AJ70" i="8"/>
  <c r="E70" i="8" s="1"/>
  <c r="AH71" i="8"/>
  <c r="P66" i="8"/>
  <c r="J67" i="8"/>
  <c r="U66" i="8"/>
  <c r="Q66" i="8"/>
  <c r="T66" i="8"/>
  <c r="O66" i="8"/>
  <c r="N69" i="8"/>
  <c r="M66" i="8"/>
  <c r="X66" i="8" s="1"/>
  <c r="L66" i="8"/>
  <c r="W66" i="8" s="1"/>
  <c r="G67" i="8"/>
  <c r="AA66" i="8"/>
  <c r="Z66" i="8"/>
  <c r="H67" i="8"/>
  <c r="S66" i="8"/>
  <c r="H68" i="7"/>
  <c r="AJ70" i="7"/>
  <c r="E70" i="7" s="1"/>
  <c r="AH71" i="7"/>
  <c r="J68" i="7"/>
  <c r="N69" i="7"/>
  <c r="M66" i="6"/>
  <c r="X66" i="6" s="1"/>
  <c r="L66" i="6"/>
  <c r="W66" i="6" s="1"/>
  <c r="G67" i="6"/>
  <c r="O66" i="6"/>
  <c r="R66" i="6"/>
  <c r="AA66" i="6"/>
  <c r="Z66" i="6"/>
  <c r="H67" i="6"/>
  <c r="O67" i="6" s="1"/>
  <c r="S66" i="6"/>
  <c r="T66" i="6"/>
  <c r="Q66" i="6"/>
  <c r="AJ69" i="6"/>
  <c r="E69" i="6" s="1"/>
  <c r="AH70" i="6"/>
  <c r="J68" i="6"/>
  <c r="N68" i="6"/>
  <c r="P66" i="6"/>
  <c r="L65" i="4"/>
  <c r="W65" i="4" s="1"/>
  <c r="S65" i="4"/>
  <c r="N68" i="4"/>
  <c r="M65" i="4"/>
  <c r="X65" i="4" s="1"/>
  <c r="Q65" i="4"/>
  <c r="G66" i="4"/>
  <c r="P65" i="4"/>
  <c r="AA65" i="4"/>
  <c r="Z65" i="4"/>
  <c r="U65" i="4"/>
  <c r="T65" i="4"/>
  <c r="O65" i="4"/>
  <c r="AJ69" i="4"/>
  <c r="E69" i="4" s="1"/>
  <c r="AH70" i="4"/>
  <c r="J69" i="4"/>
  <c r="H67" i="4"/>
  <c r="L68" i="28" l="1"/>
  <c r="J69" i="28"/>
  <c r="AJ72" i="28"/>
  <c r="E72" i="28" s="1"/>
  <c r="N72" i="28" s="1"/>
  <c r="AH73" i="28"/>
  <c r="H71" i="28"/>
  <c r="D70" i="28"/>
  <c r="C70" i="28"/>
  <c r="AJ73" i="27"/>
  <c r="E73" i="27" s="1"/>
  <c r="N73" i="27" s="1"/>
  <c r="AH74" i="27"/>
  <c r="J71" i="27"/>
  <c r="L69" i="25"/>
  <c r="J70" i="25"/>
  <c r="J69" i="26"/>
  <c r="L68" i="26"/>
  <c r="AH72" i="26"/>
  <c r="AJ71" i="26"/>
  <c r="E71" i="26" s="1"/>
  <c r="N71" i="26" s="1"/>
  <c r="AJ71" i="25"/>
  <c r="E71" i="25" s="1"/>
  <c r="N71" i="25" s="1"/>
  <c r="AH72" i="25"/>
  <c r="AJ72" i="24"/>
  <c r="E72" i="24" s="1"/>
  <c r="N72" i="24" s="1"/>
  <c r="AH73" i="24"/>
  <c r="H70" i="27"/>
  <c r="L70" i="27" s="1"/>
  <c r="D69" i="27"/>
  <c r="C69" i="27"/>
  <c r="C69" i="26"/>
  <c r="H70" i="26"/>
  <c r="D69" i="26"/>
  <c r="D71" i="25"/>
  <c r="C71" i="25"/>
  <c r="H72" i="25"/>
  <c r="L68" i="24"/>
  <c r="J69" i="24"/>
  <c r="H70" i="24"/>
  <c r="D69" i="24"/>
  <c r="C69" i="24"/>
  <c r="AJ72" i="22"/>
  <c r="E72" i="22" s="1"/>
  <c r="N72" i="22" s="1"/>
  <c r="AH73" i="22"/>
  <c r="J69" i="22"/>
  <c r="L68" i="22"/>
  <c r="AJ72" i="23"/>
  <c r="E72" i="23" s="1"/>
  <c r="N72" i="23" s="1"/>
  <c r="AH73" i="23"/>
  <c r="D70" i="22"/>
  <c r="C70" i="22"/>
  <c r="H71" i="22"/>
  <c r="L68" i="23"/>
  <c r="J69" i="23"/>
  <c r="H69" i="23"/>
  <c r="D68" i="23"/>
  <c r="C68" i="23"/>
  <c r="J69" i="21"/>
  <c r="L68" i="21"/>
  <c r="AJ72" i="21"/>
  <c r="E72" i="21" s="1"/>
  <c r="N72" i="21" s="1"/>
  <c r="AH73" i="21"/>
  <c r="H70" i="21"/>
  <c r="C69" i="21"/>
  <c r="D69" i="21"/>
  <c r="J69" i="20"/>
  <c r="M67" i="20"/>
  <c r="X67" i="20" s="1"/>
  <c r="L67" i="20"/>
  <c r="W67" i="20" s="1"/>
  <c r="G68" i="20"/>
  <c r="AA67" i="20"/>
  <c r="Z67" i="20"/>
  <c r="D67" i="20"/>
  <c r="S67" i="20" s="1"/>
  <c r="C67" i="20"/>
  <c r="R67" i="20" s="1"/>
  <c r="AJ72" i="20"/>
  <c r="E72" i="20" s="1"/>
  <c r="AH73" i="20"/>
  <c r="N71" i="20"/>
  <c r="H71" i="20"/>
  <c r="Z66" i="19"/>
  <c r="O66" i="19"/>
  <c r="Q66" i="19"/>
  <c r="C66" i="19"/>
  <c r="R66" i="19" s="1"/>
  <c r="T66" i="19"/>
  <c r="U66" i="19"/>
  <c r="D66" i="19"/>
  <c r="S66" i="19" s="1"/>
  <c r="H68" i="19"/>
  <c r="AJ73" i="19"/>
  <c r="E73" i="19" s="1"/>
  <c r="AH74" i="19"/>
  <c r="N72" i="19"/>
  <c r="L66" i="19"/>
  <c r="W66" i="19" s="1"/>
  <c r="G67" i="19"/>
  <c r="Z67" i="19" s="1"/>
  <c r="M66" i="19"/>
  <c r="X66" i="19" s="1"/>
  <c r="J68" i="19"/>
  <c r="P66" i="19"/>
  <c r="AA65" i="7"/>
  <c r="T65" i="7"/>
  <c r="U65" i="7"/>
  <c r="P65" i="7"/>
  <c r="O65" i="7"/>
  <c r="D65" i="7"/>
  <c r="S65" i="7" s="1"/>
  <c r="Q65" i="7"/>
  <c r="C65" i="7"/>
  <c r="R65" i="7" s="1"/>
  <c r="Z65" i="7"/>
  <c r="M65" i="7"/>
  <c r="X65" i="7" s="1"/>
  <c r="L65" i="7"/>
  <c r="W65" i="7" s="1"/>
  <c r="G66" i="7"/>
  <c r="L68" i="1"/>
  <c r="W68" i="1" s="1"/>
  <c r="Z68" i="1"/>
  <c r="D68" i="1"/>
  <c r="S68" i="1" s="1"/>
  <c r="P68" i="1"/>
  <c r="U68" i="1"/>
  <c r="Q68" i="1"/>
  <c r="G69" i="1"/>
  <c r="C68" i="1"/>
  <c r="R68" i="1" s="1"/>
  <c r="M68" i="1"/>
  <c r="X68" i="1" s="1"/>
  <c r="T68" i="1"/>
  <c r="AA68" i="1"/>
  <c r="O68" i="1"/>
  <c r="O66" i="16"/>
  <c r="T65" i="17"/>
  <c r="D67" i="18"/>
  <c r="C67" i="18"/>
  <c r="D65" i="17"/>
  <c r="C65" i="17"/>
  <c r="Z66" i="16"/>
  <c r="D66" i="16"/>
  <c r="S66" i="16" s="1"/>
  <c r="C66" i="16"/>
  <c r="R66" i="16" s="1"/>
  <c r="C65" i="15"/>
  <c r="D65" i="15"/>
  <c r="S65" i="15" s="1"/>
  <c r="S66" i="14"/>
  <c r="C66" i="14"/>
  <c r="R66" i="14" s="1"/>
  <c r="D66" i="14"/>
  <c r="C65" i="13"/>
  <c r="D65" i="13"/>
  <c r="D67" i="12"/>
  <c r="C67" i="12"/>
  <c r="O67" i="11"/>
  <c r="D67" i="11"/>
  <c r="C67" i="11"/>
  <c r="C66" i="10"/>
  <c r="D66" i="10"/>
  <c r="S66" i="10" s="1"/>
  <c r="C66" i="9"/>
  <c r="D66" i="9"/>
  <c r="D67" i="8"/>
  <c r="C67" i="8"/>
  <c r="D67" i="6"/>
  <c r="C67" i="6"/>
  <c r="D66" i="4"/>
  <c r="S66" i="4" s="1"/>
  <c r="C66" i="4"/>
  <c r="L67" i="1"/>
  <c r="W67" i="1" s="1"/>
  <c r="P67" i="1"/>
  <c r="AA67" i="1"/>
  <c r="Z67" i="1"/>
  <c r="U67" i="1"/>
  <c r="Q67" i="1"/>
  <c r="C67" i="1"/>
  <c r="R67" i="1" s="1"/>
  <c r="D67" i="1"/>
  <c r="S67" i="1" s="1"/>
  <c r="M67" i="1"/>
  <c r="X67" i="1" s="1"/>
  <c r="T67" i="1"/>
  <c r="O67" i="1"/>
  <c r="J68" i="18"/>
  <c r="U67" i="18"/>
  <c r="Q67" i="18"/>
  <c r="P67" i="18"/>
  <c r="T67" i="18"/>
  <c r="AA67" i="18"/>
  <c r="Z67" i="18"/>
  <c r="H68" i="18"/>
  <c r="S67" i="18"/>
  <c r="R67" i="18"/>
  <c r="AJ70" i="18"/>
  <c r="E70" i="18" s="1"/>
  <c r="AH71" i="18"/>
  <c r="N69" i="18"/>
  <c r="M67" i="18"/>
  <c r="X67" i="18" s="1"/>
  <c r="L67" i="18"/>
  <c r="W67" i="18" s="1"/>
  <c r="G68" i="18"/>
  <c r="O67" i="18"/>
  <c r="M65" i="17"/>
  <c r="X65" i="17" s="1"/>
  <c r="L65" i="17"/>
  <c r="W65" i="17" s="1"/>
  <c r="G66" i="17"/>
  <c r="S65" i="17"/>
  <c r="R65" i="17"/>
  <c r="AA65" i="17"/>
  <c r="Z65" i="17"/>
  <c r="J67" i="17"/>
  <c r="P65" i="17"/>
  <c r="H68" i="17"/>
  <c r="Q65" i="17"/>
  <c r="AJ71" i="17"/>
  <c r="E71" i="17" s="1"/>
  <c r="AH72" i="17"/>
  <c r="N70" i="17"/>
  <c r="H68" i="15"/>
  <c r="N70" i="13"/>
  <c r="AJ71" i="13"/>
  <c r="E71" i="13" s="1"/>
  <c r="AH72" i="13"/>
  <c r="AJ70" i="14"/>
  <c r="E70" i="14" s="1"/>
  <c r="AH71" i="14"/>
  <c r="Q66" i="14"/>
  <c r="P66" i="14"/>
  <c r="J67" i="14"/>
  <c r="U66" i="14"/>
  <c r="T66" i="14"/>
  <c r="O66" i="14"/>
  <c r="J69" i="13"/>
  <c r="N69" i="14"/>
  <c r="AJ70" i="15"/>
  <c r="E70" i="15" s="1"/>
  <c r="AH71" i="15"/>
  <c r="H68" i="16"/>
  <c r="AJ69" i="16"/>
  <c r="E69" i="16" s="1"/>
  <c r="AH70" i="16"/>
  <c r="N69" i="15"/>
  <c r="H68" i="14"/>
  <c r="N68" i="16"/>
  <c r="M65" i="13"/>
  <c r="X65" i="13" s="1"/>
  <c r="G66" i="13"/>
  <c r="L65" i="13"/>
  <c r="W65" i="13" s="1"/>
  <c r="U65" i="13"/>
  <c r="T65" i="13"/>
  <c r="Q65" i="13"/>
  <c r="O65" i="13"/>
  <c r="S65" i="13"/>
  <c r="R65" i="13"/>
  <c r="AA65" i="13"/>
  <c r="P65" i="13"/>
  <c r="Z65" i="13"/>
  <c r="M66" i="16"/>
  <c r="X66" i="16" s="1"/>
  <c r="L66" i="16"/>
  <c r="W66" i="16" s="1"/>
  <c r="G67" i="16"/>
  <c r="AA66" i="16"/>
  <c r="Z66" i="14"/>
  <c r="AA66" i="14"/>
  <c r="M65" i="15"/>
  <c r="X65" i="15" s="1"/>
  <c r="L65" i="15"/>
  <c r="W65" i="15" s="1"/>
  <c r="G66" i="15"/>
  <c r="AA65" i="15"/>
  <c r="P65" i="15"/>
  <c r="Z65" i="15"/>
  <c r="U65" i="15"/>
  <c r="T65" i="15"/>
  <c r="R65" i="15"/>
  <c r="Q65" i="15"/>
  <c r="O65" i="15"/>
  <c r="J68" i="15"/>
  <c r="H68" i="13"/>
  <c r="P66" i="16"/>
  <c r="J67" i="16"/>
  <c r="O67" i="16" s="1"/>
  <c r="Q66" i="16"/>
  <c r="U66" i="16"/>
  <c r="T66" i="16"/>
  <c r="M66" i="14"/>
  <c r="X66" i="14" s="1"/>
  <c r="L66" i="14"/>
  <c r="W66" i="14" s="1"/>
  <c r="G67" i="14"/>
  <c r="H69" i="9"/>
  <c r="M67" i="12"/>
  <c r="X67" i="12" s="1"/>
  <c r="G68" i="12"/>
  <c r="AJ70" i="9"/>
  <c r="E70" i="9" s="1"/>
  <c r="AH71" i="9"/>
  <c r="AJ70" i="11"/>
  <c r="E70" i="11" s="1"/>
  <c r="AH71" i="11"/>
  <c r="N69" i="9"/>
  <c r="N69" i="11"/>
  <c r="AJ70" i="12"/>
  <c r="E70" i="12" s="1"/>
  <c r="AH71" i="12"/>
  <c r="M66" i="10"/>
  <c r="X66" i="10" s="1"/>
  <c r="L66" i="10"/>
  <c r="W66" i="10" s="1"/>
  <c r="G67" i="10"/>
  <c r="J70" i="11"/>
  <c r="N69" i="12"/>
  <c r="AH71" i="10"/>
  <c r="AJ70" i="10"/>
  <c r="E70" i="10" s="1"/>
  <c r="L66" i="9"/>
  <c r="W66" i="9" s="1"/>
  <c r="G67" i="9"/>
  <c r="M66" i="9"/>
  <c r="X66" i="9" s="1"/>
  <c r="Z66" i="9"/>
  <c r="S66" i="9"/>
  <c r="R66" i="9"/>
  <c r="AA66" i="9"/>
  <c r="S66" i="12"/>
  <c r="N69" i="10"/>
  <c r="J67" i="9"/>
  <c r="U66" i="9"/>
  <c r="Q66" i="9"/>
  <c r="P66" i="9"/>
  <c r="T66" i="9"/>
  <c r="O66" i="9"/>
  <c r="H68" i="11"/>
  <c r="S67" i="11"/>
  <c r="R67" i="11"/>
  <c r="AA67" i="11"/>
  <c r="Z67" i="11"/>
  <c r="T67" i="11"/>
  <c r="U67" i="11"/>
  <c r="Q67" i="11"/>
  <c r="P67" i="11"/>
  <c r="AA67" i="12"/>
  <c r="Z67" i="12"/>
  <c r="H68" i="12"/>
  <c r="R66" i="10"/>
  <c r="AA66" i="10"/>
  <c r="Z66" i="10"/>
  <c r="H67" i="10"/>
  <c r="P66" i="12"/>
  <c r="J67" i="12"/>
  <c r="L67" i="12" s="1"/>
  <c r="W67" i="12" s="1"/>
  <c r="Q66" i="12"/>
  <c r="U66" i="12"/>
  <c r="T66" i="12"/>
  <c r="O66" i="12"/>
  <c r="Q66" i="10"/>
  <c r="P66" i="10"/>
  <c r="J67" i="10"/>
  <c r="U66" i="10"/>
  <c r="T66" i="10"/>
  <c r="O66" i="10"/>
  <c r="G68" i="11"/>
  <c r="M67" i="11"/>
  <c r="X67" i="11" s="1"/>
  <c r="L67" i="11"/>
  <c r="W67" i="11" s="1"/>
  <c r="R66" i="12"/>
  <c r="AA67" i="8"/>
  <c r="Z67" i="8"/>
  <c r="H68" i="8"/>
  <c r="S67" i="8"/>
  <c r="R67" i="8"/>
  <c r="J68" i="8"/>
  <c r="U67" i="8"/>
  <c r="Q67" i="8"/>
  <c r="P67" i="8"/>
  <c r="T67" i="8"/>
  <c r="O67" i="8"/>
  <c r="M67" i="8"/>
  <c r="X67" i="8" s="1"/>
  <c r="L67" i="8"/>
  <c r="W67" i="8" s="1"/>
  <c r="G68" i="8"/>
  <c r="AJ71" i="8"/>
  <c r="E71" i="8" s="1"/>
  <c r="AH72" i="8"/>
  <c r="N70" i="8"/>
  <c r="J69" i="7"/>
  <c r="AJ71" i="7"/>
  <c r="E71" i="7" s="1"/>
  <c r="AH72" i="7"/>
  <c r="H69" i="7"/>
  <c r="N70" i="7"/>
  <c r="AA67" i="6"/>
  <c r="Z67" i="6"/>
  <c r="H68" i="6"/>
  <c r="S67" i="6"/>
  <c r="R67" i="6"/>
  <c r="T67" i="6"/>
  <c r="P67" i="6"/>
  <c r="U67" i="6"/>
  <c r="J69" i="6"/>
  <c r="M67" i="6"/>
  <c r="X67" i="6" s="1"/>
  <c r="L67" i="6"/>
  <c r="W67" i="6" s="1"/>
  <c r="G68" i="6"/>
  <c r="O68" i="6"/>
  <c r="Q67" i="6"/>
  <c r="AJ70" i="6"/>
  <c r="E70" i="6" s="1"/>
  <c r="AH71" i="6"/>
  <c r="N69" i="6"/>
  <c r="L66" i="4"/>
  <c r="W66" i="4" s="1"/>
  <c r="Q66" i="4"/>
  <c r="G67" i="4"/>
  <c r="L67" i="4" s="1"/>
  <c r="W67" i="4" s="1"/>
  <c r="P66" i="4"/>
  <c r="M66" i="4"/>
  <c r="X66" i="4" s="1"/>
  <c r="AA66" i="4"/>
  <c r="Z66" i="4"/>
  <c r="U66" i="4"/>
  <c r="T66" i="4"/>
  <c r="O66" i="4"/>
  <c r="R66" i="4"/>
  <c r="N69" i="4"/>
  <c r="H68" i="4"/>
  <c r="J70" i="4"/>
  <c r="AJ70" i="4"/>
  <c r="E70" i="4" s="1"/>
  <c r="AH71" i="4"/>
  <c r="H72" i="28" l="1"/>
  <c r="D71" i="28"/>
  <c r="C71" i="28"/>
  <c r="AJ73" i="28"/>
  <c r="E73" i="28" s="1"/>
  <c r="N73" i="28" s="1"/>
  <c r="AH74" i="28"/>
  <c r="L69" i="28"/>
  <c r="J70" i="28"/>
  <c r="AH73" i="25"/>
  <c r="AJ72" i="25"/>
  <c r="E72" i="25" s="1"/>
  <c r="N72" i="25" s="1"/>
  <c r="AJ72" i="26"/>
  <c r="E72" i="26" s="1"/>
  <c r="N72" i="26" s="1"/>
  <c r="AH73" i="26"/>
  <c r="D72" i="25"/>
  <c r="H73" i="25"/>
  <c r="C72" i="25"/>
  <c r="H71" i="26"/>
  <c r="C70" i="26"/>
  <c r="D70" i="26"/>
  <c r="L69" i="26"/>
  <c r="J70" i="26"/>
  <c r="J71" i="25"/>
  <c r="L70" i="25"/>
  <c r="H71" i="27"/>
  <c r="L71" i="27" s="1"/>
  <c r="D70" i="27"/>
  <c r="C70" i="27"/>
  <c r="J72" i="27"/>
  <c r="H71" i="24"/>
  <c r="D70" i="24"/>
  <c r="C70" i="24"/>
  <c r="AJ73" i="24"/>
  <c r="E73" i="24" s="1"/>
  <c r="N73" i="24" s="1"/>
  <c r="AH74" i="24"/>
  <c r="AJ74" i="27"/>
  <c r="E74" i="27" s="1"/>
  <c r="N74" i="27" s="1"/>
  <c r="AH75" i="27"/>
  <c r="J70" i="24"/>
  <c r="L69" i="24"/>
  <c r="J70" i="23"/>
  <c r="L69" i="23"/>
  <c r="D71" i="22"/>
  <c r="C71" i="22"/>
  <c r="H72" i="22"/>
  <c r="AJ73" i="23"/>
  <c r="E73" i="23" s="1"/>
  <c r="N73" i="23" s="1"/>
  <c r="AH74" i="23"/>
  <c r="J70" i="22"/>
  <c r="L69" i="22"/>
  <c r="H70" i="23"/>
  <c r="D69" i="23"/>
  <c r="C69" i="23"/>
  <c r="AJ73" i="22"/>
  <c r="E73" i="22" s="1"/>
  <c r="N73" i="22" s="1"/>
  <c r="AH74" i="22"/>
  <c r="H71" i="21"/>
  <c r="D70" i="21"/>
  <c r="C70" i="21"/>
  <c r="AJ73" i="21"/>
  <c r="E73" i="21" s="1"/>
  <c r="N73" i="21" s="1"/>
  <c r="AH74" i="21"/>
  <c r="L69" i="21"/>
  <c r="J70" i="21"/>
  <c r="L68" i="20"/>
  <c r="W68" i="20" s="1"/>
  <c r="G69" i="20"/>
  <c r="M68" i="20"/>
  <c r="X68" i="20" s="1"/>
  <c r="D68" i="20"/>
  <c r="S68" i="20" s="1"/>
  <c r="Z68" i="20"/>
  <c r="C68" i="20"/>
  <c r="R68" i="20" s="1"/>
  <c r="AA68" i="20"/>
  <c r="H72" i="20"/>
  <c r="O68" i="20"/>
  <c r="T68" i="20"/>
  <c r="U68" i="20"/>
  <c r="AJ73" i="20"/>
  <c r="E73" i="20" s="1"/>
  <c r="AH74" i="20"/>
  <c r="Q68" i="20"/>
  <c r="N72" i="20"/>
  <c r="P68" i="20"/>
  <c r="J70" i="20"/>
  <c r="Q69" i="20"/>
  <c r="P69" i="20"/>
  <c r="U69" i="20"/>
  <c r="T69" i="20"/>
  <c r="O69" i="20"/>
  <c r="AJ74" i="19"/>
  <c r="E74" i="19" s="1"/>
  <c r="AH75" i="19"/>
  <c r="O67" i="19"/>
  <c r="N73" i="19"/>
  <c r="T67" i="19"/>
  <c r="M67" i="19"/>
  <c r="X67" i="19" s="1"/>
  <c r="G68" i="19"/>
  <c r="AA68" i="19" s="1"/>
  <c r="L67" i="19"/>
  <c r="W67" i="19" s="1"/>
  <c r="U67" i="19"/>
  <c r="C67" i="19"/>
  <c r="R67" i="19" s="1"/>
  <c r="P67" i="19"/>
  <c r="D67" i="19"/>
  <c r="S67" i="19" s="1"/>
  <c r="Q67" i="19"/>
  <c r="H69" i="19"/>
  <c r="J69" i="19"/>
  <c r="AA67" i="19"/>
  <c r="AA66" i="7"/>
  <c r="O66" i="7"/>
  <c r="Q66" i="7"/>
  <c r="U66" i="7"/>
  <c r="D66" i="7"/>
  <c r="S66" i="7" s="1"/>
  <c r="C66" i="7"/>
  <c r="R66" i="7" s="1"/>
  <c r="Z66" i="7"/>
  <c r="T66" i="7"/>
  <c r="P66" i="7"/>
  <c r="M66" i="7"/>
  <c r="X66" i="7" s="1"/>
  <c r="L66" i="7"/>
  <c r="W66" i="7" s="1"/>
  <c r="G67" i="7"/>
  <c r="C69" i="1"/>
  <c r="R69" i="1" s="1"/>
  <c r="L69" i="1"/>
  <c r="W69" i="1" s="1"/>
  <c r="D69" i="1"/>
  <c r="S69" i="1" s="1"/>
  <c r="T69" i="1"/>
  <c r="M69" i="1"/>
  <c r="X69" i="1" s="1"/>
  <c r="Q69" i="1"/>
  <c r="P69" i="1"/>
  <c r="Z69" i="1"/>
  <c r="AA69" i="1"/>
  <c r="U69" i="1"/>
  <c r="G70" i="1"/>
  <c r="O69" i="1"/>
  <c r="D68" i="18"/>
  <c r="C68" i="18"/>
  <c r="P66" i="17"/>
  <c r="D66" i="17"/>
  <c r="C66" i="17"/>
  <c r="D67" i="16"/>
  <c r="S67" i="16" s="1"/>
  <c r="C67" i="16"/>
  <c r="R67" i="16" s="1"/>
  <c r="D66" i="15"/>
  <c r="C66" i="15"/>
  <c r="D67" i="14"/>
  <c r="S67" i="14" s="1"/>
  <c r="C67" i="14"/>
  <c r="R67" i="14" s="1"/>
  <c r="D66" i="13"/>
  <c r="S66" i="13" s="1"/>
  <c r="C66" i="13"/>
  <c r="D68" i="12"/>
  <c r="C68" i="12"/>
  <c r="O68" i="11"/>
  <c r="D68" i="11"/>
  <c r="C68" i="11"/>
  <c r="D67" i="10"/>
  <c r="C67" i="10"/>
  <c r="D67" i="9"/>
  <c r="C67" i="9"/>
  <c r="D68" i="8"/>
  <c r="S68" i="8" s="1"/>
  <c r="C68" i="8"/>
  <c r="R68" i="8" s="1"/>
  <c r="P68" i="6"/>
  <c r="D68" i="6"/>
  <c r="C68" i="6"/>
  <c r="D67" i="4"/>
  <c r="S67" i="4" s="1"/>
  <c r="C67" i="4"/>
  <c r="R67" i="4" s="1"/>
  <c r="O66" i="17"/>
  <c r="T66" i="17"/>
  <c r="U66" i="17"/>
  <c r="Q66" i="17"/>
  <c r="Q68" i="6"/>
  <c r="U68" i="6"/>
  <c r="N70" i="18"/>
  <c r="AA68" i="18"/>
  <c r="Z68" i="18"/>
  <c r="H69" i="18"/>
  <c r="S68" i="18"/>
  <c r="R68" i="18"/>
  <c r="M68" i="18"/>
  <c r="X68" i="18" s="1"/>
  <c r="L68" i="18"/>
  <c r="W68" i="18" s="1"/>
  <c r="G69" i="18"/>
  <c r="J69" i="18"/>
  <c r="O69" i="18" s="1"/>
  <c r="U68" i="18"/>
  <c r="Q68" i="18"/>
  <c r="P68" i="18"/>
  <c r="T68" i="18"/>
  <c r="AJ71" i="18"/>
  <c r="E71" i="18" s="1"/>
  <c r="AH72" i="18"/>
  <c r="O68" i="18"/>
  <c r="AJ72" i="17"/>
  <c r="E72" i="17" s="1"/>
  <c r="AH73" i="17"/>
  <c r="N71" i="17"/>
  <c r="J68" i="17"/>
  <c r="H69" i="17"/>
  <c r="M66" i="17"/>
  <c r="X66" i="17" s="1"/>
  <c r="L66" i="17"/>
  <c r="W66" i="17" s="1"/>
  <c r="G67" i="17"/>
  <c r="R66" i="17"/>
  <c r="AA66" i="17"/>
  <c r="Z66" i="17"/>
  <c r="S66" i="17"/>
  <c r="AH72" i="14"/>
  <c r="AJ71" i="14"/>
  <c r="E71" i="14" s="1"/>
  <c r="M67" i="16"/>
  <c r="X67" i="16" s="1"/>
  <c r="L67" i="16"/>
  <c r="W67" i="16" s="1"/>
  <c r="G68" i="16"/>
  <c r="AA68" i="16" s="1"/>
  <c r="N70" i="14"/>
  <c r="M66" i="13"/>
  <c r="X66" i="13" s="1"/>
  <c r="L66" i="13"/>
  <c r="W66" i="13" s="1"/>
  <c r="G67" i="13"/>
  <c r="U66" i="13"/>
  <c r="T66" i="13"/>
  <c r="Z66" i="13"/>
  <c r="O66" i="13"/>
  <c r="P66" i="13"/>
  <c r="AA66" i="13"/>
  <c r="Q66" i="13"/>
  <c r="R66" i="13"/>
  <c r="AJ70" i="16"/>
  <c r="E70" i="16" s="1"/>
  <c r="AH71" i="16"/>
  <c r="AJ72" i="13"/>
  <c r="E72" i="13" s="1"/>
  <c r="AH73" i="13"/>
  <c r="N69" i="16"/>
  <c r="N71" i="13"/>
  <c r="M67" i="14"/>
  <c r="X67" i="14" s="1"/>
  <c r="L67" i="14"/>
  <c r="W67" i="14" s="1"/>
  <c r="G68" i="14"/>
  <c r="Z68" i="14" s="1"/>
  <c r="J68" i="16"/>
  <c r="Q67" i="16"/>
  <c r="P67" i="16"/>
  <c r="U67" i="16"/>
  <c r="T67" i="16"/>
  <c r="J70" i="13"/>
  <c r="J69" i="15"/>
  <c r="M66" i="15"/>
  <c r="X66" i="15" s="1"/>
  <c r="L66" i="15"/>
  <c r="W66" i="15" s="1"/>
  <c r="G67" i="15"/>
  <c r="O66" i="15"/>
  <c r="P66" i="15"/>
  <c r="Q66" i="15"/>
  <c r="U66" i="15"/>
  <c r="T66" i="15"/>
  <c r="S66" i="15"/>
  <c r="R66" i="15"/>
  <c r="AA66" i="15"/>
  <c r="Z66" i="15"/>
  <c r="O68" i="16"/>
  <c r="H69" i="16"/>
  <c r="Z67" i="16"/>
  <c r="AA68" i="14"/>
  <c r="H69" i="14"/>
  <c r="AA67" i="16"/>
  <c r="H69" i="15"/>
  <c r="H69" i="13"/>
  <c r="Z67" i="14"/>
  <c r="AJ71" i="15"/>
  <c r="E71" i="15" s="1"/>
  <c r="AH72" i="15"/>
  <c r="P67" i="14"/>
  <c r="J68" i="14"/>
  <c r="U67" i="14"/>
  <c r="Q67" i="14"/>
  <c r="T67" i="14"/>
  <c r="O67" i="14"/>
  <c r="AA67" i="14"/>
  <c r="N70" i="15"/>
  <c r="N70" i="11"/>
  <c r="M67" i="10"/>
  <c r="X67" i="10" s="1"/>
  <c r="L67" i="10"/>
  <c r="W67" i="10" s="1"/>
  <c r="G68" i="10"/>
  <c r="AJ71" i="9"/>
  <c r="E71" i="9" s="1"/>
  <c r="AH72" i="9"/>
  <c r="AJ71" i="11"/>
  <c r="E71" i="11" s="1"/>
  <c r="AH72" i="11"/>
  <c r="G68" i="9"/>
  <c r="M67" i="9"/>
  <c r="X67" i="9" s="1"/>
  <c r="L67" i="9"/>
  <c r="W67" i="9" s="1"/>
  <c r="R67" i="9"/>
  <c r="AA67" i="9"/>
  <c r="Z67" i="9"/>
  <c r="S67" i="9"/>
  <c r="N70" i="9"/>
  <c r="M68" i="12"/>
  <c r="X68" i="12" s="1"/>
  <c r="G69" i="12"/>
  <c r="S67" i="10"/>
  <c r="R67" i="10"/>
  <c r="AA67" i="10"/>
  <c r="Z67" i="10"/>
  <c r="H68" i="10"/>
  <c r="J68" i="9"/>
  <c r="U67" i="9"/>
  <c r="Q67" i="9"/>
  <c r="P67" i="9"/>
  <c r="T67" i="9"/>
  <c r="O67" i="9"/>
  <c r="N70" i="10"/>
  <c r="AJ71" i="12"/>
  <c r="E71" i="12" s="1"/>
  <c r="AH72" i="12"/>
  <c r="J68" i="12"/>
  <c r="L68" i="12" s="1"/>
  <c r="W68" i="12" s="1"/>
  <c r="Q67" i="12"/>
  <c r="P67" i="12"/>
  <c r="U67" i="12"/>
  <c r="T67" i="12"/>
  <c r="O67" i="12"/>
  <c r="G69" i="11"/>
  <c r="M68" i="11"/>
  <c r="X68" i="11" s="1"/>
  <c r="L68" i="11"/>
  <c r="W68" i="11" s="1"/>
  <c r="AJ71" i="10"/>
  <c r="E71" i="10" s="1"/>
  <c r="AH72" i="10"/>
  <c r="N70" i="12"/>
  <c r="AA68" i="12"/>
  <c r="Z68" i="12"/>
  <c r="H69" i="12"/>
  <c r="S68" i="12"/>
  <c r="R68" i="12"/>
  <c r="Q67" i="10"/>
  <c r="P67" i="10"/>
  <c r="J68" i="10"/>
  <c r="U67" i="10"/>
  <c r="T67" i="10"/>
  <c r="O67" i="10"/>
  <c r="R67" i="12"/>
  <c r="S67" i="12"/>
  <c r="H69" i="11"/>
  <c r="S68" i="11"/>
  <c r="R68" i="11"/>
  <c r="AA68" i="11"/>
  <c r="Z68" i="11"/>
  <c r="T68" i="11"/>
  <c r="Q68" i="11"/>
  <c r="P68" i="11"/>
  <c r="U68" i="11"/>
  <c r="J71" i="11"/>
  <c r="H70" i="9"/>
  <c r="J69" i="8"/>
  <c r="Q68" i="8"/>
  <c r="P68" i="8"/>
  <c r="U68" i="8"/>
  <c r="T68" i="8"/>
  <c r="O68" i="8"/>
  <c r="N71" i="8"/>
  <c r="M68" i="8"/>
  <c r="X68" i="8" s="1"/>
  <c r="L68" i="8"/>
  <c r="W68" i="8" s="1"/>
  <c r="G69" i="8"/>
  <c r="AA68" i="8"/>
  <c r="Z68" i="8"/>
  <c r="H69" i="8"/>
  <c r="AJ72" i="8"/>
  <c r="E72" i="8" s="1"/>
  <c r="AH73" i="8"/>
  <c r="J70" i="7"/>
  <c r="H70" i="7"/>
  <c r="AJ72" i="7"/>
  <c r="E72" i="7" s="1"/>
  <c r="AH73" i="7"/>
  <c r="N71" i="7"/>
  <c r="J70" i="6"/>
  <c r="AJ71" i="6"/>
  <c r="E71" i="6" s="1"/>
  <c r="AH72" i="6"/>
  <c r="N70" i="6"/>
  <c r="M68" i="6"/>
  <c r="X68" i="6" s="1"/>
  <c r="L68" i="6"/>
  <c r="W68" i="6" s="1"/>
  <c r="G69" i="6"/>
  <c r="AA68" i="6"/>
  <c r="Z68" i="6"/>
  <c r="H69" i="6"/>
  <c r="S68" i="6"/>
  <c r="R68" i="6"/>
  <c r="T68" i="6"/>
  <c r="N70" i="4"/>
  <c r="M67" i="4"/>
  <c r="X67" i="4" s="1"/>
  <c r="Q67" i="4"/>
  <c r="G68" i="4"/>
  <c r="P67" i="4"/>
  <c r="AA67" i="4"/>
  <c r="Z67" i="4"/>
  <c r="U67" i="4"/>
  <c r="T67" i="4"/>
  <c r="O67" i="4"/>
  <c r="J71" i="4"/>
  <c r="AJ71" i="4"/>
  <c r="E71" i="4" s="1"/>
  <c r="AH72" i="4"/>
  <c r="H69" i="4"/>
  <c r="J71" i="28" l="1"/>
  <c r="L70" i="28"/>
  <c r="AJ74" i="28"/>
  <c r="E74" i="28" s="1"/>
  <c r="N74" i="28" s="1"/>
  <c r="AH75" i="28"/>
  <c r="H73" i="28"/>
  <c r="D72" i="28"/>
  <c r="C72" i="28"/>
  <c r="AJ74" i="24"/>
  <c r="E74" i="24" s="1"/>
  <c r="N74" i="24" s="1"/>
  <c r="AH75" i="24"/>
  <c r="J71" i="26"/>
  <c r="L70" i="26"/>
  <c r="H72" i="24"/>
  <c r="D71" i="24"/>
  <c r="C71" i="24"/>
  <c r="H72" i="26"/>
  <c r="D71" i="26"/>
  <c r="C71" i="26"/>
  <c r="J73" i="27"/>
  <c r="C73" i="25"/>
  <c r="H74" i="25"/>
  <c r="D73" i="25"/>
  <c r="AJ73" i="26"/>
  <c r="E73" i="26" s="1"/>
  <c r="N73" i="26" s="1"/>
  <c r="AH74" i="26"/>
  <c r="J71" i="24"/>
  <c r="L70" i="24"/>
  <c r="H72" i="27"/>
  <c r="L72" i="27" s="1"/>
  <c r="D71" i="27"/>
  <c r="C71" i="27"/>
  <c r="AJ75" i="27"/>
  <c r="E75" i="27" s="1"/>
  <c r="N75" i="27" s="1"/>
  <c r="AH76" i="27"/>
  <c r="L71" i="25"/>
  <c r="J72" i="25"/>
  <c r="AJ73" i="25"/>
  <c r="E73" i="25" s="1"/>
  <c r="N73" i="25" s="1"/>
  <c r="AH74" i="25"/>
  <c r="H71" i="23"/>
  <c r="D70" i="23"/>
  <c r="C70" i="23"/>
  <c r="J71" i="22"/>
  <c r="L70" i="22"/>
  <c r="AJ74" i="23"/>
  <c r="E74" i="23" s="1"/>
  <c r="N74" i="23" s="1"/>
  <c r="AH75" i="23"/>
  <c r="D72" i="22"/>
  <c r="C72" i="22"/>
  <c r="H73" i="22"/>
  <c r="AH75" i="22"/>
  <c r="AJ74" i="22"/>
  <c r="E74" i="22" s="1"/>
  <c r="N74" i="22" s="1"/>
  <c r="J71" i="23"/>
  <c r="L70" i="23"/>
  <c r="J71" i="21"/>
  <c r="L70" i="21"/>
  <c r="AJ74" i="21"/>
  <c r="E74" i="21" s="1"/>
  <c r="N74" i="21" s="1"/>
  <c r="AH75" i="21"/>
  <c r="H72" i="21"/>
  <c r="D71" i="21"/>
  <c r="C71" i="21"/>
  <c r="J71" i="20"/>
  <c r="AJ74" i="20"/>
  <c r="E74" i="20" s="1"/>
  <c r="AH75" i="20"/>
  <c r="N73" i="20"/>
  <c r="H73" i="20"/>
  <c r="M69" i="20"/>
  <c r="X69" i="20" s="1"/>
  <c r="G70" i="20"/>
  <c r="L69" i="20"/>
  <c r="W69" i="20" s="1"/>
  <c r="AA69" i="20"/>
  <c r="D69" i="20"/>
  <c r="S69" i="20" s="1"/>
  <c r="C69" i="20"/>
  <c r="R69" i="20" s="1"/>
  <c r="Z69" i="20"/>
  <c r="O68" i="19"/>
  <c r="T68" i="19"/>
  <c r="P68" i="19"/>
  <c r="C68" i="19"/>
  <c r="R68" i="19" s="1"/>
  <c r="Q68" i="19"/>
  <c r="U68" i="19"/>
  <c r="D68" i="19"/>
  <c r="S68" i="19" s="1"/>
  <c r="M68" i="19"/>
  <c r="X68" i="19" s="1"/>
  <c r="L68" i="19"/>
  <c r="W68" i="19" s="1"/>
  <c r="G69" i="19"/>
  <c r="AA69" i="19" s="1"/>
  <c r="C69" i="19"/>
  <c r="R69" i="19" s="1"/>
  <c r="H70" i="19"/>
  <c r="Z68" i="19"/>
  <c r="AH76" i="19"/>
  <c r="AJ75" i="19"/>
  <c r="E75" i="19" s="1"/>
  <c r="N74" i="19"/>
  <c r="J70" i="19"/>
  <c r="AA67" i="7"/>
  <c r="U67" i="7"/>
  <c r="O67" i="7"/>
  <c r="T67" i="7"/>
  <c r="Z67" i="7"/>
  <c r="P67" i="7"/>
  <c r="Q67" i="7"/>
  <c r="M67" i="7"/>
  <c r="X67" i="7" s="1"/>
  <c r="D67" i="7"/>
  <c r="S67" i="7" s="1"/>
  <c r="L67" i="7"/>
  <c r="W67" i="7" s="1"/>
  <c r="C67" i="7"/>
  <c r="R67" i="7" s="1"/>
  <c r="G68" i="7"/>
  <c r="D70" i="1"/>
  <c r="S70" i="1" s="1"/>
  <c r="Z70" i="1"/>
  <c r="U70" i="1"/>
  <c r="Q70" i="1"/>
  <c r="P70" i="1"/>
  <c r="G71" i="1"/>
  <c r="T70" i="1"/>
  <c r="C70" i="1"/>
  <c r="R70" i="1" s="1"/>
  <c r="M70" i="1"/>
  <c r="X70" i="1" s="1"/>
  <c r="L70" i="1"/>
  <c r="W70" i="1" s="1"/>
  <c r="AA70" i="1"/>
  <c r="O70" i="1"/>
  <c r="O69" i="11"/>
  <c r="P69" i="6"/>
  <c r="Z68" i="16"/>
  <c r="D69" i="18"/>
  <c r="C69" i="18"/>
  <c r="Q67" i="17"/>
  <c r="C67" i="17"/>
  <c r="D67" i="17"/>
  <c r="S67" i="17" s="1"/>
  <c r="D68" i="16"/>
  <c r="S68" i="16" s="1"/>
  <c r="C68" i="16"/>
  <c r="R68" i="16" s="1"/>
  <c r="D67" i="15"/>
  <c r="S67" i="15" s="1"/>
  <c r="C67" i="15"/>
  <c r="C68" i="14"/>
  <c r="R68" i="14" s="1"/>
  <c r="D68" i="14"/>
  <c r="S68" i="14" s="1"/>
  <c r="D67" i="13"/>
  <c r="C67" i="13"/>
  <c r="D69" i="12"/>
  <c r="C69" i="12"/>
  <c r="C69" i="11"/>
  <c r="D69" i="11"/>
  <c r="D68" i="10"/>
  <c r="C68" i="10"/>
  <c r="D68" i="9"/>
  <c r="S68" i="9" s="1"/>
  <c r="C68" i="9"/>
  <c r="D69" i="8"/>
  <c r="C69" i="8"/>
  <c r="D69" i="6"/>
  <c r="C69" i="6"/>
  <c r="L68" i="4"/>
  <c r="W68" i="4" s="1"/>
  <c r="C68" i="4"/>
  <c r="D68" i="4"/>
  <c r="O67" i="17"/>
  <c r="T67" i="17"/>
  <c r="P67" i="17"/>
  <c r="J70" i="18"/>
  <c r="Q69" i="18"/>
  <c r="P69" i="18"/>
  <c r="U69" i="18"/>
  <c r="T69" i="18"/>
  <c r="M69" i="18"/>
  <c r="X69" i="18" s="1"/>
  <c r="L69" i="18"/>
  <c r="W69" i="18" s="1"/>
  <c r="G70" i="18"/>
  <c r="AJ72" i="18"/>
  <c r="E72" i="18" s="1"/>
  <c r="AH73" i="18"/>
  <c r="N71" i="18"/>
  <c r="AA69" i="18"/>
  <c r="Z69" i="18"/>
  <c r="H70" i="18"/>
  <c r="S69" i="18"/>
  <c r="R69" i="18"/>
  <c r="O70" i="18"/>
  <c r="M67" i="17"/>
  <c r="X67" i="17" s="1"/>
  <c r="L67" i="17"/>
  <c r="W67" i="17" s="1"/>
  <c r="G68" i="17"/>
  <c r="Q68" i="17" s="1"/>
  <c r="AA67" i="17"/>
  <c r="Z67" i="17"/>
  <c r="R67" i="17"/>
  <c r="U67" i="17"/>
  <c r="J69" i="17"/>
  <c r="AJ73" i="17"/>
  <c r="E73" i="17" s="1"/>
  <c r="AH74" i="17"/>
  <c r="H70" i="17"/>
  <c r="N72" i="17"/>
  <c r="U69" i="6"/>
  <c r="N71" i="15"/>
  <c r="M67" i="15"/>
  <c r="X67" i="15" s="1"/>
  <c r="L67" i="15"/>
  <c r="W67" i="15" s="1"/>
  <c r="G68" i="15"/>
  <c r="AA67" i="15"/>
  <c r="O67" i="15"/>
  <c r="Z67" i="15"/>
  <c r="U67" i="15"/>
  <c r="R67" i="15"/>
  <c r="Q67" i="15"/>
  <c r="P67" i="15"/>
  <c r="T67" i="15"/>
  <c r="J71" i="13"/>
  <c r="N70" i="16"/>
  <c r="H70" i="14"/>
  <c r="M68" i="16"/>
  <c r="X68" i="16" s="1"/>
  <c r="L68" i="16"/>
  <c r="W68" i="16" s="1"/>
  <c r="G69" i="16"/>
  <c r="H70" i="16"/>
  <c r="H70" i="13"/>
  <c r="N71" i="14"/>
  <c r="J69" i="16"/>
  <c r="Q68" i="16"/>
  <c r="P68" i="16"/>
  <c r="U68" i="16"/>
  <c r="T68" i="16"/>
  <c r="AJ73" i="13"/>
  <c r="E73" i="13" s="1"/>
  <c r="AH74" i="13"/>
  <c r="AJ72" i="14"/>
  <c r="E72" i="14" s="1"/>
  <c r="AH73" i="14"/>
  <c r="J70" i="15"/>
  <c r="M68" i="14"/>
  <c r="X68" i="14" s="1"/>
  <c r="L68" i="14"/>
  <c r="W68" i="14" s="1"/>
  <c r="G69" i="14"/>
  <c r="N72" i="13"/>
  <c r="M67" i="13"/>
  <c r="X67" i="13" s="1"/>
  <c r="L67" i="13"/>
  <c r="W67" i="13" s="1"/>
  <c r="G68" i="13"/>
  <c r="T67" i="13"/>
  <c r="P67" i="13"/>
  <c r="Q67" i="13"/>
  <c r="U67" i="13"/>
  <c r="Z67" i="13"/>
  <c r="S67" i="13"/>
  <c r="O67" i="13"/>
  <c r="AA67" i="13"/>
  <c r="R67" i="13"/>
  <c r="AJ72" i="15"/>
  <c r="E72" i="15" s="1"/>
  <c r="AH73" i="15"/>
  <c r="Q68" i="14"/>
  <c r="J69" i="14"/>
  <c r="P68" i="14"/>
  <c r="U68" i="14"/>
  <c r="T68" i="14"/>
  <c r="O68" i="14"/>
  <c r="H70" i="15"/>
  <c r="AJ71" i="16"/>
  <c r="E71" i="16" s="1"/>
  <c r="AH72" i="16"/>
  <c r="AJ72" i="10"/>
  <c r="E72" i="10" s="1"/>
  <c r="AH73" i="10"/>
  <c r="N71" i="12"/>
  <c r="N71" i="10"/>
  <c r="G69" i="9"/>
  <c r="M68" i="9"/>
  <c r="X68" i="9" s="1"/>
  <c r="L68" i="9"/>
  <c r="W68" i="9" s="1"/>
  <c r="R68" i="9"/>
  <c r="AA68" i="9"/>
  <c r="Z68" i="9"/>
  <c r="M69" i="12"/>
  <c r="X69" i="12" s="1"/>
  <c r="G70" i="12"/>
  <c r="AJ72" i="11"/>
  <c r="E72" i="11" s="1"/>
  <c r="AH73" i="11"/>
  <c r="N71" i="11"/>
  <c r="S69" i="11"/>
  <c r="R69" i="11"/>
  <c r="AA69" i="11"/>
  <c r="Z69" i="11"/>
  <c r="H70" i="11"/>
  <c r="U69" i="11"/>
  <c r="T69" i="11"/>
  <c r="P69" i="11"/>
  <c r="Q69" i="11"/>
  <c r="AA69" i="12"/>
  <c r="Z69" i="12"/>
  <c r="H70" i="12"/>
  <c r="R69" i="12"/>
  <c r="G70" i="11"/>
  <c r="M69" i="11"/>
  <c r="X69" i="11" s="1"/>
  <c r="L69" i="11"/>
  <c r="W69" i="11" s="1"/>
  <c r="AJ72" i="9"/>
  <c r="E72" i="9" s="1"/>
  <c r="AH73" i="9"/>
  <c r="J72" i="11"/>
  <c r="N71" i="9"/>
  <c r="M68" i="10"/>
  <c r="X68" i="10" s="1"/>
  <c r="L68" i="10"/>
  <c r="W68" i="10" s="1"/>
  <c r="G69" i="10"/>
  <c r="H71" i="9"/>
  <c r="Q68" i="9"/>
  <c r="P68" i="9"/>
  <c r="J69" i="9"/>
  <c r="U68" i="9"/>
  <c r="T68" i="9"/>
  <c r="O68" i="9"/>
  <c r="AJ72" i="12"/>
  <c r="E72" i="12" s="1"/>
  <c r="AH73" i="12"/>
  <c r="S68" i="10"/>
  <c r="R68" i="10"/>
  <c r="AA68" i="10"/>
  <c r="Z68" i="10"/>
  <c r="H69" i="10"/>
  <c r="Q68" i="10"/>
  <c r="P68" i="10"/>
  <c r="J69" i="10"/>
  <c r="U68" i="10"/>
  <c r="T68" i="10"/>
  <c r="O68" i="10"/>
  <c r="J69" i="12"/>
  <c r="Q68" i="12"/>
  <c r="P68" i="12"/>
  <c r="U68" i="12"/>
  <c r="T68" i="12"/>
  <c r="O68" i="12"/>
  <c r="M69" i="8"/>
  <c r="X69" i="8" s="1"/>
  <c r="L69" i="8"/>
  <c r="W69" i="8" s="1"/>
  <c r="G70" i="8"/>
  <c r="N72" i="8"/>
  <c r="AA69" i="8"/>
  <c r="Z69" i="8"/>
  <c r="H70" i="8"/>
  <c r="S69" i="8"/>
  <c r="R69" i="8"/>
  <c r="J70" i="8"/>
  <c r="Q69" i="8"/>
  <c r="P69" i="8"/>
  <c r="U69" i="8"/>
  <c r="T69" i="8"/>
  <c r="O69" i="8"/>
  <c r="AJ73" i="8"/>
  <c r="E73" i="8" s="1"/>
  <c r="AH74" i="8"/>
  <c r="H71" i="7"/>
  <c r="N72" i="7"/>
  <c r="AJ73" i="7"/>
  <c r="E73" i="7" s="1"/>
  <c r="AH74" i="7"/>
  <c r="J71" i="7"/>
  <c r="AJ72" i="6"/>
  <c r="E72" i="6" s="1"/>
  <c r="AH73" i="6"/>
  <c r="N71" i="6"/>
  <c r="AA69" i="6"/>
  <c r="Z69" i="6"/>
  <c r="H70" i="6"/>
  <c r="S69" i="6"/>
  <c r="R69" i="6"/>
  <c r="T69" i="6"/>
  <c r="Q69" i="6"/>
  <c r="J71" i="6"/>
  <c r="M69" i="6"/>
  <c r="X69" i="6" s="1"/>
  <c r="L69" i="6"/>
  <c r="W69" i="6" s="1"/>
  <c r="G70" i="6"/>
  <c r="O70" i="6" s="1"/>
  <c r="O69" i="6"/>
  <c r="M68" i="4"/>
  <c r="X68" i="4" s="1"/>
  <c r="AA68" i="4"/>
  <c r="P68" i="4"/>
  <c r="Z68" i="4"/>
  <c r="G69" i="4"/>
  <c r="U68" i="4"/>
  <c r="Q68" i="4"/>
  <c r="T68" i="4"/>
  <c r="O68" i="4"/>
  <c r="R68" i="4"/>
  <c r="S68" i="4"/>
  <c r="N71" i="4"/>
  <c r="AJ72" i="4"/>
  <c r="E72" i="4" s="1"/>
  <c r="AH73" i="4"/>
  <c r="H70" i="4"/>
  <c r="J72" i="4"/>
  <c r="D73" i="28" l="1"/>
  <c r="C73" i="28"/>
  <c r="H74" i="28"/>
  <c r="AJ75" i="28"/>
  <c r="E75" i="28" s="1"/>
  <c r="N75" i="28" s="1"/>
  <c r="AH76" i="28"/>
  <c r="J72" i="28"/>
  <c r="L71" i="28"/>
  <c r="AJ76" i="27"/>
  <c r="E76" i="27" s="1"/>
  <c r="N76" i="27" s="1"/>
  <c r="AH77" i="27"/>
  <c r="H73" i="27"/>
  <c r="L73" i="27" s="1"/>
  <c r="D72" i="27"/>
  <c r="C72" i="27"/>
  <c r="H73" i="26"/>
  <c r="D72" i="26"/>
  <c r="C72" i="26"/>
  <c r="J72" i="24"/>
  <c r="L71" i="24"/>
  <c r="AJ74" i="26"/>
  <c r="E74" i="26" s="1"/>
  <c r="N74" i="26" s="1"/>
  <c r="AH75" i="26"/>
  <c r="H73" i="24"/>
  <c r="D72" i="24"/>
  <c r="C72" i="24"/>
  <c r="AJ74" i="25"/>
  <c r="E74" i="25" s="1"/>
  <c r="N74" i="25" s="1"/>
  <c r="AH75" i="25"/>
  <c r="J72" i="26"/>
  <c r="L71" i="26"/>
  <c r="J74" i="27"/>
  <c r="L72" i="25"/>
  <c r="J73" i="25"/>
  <c r="D74" i="25"/>
  <c r="H75" i="25"/>
  <c r="C74" i="25"/>
  <c r="AJ75" i="24"/>
  <c r="E75" i="24" s="1"/>
  <c r="N75" i="24" s="1"/>
  <c r="AH76" i="24"/>
  <c r="AJ75" i="22"/>
  <c r="E75" i="22" s="1"/>
  <c r="N75" i="22" s="1"/>
  <c r="AH76" i="22"/>
  <c r="C73" i="22"/>
  <c r="H74" i="22"/>
  <c r="D73" i="22"/>
  <c r="AJ75" i="23"/>
  <c r="E75" i="23" s="1"/>
  <c r="N75" i="23" s="1"/>
  <c r="AH76" i="23"/>
  <c r="L71" i="22"/>
  <c r="J72" i="22"/>
  <c r="J72" i="23"/>
  <c r="L71" i="23"/>
  <c r="H72" i="23"/>
  <c r="D71" i="23"/>
  <c r="C71" i="23"/>
  <c r="H73" i="21"/>
  <c r="D72" i="21"/>
  <c r="C72" i="21"/>
  <c r="AJ75" i="21"/>
  <c r="E75" i="21" s="1"/>
  <c r="N75" i="21" s="1"/>
  <c r="AH76" i="21"/>
  <c r="J72" i="21"/>
  <c r="L71" i="21"/>
  <c r="AJ75" i="20"/>
  <c r="E75" i="20" s="1"/>
  <c r="N75" i="20" s="1"/>
  <c r="AH76" i="20"/>
  <c r="N74" i="20"/>
  <c r="H74" i="20"/>
  <c r="L70" i="20"/>
  <c r="W70" i="20" s="1"/>
  <c r="G71" i="20"/>
  <c r="M70" i="20"/>
  <c r="X70" i="20" s="1"/>
  <c r="Z70" i="20"/>
  <c r="D70" i="20"/>
  <c r="S70" i="20" s="1"/>
  <c r="C70" i="20"/>
  <c r="R70" i="20" s="1"/>
  <c r="AA70" i="20"/>
  <c r="O70" i="20"/>
  <c r="T70" i="20"/>
  <c r="U70" i="20"/>
  <c r="J72" i="20"/>
  <c r="P71" i="20"/>
  <c r="P70" i="20"/>
  <c r="Q70" i="20"/>
  <c r="O69" i="19"/>
  <c r="T69" i="19"/>
  <c r="P69" i="19"/>
  <c r="Q69" i="19"/>
  <c r="D69" i="19"/>
  <c r="S69" i="19" s="1"/>
  <c r="Z69" i="19"/>
  <c r="U69" i="19"/>
  <c r="N75" i="19"/>
  <c r="AJ76" i="19"/>
  <c r="E76" i="19" s="1"/>
  <c r="AH77" i="19"/>
  <c r="H71" i="19"/>
  <c r="J71" i="19"/>
  <c r="M69" i="19"/>
  <c r="X69" i="19" s="1"/>
  <c r="L69" i="19"/>
  <c r="W69" i="19" s="1"/>
  <c r="G70" i="19"/>
  <c r="D70" i="19" s="1"/>
  <c r="S70" i="19" s="1"/>
  <c r="T68" i="7"/>
  <c r="C68" i="7"/>
  <c r="R68" i="7" s="1"/>
  <c r="AA68" i="7"/>
  <c r="D68" i="7"/>
  <c r="S68" i="7" s="1"/>
  <c r="P68" i="7"/>
  <c r="M68" i="7"/>
  <c r="X68" i="7" s="1"/>
  <c r="U68" i="7"/>
  <c r="L68" i="7"/>
  <c r="W68" i="7" s="1"/>
  <c r="Z68" i="7"/>
  <c r="G69" i="7"/>
  <c r="Q68" i="7"/>
  <c r="O68" i="7"/>
  <c r="T71" i="1"/>
  <c r="C71" i="1"/>
  <c r="R71" i="1" s="1"/>
  <c r="Q71" i="1"/>
  <c r="P71" i="1"/>
  <c r="Z71" i="1"/>
  <c r="AA71" i="1"/>
  <c r="O71" i="1"/>
  <c r="U71" i="1"/>
  <c r="G72" i="1"/>
  <c r="L71" i="1"/>
  <c r="W71" i="1" s="1"/>
  <c r="D71" i="1"/>
  <c r="S71" i="1" s="1"/>
  <c r="M71" i="1"/>
  <c r="X71" i="1" s="1"/>
  <c r="O68" i="17"/>
  <c r="T68" i="17"/>
  <c r="U68" i="17"/>
  <c r="C70" i="18"/>
  <c r="D70" i="18"/>
  <c r="P68" i="17"/>
  <c r="D68" i="17"/>
  <c r="S68" i="17" s="1"/>
  <c r="C68" i="17"/>
  <c r="R68" i="17" s="1"/>
  <c r="AA69" i="16"/>
  <c r="D69" i="16"/>
  <c r="S69" i="16" s="1"/>
  <c r="C69" i="16"/>
  <c r="R69" i="16" s="1"/>
  <c r="C68" i="15"/>
  <c r="R68" i="15" s="1"/>
  <c r="D68" i="15"/>
  <c r="S68" i="15" s="1"/>
  <c r="Z69" i="14"/>
  <c r="D69" i="14"/>
  <c r="S69" i="14" s="1"/>
  <c r="C69" i="14"/>
  <c r="C68" i="13"/>
  <c r="D68" i="13"/>
  <c r="D70" i="12"/>
  <c r="C70" i="12"/>
  <c r="O70" i="11"/>
  <c r="D70" i="11"/>
  <c r="S70" i="11" s="1"/>
  <c r="C70" i="11"/>
  <c r="R70" i="11" s="1"/>
  <c r="D69" i="10"/>
  <c r="S69" i="10" s="1"/>
  <c r="C69" i="10"/>
  <c r="R69" i="10" s="1"/>
  <c r="C69" i="9"/>
  <c r="D69" i="9"/>
  <c r="D70" i="8"/>
  <c r="C70" i="8"/>
  <c r="D70" i="6"/>
  <c r="C70" i="6"/>
  <c r="D69" i="4"/>
  <c r="S69" i="4" s="1"/>
  <c r="C69" i="4"/>
  <c r="R69" i="4" s="1"/>
  <c r="Z69" i="16"/>
  <c r="AJ73" i="18"/>
  <c r="E73" i="18" s="1"/>
  <c r="AH74" i="18"/>
  <c r="N72" i="18"/>
  <c r="L70" i="18"/>
  <c r="W70" i="18" s="1"/>
  <c r="G71" i="18"/>
  <c r="M70" i="18"/>
  <c r="X70" i="18" s="1"/>
  <c r="Z70" i="18"/>
  <c r="H71" i="18"/>
  <c r="S70" i="18"/>
  <c r="R70" i="18"/>
  <c r="AA70" i="18"/>
  <c r="J71" i="18"/>
  <c r="U70" i="18"/>
  <c r="Q70" i="18"/>
  <c r="P70" i="18"/>
  <c r="T70" i="18"/>
  <c r="J70" i="17"/>
  <c r="H71" i="17"/>
  <c r="AJ74" i="17"/>
  <c r="E74" i="17" s="1"/>
  <c r="AH75" i="17"/>
  <c r="N73" i="17"/>
  <c r="M68" i="17"/>
  <c r="X68" i="17" s="1"/>
  <c r="L68" i="17"/>
  <c r="W68" i="17" s="1"/>
  <c r="G69" i="17"/>
  <c r="AA68" i="17"/>
  <c r="Z68" i="17"/>
  <c r="H71" i="16"/>
  <c r="J71" i="15"/>
  <c r="AJ72" i="16"/>
  <c r="E72" i="16" s="1"/>
  <c r="AH73" i="16"/>
  <c r="N71" i="16"/>
  <c r="J70" i="16"/>
  <c r="U69" i="16"/>
  <c r="Q69" i="16"/>
  <c r="P69" i="16"/>
  <c r="T69" i="16"/>
  <c r="AJ73" i="15"/>
  <c r="E73" i="15" s="1"/>
  <c r="AH74" i="15"/>
  <c r="H71" i="15"/>
  <c r="AJ73" i="14"/>
  <c r="E73" i="14" s="1"/>
  <c r="AH74" i="14"/>
  <c r="O69" i="16"/>
  <c r="M69" i="16"/>
  <c r="X69" i="16" s="1"/>
  <c r="L69" i="16"/>
  <c r="W69" i="16" s="1"/>
  <c r="G70" i="16"/>
  <c r="M68" i="13"/>
  <c r="X68" i="13" s="1"/>
  <c r="L68" i="13"/>
  <c r="W68" i="13" s="1"/>
  <c r="G69" i="13"/>
  <c r="Q68" i="13"/>
  <c r="U68" i="13"/>
  <c r="AA68" i="13"/>
  <c r="Z68" i="13"/>
  <c r="P68" i="13"/>
  <c r="S68" i="13"/>
  <c r="R68" i="13"/>
  <c r="T68" i="13"/>
  <c r="O68" i="13"/>
  <c r="N72" i="15"/>
  <c r="N72" i="14"/>
  <c r="M68" i="15"/>
  <c r="X68" i="15" s="1"/>
  <c r="L68" i="15"/>
  <c r="W68" i="15" s="1"/>
  <c r="G69" i="15"/>
  <c r="O68" i="15"/>
  <c r="Q68" i="15"/>
  <c r="P68" i="15"/>
  <c r="U68" i="15"/>
  <c r="AA68" i="15"/>
  <c r="T68" i="15"/>
  <c r="Z68" i="15"/>
  <c r="M69" i="14"/>
  <c r="X69" i="14" s="1"/>
  <c r="L69" i="14"/>
  <c r="W69" i="14" s="1"/>
  <c r="G70" i="14"/>
  <c r="N73" i="13"/>
  <c r="H71" i="14"/>
  <c r="J72" i="13"/>
  <c r="Q69" i="14"/>
  <c r="P69" i="14"/>
  <c r="J70" i="14"/>
  <c r="U69" i="14"/>
  <c r="T69" i="14"/>
  <c r="O69" i="14"/>
  <c r="H71" i="13"/>
  <c r="AJ74" i="13"/>
  <c r="E74" i="13" s="1"/>
  <c r="AH75" i="13"/>
  <c r="AA69" i="14"/>
  <c r="R69" i="14"/>
  <c r="S69" i="12"/>
  <c r="P69" i="10"/>
  <c r="J70" i="10"/>
  <c r="Q69" i="10"/>
  <c r="U69" i="10"/>
  <c r="T69" i="10"/>
  <c r="O69" i="10"/>
  <c r="Z70" i="12"/>
  <c r="H71" i="12"/>
  <c r="AA70" i="12"/>
  <c r="M70" i="11"/>
  <c r="X70" i="11" s="1"/>
  <c r="L70" i="11"/>
  <c r="W70" i="11" s="1"/>
  <c r="G71" i="11"/>
  <c r="H72" i="9"/>
  <c r="J73" i="11"/>
  <c r="AJ73" i="11"/>
  <c r="E73" i="11" s="1"/>
  <c r="AH74" i="11"/>
  <c r="G70" i="9"/>
  <c r="M69" i="9"/>
  <c r="X69" i="9" s="1"/>
  <c r="L69" i="9"/>
  <c r="W69" i="9" s="1"/>
  <c r="R69" i="9"/>
  <c r="S69" i="9"/>
  <c r="Z69" i="9"/>
  <c r="AA69" i="9"/>
  <c r="Q69" i="9"/>
  <c r="P69" i="9"/>
  <c r="J70" i="9"/>
  <c r="U69" i="9"/>
  <c r="T69" i="9"/>
  <c r="O69" i="9"/>
  <c r="N72" i="11"/>
  <c r="AA69" i="10"/>
  <c r="Z69" i="10"/>
  <c r="H70" i="10"/>
  <c r="J70" i="12"/>
  <c r="L70" i="12" s="1"/>
  <c r="W70" i="12" s="1"/>
  <c r="Q69" i="12"/>
  <c r="P69" i="12"/>
  <c r="U69" i="12"/>
  <c r="T69" i="12"/>
  <c r="O69" i="12"/>
  <c r="G71" i="12"/>
  <c r="M70" i="12"/>
  <c r="X70" i="12" s="1"/>
  <c r="AJ73" i="9"/>
  <c r="E73" i="9" s="1"/>
  <c r="AH74" i="9"/>
  <c r="L69" i="12"/>
  <c r="W69" i="12" s="1"/>
  <c r="AJ73" i="12"/>
  <c r="E73" i="12" s="1"/>
  <c r="AH74" i="12"/>
  <c r="N72" i="9"/>
  <c r="N72" i="12"/>
  <c r="M69" i="10"/>
  <c r="X69" i="10" s="1"/>
  <c r="L69" i="10"/>
  <c r="W69" i="10" s="1"/>
  <c r="G70" i="10"/>
  <c r="AA70" i="11"/>
  <c r="Z70" i="11"/>
  <c r="H71" i="11"/>
  <c r="T70" i="11"/>
  <c r="Q70" i="11"/>
  <c r="P70" i="11"/>
  <c r="U70" i="11"/>
  <c r="AJ73" i="10"/>
  <c r="E73" i="10" s="1"/>
  <c r="AH74" i="10"/>
  <c r="N72" i="10"/>
  <c r="J71" i="8"/>
  <c r="Q70" i="8"/>
  <c r="P70" i="8"/>
  <c r="U70" i="8"/>
  <c r="T70" i="8"/>
  <c r="O70" i="8"/>
  <c r="Z70" i="8"/>
  <c r="H71" i="8"/>
  <c r="S70" i="8"/>
  <c r="R70" i="8"/>
  <c r="AA70" i="8"/>
  <c r="AJ74" i="8"/>
  <c r="E74" i="8" s="1"/>
  <c r="AH75" i="8"/>
  <c r="N73" i="8"/>
  <c r="L70" i="8"/>
  <c r="W70" i="8" s="1"/>
  <c r="G71" i="8"/>
  <c r="M70" i="8"/>
  <c r="X70" i="8" s="1"/>
  <c r="J72" i="7"/>
  <c r="AJ74" i="7"/>
  <c r="E74" i="7" s="1"/>
  <c r="AH75" i="7"/>
  <c r="N73" i="7"/>
  <c r="H72" i="7"/>
  <c r="Z70" i="6"/>
  <c r="H71" i="6"/>
  <c r="S70" i="6"/>
  <c r="R70" i="6"/>
  <c r="AA70" i="6"/>
  <c r="T70" i="6"/>
  <c r="P70" i="6"/>
  <c r="Q70" i="6"/>
  <c r="U70" i="6"/>
  <c r="AJ73" i="6"/>
  <c r="E73" i="6" s="1"/>
  <c r="AH74" i="6"/>
  <c r="L70" i="6"/>
  <c r="W70" i="6" s="1"/>
  <c r="G71" i="6"/>
  <c r="Q71" i="6" s="1"/>
  <c r="M70" i="6"/>
  <c r="X70" i="6" s="1"/>
  <c r="J72" i="6"/>
  <c r="N72" i="6"/>
  <c r="L69" i="4"/>
  <c r="W69" i="4" s="1"/>
  <c r="Z69" i="4"/>
  <c r="Q69" i="4"/>
  <c r="G70" i="4"/>
  <c r="P69" i="4"/>
  <c r="M69" i="4"/>
  <c r="X69" i="4" s="1"/>
  <c r="AA69" i="4"/>
  <c r="U69" i="4"/>
  <c r="T69" i="4"/>
  <c r="O69" i="4"/>
  <c r="N72" i="4"/>
  <c r="H71" i="4"/>
  <c r="J73" i="4"/>
  <c r="AJ73" i="4"/>
  <c r="E73" i="4" s="1"/>
  <c r="AH74" i="4"/>
  <c r="J73" i="28" l="1"/>
  <c r="L72" i="28"/>
  <c r="AJ76" i="28"/>
  <c r="E76" i="28" s="1"/>
  <c r="N76" i="28" s="1"/>
  <c r="AH77" i="28"/>
  <c r="D74" i="28"/>
  <c r="C74" i="28"/>
  <c r="H75" i="28"/>
  <c r="AJ75" i="26"/>
  <c r="E75" i="26" s="1"/>
  <c r="N75" i="26" s="1"/>
  <c r="AH76" i="26"/>
  <c r="L72" i="24"/>
  <c r="J73" i="24"/>
  <c r="J75" i="27"/>
  <c r="L72" i="26"/>
  <c r="J73" i="26"/>
  <c r="H74" i="26"/>
  <c r="D73" i="26"/>
  <c r="C73" i="26"/>
  <c r="AJ75" i="25"/>
  <c r="E75" i="25" s="1"/>
  <c r="N75" i="25" s="1"/>
  <c r="AH76" i="25"/>
  <c r="AJ76" i="24"/>
  <c r="E76" i="24" s="1"/>
  <c r="N76" i="24" s="1"/>
  <c r="AH77" i="24"/>
  <c r="D73" i="27"/>
  <c r="C73" i="27"/>
  <c r="H74" i="27"/>
  <c r="J74" i="25"/>
  <c r="L73" i="25"/>
  <c r="AJ77" i="27"/>
  <c r="E77" i="27" s="1"/>
  <c r="N77" i="27" s="1"/>
  <c r="AH78" i="27"/>
  <c r="C75" i="25"/>
  <c r="D75" i="25"/>
  <c r="H76" i="25"/>
  <c r="H74" i="24"/>
  <c r="D73" i="24"/>
  <c r="C73" i="24"/>
  <c r="J73" i="23"/>
  <c r="L72" i="23"/>
  <c r="L72" i="22"/>
  <c r="J73" i="22"/>
  <c r="AJ76" i="23"/>
  <c r="E76" i="23" s="1"/>
  <c r="N76" i="23" s="1"/>
  <c r="AH77" i="23"/>
  <c r="H75" i="22"/>
  <c r="D74" i="22"/>
  <c r="C74" i="22"/>
  <c r="H73" i="23"/>
  <c r="D72" i="23"/>
  <c r="C72" i="23"/>
  <c r="AJ76" i="22"/>
  <c r="E76" i="22" s="1"/>
  <c r="N76" i="22" s="1"/>
  <c r="AH77" i="22"/>
  <c r="L72" i="21"/>
  <c r="J73" i="21"/>
  <c r="AJ76" i="21"/>
  <c r="E76" i="21" s="1"/>
  <c r="N76" i="21" s="1"/>
  <c r="AH77" i="21"/>
  <c r="D73" i="21"/>
  <c r="C73" i="21"/>
  <c r="H74" i="21"/>
  <c r="G72" i="20"/>
  <c r="M71" i="20"/>
  <c r="X71" i="20" s="1"/>
  <c r="L71" i="20"/>
  <c r="W71" i="20" s="1"/>
  <c r="D71" i="20"/>
  <c r="S71" i="20" s="1"/>
  <c r="Z71" i="20"/>
  <c r="C71" i="20"/>
  <c r="R71" i="20" s="1"/>
  <c r="AA71" i="20"/>
  <c r="Q71" i="20"/>
  <c r="U71" i="20"/>
  <c r="H75" i="20"/>
  <c r="Q72" i="20"/>
  <c r="P72" i="20"/>
  <c r="J73" i="20"/>
  <c r="U72" i="20"/>
  <c r="T72" i="20"/>
  <c r="O72" i="20"/>
  <c r="AJ76" i="20"/>
  <c r="E76" i="20" s="1"/>
  <c r="N76" i="20" s="1"/>
  <c r="AH77" i="20"/>
  <c r="O71" i="20"/>
  <c r="T71" i="20"/>
  <c r="Q70" i="19"/>
  <c r="O70" i="19"/>
  <c r="P70" i="19"/>
  <c r="J72" i="19"/>
  <c r="AA70" i="19"/>
  <c r="C70" i="19"/>
  <c r="R70" i="19" s="1"/>
  <c r="L70" i="19"/>
  <c r="W70" i="19" s="1"/>
  <c r="M70" i="19"/>
  <c r="X70" i="19" s="1"/>
  <c r="G71" i="19"/>
  <c r="H72" i="19"/>
  <c r="Z70" i="19"/>
  <c r="AJ77" i="19"/>
  <c r="E77" i="19" s="1"/>
  <c r="AH78" i="19"/>
  <c r="N76" i="19"/>
  <c r="T70" i="19"/>
  <c r="U70" i="19"/>
  <c r="AA69" i="7"/>
  <c r="O69" i="7"/>
  <c r="Z69" i="7"/>
  <c r="T69" i="7"/>
  <c r="U69" i="7"/>
  <c r="D69" i="7"/>
  <c r="S69" i="7" s="1"/>
  <c r="M69" i="7"/>
  <c r="X69" i="7" s="1"/>
  <c r="C69" i="7"/>
  <c r="R69" i="7" s="1"/>
  <c r="L69" i="7"/>
  <c r="W69" i="7" s="1"/>
  <c r="Q69" i="7"/>
  <c r="G70" i="7"/>
  <c r="P69" i="7"/>
  <c r="O72" i="1"/>
  <c r="Q72" i="1"/>
  <c r="U72" i="1"/>
  <c r="G73" i="1"/>
  <c r="M72" i="1"/>
  <c r="X72" i="1" s="1"/>
  <c r="L72" i="1"/>
  <c r="W72" i="1" s="1"/>
  <c r="C72" i="1"/>
  <c r="R72" i="1" s="1"/>
  <c r="T72" i="1"/>
  <c r="AA72" i="1"/>
  <c r="D72" i="1"/>
  <c r="S72" i="1" s="1"/>
  <c r="P72" i="1"/>
  <c r="Z72" i="1"/>
  <c r="U71" i="6"/>
  <c r="O71" i="6"/>
  <c r="P71" i="6"/>
  <c r="D71" i="18"/>
  <c r="C71" i="18"/>
  <c r="D69" i="17"/>
  <c r="S69" i="17" s="1"/>
  <c r="C69" i="17"/>
  <c r="R69" i="17" s="1"/>
  <c r="Z70" i="16"/>
  <c r="D70" i="16"/>
  <c r="S70" i="16" s="1"/>
  <c r="C70" i="16"/>
  <c r="D69" i="15"/>
  <c r="S69" i="15" s="1"/>
  <c r="C69" i="15"/>
  <c r="D70" i="14"/>
  <c r="S70" i="14" s="1"/>
  <c r="C70" i="14"/>
  <c r="R70" i="14" s="1"/>
  <c r="D69" i="13"/>
  <c r="S69" i="13" s="1"/>
  <c r="C69" i="13"/>
  <c r="D71" i="12"/>
  <c r="C71" i="12"/>
  <c r="D71" i="11"/>
  <c r="S71" i="11" s="1"/>
  <c r="C71" i="11"/>
  <c r="D70" i="10"/>
  <c r="C70" i="10"/>
  <c r="D70" i="9"/>
  <c r="C70" i="9"/>
  <c r="D71" i="8"/>
  <c r="C71" i="8"/>
  <c r="D71" i="6"/>
  <c r="C71" i="6"/>
  <c r="D70" i="4"/>
  <c r="C70" i="4"/>
  <c r="R70" i="4" s="1"/>
  <c r="O70" i="16"/>
  <c r="R70" i="12"/>
  <c r="S70" i="12"/>
  <c r="H72" i="18"/>
  <c r="S71" i="18"/>
  <c r="R71" i="18"/>
  <c r="AA71" i="18"/>
  <c r="Z71" i="18"/>
  <c r="G72" i="18"/>
  <c r="M71" i="18"/>
  <c r="X71" i="18" s="1"/>
  <c r="L71" i="18"/>
  <c r="W71" i="18" s="1"/>
  <c r="AJ74" i="18"/>
  <c r="E74" i="18" s="1"/>
  <c r="AH75" i="18"/>
  <c r="J72" i="18"/>
  <c r="Q71" i="18"/>
  <c r="P71" i="18"/>
  <c r="U71" i="18"/>
  <c r="T71" i="18"/>
  <c r="N73" i="18"/>
  <c r="O71" i="18"/>
  <c r="H72" i="17"/>
  <c r="M69" i="17"/>
  <c r="X69" i="17" s="1"/>
  <c r="L69" i="17"/>
  <c r="W69" i="17" s="1"/>
  <c r="G70" i="17"/>
  <c r="AA69" i="17"/>
  <c r="Z69" i="17"/>
  <c r="O69" i="17"/>
  <c r="T69" i="17"/>
  <c r="U69" i="17"/>
  <c r="P69" i="17"/>
  <c r="Q69" i="17"/>
  <c r="AJ75" i="17"/>
  <c r="E75" i="17" s="1"/>
  <c r="AH76" i="17"/>
  <c r="J71" i="17"/>
  <c r="N74" i="17"/>
  <c r="M70" i="14"/>
  <c r="X70" i="14" s="1"/>
  <c r="L70" i="14"/>
  <c r="W70" i="14" s="1"/>
  <c r="G71" i="14"/>
  <c r="M69" i="15"/>
  <c r="X69" i="15" s="1"/>
  <c r="L69" i="15"/>
  <c r="W69" i="15" s="1"/>
  <c r="G70" i="15"/>
  <c r="T69" i="15"/>
  <c r="AA69" i="15"/>
  <c r="Q69" i="15"/>
  <c r="P69" i="15"/>
  <c r="Z69" i="15"/>
  <c r="O69" i="15"/>
  <c r="R69" i="15"/>
  <c r="U69" i="15"/>
  <c r="AJ74" i="14"/>
  <c r="E74" i="14" s="1"/>
  <c r="AH75" i="14"/>
  <c r="H72" i="13"/>
  <c r="N73" i="14"/>
  <c r="J72" i="15"/>
  <c r="J73" i="13"/>
  <c r="M69" i="13"/>
  <c r="X69" i="13" s="1"/>
  <c r="L69" i="13"/>
  <c r="W69" i="13" s="1"/>
  <c r="G70" i="13"/>
  <c r="Q69" i="13"/>
  <c r="P69" i="13"/>
  <c r="AA69" i="13"/>
  <c r="Z69" i="13"/>
  <c r="R69" i="13"/>
  <c r="O69" i="13"/>
  <c r="T69" i="13"/>
  <c r="U69" i="13"/>
  <c r="J71" i="16"/>
  <c r="U70" i="16"/>
  <c r="Q70" i="16"/>
  <c r="P70" i="16"/>
  <c r="T70" i="16"/>
  <c r="AA70" i="16"/>
  <c r="R70" i="16"/>
  <c r="Z71" i="14"/>
  <c r="H72" i="14"/>
  <c r="Z70" i="14"/>
  <c r="H72" i="15"/>
  <c r="AA70" i="14"/>
  <c r="AJ73" i="16"/>
  <c r="E73" i="16" s="1"/>
  <c r="AH74" i="16"/>
  <c r="H72" i="16"/>
  <c r="AJ75" i="13"/>
  <c r="E75" i="13" s="1"/>
  <c r="AH76" i="13"/>
  <c r="P70" i="14"/>
  <c r="J71" i="14"/>
  <c r="U70" i="14"/>
  <c r="Q70" i="14"/>
  <c r="T70" i="14"/>
  <c r="O70" i="14"/>
  <c r="AJ74" i="15"/>
  <c r="E74" i="15" s="1"/>
  <c r="AH75" i="15"/>
  <c r="N72" i="16"/>
  <c r="N74" i="13"/>
  <c r="L70" i="16"/>
  <c r="W70" i="16" s="1"/>
  <c r="G71" i="16"/>
  <c r="M70" i="16"/>
  <c r="X70" i="16" s="1"/>
  <c r="N73" i="15"/>
  <c r="AJ74" i="9"/>
  <c r="E74" i="9" s="1"/>
  <c r="AH75" i="9"/>
  <c r="M70" i="10"/>
  <c r="X70" i="10" s="1"/>
  <c r="L70" i="10"/>
  <c r="W70" i="10" s="1"/>
  <c r="G71" i="10"/>
  <c r="N73" i="9"/>
  <c r="AA70" i="10"/>
  <c r="Z70" i="10"/>
  <c r="H71" i="10"/>
  <c r="S70" i="10"/>
  <c r="R70" i="10"/>
  <c r="AJ74" i="10"/>
  <c r="E74" i="10" s="1"/>
  <c r="AH75" i="10"/>
  <c r="H73" i="9"/>
  <c r="H72" i="12"/>
  <c r="AA71" i="12"/>
  <c r="Z71" i="12"/>
  <c r="G72" i="12"/>
  <c r="M71" i="12"/>
  <c r="X71" i="12" s="1"/>
  <c r="N73" i="10"/>
  <c r="M70" i="9"/>
  <c r="X70" i="9" s="1"/>
  <c r="L70" i="9"/>
  <c r="W70" i="9" s="1"/>
  <c r="G71" i="9"/>
  <c r="S70" i="9"/>
  <c r="R70" i="9"/>
  <c r="AA70" i="9"/>
  <c r="Z70" i="9"/>
  <c r="M71" i="11"/>
  <c r="X71" i="11" s="1"/>
  <c r="L71" i="11"/>
  <c r="W71" i="11" s="1"/>
  <c r="G72" i="11"/>
  <c r="R71" i="11"/>
  <c r="AA71" i="11"/>
  <c r="Z71" i="11"/>
  <c r="H72" i="11"/>
  <c r="Q71" i="11"/>
  <c r="P71" i="11"/>
  <c r="U71" i="11"/>
  <c r="T71" i="11"/>
  <c r="AJ74" i="12"/>
  <c r="E74" i="12" s="1"/>
  <c r="AH75" i="12"/>
  <c r="AJ74" i="11"/>
  <c r="E74" i="11" s="1"/>
  <c r="AH75" i="11"/>
  <c r="J71" i="10"/>
  <c r="Q70" i="10"/>
  <c r="P70" i="10"/>
  <c r="U70" i="10"/>
  <c r="T70" i="10"/>
  <c r="O70" i="10"/>
  <c r="N73" i="12"/>
  <c r="N73" i="11"/>
  <c r="Q70" i="9"/>
  <c r="P70" i="9"/>
  <c r="J71" i="9"/>
  <c r="U70" i="9"/>
  <c r="T70" i="9"/>
  <c r="O70" i="9"/>
  <c r="O71" i="11"/>
  <c r="J71" i="12"/>
  <c r="L71" i="12" s="1"/>
  <c r="W71" i="12" s="1"/>
  <c r="Q70" i="12"/>
  <c r="P70" i="12"/>
  <c r="U70" i="12"/>
  <c r="T70" i="12"/>
  <c r="O70" i="12"/>
  <c r="J74" i="11"/>
  <c r="N74" i="8"/>
  <c r="H72" i="8"/>
  <c r="S71" i="8"/>
  <c r="R71" i="8"/>
  <c r="AA71" i="8"/>
  <c r="Z71" i="8"/>
  <c r="G72" i="8"/>
  <c r="M71" i="8"/>
  <c r="X71" i="8" s="1"/>
  <c r="L71" i="8"/>
  <c r="W71" i="8" s="1"/>
  <c r="AJ75" i="8"/>
  <c r="E75" i="8" s="1"/>
  <c r="AH76" i="8"/>
  <c r="J72" i="8"/>
  <c r="Q71" i="8"/>
  <c r="P71" i="8"/>
  <c r="U71" i="8"/>
  <c r="T71" i="8"/>
  <c r="O71" i="8"/>
  <c r="H73" i="7"/>
  <c r="J73" i="7"/>
  <c r="AJ75" i="7"/>
  <c r="E75" i="7" s="1"/>
  <c r="AH76" i="7"/>
  <c r="N74" i="7"/>
  <c r="N73" i="6"/>
  <c r="J73" i="6"/>
  <c r="H72" i="6"/>
  <c r="S71" i="6"/>
  <c r="R71" i="6"/>
  <c r="AA71" i="6"/>
  <c r="Z71" i="6"/>
  <c r="G72" i="6"/>
  <c r="M71" i="6"/>
  <c r="X71" i="6" s="1"/>
  <c r="L71" i="6"/>
  <c r="W71" i="6" s="1"/>
  <c r="AJ74" i="6"/>
  <c r="E74" i="6" s="1"/>
  <c r="AH75" i="6"/>
  <c r="T71" i="6"/>
  <c r="L70" i="4"/>
  <c r="W70" i="4" s="1"/>
  <c r="S70" i="4"/>
  <c r="N73" i="4"/>
  <c r="M70" i="4"/>
  <c r="X70" i="4" s="1"/>
  <c r="Q70" i="4"/>
  <c r="G71" i="4"/>
  <c r="P70" i="4"/>
  <c r="AA70" i="4"/>
  <c r="Z70" i="4"/>
  <c r="U70" i="4"/>
  <c r="T70" i="4"/>
  <c r="O70" i="4"/>
  <c r="J74" i="4"/>
  <c r="AJ74" i="4"/>
  <c r="E74" i="4" s="1"/>
  <c r="AH75" i="4"/>
  <c r="H72" i="4"/>
  <c r="D75" i="28" l="1"/>
  <c r="C75" i="28"/>
  <c r="H76" i="28"/>
  <c r="AJ77" i="28"/>
  <c r="E77" i="28" s="1"/>
  <c r="N77" i="28" s="1"/>
  <c r="AH78" i="28"/>
  <c r="L73" i="28"/>
  <c r="J74" i="28"/>
  <c r="H75" i="26"/>
  <c r="D74" i="26"/>
  <c r="C74" i="26"/>
  <c r="AJ78" i="27"/>
  <c r="E78" i="27" s="1"/>
  <c r="N78" i="27" s="1"/>
  <c r="AH79" i="27"/>
  <c r="J74" i="26"/>
  <c r="L73" i="26"/>
  <c r="L74" i="25"/>
  <c r="J75" i="25"/>
  <c r="D74" i="27"/>
  <c r="C74" i="27"/>
  <c r="H75" i="27"/>
  <c r="J76" i="27"/>
  <c r="L74" i="27"/>
  <c r="J74" i="24"/>
  <c r="L73" i="24"/>
  <c r="AJ77" i="24"/>
  <c r="E77" i="24" s="1"/>
  <c r="N77" i="24" s="1"/>
  <c r="AH78" i="24"/>
  <c r="H75" i="24"/>
  <c r="D74" i="24"/>
  <c r="C74" i="24"/>
  <c r="AJ76" i="26"/>
  <c r="E76" i="26" s="1"/>
  <c r="N76" i="26" s="1"/>
  <c r="AH77" i="26"/>
  <c r="D76" i="25"/>
  <c r="H77" i="25"/>
  <c r="C76" i="25"/>
  <c r="AH77" i="25"/>
  <c r="AJ76" i="25"/>
  <c r="E76" i="25" s="1"/>
  <c r="N76" i="25" s="1"/>
  <c r="D73" i="23"/>
  <c r="C73" i="23"/>
  <c r="H74" i="23"/>
  <c r="H76" i="22"/>
  <c r="D75" i="22"/>
  <c r="C75" i="22"/>
  <c r="AJ77" i="23"/>
  <c r="E77" i="23" s="1"/>
  <c r="N77" i="23" s="1"/>
  <c r="AH78" i="23"/>
  <c r="L73" i="22"/>
  <c r="J74" i="22"/>
  <c r="AJ77" i="22"/>
  <c r="E77" i="22" s="1"/>
  <c r="N77" i="22" s="1"/>
  <c r="AH78" i="22"/>
  <c r="L73" i="23"/>
  <c r="J74" i="23"/>
  <c r="D74" i="21"/>
  <c r="C74" i="21"/>
  <c r="H75" i="21"/>
  <c r="AJ77" i="21"/>
  <c r="E77" i="21" s="1"/>
  <c r="N77" i="21" s="1"/>
  <c r="AH78" i="21"/>
  <c r="J74" i="21"/>
  <c r="L73" i="21"/>
  <c r="AH78" i="20"/>
  <c r="AJ77" i="20"/>
  <c r="E77" i="20" s="1"/>
  <c r="N77" i="20" s="1"/>
  <c r="J74" i="20"/>
  <c r="U73" i="20"/>
  <c r="T73" i="20"/>
  <c r="O73" i="20"/>
  <c r="D75" i="20"/>
  <c r="C75" i="20"/>
  <c r="AA75" i="20"/>
  <c r="Z75" i="20"/>
  <c r="H76" i="20"/>
  <c r="M72" i="20"/>
  <c r="X72" i="20" s="1"/>
  <c r="L72" i="20"/>
  <c r="W72" i="20" s="1"/>
  <c r="G73" i="20"/>
  <c r="D72" i="20"/>
  <c r="S72" i="20" s="1"/>
  <c r="C72" i="20"/>
  <c r="R72" i="20" s="1"/>
  <c r="AA72" i="20"/>
  <c r="Z72" i="20"/>
  <c r="G72" i="19"/>
  <c r="M71" i="19"/>
  <c r="X71" i="19" s="1"/>
  <c r="L71" i="19"/>
  <c r="W71" i="19" s="1"/>
  <c r="AJ78" i="19"/>
  <c r="E78" i="19" s="1"/>
  <c r="AH79" i="19"/>
  <c r="N77" i="19"/>
  <c r="O71" i="19"/>
  <c r="T71" i="19"/>
  <c r="AA71" i="19"/>
  <c r="P71" i="19"/>
  <c r="Z71" i="19"/>
  <c r="Q71" i="19"/>
  <c r="H73" i="19"/>
  <c r="D72" i="19"/>
  <c r="S72" i="19" s="1"/>
  <c r="C72" i="19"/>
  <c r="R72" i="19" s="1"/>
  <c r="AA72" i="19"/>
  <c r="Z72" i="19"/>
  <c r="C71" i="19"/>
  <c r="R71" i="19" s="1"/>
  <c r="U71" i="19"/>
  <c r="D71" i="19"/>
  <c r="S71" i="19" s="1"/>
  <c r="Q72" i="19"/>
  <c r="P72" i="19"/>
  <c r="J73" i="19"/>
  <c r="U72" i="19"/>
  <c r="T72" i="19"/>
  <c r="O72" i="19"/>
  <c r="AA70" i="7"/>
  <c r="O70" i="7"/>
  <c r="Z70" i="7"/>
  <c r="Q70" i="7"/>
  <c r="M70" i="7"/>
  <c r="X70" i="7" s="1"/>
  <c r="P70" i="7"/>
  <c r="T70" i="7"/>
  <c r="D70" i="7"/>
  <c r="S70" i="7" s="1"/>
  <c r="L70" i="7"/>
  <c r="W70" i="7" s="1"/>
  <c r="C70" i="7"/>
  <c r="R70" i="7" s="1"/>
  <c r="G71" i="7"/>
  <c r="U70" i="7"/>
  <c r="G74" i="1"/>
  <c r="L73" i="1"/>
  <c r="W73" i="1" s="1"/>
  <c r="AA73" i="1"/>
  <c r="M73" i="1"/>
  <c r="X73" i="1" s="1"/>
  <c r="C73" i="1"/>
  <c r="R73" i="1" s="1"/>
  <c r="T73" i="1"/>
  <c r="O73" i="1"/>
  <c r="D73" i="1"/>
  <c r="S73" i="1" s="1"/>
  <c r="Z73" i="1"/>
  <c r="Q73" i="1"/>
  <c r="P73" i="1"/>
  <c r="U73" i="1"/>
  <c r="D72" i="18"/>
  <c r="C72" i="18"/>
  <c r="Q70" i="17"/>
  <c r="C70" i="17"/>
  <c r="D70" i="17"/>
  <c r="D71" i="16"/>
  <c r="S71" i="16" s="1"/>
  <c r="C71" i="16"/>
  <c r="R71" i="16" s="1"/>
  <c r="D70" i="15"/>
  <c r="S70" i="15" s="1"/>
  <c r="C70" i="15"/>
  <c r="R70" i="15" s="1"/>
  <c r="C71" i="14"/>
  <c r="R71" i="14" s="1"/>
  <c r="D71" i="14"/>
  <c r="S71" i="14" s="1"/>
  <c r="D70" i="13"/>
  <c r="C70" i="13"/>
  <c r="D72" i="12"/>
  <c r="C72" i="12"/>
  <c r="C72" i="11"/>
  <c r="D72" i="11"/>
  <c r="D71" i="10"/>
  <c r="C71" i="10"/>
  <c r="D71" i="9"/>
  <c r="C71" i="9"/>
  <c r="D72" i="8"/>
  <c r="S72" i="8" s="1"/>
  <c r="C72" i="8"/>
  <c r="R72" i="8" s="1"/>
  <c r="D72" i="6"/>
  <c r="C72" i="6"/>
  <c r="C71" i="4"/>
  <c r="R71" i="4" s="1"/>
  <c r="D71" i="4"/>
  <c r="O70" i="17"/>
  <c r="U70" i="17"/>
  <c r="P70" i="17"/>
  <c r="O71" i="16"/>
  <c r="AA71" i="16"/>
  <c r="AA71" i="14"/>
  <c r="O72" i="11"/>
  <c r="Q72" i="18"/>
  <c r="P72" i="18"/>
  <c r="J73" i="18"/>
  <c r="U72" i="18"/>
  <c r="T72" i="18"/>
  <c r="AJ75" i="18"/>
  <c r="E75" i="18" s="1"/>
  <c r="AH76" i="18"/>
  <c r="N74" i="18"/>
  <c r="O72" i="18"/>
  <c r="O73" i="18"/>
  <c r="G73" i="18"/>
  <c r="M72" i="18"/>
  <c r="X72" i="18" s="1"/>
  <c r="L72" i="18"/>
  <c r="W72" i="18" s="1"/>
  <c r="H73" i="18"/>
  <c r="S72" i="18"/>
  <c r="R72" i="18"/>
  <c r="AA72" i="18"/>
  <c r="Z72" i="18"/>
  <c r="J72" i="17"/>
  <c r="AJ76" i="17"/>
  <c r="E76" i="17" s="1"/>
  <c r="AH77" i="17"/>
  <c r="L70" i="17"/>
  <c r="W70" i="17" s="1"/>
  <c r="G71" i="17"/>
  <c r="M70" i="17"/>
  <c r="X70" i="17" s="1"/>
  <c r="Z70" i="17"/>
  <c r="S70" i="17"/>
  <c r="R70" i="17"/>
  <c r="AA70" i="17"/>
  <c r="N75" i="17"/>
  <c r="T70" i="17"/>
  <c r="H73" i="17"/>
  <c r="AJ76" i="13"/>
  <c r="E76" i="13" s="1"/>
  <c r="AH77" i="13"/>
  <c r="N75" i="13"/>
  <c r="Z71" i="16"/>
  <c r="J74" i="13"/>
  <c r="H73" i="13"/>
  <c r="AJ75" i="15"/>
  <c r="E75" i="15" s="1"/>
  <c r="AH76" i="15"/>
  <c r="H73" i="15"/>
  <c r="N74" i="15"/>
  <c r="M70" i="13"/>
  <c r="X70" i="13" s="1"/>
  <c r="L70" i="13"/>
  <c r="W70" i="13" s="1"/>
  <c r="G71" i="13"/>
  <c r="Q70" i="13"/>
  <c r="P70" i="13"/>
  <c r="U70" i="13"/>
  <c r="O70" i="13"/>
  <c r="T70" i="13"/>
  <c r="AA70" i="13"/>
  <c r="R70" i="13"/>
  <c r="Z70" i="13"/>
  <c r="S70" i="13"/>
  <c r="L70" i="15"/>
  <c r="W70" i="15" s="1"/>
  <c r="G71" i="15"/>
  <c r="M70" i="15"/>
  <c r="X70" i="15" s="1"/>
  <c r="Z70" i="15"/>
  <c r="T70" i="15"/>
  <c r="AA70" i="15"/>
  <c r="U70" i="15"/>
  <c r="Q70" i="15"/>
  <c r="P70" i="15"/>
  <c r="O70" i="15"/>
  <c r="AJ75" i="14"/>
  <c r="E75" i="14" s="1"/>
  <c r="AH76" i="14"/>
  <c r="H73" i="16"/>
  <c r="J72" i="16"/>
  <c r="Q71" i="16"/>
  <c r="P71" i="16"/>
  <c r="U71" i="16"/>
  <c r="T71" i="16"/>
  <c r="N74" i="14"/>
  <c r="AJ74" i="16"/>
  <c r="E74" i="16" s="1"/>
  <c r="AH75" i="16"/>
  <c r="J73" i="15"/>
  <c r="L71" i="14"/>
  <c r="W71" i="14" s="1"/>
  <c r="G72" i="14"/>
  <c r="M71" i="14"/>
  <c r="X71" i="14" s="1"/>
  <c r="N73" i="16"/>
  <c r="H73" i="14"/>
  <c r="G72" i="16"/>
  <c r="M71" i="16"/>
  <c r="X71" i="16" s="1"/>
  <c r="L71" i="16"/>
  <c r="W71" i="16" s="1"/>
  <c r="J72" i="14"/>
  <c r="P71" i="14"/>
  <c r="Q71" i="14"/>
  <c r="U71" i="14"/>
  <c r="T71" i="14"/>
  <c r="O71" i="14"/>
  <c r="M71" i="9"/>
  <c r="X71" i="9" s="1"/>
  <c r="L71" i="9"/>
  <c r="W71" i="9" s="1"/>
  <c r="G72" i="9"/>
  <c r="S71" i="9"/>
  <c r="R71" i="9"/>
  <c r="AA71" i="9"/>
  <c r="Z71" i="9"/>
  <c r="R71" i="12"/>
  <c r="AA71" i="10"/>
  <c r="Z71" i="10"/>
  <c r="H72" i="10"/>
  <c r="S71" i="10"/>
  <c r="R71" i="10"/>
  <c r="Q71" i="9"/>
  <c r="P71" i="9"/>
  <c r="J72" i="9"/>
  <c r="U71" i="9"/>
  <c r="T71" i="9"/>
  <c r="O71" i="9"/>
  <c r="J72" i="10"/>
  <c r="Q71" i="10"/>
  <c r="P71" i="10"/>
  <c r="U71" i="10"/>
  <c r="T71" i="10"/>
  <c r="O71" i="10"/>
  <c r="S71" i="12"/>
  <c r="AH76" i="11"/>
  <c r="AJ75" i="11"/>
  <c r="E75" i="11" s="1"/>
  <c r="H73" i="12"/>
  <c r="AA72" i="12"/>
  <c r="Z72" i="12"/>
  <c r="N74" i="11"/>
  <c r="H74" i="9"/>
  <c r="S72" i="11"/>
  <c r="R72" i="11"/>
  <c r="AA72" i="11"/>
  <c r="Z72" i="11"/>
  <c r="H73" i="11"/>
  <c r="U72" i="11"/>
  <c r="T72" i="11"/>
  <c r="P72" i="11"/>
  <c r="Q72" i="11"/>
  <c r="J75" i="11"/>
  <c r="AJ75" i="12"/>
  <c r="E75" i="12" s="1"/>
  <c r="AH76" i="12"/>
  <c r="M72" i="11"/>
  <c r="X72" i="11" s="1"/>
  <c r="L72" i="11"/>
  <c r="W72" i="11" s="1"/>
  <c r="G73" i="11"/>
  <c r="N74" i="12"/>
  <c r="M71" i="10"/>
  <c r="X71" i="10" s="1"/>
  <c r="L71" i="10"/>
  <c r="W71" i="10" s="1"/>
  <c r="G72" i="10"/>
  <c r="J72" i="12"/>
  <c r="U71" i="12"/>
  <c r="Q71" i="12"/>
  <c r="P71" i="12"/>
  <c r="T71" i="12"/>
  <c r="O71" i="12"/>
  <c r="G73" i="12"/>
  <c r="M72" i="12"/>
  <c r="X72" i="12" s="1"/>
  <c r="AH76" i="10"/>
  <c r="AJ75" i="10"/>
  <c r="E75" i="10" s="1"/>
  <c r="AH76" i="9"/>
  <c r="AJ75" i="9"/>
  <c r="E75" i="9" s="1"/>
  <c r="N74" i="10"/>
  <c r="N74" i="9"/>
  <c r="N75" i="8"/>
  <c r="G73" i="8"/>
  <c r="M72" i="8"/>
  <c r="X72" i="8" s="1"/>
  <c r="L72" i="8"/>
  <c r="W72" i="8" s="1"/>
  <c r="H73" i="8"/>
  <c r="AA72" i="8"/>
  <c r="Z72" i="8"/>
  <c r="Q72" i="8"/>
  <c r="P72" i="8"/>
  <c r="J73" i="8"/>
  <c r="U72" i="8"/>
  <c r="T72" i="8"/>
  <c r="O72" i="8"/>
  <c r="AJ76" i="8"/>
  <c r="E76" i="8" s="1"/>
  <c r="AH77" i="8"/>
  <c r="AJ76" i="7"/>
  <c r="E76" i="7" s="1"/>
  <c r="AH77" i="7"/>
  <c r="N75" i="7"/>
  <c r="J74" i="7"/>
  <c r="H74" i="7"/>
  <c r="H73" i="6"/>
  <c r="S72" i="6"/>
  <c r="R72" i="6"/>
  <c r="AA72" i="6"/>
  <c r="Z72" i="6"/>
  <c r="T72" i="6"/>
  <c r="U72" i="6"/>
  <c r="J74" i="6"/>
  <c r="AJ75" i="6"/>
  <c r="E75" i="6" s="1"/>
  <c r="AH76" i="6"/>
  <c r="P72" i="6"/>
  <c r="N74" i="6"/>
  <c r="Q72" i="6"/>
  <c r="O72" i="6"/>
  <c r="O73" i="6"/>
  <c r="G73" i="6"/>
  <c r="M72" i="6"/>
  <c r="X72" i="6" s="1"/>
  <c r="L72" i="6"/>
  <c r="W72" i="6" s="1"/>
  <c r="L71" i="4"/>
  <c r="W71" i="4" s="1"/>
  <c r="M71" i="4"/>
  <c r="X71" i="4" s="1"/>
  <c r="Q71" i="4"/>
  <c r="G72" i="4"/>
  <c r="L72" i="4" s="1"/>
  <c r="W72" i="4" s="1"/>
  <c r="P71" i="4"/>
  <c r="AA71" i="4"/>
  <c r="U71" i="4"/>
  <c r="Z71" i="4"/>
  <c r="T71" i="4"/>
  <c r="O71" i="4"/>
  <c r="S71" i="4"/>
  <c r="N74" i="4"/>
  <c r="AJ75" i="4"/>
  <c r="E75" i="4" s="1"/>
  <c r="AH76" i="4"/>
  <c r="H73" i="4"/>
  <c r="J75" i="4"/>
  <c r="L74" i="28" l="1"/>
  <c r="J75" i="28"/>
  <c r="AJ78" i="28"/>
  <c r="E78" i="28" s="1"/>
  <c r="N78" i="28" s="1"/>
  <c r="AH79" i="28"/>
  <c r="D76" i="28"/>
  <c r="C76" i="28"/>
  <c r="H77" i="28"/>
  <c r="AJ77" i="26"/>
  <c r="E77" i="26" s="1"/>
  <c r="N77" i="26" s="1"/>
  <c r="AH78" i="26"/>
  <c r="D75" i="27"/>
  <c r="C75" i="27"/>
  <c r="H76" i="27"/>
  <c r="J76" i="25"/>
  <c r="L75" i="25"/>
  <c r="D75" i="24"/>
  <c r="C75" i="24"/>
  <c r="H76" i="24"/>
  <c r="AJ78" i="24"/>
  <c r="E78" i="24" s="1"/>
  <c r="N78" i="24" s="1"/>
  <c r="AH79" i="24"/>
  <c r="J75" i="26"/>
  <c r="L74" i="26"/>
  <c r="AH80" i="27"/>
  <c r="AJ79" i="27"/>
  <c r="E79" i="27" s="1"/>
  <c r="N79" i="27" s="1"/>
  <c r="AJ77" i="25"/>
  <c r="E77" i="25" s="1"/>
  <c r="N77" i="25" s="1"/>
  <c r="AH78" i="25"/>
  <c r="L74" i="24"/>
  <c r="J75" i="24"/>
  <c r="C77" i="25"/>
  <c r="H78" i="25"/>
  <c r="D77" i="25"/>
  <c r="L75" i="27"/>
  <c r="J77" i="27"/>
  <c r="H76" i="26"/>
  <c r="D75" i="26"/>
  <c r="C75" i="26"/>
  <c r="J75" i="22"/>
  <c r="L74" i="22"/>
  <c r="AJ78" i="23"/>
  <c r="E78" i="23" s="1"/>
  <c r="N78" i="23" s="1"/>
  <c r="AH79" i="23"/>
  <c r="H77" i="22"/>
  <c r="D76" i="22"/>
  <c r="C76" i="22"/>
  <c r="AJ78" i="22"/>
  <c r="E78" i="22" s="1"/>
  <c r="N78" i="22" s="1"/>
  <c r="AH79" i="22"/>
  <c r="D74" i="23"/>
  <c r="C74" i="23"/>
  <c r="H75" i="23"/>
  <c r="L74" i="23"/>
  <c r="J75" i="23"/>
  <c r="J75" i="21"/>
  <c r="L74" i="21"/>
  <c r="AJ78" i="21"/>
  <c r="E78" i="21" s="1"/>
  <c r="N78" i="21" s="1"/>
  <c r="AH79" i="21"/>
  <c r="D75" i="21"/>
  <c r="C75" i="21"/>
  <c r="H76" i="21"/>
  <c r="J75" i="20"/>
  <c r="O74" i="20"/>
  <c r="G74" i="20"/>
  <c r="M73" i="20"/>
  <c r="X73" i="20" s="1"/>
  <c r="L73" i="20"/>
  <c r="W73" i="20" s="1"/>
  <c r="D73" i="20"/>
  <c r="S73" i="20" s="1"/>
  <c r="C73" i="20"/>
  <c r="R73" i="20" s="1"/>
  <c r="AA73" i="20"/>
  <c r="Z73" i="20"/>
  <c r="P73" i="20"/>
  <c r="Q73" i="20"/>
  <c r="C76" i="20"/>
  <c r="H77" i="20"/>
  <c r="D76" i="20"/>
  <c r="AJ78" i="20"/>
  <c r="E78" i="20" s="1"/>
  <c r="N78" i="20" s="1"/>
  <c r="AH79" i="20"/>
  <c r="AH80" i="19"/>
  <c r="AJ79" i="19"/>
  <c r="E79" i="19" s="1"/>
  <c r="N78" i="19"/>
  <c r="H74" i="19"/>
  <c r="J74" i="19"/>
  <c r="G73" i="19"/>
  <c r="D73" i="19" s="1"/>
  <c r="S73" i="19" s="1"/>
  <c r="M72" i="19"/>
  <c r="X72" i="19" s="1"/>
  <c r="L72" i="19"/>
  <c r="W72" i="19" s="1"/>
  <c r="AA71" i="7"/>
  <c r="P71" i="7"/>
  <c r="T71" i="7"/>
  <c r="G72" i="7"/>
  <c r="Z71" i="7"/>
  <c r="M71" i="7"/>
  <c r="X71" i="7" s="1"/>
  <c r="Q71" i="7"/>
  <c r="L71" i="7"/>
  <c r="W71" i="7" s="1"/>
  <c r="U71" i="7"/>
  <c r="O71" i="7"/>
  <c r="C71" i="7"/>
  <c r="R71" i="7" s="1"/>
  <c r="D71" i="7"/>
  <c r="S71" i="7" s="1"/>
  <c r="U74" i="1"/>
  <c r="Q74" i="1"/>
  <c r="Z74" i="1"/>
  <c r="AA74" i="1"/>
  <c r="P74" i="1"/>
  <c r="G75" i="1"/>
  <c r="C74" i="1"/>
  <c r="R74" i="1" s="1"/>
  <c r="M74" i="1"/>
  <c r="X74" i="1" s="1"/>
  <c r="L74" i="1"/>
  <c r="W74" i="1" s="1"/>
  <c r="T74" i="1"/>
  <c r="O74" i="1"/>
  <c r="D74" i="1"/>
  <c r="S74" i="1" s="1"/>
  <c r="C73" i="18"/>
  <c r="D73" i="18"/>
  <c r="D71" i="17"/>
  <c r="C71" i="17"/>
  <c r="D72" i="16"/>
  <c r="C72" i="16"/>
  <c r="R72" i="16" s="1"/>
  <c r="D71" i="15"/>
  <c r="S71" i="15" s="1"/>
  <c r="C71" i="15"/>
  <c r="R71" i="15" s="1"/>
  <c r="AA72" i="14"/>
  <c r="C72" i="14"/>
  <c r="R72" i="14" s="1"/>
  <c r="D72" i="14"/>
  <c r="S72" i="14" s="1"/>
  <c r="C71" i="13"/>
  <c r="R71" i="13" s="1"/>
  <c r="D71" i="13"/>
  <c r="D73" i="12"/>
  <c r="C73" i="12"/>
  <c r="D73" i="11"/>
  <c r="C73" i="11"/>
  <c r="C72" i="10"/>
  <c r="R72" i="10" s="1"/>
  <c r="D72" i="10"/>
  <c r="S72" i="10" s="1"/>
  <c r="C72" i="9"/>
  <c r="R72" i="9" s="1"/>
  <c r="D72" i="9"/>
  <c r="D73" i="8"/>
  <c r="C73" i="8"/>
  <c r="U73" i="6"/>
  <c r="D73" i="6"/>
  <c r="C73" i="6"/>
  <c r="D72" i="4"/>
  <c r="S72" i="4" s="1"/>
  <c r="C72" i="4"/>
  <c r="R72" i="4" s="1"/>
  <c r="O72" i="16"/>
  <c r="T73" i="6"/>
  <c r="P73" i="6"/>
  <c r="Q73" i="6"/>
  <c r="S72" i="16"/>
  <c r="G74" i="18"/>
  <c r="M73" i="18"/>
  <c r="X73" i="18" s="1"/>
  <c r="L73" i="18"/>
  <c r="W73" i="18" s="1"/>
  <c r="AJ76" i="18"/>
  <c r="E76" i="18" s="1"/>
  <c r="AH77" i="18"/>
  <c r="N75" i="18"/>
  <c r="S73" i="18"/>
  <c r="R73" i="18"/>
  <c r="AA73" i="18"/>
  <c r="Z73" i="18"/>
  <c r="H74" i="18"/>
  <c r="U73" i="18"/>
  <c r="Q73" i="18"/>
  <c r="P73" i="18"/>
  <c r="J74" i="18"/>
  <c r="T73" i="18"/>
  <c r="G72" i="17"/>
  <c r="M71" i="17"/>
  <c r="X71" i="17" s="1"/>
  <c r="L71" i="17"/>
  <c r="W71" i="17" s="1"/>
  <c r="S71" i="17"/>
  <c r="R71" i="17"/>
  <c r="AA71" i="17"/>
  <c r="Z71" i="17"/>
  <c r="H74" i="17"/>
  <c r="AJ77" i="17"/>
  <c r="E77" i="17" s="1"/>
  <c r="AH78" i="17"/>
  <c r="N76" i="17"/>
  <c r="O71" i="17"/>
  <c r="T71" i="17"/>
  <c r="U71" i="17"/>
  <c r="P71" i="17"/>
  <c r="Q71" i="17"/>
  <c r="J73" i="17"/>
  <c r="AJ75" i="16"/>
  <c r="E75" i="16" s="1"/>
  <c r="AH76" i="16"/>
  <c r="H74" i="15"/>
  <c r="N74" i="16"/>
  <c r="H74" i="16"/>
  <c r="AJ76" i="15"/>
  <c r="E76" i="15" s="1"/>
  <c r="AH77" i="15"/>
  <c r="AH77" i="14"/>
  <c r="AJ76" i="14"/>
  <c r="E76" i="14" s="1"/>
  <c r="L71" i="13"/>
  <c r="W71" i="13" s="1"/>
  <c r="G72" i="13"/>
  <c r="M71" i="13"/>
  <c r="X71" i="13" s="1"/>
  <c r="P71" i="13"/>
  <c r="T71" i="13"/>
  <c r="Q71" i="13"/>
  <c r="U71" i="13"/>
  <c r="Z71" i="13"/>
  <c r="S71" i="13"/>
  <c r="AA71" i="13"/>
  <c r="O71" i="13"/>
  <c r="N75" i="15"/>
  <c r="G72" i="15"/>
  <c r="M71" i="15"/>
  <c r="X71" i="15" s="1"/>
  <c r="L71" i="15"/>
  <c r="W71" i="15" s="1"/>
  <c r="O71" i="15"/>
  <c r="Q71" i="15"/>
  <c r="P71" i="15"/>
  <c r="U71" i="15"/>
  <c r="Z71" i="15"/>
  <c r="T71" i="15"/>
  <c r="AA71" i="15"/>
  <c r="N75" i="14"/>
  <c r="M72" i="14"/>
  <c r="X72" i="14" s="1"/>
  <c r="G73" i="14"/>
  <c r="AA73" i="14" s="1"/>
  <c r="L72" i="14"/>
  <c r="W72" i="14" s="1"/>
  <c r="G73" i="16"/>
  <c r="M72" i="16"/>
  <c r="X72" i="16" s="1"/>
  <c r="L72" i="16"/>
  <c r="W72" i="16" s="1"/>
  <c r="J73" i="14"/>
  <c r="Q72" i="14"/>
  <c r="P72" i="14"/>
  <c r="U72" i="14"/>
  <c r="T72" i="14"/>
  <c r="O72" i="14"/>
  <c r="H74" i="13"/>
  <c r="AJ77" i="13"/>
  <c r="E77" i="13" s="1"/>
  <c r="AH78" i="13"/>
  <c r="H74" i="14"/>
  <c r="J74" i="15"/>
  <c r="Q72" i="16"/>
  <c r="P72" i="16"/>
  <c r="J73" i="16"/>
  <c r="U72" i="16"/>
  <c r="T72" i="16"/>
  <c r="N76" i="13"/>
  <c r="Z72" i="14"/>
  <c r="Z72" i="16"/>
  <c r="AA72" i="16"/>
  <c r="J75" i="13"/>
  <c r="AA72" i="10"/>
  <c r="Z72" i="10"/>
  <c r="H73" i="10"/>
  <c r="M73" i="11"/>
  <c r="X73" i="11" s="1"/>
  <c r="L73" i="11"/>
  <c r="W73" i="11" s="1"/>
  <c r="G74" i="11"/>
  <c r="O74" i="11" s="1"/>
  <c r="S73" i="11"/>
  <c r="R73" i="11"/>
  <c r="AA73" i="11"/>
  <c r="Z73" i="11"/>
  <c r="H74" i="11"/>
  <c r="P73" i="11"/>
  <c r="Q73" i="11"/>
  <c r="U73" i="11"/>
  <c r="T73" i="11"/>
  <c r="N75" i="9"/>
  <c r="Q72" i="12"/>
  <c r="P72" i="12"/>
  <c r="J73" i="12"/>
  <c r="U72" i="12"/>
  <c r="T72" i="12"/>
  <c r="O72" i="12"/>
  <c r="J73" i="10"/>
  <c r="U72" i="10"/>
  <c r="Q72" i="10"/>
  <c r="P72" i="10"/>
  <c r="T72" i="10"/>
  <c r="O72" i="10"/>
  <c r="R72" i="12"/>
  <c r="N75" i="10"/>
  <c r="M72" i="10"/>
  <c r="X72" i="10" s="1"/>
  <c r="L72" i="10"/>
  <c r="W72" i="10" s="1"/>
  <c r="G73" i="10"/>
  <c r="N75" i="12"/>
  <c r="S72" i="12"/>
  <c r="AA73" i="12"/>
  <c r="Z73" i="12"/>
  <c r="H74" i="12"/>
  <c r="L72" i="12"/>
  <c r="W72" i="12" s="1"/>
  <c r="H75" i="9"/>
  <c r="N75" i="11"/>
  <c r="Q72" i="9"/>
  <c r="P72" i="9"/>
  <c r="J73" i="9"/>
  <c r="U72" i="9"/>
  <c r="T72" i="9"/>
  <c r="O72" i="9"/>
  <c r="AJ76" i="12"/>
  <c r="E76" i="12" s="1"/>
  <c r="AH77" i="12"/>
  <c r="J76" i="11"/>
  <c r="AJ76" i="11"/>
  <c r="E76" i="11" s="1"/>
  <c r="AH77" i="11"/>
  <c r="M72" i="9"/>
  <c r="X72" i="9" s="1"/>
  <c r="L72" i="9"/>
  <c r="W72" i="9" s="1"/>
  <c r="G73" i="9"/>
  <c r="S72" i="9"/>
  <c r="AA72" i="9"/>
  <c r="Z72" i="9"/>
  <c r="AJ76" i="9"/>
  <c r="E76" i="9" s="1"/>
  <c r="AH77" i="9"/>
  <c r="AJ76" i="10"/>
  <c r="E76" i="10" s="1"/>
  <c r="AH77" i="10"/>
  <c r="G74" i="12"/>
  <c r="M73" i="12"/>
  <c r="X73" i="12" s="1"/>
  <c r="L73" i="12"/>
  <c r="W73" i="12" s="1"/>
  <c r="O73" i="11"/>
  <c r="N76" i="8"/>
  <c r="S73" i="8"/>
  <c r="R73" i="8"/>
  <c r="AA73" i="8"/>
  <c r="Z73" i="8"/>
  <c r="H74" i="8"/>
  <c r="G74" i="8"/>
  <c r="M73" i="8"/>
  <c r="X73" i="8" s="1"/>
  <c r="L73" i="8"/>
  <c r="W73" i="8" s="1"/>
  <c r="AJ77" i="8"/>
  <c r="E77" i="8" s="1"/>
  <c r="AH78" i="8"/>
  <c r="Q73" i="8"/>
  <c r="P73" i="8"/>
  <c r="J74" i="8"/>
  <c r="U73" i="8"/>
  <c r="T73" i="8"/>
  <c r="O73" i="8"/>
  <c r="AJ77" i="7"/>
  <c r="E77" i="7" s="1"/>
  <c r="AH78" i="7"/>
  <c r="N76" i="7"/>
  <c r="J75" i="7"/>
  <c r="H75" i="7"/>
  <c r="J75" i="6"/>
  <c r="G74" i="6"/>
  <c r="M73" i="6"/>
  <c r="X73" i="6" s="1"/>
  <c r="L73" i="6"/>
  <c r="W73" i="6" s="1"/>
  <c r="N75" i="6"/>
  <c r="AJ76" i="6"/>
  <c r="E76" i="6" s="1"/>
  <c r="AH77" i="6"/>
  <c r="S73" i="6"/>
  <c r="R73" i="6"/>
  <c r="AA73" i="6"/>
  <c r="Z73" i="6"/>
  <c r="H74" i="6"/>
  <c r="Q72" i="4"/>
  <c r="G73" i="4"/>
  <c r="P72" i="4"/>
  <c r="M72" i="4"/>
  <c r="X72" i="4" s="1"/>
  <c r="AA72" i="4"/>
  <c r="Z72" i="4"/>
  <c r="U72" i="4"/>
  <c r="T72" i="4"/>
  <c r="O72" i="4"/>
  <c r="N75" i="4"/>
  <c r="J76" i="4"/>
  <c r="H74" i="4"/>
  <c r="AJ76" i="4"/>
  <c r="E76" i="4" s="1"/>
  <c r="AH77" i="4"/>
  <c r="D77" i="28" l="1"/>
  <c r="C77" i="28"/>
  <c r="H78" i="28"/>
  <c r="AH80" i="28"/>
  <c r="AJ79" i="28"/>
  <c r="E79" i="28" s="1"/>
  <c r="N79" i="28" s="1"/>
  <c r="J76" i="28"/>
  <c r="L75" i="28"/>
  <c r="AJ79" i="24"/>
  <c r="E79" i="24" s="1"/>
  <c r="N79" i="24" s="1"/>
  <c r="AH80" i="24"/>
  <c r="H79" i="25"/>
  <c r="C78" i="25"/>
  <c r="D78" i="25"/>
  <c r="D76" i="24"/>
  <c r="C76" i="24"/>
  <c r="H77" i="24"/>
  <c r="L75" i="24"/>
  <c r="J76" i="24"/>
  <c r="AH79" i="25"/>
  <c r="AJ78" i="25"/>
  <c r="E78" i="25" s="1"/>
  <c r="N78" i="25" s="1"/>
  <c r="J77" i="25"/>
  <c r="L76" i="25"/>
  <c r="D76" i="27"/>
  <c r="C76" i="27"/>
  <c r="H77" i="27"/>
  <c r="D76" i="26"/>
  <c r="C76" i="26"/>
  <c r="H77" i="26"/>
  <c r="AH81" i="27"/>
  <c r="AJ80" i="27"/>
  <c r="E80" i="27" s="1"/>
  <c r="N80" i="27" s="1"/>
  <c r="L76" i="27"/>
  <c r="AJ78" i="26"/>
  <c r="E78" i="26" s="1"/>
  <c r="N78" i="26" s="1"/>
  <c r="AH79" i="26"/>
  <c r="J78" i="27"/>
  <c r="J76" i="26"/>
  <c r="L75" i="26"/>
  <c r="D75" i="23"/>
  <c r="C75" i="23"/>
  <c r="H76" i="23"/>
  <c r="AJ79" i="22"/>
  <c r="E79" i="22" s="1"/>
  <c r="N79" i="22" s="1"/>
  <c r="AH80" i="22"/>
  <c r="H78" i="22"/>
  <c r="D77" i="22"/>
  <c r="C77" i="22"/>
  <c r="AH80" i="23"/>
  <c r="AJ79" i="23"/>
  <c r="E79" i="23" s="1"/>
  <c r="N79" i="23" s="1"/>
  <c r="J76" i="23"/>
  <c r="L75" i="23"/>
  <c r="J76" i="22"/>
  <c r="L75" i="22"/>
  <c r="D76" i="21"/>
  <c r="C76" i="21"/>
  <c r="H77" i="21"/>
  <c r="AH80" i="21"/>
  <c r="AJ79" i="21"/>
  <c r="E79" i="21" s="1"/>
  <c r="N79" i="21" s="1"/>
  <c r="J76" i="21"/>
  <c r="L75" i="21"/>
  <c r="AH80" i="20"/>
  <c r="AJ79" i="20"/>
  <c r="E79" i="20" s="1"/>
  <c r="N79" i="20" s="1"/>
  <c r="M74" i="20"/>
  <c r="X74" i="20" s="1"/>
  <c r="L74" i="20"/>
  <c r="W74" i="20" s="1"/>
  <c r="Z74" i="20"/>
  <c r="D74" i="20"/>
  <c r="S74" i="20" s="1"/>
  <c r="C74" i="20"/>
  <c r="R74" i="20" s="1"/>
  <c r="AA74" i="20"/>
  <c r="D77" i="20"/>
  <c r="H78" i="20"/>
  <c r="C77" i="20"/>
  <c r="T74" i="20"/>
  <c r="U74" i="20"/>
  <c r="J76" i="20"/>
  <c r="L75" i="20"/>
  <c r="P74" i="20"/>
  <c r="Q74" i="20"/>
  <c r="O73" i="19"/>
  <c r="Q73" i="19"/>
  <c r="U73" i="19"/>
  <c r="Z73" i="19"/>
  <c r="AA73" i="19"/>
  <c r="C73" i="19"/>
  <c r="R73" i="19" s="1"/>
  <c r="H75" i="19"/>
  <c r="G74" i="19"/>
  <c r="U74" i="19" s="1"/>
  <c r="M73" i="19"/>
  <c r="X73" i="19" s="1"/>
  <c r="L73" i="19"/>
  <c r="W73" i="19" s="1"/>
  <c r="T73" i="19"/>
  <c r="N79" i="19"/>
  <c r="J75" i="19"/>
  <c r="AJ80" i="19"/>
  <c r="E80" i="19" s="1"/>
  <c r="AH81" i="19"/>
  <c r="P73" i="19"/>
  <c r="AA72" i="7"/>
  <c r="O72" i="7"/>
  <c r="U72" i="7"/>
  <c r="T72" i="7"/>
  <c r="D72" i="7"/>
  <c r="S72" i="7" s="1"/>
  <c r="G73" i="7"/>
  <c r="C72" i="7"/>
  <c r="R72" i="7" s="1"/>
  <c r="M72" i="7"/>
  <c r="X72" i="7" s="1"/>
  <c r="L72" i="7"/>
  <c r="W72" i="7" s="1"/>
  <c r="P72" i="7"/>
  <c r="Q72" i="7"/>
  <c r="Z72" i="7"/>
  <c r="G76" i="1"/>
  <c r="M75" i="1"/>
  <c r="X75" i="1" s="1"/>
  <c r="L75" i="1"/>
  <c r="W75" i="1" s="1"/>
  <c r="C75" i="1"/>
  <c r="R75" i="1" s="1"/>
  <c r="T75" i="1"/>
  <c r="O75" i="1"/>
  <c r="D75" i="1"/>
  <c r="S75" i="1" s="1"/>
  <c r="U75" i="1"/>
  <c r="Z75" i="1"/>
  <c r="Q75" i="1"/>
  <c r="AA75" i="1"/>
  <c r="P75" i="1"/>
  <c r="D74" i="18"/>
  <c r="C74" i="18"/>
  <c r="Q72" i="17"/>
  <c r="D72" i="17"/>
  <c r="C72" i="17"/>
  <c r="D73" i="16"/>
  <c r="S73" i="16" s="1"/>
  <c r="C73" i="16"/>
  <c r="R73" i="16" s="1"/>
  <c r="D72" i="15"/>
  <c r="S72" i="15" s="1"/>
  <c r="C72" i="15"/>
  <c r="R72" i="15" s="1"/>
  <c r="Z73" i="14"/>
  <c r="D73" i="14"/>
  <c r="S73" i="14" s="1"/>
  <c r="C73" i="14"/>
  <c r="R73" i="14" s="1"/>
  <c r="D72" i="13"/>
  <c r="C72" i="13"/>
  <c r="D74" i="12"/>
  <c r="C74" i="12"/>
  <c r="D74" i="11"/>
  <c r="C74" i="11"/>
  <c r="D73" i="10"/>
  <c r="C73" i="10"/>
  <c r="D73" i="9"/>
  <c r="C73" i="9"/>
  <c r="D74" i="8"/>
  <c r="S74" i="8" s="1"/>
  <c r="C74" i="8"/>
  <c r="O74" i="6"/>
  <c r="D74" i="6"/>
  <c r="C74" i="6"/>
  <c r="D73" i="4"/>
  <c r="S73" i="4" s="1"/>
  <c r="C73" i="4"/>
  <c r="R73" i="4" s="1"/>
  <c r="O72" i="17"/>
  <c r="T72" i="17"/>
  <c r="U72" i="17"/>
  <c r="P72" i="17"/>
  <c r="O73" i="16"/>
  <c r="U74" i="6"/>
  <c r="R73" i="12"/>
  <c r="S73" i="12"/>
  <c r="AJ77" i="18"/>
  <c r="E77" i="18" s="1"/>
  <c r="AH78" i="18"/>
  <c r="Q74" i="18"/>
  <c r="P74" i="18"/>
  <c r="J75" i="18"/>
  <c r="U74" i="18"/>
  <c r="T74" i="18"/>
  <c r="N76" i="18"/>
  <c r="O74" i="18"/>
  <c r="S74" i="18"/>
  <c r="R74" i="18"/>
  <c r="AA74" i="18"/>
  <c r="Z74" i="18"/>
  <c r="H75" i="18"/>
  <c r="M74" i="18"/>
  <c r="X74" i="18" s="1"/>
  <c r="L74" i="18"/>
  <c r="W74" i="18" s="1"/>
  <c r="G75" i="18"/>
  <c r="H75" i="17"/>
  <c r="AJ78" i="17"/>
  <c r="E78" i="17" s="1"/>
  <c r="AH79" i="17"/>
  <c r="Q73" i="17"/>
  <c r="J74" i="17"/>
  <c r="N77" i="17"/>
  <c r="G73" i="17"/>
  <c r="U73" i="17" s="1"/>
  <c r="M72" i="17"/>
  <c r="X72" i="17" s="1"/>
  <c r="L72" i="17"/>
  <c r="W72" i="17" s="1"/>
  <c r="S72" i="17"/>
  <c r="R72" i="17"/>
  <c r="AA72" i="17"/>
  <c r="Z72" i="17"/>
  <c r="T74" i="6"/>
  <c r="G73" i="15"/>
  <c r="M72" i="15"/>
  <c r="X72" i="15" s="1"/>
  <c r="L72" i="15"/>
  <c r="W72" i="15" s="1"/>
  <c r="Q72" i="15"/>
  <c r="O72" i="15"/>
  <c r="AA72" i="15"/>
  <c r="P72" i="15"/>
  <c r="Z72" i="15"/>
  <c r="U72" i="15"/>
  <c r="T72" i="15"/>
  <c r="AJ78" i="13"/>
  <c r="E78" i="13" s="1"/>
  <c r="AH79" i="13"/>
  <c r="G73" i="13"/>
  <c r="M72" i="13"/>
  <c r="X72" i="13" s="1"/>
  <c r="L72" i="13"/>
  <c r="W72" i="13" s="1"/>
  <c r="U72" i="13"/>
  <c r="Q72" i="13"/>
  <c r="T72" i="13"/>
  <c r="P72" i="13"/>
  <c r="R72" i="13"/>
  <c r="O72" i="13"/>
  <c r="AA72" i="13"/>
  <c r="Z72" i="13"/>
  <c r="S72" i="13"/>
  <c r="N77" i="13"/>
  <c r="Q73" i="14"/>
  <c r="P73" i="14"/>
  <c r="J74" i="14"/>
  <c r="U73" i="14"/>
  <c r="T73" i="14"/>
  <c r="O73" i="14"/>
  <c r="J75" i="15"/>
  <c r="N76" i="14"/>
  <c r="AJ77" i="14"/>
  <c r="E77" i="14" s="1"/>
  <c r="AH78" i="14"/>
  <c r="H75" i="15"/>
  <c r="G74" i="16"/>
  <c r="M73" i="16"/>
  <c r="X73" i="16" s="1"/>
  <c r="L73" i="16"/>
  <c r="W73" i="16" s="1"/>
  <c r="AJ77" i="15"/>
  <c r="E77" i="15" s="1"/>
  <c r="AH78" i="15"/>
  <c r="N76" i="15"/>
  <c r="H75" i="13"/>
  <c r="M73" i="14"/>
  <c r="X73" i="14" s="1"/>
  <c r="L73" i="14"/>
  <c r="W73" i="14" s="1"/>
  <c r="G74" i="14"/>
  <c r="H75" i="16"/>
  <c r="Z73" i="16"/>
  <c r="AJ76" i="16"/>
  <c r="E76" i="16" s="1"/>
  <c r="AH77" i="16"/>
  <c r="U73" i="16"/>
  <c r="Q73" i="16"/>
  <c r="P73" i="16"/>
  <c r="J74" i="16"/>
  <c r="T73" i="16"/>
  <c r="J76" i="13"/>
  <c r="Z74" i="14"/>
  <c r="H75" i="14"/>
  <c r="AA73" i="16"/>
  <c r="N75" i="16"/>
  <c r="M74" i="12"/>
  <c r="X74" i="12" s="1"/>
  <c r="G75" i="12"/>
  <c r="Q73" i="9"/>
  <c r="P73" i="9"/>
  <c r="J74" i="9"/>
  <c r="U73" i="9"/>
  <c r="T73" i="9"/>
  <c r="O73" i="9"/>
  <c r="AJ77" i="11"/>
  <c r="E77" i="11" s="1"/>
  <c r="AH78" i="11"/>
  <c r="AH78" i="10"/>
  <c r="AJ77" i="10"/>
  <c r="E77" i="10" s="1"/>
  <c r="N76" i="11"/>
  <c r="M74" i="11"/>
  <c r="X74" i="11" s="1"/>
  <c r="L74" i="11"/>
  <c r="W74" i="11" s="1"/>
  <c r="G75" i="11"/>
  <c r="AA74" i="12"/>
  <c r="Z74" i="12"/>
  <c r="H75" i="12"/>
  <c r="AJ77" i="9"/>
  <c r="E77" i="9" s="1"/>
  <c r="AH78" i="9"/>
  <c r="N76" i="9"/>
  <c r="J77" i="11"/>
  <c r="H76" i="9"/>
  <c r="J74" i="10"/>
  <c r="U73" i="10"/>
  <c r="Q73" i="10"/>
  <c r="P73" i="10"/>
  <c r="T73" i="10"/>
  <c r="O73" i="10"/>
  <c r="AJ77" i="12"/>
  <c r="E77" i="12" s="1"/>
  <c r="AH78" i="12"/>
  <c r="L73" i="10"/>
  <c r="W73" i="10" s="1"/>
  <c r="G74" i="10"/>
  <c r="M73" i="10"/>
  <c r="X73" i="10" s="1"/>
  <c r="R74" i="11"/>
  <c r="AA74" i="11"/>
  <c r="Z74" i="11"/>
  <c r="H75" i="11"/>
  <c r="O75" i="11" s="1"/>
  <c r="S74" i="11"/>
  <c r="P74" i="11"/>
  <c r="Q74" i="11"/>
  <c r="U74" i="11"/>
  <c r="T74" i="11"/>
  <c r="Z73" i="10"/>
  <c r="H74" i="10"/>
  <c r="S73" i="10"/>
  <c r="R73" i="10"/>
  <c r="AA73" i="10"/>
  <c r="N76" i="10"/>
  <c r="N76" i="12"/>
  <c r="M73" i="9"/>
  <c r="X73" i="9" s="1"/>
  <c r="L73" i="9"/>
  <c r="W73" i="9" s="1"/>
  <c r="G74" i="9"/>
  <c r="R73" i="9"/>
  <c r="S73" i="9"/>
  <c r="AA73" i="9"/>
  <c r="Z73" i="9"/>
  <c r="U73" i="12"/>
  <c r="Q73" i="12"/>
  <c r="P73" i="12"/>
  <c r="J74" i="12"/>
  <c r="T73" i="12"/>
  <c r="O73" i="12"/>
  <c r="M74" i="8"/>
  <c r="X74" i="8" s="1"/>
  <c r="L74" i="8"/>
  <c r="W74" i="8" s="1"/>
  <c r="G75" i="8"/>
  <c r="AJ78" i="8"/>
  <c r="E78" i="8" s="1"/>
  <c r="AH79" i="8"/>
  <c r="Q74" i="8"/>
  <c r="P74" i="8"/>
  <c r="J75" i="8"/>
  <c r="U74" i="8"/>
  <c r="T74" i="8"/>
  <c r="O74" i="8"/>
  <c r="N77" i="8"/>
  <c r="R74" i="8"/>
  <c r="AA74" i="8"/>
  <c r="Z74" i="8"/>
  <c r="H75" i="8"/>
  <c r="J76" i="7"/>
  <c r="H76" i="7"/>
  <c r="AJ78" i="7"/>
  <c r="E78" i="7" s="1"/>
  <c r="AH79" i="7"/>
  <c r="N77" i="7"/>
  <c r="N76" i="6"/>
  <c r="M74" i="6"/>
  <c r="X74" i="6" s="1"/>
  <c r="L74" i="6"/>
  <c r="W74" i="6" s="1"/>
  <c r="G75" i="6"/>
  <c r="S74" i="6"/>
  <c r="R74" i="6"/>
  <c r="AA74" i="6"/>
  <c r="Z74" i="6"/>
  <c r="H75" i="6"/>
  <c r="J76" i="6"/>
  <c r="P74" i="6"/>
  <c r="AJ77" i="6"/>
  <c r="E77" i="6" s="1"/>
  <c r="AH78" i="6"/>
  <c r="Q74" i="6"/>
  <c r="L73" i="4"/>
  <c r="W73" i="4" s="1"/>
  <c r="N76" i="4"/>
  <c r="M73" i="4"/>
  <c r="X73" i="4" s="1"/>
  <c r="G74" i="4"/>
  <c r="AA73" i="4"/>
  <c r="Z73" i="4"/>
  <c r="P73" i="4"/>
  <c r="U73" i="4"/>
  <c r="Q73" i="4"/>
  <c r="T73" i="4"/>
  <c r="O73" i="4"/>
  <c r="AJ77" i="4"/>
  <c r="E77" i="4" s="1"/>
  <c r="AH78" i="4"/>
  <c r="H75" i="4"/>
  <c r="J77" i="4"/>
  <c r="J77" i="28" l="1"/>
  <c r="L76" i="28"/>
  <c r="AJ80" i="28"/>
  <c r="E80" i="28" s="1"/>
  <c r="N80" i="28" s="1"/>
  <c r="AH81" i="28"/>
  <c r="C78" i="28"/>
  <c r="H79" i="28"/>
  <c r="D78" i="28"/>
  <c r="AH80" i="25"/>
  <c r="AJ79" i="25"/>
  <c r="E79" i="25" s="1"/>
  <c r="N79" i="25" s="1"/>
  <c r="J77" i="24"/>
  <c r="L76" i="24"/>
  <c r="AJ81" i="27"/>
  <c r="E81" i="27" s="1"/>
  <c r="N81" i="27" s="1"/>
  <c r="AH82" i="27"/>
  <c r="D77" i="26"/>
  <c r="C77" i="26"/>
  <c r="H78" i="26"/>
  <c r="D77" i="24"/>
  <c r="C77" i="24"/>
  <c r="H78" i="24"/>
  <c r="D77" i="27"/>
  <c r="C77" i="27"/>
  <c r="H78" i="27"/>
  <c r="L78" i="27" s="1"/>
  <c r="L76" i="26"/>
  <c r="J77" i="26"/>
  <c r="J79" i="27"/>
  <c r="H80" i="25"/>
  <c r="D79" i="25"/>
  <c r="C79" i="25"/>
  <c r="L77" i="27"/>
  <c r="AJ80" i="24"/>
  <c r="E80" i="24" s="1"/>
  <c r="N80" i="24" s="1"/>
  <c r="AH81" i="24"/>
  <c r="AJ79" i="26"/>
  <c r="E79" i="26" s="1"/>
  <c r="N79" i="26" s="1"/>
  <c r="AH80" i="26"/>
  <c r="J78" i="25"/>
  <c r="L77" i="25"/>
  <c r="J77" i="23"/>
  <c r="L76" i="23"/>
  <c r="AJ80" i="23"/>
  <c r="E80" i="23" s="1"/>
  <c r="N80" i="23" s="1"/>
  <c r="AH81" i="23"/>
  <c r="H79" i="22"/>
  <c r="D78" i="22"/>
  <c r="C78" i="22"/>
  <c r="AJ80" i="22"/>
  <c r="E80" i="22" s="1"/>
  <c r="N80" i="22" s="1"/>
  <c r="AH81" i="22"/>
  <c r="D76" i="23"/>
  <c r="C76" i="23"/>
  <c r="H77" i="23"/>
  <c r="J77" i="22"/>
  <c r="L76" i="22"/>
  <c r="J77" i="21"/>
  <c r="L76" i="21"/>
  <c r="AJ80" i="21"/>
  <c r="E80" i="21" s="1"/>
  <c r="N80" i="21" s="1"/>
  <c r="AH81" i="21"/>
  <c r="D77" i="21"/>
  <c r="C77" i="21"/>
  <c r="H78" i="21"/>
  <c r="C78" i="20"/>
  <c r="H79" i="20"/>
  <c r="D78" i="20"/>
  <c r="J77" i="20"/>
  <c r="L76" i="20"/>
  <c r="AJ80" i="20"/>
  <c r="E80" i="20" s="1"/>
  <c r="N80" i="20" s="1"/>
  <c r="AH81" i="20"/>
  <c r="O74" i="19"/>
  <c r="T74" i="19"/>
  <c r="AH82" i="19"/>
  <c r="AJ81" i="19"/>
  <c r="E81" i="19" s="1"/>
  <c r="N80" i="19"/>
  <c r="M74" i="19"/>
  <c r="X74" i="19" s="1"/>
  <c r="L74" i="19"/>
  <c r="W74" i="19" s="1"/>
  <c r="G75" i="19"/>
  <c r="P75" i="19" s="1"/>
  <c r="D74" i="19"/>
  <c r="S74" i="19" s="1"/>
  <c r="H76" i="19"/>
  <c r="J76" i="19"/>
  <c r="Z74" i="19"/>
  <c r="Q74" i="19"/>
  <c r="AA74" i="19"/>
  <c r="P74" i="19"/>
  <c r="C74" i="19"/>
  <c r="R74" i="19" s="1"/>
  <c r="AA73" i="7"/>
  <c r="Q73" i="7"/>
  <c r="U73" i="7"/>
  <c r="T73" i="7"/>
  <c r="P73" i="7"/>
  <c r="O73" i="7"/>
  <c r="Z73" i="7"/>
  <c r="G74" i="7"/>
  <c r="M73" i="7"/>
  <c r="X73" i="7" s="1"/>
  <c r="L73" i="7"/>
  <c r="W73" i="7" s="1"/>
  <c r="D73" i="7"/>
  <c r="S73" i="7" s="1"/>
  <c r="C73" i="7"/>
  <c r="R73" i="7" s="1"/>
  <c r="M76" i="1"/>
  <c r="X76" i="1" s="1"/>
  <c r="C76" i="1"/>
  <c r="R76" i="1" s="1"/>
  <c r="L76" i="1"/>
  <c r="W76" i="1" s="1"/>
  <c r="T76" i="1"/>
  <c r="O76" i="1"/>
  <c r="G77" i="1"/>
  <c r="D76" i="1"/>
  <c r="S76" i="1" s="1"/>
  <c r="AA76" i="1"/>
  <c r="U76" i="1"/>
  <c r="Q76" i="1"/>
  <c r="Z76" i="1"/>
  <c r="P76" i="1"/>
  <c r="D75" i="18"/>
  <c r="C75" i="18"/>
  <c r="P73" i="17"/>
  <c r="C73" i="17"/>
  <c r="D73" i="17"/>
  <c r="D74" i="16"/>
  <c r="C74" i="16"/>
  <c r="R74" i="16" s="1"/>
  <c r="D73" i="15"/>
  <c r="S73" i="15" s="1"/>
  <c r="C73" i="15"/>
  <c r="R73" i="15" s="1"/>
  <c r="AA74" i="14"/>
  <c r="C74" i="14"/>
  <c r="R74" i="14" s="1"/>
  <c r="D74" i="14"/>
  <c r="S74" i="14" s="1"/>
  <c r="D73" i="13"/>
  <c r="C73" i="13"/>
  <c r="D75" i="12"/>
  <c r="C75" i="12"/>
  <c r="C75" i="11"/>
  <c r="D75" i="11"/>
  <c r="D74" i="10"/>
  <c r="C74" i="10"/>
  <c r="D74" i="9"/>
  <c r="C74" i="9"/>
  <c r="D75" i="8"/>
  <c r="S75" i="8" s="1"/>
  <c r="C75" i="8"/>
  <c r="D75" i="6"/>
  <c r="C75" i="6"/>
  <c r="C74" i="4"/>
  <c r="D74" i="4"/>
  <c r="S74" i="4" s="1"/>
  <c r="AA74" i="16"/>
  <c r="S74" i="16"/>
  <c r="M75" i="18"/>
  <c r="X75" i="18" s="1"/>
  <c r="L75" i="18"/>
  <c r="W75" i="18" s="1"/>
  <c r="G76" i="18"/>
  <c r="Q75" i="18"/>
  <c r="P75" i="18"/>
  <c r="J76" i="18"/>
  <c r="U75" i="18"/>
  <c r="T75" i="18"/>
  <c r="S75" i="18"/>
  <c r="R75" i="18"/>
  <c r="AA75" i="18"/>
  <c r="Z75" i="18"/>
  <c r="H76" i="18"/>
  <c r="AJ78" i="18"/>
  <c r="E78" i="18" s="1"/>
  <c r="AH79" i="18"/>
  <c r="N77" i="18"/>
  <c r="O75" i="18"/>
  <c r="J75" i="17"/>
  <c r="AH80" i="17"/>
  <c r="AJ79" i="17"/>
  <c r="E79" i="17" s="1"/>
  <c r="N78" i="17"/>
  <c r="G74" i="17"/>
  <c r="M73" i="17"/>
  <c r="X73" i="17" s="1"/>
  <c r="L73" i="17"/>
  <c r="W73" i="17" s="1"/>
  <c r="S73" i="17"/>
  <c r="R73" i="17"/>
  <c r="AA73" i="17"/>
  <c r="Z73" i="17"/>
  <c r="H76" i="17"/>
  <c r="O73" i="17"/>
  <c r="T73" i="17"/>
  <c r="L74" i="14"/>
  <c r="W74" i="14" s="1"/>
  <c r="G75" i="14"/>
  <c r="M74" i="14"/>
  <c r="X74" i="14" s="1"/>
  <c r="N77" i="14"/>
  <c r="J75" i="14"/>
  <c r="U74" i="14"/>
  <c r="Q74" i="14"/>
  <c r="P74" i="14"/>
  <c r="T74" i="14"/>
  <c r="O74" i="14"/>
  <c r="Q74" i="16"/>
  <c r="P74" i="16"/>
  <c r="J75" i="16"/>
  <c r="U74" i="16"/>
  <c r="T74" i="16"/>
  <c r="H76" i="14"/>
  <c r="AA75" i="14"/>
  <c r="Z75" i="14"/>
  <c r="AJ78" i="15"/>
  <c r="E78" i="15" s="1"/>
  <c r="AH79" i="15"/>
  <c r="N77" i="15"/>
  <c r="AJ77" i="16"/>
  <c r="E77" i="16" s="1"/>
  <c r="AH78" i="16"/>
  <c r="N76" i="16"/>
  <c r="H76" i="13"/>
  <c r="AJ78" i="14"/>
  <c r="E78" i="14" s="1"/>
  <c r="AH79" i="14"/>
  <c r="M74" i="16"/>
  <c r="X74" i="16" s="1"/>
  <c r="L74" i="16"/>
  <c r="W74" i="16" s="1"/>
  <c r="G75" i="16"/>
  <c r="J76" i="15"/>
  <c r="H76" i="15"/>
  <c r="O74" i="16"/>
  <c r="G74" i="13"/>
  <c r="M73" i="13"/>
  <c r="X73" i="13" s="1"/>
  <c r="L73" i="13"/>
  <c r="W73" i="13" s="1"/>
  <c r="U73" i="13"/>
  <c r="T73" i="13"/>
  <c r="Q73" i="13"/>
  <c r="P73" i="13"/>
  <c r="S73" i="13"/>
  <c r="R73" i="13"/>
  <c r="AA73" i="13"/>
  <c r="Z73" i="13"/>
  <c r="O73" i="13"/>
  <c r="J77" i="13"/>
  <c r="H76" i="16"/>
  <c r="AJ79" i="13"/>
  <c r="E79" i="13" s="1"/>
  <c r="AH80" i="13"/>
  <c r="Z74" i="16"/>
  <c r="N78" i="13"/>
  <c r="O75" i="16"/>
  <c r="G74" i="15"/>
  <c r="M73" i="15"/>
  <c r="X73" i="15" s="1"/>
  <c r="L73" i="15"/>
  <c r="W73" i="15" s="1"/>
  <c r="O73" i="15"/>
  <c r="Q73" i="15"/>
  <c r="AA73" i="15"/>
  <c r="U73" i="15"/>
  <c r="T73" i="15"/>
  <c r="Z73" i="15"/>
  <c r="P73" i="15"/>
  <c r="H77" i="9"/>
  <c r="AA75" i="12"/>
  <c r="Z75" i="12"/>
  <c r="H76" i="12"/>
  <c r="AJ78" i="10"/>
  <c r="E78" i="10" s="1"/>
  <c r="AH79" i="10"/>
  <c r="M74" i="9"/>
  <c r="X74" i="9" s="1"/>
  <c r="L74" i="9"/>
  <c r="W74" i="9" s="1"/>
  <c r="G75" i="9"/>
  <c r="R74" i="9"/>
  <c r="AA74" i="9"/>
  <c r="Z74" i="9"/>
  <c r="S74" i="9"/>
  <c r="AJ78" i="12"/>
  <c r="E78" i="12" s="1"/>
  <c r="AH79" i="12"/>
  <c r="AJ78" i="11"/>
  <c r="E78" i="11" s="1"/>
  <c r="AH79" i="11"/>
  <c r="N77" i="12"/>
  <c r="N77" i="11"/>
  <c r="R74" i="12"/>
  <c r="Q74" i="12"/>
  <c r="P74" i="12"/>
  <c r="J75" i="12"/>
  <c r="L75" i="12" s="1"/>
  <c r="W75" i="12" s="1"/>
  <c r="U74" i="12"/>
  <c r="T74" i="12"/>
  <c r="O74" i="12"/>
  <c r="S74" i="12"/>
  <c r="AA75" i="11"/>
  <c r="Z75" i="11"/>
  <c r="H76" i="11"/>
  <c r="S75" i="11"/>
  <c r="R75" i="11"/>
  <c r="U75" i="11"/>
  <c r="P75" i="11"/>
  <c r="T75" i="11"/>
  <c r="Q75" i="11"/>
  <c r="J78" i="11"/>
  <c r="M75" i="11"/>
  <c r="X75" i="11" s="1"/>
  <c r="L75" i="11"/>
  <c r="W75" i="11" s="1"/>
  <c r="G76" i="11"/>
  <c r="O76" i="11" s="1"/>
  <c r="P74" i="9"/>
  <c r="J75" i="9"/>
  <c r="Q74" i="9"/>
  <c r="U74" i="9"/>
  <c r="T74" i="9"/>
  <c r="O74" i="9"/>
  <c r="J75" i="10"/>
  <c r="Q74" i="10"/>
  <c r="P74" i="10"/>
  <c r="U74" i="10"/>
  <c r="T74" i="10"/>
  <c r="O74" i="10"/>
  <c r="M75" i="12"/>
  <c r="X75" i="12" s="1"/>
  <c r="G76" i="12"/>
  <c r="AJ78" i="9"/>
  <c r="E78" i="9" s="1"/>
  <c r="AH79" i="9"/>
  <c r="L74" i="12"/>
  <c r="W74" i="12" s="1"/>
  <c r="H75" i="10"/>
  <c r="S74" i="10"/>
  <c r="R74" i="10"/>
  <c r="AA74" i="10"/>
  <c r="Z74" i="10"/>
  <c r="G75" i="10"/>
  <c r="M74" i="10"/>
  <c r="X74" i="10" s="1"/>
  <c r="L74" i="10"/>
  <c r="W74" i="10" s="1"/>
  <c r="N77" i="9"/>
  <c r="N77" i="10"/>
  <c r="Q75" i="8"/>
  <c r="P75" i="8"/>
  <c r="J76" i="8"/>
  <c r="U75" i="8"/>
  <c r="T75" i="8"/>
  <c r="O75" i="8"/>
  <c r="R75" i="8"/>
  <c r="AA75" i="8"/>
  <c r="Z75" i="8"/>
  <c r="H76" i="8"/>
  <c r="AH80" i="8"/>
  <c r="AJ79" i="8"/>
  <c r="E79" i="8" s="1"/>
  <c r="N78" i="8"/>
  <c r="M75" i="8"/>
  <c r="X75" i="8" s="1"/>
  <c r="L75" i="8"/>
  <c r="W75" i="8" s="1"/>
  <c r="G76" i="8"/>
  <c r="J77" i="7"/>
  <c r="AH80" i="7"/>
  <c r="AJ79" i="7"/>
  <c r="E79" i="7" s="1"/>
  <c r="H77" i="7"/>
  <c r="N78" i="7"/>
  <c r="S75" i="6"/>
  <c r="R75" i="6"/>
  <c r="AA75" i="6"/>
  <c r="Z75" i="6"/>
  <c r="H76" i="6"/>
  <c r="T75" i="6"/>
  <c r="O75" i="6"/>
  <c r="N77" i="6"/>
  <c r="M75" i="6"/>
  <c r="X75" i="6" s="1"/>
  <c r="L75" i="6"/>
  <c r="W75" i="6" s="1"/>
  <c r="G76" i="6"/>
  <c r="O76" i="6" s="1"/>
  <c r="AJ78" i="6"/>
  <c r="E78" i="6" s="1"/>
  <c r="AH79" i="6"/>
  <c r="Q75" i="6"/>
  <c r="U75" i="6"/>
  <c r="J77" i="6"/>
  <c r="P75" i="6"/>
  <c r="L74" i="4"/>
  <c r="W74" i="4" s="1"/>
  <c r="R74" i="4"/>
  <c r="N77" i="4"/>
  <c r="M74" i="4"/>
  <c r="X74" i="4" s="1"/>
  <c r="AA74" i="4"/>
  <c r="Z74" i="4"/>
  <c r="Q74" i="4"/>
  <c r="G75" i="4"/>
  <c r="P74" i="4"/>
  <c r="U74" i="4"/>
  <c r="T74" i="4"/>
  <c r="O74" i="4"/>
  <c r="H76" i="4"/>
  <c r="J78" i="4"/>
  <c r="AJ78" i="4"/>
  <c r="E78" i="4" s="1"/>
  <c r="AH79" i="4"/>
  <c r="H80" i="28" l="1"/>
  <c r="D79" i="28"/>
  <c r="C79" i="28"/>
  <c r="AJ81" i="28"/>
  <c r="E81" i="28" s="1"/>
  <c r="N81" i="28" s="1"/>
  <c r="AH82" i="28"/>
  <c r="J78" i="28"/>
  <c r="L77" i="28"/>
  <c r="D78" i="24"/>
  <c r="C78" i="24"/>
  <c r="H79" i="24"/>
  <c r="D78" i="26"/>
  <c r="C78" i="26"/>
  <c r="H79" i="26"/>
  <c r="H81" i="25"/>
  <c r="C80" i="25"/>
  <c r="D80" i="25"/>
  <c r="J80" i="27"/>
  <c r="L79" i="27"/>
  <c r="AJ82" i="27"/>
  <c r="E82" i="27" s="1"/>
  <c r="N82" i="27" s="1"/>
  <c r="AH83" i="27"/>
  <c r="J78" i="26"/>
  <c r="L77" i="26"/>
  <c r="J79" i="25"/>
  <c r="L78" i="25"/>
  <c r="AJ80" i="26"/>
  <c r="E80" i="26" s="1"/>
  <c r="N80" i="26" s="1"/>
  <c r="AH81" i="26"/>
  <c r="C78" i="27"/>
  <c r="H79" i="27"/>
  <c r="D78" i="27"/>
  <c r="J78" i="24"/>
  <c r="L77" i="24"/>
  <c r="AH82" i="24"/>
  <c r="AJ81" i="24"/>
  <c r="E81" i="24" s="1"/>
  <c r="N81" i="24" s="1"/>
  <c r="AH81" i="25"/>
  <c r="AJ80" i="25"/>
  <c r="E80" i="25" s="1"/>
  <c r="N80" i="25" s="1"/>
  <c r="AJ81" i="22"/>
  <c r="E81" i="22" s="1"/>
  <c r="N81" i="22" s="1"/>
  <c r="AH82" i="22"/>
  <c r="H80" i="22"/>
  <c r="D79" i="22"/>
  <c r="C79" i="22"/>
  <c r="AJ81" i="23"/>
  <c r="E81" i="23" s="1"/>
  <c r="N81" i="23" s="1"/>
  <c r="AH82" i="23"/>
  <c r="D77" i="23"/>
  <c r="C77" i="23"/>
  <c r="H78" i="23"/>
  <c r="J78" i="22"/>
  <c r="L77" i="22"/>
  <c r="J78" i="23"/>
  <c r="L77" i="23"/>
  <c r="C78" i="21"/>
  <c r="H79" i="21"/>
  <c r="D78" i="21"/>
  <c r="AJ81" i="21"/>
  <c r="E81" i="21" s="1"/>
  <c r="N81" i="21" s="1"/>
  <c r="AH82" i="21"/>
  <c r="J78" i="21"/>
  <c r="L77" i="21"/>
  <c r="AJ81" i="20"/>
  <c r="E81" i="20" s="1"/>
  <c r="N81" i="20" s="1"/>
  <c r="AH82" i="20"/>
  <c r="J78" i="20"/>
  <c r="L77" i="20"/>
  <c r="H80" i="20"/>
  <c r="D79" i="20"/>
  <c r="C79" i="20"/>
  <c r="Z75" i="19"/>
  <c r="AA75" i="19"/>
  <c r="D75" i="19"/>
  <c r="S75" i="19" s="1"/>
  <c r="O75" i="19"/>
  <c r="T75" i="19"/>
  <c r="M75" i="19"/>
  <c r="X75" i="19" s="1"/>
  <c r="L75" i="19"/>
  <c r="W75" i="19" s="1"/>
  <c r="G76" i="19"/>
  <c r="U76" i="19" s="1"/>
  <c r="U75" i="19"/>
  <c r="Q76" i="19"/>
  <c r="P76" i="19"/>
  <c r="J77" i="19"/>
  <c r="Q75" i="19"/>
  <c r="N81" i="19"/>
  <c r="Z76" i="19"/>
  <c r="H77" i="19"/>
  <c r="AJ82" i="19"/>
  <c r="E82" i="19" s="1"/>
  <c r="AH83" i="19"/>
  <c r="C75" i="19"/>
  <c r="R75" i="19" s="1"/>
  <c r="AA74" i="7"/>
  <c r="O74" i="7"/>
  <c r="M74" i="7"/>
  <c r="X74" i="7" s="1"/>
  <c r="T74" i="7"/>
  <c r="L74" i="7"/>
  <c r="W74" i="7" s="1"/>
  <c r="U74" i="7"/>
  <c r="G75" i="7"/>
  <c r="Q74" i="7"/>
  <c r="P74" i="7"/>
  <c r="Z74" i="7"/>
  <c r="D74" i="7"/>
  <c r="S74" i="7" s="1"/>
  <c r="C74" i="7"/>
  <c r="R74" i="7" s="1"/>
  <c r="U77" i="1"/>
  <c r="AA77" i="1"/>
  <c r="P77" i="1"/>
  <c r="Z77" i="1"/>
  <c r="G78" i="1"/>
  <c r="C77" i="1"/>
  <c r="R77" i="1" s="1"/>
  <c r="D77" i="1"/>
  <c r="S77" i="1" s="1"/>
  <c r="M77" i="1"/>
  <c r="X77" i="1" s="1"/>
  <c r="Q77" i="1"/>
  <c r="T77" i="1"/>
  <c r="O77" i="1"/>
  <c r="L77" i="1"/>
  <c r="W77" i="1" s="1"/>
  <c r="C76" i="18"/>
  <c r="D76" i="18"/>
  <c r="D74" i="17"/>
  <c r="C74" i="17"/>
  <c r="R75" i="16"/>
  <c r="D75" i="16"/>
  <c r="C75" i="16"/>
  <c r="D74" i="15"/>
  <c r="S74" i="15" s="1"/>
  <c r="C74" i="15"/>
  <c r="C75" i="14"/>
  <c r="R75" i="14" s="1"/>
  <c r="D75" i="14"/>
  <c r="S75" i="14" s="1"/>
  <c r="C74" i="13"/>
  <c r="R74" i="13" s="1"/>
  <c r="D74" i="13"/>
  <c r="D76" i="12"/>
  <c r="C76" i="12"/>
  <c r="D76" i="11"/>
  <c r="C76" i="11"/>
  <c r="D75" i="10"/>
  <c r="C75" i="10"/>
  <c r="C75" i="9"/>
  <c r="R75" i="9" s="1"/>
  <c r="D75" i="9"/>
  <c r="D76" i="8"/>
  <c r="S76" i="8" s="1"/>
  <c r="C76" i="8"/>
  <c r="Q76" i="6"/>
  <c r="D76" i="6"/>
  <c r="C76" i="6"/>
  <c r="G76" i="4"/>
  <c r="D75" i="4"/>
  <c r="C75" i="4"/>
  <c r="Z75" i="16"/>
  <c r="AA75" i="16"/>
  <c r="Q76" i="18"/>
  <c r="P76" i="18"/>
  <c r="J77" i="18"/>
  <c r="U76" i="18"/>
  <c r="T76" i="18"/>
  <c r="AH80" i="18"/>
  <c r="AJ79" i="18"/>
  <c r="E79" i="18" s="1"/>
  <c r="M76" i="18"/>
  <c r="X76" i="18" s="1"/>
  <c r="L76" i="18"/>
  <c r="W76" i="18" s="1"/>
  <c r="G77" i="18"/>
  <c r="N78" i="18"/>
  <c r="S76" i="18"/>
  <c r="R76" i="18"/>
  <c r="AA76" i="18"/>
  <c r="Z76" i="18"/>
  <c r="H77" i="18"/>
  <c r="O76" i="18"/>
  <c r="M74" i="17"/>
  <c r="X74" i="17" s="1"/>
  <c r="L74" i="17"/>
  <c r="W74" i="17" s="1"/>
  <c r="G75" i="17"/>
  <c r="S74" i="17"/>
  <c r="R74" i="17"/>
  <c r="AA74" i="17"/>
  <c r="Z74" i="17"/>
  <c r="H77" i="17"/>
  <c r="N79" i="17"/>
  <c r="AJ80" i="17"/>
  <c r="E80" i="17" s="1"/>
  <c r="AH81" i="17"/>
  <c r="O74" i="17"/>
  <c r="T74" i="17"/>
  <c r="U74" i="17"/>
  <c r="Q75" i="17"/>
  <c r="J76" i="17"/>
  <c r="P74" i="17"/>
  <c r="Q74" i="17"/>
  <c r="G75" i="13"/>
  <c r="M74" i="13"/>
  <c r="X74" i="13" s="1"/>
  <c r="L74" i="13"/>
  <c r="W74" i="13" s="1"/>
  <c r="T74" i="13"/>
  <c r="U74" i="13"/>
  <c r="Q74" i="13"/>
  <c r="P74" i="13"/>
  <c r="S74" i="13"/>
  <c r="AA74" i="13"/>
  <c r="Z74" i="13"/>
  <c r="O74" i="13"/>
  <c r="N78" i="15"/>
  <c r="AH81" i="13"/>
  <c r="AJ80" i="13"/>
  <c r="E80" i="13" s="1"/>
  <c r="N79" i="13"/>
  <c r="H77" i="15"/>
  <c r="M75" i="16"/>
  <c r="X75" i="16" s="1"/>
  <c r="L75" i="16"/>
  <c r="W75" i="16" s="1"/>
  <c r="G76" i="16"/>
  <c r="Z76" i="16"/>
  <c r="H77" i="16"/>
  <c r="J76" i="14"/>
  <c r="Q75" i="14"/>
  <c r="P75" i="14"/>
  <c r="U75" i="14"/>
  <c r="T75" i="14"/>
  <c r="O75" i="14"/>
  <c r="AJ78" i="16"/>
  <c r="E78" i="16" s="1"/>
  <c r="AH79" i="16"/>
  <c r="H77" i="14"/>
  <c r="N77" i="16"/>
  <c r="J77" i="15"/>
  <c r="M74" i="15"/>
  <c r="X74" i="15" s="1"/>
  <c r="L74" i="15"/>
  <c r="W74" i="15" s="1"/>
  <c r="G75" i="15"/>
  <c r="R74" i="15"/>
  <c r="Q74" i="15"/>
  <c r="AA74" i="15"/>
  <c r="P74" i="15"/>
  <c r="Z74" i="15"/>
  <c r="U74" i="15"/>
  <c r="T74" i="15"/>
  <c r="O74" i="15"/>
  <c r="AH80" i="14"/>
  <c r="AJ79" i="14"/>
  <c r="E79" i="14" s="1"/>
  <c r="S75" i="16"/>
  <c r="N78" i="14"/>
  <c r="Q75" i="16"/>
  <c r="P75" i="16"/>
  <c r="J76" i="16"/>
  <c r="O76" i="16" s="1"/>
  <c r="U75" i="16"/>
  <c r="T75" i="16"/>
  <c r="M75" i="14"/>
  <c r="X75" i="14" s="1"/>
  <c r="L75" i="14"/>
  <c r="W75" i="14" s="1"/>
  <c r="G76" i="14"/>
  <c r="H77" i="13"/>
  <c r="J78" i="13"/>
  <c r="AH80" i="15"/>
  <c r="AJ79" i="15"/>
  <c r="E79" i="15" s="1"/>
  <c r="AJ79" i="10"/>
  <c r="E79" i="10" s="1"/>
  <c r="AH80" i="10"/>
  <c r="AJ79" i="9"/>
  <c r="E79" i="9" s="1"/>
  <c r="AH80" i="9"/>
  <c r="J79" i="11"/>
  <c r="AJ79" i="11"/>
  <c r="E79" i="11" s="1"/>
  <c r="AH80" i="11"/>
  <c r="N78" i="10"/>
  <c r="J76" i="10"/>
  <c r="U75" i="10"/>
  <c r="Q75" i="10"/>
  <c r="P75" i="10"/>
  <c r="T75" i="10"/>
  <c r="O75" i="10"/>
  <c r="N78" i="9"/>
  <c r="N78" i="11"/>
  <c r="S76" i="12"/>
  <c r="AA76" i="12"/>
  <c r="Z76" i="12"/>
  <c r="H77" i="12"/>
  <c r="M76" i="12"/>
  <c r="X76" i="12" s="1"/>
  <c r="G77" i="12"/>
  <c r="AH80" i="12"/>
  <c r="AJ79" i="12"/>
  <c r="E79" i="12" s="1"/>
  <c r="N78" i="12"/>
  <c r="J76" i="9"/>
  <c r="Q75" i="9"/>
  <c r="P75" i="9"/>
  <c r="U75" i="9"/>
  <c r="T75" i="9"/>
  <c r="O75" i="9"/>
  <c r="Q75" i="12"/>
  <c r="P75" i="12"/>
  <c r="J76" i="12"/>
  <c r="U75" i="12"/>
  <c r="T75" i="12"/>
  <c r="O75" i="12"/>
  <c r="R75" i="12"/>
  <c r="S75" i="12"/>
  <c r="M76" i="11"/>
  <c r="X76" i="11" s="1"/>
  <c r="L76" i="11"/>
  <c r="W76" i="11" s="1"/>
  <c r="G77" i="11"/>
  <c r="AA76" i="11"/>
  <c r="Z76" i="11"/>
  <c r="H77" i="11"/>
  <c r="S76" i="11"/>
  <c r="R76" i="11"/>
  <c r="T76" i="11"/>
  <c r="Q76" i="11"/>
  <c r="P76" i="11"/>
  <c r="U76" i="11"/>
  <c r="M75" i="9"/>
  <c r="X75" i="9" s="1"/>
  <c r="L75" i="9"/>
  <c r="W75" i="9" s="1"/>
  <c r="G76" i="9"/>
  <c r="S75" i="9"/>
  <c r="AA75" i="9"/>
  <c r="Z75" i="9"/>
  <c r="H78" i="9"/>
  <c r="G76" i="10"/>
  <c r="M75" i="10"/>
  <c r="X75" i="10" s="1"/>
  <c r="L75" i="10"/>
  <c r="W75" i="10" s="1"/>
  <c r="Z75" i="10"/>
  <c r="H76" i="10"/>
  <c r="S75" i="10"/>
  <c r="R75" i="10"/>
  <c r="AA75" i="10"/>
  <c r="M76" i="8"/>
  <c r="X76" i="8" s="1"/>
  <c r="L76" i="8"/>
  <c r="W76" i="8" s="1"/>
  <c r="G77" i="8"/>
  <c r="Q76" i="8"/>
  <c r="P76" i="8"/>
  <c r="J77" i="8"/>
  <c r="U76" i="8"/>
  <c r="T76" i="8"/>
  <c r="O76" i="8"/>
  <c r="R76" i="8"/>
  <c r="AA76" i="8"/>
  <c r="Z76" i="8"/>
  <c r="H77" i="8"/>
  <c r="N79" i="8"/>
  <c r="AJ80" i="8"/>
  <c r="E80" i="8" s="1"/>
  <c r="AH81" i="8"/>
  <c r="J78" i="7"/>
  <c r="N79" i="7"/>
  <c r="H78" i="7"/>
  <c r="AH81" i="7"/>
  <c r="AJ80" i="7"/>
  <c r="E80" i="7" s="1"/>
  <c r="P76" i="6"/>
  <c r="J78" i="6"/>
  <c r="S76" i="6"/>
  <c r="R76" i="6"/>
  <c r="AA76" i="6"/>
  <c r="Z76" i="6"/>
  <c r="H77" i="6"/>
  <c r="U77" i="6" s="1"/>
  <c r="M76" i="6"/>
  <c r="X76" i="6" s="1"/>
  <c r="L76" i="6"/>
  <c r="W76" i="6" s="1"/>
  <c r="G77" i="6"/>
  <c r="T76" i="6"/>
  <c r="AH80" i="6"/>
  <c r="AJ79" i="6"/>
  <c r="E79" i="6" s="1"/>
  <c r="U76" i="6"/>
  <c r="N78" i="6"/>
  <c r="M76" i="4"/>
  <c r="X76" i="4" s="1"/>
  <c r="Q76" i="4"/>
  <c r="P76" i="4"/>
  <c r="G77" i="4"/>
  <c r="O77" i="4" s="1"/>
  <c r="Z76" i="4"/>
  <c r="U76" i="4"/>
  <c r="T76" i="4"/>
  <c r="N78" i="4"/>
  <c r="O76" i="4"/>
  <c r="R75" i="4"/>
  <c r="AA76" i="4"/>
  <c r="L75" i="4"/>
  <c r="W75" i="4" s="1"/>
  <c r="S75" i="4"/>
  <c r="Z75" i="4"/>
  <c r="Q75" i="4"/>
  <c r="P75" i="4"/>
  <c r="AA75" i="4"/>
  <c r="U75" i="4"/>
  <c r="M75" i="4"/>
  <c r="X75" i="4" s="1"/>
  <c r="T75" i="4"/>
  <c r="O75" i="4"/>
  <c r="AH80" i="4"/>
  <c r="AJ79" i="4"/>
  <c r="E79" i="4" s="1"/>
  <c r="J79" i="4"/>
  <c r="H77" i="4"/>
  <c r="L76" i="4"/>
  <c r="W76" i="4" s="1"/>
  <c r="J79" i="28" l="1"/>
  <c r="L78" i="28"/>
  <c r="AJ82" i="28"/>
  <c r="E82" i="28" s="1"/>
  <c r="N82" i="28" s="1"/>
  <c r="AH83" i="28"/>
  <c r="H81" i="28"/>
  <c r="D80" i="28"/>
  <c r="C80" i="28"/>
  <c r="J81" i="27"/>
  <c r="H80" i="27"/>
  <c r="C79" i="27"/>
  <c r="D79" i="27"/>
  <c r="AJ81" i="26"/>
  <c r="E81" i="26" s="1"/>
  <c r="N81" i="26" s="1"/>
  <c r="AH82" i="26"/>
  <c r="H82" i="25"/>
  <c r="D81" i="25"/>
  <c r="C81" i="25"/>
  <c r="D79" i="26"/>
  <c r="C79" i="26"/>
  <c r="H80" i="26"/>
  <c r="J80" i="25"/>
  <c r="L79" i="25"/>
  <c r="AH82" i="25"/>
  <c r="AJ81" i="25"/>
  <c r="E81" i="25" s="1"/>
  <c r="N81" i="25" s="1"/>
  <c r="D79" i="24"/>
  <c r="C79" i="24"/>
  <c r="H80" i="24"/>
  <c r="J79" i="24"/>
  <c r="L78" i="24"/>
  <c r="L78" i="26"/>
  <c r="J79" i="26"/>
  <c r="AH83" i="24"/>
  <c r="AJ82" i="24"/>
  <c r="E82" i="24" s="1"/>
  <c r="N82" i="24" s="1"/>
  <c r="AJ83" i="27"/>
  <c r="E83" i="27" s="1"/>
  <c r="N83" i="27" s="1"/>
  <c r="AH84" i="27"/>
  <c r="J79" i="22"/>
  <c r="L78" i="22"/>
  <c r="C78" i="23"/>
  <c r="H79" i="23"/>
  <c r="D78" i="23"/>
  <c r="AJ82" i="23"/>
  <c r="E82" i="23" s="1"/>
  <c r="N82" i="23" s="1"/>
  <c r="AH83" i="23"/>
  <c r="D80" i="22"/>
  <c r="C80" i="22"/>
  <c r="H81" i="22"/>
  <c r="AJ82" i="22"/>
  <c r="E82" i="22" s="1"/>
  <c r="N82" i="22" s="1"/>
  <c r="AH83" i="22"/>
  <c r="J79" i="23"/>
  <c r="L78" i="23"/>
  <c r="J79" i="21"/>
  <c r="L78" i="21"/>
  <c r="AJ82" i="21"/>
  <c r="E82" i="21" s="1"/>
  <c r="N82" i="21" s="1"/>
  <c r="AH83" i="21"/>
  <c r="H80" i="21"/>
  <c r="D79" i="21"/>
  <c r="C79" i="21"/>
  <c r="H81" i="20"/>
  <c r="D80" i="20"/>
  <c r="C80" i="20"/>
  <c r="J79" i="20"/>
  <c r="L78" i="20"/>
  <c r="AJ82" i="20"/>
  <c r="E82" i="20" s="1"/>
  <c r="N82" i="20" s="1"/>
  <c r="AH83" i="20"/>
  <c r="C76" i="19"/>
  <c r="R76" i="19" s="1"/>
  <c r="AA76" i="19"/>
  <c r="D76" i="19"/>
  <c r="S76" i="19" s="1"/>
  <c r="O76" i="19"/>
  <c r="T76" i="19"/>
  <c r="AJ83" i="19"/>
  <c r="E83" i="19" s="1"/>
  <c r="AH84" i="19"/>
  <c r="N82" i="19"/>
  <c r="H78" i="19"/>
  <c r="J78" i="19"/>
  <c r="M76" i="19"/>
  <c r="X76" i="19" s="1"/>
  <c r="L76" i="19"/>
  <c r="W76" i="19" s="1"/>
  <c r="G77" i="19"/>
  <c r="AA77" i="19" s="1"/>
  <c r="AA75" i="7"/>
  <c r="D75" i="7"/>
  <c r="S75" i="7" s="1"/>
  <c r="M75" i="7"/>
  <c r="X75" i="7" s="1"/>
  <c r="P75" i="7"/>
  <c r="C75" i="7"/>
  <c r="R75" i="7" s="1"/>
  <c r="L75" i="7"/>
  <c r="W75" i="7" s="1"/>
  <c r="G76" i="7"/>
  <c r="Z75" i="7"/>
  <c r="O75" i="7"/>
  <c r="Q75" i="7"/>
  <c r="T75" i="7"/>
  <c r="U75" i="7"/>
  <c r="Z78" i="1"/>
  <c r="Q78" i="1"/>
  <c r="G79" i="1"/>
  <c r="M78" i="1"/>
  <c r="X78" i="1" s="1"/>
  <c r="C78" i="1"/>
  <c r="R78" i="1" s="1"/>
  <c r="D78" i="1"/>
  <c r="S78" i="1" s="1"/>
  <c r="T78" i="1"/>
  <c r="U78" i="1"/>
  <c r="O78" i="1"/>
  <c r="L78" i="1"/>
  <c r="W78" i="1" s="1"/>
  <c r="AA78" i="1"/>
  <c r="P78" i="1"/>
  <c r="D77" i="18"/>
  <c r="S77" i="18" s="1"/>
  <c r="C77" i="18"/>
  <c r="P75" i="17"/>
  <c r="D75" i="17"/>
  <c r="S75" i="17" s="1"/>
  <c r="C75" i="17"/>
  <c r="D76" i="16"/>
  <c r="C76" i="16"/>
  <c r="D75" i="15"/>
  <c r="C75" i="15"/>
  <c r="R75" i="15" s="1"/>
  <c r="Z76" i="14"/>
  <c r="D76" i="14"/>
  <c r="S76" i="14" s="1"/>
  <c r="C76" i="14"/>
  <c r="R76" i="14" s="1"/>
  <c r="D75" i="13"/>
  <c r="C75" i="13"/>
  <c r="D77" i="12"/>
  <c r="C77" i="12"/>
  <c r="D77" i="11"/>
  <c r="C77" i="11"/>
  <c r="D76" i="10"/>
  <c r="C76" i="10"/>
  <c r="D76" i="9"/>
  <c r="C76" i="9"/>
  <c r="D77" i="8"/>
  <c r="S77" i="8" s="1"/>
  <c r="C77" i="8"/>
  <c r="D77" i="6"/>
  <c r="C77" i="6"/>
  <c r="C77" i="4"/>
  <c r="D77" i="4"/>
  <c r="D76" i="4"/>
  <c r="S76" i="4" s="1"/>
  <c r="C76" i="4"/>
  <c r="R76" i="4" s="1"/>
  <c r="O75" i="17"/>
  <c r="T75" i="17"/>
  <c r="U75" i="17"/>
  <c r="AA76" i="16"/>
  <c r="M77" i="18"/>
  <c r="X77" i="18" s="1"/>
  <c r="L77" i="18"/>
  <c r="W77" i="18" s="1"/>
  <c r="G78" i="18"/>
  <c r="N79" i="18"/>
  <c r="AJ80" i="18"/>
  <c r="E80" i="18" s="1"/>
  <c r="AH81" i="18"/>
  <c r="R77" i="18"/>
  <c r="AA77" i="18"/>
  <c r="Z77" i="18"/>
  <c r="H78" i="18"/>
  <c r="O77" i="18"/>
  <c r="Q77" i="18"/>
  <c r="P77" i="18"/>
  <c r="J78" i="18"/>
  <c r="U77" i="18"/>
  <c r="T77" i="18"/>
  <c r="H78" i="17"/>
  <c r="J77" i="17"/>
  <c r="AJ81" i="17"/>
  <c r="AH82" i="17"/>
  <c r="N80" i="17"/>
  <c r="M75" i="17"/>
  <c r="X75" i="17" s="1"/>
  <c r="L75" i="17"/>
  <c r="W75" i="17" s="1"/>
  <c r="G76" i="17"/>
  <c r="R75" i="17"/>
  <c r="AA75" i="17"/>
  <c r="Z75" i="17"/>
  <c r="AJ80" i="15"/>
  <c r="E80" i="15" s="1"/>
  <c r="AH81" i="15"/>
  <c r="Q76" i="14"/>
  <c r="P76" i="14"/>
  <c r="J77" i="14"/>
  <c r="U76" i="14"/>
  <c r="T76" i="14"/>
  <c r="O76" i="14"/>
  <c r="H78" i="15"/>
  <c r="G77" i="14"/>
  <c r="AA77" i="14" s="1"/>
  <c r="M76" i="14"/>
  <c r="X76" i="14" s="1"/>
  <c r="L76" i="14"/>
  <c r="W76" i="14" s="1"/>
  <c r="M75" i="15"/>
  <c r="X75" i="15" s="1"/>
  <c r="L75" i="15"/>
  <c r="W75" i="15" s="1"/>
  <c r="G76" i="15"/>
  <c r="O75" i="15"/>
  <c r="U75" i="15"/>
  <c r="T75" i="15"/>
  <c r="S75" i="15"/>
  <c r="AA75" i="15"/>
  <c r="Z75" i="15"/>
  <c r="Q75" i="15"/>
  <c r="P75" i="15"/>
  <c r="AA76" i="14"/>
  <c r="N79" i="14"/>
  <c r="H78" i="16"/>
  <c r="N79" i="15"/>
  <c r="J79" i="13"/>
  <c r="AH81" i="14"/>
  <c r="AJ80" i="14"/>
  <c r="E80" i="14" s="1"/>
  <c r="H78" i="14"/>
  <c r="AH80" i="16"/>
  <c r="AJ79" i="16"/>
  <c r="E79" i="16" s="1"/>
  <c r="R76" i="16"/>
  <c r="N80" i="13"/>
  <c r="J78" i="15"/>
  <c r="N78" i="16"/>
  <c r="S76" i="16"/>
  <c r="AJ81" i="13"/>
  <c r="AH82" i="13"/>
  <c r="O77" i="16"/>
  <c r="Q76" i="16"/>
  <c r="P76" i="16"/>
  <c r="J77" i="16"/>
  <c r="U76" i="16"/>
  <c r="T76" i="16"/>
  <c r="M76" i="16"/>
  <c r="X76" i="16" s="1"/>
  <c r="L76" i="16"/>
  <c r="W76" i="16" s="1"/>
  <c r="G77" i="16"/>
  <c r="H78" i="13"/>
  <c r="M75" i="13"/>
  <c r="X75" i="13" s="1"/>
  <c r="L75" i="13"/>
  <c r="W75" i="13" s="1"/>
  <c r="G76" i="13"/>
  <c r="Z75" i="13"/>
  <c r="O75" i="13"/>
  <c r="U75" i="13"/>
  <c r="Q75" i="13"/>
  <c r="T75" i="13"/>
  <c r="AA75" i="13"/>
  <c r="S75" i="13"/>
  <c r="R75" i="13"/>
  <c r="P75" i="13"/>
  <c r="AJ80" i="11"/>
  <c r="E80" i="11" s="1"/>
  <c r="AH81" i="11"/>
  <c r="N79" i="12"/>
  <c r="N79" i="11"/>
  <c r="AA77" i="11"/>
  <c r="Z77" i="11"/>
  <c r="H78" i="11"/>
  <c r="S77" i="11"/>
  <c r="R77" i="11"/>
  <c r="P77" i="11"/>
  <c r="Q77" i="11"/>
  <c r="T77" i="11"/>
  <c r="U77" i="11"/>
  <c r="Q76" i="12"/>
  <c r="P76" i="12"/>
  <c r="J77" i="12"/>
  <c r="U76" i="12"/>
  <c r="T76" i="12"/>
  <c r="O76" i="12"/>
  <c r="AJ80" i="12"/>
  <c r="E80" i="12" s="1"/>
  <c r="AH81" i="12"/>
  <c r="Z76" i="10"/>
  <c r="AA76" i="10"/>
  <c r="S76" i="10"/>
  <c r="H77" i="10"/>
  <c r="R76" i="10"/>
  <c r="M77" i="12"/>
  <c r="X77" i="12" s="1"/>
  <c r="L77" i="12"/>
  <c r="W77" i="12" s="1"/>
  <c r="G78" i="12"/>
  <c r="L76" i="12"/>
  <c r="W76" i="12" s="1"/>
  <c r="M77" i="11"/>
  <c r="X77" i="11" s="1"/>
  <c r="L77" i="11"/>
  <c r="W77" i="11" s="1"/>
  <c r="G78" i="11"/>
  <c r="J80" i="11"/>
  <c r="M76" i="10"/>
  <c r="X76" i="10" s="1"/>
  <c r="L76" i="10"/>
  <c r="W76" i="10" s="1"/>
  <c r="G77" i="10"/>
  <c r="AJ80" i="9"/>
  <c r="E80" i="9" s="1"/>
  <c r="AH81" i="9"/>
  <c r="M76" i="9"/>
  <c r="X76" i="9" s="1"/>
  <c r="L76" i="9"/>
  <c r="W76" i="9" s="1"/>
  <c r="G77" i="9"/>
  <c r="AA76" i="9"/>
  <c r="Z76" i="9"/>
  <c r="S76" i="9"/>
  <c r="R76" i="9"/>
  <c r="O77" i="11"/>
  <c r="S77" i="12"/>
  <c r="R77" i="12"/>
  <c r="AA77" i="12"/>
  <c r="Z77" i="12"/>
  <c r="H78" i="12"/>
  <c r="N79" i="9"/>
  <c r="H79" i="9"/>
  <c r="J77" i="10"/>
  <c r="Q76" i="10"/>
  <c r="P76" i="10"/>
  <c r="U76" i="10"/>
  <c r="T76" i="10"/>
  <c r="O76" i="10"/>
  <c r="AH81" i="10"/>
  <c r="AJ80" i="10"/>
  <c r="E80" i="10" s="1"/>
  <c r="J77" i="9"/>
  <c r="Q76" i="9"/>
  <c r="P76" i="9"/>
  <c r="U76" i="9"/>
  <c r="T76" i="9"/>
  <c r="O76" i="9"/>
  <c r="R76" i="12"/>
  <c r="N79" i="10"/>
  <c r="AJ81" i="8"/>
  <c r="AH82" i="8"/>
  <c r="N80" i="8"/>
  <c r="Q77" i="8"/>
  <c r="P77" i="8"/>
  <c r="J78" i="8"/>
  <c r="U77" i="8"/>
  <c r="T77" i="8"/>
  <c r="O77" i="8"/>
  <c r="M77" i="8"/>
  <c r="X77" i="8" s="1"/>
  <c r="L77" i="8"/>
  <c r="W77" i="8" s="1"/>
  <c r="G78" i="8"/>
  <c r="R77" i="8"/>
  <c r="AA77" i="8"/>
  <c r="Z77" i="8"/>
  <c r="H78" i="8"/>
  <c r="N80" i="7"/>
  <c r="AJ81" i="7"/>
  <c r="AH82" i="7"/>
  <c r="H79" i="7"/>
  <c r="J79" i="7"/>
  <c r="N79" i="6"/>
  <c r="J79" i="6"/>
  <c r="S77" i="6"/>
  <c r="R77" i="6"/>
  <c r="AA77" i="6"/>
  <c r="Z77" i="6"/>
  <c r="H78" i="6"/>
  <c r="P78" i="6" s="1"/>
  <c r="AJ80" i="6"/>
  <c r="E80" i="6" s="1"/>
  <c r="AH81" i="6"/>
  <c r="P77" i="6"/>
  <c r="Q77" i="6"/>
  <c r="M77" i="6"/>
  <c r="X77" i="6" s="1"/>
  <c r="L77" i="6"/>
  <c r="W77" i="6" s="1"/>
  <c r="G78" i="6"/>
  <c r="O77" i="6"/>
  <c r="T77" i="6"/>
  <c r="M77" i="4"/>
  <c r="X77" i="4" s="1"/>
  <c r="Q77" i="4"/>
  <c r="G78" i="4"/>
  <c r="P77" i="4"/>
  <c r="AA77" i="4"/>
  <c r="Z77" i="4"/>
  <c r="U77" i="4"/>
  <c r="T77" i="4"/>
  <c r="N79" i="4"/>
  <c r="S77" i="4"/>
  <c r="R77" i="4"/>
  <c r="H78" i="4"/>
  <c r="L77" i="4"/>
  <c r="W77" i="4" s="1"/>
  <c r="J80" i="4"/>
  <c r="AJ80" i="4"/>
  <c r="E80" i="4" s="1"/>
  <c r="AH81" i="4"/>
  <c r="H82" i="28" l="1"/>
  <c r="D81" i="28"/>
  <c r="C81" i="28"/>
  <c r="AJ83" i="28"/>
  <c r="E83" i="28" s="1"/>
  <c r="N83" i="28" s="1"/>
  <c r="AH84" i="28"/>
  <c r="J80" i="28"/>
  <c r="L79" i="28"/>
  <c r="J80" i="26"/>
  <c r="L79" i="26"/>
  <c r="C80" i="24"/>
  <c r="H81" i="24"/>
  <c r="D80" i="24"/>
  <c r="H83" i="25"/>
  <c r="D82" i="25"/>
  <c r="C82" i="25"/>
  <c r="L79" i="24"/>
  <c r="J80" i="24"/>
  <c r="AH83" i="26"/>
  <c r="AJ82" i="26"/>
  <c r="E82" i="26" s="1"/>
  <c r="N82" i="26" s="1"/>
  <c r="AJ84" i="27"/>
  <c r="E84" i="27" s="1"/>
  <c r="N84" i="27" s="1"/>
  <c r="AH85" i="27"/>
  <c r="AJ82" i="25"/>
  <c r="E82" i="25" s="1"/>
  <c r="N82" i="25" s="1"/>
  <c r="AH83" i="25"/>
  <c r="H81" i="27"/>
  <c r="L81" i="27" s="1"/>
  <c r="D80" i="27"/>
  <c r="C80" i="27"/>
  <c r="J81" i="25"/>
  <c r="L80" i="25"/>
  <c r="J82" i="27"/>
  <c r="AJ83" i="24"/>
  <c r="E83" i="24" s="1"/>
  <c r="N83" i="24" s="1"/>
  <c r="AH84" i="24"/>
  <c r="D80" i="26"/>
  <c r="C80" i="26"/>
  <c r="H81" i="26"/>
  <c r="L80" i="27"/>
  <c r="D81" i="22"/>
  <c r="C81" i="22"/>
  <c r="H82" i="22"/>
  <c r="AJ83" i="23"/>
  <c r="E83" i="23" s="1"/>
  <c r="N83" i="23" s="1"/>
  <c r="AH84" i="23"/>
  <c r="H80" i="23"/>
  <c r="D79" i="23"/>
  <c r="C79" i="23"/>
  <c r="AJ83" i="22"/>
  <c r="E83" i="22" s="1"/>
  <c r="N83" i="22" s="1"/>
  <c r="AH84" i="22"/>
  <c r="L79" i="23"/>
  <c r="J80" i="23"/>
  <c r="L79" i="22"/>
  <c r="J80" i="22"/>
  <c r="H81" i="21"/>
  <c r="D80" i="21"/>
  <c r="C80" i="21"/>
  <c r="AJ83" i="21"/>
  <c r="E83" i="21" s="1"/>
  <c r="N83" i="21" s="1"/>
  <c r="AH84" i="21"/>
  <c r="J80" i="21"/>
  <c r="L79" i="21"/>
  <c r="J80" i="20"/>
  <c r="L79" i="20"/>
  <c r="AJ83" i="20"/>
  <c r="E83" i="20" s="1"/>
  <c r="N83" i="20" s="1"/>
  <c r="AH84" i="20"/>
  <c r="H82" i="20"/>
  <c r="D81" i="20"/>
  <c r="C81" i="20"/>
  <c r="P77" i="19"/>
  <c r="Q77" i="19"/>
  <c r="H79" i="19"/>
  <c r="Z77" i="19"/>
  <c r="M77" i="19"/>
  <c r="X77" i="19" s="1"/>
  <c r="L77" i="19"/>
  <c r="W77" i="19" s="1"/>
  <c r="G78" i="19"/>
  <c r="P78" i="19" s="1"/>
  <c r="C77" i="19"/>
  <c r="R77" i="19" s="1"/>
  <c r="J79" i="19"/>
  <c r="D77" i="19"/>
  <c r="S77" i="19" s="1"/>
  <c r="O77" i="19"/>
  <c r="T77" i="19"/>
  <c r="AJ84" i="19"/>
  <c r="E84" i="19" s="1"/>
  <c r="AH85" i="19"/>
  <c r="U77" i="19"/>
  <c r="N83" i="19"/>
  <c r="AA76" i="7"/>
  <c r="Z76" i="7"/>
  <c r="U76" i="7"/>
  <c r="Q76" i="7"/>
  <c r="G77" i="7"/>
  <c r="T76" i="7"/>
  <c r="O76" i="7"/>
  <c r="P76" i="7"/>
  <c r="L76" i="7"/>
  <c r="W76" i="7" s="1"/>
  <c r="D76" i="7"/>
  <c r="S76" i="7" s="1"/>
  <c r="C76" i="7"/>
  <c r="R76" i="7" s="1"/>
  <c r="M76" i="7"/>
  <c r="X76" i="7" s="1"/>
  <c r="G80" i="1"/>
  <c r="M79" i="1"/>
  <c r="X79" i="1" s="1"/>
  <c r="D79" i="1"/>
  <c r="S79" i="1" s="1"/>
  <c r="C79" i="1"/>
  <c r="R79" i="1" s="1"/>
  <c r="T79" i="1"/>
  <c r="O79" i="1"/>
  <c r="Z79" i="1"/>
  <c r="L79" i="1"/>
  <c r="W79" i="1" s="1"/>
  <c r="AA79" i="1"/>
  <c r="Q79" i="1"/>
  <c r="P79" i="1"/>
  <c r="U79" i="1"/>
  <c r="D78" i="18"/>
  <c r="C78" i="18"/>
  <c r="P76" i="17"/>
  <c r="C76" i="17"/>
  <c r="D76" i="17"/>
  <c r="E81" i="17"/>
  <c r="N81" i="17" s="1"/>
  <c r="S77" i="16"/>
  <c r="D77" i="16"/>
  <c r="C77" i="16"/>
  <c r="D76" i="15"/>
  <c r="S76" i="15" s="1"/>
  <c r="C76" i="15"/>
  <c r="R76" i="15" s="1"/>
  <c r="Z77" i="14"/>
  <c r="C77" i="14"/>
  <c r="R77" i="14" s="1"/>
  <c r="D77" i="14"/>
  <c r="S77" i="14" s="1"/>
  <c r="D76" i="13"/>
  <c r="C76" i="13"/>
  <c r="E81" i="13"/>
  <c r="D78" i="12"/>
  <c r="C78" i="12"/>
  <c r="C78" i="11"/>
  <c r="D78" i="11"/>
  <c r="S78" i="11" s="1"/>
  <c r="D77" i="10"/>
  <c r="C77" i="10"/>
  <c r="R77" i="10" s="1"/>
  <c r="D77" i="9"/>
  <c r="S77" i="9" s="1"/>
  <c r="C77" i="9"/>
  <c r="E81" i="8"/>
  <c r="D78" i="8"/>
  <c r="C78" i="8"/>
  <c r="D78" i="6"/>
  <c r="C78" i="6"/>
  <c r="D78" i="4"/>
  <c r="C78" i="4"/>
  <c r="R78" i="4" s="1"/>
  <c r="E81" i="7"/>
  <c r="O76" i="17"/>
  <c r="T76" i="17"/>
  <c r="U76" i="17"/>
  <c r="Z77" i="16"/>
  <c r="AA77" i="16"/>
  <c r="R77" i="16"/>
  <c r="AJ81" i="18"/>
  <c r="AH82" i="18"/>
  <c r="N80" i="18"/>
  <c r="P78" i="18"/>
  <c r="J79" i="18"/>
  <c r="Q78" i="18"/>
  <c r="U78" i="18"/>
  <c r="T78" i="18"/>
  <c r="M78" i="18"/>
  <c r="X78" i="18" s="1"/>
  <c r="L78" i="18"/>
  <c r="W78" i="18" s="1"/>
  <c r="G79" i="18"/>
  <c r="R78" i="18"/>
  <c r="AA78" i="18"/>
  <c r="Z78" i="18"/>
  <c r="H79" i="18"/>
  <c r="S78" i="18"/>
  <c r="O78" i="18"/>
  <c r="J78" i="17"/>
  <c r="M76" i="17"/>
  <c r="X76" i="17" s="1"/>
  <c r="L76" i="17"/>
  <c r="W76" i="17" s="1"/>
  <c r="G77" i="17"/>
  <c r="S76" i="17"/>
  <c r="R76" i="17"/>
  <c r="AA76" i="17"/>
  <c r="Z76" i="17"/>
  <c r="Q76" i="17"/>
  <c r="H79" i="17"/>
  <c r="AJ82" i="17"/>
  <c r="AH83" i="17"/>
  <c r="N80" i="14"/>
  <c r="AJ82" i="13"/>
  <c r="AH83" i="13"/>
  <c r="AH82" i="14"/>
  <c r="AJ81" i="14"/>
  <c r="N79" i="16"/>
  <c r="M77" i="16"/>
  <c r="X77" i="16" s="1"/>
  <c r="L77" i="16"/>
  <c r="W77" i="16" s="1"/>
  <c r="G78" i="16"/>
  <c r="AJ80" i="16"/>
  <c r="E80" i="16" s="1"/>
  <c r="AH81" i="16"/>
  <c r="M76" i="15"/>
  <c r="X76" i="15" s="1"/>
  <c r="L76" i="15"/>
  <c r="W76" i="15" s="1"/>
  <c r="G77" i="15"/>
  <c r="Q76" i="15"/>
  <c r="P76" i="15"/>
  <c r="U76" i="15"/>
  <c r="T76" i="15"/>
  <c r="O76" i="15"/>
  <c r="Z76" i="15"/>
  <c r="AA76" i="15"/>
  <c r="O78" i="16"/>
  <c r="J80" i="13"/>
  <c r="M76" i="13"/>
  <c r="X76" i="13" s="1"/>
  <c r="L76" i="13"/>
  <c r="W76" i="13" s="1"/>
  <c r="G77" i="13"/>
  <c r="U76" i="13"/>
  <c r="T76" i="13"/>
  <c r="P76" i="13"/>
  <c r="Q76" i="13"/>
  <c r="Z76" i="13"/>
  <c r="R76" i="13"/>
  <c r="O76" i="13"/>
  <c r="AA76" i="13"/>
  <c r="S76" i="13"/>
  <c r="P77" i="14"/>
  <c r="J78" i="14"/>
  <c r="Q77" i="14"/>
  <c r="U77" i="14"/>
  <c r="T77" i="14"/>
  <c r="O77" i="14"/>
  <c r="J79" i="15"/>
  <c r="Q77" i="16"/>
  <c r="P77" i="16"/>
  <c r="J78" i="16"/>
  <c r="U77" i="16"/>
  <c r="T77" i="16"/>
  <c r="G78" i="14"/>
  <c r="M77" i="14"/>
  <c r="X77" i="14" s="1"/>
  <c r="L77" i="14"/>
  <c r="W77" i="14" s="1"/>
  <c r="AH82" i="15"/>
  <c r="AJ81" i="15"/>
  <c r="H79" i="13"/>
  <c r="H79" i="14"/>
  <c r="R78" i="16"/>
  <c r="AA78" i="16"/>
  <c r="Z78" i="16"/>
  <c r="H79" i="16"/>
  <c r="S78" i="16"/>
  <c r="H79" i="15"/>
  <c r="N80" i="15"/>
  <c r="AJ81" i="9"/>
  <c r="AH82" i="9"/>
  <c r="Z78" i="11"/>
  <c r="H79" i="11"/>
  <c r="R78" i="11"/>
  <c r="AA78" i="11"/>
  <c r="U78" i="11"/>
  <c r="Q78" i="11"/>
  <c r="P78" i="11"/>
  <c r="T78" i="11"/>
  <c r="N80" i="9"/>
  <c r="M78" i="12"/>
  <c r="X78" i="12" s="1"/>
  <c r="G79" i="12"/>
  <c r="G78" i="10"/>
  <c r="M77" i="10"/>
  <c r="X77" i="10" s="1"/>
  <c r="L77" i="10"/>
  <c r="W77" i="10" s="1"/>
  <c r="N80" i="12"/>
  <c r="Q77" i="12"/>
  <c r="P77" i="12"/>
  <c r="J78" i="12"/>
  <c r="U77" i="12"/>
  <c r="T77" i="12"/>
  <c r="O77" i="12"/>
  <c r="Z77" i="10"/>
  <c r="H78" i="10"/>
  <c r="S77" i="10"/>
  <c r="AA77" i="10"/>
  <c r="AA78" i="12"/>
  <c r="Z78" i="12"/>
  <c r="H79" i="12"/>
  <c r="J78" i="10"/>
  <c r="Q77" i="10"/>
  <c r="P77" i="10"/>
  <c r="U77" i="10"/>
  <c r="T77" i="10"/>
  <c r="O77" i="10"/>
  <c r="J78" i="9"/>
  <c r="Q77" i="9"/>
  <c r="P77" i="9"/>
  <c r="U77" i="9"/>
  <c r="T77" i="9"/>
  <c r="O77" i="9"/>
  <c r="H80" i="9"/>
  <c r="AJ81" i="11"/>
  <c r="AH82" i="11"/>
  <c r="N80" i="10"/>
  <c r="J81" i="11"/>
  <c r="N80" i="11"/>
  <c r="AJ81" i="10"/>
  <c r="AH82" i="10"/>
  <c r="M77" i="9"/>
  <c r="X77" i="9" s="1"/>
  <c r="L77" i="9"/>
  <c r="W77" i="9" s="1"/>
  <c r="G78" i="9"/>
  <c r="Z77" i="9"/>
  <c r="R77" i="9"/>
  <c r="AA77" i="9"/>
  <c r="L78" i="11"/>
  <c r="W78" i="11" s="1"/>
  <c r="G79" i="11"/>
  <c r="M78" i="11"/>
  <c r="X78" i="11" s="1"/>
  <c r="O78" i="11"/>
  <c r="AJ81" i="12"/>
  <c r="AH82" i="12"/>
  <c r="R78" i="8"/>
  <c r="AA78" i="8"/>
  <c r="Z78" i="8"/>
  <c r="H79" i="8"/>
  <c r="S78" i="8"/>
  <c r="P78" i="8"/>
  <c r="J79" i="8"/>
  <c r="Q78" i="8"/>
  <c r="U78" i="8"/>
  <c r="T78" i="8"/>
  <c r="O78" i="8"/>
  <c r="M78" i="8"/>
  <c r="X78" i="8" s="1"/>
  <c r="L78" i="8"/>
  <c r="W78" i="8" s="1"/>
  <c r="G79" i="8"/>
  <c r="AJ82" i="8"/>
  <c r="AH83" i="8"/>
  <c r="AJ82" i="7"/>
  <c r="AH83" i="7"/>
  <c r="J80" i="7"/>
  <c r="H80" i="7"/>
  <c r="N80" i="6"/>
  <c r="U78" i="6"/>
  <c r="Q78" i="6"/>
  <c r="J80" i="6"/>
  <c r="O78" i="6"/>
  <c r="R78" i="6"/>
  <c r="AA78" i="6"/>
  <c r="Z78" i="6"/>
  <c r="H79" i="6"/>
  <c r="S78" i="6"/>
  <c r="T78" i="6"/>
  <c r="M78" i="6"/>
  <c r="X78" i="6" s="1"/>
  <c r="L78" i="6"/>
  <c r="W78" i="6" s="1"/>
  <c r="G79" i="6"/>
  <c r="O79" i="6" s="1"/>
  <c r="AJ81" i="6"/>
  <c r="AH82" i="6"/>
  <c r="N80" i="4"/>
  <c r="M78" i="4"/>
  <c r="X78" i="4" s="1"/>
  <c r="G79" i="4"/>
  <c r="P78" i="4"/>
  <c r="Q78" i="4"/>
  <c r="AA78" i="4"/>
  <c r="Z78" i="4"/>
  <c r="U78" i="4"/>
  <c r="T78" i="4"/>
  <c r="O78" i="4"/>
  <c r="J81" i="4"/>
  <c r="H79" i="4"/>
  <c r="S78" i="4"/>
  <c r="L78" i="4"/>
  <c r="W78" i="4" s="1"/>
  <c r="AJ81" i="4"/>
  <c r="E81" i="4" s="1"/>
  <c r="AH82" i="4"/>
  <c r="J81" i="28" l="1"/>
  <c r="L80" i="28"/>
  <c r="AJ84" i="28"/>
  <c r="E84" i="28" s="1"/>
  <c r="N84" i="28" s="1"/>
  <c r="AH85" i="28"/>
  <c r="H83" i="28"/>
  <c r="D82" i="28"/>
  <c r="C82" i="28"/>
  <c r="AH84" i="26"/>
  <c r="AJ83" i="26"/>
  <c r="E83" i="26" s="1"/>
  <c r="N83" i="26" s="1"/>
  <c r="J83" i="27"/>
  <c r="L80" i="24"/>
  <c r="J81" i="24"/>
  <c r="L81" i="25"/>
  <c r="J82" i="25"/>
  <c r="H84" i="25"/>
  <c r="D83" i="25"/>
  <c r="C83" i="25"/>
  <c r="H82" i="27"/>
  <c r="D81" i="27"/>
  <c r="C81" i="27"/>
  <c r="C81" i="26"/>
  <c r="H82" i="26"/>
  <c r="D81" i="26"/>
  <c r="AJ83" i="25"/>
  <c r="E83" i="25" s="1"/>
  <c r="N83" i="25" s="1"/>
  <c r="AH84" i="25"/>
  <c r="H82" i="24"/>
  <c r="D81" i="24"/>
  <c r="C81" i="24"/>
  <c r="AJ85" i="27"/>
  <c r="E85" i="27" s="1"/>
  <c r="N85" i="27" s="1"/>
  <c r="AH86" i="27"/>
  <c r="AJ84" i="24"/>
  <c r="E84" i="24" s="1"/>
  <c r="N84" i="24" s="1"/>
  <c r="AH85" i="24"/>
  <c r="J81" i="26"/>
  <c r="L80" i="26"/>
  <c r="AJ84" i="22"/>
  <c r="E84" i="22" s="1"/>
  <c r="N84" i="22" s="1"/>
  <c r="AH85" i="22"/>
  <c r="H81" i="23"/>
  <c r="D80" i="23"/>
  <c r="C80" i="23"/>
  <c r="AJ84" i="23"/>
  <c r="E84" i="23" s="1"/>
  <c r="N84" i="23" s="1"/>
  <c r="AH85" i="23"/>
  <c r="J81" i="23"/>
  <c r="L80" i="23"/>
  <c r="D82" i="22"/>
  <c r="C82" i="22"/>
  <c r="H83" i="22"/>
  <c r="J81" i="22"/>
  <c r="L80" i="22"/>
  <c r="J81" i="21"/>
  <c r="L80" i="21"/>
  <c r="AJ84" i="21"/>
  <c r="E84" i="21" s="1"/>
  <c r="N84" i="21" s="1"/>
  <c r="AH85" i="21"/>
  <c r="H82" i="21"/>
  <c r="D81" i="21"/>
  <c r="C81" i="21"/>
  <c r="H83" i="20"/>
  <c r="D82" i="20"/>
  <c r="C82" i="20"/>
  <c r="AJ84" i="20"/>
  <c r="E84" i="20" s="1"/>
  <c r="N84" i="20" s="1"/>
  <c r="AH85" i="20"/>
  <c r="L80" i="20"/>
  <c r="J81" i="20"/>
  <c r="N84" i="19"/>
  <c r="L78" i="19"/>
  <c r="W78" i="19" s="1"/>
  <c r="G79" i="19"/>
  <c r="M78" i="19"/>
  <c r="X78" i="19" s="1"/>
  <c r="AJ85" i="19"/>
  <c r="E85" i="19" s="1"/>
  <c r="AH86" i="19"/>
  <c r="J80" i="19"/>
  <c r="Q79" i="19"/>
  <c r="P79" i="19"/>
  <c r="U79" i="19"/>
  <c r="T79" i="19"/>
  <c r="D78" i="19"/>
  <c r="S78" i="19" s="1"/>
  <c r="O78" i="19"/>
  <c r="AA78" i="19"/>
  <c r="T78" i="19"/>
  <c r="AA79" i="19"/>
  <c r="H80" i="19"/>
  <c r="D79" i="19"/>
  <c r="S79" i="19" s="1"/>
  <c r="Z79" i="19"/>
  <c r="C79" i="19"/>
  <c r="R79" i="19" s="1"/>
  <c r="U78" i="19"/>
  <c r="Z78" i="19"/>
  <c r="Q78" i="19"/>
  <c r="C78" i="19"/>
  <c r="R78" i="19" s="1"/>
  <c r="AA77" i="7"/>
  <c r="P77" i="7"/>
  <c r="Q77" i="7"/>
  <c r="T77" i="7"/>
  <c r="U77" i="7"/>
  <c r="D77" i="7"/>
  <c r="S77" i="7" s="1"/>
  <c r="Z77" i="7"/>
  <c r="C77" i="7"/>
  <c r="R77" i="7" s="1"/>
  <c r="M77" i="7"/>
  <c r="X77" i="7" s="1"/>
  <c r="L77" i="7"/>
  <c r="W77" i="7" s="1"/>
  <c r="O77" i="7"/>
  <c r="G78" i="7"/>
  <c r="G81" i="1"/>
  <c r="D80" i="1"/>
  <c r="S80" i="1" s="1"/>
  <c r="C80" i="1"/>
  <c r="R80" i="1" s="1"/>
  <c r="M80" i="1"/>
  <c r="X80" i="1" s="1"/>
  <c r="T80" i="1"/>
  <c r="O80" i="1"/>
  <c r="L80" i="1"/>
  <c r="W80" i="1" s="1"/>
  <c r="AA80" i="1"/>
  <c r="Z80" i="1"/>
  <c r="Q80" i="1"/>
  <c r="U80" i="1"/>
  <c r="P80" i="1"/>
  <c r="N81" i="13"/>
  <c r="E81" i="18"/>
  <c r="O79" i="18"/>
  <c r="C79" i="18"/>
  <c r="D79" i="18"/>
  <c r="S79" i="18" s="1"/>
  <c r="E82" i="17"/>
  <c r="N82" i="17" s="1"/>
  <c r="D77" i="17"/>
  <c r="S77" i="17" s="1"/>
  <c r="C77" i="17"/>
  <c r="R77" i="17" s="1"/>
  <c r="D78" i="16"/>
  <c r="C78" i="16"/>
  <c r="E81" i="15"/>
  <c r="N81" i="15" s="1"/>
  <c r="D77" i="15"/>
  <c r="S77" i="15" s="1"/>
  <c r="C77" i="15"/>
  <c r="E81" i="14"/>
  <c r="N81" i="14" s="1"/>
  <c r="D78" i="14"/>
  <c r="C78" i="14"/>
  <c r="R78" i="14" s="1"/>
  <c r="E82" i="13"/>
  <c r="C77" i="13"/>
  <c r="D77" i="13"/>
  <c r="S77" i="13" s="1"/>
  <c r="D79" i="12"/>
  <c r="C79" i="12"/>
  <c r="E81" i="12"/>
  <c r="N81" i="12" s="1"/>
  <c r="E81" i="11"/>
  <c r="D79" i="11"/>
  <c r="C79" i="11"/>
  <c r="R79" i="11" s="1"/>
  <c r="E81" i="10"/>
  <c r="D78" i="10"/>
  <c r="C78" i="10"/>
  <c r="C78" i="9"/>
  <c r="D78" i="9"/>
  <c r="E81" i="9"/>
  <c r="N81" i="8"/>
  <c r="E82" i="8"/>
  <c r="D79" i="8"/>
  <c r="S79" i="8" s="1"/>
  <c r="C79" i="8"/>
  <c r="R79" i="8" s="1"/>
  <c r="N81" i="7"/>
  <c r="E81" i="6"/>
  <c r="U79" i="6"/>
  <c r="D79" i="6"/>
  <c r="C79" i="6"/>
  <c r="D79" i="4"/>
  <c r="C79" i="4"/>
  <c r="E82" i="7"/>
  <c r="Z78" i="14"/>
  <c r="AA78" i="14"/>
  <c r="T79" i="6"/>
  <c r="Q79" i="6"/>
  <c r="S78" i="14"/>
  <c r="J80" i="18"/>
  <c r="U79" i="18"/>
  <c r="Q79" i="18"/>
  <c r="P79" i="18"/>
  <c r="T79" i="18"/>
  <c r="AA79" i="18"/>
  <c r="Z79" i="18"/>
  <c r="H80" i="18"/>
  <c r="R79" i="18"/>
  <c r="AJ82" i="18"/>
  <c r="AH83" i="18"/>
  <c r="M79" i="18"/>
  <c r="X79" i="18" s="1"/>
  <c r="L79" i="18"/>
  <c r="W79" i="18" s="1"/>
  <c r="G80" i="18"/>
  <c r="G81" i="18" s="1"/>
  <c r="AJ83" i="17"/>
  <c r="AH84" i="17"/>
  <c r="M77" i="17"/>
  <c r="X77" i="17" s="1"/>
  <c r="L77" i="17"/>
  <c r="W77" i="17" s="1"/>
  <c r="G78" i="17"/>
  <c r="AA77" i="17"/>
  <c r="Z77" i="17"/>
  <c r="H80" i="17"/>
  <c r="O77" i="17"/>
  <c r="T77" i="17"/>
  <c r="U77" i="17"/>
  <c r="J79" i="17"/>
  <c r="Q78" i="17"/>
  <c r="U78" i="17"/>
  <c r="T78" i="17"/>
  <c r="O78" i="17"/>
  <c r="P77" i="17"/>
  <c r="Q77" i="17"/>
  <c r="P79" i="6"/>
  <c r="J80" i="15"/>
  <c r="M78" i="14"/>
  <c r="X78" i="14" s="1"/>
  <c r="G79" i="14"/>
  <c r="L78" i="14"/>
  <c r="W78" i="14" s="1"/>
  <c r="J81" i="13"/>
  <c r="M77" i="15"/>
  <c r="X77" i="15" s="1"/>
  <c r="L77" i="15"/>
  <c r="W77" i="15" s="1"/>
  <c r="G78" i="15"/>
  <c r="Q77" i="15"/>
  <c r="P77" i="15"/>
  <c r="Z77" i="15"/>
  <c r="U77" i="15"/>
  <c r="T77" i="15"/>
  <c r="O77" i="15"/>
  <c r="R77" i="15"/>
  <c r="AA77" i="15"/>
  <c r="AJ82" i="14"/>
  <c r="AH83" i="14"/>
  <c r="H80" i="15"/>
  <c r="AJ83" i="13"/>
  <c r="AH84" i="13"/>
  <c r="AJ82" i="15"/>
  <c r="AH83" i="15"/>
  <c r="H80" i="13"/>
  <c r="P78" i="16"/>
  <c r="J79" i="16"/>
  <c r="O79" i="16" s="1"/>
  <c r="U78" i="16"/>
  <c r="Q78" i="16"/>
  <c r="T78" i="16"/>
  <c r="AJ81" i="16"/>
  <c r="AH82" i="16"/>
  <c r="P78" i="14"/>
  <c r="J79" i="14"/>
  <c r="Q78" i="14"/>
  <c r="U78" i="14"/>
  <c r="T78" i="14"/>
  <c r="O78" i="14"/>
  <c r="M77" i="13"/>
  <c r="X77" i="13" s="1"/>
  <c r="L77" i="13"/>
  <c r="W77" i="13" s="1"/>
  <c r="G78" i="13"/>
  <c r="Q77" i="13"/>
  <c r="P77" i="13"/>
  <c r="U77" i="13"/>
  <c r="T77" i="13"/>
  <c r="O77" i="13"/>
  <c r="Z77" i="13"/>
  <c r="AA77" i="13"/>
  <c r="R77" i="13"/>
  <c r="N80" i="16"/>
  <c r="H80" i="14"/>
  <c r="AA79" i="16"/>
  <c r="H80" i="16"/>
  <c r="M78" i="16"/>
  <c r="X78" i="16" s="1"/>
  <c r="L78" i="16"/>
  <c r="W78" i="16" s="1"/>
  <c r="G79" i="16"/>
  <c r="AJ82" i="11"/>
  <c r="AH83" i="11"/>
  <c r="J79" i="9"/>
  <c r="U78" i="9"/>
  <c r="Q78" i="9"/>
  <c r="P78" i="9"/>
  <c r="T78" i="9"/>
  <c r="O78" i="9"/>
  <c r="R78" i="12"/>
  <c r="AJ82" i="10"/>
  <c r="AH83" i="10"/>
  <c r="G80" i="11"/>
  <c r="G81" i="11" s="1"/>
  <c r="M79" i="11"/>
  <c r="X79" i="11" s="1"/>
  <c r="L79" i="11"/>
  <c r="W79" i="11" s="1"/>
  <c r="H79" i="10"/>
  <c r="R78" i="10"/>
  <c r="S78" i="10"/>
  <c r="AA78" i="10"/>
  <c r="Z78" i="10"/>
  <c r="AJ82" i="12"/>
  <c r="AH83" i="12"/>
  <c r="G79" i="10"/>
  <c r="M78" i="10"/>
  <c r="X78" i="10" s="1"/>
  <c r="L78" i="10"/>
  <c r="W78" i="10" s="1"/>
  <c r="P78" i="12"/>
  <c r="J79" i="12"/>
  <c r="Q78" i="12"/>
  <c r="U78" i="12"/>
  <c r="T78" i="12"/>
  <c r="O78" i="12"/>
  <c r="H81" i="9"/>
  <c r="J79" i="10"/>
  <c r="Q78" i="10"/>
  <c r="P78" i="10"/>
  <c r="U78" i="10"/>
  <c r="T78" i="10"/>
  <c r="O78" i="10"/>
  <c r="O79" i="11"/>
  <c r="M79" i="12"/>
  <c r="X79" i="12" s="1"/>
  <c r="L79" i="12"/>
  <c r="W79" i="12" s="1"/>
  <c r="G80" i="12"/>
  <c r="H80" i="11"/>
  <c r="S79" i="11"/>
  <c r="AA79" i="11"/>
  <c r="Z79" i="11"/>
  <c r="U79" i="11"/>
  <c r="Q79" i="11"/>
  <c r="P79" i="11"/>
  <c r="T79" i="11"/>
  <c r="J82" i="11"/>
  <c r="L78" i="12"/>
  <c r="W78" i="12" s="1"/>
  <c r="L78" i="9"/>
  <c r="W78" i="9" s="1"/>
  <c r="G79" i="9"/>
  <c r="M78" i="9"/>
  <c r="X78" i="9" s="1"/>
  <c r="Z78" i="9"/>
  <c r="S78" i="9"/>
  <c r="R78" i="9"/>
  <c r="AA78" i="9"/>
  <c r="S78" i="12"/>
  <c r="AJ82" i="9"/>
  <c r="AH83" i="9"/>
  <c r="AA79" i="12"/>
  <c r="Z79" i="12"/>
  <c r="H80" i="12"/>
  <c r="S79" i="12"/>
  <c r="R79" i="12"/>
  <c r="J80" i="8"/>
  <c r="Q79" i="8"/>
  <c r="P79" i="8"/>
  <c r="U79" i="8"/>
  <c r="T79" i="8"/>
  <c r="O79" i="8"/>
  <c r="AJ83" i="8"/>
  <c r="AH84" i="8"/>
  <c r="AA79" i="8"/>
  <c r="Z79" i="8"/>
  <c r="H80" i="8"/>
  <c r="M79" i="8"/>
  <c r="X79" i="8" s="1"/>
  <c r="L79" i="8"/>
  <c r="W79" i="8" s="1"/>
  <c r="G80" i="8"/>
  <c r="G81" i="8" s="1"/>
  <c r="J81" i="7"/>
  <c r="H81" i="7"/>
  <c r="AJ83" i="7"/>
  <c r="AH84" i="7"/>
  <c r="AJ82" i="6"/>
  <c r="AH83" i="6"/>
  <c r="J81" i="6"/>
  <c r="M79" i="6"/>
  <c r="X79" i="6" s="1"/>
  <c r="L79" i="6"/>
  <c r="W79" i="6" s="1"/>
  <c r="G80" i="6"/>
  <c r="G81" i="6" s="1"/>
  <c r="AA79" i="6"/>
  <c r="Z79" i="6"/>
  <c r="H80" i="6"/>
  <c r="S79" i="6"/>
  <c r="R79" i="6"/>
  <c r="O80" i="6"/>
  <c r="M79" i="4"/>
  <c r="X79" i="4" s="1"/>
  <c r="AA79" i="4"/>
  <c r="Z79" i="4"/>
  <c r="Q79" i="4"/>
  <c r="G80" i="4"/>
  <c r="P79" i="4"/>
  <c r="U79" i="4"/>
  <c r="T79" i="4"/>
  <c r="N81" i="4"/>
  <c r="O79" i="4"/>
  <c r="AJ82" i="4"/>
  <c r="E82" i="4" s="1"/>
  <c r="AH83" i="4"/>
  <c r="H80" i="4"/>
  <c r="S79" i="4"/>
  <c r="R79" i="4"/>
  <c r="L79" i="4"/>
  <c r="W79" i="4" s="1"/>
  <c r="J82" i="4"/>
  <c r="H84" i="28" l="1"/>
  <c r="D83" i="28"/>
  <c r="C83" i="28"/>
  <c r="AJ85" i="28"/>
  <c r="E85" i="28" s="1"/>
  <c r="N85" i="28" s="1"/>
  <c r="AH86" i="28"/>
  <c r="L81" i="28"/>
  <c r="J82" i="28"/>
  <c r="AJ86" i="27"/>
  <c r="E86" i="27" s="1"/>
  <c r="N86" i="27" s="1"/>
  <c r="AH87" i="27"/>
  <c r="H83" i="27"/>
  <c r="D82" i="27"/>
  <c r="C82" i="27"/>
  <c r="D84" i="25"/>
  <c r="C84" i="25"/>
  <c r="H85" i="25"/>
  <c r="H83" i="24"/>
  <c r="D82" i="24"/>
  <c r="C82" i="24"/>
  <c r="J83" i="25"/>
  <c r="L82" i="25"/>
  <c r="AJ84" i="25"/>
  <c r="E84" i="25" s="1"/>
  <c r="N84" i="25" s="1"/>
  <c r="AH85" i="25"/>
  <c r="J82" i="24"/>
  <c r="L81" i="24"/>
  <c r="H83" i="26"/>
  <c r="C82" i="26"/>
  <c r="D82" i="26"/>
  <c r="L82" i="27"/>
  <c r="L81" i="26"/>
  <c r="J82" i="26"/>
  <c r="J84" i="27"/>
  <c r="L83" i="27"/>
  <c r="AJ85" i="24"/>
  <c r="E85" i="24" s="1"/>
  <c r="N85" i="24" s="1"/>
  <c r="AH86" i="24"/>
  <c r="AJ84" i="26"/>
  <c r="E84" i="26" s="1"/>
  <c r="N84" i="26" s="1"/>
  <c r="AH85" i="26"/>
  <c r="D83" i="22"/>
  <c r="C83" i="22"/>
  <c r="H84" i="22"/>
  <c r="J82" i="23"/>
  <c r="L81" i="23"/>
  <c r="AJ85" i="23"/>
  <c r="E85" i="23" s="1"/>
  <c r="N85" i="23" s="1"/>
  <c r="AH86" i="23"/>
  <c r="H82" i="23"/>
  <c r="D81" i="23"/>
  <c r="C81" i="23"/>
  <c r="AJ85" i="22"/>
  <c r="E85" i="22" s="1"/>
  <c r="N85" i="22" s="1"/>
  <c r="AH86" i="22"/>
  <c r="L81" i="22"/>
  <c r="J82" i="22"/>
  <c r="H83" i="21"/>
  <c r="D82" i="21"/>
  <c r="C82" i="21"/>
  <c r="AJ85" i="21"/>
  <c r="E85" i="21" s="1"/>
  <c r="N85" i="21" s="1"/>
  <c r="AH86" i="21"/>
  <c r="J82" i="21"/>
  <c r="L81" i="21"/>
  <c r="J82" i="20"/>
  <c r="L81" i="20"/>
  <c r="AJ85" i="20"/>
  <c r="E85" i="20" s="1"/>
  <c r="N85" i="20" s="1"/>
  <c r="AH86" i="20"/>
  <c r="D83" i="20"/>
  <c r="C83" i="20"/>
  <c r="H84" i="20"/>
  <c r="J81" i="19"/>
  <c r="H81" i="19"/>
  <c r="AJ86" i="19"/>
  <c r="E86" i="19" s="1"/>
  <c r="AH87" i="19"/>
  <c r="N85" i="19"/>
  <c r="M79" i="19"/>
  <c r="X79" i="19" s="1"/>
  <c r="G80" i="19"/>
  <c r="O80" i="19" s="1"/>
  <c r="L79" i="19"/>
  <c r="W79" i="19" s="1"/>
  <c r="O79" i="19"/>
  <c r="AA78" i="7"/>
  <c r="T78" i="7"/>
  <c r="O78" i="7"/>
  <c r="P78" i="7"/>
  <c r="U78" i="7"/>
  <c r="Q78" i="7"/>
  <c r="Z78" i="7"/>
  <c r="C78" i="7"/>
  <c r="R78" i="7" s="1"/>
  <c r="G79" i="7"/>
  <c r="M78" i="7"/>
  <c r="X78" i="7" s="1"/>
  <c r="D78" i="7"/>
  <c r="S78" i="7" s="1"/>
  <c r="L78" i="7"/>
  <c r="W78" i="7" s="1"/>
  <c r="D81" i="1"/>
  <c r="S81" i="1" s="1"/>
  <c r="L81" i="1"/>
  <c r="W81" i="1" s="1"/>
  <c r="C81" i="1"/>
  <c r="R81" i="1" s="1"/>
  <c r="T81" i="1"/>
  <c r="O81" i="1"/>
  <c r="M81" i="1"/>
  <c r="X81" i="1" s="1"/>
  <c r="P81" i="1"/>
  <c r="Q81" i="1"/>
  <c r="AA81" i="1"/>
  <c r="Z81" i="1"/>
  <c r="G82" i="1"/>
  <c r="U81" i="1"/>
  <c r="M81" i="18"/>
  <c r="X81" i="18" s="1"/>
  <c r="P81" i="18"/>
  <c r="G82" i="18"/>
  <c r="U81" i="18"/>
  <c r="Q81" i="18"/>
  <c r="D81" i="18"/>
  <c r="S81" i="18" s="1"/>
  <c r="C81" i="18"/>
  <c r="R81" i="18" s="1"/>
  <c r="N81" i="18"/>
  <c r="O81" i="18" s="1"/>
  <c r="T81" i="18"/>
  <c r="N82" i="13"/>
  <c r="N81" i="11"/>
  <c r="O81" i="11" s="1"/>
  <c r="T81" i="11"/>
  <c r="M81" i="11"/>
  <c r="X81" i="11" s="1"/>
  <c r="Q81" i="11"/>
  <c r="P81" i="11"/>
  <c r="G82" i="11"/>
  <c r="U81" i="11"/>
  <c r="D81" i="11"/>
  <c r="S81" i="11" s="1"/>
  <c r="C81" i="11"/>
  <c r="R81" i="11" s="1"/>
  <c r="N81" i="10"/>
  <c r="D80" i="18"/>
  <c r="C80" i="18"/>
  <c r="R80" i="18" s="1"/>
  <c r="E82" i="18"/>
  <c r="P78" i="17"/>
  <c r="D78" i="17"/>
  <c r="C78" i="17"/>
  <c r="E83" i="17"/>
  <c r="N83" i="17" s="1"/>
  <c r="R79" i="16"/>
  <c r="D79" i="16"/>
  <c r="C79" i="16"/>
  <c r="E81" i="16"/>
  <c r="N81" i="16" s="1"/>
  <c r="E82" i="15"/>
  <c r="N82" i="15" s="1"/>
  <c r="D78" i="15"/>
  <c r="C78" i="15"/>
  <c r="E82" i="14"/>
  <c r="N82" i="14" s="1"/>
  <c r="Z79" i="14"/>
  <c r="D79" i="14"/>
  <c r="S79" i="14" s="1"/>
  <c r="C79" i="14"/>
  <c r="E83" i="13"/>
  <c r="D78" i="13"/>
  <c r="S78" i="13" s="1"/>
  <c r="C78" i="13"/>
  <c r="R78" i="13" s="1"/>
  <c r="E82" i="12"/>
  <c r="N82" i="12" s="1"/>
  <c r="D80" i="12"/>
  <c r="C80" i="12"/>
  <c r="E82" i="11"/>
  <c r="D80" i="11"/>
  <c r="S80" i="11" s="1"/>
  <c r="C80" i="11"/>
  <c r="R80" i="11" s="1"/>
  <c r="D79" i="10"/>
  <c r="C79" i="10"/>
  <c r="E82" i="10"/>
  <c r="N81" i="9"/>
  <c r="E82" i="9"/>
  <c r="D79" i="9"/>
  <c r="C79" i="9"/>
  <c r="M81" i="8"/>
  <c r="X81" i="8" s="1"/>
  <c r="G82" i="8"/>
  <c r="U81" i="8"/>
  <c r="Q81" i="8"/>
  <c r="P81" i="8"/>
  <c r="D81" i="8"/>
  <c r="S81" i="8" s="1"/>
  <c r="C81" i="8"/>
  <c r="R81" i="8" s="1"/>
  <c r="N82" i="8"/>
  <c r="T82" i="8"/>
  <c r="T81" i="8"/>
  <c r="O81" i="8"/>
  <c r="E83" i="8"/>
  <c r="D80" i="8"/>
  <c r="C80" i="8"/>
  <c r="N82" i="7"/>
  <c r="M81" i="6"/>
  <c r="X81" i="6" s="1"/>
  <c r="Q81" i="6"/>
  <c r="P81" i="6"/>
  <c r="G82" i="6"/>
  <c r="U81" i="6"/>
  <c r="D81" i="6"/>
  <c r="S81" i="6" s="1"/>
  <c r="C81" i="6"/>
  <c r="R81" i="6" s="1"/>
  <c r="N81" i="6"/>
  <c r="O81" i="6" s="1"/>
  <c r="T81" i="6"/>
  <c r="E82" i="6"/>
  <c r="Q80" i="6"/>
  <c r="D80" i="6"/>
  <c r="S80" i="6" s="1"/>
  <c r="C80" i="6"/>
  <c r="C80" i="4"/>
  <c r="D80" i="4"/>
  <c r="S80" i="4" s="1"/>
  <c r="O80" i="4"/>
  <c r="E83" i="7"/>
  <c r="O80" i="18"/>
  <c r="T80" i="6"/>
  <c r="AA80" i="18"/>
  <c r="Z80" i="18"/>
  <c r="H81" i="18"/>
  <c r="S80" i="18"/>
  <c r="M80" i="18"/>
  <c r="X80" i="18" s="1"/>
  <c r="L80" i="18"/>
  <c r="W80" i="18" s="1"/>
  <c r="AJ83" i="18"/>
  <c r="AH84" i="18"/>
  <c r="J81" i="18"/>
  <c r="U80" i="18"/>
  <c r="Q80" i="18"/>
  <c r="P80" i="18"/>
  <c r="T80" i="18"/>
  <c r="H81" i="17"/>
  <c r="J80" i="17"/>
  <c r="U79" i="17"/>
  <c r="Q79" i="17"/>
  <c r="P79" i="17"/>
  <c r="T79" i="17"/>
  <c r="O79" i="17"/>
  <c r="M78" i="17"/>
  <c r="X78" i="17" s="1"/>
  <c r="L78" i="17"/>
  <c r="W78" i="17" s="1"/>
  <c r="G79" i="17"/>
  <c r="R78" i="17"/>
  <c r="AA78" i="17"/>
  <c r="Z78" i="17"/>
  <c r="S78" i="17"/>
  <c r="AJ84" i="17"/>
  <c r="AH85" i="17"/>
  <c r="AA79" i="14"/>
  <c r="H81" i="14"/>
  <c r="M78" i="15"/>
  <c r="X78" i="15" s="1"/>
  <c r="L78" i="15"/>
  <c r="W78" i="15" s="1"/>
  <c r="G79" i="15"/>
  <c r="R78" i="15"/>
  <c r="Z78" i="15"/>
  <c r="AA78" i="15"/>
  <c r="O78" i="15"/>
  <c r="P78" i="15"/>
  <c r="S78" i="15"/>
  <c r="Q78" i="15"/>
  <c r="U78" i="15"/>
  <c r="T78" i="15"/>
  <c r="Q79" i="14"/>
  <c r="P79" i="14"/>
  <c r="J80" i="14"/>
  <c r="U79" i="14"/>
  <c r="T79" i="14"/>
  <c r="O79" i="14"/>
  <c r="AJ82" i="16"/>
  <c r="AH83" i="16"/>
  <c r="AJ83" i="14"/>
  <c r="AH84" i="14"/>
  <c r="H81" i="13"/>
  <c r="M79" i="16"/>
  <c r="X79" i="16" s="1"/>
  <c r="L79" i="16"/>
  <c r="W79" i="16" s="1"/>
  <c r="G80" i="16"/>
  <c r="AJ83" i="15"/>
  <c r="AH84" i="15"/>
  <c r="M78" i="13"/>
  <c r="X78" i="13" s="1"/>
  <c r="L78" i="13"/>
  <c r="W78" i="13" s="1"/>
  <c r="G79" i="13"/>
  <c r="O78" i="13"/>
  <c r="T78" i="13"/>
  <c r="Q78" i="13"/>
  <c r="P78" i="13"/>
  <c r="AA78" i="13"/>
  <c r="Z78" i="13"/>
  <c r="U78" i="13"/>
  <c r="AJ84" i="13"/>
  <c r="AH85" i="13"/>
  <c r="J81" i="15"/>
  <c r="L79" i="14"/>
  <c r="W79" i="14" s="1"/>
  <c r="G80" i="14"/>
  <c r="M79" i="14"/>
  <c r="X79" i="14" s="1"/>
  <c r="H81" i="15"/>
  <c r="S79" i="16"/>
  <c r="J80" i="16"/>
  <c r="O80" i="16" s="1"/>
  <c r="Q79" i="16"/>
  <c r="P79" i="16"/>
  <c r="U79" i="16"/>
  <c r="T79" i="16"/>
  <c r="H81" i="16"/>
  <c r="J82" i="13"/>
  <c r="R79" i="14"/>
  <c r="Z79" i="16"/>
  <c r="H81" i="11"/>
  <c r="AA80" i="11"/>
  <c r="Z80" i="11"/>
  <c r="Q80" i="11"/>
  <c r="P80" i="11"/>
  <c r="U80" i="11"/>
  <c r="T80" i="11"/>
  <c r="J83" i="11"/>
  <c r="M80" i="12"/>
  <c r="X80" i="12" s="1"/>
  <c r="AJ83" i="12"/>
  <c r="AH84" i="12"/>
  <c r="AJ83" i="10"/>
  <c r="AH84" i="10"/>
  <c r="G80" i="10"/>
  <c r="G81" i="10" s="1"/>
  <c r="L79" i="10"/>
  <c r="W79" i="10" s="1"/>
  <c r="M79" i="10"/>
  <c r="X79" i="10" s="1"/>
  <c r="AJ83" i="9"/>
  <c r="AH84" i="9"/>
  <c r="H82" i="9"/>
  <c r="H80" i="10"/>
  <c r="R79" i="10"/>
  <c r="S79" i="10"/>
  <c r="AA79" i="10"/>
  <c r="Z79" i="10"/>
  <c r="J80" i="12"/>
  <c r="Q79" i="12"/>
  <c r="P79" i="12"/>
  <c r="U79" i="12"/>
  <c r="T79" i="12"/>
  <c r="O79" i="12"/>
  <c r="O80" i="11"/>
  <c r="J80" i="9"/>
  <c r="U79" i="9"/>
  <c r="Q79" i="9"/>
  <c r="P79" i="9"/>
  <c r="T79" i="9"/>
  <c r="O79" i="9"/>
  <c r="G80" i="9"/>
  <c r="G81" i="9" s="1"/>
  <c r="M79" i="9"/>
  <c r="X79" i="9" s="1"/>
  <c r="L79" i="9"/>
  <c r="W79" i="9" s="1"/>
  <c r="S79" i="9"/>
  <c r="R79" i="9"/>
  <c r="AA79" i="9"/>
  <c r="Z79" i="9"/>
  <c r="P79" i="10"/>
  <c r="Q79" i="10"/>
  <c r="J80" i="10"/>
  <c r="U79" i="10"/>
  <c r="T79" i="10"/>
  <c r="O79" i="10"/>
  <c r="AJ83" i="11"/>
  <c r="AH84" i="11"/>
  <c r="AA80" i="12"/>
  <c r="Z80" i="12"/>
  <c r="H81" i="12"/>
  <c r="S80" i="12"/>
  <c r="R80" i="12"/>
  <c r="M80" i="11"/>
  <c r="X80" i="11" s="1"/>
  <c r="L80" i="11"/>
  <c r="W80" i="11" s="1"/>
  <c r="AJ84" i="8"/>
  <c r="AH85" i="8"/>
  <c r="AA80" i="8"/>
  <c r="Z80" i="8"/>
  <c r="H81" i="8"/>
  <c r="S80" i="8"/>
  <c r="R80" i="8"/>
  <c r="M80" i="8"/>
  <c r="X80" i="8" s="1"/>
  <c r="L80" i="8"/>
  <c r="W80" i="8" s="1"/>
  <c r="J81" i="8"/>
  <c r="Q80" i="8"/>
  <c r="P80" i="8"/>
  <c r="U80" i="8"/>
  <c r="T80" i="8"/>
  <c r="O80" i="8"/>
  <c r="J82" i="7"/>
  <c r="AJ84" i="7"/>
  <c r="AH85" i="7"/>
  <c r="H82" i="7"/>
  <c r="U80" i="6"/>
  <c r="P80" i="6"/>
  <c r="J82" i="6"/>
  <c r="AJ83" i="6"/>
  <c r="AH84" i="6"/>
  <c r="M80" i="6"/>
  <c r="X80" i="6" s="1"/>
  <c r="L80" i="6"/>
  <c r="W80" i="6" s="1"/>
  <c r="AA80" i="6"/>
  <c r="Z80" i="6"/>
  <c r="H81" i="6"/>
  <c r="R80" i="6"/>
  <c r="M80" i="4"/>
  <c r="X80" i="4" s="1"/>
  <c r="Z80" i="4"/>
  <c r="Q80" i="4"/>
  <c r="G81" i="4"/>
  <c r="P80" i="4"/>
  <c r="AA80" i="4"/>
  <c r="U80" i="4"/>
  <c r="T80" i="4"/>
  <c r="N82" i="4"/>
  <c r="J83" i="4"/>
  <c r="H81" i="4"/>
  <c r="R80" i="4"/>
  <c r="L80" i="4"/>
  <c r="W80" i="4" s="1"/>
  <c r="AJ83" i="4"/>
  <c r="E83" i="4" s="1"/>
  <c r="AH84" i="4"/>
  <c r="J83" i="28" l="1"/>
  <c r="L82" i="28"/>
  <c r="AJ86" i="28"/>
  <c r="E86" i="28" s="1"/>
  <c r="N86" i="28" s="1"/>
  <c r="AH87" i="28"/>
  <c r="H85" i="28"/>
  <c r="D84" i="28"/>
  <c r="C84" i="28"/>
  <c r="J85" i="27"/>
  <c r="J84" i="25"/>
  <c r="L83" i="25"/>
  <c r="H84" i="24"/>
  <c r="D83" i="24"/>
  <c r="C83" i="24"/>
  <c r="D85" i="25"/>
  <c r="C85" i="25"/>
  <c r="H86" i="25"/>
  <c r="H84" i="26"/>
  <c r="D83" i="26"/>
  <c r="C83" i="26"/>
  <c r="AJ85" i="26"/>
  <c r="E85" i="26" s="1"/>
  <c r="N85" i="26" s="1"/>
  <c r="AH86" i="26"/>
  <c r="J83" i="26"/>
  <c r="L82" i="26"/>
  <c r="J83" i="24"/>
  <c r="L82" i="24"/>
  <c r="AJ86" i="24"/>
  <c r="E86" i="24" s="1"/>
  <c r="N86" i="24" s="1"/>
  <c r="AH87" i="24"/>
  <c r="AJ85" i="25"/>
  <c r="E85" i="25" s="1"/>
  <c r="N85" i="25" s="1"/>
  <c r="AH86" i="25"/>
  <c r="H84" i="27"/>
  <c r="D83" i="27"/>
  <c r="C83" i="27"/>
  <c r="AJ87" i="27"/>
  <c r="E87" i="27" s="1"/>
  <c r="N87" i="27" s="1"/>
  <c r="AH88" i="27"/>
  <c r="AH87" i="22"/>
  <c r="AJ86" i="22"/>
  <c r="E86" i="22" s="1"/>
  <c r="N86" i="22" s="1"/>
  <c r="H83" i="23"/>
  <c r="D82" i="23"/>
  <c r="C82" i="23"/>
  <c r="AJ86" i="23"/>
  <c r="E86" i="23" s="1"/>
  <c r="N86" i="23" s="1"/>
  <c r="AH87" i="23"/>
  <c r="L82" i="23"/>
  <c r="J83" i="23"/>
  <c r="D84" i="22"/>
  <c r="C84" i="22"/>
  <c r="H85" i="22"/>
  <c r="J83" i="22"/>
  <c r="L82" i="22"/>
  <c r="J83" i="21"/>
  <c r="L82" i="21"/>
  <c r="AJ86" i="21"/>
  <c r="E86" i="21" s="1"/>
  <c r="N86" i="21" s="1"/>
  <c r="AH87" i="21"/>
  <c r="H84" i="21"/>
  <c r="D83" i="21"/>
  <c r="C83" i="21"/>
  <c r="H85" i="20"/>
  <c r="D84" i="20"/>
  <c r="C84" i="20"/>
  <c r="AJ86" i="20"/>
  <c r="E86" i="20" s="1"/>
  <c r="N86" i="20" s="1"/>
  <c r="AH87" i="20"/>
  <c r="L82" i="20"/>
  <c r="J83" i="20"/>
  <c r="D80" i="19"/>
  <c r="S80" i="19" s="1"/>
  <c r="C80" i="19"/>
  <c r="R80" i="19" s="1"/>
  <c r="Z80" i="19"/>
  <c r="AA80" i="19"/>
  <c r="H82" i="19"/>
  <c r="M80" i="19"/>
  <c r="X80" i="19" s="1"/>
  <c r="L80" i="19"/>
  <c r="W80" i="19" s="1"/>
  <c r="G81" i="19"/>
  <c r="Q81" i="19" s="1"/>
  <c r="T80" i="19"/>
  <c r="U80" i="19"/>
  <c r="P80" i="19"/>
  <c r="Q80" i="19"/>
  <c r="N86" i="19"/>
  <c r="AH88" i="19"/>
  <c r="AJ87" i="19"/>
  <c r="E87" i="19" s="1"/>
  <c r="J82" i="19"/>
  <c r="O81" i="19"/>
  <c r="D81" i="14"/>
  <c r="C81" i="14"/>
  <c r="D81" i="16"/>
  <c r="C81" i="16"/>
  <c r="AA79" i="7"/>
  <c r="M79" i="7"/>
  <c r="X79" i="7" s="1"/>
  <c r="L79" i="7"/>
  <c r="W79" i="7" s="1"/>
  <c r="T79" i="7"/>
  <c r="G80" i="7"/>
  <c r="Z79" i="7"/>
  <c r="D79" i="7"/>
  <c r="S79" i="7" s="1"/>
  <c r="O79" i="7"/>
  <c r="C79" i="7"/>
  <c r="R79" i="7" s="1"/>
  <c r="U79" i="7"/>
  <c r="P79" i="7"/>
  <c r="Q79" i="7"/>
  <c r="Z82" i="1"/>
  <c r="U82" i="1"/>
  <c r="AA82" i="1"/>
  <c r="Q82" i="1"/>
  <c r="G83" i="1"/>
  <c r="P82" i="1"/>
  <c r="C82" i="1"/>
  <c r="R82" i="1" s="1"/>
  <c r="L82" i="1"/>
  <c r="W82" i="1" s="1"/>
  <c r="M82" i="1"/>
  <c r="X82" i="1" s="1"/>
  <c r="T82" i="1"/>
  <c r="O82" i="1"/>
  <c r="D82" i="1"/>
  <c r="S82" i="1" s="1"/>
  <c r="O82" i="8"/>
  <c r="N82" i="18"/>
  <c r="O82" i="18" s="1"/>
  <c r="T82" i="18"/>
  <c r="M82" i="18"/>
  <c r="X82" i="18" s="1"/>
  <c r="P82" i="18"/>
  <c r="G83" i="18"/>
  <c r="Q82" i="18"/>
  <c r="AA82" i="18"/>
  <c r="Z82" i="18"/>
  <c r="U82" i="18"/>
  <c r="C82" i="18"/>
  <c r="R82" i="18" s="1"/>
  <c r="D82" i="18"/>
  <c r="S82" i="18" s="1"/>
  <c r="N83" i="13"/>
  <c r="N82" i="11"/>
  <c r="O82" i="11" s="1"/>
  <c r="T82" i="11"/>
  <c r="M82" i="11"/>
  <c r="X82" i="11" s="1"/>
  <c r="Q82" i="11"/>
  <c r="P82" i="11"/>
  <c r="G83" i="11"/>
  <c r="AA82" i="11"/>
  <c r="Z82" i="11"/>
  <c r="U82" i="11"/>
  <c r="D82" i="11"/>
  <c r="S82" i="11" s="1"/>
  <c r="C82" i="11"/>
  <c r="R82" i="11" s="1"/>
  <c r="N82" i="10"/>
  <c r="M81" i="10"/>
  <c r="X81" i="10" s="1"/>
  <c r="G82" i="10"/>
  <c r="U81" i="10"/>
  <c r="Q81" i="10"/>
  <c r="P81" i="10"/>
  <c r="C81" i="10"/>
  <c r="R81" i="10" s="1"/>
  <c r="D81" i="10"/>
  <c r="S81" i="10" s="1"/>
  <c r="T81" i="10"/>
  <c r="O81" i="10"/>
  <c r="E83" i="18"/>
  <c r="C79" i="17"/>
  <c r="D79" i="17"/>
  <c r="E84" i="17"/>
  <c r="N84" i="17" s="1"/>
  <c r="E82" i="16"/>
  <c r="N82" i="16" s="1"/>
  <c r="AA80" i="16"/>
  <c r="D80" i="16"/>
  <c r="C80" i="16"/>
  <c r="E83" i="15"/>
  <c r="N83" i="15" s="1"/>
  <c r="D79" i="15"/>
  <c r="C79" i="15"/>
  <c r="C80" i="14"/>
  <c r="D80" i="14"/>
  <c r="S80" i="14" s="1"/>
  <c r="E83" i="14"/>
  <c r="N83" i="14" s="1"/>
  <c r="E84" i="13"/>
  <c r="D79" i="13"/>
  <c r="C79" i="13"/>
  <c r="E83" i="12"/>
  <c r="N83" i="12" s="1"/>
  <c r="E83" i="11"/>
  <c r="E83" i="10"/>
  <c r="D80" i="10"/>
  <c r="C80" i="10"/>
  <c r="M81" i="9"/>
  <c r="X81" i="9" s="1"/>
  <c r="G82" i="9"/>
  <c r="T82" i="9" s="1"/>
  <c r="U81" i="9"/>
  <c r="Q81" i="9"/>
  <c r="P81" i="9"/>
  <c r="D81" i="9"/>
  <c r="S81" i="9" s="1"/>
  <c r="C81" i="9"/>
  <c r="R81" i="9" s="1"/>
  <c r="N82" i="9"/>
  <c r="Z81" i="9"/>
  <c r="T81" i="9"/>
  <c r="AA81" i="9"/>
  <c r="O81" i="9"/>
  <c r="E83" i="9"/>
  <c r="D80" i="9"/>
  <c r="S80" i="9" s="1"/>
  <c r="C80" i="9"/>
  <c r="N83" i="8"/>
  <c r="M82" i="8"/>
  <c r="X82" i="8" s="1"/>
  <c r="AA82" i="8"/>
  <c r="Z82" i="8"/>
  <c r="P82" i="8"/>
  <c r="G83" i="8"/>
  <c r="U82" i="8"/>
  <c r="Q82" i="8"/>
  <c r="C82" i="8"/>
  <c r="R82" i="8" s="1"/>
  <c r="D82" i="8"/>
  <c r="S82" i="8" s="1"/>
  <c r="E84" i="8"/>
  <c r="N83" i="7"/>
  <c r="M82" i="6"/>
  <c r="X82" i="6" s="1"/>
  <c r="U82" i="6"/>
  <c r="Q82" i="6"/>
  <c r="P82" i="6"/>
  <c r="G83" i="6"/>
  <c r="Z82" i="6"/>
  <c r="D82" i="6"/>
  <c r="S82" i="6" s="1"/>
  <c r="C82" i="6"/>
  <c r="R82" i="6" s="1"/>
  <c r="N82" i="6"/>
  <c r="O82" i="6" s="1"/>
  <c r="T82" i="6"/>
  <c r="E83" i="6"/>
  <c r="D81" i="4"/>
  <c r="S81" i="4" s="1"/>
  <c r="C81" i="4"/>
  <c r="R81" i="4" s="1"/>
  <c r="E84" i="7"/>
  <c r="S80" i="16"/>
  <c r="Z80" i="16"/>
  <c r="R80" i="16"/>
  <c r="J82" i="18"/>
  <c r="L81" i="18"/>
  <c r="W81" i="18" s="1"/>
  <c r="AJ84" i="18"/>
  <c r="AH85" i="18"/>
  <c r="AA81" i="18"/>
  <c r="Z81" i="18"/>
  <c r="H82" i="18"/>
  <c r="AJ85" i="17"/>
  <c r="AH86" i="17"/>
  <c r="J81" i="17"/>
  <c r="U80" i="17"/>
  <c r="T80" i="17"/>
  <c r="O80" i="17"/>
  <c r="AA81" i="17"/>
  <c r="Z81" i="17"/>
  <c r="H82" i="17"/>
  <c r="M79" i="17"/>
  <c r="X79" i="17" s="1"/>
  <c r="L79" i="17"/>
  <c r="W79" i="17" s="1"/>
  <c r="G80" i="17"/>
  <c r="S79" i="17"/>
  <c r="R79" i="17"/>
  <c r="AA79" i="17"/>
  <c r="Z79" i="17"/>
  <c r="AA81" i="16"/>
  <c r="Z81" i="16"/>
  <c r="H82" i="16"/>
  <c r="AA81" i="15"/>
  <c r="Z81" i="15"/>
  <c r="H82" i="15"/>
  <c r="L81" i="15"/>
  <c r="J82" i="15"/>
  <c r="J81" i="14"/>
  <c r="P80" i="14"/>
  <c r="U80" i="14"/>
  <c r="Q80" i="14"/>
  <c r="T80" i="14"/>
  <c r="O80" i="14"/>
  <c r="M79" i="15"/>
  <c r="X79" i="15" s="1"/>
  <c r="L79" i="15"/>
  <c r="W79" i="15" s="1"/>
  <c r="G80" i="15"/>
  <c r="S79" i="15"/>
  <c r="R79" i="15"/>
  <c r="O79" i="15"/>
  <c r="Q79" i="15"/>
  <c r="Z79" i="15"/>
  <c r="P79" i="15"/>
  <c r="U79" i="15"/>
  <c r="T79" i="15"/>
  <c r="AA79" i="15"/>
  <c r="H82" i="13"/>
  <c r="AA81" i="14"/>
  <c r="Z81" i="14"/>
  <c r="H82" i="14"/>
  <c r="AH85" i="14"/>
  <c r="AJ84" i="14"/>
  <c r="R80" i="14"/>
  <c r="AJ85" i="13"/>
  <c r="AH86" i="13"/>
  <c r="M79" i="13"/>
  <c r="X79" i="13" s="1"/>
  <c r="L79" i="13"/>
  <c r="W79" i="13" s="1"/>
  <c r="G80" i="13"/>
  <c r="G81" i="13" s="1"/>
  <c r="P79" i="13"/>
  <c r="O79" i="13"/>
  <c r="S79" i="13"/>
  <c r="T79" i="13"/>
  <c r="U79" i="13"/>
  <c r="R79" i="13"/>
  <c r="AA79" i="13"/>
  <c r="Q79" i="13"/>
  <c r="Z79" i="13"/>
  <c r="M80" i="14"/>
  <c r="X80" i="14" s="1"/>
  <c r="L80" i="14"/>
  <c r="W80" i="14" s="1"/>
  <c r="AJ84" i="15"/>
  <c r="AH85" i="15"/>
  <c r="AJ83" i="16"/>
  <c r="AH84" i="16"/>
  <c r="Z80" i="14"/>
  <c r="AA80" i="14"/>
  <c r="J81" i="16"/>
  <c r="Q80" i="16"/>
  <c r="P80" i="16"/>
  <c r="U80" i="16"/>
  <c r="T80" i="16"/>
  <c r="M80" i="16"/>
  <c r="X80" i="16" s="1"/>
  <c r="L80" i="16"/>
  <c r="W80" i="16" s="1"/>
  <c r="J83" i="13"/>
  <c r="M80" i="9"/>
  <c r="X80" i="9" s="1"/>
  <c r="L80" i="9"/>
  <c r="W80" i="9" s="1"/>
  <c r="Z80" i="9"/>
  <c r="AA80" i="9"/>
  <c r="R80" i="9"/>
  <c r="AJ84" i="9"/>
  <c r="AH85" i="9"/>
  <c r="J84" i="11"/>
  <c r="J81" i="12"/>
  <c r="Q80" i="12"/>
  <c r="P80" i="12"/>
  <c r="U80" i="12"/>
  <c r="T80" i="12"/>
  <c r="O80" i="12"/>
  <c r="U80" i="10"/>
  <c r="Q80" i="10"/>
  <c r="P80" i="10"/>
  <c r="J81" i="10"/>
  <c r="T80" i="10"/>
  <c r="O80" i="10"/>
  <c r="M80" i="10"/>
  <c r="X80" i="10" s="1"/>
  <c r="L80" i="10"/>
  <c r="W80" i="10" s="1"/>
  <c r="AJ84" i="11"/>
  <c r="AH85" i="11"/>
  <c r="AJ84" i="10"/>
  <c r="AH85" i="10"/>
  <c r="Q80" i="9"/>
  <c r="P80" i="9"/>
  <c r="J81" i="9"/>
  <c r="U80" i="9"/>
  <c r="T80" i="9"/>
  <c r="O80" i="9"/>
  <c r="H81" i="10"/>
  <c r="S80" i="10"/>
  <c r="AA80" i="10"/>
  <c r="R80" i="10"/>
  <c r="Z80" i="10"/>
  <c r="AA81" i="12"/>
  <c r="Z81" i="12"/>
  <c r="H82" i="12"/>
  <c r="H83" i="9"/>
  <c r="AJ84" i="12"/>
  <c r="AH85" i="12"/>
  <c r="L80" i="12"/>
  <c r="W80" i="12" s="1"/>
  <c r="AA81" i="11"/>
  <c r="Z81" i="11"/>
  <c r="H82" i="11"/>
  <c r="L81" i="11"/>
  <c r="W81" i="11" s="1"/>
  <c r="L81" i="8"/>
  <c r="W81" i="8" s="1"/>
  <c r="J82" i="8"/>
  <c r="AA81" i="8"/>
  <c r="Z81" i="8"/>
  <c r="H82" i="8"/>
  <c r="AJ85" i="8"/>
  <c r="AH86" i="8"/>
  <c r="AJ85" i="7"/>
  <c r="AH86" i="7"/>
  <c r="J83" i="7"/>
  <c r="H83" i="7"/>
  <c r="AA81" i="6"/>
  <c r="Z81" i="6"/>
  <c r="H82" i="6"/>
  <c r="AJ84" i="6"/>
  <c r="AH85" i="6"/>
  <c r="L81" i="6"/>
  <c r="W81" i="6" s="1"/>
  <c r="L82" i="6"/>
  <c r="W82" i="6" s="1"/>
  <c r="J83" i="6"/>
  <c r="N83" i="4"/>
  <c r="M81" i="4"/>
  <c r="X81" i="4" s="1"/>
  <c r="Q81" i="4"/>
  <c r="G82" i="4"/>
  <c r="P81" i="4"/>
  <c r="AA81" i="4"/>
  <c r="Z81" i="4"/>
  <c r="U81" i="4"/>
  <c r="T81" i="4"/>
  <c r="O81" i="4"/>
  <c r="AJ84" i="4"/>
  <c r="E84" i="4" s="1"/>
  <c r="AH85" i="4"/>
  <c r="H82" i="4"/>
  <c r="L81" i="4"/>
  <c r="W81" i="4" s="1"/>
  <c r="J84" i="4"/>
  <c r="D85" i="28" l="1"/>
  <c r="C85" i="28"/>
  <c r="H86" i="28"/>
  <c r="AJ87" i="28"/>
  <c r="E87" i="28" s="1"/>
  <c r="N87" i="28" s="1"/>
  <c r="AH88" i="28"/>
  <c r="J84" i="28"/>
  <c r="L83" i="28"/>
  <c r="AJ87" i="24"/>
  <c r="E87" i="24" s="1"/>
  <c r="N87" i="24" s="1"/>
  <c r="AH88" i="24"/>
  <c r="H85" i="27"/>
  <c r="L85" i="27" s="1"/>
  <c r="D84" i="27"/>
  <c r="C84" i="27"/>
  <c r="AJ86" i="25"/>
  <c r="E86" i="25" s="1"/>
  <c r="N86" i="25" s="1"/>
  <c r="AH87" i="25"/>
  <c r="H85" i="26"/>
  <c r="D84" i="26"/>
  <c r="C84" i="26"/>
  <c r="D86" i="25"/>
  <c r="C86" i="25"/>
  <c r="H87" i="25"/>
  <c r="J84" i="24"/>
  <c r="L83" i="24"/>
  <c r="H85" i="24"/>
  <c r="D84" i="24"/>
  <c r="C84" i="24"/>
  <c r="AJ88" i="27"/>
  <c r="E88" i="27" s="1"/>
  <c r="N88" i="27" s="1"/>
  <c r="AH89" i="27"/>
  <c r="J84" i="26"/>
  <c r="L83" i="26"/>
  <c r="AJ86" i="26"/>
  <c r="E86" i="26" s="1"/>
  <c r="N86" i="26" s="1"/>
  <c r="AH87" i="26"/>
  <c r="J85" i="25"/>
  <c r="L84" i="25"/>
  <c r="L84" i="27"/>
  <c r="J86" i="27"/>
  <c r="J84" i="23"/>
  <c r="L83" i="23"/>
  <c r="AJ87" i="23"/>
  <c r="E87" i="23" s="1"/>
  <c r="N87" i="23" s="1"/>
  <c r="AH88" i="23"/>
  <c r="C85" i="22"/>
  <c r="H86" i="22"/>
  <c r="D85" i="22"/>
  <c r="H84" i="23"/>
  <c r="D83" i="23"/>
  <c r="C83" i="23"/>
  <c r="J84" i="22"/>
  <c r="L83" i="22"/>
  <c r="AJ87" i="22"/>
  <c r="E87" i="22" s="1"/>
  <c r="N87" i="22" s="1"/>
  <c r="AH88" i="22"/>
  <c r="H85" i="21"/>
  <c r="D84" i="21"/>
  <c r="C84" i="21"/>
  <c r="AJ87" i="21"/>
  <c r="E87" i="21" s="1"/>
  <c r="N87" i="21" s="1"/>
  <c r="AH88" i="21"/>
  <c r="J84" i="21"/>
  <c r="L83" i="21"/>
  <c r="J84" i="20"/>
  <c r="L83" i="20"/>
  <c r="AJ87" i="20"/>
  <c r="E87" i="20" s="1"/>
  <c r="N87" i="20" s="1"/>
  <c r="AH88" i="20"/>
  <c r="D85" i="20"/>
  <c r="C85" i="20"/>
  <c r="H86" i="20"/>
  <c r="T81" i="19"/>
  <c r="U81" i="19"/>
  <c r="P81" i="19"/>
  <c r="M81" i="19"/>
  <c r="X81" i="19" s="1"/>
  <c r="L81" i="19"/>
  <c r="W81" i="19" s="1"/>
  <c r="G82" i="19"/>
  <c r="Z82" i="19" s="1"/>
  <c r="J83" i="19"/>
  <c r="P82" i="19"/>
  <c r="U82" i="19"/>
  <c r="T82" i="19"/>
  <c r="O82" i="19"/>
  <c r="N87" i="19"/>
  <c r="H83" i="19"/>
  <c r="AJ88" i="19"/>
  <c r="E88" i="19" s="1"/>
  <c r="AH89" i="19"/>
  <c r="C81" i="19"/>
  <c r="R81" i="19" s="1"/>
  <c r="D81" i="19"/>
  <c r="S81" i="19" s="1"/>
  <c r="Z81" i="19"/>
  <c r="AA81" i="19"/>
  <c r="D82" i="14"/>
  <c r="C82" i="14"/>
  <c r="D82" i="16"/>
  <c r="C82" i="16"/>
  <c r="T80" i="7"/>
  <c r="Q80" i="7"/>
  <c r="U80" i="7"/>
  <c r="Z80" i="7"/>
  <c r="P80" i="7"/>
  <c r="D80" i="7"/>
  <c r="S80" i="7" s="1"/>
  <c r="C80" i="7"/>
  <c r="R80" i="7" s="1"/>
  <c r="AA80" i="7"/>
  <c r="M80" i="7"/>
  <c r="X80" i="7" s="1"/>
  <c r="G81" i="7"/>
  <c r="L80" i="7"/>
  <c r="W80" i="7" s="1"/>
  <c r="O80" i="7"/>
  <c r="U83" i="1"/>
  <c r="L83" i="1"/>
  <c r="W83" i="1" s="1"/>
  <c r="G84" i="1"/>
  <c r="D83" i="1"/>
  <c r="S83" i="1" s="1"/>
  <c r="M83" i="1"/>
  <c r="X83" i="1" s="1"/>
  <c r="AA83" i="1"/>
  <c r="T83" i="1"/>
  <c r="O83" i="1"/>
  <c r="C83" i="1"/>
  <c r="R83" i="1" s="1"/>
  <c r="Q83" i="1"/>
  <c r="Z83" i="1"/>
  <c r="P83" i="1"/>
  <c r="O82" i="9"/>
  <c r="M83" i="18"/>
  <c r="X83" i="18" s="1"/>
  <c r="G84" i="18"/>
  <c r="Z83" i="18"/>
  <c r="P83" i="18"/>
  <c r="U83" i="18"/>
  <c r="Q83" i="18"/>
  <c r="D83" i="18"/>
  <c r="S83" i="18" s="1"/>
  <c r="C83" i="18"/>
  <c r="R83" i="18" s="1"/>
  <c r="N83" i="18"/>
  <c r="O83" i="18" s="1"/>
  <c r="T83" i="18"/>
  <c r="M81" i="13"/>
  <c r="X81" i="13" s="1"/>
  <c r="U81" i="13"/>
  <c r="Q81" i="13"/>
  <c r="P81" i="13"/>
  <c r="G82" i="13"/>
  <c r="D81" i="13"/>
  <c r="S81" i="13" s="1"/>
  <c r="C81" i="13"/>
  <c r="R81" i="13" s="1"/>
  <c r="T81" i="13"/>
  <c r="L81" i="13"/>
  <c r="W81" i="13" s="1"/>
  <c r="O81" i="13"/>
  <c r="Z81" i="13"/>
  <c r="AA81" i="13"/>
  <c r="N84" i="13"/>
  <c r="D83" i="11"/>
  <c r="S83" i="11" s="1"/>
  <c r="Q83" i="11"/>
  <c r="P83" i="11"/>
  <c r="G84" i="11"/>
  <c r="Z83" i="11"/>
  <c r="U83" i="11"/>
  <c r="M83" i="11"/>
  <c r="X83" i="11" s="1"/>
  <c r="C83" i="11"/>
  <c r="R83" i="11" s="1"/>
  <c r="N83" i="11"/>
  <c r="O83" i="11" s="1"/>
  <c r="T83" i="11"/>
  <c r="N83" i="10"/>
  <c r="M82" i="10"/>
  <c r="X82" i="10" s="1"/>
  <c r="AA82" i="10"/>
  <c r="Z82" i="10"/>
  <c r="G83" i="10"/>
  <c r="U82" i="10"/>
  <c r="Q82" i="10"/>
  <c r="P82" i="10"/>
  <c r="C82" i="10"/>
  <c r="R82" i="10" s="1"/>
  <c r="D82" i="10"/>
  <c r="S82" i="10" s="1"/>
  <c r="T82" i="10"/>
  <c r="O82" i="10"/>
  <c r="E84" i="18"/>
  <c r="P80" i="17"/>
  <c r="D80" i="17"/>
  <c r="C80" i="17"/>
  <c r="E85" i="17"/>
  <c r="N85" i="17" s="1"/>
  <c r="E83" i="16"/>
  <c r="N83" i="16" s="1"/>
  <c r="C80" i="15"/>
  <c r="D80" i="15"/>
  <c r="E84" i="15"/>
  <c r="N84" i="15" s="1"/>
  <c r="E84" i="14"/>
  <c r="N84" i="14" s="1"/>
  <c r="C80" i="13"/>
  <c r="R80" i="13" s="1"/>
  <c r="D80" i="13"/>
  <c r="E85" i="13"/>
  <c r="E84" i="12"/>
  <c r="N84" i="12" s="1"/>
  <c r="E84" i="11"/>
  <c r="E84" i="10"/>
  <c r="N83" i="9"/>
  <c r="O83" i="9" s="1"/>
  <c r="M82" i="9"/>
  <c r="X82" i="9" s="1"/>
  <c r="G83" i="9"/>
  <c r="AA82" i="9"/>
  <c r="Z82" i="9"/>
  <c r="U82" i="9"/>
  <c r="Q82" i="9"/>
  <c r="P82" i="9"/>
  <c r="D82" i="9"/>
  <c r="S82" i="9" s="1"/>
  <c r="C82" i="9"/>
  <c r="R82" i="9" s="1"/>
  <c r="E84" i="9"/>
  <c r="M83" i="8"/>
  <c r="X83" i="8" s="1"/>
  <c r="AA83" i="8"/>
  <c r="Z83" i="8"/>
  <c r="G84" i="8"/>
  <c r="U83" i="8"/>
  <c r="Q83" i="8"/>
  <c r="P83" i="8"/>
  <c r="D83" i="8"/>
  <c r="S83" i="8" s="1"/>
  <c r="C83" i="8"/>
  <c r="R83" i="8" s="1"/>
  <c r="N84" i="8"/>
  <c r="O84" i="8" s="1"/>
  <c r="T84" i="8"/>
  <c r="T83" i="8"/>
  <c r="O83" i="8"/>
  <c r="E85" i="8"/>
  <c r="N84" i="7"/>
  <c r="N83" i="6"/>
  <c r="O83" i="6" s="1"/>
  <c r="T83" i="6"/>
  <c r="AA82" i="6"/>
  <c r="M83" i="6"/>
  <c r="X83" i="6" s="1"/>
  <c r="Q83" i="6"/>
  <c r="P83" i="6"/>
  <c r="G84" i="6"/>
  <c r="AA83" i="6"/>
  <c r="Z83" i="6"/>
  <c r="U83" i="6"/>
  <c r="D83" i="6"/>
  <c r="S83" i="6" s="1"/>
  <c r="C83" i="6"/>
  <c r="R83" i="6" s="1"/>
  <c r="E84" i="6"/>
  <c r="D82" i="4"/>
  <c r="C82" i="4"/>
  <c r="E85" i="7"/>
  <c r="H83" i="18"/>
  <c r="AJ85" i="18"/>
  <c r="AH86" i="18"/>
  <c r="L82" i="18"/>
  <c r="W82" i="18" s="1"/>
  <c r="J83" i="18"/>
  <c r="H83" i="17"/>
  <c r="M80" i="17"/>
  <c r="X80" i="17" s="1"/>
  <c r="L80" i="17"/>
  <c r="W80" i="17" s="1"/>
  <c r="AA80" i="17"/>
  <c r="Z80" i="17"/>
  <c r="S80" i="17"/>
  <c r="R80" i="17"/>
  <c r="Q80" i="17"/>
  <c r="L81" i="17"/>
  <c r="J82" i="17"/>
  <c r="AJ86" i="17"/>
  <c r="AH87" i="17"/>
  <c r="AJ86" i="13"/>
  <c r="AH87" i="13"/>
  <c r="H83" i="13"/>
  <c r="M80" i="15"/>
  <c r="X80" i="15" s="1"/>
  <c r="L80" i="15"/>
  <c r="W80" i="15" s="1"/>
  <c r="O80" i="15"/>
  <c r="U80" i="15"/>
  <c r="T80" i="15"/>
  <c r="S80" i="15"/>
  <c r="AA80" i="15"/>
  <c r="Z80" i="15"/>
  <c r="P80" i="15"/>
  <c r="R80" i="15"/>
  <c r="Q80" i="15"/>
  <c r="H83" i="15"/>
  <c r="J83" i="15"/>
  <c r="L82" i="15"/>
  <c r="L81" i="16"/>
  <c r="J82" i="16"/>
  <c r="AJ85" i="14"/>
  <c r="AH86" i="14"/>
  <c r="M80" i="13"/>
  <c r="X80" i="13" s="1"/>
  <c r="L80" i="13"/>
  <c r="W80" i="13" s="1"/>
  <c r="O80" i="13"/>
  <c r="T80" i="13"/>
  <c r="AA80" i="13"/>
  <c r="Q80" i="13"/>
  <c r="U80" i="13"/>
  <c r="Z80" i="13"/>
  <c r="P80" i="13"/>
  <c r="S80" i="13"/>
  <c r="AJ84" i="16"/>
  <c r="AH85" i="16"/>
  <c r="H83" i="16"/>
  <c r="H83" i="14"/>
  <c r="J84" i="13"/>
  <c r="AJ85" i="15"/>
  <c r="AH86" i="15"/>
  <c r="J82" i="14"/>
  <c r="L81" i="14"/>
  <c r="H84" i="9"/>
  <c r="AA81" i="10"/>
  <c r="H82" i="10"/>
  <c r="Z81" i="10"/>
  <c r="L81" i="12"/>
  <c r="J82" i="12"/>
  <c r="J85" i="11"/>
  <c r="J82" i="10"/>
  <c r="L81" i="10"/>
  <c r="W81" i="10" s="1"/>
  <c r="AJ85" i="9"/>
  <c r="AH86" i="9"/>
  <c r="H83" i="11"/>
  <c r="L82" i="11"/>
  <c r="W82" i="11" s="1"/>
  <c r="H83" i="12"/>
  <c r="L81" i="9"/>
  <c r="W81" i="9" s="1"/>
  <c r="J82" i="9"/>
  <c r="AJ85" i="10"/>
  <c r="AH86" i="10"/>
  <c r="AJ85" i="11"/>
  <c r="AH86" i="11"/>
  <c r="AJ85" i="12"/>
  <c r="AH86" i="12"/>
  <c r="H83" i="8"/>
  <c r="AJ86" i="8"/>
  <c r="AH87" i="8"/>
  <c r="J83" i="8"/>
  <c r="L82" i="8"/>
  <c r="W82" i="8" s="1"/>
  <c r="H84" i="7"/>
  <c r="J84" i="7"/>
  <c r="AJ86" i="7"/>
  <c r="AH87" i="7"/>
  <c r="J84" i="6"/>
  <c r="AJ85" i="6"/>
  <c r="AH86" i="6"/>
  <c r="H83" i="6"/>
  <c r="Q82" i="4"/>
  <c r="G83" i="4"/>
  <c r="O83" i="4" s="1"/>
  <c r="P82" i="4"/>
  <c r="M82" i="4"/>
  <c r="X82" i="4" s="1"/>
  <c r="AA82" i="4"/>
  <c r="Z82" i="4"/>
  <c r="U82" i="4"/>
  <c r="T82" i="4"/>
  <c r="N84" i="4"/>
  <c r="O82" i="4"/>
  <c r="H83" i="4"/>
  <c r="S82" i="4"/>
  <c r="R82" i="4"/>
  <c r="L82" i="4"/>
  <c r="W82" i="4" s="1"/>
  <c r="J85" i="4"/>
  <c r="AJ85" i="4"/>
  <c r="E85" i="4" s="1"/>
  <c r="AH86" i="4"/>
  <c r="L84" i="28" l="1"/>
  <c r="J85" i="28"/>
  <c r="AJ88" i="28"/>
  <c r="E88" i="28" s="1"/>
  <c r="N88" i="28" s="1"/>
  <c r="AH89" i="28"/>
  <c r="D86" i="28"/>
  <c r="C86" i="28"/>
  <c r="H87" i="28"/>
  <c r="AJ87" i="26"/>
  <c r="E87" i="26" s="1"/>
  <c r="N87" i="26" s="1"/>
  <c r="AH88" i="26"/>
  <c r="H86" i="26"/>
  <c r="D85" i="26"/>
  <c r="C85" i="26"/>
  <c r="AJ87" i="25"/>
  <c r="E87" i="25" s="1"/>
  <c r="N87" i="25" s="1"/>
  <c r="AH88" i="25"/>
  <c r="L84" i="26"/>
  <c r="J85" i="26"/>
  <c r="AJ89" i="27"/>
  <c r="E89" i="27" s="1"/>
  <c r="N89" i="27" s="1"/>
  <c r="AH90" i="27"/>
  <c r="J87" i="27"/>
  <c r="H86" i="24"/>
  <c r="D85" i="24"/>
  <c r="C85" i="24"/>
  <c r="L84" i="24"/>
  <c r="J85" i="24"/>
  <c r="AJ88" i="24"/>
  <c r="E88" i="24" s="1"/>
  <c r="N88" i="24" s="1"/>
  <c r="AH89" i="24"/>
  <c r="D85" i="27"/>
  <c r="C85" i="27"/>
  <c r="H86" i="27"/>
  <c r="L86" i="27" s="1"/>
  <c r="J86" i="25"/>
  <c r="L85" i="25"/>
  <c r="D87" i="25"/>
  <c r="C87" i="25"/>
  <c r="H88" i="25"/>
  <c r="L84" i="22"/>
  <c r="J85" i="22"/>
  <c r="H85" i="23"/>
  <c r="D84" i="23"/>
  <c r="C84" i="23"/>
  <c r="H87" i="22"/>
  <c r="D86" i="22"/>
  <c r="C86" i="22"/>
  <c r="AJ88" i="23"/>
  <c r="E88" i="23" s="1"/>
  <c r="N88" i="23" s="1"/>
  <c r="AH89" i="23"/>
  <c r="AJ88" i="22"/>
  <c r="E88" i="22" s="1"/>
  <c r="N88" i="22" s="1"/>
  <c r="AH89" i="22"/>
  <c r="J85" i="23"/>
  <c r="L84" i="23"/>
  <c r="L84" i="21"/>
  <c r="J85" i="21"/>
  <c r="AJ88" i="21"/>
  <c r="E88" i="21" s="1"/>
  <c r="N88" i="21" s="1"/>
  <c r="AH89" i="21"/>
  <c r="D85" i="21"/>
  <c r="C85" i="21"/>
  <c r="H86" i="21"/>
  <c r="D86" i="20"/>
  <c r="C86" i="20"/>
  <c r="H87" i="20"/>
  <c r="AJ88" i="20"/>
  <c r="E88" i="20" s="1"/>
  <c r="N88" i="20" s="1"/>
  <c r="AH89" i="20"/>
  <c r="L84" i="20"/>
  <c r="J85" i="20"/>
  <c r="AA82" i="19"/>
  <c r="Q82" i="19"/>
  <c r="C82" i="19"/>
  <c r="R82" i="19" s="1"/>
  <c r="D82" i="19"/>
  <c r="S82" i="19" s="1"/>
  <c r="AJ89" i="19"/>
  <c r="E89" i="19" s="1"/>
  <c r="AH90" i="19"/>
  <c r="N88" i="19"/>
  <c r="J84" i="19"/>
  <c r="L82" i="19"/>
  <c r="W82" i="19" s="1"/>
  <c r="M82" i="19"/>
  <c r="X82" i="19" s="1"/>
  <c r="G83" i="19"/>
  <c r="D83" i="19" s="1"/>
  <c r="S83" i="19" s="1"/>
  <c r="H84" i="19"/>
  <c r="C83" i="14"/>
  <c r="D83" i="14"/>
  <c r="D83" i="16"/>
  <c r="C83" i="16"/>
  <c r="O81" i="7"/>
  <c r="L81" i="7"/>
  <c r="W81" i="7" s="1"/>
  <c r="Z81" i="7"/>
  <c r="Q81" i="7"/>
  <c r="P81" i="7"/>
  <c r="AA81" i="7"/>
  <c r="G82" i="7"/>
  <c r="U81" i="7"/>
  <c r="D81" i="7"/>
  <c r="S81" i="7" s="1"/>
  <c r="C81" i="7"/>
  <c r="R81" i="7" s="1"/>
  <c r="T81" i="7"/>
  <c r="M81" i="7"/>
  <c r="X81" i="7" s="1"/>
  <c r="L84" i="1"/>
  <c r="W84" i="1" s="1"/>
  <c r="C84" i="1"/>
  <c r="R84" i="1" s="1"/>
  <c r="M84" i="1"/>
  <c r="X84" i="1" s="1"/>
  <c r="T84" i="1"/>
  <c r="O84" i="1"/>
  <c r="D84" i="1"/>
  <c r="S84" i="1" s="1"/>
  <c r="Z84" i="1"/>
  <c r="P84" i="1"/>
  <c r="AA84" i="1"/>
  <c r="Q84" i="1"/>
  <c r="U84" i="1"/>
  <c r="G85" i="1"/>
  <c r="N84" i="18"/>
  <c r="O84" i="18" s="1"/>
  <c r="T84" i="18"/>
  <c r="AA83" i="18"/>
  <c r="M84" i="18"/>
  <c r="X84" i="18" s="1"/>
  <c r="AA84" i="18"/>
  <c r="Z84" i="18"/>
  <c r="G85" i="18"/>
  <c r="U84" i="18"/>
  <c r="Q84" i="18"/>
  <c r="P84" i="18"/>
  <c r="C84" i="18"/>
  <c r="R84" i="18" s="1"/>
  <c r="D84" i="18"/>
  <c r="S84" i="18" s="1"/>
  <c r="M82" i="13"/>
  <c r="X82" i="13" s="1"/>
  <c r="Z82" i="13"/>
  <c r="AA82" i="13"/>
  <c r="Q82" i="13"/>
  <c r="P82" i="13"/>
  <c r="G83" i="13"/>
  <c r="U82" i="13"/>
  <c r="D82" i="13"/>
  <c r="S82" i="13" s="1"/>
  <c r="C82" i="13"/>
  <c r="R82" i="13" s="1"/>
  <c r="T82" i="13"/>
  <c r="O82" i="13"/>
  <c r="N85" i="13"/>
  <c r="L82" i="13"/>
  <c r="W82" i="13" s="1"/>
  <c r="AA83" i="11"/>
  <c r="D84" i="11"/>
  <c r="S84" i="11" s="1"/>
  <c r="P84" i="11"/>
  <c r="Q84" i="11"/>
  <c r="G85" i="11"/>
  <c r="Z84" i="11"/>
  <c r="U84" i="11"/>
  <c r="M84" i="11"/>
  <c r="X84" i="11" s="1"/>
  <c r="C84" i="11"/>
  <c r="R84" i="11" s="1"/>
  <c r="N84" i="11"/>
  <c r="O84" i="11" s="1"/>
  <c r="T84" i="11"/>
  <c r="D83" i="10"/>
  <c r="S83" i="10" s="1"/>
  <c r="AA83" i="10"/>
  <c r="Z83" i="10"/>
  <c r="U83" i="10"/>
  <c r="Q83" i="10"/>
  <c r="P83" i="10"/>
  <c r="G84" i="10"/>
  <c r="C83" i="10"/>
  <c r="R83" i="10" s="1"/>
  <c r="M83" i="10"/>
  <c r="X83" i="10" s="1"/>
  <c r="N84" i="10"/>
  <c r="O84" i="10" s="1"/>
  <c r="T84" i="10"/>
  <c r="T83" i="10"/>
  <c r="O83" i="10"/>
  <c r="E85" i="18"/>
  <c r="E86" i="17"/>
  <c r="N86" i="17" s="1"/>
  <c r="E84" i="16"/>
  <c r="N84" i="16" s="1"/>
  <c r="E85" i="15"/>
  <c r="N85" i="15" s="1"/>
  <c r="E85" i="14"/>
  <c r="N85" i="14" s="1"/>
  <c r="E86" i="13"/>
  <c r="E85" i="12"/>
  <c r="N85" i="12" s="1"/>
  <c r="E85" i="11"/>
  <c r="E85" i="10"/>
  <c r="N84" i="9"/>
  <c r="O84" i="9" s="1"/>
  <c r="D83" i="9"/>
  <c r="S83" i="9" s="1"/>
  <c r="AA83" i="9"/>
  <c r="Z83" i="9"/>
  <c r="U83" i="9"/>
  <c r="Q83" i="9"/>
  <c r="P83" i="9"/>
  <c r="G84" i="9"/>
  <c r="M83" i="9"/>
  <c r="X83" i="9" s="1"/>
  <c r="C83" i="9"/>
  <c r="R83" i="9" s="1"/>
  <c r="T83" i="9"/>
  <c r="E85" i="9"/>
  <c r="M84" i="8"/>
  <c r="X84" i="8" s="1"/>
  <c r="Z84" i="8"/>
  <c r="U84" i="8"/>
  <c r="AA84" i="8"/>
  <c r="Q84" i="8"/>
  <c r="P84" i="8"/>
  <c r="G85" i="8"/>
  <c r="T85" i="8" s="1"/>
  <c r="D84" i="8"/>
  <c r="S84" i="8" s="1"/>
  <c r="C84" i="8"/>
  <c r="R84" i="8" s="1"/>
  <c r="N85" i="8"/>
  <c r="E86" i="8"/>
  <c r="N85" i="7"/>
  <c r="M84" i="6"/>
  <c r="X84" i="6" s="1"/>
  <c r="Q84" i="6"/>
  <c r="P84" i="6"/>
  <c r="G85" i="6"/>
  <c r="Z84" i="6"/>
  <c r="U84" i="6"/>
  <c r="D84" i="6"/>
  <c r="S84" i="6" s="1"/>
  <c r="C84" i="6"/>
  <c r="R84" i="6" s="1"/>
  <c r="N84" i="6"/>
  <c r="O84" i="6" s="1"/>
  <c r="T84" i="6"/>
  <c r="E85" i="6"/>
  <c r="C83" i="4"/>
  <c r="R83" i="4" s="1"/>
  <c r="D83" i="4"/>
  <c r="S83" i="4" s="1"/>
  <c r="E86" i="7"/>
  <c r="J84" i="18"/>
  <c r="L83" i="18"/>
  <c r="W83" i="18" s="1"/>
  <c r="AJ86" i="18"/>
  <c r="AH87" i="18"/>
  <c r="H84" i="18"/>
  <c r="L82" i="17"/>
  <c r="J83" i="17"/>
  <c r="AJ87" i="17"/>
  <c r="AH88" i="17"/>
  <c r="H84" i="17"/>
  <c r="AJ86" i="15"/>
  <c r="AH87" i="15"/>
  <c r="J85" i="13"/>
  <c r="J83" i="16"/>
  <c r="L82" i="16"/>
  <c r="H84" i="14"/>
  <c r="J84" i="15"/>
  <c r="L83" i="15"/>
  <c r="H84" i="15"/>
  <c r="H84" i="16"/>
  <c r="H84" i="13"/>
  <c r="AJ85" i="16"/>
  <c r="AH86" i="16"/>
  <c r="AJ87" i="13"/>
  <c r="AH88" i="13"/>
  <c r="J83" i="14"/>
  <c r="L82" i="14"/>
  <c r="AJ86" i="14"/>
  <c r="AH87" i="14"/>
  <c r="J86" i="11"/>
  <c r="J83" i="12"/>
  <c r="L82" i="12"/>
  <c r="H84" i="12"/>
  <c r="H84" i="11"/>
  <c r="L83" i="11"/>
  <c r="W83" i="11" s="1"/>
  <c r="H83" i="10"/>
  <c r="AJ86" i="12"/>
  <c r="AH87" i="12"/>
  <c r="AJ86" i="9"/>
  <c r="AH87" i="9"/>
  <c r="AJ86" i="11"/>
  <c r="AH87" i="11"/>
  <c r="AJ86" i="10"/>
  <c r="AH87" i="10"/>
  <c r="H85" i="9"/>
  <c r="L82" i="9"/>
  <c r="W82" i="9" s="1"/>
  <c r="J83" i="9"/>
  <c r="J83" i="10"/>
  <c r="L82" i="10"/>
  <c r="W82" i="10" s="1"/>
  <c r="AJ87" i="8"/>
  <c r="AH88" i="8"/>
  <c r="J84" i="8"/>
  <c r="L83" i="8"/>
  <c r="W83" i="8" s="1"/>
  <c r="H84" i="8"/>
  <c r="J85" i="7"/>
  <c r="AJ87" i="7"/>
  <c r="AH88" i="7"/>
  <c r="H85" i="7"/>
  <c r="AJ86" i="6"/>
  <c r="AH87" i="6"/>
  <c r="H84" i="6"/>
  <c r="L84" i="6" s="1"/>
  <c r="W84" i="6" s="1"/>
  <c r="L83" i="6"/>
  <c r="W83" i="6" s="1"/>
  <c r="J85" i="6"/>
  <c r="N85" i="4"/>
  <c r="M83" i="4"/>
  <c r="X83" i="4" s="1"/>
  <c r="Q83" i="4"/>
  <c r="G84" i="4"/>
  <c r="P83" i="4"/>
  <c r="AA83" i="4"/>
  <c r="Z83" i="4"/>
  <c r="U83" i="4"/>
  <c r="T83" i="4"/>
  <c r="AJ86" i="4"/>
  <c r="E86" i="4" s="1"/>
  <c r="AH87" i="4"/>
  <c r="J86" i="4"/>
  <c r="H84" i="4"/>
  <c r="L83" i="4"/>
  <c r="W83" i="4" s="1"/>
  <c r="D87" i="28" l="1"/>
  <c r="C87" i="28"/>
  <c r="H88" i="28"/>
  <c r="AJ89" i="28"/>
  <c r="E89" i="28" s="1"/>
  <c r="N89" i="28" s="1"/>
  <c r="AH90" i="28"/>
  <c r="L85" i="28"/>
  <c r="J86" i="28"/>
  <c r="L86" i="25"/>
  <c r="J87" i="25"/>
  <c r="J86" i="26"/>
  <c r="L85" i="26"/>
  <c r="AJ88" i="25"/>
  <c r="E88" i="25" s="1"/>
  <c r="N88" i="25" s="1"/>
  <c r="AH89" i="25"/>
  <c r="D86" i="27"/>
  <c r="C86" i="27"/>
  <c r="H87" i="27"/>
  <c r="J86" i="24"/>
  <c r="L85" i="24"/>
  <c r="AJ89" i="24"/>
  <c r="E89" i="24" s="1"/>
  <c r="N89" i="24" s="1"/>
  <c r="AH90" i="24"/>
  <c r="D88" i="25"/>
  <c r="C88" i="25"/>
  <c r="H89" i="25"/>
  <c r="H87" i="26"/>
  <c r="D86" i="26"/>
  <c r="C86" i="26"/>
  <c r="AJ90" i="27"/>
  <c r="E90" i="27" s="1"/>
  <c r="N90" i="27" s="1"/>
  <c r="AH91" i="27"/>
  <c r="H87" i="24"/>
  <c r="D86" i="24"/>
  <c r="C86" i="24"/>
  <c r="AJ88" i="26"/>
  <c r="E88" i="26" s="1"/>
  <c r="N88" i="26" s="1"/>
  <c r="AH89" i="26"/>
  <c r="J88" i="27"/>
  <c r="AJ89" i="23"/>
  <c r="E89" i="23" s="1"/>
  <c r="N89" i="23" s="1"/>
  <c r="AH90" i="23"/>
  <c r="H88" i="22"/>
  <c r="D87" i="22"/>
  <c r="C87" i="22"/>
  <c r="D85" i="23"/>
  <c r="C85" i="23"/>
  <c r="H86" i="23"/>
  <c r="J86" i="22"/>
  <c r="L85" i="22"/>
  <c r="AJ89" i="22"/>
  <c r="E89" i="22" s="1"/>
  <c r="N89" i="22" s="1"/>
  <c r="AH90" i="22"/>
  <c r="L85" i="23"/>
  <c r="J86" i="23"/>
  <c r="D86" i="21"/>
  <c r="C86" i="21"/>
  <c r="H87" i="21"/>
  <c r="AJ89" i="21"/>
  <c r="E89" i="21" s="1"/>
  <c r="N89" i="21" s="1"/>
  <c r="AH90" i="21"/>
  <c r="J86" i="21"/>
  <c r="L85" i="21"/>
  <c r="AH90" i="20"/>
  <c r="AJ89" i="20"/>
  <c r="E89" i="20" s="1"/>
  <c r="N89" i="20" s="1"/>
  <c r="J86" i="20"/>
  <c r="L85" i="20"/>
  <c r="D87" i="20"/>
  <c r="C87" i="20"/>
  <c r="H88" i="20"/>
  <c r="O83" i="19"/>
  <c r="T83" i="19"/>
  <c r="P83" i="19"/>
  <c r="Q83" i="19"/>
  <c r="Z83" i="19"/>
  <c r="U83" i="19"/>
  <c r="AA83" i="19"/>
  <c r="C83" i="19"/>
  <c r="R83" i="19" s="1"/>
  <c r="J85" i="19"/>
  <c r="O84" i="19"/>
  <c r="H85" i="19"/>
  <c r="AJ90" i="19"/>
  <c r="E90" i="19" s="1"/>
  <c r="AH91" i="19"/>
  <c r="G84" i="19"/>
  <c r="U84" i="19" s="1"/>
  <c r="L83" i="19"/>
  <c r="W83" i="19" s="1"/>
  <c r="M83" i="19"/>
  <c r="X83" i="19" s="1"/>
  <c r="N89" i="19"/>
  <c r="C84" i="14"/>
  <c r="D84" i="14"/>
  <c r="D84" i="16"/>
  <c r="C84" i="16"/>
  <c r="L82" i="7"/>
  <c r="W82" i="7" s="1"/>
  <c r="T82" i="7"/>
  <c r="O82" i="7"/>
  <c r="M82" i="7"/>
  <c r="X82" i="7" s="1"/>
  <c r="AA82" i="7"/>
  <c r="D82" i="7"/>
  <c r="S82" i="7" s="1"/>
  <c r="Q82" i="7"/>
  <c r="P82" i="7"/>
  <c r="G83" i="7"/>
  <c r="U82" i="7"/>
  <c r="Z82" i="7"/>
  <c r="C82" i="7"/>
  <c r="R82" i="7" s="1"/>
  <c r="U85" i="1"/>
  <c r="P85" i="1"/>
  <c r="AA85" i="1"/>
  <c r="Q85" i="1"/>
  <c r="G86" i="1"/>
  <c r="L85" i="1"/>
  <c r="W85" i="1" s="1"/>
  <c r="M85" i="1"/>
  <c r="X85" i="1" s="1"/>
  <c r="C85" i="1"/>
  <c r="R85" i="1" s="1"/>
  <c r="T85" i="1"/>
  <c r="O85" i="1"/>
  <c r="D85" i="1"/>
  <c r="S85" i="1" s="1"/>
  <c r="Z85" i="1"/>
  <c r="O85" i="8"/>
  <c r="M85" i="18"/>
  <c r="X85" i="18" s="1"/>
  <c r="Z85" i="18"/>
  <c r="U85" i="18"/>
  <c r="Q85" i="18"/>
  <c r="P85" i="18"/>
  <c r="G86" i="18"/>
  <c r="C85" i="18"/>
  <c r="R85" i="18" s="1"/>
  <c r="D85" i="18"/>
  <c r="S85" i="18" s="1"/>
  <c r="N85" i="18"/>
  <c r="O85" i="18" s="1"/>
  <c r="T85" i="18"/>
  <c r="N86" i="13"/>
  <c r="M83" i="13"/>
  <c r="X83" i="13" s="1"/>
  <c r="AA83" i="13"/>
  <c r="Q83" i="13"/>
  <c r="P83" i="13"/>
  <c r="G84" i="13"/>
  <c r="Z83" i="13"/>
  <c r="U83" i="13"/>
  <c r="D83" i="13"/>
  <c r="S83" i="13" s="1"/>
  <c r="C83" i="13"/>
  <c r="R83" i="13" s="1"/>
  <c r="T83" i="13"/>
  <c r="O83" i="13"/>
  <c r="L83" i="13"/>
  <c r="W83" i="13" s="1"/>
  <c r="N85" i="11"/>
  <c r="O85" i="11" s="1"/>
  <c r="T85" i="11"/>
  <c r="AA84" i="11"/>
  <c r="M85" i="11"/>
  <c r="X85" i="11" s="1"/>
  <c r="G86" i="11"/>
  <c r="P85" i="11"/>
  <c r="AA85" i="11"/>
  <c r="Z85" i="11"/>
  <c r="U85" i="11"/>
  <c r="Q85" i="11"/>
  <c r="D85" i="11"/>
  <c r="S85" i="11" s="1"/>
  <c r="C85" i="11"/>
  <c r="R85" i="11" s="1"/>
  <c r="N85" i="10"/>
  <c r="D84" i="10"/>
  <c r="S84" i="10" s="1"/>
  <c r="Z84" i="10"/>
  <c r="U84" i="10"/>
  <c r="Q84" i="10"/>
  <c r="P84" i="10"/>
  <c r="AA84" i="10"/>
  <c r="G85" i="10"/>
  <c r="M84" i="10"/>
  <c r="X84" i="10" s="1"/>
  <c r="C84" i="10"/>
  <c r="R84" i="10" s="1"/>
  <c r="E86" i="18"/>
  <c r="E87" i="17"/>
  <c r="N87" i="17" s="1"/>
  <c r="E85" i="16"/>
  <c r="N85" i="16" s="1"/>
  <c r="E86" i="15"/>
  <c r="N86" i="15" s="1"/>
  <c r="E86" i="14"/>
  <c r="N86" i="14" s="1"/>
  <c r="E87" i="13"/>
  <c r="E86" i="12"/>
  <c r="N86" i="12" s="1"/>
  <c r="E86" i="11"/>
  <c r="E86" i="10"/>
  <c r="M84" i="9"/>
  <c r="X84" i="9" s="1"/>
  <c r="AA84" i="9"/>
  <c r="Z84" i="9"/>
  <c r="U84" i="9"/>
  <c r="Q84" i="9"/>
  <c r="P84" i="9"/>
  <c r="G85" i="9"/>
  <c r="C84" i="9"/>
  <c r="R84" i="9" s="1"/>
  <c r="D84" i="9"/>
  <c r="S84" i="9" s="1"/>
  <c r="T84" i="9"/>
  <c r="N85" i="9"/>
  <c r="O85" i="9" s="1"/>
  <c r="T85" i="9"/>
  <c r="E86" i="9"/>
  <c r="N86" i="8"/>
  <c r="M85" i="8"/>
  <c r="X85" i="8" s="1"/>
  <c r="U85" i="8"/>
  <c r="Z85" i="8"/>
  <c r="Q85" i="8"/>
  <c r="P85" i="8"/>
  <c r="G86" i="8"/>
  <c r="AA85" i="8"/>
  <c r="C85" i="8"/>
  <c r="R85" i="8" s="1"/>
  <c r="D85" i="8"/>
  <c r="S85" i="8" s="1"/>
  <c r="E87" i="8"/>
  <c r="N86" i="7"/>
  <c r="N85" i="6"/>
  <c r="O85" i="6" s="1"/>
  <c r="T85" i="6"/>
  <c r="AA84" i="6"/>
  <c r="M85" i="6"/>
  <c r="X85" i="6" s="1"/>
  <c r="P85" i="6"/>
  <c r="G86" i="6"/>
  <c r="AA85" i="6"/>
  <c r="Z85" i="6"/>
  <c r="U85" i="6"/>
  <c r="Q85" i="6"/>
  <c r="D85" i="6"/>
  <c r="S85" i="6" s="1"/>
  <c r="C85" i="6"/>
  <c r="R85" i="6" s="1"/>
  <c r="E86" i="6"/>
  <c r="D84" i="4"/>
  <c r="S84" i="4" s="1"/>
  <c r="C84" i="4"/>
  <c r="R84" i="4" s="1"/>
  <c r="E87" i="7"/>
  <c r="H85" i="18"/>
  <c r="AJ87" i="18"/>
  <c r="AH88" i="18"/>
  <c r="L84" i="18"/>
  <c r="W84" i="18" s="1"/>
  <c r="J85" i="18"/>
  <c r="H85" i="17"/>
  <c r="AJ88" i="17"/>
  <c r="AH89" i="17"/>
  <c r="J84" i="17"/>
  <c r="L83" i="17"/>
  <c r="L84" i="15"/>
  <c r="J85" i="15"/>
  <c r="AJ86" i="16"/>
  <c r="AH87" i="16"/>
  <c r="H85" i="14"/>
  <c r="H85" i="13"/>
  <c r="H85" i="15"/>
  <c r="J84" i="16"/>
  <c r="L83" i="16"/>
  <c r="AJ87" i="14"/>
  <c r="AH88" i="14"/>
  <c r="L84" i="13"/>
  <c r="W84" i="13" s="1"/>
  <c r="H85" i="16"/>
  <c r="J86" i="13"/>
  <c r="AJ87" i="15"/>
  <c r="AH88" i="15"/>
  <c r="AJ88" i="13"/>
  <c r="AH89" i="13"/>
  <c r="L83" i="14"/>
  <c r="J84" i="14"/>
  <c r="H85" i="11"/>
  <c r="L84" i="11"/>
  <c r="W84" i="11" s="1"/>
  <c r="AH88" i="11"/>
  <c r="AJ87" i="11"/>
  <c r="AH88" i="9"/>
  <c r="AJ87" i="9"/>
  <c r="H85" i="12"/>
  <c r="J84" i="10"/>
  <c r="L83" i="10"/>
  <c r="W83" i="10" s="1"/>
  <c r="AJ87" i="12"/>
  <c r="AH88" i="12"/>
  <c r="AH88" i="10"/>
  <c r="AJ87" i="10"/>
  <c r="J84" i="12"/>
  <c r="L83" i="12"/>
  <c r="H84" i="10"/>
  <c r="J84" i="9"/>
  <c r="L83" i="9"/>
  <c r="W83" i="9" s="1"/>
  <c r="H86" i="9"/>
  <c r="J87" i="11"/>
  <c r="H85" i="8"/>
  <c r="L84" i="8"/>
  <c r="W84" i="8" s="1"/>
  <c r="J85" i="8"/>
  <c r="AJ88" i="8"/>
  <c r="AH89" i="8"/>
  <c r="H86" i="7"/>
  <c r="AJ88" i="7"/>
  <c r="AH89" i="7"/>
  <c r="J86" i="7"/>
  <c r="H85" i="6"/>
  <c r="L85" i="6" s="1"/>
  <c r="W85" i="6" s="1"/>
  <c r="AJ87" i="6"/>
  <c r="AH88" i="6"/>
  <c r="J86" i="6"/>
  <c r="N86" i="4"/>
  <c r="M84" i="4"/>
  <c r="X84" i="4" s="1"/>
  <c r="AA84" i="4"/>
  <c r="Z84" i="4"/>
  <c r="G85" i="4"/>
  <c r="O85" i="4" s="1"/>
  <c r="U84" i="4"/>
  <c r="P84" i="4"/>
  <c r="Q84" i="4"/>
  <c r="T84" i="4"/>
  <c r="O84" i="4"/>
  <c r="H85" i="4"/>
  <c r="L84" i="4"/>
  <c r="W84" i="4" s="1"/>
  <c r="J87" i="4"/>
  <c r="AJ87" i="4"/>
  <c r="E87" i="4" s="1"/>
  <c r="AH88" i="4"/>
  <c r="L86" i="28" l="1"/>
  <c r="J87" i="28"/>
  <c r="AJ90" i="28"/>
  <c r="E90" i="28" s="1"/>
  <c r="N90" i="28" s="1"/>
  <c r="AH91" i="28"/>
  <c r="D88" i="28"/>
  <c r="C88" i="28"/>
  <c r="H89" i="28"/>
  <c r="D87" i="27"/>
  <c r="C87" i="27"/>
  <c r="H88" i="27"/>
  <c r="L88" i="27" s="1"/>
  <c r="D87" i="24"/>
  <c r="C87" i="24"/>
  <c r="H88" i="24"/>
  <c r="J87" i="24"/>
  <c r="L86" i="24"/>
  <c r="AJ89" i="25"/>
  <c r="E89" i="25" s="1"/>
  <c r="N89" i="25" s="1"/>
  <c r="AH90" i="25"/>
  <c r="H88" i="26"/>
  <c r="D87" i="26"/>
  <c r="C87" i="26"/>
  <c r="AH92" i="27"/>
  <c r="AJ91" i="27"/>
  <c r="E91" i="27" s="1"/>
  <c r="N91" i="27" s="1"/>
  <c r="L87" i="27"/>
  <c r="C89" i="25"/>
  <c r="H90" i="25"/>
  <c r="D89" i="25"/>
  <c r="J89" i="27"/>
  <c r="J87" i="26"/>
  <c r="L86" i="26"/>
  <c r="AJ89" i="26"/>
  <c r="E89" i="26" s="1"/>
  <c r="N89" i="26" s="1"/>
  <c r="AH90" i="26"/>
  <c r="J88" i="25"/>
  <c r="L87" i="25"/>
  <c r="AJ90" i="24"/>
  <c r="E90" i="24" s="1"/>
  <c r="N90" i="24" s="1"/>
  <c r="AH91" i="24"/>
  <c r="J87" i="22"/>
  <c r="L86" i="22"/>
  <c r="D86" i="23"/>
  <c r="C86" i="23"/>
  <c r="H87" i="23"/>
  <c r="H89" i="22"/>
  <c r="D88" i="22"/>
  <c r="C88" i="22"/>
  <c r="L86" i="23"/>
  <c r="J87" i="23"/>
  <c r="AJ90" i="23"/>
  <c r="E90" i="23" s="1"/>
  <c r="N90" i="23" s="1"/>
  <c r="AH91" i="23"/>
  <c r="AJ90" i="22"/>
  <c r="E90" i="22" s="1"/>
  <c r="N90" i="22" s="1"/>
  <c r="AH91" i="22"/>
  <c r="L86" i="21"/>
  <c r="J87" i="21"/>
  <c r="AJ90" i="21"/>
  <c r="E90" i="21" s="1"/>
  <c r="N90" i="21" s="1"/>
  <c r="AH91" i="21"/>
  <c r="D87" i="21"/>
  <c r="C87" i="21"/>
  <c r="H88" i="21"/>
  <c r="C88" i="20"/>
  <c r="H89" i="20"/>
  <c r="D88" i="20"/>
  <c r="J87" i="20"/>
  <c r="L86" i="20"/>
  <c r="AJ90" i="20"/>
  <c r="E90" i="20" s="1"/>
  <c r="N90" i="20" s="1"/>
  <c r="AH91" i="20"/>
  <c r="T84" i="19"/>
  <c r="Z84" i="19"/>
  <c r="AA84" i="19"/>
  <c r="C84" i="19"/>
  <c r="R84" i="19" s="1"/>
  <c r="D84" i="19"/>
  <c r="S84" i="19" s="1"/>
  <c r="H86" i="19"/>
  <c r="G85" i="19"/>
  <c r="O85" i="19" s="1"/>
  <c r="M84" i="19"/>
  <c r="X84" i="19" s="1"/>
  <c r="L84" i="19"/>
  <c r="W84" i="19" s="1"/>
  <c r="U85" i="19"/>
  <c r="Q85" i="19"/>
  <c r="P85" i="19"/>
  <c r="J86" i="19"/>
  <c r="AH92" i="19"/>
  <c r="AJ91" i="19"/>
  <c r="E91" i="19" s="1"/>
  <c r="P84" i="19"/>
  <c r="N90" i="19"/>
  <c r="Q84" i="19"/>
  <c r="D85" i="14"/>
  <c r="C85" i="14"/>
  <c r="C85" i="16"/>
  <c r="D85" i="16"/>
  <c r="L83" i="7"/>
  <c r="W83" i="7" s="1"/>
  <c r="Q83" i="7"/>
  <c r="P83" i="7"/>
  <c r="G84" i="7"/>
  <c r="Z83" i="7"/>
  <c r="U83" i="7"/>
  <c r="C83" i="7"/>
  <c r="R83" i="7" s="1"/>
  <c r="D83" i="7"/>
  <c r="S83" i="7" s="1"/>
  <c r="AA83" i="7"/>
  <c r="T83" i="7"/>
  <c r="O83" i="7"/>
  <c r="M83" i="7"/>
  <c r="X83" i="7" s="1"/>
  <c r="O86" i="8"/>
  <c r="C86" i="1"/>
  <c r="R86" i="1" s="1"/>
  <c r="M86" i="1"/>
  <c r="X86" i="1" s="1"/>
  <c r="T86" i="1"/>
  <c r="O86" i="1"/>
  <c r="D86" i="1"/>
  <c r="S86" i="1" s="1"/>
  <c r="P86" i="1"/>
  <c r="Z86" i="1"/>
  <c r="AA86" i="1"/>
  <c r="L86" i="1"/>
  <c r="W86" i="1" s="1"/>
  <c r="U86" i="1"/>
  <c r="Q86" i="1"/>
  <c r="G87" i="1"/>
  <c r="M86" i="18"/>
  <c r="X86" i="18" s="1"/>
  <c r="Z86" i="18"/>
  <c r="U86" i="18"/>
  <c r="Q86" i="18"/>
  <c r="P86" i="18"/>
  <c r="G87" i="18"/>
  <c r="D86" i="18"/>
  <c r="S86" i="18" s="1"/>
  <c r="C86" i="18"/>
  <c r="R86" i="18" s="1"/>
  <c r="N86" i="18"/>
  <c r="O86" i="18" s="1"/>
  <c r="T86" i="18"/>
  <c r="AA85" i="18"/>
  <c r="N87" i="13"/>
  <c r="M84" i="13"/>
  <c r="X84" i="13" s="1"/>
  <c r="U84" i="13"/>
  <c r="Q84" i="13"/>
  <c r="P84" i="13"/>
  <c r="G85" i="13"/>
  <c r="Z84" i="13"/>
  <c r="AA84" i="13"/>
  <c r="D84" i="13"/>
  <c r="S84" i="13" s="1"/>
  <c r="C84" i="13"/>
  <c r="R84" i="13" s="1"/>
  <c r="T84" i="13"/>
  <c r="O84" i="13"/>
  <c r="N86" i="11"/>
  <c r="O86" i="11" s="1"/>
  <c r="T86" i="11"/>
  <c r="M86" i="11"/>
  <c r="X86" i="11" s="1"/>
  <c r="Z86" i="11"/>
  <c r="P86" i="11"/>
  <c r="G87" i="11"/>
  <c r="U86" i="11"/>
  <c r="Q86" i="11"/>
  <c r="C86" i="11"/>
  <c r="R86" i="11" s="1"/>
  <c r="D86" i="11"/>
  <c r="S86" i="11" s="1"/>
  <c r="D85" i="10"/>
  <c r="S85" i="10" s="1"/>
  <c r="U85" i="10"/>
  <c r="Z85" i="10"/>
  <c r="Q85" i="10"/>
  <c r="P85" i="10"/>
  <c r="G86" i="10"/>
  <c r="T86" i="10" s="1"/>
  <c r="AA85" i="10"/>
  <c r="C85" i="10"/>
  <c r="R85" i="10" s="1"/>
  <c r="M85" i="10"/>
  <c r="X85" i="10" s="1"/>
  <c r="N86" i="10"/>
  <c r="T85" i="10"/>
  <c r="O85" i="10"/>
  <c r="E87" i="18"/>
  <c r="E88" i="17"/>
  <c r="N88" i="17" s="1"/>
  <c r="E86" i="16"/>
  <c r="N86" i="16" s="1"/>
  <c r="E87" i="15"/>
  <c r="N87" i="15" s="1"/>
  <c r="E87" i="14"/>
  <c r="N87" i="14" s="1"/>
  <c r="E88" i="13"/>
  <c r="E87" i="12"/>
  <c r="N87" i="12" s="1"/>
  <c r="E87" i="11"/>
  <c r="E87" i="10"/>
  <c r="M85" i="9"/>
  <c r="X85" i="9" s="1"/>
  <c r="Z85" i="9"/>
  <c r="U85" i="9"/>
  <c r="Q85" i="9"/>
  <c r="P85" i="9"/>
  <c r="G86" i="9"/>
  <c r="AA85" i="9"/>
  <c r="D85" i="9"/>
  <c r="S85" i="9" s="1"/>
  <c r="C85" i="9"/>
  <c r="R85" i="9" s="1"/>
  <c r="N86" i="9"/>
  <c r="O86" i="9" s="1"/>
  <c r="T86" i="9"/>
  <c r="E87" i="9"/>
  <c r="N87" i="8"/>
  <c r="M86" i="8"/>
  <c r="X86" i="8" s="1"/>
  <c r="U86" i="8"/>
  <c r="Z86" i="8"/>
  <c r="Q86" i="8"/>
  <c r="P86" i="8"/>
  <c r="G87" i="8"/>
  <c r="AA86" i="8"/>
  <c r="D86" i="8"/>
  <c r="S86" i="8" s="1"/>
  <c r="C86" i="8"/>
  <c r="R86" i="8" s="1"/>
  <c r="T86" i="8"/>
  <c r="E88" i="8"/>
  <c r="N87" i="7"/>
  <c r="M86" i="6"/>
  <c r="X86" i="6" s="1"/>
  <c r="G87" i="6"/>
  <c r="Z86" i="6"/>
  <c r="U86" i="6"/>
  <c r="Q86" i="6"/>
  <c r="P86" i="6"/>
  <c r="D86" i="6"/>
  <c r="S86" i="6" s="1"/>
  <c r="C86" i="6"/>
  <c r="R86" i="6" s="1"/>
  <c r="N86" i="6"/>
  <c r="O86" i="6" s="1"/>
  <c r="T86" i="6"/>
  <c r="E87" i="6"/>
  <c r="D85" i="4"/>
  <c r="S85" i="4" s="1"/>
  <c r="C85" i="4"/>
  <c r="R85" i="4" s="1"/>
  <c r="E88" i="7"/>
  <c r="L85" i="18"/>
  <c r="W85" i="18" s="1"/>
  <c r="J86" i="18"/>
  <c r="AJ88" i="18"/>
  <c r="AH89" i="18"/>
  <c r="H86" i="18"/>
  <c r="L84" i="17"/>
  <c r="J85" i="17"/>
  <c r="AJ89" i="17"/>
  <c r="AH90" i="17"/>
  <c r="H86" i="17"/>
  <c r="H86" i="13"/>
  <c r="H86" i="16"/>
  <c r="J87" i="13"/>
  <c r="J85" i="14"/>
  <c r="L84" i="14"/>
  <c r="AH89" i="14"/>
  <c r="AJ88" i="14"/>
  <c r="H86" i="14"/>
  <c r="AJ87" i="16"/>
  <c r="AH88" i="16"/>
  <c r="AJ89" i="13"/>
  <c r="AH90" i="13"/>
  <c r="H86" i="15"/>
  <c r="L84" i="16"/>
  <c r="J85" i="16"/>
  <c r="J86" i="15"/>
  <c r="L85" i="15"/>
  <c r="AJ88" i="15"/>
  <c r="AH89" i="15"/>
  <c r="H86" i="12"/>
  <c r="AJ88" i="9"/>
  <c r="AH89" i="9"/>
  <c r="J85" i="10"/>
  <c r="L84" i="10"/>
  <c r="W84" i="10" s="1"/>
  <c r="L84" i="9"/>
  <c r="W84" i="9" s="1"/>
  <c r="J85" i="9"/>
  <c r="AH89" i="11"/>
  <c r="AJ88" i="11"/>
  <c r="L84" i="12"/>
  <c r="J85" i="12"/>
  <c r="J88" i="11"/>
  <c r="AJ88" i="10"/>
  <c r="AH89" i="10"/>
  <c r="H87" i="9"/>
  <c r="AJ88" i="12"/>
  <c r="AH89" i="12"/>
  <c r="H86" i="11"/>
  <c r="L85" i="11"/>
  <c r="W85" i="11" s="1"/>
  <c r="H85" i="10"/>
  <c r="L85" i="8"/>
  <c r="W85" i="8" s="1"/>
  <c r="J86" i="8"/>
  <c r="AJ89" i="8"/>
  <c r="AH90" i="8"/>
  <c r="H86" i="8"/>
  <c r="J87" i="7"/>
  <c r="AJ89" i="7"/>
  <c r="AH90" i="7"/>
  <c r="H87" i="7"/>
  <c r="J87" i="6"/>
  <c r="AJ88" i="6"/>
  <c r="AH89" i="6"/>
  <c r="H86" i="6"/>
  <c r="M85" i="4"/>
  <c r="X85" i="4" s="1"/>
  <c r="AA85" i="4"/>
  <c r="Z85" i="4"/>
  <c r="Q85" i="4"/>
  <c r="G86" i="4"/>
  <c r="O86" i="4" s="1"/>
  <c r="P85" i="4"/>
  <c r="U85" i="4"/>
  <c r="T85" i="4"/>
  <c r="N87" i="4"/>
  <c r="J88" i="4"/>
  <c r="AJ88" i="4"/>
  <c r="E88" i="4" s="1"/>
  <c r="AH89" i="4"/>
  <c r="H86" i="4"/>
  <c r="L85" i="4"/>
  <c r="W85" i="4" s="1"/>
  <c r="D89" i="28" l="1"/>
  <c r="C89" i="28"/>
  <c r="H90" i="28"/>
  <c r="AH92" i="28"/>
  <c r="AJ91" i="28"/>
  <c r="E91" i="28" s="1"/>
  <c r="N91" i="28" s="1"/>
  <c r="J88" i="28"/>
  <c r="L87" i="28"/>
  <c r="J90" i="27"/>
  <c r="D88" i="26"/>
  <c r="C88" i="26"/>
  <c r="H89" i="26"/>
  <c r="L87" i="24"/>
  <c r="J88" i="24"/>
  <c r="H91" i="25"/>
  <c r="C90" i="25"/>
  <c r="D90" i="25"/>
  <c r="D88" i="24"/>
  <c r="C88" i="24"/>
  <c r="H89" i="24"/>
  <c r="J88" i="26"/>
  <c r="L87" i="26"/>
  <c r="AJ91" i="24"/>
  <c r="E91" i="24" s="1"/>
  <c r="N91" i="24" s="1"/>
  <c r="AH92" i="24"/>
  <c r="D88" i="27"/>
  <c r="C88" i="27"/>
  <c r="H89" i="27"/>
  <c r="AH91" i="25"/>
  <c r="AJ90" i="25"/>
  <c r="E90" i="25" s="1"/>
  <c r="N90" i="25" s="1"/>
  <c r="J89" i="25"/>
  <c r="L88" i="25"/>
  <c r="AH93" i="27"/>
  <c r="AJ92" i="27"/>
  <c r="E92" i="27" s="1"/>
  <c r="N92" i="27" s="1"/>
  <c r="AJ90" i="26"/>
  <c r="E90" i="26" s="1"/>
  <c r="N90" i="26" s="1"/>
  <c r="AH91" i="26"/>
  <c r="J88" i="23"/>
  <c r="L87" i="23"/>
  <c r="AH92" i="23"/>
  <c r="AJ91" i="23"/>
  <c r="E91" i="23" s="1"/>
  <c r="N91" i="23" s="1"/>
  <c r="H90" i="22"/>
  <c r="D89" i="22"/>
  <c r="C89" i="22"/>
  <c r="D87" i="23"/>
  <c r="C87" i="23"/>
  <c r="H88" i="23"/>
  <c r="AJ91" i="22"/>
  <c r="E91" i="22" s="1"/>
  <c r="N91" i="22" s="1"/>
  <c r="AH92" i="22"/>
  <c r="J88" i="22"/>
  <c r="L87" i="22"/>
  <c r="D88" i="21"/>
  <c r="C88" i="21"/>
  <c r="H89" i="21"/>
  <c r="AH92" i="21"/>
  <c r="AJ91" i="21"/>
  <c r="E91" i="21" s="1"/>
  <c r="N91" i="21" s="1"/>
  <c r="J88" i="21"/>
  <c r="L87" i="21"/>
  <c r="AH92" i="20"/>
  <c r="AJ91" i="20"/>
  <c r="E91" i="20" s="1"/>
  <c r="N91" i="20" s="1"/>
  <c r="J88" i="20"/>
  <c r="L87" i="20"/>
  <c r="D89" i="20"/>
  <c r="H90" i="20"/>
  <c r="C89" i="20"/>
  <c r="G86" i="19"/>
  <c r="M85" i="19"/>
  <c r="X85" i="19" s="1"/>
  <c r="L85" i="19"/>
  <c r="W85" i="19" s="1"/>
  <c r="N91" i="19"/>
  <c r="Z85" i="19"/>
  <c r="AJ92" i="19"/>
  <c r="E92" i="19" s="1"/>
  <c r="AH93" i="19"/>
  <c r="C86" i="19"/>
  <c r="R86" i="19" s="1"/>
  <c r="AA86" i="19"/>
  <c r="Z86" i="19"/>
  <c r="H87" i="19"/>
  <c r="D86" i="19"/>
  <c r="S86" i="19" s="1"/>
  <c r="AA85" i="19"/>
  <c r="T85" i="19"/>
  <c r="C85" i="19"/>
  <c r="R85" i="19" s="1"/>
  <c r="P86" i="19"/>
  <c r="Q86" i="19"/>
  <c r="J87" i="19"/>
  <c r="U86" i="19"/>
  <c r="T86" i="19"/>
  <c r="O86" i="19"/>
  <c r="D85" i="19"/>
  <c r="S85" i="19" s="1"/>
  <c r="C86" i="14"/>
  <c r="D86" i="14"/>
  <c r="D86" i="16"/>
  <c r="C86" i="16"/>
  <c r="L84" i="7"/>
  <c r="W84" i="7" s="1"/>
  <c r="U84" i="7"/>
  <c r="Z84" i="7"/>
  <c r="D84" i="7"/>
  <c r="S84" i="7" s="1"/>
  <c r="C84" i="7"/>
  <c r="R84" i="7" s="1"/>
  <c r="T84" i="7"/>
  <c r="O84" i="7"/>
  <c r="M84" i="7"/>
  <c r="X84" i="7" s="1"/>
  <c r="AA84" i="7"/>
  <c r="Q84" i="7"/>
  <c r="G85" i="7"/>
  <c r="P84" i="7"/>
  <c r="O86" i="10"/>
  <c r="AA86" i="11"/>
  <c r="M87" i="1"/>
  <c r="X87" i="1" s="1"/>
  <c r="C87" i="1"/>
  <c r="R87" i="1" s="1"/>
  <c r="L87" i="1"/>
  <c r="W87" i="1" s="1"/>
  <c r="T87" i="1"/>
  <c r="G88" i="1"/>
  <c r="O87" i="1"/>
  <c r="D87" i="1"/>
  <c r="S87" i="1" s="1"/>
  <c r="Q87" i="1"/>
  <c r="AA87" i="1"/>
  <c r="P87" i="1"/>
  <c r="Z87" i="1"/>
  <c r="U87" i="1"/>
  <c r="D87" i="18"/>
  <c r="S87" i="18" s="1"/>
  <c r="U87" i="18"/>
  <c r="Z87" i="18"/>
  <c r="Q87" i="18"/>
  <c r="P87" i="18"/>
  <c r="G88" i="18"/>
  <c r="C87" i="18"/>
  <c r="R87" i="18" s="1"/>
  <c r="M87" i="18"/>
  <c r="X87" i="18" s="1"/>
  <c r="AA86" i="18"/>
  <c r="N87" i="18"/>
  <c r="O87" i="18" s="1"/>
  <c r="T87" i="18"/>
  <c r="N88" i="13"/>
  <c r="M85" i="13"/>
  <c r="X85" i="13" s="1"/>
  <c r="U85" i="13"/>
  <c r="Q85" i="13"/>
  <c r="P85" i="13"/>
  <c r="G86" i="13"/>
  <c r="AA85" i="13"/>
  <c r="Z85" i="13"/>
  <c r="D85" i="13"/>
  <c r="S85" i="13" s="1"/>
  <c r="C85" i="13"/>
  <c r="R85" i="13" s="1"/>
  <c r="T85" i="13"/>
  <c r="O85" i="13"/>
  <c r="L85" i="13"/>
  <c r="W85" i="13" s="1"/>
  <c r="N87" i="11"/>
  <c r="O87" i="11" s="1"/>
  <c r="T87" i="11"/>
  <c r="M87" i="11"/>
  <c r="X87" i="11" s="1"/>
  <c r="Z87" i="11"/>
  <c r="U87" i="11"/>
  <c r="Q87" i="11"/>
  <c r="G88" i="11"/>
  <c r="P87" i="11"/>
  <c r="D87" i="11"/>
  <c r="S87" i="11" s="1"/>
  <c r="C87" i="11"/>
  <c r="R87" i="11" s="1"/>
  <c r="N87" i="10"/>
  <c r="M86" i="10"/>
  <c r="X86" i="10" s="1"/>
  <c r="Q86" i="10"/>
  <c r="P86" i="10"/>
  <c r="G87" i="10"/>
  <c r="AA86" i="10"/>
  <c r="Z86" i="10"/>
  <c r="U86" i="10"/>
  <c r="C86" i="10"/>
  <c r="R86" i="10" s="1"/>
  <c r="D86" i="10"/>
  <c r="S86" i="10" s="1"/>
  <c r="E88" i="18"/>
  <c r="E89" i="17"/>
  <c r="N89" i="17" s="1"/>
  <c r="E87" i="16"/>
  <c r="N87" i="16" s="1"/>
  <c r="E88" i="15"/>
  <c r="N88" i="15" s="1"/>
  <c r="E88" i="14"/>
  <c r="N88" i="14" s="1"/>
  <c r="E89" i="13"/>
  <c r="E88" i="12"/>
  <c r="N88" i="12" s="1"/>
  <c r="E88" i="11"/>
  <c r="E88" i="10"/>
  <c r="N87" i="9"/>
  <c r="M86" i="9"/>
  <c r="X86" i="9" s="1"/>
  <c r="U86" i="9"/>
  <c r="Z86" i="9"/>
  <c r="Q86" i="9"/>
  <c r="P86" i="9"/>
  <c r="G87" i="9"/>
  <c r="AA86" i="9"/>
  <c r="D86" i="9"/>
  <c r="S86" i="9" s="1"/>
  <c r="C86" i="9"/>
  <c r="R86" i="9" s="1"/>
  <c r="E88" i="9"/>
  <c r="D87" i="8"/>
  <c r="S87" i="8" s="1"/>
  <c r="U87" i="8"/>
  <c r="Q87" i="8"/>
  <c r="P87" i="8"/>
  <c r="G88" i="8"/>
  <c r="T88" i="8" s="1"/>
  <c r="AA87" i="8"/>
  <c r="Z87" i="8"/>
  <c r="M87" i="8"/>
  <c r="X87" i="8" s="1"/>
  <c r="C87" i="8"/>
  <c r="R87" i="8" s="1"/>
  <c r="T87" i="8"/>
  <c r="N88" i="8"/>
  <c r="O87" i="8"/>
  <c r="E89" i="8"/>
  <c r="N88" i="7"/>
  <c r="AA86" i="6"/>
  <c r="D87" i="6"/>
  <c r="S87" i="6" s="1"/>
  <c r="Z87" i="6"/>
  <c r="U87" i="6"/>
  <c r="P87" i="6"/>
  <c r="Q87" i="6"/>
  <c r="G88" i="6"/>
  <c r="C87" i="6"/>
  <c r="R87" i="6" s="1"/>
  <c r="M87" i="6"/>
  <c r="X87" i="6" s="1"/>
  <c r="N87" i="6"/>
  <c r="O87" i="6" s="1"/>
  <c r="T87" i="6"/>
  <c r="E88" i="6"/>
  <c r="C86" i="4"/>
  <c r="R86" i="4" s="1"/>
  <c r="D86" i="4"/>
  <c r="S86" i="4" s="1"/>
  <c r="E89" i="7"/>
  <c r="H87" i="18"/>
  <c r="AJ89" i="18"/>
  <c r="AH90" i="18"/>
  <c r="J87" i="18"/>
  <c r="L86" i="18"/>
  <c r="W86" i="18" s="1"/>
  <c r="H87" i="17"/>
  <c r="AJ90" i="17"/>
  <c r="AH91" i="17"/>
  <c r="L85" i="17"/>
  <c r="J86" i="17"/>
  <c r="AJ89" i="14"/>
  <c r="AH90" i="14"/>
  <c r="L85" i="14"/>
  <c r="J86" i="14"/>
  <c r="J88" i="13"/>
  <c r="H87" i="15"/>
  <c r="AJ90" i="13"/>
  <c r="AH91" i="13"/>
  <c r="L85" i="16"/>
  <c r="J86" i="16"/>
  <c r="H87" i="16"/>
  <c r="AJ88" i="16"/>
  <c r="AH89" i="16"/>
  <c r="AJ89" i="15"/>
  <c r="AH90" i="15"/>
  <c r="J87" i="15"/>
  <c r="L86" i="15"/>
  <c r="H87" i="14"/>
  <c r="H87" i="13"/>
  <c r="AJ89" i="12"/>
  <c r="AH90" i="12"/>
  <c r="AJ89" i="11"/>
  <c r="AH90" i="11"/>
  <c r="J86" i="9"/>
  <c r="L85" i="9"/>
  <c r="W85" i="9" s="1"/>
  <c r="J86" i="10"/>
  <c r="L85" i="10"/>
  <c r="W85" i="10" s="1"/>
  <c r="H88" i="9"/>
  <c r="H86" i="10"/>
  <c r="AH90" i="10"/>
  <c r="AJ89" i="10"/>
  <c r="AJ89" i="9"/>
  <c r="AH90" i="9"/>
  <c r="H87" i="12"/>
  <c r="J89" i="11"/>
  <c r="H87" i="11"/>
  <c r="L86" i="11"/>
  <c r="W86" i="11" s="1"/>
  <c r="L85" i="12"/>
  <c r="J86" i="12"/>
  <c r="AJ90" i="8"/>
  <c r="AH91" i="8"/>
  <c r="L86" i="8"/>
  <c r="W86" i="8" s="1"/>
  <c r="J87" i="8"/>
  <c r="H87" i="8"/>
  <c r="H88" i="7"/>
  <c r="AJ90" i="7"/>
  <c r="AH91" i="7"/>
  <c r="J88" i="7"/>
  <c r="H87" i="6"/>
  <c r="L87" i="6" s="1"/>
  <c r="W87" i="6" s="1"/>
  <c r="L86" i="6"/>
  <c r="W86" i="6" s="1"/>
  <c r="AJ89" i="6"/>
  <c r="AH90" i="6"/>
  <c r="J88" i="6"/>
  <c r="M86" i="4"/>
  <c r="X86" i="4" s="1"/>
  <c r="Z86" i="4"/>
  <c r="Q86" i="4"/>
  <c r="G87" i="4"/>
  <c r="P86" i="4"/>
  <c r="AA86" i="4"/>
  <c r="U86" i="4"/>
  <c r="T86" i="4"/>
  <c r="N88" i="4"/>
  <c r="H87" i="4"/>
  <c r="L86" i="4"/>
  <c r="W86" i="4" s="1"/>
  <c r="AJ89" i="4"/>
  <c r="E89" i="4" s="1"/>
  <c r="AH90" i="4"/>
  <c r="J89" i="4"/>
  <c r="J89" i="28" l="1"/>
  <c r="L88" i="28"/>
  <c r="AJ92" i="28"/>
  <c r="E92" i="28" s="1"/>
  <c r="N92" i="28" s="1"/>
  <c r="AH93" i="28"/>
  <c r="C90" i="28"/>
  <c r="H91" i="28"/>
  <c r="D90" i="28"/>
  <c r="D89" i="27"/>
  <c r="C89" i="27"/>
  <c r="H90" i="27"/>
  <c r="H92" i="25"/>
  <c r="D91" i="25"/>
  <c r="C91" i="25"/>
  <c r="J90" i="25"/>
  <c r="L89" i="25"/>
  <c r="AH92" i="25"/>
  <c r="AJ91" i="25"/>
  <c r="E91" i="25" s="1"/>
  <c r="N91" i="25" s="1"/>
  <c r="J89" i="24"/>
  <c r="L88" i="24"/>
  <c r="AJ92" i="24"/>
  <c r="E92" i="24" s="1"/>
  <c r="N92" i="24" s="1"/>
  <c r="AH93" i="24"/>
  <c r="D89" i="26"/>
  <c r="C89" i="26"/>
  <c r="H90" i="26"/>
  <c r="AJ91" i="26"/>
  <c r="E91" i="26" s="1"/>
  <c r="N91" i="26" s="1"/>
  <c r="AH92" i="26"/>
  <c r="J89" i="26"/>
  <c r="L88" i="26"/>
  <c r="L89" i="27"/>
  <c r="AJ93" i="27"/>
  <c r="E93" i="27" s="1"/>
  <c r="N93" i="27" s="1"/>
  <c r="AH94" i="27"/>
  <c r="D89" i="24"/>
  <c r="C89" i="24"/>
  <c r="H90" i="24"/>
  <c r="L90" i="27"/>
  <c r="J91" i="27"/>
  <c r="D88" i="23"/>
  <c r="C88" i="23"/>
  <c r="H89" i="23"/>
  <c r="AJ92" i="22"/>
  <c r="E92" i="22" s="1"/>
  <c r="N92" i="22" s="1"/>
  <c r="AH93" i="22"/>
  <c r="H91" i="22"/>
  <c r="D90" i="22"/>
  <c r="C90" i="22"/>
  <c r="AJ92" i="23"/>
  <c r="E92" i="23" s="1"/>
  <c r="N92" i="23" s="1"/>
  <c r="AH93" i="23"/>
  <c r="J89" i="22"/>
  <c r="L88" i="22"/>
  <c r="J89" i="23"/>
  <c r="L88" i="23"/>
  <c r="J89" i="21"/>
  <c r="L88" i="21"/>
  <c r="AJ92" i="21"/>
  <c r="E92" i="21" s="1"/>
  <c r="N92" i="21" s="1"/>
  <c r="AH93" i="21"/>
  <c r="D89" i="21"/>
  <c r="C89" i="21"/>
  <c r="H90" i="21"/>
  <c r="C90" i="20"/>
  <c r="H91" i="20"/>
  <c r="D90" i="20"/>
  <c r="J89" i="20"/>
  <c r="L88" i="20"/>
  <c r="AJ92" i="20"/>
  <c r="E92" i="20" s="1"/>
  <c r="N92" i="20" s="1"/>
  <c r="AH93" i="20"/>
  <c r="AJ93" i="19"/>
  <c r="E93" i="19" s="1"/>
  <c r="AH94" i="19"/>
  <c r="J88" i="19"/>
  <c r="N92" i="19"/>
  <c r="M86" i="19"/>
  <c r="X86" i="19" s="1"/>
  <c r="L86" i="19"/>
  <c r="W86" i="19" s="1"/>
  <c r="G87" i="19"/>
  <c r="D87" i="19" s="1"/>
  <c r="S87" i="19" s="1"/>
  <c r="H88" i="19"/>
  <c r="D87" i="14"/>
  <c r="C87" i="14"/>
  <c r="D87" i="16"/>
  <c r="C87" i="16"/>
  <c r="O85" i="7"/>
  <c r="L85" i="7"/>
  <c r="W85" i="7" s="1"/>
  <c r="P85" i="7"/>
  <c r="Q85" i="7"/>
  <c r="G86" i="7"/>
  <c r="Z85" i="7"/>
  <c r="C85" i="7"/>
  <c r="R85" i="7" s="1"/>
  <c r="D85" i="7"/>
  <c r="S85" i="7" s="1"/>
  <c r="T85" i="7"/>
  <c r="M85" i="7"/>
  <c r="X85" i="7" s="1"/>
  <c r="AA85" i="7"/>
  <c r="U85" i="7"/>
  <c r="L88" i="1"/>
  <c r="W88" i="1" s="1"/>
  <c r="T88" i="1"/>
  <c r="O88" i="1"/>
  <c r="D88" i="1"/>
  <c r="S88" i="1" s="1"/>
  <c r="AA88" i="1"/>
  <c r="U88" i="1"/>
  <c r="Z88" i="1"/>
  <c r="Q88" i="1"/>
  <c r="P88" i="1"/>
  <c r="G89" i="1"/>
  <c r="C88" i="1"/>
  <c r="R88" i="1" s="1"/>
  <c r="M88" i="1"/>
  <c r="X88" i="1" s="1"/>
  <c r="O88" i="8"/>
  <c r="AA87" i="11"/>
  <c r="AA87" i="18"/>
  <c r="M88" i="18"/>
  <c r="X88" i="18" s="1"/>
  <c r="U88" i="18"/>
  <c r="Q88" i="18"/>
  <c r="P88" i="18"/>
  <c r="G89" i="18"/>
  <c r="Z88" i="18"/>
  <c r="C88" i="18"/>
  <c r="R88" i="18" s="1"/>
  <c r="D88" i="18"/>
  <c r="S88" i="18" s="1"/>
  <c r="N88" i="18"/>
  <c r="O88" i="18" s="1"/>
  <c r="T88" i="18"/>
  <c r="M86" i="13"/>
  <c r="X86" i="13" s="1"/>
  <c r="Q86" i="13"/>
  <c r="P86" i="13"/>
  <c r="G87" i="13"/>
  <c r="AA86" i="13"/>
  <c r="U86" i="13"/>
  <c r="Z86" i="13"/>
  <c r="D86" i="13"/>
  <c r="S86" i="13" s="1"/>
  <c r="C86" i="13"/>
  <c r="R86" i="13" s="1"/>
  <c r="T86" i="13"/>
  <c r="L86" i="13"/>
  <c r="W86" i="13" s="1"/>
  <c r="O86" i="13"/>
  <c r="N89" i="13"/>
  <c r="M88" i="11"/>
  <c r="X88" i="11" s="1"/>
  <c r="Z88" i="11"/>
  <c r="U88" i="11"/>
  <c r="Q88" i="11"/>
  <c r="P88" i="11"/>
  <c r="G89" i="11"/>
  <c r="D88" i="11"/>
  <c r="S88" i="11" s="1"/>
  <c r="C88" i="11"/>
  <c r="R88" i="11" s="1"/>
  <c r="N88" i="11"/>
  <c r="O88" i="11" s="1"/>
  <c r="T88" i="11"/>
  <c r="N88" i="10"/>
  <c r="M87" i="10"/>
  <c r="X87" i="10" s="1"/>
  <c r="U87" i="10"/>
  <c r="Q87" i="10"/>
  <c r="P87" i="10"/>
  <c r="G88" i="10"/>
  <c r="AA87" i="10"/>
  <c r="Z87" i="10"/>
  <c r="C87" i="10"/>
  <c r="R87" i="10" s="1"/>
  <c r="D87" i="10"/>
  <c r="S87" i="10" s="1"/>
  <c r="T87" i="10"/>
  <c r="O87" i="10"/>
  <c r="E89" i="18"/>
  <c r="E90" i="17"/>
  <c r="N90" i="17" s="1"/>
  <c r="E88" i="16"/>
  <c r="N88" i="16" s="1"/>
  <c r="E89" i="15"/>
  <c r="N89" i="15" s="1"/>
  <c r="E89" i="14"/>
  <c r="N89" i="14" s="1"/>
  <c r="E90" i="13"/>
  <c r="E89" i="12"/>
  <c r="N89" i="12" s="1"/>
  <c r="E89" i="11"/>
  <c r="E89" i="10"/>
  <c r="M87" i="9"/>
  <c r="X87" i="9" s="1"/>
  <c r="U87" i="9"/>
  <c r="Q87" i="9"/>
  <c r="P87" i="9"/>
  <c r="G88" i="9"/>
  <c r="AA87" i="9"/>
  <c r="Z87" i="9"/>
  <c r="D87" i="9"/>
  <c r="S87" i="9" s="1"/>
  <c r="C87" i="9"/>
  <c r="R87" i="9" s="1"/>
  <c r="N88" i="9"/>
  <c r="O88" i="9" s="1"/>
  <c r="T88" i="9"/>
  <c r="T87" i="9"/>
  <c r="O87" i="9"/>
  <c r="E89" i="9"/>
  <c r="M88" i="8"/>
  <c r="X88" i="8" s="1"/>
  <c r="Q88" i="8"/>
  <c r="P88" i="8"/>
  <c r="G89" i="8"/>
  <c r="AA88" i="8"/>
  <c r="Z88" i="8"/>
  <c r="U88" i="8"/>
  <c r="D88" i="8"/>
  <c r="S88" i="8" s="1"/>
  <c r="C88" i="8"/>
  <c r="R88" i="8" s="1"/>
  <c r="N89" i="8"/>
  <c r="O89" i="8" s="1"/>
  <c r="T89" i="8"/>
  <c r="E90" i="8"/>
  <c r="N89" i="7"/>
  <c r="M88" i="6"/>
  <c r="X88" i="6" s="1"/>
  <c r="G89" i="6"/>
  <c r="Z88" i="6"/>
  <c r="U88" i="6"/>
  <c r="Q88" i="6"/>
  <c r="P88" i="6"/>
  <c r="D88" i="6"/>
  <c r="S88" i="6" s="1"/>
  <c r="C88" i="6"/>
  <c r="R88" i="6" s="1"/>
  <c r="AA87" i="6"/>
  <c r="N88" i="6"/>
  <c r="O88" i="6" s="1"/>
  <c r="T88" i="6"/>
  <c r="E89" i="6"/>
  <c r="D87" i="4"/>
  <c r="C87" i="4"/>
  <c r="R87" i="4" s="1"/>
  <c r="E90" i="7"/>
  <c r="J88" i="18"/>
  <c r="L87" i="18"/>
  <c r="W87" i="18" s="1"/>
  <c r="AJ90" i="18"/>
  <c r="AH91" i="18"/>
  <c r="H88" i="18"/>
  <c r="J87" i="17"/>
  <c r="L86" i="17"/>
  <c r="AH92" i="17"/>
  <c r="AJ91" i="17"/>
  <c r="H88" i="17"/>
  <c r="AJ91" i="13"/>
  <c r="AH92" i="13"/>
  <c r="J88" i="15"/>
  <c r="L87" i="15"/>
  <c r="H88" i="15"/>
  <c r="AJ89" i="16"/>
  <c r="AH90" i="16"/>
  <c r="J89" i="13"/>
  <c r="H88" i="13"/>
  <c r="H88" i="16"/>
  <c r="L86" i="14"/>
  <c r="J87" i="14"/>
  <c r="AJ90" i="14"/>
  <c r="AH91" i="14"/>
  <c r="AJ90" i="15"/>
  <c r="AH91" i="15"/>
  <c r="H88" i="14"/>
  <c r="L86" i="16"/>
  <c r="J87" i="16"/>
  <c r="J90" i="11"/>
  <c r="H89" i="9"/>
  <c r="L86" i="10"/>
  <c r="W86" i="10" s="1"/>
  <c r="J87" i="10"/>
  <c r="AJ90" i="9"/>
  <c r="AH91" i="9"/>
  <c r="J87" i="9"/>
  <c r="L86" i="9"/>
  <c r="W86" i="9" s="1"/>
  <c r="H88" i="12"/>
  <c r="AJ90" i="11"/>
  <c r="AH91" i="11"/>
  <c r="AJ90" i="10"/>
  <c r="AH91" i="10"/>
  <c r="H87" i="10"/>
  <c r="AJ90" i="12"/>
  <c r="AH91" i="12"/>
  <c r="L86" i="12"/>
  <c r="J87" i="12"/>
  <c r="H88" i="11"/>
  <c r="L87" i="11"/>
  <c r="W87" i="11" s="1"/>
  <c r="J88" i="8"/>
  <c r="L87" i="8"/>
  <c r="W87" i="8" s="1"/>
  <c r="AH92" i="8"/>
  <c r="AJ91" i="8"/>
  <c r="H88" i="8"/>
  <c r="H89" i="7"/>
  <c r="AH92" i="7"/>
  <c r="AJ91" i="7"/>
  <c r="J89" i="7"/>
  <c r="H88" i="6"/>
  <c r="AJ90" i="6"/>
  <c r="AH91" i="6"/>
  <c r="J89" i="6"/>
  <c r="L88" i="6"/>
  <c r="W88" i="6" s="1"/>
  <c r="U87" i="4"/>
  <c r="Q87" i="4"/>
  <c r="G88" i="4"/>
  <c r="O88" i="4" s="1"/>
  <c r="P87" i="4"/>
  <c r="AA87" i="4"/>
  <c r="Z87" i="4"/>
  <c r="M87" i="4"/>
  <c r="X87" i="4" s="1"/>
  <c r="T87" i="4"/>
  <c r="N89" i="4"/>
  <c r="O87" i="4"/>
  <c r="J90" i="4"/>
  <c r="AJ90" i="4"/>
  <c r="E90" i="4" s="1"/>
  <c r="AH91" i="4"/>
  <c r="S87" i="4"/>
  <c r="H88" i="4"/>
  <c r="L87" i="4"/>
  <c r="W87" i="4" s="1"/>
  <c r="H92" i="28" l="1"/>
  <c r="D91" i="28"/>
  <c r="C91" i="28"/>
  <c r="AJ93" i="28"/>
  <c r="E93" i="28" s="1"/>
  <c r="N93" i="28" s="1"/>
  <c r="AH94" i="28"/>
  <c r="J90" i="28"/>
  <c r="L89" i="28"/>
  <c r="AJ94" i="27"/>
  <c r="E94" i="27" s="1"/>
  <c r="N94" i="27" s="1"/>
  <c r="AH95" i="27"/>
  <c r="AJ92" i="25"/>
  <c r="E92" i="25" s="1"/>
  <c r="N92" i="25" s="1"/>
  <c r="AH93" i="25"/>
  <c r="J90" i="26"/>
  <c r="L89" i="26"/>
  <c r="AJ92" i="26"/>
  <c r="E92" i="26" s="1"/>
  <c r="N92" i="26" s="1"/>
  <c r="AH93" i="26"/>
  <c r="J91" i="25"/>
  <c r="L90" i="25"/>
  <c r="J92" i="27"/>
  <c r="D90" i="26"/>
  <c r="C90" i="26"/>
  <c r="H91" i="26"/>
  <c r="H93" i="25"/>
  <c r="D92" i="25"/>
  <c r="C92" i="25"/>
  <c r="J90" i="24"/>
  <c r="L89" i="24"/>
  <c r="D90" i="24"/>
  <c r="C90" i="24"/>
  <c r="H91" i="24"/>
  <c r="C90" i="27"/>
  <c r="H91" i="27"/>
  <c r="L91" i="27" s="1"/>
  <c r="D90" i="27"/>
  <c r="AH94" i="24"/>
  <c r="AJ93" i="24"/>
  <c r="E93" i="24" s="1"/>
  <c r="N93" i="24" s="1"/>
  <c r="AJ93" i="23"/>
  <c r="E93" i="23" s="1"/>
  <c r="N93" i="23" s="1"/>
  <c r="AH94" i="23"/>
  <c r="J90" i="22"/>
  <c r="L89" i="22"/>
  <c r="H92" i="22"/>
  <c r="D91" i="22"/>
  <c r="C91" i="22"/>
  <c r="AJ93" i="22"/>
  <c r="E93" i="22" s="1"/>
  <c r="N93" i="22" s="1"/>
  <c r="AH94" i="22"/>
  <c r="D89" i="23"/>
  <c r="C89" i="23"/>
  <c r="H90" i="23"/>
  <c r="J90" i="23"/>
  <c r="L89" i="23"/>
  <c r="C90" i="21"/>
  <c r="H91" i="21"/>
  <c r="D90" i="21"/>
  <c r="AJ93" i="21"/>
  <c r="E93" i="21" s="1"/>
  <c r="N93" i="21" s="1"/>
  <c r="AH94" i="21"/>
  <c r="J90" i="21"/>
  <c r="L89" i="21"/>
  <c r="AJ93" i="20"/>
  <c r="E93" i="20" s="1"/>
  <c r="N93" i="20" s="1"/>
  <c r="AH94" i="20"/>
  <c r="J90" i="20"/>
  <c r="L89" i="20"/>
  <c r="H92" i="20"/>
  <c r="D91" i="20"/>
  <c r="C91" i="20"/>
  <c r="O87" i="19"/>
  <c r="T87" i="19"/>
  <c r="P87" i="19"/>
  <c r="C87" i="19"/>
  <c r="R87" i="19" s="1"/>
  <c r="U87" i="19"/>
  <c r="Z87" i="19"/>
  <c r="Q87" i="19"/>
  <c r="AA87" i="19"/>
  <c r="H89" i="19"/>
  <c r="Q88" i="19"/>
  <c r="P88" i="19"/>
  <c r="J89" i="19"/>
  <c r="M87" i="19"/>
  <c r="X87" i="19" s="1"/>
  <c r="L87" i="19"/>
  <c r="W87" i="19" s="1"/>
  <c r="G88" i="19"/>
  <c r="AA88" i="19" s="1"/>
  <c r="AJ94" i="19"/>
  <c r="E94" i="19" s="1"/>
  <c r="AH95" i="19"/>
  <c r="N93" i="19"/>
  <c r="D88" i="14"/>
  <c r="C88" i="14"/>
  <c r="C88" i="16"/>
  <c r="D88" i="16"/>
  <c r="L86" i="7"/>
  <c r="W86" i="7" s="1"/>
  <c r="Z86" i="7"/>
  <c r="U86" i="7"/>
  <c r="D86" i="7"/>
  <c r="S86" i="7" s="1"/>
  <c r="C86" i="7"/>
  <c r="R86" i="7" s="1"/>
  <c r="T86" i="7"/>
  <c r="G87" i="7"/>
  <c r="M86" i="7"/>
  <c r="X86" i="7" s="1"/>
  <c r="O86" i="7"/>
  <c r="AA86" i="7"/>
  <c r="Q86" i="7"/>
  <c r="P86" i="7"/>
  <c r="D89" i="1"/>
  <c r="S89" i="1" s="1"/>
  <c r="C89" i="1"/>
  <c r="R89" i="1" s="1"/>
  <c r="M89" i="1"/>
  <c r="X89" i="1" s="1"/>
  <c r="T89" i="1"/>
  <c r="O89" i="1"/>
  <c r="L89" i="1"/>
  <c r="W89" i="1" s="1"/>
  <c r="U89" i="1"/>
  <c r="AA89" i="1"/>
  <c r="Q89" i="1"/>
  <c r="P89" i="1"/>
  <c r="Z89" i="1"/>
  <c r="G90" i="1"/>
  <c r="AA88" i="18"/>
  <c r="M89" i="18"/>
  <c r="X89" i="18" s="1"/>
  <c r="U89" i="18"/>
  <c r="Q89" i="18"/>
  <c r="P89" i="18"/>
  <c r="G90" i="18"/>
  <c r="Z89" i="18"/>
  <c r="D89" i="18"/>
  <c r="S89" i="18" s="1"/>
  <c r="C89" i="18"/>
  <c r="R89" i="18" s="1"/>
  <c r="N89" i="18"/>
  <c r="O89" i="18" s="1"/>
  <c r="T89" i="18"/>
  <c r="N90" i="13"/>
  <c r="M87" i="13"/>
  <c r="X87" i="13" s="1"/>
  <c r="Q87" i="13"/>
  <c r="P87" i="13"/>
  <c r="G88" i="13"/>
  <c r="U87" i="13"/>
  <c r="AA87" i="13"/>
  <c r="Z87" i="13"/>
  <c r="D87" i="13"/>
  <c r="S87" i="13" s="1"/>
  <c r="C87" i="13"/>
  <c r="R87" i="13" s="1"/>
  <c r="T87" i="13"/>
  <c r="O87" i="13"/>
  <c r="L87" i="13"/>
  <c r="W87" i="13" s="1"/>
  <c r="N89" i="11"/>
  <c r="O89" i="11" s="1"/>
  <c r="T89" i="11"/>
  <c r="M89" i="11"/>
  <c r="X89" i="11" s="1"/>
  <c r="Z89" i="11"/>
  <c r="U89" i="11"/>
  <c r="Q89" i="11"/>
  <c r="P89" i="11"/>
  <c r="G90" i="11"/>
  <c r="C89" i="11"/>
  <c r="R89" i="11" s="1"/>
  <c r="D89" i="11"/>
  <c r="S89" i="11" s="1"/>
  <c r="AA88" i="11"/>
  <c r="M88" i="10"/>
  <c r="X88" i="10" s="1"/>
  <c r="Q88" i="10"/>
  <c r="P88" i="10"/>
  <c r="G89" i="10"/>
  <c r="U88" i="10"/>
  <c r="AA88" i="10"/>
  <c r="Z88" i="10"/>
  <c r="C88" i="10"/>
  <c r="R88" i="10" s="1"/>
  <c r="D88" i="10"/>
  <c r="S88" i="10" s="1"/>
  <c r="N89" i="10"/>
  <c r="O89" i="10" s="1"/>
  <c r="T89" i="10"/>
  <c r="T88" i="10"/>
  <c r="O88" i="10"/>
  <c r="E90" i="18"/>
  <c r="E91" i="17"/>
  <c r="N91" i="17" s="1"/>
  <c r="E89" i="16"/>
  <c r="N89" i="16" s="1"/>
  <c r="E90" i="15"/>
  <c r="N90" i="15" s="1"/>
  <c r="E90" i="14"/>
  <c r="N90" i="14" s="1"/>
  <c r="E91" i="13"/>
  <c r="E90" i="12"/>
  <c r="N90" i="12" s="1"/>
  <c r="E90" i="11"/>
  <c r="E90" i="10"/>
  <c r="M88" i="9"/>
  <c r="X88" i="9" s="1"/>
  <c r="U88" i="9"/>
  <c r="Q88" i="9"/>
  <c r="P88" i="9"/>
  <c r="G89" i="9"/>
  <c r="AA88" i="9"/>
  <c r="Z88" i="9"/>
  <c r="D88" i="9"/>
  <c r="S88" i="9" s="1"/>
  <c r="C88" i="9"/>
  <c r="R88" i="9" s="1"/>
  <c r="N89" i="9"/>
  <c r="O89" i="9" s="1"/>
  <c r="T89" i="9"/>
  <c r="E90" i="9"/>
  <c r="N90" i="8"/>
  <c r="M89" i="8"/>
  <c r="X89" i="8" s="1"/>
  <c r="Q89" i="8"/>
  <c r="P89" i="8"/>
  <c r="G90" i="8"/>
  <c r="AA89" i="8"/>
  <c r="Z89" i="8"/>
  <c r="U89" i="8"/>
  <c r="D89" i="8"/>
  <c r="S89" i="8" s="1"/>
  <c r="C89" i="8"/>
  <c r="R89" i="8" s="1"/>
  <c r="E91" i="8"/>
  <c r="N90" i="7"/>
  <c r="M89" i="6"/>
  <c r="X89" i="6" s="1"/>
  <c r="Z89" i="6"/>
  <c r="U89" i="6"/>
  <c r="Q89" i="6"/>
  <c r="P89" i="6"/>
  <c r="G90" i="6"/>
  <c r="D89" i="6"/>
  <c r="S89" i="6" s="1"/>
  <c r="C89" i="6"/>
  <c r="R89" i="6" s="1"/>
  <c r="AA88" i="6"/>
  <c r="N89" i="6"/>
  <c r="O89" i="6" s="1"/>
  <c r="T89" i="6"/>
  <c r="E90" i="6"/>
  <c r="D88" i="4"/>
  <c r="S88" i="4" s="1"/>
  <c r="C88" i="4"/>
  <c r="R88" i="4" s="1"/>
  <c r="E91" i="7"/>
  <c r="H89" i="18"/>
  <c r="AH92" i="18"/>
  <c r="AJ91" i="18"/>
  <c r="L88" i="18"/>
  <c r="W88" i="18" s="1"/>
  <c r="J89" i="18"/>
  <c r="H89" i="17"/>
  <c r="AJ92" i="17"/>
  <c r="AH93" i="17"/>
  <c r="J88" i="17"/>
  <c r="L87" i="17"/>
  <c r="AH92" i="15"/>
  <c r="AJ91" i="15"/>
  <c r="J90" i="13"/>
  <c r="AJ91" i="14"/>
  <c r="AH92" i="14"/>
  <c r="AJ90" i="16"/>
  <c r="AH91" i="16"/>
  <c r="J88" i="14"/>
  <c r="L87" i="14"/>
  <c r="H89" i="15"/>
  <c r="H89" i="16"/>
  <c r="J88" i="16"/>
  <c r="L87" i="16"/>
  <c r="J89" i="15"/>
  <c r="L88" i="15"/>
  <c r="H89" i="13"/>
  <c r="AH93" i="13"/>
  <c r="AJ92" i="13"/>
  <c r="H89" i="14"/>
  <c r="L87" i="9"/>
  <c r="W87" i="9" s="1"/>
  <c r="J88" i="9"/>
  <c r="AJ91" i="9"/>
  <c r="AH92" i="9"/>
  <c r="J88" i="10"/>
  <c r="L87" i="10"/>
  <c r="W87" i="10" s="1"/>
  <c r="AH92" i="12"/>
  <c r="AJ91" i="12"/>
  <c r="AJ91" i="10"/>
  <c r="AH92" i="10"/>
  <c r="AJ91" i="11"/>
  <c r="AH92" i="11"/>
  <c r="H90" i="9"/>
  <c r="H88" i="10"/>
  <c r="H89" i="11"/>
  <c r="L88" i="11"/>
  <c r="W88" i="11" s="1"/>
  <c r="H89" i="12"/>
  <c r="J88" i="12"/>
  <c r="L87" i="12"/>
  <c r="J91" i="11"/>
  <c r="AJ92" i="8"/>
  <c r="AH93" i="8"/>
  <c r="H89" i="8"/>
  <c r="J89" i="8"/>
  <c r="L88" i="8"/>
  <c r="W88" i="8" s="1"/>
  <c r="AH93" i="7"/>
  <c r="AJ92" i="7"/>
  <c r="H90" i="7"/>
  <c r="J90" i="7"/>
  <c r="AH92" i="6"/>
  <c r="AJ91" i="6"/>
  <c r="H89" i="6"/>
  <c r="L89" i="6" s="1"/>
  <c r="W89" i="6" s="1"/>
  <c r="J90" i="6"/>
  <c r="M88" i="4"/>
  <c r="X88" i="4" s="1"/>
  <c r="Q88" i="4"/>
  <c r="G89" i="4"/>
  <c r="P88" i="4"/>
  <c r="AA88" i="4"/>
  <c r="Z88" i="4"/>
  <c r="U88" i="4"/>
  <c r="T88" i="4"/>
  <c r="N90" i="4"/>
  <c r="H89" i="4"/>
  <c r="L88" i="4"/>
  <c r="W88" i="4" s="1"/>
  <c r="AH92" i="4"/>
  <c r="AJ91" i="4"/>
  <c r="E91" i="4" s="1"/>
  <c r="J91" i="4"/>
  <c r="J91" i="28" l="1"/>
  <c r="L90" i="28"/>
  <c r="AJ94" i="28"/>
  <c r="E94" i="28" s="1"/>
  <c r="N94" i="28" s="1"/>
  <c r="AH95" i="28"/>
  <c r="H93" i="28"/>
  <c r="D92" i="28"/>
  <c r="C92" i="28"/>
  <c r="J93" i="27"/>
  <c r="J92" i="25"/>
  <c r="L91" i="25"/>
  <c r="AJ93" i="26"/>
  <c r="E93" i="26" s="1"/>
  <c r="N93" i="26" s="1"/>
  <c r="AH94" i="26"/>
  <c r="J91" i="24"/>
  <c r="L90" i="24"/>
  <c r="D91" i="24"/>
  <c r="C91" i="24"/>
  <c r="H92" i="24"/>
  <c r="L90" i="26"/>
  <c r="J91" i="26"/>
  <c r="H94" i="25"/>
  <c r="D93" i="25"/>
  <c r="C93" i="25"/>
  <c r="AJ93" i="25"/>
  <c r="E93" i="25" s="1"/>
  <c r="N93" i="25" s="1"/>
  <c r="AH94" i="25"/>
  <c r="AH95" i="24"/>
  <c r="AJ94" i="24"/>
  <c r="E94" i="24" s="1"/>
  <c r="N94" i="24" s="1"/>
  <c r="D91" i="26"/>
  <c r="C91" i="26"/>
  <c r="H92" i="26"/>
  <c r="AJ95" i="27"/>
  <c r="E95" i="27" s="1"/>
  <c r="N95" i="27" s="1"/>
  <c r="AH96" i="27"/>
  <c r="H92" i="27"/>
  <c r="C91" i="27"/>
  <c r="D91" i="27"/>
  <c r="C90" i="23"/>
  <c r="H91" i="23"/>
  <c r="D90" i="23"/>
  <c r="AJ94" i="22"/>
  <c r="E94" i="22" s="1"/>
  <c r="N94" i="22" s="1"/>
  <c r="AH95" i="22"/>
  <c r="D92" i="22"/>
  <c r="C92" i="22"/>
  <c r="H93" i="22"/>
  <c r="J91" i="22"/>
  <c r="L90" i="22"/>
  <c r="AJ94" i="23"/>
  <c r="E94" i="23" s="1"/>
  <c r="N94" i="23" s="1"/>
  <c r="AH95" i="23"/>
  <c r="J91" i="23"/>
  <c r="L90" i="23"/>
  <c r="J91" i="21"/>
  <c r="L90" i="21"/>
  <c r="AJ94" i="21"/>
  <c r="E94" i="21" s="1"/>
  <c r="N94" i="21" s="1"/>
  <c r="AH95" i="21"/>
  <c r="H92" i="21"/>
  <c r="D91" i="21"/>
  <c r="C91" i="21"/>
  <c r="H93" i="20"/>
  <c r="D92" i="20"/>
  <c r="C92" i="20"/>
  <c r="J91" i="20"/>
  <c r="L90" i="20"/>
  <c r="AJ94" i="20"/>
  <c r="E94" i="20" s="1"/>
  <c r="N94" i="20" s="1"/>
  <c r="AH95" i="20"/>
  <c r="Z88" i="19"/>
  <c r="O88" i="19"/>
  <c r="T88" i="19"/>
  <c r="U88" i="19"/>
  <c r="J90" i="19"/>
  <c r="O89" i="19"/>
  <c r="H90" i="19"/>
  <c r="AJ95" i="19"/>
  <c r="E95" i="19" s="1"/>
  <c r="AH96" i="19"/>
  <c r="N94" i="19"/>
  <c r="M88" i="19"/>
  <c r="X88" i="19" s="1"/>
  <c r="L88" i="19"/>
  <c r="W88" i="19" s="1"/>
  <c r="G89" i="19"/>
  <c r="D89" i="19" s="1"/>
  <c r="S89" i="19" s="1"/>
  <c r="C88" i="19"/>
  <c r="R88" i="19" s="1"/>
  <c r="D88" i="19"/>
  <c r="S88" i="19" s="1"/>
  <c r="D89" i="14"/>
  <c r="C89" i="14"/>
  <c r="D89" i="16"/>
  <c r="C89" i="16"/>
  <c r="O87" i="7"/>
  <c r="L87" i="7"/>
  <c r="W87" i="7" s="1"/>
  <c r="D87" i="7"/>
  <c r="S87" i="7" s="1"/>
  <c r="AA87" i="7"/>
  <c r="Q87" i="7"/>
  <c r="P87" i="7"/>
  <c r="G88" i="7"/>
  <c r="Z87" i="7"/>
  <c r="U87" i="7"/>
  <c r="M87" i="7"/>
  <c r="X87" i="7" s="1"/>
  <c r="C87" i="7"/>
  <c r="R87" i="7" s="1"/>
  <c r="T87" i="7"/>
  <c r="C90" i="1"/>
  <c r="R90" i="1" s="1"/>
  <c r="D90" i="1"/>
  <c r="S90" i="1" s="1"/>
  <c r="M90" i="1"/>
  <c r="X90" i="1" s="1"/>
  <c r="T90" i="1"/>
  <c r="O90" i="1"/>
  <c r="L90" i="1"/>
  <c r="W90" i="1" s="1"/>
  <c r="AA90" i="1"/>
  <c r="P90" i="1"/>
  <c r="U90" i="1"/>
  <c r="G91" i="1"/>
  <c r="Z90" i="1"/>
  <c r="Q90" i="1"/>
  <c r="AA89" i="11"/>
  <c r="AA89" i="18"/>
  <c r="M90" i="18"/>
  <c r="X90" i="18" s="1"/>
  <c r="Q90" i="18"/>
  <c r="P90" i="18"/>
  <c r="G91" i="18"/>
  <c r="U90" i="18"/>
  <c r="Z90" i="18"/>
  <c r="C90" i="18"/>
  <c r="R90" i="18" s="1"/>
  <c r="D90" i="18"/>
  <c r="S90" i="18" s="1"/>
  <c r="N90" i="18"/>
  <c r="O90" i="18" s="1"/>
  <c r="T90" i="18"/>
  <c r="N91" i="13"/>
  <c r="D88" i="13"/>
  <c r="S88" i="13" s="1"/>
  <c r="Q88" i="13"/>
  <c r="P88" i="13"/>
  <c r="G89" i="13"/>
  <c r="AA88" i="13"/>
  <c r="Z88" i="13"/>
  <c r="U88" i="13"/>
  <c r="C88" i="13"/>
  <c r="R88" i="13" s="1"/>
  <c r="M88" i="13"/>
  <c r="X88" i="13" s="1"/>
  <c r="T88" i="13"/>
  <c r="O88" i="13"/>
  <c r="L88" i="13"/>
  <c r="W88" i="13" s="1"/>
  <c r="N90" i="11"/>
  <c r="O90" i="11" s="1"/>
  <c r="T90" i="11"/>
  <c r="M90" i="11"/>
  <c r="X90" i="11" s="1"/>
  <c r="U90" i="11"/>
  <c r="Q90" i="11"/>
  <c r="P90" i="11"/>
  <c r="G91" i="11"/>
  <c r="Z90" i="11"/>
  <c r="AA90" i="11"/>
  <c r="D90" i="11"/>
  <c r="S90" i="11" s="1"/>
  <c r="C90" i="11"/>
  <c r="R90" i="11" s="1"/>
  <c r="N90" i="10"/>
  <c r="O90" i="10" s="1"/>
  <c r="M89" i="10"/>
  <c r="X89" i="10" s="1"/>
  <c r="Q89" i="10"/>
  <c r="P89" i="10"/>
  <c r="G90" i="10"/>
  <c r="AA89" i="10"/>
  <c r="Z89" i="10"/>
  <c r="U89" i="10"/>
  <c r="C89" i="10"/>
  <c r="R89" i="10" s="1"/>
  <c r="D89" i="10"/>
  <c r="S89" i="10" s="1"/>
  <c r="E91" i="18"/>
  <c r="E92" i="17"/>
  <c r="N92" i="17" s="1"/>
  <c r="E90" i="16"/>
  <c r="N90" i="16" s="1"/>
  <c r="E91" i="15"/>
  <c r="N91" i="15" s="1"/>
  <c r="E91" i="14"/>
  <c r="N91" i="14" s="1"/>
  <c r="E92" i="13"/>
  <c r="E91" i="12"/>
  <c r="N91" i="12" s="1"/>
  <c r="E91" i="11"/>
  <c r="E91" i="10"/>
  <c r="M89" i="9"/>
  <c r="X89" i="9" s="1"/>
  <c r="Q89" i="9"/>
  <c r="P89" i="9"/>
  <c r="G90" i="9"/>
  <c r="T90" i="9" s="1"/>
  <c r="AA89" i="9"/>
  <c r="Z89" i="9"/>
  <c r="U89" i="9"/>
  <c r="D89" i="9"/>
  <c r="S89" i="9" s="1"/>
  <c r="C89" i="9"/>
  <c r="R89" i="9" s="1"/>
  <c r="N90" i="9"/>
  <c r="E91" i="9"/>
  <c r="N91" i="8"/>
  <c r="M90" i="8"/>
  <c r="X90" i="8" s="1"/>
  <c r="Q90" i="8"/>
  <c r="P90" i="8"/>
  <c r="G91" i="8"/>
  <c r="AA90" i="8"/>
  <c r="Z90" i="8"/>
  <c r="U90" i="8"/>
  <c r="C90" i="8"/>
  <c r="R90" i="8" s="1"/>
  <c r="D90" i="8"/>
  <c r="S90" i="8" s="1"/>
  <c r="T90" i="8"/>
  <c r="O90" i="8"/>
  <c r="E92" i="8"/>
  <c r="N91" i="7"/>
  <c r="AA89" i="6"/>
  <c r="M90" i="6"/>
  <c r="X90" i="6" s="1"/>
  <c r="U90" i="6"/>
  <c r="Q90" i="6"/>
  <c r="P90" i="6"/>
  <c r="G91" i="6"/>
  <c r="Z90" i="6"/>
  <c r="D90" i="6"/>
  <c r="S90" i="6" s="1"/>
  <c r="C90" i="6"/>
  <c r="R90" i="6" s="1"/>
  <c r="N90" i="6"/>
  <c r="O90" i="6" s="1"/>
  <c r="T90" i="6"/>
  <c r="E91" i="6"/>
  <c r="C89" i="4"/>
  <c r="R89" i="4" s="1"/>
  <c r="D89" i="4"/>
  <c r="E92" i="7"/>
  <c r="J90" i="18"/>
  <c r="L89" i="18"/>
  <c r="W89" i="18" s="1"/>
  <c r="AJ92" i="18"/>
  <c r="AH93" i="18"/>
  <c r="H90" i="18"/>
  <c r="J89" i="17"/>
  <c r="L88" i="17"/>
  <c r="AJ93" i="17"/>
  <c r="AH94" i="17"/>
  <c r="H90" i="17"/>
  <c r="H90" i="13"/>
  <c r="AJ93" i="13"/>
  <c r="AH94" i="13"/>
  <c r="J89" i="14"/>
  <c r="L88" i="14"/>
  <c r="AH92" i="16"/>
  <c r="AJ91" i="16"/>
  <c r="J90" i="15"/>
  <c r="L89" i="15"/>
  <c r="AJ92" i="14"/>
  <c r="AH93" i="14"/>
  <c r="J89" i="16"/>
  <c r="L88" i="16"/>
  <c r="H90" i="14"/>
  <c r="H90" i="16"/>
  <c r="J91" i="13"/>
  <c r="L89" i="13"/>
  <c r="W89" i="13" s="1"/>
  <c r="H90" i="15"/>
  <c r="AJ92" i="15"/>
  <c r="AH93" i="15"/>
  <c r="AJ92" i="10"/>
  <c r="AH93" i="10"/>
  <c r="H90" i="11"/>
  <c r="L89" i="11"/>
  <c r="W89" i="11" s="1"/>
  <c r="AJ92" i="12"/>
  <c r="AH93" i="12"/>
  <c r="J89" i="10"/>
  <c r="L88" i="10"/>
  <c r="W88" i="10" s="1"/>
  <c r="J92" i="11"/>
  <c r="H89" i="10"/>
  <c r="AJ92" i="9"/>
  <c r="AH93" i="9"/>
  <c r="AJ92" i="11"/>
  <c r="AH93" i="11"/>
  <c r="J89" i="12"/>
  <c r="L88" i="12"/>
  <c r="L88" i="9"/>
  <c r="W88" i="9" s="1"/>
  <c r="J89" i="9"/>
  <c r="H90" i="12"/>
  <c r="H91" i="9"/>
  <c r="H90" i="8"/>
  <c r="AJ93" i="8"/>
  <c r="AH94" i="8"/>
  <c r="J90" i="8"/>
  <c r="L89" i="8"/>
  <c r="W89" i="8" s="1"/>
  <c r="J91" i="7"/>
  <c r="H91" i="7"/>
  <c r="AJ93" i="7"/>
  <c r="AH94" i="7"/>
  <c r="H90" i="6"/>
  <c r="J91" i="6"/>
  <c r="L90" i="6"/>
  <c r="W90" i="6" s="1"/>
  <c r="AJ92" i="6"/>
  <c r="AH93" i="6"/>
  <c r="N91" i="4"/>
  <c r="M89" i="4"/>
  <c r="X89" i="4" s="1"/>
  <c r="Q89" i="4"/>
  <c r="G90" i="4"/>
  <c r="P89" i="4"/>
  <c r="AA89" i="4"/>
  <c r="Z89" i="4"/>
  <c r="U89" i="4"/>
  <c r="T89" i="4"/>
  <c r="O89" i="4"/>
  <c r="J92" i="4"/>
  <c r="S89" i="4"/>
  <c r="H90" i="4"/>
  <c r="L89" i="4"/>
  <c r="W89" i="4" s="1"/>
  <c r="AJ92" i="4"/>
  <c r="E92" i="4" s="1"/>
  <c r="AH93" i="4"/>
  <c r="H94" i="28" l="1"/>
  <c r="D93" i="28"/>
  <c r="C93" i="28"/>
  <c r="AJ95" i="28"/>
  <c r="E95" i="28" s="1"/>
  <c r="N95" i="28" s="1"/>
  <c r="AH96" i="28"/>
  <c r="J92" i="28"/>
  <c r="L91" i="28"/>
  <c r="C92" i="24"/>
  <c r="H93" i="24"/>
  <c r="D92" i="24"/>
  <c r="AH96" i="24"/>
  <c r="AJ95" i="24"/>
  <c r="E95" i="24" s="1"/>
  <c r="N95" i="24" s="1"/>
  <c r="L91" i="24"/>
  <c r="J92" i="24"/>
  <c r="AJ94" i="25"/>
  <c r="E94" i="25" s="1"/>
  <c r="N94" i="25" s="1"/>
  <c r="AH95" i="25"/>
  <c r="AH95" i="26"/>
  <c r="AJ94" i="26"/>
  <c r="E94" i="26" s="1"/>
  <c r="N94" i="26" s="1"/>
  <c r="D92" i="26"/>
  <c r="C92" i="26"/>
  <c r="H93" i="26"/>
  <c r="J93" i="25"/>
  <c r="L92" i="25"/>
  <c r="H93" i="27"/>
  <c r="L93" i="27" s="1"/>
  <c r="D92" i="27"/>
  <c r="C92" i="27"/>
  <c r="H95" i="25"/>
  <c r="D94" i="25"/>
  <c r="C94" i="25"/>
  <c r="J94" i="27"/>
  <c r="AJ96" i="27"/>
  <c r="E96" i="27" s="1"/>
  <c r="N96" i="27" s="1"/>
  <c r="AH97" i="27"/>
  <c r="J92" i="26"/>
  <c r="L91" i="26"/>
  <c r="L92" i="27"/>
  <c r="AJ95" i="23"/>
  <c r="E95" i="23" s="1"/>
  <c r="N95" i="23" s="1"/>
  <c r="AH96" i="23"/>
  <c r="L91" i="22"/>
  <c r="J92" i="22"/>
  <c r="D93" i="22"/>
  <c r="C93" i="22"/>
  <c r="H94" i="22"/>
  <c r="AJ95" i="22"/>
  <c r="E95" i="22" s="1"/>
  <c r="N95" i="22" s="1"/>
  <c r="AH96" i="22"/>
  <c r="H92" i="23"/>
  <c r="D91" i="23"/>
  <c r="C91" i="23"/>
  <c r="L91" i="23"/>
  <c r="J92" i="23"/>
  <c r="H93" i="21"/>
  <c r="D92" i="21"/>
  <c r="C92" i="21"/>
  <c r="AJ95" i="21"/>
  <c r="E95" i="21" s="1"/>
  <c r="N95" i="21" s="1"/>
  <c r="AH96" i="21"/>
  <c r="J92" i="21"/>
  <c r="L91" i="21"/>
  <c r="AJ95" i="20"/>
  <c r="E95" i="20" s="1"/>
  <c r="N95" i="20" s="1"/>
  <c r="AH96" i="20"/>
  <c r="J92" i="20"/>
  <c r="L91" i="20"/>
  <c r="H94" i="20"/>
  <c r="D93" i="20"/>
  <c r="C93" i="20"/>
  <c r="Z89" i="19"/>
  <c r="AA89" i="19"/>
  <c r="C89" i="19"/>
  <c r="R89" i="19" s="1"/>
  <c r="M89" i="19"/>
  <c r="X89" i="19" s="1"/>
  <c r="L89" i="19"/>
  <c r="W89" i="19" s="1"/>
  <c r="G90" i="19"/>
  <c r="C90" i="19" s="1"/>
  <c r="R90" i="19" s="1"/>
  <c r="T89" i="19"/>
  <c r="U89" i="19"/>
  <c r="P90" i="19"/>
  <c r="J91" i="19"/>
  <c r="Q90" i="19"/>
  <c r="U90" i="19"/>
  <c r="H91" i="19"/>
  <c r="AJ96" i="19"/>
  <c r="E96" i="19" s="1"/>
  <c r="AH97" i="19"/>
  <c r="P89" i="19"/>
  <c r="N95" i="19"/>
  <c r="Q89" i="19"/>
  <c r="D90" i="14"/>
  <c r="C90" i="14"/>
  <c r="C90" i="16"/>
  <c r="D90" i="16"/>
  <c r="G89" i="7"/>
  <c r="Z88" i="7"/>
  <c r="U88" i="7"/>
  <c r="M88" i="7"/>
  <c r="X88" i="7" s="1"/>
  <c r="C88" i="7"/>
  <c r="R88" i="7" s="1"/>
  <c r="T88" i="7"/>
  <c r="D88" i="7"/>
  <c r="S88" i="7" s="1"/>
  <c r="L88" i="7"/>
  <c r="W88" i="7" s="1"/>
  <c r="P88" i="7"/>
  <c r="AA88" i="7"/>
  <c r="O88" i="7"/>
  <c r="Q88" i="7"/>
  <c r="T91" i="1"/>
  <c r="O91" i="1"/>
  <c r="L91" i="1"/>
  <c r="W91" i="1" s="1"/>
  <c r="AA91" i="1"/>
  <c r="D91" i="1"/>
  <c r="S91" i="1" s="1"/>
  <c r="U91" i="1"/>
  <c r="Q91" i="1"/>
  <c r="P91" i="1"/>
  <c r="Z91" i="1"/>
  <c r="G92" i="1"/>
  <c r="C91" i="1"/>
  <c r="R91" i="1" s="1"/>
  <c r="M91" i="1"/>
  <c r="X91" i="1" s="1"/>
  <c r="O90" i="9"/>
  <c r="AA90" i="18"/>
  <c r="M91" i="18"/>
  <c r="X91" i="18" s="1"/>
  <c r="Q91" i="18"/>
  <c r="P91" i="18"/>
  <c r="G92" i="18"/>
  <c r="Z91" i="18"/>
  <c r="U91" i="18"/>
  <c r="C91" i="18"/>
  <c r="R91" i="18" s="1"/>
  <c r="D91" i="18"/>
  <c r="S91" i="18" s="1"/>
  <c r="N91" i="18"/>
  <c r="O91" i="18" s="1"/>
  <c r="T91" i="18"/>
  <c r="N92" i="13"/>
  <c r="M89" i="13"/>
  <c r="X89" i="13" s="1"/>
  <c r="Q89" i="13"/>
  <c r="P89" i="13"/>
  <c r="G90" i="13"/>
  <c r="AA89" i="13"/>
  <c r="Z89" i="13"/>
  <c r="U89" i="13"/>
  <c r="D89" i="13"/>
  <c r="S89" i="13" s="1"/>
  <c r="C89" i="13"/>
  <c r="R89" i="13" s="1"/>
  <c r="T89" i="13"/>
  <c r="O89" i="13"/>
  <c r="M91" i="11"/>
  <c r="X91" i="11" s="1"/>
  <c r="U91" i="11"/>
  <c r="Q91" i="11"/>
  <c r="P91" i="11"/>
  <c r="G92" i="11"/>
  <c r="Z91" i="11"/>
  <c r="D91" i="11"/>
  <c r="S91" i="11" s="1"/>
  <c r="C91" i="11"/>
  <c r="R91" i="11" s="1"/>
  <c r="N91" i="11"/>
  <c r="O91" i="11" s="1"/>
  <c r="T91" i="11"/>
  <c r="N91" i="10"/>
  <c r="M90" i="10"/>
  <c r="X90" i="10" s="1"/>
  <c r="Q90" i="10"/>
  <c r="P90" i="10"/>
  <c r="G91" i="10"/>
  <c r="AA90" i="10"/>
  <c r="Z90" i="10"/>
  <c r="U90" i="10"/>
  <c r="D90" i="10"/>
  <c r="S90" i="10" s="1"/>
  <c r="C90" i="10"/>
  <c r="R90" i="10" s="1"/>
  <c r="T90" i="10"/>
  <c r="E92" i="18"/>
  <c r="E93" i="17"/>
  <c r="N93" i="17" s="1"/>
  <c r="E91" i="16"/>
  <c r="N91" i="16" s="1"/>
  <c r="E92" i="15"/>
  <c r="N92" i="15" s="1"/>
  <c r="E92" i="14"/>
  <c r="N92" i="14" s="1"/>
  <c r="E93" i="13"/>
  <c r="E92" i="12"/>
  <c r="N92" i="12" s="1"/>
  <c r="E92" i="11"/>
  <c r="E92" i="10"/>
  <c r="N91" i="9"/>
  <c r="M90" i="9"/>
  <c r="X90" i="9" s="1"/>
  <c r="Q90" i="9"/>
  <c r="P90" i="9"/>
  <c r="G91" i="9"/>
  <c r="AA90" i="9"/>
  <c r="Z90" i="9"/>
  <c r="U90" i="9"/>
  <c r="D90" i="9"/>
  <c r="S90" i="9" s="1"/>
  <c r="C90" i="9"/>
  <c r="R90" i="9" s="1"/>
  <c r="E92" i="9"/>
  <c r="M91" i="8"/>
  <c r="X91" i="8" s="1"/>
  <c r="Q91" i="8"/>
  <c r="P91" i="8"/>
  <c r="G92" i="8"/>
  <c r="T92" i="8" s="1"/>
  <c r="AA91" i="8"/>
  <c r="Z91" i="8"/>
  <c r="U91" i="8"/>
  <c r="D91" i="8"/>
  <c r="S91" i="8" s="1"/>
  <c r="C91" i="8"/>
  <c r="R91" i="8" s="1"/>
  <c r="N92" i="8"/>
  <c r="T91" i="8"/>
  <c r="O91" i="8"/>
  <c r="E93" i="8"/>
  <c r="N92" i="7"/>
  <c r="AA90" i="6"/>
  <c r="M91" i="6"/>
  <c r="X91" i="6" s="1"/>
  <c r="U91" i="6"/>
  <c r="Q91" i="6"/>
  <c r="P91" i="6"/>
  <c r="G92" i="6"/>
  <c r="Z91" i="6"/>
  <c r="D91" i="6"/>
  <c r="S91" i="6" s="1"/>
  <c r="C91" i="6"/>
  <c r="R91" i="6" s="1"/>
  <c r="N91" i="6"/>
  <c r="O91" i="6" s="1"/>
  <c r="T91" i="6"/>
  <c r="E92" i="6"/>
  <c r="D90" i="4"/>
  <c r="C90" i="4"/>
  <c r="R90" i="4" s="1"/>
  <c r="E93" i="7"/>
  <c r="H91" i="18"/>
  <c r="AJ93" i="18"/>
  <c r="AH94" i="18"/>
  <c r="J91" i="18"/>
  <c r="L90" i="18"/>
  <c r="W90" i="18" s="1"/>
  <c r="H91" i="17"/>
  <c r="AJ94" i="17"/>
  <c r="AH95" i="17"/>
  <c r="J90" i="17"/>
  <c r="L89" i="17"/>
  <c r="J92" i="13"/>
  <c r="L90" i="15"/>
  <c r="J91" i="15"/>
  <c r="AJ92" i="16"/>
  <c r="AH93" i="16"/>
  <c r="H91" i="14"/>
  <c r="J90" i="14"/>
  <c r="L89" i="14"/>
  <c r="H91" i="16"/>
  <c r="AJ93" i="15"/>
  <c r="AH94" i="15"/>
  <c r="AJ94" i="13"/>
  <c r="AH95" i="13"/>
  <c r="H91" i="15"/>
  <c r="H91" i="13"/>
  <c r="J90" i="16"/>
  <c r="L89" i="16"/>
  <c r="AH94" i="14"/>
  <c r="AJ93" i="14"/>
  <c r="J93" i="11"/>
  <c r="J90" i="10"/>
  <c r="L89" i="10"/>
  <c r="W89" i="10" s="1"/>
  <c r="J90" i="12"/>
  <c r="L89" i="12"/>
  <c r="AJ93" i="12"/>
  <c r="AH94" i="12"/>
  <c r="AJ93" i="9"/>
  <c r="AH94" i="9"/>
  <c r="H92" i="9"/>
  <c r="H91" i="11"/>
  <c r="L90" i="11"/>
  <c r="W90" i="11" s="1"/>
  <c r="AJ93" i="11"/>
  <c r="AH94" i="11"/>
  <c r="H91" i="12"/>
  <c r="AJ93" i="10"/>
  <c r="AH94" i="10"/>
  <c r="L89" i="9"/>
  <c r="W89" i="9" s="1"/>
  <c r="J90" i="9"/>
  <c r="H90" i="10"/>
  <c r="AJ94" i="8"/>
  <c r="AH95" i="8"/>
  <c r="H91" i="8"/>
  <c r="J91" i="8"/>
  <c r="L90" i="8"/>
  <c r="W90" i="8" s="1"/>
  <c r="H92" i="7"/>
  <c r="AJ94" i="7"/>
  <c r="AH95" i="7"/>
  <c r="J92" i="7"/>
  <c r="J92" i="6"/>
  <c r="H91" i="6"/>
  <c r="AJ93" i="6"/>
  <c r="AH94" i="6"/>
  <c r="M90" i="4"/>
  <c r="X90" i="4" s="1"/>
  <c r="AA90" i="4"/>
  <c r="Z90" i="4"/>
  <c r="G91" i="4"/>
  <c r="O91" i="4" s="1"/>
  <c r="U90" i="4"/>
  <c r="Q90" i="4"/>
  <c r="P90" i="4"/>
  <c r="T90" i="4"/>
  <c r="N92" i="4"/>
  <c r="O90" i="4"/>
  <c r="AJ93" i="4"/>
  <c r="E93" i="4" s="1"/>
  <c r="AH94" i="4"/>
  <c r="H91" i="4"/>
  <c r="S90" i="4"/>
  <c r="L90" i="4"/>
  <c r="W90" i="4" s="1"/>
  <c r="J93" i="4"/>
  <c r="L92" i="28" l="1"/>
  <c r="J93" i="28"/>
  <c r="AJ96" i="28"/>
  <c r="E96" i="28" s="1"/>
  <c r="N96" i="28" s="1"/>
  <c r="AH97" i="28"/>
  <c r="H95" i="28"/>
  <c r="D94" i="28"/>
  <c r="C94" i="28"/>
  <c r="AH96" i="26"/>
  <c r="AJ95" i="26"/>
  <c r="E95" i="26" s="1"/>
  <c r="N95" i="26" s="1"/>
  <c r="AJ95" i="25"/>
  <c r="E95" i="25" s="1"/>
  <c r="N95" i="25" s="1"/>
  <c r="AH96" i="25"/>
  <c r="H96" i="25"/>
  <c r="D95" i="25"/>
  <c r="C95" i="25"/>
  <c r="L92" i="24"/>
  <c r="J93" i="24"/>
  <c r="H94" i="27"/>
  <c r="D93" i="27"/>
  <c r="C93" i="27"/>
  <c r="AJ96" i="24"/>
  <c r="E96" i="24" s="1"/>
  <c r="N96" i="24" s="1"/>
  <c r="AH97" i="24"/>
  <c r="J95" i="27"/>
  <c r="J93" i="26"/>
  <c r="L92" i="26"/>
  <c r="L93" i="25"/>
  <c r="J94" i="25"/>
  <c r="AJ97" i="27"/>
  <c r="E97" i="27" s="1"/>
  <c r="N97" i="27" s="1"/>
  <c r="AH98" i="27"/>
  <c r="C93" i="26"/>
  <c r="H94" i="26"/>
  <c r="D93" i="26"/>
  <c r="H94" i="24"/>
  <c r="D93" i="24"/>
  <c r="C93" i="24"/>
  <c r="H93" i="23"/>
  <c r="D92" i="23"/>
  <c r="C92" i="23"/>
  <c r="AJ96" i="22"/>
  <c r="E96" i="22" s="1"/>
  <c r="N96" i="22" s="1"/>
  <c r="AH97" i="22"/>
  <c r="D94" i="22"/>
  <c r="C94" i="22"/>
  <c r="H95" i="22"/>
  <c r="J93" i="22"/>
  <c r="L92" i="22"/>
  <c r="J93" i="23"/>
  <c r="L92" i="23"/>
  <c r="AJ96" i="23"/>
  <c r="E96" i="23" s="1"/>
  <c r="N96" i="23" s="1"/>
  <c r="AH97" i="23"/>
  <c r="J93" i="21"/>
  <c r="L92" i="21"/>
  <c r="AJ96" i="21"/>
  <c r="E96" i="21" s="1"/>
  <c r="N96" i="21" s="1"/>
  <c r="AH97" i="21"/>
  <c r="H94" i="21"/>
  <c r="D93" i="21"/>
  <c r="C93" i="21"/>
  <c r="H95" i="20"/>
  <c r="D94" i="20"/>
  <c r="C94" i="20"/>
  <c r="L92" i="20"/>
  <c r="J93" i="20"/>
  <c r="AJ96" i="20"/>
  <c r="E96" i="20" s="1"/>
  <c r="N96" i="20" s="1"/>
  <c r="AH97" i="20"/>
  <c r="AA90" i="19"/>
  <c r="D90" i="19"/>
  <c r="S90" i="19" s="1"/>
  <c r="Z90" i="19"/>
  <c r="O90" i="19"/>
  <c r="T90" i="19"/>
  <c r="J92" i="19"/>
  <c r="AJ97" i="19"/>
  <c r="E97" i="19" s="1"/>
  <c r="AH98" i="19"/>
  <c r="N96" i="19"/>
  <c r="H92" i="19"/>
  <c r="L90" i="19"/>
  <c r="W90" i="19" s="1"/>
  <c r="G91" i="19"/>
  <c r="AA91" i="19" s="1"/>
  <c r="M90" i="19"/>
  <c r="X90" i="19" s="1"/>
  <c r="C91" i="14"/>
  <c r="D91" i="14"/>
  <c r="C91" i="16"/>
  <c r="D91" i="16"/>
  <c r="L89" i="7"/>
  <c r="W89" i="7" s="1"/>
  <c r="O89" i="7"/>
  <c r="G90" i="7"/>
  <c r="Z89" i="7"/>
  <c r="U89" i="7"/>
  <c r="D89" i="7"/>
  <c r="S89" i="7" s="1"/>
  <c r="C89" i="7"/>
  <c r="R89" i="7" s="1"/>
  <c r="T89" i="7"/>
  <c r="M89" i="7"/>
  <c r="X89" i="7" s="1"/>
  <c r="AA89" i="7"/>
  <c r="Q89" i="7"/>
  <c r="P89" i="7"/>
  <c r="G93" i="1"/>
  <c r="D92" i="1"/>
  <c r="S92" i="1" s="1"/>
  <c r="C92" i="1"/>
  <c r="R92" i="1" s="1"/>
  <c r="Q92" i="1"/>
  <c r="M92" i="1"/>
  <c r="X92" i="1" s="1"/>
  <c r="T92" i="1"/>
  <c r="O92" i="1"/>
  <c r="L92" i="1"/>
  <c r="W92" i="1" s="1"/>
  <c r="P92" i="1"/>
  <c r="Z92" i="1"/>
  <c r="U92" i="1"/>
  <c r="AA92" i="1"/>
  <c r="O92" i="8"/>
  <c r="N92" i="18"/>
  <c r="O92" i="18" s="1"/>
  <c r="T92" i="18"/>
  <c r="AA91" i="18"/>
  <c r="M92" i="18"/>
  <c r="X92" i="18" s="1"/>
  <c r="Q92" i="18"/>
  <c r="P92" i="18"/>
  <c r="G93" i="18"/>
  <c r="AA92" i="18"/>
  <c r="Z92" i="18"/>
  <c r="U92" i="18"/>
  <c r="D92" i="18"/>
  <c r="S92" i="18" s="1"/>
  <c r="C92" i="18"/>
  <c r="R92" i="18" s="1"/>
  <c r="N93" i="13"/>
  <c r="M90" i="13"/>
  <c r="X90" i="13" s="1"/>
  <c r="P90" i="13"/>
  <c r="G91" i="13"/>
  <c r="Q90" i="13"/>
  <c r="AA90" i="13"/>
  <c r="Z90" i="13"/>
  <c r="U90" i="13"/>
  <c r="D90" i="13"/>
  <c r="S90" i="13" s="1"/>
  <c r="C90" i="13"/>
  <c r="R90" i="13" s="1"/>
  <c r="T90" i="13"/>
  <c r="O90" i="13"/>
  <c r="L90" i="13"/>
  <c r="W90" i="13" s="1"/>
  <c r="N92" i="11"/>
  <c r="O92" i="11" s="1"/>
  <c r="T92" i="11"/>
  <c r="AA91" i="11"/>
  <c r="M92" i="11"/>
  <c r="X92" i="11" s="1"/>
  <c r="U92" i="11"/>
  <c r="Q92" i="11"/>
  <c r="P92" i="11"/>
  <c r="G93" i="11"/>
  <c r="AA92" i="11"/>
  <c r="Z92" i="11"/>
  <c r="C92" i="11"/>
  <c r="R92" i="11" s="1"/>
  <c r="D92" i="11"/>
  <c r="S92" i="11" s="1"/>
  <c r="N92" i="10"/>
  <c r="M91" i="10"/>
  <c r="X91" i="10" s="1"/>
  <c r="Q91" i="10"/>
  <c r="P91" i="10"/>
  <c r="G92" i="10"/>
  <c r="AA91" i="10"/>
  <c r="Z91" i="10"/>
  <c r="U91" i="10"/>
  <c r="C91" i="10"/>
  <c r="R91" i="10" s="1"/>
  <c r="D91" i="10"/>
  <c r="S91" i="10" s="1"/>
  <c r="T91" i="10"/>
  <c r="O91" i="10"/>
  <c r="E93" i="18"/>
  <c r="E94" i="17"/>
  <c r="N94" i="17" s="1"/>
  <c r="E92" i="16"/>
  <c r="N92" i="16" s="1"/>
  <c r="E93" i="15"/>
  <c r="N93" i="15" s="1"/>
  <c r="E93" i="14"/>
  <c r="N93" i="14" s="1"/>
  <c r="E94" i="13"/>
  <c r="E93" i="12"/>
  <c r="N93" i="12" s="1"/>
  <c r="E93" i="11"/>
  <c r="E93" i="10"/>
  <c r="N92" i="9"/>
  <c r="M91" i="9"/>
  <c r="X91" i="9" s="1"/>
  <c r="Q91" i="9"/>
  <c r="P91" i="9"/>
  <c r="G92" i="9"/>
  <c r="AA91" i="9"/>
  <c r="Z91" i="9"/>
  <c r="U91" i="9"/>
  <c r="D91" i="9"/>
  <c r="S91" i="9" s="1"/>
  <c r="C91" i="9"/>
  <c r="R91" i="9" s="1"/>
  <c r="T91" i="9"/>
  <c r="O91" i="9"/>
  <c r="E93" i="9"/>
  <c r="M92" i="8"/>
  <c r="X92" i="8" s="1"/>
  <c r="P92" i="8"/>
  <c r="G93" i="8"/>
  <c r="AA92" i="8"/>
  <c r="Z92" i="8"/>
  <c r="U92" i="8"/>
  <c r="Q92" i="8"/>
  <c r="D92" i="8"/>
  <c r="S92" i="8" s="1"/>
  <c r="C92" i="8"/>
  <c r="R92" i="8" s="1"/>
  <c r="N93" i="8"/>
  <c r="O93" i="8" s="1"/>
  <c r="T93" i="8"/>
  <c r="E94" i="8"/>
  <c r="N93" i="7"/>
  <c r="AA91" i="6"/>
  <c r="M92" i="6"/>
  <c r="X92" i="6" s="1"/>
  <c r="U92" i="6"/>
  <c r="Q92" i="6"/>
  <c r="P92" i="6"/>
  <c r="G93" i="6"/>
  <c r="Z92" i="6"/>
  <c r="D92" i="6"/>
  <c r="S92" i="6" s="1"/>
  <c r="C92" i="6"/>
  <c r="R92" i="6" s="1"/>
  <c r="N92" i="6"/>
  <c r="O92" i="6" s="1"/>
  <c r="T92" i="6"/>
  <c r="E93" i="6"/>
  <c r="D91" i="4"/>
  <c r="C91" i="4"/>
  <c r="E94" i="7"/>
  <c r="L91" i="18"/>
  <c r="W91" i="18" s="1"/>
  <c r="J92" i="18"/>
  <c r="AJ94" i="18"/>
  <c r="AH95" i="18"/>
  <c r="H92" i="18"/>
  <c r="J91" i="17"/>
  <c r="L90" i="17"/>
  <c r="AJ95" i="17"/>
  <c r="AH96" i="17"/>
  <c r="H92" i="17"/>
  <c r="J91" i="14"/>
  <c r="L90" i="14"/>
  <c r="H92" i="14"/>
  <c r="H92" i="13"/>
  <c r="AJ95" i="13"/>
  <c r="AH96" i="13"/>
  <c r="AJ93" i="16"/>
  <c r="AH94" i="16"/>
  <c r="AJ94" i="15"/>
  <c r="AH95" i="15"/>
  <c r="J92" i="15"/>
  <c r="L91" i="15"/>
  <c r="H92" i="15"/>
  <c r="AJ94" i="14"/>
  <c r="AH95" i="14"/>
  <c r="J93" i="13"/>
  <c r="J91" i="16"/>
  <c r="L90" i="16"/>
  <c r="H92" i="16"/>
  <c r="L91" i="13"/>
  <c r="W91" i="13" s="1"/>
  <c r="H93" i="9"/>
  <c r="AJ94" i="9"/>
  <c r="AH95" i="9"/>
  <c r="AJ94" i="12"/>
  <c r="AH95" i="12"/>
  <c r="J91" i="12"/>
  <c r="L90" i="12"/>
  <c r="AJ94" i="10"/>
  <c r="AH95" i="10"/>
  <c r="AJ94" i="11"/>
  <c r="AH95" i="11"/>
  <c r="H91" i="10"/>
  <c r="J91" i="10"/>
  <c r="L90" i="10"/>
  <c r="W90" i="10" s="1"/>
  <c r="H92" i="12"/>
  <c r="J91" i="9"/>
  <c r="L90" i="9"/>
  <c r="W90" i="9" s="1"/>
  <c r="H92" i="11"/>
  <c r="L91" i="11"/>
  <c r="W91" i="11" s="1"/>
  <c r="J94" i="11"/>
  <c r="J92" i="8"/>
  <c r="L91" i="8"/>
  <c r="W91" i="8" s="1"/>
  <c r="H92" i="8"/>
  <c r="AJ95" i="8"/>
  <c r="AH96" i="8"/>
  <c r="J93" i="7"/>
  <c r="AJ95" i="7"/>
  <c r="AH96" i="7"/>
  <c r="H93" i="7"/>
  <c r="AJ94" i="6"/>
  <c r="AH95" i="6"/>
  <c r="H92" i="6"/>
  <c r="L91" i="6"/>
  <c r="W91" i="6" s="1"/>
  <c r="J93" i="6"/>
  <c r="L92" i="6"/>
  <c r="W92" i="6" s="1"/>
  <c r="M91" i="4"/>
  <c r="X91" i="4" s="1"/>
  <c r="AA91" i="4"/>
  <c r="Z91" i="4"/>
  <c r="Q91" i="4"/>
  <c r="G92" i="4"/>
  <c r="P91" i="4"/>
  <c r="U91" i="4"/>
  <c r="T91" i="4"/>
  <c r="N93" i="4"/>
  <c r="J94" i="4"/>
  <c r="H92" i="4"/>
  <c r="S91" i="4"/>
  <c r="R91" i="4"/>
  <c r="L91" i="4"/>
  <c r="W91" i="4" s="1"/>
  <c r="AJ94" i="4"/>
  <c r="E94" i="4" s="1"/>
  <c r="AH95" i="4"/>
  <c r="H96" i="28" l="1"/>
  <c r="D95" i="28"/>
  <c r="C95" i="28"/>
  <c r="AJ97" i="28"/>
  <c r="E97" i="28" s="1"/>
  <c r="N97" i="28" s="1"/>
  <c r="AH98" i="28"/>
  <c r="L93" i="28"/>
  <c r="J94" i="28"/>
  <c r="AJ98" i="27"/>
  <c r="E98" i="27" s="1"/>
  <c r="N98" i="27" s="1"/>
  <c r="AH99" i="27"/>
  <c r="H95" i="27"/>
  <c r="L95" i="27" s="1"/>
  <c r="D94" i="27"/>
  <c r="C94" i="27"/>
  <c r="J94" i="24"/>
  <c r="L93" i="24"/>
  <c r="J95" i="25"/>
  <c r="L94" i="25"/>
  <c r="L93" i="26"/>
  <c r="J94" i="26"/>
  <c r="D96" i="25"/>
  <c r="C96" i="25"/>
  <c r="H97" i="25"/>
  <c r="H95" i="26"/>
  <c r="C94" i="26"/>
  <c r="D94" i="26"/>
  <c r="L94" i="27"/>
  <c r="AJ96" i="25"/>
  <c r="E96" i="25" s="1"/>
  <c r="N96" i="25" s="1"/>
  <c r="AH97" i="25"/>
  <c r="J96" i="27"/>
  <c r="H95" i="24"/>
  <c r="D94" i="24"/>
  <c r="C94" i="24"/>
  <c r="AH98" i="24"/>
  <c r="AJ97" i="24"/>
  <c r="E97" i="24" s="1"/>
  <c r="N97" i="24" s="1"/>
  <c r="AJ96" i="26"/>
  <c r="E96" i="26" s="1"/>
  <c r="N96" i="26" s="1"/>
  <c r="AH97" i="26"/>
  <c r="J94" i="23"/>
  <c r="L93" i="23"/>
  <c r="L93" i="22"/>
  <c r="J94" i="22"/>
  <c r="D95" i="22"/>
  <c r="C95" i="22"/>
  <c r="H96" i="22"/>
  <c r="AJ97" i="22"/>
  <c r="E97" i="22" s="1"/>
  <c r="N97" i="22" s="1"/>
  <c r="AH98" i="22"/>
  <c r="AJ97" i="23"/>
  <c r="E97" i="23" s="1"/>
  <c r="N97" i="23" s="1"/>
  <c r="AH98" i="23"/>
  <c r="H94" i="23"/>
  <c r="D93" i="23"/>
  <c r="C93" i="23"/>
  <c r="H95" i="21"/>
  <c r="D94" i="21"/>
  <c r="C94" i="21"/>
  <c r="AJ97" i="21"/>
  <c r="E97" i="21" s="1"/>
  <c r="N97" i="21" s="1"/>
  <c r="AH98" i="21"/>
  <c r="J94" i="21"/>
  <c r="L93" i="21"/>
  <c r="AJ97" i="20"/>
  <c r="E97" i="20" s="1"/>
  <c r="N97" i="20" s="1"/>
  <c r="AH98" i="20"/>
  <c r="J94" i="20"/>
  <c r="L93" i="20"/>
  <c r="D95" i="20"/>
  <c r="C95" i="20"/>
  <c r="H96" i="20"/>
  <c r="AJ98" i="19"/>
  <c r="E98" i="19" s="1"/>
  <c r="AH99" i="19"/>
  <c r="N97" i="19"/>
  <c r="M91" i="19"/>
  <c r="X91" i="19" s="1"/>
  <c r="G92" i="19"/>
  <c r="AA92" i="19" s="1"/>
  <c r="L91" i="19"/>
  <c r="W91" i="19" s="1"/>
  <c r="O91" i="19"/>
  <c r="T91" i="19"/>
  <c r="Z91" i="19"/>
  <c r="U91" i="19"/>
  <c r="C91" i="19"/>
  <c r="R91" i="19" s="1"/>
  <c r="P91" i="19"/>
  <c r="D91" i="19"/>
  <c r="S91" i="19" s="1"/>
  <c r="Q91" i="19"/>
  <c r="H93" i="19"/>
  <c r="J93" i="19"/>
  <c r="O92" i="19"/>
  <c r="D92" i="14"/>
  <c r="C92" i="14"/>
  <c r="D92" i="16"/>
  <c r="C92" i="16"/>
  <c r="Z90" i="7"/>
  <c r="P90" i="7"/>
  <c r="D90" i="7"/>
  <c r="S90" i="7" s="1"/>
  <c r="C90" i="7"/>
  <c r="R90" i="7" s="1"/>
  <c r="T90" i="7"/>
  <c r="L90" i="7"/>
  <c r="W90" i="7" s="1"/>
  <c r="M90" i="7"/>
  <c r="X90" i="7" s="1"/>
  <c r="O90" i="7"/>
  <c r="AA90" i="7"/>
  <c r="Q90" i="7"/>
  <c r="U90" i="7"/>
  <c r="G91" i="7"/>
  <c r="D93" i="1"/>
  <c r="S93" i="1" s="1"/>
  <c r="T93" i="1"/>
  <c r="O93" i="1"/>
  <c r="M93" i="1"/>
  <c r="X93" i="1" s="1"/>
  <c r="AA93" i="1"/>
  <c r="Q93" i="1"/>
  <c r="Z93" i="1"/>
  <c r="P93" i="1"/>
  <c r="L93" i="1"/>
  <c r="W93" i="1" s="1"/>
  <c r="U93" i="1"/>
  <c r="G94" i="1"/>
  <c r="C93" i="1"/>
  <c r="R93" i="1" s="1"/>
  <c r="M93" i="18"/>
  <c r="X93" i="18" s="1"/>
  <c r="Q93" i="18"/>
  <c r="P93" i="18"/>
  <c r="G94" i="18"/>
  <c r="Z93" i="18"/>
  <c r="U93" i="18"/>
  <c r="C93" i="18"/>
  <c r="R93" i="18" s="1"/>
  <c r="D93" i="18"/>
  <c r="S93" i="18" s="1"/>
  <c r="N93" i="18"/>
  <c r="O93" i="18" s="1"/>
  <c r="T93" i="18"/>
  <c r="N94" i="13"/>
  <c r="M91" i="13"/>
  <c r="X91" i="13" s="1"/>
  <c r="G92" i="13"/>
  <c r="Q91" i="13"/>
  <c r="AA91" i="13"/>
  <c r="Z91" i="13"/>
  <c r="P91" i="13"/>
  <c r="U91" i="13"/>
  <c r="D91" i="13"/>
  <c r="S91" i="13" s="1"/>
  <c r="C91" i="13"/>
  <c r="R91" i="13" s="1"/>
  <c r="T91" i="13"/>
  <c r="O91" i="13"/>
  <c r="N93" i="11"/>
  <c r="O93" i="11" s="1"/>
  <c r="T93" i="11"/>
  <c r="M93" i="11"/>
  <c r="X93" i="11" s="1"/>
  <c r="Q93" i="11"/>
  <c r="P93" i="11"/>
  <c r="U93" i="11"/>
  <c r="G94" i="11"/>
  <c r="Z93" i="11"/>
  <c r="D93" i="11"/>
  <c r="S93" i="11" s="1"/>
  <c r="C93" i="11"/>
  <c r="R93" i="11" s="1"/>
  <c r="N93" i="10"/>
  <c r="M92" i="10"/>
  <c r="X92" i="10" s="1"/>
  <c r="P92" i="10"/>
  <c r="G93" i="10"/>
  <c r="AA92" i="10"/>
  <c r="Q92" i="10"/>
  <c r="Z92" i="10"/>
  <c r="U92" i="10"/>
  <c r="C92" i="10"/>
  <c r="R92" i="10" s="1"/>
  <c r="D92" i="10"/>
  <c r="S92" i="10" s="1"/>
  <c r="T92" i="10"/>
  <c r="O92" i="10"/>
  <c r="E94" i="18"/>
  <c r="E95" i="17"/>
  <c r="N95" i="17" s="1"/>
  <c r="E93" i="16"/>
  <c r="N93" i="16" s="1"/>
  <c r="E94" i="15"/>
  <c r="N94" i="15" s="1"/>
  <c r="E94" i="14"/>
  <c r="N94" i="14" s="1"/>
  <c r="E95" i="13"/>
  <c r="E94" i="12"/>
  <c r="N94" i="12" s="1"/>
  <c r="E94" i="11"/>
  <c r="E94" i="10"/>
  <c r="M92" i="9"/>
  <c r="X92" i="9" s="1"/>
  <c r="Q92" i="9"/>
  <c r="P92" i="9"/>
  <c r="G93" i="9"/>
  <c r="T93" i="9" s="1"/>
  <c r="AA92" i="9"/>
  <c r="Z92" i="9"/>
  <c r="U92" i="9"/>
  <c r="D92" i="9"/>
  <c r="S92" i="9" s="1"/>
  <c r="C92" i="9"/>
  <c r="R92" i="9" s="1"/>
  <c r="N93" i="9"/>
  <c r="T92" i="9"/>
  <c r="O92" i="9"/>
  <c r="E94" i="9"/>
  <c r="N94" i="8"/>
  <c r="M93" i="8"/>
  <c r="X93" i="8" s="1"/>
  <c r="G94" i="8"/>
  <c r="AA93" i="8"/>
  <c r="P93" i="8"/>
  <c r="Z93" i="8"/>
  <c r="Q93" i="8"/>
  <c r="U93" i="8"/>
  <c r="D93" i="8"/>
  <c r="S93" i="8" s="1"/>
  <c r="C93" i="8"/>
  <c r="R93" i="8" s="1"/>
  <c r="E95" i="8"/>
  <c r="N94" i="7"/>
  <c r="AA92" i="6"/>
  <c r="M93" i="6"/>
  <c r="X93" i="6" s="1"/>
  <c r="Q93" i="6"/>
  <c r="P93" i="6"/>
  <c r="G94" i="6"/>
  <c r="Z93" i="6"/>
  <c r="U93" i="6"/>
  <c r="D93" i="6"/>
  <c r="S93" i="6" s="1"/>
  <c r="C93" i="6"/>
  <c r="R93" i="6" s="1"/>
  <c r="N93" i="6"/>
  <c r="O93" i="6" s="1"/>
  <c r="T93" i="6"/>
  <c r="E94" i="6"/>
  <c r="C92" i="4"/>
  <c r="R92" i="4" s="1"/>
  <c r="D92" i="4"/>
  <c r="S92" i="4" s="1"/>
  <c r="E95" i="7"/>
  <c r="H93" i="18"/>
  <c r="AJ95" i="18"/>
  <c r="AH96" i="18"/>
  <c r="J93" i="18"/>
  <c r="L92" i="18"/>
  <c r="W92" i="18" s="1"/>
  <c r="H93" i="17"/>
  <c r="AJ96" i="17"/>
  <c r="AH97" i="17"/>
  <c r="J92" i="17"/>
  <c r="L91" i="17"/>
  <c r="AJ94" i="16"/>
  <c r="AH95" i="16"/>
  <c r="J94" i="13"/>
  <c r="AJ96" i="13"/>
  <c r="AH97" i="13"/>
  <c r="H93" i="13"/>
  <c r="H93" i="15"/>
  <c r="H93" i="14"/>
  <c r="J92" i="16"/>
  <c r="L91" i="16"/>
  <c r="L92" i="15"/>
  <c r="J93" i="15"/>
  <c r="H93" i="16"/>
  <c r="AJ95" i="15"/>
  <c r="AH96" i="15"/>
  <c r="AJ95" i="14"/>
  <c r="AH96" i="14"/>
  <c r="J92" i="14"/>
  <c r="L91" i="14"/>
  <c r="AJ95" i="10"/>
  <c r="AH96" i="10"/>
  <c r="J92" i="9"/>
  <c r="L91" i="9"/>
  <c r="W91" i="9" s="1"/>
  <c r="J92" i="12"/>
  <c r="L91" i="12"/>
  <c r="H93" i="12"/>
  <c r="AJ95" i="12"/>
  <c r="AH96" i="12"/>
  <c r="H93" i="11"/>
  <c r="L92" i="11"/>
  <c r="W92" i="11" s="1"/>
  <c r="J95" i="11"/>
  <c r="J92" i="10"/>
  <c r="L91" i="10"/>
  <c r="W91" i="10" s="1"/>
  <c r="AJ95" i="9"/>
  <c r="AH96" i="9"/>
  <c r="H92" i="10"/>
  <c r="AJ95" i="11"/>
  <c r="AH96" i="11"/>
  <c r="H94" i="9"/>
  <c r="H93" i="8"/>
  <c r="AJ96" i="8"/>
  <c r="AH97" i="8"/>
  <c r="L92" i="8"/>
  <c r="W92" i="8" s="1"/>
  <c r="J93" i="8"/>
  <c r="H94" i="7"/>
  <c r="AJ96" i="7"/>
  <c r="AH97" i="7"/>
  <c r="J94" i="7"/>
  <c r="J94" i="6"/>
  <c r="H93" i="6"/>
  <c r="AJ95" i="6"/>
  <c r="AH96" i="6"/>
  <c r="M92" i="4"/>
  <c r="X92" i="4" s="1"/>
  <c r="Z92" i="4"/>
  <c r="Q92" i="4"/>
  <c r="G93" i="4"/>
  <c r="O93" i="4" s="1"/>
  <c r="P92" i="4"/>
  <c r="AA92" i="4"/>
  <c r="U92" i="4"/>
  <c r="T92" i="4"/>
  <c r="N94" i="4"/>
  <c r="O92" i="4"/>
  <c r="AJ95" i="4"/>
  <c r="E95" i="4" s="1"/>
  <c r="AH96" i="4"/>
  <c r="J95" i="4"/>
  <c r="H93" i="4"/>
  <c r="L92" i="4"/>
  <c r="W92" i="4" s="1"/>
  <c r="J95" i="28" l="1"/>
  <c r="L94" i="28"/>
  <c r="AJ98" i="28"/>
  <c r="E98" i="28" s="1"/>
  <c r="N98" i="28" s="1"/>
  <c r="AH99" i="28"/>
  <c r="H97" i="28"/>
  <c r="D96" i="28"/>
  <c r="C96" i="28"/>
  <c r="J97" i="27"/>
  <c r="AJ97" i="25"/>
  <c r="E97" i="25" s="1"/>
  <c r="N97" i="25" s="1"/>
  <c r="AH98" i="25"/>
  <c r="J96" i="25"/>
  <c r="L95" i="25"/>
  <c r="J95" i="24"/>
  <c r="L94" i="24"/>
  <c r="D95" i="24"/>
  <c r="H96" i="24"/>
  <c r="C95" i="24"/>
  <c r="AJ97" i="26"/>
  <c r="E97" i="26" s="1"/>
  <c r="N97" i="26" s="1"/>
  <c r="AH98" i="26"/>
  <c r="H96" i="26"/>
  <c r="D95" i="26"/>
  <c r="C95" i="26"/>
  <c r="H96" i="27"/>
  <c r="D95" i="27"/>
  <c r="C95" i="27"/>
  <c r="AJ98" i="24"/>
  <c r="E98" i="24" s="1"/>
  <c r="N98" i="24" s="1"/>
  <c r="AH99" i="24"/>
  <c r="D97" i="25"/>
  <c r="C97" i="25"/>
  <c r="H98" i="25"/>
  <c r="AJ99" i="27"/>
  <c r="E99" i="27" s="1"/>
  <c r="N99" i="27" s="1"/>
  <c r="AH100" i="27"/>
  <c r="J95" i="26"/>
  <c r="L94" i="26"/>
  <c r="H95" i="23"/>
  <c r="D94" i="23"/>
  <c r="C94" i="23"/>
  <c r="AJ98" i="23"/>
  <c r="E98" i="23" s="1"/>
  <c r="N98" i="23" s="1"/>
  <c r="AH99" i="23"/>
  <c r="AH99" i="22"/>
  <c r="AJ98" i="22"/>
  <c r="E98" i="22" s="1"/>
  <c r="N98" i="22" s="1"/>
  <c r="D96" i="22"/>
  <c r="C96" i="22"/>
  <c r="H97" i="22"/>
  <c r="J95" i="22"/>
  <c r="L94" i="22"/>
  <c r="L94" i="23"/>
  <c r="J95" i="23"/>
  <c r="J95" i="21"/>
  <c r="L94" i="21"/>
  <c r="AJ98" i="21"/>
  <c r="E98" i="21" s="1"/>
  <c r="N98" i="21" s="1"/>
  <c r="AH99" i="21"/>
  <c r="H96" i="21"/>
  <c r="D95" i="21"/>
  <c r="C95" i="21"/>
  <c r="H97" i="20"/>
  <c r="D96" i="20"/>
  <c r="C96" i="20"/>
  <c r="L94" i="20"/>
  <c r="J95" i="20"/>
  <c r="AJ98" i="20"/>
  <c r="E98" i="20" s="1"/>
  <c r="N98" i="20" s="1"/>
  <c r="AH99" i="20"/>
  <c r="C92" i="19"/>
  <c r="R92" i="19" s="1"/>
  <c r="P92" i="19"/>
  <c r="T92" i="19"/>
  <c r="Q92" i="19"/>
  <c r="U92" i="19"/>
  <c r="D92" i="19"/>
  <c r="S92" i="19" s="1"/>
  <c r="Z92" i="19"/>
  <c r="J94" i="19"/>
  <c r="T93" i="19"/>
  <c r="O93" i="19"/>
  <c r="H94" i="19"/>
  <c r="M92" i="19"/>
  <c r="X92" i="19" s="1"/>
  <c r="L92" i="19"/>
  <c r="W92" i="19" s="1"/>
  <c r="G93" i="19"/>
  <c r="Q93" i="19" s="1"/>
  <c r="AH100" i="19"/>
  <c r="AJ99" i="19"/>
  <c r="E99" i="19" s="1"/>
  <c r="N98" i="19"/>
  <c r="C93" i="14"/>
  <c r="D93" i="14"/>
  <c r="C93" i="16"/>
  <c r="D93" i="16"/>
  <c r="O91" i="7"/>
  <c r="L91" i="7"/>
  <c r="W91" i="7" s="1"/>
  <c r="M91" i="7"/>
  <c r="X91" i="7" s="1"/>
  <c r="AA91" i="7"/>
  <c r="T91" i="7"/>
  <c r="U91" i="7"/>
  <c r="Q91" i="7"/>
  <c r="P91" i="7"/>
  <c r="G92" i="7"/>
  <c r="Z91" i="7"/>
  <c r="D91" i="7"/>
  <c r="S91" i="7" s="1"/>
  <c r="C91" i="7"/>
  <c r="R91" i="7" s="1"/>
  <c r="L94" i="1"/>
  <c r="W94" i="1" s="1"/>
  <c r="M94" i="1"/>
  <c r="X94" i="1" s="1"/>
  <c r="C94" i="1"/>
  <c r="R94" i="1" s="1"/>
  <c r="T94" i="1"/>
  <c r="O94" i="1"/>
  <c r="D94" i="1"/>
  <c r="S94" i="1" s="1"/>
  <c r="Z94" i="1"/>
  <c r="U94" i="1"/>
  <c r="G95" i="1"/>
  <c r="P94" i="1"/>
  <c r="AA94" i="1"/>
  <c r="Q94" i="1"/>
  <c r="AA93" i="11"/>
  <c r="O93" i="9"/>
  <c r="N94" i="18"/>
  <c r="O94" i="18" s="1"/>
  <c r="T94" i="18"/>
  <c r="AA93" i="18"/>
  <c r="M94" i="18"/>
  <c r="X94" i="18" s="1"/>
  <c r="P94" i="18"/>
  <c r="G95" i="18"/>
  <c r="AA94" i="18"/>
  <c r="Z94" i="18"/>
  <c r="U94" i="18"/>
  <c r="Q94" i="18"/>
  <c r="C94" i="18"/>
  <c r="R94" i="18" s="1"/>
  <c r="D94" i="18"/>
  <c r="S94" i="18" s="1"/>
  <c r="N95" i="13"/>
  <c r="M92" i="13"/>
  <c r="X92" i="13" s="1"/>
  <c r="AA92" i="13"/>
  <c r="G93" i="13"/>
  <c r="Z92" i="13"/>
  <c r="U92" i="13"/>
  <c r="P92" i="13"/>
  <c r="Q92" i="13"/>
  <c r="C92" i="13"/>
  <c r="R92" i="13" s="1"/>
  <c r="D92" i="13"/>
  <c r="S92" i="13" s="1"/>
  <c r="T92" i="13"/>
  <c r="O92" i="13"/>
  <c r="L92" i="13"/>
  <c r="W92" i="13" s="1"/>
  <c r="N94" i="11"/>
  <c r="O94" i="11" s="1"/>
  <c r="T94" i="11"/>
  <c r="M94" i="11"/>
  <c r="X94" i="11" s="1"/>
  <c r="Q94" i="11"/>
  <c r="P94" i="11"/>
  <c r="G95" i="11"/>
  <c r="AA94" i="11"/>
  <c r="Z94" i="11"/>
  <c r="C94" i="11"/>
  <c r="R94" i="11" s="1"/>
  <c r="U94" i="11"/>
  <c r="D94" i="11"/>
  <c r="S94" i="11" s="1"/>
  <c r="N94" i="10"/>
  <c r="M93" i="10"/>
  <c r="X93" i="10" s="1"/>
  <c r="G94" i="10"/>
  <c r="P93" i="10"/>
  <c r="AA93" i="10"/>
  <c r="Z93" i="10"/>
  <c r="U93" i="10"/>
  <c r="Q93" i="10"/>
  <c r="C93" i="10"/>
  <c r="R93" i="10" s="1"/>
  <c r="D93" i="10"/>
  <c r="S93" i="10" s="1"/>
  <c r="T93" i="10"/>
  <c r="O93" i="10"/>
  <c r="E95" i="18"/>
  <c r="E96" i="17"/>
  <c r="N96" i="17" s="1"/>
  <c r="E94" i="16"/>
  <c r="N94" i="16" s="1"/>
  <c r="E95" i="15"/>
  <c r="N95" i="15" s="1"/>
  <c r="E95" i="14"/>
  <c r="N95" i="14" s="1"/>
  <c r="E96" i="13"/>
  <c r="E95" i="12"/>
  <c r="N95" i="12" s="1"/>
  <c r="E95" i="11"/>
  <c r="E95" i="10"/>
  <c r="M93" i="9"/>
  <c r="X93" i="9" s="1"/>
  <c r="P93" i="9"/>
  <c r="G94" i="9"/>
  <c r="AA93" i="9"/>
  <c r="Z93" i="9"/>
  <c r="U93" i="9"/>
  <c r="Q93" i="9"/>
  <c r="D93" i="9"/>
  <c r="S93" i="9" s="1"/>
  <c r="C93" i="9"/>
  <c r="R93" i="9" s="1"/>
  <c r="N94" i="9"/>
  <c r="O94" i="9" s="1"/>
  <c r="T94" i="9"/>
  <c r="E95" i="9"/>
  <c r="M94" i="8"/>
  <c r="X94" i="8" s="1"/>
  <c r="AA94" i="8"/>
  <c r="Z94" i="8"/>
  <c r="P94" i="8"/>
  <c r="G95" i="8"/>
  <c r="U94" i="8"/>
  <c r="Q94" i="8"/>
  <c r="D94" i="8"/>
  <c r="S94" i="8" s="1"/>
  <c r="C94" i="8"/>
  <c r="R94" i="8" s="1"/>
  <c r="T94" i="8"/>
  <c r="N95" i="8"/>
  <c r="O95" i="8" s="1"/>
  <c r="T95" i="8"/>
  <c r="O94" i="8"/>
  <c r="E96" i="8"/>
  <c r="N96" i="8" s="1"/>
  <c r="AA96" i="8" s="1"/>
  <c r="N95" i="7"/>
  <c r="AA93" i="6"/>
  <c r="M94" i="6"/>
  <c r="X94" i="6" s="1"/>
  <c r="Q94" i="6"/>
  <c r="P94" i="6"/>
  <c r="U94" i="6"/>
  <c r="G95" i="6"/>
  <c r="Z94" i="6"/>
  <c r="C94" i="6"/>
  <c r="R94" i="6" s="1"/>
  <c r="D94" i="6"/>
  <c r="S94" i="6" s="1"/>
  <c r="N94" i="6"/>
  <c r="O94" i="6" s="1"/>
  <c r="T94" i="6"/>
  <c r="E95" i="6"/>
  <c r="D93" i="4"/>
  <c r="C93" i="4"/>
  <c r="E96" i="7"/>
  <c r="J94" i="18"/>
  <c r="L93" i="18"/>
  <c r="W93" i="18" s="1"/>
  <c r="AJ96" i="18"/>
  <c r="AH97" i="18"/>
  <c r="H94" i="18"/>
  <c r="J93" i="17"/>
  <c r="L92" i="17"/>
  <c r="AJ97" i="17"/>
  <c r="AH98" i="17"/>
  <c r="H94" i="17"/>
  <c r="H94" i="15"/>
  <c r="H94" i="16"/>
  <c r="H94" i="13"/>
  <c r="AJ97" i="13"/>
  <c r="AH98" i="13"/>
  <c r="J93" i="16"/>
  <c r="L92" i="16"/>
  <c r="L93" i="13"/>
  <c r="W93" i="13" s="1"/>
  <c r="J93" i="14"/>
  <c r="L92" i="14"/>
  <c r="J95" i="13"/>
  <c r="J94" i="15"/>
  <c r="L93" i="15"/>
  <c r="AH97" i="14"/>
  <c r="AJ96" i="14"/>
  <c r="H94" i="14"/>
  <c r="AJ95" i="16"/>
  <c r="AH96" i="16"/>
  <c r="AJ96" i="15"/>
  <c r="AH97" i="15"/>
  <c r="AJ96" i="12"/>
  <c r="AH97" i="12"/>
  <c r="H94" i="12"/>
  <c r="L92" i="10"/>
  <c r="W92" i="10" s="1"/>
  <c r="J93" i="10"/>
  <c r="AJ96" i="9"/>
  <c r="AH97" i="9"/>
  <c r="H95" i="9"/>
  <c r="J93" i="12"/>
  <c r="L92" i="12"/>
  <c r="J96" i="11"/>
  <c r="H93" i="10"/>
  <c r="J93" i="9"/>
  <c r="L92" i="9"/>
  <c r="W92" i="9" s="1"/>
  <c r="AJ96" i="11"/>
  <c r="AH97" i="11"/>
  <c r="AJ96" i="10"/>
  <c r="AH97" i="10"/>
  <c r="H94" i="11"/>
  <c r="L93" i="11"/>
  <c r="W93" i="11" s="1"/>
  <c r="AJ97" i="8"/>
  <c r="AH98" i="8"/>
  <c r="J94" i="8"/>
  <c r="L93" i="8"/>
  <c r="W93" i="8" s="1"/>
  <c r="H94" i="8"/>
  <c r="AJ97" i="7"/>
  <c r="AH98" i="7"/>
  <c r="J95" i="7"/>
  <c r="H95" i="7"/>
  <c r="AJ96" i="6"/>
  <c r="AH97" i="6"/>
  <c r="H94" i="6"/>
  <c r="L93" i="6"/>
  <c r="W93" i="6" s="1"/>
  <c r="J95" i="6"/>
  <c r="L94" i="6"/>
  <c r="W94" i="6" s="1"/>
  <c r="M93" i="4"/>
  <c r="X93" i="4" s="1"/>
  <c r="U93" i="4"/>
  <c r="Q93" i="4"/>
  <c r="G94" i="4"/>
  <c r="P93" i="4"/>
  <c r="AA93" i="4"/>
  <c r="Z93" i="4"/>
  <c r="T93" i="4"/>
  <c r="N95" i="4"/>
  <c r="H94" i="4"/>
  <c r="S93" i="4"/>
  <c r="R93" i="4"/>
  <c r="L93" i="4"/>
  <c r="W93" i="4" s="1"/>
  <c r="J96" i="4"/>
  <c r="AJ96" i="4"/>
  <c r="E96" i="4" s="1"/>
  <c r="AH97" i="4"/>
  <c r="D97" i="28" l="1"/>
  <c r="C97" i="28"/>
  <c r="H98" i="28"/>
  <c r="AJ99" i="28"/>
  <c r="E99" i="28" s="1"/>
  <c r="N99" i="28" s="1"/>
  <c r="AH100" i="28"/>
  <c r="J96" i="28"/>
  <c r="L95" i="28"/>
  <c r="C96" i="24"/>
  <c r="H97" i="24"/>
  <c r="D96" i="24"/>
  <c r="J96" i="24"/>
  <c r="L95" i="24"/>
  <c r="AH100" i="24"/>
  <c r="AJ99" i="24"/>
  <c r="E99" i="24" s="1"/>
  <c r="N99" i="24" s="1"/>
  <c r="H97" i="27"/>
  <c r="D96" i="27"/>
  <c r="C96" i="27"/>
  <c r="L96" i="25"/>
  <c r="J97" i="25"/>
  <c r="AJ98" i="25"/>
  <c r="E98" i="25" s="1"/>
  <c r="N98" i="25" s="1"/>
  <c r="AH99" i="25"/>
  <c r="J96" i="26"/>
  <c r="L95" i="26"/>
  <c r="D98" i="25"/>
  <c r="C98" i="25"/>
  <c r="H99" i="25"/>
  <c r="AJ100" i="27"/>
  <c r="E100" i="27" s="1"/>
  <c r="N100" i="27" s="1"/>
  <c r="AH101" i="27"/>
  <c r="H97" i="26"/>
  <c r="D96" i="26"/>
  <c r="C96" i="26"/>
  <c r="L96" i="27"/>
  <c r="AJ98" i="26"/>
  <c r="E98" i="26" s="1"/>
  <c r="N98" i="26" s="1"/>
  <c r="AH99" i="26"/>
  <c r="J98" i="27"/>
  <c r="J96" i="22"/>
  <c r="L95" i="22"/>
  <c r="C97" i="22"/>
  <c r="H98" i="22"/>
  <c r="D97" i="22"/>
  <c r="AJ99" i="22"/>
  <c r="E99" i="22" s="1"/>
  <c r="N99" i="22" s="1"/>
  <c r="AH100" i="22"/>
  <c r="AJ99" i="23"/>
  <c r="E99" i="23" s="1"/>
  <c r="N99" i="23" s="1"/>
  <c r="AH100" i="23"/>
  <c r="J96" i="23"/>
  <c r="L95" i="23"/>
  <c r="H96" i="23"/>
  <c r="D95" i="23"/>
  <c r="C95" i="23"/>
  <c r="AJ99" i="21"/>
  <c r="E99" i="21" s="1"/>
  <c r="N99" i="21" s="1"/>
  <c r="AH100" i="21"/>
  <c r="H97" i="21"/>
  <c r="D96" i="21"/>
  <c r="C96" i="21"/>
  <c r="J96" i="21"/>
  <c r="L95" i="21"/>
  <c r="AJ99" i="20"/>
  <c r="E99" i="20" s="1"/>
  <c r="N99" i="20" s="1"/>
  <c r="AH100" i="20"/>
  <c r="J96" i="20"/>
  <c r="L95" i="20"/>
  <c r="D97" i="20"/>
  <c r="C97" i="20"/>
  <c r="H98" i="20"/>
  <c r="AA93" i="19"/>
  <c r="P93" i="19"/>
  <c r="C93" i="19"/>
  <c r="R93" i="19" s="1"/>
  <c r="D93" i="19"/>
  <c r="S93" i="19" s="1"/>
  <c r="Z93" i="19"/>
  <c r="H95" i="19"/>
  <c r="N99" i="19"/>
  <c r="AJ100" i="19"/>
  <c r="E100" i="19" s="1"/>
  <c r="AH101" i="19"/>
  <c r="M93" i="19"/>
  <c r="X93" i="19" s="1"/>
  <c r="L93" i="19"/>
  <c r="W93" i="19" s="1"/>
  <c r="G94" i="19"/>
  <c r="Q94" i="19" s="1"/>
  <c r="U93" i="19"/>
  <c r="J95" i="19"/>
  <c r="C94" i="14"/>
  <c r="D94" i="14"/>
  <c r="C94" i="16"/>
  <c r="D94" i="16"/>
  <c r="L92" i="7"/>
  <c r="W92" i="7" s="1"/>
  <c r="D92" i="7"/>
  <c r="S92" i="7" s="1"/>
  <c r="C92" i="7"/>
  <c r="R92" i="7" s="1"/>
  <c r="T92" i="7"/>
  <c r="U92" i="7"/>
  <c r="M92" i="7"/>
  <c r="X92" i="7" s="1"/>
  <c r="O92" i="7"/>
  <c r="AA92" i="7"/>
  <c r="P92" i="7"/>
  <c r="Q92" i="7"/>
  <c r="G93" i="7"/>
  <c r="Z92" i="7"/>
  <c r="M95" i="1"/>
  <c r="X95" i="1" s="1"/>
  <c r="T95" i="1"/>
  <c r="O95" i="1"/>
  <c r="C95" i="1"/>
  <c r="R95" i="1" s="1"/>
  <c r="Z95" i="1"/>
  <c r="Q95" i="1"/>
  <c r="P95" i="1"/>
  <c r="AA95" i="1"/>
  <c r="D95" i="1"/>
  <c r="S95" i="1" s="1"/>
  <c r="U95" i="1"/>
  <c r="L95" i="1"/>
  <c r="W95" i="1" s="1"/>
  <c r="G96" i="1"/>
  <c r="M95" i="18"/>
  <c r="X95" i="18" s="1"/>
  <c r="G96" i="18"/>
  <c r="P95" i="18"/>
  <c r="Z95" i="18"/>
  <c r="U95" i="18"/>
  <c r="Q95" i="18"/>
  <c r="C95" i="18"/>
  <c r="R95" i="18" s="1"/>
  <c r="D95" i="18"/>
  <c r="S95" i="18" s="1"/>
  <c r="N95" i="18"/>
  <c r="O95" i="18" s="1"/>
  <c r="T95" i="18"/>
  <c r="N96" i="13"/>
  <c r="M93" i="13"/>
  <c r="X93" i="13" s="1"/>
  <c r="AA93" i="13"/>
  <c r="Z93" i="13"/>
  <c r="U93" i="13"/>
  <c r="Q93" i="13"/>
  <c r="G94" i="13"/>
  <c r="P93" i="13"/>
  <c r="D93" i="13"/>
  <c r="S93" i="13" s="1"/>
  <c r="C93" i="13"/>
  <c r="R93" i="13" s="1"/>
  <c r="T93" i="13"/>
  <c r="O93" i="13"/>
  <c r="N95" i="11"/>
  <c r="O95" i="11" s="1"/>
  <c r="T95" i="11"/>
  <c r="D95" i="11"/>
  <c r="S95" i="11" s="1"/>
  <c r="Q95" i="11"/>
  <c r="P95" i="11"/>
  <c r="G96" i="11"/>
  <c r="Z95" i="11"/>
  <c r="U95" i="11"/>
  <c r="M95" i="11"/>
  <c r="X95" i="11" s="1"/>
  <c r="C95" i="11"/>
  <c r="R95" i="11" s="1"/>
  <c r="N95" i="10"/>
  <c r="M94" i="10"/>
  <c r="X94" i="10" s="1"/>
  <c r="AA94" i="10"/>
  <c r="Z94" i="10"/>
  <c r="U94" i="10"/>
  <c r="Q94" i="10"/>
  <c r="G95" i="10"/>
  <c r="P94" i="10"/>
  <c r="C94" i="10"/>
  <c r="R94" i="10" s="1"/>
  <c r="D94" i="10"/>
  <c r="S94" i="10" s="1"/>
  <c r="T94" i="10"/>
  <c r="O94" i="10"/>
  <c r="E96" i="18"/>
  <c r="E97" i="17"/>
  <c r="N97" i="17" s="1"/>
  <c r="E95" i="16"/>
  <c r="N95" i="16" s="1"/>
  <c r="E96" i="15"/>
  <c r="N96" i="15" s="1"/>
  <c r="E96" i="14"/>
  <c r="N96" i="14" s="1"/>
  <c r="E97" i="13"/>
  <c r="E96" i="12"/>
  <c r="N96" i="12" s="1"/>
  <c r="E96" i="11"/>
  <c r="E96" i="10"/>
  <c r="N95" i="9"/>
  <c r="M94" i="9"/>
  <c r="X94" i="9" s="1"/>
  <c r="G95" i="9"/>
  <c r="AA94" i="9"/>
  <c r="P94" i="9"/>
  <c r="Z94" i="9"/>
  <c r="U94" i="9"/>
  <c r="Q94" i="9"/>
  <c r="D94" i="9"/>
  <c r="S94" i="9" s="1"/>
  <c r="C94" i="9"/>
  <c r="R94" i="9" s="1"/>
  <c r="E96" i="9"/>
  <c r="N96" i="9" s="1"/>
  <c r="AA96" i="9" s="1"/>
  <c r="M95" i="8"/>
  <c r="X95" i="8" s="1"/>
  <c r="AA95" i="8"/>
  <c r="Z95" i="8"/>
  <c r="U95" i="8"/>
  <c r="Q95" i="8"/>
  <c r="P95" i="8"/>
  <c r="D95" i="8"/>
  <c r="S95" i="8" s="1"/>
  <c r="C95" i="8"/>
  <c r="R95" i="8" s="1"/>
  <c r="E97" i="8"/>
  <c r="N97" i="8" s="1"/>
  <c r="N96" i="7"/>
  <c r="AA94" i="6"/>
  <c r="M95" i="6"/>
  <c r="X95" i="6" s="1"/>
  <c r="Q95" i="6"/>
  <c r="P95" i="6"/>
  <c r="Z95" i="6"/>
  <c r="U95" i="6"/>
  <c r="D95" i="6"/>
  <c r="S95" i="6" s="1"/>
  <c r="C95" i="6"/>
  <c r="R95" i="6" s="1"/>
  <c r="N95" i="6"/>
  <c r="O95" i="6" s="1"/>
  <c r="T95" i="6"/>
  <c r="E96" i="6"/>
  <c r="N96" i="6" s="1"/>
  <c r="AA96" i="6" s="1"/>
  <c r="D94" i="4"/>
  <c r="C94" i="4"/>
  <c r="E97" i="7"/>
  <c r="H95" i="18"/>
  <c r="AJ97" i="18"/>
  <c r="AH98" i="18"/>
  <c r="L94" i="18"/>
  <c r="W94" i="18" s="1"/>
  <c r="J95" i="18"/>
  <c r="H95" i="17"/>
  <c r="AJ98" i="17"/>
  <c r="AH99" i="17"/>
  <c r="J94" i="17"/>
  <c r="L93" i="17"/>
  <c r="H95" i="14"/>
  <c r="AJ98" i="13"/>
  <c r="AH99" i="13"/>
  <c r="AJ97" i="14"/>
  <c r="AH98" i="14"/>
  <c r="J95" i="15"/>
  <c r="L94" i="15"/>
  <c r="H95" i="13"/>
  <c r="L93" i="16"/>
  <c r="J94" i="16"/>
  <c r="L94" i="13"/>
  <c r="W94" i="13" s="1"/>
  <c r="AJ97" i="15"/>
  <c r="AH98" i="15"/>
  <c r="J96" i="13"/>
  <c r="H95" i="16"/>
  <c r="AJ96" i="16"/>
  <c r="AH97" i="16"/>
  <c r="J94" i="14"/>
  <c r="L93" i="14"/>
  <c r="H95" i="15"/>
  <c r="AJ97" i="9"/>
  <c r="AH98" i="9"/>
  <c r="L93" i="10"/>
  <c r="W93" i="10" s="1"/>
  <c r="J94" i="10"/>
  <c r="H96" i="9"/>
  <c r="AJ97" i="11"/>
  <c r="AH98" i="11"/>
  <c r="H94" i="10"/>
  <c r="H95" i="11"/>
  <c r="L94" i="11"/>
  <c r="W94" i="11" s="1"/>
  <c r="J97" i="11"/>
  <c r="H95" i="12"/>
  <c r="L93" i="9"/>
  <c r="W93" i="9" s="1"/>
  <c r="J94" i="9"/>
  <c r="AJ97" i="12"/>
  <c r="AH98" i="12"/>
  <c r="AJ97" i="10"/>
  <c r="AH98" i="10"/>
  <c r="J94" i="12"/>
  <c r="L93" i="12"/>
  <c r="J95" i="8"/>
  <c r="L94" i="8"/>
  <c r="W94" i="8" s="1"/>
  <c r="H95" i="8"/>
  <c r="AJ98" i="8"/>
  <c r="AH99" i="8"/>
  <c r="H96" i="7"/>
  <c r="J96" i="7"/>
  <c r="AJ98" i="7"/>
  <c r="AH99" i="7"/>
  <c r="J96" i="6"/>
  <c r="H95" i="6"/>
  <c r="AJ97" i="6"/>
  <c r="AH98" i="6"/>
  <c r="N96" i="4"/>
  <c r="M94" i="4"/>
  <c r="X94" i="4" s="1"/>
  <c r="Q94" i="4"/>
  <c r="G95" i="4"/>
  <c r="P94" i="4"/>
  <c r="AA94" i="4"/>
  <c r="Z94" i="4"/>
  <c r="U94" i="4"/>
  <c r="T94" i="4"/>
  <c r="O94" i="4"/>
  <c r="AJ97" i="4"/>
  <c r="E97" i="4" s="1"/>
  <c r="AH98" i="4"/>
  <c r="J97" i="4"/>
  <c r="H95" i="4"/>
  <c r="S94" i="4"/>
  <c r="R94" i="4"/>
  <c r="L94" i="4"/>
  <c r="W94" i="4" s="1"/>
  <c r="L96" i="28" l="1"/>
  <c r="J97" i="28"/>
  <c r="AJ100" i="28"/>
  <c r="E100" i="28" s="1"/>
  <c r="N100" i="28" s="1"/>
  <c r="AH101" i="28"/>
  <c r="D98" i="28"/>
  <c r="C98" i="28"/>
  <c r="H99" i="28"/>
  <c r="H98" i="26"/>
  <c r="D97" i="26"/>
  <c r="C97" i="26"/>
  <c r="L97" i="25"/>
  <c r="J98" i="25"/>
  <c r="AJ101" i="27"/>
  <c r="E101" i="27" s="1"/>
  <c r="N101" i="27" s="1"/>
  <c r="AH102" i="27"/>
  <c r="AJ102" i="27" s="1"/>
  <c r="E102" i="27" s="1"/>
  <c r="N102" i="27" s="1"/>
  <c r="D97" i="27"/>
  <c r="C97" i="27"/>
  <c r="H98" i="27"/>
  <c r="D99" i="25"/>
  <c r="C99" i="25"/>
  <c r="H100" i="25"/>
  <c r="AH101" i="24"/>
  <c r="AJ100" i="24"/>
  <c r="E100" i="24" s="1"/>
  <c r="N100" i="24" s="1"/>
  <c r="J99" i="27"/>
  <c r="L97" i="27"/>
  <c r="J97" i="24"/>
  <c r="L96" i="24"/>
  <c r="AJ99" i="26"/>
  <c r="E99" i="26" s="1"/>
  <c r="N99" i="26" s="1"/>
  <c r="AH100" i="26"/>
  <c r="L96" i="26"/>
  <c r="J97" i="26"/>
  <c r="AJ99" i="25"/>
  <c r="E99" i="25" s="1"/>
  <c r="N99" i="25" s="1"/>
  <c r="AH100" i="25"/>
  <c r="H98" i="24"/>
  <c r="C97" i="24"/>
  <c r="D97" i="24"/>
  <c r="L96" i="23"/>
  <c r="J97" i="23"/>
  <c r="AJ100" i="23"/>
  <c r="E100" i="23" s="1"/>
  <c r="N100" i="23" s="1"/>
  <c r="AH101" i="23"/>
  <c r="AJ100" i="22"/>
  <c r="E100" i="22" s="1"/>
  <c r="N100" i="22" s="1"/>
  <c r="AH101" i="22"/>
  <c r="H99" i="22"/>
  <c r="D98" i="22"/>
  <c r="C98" i="22"/>
  <c r="H97" i="23"/>
  <c r="D96" i="23"/>
  <c r="C96" i="23"/>
  <c r="L96" i="22"/>
  <c r="J97" i="22"/>
  <c r="L96" i="21"/>
  <c r="J97" i="21"/>
  <c r="D97" i="21"/>
  <c r="C97" i="21"/>
  <c r="H98" i="21"/>
  <c r="AJ100" i="21"/>
  <c r="E100" i="21" s="1"/>
  <c r="N100" i="21" s="1"/>
  <c r="AH101" i="21"/>
  <c r="D98" i="20"/>
  <c r="C98" i="20"/>
  <c r="H99" i="20"/>
  <c r="L96" i="20"/>
  <c r="J97" i="20"/>
  <c r="AJ100" i="20"/>
  <c r="E100" i="20" s="1"/>
  <c r="N100" i="20" s="1"/>
  <c r="AH101" i="20"/>
  <c r="O94" i="19"/>
  <c r="T94" i="19"/>
  <c r="AA94" i="19"/>
  <c r="U94" i="19"/>
  <c r="C94" i="19"/>
  <c r="R94" i="19" s="1"/>
  <c r="P94" i="19"/>
  <c r="D94" i="19"/>
  <c r="S94" i="19" s="1"/>
  <c r="AJ101" i="19"/>
  <c r="E101" i="19" s="1"/>
  <c r="AH102" i="19"/>
  <c r="AJ102" i="19" s="1"/>
  <c r="E102" i="19" s="1"/>
  <c r="N102" i="19" s="1"/>
  <c r="N100" i="19"/>
  <c r="J96" i="19"/>
  <c r="O95" i="19"/>
  <c r="H96" i="19"/>
  <c r="L94" i="19"/>
  <c r="W94" i="19" s="1"/>
  <c r="G95" i="19"/>
  <c r="U95" i="19" s="1"/>
  <c r="M94" i="19"/>
  <c r="X94" i="19" s="1"/>
  <c r="Z94" i="19"/>
  <c r="D95" i="14"/>
  <c r="C95" i="14"/>
  <c r="D95" i="16"/>
  <c r="C95" i="16"/>
  <c r="O93" i="7"/>
  <c r="L93" i="7"/>
  <c r="W93" i="7" s="1"/>
  <c r="M93" i="7"/>
  <c r="X93" i="7" s="1"/>
  <c r="AA93" i="7"/>
  <c r="Q93" i="7"/>
  <c r="P93" i="7"/>
  <c r="U93" i="7"/>
  <c r="G94" i="7"/>
  <c r="T93" i="7"/>
  <c r="Z93" i="7"/>
  <c r="D93" i="7"/>
  <c r="S93" i="7" s="1"/>
  <c r="C93" i="7"/>
  <c r="R93" i="7" s="1"/>
  <c r="U96" i="1"/>
  <c r="G97" i="1"/>
  <c r="L96" i="1"/>
  <c r="W96" i="1" s="1"/>
  <c r="C96" i="1"/>
  <c r="R96" i="1" s="1"/>
  <c r="M96" i="1"/>
  <c r="X96" i="1" s="1"/>
  <c r="Q96" i="1"/>
  <c r="T96" i="1"/>
  <c r="O96" i="1"/>
  <c r="D96" i="1"/>
  <c r="S96" i="1" s="1"/>
  <c r="Z96" i="1"/>
  <c r="P96" i="1"/>
  <c r="AA96" i="1"/>
  <c r="AA95" i="11"/>
  <c r="N96" i="18"/>
  <c r="O96" i="18" s="1"/>
  <c r="T96" i="18"/>
  <c r="AA95" i="18"/>
  <c r="M96" i="18"/>
  <c r="X96" i="18" s="1"/>
  <c r="G97" i="18"/>
  <c r="AA96" i="18"/>
  <c r="Z96" i="18"/>
  <c r="U96" i="18"/>
  <c r="Q96" i="18"/>
  <c r="P96" i="18"/>
  <c r="C96" i="18"/>
  <c r="R96" i="18" s="1"/>
  <c r="D96" i="18"/>
  <c r="S96" i="18" s="1"/>
  <c r="M94" i="13"/>
  <c r="X94" i="13" s="1"/>
  <c r="Z94" i="13"/>
  <c r="Q94" i="13"/>
  <c r="P94" i="13"/>
  <c r="G95" i="13"/>
  <c r="AA94" i="13"/>
  <c r="C94" i="13"/>
  <c r="R94" i="13" s="1"/>
  <c r="U94" i="13"/>
  <c r="D94" i="13"/>
  <c r="S94" i="13" s="1"/>
  <c r="T94" i="13"/>
  <c r="O94" i="13"/>
  <c r="N97" i="13"/>
  <c r="N96" i="11"/>
  <c r="O96" i="11" s="1"/>
  <c r="T96" i="11"/>
  <c r="M96" i="11"/>
  <c r="X96" i="11" s="1"/>
  <c r="P96" i="11"/>
  <c r="G97" i="11"/>
  <c r="AA96" i="11"/>
  <c r="Q96" i="11"/>
  <c r="Z96" i="11"/>
  <c r="U96" i="11"/>
  <c r="D96" i="11"/>
  <c r="S96" i="11" s="1"/>
  <c r="C96" i="11"/>
  <c r="R96" i="11" s="1"/>
  <c r="N96" i="10"/>
  <c r="D95" i="10"/>
  <c r="S95" i="10" s="1"/>
  <c r="AA95" i="10"/>
  <c r="Z95" i="10"/>
  <c r="U95" i="10"/>
  <c r="Q95" i="10"/>
  <c r="P95" i="10"/>
  <c r="G96" i="10"/>
  <c r="M95" i="10"/>
  <c r="X95" i="10" s="1"/>
  <c r="C95" i="10"/>
  <c r="R95" i="10" s="1"/>
  <c r="T95" i="10"/>
  <c r="O95" i="10"/>
  <c r="E97" i="18"/>
  <c r="E98" i="17"/>
  <c r="N98" i="17" s="1"/>
  <c r="E96" i="16"/>
  <c r="N96" i="16" s="1"/>
  <c r="E97" i="15"/>
  <c r="N97" i="15" s="1"/>
  <c r="E97" i="14"/>
  <c r="N97" i="14" s="1"/>
  <c r="E98" i="13"/>
  <c r="E97" i="12"/>
  <c r="N97" i="12" s="1"/>
  <c r="E97" i="11"/>
  <c r="E97" i="10"/>
  <c r="D95" i="9"/>
  <c r="S95" i="9" s="1"/>
  <c r="AA95" i="9"/>
  <c r="Z95" i="9"/>
  <c r="U95" i="9"/>
  <c r="Q95" i="9"/>
  <c r="P95" i="9"/>
  <c r="C95" i="9"/>
  <c r="R95" i="9" s="1"/>
  <c r="M95" i="9"/>
  <c r="X95" i="9" s="1"/>
  <c r="T95" i="9"/>
  <c r="O95" i="9"/>
  <c r="E97" i="9"/>
  <c r="N97" i="9" s="1"/>
  <c r="E98" i="8"/>
  <c r="N98" i="8" s="1"/>
  <c r="N97" i="7"/>
  <c r="AA95" i="6"/>
  <c r="E97" i="6"/>
  <c r="N97" i="6" s="1"/>
  <c r="C95" i="4"/>
  <c r="R95" i="4" s="1"/>
  <c r="D95" i="4"/>
  <c r="E98" i="7"/>
  <c r="J96" i="18"/>
  <c r="L95" i="18"/>
  <c r="W95" i="18" s="1"/>
  <c r="AJ98" i="18"/>
  <c r="AH99" i="18"/>
  <c r="H96" i="18"/>
  <c r="L94" i="17"/>
  <c r="J95" i="17"/>
  <c r="AJ99" i="17"/>
  <c r="AH100" i="17"/>
  <c r="H96" i="17"/>
  <c r="H96" i="13"/>
  <c r="J96" i="15"/>
  <c r="L95" i="15"/>
  <c r="H96" i="16"/>
  <c r="L95" i="13"/>
  <c r="W95" i="13" s="1"/>
  <c r="AJ98" i="14"/>
  <c r="AH99" i="14"/>
  <c r="J97" i="13"/>
  <c r="AJ97" i="16"/>
  <c r="AH98" i="16"/>
  <c r="AJ98" i="15"/>
  <c r="AH99" i="15"/>
  <c r="AJ99" i="13"/>
  <c r="AH100" i="13"/>
  <c r="H96" i="15"/>
  <c r="H96" i="14"/>
  <c r="J95" i="16"/>
  <c r="L94" i="16"/>
  <c r="J95" i="14"/>
  <c r="L94" i="14"/>
  <c r="AJ98" i="11"/>
  <c r="AH99" i="11"/>
  <c r="H96" i="12"/>
  <c r="H97" i="9"/>
  <c r="L94" i="9"/>
  <c r="W94" i="9" s="1"/>
  <c r="J95" i="9"/>
  <c r="J98" i="11"/>
  <c r="H95" i="10"/>
  <c r="L94" i="12"/>
  <c r="J95" i="12"/>
  <c r="J95" i="10"/>
  <c r="L94" i="10"/>
  <c r="W94" i="10" s="1"/>
  <c r="AJ98" i="10"/>
  <c r="AH99" i="10"/>
  <c r="H96" i="11"/>
  <c r="L95" i="11"/>
  <c r="W95" i="11" s="1"/>
  <c r="AJ98" i="9"/>
  <c r="AH99" i="9"/>
  <c r="AJ98" i="12"/>
  <c r="AH99" i="12"/>
  <c r="H96" i="8"/>
  <c r="AJ99" i="8"/>
  <c r="AH100" i="8"/>
  <c r="J96" i="8"/>
  <c r="L95" i="8"/>
  <c r="W95" i="8" s="1"/>
  <c r="J97" i="7"/>
  <c r="AJ99" i="7"/>
  <c r="AH100" i="7"/>
  <c r="H97" i="7"/>
  <c r="AJ98" i="6"/>
  <c r="AH99" i="6"/>
  <c r="H96" i="6"/>
  <c r="L95" i="6"/>
  <c r="W95" i="6" s="1"/>
  <c r="L96" i="6"/>
  <c r="J97" i="6"/>
  <c r="M95" i="4"/>
  <c r="X95" i="4" s="1"/>
  <c r="Q95" i="4"/>
  <c r="G96" i="4"/>
  <c r="O96" i="4" s="1"/>
  <c r="P95" i="4"/>
  <c r="AA95" i="4"/>
  <c r="Z95" i="4"/>
  <c r="U95" i="4"/>
  <c r="T95" i="4"/>
  <c r="N97" i="4"/>
  <c r="O95" i="4"/>
  <c r="J98" i="4"/>
  <c r="H96" i="4"/>
  <c r="S95" i="4"/>
  <c r="L95" i="4"/>
  <c r="W95" i="4" s="1"/>
  <c r="AJ98" i="4"/>
  <c r="E98" i="4" s="1"/>
  <c r="AH99" i="4"/>
  <c r="D99" i="28" l="1"/>
  <c r="C99" i="28"/>
  <c r="H100" i="28"/>
  <c r="AJ101" i="28"/>
  <c r="E101" i="28" s="1"/>
  <c r="N101" i="28" s="1"/>
  <c r="AH102" i="28"/>
  <c r="AJ102" i="28" s="1"/>
  <c r="E102" i="28" s="1"/>
  <c r="N102" i="28" s="1"/>
  <c r="L97" i="28"/>
  <c r="J98" i="28"/>
  <c r="J98" i="26"/>
  <c r="L97" i="26"/>
  <c r="D98" i="27"/>
  <c r="C98" i="27"/>
  <c r="H99" i="27"/>
  <c r="L99" i="27" s="1"/>
  <c r="AJ100" i="26"/>
  <c r="E100" i="26" s="1"/>
  <c r="N100" i="26" s="1"/>
  <c r="AH101" i="26"/>
  <c r="J98" i="24"/>
  <c r="L97" i="24"/>
  <c r="J100" i="27"/>
  <c r="L98" i="25"/>
  <c r="J99" i="25"/>
  <c r="L98" i="27"/>
  <c r="C98" i="24"/>
  <c r="D98" i="24"/>
  <c r="H99" i="24"/>
  <c r="AJ100" i="25"/>
  <c r="E100" i="25" s="1"/>
  <c r="N100" i="25" s="1"/>
  <c r="AH101" i="25"/>
  <c r="AJ101" i="24"/>
  <c r="E101" i="24" s="1"/>
  <c r="N101" i="24" s="1"/>
  <c r="AH102" i="24"/>
  <c r="AJ102" i="24" s="1"/>
  <c r="E102" i="24" s="1"/>
  <c r="N102" i="24" s="1"/>
  <c r="D100" i="25"/>
  <c r="C100" i="25"/>
  <c r="H101" i="25"/>
  <c r="H99" i="26"/>
  <c r="D98" i="26"/>
  <c r="C98" i="26"/>
  <c r="D97" i="23"/>
  <c r="C97" i="23"/>
  <c r="H98" i="23"/>
  <c r="H100" i="22"/>
  <c r="D99" i="22"/>
  <c r="C99" i="22"/>
  <c r="AJ101" i="22"/>
  <c r="E101" i="22" s="1"/>
  <c r="N101" i="22" s="1"/>
  <c r="AH102" i="22"/>
  <c r="AJ102" i="22" s="1"/>
  <c r="E102" i="22" s="1"/>
  <c r="N102" i="22" s="1"/>
  <c r="AJ101" i="23"/>
  <c r="E101" i="23" s="1"/>
  <c r="N101" i="23" s="1"/>
  <c r="AH102" i="23"/>
  <c r="AJ102" i="23" s="1"/>
  <c r="E102" i="23" s="1"/>
  <c r="N102" i="23" s="1"/>
  <c r="J98" i="22"/>
  <c r="L97" i="22"/>
  <c r="L97" i="23"/>
  <c r="J98" i="23"/>
  <c r="AJ101" i="21"/>
  <c r="E101" i="21" s="1"/>
  <c r="N101" i="21" s="1"/>
  <c r="AH102" i="21"/>
  <c r="AJ102" i="21" s="1"/>
  <c r="E102" i="21" s="1"/>
  <c r="N102" i="21" s="1"/>
  <c r="D98" i="21"/>
  <c r="C98" i="21"/>
  <c r="H99" i="21"/>
  <c r="J98" i="21"/>
  <c r="L97" i="21"/>
  <c r="J98" i="20"/>
  <c r="L97" i="20"/>
  <c r="D99" i="20"/>
  <c r="C99" i="20"/>
  <c r="H100" i="20"/>
  <c r="AJ101" i="20"/>
  <c r="E101" i="20" s="1"/>
  <c r="N101" i="20" s="1"/>
  <c r="AH102" i="20"/>
  <c r="AJ102" i="20" s="1"/>
  <c r="E102" i="20" s="1"/>
  <c r="N102" i="20" s="1"/>
  <c r="T95" i="19"/>
  <c r="P95" i="19"/>
  <c r="Q95" i="19"/>
  <c r="G96" i="19"/>
  <c r="D96" i="19" s="1"/>
  <c r="S96" i="19" s="1"/>
  <c r="L95" i="19"/>
  <c r="W95" i="19" s="1"/>
  <c r="M95" i="19"/>
  <c r="X95" i="19" s="1"/>
  <c r="J97" i="19"/>
  <c r="U96" i="19"/>
  <c r="T96" i="19"/>
  <c r="O96" i="19"/>
  <c r="H97" i="19"/>
  <c r="AA95" i="19"/>
  <c r="Z95" i="19"/>
  <c r="C95" i="19"/>
  <c r="R95" i="19" s="1"/>
  <c r="D95" i="19"/>
  <c r="S95" i="19" s="1"/>
  <c r="N101" i="19"/>
  <c r="C96" i="14"/>
  <c r="D96" i="14"/>
  <c r="C96" i="16"/>
  <c r="D96" i="16"/>
  <c r="L94" i="7"/>
  <c r="W94" i="7" s="1"/>
  <c r="M94" i="7"/>
  <c r="X94" i="7" s="1"/>
  <c r="O94" i="7"/>
  <c r="AA94" i="7"/>
  <c r="Q94" i="7"/>
  <c r="P94" i="7"/>
  <c r="G95" i="7"/>
  <c r="Z94" i="7"/>
  <c r="U94" i="7"/>
  <c r="D94" i="7"/>
  <c r="S94" i="7" s="1"/>
  <c r="C94" i="7"/>
  <c r="R94" i="7" s="1"/>
  <c r="T94" i="7"/>
  <c r="T97" i="1"/>
  <c r="O97" i="1"/>
  <c r="D97" i="1"/>
  <c r="S97" i="1" s="1"/>
  <c r="Z97" i="1"/>
  <c r="U97" i="1"/>
  <c r="Q97" i="1"/>
  <c r="P97" i="1"/>
  <c r="AA97" i="1"/>
  <c r="C97" i="1"/>
  <c r="R97" i="1" s="1"/>
  <c r="G98" i="1"/>
  <c r="M97" i="1"/>
  <c r="X97" i="1" s="1"/>
  <c r="L97" i="1"/>
  <c r="W97" i="1" s="1"/>
  <c r="M97" i="18"/>
  <c r="X97" i="18" s="1"/>
  <c r="Z97" i="18"/>
  <c r="U97" i="18"/>
  <c r="Q97" i="18"/>
  <c r="P97" i="18"/>
  <c r="G98" i="18"/>
  <c r="C97" i="18"/>
  <c r="R97" i="18" s="1"/>
  <c r="D97" i="18"/>
  <c r="S97" i="18" s="1"/>
  <c r="N97" i="18"/>
  <c r="O97" i="18" s="1"/>
  <c r="T97" i="18"/>
  <c r="N98" i="13"/>
  <c r="M95" i="13"/>
  <c r="X95" i="13" s="1"/>
  <c r="D95" i="13"/>
  <c r="S95" i="13" s="1"/>
  <c r="U95" i="13"/>
  <c r="Z95" i="13"/>
  <c r="Q95" i="13"/>
  <c r="P95" i="13"/>
  <c r="G96" i="13"/>
  <c r="AA95" i="13"/>
  <c r="C95" i="13"/>
  <c r="R95" i="13" s="1"/>
  <c r="T95" i="13"/>
  <c r="O95" i="13"/>
  <c r="N97" i="11"/>
  <c r="O97" i="11" s="1"/>
  <c r="T97" i="11"/>
  <c r="M97" i="11"/>
  <c r="X97" i="11" s="1"/>
  <c r="G98" i="11"/>
  <c r="Z97" i="11"/>
  <c r="P97" i="11"/>
  <c r="Q97" i="11"/>
  <c r="U97" i="11"/>
  <c r="C97" i="11"/>
  <c r="R97" i="11" s="1"/>
  <c r="D97" i="11"/>
  <c r="S97" i="11" s="1"/>
  <c r="N97" i="10"/>
  <c r="M96" i="10"/>
  <c r="X96" i="10" s="1"/>
  <c r="Z96" i="10"/>
  <c r="U96" i="10"/>
  <c r="AA96" i="10"/>
  <c r="Q96" i="10"/>
  <c r="P96" i="10"/>
  <c r="G97" i="10"/>
  <c r="C96" i="10"/>
  <c r="R96" i="10" s="1"/>
  <c r="D96" i="10"/>
  <c r="S96" i="10" s="1"/>
  <c r="T96" i="10"/>
  <c r="O96" i="10"/>
  <c r="E98" i="18"/>
  <c r="E99" i="17"/>
  <c r="N99" i="17" s="1"/>
  <c r="E97" i="16"/>
  <c r="N97" i="16" s="1"/>
  <c r="E98" i="15"/>
  <c r="N98" i="15" s="1"/>
  <c r="E98" i="14"/>
  <c r="N98" i="14" s="1"/>
  <c r="E99" i="13"/>
  <c r="E98" i="12"/>
  <c r="N98" i="12" s="1"/>
  <c r="E98" i="11"/>
  <c r="E98" i="10"/>
  <c r="E98" i="9"/>
  <c r="N98" i="9" s="1"/>
  <c r="E99" i="8"/>
  <c r="N99" i="8" s="1"/>
  <c r="N98" i="7"/>
  <c r="E98" i="6"/>
  <c r="N98" i="6" s="1"/>
  <c r="D96" i="4"/>
  <c r="S96" i="4" s="1"/>
  <c r="C96" i="4"/>
  <c r="R96" i="4" s="1"/>
  <c r="E99" i="7"/>
  <c r="H97" i="18"/>
  <c r="AJ99" i="18"/>
  <c r="AH100" i="18"/>
  <c r="L96" i="18"/>
  <c r="W96" i="18" s="1"/>
  <c r="J97" i="18"/>
  <c r="H97" i="17"/>
  <c r="AJ100" i="17"/>
  <c r="AH101" i="17"/>
  <c r="J96" i="17"/>
  <c r="L95" i="17"/>
  <c r="H97" i="15"/>
  <c r="AJ100" i="13"/>
  <c r="AH101" i="13"/>
  <c r="H97" i="14"/>
  <c r="H97" i="16"/>
  <c r="AJ99" i="14"/>
  <c r="AH100" i="14"/>
  <c r="AJ99" i="15"/>
  <c r="AH100" i="15"/>
  <c r="L95" i="14"/>
  <c r="J96" i="14"/>
  <c r="L96" i="15"/>
  <c r="J97" i="15"/>
  <c r="J98" i="13"/>
  <c r="AJ98" i="16"/>
  <c r="AH99" i="16"/>
  <c r="J96" i="16"/>
  <c r="L95" i="16"/>
  <c r="H97" i="13"/>
  <c r="J99" i="11"/>
  <c r="J96" i="9"/>
  <c r="L95" i="9"/>
  <c r="W95" i="9" s="1"/>
  <c r="H98" i="9"/>
  <c r="H97" i="11"/>
  <c r="L96" i="11"/>
  <c r="W96" i="11" s="1"/>
  <c r="J96" i="10"/>
  <c r="L95" i="10"/>
  <c r="W95" i="10" s="1"/>
  <c r="AJ99" i="12"/>
  <c r="AH100" i="12"/>
  <c r="J96" i="12"/>
  <c r="L95" i="12"/>
  <c r="AH100" i="10"/>
  <c r="AJ99" i="10"/>
  <c r="AH100" i="9"/>
  <c r="AJ99" i="9"/>
  <c r="H96" i="10"/>
  <c r="H97" i="12"/>
  <c r="AH100" i="11"/>
  <c r="AJ99" i="11"/>
  <c r="L96" i="8"/>
  <c r="J97" i="8"/>
  <c r="AJ100" i="8"/>
  <c r="AH101" i="8"/>
  <c r="H97" i="8"/>
  <c r="H98" i="7"/>
  <c r="AJ100" i="7"/>
  <c r="AH101" i="7"/>
  <c r="J98" i="7"/>
  <c r="H97" i="6"/>
  <c r="L97" i="6" s="1"/>
  <c r="AJ99" i="6"/>
  <c r="AH100" i="6"/>
  <c r="J98" i="6"/>
  <c r="N98" i="4"/>
  <c r="M96" i="4"/>
  <c r="X96" i="4" s="1"/>
  <c r="AA96" i="4"/>
  <c r="Z96" i="4"/>
  <c r="Q96" i="4"/>
  <c r="G97" i="4"/>
  <c r="P96" i="4"/>
  <c r="U96" i="4"/>
  <c r="T96" i="4"/>
  <c r="AJ99" i="4"/>
  <c r="E99" i="4" s="1"/>
  <c r="AH100" i="4"/>
  <c r="J99" i="4"/>
  <c r="H97" i="4"/>
  <c r="L96" i="4"/>
  <c r="W96" i="4" s="1"/>
  <c r="L98" i="28" l="1"/>
  <c r="J99" i="28"/>
  <c r="D100" i="28"/>
  <c r="C100" i="28"/>
  <c r="H101" i="28"/>
  <c r="C101" i="25"/>
  <c r="H102" i="25"/>
  <c r="D101" i="25"/>
  <c r="L98" i="24"/>
  <c r="J99" i="24"/>
  <c r="J101" i="27"/>
  <c r="L100" i="27"/>
  <c r="AJ101" i="25"/>
  <c r="E101" i="25" s="1"/>
  <c r="N101" i="25" s="1"/>
  <c r="AH102" i="25"/>
  <c r="AJ102" i="25" s="1"/>
  <c r="E102" i="25" s="1"/>
  <c r="N102" i="25" s="1"/>
  <c r="AJ101" i="26"/>
  <c r="E101" i="26" s="1"/>
  <c r="N101" i="26" s="1"/>
  <c r="AH102" i="26"/>
  <c r="AJ102" i="26" s="1"/>
  <c r="E102" i="26" s="1"/>
  <c r="N102" i="26" s="1"/>
  <c r="H100" i="24"/>
  <c r="D99" i="24"/>
  <c r="C99" i="24"/>
  <c r="D99" i="27"/>
  <c r="C99" i="27"/>
  <c r="H100" i="27"/>
  <c r="H100" i="26"/>
  <c r="D99" i="26"/>
  <c r="C99" i="26"/>
  <c r="J100" i="25"/>
  <c r="L99" i="25"/>
  <c r="J99" i="26"/>
  <c r="L98" i="26"/>
  <c r="J99" i="22"/>
  <c r="L98" i="22"/>
  <c r="H101" i="22"/>
  <c r="D100" i="22"/>
  <c r="C100" i="22"/>
  <c r="D98" i="23"/>
  <c r="C98" i="23"/>
  <c r="H99" i="23"/>
  <c r="J99" i="23"/>
  <c r="L98" i="23"/>
  <c r="L98" i="21"/>
  <c r="J99" i="21"/>
  <c r="D99" i="21"/>
  <c r="C99" i="21"/>
  <c r="H100" i="21"/>
  <c r="D100" i="20"/>
  <c r="C100" i="20"/>
  <c r="H101" i="20"/>
  <c r="J99" i="20"/>
  <c r="L98" i="20"/>
  <c r="P96" i="19"/>
  <c r="Q96" i="19"/>
  <c r="Z96" i="19"/>
  <c r="AA96" i="19"/>
  <c r="C96" i="19"/>
  <c r="R96" i="19" s="1"/>
  <c r="J98" i="19"/>
  <c r="G97" i="19"/>
  <c r="M96" i="19"/>
  <c r="X96" i="19" s="1"/>
  <c r="L96" i="19"/>
  <c r="W96" i="19" s="1"/>
  <c r="D97" i="19"/>
  <c r="S97" i="19" s="1"/>
  <c r="C97" i="19"/>
  <c r="R97" i="19" s="1"/>
  <c r="H98" i="19"/>
  <c r="C97" i="14"/>
  <c r="D97" i="14"/>
  <c r="C97" i="16"/>
  <c r="D97" i="16"/>
  <c r="O95" i="7"/>
  <c r="L95" i="7"/>
  <c r="W95" i="7" s="1"/>
  <c r="Q95" i="7"/>
  <c r="AA95" i="7"/>
  <c r="P95" i="7"/>
  <c r="G96" i="7"/>
  <c r="Z95" i="7"/>
  <c r="U95" i="7"/>
  <c r="D95" i="7"/>
  <c r="S95" i="7" s="1"/>
  <c r="C95" i="7"/>
  <c r="R95" i="7" s="1"/>
  <c r="T95" i="7"/>
  <c r="M95" i="7"/>
  <c r="X95" i="7" s="1"/>
  <c r="AA97" i="11"/>
  <c r="M98" i="1"/>
  <c r="X98" i="1" s="1"/>
  <c r="T98" i="1"/>
  <c r="O98" i="1"/>
  <c r="D98" i="1"/>
  <c r="S98" i="1" s="1"/>
  <c r="Z98" i="1"/>
  <c r="C98" i="1"/>
  <c r="R98" i="1" s="1"/>
  <c r="AA98" i="1"/>
  <c r="U98" i="1"/>
  <c r="Q98" i="1"/>
  <c r="P98" i="1"/>
  <c r="L98" i="1"/>
  <c r="W98" i="1" s="1"/>
  <c r="M98" i="18"/>
  <c r="X98" i="18" s="1"/>
  <c r="Z98" i="18"/>
  <c r="U98" i="18"/>
  <c r="Q98" i="18"/>
  <c r="P98" i="18"/>
  <c r="G99" i="18"/>
  <c r="C98" i="18"/>
  <c r="R98" i="18" s="1"/>
  <c r="D98" i="18"/>
  <c r="S98" i="18" s="1"/>
  <c r="N98" i="18"/>
  <c r="O98" i="18" s="1"/>
  <c r="T98" i="18"/>
  <c r="AA97" i="18"/>
  <c r="N99" i="13"/>
  <c r="M96" i="13"/>
  <c r="X96" i="13" s="1"/>
  <c r="U96" i="13"/>
  <c r="Q96" i="13"/>
  <c r="P96" i="13"/>
  <c r="G97" i="13"/>
  <c r="Z96" i="13"/>
  <c r="AA96" i="13"/>
  <c r="D96" i="13"/>
  <c r="S96" i="13" s="1"/>
  <c r="C96" i="13"/>
  <c r="R96" i="13" s="1"/>
  <c r="T96" i="13"/>
  <c r="O96" i="13"/>
  <c r="L96" i="13"/>
  <c r="W96" i="13" s="1"/>
  <c r="N98" i="11"/>
  <c r="O98" i="11" s="1"/>
  <c r="T98" i="11"/>
  <c r="M98" i="11"/>
  <c r="X98" i="11" s="1"/>
  <c r="AA98" i="11"/>
  <c r="P98" i="11"/>
  <c r="Z98" i="11"/>
  <c r="U98" i="11"/>
  <c r="G99" i="11"/>
  <c r="Q98" i="11"/>
  <c r="C98" i="11"/>
  <c r="R98" i="11" s="1"/>
  <c r="D98" i="11"/>
  <c r="S98" i="11" s="1"/>
  <c r="M97" i="10"/>
  <c r="X97" i="10" s="1"/>
  <c r="U97" i="10"/>
  <c r="Q97" i="10"/>
  <c r="P97" i="10"/>
  <c r="G98" i="10"/>
  <c r="Z97" i="10"/>
  <c r="AA97" i="10"/>
  <c r="C97" i="10"/>
  <c r="R97" i="10" s="1"/>
  <c r="D97" i="10"/>
  <c r="S97" i="10" s="1"/>
  <c r="N98" i="10"/>
  <c r="O98" i="10" s="1"/>
  <c r="T98" i="10"/>
  <c r="T97" i="10"/>
  <c r="O97" i="10"/>
  <c r="E99" i="18"/>
  <c r="E100" i="17"/>
  <c r="N100" i="17" s="1"/>
  <c r="E98" i="16"/>
  <c r="N98" i="16" s="1"/>
  <c r="E99" i="15"/>
  <c r="N99" i="15" s="1"/>
  <c r="E99" i="14"/>
  <c r="N99" i="14" s="1"/>
  <c r="E100" i="13"/>
  <c r="E99" i="12"/>
  <c r="N99" i="12" s="1"/>
  <c r="E99" i="11"/>
  <c r="E99" i="10"/>
  <c r="E99" i="9"/>
  <c r="N99" i="9" s="1"/>
  <c r="E100" i="8"/>
  <c r="N100" i="8" s="1"/>
  <c r="N99" i="7"/>
  <c r="E99" i="6"/>
  <c r="N99" i="6" s="1"/>
  <c r="D97" i="4"/>
  <c r="C97" i="4"/>
  <c r="E100" i="7"/>
  <c r="L97" i="18"/>
  <c r="W97" i="18" s="1"/>
  <c r="J98" i="18"/>
  <c r="AJ100" i="18"/>
  <c r="AH101" i="18"/>
  <c r="H98" i="18"/>
  <c r="L96" i="17"/>
  <c r="J97" i="17"/>
  <c r="AJ101" i="17"/>
  <c r="AH102" i="17"/>
  <c r="AJ102" i="17" s="1"/>
  <c r="H98" i="17"/>
  <c r="J99" i="13"/>
  <c r="H98" i="16"/>
  <c r="L97" i="15"/>
  <c r="J98" i="15"/>
  <c r="H98" i="14"/>
  <c r="J97" i="14"/>
  <c r="L96" i="14"/>
  <c r="AJ101" i="13"/>
  <c r="AH102" i="13"/>
  <c r="AJ102" i="13" s="1"/>
  <c r="L96" i="16"/>
  <c r="J97" i="16"/>
  <c r="AJ100" i="15"/>
  <c r="AH101" i="15"/>
  <c r="AJ99" i="16"/>
  <c r="AH100" i="16"/>
  <c r="H98" i="13"/>
  <c r="AH101" i="14"/>
  <c r="AJ100" i="14"/>
  <c r="H98" i="15"/>
  <c r="H98" i="11"/>
  <c r="L97" i="11"/>
  <c r="W97" i="11" s="1"/>
  <c r="J97" i="10"/>
  <c r="L96" i="10"/>
  <c r="W96" i="10" s="1"/>
  <c r="H99" i="9"/>
  <c r="AJ100" i="9"/>
  <c r="AH101" i="9"/>
  <c r="AJ100" i="10"/>
  <c r="AH101" i="10"/>
  <c r="H97" i="10"/>
  <c r="L96" i="12"/>
  <c r="J97" i="12"/>
  <c r="AJ100" i="11"/>
  <c r="AH101" i="11"/>
  <c r="AJ100" i="12"/>
  <c r="AH101" i="12"/>
  <c r="L96" i="9"/>
  <c r="J97" i="9"/>
  <c r="J100" i="11"/>
  <c r="H98" i="12"/>
  <c r="H98" i="8"/>
  <c r="AJ101" i="8"/>
  <c r="AH102" i="8"/>
  <c r="AJ102" i="8" s="1"/>
  <c r="L97" i="8"/>
  <c r="J98" i="8"/>
  <c r="AJ101" i="7"/>
  <c r="AH102" i="7"/>
  <c r="AJ102" i="7" s="1"/>
  <c r="J99" i="7"/>
  <c r="H99" i="7"/>
  <c r="J99" i="6"/>
  <c r="AJ100" i="6"/>
  <c r="AH101" i="6"/>
  <c r="H98" i="6"/>
  <c r="N99" i="4"/>
  <c r="M97" i="4"/>
  <c r="X97" i="4" s="1"/>
  <c r="Z97" i="4"/>
  <c r="AA97" i="4"/>
  <c r="Q97" i="4"/>
  <c r="G98" i="4"/>
  <c r="P97" i="4"/>
  <c r="U97" i="4"/>
  <c r="T97" i="4"/>
  <c r="O97" i="4"/>
  <c r="S97" i="4"/>
  <c r="R97" i="4"/>
  <c r="H98" i="4"/>
  <c r="L97" i="4"/>
  <c r="W97" i="4" s="1"/>
  <c r="J100" i="4"/>
  <c r="AJ100" i="4"/>
  <c r="E100" i="4" s="1"/>
  <c r="AH101" i="4"/>
  <c r="D101" i="28" l="1"/>
  <c r="C101" i="28"/>
  <c r="H102" i="28"/>
  <c r="J100" i="28"/>
  <c r="L99" i="28"/>
  <c r="H101" i="24"/>
  <c r="D100" i="24"/>
  <c r="C100" i="24"/>
  <c r="J101" i="25"/>
  <c r="L100" i="25"/>
  <c r="J100" i="26"/>
  <c r="L99" i="26"/>
  <c r="D100" i="26"/>
  <c r="C100" i="26"/>
  <c r="H101" i="26"/>
  <c r="J102" i="27"/>
  <c r="D100" i="27"/>
  <c r="C100" i="27"/>
  <c r="H101" i="27"/>
  <c r="L101" i="27" s="1"/>
  <c r="J100" i="24"/>
  <c r="L99" i="24"/>
  <c r="C102" i="25"/>
  <c r="D102" i="25"/>
  <c r="J100" i="23"/>
  <c r="L99" i="23"/>
  <c r="D99" i="23"/>
  <c r="C99" i="23"/>
  <c r="H100" i="23"/>
  <c r="H102" i="22"/>
  <c r="D101" i="22"/>
  <c r="C101" i="22"/>
  <c r="J100" i="22"/>
  <c r="L99" i="22"/>
  <c r="D100" i="21"/>
  <c r="C100" i="21"/>
  <c r="H101" i="21"/>
  <c r="J100" i="21"/>
  <c r="L99" i="21"/>
  <c r="J100" i="20"/>
  <c r="L99" i="20"/>
  <c r="D101" i="20"/>
  <c r="C101" i="20"/>
  <c r="H102" i="20"/>
  <c r="G98" i="19"/>
  <c r="M97" i="19"/>
  <c r="X97" i="19" s="1"/>
  <c r="L97" i="19"/>
  <c r="W97" i="19" s="1"/>
  <c r="O97" i="19"/>
  <c r="T97" i="19"/>
  <c r="P98" i="19"/>
  <c r="U98" i="19"/>
  <c r="Q98" i="19"/>
  <c r="J99" i="19"/>
  <c r="T98" i="19"/>
  <c r="O98" i="19"/>
  <c r="P97" i="19"/>
  <c r="C98" i="19"/>
  <c r="R98" i="19" s="1"/>
  <c r="AA98" i="19"/>
  <c r="Z98" i="19"/>
  <c r="H99" i="19"/>
  <c r="D98" i="19"/>
  <c r="S98" i="19" s="1"/>
  <c r="Q97" i="19"/>
  <c r="Z97" i="19"/>
  <c r="U97" i="19"/>
  <c r="AA97" i="19"/>
  <c r="D98" i="14"/>
  <c r="C98" i="14"/>
  <c r="C98" i="16"/>
  <c r="D98" i="16"/>
  <c r="U96" i="7"/>
  <c r="O96" i="7"/>
  <c r="Z96" i="7"/>
  <c r="D96" i="7"/>
  <c r="S96" i="7" s="1"/>
  <c r="C96" i="7"/>
  <c r="R96" i="7" s="1"/>
  <c r="P96" i="7"/>
  <c r="T96" i="7"/>
  <c r="L96" i="7"/>
  <c r="W96" i="7" s="1"/>
  <c r="Q96" i="7"/>
  <c r="M96" i="7"/>
  <c r="X96" i="7" s="1"/>
  <c r="AA96" i="7"/>
  <c r="G97" i="7"/>
  <c r="D99" i="18"/>
  <c r="S99" i="18" s="1"/>
  <c r="U99" i="18"/>
  <c r="Q99" i="18"/>
  <c r="P99" i="18"/>
  <c r="Z99" i="18"/>
  <c r="G100" i="18"/>
  <c r="C99" i="18"/>
  <c r="R99" i="18" s="1"/>
  <c r="M99" i="18"/>
  <c r="X99" i="18" s="1"/>
  <c r="AA98" i="18"/>
  <c r="N99" i="18"/>
  <c r="O99" i="18" s="1"/>
  <c r="T99" i="18"/>
  <c r="N100" i="13"/>
  <c r="M97" i="13"/>
  <c r="X97" i="13" s="1"/>
  <c r="U97" i="13"/>
  <c r="Q97" i="13"/>
  <c r="P97" i="13"/>
  <c r="G98" i="13"/>
  <c r="AA97" i="13"/>
  <c r="Z97" i="13"/>
  <c r="C97" i="13"/>
  <c r="R97" i="13" s="1"/>
  <c r="D97" i="13"/>
  <c r="S97" i="13" s="1"/>
  <c r="T97" i="13"/>
  <c r="O97" i="13"/>
  <c r="L97" i="13"/>
  <c r="W97" i="13" s="1"/>
  <c r="N99" i="11"/>
  <c r="O99" i="11" s="1"/>
  <c r="T99" i="11"/>
  <c r="M99" i="11"/>
  <c r="X99" i="11" s="1"/>
  <c r="AA99" i="11"/>
  <c r="Z99" i="11"/>
  <c r="U99" i="11"/>
  <c r="G100" i="11"/>
  <c r="Q99" i="11"/>
  <c r="P99" i="11"/>
  <c r="D99" i="11"/>
  <c r="S99" i="11" s="1"/>
  <c r="C99" i="11"/>
  <c r="R99" i="11" s="1"/>
  <c r="N99" i="10"/>
  <c r="M98" i="10"/>
  <c r="X98" i="10" s="1"/>
  <c r="Q98" i="10"/>
  <c r="P98" i="10"/>
  <c r="G99" i="10"/>
  <c r="AA98" i="10"/>
  <c r="Z98" i="10"/>
  <c r="U98" i="10"/>
  <c r="C98" i="10"/>
  <c r="R98" i="10" s="1"/>
  <c r="D98" i="10"/>
  <c r="S98" i="10" s="1"/>
  <c r="E100" i="18"/>
  <c r="N101" i="17"/>
  <c r="E101" i="17"/>
  <c r="E102" i="17"/>
  <c r="N102" i="17" s="1"/>
  <c r="E99" i="16"/>
  <c r="N99" i="16" s="1"/>
  <c r="E100" i="15"/>
  <c r="N100" i="15" s="1"/>
  <c r="E100" i="14"/>
  <c r="N100" i="14" s="1"/>
  <c r="E102" i="13"/>
  <c r="N102" i="13" s="1"/>
  <c r="AA102" i="13" s="1"/>
  <c r="E101" i="13"/>
  <c r="E100" i="12"/>
  <c r="N100" i="12" s="1"/>
  <c r="E100" i="11"/>
  <c r="E100" i="10"/>
  <c r="E100" i="9"/>
  <c r="N100" i="9" s="1"/>
  <c r="E101" i="8"/>
  <c r="N101" i="8" s="1"/>
  <c r="E102" i="8"/>
  <c r="N102" i="8" s="1"/>
  <c r="N100" i="7"/>
  <c r="E100" i="6"/>
  <c r="N100" i="6" s="1"/>
  <c r="C98" i="4"/>
  <c r="R98" i="4" s="1"/>
  <c r="D98" i="4"/>
  <c r="S98" i="4" s="1"/>
  <c r="E102" i="7"/>
  <c r="E101" i="7"/>
  <c r="H99" i="18"/>
  <c r="AJ101" i="18"/>
  <c r="AH102" i="18"/>
  <c r="AJ102" i="18" s="1"/>
  <c r="J99" i="18"/>
  <c r="L98" i="18"/>
  <c r="W98" i="18" s="1"/>
  <c r="H99" i="17"/>
  <c r="L97" i="17"/>
  <c r="J98" i="17"/>
  <c r="J98" i="14"/>
  <c r="L97" i="14"/>
  <c r="H99" i="13"/>
  <c r="AJ100" i="16"/>
  <c r="AH101" i="16"/>
  <c r="H99" i="14"/>
  <c r="J99" i="15"/>
  <c r="L98" i="15"/>
  <c r="AJ101" i="15"/>
  <c r="AH102" i="15"/>
  <c r="AJ102" i="15" s="1"/>
  <c r="H99" i="16"/>
  <c r="H99" i="15"/>
  <c r="L97" i="16"/>
  <c r="J98" i="16"/>
  <c r="L98" i="13"/>
  <c r="W98" i="13" s="1"/>
  <c r="AJ101" i="14"/>
  <c r="AH102" i="14"/>
  <c r="AJ102" i="14" s="1"/>
  <c r="J100" i="13"/>
  <c r="AJ101" i="9"/>
  <c r="AH102" i="9"/>
  <c r="AJ102" i="9" s="1"/>
  <c r="AJ101" i="11"/>
  <c r="AH102" i="11"/>
  <c r="AJ102" i="11" s="1"/>
  <c r="H100" i="9"/>
  <c r="AJ101" i="12"/>
  <c r="AH102" i="12"/>
  <c r="AJ102" i="12" s="1"/>
  <c r="L97" i="12"/>
  <c r="J98" i="12"/>
  <c r="H99" i="12"/>
  <c r="J98" i="10"/>
  <c r="L97" i="10"/>
  <c r="W97" i="10" s="1"/>
  <c r="H98" i="10"/>
  <c r="J98" i="9"/>
  <c r="L97" i="9"/>
  <c r="H99" i="11"/>
  <c r="L98" i="11"/>
  <c r="W98" i="11" s="1"/>
  <c r="J101" i="11"/>
  <c r="AJ101" i="10"/>
  <c r="AH102" i="10"/>
  <c r="AJ102" i="10" s="1"/>
  <c r="L98" i="8"/>
  <c r="J99" i="8"/>
  <c r="H99" i="8"/>
  <c r="J100" i="7"/>
  <c r="H100" i="7"/>
  <c r="H99" i="6"/>
  <c r="L99" i="6" s="1"/>
  <c r="AJ101" i="6"/>
  <c r="AH102" i="6"/>
  <c r="AJ102" i="6" s="1"/>
  <c r="L98" i="6"/>
  <c r="J100" i="6"/>
  <c r="M98" i="4"/>
  <c r="X98" i="4" s="1"/>
  <c r="Q98" i="4"/>
  <c r="G99" i="4"/>
  <c r="P98" i="4"/>
  <c r="AA98" i="4"/>
  <c r="Z98" i="4"/>
  <c r="U98" i="4"/>
  <c r="T98" i="4"/>
  <c r="O98" i="4"/>
  <c r="N100" i="4"/>
  <c r="O99" i="4"/>
  <c r="AJ101" i="4"/>
  <c r="E101" i="4" s="1"/>
  <c r="AH102" i="4"/>
  <c r="AJ102" i="4" s="1"/>
  <c r="E102" i="4" s="1"/>
  <c r="J101" i="4"/>
  <c r="H99" i="4"/>
  <c r="L98" i="4"/>
  <c r="W98" i="4" s="1"/>
  <c r="J101" i="28" l="1"/>
  <c r="L100" i="28"/>
  <c r="C102" i="28"/>
  <c r="D102" i="28"/>
  <c r="D101" i="26"/>
  <c r="C101" i="26"/>
  <c r="H102" i="26"/>
  <c r="J101" i="26"/>
  <c r="L100" i="26"/>
  <c r="J101" i="24"/>
  <c r="L100" i="24"/>
  <c r="J102" i="25"/>
  <c r="L102" i="25" s="1"/>
  <c r="L101" i="25"/>
  <c r="D101" i="27"/>
  <c r="C101" i="27"/>
  <c r="H102" i="27"/>
  <c r="H102" i="24"/>
  <c r="D101" i="24"/>
  <c r="C101" i="24"/>
  <c r="J101" i="22"/>
  <c r="L100" i="22"/>
  <c r="D102" i="22"/>
  <c r="C102" i="22"/>
  <c r="D100" i="23"/>
  <c r="C100" i="23"/>
  <c r="H101" i="23"/>
  <c r="J101" i="23"/>
  <c r="L100" i="23"/>
  <c r="J101" i="21"/>
  <c r="L100" i="21"/>
  <c r="D101" i="21"/>
  <c r="C101" i="21"/>
  <c r="H102" i="21"/>
  <c r="C102" i="20"/>
  <c r="D102" i="20"/>
  <c r="J101" i="20"/>
  <c r="L100" i="20"/>
  <c r="J100" i="19"/>
  <c r="H100" i="19"/>
  <c r="M98" i="19"/>
  <c r="X98" i="19" s="1"/>
  <c r="L98" i="19"/>
  <c r="W98" i="19" s="1"/>
  <c r="G99" i="19"/>
  <c r="U99" i="19" s="1"/>
  <c r="C99" i="14"/>
  <c r="D99" i="14"/>
  <c r="C99" i="16"/>
  <c r="D99" i="16"/>
  <c r="L97" i="7"/>
  <c r="W97" i="7" s="1"/>
  <c r="O97" i="7"/>
  <c r="M97" i="7"/>
  <c r="X97" i="7" s="1"/>
  <c r="AA97" i="7"/>
  <c r="Q97" i="7"/>
  <c r="P97" i="7"/>
  <c r="G98" i="7"/>
  <c r="Z97" i="7"/>
  <c r="T97" i="7"/>
  <c r="U97" i="7"/>
  <c r="D97" i="7"/>
  <c r="S97" i="7" s="1"/>
  <c r="C97" i="7"/>
  <c r="R97" i="7" s="1"/>
  <c r="AA99" i="18"/>
  <c r="M100" i="18"/>
  <c r="X100" i="18" s="1"/>
  <c r="U100" i="18"/>
  <c r="Q100" i="18"/>
  <c r="P100" i="18"/>
  <c r="G101" i="18"/>
  <c r="Z100" i="18"/>
  <c r="D100" i="18"/>
  <c r="S100" i="18" s="1"/>
  <c r="C100" i="18"/>
  <c r="R100" i="18" s="1"/>
  <c r="N100" i="18"/>
  <c r="O100" i="18" s="1"/>
  <c r="T100" i="18"/>
  <c r="N101" i="13"/>
  <c r="M98" i="13"/>
  <c r="X98" i="13" s="1"/>
  <c r="Q98" i="13"/>
  <c r="P98" i="13"/>
  <c r="G99" i="13"/>
  <c r="U98" i="13"/>
  <c r="AA98" i="13"/>
  <c r="Z98" i="13"/>
  <c r="C98" i="13"/>
  <c r="R98" i="13" s="1"/>
  <c r="D98" i="13"/>
  <c r="S98" i="13" s="1"/>
  <c r="T98" i="13"/>
  <c r="O98" i="13"/>
  <c r="N100" i="11"/>
  <c r="O100" i="11" s="1"/>
  <c r="T100" i="11"/>
  <c r="M100" i="11"/>
  <c r="X100" i="11" s="1"/>
  <c r="Z100" i="11"/>
  <c r="U100" i="11"/>
  <c r="Q100" i="11"/>
  <c r="P100" i="11"/>
  <c r="G101" i="11"/>
  <c r="C100" i="11"/>
  <c r="R100" i="11" s="1"/>
  <c r="D100" i="11"/>
  <c r="S100" i="11" s="1"/>
  <c r="M99" i="10"/>
  <c r="X99" i="10" s="1"/>
  <c r="U99" i="10"/>
  <c r="Q99" i="10"/>
  <c r="P99" i="10"/>
  <c r="G100" i="10"/>
  <c r="AA99" i="10"/>
  <c r="Z99" i="10"/>
  <c r="C99" i="10"/>
  <c r="R99" i="10" s="1"/>
  <c r="D99" i="10"/>
  <c r="S99" i="10" s="1"/>
  <c r="N100" i="10"/>
  <c r="O100" i="10" s="1"/>
  <c r="T100" i="10"/>
  <c r="T99" i="10"/>
  <c r="O99" i="10"/>
  <c r="E102" i="18"/>
  <c r="N102" i="18" s="1"/>
  <c r="AA102" i="18" s="1"/>
  <c r="E101" i="18"/>
  <c r="E100" i="16"/>
  <c r="N100" i="16" s="1"/>
  <c r="E101" i="15"/>
  <c r="N101" i="15" s="1"/>
  <c r="E102" i="15"/>
  <c r="N102" i="15" s="1"/>
  <c r="E101" i="14"/>
  <c r="N101" i="14" s="1"/>
  <c r="E102" i="14"/>
  <c r="N102" i="14" s="1"/>
  <c r="E101" i="12"/>
  <c r="N101" i="12" s="1"/>
  <c r="E102" i="12"/>
  <c r="N102" i="12" s="1"/>
  <c r="E101" i="11"/>
  <c r="E102" i="11"/>
  <c r="E101" i="10"/>
  <c r="E102" i="10"/>
  <c r="N102" i="10" s="1"/>
  <c r="AA102" i="10" s="1"/>
  <c r="E102" i="9"/>
  <c r="N102" i="9" s="1"/>
  <c r="E101" i="9"/>
  <c r="N101" i="9" s="1"/>
  <c r="N102" i="7"/>
  <c r="N101" i="7"/>
  <c r="E101" i="6"/>
  <c r="N101" i="6" s="1"/>
  <c r="E102" i="6"/>
  <c r="N102" i="6" s="1"/>
  <c r="D99" i="4"/>
  <c r="S99" i="4" s="1"/>
  <c r="C99" i="4"/>
  <c r="R99" i="4" s="1"/>
  <c r="J100" i="18"/>
  <c r="L99" i="18"/>
  <c r="W99" i="18" s="1"/>
  <c r="H100" i="18"/>
  <c r="J99" i="17"/>
  <c r="L98" i="17"/>
  <c r="H100" i="17"/>
  <c r="J100" i="15"/>
  <c r="L99" i="15"/>
  <c r="L98" i="16"/>
  <c r="J99" i="16"/>
  <c r="H100" i="15"/>
  <c r="H100" i="14"/>
  <c r="AJ101" i="16"/>
  <c r="AH102" i="16"/>
  <c r="AJ102" i="16" s="1"/>
  <c r="H100" i="16"/>
  <c r="H100" i="13"/>
  <c r="J101" i="13"/>
  <c r="L98" i="14"/>
  <c r="J99" i="14"/>
  <c r="H100" i="11"/>
  <c r="L99" i="11"/>
  <c r="W99" i="11" s="1"/>
  <c r="J99" i="12"/>
  <c r="L98" i="12"/>
  <c r="J99" i="9"/>
  <c r="L98" i="9"/>
  <c r="H99" i="10"/>
  <c r="H101" i="9"/>
  <c r="L98" i="10"/>
  <c r="W98" i="10" s="1"/>
  <c r="J99" i="10"/>
  <c r="J102" i="11"/>
  <c r="H100" i="12"/>
  <c r="H100" i="8"/>
  <c r="J100" i="8"/>
  <c r="L99" i="8"/>
  <c r="H101" i="7"/>
  <c r="J101" i="7"/>
  <c r="H100" i="6"/>
  <c r="J101" i="6"/>
  <c r="L100" i="6"/>
  <c r="Q99" i="4"/>
  <c r="G100" i="4"/>
  <c r="P99" i="4"/>
  <c r="AA99" i="4"/>
  <c r="Z99" i="4"/>
  <c r="U99" i="4"/>
  <c r="M99" i="4"/>
  <c r="X99" i="4" s="1"/>
  <c r="T99" i="4"/>
  <c r="N102" i="4"/>
  <c r="N101" i="4"/>
  <c r="H100" i="4"/>
  <c r="L99" i="4"/>
  <c r="W99" i="4" s="1"/>
  <c r="J102" i="4"/>
  <c r="J102" i="28" l="1"/>
  <c r="L102" i="28" s="1"/>
  <c r="L101" i="28"/>
  <c r="C102" i="27"/>
  <c r="D102" i="27"/>
  <c r="J102" i="24"/>
  <c r="L102" i="24" s="1"/>
  <c r="L101" i="24"/>
  <c r="L101" i="26"/>
  <c r="J102" i="26"/>
  <c r="L102" i="26" s="1"/>
  <c r="D102" i="26"/>
  <c r="C102" i="26"/>
  <c r="C102" i="24"/>
  <c r="D102" i="24"/>
  <c r="L102" i="27"/>
  <c r="J102" i="23"/>
  <c r="L101" i="23"/>
  <c r="D101" i="23"/>
  <c r="C101" i="23"/>
  <c r="H102" i="23"/>
  <c r="J102" i="22"/>
  <c r="L102" i="22" s="1"/>
  <c r="L101" i="22"/>
  <c r="C102" i="21"/>
  <c r="D102" i="21"/>
  <c r="J102" i="21"/>
  <c r="L102" i="21" s="1"/>
  <c r="L101" i="21"/>
  <c r="J102" i="20"/>
  <c r="L102" i="20" s="1"/>
  <c r="L101" i="20"/>
  <c r="C99" i="19"/>
  <c r="R99" i="19" s="1"/>
  <c r="Z99" i="19"/>
  <c r="AA99" i="19"/>
  <c r="D99" i="19"/>
  <c r="S99" i="19" s="1"/>
  <c r="O99" i="19"/>
  <c r="T99" i="19"/>
  <c r="P99" i="19"/>
  <c r="H101" i="19"/>
  <c r="M99" i="19"/>
  <c r="X99" i="19" s="1"/>
  <c r="L99" i="19"/>
  <c r="W99" i="19" s="1"/>
  <c r="G100" i="19"/>
  <c r="Q100" i="19" s="1"/>
  <c r="P100" i="19"/>
  <c r="J101" i="19"/>
  <c r="Q99" i="19"/>
  <c r="C100" i="14"/>
  <c r="D100" i="14"/>
  <c r="C100" i="16"/>
  <c r="D100" i="16"/>
  <c r="M98" i="7"/>
  <c r="X98" i="7" s="1"/>
  <c r="AA98" i="7"/>
  <c r="O98" i="7"/>
  <c r="L98" i="7"/>
  <c r="W98" i="7" s="1"/>
  <c r="U98" i="7"/>
  <c r="Q98" i="7"/>
  <c r="P98" i="7"/>
  <c r="G99" i="7"/>
  <c r="Z98" i="7"/>
  <c r="D98" i="7"/>
  <c r="S98" i="7" s="1"/>
  <c r="C98" i="7"/>
  <c r="R98" i="7" s="1"/>
  <c r="T98" i="7"/>
  <c r="AA100" i="18"/>
  <c r="AA100" i="11"/>
  <c r="M101" i="18"/>
  <c r="X101" i="18" s="1"/>
  <c r="U101" i="18"/>
  <c r="Q101" i="18"/>
  <c r="P101" i="18"/>
  <c r="Z101" i="18"/>
  <c r="C101" i="18"/>
  <c r="R101" i="18" s="1"/>
  <c r="D101" i="18"/>
  <c r="S101" i="18" s="1"/>
  <c r="N101" i="18"/>
  <c r="O101" i="18" s="1"/>
  <c r="T101" i="18"/>
  <c r="M99" i="13"/>
  <c r="X99" i="13" s="1"/>
  <c r="Q99" i="13"/>
  <c r="P99" i="13"/>
  <c r="G100" i="13"/>
  <c r="AA99" i="13"/>
  <c r="U99" i="13"/>
  <c r="Z99" i="13"/>
  <c r="D99" i="13"/>
  <c r="S99" i="13" s="1"/>
  <c r="C99" i="13"/>
  <c r="R99" i="13" s="1"/>
  <c r="T99" i="13"/>
  <c r="O99" i="13"/>
  <c r="L99" i="13"/>
  <c r="W99" i="13" s="1"/>
  <c r="M101" i="11"/>
  <c r="X101" i="11" s="1"/>
  <c r="U101" i="11"/>
  <c r="Z101" i="11"/>
  <c r="Q101" i="11"/>
  <c r="P101" i="11"/>
  <c r="G102" i="11"/>
  <c r="C101" i="11"/>
  <c r="R101" i="11" s="1"/>
  <c r="D101" i="11"/>
  <c r="S101" i="11" s="1"/>
  <c r="N101" i="11"/>
  <c r="O101" i="11" s="1"/>
  <c r="T101" i="11"/>
  <c r="N102" i="11"/>
  <c r="O102" i="11" s="1"/>
  <c r="M100" i="10"/>
  <c r="X100" i="10" s="1"/>
  <c r="Q100" i="10"/>
  <c r="P100" i="10"/>
  <c r="G101" i="10"/>
  <c r="U100" i="10"/>
  <c r="AA100" i="10"/>
  <c r="Z100" i="10"/>
  <c r="D100" i="10"/>
  <c r="S100" i="10" s="1"/>
  <c r="C100" i="10"/>
  <c r="R100" i="10" s="1"/>
  <c r="N101" i="10"/>
  <c r="O101" i="10" s="1"/>
  <c r="T101" i="10"/>
  <c r="E101" i="16"/>
  <c r="N101" i="16" s="1"/>
  <c r="E102" i="16"/>
  <c r="N102" i="16" s="1"/>
  <c r="D100" i="4"/>
  <c r="S100" i="4" s="1"/>
  <c r="C100" i="4"/>
  <c r="H101" i="18"/>
  <c r="J101" i="18"/>
  <c r="L100" i="18"/>
  <c r="W100" i="18" s="1"/>
  <c r="H101" i="17"/>
  <c r="J100" i="17"/>
  <c r="L99" i="17"/>
  <c r="H101" i="14"/>
  <c r="J100" i="14"/>
  <c r="L99" i="14"/>
  <c r="H101" i="15"/>
  <c r="H101" i="13"/>
  <c r="J100" i="16"/>
  <c r="L99" i="16"/>
  <c r="J102" i="13"/>
  <c r="H101" i="16"/>
  <c r="J101" i="15"/>
  <c r="L100" i="15"/>
  <c r="H100" i="10"/>
  <c r="L99" i="9"/>
  <c r="J100" i="9"/>
  <c r="H102" i="9"/>
  <c r="J100" i="12"/>
  <c r="L99" i="12"/>
  <c r="J100" i="10"/>
  <c r="L99" i="10"/>
  <c r="W99" i="10" s="1"/>
  <c r="H101" i="12"/>
  <c r="H101" i="11"/>
  <c r="L100" i="11"/>
  <c r="W100" i="11" s="1"/>
  <c r="J101" i="8"/>
  <c r="L100" i="8"/>
  <c r="H101" i="8"/>
  <c r="J102" i="7"/>
  <c r="H102" i="7"/>
  <c r="J102" i="6"/>
  <c r="H101" i="6"/>
  <c r="M100" i="4"/>
  <c r="X100" i="4" s="1"/>
  <c r="Q100" i="4"/>
  <c r="G101" i="4"/>
  <c r="P100" i="4"/>
  <c r="AA100" i="4"/>
  <c r="Z100" i="4"/>
  <c r="U100" i="4"/>
  <c r="T100" i="4"/>
  <c r="O100" i="4"/>
  <c r="R100" i="4"/>
  <c r="H101" i="4"/>
  <c r="L100" i="4"/>
  <c r="W100" i="4" s="1"/>
  <c r="C102" i="23" l="1"/>
  <c r="D102" i="23"/>
  <c r="L102" i="23"/>
  <c r="U100" i="19"/>
  <c r="M100" i="19"/>
  <c r="X100" i="19" s="1"/>
  <c r="L100" i="19"/>
  <c r="W100" i="19" s="1"/>
  <c r="G101" i="19"/>
  <c r="D101" i="19" s="1"/>
  <c r="S101" i="19" s="1"/>
  <c r="C101" i="19"/>
  <c r="R101" i="19" s="1"/>
  <c r="AA101" i="19"/>
  <c r="Z101" i="19"/>
  <c r="H102" i="19"/>
  <c r="Z100" i="19"/>
  <c r="AA100" i="19"/>
  <c r="Q101" i="19"/>
  <c r="P101" i="19"/>
  <c r="J102" i="19"/>
  <c r="U101" i="19"/>
  <c r="T101" i="19"/>
  <c r="O101" i="19"/>
  <c r="O100" i="19"/>
  <c r="C100" i="19"/>
  <c r="R100" i="19" s="1"/>
  <c r="T100" i="19"/>
  <c r="D100" i="19"/>
  <c r="S100" i="19" s="1"/>
  <c r="D101" i="14"/>
  <c r="C101" i="14"/>
  <c r="C101" i="16"/>
  <c r="D101" i="16"/>
  <c r="O99" i="7"/>
  <c r="L99" i="7"/>
  <c r="W99" i="7" s="1"/>
  <c r="D99" i="7"/>
  <c r="S99" i="7" s="1"/>
  <c r="AA99" i="7"/>
  <c r="Q99" i="7"/>
  <c r="M99" i="7"/>
  <c r="X99" i="7" s="1"/>
  <c r="P99" i="7"/>
  <c r="T99" i="7"/>
  <c r="G100" i="7"/>
  <c r="Z99" i="7"/>
  <c r="C99" i="7"/>
  <c r="R99" i="7" s="1"/>
  <c r="U99" i="7"/>
  <c r="AA101" i="18"/>
  <c r="D100" i="13"/>
  <c r="S100" i="13" s="1"/>
  <c r="Q100" i="13"/>
  <c r="P100" i="13"/>
  <c r="G101" i="13"/>
  <c r="AA100" i="13"/>
  <c r="Z100" i="13"/>
  <c r="U100" i="13"/>
  <c r="C100" i="13"/>
  <c r="R100" i="13" s="1"/>
  <c r="M100" i="13"/>
  <c r="X100" i="13" s="1"/>
  <c r="T100" i="13"/>
  <c r="O100" i="13"/>
  <c r="L100" i="13"/>
  <c r="W100" i="13" s="1"/>
  <c r="M102" i="11"/>
  <c r="X102" i="11" s="1"/>
  <c r="U102" i="11"/>
  <c r="Q102" i="11"/>
  <c r="P102" i="11"/>
  <c r="Z102" i="11"/>
  <c r="AA102" i="11"/>
  <c r="D102" i="11"/>
  <c r="S102" i="11" s="1"/>
  <c r="C102" i="11"/>
  <c r="R102" i="11" s="1"/>
  <c r="AA101" i="11"/>
  <c r="T102" i="11"/>
  <c r="M101" i="10"/>
  <c r="X101" i="10" s="1"/>
  <c r="Q101" i="10"/>
  <c r="P101" i="10"/>
  <c r="AA101" i="10"/>
  <c r="Z101" i="10"/>
  <c r="U101" i="10"/>
  <c r="D101" i="10"/>
  <c r="S101" i="10" s="1"/>
  <c r="C101" i="10"/>
  <c r="R101" i="10" s="1"/>
  <c r="D101" i="4"/>
  <c r="S101" i="4" s="1"/>
  <c r="C101" i="4"/>
  <c r="R101" i="4" s="1"/>
  <c r="J102" i="18"/>
  <c r="L101" i="18"/>
  <c r="W101" i="18" s="1"/>
  <c r="H102" i="18"/>
  <c r="J101" i="17"/>
  <c r="L100" i="17"/>
  <c r="H102" i="17"/>
  <c r="J101" i="16"/>
  <c r="L100" i="16"/>
  <c r="H102" i="15"/>
  <c r="H102" i="13"/>
  <c r="H102" i="16"/>
  <c r="L100" i="14"/>
  <c r="J101" i="14"/>
  <c r="J102" i="15"/>
  <c r="L102" i="15" s="1"/>
  <c r="L101" i="15"/>
  <c r="H102" i="14"/>
  <c r="L101" i="13"/>
  <c r="W101" i="13" s="1"/>
  <c r="J101" i="10"/>
  <c r="L100" i="10"/>
  <c r="W100" i="10" s="1"/>
  <c r="H102" i="12"/>
  <c r="H102" i="11"/>
  <c r="L101" i="11"/>
  <c r="W101" i="11" s="1"/>
  <c r="J101" i="12"/>
  <c r="L100" i="12"/>
  <c r="L100" i="9"/>
  <c r="J101" i="9"/>
  <c r="H101" i="10"/>
  <c r="H102" i="8"/>
  <c r="J102" i="8"/>
  <c r="L102" i="8" s="1"/>
  <c r="L101" i="8"/>
  <c r="H102" i="6"/>
  <c r="L102" i="6" s="1"/>
  <c r="L101" i="6"/>
  <c r="M101" i="4"/>
  <c r="X101" i="4" s="1"/>
  <c r="G102" i="4"/>
  <c r="P101" i="4"/>
  <c r="AA101" i="4"/>
  <c r="Z101" i="4"/>
  <c r="U101" i="4"/>
  <c r="Q101" i="4"/>
  <c r="T101" i="4"/>
  <c r="O101" i="4"/>
  <c r="H102" i="4"/>
  <c r="L101" i="4"/>
  <c r="W101" i="4" s="1"/>
  <c r="C102" i="19" l="1"/>
  <c r="AA102" i="19"/>
  <c r="Z102" i="19"/>
  <c r="D102" i="19"/>
  <c r="M101" i="19"/>
  <c r="X101" i="19" s="1"/>
  <c r="L101" i="19"/>
  <c r="W101" i="19" s="1"/>
  <c r="L102" i="19"/>
  <c r="D102" i="14"/>
  <c r="C102" i="14"/>
  <c r="C102" i="16"/>
  <c r="D102" i="16"/>
  <c r="L100" i="7"/>
  <c r="W100" i="7" s="1"/>
  <c r="AA100" i="7"/>
  <c r="U100" i="7"/>
  <c r="Q100" i="7"/>
  <c r="O100" i="7"/>
  <c r="P100" i="7"/>
  <c r="G101" i="7"/>
  <c r="T100" i="7"/>
  <c r="D100" i="7"/>
  <c r="S100" i="7" s="1"/>
  <c r="Z100" i="7"/>
  <c r="M100" i="7"/>
  <c r="X100" i="7" s="1"/>
  <c r="C100" i="7"/>
  <c r="R100" i="7" s="1"/>
  <c r="M101" i="13"/>
  <c r="X101" i="13" s="1"/>
  <c r="Q101" i="13"/>
  <c r="P101" i="13"/>
  <c r="AA101" i="13"/>
  <c r="Z101" i="13"/>
  <c r="U101" i="13"/>
  <c r="C101" i="13"/>
  <c r="R101" i="13" s="1"/>
  <c r="D101" i="13"/>
  <c r="S101" i="13" s="1"/>
  <c r="T101" i="13"/>
  <c r="O101" i="13"/>
  <c r="D102" i="4"/>
  <c r="S102" i="4" s="1"/>
  <c r="C102" i="4"/>
  <c r="R102" i="4" s="1"/>
  <c r="L102" i="18"/>
  <c r="J102" i="17"/>
  <c r="L102" i="17" s="1"/>
  <c r="L101" i="17"/>
  <c r="L102" i="13"/>
  <c r="J102" i="14"/>
  <c r="L102" i="14" s="1"/>
  <c r="L101" i="14"/>
  <c r="J102" i="16"/>
  <c r="L102" i="16" s="1"/>
  <c r="L101" i="16"/>
  <c r="J102" i="12"/>
  <c r="L102" i="12" s="1"/>
  <c r="L101" i="12"/>
  <c r="L102" i="11"/>
  <c r="W102" i="11" s="1"/>
  <c r="H102" i="10"/>
  <c r="J102" i="9"/>
  <c r="L102" i="9" s="1"/>
  <c r="L101" i="9"/>
  <c r="J102" i="10"/>
  <c r="L101" i="10"/>
  <c r="W101" i="10" s="1"/>
  <c r="M102" i="4"/>
  <c r="X102" i="4" s="1"/>
  <c r="AA102" i="4"/>
  <c r="Z102" i="4"/>
  <c r="Q102" i="4"/>
  <c r="P102" i="4"/>
  <c r="U102" i="4"/>
  <c r="T102" i="4"/>
  <c r="O102" i="4"/>
  <c r="L102" i="4"/>
  <c r="W102" i="4" s="1"/>
  <c r="O101" i="7" l="1"/>
  <c r="L101" i="7"/>
  <c r="W101" i="7" s="1"/>
  <c r="Z101" i="7"/>
  <c r="U101" i="7"/>
  <c r="D101" i="7"/>
  <c r="S101" i="7" s="1"/>
  <c r="C101" i="7"/>
  <c r="R101" i="7" s="1"/>
  <c r="T101" i="7"/>
  <c r="M101" i="7"/>
  <c r="X101" i="7" s="1"/>
  <c r="Q101" i="7"/>
  <c r="P101" i="7"/>
  <c r="AA101" i="7"/>
  <c r="G102" i="7"/>
  <c r="L102" i="10"/>
  <c r="L102" i="7" l="1"/>
  <c r="W102" i="7" s="1"/>
  <c r="Q102" i="7"/>
  <c r="P102" i="7"/>
  <c r="AA102" i="7"/>
  <c r="U102" i="7"/>
  <c r="Z102" i="7"/>
  <c r="C102" i="7"/>
  <c r="R102" i="7" s="1"/>
  <c r="M102" i="7"/>
  <c r="X102" i="7" s="1"/>
  <c r="D102" i="7"/>
  <c r="S102" i="7" s="1"/>
  <c r="T102" i="7"/>
  <c r="O102" i="7"/>
</calcChain>
</file>

<file path=xl/sharedStrings.xml><?xml version="1.0" encoding="utf-8"?>
<sst xmlns="http://schemas.openxmlformats.org/spreadsheetml/2006/main" count="15244" uniqueCount="769">
  <si>
    <t>itemCost,100000,</t>
  </si>
  <si>
    <t>augmentMasteryLevel1,2,</t>
  </si>
  <si>
    <t>BITMAP</t>
  </si>
  <si>
    <t>ItemCOST</t>
  </si>
  <si>
    <t>description</t>
  </si>
  <si>
    <t>text</t>
  </si>
  <si>
    <t>always include</t>
  </si>
  <si>
    <t>Skill upping</t>
  </si>
  <si>
    <t>skillname paste</t>
  </si>
  <si>
    <t>nums</t>
  </si>
  <si>
    <t>/playerclass01/_classtraining_class01.dbr</t>
  </si>
  <si>
    <t>/playerclass01/bladearc1.dbr</t>
  </si>
  <si>
    <t>/playerclass01/blitz1.dbr</t>
  </si>
  <si>
    <t>/playerclass01/cadence1.dbr</t>
  </si>
  <si>
    <t>/playerclass01/counterstrike1.dbr</t>
  </si>
  <si>
    <t>/playerclass01/fieldcommand1.dbr</t>
  </si>
  <si>
    <t>/playerclass01/fightingspirit1.dbr</t>
  </si>
  <si>
    <t>/playerclass01/overguard1.dbr</t>
  </si>
  <si>
    <t>/playerclass01/passive1.dbr</t>
  </si>
  <si>
    <t>/playerclass01/passiveshield.dbr</t>
  </si>
  <si>
    <t>/playerclass01/shieldhammer1.dbr</t>
  </si>
  <si>
    <t>/playerclass01/stancedefensive.dbr</t>
  </si>
  <si>
    <t>/playerclass01/stanceoffensive.dbr</t>
  </si>
  <si>
    <t>/playerclass01/warcry1.dbr</t>
  </si>
  <si>
    <t>augmentMasteryLevel1,1,</t>
  </si>
  <si>
    <t>augmentMasteryLevel1,3,</t>
  </si>
  <si>
    <t>neymer</t>
  </si>
  <si>
    <t>Soldier</t>
  </si>
  <si>
    <t>itemCost,300000,</t>
  </si>
  <si>
    <t>itemCost,600000,</t>
  </si>
  <si>
    <t>itemCost,500000,</t>
  </si>
  <si>
    <t>FILENAME</t>
  </si>
  <si>
    <t>FILEWEIGHT</t>
  </si>
  <si>
    <t>classdir</t>
  </si>
  <si>
    <t>class0001</t>
  </si>
  <si>
    <t>Copy into loottable</t>
  </si>
  <si>
    <t>.</t>
  </si>
  <si>
    <t>dailoneskill0001</t>
  </si>
  <si>
    <t>loottable</t>
  </si>
  <si>
    <t>relicBitmap,items/craftingparts/components/component_a52_bristlyfur_b.tex,</t>
  </si>
  <si>
    <t>ITEM TAGS</t>
  </si>
  <si>
    <t xml:space="preserve"> </t>
  </si>
  <si>
    <t>dail_base.dbr</t>
  </si>
  <si>
    <t>dail_base3.dbr</t>
  </si>
  <si>
    <t>Very special lookup table</t>
  </si>
  <si>
    <t>This component fits into all Jewellery slots including the Belt And Shoulder</t>
  </si>
  <si>
    <t>This component only fits into the Medal Slot</t>
  </si>
  <si>
    <t>Demolitionist</t>
  </si>
  <si>
    <t>dailoneskill0002</t>
  </si>
  <si>
    <t>class0002</t>
  </si>
  <si>
    <t>/playerclass02/blackwater1.dbr</t>
  </si>
  <si>
    <t>/playerclass02/blastshield1.dbr</t>
  </si>
  <si>
    <t>/playerclass02/canisterbomb1.dbr</t>
  </si>
  <si>
    <t>/playerclass02/flamestrike1.dbr</t>
  </si>
  <si>
    <t>/playerclass02/flashbang1.dbr</t>
  </si>
  <si>
    <t>/playerclass02/grenado1.dbr</t>
  </si>
  <si>
    <t>/playerclass02/mortartrap1.dbr</t>
  </si>
  <si>
    <t>/playerclass02/passive1.dbr</t>
  </si>
  <si>
    <t>/playerclass02/stunjacks1.dbr</t>
  </si>
  <si>
    <t>/playerclass02/thermitemines1.dbr</t>
  </si>
  <si>
    <t>/playerclass02/vindictiveflame1.dbr</t>
  </si>
  <si>
    <t>Which copy is it. 1 2 or 3</t>
  </si>
  <si>
    <t>count</t>
  </si>
  <si>
    <t>dailoneskill0003</t>
  </si>
  <si>
    <t>class0003</t>
  </si>
  <si>
    <t>Occultist</t>
  </si>
  <si>
    <t>Nightblade</t>
  </si>
  <si>
    <t>class0004</t>
  </si>
  <si>
    <t>dailoneskill0004</t>
  </si>
  <si>
    <t>dailoneskill0005</t>
  </si>
  <si>
    <t>class0005</t>
  </si>
  <si>
    <t>Arcanist</t>
  </si>
  <si>
    <t>class0006</t>
  </si>
  <si>
    <t>dailoneskill0006</t>
  </si>
  <si>
    <t>Shaman</t>
  </si>
  <si>
    <t>Necromancer</t>
  </si>
  <si>
    <t>class0007</t>
  </si>
  <si>
    <t>dailoneskill0007</t>
  </si>
  <si>
    <t>Ranger</t>
  </si>
  <si>
    <t>class0008</t>
  </si>
  <si>
    <t>dailoneskill0008</t>
  </si>
  <si>
    <t>Coronus</t>
  </si>
  <si>
    <t>class0009</t>
  </si>
  <si>
    <t>dailoneskill0009</t>
  </si>
  <si>
    <t>dailoneskill0010</t>
  </si>
  <si>
    <t>class0010</t>
  </si>
  <si>
    <t>Fangshi</t>
  </si>
  <si>
    <t>class0011</t>
  </si>
  <si>
    <t>dailoneskill0011</t>
  </si>
  <si>
    <t>Elementalist</t>
  </si>
  <si>
    <t>class0012</t>
  </si>
  <si>
    <t>dailoneskill0012</t>
  </si>
  <si>
    <t>class0013</t>
  </si>
  <si>
    <t>dailoneskill0013</t>
  </si>
  <si>
    <t>Enchanter</t>
  </si>
  <si>
    <t>class0026</t>
  </si>
  <si>
    <t>dailoneskill0026</t>
  </si>
  <si>
    <t>Cenobite</t>
  </si>
  <si>
    <t>class0028</t>
  </si>
  <si>
    <t>dailoneskill0028</t>
  </si>
  <si>
    <t>/playerclass03/_classtraining_class03.dbr</t>
  </si>
  <si>
    <t>/playerclass03/bloodofdreeg1.dbr</t>
  </si>
  <si>
    <t>/playerclass03/bondsofbysmiel1.dbr</t>
  </si>
  <si>
    <t>/playerclass03/curse1.dbr</t>
  </si>
  <si>
    <t>/playerclass03/doombolt1.dbr</t>
  </si>
  <si>
    <t>/playerclass03/evileye1.dbr</t>
  </si>
  <si>
    <t>/playerclass03/possession1.dbr</t>
  </si>
  <si>
    <t>/playerclass03/pox1.dbr</t>
  </si>
  <si>
    <t>/playerclass03/sigilofdestruction1.dbr</t>
  </si>
  <si>
    <t>/playerclass03/summon_hellhound1.dbr</t>
  </si>
  <si>
    <t>/playerclass03/summon_raven1.dbr</t>
  </si>
  <si>
    <t>/playerclass03/witchfire1.dbr</t>
  </si>
  <si>
    <t>/playerclass04/bladebarrier1.dbr</t>
  </si>
  <si>
    <t>/playerclass04/bladetrap1.dbr</t>
  </si>
  <si>
    <t>/playerclass04/eviscerate1.dbr</t>
  </si>
  <si>
    <t>/playerclass04/nightbladeenchant1.dbr</t>
  </si>
  <si>
    <t>/playerclass04/phantomblade.dbr</t>
  </si>
  <si>
    <t>/playerclass04/ringofsteel.dbr</t>
  </si>
  <si>
    <t>/playerclass04/shadowstrike.dbr</t>
  </si>
  <si>
    <t>/playerclass04/summon_bladespirit.dbr</t>
  </si>
  <si>
    <t>/playerclass04/veilofshadows1.dbr</t>
  </si>
  <si>
    <t>/playerclass04/wpattack1.dbr</t>
  </si>
  <si>
    <t>/playerclass04/wpattack2.dbr</t>
  </si>
  <si>
    <t>/playerclass04/wpattack3.dbr</t>
  </si>
  <si>
    <t>/playerclass04/wpattack4.dbr</t>
  </si>
  <si>
    <t>/playerclass04/wpattack5.dbr</t>
  </si>
  <si>
    <t>/playerclass05/_classtraining_class05.dbr</t>
  </si>
  <si>
    <t>/playerclass05/aetherray1.dbr</t>
  </si>
  <si>
    <t>/playerclass05/arcanemissile.dbr</t>
  </si>
  <si>
    <t>/playerclass05/arcaneshield.dbr</t>
  </si>
  <si>
    <t>/playerclass05/chillingsurge.dbr</t>
  </si>
  <si>
    <t>/playerclass05/devastation.dbr</t>
  </si>
  <si>
    <t>/playerclass05/elementalinfusion1.dbr</t>
  </si>
  <si>
    <t>/playerclass05/mindovermatter1.dbr</t>
  </si>
  <si>
    <t>/playerclass05/nullification.dbr</t>
  </si>
  <si>
    <t>/playerclass05/razorwind1.dbr</t>
  </si>
  <si>
    <t>/playerclass05/skyshard1.dbr</t>
  </si>
  <si>
    <t>/playerclass05/sphereofprotection1.dbr</t>
  </si>
  <si>
    <t>/playerclass06/_classtraining_class06.dbr</t>
  </si>
  <si>
    <t>/playerclass06/devouringswarm1.dbr</t>
  </si>
  <si>
    <t>/playerclass06/graspingvines1.dbr</t>
  </si>
  <si>
    <t>/playerclass06/natureblessing1.dbr</t>
  </si>
  <si>
    <t>/playerclass06/primalbond01.dbr</t>
  </si>
  <si>
    <t>/playerclass06/savagery1.dbr</t>
  </si>
  <si>
    <t>/playerclass06/savagestrike1.dbr</t>
  </si>
  <si>
    <t>/playerclass06/squall1.dbr</t>
  </si>
  <si>
    <t>/playerclass06/stormcaller1.dbr</t>
  </si>
  <si>
    <t>/playerclass06/stormtotem01.dbr</t>
  </si>
  <si>
    <t>/playerclass06/summon_briarthorn1.dbr</t>
  </si>
  <si>
    <t>/playerclass06/summon_manticore1.dbr</t>
  </si>
  <si>
    <t>/playerclass06/totem1.dbr</t>
  </si>
  <si>
    <t>/playerclass07/bonearmor.dbr</t>
  </si>
  <si>
    <t>/playerclass07/darkattack.dbr</t>
  </si>
  <si>
    <t>/playerclass07/ground.dbr</t>
  </si>
  <si>
    <t>/playerclass07/nec_boneshield.dbr</t>
  </si>
  <si>
    <t>/playerclass07/nec_dispel.dbr</t>
  </si>
  <si>
    <t>/playerclass07/nec_tel.dbr</t>
  </si>
  <si>
    <t>/playerclass07/summon_ske.dbr</t>
  </si>
  <si>
    <t>/playerclass07/summon_ske_abi.dbr</t>
  </si>
  <si>
    <t>/playerclass07/summon_ske_dy.dbr</t>
  </si>
  <si>
    <t>/playerclass07/summon_ske_tra.dbr</t>
  </si>
  <si>
    <t>/playerclass07/summon_ske_ut.dbr</t>
  </si>
  <si>
    <t>/playerclass07/ult.dbr</t>
  </si>
  <si>
    <t>/playerclass07/ult_tra.dbr</t>
  </si>
  <si>
    <t>/playerclass07/unmaking1.dbr</t>
  </si>
  <si>
    <t>/PlayerClassCoronus/_ClassTraining_ClassCoronus.dbr</t>
  </si>
  <si>
    <t>/playerclass08/_classtraining_class08.dbr</t>
  </si>
  <si>
    <t>/playerclass08/ammo_storm.dbr</t>
  </si>
  <si>
    <t>/playerclass08/coup_de_grace.dbr</t>
  </si>
  <si>
    <t>/playerclass08/coup_mod.dbr</t>
  </si>
  <si>
    <t>/playerclass08/coup_refre.dbr</t>
  </si>
  <si>
    <t>/playerclass08/cur_attack.dbr</t>
  </si>
  <si>
    <t>/playerclass08/mult_attack.dbr</t>
  </si>
  <si>
    <t>/playerclass08/p_attack.dbr</t>
  </si>
  <si>
    <t>/playerclass08/summon_hawk.dbr</t>
  </si>
  <si>
    <t>/playerclass08/windrunner.dbr</t>
  </si>
  <si>
    <t>/playerclass10/_classtraining_class10.dbr</t>
  </si>
  <si>
    <t>/playerclass10/breathefire.dbr</t>
  </si>
  <si>
    <t>/playerclass10/burning.dbr</t>
  </si>
  <si>
    <t>/playerclass10/earth_effect.dbr</t>
  </si>
  <si>
    <t>/playerclass10/icewall.dbr</t>
  </si>
  <si>
    <t>/playerclass10/mattack.dbr</t>
  </si>
  <si>
    <t>/playerclass10/rootglab.dbr</t>
  </si>
  <si>
    <t>/playerclass10/sakura.dbr</t>
  </si>
  <si>
    <t>/playerclass10/snow_rush.dbr</t>
  </si>
  <si>
    <t>/playerclass10/summonsword.dbr</t>
  </si>
  <si>
    <t>/playerclass10/sword_fall.dbr</t>
  </si>
  <si>
    <t>/playerclass10/ultearth.dbr</t>
  </si>
  <si>
    <t>/playerclass10/ultfire.dbr</t>
  </si>
  <si>
    <t>/playerclass10/ultgold.dbr</t>
  </si>
  <si>
    <t>/playerclass10/ultwater.dbr</t>
  </si>
  <si>
    <t>/playerclass10/ultwood.dbr</t>
  </si>
  <si>
    <t>/FrostKnightClass/_ClassTraining_FK.dbr</t>
  </si>
  <si>
    <t>/zenithclass02/_classtraining_class12.dbr</t>
  </si>
  <si>
    <t>/zenithclass02/affinity_fire.dbr</t>
  </si>
  <si>
    <t>/zenithclass02/affinity_lightning.dbr</t>
  </si>
  <si>
    <t>/zenithclass02/breathefire1.dbr</t>
  </si>
  <si>
    <t>/zenithclass02/chainlightning1.dbr</t>
  </si>
  <si>
    <t>/zenithclass02/elementalarmor.dbr</t>
  </si>
  <si>
    <t>/zenithclass02/elemental_flow.dbr</t>
  </si>
  <si>
    <t>/zenithclass02/firebolt1.dbr</t>
  </si>
  <si>
    <t>/zenithclass02/firegeyser.dbr</t>
  </si>
  <si>
    <t>/zenithclass02/flameenchant.dbr</t>
  </si>
  <si>
    <t>/zenithclass02/frostarmor.dbr</t>
  </si>
  <si>
    <t>/zenithclass02/icecitadel.dbr</t>
  </si>
  <si>
    <t>/zenithclass02/iceray1.dbr</t>
  </si>
  <si>
    <t>/zenithclass02/icewall1.dbr</t>
  </si>
  <si>
    <t>/zenithclass02/redsprite.dbr</t>
  </si>
  <si>
    <t>/zenithclass02/refuel.dbr</t>
  </si>
  <si>
    <t>/zenithclass02/stormcaller1.dbr</t>
  </si>
  <si>
    <t>/zenithclass02/stormrider1.dbr</t>
  </si>
  <si>
    <t>/zenithclass01/_classtraining_class13.dbr</t>
  </si>
  <si>
    <t>/zenithclass01/banish1.dbr</t>
  </si>
  <si>
    <t>/zenithclass01/bloodsiphon1.dbr</t>
  </si>
  <si>
    <t>/zenithclass01/charge1.dbr</t>
  </si>
  <si>
    <t>/zenithclass01/conquer1.dbr</t>
  </si>
  <si>
    <t>/zenithclass01/evocation.dbr</t>
  </si>
  <si>
    <t>/zenithclass01/fearpool1.dbr</t>
  </si>
  <si>
    <t>/zenithclass01/hands.dbr</t>
  </si>
  <si>
    <t>/zenithclass01/head.dbr</t>
  </si>
  <si>
    <t>/zenithclass01/legs.dbr</t>
  </si>
  <si>
    <t>/zenithclass01/madsoldier.dbr</t>
  </si>
  <si>
    <t>/zenithclass01/mania_buff.dbr</t>
  </si>
  <si>
    <t>/zenithclass01/suitup.dbr</t>
  </si>
  <si>
    <t>/zenithclass01/torso.dbr</t>
  </si>
  <si>
    <t>/zenithclass01/wp1.dbr</t>
  </si>
  <si>
    <t>/zenithclass01/wp2.dbr</t>
  </si>
  <si>
    <t>/zenithclass01/wp3.dbr</t>
  </si>
  <si>
    <t>/zenithclass02/affinity_cold.dbr</t>
  </si>
  <si>
    <t>/Enchanter/_ClassTraining_ENCH.dbr</t>
  </si>
  <si>
    <t>/playerclass28/_classtraining_class28.dbr</t>
  </si>
  <si>
    <t>/playerclass28/angel.dbr</t>
  </si>
  <si>
    <t>/playerclass28/hammer.dbr</t>
  </si>
  <si>
    <t>/playerclass28/healing.dbr</t>
  </si>
  <si>
    <t>/playerclass28/holy_spike.dbr</t>
  </si>
  <si>
    <t>/playerclass28/passive01.dbr</t>
  </si>
  <si>
    <t>/playerclass28/passive02.dbr</t>
  </si>
  <si>
    <t>/playerclass28/perfectdefend.dbr</t>
  </si>
  <si>
    <t>/playerclass28/punishment.dbr</t>
  </si>
  <si>
    <t>/playerclass28/ringofflame.dbr</t>
  </si>
  <si>
    <t>/playerclass28/shieldattack.dbr</t>
  </si>
  <si>
    <t>/playerclass28/shielddefense.dbr</t>
  </si>
  <si>
    <t>/playerclass28/shiled_tra.dbr</t>
  </si>
  <si>
    <t>/playerclass28/sunnyray_tra.dbr</t>
  </si>
  <si>
    <t>/playerclass28/sunray.dbr</t>
  </si>
  <si>
    <t>/playerclass04/veilofshadows2.dbr</t>
  </si>
  <si>
    <t>debug text</t>
  </si>
  <si>
    <t>/playerclass04/nightbladeenchant2.dbr</t>
  </si>
  <si>
    <t>/playerclass07/_classtraining_class07.dbr</t>
  </si>
  <si>
    <t>/playerclass01/passive4.dbr</t>
  </si>
  <si>
    <t>/playerclass01/shieldhammer1b.dbr</t>
  </si>
  <si>
    <t>/playerclass01/shieldhammer2.dbr</t>
  </si>
  <si>
    <t>/playerclass01/shieldhammer3.dbr</t>
  </si>
  <si>
    <t>/playerclass01/blitz2.dbr</t>
  </si>
  <si>
    <t>/playerclass01/bladearc1b.dbr</t>
  </si>
  <si>
    <t>/playerclass01/bladearc2.dbr</t>
  </si>
  <si>
    <t>/playerclass01/fieldcommand2.dbr</t>
  </si>
  <si>
    <t>/playerclass01/weaponpool1.dbr</t>
  </si>
  <si>
    <t>/playerclass01/weaponpool2.dbr</t>
  </si>
  <si>
    <t>/playerclass01/warcry1b.dbr</t>
  </si>
  <si>
    <t>/playerclass01/warcry2.dbr</t>
  </si>
  <si>
    <t>/playerclass01/cadence1b.dbr</t>
  </si>
  <si>
    <t>/playerclass01/willtolive1.dbr</t>
  </si>
  <si>
    <t>/playerclass01/cadence2.dbr</t>
  </si>
  <si>
    <t>/playerclass01/cadence3.dbr</t>
  </si>
  <si>
    <t>/playerclass01/passive2.dbr</t>
  </si>
  <si>
    <t>/playerclass01/passive3.dbr</t>
  </si>
  <si>
    <t>/playerclass02/stunjacks1b.dbr</t>
  </si>
  <si>
    <t>/playerclass02/stunjacks2.dbr</t>
  </si>
  <si>
    <t>/playerclass02/passive2.dbr</t>
  </si>
  <si>
    <t>/playerclass02/grenado2.dbr</t>
  </si>
  <si>
    <t>/playerclass02/grenado3.dbr</t>
  </si>
  <si>
    <t>/playerclass02/blackwater1b.dbr</t>
  </si>
  <si>
    <t>/playerclass02/blackwater2.dbr</t>
  </si>
  <si>
    <t>/playerclass02/blackwater3.dbr</t>
  </si>
  <si>
    <t>/playerclass02/mortartrap2_petmod.dbr</t>
  </si>
  <si>
    <t>/playerclass02/mortartrap3_petmod.dbr</t>
  </si>
  <si>
    <t>/playerclass02/canisterbomb1b.dbr</t>
  </si>
  <si>
    <t>/playerclass02/canisterbomb2.dbr</t>
  </si>
  <si>
    <t>/playerclass02/blastshield2.dbr</t>
  </si>
  <si>
    <t>/playerclass02/vindictiveflame2.dbr</t>
  </si>
  <si>
    <t>/playerclass02/thermitemines2_petmod.dbr</t>
  </si>
  <si>
    <t>/playerclass02/flashbang2.dbr</t>
  </si>
  <si>
    <t>/playerclass02/flamestrike2.dbr</t>
  </si>
  <si>
    <t>/playerclass02/flamestrike2b.dbr</t>
  </si>
  <si>
    <t>/playerclass02/flamestrike3.dbr</t>
  </si>
  <si>
    <t>/playerclass02/flamestrike4.dbr</t>
  </si>
  <si>
    <t>/playerclass03/witchfire1b.dbr</t>
  </si>
  <si>
    <t>/playerclass03/witchfire2.dbr</t>
  </si>
  <si>
    <t>/playerclass03/bloodofdreeg2.dbr</t>
  </si>
  <si>
    <t>/playerclass03/evileye2.dbr</t>
  </si>
  <si>
    <t>/playerclass03/evileye1b.dbr</t>
  </si>
  <si>
    <t>/playerclass03/evileye3.dbr</t>
  </si>
  <si>
    <t>/playerclass03/evileye4.dbr</t>
  </si>
  <si>
    <t>/playerclass03/sigilofdestruction2.dbr</t>
  </si>
  <si>
    <t>/playerclass03/pox1b.dbr</t>
  </si>
  <si>
    <t>/playerclass03/pox2.dbr</t>
  </si>
  <si>
    <t>/playerclass03/pox3.dbr</t>
  </si>
  <si>
    <t>/playerclass03/bondsofbysmiel2.dbr</t>
  </si>
  <si>
    <t>/playerclass03/summon_raven2_petmodifier.dbr</t>
  </si>
  <si>
    <t>/playerclass03/curse2.dbr</t>
  </si>
  <si>
    <t>/playerclass03/summon_raven3_petmodifier.dbr</t>
  </si>
  <si>
    <t>/playerclass03/summon_raven4_petmodifier.dbr</t>
  </si>
  <si>
    <t>/playerclass03/summon_hellhound2_petmodifier.dbr</t>
  </si>
  <si>
    <t>/playerclass03/summon_hellhound3_petmodifier.dbr</t>
  </si>
  <si>
    <t>/playerclass03/summon_hellhound4_petmodifier.dbr</t>
  </si>
  <si>
    <t>/playerclass04/passive1.dbr</t>
  </si>
  <si>
    <t>/playerclass04/passive2.dbr</t>
  </si>
  <si>
    <t>/playerclass04/passive3.dbr</t>
  </si>
  <si>
    <t>/playerclass04/eviscerate2.dbr</t>
  </si>
  <si>
    <t>/playerclass04/bladetrap2.dbr</t>
  </si>
  <si>
    <t>/playerclass04/nightbladeenchant1b.dbr</t>
  </si>
  <si>
    <t>/playerclass04/nightbladeenchant3.dbr</t>
  </si>
  <si>
    <t>/playerclass04/wpattack0.dbr</t>
  </si>
  <si>
    <t>/playerclass04/phantomblade_mod0.dbr</t>
  </si>
  <si>
    <t>/playerclass04/ringofsteel_mod0.dbr</t>
  </si>
  <si>
    <t>/playerclass04/ringofsteel_mod1.dbr</t>
  </si>
  <si>
    <t>/playerclass04/phantomblade_mod1.dbr</t>
  </si>
  <si>
    <t>/playerclass04/phantomblade_mod2.dbr</t>
  </si>
  <si>
    <t>/playerclass04/shadowstrike_mod1.dbr</t>
  </si>
  <si>
    <t>/playerclass04/shadowstrike_mod2.dbr</t>
  </si>
  <si>
    <t>/playerclass05/skyshard2.dbr</t>
  </si>
  <si>
    <t>/playerclass05/skyshard3.dbr</t>
  </si>
  <si>
    <t>/playerclass05/mindovermatter2.dbr</t>
  </si>
  <si>
    <t>/playerclass05/elementalinfusion2.dbr</t>
  </si>
  <si>
    <t>/playerclass05/elementalinfusion3.dbr</t>
  </si>
  <si>
    <t>/playerclass05/elementalinfusion1b.dbr</t>
  </si>
  <si>
    <t>/playerclass05/razorwind2.dbr</t>
  </si>
  <si>
    <t>/playerclass05/razorwind1b.dbr</t>
  </si>
  <si>
    <t>/playerclass05/arcanemissile2.dbr</t>
  </si>
  <si>
    <t>/playerclass05/arcanemissile3.dbr</t>
  </si>
  <si>
    <t>/playerclass05/arcanemissile4.dbr</t>
  </si>
  <si>
    <t>/playerclass05/chillingsurge2.dbr</t>
  </si>
  <si>
    <t>/playerclass05/aetherray2.dbr</t>
  </si>
  <si>
    <t>/playerclass05/aetherray1b.dbr</t>
  </si>
  <si>
    <t>/playerclass05/sphereofprotection2.dbr</t>
  </si>
  <si>
    <t>/playerclass05/passive01.dbr</t>
  </si>
  <si>
    <t>/playerclass05/passive02.dbr</t>
  </si>
  <si>
    <t>/playerclass05/passive03.dbr</t>
  </si>
  <si>
    <t>/playerclass05/passive04.dbr</t>
  </si>
  <si>
    <t>/playerclass06/naturesblessing2.dbr</t>
  </si>
  <si>
    <t>/playerclass06/naturesblessing3.dbr</t>
  </si>
  <si>
    <t>/playerclass06/summon_briarthorn2_petmodifier.dbr</t>
  </si>
  <si>
    <t>/playerclass06/summon_briarthorn3_petmodifier.dbr</t>
  </si>
  <si>
    <t>/playerclass06/totem2_petmodifier.dbr</t>
  </si>
  <si>
    <t>/playerclass06/squall2.dbr</t>
  </si>
  <si>
    <t>/playerclass06/squall3.dbr</t>
  </si>
  <si>
    <t>/playerclass06/passive01.dbr</t>
  </si>
  <si>
    <t>/playerclass06/weaponpool01.dbr</t>
  </si>
  <si>
    <t>/playerclass06/weaponpool02.dbr</t>
  </si>
  <si>
    <t>/playerclass06/stormtotem01b_petmodifier.dbr</t>
  </si>
  <si>
    <t>/playerclass06/savagery1b.dbr</t>
  </si>
  <si>
    <t>/playerclass06/graspingvines2.dbr</t>
  </si>
  <si>
    <t>/playerclass06/savagery2.dbr</t>
  </si>
  <si>
    <t>/playerclass06/savagery3.dbr</t>
  </si>
  <si>
    <t>/playerclass06/savagestrike1b.dbr</t>
  </si>
  <si>
    <t>/playerclass06/savagestrike3.dbr</t>
  </si>
  <si>
    <t>/playerclass06/savagestrike2.dbr</t>
  </si>
  <si>
    <t>/playerclass07/nec_boneshield_mod.dbr</t>
  </si>
  <si>
    <t>/playerclass07/darkattack2.dbr</t>
  </si>
  <si>
    <t>/playerclass07/darkattack3.dbr</t>
  </si>
  <si>
    <t>/playerclass07/darkattack_tra.dbr</t>
  </si>
  <si>
    <t>/playerclass07/unmaking2.dbr</t>
  </si>
  <si>
    <t>/playerclass07/unmaking3.dbr</t>
  </si>
  <si>
    <t>/playerclass07/passive01.dbr</t>
  </si>
  <si>
    <t>/playerclass07/passive02.dbr</t>
  </si>
  <si>
    <t>/playerclass07/passive03.dbr</t>
  </si>
  <si>
    <t>/playerclass07/passive04.dbr</t>
  </si>
  <si>
    <t>/playerclass07/nec_tel_mod.dbr</t>
  </si>
  <si>
    <t>/playerclass07/ground_mod.dbr</t>
  </si>
  <si>
    <t>/playerclass07/summon_death.dbr</t>
  </si>
  <si>
    <t>/playerclass07/nec_tel_mod2.dbr</t>
  </si>
  <si>
    <t>/playerclass07/nec_tel_tra.dbr</t>
  </si>
  <si>
    <t>/playerclass07/bonearmor_tra.dbr</t>
  </si>
  <si>
    <t>/playerclass07/bonearmor2.dbr</t>
  </si>
  <si>
    <t>/playerclass07/bonearmor3.dbr</t>
  </si>
  <si>
    <t>/playerclass08/passive4.dbr</t>
  </si>
  <si>
    <t>/playerclass08/windrunner_ut.dbr</t>
  </si>
  <si>
    <t>/playerclass08/windrunner_mod.dbr</t>
  </si>
  <si>
    <t>/playerclass08/ammo_storm_mod.dbr</t>
  </si>
  <si>
    <t>/playerclass08/ammo_storm_tra.dbr</t>
  </si>
  <si>
    <t>/playerclass08/avoid.dbr</t>
  </si>
  <si>
    <t>/playerclass08/coup_de_grace_mod.dbr</t>
  </si>
  <si>
    <t>/playerclass08/coup_refre_t.dbr</t>
  </si>
  <si>
    <t>/playerclass08/passive7.dbr</t>
  </si>
  <si>
    <t>/playerclass08/summon_hawk_mod2.dbr</t>
  </si>
  <si>
    <t>/playerclass08/summon_hawk_mod3.dbr</t>
  </si>
  <si>
    <t>/playerclass08/mutl_attack_add_buff.dbr</t>
  </si>
  <si>
    <t>/playerclass08/summon_hawk_mod.dbr</t>
  </si>
  <si>
    <t>/playerclass08/passive9.dbr</t>
  </si>
  <si>
    <t>/playerclass08/passive8.dbr</t>
  </si>
  <si>
    <t>/playerclass08/pl_attack_tra.dbr</t>
  </si>
  <si>
    <t>/playerclass08/p_attack_mod.dbr</t>
  </si>
  <si>
    <t>/playerclass08/mutl_attack_tra.dbr</t>
  </si>
  <si>
    <t>/playerclass08/mult_attack_mod.dbr</t>
  </si>
  <si>
    <t>/playerclass08/mult_attack_mod2.dbr</t>
  </si>
  <si>
    <t>/playerclass08/passive1.dbr</t>
  </si>
  <si>
    <t>/playerclass08/passive2.dbr</t>
  </si>
  <si>
    <t>/playerclass08/passive3.dbr</t>
  </si>
  <si>
    <t>/playerclasscoronus/trouble1.dbr</t>
  </si>
  <si>
    <t>/playerclasscoronus/trouble2_petmodifier.dbr</t>
  </si>
  <si>
    <t>/playerclasscoronus/trouble3_petmodifier.dbr</t>
  </si>
  <si>
    <t>/playerclasscoronus/summon_abomination.dbr</t>
  </si>
  <si>
    <t>/playerclasscoronus/heal.dbr</t>
  </si>
  <si>
    <t>/playerclasscoronus/oadabuff1.dbr</t>
  </si>
  <si>
    <t>/playerclasscoronus/pinned1.dbr</t>
  </si>
  <si>
    <t>/playerclasscoronus/pinned2_petmodifier.dbr</t>
  </si>
  <si>
    <t>/playerclasscoronus/goetia.dbr</t>
  </si>
  <si>
    <t>/playerclasscoronus/grigori1.dbr</t>
  </si>
  <si>
    <t>/playerclasscoronus/grigori2_petmodifier.dbr</t>
  </si>
  <si>
    <t>/playerclasscoronus/grigori3_petmodifier.dbr</t>
  </si>
  <si>
    <t>/playerclasscoronus/grigori4_petmodifier.dbr</t>
  </si>
  <si>
    <t>/playerclasscoronus/grigori5_petmodifier.dbr</t>
  </si>
  <si>
    <t>/playerclasscoronus/buffh1.dbr</t>
  </si>
  <si>
    <t>/playerclasscoronus/buffe1.dbr</t>
  </si>
  <si>
    <t>/playerclasscoronus/icegrenade1.dbr</t>
  </si>
  <si>
    <t>/playerclasscoronus/icegrenade2.dbr</t>
  </si>
  <si>
    <t>/playerclass10/snow_rush_tra.dbr</t>
  </si>
  <si>
    <t>/playerclass10/snow_rush_mod1.dbr</t>
  </si>
  <si>
    <t>/playerclass10/snow_rush_mod3.dbr</t>
  </si>
  <si>
    <t>/playerclass10/rootglab_mod1.dbr</t>
  </si>
  <si>
    <t>/playerclass10/rootglab_t.dbr</t>
  </si>
  <si>
    <t>/playerclass10/rootglab_mod2.dbr</t>
  </si>
  <si>
    <t>/playerclass10/sakura_mod1.dbr</t>
  </si>
  <si>
    <t>/playerclass10/burning_mod2.dbr</t>
  </si>
  <si>
    <t>/playerclass10/burning_mod1.dbr</t>
  </si>
  <si>
    <t>/playerclass10/burning_tra.dbr</t>
  </si>
  <si>
    <t>/playerclass10/sword_fall_tra.dbr</t>
  </si>
  <si>
    <t>/playerclass10/earth_effect_tra.dbr</t>
  </si>
  <si>
    <t>/playerclass10/earth_effect_mod.dbr</t>
  </si>
  <si>
    <t>/playerclass10/passive.dbr</t>
  </si>
  <si>
    <t>/playerclass10/sword_fall_mod2.dbr</t>
  </si>
  <si>
    <t>/playerclass10/sword_fall_mod.dbr</t>
  </si>
  <si>
    <t>/playerclass10/icewall_tra_base.dbr</t>
  </si>
  <si>
    <t>/zenithclass02/firebolt2.dbr</t>
  </si>
  <si>
    <t>/zenithclass02/firebolt3.dbr</t>
  </si>
  <si>
    <t>/zenithclass02/chainlightning2.dbr</t>
  </si>
  <si>
    <t>/zenithclass02/iceray2.dbr</t>
  </si>
  <si>
    <t>/zenithclass02/breathefire2.dbr</t>
  </si>
  <si>
    <t>/zenithclass02/stormcaller2.dbr</t>
  </si>
  <si>
    <t>/zenithclass01/banish2.dbr</t>
  </si>
  <si>
    <t>/zenithclass01/banish3.dbr</t>
  </si>
  <si>
    <t>/zenithclass01/conquer2.dbr</t>
  </si>
  <si>
    <t>/zenithclass01/charge2.dbr</t>
  </si>
  <si>
    <t>/zenithclass01/charge3.dbr</t>
  </si>
  <si>
    <t>/zenithclass01/bloodsiphon2.dbr</t>
  </si>
  <si>
    <t>/zenithclass01/fearpool2.dbr</t>
  </si>
  <si>
    <t>/enchanter/wither.dbr</t>
  </si>
  <si>
    <t>/enchanter/wither_mod.dbr</t>
  </si>
  <si>
    <t>/enchanter/charmofflames.dbr</t>
  </si>
  <si>
    <t>/enchanter/charmofflames_mod.dbr</t>
  </si>
  <si>
    <t>/enchanter/timeslow.dbr</t>
  </si>
  <si>
    <t>/enchanter/healingsurge.dbr</t>
  </si>
  <si>
    <t>/enchanter/healingsurge_mod.dbr</t>
  </si>
  <si>
    <t>/enchanter/lifeveil.dbr</t>
  </si>
  <si>
    <t>/enchanter/charmofearth.dbr</t>
  </si>
  <si>
    <t>/enchanter/charmofearth_mod.dbr</t>
  </si>
  <si>
    <t>/enchanter/entropicbeam.dbr</t>
  </si>
  <si>
    <t>/enchanter/entropicbeam_mod.dbr</t>
  </si>
  <si>
    <t>/enchanter/beaconsummon.dbr</t>
  </si>
  <si>
    <t>/enchanter/naturalresilience.dbr</t>
  </si>
  <si>
    <t>/enchanter/concentration.dbr</t>
  </si>
  <si>
    <t>/enchanter/charmofwind.dbr</t>
  </si>
  <si>
    <t>/enchanter/charmofwind_mod.dbr</t>
  </si>
  <si>
    <t>/enchanter/charmofwater.dbr</t>
  </si>
  <si>
    <t>/enchanter/charmofwater_mod.dbr</t>
  </si>
  <si>
    <t>/enchanter/keeperoflife.dbr</t>
  </si>
  <si>
    <t>/enchanter/masterench.dbr</t>
  </si>
  <si>
    <t>/enchanter/touchoflife.dbr</t>
  </si>
  <si>
    <t>/enchanter/touchoflife_petmodifier.dbr</t>
  </si>
  <si>
    <t>/enchanter/resurgence.dbr</t>
  </si>
  <si>
    <t>/playerclass28/holy_spike_mod.dbr</t>
  </si>
  <si>
    <t>/playerclass28/passive02_mod.dbr</t>
  </si>
  <si>
    <t>/playerclass28/ringofflame_tra.dbr</t>
  </si>
  <si>
    <t>/playerclass28/ringofflame_mod.dbr</t>
  </si>
  <si>
    <t>/playerclass28/ringofflame_mod2.dbr</t>
  </si>
  <si>
    <t>/playerclass28/ringofflame_mod3.dbr</t>
  </si>
  <si>
    <t>/playerclass28/shieldattack_mod2.dbr</t>
  </si>
  <si>
    <t>/playerclass28/shieldattack_mod1.dbr</t>
  </si>
  <si>
    <t>/playerclass28/shieldattack_tra.dbr</t>
  </si>
  <si>
    <t>/playerclass28/shielddefense_01.dbr</t>
  </si>
  <si>
    <t>/playerclass28/hammer_tra.dbr</t>
  </si>
  <si>
    <t>/playerclass28/healing_mod1.dbr</t>
  </si>
  <si>
    <t>/playerclass28/healing_mod2.dbr</t>
  </si>
  <si>
    <t>/playerclass28/punishment_mod.dbr</t>
  </si>
  <si>
    <t>/playerclass28/hammer_mod1.dbr</t>
  </si>
  <si>
    <t>/playerclass28/hammer_mod2.dbr</t>
  </si>
  <si>
    <t>/playerclass28/sunray_mod1.dbr</t>
  </si>
  <si>
    <t>/playerclass28/sunray_mod2.dbr</t>
  </si>
  <si>
    <t>/playerclass04/_classtraining_class04.dbr</t>
  </si>
  <si>
    <t>/playerclass02/_classtraining_class02.dbr</t>
  </si>
  <si>
    <t>/FrostKnightClass/froststrike.dbr</t>
  </si>
  <si>
    <t>/FrostKnightClass/froststrike_transmuter01.dbr</t>
  </si>
  <si>
    <t>/FrostKnightClass/froststrike_fever.dbr</t>
  </si>
  <si>
    <t>/FrostKnightClass/froststrike_iceflows.dbr</t>
  </si>
  <si>
    <t>/FrostKnightClass/crushingwinds.dbr</t>
  </si>
  <si>
    <t>/FrostKnightClass/training.dbr</t>
  </si>
  <si>
    <t>/FrostKnightClass/frostborn.dbr</t>
  </si>
  <si>
    <t>/FrostKnightClass/harbinger.dbr</t>
  </si>
  <si>
    <t>/FrostKnightClass/frostbreath.dbr</t>
  </si>
  <si>
    <t>/FrostKnightClass/pathoffrost.dbr</t>
  </si>
  <si>
    <t>/FrostKnightClass/lethality.dbr</t>
  </si>
  <si>
    <t>/FrostKnightClass/glaciationwp.dbr</t>
  </si>
  <si>
    <t>/FrostKnightClass/glaciation_mod.dbr</t>
  </si>
  <si>
    <t>/FrostKnightClass/wintersgift.dbr</t>
  </si>
  <si>
    <t>/FrostKnightClass/wintersgift_mod.dbr</t>
  </si>
  <si>
    <t>/FrostKnightClass/coldblood.dbr</t>
  </si>
  <si>
    <t>/FrostKnightClass/heartofice.dbr</t>
  </si>
  <si>
    <t>/FrostKnightClass/coldsnap.dbr</t>
  </si>
  <si>
    <t>/FrostKnightClass/frostshell.dbr</t>
  </si>
  <si>
    <t>/FrostKnightClass/frostshell_mod.dbr</t>
  </si>
  <si>
    <t>/FrostKnightClass/frostaura.dbr</t>
  </si>
  <si>
    <t>/FrostKnightClass/frostaura_mod.dbr</t>
  </si>
  <si>
    <t>/FrostKnightClass/frostblast.dbr</t>
  </si>
  <si>
    <t>/FrostKnightClass/frostblast_transmuter.dbr</t>
  </si>
  <si>
    <t>/FrostKnightClass/frostblast_mod.dbr</t>
  </si>
  <si>
    <t>TerrorKnight</t>
  </si>
  <si>
    <t>FrostKnight</t>
  </si>
  <si>
    <t>Engineer</t>
  </si>
  <si>
    <t>class0027</t>
  </si>
  <si>
    <t>dailoneskill0027</t>
  </si>
  <si>
    <t>/PlayerClassEngineer/_ClassTraining_ClassEngineer.dbr</t>
  </si>
  <si>
    <t>/playerclassEngineer/shockshot3.dbr</t>
  </si>
  <si>
    <t>/playerclassEngineer/p_unarmedgadgetry.dbr</t>
  </si>
  <si>
    <t>/playerclassEngineer/summon_sentry.dbr</t>
  </si>
  <si>
    <t>/playerclassEngineer/p_sentrymastery.dbr</t>
  </si>
  <si>
    <t>/playerclassEngineer/imitatesentry.dbr</t>
  </si>
  <si>
    <t>/playerclassEngineer/cannonshot1.dbr</t>
  </si>
  <si>
    <t>/playerclassEngineer/cannonshot1b.dbr</t>
  </si>
  <si>
    <t>/playerclassEngineer/cannonshot2.dbr</t>
  </si>
  <si>
    <t>/playerclassEngineer/groundpound1.dbr</t>
  </si>
  <si>
    <t>/playerclassEngineer/groundpound2.dbr</t>
  </si>
  <si>
    <t>/playerclassEngineer/powerpalms1.dbr</t>
  </si>
  <si>
    <t>/playerclassEngineer/summon_safespacebot.dbr</t>
  </si>
  <si>
    <t>/playerclassEngineer/p_safespacemastery.dbr</t>
  </si>
  <si>
    <t>/playerclassEngineer/imitatesafespace.dbr</t>
  </si>
  <si>
    <t>/playerclassEngineer/intensefocus1.dbr</t>
  </si>
  <si>
    <t>/playerclassEngineer/p_prevailingpunches.dbr</t>
  </si>
  <si>
    <t>/playerclassEngineer/p_dirtydispatch.dbr</t>
  </si>
  <si>
    <t>/playerclassEngineer/summon_flamer.dbr</t>
  </si>
  <si>
    <t>/playerclassEngineer/p_flamermastery.dbr</t>
  </si>
  <si>
    <t>/playerclassEngineer/imitateflamer.dbr</t>
  </si>
  <si>
    <t>/playerclassEngineer/burstpunches1.dbr</t>
  </si>
  <si>
    <t>/playerclassEngineer/powerpalms1b.dbr</t>
  </si>
  <si>
    <t>/playerclassEngineer/burstpunches2.dbr</t>
  </si>
  <si>
    <t>/playerclassEngineer/burstpunches3.dbr</t>
  </si>
  <si>
    <t>/playerclassEngineer/ultimateengineer.dbr</t>
  </si>
  <si>
    <t>/playerclassEngineer/powerpalms1c.dbr</t>
  </si>
  <si>
    <t>/playerclassEngineer/powerpalms2.dbr</t>
  </si>
  <si>
    <t>/playerclassEngineer/powerpalms3.dbr</t>
  </si>
  <si>
    <t>/playerclassEngineer/shockshot1.dbr</t>
  </si>
  <si>
    <t>/playerclassEngineer/shockshot1b.dbr</t>
  </si>
  <si>
    <t>/playerclassEngineer/shockshot2.dbr</t>
  </si>
  <si>
    <t>class0016</t>
  </si>
  <si>
    <t>dailoneskill0016</t>
  </si>
  <si>
    <t>Warfare</t>
  </si>
  <si>
    <t>class0017</t>
  </si>
  <si>
    <t>dailoneskill0017</t>
  </si>
  <si>
    <t>class0018</t>
  </si>
  <si>
    <t>dailoneskill0018</t>
  </si>
  <si>
    <t>class0019</t>
  </si>
  <si>
    <t>dailoneskill0019</t>
  </si>
  <si>
    <t>class0020</t>
  </si>
  <si>
    <t>dailoneskill0021</t>
  </si>
  <si>
    <t>dailoneskill0020</t>
  </si>
  <si>
    <t>class0021</t>
  </si>
  <si>
    <t>class0022</t>
  </si>
  <si>
    <t>dailoneskill0022</t>
  </si>
  <si>
    <t>class0023</t>
  </si>
  <si>
    <t>dailoneskill0023</t>
  </si>
  <si>
    <t>class0024</t>
  </si>
  <si>
    <t>dailoneskill0024</t>
  </si>
  <si>
    <t>defense/defensivemastery.dbr,</t>
  </si>
  <si>
    <t>Defense</t>
  </si>
  <si>
    <t>defense/armorhandling.dbr,</t>
  </si>
  <si>
    <t>defense/adrenaline.dbr,</t>
  </si>
  <si>
    <t>defense/adrenaline_resilience.dbr,</t>
  </si>
  <si>
    <t>defense/adrenaline_defensivereaction.dbr,</t>
  </si>
  <si>
    <t>defense/rally.dbr,</t>
  </si>
  <si>
    <t>defense/rally_inspiration.dbr,</t>
  </si>
  <si>
    <t>defense/rally_defiance.dbr,</t>
  </si>
  <si>
    <t>defense/colossusform.dbr,</t>
  </si>
  <si>
    <t>defense/weaponpool_shieldsmash.dbr,</t>
  </si>
  <si>
    <t>defense/weaponpool_disable.dbr,</t>
  </si>
  <si>
    <t>defense/weaponpool_pulverize.dbr,</t>
  </si>
  <si>
    <t>defense/battleawareness.dbr,</t>
  </si>
  <si>
    <t>defense/battleawareness_focus.dbr,</t>
  </si>
  <si>
    <t>defense/battleawareness_ironwill.dbr,</t>
  </si>
  <si>
    <t>defense/quickrecovery.dbr,</t>
  </si>
  <si>
    <t>defense/batter.dbr,</t>
  </si>
  <si>
    <t>defense/batter_rendarmor.dbr,</t>
  </si>
  <si>
    <t>defense/shieldcharge.dbr,</t>
  </si>
  <si>
    <t>defense/shieldcharge_disruption.dbr,</t>
  </si>
  <si>
    <t>defense/concussiveblow.dbr,</t>
  </si>
  <si>
    <t>hunting/huntingmastery.dbr,</t>
  </si>
  <si>
    <t>Hunting</t>
  </si>
  <si>
    <t>hunting/woodlore.dbr,</t>
  </si>
  <si>
    <t>hunting/artofthehunt.dbr,</t>
  </si>
  <si>
    <t>hunting/artofthehunt_findcover.dbr,</t>
  </si>
  <si>
    <t>hunting/artofthehunt_trailblazing.dbr,</t>
  </si>
  <si>
    <t>hunting/ensnare.dbr,</t>
  </si>
  <si>
    <t>hunting/ensnare_barbednetting.dbr,</t>
  </si>
  <si>
    <t>hunting/callofthehunt.dbr,</t>
  </si>
  <si>
    <t>hunting/callofthehunt_cunning.dbr,</t>
  </si>
  <si>
    <t>hunting/herbalism.dbr,</t>
  </si>
  <si>
    <t>hunting/studyprey.dbr,</t>
  </si>
  <si>
    <t>hunting/studyprey_flushout.dbr,</t>
  </si>
  <si>
    <t>hunting/marksmanship.dbr,</t>
  </si>
  <si>
    <t>hunting/marksmanship_punctureshotarrows.dbr,</t>
  </si>
  <si>
    <t>hunting/marksmanship_scattershotarrows.dbr,</t>
  </si>
  <si>
    <t>hunting/weaponskill_gouge.dbr,</t>
  </si>
  <si>
    <t>hunting/weaponskill_volley.dbr,</t>
  </si>
  <si>
    <t>hunting/takedown.dbr,</t>
  </si>
  <si>
    <t>hunting/takedown_eviscerate.dbr,</t>
  </si>
  <si>
    <t>hunting/monsterlure.dbr,</t>
  </si>
  <si>
    <t>hunting/monsterlure_petmodifier_detonate.dbr,</t>
  </si>
  <si>
    <t>spirit/spiritmastery.dbr,</t>
  </si>
  <si>
    <t>Spirit</t>
  </si>
  <si>
    <t>spirit/visionofdeath.dbr,</t>
  </si>
  <si>
    <t>spirit/deathward.dbr,</t>
  </si>
  <si>
    <t>spirit/deathchillaura.dbr,</t>
  </si>
  <si>
    <t>spirit/deathchillaura_ravagesoftime.dbr,</t>
  </si>
  <si>
    <t>spirit/deathchillaura_necrosis.dbr,</t>
  </si>
  <si>
    <t>spirit/circleofpower.dbr,</t>
  </si>
  <si>
    <t>spirit/darkcovenant.dbr,</t>
  </si>
  <si>
    <t>spirit/darkcovenant_unearthlypower.dbr,</t>
  </si>
  <si>
    <t>spirit/lifedrain.dbr,</t>
  </si>
  <si>
    <t>spirit/lifedrain_cascade.dbr,</t>
  </si>
  <si>
    <t>spirit/outsidersummons.dbr,</t>
  </si>
  <si>
    <t>spirit/ternion.dbr,</t>
  </si>
  <si>
    <t>spirit/ternion_arcanelore.dbr,</t>
  </si>
  <si>
    <t>spirit/spiritward.dbr,</t>
  </si>
  <si>
    <t>spirit/spiritward_spiritbane.dbr,</t>
  </si>
  <si>
    <t>spirit/enslavespirit.dbr,</t>
  </si>
  <si>
    <t>spirit/wraithlordsummons.dbr,</t>
  </si>
  <si>
    <t>spirit/wraithlord_petmodifier_deathnova.dbr,</t>
  </si>
  <si>
    <t>spirit/wraithlord_petmodifier_wraithshell.dbr,</t>
  </si>
  <si>
    <t>spirit/wraithlord_petmodifier_arcaneblast.dbr,</t>
  </si>
  <si>
    <t>warfare/warfaremastery.dbr,</t>
  </si>
  <si>
    <t>warfare/weapontraining.dbr,</t>
  </si>
  <si>
    <t>warfare/warwind.dbr,</t>
  </si>
  <si>
    <t>warfare/warwind_lacerate.dbr,</t>
  </si>
  <si>
    <t>warfare/dodge attack.dbr,</t>
  </si>
  <si>
    <t>warfare/dualweapontraining.dbr,</t>
  </si>
  <si>
    <t>warfare/dualwieldtechnique_jumpslash.dbr,</t>
  </si>
  <si>
    <t>warfare/dualwieldtechnique_crosscut.dbr,</t>
  </si>
  <si>
    <t>warfare/dualwieldtechnique_tumult.dbr,</t>
  </si>
  <si>
    <t>warfare/onslaught.dbr,</t>
  </si>
  <si>
    <t>warfare/onslaught_ignorepain.dbr,</t>
  </si>
  <si>
    <t>warfare/onslaught_hamstring.dbr,</t>
  </si>
  <si>
    <t>warfare/onslaught_ardor.dbr,</t>
  </si>
  <si>
    <t>warfare/battlerage.dbr,</t>
  </si>
  <si>
    <t>warfare/battlerage_crushingblow.dbr,</t>
  </si>
  <si>
    <t>warfare/battlerage_counterattack.dbr,</t>
  </si>
  <si>
    <t>warfare/warhorn.dbr,</t>
  </si>
  <si>
    <t>warfare/warhorn_doomhorn.dbr,</t>
  </si>
  <si>
    <t>warfare/ancestralhorn.dbr,</t>
  </si>
  <si>
    <t>warfare/battlestandard.dbr,</t>
  </si>
  <si>
    <t>warfare/battlestandard_petmodifier_triumph.dbr,</t>
  </si>
  <si>
    <t>nature/naturemastery.dbr,</t>
  </si>
  <si>
    <t>Nature</t>
  </si>
  <si>
    <t>nature/regrowth.dbr,</t>
  </si>
  <si>
    <t>nature/regrowth_acceleratedgrowth.dbr,</t>
  </si>
  <si>
    <t>nature/regrowth_dissemination.dbr,</t>
  </si>
  <si>
    <t>nature/briarward.dbr,</t>
  </si>
  <si>
    <t>nature/briarward_petmodifier_stingingnettle.dbr,</t>
  </si>
  <si>
    <t>nature/briarward_sanctuary.dbr,</t>
  </si>
  <si>
    <t>nature/heartofoak.dbr,</t>
  </si>
  <si>
    <t>nature/heartofoak_tranquility.dbr,</t>
  </si>
  <si>
    <t>nature/heartofoak_permanence.dbr,</t>
  </si>
  <si>
    <t>nature/plague.dbr,</t>
  </si>
  <si>
    <t>nature/plague_fatigue.dbr,</t>
  </si>
  <si>
    <t>nature/plague_susceptibility.dbr,</t>
  </si>
  <si>
    <t>nature/wolfsummons.dbr,</t>
  </si>
  <si>
    <t>nature/wolf_petmodifer_maul.dbr,</t>
  </si>
  <si>
    <t>nature/wolf_petmodifer_survivalinstinct.dbr,</t>
  </si>
  <si>
    <t>nature/wolf_petmodifier_strengthofthepack.dbr,</t>
  </si>
  <si>
    <t>nature/sylvannymphsummons.dbr,</t>
  </si>
  <si>
    <t>nature/sylvannymph_petmodifier_overgrowth.dbr,</t>
  </si>
  <si>
    <t>nature/sylvannymph_petmodifier_nature'swrath.dbr,</t>
  </si>
  <si>
    <t>nature/renewal.dbr,</t>
  </si>
  <si>
    <t>stealth/stealthmastery.dbr,</t>
  </si>
  <si>
    <t>Rogue</t>
  </si>
  <si>
    <t>stealth/envenomweapon.dbr,</t>
  </si>
  <si>
    <t>stealth/envenomweapon_neurotoxin.dbr,</t>
  </si>
  <si>
    <t>stealth/toxindistillation.dbr,</t>
  </si>
  <si>
    <t>stealth/envenomweapon_delirium.dbr,</t>
  </si>
  <si>
    <t>stealth/calculatedstrike.dbr,</t>
  </si>
  <si>
    <t>stealth/calculatedstrike_luckyhit.dbr,</t>
  </si>
  <si>
    <t>stealth/openwound.dbr,</t>
  </si>
  <si>
    <t>stealth/anatomy.dbr,</t>
  </si>
  <si>
    <t>stealth/throwingknife.dbr,</t>
  </si>
  <si>
    <t>stealth/throwingknife_flurryofknives.dbr,</t>
  </si>
  <si>
    <t>stealth/bladehoning.dbr,</t>
  </si>
  <si>
    <t>stealth/lethalstrike.dbr,</t>
  </si>
  <si>
    <t>stealth/lethalstrike_mortalwound.dbr,</t>
  </si>
  <si>
    <t>stealth/poisongasbomb.dbr,</t>
  </si>
  <si>
    <t>stealth/poisongasbomb_shrapnel.dbr,</t>
  </si>
  <si>
    <t>stealth/disarmtraps.dbr,</t>
  </si>
  <si>
    <t>stealth/flashpowder.dbr,</t>
  </si>
  <si>
    <t>stealth/laytrap.dbr,</t>
  </si>
  <si>
    <t>stealth/laytrap_rapidconstruction.dbr,</t>
  </si>
  <si>
    <t>stealth/laytrap_petmodifier_multishotbolttrap.dbr,</t>
  </si>
  <si>
    <t>Earth</t>
  </si>
  <si>
    <t>earth/earthmastery.dbr,</t>
  </si>
  <si>
    <t>earth/volcanicorb.dbr,</t>
  </si>
  <si>
    <t>earth/volcanicorb_immolation.dbr,</t>
  </si>
  <si>
    <t>earth/volcanicorb_fragmentation.dbr,</t>
  </si>
  <si>
    <t>earth/volatility.dbr,</t>
  </si>
  <si>
    <t>earth/coredweller.dbr,</t>
  </si>
  <si>
    <t>earth/coredweller_petmodifier_innerfire.dbr,</t>
  </si>
  <si>
    <t>earth/coredweller_petmodifier_wildfire.dbr,</t>
  </si>
  <si>
    <t>earth/coredweller_petmodifier_metamorphosis.dbr,</t>
  </si>
  <si>
    <t>earth/flamesurge.dbr,</t>
  </si>
  <si>
    <t>earth/flamesurge_barrage.dbr,</t>
  </si>
  <si>
    <t>earth/flamesurge_flamearch.dbr,</t>
  </si>
  <si>
    <t>earth/heatshield.dbr,</t>
  </si>
  <si>
    <t>earth/fireenchantment.dbr,</t>
  </si>
  <si>
    <t>earth/fireenchantment_brimstone.dbr,</t>
  </si>
  <si>
    <t>earth/fireenchantment_stoneskin.dbr,</t>
  </si>
  <si>
    <t>earth/stoneformbuffself.dbr,</t>
  </si>
  <si>
    <t>earth/stoneform_moltenrock.dbr,</t>
  </si>
  <si>
    <t>earth/eruption.dbr,</t>
  </si>
  <si>
    <t>earth/ringofflame.dbr,</t>
  </si>
  <si>
    <t>earth/ringofflame_softenmetal.dbr,</t>
  </si>
  <si>
    <t>Storm</t>
  </si>
  <si>
    <t>storm/stormmastery.dbr,</t>
  </si>
  <si>
    <t>storm/iceshard.dbr,</t>
  </si>
  <si>
    <t>storm/iceshard_velocity.dbr,</t>
  </si>
  <si>
    <t>storm/iceshard_torrent.dbr,</t>
  </si>
  <si>
    <t>storm/lightningbolt.dbr,</t>
  </si>
  <si>
    <t>storm/lightningbolt_chainlightning.dbr,</t>
  </si>
  <si>
    <t>storm/freezingblast.dbr,</t>
  </si>
  <si>
    <t>storm/stormnimbus.dbr,</t>
  </si>
  <si>
    <t>storm/stormnimbus_heartoffrost.dbr,</t>
  </si>
  <si>
    <t>storm/stormnimbus_staticcharge.dbr,</t>
  </si>
  <si>
    <t>storm/energyshield.dbr,</t>
  </si>
  <si>
    <t>storm/energyshield_reflection.dbr,</t>
  </si>
  <si>
    <t>storm/squall.dbr,</t>
  </si>
  <si>
    <t>storm/squall_obscuredvisibility.dbr,</t>
  </si>
  <si>
    <t>storm/stormwispsummoning.dbr,</t>
  </si>
  <si>
    <t>storm/stormwisp_petmodifier_eyeofthestorm.dbr,</t>
  </si>
  <si>
    <t>storm/spellbreaker.dbr,</t>
  </si>
  <si>
    <t>storm/spellbreaker_spellshock.dbr,</t>
  </si>
  <si>
    <t>storm/stormsurge.dbr,</t>
  </si>
  <si>
    <t>storm/thunderball.dbr,</t>
  </si>
  <si>
    <t>storm/thunderball_concussiveblast.dbr,</t>
  </si>
  <si>
    <t>dream/dreammastery.dbr,</t>
  </si>
  <si>
    <t>Dream</t>
  </si>
  <si>
    <t>dream/tranceofconvalescence.dbr,</t>
  </si>
  <si>
    <t>dream/tranceofempathy.dbr,</t>
  </si>
  <si>
    <t>dream/tranceofwrath.dbr,</t>
  </si>
  <si>
    <t>dream/distortreality.dbr,</t>
  </si>
  <si>
    <t>dream/distortreality_temporalrift.dbr,</t>
  </si>
  <si>
    <t>dream/distortionwave.dbr,</t>
  </si>
  <si>
    <t>dream/distortionwave_chaoticresonance.dbr,</t>
  </si>
  <si>
    <t>dream/distortionwave_psionicimmolation.dbr,</t>
  </si>
  <si>
    <t>dream/psionictouch.dbr,</t>
  </si>
  <si>
    <t>dream/psionictouch_psionicburn.dbr,</t>
  </si>
  <si>
    <t>dream/distortionfield.dbr,</t>
  </si>
  <si>
    <t>dream/sandsofsleep.dbr,</t>
  </si>
  <si>
    <t>dream/nightmare.dbr,</t>
  </si>
  <si>
    <t>dream/nightmare_petmodifier_hypnoticgaze.dbr,</t>
  </si>
  <si>
    <t>dream/nightmare_petmodifier_mastermind.dbr,</t>
  </si>
  <si>
    <t>dream/luciddream.dbr,</t>
  </si>
  <si>
    <t>dream/luciddream_premonition.dbr,</t>
  </si>
  <si>
    <t>dream/luciddream_temporalflux.dbr,</t>
  </si>
  <si>
    <t>dream/phantomstrike.dbr,</t>
  </si>
  <si>
    <t>dream/phantomstrike_dreamstealer.dbr,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</si>
</sst>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48"/>
      <color rgb="FF000000"/>
      <name val="Calibri"/>
      <family val="2"/>
    </font>
  </fonts>
  <fills count="7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00FF9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C00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2">
    <xf numFmtId="0" fontId="0" fillId="0" borderId="0" xfId="0"/>
    <xf numFmtId="0" fontId="1" fillId="0" borderId="0" xfId="0" applyFont="1"/>
    <xf numFmtId="0" fontId="1" fillId="2" borderId="0" xfId="0" applyFont="1" applyFill="1"/>
    <xf numFmtId="0" fontId="0" fillId="2" borderId="0" xfId="0" applyFill="1"/>
    <xf numFmtId="0" fontId="1" fillId="3" borderId="0" xfId="0" applyFont="1" applyFill="1"/>
    <xf numFmtId="0" fontId="0" fillId="3" borderId="0" xfId="0" applyFill="1"/>
    <xf numFmtId="0" fontId="1" fillId="4" borderId="0" xfId="0" applyFont="1" applyFill="1"/>
    <xf numFmtId="0" fontId="0" fillId="4" borderId="0" xfId="0" quotePrefix="1" applyFill="1"/>
    <xf numFmtId="0" fontId="0" fillId="4" borderId="0" xfId="0" applyFill="1"/>
    <xf numFmtId="0" fontId="0" fillId="5" borderId="0" xfId="0" applyFill="1"/>
    <xf numFmtId="0" fontId="0" fillId="6" borderId="0" xfId="0" applyFill="1"/>
    <xf numFmtId="0" fontId="1" fillId="0" borderId="0" xfId="0" applyFont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Medium9"/>
  <colors>
    <mruColors>
      <color rgb="FF00FF9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theme" Target="theme/theme1.xml"/><Relationship Id="rId30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4</xdr:row>
          <xdr:rowOff>114300</xdr:rowOff>
        </xdr:from>
        <xdr:to>
          <xdr:col>14</xdr:col>
          <xdr:colOff>47625</xdr:colOff>
          <xdr:row>19</xdr:row>
          <xdr:rowOff>123825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82296" tIns="86868" rIns="82296" bIns="86868" anchor="ctr" upright="1"/>
            <a:lstStyle/>
            <a:p>
              <a:pPr algn="ctr" rtl="0">
                <a:defRPr sz="1000"/>
              </a:pPr>
              <a:r>
                <a:rPr lang="en-US" sz="4800" b="0" i="0" u="none" strike="noStrike" baseline="0">
                  <a:solidFill>
                    <a:srgbClr val="000000"/>
                  </a:solidFill>
                  <a:latin typeface="Calibri"/>
                </a:rPr>
                <a:t>PWN THE LOOT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1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2.bin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3.bin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4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5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6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tabColor rgb="FF00FF90"/>
  </sheetPr>
  <dimension ref="A1"/>
  <sheetViews>
    <sheetView tabSelected="1" workbookViewId="0">
      <selection activeCell="J3" sqref="J3"/>
    </sheetView>
  </sheetViews>
  <sheetFormatPr defaultRowHeight="15" x14ac:dyDescent="0.25"/>
  <sheetData>
    <row r="1" spans="1:1" x14ac:dyDescent="0.25">
      <c r="A1" t="s">
        <v>41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BIGREGBUTTON">
                <anchor moveWithCells="1" sizeWithCells="1">
                  <from>
                    <xdr:col>2</xdr:col>
                    <xdr:colOff>190500</xdr:colOff>
                    <xdr:row>4</xdr:row>
                    <xdr:rowOff>114300</xdr:rowOff>
                  </from>
                  <to>
                    <xdr:col>14</xdr:col>
                    <xdr:colOff>47625</xdr:colOff>
                    <xdr:row>19</xdr:row>
                    <xdr:rowOff>123825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L102"/>
  <sheetViews>
    <sheetView topLeftCell="M1" zoomScaleNormal="100" workbookViewId="0">
      <selection activeCell="U3" sqref="U3:U102"/>
    </sheetView>
  </sheetViews>
  <sheetFormatPr defaultRowHeight="15" x14ac:dyDescent="0.25"/>
  <cols>
    <col min="1" max="1" width="73.85546875" style="5" bestFit="1" customWidth="1"/>
    <col min="2" max="2" width="16.28515625" style="5" bestFit="1" customWidth="1"/>
    <col min="3" max="3" width="32.7109375" style="5" bestFit="1" customWidth="1"/>
    <col min="4" max="4" width="31.42578125" style="5" bestFit="1" customWidth="1"/>
    <col min="5" max="5" width="24.28515625" style="5" bestFit="1" customWidth="1"/>
    <col min="6" max="6" width="73.5703125" style="5" bestFit="1" customWidth="1"/>
    <col min="7" max="7" width="5.85546875" style="8" bestFit="1" customWidth="1"/>
    <col min="8" max="8" width="7.85546875" style="3" bestFit="1" customWidth="1"/>
    <col min="9" max="9" width="38.140625" style="3" bestFit="1" customWidth="1"/>
    <col min="10" max="10" width="9.140625" style="3" bestFit="1" customWidth="1"/>
    <col min="11" max="11" width="18.140625" style="3" customWidth="1"/>
    <col min="12" max="12" width="51.85546875" style="5" bestFit="1" customWidth="1"/>
    <col min="13" max="13" width="21.28515625" style="5" customWidth="1"/>
    <col min="15" max="15" width="10.5703125" customWidth="1"/>
    <col min="22" max="22" width="1.5703125" style="5" customWidth="1"/>
    <col min="23" max="23" width="9.5703125" customWidth="1"/>
    <col min="25" max="25" width="1.5703125" style="5" bestFit="1" customWidth="1"/>
    <col min="26" max="26" width="46.7109375" bestFit="1" customWidth="1"/>
    <col min="27" max="27" width="29.140625" customWidth="1"/>
    <col min="28" max="28" width="1.5703125" style="5" bestFit="1" customWidth="1"/>
    <col min="31" max="31" width="14.140625" bestFit="1" customWidth="1"/>
  </cols>
  <sheetData>
    <row r="1" spans="1:38" x14ac:dyDescent="0.25">
      <c r="G1" s="5"/>
      <c r="H1" s="5"/>
      <c r="I1" s="5"/>
      <c r="J1" s="5"/>
      <c r="K1" s="5"/>
      <c r="N1" s="5"/>
      <c r="O1" s="9"/>
      <c r="P1" s="9"/>
      <c r="Q1" s="9"/>
      <c r="R1" s="9"/>
      <c r="S1" s="9"/>
      <c r="T1" s="9"/>
      <c r="U1" s="9"/>
      <c r="W1" s="9"/>
      <c r="X1" s="9"/>
      <c r="Z1" s="9"/>
      <c r="AA1" s="9"/>
    </row>
    <row r="2" spans="1:38" x14ac:dyDescent="0.25">
      <c r="A2" s="4" t="s">
        <v>2</v>
      </c>
      <c r="B2" s="4" t="s">
        <v>3</v>
      </c>
      <c r="C2" s="4" t="s">
        <v>4</v>
      </c>
      <c r="D2" s="4" t="s">
        <v>5</v>
      </c>
      <c r="E2" s="4" t="s">
        <v>6</v>
      </c>
      <c r="F2" s="4" t="s">
        <v>7</v>
      </c>
      <c r="G2" s="6" t="s">
        <v>9</v>
      </c>
      <c r="H2" s="2" t="s">
        <v>26</v>
      </c>
      <c r="I2" s="2" t="s">
        <v>8</v>
      </c>
      <c r="J2" s="2" t="s">
        <v>33</v>
      </c>
      <c r="K2" s="2" t="s">
        <v>38</v>
      </c>
      <c r="L2" s="4" t="s">
        <v>31</v>
      </c>
      <c r="M2" s="4" t="s">
        <v>32</v>
      </c>
      <c r="O2" s="11" t="str">
        <f>"Copy from N to T Into the files named "&amp;H3&amp;G3&amp;" etc"</f>
        <v>Copy from N to T Into the files named Soldier1 etc</v>
      </c>
      <c r="P2" s="11"/>
      <c r="Q2" s="11"/>
      <c r="R2" s="11"/>
      <c r="S2" s="11"/>
      <c r="T2" s="11"/>
      <c r="U2" s="11"/>
      <c r="W2" s="1" t="s">
        <v>35</v>
      </c>
      <c r="Z2" s="1" t="s">
        <v>40</v>
      </c>
      <c r="AD2" t="s">
        <v>44</v>
      </c>
    </row>
    <row r="3" spans="1:38" x14ac:dyDescent="0.25">
      <c r="A3" s="5" t="s">
        <v>39</v>
      </c>
      <c r="B3" s="5" t="s">
        <v>0</v>
      </c>
      <c r="C3" s="5" t="str">
        <f t="shared" ref="C3:C19" si="0">"description,dailCompDesc"&amp;H3&amp;G3&amp;","</f>
        <v>description,dailCompDescSoldier1,</v>
      </c>
      <c r="D3" s="5" t="str">
        <f>"itemText,dailCompText"&amp;H3&amp;G3&amp;","</f>
        <v>itemText,dailCompTextSoldier1,</v>
      </c>
      <c r="E3" s="5" t="s">
        <v>24</v>
      </c>
      <c r="F3" s="5" t="str">
        <f>"augmentMasteryName1,records/skills"&amp;I3&amp;","</f>
        <v>augmentMasteryName1,records/skills/playerclass01/_classtraining_class01.dbr,</v>
      </c>
      <c r="G3" s="7">
        <f>IF(I3&lt;&gt;"",1,"")</f>
        <v>1</v>
      </c>
      <c r="H3" s="3" t="s">
        <v>27</v>
      </c>
      <c r="I3" s="3" t="s">
        <v>10</v>
      </c>
      <c r="J3" s="3" t="s">
        <v>34</v>
      </c>
      <c r="K3" s="3" t="s">
        <v>37</v>
      </c>
      <c r="L3" s="5" t="str">
        <f>"lootName"&amp;G3&amp;",DAIL/items/materia/"&amp;J3&amp;"/"&amp;H3&amp;G3&amp;".dbr"&amp;","</f>
        <v>lootName1,DAIL/items/materia/class0001/Soldier1.dbr,</v>
      </c>
      <c r="M3" s="5" t="str">
        <f>"lootWeight"&amp;G3&amp;",1,"</f>
        <v>lootWeight1,1,</v>
      </c>
      <c r="N3" t="str">
        <f>LEFT(RIGHT(E3,2),1)</f>
        <v>1</v>
      </c>
      <c r="O3" s="5" t="str">
        <f>IF(I3&lt;&gt;"","copy .\dail_base2.dbr .\items\materia\"&amp;J3&amp;"\"&amp;H3&amp;G3&amp;".dbr /y"&amp;"","")</f>
        <v>copy .\dail_base2.dbr .\items\materia\class0001\Soldier1.dbr /y</v>
      </c>
      <c r="P3" t="str">
        <f>IF($I3&lt;&gt;"","echo "&amp;A3&amp;" &gt;&gt; .\items\materia\"&amp;$J3&amp;"\"&amp;$H3&amp;$G3&amp;".dbr","")</f>
        <v>echo relicBitmap,items/craftingparts/components/component_a52_bristlyfur_b.tex, &gt;&gt; .\items\materia\class0001\Soldier1.dbr</v>
      </c>
      <c r="Q3" t="str">
        <f t="shared" ref="Q3:U3" si="1">IF($I3&lt;&gt;"","echo "&amp;B3&amp;" &gt;&gt; .\items\materia\"&amp;$J3&amp;"\"&amp;$H3&amp;$G3&amp;".dbr","")</f>
        <v>echo itemCost,100000, &gt;&gt; .\items\materia\class0001\Soldier1.dbr</v>
      </c>
      <c r="R3" t="str">
        <f t="shared" si="1"/>
        <v>echo description,dailCompDescSoldier1, &gt;&gt; .\items\materia\class0001\Soldier1.dbr</v>
      </c>
      <c r="S3" t="str">
        <f t="shared" si="1"/>
        <v>echo itemText,dailCompTextSoldier1, &gt;&gt; .\items\materia\class0001\Soldier1.dbr</v>
      </c>
      <c r="T3" t="str">
        <f t="shared" si="1"/>
        <v>echo augmentMasteryLevel1,1, &gt;&gt; .\items\materia\class0001\Soldier1.dbr</v>
      </c>
      <c r="U3" t="str">
        <f t="shared" si="1"/>
        <v>echo augmentMasteryName1,records/skills/playerclass01/_classtraining_class01.dbr, &gt;&gt; .\items\materia\class0001\Soldier1.dbr</v>
      </c>
      <c r="V3" s="5" t="s">
        <v>36</v>
      </c>
      <c r="W3" t="str">
        <f>IF($I3&lt;&gt;"","echo "&amp;L3&amp;" &gt;&gt; .\items\loottables\"&amp;$K3&amp;".dbr","")</f>
        <v>echo lootName1,DAIL/items/materia/class0001/Soldier1.dbr, &gt;&gt; .\items\loottables\dailoneskill0001.dbr</v>
      </c>
      <c r="X3" t="str">
        <f>IF($I3&lt;&gt;"","echo "&amp;M3&amp;" &gt;&gt; .\items\loottables\"&amp;$K3&amp;".dbr","")</f>
        <v>echo lootWeight1,1, &gt;&gt; .\items\loottables\dailoneskill0001.dbr</v>
      </c>
      <c r="Y3" s="5" t="s">
        <v>36</v>
      </c>
      <c r="Z3" s="10" t="str">
        <f>IF(I2&lt;&gt;""," dailCompDesc"&amp;H3&amp;G3&amp;"=^p"&amp;H3&amp;"'s Gift of DAIL","")</f>
        <v xml:space="preserve"> dailCompDescSoldier1=^pSoldier's Gift of DAIL</v>
      </c>
      <c r="AA3" s="10" t="str">
        <f>IF(I2&lt;&gt;"","dailCompText"&amp;H3&amp;G3&amp;"=^oThis feels warm to the touch, almost familiar ^w(This component fits into the amulet only)","")</f>
        <v>dailCompTextSoldier1=^oThis feels warm to the touch, almost familiar ^w(This component fits into the amulet only)</v>
      </c>
      <c r="AB3" s="5" t="s">
        <v>36</v>
      </c>
      <c r="AD3">
        <v>1</v>
      </c>
      <c r="AE3" t="s">
        <v>42</v>
      </c>
      <c r="AF3" t="s">
        <v>45</v>
      </c>
    </row>
    <row r="4" spans="1:38" x14ac:dyDescent="0.25">
      <c r="A4" s="5" t="s">
        <v>39</v>
      </c>
      <c r="B4" s="5" t="s">
        <v>28</v>
      </c>
      <c r="C4" s="5" t="str">
        <f t="shared" si="0"/>
        <v>description,dailCompDescSoldier2,</v>
      </c>
      <c r="D4" s="5" t="str">
        <f t="shared" ref="D4:D18" si="2">"itemText,dailCompText"&amp;H4&amp;G4&amp;","</f>
        <v>itemText,dailCompTextSoldier2,</v>
      </c>
      <c r="E4" s="5" t="s">
        <v>1</v>
      </c>
      <c r="F4" s="5" t="str">
        <f t="shared" ref="F4:F5" si="3">"augmentMasteryName1,records/skills"&amp;I4&amp;","</f>
        <v>augmentMasteryName1,records/skills/playerclass01/_classtraining_class01.dbr,</v>
      </c>
      <c r="G4" s="7">
        <f>IF(I4&lt;&gt;"",G3+1,"")</f>
        <v>2</v>
      </c>
      <c r="H4" s="8" t="str">
        <f>H3</f>
        <v>Soldier</v>
      </c>
      <c r="I4" s="3" t="s">
        <v>10</v>
      </c>
      <c r="J4" s="8" t="str">
        <f>J3</f>
        <v>class0001</v>
      </c>
      <c r="K4" s="8" t="str">
        <f>K3</f>
        <v>dailoneskill0001</v>
      </c>
      <c r="L4" s="5" t="str">
        <f t="shared" ref="L4:L67" si="4">"lootName"&amp;G4&amp;",DAIL/items/materia/"&amp;J4&amp;"/"&amp;H4&amp;G4&amp;".dbr"&amp;","</f>
        <v>lootName2,DAIL/items/materia/class0001/Soldier2.dbr,</v>
      </c>
      <c r="M4" s="5" t="str">
        <f t="shared" ref="M4:M67" si="5">"lootWeight"&amp;G4&amp;",1,"</f>
        <v>lootWeight2,1,</v>
      </c>
      <c r="N4" t="str">
        <f t="shared" ref="N4:N67" si="6">LEFT(RIGHT(E4,2),1)</f>
        <v>2</v>
      </c>
      <c r="O4" s="5" t="str">
        <f>IF(I4&lt;&gt;"","copy .\dail_base2.dbr .\items\materia\"&amp;J4&amp;"\"&amp;H4&amp;G4&amp;".dbr /y"&amp;"","")</f>
        <v>copy .\dail_base2.dbr .\items\materia\class0001\Soldier2.dbr /y</v>
      </c>
      <c r="P4" t="str">
        <f t="shared" ref="P4:P67" si="7">IF($I4&lt;&gt;"","echo "&amp;A4&amp;" &gt;&gt; .\items\materia\"&amp;$J4&amp;"\"&amp;$H4&amp;$G4&amp;".dbr","")</f>
        <v>echo relicBitmap,items/craftingparts/components/component_a52_bristlyfur_b.tex, &gt;&gt; .\items\materia\class0001\Soldier2.dbr</v>
      </c>
      <c r="Q4" t="str">
        <f t="shared" ref="Q4:Q67" si="8">IF($I4&lt;&gt;"","echo "&amp;B4&amp;" &gt;&gt; .\items\materia\"&amp;$J4&amp;"\"&amp;$H4&amp;$G4&amp;".dbr","")</f>
        <v>echo itemCost,300000, &gt;&gt; .\items\materia\class0001\Soldier2.dbr</v>
      </c>
      <c r="R4" t="str">
        <f t="shared" ref="R4:R67" si="9">IF($I4&lt;&gt;"","echo "&amp;C4&amp;" &gt;&gt; .\items\materia\"&amp;$J4&amp;"\"&amp;$H4&amp;$G4&amp;".dbr","")</f>
        <v>echo description,dailCompDescSoldier2, &gt;&gt; .\items\materia\class0001\Soldier2.dbr</v>
      </c>
      <c r="S4" t="str">
        <f t="shared" ref="S4:S67" si="10">IF($I4&lt;&gt;"","echo "&amp;D4&amp;" &gt;&gt; .\items\materia\"&amp;$J4&amp;"\"&amp;$H4&amp;$G4&amp;".dbr","")</f>
        <v>echo itemText,dailCompTextSoldier2, &gt;&gt; .\items\materia\class0001\Soldier2.dbr</v>
      </c>
      <c r="T4" t="str">
        <f t="shared" ref="T4:T67" si="11">IF($I4&lt;&gt;"","echo "&amp;E4&amp;" &gt;&gt; .\items\materia\"&amp;$J4&amp;"\"&amp;$H4&amp;$G4&amp;".dbr","")</f>
        <v>echo augmentMasteryLevel1,2, &gt;&gt; .\items\materia\class0001\Soldier2.dbr</v>
      </c>
      <c r="U4" t="str">
        <f t="shared" ref="U4:U67" si="12">IF($I4&lt;&gt;"","echo "&amp;F4&amp;" &gt;&gt; .\items\materia\"&amp;$J4&amp;"\"&amp;$H4&amp;$G4&amp;".dbr","")</f>
        <v>echo augmentMasteryName1,records/skills/playerclass01/_classtraining_class01.dbr, &gt;&gt; .\items\materia\class0001\Soldier2.dbr</v>
      </c>
      <c r="V4" s="5" t="s">
        <v>36</v>
      </c>
      <c r="W4" t="str">
        <f t="shared" ref="W4:W67" si="13">IF($I4&lt;&gt;"","echo "&amp;L4&amp;" &gt;&gt; .\items\loottables\"&amp;$K4&amp;".dbr","")</f>
        <v>echo lootName2,DAIL/items/materia/class0001/Soldier2.dbr, &gt;&gt; .\items\loottables\dailoneskill0001.dbr</v>
      </c>
      <c r="X4" t="str">
        <f t="shared" ref="X4:X67" si="14">IF($I4&lt;&gt;"","echo "&amp;M4&amp;" &gt;&gt; .\items\loottables\"&amp;$K4&amp;".dbr","")</f>
        <v>echo lootWeight2,1, &gt;&gt; .\items\loottables\dailoneskill0001.dbr</v>
      </c>
      <c r="Y4" s="5" t="s">
        <v>36</v>
      </c>
      <c r="Z4" s="10" t="str">
        <f t="shared" ref="Z4:Z67" si="15">IF(I3&lt;&gt;""," dailCompDesc"&amp;H4&amp;G4&amp;"=^p"&amp;H4&amp;"'s Gift of DAIL","")</f>
        <v xml:space="preserve"> dailCompDescSoldier2=^pSoldier's Gift of DAIL</v>
      </c>
      <c r="AA4" s="10" t="str">
        <f>IF(I3&lt;&gt;"","dailCompText"&amp;H4&amp;G4&amp;"=^oThis feels warm to the touch, almost familiar ^w(This component fits into the amulet only)","")</f>
        <v>dailCompTextSoldier2=^oThis feels warm to the touch, almost familiar ^w(This component fits into the amulet only)</v>
      </c>
      <c r="AB4" s="5" t="s">
        <v>36</v>
      </c>
      <c r="AD4">
        <v>3</v>
      </c>
      <c r="AE4" t="s">
        <v>43</v>
      </c>
      <c r="AF4" t="s">
        <v>46</v>
      </c>
    </row>
    <row r="5" spans="1:38" x14ac:dyDescent="0.25">
      <c r="A5" s="5" t="s">
        <v>39</v>
      </c>
      <c r="B5" s="5" t="s">
        <v>29</v>
      </c>
      <c r="C5" s="5" t="str">
        <f t="shared" si="0"/>
        <v>description,dailCompDescSoldier3,</v>
      </c>
      <c r="D5" s="5" t="str">
        <f t="shared" si="2"/>
        <v>itemText,dailCompTextSoldier3,</v>
      </c>
      <c r="E5" s="5" t="s">
        <v>25</v>
      </c>
      <c r="F5" s="5" t="str">
        <f t="shared" si="3"/>
        <v>augmentMasteryName1,records/skills/playerclass01/_classtraining_class01.dbr,</v>
      </c>
      <c r="G5" s="7">
        <f t="shared" ref="G5:G68" si="16">IF(I5&lt;&gt;"",G4+1,"")</f>
        <v>3</v>
      </c>
      <c r="H5" s="8" t="str">
        <f t="shared" ref="H5:H68" si="17">H4</f>
        <v>Soldier</v>
      </c>
      <c r="I5" s="3" t="s">
        <v>10</v>
      </c>
      <c r="J5" s="8" t="str">
        <f t="shared" ref="J5:K68" si="18">J4</f>
        <v>class0001</v>
      </c>
      <c r="K5" s="8" t="str">
        <f t="shared" si="18"/>
        <v>dailoneskill0001</v>
      </c>
      <c r="L5" s="5" t="str">
        <f t="shared" si="4"/>
        <v>lootName3,DAIL/items/materia/class0001/Soldier3.dbr,</v>
      </c>
      <c r="M5" s="5" t="str">
        <f t="shared" si="5"/>
        <v>lootWeight3,1,</v>
      </c>
      <c r="N5" t="str">
        <f t="shared" si="6"/>
        <v>3</v>
      </c>
      <c r="O5" s="5" t="str">
        <f>IF(I5&lt;&gt;"","copy .\dail_base2.dbr .\items\materia\"&amp;J5&amp;"\"&amp;H5&amp;G5&amp;".dbr /y"&amp;"","")</f>
        <v>copy .\dail_base2.dbr .\items\materia\class0001\Soldier3.dbr /y</v>
      </c>
      <c r="P5" t="str">
        <f t="shared" si="7"/>
        <v>echo relicBitmap,items/craftingparts/components/component_a52_bristlyfur_b.tex, &gt;&gt; .\items\materia\class0001\Soldier3.dbr</v>
      </c>
      <c r="Q5" t="str">
        <f t="shared" si="8"/>
        <v>echo itemCost,600000, &gt;&gt; .\items\materia\class0001\Soldier3.dbr</v>
      </c>
      <c r="R5" t="str">
        <f t="shared" si="9"/>
        <v>echo description,dailCompDescSoldier3, &gt;&gt; .\items\materia\class0001\Soldier3.dbr</v>
      </c>
      <c r="S5" t="str">
        <f t="shared" si="10"/>
        <v>echo itemText,dailCompTextSoldier3, &gt;&gt; .\items\materia\class0001\Soldier3.dbr</v>
      </c>
      <c r="T5" t="str">
        <f t="shared" si="11"/>
        <v>echo augmentMasteryLevel1,3, &gt;&gt; .\items\materia\class0001\Soldier3.dbr</v>
      </c>
      <c r="U5" t="str">
        <f t="shared" si="12"/>
        <v>echo augmentMasteryName1,records/skills/playerclass01/_classtraining_class01.dbr, &gt;&gt; .\items\materia\class0001\Soldier3.dbr</v>
      </c>
      <c r="V5" s="5" t="s">
        <v>36</v>
      </c>
      <c r="W5" t="str">
        <f t="shared" si="13"/>
        <v>echo lootName3,DAIL/items/materia/class0001/Soldier3.dbr, &gt;&gt; .\items\loottables\dailoneskill0001.dbr</v>
      </c>
      <c r="X5" t="str">
        <f t="shared" si="14"/>
        <v>echo lootWeight3,1, &gt;&gt; .\items\loottables\dailoneskill0001.dbr</v>
      </c>
      <c r="Y5" s="5" t="s">
        <v>36</v>
      </c>
      <c r="Z5" s="10" t="str">
        <f t="shared" si="15"/>
        <v xml:space="preserve"> dailCompDescSoldier3=^pSoldier's Gift of DAIL</v>
      </c>
      <c r="AA5" s="10" t="str">
        <f>IF(I4&lt;&gt;"","dailCompText"&amp;H5&amp;G5&amp;"=^oThis feels warm to the touch, almost familiar ^w(This component fits into the amulet only)","")</f>
        <v>dailCompTextSoldier3=^oThis feels warm to the touch, almost familiar ^w(This component fits into the amulet only)</v>
      </c>
      <c r="AB5" s="5" t="s">
        <v>36</v>
      </c>
      <c r="AD5">
        <v>5</v>
      </c>
      <c r="AE5" t="s">
        <v>43</v>
      </c>
      <c r="AF5" t="s">
        <v>46</v>
      </c>
      <c r="AI5" t="s">
        <v>61</v>
      </c>
    </row>
    <row r="6" spans="1:38" x14ac:dyDescent="0.25">
      <c r="A6" s="5" t="s">
        <v>39</v>
      </c>
      <c r="B6" s="5" t="s">
        <v>0</v>
      </c>
      <c r="C6" s="5" t="str">
        <f t="shared" si="0"/>
        <v>description,dailCompDescSoldier4,</v>
      </c>
      <c r="D6" s="5" t="str">
        <f t="shared" si="2"/>
        <v>itemText,dailCompTextSoldier4,</v>
      </c>
      <c r="E6" s="5" t="str">
        <f>"augmentSkillLevel1,"&amp;AJ6&amp;","</f>
        <v>augmentSkillLevel1,1,</v>
      </c>
      <c r="F6" s="5" t="str">
        <f>"augmentSkillName1,records/skills"&amp;I6&amp;","</f>
        <v>augmentSkillName1,records/skills/playerclass01/passive4.dbr,</v>
      </c>
      <c r="G6" s="7">
        <f t="shared" si="16"/>
        <v>4</v>
      </c>
      <c r="H6" s="8" t="str">
        <f t="shared" si="17"/>
        <v>Soldier</v>
      </c>
      <c r="I6" s="3" t="s">
        <v>249</v>
      </c>
      <c r="J6" s="8" t="str">
        <f t="shared" si="18"/>
        <v>class0001</v>
      </c>
      <c r="K6" s="8" t="str">
        <f t="shared" si="18"/>
        <v>dailoneskill0001</v>
      </c>
      <c r="L6" s="5" t="str">
        <f t="shared" si="4"/>
        <v>lootName4,DAIL/items/materia/class0001/Soldier4.dbr,</v>
      </c>
      <c r="M6" s="5" t="str">
        <f t="shared" si="5"/>
        <v>lootWeight4,1,</v>
      </c>
      <c r="N6" t="str">
        <f t="shared" si="6"/>
        <v>1</v>
      </c>
      <c r="O6" t="str">
        <f>IF(I6&lt;&gt;"","copy .\"&amp;VLOOKUP(VALUE(N6),$AD$3:$AF$5,2,FALSE)&amp;" .\items\materia\"&amp;J6&amp;"\"&amp;H6&amp;G6&amp;".dbr /y"&amp;"","")</f>
        <v>copy .\dail_base.dbr .\items\materia\class0001\Soldier4.dbr /y</v>
      </c>
      <c r="P6" t="str">
        <f t="shared" si="7"/>
        <v>echo relicBitmap,items/craftingparts/components/component_a52_bristlyfur_b.tex, &gt;&gt; .\items\materia\class0001\Soldier4.dbr</v>
      </c>
      <c r="Q6" t="str">
        <f t="shared" si="8"/>
        <v>echo itemCost,100000, &gt;&gt; .\items\materia\class0001\Soldier4.dbr</v>
      </c>
      <c r="R6" t="str">
        <f t="shared" si="9"/>
        <v>echo description,dailCompDescSoldier4, &gt;&gt; .\items\materia\class0001\Soldier4.dbr</v>
      </c>
      <c r="S6" t="str">
        <f t="shared" si="10"/>
        <v>echo itemText,dailCompTextSoldier4, &gt;&gt; .\items\materia\class0001\Soldier4.dbr</v>
      </c>
      <c r="T6" t="str">
        <f t="shared" si="11"/>
        <v>echo augmentSkillLevel1,1, &gt;&gt; .\items\materia\class0001\Soldier4.dbr</v>
      </c>
      <c r="U6" t="str">
        <f t="shared" si="12"/>
        <v>echo augmentSkillName1,records/skills/playerclass01/passive4.dbr, &gt;&gt; .\items\materia\class0001\Soldier4.dbr</v>
      </c>
      <c r="V6" s="5" t="s">
        <v>36</v>
      </c>
      <c r="W6" t="str">
        <f t="shared" si="13"/>
        <v>echo lootName4,DAIL/items/materia/class0001/Soldier4.dbr, &gt;&gt; .\items\loottables\dailoneskill0001.dbr</v>
      </c>
      <c r="X6" t="str">
        <f t="shared" si="14"/>
        <v>echo lootWeight4,1, &gt;&gt; .\items\loottables\dailoneskill0001.dbr</v>
      </c>
      <c r="Y6" s="5" t="s">
        <v>36</v>
      </c>
      <c r="Z6" t="str">
        <f t="shared" si="15"/>
        <v xml:space="preserve"> dailCompDescSoldier4=^pSoldier's Gift of DAIL</v>
      </c>
      <c r="AA6" t="str">
        <f>IF(I5&lt;&gt;"","dailCompText"&amp;H6&amp;G6&amp;"=^oThis feels warm to the touch, almost familiar ^w("&amp;VLOOKUP(VALUE(N6),$AD$3:$AF$5,3,FALSE)&amp;")","")</f>
        <v>dailCompTextSoldier4=^oThis feels warm to the touch, almost familiar ^w(This component fits into all Jewellery slots including the Belt And Shoulder)</v>
      </c>
      <c r="AB6" s="5" t="s">
        <v>36</v>
      </c>
      <c r="AH6">
        <v>1</v>
      </c>
      <c r="AI6">
        <f t="shared" ref="AI6:AI37" si="19">LEN(I6)</f>
        <v>27</v>
      </c>
      <c r="AJ6">
        <f>IF(AH6&lt;$AL$7,1,IF(AH6&lt;$AL$8,3,5))</f>
        <v>1</v>
      </c>
      <c r="AK6" s="1" t="s">
        <v>62</v>
      </c>
      <c r="AL6" s="1">
        <f>COUNTIF(AI:AI,"&gt;0")</f>
        <v>93</v>
      </c>
    </row>
    <row r="7" spans="1:38" x14ac:dyDescent="0.25">
      <c r="A7" s="5" t="s">
        <v>39</v>
      </c>
      <c r="B7" s="5" t="s">
        <v>0</v>
      </c>
      <c r="C7" s="5" t="str">
        <f t="shared" si="0"/>
        <v>description,dailCompDescSoldier5,</v>
      </c>
      <c r="D7" s="5" t="str">
        <f t="shared" si="2"/>
        <v>itemText,dailCompTextSoldier5,</v>
      </c>
      <c r="E7" s="5" t="str">
        <f t="shared" ref="E7:E70" si="20">"augmentSkillLevel1,"&amp;AJ7&amp;","</f>
        <v>augmentSkillLevel1,1,</v>
      </c>
      <c r="F7" s="5" t="str">
        <f t="shared" ref="F7:F70" si="21">"augmentSkillName1,records/skills"&amp;I7&amp;","</f>
        <v>augmentSkillName1,records/skills/playerclass01/shieldhammer1.dbr,</v>
      </c>
      <c r="G7" s="7">
        <f t="shared" si="16"/>
        <v>5</v>
      </c>
      <c r="H7" s="8" t="str">
        <f t="shared" si="17"/>
        <v>Soldier</v>
      </c>
      <c r="I7" s="3" t="s">
        <v>20</v>
      </c>
      <c r="J7" s="8" t="str">
        <f t="shared" si="18"/>
        <v>class0001</v>
      </c>
      <c r="K7" s="8" t="str">
        <f t="shared" si="18"/>
        <v>dailoneskill0001</v>
      </c>
      <c r="L7" s="5" t="str">
        <f t="shared" si="4"/>
        <v>lootName5,DAIL/items/materia/class0001/Soldier5.dbr,</v>
      </c>
      <c r="M7" s="5" t="str">
        <f t="shared" si="5"/>
        <v>lootWeight5,1,</v>
      </c>
      <c r="N7" t="str">
        <f t="shared" si="6"/>
        <v>1</v>
      </c>
      <c r="O7" t="str">
        <f t="shared" ref="O7:O70" si="22">IF(I7&lt;&gt;"","copy .\"&amp;VLOOKUP(VALUE(N7),$AD$3:$AF$5,2,FALSE)&amp;" .\items\materia\"&amp;J7&amp;"\"&amp;H7&amp;G7&amp;".dbr /y"&amp;"","")</f>
        <v>copy .\dail_base.dbr .\items\materia\class0001\Soldier5.dbr /y</v>
      </c>
      <c r="P7" t="str">
        <f t="shared" si="7"/>
        <v>echo relicBitmap,items/craftingparts/components/component_a52_bristlyfur_b.tex, &gt;&gt; .\items\materia\class0001\Soldier5.dbr</v>
      </c>
      <c r="Q7" t="str">
        <f t="shared" si="8"/>
        <v>echo itemCost,100000, &gt;&gt; .\items\materia\class0001\Soldier5.dbr</v>
      </c>
      <c r="R7" t="str">
        <f t="shared" si="9"/>
        <v>echo description,dailCompDescSoldier5, &gt;&gt; .\items\materia\class0001\Soldier5.dbr</v>
      </c>
      <c r="S7" t="str">
        <f t="shared" si="10"/>
        <v>echo itemText,dailCompTextSoldier5, &gt;&gt; .\items\materia\class0001\Soldier5.dbr</v>
      </c>
      <c r="T7" t="str">
        <f t="shared" si="11"/>
        <v>echo augmentSkillLevel1,1, &gt;&gt; .\items\materia\class0001\Soldier5.dbr</v>
      </c>
      <c r="U7" t="str">
        <f t="shared" si="12"/>
        <v>echo augmentSkillName1,records/skills/playerclass01/shieldhammer1.dbr, &gt;&gt; .\items\materia\class0001\Soldier5.dbr</v>
      </c>
      <c r="V7" s="5" t="s">
        <v>36</v>
      </c>
      <c r="W7" t="str">
        <f t="shared" si="13"/>
        <v>echo lootName5,DAIL/items/materia/class0001/Soldier5.dbr, &gt;&gt; .\items\loottables\dailoneskill0001.dbr</v>
      </c>
      <c r="X7" t="str">
        <f t="shared" si="14"/>
        <v>echo lootWeight5,1, &gt;&gt; .\items\loottables\dailoneskill0001.dbr</v>
      </c>
      <c r="Y7" s="5" t="s">
        <v>36</v>
      </c>
      <c r="Z7" t="str">
        <f t="shared" si="15"/>
        <v xml:space="preserve"> dailCompDescSoldier5=^pSoldier's Gift of DAIL</v>
      </c>
      <c r="AA7" t="str">
        <f t="shared" ref="AA7:AA70" si="23">IF(I6&lt;&gt;"","dailCompText"&amp;H7&amp;G7&amp;"=^oThis feels warm to the touch, almost familiar ^w("&amp;VLOOKUP(VALUE(N7),$AD$3:$AF$5,3,FALSE)&amp;")","")</f>
        <v>dailCompTextSoldier5=^oThis feels warm to the touch, almost familiar ^w(This component fits into all Jewellery slots including the Belt And Shoulder)</v>
      </c>
      <c r="AB7" s="5" t="s">
        <v>36</v>
      </c>
      <c r="AH7">
        <f>AH6+1</f>
        <v>2</v>
      </c>
      <c r="AI7">
        <f t="shared" si="19"/>
        <v>32</v>
      </c>
      <c r="AJ7">
        <f t="shared" ref="AJ7:AJ70" si="24">IF(AH7&lt;$AL$7,1,IF(AH7&lt;$AL$8,3,5))</f>
        <v>1</v>
      </c>
      <c r="AK7">
        <v>1</v>
      </c>
      <c r="AL7">
        <f>AL6/3</f>
        <v>31</v>
      </c>
    </row>
    <row r="8" spans="1:38" x14ac:dyDescent="0.25">
      <c r="A8" s="5" t="s">
        <v>39</v>
      </c>
      <c r="B8" s="5" t="s">
        <v>0</v>
      </c>
      <c r="C8" s="5" t="str">
        <f t="shared" si="0"/>
        <v>description,dailCompDescSoldier6,</v>
      </c>
      <c r="D8" s="5" t="str">
        <f t="shared" si="2"/>
        <v>itemText,dailCompTextSoldier6,</v>
      </c>
      <c r="E8" s="5" t="str">
        <f t="shared" si="20"/>
        <v>augmentSkillLevel1,1,</v>
      </c>
      <c r="F8" s="5" t="str">
        <f t="shared" si="21"/>
        <v>augmentSkillName1,records/skills/playerclass01/shieldhammer1b.dbr,</v>
      </c>
      <c r="G8" s="7">
        <f t="shared" si="16"/>
        <v>6</v>
      </c>
      <c r="H8" s="8" t="str">
        <f t="shared" si="17"/>
        <v>Soldier</v>
      </c>
      <c r="I8" s="3" t="s">
        <v>250</v>
      </c>
      <c r="J8" s="8" t="str">
        <f t="shared" si="18"/>
        <v>class0001</v>
      </c>
      <c r="K8" s="8" t="str">
        <f t="shared" si="18"/>
        <v>dailoneskill0001</v>
      </c>
      <c r="L8" s="5" t="str">
        <f t="shared" si="4"/>
        <v>lootName6,DAIL/items/materia/class0001/Soldier6.dbr,</v>
      </c>
      <c r="M8" s="5" t="str">
        <f t="shared" si="5"/>
        <v>lootWeight6,1,</v>
      </c>
      <c r="N8" t="str">
        <f t="shared" si="6"/>
        <v>1</v>
      </c>
      <c r="O8" t="str">
        <f t="shared" si="22"/>
        <v>copy .\dail_base.dbr .\items\materia\class0001\Soldier6.dbr /y</v>
      </c>
      <c r="P8" t="str">
        <f t="shared" si="7"/>
        <v>echo relicBitmap,items/craftingparts/components/component_a52_bristlyfur_b.tex, &gt;&gt; .\items\materia\class0001\Soldier6.dbr</v>
      </c>
      <c r="Q8" t="str">
        <f t="shared" si="8"/>
        <v>echo itemCost,100000, &gt;&gt; .\items\materia\class0001\Soldier6.dbr</v>
      </c>
      <c r="R8" t="str">
        <f t="shared" si="9"/>
        <v>echo description,dailCompDescSoldier6, &gt;&gt; .\items\materia\class0001\Soldier6.dbr</v>
      </c>
      <c r="S8" t="str">
        <f t="shared" si="10"/>
        <v>echo itemText,dailCompTextSoldier6, &gt;&gt; .\items\materia\class0001\Soldier6.dbr</v>
      </c>
      <c r="T8" t="str">
        <f t="shared" si="11"/>
        <v>echo augmentSkillLevel1,1, &gt;&gt; .\items\materia\class0001\Soldier6.dbr</v>
      </c>
      <c r="U8" t="str">
        <f t="shared" si="12"/>
        <v>echo augmentSkillName1,records/skills/playerclass01/shieldhammer1b.dbr, &gt;&gt; .\items\materia\class0001\Soldier6.dbr</v>
      </c>
      <c r="V8" s="5" t="s">
        <v>36</v>
      </c>
      <c r="W8" t="str">
        <f t="shared" si="13"/>
        <v>echo lootName6,DAIL/items/materia/class0001/Soldier6.dbr, &gt;&gt; .\items\loottables\dailoneskill0001.dbr</v>
      </c>
      <c r="X8" t="str">
        <f t="shared" si="14"/>
        <v>echo lootWeight6,1, &gt;&gt; .\items\loottables\dailoneskill0001.dbr</v>
      </c>
      <c r="Y8" s="5" t="s">
        <v>36</v>
      </c>
      <c r="Z8" t="str">
        <f t="shared" si="15"/>
        <v xml:space="preserve"> dailCompDescSoldier6=^pSoldier's Gift of DAIL</v>
      </c>
      <c r="AA8" t="str">
        <f t="shared" si="23"/>
        <v>dailCompTextSoldier6=^oThis feels warm to the touch, almost familiar ^w(This component fits into all Jewellery slots including the Belt And Shoulder)</v>
      </c>
      <c r="AB8" s="5" t="s">
        <v>36</v>
      </c>
      <c r="AH8">
        <f t="shared" ref="AH8:AH71" si="25">AH7+1</f>
        <v>3</v>
      </c>
      <c r="AI8">
        <f t="shared" si="19"/>
        <v>33</v>
      </c>
      <c r="AJ8">
        <f t="shared" si="24"/>
        <v>1</v>
      </c>
      <c r="AK8" s="1">
        <v>3</v>
      </c>
      <c r="AL8">
        <f>AL7*2</f>
        <v>62</v>
      </c>
    </row>
    <row r="9" spans="1:38" x14ac:dyDescent="0.25">
      <c r="A9" s="5" t="s">
        <v>39</v>
      </c>
      <c r="B9" s="5" t="s">
        <v>0</v>
      </c>
      <c r="C9" s="5" t="str">
        <f t="shared" si="0"/>
        <v>description,dailCompDescSoldier7,</v>
      </c>
      <c r="D9" s="5" t="str">
        <f t="shared" si="2"/>
        <v>itemText,dailCompTextSoldier7,</v>
      </c>
      <c r="E9" s="5" t="str">
        <f t="shared" si="20"/>
        <v>augmentSkillLevel1,1,</v>
      </c>
      <c r="F9" s="5" t="str">
        <f t="shared" si="21"/>
        <v>augmentSkillName1,records/skills/playerclass01/shieldhammer2.dbr,</v>
      </c>
      <c r="G9" s="7">
        <f t="shared" si="16"/>
        <v>7</v>
      </c>
      <c r="H9" s="8" t="str">
        <f t="shared" si="17"/>
        <v>Soldier</v>
      </c>
      <c r="I9" s="3" t="s">
        <v>251</v>
      </c>
      <c r="J9" s="8" t="str">
        <f t="shared" si="18"/>
        <v>class0001</v>
      </c>
      <c r="K9" s="8" t="str">
        <f t="shared" si="18"/>
        <v>dailoneskill0001</v>
      </c>
      <c r="L9" s="5" t="str">
        <f t="shared" si="4"/>
        <v>lootName7,DAIL/items/materia/class0001/Soldier7.dbr,</v>
      </c>
      <c r="M9" s="5" t="str">
        <f t="shared" si="5"/>
        <v>lootWeight7,1,</v>
      </c>
      <c r="N9" t="str">
        <f t="shared" si="6"/>
        <v>1</v>
      </c>
      <c r="O9" t="str">
        <f t="shared" si="22"/>
        <v>copy .\dail_base.dbr .\items\materia\class0001\Soldier7.dbr /y</v>
      </c>
      <c r="P9" t="str">
        <f t="shared" si="7"/>
        <v>echo relicBitmap,items/craftingparts/components/component_a52_bristlyfur_b.tex, &gt;&gt; .\items\materia\class0001\Soldier7.dbr</v>
      </c>
      <c r="Q9" t="str">
        <f t="shared" si="8"/>
        <v>echo itemCost,100000, &gt;&gt; .\items\materia\class0001\Soldier7.dbr</v>
      </c>
      <c r="R9" t="str">
        <f t="shared" si="9"/>
        <v>echo description,dailCompDescSoldier7, &gt;&gt; .\items\materia\class0001\Soldier7.dbr</v>
      </c>
      <c r="S9" t="str">
        <f t="shared" si="10"/>
        <v>echo itemText,dailCompTextSoldier7, &gt;&gt; .\items\materia\class0001\Soldier7.dbr</v>
      </c>
      <c r="T9" t="str">
        <f t="shared" si="11"/>
        <v>echo augmentSkillLevel1,1, &gt;&gt; .\items\materia\class0001\Soldier7.dbr</v>
      </c>
      <c r="U9" t="str">
        <f t="shared" si="12"/>
        <v>echo augmentSkillName1,records/skills/playerclass01/shieldhammer2.dbr, &gt;&gt; .\items\materia\class0001\Soldier7.dbr</v>
      </c>
      <c r="V9" s="5" t="s">
        <v>36</v>
      </c>
      <c r="W9" t="str">
        <f t="shared" si="13"/>
        <v>echo lootName7,DAIL/items/materia/class0001/Soldier7.dbr, &gt;&gt; .\items\loottables\dailoneskill0001.dbr</v>
      </c>
      <c r="X9" t="str">
        <f t="shared" si="14"/>
        <v>echo lootWeight7,1, &gt;&gt; .\items\loottables\dailoneskill0001.dbr</v>
      </c>
      <c r="Y9" s="5" t="s">
        <v>36</v>
      </c>
      <c r="Z9" t="str">
        <f t="shared" si="15"/>
        <v xml:space="preserve"> dailCompDescSoldier7=^pSoldier's Gift of DAIL</v>
      </c>
      <c r="AA9" t="str">
        <f t="shared" si="23"/>
        <v>dailCompTextSoldier7=^oThis feels warm to the touch, almost familiar ^w(This component fits into all Jewellery slots including the Belt And Shoulder)</v>
      </c>
      <c r="AB9" s="5" t="s">
        <v>36</v>
      </c>
      <c r="AH9">
        <f t="shared" si="25"/>
        <v>4</v>
      </c>
      <c r="AI9">
        <f t="shared" si="19"/>
        <v>32</v>
      </c>
      <c r="AJ9">
        <f t="shared" si="24"/>
        <v>1</v>
      </c>
      <c r="AK9" s="1">
        <v>5</v>
      </c>
      <c r="AL9">
        <f>AL6</f>
        <v>93</v>
      </c>
    </row>
    <row r="10" spans="1:38" x14ac:dyDescent="0.25">
      <c r="A10" s="5" t="s">
        <v>39</v>
      </c>
      <c r="B10" s="5" t="s">
        <v>0</v>
      </c>
      <c r="C10" s="5" t="str">
        <f t="shared" si="0"/>
        <v>description,dailCompDescSoldier8,</v>
      </c>
      <c r="D10" s="5" t="str">
        <f t="shared" si="2"/>
        <v>itemText,dailCompTextSoldier8,</v>
      </c>
      <c r="E10" s="5" t="str">
        <f t="shared" si="20"/>
        <v>augmentSkillLevel1,1,</v>
      </c>
      <c r="F10" s="5" t="str">
        <f t="shared" si="21"/>
        <v>augmentSkillName1,records/skills/playerclass01/shieldhammer3.dbr,</v>
      </c>
      <c r="G10" s="7">
        <f t="shared" si="16"/>
        <v>8</v>
      </c>
      <c r="H10" s="8" t="str">
        <f t="shared" si="17"/>
        <v>Soldier</v>
      </c>
      <c r="I10" s="3" t="s">
        <v>252</v>
      </c>
      <c r="J10" s="8" t="str">
        <f t="shared" si="18"/>
        <v>class0001</v>
      </c>
      <c r="K10" s="8" t="str">
        <f t="shared" si="18"/>
        <v>dailoneskill0001</v>
      </c>
      <c r="L10" s="5" t="str">
        <f t="shared" si="4"/>
        <v>lootName8,DAIL/items/materia/class0001/Soldier8.dbr,</v>
      </c>
      <c r="M10" s="5" t="str">
        <f t="shared" si="5"/>
        <v>lootWeight8,1,</v>
      </c>
      <c r="N10" t="str">
        <f t="shared" si="6"/>
        <v>1</v>
      </c>
      <c r="O10" t="str">
        <f t="shared" si="22"/>
        <v>copy .\dail_base.dbr .\items\materia\class0001\Soldier8.dbr /y</v>
      </c>
      <c r="P10" t="str">
        <f t="shared" si="7"/>
        <v>echo relicBitmap,items/craftingparts/components/component_a52_bristlyfur_b.tex, &gt;&gt; .\items\materia\class0001\Soldier8.dbr</v>
      </c>
      <c r="Q10" t="str">
        <f t="shared" si="8"/>
        <v>echo itemCost,100000, &gt;&gt; .\items\materia\class0001\Soldier8.dbr</v>
      </c>
      <c r="R10" t="str">
        <f t="shared" si="9"/>
        <v>echo description,dailCompDescSoldier8, &gt;&gt; .\items\materia\class0001\Soldier8.dbr</v>
      </c>
      <c r="S10" t="str">
        <f t="shared" si="10"/>
        <v>echo itemText,dailCompTextSoldier8, &gt;&gt; .\items\materia\class0001\Soldier8.dbr</v>
      </c>
      <c r="T10" t="str">
        <f t="shared" si="11"/>
        <v>echo augmentSkillLevel1,1, &gt;&gt; .\items\materia\class0001\Soldier8.dbr</v>
      </c>
      <c r="U10" t="str">
        <f t="shared" si="12"/>
        <v>echo augmentSkillName1,records/skills/playerclass01/shieldhammer3.dbr, &gt;&gt; .\items\materia\class0001\Soldier8.dbr</v>
      </c>
      <c r="V10" s="5" t="s">
        <v>36</v>
      </c>
      <c r="W10" t="str">
        <f t="shared" si="13"/>
        <v>echo lootName8,DAIL/items/materia/class0001/Soldier8.dbr, &gt;&gt; .\items\loottables\dailoneskill0001.dbr</v>
      </c>
      <c r="X10" t="str">
        <f t="shared" si="14"/>
        <v>echo lootWeight8,1, &gt;&gt; .\items\loottables\dailoneskill0001.dbr</v>
      </c>
      <c r="Y10" s="5" t="s">
        <v>36</v>
      </c>
      <c r="Z10" t="str">
        <f t="shared" si="15"/>
        <v xml:space="preserve"> dailCompDescSoldier8=^pSoldier's Gift of DAIL</v>
      </c>
      <c r="AA10" t="str">
        <f t="shared" si="23"/>
        <v>dailCompTextSoldier8=^oThis feels warm to the touch, almost familiar ^w(This component fits into all Jewellery slots including the Belt And Shoulder)</v>
      </c>
      <c r="AB10" s="5" t="s">
        <v>36</v>
      </c>
      <c r="AH10">
        <f t="shared" si="25"/>
        <v>5</v>
      </c>
      <c r="AI10">
        <f t="shared" si="19"/>
        <v>32</v>
      </c>
      <c r="AJ10">
        <f t="shared" si="24"/>
        <v>1</v>
      </c>
    </row>
    <row r="11" spans="1:38" x14ac:dyDescent="0.25">
      <c r="A11" s="5" t="s">
        <v>39</v>
      </c>
      <c r="B11" s="5" t="s">
        <v>0</v>
      </c>
      <c r="C11" s="5" t="str">
        <f t="shared" si="0"/>
        <v>description,dailCompDescSoldier9,</v>
      </c>
      <c r="D11" s="5" t="str">
        <f t="shared" si="2"/>
        <v>itemText,dailCompTextSoldier9,</v>
      </c>
      <c r="E11" s="5" t="str">
        <f t="shared" si="20"/>
        <v>augmentSkillLevel1,1,</v>
      </c>
      <c r="F11" s="5" t="str">
        <f t="shared" si="21"/>
        <v>augmentSkillName1,records/skills/playerclass01/blitz1.dbr,</v>
      </c>
      <c r="G11" s="7">
        <f t="shared" si="16"/>
        <v>9</v>
      </c>
      <c r="H11" s="8" t="str">
        <f t="shared" si="17"/>
        <v>Soldier</v>
      </c>
      <c r="I11" s="3" t="s">
        <v>12</v>
      </c>
      <c r="J11" s="8" t="str">
        <f t="shared" si="18"/>
        <v>class0001</v>
      </c>
      <c r="K11" s="8" t="str">
        <f t="shared" si="18"/>
        <v>dailoneskill0001</v>
      </c>
      <c r="L11" s="5" t="str">
        <f t="shared" si="4"/>
        <v>lootName9,DAIL/items/materia/class0001/Soldier9.dbr,</v>
      </c>
      <c r="M11" s="5" t="str">
        <f t="shared" si="5"/>
        <v>lootWeight9,1,</v>
      </c>
      <c r="N11" t="str">
        <f t="shared" si="6"/>
        <v>1</v>
      </c>
      <c r="O11" t="str">
        <f t="shared" si="22"/>
        <v>copy .\dail_base.dbr .\items\materia\class0001\Soldier9.dbr /y</v>
      </c>
      <c r="P11" t="str">
        <f t="shared" si="7"/>
        <v>echo relicBitmap,items/craftingparts/components/component_a52_bristlyfur_b.tex, &gt;&gt; .\items\materia\class0001\Soldier9.dbr</v>
      </c>
      <c r="Q11" t="str">
        <f t="shared" si="8"/>
        <v>echo itemCost,100000, &gt;&gt; .\items\materia\class0001\Soldier9.dbr</v>
      </c>
      <c r="R11" t="str">
        <f t="shared" si="9"/>
        <v>echo description,dailCompDescSoldier9, &gt;&gt; .\items\materia\class0001\Soldier9.dbr</v>
      </c>
      <c r="S11" t="str">
        <f t="shared" si="10"/>
        <v>echo itemText,dailCompTextSoldier9, &gt;&gt; .\items\materia\class0001\Soldier9.dbr</v>
      </c>
      <c r="T11" t="str">
        <f t="shared" si="11"/>
        <v>echo augmentSkillLevel1,1, &gt;&gt; .\items\materia\class0001\Soldier9.dbr</v>
      </c>
      <c r="U11" t="str">
        <f t="shared" si="12"/>
        <v>echo augmentSkillName1,records/skills/playerclass01/blitz1.dbr, &gt;&gt; .\items\materia\class0001\Soldier9.dbr</v>
      </c>
      <c r="V11" s="5" t="s">
        <v>36</v>
      </c>
      <c r="W11" t="str">
        <f t="shared" si="13"/>
        <v>echo lootName9,DAIL/items/materia/class0001/Soldier9.dbr, &gt;&gt; .\items\loottables\dailoneskill0001.dbr</v>
      </c>
      <c r="X11" t="str">
        <f t="shared" si="14"/>
        <v>echo lootWeight9,1, &gt;&gt; .\items\loottables\dailoneskill0001.dbr</v>
      </c>
      <c r="Y11" s="5" t="s">
        <v>36</v>
      </c>
      <c r="Z11" t="str">
        <f t="shared" si="15"/>
        <v xml:space="preserve"> dailCompDescSoldier9=^pSoldier's Gift of DAIL</v>
      </c>
      <c r="AA11" t="str">
        <f t="shared" si="23"/>
        <v>dailCompTextSoldier9=^oThis feels warm to the touch, almost familiar ^w(This component fits into all Jewellery slots including the Belt And Shoulder)</v>
      </c>
      <c r="AB11" s="5" t="s">
        <v>36</v>
      </c>
      <c r="AH11">
        <f t="shared" si="25"/>
        <v>6</v>
      </c>
      <c r="AI11">
        <f t="shared" si="19"/>
        <v>25</v>
      </c>
      <c r="AJ11">
        <f t="shared" si="24"/>
        <v>1</v>
      </c>
    </row>
    <row r="12" spans="1:38" x14ac:dyDescent="0.25">
      <c r="A12" s="5" t="s">
        <v>39</v>
      </c>
      <c r="B12" s="5" t="s">
        <v>0</v>
      </c>
      <c r="C12" s="5" t="str">
        <f t="shared" si="0"/>
        <v>description,dailCompDescSoldier10,</v>
      </c>
      <c r="D12" s="5" t="str">
        <f t="shared" si="2"/>
        <v>itemText,dailCompTextSoldier10,</v>
      </c>
      <c r="E12" s="5" t="str">
        <f t="shared" si="20"/>
        <v>augmentSkillLevel1,1,</v>
      </c>
      <c r="F12" s="5" t="str">
        <f t="shared" si="21"/>
        <v>augmentSkillName1,records/skills/playerclass01/blitz2.dbr,</v>
      </c>
      <c r="G12" s="7">
        <f t="shared" si="16"/>
        <v>10</v>
      </c>
      <c r="H12" s="8" t="str">
        <f t="shared" si="17"/>
        <v>Soldier</v>
      </c>
      <c r="I12" s="3" t="s">
        <v>253</v>
      </c>
      <c r="J12" s="8" t="str">
        <f t="shared" si="18"/>
        <v>class0001</v>
      </c>
      <c r="K12" s="8" t="str">
        <f t="shared" si="18"/>
        <v>dailoneskill0001</v>
      </c>
      <c r="L12" s="5" t="str">
        <f t="shared" si="4"/>
        <v>lootName10,DAIL/items/materia/class0001/Soldier10.dbr,</v>
      </c>
      <c r="M12" s="5" t="str">
        <f t="shared" si="5"/>
        <v>lootWeight10,1,</v>
      </c>
      <c r="N12" t="str">
        <f t="shared" si="6"/>
        <v>1</v>
      </c>
      <c r="O12" t="str">
        <f t="shared" si="22"/>
        <v>copy .\dail_base.dbr .\items\materia\class0001\Soldier10.dbr /y</v>
      </c>
      <c r="P12" t="str">
        <f t="shared" si="7"/>
        <v>echo relicBitmap,items/craftingparts/components/component_a52_bristlyfur_b.tex, &gt;&gt; .\items\materia\class0001\Soldier10.dbr</v>
      </c>
      <c r="Q12" t="str">
        <f t="shared" si="8"/>
        <v>echo itemCost,100000, &gt;&gt; .\items\materia\class0001\Soldier10.dbr</v>
      </c>
      <c r="R12" t="str">
        <f t="shared" si="9"/>
        <v>echo description,dailCompDescSoldier10, &gt;&gt; .\items\materia\class0001\Soldier10.dbr</v>
      </c>
      <c r="S12" t="str">
        <f t="shared" si="10"/>
        <v>echo itemText,dailCompTextSoldier10, &gt;&gt; .\items\materia\class0001\Soldier10.dbr</v>
      </c>
      <c r="T12" t="str">
        <f t="shared" si="11"/>
        <v>echo augmentSkillLevel1,1, &gt;&gt; .\items\materia\class0001\Soldier10.dbr</v>
      </c>
      <c r="U12" t="str">
        <f t="shared" si="12"/>
        <v>echo augmentSkillName1,records/skills/playerclass01/blitz2.dbr, &gt;&gt; .\items\materia\class0001\Soldier10.dbr</v>
      </c>
      <c r="V12" s="5" t="s">
        <v>36</v>
      </c>
      <c r="W12" t="str">
        <f t="shared" si="13"/>
        <v>echo lootName10,DAIL/items/materia/class0001/Soldier10.dbr, &gt;&gt; .\items\loottables\dailoneskill0001.dbr</v>
      </c>
      <c r="X12" t="str">
        <f t="shared" si="14"/>
        <v>echo lootWeight10,1, &gt;&gt; .\items\loottables\dailoneskill0001.dbr</v>
      </c>
      <c r="Y12" s="5" t="s">
        <v>36</v>
      </c>
      <c r="Z12" t="str">
        <f t="shared" si="15"/>
        <v xml:space="preserve"> dailCompDescSoldier10=^pSoldier's Gift of DAIL</v>
      </c>
      <c r="AA12" t="str">
        <f t="shared" si="23"/>
        <v>dailCompTextSoldier10=^oThis feels warm to the touch, almost familiar ^w(This component fits into all Jewellery slots including the Belt And Shoulder)</v>
      </c>
      <c r="AB12" s="5" t="s">
        <v>36</v>
      </c>
      <c r="AH12">
        <f t="shared" si="25"/>
        <v>7</v>
      </c>
      <c r="AI12">
        <f t="shared" si="19"/>
        <v>25</v>
      </c>
      <c r="AJ12">
        <f t="shared" si="24"/>
        <v>1</v>
      </c>
    </row>
    <row r="13" spans="1:38" x14ac:dyDescent="0.25">
      <c r="A13" s="5" t="s">
        <v>39</v>
      </c>
      <c r="B13" s="5" t="s">
        <v>0</v>
      </c>
      <c r="C13" s="5" t="str">
        <f t="shared" si="0"/>
        <v>description,dailCompDescSoldier11,</v>
      </c>
      <c r="D13" s="5" t="str">
        <f t="shared" si="2"/>
        <v>itemText,dailCompTextSoldier11,</v>
      </c>
      <c r="E13" s="5" t="str">
        <f t="shared" si="20"/>
        <v>augmentSkillLevel1,1,</v>
      </c>
      <c r="F13" s="5" t="str">
        <f t="shared" si="21"/>
        <v>augmentSkillName1,records/skills/playerclass01/counterstrike1.dbr,</v>
      </c>
      <c r="G13" s="7">
        <f t="shared" si="16"/>
        <v>11</v>
      </c>
      <c r="H13" s="8" t="str">
        <f t="shared" si="17"/>
        <v>Soldier</v>
      </c>
      <c r="I13" s="3" t="s">
        <v>14</v>
      </c>
      <c r="J13" s="8" t="str">
        <f t="shared" si="18"/>
        <v>class0001</v>
      </c>
      <c r="K13" s="8" t="str">
        <f t="shared" si="18"/>
        <v>dailoneskill0001</v>
      </c>
      <c r="L13" s="5" t="str">
        <f t="shared" si="4"/>
        <v>lootName11,DAIL/items/materia/class0001/Soldier11.dbr,</v>
      </c>
      <c r="M13" s="5" t="str">
        <f t="shared" si="5"/>
        <v>lootWeight11,1,</v>
      </c>
      <c r="N13" t="str">
        <f t="shared" si="6"/>
        <v>1</v>
      </c>
      <c r="O13" t="str">
        <f t="shared" si="22"/>
        <v>copy .\dail_base.dbr .\items\materia\class0001\Soldier11.dbr /y</v>
      </c>
      <c r="P13" t="str">
        <f t="shared" si="7"/>
        <v>echo relicBitmap,items/craftingparts/components/component_a52_bristlyfur_b.tex, &gt;&gt; .\items\materia\class0001\Soldier11.dbr</v>
      </c>
      <c r="Q13" t="str">
        <f t="shared" si="8"/>
        <v>echo itemCost,100000, &gt;&gt; .\items\materia\class0001\Soldier11.dbr</v>
      </c>
      <c r="R13" t="str">
        <f t="shared" si="9"/>
        <v>echo description,dailCompDescSoldier11, &gt;&gt; .\items\materia\class0001\Soldier11.dbr</v>
      </c>
      <c r="S13" t="str">
        <f t="shared" si="10"/>
        <v>echo itemText,dailCompTextSoldier11, &gt;&gt; .\items\materia\class0001\Soldier11.dbr</v>
      </c>
      <c r="T13" t="str">
        <f t="shared" si="11"/>
        <v>echo augmentSkillLevel1,1, &gt;&gt; .\items\materia\class0001\Soldier11.dbr</v>
      </c>
      <c r="U13" t="str">
        <f t="shared" si="12"/>
        <v>echo augmentSkillName1,records/skills/playerclass01/counterstrike1.dbr, &gt;&gt; .\items\materia\class0001\Soldier11.dbr</v>
      </c>
      <c r="V13" s="5" t="s">
        <v>36</v>
      </c>
      <c r="W13" t="str">
        <f t="shared" si="13"/>
        <v>echo lootName11,DAIL/items/materia/class0001/Soldier11.dbr, &gt;&gt; .\items\loottables\dailoneskill0001.dbr</v>
      </c>
      <c r="X13" t="str">
        <f t="shared" si="14"/>
        <v>echo lootWeight11,1, &gt;&gt; .\items\loottables\dailoneskill0001.dbr</v>
      </c>
      <c r="Y13" s="5" t="s">
        <v>36</v>
      </c>
      <c r="Z13" t="str">
        <f t="shared" si="15"/>
        <v xml:space="preserve"> dailCompDescSoldier11=^pSoldier's Gift of DAIL</v>
      </c>
      <c r="AA13" t="str">
        <f t="shared" si="23"/>
        <v>dailCompTextSoldier11=^oThis feels warm to the touch, almost familiar ^w(This component fits into all Jewellery slots including the Belt And Shoulder)</v>
      </c>
      <c r="AB13" s="5" t="s">
        <v>36</v>
      </c>
      <c r="AH13">
        <f t="shared" si="25"/>
        <v>8</v>
      </c>
      <c r="AI13">
        <f t="shared" si="19"/>
        <v>33</v>
      </c>
      <c r="AJ13">
        <f t="shared" si="24"/>
        <v>1</v>
      </c>
    </row>
    <row r="14" spans="1:38" x14ac:dyDescent="0.25">
      <c r="A14" s="5" t="s">
        <v>39</v>
      </c>
      <c r="B14" s="5" t="s">
        <v>0</v>
      </c>
      <c r="C14" s="5" t="str">
        <f t="shared" si="0"/>
        <v>description,dailCompDescSoldier12,</v>
      </c>
      <c r="D14" s="5" t="str">
        <f t="shared" si="2"/>
        <v>itemText,dailCompTextSoldier12,</v>
      </c>
      <c r="E14" s="5" t="str">
        <f t="shared" si="20"/>
        <v>augmentSkillLevel1,1,</v>
      </c>
      <c r="F14" s="5" t="str">
        <f t="shared" si="21"/>
        <v>augmentSkillName1,records/skills/playerclass01/bladearc1.dbr,</v>
      </c>
      <c r="G14" s="7">
        <f t="shared" si="16"/>
        <v>12</v>
      </c>
      <c r="H14" s="8" t="str">
        <f t="shared" si="17"/>
        <v>Soldier</v>
      </c>
      <c r="I14" s="3" t="s">
        <v>11</v>
      </c>
      <c r="J14" s="8" t="str">
        <f t="shared" si="18"/>
        <v>class0001</v>
      </c>
      <c r="K14" s="8" t="str">
        <f t="shared" si="18"/>
        <v>dailoneskill0001</v>
      </c>
      <c r="L14" s="5" t="str">
        <f t="shared" si="4"/>
        <v>lootName12,DAIL/items/materia/class0001/Soldier12.dbr,</v>
      </c>
      <c r="M14" s="5" t="str">
        <f t="shared" si="5"/>
        <v>lootWeight12,1,</v>
      </c>
      <c r="N14" t="str">
        <f t="shared" si="6"/>
        <v>1</v>
      </c>
      <c r="O14" t="str">
        <f t="shared" si="22"/>
        <v>copy .\dail_base.dbr .\items\materia\class0001\Soldier12.dbr /y</v>
      </c>
      <c r="P14" t="str">
        <f t="shared" si="7"/>
        <v>echo relicBitmap,items/craftingparts/components/component_a52_bristlyfur_b.tex, &gt;&gt; .\items\materia\class0001\Soldier12.dbr</v>
      </c>
      <c r="Q14" t="str">
        <f t="shared" si="8"/>
        <v>echo itemCost,100000, &gt;&gt; .\items\materia\class0001\Soldier12.dbr</v>
      </c>
      <c r="R14" t="str">
        <f t="shared" si="9"/>
        <v>echo description,dailCompDescSoldier12, &gt;&gt; .\items\materia\class0001\Soldier12.dbr</v>
      </c>
      <c r="S14" t="str">
        <f t="shared" si="10"/>
        <v>echo itemText,dailCompTextSoldier12, &gt;&gt; .\items\materia\class0001\Soldier12.dbr</v>
      </c>
      <c r="T14" t="str">
        <f t="shared" si="11"/>
        <v>echo augmentSkillLevel1,1, &gt;&gt; .\items\materia\class0001\Soldier12.dbr</v>
      </c>
      <c r="U14" t="str">
        <f t="shared" si="12"/>
        <v>echo augmentSkillName1,records/skills/playerclass01/bladearc1.dbr, &gt;&gt; .\items\materia\class0001\Soldier12.dbr</v>
      </c>
      <c r="V14" s="5" t="s">
        <v>36</v>
      </c>
      <c r="W14" t="str">
        <f t="shared" si="13"/>
        <v>echo lootName12,DAIL/items/materia/class0001/Soldier12.dbr, &gt;&gt; .\items\loottables\dailoneskill0001.dbr</v>
      </c>
      <c r="X14" t="str">
        <f t="shared" si="14"/>
        <v>echo lootWeight12,1, &gt;&gt; .\items\loottables\dailoneskill0001.dbr</v>
      </c>
      <c r="Y14" s="5" t="s">
        <v>36</v>
      </c>
      <c r="Z14" t="str">
        <f t="shared" si="15"/>
        <v xml:space="preserve"> dailCompDescSoldier12=^pSoldier's Gift of DAIL</v>
      </c>
      <c r="AA14" t="str">
        <f t="shared" si="23"/>
        <v>dailCompTextSoldier12=^oThis feels warm to the touch, almost familiar ^w(This component fits into all Jewellery slots including the Belt And Shoulder)</v>
      </c>
      <c r="AB14" s="5" t="s">
        <v>36</v>
      </c>
      <c r="AH14">
        <f t="shared" si="25"/>
        <v>9</v>
      </c>
      <c r="AI14">
        <f t="shared" si="19"/>
        <v>28</v>
      </c>
      <c r="AJ14">
        <f t="shared" si="24"/>
        <v>1</v>
      </c>
    </row>
    <row r="15" spans="1:38" x14ac:dyDescent="0.25">
      <c r="A15" s="5" t="s">
        <v>39</v>
      </c>
      <c r="B15" s="5" t="s">
        <v>0</v>
      </c>
      <c r="C15" s="5" t="str">
        <f t="shared" si="0"/>
        <v>description,dailCompDescSoldier13,</v>
      </c>
      <c r="D15" s="5" t="str">
        <f t="shared" si="2"/>
        <v>itemText,dailCompTextSoldier13,</v>
      </c>
      <c r="E15" s="5" t="str">
        <f t="shared" si="20"/>
        <v>augmentSkillLevel1,1,</v>
      </c>
      <c r="F15" s="5" t="str">
        <f t="shared" si="21"/>
        <v>augmentSkillName1,records/skills/playerclass01/bladearc1b.dbr,</v>
      </c>
      <c r="G15" s="7">
        <f t="shared" si="16"/>
        <v>13</v>
      </c>
      <c r="H15" s="8" t="str">
        <f t="shared" si="17"/>
        <v>Soldier</v>
      </c>
      <c r="I15" s="3" t="s">
        <v>254</v>
      </c>
      <c r="J15" s="8" t="str">
        <f t="shared" si="18"/>
        <v>class0001</v>
      </c>
      <c r="K15" s="8" t="str">
        <f t="shared" si="18"/>
        <v>dailoneskill0001</v>
      </c>
      <c r="L15" s="5" t="str">
        <f t="shared" si="4"/>
        <v>lootName13,DAIL/items/materia/class0001/Soldier13.dbr,</v>
      </c>
      <c r="M15" s="5" t="str">
        <f t="shared" si="5"/>
        <v>lootWeight13,1,</v>
      </c>
      <c r="N15" t="str">
        <f t="shared" si="6"/>
        <v>1</v>
      </c>
      <c r="O15" t="str">
        <f t="shared" si="22"/>
        <v>copy .\dail_base.dbr .\items\materia\class0001\Soldier13.dbr /y</v>
      </c>
      <c r="P15" t="str">
        <f t="shared" si="7"/>
        <v>echo relicBitmap,items/craftingparts/components/component_a52_bristlyfur_b.tex, &gt;&gt; .\items\materia\class0001\Soldier13.dbr</v>
      </c>
      <c r="Q15" t="str">
        <f t="shared" si="8"/>
        <v>echo itemCost,100000, &gt;&gt; .\items\materia\class0001\Soldier13.dbr</v>
      </c>
      <c r="R15" t="str">
        <f t="shared" si="9"/>
        <v>echo description,dailCompDescSoldier13, &gt;&gt; .\items\materia\class0001\Soldier13.dbr</v>
      </c>
      <c r="S15" t="str">
        <f t="shared" si="10"/>
        <v>echo itemText,dailCompTextSoldier13, &gt;&gt; .\items\materia\class0001\Soldier13.dbr</v>
      </c>
      <c r="T15" t="str">
        <f t="shared" si="11"/>
        <v>echo augmentSkillLevel1,1, &gt;&gt; .\items\materia\class0001\Soldier13.dbr</v>
      </c>
      <c r="U15" t="str">
        <f t="shared" si="12"/>
        <v>echo augmentSkillName1,records/skills/playerclass01/bladearc1b.dbr, &gt;&gt; .\items\materia\class0001\Soldier13.dbr</v>
      </c>
      <c r="V15" s="5" t="s">
        <v>36</v>
      </c>
      <c r="W15" t="str">
        <f t="shared" si="13"/>
        <v>echo lootName13,DAIL/items/materia/class0001/Soldier13.dbr, &gt;&gt; .\items\loottables\dailoneskill0001.dbr</v>
      </c>
      <c r="X15" t="str">
        <f t="shared" si="14"/>
        <v>echo lootWeight13,1, &gt;&gt; .\items\loottables\dailoneskill0001.dbr</v>
      </c>
      <c r="Y15" s="5" t="s">
        <v>36</v>
      </c>
      <c r="Z15" t="str">
        <f t="shared" si="15"/>
        <v xml:space="preserve"> dailCompDescSoldier13=^pSoldier's Gift of DAIL</v>
      </c>
      <c r="AA15" t="str">
        <f t="shared" si="23"/>
        <v>dailCompTextSoldier13=^oThis feels warm to the touch, almost familiar ^w(This component fits into all Jewellery slots including the Belt And Shoulder)</v>
      </c>
      <c r="AB15" s="5" t="s">
        <v>36</v>
      </c>
      <c r="AH15">
        <f t="shared" si="25"/>
        <v>10</v>
      </c>
      <c r="AI15">
        <f t="shared" si="19"/>
        <v>29</v>
      </c>
      <c r="AJ15">
        <f t="shared" si="24"/>
        <v>1</v>
      </c>
    </row>
    <row r="16" spans="1:38" x14ac:dyDescent="0.25">
      <c r="A16" s="5" t="s">
        <v>39</v>
      </c>
      <c r="B16" s="5" t="s">
        <v>0</v>
      </c>
      <c r="C16" s="5" t="str">
        <f t="shared" si="0"/>
        <v>description,dailCompDescSoldier14,</v>
      </c>
      <c r="D16" s="5" t="str">
        <f t="shared" si="2"/>
        <v>itemText,dailCompTextSoldier14,</v>
      </c>
      <c r="E16" s="5" t="str">
        <f t="shared" si="20"/>
        <v>augmentSkillLevel1,1,</v>
      </c>
      <c r="F16" s="5" t="str">
        <f t="shared" si="21"/>
        <v>augmentSkillName1,records/skills/playerclass01/cadence1.dbr,</v>
      </c>
      <c r="G16" s="7">
        <f t="shared" si="16"/>
        <v>14</v>
      </c>
      <c r="H16" s="8" t="str">
        <f t="shared" si="17"/>
        <v>Soldier</v>
      </c>
      <c r="I16" s="3" t="s">
        <v>13</v>
      </c>
      <c r="J16" s="8" t="str">
        <f t="shared" si="18"/>
        <v>class0001</v>
      </c>
      <c r="K16" s="8" t="str">
        <f t="shared" si="18"/>
        <v>dailoneskill0001</v>
      </c>
      <c r="L16" s="5" t="str">
        <f t="shared" si="4"/>
        <v>lootName14,DAIL/items/materia/class0001/Soldier14.dbr,</v>
      </c>
      <c r="M16" s="5" t="str">
        <f t="shared" si="5"/>
        <v>lootWeight14,1,</v>
      </c>
      <c r="N16" t="str">
        <f t="shared" si="6"/>
        <v>1</v>
      </c>
      <c r="O16" t="str">
        <f t="shared" si="22"/>
        <v>copy .\dail_base.dbr .\items\materia\class0001\Soldier14.dbr /y</v>
      </c>
      <c r="P16" t="str">
        <f t="shared" si="7"/>
        <v>echo relicBitmap,items/craftingparts/components/component_a52_bristlyfur_b.tex, &gt;&gt; .\items\materia\class0001\Soldier14.dbr</v>
      </c>
      <c r="Q16" t="str">
        <f t="shared" si="8"/>
        <v>echo itemCost,100000, &gt;&gt; .\items\materia\class0001\Soldier14.dbr</v>
      </c>
      <c r="R16" t="str">
        <f t="shared" si="9"/>
        <v>echo description,dailCompDescSoldier14, &gt;&gt; .\items\materia\class0001\Soldier14.dbr</v>
      </c>
      <c r="S16" t="str">
        <f t="shared" si="10"/>
        <v>echo itemText,dailCompTextSoldier14, &gt;&gt; .\items\materia\class0001\Soldier14.dbr</v>
      </c>
      <c r="T16" t="str">
        <f t="shared" si="11"/>
        <v>echo augmentSkillLevel1,1, &gt;&gt; .\items\materia\class0001\Soldier14.dbr</v>
      </c>
      <c r="U16" t="str">
        <f t="shared" si="12"/>
        <v>echo augmentSkillName1,records/skills/playerclass01/cadence1.dbr, &gt;&gt; .\items\materia\class0001\Soldier14.dbr</v>
      </c>
      <c r="V16" s="5" t="s">
        <v>36</v>
      </c>
      <c r="W16" t="str">
        <f t="shared" si="13"/>
        <v>echo lootName14,DAIL/items/materia/class0001/Soldier14.dbr, &gt;&gt; .\items\loottables\dailoneskill0001.dbr</v>
      </c>
      <c r="X16" t="str">
        <f t="shared" si="14"/>
        <v>echo lootWeight14,1, &gt;&gt; .\items\loottables\dailoneskill0001.dbr</v>
      </c>
      <c r="Y16" s="5" t="s">
        <v>36</v>
      </c>
      <c r="Z16" t="str">
        <f t="shared" si="15"/>
        <v xml:space="preserve"> dailCompDescSoldier14=^pSoldier's Gift of DAIL</v>
      </c>
      <c r="AA16" t="str">
        <f t="shared" si="23"/>
        <v>dailCompTextSoldier14=^oThis feels warm to the touch, almost familiar ^w(This component fits into all Jewellery slots including the Belt And Shoulder)</v>
      </c>
      <c r="AB16" s="5" t="s">
        <v>36</v>
      </c>
      <c r="AH16">
        <f t="shared" si="25"/>
        <v>11</v>
      </c>
      <c r="AI16">
        <f t="shared" si="19"/>
        <v>27</v>
      </c>
      <c r="AJ16">
        <f t="shared" si="24"/>
        <v>1</v>
      </c>
    </row>
    <row r="17" spans="1:36" x14ac:dyDescent="0.25">
      <c r="A17" s="5" t="s">
        <v>39</v>
      </c>
      <c r="B17" s="5" t="s">
        <v>0</v>
      </c>
      <c r="C17" s="5" t="str">
        <f t="shared" si="0"/>
        <v>description,dailCompDescSoldier15,</v>
      </c>
      <c r="D17" s="5" t="str">
        <f t="shared" si="2"/>
        <v>itemText,dailCompTextSoldier15,</v>
      </c>
      <c r="E17" s="5" t="str">
        <f t="shared" si="20"/>
        <v>augmentSkillLevel1,1,</v>
      </c>
      <c r="F17" s="5" t="str">
        <f t="shared" si="21"/>
        <v>augmentSkillName1,records/skills/playerclass01/bladearc2.dbr,</v>
      </c>
      <c r="G17" s="7">
        <f t="shared" si="16"/>
        <v>15</v>
      </c>
      <c r="H17" s="8" t="str">
        <f t="shared" si="17"/>
        <v>Soldier</v>
      </c>
      <c r="I17" s="3" t="s">
        <v>255</v>
      </c>
      <c r="J17" s="8" t="str">
        <f t="shared" si="18"/>
        <v>class0001</v>
      </c>
      <c r="K17" s="8" t="str">
        <f t="shared" si="18"/>
        <v>dailoneskill0001</v>
      </c>
      <c r="L17" s="5" t="str">
        <f t="shared" si="4"/>
        <v>lootName15,DAIL/items/materia/class0001/Soldier15.dbr,</v>
      </c>
      <c r="M17" s="5" t="str">
        <f t="shared" si="5"/>
        <v>lootWeight15,1,</v>
      </c>
      <c r="N17" t="str">
        <f t="shared" si="6"/>
        <v>1</v>
      </c>
      <c r="O17" t="str">
        <f t="shared" si="22"/>
        <v>copy .\dail_base.dbr .\items\materia\class0001\Soldier15.dbr /y</v>
      </c>
      <c r="P17" t="str">
        <f t="shared" si="7"/>
        <v>echo relicBitmap,items/craftingparts/components/component_a52_bristlyfur_b.tex, &gt;&gt; .\items\materia\class0001\Soldier15.dbr</v>
      </c>
      <c r="Q17" t="str">
        <f t="shared" si="8"/>
        <v>echo itemCost,100000, &gt;&gt; .\items\materia\class0001\Soldier15.dbr</v>
      </c>
      <c r="R17" t="str">
        <f t="shared" si="9"/>
        <v>echo description,dailCompDescSoldier15, &gt;&gt; .\items\materia\class0001\Soldier15.dbr</v>
      </c>
      <c r="S17" t="str">
        <f t="shared" si="10"/>
        <v>echo itemText,dailCompTextSoldier15, &gt;&gt; .\items\materia\class0001\Soldier15.dbr</v>
      </c>
      <c r="T17" t="str">
        <f t="shared" si="11"/>
        <v>echo augmentSkillLevel1,1, &gt;&gt; .\items\materia\class0001\Soldier15.dbr</v>
      </c>
      <c r="U17" t="str">
        <f t="shared" si="12"/>
        <v>echo augmentSkillName1,records/skills/playerclass01/bladearc2.dbr, &gt;&gt; .\items\materia\class0001\Soldier15.dbr</v>
      </c>
      <c r="V17" s="5" t="s">
        <v>36</v>
      </c>
      <c r="W17" t="str">
        <f t="shared" si="13"/>
        <v>echo lootName15,DAIL/items/materia/class0001/Soldier15.dbr, &gt;&gt; .\items\loottables\dailoneskill0001.dbr</v>
      </c>
      <c r="X17" t="str">
        <f t="shared" si="14"/>
        <v>echo lootWeight15,1, &gt;&gt; .\items\loottables\dailoneskill0001.dbr</v>
      </c>
      <c r="Y17" s="5" t="s">
        <v>36</v>
      </c>
      <c r="Z17" t="str">
        <f t="shared" si="15"/>
        <v xml:space="preserve"> dailCompDescSoldier15=^pSoldier's Gift of DAIL</v>
      </c>
      <c r="AA17" t="str">
        <f t="shared" si="23"/>
        <v>dailCompTextSoldier15=^oThis feels warm to the touch, almost familiar ^w(This component fits into all Jewellery slots including the Belt And Shoulder)</v>
      </c>
      <c r="AB17" s="5" t="s">
        <v>36</v>
      </c>
      <c r="AH17">
        <f t="shared" si="25"/>
        <v>12</v>
      </c>
      <c r="AI17">
        <f t="shared" si="19"/>
        <v>28</v>
      </c>
      <c r="AJ17">
        <f t="shared" si="24"/>
        <v>1</v>
      </c>
    </row>
    <row r="18" spans="1:36" x14ac:dyDescent="0.25">
      <c r="A18" s="5" t="s">
        <v>39</v>
      </c>
      <c r="B18" s="5" t="s">
        <v>0</v>
      </c>
      <c r="C18" s="5" t="str">
        <f t="shared" si="0"/>
        <v>description,dailCompDescSoldier16,</v>
      </c>
      <c r="D18" s="5" t="str">
        <f t="shared" si="2"/>
        <v>itemText,dailCompTextSoldier16,</v>
      </c>
      <c r="E18" s="5" t="str">
        <f t="shared" si="20"/>
        <v>augmentSkillLevel1,1,</v>
      </c>
      <c r="F18" s="5" t="str">
        <f t="shared" si="21"/>
        <v>augmentSkillName1,records/skills/playerclass01/stancedefensive.dbr,</v>
      </c>
      <c r="G18" s="7">
        <f t="shared" si="16"/>
        <v>16</v>
      </c>
      <c r="H18" s="8" t="str">
        <f t="shared" si="17"/>
        <v>Soldier</v>
      </c>
      <c r="I18" s="3" t="s">
        <v>21</v>
      </c>
      <c r="J18" s="8" t="str">
        <f t="shared" si="18"/>
        <v>class0001</v>
      </c>
      <c r="K18" s="8" t="str">
        <f t="shared" si="18"/>
        <v>dailoneskill0001</v>
      </c>
      <c r="L18" s="5" t="str">
        <f t="shared" si="4"/>
        <v>lootName16,DAIL/items/materia/class0001/Soldier16.dbr,</v>
      </c>
      <c r="M18" s="5" t="str">
        <f t="shared" si="5"/>
        <v>lootWeight16,1,</v>
      </c>
      <c r="N18" t="str">
        <f t="shared" si="6"/>
        <v>1</v>
      </c>
      <c r="O18" t="str">
        <f t="shared" si="22"/>
        <v>copy .\dail_base.dbr .\items\materia\class0001\Soldier16.dbr /y</v>
      </c>
      <c r="P18" t="str">
        <f t="shared" si="7"/>
        <v>echo relicBitmap,items/craftingparts/components/component_a52_bristlyfur_b.tex, &gt;&gt; .\items\materia\class0001\Soldier16.dbr</v>
      </c>
      <c r="Q18" t="str">
        <f t="shared" si="8"/>
        <v>echo itemCost,100000, &gt;&gt; .\items\materia\class0001\Soldier16.dbr</v>
      </c>
      <c r="R18" t="str">
        <f t="shared" si="9"/>
        <v>echo description,dailCompDescSoldier16, &gt;&gt; .\items\materia\class0001\Soldier16.dbr</v>
      </c>
      <c r="S18" t="str">
        <f t="shared" si="10"/>
        <v>echo itemText,dailCompTextSoldier16, &gt;&gt; .\items\materia\class0001\Soldier16.dbr</v>
      </c>
      <c r="T18" t="str">
        <f t="shared" si="11"/>
        <v>echo augmentSkillLevel1,1, &gt;&gt; .\items\materia\class0001\Soldier16.dbr</v>
      </c>
      <c r="U18" t="str">
        <f t="shared" si="12"/>
        <v>echo augmentSkillName1,records/skills/playerclass01/stancedefensive.dbr, &gt;&gt; .\items\materia\class0001\Soldier16.dbr</v>
      </c>
      <c r="V18" s="5" t="s">
        <v>36</v>
      </c>
      <c r="W18" t="str">
        <f t="shared" si="13"/>
        <v>echo lootName16,DAIL/items/materia/class0001/Soldier16.dbr, &gt;&gt; .\items\loottables\dailoneskill0001.dbr</v>
      </c>
      <c r="X18" t="str">
        <f t="shared" si="14"/>
        <v>echo lootWeight16,1, &gt;&gt; .\items\loottables\dailoneskill0001.dbr</v>
      </c>
      <c r="Y18" s="5" t="s">
        <v>36</v>
      </c>
      <c r="Z18" t="str">
        <f t="shared" si="15"/>
        <v xml:space="preserve"> dailCompDescSoldier16=^pSoldier's Gift of DAIL</v>
      </c>
      <c r="AA18" t="str">
        <f t="shared" si="23"/>
        <v>dailCompTextSoldier16=^oThis feels warm to the touch, almost familiar ^w(This component fits into all Jewellery slots including the Belt And Shoulder)</v>
      </c>
      <c r="AB18" s="5" t="s">
        <v>36</v>
      </c>
      <c r="AH18">
        <f t="shared" si="25"/>
        <v>13</v>
      </c>
      <c r="AI18">
        <f t="shared" si="19"/>
        <v>34</v>
      </c>
      <c r="AJ18">
        <f t="shared" si="24"/>
        <v>1</v>
      </c>
    </row>
    <row r="19" spans="1:36" x14ac:dyDescent="0.25">
      <c r="A19" s="5" t="s">
        <v>39</v>
      </c>
      <c r="B19" s="5" t="s">
        <v>28</v>
      </c>
      <c r="C19" s="5" t="str">
        <f t="shared" si="0"/>
        <v>description,dailCompDescSoldier17,</v>
      </c>
      <c r="D19" s="5" t="str">
        <f t="shared" ref="D19" si="26">"itemText,dailCompText"&amp;H19&amp;G19&amp;","</f>
        <v>itemText,dailCompTextSoldier17,</v>
      </c>
      <c r="E19" s="5" t="str">
        <f t="shared" si="20"/>
        <v>augmentSkillLevel1,1,</v>
      </c>
      <c r="F19" s="5" t="str">
        <f t="shared" si="21"/>
        <v>augmentSkillName1,records/skills/playerclass01/stanceoffensive.dbr,</v>
      </c>
      <c r="G19" s="7">
        <f t="shared" si="16"/>
        <v>17</v>
      </c>
      <c r="H19" s="8" t="str">
        <f t="shared" si="17"/>
        <v>Soldier</v>
      </c>
      <c r="I19" s="3" t="s">
        <v>22</v>
      </c>
      <c r="J19" s="8" t="str">
        <f t="shared" si="18"/>
        <v>class0001</v>
      </c>
      <c r="K19" s="8" t="str">
        <f t="shared" si="18"/>
        <v>dailoneskill0001</v>
      </c>
      <c r="L19" s="5" t="str">
        <f t="shared" si="4"/>
        <v>lootName17,DAIL/items/materia/class0001/Soldier17.dbr,</v>
      </c>
      <c r="M19" s="5" t="str">
        <f t="shared" si="5"/>
        <v>lootWeight17,1,</v>
      </c>
      <c r="N19" t="str">
        <f t="shared" si="6"/>
        <v>1</v>
      </c>
      <c r="O19" t="str">
        <f t="shared" si="22"/>
        <v>copy .\dail_base.dbr .\items\materia\class0001\Soldier17.dbr /y</v>
      </c>
      <c r="P19" t="str">
        <f t="shared" si="7"/>
        <v>echo relicBitmap,items/craftingparts/components/component_a52_bristlyfur_b.tex, &gt;&gt; .\items\materia\class0001\Soldier17.dbr</v>
      </c>
      <c r="Q19" t="str">
        <f t="shared" si="8"/>
        <v>echo itemCost,300000, &gt;&gt; .\items\materia\class0001\Soldier17.dbr</v>
      </c>
      <c r="R19" t="str">
        <f t="shared" si="9"/>
        <v>echo description,dailCompDescSoldier17, &gt;&gt; .\items\materia\class0001\Soldier17.dbr</v>
      </c>
      <c r="S19" t="str">
        <f t="shared" si="10"/>
        <v>echo itemText,dailCompTextSoldier17, &gt;&gt; .\items\materia\class0001\Soldier17.dbr</v>
      </c>
      <c r="T19" t="str">
        <f t="shared" si="11"/>
        <v>echo augmentSkillLevel1,1, &gt;&gt; .\items\materia\class0001\Soldier17.dbr</v>
      </c>
      <c r="U19" t="str">
        <f t="shared" si="12"/>
        <v>echo augmentSkillName1,records/skills/playerclass01/stanceoffensive.dbr, &gt;&gt; .\items\materia\class0001\Soldier17.dbr</v>
      </c>
      <c r="V19" s="5" t="s">
        <v>36</v>
      </c>
      <c r="W19" t="str">
        <f t="shared" si="13"/>
        <v>echo lootName17,DAIL/items/materia/class0001/Soldier17.dbr, &gt;&gt; .\items\loottables\dailoneskill0001.dbr</v>
      </c>
      <c r="X19" t="str">
        <f t="shared" si="14"/>
        <v>echo lootWeight17,1, &gt;&gt; .\items\loottables\dailoneskill0001.dbr</v>
      </c>
      <c r="Y19" s="5" t="s">
        <v>36</v>
      </c>
      <c r="Z19" t="str">
        <f t="shared" si="15"/>
        <v xml:space="preserve"> dailCompDescSoldier17=^pSoldier's Gift of DAIL</v>
      </c>
      <c r="AA19" t="str">
        <f t="shared" si="23"/>
        <v>dailCompTextSoldier17=^oThis feels warm to the touch, almost familiar ^w(This component fits into all Jewellery slots including the Belt And Shoulder)</v>
      </c>
      <c r="AB19" s="5" t="s">
        <v>36</v>
      </c>
      <c r="AH19">
        <f t="shared" si="25"/>
        <v>14</v>
      </c>
      <c r="AI19">
        <f t="shared" si="19"/>
        <v>34</v>
      </c>
      <c r="AJ19">
        <f t="shared" si="24"/>
        <v>1</v>
      </c>
    </row>
    <row r="20" spans="1:36" x14ac:dyDescent="0.25">
      <c r="A20" s="5" t="s">
        <v>39</v>
      </c>
      <c r="B20" s="5" t="s">
        <v>28</v>
      </c>
      <c r="C20" s="5" t="str">
        <f t="shared" ref="C20:C44" si="27">"description,dailCompDesc"&amp;H20&amp;G20&amp;","</f>
        <v>description,dailCompDescSoldier18,</v>
      </c>
      <c r="D20" s="5" t="str">
        <f t="shared" ref="D20:D44" si="28">"itemText,dailCompText"&amp;H20&amp;G20&amp;","</f>
        <v>itemText,dailCompTextSoldier18,</v>
      </c>
      <c r="E20" s="5" t="str">
        <f t="shared" si="20"/>
        <v>augmentSkillLevel1,1,</v>
      </c>
      <c r="F20" s="5" t="str">
        <f t="shared" si="21"/>
        <v>augmentSkillName1,records/skills/playerclass01/fieldcommand1.dbr,</v>
      </c>
      <c r="G20" s="7">
        <f t="shared" si="16"/>
        <v>18</v>
      </c>
      <c r="H20" s="8" t="str">
        <f t="shared" si="17"/>
        <v>Soldier</v>
      </c>
      <c r="I20" s="3" t="s">
        <v>15</v>
      </c>
      <c r="J20" s="8" t="str">
        <f t="shared" si="18"/>
        <v>class0001</v>
      </c>
      <c r="K20" s="8" t="str">
        <f t="shared" si="18"/>
        <v>dailoneskill0001</v>
      </c>
      <c r="L20" s="5" t="str">
        <f t="shared" si="4"/>
        <v>lootName18,DAIL/items/materia/class0001/Soldier18.dbr,</v>
      </c>
      <c r="M20" s="5" t="str">
        <f t="shared" si="5"/>
        <v>lootWeight18,1,</v>
      </c>
      <c r="N20" t="str">
        <f t="shared" si="6"/>
        <v>1</v>
      </c>
      <c r="O20" t="str">
        <f t="shared" si="22"/>
        <v>copy .\dail_base.dbr .\items\materia\class0001\Soldier18.dbr /y</v>
      </c>
      <c r="P20" t="str">
        <f t="shared" si="7"/>
        <v>echo relicBitmap,items/craftingparts/components/component_a52_bristlyfur_b.tex, &gt;&gt; .\items\materia\class0001\Soldier18.dbr</v>
      </c>
      <c r="Q20" t="str">
        <f t="shared" si="8"/>
        <v>echo itemCost,300000, &gt;&gt; .\items\materia\class0001\Soldier18.dbr</v>
      </c>
      <c r="R20" t="str">
        <f t="shared" si="9"/>
        <v>echo description,dailCompDescSoldier18, &gt;&gt; .\items\materia\class0001\Soldier18.dbr</v>
      </c>
      <c r="S20" t="str">
        <f t="shared" si="10"/>
        <v>echo itemText,dailCompTextSoldier18, &gt;&gt; .\items\materia\class0001\Soldier18.dbr</v>
      </c>
      <c r="T20" t="str">
        <f t="shared" si="11"/>
        <v>echo augmentSkillLevel1,1, &gt;&gt; .\items\materia\class0001\Soldier18.dbr</v>
      </c>
      <c r="U20" t="str">
        <f t="shared" si="12"/>
        <v>echo augmentSkillName1,records/skills/playerclass01/fieldcommand1.dbr, &gt;&gt; .\items\materia\class0001\Soldier18.dbr</v>
      </c>
      <c r="V20" s="5" t="s">
        <v>36</v>
      </c>
      <c r="W20" t="str">
        <f t="shared" si="13"/>
        <v>echo lootName18,DAIL/items/materia/class0001/Soldier18.dbr, &gt;&gt; .\items\loottables\dailoneskill0001.dbr</v>
      </c>
      <c r="X20" t="str">
        <f t="shared" si="14"/>
        <v>echo lootWeight18,1, &gt;&gt; .\items\loottables\dailoneskill0001.dbr</v>
      </c>
      <c r="Y20" s="5" t="s">
        <v>36</v>
      </c>
      <c r="Z20" t="str">
        <f t="shared" si="15"/>
        <v xml:space="preserve"> dailCompDescSoldier18=^pSoldier's Gift of DAIL</v>
      </c>
      <c r="AA20" t="str">
        <f t="shared" si="23"/>
        <v>dailCompTextSoldier18=^oThis feels warm to the touch, almost familiar ^w(This component fits into all Jewellery slots including the Belt And Shoulder)</v>
      </c>
      <c r="AB20" s="5" t="s">
        <v>36</v>
      </c>
      <c r="AH20">
        <f t="shared" si="25"/>
        <v>15</v>
      </c>
      <c r="AI20">
        <f t="shared" si="19"/>
        <v>32</v>
      </c>
      <c r="AJ20">
        <f t="shared" si="24"/>
        <v>1</v>
      </c>
    </row>
    <row r="21" spans="1:36" x14ac:dyDescent="0.25">
      <c r="A21" s="5" t="s">
        <v>39</v>
      </c>
      <c r="B21" s="5" t="s">
        <v>28</v>
      </c>
      <c r="C21" s="5" t="str">
        <f t="shared" si="27"/>
        <v>description,dailCompDescSoldier19,</v>
      </c>
      <c r="D21" s="5" t="str">
        <f t="shared" si="28"/>
        <v>itemText,dailCompTextSoldier19,</v>
      </c>
      <c r="E21" s="5" t="str">
        <f t="shared" si="20"/>
        <v>augmentSkillLevel1,1,</v>
      </c>
      <c r="F21" s="5" t="str">
        <f t="shared" si="21"/>
        <v>augmentSkillName1,records/skills/playerclass01/fieldcommand2.dbr,</v>
      </c>
      <c r="G21" s="7">
        <f t="shared" si="16"/>
        <v>19</v>
      </c>
      <c r="H21" s="8" t="str">
        <f t="shared" si="17"/>
        <v>Soldier</v>
      </c>
      <c r="I21" s="3" t="s">
        <v>256</v>
      </c>
      <c r="J21" s="8" t="str">
        <f t="shared" si="18"/>
        <v>class0001</v>
      </c>
      <c r="K21" s="8" t="str">
        <f t="shared" si="18"/>
        <v>dailoneskill0001</v>
      </c>
      <c r="L21" s="5" t="str">
        <f t="shared" si="4"/>
        <v>lootName19,DAIL/items/materia/class0001/Soldier19.dbr,</v>
      </c>
      <c r="M21" s="5" t="str">
        <f t="shared" si="5"/>
        <v>lootWeight19,1,</v>
      </c>
      <c r="N21" t="str">
        <f t="shared" si="6"/>
        <v>1</v>
      </c>
      <c r="O21" t="str">
        <f t="shared" si="22"/>
        <v>copy .\dail_base.dbr .\items\materia\class0001\Soldier19.dbr /y</v>
      </c>
      <c r="P21" t="str">
        <f t="shared" si="7"/>
        <v>echo relicBitmap,items/craftingparts/components/component_a52_bristlyfur_b.tex, &gt;&gt; .\items\materia\class0001\Soldier19.dbr</v>
      </c>
      <c r="Q21" t="str">
        <f t="shared" si="8"/>
        <v>echo itemCost,300000, &gt;&gt; .\items\materia\class0001\Soldier19.dbr</v>
      </c>
      <c r="R21" t="str">
        <f t="shared" si="9"/>
        <v>echo description,dailCompDescSoldier19, &gt;&gt; .\items\materia\class0001\Soldier19.dbr</v>
      </c>
      <c r="S21" t="str">
        <f t="shared" si="10"/>
        <v>echo itemText,dailCompTextSoldier19, &gt;&gt; .\items\materia\class0001\Soldier19.dbr</v>
      </c>
      <c r="T21" t="str">
        <f t="shared" si="11"/>
        <v>echo augmentSkillLevel1,1, &gt;&gt; .\items\materia\class0001\Soldier19.dbr</v>
      </c>
      <c r="U21" t="str">
        <f t="shared" si="12"/>
        <v>echo augmentSkillName1,records/skills/playerclass01/fieldcommand2.dbr, &gt;&gt; .\items\materia\class0001\Soldier19.dbr</v>
      </c>
      <c r="V21" s="5" t="s">
        <v>36</v>
      </c>
      <c r="W21" t="str">
        <f t="shared" si="13"/>
        <v>echo lootName19,DAIL/items/materia/class0001/Soldier19.dbr, &gt;&gt; .\items\loottables\dailoneskill0001.dbr</v>
      </c>
      <c r="X21" t="str">
        <f t="shared" si="14"/>
        <v>echo lootWeight19,1, &gt;&gt; .\items\loottables\dailoneskill0001.dbr</v>
      </c>
      <c r="Y21" s="5" t="s">
        <v>36</v>
      </c>
      <c r="Z21" t="str">
        <f t="shared" si="15"/>
        <v xml:space="preserve"> dailCompDescSoldier19=^pSoldier's Gift of DAIL</v>
      </c>
      <c r="AA21" t="str">
        <f t="shared" si="23"/>
        <v>dailCompTextSoldier19=^oThis feels warm to the touch, almost familiar ^w(This component fits into all Jewellery slots including the Belt And Shoulder)</v>
      </c>
      <c r="AB21" s="5" t="s">
        <v>36</v>
      </c>
      <c r="AH21">
        <f t="shared" si="25"/>
        <v>16</v>
      </c>
      <c r="AI21">
        <f t="shared" si="19"/>
        <v>32</v>
      </c>
      <c r="AJ21">
        <f t="shared" si="24"/>
        <v>1</v>
      </c>
    </row>
    <row r="22" spans="1:36" x14ac:dyDescent="0.25">
      <c r="A22" s="5" t="s">
        <v>39</v>
      </c>
      <c r="B22" s="5" t="s">
        <v>28</v>
      </c>
      <c r="C22" s="5" t="str">
        <f t="shared" si="27"/>
        <v>description,dailCompDescSoldier20,</v>
      </c>
      <c r="D22" s="5" t="str">
        <f t="shared" si="28"/>
        <v>itemText,dailCompTextSoldier20,</v>
      </c>
      <c r="E22" s="5" t="str">
        <f t="shared" si="20"/>
        <v>augmentSkillLevel1,1,</v>
      </c>
      <c r="F22" s="5" t="str">
        <f t="shared" si="21"/>
        <v>augmentSkillName1,records/skills/playerclass01/weaponpool1.dbr,</v>
      </c>
      <c r="G22" s="7">
        <f t="shared" si="16"/>
        <v>20</v>
      </c>
      <c r="H22" s="8" t="str">
        <f t="shared" si="17"/>
        <v>Soldier</v>
      </c>
      <c r="I22" s="3" t="s">
        <v>257</v>
      </c>
      <c r="J22" s="8" t="str">
        <f t="shared" si="18"/>
        <v>class0001</v>
      </c>
      <c r="K22" s="8" t="str">
        <f t="shared" si="18"/>
        <v>dailoneskill0001</v>
      </c>
      <c r="L22" s="5" t="str">
        <f t="shared" si="4"/>
        <v>lootName20,DAIL/items/materia/class0001/Soldier20.dbr,</v>
      </c>
      <c r="M22" s="5" t="str">
        <f t="shared" si="5"/>
        <v>lootWeight20,1,</v>
      </c>
      <c r="N22" t="str">
        <f t="shared" si="6"/>
        <v>1</v>
      </c>
      <c r="O22" t="str">
        <f t="shared" si="22"/>
        <v>copy .\dail_base.dbr .\items\materia\class0001\Soldier20.dbr /y</v>
      </c>
      <c r="P22" t="str">
        <f t="shared" si="7"/>
        <v>echo relicBitmap,items/craftingparts/components/component_a52_bristlyfur_b.tex, &gt;&gt; .\items\materia\class0001\Soldier20.dbr</v>
      </c>
      <c r="Q22" t="str">
        <f t="shared" si="8"/>
        <v>echo itemCost,300000, &gt;&gt; .\items\materia\class0001\Soldier20.dbr</v>
      </c>
      <c r="R22" t="str">
        <f t="shared" si="9"/>
        <v>echo description,dailCompDescSoldier20, &gt;&gt; .\items\materia\class0001\Soldier20.dbr</v>
      </c>
      <c r="S22" t="str">
        <f t="shared" si="10"/>
        <v>echo itemText,dailCompTextSoldier20, &gt;&gt; .\items\materia\class0001\Soldier20.dbr</v>
      </c>
      <c r="T22" t="str">
        <f t="shared" si="11"/>
        <v>echo augmentSkillLevel1,1, &gt;&gt; .\items\materia\class0001\Soldier20.dbr</v>
      </c>
      <c r="U22" t="str">
        <f t="shared" si="12"/>
        <v>echo augmentSkillName1,records/skills/playerclass01/weaponpool1.dbr, &gt;&gt; .\items\materia\class0001\Soldier20.dbr</v>
      </c>
      <c r="V22" s="5" t="s">
        <v>36</v>
      </c>
      <c r="W22" t="str">
        <f t="shared" si="13"/>
        <v>echo lootName20,DAIL/items/materia/class0001/Soldier20.dbr, &gt;&gt; .\items\loottables\dailoneskill0001.dbr</v>
      </c>
      <c r="X22" t="str">
        <f t="shared" si="14"/>
        <v>echo lootWeight20,1, &gt;&gt; .\items\loottables\dailoneskill0001.dbr</v>
      </c>
      <c r="Y22" s="5" t="s">
        <v>36</v>
      </c>
      <c r="Z22" t="str">
        <f t="shared" si="15"/>
        <v xml:space="preserve"> dailCompDescSoldier20=^pSoldier's Gift of DAIL</v>
      </c>
      <c r="AA22" t="str">
        <f t="shared" si="23"/>
        <v>dailCompTextSoldier20=^oThis feels warm to the touch, almost familiar ^w(This component fits into all Jewellery slots including the Belt And Shoulder)</v>
      </c>
      <c r="AB22" s="5" t="s">
        <v>36</v>
      </c>
      <c r="AH22">
        <f t="shared" si="25"/>
        <v>17</v>
      </c>
      <c r="AI22">
        <f t="shared" si="19"/>
        <v>30</v>
      </c>
      <c r="AJ22">
        <f t="shared" si="24"/>
        <v>1</v>
      </c>
    </row>
    <row r="23" spans="1:36" x14ac:dyDescent="0.25">
      <c r="A23" s="5" t="s">
        <v>39</v>
      </c>
      <c r="B23" s="5" t="s">
        <v>28</v>
      </c>
      <c r="C23" s="5" t="str">
        <f t="shared" si="27"/>
        <v>description,dailCompDescSoldier21,</v>
      </c>
      <c r="D23" s="5" t="str">
        <f t="shared" si="28"/>
        <v>itemText,dailCompTextSoldier21,</v>
      </c>
      <c r="E23" s="5" t="str">
        <f t="shared" si="20"/>
        <v>augmentSkillLevel1,1,</v>
      </c>
      <c r="F23" s="5" t="str">
        <f t="shared" si="21"/>
        <v>augmentSkillName1,records/skills/playerclass01/weaponpool2.dbr,</v>
      </c>
      <c r="G23" s="7">
        <f t="shared" si="16"/>
        <v>21</v>
      </c>
      <c r="H23" s="8" t="str">
        <f t="shared" si="17"/>
        <v>Soldier</v>
      </c>
      <c r="I23" s="3" t="s">
        <v>258</v>
      </c>
      <c r="J23" s="8" t="str">
        <f t="shared" si="18"/>
        <v>class0001</v>
      </c>
      <c r="K23" s="8" t="str">
        <f t="shared" si="18"/>
        <v>dailoneskill0001</v>
      </c>
      <c r="L23" s="5" t="str">
        <f t="shared" si="4"/>
        <v>lootName21,DAIL/items/materia/class0001/Soldier21.dbr,</v>
      </c>
      <c r="M23" s="5" t="str">
        <f t="shared" si="5"/>
        <v>lootWeight21,1,</v>
      </c>
      <c r="N23" t="str">
        <f t="shared" si="6"/>
        <v>1</v>
      </c>
      <c r="O23" t="str">
        <f t="shared" si="22"/>
        <v>copy .\dail_base.dbr .\items\materia\class0001\Soldier21.dbr /y</v>
      </c>
      <c r="P23" t="str">
        <f t="shared" si="7"/>
        <v>echo relicBitmap,items/craftingparts/components/component_a52_bristlyfur_b.tex, &gt;&gt; .\items\materia\class0001\Soldier21.dbr</v>
      </c>
      <c r="Q23" t="str">
        <f t="shared" si="8"/>
        <v>echo itemCost,300000, &gt;&gt; .\items\materia\class0001\Soldier21.dbr</v>
      </c>
      <c r="R23" t="str">
        <f t="shared" si="9"/>
        <v>echo description,dailCompDescSoldier21, &gt;&gt; .\items\materia\class0001\Soldier21.dbr</v>
      </c>
      <c r="S23" t="str">
        <f t="shared" si="10"/>
        <v>echo itemText,dailCompTextSoldier21, &gt;&gt; .\items\materia\class0001\Soldier21.dbr</v>
      </c>
      <c r="T23" t="str">
        <f t="shared" si="11"/>
        <v>echo augmentSkillLevel1,1, &gt;&gt; .\items\materia\class0001\Soldier21.dbr</v>
      </c>
      <c r="U23" t="str">
        <f t="shared" si="12"/>
        <v>echo augmentSkillName1,records/skills/playerclass01/weaponpool2.dbr, &gt;&gt; .\items\materia\class0001\Soldier21.dbr</v>
      </c>
      <c r="V23" s="5" t="s">
        <v>36</v>
      </c>
      <c r="W23" t="str">
        <f t="shared" si="13"/>
        <v>echo lootName21,DAIL/items/materia/class0001/Soldier21.dbr, &gt;&gt; .\items\loottables\dailoneskill0001.dbr</v>
      </c>
      <c r="X23" t="str">
        <f t="shared" si="14"/>
        <v>echo lootWeight21,1, &gt;&gt; .\items\loottables\dailoneskill0001.dbr</v>
      </c>
      <c r="Y23" s="5" t="s">
        <v>36</v>
      </c>
      <c r="Z23" t="str">
        <f t="shared" si="15"/>
        <v xml:space="preserve"> dailCompDescSoldier21=^pSoldier's Gift of DAIL</v>
      </c>
      <c r="AA23" t="str">
        <f t="shared" si="23"/>
        <v>dailCompTextSoldier21=^oThis feels warm to the touch, almost familiar ^w(This component fits into all Jewellery slots including the Belt And Shoulder)</v>
      </c>
      <c r="AB23" s="5" t="s">
        <v>36</v>
      </c>
      <c r="AH23">
        <f t="shared" si="25"/>
        <v>18</v>
      </c>
      <c r="AI23">
        <f t="shared" si="19"/>
        <v>30</v>
      </c>
      <c r="AJ23">
        <f t="shared" si="24"/>
        <v>1</v>
      </c>
    </row>
    <row r="24" spans="1:36" x14ac:dyDescent="0.25">
      <c r="A24" s="5" t="s">
        <v>39</v>
      </c>
      <c r="B24" s="5" t="s">
        <v>28</v>
      </c>
      <c r="C24" s="5" t="str">
        <f t="shared" si="27"/>
        <v>description,dailCompDescSoldier22,</v>
      </c>
      <c r="D24" s="5" t="str">
        <f t="shared" si="28"/>
        <v>itemText,dailCompTextSoldier22,</v>
      </c>
      <c r="E24" s="5" t="str">
        <f t="shared" si="20"/>
        <v>augmentSkillLevel1,1,</v>
      </c>
      <c r="F24" s="5" t="str">
        <f t="shared" si="21"/>
        <v>augmentSkillName1,records/skills/playerclass01/warcry1.dbr,</v>
      </c>
      <c r="G24" s="7">
        <f t="shared" si="16"/>
        <v>22</v>
      </c>
      <c r="H24" s="8" t="str">
        <f t="shared" si="17"/>
        <v>Soldier</v>
      </c>
      <c r="I24" s="3" t="s">
        <v>23</v>
      </c>
      <c r="J24" s="8" t="str">
        <f t="shared" si="18"/>
        <v>class0001</v>
      </c>
      <c r="K24" s="8" t="str">
        <f t="shared" si="18"/>
        <v>dailoneskill0001</v>
      </c>
      <c r="L24" s="5" t="str">
        <f t="shared" si="4"/>
        <v>lootName22,DAIL/items/materia/class0001/Soldier22.dbr,</v>
      </c>
      <c r="M24" s="5" t="str">
        <f t="shared" si="5"/>
        <v>lootWeight22,1,</v>
      </c>
      <c r="N24" t="str">
        <f t="shared" si="6"/>
        <v>1</v>
      </c>
      <c r="O24" t="str">
        <f t="shared" si="22"/>
        <v>copy .\dail_base.dbr .\items\materia\class0001\Soldier22.dbr /y</v>
      </c>
      <c r="P24" t="str">
        <f t="shared" si="7"/>
        <v>echo relicBitmap,items/craftingparts/components/component_a52_bristlyfur_b.tex, &gt;&gt; .\items\materia\class0001\Soldier22.dbr</v>
      </c>
      <c r="Q24" t="str">
        <f t="shared" si="8"/>
        <v>echo itemCost,300000, &gt;&gt; .\items\materia\class0001\Soldier22.dbr</v>
      </c>
      <c r="R24" t="str">
        <f t="shared" si="9"/>
        <v>echo description,dailCompDescSoldier22, &gt;&gt; .\items\materia\class0001\Soldier22.dbr</v>
      </c>
      <c r="S24" t="str">
        <f t="shared" si="10"/>
        <v>echo itemText,dailCompTextSoldier22, &gt;&gt; .\items\materia\class0001\Soldier22.dbr</v>
      </c>
      <c r="T24" t="str">
        <f t="shared" si="11"/>
        <v>echo augmentSkillLevel1,1, &gt;&gt; .\items\materia\class0001\Soldier22.dbr</v>
      </c>
      <c r="U24" t="str">
        <f t="shared" si="12"/>
        <v>echo augmentSkillName1,records/skills/playerclass01/warcry1.dbr, &gt;&gt; .\items\materia\class0001\Soldier22.dbr</v>
      </c>
      <c r="V24" s="5" t="s">
        <v>36</v>
      </c>
      <c r="W24" t="str">
        <f t="shared" si="13"/>
        <v>echo lootName22,DAIL/items/materia/class0001/Soldier22.dbr, &gt;&gt; .\items\loottables\dailoneskill0001.dbr</v>
      </c>
      <c r="X24" t="str">
        <f t="shared" si="14"/>
        <v>echo lootWeight22,1, &gt;&gt; .\items\loottables\dailoneskill0001.dbr</v>
      </c>
      <c r="Y24" s="5" t="s">
        <v>36</v>
      </c>
      <c r="Z24" t="str">
        <f t="shared" si="15"/>
        <v xml:space="preserve"> dailCompDescSoldier22=^pSoldier's Gift of DAIL</v>
      </c>
      <c r="AA24" t="str">
        <f t="shared" si="23"/>
        <v>dailCompTextSoldier22=^oThis feels warm to the touch, almost familiar ^w(This component fits into all Jewellery slots including the Belt And Shoulder)</v>
      </c>
      <c r="AB24" s="5" t="s">
        <v>36</v>
      </c>
      <c r="AH24">
        <f t="shared" si="25"/>
        <v>19</v>
      </c>
      <c r="AI24">
        <f t="shared" si="19"/>
        <v>26</v>
      </c>
      <c r="AJ24">
        <f t="shared" si="24"/>
        <v>1</v>
      </c>
    </row>
    <row r="25" spans="1:36" x14ac:dyDescent="0.25">
      <c r="A25" s="5" t="s">
        <v>39</v>
      </c>
      <c r="B25" s="5" t="s">
        <v>28</v>
      </c>
      <c r="C25" s="5" t="str">
        <f t="shared" si="27"/>
        <v>description,dailCompDescSoldier23,</v>
      </c>
      <c r="D25" s="5" t="str">
        <f t="shared" si="28"/>
        <v>itemText,dailCompTextSoldier23,</v>
      </c>
      <c r="E25" s="5" t="str">
        <f t="shared" si="20"/>
        <v>augmentSkillLevel1,1,</v>
      </c>
      <c r="F25" s="5" t="str">
        <f t="shared" si="21"/>
        <v>augmentSkillName1,records/skills/playerclass01/warcry1b.dbr,</v>
      </c>
      <c r="G25" s="7">
        <f t="shared" si="16"/>
        <v>23</v>
      </c>
      <c r="H25" s="8" t="str">
        <f t="shared" si="17"/>
        <v>Soldier</v>
      </c>
      <c r="I25" s="3" t="s">
        <v>259</v>
      </c>
      <c r="J25" s="8" t="str">
        <f t="shared" si="18"/>
        <v>class0001</v>
      </c>
      <c r="K25" s="8" t="str">
        <f t="shared" si="18"/>
        <v>dailoneskill0001</v>
      </c>
      <c r="L25" s="5" t="str">
        <f t="shared" si="4"/>
        <v>lootName23,DAIL/items/materia/class0001/Soldier23.dbr,</v>
      </c>
      <c r="M25" s="5" t="str">
        <f t="shared" si="5"/>
        <v>lootWeight23,1,</v>
      </c>
      <c r="N25" t="str">
        <f t="shared" si="6"/>
        <v>1</v>
      </c>
      <c r="O25" t="str">
        <f t="shared" si="22"/>
        <v>copy .\dail_base.dbr .\items\materia\class0001\Soldier23.dbr /y</v>
      </c>
      <c r="P25" t="str">
        <f t="shared" si="7"/>
        <v>echo relicBitmap,items/craftingparts/components/component_a52_bristlyfur_b.tex, &gt;&gt; .\items\materia\class0001\Soldier23.dbr</v>
      </c>
      <c r="Q25" t="str">
        <f t="shared" si="8"/>
        <v>echo itemCost,300000, &gt;&gt; .\items\materia\class0001\Soldier23.dbr</v>
      </c>
      <c r="R25" t="str">
        <f t="shared" si="9"/>
        <v>echo description,dailCompDescSoldier23, &gt;&gt; .\items\materia\class0001\Soldier23.dbr</v>
      </c>
      <c r="S25" t="str">
        <f t="shared" si="10"/>
        <v>echo itemText,dailCompTextSoldier23, &gt;&gt; .\items\materia\class0001\Soldier23.dbr</v>
      </c>
      <c r="T25" t="str">
        <f t="shared" si="11"/>
        <v>echo augmentSkillLevel1,1, &gt;&gt; .\items\materia\class0001\Soldier23.dbr</v>
      </c>
      <c r="U25" t="str">
        <f t="shared" si="12"/>
        <v>echo augmentSkillName1,records/skills/playerclass01/warcry1b.dbr, &gt;&gt; .\items\materia\class0001\Soldier23.dbr</v>
      </c>
      <c r="V25" s="5" t="s">
        <v>36</v>
      </c>
      <c r="W25" t="str">
        <f t="shared" si="13"/>
        <v>echo lootName23,DAIL/items/materia/class0001/Soldier23.dbr, &gt;&gt; .\items\loottables\dailoneskill0001.dbr</v>
      </c>
      <c r="X25" t="str">
        <f t="shared" si="14"/>
        <v>echo lootWeight23,1, &gt;&gt; .\items\loottables\dailoneskill0001.dbr</v>
      </c>
      <c r="Y25" s="5" t="s">
        <v>36</v>
      </c>
      <c r="Z25" t="str">
        <f t="shared" si="15"/>
        <v xml:space="preserve"> dailCompDescSoldier23=^pSoldier's Gift of DAIL</v>
      </c>
      <c r="AA25" t="str">
        <f t="shared" si="23"/>
        <v>dailCompTextSoldier23=^oThis feels warm to the touch, almost familiar ^w(This component fits into all Jewellery slots including the Belt And Shoulder)</v>
      </c>
      <c r="AB25" s="5" t="s">
        <v>36</v>
      </c>
      <c r="AH25">
        <f t="shared" si="25"/>
        <v>20</v>
      </c>
      <c r="AI25">
        <f t="shared" si="19"/>
        <v>27</v>
      </c>
      <c r="AJ25">
        <f t="shared" si="24"/>
        <v>1</v>
      </c>
    </row>
    <row r="26" spans="1:36" x14ac:dyDescent="0.25">
      <c r="A26" s="5" t="s">
        <v>39</v>
      </c>
      <c r="B26" s="5" t="s">
        <v>28</v>
      </c>
      <c r="C26" s="5" t="str">
        <f t="shared" si="27"/>
        <v>description,dailCompDescSoldier24,</v>
      </c>
      <c r="D26" s="5" t="str">
        <f t="shared" si="28"/>
        <v>itemText,dailCompTextSoldier24,</v>
      </c>
      <c r="E26" s="5" t="str">
        <f t="shared" si="20"/>
        <v>augmentSkillLevel1,1,</v>
      </c>
      <c r="F26" s="5" t="str">
        <f t="shared" si="21"/>
        <v>augmentSkillName1,records/skills/playerclass01/warcry2.dbr,</v>
      </c>
      <c r="G26" s="7">
        <f t="shared" si="16"/>
        <v>24</v>
      </c>
      <c r="H26" s="8" t="str">
        <f t="shared" si="17"/>
        <v>Soldier</v>
      </c>
      <c r="I26" s="3" t="s">
        <v>260</v>
      </c>
      <c r="J26" s="8" t="str">
        <f t="shared" si="18"/>
        <v>class0001</v>
      </c>
      <c r="K26" s="8" t="str">
        <f t="shared" si="18"/>
        <v>dailoneskill0001</v>
      </c>
      <c r="L26" s="5" t="str">
        <f t="shared" si="4"/>
        <v>lootName24,DAIL/items/materia/class0001/Soldier24.dbr,</v>
      </c>
      <c r="M26" s="5" t="str">
        <f t="shared" si="5"/>
        <v>lootWeight24,1,</v>
      </c>
      <c r="N26" t="str">
        <f t="shared" si="6"/>
        <v>1</v>
      </c>
      <c r="O26" t="str">
        <f t="shared" si="22"/>
        <v>copy .\dail_base.dbr .\items\materia\class0001\Soldier24.dbr /y</v>
      </c>
      <c r="P26" t="str">
        <f t="shared" si="7"/>
        <v>echo relicBitmap,items/craftingparts/components/component_a52_bristlyfur_b.tex, &gt;&gt; .\items\materia\class0001\Soldier24.dbr</v>
      </c>
      <c r="Q26" t="str">
        <f t="shared" si="8"/>
        <v>echo itemCost,300000, &gt;&gt; .\items\materia\class0001\Soldier24.dbr</v>
      </c>
      <c r="R26" t="str">
        <f t="shared" si="9"/>
        <v>echo description,dailCompDescSoldier24, &gt;&gt; .\items\materia\class0001\Soldier24.dbr</v>
      </c>
      <c r="S26" t="str">
        <f t="shared" si="10"/>
        <v>echo itemText,dailCompTextSoldier24, &gt;&gt; .\items\materia\class0001\Soldier24.dbr</v>
      </c>
      <c r="T26" t="str">
        <f t="shared" si="11"/>
        <v>echo augmentSkillLevel1,1, &gt;&gt; .\items\materia\class0001\Soldier24.dbr</v>
      </c>
      <c r="U26" t="str">
        <f t="shared" si="12"/>
        <v>echo augmentSkillName1,records/skills/playerclass01/warcry2.dbr, &gt;&gt; .\items\materia\class0001\Soldier24.dbr</v>
      </c>
      <c r="V26" s="5" t="s">
        <v>36</v>
      </c>
      <c r="W26" t="str">
        <f t="shared" si="13"/>
        <v>echo lootName24,DAIL/items/materia/class0001/Soldier24.dbr, &gt;&gt; .\items\loottables\dailoneskill0001.dbr</v>
      </c>
      <c r="X26" t="str">
        <f t="shared" si="14"/>
        <v>echo lootWeight24,1, &gt;&gt; .\items\loottables\dailoneskill0001.dbr</v>
      </c>
      <c r="Y26" s="5" t="s">
        <v>36</v>
      </c>
      <c r="Z26" t="str">
        <f t="shared" si="15"/>
        <v xml:space="preserve"> dailCompDescSoldier24=^pSoldier's Gift of DAIL</v>
      </c>
      <c r="AA26" t="str">
        <f t="shared" si="23"/>
        <v>dailCompTextSoldier24=^oThis feels warm to the touch, almost familiar ^w(This component fits into all Jewellery slots including the Belt And Shoulder)</v>
      </c>
      <c r="AB26" s="5" t="s">
        <v>36</v>
      </c>
      <c r="AH26">
        <f t="shared" si="25"/>
        <v>21</v>
      </c>
      <c r="AI26">
        <f t="shared" si="19"/>
        <v>26</v>
      </c>
      <c r="AJ26">
        <f t="shared" si="24"/>
        <v>1</v>
      </c>
    </row>
    <row r="27" spans="1:36" x14ac:dyDescent="0.25">
      <c r="A27" s="5" t="s">
        <v>39</v>
      </c>
      <c r="B27" s="5" t="s">
        <v>28</v>
      </c>
      <c r="C27" s="5" t="str">
        <f t="shared" si="27"/>
        <v>description,dailCompDescSoldier25,</v>
      </c>
      <c r="D27" s="5" t="str">
        <f t="shared" si="28"/>
        <v>itemText,dailCompTextSoldier25,</v>
      </c>
      <c r="E27" s="5" t="str">
        <f t="shared" si="20"/>
        <v>augmentSkillLevel1,1,</v>
      </c>
      <c r="F27" s="5" t="str">
        <f t="shared" si="21"/>
        <v>augmentSkillName1,records/skills/playerclass01/cadence1b.dbr,</v>
      </c>
      <c r="G27" s="7">
        <f t="shared" si="16"/>
        <v>25</v>
      </c>
      <c r="H27" s="8" t="str">
        <f t="shared" si="17"/>
        <v>Soldier</v>
      </c>
      <c r="I27" s="3" t="s">
        <v>261</v>
      </c>
      <c r="J27" s="8" t="str">
        <f t="shared" si="18"/>
        <v>class0001</v>
      </c>
      <c r="K27" s="8" t="str">
        <f t="shared" si="18"/>
        <v>dailoneskill0001</v>
      </c>
      <c r="L27" s="5" t="str">
        <f t="shared" si="4"/>
        <v>lootName25,DAIL/items/materia/class0001/Soldier25.dbr,</v>
      </c>
      <c r="M27" s="5" t="str">
        <f t="shared" si="5"/>
        <v>lootWeight25,1,</v>
      </c>
      <c r="N27" t="str">
        <f t="shared" si="6"/>
        <v>1</v>
      </c>
      <c r="O27" t="str">
        <f t="shared" si="22"/>
        <v>copy .\dail_base.dbr .\items\materia\class0001\Soldier25.dbr /y</v>
      </c>
      <c r="P27" t="str">
        <f t="shared" si="7"/>
        <v>echo relicBitmap,items/craftingparts/components/component_a52_bristlyfur_b.tex, &gt;&gt; .\items\materia\class0001\Soldier25.dbr</v>
      </c>
      <c r="Q27" t="str">
        <f t="shared" si="8"/>
        <v>echo itemCost,300000, &gt;&gt; .\items\materia\class0001\Soldier25.dbr</v>
      </c>
      <c r="R27" t="str">
        <f t="shared" si="9"/>
        <v>echo description,dailCompDescSoldier25, &gt;&gt; .\items\materia\class0001\Soldier25.dbr</v>
      </c>
      <c r="S27" t="str">
        <f t="shared" si="10"/>
        <v>echo itemText,dailCompTextSoldier25, &gt;&gt; .\items\materia\class0001\Soldier25.dbr</v>
      </c>
      <c r="T27" t="str">
        <f t="shared" si="11"/>
        <v>echo augmentSkillLevel1,1, &gt;&gt; .\items\materia\class0001\Soldier25.dbr</v>
      </c>
      <c r="U27" t="str">
        <f t="shared" si="12"/>
        <v>echo augmentSkillName1,records/skills/playerclass01/cadence1b.dbr, &gt;&gt; .\items\materia\class0001\Soldier25.dbr</v>
      </c>
      <c r="V27" s="5" t="s">
        <v>36</v>
      </c>
      <c r="W27" t="str">
        <f t="shared" si="13"/>
        <v>echo lootName25,DAIL/items/materia/class0001/Soldier25.dbr, &gt;&gt; .\items\loottables\dailoneskill0001.dbr</v>
      </c>
      <c r="X27" t="str">
        <f t="shared" si="14"/>
        <v>echo lootWeight25,1, &gt;&gt; .\items\loottables\dailoneskill0001.dbr</v>
      </c>
      <c r="Y27" s="5" t="s">
        <v>36</v>
      </c>
      <c r="Z27" t="str">
        <f t="shared" si="15"/>
        <v xml:space="preserve"> dailCompDescSoldier25=^pSoldier's Gift of DAIL</v>
      </c>
      <c r="AA27" t="str">
        <f t="shared" si="23"/>
        <v>dailCompTextSoldier25=^oThis feels warm to the touch, almost familiar ^w(This component fits into all Jewellery slots including the Belt And Shoulder)</v>
      </c>
      <c r="AB27" s="5" t="s">
        <v>36</v>
      </c>
      <c r="AH27">
        <f t="shared" si="25"/>
        <v>22</v>
      </c>
      <c r="AI27">
        <f t="shared" si="19"/>
        <v>28</v>
      </c>
      <c r="AJ27">
        <f t="shared" si="24"/>
        <v>1</v>
      </c>
    </row>
    <row r="28" spans="1:36" x14ac:dyDescent="0.25">
      <c r="A28" s="5" t="s">
        <v>39</v>
      </c>
      <c r="B28" s="5" t="s">
        <v>28</v>
      </c>
      <c r="C28" s="5" t="str">
        <f t="shared" si="27"/>
        <v>description,dailCompDescSoldier26,</v>
      </c>
      <c r="D28" s="5" t="str">
        <f t="shared" si="28"/>
        <v>itemText,dailCompTextSoldier26,</v>
      </c>
      <c r="E28" s="5" t="str">
        <f t="shared" si="20"/>
        <v>augmentSkillLevel1,1,</v>
      </c>
      <c r="F28" s="5" t="str">
        <f t="shared" si="21"/>
        <v>augmentSkillName1,records/skills/playerclass01/willtolive1.dbr,</v>
      </c>
      <c r="G28" s="7">
        <f t="shared" si="16"/>
        <v>26</v>
      </c>
      <c r="H28" s="8" t="str">
        <f t="shared" si="17"/>
        <v>Soldier</v>
      </c>
      <c r="I28" s="3" t="s">
        <v>262</v>
      </c>
      <c r="J28" s="8" t="str">
        <f t="shared" si="18"/>
        <v>class0001</v>
      </c>
      <c r="K28" s="8" t="str">
        <f t="shared" si="18"/>
        <v>dailoneskill0001</v>
      </c>
      <c r="L28" s="5" t="str">
        <f t="shared" si="4"/>
        <v>lootName26,DAIL/items/materia/class0001/Soldier26.dbr,</v>
      </c>
      <c r="M28" s="5" t="str">
        <f t="shared" si="5"/>
        <v>lootWeight26,1,</v>
      </c>
      <c r="N28" t="str">
        <f t="shared" si="6"/>
        <v>1</v>
      </c>
      <c r="O28" t="str">
        <f t="shared" si="22"/>
        <v>copy .\dail_base.dbr .\items\materia\class0001\Soldier26.dbr /y</v>
      </c>
      <c r="P28" t="str">
        <f t="shared" si="7"/>
        <v>echo relicBitmap,items/craftingparts/components/component_a52_bristlyfur_b.tex, &gt;&gt; .\items\materia\class0001\Soldier26.dbr</v>
      </c>
      <c r="Q28" t="str">
        <f t="shared" si="8"/>
        <v>echo itemCost,300000, &gt;&gt; .\items\materia\class0001\Soldier26.dbr</v>
      </c>
      <c r="R28" t="str">
        <f t="shared" si="9"/>
        <v>echo description,dailCompDescSoldier26, &gt;&gt; .\items\materia\class0001\Soldier26.dbr</v>
      </c>
      <c r="S28" t="str">
        <f t="shared" si="10"/>
        <v>echo itemText,dailCompTextSoldier26, &gt;&gt; .\items\materia\class0001\Soldier26.dbr</v>
      </c>
      <c r="T28" t="str">
        <f t="shared" si="11"/>
        <v>echo augmentSkillLevel1,1, &gt;&gt; .\items\materia\class0001\Soldier26.dbr</v>
      </c>
      <c r="U28" t="str">
        <f t="shared" si="12"/>
        <v>echo augmentSkillName1,records/skills/playerclass01/willtolive1.dbr, &gt;&gt; .\items\materia\class0001\Soldier26.dbr</v>
      </c>
      <c r="V28" s="5" t="s">
        <v>36</v>
      </c>
      <c r="W28" t="str">
        <f t="shared" si="13"/>
        <v>echo lootName26,DAIL/items/materia/class0001/Soldier26.dbr, &gt;&gt; .\items\loottables\dailoneskill0001.dbr</v>
      </c>
      <c r="X28" t="str">
        <f t="shared" si="14"/>
        <v>echo lootWeight26,1, &gt;&gt; .\items\loottables\dailoneskill0001.dbr</v>
      </c>
      <c r="Y28" s="5" t="s">
        <v>36</v>
      </c>
      <c r="Z28" t="str">
        <f t="shared" si="15"/>
        <v xml:space="preserve"> dailCompDescSoldier26=^pSoldier's Gift of DAIL</v>
      </c>
      <c r="AA28" t="str">
        <f t="shared" si="23"/>
        <v>dailCompTextSoldier26=^oThis feels warm to the touch, almost familiar ^w(This component fits into all Jewellery slots including the Belt And Shoulder)</v>
      </c>
      <c r="AB28" s="5" t="s">
        <v>36</v>
      </c>
      <c r="AH28">
        <f t="shared" si="25"/>
        <v>23</v>
      </c>
      <c r="AI28">
        <f t="shared" si="19"/>
        <v>30</v>
      </c>
      <c r="AJ28">
        <f t="shared" si="24"/>
        <v>1</v>
      </c>
    </row>
    <row r="29" spans="1:36" x14ac:dyDescent="0.25">
      <c r="A29" s="5" t="s">
        <v>39</v>
      </c>
      <c r="B29" s="5" t="s">
        <v>28</v>
      </c>
      <c r="C29" s="5" t="str">
        <f t="shared" si="27"/>
        <v>description,dailCompDescSoldier27,</v>
      </c>
      <c r="D29" s="5" t="str">
        <f t="shared" si="28"/>
        <v>itemText,dailCompTextSoldier27,</v>
      </c>
      <c r="E29" s="5" t="str">
        <f t="shared" si="20"/>
        <v>augmentSkillLevel1,1,</v>
      </c>
      <c r="F29" s="5" t="str">
        <f t="shared" si="21"/>
        <v>augmentSkillName1,records/skills/playerclass01/overguard1.dbr,</v>
      </c>
      <c r="G29" s="7">
        <f t="shared" si="16"/>
        <v>27</v>
      </c>
      <c r="H29" s="8" t="str">
        <f t="shared" si="17"/>
        <v>Soldier</v>
      </c>
      <c r="I29" s="3" t="s">
        <v>17</v>
      </c>
      <c r="J29" s="8" t="str">
        <f t="shared" si="18"/>
        <v>class0001</v>
      </c>
      <c r="K29" s="8" t="str">
        <f t="shared" si="18"/>
        <v>dailoneskill0001</v>
      </c>
      <c r="L29" s="5" t="str">
        <f t="shared" si="4"/>
        <v>lootName27,DAIL/items/materia/class0001/Soldier27.dbr,</v>
      </c>
      <c r="M29" s="5" t="str">
        <f t="shared" si="5"/>
        <v>lootWeight27,1,</v>
      </c>
      <c r="N29" t="str">
        <f t="shared" si="6"/>
        <v>1</v>
      </c>
      <c r="O29" t="str">
        <f t="shared" si="22"/>
        <v>copy .\dail_base.dbr .\items\materia\class0001\Soldier27.dbr /y</v>
      </c>
      <c r="P29" t="str">
        <f t="shared" si="7"/>
        <v>echo relicBitmap,items/craftingparts/components/component_a52_bristlyfur_b.tex, &gt;&gt; .\items\materia\class0001\Soldier27.dbr</v>
      </c>
      <c r="Q29" t="str">
        <f t="shared" si="8"/>
        <v>echo itemCost,300000, &gt;&gt; .\items\materia\class0001\Soldier27.dbr</v>
      </c>
      <c r="R29" t="str">
        <f t="shared" si="9"/>
        <v>echo description,dailCompDescSoldier27, &gt;&gt; .\items\materia\class0001\Soldier27.dbr</v>
      </c>
      <c r="S29" t="str">
        <f t="shared" si="10"/>
        <v>echo itemText,dailCompTextSoldier27, &gt;&gt; .\items\materia\class0001\Soldier27.dbr</v>
      </c>
      <c r="T29" t="str">
        <f t="shared" si="11"/>
        <v>echo augmentSkillLevel1,1, &gt;&gt; .\items\materia\class0001\Soldier27.dbr</v>
      </c>
      <c r="U29" t="str">
        <f t="shared" si="12"/>
        <v>echo augmentSkillName1,records/skills/playerclass01/overguard1.dbr, &gt;&gt; .\items\materia\class0001\Soldier27.dbr</v>
      </c>
      <c r="V29" s="5" t="s">
        <v>36</v>
      </c>
      <c r="W29" t="str">
        <f t="shared" si="13"/>
        <v>echo lootName27,DAIL/items/materia/class0001/Soldier27.dbr, &gt;&gt; .\items\loottables\dailoneskill0001.dbr</v>
      </c>
      <c r="X29" t="str">
        <f t="shared" si="14"/>
        <v>echo lootWeight27,1, &gt;&gt; .\items\loottables\dailoneskill0001.dbr</v>
      </c>
      <c r="Y29" s="5" t="s">
        <v>36</v>
      </c>
      <c r="Z29" t="str">
        <f t="shared" si="15"/>
        <v xml:space="preserve"> dailCompDescSoldier27=^pSoldier's Gift of DAIL</v>
      </c>
      <c r="AA29" t="str">
        <f t="shared" si="23"/>
        <v>dailCompTextSoldier27=^oThis feels warm to the touch, almost familiar ^w(This component fits into all Jewellery slots including the Belt And Shoulder)</v>
      </c>
      <c r="AB29" s="5" t="s">
        <v>36</v>
      </c>
      <c r="AH29">
        <f t="shared" si="25"/>
        <v>24</v>
      </c>
      <c r="AI29">
        <f t="shared" si="19"/>
        <v>29</v>
      </c>
      <c r="AJ29">
        <f t="shared" si="24"/>
        <v>1</v>
      </c>
    </row>
    <row r="30" spans="1:36" x14ac:dyDescent="0.25">
      <c r="A30" s="5" t="s">
        <v>39</v>
      </c>
      <c r="B30" s="5" t="s">
        <v>28</v>
      </c>
      <c r="C30" s="5" t="str">
        <f t="shared" si="27"/>
        <v>description,dailCompDescSoldier28,</v>
      </c>
      <c r="D30" s="5" t="str">
        <f t="shared" si="28"/>
        <v>itemText,dailCompTextSoldier28,</v>
      </c>
      <c r="E30" s="5" t="str">
        <f t="shared" si="20"/>
        <v>augmentSkillLevel1,1,</v>
      </c>
      <c r="F30" s="5" t="str">
        <f t="shared" si="21"/>
        <v>augmentSkillName1,records/skills/playerclass01/fightingspirit1.dbr,</v>
      </c>
      <c r="G30" s="7">
        <f t="shared" si="16"/>
        <v>28</v>
      </c>
      <c r="H30" s="8" t="str">
        <f t="shared" si="17"/>
        <v>Soldier</v>
      </c>
      <c r="I30" s="3" t="s">
        <v>16</v>
      </c>
      <c r="J30" s="8" t="str">
        <f t="shared" si="18"/>
        <v>class0001</v>
      </c>
      <c r="K30" s="8" t="str">
        <f t="shared" si="18"/>
        <v>dailoneskill0001</v>
      </c>
      <c r="L30" s="5" t="str">
        <f t="shared" si="4"/>
        <v>lootName28,DAIL/items/materia/class0001/Soldier28.dbr,</v>
      </c>
      <c r="M30" s="5" t="str">
        <f t="shared" si="5"/>
        <v>lootWeight28,1,</v>
      </c>
      <c r="N30" t="str">
        <f t="shared" si="6"/>
        <v>1</v>
      </c>
      <c r="O30" t="str">
        <f t="shared" si="22"/>
        <v>copy .\dail_base.dbr .\items\materia\class0001\Soldier28.dbr /y</v>
      </c>
      <c r="P30" t="str">
        <f t="shared" si="7"/>
        <v>echo relicBitmap,items/craftingparts/components/component_a52_bristlyfur_b.tex, &gt;&gt; .\items\materia\class0001\Soldier28.dbr</v>
      </c>
      <c r="Q30" t="str">
        <f t="shared" si="8"/>
        <v>echo itemCost,300000, &gt;&gt; .\items\materia\class0001\Soldier28.dbr</v>
      </c>
      <c r="R30" t="str">
        <f t="shared" si="9"/>
        <v>echo description,dailCompDescSoldier28, &gt;&gt; .\items\materia\class0001\Soldier28.dbr</v>
      </c>
      <c r="S30" t="str">
        <f t="shared" si="10"/>
        <v>echo itemText,dailCompTextSoldier28, &gt;&gt; .\items\materia\class0001\Soldier28.dbr</v>
      </c>
      <c r="T30" t="str">
        <f t="shared" si="11"/>
        <v>echo augmentSkillLevel1,1, &gt;&gt; .\items\materia\class0001\Soldier28.dbr</v>
      </c>
      <c r="U30" t="str">
        <f t="shared" si="12"/>
        <v>echo augmentSkillName1,records/skills/playerclass01/fightingspirit1.dbr, &gt;&gt; .\items\materia\class0001\Soldier28.dbr</v>
      </c>
      <c r="V30" s="5" t="s">
        <v>36</v>
      </c>
      <c r="W30" t="str">
        <f t="shared" si="13"/>
        <v>echo lootName28,DAIL/items/materia/class0001/Soldier28.dbr, &gt;&gt; .\items\loottables\dailoneskill0001.dbr</v>
      </c>
      <c r="X30" t="str">
        <f t="shared" si="14"/>
        <v>echo lootWeight28,1, &gt;&gt; .\items\loottables\dailoneskill0001.dbr</v>
      </c>
      <c r="Y30" s="5" t="s">
        <v>36</v>
      </c>
      <c r="Z30" t="str">
        <f t="shared" si="15"/>
        <v xml:space="preserve"> dailCompDescSoldier28=^pSoldier's Gift of DAIL</v>
      </c>
      <c r="AA30" t="str">
        <f t="shared" si="23"/>
        <v>dailCompTextSoldier28=^oThis feels warm to the touch, almost familiar ^w(This component fits into all Jewellery slots including the Belt And Shoulder)</v>
      </c>
      <c r="AB30" s="5" t="s">
        <v>36</v>
      </c>
      <c r="AH30">
        <f t="shared" si="25"/>
        <v>25</v>
      </c>
      <c r="AI30">
        <f t="shared" si="19"/>
        <v>34</v>
      </c>
      <c r="AJ30">
        <f t="shared" si="24"/>
        <v>1</v>
      </c>
    </row>
    <row r="31" spans="1:36" x14ac:dyDescent="0.25">
      <c r="A31" s="5" t="s">
        <v>39</v>
      </c>
      <c r="B31" s="5" t="s">
        <v>28</v>
      </c>
      <c r="C31" s="5" t="str">
        <f t="shared" si="27"/>
        <v>description,dailCompDescSoldier29,</v>
      </c>
      <c r="D31" s="5" t="str">
        <f t="shared" si="28"/>
        <v>itemText,dailCompTextSoldier29,</v>
      </c>
      <c r="E31" s="5" t="str">
        <f t="shared" si="20"/>
        <v>augmentSkillLevel1,1,</v>
      </c>
      <c r="F31" s="5" t="str">
        <f t="shared" si="21"/>
        <v>augmentSkillName1,records/skills/playerclass01/cadence2.dbr,</v>
      </c>
      <c r="G31" s="7">
        <f t="shared" si="16"/>
        <v>29</v>
      </c>
      <c r="H31" s="8" t="str">
        <f t="shared" si="17"/>
        <v>Soldier</v>
      </c>
      <c r="I31" s="3" t="s">
        <v>263</v>
      </c>
      <c r="J31" s="8" t="str">
        <f t="shared" si="18"/>
        <v>class0001</v>
      </c>
      <c r="K31" s="8" t="str">
        <f t="shared" si="18"/>
        <v>dailoneskill0001</v>
      </c>
      <c r="L31" s="5" t="str">
        <f t="shared" si="4"/>
        <v>lootName29,DAIL/items/materia/class0001/Soldier29.dbr,</v>
      </c>
      <c r="M31" s="5" t="str">
        <f t="shared" si="5"/>
        <v>lootWeight29,1,</v>
      </c>
      <c r="N31" t="str">
        <f t="shared" si="6"/>
        <v>1</v>
      </c>
      <c r="O31" t="str">
        <f t="shared" si="22"/>
        <v>copy .\dail_base.dbr .\items\materia\class0001\Soldier29.dbr /y</v>
      </c>
      <c r="P31" t="str">
        <f t="shared" si="7"/>
        <v>echo relicBitmap,items/craftingparts/components/component_a52_bristlyfur_b.tex, &gt;&gt; .\items\materia\class0001\Soldier29.dbr</v>
      </c>
      <c r="Q31" t="str">
        <f t="shared" si="8"/>
        <v>echo itemCost,300000, &gt;&gt; .\items\materia\class0001\Soldier29.dbr</v>
      </c>
      <c r="R31" t="str">
        <f t="shared" si="9"/>
        <v>echo description,dailCompDescSoldier29, &gt;&gt; .\items\materia\class0001\Soldier29.dbr</v>
      </c>
      <c r="S31" t="str">
        <f t="shared" si="10"/>
        <v>echo itemText,dailCompTextSoldier29, &gt;&gt; .\items\materia\class0001\Soldier29.dbr</v>
      </c>
      <c r="T31" t="str">
        <f t="shared" si="11"/>
        <v>echo augmentSkillLevel1,1, &gt;&gt; .\items\materia\class0001\Soldier29.dbr</v>
      </c>
      <c r="U31" t="str">
        <f t="shared" si="12"/>
        <v>echo augmentSkillName1,records/skills/playerclass01/cadence2.dbr, &gt;&gt; .\items\materia\class0001\Soldier29.dbr</v>
      </c>
      <c r="V31" s="5" t="s">
        <v>36</v>
      </c>
      <c r="W31" t="str">
        <f t="shared" si="13"/>
        <v>echo lootName29,DAIL/items/materia/class0001/Soldier29.dbr, &gt;&gt; .\items\loottables\dailoneskill0001.dbr</v>
      </c>
      <c r="X31" t="str">
        <f t="shared" si="14"/>
        <v>echo lootWeight29,1, &gt;&gt; .\items\loottables\dailoneskill0001.dbr</v>
      </c>
      <c r="Y31" s="5" t="s">
        <v>36</v>
      </c>
      <c r="Z31" t="str">
        <f t="shared" si="15"/>
        <v xml:space="preserve"> dailCompDescSoldier29=^pSoldier's Gift of DAIL</v>
      </c>
      <c r="AA31" t="str">
        <f t="shared" si="23"/>
        <v>dailCompTextSoldier29=^oThis feels warm to the touch, almost familiar ^w(This component fits into all Jewellery slots including the Belt And Shoulder)</v>
      </c>
      <c r="AB31" s="5" t="s">
        <v>36</v>
      </c>
      <c r="AH31">
        <f t="shared" si="25"/>
        <v>26</v>
      </c>
      <c r="AI31">
        <f t="shared" si="19"/>
        <v>27</v>
      </c>
      <c r="AJ31">
        <f t="shared" si="24"/>
        <v>1</v>
      </c>
    </row>
    <row r="32" spans="1:36" x14ac:dyDescent="0.25">
      <c r="A32" s="5" t="s">
        <v>39</v>
      </c>
      <c r="B32" s="5" t="s">
        <v>30</v>
      </c>
      <c r="C32" s="5" t="str">
        <f t="shared" si="27"/>
        <v>description,dailCompDescSoldier30,</v>
      </c>
      <c r="D32" s="5" t="str">
        <f t="shared" si="28"/>
        <v>itemText,dailCompTextSoldier30,</v>
      </c>
      <c r="E32" s="5" t="str">
        <f t="shared" si="20"/>
        <v>augmentSkillLevel1,1,</v>
      </c>
      <c r="F32" s="5" t="str">
        <f t="shared" si="21"/>
        <v>augmentSkillName1,records/skills/playerclass01/cadence3.dbr,</v>
      </c>
      <c r="G32" s="7">
        <f t="shared" si="16"/>
        <v>30</v>
      </c>
      <c r="H32" s="8" t="str">
        <f t="shared" si="17"/>
        <v>Soldier</v>
      </c>
      <c r="I32" s="3" t="s">
        <v>264</v>
      </c>
      <c r="J32" s="8" t="str">
        <f t="shared" si="18"/>
        <v>class0001</v>
      </c>
      <c r="K32" s="8" t="str">
        <f t="shared" si="18"/>
        <v>dailoneskill0001</v>
      </c>
      <c r="L32" s="5" t="str">
        <f t="shared" si="4"/>
        <v>lootName30,DAIL/items/materia/class0001/Soldier30.dbr,</v>
      </c>
      <c r="M32" s="5" t="str">
        <f t="shared" si="5"/>
        <v>lootWeight30,1,</v>
      </c>
      <c r="N32" t="str">
        <f t="shared" si="6"/>
        <v>1</v>
      </c>
      <c r="O32" t="str">
        <f t="shared" si="22"/>
        <v>copy .\dail_base.dbr .\items\materia\class0001\Soldier30.dbr /y</v>
      </c>
      <c r="P32" t="str">
        <f t="shared" si="7"/>
        <v>echo relicBitmap,items/craftingparts/components/component_a52_bristlyfur_b.tex, &gt;&gt; .\items\materia\class0001\Soldier30.dbr</v>
      </c>
      <c r="Q32" t="str">
        <f t="shared" si="8"/>
        <v>echo itemCost,500000, &gt;&gt; .\items\materia\class0001\Soldier30.dbr</v>
      </c>
      <c r="R32" t="str">
        <f t="shared" si="9"/>
        <v>echo description,dailCompDescSoldier30, &gt;&gt; .\items\materia\class0001\Soldier30.dbr</v>
      </c>
      <c r="S32" t="str">
        <f t="shared" si="10"/>
        <v>echo itemText,dailCompTextSoldier30, &gt;&gt; .\items\materia\class0001\Soldier30.dbr</v>
      </c>
      <c r="T32" t="str">
        <f t="shared" si="11"/>
        <v>echo augmentSkillLevel1,1, &gt;&gt; .\items\materia\class0001\Soldier30.dbr</v>
      </c>
      <c r="U32" t="str">
        <f t="shared" si="12"/>
        <v>echo augmentSkillName1,records/skills/playerclass01/cadence3.dbr, &gt;&gt; .\items\materia\class0001\Soldier30.dbr</v>
      </c>
      <c r="V32" s="5" t="s">
        <v>36</v>
      </c>
      <c r="W32" t="str">
        <f t="shared" si="13"/>
        <v>echo lootName30,DAIL/items/materia/class0001/Soldier30.dbr, &gt;&gt; .\items\loottables\dailoneskill0001.dbr</v>
      </c>
      <c r="X32" t="str">
        <f t="shared" si="14"/>
        <v>echo lootWeight30,1, &gt;&gt; .\items\loottables\dailoneskill0001.dbr</v>
      </c>
      <c r="Y32" s="5" t="s">
        <v>36</v>
      </c>
      <c r="Z32" t="str">
        <f t="shared" si="15"/>
        <v xml:space="preserve"> dailCompDescSoldier30=^pSoldier's Gift of DAIL</v>
      </c>
      <c r="AA32" t="str">
        <f t="shared" si="23"/>
        <v>dailCompTextSoldier30=^oThis feels warm to the touch, almost familiar ^w(This component fits into all Jewellery slots including the Belt And Shoulder)</v>
      </c>
      <c r="AB32" s="5" t="s">
        <v>36</v>
      </c>
      <c r="AH32">
        <f t="shared" si="25"/>
        <v>27</v>
      </c>
      <c r="AI32">
        <f t="shared" si="19"/>
        <v>27</v>
      </c>
      <c r="AJ32">
        <f t="shared" si="24"/>
        <v>1</v>
      </c>
    </row>
    <row r="33" spans="1:36" x14ac:dyDescent="0.25">
      <c r="A33" s="5" t="s">
        <v>39</v>
      </c>
      <c r="B33" s="5" t="s">
        <v>30</v>
      </c>
      <c r="C33" s="5" t="str">
        <f t="shared" si="27"/>
        <v>description,dailCompDescSoldier31,</v>
      </c>
      <c r="D33" s="5" t="str">
        <f t="shared" si="28"/>
        <v>itemText,dailCompTextSoldier31,</v>
      </c>
      <c r="E33" s="5" t="str">
        <f t="shared" si="20"/>
        <v>augmentSkillLevel1,1,</v>
      </c>
      <c r="F33" s="5" t="str">
        <f t="shared" si="21"/>
        <v>augmentSkillName1,records/skills/playerclass01/passive1.dbr,</v>
      </c>
      <c r="G33" s="7">
        <f t="shared" si="16"/>
        <v>31</v>
      </c>
      <c r="H33" s="8" t="str">
        <f t="shared" si="17"/>
        <v>Soldier</v>
      </c>
      <c r="I33" s="3" t="s">
        <v>18</v>
      </c>
      <c r="J33" s="8" t="str">
        <f t="shared" si="18"/>
        <v>class0001</v>
      </c>
      <c r="K33" s="8" t="str">
        <f t="shared" si="18"/>
        <v>dailoneskill0001</v>
      </c>
      <c r="L33" s="5" t="str">
        <f t="shared" si="4"/>
        <v>lootName31,DAIL/items/materia/class0001/Soldier31.dbr,</v>
      </c>
      <c r="M33" s="5" t="str">
        <f t="shared" si="5"/>
        <v>lootWeight31,1,</v>
      </c>
      <c r="N33" t="str">
        <f t="shared" si="6"/>
        <v>1</v>
      </c>
      <c r="O33" t="str">
        <f t="shared" si="22"/>
        <v>copy .\dail_base.dbr .\items\materia\class0001\Soldier31.dbr /y</v>
      </c>
      <c r="P33" t="str">
        <f t="shared" si="7"/>
        <v>echo relicBitmap,items/craftingparts/components/component_a52_bristlyfur_b.tex, &gt;&gt; .\items\materia\class0001\Soldier31.dbr</v>
      </c>
      <c r="Q33" t="str">
        <f t="shared" si="8"/>
        <v>echo itemCost,500000, &gt;&gt; .\items\materia\class0001\Soldier31.dbr</v>
      </c>
      <c r="R33" t="str">
        <f t="shared" si="9"/>
        <v>echo description,dailCompDescSoldier31, &gt;&gt; .\items\materia\class0001\Soldier31.dbr</v>
      </c>
      <c r="S33" t="str">
        <f t="shared" si="10"/>
        <v>echo itemText,dailCompTextSoldier31, &gt;&gt; .\items\materia\class0001\Soldier31.dbr</v>
      </c>
      <c r="T33" t="str">
        <f t="shared" si="11"/>
        <v>echo augmentSkillLevel1,1, &gt;&gt; .\items\materia\class0001\Soldier31.dbr</v>
      </c>
      <c r="U33" t="str">
        <f t="shared" si="12"/>
        <v>echo augmentSkillName1,records/skills/playerclass01/passive1.dbr, &gt;&gt; .\items\materia\class0001\Soldier31.dbr</v>
      </c>
      <c r="V33" s="5" t="s">
        <v>36</v>
      </c>
      <c r="W33" t="str">
        <f t="shared" si="13"/>
        <v>echo lootName31,DAIL/items/materia/class0001/Soldier31.dbr, &gt;&gt; .\items\loottables\dailoneskill0001.dbr</v>
      </c>
      <c r="X33" t="str">
        <f t="shared" si="14"/>
        <v>echo lootWeight31,1, &gt;&gt; .\items\loottables\dailoneskill0001.dbr</v>
      </c>
      <c r="Y33" s="5" t="s">
        <v>36</v>
      </c>
      <c r="Z33" t="str">
        <f t="shared" si="15"/>
        <v xml:space="preserve"> dailCompDescSoldier31=^pSoldier's Gift of DAIL</v>
      </c>
      <c r="AA33" t="str">
        <f t="shared" si="23"/>
        <v>dailCompTextSoldier31=^oThis feels warm to the touch, almost familiar ^w(This component fits into all Jewellery slots including the Belt And Shoulder)</v>
      </c>
      <c r="AB33" s="5" t="s">
        <v>36</v>
      </c>
      <c r="AH33">
        <f t="shared" si="25"/>
        <v>28</v>
      </c>
      <c r="AI33">
        <f t="shared" si="19"/>
        <v>27</v>
      </c>
      <c r="AJ33">
        <f t="shared" si="24"/>
        <v>1</v>
      </c>
    </row>
    <row r="34" spans="1:36" x14ac:dyDescent="0.25">
      <c r="A34" s="5" t="s">
        <v>39</v>
      </c>
      <c r="B34" s="5" t="s">
        <v>30</v>
      </c>
      <c r="C34" s="5" t="str">
        <f t="shared" si="27"/>
        <v>description,dailCompDescSoldier32,</v>
      </c>
      <c r="D34" s="5" t="str">
        <f t="shared" si="28"/>
        <v>itemText,dailCompTextSoldier32,</v>
      </c>
      <c r="E34" s="5" t="str">
        <f t="shared" si="20"/>
        <v>augmentSkillLevel1,1,</v>
      </c>
      <c r="F34" s="5" t="str">
        <f t="shared" si="21"/>
        <v>augmentSkillName1,records/skills/playerclass01/passiveshield.dbr,</v>
      </c>
      <c r="G34" s="7">
        <f t="shared" si="16"/>
        <v>32</v>
      </c>
      <c r="H34" s="8" t="str">
        <f t="shared" si="17"/>
        <v>Soldier</v>
      </c>
      <c r="I34" s="3" t="s">
        <v>19</v>
      </c>
      <c r="J34" s="8" t="str">
        <f t="shared" si="18"/>
        <v>class0001</v>
      </c>
      <c r="K34" s="8" t="str">
        <f t="shared" si="18"/>
        <v>dailoneskill0001</v>
      </c>
      <c r="L34" s="5" t="str">
        <f t="shared" si="4"/>
        <v>lootName32,DAIL/items/materia/class0001/Soldier32.dbr,</v>
      </c>
      <c r="M34" s="5" t="str">
        <f t="shared" si="5"/>
        <v>lootWeight32,1,</v>
      </c>
      <c r="N34" t="str">
        <f t="shared" si="6"/>
        <v>1</v>
      </c>
      <c r="O34" t="str">
        <f t="shared" si="22"/>
        <v>copy .\dail_base.dbr .\items\materia\class0001\Soldier32.dbr /y</v>
      </c>
      <c r="P34" t="str">
        <f t="shared" si="7"/>
        <v>echo relicBitmap,items/craftingparts/components/component_a52_bristlyfur_b.tex, &gt;&gt; .\items\materia\class0001\Soldier32.dbr</v>
      </c>
      <c r="Q34" t="str">
        <f t="shared" si="8"/>
        <v>echo itemCost,500000, &gt;&gt; .\items\materia\class0001\Soldier32.dbr</v>
      </c>
      <c r="R34" t="str">
        <f t="shared" si="9"/>
        <v>echo description,dailCompDescSoldier32, &gt;&gt; .\items\materia\class0001\Soldier32.dbr</v>
      </c>
      <c r="S34" t="str">
        <f t="shared" si="10"/>
        <v>echo itemText,dailCompTextSoldier32, &gt;&gt; .\items\materia\class0001\Soldier32.dbr</v>
      </c>
      <c r="T34" t="str">
        <f t="shared" si="11"/>
        <v>echo augmentSkillLevel1,1, &gt;&gt; .\items\materia\class0001\Soldier32.dbr</v>
      </c>
      <c r="U34" t="str">
        <f t="shared" si="12"/>
        <v>echo augmentSkillName1,records/skills/playerclass01/passiveshield.dbr, &gt;&gt; .\items\materia\class0001\Soldier32.dbr</v>
      </c>
      <c r="V34" s="5" t="s">
        <v>36</v>
      </c>
      <c r="W34" t="str">
        <f t="shared" si="13"/>
        <v>echo lootName32,DAIL/items/materia/class0001/Soldier32.dbr, &gt;&gt; .\items\loottables\dailoneskill0001.dbr</v>
      </c>
      <c r="X34" t="str">
        <f t="shared" si="14"/>
        <v>echo lootWeight32,1, &gt;&gt; .\items\loottables\dailoneskill0001.dbr</v>
      </c>
      <c r="Y34" s="5" t="s">
        <v>36</v>
      </c>
      <c r="Z34" t="str">
        <f t="shared" si="15"/>
        <v xml:space="preserve"> dailCompDescSoldier32=^pSoldier's Gift of DAIL</v>
      </c>
      <c r="AA34" t="str">
        <f t="shared" si="23"/>
        <v>dailCompTextSoldier32=^oThis feels warm to the touch, almost familiar ^w(This component fits into all Jewellery slots including the Belt And Shoulder)</v>
      </c>
      <c r="AB34" s="5" t="s">
        <v>36</v>
      </c>
      <c r="AH34">
        <f t="shared" si="25"/>
        <v>29</v>
      </c>
      <c r="AI34">
        <f t="shared" si="19"/>
        <v>32</v>
      </c>
      <c r="AJ34">
        <f t="shared" si="24"/>
        <v>1</v>
      </c>
    </row>
    <row r="35" spans="1:36" x14ac:dyDescent="0.25">
      <c r="A35" s="5" t="s">
        <v>39</v>
      </c>
      <c r="B35" s="5" t="s">
        <v>30</v>
      </c>
      <c r="C35" s="5" t="str">
        <f t="shared" si="27"/>
        <v>description,dailCompDescSoldier33,</v>
      </c>
      <c r="D35" s="5" t="str">
        <f t="shared" si="28"/>
        <v>itemText,dailCompTextSoldier33,</v>
      </c>
      <c r="E35" s="5" t="str">
        <f t="shared" si="20"/>
        <v>augmentSkillLevel1,1,</v>
      </c>
      <c r="F35" s="5" t="str">
        <f t="shared" si="21"/>
        <v>augmentSkillName1,records/skills/playerclass01/passive2.dbr,</v>
      </c>
      <c r="G35" s="7">
        <f t="shared" si="16"/>
        <v>33</v>
      </c>
      <c r="H35" s="8" t="str">
        <f t="shared" si="17"/>
        <v>Soldier</v>
      </c>
      <c r="I35" s="3" t="s">
        <v>265</v>
      </c>
      <c r="J35" s="8" t="str">
        <f t="shared" si="18"/>
        <v>class0001</v>
      </c>
      <c r="K35" s="8" t="str">
        <f t="shared" si="18"/>
        <v>dailoneskill0001</v>
      </c>
      <c r="L35" s="5" t="str">
        <f t="shared" si="4"/>
        <v>lootName33,DAIL/items/materia/class0001/Soldier33.dbr,</v>
      </c>
      <c r="M35" s="5" t="str">
        <f t="shared" si="5"/>
        <v>lootWeight33,1,</v>
      </c>
      <c r="N35" t="str">
        <f t="shared" si="6"/>
        <v>1</v>
      </c>
      <c r="O35" t="str">
        <f t="shared" si="22"/>
        <v>copy .\dail_base.dbr .\items\materia\class0001\Soldier33.dbr /y</v>
      </c>
      <c r="P35" t="str">
        <f t="shared" si="7"/>
        <v>echo relicBitmap,items/craftingparts/components/component_a52_bristlyfur_b.tex, &gt;&gt; .\items\materia\class0001\Soldier33.dbr</v>
      </c>
      <c r="Q35" t="str">
        <f t="shared" si="8"/>
        <v>echo itemCost,500000, &gt;&gt; .\items\materia\class0001\Soldier33.dbr</v>
      </c>
      <c r="R35" t="str">
        <f t="shared" si="9"/>
        <v>echo description,dailCompDescSoldier33, &gt;&gt; .\items\materia\class0001\Soldier33.dbr</v>
      </c>
      <c r="S35" t="str">
        <f t="shared" si="10"/>
        <v>echo itemText,dailCompTextSoldier33, &gt;&gt; .\items\materia\class0001\Soldier33.dbr</v>
      </c>
      <c r="T35" t="str">
        <f t="shared" si="11"/>
        <v>echo augmentSkillLevel1,1, &gt;&gt; .\items\materia\class0001\Soldier33.dbr</v>
      </c>
      <c r="U35" t="str">
        <f t="shared" si="12"/>
        <v>echo augmentSkillName1,records/skills/playerclass01/passive2.dbr, &gt;&gt; .\items\materia\class0001\Soldier33.dbr</v>
      </c>
      <c r="V35" s="5" t="s">
        <v>36</v>
      </c>
      <c r="W35" t="str">
        <f t="shared" si="13"/>
        <v>echo lootName33,DAIL/items/materia/class0001/Soldier33.dbr, &gt;&gt; .\items\loottables\dailoneskill0001.dbr</v>
      </c>
      <c r="X35" t="str">
        <f t="shared" si="14"/>
        <v>echo lootWeight33,1, &gt;&gt; .\items\loottables\dailoneskill0001.dbr</v>
      </c>
      <c r="Y35" s="5" t="s">
        <v>36</v>
      </c>
      <c r="Z35" t="str">
        <f t="shared" si="15"/>
        <v xml:space="preserve"> dailCompDescSoldier33=^pSoldier's Gift of DAIL</v>
      </c>
      <c r="AA35" t="str">
        <f t="shared" si="23"/>
        <v>dailCompTextSoldier33=^oThis feels warm to the touch, almost familiar ^w(This component fits into all Jewellery slots including the Belt And Shoulder)</v>
      </c>
      <c r="AB35" s="5" t="s">
        <v>36</v>
      </c>
      <c r="AH35">
        <f t="shared" si="25"/>
        <v>30</v>
      </c>
      <c r="AI35">
        <f t="shared" si="19"/>
        <v>27</v>
      </c>
      <c r="AJ35">
        <f t="shared" si="24"/>
        <v>1</v>
      </c>
    </row>
    <row r="36" spans="1:36" x14ac:dyDescent="0.25">
      <c r="A36" s="5" t="s">
        <v>39</v>
      </c>
      <c r="B36" s="5" t="s">
        <v>30</v>
      </c>
      <c r="C36" s="5" t="str">
        <f t="shared" si="27"/>
        <v>description,dailCompDescSoldier34,</v>
      </c>
      <c r="D36" s="5" t="str">
        <f t="shared" si="28"/>
        <v>itemText,dailCompTextSoldier34,</v>
      </c>
      <c r="E36" s="5" t="str">
        <f t="shared" si="20"/>
        <v>augmentSkillLevel1,3,</v>
      </c>
      <c r="F36" s="5" t="str">
        <f t="shared" si="21"/>
        <v>augmentSkillName1,records/skills/playerclass01/passive3.dbr,</v>
      </c>
      <c r="G36" s="7">
        <f t="shared" si="16"/>
        <v>34</v>
      </c>
      <c r="H36" s="8" t="str">
        <f t="shared" si="17"/>
        <v>Soldier</v>
      </c>
      <c r="I36" s="3" t="s">
        <v>266</v>
      </c>
      <c r="J36" s="8" t="str">
        <f t="shared" si="18"/>
        <v>class0001</v>
      </c>
      <c r="K36" s="8" t="str">
        <f t="shared" si="18"/>
        <v>dailoneskill0001</v>
      </c>
      <c r="L36" s="5" t="str">
        <f t="shared" si="4"/>
        <v>lootName34,DAIL/items/materia/class0001/Soldier34.dbr,</v>
      </c>
      <c r="M36" s="5" t="str">
        <f t="shared" si="5"/>
        <v>lootWeight34,1,</v>
      </c>
      <c r="N36" t="str">
        <f t="shared" si="6"/>
        <v>3</v>
      </c>
      <c r="O36" t="str">
        <f t="shared" si="22"/>
        <v>copy .\dail_base3.dbr .\items\materia\class0001\Soldier34.dbr /y</v>
      </c>
      <c r="P36" t="str">
        <f t="shared" si="7"/>
        <v>echo relicBitmap,items/craftingparts/components/component_a52_bristlyfur_b.tex, &gt;&gt; .\items\materia\class0001\Soldier34.dbr</v>
      </c>
      <c r="Q36" t="str">
        <f t="shared" si="8"/>
        <v>echo itemCost,500000, &gt;&gt; .\items\materia\class0001\Soldier34.dbr</v>
      </c>
      <c r="R36" t="str">
        <f t="shared" si="9"/>
        <v>echo description,dailCompDescSoldier34, &gt;&gt; .\items\materia\class0001\Soldier34.dbr</v>
      </c>
      <c r="S36" t="str">
        <f t="shared" si="10"/>
        <v>echo itemText,dailCompTextSoldier34, &gt;&gt; .\items\materia\class0001\Soldier34.dbr</v>
      </c>
      <c r="T36" t="str">
        <f t="shared" si="11"/>
        <v>echo augmentSkillLevel1,3, &gt;&gt; .\items\materia\class0001\Soldier34.dbr</v>
      </c>
      <c r="U36" t="str">
        <f t="shared" si="12"/>
        <v>echo augmentSkillName1,records/skills/playerclass01/passive3.dbr, &gt;&gt; .\items\materia\class0001\Soldier34.dbr</v>
      </c>
      <c r="V36" s="5" t="s">
        <v>36</v>
      </c>
      <c r="W36" t="str">
        <f t="shared" si="13"/>
        <v>echo lootName34,DAIL/items/materia/class0001/Soldier34.dbr, &gt;&gt; .\items\loottables\dailoneskill0001.dbr</v>
      </c>
      <c r="X36" t="str">
        <f t="shared" si="14"/>
        <v>echo lootWeight34,1, &gt;&gt; .\items\loottables\dailoneskill0001.dbr</v>
      </c>
      <c r="Y36" s="5" t="s">
        <v>36</v>
      </c>
      <c r="Z36" t="str">
        <f t="shared" si="15"/>
        <v xml:space="preserve"> dailCompDescSoldier34=^pSoldier's Gift of DAIL</v>
      </c>
      <c r="AA36" t="str">
        <f t="shared" si="23"/>
        <v>dailCompTextSoldier34=^oThis feels warm to the touch, almost familiar ^w(This component only fits into the Medal Slot)</v>
      </c>
      <c r="AB36" s="5" t="s">
        <v>36</v>
      </c>
      <c r="AH36">
        <f t="shared" si="25"/>
        <v>31</v>
      </c>
      <c r="AI36">
        <f t="shared" si="19"/>
        <v>27</v>
      </c>
      <c r="AJ36">
        <f t="shared" si="24"/>
        <v>3</v>
      </c>
    </row>
    <row r="37" spans="1:36" x14ac:dyDescent="0.25">
      <c r="A37" s="5" t="s">
        <v>39</v>
      </c>
      <c r="B37" s="5" t="s">
        <v>30</v>
      </c>
      <c r="C37" s="5" t="str">
        <f t="shared" si="27"/>
        <v>description,dailCompDescSoldier35,</v>
      </c>
      <c r="D37" s="5" t="str">
        <f t="shared" si="28"/>
        <v>itemText,dailCompTextSoldier35,</v>
      </c>
      <c r="E37" s="5" t="str">
        <f t="shared" si="20"/>
        <v>augmentSkillLevel1,3,</v>
      </c>
      <c r="F37" s="5" t="str">
        <f t="shared" si="21"/>
        <v>augmentSkillName1,records/skills/playerclass01/passive4.dbr,</v>
      </c>
      <c r="G37" s="7">
        <f t="shared" si="16"/>
        <v>35</v>
      </c>
      <c r="H37" s="8" t="str">
        <f t="shared" si="17"/>
        <v>Soldier</v>
      </c>
      <c r="I37" s="3" t="s">
        <v>249</v>
      </c>
      <c r="J37" s="8" t="str">
        <f t="shared" si="18"/>
        <v>class0001</v>
      </c>
      <c r="K37" s="8" t="str">
        <f t="shared" si="18"/>
        <v>dailoneskill0001</v>
      </c>
      <c r="L37" s="5" t="str">
        <f t="shared" si="4"/>
        <v>lootName35,DAIL/items/materia/class0001/Soldier35.dbr,</v>
      </c>
      <c r="M37" s="5" t="str">
        <f t="shared" si="5"/>
        <v>lootWeight35,1,</v>
      </c>
      <c r="N37" t="str">
        <f t="shared" si="6"/>
        <v>3</v>
      </c>
      <c r="O37" t="str">
        <f t="shared" si="22"/>
        <v>copy .\dail_base3.dbr .\items\materia\class0001\Soldier35.dbr /y</v>
      </c>
      <c r="P37" t="str">
        <f t="shared" si="7"/>
        <v>echo relicBitmap,items/craftingparts/components/component_a52_bristlyfur_b.tex, &gt;&gt; .\items\materia\class0001\Soldier35.dbr</v>
      </c>
      <c r="Q37" t="str">
        <f t="shared" si="8"/>
        <v>echo itemCost,500000, &gt;&gt; .\items\materia\class0001\Soldier35.dbr</v>
      </c>
      <c r="R37" t="str">
        <f t="shared" si="9"/>
        <v>echo description,dailCompDescSoldier35, &gt;&gt; .\items\materia\class0001\Soldier35.dbr</v>
      </c>
      <c r="S37" t="str">
        <f t="shared" si="10"/>
        <v>echo itemText,dailCompTextSoldier35, &gt;&gt; .\items\materia\class0001\Soldier35.dbr</v>
      </c>
      <c r="T37" t="str">
        <f t="shared" si="11"/>
        <v>echo augmentSkillLevel1,3, &gt;&gt; .\items\materia\class0001\Soldier35.dbr</v>
      </c>
      <c r="U37" t="str">
        <f t="shared" si="12"/>
        <v>echo augmentSkillName1,records/skills/playerclass01/passive4.dbr, &gt;&gt; .\items\materia\class0001\Soldier35.dbr</v>
      </c>
      <c r="V37" s="5" t="s">
        <v>36</v>
      </c>
      <c r="W37" t="str">
        <f t="shared" si="13"/>
        <v>echo lootName35,DAIL/items/materia/class0001/Soldier35.dbr, &gt;&gt; .\items\loottables\dailoneskill0001.dbr</v>
      </c>
      <c r="X37" t="str">
        <f t="shared" si="14"/>
        <v>echo lootWeight35,1, &gt;&gt; .\items\loottables\dailoneskill0001.dbr</v>
      </c>
      <c r="Y37" s="5" t="s">
        <v>36</v>
      </c>
      <c r="Z37" t="str">
        <f t="shared" si="15"/>
        <v xml:space="preserve"> dailCompDescSoldier35=^pSoldier's Gift of DAIL</v>
      </c>
      <c r="AA37" t="str">
        <f t="shared" si="23"/>
        <v>dailCompTextSoldier35=^oThis feels warm to the touch, almost familiar ^w(This component only fits into the Medal Slot)</v>
      </c>
      <c r="AB37" s="5" t="s">
        <v>36</v>
      </c>
      <c r="AH37">
        <f t="shared" si="25"/>
        <v>32</v>
      </c>
      <c r="AI37">
        <f t="shared" si="19"/>
        <v>27</v>
      </c>
      <c r="AJ37">
        <f t="shared" si="24"/>
        <v>3</v>
      </c>
    </row>
    <row r="38" spans="1:36" x14ac:dyDescent="0.25">
      <c r="A38" s="5" t="s">
        <v>39</v>
      </c>
      <c r="B38" s="5" t="s">
        <v>30</v>
      </c>
      <c r="C38" s="5" t="str">
        <f t="shared" si="27"/>
        <v>description,dailCompDescSoldier36,</v>
      </c>
      <c r="D38" s="5" t="str">
        <f t="shared" si="28"/>
        <v>itemText,dailCompTextSoldier36,</v>
      </c>
      <c r="E38" s="5" t="str">
        <f t="shared" si="20"/>
        <v>augmentSkillLevel1,3,</v>
      </c>
      <c r="F38" s="5" t="str">
        <f t="shared" si="21"/>
        <v>augmentSkillName1,records/skills/playerclass01/shieldhammer1.dbr,</v>
      </c>
      <c r="G38" s="7">
        <f t="shared" si="16"/>
        <v>36</v>
      </c>
      <c r="H38" s="8" t="str">
        <f t="shared" si="17"/>
        <v>Soldier</v>
      </c>
      <c r="I38" s="3" t="s">
        <v>20</v>
      </c>
      <c r="J38" s="8" t="str">
        <f t="shared" si="18"/>
        <v>class0001</v>
      </c>
      <c r="K38" s="8" t="str">
        <f t="shared" si="18"/>
        <v>dailoneskill0001</v>
      </c>
      <c r="L38" s="5" t="str">
        <f t="shared" si="4"/>
        <v>lootName36,DAIL/items/materia/class0001/Soldier36.dbr,</v>
      </c>
      <c r="M38" s="5" t="str">
        <f t="shared" si="5"/>
        <v>lootWeight36,1,</v>
      </c>
      <c r="N38" t="str">
        <f t="shared" si="6"/>
        <v>3</v>
      </c>
      <c r="O38" t="str">
        <f t="shared" si="22"/>
        <v>copy .\dail_base3.dbr .\items\materia\class0001\Soldier36.dbr /y</v>
      </c>
      <c r="P38" t="str">
        <f t="shared" si="7"/>
        <v>echo relicBitmap,items/craftingparts/components/component_a52_bristlyfur_b.tex, &gt;&gt; .\items\materia\class0001\Soldier36.dbr</v>
      </c>
      <c r="Q38" t="str">
        <f t="shared" si="8"/>
        <v>echo itemCost,500000, &gt;&gt; .\items\materia\class0001\Soldier36.dbr</v>
      </c>
      <c r="R38" t="str">
        <f t="shared" si="9"/>
        <v>echo description,dailCompDescSoldier36, &gt;&gt; .\items\materia\class0001\Soldier36.dbr</v>
      </c>
      <c r="S38" t="str">
        <f t="shared" si="10"/>
        <v>echo itemText,dailCompTextSoldier36, &gt;&gt; .\items\materia\class0001\Soldier36.dbr</v>
      </c>
      <c r="T38" t="str">
        <f t="shared" si="11"/>
        <v>echo augmentSkillLevel1,3, &gt;&gt; .\items\materia\class0001\Soldier36.dbr</v>
      </c>
      <c r="U38" t="str">
        <f t="shared" si="12"/>
        <v>echo augmentSkillName1,records/skills/playerclass01/shieldhammer1.dbr, &gt;&gt; .\items\materia\class0001\Soldier36.dbr</v>
      </c>
      <c r="V38" s="5" t="s">
        <v>36</v>
      </c>
      <c r="W38" t="str">
        <f t="shared" si="13"/>
        <v>echo lootName36,DAIL/items/materia/class0001/Soldier36.dbr, &gt;&gt; .\items\loottables\dailoneskill0001.dbr</v>
      </c>
      <c r="X38" t="str">
        <f t="shared" si="14"/>
        <v>echo lootWeight36,1, &gt;&gt; .\items\loottables\dailoneskill0001.dbr</v>
      </c>
      <c r="Y38" s="5" t="s">
        <v>36</v>
      </c>
      <c r="Z38" t="str">
        <f t="shared" si="15"/>
        <v xml:space="preserve"> dailCompDescSoldier36=^pSoldier's Gift of DAIL</v>
      </c>
      <c r="AA38" t="str">
        <f t="shared" si="23"/>
        <v>dailCompTextSoldier36=^oThis feels warm to the touch, almost familiar ^w(This component only fits into the Medal Slot)</v>
      </c>
      <c r="AB38" s="5" t="s">
        <v>36</v>
      </c>
      <c r="AH38">
        <f t="shared" si="25"/>
        <v>33</v>
      </c>
      <c r="AI38">
        <f t="shared" ref="AI38:AI69" si="29">LEN(I38)</f>
        <v>32</v>
      </c>
      <c r="AJ38">
        <f t="shared" si="24"/>
        <v>3</v>
      </c>
    </row>
    <row r="39" spans="1:36" x14ac:dyDescent="0.25">
      <c r="A39" s="5" t="s">
        <v>39</v>
      </c>
      <c r="B39" s="5" t="s">
        <v>30</v>
      </c>
      <c r="C39" s="5" t="str">
        <f t="shared" si="27"/>
        <v>description,dailCompDescSoldier37,</v>
      </c>
      <c r="D39" s="5" t="str">
        <f t="shared" si="28"/>
        <v>itemText,dailCompTextSoldier37,</v>
      </c>
      <c r="E39" s="5" t="str">
        <f t="shared" si="20"/>
        <v>augmentSkillLevel1,3,</v>
      </c>
      <c r="F39" s="5" t="str">
        <f t="shared" si="21"/>
        <v>augmentSkillName1,records/skills/playerclass01/shieldhammer1b.dbr,</v>
      </c>
      <c r="G39" s="7">
        <f t="shared" si="16"/>
        <v>37</v>
      </c>
      <c r="H39" s="8" t="str">
        <f t="shared" si="17"/>
        <v>Soldier</v>
      </c>
      <c r="I39" s="3" t="s">
        <v>250</v>
      </c>
      <c r="J39" s="8" t="str">
        <f t="shared" si="18"/>
        <v>class0001</v>
      </c>
      <c r="K39" s="8" t="str">
        <f t="shared" si="18"/>
        <v>dailoneskill0001</v>
      </c>
      <c r="L39" s="5" t="str">
        <f t="shared" si="4"/>
        <v>lootName37,DAIL/items/materia/class0001/Soldier37.dbr,</v>
      </c>
      <c r="M39" s="5" t="str">
        <f t="shared" si="5"/>
        <v>lootWeight37,1,</v>
      </c>
      <c r="N39" t="str">
        <f t="shared" si="6"/>
        <v>3</v>
      </c>
      <c r="O39" t="str">
        <f t="shared" si="22"/>
        <v>copy .\dail_base3.dbr .\items\materia\class0001\Soldier37.dbr /y</v>
      </c>
      <c r="P39" t="str">
        <f t="shared" si="7"/>
        <v>echo relicBitmap,items/craftingparts/components/component_a52_bristlyfur_b.tex, &gt;&gt; .\items\materia\class0001\Soldier37.dbr</v>
      </c>
      <c r="Q39" t="str">
        <f t="shared" si="8"/>
        <v>echo itemCost,500000, &gt;&gt; .\items\materia\class0001\Soldier37.dbr</v>
      </c>
      <c r="R39" t="str">
        <f t="shared" si="9"/>
        <v>echo description,dailCompDescSoldier37, &gt;&gt; .\items\materia\class0001\Soldier37.dbr</v>
      </c>
      <c r="S39" t="str">
        <f t="shared" si="10"/>
        <v>echo itemText,dailCompTextSoldier37, &gt;&gt; .\items\materia\class0001\Soldier37.dbr</v>
      </c>
      <c r="T39" t="str">
        <f t="shared" si="11"/>
        <v>echo augmentSkillLevel1,3, &gt;&gt; .\items\materia\class0001\Soldier37.dbr</v>
      </c>
      <c r="U39" t="str">
        <f t="shared" si="12"/>
        <v>echo augmentSkillName1,records/skills/playerclass01/shieldhammer1b.dbr, &gt;&gt; .\items\materia\class0001\Soldier37.dbr</v>
      </c>
      <c r="V39" s="5" t="s">
        <v>36</v>
      </c>
      <c r="W39" t="str">
        <f t="shared" si="13"/>
        <v>echo lootName37,DAIL/items/materia/class0001/Soldier37.dbr, &gt;&gt; .\items\loottables\dailoneskill0001.dbr</v>
      </c>
      <c r="X39" t="str">
        <f t="shared" si="14"/>
        <v>echo lootWeight37,1, &gt;&gt; .\items\loottables\dailoneskill0001.dbr</v>
      </c>
      <c r="Y39" s="5" t="s">
        <v>36</v>
      </c>
      <c r="Z39" t="str">
        <f t="shared" si="15"/>
        <v xml:space="preserve"> dailCompDescSoldier37=^pSoldier's Gift of DAIL</v>
      </c>
      <c r="AA39" t="str">
        <f t="shared" si="23"/>
        <v>dailCompTextSoldier37=^oThis feels warm to the touch, almost familiar ^w(This component only fits into the Medal Slot)</v>
      </c>
      <c r="AB39" s="5" t="s">
        <v>36</v>
      </c>
      <c r="AH39">
        <f t="shared" si="25"/>
        <v>34</v>
      </c>
      <c r="AI39">
        <f t="shared" si="29"/>
        <v>33</v>
      </c>
      <c r="AJ39">
        <f t="shared" si="24"/>
        <v>3</v>
      </c>
    </row>
    <row r="40" spans="1:36" x14ac:dyDescent="0.25">
      <c r="A40" s="5" t="s">
        <v>39</v>
      </c>
      <c r="B40" s="5" t="s">
        <v>30</v>
      </c>
      <c r="C40" s="5" t="str">
        <f t="shared" si="27"/>
        <v>description,dailCompDescSoldier38,</v>
      </c>
      <c r="D40" s="5" t="str">
        <f t="shared" si="28"/>
        <v>itemText,dailCompTextSoldier38,</v>
      </c>
      <c r="E40" s="5" t="str">
        <f t="shared" si="20"/>
        <v>augmentSkillLevel1,3,</v>
      </c>
      <c r="F40" s="5" t="str">
        <f t="shared" si="21"/>
        <v>augmentSkillName1,records/skills/playerclass01/shieldhammer2.dbr,</v>
      </c>
      <c r="G40" s="7">
        <f t="shared" si="16"/>
        <v>38</v>
      </c>
      <c r="H40" s="8" t="str">
        <f t="shared" si="17"/>
        <v>Soldier</v>
      </c>
      <c r="I40" s="3" t="s">
        <v>251</v>
      </c>
      <c r="J40" s="8" t="str">
        <f t="shared" si="18"/>
        <v>class0001</v>
      </c>
      <c r="K40" s="8" t="str">
        <f t="shared" si="18"/>
        <v>dailoneskill0001</v>
      </c>
      <c r="L40" s="5" t="str">
        <f t="shared" si="4"/>
        <v>lootName38,DAIL/items/materia/class0001/Soldier38.dbr,</v>
      </c>
      <c r="M40" s="5" t="str">
        <f t="shared" si="5"/>
        <v>lootWeight38,1,</v>
      </c>
      <c r="N40" t="str">
        <f t="shared" si="6"/>
        <v>3</v>
      </c>
      <c r="O40" t="str">
        <f t="shared" si="22"/>
        <v>copy .\dail_base3.dbr .\items\materia\class0001\Soldier38.dbr /y</v>
      </c>
      <c r="P40" t="str">
        <f t="shared" si="7"/>
        <v>echo relicBitmap,items/craftingparts/components/component_a52_bristlyfur_b.tex, &gt;&gt; .\items\materia\class0001\Soldier38.dbr</v>
      </c>
      <c r="Q40" t="str">
        <f t="shared" si="8"/>
        <v>echo itemCost,500000, &gt;&gt; .\items\materia\class0001\Soldier38.dbr</v>
      </c>
      <c r="R40" t="str">
        <f t="shared" si="9"/>
        <v>echo description,dailCompDescSoldier38, &gt;&gt; .\items\materia\class0001\Soldier38.dbr</v>
      </c>
      <c r="S40" t="str">
        <f t="shared" si="10"/>
        <v>echo itemText,dailCompTextSoldier38, &gt;&gt; .\items\materia\class0001\Soldier38.dbr</v>
      </c>
      <c r="T40" t="str">
        <f t="shared" si="11"/>
        <v>echo augmentSkillLevel1,3, &gt;&gt; .\items\materia\class0001\Soldier38.dbr</v>
      </c>
      <c r="U40" t="str">
        <f t="shared" si="12"/>
        <v>echo augmentSkillName1,records/skills/playerclass01/shieldhammer2.dbr, &gt;&gt; .\items\materia\class0001\Soldier38.dbr</v>
      </c>
      <c r="V40" s="5" t="s">
        <v>36</v>
      </c>
      <c r="W40" t="str">
        <f t="shared" si="13"/>
        <v>echo lootName38,DAIL/items/materia/class0001/Soldier38.dbr, &gt;&gt; .\items\loottables\dailoneskill0001.dbr</v>
      </c>
      <c r="X40" t="str">
        <f t="shared" si="14"/>
        <v>echo lootWeight38,1, &gt;&gt; .\items\loottables\dailoneskill0001.dbr</v>
      </c>
      <c r="Y40" s="5" t="s">
        <v>36</v>
      </c>
      <c r="Z40" t="str">
        <f t="shared" si="15"/>
        <v xml:space="preserve"> dailCompDescSoldier38=^pSoldier's Gift of DAIL</v>
      </c>
      <c r="AA40" t="str">
        <f t="shared" si="23"/>
        <v>dailCompTextSoldier38=^oThis feels warm to the touch, almost familiar ^w(This component only fits into the Medal Slot)</v>
      </c>
      <c r="AB40" s="5" t="s">
        <v>36</v>
      </c>
      <c r="AH40">
        <f t="shared" si="25"/>
        <v>35</v>
      </c>
      <c r="AI40">
        <f t="shared" si="29"/>
        <v>32</v>
      </c>
      <c r="AJ40">
        <f t="shared" si="24"/>
        <v>3</v>
      </c>
    </row>
    <row r="41" spans="1:36" x14ac:dyDescent="0.25">
      <c r="A41" s="5" t="s">
        <v>39</v>
      </c>
      <c r="B41" s="5" t="s">
        <v>30</v>
      </c>
      <c r="C41" s="5" t="str">
        <f t="shared" si="27"/>
        <v>description,dailCompDescSoldier39,</v>
      </c>
      <c r="D41" s="5" t="str">
        <f t="shared" si="28"/>
        <v>itemText,dailCompTextSoldier39,</v>
      </c>
      <c r="E41" s="5" t="str">
        <f t="shared" si="20"/>
        <v>augmentSkillLevel1,3,</v>
      </c>
      <c r="F41" s="5" t="str">
        <f t="shared" si="21"/>
        <v>augmentSkillName1,records/skills/playerclass01/shieldhammer3.dbr,</v>
      </c>
      <c r="G41" s="7">
        <f t="shared" si="16"/>
        <v>39</v>
      </c>
      <c r="H41" s="8" t="str">
        <f t="shared" si="17"/>
        <v>Soldier</v>
      </c>
      <c r="I41" s="3" t="s">
        <v>252</v>
      </c>
      <c r="J41" s="8" t="str">
        <f t="shared" si="18"/>
        <v>class0001</v>
      </c>
      <c r="K41" s="8" t="str">
        <f t="shared" si="18"/>
        <v>dailoneskill0001</v>
      </c>
      <c r="L41" s="5" t="str">
        <f t="shared" si="4"/>
        <v>lootName39,DAIL/items/materia/class0001/Soldier39.dbr,</v>
      </c>
      <c r="M41" s="5" t="str">
        <f t="shared" si="5"/>
        <v>lootWeight39,1,</v>
      </c>
      <c r="N41" t="str">
        <f t="shared" si="6"/>
        <v>3</v>
      </c>
      <c r="O41" t="str">
        <f t="shared" si="22"/>
        <v>copy .\dail_base3.dbr .\items\materia\class0001\Soldier39.dbr /y</v>
      </c>
      <c r="P41" t="str">
        <f t="shared" si="7"/>
        <v>echo relicBitmap,items/craftingparts/components/component_a52_bristlyfur_b.tex, &gt;&gt; .\items\materia\class0001\Soldier39.dbr</v>
      </c>
      <c r="Q41" t="str">
        <f t="shared" si="8"/>
        <v>echo itemCost,500000, &gt;&gt; .\items\materia\class0001\Soldier39.dbr</v>
      </c>
      <c r="R41" t="str">
        <f t="shared" si="9"/>
        <v>echo description,dailCompDescSoldier39, &gt;&gt; .\items\materia\class0001\Soldier39.dbr</v>
      </c>
      <c r="S41" t="str">
        <f t="shared" si="10"/>
        <v>echo itemText,dailCompTextSoldier39, &gt;&gt; .\items\materia\class0001\Soldier39.dbr</v>
      </c>
      <c r="T41" t="str">
        <f t="shared" si="11"/>
        <v>echo augmentSkillLevel1,3, &gt;&gt; .\items\materia\class0001\Soldier39.dbr</v>
      </c>
      <c r="U41" t="str">
        <f t="shared" si="12"/>
        <v>echo augmentSkillName1,records/skills/playerclass01/shieldhammer3.dbr, &gt;&gt; .\items\materia\class0001\Soldier39.dbr</v>
      </c>
      <c r="V41" s="5" t="s">
        <v>36</v>
      </c>
      <c r="W41" t="str">
        <f t="shared" si="13"/>
        <v>echo lootName39,DAIL/items/materia/class0001/Soldier39.dbr, &gt;&gt; .\items\loottables\dailoneskill0001.dbr</v>
      </c>
      <c r="X41" t="str">
        <f t="shared" si="14"/>
        <v>echo lootWeight39,1, &gt;&gt; .\items\loottables\dailoneskill0001.dbr</v>
      </c>
      <c r="Y41" s="5" t="s">
        <v>36</v>
      </c>
      <c r="Z41" t="str">
        <f t="shared" si="15"/>
        <v xml:space="preserve"> dailCompDescSoldier39=^pSoldier's Gift of DAIL</v>
      </c>
      <c r="AA41" t="str">
        <f t="shared" si="23"/>
        <v>dailCompTextSoldier39=^oThis feels warm to the touch, almost familiar ^w(This component only fits into the Medal Slot)</v>
      </c>
      <c r="AB41" s="5" t="s">
        <v>36</v>
      </c>
      <c r="AH41">
        <f t="shared" si="25"/>
        <v>36</v>
      </c>
      <c r="AI41">
        <f t="shared" si="29"/>
        <v>32</v>
      </c>
      <c r="AJ41">
        <f t="shared" si="24"/>
        <v>3</v>
      </c>
    </row>
    <row r="42" spans="1:36" x14ac:dyDescent="0.25">
      <c r="A42" s="5" t="s">
        <v>39</v>
      </c>
      <c r="B42" s="5" t="s">
        <v>30</v>
      </c>
      <c r="C42" s="5" t="str">
        <f t="shared" si="27"/>
        <v>description,dailCompDescSoldier40,</v>
      </c>
      <c r="D42" s="5" t="str">
        <f t="shared" si="28"/>
        <v>itemText,dailCompTextSoldier40,</v>
      </c>
      <c r="E42" s="5" t="str">
        <f t="shared" si="20"/>
        <v>augmentSkillLevel1,3,</v>
      </c>
      <c r="F42" s="5" t="str">
        <f t="shared" si="21"/>
        <v>augmentSkillName1,records/skills/playerclass01/blitz1.dbr,</v>
      </c>
      <c r="G42" s="7">
        <f t="shared" si="16"/>
        <v>40</v>
      </c>
      <c r="H42" s="8" t="str">
        <f t="shared" si="17"/>
        <v>Soldier</v>
      </c>
      <c r="I42" s="3" t="s">
        <v>12</v>
      </c>
      <c r="J42" s="8" t="str">
        <f t="shared" si="18"/>
        <v>class0001</v>
      </c>
      <c r="K42" s="8" t="str">
        <f t="shared" si="18"/>
        <v>dailoneskill0001</v>
      </c>
      <c r="L42" s="5" t="str">
        <f t="shared" si="4"/>
        <v>lootName40,DAIL/items/materia/class0001/Soldier40.dbr,</v>
      </c>
      <c r="M42" s="5" t="str">
        <f t="shared" si="5"/>
        <v>lootWeight40,1,</v>
      </c>
      <c r="N42" t="str">
        <f t="shared" si="6"/>
        <v>3</v>
      </c>
      <c r="O42" t="str">
        <f t="shared" si="22"/>
        <v>copy .\dail_base3.dbr .\items\materia\class0001\Soldier40.dbr /y</v>
      </c>
      <c r="P42" t="str">
        <f t="shared" si="7"/>
        <v>echo relicBitmap,items/craftingparts/components/component_a52_bristlyfur_b.tex, &gt;&gt; .\items\materia\class0001\Soldier40.dbr</v>
      </c>
      <c r="Q42" t="str">
        <f t="shared" si="8"/>
        <v>echo itemCost,500000, &gt;&gt; .\items\materia\class0001\Soldier40.dbr</v>
      </c>
      <c r="R42" t="str">
        <f t="shared" si="9"/>
        <v>echo description,dailCompDescSoldier40, &gt;&gt; .\items\materia\class0001\Soldier40.dbr</v>
      </c>
      <c r="S42" t="str">
        <f t="shared" si="10"/>
        <v>echo itemText,dailCompTextSoldier40, &gt;&gt; .\items\materia\class0001\Soldier40.dbr</v>
      </c>
      <c r="T42" t="str">
        <f t="shared" si="11"/>
        <v>echo augmentSkillLevel1,3, &gt;&gt; .\items\materia\class0001\Soldier40.dbr</v>
      </c>
      <c r="U42" t="str">
        <f t="shared" si="12"/>
        <v>echo augmentSkillName1,records/skills/playerclass01/blitz1.dbr, &gt;&gt; .\items\materia\class0001\Soldier40.dbr</v>
      </c>
      <c r="V42" s="5" t="s">
        <v>36</v>
      </c>
      <c r="W42" t="str">
        <f t="shared" si="13"/>
        <v>echo lootName40,DAIL/items/materia/class0001/Soldier40.dbr, &gt;&gt; .\items\loottables\dailoneskill0001.dbr</v>
      </c>
      <c r="X42" t="str">
        <f t="shared" si="14"/>
        <v>echo lootWeight40,1, &gt;&gt; .\items\loottables\dailoneskill0001.dbr</v>
      </c>
      <c r="Y42" s="5" t="s">
        <v>36</v>
      </c>
      <c r="Z42" t="str">
        <f t="shared" si="15"/>
        <v xml:space="preserve"> dailCompDescSoldier40=^pSoldier's Gift of DAIL</v>
      </c>
      <c r="AA42" t="str">
        <f t="shared" si="23"/>
        <v>dailCompTextSoldier40=^oThis feels warm to the touch, almost familiar ^w(This component only fits into the Medal Slot)</v>
      </c>
      <c r="AB42" s="5" t="s">
        <v>36</v>
      </c>
      <c r="AH42">
        <f t="shared" si="25"/>
        <v>37</v>
      </c>
      <c r="AI42">
        <f t="shared" si="29"/>
        <v>25</v>
      </c>
      <c r="AJ42">
        <f t="shared" si="24"/>
        <v>3</v>
      </c>
    </row>
    <row r="43" spans="1:36" x14ac:dyDescent="0.25">
      <c r="A43" s="5" t="s">
        <v>39</v>
      </c>
      <c r="B43" s="5" t="s">
        <v>30</v>
      </c>
      <c r="C43" s="5" t="str">
        <f t="shared" si="27"/>
        <v>description,dailCompDescSoldier41,</v>
      </c>
      <c r="D43" s="5" t="str">
        <f t="shared" si="28"/>
        <v>itemText,dailCompTextSoldier41,</v>
      </c>
      <c r="E43" s="5" t="str">
        <f t="shared" si="20"/>
        <v>augmentSkillLevel1,3,</v>
      </c>
      <c r="F43" s="5" t="str">
        <f t="shared" si="21"/>
        <v>augmentSkillName1,records/skills/playerclass01/blitz2.dbr,</v>
      </c>
      <c r="G43" s="7">
        <f t="shared" si="16"/>
        <v>41</v>
      </c>
      <c r="H43" s="8" t="str">
        <f t="shared" si="17"/>
        <v>Soldier</v>
      </c>
      <c r="I43" s="3" t="s">
        <v>253</v>
      </c>
      <c r="J43" s="8" t="str">
        <f t="shared" si="18"/>
        <v>class0001</v>
      </c>
      <c r="K43" s="8" t="str">
        <f t="shared" si="18"/>
        <v>dailoneskill0001</v>
      </c>
      <c r="L43" s="5" t="str">
        <f t="shared" si="4"/>
        <v>lootName41,DAIL/items/materia/class0001/Soldier41.dbr,</v>
      </c>
      <c r="M43" s="5" t="str">
        <f t="shared" si="5"/>
        <v>lootWeight41,1,</v>
      </c>
      <c r="N43" t="str">
        <f t="shared" si="6"/>
        <v>3</v>
      </c>
      <c r="O43" t="str">
        <f t="shared" si="22"/>
        <v>copy .\dail_base3.dbr .\items\materia\class0001\Soldier41.dbr /y</v>
      </c>
      <c r="P43" t="str">
        <f t="shared" si="7"/>
        <v>echo relicBitmap,items/craftingparts/components/component_a52_bristlyfur_b.tex, &gt;&gt; .\items\materia\class0001\Soldier41.dbr</v>
      </c>
      <c r="Q43" t="str">
        <f t="shared" si="8"/>
        <v>echo itemCost,500000, &gt;&gt; .\items\materia\class0001\Soldier41.dbr</v>
      </c>
      <c r="R43" t="str">
        <f t="shared" si="9"/>
        <v>echo description,dailCompDescSoldier41, &gt;&gt; .\items\materia\class0001\Soldier41.dbr</v>
      </c>
      <c r="S43" t="str">
        <f t="shared" si="10"/>
        <v>echo itemText,dailCompTextSoldier41, &gt;&gt; .\items\materia\class0001\Soldier41.dbr</v>
      </c>
      <c r="T43" t="str">
        <f t="shared" si="11"/>
        <v>echo augmentSkillLevel1,3, &gt;&gt; .\items\materia\class0001\Soldier41.dbr</v>
      </c>
      <c r="U43" t="str">
        <f t="shared" si="12"/>
        <v>echo augmentSkillName1,records/skills/playerclass01/blitz2.dbr, &gt;&gt; .\items\materia\class0001\Soldier41.dbr</v>
      </c>
      <c r="V43" s="5" t="s">
        <v>36</v>
      </c>
      <c r="W43" t="str">
        <f t="shared" si="13"/>
        <v>echo lootName41,DAIL/items/materia/class0001/Soldier41.dbr, &gt;&gt; .\items\loottables\dailoneskill0001.dbr</v>
      </c>
      <c r="X43" t="str">
        <f t="shared" si="14"/>
        <v>echo lootWeight41,1, &gt;&gt; .\items\loottables\dailoneskill0001.dbr</v>
      </c>
      <c r="Y43" s="5" t="s">
        <v>36</v>
      </c>
      <c r="Z43" t="str">
        <f t="shared" si="15"/>
        <v xml:space="preserve"> dailCompDescSoldier41=^pSoldier's Gift of DAIL</v>
      </c>
      <c r="AA43" t="str">
        <f t="shared" si="23"/>
        <v>dailCompTextSoldier41=^oThis feels warm to the touch, almost familiar ^w(This component only fits into the Medal Slot)</v>
      </c>
      <c r="AB43" s="5" t="s">
        <v>36</v>
      </c>
      <c r="AH43">
        <f t="shared" si="25"/>
        <v>38</v>
      </c>
      <c r="AI43">
        <f t="shared" si="29"/>
        <v>25</v>
      </c>
      <c r="AJ43">
        <f t="shared" si="24"/>
        <v>3</v>
      </c>
    </row>
    <row r="44" spans="1:36" x14ac:dyDescent="0.25">
      <c r="A44" s="5" t="s">
        <v>39</v>
      </c>
      <c r="B44" s="5" t="s">
        <v>30</v>
      </c>
      <c r="C44" s="5" t="str">
        <f t="shared" si="27"/>
        <v>description,dailCompDescSoldier42,</v>
      </c>
      <c r="D44" s="5" t="str">
        <f t="shared" si="28"/>
        <v>itemText,dailCompTextSoldier42,</v>
      </c>
      <c r="E44" s="5" t="str">
        <f t="shared" si="20"/>
        <v>augmentSkillLevel1,3,</v>
      </c>
      <c r="F44" s="5" t="str">
        <f t="shared" si="21"/>
        <v>augmentSkillName1,records/skills/playerclass01/counterstrike1.dbr,</v>
      </c>
      <c r="G44" s="7">
        <f t="shared" si="16"/>
        <v>42</v>
      </c>
      <c r="H44" s="8" t="str">
        <f t="shared" si="17"/>
        <v>Soldier</v>
      </c>
      <c r="I44" s="3" t="s">
        <v>14</v>
      </c>
      <c r="J44" s="8" t="str">
        <f t="shared" si="18"/>
        <v>class0001</v>
      </c>
      <c r="K44" s="8" t="str">
        <f t="shared" si="18"/>
        <v>dailoneskill0001</v>
      </c>
      <c r="L44" s="5" t="str">
        <f t="shared" si="4"/>
        <v>lootName42,DAIL/items/materia/class0001/Soldier42.dbr,</v>
      </c>
      <c r="M44" s="5" t="str">
        <f t="shared" si="5"/>
        <v>lootWeight42,1,</v>
      </c>
      <c r="N44" t="str">
        <f t="shared" si="6"/>
        <v>3</v>
      </c>
      <c r="O44" t="str">
        <f t="shared" si="22"/>
        <v>copy .\dail_base3.dbr .\items\materia\class0001\Soldier42.dbr /y</v>
      </c>
      <c r="P44" t="str">
        <f t="shared" si="7"/>
        <v>echo relicBitmap,items/craftingparts/components/component_a52_bristlyfur_b.tex, &gt;&gt; .\items\materia\class0001\Soldier42.dbr</v>
      </c>
      <c r="Q44" t="str">
        <f t="shared" si="8"/>
        <v>echo itemCost,500000, &gt;&gt; .\items\materia\class0001\Soldier42.dbr</v>
      </c>
      <c r="R44" t="str">
        <f t="shared" si="9"/>
        <v>echo description,dailCompDescSoldier42, &gt;&gt; .\items\materia\class0001\Soldier42.dbr</v>
      </c>
      <c r="S44" t="str">
        <f t="shared" si="10"/>
        <v>echo itemText,dailCompTextSoldier42, &gt;&gt; .\items\materia\class0001\Soldier42.dbr</v>
      </c>
      <c r="T44" t="str">
        <f t="shared" si="11"/>
        <v>echo augmentSkillLevel1,3, &gt;&gt; .\items\materia\class0001\Soldier42.dbr</v>
      </c>
      <c r="U44" t="str">
        <f t="shared" si="12"/>
        <v>echo augmentSkillName1,records/skills/playerclass01/counterstrike1.dbr, &gt;&gt; .\items\materia\class0001\Soldier42.dbr</v>
      </c>
      <c r="V44" s="5" t="s">
        <v>36</v>
      </c>
      <c r="W44" t="str">
        <f t="shared" si="13"/>
        <v>echo lootName42,DAIL/items/materia/class0001/Soldier42.dbr, &gt;&gt; .\items\loottables\dailoneskill0001.dbr</v>
      </c>
      <c r="X44" t="str">
        <f t="shared" si="14"/>
        <v>echo lootWeight42,1, &gt;&gt; .\items\loottables\dailoneskill0001.dbr</v>
      </c>
      <c r="Y44" s="5" t="s">
        <v>36</v>
      </c>
      <c r="Z44" t="str">
        <f t="shared" si="15"/>
        <v xml:space="preserve"> dailCompDescSoldier42=^pSoldier's Gift of DAIL</v>
      </c>
      <c r="AA44" t="str">
        <f t="shared" si="23"/>
        <v>dailCompTextSoldier42=^oThis feels warm to the touch, almost familiar ^w(This component only fits into the Medal Slot)</v>
      </c>
      <c r="AB44" s="5" t="s">
        <v>36</v>
      </c>
      <c r="AH44">
        <f t="shared" si="25"/>
        <v>39</v>
      </c>
      <c r="AI44">
        <f t="shared" si="29"/>
        <v>33</v>
      </c>
      <c r="AJ44">
        <f t="shared" si="24"/>
        <v>3</v>
      </c>
    </row>
    <row r="45" spans="1:36" x14ac:dyDescent="0.25">
      <c r="A45" s="5" t="s">
        <v>39</v>
      </c>
      <c r="B45" s="5" t="s">
        <v>30</v>
      </c>
      <c r="C45" s="5" t="str">
        <f t="shared" ref="C45:C102" si="30">"description,dailCompDesc"&amp;H45&amp;G45&amp;","</f>
        <v>description,dailCompDescSoldier43,</v>
      </c>
      <c r="D45" s="5" t="str">
        <f t="shared" ref="D45:D102" si="31">"itemText,dailCompText"&amp;H45&amp;G45&amp;","</f>
        <v>itemText,dailCompTextSoldier43,</v>
      </c>
      <c r="E45" s="5" t="str">
        <f t="shared" si="20"/>
        <v>augmentSkillLevel1,3,</v>
      </c>
      <c r="F45" s="5" t="str">
        <f t="shared" si="21"/>
        <v>augmentSkillName1,records/skills/playerclass01/bladearc1.dbr,</v>
      </c>
      <c r="G45" s="7">
        <f t="shared" si="16"/>
        <v>43</v>
      </c>
      <c r="H45" s="8" t="str">
        <f t="shared" si="17"/>
        <v>Soldier</v>
      </c>
      <c r="I45" s="3" t="s">
        <v>11</v>
      </c>
      <c r="J45" s="8" t="str">
        <f t="shared" si="18"/>
        <v>class0001</v>
      </c>
      <c r="K45" s="8" t="str">
        <f t="shared" si="18"/>
        <v>dailoneskill0001</v>
      </c>
      <c r="L45" s="5" t="str">
        <f t="shared" si="4"/>
        <v>lootName43,DAIL/items/materia/class0001/Soldier43.dbr,</v>
      </c>
      <c r="M45" s="5" t="str">
        <f t="shared" si="5"/>
        <v>lootWeight43,1,</v>
      </c>
      <c r="N45" t="str">
        <f t="shared" si="6"/>
        <v>3</v>
      </c>
      <c r="O45" t="str">
        <f t="shared" si="22"/>
        <v>copy .\dail_base3.dbr .\items\materia\class0001\Soldier43.dbr /y</v>
      </c>
      <c r="P45" t="str">
        <f t="shared" si="7"/>
        <v>echo relicBitmap,items/craftingparts/components/component_a52_bristlyfur_b.tex, &gt;&gt; .\items\materia\class0001\Soldier43.dbr</v>
      </c>
      <c r="Q45" t="str">
        <f t="shared" si="8"/>
        <v>echo itemCost,500000, &gt;&gt; .\items\materia\class0001\Soldier43.dbr</v>
      </c>
      <c r="R45" t="str">
        <f t="shared" si="9"/>
        <v>echo description,dailCompDescSoldier43, &gt;&gt; .\items\materia\class0001\Soldier43.dbr</v>
      </c>
      <c r="S45" t="str">
        <f t="shared" si="10"/>
        <v>echo itemText,dailCompTextSoldier43, &gt;&gt; .\items\materia\class0001\Soldier43.dbr</v>
      </c>
      <c r="T45" t="str">
        <f t="shared" si="11"/>
        <v>echo augmentSkillLevel1,3, &gt;&gt; .\items\materia\class0001\Soldier43.dbr</v>
      </c>
      <c r="U45" t="str">
        <f t="shared" si="12"/>
        <v>echo augmentSkillName1,records/skills/playerclass01/bladearc1.dbr, &gt;&gt; .\items\materia\class0001\Soldier43.dbr</v>
      </c>
      <c r="V45" s="5" t="s">
        <v>36</v>
      </c>
      <c r="W45" t="str">
        <f t="shared" si="13"/>
        <v>echo lootName43,DAIL/items/materia/class0001/Soldier43.dbr, &gt;&gt; .\items\loottables\dailoneskill0001.dbr</v>
      </c>
      <c r="X45" t="str">
        <f t="shared" si="14"/>
        <v>echo lootWeight43,1, &gt;&gt; .\items\loottables\dailoneskill0001.dbr</v>
      </c>
      <c r="Y45" s="5" t="s">
        <v>36</v>
      </c>
      <c r="Z45" t="str">
        <f t="shared" si="15"/>
        <v xml:space="preserve"> dailCompDescSoldier43=^pSoldier's Gift of DAIL</v>
      </c>
      <c r="AA45" t="str">
        <f t="shared" si="23"/>
        <v>dailCompTextSoldier43=^oThis feels warm to the touch, almost familiar ^w(This component only fits into the Medal Slot)</v>
      </c>
      <c r="AB45" s="5" t="s">
        <v>36</v>
      </c>
      <c r="AH45">
        <f t="shared" si="25"/>
        <v>40</v>
      </c>
      <c r="AI45">
        <f t="shared" si="29"/>
        <v>28</v>
      </c>
      <c r="AJ45">
        <f t="shared" si="24"/>
        <v>3</v>
      </c>
    </row>
    <row r="46" spans="1:36" x14ac:dyDescent="0.25">
      <c r="A46" s="5" t="s">
        <v>39</v>
      </c>
      <c r="B46" s="5" t="s">
        <v>30</v>
      </c>
      <c r="C46" s="5" t="str">
        <f t="shared" si="30"/>
        <v>description,dailCompDescSoldier44,</v>
      </c>
      <c r="D46" s="5" t="str">
        <f t="shared" si="31"/>
        <v>itemText,dailCompTextSoldier44,</v>
      </c>
      <c r="E46" s="5" t="str">
        <f t="shared" si="20"/>
        <v>augmentSkillLevel1,3,</v>
      </c>
      <c r="F46" s="5" t="str">
        <f t="shared" si="21"/>
        <v>augmentSkillName1,records/skills/playerclass01/bladearc1b.dbr,</v>
      </c>
      <c r="G46" s="7">
        <f t="shared" si="16"/>
        <v>44</v>
      </c>
      <c r="H46" s="8" t="str">
        <f t="shared" si="17"/>
        <v>Soldier</v>
      </c>
      <c r="I46" s="3" t="s">
        <v>254</v>
      </c>
      <c r="J46" s="8" t="str">
        <f t="shared" si="18"/>
        <v>class0001</v>
      </c>
      <c r="K46" s="8" t="str">
        <f t="shared" si="18"/>
        <v>dailoneskill0001</v>
      </c>
      <c r="L46" s="5" t="str">
        <f t="shared" si="4"/>
        <v>lootName44,DAIL/items/materia/class0001/Soldier44.dbr,</v>
      </c>
      <c r="M46" s="5" t="str">
        <f t="shared" si="5"/>
        <v>lootWeight44,1,</v>
      </c>
      <c r="N46" t="str">
        <f t="shared" si="6"/>
        <v>3</v>
      </c>
      <c r="O46" t="str">
        <f t="shared" si="22"/>
        <v>copy .\dail_base3.dbr .\items\materia\class0001\Soldier44.dbr /y</v>
      </c>
      <c r="P46" t="str">
        <f t="shared" si="7"/>
        <v>echo relicBitmap,items/craftingparts/components/component_a52_bristlyfur_b.tex, &gt;&gt; .\items\materia\class0001\Soldier44.dbr</v>
      </c>
      <c r="Q46" t="str">
        <f t="shared" si="8"/>
        <v>echo itemCost,500000, &gt;&gt; .\items\materia\class0001\Soldier44.dbr</v>
      </c>
      <c r="R46" t="str">
        <f t="shared" si="9"/>
        <v>echo description,dailCompDescSoldier44, &gt;&gt; .\items\materia\class0001\Soldier44.dbr</v>
      </c>
      <c r="S46" t="str">
        <f t="shared" si="10"/>
        <v>echo itemText,dailCompTextSoldier44, &gt;&gt; .\items\materia\class0001\Soldier44.dbr</v>
      </c>
      <c r="T46" t="str">
        <f t="shared" si="11"/>
        <v>echo augmentSkillLevel1,3, &gt;&gt; .\items\materia\class0001\Soldier44.dbr</v>
      </c>
      <c r="U46" t="str">
        <f t="shared" si="12"/>
        <v>echo augmentSkillName1,records/skills/playerclass01/bladearc1b.dbr, &gt;&gt; .\items\materia\class0001\Soldier44.dbr</v>
      </c>
      <c r="V46" s="5" t="s">
        <v>36</v>
      </c>
      <c r="W46" t="str">
        <f t="shared" si="13"/>
        <v>echo lootName44,DAIL/items/materia/class0001/Soldier44.dbr, &gt;&gt; .\items\loottables\dailoneskill0001.dbr</v>
      </c>
      <c r="X46" t="str">
        <f t="shared" si="14"/>
        <v>echo lootWeight44,1, &gt;&gt; .\items\loottables\dailoneskill0001.dbr</v>
      </c>
      <c r="Y46" s="5" t="s">
        <v>36</v>
      </c>
      <c r="Z46" t="str">
        <f t="shared" si="15"/>
        <v xml:space="preserve"> dailCompDescSoldier44=^pSoldier's Gift of DAIL</v>
      </c>
      <c r="AA46" t="str">
        <f t="shared" si="23"/>
        <v>dailCompTextSoldier44=^oThis feels warm to the touch, almost familiar ^w(This component only fits into the Medal Slot)</v>
      </c>
      <c r="AB46" s="5" t="s">
        <v>36</v>
      </c>
      <c r="AH46">
        <f t="shared" si="25"/>
        <v>41</v>
      </c>
      <c r="AI46">
        <f t="shared" si="29"/>
        <v>29</v>
      </c>
      <c r="AJ46">
        <f t="shared" si="24"/>
        <v>3</v>
      </c>
    </row>
    <row r="47" spans="1:36" x14ac:dyDescent="0.25">
      <c r="A47" s="5" t="s">
        <v>39</v>
      </c>
      <c r="B47" s="5" t="s">
        <v>30</v>
      </c>
      <c r="C47" s="5" t="str">
        <f t="shared" si="30"/>
        <v>description,dailCompDescSoldier45,</v>
      </c>
      <c r="D47" s="5" t="str">
        <f t="shared" si="31"/>
        <v>itemText,dailCompTextSoldier45,</v>
      </c>
      <c r="E47" s="5" t="str">
        <f t="shared" si="20"/>
        <v>augmentSkillLevel1,3,</v>
      </c>
      <c r="F47" s="5" t="str">
        <f t="shared" si="21"/>
        <v>augmentSkillName1,records/skills/playerclass01/cadence1.dbr,</v>
      </c>
      <c r="G47" s="7">
        <f t="shared" si="16"/>
        <v>45</v>
      </c>
      <c r="H47" s="8" t="str">
        <f t="shared" si="17"/>
        <v>Soldier</v>
      </c>
      <c r="I47" s="3" t="s">
        <v>13</v>
      </c>
      <c r="J47" s="8" t="str">
        <f t="shared" si="18"/>
        <v>class0001</v>
      </c>
      <c r="K47" s="8" t="str">
        <f t="shared" si="18"/>
        <v>dailoneskill0001</v>
      </c>
      <c r="L47" s="5" t="str">
        <f t="shared" si="4"/>
        <v>lootName45,DAIL/items/materia/class0001/Soldier45.dbr,</v>
      </c>
      <c r="M47" s="5" t="str">
        <f t="shared" si="5"/>
        <v>lootWeight45,1,</v>
      </c>
      <c r="N47" t="str">
        <f t="shared" si="6"/>
        <v>3</v>
      </c>
      <c r="O47" t="str">
        <f t="shared" si="22"/>
        <v>copy .\dail_base3.dbr .\items\materia\class0001\Soldier45.dbr /y</v>
      </c>
      <c r="P47" t="str">
        <f t="shared" si="7"/>
        <v>echo relicBitmap,items/craftingparts/components/component_a52_bristlyfur_b.tex, &gt;&gt; .\items\materia\class0001\Soldier45.dbr</v>
      </c>
      <c r="Q47" t="str">
        <f t="shared" si="8"/>
        <v>echo itemCost,500000, &gt;&gt; .\items\materia\class0001\Soldier45.dbr</v>
      </c>
      <c r="R47" t="str">
        <f t="shared" si="9"/>
        <v>echo description,dailCompDescSoldier45, &gt;&gt; .\items\materia\class0001\Soldier45.dbr</v>
      </c>
      <c r="S47" t="str">
        <f t="shared" si="10"/>
        <v>echo itemText,dailCompTextSoldier45, &gt;&gt; .\items\materia\class0001\Soldier45.dbr</v>
      </c>
      <c r="T47" t="str">
        <f t="shared" si="11"/>
        <v>echo augmentSkillLevel1,3, &gt;&gt; .\items\materia\class0001\Soldier45.dbr</v>
      </c>
      <c r="U47" t="str">
        <f t="shared" si="12"/>
        <v>echo augmentSkillName1,records/skills/playerclass01/cadence1.dbr, &gt;&gt; .\items\materia\class0001\Soldier45.dbr</v>
      </c>
      <c r="V47" s="5" t="s">
        <v>36</v>
      </c>
      <c r="W47" t="str">
        <f t="shared" si="13"/>
        <v>echo lootName45,DAIL/items/materia/class0001/Soldier45.dbr, &gt;&gt; .\items\loottables\dailoneskill0001.dbr</v>
      </c>
      <c r="X47" t="str">
        <f t="shared" si="14"/>
        <v>echo lootWeight45,1, &gt;&gt; .\items\loottables\dailoneskill0001.dbr</v>
      </c>
      <c r="Y47" s="5" t="s">
        <v>36</v>
      </c>
      <c r="Z47" t="str">
        <f t="shared" si="15"/>
        <v xml:space="preserve"> dailCompDescSoldier45=^pSoldier's Gift of DAIL</v>
      </c>
      <c r="AA47" t="str">
        <f t="shared" si="23"/>
        <v>dailCompTextSoldier45=^oThis feels warm to the touch, almost familiar ^w(This component only fits into the Medal Slot)</v>
      </c>
      <c r="AB47" s="5" t="s">
        <v>36</v>
      </c>
      <c r="AH47">
        <f t="shared" si="25"/>
        <v>42</v>
      </c>
      <c r="AI47">
        <f t="shared" si="29"/>
        <v>27</v>
      </c>
      <c r="AJ47">
        <f t="shared" si="24"/>
        <v>3</v>
      </c>
    </row>
    <row r="48" spans="1:36" x14ac:dyDescent="0.25">
      <c r="A48" s="5" t="s">
        <v>39</v>
      </c>
      <c r="B48" s="5" t="s">
        <v>30</v>
      </c>
      <c r="C48" s="5" t="str">
        <f t="shared" si="30"/>
        <v>description,dailCompDescSoldier46,</v>
      </c>
      <c r="D48" s="5" t="str">
        <f t="shared" si="31"/>
        <v>itemText,dailCompTextSoldier46,</v>
      </c>
      <c r="E48" s="5" t="str">
        <f t="shared" si="20"/>
        <v>augmentSkillLevel1,3,</v>
      </c>
      <c r="F48" s="5" t="str">
        <f t="shared" si="21"/>
        <v>augmentSkillName1,records/skills/playerclass01/bladearc2.dbr,</v>
      </c>
      <c r="G48" s="7">
        <f t="shared" si="16"/>
        <v>46</v>
      </c>
      <c r="H48" s="8" t="str">
        <f t="shared" si="17"/>
        <v>Soldier</v>
      </c>
      <c r="I48" s="3" t="s">
        <v>255</v>
      </c>
      <c r="J48" s="8" t="str">
        <f t="shared" si="18"/>
        <v>class0001</v>
      </c>
      <c r="K48" s="8" t="str">
        <f t="shared" si="18"/>
        <v>dailoneskill0001</v>
      </c>
      <c r="L48" s="5" t="str">
        <f t="shared" si="4"/>
        <v>lootName46,DAIL/items/materia/class0001/Soldier46.dbr,</v>
      </c>
      <c r="M48" s="5" t="str">
        <f t="shared" si="5"/>
        <v>lootWeight46,1,</v>
      </c>
      <c r="N48" t="str">
        <f t="shared" si="6"/>
        <v>3</v>
      </c>
      <c r="O48" t="str">
        <f t="shared" si="22"/>
        <v>copy .\dail_base3.dbr .\items\materia\class0001\Soldier46.dbr /y</v>
      </c>
      <c r="P48" t="str">
        <f t="shared" si="7"/>
        <v>echo relicBitmap,items/craftingparts/components/component_a52_bristlyfur_b.tex, &gt;&gt; .\items\materia\class0001\Soldier46.dbr</v>
      </c>
      <c r="Q48" t="str">
        <f t="shared" si="8"/>
        <v>echo itemCost,500000, &gt;&gt; .\items\materia\class0001\Soldier46.dbr</v>
      </c>
      <c r="R48" t="str">
        <f t="shared" si="9"/>
        <v>echo description,dailCompDescSoldier46, &gt;&gt; .\items\materia\class0001\Soldier46.dbr</v>
      </c>
      <c r="S48" t="str">
        <f t="shared" si="10"/>
        <v>echo itemText,dailCompTextSoldier46, &gt;&gt; .\items\materia\class0001\Soldier46.dbr</v>
      </c>
      <c r="T48" t="str">
        <f t="shared" si="11"/>
        <v>echo augmentSkillLevel1,3, &gt;&gt; .\items\materia\class0001\Soldier46.dbr</v>
      </c>
      <c r="U48" t="str">
        <f t="shared" si="12"/>
        <v>echo augmentSkillName1,records/skills/playerclass01/bladearc2.dbr, &gt;&gt; .\items\materia\class0001\Soldier46.dbr</v>
      </c>
      <c r="V48" s="5" t="s">
        <v>36</v>
      </c>
      <c r="W48" t="str">
        <f t="shared" si="13"/>
        <v>echo lootName46,DAIL/items/materia/class0001/Soldier46.dbr, &gt;&gt; .\items\loottables\dailoneskill0001.dbr</v>
      </c>
      <c r="X48" t="str">
        <f t="shared" si="14"/>
        <v>echo lootWeight46,1, &gt;&gt; .\items\loottables\dailoneskill0001.dbr</v>
      </c>
      <c r="Y48" s="5" t="s">
        <v>36</v>
      </c>
      <c r="Z48" t="str">
        <f t="shared" si="15"/>
        <v xml:space="preserve"> dailCompDescSoldier46=^pSoldier's Gift of DAIL</v>
      </c>
      <c r="AA48" t="str">
        <f t="shared" si="23"/>
        <v>dailCompTextSoldier46=^oThis feels warm to the touch, almost familiar ^w(This component only fits into the Medal Slot)</v>
      </c>
      <c r="AB48" s="5" t="s">
        <v>36</v>
      </c>
      <c r="AH48">
        <f t="shared" si="25"/>
        <v>43</v>
      </c>
      <c r="AI48">
        <f t="shared" si="29"/>
        <v>28</v>
      </c>
      <c r="AJ48">
        <f t="shared" si="24"/>
        <v>3</v>
      </c>
    </row>
    <row r="49" spans="1:36" x14ac:dyDescent="0.25">
      <c r="A49" s="5" t="s">
        <v>39</v>
      </c>
      <c r="B49" s="5" t="s">
        <v>30</v>
      </c>
      <c r="C49" s="5" t="str">
        <f t="shared" si="30"/>
        <v>description,dailCompDescSoldier47,</v>
      </c>
      <c r="D49" s="5" t="str">
        <f t="shared" si="31"/>
        <v>itemText,dailCompTextSoldier47,</v>
      </c>
      <c r="E49" s="5" t="str">
        <f t="shared" si="20"/>
        <v>augmentSkillLevel1,3,</v>
      </c>
      <c r="F49" s="5" t="str">
        <f t="shared" si="21"/>
        <v>augmentSkillName1,records/skills/playerclass01/stancedefensive.dbr,</v>
      </c>
      <c r="G49" s="7">
        <f t="shared" si="16"/>
        <v>47</v>
      </c>
      <c r="H49" s="8" t="str">
        <f t="shared" si="17"/>
        <v>Soldier</v>
      </c>
      <c r="I49" s="3" t="s">
        <v>21</v>
      </c>
      <c r="J49" s="8" t="str">
        <f t="shared" si="18"/>
        <v>class0001</v>
      </c>
      <c r="K49" s="8" t="str">
        <f t="shared" si="18"/>
        <v>dailoneskill0001</v>
      </c>
      <c r="L49" s="5" t="str">
        <f t="shared" si="4"/>
        <v>lootName47,DAIL/items/materia/class0001/Soldier47.dbr,</v>
      </c>
      <c r="M49" s="5" t="str">
        <f t="shared" si="5"/>
        <v>lootWeight47,1,</v>
      </c>
      <c r="N49" t="str">
        <f t="shared" si="6"/>
        <v>3</v>
      </c>
      <c r="O49" t="str">
        <f t="shared" si="22"/>
        <v>copy .\dail_base3.dbr .\items\materia\class0001\Soldier47.dbr /y</v>
      </c>
      <c r="P49" t="str">
        <f t="shared" si="7"/>
        <v>echo relicBitmap,items/craftingparts/components/component_a52_bristlyfur_b.tex, &gt;&gt; .\items\materia\class0001\Soldier47.dbr</v>
      </c>
      <c r="Q49" t="str">
        <f t="shared" si="8"/>
        <v>echo itemCost,500000, &gt;&gt; .\items\materia\class0001\Soldier47.dbr</v>
      </c>
      <c r="R49" t="str">
        <f t="shared" si="9"/>
        <v>echo description,dailCompDescSoldier47, &gt;&gt; .\items\materia\class0001\Soldier47.dbr</v>
      </c>
      <c r="S49" t="str">
        <f t="shared" si="10"/>
        <v>echo itemText,dailCompTextSoldier47, &gt;&gt; .\items\materia\class0001\Soldier47.dbr</v>
      </c>
      <c r="T49" t="str">
        <f t="shared" si="11"/>
        <v>echo augmentSkillLevel1,3, &gt;&gt; .\items\materia\class0001\Soldier47.dbr</v>
      </c>
      <c r="U49" t="str">
        <f t="shared" si="12"/>
        <v>echo augmentSkillName1,records/skills/playerclass01/stancedefensive.dbr, &gt;&gt; .\items\materia\class0001\Soldier47.dbr</v>
      </c>
      <c r="V49" s="5" t="s">
        <v>36</v>
      </c>
      <c r="W49" t="str">
        <f t="shared" si="13"/>
        <v>echo lootName47,DAIL/items/materia/class0001/Soldier47.dbr, &gt;&gt; .\items\loottables\dailoneskill0001.dbr</v>
      </c>
      <c r="X49" t="str">
        <f t="shared" si="14"/>
        <v>echo lootWeight47,1, &gt;&gt; .\items\loottables\dailoneskill0001.dbr</v>
      </c>
      <c r="Y49" s="5" t="s">
        <v>36</v>
      </c>
      <c r="Z49" t="str">
        <f t="shared" si="15"/>
        <v xml:space="preserve"> dailCompDescSoldier47=^pSoldier's Gift of DAIL</v>
      </c>
      <c r="AA49" t="str">
        <f t="shared" si="23"/>
        <v>dailCompTextSoldier47=^oThis feels warm to the touch, almost familiar ^w(This component only fits into the Medal Slot)</v>
      </c>
      <c r="AB49" s="5" t="s">
        <v>36</v>
      </c>
      <c r="AH49">
        <f t="shared" si="25"/>
        <v>44</v>
      </c>
      <c r="AI49">
        <f t="shared" si="29"/>
        <v>34</v>
      </c>
      <c r="AJ49">
        <f t="shared" si="24"/>
        <v>3</v>
      </c>
    </row>
    <row r="50" spans="1:36" x14ac:dyDescent="0.25">
      <c r="A50" s="5" t="s">
        <v>39</v>
      </c>
      <c r="B50" s="5" t="s">
        <v>30</v>
      </c>
      <c r="C50" s="5" t="str">
        <f t="shared" si="30"/>
        <v>description,dailCompDescSoldier48,</v>
      </c>
      <c r="D50" s="5" t="str">
        <f t="shared" si="31"/>
        <v>itemText,dailCompTextSoldier48,</v>
      </c>
      <c r="E50" s="5" t="str">
        <f t="shared" si="20"/>
        <v>augmentSkillLevel1,3,</v>
      </c>
      <c r="F50" s="5" t="str">
        <f t="shared" si="21"/>
        <v>augmentSkillName1,records/skills/playerclass01/stanceoffensive.dbr,</v>
      </c>
      <c r="G50" s="7">
        <f t="shared" si="16"/>
        <v>48</v>
      </c>
      <c r="H50" s="8" t="str">
        <f t="shared" si="17"/>
        <v>Soldier</v>
      </c>
      <c r="I50" s="3" t="s">
        <v>22</v>
      </c>
      <c r="J50" s="8" t="str">
        <f t="shared" si="18"/>
        <v>class0001</v>
      </c>
      <c r="K50" s="8" t="str">
        <f t="shared" si="18"/>
        <v>dailoneskill0001</v>
      </c>
      <c r="L50" s="5" t="str">
        <f t="shared" si="4"/>
        <v>lootName48,DAIL/items/materia/class0001/Soldier48.dbr,</v>
      </c>
      <c r="M50" s="5" t="str">
        <f t="shared" si="5"/>
        <v>lootWeight48,1,</v>
      </c>
      <c r="N50" t="str">
        <f t="shared" si="6"/>
        <v>3</v>
      </c>
      <c r="O50" t="str">
        <f t="shared" si="22"/>
        <v>copy .\dail_base3.dbr .\items\materia\class0001\Soldier48.dbr /y</v>
      </c>
      <c r="P50" t="str">
        <f t="shared" si="7"/>
        <v>echo relicBitmap,items/craftingparts/components/component_a52_bristlyfur_b.tex, &gt;&gt; .\items\materia\class0001\Soldier48.dbr</v>
      </c>
      <c r="Q50" t="str">
        <f t="shared" si="8"/>
        <v>echo itemCost,500000, &gt;&gt; .\items\materia\class0001\Soldier48.dbr</v>
      </c>
      <c r="R50" t="str">
        <f t="shared" si="9"/>
        <v>echo description,dailCompDescSoldier48, &gt;&gt; .\items\materia\class0001\Soldier48.dbr</v>
      </c>
      <c r="S50" t="str">
        <f t="shared" si="10"/>
        <v>echo itemText,dailCompTextSoldier48, &gt;&gt; .\items\materia\class0001\Soldier48.dbr</v>
      </c>
      <c r="T50" t="str">
        <f t="shared" si="11"/>
        <v>echo augmentSkillLevel1,3, &gt;&gt; .\items\materia\class0001\Soldier48.dbr</v>
      </c>
      <c r="U50" t="str">
        <f t="shared" si="12"/>
        <v>echo augmentSkillName1,records/skills/playerclass01/stanceoffensive.dbr, &gt;&gt; .\items\materia\class0001\Soldier48.dbr</v>
      </c>
      <c r="V50" s="5" t="s">
        <v>36</v>
      </c>
      <c r="W50" t="str">
        <f t="shared" si="13"/>
        <v>echo lootName48,DAIL/items/materia/class0001/Soldier48.dbr, &gt;&gt; .\items\loottables\dailoneskill0001.dbr</v>
      </c>
      <c r="X50" t="str">
        <f t="shared" si="14"/>
        <v>echo lootWeight48,1, &gt;&gt; .\items\loottables\dailoneskill0001.dbr</v>
      </c>
      <c r="Y50" s="5" t="s">
        <v>36</v>
      </c>
      <c r="Z50" t="str">
        <f t="shared" si="15"/>
        <v xml:space="preserve"> dailCompDescSoldier48=^pSoldier's Gift of DAIL</v>
      </c>
      <c r="AA50" t="str">
        <f t="shared" si="23"/>
        <v>dailCompTextSoldier48=^oThis feels warm to the touch, almost familiar ^w(This component only fits into the Medal Slot)</v>
      </c>
      <c r="AB50" s="5" t="s">
        <v>36</v>
      </c>
      <c r="AH50">
        <f t="shared" si="25"/>
        <v>45</v>
      </c>
      <c r="AI50">
        <f t="shared" si="29"/>
        <v>34</v>
      </c>
      <c r="AJ50">
        <f t="shared" si="24"/>
        <v>3</v>
      </c>
    </row>
    <row r="51" spans="1:36" x14ac:dyDescent="0.25">
      <c r="A51" s="5" t="s">
        <v>39</v>
      </c>
      <c r="B51" s="5" t="s">
        <v>30</v>
      </c>
      <c r="C51" s="5" t="str">
        <f t="shared" si="30"/>
        <v>description,dailCompDescSoldier49,</v>
      </c>
      <c r="D51" s="5" t="str">
        <f t="shared" si="31"/>
        <v>itemText,dailCompTextSoldier49,</v>
      </c>
      <c r="E51" s="5" t="str">
        <f t="shared" si="20"/>
        <v>augmentSkillLevel1,3,</v>
      </c>
      <c r="F51" s="5" t="str">
        <f t="shared" si="21"/>
        <v>augmentSkillName1,records/skills/playerclass01/fieldcommand1.dbr,</v>
      </c>
      <c r="G51" s="7">
        <f t="shared" si="16"/>
        <v>49</v>
      </c>
      <c r="H51" s="8" t="str">
        <f t="shared" si="17"/>
        <v>Soldier</v>
      </c>
      <c r="I51" s="3" t="s">
        <v>15</v>
      </c>
      <c r="J51" s="8" t="str">
        <f t="shared" si="18"/>
        <v>class0001</v>
      </c>
      <c r="K51" s="8" t="str">
        <f t="shared" si="18"/>
        <v>dailoneskill0001</v>
      </c>
      <c r="L51" s="5" t="str">
        <f t="shared" si="4"/>
        <v>lootName49,DAIL/items/materia/class0001/Soldier49.dbr,</v>
      </c>
      <c r="M51" s="5" t="str">
        <f t="shared" si="5"/>
        <v>lootWeight49,1,</v>
      </c>
      <c r="N51" t="str">
        <f t="shared" si="6"/>
        <v>3</v>
      </c>
      <c r="O51" t="str">
        <f t="shared" si="22"/>
        <v>copy .\dail_base3.dbr .\items\materia\class0001\Soldier49.dbr /y</v>
      </c>
      <c r="P51" t="str">
        <f t="shared" si="7"/>
        <v>echo relicBitmap,items/craftingparts/components/component_a52_bristlyfur_b.tex, &gt;&gt; .\items\materia\class0001\Soldier49.dbr</v>
      </c>
      <c r="Q51" t="str">
        <f t="shared" si="8"/>
        <v>echo itemCost,500000, &gt;&gt; .\items\materia\class0001\Soldier49.dbr</v>
      </c>
      <c r="R51" t="str">
        <f t="shared" si="9"/>
        <v>echo description,dailCompDescSoldier49, &gt;&gt; .\items\materia\class0001\Soldier49.dbr</v>
      </c>
      <c r="S51" t="str">
        <f t="shared" si="10"/>
        <v>echo itemText,dailCompTextSoldier49, &gt;&gt; .\items\materia\class0001\Soldier49.dbr</v>
      </c>
      <c r="T51" t="str">
        <f t="shared" si="11"/>
        <v>echo augmentSkillLevel1,3, &gt;&gt; .\items\materia\class0001\Soldier49.dbr</v>
      </c>
      <c r="U51" t="str">
        <f t="shared" si="12"/>
        <v>echo augmentSkillName1,records/skills/playerclass01/fieldcommand1.dbr, &gt;&gt; .\items\materia\class0001\Soldier49.dbr</v>
      </c>
      <c r="V51" s="5" t="s">
        <v>36</v>
      </c>
      <c r="W51" t="str">
        <f t="shared" si="13"/>
        <v>echo lootName49,DAIL/items/materia/class0001/Soldier49.dbr, &gt;&gt; .\items\loottables\dailoneskill0001.dbr</v>
      </c>
      <c r="X51" t="str">
        <f t="shared" si="14"/>
        <v>echo lootWeight49,1, &gt;&gt; .\items\loottables\dailoneskill0001.dbr</v>
      </c>
      <c r="Y51" s="5" t="s">
        <v>36</v>
      </c>
      <c r="Z51" t="str">
        <f t="shared" si="15"/>
        <v xml:space="preserve"> dailCompDescSoldier49=^pSoldier's Gift of DAIL</v>
      </c>
      <c r="AA51" t="str">
        <f t="shared" si="23"/>
        <v>dailCompTextSoldier49=^oThis feels warm to the touch, almost familiar ^w(This component only fits into the Medal Slot)</v>
      </c>
      <c r="AB51" s="5" t="s">
        <v>36</v>
      </c>
      <c r="AH51">
        <f t="shared" si="25"/>
        <v>46</v>
      </c>
      <c r="AI51">
        <f t="shared" si="29"/>
        <v>32</v>
      </c>
      <c r="AJ51">
        <f t="shared" si="24"/>
        <v>3</v>
      </c>
    </row>
    <row r="52" spans="1:36" x14ac:dyDescent="0.25">
      <c r="A52" s="5" t="s">
        <v>39</v>
      </c>
      <c r="B52" s="5" t="s">
        <v>30</v>
      </c>
      <c r="C52" s="5" t="str">
        <f t="shared" si="30"/>
        <v>description,dailCompDescSoldier50,</v>
      </c>
      <c r="D52" s="5" t="str">
        <f t="shared" si="31"/>
        <v>itemText,dailCompTextSoldier50,</v>
      </c>
      <c r="E52" s="5" t="str">
        <f t="shared" si="20"/>
        <v>augmentSkillLevel1,3,</v>
      </c>
      <c r="F52" s="5" t="str">
        <f t="shared" si="21"/>
        <v>augmentSkillName1,records/skills/playerclass01/fieldcommand2.dbr,</v>
      </c>
      <c r="G52" s="7">
        <f t="shared" si="16"/>
        <v>50</v>
      </c>
      <c r="H52" s="8" t="str">
        <f t="shared" si="17"/>
        <v>Soldier</v>
      </c>
      <c r="I52" s="3" t="s">
        <v>256</v>
      </c>
      <c r="J52" s="8" t="str">
        <f t="shared" si="18"/>
        <v>class0001</v>
      </c>
      <c r="K52" s="8" t="str">
        <f t="shared" si="18"/>
        <v>dailoneskill0001</v>
      </c>
      <c r="L52" s="5" t="str">
        <f t="shared" si="4"/>
        <v>lootName50,DAIL/items/materia/class0001/Soldier50.dbr,</v>
      </c>
      <c r="M52" s="5" t="str">
        <f t="shared" si="5"/>
        <v>lootWeight50,1,</v>
      </c>
      <c r="N52" t="str">
        <f t="shared" si="6"/>
        <v>3</v>
      </c>
      <c r="O52" t="str">
        <f t="shared" si="22"/>
        <v>copy .\dail_base3.dbr .\items\materia\class0001\Soldier50.dbr /y</v>
      </c>
      <c r="P52" t="str">
        <f t="shared" si="7"/>
        <v>echo relicBitmap,items/craftingparts/components/component_a52_bristlyfur_b.tex, &gt;&gt; .\items\materia\class0001\Soldier50.dbr</v>
      </c>
      <c r="Q52" t="str">
        <f t="shared" si="8"/>
        <v>echo itemCost,500000, &gt;&gt; .\items\materia\class0001\Soldier50.dbr</v>
      </c>
      <c r="R52" t="str">
        <f t="shared" si="9"/>
        <v>echo description,dailCompDescSoldier50, &gt;&gt; .\items\materia\class0001\Soldier50.dbr</v>
      </c>
      <c r="S52" t="str">
        <f t="shared" si="10"/>
        <v>echo itemText,dailCompTextSoldier50, &gt;&gt; .\items\materia\class0001\Soldier50.dbr</v>
      </c>
      <c r="T52" t="str">
        <f t="shared" si="11"/>
        <v>echo augmentSkillLevel1,3, &gt;&gt; .\items\materia\class0001\Soldier50.dbr</v>
      </c>
      <c r="U52" t="str">
        <f t="shared" si="12"/>
        <v>echo augmentSkillName1,records/skills/playerclass01/fieldcommand2.dbr, &gt;&gt; .\items\materia\class0001\Soldier50.dbr</v>
      </c>
      <c r="V52" s="5" t="s">
        <v>36</v>
      </c>
      <c r="W52" t="str">
        <f t="shared" si="13"/>
        <v>echo lootName50,DAIL/items/materia/class0001/Soldier50.dbr, &gt;&gt; .\items\loottables\dailoneskill0001.dbr</v>
      </c>
      <c r="X52" t="str">
        <f t="shared" si="14"/>
        <v>echo lootWeight50,1, &gt;&gt; .\items\loottables\dailoneskill0001.dbr</v>
      </c>
      <c r="Y52" s="5" t="s">
        <v>36</v>
      </c>
      <c r="Z52" t="str">
        <f t="shared" si="15"/>
        <v xml:space="preserve"> dailCompDescSoldier50=^pSoldier's Gift of DAIL</v>
      </c>
      <c r="AA52" t="str">
        <f t="shared" si="23"/>
        <v>dailCompTextSoldier50=^oThis feels warm to the touch, almost familiar ^w(This component only fits into the Medal Slot)</v>
      </c>
      <c r="AB52" s="5" t="s">
        <v>36</v>
      </c>
      <c r="AH52">
        <f t="shared" si="25"/>
        <v>47</v>
      </c>
      <c r="AI52">
        <f t="shared" si="29"/>
        <v>32</v>
      </c>
      <c r="AJ52">
        <f t="shared" si="24"/>
        <v>3</v>
      </c>
    </row>
    <row r="53" spans="1:36" x14ac:dyDescent="0.25">
      <c r="A53" s="5" t="s">
        <v>39</v>
      </c>
      <c r="B53" s="5" t="s">
        <v>30</v>
      </c>
      <c r="C53" s="5" t="str">
        <f t="shared" si="30"/>
        <v>description,dailCompDescSoldier51,</v>
      </c>
      <c r="D53" s="5" t="str">
        <f t="shared" si="31"/>
        <v>itemText,dailCompTextSoldier51,</v>
      </c>
      <c r="E53" s="5" t="str">
        <f t="shared" si="20"/>
        <v>augmentSkillLevel1,3,</v>
      </c>
      <c r="F53" s="5" t="str">
        <f t="shared" si="21"/>
        <v>augmentSkillName1,records/skills/playerclass01/weaponpool1.dbr,</v>
      </c>
      <c r="G53" s="7">
        <f t="shared" si="16"/>
        <v>51</v>
      </c>
      <c r="H53" s="8" t="str">
        <f t="shared" si="17"/>
        <v>Soldier</v>
      </c>
      <c r="I53" s="3" t="s">
        <v>257</v>
      </c>
      <c r="J53" s="8" t="str">
        <f t="shared" si="18"/>
        <v>class0001</v>
      </c>
      <c r="K53" s="8" t="str">
        <f t="shared" si="18"/>
        <v>dailoneskill0001</v>
      </c>
      <c r="L53" s="5" t="str">
        <f t="shared" si="4"/>
        <v>lootName51,DAIL/items/materia/class0001/Soldier51.dbr,</v>
      </c>
      <c r="M53" s="5" t="str">
        <f t="shared" si="5"/>
        <v>lootWeight51,1,</v>
      </c>
      <c r="N53" t="str">
        <f t="shared" si="6"/>
        <v>3</v>
      </c>
      <c r="O53" t="str">
        <f t="shared" si="22"/>
        <v>copy .\dail_base3.dbr .\items\materia\class0001\Soldier51.dbr /y</v>
      </c>
      <c r="P53" t="str">
        <f t="shared" si="7"/>
        <v>echo relicBitmap,items/craftingparts/components/component_a52_bristlyfur_b.tex, &gt;&gt; .\items\materia\class0001\Soldier51.dbr</v>
      </c>
      <c r="Q53" t="str">
        <f t="shared" si="8"/>
        <v>echo itemCost,500000, &gt;&gt; .\items\materia\class0001\Soldier51.dbr</v>
      </c>
      <c r="R53" t="str">
        <f t="shared" si="9"/>
        <v>echo description,dailCompDescSoldier51, &gt;&gt; .\items\materia\class0001\Soldier51.dbr</v>
      </c>
      <c r="S53" t="str">
        <f t="shared" si="10"/>
        <v>echo itemText,dailCompTextSoldier51, &gt;&gt; .\items\materia\class0001\Soldier51.dbr</v>
      </c>
      <c r="T53" t="str">
        <f t="shared" si="11"/>
        <v>echo augmentSkillLevel1,3, &gt;&gt; .\items\materia\class0001\Soldier51.dbr</v>
      </c>
      <c r="U53" t="str">
        <f t="shared" si="12"/>
        <v>echo augmentSkillName1,records/skills/playerclass01/weaponpool1.dbr, &gt;&gt; .\items\materia\class0001\Soldier51.dbr</v>
      </c>
      <c r="V53" s="5" t="s">
        <v>36</v>
      </c>
      <c r="W53" t="str">
        <f t="shared" si="13"/>
        <v>echo lootName51,DAIL/items/materia/class0001/Soldier51.dbr, &gt;&gt; .\items\loottables\dailoneskill0001.dbr</v>
      </c>
      <c r="X53" t="str">
        <f t="shared" si="14"/>
        <v>echo lootWeight51,1, &gt;&gt; .\items\loottables\dailoneskill0001.dbr</v>
      </c>
      <c r="Y53" s="5" t="s">
        <v>36</v>
      </c>
      <c r="Z53" t="str">
        <f t="shared" si="15"/>
        <v xml:space="preserve"> dailCompDescSoldier51=^pSoldier's Gift of DAIL</v>
      </c>
      <c r="AA53" t="str">
        <f t="shared" si="23"/>
        <v>dailCompTextSoldier51=^oThis feels warm to the touch, almost familiar ^w(This component only fits into the Medal Slot)</v>
      </c>
      <c r="AB53" s="5" t="s">
        <v>36</v>
      </c>
      <c r="AH53">
        <f t="shared" si="25"/>
        <v>48</v>
      </c>
      <c r="AI53">
        <f t="shared" si="29"/>
        <v>30</v>
      </c>
      <c r="AJ53">
        <f t="shared" si="24"/>
        <v>3</v>
      </c>
    </row>
    <row r="54" spans="1:36" x14ac:dyDescent="0.25">
      <c r="A54" s="5" t="s">
        <v>39</v>
      </c>
      <c r="B54" s="5" t="s">
        <v>30</v>
      </c>
      <c r="C54" s="5" t="str">
        <f t="shared" si="30"/>
        <v>description,dailCompDescSoldier52,</v>
      </c>
      <c r="D54" s="5" t="str">
        <f t="shared" si="31"/>
        <v>itemText,dailCompTextSoldier52,</v>
      </c>
      <c r="E54" s="5" t="str">
        <f t="shared" si="20"/>
        <v>augmentSkillLevel1,3,</v>
      </c>
      <c r="F54" s="5" t="str">
        <f t="shared" si="21"/>
        <v>augmentSkillName1,records/skills/playerclass01/weaponpool2.dbr,</v>
      </c>
      <c r="G54" s="7">
        <f t="shared" si="16"/>
        <v>52</v>
      </c>
      <c r="H54" s="8" t="str">
        <f t="shared" si="17"/>
        <v>Soldier</v>
      </c>
      <c r="I54" s="3" t="s">
        <v>258</v>
      </c>
      <c r="J54" s="8" t="str">
        <f t="shared" si="18"/>
        <v>class0001</v>
      </c>
      <c r="K54" s="8" t="str">
        <f t="shared" si="18"/>
        <v>dailoneskill0001</v>
      </c>
      <c r="L54" s="5" t="str">
        <f t="shared" si="4"/>
        <v>lootName52,DAIL/items/materia/class0001/Soldier52.dbr,</v>
      </c>
      <c r="M54" s="5" t="str">
        <f t="shared" si="5"/>
        <v>lootWeight52,1,</v>
      </c>
      <c r="N54" t="str">
        <f t="shared" si="6"/>
        <v>3</v>
      </c>
      <c r="O54" t="str">
        <f t="shared" si="22"/>
        <v>copy .\dail_base3.dbr .\items\materia\class0001\Soldier52.dbr /y</v>
      </c>
      <c r="P54" t="str">
        <f t="shared" si="7"/>
        <v>echo relicBitmap,items/craftingparts/components/component_a52_bristlyfur_b.tex, &gt;&gt; .\items\materia\class0001\Soldier52.dbr</v>
      </c>
      <c r="Q54" t="str">
        <f t="shared" si="8"/>
        <v>echo itemCost,500000, &gt;&gt; .\items\materia\class0001\Soldier52.dbr</v>
      </c>
      <c r="R54" t="str">
        <f t="shared" si="9"/>
        <v>echo description,dailCompDescSoldier52, &gt;&gt; .\items\materia\class0001\Soldier52.dbr</v>
      </c>
      <c r="S54" t="str">
        <f t="shared" si="10"/>
        <v>echo itemText,dailCompTextSoldier52, &gt;&gt; .\items\materia\class0001\Soldier52.dbr</v>
      </c>
      <c r="T54" t="str">
        <f t="shared" si="11"/>
        <v>echo augmentSkillLevel1,3, &gt;&gt; .\items\materia\class0001\Soldier52.dbr</v>
      </c>
      <c r="U54" t="str">
        <f t="shared" si="12"/>
        <v>echo augmentSkillName1,records/skills/playerclass01/weaponpool2.dbr, &gt;&gt; .\items\materia\class0001\Soldier52.dbr</v>
      </c>
      <c r="V54" s="5" t="s">
        <v>36</v>
      </c>
      <c r="W54" t="str">
        <f t="shared" si="13"/>
        <v>echo lootName52,DAIL/items/materia/class0001/Soldier52.dbr, &gt;&gt; .\items\loottables\dailoneskill0001.dbr</v>
      </c>
      <c r="X54" t="str">
        <f t="shared" si="14"/>
        <v>echo lootWeight52,1, &gt;&gt; .\items\loottables\dailoneskill0001.dbr</v>
      </c>
      <c r="Y54" s="5" t="s">
        <v>36</v>
      </c>
      <c r="Z54" t="str">
        <f t="shared" si="15"/>
        <v xml:space="preserve"> dailCompDescSoldier52=^pSoldier's Gift of DAIL</v>
      </c>
      <c r="AA54" t="str">
        <f t="shared" si="23"/>
        <v>dailCompTextSoldier52=^oThis feels warm to the touch, almost familiar ^w(This component only fits into the Medal Slot)</v>
      </c>
      <c r="AB54" s="5" t="s">
        <v>36</v>
      </c>
      <c r="AH54">
        <f t="shared" si="25"/>
        <v>49</v>
      </c>
      <c r="AI54">
        <f t="shared" si="29"/>
        <v>30</v>
      </c>
      <c r="AJ54">
        <f t="shared" si="24"/>
        <v>3</v>
      </c>
    </row>
    <row r="55" spans="1:36" x14ac:dyDescent="0.25">
      <c r="A55" s="5" t="s">
        <v>39</v>
      </c>
      <c r="B55" s="5" t="s">
        <v>30</v>
      </c>
      <c r="C55" s="5" t="str">
        <f t="shared" si="30"/>
        <v>description,dailCompDescSoldier53,</v>
      </c>
      <c r="D55" s="5" t="str">
        <f t="shared" si="31"/>
        <v>itemText,dailCompTextSoldier53,</v>
      </c>
      <c r="E55" s="5" t="str">
        <f t="shared" si="20"/>
        <v>augmentSkillLevel1,3,</v>
      </c>
      <c r="F55" s="5" t="str">
        <f t="shared" si="21"/>
        <v>augmentSkillName1,records/skills/playerclass01/warcry1.dbr,</v>
      </c>
      <c r="G55" s="7">
        <f t="shared" si="16"/>
        <v>53</v>
      </c>
      <c r="H55" s="8" t="str">
        <f t="shared" si="17"/>
        <v>Soldier</v>
      </c>
      <c r="I55" s="3" t="s">
        <v>23</v>
      </c>
      <c r="J55" s="8" t="str">
        <f t="shared" si="18"/>
        <v>class0001</v>
      </c>
      <c r="K55" s="8" t="str">
        <f t="shared" si="18"/>
        <v>dailoneskill0001</v>
      </c>
      <c r="L55" s="5" t="str">
        <f t="shared" si="4"/>
        <v>lootName53,DAIL/items/materia/class0001/Soldier53.dbr,</v>
      </c>
      <c r="M55" s="5" t="str">
        <f t="shared" si="5"/>
        <v>lootWeight53,1,</v>
      </c>
      <c r="N55" t="str">
        <f t="shared" si="6"/>
        <v>3</v>
      </c>
      <c r="O55" t="str">
        <f t="shared" si="22"/>
        <v>copy .\dail_base3.dbr .\items\materia\class0001\Soldier53.dbr /y</v>
      </c>
      <c r="P55" t="str">
        <f t="shared" si="7"/>
        <v>echo relicBitmap,items/craftingparts/components/component_a52_bristlyfur_b.tex, &gt;&gt; .\items\materia\class0001\Soldier53.dbr</v>
      </c>
      <c r="Q55" t="str">
        <f t="shared" si="8"/>
        <v>echo itemCost,500000, &gt;&gt; .\items\materia\class0001\Soldier53.dbr</v>
      </c>
      <c r="R55" t="str">
        <f t="shared" si="9"/>
        <v>echo description,dailCompDescSoldier53, &gt;&gt; .\items\materia\class0001\Soldier53.dbr</v>
      </c>
      <c r="S55" t="str">
        <f t="shared" si="10"/>
        <v>echo itemText,dailCompTextSoldier53, &gt;&gt; .\items\materia\class0001\Soldier53.dbr</v>
      </c>
      <c r="T55" t="str">
        <f t="shared" si="11"/>
        <v>echo augmentSkillLevel1,3, &gt;&gt; .\items\materia\class0001\Soldier53.dbr</v>
      </c>
      <c r="U55" t="str">
        <f t="shared" si="12"/>
        <v>echo augmentSkillName1,records/skills/playerclass01/warcry1.dbr, &gt;&gt; .\items\materia\class0001\Soldier53.dbr</v>
      </c>
      <c r="V55" s="5" t="s">
        <v>36</v>
      </c>
      <c r="W55" t="str">
        <f t="shared" si="13"/>
        <v>echo lootName53,DAIL/items/materia/class0001/Soldier53.dbr, &gt;&gt; .\items\loottables\dailoneskill0001.dbr</v>
      </c>
      <c r="X55" t="str">
        <f t="shared" si="14"/>
        <v>echo lootWeight53,1, &gt;&gt; .\items\loottables\dailoneskill0001.dbr</v>
      </c>
      <c r="Y55" s="5" t="s">
        <v>36</v>
      </c>
      <c r="Z55" t="str">
        <f t="shared" si="15"/>
        <v xml:space="preserve"> dailCompDescSoldier53=^pSoldier's Gift of DAIL</v>
      </c>
      <c r="AA55" t="str">
        <f t="shared" si="23"/>
        <v>dailCompTextSoldier53=^oThis feels warm to the touch, almost familiar ^w(This component only fits into the Medal Slot)</v>
      </c>
      <c r="AB55" s="5" t="s">
        <v>36</v>
      </c>
      <c r="AH55">
        <f t="shared" si="25"/>
        <v>50</v>
      </c>
      <c r="AI55">
        <f t="shared" si="29"/>
        <v>26</v>
      </c>
      <c r="AJ55">
        <f t="shared" si="24"/>
        <v>3</v>
      </c>
    </row>
    <row r="56" spans="1:36" x14ac:dyDescent="0.25">
      <c r="A56" s="5" t="s">
        <v>39</v>
      </c>
      <c r="B56" s="5" t="s">
        <v>30</v>
      </c>
      <c r="C56" s="5" t="str">
        <f t="shared" si="30"/>
        <v>description,dailCompDescSoldier54,</v>
      </c>
      <c r="D56" s="5" t="str">
        <f t="shared" si="31"/>
        <v>itemText,dailCompTextSoldier54,</v>
      </c>
      <c r="E56" s="5" t="str">
        <f t="shared" si="20"/>
        <v>augmentSkillLevel1,3,</v>
      </c>
      <c r="F56" s="5" t="str">
        <f t="shared" si="21"/>
        <v>augmentSkillName1,records/skills/playerclass01/warcry1b.dbr,</v>
      </c>
      <c r="G56" s="7">
        <f t="shared" si="16"/>
        <v>54</v>
      </c>
      <c r="H56" s="8" t="str">
        <f t="shared" si="17"/>
        <v>Soldier</v>
      </c>
      <c r="I56" s="3" t="s">
        <v>259</v>
      </c>
      <c r="J56" s="8" t="str">
        <f t="shared" si="18"/>
        <v>class0001</v>
      </c>
      <c r="K56" s="8" t="str">
        <f t="shared" si="18"/>
        <v>dailoneskill0001</v>
      </c>
      <c r="L56" s="5" t="str">
        <f t="shared" si="4"/>
        <v>lootName54,DAIL/items/materia/class0001/Soldier54.dbr,</v>
      </c>
      <c r="M56" s="5" t="str">
        <f t="shared" si="5"/>
        <v>lootWeight54,1,</v>
      </c>
      <c r="N56" t="str">
        <f t="shared" si="6"/>
        <v>3</v>
      </c>
      <c r="O56" t="str">
        <f t="shared" si="22"/>
        <v>copy .\dail_base3.dbr .\items\materia\class0001\Soldier54.dbr /y</v>
      </c>
      <c r="P56" t="str">
        <f t="shared" si="7"/>
        <v>echo relicBitmap,items/craftingparts/components/component_a52_bristlyfur_b.tex, &gt;&gt; .\items\materia\class0001\Soldier54.dbr</v>
      </c>
      <c r="Q56" t="str">
        <f t="shared" si="8"/>
        <v>echo itemCost,500000, &gt;&gt; .\items\materia\class0001\Soldier54.dbr</v>
      </c>
      <c r="R56" t="str">
        <f t="shared" si="9"/>
        <v>echo description,dailCompDescSoldier54, &gt;&gt; .\items\materia\class0001\Soldier54.dbr</v>
      </c>
      <c r="S56" t="str">
        <f t="shared" si="10"/>
        <v>echo itemText,dailCompTextSoldier54, &gt;&gt; .\items\materia\class0001\Soldier54.dbr</v>
      </c>
      <c r="T56" t="str">
        <f t="shared" si="11"/>
        <v>echo augmentSkillLevel1,3, &gt;&gt; .\items\materia\class0001\Soldier54.dbr</v>
      </c>
      <c r="U56" t="str">
        <f t="shared" si="12"/>
        <v>echo augmentSkillName1,records/skills/playerclass01/warcry1b.dbr, &gt;&gt; .\items\materia\class0001\Soldier54.dbr</v>
      </c>
      <c r="V56" s="5" t="s">
        <v>36</v>
      </c>
      <c r="W56" t="str">
        <f t="shared" si="13"/>
        <v>echo lootName54,DAIL/items/materia/class0001/Soldier54.dbr, &gt;&gt; .\items\loottables\dailoneskill0001.dbr</v>
      </c>
      <c r="X56" t="str">
        <f t="shared" si="14"/>
        <v>echo lootWeight54,1, &gt;&gt; .\items\loottables\dailoneskill0001.dbr</v>
      </c>
      <c r="Y56" s="5" t="s">
        <v>36</v>
      </c>
      <c r="Z56" t="str">
        <f t="shared" si="15"/>
        <v xml:space="preserve"> dailCompDescSoldier54=^pSoldier's Gift of DAIL</v>
      </c>
      <c r="AA56" t="str">
        <f t="shared" si="23"/>
        <v>dailCompTextSoldier54=^oThis feels warm to the touch, almost familiar ^w(This component only fits into the Medal Slot)</v>
      </c>
      <c r="AB56" s="5" t="s">
        <v>36</v>
      </c>
      <c r="AH56">
        <f t="shared" si="25"/>
        <v>51</v>
      </c>
      <c r="AI56">
        <f t="shared" si="29"/>
        <v>27</v>
      </c>
      <c r="AJ56">
        <f t="shared" si="24"/>
        <v>3</v>
      </c>
    </row>
    <row r="57" spans="1:36" x14ac:dyDescent="0.25">
      <c r="A57" s="5" t="s">
        <v>39</v>
      </c>
      <c r="B57" s="5" t="s">
        <v>30</v>
      </c>
      <c r="C57" s="5" t="str">
        <f t="shared" si="30"/>
        <v>description,dailCompDescSoldier55,</v>
      </c>
      <c r="D57" s="5" t="str">
        <f t="shared" si="31"/>
        <v>itemText,dailCompTextSoldier55,</v>
      </c>
      <c r="E57" s="5" t="str">
        <f t="shared" si="20"/>
        <v>augmentSkillLevel1,3,</v>
      </c>
      <c r="F57" s="5" t="str">
        <f t="shared" si="21"/>
        <v>augmentSkillName1,records/skills/playerclass01/warcry2.dbr,</v>
      </c>
      <c r="G57" s="7">
        <f t="shared" si="16"/>
        <v>55</v>
      </c>
      <c r="H57" s="8" t="str">
        <f t="shared" si="17"/>
        <v>Soldier</v>
      </c>
      <c r="I57" s="3" t="s">
        <v>260</v>
      </c>
      <c r="J57" s="8" t="str">
        <f t="shared" si="18"/>
        <v>class0001</v>
      </c>
      <c r="K57" s="8" t="str">
        <f t="shared" si="18"/>
        <v>dailoneskill0001</v>
      </c>
      <c r="L57" s="5" t="str">
        <f t="shared" si="4"/>
        <v>lootName55,DAIL/items/materia/class0001/Soldier55.dbr,</v>
      </c>
      <c r="M57" s="5" t="str">
        <f t="shared" si="5"/>
        <v>lootWeight55,1,</v>
      </c>
      <c r="N57" t="str">
        <f t="shared" si="6"/>
        <v>3</v>
      </c>
      <c r="O57" t="str">
        <f t="shared" si="22"/>
        <v>copy .\dail_base3.dbr .\items\materia\class0001\Soldier55.dbr /y</v>
      </c>
      <c r="P57" t="str">
        <f t="shared" si="7"/>
        <v>echo relicBitmap,items/craftingparts/components/component_a52_bristlyfur_b.tex, &gt;&gt; .\items\materia\class0001\Soldier55.dbr</v>
      </c>
      <c r="Q57" t="str">
        <f t="shared" si="8"/>
        <v>echo itemCost,500000, &gt;&gt; .\items\materia\class0001\Soldier55.dbr</v>
      </c>
      <c r="R57" t="str">
        <f t="shared" si="9"/>
        <v>echo description,dailCompDescSoldier55, &gt;&gt; .\items\materia\class0001\Soldier55.dbr</v>
      </c>
      <c r="S57" t="str">
        <f t="shared" si="10"/>
        <v>echo itemText,dailCompTextSoldier55, &gt;&gt; .\items\materia\class0001\Soldier55.dbr</v>
      </c>
      <c r="T57" t="str">
        <f t="shared" si="11"/>
        <v>echo augmentSkillLevel1,3, &gt;&gt; .\items\materia\class0001\Soldier55.dbr</v>
      </c>
      <c r="U57" t="str">
        <f t="shared" si="12"/>
        <v>echo augmentSkillName1,records/skills/playerclass01/warcry2.dbr, &gt;&gt; .\items\materia\class0001\Soldier55.dbr</v>
      </c>
      <c r="V57" s="5" t="s">
        <v>36</v>
      </c>
      <c r="W57" t="str">
        <f t="shared" si="13"/>
        <v>echo lootName55,DAIL/items/materia/class0001/Soldier55.dbr, &gt;&gt; .\items\loottables\dailoneskill0001.dbr</v>
      </c>
      <c r="X57" t="str">
        <f t="shared" si="14"/>
        <v>echo lootWeight55,1, &gt;&gt; .\items\loottables\dailoneskill0001.dbr</v>
      </c>
      <c r="Y57" s="5" t="s">
        <v>36</v>
      </c>
      <c r="Z57" t="str">
        <f t="shared" si="15"/>
        <v xml:space="preserve"> dailCompDescSoldier55=^pSoldier's Gift of DAIL</v>
      </c>
      <c r="AA57" t="str">
        <f t="shared" si="23"/>
        <v>dailCompTextSoldier55=^oThis feels warm to the touch, almost familiar ^w(This component only fits into the Medal Slot)</v>
      </c>
      <c r="AB57" s="5" t="s">
        <v>36</v>
      </c>
      <c r="AH57">
        <f t="shared" si="25"/>
        <v>52</v>
      </c>
      <c r="AI57">
        <f t="shared" si="29"/>
        <v>26</v>
      </c>
      <c r="AJ57">
        <f t="shared" si="24"/>
        <v>3</v>
      </c>
    </row>
    <row r="58" spans="1:36" x14ac:dyDescent="0.25">
      <c r="A58" s="5" t="s">
        <v>39</v>
      </c>
      <c r="B58" s="5" t="s">
        <v>30</v>
      </c>
      <c r="C58" s="5" t="str">
        <f t="shared" si="30"/>
        <v>description,dailCompDescSoldier56,</v>
      </c>
      <c r="D58" s="5" t="str">
        <f t="shared" si="31"/>
        <v>itemText,dailCompTextSoldier56,</v>
      </c>
      <c r="E58" s="5" t="str">
        <f t="shared" si="20"/>
        <v>augmentSkillLevel1,3,</v>
      </c>
      <c r="F58" s="5" t="str">
        <f t="shared" si="21"/>
        <v>augmentSkillName1,records/skills/playerclass01/cadence1b.dbr,</v>
      </c>
      <c r="G58" s="7">
        <f t="shared" si="16"/>
        <v>56</v>
      </c>
      <c r="H58" s="8" t="str">
        <f t="shared" si="17"/>
        <v>Soldier</v>
      </c>
      <c r="I58" s="3" t="s">
        <v>261</v>
      </c>
      <c r="J58" s="8" t="str">
        <f t="shared" si="18"/>
        <v>class0001</v>
      </c>
      <c r="K58" s="8" t="str">
        <f t="shared" si="18"/>
        <v>dailoneskill0001</v>
      </c>
      <c r="L58" s="5" t="str">
        <f t="shared" si="4"/>
        <v>lootName56,DAIL/items/materia/class0001/Soldier56.dbr,</v>
      </c>
      <c r="M58" s="5" t="str">
        <f t="shared" si="5"/>
        <v>lootWeight56,1,</v>
      </c>
      <c r="N58" t="str">
        <f t="shared" si="6"/>
        <v>3</v>
      </c>
      <c r="O58" t="str">
        <f t="shared" si="22"/>
        <v>copy .\dail_base3.dbr .\items\materia\class0001\Soldier56.dbr /y</v>
      </c>
      <c r="P58" t="str">
        <f t="shared" si="7"/>
        <v>echo relicBitmap,items/craftingparts/components/component_a52_bristlyfur_b.tex, &gt;&gt; .\items\materia\class0001\Soldier56.dbr</v>
      </c>
      <c r="Q58" t="str">
        <f t="shared" si="8"/>
        <v>echo itemCost,500000, &gt;&gt; .\items\materia\class0001\Soldier56.dbr</v>
      </c>
      <c r="R58" t="str">
        <f t="shared" si="9"/>
        <v>echo description,dailCompDescSoldier56, &gt;&gt; .\items\materia\class0001\Soldier56.dbr</v>
      </c>
      <c r="S58" t="str">
        <f t="shared" si="10"/>
        <v>echo itemText,dailCompTextSoldier56, &gt;&gt; .\items\materia\class0001\Soldier56.dbr</v>
      </c>
      <c r="T58" t="str">
        <f t="shared" si="11"/>
        <v>echo augmentSkillLevel1,3, &gt;&gt; .\items\materia\class0001\Soldier56.dbr</v>
      </c>
      <c r="U58" t="str">
        <f t="shared" si="12"/>
        <v>echo augmentSkillName1,records/skills/playerclass01/cadence1b.dbr, &gt;&gt; .\items\materia\class0001\Soldier56.dbr</v>
      </c>
      <c r="V58" s="5" t="s">
        <v>36</v>
      </c>
      <c r="W58" t="str">
        <f t="shared" si="13"/>
        <v>echo lootName56,DAIL/items/materia/class0001/Soldier56.dbr, &gt;&gt; .\items\loottables\dailoneskill0001.dbr</v>
      </c>
      <c r="X58" t="str">
        <f t="shared" si="14"/>
        <v>echo lootWeight56,1, &gt;&gt; .\items\loottables\dailoneskill0001.dbr</v>
      </c>
      <c r="Y58" s="5" t="s">
        <v>36</v>
      </c>
      <c r="Z58" t="str">
        <f t="shared" si="15"/>
        <v xml:space="preserve"> dailCompDescSoldier56=^pSoldier's Gift of DAIL</v>
      </c>
      <c r="AA58" t="str">
        <f t="shared" si="23"/>
        <v>dailCompTextSoldier56=^oThis feels warm to the touch, almost familiar ^w(This component only fits into the Medal Slot)</v>
      </c>
      <c r="AB58" s="5" t="s">
        <v>36</v>
      </c>
      <c r="AH58">
        <f t="shared" si="25"/>
        <v>53</v>
      </c>
      <c r="AI58">
        <f t="shared" si="29"/>
        <v>28</v>
      </c>
      <c r="AJ58">
        <f t="shared" si="24"/>
        <v>3</v>
      </c>
    </row>
    <row r="59" spans="1:36" x14ac:dyDescent="0.25">
      <c r="A59" s="5" t="s">
        <v>39</v>
      </c>
      <c r="B59" s="5" t="s">
        <v>30</v>
      </c>
      <c r="C59" s="5" t="str">
        <f t="shared" si="30"/>
        <v>description,dailCompDescSoldier57,</v>
      </c>
      <c r="D59" s="5" t="str">
        <f t="shared" si="31"/>
        <v>itemText,dailCompTextSoldier57,</v>
      </c>
      <c r="E59" s="5" t="str">
        <f t="shared" si="20"/>
        <v>augmentSkillLevel1,3,</v>
      </c>
      <c r="F59" s="5" t="str">
        <f t="shared" si="21"/>
        <v>augmentSkillName1,records/skills/playerclass01/willtolive1.dbr,</v>
      </c>
      <c r="G59" s="7">
        <f t="shared" si="16"/>
        <v>57</v>
      </c>
      <c r="H59" s="8" t="str">
        <f t="shared" si="17"/>
        <v>Soldier</v>
      </c>
      <c r="I59" s="3" t="s">
        <v>262</v>
      </c>
      <c r="J59" s="8" t="str">
        <f t="shared" si="18"/>
        <v>class0001</v>
      </c>
      <c r="K59" s="8" t="str">
        <f t="shared" si="18"/>
        <v>dailoneskill0001</v>
      </c>
      <c r="L59" s="5" t="str">
        <f t="shared" si="4"/>
        <v>lootName57,DAIL/items/materia/class0001/Soldier57.dbr,</v>
      </c>
      <c r="M59" s="5" t="str">
        <f t="shared" si="5"/>
        <v>lootWeight57,1,</v>
      </c>
      <c r="N59" t="str">
        <f t="shared" si="6"/>
        <v>3</v>
      </c>
      <c r="O59" t="str">
        <f t="shared" si="22"/>
        <v>copy .\dail_base3.dbr .\items\materia\class0001\Soldier57.dbr /y</v>
      </c>
      <c r="P59" t="str">
        <f t="shared" si="7"/>
        <v>echo relicBitmap,items/craftingparts/components/component_a52_bristlyfur_b.tex, &gt;&gt; .\items\materia\class0001\Soldier57.dbr</v>
      </c>
      <c r="Q59" t="str">
        <f t="shared" si="8"/>
        <v>echo itemCost,500000, &gt;&gt; .\items\materia\class0001\Soldier57.dbr</v>
      </c>
      <c r="R59" t="str">
        <f t="shared" si="9"/>
        <v>echo description,dailCompDescSoldier57, &gt;&gt; .\items\materia\class0001\Soldier57.dbr</v>
      </c>
      <c r="S59" t="str">
        <f t="shared" si="10"/>
        <v>echo itemText,dailCompTextSoldier57, &gt;&gt; .\items\materia\class0001\Soldier57.dbr</v>
      </c>
      <c r="T59" t="str">
        <f t="shared" si="11"/>
        <v>echo augmentSkillLevel1,3, &gt;&gt; .\items\materia\class0001\Soldier57.dbr</v>
      </c>
      <c r="U59" t="str">
        <f t="shared" si="12"/>
        <v>echo augmentSkillName1,records/skills/playerclass01/willtolive1.dbr, &gt;&gt; .\items\materia\class0001\Soldier57.dbr</v>
      </c>
      <c r="V59" s="5" t="s">
        <v>36</v>
      </c>
      <c r="W59" t="str">
        <f t="shared" si="13"/>
        <v>echo lootName57,DAIL/items/materia/class0001/Soldier57.dbr, &gt;&gt; .\items\loottables\dailoneskill0001.dbr</v>
      </c>
      <c r="X59" t="str">
        <f t="shared" si="14"/>
        <v>echo lootWeight57,1, &gt;&gt; .\items\loottables\dailoneskill0001.dbr</v>
      </c>
      <c r="Y59" s="5" t="s">
        <v>36</v>
      </c>
      <c r="Z59" t="str">
        <f t="shared" si="15"/>
        <v xml:space="preserve"> dailCompDescSoldier57=^pSoldier's Gift of DAIL</v>
      </c>
      <c r="AA59" t="str">
        <f t="shared" si="23"/>
        <v>dailCompTextSoldier57=^oThis feels warm to the touch, almost familiar ^w(This component only fits into the Medal Slot)</v>
      </c>
      <c r="AB59" s="5" t="s">
        <v>36</v>
      </c>
      <c r="AH59">
        <f t="shared" si="25"/>
        <v>54</v>
      </c>
      <c r="AI59">
        <f t="shared" si="29"/>
        <v>30</v>
      </c>
      <c r="AJ59">
        <f t="shared" si="24"/>
        <v>3</v>
      </c>
    </row>
    <row r="60" spans="1:36" x14ac:dyDescent="0.25">
      <c r="A60" s="5" t="s">
        <v>39</v>
      </c>
      <c r="B60" s="5" t="s">
        <v>30</v>
      </c>
      <c r="C60" s="5" t="str">
        <f t="shared" si="30"/>
        <v>description,dailCompDescSoldier58,</v>
      </c>
      <c r="D60" s="5" t="str">
        <f t="shared" si="31"/>
        <v>itemText,dailCompTextSoldier58,</v>
      </c>
      <c r="E60" s="5" t="str">
        <f t="shared" si="20"/>
        <v>augmentSkillLevel1,3,</v>
      </c>
      <c r="F60" s="5" t="str">
        <f t="shared" si="21"/>
        <v>augmentSkillName1,records/skills/playerclass01/overguard1.dbr,</v>
      </c>
      <c r="G60" s="7">
        <f t="shared" si="16"/>
        <v>58</v>
      </c>
      <c r="H60" s="8" t="str">
        <f t="shared" si="17"/>
        <v>Soldier</v>
      </c>
      <c r="I60" s="3" t="s">
        <v>17</v>
      </c>
      <c r="J60" s="8" t="str">
        <f t="shared" si="18"/>
        <v>class0001</v>
      </c>
      <c r="K60" s="8" t="str">
        <f t="shared" si="18"/>
        <v>dailoneskill0001</v>
      </c>
      <c r="L60" s="5" t="str">
        <f t="shared" si="4"/>
        <v>lootName58,DAIL/items/materia/class0001/Soldier58.dbr,</v>
      </c>
      <c r="M60" s="5" t="str">
        <f t="shared" si="5"/>
        <v>lootWeight58,1,</v>
      </c>
      <c r="N60" t="str">
        <f t="shared" si="6"/>
        <v>3</v>
      </c>
      <c r="O60" t="str">
        <f t="shared" si="22"/>
        <v>copy .\dail_base3.dbr .\items\materia\class0001\Soldier58.dbr /y</v>
      </c>
      <c r="P60" t="str">
        <f t="shared" si="7"/>
        <v>echo relicBitmap,items/craftingparts/components/component_a52_bristlyfur_b.tex, &gt;&gt; .\items\materia\class0001\Soldier58.dbr</v>
      </c>
      <c r="Q60" t="str">
        <f t="shared" si="8"/>
        <v>echo itemCost,500000, &gt;&gt; .\items\materia\class0001\Soldier58.dbr</v>
      </c>
      <c r="R60" t="str">
        <f t="shared" si="9"/>
        <v>echo description,dailCompDescSoldier58, &gt;&gt; .\items\materia\class0001\Soldier58.dbr</v>
      </c>
      <c r="S60" t="str">
        <f t="shared" si="10"/>
        <v>echo itemText,dailCompTextSoldier58, &gt;&gt; .\items\materia\class0001\Soldier58.dbr</v>
      </c>
      <c r="T60" t="str">
        <f t="shared" si="11"/>
        <v>echo augmentSkillLevel1,3, &gt;&gt; .\items\materia\class0001\Soldier58.dbr</v>
      </c>
      <c r="U60" t="str">
        <f t="shared" si="12"/>
        <v>echo augmentSkillName1,records/skills/playerclass01/overguard1.dbr, &gt;&gt; .\items\materia\class0001\Soldier58.dbr</v>
      </c>
      <c r="V60" s="5" t="s">
        <v>36</v>
      </c>
      <c r="W60" t="str">
        <f t="shared" si="13"/>
        <v>echo lootName58,DAIL/items/materia/class0001/Soldier58.dbr, &gt;&gt; .\items\loottables\dailoneskill0001.dbr</v>
      </c>
      <c r="X60" t="str">
        <f t="shared" si="14"/>
        <v>echo lootWeight58,1, &gt;&gt; .\items\loottables\dailoneskill0001.dbr</v>
      </c>
      <c r="Y60" s="5" t="s">
        <v>36</v>
      </c>
      <c r="Z60" t="str">
        <f t="shared" si="15"/>
        <v xml:space="preserve"> dailCompDescSoldier58=^pSoldier's Gift of DAIL</v>
      </c>
      <c r="AA60" t="str">
        <f t="shared" si="23"/>
        <v>dailCompTextSoldier58=^oThis feels warm to the touch, almost familiar ^w(This component only fits into the Medal Slot)</v>
      </c>
      <c r="AB60" s="5" t="s">
        <v>36</v>
      </c>
      <c r="AH60">
        <f t="shared" si="25"/>
        <v>55</v>
      </c>
      <c r="AI60">
        <f t="shared" si="29"/>
        <v>29</v>
      </c>
      <c r="AJ60">
        <f t="shared" si="24"/>
        <v>3</v>
      </c>
    </row>
    <row r="61" spans="1:36" x14ac:dyDescent="0.25">
      <c r="A61" s="5" t="s">
        <v>39</v>
      </c>
      <c r="B61" s="5" t="s">
        <v>30</v>
      </c>
      <c r="C61" s="5" t="str">
        <f t="shared" si="30"/>
        <v>description,dailCompDescSoldier59,</v>
      </c>
      <c r="D61" s="5" t="str">
        <f t="shared" si="31"/>
        <v>itemText,dailCompTextSoldier59,</v>
      </c>
      <c r="E61" s="5" t="str">
        <f t="shared" si="20"/>
        <v>augmentSkillLevel1,3,</v>
      </c>
      <c r="F61" s="5" t="str">
        <f t="shared" si="21"/>
        <v>augmentSkillName1,records/skills/playerclass01/fightingspirit1.dbr,</v>
      </c>
      <c r="G61" s="7">
        <f t="shared" si="16"/>
        <v>59</v>
      </c>
      <c r="H61" s="8" t="str">
        <f t="shared" si="17"/>
        <v>Soldier</v>
      </c>
      <c r="I61" s="3" t="s">
        <v>16</v>
      </c>
      <c r="J61" s="8" t="str">
        <f t="shared" si="18"/>
        <v>class0001</v>
      </c>
      <c r="K61" s="8" t="str">
        <f t="shared" si="18"/>
        <v>dailoneskill0001</v>
      </c>
      <c r="L61" s="5" t="str">
        <f t="shared" si="4"/>
        <v>lootName59,DAIL/items/materia/class0001/Soldier59.dbr,</v>
      </c>
      <c r="M61" s="5" t="str">
        <f t="shared" si="5"/>
        <v>lootWeight59,1,</v>
      </c>
      <c r="N61" t="str">
        <f t="shared" si="6"/>
        <v>3</v>
      </c>
      <c r="O61" t="str">
        <f t="shared" si="22"/>
        <v>copy .\dail_base3.dbr .\items\materia\class0001\Soldier59.dbr /y</v>
      </c>
      <c r="P61" t="str">
        <f t="shared" si="7"/>
        <v>echo relicBitmap,items/craftingparts/components/component_a52_bristlyfur_b.tex, &gt;&gt; .\items\materia\class0001\Soldier59.dbr</v>
      </c>
      <c r="Q61" t="str">
        <f t="shared" si="8"/>
        <v>echo itemCost,500000, &gt;&gt; .\items\materia\class0001\Soldier59.dbr</v>
      </c>
      <c r="R61" t="str">
        <f t="shared" si="9"/>
        <v>echo description,dailCompDescSoldier59, &gt;&gt; .\items\materia\class0001\Soldier59.dbr</v>
      </c>
      <c r="S61" t="str">
        <f t="shared" si="10"/>
        <v>echo itemText,dailCompTextSoldier59, &gt;&gt; .\items\materia\class0001\Soldier59.dbr</v>
      </c>
      <c r="T61" t="str">
        <f t="shared" si="11"/>
        <v>echo augmentSkillLevel1,3, &gt;&gt; .\items\materia\class0001\Soldier59.dbr</v>
      </c>
      <c r="U61" t="str">
        <f t="shared" si="12"/>
        <v>echo augmentSkillName1,records/skills/playerclass01/fightingspirit1.dbr, &gt;&gt; .\items\materia\class0001\Soldier59.dbr</v>
      </c>
      <c r="V61" s="5" t="s">
        <v>36</v>
      </c>
      <c r="W61" t="str">
        <f t="shared" si="13"/>
        <v>echo lootName59,DAIL/items/materia/class0001/Soldier59.dbr, &gt;&gt; .\items\loottables\dailoneskill0001.dbr</v>
      </c>
      <c r="X61" t="str">
        <f t="shared" si="14"/>
        <v>echo lootWeight59,1, &gt;&gt; .\items\loottables\dailoneskill0001.dbr</v>
      </c>
      <c r="Y61" s="5" t="s">
        <v>36</v>
      </c>
      <c r="Z61" t="str">
        <f t="shared" si="15"/>
        <v xml:space="preserve"> dailCompDescSoldier59=^pSoldier's Gift of DAIL</v>
      </c>
      <c r="AA61" t="str">
        <f t="shared" si="23"/>
        <v>dailCompTextSoldier59=^oThis feels warm to the touch, almost familiar ^w(This component only fits into the Medal Slot)</v>
      </c>
      <c r="AB61" s="5" t="s">
        <v>36</v>
      </c>
      <c r="AH61">
        <f t="shared" si="25"/>
        <v>56</v>
      </c>
      <c r="AI61">
        <f t="shared" si="29"/>
        <v>34</v>
      </c>
      <c r="AJ61">
        <f t="shared" si="24"/>
        <v>3</v>
      </c>
    </row>
    <row r="62" spans="1:36" x14ac:dyDescent="0.25">
      <c r="A62" s="5" t="s">
        <v>39</v>
      </c>
      <c r="B62" s="5" t="s">
        <v>30</v>
      </c>
      <c r="C62" s="5" t="str">
        <f t="shared" si="30"/>
        <v>description,dailCompDescSoldier60,</v>
      </c>
      <c r="D62" s="5" t="str">
        <f t="shared" si="31"/>
        <v>itemText,dailCompTextSoldier60,</v>
      </c>
      <c r="E62" s="5" t="str">
        <f t="shared" si="20"/>
        <v>augmentSkillLevel1,3,</v>
      </c>
      <c r="F62" s="5" t="str">
        <f t="shared" si="21"/>
        <v>augmentSkillName1,records/skills/playerclass01/cadence2.dbr,</v>
      </c>
      <c r="G62" s="7">
        <f t="shared" si="16"/>
        <v>60</v>
      </c>
      <c r="H62" s="8" t="str">
        <f t="shared" si="17"/>
        <v>Soldier</v>
      </c>
      <c r="I62" s="3" t="s">
        <v>263</v>
      </c>
      <c r="J62" s="8" t="str">
        <f t="shared" si="18"/>
        <v>class0001</v>
      </c>
      <c r="K62" s="8" t="str">
        <f t="shared" si="18"/>
        <v>dailoneskill0001</v>
      </c>
      <c r="L62" s="5" t="str">
        <f t="shared" si="4"/>
        <v>lootName60,DAIL/items/materia/class0001/Soldier60.dbr,</v>
      </c>
      <c r="M62" s="5" t="str">
        <f t="shared" si="5"/>
        <v>lootWeight60,1,</v>
      </c>
      <c r="N62" t="str">
        <f t="shared" si="6"/>
        <v>3</v>
      </c>
      <c r="O62" t="str">
        <f t="shared" si="22"/>
        <v>copy .\dail_base3.dbr .\items\materia\class0001\Soldier60.dbr /y</v>
      </c>
      <c r="P62" t="str">
        <f t="shared" si="7"/>
        <v>echo relicBitmap,items/craftingparts/components/component_a52_bristlyfur_b.tex, &gt;&gt; .\items\materia\class0001\Soldier60.dbr</v>
      </c>
      <c r="Q62" t="str">
        <f t="shared" si="8"/>
        <v>echo itemCost,500000, &gt;&gt; .\items\materia\class0001\Soldier60.dbr</v>
      </c>
      <c r="R62" t="str">
        <f t="shared" si="9"/>
        <v>echo description,dailCompDescSoldier60, &gt;&gt; .\items\materia\class0001\Soldier60.dbr</v>
      </c>
      <c r="S62" t="str">
        <f t="shared" si="10"/>
        <v>echo itemText,dailCompTextSoldier60, &gt;&gt; .\items\materia\class0001\Soldier60.dbr</v>
      </c>
      <c r="T62" t="str">
        <f t="shared" si="11"/>
        <v>echo augmentSkillLevel1,3, &gt;&gt; .\items\materia\class0001\Soldier60.dbr</v>
      </c>
      <c r="U62" t="str">
        <f t="shared" si="12"/>
        <v>echo augmentSkillName1,records/skills/playerclass01/cadence2.dbr, &gt;&gt; .\items\materia\class0001\Soldier60.dbr</v>
      </c>
      <c r="V62" s="5" t="s">
        <v>36</v>
      </c>
      <c r="W62" t="str">
        <f t="shared" si="13"/>
        <v>echo lootName60,DAIL/items/materia/class0001/Soldier60.dbr, &gt;&gt; .\items\loottables\dailoneskill0001.dbr</v>
      </c>
      <c r="X62" t="str">
        <f t="shared" si="14"/>
        <v>echo lootWeight60,1, &gt;&gt; .\items\loottables\dailoneskill0001.dbr</v>
      </c>
      <c r="Y62" s="5" t="s">
        <v>36</v>
      </c>
      <c r="Z62" t="str">
        <f t="shared" si="15"/>
        <v xml:space="preserve"> dailCompDescSoldier60=^pSoldier's Gift of DAIL</v>
      </c>
      <c r="AA62" t="str">
        <f t="shared" si="23"/>
        <v>dailCompTextSoldier60=^oThis feels warm to the touch, almost familiar ^w(This component only fits into the Medal Slot)</v>
      </c>
      <c r="AB62" s="5" t="s">
        <v>36</v>
      </c>
      <c r="AH62">
        <f t="shared" si="25"/>
        <v>57</v>
      </c>
      <c r="AI62">
        <f t="shared" si="29"/>
        <v>27</v>
      </c>
      <c r="AJ62">
        <f t="shared" si="24"/>
        <v>3</v>
      </c>
    </row>
    <row r="63" spans="1:36" x14ac:dyDescent="0.25">
      <c r="A63" s="5" t="s">
        <v>39</v>
      </c>
      <c r="B63" s="5" t="s">
        <v>30</v>
      </c>
      <c r="C63" s="5" t="str">
        <f t="shared" si="30"/>
        <v>description,dailCompDescSoldier61,</v>
      </c>
      <c r="D63" s="5" t="str">
        <f t="shared" si="31"/>
        <v>itemText,dailCompTextSoldier61,</v>
      </c>
      <c r="E63" s="5" t="str">
        <f t="shared" si="20"/>
        <v>augmentSkillLevel1,3,</v>
      </c>
      <c r="F63" s="5" t="str">
        <f t="shared" si="21"/>
        <v>augmentSkillName1,records/skills/playerclass01/cadence3.dbr,</v>
      </c>
      <c r="G63" s="7">
        <f t="shared" si="16"/>
        <v>61</v>
      </c>
      <c r="H63" s="8" t="str">
        <f t="shared" si="17"/>
        <v>Soldier</v>
      </c>
      <c r="I63" s="3" t="s">
        <v>264</v>
      </c>
      <c r="J63" s="8" t="str">
        <f t="shared" si="18"/>
        <v>class0001</v>
      </c>
      <c r="K63" s="8" t="str">
        <f t="shared" si="18"/>
        <v>dailoneskill0001</v>
      </c>
      <c r="L63" s="5" t="str">
        <f t="shared" si="4"/>
        <v>lootName61,DAIL/items/materia/class0001/Soldier61.dbr,</v>
      </c>
      <c r="M63" s="5" t="str">
        <f t="shared" si="5"/>
        <v>lootWeight61,1,</v>
      </c>
      <c r="N63" t="str">
        <f t="shared" si="6"/>
        <v>3</v>
      </c>
      <c r="O63" t="str">
        <f t="shared" si="22"/>
        <v>copy .\dail_base3.dbr .\items\materia\class0001\Soldier61.dbr /y</v>
      </c>
      <c r="P63" t="str">
        <f t="shared" si="7"/>
        <v>echo relicBitmap,items/craftingparts/components/component_a52_bristlyfur_b.tex, &gt;&gt; .\items\materia\class0001\Soldier61.dbr</v>
      </c>
      <c r="Q63" t="str">
        <f t="shared" si="8"/>
        <v>echo itemCost,500000, &gt;&gt; .\items\materia\class0001\Soldier61.dbr</v>
      </c>
      <c r="R63" t="str">
        <f t="shared" si="9"/>
        <v>echo description,dailCompDescSoldier61, &gt;&gt; .\items\materia\class0001\Soldier61.dbr</v>
      </c>
      <c r="S63" t="str">
        <f t="shared" si="10"/>
        <v>echo itemText,dailCompTextSoldier61, &gt;&gt; .\items\materia\class0001\Soldier61.dbr</v>
      </c>
      <c r="T63" t="str">
        <f t="shared" si="11"/>
        <v>echo augmentSkillLevel1,3, &gt;&gt; .\items\materia\class0001\Soldier61.dbr</v>
      </c>
      <c r="U63" t="str">
        <f t="shared" si="12"/>
        <v>echo augmentSkillName1,records/skills/playerclass01/cadence3.dbr, &gt;&gt; .\items\materia\class0001\Soldier61.dbr</v>
      </c>
      <c r="V63" s="5" t="s">
        <v>36</v>
      </c>
      <c r="W63" t="str">
        <f t="shared" si="13"/>
        <v>echo lootName61,DAIL/items/materia/class0001/Soldier61.dbr, &gt;&gt; .\items\loottables\dailoneskill0001.dbr</v>
      </c>
      <c r="X63" t="str">
        <f t="shared" si="14"/>
        <v>echo lootWeight61,1, &gt;&gt; .\items\loottables\dailoneskill0001.dbr</v>
      </c>
      <c r="Y63" s="5" t="s">
        <v>36</v>
      </c>
      <c r="Z63" t="str">
        <f t="shared" si="15"/>
        <v xml:space="preserve"> dailCompDescSoldier61=^pSoldier's Gift of DAIL</v>
      </c>
      <c r="AA63" t="str">
        <f t="shared" si="23"/>
        <v>dailCompTextSoldier61=^oThis feels warm to the touch, almost familiar ^w(This component only fits into the Medal Slot)</v>
      </c>
      <c r="AB63" s="5" t="s">
        <v>36</v>
      </c>
      <c r="AH63">
        <f t="shared" si="25"/>
        <v>58</v>
      </c>
      <c r="AI63">
        <f t="shared" si="29"/>
        <v>27</v>
      </c>
      <c r="AJ63">
        <f t="shared" si="24"/>
        <v>3</v>
      </c>
    </row>
    <row r="64" spans="1:36" x14ac:dyDescent="0.25">
      <c r="A64" s="5" t="s">
        <v>39</v>
      </c>
      <c r="B64" s="5" t="s">
        <v>30</v>
      </c>
      <c r="C64" s="5" t="str">
        <f t="shared" si="30"/>
        <v>description,dailCompDescSoldier62,</v>
      </c>
      <c r="D64" s="5" t="str">
        <f t="shared" si="31"/>
        <v>itemText,dailCompTextSoldier62,</v>
      </c>
      <c r="E64" s="5" t="str">
        <f t="shared" si="20"/>
        <v>augmentSkillLevel1,3,</v>
      </c>
      <c r="F64" s="5" t="str">
        <f t="shared" si="21"/>
        <v>augmentSkillName1,records/skills/playerclass01/passive1.dbr,</v>
      </c>
      <c r="G64" s="7">
        <f t="shared" si="16"/>
        <v>62</v>
      </c>
      <c r="H64" s="8" t="str">
        <f t="shared" si="17"/>
        <v>Soldier</v>
      </c>
      <c r="I64" s="3" t="s">
        <v>18</v>
      </c>
      <c r="J64" s="8" t="str">
        <f t="shared" si="18"/>
        <v>class0001</v>
      </c>
      <c r="K64" s="8" t="str">
        <f t="shared" si="18"/>
        <v>dailoneskill0001</v>
      </c>
      <c r="L64" s="5" t="str">
        <f t="shared" si="4"/>
        <v>lootName62,DAIL/items/materia/class0001/Soldier62.dbr,</v>
      </c>
      <c r="M64" s="5" t="str">
        <f t="shared" si="5"/>
        <v>lootWeight62,1,</v>
      </c>
      <c r="N64" t="str">
        <f t="shared" si="6"/>
        <v>3</v>
      </c>
      <c r="O64" t="str">
        <f t="shared" si="22"/>
        <v>copy .\dail_base3.dbr .\items\materia\class0001\Soldier62.dbr /y</v>
      </c>
      <c r="P64" t="str">
        <f t="shared" si="7"/>
        <v>echo relicBitmap,items/craftingparts/components/component_a52_bristlyfur_b.tex, &gt;&gt; .\items\materia\class0001\Soldier62.dbr</v>
      </c>
      <c r="Q64" t="str">
        <f t="shared" si="8"/>
        <v>echo itemCost,500000, &gt;&gt; .\items\materia\class0001\Soldier62.dbr</v>
      </c>
      <c r="R64" t="str">
        <f t="shared" si="9"/>
        <v>echo description,dailCompDescSoldier62, &gt;&gt; .\items\materia\class0001\Soldier62.dbr</v>
      </c>
      <c r="S64" t="str">
        <f t="shared" si="10"/>
        <v>echo itemText,dailCompTextSoldier62, &gt;&gt; .\items\materia\class0001\Soldier62.dbr</v>
      </c>
      <c r="T64" t="str">
        <f t="shared" si="11"/>
        <v>echo augmentSkillLevel1,3, &gt;&gt; .\items\materia\class0001\Soldier62.dbr</v>
      </c>
      <c r="U64" t="str">
        <f t="shared" si="12"/>
        <v>echo augmentSkillName1,records/skills/playerclass01/passive1.dbr, &gt;&gt; .\items\materia\class0001\Soldier62.dbr</v>
      </c>
      <c r="V64" s="5" t="s">
        <v>36</v>
      </c>
      <c r="W64" t="str">
        <f t="shared" si="13"/>
        <v>echo lootName62,DAIL/items/materia/class0001/Soldier62.dbr, &gt;&gt; .\items\loottables\dailoneskill0001.dbr</v>
      </c>
      <c r="X64" t="str">
        <f t="shared" si="14"/>
        <v>echo lootWeight62,1, &gt;&gt; .\items\loottables\dailoneskill0001.dbr</v>
      </c>
      <c r="Y64" s="5" t="s">
        <v>36</v>
      </c>
      <c r="Z64" t="str">
        <f t="shared" si="15"/>
        <v xml:space="preserve"> dailCompDescSoldier62=^pSoldier's Gift of DAIL</v>
      </c>
      <c r="AA64" t="str">
        <f t="shared" si="23"/>
        <v>dailCompTextSoldier62=^oThis feels warm to the touch, almost familiar ^w(This component only fits into the Medal Slot)</v>
      </c>
      <c r="AB64" s="5" t="s">
        <v>36</v>
      </c>
      <c r="AH64">
        <f t="shared" si="25"/>
        <v>59</v>
      </c>
      <c r="AI64">
        <f t="shared" si="29"/>
        <v>27</v>
      </c>
      <c r="AJ64">
        <f t="shared" si="24"/>
        <v>3</v>
      </c>
    </row>
    <row r="65" spans="1:36" x14ac:dyDescent="0.25">
      <c r="A65" s="5" t="s">
        <v>39</v>
      </c>
      <c r="B65" s="5" t="s">
        <v>30</v>
      </c>
      <c r="C65" s="5" t="str">
        <f t="shared" si="30"/>
        <v>description,dailCompDescSoldier63,</v>
      </c>
      <c r="D65" s="5" t="str">
        <f t="shared" si="31"/>
        <v>itemText,dailCompTextSoldier63,</v>
      </c>
      <c r="E65" s="5" t="str">
        <f t="shared" si="20"/>
        <v>augmentSkillLevel1,3,</v>
      </c>
      <c r="F65" s="5" t="str">
        <f t="shared" si="21"/>
        <v>augmentSkillName1,records/skills/playerclass01/passiveshield.dbr,</v>
      </c>
      <c r="G65" s="7">
        <f t="shared" si="16"/>
        <v>63</v>
      </c>
      <c r="H65" s="8" t="str">
        <f t="shared" si="17"/>
        <v>Soldier</v>
      </c>
      <c r="I65" s="3" t="s">
        <v>19</v>
      </c>
      <c r="J65" s="8" t="str">
        <f t="shared" si="18"/>
        <v>class0001</v>
      </c>
      <c r="K65" s="8" t="str">
        <f t="shared" si="18"/>
        <v>dailoneskill0001</v>
      </c>
      <c r="L65" s="5" t="str">
        <f t="shared" si="4"/>
        <v>lootName63,DAIL/items/materia/class0001/Soldier63.dbr,</v>
      </c>
      <c r="M65" s="5" t="str">
        <f t="shared" si="5"/>
        <v>lootWeight63,1,</v>
      </c>
      <c r="N65" t="str">
        <f t="shared" si="6"/>
        <v>3</v>
      </c>
      <c r="O65" t="str">
        <f t="shared" si="22"/>
        <v>copy .\dail_base3.dbr .\items\materia\class0001\Soldier63.dbr /y</v>
      </c>
      <c r="P65" t="str">
        <f t="shared" si="7"/>
        <v>echo relicBitmap,items/craftingparts/components/component_a52_bristlyfur_b.tex, &gt;&gt; .\items\materia\class0001\Soldier63.dbr</v>
      </c>
      <c r="Q65" t="str">
        <f t="shared" si="8"/>
        <v>echo itemCost,500000, &gt;&gt; .\items\materia\class0001\Soldier63.dbr</v>
      </c>
      <c r="R65" t="str">
        <f t="shared" si="9"/>
        <v>echo description,dailCompDescSoldier63, &gt;&gt; .\items\materia\class0001\Soldier63.dbr</v>
      </c>
      <c r="S65" t="str">
        <f t="shared" si="10"/>
        <v>echo itemText,dailCompTextSoldier63, &gt;&gt; .\items\materia\class0001\Soldier63.dbr</v>
      </c>
      <c r="T65" t="str">
        <f t="shared" si="11"/>
        <v>echo augmentSkillLevel1,3, &gt;&gt; .\items\materia\class0001\Soldier63.dbr</v>
      </c>
      <c r="U65" t="str">
        <f t="shared" si="12"/>
        <v>echo augmentSkillName1,records/skills/playerclass01/passiveshield.dbr, &gt;&gt; .\items\materia\class0001\Soldier63.dbr</v>
      </c>
      <c r="V65" s="5" t="s">
        <v>36</v>
      </c>
      <c r="W65" t="str">
        <f t="shared" si="13"/>
        <v>echo lootName63,DAIL/items/materia/class0001/Soldier63.dbr, &gt;&gt; .\items\loottables\dailoneskill0001.dbr</v>
      </c>
      <c r="X65" t="str">
        <f t="shared" si="14"/>
        <v>echo lootWeight63,1, &gt;&gt; .\items\loottables\dailoneskill0001.dbr</v>
      </c>
      <c r="Y65" s="5" t="s">
        <v>36</v>
      </c>
      <c r="Z65" t="str">
        <f t="shared" si="15"/>
        <v xml:space="preserve"> dailCompDescSoldier63=^pSoldier's Gift of DAIL</v>
      </c>
      <c r="AA65" t="str">
        <f t="shared" si="23"/>
        <v>dailCompTextSoldier63=^oThis feels warm to the touch, almost familiar ^w(This component only fits into the Medal Slot)</v>
      </c>
      <c r="AB65" s="5" t="s">
        <v>36</v>
      </c>
      <c r="AH65">
        <f t="shared" si="25"/>
        <v>60</v>
      </c>
      <c r="AI65">
        <f t="shared" si="29"/>
        <v>32</v>
      </c>
      <c r="AJ65">
        <f t="shared" si="24"/>
        <v>3</v>
      </c>
    </row>
    <row r="66" spans="1:36" x14ac:dyDescent="0.25">
      <c r="A66" s="5" t="s">
        <v>39</v>
      </c>
      <c r="B66" s="5" t="s">
        <v>30</v>
      </c>
      <c r="C66" s="5" t="str">
        <f t="shared" si="30"/>
        <v>description,dailCompDescSoldier64,</v>
      </c>
      <c r="D66" s="5" t="str">
        <f t="shared" si="31"/>
        <v>itemText,dailCompTextSoldier64,</v>
      </c>
      <c r="E66" s="5" t="str">
        <f t="shared" si="20"/>
        <v>augmentSkillLevel1,3,</v>
      </c>
      <c r="F66" s="5" t="str">
        <f t="shared" si="21"/>
        <v>augmentSkillName1,records/skills/playerclass01/passive2.dbr,</v>
      </c>
      <c r="G66" s="7">
        <f t="shared" si="16"/>
        <v>64</v>
      </c>
      <c r="H66" s="8" t="str">
        <f t="shared" si="17"/>
        <v>Soldier</v>
      </c>
      <c r="I66" s="3" t="s">
        <v>265</v>
      </c>
      <c r="J66" s="8" t="str">
        <f t="shared" si="18"/>
        <v>class0001</v>
      </c>
      <c r="K66" s="8" t="str">
        <f t="shared" si="18"/>
        <v>dailoneskill0001</v>
      </c>
      <c r="L66" s="5" t="str">
        <f t="shared" si="4"/>
        <v>lootName64,DAIL/items/materia/class0001/Soldier64.dbr,</v>
      </c>
      <c r="M66" s="5" t="str">
        <f t="shared" si="5"/>
        <v>lootWeight64,1,</v>
      </c>
      <c r="N66" t="str">
        <f t="shared" si="6"/>
        <v>3</v>
      </c>
      <c r="O66" t="str">
        <f t="shared" si="22"/>
        <v>copy .\dail_base3.dbr .\items\materia\class0001\Soldier64.dbr /y</v>
      </c>
      <c r="P66" t="str">
        <f t="shared" si="7"/>
        <v>echo relicBitmap,items/craftingparts/components/component_a52_bristlyfur_b.tex, &gt;&gt; .\items\materia\class0001\Soldier64.dbr</v>
      </c>
      <c r="Q66" t="str">
        <f t="shared" si="8"/>
        <v>echo itemCost,500000, &gt;&gt; .\items\materia\class0001\Soldier64.dbr</v>
      </c>
      <c r="R66" t="str">
        <f t="shared" si="9"/>
        <v>echo description,dailCompDescSoldier64, &gt;&gt; .\items\materia\class0001\Soldier64.dbr</v>
      </c>
      <c r="S66" t="str">
        <f t="shared" si="10"/>
        <v>echo itemText,dailCompTextSoldier64, &gt;&gt; .\items\materia\class0001\Soldier64.dbr</v>
      </c>
      <c r="T66" t="str">
        <f t="shared" si="11"/>
        <v>echo augmentSkillLevel1,3, &gt;&gt; .\items\materia\class0001\Soldier64.dbr</v>
      </c>
      <c r="U66" t="str">
        <f t="shared" si="12"/>
        <v>echo augmentSkillName1,records/skills/playerclass01/passive2.dbr, &gt;&gt; .\items\materia\class0001\Soldier64.dbr</v>
      </c>
      <c r="V66" s="5" t="s">
        <v>36</v>
      </c>
      <c r="W66" t="str">
        <f t="shared" si="13"/>
        <v>echo lootName64,DAIL/items/materia/class0001/Soldier64.dbr, &gt;&gt; .\items\loottables\dailoneskill0001.dbr</v>
      </c>
      <c r="X66" t="str">
        <f t="shared" si="14"/>
        <v>echo lootWeight64,1, &gt;&gt; .\items\loottables\dailoneskill0001.dbr</v>
      </c>
      <c r="Y66" s="5" t="s">
        <v>36</v>
      </c>
      <c r="Z66" t="str">
        <f t="shared" si="15"/>
        <v xml:space="preserve"> dailCompDescSoldier64=^pSoldier's Gift of DAIL</v>
      </c>
      <c r="AA66" t="str">
        <f t="shared" si="23"/>
        <v>dailCompTextSoldier64=^oThis feels warm to the touch, almost familiar ^w(This component only fits into the Medal Slot)</v>
      </c>
      <c r="AB66" s="5" t="s">
        <v>36</v>
      </c>
      <c r="AH66">
        <f t="shared" si="25"/>
        <v>61</v>
      </c>
      <c r="AI66">
        <f t="shared" si="29"/>
        <v>27</v>
      </c>
      <c r="AJ66">
        <f t="shared" si="24"/>
        <v>3</v>
      </c>
    </row>
    <row r="67" spans="1:36" x14ac:dyDescent="0.25">
      <c r="A67" s="5" t="s">
        <v>39</v>
      </c>
      <c r="B67" s="5" t="s">
        <v>30</v>
      </c>
      <c r="C67" s="5" t="str">
        <f t="shared" si="30"/>
        <v>description,dailCompDescSoldier65,</v>
      </c>
      <c r="D67" s="5" t="str">
        <f t="shared" si="31"/>
        <v>itemText,dailCompTextSoldier65,</v>
      </c>
      <c r="E67" s="5" t="str">
        <f t="shared" si="20"/>
        <v>augmentSkillLevel1,5,</v>
      </c>
      <c r="F67" s="5" t="str">
        <f t="shared" si="21"/>
        <v>augmentSkillName1,records/skills/playerclass01/passive3.dbr,</v>
      </c>
      <c r="G67" s="7">
        <f t="shared" si="16"/>
        <v>65</v>
      </c>
      <c r="H67" s="8" t="str">
        <f t="shared" si="17"/>
        <v>Soldier</v>
      </c>
      <c r="I67" s="3" t="s">
        <v>266</v>
      </c>
      <c r="J67" s="8" t="str">
        <f t="shared" si="18"/>
        <v>class0001</v>
      </c>
      <c r="K67" s="8" t="str">
        <f t="shared" si="18"/>
        <v>dailoneskill0001</v>
      </c>
      <c r="L67" s="5" t="str">
        <f t="shared" si="4"/>
        <v>lootName65,DAIL/items/materia/class0001/Soldier65.dbr,</v>
      </c>
      <c r="M67" s="5" t="str">
        <f t="shared" si="5"/>
        <v>lootWeight65,1,</v>
      </c>
      <c r="N67" t="str">
        <f t="shared" si="6"/>
        <v>5</v>
      </c>
      <c r="O67" t="str">
        <f t="shared" si="22"/>
        <v>copy .\dail_base3.dbr .\items\materia\class0001\Soldier65.dbr /y</v>
      </c>
      <c r="P67" t="str">
        <f t="shared" si="7"/>
        <v>echo relicBitmap,items/craftingparts/components/component_a52_bristlyfur_b.tex, &gt;&gt; .\items\materia\class0001\Soldier65.dbr</v>
      </c>
      <c r="Q67" t="str">
        <f t="shared" si="8"/>
        <v>echo itemCost,500000, &gt;&gt; .\items\materia\class0001\Soldier65.dbr</v>
      </c>
      <c r="R67" t="str">
        <f t="shared" si="9"/>
        <v>echo description,dailCompDescSoldier65, &gt;&gt; .\items\materia\class0001\Soldier65.dbr</v>
      </c>
      <c r="S67" t="str">
        <f t="shared" si="10"/>
        <v>echo itemText,dailCompTextSoldier65, &gt;&gt; .\items\materia\class0001\Soldier65.dbr</v>
      </c>
      <c r="T67" t="str">
        <f t="shared" si="11"/>
        <v>echo augmentSkillLevel1,5, &gt;&gt; .\items\materia\class0001\Soldier65.dbr</v>
      </c>
      <c r="U67" t="str">
        <f t="shared" si="12"/>
        <v>echo augmentSkillName1,records/skills/playerclass01/passive3.dbr, &gt;&gt; .\items\materia\class0001\Soldier65.dbr</v>
      </c>
      <c r="V67" s="5" t="s">
        <v>36</v>
      </c>
      <c r="W67" t="str">
        <f t="shared" si="13"/>
        <v>echo lootName65,DAIL/items/materia/class0001/Soldier65.dbr, &gt;&gt; .\items\loottables\dailoneskill0001.dbr</v>
      </c>
      <c r="X67" t="str">
        <f t="shared" si="14"/>
        <v>echo lootWeight65,1, &gt;&gt; .\items\loottables\dailoneskill0001.dbr</v>
      </c>
      <c r="Y67" s="5" t="s">
        <v>36</v>
      </c>
      <c r="Z67" t="str">
        <f t="shared" si="15"/>
        <v xml:space="preserve"> dailCompDescSoldier65=^pSoldier's Gift of DAIL</v>
      </c>
      <c r="AA67" t="str">
        <f t="shared" si="23"/>
        <v>dailCompTextSoldier65=^oThis feels warm to the touch, almost familiar ^w(This component only fits into the Medal Slot)</v>
      </c>
      <c r="AB67" s="5" t="s">
        <v>36</v>
      </c>
      <c r="AH67">
        <f t="shared" si="25"/>
        <v>62</v>
      </c>
      <c r="AI67">
        <f t="shared" si="29"/>
        <v>27</v>
      </c>
      <c r="AJ67">
        <f t="shared" si="24"/>
        <v>5</v>
      </c>
    </row>
    <row r="68" spans="1:36" x14ac:dyDescent="0.25">
      <c r="A68" s="5" t="s">
        <v>39</v>
      </c>
      <c r="B68" s="5" t="s">
        <v>30</v>
      </c>
      <c r="C68" s="5" t="str">
        <f t="shared" si="30"/>
        <v>description,dailCompDescSoldier66,</v>
      </c>
      <c r="D68" s="5" t="str">
        <f t="shared" si="31"/>
        <v>itemText,dailCompTextSoldier66,</v>
      </c>
      <c r="E68" s="5" t="str">
        <f t="shared" si="20"/>
        <v>augmentSkillLevel1,5,</v>
      </c>
      <c r="F68" s="5" t="str">
        <f t="shared" si="21"/>
        <v>augmentSkillName1,records/skills/playerclass01/passive4.dbr,</v>
      </c>
      <c r="G68" s="7">
        <f t="shared" si="16"/>
        <v>66</v>
      </c>
      <c r="H68" s="8" t="str">
        <f t="shared" si="17"/>
        <v>Soldier</v>
      </c>
      <c r="I68" s="3" t="s">
        <v>249</v>
      </c>
      <c r="J68" s="8" t="str">
        <f t="shared" si="18"/>
        <v>class0001</v>
      </c>
      <c r="K68" s="8" t="str">
        <f t="shared" si="18"/>
        <v>dailoneskill0001</v>
      </c>
      <c r="L68" s="5" t="str">
        <f t="shared" ref="L68:L102" si="32">"lootName"&amp;G68&amp;",DAIL/items/materia/"&amp;J68&amp;"/"&amp;H68&amp;G68&amp;".dbr"&amp;","</f>
        <v>lootName66,DAIL/items/materia/class0001/Soldier66.dbr,</v>
      </c>
      <c r="M68" s="5" t="str">
        <f t="shared" ref="M68:M102" si="33">"lootWeight"&amp;G68&amp;",1,"</f>
        <v>lootWeight66,1,</v>
      </c>
      <c r="N68" t="str">
        <f t="shared" ref="N68:N102" si="34">LEFT(RIGHT(E68,2),1)</f>
        <v>5</v>
      </c>
      <c r="O68" t="str">
        <f t="shared" si="22"/>
        <v>copy .\dail_base3.dbr .\items\materia\class0001\Soldier66.dbr /y</v>
      </c>
      <c r="P68" t="str">
        <f t="shared" ref="P68:P102" si="35">IF($I68&lt;&gt;"","echo "&amp;A68&amp;" &gt;&gt; .\items\materia\"&amp;$J68&amp;"\"&amp;$H68&amp;$G68&amp;".dbr","")</f>
        <v>echo relicBitmap,items/craftingparts/components/component_a52_bristlyfur_b.tex, &gt;&gt; .\items\materia\class0001\Soldier66.dbr</v>
      </c>
      <c r="Q68" t="str">
        <f t="shared" ref="Q68:Q102" si="36">IF($I68&lt;&gt;"","echo "&amp;B68&amp;" &gt;&gt; .\items\materia\"&amp;$J68&amp;"\"&amp;$H68&amp;$G68&amp;".dbr","")</f>
        <v>echo itemCost,500000, &gt;&gt; .\items\materia\class0001\Soldier66.dbr</v>
      </c>
      <c r="R68" t="str">
        <f t="shared" ref="R68:R102" si="37">IF($I68&lt;&gt;"","echo "&amp;C68&amp;" &gt;&gt; .\items\materia\"&amp;$J68&amp;"\"&amp;$H68&amp;$G68&amp;".dbr","")</f>
        <v>echo description,dailCompDescSoldier66, &gt;&gt; .\items\materia\class0001\Soldier66.dbr</v>
      </c>
      <c r="S68" t="str">
        <f t="shared" ref="S68:S102" si="38">IF($I68&lt;&gt;"","echo "&amp;D68&amp;" &gt;&gt; .\items\materia\"&amp;$J68&amp;"\"&amp;$H68&amp;$G68&amp;".dbr","")</f>
        <v>echo itemText,dailCompTextSoldier66, &gt;&gt; .\items\materia\class0001\Soldier66.dbr</v>
      </c>
      <c r="T68" t="str">
        <f t="shared" ref="T68:T102" si="39">IF($I68&lt;&gt;"","echo "&amp;E68&amp;" &gt;&gt; .\items\materia\"&amp;$J68&amp;"\"&amp;$H68&amp;$G68&amp;".dbr","")</f>
        <v>echo augmentSkillLevel1,5, &gt;&gt; .\items\materia\class0001\Soldier66.dbr</v>
      </c>
      <c r="U68" t="str">
        <f t="shared" ref="U68:U102" si="40">IF($I68&lt;&gt;"","echo "&amp;F68&amp;" &gt;&gt; .\items\materia\"&amp;$J68&amp;"\"&amp;$H68&amp;$G68&amp;".dbr","")</f>
        <v>echo augmentSkillName1,records/skills/playerclass01/passive4.dbr, &gt;&gt; .\items\materia\class0001\Soldier66.dbr</v>
      </c>
      <c r="V68" s="5" t="s">
        <v>36</v>
      </c>
      <c r="W68" t="str">
        <f t="shared" ref="W68:W102" si="41">IF($I68&lt;&gt;"","echo "&amp;L68&amp;" &gt;&gt; .\items\loottables\"&amp;$K68&amp;".dbr","")</f>
        <v>echo lootName66,DAIL/items/materia/class0001/Soldier66.dbr, &gt;&gt; .\items\loottables\dailoneskill0001.dbr</v>
      </c>
      <c r="X68" t="str">
        <f t="shared" ref="X68:X102" si="42">IF($I68&lt;&gt;"","echo "&amp;M68&amp;" &gt;&gt; .\items\loottables\"&amp;$K68&amp;".dbr","")</f>
        <v>echo lootWeight66,1, &gt;&gt; .\items\loottables\dailoneskill0001.dbr</v>
      </c>
      <c r="Y68" s="5" t="s">
        <v>36</v>
      </c>
      <c r="Z68" t="str">
        <f t="shared" ref="Z68:Z102" si="43">IF(I67&lt;&gt;""," dailCompDesc"&amp;H68&amp;G68&amp;"=^p"&amp;H68&amp;"'s Gift of DAIL","")</f>
        <v xml:space="preserve"> dailCompDescSoldier66=^pSoldier's Gift of DAIL</v>
      </c>
      <c r="AA68" t="str">
        <f t="shared" si="23"/>
        <v>dailCompTextSoldier66=^oThis feels warm to the touch, almost familiar ^w(This component only fits into the Medal Slot)</v>
      </c>
      <c r="AB68" s="5" t="s">
        <v>36</v>
      </c>
      <c r="AH68">
        <f t="shared" si="25"/>
        <v>63</v>
      </c>
      <c r="AI68">
        <f t="shared" si="29"/>
        <v>27</v>
      </c>
      <c r="AJ68">
        <f t="shared" si="24"/>
        <v>5</v>
      </c>
    </row>
    <row r="69" spans="1:36" x14ac:dyDescent="0.25">
      <c r="A69" s="5" t="s">
        <v>39</v>
      </c>
      <c r="B69" s="5" t="s">
        <v>30</v>
      </c>
      <c r="C69" s="5" t="str">
        <f t="shared" si="30"/>
        <v>description,dailCompDescSoldier67,</v>
      </c>
      <c r="D69" s="5" t="str">
        <f t="shared" si="31"/>
        <v>itemText,dailCompTextSoldier67,</v>
      </c>
      <c r="E69" s="5" t="str">
        <f t="shared" si="20"/>
        <v>augmentSkillLevel1,5,</v>
      </c>
      <c r="F69" s="5" t="str">
        <f t="shared" si="21"/>
        <v>augmentSkillName1,records/skills/playerclass01/shieldhammer1.dbr,</v>
      </c>
      <c r="G69" s="7">
        <f t="shared" ref="G69:G102" si="44">IF(I69&lt;&gt;"",G68+1,"")</f>
        <v>67</v>
      </c>
      <c r="H69" s="8" t="str">
        <f t="shared" ref="H69:H102" si="45">H68</f>
        <v>Soldier</v>
      </c>
      <c r="I69" s="3" t="s">
        <v>20</v>
      </c>
      <c r="J69" s="8" t="str">
        <f t="shared" ref="J69:K102" si="46">J68</f>
        <v>class0001</v>
      </c>
      <c r="K69" s="8" t="str">
        <f t="shared" si="46"/>
        <v>dailoneskill0001</v>
      </c>
      <c r="L69" s="5" t="str">
        <f t="shared" si="32"/>
        <v>lootName67,DAIL/items/materia/class0001/Soldier67.dbr,</v>
      </c>
      <c r="M69" s="5" t="str">
        <f t="shared" si="33"/>
        <v>lootWeight67,1,</v>
      </c>
      <c r="N69" t="str">
        <f t="shared" si="34"/>
        <v>5</v>
      </c>
      <c r="O69" t="str">
        <f t="shared" si="22"/>
        <v>copy .\dail_base3.dbr .\items\materia\class0001\Soldier67.dbr /y</v>
      </c>
      <c r="P69" t="str">
        <f t="shared" si="35"/>
        <v>echo relicBitmap,items/craftingparts/components/component_a52_bristlyfur_b.tex, &gt;&gt; .\items\materia\class0001\Soldier67.dbr</v>
      </c>
      <c r="Q69" t="str">
        <f t="shared" si="36"/>
        <v>echo itemCost,500000, &gt;&gt; .\items\materia\class0001\Soldier67.dbr</v>
      </c>
      <c r="R69" t="str">
        <f t="shared" si="37"/>
        <v>echo description,dailCompDescSoldier67, &gt;&gt; .\items\materia\class0001\Soldier67.dbr</v>
      </c>
      <c r="S69" t="str">
        <f t="shared" si="38"/>
        <v>echo itemText,dailCompTextSoldier67, &gt;&gt; .\items\materia\class0001\Soldier67.dbr</v>
      </c>
      <c r="T69" t="str">
        <f t="shared" si="39"/>
        <v>echo augmentSkillLevel1,5, &gt;&gt; .\items\materia\class0001\Soldier67.dbr</v>
      </c>
      <c r="U69" t="str">
        <f t="shared" si="40"/>
        <v>echo augmentSkillName1,records/skills/playerclass01/shieldhammer1.dbr, &gt;&gt; .\items\materia\class0001\Soldier67.dbr</v>
      </c>
      <c r="V69" s="5" t="s">
        <v>36</v>
      </c>
      <c r="W69" t="str">
        <f t="shared" si="41"/>
        <v>echo lootName67,DAIL/items/materia/class0001/Soldier67.dbr, &gt;&gt; .\items\loottables\dailoneskill0001.dbr</v>
      </c>
      <c r="X69" t="str">
        <f t="shared" si="42"/>
        <v>echo lootWeight67,1, &gt;&gt; .\items\loottables\dailoneskill0001.dbr</v>
      </c>
      <c r="Y69" s="5" t="s">
        <v>36</v>
      </c>
      <c r="Z69" t="str">
        <f t="shared" si="43"/>
        <v xml:space="preserve"> dailCompDescSoldier67=^pSoldier's Gift of DAIL</v>
      </c>
      <c r="AA69" t="str">
        <f t="shared" si="23"/>
        <v>dailCompTextSoldier67=^oThis feels warm to the touch, almost familiar ^w(This component only fits into the Medal Slot)</v>
      </c>
      <c r="AB69" s="5" t="s">
        <v>36</v>
      </c>
      <c r="AH69">
        <f t="shared" si="25"/>
        <v>64</v>
      </c>
      <c r="AI69">
        <f t="shared" si="29"/>
        <v>32</v>
      </c>
      <c r="AJ69">
        <f t="shared" si="24"/>
        <v>5</v>
      </c>
    </row>
    <row r="70" spans="1:36" x14ac:dyDescent="0.25">
      <c r="A70" s="5" t="s">
        <v>39</v>
      </c>
      <c r="B70" s="5" t="s">
        <v>30</v>
      </c>
      <c r="C70" s="5" t="str">
        <f t="shared" si="30"/>
        <v>description,dailCompDescSoldier68,</v>
      </c>
      <c r="D70" s="5" t="str">
        <f t="shared" si="31"/>
        <v>itemText,dailCompTextSoldier68,</v>
      </c>
      <c r="E70" s="5" t="str">
        <f t="shared" si="20"/>
        <v>augmentSkillLevel1,5,</v>
      </c>
      <c r="F70" s="5" t="str">
        <f t="shared" si="21"/>
        <v>augmentSkillName1,records/skills/playerclass01/shieldhammer1b.dbr,</v>
      </c>
      <c r="G70" s="7">
        <f t="shared" si="44"/>
        <v>68</v>
      </c>
      <c r="H70" s="8" t="str">
        <f t="shared" si="45"/>
        <v>Soldier</v>
      </c>
      <c r="I70" s="3" t="s">
        <v>250</v>
      </c>
      <c r="J70" s="8" t="str">
        <f t="shared" si="46"/>
        <v>class0001</v>
      </c>
      <c r="K70" s="8" t="str">
        <f t="shared" si="46"/>
        <v>dailoneskill0001</v>
      </c>
      <c r="L70" s="5" t="str">
        <f t="shared" si="32"/>
        <v>lootName68,DAIL/items/materia/class0001/Soldier68.dbr,</v>
      </c>
      <c r="M70" s="5" t="str">
        <f t="shared" si="33"/>
        <v>lootWeight68,1,</v>
      </c>
      <c r="N70" t="str">
        <f t="shared" si="34"/>
        <v>5</v>
      </c>
      <c r="O70" t="str">
        <f t="shared" si="22"/>
        <v>copy .\dail_base3.dbr .\items\materia\class0001\Soldier68.dbr /y</v>
      </c>
      <c r="P70" t="str">
        <f t="shared" si="35"/>
        <v>echo relicBitmap,items/craftingparts/components/component_a52_bristlyfur_b.tex, &gt;&gt; .\items\materia\class0001\Soldier68.dbr</v>
      </c>
      <c r="Q70" t="str">
        <f t="shared" si="36"/>
        <v>echo itemCost,500000, &gt;&gt; .\items\materia\class0001\Soldier68.dbr</v>
      </c>
      <c r="R70" t="str">
        <f t="shared" si="37"/>
        <v>echo description,dailCompDescSoldier68, &gt;&gt; .\items\materia\class0001\Soldier68.dbr</v>
      </c>
      <c r="S70" t="str">
        <f t="shared" si="38"/>
        <v>echo itemText,dailCompTextSoldier68, &gt;&gt; .\items\materia\class0001\Soldier68.dbr</v>
      </c>
      <c r="T70" t="str">
        <f t="shared" si="39"/>
        <v>echo augmentSkillLevel1,5, &gt;&gt; .\items\materia\class0001\Soldier68.dbr</v>
      </c>
      <c r="U70" t="str">
        <f t="shared" si="40"/>
        <v>echo augmentSkillName1,records/skills/playerclass01/shieldhammer1b.dbr, &gt;&gt; .\items\materia\class0001\Soldier68.dbr</v>
      </c>
      <c r="V70" s="5" t="s">
        <v>36</v>
      </c>
      <c r="W70" t="str">
        <f t="shared" si="41"/>
        <v>echo lootName68,DAIL/items/materia/class0001/Soldier68.dbr, &gt;&gt; .\items\loottables\dailoneskill0001.dbr</v>
      </c>
      <c r="X70" t="str">
        <f t="shared" si="42"/>
        <v>echo lootWeight68,1, &gt;&gt; .\items\loottables\dailoneskill0001.dbr</v>
      </c>
      <c r="Y70" s="5" t="s">
        <v>36</v>
      </c>
      <c r="Z70" t="str">
        <f t="shared" si="43"/>
        <v xml:space="preserve"> dailCompDescSoldier68=^pSoldier's Gift of DAIL</v>
      </c>
      <c r="AA70" t="str">
        <f t="shared" si="23"/>
        <v>dailCompTextSoldier68=^oThis feels warm to the touch, almost familiar ^w(This component only fits into the Medal Slot)</v>
      </c>
      <c r="AB70" s="5" t="s">
        <v>36</v>
      </c>
      <c r="AH70">
        <f t="shared" si="25"/>
        <v>65</v>
      </c>
      <c r="AI70">
        <f t="shared" ref="AI70:AI102" si="47">LEN(I70)</f>
        <v>33</v>
      </c>
      <c r="AJ70">
        <f t="shared" si="24"/>
        <v>5</v>
      </c>
    </row>
    <row r="71" spans="1:36" x14ac:dyDescent="0.25">
      <c r="A71" s="5" t="s">
        <v>39</v>
      </c>
      <c r="B71" s="5" t="s">
        <v>30</v>
      </c>
      <c r="C71" s="5" t="str">
        <f t="shared" si="30"/>
        <v>description,dailCompDescSoldier69,</v>
      </c>
      <c r="D71" s="5" t="str">
        <f t="shared" si="31"/>
        <v>itemText,dailCompTextSoldier69,</v>
      </c>
      <c r="E71" s="5" t="str">
        <f t="shared" ref="E71:E102" si="48">"augmentSkillLevel1,"&amp;AJ71&amp;","</f>
        <v>augmentSkillLevel1,5,</v>
      </c>
      <c r="F71" s="5" t="str">
        <f t="shared" ref="F71:F102" si="49">"augmentSkillName1,records/skills"&amp;I71&amp;","</f>
        <v>augmentSkillName1,records/skills/playerclass01/shieldhammer2.dbr,</v>
      </c>
      <c r="G71" s="7">
        <f t="shared" si="44"/>
        <v>69</v>
      </c>
      <c r="H71" s="8" t="str">
        <f t="shared" si="45"/>
        <v>Soldier</v>
      </c>
      <c r="I71" s="3" t="s">
        <v>251</v>
      </c>
      <c r="J71" s="8" t="str">
        <f t="shared" si="46"/>
        <v>class0001</v>
      </c>
      <c r="K71" s="8" t="str">
        <f t="shared" si="46"/>
        <v>dailoneskill0001</v>
      </c>
      <c r="L71" s="5" t="str">
        <f t="shared" si="32"/>
        <v>lootName69,DAIL/items/materia/class0001/Soldier69.dbr,</v>
      </c>
      <c r="M71" s="5" t="str">
        <f t="shared" si="33"/>
        <v>lootWeight69,1,</v>
      </c>
      <c r="N71" t="str">
        <f t="shared" si="34"/>
        <v>5</v>
      </c>
      <c r="O71" t="str">
        <f t="shared" ref="O71:O102" si="50">IF(I71&lt;&gt;"","copy .\"&amp;VLOOKUP(VALUE(N71),$AD$3:$AF$5,2,FALSE)&amp;" .\items\materia\"&amp;J71&amp;"\"&amp;H71&amp;G71&amp;".dbr /y"&amp;"","")</f>
        <v>copy .\dail_base3.dbr .\items\materia\class0001\Soldier69.dbr /y</v>
      </c>
      <c r="P71" t="str">
        <f t="shared" si="35"/>
        <v>echo relicBitmap,items/craftingparts/components/component_a52_bristlyfur_b.tex, &gt;&gt; .\items\materia\class0001\Soldier69.dbr</v>
      </c>
      <c r="Q71" t="str">
        <f t="shared" si="36"/>
        <v>echo itemCost,500000, &gt;&gt; .\items\materia\class0001\Soldier69.dbr</v>
      </c>
      <c r="R71" t="str">
        <f t="shared" si="37"/>
        <v>echo description,dailCompDescSoldier69, &gt;&gt; .\items\materia\class0001\Soldier69.dbr</v>
      </c>
      <c r="S71" t="str">
        <f t="shared" si="38"/>
        <v>echo itemText,dailCompTextSoldier69, &gt;&gt; .\items\materia\class0001\Soldier69.dbr</v>
      </c>
      <c r="T71" t="str">
        <f t="shared" si="39"/>
        <v>echo augmentSkillLevel1,5, &gt;&gt; .\items\materia\class0001\Soldier69.dbr</v>
      </c>
      <c r="U71" t="str">
        <f t="shared" si="40"/>
        <v>echo augmentSkillName1,records/skills/playerclass01/shieldhammer2.dbr, &gt;&gt; .\items\materia\class0001\Soldier69.dbr</v>
      </c>
      <c r="V71" s="5" t="s">
        <v>36</v>
      </c>
      <c r="W71" t="str">
        <f t="shared" si="41"/>
        <v>echo lootName69,DAIL/items/materia/class0001/Soldier69.dbr, &gt;&gt; .\items\loottables\dailoneskill0001.dbr</v>
      </c>
      <c r="X71" t="str">
        <f t="shared" si="42"/>
        <v>echo lootWeight69,1, &gt;&gt; .\items\loottables\dailoneskill0001.dbr</v>
      </c>
      <c r="Y71" s="5" t="s">
        <v>36</v>
      </c>
      <c r="Z71" t="str">
        <f t="shared" si="43"/>
        <v xml:space="preserve"> dailCompDescSoldier69=^pSoldier's Gift of DAIL</v>
      </c>
      <c r="AA71" t="str">
        <f t="shared" ref="AA71:AA102" si="51">IF(I70&lt;&gt;"","dailCompText"&amp;H71&amp;G71&amp;"=^oThis feels warm to the touch, almost familiar ^w("&amp;VLOOKUP(VALUE(N71),$AD$3:$AF$5,3,FALSE)&amp;")","")</f>
        <v>dailCompTextSoldier69=^oThis feels warm to the touch, almost familiar ^w(This component only fits into the Medal Slot)</v>
      </c>
      <c r="AB71" s="5" t="s">
        <v>36</v>
      </c>
      <c r="AH71">
        <f t="shared" si="25"/>
        <v>66</v>
      </c>
      <c r="AI71">
        <f t="shared" si="47"/>
        <v>32</v>
      </c>
      <c r="AJ71">
        <f t="shared" ref="AJ71:AJ102" si="52">IF(AH71&lt;$AL$7,1,IF(AH71&lt;$AL$8,3,5))</f>
        <v>5</v>
      </c>
    </row>
    <row r="72" spans="1:36" x14ac:dyDescent="0.25">
      <c r="A72" s="5" t="s">
        <v>39</v>
      </c>
      <c r="B72" s="5" t="s">
        <v>30</v>
      </c>
      <c r="C72" s="5" t="str">
        <f t="shared" si="30"/>
        <v>description,dailCompDescSoldier70,</v>
      </c>
      <c r="D72" s="5" t="str">
        <f t="shared" si="31"/>
        <v>itemText,dailCompTextSoldier70,</v>
      </c>
      <c r="E72" s="5" t="str">
        <f t="shared" si="48"/>
        <v>augmentSkillLevel1,5,</v>
      </c>
      <c r="F72" s="5" t="str">
        <f t="shared" si="49"/>
        <v>augmentSkillName1,records/skills/playerclass01/shieldhammer3.dbr,</v>
      </c>
      <c r="G72" s="7">
        <f t="shared" si="44"/>
        <v>70</v>
      </c>
      <c r="H72" s="8" t="str">
        <f t="shared" si="45"/>
        <v>Soldier</v>
      </c>
      <c r="I72" s="3" t="s">
        <v>252</v>
      </c>
      <c r="J72" s="8" t="str">
        <f t="shared" si="46"/>
        <v>class0001</v>
      </c>
      <c r="K72" s="8" t="str">
        <f t="shared" si="46"/>
        <v>dailoneskill0001</v>
      </c>
      <c r="L72" s="5" t="str">
        <f t="shared" si="32"/>
        <v>lootName70,DAIL/items/materia/class0001/Soldier70.dbr,</v>
      </c>
      <c r="M72" s="5" t="str">
        <f t="shared" si="33"/>
        <v>lootWeight70,1,</v>
      </c>
      <c r="N72" t="str">
        <f t="shared" si="34"/>
        <v>5</v>
      </c>
      <c r="O72" t="str">
        <f t="shared" si="50"/>
        <v>copy .\dail_base3.dbr .\items\materia\class0001\Soldier70.dbr /y</v>
      </c>
      <c r="P72" t="str">
        <f t="shared" si="35"/>
        <v>echo relicBitmap,items/craftingparts/components/component_a52_bristlyfur_b.tex, &gt;&gt; .\items\materia\class0001\Soldier70.dbr</v>
      </c>
      <c r="Q72" t="str">
        <f t="shared" si="36"/>
        <v>echo itemCost,500000, &gt;&gt; .\items\materia\class0001\Soldier70.dbr</v>
      </c>
      <c r="R72" t="str">
        <f t="shared" si="37"/>
        <v>echo description,dailCompDescSoldier70, &gt;&gt; .\items\materia\class0001\Soldier70.dbr</v>
      </c>
      <c r="S72" t="str">
        <f t="shared" si="38"/>
        <v>echo itemText,dailCompTextSoldier70, &gt;&gt; .\items\materia\class0001\Soldier70.dbr</v>
      </c>
      <c r="T72" t="str">
        <f t="shared" si="39"/>
        <v>echo augmentSkillLevel1,5, &gt;&gt; .\items\materia\class0001\Soldier70.dbr</v>
      </c>
      <c r="U72" t="str">
        <f t="shared" si="40"/>
        <v>echo augmentSkillName1,records/skills/playerclass01/shieldhammer3.dbr, &gt;&gt; .\items\materia\class0001\Soldier70.dbr</v>
      </c>
      <c r="V72" s="5" t="s">
        <v>36</v>
      </c>
      <c r="W72" t="str">
        <f t="shared" si="41"/>
        <v>echo lootName70,DAIL/items/materia/class0001/Soldier70.dbr, &gt;&gt; .\items\loottables\dailoneskill0001.dbr</v>
      </c>
      <c r="X72" t="str">
        <f t="shared" si="42"/>
        <v>echo lootWeight70,1, &gt;&gt; .\items\loottables\dailoneskill0001.dbr</v>
      </c>
      <c r="Y72" s="5" t="s">
        <v>36</v>
      </c>
      <c r="Z72" t="str">
        <f t="shared" si="43"/>
        <v xml:space="preserve"> dailCompDescSoldier70=^pSoldier's Gift of DAIL</v>
      </c>
      <c r="AA72" t="str">
        <f t="shared" si="51"/>
        <v>dailCompTextSoldier70=^oThis feels warm to the touch, almost familiar ^w(This component only fits into the Medal Slot)</v>
      </c>
      <c r="AB72" s="5" t="s">
        <v>36</v>
      </c>
      <c r="AH72">
        <f t="shared" ref="AH72:AH102" si="53">AH71+1</f>
        <v>67</v>
      </c>
      <c r="AI72">
        <f t="shared" si="47"/>
        <v>32</v>
      </c>
      <c r="AJ72">
        <f t="shared" si="52"/>
        <v>5</v>
      </c>
    </row>
    <row r="73" spans="1:36" x14ac:dyDescent="0.25">
      <c r="A73" s="5" t="s">
        <v>39</v>
      </c>
      <c r="B73" s="5" t="s">
        <v>30</v>
      </c>
      <c r="C73" s="5" t="str">
        <f t="shared" si="30"/>
        <v>description,dailCompDescSoldier71,</v>
      </c>
      <c r="D73" s="5" t="str">
        <f t="shared" si="31"/>
        <v>itemText,dailCompTextSoldier71,</v>
      </c>
      <c r="E73" s="5" t="str">
        <f t="shared" si="48"/>
        <v>augmentSkillLevel1,5,</v>
      </c>
      <c r="F73" s="5" t="str">
        <f t="shared" si="49"/>
        <v>augmentSkillName1,records/skills/playerclass01/blitz1.dbr,</v>
      </c>
      <c r="G73" s="7">
        <f t="shared" si="44"/>
        <v>71</v>
      </c>
      <c r="H73" s="8" t="str">
        <f t="shared" si="45"/>
        <v>Soldier</v>
      </c>
      <c r="I73" s="3" t="s">
        <v>12</v>
      </c>
      <c r="J73" s="8" t="str">
        <f t="shared" si="46"/>
        <v>class0001</v>
      </c>
      <c r="K73" s="8" t="str">
        <f t="shared" si="46"/>
        <v>dailoneskill0001</v>
      </c>
      <c r="L73" s="5" t="str">
        <f t="shared" si="32"/>
        <v>lootName71,DAIL/items/materia/class0001/Soldier71.dbr,</v>
      </c>
      <c r="M73" s="5" t="str">
        <f t="shared" si="33"/>
        <v>lootWeight71,1,</v>
      </c>
      <c r="N73" t="str">
        <f t="shared" si="34"/>
        <v>5</v>
      </c>
      <c r="O73" t="str">
        <f t="shared" si="50"/>
        <v>copy .\dail_base3.dbr .\items\materia\class0001\Soldier71.dbr /y</v>
      </c>
      <c r="P73" t="str">
        <f t="shared" si="35"/>
        <v>echo relicBitmap,items/craftingparts/components/component_a52_bristlyfur_b.tex, &gt;&gt; .\items\materia\class0001\Soldier71.dbr</v>
      </c>
      <c r="Q73" t="str">
        <f t="shared" si="36"/>
        <v>echo itemCost,500000, &gt;&gt; .\items\materia\class0001\Soldier71.dbr</v>
      </c>
      <c r="R73" t="str">
        <f t="shared" si="37"/>
        <v>echo description,dailCompDescSoldier71, &gt;&gt; .\items\materia\class0001\Soldier71.dbr</v>
      </c>
      <c r="S73" t="str">
        <f t="shared" si="38"/>
        <v>echo itemText,dailCompTextSoldier71, &gt;&gt; .\items\materia\class0001\Soldier71.dbr</v>
      </c>
      <c r="T73" t="str">
        <f t="shared" si="39"/>
        <v>echo augmentSkillLevel1,5, &gt;&gt; .\items\materia\class0001\Soldier71.dbr</v>
      </c>
      <c r="U73" t="str">
        <f t="shared" si="40"/>
        <v>echo augmentSkillName1,records/skills/playerclass01/blitz1.dbr, &gt;&gt; .\items\materia\class0001\Soldier71.dbr</v>
      </c>
      <c r="V73" s="5" t="s">
        <v>36</v>
      </c>
      <c r="W73" t="str">
        <f t="shared" si="41"/>
        <v>echo lootName71,DAIL/items/materia/class0001/Soldier71.dbr, &gt;&gt; .\items\loottables\dailoneskill0001.dbr</v>
      </c>
      <c r="X73" t="str">
        <f t="shared" si="42"/>
        <v>echo lootWeight71,1, &gt;&gt; .\items\loottables\dailoneskill0001.dbr</v>
      </c>
      <c r="Y73" s="5" t="s">
        <v>36</v>
      </c>
      <c r="Z73" t="str">
        <f t="shared" si="43"/>
        <v xml:space="preserve"> dailCompDescSoldier71=^pSoldier's Gift of DAIL</v>
      </c>
      <c r="AA73" t="str">
        <f t="shared" si="51"/>
        <v>dailCompTextSoldier71=^oThis feels warm to the touch, almost familiar ^w(This component only fits into the Medal Slot)</v>
      </c>
      <c r="AB73" s="5" t="s">
        <v>36</v>
      </c>
      <c r="AH73">
        <f t="shared" si="53"/>
        <v>68</v>
      </c>
      <c r="AI73">
        <f t="shared" si="47"/>
        <v>25</v>
      </c>
      <c r="AJ73">
        <f t="shared" si="52"/>
        <v>5</v>
      </c>
    </row>
    <row r="74" spans="1:36" x14ac:dyDescent="0.25">
      <c r="A74" s="5" t="s">
        <v>39</v>
      </c>
      <c r="B74" s="5" t="s">
        <v>30</v>
      </c>
      <c r="C74" s="5" t="str">
        <f t="shared" si="30"/>
        <v>description,dailCompDescSoldier72,</v>
      </c>
      <c r="D74" s="5" t="str">
        <f t="shared" si="31"/>
        <v>itemText,dailCompTextSoldier72,</v>
      </c>
      <c r="E74" s="5" t="str">
        <f t="shared" si="48"/>
        <v>augmentSkillLevel1,5,</v>
      </c>
      <c r="F74" s="5" t="str">
        <f t="shared" si="49"/>
        <v>augmentSkillName1,records/skills/playerclass01/blitz2.dbr,</v>
      </c>
      <c r="G74" s="7">
        <f t="shared" si="44"/>
        <v>72</v>
      </c>
      <c r="H74" s="8" t="str">
        <f t="shared" si="45"/>
        <v>Soldier</v>
      </c>
      <c r="I74" s="3" t="s">
        <v>253</v>
      </c>
      <c r="J74" s="8" t="str">
        <f t="shared" si="46"/>
        <v>class0001</v>
      </c>
      <c r="K74" s="8" t="str">
        <f t="shared" si="46"/>
        <v>dailoneskill0001</v>
      </c>
      <c r="L74" s="5" t="str">
        <f t="shared" si="32"/>
        <v>lootName72,DAIL/items/materia/class0001/Soldier72.dbr,</v>
      </c>
      <c r="M74" s="5" t="str">
        <f t="shared" si="33"/>
        <v>lootWeight72,1,</v>
      </c>
      <c r="N74" t="str">
        <f t="shared" si="34"/>
        <v>5</v>
      </c>
      <c r="O74" t="str">
        <f t="shared" si="50"/>
        <v>copy .\dail_base3.dbr .\items\materia\class0001\Soldier72.dbr /y</v>
      </c>
      <c r="P74" t="str">
        <f t="shared" si="35"/>
        <v>echo relicBitmap,items/craftingparts/components/component_a52_bristlyfur_b.tex, &gt;&gt; .\items\materia\class0001\Soldier72.dbr</v>
      </c>
      <c r="Q74" t="str">
        <f t="shared" si="36"/>
        <v>echo itemCost,500000, &gt;&gt; .\items\materia\class0001\Soldier72.dbr</v>
      </c>
      <c r="R74" t="str">
        <f t="shared" si="37"/>
        <v>echo description,dailCompDescSoldier72, &gt;&gt; .\items\materia\class0001\Soldier72.dbr</v>
      </c>
      <c r="S74" t="str">
        <f t="shared" si="38"/>
        <v>echo itemText,dailCompTextSoldier72, &gt;&gt; .\items\materia\class0001\Soldier72.dbr</v>
      </c>
      <c r="T74" t="str">
        <f t="shared" si="39"/>
        <v>echo augmentSkillLevel1,5, &gt;&gt; .\items\materia\class0001\Soldier72.dbr</v>
      </c>
      <c r="U74" t="str">
        <f t="shared" si="40"/>
        <v>echo augmentSkillName1,records/skills/playerclass01/blitz2.dbr, &gt;&gt; .\items\materia\class0001\Soldier72.dbr</v>
      </c>
      <c r="V74" s="5" t="s">
        <v>36</v>
      </c>
      <c r="W74" t="str">
        <f t="shared" si="41"/>
        <v>echo lootName72,DAIL/items/materia/class0001/Soldier72.dbr, &gt;&gt; .\items\loottables\dailoneskill0001.dbr</v>
      </c>
      <c r="X74" t="str">
        <f t="shared" si="42"/>
        <v>echo lootWeight72,1, &gt;&gt; .\items\loottables\dailoneskill0001.dbr</v>
      </c>
      <c r="Y74" s="5" t="s">
        <v>36</v>
      </c>
      <c r="Z74" t="str">
        <f t="shared" si="43"/>
        <v xml:space="preserve"> dailCompDescSoldier72=^pSoldier's Gift of DAIL</v>
      </c>
      <c r="AA74" t="str">
        <f t="shared" si="51"/>
        <v>dailCompTextSoldier72=^oThis feels warm to the touch, almost familiar ^w(This component only fits into the Medal Slot)</v>
      </c>
      <c r="AB74" s="5" t="s">
        <v>36</v>
      </c>
      <c r="AH74">
        <f t="shared" si="53"/>
        <v>69</v>
      </c>
      <c r="AI74">
        <f t="shared" si="47"/>
        <v>25</v>
      </c>
      <c r="AJ74">
        <f t="shared" si="52"/>
        <v>5</v>
      </c>
    </row>
    <row r="75" spans="1:36" x14ac:dyDescent="0.25">
      <c r="A75" s="5" t="s">
        <v>39</v>
      </c>
      <c r="B75" s="5" t="s">
        <v>30</v>
      </c>
      <c r="C75" s="5" t="str">
        <f t="shared" si="30"/>
        <v>description,dailCompDescSoldier73,</v>
      </c>
      <c r="D75" s="5" t="str">
        <f t="shared" si="31"/>
        <v>itemText,dailCompTextSoldier73,</v>
      </c>
      <c r="E75" s="5" t="str">
        <f t="shared" si="48"/>
        <v>augmentSkillLevel1,5,</v>
      </c>
      <c r="F75" s="5" t="str">
        <f t="shared" si="49"/>
        <v>augmentSkillName1,records/skills/playerclass01/counterstrike1.dbr,</v>
      </c>
      <c r="G75" s="7">
        <f t="shared" si="44"/>
        <v>73</v>
      </c>
      <c r="H75" s="8" t="str">
        <f t="shared" si="45"/>
        <v>Soldier</v>
      </c>
      <c r="I75" s="3" t="s">
        <v>14</v>
      </c>
      <c r="J75" s="8" t="str">
        <f t="shared" si="46"/>
        <v>class0001</v>
      </c>
      <c r="K75" s="8" t="str">
        <f t="shared" si="46"/>
        <v>dailoneskill0001</v>
      </c>
      <c r="L75" s="5" t="str">
        <f t="shared" si="32"/>
        <v>lootName73,DAIL/items/materia/class0001/Soldier73.dbr,</v>
      </c>
      <c r="M75" s="5" t="str">
        <f t="shared" si="33"/>
        <v>lootWeight73,1,</v>
      </c>
      <c r="N75" t="str">
        <f t="shared" si="34"/>
        <v>5</v>
      </c>
      <c r="O75" t="str">
        <f t="shared" si="50"/>
        <v>copy .\dail_base3.dbr .\items\materia\class0001\Soldier73.dbr /y</v>
      </c>
      <c r="P75" t="str">
        <f t="shared" si="35"/>
        <v>echo relicBitmap,items/craftingparts/components/component_a52_bristlyfur_b.tex, &gt;&gt; .\items\materia\class0001\Soldier73.dbr</v>
      </c>
      <c r="Q75" t="str">
        <f t="shared" si="36"/>
        <v>echo itemCost,500000, &gt;&gt; .\items\materia\class0001\Soldier73.dbr</v>
      </c>
      <c r="R75" t="str">
        <f t="shared" si="37"/>
        <v>echo description,dailCompDescSoldier73, &gt;&gt; .\items\materia\class0001\Soldier73.dbr</v>
      </c>
      <c r="S75" t="str">
        <f t="shared" si="38"/>
        <v>echo itemText,dailCompTextSoldier73, &gt;&gt; .\items\materia\class0001\Soldier73.dbr</v>
      </c>
      <c r="T75" t="str">
        <f t="shared" si="39"/>
        <v>echo augmentSkillLevel1,5, &gt;&gt; .\items\materia\class0001\Soldier73.dbr</v>
      </c>
      <c r="U75" t="str">
        <f t="shared" si="40"/>
        <v>echo augmentSkillName1,records/skills/playerclass01/counterstrike1.dbr, &gt;&gt; .\items\materia\class0001\Soldier73.dbr</v>
      </c>
      <c r="V75" s="5" t="s">
        <v>36</v>
      </c>
      <c r="W75" t="str">
        <f t="shared" si="41"/>
        <v>echo lootName73,DAIL/items/materia/class0001/Soldier73.dbr, &gt;&gt; .\items\loottables\dailoneskill0001.dbr</v>
      </c>
      <c r="X75" t="str">
        <f t="shared" si="42"/>
        <v>echo lootWeight73,1, &gt;&gt; .\items\loottables\dailoneskill0001.dbr</v>
      </c>
      <c r="Y75" s="5" t="s">
        <v>36</v>
      </c>
      <c r="Z75" t="str">
        <f t="shared" si="43"/>
        <v xml:space="preserve"> dailCompDescSoldier73=^pSoldier's Gift of DAIL</v>
      </c>
      <c r="AA75" t="str">
        <f t="shared" si="51"/>
        <v>dailCompTextSoldier73=^oThis feels warm to the touch, almost familiar ^w(This component only fits into the Medal Slot)</v>
      </c>
      <c r="AB75" s="5" t="s">
        <v>36</v>
      </c>
      <c r="AH75">
        <f t="shared" si="53"/>
        <v>70</v>
      </c>
      <c r="AI75">
        <f t="shared" si="47"/>
        <v>33</v>
      </c>
      <c r="AJ75">
        <f t="shared" si="52"/>
        <v>5</v>
      </c>
    </row>
    <row r="76" spans="1:36" x14ac:dyDescent="0.25">
      <c r="A76" s="5" t="s">
        <v>39</v>
      </c>
      <c r="B76" s="5" t="s">
        <v>30</v>
      </c>
      <c r="C76" s="5" t="str">
        <f t="shared" si="30"/>
        <v>description,dailCompDescSoldier74,</v>
      </c>
      <c r="D76" s="5" t="str">
        <f t="shared" si="31"/>
        <v>itemText,dailCompTextSoldier74,</v>
      </c>
      <c r="E76" s="5" t="str">
        <f t="shared" si="48"/>
        <v>augmentSkillLevel1,5,</v>
      </c>
      <c r="F76" s="5" t="str">
        <f t="shared" si="49"/>
        <v>augmentSkillName1,records/skills/playerclass01/bladearc1.dbr,</v>
      </c>
      <c r="G76" s="7">
        <f t="shared" si="44"/>
        <v>74</v>
      </c>
      <c r="H76" s="8" t="str">
        <f t="shared" si="45"/>
        <v>Soldier</v>
      </c>
      <c r="I76" s="3" t="s">
        <v>11</v>
      </c>
      <c r="J76" s="8" t="str">
        <f t="shared" si="46"/>
        <v>class0001</v>
      </c>
      <c r="K76" s="8" t="str">
        <f t="shared" si="46"/>
        <v>dailoneskill0001</v>
      </c>
      <c r="L76" s="5" t="str">
        <f t="shared" si="32"/>
        <v>lootName74,DAIL/items/materia/class0001/Soldier74.dbr,</v>
      </c>
      <c r="M76" s="5" t="str">
        <f t="shared" si="33"/>
        <v>lootWeight74,1,</v>
      </c>
      <c r="N76" t="str">
        <f t="shared" si="34"/>
        <v>5</v>
      </c>
      <c r="O76" t="str">
        <f t="shared" si="50"/>
        <v>copy .\dail_base3.dbr .\items\materia\class0001\Soldier74.dbr /y</v>
      </c>
      <c r="P76" t="str">
        <f t="shared" si="35"/>
        <v>echo relicBitmap,items/craftingparts/components/component_a52_bristlyfur_b.tex, &gt;&gt; .\items\materia\class0001\Soldier74.dbr</v>
      </c>
      <c r="Q76" t="str">
        <f t="shared" si="36"/>
        <v>echo itemCost,500000, &gt;&gt; .\items\materia\class0001\Soldier74.dbr</v>
      </c>
      <c r="R76" t="str">
        <f t="shared" si="37"/>
        <v>echo description,dailCompDescSoldier74, &gt;&gt; .\items\materia\class0001\Soldier74.dbr</v>
      </c>
      <c r="S76" t="str">
        <f t="shared" si="38"/>
        <v>echo itemText,dailCompTextSoldier74, &gt;&gt; .\items\materia\class0001\Soldier74.dbr</v>
      </c>
      <c r="T76" t="str">
        <f t="shared" si="39"/>
        <v>echo augmentSkillLevel1,5, &gt;&gt; .\items\materia\class0001\Soldier74.dbr</v>
      </c>
      <c r="U76" t="str">
        <f t="shared" si="40"/>
        <v>echo augmentSkillName1,records/skills/playerclass01/bladearc1.dbr, &gt;&gt; .\items\materia\class0001\Soldier74.dbr</v>
      </c>
      <c r="V76" s="5" t="s">
        <v>36</v>
      </c>
      <c r="W76" t="str">
        <f t="shared" si="41"/>
        <v>echo lootName74,DAIL/items/materia/class0001/Soldier74.dbr, &gt;&gt; .\items\loottables\dailoneskill0001.dbr</v>
      </c>
      <c r="X76" t="str">
        <f t="shared" si="42"/>
        <v>echo lootWeight74,1, &gt;&gt; .\items\loottables\dailoneskill0001.dbr</v>
      </c>
      <c r="Y76" s="5" t="s">
        <v>36</v>
      </c>
      <c r="Z76" t="str">
        <f t="shared" si="43"/>
        <v xml:space="preserve"> dailCompDescSoldier74=^pSoldier's Gift of DAIL</v>
      </c>
      <c r="AA76" t="str">
        <f t="shared" si="51"/>
        <v>dailCompTextSoldier74=^oThis feels warm to the touch, almost familiar ^w(This component only fits into the Medal Slot)</v>
      </c>
      <c r="AB76" s="5" t="s">
        <v>36</v>
      </c>
      <c r="AH76">
        <f t="shared" si="53"/>
        <v>71</v>
      </c>
      <c r="AI76">
        <f t="shared" si="47"/>
        <v>28</v>
      </c>
      <c r="AJ76">
        <f t="shared" si="52"/>
        <v>5</v>
      </c>
    </row>
    <row r="77" spans="1:36" x14ac:dyDescent="0.25">
      <c r="A77" s="5" t="s">
        <v>39</v>
      </c>
      <c r="B77" s="5" t="s">
        <v>30</v>
      </c>
      <c r="C77" s="5" t="str">
        <f t="shared" si="30"/>
        <v>description,dailCompDescSoldier75,</v>
      </c>
      <c r="D77" s="5" t="str">
        <f t="shared" si="31"/>
        <v>itemText,dailCompTextSoldier75,</v>
      </c>
      <c r="E77" s="5" t="str">
        <f t="shared" si="48"/>
        <v>augmentSkillLevel1,5,</v>
      </c>
      <c r="F77" s="5" t="str">
        <f t="shared" si="49"/>
        <v>augmentSkillName1,records/skills/playerclass01/bladearc1b.dbr,</v>
      </c>
      <c r="G77" s="7">
        <f t="shared" si="44"/>
        <v>75</v>
      </c>
      <c r="H77" s="8" t="str">
        <f t="shared" si="45"/>
        <v>Soldier</v>
      </c>
      <c r="I77" s="3" t="s">
        <v>254</v>
      </c>
      <c r="J77" s="8" t="str">
        <f t="shared" si="46"/>
        <v>class0001</v>
      </c>
      <c r="K77" s="8" t="str">
        <f t="shared" si="46"/>
        <v>dailoneskill0001</v>
      </c>
      <c r="L77" s="5" t="str">
        <f t="shared" si="32"/>
        <v>lootName75,DAIL/items/materia/class0001/Soldier75.dbr,</v>
      </c>
      <c r="M77" s="5" t="str">
        <f t="shared" si="33"/>
        <v>lootWeight75,1,</v>
      </c>
      <c r="N77" t="str">
        <f t="shared" si="34"/>
        <v>5</v>
      </c>
      <c r="O77" t="str">
        <f t="shared" si="50"/>
        <v>copy .\dail_base3.dbr .\items\materia\class0001\Soldier75.dbr /y</v>
      </c>
      <c r="P77" t="str">
        <f t="shared" si="35"/>
        <v>echo relicBitmap,items/craftingparts/components/component_a52_bristlyfur_b.tex, &gt;&gt; .\items\materia\class0001\Soldier75.dbr</v>
      </c>
      <c r="Q77" t="str">
        <f t="shared" si="36"/>
        <v>echo itemCost,500000, &gt;&gt; .\items\materia\class0001\Soldier75.dbr</v>
      </c>
      <c r="R77" t="str">
        <f t="shared" si="37"/>
        <v>echo description,dailCompDescSoldier75, &gt;&gt; .\items\materia\class0001\Soldier75.dbr</v>
      </c>
      <c r="S77" t="str">
        <f t="shared" si="38"/>
        <v>echo itemText,dailCompTextSoldier75, &gt;&gt; .\items\materia\class0001\Soldier75.dbr</v>
      </c>
      <c r="T77" t="str">
        <f t="shared" si="39"/>
        <v>echo augmentSkillLevel1,5, &gt;&gt; .\items\materia\class0001\Soldier75.dbr</v>
      </c>
      <c r="U77" t="str">
        <f t="shared" si="40"/>
        <v>echo augmentSkillName1,records/skills/playerclass01/bladearc1b.dbr, &gt;&gt; .\items\materia\class0001\Soldier75.dbr</v>
      </c>
      <c r="V77" s="5" t="s">
        <v>36</v>
      </c>
      <c r="W77" t="str">
        <f t="shared" si="41"/>
        <v>echo lootName75,DAIL/items/materia/class0001/Soldier75.dbr, &gt;&gt; .\items\loottables\dailoneskill0001.dbr</v>
      </c>
      <c r="X77" t="str">
        <f t="shared" si="42"/>
        <v>echo lootWeight75,1, &gt;&gt; .\items\loottables\dailoneskill0001.dbr</v>
      </c>
      <c r="Y77" s="5" t="s">
        <v>36</v>
      </c>
      <c r="Z77" t="str">
        <f t="shared" si="43"/>
        <v xml:space="preserve"> dailCompDescSoldier75=^pSoldier's Gift of DAIL</v>
      </c>
      <c r="AA77" t="str">
        <f t="shared" si="51"/>
        <v>dailCompTextSoldier75=^oThis feels warm to the touch, almost familiar ^w(This component only fits into the Medal Slot)</v>
      </c>
      <c r="AB77" s="5" t="s">
        <v>36</v>
      </c>
      <c r="AH77">
        <f t="shared" si="53"/>
        <v>72</v>
      </c>
      <c r="AI77">
        <f t="shared" si="47"/>
        <v>29</v>
      </c>
      <c r="AJ77">
        <f t="shared" si="52"/>
        <v>5</v>
      </c>
    </row>
    <row r="78" spans="1:36" x14ac:dyDescent="0.25">
      <c r="A78" s="5" t="s">
        <v>39</v>
      </c>
      <c r="B78" s="5" t="s">
        <v>30</v>
      </c>
      <c r="C78" s="5" t="str">
        <f t="shared" si="30"/>
        <v>description,dailCompDescSoldier76,</v>
      </c>
      <c r="D78" s="5" t="str">
        <f t="shared" si="31"/>
        <v>itemText,dailCompTextSoldier76,</v>
      </c>
      <c r="E78" s="5" t="str">
        <f t="shared" si="48"/>
        <v>augmentSkillLevel1,5,</v>
      </c>
      <c r="F78" s="5" t="str">
        <f t="shared" si="49"/>
        <v>augmentSkillName1,records/skills/playerclass01/cadence1.dbr,</v>
      </c>
      <c r="G78" s="7">
        <f t="shared" si="44"/>
        <v>76</v>
      </c>
      <c r="H78" s="8" t="str">
        <f t="shared" si="45"/>
        <v>Soldier</v>
      </c>
      <c r="I78" s="3" t="s">
        <v>13</v>
      </c>
      <c r="J78" s="8" t="str">
        <f t="shared" si="46"/>
        <v>class0001</v>
      </c>
      <c r="K78" s="8" t="str">
        <f t="shared" si="46"/>
        <v>dailoneskill0001</v>
      </c>
      <c r="L78" s="5" t="str">
        <f t="shared" si="32"/>
        <v>lootName76,DAIL/items/materia/class0001/Soldier76.dbr,</v>
      </c>
      <c r="M78" s="5" t="str">
        <f t="shared" si="33"/>
        <v>lootWeight76,1,</v>
      </c>
      <c r="N78" t="str">
        <f t="shared" si="34"/>
        <v>5</v>
      </c>
      <c r="O78" t="str">
        <f t="shared" si="50"/>
        <v>copy .\dail_base3.dbr .\items\materia\class0001\Soldier76.dbr /y</v>
      </c>
      <c r="P78" t="str">
        <f t="shared" si="35"/>
        <v>echo relicBitmap,items/craftingparts/components/component_a52_bristlyfur_b.tex, &gt;&gt; .\items\materia\class0001\Soldier76.dbr</v>
      </c>
      <c r="Q78" t="str">
        <f t="shared" si="36"/>
        <v>echo itemCost,500000, &gt;&gt; .\items\materia\class0001\Soldier76.dbr</v>
      </c>
      <c r="R78" t="str">
        <f t="shared" si="37"/>
        <v>echo description,dailCompDescSoldier76, &gt;&gt; .\items\materia\class0001\Soldier76.dbr</v>
      </c>
      <c r="S78" t="str">
        <f t="shared" si="38"/>
        <v>echo itemText,dailCompTextSoldier76, &gt;&gt; .\items\materia\class0001\Soldier76.dbr</v>
      </c>
      <c r="T78" t="str">
        <f t="shared" si="39"/>
        <v>echo augmentSkillLevel1,5, &gt;&gt; .\items\materia\class0001\Soldier76.dbr</v>
      </c>
      <c r="U78" t="str">
        <f t="shared" si="40"/>
        <v>echo augmentSkillName1,records/skills/playerclass01/cadence1.dbr, &gt;&gt; .\items\materia\class0001\Soldier76.dbr</v>
      </c>
      <c r="V78" s="5" t="s">
        <v>36</v>
      </c>
      <c r="W78" t="str">
        <f t="shared" si="41"/>
        <v>echo lootName76,DAIL/items/materia/class0001/Soldier76.dbr, &gt;&gt; .\items\loottables\dailoneskill0001.dbr</v>
      </c>
      <c r="X78" t="str">
        <f t="shared" si="42"/>
        <v>echo lootWeight76,1, &gt;&gt; .\items\loottables\dailoneskill0001.dbr</v>
      </c>
      <c r="Y78" s="5" t="s">
        <v>36</v>
      </c>
      <c r="Z78" t="str">
        <f t="shared" si="43"/>
        <v xml:space="preserve"> dailCompDescSoldier76=^pSoldier's Gift of DAIL</v>
      </c>
      <c r="AA78" t="str">
        <f t="shared" si="51"/>
        <v>dailCompTextSoldier76=^oThis feels warm to the touch, almost familiar ^w(This component only fits into the Medal Slot)</v>
      </c>
      <c r="AB78" s="5" t="s">
        <v>36</v>
      </c>
      <c r="AH78">
        <f t="shared" si="53"/>
        <v>73</v>
      </c>
      <c r="AI78">
        <f t="shared" si="47"/>
        <v>27</v>
      </c>
      <c r="AJ78">
        <f t="shared" si="52"/>
        <v>5</v>
      </c>
    </row>
    <row r="79" spans="1:36" x14ac:dyDescent="0.25">
      <c r="A79" s="5" t="s">
        <v>39</v>
      </c>
      <c r="B79" s="5" t="s">
        <v>30</v>
      </c>
      <c r="C79" s="5" t="str">
        <f t="shared" si="30"/>
        <v>description,dailCompDescSoldier77,</v>
      </c>
      <c r="D79" s="5" t="str">
        <f t="shared" si="31"/>
        <v>itemText,dailCompTextSoldier77,</v>
      </c>
      <c r="E79" s="5" t="str">
        <f t="shared" si="48"/>
        <v>augmentSkillLevel1,5,</v>
      </c>
      <c r="F79" s="5" t="str">
        <f t="shared" si="49"/>
        <v>augmentSkillName1,records/skills/playerclass01/bladearc2.dbr,</v>
      </c>
      <c r="G79" s="7">
        <f t="shared" si="44"/>
        <v>77</v>
      </c>
      <c r="H79" s="8" t="str">
        <f t="shared" si="45"/>
        <v>Soldier</v>
      </c>
      <c r="I79" s="3" t="s">
        <v>255</v>
      </c>
      <c r="J79" s="8" t="str">
        <f t="shared" si="46"/>
        <v>class0001</v>
      </c>
      <c r="K79" s="8" t="str">
        <f t="shared" si="46"/>
        <v>dailoneskill0001</v>
      </c>
      <c r="L79" s="5" t="str">
        <f t="shared" si="32"/>
        <v>lootName77,DAIL/items/materia/class0001/Soldier77.dbr,</v>
      </c>
      <c r="M79" s="5" t="str">
        <f t="shared" si="33"/>
        <v>lootWeight77,1,</v>
      </c>
      <c r="N79" t="str">
        <f t="shared" si="34"/>
        <v>5</v>
      </c>
      <c r="O79" t="str">
        <f t="shared" si="50"/>
        <v>copy .\dail_base3.dbr .\items\materia\class0001\Soldier77.dbr /y</v>
      </c>
      <c r="P79" t="str">
        <f t="shared" si="35"/>
        <v>echo relicBitmap,items/craftingparts/components/component_a52_bristlyfur_b.tex, &gt;&gt; .\items\materia\class0001\Soldier77.dbr</v>
      </c>
      <c r="Q79" t="str">
        <f t="shared" si="36"/>
        <v>echo itemCost,500000, &gt;&gt; .\items\materia\class0001\Soldier77.dbr</v>
      </c>
      <c r="R79" t="str">
        <f t="shared" si="37"/>
        <v>echo description,dailCompDescSoldier77, &gt;&gt; .\items\materia\class0001\Soldier77.dbr</v>
      </c>
      <c r="S79" t="str">
        <f t="shared" si="38"/>
        <v>echo itemText,dailCompTextSoldier77, &gt;&gt; .\items\materia\class0001\Soldier77.dbr</v>
      </c>
      <c r="T79" t="str">
        <f t="shared" si="39"/>
        <v>echo augmentSkillLevel1,5, &gt;&gt; .\items\materia\class0001\Soldier77.dbr</v>
      </c>
      <c r="U79" t="str">
        <f t="shared" si="40"/>
        <v>echo augmentSkillName1,records/skills/playerclass01/bladearc2.dbr, &gt;&gt; .\items\materia\class0001\Soldier77.dbr</v>
      </c>
      <c r="V79" s="5" t="s">
        <v>36</v>
      </c>
      <c r="W79" t="str">
        <f t="shared" si="41"/>
        <v>echo lootName77,DAIL/items/materia/class0001/Soldier77.dbr, &gt;&gt; .\items\loottables\dailoneskill0001.dbr</v>
      </c>
      <c r="X79" t="str">
        <f t="shared" si="42"/>
        <v>echo lootWeight77,1, &gt;&gt; .\items\loottables\dailoneskill0001.dbr</v>
      </c>
      <c r="Y79" s="5" t="s">
        <v>36</v>
      </c>
      <c r="Z79" t="str">
        <f t="shared" si="43"/>
        <v xml:space="preserve"> dailCompDescSoldier77=^pSoldier's Gift of DAIL</v>
      </c>
      <c r="AA79" t="str">
        <f t="shared" si="51"/>
        <v>dailCompTextSoldier77=^oThis feels warm to the touch, almost familiar ^w(This component only fits into the Medal Slot)</v>
      </c>
      <c r="AB79" s="5" t="s">
        <v>36</v>
      </c>
      <c r="AH79">
        <f t="shared" si="53"/>
        <v>74</v>
      </c>
      <c r="AI79">
        <f t="shared" si="47"/>
        <v>28</v>
      </c>
      <c r="AJ79">
        <f t="shared" si="52"/>
        <v>5</v>
      </c>
    </row>
    <row r="80" spans="1:36" x14ac:dyDescent="0.25">
      <c r="A80" s="5" t="s">
        <v>39</v>
      </c>
      <c r="B80" s="5" t="s">
        <v>30</v>
      </c>
      <c r="C80" s="5" t="str">
        <f t="shared" si="30"/>
        <v>description,dailCompDescSoldier78,</v>
      </c>
      <c r="D80" s="5" t="str">
        <f t="shared" si="31"/>
        <v>itemText,dailCompTextSoldier78,</v>
      </c>
      <c r="E80" s="5" t="str">
        <f t="shared" si="48"/>
        <v>augmentSkillLevel1,5,</v>
      </c>
      <c r="F80" s="5" t="str">
        <f t="shared" si="49"/>
        <v>augmentSkillName1,records/skills/playerclass01/stancedefensive.dbr,</v>
      </c>
      <c r="G80" s="7">
        <f t="shared" si="44"/>
        <v>78</v>
      </c>
      <c r="H80" s="8" t="str">
        <f t="shared" si="45"/>
        <v>Soldier</v>
      </c>
      <c r="I80" s="3" t="s">
        <v>21</v>
      </c>
      <c r="J80" s="8" t="str">
        <f t="shared" si="46"/>
        <v>class0001</v>
      </c>
      <c r="K80" s="8" t="str">
        <f t="shared" si="46"/>
        <v>dailoneskill0001</v>
      </c>
      <c r="L80" s="5" t="str">
        <f t="shared" si="32"/>
        <v>lootName78,DAIL/items/materia/class0001/Soldier78.dbr,</v>
      </c>
      <c r="M80" s="5" t="str">
        <f t="shared" si="33"/>
        <v>lootWeight78,1,</v>
      </c>
      <c r="N80" t="str">
        <f t="shared" si="34"/>
        <v>5</v>
      </c>
      <c r="O80" t="str">
        <f t="shared" si="50"/>
        <v>copy .\dail_base3.dbr .\items\materia\class0001\Soldier78.dbr /y</v>
      </c>
      <c r="P80" t="str">
        <f t="shared" si="35"/>
        <v>echo relicBitmap,items/craftingparts/components/component_a52_bristlyfur_b.tex, &gt;&gt; .\items\materia\class0001\Soldier78.dbr</v>
      </c>
      <c r="Q80" t="str">
        <f t="shared" si="36"/>
        <v>echo itemCost,500000, &gt;&gt; .\items\materia\class0001\Soldier78.dbr</v>
      </c>
      <c r="R80" t="str">
        <f t="shared" si="37"/>
        <v>echo description,dailCompDescSoldier78, &gt;&gt; .\items\materia\class0001\Soldier78.dbr</v>
      </c>
      <c r="S80" t="str">
        <f t="shared" si="38"/>
        <v>echo itemText,dailCompTextSoldier78, &gt;&gt; .\items\materia\class0001\Soldier78.dbr</v>
      </c>
      <c r="T80" t="str">
        <f t="shared" si="39"/>
        <v>echo augmentSkillLevel1,5, &gt;&gt; .\items\materia\class0001\Soldier78.dbr</v>
      </c>
      <c r="U80" t="str">
        <f t="shared" si="40"/>
        <v>echo augmentSkillName1,records/skills/playerclass01/stancedefensive.dbr, &gt;&gt; .\items\materia\class0001\Soldier78.dbr</v>
      </c>
      <c r="V80" s="5" t="s">
        <v>36</v>
      </c>
      <c r="W80" t="str">
        <f t="shared" si="41"/>
        <v>echo lootName78,DAIL/items/materia/class0001/Soldier78.dbr, &gt;&gt; .\items\loottables\dailoneskill0001.dbr</v>
      </c>
      <c r="X80" t="str">
        <f t="shared" si="42"/>
        <v>echo lootWeight78,1, &gt;&gt; .\items\loottables\dailoneskill0001.dbr</v>
      </c>
      <c r="Y80" s="5" t="s">
        <v>36</v>
      </c>
      <c r="Z80" t="str">
        <f t="shared" si="43"/>
        <v xml:space="preserve"> dailCompDescSoldier78=^pSoldier's Gift of DAIL</v>
      </c>
      <c r="AA80" t="str">
        <f t="shared" si="51"/>
        <v>dailCompTextSoldier78=^oThis feels warm to the touch, almost familiar ^w(This component only fits into the Medal Slot)</v>
      </c>
      <c r="AB80" s="5" t="s">
        <v>36</v>
      </c>
      <c r="AH80">
        <f t="shared" si="53"/>
        <v>75</v>
      </c>
      <c r="AI80">
        <f t="shared" si="47"/>
        <v>34</v>
      </c>
      <c r="AJ80">
        <f t="shared" si="52"/>
        <v>5</v>
      </c>
    </row>
    <row r="81" spans="1:36" x14ac:dyDescent="0.25">
      <c r="A81" s="5" t="s">
        <v>39</v>
      </c>
      <c r="B81" s="5" t="s">
        <v>30</v>
      </c>
      <c r="C81" s="5" t="str">
        <f t="shared" si="30"/>
        <v>description,dailCompDescSoldier79,</v>
      </c>
      <c r="D81" s="5" t="str">
        <f t="shared" si="31"/>
        <v>itemText,dailCompTextSoldier79,</v>
      </c>
      <c r="E81" s="5" t="str">
        <f t="shared" si="48"/>
        <v>augmentSkillLevel1,5,</v>
      </c>
      <c r="F81" s="5" t="str">
        <f t="shared" si="49"/>
        <v>augmentSkillName1,records/skills/playerclass01/stanceoffensive.dbr,</v>
      </c>
      <c r="G81" s="7">
        <f t="shared" si="44"/>
        <v>79</v>
      </c>
      <c r="H81" s="8" t="str">
        <f t="shared" si="45"/>
        <v>Soldier</v>
      </c>
      <c r="I81" s="3" t="s">
        <v>22</v>
      </c>
      <c r="J81" s="8" t="str">
        <f t="shared" si="46"/>
        <v>class0001</v>
      </c>
      <c r="K81" s="8" t="str">
        <f t="shared" si="46"/>
        <v>dailoneskill0001</v>
      </c>
      <c r="L81" s="5" t="str">
        <f t="shared" si="32"/>
        <v>lootName79,DAIL/items/materia/class0001/Soldier79.dbr,</v>
      </c>
      <c r="M81" s="5" t="str">
        <f t="shared" si="33"/>
        <v>lootWeight79,1,</v>
      </c>
      <c r="N81" t="str">
        <f t="shared" si="34"/>
        <v>5</v>
      </c>
      <c r="O81" t="str">
        <f t="shared" si="50"/>
        <v>copy .\dail_base3.dbr .\items\materia\class0001\Soldier79.dbr /y</v>
      </c>
      <c r="P81" t="str">
        <f t="shared" si="35"/>
        <v>echo relicBitmap,items/craftingparts/components/component_a52_bristlyfur_b.tex, &gt;&gt; .\items\materia\class0001\Soldier79.dbr</v>
      </c>
      <c r="Q81" t="str">
        <f t="shared" si="36"/>
        <v>echo itemCost,500000, &gt;&gt; .\items\materia\class0001\Soldier79.dbr</v>
      </c>
      <c r="R81" t="str">
        <f t="shared" si="37"/>
        <v>echo description,dailCompDescSoldier79, &gt;&gt; .\items\materia\class0001\Soldier79.dbr</v>
      </c>
      <c r="S81" t="str">
        <f t="shared" si="38"/>
        <v>echo itemText,dailCompTextSoldier79, &gt;&gt; .\items\materia\class0001\Soldier79.dbr</v>
      </c>
      <c r="T81" t="str">
        <f t="shared" si="39"/>
        <v>echo augmentSkillLevel1,5, &gt;&gt; .\items\materia\class0001\Soldier79.dbr</v>
      </c>
      <c r="U81" t="str">
        <f t="shared" si="40"/>
        <v>echo augmentSkillName1,records/skills/playerclass01/stanceoffensive.dbr, &gt;&gt; .\items\materia\class0001\Soldier79.dbr</v>
      </c>
      <c r="V81" s="5" t="s">
        <v>36</v>
      </c>
      <c r="W81" t="str">
        <f t="shared" si="41"/>
        <v>echo lootName79,DAIL/items/materia/class0001/Soldier79.dbr, &gt;&gt; .\items\loottables\dailoneskill0001.dbr</v>
      </c>
      <c r="X81" t="str">
        <f t="shared" si="42"/>
        <v>echo lootWeight79,1, &gt;&gt; .\items\loottables\dailoneskill0001.dbr</v>
      </c>
      <c r="Y81" s="5" t="s">
        <v>36</v>
      </c>
      <c r="Z81" t="str">
        <f t="shared" si="43"/>
        <v xml:space="preserve"> dailCompDescSoldier79=^pSoldier's Gift of DAIL</v>
      </c>
      <c r="AA81" t="str">
        <f t="shared" si="51"/>
        <v>dailCompTextSoldier79=^oThis feels warm to the touch, almost familiar ^w(This component only fits into the Medal Slot)</v>
      </c>
      <c r="AB81" s="5" t="s">
        <v>36</v>
      </c>
      <c r="AH81">
        <f t="shared" si="53"/>
        <v>76</v>
      </c>
      <c r="AI81">
        <f t="shared" si="47"/>
        <v>34</v>
      </c>
      <c r="AJ81">
        <f t="shared" si="52"/>
        <v>5</v>
      </c>
    </row>
    <row r="82" spans="1:36" x14ac:dyDescent="0.25">
      <c r="A82" s="5" t="s">
        <v>39</v>
      </c>
      <c r="B82" s="5" t="s">
        <v>30</v>
      </c>
      <c r="C82" s="5" t="str">
        <f t="shared" si="30"/>
        <v>description,dailCompDescSoldier80,</v>
      </c>
      <c r="D82" s="5" t="str">
        <f t="shared" si="31"/>
        <v>itemText,dailCompTextSoldier80,</v>
      </c>
      <c r="E82" s="5" t="str">
        <f t="shared" si="48"/>
        <v>augmentSkillLevel1,5,</v>
      </c>
      <c r="F82" s="5" t="str">
        <f t="shared" si="49"/>
        <v>augmentSkillName1,records/skills/playerclass01/fieldcommand1.dbr,</v>
      </c>
      <c r="G82" s="7">
        <f t="shared" si="44"/>
        <v>80</v>
      </c>
      <c r="H82" s="8" t="str">
        <f t="shared" si="45"/>
        <v>Soldier</v>
      </c>
      <c r="I82" s="3" t="s">
        <v>15</v>
      </c>
      <c r="J82" s="8" t="str">
        <f t="shared" si="46"/>
        <v>class0001</v>
      </c>
      <c r="K82" s="8" t="str">
        <f t="shared" si="46"/>
        <v>dailoneskill0001</v>
      </c>
      <c r="L82" s="5" t="str">
        <f t="shared" si="32"/>
        <v>lootName80,DAIL/items/materia/class0001/Soldier80.dbr,</v>
      </c>
      <c r="M82" s="5" t="str">
        <f t="shared" si="33"/>
        <v>lootWeight80,1,</v>
      </c>
      <c r="N82" t="str">
        <f t="shared" si="34"/>
        <v>5</v>
      </c>
      <c r="O82" t="str">
        <f t="shared" si="50"/>
        <v>copy .\dail_base3.dbr .\items\materia\class0001\Soldier80.dbr /y</v>
      </c>
      <c r="P82" t="str">
        <f t="shared" si="35"/>
        <v>echo relicBitmap,items/craftingparts/components/component_a52_bristlyfur_b.tex, &gt;&gt; .\items\materia\class0001\Soldier80.dbr</v>
      </c>
      <c r="Q82" t="str">
        <f t="shared" si="36"/>
        <v>echo itemCost,500000, &gt;&gt; .\items\materia\class0001\Soldier80.dbr</v>
      </c>
      <c r="R82" t="str">
        <f t="shared" si="37"/>
        <v>echo description,dailCompDescSoldier80, &gt;&gt; .\items\materia\class0001\Soldier80.dbr</v>
      </c>
      <c r="S82" t="str">
        <f t="shared" si="38"/>
        <v>echo itemText,dailCompTextSoldier80, &gt;&gt; .\items\materia\class0001\Soldier80.dbr</v>
      </c>
      <c r="T82" t="str">
        <f t="shared" si="39"/>
        <v>echo augmentSkillLevel1,5, &gt;&gt; .\items\materia\class0001\Soldier80.dbr</v>
      </c>
      <c r="U82" t="str">
        <f t="shared" si="40"/>
        <v>echo augmentSkillName1,records/skills/playerclass01/fieldcommand1.dbr, &gt;&gt; .\items\materia\class0001\Soldier80.dbr</v>
      </c>
      <c r="V82" s="5" t="s">
        <v>36</v>
      </c>
      <c r="W82" t="str">
        <f t="shared" si="41"/>
        <v>echo lootName80,DAIL/items/materia/class0001/Soldier80.dbr, &gt;&gt; .\items\loottables\dailoneskill0001.dbr</v>
      </c>
      <c r="X82" t="str">
        <f t="shared" si="42"/>
        <v>echo lootWeight80,1, &gt;&gt; .\items\loottables\dailoneskill0001.dbr</v>
      </c>
      <c r="Y82" s="5" t="s">
        <v>36</v>
      </c>
      <c r="Z82" t="str">
        <f t="shared" si="43"/>
        <v xml:space="preserve"> dailCompDescSoldier80=^pSoldier's Gift of DAIL</v>
      </c>
      <c r="AA82" t="str">
        <f t="shared" si="51"/>
        <v>dailCompTextSoldier80=^oThis feels warm to the touch, almost familiar ^w(This component only fits into the Medal Slot)</v>
      </c>
      <c r="AB82" s="5" t="s">
        <v>36</v>
      </c>
      <c r="AH82">
        <f t="shared" si="53"/>
        <v>77</v>
      </c>
      <c r="AI82">
        <f t="shared" si="47"/>
        <v>32</v>
      </c>
      <c r="AJ82">
        <f t="shared" si="52"/>
        <v>5</v>
      </c>
    </row>
    <row r="83" spans="1:36" x14ac:dyDescent="0.25">
      <c r="A83" s="5" t="s">
        <v>39</v>
      </c>
      <c r="B83" s="5" t="s">
        <v>30</v>
      </c>
      <c r="C83" s="5" t="str">
        <f t="shared" si="30"/>
        <v>description,dailCompDescSoldier81,</v>
      </c>
      <c r="D83" s="5" t="str">
        <f t="shared" si="31"/>
        <v>itemText,dailCompTextSoldier81,</v>
      </c>
      <c r="E83" s="5" t="str">
        <f t="shared" si="48"/>
        <v>augmentSkillLevel1,5,</v>
      </c>
      <c r="F83" s="5" t="str">
        <f t="shared" si="49"/>
        <v>augmentSkillName1,records/skills/playerclass01/fieldcommand2.dbr,</v>
      </c>
      <c r="G83" s="7">
        <f t="shared" si="44"/>
        <v>81</v>
      </c>
      <c r="H83" s="8" t="str">
        <f t="shared" si="45"/>
        <v>Soldier</v>
      </c>
      <c r="I83" s="3" t="s">
        <v>256</v>
      </c>
      <c r="J83" s="8" t="str">
        <f t="shared" si="46"/>
        <v>class0001</v>
      </c>
      <c r="K83" s="8" t="str">
        <f t="shared" si="46"/>
        <v>dailoneskill0001</v>
      </c>
      <c r="L83" s="5" t="str">
        <f t="shared" si="32"/>
        <v>lootName81,DAIL/items/materia/class0001/Soldier81.dbr,</v>
      </c>
      <c r="M83" s="5" t="str">
        <f t="shared" si="33"/>
        <v>lootWeight81,1,</v>
      </c>
      <c r="N83" t="str">
        <f t="shared" si="34"/>
        <v>5</v>
      </c>
      <c r="O83" t="str">
        <f t="shared" si="50"/>
        <v>copy .\dail_base3.dbr .\items\materia\class0001\Soldier81.dbr /y</v>
      </c>
      <c r="P83" t="str">
        <f t="shared" si="35"/>
        <v>echo relicBitmap,items/craftingparts/components/component_a52_bristlyfur_b.tex, &gt;&gt; .\items\materia\class0001\Soldier81.dbr</v>
      </c>
      <c r="Q83" t="str">
        <f t="shared" si="36"/>
        <v>echo itemCost,500000, &gt;&gt; .\items\materia\class0001\Soldier81.dbr</v>
      </c>
      <c r="R83" t="str">
        <f t="shared" si="37"/>
        <v>echo description,dailCompDescSoldier81, &gt;&gt; .\items\materia\class0001\Soldier81.dbr</v>
      </c>
      <c r="S83" t="str">
        <f t="shared" si="38"/>
        <v>echo itemText,dailCompTextSoldier81, &gt;&gt; .\items\materia\class0001\Soldier81.dbr</v>
      </c>
      <c r="T83" t="str">
        <f t="shared" si="39"/>
        <v>echo augmentSkillLevel1,5, &gt;&gt; .\items\materia\class0001\Soldier81.dbr</v>
      </c>
      <c r="U83" t="str">
        <f t="shared" si="40"/>
        <v>echo augmentSkillName1,records/skills/playerclass01/fieldcommand2.dbr, &gt;&gt; .\items\materia\class0001\Soldier81.dbr</v>
      </c>
      <c r="V83" s="5" t="s">
        <v>36</v>
      </c>
      <c r="W83" t="str">
        <f t="shared" si="41"/>
        <v>echo lootName81,DAIL/items/materia/class0001/Soldier81.dbr, &gt;&gt; .\items\loottables\dailoneskill0001.dbr</v>
      </c>
      <c r="X83" t="str">
        <f t="shared" si="42"/>
        <v>echo lootWeight81,1, &gt;&gt; .\items\loottables\dailoneskill0001.dbr</v>
      </c>
      <c r="Y83" s="5" t="s">
        <v>36</v>
      </c>
      <c r="Z83" t="str">
        <f t="shared" si="43"/>
        <v xml:space="preserve"> dailCompDescSoldier81=^pSoldier's Gift of DAIL</v>
      </c>
      <c r="AA83" t="str">
        <f t="shared" si="51"/>
        <v>dailCompTextSoldier81=^oThis feels warm to the touch, almost familiar ^w(This component only fits into the Medal Slot)</v>
      </c>
      <c r="AB83" s="5" t="s">
        <v>36</v>
      </c>
      <c r="AH83">
        <f t="shared" si="53"/>
        <v>78</v>
      </c>
      <c r="AI83">
        <f t="shared" si="47"/>
        <v>32</v>
      </c>
      <c r="AJ83">
        <f t="shared" si="52"/>
        <v>5</v>
      </c>
    </row>
    <row r="84" spans="1:36" x14ac:dyDescent="0.25">
      <c r="A84" s="5" t="s">
        <v>39</v>
      </c>
      <c r="B84" s="5" t="s">
        <v>30</v>
      </c>
      <c r="C84" s="5" t="str">
        <f t="shared" si="30"/>
        <v>description,dailCompDescSoldier82,</v>
      </c>
      <c r="D84" s="5" t="str">
        <f t="shared" si="31"/>
        <v>itemText,dailCompTextSoldier82,</v>
      </c>
      <c r="E84" s="5" t="str">
        <f t="shared" si="48"/>
        <v>augmentSkillLevel1,5,</v>
      </c>
      <c r="F84" s="5" t="str">
        <f t="shared" si="49"/>
        <v>augmentSkillName1,records/skills/playerclass01/weaponpool1.dbr,</v>
      </c>
      <c r="G84" s="7">
        <f t="shared" si="44"/>
        <v>82</v>
      </c>
      <c r="H84" s="8" t="str">
        <f t="shared" si="45"/>
        <v>Soldier</v>
      </c>
      <c r="I84" s="3" t="s">
        <v>257</v>
      </c>
      <c r="J84" s="8" t="str">
        <f t="shared" si="46"/>
        <v>class0001</v>
      </c>
      <c r="K84" s="8" t="str">
        <f t="shared" si="46"/>
        <v>dailoneskill0001</v>
      </c>
      <c r="L84" s="5" t="str">
        <f t="shared" si="32"/>
        <v>lootName82,DAIL/items/materia/class0001/Soldier82.dbr,</v>
      </c>
      <c r="M84" s="5" t="str">
        <f t="shared" si="33"/>
        <v>lootWeight82,1,</v>
      </c>
      <c r="N84" t="str">
        <f t="shared" si="34"/>
        <v>5</v>
      </c>
      <c r="O84" t="str">
        <f t="shared" si="50"/>
        <v>copy .\dail_base3.dbr .\items\materia\class0001\Soldier82.dbr /y</v>
      </c>
      <c r="P84" t="str">
        <f t="shared" si="35"/>
        <v>echo relicBitmap,items/craftingparts/components/component_a52_bristlyfur_b.tex, &gt;&gt; .\items\materia\class0001\Soldier82.dbr</v>
      </c>
      <c r="Q84" t="str">
        <f t="shared" si="36"/>
        <v>echo itemCost,500000, &gt;&gt; .\items\materia\class0001\Soldier82.dbr</v>
      </c>
      <c r="R84" t="str">
        <f t="shared" si="37"/>
        <v>echo description,dailCompDescSoldier82, &gt;&gt; .\items\materia\class0001\Soldier82.dbr</v>
      </c>
      <c r="S84" t="str">
        <f t="shared" si="38"/>
        <v>echo itemText,dailCompTextSoldier82, &gt;&gt; .\items\materia\class0001\Soldier82.dbr</v>
      </c>
      <c r="T84" t="str">
        <f t="shared" si="39"/>
        <v>echo augmentSkillLevel1,5, &gt;&gt; .\items\materia\class0001\Soldier82.dbr</v>
      </c>
      <c r="U84" t="str">
        <f t="shared" si="40"/>
        <v>echo augmentSkillName1,records/skills/playerclass01/weaponpool1.dbr, &gt;&gt; .\items\materia\class0001\Soldier82.dbr</v>
      </c>
      <c r="V84" s="5" t="s">
        <v>36</v>
      </c>
      <c r="W84" t="str">
        <f t="shared" si="41"/>
        <v>echo lootName82,DAIL/items/materia/class0001/Soldier82.dbr, &gt;&gt; .\items\loottables\dailoneskill0001.dbr</v>
      </c>
      <c r="X84" t="str">
        <f t="shared" si="42"/>
        <v>echo lootWeight82,1, &gt;&gt; .\items\loottables\dailoneskill0001.dbr</v>
      </c>
      <c r="Y84" s="5" t="s">
        <v>36</v>
      </c>
      <c r="Z84" t="str">
        <f t="shared" si="43"/>
        <v xml:space="preserve"> dailCompDescSoldier82=^pSoldier's Gift of DAIL</v>
      </c>
      <c r="AA84" t="str">
        <f t="shared" si="51"/>
        <v>dailCompTextSoldier82=^oThis feels warm to the touch, almost familiar ^w(This component only fits into the Medal Slot)</v>
      </c>
      <c r="AB84" s="5" t="s">
        <v>36</v>
      </c>
      <c r="AH84">
        <f t="shared" si="53"/>
        <v>79</v>
      </c>
      <c r="AI84">
        <f t="shared" si="47"/>
        <v>30</v>
      </c>
      <c r="AJ84">
        <f t="shared" si="52"/>
        <v>5</v>
      </c>
    </row>
    <row r="85" spans="1:36" x14ac:dyDescent="0.25">
      <c r="A85" s="5" t="s">
        <v>39</v>
      </c>
      <c r="B85" s="5" t="s">
        <v>30</v>
      </c>
      <c r="C85" s="5" t="str">
        <f t="shared" si="30"/>
        <v>description,dailCompDescSoldier83,</v>
      </c>
      <c r="D85" s="5" t="str">
        <f t="shared" si="31"/>
        <v>itemText,dailCompTextSoldier83,</v>
      </c>
      <c r="E85" s="5" t="str">
        <f t="shared" si="48"/>
        <v>augmentSkillLevel1,5,</v>
      </c>
      <c r="F85" s="5" t="str">
        <f t="shared" si="49"/>
        <v>augmentSkillName1,records/skills/playerclass01/weaponpool2.dbr,</v>
      </c>
      <c r="G85" s="7">
        <f t="shared" si="44"/>
        <v>83</v>
      </c>
      <c r="H85" s="8" t="str">
        <f t="shared" si="45"/>
        <v>Soldier</v>
      </c>
      <c r="I85" s="3" t="s">
        <v>258</v>
      </c>
      <c r="J85" s="8" t="str">
        <f t="shared" si="46"/>
        <v>class0001</v>
      </c>
      <c r="K85" s="8" t="str">
        <f t="shared" si="46"/>
        <v>dailoneskill0001</v>
      </c>
      <c r="L85" s="5" t="str">
        <f t="shared" si="32"/>
        <v>lootName83,DAIL/items/materia/class0001/Soldier83.dbr,</v>
      </c>
      <c r="M85" s="5" t="str">
        <f t="shared" si="33"/>
        <v>lootWeight83,1,</v>
      </c>
      <c r="N85" t="str">
        <f t="shared" si="34"/>
        <v>5</v>
      </c>
      <c r="O85" t="str">
        <f t="shared" si="50"/>
        <v>copy .\dail_base3.dbr .\items\materia\class0001\Soldier83.dbr /y</v>
      </c>
      <c r="P85" t="str">
        <f t="shared" si="35"/>
        <v>echo relicBitmap,items/craftingparts/components/component_a52_bristlyfur_b.tex, &gt;&gt; .\items\materia\class0001\Soldier83.dbr</v>
      </c>
      <c r="Q85" t="str">
        <f t="shared" si="36"/>
        <v>echo itemCost,500000, &gt;&gt; .\items\materia\class0001\Soldier83.dbr</v>
      </c>
      <c r="R85" t="str">
        <f t="shared" si="37"/>
        <v>echo description,dailCompDescSoldier83, &gt;&gt; .\items\materia\class0001\Soldier83.dbr</v>
      </c>
      <c r="S85" t="str">
        <f t="shared" si="38"/>
        <v>echo itemText,dailCompTextSoldier83, &gt;&gt; .\items\materia\class0001\Soldier83.dbr</v>
      </c>
      <c r="T85" t="str">
        <f t="shared" si="39"/>
        <v>echo augmentSkillLevel1,5, &gt;&gt; .\items\materia\class0001\Soldier83.dbr</v>
      </c>
      <c r="U85" t="str">
        <f t="shared" si="40"/>
        <v>echo augmentSkillName1,records/skills/playerclass01/weaponpool2.dbr, &gt;&gt; .\items\materia\class0001\Soldier83.dbr</v>
      </c>
      <c r="V85" s="5" t="s">
        <v>36</v>
      </c>
      <c r="W85" t="str">
        <f t="shared" si="41"/>
        <v>echo lootName83,DAIL/items/materia/class0001/Soldier83.dbr, &gt;&gt; .\items\loottables\dailoneskill0001.dbr</v>
      </c>
      <c r="X85" t="str">
        <f t="shared" si="42"/>
        <v>echo lootWeight83,1, &gt;&gt; .\items\loottables\dailoneskill0001.dbr</v>
      </c>
      <c r="Y85" s="5" t="s">
        <v>36</v>
      </c>
      <c r="Z85" t="str">
        <f t="shared" si="43"/>
        <v xml:space="preserve"> dailCompDescSoldier83=^pSoldier's Gift of DAIL</v>
      </c>
      <c r="AA85" t="str">
        <f t="shared" si="51"/>
        <v>dailCompTextSoldier83=^oThis feels warm to the touch, almost familiar ^w(This component only fits into the Medal Slot)</v>
      </c>
      <c r="AB85" s="5" t="s">
        <v>36</v>
      </c>
      <c r="AH85">
        <f t="shared" si="53"/>
        <v>80</v>
      </c>
      <c r="AI85">
        <f t="shared" si="47"/>
        <v>30</v>
      </c>
      <c r="AJ85">
        <f t="shared" si="52"/>
        <v>5</v>
      </c>
    </row>
    <row r="86" spans="1:36" x14ac:dyDescent="0.25">
      <c r="A86" s="5" t="s">
        <v>39</v>
      </c>
      <c r="B86" s="5" t="s">
        <v>30</v>
      </c>
      <c r="C86" s="5" t="str">
        <f t="shared" si="30"/>
        <v>description,dailCompDescSoldier84,</v>
      </c>
      <c r="D86" s="5" t="str">
        <f t="shared" si="31"/>
        <v>itemText,dailCompTextSoldier84,</v>
      </c>
      <c r="E86" s="5" t="str">
        <f t="shared" si="48"/>
        <v>augmentSkillLevel1,5,</v>
      </c>
      <c r="F86" s="5" t="str">
        <f t="shared" si="49"/>
        <v>augmentSkillName1,records/skills/playerclass01/warcry1.dbr,</v>
      </c>
      <c r="G86" s="7">
        <f t="shared" si="44"/>
        <v>84</v>
      </c>
      <c r="H86" s="8" t="str">
        <f t="shared" si="45"/>
        <v>Soldier</v>
      </c>
      <c r="I86" s="3" t="s">
        <v>23</v>
      </c>
      <c r="J86" s="8" t="str">
        <f t="shared" si="46"/>
        <v>class0001</v>
      </c>
      <c r="K86" s="8" t="str">
        <f t="shared" si="46"/>
        <v>dailoneskill0001</v>
      </c>
      <c r="L86" s="5" t="str">
        <f t="shared" si="32"/>
        <v>lootName84,DAIL/items/materia/class0001/Soldier84.dbr,</v>
      </c>
      <c r="M86" s="5" t="str">
        <f t="shared" si="33"/>
        <v>lootWeight84,1,</v>
      </c>
      <c r="N86" t="str">
        <f t="shared" si="34"/>
        <v>5</v>
      </c>
      <c r="O86" t="str">
        <f t="shared" si="50"/>
        <v>copy .\dail_base3.dbr .\items\materia\class0001\Soldier84.dbr /y</v>
      </c>
      <c r="P86" t="str">
        <f t="shared" si="35"/>
        <v>echo relicBitmap,items/craftingparts/components/component_a52_bristlyfur_b.tex, &gt;&gt; .\items\materia\class0001\Soldier84.dbr</v>
      </c>
      <c r="Q86" t="str">
        <f t="shared" si="36"/>
        <v>echo itemCost,500000, &gt;&gt; .\items\materia\class0001\Soldier84.dbr</v>
      </c>
      <c r="R86" t="str">
        <f t="shared" si="37"/>
        <v>echo description,dailCompDescSoldier84, &gt;&gt; .\items\materia\class0001\Soldier84.dbr</v>
      </c>
      <c r="S86" t="str">
        <f t="shared" si="38"/>
        <v>echo itemText,dailCompTextSoldier84, &gt;&gt; .\items\materia\class0001\Soldier84.dbr</v>
      </c>
      <c r="T86" t="str">
        <f t="shared" si="39"/>
        <v>echo augmentSkillLevel1,5, &gt;&gt; .\items\materia\class0001\Soldier84.dbr</v>
      </c>
      <c r="U86" t="str">
        <f t="shared" si="40"/>
        <v>echo augmentSkillName1,records/skills/playerclass01/warcry1.dbr, &gt;&gt; .\items\materia\class0001\Soldier84.dbr</v>
      </c>
      <c r="V86" s="5" t="s">
        <v>36</v>
      </c>
      <c r="W86" t="str">
        <f t="shared" si="41"/>
        <v>echo lootName84,DAIL/items/materia/class0001/Soldier84.dbr, &gt;&gt; .\items\loottables\dailoneskill0001.dbr</v>
      </c>
      <c r="X86" t="str">
        <f t="shared" si="42"/>
        <v>echo lootWeight84,1, &gt;&gt; .\items\loottables\dailoneskill0001.dbr</v>
      </c>
      <c r="Y86" s="5" t="s">
        <v>36</v>
      </c>
      <c r="Z86" t="str">
        <f t="shared" si="43"/>
        <v xml:space="preserve"> dailCompDescSoldier84=^pSoldier's Gift of DAIL</v>
      </c>
      <c r="AA86" t="str">
        <f t="shared" si="51"/>
        <v>dailCompTextSoldier84=^oThis feels warm to the touch, almost familiar ^w(This component only fits into the Medal Slot)</v>
      </c>
      <c r="AB86" s="5" t="s">
        <v>36</v>
      </c>
      <c r="AH86">
        <f t="shared" si="53"/>
        <v>81</v>
      </c>
      <c r="AI86">
        <f t="shared" si="47"/>
        <v>26</v>
      </c>
      <c r="AJ86">
        <f t="shared" si="52"/>
        <v>5</v>
      </c>
    </row>
    <row r="87" spans="1:36" x14ac:dyDescent="0.25">
      <c r="A87" s="5" t="s">
        <v>39</v>
      </c>
      <c r="B87" s="5" t="s">
        <v>30</v>
      </c>
      <c r="C87" s="5" t="str">
        <f t="shared" si="30"/>
        <v>description,dailCompDescSoldier85,</v>
      </c>
      <c r="D87" s="5" t="str">
        <f t="shared" si="31"/>
        <v>itemText,dailCompTextSoldier85,</v>
      </c>
      <c r="E87" s="5" t="str">
        <f t="shared" si="48"/>
        <v>augmentSkillLevel1,5,</v>
      </c>
      <c r="F87" s="5" t="str">
        <f t="shared" si="49"/>
        <v>augmentSkillName1,records/skills/playerclass01/warcry1b.dbr,</v>
      </c>
      <c r="G87" s="7">
        <f t="shared" si="44"/>
        <v>85</v>
      </c>
      <c r="H87" s="8" t="str">
        <f t="shared" si="45"/>
        <v>Soldier</v>
      </c>
      <c r="I87" s="3" t="s">
        <v>259</v>
      </c>
      <c r="J87" s="8" t="str">
        <f t="shared" si="46"/>
        <v>class0001</v>
      </c>
      <c r="K87" s="8" t="str">
        <f t="shared" si="46"/>
        <v>dailoneskill0001</v>
      </c>
      <c r="L87" s="5" t="str">
        <f t="shared" si="32"/>
        <v>lootName85,DAIL/items/materia/class0001/Soldier85.dbr,</v>
      </c>
      <c r="M87" s="5" t="str">
        <f t="shared" si="33"/>
        <v>lootWeight85,1,</v>
      </c>
      <c r="N87" t="str">
        <f t="shared" si="34"/>
        <v>5</v>
      </c>
      <c r="O87" t="str">
        <f t="shared" si="50"/>
        <v>copy .\dail_base3.dbr .\items\materia\class0001\Soldier85.dbr /y</v>
      </c>
      <c r="P87" t="str">
        <f t="shared" si="35"/>
        <v>echo relicBitmap,items/craftingparts/components/component_a52_bristlyfur_b.tex, &gt;&gt; .\items\materia\class0001\Soldier85.dbr</v>
      </c>
      <c r="Q87" t="str">
        <f t="shared" si="36"/>
        <v>echo itemCost,500000, &gt;&gt; .\items\materia\class0001\Soldier85.dbr</v>
      </c>
      <c r="R87" t="str">
        <f t="shared" si="37"/>
        <v>echo description,dailCompDescSoldier85, &gt;&gt; .\items\materia\class0001\Soldier85.dbr</v>
      </c>
      <c r="S87" t="str">
        <f t="shared" si="38"/>
        <v>echo itemText,dailCompTextSoldier85, &gt;&gt; .\items\materia\class0001\Soldier85.dbr</v>
      </c>
      <c r="T87" t="str">
        <f t="shared" si="39"/>
        <v>echo augmentSkillLevel1,5, &gt;&gt; .\items\materia\class0001\Soldier85.dbr</v>
      </c>
      <c r="U87" t="str">
        <f t="shared" si="40"/>
        <v>echo augmentSkillName1,records/skills/playerclass01/warcry1b.dbr, &gt;&gt; .\items\materia\class0001\Soldier85.dbr</v>
      </c>
      <c r="V87" s="5" t="s">
        <v>36</v>
      </c>
      <c r="W87" t="str">
        <f t="shared" si="41"/>
        <v>echo lootName85,DAIL/items/materia/class0001/Soldier85.dbr, &gt;&gt; .\items\loottables\dailoneskill0001.dbr</v>
      </c>
      <c r="X87" t="str">
        <f t="shared" si="42"/>
        <v>echo lootWeight85,1, &gt;&gt; .\items\loottables\dailoneskill0001.dbr</v>
      </c>
      <c r="Y87" s="5" t="s">
        <v>36</v>
      </c>
      <c r="Z87" t="str">
        <f t="shared" si="43"/>
        <v xml:space="preserve"> dailCompDescSoldier85=^pSoldier's Gift of DAIL</v>
      </c>
      <c r="AA87" t="str">
        <f t="shared" si="51"/>
        <v>dailCompTextSoldier85=^oThis feels warm to the touch, almost familiar ^w(This component only fits into the Medal Slot)</v>
      </c>
      <c r="AB87" s="5" t="s">
        <v>36</v>
      </c>
      <c r="AH87">
        <f t="shared" si="53"/>
        <v>82</v>
      </c>
      <c r="AI87">
        <f t="shared" si="47"/>
        <v>27</v>
      </c>
      <c r="AJ87">
        <f t="shared" si="52"/>
        <v>5</v>
      </c>
    </row>
    <row r="88" spans="1:36" x14ac:dyDescent="0.25">
      <c r="A88" s="5" t="s">
        <v>39</v>
      </c>
      <c r="B88" s="5" t="s">
        <v>30</v>
      </c>
      <c r="C88" s="5" t="str">
        <f t="shared" si="30"/>
        <v>description,dailCompDescSoldier86,</v>
      </c>
      <c r="D88" s="5" t="str">
        <f t="shared" si="31"/>
        <v>itemText,dailCompTextSoldier86,</v>
      </c>
      <c r="E88" s="5" t="str">
        <f t="shared" si="48"/>
        <v>augmentSkillLevel1,5,</v>
      </c>
      <c r="F88" s="5" t="str">
        <f t="shared" si="49"/>
        <v>augmentSkillName1,records/skills/playerclass01/warcry2.dbr,</v>
      </c>
      <c r="G88" s="7">
        <f t="shared" si="44"/>
        <v>86</v>
      </c>
      <c r="H88" s="8" t="str">
        <f t="shared" si="45"/>
        <v>Soldier</v>
      </c>
      <c r="I88" s="3" t="s">
        <v>260</v>
      </c>
      <c r="J88" s="8" t="str">
        <f t="shared" si="46"/>
        <v>class0001</v>
      </c>
      <c r="K88" s="8" t="str">
        <f t="shared" si="46"/>
        <v>dailoneskill0001</v>
      </c>
      <c r="L88" s="5" t="str">
        <f t="shared" si="32"/>
        <v>lootName86,DAIL/items/materia/class0001/Soldier86.dbr,</v>
      </c>
      <c r="M88" s="5" t="str">
        <f t="shared" si="33"/>
        <v>lootWeight86,1,</v>
      </c>
      <c r="N88" t="str">
        <f t="shared" si="34"/>
        <v>5</v>
      </c>
      <c r="O88" t="str">
        <f t="shared" si="50"/>
        <v>copy .\dail_base3.dbr .\items\materia\class0001\Soldier86.dbr /y</v>
      </c>
      <c r="P88" t="str">
        <f t="shared" si="35"/>
        <v>echo relicBitmap,items/craftingparts/components/component_a52_bristlyfur_b.tex, &gt;&gt; .\items\materia\class0001\Soldier86.dbr</v>
      </c>
      <c r="Q88" t="str">
        <f t="shared" si="36"/>
        <v>echo itemCost,500000, &gt;&gt; .\items\materia\class0001\Soldier86.dbr</v>
      </c>
      <c r="R88" t="str">
        <f t="shared" si="37"/>
        <v>echo description,dailCompDescSoldier86, &gt;&gt; .\items\materia\class0001\Soldier86.dbr</v>
      </c>
      <c r="S88" t="str">
        <f t="shared" si="38"/>
        <v>echo itemText,dailCompTextSoldier86, &gt;&gt; .\items\materia\class0001\Soldier86.dbr</v>
      </c>
      <c r="T88" t="str">
        <f t="shared" si="39"/>
        <v>echo augmentSkillLevel1,5, &gt;&gt; .\items\materia\class0001\Soldier86.dbr</v>
      </c>
      <c r="U88" t="str">
        <f t="shared" si="40"/>
        <v>echo augmentSkillName1,records/skills/playerclass01/warcry2.dbr, &gt;&gt; .\items\materia\class0001\Soldier86.dbr</v>
      </c>
      <c r="V88" s="5" t="s">
        <v>36</v>
      </c>
      <c r="W88" t="str">
        <f t="shared" si="41"/>
        <v>echo lootName86,DAIL/items/materia/class0001/Soldier86.dbr, &gt;&gt; .\items\loottables\dailoneskill0001.dbr</v>
      </c>
      <c r="X88" t="str">
        <f t="shared" si="42"/>
        <v>echo lootWeight86,1, &gt;&gt; .\items\loottables\dailoneskill0001.dbr</v>
      </c>
      <c r="Y88" s="5" t="s">
        <v>36</v>
      </c>
      <c r="Z88" t="str">
        <f t="shared" si="43"/>
        <v xml:space="preserve"> dailCompDescSoldier86=^pSoldier's Gift of DAIL</v>
      </c>
      <c r="AA88" t="str">
        <f t="shared" si="51"/>
        <v>dailCompTextSoldier86=^oThis feels warm to the touch, almost familiar ^w(This component only fits into the Medal Slot)</v>
      </c>
      <c r="AB88" s="5" t="s">
        <v>36</v>
      </c>
      <c r="AH88">
        <f t="shared" si="53"/>
        <v>83</v>
      </c>
      <c r="AI88">
        <f t="shared" si="47"/>
        <v>26</v>
      </c>
      <c r="AJ88">
        <f t="shared" si="52"/>
        <v>5</v>
      </c>
    </row>
    <row r="89" spans="1:36" x14ac:dyDescent="0.25">
      <c r="A89" s="5" t="s">
        <v>39</v>
      </c>
      <c r="B89" s="5" t="s">
        <v>30</v>
      </c>
      <c r="C89" s="5" t="str">
        <f t="shared" si="30"/>
        <v>description,dailCompDescSoldier87,</v>
      </c>
      <c r="D89" s="5" t="str">
        <f t="shared" si="31"/>
        <v>itemText,dailCompTextSoldier87,</v>
      </c>
      <c r="E89" s="5" t="str">
        <f t="shared" si="48"/>
        <v>augmentSkillLevel1,5,</v>
      </c>
      <c r="F89" s="5" t="str">
        <f t="shared" si="49"/>
        <v>augmentSkillName1,records/skills/playerclass01/cadence1b.dbr,</v>
      </c>
      <c r="G89" s="7">
        <f t="shared" si="44"/>
        <v>87</v>
      </c>
      <c r="H89" s="8" t="str">
        <f t="shared" si="45"/>
        <v>Soldier</v>
      </c>
      <c r="I89" s="3" t="s">
        <v>261</v>
      </c>
      <c r="J89" s="8" t="str">
        <f t="shared" si="46"/>
        <v>class0001</v>
      </c>
      <c r="K89" s="8" t="str">
        <f t="shared" si="46"/>
        <v>dailoneskill0001</v>
      </c>
      <c r="L89" s="5" t="str">
        <f t="shared" si="32"/>
        <v>lootName87,DAIL/items/materia/class0001/Soldier87.dbr,</v>
      </c>
      <c r="M89" s="5" t="str">
        <f t="shared" si="33"/>
        <v>lootWeight87,1,</v>
      </c>
      <c r="N89" t="str">
        <f t="shared" si="34"/>
        <v>5</v>
      </c>
      <c r="O89" t="str">
        <f t="shared" si="50"/>
        <v>copy .\dail_base3.dbr .\items\materia\class0001\Soldier87.dbr /y</v>
      </c>
      <c r="P89" t="str">
        <f t="shared" si="35"/>
        <v>echo relicBitmap,items/craftingparts/components/component_a52_bristlyfur_b.tex, &gt;&gt; .\items\materia\class0001\Soldier87.dbr</v>
      </c>
      <c r="Q89" t="str">
        <f t="shared" si="36"/>
        <v>echo itemCost,500000, &gt;&gt; .\items\materia\class0001\Soldier87.dbr</v>
      </c>
      <c r="R89" t="str">
        <f t="shared" si="37"/>
        <v>echo description,dailCompDescSoldier87, &gt;&gt; .\items\materia\class0001\Soldier87.dbr</v>
      </c>
      <c r="S89" t="str">
        <f t="shared" si="38"/>
        <v>echo itemText,dailCompTextSoldier87, &gt;&gt; .\items\materia\class0001\Soldier87.dbr</v>
      </c>
      <c r="T89" t="str">
        <f t="shared" si="39"/>
        <v>echo augmentSkillLevel1,5, &gt;&gt; .\items\materia\class0001\Soldier87.dbr</v>
      </c>
      <c r="U89" t="str">
        <f t="shared" si="40"/>
        <v>echo augmentSkillName1,records/skills/playerclass01/cadence1b.dbr, &gt;&gt; .\items\materia\class0001\Soldier87.dbr</v>
      </c>
      <c r="V89" s="5" t="s">
        <v>36</v>
      </c>
      <c r="W89" t="str">
        <f t="shared" si="41"/>
        <v>echo lootName87,DAIL/items/materia/class0001/Soldier87.dbr, &gt;&gt; .\items\loottables\dailoneskill0001.dbr</v>
      </c>
      <c r="X89" t="str">
        <f t="shared" si="42"/>
        <v>echo lootWeight87,1, &gt;&gt; .\items\loottables\dailoneskill0001.dbr</v>
      </c>
      <c r="Y89" s="5" t="s">
        <v>36</v>
      </c>
      <c r="Z89" t="str">
        <f t="shared" si="43"/>
        <v xml:space="preserve"> dailCompDescSoldier87=^pSoldier's Gift of DAIL</v>
      </c>
      <c r="AA89" t="str">
        <f t="shared" si="51"/>
        <v>dailCompTextSoldier87=^oThis feels warm to the touch, almost familiar ^w(This component only fits into the Medal Slot)</v>
      </c>
      <c r="AB89" s="5" t="s">
        <v>36</v>
      </c>
      <c r="AH89">
        <f t="shared" si="53"/>
        <v>84</v>
      </c>
      <c r="AI89">
        <f t="shared" si="47"/>
        <v>28</v>
      </c>
      <c r="AJ89">
        <f t="shared" si="52"/>
        <v>5</v>
      </c>
    </row>
    <row r="90" spans="1:36" x14ac:dyDescent="0.25">
      <c r="A90" s="5" t="s">
        <v>39</v>
      </c>
      <c r="B90" s="5" t="s">
        <v>30</v>
      </c>
      <c r="C90" s="5" t="str">
        <f t="shared" si="30"/>
        <v>description,dailCompDescSoldier88,</v>
      </c>
      <c r="D90" s="5" t="str">
        <f t="shared" si="31"/>
        <v>itemText,dailCompTextSoldier88,</v>
      </c>
      <c r="E90" s="5" t="str">
        <f t="shared" si="48"/>
        <v>augmentSkillLevel1,5,</v>
      </c>
      <c r="F90" s="5" t="str">
        <f t="shared" si="49"/>
        <v>augmentSkillName1,records/skills/playerclass01/willtolive1.dbr,</v>
      </c>
      <c r="G90" s="7">
        <f t="shared" si="44"/>
        <v>88</v>
      </c>
      <c r="H90" s="8" t="str">
        <f t="shared" si="45"/>
        <v>Soldier</v>
      </c>
      <c r="I90" s="3" t="s">
        <v>262</v>
      </c>
      <c r="J90" s="8" t="str">
        <f t="shared" si="46"/>
        <v>class0001</v>
      </c>
      <c r="K90" s="8" t="str">
        <f t="shared" si="46"/>
        <v>dailoneskill0001</v>
      </c>
      <c r="L90" s="5" t="str">
        <f t="shared" si="32"/>
        <v>lootName88,DAIL/items/materia/class0001/Soldier88.dbr,</v>
      </c>
      <c r="M90" s="5" t="str">
        <f t="shared" si="33"/>
        <v>lootWeight88,1,</v>
      </c>
      <c r="N90" t="str">
        <f t="shared" si="34"/>
        <v>5</v>
      </c>
      <c r="O90" t="str">
        <f t="shared" si="50"/>
        <v>copy .\dail_base3.dbr .\items\materia\class0001\Soldier88.dbr /y</v>
      </c>
      <c r="P90" t="str">
        <f t="shared" si="35"/>
        <v>echo relicBitmap,items/craftingparts/components/component_a52_bristlyfur_b.tex, &gt;&gt; .\items\materia\class0001\Soldier88.dbr</v>
      </c>
      <c r="Q90" t="str">
        <f t="shared" si="36"/>
        <v>echo itemCost,500000, &gt;&gt; .\items\materia\class0001\Soldier88.dbr</v>
      </c>
      <c r="R90" t="str">
        <f t="shared" si="37"/>
        <v>echo description,dailCompDescSoldier88, &gt;&gt; .\items\materia\class0001\Soldier88.dbr</v>
      </c>
      <c r="S90" t="str">
        <f t="shared" si="38"/>
        <v>echo itemText,dailCompTextSoldier88, &gt;&gt; .\items\materia\class0001\Soldier88.dbr</v>
      </c>
      <c r="T90" t="str">
        <f t="shared" si="39"/>
        <v>echo augmentSkillLevel1,5, &gt;&gt; .\items\materia\class0001\Soldier88.dbr</v>
      </c>
      <c r="U90" t="str">
        <f t="shared" si="40"/>
        <v>echo augmentSkillName1,records/skills/playerclass01/willtolive1.dbr, &gt;&gt; .\items\materia\class0001\Soldier88.dbr</v>
      </c>
      <c r="V90" s="5" t="s">
        <v>36</v>
      </c>
      <c r="W90" t="str">
        <f t="shared" si="41"/>
        <v>echo lootName88,DAIL/items/materia/class0001/Soldier88.dbr, &gt;&gt; .\items\loottables\dailoneskill0001.dbr</v>
      </c>
      <c r="X90" t="str">
        <f t="shared" si="42"/>
        <v>echo lootWeight88,1, &gt;&gt; .\items\loottables\dailoneskill0001.dbr</v>
      </c>
      <c r="Y90" s="5" t="s">
        <v>36</v>
      </c>
      <c r="Z90" t="str">
        <f t="shared" si="43"/>
        <v xml:space="preserve"> dailCompDescSoldier88=^pSoldier's Gift of DAIL</v>
      </c>
      <c r="AA90" t="str">
        <f t="shared" si="51"/>
        <v>dailCompTextSoldier88=^oThis feels warm to the touch, almost familiar ^w(This component only fits into the Medal Slot)</v>
      </c>
      <c r="AB90" s="5" t="s">
        <v>36</v>
      </c>
      <c r="AH90">
        <f t="shared" si="53"/>
        <v>85</v>
      </c>
      <c r="AI90">
        <f t="shared" si="47"/>
        <v>30</v>
      </c>
      <c r="AJ90">
        <f t="shared" si="52"/>
        <v>5</v>
      </c>
    </row>
    <row r="91" spans="1:36" x14ac:dyDescent="0.25">
      <c r="A91" s="5" t="s">
        <v>39</v>
      </c>
      <c r="B91" s="5" t="s">
        <v>30</v>
      </c>
      <c r="C91" s="5" t="str">
        <f t="shared" si="30"/>
        <v>description,dailCompDescSoldier89,</v>
      </c>
      <c r="D91" s="5" t="str">
        <f t="shared" si="31"/>
        <v>itemText,dailCompTextSoldier89,</v>
      </c>
      <c r="E91" s="5" t="str">
        <f t="shared" si="48"/>
        <v>augmentSkillLevel1,5,</v>
      </c>
      <c r="F91" s="5" t="str">
        <f t="shared" si="49"/>
        <v>augmentSkillName1,records/skills/playerclass01/overguard1.dbr,</v>
      </c>
      <c r="G91" s="7">
        <f t="shared" si="44"/>
        <v>89</v>
      </c>
      <c r="H91" s="8" t="str">
        <f t="shared" si="45"/>
        <v>Soldier</v>
      </c>
      <c r="I91" s="3" t="s">
        <v>17</v>
      </c>
      <c r="J91" s="8" t="str">
        <f t="shared" si="46"/>
        <v>class0001</v>
      </c>
      <c r="K91" s="8" t="str">
        <f t="shared" si="46"/>
        <v>dailoneskill0001</v>
      </c>
      <c r="L91" s="5" t="str">
        <f t="shared" si="32"/>
        <v>lootName89,DAIL/items/materia/class0001/Soldier89.dbr,</v>
      </c>
      <c r="M91" s="5" t="str">
        <f t="shared" si="33"/>
        <v>lootWeight89,1,</v>
      </c>
      <c r="N91" t="str">
        <f t="shared" si="34"/>
        <v>5</v>
      </c>
      <c r="O91" t="str">
        <f t="shared" si="50"/>
        <v>copy .\dail_base3.dbr .\items\materia\class0001\Soldier89.dbr /y</v>
      </c>
      <c r="P91" t="str">
        <f t="shared" si="35"/>
        <v>echo relicBitmap,items/craftingparts/components/component_a52_bristlyfur_b.tex, &gt;&gt; .\items\materia\class0001\Soldier89.dbr</v>
      </c>
      <c r="Q91" t="str">
        <f t="shared" si="36"/>
        <v>echo itemCost,500000, &gt;&gt; .\items\materia\class0001\Soldier89.dbr</v>
      </c>
      <c r="R91" t="str">
        <f t="shared" si="37"/>
        <v>echo description,dailCompDescSoldier89, &gt;&gt; .\items\materia\class0001\Soldier89.dbr</v>
      </c>
      <c r="S91" t="str">
        <f t="shared" si="38"/>
        <v>echo itemText,dailCompTextSoldier89, &gt;&gt; .\items\materia\class0001\Soldier89.dbr</v>
      </c>
      <c r="T91" t="str">
        <f t="shared" si="39"/>
        <v>echo augmentSkillLevel1,5, &gt;&gt; .\items\materia\class0001\Soldier89.dbr</v>
      </c>
      <c r="U91" t="str">
        <f t="shared" si="40"/>
        <v>echo augmentSkillName1,records/skills/playerclass01/overguard1.dbr, &gt;&gt; .\items\materia\class0001\Soldier89.dbr</v>
      </c>
      <c r="V91" s="5" t="s">
        <v>36</v>
      </c>
      <c r="W91" t="str">
        <f t="shared" si="41"/>
        <v>echo lootName89,DAIL/items/materia/class0001/Soldier89.dbr, &gt;&gt; .\items\loottables\dailoneskill0001.dbr</v>
      </c>
      <c r="X91" t="str">
        <f t="shared" si="42"/>
        <v>echo lootWeight89,1, &gt;&gt; .\items\loottables\dailoneskill0001.dbr</v>
      </c>
      <c r="Y91" s="5" t="s">
        <v>36</v>
      </c>
      <c r="Z91" t="str">
        <f t="shared" si="43"/>
        <v xml:space="preserve"> dailCompDescSoldier89=^pSoldier's Gift of DAIL</v>
      </c>
      <c r="AA91" t="str">
        <f t="shared" si="51"/>
        <v>dailCompTextSoldier89=^oThis feels warm to the touch, almost familiar ^w(This component only fits into the Medal Slot)</v>
      </c>
      <c r="AB91" s="5" t="s">
        <v>36</v>
      </c>
      <c r="AH91">
        <f t="shared" si="53"/>
        <v>86</v>
      </c>
      <c r="AI91">
        <f t="shared" si="47"/>
        <v>29</v>
      </c>
      <c r="AJ91">
        <f t="shared" si="52"/>
        <v>5</v>
      </c>
    </row>
    <row r="92" spans="1:36" x14ac:dyDescent="0.25">
      <c r="A92" s="5" t="s">
        <v>39</v>
      </c>
      <c r="B92" s="5" t="s">
        <v>30</v>
      </c>
      <c r="C92" s="5" t="str">
        <f t="shared" si="30"/>
        <v>description,dailCompDescSoldier90,</v>
      </c>
      <c r="D92" s="5" t="str">
        <f t="shared" si="31"/>
        <v>itemText,dailCompTextSoldier90,</v>
      </c>
      <c r="E92" s="5" t="str">
        <f t="shared" si="48"/>
        <v>augmentSkillLevel1,5,</v>
      </c>
      <c r="F92" s="5" t="str">
        <f t="shared" si="49"/>
        <v>augmentSkillName1,records/skills/playerclass01/fightingspirit1.dbr,</v>
      </c>
      <c r="G92" s="7">
        <f t="shared" si="44"/>
        <v>90</v>
      </c>
      <c r="H92" s="8" t="str">
        <f t="shared" si="45"/>
        <v>Soldier</v>
      </c>
      <c r="I92" s="3" t="s">
        <v>16</v>
      </c>
      <c r="J92" s="8" t="str">
        <f t="shared" si="46"/>
        <v>class0001</v>
      </c>
      <c r="K92" s="8" t="str">
        <f t="shared" si="46"/>
        <v>dailoneskill0001</v>
      </c>
      <c r="L92" s="5" t="str">
        <f t="shared" si="32"/>
        <v>lootName90,DAIL/items/materia/class0001/Soldier90.dbr,</v>
      </c>
      <c r="M92" s="5" t="str">
        <f t="shared" si="33"/>
        <v>lootWeight90,1,</v>
      </c>
      <c r="N92" t="str">
        <f t="shared" si="34"/>
        <v>5</v>
      </c>
      <c r="O92" t="str">
        <f t="shared" si="50"/>
        <v>copy .\dail_base3.dbr .\items\materia\class0001\Soldier90.dbr /y</v>
      </c>
      <c r="P92" t="str">
        <f t="shared" si="35"/>
        <v>echo relicBitmap,items/craftingparts/components/component_a52_bristlyfur_b.tex, &gt;&gt; .\items\materia\class0001\Soldier90.dbr</v>
      </c>
      <c r="Q92" t="str">
        <f t="shared" si="36"/>
        <v>echo itemCost,500000, &gt;&gt; .\items\materia\class0001\Soldier90.dbr</v>
      </c>
      <c r="R92" t="str">
        <f t="shared" si="37"/>
        <v>echo description,dailCompDescSoldier90, &gt;&gt; .\items\materia\class0001\Soldier90.dbr</v>
      </c>
      <c r="S92" t="str">
        <f t="shared" si="38"/>
        <v>echo itemText,dailCompTextSoldier90, &gt;&gt; .\items\materia\class0001\Soldier90.dbr</v>
      </c>
      <c r="T92" t="str">
        <f t="shared" si="39"/>
        <v>echo augmentSkillLevel1,5, &gt;&gt; .\items\materia\class0001\Soldier90.dbr</v>
      </c>
      <c r="U92" t="str">
        <f t="shared" si="40"/>
        <v>echo augmentSkillName1,records/skills/playerclass01/fightingspirit1.dbr, &gt;&gt; .\items\materia\class0001\Soldier90.dbr</v>
      </c>
      <c r="V92" s="5" t="s">
        <v>36</v>
      </c>
      <c r="W92" t="str">
        <f t="shared" si="41"/>
        <v>echo lootName90,DAIL/items/materia/class0001/Soldier90.dbr, &gt;&gt; .\items\loottables\dailoneskill0001.dbr</v>
      </c>
      <c r="X92" t="str">
        <f t="shared" si="42"/>
        <v>echo lootWeight90,1, &gt;&gt; .\items\loottables\dailoneskill0001.dbr</v>
      </c>
      <c r="Y92" s="5" t="s">
        <v>36</v>
      </c>
      <c r="Z92" t="str">
        <f t="shared" si="43"/>
        <v xml:space="preserve"> dailCompDescSoldier90=^pSoldier's Gift of DAIL</v>
      </c>
      <c r="AA92" t="str">
        <f t="shared" si="51"/>
        <v>dailCompTextSoldier90=^oThis feels warm to the touch, almost familiar ^w(This component only fits into the Medal Slot)</v>
      </c>
      <c r="AB92" s="5" t="s">
        <v>36</v>
      </c>
      <c r="AH92">
        <f t="shared" si="53"/>
        <v>87</v>
      </c>
      <c r="AI92">
        <f t="shared" si="47"/>
        <v>34</v>
      </c>
      <c r="AJ92">
        <f t="shared" si="52"/>
        <v>5</v>
      </c>
    </row>
    <row r="93" spans="1:36" x14ac:dyDescent="0.25">
      <c r="A93" s="5" t="s">
        <v>39</v>
      </c>
      <c r="B93" s="5" t="s">
        <v>30</v>
      </c>
      <c r="C93" s="5" t="str">
        <f t="shared" si="30"/>
        <v>description,dailCompDescSoldier91,</v>
      </c>
      <c r="D93" s="5" t="str">
        <f t="shared" si="31"/>
        <v>itemText,dailCompTextSoldier91,</v>
      </c>
      <c r="E93" s="5" t="str">
        <f t="shared" si="48"/>
        <v>augmentSkillLevel1,5,</v>
      </c>
      <c r="F93" s="5" t="str">
        <f t="shared" si="49"/>
        <v>augmentSkillName1,records/skills/playerclass01/cadence2.dbr,</v>
      </c>
      <c r="G93" s="7">
        <f t="shared" si="44"/>
        <v>91</v>
      </c>
      <c r="H93" s="8" t="str">
        <f t="shared" si="45"/>
        <v>Soldier</v>
      </c>
      <c r="I93" s="3" t="s">
        <v>263</v>
      </c>
      <c r="J93" s="8" t="str">
        <f t="shared" si="46"/>
        <v>class0001</v>
      </c>
      <c r="K93" s="8" t="str">
        <f t="shared" si="46"/>
        <v>dailoneskill0001</v>
      </c>
      <c r="L93" s="5" t="str">
        <f t="shared" si="32"/>
        <v>lootName91,DAIL/items/materia/class0001/Soldier91.dbr,</v>
      </c>
      <c r="M93" s="5" t="str">
        <f t="shared" si="33"/>
        <v>lootWeight91,1,</v>
      </c>
      <c r="N93" t="str">
        <f t="shared" si="34"/>
        <v>5</v>
      </c>
      <c r="O93" t="str">
        <f t="shared" si="50"/>
        <v>copy .\dail_base3.dbr .\items\materia\class0001\Soldier91.dbr /y</v>
      </c>
      <c r="P93" t="str">
        <f t="shared" si="35"/>
        <v>echo relicBitmap,items/craftingparts/components/component_a52_bristlyfur_b.tex, &gt;&gt; .\items\materia\class0001\Soldier91.dbr</v>
      </c>
      <c r="Q93" t="str">
        <f t="shared" si="36"/>
        <v>echo itemCost,500000, &gt;&gt; .\items\materia\class0001\Soldier91.dbr</v>
      </c>
      <c r="R93" t="str">
        <f t="shared" si="37"/>
        <v>echo description,dailCompDescSoldier91, &gt;&gt; .\items\materia\class0001\Soldier91.dbr</v>
      </c>
      <c r="S93" t="str">
        <f t="shared" si="38"/>
        <v>echo itemText,dailCompTextSoldier91, &gt;&gt; .\items\materia\class0001\Soldier91.dbr</v>
      </c>
      <c r="T93" t="str">
        <f t="shared" si="39"/>
        <v>echo augmentSkillLevel1,5, &gt;&gt; .\items\materia\class0001\Soldier91.dbr</v>
      </c>
      <c r="U93" t="str">
        <f t="shared" si="40"/>
        <v>echo augmentSkillName1,records/skills/playerclass01/cadence2.dbr, &gt;&gt; .\items\materia\class0001\Soldier91.dbr</v>
      </c>
      <c r="V93" s="5" t="s">
        <v>36</v>
      </c>
      <c r="W93" t="str">
        <f t="shared" si="41"/>
        <v>echo lootName91,DAIL/items/materia/class0001/Soldier91.dbr, &gt;&gt; .\items\loottables\dailoneskill0001.dbr</v>
      </c>
      <c r="X93" t="str">
        <f t="shared" si="42"/>
        <v>echo lootWeight91,1, &gt;&gt; .\items\loottables\dailoneskill0001.dbr</v>
      </c>
      <c r="Y93" s="5" t="s">
        <v>36</v>
      </c>
      <c r="Z93" t="str">
        <f t="shared" si="43"/>
        <v xml:space="preserve"> dailCompDescSoldier91=^pSoldier's Gift of DAIL</v>
      </c>
      <c r="AA93" t="str">
        <f t="shared" si="51"/>
        <v>dailCompTextSoldier91=^oThis feels warm to the touch, almost familiar ^w(This component only fits into the Medal Slot)</v>
      </c>
      <c r="AB93" s="5" t="s">
        <v>36</v>
      </c>
      <c r="AH93">
        <f t="shared" si="53"/>
        <v>88</v>
      </c>
      <c r="AI93">
        <f t="shared" si="47"/>
        <v>27</v>
      </c>
      <c r="AJ93">
        <f t="shared" si="52"/>
        <v>5</v>
      </c>
    </row>
    <row r="94" spans="1:36" x14ac:dyDescent="0.25">
      <c r="A94" s="5" t="s">
        <v>39</v>
      </c>
      <c r="B94" s="5" t="s">
        <v>30</v>
      </c>
      <c r="C94" s="5" t="str">
        <f t="shared" si="30"/>
        <v>description,dailCompDescSoldier92,</v>
      </c>
      <c r="D94" s="5" t="str">
        <f t="shared" si="31"/>
        <v>itemText,dailCompTextSoldier92,</v>
      </c>
      <c r="E94" s="5" t="str">
        <f t="shared" si="48"/>
        <v>augmentSkillLevel1,5,</v>
      </c>
      <c r="F94" s="5" t="str">
        <f t="shared" si="49"/>
        <v>augmentSkillName1,records/skills/playerclass01/cadence3.dbr,</v>
      </c>
      <c r="G94" s="7">
        <f t="shared" si="44"/>
        <v>92</v>
      </c>
      <c r="H94" s="8" t="str">
        <f t="shared" si="45"/>
        <v>Soldier</v>
      </c>
      <c r="I94" s="3" t="s">
        <v>264</v>
      </c>
      <c r="J94" s="8" t="str">
        <f t="shared" si="46"/>
        <v>class0001</v>
      </c>
      <c r="K94" s="8" t="str">
        <f t="shared" si="46"/>
        <v>dailoneskill0001</v>
      </c>
      <c r="L94" s="5" t="str">
        <f t="shared" si="32"/>
        <v>lootName92,DAIL/items/materia/class0001/Soldier92.dbr,</v>
      </c>
      <c r="M94" s="5" t="str">
        <f t="shared" si="33"/>
        <v>lootWeight92,1,</v>
      </c>
      <c r="N94" t="str">
        <f t="shared" si="34"/>
        <v>5</v>
      </c>
      <c r="O94" t="str">
        <f t="shared" si="50"/>
        <v>copy .\dail_base3.dbr .\items\materia\class0001\Soldier92.dbr /y</v>
      </c>
      <c r="P94" t="str">
        <f t="shared" si="35"/>
        <v>echo relicBitmap,items/craftingparts/components/component_a52_bristlyfur_b.tex, &gt;&gt; .\items\materia\class0001\Soldier92.dbr</v>
      </c>
      <c r="Q94" t="str">
        <f t="shared" si="36"/>
        <v>echo itemCost,500000, &gt;&gt; .\items\materia\class0001\Soldier92.dbr</v>
      </c>
      <c r="R94" t="str">
        <f t="shared" si="37"/>
        <v>echo description,dailCompDescSoldier92, &gt;&gt; .\items\materia\class0001\Soldier92.dbr</v>
      </c>
      <c r="S94" t="str">
        <f t="shared" si="38"/>
        <v>echo itemText,dailCompTextSoldier92, &gt;&gt; .\items\materia\class0001\Soldier92.dbr</v>
      </c>
      <c r="T94" t="str">
        <f t="shared" si="39"/>
        <v>echo augmentSkillLevel1,5, &gt;&gt; .\items\materia\class0001\Soldier92.dbr</v>
      </c>
      <c r="U94" t="str">
        <f t="shared" si="40"/>
        <v>echo augmentSkillName1,records/skills/playerclass01/cadence3.dbr, &gt;&gt; .\items\materia\class0001\Soldier92.dbr</v>
      </c>
      <c r="V94" s="5" t="s">
        <v>36</v>
      </c>
      <c r="W94" t="str">
        <f t="shared" si="41"/>
        <v>echo lootName92,DAIL/items/materia/class0001/Soldier92.dbr, &gt;&gt; .\items\loottables\dailoneskill0001.dbr</v>
      </c>
      <c r="X94" t="str">
        <f t="shared" si="42"/>
        <v>echo lootWeight92,1, &gt;&gt; .\items\loottables\dailoneskill0001.dbr</v>
      </c>
      <c r="Y94" s="5" t="s">
        <v>36</v>
      </c>
      <c r="Z94" t="str">
        <f t="shared" si="43"/>
        <v xml:space="preserve"> dailCompDescSoldier92=^pSoldier's Gift of DAIL</v>
      </c>
      <c r="AA94" t="str">
        <f t="shared" si="51"/>
        <v>dailCompTextSoldier92=^oThis feels warm to the touch, almost familiar ^w(This component only fits into the Medal Slot)</v>
      </c>
      <c r="AB94" s="5" t="s">
        <v>36</v>
      </c>
      <c r="AH94">
        <f t="shared" si="53"/>
        <v>89</v>
      </c>
      <c r="AI94">
        <f t="shared" si="47"/>
        <v>27</v>
      </c>
      <c r="AJ94">
        <f t="shared" si="52"/>
        <v>5</v>
      </c>
    </row>
    <row r="95" spans="1:36" x14ac:dyDescent="0.25">
      <c r="A95" s="5" t="s">
        <v>39</v>
      </c>
      <c r="B95" s="5" t="s">
        <v>30</v>
      </c>
      <c r="C95" s="5" t="str">
        <f t="shared" si="30"/>
        <v>description,dailCompDescSoldier93,</v>
      </c>
      <c r="D95" s="5" t="str">
        <f t="shared" si="31"/>
        <v>itemText,dailCompTextSoldier93,</v>
      </c>
      <c r="E95" s="5" t="str">
        <f t="shared" si="48"/>
        <v>augmentSkillLevel1,5,</v>
      </c>
      <c r="F95" s="5" t="str">
        <f t="shared" si="49"/>
        <v>augmentSkillName1,records/skills/playerclass01/passive1.dbr,</v>
      </c>
      <c r="G95" s="7">
        <f t="shared" si="44"/>
        <v>93</v>
      </c>
      <c r="H95" s="8" t="str">
        <f t="shared" si="45"/>
        <v>Soldier</v>
      </c>
      <c r="I95" s="3" t="s">
        <v>18</v>
      </c>
      <c r="J95" s="8" t="str">
        <f t="shared" si="46"/>
        <v>class0001</v>
      </c>
      <c r="K95" s="8" t="str">
        <f t="shared" si="46"/>
        <v>dailoneskill0001</v>
      </c>
      <c r="L95" s="5" t="str">
        <f t="shared" si="32"/>
        <v>lootName93,DAIL/items/materia/class0001/Soldier93.dbr,</v>
      </c>
      <c r="M95" s="5" t="str">
        <f t="shared" si="33"/>
        <v>lootWeight93,1,</v>
      </c>
      <c r="N95" t="str">
        <f t="shared" si="34"/>
        <v>5</v>
      </c>
      <c r="O95" t="str">
        <f t="shared" si="50"/>
        <v>copy .\dail_base3.dbr .\items\materia\class0001\Soldier93.dbr /y</v>
      </c>
      <c r="P95" t="str">
        <f t="shared" si="35"/>
        <v>echo relicBitmap,items/craftingparts/components/component_a52_bristlyfur_b.tex, &gt;&gt; .\items\materia\class0001\Soldier93.dbr</v>
      </c>
      <c r="Q95" t="str">
        <f t="shared" si="36"/>
        <v>echo itemCost,500000, &gt;&gt; .\items\materia\class0001\Soldier93.dbr</v>
      </c>
      <c r="R95" t="str">
        <f t="shared" si="37"/>
        <v>echo description,dailCompDescSoldier93, &gt;&gt; .\items\materia\class0001\Soldier93.dbr</v>
      </c>
      <c r="S95" t="str">
        <f t="shared" si="38"/>
        <v>echo itemText,dailCompTextSoldier93, &gt;&gt; .\items\materia\class0001\Soldier93.dbr</v>
      </c>
      <c r="T95" t="str">
        <f t="shared" si="39"/>
        <v>echo augmentSkillLevel1,5, &gt;&gt; .\items\materia\class0001\Soldier93.dbr</v>
      </c>
      <c r="U95" t="str">
        <f t="shared" si="40"/>
        <v>echo augmentSkillName1,records/skills/playerclass01/passive1.dbr, &gt;&gt; .\items\materia\class0001\Soldier93.dbr</v>
      </c>
      <c r="V95" s="5" t="s">
        <v>36</v>
      </c>
      <c r="W95" t="str">
        <f t="shared" si="41"/>
        <v>echo lootName93,DAIL/items/materia/class0001/Soldier93.dbr, &gt;&gt; .\items\loottables\dailoneskill0001.dbr</v>
      </c>
      <c r="X95" t="str">
        <f t="shared" si="42"/>
        <v>echo lootWeight93,1, &gt;&gt; .\items\loottables\dailoneskill0001.dbr</v>
      </c>
      <c r="Y95" s="5" t="s">
        <v>36</v>
      </c>
      <c r="Z95" t="str">
        <f t="shared" si="43"/>
        <v xml:space="preserve"> dailCompDescSoldier93=^pSoldier's Gift of DAIL</v>
      </c>
      <c r="AA95" t="str">
        <f t="shared" si="51"/>
        <v>dailCompTextSoldier93=^oThis feels warm to the touch, almost familiar ^w(This component only fits into the Medal Slot)</v>
      </c>
      <c r="AB95" s="5" t="s">
        <v>36</v>
      </c>
      <c r="AH95">
        <f t="shared" si="53"/>
        <v>90</v>
      </c>
      <c r="AI95">
        <f t="shared" si="47"/>
        <v>27</v>
      </c>
      <c r="AJ95">
        <f t="shared" si="52"/>
        <v>5</v>
      </c>
    </row>
    <row r="96" spans="1:36" x14ac:dyDescent="0.25">
      <c r="A96" s="5" t="s">
        <v>39</v>
      </c>
      <c r="B96" s="5" t="s">
        <v>30</v>
      </c>
      <c r="C96" s="5" t="str">
        <f t="shared" si="30"/>
        <v>description,dailCompDescSoldier94,</v>
      </c>
      <c r="D96" s="5" t="str">
        <f t="shared" si="31"/>
        <v>itemText,dailCompTextSoldier94,</v>
      </c>
      <c r="E96" s="5" t="str">
        <f t="shared" si="48"/>
        <v>augmentSkillLevel1,5,</v>
      </c>
      <c r="F96" s="5" t="str">
        <f t="shared" si="49"/>
        <v>augmentSkillName1,records/skills/playerclass01/passiveshield.dbr,</v>
      </c>
      <c r="G96" s="7">
        <f t="shared" si="44"/>
        <v>94</v>
      </c>
      <c r="H96" s="8" t="str">
        <f t="shared" si="45"/>
        <v>Soldier</v>
      </c>
      <c r="I96" s="3" t="s">
        <v>19</v>
      </c>
      <c r="J96" s="8" t="str">
        <f t="shared" si="46"/>
        <v>class0001</v>
      </c>
      <c r="K96" s="8" t="str">
        <f t="shared" si="46"/>
        <v>dailoneskill0001</v>
      </c>
      <c r="L96" s="5" t="str">
        <f t="shared" si="32"/>
        <v>lootName94,DAIL/items/materia/class0001/Soldier94.dbr,</v>
      </c>
      <c r="M96" s="5" t="str">
        <f t="shared" si="33"/>
        <v>lootWeight94,1,</v>
      </c>
      <c r="N96" t="str">
        <f t="shared" si="34"/>
        <v>5</v>
      </c>
      <c r="O96" t="str">
        <f t="shared" si="50"/>
        <v>copy .\dail_base3.dbr .\items\materia\class0001\Soldier94.dbr /y</v>
      </c>
      <c r="P96" t="str">
        <f t="shared" si="35"/>
        <v>echo relicBitmap,items/craftingparts/components/component_a52_bristlyfur_b.tex, &gt;&gt; .\items\materia\class0001\Soldier94.dbr</v>
      </c>
      <c r="Q96" t="str">
        <f t="shared" si="36"/>
        <v>echo itemCost,500000, &gt;&gt; .\items\materia\class0001\Soldier94.dbr</v>
      </c>
      <c r="R96" t="str">
        <f t="shared" si="37"/>
        <v>echo description,dailCompDescSoldier94, &gt;&gt; .\items\materia\class0001\Soldier94.dbr</v>
      </c>
      <c r="S96" t="str">
        <f t="shared" si="38"/>
        <v>echo itemText,dailCompTextSoldier94, &gt;&gt; .\items\materia\class0001\Soldier94.dbr</v>
      </c>
      <c r="T96" t="str">
        <f t="shared" si="39"/>
        <v>echo augmentSkillLevel1,5, &gt;&gt; .\items\materia\class0001\Soldier94.dbr</v>
      </c>
      <c r="U96" t="str">
        <f t="shared" si="40"/>
        <v>echo augmentSkillName1,records/skills/playerclass01/passiveshield.dbr, &gt;&gt; .\items\materia\class0001\Soldier94.dbr</v>
      </c>
      <c r="V96" s="5" t="s">
        <v>36</v>
      </c>
      <c r="W96" t="str">
        <f t="shared" si="41"/>
        <v>echo lootName94,DAIL/items/materia/class0001/Soldier94.dbr, &gt;&gt; .\items\loottables\dailoneskill0001.dbr</v>
      </c>
      <c r="X96" t="str">
        <f t="shared" si="42"/>
        <v>echo lootWeight94,1, &gt;&gt; .\items\loottables\dailoneskill0001.dbr</v>
      </c>
      <c r="Y96" s="5" t="s">
        <v>36</v>
      </c>
      <c r="Z96" t="str">
        <f t="shared" si="43"/>
        <v xml:space="preserve"> dailCompDescSoldier94=^pSoldier's Gift of DAIL</v>
      </c>
      <c r="AA96" t="str">
        <f t="shared" si="51"/>
        <v>dailCompTextSoldier94=^oThis feels warm to the touch, almost familiar ^w(This component only fits into the Medal Slot)</v>
      </c>
      <c r="AB96" s="5" t="s">
        <v>36</v>
      </c>
      <c r="AH96">
        <f t="shared" si="53"/>
        <v>91</v>
      </c>
      <c r="AI96">
        <f t="shared" si="47"/>
        <v>32</v>
      </c>
      <c r="AJ96">
        <f t="shared" si="52"/>
        <v>5</v>
      </c>
    </row>
    <row r="97" spans="1:36" x14ac:dyDescent="0.25">
      <c r="A97" s="5" t="s">
        <v>39</v>
      </c>
      <c r="B97" s="5" t="s">
        <v>30</v>
      </c>
      <c r="C97" s="5" t="str">
        <f t="shared" si="30"/>
        <v>description,dailCompDescSoldier95,</v>
      </c>
      <c r="D97" s="5" t="str">
        <f t="shared" si="31"/>
        <v>itemText,dailCompTextSoldier95,</v>
      </c>
      <c r="E97" s="5" t="str">
        <f t="shared" si="48"/>
        <v>augmentSkillLevel1,5,</v>
      </c>
      <c r="F97" s="5" t="str">
        <f t="shared" si="49"/>
        <v>augmentSkillName1,records/skills/playerclass01/passive2.dbr,</v>
      </c>
      <c r="G97" s="7">
        <f t="shared" si="44"/>
        <v>95</v>
      </c>
      <c r="H97" s="8" t="str">
        <f t="shared" si="45"/>
        <v>Soldier</v>
      </c>
      <c r="I97" s="3" t="s">
        <v>265</v>
      </c>
      <c r="J97" s="8" t="str">
        <f t="shared" si="46"/>
        <v>class0001</v>
      </c>
      <c r="K97" s="8" t="str">
        <f t="shared" si="46"/>
        <v>dailoneskill0001</v>
      </c>
      <c r="L97" s="5" t="str">
        <f t="shared" si="32"/>
        <v>lootName95,DAIL/items/materia/class0001/Soldier95.dbr,</v>
      </c>
      <c r="M97" s="5" t="str">
        <f t="shared" si="33"/>
        <v>lootWeight95,1,</v>
      </c>
      <c r="N97" t="str">
        <f t="shared" si="34"/>
        <v>5</v>
      </c>
      <c r="O97" t="str">
        <f t="shared" si="50"/>
        <v>copy .\dail_base3.dbr .\items\materia\class0001\Soldier95.dbr /y</v>
      </c>
      <c r="P97" t="str">
        <f t="shared" si="35"/>
        <v>echo relicBitmap,items/craftingparts/components/component_a52_bristlyfur_b.tex, &gt;&gt; .\items\materia\class0001\Soldier95.dbr</v>
      </c>
      <c r="Q97" t="str">
        <f t="shared" si="36"/>
        <v>echo itemCost,500000, &gt;&gt; .\items\materia\class0001\Soldier95.dbr</v>
      </c>
      <c r="R97" t="str">
        <f t="shared" si="37"/>
        <v>echo description,dailCompDescSoldier95, &gt;&gt; .\items\materia\class0001\Soldier95.dbr</v>
      </c>
      <c r="S97" t="str">
        <f t="shared" si="38"/>
        <v>echo itemText,dailCompTextSoldier95, &gt;&gt; .\items\materia\class0001\Soldier95.dbr</v>
      </c>
      <c r="T97" t="str">
        <f t="shared" si="39"/>
        <v>echo augmentSkillLevel1,5, &gt;&gt; .\items\materia\class0001\Soldier95.dbr</v>
      </c>
      <c r="U97" t="str">
        <f t="shared" si="40"/>
        <v>echo augmentSkillName1,records/skills/playerclass01/passive2.dbr, &gt;&gt; .\items\materia\class0001\Soldier95.dbr</v>
      </c>
      <c r="V97" s="5" t="s">
        <v>36</v>
      </c>
      <c r="W97" t="str">
        <f t="shared" si="41"/>
        <v>echo lootName95,DAIL/items/materia/class0001/Soldier95.dbr, &gt;&gt; .\items\loottables\dailoneskill0001.dbr</v>
      </c>
      <c r="X97" t="str">
        <f t="shared" si="42"/>
        <v>echo lootWeight95,1, &gt;&gt; .\items\loottables\dailoneskill0001.dbr</v>
      </c>
      <c r="Y97" s="5" t="s">
        <v>36</v>
      </c>
      <c r="Z97" t="str">
        <f t="shared" si="43"/>
        <v xml:space="preserve"> dailCompDescSoldier95=^pSoldier's Gift of DAIL</v>
      </c>
      <c r="AA97" t="str">
        <f t="shared" si="51"/>
        <v>dailCompTextSoldier95=^oThis feels warm to the touch, almost familiar ^w(This component only fits into the Medal Slot)</v>
      </c>
      <c r="AB97" s="5" t="s">
        <v>36</v>
      </c>
      <c r="AH97">
        <f t="shared" si="53"/>
        <v>92</v>
      </c>
      <c r="AI97">
        <f t="shared" si="47"/>
        <v>27</v>
      </c>
      <c r="AJ97">
        <f t="shared" si="52"/>
        <v>5</v>
      </c>
    </row>
    <row r="98" spans="1:36" x14ac:dyDescent="0.25">
      <c r="A98" s="5" t="s">
        <v>39</v>
      </c>
      <c r="B98" s="5" t="s">
        <v>30</v>
      </c>
      <c r="C98" s="5" t="str">
        <f t="shared" si="30"/>
        <v>description,dailCompDescSoldier96,</v>
      </c>
      <c r="D98" s="5" t="str">
        <f t="shared" si="31"/>
        <v>itemText,dailCompTextSoldier96,</v>
      </c>
      <c r="E98" s="5" t="str">
        <f t="shared" si="48"/>
        <v>augmentSkillLevel1,5,</v>
      </c>
      <c r="F98" s="5" t="str">
        <f t="shared" si="49"/>
        <v>augmentSkillName1,records/skills/playerclass01/passive3.dbr,</v>
      </c>
      <c r="G98" s="7">
        <f t="shared" si="44"/>
        <v>96</v>
      </c>
      <c r="H98" s="8" t="str">
        <f t="shared" si="45"/>
        <v>Soldier</v>
      </c>
      <c r="I98" s="3" t="s">
        <v>266</v>
      </c>
      <c r="J98" s="8" t="str">
        <f t="shared" si="46"/>
        <v>class0001</v>
      </c>
      <c r="K98" s="8" t="str">
        <f t="shared" si="46"/>
        <v>dailoneskill0001</v>
      </c>
      <c r="L98" s="5" t="str">
        <f t="shared" si="32"/>
        <v>lootName96,DAIL/items/materia/class0001/Soldier96.dbr,</v>
      </c>
      <c r="M98" s="5" t="str">
        <f t="shared" si="33"/>
        <v>lootWeight96,1,</v>
      </c>
      <c r="N98" t="str">
        <f t="shared" si="34"/>
        <v>5</v>
      </c>
      <c r="O98" t="str">
        <f t="shared" si="50"/>
        <v>copy .\dail_base3.dbr .\items\materia\class0001\Soldier96.dbr /y</v>
      </c>
      <c r="P98" t="str">
        <f t="shared" si="35"/>
        <v>echo relicBitmap,items/craftingparts/components/component_a52_bristlyfur_b.tex, &gt;&gt; .\items\materia\class0001\Soldier96.dbr</v>
      </c>
      <c r="Q98" t="str">
        <f t="shared" si="36"/>
        <v>echo itemCost,500000, &gt;&gt; .\items\materia\class0001\Soldier96.dbr</v>
      </c>
      <c r="R98" t="str">
        <f t="shared" si="37"/>
        <v>echo description,dailCompDescSoldier96, &gt;&gt; .\items\materia\class0001\Soldier96.dbr</v>
      </c>
      <c r="S98" t="str">
        <f t="shared" si="38"/>
        <v>echo itemText,dailCompTextSoldier96, &gt;&gt; .\items\materia\class0001\Soldier96.dbr</v>
      </c>
      <c r="T98" t="str">
        <f t="shared" si="39"/>
        <v>echo augmentSkillLevel1,5, &gt;&gt; .\items\materia\class0001\Soldier96.dbr</v>
      </c>
      <c r="U98" t="str">
        <f t="shared" si="40"/>
        <v>echo augmentSkillName1,records/skills/playerclass01/passive3.dbr, &gt;&gt; .\items\materia\class0001\Soldier96.dbr</v>
      </c>
      <c r="V98" s="5" t="s">
        <v>36</v>
      </c>
      <c r="W98" t="str">
        <f t="shared" si="41"/>
        <v>echo lootName96,DAIL/items/materia/class0001/Soldier96.dbr, &gt;&gt; .\items\loottables\dailoneskill0001.dbr</v>
      </c>
      <c r="X98" t="str">
        <f t="shared" si="42"/>
        <v>echo lootWeight96,1, &gt;&gt; .\items\loottables\dailoneskill0001.dbr</v>
      </c>
      <c r="Y98" s="5" t="s">
        <v>36</v>
      </c>
      <c r="Z98" t="str">
        <f t="shared" si="43"/>
        <v xml:space="preserve"> dailCompDescSoldier96=^pSoldier's Gift of DAIL</v>
      </c>
      <c r="AA98" t="str">
        <f t="shared" si="51"/>
        <v>dailCompTextSoldier96=^oThis feels warm to the touch, almost familiar ^w(This component only fits into the Medal Slot)</v>
      </c>
      <c r="AB98" s="5" t="s">
        <v>36</v>
      </c>
      <c r="AH98">
        <f t="shared" si="53"/>
        <v>93</v>
      </c>
      <c r="AI98">
        <f t="shared" si="47"/>
        <v>27</v>
      </c>
      <c r="AJ98">
        <f t="shared" si="52"/>
        <v>5</v>
      </c>
    </row>
    <row r="99" spans="1:36" x14ac:dyDescent="0.25">
      <c r="A99" s="5" t="s">
        <v>39</v>
      </c>
      <c r="B99" s="5" t="s">
        <v>30</v>
      </c>
      <c r="C99" s="5" t="str">
        <f t="shared" si="30"/>
        <v>description,dailCompDescSoldier,</v>
      </c>
      <c r="D99" s="5" t="str">
        <f t="shared" si="31"/>
        <v>itemText,dailCompTextSoldier,</v>
      </c>
      <c r="E99" s="5" t="str">
        <f t="shared" si="48"/>
        <v>augmentSkillLevel1,5,</v>
      </c>
      <c r="F99" s="5" t="str">
        <f t="shared" si="49"/>
        <v>augmentSkillName1,records/skills,</v>
      </c>
      <c r="G99" s="7" t="str">
        <f t="shared" si="44"/>
        <v/>
      </c>
      <c r="H99" s="8" t="str">
        <f t="shared" si="45"/>
        <v>Soldier</v>
      </c>
      <c r="J99" s="8" t="str">
        <f t="shared" si="46"/>
        <v>class0001</v>
      </c>
      <c r="K99" s="8" t="str">
        <f t="shared" si="46"/>
        <v>dailoneskill0001</v>
      </c>
      <c r="L99" s="5" t="str">
        <f t="shared" si="32"/>
        <v>lootName,DAIL/items/materia/class0001/Soldier.dbr,</v>
      </c>
      <c r="M99" s="5" t="str">
        <f t="shared" si="33"/>
        <v>lootWeight,1,</v>
      </c>
      <c r="N99" t="str">
        <f t="shared" si="34"/>
        <v>5</v>
      </c>
      <c r="O99" t="str">
        <f t="shared" si="50"/>
        <v/>
      </c>
      <c r="P99" t="str">
        <f t="shared" si="35"/>
        <v/>
      </c>
      <c r="Q99" t="str">
        <f t="shared" si="36"/>
        <v/>
      </c>
      <c r="R99" t="str">
        <f t="shared" si="37"/>
        <v/>
      </c>
      <c r="S99" t="str">
        <f t="shared" si="38"/>
        <v/>
      </c>
      <c r="T99" t="str">
        <f t="shared" si="39"/>
        <v/>
      </c>
      <c r="U99" t="str">
        <f t="shared" si="40"/>
        <v/>
      </c>
      <c r="V99" s="5" t="s">
        <v>36</v>
      </c>
      <c r="W99" t="str">
        <f t="shared" si="41"/>
        <v/>
      </c>
      <c r="X99" t="str">
        <f t="shared" si="42"/>
        <v/>
      </c>
      <c r="Y99" s="5" t="s">
        <v>36</v>
      </c>
      <c r="Z99" t="str">
        <f t="shared" si="43"/>
        <v xml:space="preserve"> dailCompDescSoldier=^pSoldier's Gift of DAIL</v>
      </c>
      <c r="AA99" t="str">
        <f t="shared" si="51"/>
        <v>dailCompTextSoldier=^oThis feels warm to the touch, almost familiar ^w(This component only fits into the Medal Slot)</v>
      </c>
      <c r="AB99" s="5" t="s">
        <v>36</v>
      </c>
      <c r="AH99">
        <f t="shared" si="53"/>
        <v>94</v>
      </c>
      <c r="AI99">
        <f t="shared" si="47"/>
        <v>0</v>
      </c>
      <c r="AJ99">
        <f t="shared" si="52"/>
        <v>5</v>
      </c>
    </row>
    <row r="100" spans="1:36" x14ac:dyDescent="0.25">
      <c r="A100" s="5" t="s">
        <v>39</v>
      </c>
      <c r="B100" s="5" t="s">
        <v>30</v>
      </c>
      <c r="C100" s="5" t="str">
        <f t="shared" si="30"/>
        <v>description,dailCompDescSoldier,</v>
      </c>
      <c r="D100" s="5" t="str">
        <f t="shared" si="31"/>
        <v>itemText,dailCompTextSoldier,</v>
      </c>
      <c r="E100" s="5" t="str">
        <f t="shared" si="48"/>
        <v>augmentSkillLevel1,5,</v>
      </c>
      <c r="F100" s="5" t="str">
        <f t="shared" si="49"/>
        <v>augmentSkillName1,records/skills,</v>
      </c>
      <c r="G100" s="7" t="str">
        <f t="shared" si="44"/>
        <v/>
      </c>
      <c r="H100" s="8" t="str">
        <f t="shared" si="45"/>
        <v>Soldier</v>
      </c>
      <c r="J100" s="8" t="str">
        <f t="shared" si="46"/>
        <v>class0001</v>
      </c>
      <c r="K100" s="8" t="str">
        <f t="shared" si="46"/>
        <v>dailoneskill0001</v>
      </c>
      <c r="L100" s="5" t="str">
        <f t="shared" si="32"/>
        <v>lootName,DAIL/items/materia/class0001/Soldier.dbr,</v>
      </c>
      <c r="M100" s="5" t="str">
        <f t="shared" si="33"/>
        <v>lootWeight,1,</v>
      </c>
      <c r="N100" t="str">
        <f t="shared" si="34"/>
        <v>5</v>
      </c>
      <c r="O100" t="str">
        <f t="shared" si="50"/>
        <v/>
      </c>
      <c r="P100" t="str">
        <f t="shared" si="35"/>
        <v/>
      </c>
      <c r="Q100" t="str">
        <f t="shared" si="36"/>
        <v/>
      </c>
      <c r="R100" t="str">
        <f t="shared" si="37"/>
        <v/>
      </c>
      <c r="S100" t="str">
        <f t="shared" si="38"/>
        <v/>
      </c>
      <c r="T100" t="str">
        <f t="shared" si="39"/>
        <v/>
      </c>
      <c r="U100" t="str">
        <f t="shared" si="40"/>
        <v/>
      </c>
      <c r="V100" s="5" t="s">
        <v>36</v>
      </c>
      <c r="W100" t="str">
        <f t="shared" si="41"/>
        <v/>
      </c>
      <c r="X100" t="str">
        <f t="shared" si="42"/>
        <v/>
      </c>
      <c r="Y100" s="5" t="s">
        <v>36</v>
      </c>
      <c r="Z100" t="str">
        <f t="shared" si="43"/>
        <v/>
      </c>
      <c r="AA100" t="str">
        <f t="shared" si="51"/>
        <v/>
      </c>
      <c r="AB100" s="5" t="s">
        <v>36</v>
      </c>
      <c r="AH100">
        <f t="shared" si="53"/>
        <v>95</v>
      </c>
      <c r="AI100">
        <f t="shared" si="47"/>
        <v>0</v>
      </c>
      <c r="AJ100">
        <f t="shared" si="52"/>
        <v>5</v>
      </c>
    </row>
    <row r="101" spans="1:36" x14ac:dyDescent="0.25">
      <c r="A101" s="5" t="s">
        <v>39</v>
      </c>
      <c r="B101" s="5" t="s">
        <v>30</v>
      </c>
      <c r="C101" s="5" t="str">
        <f t="shared" si="30"/>
        <v>description,dailCompDescSoldier,</v>
      </c>
      <c r="D101" s="5" t="str">
        <f t="shared" si="31"/>
        <v>itemText,dailCompTextSoldier,</v>
      </c>
      <c r="E101" s="5" t="str">
        <f t="shared" si="48"/>
        <v>augmentSkillLevel1,5,</v>
      </c>
      <c r="F101" s="5" t="str">
        <f t="shared" si="49"/>
        <v>augmentSkillName1,records/skills,</v>
      </c>
      <c r="G101" s="7" t="str">
        <f t="shared" si="44"/>
        <v/>
      </c>
      <c r="H101" s="8" t="str">
        <f t="shared" si="45"/>
        <v>Soldier</v>
      </c>
      <c r="J101" s="8" t="str">
        <f t="shared" si="46"/>
        <v>class0001</v>
      </c>
      <c r="K101" s="8" t="str">
        <f t="shared" si="46"/>
        <v>dailoneskill0001</v>
      </c>
      <c r="L101" s="5" t="str">
        <f t="shared" si="32"/>
        <v>lootName,DAIL/items/materia/class0001/Soldier.dbr,</v>
      </c>
      <c r="M101" s="5" t="str">
        <f t="shared" si="33"/>
        <v>lootWeight,1,</v>
      </c>
      <c r="N101" t="str">
        <f t="shared" si="34"/>
        <v>5</v>
      </c>
      <c r="O101" t="str">
        <f t="shared" si="50"/>
        <v/>
      </c>
      <c r="P101" t="str">
        <f t="shared" si="35"/>
        <v/>
      </c>
      <c r="Q101" t="str">
        <f t="shared" si="36"/>
        <v/>
      </c>
      <c r="R101" t="str">
        <f t="shared" si="37"/>
        <v/>
      </c>
      <c r="S101" t="str">
        <f t="shared" si="38"/>
        <v/>
      </c>
      <c r="T101" t="str">
        <f t="shared" si="39"/>
        <v/>
      </c>
      <c r="U101" t="str">
        <f t="shared" si="40"/>
        <v/>
      </c>
      <c r="V101" s="5" t="s">
        <v>36</v>
      </c>
      <c r="W101" t="str">
        <f t="shared" si="41"/>
        <v/>
      </c>
      <c r="X101" t="str">
        <f t="shared" si="42"/>
        <v/>
      </c>
      <c r="Y101" s="5" t="s">
        <v>36</v>
      </c>
      <c r="Z101" t="str">
        <f t="shared" si="43"/>
        <v/>
      </c>
      <c r="AA101" t="str">
        <f t="shared" si="51"/>
        <v/>
      </c>
      <c r="AB101" s="5" t="s">
        <v>36</v>
      </c>
      <c r="AH101">
        <f t="shared" si="53"/>
        <v>96</v>
      </c>
      <c r="AI101">
        <f t="shared" si="47"/>
        <v>0</v>
      </c>
      <c r="AJ101">
        <f t="shared" si="52"/>
        <v>5</v>
      </c>
    </row>
    <row r="102" spans="1:36" x14ac:dyDescent="0.25">
      <c r="A102" s="5" t="s">
        <v>39</v>
      </c>
      <c r="B102" s="5" t="s">
        <v>30</v>
      </c>
      <c r="C102" s="5" t="str">
        <f t="shared" si="30"/>
        <v>description,dailCompDescSoldier,</v>
      </c>
      <c r="D102" s="5" t="str">
        <f t="shared" si="31"/>
        <v>itemText,dailCompTextSoldier,</v>
      </c>
      <c r="E102" s="5" t="str">
        <f t="shared" si="48"/>
        <v>augmentSkillLevel1,5,</v>
      </c>
      <c r="F102" s="5" t="str">
        <f t="shared" si="49"/>
        <v>augmentSkillName1,records/skills,</v>
      </c>
      <c r="G102" s="7" t="str">
        <f t="shared" si="44"/>
        <v/>
      </c>
      <c r="H102" s="8" t="str">
        <f t="shared" si="45"/>
        <v>Soldier</v>
      </c>
      <c r="J102" s="8" t="str">
        <f t="shared" si="46"/>
        <v>class0001</v>
      </c>
      <c r="K102" s="8" t="str">
        <f t="shared" si="46"/>
        <v>dailoneskill0001</v>
      </c>
      <c r="L102" s="5" t="str">
        <f t="shared" si="32"/>
        <v>lootName,DAIL/items/materia/class0001/Soldier.dbr,</v>
      </c>
      <c r="M102" s="5" t="str">
        <f t="shared" si="33"/>
        <v>lootWeight,1,</v>
      </c>
      <c r="N102" t="str">
        <f t="shared" si="34"/>
        <v>5</v>
      </c>
      <c r="O102" t="str">
        <f t="shared" si="50"/>
        <v/>
      </c>
      <c r="P102" t="str">
        <f t="shared" si="35"/>
        <v/>
      </c>
      <c r="Q102" t="str">
        <f t="shared" si="36"/>
        <v/>
      </c>
      <c r="R102" t="str">
        <f t="shared" si="37"/>
        <v/>
      </c>
      <c r="S102" t="str">
        <f t="shared" si="38"/>
        <v/>
      </c>
      <c r="T102" t="str">
        <f t="shared" si="39"/>
        <v/>
      </c>
      <c r="U102" t="str">
        <f t="shared" si="40"/>
        <v/>
      </c>
      <c r="V102" s="5" t="s">
        <v>36</v>
      </c>
      <c r="W102" t="str">
        <f t="shared" si="41"/>
        <v/>
      </c>
      <c r="X102" t="str">
        <f t="shared" si="42"/>
        <v/>
      </c>
      <c r="Y102" s="5" t="s">
        <v>36</v>
      </c>
      <c r="Z102" t="str">
        <f t="shared" si="43"/>
        <v/>
      </c>
      <c r="AA102" t="str">
        <f t="shared" si="51"/>
        <v/>
      </c>
      <c r="AB102" s="5" t="s">
        <v>36</v>
      </c>
      <c r="AH102">
        <f t="shared" si="53"/>
        <v>97</v>
      </c>
      <c r="AI102">
        <f t="shared" si="47"/>
        <v>0</v>
      </c>
      <c r="AJ102">
        <f t="shared" si="52"/>
        <v>5</v>
      </c>
    </row>
  </sheetData>
  <mergeCells count="1">
    <mergeCell ref="O2:U2"/>
  </mergeCells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L102"/>
  <sheetViews>
    <sheetView topLeftCell="M1" zoomScaleNormal="100" workbookViewId="0">
      <selection activeCell="U3" sqref="U3:U102"/>
    </sheetView>
  </sheetViews>
  <sheetFormatPr defaultRowHeight="15" x14ac:dyDescent="0.25"/>
  <cols>
    <col min="1" max="1" width="73.85546875" style="5" bestFit="1" customWidth="1"/>
    <col min="2" max="2" width="16.28515625" style="5" bestFit="1" customWidth="1"/>
    <col min="3" max="3" width="32.7109375" style="5" bestFit="1" customWidth="1"/>
    <col min="4" max="4" width="31.42578125" style="5" bestFit="1" customWidth="1"/>
    <col min="5" max="5" width="24.28515625" style="5" bestFit="1" customWidth="1"/>
    <col min="6" max="6" width="73.5703125" style="5" bestFit="1" customWidth="1"/>
    <col min="7" max="7" width="5.85546875" style="8" bestFit="1" customWidth="1"/>
    <col min="8" max="8" width="7.85546875" style="3" bestFit="1" customWidth="1"/>
    <col min="9" max="9" width="38.140625" style="3" bestFit="1" customWidth="1"/>
    <col min="10" max="10" width="9.140625" style="3" bestFit="1" customWidth="1"/>
    <col min="11" max="11" width="18.140625" style="3" customWidth="1"/>
    <col min="12" max="12" width="51.85546875" style="5" bestFit="1" customWidth="1"/>
    <col min="13" max="13" width="21.28515625" style="5" customWidth="1"/>
    <col min="15" max="15" width="10.5703125" customWidth="1"/>
    <col min="22" max="22" width="1.5703125" style="5" customWidth="1"/>
    <col min="23" max="23" width="9.5703125" customWidth="1"/>
    <col min="25" max="25" width="1.5703125" style="5" bestFit="1" customWidth="1"/>
    <col min="26" max="26" width="46.7109375" bestFit="1" customWidth="1"/>
    <col min="27" max="27" width="29.140625" customWidth="1"/>
    <col min="28" max="28" width="1.5703125" style="5" bestFit="1" customWidth="1"/>
    <col min="31" max="31" width="14.140625" bestFit="1" customWidth="1"/>
  </cols>
  <sheetData>
    <row r="1" spans="1:38" x14ac:dyDescent="0.25">
      <c r="G1" s="5"/>
      <c r="H1" s="5"/>
      <c r="I1" s="5"/>
      <c r="J1" s="5"/>
      <c r="K1" s="5"/>
      <c r="N1" s="5"/>
      <c r="O1" s="9"/>
      <c r="P1" s="9"/>
      <c r="Q1" s="9"/>
      <c r="R1" s="9"/>
      <c r="S1" s="9"/>
      <c r="T1" s="9"/>
      <c r="U1" s="9"/>
      <c r="W1" s="9"/>
      <c r="X1" s="9"/>
      <c r="Z1" s="9"/>
      <c r="AA1" s="9"/>
    </row>
    <row r="2" spans="1:38" x14ac:dyDescent="0.25">
      <c r="A2" s="4" t="s">
        <v>2</v>
      </c>
      <c r="B2" s="4" t="s">
        <v>3</v>
      </c>
      <c r="C2" s="4" t="s">
        <v>4</v>
      </c>
      <c r="D2" s="4" t="s">
        <v>5</v>
      </c>
      <c r="E2" s="4" t="s">
        <v>6</v>
      </c>
      <c r="F2" s="4" t="s">
        <v>7</v>
      </c>
      <c r="G2" s="6" t="s">
        <v>9</v>
      </c>
      <c r="H2" s="2" t="s">
        <v>26</v>
      </c>
      <c r="I2" s="2" t="s">
        <v>8</v>
      </c>
      <c r="J2" s="2" t="s">
        <v>33</v>
      </c>
      <c r="K2" s="2" t="s">
        <v>38</v>
      </c>
      <c r="L2" s="4" t="s">
        <v>31</v>
      </c>
      <c r="M2" s="4" t="s">
        <v>32</v>
      </c>
      <c r="O2" s="11" t="str">
        <f>"Copy from N to T Into the files named "&amp;H3&amp;G3&amp;" etc"</f>
        <v>Copy from N to T Into the files named Demolitionist1 etc</v>
      </c>
      <c r="P2" s="11"/>
      <c r="Q2" s="11"/>
      <c r="R2" s="11"/>
      <c r="S2" s="11"/>
      <c r="T2" s="11"/>
      <c r="U2" s="11"/>
      <c r="W2" s="1" t="s">
        <v>35</v>
      </c>
      <c r="Z2" s="1" t="s">
        <v>40</v>
      </c>
      <c r="AD2" t="s">
        <v>44</v>
      </c>
    </row>
    <row r="3" spans="1:38" x14ac:dyDescent="0.25">
      <c r="A3" s="5" t="s">
        <v>39</v>
      </c>
      <c r="B3" s="5" t="s">
        <v>0</v>
      </c>
      <c r="C3" s="5" t="str">
        <f t="shared" ref="C3:C66" si="0">"description,dailCompDesc"&amp;H3&amp;G3&amp;","</f>
        <v>description,dailCompDescDemolitionist1,</v>
      </c>
      <c r="D3" s="5" t="str">
        <f>"itemText,dailCompText"&amp;H3&amp;G3&amp;","</f>
        <v>itemText,dailCompTextDemolitionist1,</v>
      </c>
      <c r="E3" s="5" t="s">
        <v>24</v>
      </c>
      <c r="F3" s="5" t="str">
        <f>"augmentMasteryName1,records/skills"&amp;I3&amp;","</f>
        <v>augmentMasteryName1,records/skills/playerclass02/_classtraining_class02.dbr,</v>
      </c>
      <c r="G3" s="7">
        <f>IF(I3&lt;&gt;"",1,"")</f>
        <v>1</v>
      </c>
      <c r="H3" s="3" t="s">
        <v>47</v>
      </c>
      <c r="I3" s="3" t="s">
        <v>490</v>
      </c>
      <c r="J3" s="3" t="s">
        <v>49</v>
      </c>
      <c r="K3" s="3" t="s">
        <v>48</v>
      </c>
      <c r="L3" s="5" t="str">
        <f>"lootName"&amp;G3&amp;",DAIL/items/materia/"&amp;J3&amp;"/"&amp;H3&amp;G3&amp;".dbr"&amp;","</f>
        <v>lootName1,DAIL/items/materia/class0002/Demolitionist1.dbr,</v>
      </c>
      <c r="M3" s="5" t="str">
        <f>"lootWeight"&amp;G3&amp;",1,"</f>
        <v>lootWeight1,1,</v>
      </c>
      <c r="N3" t="str">
        <f>LEFT(RIGHT(E3,2),1)</f>
        <v>1</v>
      </c>
      <c r="O3" s="5" t="str">
        <f>IF(I3&lt;&gt;"","copy .\dail_base2.dbr .\items\materia\"&amp;J3&amp;"\"&amp;H3&amp;G3&amp;".dbr /y"&amp;"","")</f>
        <v>copy .\dail_base2.dbr .\items\materia\class0002\Demolitionist1.dbr /y</v>
      </c>
      <c r="P3" t="str">
        <f>IF($I3&lt;&gt;"","echo "&amp;A3&amp;" &gt;&gt; .\items\materia\"&amp;$J3&amp;"\"&amp;$H3&amp;$G3&amp;".dbr","")</f>
        <v>echo relicBitmap,items/craftingparts/components/component_a52_bristlyfur_b.tex, &gt;&gt; .\items\materia\class0002\Demolitionist1.dbr</v>
      </c>
      <c r="Q3" t="str">
        <f t="shared" ref="Q3:U18" si="1">IF($I3&lt;&gt;"","echo "&amp;B3&amp;" &gt;&gt; .\items\materia\"&amp;$J3&amp;"\"&amp;$H3&amp;$G3&amp;".dbr","")</f>
        <v>echo itemCost,100000, &gt;&gt; .\items\materia\class0002\Demolitionist1.dbr</v>
      </c>
      <c r="R3" t="str">
        <f t="shared" si="1"/>
        <v>echo description,dailCompDescDemolitionist1, &gt;&gt; .\items\materia\class0002\Demolitionist1.dbr</v>
      </c>
      <c r="S3" t="str">
        <f t="shared" si="1"/>
        <v>echo itemText,dailCompTextDemolitionist1, &gt;&gt; .\items\materia\class0002\Demolitionist1.dbr</v>
      </c>
      <c r="T3" t="str">
        <f t="shared" si="1"/>
        <v>echo augmentMasteryLevel1,1, &gt;&gt; .\items\materia\class0002\Demolitionist1.dbr</v>
      </c>
      <c r="U3" t="str">
        <f t="shared" si="1"/>
        <v>echo augmentMasteryName1,records/skills/playerclass02/_classtraining_class02.dbr, &gt;&gt; .\items\materia\class0002\Demolitionist1.dbr</v>
      </c>
      <c r="V3" s="5" t="s">
        <v>36</v>
      </c>
      <c r="W3" t="str">
        <f>IF($I3&lt;&gt;"","echo "&amp;L3&amp;" &gt;&gt; .\items\loottables\"&amp;$K3&amp;".dbr","")</f>
        <v>echo lootName1,DAIL/items/materia/class0002/Demolitionist1.dbr, &gt;&gt; .\items\loottables\dailoneskill0002.dbr</v>
      </c>
      <c r="X3" t="str">
        <f>IF($I3&lt;&gt;"","echo "&amp;M3&amp;" &gt;&gt; .\items\loottables\"&amp;$K3&amp;".dbr","")</f>
        <v>echo lootWeight1,1, &gt;&gt; .\items\loottables\dailoneskill0002.dbr</v>
      </c>
      <c r="Y3" s="5" t="s">
        <v>36</v>
      </c>
      <c r="Z3" s="10" t="str">
        <f>IF(I2&lt;&gt;""," dailCompDesc"&amp;H3&amp;G3&amp;"=^p"&amp;H3&amp;"'s Gift of DAIL","")</f>
        <v xml:space="preserve"> dailCompDescDemolitionist1=^pDemolitionist's Gift of DAIL</v>
      </c>
      <c r="AA3" s="10" t="str">
        <f>IF(I2&lt;&gt;"","dailCompText"&amp;H3&amp;G3&amp;"=^oThis feels warm to the touch, almost familiar ^w(This component fits into the amulet only)","")</f>
        <v>dailCompTextDemolitionist1=^oThis feels warm to the touch, almost familiar ^w(This component fits into the amulet only)</v>
      </c>
      <c r="AB3" s="5" t="s">
        <v>36</v>
      </c>
      <c r="AD3">
        <v>1</v>
      </c>
      <c r="AE3" t="s">
        <v>42</v>
      </c>
      <c r="AF3" t="s">
        <v>45</v>
      </c>
    </row>
    <row r="4" spans="1:38" x14ac:dyDescent="0.25">
      <c r="A4" s="5" t="s">
        <v>39</v>
      </c>
      <c r="B4" s="5" t="s">
        <v>28</v>
      </c>
      <c r="C4" s="5" t="str">
        <f t="shared" si="0"/>
        <v>description,dailCompDescDemolitionist2,</v>
      </c>
      <c r="D4" s="5" t="str">
        <f t="shared" ref="D4:D67" si="2">"itemText,dailCompText"&amp;H4&amp;G4&amp;","</f>
        <v>itemText,dailCompTextDemolitionist2,</v>
      </c>
      <c r="E4" s="5" t="s">
        <v>1</v>
      </c>
      <c r="F4" s="5" t="str">
        <f t="shared" ref="F4:F5" si="3">"augmentMasteryName1,records/skills"&amp;I4&amp;","</f>
        <v>augmentMasteryName1,records/skills/playerclass02/_classtraining_class02.dbr,</v>
      </c>
      <c r="G4" s="7">
        <f>IF(I4&lt;&gt;"",G3+1,"")</f>
        <v>2</v>
      </c>
      <c r="H4" s="8" t="str">
        <f>H3</f>
        <v>Demolitionist</v>
      </c>
      <c r="I4" s="3" t="s">
        <v>490</v>
      </c>
      <c r="J4" s="8" t="str">
        <f>J3</f>
        <v>class0002</v>
      </c>
      <c r="K4" s="8" t="str">
        <f>K3</f>
        <v>dailoneskill0002</v>
      </c>
      <c r="L4" s="5" t="str">
        <f t="shared" ref="L4:L67" si="4">"lootName"&amp;G4&amp;",DAIL/items/materia/"&amp;J4&amp;"/"&amp;H4&amp;G4&amp;".dbr"&amp;","</f>
        <v>lootName2,DAIL/items/materia/class0002/Demolitionist2.dbr,</v>
      </c>
      <c r="M4" s="5" t="str">
        <f t="shared" ref="M4:M67" si="5">"lootWeight"&amp;G4&amp;",1,"</f>
        <v>lootWeight2,1,</v>
      </c>
      <c r="N4" t="str">
        <f t="shared" ref="N4:N67" si="6">LEFT(RIGHT(E4,2),1)</f>
        <v>2</v>
      </c>
      <c r="O4" s="5" t="str">
        <f>IF(I4&lt;&gt;"","copy .\dail_base2.dbr .\items\materia\"&amp;J4&amp;"\"&amp;H4&amp;G4&amp;".dbr /y"&amp;"","")</f>
        <v>copy .\dail_base2.dbr .\items\materia\class0002\Demolitionist2.dbr /y</v>
      </c>
      <c r="P4" t="str">
        <f t="shared" ref="P4:U58" si="7">IF($I4&lt;&gt;"","echo "&amp;A4&amp;" &gt;&gt; .\items\materia\"&amp;$J4&amp;"\"&amp;$H4&amp;$G4&amp;".dbr","")</f>
        <v>echo relicBitmap,items/craftingparts/components/component_a52_bristlyfur_b.tex, &gt;&gt; .\items\materia\class0002\Demolitionist2.dbr</v>
      </c>
      <c r="Q4" t="str">
        <f t="shared" si="1"/>
        <v>echo itemCost,300000, &gt;&gt; .\items\materia\class0002\Demolitionist2.dbr</v>
      </c>
      <c r="R4" t="str">
        <f t="shared" si="1"/>
        <v>echo description,dailCompDescDemolitionist2, &gt;&gt; .\items\materia\class0002\Demolitionist2.dbr</v>
      </c>
      <c r="S4" t="str">
        <f t="shared" si="1"/>
        <v>echo itemText,dailCompTextDemolitionist2, &gt;&gt; .\items\materia\class0002\Demolitionist2.dbr</v>
      </c>
      <c r="T4" t="str">
        <f t="shared" si="1"/>
        <v>echo augmentMasteryLevel1,2, &gt;&gt; .\items\materia\class0002\Demolitionist2.dbr</v>
      </c>
      <c r="U4" t="str">
        <f t="shared" si="1"/>
        <v>echo augmentMasteryName1,records/skills/playerclass02/_classtraining_class02.dbr, &gt;&gt; .\items\materia\class0002\Demolitionist2.dbr</v>
      </c>
      <c r="V4" s="5" t="s">
        <v>36</v>
      </c>
      <c r="W4" t="str">
        <f t="shared" ref="W4:X67" si="8">IF($I4&lt;&gt;"","echo "&amp;L4&amp;" &gt;&gt; .\items\loottables\"&amp;$K4&amp;".dbr","")</f>
        <v>echo lootName2,DAIL/items/materia/class0002/Demolitionist2.dbr, &gt;&gt; .\items\loottables\dailoneskill0002.dbr</v>
      </c>
      <c r="X4" t="str">
        <f t="shared" si="8"/>
        <v>echo lootWeight2,1, &gt;&gt; .\items\loottables\dailoneskill0002.dbr</v>
      </c>
      <c r="Y4" s="5" t="s">
        <v>36</v>
      </c>
      <c r="Z4" s="10" t="str">
        <f t="shared" ref="Z4:Z67" si="9">IF(I3&lt;&gt;""," dailCompDesc"&amp;H4&amp;G4&amp;"=^p"&amp;H4&amp;"'s Gift of DAIL","")</f>
        <v xml:space="preserve"> dailCompDescDemolitionist2=^pDemolitionist's Gift of DAIL</v>
      </c>
      <c r="AA4" s="10" t="str">
        <f>IF(I3&lt;&gt;"","dailCompText"&amp;H4&amp;G4&amp;"=^oThis feels warm to the touch, almost familiar ^w(This component fits into the amulet only)","")</f>
        <v>dailCompTextDemolitionist2=^oThis feels warm to the touch, almost familiar ^w(This component fits into the amulet only)</v>
      </c>
      <c r="AB4" s="5" t="s">
        <v>36</v>
      </c>
      <c r="AD4">
        <v>3</v>
      </c>
      <c r="AE4" t="s">
        <v>43</v>
      </c>
      <c r="AF4" t="s">
        <v>46</v>
      </c>
    </row>
    <row r="5" spans="1:38" x14ac:dyDescent="0.25">
      <c r="A5" s="5" t="s">
        <v>39</v>
      </c>
      <c r="B5" s="5" t="s">
        <v>29</v>
      </c>
      <c r="C5" s="5" t="str">
        <f t="shared" si="0"/>
        <v>description,dailCompDescDemolitionist3,</v>
      </c>
      <c r="D5" s="5" t="str">
        <f t="shared" si="2"/>
        <v>itemText,dailCompTextDemolitionist3,</v>
      </c>
      <c r="E5" s="5" t="s">
        <v>25</v>
      </c>
      <c r="F5" s="5" t="str">
        <f t="shared" si="3"/>
        <v>augmentMasteryName1,records/skills/playerclass02/_classtraining_class02.dbr,</v>
      </c>
      <c r="G5" s="7">
        <f t="shared" ref="G5:G68" si="10">IF(I5&lt;&gt;"",G4+1,"")</f>
        <v>3</v>
      </c>
      <c r="H5" s="8" t="str">
        <f t="shared" ref="H5:H68" si="11">H4</f>
        <v>Demolitionist</v>
      </c>
      <c r="I5" s="3" t="s">
        <v>490</v>
      </c>
      <c r="J5" s="8" t="str">
        <f t="shared" ref="J5:K20" si="12">J4</f>
        <v>class0002</v>
      </c>
      <c r="K5" s="8" t="str">
        <f t="shared" si="12"/>
        <v>dailoneskill0002</v>
      </c>
      <c r="L5" s="5" t="str">
        <f t="shared" si="4"/>
        <v>lootName3,DAIL/items/materia/class0002/Demolitionist3.dbr,</v>
      </c>
      <c r="M5" s="5" t="str">
        <f t="shared" si="5"/>
        <v>lootWeight3,1,</v>
      </c>
      <c r="N5" t="str">
        <f t="shared" si="6"/>
        <v>3</v>
      </c>
      <c r="O5" s="5" t="str">
        <f>IF(I5&lt;&gt;"","copy .\dail_base2.dbr .\items\materia\"&amp;J5&amp;"\"&amp;H5&amp;G5&amp;".dbr /y"&amp;"","")</f>
        <v>copy .\dail_base2.dbr .\items\materia\class0002\Demolitionist3.dbr /y</v>
      </c>
      <c r="P5" t="str">
        <f t="shared" si="7"/>
        <v>echo relicBitmap,items/craftingparts/components/component_a52_bristlyfur_b.tex, &gt;&gt; .\items\materia\class0002\Demolitionist3.dbr</v>
      </c>
      <c r="Q5" t="str">
        <f t="shared" si="1"/>
        <v>echo itemCost,600000, &gt;&gt; .\items\materia\class0002\Demolitionist3.dbr</v>
      </c>
      <c r="R5" t="str">
        <f t="shared" si="1"/>
        <v>echo description,dailCompDescDemolitionist3, &gt;&gt; .\items\materia\class0002\Demolitionist3.dbr</v>
      </c>
      <c r="S5" t="str">
        <f t="shared" si="1"/>
        <v>echo itemText,dailCompTextDemolitionist3, &gt;&gt; .\items\materia\class0002\Demolitionist3.dbr</v>
      </c>
      <c r="T5" t="str">
        <f t="shared" si="1"/>
        <v>echo augmentMasteryLevel1,3, &gt;&gt; .\items\materia\class0002\Demolitionist3.dbr</v>
      </c>
      <c r="U5" t="str">
        <f t="shared" si="1"/>
        <v>echo augmentMasteryName1,records/skills/playerclass02/_classtraining_class02.dbr, &gt;&gt; .\items\materia\class0002\Demolitionist3.dbr</v>
      </c>
      <c r="V5" s="5" t="s">
        <v>36</v>
      </c>
      <c r="W5" t="str">
        <f t="shared" si="8"/>
        <v>echo lootName3,DAIL/items/materia/class0002/Demolitionist3.dbr, &gt;&gt; .\items\loottables\dailoneskill0002.dbr</v>
      </c>
      <c r="X5" t="str">
        <f t="shared" si="8"/>
        <v>echo lootWeight3,1, &gt;&gt; .\items\loottables\dailoneskill0002.dbr</v>
      </c>
      <c r="Y5" s="5" t="s">
        <v>36</v>
      </c>
      <c r="Z5" s="10" t="str">
        <f t="shared" si="9"/>
        <v xml:space="preserve"> dailCompDescDemolitionist3=^pDemolitionist's Gift of DAIL</v>
      </c>
      <c r="AA5" s="10" t="str">
        <f>IF(I4&lt;&gt;"","dailCompText"&amp;H5&amp;G5&amp;"=^oThis feels warm to the touch, almost familiar ^w(This component fits into the amulet only)","")</f>
        <v>dailCompTextDemolitionist3=^oThis feels warm to the touch, almost familiar ^w(This component fits into the amulet only)</v>
      </c>
      <c r="AB5" s="5" t="s">
        <v>36</v>
      </c>
      <c r="AD5">
        <v>5</v>
      </c>
      <c r="AE5" t="s">
        <v>43</v>
      </c>
      <c r="AF5" t="s">
        <v>46</v>
      </c>
      <c r="AI5" t="s">
        <v>61</v>
      </c>
    </row>
    <row r="6" spans="1:38" x14ac:dyDescent="0.25">
      <c r="A6" s="5" t="s">
        <v>39</v>
      </c>
      <c r="B6" s="5" t="s">
        <v>0</v>
      </c>
      <c r="C6" s="5" t="str">
        <f t="shared" si="0"/>
        <v>description,dailCompDescDemolitionist4,</v>
      </c>
      <c r="D6" s="5" t="str">
        <f t="shared" si="2"/>
        <v>itemText,dailCompTextDemolitionist4,</v>
      </c>
      <c r="E6" s="5" t="str">
        <f>"augmentSkillLevel1,"&amp;AJ6&amp;","</f>
        <v>augmentSkillLevel1,1,</v>
      </c>
      <c r="F6" s="5" t="str">
        <f>"augmentSkillName1,records/skills"&amp;I6&amp;","</f>
        <v>augmentSkillName1,records/skills/playerclass02/stunjacks1b.dbr,</v>
      </c>
      <c r="G6" s="7">
        <f t="shared" si="10"/>
        <v>4</v>
      </c>
      <c r="H6" s="8" t="str">
        <f t="shared" si="11"/>
        <v>Demolitionist</v>
      </c>
      <c r="I6" s="3" t="s">
        <v>267</v>
      </c>
      <c r="J6" s="8" t="str">
        <f t="shared" si="12"/>
        <v>class0002</v>
      </c>
      <c r="K6" s="8" t="str">
        <f t="shared" si="12"/>
        <v>dailoneskill0002</v>
      </c>
      <c r="L6" s="5" t="str">
        <f t="shared" si="4"/>
        <v>lootName4,DAIL/items/materia/class0002/Demolitionist4.dbr,</v>
      </c>
      <c r="M6" s="5" t="str">
        <f t="shared" si="5"/>
        <v>lootWeight4,1,</v>
      </c>
      <c r="N6" t="str">
        <f t="shared" si="6"/>
        <v>1</v>
      </c>
      <c r="O6" t="str">
        <f>IF(I6&lt;&gt;"","copy .\"&amp;VLOOKUP(VALUE(N6),$AD$3:$AF$5,2,FALSE)&amp;" .\items\materia\"&amp;J6&amp;"\"&amp;H6&amp;G6&amp;".dbr /y"&amp;"","")</f>
        <v>copy .\dail_base.dbr .\items\materia\class0002\Demolitionist4.dbr /y</v>
      </c>
      <c r="P6" t="str">
        <f t="shared" si="7"/>
        <v>echo relicBitmap,items/craftingparts/components/component_a52_bristlyfur_b.tex, &gt;&gt; .\items\materia\class0002\Demolitionist4.dbr</v>
      </c>
      <c r="Q6" t="str">
        <f t="shared" si="1"/>
        <v>echo itemCost,100000, &gt;&gt; .\items\materia\class0002\Demolitionist4.dbr</v>
      </c>
      <c r="R6" t="str">
        <f t="shared" si="1"/>
        <v>echo description,dailCompDescDemolitionist4, &gt;&gt; .\items\materia\class0002\Demolitionist4.dbr</v>
      </c>
      <c r="S6" t="str">
        <f t="shared" si="1"/>
        <v>echo itemText,dailCompTextDemolitionist4, &gt;&gt; .\items\materia\class0002\Demolitionist4.dbr</v>
      </c>
      <c r="T6" t="str">
        <f t="shared" si="1"/>
        <v>echo augmentSkillLevel1,1, &gt;&gt; .\items\materia\class0002\Demolitionist4.dbr</v>
      </c>
      <c r="U6" t="str">
        <f t="shared" si="1"/>
        <v>echo augmentSkillName1,records/skills/playerclass02/stunjacks1b.dbr, &gt;&gt; .\items\materia\class0002\Demolitionist4.dbr</v>
      </c>
      <c r="V6" s="5" t="s">
        <v>36</v>
      </c>
      <c r="W6" t="str">
        <f t="shared" si="8"/>
        <v>echo lootName4,DAIL/items/materia/class0002/Demolitionist4.dbr, &gt;&gt; .\items\loottables\dailoneskill0002.dbr</v>
      </c>
      <c r="X6" t="str">
        <f t="shared" si="8"/>
        <v>echo lootWeight4,1, &gt;&gt; .\items\loottables\dailoneskill0002.dbr</v>
      </c>
      <c r="Y6" s="5" t="s">
        <v>36</v>
      </c>
      <c r="Z6" t="str">
        <f t="shared" si="9"/>
        <v xml:space="preserve"> dailCompDescDemolitionist4=^pDemolitionist's Gift of DAIL</v>
      </c>
      <c r="AA6" t="str">
        <f>IF(I5&lt;&gt;"","dailCompText"&amp;H6&amp;G6&amp;"=^oThis feels warm to the touch, almost familiar ^w("&amp;VLOOKUP(VALUE(N6),$AD$3:$AF$5,3,FALSE)&amp;")","")</f>
        <v>dailCompTextDemolitionist4=^oThis feels warm to the touch, almost familiar ^w(This component fits into all Jewellery slots including the Belt And Shoulder)</v>
      </c>
      <c r="AB6" s="5" t="s">
        <v>36</v>
      </c>
      <c r="AH6">
        <v>1</v>
      </c>
      <c r="AI6">
        <f t="shared" ref="AI6:AI37" si="13">LEN(I6)</f>
        <v>30</v>
      </c>
      <c r="AJ6">
        <f>IF(AH6&lt;$AL$7,1,IF(AH6&lt;$AL$8,3,5))</f>
        <v>1</v>
      </c>
      <c r="AK6" s="1" t="s">
        <v>62</v>
      </c>
      <c r="AL6" s="1">
        <f>COUNTIF(AI:AI,"&gt;0")</f>
        <v>97</v>
      </c>
    </row>
    <row r="7" spans="1:38" x14ac:dyDescent="0.25">
      <c r="A7" s="5" t="s">
        <v>39</v>
      </c>
      <c r="B7" s="5" t="s">
        <v>0</v>
      </c>
      <c r="C7" s="5" t="str">
        <f t="shared" si="0"/>
        <v>description,dailCompDescDemolitionist5,</v>
      </c>
      <c r="D7" s="5" t="str">
        <f t="shared" si="2"/>
        <v>itemText,dailCompTextDemolitionist5,</v>
      </c>
      <c r="E7" s="5" t="str">
        <f t="shared" ref="E7:E70" si="14">"augmentSkillLevel1,"&amp;AJ7&amp;","</f>
        <v>augmentSkillLevel1,1,</v>
      </c>
      <c r="F7" s="5" t="str">
        <f t="shared" ref="F7:F70" si="15">"augmentSkillName1,records/skills"&amp;I7&amp;","</f>
        <v>augmentSkillName1,records/skills/playerclass02/stunjacks2.dbr,</v>
      </c>
      <c r="G7" s="7">
        <f t="shared" si="10"/>
        <v>5</v>
      </c>
      <c r="H7" s="8" t="str">
        <f t="shared" si="11"/>
        <v>Demolitionist</v>
      </c>
      <c r="I7" s="3" t="s">
        <v>268</v>
      </c>
      <c r="J7" s="8" t="str">
        <f t="shared" si="12"/>
        <v>class0002</v>
      </c>
      <c r="K7" s="8" t="str">
        <f t="shared" si="12"/>
        <v>dailoneskill0002</v>
      </c>
      <c r="L7" s="5" t="str">
        <f t="shared" si="4"/>
        <v>lootName5,DAIL/items/materia/class0002/Demolitionist5.dbr,</v>
      </c>
      <c r="M7" s="5" t="str">
        <f t="shared" si="5"/>
        <v>lootWeight5,1,</v>
      </c>
      <c r="N7" t="str">
        <f t="shared" si="6"/>
        <v>1</v>
      </c>
      <c r="O7" t="str">
        <f t="shared" ref="O7:O70" si="16">IF(I7&lt;&gt;"","copy .\"&amp;VLOOKUP(VALUE(N7),$AD$3:$AF$5,2,FALSE)&amp;" .\items\materia\"&amp;J7&amp;"\"&amp;H7&amp;G7&amp;".dbr /y"&amp;"","")</f>
        <v>copy .\dail_base.dbr .\items\materia\class0002\Demolitionist5.dbr /y</v>
      </c>
      <c r="P7" t="str">
        <f t="shared" si="7"/>
        <v>echo relicBitmap,items/craftingparts/components/component_a52_bristlyfur_b.tex, &gt;&gt; .\items\materia\class0002\Demolitionist5.dbr</v>
      </c>
      <c r="Q7" t="str">
        <f t="shared" si="1"/>
        <v>echo itemCost,100000, &gt;&gt; .\items\materia\class0002\Demolitionist5.dbr</v>
      </c>
      <c r="R7" t="str">
        <f t="shared" si="1"/>
        <v>echo description,dailCompDescDemolitionist5, &gt;&gt; .\items\materia\class0002\Demolitionist5.dbr</v>
      </c>
      <c r="S7" t="str">
        <f t="shared" si="1"/>
        <v>echo itemText,dailCompTextDemolitionist5, &gt;&gt; .\items\materia\class0002\Demolitionist5.dbr</v>
      </c>
      <c r="T7" t="str">
        <f t="shared" si="1"/>
        <v>echo augmentSkillLevel1,1, &gt;&gt; .\items\materia\class0002\Demolitionist5.dbr</v>
      </c>
      <c r="U7" t="str">
        <f t="shared" si="1"/>
        <v>echo augmentSkillName1,records/skills/playerclass02/stunjacks2.dbr, &gt;&gt; .\items\materia\class0002\Demolitionist5.dbr</v>
      </c>
      <c r="V7" s="5" t="s">
        <v>36</v>
      </c>
      <c r="W7" t="str">
        <f t="shared" si="8"/>
        <v>echo lootName5,DAIL/items/materia/class0002/Demolitionist5.dbr, &gt;&gt; .\items\loottables\dailoneskill0002.dbr</v>
      </c>
      <c r="X7" t="str">
        <f t="shared" si="8"/>
        <v>echo lootWeight5,1, &gt;&gt; .\items\loottables\dailoneskill0002.dbr</v>
      </c>
      <c r="Y7" s="5" t="s">
        <v>36</v>
      </c>
      <c r="Z7" t="str">
        <f t="shared" si="9"/>
        <v xml:space="preserve"> dailCompDescDemolitionist5=^pDemolitionist's Gift of DAIL</v>
      </c>
      <c r="AA7" t="str">
        <f t="shared" ref="AA7:AA70" si="17">IF(I6&lt;&gt;"","dailCompText"&amp;H7&amp;G7&amp;"=^oThis feels warm to the touch, almost familiar ^w("&amp;VLOOKUP(VALUE(N7),$AD$3:$AF$5,3,FALSE)&amp;")","")</f>
        <v>dailCompTextDemolitionist5=^oThis feels warm to the touch, almost familiar ^w(This component fits into all Jewellery slots including the Belt And Shoulder)</v>
      </c>
      <c r="AB7" s="5" t="s">
        <v>36</v>
      </c>
      <c r="AH7">
        <f>AH6+1</f>
        <v>2</v>
      </c>
      <c r="AI7">
        <f t="shared" si="13"/>
        <v>29</v>
      </c>
      <c r="AJ7">
        <f t="shared" ref="AJ7:AJ70" si="18">IF(AH7&lt;$AL$7,1,IF(AH7&lt;$AL$8,3,5))</f>
        <v>1</v>
      </c>
      <c r="AK7">
        <v>1</v>
      </c>
      <c r="AL7">
        <f>AL6/3</f>
        <v>32.333333333333336</v>
      </c>
    </row>
    <row r="8" spans="1:38" x14ac:dyDescent="0.25">
      <c r="A8" s="5" t="s">
        <v>39</v>
      </c>
      <c r="B8" s="5" t="s">
        <v>0</v>
      </c>
      <c r="C8" s="5" t="str">
        <f t="shared" si="0"/>
        <v>description,dailCompDescDemolitionist6,</v>
      </c>
      <c r="D8" s="5" t="str">
        <f t="shared" si="2"/>
        <v>itemText,dailCompTextDemolitionist6,</v>
      </c>
      <c r="E8" s="5" t="str">
        <f t="shared" si="14"/>
        <v>augmentSkillLevel1,1,</v>
      </c>
      <c r="F8" s="5" t="str">
        <f t="shared" si="15"/>
        <v>augmentSkillName1,records/skills/playerclass02/passive2.dbr,</v>
      </c>
      <c r="G8" s="7">
        <f t="shared" si="10"/>
        <v>6</v>
      </c>
      <c r="H8" s="8" t="str">
        <f t="shared" si="11"/>
        <v>Demolitionist</v>
      </c>
      <c r="I8" s="3" t="s">
        <v>269</v>
      </c>
      <c r="J8" s="8" t="str">
        <f t="shared" si="12"/>
        <v>class0002</v>
      </c>
      <c r="K8" s="8" t="str">
        <f t="shared" si="12"/>
        <v>dailoneskill0002</v>
      </c>
      <c r="L8" s="5" t="str">
        <f t="shared" si="4"/>
        <v>lootName6,DAIL/items/materia/class0002/Demolitionist6.dbr,</v>
      </c>
      <c r="M8" s="5" t="str">
        <f t="shared" si="5"/>
        <v>lootWeight6,1,</v>
      </c>
      <c r="N8" t="str">
        <f t="shared" si="6"/>
        <v>1</v>
      </c>
      <c r="O8" t="str">
        <f t="shared" si="16"/>
        <v>copy .\dail_base.dbr .\items\materia\class0002\Demolitionist6.dbr /y</v>
      </c>
      <c r="P8" t="str">
        <f t="shared" si="7"/>
        <v>echo relicBitmap,items/craftingparts/components/component_a52_bristlyfur_b.tex, &gt;&gt; .\items\materia\class0002\Demolitionist6.dbr</v>
      </c>
      <c r="Q8" t="str">
        <f t="shared" si="1"/>
        <v>echo itemCost,100000, &gt;&gt; .\items\materia\class0002\Demolitionist6.dbr</v>
      </c>
      <c r="R8" t="str">
        <f t="shared" si="1"/>
        <v>echo description,dailCompDescDemolitionist6, &gt;&gt; .\items\materia\class0002\Demolitionist6.dbr</v>
      </c>
      <c r="S8" t="str">
        <f t="shared" si="1"/>
        <v>echo itemText,dailCompTextDemolitionist6, &gt;&gt; .\items\materia\class0002\Demolitionist6.dbr</v>
      </c>
      <c r="T8" t="str">
        <f t="shared" si="1"/>
        <v>echo augmentSkillLevel1,1, &gt;&gt; .\items\materia\class0002\Demolitionist6.dbr</v>
      </c>
      <c r="U8" t="str">
        <f t="shared" si="1"/>
        <v>echo augmentSkillName1,records/skills/playerclass02/passive2.dbr, &gt;&gt; .\items\materia\class0002\Demolitionist6.dbr</v>
      </c>
      <c r="V8" s="5" t="s">
        <v>36</v>
      </c>
      <c r="W8" t="str">
        <f t="shared" si="8"/>
        <v>echo lootName6,DAIL/items/materia/class0002/Demolitionist6.dbr, &gt;&gt; .\items\loottables\dailoneskill0002.dbr</v>
      </c>
      <c r="X8" t="str">
        <f t="shared" si="8"/>
        <v>echo lootWeight6,1, &gt;&gt; .\items\loottables\dailoneskill0002.dbr</v>
      </c>
      <c r="Y8" s="5" t="s">
        <v>36</v>
      </c>
      <c r="Z8" t="str">
        <f t="shared" si="9"/>
        <v xml:space="preserve"> dailCompDescDemolitionist6=^pDemolitionist's Gift of DAIL</v>
      </c>
      <c r="AA8" t="str">
        <f t="shared" si="17"/>
        <v>dailCompTextDemolitionist6=^oThis feels warm to the touch, almost familiar ^w(This component fits into all Jewellery slots including the Belt And Shoulder)</v>
      </c>
      <c r="AB8" s="5" t="s">
        <v>36</v>
      </c>
      <c r="AH8">
        <f t="shared" ref="AH8:AH71" si="19">AH7+1</f>
        <v>3</v>
      </c>
      <c r="AI8">
        <f t="shared" si="13"/>
        <v>27</v>
      </c>
      <c r="AJ8">
        <f t="shared" si="18"/>
        <v>1</v>
      </c>
      <c r="AK8" s="1">
        <v>3</v>
      </c>
      <c r="AL8">
        <f>AL7*2</f>
        <v>64.666666666666671</v>
      </c>
    </row>
    <row r="9" spans="1:38" x14ac:dyDescent="0.25">
      <c r="A9" s="5" t="s">
        <v>39</v>
      </c>
      <c r="B9" s="5" t="s">
        <v>0</v>
      </c>
      <c r="C9" s="5" t="str">
        <f t="shared" si="0"/>
        <v>description,dailCompDescDemolitionist7,</v>
      </c>
      <c r="D9" s="5" t="str">
        <f t="shared" si="2"/>
        <v>itemText,dailCompTextDemolitionist7,</v>
      </c>
      <c r="E9" s="5" t="str">
        <f t="shared" si="14"/>
        <v>augmentSkillLevel1,1,</v>
      </c>
      <c r="F9" s="5" t="str">
        <f t="shared" si="15"/>
        <v>augmentSkillName1,records/skills/playerclass02/grenado1.dbr,</v>
      </c>
      <c r="G9" s="7">
        <f t="shared" si="10"/>
        <v>7</v>
      </c>
      <c r="H9" s="8" t="str">
        <f t="shared" si="11"/>
        <v>Demolitionist</v>
      </c>
      <c r="I9" s="3" t="s">
        <v>55</v>
      </c>
      <c r="J9" s="8" t="str">
        <f t="shared" si="12"/>
        <v>class0002</v>
      </c>
      <c r="K9" s="8" t="str">
        <f t="shared" si="12"/>
        <v>dailoneskill0002</v>
      </c>
      <c r="L9" s="5" t="str">
        <f t="shared" si="4"/>
        <v>lootName7,DAIL/items/materia/class0002/Demolitionist7.dbr,</v>
      </c>
      <c r="M9" s="5" t="str">
        <f t="shared" si="5"/>
        <v>lootWeight7,1,</v>
      </c>
      <c r="N9" t="str">
        <f t="shared" si="6"/>
        <v>1</v>
      </c>
      <c r="O9" t="str">
        <f t="shared" si="16"/>
        <v>copy .\dail_base.dbr .\items\materia\class0002\Demolitionist7.dbr /y</v>
      </c>
      <c r="P9" t="str">
        <f t="shared" si="7"/>
        <v>echo relicBitmap,items/craftingparts/components/component_a52_bristlyfur_b.tex, &gt;&gt; .\items\materia\class0002\Demolitionist7.dbr</v>
      </c>
      <c r="Q9" t="str">
        <f t="shared" si="1"/>
        <v>echo itemCost,100000, &gt;&gt; .\items\materia\class0002\Demolitionist7.dbr</v>
      </c>
      <c r="R9" t="str">
        <f t="shared" si="1"/>
        <v>echo description,dailCompDescDemolitionist7, &gt;&gt; .\items\materia\class0002\Demolitionist7.dbr</v>
      </c>
      <c r="S9" t="str">
        <f t="shared" si="1"/>
        <v>echo itemText,dailCompTextDemolitionist7, &gt;&gt; .\items\materia\class0002\Demolitionist7.dbr</v>
      </c>
      <c r="T9" t="str">
        <f t="shared" si="1"/>
        <v>echo augmentSkillLevel1,1, &gt;&gt; .\items\materia\class0002\Demolitionist7.dbr</v>
      </c>
      <c r="U9" t="str">
        <f t="shared" si="1"/>
        <v>echo augmentSkillName1,records/skills/playerclass02/grenado1.dbr, &gt;&gt; .\items\materia\class0002\Demolitionist7.dbr</v>
      </c>
      <c r="V9" s="5" t="s">
        <v>36</v>
      </c>
      <c r="W9" t="str">
        <f t="shared" si="8"/>
        <v>echo lootName7,DAIL/items/materia/class0002/Demolitionist7.dbr, &gt;&gt; .\items\loottables\dailoneskill0002.dbr</v>
      </c>
      <c r="X9" t="str">
        <f t="shared" si="8"/>
        <v>echo lootWeight7,1, &gt;&gt; .\items\loottables\dailoneskill0002.dbr</v>
      </c>
      <c r="Y9" s="5" t="s">
        <v>36</v>
      </c>
      <c r="Z9" t="str">
        <f t="shared" si="9"/>
        <v xml:space="preserve"> dailCompDescDemolitionist7=^pDemolitionist's Gift of DAIL</v>
      </c>
      <c r="AA9" t="str">
        <f t="shared" si="17"/>
        <v>dailCompTextDemolitionist7=^oThis feels warm to the touch, almost familiar ^w(This component fits into all Jewellery slots including the Belt And Shoulder)</v>
      </c>
      <c r="AB9" s="5" t="s">
        <v>36</v>
      </c>
      <c r="AH9">
        <f t="shared" si="19"/>
        <v>4</v>
      </c>
      <c r="AI9">
        <f t="shared" si="13"/>
        <v>27</v>
      </c>
      <c r="AJ9">
        <f t="shared" si="18"/>
        <v>1</v>
      </c>
      <c r="AK9" s="1">
        <v>5</v>
      </c>
      <c r="AL9">
        <f>AL6</f>
        <v>97</v>
      </c>
    </row>
    <row r="10" spans="1:38" x14ac:dyDescent="0.25">
      <c r="A10" s="5" t="s">
        <v>39</v>
      </c>
      <c r="B10" s="5" t="s">
        <v>0</v>
      </c>
      <c r="C10" s="5" t="str">
        <f t="shared" si="0"/>
        <v>description,dailCompDescDemolitionist8,</v>
      </c>
      <c r="D10" s="5" t="str">
        <f t="shared" si="2"/>
        <v>itemText,dailCompTextDemolitionist8,</v>
      </c>
      <c r="E10" s="5" t="str">
        <f t="shared" si="14"/>
        <v>augmentSkillLevel1,1,</v>
      </c>
      <c r="F10" s="5" t="str">
        <f t="shared" si="15"/>
        <v>augmentSkillName1,records/skills/playerclass02/grenado2.dbr,</v>
      </c>
      <c r="G10" s="7">
        <f t="shared" si="10"/>
        <v>8</v>
      </c>
      <c r="H10" s="8" t="str">
        <f t="shared" si="11"/>
        <v>Demolitionist</v>
      </c>
      <c r="I10" s="3" t="s">
        <v>270</v>
      </c>
      <c r="J10" s="8" t="str">
        <f t="shared" si="12"/>
        <v>class0002</v>
      </c>
      <c r="K10" s="8" t="str">
        <f t="shared" si="12"/>
        <v>dailoneskill0002</v>
      </c>
      <c r="L10" s="5" t="str">
        <f t="shared" si="4"/>
        <v>lootName8,DAIL/items/materia/class0002/Demolitionist8.dbr,</v>
      </c>
      <c r="M10" s="5" t="str">
        <f t="shared" si="5"/>
        <v>lootWeight8,1,</v>
      </c>
      <c r="N10" t="str">
        <f t="shared" si="6"/>
        <v>1</v>
      </c>
      <c r="O10" t="str">
        <f t="shared" si="16"/>
        <v>copy .\dail_base.dbr .\items\materia\class0002\Demolitionist8.dbr /y</v>
      </c>
      <c r="P10" t="str">
        <f t="shared" si="7"/>
        <v>echo relicBitmap,items/craftingparts/components/component_a52_bristlyfur_b.tex, &gt;&gt; .\items\materia\class0002\Demolitionist8.dbr</v>
      </c>
      <c r="Q10" t="str">
        <f t="shared" si="1"/>
        <v>echo itemCost,100000, &gt;&gt; .\items\materia\class0002\Demolitionist8.dbr</v>
      </c>
      <c r="R10" t="str">
        <f t="shared" si="1"/>
        <v>echo description,dailCompDescDemolitionist8, &gt;&gt; .\items\materia\class0002\Demolitionist8.dbr</v>
      </c>
      <c r="S10" t="str">
        <f t="shared" si="1"/>
        <v>echo itemText,dailCompTextDemolitionist8, &gt;&gt; .\items\materia\class0002\Demolitionist8.dbr</v>
      </c>
      <c r="T10" t="str">
        <f t="shared" si="1"/>
        <v>echo augmentSkillLevel1,1, &gt;&gt; .\items\materia\class0002\Demolitionist8.dbr</v>
      </c>
      <c r="U10" t="str">
        <f t="shared" si="1"/>
        <v>echo augmentSkillName1,records/skills/playerclass02/grenado2.dbr, &gt;&gt; .\items\materia\class0002\Demolitionist8.dbr</v>
      </c>
      <c r="V10" s="5" t="s">
        <v>36</v>
      </c>
      <c r="W10" t="str">
        <f t="shared" si="8"/>
        <v>echo lootName8,DAIL/items/materia/class0002/Demolitionist8.dbr, &gt;&gt; .\items\loottables\dailoneskill0002.dbr</v>
      </c>
      <c r="X10" t="str">
        <f t="shared" si="8"/>
        <v>echo lootWeight8,1, &gt;&gt; .\items\loottables\dailoneskill0002.dbr</v>
      </c>
      <c r="Y10" s="5" t="s">
        <v>36</v>
      </c>
      <c r="Z10" t="str">
        <f t="shared" si="9"/>
        <v xml:space="preserve"> dailCompDescDemolitionist8=^pDemolitionist's Gift of DAIL</v>
      </c>
      <c r="AA10" t="str">
        <f t="shared" si="17"/>
        <v>dailCompTextDemolitionist8=^oThis feels warm to the touch, almost familiar ^w(This component fits into all Jewellery slots including the Belt And Shoulder)</v>
      </c>
      <c r="AB10" s="5" t="s">
        <v>36</v>
      </c>
      <c r="AH10">
        <f t="shared" si="19"/>
        <v>5</v>
      </c>
      <c r="AI10">
        <f t="shared" si="13"/>
        <v>27</v>
      </c>
      <c r="AJ10">
        <f t="shared" si="18"/>
        <v>1</v>
      </c>
    </row>
    <row r="11" spans="1:38" x14ac:dyDescent="0.25">
      <c r="A11" s="5" t="s">
        <v>39</v>
      </c>
      <c r="B11" s="5" t="s">
        <v>0</v>
      </c>
      <c r="C11" s="5" t="str">
        <f t="shared" si="0"/>
        <v>description,dailCompDescDemolitionist9,</v>
      </c>
      <c r="D11" s="5" t="str">
        <f t="shared" si="2"/>
        <v>itemText,dailCompTextDemolitionist9,</v>
      </c>
      <c r="E11" s="5" t="str">
        <f t="shared" si="14"/>
        <v>augmentSkillLevel1,1,</v>
      </c>
      <c r="F11" s="5" t="str">
        <f t="shared" si="15"/>
        <v>augmentSkillName1,records/skills/playerclass02/grenado3.dbr,</v>
      </c>
      <c r="G11" s="7">
        <f t="shared" si="10"/>
        <v>9</v>
      </c>
      <c r="H11" s="8" t="str">
        <f t="shared" si="11"/>
        <v>Demolitionist</v>
      </c>
      <c r="I11" s="3" t="s">
        <v>271</v>
      </c>
      <c r="J11" s="8" t="str">
        <f t="shared" si="12"/>
        <v>class0002</v>
      </c>
      <c r="K11" s="8" t="str">
        <f t="shared" si="12"/>
        <v>dailoneskill0002</v>
      </c>
      <c r="L11" s="5" t="str">
        <f t="shared" si="4"/>
        <v>lootName9,DAIL/items/materia/class0002/Demolitionist9.dbr,</v>
      </c>
      <c r="M11" s="5" t="str">
        <f t="shared" si="5"/>
        <v>lootWeight9,1,</v>
      </c>
      <c r="N11" t="str">
        <f t="shared" si="6"/>
        <v>1</v>
      </c>
      <c r="O11" t="str">
        <f t="shared" si="16"/>
        <v>copy .\dail_base.dbr .\items\materia\class0002\Demolitionist9.dbr /y</v>
      </c>
      <c r="P11" t="str">
        <f t="shared" si="7"/>
        <v>echo relicBitmap,items/craftingparts/components/component_a52_bristlyfur_b.tex, &gt;&gt; .\items\materia\class0002\Demolitionist9.dbr</v>
      </c>
      <c r="Q11" t="str">
        <f t="shared" si="1"/>
        <v>echo itemCost,100000, &gt;&gt; .\items\materia\class0002\Demolitionist9.dbr</v>
      </c>
      <c r="R11" t="str">
        <f t="shared" si="1"/>
        <v>echo description,dailCompDescDemolitionist9, &gt;&gt; .\items\materia\class0002\Demolitionist9.dbr</v>
      </c>
      <c r="S11" t="str">
        <f t="shared" si="1"/>
        <v>echo itemText,dailCompTextDemolitionist9, &gt;&gt; .\items\materia\class0002\Demolitionist9.dbr</v>
      </c>
      <c r="T11" t="str">
        <f t="shared" si="1"/>
        <v>echo augmentSkillLevel1,1, &gt;&gt; .\items\materia\class0002\Demolitionist9.dbr</v>
      </c>
      <c r="U11" t="str">
        <f t="shared" si="1"/>
        <v>echo augmentSkillName1,records/skills/playerclass02/grenado3.dbr, &gt;&gt; .\items\materia\class0002\Demolitionist9.dbr</v>
      </c>
      <c r="V11" s="5" t="s">
        <v>36</v>
      </c>
      <c r="W11" t="str">
        <f t="shared" si="8"/>
        <v>echo lootName9,DAIL/items/materia/class0002/Demolitionist9.dbr, &gt;&gt; .\items\loottables\dailoneskill0002.dbr</v>
      </c>
      <c r="X11" t="str">
        <f t="shared" si="8"/>
        <v>echo lootWeight9,1, &gt;&gt; .\items\loottables\dailoneskill0002.dbr</v>
      </c>
      <c r="Y11" s="5" t="s">
        <v>36</v>
      </c>
      <c r="Z11" t="str">
        <f t="shared" si="9"/>
        <v xml:space="preserve"> dailCompDescDemolitionist9=^pDemolitionist's Gift of DAIL</v>
      </c>
      <c r="AA11" t="str">
        <f t="shared" si="17"/>
        <v>dailCompTextDemolitionist9=^oThis feels warm to the touch, almost familiar ^w(This component fits into all Jewellery slots including the Belt And Shoulder)</v>
      </c>
      <c r="AB11" s="5" t="s">
        <v>36</v>
      </c>
      <c r="AH11">
        <f t="shared" si="19"/>
        <v>6</v>
      </c>
      <c r="AI11">
        <f t="shared" si="13"/>
        <v>27</v>
      </c>
      <c r="AJ11">
        <f t="shared" si="18"/>
        <v>1</v>
      </c>
    </row>
    <row r="12" spans="1:38" x14ac:dyDescent="0.25">
      <c r="A12" s="5" t="s">
        <v>39</v>
      </c>
      <c r="B12" s="5" t="s">
        <v>0</v>
      </c>
      <c r="C12" s="5" t="str">
        <f t="shared" si="0"/>
        <v>description,dailCompDescDemolitionist10,</v>
      </c>
      <c r="D12" s="5" t="str">
        <f t="shared" si="2"/>
        <v>itemText,dailCompTextDemolitionist10,</v>
      </c>
      <c r="E12" s="5" t="str">
        <f t="shared" si="14"/>
        <v>augmentSkillLevel1,1,</v>
      </c>
      <c r="F12" s="5" t="str">
        <f t="shared" si="15"/>
        <v>augmentSkillName1,records/skills/playerclass02/passive2.dbr,</v>
      </c>
      <c r="G12" s="7">
        <f t="shared" si="10"/>
        <v>10</v>
      </c>
      <c r="H12" s="8" t="str">
        <f t="shared" si="11"/>
        <v>Demolitionist</v>
      </c>
      <c r="I12" s="3" t="s">
        <v>269</v>
      </c>
      <c r="J12" s="8" t="str">
        <f t="shared" si="12"/>
        <v>class0002</v>
      </c>
      <c r="K12" s="8" t="str">
        <f t="shared" si="12"/>
        <v>dailoneskill0002</v>
      </c>
      <c r="L12" s="5" t="str">
        <f t="shared" si="4"/>
        <v>lootName10,DAIL/items/materia/class0002/Demolitionist10.dbr,</v>
      </c>
      <c r="M12" s="5" t="str">
        <f t="shared" si="5"/>
        <v>lootWeight10,1,</v>
      </c>
      <c r="N12" t="str">
        <f t="shared" si="6"/>
        <v>1</v>
      </c>
      <c r="O12" t="str">
        <f t="shared" si="16"/>
        <v>copy .\dail_base.dbr .\items\materia\class0002\Demolitionist10.dbr /y</v>
      </c>
      <c r="P12" t="str">
        <f t="shared" si="7"/>
        <v>echo relicBitmap,items/craftingparts/components/component_a52_bristlyfur_b.tex, &gt;&gt; .\items\materia\class0002\Demolitionist10.dbr</v>
      </c>
      <c r="Q12" t="str">
        <f t="shared" si="1"/>
        <v>echo itemCost,100000, &gt;&gt; .\items\materia\class0002\Demolitionist10.dbr</v>
      </c>
      <c r="R12" t="str">
        <f t="shared" si="1"/>
        <v>echo description,dailCompDescDemolitionist10, &gt;&gt; .\items\materia\class0002\Demolitionist10.dbr</v>
      </c>
      <c r="S12" t="str">
        <f t="shared" si="1"/>
        <v>echo itemText,dailCompTextDemolitionist10, &gt;&gt; .\items\materia\class0002\Demolitionist10.dbr</v>
      </c>
      <c r="T12" t="str">
        <f t="shared" si="1"/>
        <v>echo augmentSkillLevel1,1, &gt;&gt; .\items\materia\class0002\Demolitionist10.dbr</v>
      </c>
      <c r="U12" t="str">
        <f t="shared" si="1"/>
        <v>echo augmentSkillName1,records/skills/playerclass02/passive2.dbr, &gt;&gt; .\items\materia\class0002\Demolitionist10.dbr</v>
      </c>
      <c r="V12" s="5" t="s">
        <v>36</v>
      </c>
      <c r="W12" t="str">
        <f t="shared" si="8"/>
        <v>echo lootName10,DAIL/items/materia/class0002/Demolitionist10.dbr, &gt;&gt; .\items\loottables\dailoneskill0002.dbr</v>
      </c>
      <c r="X12" t="str">
        <f t="shared" si="8"/>
        <v>echo lootWeight10,1, &gt;&gt; .\items\loottables\dailoneskill0002.dbr</v>
      </c>
      <c r="Y12" s="5" t="s">
        <v>36</v>
      </c>
      <c r="Z12" t="str">
        <f t="shared" si="9"/>
        <v xml:space="preserve"> dailCompDescDemolitionist10=^pDemolitionist's Gift of DAIL</v>
      </c>
      <c r="AA12" t="str">
        <f t="shared" si="17"/>
        <v>dailCompTextDemolitionist10=^oThis feels warm to the touch, almost familiar ^w(This component fits into all Jewellery slots including the Belt And Shoulder)</v>
      </c>
      <c r="AB12" s="5" t="s">
        <v>36</v>
      </c>
      <c r="AH12">
        <f t="shared" si="19"/>
        <v>7</v>
      </c>
      <c r="AI12">
        <f t="shared" si="13"/>
        <v>27</v>
      </c>
      <c r="AJ12">
        <f t="shared" si="18"/>
        <v>1</v>
      </c>
    </row>
    <row r="13" spans="1:38" x14ac:dyDescent="0.25">
      <c r="A13" s="5" t="s">
        <v>39</v>
      </c>
      <c r="B13" s="5" t="s">
        <v>0</v>
      </c>
      <c r="C13" s="5" t="str">
        <f t="shared" si="0"/>
        <v>description,dailCompDescDemolitionist11,</v>
      </c>
      <c r="D13" s="5" t="str">
        <f t="shared" si="2"/>
        <v>itemText,dailCompTextDemolitionist11,</v>
      </c>
      <c r="E13" s="5" t="str">
        <f t="shared" si="14"/>
        <v>augmentSkillLevel1,1,</v>
      </c>
      <c r="F13" s="5" t="str">
        <f t="shared" si="15"/>
        <v>augmentSkillName1,records/skills/playerclass02/passive1.dbr,</v>
      </c>
      <c r="G13" s="7">
        <f t="shared" si="10"/>
        <v>11</v>
      </c>
      <c r="H13" s="8" t="str">
        <f t="shared" si="11"/>
        <v>Demolitionist</v>
      </c>
      <c r="I13" s="3" t="s">
        <v>57</v>
      </c>
      <c r="J13" s="8" t="str">
        <f t="shared" si="12"/>
        <v>class0002</v>
      </c>
      <c r="K13" s="8" t="str">
        <f t="shared" si="12"/>
        <v>dailoneskill0002</v>
      </c>
      <c r="L13" s="5" t="str">
        <f t="shared" si="4"/>
        <v>lootName11,DAIL/items/materia/class0002/Demolitionist11.dbr,</v>
      </c>
      <c r="M13" s="5" t="str">
        <f t="shared" si="5"/>
        <v>lootWeight11,1,</v>
      </c>
      <c r="N13" t="str">
        <f t="shared" si="6"/>
        <v>1</v>
      </c>
      <c r="O13" t="str">
        <f t="shared" si="16"/>
        <v>copy .\dail_base.dbr .\items\materia\class0002\Demolitionist11.dbr /y</v>
      </c>
      <c r="P13" t="str">
        <f t="shared" si="7"/>
        <v>echo relicBitmap,items/craftingparts/components/component_a52_bristlyfur_b.tex, &gt;&gt; .\items\materia\class0002\Demolitionist11.dbr</v>
      </c>
      <c r="Q13" t="str">
        <f t="shared" si="1"/>
        <v>echo itemCost,100000, &gt;&gt; .\items\materia\class0002\Demolitionist11.dbr</v>
      </c>
      <c r="R13" t="str">
        <f t="shared" si="1"/>
        <v>echo description,dailCompDescDemolitionist11, &gt;&gt; .\items\materia\class0002\Demolitionist11.dbr</v>
      </c>
      <c r="S13" t="str">
        <f t="shared" si="1"/>
        <v>echo itemText,dailCompTextDemolitionist11, &gt;&gt; .\items\materia\class0002\Demolitionist11.dbr</v>
      </c>
      <c r="T13" t="str">
        <f t="shared" si="1"/>
        <v>echo augmentSkillLevel1,1, &gt;&gt; .\items\materia\class0002\Demolitionist11.dbr</v>
      </c>
      <c r="U13" t="str">
        <f t="shared" si="1"/>
        <v>echo augmentSkillName1,records/skills/playerclass02/passive1.dbr, &gt;&gt; .\items\materia\class0002\Demolitionist11.dbr</v>
      </c>
      <c r="V13" s="5" t="s">
        <v>36</v>
      </c>
      <c r="W13" t="str">
        <f t="shared" si="8"/>
        <v>echo lootName11,DAIL/items/materia/class0002/Demolitionist11.dbr, &gt;&gt; .\items\loottables\dailoneskill0002.dbr</v>
      </c>
      <c r="X13" t="str">
        <f t="shared" si="8"/>
        <v>echo lootWeight11,1, &gt;&gt; .\items\loottables\dailoneskill0002.dbr</v>
      </c>
      <c r="Y13" s="5" t="s">
        <v>36</v>
      </c>
      <c r="Z13" t="str">
        <f t="shared" si="9"/>
        <v xml:space="preserve"> dailCompDescDemolitionist11=^pDemolitionist's Gift of DAIL</v>
      </c>
      <c r="AA13" t="str">
        <f t="shared" si="17"/>
        <v>dailCompTextDemolitionist11=^oThis feels warm to the touch, almost familiar ^w(This component fits into all Jewellery slots including the Belt And Shoulder)</v>
      </c>
      <c r="AB13" s="5" t="s">
        <v>36</v>
      </c>
      <c r="AH13">
        <f t="shared" si="19"/>
        <v>8</v>
      </c>
      <c r="AI13">
        <f t="shared" si="13"/>
        <v>27</v>
      </c>
      <c r="AJ13">
        <f t="shared" si="18"/>
        <v>1</v>
      </c>
    </row>
    <row r="14" spans="1:38" x14ac:dyDescent="0.25">
      <c r="A14" s="5" t="s">
        <v>39</v>
      </c>
      <c r="B14" s="5" t="s">
        <v>0</v>
      </c>
      <c r="C14" s="5" t="str">
        <f t="shared" si="0"/>
        <v>description,dailCompDescDemolitionist12,</v>
      </c>
      <c r="D14" s="5" t="str">
        <f t="shared" si="2"/>
        <v>itemText,dailCompTextDemolitionist12,</v>
      </c>
      <c r="E14" s="5" t="str">
        <f t="shared" si="14"/>
        <v>augmentSkillLevel1,1,</v>
      </c>
      <c r="F14" s="5" t="str">
        <f t="shared" si="15"/>
        <v>augmentSkillName1,records/skills/playerclass02/blackwater1.dbr,</v>
      </c>
      <c r="G14" s="7">
        <f t="shared" si="10"/>
        <v>12</v>
      </c>
      <c r="H14" s="8" t="str">
        <f t="shared" si="11"/>
        <v>Demolitionist</v>
      </c>
      <c r="I14" s="3" t="s">
        <v>50</v>
      </c>
      <c r="J14" s="8" t="str">
        <f t="shared" si="12"/>
        <v>class0002</v>
      </c>
      <c r="K14" s="8" t="str">
        <f t="shared" si="12"/>
        <v>dailoneskill0002</v>
      </c>
      <c r="L14" s="5" t="str">
        <f t="shared" si="4"/>
        <v>lootName12,DAIL/items/materia/class0002/Demolitionist12.dbr,</v>
      </c>
      <c r="M14" s="5" t="str">
        <f t="shared" si="5"/>
        <v>lootWeight12,1,</v>
      </c>
      <c r="N14" t="str">
        <f t="shared" si="6"/>
        <v>1</v>
      </c>
      <c r="O14" t="str">
        <f t="shared" si="16"/>
        <v>copy .\dail_base.dbr .\items\materia\class0002\Demolitionist12.dbr /y</v>
      </c>
      <c r="P14" t="str">
        <f t="shared" si="7"/>
        <v>echo relicBitmap,items/craftingparts/components/component_a52_bristlyfur_b.tex, &gt;&gt; .\items\materia\class0002\Demolitionist12.dbr</v>
      </c>
      <c r="Q14" t="str">
        <f t="shared" si="1"/>
        <v>echo itemCost,100000, &gt;&gt; .\items\materia\class0002\Demolitionist12.dbr</v>
      </c>
      <c r="R14" t="str">
        <f t="shared" si="1"/>
        <v>echo description,dailCompDescDemolitionist12, &gt;&gt; .\items\materia\class0002\Demolitionist12.dbr</v>
      </c>
      <c r="S14" t="str">
        <f t="shared" si="1"/>
        <v>echo itemText,dailCompTextDemolitionist12, &gt;&gt; .\items\materia\class0002\Demolitionist12.dbr</v>
      </c>
      <c r="T14" t="str">
        <f t="shared" si="1"/>
        <v>echo augmentSkillLevel1,1, &gt;&gt; .\items\materia\class0002\Demolitionist12.dbr</v>
      </c>
      <c r="U14" t="str">
        <f t="shared" si="1"/>
        <v>echo augmentSkillName1,records/skills/playerclass02/blackwater1.dbr, &gt;&gt; .\items\materia\class0002\Demolitionist12.dbr</v>
      </c>
      <c r="V14" s="5" t="s">
        <v>36</v>
      </c>
      <c r="W14" t="str">
        <f t="shared" si="8"/>
        <v>echo lootName12,DAIL/items/materia/class0002/Demolitionist12.dbr, &gt;&gt; .\items\loottables\dailoneskill0002.dbr</v>
      </c>
      <c r="X14" t="str">
        <f t="shared" si="8"/>
        <v>echo lootWeight12,1, &gt;&gt; .\items\loottables\dailoneskill0002.dbr</v>
      </c>
      <c r="Y14" s="5" t="s">
        <v>36</v>
      </c>
      <c r="Z14" t="str">
        <f t="shared" si="9"/>
        <v xml:space="preserve"> dailCompDescDemolitionist12=^pDemolitionist's Gift of DAIL</v>
      </c>
      <c r="AA14" t="str">
        <f t="shared" si="17"/>
        <v>dailCompTextDemolitionist12=^oThis feels warm to the touch, almost familiar ^w(This component fits into all Jewellery slots including the Belt And Shoulder)</v>
      </c>
      <c r="AB14" s="5" t="s">
        <v>36</v>
      </c>
      <c r="AH14">
        <f t="shared" si="19"/>
        <v>9</v>
      </c>
      <c r="AI14">
        <f t="shared" si="13"/>
        <v>30</v>
      </c>
      <c r="AJ14">
        <f t="shared" si="18"/>
        <v>1</v>
      </c>
    </row>
    <row r="15" spans="1:38" x14ac:dyDescent="0.25">
      <c r="A15" s="5" t="s">
        <v>39</v>
      </c>
      <c r="B15" s="5" t="s">
        <v>0</v>
      </c>
      <c r="C15" s="5" t="str">
        <f t="shared" si="0"/>
        <v>description,dailCompDescDemolitionist13,</v>
      </c>
      <c r="D15" s="5" t="str">
        <f t="shared" si="2"/>
        <v>itemText,dailCompTextDemolitionist13,</v>
      </c>
      <c r="E15" s="5" t="str">
        <f t="shared" si="14"/>
        <v>augmentSkillLevel1,1,</v>
      </c>
      <c r="F15" s="5" t="str">
        <f t="shared" si="15"/>
        <v>augmentSkillName1,records/skills/playerclass02/blackwater1b.dbr,</v>
      </c>
      <c r="G15" s="7">
        <f t="shared" si="10"/>
        <v>13</v>
      </c>
      <c r="H15" s="8" t="str">
        <f t="shared" si="11"/>
        <v>Demolitionist</v>
      </c>
      <c r="I15" s="3" t="s">
        <v>272</v>
      </c>
      <c r="J15" s="8" t="str">
        <f t="shared" si="12"/>
        <v>class0002</v>
      </c>
      <c r="K15" s="8" t="str">
        <f t="shared" si="12"/>
        <v>dailoneskill0002</v>
      </c>
      <c r="L15" s="5" t="str">
        <f t="shared" si="4"/>
        <v>lootName13,DAIL/items/materia/class0002/Demolitionist13.dbr,</v>
      </c>
      <c r="M15" s="5" t="str">
        <f t="shared" si="5"/>
        <v>lootWeight13,1,</v>
      </c>
      <c r="N15" t="str">
        <f t="shared" si="6"/>
        <v>1</v>
      </c>
      <c r="O15" t="str">
        <f t="shared" si="16"/>
        <v>copy .\dail_base.dbr .\items\materia\class0002\Demolitionist13.dbr /y</v>
      </c>
      <c r="P15" t="str">
        <f t="shared" si="7"/>
        <v>echo relicBitmap,items/craftingparts/components/component_a52_bristlyfur_b.tex, &gt;&gt; .\items\materia\class0002\Demolitionist13.dbr</v>
      </c>
      <c r="Q15" t="str">
        <f t="shared" si="1"/>
        <v>echo itemCost,100000, &gt;&gt; .\items\materia\class0002\Demolitionist13.dbr</v>
      </c>
      <c r="R15" t="str">
        <f t="shared" si="1"/>
        <v>echo description,dailCompDescDemolitionist13, &gt;&gt; .\items\materia\class0002\Demolitionist13.dbr</v>
      </c>
      <c r="S15" t="str">
        <f t="shared" si="1"/>
        <v>echo itemText,dailCompTextDemolitionist13, &gt;&gt; .\items\materia\class0002\Demolitionist13.dbr</v>
      </c>
      <c r="T15" t="str">
        <f t="shared" si="1"/>
        <v>echo augmentSkillLevel1,1, &gt;&gt; .\items\materia\class0002\Demolitionist13.dbr</v>
      </c>
      <c r="U15" t="str">
        <f t="shared" si="1"/>
        <v>echo augmentSkillName1,records/skills/playerclass02/blackwater1b.dbr, &gt;&gt; .\items\materia\class0002\Demolitionist13.dbr</v>
      </c>
      <c r="V15" s="5" t="s">
        <v>36</v>
      </c>
      <c r="W15" t="str">
        <f t="shared" si="8"/>
        <v>echo lootName13,DAIL/items/materia/class0002/Demolitionist13.dbr, &gt;&gt; .\items\loottables\dailoneskill0002.dbr</v>
      </c>
      <c r="X15" t="str">
        <f t="shared" si="8"/>
        <v>echo lootWeight13,1, &gt;&gt; .\items\loottables\dailoneskill0002.dbr</v>
      </c>
      <c r="Y15" s="5" t="s">
        <v>36</v>
      </c>
      <c r="Z15" t="str">
        <f t="shared" si="9"/>
        <v xml:space="preserve"> dailCompDescDemolitionist13=^pDemolitionist's Gift of DAIL</v>
      </c>
      <c r="AA15" t="str">
        <f t="shared" si="17"/>
        <v>dailCompTextDemolitionist13=^oThis feels warm to the touch, almost familiar ^w(This component fits into all Jewellery slots including the Belt And Shoulder)</v>
      </c>
      <c r="AB15" s="5" t="s">
        <v>36</v>
      </c>
      <c r="AH15">
        <f t="shared" si="19"/>
        <v>10</v>
      </c>
      <c r="AI15">
        <f t="shared" si="13"/>
        <v>31</v>
      </c>
      <c r="AJ15">
        <f t="shared" si="18"/>
        <v>1</v>
      </c>
    </row>
    <row r="16" spans="1:38" x14ac:dyDescent="0.25">
      <c r="A16" s="5" t="s">
        <v>39</v>
      </c>
      <c r="B16" s="5" t="s">
        <v>0</v>
      </c>
      <c r="C16" s="5" t="str">
        <f t="shared" si="0"/>
        <v>description,dailCompDescDemolitionist14,</v>
      </c>
      <c r="D16" s="5" t="str">
        <f t="shared" si="2"/>
        <v>itemText,dailCompTextDemolitionist14,</v>
      </c>
      <c r="E16" s="5" t="str">
        <f t="shared" si="14"/>
        <v>augmentSkillLevel1,1,</v>
      </c>
      <c r="F16" s="5" t="str">
        <f t="shared" si="15"/>
        <v>augmentSkillName1,records/skills/playerclass02/blastshield1.dbr,</v>
      </c>
      <c r="G16" s="7">
        <f t="shared" si="10"/>
        <v>14</v>
      </c>
      <c r="H16" s="8" t="str">
        <f t="shared" si="11"/>
        <v>Demolitionist</v>
      </c>
      <c r="I16" s="3" t="s">
        <v>51</v>
      </c>
      <c r="J16" s="8" t="str">
        <f t="shared" si="12"/>
        <v>class0002</v>
      </c>
      <c r="K16" s="8" t="str">
        <f t="shared" si="12"/>
        <v>dailoneskill0002</v>
      </c>
      <c r="L16" s="5" t="str">
        <f t="shared" si="4"/>
        <v>lootName14,DAIL/items/materia/class0002/Demolitionist14.dbr,</v>
      </c>
      <c r="M16" s="5" t="str">
        <f t="shared" si="5"/>
        <v>lootWeight14,1,</v>
      </c>
      <c r="N16" t="str">
        <f t="shared" si="6"/>
        <v>1</v>
      </c>
      <c r="O16" t="str">
        <f t="shared" si="16"/>
        <v>copy .\dail_base.dbr .\items\materia\class0002\Demolitionist14.dbr /y</v>
      </c>
      <c r="P16" t="str">
        <f t="shared" si="7"/>
        <v>echo relicBitmap,items/craftingparts/components/component_a52_bristlyfur_b.tex, &gt;&gt; .\items\materia\class0002\Demolitionist14.dbr</v>
      </c>
      <c r="Q16" t="str">
        <f t="shared" si="1"/>
        <v>echo itemCost,100000, &gt;&gt; .\items\materia\class0002\Demolitionist14.dbr</v>
      </c>
      <c r="R16" t="str">
        <f t="shared" si="1"/>
        <v>echo description,dailCompDescDemolitionist14, &gt;&gt; .\items\materia\class0002\Demolitionist14.dbr</v>
      </c>
      <c r="S16" t="str">
        <f t="shared" si="1"/>
        <v>echo itemText,dailCompTextDemolitionist14, &gt;&gt; .\items\materia\class0002\Demolitionist14.dbr</v>
      </c>
      <c r="T16" t="str">
        <f t="shared" si="1"/>
        <v>echo augmentSkillLevel1,1, &gt;&gt; .\items\materia\class0002\Demolitionist14.dbr</v>
      </c>
      <c r="U16" t="str">
        <f t="shared" si="1"/>
        <v>echo augmentSkillName1,records/skills/playerclass02/blastshield1.dbr, &gt;&gt; .\items\materia\class0002\Demolitionist14.dbr</v>
      </c>
      <c r="V16" s="5" t="s">
        <v>36</v>
      </c>
      <c r="W16" t="str">
        <f t="shared" si="8"/>
        <v>echo lootName14,DAIL/items/materia/class0002/Demolitionist14.dbr, &gt;&gt; .\items\loottables\dailoneskill0002.dbr</v>
      </c>
      <c r="X16" t="str">
        <f t="shared" si="8"/>
        <v>echo lootWeight14,1, &gt;&gt; .\items\loottables\dailoneskill0002.dbr</v>
      </c>
      <c r="Y16" s="5" t="s">
        <v>36</v>
      </c>
      <c r="Z16" t="str">
        <f t="shared" si="9"/>
        <v xml:space="preserve"> dailCompDescDemolitionist14=^pDemolitionist's Gift of DAIL</v>
      </c>
      <c r="AA16" t="str">
        <f t="shared" si="17"/>
        <v>dailCompTextDemolitionist14=^oThis feels warm to the touch, almost familiar ^w(This component fits into all Jewellery slots including the Belt And Shoulder)</v>
      </c>
      <c r="AB16" s="5" t="s">
        <v>36</v>
      </c>
      <c r="AH16">
        <f t="shared" si="19"/>
        <v>11</v>
      </c>
      <c r="AI16">
        <f t="shared" si="13"/>
        <v>31</v>
      </c>
      <c r="AJ16">
        <f t="shared" si="18"/>
        <v>1</v>
      </c>
    </row>
    <row r="17" spans="1:36" x14ac:dyDescent="0.25">
      <c r="A17" s="5" t="s">
        <v>39</v>
      </c>
      <c r="B17" s="5" t="s">
        <v>0</v>
      </c>
      <c r="C17" s="5" t="str">
        <f t="shared" si="0"/>
        <v>description,dailCompDescDemolitionist15,</v>
      </c>
      <c r="D17" s="5" t="str">
        <f t="shared" si="2"/>
        <v>itemText,dailCompTextDemolitionist15,</v>
      </c>
      <c r="E17" s="5" t="str">
        <f t="shared" si="14"/>
        <v>augmentSkillLevel1,1,</v>
      </c>
      <c r="F17" s="5" t="str">
        <f t="shared" si="15"/>
        <v>augmentSkillName1,records/skills/playerclass02/blackwater2.dbr,</v>
      </c>
      <c r="G17" s="7">
        <f t="shared" si="10"/>
        <v>15</v>
      </c>
      <c r="H17" s="8" t="str">
        <f t="shared" si="11"/>
        <v>Demolitionist</v>
      </c>
      <c r="I17" s="3" t="s">
        <v>273</v>
      </c>
      <c r="J17" s="8" t="str">
        <f t="shared" si="12"/>
        <v>class0002</v>
      </c>
      <c r="K17" s="8" t="str">
        <f t="shared" si="12"/>
        <v>dailoneskill0002</v>
      </c>
      <c r="L17" s="5" t="str">
        <f t="shared" si="4"/>
        <v>lootName15,DAIL/items/materia/class0002/Demolitionist15.dbr,</v>
      </c>
      <c r="M17" s="5" t="str">
        <f t="shared" si="5"/>
        <v>lootWeight15,1,</v>
      </c>
      <c r="N17" t="str">
        <f t="shared" si="6"/>
        <v>1</v>
      </c>
      <c r="O17" t="str">
        <f t="shared" si="16"/>
        <v>copy .\dail_base.dbr .\items\materia\class0002\Demolitionist15.dbr /y</v>
      </c>
      <c r="P17" t="str">
        <f t="shared" si="7"/>
        <v>echo relicBitmap,items/craftingparts/components/component_a52_bristlyfur_b.tex, &gt;&gt; .\items\materia\class0002\Demolitionist15.dbr</v>
      </c>
      <c r="Q17" t="str">
        <f t="shared" si="1"/>
        <v>echo itemCost,100000, &gt;&gt; .\items\materia\class0002\Demolitionist15.dbr</v>
      </c>
      <c r="R17" t="str">
        <f t="shared" si="1"/>
        <v>echo description,dailCompDescDemolitionist15, &gt;&gt; .\items\materia\class0002\Demolitionist15.dbr</v>
      </c>
      <c r="S17" t="str">
        <f t="shared" si="1"/>
        <v>echo itemText,dailCompTextDemolitionist15, &gt;&gt; .\items\materia\class0002\Demolitionist15.dbr</v>
      </c>
      <c r="T17" t="str">
        <f t="shared" si="1"/>
        <v>echo augmentSkillLevel1,1, &gt;&gt; .\items\materia\class0002\Demolitionist15.dbr</v>
      </c>
      <c r="U17" t="str">
        <f t="shared" si="1"/>
        <v>echo augmentSkillName1,records/skills/playerclass02/blackwater2.dbr, &gt;&gt; .\items\materia\class0002\Demolitionist15.dbr</v>
      </c>
      <c r="V17" s="5" t="s">
        <v>36</v>
      </c>
      <c r="W17" t="str">
        <f t="shared" si="8"/>
        <v>echo lootName15,DAIL/items/materia/class0002/Demolitionist15.dbr, &gt;&gt; .\items\loottables\dailoneskill0002.dbr</v>
      </c>
      <c r="X17" t="str">
        <f t="shared" si="8"/>
        <v>echo lootWeight15,1, &gt;&gt; .\items\loottables\dailoneskill0002.dbr</v>
      </c>
      <c r="Y17" s="5" t="s">
        <v>36</v>
      </c>
      <c r="Z17" t="str">
        <f t="shared" si="9"/>
        <v xml:space="preserve"> dailCompDescDemolitionist15=^pDemolitionist's Gift of DAIL</v>
      </c>
      <c r="AA17" t="str">
        <f t="shared" si="17"/>
        <v>dailCompTextDemolitionist15=^oThis feels warm to the touch, almost familiar ^w(This component fits into all Jewellery slots including the Belt And Shoulder)</v>
      </c>
      <c r="AB17" s="5" t="s">
        <v>36</v>
      </c>
      <c r="AH17">
        <f t="shared" si="19"/>
        <v>12</v>
      </c>
      <c r="AI17">
        <f t="shared" si="13"/>
        <v>30</v>
      </c>
      <c r="AJ17">
        <f t="shared" si="18"/>
        <v>1</v>
      </c>
    </row>
    <row r="18" spans="1:36" x14ac:dyDescent="0.25">
      <c r="A18" s="5" t="s">
        <v>39</v>
      </c>
      <c r="B18" s="5" t="s">
        <v>0</v>
      </c>
      <c r="C18" s="5" t="str">
        <f t="shared" si="0"/>
        <v>description,dailCompDescDemolitionist16,</v>
      </c>
      <c r="D18" s="5" t="str">
        <f t="shared" si="2"/>
        <v>itemText,dailCompTextDemolitionist16,</v>
      </c>
      <c r="E18" s="5" t="str">
        <f t="shared" si="14"/>
        <v>augmentSkillLevel1,1,</v>
      </c>
      <c r="F18" s="5" t="str">
        <f t="shared" si="15"/>
        <v>augmentSkillName1,records/skills/playerclass02/blackwater3.dbr,</v>
      </c>
      <c r="G18" s="7">
        <f t="shared" si="10"/>
        <v>16</v>
      </c>
      <c r="H18" s="8" t="str">
        <f t="shared" si="11"/>
        <v>Demolitionist</v>
      </c>
      <c r="I18" s="3" t="s">
        <v>274</v>
      </c>
      <c r="J18" s="8" t="str">
        <f t="shared" si="12"/>
        <v>class0002</v>
      </c>
      <c r="K18" s="8" t="str">
        <f t="shared" si="12"/>
        <v>dailoneskill0002</v>
      </c>
      <c r="L18" s="5" t="str">
        <f t="shared" si="4"/>
        <v>lootName16,DAIL/items/materia/class0002/Demolitionist16.dbr,</v>
      </c>
      <c r="M18" s="5" t="str">
        <f t="shared" si="5"/>
        <v>lootWeight16,1,</v>
      </c>
      <c r="N18" t="str">
        <f t="shared" si="6"/>
        <v>1</v>
      </c>
      <c r="O18" t="str">
        <f t="shared" si="16"/>
        <v>copy .\dail_base.dbr .\items\materia\class0002\Demolitionist16.dbr /y</v>
      </c>
      <c r="P18" t="str">
        <f t="shared" si="7"/>
        <v>echo relicBitmap,items/craftingparts/components/component_a52_bristlyfur_b.tex, &gt;&gt; .\items\materia\class0002\Demolitionist16.dbr</v>
      </c>
      <c r="Q18" t="str">
        <f t="shared" si="1"/>
        <v>echo itemCost,100000, &gt;&gt; .\items\materia\class0002\Demolitionist16.dbr</v>
      </c>
      <c r="R18" t="str">
        <f t="shared" si="1"/>
        <v>echo description,dailCompDescDemolitionist16, &gt;&gt; .\items\materia\class0002\Demolitionist16.dbr</v>
      </c>
      <c r="S18" t="str">
        <f t="shared" si="1"/>
        <v>echo itemText,dailCompTextDemolitionist16, &gt;&gt; .\items\materia\class0002\Demolitionist16.dbr</v>
      </c>
      <c r="T18" t="str">
        <f t="shared" si="1"/>
        <v>echo augmentSkillLevel1,1, &gt;&gt; .\items\materia\class0002\Demolitionist16.dbr</v>
      </c>
      <c r="U18" t="str">
        <f t="shared" si="1"/>
        <v>echo augmentSkillName1,records/skills/playerclass02/blackwater3.dbr, &gt;&gt; .\items\materia\class0002\Demolitionist16.dbr</v>
      </c>
      <c r="V18" s="5" t="s">
        <v>36</v>
      </c>
      <c r="W18" t="str">
        <f t="shared" si="8"/>
        <v>echo lootName16,DAIL/items/materia/class0002/Demolitionist16.dbr, &gt;&gt; .\items\loottables\dailoneskill0002.dbr</v>
      </c>
      <c r="X18" t="str">
        <f t="shared" si="8"/>
        <v>echo lootWeight16,1, &gt;&gt; .\items\loottables\dailoneskill0002.dbr</v>
      </c>
      <c r="Y18" s="5" t="s">
        <v>36</v>
      </c>
      <c r="Z18" t="str">
        <f t="shared" si="9"/>
        <v xml:space="preserve"> dailCompDescDemolitionist16=^pDemolitionist's Gift of DAIL</v>
      </c>
      <c r="AA18" t="str">
        <f t="shared" si="17"/>
        <v>dailCompTextDemolitionist16=^oThis feels warm to the touch, almost familiar ^w(This component fits into all Jewellery slots including the Belt And Shoulder)</v>
      </c>
      <c r="AB18" s="5" t="s">
        <v>36</v>
      </c>
      <c r="AH18">
        <f t="shared" si="19"/>
        <v>13</v>
      </c>
      <c r="AI18">
        <f t="shared" si="13"/>
        <v>30</v>
      </c>
      <c r="AJ18">
        <f t="shared" si="18"/>
        <v>1</v>
      </c>
    </row>
    <row r="19" spans="1:36" x14ac:dyDescent="0.25">
      <c r="A19" s="5" t="s">
        <v>39</v>
      </c>
      <c r="B19" s="5" t="s">
        <v>28</v>
      </c>
      <c r="C19" s="5" t="str">
        <f t="shared" si="0"/>
        <v>description,dailCompDescDemolitionist17,</v>
      </c>
      <c r="D19" s="5" t="str">
        <f t="shared" si="2"/>
        <v>itemText,dailCompTextDemolitionist17,</v>
      </c>
      <c r="E19" s="5" t="str">
        <f t="shared" si="14"/>
        <v>augmentSkillLevel1,1,</v>
      </c>
      <c r="F19" s="5" t="str">
        <f t="shared" si="15"/>
        <v>augmentSkillName1,records/skills/playerclass02/mortartrap1.dbr,</v>
      </c>
      <c r="G19" s="7">
        <f t="shared" si="10"/>
        <v>17</v>
      </c>
      <c r="H19" s="8" t="str">
        <f t="shared" si="11"/>
        <v>Demolitionist</v>
      </c>
      <c r="I19" s="3" t="s">
        <v>56</v>
      </c>
      <c r="J19" s="8" t="str">
        <f t="shared" si="12"/>
        <v>class0002</v>
      </c>
      <c r="K19" s="8" t="str">
        <f t="shared" si="12"/>
        <v>dailoneskill0002</v>
      </c>
      <c r="L19" s="5" t="str">
        <f t="shared" si="4"/>
        <v>lootName17,DAIL/items/materia/class0002/Demolitionist17.dbr,</v>
      </c>
      <c r="M19" s="5" t="str">
        <f t="shared" si="5"/>
        <v>lootWeight17,1,</v>
      </c>
      <c r="N19" t="str">
        <f t="shared" si="6"/>
        <v>1</v>
      </c>
      <c r="O19" t="str">
        <f t="shared" si="16"/>
        <v>copy .\dail_base.dbr .\items\materia\class0002\Demolitionist17.dbr /y</v>
      </c>
      <c r="P19" t="str">
        <f t="shared" si="7"/>
        <v>echo relicBitmap,items/craftingparts/components/component_a52_bristlyfur_b.tex, &gt;&gt; .\items\materia\class0002\Demolitionist17.dbr</v>
      </c>
      <c r="Q19" t="str">
        <f t="shared" si="7"/>
        <v>echo itemCost,300000, &gt;&gt; .\items\materia\class0002\Demolitionist17.dbr</v>
      </c>
      <c r="R19" t="str">
        <f t="shared" si="7"/>
        <v>echo description,dailCompDescDemolitionist17, &gt;&gt; .\items\materia\class0002\Demolitionist17.dbr</v>
      </c>
      <c r="S19" t="str">
        <f t="shared" si="7"/>
        <v>echo itemText,dailCompTextDemolitionist17, &gt;&gt; .\items\materia\class0002\Demolitionist17.dbr</v>
      </c>
      <c r="T19" t="str">
        <f t="shared" si="7"/>
        <v>echo augmentSkillLevel1,1, &gt;&gt; .\items\materia\class0002\Demolitionist17.dbr</v>
      </c>
      <c r="U19" t="str">
        <f t="shared" si="7"/>
        <v>echo augmentSkillName1,records/skills/playerclass02/mortartrap1.dbr, &gt;&gt; .\items\materia\class0002\Demolitionist17.dbr</v>
      </c>
      <c r="V19" s="5" t="s">
        <v>36</v>
      </c>
      <c r="W19" t="str">
        <f t="shared" si="8"/>
        <v>echo lootName17,DAIL/items/materia/class0002/Demolitionist17.dbr, &gt;&gt; .\items\loottables\dailoneskill0002.dbr</v>
      </c>
      <c r="X19" t="str">
        <f t="shared" si="8"/>
        <v>echo lootWeight17,1, &gt;&gt; .\items\loottables\dailoneskill0002.dbr</v>
      </c>
      <c r="Y19" s="5" t="s">
        <v>36</v>
      </c>
      <c r="Z19" t="str">
        <f t="shared" si="9"/>
        <v xml:space="preserve"> dailCompDescDemolitionist17=^pDemolitionist's Gift of DAIL</v>
      </c>
      <c r="AA19" t="str">
        <f t="shared" si="17"/>
        <v>dailCompTextDemolitionist17=^oThis feels warm to the touch, almost familiar ^w(This component fits into all Jewellery slots including the Belt And Shoulder)</v>
      </c>
      <c r="AB19" s="5" t="s">
        <v>36</v>
      </c>
      <c r="AH19">
        <f t="shared" si="19"/>
        <v>14</v>
      </c>
      <c r="AI19">
        <f t="shared" si="13"/>
        <v>30</v>
      </c>
      <c r="AJ19">
        <f t="shared" si="18"/>
        <v>1</v>
      </c>
    </row>
    <row r="20" spans="1:36" x14ac:dyDescent="0.25">
      <c r="A20" s="5" t="s">
        <v>39</v>
      </c>
      <c r="B20" s="5" t="s">
        <v>28</v>
      </c>
      <c r="C20" s="5" t="str">
        <f t="shared" si="0"/>
        <v>description,dailCompDescDemolitionist18,</v>
      </c>
      <c r="D20" s="5" t="str">
        <f t="shared" si="2"/>
        <v>itemText,dailCompTextDemolitionist18,</v>
      </c>
      <c r="E20" s="5" t="str">
        <f t="shared" si="14"/>
        <v>augmentSkillLevel1,1,</v>
      </c>
      <c r="F20" s="5" t="str">
        <f t="shared" si="15"/>
        <v>augmentSkillName1,records/skills/playerclass02/mortartrap2_petmod.dbr,</v>
      </c>
      <c r="G20" s="7">
        <f t="shared" si="10"/>
        <v>18</v>
      </c>
      <c r="H20" s="8" t="str">
        <f t="shared" si="11"/>
        <v>Demolitionist</v>
      </c>
      <c r="I20" s="3" t="s">
        <v>275</v>
      </c>
      <c r="J20" s="8" t="str">
        <f t="shared" si="12"/>
        <v>class0002</v>
      </c>
      <c r="K20" s="8" t="str">
        <f t="shared" si="12"/>
        <v>dailoneskill0002</v>
      </c>
      <c r="L20" s="5" t="str">
        <f t="shared" si="4"/>
        <v>lootName18,DAIL/items/materia/class0002/Demolitionist18.dbr,</v>
      </c>
      <c r="M20" s="5" t="str">
        <f t="shared" si="5"/>
        <v>lootWeight18,1,</v>
      </c>
      <c r="N20" t="str">
        <f t="shared" si="6"/>
        <v>1</v>
      </c>
      <c r="O20" t="str">
        <f t="shared" si="16"/>
        <v>copy .\dail_base.dbr .\items\materia\class0002\Demolitionist18.dbr /y</v>
      </c>
      <c r="P20" t="str">
        <f t="shared" si="7"/>
        <v>echo relicBitmap,items/craftingparts/components/component_a52_bristlyfur_b.tex, &gt;&gt; .\items\materia\class0002\Demolitionist18.dbr</v>
      </c>
      <c r="Q20" t="str">
        <f t="shared" si="7"/>
        <v>echo itemCost,300000, &gt;&gt; .\items\materia\class0002\Demolitionist18.dbr</v>
      </c>
      <c r="R20" t="str">
        <f t="shared" si="7"/>
        <v>echo description,dailCompDescDemolitionist18, &gt;&gt; .\items\materia\class0002\Demolitionist18.dbr</v>
      </c>
      <c r="S20" t="str">
        <f t="shared" si="7"/>
        <v>echo itemText,dailCompTextDemolitionist18, &gt;&gt; .\items\materia\class0002\Demolitionist18.dbr</v>
      </c>
      <c r="T20" t="str">
        <f t="shared" si="7"/>
        <v>echo augmentSkillLevel1,1, &gt;&gt; .\items\materia\class0002\Demolitionist18.dbr</v>
      </c>
      <c r="U20" t="str">
        <f t="shared" si="7"/>
        <v>echo augmentSkillName1,records/skills/playerclass02/mortartrap2_petmod.dbr, &gt;&gt; .\items\materia\class0002\Demolitionist18.dbr</v>
      </c>
      <c r="V20" s="5" t="s">
        <v>36</v>
      </c>
      <c r="W20" t="str">
        <f t="shared" si="8"/>
        <v>echo lootName18,DAIL/items/materia/class0002/Demolitionist18.dbr, &gt;&gt; .\items\loottables\dailoneskill0002.dbr</v>
      </c>
      <c r="X20" t="str">
        <f t="shared" si="8"/>
        <v>echo lootWeight18,1, &gt;&gt; .\items\loottables\dailoneskill0002.dbr</v>
      </c>
      <c r="Y20" s="5" t="s">
        <v>36</v>
      </c>
      <c r="Z20" t="str">
        <f t="shared" si="9"/>
        <v xml:space="preserve"> dailCompDescDemolitionist18=^pDemolitionist's Gift of DAIL</v>
      </c>
      <c r="AA20" t="str">
        <f t="shared" si="17"/>
        <v>dailCompTextDemolitionist18=^oThis feels warm to the touch, almost familiar ^w(This component fits into all Jewellery slots including the Belt And Shoulder)</v>
      </c>
      <c r="AB20" s="5" t="s">
        <v>36</v>
      </c>
      <c r="AH20">
        <f t="shared" si="19"/>
        <v>15</v>
      </c>
      <c r="AI20">
        <f t="shared" si="13"/>
        <v>37</v>
      </c>
      <c r="AJ20">
        <f t="shared" si="18"/>
        <v>1</v>
      </c>
    </row>
    <row r="21" spans="1:36" x14ac:dyDescent="0.25">
      <c r="A21" s="5" t="s">
        <v>39</v>
      </c>
      <c r="B21" s="5" t="s">
        <v>28</v>
      </c>
      <c r="C21" s="5" t="str">
        <f t="shared" si="0"/>
        <v>description,dailCompDescDemolitionist19,</v>
      </c>
      <c r="D21" s="5" t="str">
        <f t="shared" si="2"/>
        <v>itemText,dailCompTextDemolitionist19,</v>
      </c>
      <c r="E21" s="5" t="str">
        <f t="shared" si="14"/>
        <v>augmentSkillLevel1,1,</v>
      </c>
      <c r="F21" s="5" t="str">
        <f t="shared" si="15"/>
        <v>augmentSkillName1,records/skills/playerclass02/mortartrap3_petmod.dbr,</v>
      </c>
      <c r="G21" s="7">
        <f t="shared" si="10"/>
        <v>19</v>
      </c>
      <c r="H21" s="8" t="str">
        <f t="shared" si="11"/>
        <v>Demolitionist</v>
      </c>
      <c r="I21" s="3" t="s">
        <v>276</v>
      </c>
      <c r="J21" s="8" t="str">
        <f t="shared" ref="J21:K36" si="20">J20</f>
        <v>class0002</v>
      </c>
      <c r="K21" s="8" t="str">
        <f t="shared" si="20"/>
        <v>dailoneskill0002</v>
      </c>
      <c r="L21" s="5" t="str">
        <f t="shared" si="4"/>
        <v>lootName19,DAIL/items/materia/class0002/Demolitionist19.dbr,</v>
      </c>
      <c r="M21" s="5" t="str">
        <f t="shared" si="5"/>
        <v>lootWeight19,1,</v>
      </c>
      <c r="N21" t="str">
        <f t="shared" si="6"/>
        <v>1</v>
      </c>
      <c r="O21" t="str">
        <f t="shared" si="16"/>
        <v>copy .\dail_base.dbr .\items\materia\class0002\Demolitionist19.dbr /y</v>
      </c>
      <c r="P21" t="str">
        <f t="shared" si="7"/>
        <v>echo relicBitmap,items/craftingparts/components/component_a52_bristlyfur_b.tex, &gt;&gt; .\items\materia\class0002\Demolitionist19.dbr</v>
      </c>
      <c r="Q21" t="str">
        <f t="shared" si="7"/>
        <v>echo itemCost,300000, &gt;&gt; .\items\materia\class0002\Demolitionist19.dbr</v>
      </c>
      <c r="R21" t="str">
        <f t="shared" si="7"/>
        <v>echo description,dailCompDescDemolitionist19, &gt;&gt; .\items\materia\class0002\Demolitionist19.dbr</v>
      </c>
      <c r="S21" t="str">
        <f t="shared" si="7"/>
        <v>echo itemText,dailCompTextDemolitionist19, &gt;&gt; .\items\materia\class0002\Demolitionist19.dbr</v>
      </c>
      <c r="T21" t="str">
        <f t="shared" si="7"/>
        <v>echo augmentSkillLevel1,1, &gt;&gt; .\items\materia\class0002\Demolitionist19.dbr</v>
      </c>
      <c r="U21" t="str">
        <f t="shared" si="7"/>
        <v>echo augmentSkillName1,records/skills/playerclass02/mortartrap3_petmod.dbr, &gt;&gt; .\items\materia\class0002\Demolitionist19.dbr</v>
      </c>
      <c r="V21" s="5" t="s">
        <v>36</v>
      </c>
      <c r="W21" t="str">
        <f t="shared" si="8"/>
        <v>echo lootName19,DAIL/items/materia/class0002/Demolitionist19.dbr, &gt;&gt; .\items\loottables\dailoneskill0002.dbr</v>
      </c>
      <c r="X21" t="str">
        <f t="shared" si="8"/>
        <v>echo lootWeight19,1, &gt;&gt; .\items\loottables\dailoneskill0002.dbr</v>
      </c>
      <c r="Y21" s="5" t="s">
        <v>36</v>
      </c>
      <c r="Z21" t="str">
        <f t="shared" si="9"/>
        <v xml:space="preserve"> dailCompDescDemolitionist19=^pDemolitionist's Gift of DAIL</v>
      </c>
      <c r="AA21" t="str">
        <f t="shared" si="17"/>
        <v>dailCompTextDemolitionist19=^oThis feels warm to the touch, almost familiar ^w(This component fits into all Jewellery slots including the Belt And Shoulder)</v>
      </c>
      <c r="AB21" s="5" t="s">
        <v>36</v>
      </c>
      <c r="AH21">
        <f t="shared" si="19"/>
        <v>16</v>
      </c>
      <c r="AI21">
        <f t="shared" si="13"/>
        <v>37</v>
      </c>
      <c r="AJ21">
        <f t="shared" si="18"/>
        <v>1</v>
      </c>
    </row>
    <row r="22" spans="1:36" x14ac:dyDescent="0.25">
      <c r="A22" s="5" t="s">
        <v>39</v>
      </c>
      <c r="B22" s="5" t="s">
        <v>28</v>
      </c>
      <c r="C22" s="5" t="str">
        <f t="shared" si="0"/>
        <v>description,dailCompDescDemolitionist20,</v>
      </c>
      <c r="D22" s="5" t="str">
        <f t="shared" si="2"/>
        <v>itemText,dailCompTextDemolitionist20,</v>
      </c>
      <c r="E22" s="5" t="str">
        <f t="shared" si="14"/>
        <v>augmentSkillLevel1,1,</v>
      </c>
      <c r="F22" s="5" t="str">
        <f t="shared" si="15"/>
        <v>augmentSkillName1,records/skills/playerclass02/canisterbomb1.dbr,</v>
      </c>
      <c r="G22" s="7">
        <f t="shared" si="10"/>
        <v>20</v>
      </c>
      <c r="H22" s="8" t="str">
        <f t="shared" si="11"/>
        <v>Demolitionist</v>
      </c>
      <c r="I22" s="3" t="s">
        <v>52</v>
      </c>
      <c r="J22" s="8" t="str">
        <f t="shared" si="20"/>
        <v>class0002</v>
      </c>
      <c r="K22" s="8" t="str">
        <f t="shared" si="20"/>
        <v>dailoneskill0002</v>
      </c>
      <c r="L22" s="5" t="str">
        <f t="shared" si="4"/>
        <v>lootName20,DAIL/items/materia/class0002/Demolitionist20.dbr,</v>
      </c>
      <c r="M22" s="5" t="str">
        <f t="shared" si="5"/>
        <v>lootWeight20,1,</v>
      </c>
      <c r="N22" t="str">
        <f t="shared" si="6"/>
        <v>1</v>
      </c>
      <c r="O22" t="str">
        <f t="shared" si="16"/>
        <v>copy .\dail_base.dbr .\items\materia\class0002\Demolitionist20.dbr /y</v>
      </c>
      <c r="P22" t="str">
        <f t="shared" si="7"/>
        <v>echo relicBitmap,items/craftingparts/components/component_a52_bristlyfur_b.tex, &gt;&gt; .\items\materia\class0002\Demolitionist20.dbr</v>
      </c>
      <c r="Q22" t="str">
        <f t="shared" si="7"/>
        <v>echo itemCost,300000, &gt;&gt; .\items\materia\class0002\Demolitionist20.dbr</v>
      </c>
      <c r="R22" t="str">
        <f t="shared" si="7"/>
        <v>echo description,dailCompDescDemolitionist20, &gt;&gt; .\items\materia\class0002\Demolitionist20.dbr</v>
      </c>
      <c r="S22" t="str">
        <f t="shared" si="7"/>
        <v>echo itemText,dailCompTextDemolitionist20, &gt;&gt; .\items\materia\class0002\Demolitionist20.dbr</v>
      </c>
      <c r="T22" t="str">
        <f t="shared" si="7"/>
        <v>echo augmentSkillLevel1,1, &gt;&gt; .\items\materia\class0002\Demolitionist20.dbr</v>
      </c>
      <c r="U22" t="str">
        <f t="shared" si="7"/>
        <v>echo augmentSkillName1,records/skills/playerclass02/canisterbomb1.dbr, &gt;&gt; .\items\materia\class0002\Demolitionist20.dbr</v>
      </c>
      <c r="V22" s="5" t="s">
        <v>36</v>
      </c>
      <c r="W22" t="str">
        <f t="shared" si="8"/>
        <v>echo lootName20,DAIL/items/materia/class0002/Demolitionist20.dbr, &gt;&gt; .\items\loottables\dailoneskill0002.dbr</v>
      </c>
      <c r="X22" t="str">
        <f t="shared" si="8"/>
        <v>echo lootWeight20,1, &gt;&gt; .\items\loottables\dailoneskill0002.dbr</v>
      </c>
      <c r="Y22" s="5" t="s">
        <v>36</v>
      </c>
      <c r="Z22" t="str">
        <f t="shared" si="9"/>
        <v xml:space="preserve"> dailCompDescDemolitionist20=^pDemolitionist's Gift of DAIL</v>
      </c>
      <c r="AA22" t="str">
        <f t="shared" si="17"/>
        <v>dailCompTextDemolitionist20=^oThis feels warm to the touch, almost familiar ^w(This component fits into all Jewellery slots including the Belt And Shoulder)</v>
      </c>
      <c r="AB22" s="5" t="s">
        <v>36</v>
      </c>
      <c r="AH22">
        <f t="shared" si="19"/>
        <v>17</v>
      </c>
      <c r="AI22">
        <f t="shared" si="13"/>
        <v>32</v>
      </c>
      <c r="AJ22">
        <f t="shared" si="18"/>
        <v>1</v>
      </c>
    </row>
    <row r="23" spans="1:36" x14ac:dyDescent="0.25">
      <c r="A23" s="5" t="s">
        <v>39</v>
      </c>
      <c r="B23" s="5" t="s">
        <v>28</v>
      </c>
      <c r="C23" s="5" t="str">
        <f t="shared" si="0"/>
        <v>description,dailCompDescDemolitionist21,</v>
      </c>
      <c r="D23" s="5" t="str">
        <f t="shared" si="2"/>
        <v>itemText,dailCompTextDemolitionist21,</v>
      </c>
      <c r="E23" s="5" t="str">
        <f t="shared" si="14"/>
        <v>augmentSkillLevel1,1,</v>
      </c>
      <c r="F23" s="5" t="str">
        <f t="shared" si="15"/>
        <v>augmentSkillName1,records/skills/playerclass02/canisterbomb1b.dbr,</v>
      </c>
      <c r="G23" s="7">
        <f t="shared" si="10"/>
        <v>21</v>
      </c>
      <c r="H23" s="8" t="str">
        <f t="shared" si="11"/>
        <v>Demolitionist</v>
      </c>
      <c r="I23" s="3" t="s">
        <v>277</v>
      </c>
      <c r="J23" s="8" t="str">
        <f t="shared" si="20"/>
        <v>class0002</v>
      </c>
      <c r="K23" s="8" t="str">
        <f t="shared" si="20"/>
        <v>dailoneskill0002</v>
      </c>
      <c r="L23" s="5" t="str">
        <f t="shared" si="4"/>
        <v>lootName21,DAIL/items/materia/class0002/Demolitionist21.dbr,</v>
      </c>
      <c r="M23" s="5" t="str">
        <f t="shared" si="5"/>
        <v>lootWeight21,1,</v>
      </c>
      <c r="N23" t="str">
        <f t="shared" si="6"/>
        <v>1</v>
      </c>
      <c r="O23" t="str">
        <f t="shared" si="16"/>
        <v>copy .\dail_base.dbr .\items\materia\class0002\Demolitionist21.dbr /y</v>
      </c>
      <c r="P23" t="str">
        <f t="shared" si="7"/>
        <v>echo relicBitmap,items/craftingparts/components/component_a52_bristlyfur_b.tex, &gt;&gt; .\items\materia\class0002\Demolitionist21.dbr</v>
      </c>
      <c r="Q23" t="str">
        <f t="shared" si="7"/>
        <v>echo itemCost,300000, &gt;&gt; .\items\materia\class0002\Demolitionist21.dbr</v>
      </c>
      <c r="R23" t="str">
        <f t="shared" si="7"/>
        <v>echo description,dailCompDescDemolitionist21, &gt;&gt; .\items\materia\class0002\Demolitionist21.dbr</v>
      </c>
      <c r="S23" t="str">
        <f t="shared" si="7"/>
        <v>echo itemText,dailCompTextDemolitionist21, &gt;&gt; .\items\materia\class0002\Demolitionist21.dbr</v>
      </c>
      <c r="T23" t="str">
        <f t="shared" si="7"/>
        <v>echo augmentSkillLevel1,1, &gt;&gt; .\items\materia\class0002\Demolitionist21.dbr</v>
      </c>
      <c r="U23" t="str">
        <f t="shared" si="7"/>
        <v>echo augmentSkillName1,records/skills/playerclass02/canisterbomb1b.dbr, &gt;&gt; .\items\materia\class0002\Demolitionist21.dbr</v>
      </c>
      <c r="V23" s="5" t="s">
        <v>36</v>
      </c>
      <c r="W23" t="str">
        <f t="shared" si="8"/>
        <v>echo lootName21,DAIL/items/materia/class0002/Demolitionist21.dbr, &gt;&gt; .\items\loottables\dailoneskill0002.dbr</v>
      </c>
      <c r="X23" t="str">
        <f t="shared" si="8"/>
        <v>echo lootWeight21,1, &gt;&gt; .\items\loottables\dailoneskill0002.dbr</v>
      </c>
      <c r="Y23" s="5" t="s">
        <v>36</v>
      </c>
      <c r="Z23" t="str">
        <f t="shared" si="9"/>
        <v xml:space="preserve"> dailCompDescDemolitionist21=^pDemolitionist's Gift of DAIL</v>
      </c>
      <c r="AA23" t="str">
        <f t="shared" si="17"/>
        <v>dailCompTextDemolitionist21=^oThis feels warm to the touch, almost familiar ^w(This component fits into all Jewellery slots including the Belt And Shoulder)</v>
      </c>
      <c r="AB23" s="5" t="s">
        <v>36</v>
      </c>
      <c r="AH23">
        <f t="shared" si="19"/>
        <v>18</v>
      </c>
      <c r="AI23">
        <f t="shared" si="13"/>
        <v>33</v>
      </c>
      <c r="AJ23">
        <f t="shared" si="18"/>
        <v>1</v>
      </c>
    </row>
    <row r="24" spans="1:36" x14ac:dyDescent="0.25">
      <c r="A24" s="5" t="s">
        <v>39</v>
      </c>
      <c r="B24" s="5" t="s">
        <v>28</v>
      </c>
      <c r="C24" s="5" t="str">
        <f t="shared" si="0"/>
        <v>description,dailCompDescDemolitionist22,</v>
      </c>
      <c r="D24" s="5" t="str">
        <f t="shared" si="2"/>
        <v>itemText,dailCompTextDemolitionist22,</v>
      </c>
      <c r="E24" s="5" t="str">
        <f t="shared" si="14"/>
        <v>augmentSkillLevel1,1,</v>
      </c>
      <c r="F24" s="5" t="str">
        <f t="shared" si="15"/>
        <v>augmentSkillName1,records/skills/playerclass02/canisterbomb2.dbr,</v>
      </c>
      <c r="G24" s="7">
        <f t="shared" si="10"/>
        <v>22</v>
      </c>
      <c r="H24" s="8" t="str">
        <f t="shared" si="11"/>
        <v>Demolitionist</v>
      </c>
      <c r="I24" s="3" t="s">
        <v>278</v>
      </c>
      <c r="J24" s="8" t="str">
        <f t="shared" si="20"/>
        <v>class0002</v>
      </c>
      <c r="K24" s="8" t="str">
        <f t="shared" si="20"/>
        <v>dailoneskill0002</v>
      </c>
      <c r="L24" s="5" t="str">
        <f t="shared" si="4"/>
        <v>lootName22,DAIL/items/materia/class0002/Demolitionist22.dbr,</v>
      </c>
      <c r="M24" s="5" t="str">
        <f t="shared" si="5"/>
        <v>lootWeight22,1,</v>
      </c>
      <c r="N24" t="str">
        <f t="shared" si="6"/>
        <v>1</v>
      </c>
      <c r="O24" t="str">
        <f t="shared" si="16"/>
        <v>copy .\dail_base.dbr .\items\materia\class0002\Demolitionist22.dbr /y</v>
      </c>
      <c r="P24" t="str">
        <f t="shared" si="7"/>
        <v>echo relicBitmap,items/craftingparts/components/component_a52_bristlyfur_b.tex, &gt;&gt; .\items\materia\class0002\Demolitionist22.dbr</v>
      </c>
      <c r="Q24" t="str">
        <f t="shared" si="7"/>
        <v>echo itemCost,300000, &gt;&gt; .\items\materia\class0002\Demolitionist22.dbr</v>
      </c>
      <c r="R24" t="str">
        <f t="shared" si="7"/>
        <v>echo description,dailCompDescDemolitionist22, &gt;&gt; .\items\materia\class0002\Demolitionist22.dbr</v>
      </c>
      <c r="S24" t="str">
        <f t="shared" si="7"/>
        <v>echo itemText,dailCompTextDemolitionist22, &gt;&gt; .\items\materia\class0002\Demolitionist22.dbr</v>
      </c>
      <c r="T24" t="str">
        <f t="shared" si="7"/>
        <v>echo augmentSkillLevel1,1, &gt;&gt; .\items\materia\class0002\Demolitionist22.dbr</v>
      </c>
      <c r="U24" t="str">
        <f t="shared" si="7"/>
        <v>echo augmentSkillName1,records/skills/playerclass02/canisterbomb2.dbr, &gt;&gt; .\items\materia\class0002\Demolitionist22.dbr</v>
      </c>
      <c r="V24" s="5" t="s">
        <v>36</v>
      </c>
      <c r="W24" t="str">
        <f t="shared" si="8"/>
        <v>echo lootName22,DAIL/items/materia/class0002/Demolitionist22.dbr, &gt;&gt; .\items\loottables\dailoneskill0002.dbr</v>
      </c>
      <c r="X24" t="str">
        <f t="shared" si="8"/>
        <v>echo lootWeight22,1, &gt;&gt; .\items\loottables\dailoneskill0002.dbr</v>
      </c>
      <c r="Y24" s="5" t="s">
        <v>36</v>
      </c>
      <c r="Z24" t="str">
        <f t="shared" si="9"/>
        <v xml:space="preserve"> dailCompDescDemolitionist22=^pDemolitionist's Gift of DAIL</v>
      </c>
      <c r="AA24" t="str">
        <f t="shared" si="17"/>
        <v>dailCompTextDemolitionist22=^oThis feels warm to the touch, almost familiar ^w(This component fits into all Jewellery slots including the Belt And Shoulder)</v>
      </c>
      <c r="AB24" s="5" t="s">
        <v>36</v>
      </c>
      <c r="AH24">
        <f t="shared" si="19"/>
        <v>19</v>
      </c>
      <c r="AI24">
        <f t="shared" si="13"/>
        <v>32</v>
      </c>
      <c r="AJ24">
        <f t="shared" si="18"/>
        <v>1</v>
      </c>
    </row>
    <row r="25" spans="1:36" x14ac:dyDescent="0.25">
      <c r="A25" s="5" t="s">
        <v>39</v>
      </c>
      <c r="B25" s="5" t="s">
        <v>28</v>
      </c>
      <c r="C25" s="5" t="str">
        <f t="shared" si="0"/>
        <v>description,dailCompDescDemolitionist23,</v>
      </c>
      <c r="D25" s="5" t="str">
        <f t="shared" si="2"/>
        <v>itemText,dailCompTextDemolitionist23,</v>
      </c>
      <c r="E25" s="5" t="str">
        <f t="shared" si="14"/>
        <v>augmentSkillLevel1,1,</v>
      </c>
      <c r="F25" s="5" t="str">
        <f t="shared" si="15"/>
        <v>augmentSkillName1,records/skills/playerclass02/passive2.dbr,</v>
      </c>
      <c r="G25" s="7">
        <f t="shared" si="10"/>
        <v>23</v>
      </c>
      <c r="H25" s="8" t="str">
        <f t="shared" si="11"/>
        <v>Demolitionist</v>
      </c>
      <c r="I25" s="3" t="s">
        <v>269</v>
      </c>
      <c r="J25" s="8" t="str">
        <f t="shared" si="20"/>
        <v>class0002</v>
      </c>
      <c r="K25" s="8" t="str">
        <f t="shared" si="20"/>
        <v>dailoneskill0002</v>
      </c>
      <c r="L25" s="5" t="str">
        <f t="shared" si="4"/>
        <v>lootName23,DAIL/items/materia/class0002/Demolitionist23.dbr,</v>
      </c>
      <c r="M25" s="5" t="str">
        <f t="shared" si="5"/>
        <v>lootWeight23,1,</v>
      </c>
      <c r="N25" t="str">
        <f t="shared" si="6"/>
        <v>1</v>
      </c>
      <c r="O25" t="str">
        <f t="shared" si="16"/>
        <v>copy .\dail_base.dbr .\items\materia\class0002\Demolitionist23.dbr /y</v>
      </c>
      <c r="P25" t="str">
        <f t="shared" si="7"/>
        <v>echo relicBitmap,items/craftingparts/components/component_a52_bristlyfur_b.tex, &gt;&gt; .\items\materia\class0002\Demolitionist23.dbr</v>
      </c>
      <c r="Q25" t="str">
        <f t="shared" si="7"/>
        <v>echo itemCost,300000, &gt;&gt; .\items\materia\class0002\Demolitionist23.dbr</v>
      </c>
      <c r="R25" t="str">
        <f t="shared" si="7"/>
        <v>echo description,dailCompDescDemolitionist23, &gt;&gt; .\items\materia\class0002\Demolitionist23.dbr</v>
      </c>
      <c r="S25" t="str">
        <f t="shared" si="7"/>
        <v>echo itemText,dailCompTextDemolitionist23, &gt;&gt; .\items\materia\class0002\Demolitionist23.dbr</v>
      </c>
      <c r="T25" t="str">
        <f t="shared" si="7"/>
        <v>echo augmentSkillLevel1,1, &gt;&gt; .\items\materia\class0002\Demolitionist23.dbr</v>
      </c>
      <c r="U25" t="str">
        <f t="shared" si="7"/>
        <v>echo augmentSkillName1,records/skills/playerclass02/passive2.dbr, &gt;&gt; .\items\materia\class0002\Demolitionist23.dbr</v>
      </c>
      <c r="V25" s="5" t="s">
        <v>36</v>
      </c>
      <c r="W25" t="str">
        <f t="shared" si="8"/>
        <v>echo lootName23,DAIL/items/materia/class0002/Demolitionist23.dbr, &gt;&gt; .\items\loottables\dailoneskill0002.dbr</v>
      </c>
      <c r="X25" t="str">
        <f t="shared" si="8"/>
        <v>echo lootWeight23,1, &gt;&gt; .\items\loottables\dailoneskill0002.dbr</v>
      </c>
      <c r="Y25" s="5" t="s">
        <v>36</v>
      </c>
      <c r="Z25" t="str">
        <f t="shared" si="9"/>
        <v xml:space="preserve"> dailCompDescDemolitionist23=^pDemolitionist's Gift of DAIL</v>
      </c>
      <c r="AA25" t="str">
        <f t="shared" si="17"/>
        <v>dailCompTextDemolitionist23=^oThis feels warm to the touch, almost familiar ^w(This component fits into all Jewellery slots including the Belt And Shoulder)</v>
      </c>
      <c r="AB25" s="5" t="s">
        <v>36</v>
      </c>
      <c r="AH25">
        <f t="shared" si="19"/>
        <v>20</v>
      </c>
      <c r="AI25">
        <f t="shared" si="13"/>
        <v>27</v>
      </c>
      <c r="AJ25">
        <f t="shared" si="18"/>
        <v>1</v>
      </c>
    </row>
    <row r="26" spans="1:36" x14ac:dyDescent="0.25">
      <c r="A26" s="5" t="s">
        <v>39</v>
      </c>
      <c r="B26" s="5" t="s">
        <v>28</v>
      </c>
      <c r="C26" s="5" t="str">
        <f t="shared" si="0"/>
        <v>description,dailCompDescDemolitionist24,</v>
      </c>
      <c r="D26" s="5" t="str">
        <f t="shared" si="2"/>
        <v>itemText,dailCompTextDemolitionist24,</v>
      </c>
      <c r="E26" s="5" t="str">
        <f t="shared" si="14"/>
        <v>augmentSkillLevel1,1,</v>
      </c>
      <c r="F26" s="5" t="str">
        <f t="shared" si="15"/>
        <v>augmentSkillName1,records/skills/playerclass02/vindictiveflame1.dbr,</v>
      </c>
      <c r="G26" s="7">
        <f t="shared" si="10"/>
        <v>24</v>
      </c>
      <c r="H26" s="8" t="str">
        <f t="shared" si="11"/>
        <v>Demolitionist</v>
      </c>
      <c r="I26" s="3" t="s">
        <v>60</v>
      </c>
      <c r="J26" s="8" t="str">
        <f t="shared" si="20"/>
        <v>class0002</v>
      </c>
      <c r="K26" s="8" t="str">
        <f t="shared" si="20"/>
        <v>dailoneskill0002</v>
      </c>
      <c r="L26" s="5" t="str">
        <f t="shared" si="4"/>
        <v>lootName24,DAIL/items/materia/class0002/Demolitionist24.dbr,</v>
      </c>
      <c r="M26" s="5" t="str">
        <f t="shared" si="5"/>
        <v>lootWeight24,1,</v>
      </c>
      <c r="N26" t="str">
        <f t="shared" si="6"/>
        <v>1</v>
      </c>
      <c r="O26" t="str">
        <f t="shared" si="16"/>
        <v>copy .\dail_base.dbr .\items\materia\class0002\Demolitionist24.dbr /y</v>
      </c>
      <c r="P26" t="str">
        <f t="shared" si="7"/>
        <v>echo relicBitmap,items/craftingparts/components/component_a52_bristlyfur_b.tex, &gt;&gt; .\items\materia\class0002\Demolitionist24.dbr</v>
      </c>
      <c r="Q26" t="str">
        <f t="shared" si="7"/>
        <v>echo itemCost,300000, &gt;&gt; .\items\materia\class0002\Demolitionist24.dbr</v>
      </c>
      <c r="R26" t="str">
        <f t="shared" si="7"/>
        <v>echo description,dailCompDescDemolitionist24, &gt;&gt; .\items\materia\class0002\Demolitionist24.dbr</v>
      </c>
      <c r="S26" t="str">
        <f t="shared" si="7"/>
        <v>echo itemText,dailCompTextDemolitionist24, &gt;&gt; .\items\materia\class0002\Demolitionist24.dbr</v>
      </c>
      <c r="T26" t="str">
        <f t="shared" si="7"/>
        <v>echo augmentSkillLevel1,1, &gt;&gt; .\items\materia\class0002\Demolitionist24.dbr</v>
      </c>
      <c r="U26" t="str">
        <f t="shared" si="7"/>
        <v>echo augmentSkillName1,records/skills/playerclass02/vindictiveflame1.dbr, &gt;&gt; .\items\materia\class0002\Demolitionist24.dbr</v>
      </c>
      <c r="V26" s="5" t="s">
        <v>36</v>
      </c>
      <c r="W26" t="str">
        <f t="shared" si="8"/>
        <v>echo lootName24,DAIL/items/materia/class0002/Demolitionist24.dbr, &gt;&gt; .\items\loottables\dailoneskill0002.dbr</v>
      </c>
      <c r="X26" t="str">
        <f t="shared" si="8"/>
        <v>echo lootWeight24,1, &gt;&gt; .\items\loottables\dailoneskill0002.dbr</v>
      </c>
      <c r="Y26" s="5" t="s">
        <v>36</v>
      </c>
      <c r="Z26" t="str">
        <f t="shared" si="9"/>
        <v xml:space="preserve"> dailCompDescDemolitionist24=^pDemolitionist's Gift of DAIL</v>
      </c>
      <c r="AA26" t="str">
        <f t="shared" si="17"/>
        <v>dailCompTextDemolitionist24=^oThis feels warm to the touch, almost familiar ^w(This component fits into all Jewellery slots including the Belt And Shoulder)</v>
      </c>
      <c r="AB26" s="5" t="s">
        <v>36</v>
      </c>
      <c r="AH26">
        <f t="shared" si="19"/>
        <v>21</v>
      </c>
      <c r="AI26">
        <f t="shared" si="13"/>
        <v>35</v>
      </c>
      <c r="AJ26">
        <f t="shared" si="18"/>
        <v>1</v>
      </c>
    </row>
    <row r="27" spans="1:36" x14ac:dyDescent="0.25">
      <c r="A27" s="5" t="s">
        <v>39</v>
      </c>
      <c r="B27" s="5" t="s">
        <v>28</v>
      </c>
      <c r="C27" s="5" t="str">
        <f t="shared" si="0"/>
        <v>description,dailCompDescDemolitionist25,</v>
      </c>
      <c r="D27" s="5" t="str">
        <f t="shared" si="2"/>
        <v>itemText,dailCompTextDemolitionist25,</v>
      </c>
      <c r="E27" s="5" t="str">
        <f t="shared" si="14"/>
        <v>augmentSkillLevel1,1,</v>
      </c>
      <c r="F27" s="5" t="str">
        <f t="shared" si="15"/>
        <v>augmentSkillName1,records/skills/playerclass02/blastshield2.dbr,</v>
      </c>
      <c r="G27" s="7">
        <f t="shared" si="10"/>
        <v>25</v>
      </c>
      <c r="H27" s="8" t="str">
        <f t="shared" si="11"/>
        <v>Demolitionist</v>
      </c>
      <c r="I27" s="3" t="s">
        <v>279</v>
      </c>
      <c r="J27" s="8" t="str">
        <f t="shared" si="20"/>
        <v>class0002</v>
      </c>
      <c r="K27" s="8" t="str">
        <f t="shared" si="20"/>
        <v>dailoneskill0002</v>
      </c>
      <c r="L27" s="5" t="str">
        <f t="shared" si="4"/>
        <v>lootName25,DAIL/items/materia/class0002/Demolitionist25.dbr,</v>
      </c>
      <c r="M27" s="5" t="str">
        <f t="shared" si="5"/>
        <v>lootWeight25,1,</v>
      </c>
      <c r="N27" t="str">
        <f t="shared" si="6"/>
        <v>1</v>
      </c>
      <c r="O27" t="str">
        <f t="shared" si="16"/>
        <v>copy .\dail_base.dbr .\items\materia\class0002\Demolitionist25.dbr /y</v>
      </c>
      <c r="P27" t="str">
        <f t="shared" si="7"/>
        <v>echo relicBitmap,items/craftingparts/components/component_a52_bristlyfur_b.tex, &gt;&gt; .\items\materia\class0002\Demolitionist25.dbr</v>
      </c>
      <c r="Q27" t="str">
        <f t="shared" si="7"/>
        <v>echo itemCost,300000, &gt;&gt; .\items\materia\class0002\Demolitionist25.dbr</v>
      </c>
      <c r="R27" t="str">
        <f t="shared" si="7"/>
        <v>echo description,dailCompDescDemolitionist25, &gt;&gt; .\items\materia\class0002\Demolitionist25.dbr</v>
      </c>
      <c r="S27" t="str">
        <f t="shared" si="7"/>
        <v>echo itemText,dailCompTextDemolitionist25, &gt;&gt; .\items\materia\class0002\Demolitionist25.dbr</v>
      </c>
      <c r="T27" t="str">
        <f t="shared" si="7"/>
        <v>echo augmentSkillLevel1,1, &gt;&gt; .\items\materia\class0002\Demolitionist25.dbr</v>
      </c>
      <c r="U27" t="str">
        <f t="shared" si="7"/>
        <v>echo augmentSkillName1,records/skills/playerclass02/blastshield2.dbr, &gt;&gt; .\items\materia\class0002\Demolitionist25.dbr</v>
      </c>
      <c r="V27" s="5" t="s">
        <v>36</v>
      </c>
      <c r="W27" t="str">
        <f t="shared" si="8"/>
        <v>echo lootName25,DAIL/items/materia/class0002/Demolitionist25.dbr, &gt;&gt; .\items\loottables\dailoneskill0002.dbr</v>
      </c>
      <c r="X27" t="str">
        <f t="shared" si="8"/>
        <v>echo lootWeight25,1, &gt;&gt; .\items\loottables\dailoneskill0002.dbr</v>
      </c>
      <c r="Y27" s="5" t="s">
        <v>36</v>
      </c>
      <c r="Z27" t="str">
        <f t="shared" si="9"/>
        <v xml:space="preserve"> dailCompDescDemolitionist25=^pDemolitionist's Gift of DAIL</v>
      </c>
      <c r="AA27" t="str">
        <f t="shared" si="17"/>
        <v>dailCompTextDemolitionist25=^oThis feels warm to the touch, almost familiar ^w(This component fits into all Jewellery slots including the Belt And Shoulder)</v>
      </c>
      <c r="AB27" s="5" t="s">
        <v>36</v>
      </c>
      <c r="AH27">
        <f t="shared" si="19"/>
        <v>22</v>
      </c>
      <c r="AI27">
        <f t="shared" si="13"/>
        <v>31</v>
      </c>
      <c r="AJ27">
        <f t="shared" si="18"/>
        <v>1</v>
      </c>
    </row>
    <row r="28" spans="1:36" x14ac:dyDescent="0.25">
      <c r="A28" s="5" t="s">
        <v>39</v>
      </c>
      <c r="B28" s="5" t="s">
        <v>28</v>
      </c>
      <c r="C28" s="5" t="str">
        <f t="shared" si="0"/>
        <v>description,dailCompDescDemolitionist26,</v>
      </c>
      <c r="D28" s="5" t="str">
        <f t="shared" si="2"/>
        <v>itemText,dailCompTextDemolitionist26,</v>
      </c>
      <c r="E28" s="5" t="str">
        <f t="shared" si="14"/>
        <v>augmentSkillLevel1,1,</v>
      </c>
      <c r="F28" s="5" t="str">
        <f t="shared" si="15"/>
        <v>augmentSkillName1,records/skills/playerclass02/vindictiveflame2.dbr,</v>
      </c>
      <c r="G28" s="7">
        <f t="shared" si="10"/>
        <v>26</v>
      </c>
      <c r="H28" s="8" t="str">
        <f t="shared" si="11"/>
        <v>Demolitionist</v>
      </c>
      <c r="I28" s="3" t="s">
        <v>280</v>
      </c>
      <c r="J28" s="8" t="str">
        <f t="shared" si="20"/>
        <v>class0002</v>
      </c>
      <c r="K28" s="8" t="str">
        <f t="shared" si="20"/>
        <v>dailoneskill0002</v>
      </c>
      <c r="L28" s="5" t="str">
        <f t="shared" si="4"/>
        <v>lootName26,DAIL/items/materia/class0002/Demolitionist26.dbr,</v>
      </c>
      <c r="M28" s="5" t="str">
        <f t="shared" si="5"/>
        <v>lootWeight26,1,</v>
      </c>
      <c r="N28" t="str">
        <f t="shared" si="6"/>
        <v>1</v>
      </c>
      <c r="O28" t="str">
        <f t="shared" si="16"/>
        <v>copy .\dail_base.dbr .\items\materia\class0002\Demolitionist26.dbr /y</v>
      </c>
      <c r="P28" t="str">
        <f t="shared" si="7"/>
        <v>echo relicBitmap,items/craftingparts/components/component_a52_bristlyfur_b.tex, &gt;&gt; .\items\materia\class0002\Demolitionist26.dbr</v>
      </c>
      <c r="Q28" t="str">
        <f t="shared" si="7"/>
        <v>echo itemCost,300000, &gt;&gt; .\items\materia\class0002\Demolitionist26.dbr</v>
      </c>
      <c r="R28" t="str">
        <f t="shared" si="7"/>
        <v>echo description,dailCompDescDemolitionist26, &gt;&gt; .\items\materia\class0002\Demolitionist26.dbr</v>
      </c>
      <c r="S28" t="str">
        <f t="shared" si="7"/>
        <v>echo itemText,dailCompTextDemolitionist26, &gt;&gt; .\items\materia\class0002\Demolitionist26.dbr</v>
      </c>
      <c r="T28" t="str">
        <f t="shared" si="7"/>
        <v>echo augmentSkillLevel1,1, &gt;&gt; .\items\materia\class0002\Demolitionist26.dbr</v>
      </c>
      <c r="U28" t="str">
        <f t="shared" si="7"/>
        <v>echo augmentSkillName1,records/skills/playerclass02/vindictiveflame2.dbr, &gt;&gt; .\items\materia\class0002\Demolitionist26.dbr</v>
      </c>
      <c r="V28" s="5" t="s">
        <v>36</v>
      </c>
      <c r="W28" t="str">
        <f t="shared" si="8"/>
        <v>echo lootName26,DAIL/items/materia/class0002/Demolitionist26.dbr, &gt;&gt; .\items\loottables\dailoneskill0002.dbr</v>
      </c>
      <c r="X28" t="str">
        <f t="shared" si="8"/>
        <v>echo lootWeight26,1, &gt;&gt; .\items\loottables\dailoneskill0002.dbr</v>
      </c>
      <c r="Y28" s="5" t="s">
        <v>36</v>
      </c>
      <c r="Z28" t="str">
        <f t="shared" si="9"/>
        <v xml:space="preserve"> dailCompDescDemolitionist26=^pDemolitionist's Gift of DAIL</v>
      </c>
      <c r="AA28" t="str">
        <f t="shared" si="17"/>
        <v>dailCompTextDemolitionist26=^oThis feels warm to the touch, almost familiar ^w(This component fits into all Jewellery slots including the Belt And Shoulder)</v>
      </c>
      <c r="AB28" s="5" t="s">
        <v>36</v>
      </c>
      <c r="AH28">
        <f t="shared" si="19"/>
        <v>23</v>
      </c>
      <c r="AI28">
        <f t="shared" si="13"/>
        <v>35</v>
      </c>
      <c r="AJ28">
        <f t="shared" si="18"/>
        <v>1</v>
      </c>
    </row>
    <row r="29" spans="1:36" x14ac:dyDescent="0.25">
      <c r="A29" s="5" t="s">
        <v>39</v>
      </c>
      <c r="B29" s="5" t="s">
        <v>28</v>
      </c>
      <c r="C29" s="5" t="str">
        <f t="shared" si="0"/>
        <v>description,dailCompDescDemolitionist27,</v>
      </c>
      <c r="D29" s="5" t="str">
        <f t="shared" si="2"/>
        <v>itemText,dailCompTextDemolitionist27,</v>
      </c>
      <c r="E29" s="5" t="str">
        <f t="shared" si="14"/>
        <v>augmentSkillLevel1,1,</v>
      </c>
      <c r="F29" s="5" t="str">
        <f t="shared" si="15"/>
        <v>augmentSkillName1,records/skills/playerclass02/thermitemines1.dbr,</v>
      </c>
      <c r="G29" s="7">
        <f t="shared" si="10"/>
        <v>27</v>
      </c>
      <c r="H29" s="8" t="str">
        <f t="shared" si="11"/>
        <v>Demolitionist</v>
      </c>
      <c r="I29" s="3" t="s">
        <v>59</v>
      </c>
      <c r="J29" s="8" t="str">
        <f t="shared" si="20"/>
        <v>class0002</v>
      </c>
      <c r="K29" s="8" t="str">
        <f t="shared" si="20"/>
        <v>dailoneskill0002</v>
      </c>
      <c r="L29" s="5" t="str">
        <f t="shared" si="4"/>
        <v>lootName27,DAIL/items/materia/class0002/Demolitionist27.dbr,</v>
      </c>
      <c r="M29" s="5" t="str">
        <f t="shared" si="5"/>
        <v>lootWeight27,1,</v>
      </c>
      <c r="N29" t="str">
        <f t="shared" si="6"/>
        <v>1</v>
      </c>
      <c r="O29" t="str">
        <f t="shared" si="16"/>
        <v>copy .\dail_base.dbr .\items\materia\class0002\Demolitionist27.dbr /y</v>
      </c>
      <c r="P29" t="str">
        <f t="shared" si="7"/>
        <v>echo relicBitmap,items/craftingparts/components/component_a52_bristlyfur_b.tex, &gt;&gt; .\items\materia\class0002\Demolitionist27.dbr</v>
      </c>
      <c r="Q29" t="str">
        <f t="shared" si="7"/>
        <v>echo itemCost,300000, &gt;&gt; .\items\materia\class0002\Demolitionist27.dbr</v>
      </c>
      <c r="R29" t="str">
        <f t="shared" si="7"/>
        <v>echo description,dailCompDescDemolitionist27, &gt;&gt; .\items\materia\class0002\Demolitionist27.dbr</v>
      </c>
      <c r="S29" t="str">
        <f t="shared" si="7"/>
        <v>echo itemText,dailCompTextDemolitionist27, &gt;&gt; .\items\materia\class0002\Demolitionist27.dbr</v>
      </c>
      <c r="T29" t="str">
        <f t="shared" si="7"/>
        <v>echo augmentSkillLevel1,1, &gt;&gt; .\items\materia\class0002\Demolitionist27.dbr</v>
      </c>
      <c r="U29" t="str">
        <f t="shared" si="7"/>
        <v>echo augmentSkillName1,records/skills/playerclass02/thermitemines1.dbr, &gt;&gt; .\items\materia\class0002\Demolitionist27.dbr</v>
      </c>
      <c r="V29" s="5" t="s">
        <v>36</v>
      </c>
      <c r="W29" t="str">
        <f t="shared" si="8"/>
        <v>echo lootName27,DAIL/items/materia/class0002/Demolitionist27.dbr, &gt;&gt; .\items\loottables\dailoneskill0002.dbr</v>
      </c>
      <c r="X29" t="str">
        <f t="shared" si="8"/>
        <v>echo lootWeight27,1, &gt;&gt; .\items\loottables\dailoneskill0002.dbr</v>
      </c>
      <c r="Y29" s="5" t="s">
        <v>36</v>
      </c>
      <c r="Z29" t="str">
        <f t="shared" si="9"/>
        <v xml:space="preserve"> dailCompDescDemolitionist27=^pDemolitionist's Gift of DAIL</v>
      </c>
      <c r="AA29" t="str">
        <f t="shared" si="17"/>
        <v>dailCompTextDemolitionist27=^oThis feels warm to the touch, almost familiar ^w(This component fits into all Jewellery slots including the Belt And Shoulder)</v>
      </c>
      <c r="AB29" s="5" t="s">
        <v>36</v>
      </c>
      <c r="AH29">
        <f t="shared" si="19"/>
        <v>24</v>
      </c>
      <c r="AI29">
        <f t="shared" si="13"/>
        <v>33</v>
      </c>
      <c r="AJ29">
        <f t="shared" si="18"/>
        <v>1</v>
      </c>
    </row>
    <row r="30" spans="1:36" x14ac:dyDescent="0.25">
      <c r="A30" s="5" t="s">
        <v>39</v>
      </c>
      <c r="B30" s="5" t="s">
        <v>28</v>
      </c>
      <c r="C30" s="5" t="str">
        <f t="shared" si="0"/>
        <v>description,dailCompDescDemolitionist28,</v>
      </c>
      <c r="D30" s="5" t="str">
        <f t="shared" si="2"/>
        <v>itemText,dailCompTextDemolitionist28,</v>
      </c>
      <c r="E30" s="5" t="str">
        <f t="shared" si="14"/>
        <v>augmentSkillLevel1,1,</v>
      </c>
      <c r="F30" s="5" t="str">
        <f t="shared" si="15"/>
        <v>augmentSkillName1,records/skills/playerclass02/thermitemines2_petmod.dbr,</v>
      </c>
      <c r="G30" s="7">
        <f t="shared" si="10"/>
        <v>28</v>
      </c>
      <c r="H30" s="8" t="str">
        <f t="shared" si="11"/>
        <v>Demolitionist</v>
      </c>
      <c r="I30" s="3" t="s">
        <v>281</v>
      </c>
      <c r="J30" s="8" t="str">
        <f t="shared" si="20"/>
        <v>class0002</v>
      </c>
      <c r="K30" s="8" t="str">
        <f t="shared" si="20"/>
        <v>dailoneskill0002</v>
      </c>
      <c r="L30" s="5" t="str">
        <f t="shared" si="4"/>
        <v>lootName28,DAIL/items/materia/class0002/Demolitionist28.dbr,</v>
      </c>
      <c r="M30" s="5" t="str">
        <f t="shared" si="5"/>
        <v>lootWeight28,1,</v>
      </c>
      <c r="N30" t="str">
        <f t="shared" si="6"/>
        <v>1</v>
      </c>
      <c r="O30" t="str">
        <f t="shared" si="16"/>
        <v>copy .\dail_base.dbr .\items\materia\class0002\Demolitionist28.dbr /y</v>
      </c>
      <c r="P30" t="str">
        <f t="shared" si="7"/>
        <v>echo relicBitmap,items/craftingparts/components/component_a52_bristlyfur_b.tex, &gt;&gt; .\items\materia\class0002\Demolitionist28.dbr</v>
      </c>
      <c r="Q30" t="str">
        <f t="shared" si="7"/>
        <v>echo itemCost,300000, &gt;&gt; .\items\materia\class0002\Demolitionist28.dbr</v>
      </c>
      <c r="R30" t="str">
        <f t="shared" si="7"/>
        <v>echo description,dailCompDescDemolitionist28, &gt;&gt; .\items\materia\class0002\Demolitionist28.dbr</v>
      </c>
      <c r="S30" t="str">
        <f t="shared" si="7"/>
        <v>echo itemText,dailCompTextDemolitionist28, &gt;&gt; .\items\materia\class0002\Demolitionist28.dbr</v>
      </c>
      <c r="T30" t="str">
        <f t="shared" si="7"/>
        <v>echo augmentSkillLevel1,1, &gt;&gt; .\items\materia\class0002\Demolitionist28.dbr</v>
      </c>
      <c r="U30" t="str">
        <f t="shared" si="7"/>
        <v>echo augmentSkillName1,records/skills/playerclass02/thermitemines2_petmod.dbr, &gt;&gt; .\items\materia\class0002\Demolitionist28.dbr</v>
      </c>
      <c r="V30" s="5" t="s">
        <v>36</v>
      </c>
      <c r="W30" t="str">
        <f t="shared" si="8"/>
        <v>echo lootName28,DAIL/items/materia/class0002/Demolitionist28.dbr, &gt;&gt; .\items\loottables\dailoneskill0002.dbr</v>
      </c>
      <c r="X30" t="str">
        <f t="shared" si="8"/>
        <v>echo lootWeight28,1, &gt;&gt; .\items\loottables\dailoneskill0002.dbr</v>
      </c>
      <c r="Y30" s="5" t="s">
        <v>36</v>
      </c>
      <c r="Z30" t="str">
        <f t="shared" si="9"/>
        <v xml:space="preserve"> dailCompDescDemolitionist28=^pDemolitionist's Gift of DAIL</v>
      </c>
      <c r="AA30" t="str">
        <f t="shared" si="17"/>
        <v>dailCompTextDemolitionist28=^oThis feels warm to the touch, almost familiar ^w(This component fits into all Jewellery slots including the Belt And Shoulder)</v>
      </c>
      <c r="AB30" s="5" t="s">
        <v>36</v>
      </c>
      <c r="AH30">
        <f t="shared" si="19"/>
        <v>25</v>
      </c>
      <c r="AI30">
        <f t="shared" si="13"/>
        <v>40</v>
      </c>
      <c r="AJ30">
        <f t="shared" si="18"/>
        <v>1</v>
      </c>
    </row>
    <row r="31" spans="1:36" x14ac:dyDescent="0.25">
      <c r="A31" s="5" t="s">
        <v>39</v>
      </c>
      <c r="B31" s="5" t="s">
        <v>28</v>
      </c>
      <c r="C31" s="5" t="str">
        <f t="shared" si="0"/>
        <v>description,dailCompDescDemolitionist29,</v>
      </c>
      <c r="D31" s="5" t="str">
        <f t="shared" si="2"/>
        <v>itemText,dailCompTextDemolitionist29,</v>
      </c>
      <c r="E31" s="5" t="str">
        <f t="shared" si="14"/>
        <v>augmentSkillLevel1,1,</v>
      </c>
      <c r="F31" s="5" t="str">
        <f t="shared" si="15"/>
        <v>augmentSkillName1,records/skills/playerclass02/flashbang1.dbr,</v>
      </c>
      <c r="G31" s="7">
        <f t="shared" si="10"/>
        <v>29</v>
      </c>
      <c r="H31" s="8" t="str">
        <f t="shared" si="11"/>
        <v>Demolitionist</v>
      </c>
      <c r="I31" s="3" t="s">
        <v>54</v>
      </c>
      <c r="J31" s="8" t="str">
        <f t="shared" si="20"/>
        <v>class0002</v>
      </c>
      <c r="K31" s="8" t="str">
        <f t="shared" si="20"/>
        <v>dailoneskill0002</v>
      </c>
      <c r="L31" s="5" t="str">
        <f t="shared" si="4"/>
        <v>lootName29,DAIL/items/materia/class0002/Demolitionist29.dbr,</v>
      </c>
      <c r="M31" s="5" t="str">
        <f t="shared" si="5"/>
        <v>lootWeight29,1,</v>
      </c>
      <c r="N31" t="str">
        <f t="shared" si="6"/>
        <v>1</v>
      </c>
      <c r="O31" t="str">
        <f t="shared" si="16"/>
        <v>copy .\dail_base.dbr .\items\materia\class0002\Demolitionist29.dbr /y</v>
      </c>
      <c r="P31" t="str">
        <f t="shared" si="7"/>
        <v>echo relicBitmap,items/craftingparts/components/component_a52_bristlyfur_b.tex, &gt;&gt; .\items\materia\class0002\Demolitionist29.dbr</v>
      </c>
      <c r="Q31" t="str">
        <f t="shared" si="7"/>
        <v>echo itemCost,300000, &gt;&gt; .\items\materia\class0002\Demolitionist29.dbr</v>
      </c>
      <c r="R31" t="str">
        <f t="shared" si="7"/>
        <v>echo description,dailCompDescDemolitionist29, &gt;&gt; .\items\materia\class0002\Demolitionist29.dbr</v>
      </c>
      <c r="S31" t="str">
        <f t="shared" si="7"/>
        <v>echo itemText,dailCompTextDemolitionist29, &gt;&gt; .\items\materia\class0002\Demolitionist29.dbr</v>
      </c>
      <c r="T31" t="str">
        <f t="shared" si="7"/>
        <v>echo augmentSkillLevel1,1, &gt;&gt; .\items\materia\class0002\Demolitionist29.dbr</v>
      </c>
      <c r="U31" t="str">
        <f t="shared" si="7"/>
        <v>echo augmentSkillName1,records/skills/playerclass02/flashbang1.dbr, &gt;&gt; .\items\materia\class0002\Demolitionist29.dbr</v>
      </c>
      <c r="V31" s="5" t="s">
        <v>36</v>
      </c>
      <c r="W31" t="str">
        <f t="shared" si="8"/>
        <v>echo lootName29,DAIL/items/materia/class0002/Demolitionist29.dbr, &gt;&gt; .\items\loottables\dailoneskill0002.dbr</v>
      </c>
      <c r="X31" t="str">
        <f t="shared" si="8"/>
        <v>echo lootWeight29,1, &gt;&gt; .\items\loottables\dailoneskill0002.dbr</v>
      </c>
      <c r="Y31" s="5" t="s">
        <v>36</v>
      </c>
      <c r="Z31" t="str">
        <f t="shared" si="9"/>
        <v xml:space="preserve"> dailCompDescDemolitionist29=^pDemolitionist's Gift of DAIL</v>
      </c>
      <c r="AA31" t="str">
        <f t="shared" si="17"/>
        <v>dailCompTextDemolitionist29=^oThis feels warm to the touch, almost familiar ^w(This component fits into all Jewellery slots including the Belt And Shoulder)</v>
      </c>
      <c r="AB31" s="5" t="s">
        <v>36</v>
      </c>
      <c r="AH31">
        <f t="shared" si="19"/>
        <v>26</v>
      </c>
      <c r="AI31">
        <f t="shared" si="13"/>
        <v>29</v>
      </c>
      <c r="AJ31">
        <f t="shared" si="18"/>
        <v>1</v>
      </c>
    </row>
    <row r="32" spans="1:36" x14ac:dyDescent="0.25">
      <c r="A32" s="5" t="s">
        <v>39</v>
      </c>
      <c r="B32" s="5" t="s">
        <v>30</v>
      </c>
      <c r="C32" s="5" t="str">
        <f t="shared" si="0"/>
        <v>description,dailCompDescDemolitionist30,</v>
      </c>
      <c r="D32" s="5" t="str">
        <f t="shared" si="2"/>
        <v>itemText,dailCompTextDemolitionist30,</v>
      </c>
      <c r="E32" s="5" t="str">
        <f t="shared" si="14"/>
        <v>augmentSkillLevel1,1,</v>
      </c>
      <c r="F32" s="5" t="str">
        <f t="shared" si="15"/>
        <v>augmentSkillName1,records/skills/playerclass02/flashbang2.dbr,</v>
      </c>
      <c r="G32" s="7">
        <f t="shared" si="10"/>
        <v>30</v>
      </c>
      <c r="H32" s="8" t="str">
        <f t="shared" si="11"/>
        <v>Demolitionist</v>
      </c>
      <c r="I32" s="3" t="s">
        <v>282</v>
      </c>
      <c r="J32" s="8" t="str">
        <f t="shared" si="20"/>
        <v>class0002</v>
      </c>
      <c r="K32" s="8" t="str">
        <f t="shared" si="20"/>
        <v>dailoneskill0002</v>
      </c>
      <c r="L32" s="5" t="str">
        <f t="shared" si="4"/>
        <v>lootName30,DAIL/items/materia/class0002/Demolitionist30.dbr,</v>
      </c>
      <c r="M32" s="5" t="str">
        <f t="shared" si="5"/>
        <v>lootWeight30,1,</v>
      </c>
      <c r="N32" t="str">
        <f t="shared" si="6"/>
        <v>1</v>
      </c>
      <c r="O32" t="str">
        <f t="shared" si="16"/>
        <v>copy .\dail_base.dbr .\items\materia\class0002\Demolitionist30.dbr /y</v>
      </c>
      <c r="P32" t="str">
        <f t="shared" si="7"/>
        <v>echo relicBitmap,items/craftingparts/components/component_a52_bristlyfur_b.tex, &gt;&gt; .\items\materia\class0002\Demolitionist30.dbr</v>
      </c>
      <c r="Q32" t="str">
        <f t="shared" si="7"/>
        <v>echo itemCost,500000, &gt;&gt; .\items\materia\class0002\Demolitionist30.dbr</v>
      </c>
      <c r="R32" t="str">
        <f t="shared" si="7"/>
        <v>echo description,dailCompDescDemolitionist30, &gt;&gt; .\items\materia\class0002\Demolitionist30.dbr</v>
      </c>
      <c r="S32" t="str">
        <f t="shared" si="7"/>
        <v>echo itemText,dailCompTextDemolitionist30, &gt;&gt; .\items\materia\class0002\Demolitionist30.dbr</v>
      </c>
      <c r="T32" t="str">
        <f t="shared" si="7"/>
        <v>echo augmentSkillLevel1,1, &gt;&gt; .\items\materia\class0002\Demolitionist30.dbr</v>
      </c>
      <c r="U32" t="str">
        <f t="shared" si="7"/>
        <v>echo augmentSkillName1,records/skills/playerclass02/flashbang2.dbr, &gt;&gt; .\items\materia\class0002\Demolitionist30.dbr</v>
      </c>
      <c r="V32" s="5" t="s">
        <v>36</v>
      </c>
      <c r="W32" t="str">
        <f t="shared" si="8"/>
        <v>echo lootName30,DAIL/items/materia/class0002/Demolitionist30.dbr, &gt;&gt; .\items\loottables\dailoneskill0002.dbr</v>
      </c>
      <c r="X32" t="str">
        <f t="shared" si="8"/>
        <v>echo lootWeight30,1, &gt;&gt; .\items\loottables\dailoneskill0002.dbr</v>
      </c>
      <c r="Y32" s="5" t="s">
        <v>36</v>
      </c>
      <c r="Z32" t="str">
        <f t="shared" si="9"/>
        <v xml:space="preserve"> dailCompDescDemolitionist30=^pDemolitionist's Gift of DAIL</v>
      </c>
      <c r="AA32" t="str">
        <f t="shared" si="17"/>
        <v>dailCompTextDemolitionist30=^oThis feels warm to the touch, almost familiar ^w(This component fits into all Jewellery slots including the Belt And Shoulder)</v>
      </c>
      <c r="AB32" s="5" t="s">
        <v>36</v>
      </c>
      <c r="AH32">
        <f t="shared" si="19"/>
        <v>27</v>
      </c>
      <c r="AI32">
        <f t="shared" si="13"/>
        <v>29</v>
      </c>
      <c r="AJ32">
        <f t="shared" si="18"/>
        <v>1</v>
      </c>
    </row>
    <row r="33" spans="1:36" x14ac:dyDescent="0.25">
      <c r="A33" s="5" t="s">
        <v>39</v>
      </c>
      <c r="B33" s="5" t="s">
        <v>30</v>
      </c>
      <c r="C33" s="5" t="str">
        <f t="shared" si="0"/>
        <v>description,dailCompDescDemolitionist31,</v>
      </c>
      <c r="D33" s="5" t="str">
        <f t="shared" si="2"/>
        <v>itemText,dailCompTextDemolitionist31,</v>
      </c>
      <c r="E33" s="5" t="str">
        <f t="shared" si="14"/>
        <v>augmentSkillLevel1,1,</v>
      </c>
      <c r="F33" s="5" t="str">
        <f t="shared" si="15"/>
        <v>augmentSkillName1,records/skills/playerclass02/flamestrike1.dbr,</v>
      </c>
      <c r="G33" s="7">
        <f t="shared" si="10"/>
        <v>31</v>
      </c>
      <c r="H33" s="8" t="str">
        <f t="shared" si="11"/>
        <v>Demolitionist</v>
      </c>
      <c r="I33" s="3" t="s">
        <v>53</v>
      </c>
      <c r="J33" s="8" t="str">
        <f t="shared" si="20"/>
        <v>class0002</v>
      </c>
      <c r="K33" s="8" t="str">
        <f t="shared" si="20"/>
        <v>dailoneskill0002</v>
      </c>
      <c r="L33" s="5" t="str">
        <f t="shared" si="4"/>
        <v>lootName31,DAIL/items/materia/class0002/Demolitionist31.dbr,</v>
      </c>
      <c r="M33" s="5" t="str">
        <f t="shared" si="5"/>
        <v>lootWeight31,1,</v>
      </c>
      <c r="N33" t="str">
        <f t="shared" si="6"/>
        <v>1</v>
      </c>
      <c r="O33" t="str">
        <f t="shared" si="16"/>
        <v>copy .\dail_base.dbr .\items\materia\class0002\Demolitionist31.dbr /y</v>
      </c>
      <c r="P33" t="str">
        <f t="shared" si="7"/>
        <v>echo relicBitmap,items/craftingparts/components/component_a52_bristlyfur_b.tex, &gt;&gt; .\items\materia\class0002\Demolitionist31.dbr</v>
      </c>
      <c r="Q33" t="str">
        <f t="shared" si="7"/>
        <v>echo itemCost,500000, &gt;&gt; .\items\materia\class0002\Demolitionist31.dbr</v>
      </c>
      <c r="R33" t="str">
        <f t="shared" si="7"/>
        <v>echo description,dailCompDescDemolitionist31, &gt;&gt; .\items\materia\class0002\Demolitionist31.dbr</v>
      </c>
      <c r="S33" t="str">
        <f t="shared" si="7"/>
        <v>echo itemText,dailCompTextDemolitionist31, &gt;&gt; .\items\materia\class0002\Demolitionist31.dbr</v>
      </c>
      <c r="T33" t="str">
        <f t="shared" si="7"/>
        <v>echo augmentSkillLevel1,1, &gt;&gt; .\items\materia\class0002\Demolitionist31.dbr</v>
      </c>
      <c r="U33" t="str">
        <f t="shared" si="7"/>
        <v>echo augmentSkillName1,records/skills/playerclass02/flamestrike1.dbr, &gt;&gt; .\items\materia\class0002\Demolitionist31.dbr</v>
      </c>
      <c r="V33" s="5" t="s">
        <v>36</v>
      </c>
      <c r="W33" t="str">
        <f t="shared" si="8"/>
        <v>echo lootName31,DAIL/items/materia/class0002/Demolitionist31.dbr, &gt;&gt; .\items\loottables\dailoneskill0002.dbr</v>
      </c>
      <c r="X33" t="str">
        <f t="shared" si="8"/>
        <v>echo lootWeight31,1, &gt;&gt; .\items\loottables\dailoneskill0002.dbr</v>
      </c>
      <c r="Y33" s="5" t="s">
        <v>36</v>
      </c>
      <c r="Z33" t="str">
        <f t="shared" si="9"/>
        <v xml:space="preserve"> dailCompDescDemolitionist31=^pDemolitionist's Gift of DAIL</v>
      </c>
      <c r="AA33" t="str">
        <f t="shared" si="17"/>
        <v>dailCompTextDemolitionist31=^oThis feels warm to the touch, almost familiar ^w(This component fits into all Jewellery slots including the Belt And Shoulder)</v>
      </c>
      <c r="AB33" s="5" t="s">
        <v>36</v>
      </c>
      <c r="AH33">
        <f t="shared" si="19"/>
        <v>28</v>
      </c>
      <c r="AI33">
        <f t="shared" si="13"/>
        <v>31</v>
      </c>
      <c r="AJ33">
        <f t="shared" si="18"/>
        <v>1</v>
      </c>
    </row>
    <row r="34" spans="1:36" x14ac:dyDescent="0.25">
      <c r="A34" s="5" t="s">
        <v>39</v>
      </c>
      <c r="B34" s="5" t="s">
        <v>30</v>
      </c>
      <c r="C34" s="5" t="str">
        <f t="shared" si="0"/>
        <v>description,dailCompDescDemolitionist32,</v>
      </c>
      <c r="D34" s="5" t="str">
        <f t="shared" si="2"/>
        <v>itemText,dailCompTextDemolitionist32,</v>
      </c>
      <c r="E34" s="5" t="str">
        <f t="shared" si="14"/>
        <v>augmentSkillLevel1,1,</v>
      </c>
      <c r="F34" s="5" t="str">
        <f t="shared" si="15"/>
        <v>augmentSkillName1,records/skills/playerclass02/flamestrike2.dbr,</v>
      </c>
      <c r="G34" s="7">
        <f t="shared" si="10"/>
        <v>32</v>
      </c>
      <c r="H34" s="8" t="str">
        <f t="shared" si="11"/>
        <v>Demolitionist</v>
      </c>
      <c r="I34" s="3" t="s">
        <v>283</v>
      </c>
      <c r="J34" s="8" t="str">
        <f t="shared" si="20"/>
        <v>class0002</v>
      </c>
      <c r="K34" s="8" t="str">
        <f t="shared" si="20"/>
        <v>dailoneskill0002</v>
      </c>
      <c r="L34" s="5" t="str">
        <f t="shared" si="4"/>
        <v>lootName32,DAIL/items/materia/class0002/Demolitionist32.dbr,</v>
      </c>
      <c r="M34" s="5" t="str">
        <f t="shared" si="5"/>
        <v>lootWeight32,1,</v>
      </c>
      <c r="N34" t="str">
        <f t="shared" si="6"/>
        <v>1</v>
      </c>
      <c r="O34" t="str">
        <f t="shared" si="16"/>
        <v>copy .\dail_base.dbr .\items\materia\class0002\Demolitionist32.dbr /y</v>
      </c>
      <c r="P34" t="str">
        <f t="shared" si="7"/>
        <v>echo relicBitmap,items/craftingparts/components/component_a52_bristlyfur_b.tex, &gt;&gt; .\items\materia\class0002\Demolitionist32.dbr</v>
      </c>
      <c r="Q34" t="str">
        <f t="shared" si="7"/>
        <v>echo itemCost,500000, &gt;&gt; .\items\materia\class0002\Demolitionist32.dbr</v>
      </c>
      <c r="R34" t="str">
        <f t="shared" si="7"/>
        <v>echo description,dailCompDescDemolitionist32, &gt;&gt; .\items\materia\class0002\Demolitionist32.dbr</v>
      </c>
      <c r="S34" t="str">
        <f t="shared" si="7"/>
        <v>echo itemText,dailCompTextDemolitionist32, &gt;&gt; .\items\materia\class0002\Demolitionist32.dbr</v>
      </c>
      <c r="T34" t="str">
        <f t="shared" si="7"/>
        <v>echo augmentSkillLevel1,1, &gt;&gt; .\items\materia\class0002\Demolitionist32.dbr</v>
      </c>
      <c r="U34" t="str">
        <f t="shared" si="7"/>
        <v>echo augmentSkillName1,records/skills/playerclass02/flamestrike2.dbr, &gt;&gt; .\items\materia\class0002\Demolitionist32.dbr</v>
      </c>
      <c r="V34" s="5" t="s">
        <v>36</v>
      </c>
      <c r="W34" t="str">
        <f t="shared" si="8"/>
        <v>echo lootName32,DAIL/items/materia/class0002/Demolitionist32.dbr, &gt;&gt; .\items\loottables\dailoneskill0002.dbr</v>
      </c>
      <c r="X34" t="str">
        <f t="shared" si="8"/>
        <v>echo lootWeight32,1, &gt;&gt; .\items\loottables\dailoneskill0002.dbr</v>
      </c>
      <c r="Y34" s="5" t="s">
        <v>36</v>
      </c>
      <c r="Z34" t="str">
        <f t="shared" si="9"/>
        <v xml:space="preserve"> dailCompDescDemolitionist32=^pDemolitionist's Gift of DAIL</v>
      </c>
      <c r="AA34" t="str">
        <f t="shared" si="17"/>
        <v>dailCompTextDemolitionist32=^oThis feels warm to the touch, almost familiar ^w(This component fits into all Jewellery slots including the Belt And Shoulder)</v>
      </c>
      <c r="AB34" s="5" t="s">
        <v>36</v>
      </c>
      <c r="AH34">
        <f t="shared" si="19"/>
        <v>29</v>
      </c>
      <c r="AI34">
        <f t="shared" si="13"/>
        <v>31</v>
      </c>
      <c r="AJ34">
        <f t="shared" si="18"/>
        <v>1</v>
      </c>
    </row>
    <row r="35" spans="1:36" x14ac:dyDescent="0.25">
      <c r="A35" s="5" t="s">
        <v>39</v>
      </c>
      <c r="B35" s="5" t="s">
        <v>30</v>
      </c>
      <c r="C35" s="5" t="str">
        <f t="shared" si="0"/>
        <v>description,dailCompDescDemolitionist33,</v>
      </c>
      <c r="D35" s="5" t="str">
        <f t="shared" si="2"/>
        <v>itemText,dailCompTextDemolitionist33,</v>
      </c>
      <c r="E35" s="5" t="str">
        <f t="shared" si="14"/>
        <v>augmentSkillLevel1,1,</v>
      </c>
      <c r="F35" s="5" t="str">
        <f t="shared" si="15"/>
        <v>augmentSkillName1,records/skills/playerclass02/flamestrike2b.dbr,</v>
      </c>
      <c r="G35" s="7">
        <f t="shared" si="10"/>
        <v>33</v>
      </c>
      <c r="H35" s="8" t="str">
        <f t="shared" si="11"/>
        <v>Demolitionist</v>
      </c>
      <c r="I35" s="3" t="s">
        <v>284</v>
      </c>
      <c r="J35" s="8" t="str">
        <f t="shared" si="20"/>
        <v>class0002</v>
      </c>
      <c r="K35" s="8" t="str">
        <f t="shared" si="20"/>
        <v>dailoneskill0002</v>
      </c>
      <c r="L35" s="5" t="str">
        <f t="shared" si="4"/>
        <v>lootName33,DAIL/items/materia/class0002/Demolitionist33.dbr,</v>
      </c>
      <c r="M35" s="5" t="str">
        <f t="shared" si="5"/>
        <v>lootWeight33,1,</v>
      </c>
      <c r="N35" t="str">
        <f t="shared" si="6"/>
        <v>1</v>
      </c>
      <c r="O35" t="str">
        <f t="shared" si="16"/>
        <v>copy .\dail_base.dbr .\items\materia\class0002\Demolitionist33.dbr /y</v>
      </c>
      <c r="P35" t="str">
        <f t="shared" si="7"/>
        <v>echo relicBitmap,items/craftingparts/components/component_a52_bristlyfur_b.tex, &gt;&gt; .\items\materia\class0002\Demolitionist33.dbr</v>
      </c>
      <c r="Q35" t="str">
        <f t="shared" si="7"/>
        <v>echo itemCost,500000, &gt;&gt; .\items\materia\class0002\Demolitionist33.dbr</v>
      </c>
      <c r="R35" t="str">
        <f t="shared" si="7"/>
        <v>echo description,dailCompDescDemolitionist33, &gt;&gt; .\items\materia\class0002\Demolitionist33.dbr</v>
      </c>
      <c r="S35" t="str">
        <f t="shared" si="7"/>
        <v>echo itemText,dailCompTextDemolitionist33, &gt;&gt; .\items\materia\class0002\Demolitionist33.dbr</v>
      </c>
      <c r="T35" t="str">
        <f t="shared" si="7"/>
        <v>echo augmentSkillLevel1,1, &gt;&gt; .\items\materia\class0002\Demolitionist33.dbr</v>
      </c>
      <c r="U35" t="str">
        <f t="shared" si="7"/>
        <v>echo augmentSkillName1,records/skills/playerclass02/flamestrike2b.dbr, &gt;&gt; .\items\materia\class0002\Demolitionist33.dbr</v>
      </c>
      <c r="V35" s="5" t="s">
        <v>36</v>
      </c>
      <c r="W35" t="str">
        <f t="shared" si="8"/>
        <v>echo lootName33,DAIL/items/materia/class0002/Demolitionist33.dbr, &gt;&gt; .\items\loottables\dailoneskill0002.dbr</v>
      </c>
      <c r="X35" t="str">
        <f t="shared" si="8"/>
        <v>echo lootWeight33,1, &gt;&gt; .\items\loottables\dailoneskill0002.dbr</v>
      </c>
      <c r="Y35" s="5" t="s">
        <v>36</v>
      </c>
      <c r="Z35" t="str">
        <f t="shared" si="9"/>
        <v xml:space="preserve"> dailCompDescDemolitionist33=^pDemolitionist's Gift of DAIL</v>
      </c>
      <c r="AA35" t="str">
        <f t="shared" si="17"/>
        <v>dailCompTextDemolitionist33=^oThis feels warm to the touch, almost familiar ^w(This component fits into all Jewellery slots including the Belt And Shoulder)</v>
      </c>
      <c r="AB35" s="5" t="s">
        <v>36</v>
      </c>
      <c r="AH35">
        <f t="shared" si="19"/>
        <v>30</v>
      </c>
      <c r="AI35">
        <f t="shared" si="13"/>
        <v>32</v>
      </c>
      <c r="AJ35">
        <f t="shared" si="18"/>
        <v>1</v>
      </c>
    </row>
    <row r="36" spans="1:36" x14ac:dyDescent="0.25">
      <c r="A36" s="5" t="s">
        <v>39</v>
      </c>
      <c r="B36" s="5" t="s">
        <v>30</v>
      </c>
      <c r="C36" s="5" t="str">
        <f t="shared" si="0"/>
        <v>description,dailCompDescDemolitionist34,</v>
      </c>
      <c r="D36" s="5" t="str">
        <f t="shared" si="2"/>
        <v>itemText,dailCompTextDemolitionist34,</v>
      </c>
      <c r="E36" s="5" t="str">
        <f t="shared" si="14"/>
        <v>augmentSkillLevel1,1,</v>
      </c>
      <c r="F36" s="5" t="str">
        <f t="shared" si="15"/>
        <v>augmentSkillName1,records/skills/playerclass02/flamestrike3.dbr,</v>
      </c>
      <c r="G36" s="7">
        <f t="shared" si="10"/>
        <v>34</v>
      </c>
      <c r="H36" s="8" t="str">
        <f t="shared" si="11"/>
        <v>Demolitionist</v>
      </c>
      <c r="I36" s="3" t="s">
        <v>285</v>
      </c>
      <c r="J36" s="8" t="str">
        <f t="shared" si="20"/>
        <v>class0002</v>
      </c>
      <c r="K36" s="8" t="str">
        <f t="shared" si="20"/>
        <v>dailoneskill0002</v>
      </c>
      <c r="L36" s="5" t="str">
        <f t="shared" si="4"/>
        <v>lootName34,DAIL/items/materia/class0002/Demolitionist34.dbr,</v>
      </c>
      <c r="M36" s="5" t="str">
        <f t="shared" si="5"/>
        <v>lootWeight34,1,</v>
      </c>
      <c r="N36" t="str">
        <f t="shared" si="6"/>
        <v>1</v>
      </c>
      <c r="O36" t="str">
        <f t="shared" si="16"/>
        <v>copy .\dail_base.dbr .\items\materia\class0002\Demolitionist34.dbr /y</v>
      </c>
      <c r="P36" t="str">
        <f t="shared" si="7"/>
        <v>echo relicBitmap,items/craftingparts/components/component_a52_bristlyfur_b.tex, &gt;&gt; .\items\materia\class0002\Demolitionist34.dbr</v>
      </c>
      <c r="Q36" t="str">
        <f t="shared" si="7"/>
        <v>echo itemCost,500000, &gt;&gt; .\items\materia\class0002\Demolitionist34.dbr</v>
      </c>
      <c r="R36" t="str">
        <f t="shared" si="7"/>
        <v>echo description,dailCompDescDemolitionist34, &gt;&gt; .\items\materia\class0002\Demolitionist34.dbr</v>
      </c>
      <c r="S36" t="str">
        <f t="shared" si="7"/>
        <v>echo itemText,dailCompTextDemolitionist34, &gt;&gt; .\items\materia\class0002\Demolitionist34.dbr</v>
      </c>
      <c r="T36" t="str">
        <f t="shared" si="7"/>
        <v>echo augmentSkillLevel1,1, &gt;&gt; .\items\materia\class0002\Demolitionist34.dbr</v>
      </c>
      <c r="U36" t="str">
        <f t="shared" si="7"/>
        <v>echo augmentSkillName1,records/skills/playerclass02/flamestrike3.dbr, &gt;&gt; .\items\materia\class0002\Demolitionist34.dbr</v>
      </c>
      <c r="V36" s="5" t="s">
        <v>36</v>
      </c>
      <c r="W36" t="str">
        <f t="shared" si="8"/>
        <v>echo lootName34,DAIL/items/materia/class0002/Demolitionist34.dbr, &gt;&gt; .\items\loottables\dailoneskill0002.dbr</v>
      </c>
      <c r="X36" t="str">
        <f t="shared" si="8"/>
        <v>echo lootWeight34,1, &gt;&gt; .\items\loottables\dailoneskill0002.dbr</v>
      </c>
      <c r="Y36" s="5" t="s">
        <v>36</v>
      </c>
      <c r="Z36" t="str">
        <f t="shared" si="9"/>
        <v xml:space="preserve"> dailCompDescDemolitionist34=^pDemolitionist's Gift of DAIL</v>
      </c>
      <c r="AA36" t="str">
        <f t="shared" si="17"/>
        <v>dailCompTextDemolitionist34=^oThis feels warm to the touch, almost familiar ^w(This component fits into all Jewellery slots including the Belt And Shoulder)</v>
      </c>
      <c r="AB36" s="5" t="s">
        <v>36</v>
      </c>
      <c r="AH36">
        <f t="shared" si="19"/>
        <v>31</v>
      </c>
      <c r="AI36">
        <f t="shared" si="13"/>
        <v>31</v>
      </c>
      <c r="AJ36">
        <f t="shared" si="18"/>
        <v>1</v>
      </c>
    </row>
    <row r="37" spans="1:36" x14ac:dyDescent="0.25">
      <c r="A37" s="5" t="s">
        <v>39</v>
      </c>
      <c r="B37" s="5" t="s">
        <v>30</v>
      </c>
      <c r="C37" s="5" t="str">
        <f t="shared" si="0"/>
        <v>description,dailCompDescDemolitionist35,</v>
      </c>
      <c r="D37" s="5" t="str">
        <f t="shared" si="2"/>
        <v>itemText,dailCompTextDemolitionist35,</v>
      </c>
      <c r="E37" s="5" t="str">
        <f t="shared" si="14"/>
        <v>augmentSkillLevel1,1,</v>
      </c>
      <c r="F37" s="5" t="str">
        <f t="shared" si="15"/>
        <v>augmentSkillName1,records/skills/playerclass02/flamestrike4.dbr,</v>
      </c>
      <c r="G37" s="7">
        <f t="shared" si="10"/>
        <v>35</v>
      </c>
      <c r="H37" s="8" t="str">
        <f t="shared" si="11"/>
        <v>Demolitionist</v>
      </c>
      <c r="I37" s="3" t="s">
        <v>286</v>
      </c>
      <c r="J37" s="8" t="str">
        <f t="shared" ref="J37:K52" si="21">J36</f>
        <v>class0002</v>
      </c>
      <c r="K37" s="8" t="str">
        <f t="shared" si="21"/>
        <v>dailoneskill0002</v>
      </c>
      <c r="L37" s="5" t="str">
        <f t="shared" si="4"/>
        <v>lootName35,DAIL/items/materia/class0002/Demolitionist35.dbr,</v>
      </c>
      <c r="M37" s="5" t="str">
        <f t="shared" si="5"/>
        <v>lootWeight35,1,</v>
      </c>
      <c r="N37" t="str">
        <f t="shared" si="6"/>
        <v>1</v>
      </c>
      <c r="O37" t="str">
        <f t="shared" si="16"/>
        <v>copy .\dail_base.dbr .\items\materia\class0002\Demolitionist35.dbr /y</v>
      </c>
      <c r="P37" t="str">
        <f t="shared" si="7"/>
        <v>echo relicBitmap,items/craftingparts/components/component_a52_bristlyfur_b.tex, &gt;&gt; .\items\materia\class0002\Demolitionist35.dbr</v>
      </c>
      <c r="Q37" t="str">
        <f t="shared" si="7"/>
        <v>echo itemCost,500000, &gt;&gt; .\items\materia\class0002\Demolitionist35.dbr</v>
      </c>
      <c r="R37" t="str">
        <f t="shared" si="7"/>
        <v>echo description,dailCompDescDemolitionist35, &gt;&gt; .\items\materia\class0002\Demolitionist35.dbr</v>
      </c>
      <c r="S37" t="str">
        <f t="shared" si="7"/>
        <v>echo itemText,dailCompTextDemolitionist35, &gt;&gt; .\items\materia\class0002\Demolitionist35.dbr</v>
      </c>
      <c r="T37" t="str">
        <f t="shared" si="7"/>
        <v>echo augmentSkillLevel1,1, &gt;&gt; .\items\materia\class0002\Demolitionist35.dbr</v>
      </c>
      <c r="U37" t="str">
        <f t="shared" si="7"/>
        <v>echo augmentSkillName1,records/skills/playerclass02/flamestrike4.dbr, &gt;&gt; .\items\materia\class0002\Demolitionist35.dbr</v>
      </c>
      <c r="V37" s="5" t="s">
        <v>36</v>
      </c>
      <c r="W37" t="str">
        <f t="shared" si="8"/>
        <v>echo lootName35,DAIL/items/materia/class0002/Demolitionist35.dbr, &gt;&gt; .\items\loottables\dailoneskill0002.dbr</v>
      </c>
      <c r="X37" t="str">
        <f t="shared" si="8"/>
        <v>echo lootWeight35,1, &gt;&gt; .\items\loottables\dailoneskill0002.dbr</v>
      </c>
      <c r="Y37" s="5" t="s">
        <v>36</v>
      </c>
      <c r="Z37" t="str">
        <f t="shared" si="9"/>
        <v xml:space="preserve"> dailCompDescDemolitionist35=^pDemolitionist's Gift of DAIL</v>
      </c>
      <c r="AA37" t="str">
        <f t="shared" si="17"/>
        <v>dailCompTextDemolitionist35=^oThis feels warm to the touch, almost familiar ^w(This component fits into all Jewellery slots including the Belt And Shoulder)</v>
      </c>
      <c r="AB37" s="5" t="s">
        <v>36</v>
      </c>
      <c r="AH37">
        <f t="shared" si="19"/>
        <v>32</v>
      </c>
      <c r="AI37">
        <f t="shared" si="13"/>
        <v>31</v>
      </c>
      <c r="AJ37">
        <f t="shared" si="18"/>
        <v>1</v>
      </c>
    </row>
    <row r="38" spans="1:36" x14ac:dyDescent="0.25">
      <c r="A38" s="5" t="s">
        <v>39</v>
      </c>
      <c r="B38" s="5" t="s">
        <v>30</v>
      </c>
      <c r="C38" s="5" t="str">
        <f t="shared" si="0"/>
        <v>description,dailCompDescDemolitionist36,</v>
      </c>
      <c r="D38" s="5" t="str">
        <f t="shared" si="2"/>
        <v>itemText,dailCompTextDemolitionist36,</v>
      </c>
      <c r="E38" s="5" t="str">
        <f t="shared" si="14"/>
        <v>augmentSkillLevel1,3,</v>
      </c>
      <c r="F38" s="5" t="str">
        <f t="shared" si="15"/>
        <v>augmentSkillName1,records/skills/playerclass02/stunjacks1.dbr,</v>
      </c>
      <c r="G38" s="7">
        <f t="shared" si="10"/>
        <v>36</v>
      </c>
      <c r="H38" s="8" t="str">
        <f t="shared" si="11"/>
        <v>Demolitionist</v>
      </c>
      <c r="I38" s="3" t="s">
        <v>58</v>
      </c>
      <c r="J38" s="8" t="str">
        <f t="shared" si="21"/>
        <v>class0002</v>
      </c>
      <c r="K38" s="8" t="str">
        <f t="shared" si="21"/>
        <v>dailoneskill0002</v>
      </c>
      <c r="L38" s="5" t="str">
        <f t="shared" si="4"/>
        <v>lootName36,DAIL/items/materia/class0002/Demolitionist36.dbr,</v>
      </c>
      <c r="M38" s="5" t="str">
        <f t="shared" si="5"/>
        <v>lootWeight36,1,</v>
      </c>
      <c r="N38" t="str">
        <f t="shared" si="6"/>
        <v>3</v>
      </c>
      <c r="O38" t="str">
        <f t="shared" si="16"/>
        <v>copy .\dail_base3.dbr .\items\materia\class0002\Demolitionist36.dbr /y</v>
      </c>
      <c r="P38" t="str">
        <f t="shared" si="7"/>
        <v>echo relicBitmap,items/craftingparts/components/component_a52_bristlyfur_b.tex, &gt;&gt; .\items\materia\class0002\Demolitionist36.dbr</v>
      </c>
      <c r="Q38" t="str">
        <f t="shared" si="7"/>
        <v>echo itemCost,500000, &gt;&gt; .\items\materia\class0002\Demolitionist36.dbr</v>
      </c>
      <c r="R38" t="str">
        <f t="shared" si="7"/>
        <v>echo description,dailCompDescDemolitionist36, &gt;&gt; .\items\materia\class0002\Demolitionist36.dbr</v>
      </c>
      <c r="S38" t="str">
        <f t="shared" si="7"/>
        <v>echo itemText,dailCompTextDemolitionist36, &gt;&gt; .\items\materia\class0002\Demolitionist36.dbr</v>
      </c>
      <c r="T38" t="str">
        <f t="shared" si="7"/>
        <v>echo augmentSkillLevel1,3, &gt;&gt; .\items\materia\class0002\Demolitionist36.dbr</v>
      </c>
      <c r="U38" t="str">
        <f t="shared" si="7"/>
        <v>echo augmentSkillName1,records/skills/playerclass02/stunjacks1.dbr, &gt;&gt; .\items\materia\class0002\Demolitionist36.dbr</v>
      </c>
      <c r="V38" s="5" t="s">
        <v>36</v>
      </c>
      <c r="W38" t="str">
        <f t="shared" si="8"/>
        <v>echo lootName36,DAIL/items/materia/class0002/Demolitionist36.dbr, &gt;&gt; .\items\loottables\dailoneskill0002.dbr</v>
      </c>
      <c r="X38" t="str">
        <f t="shared" si="8"/>
        <v>echo lootWeight36,1, &gt;&gt; .\items\loottables\dailoneskill0002.dbr</v>
      </c>
      <c r="Y38" s="5" t="s">
        <v>36</v>
      </c>
      <c r="Z38" t="str">
        <f t="shared" si="9"/>
        <v xml:space="preserve"> dailCompDescDemolitionist36=^pDemolitionist's Gift of DAIL</v>
      </c>
      <c r="AA38" t="str">
        <f t="shared" si="17"/>
        <v>dailCompTextDemolitionist36=^oThis feels warm to the touch, almost familiar ^w(This component only fits into the Medal Slot)</v>
      </c>
      <c r="AB38" s="5" t="s">
        <v>36</v>
      </c>
      <c r="AH38">
        <f t="shared" si="19"/>
        <v>33</v>
      </c>
      <c r="AI38">
        <f t="shared" ref="AI38:AI69" si="22">LEN(I38)</f>
        <v>29</v>
      </c>
      <c r="AJ38">
        <f t="shared" si="18"/>
        <v>3</v>
      </c>
    </row>
    <row r="39" spans="1:36" x14ac:dyDescent="0.25">
      <c r="A39" s="5" t="s">
        <v>39</v>
      </c>
      <c r="B39" s="5" t="s">
        <v>30</v>
      </c>
      <c r="C39" s="5" t="str">
        <f t="shared" si="0"/>
        <v>description,dailCompDescDemolitionist37,</v>
      </c>
      <c r="D39" s="5" t="str">
        <f t="shared" si="2"/>
        <v>itemText,dailCompTextDemolitionist37,</v>
      </c>
      <c r="E39" s="5" t="str">
        <f t="shared" si="14"/>
        <v>augmentSkillLevel1,3,</v>
      </c>
      <c r="F39" s="5" t="str">
        <f t="shared" si="15"/>
        <v>augmentSkillName1,records/skills/playerclass02/stunjacks1b.dbr,</v>
      </c>
      <c r="G39" s="7">
        <f t="shared" si="10"/>
        <v>37</v>
      </c>
      <c r="H39" s="8" t="str">
        <f t="shared" si="11"/>
        <v>Demolitionist</v>
      </c>
      <c r="I39" s="3" t="s">
        <v>267</v>
      </c>
      <c r="J39" s="8" t="str">
        <f t="shared" si="21"/>
        <v>class0002</v>
      </c>
      <c r="K39" s="8" t="str">
        <f t="shared" si="21"/>
        <v>dailoneskill0002</v>
      </c>
      <c r="L39" s="5" t="str">
        <f t="shared" si="4"/>
        <v>lootName37,DAIL/items/materia/class0002/Demolitionist37.dbr,</v>
      </c>
      <c r="M39" s="5" t="str">
        <f t="shared" si="5"/>
        <v>lootWeight37,1,</v>
      </c>
      <c r="N39" t="str">
        <f t="shared" si="6"/>
        <v>3</v>
      </c>
      <c r="O39" t="str">
        <f t="shared" si="16"/>
        <v>copy .\dail_base3.dbr .\items\materia\class0002\Demolitionist37.dbr /y</v>
      </c>
      <c r="P39" t="str">
        <f t="shared" si="7"/>
        <v>echo relicBitmap,items/craftingparts/components/component_a52_bristlyfur_b.tex, &gt;&gt; .\items\materia\class0002\Demolitionist37.dbr</v>
      </c>
      <c r="Q39" t="str">
        <f t="shared" si="7"/>
        <v>echo itemCost,500000, &gt;&gt; .\items\materia\class0002\Demolitionist37.dbr</v>
      </c>
      <c r="R39" t="str">
        <f t="shared" si="7"/>
        <v>echo description,dailCompDescDemolitionist37, &gt;&gt; .\items\materia\class0002\Demolitionist37.dbr</v>
      </c>
      <c r="S39" t="str">
        <f t="shared" si="7"/>
        <v>echo itemText,dailCompTextDemolitionist37, &gt;&gt; .\items\materia\class0002\Demolitionist37.dbr</v>
      </c>
      <c r="T39" t="str">
        <f t="shared" si="7"/>
        <v>echo augmentSkillLevel1,3, &gt;&gt; .\items\materia\class0002\Demolitionist37.dbr</v>
      </c>
      <c r="U39" t="str">
        <f t="shared" si="7"/>
        <v>echo augmentSkillName1,records/skills/playerclass02/stunjacks1b.dbr, &gt;&gt; .\items\materia\class0002\Demolitionist37.dbr</v>
      </c>
      <c r="V39" s="5" t="s">
        <v>36</v>
      </c>
      <c r="W39" t="str">
        <f t="shared" si="8"/>
        <v>echo lootName37,DAIL/items/materia/class0002/Demolitionist37.dbr, &gt;&gt; .\items\loottables\dailoneskill0002.dbr</v>
      </c>
      <c r="X39" t="str">
        <f t="shared" si="8"/>
        <v>echo lootWeight37,1, &gt;&gt; .\items\loottables\dailoneskill0002.dbr</v>
      </c>
      <c r="Y39" s="5" t="s">
        <v>36</v>
      </c>
      <c r="Z39" t="str">
        <f t="shared" si="9"/>
        <v xml:space="preserve"> dailCompDescDemolitionist37=^pDemolitionist's Gift of DAIL</v>
      </c>
      <c r="AA39" t="str">
        <f t="shared" si="17"/>
        <v>dailCompTextDemolitionist37=^oThis feels warm to the touch, almost familiar ^w(This component only fits into the Medal Slot)</v>
      </c>
      <c r="AB39" s="5" t="s">
        <v>36</v>
      </c>
      <c r="AH39">
        <f t="shared" si="19"/>
        <v>34</v>
      </c>
      <c r="AI39">
        <f t="shared" si="22"/>
        <v>30</v>
      </c>
      <c r="AJ39">
        <f t="shared" si="18"/>
        <v>3</v>
      </c>
    </row>
    <row r="40" spans="1:36" x14ac:dyDescent="0.25">
      <c r="A40" s="5" t="s">
        <v>39</v>
      </c>
      <c r="B40" s="5" t="s">
        <v>30</v>
      </c>
      <c r="C40" s="5" t="str">
        <f t="shared" si="0"/>
        <v>description,dailCompDescDemolitionist38,</v>
      </c>
      <c r="D40" s="5" t="str">
        <f t="shared" si="2"/>
        <v>itemText,dailCompTextDemolitionist38,</v>
      </c>
      <c r="E40" s="5" t="str">
        <f t="shared" si="14"/>
        <v>augmentSkillLevel1,3,</v>
      </c>
      <c r="F40" s="5" t="str">
        <f t="shared" si="15"/>
        <v>augmentSkillName1,records/skills/playerclass02/stunjacks2.dbr,</v>
      </c>
      <c r="G40" s="7">
        <f t="shared" si="10"/>
        <v>38</v>
      </c>
      <c r="H40" s="8" t="str">
        <f t="shared" si="11"/>
        <v>Demolitionist</v>
      </c>
      <c r="I40" s="3" t="s">
        <v>268</v>
      </c>
      <c r="J40" s="8" t="str">
        <f t="shared" si="21"/>
        <v>class0002</v>
      </c>
      <c r="K40" s="8" t="str">
        <f t="shared" si="21"/>
        <v>dailoneskill0002</v>
      </c>
      <c r="L40" s="5" t="str">
        <f t="shared" si="4"/>
        <v>lootName38,DAIL/items/materia/class0002/Demolitionist38.dbr,</v>
      </c>
      <c r="M40" s="5" t="str">
        <f t="shared" si="5"/>
        <v>lootWeight38,1,</v>
      </c>
      <c r="N40" t="str">
        <f t="shared" si="6"/>
        <v>3</v>
      </c>
      <c r="O40" t="str">
        <f t="shared" si="16"/>
        <v>copy .\dail_base3.dbr .\items\materia\class0002\Demolitionist38.dbr /y</v>
      </c>
      <c r="P40" t="str">
        <f t="shared" si="7"/>
        <v>echo relicBitmap,items/craftingparts/components/component_a52_bristlyfur_b.tex, &gt;&gt; .\items\materia\class0002\Demolitionist38.dbr</v>
      </c>
      <c r="Q40" t="str">
        <f t="shared" si="7"/>
        <v>echo itemCost,500000, &gt;&gt; .\items\materia\class0002\Demolitionist38.dbr</v>
      </c>
      <c r="R40" t="str">
        <f t="shared" si="7"/>
        <v>echo description,dailCompDescDemolitionist38, &gt;&gt; .\items\materia\class0002\Demolitionist38.dbr</v>
      </c>
      <c r="S40" t="str">
        <f t="shared" si="7"/>
        <v>echo itemText,dailCompTextDemolitionist38, &gt;&gt; .\items\materia\class0002\Demolitionist38.dbr</v>
      </c>
      <c r="T40" t="str">
        <f t="shared" si="7"/>
        <v>echo augmentSkillLevel1,3, &gt;&gt; .\items\materia\class0002\Demolitionist38.dbr</v>
      </c>
      <c r="U40" t="str">
        <f t="shared" si="7"/>
        <v>echo augmentSkillName1,records/skills/playerclass02/stunjacks2.dbr, &gt;&gt; .\items\materia\class0002\Demolitionist38.dbr</v>
      </c>
      <c r="V40" s="5" t="s">
        <v>36</v>
      </c>
      <c r="W40" t="str">
        <f t="shared" si="8"/>
        <v>echo lootName38,DAIL/items/materia/class0002/Demolitionist38.dbr, &gt;&gt; .\items\loottables\dailoneskill0002.dbr</v>
      </c>
      <c r="X40" t="str">
        <f t="shared" si="8"/>
        <v>echo lootWeight38,1, &gt;&gt; .\items\loottables\dailoneskill0002.dbr</v>
      </c>
      <c r="Y40" s="5" t="s">
        <v>36</v>
      </c>
      <c r="Z40" t="str">
        <f t="shared" si="9"/>
        <v xml:space="preserve"> dailCompDescDemolitionist38=^pDemolitionist's Gift of DAIL</v>
      </c>
      <c r="AA40" t="str">
        <f t="shared" si="17"/>
        <v>dailCompTextDemolitionist38=^oThis feels warm to the touch, almost familiar ^w(This component only fits into the Medal Slot)</v>
      </c>
      <c r="AB40" s="5" t="s">
        <v>36</v>
      </c>
      <c r="AH40">
        <f t="shared" si="19"/>
        <v>35</v>
      </c>
      <c r="AI40">
        <f t="shared" si="22"/>
        <v>29</v>
      </c>
      <c r="AJ40">
        <f t="shared" si="18"/>
        <v>3</v>
      </c>
    </row>
    <row r="41" spans="1:36" x14ac:dyDescent="0.25">
      <c r="A41" s="5" t="s">
        <v>39</v>
      </c>
      <c r="B41" s="5" t="s">
        <v>30</v>
      </c>
      <c r="C41" s="5" t="str">
        <f t="shared" si="0"/>
        <v>description,dailCompDescDemolitionist39,</v>
      </c>
      <c r="D41" s="5" t="str">
        <f t="shared" si="2"/>
        <v>itemText,dailCompTextDemolitionist39,</v>
      </c>
      <c r="E41" s="5" t="str">
        <f t="shared" si="14"/>
        <v>augmentSkillLevel1,3,</v>
      </c>
      <c r="F41" s="5" t="str">
        <f t="shared" si="15"/>
        <v>augmentSkillName1,records/skills/playerclass02/passive2.dbr,</v>
      </c>
      <c r="G41" s="7">
        <f t="shared" si="10"/>
        <v>39</v>
      </c>
      <c r="H41" s="8" t="str">
        <f t="shared" si="11"/>
        <v>Demolitionist</v>
      </c>
      <c r="I41" s="3" t="s">
        <v>269</v>
      </c>
      <c r="J41" s="8" t="str">
        <f t="shared" si="21"/>
        <v>class0002</v>
      </c>
      <c r="K41" s="8" t="str">
        <f t="shared" si="21"/>
        <v>dailoneskill0002</v>
      </c>
      <c r="L41" s="5" t="str">
        <f t="shared" si="4"/>
        <v>lootName39,DAIL/items/materia/class0002/Demolitionist39.dbr,</v>
      </c>
      <c r="M41" s="5" t="str">
        <f t="shared" si="5"/>
        <v>lootWeight39,1,</v>
      </c>
      <c r="N41" t="str">
        <f t="shared" si="6"/>
        <v>3</v>
      </c>
      <c r="O41" t="str">
        <f t="shared" si="16"/>
        <v>copy .\dail_base3.dbr .\items\materia\class0002\Demolitionist39.dbr /y</v>
      </c>
      <c r="P41" t="str">
        <f t="shared" si="7"/>
        <v>echo relicBitmap,items/craftingparts/components/component_a52_bristlyfur_b.tex, &gt;&gt; .\items\materia\class0002\Demolitionist39.dbr</v>
      </c>
      <c r="Q41" t="str">
        <f t="shared" si="7"/>
        <v>echo itemCost,500000, &gt;&gt; .\items\materia\class0002\Demolitionist39.dbr</v>
      </c>
      <c r="R41" t="str">
        <f t="shared" si="7"/>
        <v>echo description,dailCompDescDemolitionist39, &gt;&gt; .\items\materia\class0002\Demolitionist39.dbr</v>
      </c>
      <c r="S41" t="str">
        <f t="shared" si="7"/>
        <v>echo itemText,dailCompTextDemolitionist39, &gt;&gt; .\items\materia\class0002\Demolitionist39.dbr</v>
      </c>
      <c r="T41" t="str">
        <f t="shared" si="7"/>
        <v>echo augmentSkillLevel1,3, &gt;&gt; .\items\materia\class0002\Demolitionist39.dbr</v>
      </c>
      <c r="U41" t="str">
        <f t="shared" si="7"/>
        <v>echo augmentSkillName1,records/skills/playerclass02/passive2.dbr, &gt;&gt; .\items\materia\class0002\Demolitionist39.dbr</v>
      </c>
      <c r="V41" s="5" t="s">
        <v>36</v>
      </c>
      <c r="W41" t="str">
        <f t="shared" si="8"/>
        <v>echo lootName39,DAIL/items/materia/class0002/Demolitionist39.dbr, &gt;&gt; .\items\loottables\dailoneskill0002.dbr</v>
      </c>
      <c r="X41" t="str">
        <f t="shared" si="8"/>
        <v>echo lootWeight39,1, &gt;&gt; .\items\loottables\dailoneskill0002.dbr</v>
      </c>
      <c r="Y41" s="5" t="s">
        <v>36</v>
      </c>
      <c r="Z41" t="str">
        <f t="shared" si="9"/>
        <v xml:space="preserve"> dailCompDescDemolitionist39=^pDemolitionist's Gift of DAIL</v>
      </c>
      <c r="AA41" t="str">
        <f t="shared" si="17"/>
        <v>dailCompTextDemolitionist39=^oThis feels warm to the touch, almost familiar ^w(This component only fits into the Medal Slot)</v>
      </c>
      <c r="AB41" s="5" t="s">
        <v>36</v>
      </c>
      <c r="AH41">
        <f t="shared" si="19"/>
        <v>36</v>
      </c>
      <c r="AI41">
        <f t="shared" si="22"/>
        <v>27</v>
      </c>
      <c r="AJ41">
        <f t="shared" si="18"/>
        <v>3</v>
      </c>
    </row>
    <row r="42" spans="1:36" x14ac:dyDescent="0.25">
      <c r="A42" s="5" t="s">
        <v>39</v>
      </c>
      <c r="B42" s="5" t="s">
        <v>30</v>
      </c>
      <c r="C42" s="5" t="str">
        <f t="shared" si="0"/>
        <v>description,dailCompDescDemolitionist40,</v>
      </c>
      <c r="D42" s="5" t="str">
        <f t="shared" si="2"/>
        <v>itemText,dailCompTextDemolitionist40,</v>
      </c>
      <c r="E42" s="5" t="str">
        <f t="shared" si="14"/>
        <v>augmentSkillLevel1,3,</v>
      </c>
      <c r="F42" s="5" t="str">
        <f t="shared" si="15"/>
        <v>augmentSkillName1,records/skills/playerclass02/grenado1.dbr,</v>
      </c>
      <c r="G42" s="7">
        <f t="shared" si="10"/>
        <v>40</v>
      </c>
      <c r="H42" s="8" t="str">
        <f t="shared" si="11"/>
        <v>Demolitionist</v>
      </c>
      <c r="I42" s="3" t="s">
        <v>55</v>
      </c>
      <c r="J42" s="8" t="str">
        <f t="shared" si="21"/>
        <v>class0002</v>
      </c>
      <c r="K42" s="8" t="str">
        <f t="shared" si="21"/>
        <v>dailoneskill0002</v>
      </c>
      <c r="L42" s="5" t="str">
        <f t="shared" si="4"/>
        <v>lootName40,DAIL/items/materia/class0002/Demolitionist40.dbr,</v>
      </c>
      <c r="M42" s="5" t="str">
        <f t="shared" si="5"/>
        <v>lootWeight40,1,</v>
      </c>
      <c r="N42" t="str">
        <f t="shared" si="6"/>
        <v>3</v>
      </c>
      <c r="O42" t="str">
        <f t="shared" si="16"/>
        <v>copy .\dail_base3.dbr .\items\materia\class0002\Demolitionist40.dbr /y</v>
      </c>
      <c r="P42" t="str">
        <f t="shared" si="7"/>
        <v>echo relicBitmap,items/craftingparts/components/component_a52_bristlyfur_b.tex, &gt;&gt; .\items\materia\class0002\Demolitionist40.dbr</v>
      </c>
      <c r="Q42" t="str">
        <f t="shared" si="7"/>
        <v>echo itemCost,500000, &gt;&gt; .\items\materia\class0002\Demolitionist40.dbr</v>
      </c>
      <c r="R42" t="str">
        <f t="shared" si="7"/>
        <v>echo description,dailCompDescDemolitionist40, &gt;&gt; .\items\materia\class0002\Demolitionist40.dbr</v>
      </c>
      <c r="S42" t="str">
        <f t="shared" si="7"/>
        <v>echo itemText,dailCompTextDemolitionist40, &gt;&gt; .\items\materia\class0002\Demolitionist40.dbr</v>
      </c>
      <c r="T42" t="str">
        <f t="shared" si="7"/>
        <v>echo augmentSkillLevel1,3, &gt;&gt; .\items\materia\class0002\Demolitionist40.dbr</v>
      </c>
      <c r="U42" t="str">
        <f t="shared" si="7"/>
        <v>echo augmentSkillName1,records/skills/playerclass02/grenado1.dbr, &gt;&gt; .\items\materia\class0002\Demolitionist40.dbr</v>
      </c>
      <c r="V42" s="5" t="s">
        <v>36</v>
      </c>
      <c r="W42" t="str">
        <f t="shared" si="8"/>
        <v>echo lootName40,DAIL/items/materia/class0002/Demolitionist40.dbr, &gt;&gt; .\items\loottables\dailoneskill0002.dbr</v>
      </c>
      <c r="X42" t="str">
        <f t="shared" si="8"/>
        <v>echo lootWeight40,1, &gt;&gt; .\items\loottables\dailoneskill0002.dbr</v>
      </c>
      <c r="Y42" s="5" t="s">
        <v>36</v>
      </c>
      <c r="Z42" t="str">
        <f t="shared" si="9"/>
        <v xml:space="preserve"> dailCompDescDemolitionist40=^pDemolitionist's Gift of DAIL</v>
      </c>
      <c r="AA42" t="str">
        <f t="shared" si="17"/>
        <v>dailCompTextDemolitionist40=^oThis feels warm to the touch, almost familiar ^w(This component only fits into the Medal Slot)</v>
      </c>
      <c r="AB42" s="5" t="s">
        <v>36</v>
      </c>
      <c r="AH42">
        <f t="shared" si="19"/>
        <v>37</v>
      </c>
      <c r="AI42">
        <f t="shared" si="22"/>
        <v>27</v>
      </c>
      <c r="AJ42">
        <f t="shared" si="18"/>
        <v>3</v>
      </c>
    </row>
    <row r="43" spans="1:36" x14ac:dyDescent="0.25">
      <c r="A43" s="5" t="s">
        <v>39</v>
      </c>
      <c r="B43" s="5" t="s">
        <v>30</v>
      </c>
      <c r="C43" s="5" t="str">
        <f t="shared" si="0"/>
        <v>description,dailCompDescDemolitionist41,</v>
      </c>
      <c r="D43" s="5" t="str">
        <f t="shared" si="2"/>
        <v>itemText,dailCompTextDemolitionist41,</v>
      </c>
      <c r="E43" s="5" t="str">
        <f t="shared" si="14"/>
        <v>augmentSkillLevel1,3,</v>
      </c>
      <c r="F43" s="5" t="str">
        <f t="shared" si="15"/>
        <v>augmentSkillName1,records/skills/playerclass02/grenado2.dbr,</v>
      </c>
      <c r="G43" s="7">
        <f t="shared" si="10"/>
        <v>41</v>
      </c>
      <c r="H43" s="8" t="str">
        <f t="shared" si="11"/>
        <v>Demolitionist</v>
      </c>
      <c r="I43" s="3" t="s">
        <v>270</v>
      </c>
      <c r="J43" s="8" t="str">
        <f t="shared" si="21"/>
        <v>class0002</v>
      </c>
      <c r="K43" s="8" t="str">
        <f t="shared" si="21"/>
        <v>dailoneskill0002</v>
      </c>
      <c r="L43" s="5" t="str">
        <f t="shared" si="4"/>
        <v>lootName41,DAIL/items/materia/class0002/Demolitionist41.dbr,</v>
      </c>
      <c r="M43" s="5" t="str">
        <f t="shared" si="5"/>
        <v>lootWeight41,1,</v>
      </c>
      <c r="N43" t="str">
        <f t="shared" si="6"/>
        <v>3</v>
      </c>
      <c r="O43" t="str">
        <f t="shared" si="16"/>
        <v>copy .\dail_base3.dbr .\items\materia\class0002\Demolitionist41.dbr /y</v>
      </c>
      <c r="P43" t="str">
        <f t="shared" si="7"/>
        <v>echo relicBitmap,items/craftingparts/components/component_a52_bristlyfur_b.tex, &gt;&gt; .\items\materia\class0002\Demolitionist41.dbr</v>
      </c>
      <c r="Q43" t="str">
        <f t="shared" si="7"/>
        <v>echo itemCost,500000, &gt;&gt; .\items\materia\class0002\Demolitionist41.dbr</v>
      </c>
      <c r="R43" t="str">
        <f t="shared" si="7"/>
        <v>echo description,dailCompDescDemolitionist41, &gt;&gt; .\items\materia\class0002\Demolitionist41.dbr</v>
      </c>
      <c r="S43" t="str">
        <f t="shared" si="7"/>
        <v>echo itemText,dailCompTextDemolitionist41, &gt;&gt; .\items\materia\class0002\Demolitionist41.dbr</v>
      </c>
      <c r="T43" t="str">
        <f t="shared" si="7"/>
        <v>echo augmentSkillLevel1,3, &gt;&gt; .\items\materia\class0002\Demolitionist41.dbr</v>
      </c>
      <c r="U43" t="str">
        <f t="shared" si="7"/>
        <v>echo augmentSkillName1,records/skills/playerclass02/grenado2.dbr, &gt;&gt; .\items\materia\class0002\Demolitionist41.dbr</v>
      </c>
      <c r="V43" s="5" t="s">
        <v>36</v>
      </c>
      <c r="W43" t="str">
        <f t="shared" si="8"/>
        <v>echo lootName41,DAIL/items/materia/class0002/Demolitionist41.dbr, &gt;&gt; .\items\loottables\dailoneskill0002.dbr</v>
      </c>
      <c r="X43" t="str">
        <f t="shared" si="8"/>
        <v>echo lootWeight41,1, &gt;&gt; .\items\loottables\dailoneskill0002.dbr</v>
      </c>
      <c r="Y43" s="5" t="s">
        <v>36</v>
      </c>
      <c r="Z43" t="str">
        <f t="shared" si="9"/>
        <v xml:space="preserve"> dailCompDescDemolitionist41=^pDemolitionist's Gift of DAIL</v>
      </c>
      <c r="AA43" t="str">
        <f t="shared" si="17"/>
        <v>dailCompTextDemolitionist41=^oThis feels warm to the touch, almost familiar ^w(This component only fits into the Medal Slot)</v>
      </c>
      <c r="AB43" s="5" t="s">
        <v>36</v>
      </c>
      <c r="AH43">
        <f t="shared" si="19"/>
        <v>38</v>
      </c>
      <c r="AI43">
        <f t="shared" si="22"/>
        <v>27</v>
      </c>
      <c r="AJ43">
        <f t="shared" si="18"/>
        <v>3</v>
      </c>
    </row>
    <row r="44" spans="1:36" x14ac:dyDescent="0.25">
      <c r="A44" s="5" t="s">
        <v>39</v>
      </c>
      <c r="B44" s="5" t="s">
        <v>30</v>
      </c>
      <c r="C44" s="5" t="str">
        <f t="shared" si="0"/>
        <v>description,dailCompDescDemolitionist42,</v>
      </c>
      <c r="D44" s="5" t="str">
        <f t="shared" si="2"/>
        <v>itemText,dailCompTextDemolitionist42,</v>
      </c>
      <c r="E44" s="5" t="str">
        <f t="shared" si="14"/>
        <v>augmentSkillLevel1,3,</v>
      </c>
      <c r="F44" s="5" t="str">
        <f t="shared" si="15"/>
        <v>augmentSkillName1,records/skills/playerclass02/grenado3.dbr,</v>
      </c>
      <c r="G44" s="7">
        <f t="shared" si="10"/>
        <v>42</v>
      </c>
      <c r="H44" s="8" t="str">
        <f t="shared" si="11"/>
        <v>Demolitionist</v>
      </c>
      <c r="I44" s="3" t="s">
        <v>271</v>
      </c>
      <c r="J44" s="8" t="str">
        <f t="shared" si="21"/>
        <v>class0002</v>
      </c>
      <c r="K44" s="8" t="str">
        <f t="shared" si="21"/>
        <v>dailoneskill0002</v>
      </c>
      <c r="L44" s="5" t="str">
        <f t="shared" si="4"/>
        <v>lootName42,DAIL/items/materia/class0002/Demolitionist42.dbr,</v>
      </c>
      <c r="M44" s="5" t="str">
        <f t="shared" si="5"/>
        <v>lootWeight42,1,</v>
      </c>
      <c r="N44" t="str">
        <f t="shared" si="6"/>
        <v>3</v>
      </c>
      <c r="O44" t="str">
        <f t="shared" si="16"/>
        <v>copy .\dail_base3.dbr .\items\materia\class0002\Demolitionist42.dbr /y</v>
      </c>
      <c r="P44" t="str">
        <f t="shared" si="7"/>
        <v>echo relicBitmap,items/craftingparts/components/component_a52_bristlyfur_b.tex, &gt;&gt; .\items\materia\class0002\Demolitionist42.dbr</v>
      </c>
      <c r="Q44" t="str">
        <f t="shared" si="7"/>
        <v>echo itemCost,500000, &gt;&gt; .\items\materia\class0002\Demolitionist42.dbr</v>
      </c>
      <c r="R44" t="str">
        <f t="shared" si="7"/>
        <v>echo description,dailCompDescDemolitionist42, &gt;&gt; .\items\materia\class0002\Demolitionist42.dbr</v>
      </c>
      <c r="S44" t="str">
        <f t="shared" si="7"/>
        <v>echo itemText,dailCompTextDemolitionist42, &gt;&gt; .\items\materia\class0002\Demolitionist42.dbr</v>
      </c>
      <c r="T44" t="str">
        <f t="shared" si="7"/>
        <v>echo augmentSkillLevel1,3, &gt;&gt; .\items\materia\class0002\Demolitionist42.dbr</v>
      </c>
      <c r="U44" t="str">
        <f t="shared" si="7"/>
        <v>echo augmentSkillName1,records/skills/playerclass02/grenado3.dbr, &gt;&gt; .\items\materia\class0002\Demolitionist42.dbr</v>
      </c>
      <c r="V44" s="5" t="s">
        <v>36</v>
      </c>
      <c r="W44" t="str">
        <f t="shared" si="8"/>
        <v>echo lootName42,DAIL/items/materia/class0002/Demolitionist42.dbr, &gt;&gt; .\items\loottables\dailoneskill0002.dbr</v>
      </c>
      <c r="X44" t="str">
        <f t="shared" si="8"/>
        <v>echo lootWeight42,1, &gt;&gt; .\items\loottables\dailoneskill0002.dbr</v>
      </c>
      <c r="Y44" s="5" t="s">
        <v>36</v>
      </c>
      <c r="Z44" t="str">
        <f t="shared" si="9"/>
        <v xml:space="preserve"> dailCompDescDemolitionist42=^pDemolitionist's Gift of DAIL</v>
      </c>
      <c r="AA44" t="str">
        <f t="shared" si="17"/>
        <v>dailCompTextDemolitionist42=^oThis feels warm to the touch, almost familiar ^w(This component only fits into the Medal Slot)</v>
      </c>
      <c r="AB44" s="5" t="s">
        <v>36</v>
      </c>
      <c r="AH44">
        <f t="shared" si="19"/>
        <v>39</v>
      </c>
      <c r="AI44">
        <f t="shared" si="22"/>
        <v>27</v>
      </c>
      <c r="AJ44">
        <f t="shared" si="18"/>
        <v>3</v>
      </c>
    </row>
    <row r="45" spans="1:36" x14ac:dyDescent="0.25">
      <c r="A45" s="5" t="s">
        <v>39</v>
      </c>
      <c r="B45" s="5" t="s">
        <v>30</v>
      </c>
      <c r="C45" s="5" t="str">
        <f t="shared" si="0"/>
        <v>description,dailCompDescDemolitionist43,</v>
      </c>
      <c r="D45" s="5" t="str">
        <f t="shared" si="2"/>
        <v>itemText,dailCompTextDemolitionist43,</v>
      </c>
      <c r="E45" s="5" t="str">
        <f t="shared" si="14"/>
        <v>augmentSkillLevel1,3,</v>
      </c>
      <c r="F45" s="5" t="str">
        <f t="shared" si="15"/>
        <v>augmentSkillName1,records/skills/playerclass02/passive2.dbr,</v>
      </c>
      <c r="G45" s="7">
        <f t="shared" si="10"/>
        <v>43</v>
      </c>
      <c r="H45" s="8" t="str">
        <f t="shared" si="11"/>
        <v>Demolitionist</v>
      </c>
      <c r="I45" s="3" t="s">
        <v>269</v>
      </c>
      <c r="J45" s="8" t="str">
        <f t="shared" si="21"/>
        <v>class0002</v>
      </c>
      <c r="K45" s="8" t="str">
        <f t="shared" si="21"/>
        <v>dailoneskill0002</v>
      </c>
      <c r="L45" s="5" t="str">
        <f t="shared" si="4"/>
        <v>lootName43,DAIL/items/materia/class0002/Demolitionist43.dbr,</v>
      </c>
      <c r="M45" s="5" t="str">
        <f t="shared" si="5"/>
        <v>lootWeight43,1,</v>
      </c>
      <c r="N45" t="str">
        <f t="shared" si="6"/>
        <v>3</v>
      </c>
      <c r="O45" t="str">
        <f t="shared" si="16"/>
        <v>copy .\dail_base3.dbr .\items\materia\class0002\Demolitionist43.dbr /y</v>
      </c>
      <c r="P45" t="str">
        <f t="shared" si="7"/>
        <v>echo relicBitmap,items/craftingparts/components/component_a52_bristlyfur_b.tex, &gt;&gt; .\items\materia\class0002\Demolitionist43.dbr</v>
      </c>
      <c r="Q45" t="str">
        <f t="shared" si="7"/>
        <v>echo itemCost,500000, &gt;&gt; .\items\materia\class0002\Demolitionist43.dbr</v>
      </c>
      <c r="R45" t="str">
        <f t="shared" si="7"/>
        <v>echo description,dailCompDescDemolitionist43, &gt;&gt; .\items\materia\class0002\Demolitionist43.dbr</v>
      </c>
      <c r="S45" t="str">
        <f t="shared" si="7"/>
        <v>echo itemText,dailCompTextDemolitionist43, &gt;&gt; .\items\materia\class0002\Demolitionist43.dbr</v>
      </c>
      <c r="T45" t="str">
        <f t="shared" si="7"/>
        <v>echo augmentSkillLevel1,3, &gt;&gt; .\items\materia\class0002\Demolitionist43.dbr</v>
      </c>
      <c r="U45" t="str">
        <f t="shared" si="7"/>
        <v>echo augmentSkillName1,records/skills/playerclass02/passive2.dbr, &gt;&gt; .\items\materia\class0002\Demolitionist43.dbr</v>
      </c>
      <c r="V45" s="5" t="s">
        <v>36</v>
      </c>
      <c r="W45" t="str">
        <f t="shared" si="8"/>
        <v>echo lootName43,DAIL/items/materia/class0002/Demolitionist43.dbr, &gt;&gt; .\items\loottables\dailoneskill0002.dbr</v>
      </c>
      <c r="X45" t="str">
        <f t="shared" si="8"/>
        <v>echo lootWeight43,1, &gt;&gt; .\items\loottables\dailoneskill0002.dbr</v>
      </c>
      <c r="Y45" s="5" t="s">
        <v>36</v>
      </c>
      <c r="Z45" t="str">
        <f t="shared" si="9"/>
        <v xml:space="preserve"> dailCompDescDemolitionist43=^pDemolitionist's Gift of DAIL</v>
      </c>
      <c r="AA45" t="str">
        <f t="shared" si="17"/>
        <v>dailCompTextDemolitionist43=^oThis feels warm to the touch, almost familiar ^w(This component only fits into the Medal Slot)</v>
      </c>
      <c r="AB45" s="5" t="s">
        <v>36</v>
      </c>
      <c r="AH45">
        <f t="shared" si="19"/>
        <v>40</v>
      </c>
      <c r="AI45">
        <f t="shared" si="22"/>
        <v>27</v>
      </c>
      <c r="AJ45">
        <f t="shared" si="18"/>
        <v>3</v>
      </c>
    </row>
    <row r="46" spans="1:36" x14ac:dyDescent="0.25">
      <c r="A46" s="5" t="s">
        <v>39</v>
      </c>
      <c r="B46" s="5" t="s">
        <v>30</v>
      </c>
      <c r="C46" s="5" t="str">
        <f t="shared" si="0"/>
        <v>description,dailCompDescDemolitionist44,</v>
      </c>
      <c r="D46" s="5" t="str">
        <f t="shared" si="2"/>
        <v>itemText,dailCompTextDemolitionist44,</v>
      </c>
      <c r="E46" s="5" t="str">
        <f t="shared" si="14"/>
        <v>augmentSkillLevel1,3,</v>
      </c>
      <c r="F46" s="5" t="str">
        <f t="shared" si="15"/>
        <v>augmentSkillName1,records/skills/playerclass02/passive1.dbr,</v>
      </c>
      <c r="G46" s="7">
        <f t="shared" si="10"/>
        <v>44</v>
      </c>
      <c r="H46" s="8" t="str">
        <f t="shared" si="11"/>
        <v>Demolitionist</v>
      </c>
      <c r="I46" s="3" t="s">
        <v>57</v>
      </c>
      <c r="J46" s="8" t="str">
        <f t="shared" si="21"/>
        <v>class0002</v>
      </c>
      <c r="K46" s="8" t="str">
        <f t="shared" si="21"/>
        <v>dailoneskill0002</v>
      </c>
      <c r="L46" s="5" t="str">
        <f t="shared" si="4"/>
        <v>lootName44,DAIL/items/materia/class0002/Demolitionist44.dbr,</v>
      </c>
      <c r="M46" s="5" t="str">
        <f t="shared" si="5"/>
        <v>lootWeight44,1,</v>
      </c>
      <c r="N46" t="str">
        <f t="shared" si="6"/>
        <v>3</v>
      </c>
      <c r="O46" t="str">
        <f t="shared" si="16"/>
        <v>copy .\dail_base3.dbr .\items\materia\class0002\Demolitionist44.dbr /y</v>
      </c>
      <c r="P46" t="str">
        <f t="shared" si="7"/>
        <v>echo relicBitmap,items/craftingparts/components/component_a52_bristlyfur_b.tex, &gt;&gt; .\items\materia\class0002\Demolitionist44.dbr</v>
      </c>
      <c r="Q46" t="str">
        <f t="shared" si="7"/>
        <v>echo itemCost,500000, &gt;&gt; .\items\materia\class0002\Demolitionist44.dbr</v>
      </c>
      <c r="R46" t="str">
        <f t="shared" si="7"/>
        <v>echo description,dailCompDescDemolitionist44, &gt;&gt; .\items\materia\class0002\Demolitionist44.dbr</v>
      </c>
      <c r="S46" t="str">
        <f t="shared" si="7"/>
        <v>echo itemText,dailCompTextDemolitionist44, &gt;&gt; .\items\materia\class0002\Demolitionist44.dbr</v>
      </c>
      <c r="T46" t="str">
        <f t="shared" si="7"/>
        <v>echo augmentSkillLevel1,3, &gt;&gt; .\items\materia\class0002\Demolitionist44.dbr</v>
      </c>
      <c r="U46" t="str">
        <f t="shared" si="7"/>
        <v>echo augmentSkillName1,records/skills/playerclass02/passive1.dbr, &gt;&gt; .\items\materia\class0002\Demolitionist44.dbr</v>
      </c>
      <c r="V46" s="5" t="s">
        <v>36</v>
      </c>
      <c r="W46" t="str">
        <f t="shared" si="8"/>
        <v>echo lootName44,DAIL/items/materia/class0002/Demolitionist44.dbr, &gt;&gt; .\items\loottables\dailoneskill0002.dbr</v>
      </c>
      <c r="X46" t="str">
        <f t="shared" si="8"/>
        <v>echo lootWeight44,1, &gt;&gt; .\items\loottables\dailoneskill0002.dbr</v>
      </c>
      <c r="Y46" s="5" t="s">
        <v>36</v>
      </c>
      <c r="Z46" t="str">
        <f t="shared" si="9"/>
        <v xml:space="preserve"> dailCompDescDemolitionist44=^pDemolitionist's Gift of DAIL</v>
      </c>
      <c r="AA46" t="str">
        <f t="shared" si="17"/>
        <v>dailCompTextDemolitionist44=^oThis feels warm to the touch, almost familiar ^w(This component only fits into the Medal Slot)</v>
      </c>
      <c r="AB46" s="5" t="s">
        <v>36</v>
      </c>
      <c r="AH46">
        <f t="shared" si="19"/>
        <v>41</v>
      </c>
      <c r="AI46">
        <f t="shared" si="22"/>
        <v>27</v>
      </c>
      <c r="AJ46">
        <f t="shared" si="18"/>
        <v>3</v>
      </c>
    </row>
    <row r="47" spans="1:36" x14ac:dyDescent="0.25">
      <c r="A47" s="5" t="s">
        <v>39</v>
      </c>
      <c r="B47" s="5" t="s">
        <v>30</v>
      </c>
      <c r="C47" s="5" t="str">
        <f t="shared" si="0"/>
        <v>description,dailCompDescDemolitionist45,</v>
      </c>
      <c r="D47" s="5" t="str">
        <f t="shared" si="2"/>
        <v>itemText,dailCompTextDemolitionist45,</v>
      </c>
      <c r="E47" s="5" t="str">
        <f t="shared" si="14"/>
        <v>augmentSkillLevel1,3,</v>
      </c>
      <c r="F47" s="5" t="str">
        <f t="shared" si="15"/>
        <v>augmentSkillName1,records/skills/playerclass02/blackwater1.dbr,</v>
      </c>
      <c r="G47" s="7">
        <f t="shared" si="10"/>
        <v>45</v>
      </c>
      <c r="H47" s="8" t="str">
        <f t="shared" si="11"/>
        <v>Demolitionist</v>
      </c>
      <c r="I47" s="3" t="s">
        <v>50</v>
      </c>
      <c r="J47" s="8" t="str">
        <f t="shared" si="21"/>
        <v>class0002</v>
      </c>
      <c r="K47" s="8" t="str">
        <f t="shared" si="21"/>
        <v>dailoneskill0002</v>
      </c>
      <c r="L47" s="5" t="str">
        <f t="shared" si="4"/>
        <v>lootName45,DAIL/items/materia/class0002/Demolitionist45.dbr,</v>
      </c>
      <c r="M47" s="5" t="str">
        <f t="shared" si="5"/>
        <v>lootWeight45,1,</v>
      </c>
      <c r="N47" t="str">
        <f t="shared" si="6"/>
        <v>3</v>
      </c>
      <c r="O47" t="str">
        <f t="shared" si="16"/>
        <v>copy .\dail_base3.dbr .\items\materia\class0002\Demolitionist45.dbr /y</v>
      </c>
      <c r="P47" t="str">
        <f t="shared" si="7"/>
        <v>echo relicBitmap,items/craftingparts/components/component_a52_bristlyfur_b.tex, &gt;&gt; .\items\materia\class0002\Demolitionist45.dbr</v>
      </c>
      <c r="Q47" t="str">
        <f t="shared" si="7"/>
        <v>echo itemCost,500000, &gt;&gt; .\items\materia\class0002\Demolitionist45.dbr</v>
      </c>
      <c r="R47" t="str">
        <f t="shared" si="7"/>
        <v>echo description,dailCompDescDemolitionist45, &gt;&gt; .\items\materia\class0002\Demolitionist45.dbr</v>
      </c>
      <c r="S47" t="str">
        <f t="shared" si="7"/>
        <v>echo itemText,dailCompTextDemolitionist45, &gt;&gt; .\items\materia\class0002\Demolitionist45.dbr</v>
      </c>
      <c r="T47" t="str">
        <f t="shared" si="7"/>
        <v>echo augmentSkillLevel1,3, &gt;&gt; .\items\materia\class0002\Demolitionist45.dbr</v>
      </c>
      <c r="U47" t="str">
        <f t="shared" si="7"/>
        <v>echo augmentSkillName1,records/skills/playerclass02/blackwater1.dbr, &gt;&gt; .\items\materia\class0002\Demolitionist45.dbr</v>
      </c>
      <c r="V47" s="5" t="s">
        <v>36</v>
      </c>
      <c r="W47" t="str">
        <f t="shared" si="8"/>
        <v>echo lootName45,DAIL/items/materia/class0002/Demolitionist45.dbr, &gt;&gt; .\items\loottables\dailoneskill0002.dbr</v>
      </c>
      <c r="X47" t="str">
        <f t="shared" si="8"/>
        <v>echo lootWeight45,1, &gt;&gt; .\items\loottables\dailoneskill0002.dbr</v>
      </c>
      <c r="Y47" s="5" t="s">
        <v>36</v>
      </c>
      <c r="Z47" t="str">
        <f t="shared" si="9"/>
        <v xml:space="preserve"> dailCompDescDemolitionist45=^pDemolitionist's Gift of DAIL</v>
      </c>
      <c r="AA47" t="str">
        <f t="shared" si="17"/>
        <v>dailCompTextDemolitionist45=^oThis feels warm to the touch, almost familiar ^w(This component only fits into the Medal Slot)</v>
      </c>
      <c r="AB47" s="5" t="s">
        <v>36</v>
      </c>
      <c r="AH47">
        <f t="shared" si="19"/>
        <v>42</v>
      </c>
      <c r="AI47">
        <f t="shared" si="22"/>
        <v>30</v>
      </c>
      <c r="AJ47">
        <f t="shared" si="18"/>
        <v>3</v>
      </c>
    </row>
    <row r="48" spans="1:36" x14ac:dyDescent="0.25">
      <c r="A48" s="5" t="s">
        <v>39</v>
      </c>
      <c r="B48" s="5" t="s">
        <v>30</v>
      </c>
      <c r="C48" s="5" t="str">
        <f t="shared" si="0"/>
        <v>description,dailCompDescDemolitionist46,</v>
      </c>
      <c r="D48" s="5" t="str">
        <f t="shared" si="2"/>
        <v>itemText,dailCompTextDemolitionist46,</v>
      </c>
      <c r="E48" s="5" t="str">
        <f t="shared" si="14"/>
        <v>augmentSkillLevel1,3,</v>
      </c>
      <c r="F48" s="5" t="str">
        <f t="shared" si="15"/>
        <v>augmentSkillName1,records/skills/playerclass02/blackwater1b.dbr,</v>
      </c>
      <c r="G48" s="7">
        <f t="shared" si="10"/>
        <v>46</v>
      </c>
      <c r="H48" s="8" t="str">
        <f t="shared" si="11"/>
        <v>Demolitionist</v>
      </c>
      <c r="I48" s="3" t="s">
        <v>272</v>
      </c>
      <c r="J48" s="8" t="str">
        <f t="shared" si="21"/>
        <v>class0002</v>
      </c>
      <c r="K48" s="8" t="str">
        <f t="shared" si="21"/>
        <v>dailoneskill0002</v>
      </c>
      <c r="L48" s="5" t="str">
        <f t="shared" si="4"/>
        <v>lootName46,DAIL/items/materia/class0002/Demolitionist46.dbr,</v>
      </c>
      <c r="M48" s="5" t="str">
        <f t="shared" si="5"/>
        <v>lootWeight46,1,</v>
      </c>
      <c r="N48" t="str">
        <f t="shared" si="6"/>
        <v>3</v>
      </c>
      <c r="O48" t="str">
        <f t="shared" si="16"/>
        <v>copy .\dail_base3.dbr .\items\materia\class0002\Demolitionist46.dbr /y</v>
      </c>
      <c r="P48" t="str">
        <f t="shared" si="7"/>
        <v>echo relicBitmap,items/craftingparts/components/component_a52_bristlyfur_b.tex, &gt;&gt; .\items\materia\class0002\Demolitionist46.dbr</v>
      </c>
      <c r="Q48" t="str">
        <f t="shared" si="7"/>
        <v>echo itemCost,500000, &gt;&gt; .\items\materia\class0002\Demolitionist46.dbr</v>
      </c>
      <c r="R48" t="str">
        <f t="shared" si="7"/>
        <v>echo description,dailCompDescDemolitionist46, &gt;&gt; .\items\materia\class0002\Demolitionist46.dbr</v>
      </c>
      <c r="S48" t="str">
        <f t="shared" si="7"/>
        <v>echo itemText,dailCompTextDemolitionist46, &gt;&gt; .\items\materia\class0002\Demolitionist46.dbr</v>
      </c>
      <c r="T48" t="str">
        <f t="shared" si="7"/>
        <v>echo augmentSkillLevel1,3, &gt;&gt; .\items\materia\class0002\Demolitionist46.dbr</v>
      </c>
      <c r="U48" t="str">
        <f t="shared" si="7"/>
        <v>echo augmentSkillName1,records/skills/playerclass02/blackwater1b.dbr, &gt;&gt; .\items\materia\class0002\Demolitionist46.dbr</v>
      </c>
      <c r="V48" s="5" t="s">
        <v>36</v>
      </c>
      <c r="W48" t="str">
        <f t="shared" si="8"/>
        <v>echo lootName46,DAIL/items/materia/class0002/Demolitionist46.dbr, &gt;&gt; .\items\loottables\dailoneskill0002.dbr</v>
      </c>
      <c r="X48" t="str">
        <f t="shared" si="8"/>
        <v>echo lootWeight46,1, &gt;&gt; .\items\loottables\dailoneskill0002.dbr</v>
      </c>
      <c r="Y48" s="5" t="s">
        <v>36</v>
      </c>
      <c r="Z48" t="str">
        <f t="shared" si="9"/>
        <v xml:space="preserve"> dailCompDescDemolitionist46=^pDemolitionist's Gift of DAIL</v>
      </c>
      <c r="AA48" t="str">
        <f t="shared" si="17"/>
        <v>dailCompTextDemolitionist46=^oThis feels warm to the touch, almost familiar ^w(This component only fits into the Medal Slot)</v>
      </c>
      <c r="AB48" s="5" t="s">
        <v>36</v>
      </c>
      <c r="AH48">
        <f t="shared" si="19"/>
        <v>43</v>
      </c>
      <c r="AI48">
        <f t="shared" si="22"/>
        <v>31</v>
      </c>
      <c r="AJ48">
        <f t="shared" si="18"/>
        <v>3</v>
      </c>
    </row>
    <row r="49" spans="1:36" x14ac:dyDescent="0.25">
      <c r="A49" s="5" t="s">
        <v>39</v>
      </c>
      <c r="B49" s="5" t="s">
        <v>30</v>
      </c>
      <c r="C49" s="5" t="str">
        <f t="shared" si="0"/>
        <v>description,dailCompDescDemolitionist47,</v>
      </c>
      <c r="D49" s="5" t="str">
        <f t="shared" si="2"/>
        <v>itemText,dailCompTextDemolitionist47,</v>
      </c>
      <c r="E49" s="5" t="str">
        <f t="shared" si="14"/>
        <v>augmentSkillLevel1,3,</v>
      </c>
      <c r="F49" s="5" t="str">
        <f t="shared" si="15"/>
        <v>augmentSkillName1,records/skills/playerclass02/blastshield1.dbr,</v>
      </c>
      <c r="G49" s="7">
        <f t="shared" si="10"/>
        <v>47</v>
      </c>
      <c r="H49" s="8" t="str">
        <f t="shared" si="11"/>
        <v>Demolitionist</v>
      </c>
      <c r="I49" s="3" t="s">
        <v>51</v>
      </c>
      <c r="J49" s="8" t="str">
        <f t="shared" si="21"/>
        <v>class0002</v>
      </c>
      <c r="K49" s="8" t="str">
        <f t="shared" si="21"/>
        <v>dailoneskill0002</v>
      </c>
      <c r="L49" s="5" t="str">
        <f t="shared" si="4"/>
        <v>lootName47,DAIL/items/materia/class0002/Demolitionist47.dbr,</v>
      </c>
      <c r="M49" s="5" t="str">
        <f t="shared" si="5"/>
        <v>lootWeight47,1,</v>
      </c>
      <c r="N49" t="str">
        <f t="shared" si="6"/>
        <v>3</v>
      </c>
      <c r="O49" t="str">
        <f t="shared" si="16"/>
        <v>copy .\dail_base3.dbr .\items\materia\class0002\Demolitionist47.dbr /y</v>
      </c>
      <c r="P49" t="str">
        <f t="shared" si="7"/>
        <v>echo relicBitmap,items/craftingparts/components/component_a52_bristlyfur_b.tex, &gt;&gt; .\items\materia\class0002\Demolitionist47.dbr</v>
      </c>
      <c r="Q49" t="str">
        <f t="shared" si="7"/>
        <v>echo itemCost,500000, &gt;&gt; .\items\materia\class0002\Demolitionist47.dbr</v>
      </c>
      <c r="R49" t="str">
        <f t="shared" si="7"/>
        <v>echo description,dailCompDescDemolitionist47, &gt;&gt; .\items\materia\class0002\Demolitionist47.dbr</v>
      </c>
      <c r="S49" t="str">
        <f t="shared" si="7"/>
        <v>echo itemText,dailCompTextDemolitionist47, &gt;&gt; .\items\materia\class0002\Demolitionist47.dbr</v>
      </c>
      <c r="T49" t="str">
        <f t="shared" si="7"/>
        <v>echo augmentSkillLevel1,3, &gt;&gt; .\items\materia\class0002\Demolitionist47.dbr</v>
      </c>
      <c r="U49" t="str">
        <f t="shared" si="7"/>
        <v>echo augmentSkillName1,records/skills/playerclass02/blastshield1.dbr, &gt;&gt; .\items\materia\class0002\Demolitionist47.dbr</v>
      </c>
      <c r="V49" s="5" t="s">
        <v>36</v>
      </c>
      <c r="W49" t="str">
        <f t="shared" si="8"/>
        <v>echo lootName47,DAIL/items/materia/class0002/Demolitionist47.dbr, &gt;&gt; .\items\loottables\dailoneskill0002.dbr</v>
      </c>
      <c r="X49" t="str">
        <f t="shared" si="8"/>
        <v>echo lootWeight47,1, &gt;&gt; .\items\loottables\dailoneskill0002.dbr</v>
      </c>
      <c r="Y49" s="5" t="s">
        <v>36</v>
      </c>
      <c r="Z49" t="str">
        <f t="shared" si="9"/>
        <v xml:space="preserve"> dailCompDescDemolitionist47=^pDemolitionist's Gift of DAIL</v>
      </c>
      <c r="AA49" t="str">
        <f t="shared" si="17"/>
        <v>dailCompTextDemolitionist47=^oThis feels warm to the touch, almost familiar ^w(This component only fits into the Medal Slot)</v>
      </c>
      <c r="AB49" s="5" t="s">
        <v>36</v>
      </c>
      <c r="AH49">
        <f t="shared" si="19"/>
        <v>44</v>
      </c>
      <c r="AI49">
        <f t="shared" si="22"/>
        <v>31</v>
      </c>
      <c r="AJ49">
        <f t="shared" si="18"/>
        <v>3</v>
      </c>
    </row>
    <row r="50" spans="1:36" x14ac:dyDescent="0.25">
      <c r="A50" s="5" t="s">
        <v>39</v>
      </c>
      <c r="B50" s="5" t="s">
        <v>30</v>
      </c>
      <c r="C50" s="5" t="str">
        <f t="shared" si="0"/>
        <v>description,dailCompDescDemolitionist48,</v>
      </c>
      <c r="D50" s="5" t="str">
        <f t="shared" si="2"/>
        <v>itemText,dailCompTextDemolitionist48,</v>
      </c>
      <c r="E50" s="5" t="str">
        <f t="shared" si="14"/>
        <v>augmentSkillLevel1,3,</v>
      </c>
      <c r="F50" s="5" t="str">
        <f t="shared" si="15"/>
        <v>augmentSkillName1,records/skills/playerclass02/blackwater2.dbr,</v>
      </c>
      <c r="G50" s="7">
        <f t="shared" si="10"/>
        <v>48</v>
      </c>
      <c r="H50" s="8" t="str">
        <f t="shared" si="11"/>
        <v>Demolitionist</v>
      </c>
      <c r="I50" s="3" t="s">
        <v>273</v>
      </c>
      <c r="J50" s="8" t="str">
        <f t="shared" si="21"/>
        <v>class0002</v>
      </c>
      <c r="K50" s="8" t="str">
        <f t="shared" si="21"/>
        <v>dailoneskill0002</v>
      </c>
      <c r="L50" s="5" t="str">
        <f t="shared" si="4"/>
        <v>lootName48,DAIL/items/materia/class0002/Demolitionist48.dbr,</v>
      </c>
      <c r="M50" s="5" t="str">
        <f t="shared" si="5"/>
        <v>lootWeight48,1,</v>
      </c>
      <c r="N50" t="str">
        <f t="shared" si="6"/>
        <v>3</v>
      </c>
      <c r="O50" t="str">
        <f t="shared" si="16"/>
        <v>copy .\dail_base3.dbr .\items\materia\class0002\Demolitionist48.dbr /y</v>
      </c>
      <c r="P50" t="str">
        <f t="shared" si="7"/>
        <v>echo relicBitmap,items/craftingparts/components/component_a52_bristlyfur_b.tex, &gt;&gt; .\items\materia\class0002\Demolitionist48.dbr</v>
      </c>
      <c r="Q50" t="str">
        <f t="shared" si="7"/>
        <v>echo itemCost,500000, &gt;&gt; .\items\materia\class0002\Demolitionist48.dbr</v>
      </c>
      <c r="R50" t="str">
        <f t="shared" si="7"/>
        <v>echo description,dailCompDescDemolitionist48, &gt;&gt; .\items\materia\class0002\Demolitionist48.dbr</v>
      </c>
      <c r="S50" t="str">
        <f t="shared" si="7"/>
        <v>echo itemText,dailCompTextDemolitionist48, &gt;&gt; .\items\materia\class0002\Demolitionist48.dbr</v>
      </c>
      <c r="T50" t="str">
        <f t="shared" si="7"/>
        <v>echo augmentSkillLevel1,3, &gt;&gt; .\items\materia\class0002\Demolitionist48.dbr</v>
      </c>
      <c r="U50" t="str">
        <f t="shared" si="7"/>
        <v>echo augmentSkillName1,records/skills/playerclass02/blackwater2.dbr, &gt;&gt; .\items\materia\class0002\Demolitionist48.dbr</v>
      </c>
      <c r="V50" s="5" t="s">
        <v>36</v>
      </c>
      <c r="W50" t="str">
        <f t="shared" si="8"/>
        <v>echo lootName48,DAIL/items/materia/class0002/Demolitionist48.dbr, &gt;&gt; .\items\loottables\dailoneskill0002.dbr</v>
      </c>
      <c r="X50" t="str">
        <f t="shared" si="8"/>
        <v>echo lootWeight48,1, &gt;&gt; .\items\loottables\dailoneskill0002.dbr</v>
      </c>
      <c r="Y50" s="5" t="s">
        <v>36</v>
      </c>
      <c r="Z50" t="str">
        <f t="shared" si="9"/>
        <v xml:space="preserve"> dailCompDescDemolitionist48=^pDemolitionist's Gift of DAIL</v>
      </c>
      <c r="AA50" t="str">
        <f t="shared" si="17"/>
        <v>dailCompTextDemolitionist48=^oThis feels warm to the touch, almost familiar ^w(This component only fits into the Medal Slot)</v>
      </c>
      <c r="AB50" s="5" t="s">
        <v>36</v>
      </c>
      <c r="AH50">
        <f t="shared" si="19"/>
        <v>45</v>
      </c>
      <c r="AI50">
        <f t="shared" si="22"/>
        <v>30</v>
      </c>
      <c r="AJ50">
        <f t="shared" si="18"/>
        <v>3</v>
      </c>
    </row>
    <row r="51" spans="1:36" x14ac:dyDescent="0.25">
      <c r="A51" s="5" t="s">
        <v>39</v>
      </c>
      <c r="B51" s="5" t="s">
        <v>30</v>
      </c>
      <c r="C51" s="5" t="str">
        <f t="shared" si="0"/>
        <v>description,dailCompDescDemolitionist49,</v>
      </c>
      <c r="D51" s="5" t="str">
        <f t="shared" si="2"/>
        <v>itemText,dailCompTextDemolitionist49,</v>
      </c>
      <c r="E51" s="5" t="str">
        <f t="shared" si="14"/>
        <v>augmentSkillLevel1,3,</v>
      </c>
      <c r="F51" s="5" t="str">
        <f t="shared" si="15"/>
        <v>augmentSkillName1,records/skills/playerclass02/blackwater3.dbr,</v>
      </c>
      <c r="G51" s="7">
        <f t="shared" si="10"/>
        <v>49</v>
      </c>
      <c r="H51" s="8" t="str">
        <f t="shared" si="11"/>
        <v>Demolitionist</v>
      </c>
      <c r="I51" s="3" t="s">
        <v>274</v>
      </c>
      <c r="J51" s="8" t="str">
        <f t="shared" si="21"/>
        <v>class0002</v>
      </c>
      <c r="K51" s="8" t="str">
        <f t="shared" si="21"/>
        <v>dailoneskill0002</v>
      </c>
      <c r="L51" s="5" t="str">
        <f t="shared" si="4"/>
        <v>lootName49,DAIL/items/materia/class0002/Demolitionist49.dbr,</v>
      </c>
      <c r="M51" s="5" t="str">
        <f t="shared" si="5"/>
        <v>lootWeight49,1,</v>
      </c>
      <c r="N51" t="str">
        <f t="shared" si="6"/>
        <v>3</v>
      </c>
      <c r="O51" t="str">
        <f t="shared" si="16"/>
        <v>copy .\dail_base3.dbr .\items\materia\class0002\Demolitionist49.dbr /y</v>
      </c>
      <c r="P51" t="str">
        <f t="shared" si="7"/>
        <v>echo relicBitmap,items/craftingparts/components/component_a52_bristlyfur_b.tex, &gt;&gt; .\items\materia\class0002\Demolitionist49.dbr</v>
      </c>
      <c r="Q51" t="str">
        <f t="shared" si="7"/>
        <v>echo itemCost,500000, &gt;&gt; .\items\materia\class0002\Demolitionist49.dbr</v>
      </c>
      <c r="R51" t="str">
        <f t="shared" si="7"/>
        <v>echo description,dailCompDescDemolitionist49, &gt;&gt; .\items\materia\class0002\Demolitionist49.dbr</v>
      </c>
      <c r="S51" t="str">
        <f t="shared" si="7"/>
        <v>echo itemText,dailCompTextDemolitionist49, &gt;&gt; .\items\materia\class0002\Demolitionist49.dbr</v>
      </c>
      <c r="T51" t="str">
        <f t="shared" si="7"/>
        <v>echo augmentSkillLevel1,3, &gt;&gt; .\items\materia\class0002\Demolitionist49.dbr</v>
      </c>
      <c r="U51" t="str">
        <f t="shared" si="7"/>
        <v>echo augmentSkillName1,records/skills/playerclass02/blackwater3.dbr, &gt;&gt; .\items\materia\class0002\Demolitionist49.dbr</v>
      </c>
      <c r="V51" s="5" t="s">
        <v>36</v>
      </c>
      <c r="W51" t="str">
        <f t="shared" si="8"/>
        <v>echo lootName49,DAIL/items/materia/class0002/Demolitionist49.dbr, &gt;&gt; .\items\loottables\dailoneskill0002.dbr</v>
      </c>
      <c r="X51" t="str">
        <f t="shared" si="8"/>
        <v>echo lootWeight49,1, &gt;&gt; .\items\loottables\dailoneskill0002.dbr</v>
      </c>
      <c r="Y51" s="5" t="s">
        <v>36</v>
      </c>
      <c r="Z51" t="str">
        <f t="shared" si="9"/>
        <v xml:space="preserve"> dailCompDescDemolitionist49=^pDemolitionist's Gift of DAIL</v>
      </c>
      <c r="AA51" t="str">
        <f t="shared" si="17"/>
        <v>dailCompTextDemolitionist49=^oThis feels warm to the touch, almost familiar ^w(This component only fits into the Medal Slot)</v>
      </c>
      <c r="AB51" s="5" t="s">
        <v>36</v>
      </c>
      <c r="AH51">
        <f t="shared" si="19"/>
        <v>46</v>
      </c>
      <c r="AI51">
        <f t="shared" si="22"/>
        <v>30</v>
      </c>
      <c r="AJ51">
        <f t="shared" si="18"/>
        <v>3</v>
      </c>
    </row>
    <row r="52" spans="1:36" x14ac:dyDescent="0.25">
      <c r="A52" s="5" t="s">
        <v>39</v>
      </c>
      <c r="B52" s="5" t="s">
        <v>30</v>
      </c>
      <c r="C52" s="5" t="str">
        <f t="shared" si="0"/>
        <v>description,dailCompDescDemolitionist50,</v>
      </c>
      <c r="D52" s="5" t="str">
        <f t="shared" si="2"/>
        <v>itemText,dailCompTextDemolitionist50,</v>
      </c>
      <c r="E52" s="5" t="str">
        <f t="shared" si="14"/>
        <v>augmentSkillLevel1,3,</v>
      </c>
      <c r="F52" s="5" t="str">
        <f t="shared" si="15"/>
        <v>augmentSkillName1,records/skills/playerclass02/mortartrap1.dbr,</v>
      </c>
      <c r="G52" s="7">
        <f t="shared" si="10"/>
        <v>50</v>
      </c>
      <c r="H52" s="8" t="str">
        <f t="shared" si="11"/>
        <v>Demolitionist</v>
      </c>
      <c r="I52" s="3" t="s">
        <v>56</v>
      </c>
      <c r="J52" s="8" t="str">
        <f t="shared" si="21"/>
        <v>class0002</v>
      </c>
      <c r="K52" s="8" t="str">
        <f t="shared" si="21"/>
        <v>dailoneskill0002</v>
      </c>
      <c r="L52" s="5" t="str">
        <f t="shared" si="4"/>
        <v>lootName50,DAIL/items/materia/class0002/Demolitionist50.dbr,</v>
      </c>
      <c r="M52" s="5" t="str">
        <f t="shared" si="5"/>
        <v>lootWeight50,1,</v>
      </c>
      <c r="N52" t="str">
        <f t="shared" si="6"/>
        <v>3</v>
      </c>
      <c r="O52" t="str">
        <f t="shared" si="16"/>
        <v>copy .\dail_base3.dbr .\items\materia\class0002\Demolitionist50.dbr /y</v>
      </c>
      <c r="P52" t="str">
        <f t="shared" si="7"/>
        <v>echo relicBitmap,items/craftingparts/components/component_a52_bristlyfur_b.tex, &gt;&gt; .\items\materia\class0002\Demolitionist50.dbr</v>
      </c>
      <c r="Q52" t="str">
        <f t="shared" si="7"/>
        <v>echo itemCost,500000, &gt;&gt; .\items\materia\class0002\Demolitionist50.dbr</v>
      </c>
      <c r="R52" t="str">
        <f t="shared" si="7"/>
        <v>echo description,dailCompDescDemolitionist50, &gt;&gt; .\items\materia\class0002\Demolitionist50.dbr</v>
      </c>
      <c r="S52" t="str">
        <f t="shared" si="7"/>
        <v>echo itemText,dailCompTextDemolitionist50, &gt;&gt; .\items\materia\class0002\Demolitionist50.dbr</v>
      </c>
      <c r="T52" t="str">
        <f t="shared" si="7"/>
        <v>echo augmentSkillLevel1,3, &gt;&gt; .\items\materia\class0002\Demolitionist50.dbr</v>
      </c>
      <c r="U52" t="str">
        <f t="shared" si="7"/>
        <v>echo augmentSkillName1,records/skills/playerclass02/mortartrap1.dbr, &gt;&gt; .\items\materia\class0002\Demolitionist50.dbr</v>
      </c>
      <c r="V52" s="5" t="s">
        <v>36</v>
      </c>
      <c r="W52" t="str">
        <f t="shared" si="8"/>
        <v>echo lootName50,DAIL/items/materia/class0002/Demolitionist50.dbr, &gt;&gt; .\items\loottables\dailoneskill0002.dbr</v>
      </c>
      <c r="X52" t="str">
        <f t="shared" si="8"/>
        <v>echo lootWeight50,1, &gt;&gt; .\items\loottables\dailoneskill0002.dbr</v>
      </c>
      <c r="Y52" s="5" t="s">
        <v>36</v>
      </c>
      <c r="Z52" t="str">
        <f t="shared" si="9"/>
        <v xml:space="preserve"> dailCompDescDemolitionist50=^pDemolitionist's Gift of DAIL</v>
      </c>
      <c r="AA52" t="str">
        <f t="shared" si="17"/>
        <v>dailCompTextDemolitionist50=^oThis feels warm to the touch, almost familiar ^w(This component only fits into the Medal Slot)</v>
      </c>
      <c r="AB52" s="5" t="s">
        <v>36</v>
      </c>
      <c r="AH52">
        <f t="shared" si="19"/>
        <v>47</v>
      </c>
      <c r="AI52">
        <f t="shared" si="22"/>
        <v>30</v>
      </c>
      <c r="AJ52">
        <f t="shared" si="18"/>
        <v>3</v>
      </c>
    </row>
    <row r="53" spans="1:36" x14ac:dyDescent="0.25">
      <c r="A53" s="5" t="s">
        <v>39</v>
      </c>
      <c r="B53" s="5" t="s">
        <v>30</v>
      </c>
      <c r="C53" s="5" t="str">
        <f t="shared" si="0"/>
        <v>description,dailCompDescDemolitionist51,</v>
      </c>
      <c r="D53" s="5" t="str">
        <f t="shared" si="2"/>
        <v>itemText,dailCompTextDemolitionist51,</v>
      </c>
      <c r="E53" s="5" t="str">
        <f t="shared" si="14"/>
        <v>augmentSkillLevel1,3,</v>
      </c>
      <c r="F53" s="5" t="str">
        <f t="shared" si="15"/>
        <v>augmentSkillName1,records/skills/playerclass02/mortartrap2_petmod.dbr,</v>
      </c>
      <c r="G53" s="7">
        <f t="shared" si="10"/>
        <v>51</v>
      </c>
      <c r="H53" s="8" t="str">
        <f t="shared" si="11"/>
        <v>Demolitionist</v>
      </c>
      <c r="I53" s="3" t="s">
        <v>275</v>
      </c>
      <c r="J53" s="8" t="str">
        <f t="shared" ref="J53:K68" si="23">J52</f>
        <v>class0002</v>
      </c>
      <c r="K53" s="8" t="str">
        <f t="shared" si="23"/>
        <v>dailoneskill0002</v>
      </c>
      <c r="L53" s="5" t="str">
        <f t="shared" si="4"/>
        <v>lootName51,DAIL/items/materia/class0002/Demolitionist51.dbr,</v>
      </c>
      <c r="M53" s="5" t="str">
        <f t="shared" si="5"/>
        <v>lootWeight51,1,</v>
      </c>
      <c r="N53" t="str">
        <f t="shared" si="6"/>
        <v>3</v>
      </c>
      <c r="O53" t="str">
        <f t="shared" si="16"/>
        <v>copy .\dail_base3.dbr .\items\materia\class0002\Demolitionist51.dbr /y</v>
      </c>
      <c r="P53" t="str">
        <f t="shared" si="7"/>
        <v>echo relicBitmap,items/craftingparts/components/component_a52_bristlyfur_b.tex, &gt;&gt; .\items\materia\class0002\Demolitionist51.dbr</v>
      </c>
      <c r="Q53" t="str">
        <f t="shared" si="7"/>
        <v>echo itemCost,500000, &gt;&gt; .\items\materia\class0002\Demolitionist51.dbr</v>
      </c>
      <c r="R53" t="str">
        <f t="shared" si="7"/>
        <v>echo description,dailCompDescDemolitionist51, &gt;&gt; .\items\materia\class0002\Demolitionist51.dbr</v>
      </c>
      <c r="S53" t="str">
        <f t="shared" si="7"/>
        <v>echo itemText,dailCompTextDemolitionist51, &gt;&gt; .\items\materia\class0002\Demolitionist51.dbr</v>
      </c>
      <c r="T53" t="str">
        <f t="shared" si="7"/>
        <v>echo augmentSkillLevel1,3, &gt;&gt; .\items\materia\class0002\Demolitionist51.dbr</v>
      </c>
      <c r="U53" t="str">
        <f t="shared" si="7"/>
        <v>echo augmentSkillName1,records/skills/playerclass02/mortartrap2_petmod.dbr, &gt;&gt; .\items\materia\class0002\Demolitionist51.dbr</v>
      </c>
      <c r="V53" s="5" t="s">
        <v>36</v>
      </c>
      <c r="W53" t="str">
        <f t="shared" si="8"/>
        <v>echo lootName51,DAIL/items/materia/class0002/Demolitionist51.dbr, &gt;&gt; .\items\loottables\dailoneskill0002.dbr</v>
      </c>
      <c r="X53" t="str">
        <f t="shared" si="8"/>
        <v>echo lootWeight51,1, &gt;&gt; .\items\loottables\dailoneskill0002.dbr</v>
      </c>
      <c r="Y53" s="5" t="s">
        <v>36</v>
      </c>
      <c r="Z53" t="str">
        <f t="shared" si="9"/>
        <v xml:space="preserve"> dailCompDescDemolitionist51=^pDemolitionist's Gift of DAIL</v>
      </c>
      <c r="AA53" t="str">
        <f t="shared" si="17"/>
        <v>dailCompTextDemolitionist51=^oThis feels warm to the touch, almost familiar ^w(This component only fits into the Medal Slot)</v>
      </c>
      <c r="AB53" s="5" t="s">
        <v>36</v>
      </c>
      <c r="AH53">
        <f t="shared" si="19"/>
        <v>48</v>
      </c>
      <c r="AI53">
        <f t="shared" si="22"/>
        <v>37</v>
      </c>
      <c r="AJ53">
        <f t="shared" si="18"/>
        <v>3</v>
      </c>
    </row>
    <row r="54" spans="1:36" x14ac:dyDescent="0.25">
      <c r="A54" s="5" t="s">
        <v>39</v>
      </c>
      <c r="B54" s="5" t="s">
        <v>30</v>
      </c>
      <c r="C54" s="5" t="str">
        <f t="shared" si="0"/>
        <v>description,dailCompDescDemolitionist52,</v>
      </c>
      <c r="D54" s="5" t="str">
        <f t="shared" si="2"/>
        <v>itemText,dailCompTextDemolitionist52,</v>
      </c>
      <c r="E54" s="5" t="str">
        <f t="shared" si="14"/>
        <v>augmentSkillLevel1,3,</v>
      </c>
      <c r="F54" s="5" t="str">
        <f t="shared" si="15"/>
        <v>augmentSkillName1,records/skills/playerclass02/mortartrap3_petmod.dbr,</v>
      </c>
      <c r="G54" s="7">
        <f t="shared" si="10"/>
        <v>52</v>
      </c>
      <c r="H54" s="8" t="str">
        <f t="shared" si="11"/>
        <v>Demolitionist</v>
      </c>
      <c r="I54" s="3" t="s">
        <v>276</v>
      </c>
      <c r="J54" s="8" t="str">
        <f t="shared" si="23"/>
        <v>class0002</v>
      </c>
      <c r="K54" s="8" t="str">
        <f t="shared" si="23"/>
        <v>dailoneskill0002</v>
      </c>
      <c r="L54" s="5" t="str">
        <f t="shared" si="4"/>
        <v>lootName52,DAIL/items/materia/class0002/Demolitionist52.dbr,</v>
      </c>
      <c r="M54" s="5" t="str">
        <f t="shared" si="5"/>
        <v>lootWeight52,1,</v>
      </c>
      <c r="N54" t="str">
        <f t="shared" si="6"/>
        <v>3</v>
      </c>
      <c r="O54" t="str">
        <f t="shared" si="16"/>
        <v>copy .\dail_base3.dbr .\items\materia\class0002\Demolitionist52.dbr /y</v>
      </c>
      <c r="P54" t="str">
        <f t="shared" si="7"/>
        <v>echo relicBitmap,items/craftingparts/components/component_a52_bristlyfur_b.tex, &gt;&gt; .\items\materia\class0002\Demolitionist52.dbr</v>
      </c>
      <c r="Q54" t="str">
        <f t="shared" si="7"/>
        <v>echo itemCost,500000, &gt;&gt; .\items\materia\class0002\Demolitionist52.dbr</v>
      </c>
      <c r="R54" t="str">
        <f t="shared" si="7"/>
        <v>echo description,dailCompDescDemolitionist52, &gt;&gt; .\items\materia\class0002\Demolitionist52.dbr</v>
      </c>
      <c r="S54" t="str">
        <f t="shared" si="7"/>
        <v>echo itemText,dailCompTextDemolitionist52, &gt;&gt; .\items\materia\class0002\Demolitionist52.dbr</v>
      </c>
      <c r="T54" t="str">
        <f t="shared" si="7"/>
        <v>echo augmentSkillLevel1,3, &gt;&gt; .\items\materia\class0002\Demolitionist52.dbr</v>
      </c>
      <c r="U54" t="str">
        <f t="shared" si="7"/>
        <v>echo augmentSkillName1,records/skills/playerclass02/mortartrap3_petmod.dbr, &gt;&gt; .\items\materia\class0002\Demolitionist52.dbr</v>
      </c>
      <c r="V54" s="5" t="s">
        <v>36</v>
      </c>
      <c r="W54" t="str">
        <f t="shared" si="8"/>
        <v>echo lootName52,DAIL/items/materia/class0002/Demolitionist52.dbr, &gt;&gt; .\items\loottables\dailoneskill0002.dbr</v>
      </c>
      <c r="X54" t="str">
        <f t="shared" si="8"/>
        <v>echo lootWeight52,1, &gt;&gt; .\items\loottables\dailoneskill0002.dbr</v>
      </c>
      <c r="Y54" s="5" t="s">
        <v>36</v>
      </c>
      <c r="Z54" t="str">
        <f t="shared" si="9"/>
        <v xml:space="preserve"> dailCompDescDemolitionist52=^pDemolitionist's Gift of DAIL</v>
      </c>
      <c r="AA54" t="str">
        <f t="shared" si="17"/>
        <v>dailCompTextDemolitionist52=^oThis feels warm to the touch, almost familiar ^w(This component only fits into the Medal Slot)</v>
      </c>
      <c r="AB54" s="5" t="s">
        <v>36</v>
      </c>
      <c r="AH54">
        <f t="shared" si="19"/>
        <v>49</v>
      </c>
      <c r="AI54">
        <f t="shared" si="22"/>
        <v>37</v>
      </c>
      <c r="AJ54">
        <f t="shared" si="18"/>
        <v>3</v>
      </c>
    </row>
    <row r="55" spans="1:36" x14ac:dyDescent="0.25">
      <c r="A55" s="5" t="s">
        <v>39</v>
      </c>
      <c r="B55" s="5" t="s">
        <v>30</v>
      </c>
      <c r="C55" s="5" t="str">
        <f t="shared" si="0"/>
        <v>description,dailCompDescDemolitionist53,</v>
      </c>
      <c r="D55" s="5" t="str">
        <f t="shared" si="2"/>
        <v>itemText,dailCompTextDemolitionist53,</v>
      </c>
      <c r="E55" s="5" t="str">
        <f t="shared" si="14"/>
        <v>augmentSkillLevel1,3,</v>
      </c>
      <c r="F55" s="5" t="str">
        <f t="shared" si="15"/>
        <v>augmentSkillName1,records/skills/playerclass02/canisterbomb1.dbr,</v>
      </c>
      <c r="G55" s="7">
        <f t="shared" si="10"/>
        <v>53</v>
      </c>
      <c r="H55" s="8" t="str">
        <f t="shared" si="11"/>
        <v>Demolitionist</v>
      </c>
      <c r="I55" s="3" t="s">
        <v>52</v>
      </c>
      <c r="J55" s="8" t="str">
        <f t="shared" si="23"/>
        <v>class0002</v>
      </c>
      <c r="K55" s="8" t="str">
        <f t="shared" si="23"/>
        <v>dailoneskill0002</v>
      </c>
      <c r="L55" s="5" t="str">
        <f t="shared" si="4"/>
        <v>lootName53,DAIL/items/materia/class0002/Demolitionist53.dbr,</v>
      </c>
      <c r="M55" s="5" t="str">
        <f t="shared" si="5"/>
        <v>lootWeight53,1,</v>
      </c>
      <c r="N55" t="str">
        <f t="shared" si="6"/>
        <v>3</v>
      </c>
      <c r="O55" t="str">
        <f t="shared" si="16"/>
        <v>copy .\dail_base3.dbr .\items\materia\class0002\Demolitionist53.dbr /y</v>
      </c>
      <c r="P55" t="str">
        <f t="shared" si="7"/>
        <v>echo relicBitmap,items/craftingparts/components/component_a52_bristlyfur_b.tex, &gt;&gt; .\items\materia\class0002\Demolitionist53.dbr</v>
      </c>
      <c r="Q55" t="str">
        <f t="shared" si="7"/>
        <v>echo itemCost,500000, &gt;&gt; .\items\materia\class0002\Demolitionist53.dbr</v>
      </c>
      <c r="R55" t="str">
        <f t="shared" si="7"/>
        <v>echo description,dailCompDescDemolitionist53, &gt;&gt; .\items\materia\class0002\Demolitionist53.dbr</v>
      </c>
      <c r="S55" t="str">
        <f t="shared" si="7"/>
        <v>echo itemText,dailCompTextDemolitionist53, &gt;&gt; .\items\materia\class0002\Demolitionist53.dbr</v>
      </c>
      <c r="T55" t="str">
        <f t="shared" si="7"/>
        <v>echo augmentSkillLevel1,3, &gt;&gt; .\items\materia\class0002\Demolitionist53.dbr</v>
      </c>
      <c r="U55" t="str">
        <f t="shared" si="7"/>
        <v>echo augmentSkillName1,records/skills/playerclass02/canisterbomb1.dbr, &gt;&gt; .\items\materia\class0002\Demolitionist53.dbr</v>
      </c>
      <c r="V55" s="5" t="s">
        <v>36</v>
      </c>
      <c r="W55" t="str">
        <f t="shared" si="8"/>
        <v>echo lootName53,DAIL/items/materia/class0002/Demolitionist53.dbr, &gt;&gt; .\items\loottables\dailoneskill0002.dbr</v>
      </c>
      <c r="X55" t="str">
        <f t="shared" si="8"/>
        <v>echo lootWeight53,1, &gt;&gt; .\items\loottables\dailoneskill0002.dbr</v>
      </c>
      <c r="Y55" s="5" t="s">
        <v>36</v>
      </c>
      <c r="Z55" t="str">
        <f t="shared" si="9"/>
        <v xml:space="preserve"> dailCompDescDemolitionist53=^pDemolitionist's Gift of DAIL</v>
      </c>
      <c r="AA55" t="str">
        <f t="shared" si="17"/>
        <v>dailCompTextDemolitionist53=^oThis feels warm to the touch, almost familiar ^w(This component only fits into the Medal Slot)</v>
      </c>
      <c r="AB55" s="5" t="s">
        <v>36</v>
      </c>
      <c r="AH55">
        <f t="shared" si="19"/>
        <v>50</v>
      </c>
      <c r="AI55">
        <f t="shared" si="22"/>
        <v>32</v>
      </c>
      <c r="AJ55">
        <f t="shared" si="18"/>
        <v>3</v>
      </c>
    </row>
    <row r="56" spans="1:36" x14ac:dyDescent="0.25">
      <c r="A56" s="5" t="s">
        <v>39</v>
      </c>
      <c r="B56" s="5" t="s">
        <v>30</v>
      </c>
      <c r="C56" s="5" t="str">
        <f t="shared" si="0"/>
        <v>description,dailCompDescDemolitionist54,</v>
      </c>
      <c r="D56" s="5" t="str">
        <f t="shared" si="2"/>
        <v>itemText,dailCompTextDemolitionist54,</v>
      </c>
      <c r="E56" s="5" t="str">
        <f t="shared" si="14"/>
        <v>augmentSkillLevel1,3,</v>
      </c>
      <c r="F56" s="5" t="str">
        <f t="shared" si="15"/>
        <v>augmentSkillName1,records/skills/playerclass02/canisterbomb1b.dbr,</v>
      </c>
      <c r="G56" s="7">
        <f t="shared" si="10"/>
        <v>54</v>
      </c>
      <c r="H56" s="8" t="str">
        <f t="shared" si="11"/>
        <v>Demolitionist</v>
      </c>
      <c r="I56" s="3" t="s">
        <v>277</v>
      </c>
      <c r="J56" s="8" t="str">
        <f t="shared" si="23"/>
        <v>class0002</v>
      </c>
      <c r="K56" s="8" t="str">
        <f t="shared" si="23"/>
        <v>dailoneskill0002</v>
      </c>
      <c r="L56" s="5" t="str">
        <f t="shared" si="4"/>
        <v>lootName54,DAIL/items/materia/class0002/Demolitionist54.dbr,</v>
      </c>
      <c r="M56" s="5" t="str">
        <f t="shared" si="5"/>
        <v>lootWeight54,1,</v>
      </c>
      <c r="N56" t="str">
        <f t="shared" si="6"/>
        <v>3</v>
      </c>
      <c r="O56" t="str">
        <f t="shared" si="16"/>
        <v>copy .\dail_base3.dbr .\items\materia\class0002\Demolitionist54.dbr /y</v>
      </c>
      <c r="P56" t="str">
        <f t="shared" si="7"/>
        <v>echo relicBitmap,items/craftingparts/components/component_a52_bristlyfur_b.tex, &gt;&gt; .\items\materia\class0002\Demolitionist54.dbr</v>
      </c>
      <c r="Q56" t="str">
        <f t="shared" si="7"/>
        <v>echo itemCost,500000, &gt;&gt; .\items\materia\class0002\Demolitionist54.dbr</v>
      </c>
      <c r="R56" t="str">
        <f t="shared" si="7"/>
        <v>echo description,dailCompDescDemolitionist54, &gt;&gt; .\items\materia\class0002\Demolitionist54.dbr</v>
      </c>
      <c r="S56" t="str">
        <f t="shared" si="7"/>
        <v>echo itemText,dailCompTextDemolitionist54, &gt;&gt; .\items\materia\class0002\Demolitionist54.dbr</v>
      </c>
      <c r="T56" t="str">
        <f t="shared" si="7"/>
        <v>echo augmentSkillLevel1,3, &gt;&gt; .\items\materia\class0002\Demolitionist54.dbr</v>
      </c>
      <c r="U56" t="str">
        <f t="shared" si="7"/>
        <v>echo augmentSkillName1,records/skills/playerclass02/canisterbomb1b.dbr, &gt;&gt; .\items\materia\class0002\Demolitionist54.dbr</v>
      </c>
      <c r="V56" s="5" t="s">
        <v>36</v>
      </c>
      <c r="W56" t="str">
        <f t="shared" si="8"/>
        <v>echo lootName54,DAIL/items/materia/class0002/Demolitionist54.dbr, &gt;&gt; .\items\loottables\dailoneskill0002.dbr</v>
      </c>
      <c r="X56" t="str">
        <f t="shared" si="8"/>
        <v>echo lootWeight54,1, &gt;&gt; .\items\loottables\dailoneskill0002.dbr</v>
      </c>
      <c r="Y56" s="5" t="s">
        <v>36</v>
      </c>
      <c r="Z56" t="str">
        <f t="shared" si="9"/>
        <v xml:space="preserve"> dailCompDescDemolitionist54=^pDemolitionist's Gift of DAIL</v>
      </c>
      <c r="AA56" t="str">
        <f t="shared" si="17"/>
        <v>dailCompTextDemolitionist54=^oThis feels warm to the touch, almost familiar ^w(This component only fits into the Medal Slot)</v>
      </c>
      <c r="AB56" s="5" t="s">
        <v>36</v>
      </c>
      <c r="AH56">
        <f t="shared" si="19"/>
        <v>51</v>
      </c>
      <c r="AI56">
        <f t="shared" si="22"/>
        <v>33</v>
      </c>
      <c r="AJ56">
        <f t="shared" si="18"/>
        <v>3</v>
      </c>
    </row>
    <row r="57" spans="1:36" x14ac:dyDescent="0.25">
      <c r="A57" s="5" t="s">
        <v>39</v>
      </c>
      <c r="B57" s="5" t="s">
        <v>30</v>
      </c>
      <c r="C57" s="5" t="str">
        <f t="shared" si="0"/>
        <v>description,dailCompDescDemolitionist55,</v>
      </c>
      <c r="D57" s="5" t="str">
        <f t="shared" si="2"/>
        <v>itemText,dailCompTextDemolitionist55,</v>
      </c>
      <c r="E57" s="5" t="str">
        <f t="shared" si="14"/>
        <v>augmentSkillLevel1,3,</v>
      </c>
      <c r="F57" s="5" t="str">
        <f t="shared" si="15"/>
        <v>augmentSkillName1,records/skills/playerclass02/canisterbomb2.dbr,</v>
      </c>
      <c r="G57" s="7">
        <f t="shared" si="10"/>
        <v>55</v>
      </c>
      <c r="H57" s="8" t="str">
        <f t="shared" si="11"/>
        <v>Demolitionist</v>
      </c>
      <c r="I57" s="3" t="s">
        <v>278</v>
      </c>
      <c r="J57" s="8" t="str">
        <f t="shared" si="23"/>
        <v>class0002</v>
      </c>
      <c r="K57" s="8" t="str">
        <f t="shared" si="23"/>
        <v>dailoneskill0002</v>
      </c>
      <c r="L57" s="5" t="str">
        <f t="shared" si="4"/>
        <v>lootName55,DAIL/items/materia/class0002/Demolitionist55.dbr,</v>
      </c>
      <c r="M57" s="5" t="str">
        <f t="shared" si="5"/>
        <v>lootWeight55,1,</v>
      </c>
      <c r="N57" t="str">
        <f t="shared" si="6"/>
        <v>3</v>
      </c>
      <c r="O57" t="str">
        <f t="shared" si="16"/>
        <v>copy .\dail_base3.dbr .\items\materia\class0002\Demolitionist55.dbr /y</v>
      </c>
      <c r="P57" t="str">
        <f t="shared" si="7"/>
        <v>echo relicBitmap,items/craftingparts/components/component_a52_bristlyfur_b.tex, &gt;&gt; .\items\materia\class0002\Demolitionist55.dbr</v>
      </c>
      <c r="Q57" t="str">
        <f t="shared" si="7"/>
        <v>echo itemCost,500000, &gt;&gt; .\items\materia\class0002\Demolitionist55.dbr</v>
      </c>
      <c r="R57" t="str">
        <f t="shared" si="7"/>
        <v>echo description,dailCompDescDemolitionist55, &gt;&gt; .\items\materia\class0002\Demolitionist55.dbr</v>
      </c>
      <c r="S57" t="str">
        <f t="shared" si="7"/>
        <v>echo itemText,dailCompTextDemolitionist55, &gt;&gt; .\items\materia\class0002\Demolitionist55.dbr</v>
      </c>
      <c r="T57" t="str">
        <f t="shared" si="7"/>
        <v>echo augmentSkillLevel1,3, &gt;&gt; .\items\materia\class0002\Demolitionist55.dbr</v>
      </c>
      <c r="U57" t="str">
        <f t="shared" si="7"/>
        <v>echo augmentSkillName1,records/skills/playerclass02/canisterbomb2.dbr, &gt;&gt; .\items\materia\class0002\Demolitionist55.dbr</v>
      </c>
      <c r="V57" s="5" t="s">
        <v>36</v>
      </c>
      <c r="W57" t="str">
        <f t="shared" si="8"/>
        <v>echo lootName55,DAIL/items/materia/class0002/Demolitionist55.dbr, &gt;&gt; .\items\loottables\dailoneskill0002.dbr</v>
      </c>
      <c r="X57" t="str">
        <f t="shared" si="8"/>
        <v>echo lootWeight55,1, &gt;&gt; .\items\loottables\dailoneskill0002.dbr</v>
      </c>
      <c r="Y57" s="5" t="s">
        <v>36</v>
      </c>
      <c r="Z57" t="str">
        <f t="shared" si="9"/>
        <v xml:space="preserve"> dailCompDescDemolitionist55=^pDemolitionist's Gift of DAIL</v>
      </c>
      <c r="AA57" t="str">
        <f t="shared" si="17"/>
        <v>dailCompTextDemolitionist55=^oThis feels warm to the touch, almost familiar ^w(This component only fits into the Medal Slot)</v>
      </c>
      <c r="AB57" s="5" t="s">
        <v>36</v>
      </c>
      <c r="AH57">
        <f t="shared" si="19"/>
        <v>52</v>
      </c>
      <c r="AI57">
        <f t="shared" si="22"/>
        <v>32</v>
      </c>
      <c r="AJ57">
        <f t="shared" si="18"/>
        <v>3</v>
      </c>
    </row>
    <row r="58" spans="1:36" x14ac:dyDescent="0.25">
      <c r="A58" s="5" t="s">
        <v>39</v>
      </c>
      <c r="B58" s="5" t="s">
        <v>30</v>
      </c>
      <c r="C58" s="5" t="str">
        <f t="shared" si="0"/>
        <v>description,dailCompDescDemolitionist56,</v>
      </c>
      <c r="D58" s="5" t="str">
        <f t="shared" si="2"/>
        <v>itemText,dailCompTextDemolitionist56,</v>
      </c>
      <c r="E58" s="5" t="str">
        <f t="shared" si="14"/>
        <v>augmentSkillLevel1,3,</v>
      </c>
      <c r="F58" s="5" t="str">
        <f t="shared" si="15"/>
        <v>augmentSkillName1,records/skills/playerclass02/passive2.dbr,</v>
      </c>
      <c r="G58" s="7">
        <f t="shared" si="10"/>
        <v>56</v>
      </c>
      <c r="H58" s="8" t="str">
        <f t="shared" si="11"/>
        <v>Demolitionist</v>
      </c>
      <c r="I58" s="3" t="s">
        <v>269</v>
      </c>
      <c r="J58" s="8" t="str">
        <f t="shared" si="23"/>
        <v>class0002</v>
      </c>
      <c r="K58" s="8" t="str">
        <f t="shared" si="23"/>
        <v>dailoneskill0002</v>
      </c>
      <c r="L58" s="5" t="str">
        <f t="shared" si="4"/>
        <v>lootName56,DAIL/items/materia/class0002/Demolitionist56.dbr,</v>
      </c>
      <c r="M58" s="5" t="str">
        <f t="shared" si="5"/>
        <v>lootWeight56,1,</v>
      </c>
      <c r="N58" t="str">
        <f t="shared" si="6"/>
        <v>3</v>
      </c>
      <c r="O58" t="str">
        <f t="shared" si="16"/>
        <v>copy .\dail_base3.dbr .\items\materia\class0002\Demolitionist56.dbr /y</v>
      </c>
      <c r="P58" t="str">
        <f t="shared" si="7"/>
        <v>echo relicBitmap,items/craftingparts/components/component_a52_bristlyfur_b.tex, &gt;&gt; .\items\materia\class0002\Demolitionist56.dbr</v>
      </c>
      <c r="Q58" t="str">
        <f t="shared" si="7"/>
        <v>echo itemCost,500000, &gt;&gt; .\items\materia\class0002\Demolitionist56.dbr</v>
      </c>
      <c r="R58" t="str">
        <f t="shared" si="7"/>
        <v>echo description,dailCompDescDemolitionist56, &gt;&gt; .\items\materia\class0002\Demolitionist56.dbr</v>
      </c>
      <c r="S58" t="str">
        <f t="shared" si="7"/>
        <v>echo itemText,dailCompTextDemolitionist56, &gt;&gt; .\items\materia\class0002\Demolitionist56.dbr</v>
      </c>
      <c r="T58" t="str">
        <f t="shared" si="7"/>
        <v>echo augmentSkillLevel1,3, &gt;&gt; .\items\materia\class0002\Demolitionist56.dbr</v>
      </c>
      <c r="U58" t="str">
        <f t="shared" si="7"/>
        <v>echo augmentSkillName1,records/skills/playerclass02/passive2.dbr, &gt;&gt; .\items\materia\class0002\Demolitionist56.dbr</v>
      </c>
      <c r="V58" s="5" t="s">
        <v>36</v>
      </c>
      <c r="W58" t="str">
        <f t="shared" si="8"/>
        <v>echo lootName56,DAIL/items/materia/class0002/Demolitionist56.dbr, &gt;&gt; .\items\loottables\dailoneskill0002.dbr</v>
      </c>
      <c r="X58" t="str">
        <f t="shared" si="8"/>
        <v>echo lootWeight56,1, &gt;&gt; .\items\loottables\dailoneskill0002.dbr</v>
      </c>
      <c r="Y58" s="5" t="s">
        <v>36</v>
      </c>
      <c r="Z58" t="str">
        <f t="shared" si="9"/>
        <v xml:space="preserve"> dailCompDescDemolitionist56=^pDemolitionist's Gift of DAIL</v>
      </c>
      <c r="AA58" t="str">
        <f t="shared" si="17"/>
        <v>dailCompTextDemolitionist56=^oThis feels warm to the touch, almost familiar ^w(This component only fits into the Medal Slot)</v>
      </c>
      <c r="AB58" s="5" t="s">
        <v>36</v>
      </c>
      <c r="AH58">
        <f t="shared" si="19"/>
        <v>53</v>
      </c>
      <c r="AI58">
        <f t="shared" si="22"/>
        <v>27</v>
      </c>
      <c r="AJ58">
        <f t="shared" si="18"/>
        <v>3</v>
      </c>
    </row>
    <row r="59" spans="1:36" x14ac:dyDescent="0.25">
      <c r="A59" s="5" t="s">
        <v>39</v>
      </c>
      <c r="B59" s="5" t="s">
        <v>30</v>
      </c>
      <c r="C59" s="5" t="str">
        <f t="shared" si="0"/>
        <v>description,dailCompDescDemolitionist57,</v>
      </c>
      <c r="D59" s="5" t="str">
        <f t="shared" si="2"/>
        <v>itemText,dailCompTextDemolitionist57,</v>
      </c>
      <c r="E59" s="5" t="str">
        <f t="shared" si="14"/>
        <v>augmentSkillLevel1,3,</v>
      </c>
      <c r="F59" s="5" t="str">
        <f t="shared" si="15"/>
        <v>augmentSkillName1,records/skills/playerclass02/vindictiveflame1.dbr,</v>
      </c>
      <c r="G59" s="7">
        <f t="shared" si="10"/>
        <v>57</v>
      </c>
      <c r="H59" s="8" t="str">
        <f t="shared" si="11"/>
        <v>Demolitionist</v>
      </c>
      <c r="I59" s="3" t="s">
        <v>60</v>
      </c>
      <c r="J59" s="8" t="str">
        <f t="shared" si="23"/>
        <v>class0002</v>
      </c>
      <c r="K59" s="8" t="str">
        <f t="shared" si="23"/>
        <v>dailoneskill0002</v>
      </c>
      <c r="L59" s="5" t="str">
        <f t="shared" si="4"/>
        <v>lootName57,DAIL/items/materia/class0002/Demolitionist57.dbr,</v>
      </c>
      <c r="M59" s="5" t="str">
        <f t="shared" si="5"/>
        <v>lootWeight57,1,</v>
      </c>
      <c r="N59" t="str">
        <f t="shared" si="6"/>
        <v>3</v>
      </c>
      <c r="O59" t="str">
        <f t="shared" si="16"/>
        <v>copy .\dail_base3.dbr .\items\materia\class0002\Demolitionist57.dbr /y</v>
      </c>
      <c r="P59" t="str">
        <f t="shared" ref="P59:U101" si="24">IF($I59&lt;&gt;"","echo "&amp;A59&amp;" &gt;&gt; .\items\materia\"&amp;$J59&amp;"\"&amp;$H59&amp;$G59&amp;".dbr","")</f>
        <v>echo relicBitmap,items/craftingparts/components/component_a52_bristlyfur_b.tex, &gt;&gt; .\items\materia\class0002\Demolitionist57.dbr</v>
      </c>
      <c r="Q59" t="str">
        <f t="shared" si="24"/>
        <v>echo itemCost,500000, &gt;&gt; .\items\materia\class0002\Demolitionist57.dbr</v>
      </c>
      <c r="R59" t="str">
        <f t="shared" si="24"/>
        <v>echo description,dailCompDescDemolitionist57, &gt;&gt; .\items\materia\class0002\Demolitionist57.dbr</v>
      </c>
      <c r="S59" t="str">
        <f t="shared" si="24"/>
        <v>echo itemText,dailCompTextDemolitionist57, &gt;&gt; .\items\materia\class0002\Demolitionist57.dbr</v>
      </c>
      <c r="T59" t="str">
        <f t="shared" si="24"/>
        <v>echo augmentSkillLevel1,3, &gt;&gt; .\items\materia\class0002\Demolitionist57.dbr</v>
      </c>
      <c r="U59" t="str">
        <f t="shared" si="24"/>
        <v>echo augmentSkillName1,records/skills/playerclass02/vindictiveflame1.dbr, &gt;&gt; .\items\materia\class0002\Demolitionist57.dbr</v>
      </c>
      <c r="V59" s="5" t="s">
        <v>36</v>
      </c>
      <c r="W59" t="str">
        <f t="shared" si="8"/>
        <v>echo lootName57,DAIL/items/materia/class0002/Demolitionist57.dbr, &gt;&gt; .\items\loottables\dailoneskill0002.dbr</v>
      </c>
      <c r="X59" t="str">
        <f t="shared" si="8"/>
        <v>echo lootWeight57,1, &gt;&gt; .\items\loottables\dailoneskill0002.dbr</v>
      </c>
      <c r="Y59" s="5" t="s">
        <v>36</v>
      </c>
      <c r="Z59" t="str">
        <f t="shared" si="9"/>
        <v xml:space="preserve"> dailCompDescDemolitionist57=^pDemolitionist's Gift of DAIL</v>
      </c>
      <c r="AA59" t="str">
        <f t="shared" si="17"/>
        <v>dailCompTextDemolitionist57=^oThis feels warm to the touch, almost familiar ^w(This component only fits into the Medal Slot)</v>
      </c>
      <c r="AB59" s="5" t="s">
        <v>36</v>
      </c>
      <c r="AH59">
        <f t="shared" si="19"/>
        <v>54</v>
      </c>
      <c r="AI59">
        <f t="shared" si="22"/>
        <v>35</v>
      </c>
      <c r="AJ59">
        <f t="shared" si="18"/>
        <v>3</v>
      </c>
    </row>
    <row r="60" spans="1:36" x14ac:dyDescent="0.25">
      <c r="A60" s="5" t="s">
        <v>39</v>
      </c>
      <c r="B60" s="5" t="s">
        <v>30</v>
      </c>
      <c r="C60" s="5" t="str">
        <f t="shared" si="0"/>
        <v>description,dailCompDescDemolitionist58,</v>
      </c>
      <c r="D60" s="5" t="str">
        <f t="shared" si="2"/>
        <v>itemText,dailCompTextDemolitionist58,</v>
      </c>
      <c r="E60" s="5" t="str">
        <f t="shared" si="14"/>
        <v>augmentSkillLevel1,3,</v>
      </c>
      <c r="F60" s="5" t="str">
        <f t="shared" si="15"/>
        <v>augmentSkillName1,records/skills/playerclass02/blastshield2.dbr,</v>
      </c>
      <c r="G60" s="7">
        <f t="shared" si="10"/>
        <v>58</v>
      </c>
      <c r="H60" s="8" t="str">
        <f t="shared" si="11"/>
        <v>Demolitionist</v>
      </c>
      <c r="I60" s="3" t="s">
        <v>279</v>
      </c>
      <c r="J60" s="8" t="str">
        <f t="shared" si="23"/>
        <v>class0002</v>
      </c>
      <c r="K60" s="8" t="str">
        <f t="shared" si="23"/>
        <v>dailoneskill0002</v>
      </c>
      <c r="L60" s="5" t="str">
        <f t="shared" si="4"/>
        <v>lootName58,DAIL/items/materia/class0002/Demolitionist58.dbr,</v>
      </c>
      <c r="M60" s="5" t="str">
        <f t="shared" si="5"/>
        <v>lootWeight58,1,</v>
      </c>
      <c r="N60" t="str">
        <f t="shared" si="6"/>
        <v>3</v>
      </c>
      <c r="O60" t="str">
        <f t="shared" si="16"/>
        <v>copy .\dail_base3.dbr .\items\materia\class0002\Demolitionist58.dbr /y</v>
      </c>
      <c r="P60" t="str">
        <f t="shared" si="24"/>
        <v>echo relicBitmap,items/craftingparts/components/component_a52_bristlyfur_b.tex, &gt;&gt; .\items\materia\class0002\Demolitionist58.dbr</v>
      </c>
      <c r="Q60" t="str">
        <f t="shared" si="24"/>
        <v>echo itemCost,500000, &gt;&gt; .\items\materia\class0002\Demolitionist58.dbr</v>
      </c>
      <c r="R60" t="str">
        <f t="shared" si="24"/>
        <v>echo description,dailCompDescDemolitionist58, &gt;&gt; .\items\materia\class0002\Demolitionist58.dbr</v>
      </c>
      <c r="S60" t="str">
        <f t="shared" si="24"/>
        <v>echo itemText,dailCompTextDemolitionist58, &gt;&gt; .\items\materia\class0002\Demolitionist58.dbr</v>
      </c>
      <c r="T60" t="str">
        <f t="shared" si="24"/>
        <v>echo augmentSkillLevel1,3, &gt;&gt; .\items\materia\class0002\Demolitionist58.dbr</v>
      </c>
      <c r="U60" t="str">
        <f t="shared" si="24"/>
        <v>echo augmentSkillName1,records/skills/playerclass02/blastshield2.dbr, &gt;&gt; .\items\materia\class0002\Demolitionist58.dbr</v>
      </c>
      <c r="V60" s="5" t="s">
        <v>36</v>
      </c>
      <c r="W60" t="str">
        <f t="shared" si="8"/>
        <v>echo lootName58,DAIL/items/materia/class0002/Demolitionist58.dbr, &gt;&gt; .\items\loottables\dailoneskill0002.dbr</v>
      </c>
      <c r="X60" t="str">
        <f t="shared" si="8"/>
        <v>echo lootWeight58,1, &gt;&gt; .\items\loottables\dailoneskill0002.dbr</v>
      </c>
      <c r="Y60" s="5" t="s">
        <v>36</v>
      </c>
      <c r="Z60" t="str">
        <f t="shared" si="9"/>
        <v xml:space="preserve"> dailCompDescDemolitionist58=^pDemolitionist's Gift of DAIL</v>
      </c>
      <c r="AA60" t="str">
        <f t="shared" si="17"/>
        <v>dailCompTextDemolitionist58=^oThis feels warm to the touch, almost familiar ^w(This component only fits into the Medal Slot)</v>
      </c>
      <c r="AB60" s="5" t="s">
        <v>36</v>
      </c>
      <c r="AH60">
        <f t="shared" si="19"/>
        <v>55</v>
      </c>
      <c r="AI60">
        <f t="shared" si="22"/>
        <v>31</v>
      </c>
      <c r="AJ60">
        <f t="shared" si="18"/>
        <v>3</v>
      </c>
    </row>
    <row r="61" spans="1:36" x14ac:dyDescent="0.25">
      <c r="A61" s="5" t="s">
        <v>39</v>
      </c>
      <c r="B61" s="5" t="s">
        <v>30</v>
      </c>
      <c r="C61" s="5" t="str">
        <f t="shared" si="0"/>
        <v>description,dailCompDescDemolitionist59,</v>
      </c>
      <c r="D61" s="5" t="str">
        <f t="shared" si="2"/>
        <v>itemText,dailCompTextDemolitionist59,</v>
      </c>
      <c r="E61" s="5" t="str">
        <f t="shared" si="14"/>
        <v>augmentSkillLevel1,3,</v>
      </c>
      <c r="F61" s="5" t="str">
        <f t="shared" si="15"/>
        <v>augmentSkillName1,records/skills/playerclass02/vindictiveflame2.dbr,</v>
      </c>
      <c r="G61" s="7">
        <f t="shared" si="10"/>
        <v>59</v>
      </c>
      <c r="H61" s="8" t="str">
        <f t="shared" si="11"/>
        <v>Demolitionist</v>
      </c>
      <c r="I61" s="3" t="s">
        <v>280</v>
      </c>
      <c r="J61" s="8" t="str">
        <f t="shared" si="23"/>
        <v>class0002</v>
      </c>
      <c r="K61" s="8" t="str">
        <f t="shared" si="23"/>
        <v>dailoneskill0002</v>
      </c>
      <c r="L61" s="5" t="str">
        <f t="shared" si="4"/>
        <v>lootName59,DAIL/items/materia/class0002/Demolitionist59.dbr,</v>
      </c>
      <c r="M61" s="5" t="str">
        <f t="shared" si="5"/>
        <v>lootWeight59,1,</v>
      </c>
      <c r="N61" t="str">
        <f t="shared" si="6"/>
        <v>3</v>
      </c>
      <c r="O61" t="str">
        <f t="shared" si="16"/>
        <v>copy .\dail_base3.dbr .\items\materia\class0002\Demolitionist59.dbr /y</v>
      </c>
      <c r="P61" t="str">
        <f t="shared" si="24"/>
        <v>echo relicBitmap,items/craftingparts/components/component_a52_bristlyfur_b.tex, &gt;&gt; .\items\materia\class0002\Demolitionist59.dbr</v>
      </c>
      <c r="Q61" t="str">
        <f t="shared" si="24"/>
        <v>echo itemCost,500000, &gt;&gt; .\items\materia\class0002\Demolitionist59.dbr</v>
      </c>
      <c r="R61" t="str">
        <f t="shared" si="24"/>
        <v>echo description,dailCompDescDemolitionist59, &gt;&gt; .\items\materia\class0002\Demolitionist59.dbr</v>
      </c>
      <c r="S61" t="str">
        <f t="shared" si="24"/>
        <v>echo itemText,dailCompTextDemolitionist59, &gt;&gt; .\items\materia\class0002\Demolitionist59.dbr</v>
      </c>
      <c r="T61" t="str">
        <f t="shared" si="24"/>
        <v>echo augmentSkillLevel1,3, &gt;&gt; .\items\materia\class0002\Demolitionist59.dbr</v>
      </c>
      <c r="U61" t="str">
        <f t="shared" si="24"/>
        <v>echo augmentSkillName1,records/skills/playerclass02/vindictiveflame2.dbr, &gt;&gt; .\items\materia\class0002\Demolitionist59.dbr</v>
      </c>
      <c r="V61" s="5" t="s">
        <v>36</v>
      </c>
      <c r="W61" t="str">
        <f t="shared" si="8"/>
        <v>echo lootName59,DAIL/items/materia/class0002/Demolitionist59.dbr, &gt;&gt; .\items\loottables\dailoneskill0002.dbr</v>
      </c>
      <c r="X61" t="str">
        <f t="shared" si="8"/>
        <v>echo lootWeight59,1, &gt;&gt; .\items\loottables\dailoneskill0002.dbr</v>
      </c>
      <c r="Y61" s="5" t="s">
        <v>36</v>
      </c>
      <c r="Z61" t="str">
        <f t="shared" si="9"/>
        <v xml:space="preserve"> dailCompDescDemolitionist59=^pDemolitionist's Gift of DAIL</v>
      </c>
      <c r="AA61" t="str">
        <f t="shared" si="17"/>
        <v>dailCompTextDemolitionist59=^oThis feels warm to the touch, almost familiar ^w(This component only fits into the Medal Slot)</v>
      </c>
      <c r="AB61" s="5" t="s">
        <v>36</v>
      </c>
      <c r="AH61">
        <f t="shared" si="19"/>
        <v>56</v>
      </c>
      <c r="AI61">
        <f t="shared" si="22"/>
        <v>35</v>
      </c>
      <c r="AJ61">
        <f t="shared" si="18"/>
        <v>3</v>
      </c>
    </row>
    <row r="62" spans="1:36" x14ac:dyDescent="0.25">
      <c r="A62" s="5" t="s">
        <v>39</v>
      </c>
      <c r="B62" s="5" t="s">
        <v>30</v>
      </c>
      <c r="C62" s="5" t="str">
        <f t="shared" si="0"/>
        <v>description,dailCompDescDemolitionist60,</v>
      </c>
      <c r="D62" s="5" t="str">
        <f t="shared" si="2"/>
        <v>itemText,dailCompTextDemolitionist60,</v>
      </c>
      <c r="E62" s="5" t="str">
        <f t="shared" si="14"/>
        <v>augmentSkillLevel1,3,</v>
      </c>
      <c r="F62" s="5" t="str">
        <f t="shared" si="15"/>
        <v>augmentSkillName1,records/skills/playerclass02/thermitemines1.dbr,</v>
      </c>
      <c r="G62" s="7">
        <f t="shared" si="10"/>
        <v>60</v>
      </c>
      <c r="H62" s="8" t="str">
        <f t="shared" si="11"/>
        <v>Demolitionist</v>
      </c>
      <c r="I62" s="3" t="s">
        <v>59</v>
      </c>
      <c r="J62" s="8" t="str">
        <f t="shared" si="23"/>
        <v>class0002</v>
      </c>
      <c r="K62" s="8" t="str">
        <f t="shared" si="23"/>
        <v>dailoneskill0002</v>
      </c>
      <c r="L62" s="5" t="str">
        <f t="shared" si="4"/>
        <v>lootName60,DAIL/items/materia/class0002/Demolitionist60.dbr,</v>
      </c>
      <c r="M62" s="5" t="str">
        <f t="shared" si="5"/>
        <v>lootWeight60,1,</v>
      </c>
      <c r="N62" t="str">
        <f t="shared" si="6"/>
        <v>3</v>
      </c>
      <c r="O62" t="str">
        <f t="shared" si="16"/>
        <v>copy .\dail_base3.dbr .\items\materia\class0002\Demolitionist60.dbr /y</v>
      </c>
      <c r="P62" t="str">
        <f t="shared" si="24"/>
        <v>echo relicBitmap,items/craftingparts/components/component_a52_bristlyfur_b.tex, &gt;&gt; .\items\materia\class0002\Demolitionist60.dbr</v>
      </c>
      <c r="Q62" t="str">
        <f t="shared" si="24"/>
        <v>echo itemCost,500000, &gt;&gt; .\items\materia\class0002\Demolitionist60.dbr</v>
      </c>
      <c r="R62" t="str">
        <f t="shared" si="24"/>
        <v>echo description,dailCompDescDemolitionist60, &gt;&gt; .\items\materia\class0002\Demolitionist60.dbr</v>
      </c>
      <c r="S62" t="str">
        <f t="shared" si="24"/>
        <v>echo itemText,dailCompTextDemolitionist60, &gt;&gt; .\items\materia\class0002\Demolitionist60.dbr</v>
      </c>
      <c r="T62" t="str">
        <f t="shared" si="24"/>
        <v>echo augmentSkillLevel1,3, &gt;&gt; .\items\materia\class0002\Demolitionist60.dbr</v>
      </c>
      <c r="U62" t="str">
        <f t="shared" si="24"/>
        <v>echo augmentSkillName1,records/skills/playerclass02/thermitemines1.dbr, &gt;&gt; .\items\materia\class0002\Demolitionist60.dbr</v>
      </c>
      <c r="V62" s="5" t="s">
        <v>36</v>
      </c>
      <c r="W62" t="str">
        <f t="shared" si="8"/>
        <v>echo lootName60,DAIL/items/materia/class0002/Demolitionist60.dbr, &gt;&gt; .\items\loottables\dailoneskill0002.dbr</v>
      </c>
      <c r="X62" t="str">
        <f t="shared" si="8"/>
        <v>echo lootWeight60,1, &gt;&gt; .\items\loottables\dailoneskill0002.dbr</v>
      </c>
      <c r="Y62" s="5" t="s">
        <v>36</v>
      </c>
      <c r="Z62" t="str">
        <f t="shared" si="9"/>
        <v xml:space="preserve"> dailCompDescDemolitionist60=^pDemolitionist's Gift of DAIL</v>
      </c>
      <c r="AA62" t="str">
        <f t="shared" si="17"/>
        <v>dailCompTextDemolitionist60=^oThis feels warm to the touch, almost familiar ^w(This component only fits into the Medal Slot)</v>
      </c>
      <c r="AB62" s="5" t="s">
        <v>36</v>
      </c>
      <c r="AH62">
        <f t="shared" si="19"/>
        <v>57</v>
      </c>
      <c r="AI62">
        <f t="shared" si="22"/>
        <v>33</v>
      </c>
      <c r="AJ62">
        <f t="shared" si="18"/>
        <v>3</v>
      </c>
    </row>
    <row r="63" spans="1:36" x14ac:dyDescent="0.25">
      <c r="A63" s="5" t="s">
        <v>39</v>
      </c>
      <c r="B63" s="5" t="s">
        <v>30</v>
      </c>
      <c r="C63" s="5" t="str">
        <f t="shared" si="0"/>
        <v>description,dailCompDescDemolitionist61,</v>
      </c>
      <c r="D63" s="5" t="str">
        <f t="shared" si="2"/>
        <v>itemText,dailCompTextDemolitionist61,</v>
      </c>
      <c r="E63" s="5" t="str">
        <f t="shared" si="14"/>
        <v>augmentSkillLevel1,3,</v>
      </c>
      <c r="F63" s="5" t="str">
        <f t="shared" si="15"/>
        <v>augmentSkillName1,records/skills/playerclass02/thermitemines2_petmod.dbr,</v>
      </c>
      <c r="G63" s="7">
        <f t="shared" si="10"/>
        <v>61</v>
      </c>
      <c r="H63" s="8" t="str">
        <f t="shared" si="11"/>
        <v>Demolitionist</v>
      </c>
      <c r="I63" s="3" t="s">
        <v>281</v>
      </c>
      <c r="J63" s="8" t="str">
        <f t="shared" si="23"/>
        <v>class0002</v>
      </c>
      <c r="K63" s="8" t="str">
        <f t="shared" si="23"/>
        <v>dailoneskill0002</v>
      </c>
      <c r="L63" s="5" t="str">
        <f t="shared" si="4"/>
        <v>lootName61,DAIL/items/materia/class0002/Demolitionist61.dbr,</v>
      </c>
      <c r="M63" s="5" t="str">
        <f t="shared" si="5"/>
        <v>lootWeight61,1,</v>
      </c>
      <c r="N63" t="str">
        <f t="shared" si="6"/>
        <v>3</v>
      </c>
      <c r="O63" t="str">
        <f t="shared" si="16"/>
        <v>copy .\dail_base3.dbr .\items\materia\class0002\Demolitionist61.dbr /y</v>
      </c>
      <c r="P63" t="str">
        <f t="shared" si="24"/>
        <v>echo relicBitmap,items/craftingparts/components/component_a52_bristlyfur_b.tex, &gt;&gt; .\items\materia\class0002\Demolitionist61.dbr</v>
      </c>
      <c r="Q63" t="str">
        <f t="shared" si="24"/>
        <v>echo itemCost,500000, &gt;&gt; .\items\materia\class0002\Demolitionist61.dbr</v>
      </c>
      <c r="R63" t="str">
        <f t="shared" si="24"/>
        <v>echo description,dailCompDescDemolitionist61, &gt;&gt; .\items\materia\class0002\Demolitionist61.dbr</v>
      </c>
      <c r="S63" t="str">
        <f t="shared" si="24"/>
        <v>echo itemText,dailCompTextDemolitionist61, &gt;&gt; .\items\materia\class0002\Demolitionist61.dbr</v>
      </c>
      <c r="T63" t="str">
        <f t="shared" si="24"/>
        <v>echo augmentSkillLevel1,3, &gt;&gt; .\items\materia\class0002\Demolitionist61.dbr</v>
      </c>
      <c r="U63" t="str">
        <f t="shared" si="24"/>
        <v>echo augmentSkillName1,records/skills/playerclass02/thermitemines2_petmod.dbr, &gt;&gt; .\items\materia\class0002\Demolitionist61.dbr</v>
      </c>
      <c r="V63" s="5" t="s">
        <v>36</v>
      </c>
      <c r="W63" t="str">
        <f t="shared" si="8"/>
        <v>echo lootName61,DAIL/items/materia/class0002/Demolitionist61.dbr, &gt;&gt; .\items\loottables\dailoneskill0002.dbr</v>
      </c>
      <c r="X63" t="str">
        <f t="shared" si="8"/>
        <v>echo lootWeight61,1, &gt;&gt; .\items\loottables\dailoneskill0002.dbr</v>
      </c>
      <c r="Y63" s="5" t="s">
        <v>36</v>
      </c>
      <c r="Z63" t="str">
        <f t="shared" si="9"/>
        <v xml:space="preserve"> dailCompDescDemolitionist61=^pDemolitionist's Gift of DAIL</v>
      </c>
      <c r="AA63" t="str">
        <f t="shared" si="17"/>
        <v>dailCompTextDemolitionist61=^oThis feels warm to the touch, almost familiar ^w(This component only fits into the Medal Slot)</v>
      </c>
      <c r="AB63" s="5" t="s">
        <v>36</v>
      </c>
      <c r="AH63">
        <f t="shared" si="19"/>
        <v>58</v>
      </c>
      <c r="AI63">
        <f t="shared" si="22"/>
        <v>40</v>
      </c>
      <c r="AJ63">
        <f t="shared" si="18"/>
        <v>3</v>
      </c>
    </row>
    <row r="64" spans="1:36" x14ac:dyDescent="0.25">
      <c r="A64" s="5" t="s">
        <v>39</v>
      </c>
      <c r="B64" s="5" t="s">
        <v>30</v>
      </c>
      <c r="C64" s="5" t="str">
        <f t="shared" si="0"/>
        <v>description,dailCompDescDemolitionist62,</v>
      </c>
      <c r="D64" s="5" t="str">
        <f t="shared" si="2"/>
        <v>itemText,dailCompTextDemolitionist62,</v>
      </c>
      <c r="E64" s="5" t="str">
        <f t="shared" si="14"/>
        <v>augmentSkillLevel1,3,</v>
      </c>
      <c r="F64" s="5" t="str">
        <f t="shared" si="15"/>
        <v>augmentSkillName1,records/skills/playerclass02/flashbang1.dbr,</v>
      </c>
      <c r="G64" s="7">
        <f t="shared" si="10"/>
        <v>62</v>
      </c>
      <c r="H64" s="8" t="str">
        <f t="shared" si="11"/>
        <v>Demolitionist</v>
      </c>
      <c r="I64" s="3" t="s">
        <v>54</v>
      </c>
      <c r="J64" s="8" t="str">
        <f t="shared" si="23"/>
        <v>class0002</v>
      </c>
      <c r="K64" s="8" t="str">
        <f t="shared" si="23"/>
        <v>dailoneskill0002</v>
      </c>
      <c r="L64" s="5" t="str">
        <f t="shared" si="4"/>
        <v>lootName62,DAIL/items/materia/class0002/Demolitionist62.dbr,</v>
      </c>
      <c r="M64" s="5" t="str">
        <f t="shared" si="5"/>
        <v>lootWeight62,1,</v>
      </c>
      <c r="N64" t="str">
        <f t="shared" si="6"/>
        <v>3</v>
      </c>
      <c r="O64" t="str">
        <f t="shared" si="16"/>
        <v>copy .\dail_base3.dbr .\items\materia\class0002\Demolitionist62.dbr /y</v>
      </c>
      <c r="P64" t="str">
        <f t="shared" si="24"/>
        <v>echo relicBitmap,items/craftingparts/components/component_a52_bristlyfur_b.tex, &gt;&gt; .\items\materia\class0002\Demolitionist62.dbr</v>
      </c>
      <c r="Q64" t="str">
        <f t="shared" si="24"/>
        <v>echo itemCost,500000, &gt;&gt; .\items\materia\class0002\Demolitionist62.dbr</v>
      </c>
      <c r="R64" t="str">
        <f t="shared" si="24"/>
        <v>echo description,dailCompDescDemolitionist62, &gt;&gt; .\items\materia\class0002\Demolitionist62.dbr</v>
      </c>
      <c r="S64" t="str">
        <f t="shared" si="24"/>
        <v>echo itemText,dailCompTextDemolitionist62, &gt;&gt; .\items\materia\class0002\Demolitionist62.dbr</v>
      </c>
      <c r="T64" t="str">
        <f t="shared" si="24"/>
        <v>echo augmentSkillLevel1,3, &gt;&gt; .\items\materia\class0002\Demolitionist62.dbr</v>
      </c>
      <c r="U64" t="str">
        <f t="shared" si="24"/>
        <v>echo augmentSkillName1,records/skills/playerclass02/flashbang1.dbr, &gt;&gt; .\items\materia\class0002\Demolitionist62.dbr</v>
      </c>
      <c r="V64" s="5" t="s">
        <v>36</v>
      </c>
      <c r="W64" t="str">
        <f t="shared" si="8"/>
        <v>echo lootName62,DAIL/items/materia/class0002/Demolitionist62.dbr, &gt;&gt; .\items\loottables\dailoneskill0002.dbr</v>
      </c>
      <c r="X64" t="str">
        <f t="shared" si="8"/>
        <v>echo lootWeight62,1, &gt;&gt; .\items\loottables\dailoneskill0002.dbr</v>
      </c>
      <c r="Y64" s="5" t="s">
        <v>36</v>
      </c>
      <c r="Z64" t="str">
        <f t="shared" si="9"/>
        <v xml:space="preserve"> dailCompDescDemolitionist62=^pDemolitionist's Gift of DAIL</v>
      </c>
      <c r="AA64" t="str">
        <f t="shared" si="17"/>
        <v>dailCompTextDemolitionist62=^oThis feels warm to the touch, almost familiar ^w(This component only fits into the Medal Slot)</v>
      </c>
      <c r="AB64" s="5" t="s">
        <v>36</v>
      </c>
      <c r="AH64">
        <f t="shared" si="19"/>
        <v>59</v>
      </c>
      <c r="AI64">
        <f t="shared" si="22"/>
        <v>29</v>
      </c>
      <c r="AJ64">
        <f t="shared" si="18"/>
        <v>3</v>
      </c>
    </row>
    <row r="65" spans="1:36" x14ac:dyDescent="0.25">
      <c r="A65" s="5" t="s">
        <v>39</v>
      </c>
      <c r="B65" s="5" t="s">
        <v>30</v>
      </c>
      <c r="C65" s="5" t="str">
        <f t="shared" si="0"/>
        <v>description,dailCompDescDemolitionist63,</v>
      </c>
      <c r="D65" s="5" t="str">
        <f t="shared" si="2"/>
        <v>itemText,dailCompTextDemolitionist63,</v>
      </c>
      <c r="E65" s="5" t="str">
        <f t="shared" si="14"/>
        <v>augmentSkillLevel1,3,</v>
      </c>
      <c r="F65" s="5" t="str">
        <f t="shared" si="15"/>
        <v>augmentSkillName1,records/skills/playerclass02/flashbang2.dbr,</v>
      </c>
      <c r="G65" s="7">
        <f t="shared" si="10"/>
        <v>63</v>
      </c>
      <c r="H65" s="8" t="str">
        <f t="shared" si="11"/>
        <v>Demolitionist</v>
      </c>
      <c r="I65" s="3" t="s">
        <v>282</v>
      </c>
      <c r="J65" s="8" t="str">
        <f t="shared" si="23"/>
        <v>class0002</v>
      </c>
      <c r="K65" s="8" t="str">
        <f t="shared" si="23"/>
        <v>dailoneskill0002</v>
      </c>
      <c r="L65" s="5" t="str">
        <f t="shared" si="4"/>
        <v>lootName63,DAIL/items/materia/class0002/Demolitionist63.dbr,</v>
      </c>
      <c r="M65" s="5" t="str">
        <f t="shared" si="5"/>
        <v>lootWeight63,1,</v>
      </c>
      <c r="N65" t="str">
        <f t="shared" si="6"/>
        <v>3</v>
      </c>
      <c r="O65" t="str">
        <f t="shared" si="16"/>
        <v>copy .\dail_base3.dbr .\items\materia\class0002\Demolitionist63.dbr /y</v>
      </c>
      <c r="P65" t="str">
        <f t="shared" si="24"/>
        <v>echo relicBitmap,items/craftingparts/components/component_a52_bristlyfur_b.tex, &gt;&gt; .\items\materia\class0002\Demolitionist63.dbr</v>
      </c>
      <c r="Q65" t="str">
        <f t="shared" si="24"/>
        <v>echo itemCost,500000, &gt;&gt; .\items\materia\class0002\Demolitionist63.dbr</v>
      </c>
      <c r="R65" t="str">
        <f t="shared" si="24"/>
        <v>echo description,dailCompDescDemolitionist63, &gt;&gt; .\items\materia\class0002\Demolitionist63.dbr</v>
      </c>
      <c r="S65" t="str">
        <f t="shared" si="24"/>
        <v>echo itemText,dailCompTextDemolitionist63, &gt;&gt; .\items\materia\class0002\Demolitionist63.dbr</v>
      </c>
      <c r="T65" t="str">
        <f t="shared" si="24"/>
        <v>echo augmentSkillLevel1,3, &gt;&gt; .\items\materia\class0002\Demolitionist63.dbr</v>
      </c>
      <c r="U65" t="str">
        <f t="shared" si="24"/>
        <v>echo augmentSkillName1,records/skills/playerclass02/flashbang2.dbr, &gt;&gt; .\items\materia\class0002\Demolitionist63.dbr</v>
      </c>
      <c r="V65" s="5" t="s">
        <v>36</v>
      </c>
      <c r="W65" t="str">
        <f t="shared" si="8"/>
        <v>echo lootName63,DAIL/items/materia/class0002/Demolitionist63.dbr, &gt;&gt; .\items\loottables\dailoneskill0002.dbr</v>
      </c>
      <c r="X65" t="str">
        <f t="shared" si="8"/>
        <v>echo lootWeight63,1, &gt;&gt; .\items\loottables\dailoneskill0002.dbr</v>
      </c>
      <c r="Y65" s="5" t="s">
        <v>36</v>
      </c>
      <c r="Z65" t="str">
        <f t="shared" si="9"/>
        <v xml:space="preserve"> dailCompDescDemolitionist63=^pDemolitionist's Gift of DAIL</v>
      </c>
      <c r="AA65" t="str">
        <f t="shared" si="17"/>
        <v>dailCompTextDemolitionist63=^oThis feels warm to the touch, almost familiar ^w(This component only fits into the Medal Slot)</v>
      </c>
      <c r="AB65" s="5" t="s">
        <v>36</v>
      </c>
      <c r="AH65">
        <f t="shared" si="19"/>
        <v>60</v>
      </c>
      <c r="AI65">
        <f t="shared" si="22"/>
        <v>29</v>
      </c>
      <c r="AJ65">
        <f t="shared" si="18"/>
        <v>3</v>
      </c>
    </row>
    <row r="66" spans="1:36" x14ac:dyDescent="0.25">
      <c r="A66" s="5" t="s">
        <v>39</v>
      </c>
      <c r="B66" s="5" t="s">
        <v>30</v>
      </c>
      <c r="C66" s="5" t="str">
        <f t="shared" si="0"/>
        <v>description,dailCompDescDemolitionist64,</v>
      </c>
      <c r="D66" s="5" t="str">
        <f t="shared" si="2"/>
        <v>itemText,dailCompTextDemolitionist64,</v>
      </c>
      <c r="E66" s="5" t="str">
        <f t="shared" si="14"/>
        <v>augmentSkillLevel1,3,</v>
      </c>
      <c r="F66" s="5" t="str">
        <f t="shared" si="15"/>
        <v>augmentSkillName1,records/skills/playerclass02/flamestrike1.dbr,</v>
      </c>
      <c r="G66" s="7">
        <f t="shared" si="10"/>
        <v>64</v>
      </c>
      <c r="H66" s="8" t="str">
        <f t="shared" si="11"/>
        <v>Demolitionist</v>
      </c>
      <c r="I66" s="3" t="s">
        <v>53</v>
      </c>
      <c r="J66" s="8" t="str">
        <f t="shared" si="23"/>
        <v>class0002</v>
      </c>
      <c r="K66" s="8" t="str">
        <f t="shared" si="23"/>
        <v>dailoneskill0002</v>
      </c>
      <c r="L66" s="5" t="str">
        <f t="shared" si="4"/>
        <v>lootName64,DAIL/items/materia/class0002/Demolitionist64.dbr,</v>
      </c>
      <c r="M66" s="5" t="str">
        <f t="shared" si="5"/>
        <v>lootWeight64,1,</v>
      </c>
      <c r="N66" t="str">
        <f t="shared" si="6"/>
        <v>3</v>
      </c>
      <c r="O66" t="str">
        <f t="shared" si="16"/>
        <v>copy .\dail_base3.dbr .\items\materia\class0002\Demolitionist64.dbr /y</v>
      </c>
      <c r="P66" t="str">
        <f t="shared" si="24"/>
        <v>echo relicBitmap,items/craftingparts/components/component_a52_bristlyfur_b.tex, &gt;&gt; .\items\materia\class0002\Demolitionist64.dbr</v>
      </c>
      <c r="Q66" t="str">
        <f t="shared" si="24"/>
        <v>echo itemCost,500000, &gt;&gt; .\items\materia\class0002\Demolitionist64.dbr</v>
      </c>
      <c r="R66" t="str">
        <f t="shared" si="24"/>
        <v>echo description,dailCompDescDemolitionist64, &gt;&gt; .\items\materia\class0002\Demolitionist64.dbr</v>
      </c>
      <c r="S66" t="str">
        <f t="shared" si="24"/>
        <v>echo itemText,dailCompTextDemolitionist64, &gt;&gt; .\items\materia\class0002\Demolitionist64.dbr</v>
      </c>
      <c r="T66" t="str">
        <f t="shared" si="24"/>
        <v>echo augmentSkillLevel1,3, &gt;&gt; .\items\materia\class0002\Demolitionist64.dbr</v>
      </c>
      <c r="U66" t="str">
        <f t="shared" si="24"/>
        <v>echo augmentSkillName1,records/skills/playerclass02/flamestrike1.dbr, &gt;&gt; .\items\materia\class0002\Demolitionist64.dbr</v>
      </c>
      <c r="V66" s="5" t="s">
        <v>36</v>
      </c>
      <c r="W66" t="str">
        <f t="shared" si="8"/>
        <v>echo lootName64,DAIL/items/materia/class0002/Demolitionist64.dbr, &gt;&gt; .\items\loottables\dailoneskill0002.dbr</v>
      </c>
      <c r="X66" t="str">
        <f t="shared" si="8"/>
        <v>echo lootWeight64,1, &gt;&gt; .\items\loottables\dailoneskill0002.dbr</v>
      </c>
      <c r="Y66" s="5" t="s">
        <v>36</v>
      </c>
      <c r="Z66" t="str">
        <f t="shared" si="9"/>
        <v xml:space="preserve"> dailCompDescDemolitionist64=^pDemolitionist's Gift of DAIL</v>
      </c>
      <c r="AA66" t="str">
        <f t="shared" si="17"/>
        <v>dailCompTextDemolitionist64=^oThis feels warm to the touch, almost familiar ^w(This component only fits into the Medal Slot)</v>
      </c>
      <c r="AB66" s="5" t="s">
        <v>36</v>
      </c>
      <c r="AH66">
        <f t="shared" si="19"/>
        <v>61</v>
      </c>
      <c r="AI66">
        <f t="shared" si="22"/>
        <v>31</v>
      </c>
      <c r="AJ66">
        <f t="shared" si="18"/>
        <v>3</v>
      </c>
    </row>
    <row r="67" spans="1:36" x14ac:dyDescent="0.25">
      <c r="A67" s="5" t="s">
        <v>39</v>
      </c>
      <c r="B67" s="5" t="s">
        <v>30</v>
      </c>
      <c r="C67" s="5" t="str">
        <f t="shared" ref="C67:C102" si="25">"description,dailCompDesc"&amp;H67&amp;G67&amp;","</f>
        <v>description,dailCompDescDemolitionist65,</v>
      </c>
      <c r="D67" s="5" t="str">
        <f t="shared" si="2"/>
        <v>itemText,dailCompTextDemolitionist65,</v>
      </c>
      <c r="E67" s="5" t="str">
        <f t="shared" si="14"/>
        <v>augmentSkillLevel1,3,</v>
      </c>
      <c r="F67" s="5" t="str">
        <f t="shared" si="15"/>
        <v>augmentSkillName1,records/skills/playerclass02/flamestrike2.dbr,</v>
      </c>
      <c r="G67" s="7">
        <f t="shared" si="10"/>
        <v>65</v>
      </c>
      <c r="H67" s="8" t="str">
        <f t="shared" si="11"/>
        <v>Demolitionist</v>
      </c>
      <c r="I67" s="3" t="s">
        <v>283</v>
      </c>
      <c r="J67" s="8" t="str">
        <f t="shared" si="23"/>
        <v>class0002</v>
      </c>
      <c r="K67" s="8" t="str">
        <f t="shared" si="23"/>
        <v>dailoneskill0002</v>
      </c>
      <c r="L67" s="5" t="str">
        <f t="shared" si="4"/>
        <v>lootName65,DAIL/items/materia/class0002/Demolitionist65.dbr,</v>
      </c>
      <c r="M67" s="5" t="str">
        <f t="shared" si="5"/>
        <v>lootWeight65,1,</v>
      </c>
      <c r="N67" t="str">
        <f t="shared" si="6"/>
        <v>3</v>
      </c>
      <c r="O67" t="str">
        <f t="shared" si="16"/>
        <v>copy .\dail_base3.dbr .\items\materia\class0002\Demolitionist65.dbr /y</v>
      </c>
      <c r="P67" t="str">
        <f t="shared" si="24"/>
        <v>echo relicBitmap,items/craftingparts/components/component_a52_bristlyfur_b.tex, &gt;&gt; .\items\materia\class0002\Demolitionist65.dbr</v>
      </c>
      <c r="Q67" t="str">
        <f t="shared" si="24"/>
        <v>echo itemCost,500000, &gt;&gt; .\items\materia\class0002\Demolitionist65.dbr</v>
      </c>
      <c r="R67" t="str">
        <f t="shared" si="24"/>
        <v>echo description,dailCompDescDemolitionist65, &gt;&gt; .\items\materia\class0002\Demolitionist65.dbr</v>
      </c>
      <c r="S67" t="str">
        <f t="shared" si="24"/>
        <v>echo itemText,dailCompTextDemolitionist65, &gt;&gt; .\items\materia\class0002\Demolitionist65.dbr</v>
      </c>
      <c r="T67" t="str">
        <f t="shared" si="24"/>
        <v>echo augmentSkillLevel1,3, &gt;&gt; .\items\materia\class0002\Demolitionist65.dbr</v>
      </c>
      <c r="U67" t="str">
        <f t="shared" si="24"/>
        <v>echo augmentSkillName1,records/skills/playerclass02/flamestrike2.dbr, &gt;&gt; .\items\materia\class0002\Demolitionist65.dbr</v>
      </c>
      <c r="V67" s="5" t="s">
        <v>36</v>
      </c>
      <c r="W67" t="str">
        <f t="shared" si="8"/>
        <v>echo lootName65,DAIL/items/materia/class0002/Demolitionist65.dbr, &gt;&gt; .\items\loottables\dailoneskill0002.dbr</v>
      </c>
      <c r="X67" t="str">
        <f t="shared" si="8"/>
        <v>echo lootWeight65,1, &gt;&gt; .\items\loottables\dailoneskill0002.dbr</v>
      </c>
      <c r="Y67" s="5" t="s">
        <v>36</v>
      </c>
      <c r="Z67" t="str">
        <f t="shared" si="9"/>
        <v xml:space="preserve"> dailCompDescDemolitionist65=^pDemolitionist's Gift of DAIL</v>
      </c>
      <c r="AA67" t="str">
        <f t="shared" si="17"/>
        <v>dailCompTextDemolitionist65=^oThis feels warm to the touch, almost familiar ^w(This component only fits into the Medal Slot)</v>
      </c>
      <c r="AB67" s="5" t="s">
        <v>36</v>
      </c>
      <c r="AH67">
        <f t="shared" si="19"/>
        <v>62</v>
      </c>
      <c r="AI67">
        <f t="shared" si="22"/>
        <v>31</v>
      </c>
      <c r="AJ67">
        <f t="shared" si="18"/>
        <v>3</v>
      </c>
    </row>
    <row r="68" spans="1:36" x14ac:dyDescent="0.25">
      <c r="A68" s="5" t="s">
        <v>39</v>
      </c>
      <c r="B68" s="5" t="s">
        <v>30</v>
      </c>
      <c r="C68" s="5" t="str">
        <f t="shared" si="25"/>
        <v>description,dailCompDescDemolitionist66,</v>
      </c>
      <c r="D68" s="5" t="str">
        <f t="shared" ref="D68:D102" si="26">"itemText,dailCompText"&amp;H68&amp;G68&amp;","</f>
        <v>itemText,dailCompTextDemolitionist66,</v>
      </c>
      <c r="E68" s="5" t="str">
        <f t="shared" si="14"/>
        <v>augmentSkillLevel1,3,</v>
      </c>
      <c r="F68" s="5" t="str">
        <f t="shared" si="15"/>
        <v>augmentSkillName1,records/skills/playerclass02/flamestrike2b.dbr,</v>
      </c>
      <c r="G68" s="7">
        <f t="shared" si="10"/>
        <v>66</v>
      </c>
      <c r="H68" s="8" t="str">
        <f t="shared" si="11"/>
        <v>Demolitionist</v>
      </c>
      <c r="I68" s="3" t="s">
        <v>284</v>
      </c>
      <c r="J68" s="8" t="str">
        <f t="shared" si="23"/>
        <v>class0002</v>
      </c>
      <c r="K68" s="8" t="str">
        <f t="shared" si="23"/>
        <v>dailoneskill0002</v>
      </c>
      <c r="L68" s="5" t="str">
        <f t="shared" ref="L68:L102" si="27">"lootName"&amp;G68&amp;",DAIL/items/materia/"&amp;J68&amp;"/"&amp;H68&amp;G68&amp;".dbr"&amp;","</f>
        <v>lootName66,DAIL/items/materia/class0002/Demolitionist66.dbr,</v>
      </c>
      <c r="M68" s="5" t="str">
        <f t="shared" ref="M68:M102" si="28">"lootWeight"&amp;G68&amp;",1,"</f>
        <v>lootWeight66,1,</v>
      </c>
      <c r="N68" t="str">
        <f t="shared" ref="N68:N102" si="29">LEFT(RIGHT(E68,2),1)</f>
        <v>3</v>
      </c>
      <c r="O68" t="str">
        <f t="shared" si="16"/>
        <v>copy .\dail_base3.dbr .\items\materia\class0002\Demolitionist66.dbr /y</v>
      </c>
      <c r="P68" t="str">
        <f t="shared" si="24"/>
        <v>echo relicBitmap,items/craftingparts/components/component_a52_bristlyfur_b.tex, &gt;&gt; .\items\materia\class0002\Demolitionist66.dbr</v>
      </c>
      <c r="Q68" t="str">
        <f t="shared" si="24"/>
        <v>echo itemCost,500000, &gt;&gt; .\items\materia\class0002\Demolitionist66.dbr</v>
      </c>
      <c r="R68" t="str">
        <f t="shared" si="24"/>
        <v>echo description,dailCompDescDemolitionist66, &gt;&gt; .\items\materia\class0002\Demolitionist66.dbr</v>
      </c>
      <c r="S68" t="str">
        <f t="shared" si="24"/>
        <v>echo itemText,dailCompTextDemolitionist66, &gt;&gt; .\items\materia\class0002\Demolitionist66.dbr</v>
      </c>
      <c r="T68" t="str">
        <f t="shared" si="24"/>
        <v>echo augmentSkillLevel1,3, &gt;&gt; .\items\materia\class0002\Demolitionist66.dbr</v>
      </c>
      <c r="U68" t="str">
        <f t="shared" si="24"/>
        <v>echo augmentSkillName1,records/skills/playerclass02/flamestrike2b.dbr, &gt;&gt; .\items\materia\class0002\Demolitionist66.dbr</v>
      </c>
      <c r="V68" s="5" t="s">
        <v>36</v>
      </c>
      <c r="W68" t="str">
        <f t="shared" ref="W68:X102" si="30">IF($I68&lt;&gt;"","echo "&amp;L68&amp;" &gt;&gt; .\items\loottables\"&amp;$K68&amp;".dbr","")</f>
        <v>echo lootName66,DAIL/items/materia/class0002/Demolitionist66.dbr, &gt;&gt; .\items\loottables\dailoneskill0002.dbr</v>
      </c>
      <c r="X68" t="str">
        <f t="shared" si="30"/>
        <v>echo lootWeight66,1, &gt;&gt; .\items\loottables\dailoneskill0002.dbr</v>
      </c>
      <c r="Y68" s="5" t="s">
        <v>36</v>
      </c>
      <c r="Z68" t="str">
        <f t="shared" ref="Z68:Z102" si="31">IF(I67&lt;&gt;""," dailCompDesc"&amp;H68&amp;G68&amp;"=^p"&amp;H68&amp;"'s Gift of DAIL","")</f>
        <v xml:space="preserve"> dailCompDescDemolitionist66=^pDemolitionist's Gift of DAIL</v>
      </c>
      <c r="AA68" t="str">
        <f t="shared" si="17"/>
        <v>dailCompTextDemolitionist66=^oThis feels warm to the touch, almost familiar ^w(This component only fits into the Medal Slot)</v>
      </c>
      <c r="AB68" s="5" t="s">
        <v>36</v>
      </c>
      <c r="AH68">
        <f t="shared" si="19"/>
        <v>63</v>
      </c>
      <c r="AI68">
        <f t="shared" si="22"/>
        <v>32</v>
      </c>
      <c r="AJ68">
        <f t="shared" si="18"/>
        <v>3</v>
      </c>
    </row>
    <row r="69" spans="1:36" x14ac:dyDescent="0.25">
      <c r="A69" s="5" t="s">
        <v>39</v>
      </c>
      <c r="B69" s="5" t="s">
        <v>30</v>
      </c>
      <c r="C69" s="5" t="str">
        <f t="shared" si="25"/>
        <v>description,dailCompDescDemolitionist67,</v>
      </c>
      <c r="D69" s="5" t="str">
        <f t="shared" si="26"/>
        <v>itemText,dailCompTextDemolitionist67,</v>
      </c>
      <c r="E69" s="5" t="str">
        <f t="shared" si="14"/>
        <v>augmentSkillLevel1,3,</v>
      </c>
      <c r="F69" s="5" t="str">
        <f t="shared" si="15"/>
        <v>augmentSkillName1,records/skills/playerclass02/flamestrike3.dbr,</v>
      </c>
      <c r="G69" s="7">
        <f t="shared" ref="G69:G102" si="32">IF(I69&lt;&gt;"",G68+1,"")</f>
        <v>67</v>
      </c>
      <c r="H69" s="8" t="str">
        <f t="shared" ref="H69:H102" si="33">H68</f>
        <v>Demolitionist</v>
      </c>
      <c r="I69" s="3" t="s">
        <v>285</v>
      </c>
      <c r="J69" s="8" t="str">
        <f t="shared" ref="J69:K84" si="34">J68</f>
        <v>class0002</v>
      </c>
      <c r="K69" s="8" t="str">
        <f t="shared" si="34"/>
        <v>dailoneskill0002</v>
      </c>
      <c r="L69" s="5" t="str">
        <f t="shared" si="27"/>
        <v>lootName67,DAIL/items/materia/class0002/Demolitionist67.dbr,</v>
      </c>
      <c r="M69" s="5" t="str">
        <f t="shared" si="28"/>
        <v>lootWeight67,1,</v>
      </c>
      <c r="N69" t="str">
        <f t="shared" si="29"/>
        <v>3</v>
      </c>
      <c r="O69" t="str">
        <f t="shared" si="16"/>
        <v>copy .\dail_base3.dbr .\items\materia\class0002\Demolitionist67.dbr /y</v>
      </c>
      <c r="P69" t="str">
        <f t="shared" si="24"/>
        <v>echo relicBitmap,items/craftingparts/components/component_a52_bristlyfur_b.tex, &gt;&gt; .\items\materia\class0002\Demolitionist67.dbr</v>
      </c>
      <c r="Q69" t="str">
        <f t="shared" si="24"/>
        <v>echo itemCost,500000, &gt;&gt; .\items\materia\class0002\Demolitionist67.dbr</v>
      </c>
      <c r="R69" t="str">
        <f t="shared" si="24"/>
        <v>echo description,dailCompDescDemolitionist67, &gt;&gt; .\items\materia\class0002\Demolitionist67.dbr</v>
      </c>
      <c r="S69" t="str">
        <f t="shared" si="24"/>
        <v>echo itemText,dailCompTextDemolitionist67, &gt;&gt; .\items\materia\class0002\Demolitionist67.dbr</v>
      </c>
      <c r="T69" t="str">
        <f t="shared" si="24"/>
        <v>echo augmentSkillLevel1,3, &gt;&gt; .\items\materia\class0002\Demolitionist67.dbr</v>
      </c>
      <c r="U69" t="str">
        <f t="shared" si="24"/>
        <v>echo augmentSkillName1,records/skills/playerclass02/flamestrike3.dbr, &gt;&gt; .\items\materia\class0002\Demolitionist67.dbr</v>
      </c>
      <c r="V69" s="5" t="s">
        <v>36</v>
      </c>
      <c r="W69" t="str">
        <f t="shared" si="30"/>
        <v>echo lootName67,DAIL/items/materia/class0002/Demolitionist67.dbr, &gt;&gt; .\items\loottables\dailoneskill0002.dbr</v>
      </c>
      <c r="X69" t="str">
        <f t="shared" si="30"/>
        <v>echo lootWeight67,1, &gt;&gt; .\items\loottables\dailoneskill0002.dbr</v>
      </c>
      <c r="Y69" s="5" t="s">
        <v>36</v>
      </c>
      <c r="Z69" t="str">
        <f t="shared" si="31"/>
        <v xml:space="preserve"> dailCompDescDemolitionist67=^pDemolitionist's Gift of DAIL</v>
      </c>
      <c r="AA69" t="str">
        <f t="shared" si="17"/>
        <v>dailCompTextDemolitionist67=^oThis feels warm to the touch, almost familiar ^w(This component only fits into the Medal Slot)</v>
      </c>
      <c r="AB69" s="5" t="s">
        <v>36</v>
      </c>
      <c r="AH69">
        <f t="shared" si="19"/>
        <v>64</v>
      </c>
      <c r="AI69">
        <f t="shared" si="22"/>
        <v>31</v>
      </c>
      <c r="AJ69">
        <f t="shared" si="18"/>
        <v>3</v>
      </c>
    </row>
    <row r="70" spans="1:36" x14ac:dyDescent="0.25">
      <c r="A70" s="5" t="s">
        <v>39</v>
      </c>
      <c r="B70" s="5" t="s">
        <v>30</v>
      </c>
      <c r="C70" s="5" t="str">
        <f t="shared" si="25"/>
        <v>description,dailCompDescDemolitionist68,</v>
      </c>
      <c r="D70" s="5" t="str">
        <f t="shared" si="26"/>
        <v>itemText,dailCompTextDemolitionist68,</v>
      </c>
      <c r="E70" s="5" t="str">
        <f t="shared" si="14"/>
        <v>augmentSkillLevel1,5,</v>
      </c>
      <c r="F70" s="5" t="str">
        <f t="shared" si="15"/>
        <v>augmentSkillName1,records/skills/playerclass02/stunjacks1b.dbr,</v>
      </c>
      <c r="G70" s="7">
        <f t="shared" si="32"/>
        <v>68</v>
      </c>
      <c r="H70" s="8" t="str">
        <f t="shared" si="33"/>
        <v>Demolitionist</v>
      </c>
      <c r="I70" s="3" t="s">
        <v>267</v>
      </c>
      <c r="J70" s="8" t="str">
        <f t="shared" si="34"/>
        <v>class0002</v>
      </c>
      <c r="K70" s="8" t="str">
        <f t="shared" si="34"/>
        <v>dailoneskill0002</v>
      </c>
      <c r="L70" s="5" t="str">
        <f t="shared" si="27"/>
        <v>lootName68,DAIL/items/materia/class0002/Demolitionist68.dbr,</v>
      </c>
      <c r="M70" s="5" t="str">
        <f t="shared" si="28"/>
        <v>lootWeight68,1,</v>
      </c>
      <c r="N70" t="str">
        <f t="shared" si="29"/>
        <v>5</v>
      </c>
      <c r="O70" t="str">
        <f t="shared" si="16"/>
        <v>copy .\dail_base3.dbr .\items\materia\class0002\Demolitionist68.dbr /y</v>
      </c>
      <c r="P70" t="str">
        <f t="shared" si="24"/>
        <v>echo relicBitmap,items/craftingparts/components/component_a52_bristlyfur_b.tex, &gt;&gt; .\items\materia\class0002\Demolitionist68.dbr</v>
      </c>
      <c r="Q70" t="str">
        <f t="shared" si="24"/>
        <v>echo itemCost,500000, &gt;&gt; .\items\materia\class0002\Demolitionist68.dbr</v>
      </c>
      <c r="R70" t="str">
        <f t="shared" si="24"/>
        <v>echo description,dailCompDescDemolitionist68, &gt;&gt; .\items\materia\class0002\Demolitionist68.dbr</v>
      </c>
      <c r="S70" t="str">
        <f t="shared" si="24"/>
        <v>echo itemText,dailCompTextDemolitionist68, &gt;&gt; .\items\materia\class0002\Demolitionist68.dbr</v>
      </c>
      <c r="T70" t="str">
        <f t="shared" si="24"/>
        <v>echo augmentSkillLevel1,5, &gt;&gt; .\items\materia\class0002\Demolitionist68.dbr</v>
      </c>
      <c r="U70" t="str">
        <f t="shared" si="24"/>
        <v>echo augmentSkillName1,records/skills/playerclass02/stunjacks1b.dbr, &gt;&gt; .\items\materia\class0002\Demolitionist68.dbr</v>
      </c>
      <c r="V70" s="5" t="s">
        <v>36</v>
      </c>
      <c r="W70" t="str">
        <f t="shared" si="30"/>
        <v>echo lootName68,DAIL/items/materia/class0002/Demolitionist68.dbr, &gt;&gt; .\items\loottables\dailoneskill0002.dbr</v>
      </c>
      <c r="X70" t="str">
        <f t="shared" si="30"/>
        <v>echo lootWeight68,1, &gt;&gt; .\items\loottables\dailoneskill0002.dbr</v>
      </c>
      <c r="Y70" s="5" t="s">
        <v>36</v>
      </c>
      <c r="Z70" t="str">
        <f t="shared" si="31"/>
        <v xml:space="preserve"> dailCompDescDemolitionist68=^pDemolitionist's Gift of DAIL</v>
      </c>
      <c r="AA70" t="str">
        <f t="shared" si="17"/>
        <v>dailCompTextDemolitionist68=^oThis feels warm to the touch, almost familiar ^w(This component only fits into the Medal Slot)</v>
      </c>
      <c r="AB70" s="5" t="s">
        <v>36</v>
      </c>
      <c r="AH70">
        <f t="shared" si="19"/>
        <v>65</v>
      </c>
      <c r="AI70">
        <f t="shared" ref="AI70:AI102" si="35">LEN(I70)</f>
        <v>30</v>
      </c>
      <c r="AJ70">
        <f t="shared" si="18"/>
        <v>5</v>
      </c>
    </row>
    <row r="71" spans="1:36" x14ac:dyDescent="0.25">
      <c r="A71" s="5" t="s">
        <v>39</v>
      </c>
      <c r="B71" s="5" t="s">
        <v>30</v>
      </c>
      <c r="C71" s="5" t="str">
        <f t="shared" si="25"/>
        <v>description,dailCompDescDemolitionist69,</v>
      </c>
      <c r="D71" s="5" t="str">
        <f t="shared" si="26"/>
        <v>itemText,dailCompTextDemolitionist69,</v>
      </c>
      <c r="E71" s="5" t="str">
        <f t="shared" ref="E71:E102" si="36">"augmentSkillLevel1,"&amp;AJ71&amp;","</f>
        <v>augmentSkillLevel1,5,</v>
      </c>
      <c r="F71" s="5" t="str">
        <f t="shared" ref="F71:F102" si="37">"augmentSkillName1,records/skills"&amp;I71&amp;","</f>
        <v>augmentSkillName1,records/skills/playerclass02/stunjacks2.dbr,</v>
      </c>
      <c r="G71" s="7">
        <f t="shared" si="32"/>
        <v>69</v>
      </c>
      <c r="H71" s="8" t="str">
        <f t="shared" si="33"/>
        <v>Demolitionist</v>
      </c>
      <c r="I71" s="3" t="s">
        <v>268</v>
      </c>
      <c r="J71" s="8" t="str">
        <f t="shared" si="34"/>
        <v>class0002</v>
      </c>
      <c r="K71" s="8" t="str">
        <f t="shared" si="34"/>
        <v>dailoneskill0002</v>
      </c>
      <c r="L71" s="5" t="str">
        <f t="shared" si="27"/>
        <v>lootName69,DAIL/items/materia/class0002/Demolitionist69.dbr,</v>
      </c>
      <c r="M71" s="5" t="str">
        <f t="shared" si="28"/>
        <v>lootWeight69,1,</v>
      </c>
      <c r="N71" t="str">
        <f t="shared" si="29"/>
        <v>5</v>
      </c>
      <c r="O71" t="str">
        <f t="shared" ref="O71:O102" si="38">IF(I71&lt;&gt;"","copy .\"&amp;VLOOKUP(VALUE(N71),$AD$3:$AF$5,2,FALSE)&amp;" .\items\materia\"&amp;J71&amp;"\"&amp;H71&amp;G71&amp;".dbr /y"&amp;"","")</f>
        <v>copy .\dail_base3.dbr .\items\materia\class0002\Demolitionist69.dbr /y</v>
      </c>
      <c r="P71" t="str">
        <f t="shared" si="24"/>
        <v>echo relicBitmap,items/craftingparts/components/component_a52_bristlyfur_b.tex, &gt;&gt; .\items\materia\class0002\Demolitionist69.dbr</v>
      </c>
      <c r="Q71" t="str">
        <f t="shared" si="24"/>
        <v>echo itemCost,500000, &gt;&gt; .\items\materia\class0002\Demolitionist69.dbr</v>
      </c>
      <c r="R71" t="str">
        <f t="shared" si="24"/>
        <v>echo description,dailCompDescDemolitionist69, &gt;&gt; .\items\materia\class0002\Demolitionist69.dbr</v>
      </c>
      <c r="S71" t="str">
        <f t="shared" si="24"/>
        <v>echo itemText,dailCompTextDemolitionist69, &gt;&gt; .\items\materia\class0002\Demolitionist69.dbr</v>
      </c>
      <c r="T71" t="str">
        <f t="shared" si="24"/>
        <v>echo augmentSkillLevel1,5, &gt;&gt; .\items\materia\class0002\Demolitionist69.dbr</v>
      </c>
      <c r="U71" t="str">
        <f t="shared" si="24"/>
        <v>echo augmentSkillName1,records/skills/playerclass02/stunjacks2.dbr, &gt;&gt; .\items\materia\class0002\Demolitionist69.dbr</v>
      </c>
      <c r="V71" s="5" t="s">
        <v>36</v>
      </c>
      <c r="W71" t="str">
        <f t="shared" si="30"/>
        <v>echo lootName69,DAIL/items/materia/class0002/Demolitionist69.dbr, &gt;&gt; .\items\loottables\dailoneskill0002.dbr</v>
      </c>
      <c r="X71" t="str">
        <f t="shared" si="30"/>
        <v>echo lootWeight69,1, &gt;&gt; .\items\loottables\dailoneskill0002.dbr</v>
      </c>
      <c r="Y71" s="5" t="s">
        <v>36</v>
      </c>
      <c r="Z71" t="str">
        <f t="shared" si="31"/>
        <v xml:space="preserve"> dailCompDescDemolitionist69=^pDemolitionist's Gift of DAIL</v>
      </c>
      <c r="AA71" t="str">
        <f t="shared" ref="AA71:AA102" si="39">IF(I70&lt;&gt;"","dailCompText"&amp;H71&amp;G71&amp;"=^oThis feels warm to the touch, almost familiar ^w("&amp;VLOOKUP(VALUE(N71),$AD$3:$AF$5,3,FALSE)&amp;")","")</f>
        <v>dailCompTextDemolitionist69=^oThis feels warm to the touch, almost familiar ^w(This component only fits into the Medal Slot)</v>
      </c>
      <c r="AB71" s="5" t="s">
        <v>36</v>
      </c>
      <c r="AH71">
        <f t="shared" si="19"/>
        <v>66</v>
      </c>
      <c r="AI71">
        <f t="shared" si="35"/>
        <v>29</v>
      </c>
      <c r="AJ71">
        <f t="shared" ref="AJ71:AJ102" si="40">IF(AH71&lt;$AL$7,1,IF(AH71&lt;$AL$8,3,5))</f>
        <v>5</v>
      </c>
    </row>
    <row r="72" spans="1:36" x14ac:dyDescent="0.25">
      <c r="A72" s="5" t="s">
        <v>39</v>
      </c>
      <c r="B72" s="5" t="s">
        <v>30</v>
      </c>
      <c r="C72" s="5" t="str">
        <f t="shared" si="25"/>
        <v>description,dailCompDescDemolitionist70,</v>
      </c>
      <c r="D72" s="5" t="str">
        <f t="shared" si="26"/>
        <v>itemText,dailCompTextDemolitionist70,</v>
      </c>
      <c r="E72" s="5" t="str">
        <f t="shared" si="36"/>
        <v>augmentSkillLevel1,5,</v>
      </c>
      <c r="F72" s="5" t="str">
        <f t="shared" si="37"/>
        <v>augmentSkillName1,records/skills/playerclass02/passive2.dbr,</v>
      </c>
      <c r="G72" s="7">
        <f t="shared" si="32"/>
        <v>70</v>
      </c>
      <c r="H72" s="8" t="str">
        <f t="shared" si="33"/>
        <v>Demolitionist</v>
      </c>
      <c r="I72" s="3" t="s">
        <v>269</v>
      </c>
      <c r="J72" s="8" t="str">
        <f t="shared" si="34"/>
        <v>class0002</v>
      </c>
      <c r="K72" s="8" t="str">
        <f t="shared" si="34"/>
        <v>dailoneskill0002</v>
      </c>
      <c r="L72" s="5" t="str">
        <f t="shared" si="27"/>
        <v>lootName70,DAIL/items/materia/class0002/Demolitionist70.dbr,</v>
      </c>
      <c r="M72" s="5" t="str">
        <f t="shared" si="28"/>
        <v>lootWeight70,1,</v>
      </c>
      <c r="N72" t="str">
        <f t="shared" si="29"/>
        <v>5</v>
      </c>
      <c r="O72" t="str">
        <f t="shared" si="38"/>
        <v>copy .\dail_base3.dbr .\items\materia\class0002\Demolitionist70.dbr /y</v>
      </c>
      <c r="P72" t="str">
        <f t="shared" si="24"/>
        <v>echo relicBitmap,items/craftingparts/components/component_a52_bristlyfur_b.tex, &gt;&gt; .\items\materia\class0002\Demolitionist70.dbr</v>
      </c>
      <c r="Q72" t="str">
        <f t="shared" si="24"/>
        <v>echo itemCost,500000, &gt;&gt; .\items\materia\class0002\Demolitionist70.dbr</v>
      </c>
      <c r="R72" t="str">
        <f t="shared" si="24"/>
        <v>echo description,dailCompDescDemolitionist70, &gt;&gt; .\items\materia\class0002\Demolitionist70.dbr</v>
      </c>
      <c r="S72" t="str">
        <f t="shared" si="24"/>
        <v>echo itemText,dailCompTextDemolitionist70, &gt;&gt; .\items\materia\class0002\Demolitionist70.dbr</v>
      </c>
      <c r="T72" t="str">
        <f t="shared" si="24"/>
        <v>echo augmentSkillLevel1,5, &gt;&gt; .\items\materia\class0002\Demolitionist70.dbr</v>
      </c>
      <c r="U72" t="str">
        <f t="shared" si="24"/>
        <v>echo augmentSkillName1,records/skills/playerclass02/passive2.dbr, &gt;&gt; .\items\materia\class0002\Demolitionist70.dbr</v>
      </c>
      <c r="V72" s="5" t="s">
        <v>36</v>
      </c>
      <c r="W72" t="str">
        <f t="shared" si="30"/>
        <v>echo lootName70,DAIL/items/materia/class0002/Demolitionist70.dbr, &gt;&gt; .\items\loottables\dailoneskill0002.dbr</v>
      </c>
      <c r="X72" t="str">
        <f t="shared" si="30"/>
        <v>echo lootWeight70,1, &gt;&gt; .\items\loottables\dailoneskill0002.dbr</v>
      </c>
      <c r="Y72" s="5" t="s">
        <v>36</v>
      </c>
      <c r="Z72" t="str">
        <f t="shared" si="31"/>
        <v xml:space="preserve"> dailCompDescDemolitionist70=^pDemolitionist's Gift of DAIL</v>
      </c>
      <c r="AA72" t="str">
        <f t="shared" si="39"/>
        <v>dailCompTextDemolitionist70=^oThis feels warm to the touch, almost familiar ^w(This component only fits into the Medal Slot)</v>
      </c>
      <c r="AB72" s="5" t="s">
        <v>36</v>
      </c>
      <c r="AH72">
        <f t="shared" ref="AH72:AH102" si="41">AH71+1</f>
        <v>67</v>
      </c>
      <c r="AI72">
        <f t="shared" si="35"/>
        <v>27</v>
      </c>
      <c r="AJ72">
        <f t="shared" si="40"/>
        <v>5</v>
      </c>
    </row>
    <row r="73" spans="1:36" x14ac:dyDescent="0.25">
      <c r="A73" s="5" t="s">
        <v>39</v>
      </c>
      <c r="B73" s="5" t="s">
        <v>30</v>
      </c>
      <c r="C73" s="5" t="str">
        <f t="shared" si="25"/>
        <v>description,dailCompDescDemolitionist71,</v>
      </c>
      <c r="D73" s="5" t="str">
        <f t="shared" si="26"/>
        <v>itemText,dailCompTextDemolitionist71,</v>
      </c>
      <c r="E73" s="5" t="str">
        <f t="shared" si="36"/>
        <v>augmentSkillLevel1,5,</v>
      </c>
      <c r="F73" s="5" t="str">
        <f t="shared" si="37"/>
        <v>augmentSkillName1,records/skills/playerclass02/grenado1.dbr,</v>
      </c>
      <c r="G73" s="7">
        <f t="shared" si="32"/>
        <v>71</v>
      </c>
      <c r="H73" s="8" t="str">
        <f t="shared" si="33"/>
        <v>Demolitionist</v>
      </c>
      <c r="I73" s="3" t="s">
        <v>55</v>
      </c>
      <c r="J73" s="8" t="str">
        <f t="shared" si="34"/>
        <v>class0002</v>
      </c>
      <c r="K73" s="8" t="str">
        <f t="shared" si="34"/>
        <v>dailoneskill0002</v>
      </c>
      <c r="L73" s="5" t="str">
        <f t="shared" si="27"/>
        <v>lootName71,DAIL/items/materia/class0002/Demolitionist71.dbr,</v>
      </c>
      <c r="M73" s="5" t="str">
        <f t="shared" si="28"/>
        <v>lootWeight71,1,</v>
      </c>
      <c r="N73" t="str">
        <f t="shared" si="29"/>
        <v>5</v>
      </c>
      <c r="O73" t="str">
        <f t="shared" si="38"/>
        <v>copy .\dail_base3.dbr .\items\materia\class0002\Demolitionist71.dbr /y</v>
      </c>
      <c r="P73" t="str">
        <f t="shared" si="24"/>
        <v>echo relicBitmap,items/craftingparts/components/component_a52_bristlyfur_b.tex, &gt;&gt; .\items\materia\class0002\Demolitionist71.dbr</v>
      </c>
      <c r="Q73" t="str">
        <f t="shared" si="24"/>
        <v>echo itemCost,500000, &gt;&gt; .\items\materia\class0002\Demolitionist71.dbr</v>
      </c>
      <c r="R73" t="str">
        <f t="shared" si="24"/>
        <v>echo description,dailCompDescDemolitionist71, &gt;&gt; .\items\materia\class0002\Demolitionist71.dbr</v>
      </c>
      <c r="S73" t="str">
        <f t="shared" si="24"/>
        <v>echo itemText,dailCompTextDemolitionist71, &gt;&gt; .\items\materia\class0002\Demolitionist71.dbr</v>
      </c>
      <c r="T73" t="str">
        <f t="shared" si="24"/>
        <v>echo augmentSkillLevel1,5, &gt;&gt; .\items\materia\class0002\Demolitionist71.dbr</v>
      </c>
      <c r="U73" t="str">
        <f t="shared" si="24"/>
        <v>echo augmentSkillName1,records/skills/playerclass02/grenado1.dbr, &gt;&gt; .\items\materia\class0002\Demolitionist71.dbr</v>
      </c>
      <c r="V73" s="5" t="s">
        <v>36</v>
      </c>
      <c r="W73" t="str">
        <f t="shared" si="30"/>
        <v>echo lootName71,DAIL/items/materia/class0002/Demolitionist71.dbr, &gt;&gt; .\items\loottables\dailoneskill0002.dbr</v>
      </c>
      <c r="X73" t="str">
        <f t="shared" si="30"/>
        <v>echo lootWeight71,1, &gt;&gt; .\items\loottables\dailoneskill0002.dbr</v>
      </c>
      <c r="Y73" s="5" t="s">
        <v>36</v>
      </c>
      <c r="Z73" t="str">
        <f t="shared" si="31"/>
        <v xml:space="preserve"> dailCompDescDemolitionist71=^pDemolitionist's Gift of DAIL</v>
      </c>
      <c r="AA73" t="str">
        <f t="shared" si="39"/>
        <v>dailCompTextDemolitionist71=^oThis feels warm to the touch, almost familiar ^w(This component only fits into the Medal Slot)</v>
      </c>
      <c r="AB73" s="5" t="s">
        <v>36</v>
      </c>
      <c r="AH73">
        <f t="shared" si="41"/>
        <v>68</v>
      </c>
      <c r="AI73">
        <f t="shared" si="35"/>
        <v>27</v>
      </c>
      <c r="AJ73">
        <f t="shared" si="40"/>
        <v>5</v>
      </c>
    </row>
    <row r="74" spans="1:36" x14ac:dyDescent="0.25">
      <c r="A74" s="5" t="s">
        <v>39</v>
      </c>
      <c r="B74" s="5" t="s">
        <v>30</v>
      </c>
      <c r="C74" s="5" t="str">
        <f t="shared" si="25"/>
        <v>description,dailCompDescDemolitionist72,</v>
      </c>
      <c r="D74" s="5" t="str">
        <f t="shared" si="26"/>
        <v>itemText,dailCompTextDemolitionist72,</v>
      </c>
      <c r="E74" s="5" t="str">
        <f t="shared" si="36"/>
        <v>augmentSkillLevel1,5,</v>
      </c>
      <c r="F74" s="5" t="str">
        <f t="shared" si="37"/>
        <v>augmentSkillName1,records/skills/playerclass02/grenado2.dbr,</v>
      </c>
      <c r="G74" s="7">
        <f t="shared" si="32"/>
        <v>72</v>
      </c>
      <c r="H74" s="8" t="str">
        <f t="shared" si="33"/>
        <v>Demolitionist</v>
      </c>
      <c r="I74" s="3" t="s">
        <v>270</v>
      </c>
      <c r="J74" s="8" t="str">
        <f t="shared" si="34"/>
        <v>class0002</v>
      </c>
      <c r="K74" s="8" t="str">
        <f t="shared" si="34"/>
        <v>dailoneskill0002</v>
      </c>
      <c r="L74" s="5" t="str">
        <f t="shared" si="27"/>
        <v>lootName72,DAIL/items/materia/class0002/Demolitionist72.dbr,</v>
      </c>
      <c r="M74" s="5" t="str">
        <f t="shared" si="28"/>
        <v>lootWeight72,1,</v>
      </c>
      <c r="N74" t="str">
        <f t="shared" si="29"/>
        <v>5</v>
      </c>
      <c r="O74" t="str">
        <f t="shared" si="38"/>
        <v>copy .\dail_base3.dbr .\items\materia\class0002\Demolitionist72.dbr /y</v>
      </c>
      <c r="P74" t="str">
        <f t="shared" si="24"/>
        <v>echo relicBitmap,items/craftingparts/components/component_a52_bristlyfur_b.tex, &gt;&gt; .\items\materia\class0002\Demolitionist72.dbr</v>
      </c>
      <c r="Q74" t="str">
        <f t="shared" si="24"/>
        <v>echo itemCost,500000, &gt;&gt; .\items\materia\class0002\Demolitionist72.dbr</v>
      </c>
      <c r="R74" t="str">
        <f t="shared" si="24"/>
        <v>echo description,dailCompDescDemolitionist72, &gt;&gt; .\items\materia\class0002\Demolitionist72.dbr</v>
      </c>
      <c r="S74" t="str">
        <f t="shared" si="24"/>
        <v>echo itemText,dailCompTextDemolitionist72, &gt;&gt; .\items\materia\class0002\Demolitionist72.dbr</v>
      </c>
      <c r="T74" t="str">
        <f t="shared" si="24"/>
        <v>echo augmentSkillLevel1,5, &gt;&gt; .\items\materia\class0002\Demolitionist72.dbr</v>
      </c>
      <c r="U74" t="str">
        <f t="shared" si="24"/>
        <v>echo augmentSkillName1,records/skills/playerclass02/grenado2.dbr, &gt;&gt; .\items\materia\class0002\Demolitionist72.dbr</v>
      </c>
      <c r="V74" s="5" t="s">
        <v>36</v>
      </c>
      <c r="W74" t="str">
        <f t="shared" si="30"/>
        <v>echo lootName72,DAIL/items/materia/class0002/Demolitionist72.dbr, &gt;&gt; .\items\loottables\dailoneskill0002.dbr</v>
      </c>
      <c r="X74" t="str">
        <f t="shared" si="30"/>
        <v>echo lootWeight72,1, &gt;&gt; .\items\loottables\dailoneskill0002.dbr</v>
      </c>
      <c r="Y74" s="5" t="s">
        <v>36</v>
      </c>
      <c r="Z74" t="str">
        <f t="shared" si="31"/>
        <v xml:space="preserve"> dailCompDescDemolitionist72=^pDemolitionist's Gift of DAIL</v>
      </c>
      <c r="AA74" t="str">
        <f t="shared" si="39"/>
        <v>dailCompTextDemolitionist72=^oThis feels warm to the touch, almost familiar ^w(This component only fits into the Medal Slot)</v>
      </c>
      <c r="AB74" s="5" t="s">
        <v>36</v>
      </c>
      <c r="AH74">
        <f t="shared" si="41"/>
        <v>69</v>
      </c>
      <c r="AI74">
        <f t="shared" si="35"/>
        <v>27</v>
      </c>
      <c r="AJ74">
        <f t="shared" si="40"/>
        <v>5</v>
      </c>
    </row>
    <row r="75" spans="1:36" x14ac:dyDescent="0.25">
      <c r="A75" s="5" t="s">
        <v>39</v>
      </c>
      <c r="B75" s="5" t="s">
        <v>30</v>
      </c>
      <c r="C75" s="5" t="str">
        <f t="shared" si="25"/>
        <v>description,dailCompDescDemolitionist73,</v>
      </c>
      <c r="D75" s="5" t="str">
        <f t="shared" si="26"/>
        <v>itemText,dailCompTextDemolitionist73,</v>
      </c>
      <c r="E75" s="5" t="str">
        <f t="shared" si="36"/>
        <v>augmentSkillLevel1,5,</v>
      </c>
      <c r="F75" s="5" t="str">
        <f t="shared" si="37"/>
        <v>augmentSkillName1,records/skills/playerclass02/grenado3.dbr,</v>
      </c>
      <c r="G75" s="7">
        <f t="shared" si="32"/>
        <v>73</v>
      </c>
      <c r="H75" s="8" t="str">
        <f t="shared" si="33"/>
        <v>Demolitionist</v>
      </c>
      <c r="I75" s="3" t="s">
        <v>271</v>
      </c>
      <c r="J75" s="8" t="str">
        <f t="shared" si="34"/>
        <v>class0002</v>
      </c>
      <c r="K75" s="8" t="str">
        <f t="shared" si="34"/>
        <v>dailoneskill0002</v>
      </c>
      <c r="L75" s="5" t="str">
        <f t="shared" si="27"/>
        <v>lootName73,DAIL/items/materia/class0002/Demolitionist73.dbr,</v>
      </c>
      <c r="M75" s="5" t="str">
        <f t="shared" si="28"/>
        <v>lootWeight73,1,</v>
      </c>
      <c r="N75" t="str">
        <f t="shared" si="29"/>
        <v>5</v>
      </c>
      <c r="O75" t="str">
        <f t="shared" si="38"/>
        <v>copy .\dail_base3.dbr .\items\materia\class0002\Demolitionist73.dbr /y</v>
      </c>
      <c r="P75" t="str">
        <f t="shared" si="24"/>
        <v>echo relicBitmap,items/craftingparts/components/component_a52_bristlyfur_b.tex, &gt;&gt; .\items\materia\class0002\Demolitionist73.dbr</v>
      </c>
      <c r="Q75" t="str">
        <f t="shared" si="24"/>
        <v>echo itemCost,500000, &gt;&gt; .\items\materia\class0002\Demolitionist73.dbr</v>
      </c>
      <c r="R75" t="str">
        <f t="shared" si="24"/>
        <v>echo description,dailCompDescDemolitionist73, &gt;&gt; .\items\materia\class0002\Demolitionist73.dbr</v>
      </c>
      <c r="S75" t="str">
        <f t="shared" si="24"/>
        <v>echo itemText,dailCompTextDemolitionist73, &gt;&gt; .\items\materia\class0002\Demolitionist73.dbr</v>
      </c>
      <c r="T75" t="str">
        <f t="shared" si="24"/>
        <v>echo augmentSkillLevel1,5, &gt;&gt; .\items\materia\class0002\Demolitionist73.dbr</v>
      </c>
      <c r="U75" t="str">
        <f t="shared" si="24"/>
        <v>echo augmentSkillName1,records/skills/playerclass02/grenado3.dbr, &gt;&gt; .\items\materia\class0002\Demolitionist73.dbr</v>
      </c>
      <c r="V75" s="5" t="s">
        <v>36</v>
      </c>
      <c r="W75" t="str">
        <f t="shared" si="30"/>
        <v>echo lootName73,DAIL/items/materia/class0002/Demolitionist73.dbr, &gt;&gt; .\items\loottables\dailoneskill0002.dbr</v>
      </c>
      <c r="X75" t="str">
        <f t="shared" si="30"/>
        <v>echo lootWeight73,1, &gt;&gt; .\items\loottables\dailoneskill0002.dbr</v>
      </c>
      <c r="Y75" s="5" t="s">
        <v>36</v>
      </c>
      <c r="Z75" t="str">
        <f t="shared" si="31"/>
        <v xml:space="preserve"> dailCompDescDemolitionist73=^pDemolitionist's Gift of DAIL</v>
      </c>
      <c r="AA75" t="str">
        <f t="shared" si="39"/>
        <v>dailCompTextDemolitionist73=^oThis feels warm to the touch, almost familiar ^w(This component only fits into the Medal Slot)</v>
      </c>
      <c r="AB75" s="5" t="s">
        <v>36</v>
      </c>
      <c r="AH75">
        <f t="shared" si="41"/>
        <v>70</v>
      </c>
      <c r="AI75">
        <f t="shared" si="35"/>
        <v>27</v>
      </c>
      <c r="AJ75">
        <f t="shared" si="40"/>
        <v>5</v>
      </c>
    </row>
    <row r="76" spans="1:36" x14ac:dyDescent="0.25">
      <c r="A76" s="5" t="s">
        <v>39</v>
      </c>
      <c r="B76" s="5" t="s">
        <v>30</v>
      </c>
      <c r="C76" s="5" t="str">
        <f t="shared" si="25"/>
        <v>description,dailCompDescDemolitionist74,</v>
      </c>
      <c r="D76" s="5" t="str">
        <f t="shared" si="26"/>
        <v>itemText,dailCompTextDemolitionist74,</v>
      </c>
      <c r="E76" s="5" t="str">
        <f t="shared" si="36"/>
        <v>augmentSkillLevel1,5,</v>
      </c>
      <c r="F76" s="5" t="str">
        <f t="shared" si="37"/>
        <v>augmentSkillName1,records/skills/playerclass02/passive2.dbr,</v>
      </c>
      <c r="G76" s="7">
        <f t="shared" si="32"/>
        <v>74</v>
      </c>
      <c r="H76" s="8" t="str">
        <f t="shared" si="33"/>
        <v>Demolitionist</v>
      </c>
      <c r="I76" s="3" t="s">
        <v>269</v>
      </c>
      <c r="J76" s="8" t="str">
        <f t="shared" si="34"/>
        <v>class0002</v>
      </c>
      <c r="K76" s="8" t="str">
        <f t="shared" si="34"/>
        <v>dailoneskill0002</v>
      </c>
      <c r="L76" s="5" t="str">
        <f t="shared" si="27"/>
        <v>lootName74,DAIL/items/materia/class0002/Demolitionist74.dbr,</v>
      </c>
      <c r="M76" s="5" t="str">
        <f t="shared" si="28"/>
        <v>lootWeight74,1,</v>
      </c>
      <c r="N76" t="str">
        <f t="shared" si="29"/>
        <v>5</v>
      </c>
      <c r="O76" t="str">
        <f t="shared" si="38"/>
        <v>copy .\dail_base3.dbr .\items\materia\class0002\Demolitionist74.dbr /y</v>
      </c>
      <c r="P76" t="str">
        <f t="shared" si="24"/>
        <v>echo relicBitmap,items/craftingparts/components/component_a52_bristlyfur_b.tex, &gt;&gt; .\items\materia\class0002\Demolitionist74.dbr</v>
      </c>
      <c r="Q76" t="str">
        <f t="shared" si="24"/>
        <v>echo itemCost,500000, &gt;&gt; .\items\materia\class0002\Demolitionist74.dbr</v>
      </c>
      <c r="R76" t="str">
        <f t="shared" si="24"/>
        <v>echo description,dailCompDescDemolitionist74, &gt;&gt; .\items\materia\class0002\Demolitionist74.dbr</v>
      </c>
      <c r="S76" t="str">
        <f t="shared" si="24"/>
        <v>echo itemText,dailCompTextDemolitionist74, &gt;&gt; .\items\materia\class0002\Demolitionist74.dbr</v>
      </c>
      <c r="T76" t="str">
        <f t="shared" si="24"/>
        <v>echo augmentSkillLevel1,5, &gt;&gt; .\items\materia\class0002\Demolitionist74.dbr</v>
      </c>
      <c r="U76" t="str">
        <f t="shared" si="24"/>
        <v>echo augmentSkillName1,records/skills/playerclass02/passive2.dbr, &gt;&gt; .\items\materia\class0002\Demolitionist74.dbr</v>
      </c>
      <c r="V76" s="5" t="s">
        <v>36</v>
      </c>
      <c r="W76" t="str">
        <f t="shared" si="30"/>
        <v>echo lootName74,DAIL/items/materia/class0002/Demolitionist74.dbr, &gt;&gt; .\items\loottables\dailoneskill0002.dbr</v>
      </c>
      <c r="X76" t="str">
        <f t="shared" si="30"/>
        <v>echo lootWeight74,1, &gt;&gt; .\items\loottables\dailoneskill0002.dbr</v>
      </c>
      <c r="Y76" s="5" t="s">
        <v>36</v>
      </c>
      <c r="Z76" t="str">
        <f t="shared" si="31"/>
        <v xml:space="preserve"> dailCompDescDemolitionist74=^pDemolitionist's Gift of DAIL</v>
      </c>
      <c r="AA76" t="str">
        <f t="shared" si="39"/>
        <v>dailCompTextDemolitionist74=^oThis feels warm to the touch, almost familiar ^w(This component only fits into the Medal Slot)</v>
      </c>
      <c r="AB76" s="5" t="s">
        <v>36</v>
      </c>
      <c r="AH76">
        <f t="shared" si="41"/>
        <v>71</v>
      </c>
      <c r="AI76">
        <f t="shared" si="35"/>
        <v>27</v>
      </c>
      <c r="AJ76">
        <f t="shared" si="40"/>
        <v>5</v>
      </c>
    </row>
    <row r="77" spans="1:36" x14ac:dyDescent="0.25">
      <c r="A77" s="5" t="s">
        <v>39</v>
      </c>
      <c r="B77" s="5" t="s">
        <v>30</v>
      </c>
      <c r="C77" s="5" t="str">
        <f t="shared" si="25"/>
        <v>description,dailCompDescDemolitionist75,</v>
      </c>
      <c r="D77" s="5" t="str">
        <f t="shared" si="26"/>
        <v>itemText,dailCompTextDemolitionist75,</v>
      </c>
      <c r="E77" s="5" t="str">
        <f t="shared" si="36"/>
        <v>augmentSkillLevel1,5,</v>
      </c>
      <c r="F77" s="5" t="str">
        <f t="shared" si="37"/>
        <v>augmentSkillName1,records/skills/playerclass02/passive1.dbr,</v>
      </c>
      <c r="G77" s="7">
        <f t="shared" si="32"/>
        <v>75</v>
      </c>
      <c r="H77" s="8" t="str">
        <f t="shared" si="33"/>
        <v>Demolitionist</v>
      </c>
      <c r="I77" s="3" t="s">
        <v>57</v>
      </c>
      <c r="J77" s="8" t="str">
        <f t="shared" si="34"/>
        <v>class0002</v>
      </c>
      <c r="K77" s="8" t="str">
        <f t="shared" si="34"/>
        <v>dailoneskill0002</v>
      </c>
      <c r="L77" s="5" t="str">
        <f t="shared" si="27"/>
        <v>lootName75,DAIL/items/materia/class0002/Demolitionist75.dbr,</v>
      </c>
      <c r="M77" s="5" t="str">
        <f t="shared" si="28"/>
        <v>lootWeight75,1,</v>
      </c>
      <c r="N77" t="str">
        <f t="shared" si="29"/>
        <v>5</v>
      </c>
      <c r="O77" t="str">
        <f t="shared" si="38"/>
        <v>copy .\dail_base3.dbr .\items\materia\class0002\Demolitionist75.dbr /y</v>
      </c>
      <c r="P77" t="str">
        <f t="shared" si="24"/>
        <v>echo relicBitmap,items/craftingparts/components/component_a52_bristlyfur_b.tex, &gt;&gt; .\items\materia\class0002\Demolitionist75.dbr</v>
      </c>
      <c r="Q77" t="str">
        <f t="shared" si="24"/>
        <v>echo itemCost,500000, &gt;&gt; .\items\materia\class0002\Demolitionist75.dbr</v>
      </c>
      <c r="R77" t="str">
        <f t="shared" si="24"/>
        <v>echo description,dailCompDescDemolitionist75, &gt;&gt; .\items\materia\class0002\Demolitionist75.dbr</v>
      </c>
      <c r="S77" t="str">
        <f t="shared" si="24"/>
        <v>echo itemText,dailCompTextDemolitionist75, &gt;&gt; .\items\materia\class0002\Demolitionist75.dbr</v>
      </c>
      <c r="T77" t="str">
        <f t="shared" si="24"/>
        <v>echo augmentSkillLevel1,5, &gt;&gt; .\items\materia\class0002\Demolitionist75.dbr</v>
      </c>
      <c r="U77" t="str">
        <f t="shared" si="24"/>
        <v>echo augmentSkillName1,records/skills/playerclass02/passive1.dbr, &gt;&gt; .\items\materia\class0002\Demolitionist75.dbr</v>
      </c>
      <c r="V77" s="5" t="s">
        <v>36</v>
      </c>
      <c r="W77" t="str">
        <f t="shared" si="30"/>
        <v>echo lootName75,DAIL/items/materia/class0002/Demolitionist75.dbr, &gt;&gt; .\items\loottables\dailoneskill0002.dbr</v>
      </c>
      <c r="X77" t="str">
        <f t="shared" si="30"/>
        <v>echo lootWeight75,1, &gt;&gt; .\items\loottables\dailoneskill0002.dbr</v>
      </c>
      <c r="Y77" s="5" t="s">
        <v>36</v>
      </c>
      <c r="Z77" t="str">
        <f t="shared" si="31"/>
        <v xml:space="preserve"> dailCompDescDemolitionist75=^pDemolitionist's Gift of DAIL</v>
      </c>
      <c r="AA77" t="str">
        <f t="shared" si="39"/>
        <v>dailCompTextDemolitionist75=^oThis feels warm to the touch, almost familiar ^w(This component only fits into the Medal Slot)</v>
      </c>
      <c r="AB77" s="5" t="s">
        <v>36</v>
      </c>
      <c r="AH77">
        <f t="shared" si="41"/>
        <v>72</v>
      </c>
      <c r="AI77">
        <f t="shared" si="35"/>
        <v>27</v>
      </c>
      <c r="AJ77">
        <f t="shared" si="40"/>
        <v>5</v>
      </c>
    </row>
    <row r="78" spans="1:36" x14ac:dyDescent="0.25">
      <c r="A78" s="5" t="s">
        <v>39</v>
      </c>
      <c r="B78" s="5" t="s">
        <v>30</v>
      </c>
      <c r="C78" s="5" t="str">
        <f t="shared" si="25"/>
        <v>description,dailCompDescDemolitionist76,</v>
      </c>
      <c r="D78" s="5" t="str">
        <f t="shared" si="26"/>
        <v>itemText,dailCompTextDemolitionist76,</v>
      </c>
      <c r="E78" s="5" t="str">
        <f t="shared" si="36"/>
        <v>augmentSkillLevel1,5,</v>
      </c>
      <c r="F78" s="5" t="str">
        <f t="shared" si="37"/>
        <v>augmentSkillName1,records/skills/playerclass02/blackwater1.dbr,</v>
      </c>
      <c r="G78" s="7">
        <f t="shared" si="32"/>
        <v>76</v>
      </c>
      <c r="H78" s="8" t="str">
        <f t="shared" si="33"/>
        <v>Demolitionist</v>
      </c>
      <c r="I78" s="3" t="s">
        <v>50</v>
      </c>
      <c r="J78" s="8" t="str">
        <f t="shared" si="34"/>
        <v>class0002</v>
      </c>
      <c r="K78" s="8" t="str">
        <f t="shared" si="34"/>
        <v>dailoneskill0002</v>
      </c>
      <c r="L78" s="5" t="str">
        <f t="shared" si="27"/>
        <v>lootName76,DAIL/items/materia/class0002/Demolitionist76.dbr,</v>
      </c>
      <c r="M78" s="5" t="str">
        <f t="shared" si="28"/>
        <v>lootWeight76,1,</v>
      </c>
      <c r="N78" t="str">
        <f t="shared" si="29"/>
        <v>5</v>
      </c>
      <c r="O78" t="str">
        <f t="shared" si="38"/>
        <v>copy .\dail_base3.dbr .\items\materia\class0002\Demolitionist76.dbr /y</v>
      </c>
      <c r="P78" t="str">
        <f t="shared" si="24"/>
        <v>echo relicBitmap,items/craftingparts/components/component_a52_bristlyfur_b.tex, &gt;&gt; .\items\materia\class0002\Demolitionist76.dbr</v>
      </c>
      <c r="Q78" t="str">
        <f t="shared" si="24"/>
        <v>echo itemCost,500000, &gt;&gt; .\items\materia\class0002\Demolitionist76.dbr</v>
      </c>
      <c r="R78" t="str">
        <f t="shared" si="24"/>
        <v>echo description,dailCompDescDemolitionist76, &gt;&gt; .\items\materia\class0002\Demolitionist76.dbr</v>
      </c>
      <c r="S78" t="str">
        <f t="shared" si="24"/>
        <v>echo itemText,dailCompTextDemolitionist76, &gt;&gt; .\items\materia\class0002\Demolitionist76.dbr</v>
      </c>
      <c r="T78" t="str">
        <f t="shared" si="24"/>
        <v>echo augmentSkillLevel1,5, &gt;&gt; .\items\materia\class0002\Demolitionist76.dbr</v>
      </c>
      <c r="U78" t="str">
        <f t="shared" si="24"/>
        <v>echo augmentSkillName1,records/skills/playerclass02/blackwater1.dbr, &gt;&gt; .\items\materia\class0002\Demolitionist76.dbr</v>
      </c>
      <c r="V78" s="5" t="s">
        <v>36</v>
      </c>
      <c r="W78" t="str">
        <f t="shared" si="30"/>
        <v>echo lootName76,DAIL/items/materia/class0002/Demolitionist76.dbr, &gt;&gt; .\items\loottables\dailoneskill0002.dbr</v>
      </c>
      <c r="X78" t="str">
        <f t="shared" si="30"/>
        <v>echo lootWeight76,1, &gt;&gt; .\items\loottables\dailoneskill0002.dbr</v>
      </c>
      <c r="Y78" s="5" t="s">
        <v>36</v>
      </c>
      <c r="Z78" t="str">
        <f t="shared" si="31"/>
        <v xml:space="preserve"> dailCompDescDemolitionist76=^pDemolitionist's Gift of DAIL</v>
      </c>
      <c r="AA78" t="str">
        <f t="shared" si="39"/>
        <v>dailCompTextDemolitionist76=^oThis feels warm to the touch, almost familiar ^w(This component only fits into the Medal Slot)</v>
      </c>
      <c r="AB78" s="5" t="s">
        <v>36</v>
      </c>
      <c r="AH78">
        <f t="shared" si="41"/>
        <v>73</v>
      </c>
      <c r="AI78">
        <f t="shared" si="35"/>
        <v>30</v>
      </c>
      <c r="AJ78">
        <f t="shared" si="40"/>
        <v>5</v>
      </c>
    </row>
    <row r="79" spans="1:36" x14ac:dyDescent="0.25">
      <c r="A79" s="5" t="s">
        <v>39</v>
      </c>
      <c r="B79" s="5" t="s">
        <v>30</v>
      </c>
      <c r="C79" s="5" t="str">
        <f t="shared" si="25"/>
        <v>description,dailCompDescDemolitionist77,</v>
      </c>
      <c r="D79" s="5" t="str">
        <f t="shared" si="26"/>
        <v>itemText,dailCompTextDemolitionist77,</v>
      </c>
      <c r="E79" s="5" t="str">
        <f t="shared" si="36"/>
        <v>augmentSkillLevel1,5,</v>
      </c>
      <c r="F79" s="5" t="str">
        <f t="shared" si="37"/>
        <v>augmentSkillName1,records/skills/playerclass02/blackwater1b.dbr,</v>
      </c>
      <c r="G79" s="7">
        <f t="shared" si="32"/>
        <v>77</v>
      </c>
      <c r="H79" s="8" t="str">
        <f t="shared" si="33"/>
        <v>Demolitionist</v>
      </c>
      <c r="I79" s="3" t="s">
        <v>272</v>
      </c>
      <c r="J79" s="8" t="str">
        <f t="shared" si="34"/>
        <v>class0002</v>
      </c>
      <c r="K79" s="8" t="str">
        <f t="shared" si="34"/>
        <v>dailoneskill0002</v>
      </c>
      <c r="L79" s="5" t="str">
        <f t="shared" si="27"/>
        <v>lootName77,DAIL/items/materia/class0002/Demolitionist77.dbr,</v>
      </c>
      <c r="M79" s="5" t="str">
        <f t="shared" si="28"/>
        <v>lootWeight77,1,</v>
      </c>
      <c r="N79" t="str">
        <f t="shared" si="29"/>
        <v>5</v>
      </c>
      <c r="O79" t="str">
        <f t="shared" si="38"/>
        <v>copy .\dail_base3.dbr .\items\materia\class0002\Demolitionist77.dbr /y</v>
      </c>
      <c r="P79" t="str">
        <f t="shared" si="24"/>
        <v>echo relicBitmap,items/craftingparts/components/component_a52_bristlyfur_b.tex, &gt;&gt; .\items\materia\class0002\Demolitionist77.dbr</v>
      </c>
      <c r="Q79" t="str">
        <f t="shared" si="24"/>
        <v>echo itemCost,500000, &gt;&gt; .\items\materia\class0002\Demolitionist77.dbr</v>
      </c>
      <c r="R79" t="str">
        <f t="shared" si="24"/>
        <v>echo description,dailCompDescDemolitionist77, &gt;&gt; .\items\materia\class0002\Demolitionist77.dbr</v>
      </c>
      <c r="S79" t="str">
        <f t="shared" si="24"/>
        <v>echo itemText,dailCompTextDemolitionist77, &gt;&gt; .\items\materia\class0002\Demolitionist77.dbr</v>
      </c>
      <c r="T79" t="str">
        <f t="shared" si="24"/>
        <v>echo augmentSkillLevel1,5, &gt;&gt; .\items\materia\class0002\Demolitionist77.dbr</v>
      </c>
      <c r="U79" t="str">
        <f t="shared" si="24"/>
        <v>echo augmentSkillName1,records/skills/playerclass02/blackwater1b.dbr, &gt;&gt; .\items\materia\class0002\Demolitionist77.dbr</v>
      </c>
      <c r="V79" s="5" t="s">
        <v>36</v>
      </c>
      <c r="W79" t="str">
        <f t="shared" si="30"/>
        <v>echo lootName77,DAIL/items/materia/class0002/Demolitionist77.dbr, &gt;&gt; .\items\loottables\dailoneskill0002.dbr</v>
      </c>
      <c r="X79" t="str">
        <f t="shared" si="30"/>
        <v>echo lootWeight77,1, &gt;&gt; .\items\loottables\dailoneskill0002.dbr</v>
      </c>
      <c r="Y79" s="5" t="s">
        <v>36</v>
      </c>
      <c r="Z79" t="str">
        <f t="shared" si="31"/>
        <v xml:space="preserve"> dailCompDescDemolitionist77=^pDemolitionist's Gift of DAIL</v>
      </c>
      <c r="AA79" t="str">
        <f t="shared" si="39"/>
        <v>dailCompTextDemolitionist77=^oThis feels warm to the touch, almost familiar ^w(This component only fits into the Medal Slot)</v>
      </c>
      <c r="AB79" s="5" t="s">
        <v>36</v>
      </c>
      <c r="AH79">
        <f t="shared" si="41"/>
        <v>74</v>
      </c>
      <c r="AI79">
        <f t="shared" si="35"/>
        <v>31</v>
      </c>
      <c r="AJ79">
        <f t="shared" si="40"/>
        <v>5</v>
      </c>
    </row>
    <row r="80" spans="1:36" x14ac:dyDescent="0.25">
      <c r="A80" s="5" t="s">
        <v>39</v>
      </c>
      <c r="B80" s="5" t="s">
        <v>30</v>
      </c>
      <c r="C80" s="5" t="str">
        <f t="shared" si="25"/>
        <v>description,dailCompDescDemolitionist78,</v>
      </c>
      <c r="D80" s="5" t="str">
        <f t="shared" si="26"/>
        <v>itemText,dailCompTextDemolitionist78,</v>
      </c>
      <c r="E80" s="5" t="str">
        <f t="shared" si="36"/>
        <v>augmentSkillLevel1,5,</v>
      </c>
      <c r="F80" s="5" t="str">
        <f t="shared" si="37"/>
        <v>augmentSkillName1,records/skills/playerclass02/blastshield1.dbr,</v>
      </c>
      <c r="G80" s="7">
        <f t="shared" si="32"/>
        <v>78</v>
      </c>
      <c r="H80" s="8" t="str">
        <f t="shared" si="33"/>
        <v>Demolitionist</v>
      </c>
      <c r="I80" s="3" t="s">
        <v>51</v>
      </c>
      <c r="J80" s="8" t="str">
        <f t="shared" si="34"/>
        <v>class0002</v>
      </c>
      <c r="K80" s="8" t="str">
        <f t="shared" si="34"/>
        <v>dailoneskill0002</v>
      </c>
      <c r="L80" s="5" t="str">
        <f t="shared" si="27"/>
        <v>lootName78,DAIL/items/materia/class0002/Demolitionist78.dbr,</v>
      </c>
      <c r="M80" s="5" t="str">
        <f t="shared" si="28"/>
        <v>lootWeight78,1,</v>
      </c>
      <c r="N80" t="str">
        <f t="shared" si="29"/>
        <v>5</v>
      </c>
      <c r="O80" t="str">
        <f t="shared" si="38"/>
        <v>copy .\dail_base3.dbr .\items\materia\class0002\Demolitionist78.dbr /y</v>
      </c>
      <c r="P80" t="str">
        <f t="shared" si="24"/>
        <v>echo relicBitmap,items/craftingparts/components/component_a52_bristlyfur_b.tex, &gt;&gt; .\items\materia\class0002\Demolitionist78.dbr</v>
      </c>
      <c r="Q80" t="str">
        <f t="shared" si="24"/>
        <v>echo itemCost,500000, &gt;&gt; .\items\materia\class0002\Demolitionist78.dbr</v>
      </c>
      <c r="R80" t="str">
        <f t="shared" si="24"/>
        <v>echo description,dailCompDescDemolitionist78, &gt;&gt; .\items\materia\class0002\Demolitionist78.dbr</v>
      </c>
      <c r="S80" t="str">
        <f t="shared" si="24"/>
        <v>echo itemText,dailCompTextDemolitionist78, &gt;&gt; .\items\materia\class0002\Demolitionist78.dbr</v>
      </c>
      <c r="T80" t="str">
        <f t="shared" si="24"/>
        <v>echo augmentSkillLevel1,5, &gt;&gt; .\items\materia\class0002\Demolitionist78.dbr</v>
      </c>
      <c r="U80" t="str">
        <f t="shared" si="24"/>
        <v>echo augmentSkillName1,records/skills/playerclass02/blastshield1.dbr, &gt;&gt; .\items\materia\class0002\Demolitionist78.dbr</v>
      </c>
      <c r="V80" s="5" t="s">
        <v>36</v>
      </c>
      <c r="W80" t="str">
        <f t="shared" si="30"/>
        <v>echo lootName78,DAIL/items/materia/class0002/Demolitionist78.dbr, &gt;&gt; .\items\loottables\dailoneskill0002.dbr</v>
      </c>
      <c r="X80" t="str">
        <f t="shared" si="30"/>
        <v>echo lootWeight78,1, &gt;&gt; .\items\loottables\dailoneskill0002.dbr</v>
      </c>
      <c r="Y80" s="5" t="s">
        <v>36</v>
      </c>
      <c r="Z80" t="str">
        <f t="shared" si="31"/>
        <v xml:space="preserve"> dailCompDescDemolitionist78=^pDemolitionist's Gift of DAIL</v>
      </c>
      <c r="AA80" t="str">
        <f t="shared" si="39"/>
        <v>dailCompTextDemolitionist78=^oThis feels warm to the touch, almost familiar ^w(This component only fits into the Medal Slot)</v>
      </c>
      <c r="AB80" s="5" t="s">
        <v>36</v>
      </c>
      <c r="AH80">
        <f t="shared" si="41"/>
        <v>75</v>
      </c>
      <c r="AI80">
        <f t="shared" si="35"/>
        <v>31</v>
      </c>
      <c r="AJ80">
        <f t="shared" si="40"/>
        <v>5</v>
      </c>
    </row>
    <row r="81" spans="1:36" x14ac:dyDescent="0.25">
      <c r="A81" s="5" t="s">
        <v>39</v>
      </c>
      <c r="B81" s="5" t="s">
        <v>30</v>
      </c>
      <c r="C81" s="5" t="str">
        <f t="shared" si="25"/>
        <v>description,dailCompDescDemolitionist79,</v>
      </c>
      <c r="D81" s="5" t="str">
        <f t="shared" si="26"/>
        <v>itemText,dailCompTextDemolitionist79,</v>
      </c>
      <c r="E81" s="5" t="str">
        <f t="shared" si="36"/>
        <v>augmentSkillLevel1,5,</v>
      </c>
      <c r="F81" s="5" t="str">
        <f t="shared" si="37"/>
        <v>augmentSkillName1,records/skills/playerclass02/blackwater2.dbr,</v>
      </c>
      <c r="G81" s="7">
        <f t="shared" si="32"/>
        <v>79</v>
      </c>
      <c r="H81" s="8" t="str">
        <f t="shared" si="33"/>
        <v>Demolitionist</v>
      </c>
      <c r="I81" s="3" t="s">
        <v>273</v>
      </c>
      <c r="J81" s="8" t="str">
        <f t="shared" si="34"/>
        <v>class0002</v>
      </c>
      <c r="K81" s="8" t="str">
        <f t="shared" si="34"/>
        <v>dailoneskill0002</v>
      </c>
      <c r="L81" s="5" t="str">
        <f t="shared" si="27"/>
        <v>lootName79,DAIL/items/materia/class0002/Demolitionist79.dbr,</v>
      </c>
      <c r="M81" s="5" t="str">
        <f t="shared" si="28"/>
        <v>lootWeight79,1,</v>
      </c>
      <c r="N81" t="str">
        <f t="shared" si="29"/>
        <v>5</v>
      </c>
      <c r="O81" t="str">
        <f t="shared" si="38"/>
        <v>copy .\dail_base3.dbr .\items\materia\class0002\Demolitionist79.dbr /y</v>
      </c>
      <c r="P81" t="str">
        <f t="shared" si="24"/>
        <v>echo relicBitmap,items/craftingparts/components/component_a52_bristlyfur_b.tex, &gt;&gt; .\items\materia\class0002\Demolitionist79.dbr</v>
      </c>
      <c r="Q81" t="str">
        <f t="shared" si="24"/>
        <v>echo itemCost,500000, &gt;&gt; .\items\materia\class0002\Demolitionist79.dbr</v>
      </c>
      <c r="R81" t="str">
        <f t="shared" si="24"/>
        <v>echo description,dailCompDescDemolitionist79, &gt;&gt; .\items\materia\class0002\Demolitionist79.dbr</v>
      </c>
      <c r="S81" t="str">
        <f t="shared" si="24"/>
        <v>echo itemText,dailCompTextDemolitionist79, &gt;&gt; .\items\materia\class0002\Demolitionist79.dbr</v>
      </c>
      <c r="T81" t="str">
        <f t="shared" si="24"/>
        <v>echo augmentSkillLevel1,5, &gt;&gt; .\items\materia\class0002\Demolitionist79.dbr</v>
      </c>
      <c r="U81" t="str">
        <f t="shared" si="24"/>
        <v>echo augmentSkillName1,records/skills/playerclass02/blackwater2.dbr, &gt;&gt; .\items\materia\class0002\Demolitionist79.dbr</v>
      </c>
      <c r="V81" s="5" t="s">
        <v>36</v>
      </c>
      <c r="W81" t="str">
        <f t="shared" si="30"/>
        <v>echo lootName79,DAIL/items/materia/class0002/Demolitionist79.dbr, &gt;&gt; .\items\loottables\dailoneskill0002.dbr</v>
      </c>
      <c r="X81" t="str">
        <f t="shared" si="30"/>
        <v>echo lootWeight79,1, &gt;&gt; .\items\loottables\dailoneskill0002.dbr</v>
      </c>
      <c r="Y81" s="5" t="s">
        <v>36</v>
      </c>
      <c r="Z81" t="str">
        <f t="shared" si="31"/>
        <v xml:space="preserve"> dailCompDescDemolitionist79=^pDemolitionist's Gift of DAIL</v>
      </c>
      <c r="AA81" t="str">
        <f t="shared" si="39"/>
        <v>dailCompTextDemolitionist79=^oThis feels warm to the touch, almost familiar ^w(This component only fits into the Medal Slot)</v>
      </c>
      <c r="AB81" s="5" t="s">
        <v>36</v>
      </c>
      <c r="AH81">
        <f t="shared" si="41"/>
        <v>76</v>
      </c>
      <c r="AI81">
        <f t="shared" si="35"/>
        <v>30</v>
      </c>
      <c r="AJ81">
        <f t="shared" si="40"/>
        <v>5</v>
      </c>
    </row>
    <row r="82" spans="1:36" x14ac:dyDescent="0.25">
      <c r="A82" s="5" t="s">
        <v>39</v>
      </c>
      <c r="B82" s="5" t="s">
        <v>30</v>
      </c>
      <c r="C82" s="5" t="str">
        <f t="shared" si="25"/>
        <v>description,dailCompDescDemolitionist80,</v>
      </c>
      <c r="D82" s="5" t="str">
        <f t="shared" si="26"/>
        <v>itemText,dailCompTextDemolitionist80,</v>
      </c>
      <c r="E82" s="5" t="str">
        <f t="shared" si="36"/>
        <v>augmentSkillLevel1,5,</v>
      </c>
      <c r="F82" s="5" t="str">
        <f t="shared" si="37"/>
        <v>augmentSkillName1,records/skills/playerclass02/blackwater3.dbr,</v>
      </c>
      <c r="G82" s="7">
        <f t="shared" si="32"/>
        <v>80</v>
      </c>
      <c r="H82" s="8" t="str">
        <f t="shared" si="33"/>
        <v>Demolitionist</v>
      </c>
      <c r="I82" s="3" t="s">
        <v>274</v>
      </c>
      <c r="J82" s="8" t="str">
        <f t="shared" si="34"/>
        <v>class0002</v>
      </c>
      <c r="K82" s="8" t="str">
        <f t="shared" si="34"/>
        <v>dailoneskill0002</v>
      </c>
      <c r="L82" s="5" t="str">
        <f t="shared" si="27"/>
        <v>lootName80,DAIL/items/materia/class0002/Demolitionist80.dbr,</v>
      </c>
      <c r="M82" s="5" t="str">
        <f t="shared" si="28"/>
        <v>lootWeight80,1,</v>
      </c>
      <c r="N82" t="str">
        <f t="shared" si="29"/>
        <v>5</v>
      </c>
      <c r="O82" t="str">
        <f t="shared" si="38"/>
        <v>copy .\dail_base3.dbr .\items\materia\class0002\Demolitionist80.dbr /y</v>
      </c>
      <c r="P82" t="str">
        <f t="shared" si="24"/>
        <v>echo relicBitmap,items/craftingparts/components/component_a52_bristlyfur_b.tex, &gt;&gt; .\items\materia\class0002\Demolitionist80.dbr</v>
      </c>
      <c r="Q82" t="str">
        <f t="shared" si="24"/>
        <v>echo itemCost,500000, &gt;&gt; .\items\materia\class0002\Demolitionist80.dbr</v>
      </c>
      <c r="R82" t="str">
        <f t="shared" si="24"/>
        <v>echo description,dailCompDescDemolitionist80, &gt;&gt; .\items\materia\class0002\Demolitionist80.dbr</v>
      </c>
      <c r="S82" t="str">
        <f t="shared" si="24"/>
        <v>echo itemText,dailCompTextDemolitionist80, &gt;&gt; .\items\materia\class0002\Demolitionist80.dbr</v>
      </c>
      <c r="T82" t="str">
        <f t="shared" si="24"/>
        <v>echo augmentSkillLevel1,5, &gt;&gt; .\items\materia\class0002\Demolitionist80.dbr</v>
      </c>
      <c r="U82" t="str">
        <f t="shared" si="24"/>
        <v>echo augmentSkillName1,records/skills/playerclass02/blackwater3.dbr, &gt;&gt; .\items\materia\class0002\Demolitionist80.dbr</v>
      </c>
      <c r="V82" s="5" t="s">
        <v>36</v>
      </c>
      <c r="W82" t="str">
        <f t="shared" si="30"/>
        <v>echo lootName80,DAIL/items/materia/class0002/Demolitionist80.dbr, &gt;&gt; .\items\loottables\dailoneskill0002.dbr</v>
      </c>
      <c r="X82" t="str">
        <f t="shared" si="30"/>
        <v>echo lootWeight80,1, &gt;&gt; .\items\loottables\dailoneskill0002.dbr</v>
      </c>
      <c r="Y82" s="5" t="s">
        <v>36</v>
      </c>
      <c r="Z82" t="str">
        <f t="shared" si="31"/>
        <v xml:space="preserve"> dailCompDescDemolitionist80=^pDemolitionist's Gift of DAIL</v>
      </c>
      <c r="AA82" t="str">
        <f t="shared" si="39"/>
        <v>dailCompTextDemolitionist80=^oThis feels warm to the touch, almost familiar ^w(This component only fits into the Medal Slot)</v>
      </c>
      <c r="AB82" s="5" t="s">
        <v>36</v>
      </c>
      <c r="AH82">
        <f t="shared" si="41"/>
        <v>77</v>
      </c>
      <c r="AI82">
        <f t="shared" si="35"/>
        <v>30</v>
      </c>
      <c r="AJ82">
        <f t="shared" si="40"/>
        <v>5</v>
      </c>
    </row>
    <row r="83" spans="1:36" x14ac:dyDescent="0.25">
      <c r="A83" s="5" t="s">
        <v>39</v>
      </c>
      <c r="B83" s="5" t="s">
        <v>30</v>
      </c>
      <c r="C83" s="5" t="str">
        <f t="shared" si="25"/>
        <v>description,dailCompDescDemolitionist81,</v>
      </c>
      <c r="D83" s="5" t="str">
        <f t="shared" si="26"/>
        <v>itemText,dailCompTextDemolitionist81,</v>
      </c>
      <c r="E83" s="5" t="str">
        <f t="shared" si="36"/>
        <v>augmentSkillLevel1,5,</v>
      </c>
      <c r="F83" s="5" t="str">
        <f t="shared" si="37"/>
        <v>augmentSkillName1,records/skills/playerclass02/mortartrap1.dbr,</v>
      </c>
      <c r="G83" s="7">
        <f t="shared" si="32"/>
        <v>81</v>
      </c>
      <c r="H83" s="8" t="str">
        <f t="shared" si="33"/>
        <v>Demolitionist</v>
      </c>
      <c r="I83" s="3" t="s">
        <v>56</v>
      </c>
      <c r="J83" s="8" t="str">
        <f t="shared" si="34"/>
        <v>class0002</v>
      </c>
      <c r="K83" s="8" t="str">
        <f t="shared" si="34"/>
        <v>dailoneskill0002</v>
      </c>
      <c r="L83" s="5" t="str">
        <f t="shared" si="27"/>
        <v>lootName81,DAIL/items/materia/class0002/Demolitionist81.dbr,</v>
      </c>
      <c r="M83" s="5" t="str">
        <f t="shared" si="28"/>
        <v>lootWeight81,1,</v>
      </c>
      <c r="N83" t="str">
        <f t="shared" si="29"/>
        <v>5</v>
      </c>
      <c r="O83" t="str">
        <f t="shared" si="38"/>
        <v>copy .\dail_base3.dbr .\items\materia\class0002\Demolitionist81.dbr /y</v>
      </c>
      <c r="P83" t="str">
        <f t="shared" si="24"/>
        <v>echo relicBitmap,items/craftingparts/components/component_a52_bristlyfur_b.tex, &gt;&gt; .\items\materia\class0002\Demolitionist81.dbr</v>
      </c>
      <c r="Q83" t="str">
        <f t="shared" si="24"/>
        <v>echo itemCost,500000, &gt;&gt; .\items\materia\class0002\Demolitionist81.dbr</v>
      </c>
      <c r="R83" t="str">
        <f t="shared" si="24"/>
        <v>echo description,dailCompDescDemolitionist81, &gt;&gt; .\items\materia\class0002\Demolitionist81.dbr</v>
      </c>
      <c r="S83" t="str">
        <f t="shared" si="24"/>
        <v>echo itemText,dailCompTextDemolitionist81, &gt;&gt; .\items\materia\class0002\Demolitionist81.dbr</v>
      </c>
      <c r="T83" t="str">
        <f t="shared" si="24"/>
        <v>echo augmentSkillLevel1,5, &gt;&gt; .\items\materia\class0002\Demolitionist81.dbr</v>
      </c>
      <c r="U83" t="str">
        <f t="shared" si="24"/>
        <v>echo augmentSkillName1,records/skills/playerclass02/mortartrap1.dbr, &gt;&gt; .\items\materia\class0002\Demolitionist81.dbr</v>
      </c>
      <c r="V83" s="5" t="s">
        <v>36</v>
      </c>
      <c r="W83" t="str">
        <f t="shared" si="30"/>
        <v>echo lootName81,DAIL/items/materia/class0002/Demolitionist81.dbr, &gt;&gt; .\items\loottables\dailoneskill0002.dbr</v>
      </c>
      <c r="X83" t="str">
        <f t="shared" si="30"/>
        <v>echo lootWeight81,1, &gt;&gt; .\items\loottables\dailoneskill0002.dbr</v>
      </c>
      <c r="Y83" s="5" t="s">
        <v>36</v>
      </c>
      <c r="Z83" t="str">
        <f t="shared" si="31"/>
        <v xml:space="preserve"> dailCompDescDemolitionist81=^pDemolitionist's Gift of DAIL</v>
      </c>
      <c r="AA83" t="str">
        <f t="shared" si="39"/>
        <v>dailCompTextDemolitionist81=^oThis feels warm to the touch, almost familiar ^w(This component only fits into the Medal Slot)</v>
      </c>
      <c r="AB83" s="5" t="s">
        <v>36</v>
      </c>
      <c r="AH83">
        <f t="shared" si="41"/>
        <v>78</v>
      </c>
      <c r="AI83">
        <f t="shared" si="35"/>
        <v>30</v>
      </c>
      <c r="AJ83">
        <f t="shared" si="40"/>
        <v>5</v>
      </c>
    </row>
    <row r="84" spans="1:36" x14ac:dyDescent="0.25">
      <c r="A84" s="5" t="s">
        <v>39</v>
      </c>
      <c r="B84" s="5" t="s">
        <v>30</v>
      </c>
      <c r="C84" s="5" t="str">
        <f t="shared" si="25"/>
        <v>description,dailCompDescDemolitionist82,</v>
      </c>
      <c r="D84" s="5" t="str">
        <f t="shared" si="26"/>
        <v>itemText,dailCompTextDemolitionist82,</v>
      </c>
      <c r="E84" s="5" t="str">
        <f t="shared" si="36"/>
        <v>augmentSkillLevel1,5,</v>
      </c>
      <c r="F84" s="5" t="str">
        <f t="shared" si="37"/>
        <v>augmentSkillName1,records/skills/playerclass02/mortartrap2_petmod.dbr,</v>
      </c>
      <c r="G84" s="7">
        <f t="shared" si="32"/>
        <v>82</v>
      </c>
      <c r="H84" s="8" t="str">
        <f t="shared" si="33"/>
        <v>Demolitionist</v>
      </c>
      <c r="I84" s="3" t="s">
        <v>275</v>
      </c>
      <c r="J84" s="8" t="str">
        <f t="shared" si="34"/>
        <v>class0002</v>
      </c>
      <c r="K84" s="8" t="str">
        <f t="shared" si="34"/>
        <v>dailoneskill0002</v>
      </c>
      <c r="L84" s="5" t="str">
        <f t="shared" si="27"/>
        <v>lootName82,DAIL/items/materia/class0002/Demolitionist82.dbr,</v>
      </c>
      <c r="M84" s="5" t="str">
        <f t="shared" si="28"/>
        <v>lootWeight82,1,</v>
      </c>
      <c r="N84" t="str">
        <f t="shared" si="29"/>
        <v>5</v>
      </c>
      <c r="O84" t="str">
        <f t="shared" si="38"/>
        <v>copy .\dail_base3.dbr .\items\materia\class0002\Demolitionist82.dbr /y</v>
      </c>
      <c r="P84" t="str">
        <f t="shared" si="24"/>
        <v>echo relicBitmap,items/craftingparts/components/component_a52_bristlyfur_b.tex, &gt;&gt; .\items\materia\class0002\Demolitionist82.dbr</v>
      </c>
      <c r="Q84" t="str">
        <f t="shared" si="24"/>
        <v>echo itemCost,500000, &gt;&gt; .\items\materia\class0002\Demolitionist82.dbr</v>
      </c>
      <c r="R84" t="str">
        <f t="shared" si="24"/>
        <v>echo description,dailCompDescDemolitionist82, &gt;&gt; .\items\materia\class0002\Demolitionist82.dbr</v>
      </c>
      <c r="S84" t="str">
        <f t="shared" si="24"/>
        <v>echo itemText,dailCompTextDemolitionist82, &gt;&gt; .\items\materia\class0002\Demolitionist82.dbr</v>
      </c>
      <c r="T84" t="str">
        <f t="shared" si="24"/>
        <v>echo augmentSkillLevel1,5, &gt;&gt; .\items\materia\class0002\Demolitionist82.dbr</v>
      </c>
      <c r="U84" t="str">
        <f t="shared" si="24"/>
        <v>echo augmentSkillName1,records/skills/playerclass02/mortartrap2_petmod.dbr, &gt;&gt; .\items\materia\class0002\Demolitionist82.dbr</v>
      </c>
      <c r="V84" s="5" t="s">
        <v>36</v>
      </c>
      <c r="W84" t="str">
        <f t="shared" si="30"/>
        <v>echo lootName82,DAIL/items/materia/class0002/Demolitionist82.dbr, &gt;&gt; .\items\loottables\dailoneskill0002.dbr</v>
      </c>
      <c r="X84" t="str">
        <f t="shared" si="30"/>
        <v>echo lootWeight82,1, &gt;&gt; .\items\loottables\dailoneskill0002.dbr</v>
      </c>
      <c r="Y84" s="5" t="s">
        <v>36</v>
      </c>
      <c r="Z84" t="str">
        <f t="shared" si="31"/>
        <v xml:space="preserve"> dailCompDescDemolitionist82=^pDemolitionist's Gift of DAIL</v>
      </c>
      <c r="AA84" t="str">
        <f t="shared" si="39"/>
        <v>dailCompTextDemolitionist82=^oThis feels warm to the touch, almost familiar ^w(This component only fits into the Medal Slot)</v>
      </c>
      <c r="AB84" s="5" t="s">
        <v>36</v>
      </c>
      <c r="AH84">
        <f t="shared" si="41"/>
        <v>79</v>
      </c>
      <c r="AI84">
        <f t="shared" si="35"/>
        <v>37</v>
      </c>
      <c r="AJ84">
        <f t="shared" si="40"/>
        <v>5</v>
      </c>
    </row>
    <row r="85" spans="1:36" x14ac:dyDescent="0.25">
      <c r="A85" s="5" t="s">
        <v>39</v>
      </c>
      <c r="B85" s="5" t="s">
        <v>30</v>
      </c>
      <c r="C85" s="5" t="str">
        <f t="shared" si="25"/>
        <v>description,dailCompDescDemolitionist83,</v>
      </c>
      <c r="D85" s="5" t="str">
        <f t="shared" si="26"/>
        <v>itemText,dailCompTextDemolitionist83,</v>
      </c>
      <c r="E85" s="5" t="str">
        <f t="shared" si="36"/>
        <v>augmentSkillLevel1,5,</v>
      </c>
      <c r="F85" s="5" t="str">
        <f t="shared" si="37"/>
        <v>augmentSkillName1,records/skills/playerclass02/mortartrap3_petmod.dbr,</v>
      </c>
      <c r="G85" s="7">
        <f t="shared" si="32"/>
        <v>83</v>
      </c>
      <c r="H85" s="8" t="str">
        <f t="shared" si="33"/>
        <v>Demolitionist</v>
      </c>
      <c r="I85" s="3" t="s">
        <v>276</v>
      </c>
      <c r="J85" s="8" t="str">
        <f t="shared" ref="J85:K100" si="42">J84</f>
        <v>class0002</v>
      </c>
      <c r="K85" s="8" t="str">
        <f t="shared" si="42"/>
        <v>dailoneskill0002</v>
      </c>
      <c r="L85" s="5" t="str">
        <f t="shared" si="27"/>
        <v>lootName83,DAIL/items/materia/class0002/Demolitionist83.dbr,</v>
      </c>
      <c r="M85" s="5" t="str">
        <f t="shared" si="28"/>
        <v>lootWeight83,1,</v>
      </c>
      <c r="N85" t="str">
        <f t="shared" si="29"/>
        <v>5</v>
      </c>
      <c r="O85" t="str">
        <f t="shared" si="38"/>
        <v>copy .\dail_base3.dbr .\items\materia\class0002\Demolitionist83.dbr /y</v>
      </c>
      <c r="P85" t="str">
        <f t="shared" si="24"/>
        <v>echo relicBitmap,items/craftingparts/components/component_a52_bristlyfur_b.tex, &gt;&gt; .\items\materia\class0002\Demolitionist83.dbr</v>
      </c>
      <c r="Q85" t="str">
        <f t="shared" si="24"/>
        <v>echo itemCost,500000, &gt;&gt; .\items\materia\class0002\Demolitionist83.dbr</v>
      </c>
      <c r="R85" t="str">
        <f t="shared" si="24"/>
        <v>echo description,dailCompDescDemolitionist83, &gt;&gt; .\items\materia\class0002\Demolitionist83.dbr</v>
      </c>
      <c r="S85" t="str">
        <f t="shared" si="24"/>
        <v>echo itemText,dailCompTextDemolitionist83, &gt;&gt; .\items\materia\class0002\Demolitionist83.dbr</v>
      </c>
      <c r="T85" t="str">
        <f t="shared" si="24"/>
        <v>echo augmentSkillLevel1,5, &gt;&gt; .\items\materia\class0002\Demolitionist83.dbr</v>
      </c>
      <c r="U85" t="str">
        <f t="shared" si="24"/>
        <v>echo augmentSkillName1,records/skills/playerclass02/mortartrap3_petmod.dbr, &gt;&gt; .\items\materia\class0002\Demolitionist83.dbr</v>
      </c>
      <c r="V85" s="5" t="s">
        <v>36</v>
      </c>
      <c r="W85" t="str">
        <f t="shared" si="30"/>
        <v>echo lootName83,DAIL/items/materia/class0002/Demolitionist83.dbr, &gt;&gt; .\items\loottables\dailoneskill0002.dbr</v>
      </c>
      <c r="X85" t="str">
        <f t="shared" si="30"/>
        <v>echo lootWeight83,1, &gt;&gt; .\items\loottables\dailoneskill0002.dbr</v>
      </c>
      <c r="Y85" s="5" t="s">
        <v>36</v>
      </c>
      <c r="Z85" t="str">
        <f t="shared" si="31"/>
        <v xml:space="preserve"> dailCompDescDemolitionist83=^pDemolitionist's Gift of DAIL</v>
      </c>
      <c r="AA85" t="str">
        <f t="shared" si="39"/>
        <v>dailCompTextDemolitionist83=^oThis feels warm to the touch, almost familiar ^w(This component only fits into the Medal Slot)</v>
      </c>
      <c r="AB85" s="5" t="s">
        <v>36</v>
      </c>
      <c r="AH85">
        <f t="shared" si="41"/>
        <v>80</v>
      </c>
      <c r="AI85">
        <f t="shared" si="35"/>
        <v>37</v>
      </c>
      <c r="AJ85">
        <f t="shared" si="40"/>
        <v>5</v>
      </c>
    </row>
    <row r="86" spans="1:36" x14ac:dyDescent="0.25">
      <c r="A86" s="5" t="s">
        <v>39</v>
      </c>
      <c r="B86" s="5" t="s">
        <v>30</v>
      </c>
      <c r="C86" s="5" t="str">
        <f t="shared" si="25"/>
        <v>description,dailCompDescDemolitionist84,</v>
      </c>
      <c r="D86" s="5" t="str">
        <f t="shared" si="26"/>
        <v>itemText,dailCompTextDemolitionist84,</v>
      </c>
      <c r="E86" s="5" t="str">
        <f t="shared" si="36"/>
        <v>augmentSkillLevel1,5,</v>
      </c>
      <c r="F86" s="5" t="str">
        <f t="shared" si="37"/>
        <v>augmentSkillName1,records/skills/playerclass02/canisterbomb1.dbr,</v>
      </c>
      <c r="G86" s="7">
        <f t="shared" si="32"/>
        <v>84</v>
      </c>
      <c r="H86" s="8" t="str">
        <f t="shared" si="33"/>
        <v>Demolitionist</v>
      </c>
      <c r="I86" s="3" t="s">
        <v>52</v>
      </c>
      <c r="J86" s="8" t="str">
        <f t="shared" si="42"/>
        <v>class0002</v>
      </c>
      <c r="K86" s="8" t="str">
        <f t="shared" si="42"/>
        <v>dailoneskill0002</v>
      </c>
      <c r="L86" s="5" t="str">
        <f t="shared" si="27"/>
        <v>lootName84,DAIL/items/materia/class0002/Demolitionist84.dbr,</v>
      </c>
      <c r="M86" s="5" t="str">
        <f t="shared" si="28"/>
        <v>lootWeight84,1,</v>
      </c>
      <c r="N86" t="str">
        <f t="shared" si="29"/>
        <v>5</v>
      </c>
      <c r="O86" t="str">
        <f t="shared" si="38"/>
        <v>copy .\dail_base3.dbr .\items\materia\class0002\Demolitionist84.dbr /y</v>
      </c>
      <c r="P86" t="str">
        <f t="shared" si="24"/>
        <v>echo relicBitmap,items/craftingparts/components/component_a52_bristlyfur_b.tex, &gt;&gt; .\items\materia\class0002\Demolitionist84.dbr</v>
      </c>
      <c r="Q86" t="str">
        <f t="shared" si="24"/>
        <v>echo itemCost,500000, &gt;&gt; .\items\materia\class0002\Demolitionist84.dbr</v>
      </c>
      <c r="R86" t="str">
        <f t="shared" si="24"/>
        <v>echo description,dailCompDescDemolitionist84, &gt;&gt; .\items\materia\class0002\Demolitionist84.dbr</v>
      </c>
      <c r="S86" t="str">
        <f t="shared" si="24"/>
        <v>echo itemText,dailCompTextDemolitionist84, &gt;&gt; .\items\materia\class0002\Demolitionist84.dbr</v>
      </c>
      <c r="T86" t="str">
        <f t="shared" si="24"/>
        <v>echo augmentSkillLevel1,5, &gt;&gt; .\items\materia\class0002\Demolitionist84.dbr</v>
      </c>
      <c r="U86" t="str">
        <f t="shared" si="24"/>
        <v>echo augmentSkillName1,records/skills/playerclass02/canisterbomb1.dbr, &gt;&gt; .\items\materia\class0002\Demolitionist84.dbr</v>
      </c>
      <c r="V86" s="5" t="s">
        <v>36</v>
      </c>
      <c r="W86" t="str">
        <f t="shared" si="30"/>
        <v>echo lootName84,DAIL/items/materia/class0002/Demolitionist84.dbr, &gt;&gt; .\items\loottables\dailoneskill0002.dbr</v>
      </c>
      <c r="X86" t="str">
        <f t="shared" si="30"/>
        <v>echo lootWeight84,1, &gt;&gt; .\items\loottables\dailoneskill0002.dbr</v>
      </c>
      <c r="Y86" s="5" t="s">
        <v>36</v>
      </c>
      <c r="Z86" t="str">
        <f t="shared" si="31"/>
        <v xml:space="preserve"> dailCompDescDemolitionist84=^pDemolitionist's Gift of DAIL</v>
      </c>
      <c r="AA86" t="str">
        <f t="shared" si="39"/>
        <v>dailCompTextDemolitionist84=^oThis feels warm to the touch, almost familiar ^w(This component only fits into the Medal Slot)</v>
      </c>
      <c r="AB86" s="5" t="s">
        <v>36</v>
      </c>
      <c r="AH86">
        <f t="shared" si="41"/>
        <v>81</v>
      </c>
      <c r="AI86">
        <f t="shared" si="35"/>
        <v>32</v>
      </c>
      <c r="AJ86">
        <f t="shared" si="40"/>
        <v>5</v>
      </c>
    </row>
    <row r="87" spans="1:36" x14ac:dyDescent="0.25">
      <c r="A87" s="5" t="s">
        <v>39</v>
      </c>
      <c r="B87" s="5" t="s">
        <v>30</v>
      </c>
      <c r="C87" s="5" t="str">
        <f t="shared" si="25"/>
        <v>description,dailCompDescDemolitionist85,</v>
      </c>
      <c r="D87" s="5" t="str">
        <f t="shared" si="26"/>
        <v>itemText,dailCompTextDemolitionist85,</v>
      </c>
      <c r="E87" s="5" t="str">
        <f t="shared" si="36"/>
        <v>augmentSkillLevel1,5,</v>
      </c>
      <c r="F87" s="5" t="str">
        <f t="shared" si="37"/>
        <v>augmentSkillName1,records/skills/playerclass02/canisterbomb1b.dbr,</v>
      </c>
      <c r="G87" s="7">
        <f t="shared" si="32"/>
        <v>85</v>
      </c>
      <c r="H87" s="8" t="str">
        <f t="shared" si="33"/>
        <v>Demolitionist</v>
      </c>
      <c r="I87" s="3" t="s">
        <v>277</v>
      </c>
      <c r="J87" s="8" t="str">
        <f t="shared" si="42"/>
        <v>class0002</v>
      </c>
      <c r="K87" s="8" t="str">
        <f t="shared" si="42"/>
        <v>dailoneskill0002</v>
      </c>
      <c r="L87" s="5" t="str">
        <f t="shared" si="27"/>
        <v>lootName85,DAIL/items/materia/class0002/Demolitionist85.dbr,</v>
      </c>
      <c r="M87" s="5" t="str">
        <f t="shared" si="28"/>
        <v>lootWeight85,1,</v>
      </c>
      <c r="N87" t="str">
        <f t="shared" si="29"/>
        <v>5</v>
      </c>
      <c r="O87" t="str">
        <f t="shared" si="38"/>
        <v>copy .\dail_base3.dbr .\items\materia\class0002\Demolitionist85.dbr /y</v>
      </c>
      <c r="P87" t="str">
        <f t="shared" si="24"/>
        <v>echo relicBitmap,items/craftingparts/components/component_a52_bristlyfur_b.tex, &gt;&gt; .\items\materia\class0002\Demolitionist85.dbr</v>
      </c>
      <c r="Q87" t="str">
        <f t="shared" si="24"/>
        <v>echo itemCost,500000, &gt;&gt; .\items\materia\class0002\Demolitionist85.dbr</v>
      </c>
      <c r="R87" t="str">
        <f t="shared" si="24"/>
        <v>echo description,dailCompDescDemolitionist85, &gt;&gt; .\items\materia\class0002\Demolitionist85.dbr</v>
      </c>
      <c r="S87" t="str">
        <f t="shared" si="24"/>
        <v>echo itemText,dailCompTextDemolitionist85, &gt;&gt; .\items\materia\class0002\Demolitionist85.dbr</v>
      </c>
      <c r="T87" t="str">
        <f t="shared" si="24"/>
        <v>echo augmentSkillLevel1,5, &gt;&gt; .\items\materia\class0002\Demolitionist85.dbr</v>
      </c>
      <c r="U87" t="str">
        <f t="shared" si="24"/>
        <v>echo augmentSkillName1,records/skills/playerclass02/canisterbomb1b.dbr, &gt;&gt; .\items\materia\class0002\Demolitionist85.dbr</v>
      </c>
      <c r="V87" s="5" t="s">
        <v>36</v>
      </c>
      <c r="W87" t="str">
        <f t="shared" si="30"/>
        <v>echo lootName85,DAIL/items/materia/class0002/Demolitionist85.dbr, &gt;&gt; .\items\loottables\dailoneskill0002.dbr</v>
      </c>
      <c r="X87" t="str">
        <f t="shared" si="30"/>
        <v>echo lootWeight85,1, &gt;&gt; .\items\loottables\dailoneskill0002.dbr</v>
      </c>
      <c r="Y87" s="5" t="s">
        <v>36</v>
      </c>
      <c r="Z87" t="str">
        <f t="shared" si="31"/>
        <v xml:space="preserve"> dailCompDescDemolitionist85=^pDemolitionist's Gift of DAIL</v>
      </c>
      <c r="AA87" t="str">
        <f t="shared" si="39"/>
        <v>dailCompTextDemolitionist85=^oThis feels warm to the touch, almost familiar ^w(This component only fits into the Medal Slot)</v>
      </c>
      <c r="AB87" s="5" t="s">
        <v>36</v>
      </c>
      <c r="AH87">
        <f t="shared" si="41"/>
        <v>82</v>
      </c>
      <c r="AI87">
        <f t="shared" si="35"/>
        <v>33</v>
      </c>
      <c r="AJ87">
        <f t="shared" si="40"/>
        <v>5</v>
      </c>
    </row>
    <row r="88" spans="1:36" x14ac:dyDescent="0.25">
      <c r="A88" s="5" t="s">
        <v>39</v>
      </c>
      <c r="B88" s="5" t="s">
        <v>30</v>
      </c>
      <c r="C88" s="5" t="str">
        <f t="shared" si="25"/>
        <v>description,dailCompDescDemolitionist86,</v>
      </c>
      <c r="D88" s="5" t="str">
        <f t="shared" si="26"/>
        <v>itemText,dailCompTextDemolitionist86,</v>
      </c>
      <c r="E88" s="5" t="str">
        <f t="shared" si="36"/>
        <v>augmentSkillLevel1,5,</v>
      </c>
      <c r="F88" s="5" t="str">
        <f t="shared" si="37"/>
        <v>augmentSkillName1,records/skills/playerclass02/canisterbomb2.dbr,</v>
      </c>
      <c r="G88" s="7">
        <f t="shared" si="32"/>
        <v>86</v>
      </c>
      <c r="H88" s="8" t="str">
        <f t="shared" si="33"/>
        <v>Demolitionist</v>
      </c>
      <c r="I88" s="3" t="s">
        <v>278</v>
      </c>
      <c r="J88" s="8" t="str">
        <f t="shared" si="42"/>
        <v>class0002</v>
      </c>
      <c r="K88" s="8" t="str">
        <f t="shared" si="42"/>
        <v>dailoneskill0002</v>
      </c>
      <c r="L88" s="5" t="str">
        <f t="shared" si="27"/>
        <v>lootName86,DAIL/items/materia/class0002/Demolitionist86.dbr,</v>
      </c>
      <c r="M88" s="5" t="str">
        <f t="shared" si="28"/>
        <v>lootWeight86,1,</v>
      </c>
      <c r="N88" t="str">
        <f t="shared" si="29"/>
        <v>5</v>
      </c>
      <c r="O88" t="str">
        <f t="shared" si="38"/>
        <v>copy .\dail_base3.dbr .\items\materia\class0002\Demolitionist86.dbr /y</v>
      </c>
      <c r="P88" t="str">
        <f t="shared" si="24"/>
        <v>echo relicBitmap,items/craftingparts/components/component_a52_bristlyfur_b.tex, &gt;&gt; .\items\materia\class0002\Demolitionist86.dbr</v>
      </c>
      <c r="Q88" t="str">
        <f t="shared" si="24"/>
        <v>echo itemCost,500000, &gt;&gt; .\items\materia\class0002\Demolitionist86.dbr</v>
      </c>
      <c r="R88" t="str">
        <f t="shared" si="24"/>
        <v>echo description,dailCompDescDemolitionist86, &gt;&gt; .\items\materia\class0002\Demolitionist86.dbr</v>
      </c>
      <c r="S88" t="str">
        <f t="shared" si="24"/>
        <v>echo itemText,dailCompTextDemolitionist86, &gt;&gt; .\items\materia\class0002\Demolitionist86.dbr</v>
      </c>
      <c r="T88" t="str">
        <f t="shared" si="24"/>
        <v>echo augmentSkillLevel1,5, &gt;&gt; .\items\materia\class0002\Demolitionist86.dbr</v>
      </c>
      <c r="U88" t="str">
        <f t="shared" si="24"/>
        <v>echo augmentSkillName1,records/skills/playerclass02/canisterbomb2.dbr, &gt;&gt; .\items\materia\class0002\Demolitionist86.dbr</v>
      </c>
      <c r="V88" s="5" t="s">
        <v>36</v>
      </c>
      <c r="W88" t="str">
        <f t="shared" si="30"/>
        <v>echo lootName86,DAIL/items/materia/class0002/Demolitionist86.dbr, &gt;&gt; .\items\loottables\dailoneskill0002.dbr</v>
      </c>
      <c r="X88" t="str">
        <f t="shared" si="30"/>
        <v>echo lootWeight86,1, &gt;&gt; .\items\loottables\dailoneskill0002.dbr</v>
      </c>
      <c r="Y88" s="5" t="s">
        <v>36</v>
      </c>
      <c r="Z88" t="str">
        <f t="shared" si="31"/>
        <v xml:space="preserve"> dailCompDescDemolitionist86=^pDemolitionist's Gift of DAIL</v>
      </c>
      <c r="AA88" t="str">
        <f t="shared" si="39"/>
        <v>dailCompTextDemolitionist86=^oThis feels warm to the touch, almost familiar ^w(This component only fits into the Medal Slot)</v>
      </c>
      <c r="AB88" s="5" t="s">
        <v>36</v>
      </c>
      <c r="AH88">
        <f t="shared" si="41"/>
        <v>83</v>
      </c>
      <c r="AI88">
        <f t="shared" si="35"/>
        <v>32</v>
      </c>
      <c r="AJ88">
        <f t="shared" si="40"/>
        <v>5</v>
      </c>
    </row>
    <row r="89" spans="1:36" x14ac:dyDescent="0.25">
      <c r="A89" s="5" t="s">
        <v>39</v>
      </c>
      <c r="B89" s="5" t="s">
        <v>30</v>
      </c>
      <c r="C89" s="5" t="str">
        <f t="shared" si="25"/>
        <v>description,dailCompDescDemolitionist87,</v>
      </c>
      <c r="D89" s="5" t="str">
        <f t="shared" si="26"/>
        <v>itemText,dailCompTextDemolitionist87,</v>
      </c>
      <c r="E89" s="5" t="str">
        <f t="shared" si="36"/>
        <v>augmentSkillLevel1,5,</v>
      </c>
      <c r="F89" s="5" t="str">
        <f t="shared" si="37"/>
        <v>augmentSkillName1,records/skills/playerclass02/passive2.dbr,</v>
      </c>
      <c r="G89" s="7">
        <f t="shared" si="32"/>
        <v>87</v>
      </c>
      <c r="H89" s="8" t="str">
        <f t="shared" si="33"/>
        <v>Demolitionist</v>
      </c>
      <c r="I89" s="3" t="s">
        <v>269</v>
      </c>
      <c r="J89" s="8" t="str">
        <f t="shared" si="42"/>
        <v>class0002</v>
      </c>
      <c r="K89" s="8" t="str">
        <f t="shared" si="42"/>
        <v>dailoneskill0002</v>
      </c>
      <c r="L89" s="5" t="str">
        <f t="shared" si="27"/>
        <v>lootName87,DAIL/items/materia/class0002/Demolitionist87.dbr,</v>
      </c>
      <c r="M89" s="5" t="str">
        <f t="shared" si="28"/>
        <v>lootWeight87,1,</v>
      </c>
      <c r="N89" t="str">
        <f t="shared" si="29"/>
        <v>5</v>
      </c>
      <c r="O89" t="str">
        <f t="shared" si="38"/>
        <v>copy .\dail_base3.dbr .\items\materia\class0002\Demolitionist87.dbr /y</v>
      </c>
      <c r="P89" t="str">
        <f t="shared" si="24"/>
        <v>echo relicBitmap,items/craftingparts/components/component_a52_bristlyfur_b.tex, &gt;&gt; .\items\materia\class0002\Demolitionist87.dbr</v>
      </c>
      <c r="Q89" t="str">
        <f t="shared" si="24"/>
        <v>echo itemCost,500000, &gt;&gt; .\items\materia\class0002\Demolitionist87.dbr</v>
      </c>
      <c r="R89" t="str">
        <f t="shared" si="24"/>
        <v>echo description,dailCompDescDemolitionist87, &gt;&gt; .\items\materia\class0002\Demolitionist87.dbr</v>
      </c>
      <c r="S89" t="str">
        <f t="shared" si="24"/>
        <v>echo itemText,dailCompTextDemolitionist87, &gt;&gt; .\items\materia\class0002\Demolitionist87.dbr</v>
      </c>
      <c r="T89" t="str">
        <f t="shared" si="24"/>
        <v>echo augmentSkillLevel1,5, &gt;&gt; .\items\materia\class0002\Demolitionist87.dbr</v>
      </c>
      <c r="U89" t="str">
        <f t="shared" si="24"/>
        <v>echo augmentSkillName1,records/skills/playerclass02/passive2.dbr, &gt;&gt; .\items\materia\class0002\Demolitionist87.dbr</v>
      </c>
      <c r="V89" s="5" t="s">
        <v>36</v>
      </c>
      <c r="W89" t="str">
        <f t="shared" si="30"/>
        <v>echo lootName87,DAIL/items/materia/class0002/Demolitionist87.dbr, &gt;&gt; .\items\loottables\dailoneskill0002.dbr</v>
      </c>
      <c r="X89" t="str">
        <f t="shared" si="30"/>
        <v>echo lootWeight87,1, &gt;&gt; .\items\loottables\dailoneskill0002.dbr</v>
      </c>
      <c r="Y89" s="5" t="s">
        <v>36</v>
      </c>
      <c r="Z89" t="str">
        <f t="shared" si="31"/>
        <v xml:space="preserve"> dailCompDescDemolitionist87=^pDemolitionist's Gift of DAIL</v>
      </c>
      <c r="AA89" t="str">
        <f t="shared" si="39"/>
        <v>dailCompTextDemolitionist87=^oThis feels warm to the touch, almost familiar ^w(This component only fits into the Medal Slot)</v>
      </c>
      <c r="AB89" s="5" t="s">
        <v>36</v>
      </c>
      <c r="AH89">
        <f t="shared" si="41"/>
        <v>84</v>
      </c>
      <c r="AI89">
        <f t="shared" si="35"/>
        <v>27</v>
      </c>
      <c r="AJ89">
        <f t="shared" si="40"/>
        <v>5</v>
      </c>
    </row>
    <row r="90" spans="1:36" x14ac:dyDescent="0.25">
      <c r="A90" s="5" t="s">
        <v>39</v>
      </c>
      <c r="B90" s="5" t="s">
        <v>30</v>
      </c>
      <c r="C90" s="5" t="str">
        <f t="shared" si="25"/>
        <v>description,dailCompDescDemolitionist88,</v>
      </c>
      <c r="D90" s="5" t="str">
        <f t="shared" si="26"/>
        <v>itemText,dailCompTextDemolitionist88,</v>
      </c>
      <c r="E90" s="5" t="str">
        <f t="shared" si="36"/>
        <v>augmentSkillLevel1,5,</v>
      </c>
      <c r="F90" s="5" t="str">
        <f t="shared" si="37"/>
        <v>augmentSkillName1,records/skills/playerclass02/vindictiveflame1.dbr,</v>
      </c>
      <c r="G90" s="7">
        <f t="shared" si="32"/>
        <v>88</v>
      </c>
      <c r="H90" s="8" t="str">
        <f t="shared" si="33"/>
        <v>Demolitionist</v>
      </c>
      <c r="I90" s="3" t="s">
        <v>60</v>
      </c>
      <c r="J90" s="8" t="str">
        <f t="shared" si="42"/>
        <v>class0002</v>
      </c>
      <c r="K90" s="8" t="str">
        <f t="shared" si="42"/>
        <v>dailoneskill0002</v>
      </c>
      <c r="L90" s="5" t="str">
        <f t="shared" si="27"/>
        <v>lootName88,DAIL/items/materia/class0002/Demolitionist88.dbr,</v>
      </c>
      <c r="M90" s="5" t="str">
        <f t="shared" si="28"/>
        <v>lootWeight88,1,</v>
      </c>
      <c r="N90" t="str">
        <f t="shared" si="29"/>
        <v>5</v>
      </c>
      <c r="O90" t="str">
        <f t="shared" si="38"/>
        <v>copy .\dail_base3.dbr .\items\materia\class0002\Demolitionist88.dbr /y</v>
      </c>
      <c r="P90" t="str">
        <f t="shared" si="24"/>
        <v>echo relicBitmap,items/craftingparts/components/component_a52_bristlyfur_b.tex, &gt;&gt; .\items\materia\class0002\Demolitionist88.dbr</v>
      </c>
      <c r="Q90" t="str">
        <f t="shared" si="24"/>
        <v>echo itemCost,500000, &gt;&gt; .\items\materia\class0002\Demolitionist88.dbr</v>
      </c>
      <c r="R90" t="str">
        <f t="shared" si="24"/>
        <v>echo description,dailCompDescDemolitionist88, &gt;&gt; .\items\materia\class0002\Demolitionist88.dbr</v>
      </c>
      <c r="S90" t="str">
        <f t="shared" si="24"/>
        <v>echo itemText,dailCompTextDemolitionist88, &gt;&gt; .\items\materia\class0002\Demolitionist88.dbr</v>
      </c>
      <c r="T90" t="str">
        <f t="shared" si="24"/>
        <v>echo augmentSkillLevel1,5, &gt;&gt; .\items\materia\class0002\Demolitionist88.dbr</v>
      </c>
      <c r="U90" t="str">
        <f t="shared" si="24"/>
        <v>echo augmentSkillName1,records/skills/playerclass02/vindictiveflame1.dbr, &gt;&gt; .\items\materia\class0002\Demolitionist88.dbr</v>
      </c>
      <c r="V90" s="5" t="s">
        <v>36</v>
      </c>
      <c r="W90" t="str">
        <f t="shared" si="30"/>
        <v>echo lootName88,DAIL/items/materia/class0002/Demolitionist88.dbr, &gt;&gt; .\items\loottables\dailoneskill0002.dbr</v>
      </c>
      <c r="X90" t="str">
        <f t="shared" si="30"/>
        <v>echo lootWeight88,1, &gt;&gt; .\items\loottables\dailoneskill0002.dbr</v>
      </c>
      <c r="Y90" s="5" t="s">
        <v>36</v>
      </c>
      <c r="Z90" t="str">
        <f t="shared" si="31"/>
        <v xml:space="preserve"> dailCompDescDemolitionist88=^pDemolitionist's Gift of DAIL</v>
      </c>
      <c r="AA90" t="str">
        <f t="shared" si="39"/>
        <v>dailCompTextDemolitionist88=^oThis feels warm to the touch, almost familiar ^w(This component only fits into the Medal Slot)</v>
      </c>
      <c r="AB90" s="5" t="s">
        <v>36</v>
      </c>
      <c r="AH90">
        <f t="shared" si="41"/>
        <v>85</v>
      </c>
      <c r="AI90">
        <f t="shared" si="35"/>
        <v>35</v>
      </c>
      <c r="AJ90">
        <f t="shared" si="40"/>
        <v>5</v>
      </c>
    </row>
    <row r="91" spans="1:36" x14ac:dyDescent="0.25">
      <c r="A91" s="5" t="s">
        <v>39</v>
      </c>
      <c r="B91" s="5" t="s">
        <v>30</v>
      </c>
      <c r="C91" s="5" t="str">
        <f t="shared" si="25"/>
        <v>description,dailCompDescDemolitionist89,</v>
      </c>
      <c r="D91" s="5" t="str">
        <f t="shared" si="26"/>
        <v>itemText,dailCompTextDemolitionist89,</v>
      </c>
      <c r="E91" s="5" t="str">
        <f t="shared" si="36"/>
        <v>augmentSkillLevel1,5,</v>
      </c>
      <c r="F91" s="5" t="str">
        <f t="shared" si="37"/>
        <v>augmentSkillName1,records/skills/playerclass02/blastshield2.dbr,</v>
      </c>
      <c r="G91" s="7">
        <f t="shared" si="32"/>
        <v>89</v>
      </c>
      <c r="H91" s="8" t="str">
        <f t="shared" si="33"/>
        <v>Demolitionist</v>
      </c>
      <c r="I91" s="3" t="s">
        <v>279</v>
      </c>
      <c r="J91" s="8" t="str">
        <f t="shared" si="42"/>
        <v>class0002</v>
      </c>
      <c r="K91" s="8" t="str">
        <f t="shared" si="42"/>
        <v>dailoneskill0002</v>
      </c>
      <c r="L91" s="5" t="str">
        <f t="shared" si="27"/>
        <v>lootName89,DAIL/items/materia/class0002/Demolitionist89.dbr,</v>
      </c>
      <c r="M91" s="5" t="str">
        <f t="shared" si="28"/>
        <v>lootWeight89,1,</v>
      </c>
      <c r="N91" t="str">
        <f t="shared" si="29"/>
        <v>5</v>
      </c>
      <c r="O91" t="str">
        <f t="shared" si="38"/>
        <v>copy .\dail_base3.dbr .\items\materia\class0002\Demolitionist89.dbr /y</v>
      </c>
      <c r="P91" t="str">
        <f t="shared" si="24"/>
        <v>echo relicBitmap,items/craftingparts/components/component_a52_bristlyfur_b.tex, &gt;&gt; .\items\materia\class0002\Demolitionist89.dbr</v>
      </c>
      <c r="Q91" t="str">
        <f t="shared" si="24"/>
        <v>echo itemCost,500000, &gt;&gt; .\items\materia\class0002\Demolitionist89.dbr</v>
      </c>
      <c r="R91" t="str">
        <f t="shared" si="24"/>
        <v>echo description,dailCompDescDemolitionist89, &gt;&gt; .\items\materia\class0002\Demolitionist89.dbr</v>
      </c>
      <c r="S91" t="str">
        <f t="shared" si="24"/>
        <v>echo itemText,dailCompTextDemolitionist89, &gt;&gt; .\items\materia\class0002\Demolitionist89.dbr</v>
      </c>
      <c r="T91" t="str">
        <f t="shared" si="24"/>
        <v>echo augmentSkillLevel1,5, &gt;&gt; .\items\materia\class0002\Demolitionist89.dbr</v>
      </c>
      <c r="U91" t="str">
        <f t="shared" si="24"/>
        <v>echo augmentSkillName1,records/skills/playerclass02/blastshield2.dbr, &gt;&gt; .\items\materia\class0002\Demolitionist89.dbr</v>
      </c>
      <c r="V91" s="5" t="s">
        <v>36</v>
      </c>
      <c r="W91" t="str">
        <f t="shared" si="30"/>
        <v>echo lootName89,DAIL/items/materia/class0002/Demolitionist89.dbr, &gt;&gt; .\items\loottables\dailoneskill0002.dbr</v>
      </c>
      <c r="X91" t="str">
        <f t="shared" si="30"/>
        <v>echo lootWeight89,1, &gt;&gt; .\items\loottables\dailoneskill0002.dbr</v>
      </c>
      <c r="Y91" s="5" t="s">
        <v>36</v>
      </c>
      <c r="Z91" t="str">
        <f t="shared" si="31"/>
        <v xml:space="preserve"> dailCompDescDemolitionist89=^pDemolitionist's Gift of DAIL</v>
      </c>
      <c r="AA91" t="str">
        <f t="shared" si="39"/>
        <v>dailCompTextDemolitionist89=^oThis feels warm to the touch, almost familiar ^w(This component only fits into the Medal Slot)</v>
      </c>
      <c r="AB91" s="5" t="s">
        <v>36</v>
      </c>
      <c r="AH91">
        <f t="shared" si="41"/>
        <v>86</v>
      </c>
      <c r="AI91">
        <f t="shared" si="35"/>
        <v>31</v>
      </c>
      <c r="AJ91">
        <f t="shared" si="40"/>
        <v>5</v>
      </c>
    </row>
    <row r="92" spans="1:36" x14ac:dyDescent="0.25">
      <c r="A92" s="5" t="s">
        <v>39</v>
      </c>
      <c r="B92" s="5" t="s">
        <v>30</v>
      </c>
      <c r="C92" s="5" t="str">
        <f t="shared" si="25"/>
        <v>description,dailCompDescDemolitionist90,</v>
      </c>
      <c r="D92" s="5" t="str">
        <f t="shared" si="26"/>
        <v>itemText,dailCompTextDemolitionist90,</v>
      </c>
      <c r="E92" s="5" t="str">
        <f t="shared" si="36"/>
        <v>augmentSkillLevel1,5,</v>
      </c>
      <c r="F92" s="5" t="str">
        <f t="shared" si="37"/>
        <v>augmentSkillName1,records/skills/playerclass02/vindictiveflame2.dbr,</v>
      </c>
      <c r="G92" s="7">
        <f t="shared" si="32"/>
        <v>90</v>
      </c>
      <c r="H92" s="8" t="str">
        <f t="shared" si="33"/>
        <v>Demolitionist</v>
      </c>
      <c r="I92" s="3" t="s">
        <v>280</v>
      </c>
      <c r="J92" s="8" t="str">
        <f t="shared" si="42"/>
        <v>class0002</v>
      </c>
      <c r="K92" s="8" t="str">
        <f t="shared" si="42"/>
        <v>dailoneskill0002</v>
      </c>
      <c r="L92" s="5" t="str">
        <f t="shared" si="27"/>
        <v>lootName90,DAIL/items/materia/class0002/Demolitionist90.dbr,</v>
      </c>
      <c r="M92" s="5" t="str">
        <f t="shared" si="28"/>
        <v>lootWeight90,1,</v>
      </c>
      <c r="N92" t="str">
        <f t="shared" si="29"/>
        <v>5</v>
      </c>
      <c r="O92" t="str">
        <f t="shared" si="38"/>
        <v>copy .\dail_base3.dbr .\items\materia\class0002\Demolitionist90.dbr /y</v>
      </c>
      <c r="P92" t="str">
        <f t="shared" si="24"/>
        <v>echo relicBitmap,items/craftingparts/components/component_a52_bristlyfur_b.tex, &gt;&gt; .\items\materia\class0002\Demolitionist90.dbr</v>
      </c>
      <c r="Q92" t="str">
        <f t="shared" si="24"/>
        <v>echo itemCost,500000, &gt;&gt; .\items\materia\class0002\Demolitionist90.dbr</v>
      </c>
      <c r="R92" t="str">
        <f t="shared" si="24"/>
        <v>echo description,dailCompDescDemolitionist90, &gt;&gt; .\items\materia\class0002\Demolitionist90.dbr</v>
      </c>
      <c r="S92" t="str">
        <f t="shared" si="24"/>
        <v>echo itemText,dailCompTextDemolitionist90, &gt;&gt; .\items\materia\class0002\Demolitionist90.dbr</v>
      </c>
      <c r="T92" t="str">
        <f t="shared" si="24"/>
        <v>echo augmentSkillLevel1,5, &gt;&gt; .\items\materia\class0002\Demolitionist90.dbr</v>
      </c>
      <c r="U92" t="str">
        <f t="shared" si="24"/>
        <v>echo augmentSkillName1,records/skills/playerclass02/vindictiveflame2.dbr, &gt;&gt; .\items\materia\class0002\Demolitionist90.dbr</v>
      </c>
      <c r="V92" s="5" t="s">
        <v>36</v>
      </c>
      <c r="W92" t="str">
        <f t="shared" si="30"/>
        <v>echo lootName90,DAIL/items/materia/class0002/Demolitionist90.dbr, &gt;&gt; .\items\loottables\dailoneskill0002.dbr</v>
      </c>
      <c r="X92" t="str">
        <f t="shared" si="30"/>
        <v>echo lootWeight90,1, &gt;&gt; .\items\loottables\dailoneskill0002.dbr</v>
      </c>
      <c r="Y92" s="5" t="s">
        <v>36</v>
      </c>
      <c r="Z92" t="str">
        <f t="shared" si="31"/>
        <v xml:space="preserve"> dailCompDescDemolitionist90=^pDemolitionist's Gift of DAIL</v>
      </c>
      <c r="AA92" t="str">
        <f t="shared" si="39"/>
        <v>dailCompTextDemolitionist90=^oThis feels warm to the touch, almost familiar ^w(This component only fits into the Medal Slot)</v>
      </c>
      <c r="AB92" s="5" t="s">
        <v>36</v>
      </c>
      <c r="AH92">
        <f t="shared" si="41"/>
        <v>87</v>
      </c>
      <c r="AI92">
        <f t="shared" si="35"/>
        <v>35</v>
      </c>
      <c r="AJ92">
        <f t="shared" si="40"/>
        <v>5</v>
      </c>
    </row>
    <row r="93" spans="1:36" x14ac:dyDescent="0.25">
      <c r="A93" s="5" t="s">
        <v>39</v>
      </c>
      <c r="B93" s="5" t="s">
        <v>30</v>
      </c>
      <c r="C93" s="5" t="str">
        <f t="shared" si="25"/>
        <v>description,dailCompDescDemolitionist91,</v>
      </c>
      <c r="D93" s="5" t="str">
        <f t="shared" si="26"/>
        <v>itemText,dailCompTextDemolitionist91,</v>
      </c>
      <c r="E93" s="5" t="str">
        <f t="shared" si="36"/>
        <v>augmentSkillLevel1,5,</v>
      </c>
      <c r="F93" s="5" t="str">
        <f t="shared" si="37"/>
        <v>augmentSkillName1,records/skills/playerclass02/thermitemines1.dbr,</v>
      </c>
      <c r="G93" s="7">
        <f t="shared" si="32"/>
        <v>91</v>
      </c>
      <c r="H93" s="8" t="str">
        <f t="shared" si="33"/>
        <v>Demolitionist</v>
      </c>
      <c r="I93" s="3" t="s">
        <v>59</v>
      </c>
      <c r="J93" s="8" t="str">
        <f t="shared" si="42"/>
        <v>class0002</v>
      </c>
      <c r="K93" s="8" t="str">
        <f t="shared" si="42"/>
        <v>dailoneskill0002</v>
      </c>
      <c r="L93" s="5" t="str">
        <f t="shared" si="27"/>
        <v>lootName91,DAIL/items/materia/class0002/Demolitionist91.dbr,</v>
      </c>
      <c r="M93" s="5" t="str">
        <f t="shared" si="28"/>
        <v>lootWeight91,1,</v>
      </c>
      <c r="N93" t="str">
        <f t="shared" si="29"/>
        <v>5</v>
      </c>
      <c r="O93" t="str">
        <f t="shared" si="38"/>
        <v>copy .\dail_base3.dbr .\items\materia\class0002\Demolitionist91.dbr /y</v>
      </c>
      <c r="P93" t="str">
        <f t="shared" si="24"/>
        <v>echo relicBitmap,items/craftingparts/components/component_a52_bristlyfur_b.tex, &gt;&gt; .\items\materia\class0002\Demolitionist91.dbr</v>
      </c>
      <c r="Q93" t="str">
        <f t="shared" si="24"/>
        <v>echo itemCost,500000, &gt;&gt; .\items\materia\class0002\Demolitionist91.dbr</v>
      </c>
      <c r="R93" t="str">
        <f t="shared" si="24"/>
        <v>echo description,dailCompDescDemolitionist91, &gt;&gt; .\items\materia\class0002\Demolitionist91.dbr</v>
      </c>
      <c r="S93" t="str">
        <f t="shared" si="24"/>
        <v>echo itemText,dailCompTextDemolitionist91, &gt;&gt; .\items\materia\class0002\Demolitionist91.dbr</v>
      </c>
      <c r="T93" t="str">
        <f t="shared" si="24"/>
        <v>echo augmentSkillLevel1,5, &gt;&gt; .\items\materia\class0002\Demolitionist91.dbr</v>
      </c>
      <c r="U93" t="str">
        <f t="shared" si="24"/>
        <v>echo augmentSkillName1,records/skills/playerclass02/thermitemines1.dbr, &gt;&gt; .\items\materia\class0002\Demolitionist91.dbr</v>
      </c>
      <c r="V93" s="5" t="s">
        <v>36</v>
      </c>
      <c r="W93" t="str">
        <f t="shared" si="30"/>
        <v>echo lootName91,DAIL/items/materia/class0002/Demolitionist91.dbr, &gt;&gt; .\items\loottables\dailoneskill0002.dbr</v>
      </c>
      <c r="X93" t="str">
        <f t="shared" si="30"/>
        <v>echo lootWeight91,1, &gt;&gt; .\items\loottables\dailoneskill0002.dbr</v>
      </c>
      <c r="Y93" s="5" t="s">
        <v>36</v>
      </c>
      <c r="Z93" t="str">
        <f t="shared" si="31"/>
        <v xml:space="preserve"> dailCompDescDemolitionist91=^pDemolitionist's Gift of DAIL</v>
      </c>
      <c r="AA93" t="str">
        <f t="shared" si="39"/>
        <v>dailCompTextDemolitionist91=^oThis feels warm to the touch, almost familiar ^w(This component only fits into the Medal Slot)</v>
      </c>
      <c r="AB93" s="5" t="s">
        <v>36</v>
      </c>
      <c r="AH93">
        <f t="shared" si="41"/>
        <v>88</v>
      </c>
      <c r="AI93">
        <f t="shared" si="35"/>
        <v>33</v>
      </c>
      <c r="AJ93">
        <f t="shared" si="40"/>
        <v>5</v>
      </c>
    </row>
    <row r="94" spans="1:36" x14ac:dyDescent="0.25">
      <c r="A94" s="5" t="s">
        <v>39</v>
      </c>
      <c r="B94" s="5" t="s">
        <v>30</v>
      </c>
      <c r="C94" s="5" t="str">
        <f t="shared" si="25"/>
        <v>description,dailCompDescDemolitionist92,</v>
      </c>
      <c r="D94" s="5" t="str">
        <f t="shared" si="26"/>
        <v>itemText,dailCompTextDemolitionist92,</v>
      </c>
      <c r="E94" s="5" t="str">
        <f t="shared" si="36"/>
        <v>augmentSkillLevel1,5,</v>
      </c>
      <c r="F94" s="5" t="str">
        <f t="shared" si="37"/>
        <v>augmentSkillName1,records/skills/playerclass02/thermitemines2_petmod.dbr,</v>
      </c>
      <c r="G94" s="7">
        <f t="shared" si="32"/>
        <v>92</v>
      </c>
      <c r="H94" s="8" t="str">
        <f t="shared" si="33"/>
        <v>Demolitionist</v>
      </c>
      <c r="I94" s="3" t="s">
        <v>281</v>
      </c>
      <c r="J94" s="8" t="str">
        <f t="shared" si="42"/>
        <v>class0002</v>
      </c>
      <c r="K94" s="8" t="str">
        <f t="shared" si="42"/>
        <v>dailoneskill0002</v>
      </c>
      <c r="L94" s="5" t="str">
        <f t="shared" si="27"/>
        <v>lootName92,DAIL/items/materia/class0002/Demolitionist92.dbr,</v>
      </c>
      <c r="M94" s="5" t="str">
        <f t="shared" si="28"/>
        <v>lootWeight92,1,</v>
      </c>
      <c r="N94" t="str">
        <f t="shared" si="29"/>
        <v>5</v>
      </c>
      <c r="O94" t="str">
        <f t="shared" si="38"/>
        <v>copy .\dail_base3.dbr .\items\materia\class0002\Demolitionist92.dbr /y</v>
      </c>
      <c r="P94" t="str">
        <f t="shared" si="24"/>
        <v>echo relicBitmap,items/craftingparts/components/component_a52_bristlyfur_b.tex, &gt;&gt; .\items\materia\class0002\Demolitionist92.dbr</v>
      </c>
      <c r="Q94" t="str">
        <f t="shared" si="24"/>
        <v>echo itemCost,500000, &gt;&gt; .\items\materia\class0002\Demolitionist92.dbr</v>
      </c>
      <c r="R94" t="str">
        <f t="shared" si="24"/>
        <v>echo description,dailCompDescDemolitionist92, &gt;&gt; .\items\materia\class0002\Demolitionist92.dbr</v>
      </c>
      <c r="S94" t="str">
        <f t="shared" si="24"/>
        <v>echo itemText,dailCompTextDemolitionist92, &gt;&gt; .\items\materia\class0002\Demolitionist92.dbr</v>
      </c>
      <c r="T94" t="str">
        <f t="shared" si="24"/>
        <v>echo augmentSkillLevel1,5, &gt;&gt; .\items\materia\class0002\Demolitionist92.dbr</v>
      </c>
      <c r="U94" t="str">
        <f t="shared" si="24"/>
        <v>echo augmentSkillName1,records/skills/playerclass02/thermitemines2_petmod.dbr, &gt;&gt; .\items\materia\class0002\Demolitionist92.dbr</v>
      </c>
      <c r="V94" s="5" t="s">
        <v>36</v>
      </c>
      <c r="W94" t="str">
        <f t="shared" si="30"/>
        <v>echo lootName92,DAIL/items/materia/class0002/Demolitionist92.dbr, &gt;&gt; .\items\loottables\dailoneskill0002.dbr</v>
      </c>
      <c r="X94" t="str">
        <f t="shared" si="30"/>
        <v>echo lootWeight92,1, &gt;&gt; .\items\loottables\dailoneskill0002.dbr</v>
      </c>
      <c r="Y94" s="5" t="s">
        <v>36</v>
      </c>
      <c r="Z94" t="str">
        <f t="shared" si="31"/>
        <v xml:space="preserve"> dailCompDescDemolitionist92=^pDemolitionist's Gift of DAIL</v>
      </c>
      <c r="AA94" t="str">
        <f t="shared" si="39"/>
        <v>dailCompTextDemolitionist92=^oThis feels warm to the touch, almost familiar ^w(This component only fits into the Medal Slot)</v>
      </c>
      <c r="AB94" s="5" t="s">
        <v>36</v>
      </c>
      <c r="AH94">
        <f t="shared" si="41"/>
        <v>89</v>
      </c>
      <c r="AI94">
        <f t="shared" si="35"/>
        <v>40</v>
      </c>
      <c r="AJ94">
        <f t="shared" si="40"/>
        <v>5</v>
      </c>
    </row>
    <row r="95" spans="1:36" x14ac:dyDescent="0.25">
      <c r="A95" s="5" t="s">
        <v>39</v>
      </c>
      <c r="B95" s="5" t="s">
        <v>30</v>
      </c>
      <c r="C95" s="5" t="str">
        <f t="shared" si="25"/>
        <v>description,dailCompDescDemolitionist93,</v>
      </c>
      <c r="D95" s="5" t="str">
        <f t="shared" si="26"/>
        <v>itemText,dailCompTextDemolitionist93,</v>
      </c>
      <c r="E95" s="5" t="str">
        <f t="shared" si="36"/>
        <v>augmentSkillLevel1,5,</v>
      </c>
      <c r="F95" s="5" t="str">
        <f t="shared" si="37"/>
        <v>augmentSkillName1,records/skills/playerclass02/flashbang1.dbr,</v>
      </c>
      <c r="G95" s="7">
        <f t="shared" si="32"/>
        <v>93</v>
      </c>
      <c r="H95" s="8" t="str">
        <f t="shared" si="33"/>
        <v>Demolitionist</v>
      </c>
      <c r="I95" s="3" t="s">
        <v>54</v>
      </c>
      <c r="J95" s="8" t="str">
        <f t="shared" si="42"/>
        <v>class0002</v>
      </c>
      <c r="K95" s="8" t="str">
        <f t="shared" si="42"/>
        <v>dailoneskill0002</v>
      </c>
      <c r="L95" s="5" t="str">
        <f t="shared" si="27"/>
        <v>lootName93,DAIL/items/materia/class0002/Demolitionist93.dbr,</v>
      </c>
      <c r="M95" s="5" t="str">
        <f t="shared" si="28"/>
        <v>lootWeight93,1,</v>
      </c>
      <c r="N95" t="str">
        <f t="shared" si="29"/>
        <v>5</v>
      </c>
      <c r="O95" t="str">
        <f t="shared" si="38"/>
        <v>copy .\dail_base3.dbr .\items\materia\class0002\Demolitionist93.dbr /y</v>
      </c>
      <c r="P95" t="str">
        <f t="shared" si="24"/>
        <v>echo relicBitmap,items/craftingparts/components/component_a52_bristlyfur_b.tex, &gt;&gt; .\items\materia\class0002\Demolitionist93.dbr</v>
      </c>
      <c r="Q95" t="str">
        <f t="shared" si="24"/>
        <v>echo itemCost,500000, &gt;&gt; .\items\materia\class0002\Demolitionist93.dbr</v>
      </c>
      <c r="R95" t="str">
        <f t="shared" si="24"/>
        <v>echo description,dailCompDescDemolitionist93, &gt;&gt; .\items\materia\class0002\Demolitionist93.dbr</v>
      </c>
      <c r="S95" t="str">
        <f t="shared" si="24"/>
        <v>echo itemText,dailCompTextDemolitionist93, &gt;&gt; .\items\materia\class0002\Demolitionist93.dbr</v>
      </c>
      <c r="T95" t="str">
        <f t="shared" si="24"/>
        <v>echo augmentSkillLevel1,5, &gt;&gt; .\items\materia\class0002\Demolitionist93.dbr</v>
      </c>
      <c r="U95" t="str">
        <f t="shared" si="24"/>
        <v>echo augmentSkillName1,records/skills/playerclass02/flashbang1.dbr, &gt;&gt; .\items\materia\class0002\Demolitionist93.dbr</v>
      </c>
      <c r="V95" s="5" t="s">
        <v>36</v>
      </c>
      <c r="W95" t="str">
        <f t="shared" si="30"/>
        <v>echo lootName93,DAIL/items/materia/class0002/Demolitionist93.dbr, &gt;&gt; .\items\loottables\dailoneskill0002.dbr</v>
      </c>
      <c r="X95" t="str">
        <f t="shared" si="30"/>
        <v>echo lootWeight93,1, &gt;&gt; .\items\loottables\dailoneskill0002.dbr</v>
      </c>
      <c r="Y95" s="5" t="s">
        <v>36</v>
      </c>
      <c r="Z95" t="str">
        <f t="shared" si="31"/>
        <v xml:space="preserve"> dailCompDescDemolitionist93=^pDemolitionist's Gift of DAIL</v>
      </c>
      <c r="AA95" t="str">
        <f t="shared" si="39"/>
        <v>dailCompTextDemolitionist93=^oThis feels warm to the touch, almost familiar ^w(This component only fits into the Medal Slot)</v>
      </c>
      <c r="AB95" s="5" t="s">
        <v>36</v>
      </c>
      <c r="AH95">
        <f t="shared" si="41"/>
        <v>90</v>
      </c>
      <c r="AI95">
        <f t="shared" si="35"/>
        <v>29</v>
      </c>
      <c r="AJ95">
        <f t="shared" si="40"/>
        <v>5</v>
      </c>
    </row>
    <row r="96" spans="1:36" x14ac:dyDescent="0.25">
      <c r="A96" s="5" t="s">
        <v>39</v>
      </c>
      <c r="B96" s="5" t="s">
        <v>30</v>
      </c>
      <c r="C96" s="5" t="str">
        <f t="shared" si="25"/>
        <v>description,dailCompDescDemolitionist94,</v>
      </c>
      <c r="D96" s="5" t="str">
        <f t="shared" si="26"/>
        <v>itemText,dailCompTextDemolitionist94,</v>
      </c>
      <c r="E96" s="5" t="str">
        <f t="shared" si="36"/>
        <v>augmentSkillLevel1,5,</v>
      </c>
      <c r="F96" s="5" t="str">
        <f t="shared" si="37"/>
        <v>augmentSkillName1,records/skills/playerclass02/flashbang2.dbr,</v>
      </c>
      <c r="G96" s="7">
        <f t="shared" si="32"/>
        <v>94</v>
      </c>
      <c r="H96" s="8" t="str">
        <f t="shared" si="33"/>
        <v>Demolitionist</v>
      </c>
      <c r="I96" s="3" t="s">
        <v>282</v>
      </c>
      <c r="J96" s="8" t="str">
        <f t="shared" si="42"/>
        <v>class0002</v>
      </c>
      <c r="K96" s="8" t="str">
        <f t="shared" si="42"/>
        <v>dailoneskill0002</v>
      </c>
      <c r="L96" s="5" t="str">
        <f t="shared" si="27"/>
        <v>lootName94,DAIL/items/materia/class0002/Demolitionist94.dbr,</v>
      </c>
      <c r="M96" s="5" t="str">
        <f t="shared" si="28"/>
        <v>lootWeight94,1,</v>
      </c>
      <c r="N96" t="str">
        <f t="shared" si="29"/>
        <v>5</v>
      </c>
      <c r="O96" t="str">
        <f t="shared" si="38"/>
        <v>copy .\dail_base3.dbr .\items\materia\class0002\Demolitionist94.dbr /y</v>
      </c>
      <c r="P96" t="str">
        <f t="shared" si="24"/>
        <v>echo relicBitmap,items/craftingparts/components/component_a52_bristlyfur_b.tex, &gt;&gt; .\items\materia\class0002\Demolitionist94.dbr</v>
      </c>
      <c r="Q96" t="str">
        <f t="shared" si="24"/>
        <v>echo itemCost,500000, &gt;&gt; .\items\materia\class0002\Demolitionist94.dbr</v>
      </c>
      <c r="R96" t="str">
        <f t="shared" si="24"/>
        <v>echo description,dailCompDescDemolitionist94, &gt;&gt; .\items\materia\class0002\Demolitionist94.dbr</v>
      </c>
      <c r="S96" t="str">
        <f t="shared" si="24"/>
        <v>echo itemText,dailCompTextDemolitionist94, &gt;&gt; .\items\materia\class0002\Demolitionist94.dbr</v>
      </c>
      <c r="T96" t="str">
        <f t="shared" si="24"/>
        <v>echo augmentSkillLevel1,5, &gt;&gt; .\items\materia\class0002\Demolitionist94.dbr</v>
      </c>
      <c r="U96" t="str">
        <f t="shared" si="24"/>
        <v>echo augmentSkillName1,records/skills/playerclass02/flashbang2.dbr, &gt;&gt; .\items\materia\class0002\Demolitionist94.dbr</v>
      </c>
      <c r="V96" s="5" t="s">
        <v>36</v>
      </c>
      <c r="W96" t="str">
        <f t="shared" si="30"/>
        <v>echo lootName94,DAIL/items/materia/class0002/Demolitionist94.dbr, &gt;&gt; .\items\loottables\dailoneskill0002.dbr</v>
      </c>
      <c r="X96" t="str">
        <f t="shared" si="30"/>
        <v>echo lootWeight94,1, &gt;&gt; .\items\loottables\dailoneskill0002.dbr</v>
      </c>
      <c r="Y96" s="5" t="s">
        <v>36</v>
      </c>
      <c r="Z96" t="str">
        <f t="shared" si="31"/>
        <v xml:space="preserve"> dailCompDescDemolitionist94=^pDemolitionist's Gift of DAIL</v>
      </c>
      <c r="AA96" t="str">
        <f t="shared" si="39"/>
        <v>dailCompTextDemolitionist94=^oThis feels warm to the touch, almost familiar ^w(This component only fits into the Medal Slot)</v>
      </c>
      <c r="AB96" s="5" t="s">
        <v>36</v>
      </c>
      <c r="AH96">
        <f t="shared" si="41"/>
        <v>91</v>
      </c>
      <c r="AI96">
        <f t="shared" si="35"/>
        <v>29</v>
      </c>
      <c r="AJ96">
        <f t="shared" si="40"/>
        <v>5</v>
      </c>
    </row>
    <row r="97" spans="1:36" x14ac:dyDescent="0.25">
      <c r="A97" s="5" t="s">
        <v>39</v>
      </c>
      <c r="B97" s="5" t="s">
        <v>30</v>
      </c>
      <c r="C97" s="5" t="str">
        <f t="shared" si="25"/>
        <v>description,dailCompDescDemolitionist95,</v>
      </c>
      <c r="D97" s="5" t="str">
        <f t="shared" si="26"/>
        <v>itemText,dailCompTextDemolitionist95,</v>
      </c>
      <c r="E97" s="5" t="str">
        <f t="shared" si="36"/>
        <v>augmentSkillLevel1,5,</v>
      </c>
      <c r="F97" s="5" t="str">
        <f t="shared" si="37"/>
        <v>augmentSkillName1,records/skills/playerclass02/flamestrike1.dbr,</v>
      </c>
      <c r="G97" s="7">
        <f t="shared" si="32"/>
        <v>95</v>
      </c>
      <c r="H97" s="8" t="str">
        <f t="shared" si="33"/>
        <v>Demolitionist</v>
      </c>
      <c r="I97" s="3" t="s">
        <v>53</v>
      </c>
      <c r="J97" s="8" t="str">
        <f t="shared" si="42"/>
        <v>class0002</v>
      </c>
      <c r="K97" s="8" t="str">
        <f t="shared" si="42"/>
        <v>dailoneskill0002</v>
      </c>
      <c r="L97" s="5" t="str">
        <f t="shared" si="27"/>
        <v>lootName95,DAIL/items/materia/class0002/Demolitionist95.dbr,</v>
      </c>
      <c r="M97" s="5" t="str">
        <f t="shared" si="28"/>
        <v>lootWeight95,1,</v>
      </c>
      <c r="N97" t="str">
        <f t="shared" si="29"/>
        <v>5</v>
      </c>
      <c r="O97" t="str">
        <f t="shared" si="38"/>
        <v>copy .\dail_base3.dbr .\items\materia\class0002\Demolitionist95.dbr /y</v>
      </c>
      <c r="P97" t="str">
        <f t="shared" si="24"/>
        <v>echo relicBitmap,items/craftingparts/components/component_a52_bristlyfur_b.tex, &gt;&gt; .\items\materia\class0002\Demolitionist95.dbr</v>
      </c>
      <c r="Q97" t="str">
        <f t="shared" si="24"/>
        <v>echo itemCost,500000, &gt;&gt; .\items\materia\class0002\Demolitionist95.dbr</v>
      </c>
      <c r="R97" t="str">
        <f t="shared" si="24"/>
        <v>echo description,dailCompDescDemolitionist95, &gt;&gt; .\items\materia\class0002\Demolitionist95.dbr</v>
      </c>
      <c r="S97" t="str">
        <f t="shared" si="24"/>
        <v>echo itemText,dailCompTextDemolitionist95, &gt;&gt; .\items\materia\class0002\Demolitionist95.dbr</v>
      </c>
      <c r="T97" t="str">
        <f t="shared" si="24"/>
        <v>echo augmentSkillLevel1,5, &gt;&gt; .\items\materia\class0002\Demolitionist95.dbr</v>
      </c>
      <c r="U97" t="str">
        <f t="shared" si="24"/>
        <v>echo augmentSkillName1,records/skills/playerclass02/flamestrike1.dbr, &gt;&gt; .\items\materia\class0002\Demolitionist95.dbr</v>
      </c>
      <c r="V97" s="5" t="s">
        <v>36</v>
      </c>
      <c r="W97" t="str">
        <f t="shared" si="30"/>
        <v>echo lootName95,DAIL/items/materia/class0002/Demolitionist95.dbr, &gt;&gt; .\items\loottables\dailoneskill0002.dbr</v>
      </c>
      <c r="X97" t="str">
        <f t="shared" si="30"/>
        <v>echo lootWeight95,1, &gt;&gt; .\items\loottables\dailoneskill0002.dbr</v>
      </c>
      <c r="Y97" s="5" t="s">
        <v>36</v>
      </c>
      <c r="Z97" t="str">
        <f t="shared" si="31"/>
        <v xml:space="preserve"> dailCompDescDemolitionist95=^pDemolitionist's Gift of DAIL</v>
      </c>
      <c r="AA97" t="str">
        <f t="shared" si="39"/>
        <v>dailCompTextDemolitionist95=^oThis feels warm to the touch, almost familiar ^w(This component only fits into the Medal Slot)</v>
      </c>
      <c r="AB97" s="5" t="s">
        <v>36</v>
      </c>
      <c r="AH97">
        <f t="shared" si="41"/>
        <v>92</v>
      </c>
      <c r="AI97">
        <f t="shared" si="35"/>
        <v>31</v>
      </c>
      <c r="AJ97">
        <f t="shared" si="40"/>
        <v>5</v>
      </c>
    </row>
    <row r="98" spans="1:36" x14ac:dyDescent="0.25">
      <c r="A98" s="5" t="s">
        <v>39</v>
      </c>
      <c r="B98" s="5" t="s">
        <v>30</v>
      </c>
      <c r="C98" s="5" t="str">
        <f t="shared" si="25"/>
        <v>description,dailCompDescDemolitionist96,</v>
      </c>
      <c r="D98" s="5" t="str">
        <f t="shared" si="26"/>
        <v>itemText,dailCompTextDemolitionist96,</v>
      </c>
      <c r="E98" s="5" t="str">
        <f t="shared" si="36"/>
        <v>augmentSkillLevel1,5,</v>
      </c>
      <c r="F98" s="5" t="str">
        <f t="shared" si="37"/>
        <v>augmentSkillName1,records/skills/playerclass02/flamestrike2.dbr,</v>
      </c>
      <c r="G98" s="7">
        <f t="shared" si="32"/>
        <v>96</v>
      </c>
      <c r="H98" s="8" t="str">
        <f t="shared" si="33"/>
        <v>Demolitionist</v>
      </c>
      <c r="I98" s="3" t="s">
        <v>283</v>
      </c>
      <c r="J98" s="8" t="str">
        <f t="shared" si="42"/>
        <v>class0002</v>
      </c>
      <c r="K98" s="8" t="str">
        <f t="shared" si="42"/>
        <v>dailoneskill0002</v>
      </c>
      <c r="L98" s="5" t="str">
        <f t="shared" si="27"/>
        <v>lootName96,DAIL/items/materia/class0002/Demolitionist96.dbr,</v>
      </c>
      <c r="M98" s="5" t="str">
        <f t="shared" si="28"/>
        <v>lootWeight96,1,</v>
      </c>
      <c r="N98" t="str">
        <f t="shared" si="29"/>
        <v>5</v>
      </c>
      <c r="O98" t="str">
        <f t="shared" si="38"/>
        <v>copy .\dail_base3.dbr .\items\materia\class0002\Demolitionist96.dbr /y</v>
      </c>
      <c r="P98" t="str">
        <f t="shared" si="24"/>
        <v>echo relicBitmap,items/craftingparts/components/component_a52_bristlyfur_b.tex, &gt;&gt; .\items\materia\class0002\Demolitionist96.dbr</v>
      </c>
      <c r="Q98" t="str">
        <f t="shared" si="24"/>
        <v>echo itemCost,500000, &gt;&gt; .\items\materia\class0002\Demolitionist96.dbr</v>
      </c>
      <c r="R98" t="str">
        <f t="shared" si="24"/>
        <v>echo description,dailCompDescDemolitionist96, &gt;&gt; .\items\materia\class0002\Demolitionist96.dbr</v>
      </c>
      <c r="S98" t="str">
        <f t="shared" si="24"/>
        <v>echo itemText,dailCompTextDemolitionist96, &gt;&gt; .\items\materia\class0002\Demolitionist96.dbr</v>
      </c>
      <c r="T98" t="str">
        <f t="shared" si="24"/>
        <v>echo augmentSkillLevel1,5, &gt;&gt; .\items\materia\class0002\Demolitionist96.dbr</v>
      </c>
      <c r="U98" t="str">
        <f t="shared" si="24"/>
        <v>echo augmentSkillName1,records/skills/playerclass02/flamestrike2.dbr, &gt;&gt; .\items\materia\class0002\Demolitionist96.dbr</v>
      </c>
      <c r="V98" s="5" t="s">
        <v>36</v>
      </c>
      <c r="W98" t="str">
        <f t="shared" si="30"/>
        <v>echo lootName96,DAIL/items/materia/class0002/Demolitionist96.dbr, &gt;&gt; .\items\loottables\dailoneskill0002.dbr</v>
      </c>
      <c r="X98" t="str">
        <f t="shared" si="30"/>
        <v>echo lootWeight96,1, &gt;&gt; .\items\loottables\dailoneskill0002.dbr</v>
      </c>
      <c r="Y98" s="5" t="s">
        <v>36</v>
      </c>
      <c r="Z98" t="str">
        <f t="shared" si="31"/>
        <v xml:space="preserve"> dailCompDescDemolitionist96=^pDemolitionist's Gift of DAIL</v>
      </c>
      <c r="AA98" t="str">
        <f t="shared" si="39"/>
        <v>dailCompTextDemolitionist96=^oThis feels warm to the touch, almost familiar ^w(This component only fits into the Medal Slot)</v>
      </c>
      <c r="AB98" s="5" t="s">
        <v>36</v>
      </c>
      <c r="AH98">
        <f t="shared" si="41"/>
        <v>93</v>
      </c>
      <c r="AI98">
        <f t="shared" si="35"/>
        <v>31</v>
      </c>
      <c r="AJ98">
        <f t="shared" si="40"/>
        <v>5</v>
      </c>
    </row>
    <row r="99" spans="1:36" x14ac:dyDescent="0.25">
      <c r="A99" s="5" t="s">
        <v>39</v>
      </c>
      <c r="B99" s="5" t="s">
        <v>30</v>
      </c>
      <c r="C99" s="5" t="str">
        <f t="shared" si="25"/>
        <v>description,dailCompDescDemolitionist97,</v>
      </c>
      <c r="D99" s="5" t="str">
        <f t="shared" si="26"/>
        <v>itemText,dailCompTextDemolitionist97,</v>
      </c>
      <c r="E99" s="5" t="str">
        <f t="shared" si="36"/>
        <v>augmentSkillLevel1,5,</v>
      </c>
      <c r="F99" s="5" t="str">
        <f t="shared" si="37"/>
        <v>augmentSkillName1,records/skills/playerclass02/flamestrike2b.dbr,</v>
      </c>
      <c r="G99" s="7">
        <f t="shared" si="32"/>
        <v>97</v>
      </c>
      <c r="H99" s="8" t="str">
        <f t="shared" si="33"/>
        <v>Demolitionist</v>
      </c>
      <c r="I99" s="3" t="s">
        <v>284</v>
      </c>
      <c r="J99" s="8" t="str">
        <f t="shared" si="42"/>
        <v>class0002</v>
      </c>
      <c r="K99" s="8" t="str">
        <f t="shared" si="42"/>
        <v>dailoneskill0002</v>
      </c>
      <c r="L99" s="5" t="str">
        <f t="shared" si="27"/>
        <v>lootName97,DAIL/items/materia/class0002/Demolitionist97.dbr,</v>
      </c>
      <c r="M99" s="5" t="str">
        <f t="shared" si="28"/>
        <v>lootWeight97,1,</v>
      </c>
      <c r="N99" t="str">
        <f t="shared" si="29"/>
        <v>5</v>
      </c>
      <c r="O99" t="str">
        <f t="shared" si="38"/>
        <v>copy .\dail_base3.dbr .\items\materia\class0002\Demolitionist97.dbr /y</v>
      </c>
      <c r="P99" t="str">
        <f t="shared" si="24"/>
        <v>echo relicBitmap,items/craftingparts/components/component_a52_bristlyfur_b.tex, &gt;&gt; .\items\materia\class0002\Demolitionist97.dbr</v>
      </c>
      <c r="Q99" t="str">
        <f t="shared" si="24"/>
        <v>echo itemCost,500000, &gt;&gt; .\items\materia\class0002\Demolitionist97.dbr</v>
      </c>
      <c r="R99" t="str">
        <f t="shared" si="24"/>
        <v>echo description,dailCompDescDemolitionist97, &gt;&gt; .\items\materia\class0002\Demolitionist97.dbr</v>
      </c>
      <c r="S99" t="str">
        <f t="shared" si="24"/>
        <v>echo itemText,dailCompTextDemolitionist97, &gt;&gt; .\items\materia\class0002\Demolitionist97.dbr</v>
      </c>
      <c r="T99" t="str">
        <f t="shared" si="24"/>
        <v>echo augmentSkillLevel1,5, &gt;&gt; .\items\materia\class0002\Demolitionist97.dbr</v>
      </c>
      <c r="U99" t="str">
        <f t="shared" si="24"/>
        <v>echo augmentSkillName1,records/skills/playerclass02/flamestrike2b.dbr, &gt;&gt; .\items\materia\class0002\Demolitionist97.dbr</v>
      </c>
      <c r="V99" s="5" t="s">
        <v>36</v>
      </c>
      <c r="W99" t="str">
        <f t="shared" si="30"/>
        <v>echo lootName97,DAIL/items/materia/class0002/Demolitionist97.dbr, &gt;&gt; .\items\loottables\dailoneskill0002.dbr</v>
      </c>
      <c r="X99" t="str">
        <f t="shared" si="30"/>
        <v>echo lootWeight97,1, &gt;&gt; .\items\loottables\dailoneskill0002.dbr</v>
      </c>
      <c r="Y99" s="5" t="s">
        <v>36</v>
      </c>
      <c r="Z99" t="str">
        <f t="shared" si="31"/>
        <v xml:space="preserve"> dailCompDescDemolitionist97=^pDemolitionist's Gift of DAIL</v>
      </c>
      <c r="AA99" t="str">
        <f t="shared" si="39"/>
        <v>dailCompTextDemolitionist97=^oThis feels warm to the touch, almost familiar ^w(This component only fits into the Medal Slot)</v>
      </c>
      <c r="AB99" s="5" t="s">
        <v>36</v>
      </c>
      <c r="AH99">
        <f t="shared" si="41"/>
        <v>94</v>
      </c>
      <c r="AI99">
        <f t="shared" si="35"/>
        <v>32</v>
      </c>
      <c r="AJ99">
        <f t="shared" si="40"/>
        <v>5</v>
      </c>
    </row>
    <row r="100" spans="1:36" x14ac:dyDescent="0.25">
      <c r="A100" s="5" t="s">
        <v>39</v>
      </c>
      <c r="B100" s="5" t="s">
        <v>30</v>
      </c>
      <c r="C100" s="5" t="str">
        <f t="shared" si="25"/>
        <v>description,dailCompDescDemolitionist98,</v>
      </c>
      <c r="D100" s="5" t="str">
        <f t="shared" si="26"/>
        <v>itemText,dailCompTextDemolitionist98,</v>
      </c>
      <c r="E100" s="5" t="str">
        <f t="shared" si="36"/>
        <v>augmentSkillLevel1,5,</v>
      </c>
      <c r="F100" s="5" t="str">
        <f t="shared" si="37"/>
        <v>augmentSkillName1,records/skills/playerclass02/flamestrike3.dbr,</v>
      </c>
      <c r="G100" s="7">
        <f t="shared" si="32"/>
        <v>98</v>
      </c>
      <c r="H100" s="8" t="str">
        <f t="shared" si="33"/>
        <v>Demolitionist</v>
      </c>
      <c r="I100" s="3" t="s">
        <v>285</v>
      </c>
      <c r="J100" s="8" t="str">
        <f t="shared" si="42"/>
        <v>class0002</v>
      </c>
      <c r="K100" s="8" t="str">
        <f t="shared" si="42"/>
        <v>dailoneskill0002</v>
      </c>
      <c r="L100" s="5" t="str">
        <f t="shared" si="27"/>
        <v>lootName98,DAIL/items/materia/class0002/Demolitionist98.dbr,</v>
      </c>
      <c r="M100" s="5" t="str">
        <f t="shared" si="28"/>
        <v>lootWeight98,1,</v>
      </c>
      <c r="N100" t="str">
        <f t="shared" si="29"/>
        <v>5</v>
      </c>
      <c r="O100" t="str">
        <f t="shared" si="38"/>
        <v>copy .\dail_base3.dbr .\items\materia\class0002\Demolitionist98.dbr /y</v>
      </c>
      <c r="P100" t="str">
        <f t="shared" si="24"/>
        <v>echo relicBitmap,items/craftingparts/components/component_a52_bristlyfur_b.tex, &gt;&gt; .\items\materia\class0002\Demolitionist98.dbr</v>
      </c>
      <c r="Q100" t="str">
        <f t="shared" si="24"/>
        <v>echo itemCost,500000, &gt;&gt; .\items\materia\class0002\Demolitionist98.dbr</v>
      </c>
      <c r="R100" t="str">
        <f t="shared" si="24"/>
        <v>echo description,dailCompDescDemolitionist98, &gt;&gt; .\items\materia\class0002\Demolitionist98.dbr</v>
      </c>
      <c r="S100" t="str">
        <f t="shared" si="24"/>
        <v>echo itemText,dailCompTextDemolitionist98, &gt;&gt; .\items\materia\class0002\Demolitionist98.dbr</v>
      </c>
      <c r="T100" t="str">
        <f t="shared" si="24"/>
        <v>echo augmentSkillLevel1,5, &gt;&gt; .\items\materia\class0002\Demolitionist98.dbr</v>
      </c>
      <c r="U100" t="str">
        <f t="shared" si="24"/>
        <v>echo augmentSkillName1,records/skills/playerclass02/flamestrike3.dbr, &gt;&gt; .\items\materia\class0002\Demolitionist98.dbr</v>
      </c>
      <c r="V100" s="5" t="s">
        <v>36</v>
      </c>
      <c r="W100" t="str">
        <f t="shared" si="30"/>
        <v>echo lootName98,DAIL/items/materia/class0002/Demolitionist98.dbr, &gt;&gt; .\items\loottables\dailoneskill0002.dbr</v>
      </c>
      <c r="X100" t="str">
        <f t="shared" si="30"/>
        <v>echo lootWeight98,1, &gt;&gt; .\items\loottables\dailoneskill0002.dbr</v>
      </c>
      <c r="Y100" s="5" t="s">
        <v>36</v>
      </c>
      <c r="Z100" t="str">
        <f t="shared" si="31"/>
        <v xml:space="preserve"> dailCompDescDemolitionist98=^pDemolitionist's Gift of DAIL</v>
      </c>
      <c r="AA100" t="str">
        <f t="shared" si="39"/>
        <v>dailCompTextDemolitionist98=^oThis feels warm to the touch, almost familiar ^w(This component only fits into the Medal Slot)</v>
      </c>
      <c r="AB100" s="5" t="s">
        <v>36</v>
      </c>
      <c r="AH100">
        <f t="shared" si="41"/>
        <v>95</v>
      </c>
      <c r="AI100">
        <f t="shared" si="35"/>
        <v>31</v>
      </c>
      <c r="AJ100">
        <f t="shared" si="40"/>
        <v>5</v>
      </c>
    </row>
    <row r="101" spans="1:36" x14ac:dyDescent="0.25">
      <c r="A101" s="5" t="s">
        <v>39</v>
      </c>
      <c r="B101" s="5" t="s">
        <v>30</v>
      </c>
      <c r="C101" s="5" t="str">
        <f t="shared" si="25"/>
        <v>description,dailCompDescDemolitionist99,</v>
      </c>
      <c r="D101" s="5" t="str">
        <f t="shared" si="26"/>
        <v>itemText,dailCompTextDemolitionist99,</v>
      </c>
      <c r="E101" s="5" t="str">
        <f t="shared" si="36"/>
        <v>augmentSkillLevel1,5,</v>
      </c>
      <c r="F101" s="5" t="str">
        <f t="shared" si="37"/>
        <v>augmentSkillName1,records/skills/playerclass02/flamestrike4.dbr,</v>
      </c>
      <c r="G101" s="7">
        <f t="shared" si="32"/>
        <v>99</v>
      </c>
      <c r="H101" s="8" t="str">
        <f t="shared" si="33"/>
        <v>Demolitionist</v>
      </c>
      <c r="I101" s="3" t="s">
        <v>286</v>
      </c>
      <c r="J101" s="8" t="str">
        <f t="shared" ref="J101:K102" si="43">J100</f>
        <v>class0002</v>
      </c>
      <c r="K101" s="8" t="str">
        <f t="shared" si="43"/>
        <v>dailoneskill0002</v>
      </c>
      <c r="L101" s="5" t="str">
        <f t="shared" si="27"/>
        <v>lootName99,DAIL/items/materia/class0002/Demolitionist99.dbr,</v>
      </c>
      <c r="M101" s="5" t="str">
        <f t="shared" si="28"/>
        <v>lootWeight99,1,</v>
      </c>
      <c r="N101" t="str">
        <f t="shared" si="29"/>
        <v>5</v>
      </c>
      <c r="O101" t="str">
        <f t="shared" si="38"/>
        <v>copy .\dail_base3.dbr .\items\materia\class0002\Demolitionist99.dbr /y</v>
      </c>
      <c r="P101" t="str">
        <f t="shared" si="24"/>
        <v>echo relicBitmap,items/craftingparts/components/component_a52_bristlyfur_b.tex, &gt;&gt; .\items\materia\class0002\Demolitionist99.dbr</v>
      </c>
      <c r="Q101" t="str">
        <f t="shared" si="24"/>
        <v>echo itemCost,500000, &gt;&gt; .\items\materia\class0002\Demolitionist99.dbr</v>
      </c>
      <c r="R101" t="str">
        <f t="shared" si="24"/>
        <v>echo description,dailCompDescDemolitionist99, &gt;&gt; .\items\materia\class0002\Demolitionist99.dbr</v>
      </c>
      <c r="S101" t="str">
        <f t="shared" ref="S101:U102" si="44">IF($I101&lt;&gt;"","echo "&amp;D101&amp;" &gt;&gt; .\items\materia\"&amp;$J101&amp;"\"&amp;$H101&amp;$G101&amp;".dbr","")</f>
        <v>echo itemText,dailCompTextDemolitionist99, &gt;&gt; .\items\materia\class0002\Demolitionist99.dbr</v>
      </c>
      <c r="T101" t="str">
        <f t="shared" si="44"/>
        <v>echo augmentSkillLevel1,5, &gt;&gt; .\items\materia\class0002\Demolitionist99.dbr</v>
      </c>
      <c r="U101" t="str">
        <f t="shared" si="44"/>
        <v>echo augmentSkillName1,records/skills/playerclass02/flamestrike4.dbr, &gt;&gt; .\items\materia\class0002\Demolitionist99.dbr</v>
      </c>
      <c r="V101" s="5" t="s">
        <v>36</v>
      </c>
      <c r="W101" t="str">
        <f t="shared" si="30"/>
        <v>echo lootName99,DAIL/items/materia/class0002/Demolitionist99.dbr, &gt;&gt; .\items\loottables\dailoneskill0002.dbr</v>
      </c>
      <c r="X101" t="str">
        <f t="shared" si="30"/>
        <v>echo lootWeight99,1, &gt;&gt; .\items\loottables\dailoneskill0002.dbr</v>
      </c>
      <c r="Y101" s="5" t="s">
        <v>36</v>
      </c>
      <c r="Z101" t="str">
        <f t="shared" si="31"/>
        <v xml:space="preserve"> dailCompDescDemolitionist99=^pDemolitionist's Gift of DAIL</v>
      </c>
      <c r="AA101" t="str">
        <f t="shared" si="39"/>
        <v>dailCompTextDemolitionist99=^oThis feels warm to the touch, almost familiar ^w(This component only fits into the Medal Slot)</v>
      </c>
      <c r="AB101" s="5" t="s">
        <v>36</v>
      </c>
      <c r="AH101">
        <f t="shared" si="41"/>
        <v>96</v>
      </c>
      <c r="AI101">
        <f t="shared" si="35"/>
        <v>31</v>
      </c>
      <c r="AJ101">
        <f t="shared" si="40"/>
        <v>5</v>
      </c>
    </row>
    <row r="102" spans="1:36" x14ac:dyDescent="0.25">
      <c r="A102" s="5" t="s">
        <v>39</v>
      </c>
      <c r="B102" s="5" t="s">
        <v>30</v>
      </c>
      <c r="C102" s="5" t="str">
        <f t="shared" si="25"/>
        <v>description,dailCompDescDemolitionist100,</v>
      </c>
      <c r="D102" s="5" t="str">
        <f t="shared" si="26"/>
        <v>itemText,dailCompTextDemolitionist100,</v>
      </c>
      <c r="E102" s="5" t="str">
        <f t="shared" si="36"/>
        <v>augmentSkillLevel1,5,</v>
      </c>
      <c r="F102" s="5" t="str">
        <f t="shared" si="37"/>
        <v>augmentSkillName1,records/skills/playerclass02/stunjacks1.dbr,</v>
      </c>
      <c r="G102" s="7">
        <f t="shared" si="32"/>
        <v>100</v>
      </c>
      <c r="H102" s="8" t="str">
        <f t="shared" si="33"/>
        <v>Demolitionist</v>
      </c>
      <c r="I102" s="3" t="s">
        <v>58</v>
      </c>
      <c r="J102" s="8" t="str">
        <f t="shared" si="43"/>
        <v>class0002</v>
      </c>
      <c r="K102" s="8" t="str">
        <f t="shared" si="43"/>
        <v>dailoneskill0002</v>
      </c>
      <c r="L102" s="5" t="str">
        <f t="shared" si="27"/>
        <v>lootName100,DAIL/items/materia/class0002/Demolitionist100.dbr,</v>
      </c>
      <c r="M102" s="5" t="str">
        <f t="shared" si="28"/>
        <v>lootWeight100,1,</v>
      </c>
      <c r="N102" t="str">
        <f t="shared" si="29"/>
        <v>5</v>
      </c>
      <c r="O102" t="str">
        <f t="shared" si="38"/>
        <v>copy .\dail_base3.dbr .\items\materia\class0002\Demolitionist100.dbr /y</v>
      </c>
      <c r="P102" t="str">
        <f t="shared" ref="P102:R102" si="45">IF($I102&lt;&gt;"","echo "&amp;A102&amp;" &gt;&gt; .\items\materia\"&amp;$J102&amp;"\"&amp;$H102&amp;$G102&amp;".dbr","")</f>
        <v>echo relicBitmap,items/craftingparts/components/component_a52_bristlyfur_b.tex, &gt;&gt; .\items\materia\class0002\Demolitionist100.dbr</v>
      </c>
      <c r="Q102" t="str">
        <f t="shared" si="45"/>
        <v>echo itemCost,500000, &gt;&gt; .\items\materia\class0002\Demolitionist100.dbr</v>
      </c>
      <c r="R102" t="str">
        <f t="shared" si="45"/>
        <v>echo description,dailCompDescDemolitionist100, &gt;&gt; .\items\materia\class0002\Demolitionist100.dbr</v>
      </c>
      <c r="S102" t="str">
        <f t="shared" si="44"/>
        <v>echo itemText,dailCompTextDemolitionist100, &gt;&gt; .\items\materia\class0002\Demolitionist100.dbr</v>
      </c>
      <c r="T102" t="str">
        <f t="shared" si="44"/>
        <v>echo augmentSkillLevel1,5, &gt;&gt; .\items\materia\class0002\Demolitionist100.dbr</v>
      </c>
      <c r="U102" t="str">
        <f t="shared" si="44"/>
        <v>echo augmentSkillName1,records/skills/playerclass02/stunjacks1.dbr, &gt;&gt; .\items\materia\class0002\Demolitionist100.dbr</v>
      </c>
      <c r="V102" s="5" t="s">
        <v>36</v>
      </c>
      <c r="W102" t="str">
        <f t="shared" si="30"/>
        <v>echo lootName100,DAIL/items/materia/class0002/Demolitionist100.dbr, &gt;&gt; .\items\loottables\dailoneskill0002.dbr</v>
      </c>
      <c r="X102" t="str">
        <f t="shared" si="30"/>
        <v>echo lootWeight100,1, &gt;&gt; .\items\loottables\dailoneskill0002.dbr</v>
      </c>
      <c r="Y102" s="5" t="s">
        <v>36</v>
      </c>
      <c r="Z102" t="str">
        <f t="shared" si="31"/>
        <v xml:space="preserve"> dailCompDescDemolitionist100=^pDemolitionist's Gift of DAIL</v>
      </c>
      <c r="AA102" t="str">
        <f t="shared" si="39"/>
        <v>dailCompTextDemolitionist100=^oThis feels warm to the touch, almost familiar ^w(This component only fits into the Medal Slot)</v>
      </c>
      <c r="AB102" s="5" t="s">
        <v>36</v>
      </c>
      <c r="AH102">
        <f t="shared" si="41"/>
        <v>97</v>
      </c>
      <c r="AI102">
        <f t="shared" si="35"/>
        <v>29</v>
      </c>
      <c r="AJ102">
        <f t="shared" si="40"/>
        <v>5</v>
      </c>
    </row>
  </sheetData>
  <mergeCells count="1">
    <mergeCell ref="O2:U2"/>
  </mergeCells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AL102"/>
  <sheetViews>
    <sheetView topLeftCell="M1" zoomScaleNormal="100" workbookViewId="0">
      <selection activeCell="U3" sqref="U3:U102"/>
    </sheetView>
  </sheetViews>
  <sheetFormatPr defaultRowHeight="15" x14ac:dyDescent="0.25"/>
  <cols>
    <col min="1" max="1" width="73.85546875" style="5" bestFit="1" customWidth="1"/>
    <col min="2" max="2" width="16.28515625" style="5" bestFit="1" customWidth="1"/>
    <col min="3" max="3" width="32.7109375" style="5" bestFit="1" customWidth="1"/>
    <col min="4" max="4" width="31.42578125" style="5" bestFit="1" customWidth="1"/>
    <col min="5" max="5" width="24.28515625" style="5" bestFit="1" customWidth="1"/>
    <col min="6" max="6" width="73.5703125" style="5" bestFit="1" customWidth="1"/>
    <col min="7" max="7" width="5.85546875" style="8" bestFit="1" customWidth="1"/>
    <col min="8" max="8" width="7.85546875" style="3" bestFit="1" customWidth="1"/>
    <col min="9" max="9" width="38.140625" style="3" bestFit="1" customWidth="1"/>
    <col min="10" max="10" width="9.140625" style="3" bestFit="1" customWidth="1"/>
    <col min="11" max="11" width="18.140625" style="3" customWidth="1"/>
    <col min="12" max="12" width="51.85546875" style="5" bestFit="1" customWidth="1"/>
    <col min="13" max="13" width="21.28515625" style="5" customWidth="1"/>
    <col min="15" max="15" width="10.5703125" customWidth="1"/>
    <col min="22" max="22" width="1.5703125" style="5" customWidth="1"/>
    <col min="23" max="23" width="9.5703125" customWidth="1"/>
    <col min="25" max="25" width="1.5703125" style="5" bestFit="1" customWidth="1"/>
    <col min="26" max="26" width="46.7109375" bestFit="1" customWidth="1"/>
    <col min="27" max="27" width="29.140625" customWidth="1"/>
    <col min="28" max="28" width="1.5703125" style="5" bestFit="1" customWidth="1"/>
    <col min="31" max="31" width="14.140625" bestFit="1" customWidth="1"/>
  </cols>
  <sheetData>
    <row r="1" spans="1:38" x14ac:dyDescent="0.25">
      <c r="G1" s="5"/>
      <c r="H1" s="5"/>
      <c r="I1" s="5"/>
      <c r="J1" s="5"/>
      <c r="K1" s="5"/>
      <c r="N1" s="5"/>
      <c r="O1" s="9"/>
      <c r="P1" s="9"/>
      <c r="Q1" s="9"/>
      <c r="R1" s="9"/>
      <c r="S1" s="9"/>
      <c r="T1" s="9"/>
      <c r="U1" s="9"/>
      <c r="W1" s="9"/>
      <c r="X1" s="9"/>
      <c r="Z1" s="9"/>
      <c r="AA1" s="9"/>
    </row>
    <row r="2" spans="1:38" x14ac:dyDescent="0.25">
      <c r="A2" s="4" t="s">
        <v>2</v>
      </c>
      <c r="B2" s="4" t="s">
        <v>3</v>
      </c>
      <c r="C2" s="4" t="s">
        <v>4</v>
      </c>
      <c r="D2" s="4" t="s">
        <v>5</v>
      </c>
      <c r="E2" s="4" t="s">
        <v>6</v>
      </c>
      <c r="F2" s="4" t="s">
        <v>7</v>
      </c>
      <c r="G2" s="6" t="s">
        <v>9</v>
      </c>
      <c r="H2" s="2" t="s">
        <v>26</v>
      </c>
      <c r="I2" s="2" t="s">
        <v>8</v>
      </c>
      <c r="J2" s="2" t="s">
        <v>33</v>
      </c>
      <c r="K2" s="2" t="s">
        <v>38</v>
      </c>
      <c r="L2" s="4" t="s">
        <v>31</v>
      </c>
      <c r="M2" s="4" t="s">
        <v>32</v>
      </c>
      <c r="O2" s="11" t="str">
        <f>"Copy from N to T Into the files named "&amp;H3&amp;G3&amp;" etc"</f>
        <v>Copy from N to T Into the files named Occultist1 etc</v>
      </c>
      <c r="P2" s="11"/>
      <c r="Q2" s="11"/>
      <c r="R2" s="11"/>
      <c r="S2" s="11"/>
      <c r="T2" s="11"/>
      <c r="U2" s="11"/>
      <c r="W2" s="1" t="s">
        <v>35</v>
      </c>
      <c r="Z2" s="1" t="s">
        <v>40</v>
      </c>
      <c r="AD2" t="s">
        <v>44</v>
      </c>
    </row>
    <row r="3" spans="1:38" x14ac:dyDescent="0.25">
      <c r="A3" s="5" t="s">
        <v>39</v>
      </c>
      <c r="B3" s="5" t="s">
        <v>0</v>
      </c>
      <c r="C3" s="5" t="str">
        <f t="shared" ref="C3:C66" si="0">"description,dailCompDesc"&amp;H3&amp;G3&amp;","</f>
        <v>description,dailCompDescOccultist1,</v>
      </c>
      <c r="D3" s="5" t="str">
        <f>"itemText,dailCompText"&amp;H3&amp;G3&amp;","</f>
        <v>itemText,dailCompTextOccultist1,</v>
      </c>
      <c r="E3" s="5" t="s">
        <v>24</v>
      </c>
      <c r="F3" s="5" t="str">
        <f>"augmentMasteryName1,records/skills"&amp;I3&amp;","</f>
        <v>augmentMasteryName1,records/skills/playerclass03/_classtraining_class03.dbr,</v>
      </c>
      <c r="G3" s="7">
        <f>IF(I3&lt;&gt;"",1,"")</f>
        <v>1</v>
      </c>
      <c r="H3" s="3" t="s">
        <v>65</v>
      </c>
      <c r="I3" s="3" t="s">
        <v>100</v>
      </c>
      <c r="J3" s="3" t="s">
        <v>64</v>
      </c>
      <c r="K3" s="3" t="s">
        <v>63</v>
      </c>
      <c r="L3" s="5" t="str">
        <f>"lootName"&amp;G3&amp;",DAIL/items/materia/"&amp;J3&amp;"/"&amp;H3&amp;G3&amp;".dbr"&amp;","</f>
        <v>lootName1,DAIL/items/materia/class0003/Occultist1.dbr,</v>
      </c>
      <c r="M3" s="5" t="str">
        <f>"lootWeight"&amp;G3&amp;",1,"</f>
        <v>lootWeight1,1,</v>
      </c>
      <c r="N3" t="str">
        <f>LEFT(RIGHT(E3,2),1)</f>
        <v>1</v>
      </c>
      <c r="O3" s="5" t="str">
        <f>IF(I3&lt;&gt;"","copy .\dail_base2.dbr .\items\materia\"&amp;J3&amp;"\"&amp;H3&amp;G3&amp;".dbr /y"&amp;"","")</f>
        <v>copy .\dail_base2.dbr .\items\materia\class0003\Occultist1.dbr /y</v>
      </c>
      <c r="P3" t="str">
        <f>IF($I3&lt;&gt;"","echo "&amp;A3&amp;" &gt;&gt; .\items\materia\"&amp;$J3&amp;"\"&amp;$H3&amp;$G3&amp;".dbr","")</f>
        <v>echo relicBitmap,items/craftingparts/components/component_a52_bristlyfur_b.tex, &gt;&gt; .\items\materia\class0003\Occultist1.dbr</v>
      </c>
      <c r="Q3" t="str">
        <f t="shared" ref="Q3:U18" si="1">IF($I3&lt;&gt;"","echo "&amp;B3&amp;" &gt;&gt; .\items\materia\"&amp;$J3&amp;"\"&amp;$H3&amp;$G3&amp;".dbr","")</f>
        <v>echo itemCost,100000, &gt;&gt; .\items\materia\class0003\Occultist1.dbr</v>
      </c>
      <c r="R3" t="str">
        <f t="shared" si="1"/>
        <v>echo description,dailCompDescOccultist1, &gt;&gt; .\items\materia\class0003\Occultist1.dbr</v>
      </c>
      <c r="S3" t="str">
        <f t="shared" si="1"/>
        <v>echo itemText,dailCompTextOccultist1, &gt;&gt; .\items\materia\class0003\Occultist1.dbr</v>
      </c>
      <c r="T3" t="str">
        <f t="shared" si="1"/>
        <v>echo augmentMasteryLevel1,1, &gt;&gt; .\items\materia\class0003\Occultist1.dbr</v>
      </c>
      <c r="U3" t="str">
        <f t="shared" si="1"/>
        <v>echo augmentMasteryName1,records/skills/playerclass03/_classtraining_class03.dbr, &gt;&gt; .\items\materia\class0003\Occultist1.dbr</v>
      </c>
      <c r="V3" s="5" t="s">
        <v>36</v>
      </c>
      <c r="W3" t="str">
        <f>IF($I3&lt;&gt;"","echo "&amp;L3&amp;" &gt;&gt; .\items\loottables\"&amp;$K3&amp;".dbr","")</f>
        <v>echo lootName1,DAIL/items/materia/class0003/Occultist1.dbr, &gt;&gt; .\items\loottables\dailoneskill0003.dbr</v>
      </c>
      <c r="X3" t="str">
        <f>IF($I3&lt;&gt;"","echo "&amp;M3&amp;" &gt;&gt; .\items\loottables\"&amp;$K3&amp;".dbr","")</f>
        <v>echo lootWeight1,1, &gt;&gt; .\items\loottables\dailoneskill0003.dbr</v>
      </c>
      <c r="Y3" s="5" t="s">
        <v>36</v>
      </c>
      <c r="Z3" s="10" t="str">
        <f>IF(I2&lt;&gt;""," dailCompDesc"&amp;H3&amp;G3&amp;"=^p"&amp;H3&amp;"'s Gift of DAIL","")</f>
        <v xml:space="preserve"> dailCompDescOccultist1=^pOccultist's Gift of DAIL</v>
      </c>
      <c r="AA3" s="10" t="str">
        <f>IF(I2&lt;&gt;"","dailCompText"&amp;H3&amp;G3&amp;"=^oThis feels warm to the touch, almost familiar ^w(This component fits into the amulet only)","")</f>
        <v>dailCompTextOccultist1=^oThis feels warm to the touch, almost familiar ^w(This component fits into the amulet only)</v>
      </c>
      <c r="AB3" s="5" t="s">
        <v>36</v>
      </c>
      <c r="AD3">
        <v>1</v>
      </c>
      <c r="AE3" t="s">
        <v>42</v>
      </c>
      <c r="AF3" t="s">
        <v>45</v>
      </c>
    </row>
    <row r="4" spans="1:38" x14ac:dyDescent="0.25">
      <c r="A4" s="5" t="s">
        <v>39</v>
      </c>
      <c r="B4" s="5" t="s">
        <v>28</v>
      </c>
      <c r="C4" s="5" t="str">
        <f t="shared" si="0"/>
        <v>description,dailCompDescOccultist2,</v>
      </c>
      <c r="D4" s="5" t="str">
        <f t="shared" ref="D4:D67" si="2">"itemText,dailCompText"&amp;H4&amp;G4&amp;","</f>
        <v>itemText,dailCompTextOccultist2,</v>
      </c>
      <c r="E4" s="5" t="s">
        <v>1</v>
      </c>
      <c r="F4" s="5" t="str">
        <f t="shared" ref="F4:F5" si="3">"augmentMasteryName1,records/skills"&amp;I4&amp;","</f>
        <v>augmentMasteryName1,records/skills/playerclass03/_classtraining_class03.dbr,</v>
      </c>
      <c r="G4" s="7">
        <f>IF(I4&lt;&gt;"",G3+1,"")</f>
        <v>2</v>
      </c>
      <c r="H4" s="8" t="str">
        <f>H3</f>
        <v>Occultist</v>
      </c>
      <c r="I4" s="3" t="s">
        <v>100</v>
      </c>
      <c r="J4" s="8" t="str">
        <f>J3</f>
        <v>class0003</v>
      </c>
      <c r="K4" s="8" t="str">
        <f>K3</f>
        <v>dailoneskill0003</v>
      </c>
      <c r="L4" s="5" t="str">
        <f t="shared" ref="L4:L67" si="4">"lootName"&amp;G4&amp;",DAIL/items/materia/"&amp;J4&amp;"/"&amp;H4&amp;G4&amp;".dbr"&amp;","</f>
        <v>lootName2,DAIL/items/materia/class0003/Occultist2.dbr,</v>
      </c>
      <c r="M4" s="5" t="str">
        <f t="shared" ref="M4:M67" si="5">"lootWeight"&amp;G4&amp;",1,"</f>
        <v>lootWeight2,1,</v>
      </c>
      <c r="N4" t="str">
        <f t="shared" ref="N4:N67" si="6">LEFT(RIGHT(E4,2),1)</f>
        <v>2</v>
      </c>
      <c r="O4" s="5" t="str">
        <f>IF(I4&lt;&gt;"","copy .\dail_base2.dbr .\items\materia\"&amp;J4&amp;"\"&amp;H4&amp;G4&amp;".dbr /y"&amp;"","")</f>
        <v>copy .\dail_base2.dbr .\items\materia\class0003\Occultist2.dbr /y</v>
      </c>
      <c r="P4" t="str">
        <f t="shared" ref="P4:U58" si="7">IF($I4&lt;&gt;"","echo "&amp;A4&amp;" &gt;&gt; .\items\materia\"&amp;$J4&amp;"\"&amp;$H4&amp;$G4&amp;".dbr","")</f>
        <v>echo relicBitmap,items/craftingparts/components/component_a52_bristlyfur_b.tex, &gt;&gt; .\items\materia\class0003\Occultist2.dbr</v>
      </c>
      <c r="Q4" t="str">
        <f t="shared" si="1"/>
        <v>echo itemCost,300000, &gt;&gt; .\items\materia\class0003\Occultist2.dbr</v>
      </c>
      <c r="R4" t="str">
        <f t="shared" si="1"/>
        <v>echo description,dailCompDescOccultist2, &gt;&gt; .\items\materia\class0003\Occultist2.dbr</v>
      </c>
      <c r="S4" t="str">
        <f t="shared" si="1"/>
        <v>echo itemText,dailCompTextOccultist2, &gt;&gt; .\items\materia\class0003\Occultist2.dbr</v>
      </c>
      <c r="T4" t="str">
        <f t="shared" si="1"/>
        <v>echo augmentMasteryLevel1,2, &gt;&gt; .\items\materia\class0003\Occultist2.dbr</v>
      </c>
      <c r="U4" t="str">
        <f t="shared" si="1"/>
        <v>echo augmentMasteryName1,records/skills/playerclass03/_classtraining_class03.dbr, &gt;&gt; .\items\materia\class0003\Occultist2.dbr</v>
      </c>
      <c r="V4" s="5" t="s">
        <v>36</v>
      </c>
      <c r="W4" t="str">
        <f t="shared" ref="W4:X67" si="8">IF($I4&lt;&gt;"","echo "&amp;L4&amp;" &gt;&gt; .\items\loottables\"&amp;$K4&amp;".dbr","")</f>
        <v>echo lootName2,DAIL/items/materia/class0003/Occultist2.dbr, &gt;&gt; .\items\loottables\dailoneskill0003.dbr</v>
      </c>
      <c r="X4" t="str">
        <f t="shared" si="8"/>
        <v>echo lootWeight2,1, &gt;&gt; .\items\loottables\dailoneskill0003.dbr</v>
      </c>
      <c r="Y4" s="5" t="s">
        <v>36</v>
      </c>
      <c r="Z4" s="10" t="str">
        <f t="shared" ref="Z4:Z67" si="9">IF(I3&lt;&gt;""," dailCompDesc"&amp;H4&amp;G4&amp;"=^p"&amp;H4&amp;"'s Gift of DAIL","")</f>
        <v xml:space="preserve"> dailCompDescOccultist2=^pOccultist's Gift of DAIL</v>
      </c>
      <c r="AA4" s="10" t="str">
        <f>IF(I3&lt;&gt;"","dailCompText"&amp;H4&amp;G4&amp;"=^oThis feels warm to the touch, almost familiar ^w(This component fits into the amulet only)","")</f>
        <v>dailCompTextOccultist2=^oThis feels warm to the touch, almost familiar ^w(This component fits into the amulet only)</v>
      </c>
      <c r="AB4" s="5" t="s">
        <v>36</v>
      </c>
      <c r="AD4">
        <v>3</v>
      </c>
      <c r="AE4" t="s">
        <v>43</v>
      </c>
      <c r="AF4" t="s">
        <v>46</v>
      </c>
    </row>
    <row r="5" spans="1:38" x14ac:dyDescent="0.25">
      <c r="A5" s="5" t="s">
        <v>39</v>
      </c>
      <c r="B5" s="5" t="s">
        <v>29</v>
      </c>
      <c r="C5" s="5" t="str">
        <f t="shared" si="0"/>
        <v>description,dailCompDescOccultist3,</v>
      </c>
      <c r="D5" s="5" t="str">
        <f t="shared" si="2"/>
        <v>itemText,dailCompTextOccultist3,</v>
      </c>
      <c r="E5" s="5" t="s">
        <v>25</v>
      </c>
      <c r="F5" s="5" t="str">
        <f t="shared" si="3"/>
        <v>augmentMasteryName1,records/skills/playerclass03/_classtraining_class03.dbr,</v>
      </c>
      <c r="G5" s="7">
        <f t="shared" ref="G5:G68" si="10">IF(I5&lt;&gt;"",G4+1,"")</f>
        <v>3</v>
      </c>
      <c r="H5" s="8" t="str">
        <f t="shared" ref="H5:H68" si="11">H4</f>
        <v>Occultist</v>
      </c>
      <c r="I5" s="3" t="s">
        <v>100</v>
      </c>
      <c r="J5" s="8" t="str">
        <f t="shared" ref="J5:K20" si="12">J4</f>
        <v>class0003</v>
      </c>
      <c r="K5" s="8" t="str">
        <f t="shared" si="12"/>
        <v>dailoneskill0003</v>
      </c>
      <c r="L5" s="5" t="str">
        <f t="shared" si="4"/>
        <v>lootName3,DAIL/items/materia/class0003/Occultist3.dbr,</v>
      </c>
      <c r="M5" s="5" t="str">
        <f t="shared" si="5"/>
        <v>lootWeight3,1,</v>
      </c>
      <c r="N5" t="str">
        <f t="shared" si="6"/>
        <v>3</v>
      </c>
      <c r="O5" s="5" t="str">
        <f>IF(I5&lt;&gt;"","copy .\dail_base2.dbr .\items\materia\"&amp;J5&amp;"\"&amp;H5&amp;G5&amp;".dbr /y"&amp;"","")</f>
        <v>copy .\dail_base2.dbr .\items\materia\class0003\Occultist3.dbr /y</v>
      </c>
      <c r="P5" t="str">
        <f t="shared" si="7"/>
        <v>echo relicBitmap,items/craftingparts/components/component_a52_bristlyfur_b.tex, &gt;&gt; .\items\materia\class0003\Occultist3.dbr</v>
      </c>
      <c r="Q5" t="str">
        <f t="shared" si="1"/>
        <v>echo itemCost,600000, &gt;&gt; .\items\materia\class0003\Occultist3.dbr</v>
      </c>
      <c r="R5" t="str">
        <f t="shared" si="1"/>
        <v>echo description,dailCompDescOccultist3, &gt;&gt; .\items\materia\class0003\Occultist3.dbr</v>
      </c>
      <c r="S5" t="str">
        <f t="shared" si="1"/>
        <v>echo itemText,dailCompTextOccultist3, &gt;&gt; .\items\materia\class0003\Occultist3.dbr</v>
      </c>
      <c r="T5" t="str">
        <f t="shared" si="1"/>
        <v>echo augmentMasteryLevel1,3, &gt;&gt; .\items\materia\class0003\Occultist3.dbr</v>
      </c>
      <c r="U5" t="str">
        <f t="shared" si="1"/>
        <v>echo augmentMasteryName1,records/skills/playerclass03/_classtraining_class03.dbr, &gt;&gt; .\items\materia\class0003\Occultist3.dbr</v>
      </c>
      <c r="V5" s="5" t="s">
        <v>36</v>
      </c>
      <c r="W5" t="str">
        <f t="shared" si="8"/>
        <v>echo lootName3,DAIL/items/materia/class0003/Occultist3.dbr, &gt;&gt; .\items\loottables\dailoneskill0003.dbr</v>
      </c>
      <c r="X5" t="str">
        <f t="shared" si="8"/>
        <v>echo lootWeight3,1, &gt;&gt; .\items\loottables\dailoneskill0003.dbr</v>
      </c>
      <c r="Y5" s="5" t="s">
        <v>36</v>
      </c>
      <c r="Z5" s="10" t="str">
        <f t="shared" si="9"/>
        <v xml:space="preserve"> dailCompDescOccultist3=^pOccultist's Gift of DAIL</v>
      </c>
      <c r="AA5" s="10" t="str">
        <f>IF(I4&lt;&gt;"","dailCompText"&amp;H5&amp;G5&amp;"=^oThis feels warm to the touch, almost familiar ^w(This component fits into the amulet only)","")</f>
        <v>dailCompTextOccultist3=^oThis feels warm to the touch, almost familiar ^w(This component fits into the amulet only)</v>
      </c>
      <c r="AB5" s="5" t="s">
        <v>36</v>
      </c>
      <c r="AD5">
        <v>5</v>
      </c>
      <c r="AE5" t="s">
        <v>43</v>
      </c>
      <c r="AF5" t="s">
        <v>46</v>
      </c>
      <c r="AI5" t="s">
        <v>61</v>
      </c>
    </row>
    <row r="6" spans="1:38" x14ac:dyDescent="0.25">
      <c r="A6" s="5" t="s">
        <v>39</v>
      </c>
      <c r="B6" s="5" t="s">
        <v>0</v>
      </c>
      <c r="C6" s="5" t="str">
        <f t="shared" si="0"/>
        <v>description,dailCompDescOccultist4,</v>
      </c>
      <c r="D6" s="5" t="str">
        <f t="shared" si="2"/>
        <v>itemText,dailCompTextOccultist4,</v>
      </c>
      <c r="E6" s="5" t="str">
        <f>"augmentSkillLevel1,"&amp;AJ6&amp;","</f>
        <v>augmentSkillLevel1,1,</v>
      </c>
      <c r="F6" s="5" t="str">
        <f>"augmentSkillName1,records/skills"&amp;I6&amp;","</f>
        <v>augmentSkillName1,records/skills/playerclass03/witchfire1.dbr,</v>
      </c>
      <c r="G6" s="7">
        <f t="shared" si="10"/>
        <v>4</v>
      </c>
      <c r="H6" s="8" t="str">
        <f t="shared" si="11"/>
        <v>Occultist</v>
      </c>
      <c r="I6" s="3" t="s">
        <v>111</v>
      </c>
      <c r="J6" s="8" t="str">
        <f t="shared" si="12"/>
        <v>class0003</v>
      </c>
      <c r="K6" s="8" t="str">
        <f t="shared" si="12"/>
        <v>dailoneskill0003</v>
      </c>
      <c r="L6" s="5" t="str">
        <f t="shared" si="4"/>
        <v>lootName4,DAIL/items/materia/class0003/Occultist4.dbr,</v>
      </c>
      <c r="M6" s="5" t="str">
        <f t="shared" si="5"/>
        <v>lootWeight4,1,</v>
      </c>
      <c r="N6" t="str">
        <f t="shared" si="6"/>
        <v>1</v>
      </c>
      <c r="O6" t="str">
        <f>IF(I6&lt;&gt;"","copy .\"&amp;VLOOKUP(VALUE(N6),$AD$3:$AF$5,2,FALSE)&amp;" .\items\materia\"&amp;J6&amp;"\"&amp;H6&amp;G6&amp;".dbr /y"&amp;"","")</f>
        <v>copy .\dail_base.dbr .\items\materia\class0003\Occultist4.dbr /y</v>
      </c>
      <c r="P6" t="str">
        <f t="shared" si="7"/>
        <v>echo relicBitmap,items/craftingparts/components/component_a52_bristlyfur_b.tex, &gt;&gt; .\items\materia\class0003\Occultist4.dbr</v>
      </c>
      <c r="Q6" t="str">
        <f t="shared" si="1"/>
        <v>echo itemCost,100000, &gt;&gt; .\items\materia\class0003\Occultist4.dbr</v>
      </c>
      <c r="R6" t="str">
        <f t="shared" si="1"/>
        <v>echo description,dailCompDescOccultist4, &gt;&gt; .\items\materia\class0003\Occultist4.dbr</v>
      </c>
      <c r="S6" t="str">
        <f t="shared" si="1"/>
        <v>echo itemText,dailCompTextOccultist4, &gt;&gt; .\items\materia\class0003\Occultist4.dbr</v>
      </c>
      <c r="T6" t="str">
        <f t="shared" si="1"/>
        <v>echo augmentSkillLevel1,1, &gt;&gt; .\items\materia\class0003\Occultist4.dbr</v>
      </c>
      <c r="U6" t="str">
        <f t="shared" si="1"/>
        <v>echo augmentSkillName1,records/skills/playerclass03/witchfire1.dbr, &gt;&gt; .\items\materia\class0003\Occultist4.dbr</v>
      </c>
      <c r="V6" s="5" t="s">
        <v>36</v>
      </c>
      <c r="W6" t="str">
        <f t="shared" si="8"/>
        <v>echo lootName4,DAIL/items/materia/class0003/Occultist4.dbr, &gt;&gt; .\items\loottables\dailoneskill0003.dbr</v>
      </c>
      <c r="X6" t="str">
        <f t="shared" si="8"/>
        <v>echo lootWeight4,1, &gt;&gt; .\items\loottables\dailoneskill0003.dbr</v>
      </c>
      <c r="Y6" s="5" t="s">
        <v>36</v>
      </c>
      <c r="Z6" t="str">
        <f t="shared" si="9"/>
        <v xml:space="preserve"> dailCompDescOccultist4=^pOccultist's Gift of DAIL</v>
      </c>
      <c r="AA6" t="str">
        <f>IF(I5&lt;&gt;"","dailCompText"&amp;H6&amp;G6&amp;"=^oThis feels warm to the touch, almost familiar ^w("&amp;VLOOKUP(VALUE(N6),$AD$3:$AF$5,3,FALSE)&amp;")","")</f>
        <v>dailCompTextOccultist4=^oThis feels warm to the touch, almost familiar ^w(This component fits into all Jewellery slots including the Belt And Shoulder)</v>
      </c>
      <c r="AB6" s="5" t="s">
        <v>36</v>
      </c>
      <c r="AH6">
        <v>1</v>
      </c>
      <c r="AI6">
        <f t="shared" ref="AI6:AI37" si="13">LEN(I6)</f>
        <v>29</v>
      </c>
      <c r="AJ6">
        <f>IF(AH6&lt;$AL$7,1,IF(AH6&lt;$AL$8,3,5))</f>
        <v>1</v>
      </c>
      <c r="AK6" s="1" t="s">
        <v>62</v>
      </c>
      <c r="AL6" s="1">
        <f>COUNTIF(AI:AI,"&gt;0")</f>
        <v>90</v>
      </c>
    </row>
    <row r="7" spans="1:38" x14ac:dyDescent="0.25">
      <c r="A7" s="5" t="s">
        <v>39</v>
      </c>
      <c r="B7" s="5" t="s">
        <v>0</v>
      </c>
      <c r="C7" s="5" t="str">
        <f t="shared" si="0"/>
        <v>description,dailCompDescOccultist5,</v>
      </c>
      <c r="D7" s="5" t="str">
        <f t="shared" si="2"/>
        <v>itemText,dailCompTextOccultist5,</v>
      </c>
      <c r="E7" s="5" t="str">
        <f t="shared" ref="E7:E70" si="14">"augmentSkillLevel1,"&amp;AJ7&amp;","</f>
        <v>augmentSkillLevel1,1,</v>
      </c>
      <c r="F7" s="5" t="str">
        <f t="shared" ref="F7:F70" si="15">"augmentSkillName1,records/skills"&amp;I7&amp;","</f>
        <v>augmentSkillName1,records/skills/playerclass03/witchfire1b.dbr,</v>
      </c>
      <c r="G7" s="7">
        <f t="shared" si="10"/>
        <v>5</v>
      </c>
      <c r="H7" s="8" t="str">
        <f t="shared" si="11"/>
        <v>Occultist</v>
      </c>
      <c r="I7" s="3" t="s">
        <v>287</v>
      </c>
      <c r="J7" s="8" t="str">
        <f t="shared" si="12"/>
        <v>class0003</v>
      </c>
      <c r="K7" s="8" t="str">
        <f t="shared" si="12"/>
        <v>dailoneskill0003</v>
      </c>
      <c r="L7" s="5" t="str">
        <f t="shared" si="4"/>
        <v>lootName5,DAIL/items/materia/class0003/Occultist5.dbr,</v>
      </c>
      <c r="M7" s="5" t="str">
        <f t="shared" si="5"/>
        <v>lootWeight5,1,</v>
      </c>
      <c r="N7" t="str">
        <f t="shared" si="6"/>
        <v>1</v>
      </c>
      <c r="O7" t="str">
        <f t="shared" ref="O7:O70" si="16">IF(I7&lt;&gt;"","copy .\"&amp;VLOOKUP(VALUE(N7),$AD$3:$AF$5,2,FALSE)&amp;" .\items\materia\"&amp;J7&amp;"\"&amp;H7&amp;G7&amp;".dbr /y"&amp;"","")</f>
        <v>copy .\dail_base.dbr .\items\materia\class0003\Occultist5.dbr /y</v>
      </c>
      <c r="P7" t="str">
        <f t="shared" si="7"/>
        <v>echo relicBitmap,items/craftingparts/components/component_a52_bristlyfur_b.tex, &gt;&gt; .\items\materia\class0003\Occultist5.dbr</v>
      </c>
      <c r="Q7" t="str">
        <f t="shared" si="1"/>
        <v>echo itemCost,100000, &gt;&gt; .\items\materia\class0003\Occultist5.dbr</v>
      </c>
      <c r="R7" t="str">
        <f t="shared" si="1"/>
        <v>echo description,dailCompDescOccultist5, &gt;&gt; .\items\materia\class0003\Occultist5.dbr</v>
      </c>
      <c r="S7" t="str">
        <f t="shared" si="1"/>
        <v>echo itemText,dailCompTextOccultist5, &gt;&gt; .\items\materia\class0003\Occultist5.dbr</v>
      </c>
      <c r="T7" t="str">
        <f t="shared" si="1"/>
        <v>echo augmentSkillLevel1,1, &gt;&gt; .\items\materia\class0003\Occultist5.dbr</v>
      </c>
      <c r="U7" t="str">
        <f t="shared" si="1"/>
        <v>echo augmentSkillName1,records/skills/playerclass03/witchfire1b.dbr, &gt;&gt; .\items\materia\class0003\Occultist5.dbr</v>
      </c>
      <c r="V7" s="5" t="s">
        <v>36</v>
      </c>
      <c r="W7" t="str">
        <f t="shared" si="8"/>
        <v>echo lootName5,DAIL/items/materia/class0003/Occultist5.dbr, &gt;&gt; .\items\loottables\dailoneskill0003.dbr</v>
      </c>
      <c r="X7" t="str">
        <f t="shared" si="8"/>
        <v>echo lootWeight5,1, &gt;&gt; .\items\loottables\dailoneskill0003.dbr</v>
      </c>
      <c r="Y7" s="5" t="s">
        <v>36</v>
      </c>
      <c r="Z7" t="str">
        <f t="shared" si="9"/>
        <v xml:space="preserve"> dailCompDescOccultist5=^pOccultist's Gift of DAIL</v>
      </c>
      <c r="AA7" t="str">
        <f t="shared" ref="AA7:AA70" si="17">IF(I6&lt;&gt;"","dailCompText"&amp;H7&amp;G7&amp;"=^oThis feels warm to the touch, almost familiar ^w("&amp;VLOOKUP(VALUE(N7),$AD$3:$AF$5,3,FALSE)&amp;")","")</f>
        <v>dailCompTextOccultist5=^oThis feels warm to the touch, almost familiar ^w(This component fits into all Jewellery slots including the Belt And Shoulder)</v>
      </c>
      <c r="AB7" s="5" t="s">
        <v>36</v>
      </c>
      <c r="AH7">
        <f>AH6+1</f>
        <v>2</v>
      </c>
      <c r="AI7">
        <f t="shared" si="13"/>
        <v>30</v>
      </c>
      <c r="AJ7">
        <f t="shared" ref="AJ7:AJ70" si="18">IF(AH7&lt;$AL$7,1,IF(AH7&lt;$AL$8,3,5))</f>
        <v>1</v>
      </c>
      <c r="AK7">
        <v>1</v>
      </c>
      <c r="AL7">
        <f>AL6/3</f>
        <v>30</v>
      </c>
    </row>
    <row r="8" spans="1:38" x14ac:dyDescent="0.25">
      <c r="A8" s="5" t="s">
        <v>39</v>
      </c>
      <c r="B8" s="5" t="s">
        <v>0</v>
      </c>
      <c r="C8" s="5" t="str">
        <f t="shared" si="0"/>
        <v>description,dailCompDescOccultist6,</v>
      </c>
      <c r="D8" s="5" t="str">
        <f t="shared" si="2"/>
        <v>itemText,dailCompTextOccultist6,</v>
      </c>
      <c r="E8" s="5" t="str">
        <f t="shared" si="14"/>
        <v>augmentSkillLevel1,1,</v>
      </c>
      <c r="F8" s="5" t="str">
        <f t="shared" si="15"/>
        <v>augmentSkillName1,records/skills/playerclass03/witchfire2.dbr,</v>
      </c>
      <c r="G8" s="7">
        <f t="shared" si="10"/>
        <v>6</v>
      </c>
      <c r="H8" s="8" t="str">
        <f t="shared" si="11"/>
        <v>Occultist</v>
      </c>
      <c r="I8" s="3" t="s">
        <v>288</v>
      </c>
      <c r="J8" s="8" t="str">
        <f t="shared" si="12"/>
        <v>class0003</v>
      </c>
      <c r="K8" s="8" t="str">
        <f t="shared" si="12"/>
        <v>dailoneskill0003</v>
      </c>
      <c r="L8" s="5" t="str">
        <f t="shared" si="4"/>
        <v>lootName6,DAIL/items/materia/class0003/Occultist6.dbr,</v>
      </c>
      <c r="M8" s="5" t="str">
        <f t="shared" si="5"/>
        <v>lootWeight6,1,</v>
      </c>
      <c r="N8" t="str">
        <f t="shared" si="6"/>
        <v>1</v>
      </c>
      <c r="O8" t="str">
        <f t="shared" si="16"/>
        <v>copy .\dail_base.dbr .\items\materia\class0003\Occultist6.dbr /y</v>
      </c>
      <c r="P8" t="str">
        <f t="shared" si="7"/>
        <v>echo relicBitmap,items/craftingparts/components/component_a52_bristlyfur_b.tex, &gt;&gt; .\items\materia\class0003\Occultist6.dbr</v>
      </c>
      <c r="Q8" t="str">
        <f t="shared" si="1"/>
        <v>echo itemCost,100000, &gt;&gt; .\items\materia\class0003\Occultist6.dbr</v>
      </c>
      <c r="R8" t="str">
        <f t="shared" si="1"/>
        <v>echo description,dailCompDescOccultist6, &gt;&gt; .\items\materia\class0003\Occultist6.dbr</v>
      </c>
      <c r="S8" t="str">
        <f t="shared" si="1"/>
        <v>echo itemText,dailCompTextOccultist6, &gt;&gt; .\items\materia\class0003\Occultist6.dbr</v>
      </c>
      <c r="T8" t="str">
        <f t="shared" si="1"/>
        <v>echo augmentSkillLevel1,1, &gt;&gt; .\items\materia\class0003\Occultist6.dbr</v>
      </c>
      <c r="U8" t="str">
        <f t="shared" si="1"/>
        <v>echo augmentSkillName1,records/skills/playerclass03/witchfire2.dbr, &gt;&gt; .\items\materia\class0003\Occultist6.dbr</v>
      </c>
      <c r="V8" s="5" t="s">
        <v>36</v>
      </c>
      <c r="W8" t="str">
        <f t="shared" si="8"/>
        <v>echo lootName6,DAIL/items/materia/class0003/Occultist6.dbr, &gt;&gt; .\items\loottables\dailoneskill0003.dbr</v>
      </c>
      <c r="X8" t="str">
        <f t="shared" si="8"/>
        <v>echo lootWeight6,1, &gt;&gt; .\items\loottables\dailoneskill0003.dbr</v>
      </c>
      <c r="Y8" s="5" t="s">
        <v>36</v>
      </c>
      <c r="Z8" t="str">
        <f t="shared" si="9"/>
        <v xml:space="preserve"> dailCompDescOccultist6=^pOccultist's Gift of DAIL</v>
      </c>
      <c r="AA8" t="str">
        <f t="shared" si="17"/>
        <v>dailCompTextOccultist6=^oThis feels warm to the touch, almost familiar ^w(This component fits into all Jewellery slots including the Belt And Shoulder)</v>
      </c>
      <c r="AB8" s="5" t="s">
        <v>36</v>
      </c>
      <c r="AH8">
        <f t="shared" ref="AH8:AH71" si="19">AH7+1</f>
        <v>3</v>
      </c>
      <c r="AI8">
        <f t="shared" si="13"/>
        <v>29</v>
      </c>
      <c r="AJ8">
        <f t="shared" si="18"/>
        <v>1</v>
      </c>
      <c r="AK8" s="1">
        <v>3</v>
      </c>
      <c r="AL8">
        <f>AL7*2</f>
        <v>60</v>
      </c>
    </row>
    <row r="9" spans="1:38" x14ac:dyDescent="0.25">
      <c r="A9" s="5" t="s">
        <v>39</v>
      </c>
      <c r="B9" s="5" t="s">
        <v>0</v>
      </c>
      <c r="C9" s="5" t="str">
        <f t="shared" si="0"/>
        <v>description,dailCompDescOccultist7,</v>
      </c>
      <c r="D9" s="5" t="str">
        <f t="shared" si="2"/>
        <v>itemText,dailCompTextOccultist7,</v>
      </c>
      <c r="E9" s="5" t="str">
        <f t="shared" si="14"/>
        <v>augmentSkillLevel1,1,</v>
      </c>
      <c r="F9" s="5" t="str">
        <f t="shared" si="15"/>
        <v>augmentSkillName1,records/skills/playerclass03/bloodofdreeg1.dbr,</v>
      </c>
      <c r="G9" s="7">
        <f t="shared" si="10"/>
        <v>7</v>
      </c>
      <c r="H9" s="8" t="str">
        <f t="shared" si="11"/>
        <v>Occultist</v>
      </c>
      <c r="I9" s="3" t="s">
        <v>101</v>
      </c>
      <c r="J9" s="8" t="str">
        <f t="shared" si="12"/>
        <v>class0003</v>
      </c>
      <c r="K9" s="8" t="str">
        <f t="shared" si="12"/>
        <v>dailoneskill0003</v>
      </c>
      <c r="L9" s="5" t="str">
        <f t="shared" si="4"/>
        <v>lootName7,DAIL/items/materia/class0003/Occultist7.dbr,</v>
      </c>
      <c r="M9" s="5" t="str">
        <f t="shared" si="5"/>
        <v>lootWeight7,1,</v>
      </c>
      <c r="N9" t="str">
        <f t="shared" si="6"/>
        <v>1</v>
      </c>
      <c r="O9" t="str">
        <f t="shared" si="16"/>
        <v>copy .\dail_base.dbr .\items\materia\class0003\Occultist7.dbr /y</v>
      </c>
      <c r="P9" t="str">
        <f t="shared" si="7"/>
        <v>echo relicBitmap,items/craftingparts/components/component_a52_bristlyfur_b.tex, &gt;&gt; .\items\materia\class0003\Occultist7.dbr</v>
      </c>
      <c r="Q9" t="str">
        <f t="shared" si="1"/>
        <v>echo itemCost,100000, &gt;&gt; .\items\materia\class0003\Occultist7.dbr</v>
      </c>
      <c r="R9" t="str">
        <f t="shared" si="1"/>
        <v>echo description,dailCompDescOccultist7, &gt;&gt; .\items\materia\class0003\Occultist7.dbr</v>
      </c>
      <c r="S9" t="str">
        <f t="shared" si="1"/>
        <v>echo itemText,dailCompTextOccultist7, &gt;&gt; .\items\materia\class0003\Occultist7.dbr</v>
      </c>
      <c r="T9" t="str">
        <f t="shared" si="1"/>
        <v>echo augmentSkillLevel1,1, &gt;&gt; .\items\materia\class0003\Occultist7.dbr</v>
      </c>
      <c r="U9" t="str">
        <f t="shared" si="1"/>
        <v>echo augmentSkillName1,records/skills/playerclass03/bloodofdreeg1.dbr, &gt;&gt; .\items\materia\class0003\Occultist7.dbr</v>
      </c>
      <c r="V9" s="5" t="s">
        <v>36</v>
      </c>
      <c r="W9" t="str">
        <f t="shared" si="8"/>
        <v>echo lootName7,DAIL/items/materia/class0003/Occultist7.dbr, &gt;&gt; .\items\loottables\dailoneskill0003.dbr</v>
      </c>
      <c r="X9" t="str">
        <f t="shared" si="8"/>
        <v>echo lootWeight7,1, &gt;&gt; .\items\loottables\dailoneskill0003.dbr</v>
      </c>
      <c r="Y9" s="5" t="s">
        <v>36</v>
      </c>
      <c r="Z9" t="str">
        <f t="shared" si="9"/>
        <v xml:space="preserve"> dailCompDescOccultist7=^pOccultist's Gift of DAIL</v>
      </c>
      <c r="AA9" t="str">
        <f t="shared" si="17"/>
        <v>dailCompTextOccultist7=^oThis feels warm to the touch, almost familiar ^w(This component fits into all Jewellery slots including the Belt And Shoulder)</v>
      </c>
      <c r="AB9" s="5" t="s">
        <v>36</v>
      </c>
      <c r="AH9">
        <f t="shared" si="19"/>
        <v>4</v>
      </c>
      <c r="AI9">
        <f t="shared" si="13"/>
        <v>32</v>
      </c>
      <c r="AJ9">
        <f t="shared" si="18"/>
        <v>1</v>
      </c>
      <c r="AK9" s="1">
        <v>5</v>
      </c>
      <c r="AL9">
        <f>AL6</f>
        <v>90</v>
      </c>
    </row>
    <row r="10" spans="1:38" x14ac:dyDescent="0.25">
      <c r="A10" s="5" t="s">
        <v>39</v>
      </c>
      <c r="B10" s="5" t="s">
        <v>0</v>
      </c>
      <c r="C10" s="5" t="str">
        <f t="shared" si="0"/>
        <v>description,dailCompDescOccultist8,</v>
      </c>
      <c r="D10" s="5" t="str">
        <f t="shared" si="2"/>
        <v>itemText,dailCompTextOccultist8,</v>
      </c>
      <c r="E10" s="5" t="str">
        <f t="shared" si="14"/>
        <v>augmentSkillLevel1,1,</v>
      </c>
      <c r="F10" s="5" t="str">
        <f t="shared" si="15"/>
        <v>augmentSkillName1,records/skills/playerclass03/bloodofdreeg2.dbr,</v>
      </c>
      <c r="G10" s="7">
        <f t="shared" si="10"/>
        <v>8</v>
      </c>
      <c r="H10" s="8" t="str">
        <f t="shared" si="11"/>
        <v>Occultist</v>
      </c>
      <c r="I10" s="3" t="s">
        <v>289</v>
      </c>
      <c r="J10" s="8" t="str">
        <f t="shared" si="12"/>
        <v>class0003</v>
      </c>
      <c r="K10" s="8" t="str">
        <f t="shared" si="12"/>
        <v>dailoneskill0003</v>
      </c>
      <c r="L10" s="5" t="str">
        <f t="shared" si="4"/>
        <v>lootName8,DAIL/items/materia/class0003/Occultist8.dbr,</v>
      </c>
      <c r="M10" s="5" t="str">
        <f t="shared" si="5"/>
        <v>lootWeight8,1,</v>
      </c>
      <c r="N10" t="str">
        <f t="shared" si="6"/>
        <v>1</v>
      </c>
      <c r="O10" t="str">
        <f t="shared" si="16"/>
        <v>copy .\dail_base.dbr .\items\materia\class0003\Occultist8.dbr /y</v>
      </c>
      <c r="P10" t="str">
        <f t="shared" si="7"/>
        <v>echo relicBitmap,items/craftingparts/components/component_a52_bristlyfur_b.tex, &gt;&gt; .\items\materia\class0003\Occultist8.dbr</v>
      </c>
      <c r="Q10" t="str">
        <f t="shared" si="1"/>
        <v>echo itemCost,100000, &gt;&gt; .\items\materia\class0003\Occultist8.dbr</v>
      </c>
      <c r="R10" t="str">
        <f t="shared" si="1"/>
        <v>echo description,dailCompDescOccultist8, &gt;&gt; .\items\materia\class0003\Occultist8.dbr</v>
      </c>
      <c r="S10" t="str">
        <f t="shared" si="1"/>
        <v>echo itemText,dailCompTextOccultist8, &gt;&gt; .\items\materia\class0003\Occultist8.dbr</v>
      </c>
      <c r="T10" t="str">
        <f t="shared" si="1"/>
        <v>echo augmentSkillLevel1,1, &gt;&gt; .\items\materia\class0003\Occultist8.dbr</v>
      </c>
      <c r="U10" t="str">
        <f t="shared" si="1"/>
        <v>echo augmentSkillName1,records/skills/playerclass03/bloodofdreeg2.dbr, &gt;&gt; .\items\materia\class0003\Occultist8.dbr</v>
      </c>
      <c r="V10" s="5" t="s">
        <v>36</v>
      </c>
      <c r="W10" t="str">
        <f t="shared" si="8"/>
        <v>echo lootName8,DAIL/items/materia/class0003/Occultist8.dbr, &gt;&gt; .\items\loottables\dailoneskill0003.dbr</v>
      </c>
      <c r="X10" t="str">
        <f t="shared" si="8"/>
        <v>echo lootWeight8,1, &gt;&gt; .\items\loottables\dailoneskill0003.dbr</v>
      </c>
      <c r="Y10" s="5" t="s">
        <v>36</v>
      </c>
      <c r="Z10" t="str">
        <f t="shared" si="9"/>
        <v xml:space="preserve"> dailCompDescOccultist8=^pOccultist's Gift of DAIL</v>
      </c>
      <c r="AA10" t="str">
        <f t="shared" si="17"/>
        <v>dailCompTextOccultist8=^oThis feels warm to the touch, almost familiar ^w(This component fits into all Jewellery slots including the Belt And Shoulder)</v>
      </c>
      <c r="AB10" s="5" t="s">
        <v>36</v>
      </c>
      <c r="AH10">
        <f t="shared" si="19"/>
        <v>5</v>
      </c>
      <c r="AI10">
        <f t="shared" si="13"/>
        <v>32</v>
      </c>
      <c r="AJ10">
        <f t="shared" si="18"/>
        <v>1</v>
      </c>
    </row>
    <row r="11" spans="1:38" x14ac:dyDescent="0.25">
      <c r="A11" s="5" t="s">
        <v>39</v>
      </c>
      <c r="B11" s="5" t="s">
        <v>0</v>
      </c>
      <c r="C11" s="5" t="str">
        <f t="shared" si="0"/>
        <v>description,dailCompDescOccultist9,</v>
      </c>
      <c r="D11" s="5" t="str">
        <f t="shared" si="2"/>
        <v>itemText,dailCompTextOccultist9,</v>
      </c>
      <c r="E11" s="5" t="str">
        <f t="shared" si="14"/>
        <v>augmentSkillLevel1,1,</v>
      </c>
      <c r="F11" s="5" t="str">
        <f t="shared" si="15"/>
        <v>augmentSkillName1,records/skills/playerclass03/doombolt1.dbr,</v>
      </c>
      <c r="G11" s="7">
        <f t="shared" si="10"/>
        <v>9</v>
      </c>
      <c r="H11" s="8" t="str">
        <f t="shared" si="11"/>
        <v>Occultist</v>
      </c>
      <c r="I11" s="3" t="s">
        <v>104</v>
      </c>
      <c r="J11" s="8" t="str">
        <f t="shared" si="12"/>
        <v>class0003</v>
      </c>
      <c r="K11" s="8" t="str">
        <f t="shared" si="12"/>
        <v>dailoneskill0003</v>
      </c>
      <c r="L11" s="5" t="str">
        <f t="shared" si="4"/>
        <v>lootName9,DAIL/items/materia/class0003/Occultist9.dbr,</v>
      </c>
      <c r="M11" s="5" t="str">
        <f t="shared" si="5"/>
        <v>lootWeight9,1,</v>
      </c>
      <c r="N11" t="str">
        <f t="shared" si="6"/>
        <v>1</v>
      </c>
      <c r="O11" t="str">
        <f t="shared" si="16"/>
        <v>copy .\dail_base.dbr .\items\materia\class0003\Occultist9.dbr /y</v>
      </c>
      <c r="P11" t="str">
        <f t="shared" si="7"/>
        <v>echo relicBitmap,items/craftingparts/components/component_a52_bristlyfur_b.tex, &gt;&gt; .\items\materia\class0003\Occultist9.dbr</v>
      </c>
      <c r="Q11" t="str">
        <f t="shared" si="1"/>
        <v>echo itemCost,100000, &gt;&gt; .\items\materia\class0003\Occultist9.dbr</v>
      </c>
      <c r="R11" t="str">
        <f t="shared" si="1"/>
        <v>echo description,dailCompDescOccultist9, &gt;&gt; .\items\materia\class0003\Occultist9.dbr</v>
      </c>
      <c r="S11" t="str">
        <f t="shared" si="1"/>
        <v>echo itemText,dailCompTextOccultist9, &gt;&gt; .\items\materia\class0003\Occultist9.dbr</v>
      </c>
      <c r="T11" t="str">
        <f t="shared" si="1"/>
        <v>echo augmentSkillLevel1,1, &gt;&gt; .\items\materia\class0003\Occultist9.dbr</v>
      </c>
      <c r="U11" t="str">
        <f t="shared" si="1"/>
        <v>echo augmentSkillName1,records/skills/playerclass03/doombolt1.dbr, &gt;&gt; .\items\materia\class0003\Occultist9.dbr</v>
      </c>
      <c r="V11" s="5" t="s">
        <v>36</v>
      </c>
      <c r="W11" t="str">
        <f t="shared" si="8"/>
        <v>echo lootName9,DAIL/items/materia/class0003/Occultist9.dbr, &gt;&gt; .\items\loottables\dailoneskill0003.dbr</v>
      </c>
      <c r="X11" t="str">
        <f t="shared" si="8"/>
        <v>echo lootWeight9,1, &gt;&gt; .\items\loottables\dailoneskill0003.dbr</v>
      </c>
      <c r="Y11" s="5" t="s">
        <v>36</v>
      </c>
      <c r="Z11" t="str">
        <f t="shared" si="9"/>
        <v xml:space="preserve"> dailCompDescOccultist9=^pOccultist's Gift of DAIL</v>
      </c>
      <c r="AA11" t="str">
        <f t="shared" si="17"/>
        <v>dailCompTextOccultist9=^oThis feels warm to the touch, almost familiar ^w(This component fits into all Jewellery slots including the Belt And Shoulder)</v>
      </c>
      <c r="AB11" s="5" t="s">
        <v>36</v>
      </c>
      <c r="AH11">
        <f t="shared" si="19"/>
        <v>6</v>
      </c>
      <c r="AI11">
        <f t="shared" si="13"/>
        <v>28</v>
      </c>
      <c r="AJ11">
        <f t="shared" si="18"/>
        <v>1</v>
      </c>
    </row>
    <row r="12" spans="1:38" x14ac:dyDescent="0.25">
      <c r="A12" s="5" t="s">
        <v>39</v>
      </c>
      <c r="B12" s="5" t="s">
        <v>0</v>
      </c>
      <c r="C12" s="5" t="str">
        <f t="shared" si="0"/>
        <v>description,dailCompDescOccultist10,</v>
      </c>
      <c r="D12" s="5" t="str">
        <f t="shared" si="2"/>
        <v>itemText,dailCompTextOccultist10,</v>
      </c>
      <c r="E12" s="5" t="str">
        <f t="shared" si="14"/>
        <v>augmentSkillLevel1,1,</v>
      </c>
      <c r="F12" s="5" t="str">
        <f t="shared" si="15"/>
        <v>augmentSkillName1,records/skills/playerclass03/possession1.dbr,</v>
      </c>
      <c r="G12" s="7">
        <f t="shared" si="10"/>
        <v>10</v>
      </c>
      <c r="H12" s="8" t="str">
        <f t="shared" si="11"/>
        <v>Occultist</v>
      </c>
      <c r="I12" s="3" t="s">
        <v>106</v>
      </c>
      <c r="J12" s="8" t="str">
        <f t="shared" si="12"/>
        <v>class0003</v>
      </c>
      <c r="K12" s="8" t="str">
        <f t="shared" si="12"/>
        <v>dailoneskill0003</v>
      </c>
      <c r="L12" s="5" t="str">
        <f t="shared" si="4"/>
        <v>lootName10,DAIL/items/materia/class0003/Occultist10.dbr,</v>
      </c>
      <c r="M12" s="5" t="str">
        <f t="shared" si="5"/>
        <v>lootWeight10,1,</v>
      </c>
      <c r="N12" t="str">
        <f t="shared" si="6"/>
        <v>1</v>
      </c>
      <c r="O12" t="str">
        <f t="shared" si="16"/>
        <v>copy .\dail_base.dbr .\items\materia\class0003\Occultist10.dbr /y</v>
      </c>
      <c r="P12" t="str">
        <f t="shared" si="7"/>
        <v>echo relicBitmap,items/craftingparts/components/component_a52_bristlyfur_b.tex, &gt;&gt; .\items\materia\class0003\Occultist10.dbr</v>
      </c>
      <c r="Q12" t="str">
        <f t="shared" si="1"/>
        <v>echo itemCost,100000, &gt;&gt; .\items\materia\class0003\Occultist10.dbr</v>
      </c>
      <c r="R12" t="str">
        <f t="shared" si="1"/>
        <v>echo description,dailCompDescOccultist10, &gt;&gt; .\items\materia\class0003\Occultist10.dbr</v>
      </c>
      <c r="S12" t="str">
        <f t="shared" si="1"/>
        <v>echo itemText,dailCompTextOccultist10, &gt;&gt; .\items\materia\class0003\Occultist10.dbr</v>
      </c>
      <c r="T12" t="str">
        <f t="shared" si="1"/>
        <v>echo augmentSkillLevel1,1, &gt;&gt; .\items\materia\class0003\Occultist10.dbr</v>
      </c>
      <c r="U12" t="str">
        <f t="shared" si="1"/>
        <v>echo augmentSkillName1,records/skills/playerclass03/possession1.dbr, &gt;&gt; .\items\materia\class0003\Occultist10.dbr</v>
      </c>
      <c r="V12" s="5" t="s">
        <v>36</v>
      </c>
      <c r="W12" t="str">
        <f t="shared" si="8"/>
        <v>echo lootName10,DAIL/items/materia/class0003/Occultist10.dbr, &gt;&gt; .\items\loottables\dailoneskill0003.dbr</v>
      </c>
      <c r="X12" t="str">
        <f t="shared" si="8"/>
        <v>echo lootWeight10,1, &gt;&gt; .\items\loottables\dailoneskill0003.dbr</v>
      </c>
      <c r="Y12" s="5" t="s">
        <v>36</v>
      </c>
      <c r="Z12" t="str">
        <f t="shared" si="9"/>
        <v xml:space="preserve"> dailCompDescOccultist10=^pOccultist's Gift of DAIL</v>
      </c>
      <c r="AA12" t="str">
        <f t="shared" si="17"/>
        <v>dailCompTextOccultist10=^oThis feels warm to the touch, almost familiar ^w(This component fits into all Jewellery slots including the Belt And Shoulder)</v>
      </c>
      <c r="AB12" s="5" t="s">
        <v>36</v>
      </c>
      <c r="AH12">
        <f t="shared" si="19"/>
        <v>7</v>
      </c>
      <c r="AI12">
        <f t="shared" si="13"/>
        <v>30</v>
      </c>
      <c r="AJ12">
        <f t="shared" si="18"/>
        <v>1</v>
      </c>
    </row>
    <row r="13" spans="1:38" x14ac:dyDescent="0.25">
      <c r="A13" s="5" t="s">
        <v>39</v>
      </c>
      <c r="B13" s="5" t="s">
        <v>0</v>
      </c>
      <c r="C13" s="5" t="str">
        <f t="shared" si="0"/>
        <v>description,dailCompDescOccultist11,</v>
      </c>
      <c r="D13" s="5" t="str">
        <f t="shared" si="2"/>
        <v>itemText,dailCompTextOccultist11,</v>
      </c>
      <c r="E13" s="5" t="str">
        <f t="shared" si="14"/>
        <v>augmentSkillLevel1,1,</v>
      </c>
      <c r="F13" s="5" t="str">
        <f t="shared" si="15"/>
        <v>augmentSkillName1,records/skills/playerclass03/evileye1.dbr,</v>
      </c>
      <c r="G13" s="7">
        <f t="shared" si="10"/>
        <v>11</v>
      </c>
      <c r="H13" s="8" t="str">
        <f t="shared" si="11"/>
        <v>Occultist</v>
      </c>
      <c r="I13" s="3" t="s">
        <v>105</v>
      </c>
      <c r="J13" s="8" t="str">
        <f t="shared" si="12"/>
        <v>class0003</v>
      </c>
      <c r="K13" s="8" t="str">
        <f t="shared" si="12"/>
        <v>dailoneskill0003</v>
      </c>
      <c r="L13" s="5" t="str">
        <f t="shared" si="4"/>
        <v>lootName11,DAIL/items/materia/class0003/Occultist11.dbr,</v>
      </c>
      <c r="M13" s="5" t="str">
        <f t="shared" si="5"/>
        <v>lootWeight11,1,</v>
      </c>
      <c r="N13" t="str">
        <f t="shared" si="6"/>
        <v>1</v>
      </c>
      <c r="O13" t="str">
        <f t="shared" si="16"/>
        <v>copy .\dail_base.dbr .\items\materia\class0003\Occultist11.dbr /y</v>
      </c>
      <c r="P13" t="str">
        <f t="shared" si="7"/>
        <v>echo relicBitmap,items/craftingparts/components/component_a52_bristlyfur_b.tex, &gt;&gt; .\items\materia\class0003\Occultist11.dbr</v>
      </c>
      <c r="Q13" t="str">
        <f t="shared" si="1"/>
        <v>echo itemCost,100000, &gt;&gt; .\items\materia\class0003\Occultist11.dbr</v>
      </c>
      <c r="R13" t="str">
        <f t="shared" si="1"/>
        <v>echo description,dailCompDescOccultist11, &gt;&gt; .\items\materia\class0003\Occultist11.dbr</v>
      </c>
      <c r="S13" t="str">
        <f t="shared" si="1"/>
        <v>echo itemText,dailCompTextOccultist11, &gt;&gt; .\items\materia\class0003\Occultist11.dbr</v>
      </c>
      <c r="T13" t="str">
        <f t="shared" si="1"/>
        <v>echo augmentSkillLevel1,1, &gt;&gt; .\items\materia\class0003\Occultist11.dbr</v>
      </c>
      <c r="U13" t="str">
        <f t="shared" si="1"/>
        <v>echo augmentSkillName1,records/skills/playerclass03/evileye1.dbr, &gt;&gt; .\items\materia\class0003\Occultist11.dbr</v>
      </c>
      <c r="V13" s="5" t="s">
        <v>36</v>
      </c>
      <c r="W13" t="str">
        <f t="shared" si="8"/>
        <v>echo lootName11,DAIL/items/materia/class0003/Occultist11.dbr, &gt;&gt; .\items\loottables\dailoneskill0003.dbr</v>
      </c>
      <c r="X13" t="str">
        <f t="shared" si="8"/>
        <v>echo lootWeight11,1, &gt;&gt; .\items\loottables\dailoneskill0003.dbr</v>
      </c>
      <c r="Y13" s="5" t="s">
        <v>36</v>
      </c>
      <c r="Z13" t="str">
        <f t="shared" si="9"/>
        <v xml:space="preserve"> dailCompDescOccultist11=^pOccultist's Gift of DAIL</v>
      </c>
      <c r="AA13" t="str">
        <f t="shared" si="17"/>
        <v>dailCompTextOccultist11=^oThis feels warm to the touch, almost familiar ^w(This component fits into all Jewellery slots including the Belt And Shoulder)</v>
      </c>
      <c r="AB13" s="5" t="s">
        <v>36</v>
      </c>
      <c r="AH13">
        <f t="shared" si="19"/>
        <v>8</v>
      </c>
      <c r="AI13">
        <f t="shared" si="13"/>
        <v>27</v>
      </c>
      <c r="AJ13">
        <f t="shared" si="18"/>
        <v>1</v>
      </c>
    </row>
    <row r="14" spans="1:38" x14ac:dyDescent="0.25">
      <c r="A14" s="5" t="s">
        <v>39</v>
      </c>
      <c r="B14" s="5" t="s">
        <v>0</v>
      </c>
      <c r="C14" s="5" t="str">
        <f t="shared" si="0"/>
        <v>description,dailCompDescOccultist12,</v>
      </c>
      <c r="D14" s="5" t="str">
        <f t="shared" si="2"/>
        <v>itemText,dailCompTextOccultist12,</v>
      </c>
      <c r="E14" s="5" t="str">
        <f t="shared" si="14"/>
        <v>augmentSkillLevel1,1,</v>
      </c>
      <c r="F14" s="5" t="str">
        <f t="shared" si="15"/>
        <v>augmentSkillName1,records/skills/playerclass03/evileye2.dbr,</v>
      </c>
      <c r="G14" s="7">
        <f t="shared" si="10"/>
        <v>12</v>
      </c>
      <c r="H14" s="8" t="str">
        <f t="shared" si="11"/>
        <v>Occultist</v>
      </c>
      <c r="I14" s="3" t="s">
        <v>290</v>
      </c>
      <c r="J14" s="8" t="str">
        <f t="shared" si="12"/>
        <v>class0003</v>
      </c>
      <c r="K14" s="8" t="str">
        <f t="shared" si="12"/>
        <v>dailoneskill0003</v>
      </c>
      <c r="L14" s="5" t="str">
        <f t="shared" si="4"/>
        <v>lootName12,DAIL/items/materia/class0003/Occultist12.dbr,</v>
      </c>
      <c r="M14" s="5" t="str">
        <f t="shared" si="5"/>
        <v>lootWeight12,1,</v>
      </c>
      <c r="N14" t="str">
        <f t="shared" si="6"/>
        <v>1</v>
      </c>
      <c r="O14" t="str">
        <f t="shared" si="16"/>
        <v>copy .\dail_base.dbr .\items\materia\class0003\Occultist12.dbr /y</v>
      </c>
      <c r="P14" t="str">
        <f t="shared" si="7"/>
        <v>echo relicBitmap,items/craftingparts/components/component_a52_bristlyfur_b.tex, &gt;&gt; .\items\materia\class0003\Occultist12.dbr</v>
      </c>
      <c r="Q14" t="str">
        <f t="shared" si="1"/>
        <v>echo itemCost,100000, &gt;&gt; .\items\materia\class0003\Occultist12.dbr</v>
      </c>
      <c r="R14" t="str">
        <f t="shared" si="1"/>
        <v>echo description,dailCompDescOccultist12, &gt;&gt; .\items\materia\class0003\Occultist12.dbr</v>
      </c>
      <c r="S14" t="str">
        <f t="shared" si="1"/>
        <v>echo itemText,dailCompTextOccultist12, &gt;&gt; .\items\materia\class0003\Occultist12.dbr</v>
      </c>
      <c r="T14" t="str">
        <f t="shared" si="1"/>
        <v>echo augmentSkillLevel1,1, &gt;&gt; .\items\materia\class0003\Occultist12.dbr</v>
      </c>
      <c r="U14" t="str">
        <f t="shared" si="1"/>
        <v>echo augmentSkillName1,records/skills/playerclass03/evileye2.dbr, &gt;&gt; .\items\materia\class0003\Occultist12.dbr</v>
      </c>
      <c r="V14" s="5" t="s">
        <v>36</v>
      </c>
      <c r="W14" t="str">
        <f t="shared" si="8"/>
        <v>echo lootName12,DAIL/items/materia/class0003/Occultist12.dbr, &gt;&gt; .\items\loottables\dailoneskill0003.dbr</v>
      </c>
      <c r="X14" t="str">
        <f t="shared" si="8"/>
        <v>echo lootWeight12,1, &gt;&gt; .\items\loottables\dailoneskill0003.dbr</v>
      </c>
      <c r="Y14" s="5" t="s">
        <v>36</v>
      </c>
      <c r="Z14" t="str">
        <f t="shared" si="9"/>
        <v xml:space="preserve"> dailCompDescOccultist12=^pOccultist's Gift of DAIL</v>
      </c>
      <c r="AA14" t="str">
        <f t="shared" si="17"/>
        <v>dailCompTextOccultist12=^oThis feels warm to the touch, almost familiar ^w(This component fits into all Jewellery slots including the Belt And Shoulder)</v>
      </c>
      <c r="AB14" s="5" t="s">
        <v>36</v>
      </c>
      <c r="AH14">
        <f t="shared" si="19"/>
        <v>9</v>
      </c>
      <c r="AI14">
        <f t="shared" si="13"/>
        <v>27</v>
      </c>
      <c r="AJ14">
        <f t="shared" si="18"/>
        <v>1</v>
      </c>
    </row>
    <row r="15" spans="1:38" x14ac:dyDescent="0.25">
      <c r="A15" s="5" t="s">
        <v>39</v>
      </c>
      <c r="B15" s="5" t="s">
        <v>0</v>
      </c>
      <c r="C15" s="5" t="str">
        <f t="shared" si="0"/>
        <v>description,dailCompDescOccultist13,</v>
      </c>
      <c r="D15" s="5" t="str">
        <f t="shared" si="2"/>
        <v>itemText,dailCompTextOccultist13,</v>
      </c>
      <c r="E15" s="5" t="str">
        <f t="shared" si="14"/>
        <v>augmentSkillLevel1,1,</v>
      </c>
      <c r="F15" s="5" t="str">
        <f t="shared" si="15"/>
        <v>augmentSkillName1,records/skills/playerclass03/evileye1b.dbr,</v>
      </c>
      <c r="G15" s="7">
        <f t="shared" si="10"/>
        <v>13</v>
      </c>
      <c r="H15" s="8" t="str">
        <f t="shared" si="11"/>
        <v>Occultist</v>
      </c>
      <c r="I15" s="3" t="s">
        <v>291</v>
      </c>
      <c r="J15" s="8" t="str">
        <f t="shared" si="12"/>
        <v>class0003</v>
      </c>
      <c r="K15" s="8" t="str">
        <f t="shared" si="12"/>
        <v>dailoneskill0003</v>
      </c>
      <c r="L15" s="5" t="str">
        <f t="shared" si="4"/>
        <v>lootName13,DAIL/items/materia/class0003/Occultist13.dbr,</v>
      </c>
      <c r="M15" s="5" t="str">
        <f t="shared" si="5"/>
        <v>lootWeight13,1,</v>
      </c>
      <c r="N15" t="str">
        <f t="shared" si="6"/>
        <v>1</v>
      </c>
      <c r="O15" t="str">
        <f t="shared" si="16"/>
        <v>copy .\dail_base.dbr .\items\materia\class0003\Occultist13.dbr /y</v>
      </c>
      <c r="P15" t="str">
        <f t="shared" si="7"/>
        <v>echo relicBitmap,items/craftingparts/components/component_a52_bristlyfur_b.tex, &gt;&gt; .\items\materia\class0003\Occultist13.dbr</v>
      </c>
      <c r="Q15" t="str">
        <f t="shared" si="1"/>
        <v>echo itemCost,100000, &gt;&gt; .\items\materia\class0003\Occultist13.dbr</v>
      </c>
      <c r="R15" t="str">
        <f t="shared" si="1"/>
        <v>echo description,dailCompDescOccultist13, &gt;&gt; .\items\materia\class0003\Occultist13.dbr</v>
      </c>
      <c r="S15" t="str">
        <f t="shared" si="1"/>
        <v>echo itemText,dailCompTextOccultist13, &gt;&gt; .\items\materia\class0003\Occultist13.dbr</v>
      </c>
      <c r="T15" t="str">
        <f t="shared" si="1"/>
        <v>echo augmentSkillLevel1,1, &gt;&gt; .\items\materia\class0003\Occultist13.dbr</v>
      </c>
      <c r="U15" t="str">
        <f t="shared" si="1"/>
        <v>echo augmentSkillName1,records/skills/playerclass03/evileye1b.dbr, &gt;&gt; .\items\materia\class0003\Occultist13.dbr</v>
      </c>
      <c r="V15" s="5" t="s">
        <v>36</v>
      </c>
      <c r="W15" t="str">
        <f t="shared" si="8"/>
        <v>echo lootName13,DAIL/items/materia/class0003/Occultist13.dbr, &gt;&gt; .\items\loottables\dailoneskill0003.dbr</v>
      </c>
      <c r="X15" t="str">
        <f t="shared" si="8"/>
        <v>echo lootWeight13,1, &gt;&gt; .\items\loottables\dailoneskill0003.dbr</v>
      </c>
      <c r="Y15" s="5" t="s">
        <v>36</v>
      </c>
      <c r="Z15" t="str">
        <f t="shared" si="9"/>
        <v xml:space="preserve"> dailCompDescOccultist13=^pOccultist's Gift of DAIL</v>
      </c>
      <c r="AA15" t="str">
        <f t="shared" si="17"/>
        <v>dailCompTextOccultist13=^oThis feels warm to the touch, almost familiar ^w(This component fits into all Jewellery slots including the Belt And Shoulder)</v>
      </c>
      <c r="AB15" s="5" t="s">
        <v>36</v>
      </c>
      <c r="AH15">
        <f t="shared" si="19"/>
        <v>10</v>
      </c>
      <c r="AI15">
        <f t="shared" si="13"/>
        <v>28</v>
      </c>
      <c r="AJ15">
        <f t="shared" si="18"/>
        <v>1</v>
      </c>
    </row>
    <row r="16" spans="1:38" x14ac:dyDescent="0.25">
      <c r="A16" s="5" t="s">
        <v>39</v>
      </c>
      <c r="B16" s="5" t="s">
        <v>0</v>
      </c>
      <c r="C16" s="5" t="str">
        <f t="shared" si="0"/>
        <v>description,dailCompDescOccultist14,</v>
      </c>
      <c r="D16" s="5" t="str">
        <f t="shared" si="2"/>
        <v>itemText,dailCompTextOccultist14,</v>
      </c>
      <c r="E16" s="5" t="str">
        <f t="shared" si="14"/>
        <v>augmentSkillLevel1,1,</v>
      </c>
      <c r="F16" s="5" t="str">
        <f t="shared" si="15"/>
        <v>augmentSkillName1,records/skills/playerclass03/summon_raven1.dbr,</v>
      </c>
      <c r="G16" s="7">
        <f t="shared" si="10"/>
        <v>14</v>
      </c>
      <c r="H16" s="8" t="str">
        <f t="shared" si="11"/>
        <v>Occultist</v>
      </c>
      <c r="I16" s="3" t="s">
        <v>110</v>
      </c>
      <c r="J16" s="8" t="str">
        <f t="shared" si="12"/>
        <v>class0003</v>
      </c>
      <c r="K16" s="8" t="str">
        <f t="shared" si="12"/>
        <v>dailoneskill0003</v>
      </c>
      <c r="L16" s="5" t="str">
        <f t="shared" si="4"/>
        <v>lootName14,DAIL/items/materia/class0003/Occultist14.dbr,</v>
      </c>
      <c r="M16" s="5" t="str">
        <f t="shared" si="5"/>
        <v>lootWeight14,1,</v>
      </c>
      <c r="N16" t="str">
        <f t="shared" si="6"/>
        <v>1</v>
      </c>
      <c r="O16" t="str">
        <f t="shared" si="16"/>
        <v>copy .\dail_base.dbr .\items\materia\class0003\Occultist14.dbr /y</v>
      </c>
      <c r="P16" t="str">
        <f t="shared" si="7"/>
        <v>echo relicBitmap,items/craftingparts/components/component_a52_bristlyfur_b.tex, &gt;&gt; .\items\materia\class0003\Occultist14.dbr</v>
      </c>
      <c r="Q16" t="str">
        <f t="shared" si="1"/>
        <v>echo itemCost,100000, &gt;&gt; .\items\materia\class0003\Occultist14.dbr</v>
      </c>
      <c r="R16" t="str">
        <f t="shared" si="1"/>
        <v>echo description,dailCompDescOccultist14, &gt;&gt; .\items\materia\class0003\Occultist14.dbr</v>
      </c>
      <c r="S16" t="str">
        <f t="shared" si="1"/>
        <v>echo itemText,dailCompTextOccultist14, &gt;&gt; .\items\materia\class0003\Occultist14.dbr</v>
      </c>
      <c r="T16" t="str">
        <f t="shared" si="1"/>
        <v>echo augmentSkillLevel1,1, &gt;&gt; .\items\materia\class0003\Occultist14.dbr</v>
      </c>
      <c r="U16" t="str">
        <f t="shared" si="1"/>
        <v>echo augmentSkillName1,records/skills/playerclass03/summon_raven1.dbr, &gt;&gt; .\items\materia\class0003\Occultist14.dbr</v>
      </c>
      <c r="V16" s="5" t="s">
        <v>36</v>
      </c>
      <c r="W16" t="str">
        <f t="shared" si="8"/>
        <v>echo lootName14,DAIL/items/materia/class0003/Occultist14.dbr, &gt;&gt; .\items\loottables\dailoneskill0003.dbr</v>
      </c>
      <c r="X16" t="str">
        <f t="shared" si="8"/>
        <v>echo lootWeight14,1, &gt;&gt; .\items\loottables\dailoneskill0003.dbr</v>
      </c>
      <c r="Y16" s="5" t="s">
        <v>36</v>
      </c>
      <c r="Z16" t="str">
        <f t="shared" si="9"/>
        <v xml:space="preserve"> dailCompDescOccultist14=^pOccultist's Gift of DAIL</v>
      </c>
      <c r="AA16" t="str">
        <f t="shared" si="17"/>
        <v>dailCompTextOccultist14=^oThis feels warm to the touch, almost familiar ^w(This component fits into all Jewellery slots including the Belt And Shoulder)</v>
      </c>
      <c r="AB16" s="5" t="s">
        <v>36</v>
      </c>
      <c r="AH16">
        <f t="shared" si="19"/>
        <v>11</v>
      </c>
      <c r="AI16">
        <f t="shared" si="13"/>
        <v>32</v>
      </c>
      <c r="AJ16">
        <f t="shared" si="18"/>
        <v>1</v>
      </c>
    </row>
    <row r="17" spans="1:36" x14ac:dyDescent="0.25">
      <c r="A17" s="5" t="s">
        <v>39</v>
      </c>
      <c r="B17" s="5" t="s">
        <v>0</v>
      </c>
      <c r="C17" s="5" t="str">
        <f t="shared" si="0"/>
        <v>description,dailCompDescOccultist15,</v>
      </c>
      <c r="D17" s="5" t="str">
        <f t="shared" si="2"/>
        <v>itemText,dailCompTextOccultist15,</v>
      </c>
      <c r="E17" s="5" t="str">
        <f t="shared" si="14"/>
        <v>augmentSkillLevel1,1,</v>
      </c>
      <c r="F17" s="5" t="str">
        <f t="shared" si="15"/>
        <v>augmentSkillName1,records/skills/playerclass03/evileye3.dbr,</v>
      </c>
      <c r="G17" s="7">
        <f t="shared" si="10"/>
        <v>15</v>
      </c>
      <c r="H17" s="8" t="str">
        <f t="shared" si="11"/>
        <v>Occultist</v>
      </c>
      <c r="I17" s="3" t="s">
        <v>292</v>
      </c>
      <c r="J17" s="8" t="str">
        <f t="shared" si="12"/>
        <v>class0003</v>
      </c>
      <c r="K17" s="8" t="str">
        <f t="shared" si="12"/>
        <v>dailoneskill0003</v>
      </c>
      <c r="L17" s="5" t="str">
        <f t="shared" si="4"/>
        <v>lootName15,DAIL/items/materia/class0003/Occultist15.dbr,</v>
      </c>
      <c r="M17" s="5" t="str">
        <f t="shared" si="5"/>
        <v>lootWeight15,1,</v>
      </c>
      <c r="N17" t="str">
        <f t="shared" si="6"/>
        <v>1</v>
      </c>
      <c r="O17" t="str">
        <f t="shared" si="16"/>
        <v>copy .\dail_base.dbr .\items\materia\class0003\Occultist15.dbr /y</v>
      </c>
      <c r="P17" t="str">
        <f t="shared" si="7"/>
        <v>echo relicBitmap,items/craftingparts/components/component_a52_bristlyfur_b.tex, &gt;&gt; .\items\materia\class0003\Occultist15.dbr</v>
      </c>
      <c r="Q17" t="str">
        <f t="shared" si="1"/>
        <v>echo itemCost,100000, &gt;&gt; .\items\materia\class0003\Occultist15.dbr</v>
      </c>
      <c r="R17" t="str">
        <f t="shared" si="1"/>
        <v>echo description,dailCompDescOccultist15, &gt;&gt; .\items\materia\class0003\Occultist15.dbr</v>
      </c>
      <c r="S17" t="str">
        <f t="shared" si="1"/>
        <v>echo itemText,dailCompTextOccultist15, &gt;&gt; .\items\materia\class0003\Occultist15.dbr</v>
      </c>
      <c r="T17" t="str">
        <f t="shared" si="1"/>
        <v>echo augmentSkillLevel1,1, &gt;&gt; .\items\materia\class0003\Occultist15.dbr</v>
      </c>
      <c r="U17" t="str">
        <f t="shared" si="1"/>
        <v>echo augmentSkillName1,records/skills/playerclass03/evileye3.dbr, &gt;&gt; .\items\materia\class0003\Occultist15.dbr</v>
      </c>
      <c r="V17" s="5" t="s">
        <v>36</v>
      </c>
      <c r="W17" t="str">
        <f t="shared" si="8"/>
        <v>echo lootName15,DAIL/items/materia/class0003/Occultist15.dbr, &gt;&gt; .\items\loottables\dailoneskill0003.dbr</v>
      </c>
      <c r="X17" t="str">
        <f t="shared" si="8"/>
        <v>echo lootWeight15,1, &gt;&gt; .\items\loottables\dailoneskill0003.dbr</v>
      </c>
      <c r="Y17" s="5" t="s">
        <v>36</v>
      </c>
      <c r="Z17" t="str">
        <f t="shared" si="9"/>
        <v xml:space="preserve"> dailCompDescOccultist15=^pOccultist's Gift of DAIL</v>
      </c>
      <c r="AA17" t="str">
        <f t="shared" si="17"/>
        <v>dailCompTextOccultist15=^oThis feels warm to the touch, almost familiar ^w(This component fits into all Jewellery slots including the Belt And Shoulder)</v>
      </c>
      <c r="AB17" s="5" t="s">
        <v>36</v>
      </c>
      <c r="AH17">
        <f t="shared" si="19"/>
        <v>12</v>
      </c>
      <c r="AI17">
        <f t="shared" si="13"/>
        <v>27</v>
      </c>
      <c r="AJ17">
        <f t="shared" si="18"/>
        <v>1</v>
      </c>
    </row>
    <row r="18" spans="1:36" x14ac:dyDescent="0.25">
      <c r="A18" s="5" t="s">
        <v>39</v>
      </c>
      <c r="B18" s="5" t="s">
        <v>0</v>
      </c>
      <c r="C18" s="5" t="str">
        <f t="shared" si="0"/>
        <v>description,dailCompDescOccultist16,</v>
      </c>
      <c r="D18" s="5" t="str">
        <f t="shared" si="2"/>
        <v>itemText,dailCompTextOccultist16,</v>
      </c>
      <c r="E18" s="5" t="str">
        <f t="shared" si="14"/>
        <v>augmentSkillLevel1,1,</v>
      </c>
      <c r="F18" s="5" t="str">
        <f t="shared" si="15"/>
        <v>augmentSkillName1,records/skills/playerclass03/evileye4.dbr,</v>
      </c>
      <c r="G18" s="7">
        <f t="shared" si="10"/>
        <v>16</v>
      </c>
      <c r="H18" s="8" t="str">
        <f t="shared" si="11"/>
        <v>Occultist</v>
      </c>
      <c r="I18" s="3" t="s">
        <v>293</v>
      </c>
      <c r="J18" s="8" t="str">
        <f t="shared" si="12"/>
        <v>class0003</v>
      </c>
      <c r="K18" s="8" t="str">
        <f t="shared" si="12"/>
        <v>dailoneskill0003</v>
      </c>
      <c r="L18" s="5" t="str">
        <f t="shared" si="4"/>
        <v>lootName16,DAIL/items/materia/class0003/Occultist16.dbr,</v>
      </c>
      <c r="M18" s="5" t="str">
        <f t="shared" si="5"/>
        <v>lootWeight16,1,</v>
      </c>
      <c r="N18" t="str">
        <f t="shared" si="6"/>
        <v>1</v>
      </c>
      <c r="O18" t="str">
        <f t="shared" si="16"/>
        <v>copy .\dail_base.dbr .\items\materia\class0003\Occultist16.dbr /y</v>
      </c>
      <c r="P18" t="str">
        <f t="shared" si="7"/>
        <v>echo relicBitmap,items/craftingparts/components/component_a52_bristlyfur_b.tex, &gt;&gt; .\items\materia\class0003\Occultist16.dbr</v>
      </c>
      <c r="Q18" t="str">
        <f t="shared" si="1"/>
        <v>echo itemCost,100000, &gt;&gt; .\items\materia\class0003\Occultist16.dbr</v>
      </c>
      <c r="R18" t="str">
        <f t="shared" si="1"/>
        <v>echo description,dailCompDescOccultist16, &gt;&gt; .\items\materia\class0003\Occultist16.dbr</v>
      </c>
      <c r="S18" t="str">
        <f t="shared" si="1"/>
        <v>echo itemText,dailCompTextOccultist16, &gt;&gt; .\items\materia\class0003\Occultist16.dbr</v>
      </c>
      <c r="T18" t="str">
        <f t="shared" si="1"/>
        <v>echo augmentSkillLevel1,1, &gt;&gt; .\items\materia\class0003\Occultist16.dbr</v>
      </c>
      <c r="U18" t="str">
        <f t="shared" si="1"/>
        <v>echo augmentSkillName1,records/skills/playerclass03/evileye4.dbr, &gt;&gt; .\items\materia\class0003\Occultist16.dbr</v>
      </c>
      <c r="V18" s="5" t="s">
        <v>36</v>
      </c>
      <c r="W18" t="str">
        <f t="shared" si="8"/>
        <v>echo lootName16,DAIL/items/materia/class0003/Occultist16.dbr, &gt;&gt; .\items\loottables\dailoneskill0003.dbr</v>
      </c>
      <c r="X18" t="str">
        <f t="shared" si="8"/>
        <v>echo lootWeight16,1, &gt;&gt; .\items\loottables\dailoneskill0003.dbr</v>
      </c>
      <c r="Y18" s="5" t="s">
        <v>36</v>
      </c>
      <c r="Z18" t="str">
        <f t="shared" si="9"/>
        <v xml:space="preserve"> dailCompDescOccultist16=^pOccultist's Gift of DAIL</v>
      </c>
      <c r="AA18" t="str">
        <f t="shared" si="17"/>
        <v>dailCompTextOccultist16=^oThis feels warm to the touch, almost familiar ^w(This component fits into all Jewellery slots including the Belt And Shoulder)</v>
      </c>
      <c r="AB18" s="5" t="s">
        <v>36</v>
      </c>
      <c r="AH18">
        <f t="shared" si="19"/>
        <v>13</v>
      </c>
      <c r="AI18">
        <f t="shared" si="13"/>
        <v>27</v>
      </c>
      <c r="AJ18">
        <f t="shared" si="18"/>
        <v>1</v>
      </c>
    </row>
    <row r="19" spans="1:36" x14ac:dyDescent="0.25">
      <c r="A19" s="5" t="s">
        <v>39</v>
      </c>
      <c r="B19" s="5" t="s">
        <v>28</v>
      </c>
      <c r="C19" s="5" t="str">
        <f t="shared" si="0"/>
        <v>description,dailCompDescOccultist17,</v>
      </c>
      <c r="D19" s="5" t="str">
        <f t="shared" si="2"/>
        <v>itemText,dailCompTextOccultist17,</v>
      </c>
      <c r="E19" s="5" t="str">
        <f t="shared" si="14"/>
        <v>augmentSkillLevel1,1,</v>
      </c>
      <c r="F19" s="5" t="str">
        <f t="shared" si="15"/>
        <v>augmentSkillName1,records/skills/playerclass03/sigilofdestruction1.dbr,</v>
      </c>
      <c r="G19" s="7">
        <f t="shared" si="10"/>
        <v>17</v>
      </c>
      <c r="H19" s="8" t="str">
        <f t="shared" si="11"/>
        <v>Occultist</v>
      </c>
      <c r="I19" s="3" t="s">
        <v>108</v>
      </c>
      <c r="J19" s="8" t="str">
        <f t="shared" si="12"/>
        <v>class0003</v>
      </c>
      <c r="K19" s="8" t="str">
        <f t="shared" si="12"/>
        <v>dailoneskill0003</v>
      </c>
      <c r="L19" s="5" t="str">
        <f t="shared" si="4"/>
        <v>lootName17,DAIL/items/materia/class0003/Occultist17.dbr,</v>
      </c>
      <c r="M19" s="5" t="str">
        <f t="shared" si="5"/>
        <v>lootWeight17,1,</v>
      </c>
      <c r="N19" t="str">
        <f t="shared" si="6"/>
        <v>1</v>
      </c>
      <c r="O19" t="str">
        <f t="shared" si="16"/>
        <v>copy .\dail_base.dbr .\items\materia\class0003\Occultist17.dbr /y</v>
      </c>
      <c r="P19" t="str">
        <f t="shared" si="7"/>
        <v>echo relicBitmap,items/craftingparts/components/component_a52_bristlyfur_b.tex, &gt;&gt; .\items\materia\class0003\Occultist17.dbr</v>
      </c>
      <c r="Q19" t="str">
        <f t="shared" si="7"/>
        <v>echo itemCost,300000, &gt;&gt; .\items\materia\class0003\Occultist17.dbr</v>
      </c>
      <c r="R19" t="str">
        <f t="shared" si="7"/>
        <v>echo description,dailCompDescOccultist17, &gt;&gt; .\items\materia\class0003\Occultist17.dbr</v>
      </c>
      <c r="S19" t="str">
        <f t="shared" si="7"/>
        <v>echo itemText,dailCompTextOccultist17, &gt;&gt; .\items\materia\class0003\Occultist17.dbr</v>
      </c>
      <c r="T19" t="str">
        <f t="shared" si="7"/>
        <v>echo augmentSkillLevel1,1, &gt;&gt; .\items\materia\class0003\Occultist17.dbr</v>
      </c>
      <c r="U19" t="str">
        <f t="shared" si="7"/>
        <v>echo augmentSkillName1,records/skills/playerclass03/sigilofdestruction1.dbr, &gt;&gt; .\items\materia\class0003\Occultist17.dbr</v>
      </c>
      <c r="V19" s="5" t="s">
        <v>36</v>
      </c>
      <c r="W19" t="str">
        <f t="shared" si="8"/>
        <v>echo lootName17,DAIL/items/materia/class0003/Occultist17.dbr, &gt;&gt; .\items\loottables\dailoneskill0003.dbr</v>
      </c>
      <c r="X19" t="str">
        <f t="shared" si="8"/>
        <v>echo lootWeight17,1, &gt;&gt; .\items\loottables\dailoneskill0003.dbr</v>
      </c>
      <c r="Y19" s="5" t="s">
        <v>36</v>
      </c>
      <c r="Z19" t="str">
        <f t="shared" si="9"/>
        <v xml:space="preserve"> dailCompDescOccultist17=^pOccultist's Gift of DAIL</v>
      </c>
      <c r="AA19" t="str">
        <f t="shared" si="17"/>
        <v>dailCompTextOccultist17=^oThis feels warm to the touch, almost familiar ^w(This component fits into all Jewellery slots including the Belt And Shoulder)</v>
      </c>
      <c r="AB19" s="5" t="s">
        <v>36</v>
      </c>
      <c r="AH19">
        <f t="shared" si="19"/>
        <v>14</v>
      </c>
      <c r="AI19">
        <f t="shared" si="13"/>
        <v>38</v>
      </c>
      <c r="AJ19">
        <f t="shared" si="18"/>
        <v>1</v>
      </c>
    </row>
    <row r="20" spans="1:36" x14ac:dyDescent="0.25">
      <c r="A20" s="5" t="s">
        <v>39</v>
      </c>
      <c r="B20" s="5" t="s">
        <v>28</v>
      </c>
      <c r="C20" s="5" t="str">
        <f t="shared" si="0"/>
        <v>description,dailCompDescOccultist18,</v>
      </c>
      <c r="D20" s="5" t="str">
        <f t="shared" si="2"/>
        <v>itemText,dailCompTextOccultist18,</v>
      </c>
      <c r="E20" s="5" t="str">
        <f t="shared" si="14"/>
        <v>augmentSkillLevel1,1,</v>
      </c>
      <c r="F20" s="5" t="str">
        <f t="shared" si="15"/>
        <v>augmentSkillName1,records/skills/playerclass03/sigilofdestruction2.dbr,</v>
      </c>
      <c r="G20" s="7">
        <f t="shared" si="10"/>
        <v>18</v>
      </c>
      <c r="H20" s="8" t="str">
        <f t="shared" si="11"/>
        <v>Occultist</v>
      </c>
      <c r="I20" s="3" t="s">
        <v>294</v>
      </c>
      <c r="J20" s="8" t="str">
        <f t="shared" si="12"/>
        <v>class0003</v>
      </c>
      <c r="K20" s="8" t="str">
        <f t="shared" si="12"/>
        <v>dailoneskill0003</v>
      </c>
      <c r="L20" s="5" t="str">
        <f t="shared" si="4"/>
        <v>lootName18,DAIL/items/materia/class0003/Occultist18.dbr,</v>
      </c>
      <c r="M20" s="5" t="str">
        <f t="shared" si="5"/>
        <v>lootWeight18,1,</v>
      </c>
      <c r="N20" t="str">
        <f t="shared" si="6"/>
        <v>1</v>
      </c>
      <c r="O20" t="str">
        <f t="shared" si="16"/>
        <v>copy .\dail_base.dbr .\items\materia\class0003\Occultist18.dbr /y</v>
      </c>
      <c r="P20" t="str">
        <f t="shared" si="7"/>
        <v>echo relicBitmap,items/craftingparts/components/component_a52_bristlyfur_b.tex, &gt;&gt; .\items\materia\class0003\Occultist18.dbr</v>
      </c>
      <c r="Q20" t="str">
        <f t="shared" si="7"/>
        <v>echo itemCost,300000, &gt;&gt; .\items\materia\class0003\Occultist18.dbr</v>
      </c>
      <c r="R20" t="str">
        <f t="shared" si="7"/>
        <v>echo description,dailCompDescOccultist18, &gt;&gt; .\items\materia\class0003\Occultist18.dbr</v>
      </c>
      <c r="S20" t="str">
        <f t="shared" si="7"/>
        <v>echo itemText,dailCompTextOccultist18, &gt;&gt; .\items\materia\class0003\Occultist18.dbr</v>
      </c>
      <c r="T20" t="str">
        <f t="shared" si="7"/>
        <v>echo augmentSkillLevel1,1, &gt;&gt; .\items\materia\class0003\Occultist18.dbr</v>
      </c>
      <c r="U20" t="str">
        <f t="shared" si="7"/>
        <v>echo augmentSkillName1,records/skills/playerclass03/sigilofdestruction2.dbr, &gt;&gt; .\items\materia\class0003\Occultist18.dbr</v>
      </c>
      <c r="V20" s="5" t="s">
        <v>36</v>
      </c>
      <c r="W20" t="str">
        <f t="shared" si="8"/>
        <v>echo lootName18,DAIL/items/materia/class0003/Occultist18.dbr, &gt;&gt; .\items\loottables\dailoneskill0003.dbr</v>
      </c>
      <c r="X20" t="str">
        <f t="shared" si="8"/>
        <v>echo lootWeight18,1, &gt;&gt; .\items\loottables\dailoneskill0003.dbr</v>
      </c>
      <c r="Y20" s="5" t="s">
        <v>36</v>
      </c>
      <c r="Z20" t="str">
        <f t="shared" si="9"/>
        <v xml:space="preserve"> dailCompDescOccultist18=^pOccultist's Gift of DAIL</v>
      </c>
      <c r="AA20" t="str">
        <f t="shared" si="17"/>
        <v>dailCompTextOccultist18=^oThis feels warm to the touch, almost familiar ^w(This component fits into all Jewellery slots including the Belt And Shoulder)</v>
      </c>
      <c r="AB20" s="5" t="s">
        <v>36</v>
      </c>
      <c r="AH20">
        <f t="shared" si="19"/>
        <v>15</v>
      </c>
      <c r="AI20">
        <f t="shared" si="13"/>
        <v>38</v>
      </c>
      <c r="AJ20">
        <f t="shared" si="18"/>
        <v>1</v>
      </c>
    </row>
    <row r="21" spans="1:36" x14ac:dyDescent="0.25">
      <c r="A21" s="5" t="s">
        <v>39</v>
      </c>
      <c r="B21" s="5" t="s">
        <v>28</v>
      </c>
      <c r="C21" s="5" t="str">
        <f t="shared" si="0"/>
        <v>description,dailCompDescOccultist19,</v>
      </c>
      <c r="D21" s="5" t="str">
        <f t="shared" si="2"/>
        <v>itemText,dailCompTextOccultist19,</v>
      </c>
      <c r="E21" s="5" t="str">
        <f t="shared" si="14"/>
        <v>augmentSkillLevel1,1,</v>
      </c>
      <c r="F21" s="5" t="str">
        <f t="shared" si="15"/>
        <v>augmentSkillName1,records/skills/playerclass03/pox1.dbr,</v>
      </c>
      <c r="G21" s="7">
        <f t="shared" si="10"/>
        <v>19</v>
      </c>
      <c r="H21" s="8" t="str">
        <f t="shared" si="11"/>
        <v>Occultist</v>
      </c>
      <c r="I21" s="3" t="s">
        <v>107</v>
      </c>
      <c r="J21" s="8" t="str">
        <f t="shared" ref="J21:K36" si="20">J20</f>
        <v>class0003</v>
      </c>
      <c r="K21" s="8" t="str">
        <f t="shared" si="20"/>
        <v>dailoneskill0003</v>
      </c>
      <c r="L21" s="5" t="str">
        <f t="shared" si="4"/>
        <v>lootName19,DAIL/items/materia/class0003/Occultist19.dbr,</v>
      </c>
      <c r="M21" s="5" t="str">
        <f t="shared" si="5"/>
        <v>lootWeight19,1,</v>
      </c>
      <c r="N21" t="str">
        <f t="shared" si="6"/>
        <v>1</v>
      </c>
      <c r="O21" t="str">
        <f t="shared" si="16"/>
        <v>copy .\dail_base.dbr .\items\materia\class0003\Occultist19.dbr /y</v>
      </c>
      <c r="P21" t="str">
        <f t="shared" si="7"/>
        <v>echo relicBitmap,items/craftingparts/components/component_a52_bristlyfur_b.tex, &gt;&gt; .\items\materia\class0003\Occultist19.dbr</v>
      </c>
      <c r="Q21" t="str">
        <f t="shared" si="7"/>
        <v>echo itemCost,300000, &gt;&gt; .\items\materia\class0003\Occultist19.dbr</v>
      </c>
      <c r="R21" t="str">
        <f t="shared" si="7"/>
        <v>echo description,dailCompDescOccultist19, &gt;&gt; .\items\materia\class0003\Occultist19.dbr</v>
      </c>
      <c r="S21" t="str">
        <f t="shared" si="7"/>
        <v>echo itemText,dailCompTextOccultist19, &gt;&gt; .\items\materia\class0003\Occultist19.dbr</v>
      </c>
      <c r="T21" t="str">
        <f t="shared" si="7"/>
        <v>echo augmentSkillLevel1,1, &gt;&gt; .\items\materia\class0003\Occultist19.dbr</v>
      </c>
      <c r="U21" t="str">
        <f t="shared" si="7"/>
        <v>echo augmentSkillName1,records/skills/playerclass03/pox1.dbr, &gt;&gt; .\items\materia\class0003\Occultist19.dbr</v>
      </c>
      <c r="V21" s="5" t="s">
        <v>36</v>
      </c>
      <c r="W21" t="str">
        <f t="shared" si="8"/>
        <v>echo lootName19,DAIL/items/materia/class0003/Occultist19.dbr, &gt;&gt; .\items\loottables\dailoneskill0003.dbr</v>
      </c>
      <c r="X21" t="str">
        <f t="shared" si="8"/>
        <v>echo lootWeight19,1, &gt;&gt; .\items\loottables\dailoneskill0003.dbr</v>
      </c>
      <c r="Y21" s="5" t="s">
        <v>36</v>
      </c>
      <c r="Z21" t="str">
        <f t="shared" si="9"/>
        <v xml:space="preserve"> dailCompDescOccultist19=^pOccultist's Gift of DAIL</v>
      </c>
      <c r="AA21" t="str">
        <f t="shared" si="17"/>
        <v>dailCompTextOccultist19=^oThis feels warm to the touch, almost familiar ^w(This component fits into all Jewellery slots including the Belt And Shoulder)</v>
      </c>
      <c r="AB21" s="5" t="s">
        <v>36</v>
      </c>
      <c r="AH21">
        <f t="shared" si="19"/>
        <v>16</v>
      </c>
      <c r="AI21">
        <f t="shared" si="13"/>
        <v>23</v>
      </c>
      <c r="AJ21">
        <f t="shared" si="18"/>
        <v>1</v>
      </c>
    </row>
    <row r="22" spans="1:36" x14ac:dyDescent="0.25">
      <c r="A22" s="5" t="s">
        <v>39</v>
      </c>
      <c r="B22" s="5" t="s">
        <v>28</v>
      </c>
      <c r="C22" s="5" t="str">
        <f t="shared" si="0"/>
        <v>description,dailCompDescOccultist20,</v>
      </c>
      <c r="D22" s="5" t="str">
        <f t="shared" si="2"/>
        <v>itemText,dailCompTextOccultist20,</v>
      </c>
      <c r="E22" s="5" t="str">
        <f t="shared" si="14"/>
        <v>augmentSkillLevel1,1,</v>
      </c>
      <c r="F22" s="5" t="str">
        <f t="shared" si="15"/>
        <v>augmentSkillName1,records/skills/playerclass03/pox1b.dbr,</v>
      </c>
      <c r="G22" s="7">
        <f t="shared" si="10"/>
        <v>20</v>
      </c>
      <c r="H22" s="8" t="str">
        <f t="shared" si="11"/>
        <v>Occultist</v>
      </c>
      <c r="I22" s="3" t="s">
        <v>295</v>
      </c>
      <c r="J22" s="8" t="str">
        <f t="shared" si="20"/>
        <v>class0003</v>
      </c>
      <c r="K22" s="8" t="str">
        <f t="shared" si="20"/>
        <v>dailoneskill0003</v>
      </c>
      <c r="L22" s="5" t="str">
        <f t="shared" si="4"/>
        <v>lootName20,DAIL/items/materia/class0003/Occultist20.dbr,</v>
      </c>
      <c r="M22" s="5" t="str">
        <f t="shared" si="5"/>
        <v>lootWeight20,1,</v>
      </c>
      <c r="N22" t="str">
        <f t="shared" si="6"/>
        <v>1</v>
      </c>
      <c r="O22" t="str">
        <f t="shared" si="16"/>
        <v>copy .\dail_base.dbr .\items\materia\class0003\Occultist20.dbr /y</v>
      </c>
      <c r="P22" t="str">
        <f t="shared" si="7"/>
        <v>echo relicBitmap,items/craftingparts/components/component_a52_bristlyfur_b.tex, &gt;&gt; .\items\materia\class0003\Occultist20.dbr</v>
      </c>
      <c r="Q22" t="str">
        <f t="shared" si="7"/>
        <v>echo itemCost,300000, &gt;&gt; .\items\materia\class0003\Occultist20.dbr</v>
      </c>
      <c r="R22" t="str">
        <f t="shared" si="7"/>
        <v>echo description,dailCompDescOccultist20, &gt;&gt; .\items\materia\class0003\Occultist20.dbr</v>
      </c>
      <c r="S22" t="str">
        <f t="shared" si="7"/>
        <v>echo itemText,dailCompTextOccultist20, &gt;&gt; .\items\materia\class0003\Occultist20.dbr</v>
      </c>
      <c r="T22" t="str">
        <f t="shared" si="7"/>
        <v>echo augmentSkillLevel1,1, &gt;&gt; .\items\materia\class0003\Occultist20.dbr</v>
      </c>
      <c r="U22" t="str">
        <f t="shared" si="7"/>
        <v>echo augmentSkillName1,records/skills/playerclass03/pox1b.dbr, &gt;&gt; .\items\materia\class0003\Occultist20.dbr</v>
      </c>
      <c r="V22" s="5" t="s">
        <v>36</v>
      </c>
      <c r="W22" t="str">
        <f t="shared" si="8"/>
        <v>echo lootName20,DAIL/items/materia/class0003/Occultist20.dbr, &gt;&gt; .\items\loottables\dailoneskill0003.dbr</v>
      </c>
      <c r="X22" t="str">
        <f t="shared" si="8"/>
        <v>echo lootWeight20,1, &gt;&gt; .\items\loottables\dailoneskill0003.dbr</v>
      </c>
      <c r="Y22" s="5" t="s">
        <v>36</v>
      </c>
      <c r="Z22" t="str">
        <f t="shared" si="9"/>
        <v xml:space="preserve"> dailCompDescOccultist20=^pOccultist's Gift of DAIL</v>
      </c>
      <c r="AA22" t="str">
        <f t="shared" si="17"/>
        <v>dailCompTextOccultist20=^oThis feels warm to the touch, almost familiar ^w(This component fits into all Jewellery slots including the Belt And Shoulder)</v>
      </c>
      <c r="AB22" s="5" t="s">
        <v>36</v>
      </c>
      <c r="AH22">
        <f t="shared" si="19"/>
        <v>17</v>
      </c>
      <c r="AI22">
        <f t="shared" si="13"/>
        <v>24</v>
      </c>
      <c r="AJ22">
        <f t="shared" si="18"/>
        <v>1</v>
      </c>
    </row>
    <row r="23" spans="1:36" x14ac:dyDescent="0.25">
      <c r="A23" s="5" t="s">
        <v>39</v>
      </c>
      <c r="B23" s="5" t="s">
        <v>28</v>
      </c>
      <c r="C23" s="5" t="str">
        <f t="shared" si="0"/>
        <v>description,dailCompDescOccultist21,</v>
      </c>
      <c r="D23" s="5" t="str">
        <f t="shared" si="2"/>
        <v>itemText,dailCompTextOccultist21,</v>
      </c>
      <c r="E23" s="5" t="str">
        <f t="shared" si="14"/>
        <v>augmentSkillLevel1,1,</v>
      </c>
      <c r="F23" s="5" t="str">
        <f t="shared" si="15"/>
        <v>augmentSkillName1,records/skills/playerclass03/pox2.dbr,</v>
      </c>
      <c r="G23" s="7">
        <f t="shared" si="10"/>
        <v>21</v>
      </c>
      <c r="H23" s="8" t="str">
        <f t="shared" si="11"/>
        <v>Occultist</v>
      </c>
      <c r="I23" s="3" t="s">
        <v>296</v>
      </c>
      <c r="J23" s="8" t="str">
        <f t="shared" si="20"/>
        <v>class0003</v>
      </c>
      <c r="K23" s="8" t="str">
        <f t="shared" si="20"/>
        <v>dailoneskill0003</v>
      </c>
      <c r="L23" s="5" t="str">
        <f t="shared" si="4"/>
        <v>lootName21,DAIL/items/materia/class0003/Occultist21.dbr,</v>
      </c>
      <c r="M23" s="5" t="str">
        <f t="shared" si="5"/>
        <v>lootWeight21,1,</v>
      </c>
      <c r="N23" t="str">
        <f t="shared" si="6"/>
        <v>1</v>
      </c>
      <c r="O23" t="str">
        <f t="shared" si="16"/>
        <v>copy .\dail_base.dbr .\items\materia\class0003\Occultist21.dbr /y</v>
      </c>
      <c r="P23" t="str">
        <f t="shared" si="7"/>
        <v>echo relicBitmap,items/craftingparts/components/component_a52_bristlyfur_b.tex, &gt;&gt; .\items\materia\class0003\Occultist21.dbr</v>
      </c>
      <c r="Q23" t="str">
        <f t="shared" si="7"/>
        <v>echo itemCost,300000, &gt;&gt; .\items\materia\class0003\Occultist21.dbr</v>
      </c>
      <c r="R23" t="str">
        <f t="shared" si="7"/>
        <v>echo description,dailCompDescOccultist21, &gt;&gt; .\items\materia\class0003\Occultist21.dbr</v>
      </c>
      <c r="S23" t="str">
        <f t="shared" si="7"/>
        <v>echo itemText,dailCompTextOccultist21, &gt;&gt; .\items\materia\class0003\Occultist21.dbr</v>
      </c>
      <c r="T23" t="str">
        <f t="shared" si="7"/>
        <v>echo augmentSkillLevel1,1, &gt;&gt; .\items\materia\class0003\Occultist21.dbr</v>
      </c>
      <c r="U23" t="str">
        <f t="shared" si="7"/>
        <v>echo augmentSkillName1,records/skills/playerclass03/pox2.dbr, &gt;&gt; .\items\materia\class0003\Occultist21.dbr</v>
      </c>
      <c r="V23" s="5" t="s">
        <v>36</v>
      </c>
      <c r="W23" t="str">
        <f t="shared" si="8"/>
        <v>echo lootName21,DAIL/items/materia/class0003/Occultist21.dbr, &gt;&gt; .\items\loottables\dailoneskill0003.dbr</v>
      </c>
      <c r="X23" t="str">
        <f t="shared" si="8"/>
        <v>echo lootWeight21,1, &gt;&gt; .\items\loottables\dailoneskill0003.dbr</v>
      </c>
      <c r="Y23" s="5" t="s">
        <v>36</v>
      </c>
      <c r="Z23" t="str">
        <f t="shared" si="9"/>
        <v xml:space="preserve"> dailCompDescOccultist21=^pOccultist's Gift of DAIL</v>
      </c>
      <c r="AA23" t="str">
        <f t="shared" si="17"/>
        <v>dailCompTextOccultist21=^oThis feels warm to the touch, almost familiar ^w(This component fits into all Jewellery slots including the Belt And Shoulder)</v>
      </c>
      <c r="AB23" s="5" t="s">
        <v>36</v>
      </c>
      <c r="AH23">
        <f t="shared" si="19"/>
        <v>18</v>
      </c>
      <c r="AI23">
        <f t="shared" si="13"/>
        <v>23</v>
      </c>
      <c r="AJ23">
        <f t="shared" si="18"/>
        <v>1</v>
      </c>
    </row>
    <row r="24" spans="1:36" x14ac:dyDescent="0.25">
      <c r="A24" s="5" t="s">
        <v>39</v>
      </c>
      <c r="B24" s="5" t="s">
        <v>28</v>
      </c>
      <c r="C24" s="5" t="str">
        <f t="shared" si="0"/>
        <v>description,dailCompDescOccultist22,</v>
      </c>
      <c r="D24" s="5" t="str">
        <f t="shared" si="2"/>
        <v>itemText,dailCompTextOccultist22,</v>
      </c>
      <c r="E24" s="5" t="str">
        <f t="shared" si="14"/>
        <v>augmentSkillLevel1,1,</v>
      </c>
      <c r="F24" s="5" t="str">
        <f t="shared" si="15"/>
        <v>augmentSkillName1,records/skills/playerclass03/pox3.dbr,</v>
      </c>
      <c r="G24" s="7">
        <f t="shared" si="10"/>
        <v>22</v>
      </c>
      <c r="H24" s="8" t="str">
        <f t="shared" si="11"/>
        <v>Occultist</v>
      </c>
      <c r="I24" s="3" t="s">
        <v>297</v>
      </c>
      <c r="J24" s="8" t="str">
        <f t="shared" si="20"/>
        <v>class0003</v>
      </c>
      <c r="K24" s="8" t="str">
        <f t="shared" si="20"/>
        <v>dailoneskill0003</v>
      </c>
      <c r="L24" s="5" t="str">
        <f t="shared" si="4"/>
        <v>lootName22,DAIL/items/materia/class0003/Occultist22.dbr,</v>
      </c>
      <c r="M24" s="5" t="str">
        <f t="shared" si="5"/>
        <v>lootWeight22,1,</v>
      </c>
      <c r="N24" t="str">
        <f t="shared" si="6"/>
        <v>1</v>
      </c>
      <c r="O24" t="str">
        <f t="shared" si="16"/>
        <v>copy .\dail_base.dbr .\items\materia\class0003\Occultist22.dbr /y</v>
      </c>
      <c r="P24" t="str">
        <f t="shared" si="7"/>
        <v>echo relicBitmap,items/craftingparts/components/component_a52_bristlyfur_b.tex, &gt;&gt; .\items\materia\class0003\Occultist22.dbr</v>
      </c>
      <c r="Q24" t="str">
        <f t="shared" si="7"/>
        <v>echo itemCost,300000, &gt;&gt; .\items\materia\class0003\Occultist22.dbr</v>
      </c>
      <c r="R24" t="str">
        <f t="shared" si="7"/>
        <v>echo description,dailCompDescOccultist22, &gt;&gt; .\items\materia\class0003\Occultist22.dbr</v>
      </c>
      <c r="S24" t="str">
        <f t="shared" si="7"/>
        <v>echo itemText,dailCompTextOccultist22, &gt;&gt; .\items\materia\class0003\Occultist22.dbr</v>
      </c>
      <c r="T24" t="str">
        <f t="shared" si="7"/>
        <v>echo augmentSkillLevel1,1, &gt;&gt; .\items\materia\class0003\Occultist22.dbr</v>
      </c>
      <c r="U24" t="str">
        <f t="shared" si="7"/>
        <v>echo augmentSkillName1,records/skills/playerclass03/pox3.dbr, &gt;&gt; .\items\materia\class0003\Occultist22.dbr</v>
      </c>
      <c r="V24" s="5" t="s">
        <v>36</v>
      </c>
      <c r="W24" t="str">
        <f t="shared" si="8"/>
        <v>echo lootName22,DAIL/items/materia/class0003/Occultist22.dbr, &gt;&gt; .\items\loottables\dailoneskill0003.dbr</v>
      </c>
      <c r="X24" t="str">
        <f t="shared" si="8"/>
        <v>echo lootWeight22,1, &gt;&gt; .\items\loottables\dailoneskill0003.dbr</v>
      </c>
      <c r="Y24" s="5" t="s">
        <v>36</v>
      </c>
      <c r="Z24" t="str">
        <f t="shared" si="9"/>
        <v xml:space="preserve"> dailCompDescOccultist22=^pOccultist's Gift of DAIL</v>
      </c>
      <c r="AA24" t="str">
        <f t="shared" si="17"/>
        <v>dailCompTextOccultist22=^oThis feels warm to the touch, almost familiar ^w(This component fits into all Jewellery slots including the Belt And Shoulder)</v>
      </c>
      <c r="AB24" s="5" t="s">
        <v>36</v>
      </c>
      <c r="AH24">
        <f t="shared" si="19"/>
        <v>19</v>
      </c>
      <c r="AI24">
        <f t="shared" si="13"/>
        <v>23</v>
      </c>
      <c r="AJ24">
        <f t="shared" si="18"/>
        <v>1</v>
      </c>
    </row>
    <row r="25" spans="1:36" x14ac:dyDescent="0.25">
      <c r="A25" s="5" t="s">
        <v>39</v>
      </c>
      <c r="B25" s="5" t="s">
        <v>28</v>
      </c>
      <c r="C25" s="5" t="str">
        <f t="shared" si="0"/>
        <v>description,dailCompDescOccultist23,</v>
      </c>
      <c r="D25" s="5" t="str">
        <f t="shared" si="2"/>
        <v>itemText,dailCompTextOccultist23,</v>
      </c>
      <c r="E25" s="5" t="str">
        <f t="shared" si="14"/>
        <v>augmentSkillLevel1,1,</v>
      </c>
      <c r="F25" s="5" t="str">
        <f t="shared" si="15"/>
        <v>augmentSkillName1,records/skills/playerclass03/bondsofbysmiel1.dbr,</v>
      </c>
      <c r="G25" s="7">
        <f t="shared" si="10"/>
        <v>23</v>
      </c>
      <c r="H25" s="8" t="str">
        <f t="shared" si="11"/>
        <v>Occultist</v>
      </c>
      <c r="I25" s="3" t="s">
        <v>102</v>
      </c>
      <c r="J25" s="8" t="str">
        <f t="shared" si="20"/>
        <v>class0003</v>
      </c>
      <c r="K25" s="8" t="str">
        <f t="shared" si="20"/>
        <v>dailoneskill0003</v>
      </c>
      <c r="L25" s="5" t="str">
        <f t="shared" si="4"/>
        <v>lootName23,DAIL/items/materia/class0003/Occultist23.dbr,</v>
      </c>
      <c r="M25" s="5" t="str">
        <f t="shared" si="5"/>
        <v>lootWeight23,1,</v>
      </c>
      <c r="N25" t="str">
        <f t="shared" si="6"/>
        <v>1</v>
      </c>
      <c r="O25" t="str">
        <f t="shared" si="16"/>
        <v>copy .\dail_base.dbr .\items\materia\class0003\Occultist23.dbr /y</v>
      </c>
      <c r="P25" t="str">
        <f t="shared" si="7"/>
        <v>echo relicBitmap,items/craftingparts/components/component_a52_bristlyfur_b.tex, &gt;&gt; .\items\materia\class0003\Occultist23.dbr</v>
      </c>
      <c r="Q25" t="str">
        <f t="shared" si="7"/>
        <v>echo itemCost,300000, &gt;&gt; .\items\materia\class0003\Occultist23.dbr</v>
      </c>
      <c r="R25" t="str">
        <f t="shared" si="7"/>
        <v>echo description,dailCompDescOccultist23, &gt;&gt; .\items\materia\class0003\Occultist23.dbr</v>
      </c>
      <c r="S25" t="str">
        <f t="shared" si="7"/>
        <v>echo itemText,dailCompTextOccultist23, &gt;&gt; .\items\materia\class0003\Occultist23.dbr</v>
      </c>
      <c r="T25" t="str">
        <f t="shared" si="7"/>
        <v>echo augmentSkillLevel1,1, &gt;&gt; .\items\materia\class0003\Occultist23.dbr</v>
      </c>
      <c r="U25" t="str">
        <f t="shared" si="7"/>
        <v>echo augmentSkillName1,records/skills/playerclass03/bondsofbysmiel1.dbr, &gt;&gt; .\items\materia\class0003\Occultist23.dbr</v>
      </c>
      <c r="V25" s="5" t="s">
        <v>36</v>
      </c>
      <c r="W25" t="str">
        <f t="shared" si="8"/>
        <v>echo lootName23,DAIL/items/materia/class0003/Occultist23.dbr, &gt;&gt; .\items\loottables\dailoneskill0003.dbr</v>
      </c>
      <c r="X25" t="str">
        <f t="shared" si="8"/>
        <v>echo lootWeight23,1, &gt;&gt; .\items\loottables\dailoneskill0003.dbr</v>
      </c>
      <c r="Y25" s="5" t="s">
        <v>36</v>
      </c>
      <c r="Z25" t="str">
        <f t="shared" si="9"/>
        <v xml:space="preserve"> dailCompDescOccultist23=^pOccultist's Gift of DAIL</v>
      </c>
      <c r="AA25" t="str">
        <f t="shared" si="17"/>
        <v>dailCompTextOccultist23=^oThis feels warm to the touch, almost familiar ^w(This component fits into all Jewellery slots including the Belt And Shoulder)</v>
      </c>
      <c r="AB25" s="5" t="s">
        <v>36</v>
      </c>
      <c r="AH25">
        <f t="shared" si="19"/>
        <v>20</v>
      </c>
      <c r="AI25">
        <f t="shared" si="13"/>
        <v>34</v>
      </c>
      <c r="AJ25">
        <f t="shared" si="18"/>
        <v>1</v>
      </c>
    </row>
    <row r="26" spans="1:36" x14ac:dyDescent="0.25">
      <c r="A26" s="5" t="s">
        <v>39</v>
      </c>
      <c r="B26" s="5" t="s">
        <v>28</v>
      </c>
      <c r="C26" s="5" t="str">
        <f t="shared" si="0"/>
        <v>description,dailCompDescOccultist24,</v>
      </c>
      <c r="D26" s="5" t="str">
        <f t="shared" si="2"/>
        <v>itemText,dailCompTextOccultist24,</v>
      </c>
      <c r="E26" s="5" t="str">
        <f t="shared" si="14"/>
        <v>augmentSkillLevel1,1,</v>
      </c>
      <c r="F26" s="5" t="str">
        <f t="shared" si="15"/>
        <v>augmentSkillName1,records/skills/playerclass03/bondsofbysmiel2.dbr,</v>
      </c>
      <c r="G26" s="7">
        <f t="shared" si="10"/>
        <v>24</v>
      </c>
      <c r="H26" s="8" t="str">
        <f t="shared" si="11"/>
        <v>Occultist</v>
      </c>
      <c r="I26" s="3" t="s">
        <v>298</v>
      </c>
      <c r="J26" s="8" t="str">
        <f t="shared" si="20"/>
        <v>class0003</v>
      </c>
      <c r="K26" s="8" t="str">
        <f t="shared" si="20"/>
        <v>dailoneskill0003</v>
      </c>
      <c r="L26" s="5" t="str">
        <f t="shared" si="4"/>
        <v>lootName24,DAIL/items/materia/class0003/Occultist24.dbr,</v>
      </c>
      <c r="M26" s="5" t="str">
        <f t="shared" si="5"/>
        <v>lootWeight24,1,</v>
      </c>
      <c r="N26" t="str">
        <f t="shared" si="6"/>
        <v>1</v>
      </c>
      <c r="O26" t="str">
        <f t="shared" si="16"/>
        <v>copy .\dail_base.dbr .\items\materia\class0003\Occultist24.dbr /y</v>
      </c>
      <c r="P26" t="str">
        <f t="shared" si="7"/>
        <v>echo relicBitmap,items/craftingparts/components/component_a52_bristlyfur_b.tex, &gt;&gt; .\items\materia\class0003\Occultist24.dbr</v>
      </c>
      <c r="Q26" t="str">
        <f t="shared" si="7"/>
        <v>echo itemCost,300000, &gt;&gt; .\items\materia\class0003\Occultist24.dbr</v>
      </c>
      <c r="R26" t="str">
        <f t="shared" si="7"/>
        <v>echo description,dailCompDescOccultist24, &gt;&gt; .\items\materia\class0003\Occultist24.dbr</v>
      </c>
      <c r="S26" t="str">
        <f t="shared" si="7"/>
        <v>echo itemText,dailCompTextOccultist24, &gt;&gt; .\items\materia\class0003\Occultist24.dbr</v>
      </c>
      <c r="T26" t="str">
        <f t="shared" si="7"/>
        <v>echo augmentSkillLevel1,1, &gt;&gt; .\items\materia\class0003\Occultist24.dbr</v>
      </c>
      <c r="U26" t="str">
        <f t="shared" si="7"/>
        <v>echo augmentSkillName1,records/skills/playerclass03/bondsofbysmiel2.dbr, &gt;&gt; .\items\materia\class0003\Occultist24.dbr</v>
      </c>
      <c r="V26" s="5" t="s">
        <v>36</v>
      </c>
      <c r="W26" t="str">
        <f t="shared" si="8"/>
        <v>echo lootName24,DAIL/items/materia/class0003/Occultist24.dbr, &gt;&gt; .\items\loottables\dailoneskill0003.dbr</v>
      </c>
      <c r="X26" t="str">
        <f t="shared" si="8"/>
        <v>echo lootWeight24,1, &gt;&gt; .\items\loottables\dailoneskill0003.dbr</v>
      </c>
      <c r="Y26" s="5" t="s">
        <v>36</v>
      </c>
      <c r="Z26" t="str">
        <f t="shared" si="9"/>
        <v xml:space="preserve"> dailCompDescOccultist24=^pOccultist's Gift of DAIL</v>
      </c>
      <c r="AA26" t="str">
        <f t="shared" si="17"/>
        <v>dailCompTextOccultist24=^oThis feels warm to the touch, almost familiar ^w(This component fits into all Jewellery slots including the Belt And Shoulder)</v>
      </c>
      <c r="AB26" s="5" t="s">
        <v>36</v>
      </c>
      <c r="AH26">
        <f t="shared" si="19"/>
        <v>21</v>
      </c>
      <c r="AI26">
        <f t="shared" si="13"/>
        <v>34</v>
      </c>
      <c r="AJ26">
        <f t="shared" si="18"/>
        <v>1</v>
      </c>
    </row>
    <row r="27" spans="1:36" x14ac:dyDescent="0.25">
      <c r="A27" s="5" t="s">
        <v>39</v>
      </c>
      <c r="B27" s="5" t="s">
        <v>28</v>
      </c>
      <c r="C27" s="5" t="str">
        <f t="shared" si="0"/>
        <v>description,dailCompDescOccultist25,</v>
      </c>
      <c r="D27" s="5" t="str">
        <f t="shared" si="2"/>
        <v>itemText,dailCompTextOccultist25,</v>
      </c>
      <c r="E27" s="5" t="str">
        <f t="shared" si="14"/>
        <v>augmentSkillLevel1,1,</v>
      </c>
      <c r="F27" s="5" t="str">
        <f t="shared" si="15"/>
        <v>augmentSkillName1,records/skills/playerclass03/summon_raven2_petmodifier.dbr,</v>
      </c>
      <c r="G27" s="7">
        <f t="shared" si="10"/>
        <v>25</v>
      </c>
      <c r="H27" s="8" t="str">
        <f t="shared" si="11"/>
        <v>Occultist</v>
      </c>
      <c r="I27" s="3" t="s">
        <v>299</v>
      </c>
      <c r="J27" s="8" t="str">
        <f t="shared" si="20"/>
        <v>class0003</v>
      </c>
      <c r="K27" s="8" t="str">
        <f t="shared" si="20"/>
        <v>dailoneskill0003</v>
      </c>
      <c r="L27" s="5" t="str">
        <f t="shared" si="4"/>
        <v>lootName25,DAIL/items/materia/class0003/Occultist25.dbr,</v>
      </c>
      <c r="M27" s="5" t="str">
        <f t="shared" si="5"/>
        <v>lootWeight25,1,</v>
      </c>
      <c r="N27" t="str">
        <f t="shared" si="6"/>
        <v>1</v>
      </c>
      <c r="O27" t="str">
        <f t="shared" si="16"/>
        <v>copy .\dail_base.dbr .\items\materia\class0003\Occultist25.dbr /y</v>
      </c>
      <c r="P27" t="str">
        <f t="shared" si="7"/>
        <v>echo relicBitmap,items/craftingparts/components/component_a52_bristlyfur_b.tex, &gt;&gt; .\items\materia\class0003\Occultist25.dbr</v>
      </c>
      <c r="Q27" t="str">
        <f t="shared" si="7"/>
        <v>echo itemCost,300000, &gt;&gt; .\items\materia\class0003\Occultist25.dbr</v>
      </c>
      <c r="R27" t="str">
        <f t="shared" si="7"/>
        <v>echo description,dailCompDescOccultist25, &gt;&gt; .\items\materia\class0003\Occultist25.dbr</v>
      </c>
      <c r="S27" t="str">
        <f t="shared" si="7"/>
        <v>echo itemText,dailCompTextOccultist25, &gt;&gt; .\items\materia\class0003\Occultist25.dbr</v>
      </c>
      <c r="T27" t="str">
        <f t="shared" si="7"/>
        <v>echo augmentSkillLevel1,1, &gt;&gt; .\items\materia\class0003\Occultist25.dbr</v>
      </c>
      <c r="U27" t="str">
        <f t="shared" si="7"/>
        <v>echo augmentSkillName1,records/skills/playerclass03/summon_raven2_petmodifier.dbr, &gt;&gt; .\items\materia\class0003\Occultist25.dbr</v>
      </c>
      <c r="V27" s="5" t="s">
        <v>36</v>
      </c>
      <c r="W27" t="str">
        <f t="shared" si="8"/>
        <v>echo lootName25,DAIL/items/materia/class0003/Occultist25.dbr, &gt;&gt; .\items\loottables\dailoneskill0003.dbr</v>
      </c>
      <c r="X27" t="str">
        <f t="shared" si="8"/>
        <v>echo lootWeight25,1, &gt;&gt; .\items\loottables\dailoneskill0003.dbr</v>
      </c>
      <c r="Y27" s="5" t="s">
        <v>36</v>
      </c>
      <c r="Z27" t="str">
        <f t="shared" si="9"/>
        <v xml:space="preserve"> dailCompDescOccultist25=^pOccultist's Gift of DAIL</v>
      </c>
      <c r="AA27" t="str">
        <f t="shared" si="17"/>
        <v>dailCompTextOccultist25=^oThis feels warm to the touch, almost familiar ^w(This component fits into all Jewellery slots including the Belt And Shoulder)</v>
      </c>
      <c r="AB27" s="5" t="s">
        <v>36</v>
      </c>
      <c r="AH27">
        <f t="shared" si="19"/>
        <v>22</v>
      </c>
      <c r="AI27">
        <f t="shared" si="13"/>
        <v>44</v>
      </c>
      <c r="AJ27">
        <f t="shared" si="18"/>
        <v>1</v>
      </c>
    </row>
    <row r="28" spans="1:36" x14ac:dyDescent="0.25">
      <c r="A28" s="5" t="s">
        <v>39</v>
      </c>
      <c r="B28" s="5" t="s">
        <v>28</v>
      </c>
      <c r="C28" s="5" t="str">
        <f t="shared" si="0"/>
        <v>description,dailCompDescOccultist26,</v>
      </c>
      <c r="D28" s="5" t="str">
        <f t="shared" si="2"/>
        <v>itemText,dailCompTextOccultist26,</v>
      </c>
      <c r="E28" s="5" t="str">
        <f t="shared" si="14"/>
        <v>augmentSkillLevel1,1,</v>
      </c>
      <c r="F28" s="5" t="str">
        <f t="shared" si="15"/>
        <v>augmentSkillName1,records/skills/playerclass03/curse1.dbr,</v>
      </c>
      <c r="G28" s="7">
        <f t="shared" si="10"/>
        <v>26</v>
      </c>
      <c r="H28" s="8" t="str">
        <f t="shared" si="11"/>
        <v>Occultist</v>
      </c>
      <c r="I28" s="3" t="s">
        <v>103</v>
      </c>
      <c r="J28" s="8" t="str">
        <f t="shared" si="20"/>
        <v>class0003</v>
      </c>
      <c r="K28" s="8" t="str">
        <f t="shared" si="20"/>
        <v>dailoneskill0003</v>
      </c>
      <c r="L28" s="5" t="str">
        <f t="shared" si="4"/>
        <v>lootName26,DAIL/items/materia/class0003/Occultist26.dbr,</v>
      </c>
      <c r="M28" s="5" t="str">
        <f t="shared" si="5"/>
        <v>lootWeight26,1,</v>
      </c>
      <c r="N28" t="str">
        <f t="shared" si="6"/>
        <v>1</v>
      </c>
      <c r="O28" t="str">
        <f t="shared" si="16"/>
        <v>copy .\dail_base.dbr .\items\materia\class0003\Occultist26.dbr /y</v>
      </c>
      <c r="P28" t="str">
        <f t="shared" si="7"/>
        <v>echo relicBitmap,items/craftingparts/components/component_a52_bristlyfur_b.tex, &gt;&gt; .\items\materia\class0003\Occultist26.dbr</v>
      </c>
      <c r="Q28" t="str">
        <f t="shared" si="7"/>
        <v>echo itemCost,300000, &gt;&gt; .\items\materia\class0003\Occultist26.dbr</v>
      </c>
      <c r="R28" t="str">
        <f t="shared" si="7"/>
        <v>echo description,dailCompDescOccultist26, &gt;&gt; .\items\materia\class0003\Occultist26.dbr</v>
      </c>
      <c r="S28" t="str">
        <f t="shared" si="7"/>
        <v>echo itemText,dailCompTextOccultist26, &gt;&gt; .\items\materia\class0003\Occultist26.dbr</v>
      </c>
      <c r="T28" t="str">
        <f t="shared" si="7"/>
        <v>echo augmentSkillLevel1,1, &gt;&gt; .\items\materia\class0003\Occultist26.dbr</v>
      </c>
      <c r="U28" t="str">
        <f t="shared" si="7"/>
        <v>echo augmentSkillName1,records/skills/playerclass03/curse1.dbr, &gt;&gt; .\items\materia\class0003\Occultist26.dbr</v>
      </c>
      <c r="V28" s="5" t="s">
        <v>36</v>
      </c>
      <c r="W28" t="str">
        <f t="shared" si="8"/>
        <v>echo lootName26,DAIL/items/materia/class0003/Occultist26.dbr, &gt;&gt; .\items\loottables\dailoneskill0003.dbr</v>
      </c>
      <c r="X28" t="str">
        <f t="shared" si="8"/>
        <v>echo lootWeight26,1, &gt;&gt; .\items\loottables\dailoneskill0003.dbr</v>
      </c>
      <c r="Y28" s="5" t="s">
        <v>36</v>
      </c>
      <c r="Z28" t="str">
        <f t="shared" si="9"/>
        <v xml:space="preserve"> dailCompDescOccultist26=^pOccultist's Gift of DAIL</v>
      </c>
      <c r="AA28" t="str">
        <f t="shared" si="17"/>
        <v>dailCompTextOccultist26=^oThis feels warm to the touch, almost familiar ^w(This component fits into all Jewellery slots including the Belt And Shoulder)</v>
      </c>
      <c r="AB28" s="5" t="s">
        <v>36</v>
      </c>
      <c r="AH28">
        <f t="shared" si="19"/>
        <v>23</v>
      </c>
      <c r="AI28">
        <f t="shared" si="13"/>
        <v>25</v>
      </c>
      <c r="AJ28">
        <f t="shared" si="18"/>
        <v>1</v>
      </c>
    </row>
    <row r="29" spans="1:36" x14ac:dyDescent="0.25">
      <c r="A29" s="5" t="s">
        <v>39</v>
      </c>
      <c r="B29" s="5" t="s">
        <v>28</v>
      </c>
      <c r="C29" s="5" t="str">
        <f t="shared" si="0"/>
        <v>description,dailCompDescOccultist27,</v>
      </c>
      <c r="D29" s="5" t="str">
        <f t="shared" si="2"/>
        <v>itemText,dailCompTextOccultist27,</v>
      </c>
      <c r="E29" s="5" t="str">
        <f t="shared" si="14"/>
        <v>augmentSkillLevel1,1,</v>
      </c>
      <c r="F29" s="5" t="str">
        <f t="shared" si="15"/>
        <v>augmentSkillName1,records/skills/playerclass03/curse2.dbr,</v>
      </c>
      <c r="G29" s="7">
        <f t="shared" si="10"/>
        <v>27</v>
      </c>
      <c r="H29" s="8" t="str">
        <f t="shared" si="11"/>
        <v>Occultist</v>
      </c>
      <c r="I29" s="3" t="s">
        <v>300</v>
      </c>
      <c r="J29" s="8" t="str">
        <f t="shared" si="20"/>
        <v>class0003</v>
      </c>
      <c r="K29" s="8" t="str">
        <f t="shared" si="20"/>
        <v>dailoneskill0003</v>
      </c>
      <c r="L29" s="5" t="str">
        <f t="shared" si="4"/>
        <v>lootName27,DAIL/items/materia/class0003/Occultist27.dbr,</v>
      </c>
      <c r="M29" s="5" t="str">
        <f t="shared" si="5"/>
        <v>lootWeight27,1,</v>
      </c>
      <c r="N29" t="str">
        <f t="shared" si="6"/>
        <v>1</v>
      </c>
      <c r="O29" t="str">
        <f t="shared" si="16"/>
        <v>copy .\dail_base.dbr .\items\materia\class0003\Occultist27.dbr /y</v>
      </c>
      <c r="P29" t="str">
        <f t="shared" si="7"/>
        <v>echo relicBitmap,items/craftingparts/components/component_a52_bristlyfur_b.tex, &gt;&gt; .\items\materia\class0003\Occultist27.dbr</v>
      </c>
      <c r="Q29" t="str">
        <f t="shared" si="7"/>
        <v>echo itemCost,300000, &gt;&gt; .\items\materia\class0003\Occultist27.dbr</v>
      </c>
      <c r="R29" t="str">
        <f t="shared" si="7"/>
        <v>echo description,dailCompDescOccultist27, &gt;&gt; .\items\materia\class0003\Occultist27.dbr</v>
      </c>
      <c r="S29" t="str">
        <f t="shared" si="7"/>
        <v>echo itemText,dailCompTextOccultist27, &gt;&gt; .\items\materia\class0003\Occultist27.dbr</v>
      </c>
      <c r="T29" t="str">
        <f t="shared" si="7"/>
        <v>echo augmentSkillLevel1,1, &gt;&gt; .\items\materia\class0003\Occultist27.dbr</v>
      </c>
      <c r="U29" t="str">
        <f t="shared" si="7"/>
        <v>echo augmentSkillName1,records/skills/playerclass03/curse2.dbr, &gt;&gt; .\items\materia\class0003\Occultist27.dbr</v>
      </c>
      <c r="V29" s="5" t="s">
        <v>36</v>
      </c>
      <c r="W29" t="str">
        <f t="shared" si="8"/>
        <v>echo lootName27,DAIL/items/materia/class0003/Occultist27.dbr, &gt;&gt; .\items\loottables\dailoneskill0003.dbr</v>
      </c>
      <c r="X29" t="str">
        <f t="shared" si="8"/>
        <v>echo lootWeight27,1, &gt;&gt; .\items\loottables\dailoneskill0003.dbr</v>
      </c>
      <c r="Y29" s="5" t="s">
        <v>36</v>
      </c>
      <c r="Z29" t="str">
        <f t="shared" si="9"/>
        <v xml:space="preserve"> dailCompDescOccultist27=^pOccultist's Gift of DAIL</v>
      </c>
      <c r="AA29" t="str">
        <f t="shared" si="17"/>
        <v>dailCompTextOccultist27=^oThis feels warm to the touch, almost familiar ^w(This component fits into all Jewellery slots including the Belt And Shoulder)</v>
      </c>
      <c r="AB29" s="5" t="s">
        <v>36</v>
      </c>
      <c r="AH29">
        <f t="shared" si="19"/>
        <v>24</v>
      </c>
      <c r="AI29">
        <f t="shared" si="13"/>
        <v>25</v>
      </c>
      <c r="AJ29">
        <f t="shared" si="18"/>
        <v>1</v>
      </c>
    </row>
    <row r="30" spans="1:36" x14ac:dyDescent="0.25">
      <c r="A30" s="5" t="s">
        <v>39</v>
      </c>
      <c r="B30" s="5" t="s">
        <v>28</v>
      </c>
      <c r="C30" s="5" t="str">
        <f t="shared" si="0"/>
        <v>description,dailCompDescOccultist28,</v>
      </c>
      <c r="D30" s="5" t="str">
        <f t="shared" si="2"/>
        <v>itemText,dailCompTextOccultist28,</v>
      </c>
      <c r="E30" s="5" t="str">
        <f t="shared" si="14"/>
        <v>augmentSkillLevel1,1,</v>
      </c>
      <c r="F30" s="5" t="str">
        <f t="shared" si="15"/>
        <v>augmentSkillName1,records/skills/playerclass03/summon_raven3_petmodifier.dbr,</v>
      </c>
      <c r="G30" s="7">
        <f t="shared" si="10"/>
        <v>28</v>
      </c>
      <c r="H30" s="8" t="str">
        <f t="shared" si="11"/>
        <v>Occultist</v>
      </c>
      <c r="I30" s="3" t="s">
        <v>301</v>
      </c>
      <c r="J30" s="8" t="str">
        <f t="shared" si="20"/>
        <v>class0003</v>
      </c>
      <c r="K30" s="8" t="str">
        <f t="shared" si="20"/>
        <v>dailoneskill0003</v>
      </c>
      <c r="L30" s="5" t="str">
        <f t="shared" si="4"/>
        <v>lootName28,DAIL/items/materia/class0003/Occultist28.dbr,</v>
      </c>
      <c r="M30" s="5" t="str">
        <f t="shared" si="5"/>
        <v>lootWeight28,1,</v>
      </c>
      <c r="N30" t="str">
        <f t="shared" si="6"/>
        <v>1</v>
      </c>
      <c r="O30" t="str">
        <f t="shared" si="16"/>
        <v>copy .\dail_base.dbr .\items\materia\class0003\Occultist28.dbr /y</v>
      </c>
      <c r="P30" t="str">
        <f t="shared" si="7"/>
        <v>echo relicBitmap,items/craftingparts/components/component_a52_bristlyfur_b.tex, &gt;&gt; .\items\materia\class0003\Occultist28.dbr</v>
      </c>
      <c r="Q30" t="str">
        <f t="shared" si="7"/>
        <v>echo itemCost,300000, &gt;&gt; .\items\materia\class0003\Occultist28.dbr</v>
      </c>
      <c r="R30" t="str">
        <f t="shared" si="7"/>
        <v>echo description,dailCompDescOccultist28, &gt;&gt; .\items\materia\class0003\Occultist28.dbr</v>
      </c>
      <c r="S30" t="str">
        <f t="shared" si="7"/>
        <v>echo itemText,dailCompTextOccultist28, &gt;&gt; .\items\materia\class0003\Occultist28.dbr</v>
      </c>
      <c r="T30" t="str">
        <f t="shared" si="7"/>
        <v>echo augmentSkillLevel1,1, &gt;&gt; .\items\materia\class0003\Occultist28.dbr</v>
      </c>
      <c r="U30" t="str">
        <f t="shared" si="7"/>
        <v>echo augmentSkillName1,records/skills/playerclass03/summon_raven3_petmodifier.dbr, &gt;&gt; .\items\materia\class0003\Occultist28.dbr</v>
      </c>
      <c r="V30" s="5" t="s">
        <v>36</v>
      </c>
      <c r="W30" t="str">
        <f t="shared" si="8"/>
        <v>echo lootName28,DAIL/items/materia/class0003/Occultist28.dbr, &gt;&gt; .\items\loottables\dailoneskill0003.dbr</v>
      </c>
      <c r="X30" t="str">
        <f t="shared" si="8"/>
        <v>echo lootWeight28,1, &gt;&gt; .\items\loottables\dailoneskill0003.dbr</v>
      </c>
      <c r="Y30" s="5" t="s">
        <v>36</v>
      </c>
      <c r="Z30" t="str">
        <f t="shared" si="9"/>
        <v xml:space="preserve"> dailCompDescOccultist28=^pOccultist's Gift of DAIL</v>
      </c>
      <c r="AA30" t="str">
        <f t="shared" si="17"/>
        <v>dailCompTextOccultist28=^oThis feels warm to the touch, almost familiar ^w(This component fits into all Jewellery slots including the Belt And Shoulder)</v>
      </c>
      <c r="AB30" s="5" t="s">
        <v>36</v>
      </c>
      <c r="AH30">
        <f t="shared" si="19"/>
        <v>25</v>
      </c>
      <c r="AI30">
        <f t="shared" si="13"/>
        <v>44</v>
      </c>
      <c r="AJ30">
        <f t="shared" si="18"/>
        <v>1</v>
      </c>
    </row>
    <row r="31" spans="1:36" x14ac:dyDescent="0.25">
      <c r="A31" s="5" t="s">
        <v>39</v>
      </c>
      <c r="B31" s="5" t="s">
        <v>28</v>
      </c>
      <c r="C31" s="5" t="str">
        <f t="shared" si="0"/>
        <v>description,dailCompDescOccultist29,</v>
      </c>
      <c r="D31" s="5" t="str">
        <f t="shared" si="2"/>
        <v>itemText,dailCompTextOccultist29,</v>
      </c>
      <c r="E31" s="5" t="str">
        <f t="shared" si="14"/>
        <v>augmentSkillLevel1,1,</v>
      </c>
      <c r="F31" s="5" t="str">
        <f t="shared" si="15"/>
        <v>augmentSkillName1,records/skills/playerclass03/summon_raven4_petmodifier.dbr,</v>
      </c>
      <c r="G31" s="7">
        <f t="shared" si="10"/>
        <v>29</v>
      </c>
      <c r="H31" s="8" t="str">
        <f t="shared" si="11"/>
        <v>Occultist</v>
      </c>
      <c r="I31" s="3" t="s">
        <v>302</v>
      </c>
      <c r="J31" s="8" t="str">
        <f t="shared" si="20"/>
        <v>class0003</v>
      </c>
      <c r="K31" s="8" t="str">
        <f t="shared" si="20"/>
        <v>dailoneskill0003</v>
      </c>
      <c r="L31" s="5" t="str">
        <f t="shared" si="4"/>
        <v>lootName29,DAIL/items/materia/class0003/Occultist29.dbr,</v>
      </c>
      <c r="M31" s="5" t="str">
        <f t="shared" si="5"/>
        <v>lootWeight29,1,</v>
      </c>
      <c r="N31" t="str">
        <f t="shared" si="6"/>
        <v>1</v>
      </c>
      <c r="O31" t="str">
        <f t="shared" si="16"/>
        <v>copy .\dail_base.dbr .\items\materia\class0003\Occultist29.dbr /y</v>
      </c>
      <c r="P31" t="str">
        <f t="shared" si="7"/>
        <v>echo relicBitmap,items/craftingparts/components/component_a52_bristlyfur_b.tex, &gt;&gt; .\items\materia\class0003\Occultist29.dbr</v>
      </c>
      <c r="Q31" t="str">
        <f t="shared" si="7"/>
        <v>echo itemCost,300000, &gt;&gt; .\items\materia\class0003\Occultist29.dbr</v>
      </c>
      <c r="R31" t="str">
        <f t="shared" si="7"/>
        <v>echo description,dailCompDescOccultist29, &gt;&gt; .\items\materia\class0003\Occultist29.dbr</v>
      </c>
      <c r="S31" t="str">
        <f t="shared" si="7"/>
        <v>echo itemText,dailCompTextOccultist29, &gt;&gt; .\items\materia\class0003\Occultist29.dbr</v>
      </c>
      <c r="T31" t="str">
        <f t="shared" si="7"/>
        <v>echo augmentSkillLevel1,1, &gt;&gt; .\items\materia\class0003\Occultist29.dbr</v>
      </c>
      <c r="U31" t="str">
        <f t="shared" si="7"/>
        <v>echo augmentSkillName1,records/skills/playerclass03/summon_raven4_petmodifier.dbr, &gt;&gt; .\items\materia\class0003\Occultist29.dbr</v>
      </c>
      <c r="V31" s="5" t="s">
        <v>36</v>
      </c>
      <c r="W31" t="str">
        <f t="shared" si="8"/>
        <v>echo lootName29,DAIL/items/materia/class0003/Occultist29.dbr, &gt;&gt; .\items\loottables\dailoneskill0003.dbr</v>
      </c>
      <c r="X31" t="str">
        <f t="shared" si="8"/>
        <v>echo lootWeight29,1, &gt;&gt; .\items\loottables\dailoneskill0003.dbr</v>
      </c>
      <c r="Y31" s="5" t="s">
        <v>36</v>
      </c>
      <c r="Z31" t="str">
        <f t="shared" si="9"/>
        <v xml:space="preserve"> dailCompDescOccultist29=^pOccultist's Gift of DAIL</v>
      </c>
      <c r="AA31" t="str">
        <f t="shared" si="17"/>
        <v>dailCompTextOccultist29=^oThis feels warm to the touch, almost familiar ^w(This component fits into all Jewellery slots including the Belt And Shoulder)</v>
      </c>
      <c r="AB31" s="5" t="s">
        <v>36</v>
      </c>
      <c r="AH31">
        <f t="shared" si="19"/>
        <v>26</v>
      </c>
      <c r="AI31">
        <f t="shared" si="13"/>
        <v>44</v>
      </c>
      <c r="AJ31">
        <f t="shared" si="18"/>
        <v>1</v>
      </c>
    </row>
    <row r="32" spans="1:36" x14ac:dyDescent="0.25">
      <c r="A32" s="5" t="s">
        <v>39</v>
      </c>
      <c r="B32" s="5" t="s">
        <v>30</v>
      </c>
      <c r="C32" s="5" t="str">
        <f t="shared" si="0"/>
        <v>description,dailCompDescOccultist30,</v>
      </c>
      <c r="D32" s="5" t="str">
        <f t="shared" si="2"/>
        <v>itemText,dailCompTextOccultist30,</v>
      </c>
      <c r="E32" s="5" t="str">
        <f t="shared" si="14"/>
        <v>augmentSkillLevel1,1,</v>
      </c>
      <c r="F32" s="5" t="str">
        <f t="shared" si="15"/>
        <v>augmentSkillName1,records/skills/playerclass03/summon_hellhound1.dbr,</v>
      </c>
      <c r="G32" s="7">
        <f t="shared" si="10"/>
        <v>30</v>
      </c>
      <c r="H32" s="8" t="str">
        <f t="shared" si="11"/>
        <v>Occultist</v>
      </c>
      <c r="I32" s="3" t="s">
        <v>109</v>
      </c>
      <c r="J32" s="8" t="str">
        <f t="shared" si="20"/>
        <v>class0003</v>
      </c>
      <c r="K32" s="8" t="str">
        <f t="shared" si="20"/>
        <v>dailoneskill0003</v>
      </c>
      <c r="L32" s="5" t="str">
        <f t="shared" si="4"/>
        <v>lootName30,DAIL/items/materia/class0003/Occultist30.dbr,</v>
      </c>
      <c r="M32" s="5" t="str">
        <f t="shared" si="5"/>
        <v>lootWeight30,1,</v>
      </c>
      <c r="N32" t="str">
        <f t="shared" si="6"/>
        <v>1</v>
      </c>
      <c r="O32" t="str">
        <f t="shared" si="16"/>
        <v>copy .\dail_base.dbr .\items\materia\class0003\Occultist30.dbr /y</v>
      </c>
      <c r="P32" t="str">
        <f t="shared" si="7"/>
        <v>echo relicBitmap,items/craftingparts/components/component_a52_bristlyfur_b.tex, &gt;&gt; .\items\materia\class0003\Occultist30.dbr</v>
      </c>
      <c r="Q32" t="str">
        <f t="shared" si="7"/>
        <v>echo itemCost,500000, &gt;&gt; .\items\materia\class0003\Occultist30.dbr</v>
      </c>
      <c r="R32" t="str">
        <f t="shared" si="7"/>
        <v>echo description,dailCompDescOccultist30, &gt;&gt; .\items\materia\class0003\Occultist30.dbr</v>
      </c>
      <c r="S32" t="str">
        <f t="shared" si="7"/>
        <v>echo itemText,dailCompTextOccultist30, &gt;&gt; .\items\materia\class0003\Occultist30.dbr</v>
      </c>
      <c r="T32" t="str">
        <f t="shared" si="7"/>
        <v>echo augmentSkillLevel1,1, &gt;&gt; .\items\materia\class0003\Occultist30.dbr</v>
      </c>
      <c r="U32" t="str">
        <f t="shared" si="7"/>
        <v>echo augmentSkillName1,records/skills/playerclass03/summon_hellhound1.dbr, &gt;&gt; .\items\materia\class0003\Occultist30.dbr</v>
      </c>
      <c r="V32" s="5" t="s">
        <v>36</v>
      </c>
      <c r="W32" t="str">
        <f t="shared" si="8"/>
        <v>echo lootName30,DAIL/items/materia/class0003/Occultist30.dbr, &gt;&gt; .\items\loottables\dailoneskill0003.dbr</v>
      </c>
      <c r="X32" t="str">
        <f t="shared" si="8"/>
        <v>echo lootWeight30,1, &gt;&gt; .\items\loottables\dailoneskill0003.dbr</v>
      </c>
      <c r="Y32" s="5" t="s">
        <v>36</v>
      </c>
      <c r="Z32" t="str">
        <f t="shared" si="9"/>
        <v xml:space="preserve"> dailCompDescOccultist30=^pOccultist's Gift of DAIL</v>
      </c>
      <c r="AA32" t="str">
        <f t="shared" si="17"/>
        <v>dailCompTextOccultist30=^oThis feels warm to the touch, almost familiar ^w(This component fits into all Jewellery slots including the Belt And Shoulder)</v>
      </c>
      <c r="AB32" s="5" t="s">
        <v>36</v>
      </c>
      <c r="AH32">
        <f t="shared" si="19"/>
        <v>27</v>
      </c>
      <c r="AI32">
        <f t="shared" si="13"/>
        <v>36</v>
      </c>
      <c r="AJ32">
        <f t="shared" si="18"/>
        <v>1</v>
      </c>
    </row>
    <row r="33" spans="1:36" x14ac:dyDescent="0.25">
      <c r="A33" s="5" t="s">
        <v>39</v>
      </c>
      <c r="B33" s="5" t="s">
        <v>30</v>
      </c>
      <c r="C33" s="5" t="str">
        <f t="shared" si="0"/>
        <v>description,dailCompDescOccultist31,</v>
      </c>
      <c r="D33" s="5" t="str">
        <f t="shared" si="2"/>
        <v>itemText,dailCompTextOccultist31,</v>
      </c>
      <c r="E33" s="5" t="str">
        <f t="shared" si="14"/>
        <v>augmentSkillLevel1,1,</v>
      </c>
      <c r="F33" s="5" t="str">
        <f t="shared" si="15"/>
        <v>augmentSkillName1,records/skills/playerclass03/summon_hellhound2_petmodifier.dbr,</v>
      </c>
      <c r="G33" s="7">
        <f t="shared" si="10"/>
        <v>31</v>
      </c>
      <c r="H33" s="8" t="str">
        <f t="shared" si="11"/>
        <v>Occultist</v>
      </c>
      <c r="I33" s="3" t="s">
        <v>303</v>
      </c>
      <c r="J33" s="8" t="str">
        <f t="shared" si="20"/>
        <v>class0003</v>
      </c>
      <c r="K33" s="8" t="str">
        <f t="shared" si="20"/>
        <v>dailoneskill0003</v>
      </c>
      <c r="L33" s="5" t="str">
        <f t="shared" si="4"/>
        <v>lootName31,DAIL/items/materia/class0003/Occultist31.dbr,</v>
      </c>
      <c r="M33" s="5" t="str">
        <f t="shared" si="5"/>
        <v>lootWeight31,1,</v>
      </c>
      <c r="N33" t="str">
        <f t="shared" si="6"/>
        <v>1</v>
      </c>
      <c r="O33" t="str">
        <f t="shared" si="16"/>
        <v>copy .\dail_base.dbr .\items\materia\class0003\Occultist31.dbr /y</v>
      </c>
      <c r="P33" t="str">
        <f t="shared" si="7"/>
        <v>echo relicBitmap,items/craftingparts/components/component_a52_bristlyfur_b.tex, &gt;&gt; .\items\materia\class0003\Occultist31.dbr</v>
      </c>
      <c r="Q33" t="str">
        <f t="shared" si="7"/>
        <v>echo itemCost,500000, &gt;&gt; .\items\materia\class0003\Occultist31.dbr</v>
      </c>
      <c r="R33" t="str">
        <f t="shared" si="7"/>
        <v>echo description,dailCompDescOccultist31, &gt;&gt; .\items\materia\class0003\Occultist31.dbr</v>
      </c>
      <c r="S33" t="str">
        <f t="shared" si="7"/>
        <v>echo itemText,dailCompTextOccultist31, &gt;&gt; .\items\materia\class0003\Occultist31.dbr</v>
      </c>
      <c r="T33" t="str">
        <f t="shared" si="7"/>
        <v>echo augmentSkillLevel1,1, &gt;&gt; .\items\materia\class0003\Occultist31.dbr</v>
      </c>
      <c r="U33" t="str">
        <f t="shared" si="7"/>
        <v>echo augmentSkillName1,records/skills/playerclass03/summon_hellhound2_petmodifier.dbr, &gt;&gt; .\items\materia\class0003\Occultist31.dbr</v>
      </c>
      <c r="V33" s="5" t="s">
        <v>36</v>
      </c>
      <c r="W33" t="str">
        <f t="shared" si="8"/>
        <v>echo lootName31,DAIL/items/materia/class0003/Occultist31.dbr, &gt;&gt; .\items\loottables\dailoneskill0003.dbr</v>
      </c>
      <c r="X33" t="str">
        <f t="shared" si="8"/>
        <v>echo lootWeight31,1, &gt;&gt; .\items\loottables\dailoneskill0003.dbr</v>
      </c>
      <c r="Y33" s="5" t="s">
        <v>36</v>
      </c>
      <c r="Z33" t="str">
        <f t="shared" si="9"/>
        <v xml:space="preserve"> dailCompDescOccultist31=^pOccultist's Gift of DAIL</v>
      </c>
      <c r="AA33" t="str">
        <f t="shared" si="17"/>
        <v>dailCompTextOccultist31=^oThis feels warm to the touch, almost familiar ^w(This component fits into all Jewellery slots including the Belt And Shoulder)</v>
      </c>
      <c r="AB33" s="5" t="s">
        <v>36</v>
      </c>
      <c r="AH33">
        <f t="shared" si="19"/>
        <v>28</v>
      </c>
      <c r="AI33">
        <f t="shared" si="13"/>
        <v>48</v>
      </c>
      <c r="AJ33">
        <f t="shared" si="18"/>
        <v>1</v>
      </c>
    </row>
    <row r="34" spans="1:36" x14ac:dyDescent="0.25">
      <c r="A34" s="5" t="s">
        <v>39</v>
      </c>
      <c r="B34" s="5" t="s">
        <v>30</v>
      </c>
      <c r="C34" s="5" t="str">
        <f t="shared" si="0"/>
        <v>description,dailCompDescOccultist32,</v>
      </c>
      <c r="D34" s="5" t="str">
        <f t="shared" si="2"/>
        <v>itemText,dailCompTextOccultist32,</v>
      </c>
      <c r="E34" s="5" t="str">
        <f t="shared" si="14"/>
        <v>augmentSkillLevel1,1,</v>
      </c>
      <c r="F34" s="5" t="str">
        <f t="shared" si="15"/>
        <v>augmentSkillName1,records/skills/playerclass03/summon_hellhound3_petmodifier.dbr,</v>
      </c>
      <c r="G34" s="7">
        <f t="shared" si="10"/>
        <v>32</v>
      </c>
      <c r="H34" s="8" t="str">
        <f t="shared" si="11"/>
        <v>Occultist</v>
      </c>
      <c r="I34" s="3" t="s">
        <v>304</v>
      </c>
      <c r="J34" s="8" t="str">
        <f t="shared" si="20"/>
        <v>class0003</v>
      </c>
      <c r="K34" s="8" t="str">
        <f t="shared" si="20"/>
        <v>dailoneskill0003</v>
      </c>
      <c r="L34" s="5" t="str">
        <f t="shared" si="4"/>
        <v>lootName32,DAIL/items/materia/class0003/Occultist32.dbr,</v>
      </c>
      <c r="M34" s="5" t="str">
        <f t="shared" si="5"/>
        <v>lootWeight32,1,</v>
      </c>
      <c r="N34" t="str">
        <f t="shared" si="6"/>
        <v>1</v>
      </c>
      <c r="O34" t="str">
        <f t="shared" si="16"/>
        <v>copy .\dail_base.dbr .\items\materia\class0003\Occultist32.dbr /y</v>
      </c>
      <c r="P34" t="str">
        <f t="shared" si="7"/>
        <v>echo relicBitmap,items/craftingparts/components/component_a52_bristlyfur_b.tex, &gt;&gt; .\items\materia\class0003\Occultist32.dbr</v>
      </c>
      <c r="Q34" t="str">
        <f t="shared" si="7"/>
        <v>echo itemCost,500000, &gt;&gt; .\items\materia\class0003\Occultist32.dbr</v>
      </c>
      <c r="R34" t="str">
        <f t="shared" si="7"/>
        <v>echo description,dailCompDescOccultist32, &gt;&gt; .\items\materia\class0003\Occultist32.dbr</v>
      </c>
      <c r="S34" t="str">
        <f t="shared" si="7"/>
        <v>echo itemText,dailCompTextOccultist32, &gt;&gt; .\items\materia\class0003\Occultist32.dbr</v>
      </c>
      <c r="T34" t="str">
        <f t="shared" si="7"/>
        <v>echo augmentSkillLevel1,1, &gt;&gt; .\items\materia\class0003\Occultist32.dbr</v>
      </c>
      <c r="U34" t="str">
        <f t="shared" si="7"/>
        <v>echo augmentSkillName1,records/skills/playerclass03/summon_hellhound3_petmodifier.dbr, &gt;&gt; .\items\materia\class0003\Occultist32.dbr</v>
      </c>
      <c r="V34" s="5" t="s">
        <v>36</v>
      </c>
      <c r="W34" t="str">
        <f t="shared" si="8"/>
        <v>echo lootName32,DAIL/items/materia/class0003/Occultist32.dbr, &gt;&gt; .\items\loottables\dailoneskill0003.dbr</v>
      </c>
      <c r="X34" t="str">
        <f t="shared" si="8"/>
        <v>echo lootWeight32,1, &gt;&gt; .\items\loottables\dailoneskill0003.dbr</v>
      </c>
      <c r="Y34" s="5" t="s">
        <v>36</v>
      </c>
      <c r="Z34" t="str">
        <f t="shared" si="9"/>
        <v xml:space="preserve"> dailCompDescOccultist32=^pOccultist's Gift of DAIL</v>
      </c>
      <c r="AA34" t="str">
        <f t="shared" si="17"/>
        <v>dailCompTextOccultist32=^oThis feels warm to the touch, almost familiar ^w(This component fits into all Jewellery slots including the Belt And Shoulder)</v>
      </c>
      <c r="AB34" s="5" t="s">
        <v>36</v>
      </c>
      <c r="AH34">
        <f t="shared" si="19"/>
        <v>29</v>
      </c>
      <c r="AI34">
        <f t="shared" si="13"/>
        <v>48</v>
      </c>
      <c r="AJ34">
        <f t="shared" si="18"/>
        <v>1</v>
      </c>
    </row>
    <row r="35" spans="1:36" x14ac:dyDescent="0.25">
      <c r="A35" s="5" t="s">
        <v>39</v>
      </c>
      <c r="B35" s="5" t="s">
        <v>30</v>
      </c>
      <c r="C35" s="5" t="str">
        <f t="shared" si="0"/>
        <v>description,dailCompDescOccultist33,</v>
      </c>
      <c r="D35" s="5" t="str">
        <f t="shared" si="2"/>
        <v>itemText,dailCompTextOccultist33,</v>
      </c>
      <c r="E35" s="5" t="str">
        <f t="shared" si="14"/>
        <v>augmentSkillLevel1,3,</v>
      </c>
      <c r="F35" s="5" t="str">
        <f t="shared" si="15"/>
        <v>augmentSkillName1,records/skills/playerclass03/summon_hellhound4_petmodifier.dbr,</v>
      </c>
      <c r="G35" s="7">
        <f t="shared" si="10"/>
        <v>33</v>
      </c>
      <c r="H35" s="8" t="str">
        <f t="shared" si="11"/>
        <v>Occultist</v>
      </c>
      <c r="I35" s="3" t="s">
        <v>305</v>
      </c>
      <c r="J35" s="8" t="str">
        <f t="shared" si="20"/>
        <v>class0003</v>
      </c>
      <c r="K35" s="8" t="str">
        <f t="shared" si="20"/>
        <v>dailoneskill0003</v>
      </c>
      <c r="L35" s="5" t="str">
        <f t="shared" si="4"/>
        <v>lootName33,DAIL/items/materia/class0003/Occultist33.dbr,</v>
      </c>
      <c r="M35" s="5" t="str">
        <f t="shared" si="5"/>
        <v>lootWeight33,1,</v>
      </c>
      <c r="N35" t="str">
        <f t="shared" si="6"/>
        <v>3</v>
      </c>
      <c r="O35" t="str">
        <f t="shared" si="16"/>
        <v>copy .\dail_base3.dbr .\items\materia\class0003\Occultist33.dbr /y</v>
      </c>
      <c r="P35" t="str">
        <f t="shared" si="7"/>
        <v>echo relicBitmap,items/craftingparts/components/component_a52_bristlyfur_b.tex, &gt;&gt; .\items\materia\class0003\Occultist33.dbr</v>
      </c>
      <c r="Q35" t="str">
        <f t="shared" si="7"/>
        <v>echo itemCost,500000, &gt;&gt; .\items\materia\class0003\Occultist33.dbr</v>
      </c>
      <c r="R35" t="str">
        <f t="shared" si="7"/>
        <v>echo description,dailCompDescOccultist33, &gt;&gt; .\items\materia\class0003\Occultist33.dbr</v>
      </c>
      <c r="S35" t="str">
        <f t="shared" si="7"/>
        <v>echo itemText,dailCompTextOccultist33, &gt;&gt; .\items\materia\class0003\Occultist33.dbr</v>
      </c>
      <c r="T35" t="str">
        <f t="shared" si="7"/>
        <v>echo augmentSkillLevel1,3, &gt;&gt; .\items\materia\class0003\Occultist33.dbr</v>
      </c>
      <c r="U35" t="str">
        <f t="shared" si="7"/>
        <v>echo augmentSkillName1,records/skills/playerclass03/summon_hellhound4_petmodifier.dbr, &gt;&gt; .\items\materia\class0003\Occultist33.dbr</v>
      </c>
      <c r="V35" s="5" t="s">
        <v>36</v>
      </c>
      <c r="W35" t="str">
        <f t="shared" si="8"/>
        <v>echo lootName33,DAIL/items/materia/class0003/Occultist33.dbr, &gt;&gt; .\items\loottables\dailoneskill0003.dbr</v>
      </c>
      <c r="X35" t="str">
        <f t="shared" si="8"/>
        <v>echo lootWeight33,1, &gt;&gt; .\items\loottables\dailoneskill0003.dbr</v>
      </c>
      <c r="Y35" s="5" t="s">
        <v>36</v>
      </c>
      <c r="Z35" t="str">
        <f t="shared" si="9"/>
        <v xml:space="preserve"> dailCompDescOccultist33=^pOccultist's Gift of DAIL</v>
      </c>
      <c r="AA35" t="str">
        <f t="shared" si="17"/>
        <v>dailCompTextOccultist33=^oThis feels warm to the touch, almost familiar ^w(This component only fits into the Medal Slot)</v>
      </c>
      <c r="AB35" s="5" t="s">
        <v>36</v>
      </c>
      <c r="AH35">
        <f t="shared" si="19"/>
        <v>30</v>
      </c>
      <c r="AI35">
        <f t="shared" si="13"/>
        <v>48</v>
      </c>
      <c r="AJ35">
        <f t="shared" si="18"/>
        <v>3</v>
      </c>
    </row>
    <row r="36" spans="1:36" x14ac:dyDescent="0.25">
      <c r="A36" s="5" t="s">
        <v>39</v>
      </c>
      <c r="B36" s="5" t="s">
        <v>30</v>
      </c>
      <c r="C36" s="5" t="str">
        <f t="shared" si="0"/>
        <v>description,dailCompDescOccultist34,</v>
      </c>
      <c r="D36" s="5" t="str">
        <f t="shared" si="2"/>
        <v>itemText,dailCompTextOccultist34,</v>
      </c>
      <c r="E36" s="5" t="str">
        <f t="shared" si="14"/>
        <v>augmentSkillLevel1,3,</v>
      </c>
      <c r="F36" s="5" t="str">
        <f t="shared" si="15"/>
        <v>augmentSkillName1,records/skills/playerclass03/witchfire1.dbr,</v>
      </c>
      <c r="G36" s="7">
        <f t="shared" si="10"/>
        <v>34</v>
      </c>
      <c r="H36" s="8" t="str">
        <f t="shared" si="11"/>
        <v>Occultist</v>
      </c>
      <c r="I36" s="3" t="s">
        <v>111</v>
      </c>
      <c r="J36" s="8" t="str">
        <f t="shared" si="20"/>
        <v>class0003</v>
      </c>
      <c r="K36" s="8" t="str">
        <f t="shared" si="20"/>
        <v>dailoneskill0003</v>
      </c>
      <c r="L36" s="5" t="str">
        <f t="shared" si="4"/>
        <v>lootName34,DAIL/items/materia/class0003/Occultist34.dbr,</v>
      </c>
      <c r="M36" s="5" t="str">
        <f t="shared" si="5"/>
        <v>lootWeight34,1,</v>
      </c>
      <c r="N36" t="str">
        <f t="shared" si="6"/>
        <v>3</v>
      </c>
      <c r="O36" t="str">
        <f t="shared" si="16"/>
        <v>copy .\dail_base3.dbr .\items\materia\class0003\Occultist34.dbr /y</v>
      </c>
      <c r="P36" t="str">
        <f t="shared" si="7"/>
        <v>echo relicBitmap,items/craftingparts/components/component_a52_bristlyfur_b.tex, &gt;&gt; .\items\materia\class0003\Occultist34.dbr</v>
      </c>
      <c r="Q36" t="str">
        <f t="shared" si="7"/>
        <v>echo itemCost,500000, &gt;&gt; .\items\materia\class0003\Occultist34.dbr</v>
      </c>
      <c r="R36" t="str">
        <f t="shared" si="7"/>
        <v>echo description,dailCompDescOccultist34, &gt;&gt; .\items\materia\class0003\Occultist34.dbr</v>
      </c>
      <c r="S36" t="str">
        <f t="shared" si="7"/>
        <v>echo itemText,dailCompTextOccultist34, &gt;&gt; .\items\materia\class0003\Occultist34.dbr</v>
      </c>
      <c r="T36" t="str">
        <f t="shared" si="7"/>
        <v>echo augmentSkillLevel1,3, &gt;&gt; .\items\materia\class0003\Occultist34.dbr</v>
      </c>
      <c r="U36" t="str">
        <f t="shared" si="7"/>
        <v>echo augmentSkillName1,records/skills/playerclass03/witchfire1.dbr, &gt;&gt; .\items\materia\class0003\Occultist34.dbr</v>
      </c>
      <c r="V36" s="5" t="s">
        <v>36</v>
      </c>
      <c r="W36" t="str">
        <f t="shared" si="8"/>
        <v>echo lootName34,DAIL/items/materia/class0003/Occultist34.dbr, &gt;&gt; .\items\loottables\dailoneskill0003.dbr</v>
      </c>
      <c r="X36" t="str">
        <f t="shared" si="8"/>
        <v>echo lootWeight34,1, &gt;&gt; .\items\loottables\dailoneskill0003.dbr</v>
      </c>
      <c r="Y36" s="5" t="s">
        <v>36</v>
      </c>
      <c r="Z36" t="str">
        <f t="shared" si="9"/>
        <v xml:space="preserve"> dailCompDescOccultist34=^pOccultist's Gift of DAIL</v>
      </c>
      <c r="AA36" t="str">
        <f t="shared" si="17"/>
        <v>dailCompTextOccultist34=^oThis feels warm to the touch, almost familiar ^w(This component only fits into the Medal Slot)</v>
      </c>
      <c r="AB36" s="5" t="s">
        <v>36</v>
      </c>
      <c r="AH36">
        <f t="shared" si="19"/>
        <v>31</v>
      </c>
      <c r="AI36">
        <f t="shared" si="13"/>
        <v>29</v>
      </c>
      <c r="AJ36">
        <f t="shared" si="18"/>
        <v>3</v>
      </c>
    </row>
    <row r="37" spans="1:36" x14ac:dyDescent="0.25">
      <c r="A37" s="5" t="s">
        <v>39</v>
      </c>
      <c r="B37" s="5" t="s">
        <v>30</v>
      </c>
      <c r="C37" s="5" t="str">
        <f t="shared" si="0"/>
        <v>description,dailCompDescOccultist35,</v>
      </c>
      <c r="D37" s="5" t="str">
        <f t="shared" si="2"/>
        <v>itemText,dailCompTextOccultist35,</v>
      </c>
      <c r="E37" s="5" t="str">
        <f t="shared" si="14"/>
        <v>augmentSkillLevel1,3,</v>
      </c>
      <c r="F37" s="5" t="str">
        <f t="shared" si="15"/>
        <v>augmentSkillName1,records/skills/playerclass03/witchfire1b.dbr,</v>
      </c>
      <c r="G37" s="7">
        <f t="shared" si="10"/>
        <v>35</v>
      </c>
      <c r="H37" s="8" t="str">
        <f t="shared" si="11"/>
        <v>Occultist</v>
      </c>
      <c r="I37" s="3" t="s">
        <v>287</v>
      </c>
      <c r="J37" s="8" t="str">
        <f t="shared" ref="J37:K52" si="21">J36</f>
        <v>class0003</v>
      </c>
      <c r="K37" s="8" t="str">
        <f t="shared" si="21"/>
        <v>dailoneskill0003</v>
      </c>
      <c r="L37" s="5" t="str">
        <f t="shared" si="4"/>
        <v>lootName35,DAIL/items/materia/class0003/Occultist35.dbr,</v>
      </c>
      <c r="M37" s="5" t="str">
        <f t="shared" si="5"/>
        <v>lootWeight35,1,</v>
      </c>
      <c r="N37" t="str">
        <f t="shared" si="6"/>
        <v>3</v>
      </c>
      <c r="O37" t="str">
        <f t="shared" si="16"/>
        <v>copy .\dail_base3.dbr .\items\materia\class0003\Occultist35.dbr /y</v>
      </c>
      <c r="P37" t="str">
        <f t="shared" si="7"/>
        <v>echo relicBitmap,items/craftingparts/components/component_a52_bristlyfur_b.tex, &gt;&gt; .\items\materia\class0003\Occultist35.dbr</v>
      </c>
      <c r="Q37" t="str">
        <f t="shared" si="7"/>
        <v>echo itemCost,500000, &gt;&gt; .\items\materia\class0003\Occultist35.dbr</v>
      </c>
      <c r="R37" t="str">
        <f t="shared" si="7"/>
        <v>echo description,dailCompDescOccultist35, &gt;&gt; .\items\materia\class0003\Occultist35.dbr</v>
      </c>
      <c r="S37" t="str">
        <f t="shared" si="7"/>
        <v>echo itemText,dailCompTextOccultist35, &gt;&gt; .\items\materia\class0003\Occultist35.dbr</v>
      </c>
      <c r="T37" t="str">
        <f t="shared" si="7"/>
        <v>echo augmentSkillLevel1,3, &gt;&gt; .\items\materia\class0003\Occultist35.dbr</v>
      </c>
      <c r="U37" t="str">
        <f t="shared" si="7"/>
        <v>echo augmentSkillName1,records/skills/playerclass03/witchfire1b.dbr, &gt;&gt; .\items\materia\class0003\Occultist35.dbr</v>
      </c>
      <c r="V37" s="5" t="s">
        <v>36</v>
      </c>
      <c r="W37" t="str">
        <f t="shared" si="8"/>
        <v>echo lootName35,DAIL/items/materia/class0003/Occultist35.dbr, &gt;&gt; .\items\loottables\dailoneskill0003.dbr</v>
      </c>
      <c r="X37" t="str">
        <f t="shared" si="8"/>
        <v>echo lootWeight35,1, &gt;&gt; .\items\loottables\dailoneskill0003.dbr</v>
      </c>
      <c r="Y37" s="5" t="s">
        <v>36</v>
      </c>
      <c r="Z37" t="str">
        <f t="shared" si="9"/>
        <v xml:space="preserve"> dailCompDescOccultist35=^pOccultist's Gift of DAIL</v>
      </c>
      <c r="AA37" t="str">
        <f t="shared" si="17"/>
        <v>dailCompTextOccultist35=^oThis feels warm to the touch, almost familiar ^w(This component only fits into the Medal Slot)</v>
      </c>
      <c r="AB37" s="5" t="s">
        <v>36</v>
      </c>
      <c r="AH37">
        <f t="shared" si="19"/>
        <v>32</v>
      </c>
      <c r="AI37">
        <f t="shared" si="13"/>
        <v>30</v>
      </c>
      <c r="AJ37">
        <f t="shared" si="18"/>
        <v>3</v>
      </c>
    </row>
    <row r="38" spans="1:36" x14ac:dyDescent="0.25">
      <c r="A38" s="5" t="s">
        <v>39</v>
      </c>
      <c r="B38" s="5" t="s">
        <v>30</v>
      </c>
      <c r="C38" s="5" t="str">
        <f t="shared" si="0"/>
        <v>description,dailCompDescOccultist36,</v>
      </c>
      <c r="D38" s="5" t="str">
        <f t="shared" si="2"/>
        <v>itemText,dailCompTextOccultist36,</v>
      </c>
      <c r="E38" s="5" t="str">
        <f t="shared" si="14"/>
        <v>augmentSkillLevel1,3,</v>
      </c>
      <c r="F38" s="5" t="str">
        <f t="shared" si="15"/>
        <v>augmentSkillName1,records/skills/playerclass03/witchfire2.dbr,</v>
      </c>
      <c r="G38" s="7">
        <f t="shared" si="10"/>
        <v>36</v>
      </c>
      <c r="H38" s="8" t="str">
        <f t="shared" si="11"/>
        <v>Occultist</v>
      </c>
      <c r="I38" s="3" t="s">
        <v>288</v>
      </c>
      <c r="J38" s="8" t="str">
        <f t="shared" si="21"/>
        <v>class0003</v>
      </c>
      <c r="K38" s="8" t="str">
        <f t="shared" si="21"/>
        <v>dailoneskill0003</v>
      </c>
      <c r="L38" s="5" t="str">
        <f t="shared" si="4"/>
        <v>lootName36,DAIL/items/materia/class0003/Occultist36.dbr,</v>
      </c>
      <c r="M38" s="5" t="str">
        <f t="shared" si="5"/>
        <v>lootWeight36,1,</v>
      </c>
      <c r="N38" t="str">
        <f t="shared" si="6"/>
        <v>3</v>
      </c>
      <c r="O38" t="str">
        <f t="shared" si="16"/>
        <v>copy .\dail_base3.dbr .\items\materia\class0003\Occultist36.dbr /y</v>
      </c>
      <c r="P38" t="str">
        <f t="shared" si="7"/>
        <v>echo relicBitmap,items/craftingparts/components/component_a52_bristlyfur_b.tex, &gt;&gt; .\items\materia\class0003\Occultist36.dbr</v>
      </c>
      <c r="Q38" t="str">
        <f t="shared" si="7"/>
        <v>echo itemCost,500000, &gt;&gt; .\items\materia\class0003\Occultist36.dbr</v>
      </c>
      <c r="R38" t="str">
        <f t="shared" si="7"/>
        <v>echo description,dailCompDescOccultist36, &gt;&gt; .\items\materia\class0003\Occultist36.dbr</v>
      </c>
      <c r="S38" t="str">
        <f t="shared" si="7"/>
        <v>echo itemText,dailCompTextOccultist36, &gt;&gt; .\items\materia\class0003\Occultist36.dbr</v>
      </c>
      <c r="T38" t="str">
        <f t="shared" si="7"/>
        <v>echo augmentSkillLevel1,3, &gt;&gt; .\items\materia\class0003\Occultist36.dbr</v>
      </c>
      <c r="U38" t="str">
        <f t="shared" si="7"/>
        <v>echo augmentSkillName1,records/skills/playerclass03/witchfire2.dbr, &gt;&gt; .\items\materia\class0003\Occultist36.dbr</v>
      </c>
      <c r="V38" s="5" t="s">
        <v>36</v>
      </c>
      <c r="W38" t="str">
        <f t="shared" si="8"/>
        <v>echo lootName36,DAIL/items/materia/class0003/Occultist36.dbr, &gt;&gt; .\items\loottables\dailoneskill0003.dbr</v>
      </c>
      <c r="X38" t="str">
        <f t="shared" si="8"/>
        <v>echo lootWeight36,1, &gt;&gt; .\items\loottables\dailoneskill0003.dbr</v>
      </c>
      <c r="Y38" s="5" t="s">
        <v>36</v>
      </c>
      <c r="Z38" t="str">
        <f t="shared" si="9"/>
        <v xml:space="preserve"> dailCompDescOccultist36=^pOccultist's Gift of DAIL</v>
      </c>
      <c r="AA38" t="str">
        <f t="shared" si="17"/>
        <v>dailCompTextOccultist36=^oThis feels warm to the touch, almost familiar ^w(This component only fits into the Medal Slot)</v>
      </c>
      <c r="AB38" s="5" t="s">
        <v>36</v>
      </c>
      <c r="AH38">
        <f t="shared" si="19"/>
        <v>33</v>
      </c>
      <c r="AI38">
        <f t="shared" ref="AI38:AI69" si="22">LEN(I38)</f>
        <v>29</v>
      </c>
      <c r="AJ38">
        <f t="shared" si="18"/>
        <v>3</v>
      </c>
    </row>
    <row r="39" spans="1:36" x14ac:dyDescent="0.25">
      <c r="A39" s="5" t="s">
        <v>39</v>
      </c>
      <c r="B39" s="5" t="s">
        <v>30</v>
      </c>
      <c r="C39" s="5" t="str">
        <f t="shared" si="0"/>
        <v>description,dailCompDescOccultist37,</v>
      </c>
      <c r="D39" s="5" t="str">
        <f t="shared" si="2"/>
        <v>itemText,dailCompTextOccultist37,</v>
      </c>
      <c r="E39" s="5" t="str">
        <f t="shared" si="14"/>
        <v>augmentSkillLevel1,3,</v>
      </c>
      <c r="F39" s="5" t="str">
        <f t="shared" si="15"/>
        <v>augmentSkillName1,records/skills/playerclass03/bloodofdreeg1.dbr,</v>
      </c>
      <c r="G39" s="7">
        <f t="shared" si="10"/>
        <v>37</v>
      </c>
      <c r="H39" s="8" t="str">
        <f t="shared" si="11"/>
        <v>Occultist</v>
      </c>
      <c r="I39" s="3" t="s">
        <v>101</v>
      </c>
      <c r="J39" s="8" t="str">
        <f t="shared" si="21"/>
        <v>class0003</v>
      </c>
      <c r="K39" s="8" t="str">
        <f t="shared" si="21"/>
        <v>dailoneskill0003</v>
      </c>
      <c r="L39" s="5" t="str">
        <f t="shared" si="4"/>
        <v>lootName37,DAIL/items/materia/class0003/Occultist37.dbr,</v>
      </c>
      <c r="M39" s="5" t="str">
        <f t="shared" si="5"/>
        <v>lootWeight37,1,</v>
      </c>
      <c r="N39" t="str">
        <f t="shared" si="6"/>
        <v>3</v>
      </c>
      <c r="O39" t="str">
        <f t="shared" si="16"/>
        <v>copy .\dail_base3.dbr .\items\materia\class0003\Occultist37.dbr /y</v>
      </c>
      <c r="P39" t="str">
        <f t="shared" si="7"/>
        <v>echo relicBitmap,items/craftingparts/components/component_a52_bristlyfur_b.tex, &gt;&gt; .\items\materia\class0003\Occultist37.dbr</v>
      </c>
      <c r="Q39" t="str">
        <f t="shared" si="7"/>
        <v>echo itemCost,500000, &gt;&gt; .\items\materia\class0003\Occultist37.dbr</v>
      </c>
      <c r="R39" t="str">
        <f t="shared" si="7"/>
        <v>echo description,dailCompDescOccultist37, &gt;&gt; .\items\materia\class0003\Occultist37.dbr</v>
      </c>
      <c r="S39" t="str">
        <f t="shared" si="7"/>
        <v>echo itemText,dailCompTextOccultist37, &gt;&gt; .\items\materia\class0003\Occultist37.dbr</v>
      </c>
      <c r="T39" t="str">
        <f t="shared" si="7"/>
        <v>echo augmentSkillLevel1,3, &gt;&gt; .\items\materia\class0003\Occultist37.dbr</v>
      </c>
      <c r="U39" t="str">
        <f t="shared" si="7"/>
        <v>echo augmentSkillName1,records/skills/playerclass03/bloodofdreeg1.dbr, &gt;&gt; .\items\materia\class0003\Occultist37.dbr</v>
      </c>
      <c r="V39" s="5" t="s">
        <v>36</v>
      </c>
      <c r="W39" t="str">
        <f t="shared" si="8"/>
        <v>echo lootName37,DAIL/items/materia/class0003/Occultist37.dbr, &gt;&gt; .\items\loottables\dailoneskill0003.dbr</v>
      </c>
      <c r="X39" t="str">
        <f t="shared" si="8"/>
        <v>echo lootWeight37,1, &gt;&gt; .\items\loottables\dailoneskill0003.dbr</v>
      </c>
      <c r="Y39" s="5" t="s">
        <v>36</v>
      </c>
      <c r="Z39" t="str">
        <f t="shared" si="9"/>
        <v xml:space="preserve"> dailCompDescOccultist37=^pOccultist's Gift of DAIL</v>
      </c>
      <c r="AA39" t="str">
        <f t="shared" si="17"/>
        <v>dailCompTextOccultist37=^oThis feels warm to the touch, almost familiar ^w(This component only fits into the Medal Slot)</v>
      </c>
      <c r="AB39" s="5" t="s">
        <v>36</v>
      </c>
      <c r="AH39">
        <f t="shared" si="19"/>
        <v>34</v>
      </c>
      <c r="AI39">
        <f t="shared" si="22"/>
        <v>32</v>
      </c>
      <c r="AJ39">
        <f t="shared" si="18"/>
        <v>3</v>
      </c>
    </row>
    <row r="40" spans="1:36" x14ac:dyDescent="0.25">
      <c r="A40" s="5" t="s">
        <v>39</v>
      </c>
      <c r="B40" s="5" t="s">
        <v>30</v>
      </c>
      <c r="C40" s="5" t="str">
        <f t="shared" si="0"/>
        <v>description,dailCompDescOccultist38,</v>
      </c>
      <c r="D40" s="5" t="str">
        <f t="shared" si="2"/>
        <v>itemText,dailCompTextOccultist38,</v>
      </c>
      <c r="E40" s="5" t="str">
        <f t="shared" si="14"/>
        <v>augmentSkillLevel1,3,</v>
      </c>
      <c r="F40" s="5" t="str">
        <f t="shared" si="15"/>
        <v>augmentSkillName1,records/skills/playerclass03/bloodofdreeg2.dbr,</v>
      </c>
      <c r="G40" s="7">
        <f t="shared" si="10"/>
        <v>38</v>
      </c>
      <c r="H40" s="8" t="str">
        <f t="shared" si="11"/>
        <v>Occultist</v>
      </c>
      <c r="I40" s="3" t="s">
        <v>289</v>
      </c>
      <c r="J40" s="8" t="str">
        <f t="shared" si="21"/>
        <v>class0003</v>
      </c>
      <c r="K40" s="8" t="str">
        <f t="shared" si="21"/>
        <v>dailoneskill0003</v>
      </c>
      <c r="L40" s="5" t="str">
        <f t="shared" si="4"/>
        <v>lootName38,DAIL/items/materia/class0003/Occultist38.dbr,</v>
      </c>
      <c r="M40" s="5" t="str">
        <f t="shared" si="5"/>
        <v>lootWeight38,1,</v>
      </c>
      <c r="N40" t="str">
        <f t="shared" si="6"/>
        <v>3</v>
      </c>
      <c r="O40" t="str">
        <f t="shared" si="16"/>
        <v>copy .\dail_base3.dbr .\items\materia\class0003\Occultist38.dbr /y</v>
      </c>
      <c r="P40" t="str">
        <f t="shared" si="7"/>
        <v>echo relicBitmap,items/craftingparts/components/component_a52_bristlyfur_b.tex, &gt;&gt; .\items\materia\class0003\Occultist38.dbr</v>
      </c>
      <c r="Q40" t="str">
        <f t="shared" si="7"/>
        <v>echo itemCost,500000, &gt;&gt; .\items\materia\class0003\Occultist38.dbr</v>
      </c>
      <c r="R40" t="str">
        <f t="shared" si="7"/>
        <v>echo description,dailCompDescOccultist38, &gt;&gt; .\items\materia\class0003\Occultist38.dbr</v>
      </c>
      <c r="S40" t="str">
        <f t="shared" si="7"/>
        <v>echo itemText,dailCompTextOccultist38, &gt;&gt; .\items\materia\class0003\Occultist38.dbr</v>
      </c>
      <c r="T40" t="str">
        <f t="shared" si="7"/>
        <v>echo augmentSkillLevel1,3, &gt;&gt; .\items\materia\class0003\Occultist38.dbr</v>
      </c>
      <c r="U40" t="str">
        <f t="shared" si="7"/>
        <v>echo augmentSkillName1,records/skills/playerclass03/bloodofdreeg2.dbr, &gt;&gt; .\items\materia\class0003\Occultist38.dbr</v>
      </c>
      <c r="V40" s="5" t="s">
        <v>36</v>
      </c>
      <c r="W40" t="str">
        <f t="shared" si="8"/>
        <v>echo lootName38,DAIL/items/materia/class0003/Occultist38.dbr, &gt;&gt; .\items\loottables\dailoneskill0003.dbr</v>
      </c>
      <c r="X40" t="str">
        <f t="shared" si="8"/>
        <v>echo lootWeight38,1, &gt;&gt; .\items\loottables\dailoneskill0003.dbr</v>
      </c>
      <c r="Y40" s="5" t="s">
        <v>36</v>
      </c>
      <c r="Z40" t="str">
        <f t="shared" si="9"/>
        <v xml:space="preserve"> dailCompDescOccultist38=^pOccultist's Gift of DAIL</v>
      </c>
      <c r="AA40" t="str">
        <f t="shared" si="17"/>
        <v>dailCompTextOccultist38=^oThis feels warm to the touch, almost familiar ^w(This component only fits into the Medal Slot)</v>
      </c>
      <c r="AB40" s="5" t="s">
        <v>36</v>
      </c>
      <c r="AH40">
        <f t="shared" si="19"/>
        <v>35</v>
      </c>
      <c r="AI40">
        <f t="shared" si="22"/>
        <v>32</v>
      </c>
      <c r="AJ40">
        <f t="shared" si="18"/>
        <v>3</v>
      </c>
    </row>
    <row r="41" spans="1:36" x14ac:dyDescent="0.25">
      <c r="A41" s="5" t="s">
        <v>39</v>
      </c>
      <c r="B41" s="5" t="s">
        <v>30</v>
      </c>
      <c r="C41" s="5" t="str">
        <f t="shared" si="0"/>
        <v>description,dailCompDescOccultist39,</v>
      </c>
      <c r="D41" s="5" t="str">
        <f t="shared" si="2"/>
        <v>itemText,dailCompTextOccultist39,</v>
      </c>
      <c r="E41" s="5" t="str">
        <f t="shared" si="14"/>
        <v>augmentSkillLevel1,3,</v>
      </c>
      <c r="F41" s="5" t="str">
        <f t="shared" si="15"/>
        <v>augmentSkillName1,records/skills/playerclass03/doombolt1.dbr,</v>
      </c>
      <c r="G41" s="7">
        <f t="shared" si="10"/>
        <v>39</v>
      </c>
      <c r="H41" s="8" t="str">
        <f t="shared" si="11"/>
        <v>Occultist</v>
      </c>
      <c r="I41" s="3" t="s">
        <v>104</v>
      </c>
      <c r="J41" s="8" t="str">
        <f t="shared" si="21"/>
        <v>class0003</v>
      </c>
      <c r="K41" s="8" t="str">
        <f t="shared" si="21"/>
        <v>dailoneskill0003</v>
      </c>
      <c r="L41" s="5" t="str">
        <f t="shared" si="4"/>
        <v>lootName39,DAIL/items/materia/class0003/Occultist39.dbr,</v>
      </c>
      <c r="M41" s="5" t="str">
        <f t="shared" si="5"/>
        <v>lootWeight39,1,</v>
      </c>
      <c r="N41" t="str">
        <f t="shared" si="6"/>
        <v>3</v>
      </c>
      <c r="O41" t="str">
        <f t="shared" si="16"/>
        <v>copy .\dail_base3.dbr .\items\materia\class0003\Occultist39.dbr /y</v>
      </c>
      <c r="P41" t="str">
        <f t="shared" si="7"/>
        <v>echo relicBitmap,items/craftingparts/components/component_a52_bristlyfur_b.tex, &gt;&gt; .\items\materia\class0003\Occultist39.dbr</v>
      </c>
      <c r="Q41" t="str">
        <f t="shared" si="7"/>
        <v>echo itemCost,500000, &gt;&gt; .\items\materia\class0003\Occultist39.dbr</v>
      </c>
      <c r="R41" t="str">
        <f t="shared" si="7"/>
        <v>echo description,dailCompDescOccultist39, &gt;&gt; .\items\materia\class0003\Occultist39.dbr</v>
      </c>
      <c r="S41" t="str">
        <f t="shared" si="7"/>
        <v>echo itemText,dailCompTextOccultist39, &gt;&gt; .\items\materia\class0003\Occultist39.dbr</v>
      </c>
      <c r="T41" t="str">
        <f t="shared" si="7"/>
        <v>echo augmentSkillLevel1,3, &gt;&gt; .\items\materia\class0003\Occultist39.dbr</v>
      </c>
      <c r="U41" t="str">
        <f t="shared" si="7"/>
        <v>echo augmentSkillName1,records/skills/playerclass03/doombolt1.dbr, &gt;&gt; .\items\materia\class0003\Occultist39.dbr</v>
      </c>
      <c r="V41" s="5" t="s">
        <v>36</v>
      </c>
      <c r="W41" t="str">
        <f t="shared" si="8"/>
        <v>echo lootName39,DAIL/items/materia/class0003/Occultist39.dbr, &gt;&gt; .\items\loottables\dailoneskill0003.dbr</v>
      </c>
      <c r="X41" t="str">
        <f t="shared" si="8"/>
        <v>echo lootWeight39,1, &gt;&gt; .\items\loottables\dailoneskill0003.dbr</v>
      </c>
      <c r="Y41" s="5" t="s">
        <v>36</v>
      </c>
      <c r="Z41" t="str">
        <f t="shared" si="9"/>
        <v xml:space="preserve"> dailCompDescOccultist39=^pOccultist's Gift of DAIL</v>
      </c>
      <c r="AA41" t="str">
        <f t="shared" si="17"/>
        <v>dailCompTextOccultist39=^oThis feels warm to the touch, almost familiar ^w(This component only fits into the Medal Slot)</v>
      </c>
      <c r="AB41" s="5" t="s">
        <v>36</v>
      </c>
      <c r="AH41">
        <f t="shared" si="19"/>
        <v>36</v>
      </c>
      <c r="AI41">
        <f t="shared" si="22"/>
        <v>28</v>
      </c>
      <c r="AJ41">
        <f t="shared" si="18"/>
        <v>3</v>
      </c>
    </row>
    <row r="42" spans="1:36" x14ac:dyDescent="0.25">
      <c r="A42" s="5" t="s">
        <v>39</v>
      </c>
      <c r="B42" s="5" t="s">
        <v>30</v>
      </c>
      <c r="C42" s="5" t="str">
        <f t="shared" si="0"/>
        <v>description,dailCompDescOccultist40,</v>
      </c>
      <c r="D42" s="5" t="str">
        <f t="shared" si="2"/>
        <v>itemText,dailCompTextOccultist40,</v>
      </c>
      <c r="E42" s="5" t="str">
        <f t="shared" si="14"/>
        <v>augmentSkillLevel1,3,</v>
      </c>
      <c r="F42" s="5" t="str">
        <f t="shared" si="15"/>
        <v>augmentSkillName1,records/skills/playerclass03/possession1.dbr,</v>
      </c>
      <c r="G42" s="7">
        <f t="shared" si="10"/>
        <v>40</v>
      </c>
      <c r="H42" s="8" t="str">
        <f t="shared" si="11"/>
        <v>Occultist</v>
      </c>
      <c r="I42" s="3" t="s">
        <v>106</v>
      </c>
      <c r="J42" s="8" t="str">
        <f t="shared" si="21"/>
        <v>class0003</v>
      </c>
      <c r="K42" s="8" t="str">
        <f t="shared" si="21"/>
        <v>dailoneskill0003</v>
      </c>
      <c r="L42" s="5" t="str">
        <f t="shared" si="4"/>
        <v>lootName40,DAIL/items/materia/class0003/Occultist40.dbr,</v>
      </c>
      <c r="M42" s="5" t="str">
        <f t="shared" si="5"/>
        <v>lootWeight40,1,</v>
      </c>
      <c r="N42" t="str">
        <f t="shared" si="6"/>
        <v>3</v>
      </c>
      <c r="O42" t="str">
        <f t="shared" si="16"/>
        <v>copy .\dail_base3.dbr .\items\materia\class0003\Occultist40.dbr /y</v>
      </c>
      <c r="P42" t="str">
        <f t="shared" si="7"/>
        <v>echo relicBitmap,items/craftingparts/components/component_a52_bristlyfur_b.tex, &gt;&gt; .\items\materia\class0003\Occultist40.dbr</v>
      </c>
      <c r="Q42" t="str">
        <f t="shared" si="7"/>
        <v>echo itemCost,500000, &gt;&gt; .\items\materia\class0003\Occultist40.dbr</v>
      </c>
      <c r="R42" t="str">
        <f t="shared" si="7"/>
        <v>echo description,dailCompDescOccultist40, &gt;&gt; .\items\materia\class0003\Occultist40.dbr</v>
      </c>
      <c r="S42" t="str">
        <f t="shared" si="7"/>
        <v>echo itemText,dailCompTextOccultist40, &gt;&gt; .\items\materia\class0003\Occultist40.dbr</v>
      </c>
      <c r="T42" t="str">
        <f t="shared" si="7"/>
        <v>echo augmentSkillLevel1,3, &gt;&gt; .\items\materia\class0003\Occultist40.dbr</v>
      </c>
      <c r="U42" t="str">
        <f t="shared" si="7"/>
        <v>echo augmentSkillName1,records/skills/playerclass03/possession1.dbr, &gt;&gt; .\items\materia\class0003\Occultist40.dbr</v>
      </c>
      <c r="V42" s="5" t="s">
        <v>36</v>
      </c>
      <c r="W42" t="str">
        <f t="shared" si="8"/>
        <v>echo lootName40,DAIL/items/materia/class0003/Occultist40.dbr, &gt;&gt; .\items\loottables\dailoneskill0003.dbr</v>
      </c>
      <c r="X42" t="str">
        <f t="shared" si="8"/>
        <v>echo lootWeight40,1, &gt;&gt; .\items\loottables\dailoneskill0003.dbr</v>
      </c>
      <c r="Y42" s="5" t="s">
        <v>36</v>
      </c>
      <c r="Z42" t="str">
        <f t="shared" si="9"/>
        <v xml:space="preserve"> dailCompDescOccultist40=^pOccultist's Gift of DAIL</v>
      </c>
      <c r="AA42" t="str">
        <f t="shared" si="17"/>
        <v>dailCompTextOccultist40=^oThis feels warm to the touch, almost familiar ^w(This component only fits into the Medal Slot)</v>
      </c>
      <c r="AB42" s="5" t="s">
        <v>36</v>
      </c>
      <c r="AH42">
        <f t="shared" si="19"/>
        <v>37</v>
      </c>
      <c r="AI42">
        <f t="shared" si="22"/>
        <v>30</v>
      </c>
      <c r="AJ42">
        <f t="shared" si="18"/>
        <v>3</v>
      </c>
    </row>
    <row r="43" spans="1:36" x14ac:dyDescent="0.25">
      <c r="A43" s="5" t="s">
        <v>39</v>
      </c>
      <c r="B43" s="5" t="s">
        <v>30</v>
      </c>
      <c r="C43" s="5" t="str">
        <f t="shared" si="0"/>
        <v>description,dailCompDescOccultist41,</v>
      </c>
      <c r="D43" s="5" t="str">
        <f t="shared" si="2"/>
        <v>itemText,dailCompTextOccultist41,</v>
      </c>
      <c r="E43" s="5" t="str">
        <f t="shared" si="14"/>
        <v>augmentSkillLevel1,3,</v>
      </c>
      <c r="F43" s="5" t="str">
        <f t="shared" si="15"/>
        <v>augmentSkillName1,records/skills/playerclass03/evileye1.dbr,</v>
      </c>
      <c r="G43" s="7">
        <f t="shared" si="10"/>
        <v>41</v>
      </c>
      <c r="H43" s="8" t="str">
        <f t="shared" si="11"/>
        <v>Occultist</v>
      </c>
      <c r="I43" s="3" t="s">
        <v>105</v>
      </c>
      <c r="J43" s="8" t="str">
        <f t="shared" si="21"/>
        <v>class0003</v>
      </c>
      <c r="K43" s="8" t="str">
        <f t="shared" si="21"/>
        <v>dailoneskill0003</v>
      </c>
      <c r="L43" s="5" t="str">
        <f t="shared" si="4"/>
        <v>lootName41,DAIL/items/materia/class0003/Occultist41.dbr,</v>
      </c>
      <c r="M43" s="5" t="str">
        <f t="shared" si="5"/>
        <v>lootWeight41,1,</v>
      </c>
      <c r="N43" t="str">
        <f t="shared" si="6"/>
        <v>3</v>
      </c>
      <c r="O43" t="str">
        <f t="shared" si="16"/>
        <v>copy .\dail_base3.dbr .\items\materia\class0003\Occultist41.dbr /y</v>
      </c>
      <c r="P43" t="str">
        <f t="shared" si="7"/>
        <v>echo relicBitmap,items/craftingparts/components/component_a52_bristlyfur_b.tex, &gt;&gt; .\items\materia\class0003\Occultist41.dbr</v>
      </c>
      <c r="Q43" t="str">
        <f t="shared" si="7"/>
        <v>echo itemCost,500000, &gt;&gt; .\items\materia\class0003\Occultist41.dbr</v>
      </c>
      <c r="R43" t="str">
        <f t="shared" si="7"/>
        <v>echo description,dailCompDescOccultist41, &gt;&gt; .\items\materia\class0003\Occultist41.dbr</v>
      </c>
      <c r="S43" t="str">
        <f t="shared" si="7"/>
        <v>echo itemText,dailCompTextOccultist41, &gt;&gt; .\items\materia\class0003\Occultist41.dbr</v>
      </c>
      <c r="T43" t="str">
        <f t="shared" si="7"/>
        <v>echo augmentSkillLevel1,3, &gt;&gt; .\items\materia\class0003\Occultist41.dbr</v>
      </c>
      <c r="U43" t="str">
        <f t="shared" si="7"/>
        <v>echo augmentSkillName1,records/skills/playerclass03/evileye1.dbr, &gt;&gt; .\items\materia\class0003\Occultist41.dbr</v>
      </c>
      <c r="V43" s="5" t="s">
        <v>36</v>
      </c>
      <c r="W43" t="str">
        <f t="shared" si="8"/>
        <v>echo lootName41,DAIL/items/materia/class0003/Occultist41.dbr, &gt;&gt; .\items\loottables\dailoneskill0003.dbr</v>
      </c>
      <c r="X43" t="str">
        <f t="shared" si="8"/>
        <v>echo lootWeight41,1, &gt;&gt; .\items\loottables\dailoneskill0003.dbr</v>
      </c>
      <c r="Y43" s="5" t="s">
        <v>36</v>
      </c>
      <c r="Z43" t="str">
        <f t="shared" si="9"/>
        <v xml:space="preserve"> dailCompDescOccultist41=^pOccultist's Gift of DAIL</v>
      </c>
      <c r="AA43" t="str">
        <f t="shared" si="17"/>
        <v>dailCompTextOccultist41=^oThis feels warm to the touch, almost familiar ^w(This component only fits into the Medal Slot)</v>
      </c>
      <c r="AB43" s="5" t="s">
        <v>36</v>
      </c>
      <c r="AH43">
        <f t="shared" si="19"/>
        <v>38</v>
      </c>
      <c r="AI43">
        <f t="shared" si="22"/>
        <v>27</v>
      </c>
      <c r="AJ43">
        <f t="shared" si="18"/>
        <v>3</v>
      </c>
    </row>
    <row r="44" spans="1:36" x14ac:dyDescent="0.25">
      <c r="A44" s="5" t="s">
        <v>39</v>
      </c>
      <c r="B44" s="5" t="s">
        <v>30</v>
      </c>
      <c r="C44" s="5" t="str">
        <f t="shared" si="0"/>
        <v>description,dailCompDescOccultist42,</v>
      </c>
      <c r="D44" s="5" t="str">
        <f t="shared" si="2"/>
        <v>itemText,dailCompTextOccultist42,</v>
      </c>
      <c r="E44" s="5" t="str">
        <f t="shared" si="14"/>
        <v>augmentSkillLevel1,3,</v>
      </c>
      <c r="F44" s="5" t="str">
        <f t="shared" si="15"/>
        <v>augmentSkillName1,records/skills/playerclass03/evileye2.dbr,</v>
      </c>
      <c r="G44" s="7">
        <f t="shared" si="10"/>
        <v>42</v>
      </c>
      <c r="H44" s="8" t="str">
        <f t="shared" si="11"/>
        <v>Occultist</v>
      </c>
      <c r="I44" s="3" t="s">
        <v>290</v>
      </c>
      <c r="J44" s="8" t="str">
        <f t="shared" si="21"/>
        <v>class0003</v>
      </c>
      <c r="K44" s="8" t="str">
        <f t="shared" si="21"/>
        <v>dailoneskill0003</v>
      </c>
      <c r="L44" s="5" t="str">
        <f t="shared" si="4"/>
        <v>lootName42,DAIL/items/materia/class0003/Occultist42.dbr,</v>
      </c>
      <c r="M44" s="5" t="str">
        <f t="shared" si="5"/>
        <v>lootWeight42,1,</v>
      </c>
      <c r="N44" t="str">
        <f t="shared" si="6"/>
        <v>3</v>
      </c>
      <c r="O44" t="str">
        <f t="shared" si="16"/>
        <v>copy .\dail_base3.dbr .\items\materia\class0003\Occultist42.dbr /y</v>
      </c>
      <c r="P44" t="str">
        <f t="shared" si="7"/>
        <v>echo relicBitmap,items/craftingparts/components/component_a52_bristlyfur_b.tex, &gt;&gt; .\items\materia\class0003\Occultist42.dbr</v>
      </c>
      <c r="Q44" t="str">
        <f t="shared" si="7"/>
        <v>echo itemCost,500000, &gt;&gt; .\items\materia\class0003\Occultist42.dbr</v>
      </c>
      <c r="R44" t="str">
        <f t="shared" si="7"/>
        <v>echo description,dailCompDescOccultist42, &gt;&gt; .\items\materia\class0003\Occultist42.dbr</v>
      </c>
      <c r="S44" t="str">
        <f t="shared" si="7"/>
        <v>echo itemText,dailCompTextOccultist42, &gt;&gt; .\items\materia\class0003\Occultist42.dbr</v>
      </c>
      <c r="T44" t="str">
        <f t="shared" si="7"/>
        <v>echo augmentSkillLevel1,3, &gt;&gt; .\items\materia\class0003\Occultist42.dbr</v>
      </c>
      <c r="U44" t="str">
        <f t="shared" si="7"/>
        <v>echo augmentSkillName1,records/skills/playerclass03/evileye2.dbr, &gt;&gt; .\items\materia\class0003\Occultist42.dbr</v>
      </c>
      <c r="V44" s="5" t="s">
        <v>36</v>
      </c>
      <c r="W44" t="str">
        <f t="shared" si="8"/>
        <v>echo lootName42,DAIL/items/materia/class0003/Occultist42.dbr, &gt;&gt; .\items\loottables\dailoneskill0003.dbr</v>
      </c>
      <c r="X44" t="str">
        <f t="shared" si="8"/>
        <v>echo lootWeight42,1, &gt;&gt; .\items\loottables\dailoneskill0003.dbr</v>
      </c>
      <c r="Y44" s="5" t="s">
        <v>36</v>
      </c>
      <c r="Z44" t="str">
        <f t="shared" si="9"/>
        <v xml:space="preserve"> dailCompDescOccultist42=^pOccultist's Gift of DAIL</v>
      </c>
      <c r="AA44" t="str">
        <f t="shared" si="17"/>
        <v>dailCompTextOccultist42=^oThis feels warm to the touch, almost familiar ^w(This component only fits into the Medal Slot)</v>
      </c>
      <c r="AB44" s="5" t="s">
        <v>36</v>
      </c>
      <c r="AH44">
        <f t="shared" si="19"/>
        <v>39</v>
      </c>
      <c r="AI44">
        <f t="shared" si="22"/>
        <v>27</v>
      </c>
      <c r="AJ44">
        <f t="shared" si="18"/>
        <v>3</v>
      </c>
    </row>
    <row r="45" spans="1:36" x14ac:dyDescent="0.25">
      <c r="A45" s="5" t="s">
        <v>39</v>
      </c>
      <c r="B45" s="5" t="s">
        <v>30</v>
      </c>
      <c r="C45" s="5" t="str">
        <f t="shared" si="0"/>
        <v>description,dailCompDescOccultist43,</v>
      </c>
      <c r="D45" s="5" t="str">
        <f t="shared" si="2"/>
        <v>itemText,dailCompTextOccultist43,</v>
      </c>
      <c r="E45" s="5" t="str">
        <f t="shared" si="14"/>
        <v>augmentSkillLevel1,3,</v>
      </c>
      <c r="F45" s="5" t="str">
        <f t="shared" si="15"/>
        <v>augmentSkillName1,records/skills/playerclass03/evileye1b.dbr,</v>
      </c>
      <c r="G45" s="7">
        <f t="shared" si="10"/>
        <v>43</v>
      </c>
      <c r="H45" s="8" t="str">
        <f t="shared" si="11"/>
        <v>Occultist</v>
      </c>
      <c r="I45" s="3" t="s">
        <v>291</v>
      </c>
      <c r="J45" s="8" t="str">
        <f t="shared" si="21"/>
        <v>class0003</v>
      </c>
      <c r="K45" s="8" t="str">
        <f t="shared" si="21"/>
        <v>dailoneskill0003</v>
      </c>
      <c r="L45" s="5" t="str">
        <f t="shared" si="4"/>
        <v>lootName43,DAIL/items/materia/class0003/Occultist43.dbr,</v>
      </c>
      <c r="M45" s="5" t="str">
        <f t="shared" si="5"/>
        <v>lootWeight43,1,</v>
      </c>
      <c r="N45" t="str">
        <f t="shared" si="6"/>
        <v>3</v>
      </c>
      <c r="O45" t="str">
        <f t="shared" si="16"/>
        <v>copy .\dail_base3.dbr .\items\materia\class0003\Occultist43.dbr /y</v>
      </c>
      <c r="P45" t="str">
        <f t="shared" si="7"/>
        <v>echo relicBitmap,items/craftingparts/components/component_a52_bristlyfur_b.tex, &gt;&gt; .\items\materia\class0003\Occultist43.dbr</v>
      </c>
      <c r="Q45" t="str">
        <f t="shared" si="7"/>
        <v>echo itemCost,500000, &gt;&gt; .\items\materia\class0003\Occultist43.dbr</v>
      </c>
      <c r="R45" t="str">
        <f t="shared" si="7"/>
        <v>echo description,dailCompDescOccultist43, &gt;&gt; .\items\materia\class0003\Occultist43.dbr</v>
      </c>
      <c r="S45" t="str">
        <f t="shared" si="7"/>
        <v>echo itemText,dailCompTextOccultist43, &gt;&gt; .\items\materia\class0003\Occultist43.dbr</v>
      </c>
      <c r="T45" t="str">
        <f t="shared" si="7"/>
        <v>echo augmentSkillLevel1,3, &gt;&gt; .\items\materia\class0003\Occultist43.dbr</v>
      </c>
      <c r="U45" t="str">
        <f t="shared" si="7"/>
        <v>echo augmentSkillName1,records/skills/playerclass03/evileye1b.dbr, &gt;&gt; .\items\materia\class0003\Occultist43.dbr</v>
      </c>
      <c r="V45" s="5" t="s">
        <v>36</v>
      </c>
      <c r="W45" t="str">
        <f t="shared" si="8"/>
        <v>echo lootName43,DAIL/items/materia/class0003/Occultist43.dbr, &gt;&gt; .\items\loottables\dailoneskill0003.dbr</v>
      </c>
      <c r="X45" t="str">
        <f t="shared" si="8"/>
        <v>echo lootWeight43,1, &gt;&gt; .\items\loottables\dailoneskill0003.dbr</v>
      </c>
      <c r="Y45" s="5" t="s">
        <v>36</v>
      </c>
      <c r="Z45" t="str">
        <f t="shared" si="9"/>
        <v xml:space="preserve"> dailCompDescOccultist43=^pOccultist's Gift of DAIL</v>
      </c>
      <c r="AA45" t="str">
        <f t="shared" si="17"/>
        <v>dailCompTextOccultist43=^oThis feels warm to the touch, almost familiar ^w(This component only fits into the Medal Slot)</v>
      </c>
      <c r="AB45" s="5" t="s">
        <v>36</v>
      </c>
      <c r="AH45">
        <f t="shared" si="19"/>
        <v>40</v>
      </c>
      <c r="AI45">
        <f t="shared" si="22"/>
        <v>28</v>
      </c>
      <c r="AJ45">
        <f t="shared" si="18"/>
        <v>3</v>
      </c>
    </row>
    <row r="46" spans="1:36" x14ac:dyDescent="0.25">
      <c r="A46" s="5" t="s">
        <v>39</v>
      </c>
      <c r="B46" s="5" t="s">
        <v>30</v>
      </c>
      <c r="C46" s="5" t="str">
        <f t="shared" si="0"/>
        <v>description,dailCompDescOccultist44,</v>
      </c>
      <c r="D46" s="5" t="str">
        <f t="shared" si="2"/>
        <v>itemText,dailCompTextOccultist44,</v>
      </c>
      <c r="E46" s="5" t="str">
        <f t="shared" si="14"/>
        <v>augmentSkillLevel1,3,</v>
      </c>
      <c r="F46" s="5" t="str">
        <f t="shared" si="15"/>
        <v>augmentSkillName1,records/skills/playerclass03/summon_raven1.dbr,</v>
      </c>
      <c r="G46" s="7">
        <f t="shared" si="10"/>
        <v>44</v>
      </c>
      <c r="H46" s="8" t="str">
        <f t="shared" si="11"/>
        <v>Occultist</v>
      </c>
      <c r="I46" s="3" t="s">
        <v>110</v>
      </c>
      <c r="J46" s="8" t="str">
        <f t="shared" si="21"/>
        <v>class0003</v>
      </c>
      <c r="K46" s="8" t="str">
        <f t="shared" si="21"/>
        <v>dailoneskill0003</v>
      </c>
      <c r="L46" s="5" t="str">
        <f t="shared" si="4"/>
        <v>lootName44,DAIL/items/materia/class0003/Occultist44.dbr,</v>
      </c>
      <c r="M46" s="5" t="str">
        <f t="shared" si="5"/>
        <v>lootWeight44,1,</v>
      </c>
      <c r="N46" t="str">
        <f t="shared" si="6"/>
        <v>3</v>
      </c>
      <c r="O46" t="str">
        <f t="shared" si="16"/>
        <v>copy .\dail_base3.dbr .\items\materia\class0003\Occultist44.dbr /y</v>
      </c>
      <c r="P46" t="str">
        <f t="shared" si="7"/>
        <v>echo relicBitmap,items/craftingparts/components/component_a52_bristlyfur_b.tex, &gt;&gt; .\items\materia\class0003\Occultist44.dbr</v>
      </c>
      <c r="Q46" t="str">
        <f t="shared" si="7"/>
        <v>echo itemCost,500000, &gt;&gt; .\items\materia\class0003\Occultist44.dbr</v>
      </c>
      <c r="R46" t="str">
        <f t="shared" si="7"/>
        <v>echo description,dailCompDescOccultist44, &gt;&gt; .\items\materia\class0003\Occultist44.dbr</v>
      </c>
      <c r="S46" t="str">
        <f t="shared" si="7"/>
        <v>echo itemText,dailCompTextOccultist44, &gt;&gt; .\items\materia\class0003\Occultist44.dbr</v>
      </c>
      <c r="T46" t="str">
        <f t="shared" si="7"/>
        <v>echo augmentSkillLevel1,3, &gt;&gt; .\items\materia\class0003\Occultist44.dbr</v>
      </c>
      <c r="U46" t="str">
        <f t="shared" si="7"/>
        <v>echo augmentSkillName1,records/skills/playerclass03/summon_raven1.dbr, &gt;&gt; .\items\materia\class0003\Occultist44.dbr</v>
      </c>
      <c r="V46" s="5" t="s">
        <v>36</v>
      </c>
      <c r="W46" t="str">
        <f t="shared" si="8"/>
        <v>echo lootName44,DAIL/items/materia/class0003/Occultist44.dbr, &gt;&gt; .\items\loottables\dailoneskill0003.dbr</v>
      </c>
      <c r="X46" t="str">
        <f t="shared" si="8"/>
        <v>echo lootWeight44,1, &gt;&gt; .\items\loottables\dailoneskill0003.dbr</v>
      </c>
      <c r="Y46" s="5" t="s">
        <v>36</v>
      </c>
      <c r="Z46" t="str">
        <f t="shared" si="9"/>
        <v xml:space="preserve"> dailCompDescOccultist44=^pOccultist's Gift of DAIL</v>
      </c>
      <c r="AA46" t="str">
        <f t="shared" si="17"/>
        <v>dailCompTextOccultist44=^oThis feels warm to the touch, almost familiar ^w(This component only fits into the Medal Slot)</v>
      </c>
      <c r="AB46" s="5" t="s">
        <v>36</v>
      </c>
      <c r="AH46">
        <f t="shared" si="19"/>
        <v>41</v>
      </c>
      <c r="AI46">
        <f t="shared" si="22"/>
        <v>32</v>
      </c>
      <c r="AJ46">
        <f t="shared" si="18"/>
        <v>3</v>
      </c>
    </row>
    <row r="47" spans="1:36" x14ac:dyDescent="0.25">
      <c r="A47" s="5" t="s">
        <v>39</v>
      </c>
      <c r="B47" s="5" t="s">
        <v>30</v>
      </c>
      <c r="C47" s="5" t="str">
        <f t="shared" si="0"/>
        <v>description,dailCompDescOccultist45,</v>
      </c>
      <c r="D47" s="5" t="str">
        <f t="shared" si="2"/>
        <v>itemText,dailCompTextOccultist45,</v>
      </c>
      <c r="E47" s="5" t="str">
        <f t="shared" si="14"/>
        <v>augmentSkillLevel1,3,</v>
      </c>
      <c r="F47" s="5" t="str">
        <f t="shared" si="15"/>
        <v>augmentSkillName1,records/skills/playerclass03/evileye3.dbr,</v>
      </c>
      <c r="G47" s="7">
        <f t="shared" si="10"/>
        <v>45</v>
      </c>
      <c r="H47" s="8" t="str">
        <f t="shared" si="11"/>
        <v>Occultist</v>
      </c>
      <c r="I47" s="3" t="s">
        <v>292</v>
      </c>
      <c r="J47" s="8" t="str">
        <f t="shared" si="21"/>
        <v>class0003</v>
      </c>
      <c r="K47" s="8" t="str">
        <f t="shared" si="21"/>
        <v>dailoneskill0003</v>
      </c>
      <c r="L47" s="5" t="str">
        <f t="shared" si="4"/>
        <v>lootName45,DAIL/items/materia/class0003/Occultist45.dbr,</v>
      </c>
      <c r="M47" s="5" t="str">
        <f t="shared" si="5"/>
        <v>lootWeight45,1,</v>
      </c>
      <c r="N47" t="str">
        <f t="shared" si="6"/>
        <v>3</v>
      </c>
      <c r="O47" t="str">
        <f t="shared" si="16"/>
        <v>copy .\dail_base3.dbr .\items\materia\class0003\Occultist45.dbr /y</v>
      </c>
      <c r="P47" t="str">
        <f t="shared" si="7"/>
        <v>echo relicBitmap,items/craftingparts/components/component_a52_bristlyfur_b.tex, &gt;&gt; .\items\materia\class0003\Occultist45.dbr</v>
      </c>
      <c r="Q47" t="str">
        <f t="shared" si="7"/>
        <v>echo itemCost,500000, &gt;&gt; .\items\materia\class0003\Occultist45.dbr</v>
      </c>
      <c r="R47" t="str">
        <f t="shared" si="7"/>
        <v>echo description,dailCompDescOccultist45, &gt;&gt; .\items\materia\class0003\Occultist45.dbr</v>
      </c>
      <c r="S47" t="str">
        <f t="shared" si="7"/>
        <v>echo itemText,dailCompTextOccultist45, &gt;&gt; .\items\materia\class0003\Occultist45.dbr</v>
      </c>
      <c r="T47" t="str">
        <f t="shared" si="7"/>
        <v>echo augmentSkillLevel1,3, &gt;&gt; .\items\materia\class0003\Occultist45.dbr</v>
      </c>
      <c r="U47" t="str">
        <f t="shared" si="7"/>
        <v>echo augmentSkillName1,records/skills/playerclass03/evileye3.dbr, &gt;&gt; .\items\materia\class0003\Occultist45.dbr</v>
      </c>
      <c r="V47" s="5" t="s">
        <v>36</v>
      </c>
      <c r="W47" t="str">
        <f t="shared" si="8"/>
        <v>echo lootName45,DAIL/items/materia/class0003/Occultist45.dbr, &gt;&gt; .\items\loottables\dailoneskill0003.dbr</v>
      </c>
      <c r="X47" t="str">
        <f t="shared" si="8"/>
        <v>echo lootWeight45,1, &gt;&gt; .\items\loottables\dailoneskill0003.dbr</v>
      </c>
      <c r="Y47" s="5" t="s">
        <v>36</v>
      </c>
      <c r="Z47" t="str">
        <f t="shared" si="9"/>
        <v xml:space="preserve"> dailCompDescOccultist45=^pOccultist's Gift of DAIL</v>
      </c>
      <c r="AA47" t="str">
        <f t="shared" si="17"/>
        <v>dailCompTextOccultist45=^oThis feels warm to the touch, almost familiar ^w(This component only fits into the Medal Slot)</v>
      </c>
      <c r="AB47" s="5" t="s">
        <v>36</v>
      </c>
      <c r="AH47">
        <f t="shared" si="19"/>
        <v>42</v>
      </c>
      <c r="AI47">
        <f t="shared" si="22"/>
        <v>27</v>
      </c>
      <c r="AJ47">
        <f t="shared" si="18"/>
        <v>3</v>
      </c>
    </row>
    <row r="48" spans="1:36" x14ac:dyDescent="0.25">
      <c r="A48" s="5" t="s">
        <v>39</v>
      </c>
      <c r="B48" s="5" t="s">
        <v>30</v>
      </c>
      <c r="C48" s="5" t="str">
        <f t="shared" si="0"/>
        <v>description,dailCompDescOccultist46,</v>
      </c>
      <c r="D48" s="5" t="str">
        <f t="shared" si="2"/>
        <v>itemText,dailCompTextOccultist46,</v>
      </c>
      <c r="E48" s="5" t="str">
        <f t="shared" si="14"/>
        <v>augmentSkillLevel1,3,</v>
      </c>
      <c r="F48" s="5" t="str">
        <f t="shared" si="15"/>
        <v>augmentSkillName1,records/skills/playerclass03/evileye4.dbr,</v>
      </c>
      <c r="G48" s="7">
        <f t="shared" si="10"/>
        <v>46</v>
      </c>
      <c r="H48" s="8" t="str">
        <f t="shared" si="11"/>
        <v>Occultist</v>
      </c>
      <c r="I48" s="3" t="s">
        <v>293</v>
      </c>
      <c r="J48" s="8" t="str">
        <f t="shared" si="21"/>
        <v>class0003</v>
      </c>
      <c r="K48" s="8" t="str">
        <f t="shared" si="21"/>
        <v>dailoneskill0003</v>
      </c>
      <c r="L48" s="5" t="str">
        <f t="shared" si="4"/>
        <v>lootName46,DAIL/items/materia/class0003/Occultist46.dbr,</v>
      </c>
      <c r="M48" s="5" t="str">
        <f t="shared" si="5"/>
        <v>lootWeight46,1,</v>
      </c>
      <c r="N48" t="str">
        <f t="shared" si="6"/>
        <v>3</v>
      </c>
      <c r="O48" t="str">
        <f t="shared" si="16"/>
        <v>copy .\dail_base3.dbr .\items\materia\class0003\Occultist46.dbr /y</v>
      </c>
      <c r="P48" t="str">
        <f t="shared" si="7"/>
        <v>echo relicBitmap,items/craftingparts/components/component_a52_bristlyfur_b.tex, &gt;&gt; .\items\materia\class0003\Occultist46.dbr</v>
      </c>
      <c r="Q48" t="str">
        <f t="shared" si="7"/>
        <v>echo itemCost,500000, &gt;&gt; .\items\materia\class0003\Occultist46.dbr</v>
      </c>
      <c r="R48" t="str">
        <f t="shared" si="7"/>
        <v>echo description,dailCompDescOccultist46, &gt;&gt; .\items\materia\class0003\Occultist46.dbr</v>
      </c>
      <c r="S48" t="str">
        <f t="shared" si="7"/>
        <v>echo itemText,dailCompTextOccultist46, &gt;&gt; .\items\materia\class0003\Occultist46.dbr</v>
      </c>
      <c r="T48" t="str">
        <f t="shared" si="7"/>
        <v>echo augmentSkillLevel1,3, &gt;&gt; .\items\materia\class0003\Occultist46.dbr</v>
      </c>
      <c r="U48" t="str">
        <f t="shared" si="7"/>
        <v>echo augmentSkillName1,records/skills/playerclass03/evileye4.dbr, &gt;&gt; .\items\materia\class0003\Occultist46.dbr</v>
      </c>
      <c r="V48" s="5" t="s">
        <v>36</v>
      </c>
      <c r="W48" t="str">
        <f t="shared" si="8"/>
        <v>echo lootName46,DAIL/items/materia/class0003/Occultist46.dbr, &gt;&gt; .\items\loottables\dailoneskill0003.dbr</v>
      </c>
      <c r="X48" t="str">
        <f t="shared" si="8"/>
        <v>echo lootWeight46,1, &gt;&gt; .\items\loottables\dailoneskill0003.dbr</v>
      </c>
      <c r="Y48" s="5" t="s">
        <v>36</v>
      </c>
      <c r="Z48" t="str">
        <f t="shared" si="9"/>
        <v xml:space="preserve"> dailCompDescOccultist46=^pOccultist's Gift of DAIL</v>
      </c>
      <c r="AA48" t="str">
        <f t="shared" si="17"/>
        <v>dailCompTextOccultist46=^oThis feels warm to the touch, almost familiar ^w(This component only fits into the Medal Slot)</v>
      </c>
      <c r="AB48" s="5" t="s">
        <v>36</v>
      </c>
      <c r="AH48">
        <f t="shared" si="19"/>
        <v>43</v>
      </c>
      <c r="AI48">
        <f t="shared" si="22"/>
        <v>27</v>
      </c>
      <c r="AJ48">
        <f t="shared" si="18"/>
        <v>3</v>
      </c>
    </row>
    <row r="49" spans="1:36" x14ac:dyDescent="0.25">
      <c r="A49" s="5" t="s">
        <v>39</v>
      </c>
      <c r="B49" s="5" t="s">
        <v>30</v>
      </c>
      <c r="C49" s="5" t="str">
        <f t="shared" si="0"/>
        <v>description,dailCompDescOccultist47,</v>
      </c>
      <c r="D49" s="5" t="str">
        <f t="shared" si="2"/>
        <v>itemText,dailCompTextOccultist47,</v>
      </c>
      <c r="E49" s="5" t="str">
        <f t="shared" si="14"/>
        <v>augmentSkillLevel1,3,</v>
      </c>
      <c r="F49" s="5" t="str">
        <f t="shared" si="15"/>
        <v>augmentSkillName1,records/skills/playerclass03/sigilofdestruction1.dbr,</v>
      </c>
      <c r="G49" s="7">
        <f t="shared" si="10"/>
        <v>47</v>
      </c>
      <c r="H49" s="8" t="str">
        <f t="shared" si="11"/>
        <v>Occultist</v>
      </c>
      <c r="I49" s="3" t="s">
        <v>108</v>
      </c>
      <c r="J49" s="8" t="str">
        <f t="shared" si="21"/>
        <v>class0003</v>
      </c>
      <c r="K49" s="8" t="str">
        <f t="shared" si="21"/>
        <v>dailoneskill0003</v>
      </c>
      <c r="L49" s="5" t="str">
        <f t="shared" si="4"/>
        <v>lootName47,DAIL/items/materia/class0003/Occultist47.dbr,</v>
      </c>
      <c r="M49" s="5" t="str">
        <f t="shared" si="5"/>
        <v>lootWeight47,1,</v>
      </c>
      <c r="N49" t="str">
        <f t="shared" si="6"/>
        <v>3</v>
      </c>
      <c r="O49" t="str">
        <f t="shared" si="16"/>
        <v>copy .\dail_base3.dbr .\items\materia\class0003\Occultist47.dbr /y</v>
      </c>
      <c r="P49" t="str">
        <f t="shared" si="7"/>
        <v>echo relicBitmap,items/craftingparts/components/component_a52_bristlyfur_b.tex, &gt;&gt; .\items\materia\class0003\Occultist47.dbr</v>
      </c>
      <c r="Q49" t="str">
        <f t="shared" si="7"/>
        <v>echo itemCost,500000, &gt;&gt; .\items\materia\class0003\Occultist47.dbr</v>
      </c>
      <c r="R49" t="str">
        <f t="shared" si="7"/>
        <v>echo description,dailCompDescOccultist47, &gt;&gt; .\items\materia\class0003\Occultist47.dbr</v>
      </c>
      <c r="S49" t="str">
        <f t="shared" si="7"/>
        <v>echo itemText,dailCompTextOccultist47, &gt;&gt; .\items\materia\class0003\Occultist47.dbr</v>
      </c>
      <c r="T49" t="str">
        <f t="shared" si="7"/>
        <v>echo augmentSkillLevel1,3, &gt;&gt; .\items\materia\class0003\Occultist47.dbr</v>
      </c>
      <c r="U49" t="str">
        <f t="shared" si="7"/>
        <v>echo augmentSkillName1,records/skills/playerclass03/sigilofdestruction1.dbr, &gt;&gt; .\items\materia\class0003\Occultist47.dbr</v>
      </c>
      <c r="V49" s="5" t="s">
        <v>36</v>
      </c>
      <c r="W49" t="str">
        <f t="shared" si="8"/>
        <v>echo lootName47,DAIL/items/materia/class0003/Occultist47.dbr, &gt;&gt; .\items\loottables\dailoneskill0003.dbr</v>
      </c>
      <c r="X49" t="str">
        <f t="shared" si="8"/>
        <v>echo lootWeight47,1, &gt;&gt; .\items\loottables\dailoneskill0003.dbr</v>
      </c>
      <c r="Y49" s="5" t="s">
        <v>36</v>
      </c>
      <c r="Z49" t="str">
        <f t="shared" si="9"/>
        <v xml:space="preserve"> dailCompDescOccultist47=^pOccultist's Gift of DAIL</v>
      </c>
      <c r="AA49" t="str">
        <f t="shared" si="17"/>
        <v>dailCompTextOccultist47=^oThis feels warm to the touch, almost familiar ^w(This component only fits into the Medal Slot)</v>
      </c>
      <c r="AB49" s="5" t="s">
        <v>36</v>
      </c>
      <c r="AH49">
        <f t="shared" si="19"/>
        <v>44</v>
      </c>
      <c r="AI49">
        <f t="shared" si="22"/>
        <v>38</v>
      </c>
      <c r="AJ49">
        <f t="shared" si="18"/>
        <v>3</v>
      </c>
    </row>
    <row r="50" spans="1:36" x14ac:dyDescent="0.25">
      <c r="A50" s="5" t="s">
        <v>39</v>
      </c>
      <c r="B50" s="5" t="s">
        <v>30</v>
      </c>
      <c r="C50" s="5" t="str">
        <f t="shared" si="0"/>
        <v>description,dailCompDescOccultist48,</v>
      </c>
      <c r="D50" s="5" t="str">
        <f t="shared" si="2"/>
        <v>itemText,dailCompTextOccultist48,</v>
      </c>
      <c r="E50" s="5" t="str">
        <f t="shared" si="14"/>
        <v>augmentSkillLevel1,3,</v>
      </c>
      <c r="F50" s="5" t="str">
        <f t="shared" si="15"/>
        <v>augmentSkillName1,records/skills/playerclass03/sigilofdestruction2.dbr,</v>
      </c>
      <c r="G50" s="7">
        <f t="shared" si="10"/>
        <v>48</v>
      </c>
      <c r="H50" s="8" t="str">
        <f t="shared" si="11"/>
        <v>Occultist</v>
      </c>
      <c r="I50" s="3" t="s">
        <v>294</v>
      </c>
      <c r="J50" s="8" t="str">
        <f t="shared" si="21"/>
        <v>class0003</v>
      </c>
      <c r="K50" s="8" t="str">
        <f t="shared" si="21"/>
        <v>dailoneskill0003</v>
      </c>
      <c r="L50" s="5" t="str">
        <f t="shared" si="4"/>
        <v>lootName48,DAIL/items/materia/class0003/Occultist48.dbr,</v>
      </c>
      <c r="M50" s="5" t="str">
        <f t="shared" si="5"/>
        <v>lootWeight48,1,</v>
      </c>
      <c r="N50" t="str">
        <f t="shared" si="6"/>
        <v>3</v>
      </c>
      <c r="O50" t="str">
        <f t="shared" si="16"/>
        <v>copy .\dail_base3.dbr .\items\materia\class0003\Occultist48.dbr /y</v>
      </c>
      <c r="P50" t="str">
        <f t="shared" si="7"/>
        <v>echo relicBitmap,items/craftingparts/components/component_a52_bristlyfur_b.tex, &gt;&gt; .\items\materia\class0003\Occultist48.dbr</v>
      </c>
      <c r="Q50" t="str">
        <f t="shared" si="7"/>
        <v>echo itemCost,500000, &gt;&gt; .\items\materia\class0003\Occultist48.dbr</v>
      </c>
      <c r="R50" t="str">
        <f t="shared" si="7"/>
        <v>echo description,dailCompDescOccultist48, &gt;&gt; .\items\materia\class0003\Occultist48.dbr</v>
      </c>
      <c r="S50" t="str">
        <f t="shared" si="7"/>
        <v>echo itemText,dailCompTextOccultist48, &gt;&gt; .\items\materia\class0003\Occultist48.dbr</v>
      </c>
      <c r="T50" t="str">
        <f t="shared" si="7"/>
        <v>echo augmentSkillLevel1,3, &gt;&gt; .\items\materia\class0003\Occultist48.dbr</v>
      </c>
      <c r="U50" t="str">
        <f t="shared" si="7"/>
        <v>echo augmentSkillName1,records/skills/playerclass03/sigilofdestruction2.dbr, &gt;&gt; .\items\materia\class0003\Occultist48.dbr</v>
      </c>
      <c r="V50" s="5" t="s">
        <v>36</v>
      </c>
      <c r="W50" t="str">
        <f t="shared" si="8"/>
        <v>echo lootName48,DAIL/items/materia/class0003/Occultist48.dbr, &gt;&gt; .\items\loottables\dailoneskill0003.dbr</v>
      </c>
      <c r="X50" t="str">
        <f t="shared" si="8"/>
        <v>echo lootWeight48,1, &gt;&gt; .\items\loottables\dailoneskill0003.dbr</v>
      </c>
      <c r="Y50" s="5" t="s">
        <v>36</v>
      </c>
      <c r="Z50" t="str">
        <f t="shared" si="9"/>
        <v xml:space="preserve"> dailCompDescOccultist48=^pOccultist's Gift of DAIL</v>
      </c>
      <c r="AA50" t="str">
        <f t="shared" si="17"/>
        <v>dailCompTextOccultist48=^oThis feels warm to the touch, almost familiar ^w(This component only fits into the Medal Slot)</v>
      </c>
      <c r="AB50" s="5" t="s">
        <v>36</v>
      </c>
      <c r="AH50">
        <f t="shared" si="19"/>
        <v>45</v>
      </c>
      <c r="AI50">
        <f t="shared" si="22"/>
        <v>38</v>
      </c>
      <c r="AJ50">
        <f t="shared" si="18"/>
        <v>3</v>
      </c>
    </row>
    <row r="51" spans="1:36" x14ac:dyDescent="0.25">
      <c r="A51" s="5" t="s">
        <v>39</v>
      </c>
      <c r="B51" s="5" t="s">
        <v>30</v>
      </c>
      <c r="C51" s="5" t="str">
        <f t="shared" si="0"/>
        <v>description,dailCompDescOccultist49,</v>
      </c>
      <c r="D51" s="5" t="str">
        <f t="shared" si="2"/>
        <v>itemText,dailCompTextOccultist49,</v>
      </c>
      <c r="E51" s="5" t="str">
        <f t="shared" si="14"/>
        <v>augmentSkillLevel1,3,</v>
      </c>
      <c r="F51" s="5" t="str">
        <f t="shared" si="15"/>
        <v>augmentSkillName1,records/skills/playerclass03/pox1.dbr,</v>
      </c>
      <c r="G51" s="7">
        <f t="shared" si="10"/>
        <v>49</v>
      </c>
      <c r="H51" s="8" t="str">
        <f t="shared" si="11"/>
        <v>Occultist</v>
      </c>
      <c r="I51" s="3" t="s">
        <v>107</v>
      </c>
      <c r="J51" s="8" t="str">
        <f t="shared" si="21"/>
        <v>class0003</v>
      </c>
      <c r="K51" s="8" t="str">
        <f t="shared" si="21"/>
        <v>dailoneskill0003</v>
      </c>
      <c r="L51" s="5" t="str">
        <f t="shared" si="4"/>
        <v>lootName49,DAIL/items/materia/class0003/Occultist49.dbr,</v>
      </c>
      <c r="M51" s="5" t="str">
        <f t="shared" si="5"/>
        <v>lootWeight49,1,</v>
      </c>
      <c r="N51" t="str">
        <f t="shared" si="6"/>
        <v>3</v>
      </c>
      <c r="O51" t="str">
        <f t="shared" si="16"/>
        <v>copy .\dail_base3.dbr .\items\materia\class0003\Occultist49.dbr /y</v>
      </c>
      <c r="P51" t="str">
        <f t="shared" si="7"/>
        <v>echo relicBitmap,items/craftingparts/components/component_a52_bristlyfur_b.tex, &gt;&gt; .\items\materia\class0003\Occultist49.dbr</v>
      </c>
      <c r="Q51" t="str">
        <f t="shared" si="7"/>
        <v>echo itemCost,500000, &gt;&gt; .\items\materia\class0003\Occultist49.dbr</v>
      </c>
      <c r="R51" t="str">
        <f t="shared" si="7"/>
        <v>echo description,dailCompDescOccultist49, &gt;&gt; .\items\materia\class0003\Occultist49.dbr</v>
      </c>
      <c r="S51" t="str">
        <f t="shared" si="7"/>
        <v>echo itemText,dailCompTextOccultist49, &gt;&gt; .\items\materia\class0003\Occultist49.dbr</v>
      </c>
      <c r="T51" t="str">
        <f t="shared" si="7"/>
        <v>echo augmentSkillLevel1,3, &gt;&gt; .\items\materia\class0003\Occultist49.dbr</v>
      </c>
      <c r="U51" t="str">
        <f t="shared" si="7"/>
        <v>echo augmentSkillName1,records/skills/playerclass03/pox1.dbr, &gt;&gt; .\items\materia\class0003\Occultist49.dbr</v>
      </c>
      <c r="V51" s="5" t="s">
        <v>36</v>
      </c>
      <c r="W51" t="str">
        <f t="shared" si="8"/>
        <v>echo lootName49,DAIL/items/materia/class0003/Occultist49.dbr, &gt;&gt; .\items\loottables\dailoneskill0003.dbr</v>
      </c>
      <c r="X51" t="str">
        <f t="shared" si="8"/>
        <v>echo lootWeight49,1, &gt;&gt; .\items\loottables\dailoneskill0003.dbr</v>
      </c>
      <c r="Y51" s="5" t="s">
        <v>36</v>
      </c>
      <c r="Z51" t="str">
        <f t="shared" si="9"/>
        <v xml:space="preserve"> dailCompDescOccultist49=^pOccultist's Gift of DAIL</v>
      </c>
      <c r="AA51" t="str">
        <f t="shared" si="17"/>
        <v>dailCompTextOccultist49=^oThis feels warm to the touch, almost familiar ^w(This component only fits into the Medal Slot)</v>
      </c>
      <c r="AB51" s="5" t="s">
        <v>36</v>
      </c>
      <c r="AH51">
        <f t="shared" si="19"/>
        <v>46</v>
      </c>
      <c r="AI51">
        <f t="shared" si="22"/>
        <v>23</v>
      </c>
      <c r="AJ51">
        <f t="shared" si="18"/>
        <v>3</v>
      </c>
    </row>
    <row r="52" spans="1:36" x14ac:dyDescent="0.25">
      <c r="A52" s="5" t="s">
        <v>39</v>
      </c>
      <c r="B52" s="5" t="s">
        <v>30</v>
      </c>
      <c r="C52" s="5" t="str">
        <f t="shared" si="0"/>
        <v>description,dailCompDescOccultist50,</v>
      </c>
      <c r="D52" s="5" t="str">
        <f t="shared" si="2"/>
        <v>itemText,dailCompTextOccultist50,</v>
      </c>
      <c r="E52" s="5" t="str">
        <f t="shared" si="14"/>
        <v>augmentSkillLevel1,3,</v>
      </c>
      <c r="F52" s="5" t="str">
        <f t="shared" si="15"/>
        <v>augmentSkillName1,records/skills/playerclass03/pox1b.dbr,</v>
      </c>
      <c r="G52" s="7">
        <f t="shared" si="10"/>
        <v>50</v>
      </c>
      <c r="H52" s="8" t="str">
        <f t="shared" si="11"/>
        <v>Occultist</v>
      </c>
      <c r="I52" s="3" t="s">
        <v>295</v>
      </c>
      <c r="J52" s="8" t="str">
        <f t="shared" si="21"/>
        <v>class0003</v>
      </c>
      <c r="K52" s="8" t="str">
        <f t="shared" si="21"/>
        <v>dailoneskill0003</v>
      </c>
      <c r="L52" s="5" t="str">
        <f t="shared" si="4"/>
        <v>lootName50,DAIL/items/materia/class0003/Occultist50.dbr,</v>
      </c>
      <c r="M52" s="5" t="str">
        <f t="shared" si="5"/>
        <v>lootWeight50,1,</v>
      </c>
      <c r="N52" t="str">
        <f t="shared" si="6"/>
        <v>3</v>
      </c>
      <c r="O52" t="str">
        <f t="shared" si="16"/>
        <v>copy .\dail_base3.dbr .\items\materia\class0003\Occultist50.dbr /y</v>
      </c>
      <c r="P52" t="str">
        <f t="shared" si="7"/>
        <v>echo relicBitmap,items/craftingparts/components/component_a52_bristlyfur_b.tex, &gt;&gt; .\items\materia\class0003\Occultist50.dbr</v>
      </c>
      <c r="Q52" t="str">
        <f t="shared" si="7"/>
        <v>echo itemCost,500000, &gt;&gt; .\items\materia\class0003\Occultist50.dbr</v>
      </c>
      <c r="R52" t="str">
        <f t="shared" si="7"/>
        <v>echo description,dailCompDescOccultist50, &gt;&gt; .\items\materia\class0003\Occultist50.dbr</v>
      </c>
      <c r="S52" t="str">
        <f t="shared" si="7"/>
        <v>echo itemText,dailCompTextOccultist50, &gt;&gt; .\items\materia\class0003\Occultist50.dbr</v>
      </c>
      <c r="T52" t="str">
        <f t="shared" si="7"/>
        <v>echo augmentSkillLevel1,3, &gt;&gt; .\items\materia\class0003\Occultist50.dbr</v>
      </c>
      <c r="U52" t="str">
        <f t="shared" si="7"/>
        <v>echo augmentSkillName1,records/skills/playerclass03/pox1b.dbr, &gt;&gt; .\items\materia\class0003\Occultist50.dbr</v>
      </c>
      <c r="V52" s="5" t="s">
        <v>36</v>
      </c>
      <c r="W52" t="str">
        <f t="shared" si="8"/>
        <v>echo lootName50,DAIL/items/materia/class0003/Occultist50.dbr, &gt;&gt; .\items\loottables\dailoneskill0003.dbr</v>
      </c>
      <c r="X52" t="str">
        <f t="shared" si="8"/>
        <v>echo lootWeight50,1, &gt;&gt; .\items\loottables\dailoneskill0003.dbr</v>
      </c>
      <c r="Y52" s="5" t="s">
        <v>36</v>
      </c>
      <c r="Z52" t="str">
        <f t="shared" si="9"/>
        <v xml:space="preserve"> dailCompDescOccultist50=^pOccultist's Gift of DAIL</v>
      </c>
      <c r="AA52" t="str">
        <f t="shared" si="17"/>
        <v>dailCompTextOccultist50=^oThis feels warm to the touch, almost familiar ^w(This component only fits into the Medal Slot)</v>
      </c>
      <c r="AB52" s="5" t="s">
        <v>36</v>
      </c>
      <c r="AH52">
        <f t="shared" si="19"/>
        <v>47</v>
      </c>
      <c r="AI52">
        <f t="shared" si="22"/>
        <v>24</v>
      </c>
      <c r="AJ52">
        <f t="shared" si="18"/>
        <v>3</v>
      </c>
    </row>
    <row r="53" spans="1:36" x14ac:dyDescent="0.25">
      <c r="A53" s="5" t="s">
        <v>39</v>
      </c>
      <c r="B53" s="5" t="s">
        <v>30</v>
      </c>
      <c r="C53" s="5" t="str">
        <f t="shared" si="0"/>
        <v>description,dailCompDescOccultist51,</v>
      </c>
      <c r="D53" s="5" t="str">
        <f t="shared" si="2"/>
        <v>itemText,dailCompTextOccultist51,</v>
      </c>
      <c r="E53" s="5" t="str">
        <f t="shared" si="14"/>
        <v>augmentSkillLevel1,3,</v>
      </c>
      <c r="F53" s="5" t="str">
        <f t="shared" si="15"/>
        <v>augmentSkillName1,records/skills/playerclass03/pox2.dbr,</v>
      </c>
      <c r="G53" s="7">
        <f t="shared" si="10"/>
        <v>51</v>
      </c>
      <c r="H53" s="8" t="str">
        <f t="shared" si="11"/>
        <v>Occultist</v>
      </c>
      <c r="I53" s="3" t="s">
        <v>296</v>
      </c>
      <c r="J53" s="8" t="str">
        <f t="shared" ref="J53:K68" si="23">J52</f>
        <v>class0003</v>
      </c>
      <c r="K53" s="8" t="str">
        <f t="shared" si="23"/>
        <v>dailoneskill0003</v>
      </c>
      <c r="L53" s="5" t="str">
        <f t="shared" si="4"/>
        <v>lootName51,DAIL/items/materia/class0003/Occultist51.dbr,</v>
      </c>
      <c r="M53" s="5" t="str">
        <f t="shared" si="5"/>
        <v>lootWeight51,1,</v>
      </c>
      <c r="N53" t="str">
        <f t="shared" si="6"/>
        <v>3</v>
      </c>
      <c r="O53" t="str">
        <f t="shared" si="16"/>
        <v>copy .\dail_base3.dbr .\items\materia\class0003\Occultist51.dbr /y</v>
      </c>
      <c r="P53" t="str">
        <f t="shared" si="7"/>
        <v>echo relicBitmap,items/craftingparts/components/component_a52_bristlyfur_b.tex, &gt;&gt; .\items\materia\class0003\Occultist51.dbr</v>
      </c>
      <c r="Q53" t="str">
        <f t="shared" si="7"/>
        <v>echo itemCost,500000, &gt;&gt; .\items\materia\class0003\Occultist51.dbr</v>
      </c>
      <c r="R53" t="str">
        <f t="shared" si="7"/>
        <v>echo description,dailCompDescOccultist51, &gt;&gt; .\items\materia\class0003\Occultist51.dbr</v>
      </c>
      <c r="S53" t="str">
        <f t="shared" si="7"/>
        <v>echo itemText,dailCompTextOccultist51, &gt;&gt; .\items\materia\class0003\Occultist51.dbr</v>
      </c>
      <c r="T53" t="str">
        <f t="shared" si="7"/>
        <v>echo augmentSkillLevel1,3, &gt;&gt; .\items\materia\class0003\Occultist51.dbr</v>
      </c>
      <c r="U53" t="str">
        <f t="shared" si="7"/>
        <v>echo augmentSkillName1,records/skills/playerclass03/pox2.dbr, &gt;&gt; .\items\materia\class0003\Occultist51.dbr</v>
      </c>
      <c r="V53" s="5" t="s">
        <v>36</v>
      </c>
      <c r="W53" t="str">
        <f t="shared" si="8"/>
        <v>echo lootName51,DAIL/items/materia/class0003/Occultist51.dbr, &gt;&gt; .\items\loottables\dailoneskill0003.dbr</v>
      </c>
      <c r="X53" t="str">
        <f t="shared" si="8"/>
        <v>echo lootWeight51,1, &gt;&gt; .\items\loottables\dailoneskill0003.dbr</v>
      </c>
      <c r="Y53" s="5" t="s">
        <v>36</v>
      </c>
      <c r="Z53" t="str">
        <f t="shared" si="9"/>
        <v xml:space="preserve"> dailCompDescOccultist51=^pOccultist's Gift of DAIL</v>
      </c>
      <c r="AA53" t="str">
        <f t="shared" si="17"/>
        <v>dailCompTextOccultist51=^oThis feels warm to the touch, almost familiar ^w(This component only fits into the Medal Slot)</v>
      </c>
      <c r="AB53" s="5" t="s">
        <v>36</v>
      </c>
      <c r="AH53">
        <f t="shared" si="19"/>
        <v>48</v>
      </c>
      <c r="AI53">
        <f t="shared" si="22"/>
        <v>23</v>
      </c>
      <c r="AJ53">
        <f t="shared" si="18"/>
        <v>3</v>
      </c>
    </row>
    <row r="54" spans="1:36" x14ac:dyDescent="0.25">
      <c r="A54" s="5" t="s">
        <v>39</v>
      </c>
      <c r="B54" s="5" t="s">
        <v>30</v>
      </c>
      <c r="C54" s="5" t="str">
        <f t="shared" si="0"/>
        <v>description,dailCompDescOccultist52,</v>
      </c>
      <c r="D54" s="5" t="str">
        <f t="shared" si="2"/>
        <v>itemText,dailCompTextOccultist52,</v>
      </c>
      <c r="E54" s="5" t="str">
        <f t="shared" si="14"/>
        <v>augmentSkillLevel1,3,</v>
      </c>
      <c r="F54" s="5" t="str">
        <f t="shared" si="15"/>
        <v>augmentSkillName1,records/skills/playerclass03/pox3.dbr,</v>
      </c>
      <c r="G54" s="7">
        <f t="shared" si="10"/>
        <v>52</v>
      </c>
      <c r="H54" s="8" t="str">
        <f t="shared" si="11"/>
        <v>Occultist</v>
      </c>
      <c r="I54" s="3" t="s">
        <v>297</v>
      </c>
      <c r="J54" s="8" t="str">
        <f t="shared" si="23"/>
        <v>class0003</v>
      </c>
      <c r="K54" s="8" t="str">
        <f t="shared" si="23"/>
        <v>dailoneskill0003</v>
      </c>
      <c r="L54" s="5" t="str">
        <f t="shared" si="4"/>
        <v>lootName52,DAIL/items/materia/class0003/Occultist52.dbr,</v>
      </c>
      <c r="M54" s="5" t="str">
        <f t="shared" si="5"/>
        <v>lootWeight52,1,</v>
      </c>
      <c r="N54" t="str">
        <f t="shared" si="6"/>
        <v>3</v>
      </c>
      <c r="O54" t="str">
        <f t="shared" si="16"/>
        <v>copy .\dail_base3.dbr .\items\materia\class0003\Occultist52.dbr /y</v>
      </c>
      <c r="P54" t="str">
        <f t="shared" si="7"/>
        <v>echo relicBitmap,items/craftingparts/components/component_a52_bristlyfur_b.tex, &gt;&gt; .\items\materia\class0003\Occultist52.dbr</v>
      </c>
      <c r="Q54" t="str">
        <f t="shared" si="7"/>
        <v>echo itemCost,500000, &gt;&gt; .\items\materia\class0003\Occultist52.dbr</v>
      </c>
      <c r="R54" t="str">
        <f t="shared" si="7"/>
        <v>echo description,dailCompDescOccultist52, &gt;&gt; .\items\materia\class0003\Occultist52.dbr</v>
      </c>
      <c r="S54" t="str">
        <f t="shared" si="7"/>
        <v>echo itemText,dailCompTextOccultist52, &gt;&gt; .\items\materia\class0003\Occultist52.dbr</v>
      </c>
      <c r="T54" t="str">
        <f t="shared" si="7"/>
        <v>echo augmentSkillLevel1,3, &gt;&gt; .\items\materia\class0003\Occultist52.dbr</v>
      </c>
      <c r="U54" t="str">
        <f t="shared" si="7"/>
        <v>echo augmentSkillName1,records/skills/playerclass03/pox3.dbr, &gt;&gt; .\items\materia\class0003\Occultist52.dbr</v>
      </c>
      <c r="V54" s="5" t="s">
        <v>36</v>
      </c>
      <c r="W54" t="str">
        <f t="shared" si="8"/>
        <v>echo lootName52,DAIL/items/materia/class0003/Occultist52.dbr, &gt;&gt; .\items\loottables\dailoneskill0003.dbr</v>
      </c>
      <c r="X54" t="str">
        <f t="shared" si="8"/>
        <v>echo lootWeight52,1, &gt;&gt; .\items\loottables\dailoneskill0003.dbr</v>
      </c>
      <c r="Y54" s="5" t="s">
        <v>36</v>
      </c>
      <c r="Z54" t="str">
        <f t="shared" si="9"/>
        <v xml:space="preserve"> dailCompDescOccultist52=^pOccultist's Gift of DAIL</v>
      </c>
      <c r="AA54" t="str">
        <f t="shared" si="17"/>
        <v>dailCompTextOccultist52=^oThis feels warm to the touch, almost familiar ^w(This component only fits into the Medal Slot)</v>
      </c>
      <c r="AB54" s="5" t="s">
        <v>36</v>
      </c>
      <c r="AH54">
        <f t="shared" si="19"/>
        <v>49</v>
      </c>
      <c r="AI54">
        <f t="shared" si="22"/>
        <v>23</v>
      </c>
      <c r="AJ54">
        <f t="shared" si="18"/>
        <v>3</v>
      </c>
    </row>
    <row r="55" spans="1:36" x14ac:dyDescent="0.25">
      <c r="A55" s="5" t="s">
        <v>39</v>
      </c>
      <c r="B55" s="5" t="s">
        <v>30</v>
      </c>
      <c r="C55" s="5" t="str">
        <f t="shared" si="0"/>
        <v>description,dailCompDescOccultist53,</v>
      </c>
      <c r="D55" s="5" t="str">
        <f t="shared" si="2"/>
        <v>itemText,dailCompTextOccultist53,</v>
      </c>
      <c r="E55" s="5" t="str">
        <f t="shared" si="14"/>
        <v>augmentSkillLevel1,3,</v>
      </c>
      <c r="F55" s="5" t="str">
        <f t="shared" si="15"/>
        <v>augmentSkillName1,records/skills/playerclass03/bondsofbysmiel1.dbr,</v>
      </c>
      <c r="G55" s="7">
        <f t="shared" si="10"/>
        <v>53</v>
      </c>
      <c r="H55" s="8" t="str">
        <f t="shared" si="11"/>
        <v>Occultist</v>
      </c>
      <c r="I55" s="3" t="s">
        <v>102</v>
      </c>
      <c r="J55" s="8" t="str">
        <f t="shared" si="23"/>
        <v>class0003</v>
      </c>
      <c r="K55" s="8" t="str">
        <f t="shared" si="23"/>
        <v>dailoneskill0003</v>
      </c>
      <c r="L55" s="5" t="str">
        <f t="shared" si="4"/>
        <v>lootName53,DAIL/items/materia/class0003/Occultist53.dbr,</v>
      </c>
      <c r="M55" s="5" t="str">
        <f t="shared" si="5"/>
        <v>lootWeight53,1,</v>
      </c>
      <c r="N55" t="str">
        <f t="shared" si="6"/>
        <v>3</v>
      </c>
      <c r="O55" t="str">
        <f t="shared" si="16"/>
        <v>copy .\dail_base3.dbr .\items\materia\class0003\Occultist53.dbr /y</v>
      </c>
      <c r="P55" t="str">
        <f t="shared" si="7"/>
        <v>echo relicBitmap,items/craftingparts/components/component_a52_bristlyfur_b.tex, &gt;&gt; .\items\materia\class0003\Occultist53.dbr</v>
      </c>
      <c r="Q55" t="str">
        <f t="shared" si="7"/>
        <v>echo itemCost,500000, &gt;&gt; .\items\materia\class0003\Occultist53.dbr</v>
      </c>
      <c r="R55" t="str">
        <f t="shared" si="7"/>
        <v>echo description,dailCompDescOccultist53, &gt;&gt; .\items\materia\class0003\Occultist53.dbr</v>
      </c>
      <c r="S55" t="str">
        <f t="shared" si="7"/>
        <v>echo itemText,dailCompTextOccultist53, &gt;&gt; .\items\materia\class0003\Occultist53.dbr</v>
      </c>
      <c r="T55" t="str">
        <f t="shared" si="7"/>
        <v>echo augmentSkillLevel1,3, &gt;&gt; .\items\materia\class0003\Occultist53.dbr</v>
      </c>
      <c r="U55" t="str">
        <f t="shared" si="7"/>
        <v>echo augmentSkillName1,records/skills/playerclass03/bondsofbysmiel1.dbr, &gt;&gt; .\items\materia\class0003\Occultist53.dbr</v>
      </c>
      <c r="V55" s="5" t="s">
        <v>36</v>
      </c>
      <c r="W55" t="str">
        <f t="shared" si="8"/>
        <v>echo lootName53,DAIL/items/materia/class0003/Occultist53.dbr, &gt;&gt; .\items\loottables\dailoneskill0003.dbr</v>
      </c>
      <c r="X55" t="str">
        <f t="shared" si="8"/>
        <v>echo lootWeight53,1, &gt;&gt; .\items\loottables\dailoneskill0003.dbr</v>
      </c>
      <c r="Y55" s="5" t="s">
        <v>36</v>
      </c>
      <c r="Z55" t="str">
        <f t="shared" si="9"/>
        <v xml:space="preserve"> dailCompDescOccultist53=^pOccultist's Gift of DAIL</v>
      </c>
      <c r="AA55" t="str">
        <f t="shared" si="17"/>
        <v>dailCompTextOccultist53=^oThis feels warm to the touch, almost familiar ^w(This component only fits into the Medal Slot)</v>
      </c>
      <c r="AB55" s="5" t="s">
        <v>36</v>
      </c>
      <c r="AH55">
        <f t="shared" si="19"/>
        <v>50</v>
      </c>
      <c r="AI55">
        <f t="shared" si="22"/>
        <v>34</v>
      </c>
      <c r="AJ55">
        <f t="shared" si="18"/>
        <v>3</v>
      </c>
    </row>
    <row r="56" spans="1:36" x14ac:dyDescent="0.25">
      <c r="A56" s="5" t="s">
        <v>39</v>
      </c>
      <c r="B56" s="5" t="s">
        <v>30</v>
      </c>
      <c r="C56" s="5" t="str">
        <f t="shared" si="0"/>
        <v>description,dailCompDescOccultist54,</v>
      </c>
      <c r="D56" s="5" t="str">
        <f t="shared" si="2"/>
        <v>itemText,dailCompTextOccultist54,</v>
      </c>
      <c r="E56" s="5" t="str">
        <f t="shared" si="14"/>
        <v>augmentSkillLevel1,3,</v>
      </c>
      <c r="F56" s="5" t="str">
        <f t="shared" si="15"/>
        <v>augmentSkillName1,records/skills/playerclass03/bondsofbysmiel2.dbr,</v>
      </c>
      <c r="G56" s="7">
        <f t="shared" si="10"/>
        <v>54</v>
      </c>
      <c r="H56" s="8" t="str">
        <f t="shared" si="11"/>
        <v>Occultist</v>
      </c>
      <c r="I56" s="3" t="s">
        <v>298</v>
      </c>
      <c r="J56" s="8" t="str">
        <f t="shared" si="23"/>
        <v>class0003</v>
      </c>
      <c r="K56" s="8" t="str">
        <f t="shared" si="23"/>
        <v>dailoneskill0003</v>
      </c>
      <c r="L56" s="5" t="str">
        <f t="shared" si="4"/>
        <v>lootName54,DAIL/items/materia/class0003/Occultist54.dbr,</v>
      </c>
      <c r="M56" s="5" t="str">
        <f t="shared" si="5"/>
        <v>lootWeight54,1,</v>
      </c>
      <c r="N56" t="str">
        <f t="shared" si="6"/>
        <v>3</v>
      </c>
      <c r="O56" t="str">
        <f t="shared" si="16"/>
        <v>copy .\dail_base3.dbr .\items\materia\class0003\Occultist54.dbr /y</v>
      </c>
      <c r="P56" t="str">
        <f t="shared" si="7"/>
        <v>echo relicBitmap,items/craftingparts/components/component_a52_bristlyfur_b.tex, &gt;&gt; .\items\materia\class0003\Occultist54.dbr</v>
      </c>
      <c r="Q56" t="str">
        <f t="shared" si="7"/>
        <v>echo itemCost,500000, &gt;&gt; .\items\materia\class0003\Occultist54.dbr</v>
      </c>
      <c r="R56" t="str">
        <f t="shared" si="7"/>
        <v>echo description,dailCompDescOccultist54, &gt;&gt; .\items\materia\class0003\Occultist54.dbr</v>
      </c>
      <c r="S56" t="str">
        <f t="shared" si="7"/>
        <v>echo itemText,dailCompTextOccultist54, &gt;&gt; .\items\materia\class0003\Occultist54.dbr</v>
      </c>
      <c r="T56" t="str">
        <f t="shared" si="7"/>
        <v>echo augmentSkillLevel1,3, &gt;&gt; .\items\materia\class0003\Occultist54.dbr</v>
      </c>
      <c r="U56" t="str">
        <f t="shared" si="7"/>
        <v>echo augmentSkillName1,records/skills/playerclass03/bondsofbysmiel2.dbr, &gt;&gt; .\items\materia\class0003\Occultist54.dbr</v>
      </c>
      <c r="V56" s="5" t="s">
        <v>36</v>
      </c>
      <c r="W56" t="str">
        <f t="shared" si="8"/>
        <v>echo lootName54,DAIL/items/materia/class0003/Occultist54.dbr, &gt;&gt; .\items\loottables\dailoneskill0003.dbr</v>
      </c>
      <c r="X56" t="str">
        <f t="shared" si="8"/>
        <v>echo lootWeight54,1, &gt;&gt; .\items\loottables\dailoneskill0003.dbr</v>
      </c>
      <c r="Y56" s="5" t="s">
        <v>36</v>
      </c>
      <c r="Z56" t="str">
        <f t="shared" si="9"/>
        <v xml:space="preserve"> dailCompDescOccultist54=^pOccultist's Gift of DAIL</v>
      </c>
      <c r="AA56" t="str">
        <f t="shared" si="17"/>
        <v>dailCompTextOccultist54=^oThis feels warm to the touch, almost familiar ^w(This component only fits into the Medal Slot)</v>
      </c>
      <c r="AB56" s="5" t="s">
        <v>36</v>
      </c>
      <c r="AH56">
        <f t="shared" si="19"/>
        <v>51</v>
      </c>
      <c r="AI56">
        <f t="shared" si="22"/>
        <v>34</v>
      </c>
      <c r="AJ56">
        <f t="shared" si="18"/>
        <v>3</v>
      </c>
    </row>
    <row r="57" spans="1:36" x14ac:dyDescent="0.25">
      <c r="A57" s="5" t="s">
        <v>39</v>
      </c>
      <c r="B57" s="5" t="s">
        <v>30</v>
      </c>
      <c r="C57" s="5" t="str">
        <f t="shared" si="0"/>
        <v>description,dailCompDescOccultist55,</v>
      </c>
      <c r="D57" s="5" t="str">
        <f t="shared" si="2"/>
        <v>itemText,dailCompTextOccultist55,</v>
      </c>
      <c r="E57" s="5" t="str">
        <f t="shared" si="14"/>
        <v>augmentSkillLevel1,3,</v>
      </c>
      <c r="F57" s="5" t="str">
        <f t="shared" si="15"/>
        <v>augmentSkillName1,records/skills/playerclass03/summon_raven2_petmodifier.dbr,</v>
      </c>
      <c r="G57" s="7">
        <f t="shared" si="10"/>
        <v>55</v>
      </c>
      <c r="H57" s="8" t="str">
        <f t="shared" si="11"/>
        <v>Occultist</v>
      </c>
      <c r="I57" s="3" t="s">
        <v>299</v>
      </c>
      <c r="J57" s="8" t="str">
        <f t="shared" si="23"/>
        <v>class0003</v>
      </c>
      <c r="K57" s="8" t="str">
        <f t="shared" si="23"/>
        <v>dailoneskill0003</v>
      </c>
      <c r="L57" s="5" t="str">
        <f t="shared" si="4"/>
        <v>lootName55,DAIL/items/materia/class0003/Occultist55.dbr,</v>
      </c>
      <c r="M57" s="5" t="str">
        <f t="shared" si="5"/>
        <v>lootWeight55,1,</v>
      </c>
      <c r="N57" t="str">
        <f t="shared" si="6"/>
        <v>3</v>
      </c>
      <c r="O57" t="str">
        <f t="shared" si="16"/>
        <v>copy .\dail_base3.dbr .\items\materia\class0003\Occultist55.dbr /y</v>
      </c>
      <c r="P57" t="str">
        <f t="shared" si="7"/>
        <v>echo relicBitmap,items/craftingparts/components/component_a52_bristlyfur_b.tex, &gt;&gt; .\items\materia\class0003\Occultist55.dbr</v>
      </c>
      <c r="Q57" t="str">
        <f t="shared" si="7"/>
        <v>echo itemCost,500000, &gt;&gt; .\items\materia\class0003\Occultist55.dbr</v>
      </c>
      <c r="R57" t="str">
        <f t="shared" si="7"/>
        <v>echo description,dailCompDescOccultist55, &gt;&gt; .\items\materia\class0003\Occultist55.dbr</v>
      </c>
      <c r="S57" t="str">
        <f t="shared" si="7"/>
        <v>echo itemText,dailCompTextOccultist55, &gt;&gt; .\items\materia\class0003\Occultist55.dbr</v>
      </c>
      <c r="T57" t="str">
        <f t="shared" si="7"/>
        <v>echo augmentSkillLevel1,3, &gt;&gt; .\items\materia\class0003\Occultist55.dbr</v>
      </c>
      <c r="U57" t="str">
        <f t="shared" si="7"/>
        <v>echo augmentSkillName1,records/skills/playerclass03/summon_raven2_petmodifier.dbr, &gt;&gt; .\items\materia\class0003\Occultist55.dbr</v>
      </c>
      <c r="V57" s="5" t="s">
        <v>36</v>
      </c>
      <c r="W57" t="str">
        <f t="shared" si="8"/>
        <v>echo lootName55,DAIL/items/materia/class0003/Occultist55.dbr, &gt;&gt; .\items\loottables\dailoneskill0003.dbr</v>
      </c>
      <c r="X57" t="str">
        <f t="shared" si="8"/>
        <v>echo lootWeight55,1, &gt;&gt; .\items\loottables\dailoneskill0003.dbr</v>
      </c>
      <c r="Y57" s="5" t="s">
        <v>36</v>
      </c>
      <c r="Z57" t="str">
        <f t="shared" si="9"/>
        <v xml:space="preserve"> dailCompDescOccultist55=^pOccultist's Gift of DAIL</v>
      </c>
      <c r="AA57" t="str">
        <f t="shared" si="17"/>
        <v>dailCompTextOccultist55=^oThis feels warm to the touch, almost familiar ^w(This component only fits into the Medal Slot)</v>
      </c>
      <c r="AB57" s="5" t="s">
        <v>36</v>
      </c>
      <c r="AH57">
        <f t="shared" si="19"/>
        <v>52</v>
      </c>
      <c r="AI57">
        <f t="shared" si="22"/>
        <v>44</v>
      </c>
      <c r="AJ57">
        <f t="shared" si="18"/>
        <v>3</v>
      </c>
    </row>
    <row r="58" spans="1:36" x14ac:dyDescent="0.25">
      <c r="A58" s="5" t="s">
        <v>39</v>
      </c>
      <c r="B58" s="5" t="s">
        <v>30</v>
      </c>
      <c r="C58" s="5" t="str">
        <f t="shared" si="0"/>
        <v>description,dailCompDescOccultist56,</v>
      </c>
      <c r="D58" s="5" t="str">
        <f t="shared" si="2"/>
        <v>itemText,dailCompTextOccultist56,</v>
      </c>
      <c r="E58" s="5" t="str">
        <f t="shared" si="14"/>
        <v>augmentSkillLevel1,3,</v>
      </c>
      <c r="F58" s="5" t="str">
        <f t="shared" si="15"/>
        <v>augmentSkillName1,records/skills/playerclass03/curse1.dbr,</v>
      </c>
      <c r="G58" s="7">
        <f t="shared" si="10"/>
        <v>56</v>
      </c>
      <c r="H58" s="8" t="str">
        <f t="shared" si="11"/>
        <v>Occultist</v>
      </c>
      <c r="I58" s="3" t="s">
        <v>103</v>
      </c>
      <c r="J58" s="8" t="str">
        <f t="shared" si="23"/>
        <v>class0003</v>
      </c>
      <c r="K58" s="8" t="str">
        <f t="shared" si="23"/>
        <v>dailoneskill0003</v>
      </c>
      <c r="L58" s="5" t="str">
        <f t="shared" si="4"/>
        <v>lootName56,DAIL/items/materia/class0003/Occultist56.dbr,</v>
      </c>
      <c r="M58" s="5" t="str">
        <f t="shared" si="5"/>
        <v>lootWeight56,1,</v>
      </c>
      <c r="N58" t="str">
        <f t="shared" si="6"/>
        <v>3</v>
      </c>
      <c r="O58" t="str">
        <f t="shared" si="16"/>
        <v>copy .\dail_base3.dbr .\items\materia\class0003\Occultist56.dbr /y</v>
      </c>
      <c r="P58" t="str">
        <f t="shared" si="7"/>
        <v>echo relicBitmap,items/craftingparts/components/component_a52_bristlyfur_b.tex, &gt;&gt; .\items\materia\class0003\Occultist56.dbr</v>
      </c>
      <c r="Q58" t="str">
        <f t="shared" si="7"/>
        <v>echo itemCost,500000, &gt;&gt; .\items\materia\class0003\Occultist56.dbr</v>
      </c>
      <c r="R58" t="str">
        <f t="shared" si="7"/>
        <v>echo description,dailCompDescOccultist56, &gt;&gt; .\items\materia\class0003\Occultist56.dbr</v>
      </c>
      <c r="S58" t="str">
        <f t="shared" si="7"/>
        <v>echo itemText,dailCompTextOccultist56, &gt;&gt; .\items\materia\class0003\Occultist56.dbr</v>
      </c>
      <c r="T58" t="str">
        <f t="shared" si="7"/>
        <v>echo augmentSkillLevel1,3, &gt;&gt; .\items\materia\class0003\Occultist56.dbr</v>
      </c>
      <c r="U58" t="str">
        <f t="shared" si="7"/>
        <v>echo augmentSkillName1,records/skills/playerclass03/curse1.dbr, &gt;&gt; .\items\materia\class0003\Occultist56.dbr</v>
      </c>
      <c r="V58" s="5" t="s">
        <v>36</v>
      </c>
      <c r="W58" t="str">
        <f t="shared" si="8"/>
        <v>echo lootName56,DAIL/items/materia/class0003/Occultist56.dbr, &gt;&gt; .\items\loottables\dailoneskill0003.dbr</v>
      </c>
      <c r="X58" t="str">
        <f t="shared" si="8"/>
        <v>echo lootWeight56,1, &gt;&gt; .\items\loottables\dailoneskill0003.dbr</v>
      </c>
      <c r="Y58" s="5" t="s">
        <v>36</v>
      </c>
      <c r="Z58" t="str">
        <f t="shared" si="9"/>
        <v xml:space="preserve"> dailCompDescOccultist56=^pOccultist's Gift of DAIL</v>
      </c>
      <c r="AA58" t="str">
        <f t="shared" si="17"/>
        <v>dailCompTextOccultist56=^oThis feels warm to the touch, almost familiar ^w(This component only fits into the Medal Slot)</v>
      </c>
      <c r="AB58" s="5" t="s">
        <v>36</v>
      </c>
      <c r="AH58">
        <f t="shared" si="19"/>
        <v>53</v>
      </c>
      <c r="AI58">
        <f t="shared" si="22"/>
        <v>25</v>
      </c>
      <c r="AJ58">
        <f t="shared" si="18"/>
        <v>3</v>
      </c>
    </row>
    <row r="59" spans="1:36" x14ac:dyDescent="0.25">
      <c r="A59" s="5" t="s">
        <v>39</v>
      </c>
      <c r="B59" s="5" t="s">
        <v>30</v>
      </c>
      <c r="C59" s="5" t="str">
        <f t="shared" si="0"/>
        <v>description,dailCompDescOccultist57,</v>
      </c>
      <c r="D59" s="5" t="str">
        <f t="shared" si="2"/>
        <v>itemText,dailCompTextOccultist57,</v>
      </c>
      <c r="E59" s="5" t="str">
        <f t="shared" si="14"/>
        <v>augmentSkillLevel1,3,</v>
      </c>
      <c r="F59" s="5" t="str">
        <f t="shared" si="15"/>
        <v>augmentSkillName1,records/skills/playerclass03/curse2.dbr,</v>
      </c>
      <c r="G59" s="7">
        <f t="shared" si="10"/>
        <v>57</v>
      </c>
      <c r="H59" s="8" t="str">
        <f t="shared" si="11"/>
        <v>Occultist</v>
      </c>
      <c r="I59" s="3" t="s">
        <v>300</v>
      </c>
      <c r="J59" s="8" t="str">
        <f t="shared" si="23"/>
        <v>class0003</v>
      </c>
      <c r="K59" s="8" t="str">
        <f t="shared" si="23"/>
        <v>dailoneskill0003</v>
      </c>
      <c r="L59" s="5" t="str">
        <f t="shared" si="4"/>
        <v>lootName57,DAIL/items/materia/class0003/Occultist57.dbr,</v>
      </c>
      <c r="M59" s="5" t="str">
        <f t="shared" si="5"/>
        <v>lootWeight57,1,</v>
      </c>
      <c r="N59" t="str">
        <f t="shared" si="6"/>
        <v>3</v>
      </c>
      <c r="O59" t="str">
        <f t="shared" si="16"/>
        <v>copy .\dail_base3.dbr .\items\materia\class0003\Occultist57.dbr /y</v>
      </c>
      <c r="P59" t="str">
        <f t="shared" ref="P59:U101" si="24">IF($I59&lt;&gt;"","echo "&amp;A59&amp;" &gt;&gt; .\items\materia\"&amp;$J59&amp;"\"&amp;$H59&amp;$G59&amp;".dbr","")</f>
        <v>echo relicBitmap,items/craftingparts/components/component_a52_bristlyfur_b.tex, &gt;&gt; .\items\materia\class0003\Occultist57.dbr</v>
      </c>
      <c r="Q59" t="str">
        <f t="shared" si="24"/>
        <v>echo itemCost,500000, &gt;&gt; .\items\materia\class0003\Occultist57.dbr</v>
      </c>
      <c r="R59" t="str">
        <f t="shared" si="24"/>
        <v>echo description,dailCompDescOccultist57, &gt;&gt; .\items\materia\class0003\Occultist57.dbr</v>
      </c>
      <c r="S59" t="str">
        <f t="shared" si="24"/>
        <v>echo itemText,dailCompTextOccultist57, &gt;&gt; .\items\materia\class0003\Occultist57.dbr</v>
      </c>
      <c r="T59" t="str">
        <f t="shared" si="24"/>
        <v>echo augmentSkillLevel1,3, &gt;&gt; .\items\materia\class0003\Occultist57.dbr</v>
      </c>
      <c r="U59" t="str">
        <f t="shared" si="24"/>
        <v>echo augmentSkillName1,records/skills/playerclass03/curse2.dbr, &gt;&gt; .\items\materia\class0003\Occultist57.dbr</v>
      </c>
      <c r="V59" s="5" t="s">
        <v>36</v>
      </c>
      <c r="W59" t="str">
        <f t="shared" si="8"/>
        <v>echo lootName57,DAIL/items/materia/class0003/Occultist57.dbr, &gt;&gt; .\items\loottables\dailoneskill0003.dbr</v>
      </c>
      <c r="X59" t="str">
        <f t="shared" si="8"/>
        <v>echo lootWeight57,1, &gt;&gt; .\items\loottables\dailoneskill0003.dbr</v>
      </c>
      <c r="Y59" s="5" t="s">
        <v>36</v>
      </c>
      <c r="Z59" t="str">
        <f t="shared" si="9"/>
        <v xml:space="preserve"> dailCompDescOccultist57=^pOccultist's Gift of DAIL</v>
      </c>
      <c r="AA59" t="str">
        <f t="shared" si="17"/>
        <v>dailCompTextOccultist57=^oThis feels warm to the touch, almost familiar ^w(This component only fits into the Medal Slot)</v>
      </c>
      <c r="AB59" s="5" t="s">
        <v>36</v>
      </c>
      <c r="AH59">
        <f t="shared" si="19"/>
        <v>54</v>
      </c>
      <c r="AI59">
        <f t="shared" si="22"/>
        <v>25</v>
      </c>
      <c r="AJ59">
        <f t="shared" si="18"/>
        <v>3</v>
      </c>
    </row>
    <row r="60" spans="1:36" x14ac:dyDescent="0.25">
      <c r="A60" s="5" t="s">
        <v>39</v>
      </c>
      <c r="B60" s="5" t="s">
        <v>30</v>
      </c>
      <c r="C60" s="5" t="str">
        <f t="shared" si="0"/>
        <v>description,dailCompDescOccultist58,</v>
      </c>
      <c r="D60" s="5" t="str">
        <f t="shared" si="2"/>
        <v>itemText,dailCompTextOccultist58,</v>
      </c>
      <c r="E60" s="5" t="str">
        <f t="shared" si="14"/>
        <v>augmentSkillLevel1,3,</v>
      </c>
      <c r="F60" s="5" t="str">
        <f t="shared" si="15"/>
        <v>augmentSkillName1,records/skills/playerclass03/summon_raven3_petmodifier.dbr,</v>
      </c>
      <c r="G60" s="7">
        <f t="shared" si="10"/>
        <v>58</v>
      </c>
      <c r="H60" s="8" t="str">
        <f t="shared" si="11"/>
        <v>Occultist</v>
      </c>
      <c r="I60" s="3" t="s">
        <v>301</v>
      </c>
      <c r="J60" s="8" t="str">
        <f t="shared" si="23"/>
        <v>class0003</v>
      </c>
      <c r="K60" s="8" t="str">
        <f t="shared" si="23"/>
        <v>dailoneskill0003</v>
      </c>
      <c r="L60" s="5" t="str">
        <f t="shared" si="4"/>
        <v>lootName58,DAIL/items/materia/class0003/Occultist58.dbr,</v>
      </c>
      <c r="M60" s="5" t="str">
        <f t="shared" si="5"/>
        <v>lootWeight58,1,</v>
      </c>
      <c r="N60" t="str">
        <f t="shared" si="6"/>
        <v>3</v>
      </c>
      <c r="O60" t="str">
        <f t="shared" si="16"/>
        <v>copy .\dail_base3.dbr .\items\materia\class0003\Occultist58.dbr /y</v>
      </c>
      <c r="P60" t="str">
        <f t="shared" si="24"/>
        <v>echo relicBitmap,items/craftingparts/components/component_a52_bristlyfur_b.tex, &gt;&gt; .\items\materia\class0003\Occultist58.dbr</v>
      </c>
      <c r="Q60" t="str">
        <f t="shared" si="24"/>
        <v>echo itemCost,500000, &gt;&gt; .\items\materia\class0003\Occultist58.dbr</v>
      </c>
      <c r="R60" t="str">
        <f t="shared" si="24"/>
        <v>echo description,dailCompDescOccultist58, &gt;&gt; .\items\materia\class0003\Occultist58.dbr</v>
      </c>
      <c r="S60" t="str">
        <f t="shared" si="24"/>
        <v>echo itemText,dailCompTextOccultist58, &gt;&gt; .\items\materia\class0003\Occultist58.dbr</v>
      </c>
      <c r="T60" t="str">
        <f t="shared" si="24"/>
        <v>echo augmentSkillLevel1,3, &gt;&gt; .\items\materia\class0003\Occultist58.dbr</v>
      </c>
      <c r="U60" t="str">
        <f t="shared" si="24"/>
        <v>echo augmentSkillName1,records/skills/playerclass03/summon_raven3_petmodifier.dbr, &gt;&gt; .\items\materia\class0003\Occultist58.dbr</v>
      </c>
      <c r="V60" s="5" t="s">
        <v>36</v>
      </c>
      <c r="W60" t="str">
        <f t="shared" si="8"/>
        <v>echo lootName58,DAIL/items/materia/class0003/Occultist58.dbr, &gt;&gt; .\items\loottables\dailoneskill0003.dbr</v>
      </c>
      <c r="X60" t="str">
        <f t="shared" si="8"/>
        <v>echo lootWeight58,1, &gt;&gt; .\items\loottables\dailoneskill0003.dbr</v>
      </c>
      <c r="Y60" s="5" t="s">
        <v>36</v>
      </c>
      <c r="Z60" t="str">
        <f t="shared" si="9"/>
        <v xml:space="preserve"> dailCompDescOccultist58=^pOccultist's Gift of DAIL</v>
      </c>
      <c r="AA60" t="str">
        <f t="shared" si="17"/>
        <v>dailCompTextOccultist58=^oThis feels warm to the touch, almost familiar ^w(This component only fits into the Medal Slot)</v>
      </c>
      <c r="AB60" s="5" t="s">
        <v>36</v>
      </c>
      <c r="AH60">
        <f t="shared" si="19"/>
        <v>55</v>
      </c>
      <c r="AI60">
        <f t="shared" si="22"/>
        <v>44</v>
      </c>
      <c r="AJ60">
        <f t="shared" si="18"/>
        <v>3</v>
      </c>
    </row>
    <row r="61" spans="1:36" x14ac:dyDescent="0.25">
      <c r="A61" s="5" t="s">
        <v>39</v>
      </c>
      <c r="B61" s="5" t="s">
        <v>30</v>
      </c>
      <c r="C61" s="5" t="str">
        <f t="shared" si="0"/>
        <v>description,dailCompDescOccultist59,</v>
      </c>
      <c r="D61" s="5" t="str">
        <f t="shared" si="2"/>
        <v>itemText,dailCompTextOccultist59,</v>
      </c>
      <c r="E61" s="5" t="str">
        <f t="shared" si="14"/>
        <v>augmentSkillLevel1,3,</v>
      </c>
      <c r="F61" s="5" t="str">
        <f t="shared" si="15"/>
        <v>augmentSkillName1,records/skills/playerclass03/summon_raven4_petmodifier.dbr,</v>
      </c>
      <c r="G61" s="7">
        <f t="shared" si="10"/>
        <v>59</v>
      </c>
      <c r="H61" s="8" t="str">
        <f t="shared" si="11"/>
        <v>Occultist</v>
      </c>
      <c r="I61" s="3" t="s">
        <v>302</v>
      </c>
      <c r="J61" s="8" t="str">
        <f t="shared" si="23"/>
        <v>class0003</v>
      </c>
      <c r="K61" s="8" t="str">
        <f t="shared" si="23"/>
        <v>dailoneskill0003</v>
      </c>
      <c r="L61" s="5" t="str">
        <f t="shared" si="4"/>
        <v>lootName59,DAIL/items/materia/class0003/Occultist59.dbr,</v>
      </c>
      <c r="M61" s="5" t="str">
        <f t="shared" si="5"/>
        <v>lootWeight59,1,</v>
      </c>
      <c r="N61" t="str">
        <f t="shared" si="6"/>
        <v>3</v>
      </c>
      <c r="O61" t="str">
        <f t="shared" si="16"/>
        <v>copy .\dail_base3.dbr .\items\materia\class0003\Occultist59.dbr /y</v>
      </c>
      <c r="P61" t="str">
        <f t="shared" si="24"/>
        <v>echo relicBitmap,items/craftingparts/components/component_a52_bristlyfur_b.tex, &gt;&gt; .\items\materia\class0003\Occultist59.dbr</v>
      </c>
      <c r="Q61" t="str">
        <f t="shared" si="24"/>
        <v>echo itemCost,500000, &gt;&gt; .\items\materia\class0003\Occultist59.dbr</v>
      </c>
      <c r="R61" t="str">
        <f t="shared" si="24"/>
        <v>echo description,dailCompDescOccultist59, &gt;&gt; .\items\materia\class0003\Occultist59.dbr</v>
      </c>
      <c r="S61" t="str">
        <f t="shared" si="24"/>
        <v>echo itemText,dailCompTextOccultist59, &gt;&gt; .\items\materia\class0003\Occultist59.dbr</v>
      </c>
      <c r="T61" t="str">
        <f t="shared" si="24"/>
        <v>echo augmentSkillLevel1,3, &gt;&gt; .\items\materia\class0003\Occultist59.dbr</v>
      </c>
      <c r="U61" t="str">
        <f t="shared" si="24"/>
        <v>echo augmentSkillName1,records/skills/playerclass03/summon_raven4_petmodifier.dbr, &gt;&gt; .\items\materia\class0003\Occultist59.dbr</v>
      </c>
      <c r="V61" s="5" t="s">
        <v>36</v>
      </c>
      <c r="W61" t="str">
        <f t="shared" si="8"/>
        <v>echo lootName59,DAIL/items/materia/class0003/Occultist59.dbr, &gt;&gt; .\items\loottables\dailoneskill0003.dbr</v>
      </c>
      <c r="X61" t="str">
        <f t="shared" si="8"/>
        <v>echo lootWeight59,1, &gt;&gt; .\items\loottables\dailoneskill0003.dbr</v>
      </c>
      <c r="Y61" s="5" t="s">
        <v>36</v>
      </c>
      <c r="Z61" t="str">
        <f t="shared" si="9"/>
        <v xml:space="preserve"> dailCompDescOccultist59=^pOccultist's Gift of DAIL</v>
      </c>
      <c r="AA61" t="str">
        <f t="shared" si="17"/>
        <v>dailCompTextOccultist59=^oThis feels warm to the touch, almost familiar ^w(This component only fits into the Medal Slot)</v>
      </c>
      <c r="AB61" s="5" t="s">
        <v>36</v>
      </c>
      <c r="AH61">
        <f t="shared" si="19"/>
        <v>56</v>
      </c>
      <c r="AI61">
        <f t="shared" si="22"/>
        <v>44</v>
      </c>
      <c r="AJ61">
        <f t="shared" si="18"/>
        <v>3</v>
      </c>
    </row>
    <row r="62" spans="1:36" x14ac:dyDescent="0.25">
      <c r="A62" s="5" t="s">
        <v>39</v>
      </c>
      <c r="B62" s="5" t="s">
        <v>30</v>
      </c>
      <c r="C62" s="5" t="str">
        <f t="shared" si="0"/>
        <v>description,dailCompDescOccultist60,</v>
      </c>
      <c r="D62" s="5" t="str">
        <f t="shared" si="2"/>
        <v>itemText,dailCompTextOccultist60,</v>
      </c>
      <c r="E62" s="5" t="str">
        <f t="shared" si="14"/>
        <v>augmentSkillLevel1,3,</v>
      </c>
      <c r="F62" s="5" t="str">
        <f t="shared" si="15"/>
        <v>augmentSkillName1,records/skills/playerclass03/summon_hellhound1.dbr,</v>
      </c>
      <c r="G62" s="7">
        <f t="shared" si="10"/>
        <v>60</v>
      </c>
      <c r="H62" s="8" t="str">
        <f t="shared" si="11"/>
        <v>Occultist</v>
      </c>
      <c r="I62" s="3" t="s">
        <v>109</v>
      </c>
      <c r="J62" s="8" t="str">
        <f t="shared" si="23"/>
        <v>class0003</v>
      </c>
      <c r="K62" s="8" t="str">
        <f t="shared" si="23"/>
        <v>dailoneskill0003</v>
      </c>
      <c r="L62" s="5" t="str">
        <f t="shared" si="4"/>
        <v>lootName60,DAIL/items/materia/class0003/Occultist60.dbr,</v>
      </c>
      <c r="M62" s="5" t="str">
        <f t="shared" si="5"/>
        <v>lootWeight60,1,</v>
      </c>
      <c r="N62" t="str">
        <f t="shared" si="6"/>
        <v>3</v>
      </c>
      <c r="O62" t="str">
        <f t="shared" si="16"/>
        <v>copy .\dail_base3.dbr .\items\materia\class0003\Occultist60.dbr /y</v>
      </c>
      <c r="P62" t="str">
        <f t="shared" si="24"/>
        <v>echo relicBitmap,items/craftingparts/components/component_a52_bristlyfur_b.tex, &gt;&gt; .\items\materia\class0003\Occultist60.dbr</v>
      </c>
      <c r="Q62" t="str">
        <f t="shared" si="24"/>
        <v>echo itemCost,500000, &gt;&gt; .\items\materia\class0003\Occultist60.dbr</v>
      </c>
      <c r="R62" t="str">
        <f t="shared" si="24"/>
        <v>echo description,dailCompDescOccultist60, &gt;&gt; .\items\materia\class0003\Occultist60.dbr</v>
      </c>
      <c r="S62" t="str">
        <f t="shared" si="24"/>
        <v>echo itemText,dailCompTextOccultist60, &gt;&gt; .\items\materia\class0003\Occultist60.dbr</v>
      </c>
      <c r="T62" t="str">
        <f t="shared" si="24"/>
        <v>echo augmentSkillLevel1,3, &gt;&gt; .\items\materia\class0003\Occultist60.dbr</v>
      </c>
      <c r="U62" t="str">
        <f t="shared" si="24"/>
        <v>echo augmentSkillName1,records/skills/playerclass03/summon_hellhound1.dbr, &gt;&gt; .\items\materia\class0003\Occultist60.dbr</v>
      </c>
      <c r="V62" s="5" t="s">
        <v>36</v>
      </c>
      <c r="W62" t="str">
        <f t="shared" si="8"/>
        <v>echo lootName60,DAIL/items/materia/class0003/Occultist60.dbr, &gt;&gt; .\items\loottables\dailoneskill0003.dbr</v>
      </c>
      <c r="X62" t="str">
        <f t="shared" si="8"/>
        <v>echo lootWeight60,1, &gt;&gt; .\items\loottables\dailoneskill0003.dbr</v>
      </c>
      <c r="Y62" s="5" t="s">
        <v>36</v>
      </c>
      <c r="Z62" t="str">
        <f t="shared" si="9"/>
        <v xml:space="preserve"> dailCompDescOccultist60=^pOccultist's Gift of DAIL</v>
      </c>
      <c r="AA62" t="str">
        <f t="shared" si="17"/>
        <v>dailCompTextOccultist60=^oThis feels warm to the touch, almost familiar ^w(This component only fits into the Medal Slot)</v>
      </c>
      <c r="AB62" s="5" t="s">
        <v>36</v>
      </c>
      <c r="AH62">
        <f t="shared" si="19"/>
        <v>57</v>
      </c>
      <c r="AI62">
        <f t="shared" si="22"/>
        <v>36</v>
      </c>
      <c r="AJ62">
        <f t="shared" si="18"/>
        <v>3</v>
      </c>
    </row>
    <row r="63" spans="1:36" x14ac:dyDescent="0.25">
      <c r="A63" s="5" t="s">
        <v>39</v>
      </c>
      <c r="B63" s="5" t="s">
        <v>30</v>
      </c>
      <c r="C63" s="5" t="str">
        <f t="shared" si="0"/>
        <v>description,dailCompDescOccultist61,</v>
      </c>
      <c r="D63" s="5" t="str">
        <f t="shared" si="2"/>
        <v>itemText,dailCompTextOccultist61,</v>
      </c>
      <c r="E63" s="5" t="str">
        <f t="shared" si="14"/>
        <v>augmentSkillLevel1,3,</v>
      </c>
      <c r="F63" s="5" t="str">
        <f t="shared" si="15"/>
        <v>augmentSkillName1,records/skills/playerclass03/summon_hellhound2_petmodifier.dbr,</v>
      </c>
      <c r="G63" s="7">
        <f t="shared" si="10"/>
        <v>61</v>
      </c>
      <c r="H63" s="8" t="str">
        <f t="shared" si="11"/>
        <v>Occultist</v>
      </c>
      <c r="I63" s="3" t="s">
        <v>303</v>
      </c>
      <c r="J63" s="8" t="str">
        <f t="shared" si="23"/>
        <v>class0003</v>
      </c>
      <c r="K63" s="8" t="str">
        <f t="shared" si="23"/>
        <v>dailoneskill0003</v>
      </c>
      <c r="L63" s="5" t="str">
        <f t="shared" si="4"/>
        <v>lootName61,DAIL/items/materia/class0003/Occultist61.dbr,</v>
      </c>
      <c r="M63" s="5" t="str">
        <f t="shared" si="5"/>
        <v>lootWeight61,1,</v>
      </c>
      <c r="N63" t="str">
        <f t="shared" si="6"/>
        <v>3</v>
      </c>
      <c r="O63" t="str">
        <f t="shared" si="16"/>
        <v>copy .\dail_base3.dbr .\items\materia\class0003\Occultist61.dbr /y</v>
      </c>
      <c r="P63" t="str">
        <f t="shared" si="24"/>
        <v>echo relicBitmap,items/craftingparts/components/component_a52_bristlyfur_b.tex, &gt;&gt; .\items\materia\class0003\Occultist61.dbr</v>
      </c>
      <c r="Q63" t="str">
        <f t="shared" si="24"/>
        <v>echo itemCost,500000, &gt;&gt; .\items\materia\class0003\Occultist61.dbr</v>
      </c>
      <c r="R63" t="str">
        <f t="shared" si="24"/>
        <v>echo description,dailCompDescOccultist61, &gt;&gt; .\items\materia\class0003\Occultist61.dbr</v>
      </c>
      <c r="S63" t="str">
        <f t="shared" si="24"/>
        <v>echo itemText,dailCompTextOccultist61, &gt;&gt; .\items\materia\class0003\Occultist61.dbr</v>
      </c>
      <c r="T63" t="str">
        <f t="shared" si="24"/>
        <v>echo augmentSkillLevel1,3, &gt;&gt; .\items\materia\class0003\Occultist61.dbr</v>
      </c>
      <c r="U63" t="str">
        <f t="shared" si="24"/>
        <v>echo augmentSkillName1,records/skills/playerclass03/summon_hellhound2_petmodifier.dbr, &gt;&gt; .\items\materia\class0003\Occultist61.dbr</v>
      </c>
      <c r="V63" s="5" t="s">
        <v>36</v>
      </c>
      <c r="W63" t="str">
        <f t="shared" si="8"/>
        <v>echo lootName61,DAIL/items/materia/class0003/Occultist61.dbr, &gt;&gt; .\items\loottables\dailoneskill0003.dbr</v>
      </c>
      <c r="X63" t="str">
        <f t="shared" si="8"/>
        <v>echo lootWeight61,1, &gt;&gt; .\items\loottables\dailoneskill0003.dbr</v>
      </c>
      <c r="Y63" s="5" t="s">
        <v>36</v>
      </c>
      <c r="Z63" t="str">
        <f t="shared" si="9"/>
        <v xml:space="preserve"> dailCompDescOccultist61=^pOccultist's Gift of DAIL</v>
      </c>
      <c r="AA63" t="str">
        <f t="shared" si="17"/>
        <v>dailCompTextOccultist61=^oThis feels warm to the touch, almost familiar ^w(This component only fits into the Medal Slot)</v>
      </c>
      <c r="AB63" s="5" t="s">
        <v>36</v>
      </c>
      <c r="AH63">
        <f t="shared" si="19"/>
        <v>58</v>
      </c>
      <c r="AI63">
        <f t="shared" si="22"/>
        <v>48</v>
      </c>
      <c r="AJ63">
        <f t="shared" si="18"/>
        <v>3</v>
      </c>
    </row>
    <row r="64" spans="1:36" x14ac:dyDescent="0.25">
      <c r="A64" s="5" t="s">
        <v>39</v>
      </c>
      <c r="B64" s="5" t="s">
        <v>30</v>
      </c>
      <c r="C64" s="5" t="str">
        <f t="shared" si="0"/>
        <v>description,dailCompDescOccultist62,</v>
      </c>
      <c r="D64" s="5" t="str">
        <f t="shared" si="2"/>
        <v>itemText,dailCompTextOccultist62,</v>
      </c>
      <c r="E64" s="5" t="str">
        <f t="shared" si="14"/>
        <v>augmentSkillLevel1,3,</v>
      </c>
      <c r="F64" s="5" t="str">
        <f t="shared" si="15"/>
        <v>augmentSkillName1,records/skills/playerclass03/summon_hellhound3_petmodifier.dbr,</v>
      </c>
      <c r="G64" s="7">
        <f t="shared" si="10"/>
        <v>62</v>
      </c>
      <c r="H64" s="8" t="str">
        <f t="shared" si="11"/>
        <v>Occultist</v>
      </c>
      <c r="I64" s="3" t="s">
        <v>304</v>
      </c>
      <c r="J64" s="8" t="str">
        <f t="shared" si="23"/>
        <v>class0003</v>
      </c>
      <c r="K64" s="8" t="str">
        <f t="shared" si="23"/>
        <v>dailoneskill0003</v>
      </c>
      <c r="L64" s="5" t="str">
        <f t="shared" si="4"/>
        <v>lootName62,DAIL/items/materia/class0003/Occultist62.dbr,</v>
      </c>
      <c r="M64" s="5" t="str">
        <f t="shared" si="5"/>
        <v>lootWeight62,1,</v>
      </c>
      <c r="N64" t="str">
        <f t="shared" si="6"/>
        <v>3</v>
      </c>
      <c r="O64" t="str">
        <f t="shared" si="16"/>
        <v>copy .\dail_base3.dbr .\items\materia\class0003\Occultist62.dbr /y</v>
      </c>
      <c r="P64" t="str">
        <f t="shared" si="24"/>
        <v>echo relicBitmap,items/craftingparts/components/component_a52_bristlyfur_b.tex, &gt;&gt; .\items\materia\class0003\Occultist62.dbr</v>
      </c>
      <c r="Q64" t="str">
        <f t="shared" si="24"/>
        <v>echo itemCost,500000, &gt;&gt; .\items\materia\class0003\Occultist62.dbr</v>
      </c>
      <c r="R64" t="str">
        <f t="shared" si="24"/>
        <v>echo description,dailCompDescOccultist62, &gt;&gt; .\items\materia\class0003\Occultist62.dbr</v>
      </c>
      <c r="S64" t="str">
        <f t="shared" si="24"/>
        <v>echo itemText,dailCompTextOccultist62, &gt;&gt; .\items\materia\class0003\Occultist62.dbr</v>
      </c>
      <c r="T64" t="str">
        <f t="shared" si="24"/>
        <v>echo augmentSkillLevel1,3, &gt;&gt; .\items\materia\class0003\Occultist62.dbr</v>
      </c>
      <c r="U64" t="str">
        <f t="shared" si="24"/>
        <v>echo augmentSkillName1,records/skills/playerclass03/summon_hellhound3_petmodifier.dbr, &gt;&gt; .\items\materia\class0003\Occultist62.dbr</v>
      </c>
      <c r="V64" s="5" t="s">
        <v>36</v>
      </c>
      <c r="W64" t="str">
        <f t="shared" si="8"/>
        <v>echo lootName62,DAIL/items/materia/class0003/Occultist62.dbr, &gt;&gt; .\items\loottables\dailoneskill0003.dbr</v>
      </c>
      <c r="X64" t="str">
        <f t="shared" si="8"/>
        <v>echo lootWeight62,1, &gt;&gt; .\items\loottables\dailoneskill0003.dbr</v>
      </c>
      <c r="Y64" s="5" t="s">
        <v>36</v>
      </c>
      <c r="Z64" t="str">
        <f t="shared" si="9"/>
        <v xml:space="preserve"> dailCompDescOccultist62=^pOccultist's Gift of DAIL</v>
      </c>
      <c r="AA64" t="str">
        <f t="shared" si="17"/>
        <v>dailCompTextOccultist62=^oThis feels warm to the touch, almost familiar ^w(This component only fits into the Medal Slot)</v>
      </c>
      <c r="AB64" s="5" t="s">
        <v>36</v>
      </c>
      <c r="AH64">
        <f t="shared" si="19"/>
        <v>59</v>
      </c>
      <c r="AI64">
        <f t="shared" si="22"/>
        <v>48</v>
      </c>
      <c r="AJ64">
        <f t="shared" si="18"/>
        <v>3</v>
      </c>
    </row>
    <row r="65" spans="1:36" x14ac:dyDescent="0.25">
      <c r="A65" s="5" t="s">
        <v>39</v>
      </c>
      <c r="B65" s="5" t="s">
        <v>30</v>
      </c>
      <c r="C65" s="5" t="str">
        <f t="shared" si="0"/>
        <v>description,dailCompDescOccultist63,</v>
      </c>
      <c r="D65" s="5" t="str">
        <f t="shared" si="2"/>
        <v>itemText,dailCompTextOccultist63,</v>
      </c>
      <c r="E65" s="5" t="str">
        <f t="shared" si="14"/>
        <v>augmentSkillLevel1,5,</v>
      </c>
      <c r="F65" s="5" t="str">
        <f t="shared" si="15"/>
        <v>augmentSkillName1,records/skills/playerclass03/summon_hellhound4_petmodifier.dbr,</v>
      </c>
      <c r="G65" s="7">
        <f t="shared" si="10"/>
        <v>63</v>
      </c>
      <c r="H65" s="8" t="str">
        <f t="shared" si="11"/>
        <v>Occultist</v>
      </c>
      <c r="I65" s="3" t="s">
        <v>305</v>
      </c>
      <c r="J65" s="8" t="str">
        <f t="shared" si="23"/>
        <v>class0003</v>
      </c>
      <c r="K65" s="8" t="str">
        <f t="shared" si="23"/>
        <v>dailoneskill0003</v>
      </c>
      <c r="L65" s="5" t="str">
        <f t="shared" si="4"/>
        <v>lootName63,DAIL/items/materia/class0003/Occultist63.dbr,</v>
      </c>
      <c r="M65" s="5" t="str">
        <f t="shared" si="5"/>
        <v>lootWeight63,1,</v>
      </c>
      <c r="N65" t="str">
        <f t="shared" si="6"/>
        <v>5</v>
      </c>
      <c r="O65" t="str">
        <f t="shared" si="16"/>
        <v>copy .\dail_base3.dbr .\items\materia\class0003\Occultist63.dbr /y</v>
      </c>
      <c r="P65" t="str">
        <f t="shared" si="24"/>
        <v>echo relicBitmap,items/craftingparts/components/component_a52_bristlyfur_b.tex, &gt;&gt; .\items\materia\class0003\Occultist63.dbr</v>
      </c>
      <c r="Q65" t="str">
        <f t="shared" si="24"/>
        <v>echo itemCost,500000, &gt;&gt; .\items\materia\class0003\Occultist63.dbr</v>
      </c>
      <c r="R65" t="str">
        <f t="shared" si="24"/>
        <v>echo description,dailCompDescOccultist63, &gt;&gt; .\items\materia\class0003\Occultist63.dbr</v>
      </c>
      <c r="S65" t="str">
        <f t="shared" si="24"/>
        <v>echo itemText,dailCompTextOccultist63, &gt;&gt; .\items\materia\class0003\Occultist63.dbr</v>
      </c>
      <c r="T65" t="str">
        <f t="shared" si="24"/>
        <v>echo augmentSkillLevel1,5, &gt;&gt; .\items\materia\class0003\Occultist63.dbr</v>
      </c>
      <c r="U65" t="str">
        <f t="shared" si="24"/>
        <v>echo augmentSkillName1,records/skills/playerclass03/summon_hellhound4_petmodifier.dbr, &gt;&gt; .\items\materia\class0003\Occultist63.dbr</v>
      </c>
      <c r="V65" s="5" t="s">
        <v>36</v>
      </c>
      <c r="W65" t="str">
        <f t="shared" si="8"/>
        <v>echo lootName63,DAIL/items/materia/class0003/Occultist63.dbr, &gt;&gt; .\items\loottables\dailoneskill0003.dbr</v>
      </c>
      <c r="X65" t="str">
        <f t="shared" si="8"/>
        <v>echo lootWeight63,1, &gt;&gt; .\items\loottables\dailoneskill0003.dbr</v>
      </c>
      <c r="Y65" s="5" t="s">
        <v>36</v>
      </c>
      <c r="Z65" t="str">
        <f t="shared" si="9"/>
        <v xml:space="preserve"> dailCompDescOccultist63=^pOccultist's Gift of DAIL</v>
      </c>
      <c r="AA65" t="str">
        <f t="shared" si="17"/>
        <v>dailCompTextOccultist63=^oThis feels warm to the touch, almost familiar ^w(This component only fits into the Medal Slot)</v>
      </c>
      <c r="AB65" s="5" t="s">
        <v>36</v>
      </c>
      <c r="AH65">
        <f t="shared" si="19"/>
        <v>60</v>
      </c>
      <c r="AI65">
        <f t="shared" si="22"/>
        <v>48</v>
      </c>
      <c r="AJ65">
        <f t="shared" si="18"/>
        <v>5</v>
      </c>
    </row>
    <row r="66" spans="1:36" x14ac:dyDescent="0.25">
      <c r="A66" s="5" t="s">
        <v>39</v>
      </c>
      <c r="B66" s="5" t="s">
        <v>30</v>
      </c>
      <c r="C66" s="5" t="str">
        <f t="shared" si="0"/>
        <v>description,dailCompDescOccultist64,</v>
      </c>
      <c r="D66" s="5" t="str">
        <f t="shared" si="2"/>
        <v>itemText,dailCompTextOccultist64,</v>
      </c>
      <c r="E66" s="5" t="str">
        <f t="shared" si="14"/>
        <v>augmentSkillLevel1,5,</v>
      </c>
      <c r="F66" s="5" t="str">
        <f t="shared" si="15"/>
        <v>augmentSkillName1,records/skills/playerclass03/witchfire1.dbr,</v>
      </c>
      <c r="G66" s="7">
        <f t="shared" si="10"/>
        <v>64</v>
      </c>
      <c r="H66" s="8" t="str">
        <f t="shared" si="11"/>
        <v>Occultist</v>
      </c>
      <c r="I66" s="3" t="s">
        <v>111</v>
      </c>
      <c r="J66" s="8" t="str">
        <f t="shared" si="23"/>
        <v>class0003</v>
      </c>
      <c r="K66" s="8" t="str">
        <f t="shared" si="23"/>
        <v>dailoneskill0003</v>
      </c>
      <c r="L66" s="5" t="str">
        <f t="shared" si="4"/>
        <v>lootName64,DAIL/items/materia/class0003/Occultist64.dbr,</v>
      </c>
      <c r="M66" s="5" t="str">
        <f t="shared" si="5"/>
        <v>lootWeight64,1,</v>
      </c>
      <c r="N66" t="str">
        <f t="shared" si="6"/>
        <v>5</v>
      </c>
      <c r="O66" t="str">
        <f t="shared" si="16"/>
        <v>copy .\dail_base3.dbr .\items\materia\class0003\Occultist64.dbr /y</v>
      </c>
      <c r="P66" t="str">
        <f t="shared" si="24"/>
        <v>echo relicBitmap,items/craftingparts/components/component_a52_bristlyfur_b.tex, &gt;&gt; .\items\materia\class0003\Occultist64.dbr</v>
      </c>
      <c r="Q66" t="str">
        <f t="shared" si="24"/>
        <v>echo itemCost,500000, &gt;&gt; .\items\materia\class0003\Occultist64.dbr</v>
      </c>
      <c r="R66" t="str">
        <f t="shared" si="24"/>
        <v>echo description,dailCompDescOccultist64, &gt;&gt; .\items\materia\class0003\Occultist64.dbr</v>
      </c>
      <c r="S66" t="str">
        <f t="shared" si="24"/>
        <v>echo itemText,dailCompTextOccultist64, &gt;&gt; .\items\materia\class0003\Occultist64.dbr</v>
      </c>
      <c r="T66" t="str">
        <f t="shared" si="24"/>
        <v>echo augmentSkillLevel1,5, &gt;&gt; .\items\materia\class0003\Occultist64.dbr</v>
      </c>
      <c r="U66" t="str">
        <f t="shared" si="24"/>
        <v>echo augmentSkillName1,records/skills/playerclass03/witchfire1.dbr, &gt;&gt; .\items\materia\class0003\Occultist64.dbr</v>
      </c>
      <c r="V66" s="5" t="s">
        <v>36</v>
      </c>
      <c r="W66" t="str">
        <f t="shared" si="8"/>
        <v>echo lootName64,DAIL/items/materia/class0003/Occultist64.dbr, &gt;&gt; .\items\loottables\dailoneskill0003.dbr</v>
      </c>
      <c r="X66" t="str">
        <f t="shared" si="8"/>
        <v>echo lootWeight64,1, &gt;&gt; .\items\loottables\dailoneskill0003.dbr</v>
      </c>
      <c r="Y66" s="5" t="s">
        <v>36</v>
      </c>
      <c r="Z66" t="str">
        <f t="shared" si="9"/>
        <v xml:space="preserve"> dailCompDescOccultist64=^pOccultist's Gift of DAIL</v>
      </c>
      <c r="AA66" t="str">
        <f t="shared" si="17"/>
        <v>dailCompTextOccultist64=^oThis feels warm to the touch, almost familiar ^w(This component only fits into the Medal Slot)</v>
      </c>
      <c r="AB66" s="5" t="s">
        <v>36</v>
      </c>
      <c r="AH66">
        <f t="shared" si="19"/>
        <v>61</v>
      </c>
      <c r="AI66">
        <f t="shared" si="22"/>
        <v>29</v>
      </c>
      <c r="AJ66">
        <f t="shared" si="18"/>
        <v>5</v>
      </c>
    </row>
    <row r="67" spans="1:36" x14ac:dyDescent="0.25">
      <c r="A67" s="5" t="s">
        <v>39</v>
      </c>
      <c r="B67" s="5" t="s">
        <v>30</v>
      </c>
      <c r="C67" s="5" t="str">
        <f t="shared" ref="C67:C102" si="25">"description,dailCompDesc"&amp;H67&amp;G67&amp;","</f>
        <v>description,dailCompDescOccultist65,</v>
      </c>
      <c r="D67" s="5" t="str">
        <f t="shared" si="2"/>
        <v>itemText,dailCompTextOccultist65,</v>
      </c>
      <c r="E67" s="5" t="str">
        <f t="shared" si="14"/>
        <v>augmentSkillLevel1,5,</v>
      </c>
      <c r="F67" s="5" t="str">
        <f t="shared" si="15"/>
        <v>augmentSkillName1,records/skills/playerclass03/witchfire1b.dbr,</v>
      </c>
      <c r="G67" s="7">
        <f t="shared" si="10"/>
        <v>65</v>
      </c>
      <c r="H67" s="8" t="str">
        <f t="shared" si="11"/>
        <v>Occultist</v>
      </c>
      <c r="I67" s="3" t="s">
        <v>287</v>
      </c>
      <c r="J67" s="8" t="str">
        <f t="shared" si="23"/>
        <v>class0003</v>
      </c>
      <c r="K67" s="8" t="str">
        <f t="shared" si="23"/>
        <v>dailoneskill0003</v>
      </c>
      <c r="L67" s="5" t="str">
        <f t="shared" si="4"/>
        <v>lootName65,DAIL/items/materia/class0003/Occultist65.dbr,</v>
      </c>
      <c r="M67" s="5" t="str">
        <f t="shared" si="5"/>
        <v>lootWeight65,1,</v>
      </c>
      <c r="N67" t="str">
        <f t="shared" si="6"/>
        <v>5</v>
      </c>
      <c r="O67" t="str">
        <f t="shared" si="16"/>
        <v>copy .\dail_base3.dbr .\items\materia\class0003\Occultist65.dbr /y</v>
      </c>
      <c r="P67" t="str">
        <f t="shared" si="24"/>
        <v>echo relicBitmap,items/craftingparts/components/component_a52_bristlyfur_b.tex, &gt;&gt; .\items\materia\class0003\Occultist65.dbr</v>
      </c>
      <c r="Q67" t="str">
        <f t="shared" si="24"/>
        <v>echo itemCost,500000, &gt;&gt; .\items\materia\class0003\Occultist65.dbr</v>
      </c>
      <c r="R67" t="str">
        <f t="shared" si="24"/>
        <v>echo description,dailCompDescOccultist65, &gt;&gt; .\items\materia\class0003\Occultist65.dbr</v>
      </c>
      <c r="S67" t="str">
        <f t="shared" si="24"/>
        <v>echo itemText,dailCompTextOccultist65, &gt;&gt; .\items\materia\class0003\Occultist65.dbr</v>
      </c>
      <c r="T67" t="str">
        <f t="shared" si="24"/>
        <v>echo augmentSkillLevel1,5, &gt;&gt; .\items\materia\class0003\Occultist65.dbr</v>
      </c>
      <c r="U67" t="str">
        <f t="shared" si="24"/>
        <v>echo augmentSkillName1,records/skills/playerclass03/witchfire1b.dbr, &gt;&gt; .\items\materia\class0003\Occultist65.dbr</v>
      </c>
      <c r="V67" s="5" t="s">
        <v>36</v>
      </c>
      <c r="W67" t="str">
        <f t="shared" si="8"/>
        <v>echo lootName65,DAIL/items/materia/class0003/Occultist65.dbr, &gt;&gt; .\items\loottables\dailoneskill0003.dbr</v>
      </c>
      <c r="X67" t="str">
        <f t="shared" si="8"/>
        <v>echo lootWeight65,1, &gt;&gt; .\items\loottables\dailoneskill0003.dbr</v>
      </c>
      <c r="Y67" s="5" t="s">
        <v>36</v>
      </c>
      <c r="Z67" t="str">
        <f t="shared" si="9"/>
        <v xml:space="preserve"> dailCompDescOccultist65=^pOccultist's Gift of DAIL</v>
      </c>
      <c r="AA67" t="str">
        <f t="shared" si="17"/>
        <v>dailCompTextOccultist65=^oThis feels warm to the touch, almost familiar ^w(This component only fits into the Medal Slot)</v>
      </c>
      <c r="AB67" s="5" t="s">
        <v>36</v>
      </c>
      <c r="AH67">
        <f t="shared" si="19"/>
        <v>62</v>
      </c>
      <c r="AI67">
        <f t="shared" si="22"/>
        <v>30</v>
      </c>
      <c r="AJ67">
        <f t="shared" si="18"/>
        <v>5</v>
      </c>
    </row>
    <row r="68" spans="1:36" x14ac:dyDescent="0.25">
      <c r="A68" s="5" t="s">
        <v>39</v>
      </c>
      <c r="B68" s="5" t="s">
        <v>30</v>
      </c>
      <c r="C68" s="5" t="str">
        <f t="shared" si="25"/>
        <v>description,dailCompDescOccultist66,</v>
      </c>
      <c r="D68" s="5" t="str">
        <f t="shared" ref="D68:D102" si="26">"itemText,dailCompText"&amp;H68&amp;G68&amp;","</f>
        <v>itemText,dailCompTextOccultist66,</v>
      </c>
      <c r="E68" s="5" t="str">
        <f t="shared" si="14"/>
        <v>augmentSkillLevel1,5,</v>
      </c>
      <c r="F68" s="5" t="str">
        <f t="shared" si="15"/>
        <v>augmentSkillName1,records/skills/playerclass03/witchfire2.dbr,</v>
      </c>
      <c r="G68" s="7">
        <f t="shared" si="10"/>
        <v>66</v>
      </c>
      <c r="H68" s="8" t="str">
        <f t="shared" si="11"/>
        <v>Occultist</v>
      </c>
      <c r="I68" s="3" t="s">
        <v>288</v>
      </c>
      <c r="J68" s="8" t="str">
        <f t="shared" si="23"/>
        <v>class0003</v>
      </c>
      <c r="K68" s="8" t="str">
        <f t="shared" si="23"/>
        <v>dailoneskill0003</v>
      </c>
      <c r="L68" s="5" t="str">
        <f t="shared" ref="L68:L102" si="27">"lootName"&amp;G68&amp;",DAIL/items/materia/"&amp;J68&amp;"/"&amp;H68&amp;G68&amp;".dbr"&amp;","</f>
        <v>lootName66,DAIL/items/materia/class0003/Occultist66.dbr,</v>
      </c>
      <c r="M68" s="5" t="str">
        <f t="shared" ref="M68:M102" si="28">"lootWeight"&amp;G68&amp;",1,"</f>
        <v>lootWeight66,1,</v>
      </c>
      <c r="N68" t="str">
        <f t="shared" ref="N68:N102" si="29">LEFT(RIGHT(E68,2),1)</f>
        <v>5</v>
      </c>
      <c r="O68" t="str">
        <f t="shared" si="16"/>
        <v>copy .\dail_base3.dbr .\items\materia\class0003\Occultist66.dbr /y</v>
      </c>
      <c r="P68" t="str">
        <f t="shared" si="24"/>
        <v>echo relicBitmap,items/craftingparts/components/component_a52_bristlyfur_b.tex, &gt;&gt; .\items\materia\class0003\Occultist66.dbr</v>
      </c>
      <c r="Q68" t="str">
        <f t="shared" si="24"/>
        <v>echo itemCost,500000, &gt;&gt; .\items\materia\class0003\Occultist66.dbr</v>
      </c>
      <c r="R68" t="str">
        <f t="shared" si="24"/>
        <v>echo description,dailCompDescOccultist66, &gt;&gt; .\items\materia\class0003\Occultist66.dbr</v>
      </c>
      <c r="S68" t="str">
        <f t="shared" si="24"/>
        <v>echo itemText,dailCompTextOccultist66, &gt;&gt; .\items\materia\class0003\Occultist66.dbr</v>
      </c>
      <c r="T68" t="str">
        <f t="shared" si="24"/>
        <v>echo augmentSkillLevel1,5, &gt;&gt; .\items\materia\class0003\Occultist66.dbr</v>
      </c>
      <c r="U68" t="str">
        <f t="shared" si="24"/>
        <v>echo augmentSkillName1,records/skills/playerclass03/witchfire2.dbr, &gt;&gt; .\items\materia\class0003\Occultist66.dbr</v>
      </c>
      <c r="V68" s="5" t="s">
        <v>36</v>
      </c>
      <c r="W68" t="str">
        <f t="shared" ref="W68:X102" si="30">IF($I68&lt;&gt;"","echo "&amp;L68&amp;" &gt;&gt; .\items\loottables\"&amp;$K68&amp;".dbr","")</f>
        <v>echo lootName66,DAIL/items/materia/class0003/Occultist66.dbr, &gt;&gt; .\items\loottables\dailoneskill0003.dbr</v>
      </c>
      <c r="X68" t="str">
        <f t="shared" si="30"/>
        <v>echo lootWeight66,1, &gt;&gt; .\items\loottables\dailoneskill0003.dbr</v>
      </c>
      <c r="Y68" s="5" t="s">
        <v>36</v>
      </c>
      <c r="Z68" t="str">
        <f t="shared" ref="Z68:Z102" si="31">IF(I67&lt;&gt;""," dailCompDesc"&amp;H68&amp;G68&amp;"=^p"&amp;H68&amp;"'s Gift of DAIL","")</f>
        <v xml:space="preserve"> dailCompDescOccultist66=^pOccultist's Gift of DAIL</v>
      </c>
      <c r="AA68" t="str">
        <f t="shared" si="17"/>
        <v>dailCompTextOccultist66=^oThis feels warm to the touch, almost familiar ^w(This component only fits into the Medal Slot)</v>
      </c>
      <c r="AB68" s="5" t="s">
        <v>36</v>
      </c>
      <c r="AH68">
        <f t="shared" si="19"/>
        <v>63</v>
      </c>
      <c r="AI68">
        <f t="shared" si="22"/>
        <v>29</v>
      </c>
      <c r="AJ68">
        <f t="shared" si="18"/>
        <v>5</v>
      </c>
    </row>
    <row r="69" spans="1:36" x14ac:dyDescent="0.25">
      <c r="A69" s="5" t="s">
        <v>39</v>
      </c>
      <c r="B69" s="5" t="s">
        <v>30</v>
      </c>
      <c r="C69" s="5" t="str">
        <f t="shared" si="25"/>
        <v>description,dailCompDescOccultist67,</v>
      </c>
      <c r="D69" s="5" t="str">
        <f t="shared" si="26"/>
        <v>itemText,dailCompTextOccultist67,</v>
      </c>
      <c r="E69" s="5" t="str">
        <f t="shared" si="14"/>
        <v>augmentSkillLevel1,5,</v>
      </c>
      <c r="F69" s="5" t="str">
        <f t="shared" si="15"/>
        <v>augmentSkillName1,records/skills/playerclass03/bloodofdreeg1.dbr,</v>
      </c>
      <c r="G69" s="7">
        <f t="shared" ref="G69:G102" si="32">IF(I69&lt;&gt;"",G68+1,"")</f>
        <v>67</v>
      </c>
      <c r="H69" s="8" t="str">
        <f t="shared" ref="H69:H102" si="33">H68</f>
        <v>Occultist</v>
      </c>
      <c r="I69" s="3" t="s">
        <v>101</v>
      </c>
      <c r="J69" s="8" t="str">
        <f t="shared" ref="J69:K84" si="34">J68</f>
        <v>class0003</v>
      </c>
      <c r="K69" s="8" t="str">
        <f t="shared" si="34"/>
        <v>dailoneskill0003</v>
      </c>
      <c r="L69" s="5" t="str">
        <f t="shared" si="27"/>
        <v>lootName67,DAIL/items/materia/class0003/Occultist67.dbr,</v>
      </c>
      <c r="M69" s="5" t="str">
        <f t="shared" si="28"/>
        <v>lootWeight67,1,</v>
      </c>
      <c r="N69" t="str">
        <f t="shared" si="29"/>
        <v>5</v>
      </c>
      <c r="O69" t="str">
        <f t="shared" si="16"/>
        <v>copy .\dail_base3.dbr .\items\materia\class0003\Occultist67.dbr /y</v>
      </c>
      <c r="P69" t="str">
        <f t="shared" si="24"/>
        <v>echo relicBitmap,items/craftingparts/components/component_a52_bristlyfur_b.tex, &gt;&gt; .\items\materia\class0003\Occultist67.dbr</v>
      </c>
      <c r="Q69" t="str">
        <f t="shared" si="24"/>
        <v>echo itemCost,500000, &gt;&gt; .\items\materia\class0003\Occultist67.dbr</v>
      </c>
      <c r="R69" t="str">
        <f t="shared" si="24"/>
        <v>echo description,dailCompDescOccultist67, &gt;&gt; .\items\materia\class0003\Occultist67.dbr</v>
      </c>
      <c r="S69" t="str">
        <f t="shared" si="24"/>
        <v>echo itemText,dailCompTextOccultist67, &gt;&gt; .\items\materia\class0003\Occultist67.dbr</v>
      </c>
      <c r="T69" t="str">
        <f t="shared" si="24"/>
        <v>echo augmentSkillLevel1,5, &gt;&gt; .\items\materia\class0003\Occultist67.dbr</v>
      </c>
      <c r="U69" t="str">
        <f t="shared" si="24"/>
        <v>echo augmentSkillName1,records/skills/playerclass03/bloodofdreeg1.dbr, &gt;&gt; .\items\materia\class0003\Occultist67.dbr</v>
      </c>
      <c r="V69" s="5" t="s">
        <v>36</v>
      </c>
      <c r="W69" t="str">
        <f t="shared" si="30"/>
        <v>echo lootName67,DAIL/items/materia/class0003/Occultist67.dbr, &gt;&gt; .\items\loottables\dailoneskill0003.dbr</v>
      </c>
      <c r="X69" t="str">
        <f t="shared" si="30"/>
        <v>echo lootWeight67,1, &gt;&gt; .\items\loottables\dailoneskill0003.dbr</v>
      </c>
      <c r="Y69" s="5" t="s">
        <v>36</v>
      </c>
      <c r="Z69" t="str">
        <f t="shared" si="31"/>
        <v xml:space="preserve"> dailCompDescOccultist67=^pOccultist's Gift of DAIL</v>
      </c>
      <c r="AA69" t="str">
        <f t="shared" si="17"/>
        <v>dailCompTextOccultist67=^oThis feels warm to the touch, almost familiar ^w(This component only fits into the Medal Slot)</v>
      </c>
      <c r="AB69" s="5" t="s">
        <v>36</v>
      </c>
      <c r="AH69">
        <f t="shared" si="19"/>
        <v>64</v>
      </c>
      <c r="AI69">
        <f t="shared" si="22"/>
        <v>32</v>
      </c>
      <c r="AJ69">
        <f t="shared" si="18"/>
        <v>5</v>
      </c>
    </row>
    <row r="70" spans="1:36" x14ac:dyDescent="0.25">
      <c r="A70" s="5" t="s">
        <v>39</v>
      </c>
      <c r="B70" s="5" t="s">
        <v>30</v>
      </c>
      <c r="C70" s="5" t="str">
        <f t="shared" si="25"/>
        <v>description,dailCompDescOccultist68,</v>
      </c>
      <c r="D70" s="5" t="str">
        <f t="shared" si="26"/>
        <v>itemText,dailCompTextOccultist68,</v>
      </c>
      <c r="E70" s="5" t="str">
        <f t="shared" si="14"/>
        <v>augmentSkillLevel1,5,</v>
      </c>
      <c r="F70" s="5" t="str">
        <f t="shared" si="15"/>
        <v>augmentSkillName1,records/skills/playerclass03/bloodofdreeg2.dbr,</v>
      </c>
      <c r="G70" s="7">
        <f t="shared" si="32"/>
        <v>68</v>
      </c>
      <c r="H70" s="8" t="str">
        <f t="shared" si="33"/>
        <v>Occultist</v>
      </c>
      <c r="I70" s="3" t="s">
        <v>289</v>
      </c>
      <c r="J70" s="8" t="str">
        <f t="shared" si="34"/>
        <v>class0003</v>
      </c>
      <c r="K70" s="8" t="str">
        <f t="shared" si="34"/>
        <v>dailoneskill0003</v>
      </c>
      <c r="L70" s="5" t="str">
        <f t="shared" si="27"/>
        <v>lootName68,DAIL/items/materia/class0003/Occultist68.dbr,</v>
      </c>
      <c r="M70" s="5" t="str">
        <f t="shared" si="28"/>
        <v>lootWeight68,1,</v>
      </c>
      <c r="N70" t="str">
        <f t="shared" si="29"/>
        <v>5</v>
      </c>
      <c r="O70" t="str">
        <f t="shared" si="16"/>
        <v>copy .\dail_base3.dbr .\items\materia\class0003\Occultist68.dbr /y</v>
      </c>
      <c r="P70" t="str">
        <f t="shared" si="24"/>
        <v>echo relicBitmap,items/craftingparts/components/component_a52_bristlyfur_b.tex, &gt;&gt; .\items\materia\class0003\Occultist68.dbr</v>
      </c>
      <c r="Q70" t="str">
        <f t="shared" si="24"/>
        <v>echo itemCost,500000, &gt;&gt; .\items\materia\class0003\Occultist68.dbr</v>
      </c>
      <c r="R70" t="str">
        <f t="shared" si="24"/>
        <v>echo description,dailCompDescOccultist68, &gt;&gt; .\items\materia\class0003\Occultist68.dbr</v>
      </c>
      <c r="S70" t="str">
        <f t="shared" si="24"/>
        <v>echo itemText,dailCompTextOccultist68, &gt;&gt; .\items\materia\class0003\Occultist68.dbr</v>
      </c>
      <c r="T70" t="str">
        <f t="shared" si="24"/>
        <v>echo augmentSkillLevel1,5, &gt;&gt; .\items\materia\class0003\Occultist68.dbr</v>
      </c>
      <c r="U70" t="str">
        <f t="shared" si="24"/>
        <v>echo augmentSkillName1,records/skills/playerclass03/bloodofdreeg2.dbr, &gt;&gt; .\items\materia\class0003\Occultist68.dbr</v>
      </c>
      <c r="V70" s="5" t="s">
        <v>36</v>
      </c>
      <c r="W70" t="str">
        <f t="shared" si="30"/>
        <v>echo lootName68,DAIL/items/materia/class0003/Occultist68.dbr, &gt;&gt; .\items\loottables\dailoneskill0003.dbr</v>
      </c>
      <c r="X70" t="str">
        <f t="shared" si="30"/>
        <v>echo lootWeight68,1, &gt;&gt; .\items\loottables\dailoneskill0003.dbr</v>
      </c>
      <c r="Y70" s="5" t="s">
        <v>36</v>
      </c>
      <c r="Z70" t="str">
        <f t="shared" si="31"/>
        <v xml:space="preserve"> dailCompDescOccultist68=^pOccultist's Gift of DAIL</v>
      </c>
      <c r="AA70" t="str">
        <f t="shared" si="17"/>
        <v>dailCompTextOccultist68=^oThis feels warm to the touch, almost familiar ^w(This component only fits into the Medal Slot)</v>
      </c>
      <c r="AB70" s="5" t="s">
        <v>36</v>
      </c>
      <c r="AH70">
        <f t="shared" si="19"/>
        <v>65</v>
      </c>
      <c r="AI70">
        <f t="shared" ref="AI70:AI102" si="35">LEN(I70)</f>
        <v>32</v>
      </c>
      <c r="AJ70">
        <f t="shared" si="18"/>
        <v>5</v>
      </c>
    </row>
    <row r="71" spans="1:36" x14ac:dyDescent="0.25">
      <c r="A71" s="5" t="s">
        <v>39</v>
      </c>
      <c r="B71" s="5" t="s">
        <v>30</v>
      </c>
      <c r="C71" s="5" t="str">
        <f t="shared" si="25"/>
        <v>description,dailCompDescOccultist69,</v>
      </c>
      <c r="D71" s="5" t="str">
        <f t="shared" si="26"/>
        <v>itemText,dailCompTextOccultist69,</v>
      </c>
      <c r="E71" s="5" t="str">
        <f t="shared" ref="E71:E102" si="36">"augmentSkillLevel1,"&amp;AJ71&amp;","</f>
        <v>augmentSkillLevel1,5,</v>
      </c>
      <c r="F71" s="5" t="str">
        <f t="shared" ref="F71:F102" si="37">"augmentSkillName1,records/skills"&amp;I71&amp;","</f>
        <v>augmentSkillName1,records/skills/playerclass03/doombolt1.dbr,</v>
      </c>
      <c r="G71" s="7">
        <f t="shared" si="32"/>
        <v>69</v>
      </c>
      <c r="H71" s="8" t="str">
        <f t="shared" si="33"/>
        <v>Occultist</v>
      </c>
      <c r="I71" s="3" t="s">
        <v>104</v>
      </c>
      <c r="J71" s="8" t="str">
        <f t="shared" si="34"/>
        <v>class0003</v>
      </c>
      <c r="K71" s="8" t="str">
        <f t="shared" si="34"/>
        <v>dailoneskill0003</v>
      </c>
      <c r="L71" s="5" t="str">
        <f t="shared" si="27"/>
        <v>lootName69,DAIL/items/materia/class0003/Occultist69.dbr,</v>
      </c>
      <c r="M71" s="5" t="str">
        <f t="shared" si="28"/>
        <v>lootWeight69,1,</v>
      </c>
      <c r="N71" t="str">
        <f t="shared" si="29"/>
        <v>5</v>
      </c>
      <c r="O71" t="str">
        <f t="shared" ref="O71:O102" si="38">IF(I71&lt;&gt;"","copy .\"&amp;VLOOKUP(VALUE(N71),$AD$3:$AF$5,2,FALSE)&amp;" .\items\materia\"&amp;J71&amp;"\"&amp;H71&amp;G71&amp;".dbr /y"&amp;"","")</f>
        <v>copy .\dail_base3.dbr .\items\materia\class0003\Occultist69.dbr /y</v>
      </c>
      <c r="P71" t="str">
        <f t="shared" si="24"/>
        <v>echo relicBitmap,items/craftingparts/components/component_a52_bristlyfur_b.tex, &gt;&gt; .\items\materia\class0003\Occultist69.dbr</v>
      </c>
      <c r="Q71" t="str">
        <f t="shared" si="24"/>
        <v>echo itemCost,500000, &gt;&gt; .\items\materia\class0003\Occultist69.dbr</v>
      </c>
      <c r="R71" t="str">
        <f t="shared" si="24"/>
        <v>echo description,dailCompDescOccultist69, &gt;&gt; .\items\materia\class0003\Occultist69.dbr</v>
      </c>
      <c r="S71" t="str">
        <f t="shared" si="24"/>
        <v>echo itemText,dailCompTextOccultist69, &gt;&gt; .\items\materia\class0003\Occultist69.dbr</v>
      </c>
      <c r="T71" t="str">
        <f t="shared" si="24"/>
        <v>echo augmentSkillLevel1,5, &gt;&gt; .\items\materia\class0003\Occultist69.dbr</v>
      </c>
      <c r="U71" t="str">
        <f t="shared" si="24"/>
        <v>echo augmentSkillName1,records/skills/playerclass03/doombolt1.dbr, &gt;&gt; .\items\materia\class0003\Occultist69.dbr</v>
      </c>
      <c r="V71" s="5" t="s">
        <v>36</v>
      </c>
      <c r="W71" t="str">
        <f t="shared" si="30"/>
        <v>echo lootName69,DAIL/items/materia/class0003/Occultist69.dbr, &gt;&gt; .\items\loottables\dailoneskill0003.dbr</v>
      </c>
      <c r="X71" t="str">
        <f t="shared" si="30"/>
        <v>echo lootWeight69,1, &gt;&gt; .\items\loottables\dailoneskill0003.dbr</v>
      </c>
      <c r="Y71" s="5" t="s">
        <v>36</v>
      </c>
      <c r="Z71" t="str">
        <f t="shared" si="31"/>
        <v xml:space="preserve"> dailCompDescOccultist69=^pOccultist's Gift of DAIL</v>
      </c>
      <c r="AA71" t="str">
        <f t="shared" ref="AA71:AA102" si="39">IF(I70&lt;&gt;"","dailCompText"&amp;H71&amp;G71&amp;"=^oThis feels warm to the touch, almost familiar ^w("&amp;VLOOKUP(VALUE(N71),$AD$3:$AF$5,3,FALSE)&amp;")","")</f>
        <v>dailCompTextOccultist69=^oThis feels warm to the touch, almost familiar ^w(This component only fits into the Medal Slot)</v>
      </c>
      <c r="AB71" s="5" t="s">
        <v>36</v>
      </c>
      <c r="AH71">
        <f t="shared" si="19"/>
        <v>66</v>
      </c>
      <c r="AI71">
        <f t="shared" si="35"/>
        <v>28</v>
      </c>
      <c r="AJ71">
        <f t="shared" ref="AJ71:AJ102" si="40">IF(AH71&lt;$AL$7,1,IF(AH71&lt;$AL$8,3,5))</f>
        <v>5</v>
      </c>
    </row>
    <row r="72" spans="1:36" x14ac:dyDescent="0.25">
      <c r="A72" s="5" t="s">
        <v>39</v>
      </c>
      <c r="B72" s="5" t="s">
        <v>30</v>
      </c>
      <c r="C72" s="5" t="str">
        <f t="shared" si="25"/>
        <v>description,dailCompDescOccultist70,</v>
      </c>
      <c r="D72" s="5" t="str">
        <f t="shared" si="26"/>
        <v>itemText,dailCompTextOccultist70,</v>
      </c>
      <c r="E72" s="5" t="str">
        <f t="shared" si="36"/>
        <v>augmentSkillLevel1,5,</v>
      </c>
      <c r="F72" s="5" t="str">
        <f t="shared" si="37"/>
        <v>augmentSkillName1,records/skills/playerclass03/possession1.dbr,</v>
      </c>
      <c r="G72" s="7">
        <f t="shared" si="32"/>
        <v>70</v>
      </c>
      <c r="H72" s="8" t="str">
        <f t="shared" si="33"/>
        <v>Occultist</v>
      </c>
      <c r="I72" s="3" t="s">
        <v>106</v>
      </c>
      <c r="J72" s="8" t="str">
        <f t="shared" si="34"/>
        <v>class0003</v>
      </c>
      <c r="K72" s="8" t="str">
        <f t="shared" si="34"/>
        <v>dailoneskill0003</v>
      </c>
      <c r="L72" s="5" t="str">
        <f t="shared" si="27"/>
        <v>lootName70,DAIL/items/materia/class0003/Occultist70.dbr,</v>
      </c>
      <c r="M72" s="5" t="str">
        <f t="shared" si="28"/>
        <v>lootWeight70,1,</v>
      </c>
      <c r="N72" t="str">
        <f t="shared" si="29"/>
        <v>5</v>
      </c>
      <c r="O72" t="str">
        <f t="shared" si="38"/>
        <v>copy .\dail_base3.dbr .\items\materia\class0003\Occultist70.dbr /y</v>
      </c>
      <c r="P72" t="str">
        <f t="shared" si="24"/>
        <v>echo relicBitmap,items/craftingparts/components/component_a52_bristlyfur_b.tex, &gt;&gt; .\items\materia\class0003\Occultist70.dbr</v>
      </c>
      <c r="Q72" t="str">
        <f t="shared" si="24"/>
        <v>echo itemCost,500000, &gt;&gt; .\items\materia\class0003\Occultist70.dbr</v>
      </c>
      <c r="R72" t="str">
        <f t="shared" si="24"/>
        <v>echo description,dailCompDescOccultist70, &gt;&gt; .\items\materia\class0003\Occultist70.dbr</v>
      </c>
      <c r="S72" t="str">
        <f t="shared" si="24"/>
        <v>echo itemText,dailCompTextOccultist70, &gt;&gt; .\items\materia\class0003\Occultist70.dbr</v>
      </c>
      <c r="T72" t="str">
        <f t="shared" si="24"/>
        <v>echo augmentSkillLevel1,5, &gt;&gt; .\items\materia\class0003\Occultist70.dbr</v>
      </c>
      <c r="U72" t="str">
        <f t="shared" si="24"/>
        <v>echo augmentSkillName1,records/skills/playerclass03/possession1.dbr, &gt;&gt; .\items\materia\class0003\Occultist70.dbr</v>
      </c>
      <c r="V72" s="5" t="s">
        <v>36</v>
      </c>
      <c r="W72" t="str">
        <f t="shared" si="30"/>
        <v>echo lootName70,DAIL/items/materia/class0003/Occultist70.dbr, &gt;&gt; .\items\loottables\dailoneskill0003.dbr</v>
      </c>
      <c r="X72" t="str">
        <f t="shared" si="30"/>
        <v>echo lootWeight70,1, &gt;&gt; .\items\loottables\dailoneskill0003.dbr</v>
      </c>
      <c r="Y72" s="5" t="s">
        <v>36</v>
      </c>
      <c r="Z72" t="str">
        <f t="shared" si="31"/>
        <v xml:space="preserve"> dailCompDescOccultist70=^pOccultist's Gift of DAIL</v>
      </c>
      <c r="AA72" t="str">
        <f t="shared" si="39"/>
        <v>dailCompTextOccultist70=^oThis feels warm to the touch, almost familiar ^w(This component only fits into the Medal Slot)</v>
      </c>
      <c r="AB72" s="5" t="s">
        <v>36</v>
      </c>
      <c r="AH72">
        <f t="shared" ref="AH72:AH102" si="41">AH71+1</f>
        <v>67</v>
      </c>
      <c r="AI72">
        <f t="shared" si="35"/>
        <v>30</v>
      </c>
      <c r="AJ72">
        <f t="shared" si="40"/>
        <v>5</v>
      </c>
    </row>
    <row r="73" spans="1:36" x14ac:dyDescent="0.25">
      <c r="A73" s="5" t="s">
        <v>39</v>
      </c>
      <c r="B73" s="5" t="s">
        <v>30</v>
      </c>
      <c r="C73" s="5" t="str">
        <f t="shared" si="25"/>
        <v>description,dailCompDescOccultist71,</v>
      </c>
      <c r="D73" s="5" t="str">
        <f t="shared" si="26"/>
        <v>itemText,dailCompTextOccultist71,</v>
      </c>
      <c r="E73" s="5" t="str">
        <f t="shared" si="36"/>
        <v>augmentSkillLevel1,5,</v>
      </c>
      <c r="F73" s="5" t="str">
        <f t="shared" si="37"/>
        <v>augmentSkillName1,records/skills/playerclass03/evileye1.dbr,</v>
      </c>
      <c r="G73" s="7">
        <f t="shared" si="32"/>
        <v>71</v>
      </c>
      <c r="H73" s="8" t="str">
        <f t="shared" si="33"/>
        <v>Occultist</v>
      </c>
      <c r="I73" s="3" t="s">
        <v>105</v>
      </c>
      <c r="J73" s="8" t="str">
        <f t="shared" si="34"/>
        <v>class0003</v>
      </c>
      <c r="K73" s="8" t="str">
        <f t="shared" si="34"/>
        <v>dailoneskill0003</v>
      </c>
      <c r="L73" s="5" t="str">
        <f t="shared" si="27"/>
        <v>lootName71,DAIL/items/materia/class0003/Occultist71.dbr,</v>
      </c>
      <c r="M73" s="5" t="str">
        <f t="shared" si="28"/>
        <v>lootWeight71,1,</v>
      </c>
      <c r="N73" t="str">
        <f t="shared" si="29"/>
        <v>5</v>
      </c>
      <c r="O73" t="str">
        <f t="shared" si="38"/>
        <v>copy .\dail_base3.dbr .\items\materia\class0003\Occultist71.dbr /y</v>
      </c>
      <c r="P73" t="str">
        <f t="shared" si="24"/>
        <v>echo relicBitmap,items/craftingparts/components/component_a52_bristlyfur_b.tex, &gt;&gt; .\items\materia\class0003\Occultist71.dbr</v>
      </c>
      <c r="Q73" t="str">
        <f t="shared" si="24"/>
        <v>echo itemCost,500000, &gt;&gt; .\items\materia\class0003\Occultist71.dbr</v>
      </c>
      <c r="R73" t="str">
        <f t="shared" si="24"/>
        <v>echo description,dailCompDescOccultist71, &gt;&gt; .\items\materia\class0003\Occultist71.dbr</v>
      </c>
      <c r="S73" t="str">
        <f t="shared" si="24"/>
        <v>echo itemText,dailCompTextOccultist71, &gt;&gt; .\items\materia\class0003\Occultist71.dbr</v>
      </c>
      <c r="T73" t="str">
        <f t="shared" si="24"/>
        <v>echo augmentSkillLevel1,5, &gt;&gt; .\items\materia\class0003\Occultist71.dbr</v>
      </c>
      <c r="U73" t="str">
        <f t="shared" si="24"/>
        <v>echo augmentSkillName1,records/skills/playerclass03/evileye1.dbr, &gt;&gt; .\items\materia\class0003\Occultist71.dbr</v>
      </c>
      <c r="V73" s="5" t="s">
        <v>36</v>
      </c>
      <c r="W73" t="str">
        <f t="shared" si="30"/>
        <v>echo lootName71,DAIL/items/materia/class0003/Occultist71.dbr, &gt;&gt; .\items\loottables\dailoneskill0003.dbr</v>
      </c>
      <c r="X73" t="str">
        <f t="shared" si="30"/>
        <v>echo lootWeight71,1, &gt;&gt; .\items\loottables\dailoneskill0003.dbr</v>
      </c>
      <c r="Y73" s="5" t="s">
        <v>36</v>
      </c>
      <c r="Z73" t="str">
        <f t="shared" si="31"/>
        <v xml:space="preserve"> dailCompDescOccultist71=^pOccultist's Gift of DAIL</v>
      </c>
      <c r="AA73" t="str">
        <f t="shared" si="39"/>
        <v>dailCompTextOccultist71=^oThis feels warm to the touch, almost familiar ^w(This component only fits into the Medal Slot)</v>
      </c>
      <c r="AB73" s="5" t="s">
        <v>36</v>
      </c>
      <c r="AH73">
        <f t="shared" si="41"/>
        <v>68</v>
      </c>
      <c r="AI73">
        <f t="shared" si="35"/>
        <v>27</v>
      </c>
      <c r="AJ73">
        <f t="shared" si="40"/>
        <v>5</v>
      </c>
    </row>
    <row r="74" spans="1:36" x14ac:dyDescent="0.25">
      <c r="A74" s="5" t="s">
        <v>39</v>
      </c>
      <c r="B74" s="5" t="s">
        <v>30</v>
      </c>
      <c r="C74" s="5" t="str">
        <f t="shared" si="25"/>
        <v>description,dailCompDescOccultist72,</v>
      </c>
      <c r="D74" s="5" t="str">
        <f t="shared" si="26"/>
        <v>itemText,dailCompTextOccultist72,</v>
      </c>
      <c r="E74" s="5" t="str">
        <f t="shared" si="36"/>
        <v>augmentSkillLevel1,5,</v>
      </c>
      <c r="F74" s="5" t="str">
        <f t="shared" si="37"/>
        <v>augmentSkillName1,records/skills/playerclass03/evileye2.dbr,</v>
      </c>
      <c r="G74" s="7">
        <f t="shared" si="32"/>
        <v>72</v>
      </c>
      <c r="H74" s="8" t="str">
        <f t="shared" si="33"/>
        <v>Occultist</v>
      </c>
      <c r="I74" s="3" t="s">
        <v>290</v>
      </c>
      <c r="J74" s="8" t="str">
        <f t="shared" si="34"/>
        <v>class0003</v>
      </c>
      <c r="K74" s="8" t="str">
        <f t="shared" si="34"/>
        <v>dailoneskill0003</v>
      </c>
      <c r="L74" s="5" t="str">
        <f t="shared" si="27"/>
        <v>lootName72,DAIL/items/materia/class0003/Occultist72.dbr,</v>
      </c>
      <c r="M74" s="5" t="str">
        <f t="shared" si="28"/>
        <v>lootWeight72,1,</v>
      </c>
      <c r="N74" t="str">
        <f t="shared" si="29"/>
        <v>5</v>
      </c>
      <c r="O74" t="str">
        <f t="shared" si="38"/>
        <v>copy .\dail_base3.dbr .\items\materia\class0003\Occultist72.dbr /y</v>
      </c>
      <c r="P74" t="str">
        <f t="shared" si="24"/>
        <v>echo relicBitmap,items/craftingparts/components/component_a52_bristlyfur_b.tex, &gt;&gt; .\items\materia\class0003\Occultist72.dbr</v>
      </c>
      <c r="Q74" t="str">
        <f t="shared" si="24"/>
        <v>echo itemCost,500000, &gt;&gt; .\items\materia\class0003\Occultist72.dbr</v>
      </c>
      <c r="R74" t="str">
        <f t="shared" si="24"/>
        <v>echo description,dailCompDescOccultist72, &gt;&gt; .\items\materia\class0003\Occultist72.dbr</v>
      </c>
      <c r="S74" t="str">
        <f t="shared" si="24"/>
        <v>echo itemText,dailCompTextOccultist72, &gt;&gt; .\items\materia\class0003\Occultist72.dbr</v>
      </c>
      <c r="T74" t="str">
        <f t="shared" si="24"/>
        <v>echo augmentSkillLevel1,5, &gt;&gt; .\items\materia\class0003\Occultist72.dbr</v>
      </c>
      <c r="U74" t="str">
        <f t="shared" si="24"/>
        <v>echo augmentSkillName1,records/skills/playerclass03/evileye2.dbr, &gt;&gt; .\items\materia\class0003\Occultist72.dbr</v>
      </c>
      <c r="V74" s="5" t="s">
        <v>36</v>
      </c>
      <c r="W74" t="str">
        <f t="shared" si="30"/>
        <v>echo lootName72,DAIL/items/materia/class0003/Occultist72.dbr, &gt;&gt; .\items\loottables\dailoneskill0003.dbr</v>
      </c>
      <c r="X74" t="str">
        <f t="shared" si="30"/>
        <v>echo lootWeight72,1, &gt;&gt; .\items\loottables\dailoneskill0003.dbr</v>
      </c>
      <c r="Y74" s="5" t="s">
        <v>36</v>
      </c>
      <c r="Z74" t="str">
        <f t="shared" si="31"/>
        <v xml:space="preserve"> dailCompDescOccultist72=^pOccultist's Gift of DAIL</v>
      </c>
      <c r="AA74" t="str">
        <f t="shared" si="39"/>
        <v>dailCompTextOccultist72=^oThis feels warm to the touch, almost familiar ^w(This component only fits into the Medal Slot)</v>
      </c>
      <c r="AB74" s="5" t="s">
        <v>36</v>
      </c>
      <c r="AH74">
        <f t="shared" si="41"/>
        <v>69</v>
      </c>
      <c r="AI74">
        <f t="shared" si="35"/>
        <v>27</v>
      </c>
      <c r="AJ74">
        <f t="shared" si="40"/>
        <v>5</v>
      </c>
    </row>
    <row r="75" spans="1:36" x14ac:dyDescent="0.25">
      <c r="A75" s="5" t="s">
        <v>39</v>
      </c>
      <c r="B75" s="5" t="s">
        <v>30</v>
      </c>
      <c r="C75" s="5" t="str">
        <f t="shared" si="25"/>
        <v>description,dailCompDescOccultist73,</v>
      </c>
      <c r="D75" s="5" t="str">
        <f t="shared" si="26"/>
        <v>itemText,dailCompTextOccultist73,</v>
      </c>
      <c r="E75" s="5" t="str">
        <f t="shared" si="36"/>
        <v>augmentSkillLevel1,5,</v>
      </c>
      <c r="F75" s="5" t="str">
        <f t="shared" si="37"/>
        <v>augmentSkillName1,records/skills/playerclass03/evileye1b.dbr,</v>
      </c>
      <c r="G75" s="7">
        <f t="shared" si="32"/>
        <v>73</v>
      </c>
      <c r="H75" s="8" t="str">
        <f t="shared" si="33"/>
        <v>Occultist</v>
      </c>
      <c r="I75" s="3" t="s">
        <v>291</v>
      </c>
      <c r="J75" s="8" t="str">
        <f t="shared" si="34"/>
        <v>class0003</v>
      </c>
      <c r="K75" s="8" t="str">
        <f t="shared" si="34"/>
        <v>dailoneskill0003</v>
      </c>
      <c r="L75" s="5" t="str">
        <f t="shared" si="27"/>
        <v>lootName73,DAIL/items/materia/class0003/Occultist73.dbr,</v>
      </c>
      <c r="M75" s="5" t="str">
        <f t="shared" si="28"/>
        <v>lootWeight73,1,</v>
      </c>
      <c r="N75" t="str">
        <f t="shared" si="29"/>
        <v>5</v>
      </c>
      <c r="O75" t="str">
        <f t="shared" si="38"/>
        <v>copy .\dail_base3.dbr .\items\materia\class0003\Occultist73.dbr /y</v>
      </c>
      <c r="P75" t="str">
        <f t="shared" si="24"/>
        <v>echo relicBitmap,items/craftingparts/components/component_a52_bristlyfur_b.tex, &gt;&gt; .\items\materia\class0003\Occultist73.dbr</v>
      </c>
      <c r="Q75" t="str">
        <f t="shared" si="24"/>
        <v>echo itemCost,500000, &gt;&gt; .\items\materia\class0003\Occultist73.dbr</v>
      </c>
      <c r="R75" t="str">
        <f t="shared" si="24"/>
        <v>echo description,dailCompDescOccultist73, &gt;&gt; .\items\materia\class0003\Occultist73.dbr</v>
      </c>
      <c r="S75" t="str">
        <f t="shared" si="24"/>
        <v>echo itemText,dailCompTextOccultist73, &gt;&gt; .\items\materia\class0003\Occultist73.dbr</v>
      </c>
      <c r="T75" t="str">
        <f t="shared" si="24"/>
        <v>echo augmentSkillLevel1,5, &gt;&gt; .\items\materia\class0003\Occultist73.dbr</v>
      </c>
      <c r="U75" t="str">
        <f t="shared" si="24"/>
        <v>echo augmentSkillName1,records/skills/playerclass03/evileye1b.dbr, &gt;&gt; .\items\materia\class0003\Occultist73.dbr</v>
      </c>
      <c r="V75" s="5" t="s">
        <v>36</v>
      </c>
      <c r="W75" t="str">
        <f t="shared" si="30"/>
        <v>echo lootName73,DAIL/items/materia/class0003/Occultist73.dbr, &gt;&gt; .\items\loottables\dailoneskill0003.dbr</v>
      </c>
      <c r="X75" t="str">
        <f t="shared" si="30"/>
        <v>echo lootWeight73,1, &gt;&gt; .\items\loottables\dailoneskill0003.dbr</v>
      </c>
      <c r="Y75" s="5" t="s">
        <v>36</v>
      </c>
      <c r="Z75" t="str">
        <f t="shared" si="31"/>
        <v xml:space="preserve"> dailCompDescOccultist73=^pOccultist's Gift of DAIL</v>
      </c>
      <c r="AA75" t="str">
        <f t="shared" si="39"/>
        <v>dailCompTextOccultist73=^oThis feels warm to the touch, almost familiar ^w(This component only fits into the Medal Slot)</v>
      </c>
      <c r="AB75" s="5" t="s">
        <v>36</v>
      </c>
      <c r="AH75">
        <f t="shared" si="41"/>
        <v>70</v>
      </c>
      <c r="AI75">
        <f t="shared" si="35"/>
        <v>28</v>
      </c>
      <c r="AJ75">
        <f t="shared" si="40"/>
        <v>5</v>
      </c>
    </row>
    <row r="76" spans="1:36" x14ac:dyDescent="0.25">
      <c r="A76" s="5" t="s">
        <v>39</v>
      </c>
      <c r="B76" s="5" t="s">
        <v>30</v>
      </c>
      <c r="C76" s="5" t="str">
        <f t="shared" si="25"/>
        <v>description,dailCompDescOccultist74,</v>
      </c>
      <c r="D76" s="5" t="str">
        <f t="shared" si="26"/>
        <v>itemText,dailCompTextOccultist74,</v>
      </c>
      <c r="E76" s="5" t="str">
        <f t="shared" si="36"/>
        <v>augmentSkillLevel1,5,</v>
      </c>
      <c r="F76" s="5" t="str">
        <f t="shared" si="37"/>
        <v>augmentSkillName1,records/skills/playerclass03/summon_raven1.dbr,</v>
      </c>
      <c r="G76" s="7">
        <f t="shared" si="32"/>
        <v>74</v>
      </c>
      <c r="H76" s="8" t="str">
        <f t="shared" si="33"/>
        <v>Occultist</v>
      </c>
      <c r="I76" s="3" t="s">
        <v>110</v>
      </c>
      <c r="J76" s="8" t="str">
        <f t="shared" si="34"/>
        <v>class0003</v>
      </c>
      <c r="K76" s="8" t="str">
        <f t="shared" si="34"/>
        <v>dailoneskill0003</v>
      </c>
      <c r="L76" s="5" t="str">
        <f t="shared" si="27"/>
        <v>lootName74,DAIL/items/materia/class0003/Occultist74.dbr,</v>
      </c>
      <c r="M76" s="5" t="str">
        <f t="shared" si="28"/>
        <v>lootWeight74,1,</v>
      </c>
      <c r="N76" t="str">
        <f t="shared" si="29"/>
        <v>5</v>
      </c>
      <c r="O76" t="str">
        <f t="shared" si="38"/>
        <v>copy .\dail_base3.dbr .\items\materia\class0003\Occultist74.dbr /y</v>
      </c>
      <c r="P76" t="str">
        <f t="shared" si="24"/>
        <v>echo relicBitmap,items/craftingparts/components/component_a52_bristlyfur_b.tex, &gt;&gt; .\items\materia\class0003\Occultist74.dbr</v>
      </c>
      <c r="Q76" t="str">
        <f t="shared" si="24"/>
        <v>echo itemCost,500000, &gt;&gt; .\items\materia\class0003\Occultist74.dbr</v>
      </c>
      <c r="R76" t="str">
        <f t="shared" si="24"/>
        <v>echo description,dailCompDescOccultist74, &gt;&gt; .\items\materia\class0003\Occultist74.dbr</v>
      </c>
      <c r="S76" t="str">
        <f t="shared" si="24"/>
        <v>echo itemText,dailCompTextOccultist74, &gt;&gt; .\items\materia\class0003\Occultist74.dbr</v>
      </c>
      <c r="T76" t="str">
        <f t="shared" si="24"/>
        <v>echo augmentSkillLevel1,5, &gt;&gt; .\items\materia\class0003\Occultist74.dbr</v>
      </c>
      <c r="U76" t="str">
        <f t="shared" si="24"/>
        <v>echo augmentSkillName1,records/skills/playerclass03/summon_raven1.dbr, &gt;&gt; .\items\materia\class0003\Occultist74.dbr</v>
      </c>
      <c r="V76" s="5" t="s">
        <v>36</v>
      </c>
      <c r="W76" t="str">
        <f t="shared" si="30"/>
        <v>echo lootName74,DAIL/items/materia/class0003/Occultist74.dbr, &gt;&gt; .\items\loottables\dailoneskill0003.dbr</v>
      </c>
      <c r="X76" t="str">
        <f t="shared" si="30"/>
        <v>echo lootWeight74,1, &gt;&gt; .\items\loottables\dailoneskill0003.dbr</v>
      </c>
      <c r="Y76" s="5" t="s">
        <v>36</v>
      </c>
      <c r="Z76" t="str">
        <f t="shared" si="31"/>
        <v xml:space="preserve"> dailCompDescOccultist74=^pOccultist's Gift of DAIL</v>
      </c>
      <c r="AA76" t="str">
        <f t="shared" si="39"/>
        <v>dailCompTextOccultist74=^oThis feels warm to the touch, almost familiar ^w(This component only fits into the Medal Slot)</v>
      </c>
      <c r="AB76" s="5" t="s">
        <v>36</v>
      </c>
      <c r="AH76">
        <f t="shared" si="41"/>
        <v>71</v>
      </c>
      <c r="AI76">
        <f t="shared" si="35"/>
        <v>32</v>
      </c>
      <c r="AJ76">
        <f t="shared" si="40"/>
        <v>5</v>
      </c>
    </row>
    <row r="77" spans="1:36" x14ac:dyDescent="0.25">
      <c r="A77" s="5" t="s">
        <v>39</v>
      </c>
      <c r="B77" s="5" t="s">
        <v>30</v>
      </c>
      <c r="C77" s="5" t="str">
        <f t="shared" si="25"/>
        <v>description,dailCompDescOccultist75,</v>
      </c>
      <c r="D77" s="5" t="str">
        <f t="shared" si="26"/>
        <v>itemText,dailCompTextOccultist75,</v>
      </c>
      <c r="E77" s="5" t="str">
        <f t="shared" si="36"/>
        <v>augmentSkillLevel1,5,</v>
      </c>
      <c r="F77" s="5" t="str">
        <f t="shared" si="37"/>
        <v>augmentSkillName1,records/skills/playerclass03/evileye3.dbr,</v>
      </c>
      <c r="G77" s="7">
        <f t="shared" si="32"/>
        <v>75</v>
      </c>
      <c r="H77" s="8" t="str">
        <f t="shared" si="33"/>
        <v>Occultist</v>
      </c>
      <c r="I77" s="3" t="s">
        <v>292</v>
      </c>
      <c r="J77" s="8" t="str">
        <f t="shared" si="34"/>
        <v>class0003</v>
      </c>
      <c r="K77" s="8" t="str">
        <f t="shared" si="34"/>
        <v>dailoneskill0003</v>
      </c>
      <c r="L77" s="5" t="str">
        <f t="shared" si="27"/>
        <v>lootName75,DAIL/items/materia/class0003/Occultist75.dbr,</v>
      </c>
      <c r="M77" s="5" t="str">
        <f t="shared" si="28"/>
        <v>lootWeight75,1,</v>
      </c>
      <c r="N77" t="str">
        <f t="shared" si="29"/>
        <v>5</v>
      </c>
      <c r="O77" t="str">
        <f t="shared" si="38"/>
        <v>copy .\dail_base3.dbr .\items\materia\class0003\Occultist75.dbr /y</v>
      </c>
      <c r="P77" t="str">
        <f t="shared" si="24"/>
        <v>echo relicBitmap,items/craftingparts/components/component_a52_bristlyfur_b.tex, &gt;&gt; .\items\materia\class0003\Occultist75.dbr</v>
      </c>
      <c r="Q77" t="str">
        <f t="shared" si="24"/>
        <v>echo itemCost,500000, &gt;&gt; .\items\materia\class0003\Occultist75.dbr</v>
      </c>
      <c r="R77" t="str">
        <f t="shared" si="24"/>
        <v>echo description,dailCompDescOccultist75, &gt;&gt; .\items\materia\class0003\Occultist75.dbr</v>
      </c>
      <c r="S77" t="str">
        <f t="shared" si="24"/>
        <v>echo itemText,dailCompTextOccultist75, &gt;&gt; .\items\materia\class0003\Occultist75.dbr</v>
      </c>
      <c r="T77" t="str">
        <f t="shared" si="24"/>
        <v>echo augmentSkillLevel1,5, &gt;&gt; .\items\materia\class0003\Occultist75.dbr</v>
      </c>
      <c r="U77" t="str">
        <f t="shared" si="24"/>
        <v>echo augmentSkillName1,records/skills/playerclass03/evileye3.dbr, &gt;&gt; .\items\materia\class0003\Occultist75.dbr</v>
      </c>
      <c r="V77" s="5" t="s">
        <v>36</v>
      </c>
      <c r="W77" t="str">
        <f t="shared" si="30"/>
        <v>echo lootName75,DAIL/items/materia/class0003/Occultist75.dbr, &gt;&gt; .\items\loottables\dailoneskill0003.dbr</v>
      </c>
      <c r="X77" t="str">
        <f t="shared" si="30"/>
        <v>echo lootWeight75,1, &gt;&gt; .\items\loottables\dailoneskill0003.dbr</v>
      </c>
      <c r="Y77" s="5" t="s">
        <v>36</v>
      </c>
      <c r="Z77" t="str">
        <f t="shared" si="31"/>
        <v xml:space="preserve"> dailCompDescOccultist75=^pOccultist's Gift of DAIL</v>
      </c>
      <c r="AA77" t="str">
        <f t="shared" si="39"/>
        <v>dailCompTextOccultist75=^oThis feels warm to the touch, almost familiar ^w(This component only fits into the Medal Slot)</v>
      </c>
      <c r="AB77" s="5" t="s">
        <v>36</v>
      </c>
      <c r="AH77">
        <f t="shared" si="41"/>
        <v>72</v>
      </c>
      <c r="AI77">
        <f t="shared" si="35"/>
        <v>27</v>
      </c>
      <c r="AJ77">
        <f t="shared" si="40"/>
        <v>5</v>
      </c>
    </row>
    <row r="78" spans="1:36" x14ac:dyDescent="0.25">
      <c r="A78" s="5" t="s">
        <v>39</v>
      </c>
      <c r="B78" s="5" t="s">
        <v>30</v>
      </c>
      <c r="C78" s="5" t="str">
        <f t="shared" si="25"/>
        <v>description,dailCompDescOccultist76,</v>
      </c>
      <c r="D78" s="5" t="str">
        <f t="shared" si="26"/>
        <v>itemText,dailCompTextOccultist76,</v>
      </c>
      <c r="E78" s="5" t="str">
        <f t="shared" si="36"/>
        <v>augmentSkillLevel1,5,</v>
      </c>
      <c r="F78" s="5" t="str">
        <f t="shared" si="37"/>
        <v>augmentSkillName1,records/skills/playerclass03/evileye4.dbr,</v>
      </c>
      <c r="G78" s="7">
        <f t="shared" si="32"/>
        <v>76</v>
      </c>
      <c r="H78" s="8" t="str">
        <f t="shared" si="33"/>
        <v>Occultist</v>
      </c>
      <c r="I78" s="3" t="s">
        <v>293</v>
      </c>
      <c r="J78" s="8" t="str">
        <f t="shared" si="34"/>
        <v>class0003</v>
      </c>
      <c r="K78" s="8" t="str">
        <f t="shared" si="34"/>
        <v>dailoneskill0003</v>
      </c>
      <c r="L78" s="5" t="str">
        <f t="shared" si="27"/>
        <v>lootName76,DAIL/items/materia/class0003/Occultist76.dbr,</v>
      </c>
      <c r="M78" s="5" t="str">
        <f t="shared" si="28"/>
        <v>lootWeight76,1,</v>
      </c>
      <c r="N78" t="str">
        <f t="shared" si="29"/>
        <v>5</v>
      </c>
      <c r="O78" t="str">
        <f t="shared" si="38"/>
        <v>copy .\dail_base3.dbr .\items\materia\class0003\Occultist76.dbr /y</v>
      </c>
      <c r="P78" t="str">
        <f t="shared" si="24"/>
        <v>echo relicBitmap,items/craftingparts/components/component_a52_bristlyfur_b.tex, &gt;&gt; .\items\materia\class0003\Occultist76.dbr</v>
      </c>
      <c r="Q78" t="str">
        <f t="shared" si="24"/>
        <v>echo itemCost,500000, &gt;&gt; .\items\materia\class0003\Occultist76.dbr</v>
      </c>
      <c r="R78" t="str">
        <f t="shared" si="24"/>
        <v>echo description,dailCompDescOccultist76, &gt;&gt; .\items\materia\class0003\Occultist76.dbr</v>
      </c>
      <c r="S78" t="str">
        <f t="shared" si="24"/>
        <v>echo itemText,dailCompTextOccultist76, &gt;&gt; .\items\materia\class0003\Occultist76.dbr</v>
      </c>
      <c r="T78" t="str">
        <f t="shared" si="24"/>
        <v>echo augmentSkillLevel1,5, &gt;&gt; .\items\materia\class0003\Occultist76.dbr</v>
      </c>
      <c r="U78" t="str">
        <f t="shared" si="24"/>
        <v>echo augmentSkillName1,records/skills/playerclass03/evileye4.dbr, &gt;&gt; .\items\materia\class0003\Occultist76.dbr</v>
      </c>
      <c r="V78" s="5" t="s">
        <v>36</v>
      </c>
      <c r="W78" t="str">
        <f t="shared" si="30"/>
        <v>echo lootName76,DAIL/items/materia/class0003/Occultist76.dbr, &gt;&gt; .\items\loottables\dailoneskill0003.dbr</v>
      </c>
      <c r="X78" t="str">
        <f t="shared" si="30"/>
        <v>echo lootWeight76,1, &gt;&gt; .\items\loottables\dailoneskill0003.dbr</v>
      </c>
      <c r="Y78" s="5" t="s">
        <v>36</v>
      </c>
      <c r="Z78" t="str">
        <f t="shared" si="31"/>
        <v xml:space="preserve"> dailCompDescOccultist76=^pOccultist's Gift of DAIL</v>
      </c>
      <c r="AA78" t="str">
        <f t="shared" si="39"/>
        <v>dailCompTextOccultist76=^oThis feels warm to the touch, almost familiar ^w(This component only fits into the Medal Slot)</v>
      </c>
      <c r="AB78" s="5" t="s">
        <v>36</v>
      </c>
      <c r="AH78">
        <f t="shared" si="41"/>
        <v>73</v>
      </c>
      <c r="AI78">
        <f t="shared" si="35"/>
        <v>27</v>
      </c>
      <c r="AJ78">
        <f t="shared" si="40"/>
        <v>5</v>
      </c>
    </row>
    <row r="79" spans="1:36" x14ac:dyDescent="0.25">
      <c r="A79" s="5" t="s">
        <v>39</v>
      </c>
      <c r="B79" s="5" t="s">
        <v>30</v>
      </c>
      <c r="C79" s="5" t="str">
        <f t="shared" si="25"/>
        <v>description,dailCompDescOccultist77,</v>
      </c>
      <c r="D79" s="5" t="str">
        <f t="shared" si="26"/>
        <v>itemText,dailCompTextOccultist77,</v>
      </c>
      <c r="E79" s="5" t="str">
        <f t="shared" si="36"/>
        <v>augmentSkillLevel1,5,</v>
      </c>
      <c r="F79" s="5" t="str">
        <f t="shared" si="37"/>
        <v>augmentSkillName1,records/skills/playerclass03/sigilofdestruction1.dbr,</v>
      </c>
      <c r="G79" s="7">
        <f t="shared" si="32"/>
        <v>77</v>
      </c>
      <c r="H79" s="8" t="str">
        <f t="shared" si="33"/>
        <v>Occultist</v>
      </c>
      <c r="I79" s="3" t="s">
        <v>108</v>
      </c>
      <c r="J79" s="8" t="str">
        <f t="shared" si="34"/>
        <v>class0003</v>
      </c>
      <c r="K79" s="8" t="str">
        <f t="shared" si="34"/>
        <v>dailoneskill0003</v>
      </c>
      <c r="L79" s="5" t="str">
        <f t="shared" si="27"/>
        <v>lootName77,DAIL/items/materia/class0003/Occultist77.dbr,</v>
      </c>
      <c r="M79" s="5" t="str">
        <f t="shared" si="28"/>
        <v>lootWeight77,1,</v>
      </c>
      <c r="N79" t="str">
        <f t="shared" si="29"/>
        <v>5</v>
      </c>
      <c r="O79" t="str">
        <f t="shared" si="38"/>
        <v>copy .\dail_base3.dbr .\items\materia\class0003\Occultist77.dbr /y</v>
      </c>
      <c r="P79" t="str">
        <f t="shared" si="24"/>
        <v>echo relicBitmap,items/craftingparts/components/component_a52_bristlyfur_b.tex, &gt;&gt; .\items\materia\class0003\Occultist77.dbr</v>
      </c>
      <c r="Q79" t="str">
        <f t="shared" si="24"/>
        <v>echo itemCost,500000, &gt;&gt; .\items\materia\class0003\Occultist77.dbr</v>
      </c>
      <c r="R79" t="str">
        <f t="shared" si="24"/>
        <v>echo description,dailCompDescOccultist77, &gt;&gt; .\items\materia\class0003\Occultist77.dbr</v>
      </c>
      <c r="S79" t="str">
        <f t="shared" si="24"/>
        <v>echo itemText,dailCompTextOccultist77, &gt;&gt; .\items\materia\class0003\Occultist77.dbr</v>
      </c>
      <c r="T79" t="str">
        <f t="shared" si="24"/>
        <v>echo augmentSkillLevel1,5, &gt;&gt; .\items\materia\class0003\Occultist77.dbr</v>
      </c>
      <c r="U79" t="str">
        <f t="shared" si="24"/>
        <v>echo augmentSkillName1,records/skills/playerclass03/sigilofdestruction1.dbr, &gt;&gt; .\items\materia\class0003\Occultist77.dbr</v>
      </c>
      <c r="V79" s="5" t="s">
        <v>36</v>
      </c>
      <c r="W79" t="str">
        <f t="shared" si="30"/>
        <v>echo lootName77,DAIL/items/materia/class0003/Occultist77.dbr, &gt;&gt; .\items\loottables\dailoneskill0003.dbr</v>
      </c>
      <c r="X79" t="str">
        <f t="shared" si="30"/>
        <v>echo lootWeight77,1, &gt;&gt; .\items\loottables\dailoneskill0003.dbr</v>
      </c>
      <c r="Y79" s="5" t="s">
        <v>36</v>
      </c>
      <c r="Z79" t="str">
        <f t="shared" si="31"/>
        <v xml:space="preserve"> dailCompDescOccultist77=^pOccultist's Gift of DAIL</v>
      </c>
      <c r="AA79" t="str">
        <f t="shared" si="39"/>
        <v>dailCompTextOccultist77=^oThis feels warm to the touch, almost familiar ^w(This component only fits into the Medal Slot)</v>
      </c>
      <c r="AB79" s="5" t="s">
        <v>36</v>
      </c>
      <c r="AH79">
        <f t="shared" si="41"/>
        <v>74</v>
      </c>
      <c r="AI79">
        <f t="shared" si="35"/>
        <v>38</v>
      </c>
      <c r="AJ79">
        <f t="shared" si="40"/>
        <v>5</v>
      </c>
    </row>
    <row r="80" spans="1:36" x14ac:dyDescent="0.25">
      <c r="A80" s="5" t="s">
        <v>39</v>
      </c>
      <c r="B80" s="5" t="s">
        <v>30</v>
      </c>
      <c r="C80" s="5" t="str">
        <f t="shared" si="25"/>
        <v>description,dailCompDescOccultist78,</v>
      </c>
      <c r="D80" s="5" t="str">
        <f t="shared" si="26"/>
        <v>itemText,dailCompTextOccultist78,</v>
      </c>
      <c r="E80" s="5" t="str">
        <f t="shared" si="36"/>
        <v>augmentSkillLevel1,5,</v>
      </c>
      <c r="F80" s="5" t="str">
        <f t="shared" si="37"/>
        <v>augmentSkillName1,records/skills/playerclass03/sigilofdestruction2.dbr,</v>
      </c>
      <c r="G80" s="7">
        <f t="shared" si="32"/>
        <v>78</v>
      </c>
      <c r="H80" s="8" t="str">
        <f t="shared" si="33"/>
        <v>Occultist</v>
      </c>
      <c r="I80" s="3" t="s">
        <v>294</v>
      </c>
      <c r="J80" s="8" t="str">
        <f t="shared" si="34"/>
        <v>class0003</v>
      </c>
      <c r="K80" s="8" t="str">
        <f t="shared" si="34"/>
        <v>dailoneskill0003</v>
      </c>
      <c r="L80" s="5" t="str">
        <f t="shared" si="27"/>
        <v>lootName78,DAIL/items/materia/class0003/Occultist78.dbr,</v>
      </c>
      <c r="M80" s="5" t="str">
        <f t="shared" si="28"/>
        <v>lootWeight78,1,</v>
      </c>
      <c r="N80" t="str">
        <f t="shared" si="29"/>
        <v>5</v>
      </c>
      <c r="O80" t="str">
        <f t="shared" si="38"/>
        <v>copy .\dail_base3.dbr .\items\materia\class0003\Occultist78.dbr /y</v>
      </c>
      <c r="P80" t="str">
        <f t="shared" si="24"/>
        <v>echo relicBitmap,items/craftingparts/components/component_a52_bristlyfur_b.tex, &gt;&gt; .\items\materia\class0003\Occultist78.dbr</v>
      </c>
      <c r="Q80" t="str">
        <f t="shared" si="24"/>
        <v>echo itemCost,500000, &gt;&gt; .\items\materia\class0003\Occultist78.dbr</v>
      </c>
      <c r="R80" t="str">
        <f t="shared" si="24"/>
        <v>echo description,dailCompDescOccultist78, &gt;&gt; .\items\materia\class0003\Occultist78.dbr</v>
      </c>
      <c r="S80" t="str">
        <f t="shared" si="24"/>
        <v>echo itemText,dailCompTextOccultist78, &gt;&gt; .\items\materia\class0003\Occultist78.dbr</v>
      </c>
      <c r="T80" t="str">
        <f t="shared" si="24"/>
        <v>echo augmentSkillLevel1,5, &gt;&gt; .\items\materia\class0003\Occultist78.dbr</v>
      </c>
      <c r="U80" t="str">
        <f t="shared" si="24"/>
        <v>echo augmentSkillName1,records/skills/playerclass03/sigilofdestruction2.dbr, &gt;&gt; .\items\materia\class0003\Occultist78.dbr</v>
      </c>
      <c r="V80" s="5" t="s">
        <v>36</v>
      </c>
      <c r="W80" t="str">
        <f t="shared" si="30"/>
        <v>echo lootName78,DAIL/items/materia/class0003/Occultist78.dbr, &gt;&gt; .\items\loottables\dailoneskill0003.dbr</v>
      </c>
      <c r="X80" t="str">
        <f t="shared" si="30"/>
        <v>echo lootWeight78,1, &gt;&gt; .\items\loottables\dailoneskill0003.dbr</v>
      </c>
      <c r="Y80" s="5" t="s">
        <v>36</v>
      </c>
      <c r="Z80" t="str">
        <f t="shared" si="31"/>
        <v xml:space="preserve"> dailCompDescOccultist78=^pOccultist's Gift of DAIL</v>
      </c>
      <c r="AA80" t="str">
        <f t="shared" si="39"/>
        <v>dailCompTextOccultist78=^oThis feels warm to the touch, almost familiar ^w(This component only fits into the Medal Slot)</v>
      </c>
      <c r="AB80" s="5" t="s">
        <v>36</v>
      </c>
      <c r="AH80">
        <f t="shared" si="41"/>
        <v>75</v>
      </c>
      <c r="AI80">
        <f t="shared" si="35"/>
        <v>38</v>
      </c>
      <c r="AJ80">
        <f t="shared" si="40"/>
        <v>5</v>
      </c>
    </row>
    <row r="81" spans="1:36" x14ac:dyDescent="0.25">
      <c r="A81" s="5" t="s">
        <v>39</v>
      </c>
      <c r="B81" s="5" t="s">
        <v>30</v>
      </c>
      <c r="C81" s="5" t="str">
        <f t="shared" si="25"/>
        <v>description,dailCompDescOccultist79,</v>
      </c>
      <c r="D81" s="5" t="str">
        <f t="shared" si="26"/>
        <v>itemText,dailCompTextOccultist79,</v>
      </c>
      <c r="E81" s="5" t="str">
        <f t="shared" si="36"/>
        <v>augmentSkillLevel1,5,</v>
      </c>
      <c r="F81" s="5" t="str">
        <f t="shared" si="37"/>
        <v>augmentSkillName1,records/skills/playerclass03/pox1.dbr,</v>
      </c>
      <c r="G81" s="7">
        <f t="shared" si="32"/>
        <v>79</v>
      </c>
      <c r="H81" s="8" t="str">
        <f t="shared" si="33"/>
        <v>Occultist</v>
      </c>
      <c r="I81" s="3" t="s">
        <v>107</v>
      </c>
      <c r="J81" s="8" t="str">
        <f t="shared" si="34"/>
        <v>class0003</v>
      </c>
      <c r="K81" s="8" t="str">
        <f t="shared" si="34"/>
        <v>dailoneskill0003</v>
      </c>
      <c r="L81" s="5" t="str">
        <f t="shared" si="27"/>
        <v>lootName79,DAIL/items/materia/class0003/Occultist79.dbr,</v>
      </c>
      <c r="M81" s="5" t="str">
        <f t="shared" si="28"/>
        <v>lootWeight79,1,</v>
      </c>
      <c r="N81" t="str">
        <f t="shared" si="29"/>
        <v>5</v>
      </c>
      <c r="O81" t="str">
        <f t="shared" si="38"/>
        <v>copy .\dail_base3.dbr .\items\materia\class0003\Occultist79.dbr /y</v>
      </c>
      <c r="P81" t="str">
        <f t="shared" si="24"/>
        <v>echo relicBitmap,items/craftingparts/components/component_a52_bristlyfur_b.tex, &gt;&gt; .\items\materia\class0003\Occultist79.dbr</v>
      </c>
      <c r="Q81" t="str">
        <f t="shared" si="24"/>
        <v>echo itemCost,500000, &gt;&gt; .\items\materia\class0003\Occultist79.dbr</v>
      </c>
      <c r="R81" t="str">
        <f t="shared" si="24"/>
        <v>echo description,dailCompDescOccultist79, &gt;&gt; .\items\materia\class0003\Occultist79.dbr</v>
      </c>
      <c r="S81" t="str">
        <f t="shared" si="24"/>
        <v>echo itemText,dailCompTextOccultist79, &gt;&gt; .\items\materia\class0003\Occultist79.dbr</v>
      </c>
      <c r="T81" t="str">
        <f t="shared" si="24"/>
        <v>echo augmentSkillLevel1,5, &gt;&gt; .\items\materia\class0003\Occultist79.dbr</v>
      </c>
      <c r="U81" t="str">
        <f t="shared" si="24"/>
        <v>echo augmentSkillName1,records/skills/playerclass03/pox1.dbr, &gt;&gt; .\items\materia\class0003\Occultist79.dbr</v>
      </c>
      <c r="V81" s="5" t="s">
        <v>36</v>
      </c>
      <c r="W81" t="str">
        <f t="shared" si="30"/>
        <v>echo lootName79,DAIL/items/materia/class0003/Occultist79.dbr, &gt;&gt; .\items\loottables\dailoneskill0003.dbr</v>
      </c>
      <c r="X81" t="str">
        <f t="shared" si="30"/>
        <v>echo lootWeight79,1, &gt;&gt; .\items\loottables\dailoneskill0003.dbr</v>
      </c>
      <c r="Y81" s="5" t="s">
        <v>36</v>
      </c>
      <c r="Z81" t="str">
        <f t="shared" si="31"/>
        <v xml:space="preserve"> dailCompDescOccultist79=^pOccultist's Gift of DAIL</v>
      </c>
      <c r="AA81" t="str">
        <f t="shared" si="39"/>
        <v>dailCompTextOccultist79=^oThis feels warm to the touch, almost familiar ^w(This component only fits into the Medal Slot)</v>
      </c>
      <c r="AB81" s="5" t="s">
        <v>36</v>
      </c>
      <c r="AH81">
        <f t="shared" si="41"/>
        <v>76</v>
      </c>
      <c r="AI81">
        <f t="shared" si="35"/>
        <v>23</v>
      </c>
      <c r="AJ81">
        <f t="shared" si="40"/>
        <v>5</v>
      </c>
    </row>
    <row r="82" spans="1:36" x14ac:dyDescent="0.25">
      <c r="A82" s="5" t="s">
        <v>39</v>
      </c>
      <c r="B82" s="5" t="s">
        <v>30</v>
      </c>
      <c r="C82" s="5" t="str">
        <f t="shared" si="25"/>
        <v>description,dailCompDescOccultist80,</v>
      </c>
      <c r="D82" s="5" t="str">
        <f t="shared" si="26"/>
        <v>itemText,dailCompTextOccultist80,</v>
      </c>
      <c r="E82" s="5" t="str">
        <f t="shared" si="36"/>
        <v>augmentSkillLevel1,5,</v>
      </c>
      <c r="F82" s="5" t="str">
        <f t="shared" si="37"/>
        <v>augmentSkillName1,records/skills/playerclass03/pox1b.dbr,</v>
      </c>
      <c r="G82" s="7">
        <f t="shared" si="32"/>
        <v>80</v>
      </c>
      <c r="H82" s="8" t="str">
        <f t="shared" si="33"/>
        <v>Occultist</v>
      </c>
      <c r="I82" s="3" t="s">
        <v>295</v>
      </c>
      <c r="J82" s="8" t="str">
        <f t="shared" si="34"/>
        <v>class0003</v>
      </c>
      <c r="K82" s="8" t="str">
        <f t="shared" si="34"/>
        <v>dailoneskill0003</v>
      </c>
      <c r="L82" s="5" t="str">
        <f t="shared" si="27"/>
        <v>lootName80,DAIL/items/materia/class0003/Occultist80.dbr,</v>
      </c>
      <c r="M82" s="5" t="str">
        <f t="shared" si="28"/>
        <v>lootWeight80,1,</v>
      </c>
      <c r="N82" t="str">
        <f t="shared" si="29"/>
        <v>5</v>
      </c>
      <c r="O82" t="str">
        <f t="shared" si="38"/>
        <v>copy .\dail_base3.dbr .\items\materia\class0003\Occultist80.dbr /y</v>
      </c>
      <c r="P82" t="str">
        <f t="shared" si="24"/>
        <v>echo relicBitmap,items/craftingparts/components/component_a52_bristlyfur_b.tex, &gt;&gt; .\items\materia\class0003\Occultist80.dbr</v>
      </c>
      <c r="Q82" t="str">
        <f t="shared" si="24"/>
        <v>echo itemCost,500000, &gt;&gt; .\items\materia\class0003\Occultist80.dbr</v>
      </c>
      <c r="R82" t="str">
        <f t="shared" si="24"/>
        <v>echo description,dailCompDescOccultist80, &gt;&gt; .\items\materia\class0003\Occultist80.dbr</v>
      </c>
      <c r="S82" t="str">
        <f t="shared" si="24"/>
        <v>echo itemText,dailCompTextOccultist80, &gt;&gt; .\items\materia\class0003\Occultist80.dbr</v>
      </c>
      <c r="T82" t="str">
        <f t="shared" si="24"/>
        <v>echo augmentSkillLevel1,5, &gt;&gt; .\items\materia\class0003\Occultist80.dbr</v>
      </c>
      <c r="U82" t="str">
        <f t="shared" si="24"/>
        <v>echo augmentSkillName1,records/skills/playerclass03/pox1b.dbr, &gt;&gt; .\items\materia\class0003\Occultist80.dbr</v>
      </c>
      <c r="V82" s="5" t="s">
        <v>36</v>
      </c>
      <c r="W82" t="str">
        <f t="shared" si="30"/>
        <v>echo lootName80,DAIL/items/materia/class0003/Occultist80.dbr, &gt;&gt; .\items\loottables\dailoneskill0003.dbr</v>
      </c>
      <c r="X82" t="str">
        <f t="shared" si="30"/>
        <v>echo lootWeight80,1, &gt;&gt; .\items\loottables\dailoneskill0003.dbr</v>
      </c>
      <c r="Y82" s="5" t="s">
        <v>36</v>
      </c>
      <c r="Z82" t="str">
        <f t="shared" si="31"/>
        <v xml:space="preserve"> dailCompDescOccultist80=^pOccultist's Gift of DAIL</v>
      </c>
      <c r="AA82" t="str">
        <f t="shared" si="39"/>
        <v>dailCompTextOccultist80=^oThis feels warm to the touch, almost familiar ^w(This component only fits into the Medal Slot)</v>
      </c>
      <c r="AB82" s="5" t="s">
        <v>36</v>
      </c>
      <c r="AH82">
        <f t="shared" si="41"/>
        <v>77</v>
      </c>
      <c r="AI82">
        <f t="shared" si="35"/>
        <v>24</v>
      </c>
      <c r="AJ82">
        <f t="shared" si="40"/>
        <v>5</v>
      </c>
    </row>
    <row r="83" spans="1:36" x14ac:dyDescent="0.25">
      <c r="A83" s="5" t="s">
        <v>39</v>
      </c>
      <c r="B83" s="5" t="s">
        <v>30</v>
      </c>
      <c r="C83" s="5" t="str">
        <f t="shared" si="25"/>
        <v>description,dailCompDescOccultist81,</v>
      </c>
      <c r="D83" s="5" t="str">
        <f t="shared" si="26"/>
        <v>itemText,dailCompTextOccultist81,</v>
      </c>
      <c r="E83" s="5" t="str">
        <f t="shared" si="36"/>
        <v>augmentSkillLevel1,5,</v>
      </c>
      <c r="F83" s="5" t="str">
        <f t="shared" si="37"/>
        <v>augmentSkillName1,records/skills/playerclass03/pox2.dbr,</v>
      </c>
      <c r="G83" s="7">
        <f t="shared" si="32"/>
        <v>81</v>
      </c>
      <c r="H83" s="8" t="str">
        <f t="shared" si="33"/>
        <v>Occultist</v>
      </c>
      <c r="I83" s="3" t="s">
        <v>296</v>
      </c>
      <c r="J83" s="8" t="str">
        <f t="shared" si="34"/>
        <v>class0003</v>
      </c>
      <c r="K83" s="8" t="str">
        <f t="shared" si="34"/>
        <v>dailoneskill0003</v>
      </c>
      <c r="L83" s="5" t="str">
        <f t="shared" si="27"/>
        <v>lootName81,DAIL/items/materia/class0003/Occultist81.dbr,</v>
      </c>
      <c r="M83" s="5" t="str">
        <f t="shared" si="28"/>
        <v>lootWeight81,1,</v>
      </c>
      <c r="N83" t="str">
        <f t="shared" si="29"/>
        <v>5</v>
      </c>
      <c r="O83" t="str">
        <f t="shared" si="38"/>
        <v>copy .\dail_base3.dbr .\items\materia\class0003\Occultist81.dbr /y</v>
      </c>
      <c r="P83" t="str">
        <f t="shared" si="24"/>
        <v>echo relicBitmap,items/craftingparts/components/component_a52_bristlyfur_b.tex, &gt;&gt; .\items\materia\class0003\Occultist81.dbr</v>
      </c>
      <c r="Q83" t="str">
        <f t="shared" si="24"/>
        <v>echo itemCost,500000, &gt;&gt; .\items\materia\class0003\Occultist81.dbr</v>
      </c>
      <c r="R83" t="str">
        <f t="shared" si="24"/>
        <v>echo description,dailCompDescOccultist81, &gt;&gt; .\items\materia\class0003\Occultist81.dbr</v>
      </c>
      <c r="S83" t="str">
        <f t="shared" si="24"/>
        <v>echo itemText,dailCompTextOccultist81, &gt;&gt; .\items\materia\class0003\Occultist81.dbr</v>
      </c>
      <c r="T83" t="str">
        <f t="shared" si="24"/>
        <v>echo augmentSkillLevel1,5, &gt;&gt; .\items\materia\class0003\Occultist81.dbr</v>
      </c>
      <c r="U83" t="str">
        <f t="shared" si="24"/>
        <v>echo augmentSkillName1,records/skills/playerclass03/pox2.dbr, &gt;&gt; .\items\materia\class0003\Occultist81.dbr</v>
      </c>
      <c r="V83" s="5" t="s">
        <v>36</v>
      </c>
      <c r="W83" t="str">
        <f t="shared" si="30"/>
        <v>echo lootName81,DAIL/items/materia/class0003/Occultist81.dbr, &gt;&gt; .\items\loottables\dailoneskill0003.dbr</v>
      </c>
      <c r="X83" t="str">
        <f t="shared" si="30"/>
        <v>echo lootWeight81,1, &gt;&gt; .\items\loottables\dailoneskill0003.dbr</v>
      </c>
      <c r="Y83" s="5" t="s">
        <v>36</v>
      </c>
      <c r="Z83" t="str">
        <f t="shared" si="31"/>
        <v xml:space="preserve"> dailCompDescOccultist81=^pOccultist's Gift of DAIL</v>
      </c>
      <c r="AA83" t="str">
        <f t="shared" si="39"/>
        <v>dailCompTextOccultist81=^oThis feels warm to the touch, almost familiar ^w(This component only fits into the Medal Slot)</v>
      </c>
      <c r="AB83" s="5" t="s">
        <v>36</v>
      </c>
      <c r="AH83">
        <f t="shared" si="41"/>
        <v>78</v>
      </c>
      <c r="AI83">
        <f t="shared" si="35"/>
        <v>23</v>
      </c>
      <c r="AJ83">
        <f t="shared" si="40"/>
        <v>5</v>
      </c>
    </row>
    <row r="84" spans="1:36" x14ac:dyDescent="0.25">
      <c r="A84" s="5" t="s">
        <v>39</v>
      </c>
      <c r="B84" s="5" t="s">
        <v>30</v>
      </c>
      <c r="C84" s="5" t="str">
        <f t="shared" si="25"/>
        <v>description,dailCompDescOccultist82,</v>
      </c>
      <c r="D84" s="5" t="str">
        <f t="shared" si="26"/>
        <v>itemText,dailCompTextOccultist82,</v>
      </c>
      <c r="E84" s="5" t="str">
        <f t="shared" si="36"/>
        <v>augmentSkillLevel1,5,</v>
      </c>
      <c r="F84" s="5" t="str">
        <f t="shared" si="37"/>
        <v>augmentSkillName1,records/skills/playerclass03/pox3.dbr,</v>
      </c>
      <c r="G84" s="7">
        <f t="shared" si="32"/>
        <v>82</v>
      </c>
      <c r="H84" s="8" t="str">
        <f t="shared" si="33"/>
        <v>Occultist</v>
      </c>
      <c r="I84" s="3" t="s">
        <v>297</v>
      </c>
      <c r="J84" s="8" t="str">
        <f t="shared" si="34"/>
        <v>class0003</v>
      </c>
      <c r="K84" s="8" t="str">
        <f t="shared" si="34"/>
        <v>dailoneskill0003</v>
      </c>
      <c r="L84" s="5" t="str">
        <f t="shared" si="27"/>
        <v>lootName82,DAIL/items/materia/class0003/Occultist82.dbr,</v>
      </c>
      <c r="M84" s="5" t="str">
        <f t="shared" si="28"/>
        <v>lootWeight82,1,</v>
      </c>
      <c r="N84" t="str">
        <f t="shared" si="29"/>
        <v>5</v>
      </c>
      <c r="O84" t="str">
        <f t="shared" si="38"/>
        <v>copy .\dail_base3.dbr .\items\materia\class0003\Occultist82.dbr /y</v>
      </c>
      <c r="P84" t="str">
        <f t="shared" si="24"/>
        <v>echo relicBitmap,items/craftingparts/components/component_a52_bristlyfur_b.tex, &gt;&gt; .\items\materia\class0003\Occultist82.dbr</v>
      </c>
      <c r="Q84" t="str">
        <f t="shared" si="24"/>
        <v>echo itemCost,500000, &gt;&gt; .\items\materia\class0003\Occultist82.dbr</v>
      </c>
      <c r="R84" t="str">
        <f t="shared" si="24"/>
        <v>echo description,dailCompDescOccultist82, &gt;&gt; .\items\materia\class0003\Occultist82.dbr</v>
      </c>
      <c r="S84" t="str">
        <f t="shared" si="24"/>
        <v>echo itemText,dailCompTextOccultist82, &gt;&gt; .\items\materia\class0003\Occultist82.dbr</v>
      </c>
      <c r="T84" t="str">
        <f t="shared" si="24"/>
        <v>echo augmentSkillLevel1,5, &gt;&gt; .\items\materia\class0003\Occultist82.dbr</v>
      </c>
      <c r="U84" t="str">
        <f t="shared" si="24"/>
        <v>echo augmentSkillName1,records/skills/playerclass03/pox3.dbr, &gt;&gt; .\items\materia\class0003\Occultist82.dbr</v>
      </c>
      <c r="V84" s="5" t="s">
        <v>36</v>
      </c>
      <c r="W84" t="str">
        <f t="shared" si="30"/>
        <v>echo lootName82,DAIL/items/materia/class0003/Occultist82.dbr, &gt;&gt; .\items\loottables\dailoneskill0003.dbr</v>
      </c>
      <c r="X84" t="str">
        <f t="shared" si="30"/>
        <v>echo lootWeight82,1, &gt;&gt; .\items\loottables\dailoneskill0003.dbr</v>
      </c>
      <c r="Y84" s="5" t="s">
        <v>36</v>
      </c>
      <c r="Z84" t="str">
        <f t="shared" si="31"/>
        <v xml:space="preserve"> dailCompDescOccultist82=^pOccultist's Gift of DAIL</v>
      </c>
      <c r="AA84" t="str">
        <f t="shared" si="39"/>
        <v>dailCompTextOccultist82=^oThis feels warm to the touch, almost familiar ^w(This component only fits into the Medal Slot)</v>
      </c>
      <c r="AB84" s="5" t="s">
        <v>36</v>
      </c>
      <c r="AH84">
        <f t="shared" si="41"/>
        <v>79</v>
      </c>
      <c r="AI84">
        <f t="shared" si="35"/>
        <v>23</v>
      </c>
      <c r="AJ84">
        <f t="shared" si="40"/>
        <v>5</v>
      </c>
    </row>
    <row r="85" spans="1:36" x14ac:dyDescent="0.25">
      <c r="A85" s="5" t="s">
        <v>39</v>
      </c>
      <c r="B85" s="5" t="s">
        <v>30</v>
      </c>
      <c r="C85" s="5" t="str">
        <f t="shared" si="25"/>
        <v>description,dailCompDescOccultist83,</v>
      </c>
      <c r="D85" s="5" t="str">
        <f t="shared" si="26"/>
        <v>itemText,dailCompTextOccultist83,</v>
      </c>
      <c r="E85" s="5" t="str">
        <f t="shared" si="36"/>
        <v>augmentSkillLevel1,5,</v>
      </c>
      <c r="F85" s="5" t="str">
        <f t="shared" si="37"/>
        <v>augmentSkillName1,records/skills/playerclass03/bondsofbysmiel1.dbr,</v>
      </c>
      <c r="G85" s="7">
        <f t="shared" si="32"/>
        <v>83</v>
      </c>
      <c r="H85" s="8" t="str">
        <f t="shared" si="33"/>
        <v>Occultist</v>
      </c>
      <c r="I85" s="3" t="s">
        <v>102</v>
      </c>
      <c r="J85" s="8" t="str">
        <f t="shared" ref="J85:K100" si="42">J84</f>
        <v>class0003</v>
      </c>
      <c r="K85" s="8" t="str">
        <f t="shared" si="42"/>
        <v>dailoneskill0003</v>
      </c>
      <c r="L85" s="5" t="str">
        <f t="shared" si="27"/>
        <v>lootName83,DAIL/items/materia/class0003/Occultist83.dbr,</v>
      </c>
      <c r="M85" s="5" t="str">
        <f t="shared" si="28"/>
        <v>lootWeight83,1,</v>
      </c>
      <c r="N85" t="str">
        <f t="shared" si="29"/>
        <v>5</v>
      </c>
      <c r="O85" t="str">
        <f t="shared" si="38"/>
        <v>copy .\dail_base3.dbr .\items\materia\class0003\Occultist83.dbr /y</v>
      </c>
      <c r="P85" t="str">
        <f t="shared" si="24"/>
        <v>echo relicBitmap,items/craftingparts/components/component_a52_bristlyfur_b.tex, &gt;&gt; .\items\materia\class0003\Occultist83.dbr</v>
      </c>
      <c r="Q85" t="str">
        <f t="shared" si="24"/>
        <v>echo itemCost,500000, &gt;&gt; .\items\materia\class0003\Occultist83.dbr</v>
      </c>
      <c r="R85" t="str">
        <f t="shared" si="24"/>
        <v>echo description,dailCompDescOccultist83, &gt;&gt; .\items\materia\class0003\Occultist83.dbr</v>
      </c>
      <c r="S85" t="str">
        <f t="shared" si="24"/>
        <v>echo itemText,dailCompTextOccultist83, &gt;&gt; .\items\materia\class0003\Occultist83.dbr</v>
      </c>
      <c r="T85" t="str">
        <f t="shared" si="24"/>
        <v>echo augmentSkillLevel1,5, &gt;&gt; .\items\materia\class0003\Occultist83.dbr</v>
      </c>
      <c r="U85" t="str">
        <f t="shared" si="24"/>
        <v>echo augmentSkillName1,records/skills/playerclass03/bondsofbysmiel1.dbr, &gt;&gt; .\items\materia\class0003\Occultist83.dbr</v>
      </c>
      <c r="V85" s="5" t="s">
        <v>36</v>
      </c>
      <c r="W85" t="str">
        <f t="shared" si="30"/>
        <v>echo lootName83,DAIL/items/materia/class0003/Occultist83.dbr, &gt;&gt; .\items\loottables\dailoneskill0003.dbr</v>
      </c>
      <c r="X85" t="str">
        <f t="shared" si="30"/>
        <v>echo lootWeight83,1, &gt;&gt; .\items\loottables\dailoneskill0003.dbr</v>
      </c>
      <c r="Y85" s="5" t="s">
        <v>36</v>
      </c>
      <c r="Z85" t="str">
        <f t="shared" si="31"/>
        <v xml:space="preserve"> dailCompDescOccultist83=^pOccultist's Gift of DAIL</v>
      </c>
      <c r="AA85" t="str">
        <f t="shared" si="39"/>
        <v>dailCompTextOccultist83=^oThis feels warm to the touch, almost familiar ^w(This component only fits into the Medal Slot)</v>
      </c>
      <c r="AB85" s="5" t="s">
        <v>36</v>
      </c>
      <c r="AH85">
        <f t="shared" si="41"/>
        <v>80</v>
      </c>
      <c r="AI85">
        <f t="shared" si="35"/>
        <v>34</v>
      </c>
      <c r="AJ85">
        <f t="shared" si="40"/>
        <v>5</v>
      </c>
    </row>
    <row r="86" spans="1:36" x14ac:dyDescent="0.25">
      <c r="A86" s="5" t="s">
        <v>39</v>
      </c>
      <c r="B86" s="5" t="s">
        <v>30</v>
      </c>
      <c r="C86" s="5" t="str">
        <f t="shared" si="25"/>
        <v>description,dailCompDescOccultist84,</v>
      </c>
      <c r="D86" s="5" t="str">
        <f t="shared" si="26"/>
        <v>itemText,dailCompTextOccultist84,</v>
      </c>
      <c r="E86" s="5" t="str">
        <f t="shared" si="36"/>
        <v>augmentSkillLevel1,5,</v>
      </c>
      <c r="F86" s="5" t="str">
        <f t="shared" si="37"/>
        <v>augmentSkillName1,records/skills/playerclass03/bondsofbysmiel2.dbr,</v>
      </c>
      <c r="G86" s="7">
        <f t="shared" si="32"/>
        <v>84</v>
      </c>
      <c r="H86" s="8" t="str">
        <f t="shared" si="33"/>
        <v>Occultist</v>
      </c>
      <c r="I86" s="3" t="s">
        <v>298</v>
      </c>
      <c r="J86" s="8" t="str">
        <f t="shared" si="42"/>
        <v>class0003</v>
      </c>
      <c r="K86" s="8" t="str">
        <f t="shared" si="42"/>
        <v>dailoneskill0003</v>
      </c>
      <c r="L86" s="5" t="str">
        <f t="shared" si="27"/>
        <v>lootName84,DAIL/items/materia/class0003/Occultist84.dbr,</v>
      </c>
      <c r="M86" s="5" t="str">
        <f t="shared" si="28"/>
        <v>lootWeight84,1,</v>
      </c>
      <c r="N86" t="str">
        <f t="shared" si="29"/>
        <v>5</v>
      </c>
      <c r="O86" t="str">
        <f t="shared" si="38"/>
        <v>copy .\dail_base3.dbr .\items\materia\class0003\Occultist84.dbr /y</v>
      </c>
      <c r="P86" t="str">
        <f t="shared" si="24"/>
        <v>echo relicBitmap,items/craftingparts/components/component_a52_bristlyfur_b.tex, &gt;&gt; .\items\materia\class0003\Occultist84.dbr</v>
      </c>
      <c r="Q86" t="str">
        <f t="shared" si="24"/>
        <v>echo itemCost,500000, &gt;&gt; .\items\materia\class0003\Occultist84.dbr</v>
      </c>
      <c r="R86" t="str">
        <f t="shared" si="24"/>
        <v>echo description,dailCompDescOccultist84, &gt;&gt; .\items\materia\class0003\Occultist84.dbr</v>
      </c>
      <c r="S86" t="str">
        <f t="shared" si="24"/>
        <v>echo itemText,dailCompTextOccultist84, &gt;&gt; .\items\materia\class0003\Occultist84.dbr</v>
      </c>
      <c r="T86" t="str">
        <f t="shared" si="24"/>
        <v>echo augmentSkillLevel1,5, &gt;&gt; .\items\materia\class0003\Occultist84.dbr</v>
      </c>
      <c r="U86" t="str">
        <f t="shared" si="24"/>
        <v>echo augmentSkillName1,records/skills/playerclass03/bondsofbysmiel2.dbr, &gt;&gt; .\items\materia\class0003\Occultist84.dbr</v>
      </c>
      <c r="V86" s="5" t="s">
        <v>36</v>
      </c>
      <c r="W86" t="str">
        <f t="shared" si="30"/>
        <v>echo lootName84,DAIL/items/materia/class0003/Occultist84.dbr, &gt;&gt; .\items\loottables\dailoneskill0003.dbr</v>
      </c>
      <c r="X86" t="str">
        <f t="shared" si="30"/>
        <v>echo lootWeight84,1, &gt;&gt; .\items\loottables\dailoneskill0003.dbr</v>
      </c>
      <c r="Y86" s="5" t="s">
        <v>36</v>
      </c>
      <c r="Z86" t="str">
        <f t="shared" si="31"/>
        <v xml:space="preserve"> dailCompDescOccultist84=^pOccultist's Gift of DAIL</v>
      </c>
      <c r="AA86" t="str">
        <f t="shared" si="39"/>
        <v>dailCompTextOccultist84=^oThis feels warm to the touch, almost familiar ^w(This component only fits into the Medal Slot)</v>
      </c>
      <c r="AB86" s="5" t="s">
        <v>36</v>
      </c>
      <c r="AH86">
        <f t="shared" si="41"/>
        <v>81</v>
      </c>
      <c r="AI86">
        <f t="shared" si="35"/>
        <v>34</v>
      </c>
      <c r="AJ86">
        <f t="shared" si="40"/>
        <v>5</v>
      </c>
    </row>
    <row r="87" spans="1:36" x14ac:dyDescent="0.25">
      <c r="A87" s="5" t="s">
        <v>39</v>
      </c>
      <c r="B87" s="5" t="s">
        <v>30</v>
      </c>
      <c r="C87" s="5" t="str">
        <f t="shared" si="25"/>
        <v>description,dailCompDescOccultist85,</v>
      </c>
      <c r="D87" s="5" t="str">
        <f t="shared" si="26"/>
        <v>itemText,dailCompTextOccultist85,</v>
      </c>
      <c r="E87" s="5" t="str">
        <f t="shared" si="36"/>
        <v>augmentSkillLevel1,5,</v>
      </c>
      <c r="F87" s="5" t="str">
        <f t="shared" si="37"/>
        <v>augmentSkillName1,records/skills/playerclass03/summon_raven2_petmodifier.dbr,</v>
      </c>
      <c r="G87" s="7">
        <f t="shared" si="32"/>
        <v>85</v>
      </c>
      <c r="H87" s="8" t="str">
        <f t="shared" si="33"/>
        <v>Occultist</v>
      </c>
      <c r="I87" s="3" t="s">
        <v>299</v>
      </c>
      <c r="J87" s="8" t="str">
        <f t="shared" si="42"/>
        <v>class0003</v>
      </c>
      <c r="K87" s="8" t="str">
        <f t="shared" si="42"/>
        <v>dailoneskill0003</v>
      </c>
      <c r="L87" s="5" t="str">
        <f t="shared" si="27"/>
        <v>lootName85,DAIL/items/materia/class0003/Occultist85.dbr,</v>
      </c>
      <c r="M87" s="5" t="str">
        <f t="shared" si="28"/>
        <v>lootWeight85,1,</v>
      </c>
      <c r="N87" t="str">
        <f t="shared" si="29"/>
        <v>5</v>
      </c>
      <c r="O87" t="str">
        <f t="shared" si="38"/>
        <v>copy .\dail_base3.dbr .\items\materia\class0003\Occultist85.dbr /y</v>
      </c>
      <c r="P87" t="str">
        <f t="shared" si="24"/>
        <v>echo relicBitmap,items/craftingparts/components/component_a52_bristlyfur_b.tex, &gt;&gt; .\items\materia\class0003\Occultist85.dbr</v>
      </c>
      <c r="Q87" t="str">
        <f t="shared" si="24"/>
        <v>echo itemCost,500000, &gt;&gt; .\items\materia\class0003\Occultist85.dbr</v>
      </c>
      <c r="R87" t="str">
        <f t="shared" si="24"/>
        <v>echo description,dailCompDescOccultist85, &gt;&gt; .\items\materia\class0003\Occultist85.dbr</v>
      </c>
      <c r="S87" t="str">
        <f t="shared" si="24"/>
        <v>echo itemText,dailCompTextOccultist85, &gt;&gt; .\items\materia\class0003\Occultist85.dbr</v>
      </c>
      <c r="T87" t="str">
        <f t="shared" si="24"/>
        <v>echo augmentSkillLevel1,5, &gt;&gt; .\items\materia\class0003\Occultist85.dbr</v>
      </c>
      <c r="U87" t="str">
        <f t="shared" si="24"/>
        <v>echo augmentSkillName1,records/skills/playerclass03/summon_raven2_petmodifier.dbr, &gt;&gt; .\items\materia\class0003\Occultist85.dbr</v>
      </c>
      <c r="V87" s="5" t="s">
        <v>36</v>
      </c>
      <c r="W87" t="str">
        <f t="shared" si="30"/>
        <v>echo lootName85,DAIL/items/materia/class0003/Occultist85.dbr, &gt;&gt; .\items\loottables\dailoneskill0003.dbr</v>
      </c>
      <c r="X87" t="str">
        <f t="shared" si="30"/>
        <v>echo lootWeight85,1, &gt;&gt; .\items\loottables\dailoneskill0003.dbr</v>
      </c>
      <c r="Y87" s="5" t="s">
        <v>36</v>
      </c>
      <c r="Z87" t="str">
        <f t="shared" si="31"/>
        <v xml:space="preserve"> dailCompDescOccultist85=^pOccultist's Gift of DAIL</v>
      </c>
      <c r="AA87" t="str">
        <f t="shared" si="39"/>
        <v>dailCompTextOccultist85=^oThis feels warm to the touch, almost familiar ^w(This component only fits into the Medal Slot)</v>
      </c>
      <c r="AB87" s="5" t="s">
        <v>36</v>
      </c>
      <c r="AH87">
        <f t="shared" si="41"/>
        <v>82</v>
      </c>
      <c r="AI87">
        <f t="shared" si="35"/>
        <v>44</v>
      </c>
      <c r="AJ87">
        <f t="shared" si="40"/>
        <v>5</v>
      </c>
    </row>
    <row r="88" spans="1:36" x14ac:dyDescent="0.25">
      <c r="A88" s="5" t="s">
        <v>39</v>
      </c>
      <c r="B88" s="5" t="s">
        <v>30</v>
      </c>
      <c r="C88" s="5" t="str">
        <f t="shared" si="25"/>
        <v>description,dailCompDescOccultist86,</v>
      </c>
      <c r="D88" s="5" t="str">
        <f t="shared" si="26"/>
        <v>itemText,dailCompTextOccultist86,</v>
      </c>
      <c r="E88" s="5" t="str">
        <f t="shared" si="36"/>
        <v>augmentSkillLevel1,5,</v>
      </c>
      <c r="F88" s="5" t="str">
        <f t="shared" si="37"/>
        <v>augmentSkillName1,records/skills/playerclass03/curse1.dbr,</v>
      </c>
      <c r="G88" s="7">
        <f t="shared" si="32"/>
        <v>86</v>
      </c>
      <c r="H88" s="8" t="str">
        <f t="shared" si="33"/>
        <v>Occultist</v>
      </c>
      <c r="I88" s="3" t="s">
        <v>103</v>
      </c>
      <c r="J88" s="8" t="str">
        <f t="shared" si="42"/>
        <v>class0003</v>
      </c>
      <c r="K88" s="8" t="str">
        <f t="shared" si="42"/>
        <v>dailoneskill0003</v>
      </c>
      <c r="L88" s="5" t="str">
        <f t="shared" si="27"/>
        <v>lootName86,DAIL/items/materia/class0003/Occultist86.dbr,</v>
      </c>
      <c r="M88" s="5" t="str">
        <f t="shared" si="28"/>
        <v>lootWeight86,1,</v>
      </c>
      <c r="N88" t="str">
        <f t="shared" si="29"/>
        <v>5</v>
      </c>
      <c r="O88" t="str">
        <f t="shared" si="38"/>
        <v>copy .\dail_base3.dbr .\items\materia\class0003\Occultist86.dbr /y</v>
      </c>
      <c r="P88" t="str">
        <f t="shared" si="24"/>
        <v>echo relicBitmap,items/craftingparts/components/component_a52_bristlyfur_b.tex, &gt;&gt; .\items\materia\class0003\Occultist86.dbr</v>
      </c>
      <c r="Q88" t="str">
        <f t="shared" si="24"/>
        <v>echo itemCost,500000, &gt;&gt; .\items\materia\class0003\Occultist86.dbr</v>
      </c>
      <c r="R88" t="str">
        <f t="shared" si="24"/>
        <v>echo description,dailCompDescOccultist86, &gt;&gt; .\items\materia\class0003\Occultist86.dbr</v>
      </c>
      <c r="S88" t="str">
        <f t="shared" si="24"/>
        <v>echo itemText,dailCompTextOccultist86, &gt;&gt; .\items\materia\class0003\Occultist86.dbr</v>
      </c>
      <c r="T88" t="str">
        <f t="shared" si="24"/>
        <v>echo augmentSkillLevel1,5, &gt;&gt; .\items\materia\class0003\Occultist86.dbr</v>
      </c>
      <c r="U88" t="str">
        <f t="shared" si="24"/>
        <v>echo augmentSkillName1,records/skills/playerclass03/curse1.dbr, &gt;&gt; .\items\materia\class0003\Occultist86.dbr</v>
      </c>
      <c r="V88" s="5" t="s">
        <v>36</v>
      </c>
      <c r="W88" t="str">
        <f t="shared" si="30"/>
        <v>echo lootName86,DAIL/items/materia/class0003/Occultist86.dbr, &gt;&gt; .\items\loottables\dailoneskill0003.dbr</v>
      </c>
      <c r="X88" t="str">
        <f t="shared" si="30"/>
        <v>echo lootWeight86,1, &gt;&gt; .\items\loottables\dailoneskill0003.dbr</v>
      </c>
      <c r="Y88" s="5" t="s">
        <v>36</v>
      </c>
      <c r="Z88" t="str">
        <f t="shared" si="31"/>
        <v xml:space="preserve"> dailCompDescOccultist86=^pOccultist's Gift of DAIL</v>
      </c>
      <c r="AA88" t="str">
        <f t="shared" si="39"/>
        <v>dailCompTextOccultist86=^oThis feels warm to the touch, almost familiar ^w(This component only fits into the Medal Slot)</v>
      </c>
      <c r="AB88" s="5" t="s">
        <v>36</v>
      </c>
      <c r="AH88">
        <f t="shared" si="41"/>
        <v>83</v>
      </c>
      <c r="AI88">
        <f t="shared" si="35"/>
        <v>25</v>
      </c>
      <c r="AJ88">
        <f t="shared" si="40"/>
        <v>5</v>
      </c>
    </row>
    <row r="89" spans="1:36" x14ac:dyDescent="0.25">
      <c r="A89" s="5" t="s">
        <v>39</v>
      </c>
      <c r="B89" s="5" t="s">
        <v>30</v>
      </c>
      <c r="C89" s="5" t="str">
        <f t="shared" si="25"/>
        <v>description,dailCompDescOccultist87,</v>
      </c>
      <c r="D89" s="5" t="str">
        <f t="shared" si="26"/>
        <v>itemText,dailCompTextOccultist87,</v>
      </c>
      <c r="E89" s="5" t="str">
        <f t="shared" si="36"/>
        <v>augmentSkillLevel1,5,</v>
      </c>
      <c r="F89" s="5" t="str">
        <f t="shared" si="37"/>
        <v>augmentSkillName1,records/skills/playerclass03/curse2.dbr,</v>
      </c>
      <c r="G89" s="7">
        <f t="shared" si="32"/>
        <v>87</v>
      </c>
      <c r="H89" s="8" t="str">
        <f t="shared" si="33"/>
        <v>Occultist</v>
      </c>
      <c r="I89" s="3" t="s">
        <v>300</v>
      </c>
      <c r="J89" s="8" t="str">
        <f t="shared" si="42"/>
        <v>class0003</v>
      </c>
      <c r="K89" s="8" t="str">
        <f t="shared" si="42"/>
        <v>dailoneskill0003</v>
      </c>
      <c r="L89" s="5" t="str">
        <f t="shared" si="27"/>
        <v>lootName87,DAIL/items/materia/class0003/Occultist87.dbr,</v>
      </c>
      <c r="M89" s="5" t="str">
        <f t="shared" si="28"/>
        <v>lootWeight87,1,</v>
      </c>
      <c r="N89" t="str">
        <f t="shared" si="29"/>
        <v>5</v>
      </c>
      <c r="O89" t="str">
        <f t="shared" si="38"/>
        <v>copy .\dail_base3.dbr .\items\materia\class0003\Occultist87.dbr /y</v>
      </c>
      <c r="P89" t="str">
        <f t="shared" si="24"/>
        <v>echo relicBitmap,items/craftingparts/components/component_a52_bristlyfur_b.tex, &gt;&gt; .\items\materia\class0003\Occultist87.dbr</v>
      </c>
      <c r="Q89" t="str">
        <f t="shared" si="24"/>
        <v>echo itemCost,500000, &gt;&gt; .\items\materia\class0003\Occultist87.dbr</v>
      </c>
      <c r="R89" t="str">
        <f t="shared" si="24"/>
        <v>echo description,dailCompDescOccultist87, &gt;&gt; .\items\materia\class0003\Occultist87.dbr</v>
      </c>
      <c r="S89" t="str">
        <f t="shared" si="24"/>
        <v>echo itemText,dailCompTextOccultist87, &gt;&gt; .\items\materia\class0003\Occultist87.dbr</v>
      </c>
      <c r="T89" t="str">
        <f t="shared" si="24"/>
        <v>echo augmentSkillLevel1,5, &gt;&gt; .\items\materia\class0003\Occultist87.dbr</v>
      </c>
      <c r="U89" t="str">
        <f t="shared" si="24"/>
        <v>echo augmentSkillName1,records/skills/playerclass03/curse2.dbr, &gt;&gt; .\items\materia\class0003\Occultist87.dbr</v>
      </c>
      <c r="V89" s="5" t="s">
        <v>36</v>
      </c>
      <c r="W89" t="str">
        <f t="shared" si="30"/>
        <v>echo lootName87,DAIL/items/materia/class0003/Occultist87.dbr, &gt;&gt; .\items\loottables\dailoneskill0003.dbr</v>
      </c>
      <c r="X89" t="str">
        <f t="shared" si="30"/>
        <v>echo lootWeight87,1, &gt;&gt; .\items\loottables\dailoneskill0003.dbr</v>
      </c>
      <c r="Y89" s="5" t="s">
        <v>36</v>
      </c>
      <c r="Z89" t="str">
        <f t="shared" si="31"/>
        <v xml:space="preserve"> dailCompDescOccultist87=^pOccultist's Gift of DAIL</v>
      </c>
      <c r="AA89" t="str">
        <f t="shared" si="39"/>
        <v>dailCompTextOccultist87=^oThis feels warm to the touch, almost familiar ^w(This component only fits into the Medal Slot)</v>
      </c>
      <c r="AB89" s="5" t="s">
        <v>36</v>
      </c>
      <c r="AH89">
        <f t="shared" si="41"/>
        <v>84</v>
      </c>
      <c r="AI89">
        <f t="shared" si="35"/>
        <v>25</v>
      </c>
      <c r="AJ89">
        <f t="shared" si="40"/>
        <v>5</v>
      </c>
    </row>
    <row r="90" spans="1:36" x14ac:dyDescent="0.25">
      <c r="A90" s="5" t="s">
        <v>39</v>
      </c>
      <c r="B90" s="5" t="s">
        <v>30</v>
      </c>
      <c r="C90" s="5" t="str">
        <f t="shared" si="25"/>
        <v>description,dailCompDescOccultist88,</v>
      </c>
      <c r="D90" s="5" t="str">
        <f t="shared" si="26"/>
        <v>itemText,dailCompTextOccultist88,</v>
      </c>
      <c r="E90" s="5" t="str">
        <f t="shared" si="36"/>
        <v>augmentSkillLevel1,5,</v>
      </c>
      <c r="F90" s="5" t="str">
        <f t="shared" si="37"/>
        <v>augmentSkillName1,records/skills/playerclass03/summon_raven3_petmodifier.dbr,</v>
      </c>
      <c r="G90" s="7">
        <f t="shared" si="32"/>
        <v>88</v>
      </c>
      <c r="H90" s="8" t="str">
        <f t="shared" si="33"/>
        <v>Occultist</v>
      </c>
      <c r="I90" s="3" t="s">
        <v>301</v>
      </c>
      <c r="J90" s="8" t="str">
        <f t="shared" si="42"/>
        <v>class0003</v>
      </c>
      <c r="K90" s="8" t="str">
        <f t="shared" si="42"/>
        <v>dailoneskill0003</v>
      </c>
      <c r="L90" s="5" t="str">
        <f t="shared" si="27"/>
        <v>lootName88,DAIL/items/materia/class0003/Occultist88.dbr,</v>
      </c>
      <c r="M90" s="5" t="str">
        <f t="shared" si="28"/>
        <v>lootWeight88,1,</v>
      </c>
      <c r="N90" t="str">
        <f t="shared" si="29"/>
        <v>5</v>
      </c>
      <c r="O90" t="str">
        <f t="shared" si="38"/>
        <v>copy .\dail_base3.dbr .\items\materia\class0003\Occultist88.dbr /y</v>
      </c>
      <c r="P90" t="str">
        <f t="shared" si="24"/>
        <v>echo relicBitmap,items/craftingparts/components/component_a52_bristlyfur_b.tex, &gt;&gt; .\items\materia\class0003\Occultist88.dbr</v>
      </c>
      <c r="Q90" t="str">
        <f t="shared" si="24"/>
        <v>echo itemCost,500000, &gt;&gt; .\items\materia\class0003\Occultist88.dbr</v>
      </c>
      <c r="R90" t="str">
        <f t="shared" si="24"/>
        <v>echo description,dailCompDescOccultist88, &gt;&gt; .\items\materia\class0003\Occultist88.dbr</v>
      </c>
      <c r="S90" t="str">
        <f t="shared" si="24"/>
        <v>echo itemText,dailCompTextOccultist88, &gt;&gt; .\items\materia\class0003\Occultist88.dbr</v>
      </c>
      <c r="T90" t="str">
        <f t="shared" si="24"/>
        <v>echo augmentSkillLevel1,5, &gt;&gt; .\items\materia\class0003\Occultist88.dbr</v>
      </c>
      <c r="U90" t="str">
        <f t="shared" si="24"/>
        <v>echo augmentSkillName1,records/skills/playerclass03/summon_raven3_petmodifier.dbr, &gt;&gt; .\items\materia\class0003\Occultist88.dbr</v>
      </c>
      <c r="V90" s="5" t="s">
        <v>36</v>
      </c>
      <c r="W90" t="str">
        <f t="shared" si="30"/>
        <v>echo lootName88,DAIL/items/materia/class0003/Occultist88.dbr, &gt;&gt; .\items\loottables\dailoneskill0003.dbr</v>
      </c>
      <c r="X90" t="str">
        <f t="shared" si="30"/>
        <v>echo lootWeight88,1, &gt;&gt; .\items\loottables\dailoneskill0003.dbr</v>
      </c>
      <c r="Y90" s="5" t="s">
        <v>36</v>
      </c>
      <c r="Z90" t="str">
        <f t="shared" si="31"/>
        <v xml:space="preserve"> dailCompDescOccultist88=^pOccultist's Gift of DAIL</v>
      </c>
      <c r="AA90" t="str">
        <f t="shared" si="39"/>
        <v>dailCompTextOccultist88=^oThis feels warm to the touch, almost familiar ^w(This component only fits into the Medal Slot)</v>
      </c>
      <c r="AB90" s="5" t="s">
        <v>36</v>
      </c>
      <c r="AH90">
        <f t="shared" si="41"/>
        <v>85</v>
      </c>
      <c r="AI90">
        <f t="shared" si="35"/>
        <v>44</v>
      </c>
      <c r="AJ90">
        <f t="shared" si="40"/>
        <v>5</v>
      </c>
    </row>
    <row r="91" spans="1:36" x14ac:dyDescent="0.25">
      <c r="A91" s="5" t="s">
        <v>39</v>
      </c>
      <c r="B91" s="5" t="s">
        <v>30</v>
      </c>
      <c r="C91" s="5" t="str">
        <f t="shared" si="25"/>
        <v>description,dailCompDescOccultist89,</v>
      </c>
      <c r="D91" s="5" t="str">
        <f t="shared" si="26"/>
        <v>itemText,dailCompTextOccultist89,</v>
      </c>
      <c r="E91" s="5" t="str">
        <f t="shared" si="36"/>
        <v>augmentSkillLevel1,5,</v>
      </c>
      <c r="F91" s="5" t="str">
        <f t="shared" si="37"/>
        <v>augmentSkillName1,records/skills/playerclass03/summon_raven4_petmodifier.dbr,</v>
      </c>
      <c r="G91" s="7">
        <f t="shared" si="32"/>
        <v>89</v>
      </c>
      <c r="H91" s="8" t="str">
        <f t="shared" si="33"/>
        <v>Occultist</v>
      </c>
      <c r="I91" s="3" t="s">
        <v>302</v>
      </c>
      <c r="J91" s="8" t="str">
        <f t="shared" si="42"/>
        <v>class0003</v>
      </c>
      <c r="K91" s="8" t="str">
        <f t="shared" si="42"/>
        <v>dailoneskill0003</v>
      </c>
      <c r="L91" s="5" t="str">
        <f t="shared" si="27"/>
        <v>lootName89,DAIL/items/materia/class0003/Occultist89.dbr,</v>
      </c>
      <c r="M91" s="5" t="str">
        <f t="shared" si="28"/>
        <v>lootWeight89,1,</v>
      </c>
      <c r="N91" t="str">
        <f t="shared" si="29"/>
        <v>5</v>
      </c>
      <c r="O91" t="str">
        <f t="shared" si="38"/>
        <v>copy .\dail_base3.dbr .\items\materia\class0003\Occultist89.dbr /y</v>
      </c>
      <c r="P91" t="str">
        <f t="shared" si="24"/>
        <v>echo relicBitmap,items/craftingparts/components/component_a52_bristlyfur_b.tex, &gt;&gt; .\items\materia\class0003\Occultist89.dbr</v>
      </c>
      <c r="Q91" t="str">
        <f t="shared" si="24"/>
        <v>echo itemCost,500000, &gt;&gt; .\items\materia\class0003\Occultist89.dbr</v>
      </c>
      <c r="R91" t="str">
        <f t="shared" si="24"/>
        <v>echo description,dailCompDescOccultist89, &gt;&gt; .\items\materia\class0003\Occultist89.dbr</v>
      </c>
      <c r="S91" t="str">
        <f t="shared" si="24"/>
        <v>echo itemText,dailCompTextOccultist89, &gt;&gt; .\items\materia\class0003\Occultist89.dbr</v>
      </c>
      <c r="T91" t="str">
        <f t="shared" si="24"/>
        <v>echo augmentSkillLevel1,5, &gt;&gt; .\items\materia\class0003\Occultist89.dbr</v>
      </c>
      <c r="U91" t="str">
        <f t="shared" si="24"/>
        <v>echo augmentSkillName1,records/skills/playerclass03/summon_raven4_petmodifier.dbr, &gt;&gt; .\items\materia\class0003\Occultist89.dbr</v>
      </c>
      <c r="V91" s="5" t="s">
        <v>36</v>
      </c>
      <c r="W91" t="str">
        <f t="shared" si="30"/>
        <v>echo lootName89,DAIL/items/materia/class0003/Occultist89.dbr, &gt;&gt; .\items\loottables\dailoneskill0003.dbr</v>
      </c>
      <c r="X91" t="str">
        <f t="shared" si="30"/>
        <v>echo lootWeight89,1, &gt;&gt; .\items\loottables\dailoneskill0003.dbr</v>
      </c>
      <c r="Y91" s="5" t="s">
        <v>36</v>
      </c>
      <c r="Z91" t="str">
        <f t="shared" si="31"/>
        <v xml:space="preserve"> dailCompDescOccultist89=^pOccultist's Gift of DAIL</v>
      </c>
      <c r="AA91" t="str">
        <f t="shared" si="39"/>
        <v>dailCompTextOccultist89=^oThis feels warm to the touch, almost familiar ^w(This component only fits into the Medal Slot)</v>
      </c>
      <c r="AB91" s="5" t="s">
        <v>36</v>
      </c>
      <c r="AH91">
        <f t="shared" si="41"/>
        <v>86</v>
      </c>
      <c r="AI91">
        <f t="shared" si="35"/>
        <v>44</v>
      </c>
      <c r="AJ91">
        <f t="shared" si="40"/>
        <v>5</v>
      </c>
    </row>
    <row r="92" spans="1:36" x14ac:dyDescent="0.25">
      <c r="A92" s="5" t="s">
        <v>39</v>
      </c>
      <c r="B92" s="5" t="s">
        <v>30</v>
      </c>
      <c r="C92" s="5" t="str">
        <f t="shared" si="25"/>
        <v>description,dailCompDescOccultist90,</v>
      </c>
      <c r="D92" s="5" t="str">
        <f t="shared" si="26"/>
        <v>itemText,dailCompTextOccultist90,</v>
      </c>
      <c r="E92" s="5" t="str">
        <f t="shared" si="36"/>
        <v>augmentSkillLevel1,5,</v>
      </c>
      <c r="F92" s="5" t="str">
        <f t="shared" si="37"/>
        <v>augmentSkillName1,records/skills/playerclass03/summon_hellhound1.dbr,</v>
      </c>
      <c r="G92" s="7">
        <f t="shared" si="32"/>
        <v>90</v>
      </c>
      <c r="H92" s="8" t="str">
        <f t="shared" si="33"/>
        <v>Occultist</v>
      </c>
      <c r="I92" s="3" t="s">
        <v>109</v>
      </c>
      <c r="J92" s="8" t="str">
        <f t="shared" si="42"/>
        <v>class0003</v>
      </c>
      <c r="K92" s="8" t="str">
        <f t="shared" si="42"/>
        <v>dailoneskill0003</v>
      </c>
      <c r="L92" s="5" t="str">
        <f t="shared" si="27"/>
        <v>lootName90,DAIL/items/materia/class0003/Occultist90.dbr,</v>
      </c>
      <c r="M92" s="5" t="str">
        <f t="shared" si="28"/>
        <v>lootWeight90,1,</v>
      </c>
      <c r="N92" t="str">
        <f t="shared" si="29"/>
        <v>5</v>
      </c>
      <c r="O92" t="str">
        <f t="shared" si="38"/>
        <v>copy .\dail_base3.dbr .\items\materia\class0003\Occultist90.dbr /y</v>
      </c>
      <c r="P92" t="str">
        <f t="shared" si="24"/>
        <v>echo relicBitmap,items/craftingparts/components/component_a52_bristlyfur_b.tex, &gt;&gt; .\items\materia\class0003\Occultist90.dbr</v>
      </c>
      <c r="Q92" t="str">
        <f t="shared" si="24"/>
        <v>echo itemCost,500000, &gt;&gt; .\items\materia\class0003\Occultist90.dbr</v>
      </c>
      <c r="R92" t="str">
        <f t="shared" si="24"/>
        <v>echo description,dailCompDescOccultist90, &gt;&gt; .\items\materia\class0003\Occultist90.dbr</v>
      </c>
      <c r="S92" t="str">
        <f t="shared" si="24"/>
        <v>echo itemText,dailCompTextOccultist90, &gt;&gt; .\items\materia\class0003\Occultist90.dbr</v>
      </c>
      <c r="T92" t="str">
        <f t="shared" si="24"/>
        <v>echo augmentSkillLevel1,5, &gt;&gt; .\items\materia\class0003\Occultist90.dbr</v>
      </c>
      <c r="U92" t="str">
        <f t="shared" si="24"/>
        <v>echo augmentSkillName1,records/skills/playerclass03/summon_hellhound1.dbr, &gt;&gt; .\items\materia\class0003\Occultist90.dbr</v>
      </c>
      <c r="V92" s="5" t="s">
        <v>36</v>
      </c>
      <c r="W92" t="str">
        <f t="shared" si="30"/>
        <v>echo lootName90,DAIL/items/materia/class0003/Occultist90.dbr, &gt;&gt; .\items\loottables\dailoneskill0003.dbr</v>
      </c>
      <c r="X92" t="str">
        <f t="shared" si="30"/>
        <v>echo lootWeight90,1, &gt;&gt; .\items\loottables\dailoneskill0003.dbr</v>
      </c>
      <c r="Y92" s="5" t="s">
        <v>36</v>
      </c>
      <c r="Z92" t="str">
        <f t="shared" si="31"/>
        <v xml:space="preserve"> dailCompDescOccultist90=^pOccultist's Gift of DAIL</v>
      </c>
      <c r="AA92" t="str">
        <f t="shared" si="39"/>
        <v>dailCompTextOccultist90=^oThis feels warm to the touch, almost familiar ^w(This component only fits into the Medal Slot)</v>
      </c>
      <c r="AB92" s="5" t="s">
        <v>36</v>
      </c>
      <c r="AH92">
        <f t="shared" si="41"/>
        <v>87</v>
      </c>
      <c r="AI92">
        <f t="shared" si="35"/>
        <v>36</v>
      </c>
      <c r="AJ92">
        <f t="shared" si="40"/>
        <v>5</v>
      </c>
    </row>
    <row r="93" spans="1:36" x14ac:dyDescent="0.25">
      <c r="A93" s="5" t="s">
        <v>39</v>
      </c>
      <c r="B93" s="5" t="s">
        <v>30</v>
      </c>
      <c r="C93" s="5" t="str">
        <f t="shared" si="25"/>
        <v>description,dailCompDescOccultist91,</v>
      </c>
      <c r="D93" s="5" t="str">
        <f t="shared" si="26"/>
        <v>itemText,dailCompTextOccultist91,</v>
      </c>
      <c r="E93" s="5" t="str">
        <f t="shared" si="36"/>
        <v>augmentSkillLevel1,5,</v>
      </c>
      <c r="F93" s="5" t="str">
        <f t="shared" si="37"/>
        <v>augmentSkillName1,records/skills/playerclass03/summon_hellhound2_petmodifier.dbr,</v>
      </c>
      <c r="G93" s="7">
        <f t="shared" si="32"/>
        <v>91</v>
      </c>
      <c r="H93" s="8" t="str">
        <f t="shared" si="33"/>
        <v>Occultist</v>
      </c>
      <c r="I93" s="3" t="s">
        <v>303</v>
      </c>
      <c r="J93" s="8" t="str">
        <f t="shared" si="42"/>
        <v>class0003</v>
      </c>
      <c r="K93" s="8" t="str">
        <f t="shared" si="42"/>
        <v>dailoneskill0003</v>
      </c>
      <c r="L93" s="5" t="str">
        <f t="shared" si="27"/>
        <v>lootName91,DAIL/items/materia/class0003/Occultist91.dbr,</v>
      </c>
      <c r="M93" s="5" t="str">
        <f t="shared" si="28"/>
        <v>lootWeight91,1,</v>
      </c>
      <c r="N93" t="str">
        <f t="shared" si="29"/>
        <v>5</v>
      </c>
      <c r="O93" t="str">
        <f t="shared" si="38"/>
        <v>copy .\dail_base3.dbr .\items\materia\class0003\Occultist91.dbr /y</v>
      </c>
      <c r="P93" t="str">
        <f t="shared" si="24"/>
        <v>echo relicBitmap,items/craftingparts/components/component_a52_bristlyfur_b.tex, &gt;&gt; .\items\materia\class0003\Occultist91.dbr</v>
      </c>
      <c r="Q93" t="str">
        <f t="shared" si="24"/>
        <v>echo itemCost,500000, &gt;&gt; .\items\materia\class0003\Occultist91.dbr</v>
      </c>
      <c r="R93" t="str">
        <f t="shared" si="24"/>
        <v>echo description,dailCompDescOccultist91, &gt;&gt; .\items\materia\class0003\Occultist91.dbr</v>
      </c>
      <c r="S93" t="str">
        <f t="shared" si="24"/>
        <v>echo itemText,dailCompTextOccultist91, &gt;&gt; .\items\materia\class0003\Occultist91.dbr</v>
      </c>
      <c r="T93" t="str">
        <f t="shared" si="24"/>
        <v>echo augmentSkillLevel1,5, &gt;&gt; .\items\materia\class0003\Occultist91.dbr</v>
      </c>
      <c r="U93" t="str">
        <f t="shared" si="24"/>
        <v>echo augmentSkillName1,records/skills/playerclass03/summon_hellhound2_petmodifier.dbr, &gt;&gt; .\items\materia\class0003\Occultist91.dbr</v>
      </c>
      <c r="V93" s="5" t="s">
        <v>36</v>
      </c>
      <c r="W93" t="str">
        <f t="shared" si="30"/>
        <v>echo lootName91,DAIL/items/materia/class0003/Occultist91.dbr, &gt;&gt; .\items\loottables\dailoneskill0003.dbr</v>
      </c>
      <c r="X93" t="str">
        <f t="shared" si="30"/>
        <v>echo lootWeight91,1, &gt;&gt; .\items\loottables\dailoneskill0003.dbr</v>
      </c>
      <c r="Y93" s="5" t="s">
        <v>36</v>
      </c>
      <c r="Z93" t="str">
        <f t="shared" si="31"/>
        <v xml:space="preserve"> dailCompDescOccultist91=^pOccultist's Gift of DAIL</v>
      </c>
      <c r="AA93" t="str">
        <f t="shared" si="39"/>
        <v>dailCompTextOccultist91=^oThis feels warm to the touch, almost familiar ^w(This component only fits into the Medal Slot)</v>
      </c>
      <c r="AB93" s="5" t="s">
        <v>36</v>
      </c>
      <c r="AH93">
        <f t="shared" si="41"/>
        <v>88</v>
      </c>
      <c r="AI93">
        <f t="shared" si="35"/>
        <v>48</v>
      </c>
      <c r="AJ93">
        <f t="shared" si="40"/>
        <v>5</v>
      </c>
    </row>
    <row r="94" spans="1:36" x14ac:dyDescent="0.25">
      <c r="A94" s="5" t="s">
        <v>39</v>
      </c>
      <c r="B94" s="5" t="s">
        <v>30</v>
      </c>
      <c r="C94" s="5" t="str">
        <f t="shared" si="25"/>
        <v>description,dailCompDescOccultist92,</v>
      </c>
      <c r="D94" s="5" t="str">
        <f t="shared" si="26"/>
        <v>itemText,dailCompTextOccultist92,</v>
      </c>
      <c r="E94" s="5" t="str">
        <f t="shared" si="36"/>
        <v>augmentSkillLevel1,5,</v>
      </c>
      <c r="F94" s="5" t="str">
        <f t="shared" si="37"/>
        <v>augmentSkillName1,records/skills/playerclass03/summon_hellhound3_petmodifier.dbr,</v>
      </c>
      <c r="G94" s="7">
        <f t="shared" si="32"/>
        <v>92</v>
      </c>
      <c r="H94" s="8" t="str">
        <f t="shared" si="33"/>
        <v>Occultist</v>
      </c>
      <c r="I94" s="3" t="s">
        <v>304</v>
      </c>
      <c r="J94" s="8" t="str">
        <f t="shared" si="42"/>
        <v>class0003</v>
      </c>
      <c r="K94" s="8" t="str">
        <f t="shared" si="42"/>
        <v>dailoneskill0003</v>
      </c>
      <c r="L94" s="5" t="str">
        <f t="shared" si="27"/>
        <v>lootName92,DAIL/items/materia/class0003/Occultist92.dbr,</v>
      </c>
      <c r="M94" s="5" t="str">
        <f t="shared" si="28"/>
        <v>lootWeight92,1,</v>
      </c>
      <c r="N94" t="str">
        <f t="shared" si="29"/>
        <v>5</v>
      </c>
      <c r="O94" t="str">
        <f t="shared" si="38"/>
        <v>copy .\dail_base3.dbr .\items\materia\class0003\Occultist92.dbr /y</v>
      </c>
      <c r="P94" t="str">
        <f t="shared" si="24"/>
        <v>echo relicBitmap,items/craftingparts/components/component_a52_bristlyfur_b.tex, &gt;&gt; .\items\materia\class0003\Occultist92.dbr</v>
      </c>
      <c r="Q94" t="str">
        <f t="shared" si="24"/>
        <v>echo itemCost,500000, &gt;&gt; .\items\materia\class0003\Occultist92.dbr</v>
      </c>
      <c r="R94" t="str">
        <f t="shared" si="24"/>
        <v>echo description,dailCompDescOccultist92, &gt;&gt; .\items\materia\class0003\Occultist92.dbr</v>
      </c>
      <c r="S94" t="str">
        <f t="shared" si="24"/>
        <v>echo itemText,dailCompTextOccultist92, &gt;&gt; .\items\materia\class0003\Occultist92.dbr</v>
      </c>
      <c r="T94" t="str">
        <f t="shared" si="24"/>
        <v>echo augmentSkillLevel1,5, &gt;&gt; .\items\materia\class0003\Occultist92.dbr</v>
      </c>
      <c r="U94" t="str">
        <f t="shared" si="24"/>
        <v>echo augmentSkillName1,records/skills/playerclass03/summon_hellhound3_petmodifier.dbr, &gt;&gt; .\items\materia\class0003\Occultist92.dbr</v>
      </c>
      <c r="V94" s="5" t="s">
        <v>36</v>
      </c>
      <c r="W94" t="str">
        <f t="shared" si="30"/>
        <v>echo lootName92,DAIL/items/materia/class0003/Occultist92.dbr, &gt;&gt; .\items\loottables\dailoneskill0003.dbr</v>
      </c>
      <c r="X94" t="str">
        <f t="shared" si="30"/>
        <v>echo lootWeight92,1, &gt;&gt; .\items\loottables\dailoneskill0003.dbr</v>
      </c>
      <c r="Y94" s="5" t="s">
        <v>36</v>
      </c>
      <c r="Z94" t="str">
        <f t="shared" si="31"/>
        <v xml:space="preserve"> dailCompDescOccultist92=^pOccultist's Gift of DAIL</v>
      </c>
      <c r="AA94" t="str">
        <f t="shared" si="39"/>
        <v>dailCompTextOccultist92=^oThis feels warm to the touch, almost familiar ^w(This component only fits into the Medal Slot)</v>
      </c>
      <c r="AB94" s="5" t="s">
        <v>36</v>
      </c>
      <c r="AH94">
        <f t="shared" si="41"/>
        <v>89</v>
      </c>
      <c r="AI94">
        <f t="shared" si="35"/>
        <v>48</v>
      </c>
      <c r="AJ94">
        <f t="shared" si="40"/>
        <v>5</v>
      </c>
    </row>
    <row r="95" spans="1:36" x14ac:dyDescent="0.25">
      <c r="A95" s="5" t="s">
        <v>39</v>
      </c>
      <c r="B95" s="5" t="s">
        <v>30</v>
      </c>
      <c r="C95" s="5" t="str">
        <f t="shared" si="25"/>
        <v>description,dailCompDescOccultist93,</v>
      </c>
      <c r="D95" s="5" t="str">
        <f t="shared" si="26"/>
        <v>itemText,dailCompTextOccultist93,</v>
      </c>
      <c r="E95" s="5" t="str">
        <f t="shared" si="36"/>
        <v>augmentSkillLevel1,5,</v>
      </c>
      <c r="F95" s="5" t="str">
        <f t="shared" si="37"/>
        <v>augmentSkillName1,records/skills/playerclass03/summon_hellhound4_petmodifier.dbr,</v>
      </c>
      <c r="G95" s="7">
        <f t="shared" si="32"/>
        <v>93</v>
      </c>
      <c r="H95" s="8" t="str">
        <f t="shared" si="33"/>
        <v>Occultist</v>
      </c>
      <c r="I95" s="3" t="s">
        <v>305</v>
      </c>
      <c r="J95" s="8" t="str">
        <f t="shared" si="42"/>
        <v>class0003</v>
      </c>
      <c r="K95" s="8" t="str">
        <f t="shared" si="42"/>
        <v>dailoneskill0003</v>
      </c>
      <c r="L95" s="5" t="str">
        <f t="shared" si="27"/>
        <v>lootName93,DAIL/items/materia/class0003/Occultist93.dbr,</v>
      </c>
      <c r="M95" s="5" t="str">
        <f t="shared" si="28"/>
        <v>lootWeight93,1,</v>
      </c>
      <c r="N95" t="str">
        <f t="shared" si="29"/>
        <v>5</v>
      </c>
      <c r="O95" t="str">
        <f t="shared" si="38"/>
        <v>copy .\dail_base3.dbr .\items\materia\class0003\Occultist93.dbr /y</v>
      </c>
      <c r="P95" t="str">
        <f t="shared" si="24"/>
        <v>echo relicBitmap,items/craftingparts/components/component_a52_bristlyfur_b.tex, &gt;&gt; .\items\materia\class0003\Occultist93.dbr</v>
      </c>
      <c r="Q95" t="str">
        <f t="shared" si="24"/>
        <v>echo itemCost,500000, &gt;&gt; .\items\materia\class0003\Occultist93.dbr</v>
      </c>
      <c r="R95" t="str">
        <f t="shared" si="24"/>
        <v>echo description,dailCompDescOccultist93, &gt;&gt; .\items\materia\class0003\Occultist93.dbr</v>
      </c>
      <c r="S95" t="str">
        <f t="shared" si="24"/>
        <v>echo itemText,dailCompTextOccultist93, &gt;&gt; .\items\materia\class0003\Occultist93.dbr</v>
      </c>
      <c r="T95" t="str">
        <f t="shared" si="24"/>
        <v>echo augmentSkillLevel1,5, &gt;&gt; .\items\materia\class0003\Occultist93.dbr</v>
      </c>
      <c r="U95" t="str">
        <f t="shared" si="24"/>
        <v>echo augmentSkillName1,records/skills/playerclass03/summon_hellhound4_petmodifier.dbr, &gt;&gt; .\items\materia\class0003\Occultist93.dbr</v>
      </c>
      <c r="V95" s="5" t="s">
        <v>36</v>
      </c>
      <c r="W95" t="str">
        <f t="shared" si="30"/>
        <v>echo lootName93,DAIL/items/materia/class0003/Occultist93.dbr, &gt;&gt; .\items\loottables\dailoneskill0003.dbr</v>
      </c>
      <c r="X95" t="str">
        <f t="shared" si="30"/>
        <v>echo lootWeight93,1, &gt;&gt; .\items\loottables\dailoneskill0003.dbr</v>
      </c>
      <c r="Y95" s="5" t="s">
        <v>36</v>
      </c>
      <c r="Z95" t="str">
        <f t="shared" si="31"/>
        <v xml:space="preserve"> dailCompDescOccultist93=^pOccultist's Gift of DAIL</v>
      </c>
      <c r="AA95" t="str">
        <f t="shared" si="39"/>
        <v>dailCompTextOccultist93=^oThis feels warm to the touch, almost familiar ^w(This component only fits into the Medal Slot)</v>
      </c>
      <c r="AB95" s="5" t="s">
        <v>36</v>
      </c>
      <c r="AH95">
        <f t="shared" si="41"/>
        <v>90</v>
      </c>
      <c r="AI95">
        <f t="shared" si="35"/>
        <v>48</v>
      </c>
      <c r="AJ95">
        <f t="shared" si="40"/>
        <v>5</v>
      </c>
    </row>
    <row r="96" spans="1:36" x14ac:dyDescent="0.25">
      <c r="A96" s="5" t="s">
        <v>39</v>
      </c>
      <c r="B96" s="5" t="s">
        <v>30</v>
      </c>
      <c r="C96" s="5" t="str">
        <f t="shared" si="25"/>
        <v>description,dailCompDescOccultist,</v>
      </c>
      <c r="D96" s="5" t="str">
        <f t="shared" si="26"/>
        <v>itemText,dailCompTextOccultist,</v>
      </c>
      <c r="E96" s="5" t="str">
        <f t="shared" si="36"/>
        <v>augmentSkillLevel1,5,</v>
      </c>
      <c r="F96" s="5" t="str">
        <f t="shared" si="37"/>
        <v>augmentSkillName1,records/skills,</v>
      </c>
      <c r="G96" s="7" t="str">
        <f t="shared" si="32"/>
        <v/>
      </c>
      <c r="H96" s="8" t="str">
        <f t="shared" si="33"/>
        <v>Occultist</v>
      </c>
      <c r="J96" s="8" t="str">
        <f t="shared" si="42"/>
        <v>class0003</v>
      </c>
      <c r="K96" s="8" t="str">
        <f t="shared" si="42"/>
        <v>dailoneskill0003</v>
      </c>
      <c r="L96" s="5" t="str">
        <f t="shared" si="27"/>
        <v>lootName,DAIL/items/materia/class0003/Occultist.dbr,</v>
      </c>
      <c r="M96" s="5" t="str">
        <f t="shared" si="28"/>
        <v>lootWeight,1,</v>
      </c>
      <c r="N96" t="str">
        <f t="shared" si="29"/>
        <v>5</v>
      </c>
      <c r="O96" t="str">
        <f t="shared" si="38"/>
        <v/>
      </c>
      <c r="P96" t="str">
        <f t="shared" si="24"/>
        <v/>
      </c>
      <c r="Q96" t="str">
        <f t="shared" si="24"/>
        <v/>
      </c>
      <c r="R96" t="str">
        <f t="shared" si="24"/>
        <v/>
      </c>
      <c r="S96" t="str">
        <f t="shared" si="24"/>
        <v/>
      </c>
      <c r="T96" t="str">
        <f t="shared" si="24"/>
        <v/>
      </c>
      <c r="U96" t="str">
        <f t="shared" si="24"/>
        <v/>
      </c>
      <c r="V96" s="5" t="s">
        <v>36</v>
      </c>
      <c r="W96" t="str">
        <f t="shared" si="30"/>
        <v/>
      </c>
      <c r="X96" t="str">
        <f t="shared" si="30"/>
        <v/>
      </c>
      <c r="Y96" s="5" t="s">
        <v>36</v>
      </c>
      <c r="Z96" t="str">
        <f t="shared" si="31"/>
        <v xml:space="preserve"> dailCompDescOccultist=^pOccultist's Gift of DAIL</v>
      </c>
      <c r="AA96" t="str">
        <f t="shared" si="39"/>
        <v>dailCompTextOccultist=^oThis feels warm to the touch, almost familiar ^w(This component only fits into the Medal Slot)</v>
      </c>
      <c r="AB96" s="5" t="s">
        <v>36</v>
      </c>
      <c r="AH96">
        <f t="shared" si="41"/>
        <v>91</v>
      </c>
      <c r="AI96">
        <f t="shared" si="35"/>
        <v>0</v>
      </c>
      <c r="AJ96">
        <f t="shared" si="40"/>
        <v>5</v>
      </c>
    </row>
    <row r="97" spans="1:36" x14ac:dyDescent="0.25">
      <c r="A97" s="5" t="s">
        <v>39</v>
      </c>
      <c r="B97" s="5" t="s">
        <v>30</v>
      </c>
      <c r="C97" s="5" t="str">
        <f t="shared" si="25"/>
        <v>description,dailCompDescOccultist,</v>
      </c>
      <c r="D97" s="5" t="str">
        <f t="shared" si="26"/>
        <v>itemText,dailCompTextOccultist,</v>
      </c>
      <c r="E97" s="5" t="str">
        <f t="shared" si="36"/>
        <v>augmentSkillLevel1,5,</v>
      </c>
      <c r="F97" s="5" t="str">
        <f t="shared" si="37"/>
        <v>augmentSkillName1,records/skills,</v>
      </c>
      <c r="G97" s="7" t="str">
        <f t="shared" si="32"/>
        <v/>
      </c>
      <c r="H97" s="8" t="str">
        <f t="shared" si="33"/>
        <v>Occultist</v>
      </c>
      <c r="J97" s="8" t="str">
        <f t="shared" si="42"/>
        <v>class0003</v>
      </c>
      <c r="K97" s="8" t="str">
        <f t="shared" si="42"/>
        <v>dailoneskill0003</v>
      </c>
      <c r="L97" s="5" t="str">
        <f t="shared" si="27"/>
        <v>lootName,DAIL/items/materia/class0003/Occultist.dbr,</v>
      </c>
      <c r="M97" s="5" t="str">
        <f t="shared" si="28"/>
        <v>lootWeight,1,</v>
      </c>
      <c r="N97" t="str">
        <f t="shared" si="29"/>
        <v>5</v>
      </c>
      <c r="O97" t="str">
        <f t="shared" si="38"/>
        <v/>
      </c>
      <c r="P97" t="str">
        <f t="shared" si="24"/>
        <v/>
      </c>
      <c r="Q97" t="str">
        <f t="shared" si="24"/>
        <v/>
      </c>
      <c r="R97" t="str">
        <f t="shared" si="24"/>
        <v/>
      </c>
      <c r="S97" t="str">
        <f t="shared" si="24"/>
        <v/>
      </c>
      <c r="T97" t="str">
        <f t="shared" si="24"/>
        <v/>
      </c>
      <c r="U97" t="str">
        <f t="shared" si="24"/>
        <v/>
      </c>
      <c r="V97" s="5" t="s">
        <v>36</v>
      </c>
      <c r="W97" t="str">
        <f t="shared" si="30"/>
        <v/>
      </c>
      <c r="X97" t="str">
        <f t="shared" si="30"/>
        <v/>
      </c>
      <c r="Y97" s="5" t="s">
        <v>36</v>
      </c>
      <c r="Z97" t="str">
        <f t="shared" si="31"/>
        <v/>
      </c>
      <c r="AA97" t="str">
        <f t="shared" si="39"/>
        <v/>
      </c>
      <c r="AB97" s="5" t="s">
        <v>36</v>
      </c>
      <c r="AH97">
        <f t="shared" si="41"/>
        <v>92</v>
      </c>
      <c r="AI97">
        <f t="shared" si="35"/>
        <v>0</v>
      </c>
      <c r="AJ97">
        <f t="shared" si="40"/>
        <v>5</v>
      </c>
    </row>
    <row r="98" spans="1:36" x14ac:dyDescent="0.25">
      <c r="A98" s="5" t="s">
        <v>39</v>
      </c>
      <c r="B98" s="5" t="s">
        <v>30</v>
      </c>
      <c r="C98" s="5" t="str">
        <f t="shared" si="25"/>
        <v>description,dailCompDescOccultist,</v>
      </c>
      <c r="D98" s="5" t="str">
        <f t="shared" si="26"/>
        <v>itemText,dailCompTextOccultist,</v>
      </c>
      <c r="E98" s="5" t="str">
        <f t="shared" si="36"/>
        <v>augmentSkillLevel1,5,</v>
      </c>
      <c r="F98" s="5" t="str">
        <f t="shared" si="37"/>
        <v>augmentSkillName1,records/skills,</v>
      </c>
      <c r="G98" s="7" t="str">
        <f t="shared" si="32"/>
        <v/>
      </c>
      <c r="H98" s="8" t="str">
        <f t="shared" si="33"/>
        <v>Occultist</v>
      </c>
      <c r="J98" s="8" t="str">
        <f t="shared" si="42"/>
        <v>class0003</v>
      </c>
      <c r="K98" s="8" t="str">
        <f t="shared" si="42"/>
        <v>dailoneskill0003</v>
      </c>
      <c r="L98" s="5" t="str">
        <f t="shared" si="27"/>
        <v>lootName,DAIL/items/materia/class0003/Occultist.dbr,</v>
      </c>
      <c r="M98" s="5" t="str">
        <f t="shared" si="28"/>
        <v>lootWeight,1,</v>
      </c>
      <c r="N98" t="str">
        <f t="shared" si="29"/>
        <v>5</v>
      </c>
      <c r="O98" t="str">
        <f t="shared" si="38"/>
        <v/>
      </c>
      <c r="P98" t="str">
        <f t="shared" si="24"/>
        <v/>
      </c>
      <c r="Q98" t="str">
        <f t="shared" si="24"/>
        <v/>
      </c>
      <c r="R98" t="str">
        <f t="shared" si="24"/>
        <v/>
      </c>
      <c r="S98" t="str">
        <f t="shared" si="24"/>
        <v/>
      </c>
      <c r="T98" t="str">
        <f t="shared" si="24"/>
        <v/>
      </c>
      <c r="U98" t="str">
        <f t="shared" si="24"/>
        <v/>
      </c>
      <c r="V98" s="5" t="s">
        <v>36</v>
      </c>
      <c r="W98" t="str">
        <f t="shared" si="30"/>
        <v/>
      </c>
      <c r="X98" t="str">
        <f t="shared" si="30"/>
        <v/>
      </c>
      <c r="Y98" s="5" t="s">
        <v>36</v>
      </c>
      <c r="Z98" t="str">
        <f t="shared" si="31"/>
        <v/>
      </c>
      <c r="AA98" t="str">
        <f t="shared" si="39"/>
        <v/>
      </c>
      <c r="AB98" s="5" t="s">
        <v>36</v>
      </c>
      <c r="AH98">
        <f t="shared" si="41"/>
        <v>93</v>
      </c>
      <c r="AI98">
        <f t="shared" si="35"/>
        <v>0</v>
      </c>
      <c r="AJ98">
        <f t="shared" si="40"/>
        <v>5</v>
      </c>
    </row>
    <row r="99" spans="1:36" x14ac:dyDescent="0.25">
      <c r="A99" s="5" t="s">
        <v>39</v>
      </c>
      <c r="B99" s="5" t="s">
        <v>30</v>
      </c>
      <c r="C99" s="5" t="str">
        <f t="shared" si="25"/>
        <v>description,dailCompDescOccultist,</v>
      </c>
      <c r="D99" s="5" t="str">
        <f t="shared" si="26"/>
        <v>itemText,dailCompTextOccultist,</v>
      </c>
      <c r="E99" s="5" t="str">
        <f t="shared" si="36"/>
        <v>augmentSkillLevel1,5,</v>
      </c>
      <c r="F99" s="5" t="str">
        <f t="shared" si="37"/>
        <v>augmentSkillName1,records/skills,</v>
      </c>
      <c r="G99" s="7" t="str">
        <f t="shared" si="32"/>
        <v/>
      </c>
      <c r="H99" s="8" t="str">
        <f t="shared" si="33"/>
        <v>Occultist</v>
      </c>
      <c r="J99" s="8" t="str">
        <f t="shared" si="42"/>
        <v>class0003</v>
      </c>
      <c r="K99" s="8" t="str">
        <f t="shared" si="42"/>
        <v>dailoneskill0003</v>
      </c>
      <c r="L99" s="5" t="str">
        <f t="shared" si="27"/>
        <v>lootName,DAIL/items/materia/class0003/Occultist.dbr,</v>
      </c>
      <c r="M99" s="5" t="str">
        <f t="shared" si="28"/>
        <v>lootWeight,1,</v>
      </c>
      <c r="N99" t="str">
        <f t="shared" si="29"/>
        <v>5</v>
      </c>
      <c r="O99" t="str">
        <f t="shared" si="38"/>
        <v/>
      </c>
      <c r="P99" t="str">
        <f t="shared" si="24"/>
        <v/>
      </c>
      <c r="Q99" t="str">
        <f t="shared" si="24"/>
        <v/>
      </c>
      <c r="R99" t="str">
        <f t="shared" si="24"/>
        <v/>
      </c>
      <c r="S99" t="str">
        <f t="shared" si="24"/>
        <v/>
      </c>
      <c r="T99" t="str">
        <f t="shared" si="24"/>
        <v/>
      </c>
      <c r="U99" t="str">
        <f t="shared" si="24"/>
        <v/>
      </c>
      <c r="V99" s="5" t="s">
        <v>36</v>
      </c>
      <c r="W99" t="str">
        <f t="shared" si="30"/>
        <v/>
      </c>
      <c r="X99" t="str">
        <f t="shared" si="30"/>
        <v/>
      </c>
      <c r="Y99" s="5" t="s">
        <v>36</v>
      </c>
      <c r="Z99" t="str">
        <f t="shared" si="31"/>
        <v/>
      </c>
      <c r="AA99" t="str">
        <f t="shared" si="39"/>
        <v/>
      </c>
      <c r="AB99" s="5" t="s">
        <v>36</v>
      </c>
      <c r="AH99">
        <f t="shared" si="41"/>
        <v>94</v>
      </c>
      <c r="AI99">
        <f t="shared" si="35"/>
        <v>0</v>
      </c>
      <c r="AJ99">
        <f t="shared" si="40"/>
        <v>5</v>
      </c>
    </row>
    <row r="100" spans="1:36" x14ac:dyDescent="0.25">
      <c r="A100" s="5" t="s">
        <v>39</v>
      </c>
      <c r="B100" s="5" t="s">
        <v>30</v>
      </c>
      <c r="C100" s="5" t="str">
        <f t="shared" si="25"/>
        <v>description,dailCompDescOccultist,</v>
      </c>
      <c r="D100" s="5" t="str">
        <f t="shared" si="26"/>
        <v>itemText,dailCompTextOccultist,</v>
      </c>
      <c r="E100" s="5" t="str">
        <f t="shared" si="36"/>
        <v>augmentSkillLevel1,5,</v>
      </c>
      <c r="F100" s="5" t="str">
        <f t="shared" si="37"/>
        <v>augmentSkillName1,records/skills,</v>
      </c>
      <c r="G100" s="7" t="str">
        <f t="shared" si="32"/>
        <v/>
      </c>
      <c r="H100" s="8" t="str">
        <f t="shared" si="33"/>
        <v>Occultist</v>
      </c>
      <c r="J100" s="8" t="str">
        <f t="shared" si="42"/>
        <v>class0003</v>
      </c>
      <c r="K100" s="8" t="str">
        <f t="shared" si="42"/>
        <v>dailoneskill0003</v>
      </c>
      <c r="L100" s="5" t="str">
        <f t="shared" si="27"/>
        <v>lootName,DAIL/items/materia/class0003/Occultist.dbr,</v>
      </c>
      <c r="M100" s="5" t="str">
        <f t="shared" si="28"/>
        <v>lootWeight,1,</v>
      </c>
      <c r="N100" t="str">
        <f t="shared" si="29"/>
        <v>5</v>
      </c>
      <c r="O100" t="str">
        <f t="shared" si="38"/>
        <v/>
      </c>
      <c r="P100" t="str">
        <f t="shared" si="24"/>
        <v/>
      </c>
      <c r="Q100" t="str">
        <f t="shared" si="24"/>
        <v/>
      </c>
      <c r="R100" t="str">
        <f t="shared" si="24"/>
        <v/>
      </c>
      <c r="S100" t="str">
        <f t="shared" si="24"/>
        <v/>
      </c>
      <c r="T100" t="str">
        <f t="shared" si="24"/>
        <v/>
      </c>
      <c r="U100" t="str">
        <f t="shared" si="24"/>
        <v/>
      </c>
      <c r="V100" s="5" t="s">
        <v>36</v>
      </c>
      <c r="W100" t="str">
        <f t="shared" si="30"/>
        <v/>
      </c>
      <c r="X100" t="str">
        <f t="shared" si="30"/>
        <v/>
      </c>
      <c r="Y100" s="5" t="s">
        <v>36</v>
      </c>
      <c r="Z100" t="str">
        <f t="shared" si="31"/>
        <v/>
      </c>
      <c r="AA100" t="str">
        <f t="shared" si="39"/>
        <v/>
      </c>
      <c r="AB100" s="5" t="s">
        <v>36</v>
      </c>
      <c r="AH100">
        <f t="shared" si="41"/>
        <v>95</v>
      </c>
      <c r="AI100">
        <f t="shared" si="35"/>
        <v>0</v>
      </c>
      <c r="AJ100">
        <f t="shared" si="40"/>
        <v>5</v>
      </c>
    </row>
    <row r="101" spans="1:36" x14ac:dyDescent="0.25">
      <c r="A101" s="5" t="s">
        <v>39</v>
      </c>
      <c r="B101" s="5" t="s">
        <v>30</v>
      </c>
      <c r="C101" s="5" t="str">
        <f t="shared" si="25"/>
        <v>description,dailCompDescOccultist,</v>
      </c>
      <c r="D101" s="5" t="str">
        <f t="shared" si="26"/>
        <v>itemText,dailCompTextOccultist,</v>
      </c>
      <c r="E101" s="5" t="str">
        <f t="shared" si="36"/>
        <v>augmentSkillLevel1,5,</v>
      </c>
      <c r="F101" s="5" t="str">
        <f t="shared" si="37"/>
        <v>augmentSkillName1,records/skills,</v>
      </c>
      <c r="G101" s="7" t="str">
        <f t="shared" si="32"/>
        <v/>
      </c>
      <c r="H101" s="8" t="str">
        <f t="shared" si="33"/>
        <v>Occultist</v>
      </c>
      <c r="J101" s="8" t="str">
        <f t="shared" ref="J101:K102" si="43">J100</f>
        <v>class0003</v>
      </c>
      <c r="K101" s="8" t="str">
        <f t="shared" si="43"/>
        <v>dailoneskill0003</v>
      </c>
      <c r="L101" s="5" t="str">
        <f t="shared" si="27"/>
        <v>lootName,DAIL/items/materia/class0003/Occultist.dbr,</v>
      </c>
      <c r="M101" s="5" t="str">
        <f t="shared" si="28"/>
        <v>lootWeight,1,</v>
      </c>
      <c r="N101" t="str">
        <f t="shared" si="29"/>
        <v>5</v>
      </c>
      <c r="O101" t="str">
        <f t="shared" si="38"/>
        <v/>
      </c>
      <c r="P101" t="str">
        <f t="shared" si="24"/>
        <v/>
      </c>
      <c r="Q101" t="str">
        <f t="shared" si="24"/>
        <v/>
      </c>
      <c r="R101" t="str">
        <f t="shared" si="24"/>
        <v/>
      </c>
      <c r="S101" t="str">
        <f t="shared" ref="S101:U102" si="44">IF($I101&lt;&gt;"","echo "&amp;D101&amp;" &gt;&gt; .\items\materia\"&amp;$J101&amp;"\"&amp;$H101&amp;$G101&amp;".dbr","")</f>
        <v/>
      </c>
      <c r="T101" t="str">
        <f t="shared" si="44"/>
        <v/>
      </c>
      <c r="U101" t="str">
        <f t="shared" si="44"/>
        <v/>
      </c>
      <c r="V101" s="5" t="s">
        <v>36</v>
      </c>
      <c r="W101" t="str">
        <f t="shared" si="30"/>
        <v/>
      </c>
      <c r="X101" t="str">
        <f t="shared" si="30"/>
        <v/>
      </c>
      <c r="Y101" s="5" t="s">
        <v>36</v>
      </c>
      <c r="Z101" t="str">
        <f t="shared" si="31"/>
        <v/>
      </c>
      <c r="AA101" t="str">
        <f t="shared" si="39"/>
        <v/>
      </c>
      <c r="AB101" s="5" t="s">
        <v>36</v>
      </c>
      <c r="AH101">
        <f t="shared" si="41"/>
        <v>96</v>
      </c>
      <c r="AI101">
        <f t="shared" si="35"/>
        <v>0</v>
      </c>
      <c r="AJ101">
        <f t="shared" si="40"/>
        <v>5</v>
      </c>
    </row>
    <row r="102" spans="1:36" x14ac:dyDescent="0.25">
      <c r="A102" s="5" t="s">
        <v>39</v>
      </c>
      <c r="B102" s="5" t="s">
        <v>30</v>
      </c>
      <c r="C102" s="5" t="str">
        <f t="shared" si="25"/>
        <v>description,dailCompDescOccultist,</v>
      </c>
      <c r="D102" s="5" t="str">
        <f t="shared" si="26"/>
        <v>itemText,dailCompTextOccultist,</v>
      </c>
      <c r="E102" s="5" t="str">
        <f t="shared" si="36"/>
        <v>augmentSkillLevel1,5,</v>
      </c>
      <c r="F102" s="5" t="str">
        <f t="shared" si="37"/>
        <v>augmentSkillName1,records/skills,</v>
      </c>
      <c r="G102" s="7" t="str">
        <f t="shared" si="32"/>
        <v/>
      </c>
      <c r="H102" s="8" t="str">
        <f t="shared" si="33"/>
        <v>Occultist</v>
      </c>
      <c r="J102" s="8" t="str">
        <f t="shared" si="43"/>
        <v>class0003</v>
      </c>
      <c r="K102" s="8" t="str">
        <f t="shared" si="43"/>
        <v>dailoneskill0003</v>
      </c>
      <c r="L102" s="5" t="str">
        <f t="shared" si="27"/>
        <v>lootName,DAIL/items/materia/class0003/Occultist.dbr,</v>
      </c>
      <c r="M102" s="5" t="str">
        <f t="shared" si="28"/>
        <v>lootWeight,1,</v>
      </c>
      <c r="N102" t="str">
        <f t="shared" si="29"/>
        <v>5</v>
      </c>
      <c r="O102" t="str">
        <f t="shared" si="38"/>
        <v/>
      </c>
      <c r="P102" t="str">
        <f t="shared" ref="P102:R102" si="45">IF($I102&lt;&gt;"","echo "&amp;A102&amp;" &gt;&gt; .\items\materia\"&amp;$J102&amp;"\"&amp;$H102&amp;$G102&amp;".dbr","")</f>
        <v/>
      </c>
      <c r="Q102" t="str">
        <f t="shared" si="45"/>
        <v/>
      </c>
      <c r="R102" t="str">
        <f t="shared" si="45"/>
        <v/>
      </c>
      <c r="S102" t="str">
        <f t="shared" si="44"/>
        <v/>
      </c>
      <c r="T102" t="str">
        <f t="shared" si="44"/>
        <v/>
      </c>
      <c r="U102" t="str">
        <f t="shared" si="44"/>
        <v/>
      </c>
      <c r="V102" s="5" t="s">
        <v>36</v>
      </c>
      <c r="W102" t="str">
        <f t="shared" si="30"/>
        <v/>
      </c>
      <c r="X102" t="str">
        <f t="shared" si="30"/>
        <v/>
      </c>
      <c r="Y102" s="5" t="s">
        <v>36</v>
      </c>
      <c r="Z102" t="str">
        <f t="shared" si="31"/>
        <v/>
      </c>
      <c r="AA102" t="str">
        <f t="shared" si="39"/>
        <v/>
      </c>
      <c r="AB102" s="5" t="s">
        <v>36</v>
      </c>
      <c r="AH102">
        <f t="shared" si="41"/>
        <v>97</v>
      </c>
      <c r="AI102">
        <f t="shared" si="35"/>
        <v>0</v>
      </c>
      <c r="AJ102">
        <f t="shared" si="40"/>
        <v>5</v>
      </c>
    </row>
  </sheetData>
  <mergeCells count="1">
    <mergeCell ref="O2:U2"/>
  </mergeCells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AN102"/>
  <sheetViews>
    <sheetView topLeftCell="M1" zoomScaleNormal="100" workbookViewId="0">
      <selection activeCell="U3" sqref="U3:U102"/>
    </sheetView>
  </sheetViews>
  <sheetFormatPr defaultRowHeight="15" x14ac:dyDescent="0.25"/>
  <cols>
    <col min="1" max="1" width="73.85546875" style="5" bestFit="1" customWidth="1"/>
    <col min="2" max="2" width="16.28515625" style="5" bestFit="1" customWidth="1"/>
    <col min="3" max="3" width="32.7109375" style="5" bestFit="1" customWidth="1"/>
    <col min="4" max="4" width="31.42578125" style="5" bestFit="1" customWidth="1"/>
    <col min="5" max="5" width="24.28515625" style="5" bestFit="1" customWidth="1"/>
    <col min="6" max="6" width="73.5703125" style="5" bestFit="1" customWidth="1"/>
    <col min="7" max="7" width="5.85546875" style="8" bestFit="1" customWidth="1"/>
    <col min="8" max="8" width="7.85546875" style="3" bestFit="1" customWidth="1"/>
    <col min="9" max="9" width="38.140625" style="3" bestFit="1" customWidth="1"/>
    <col min="10" max="10" width="9.140625" style="3" bestFit="1" customWidth="1"/>
    <col min="11" max="11" width="18.140625" style="3" customWidth="1"/>
    <col min="12" max="12" width="51.85546875" style="5" bestFit="1" customWidth="1"/>
    <col min="13" max="13" width="21.28515625" style="5" customWidth="1"/>
    <col min="15" max="15" width="10.5703125" customWidth="1"/>
    <col min="22" max="22" width="1.5703125" style="5" customWidth="1"/>
    <col min="23" max="23" width="9.5703125" customWidth="1"/>
    <col min="25" max="25" width="1.5703125" style="5" bestFit="1" customWidth="1"/>
    <col min="26" max="26" width="20.42578125" customWidth="1"/>
    <col min="27" max="27" width="25.28515625" customWidth="1"/>
    <col min="28" max="28" width="1.5703125" style="5" bestFit="1" customWidth="1"/>
    <col min="31" max="31" width="14.140625" bestFit="1" customWidth="1"/>
  </cols>
  <sheetData>
    <row r="1" spans="1:40" x14ac:dyDescent="0.25">
      <c r="G1" s="5"/>
      <c r="H1" s="5"/>
      <c r="I1" s="5"/>
      <c r="J1" s="5"/>
      <c r="K1" s="5"/>
      <c r="N1" s="5"/>
      <c r="O1" s="9"/>
      <c r="P1" s="9"/>
      <c r="Q1" s="9"/>
      <c r="R1" s="9"/>
      <c r="S1" s="9"/>
      <c r="T1" s="9"/>
      <c r="U1" s="9"/>
      <c r="W1" s="9"/>
      <c r="X1" s="9"/>
      <c r="Z1" s="9"/>
      <c r="AA1" s="9"/>
    </row>
    <row r="2" spans="1:40" x14ac:dyDescent="0.25">
      <c r="A2" s="4" t="s">
        <v>2</v>
      </c>
      <c r="B2" s="4" t="s">
        <v>3</v>
      </c>
      <c r="C2" s="4" t="s">
        <v>4</v>
      </c>
      <c r="D2" s="4" t="s">
        <v>5</v>
      </c>
      <c r="E2" s="4" t="s">
        <v>6</v>
      </c>
      <c r="F2" s="4" t="s">
        <v>7</v>
      </c>
      <c r="G2" s="6" t="s">
        <v>9</v>
      </c>
      <c r="H2" s="2" t="s">
        <v>26</v>
      </c>
      <c r="I2" s="2" t="s">
        <v>8</v>
      </c>
      <c r="J2" s="2" t="s">
        <v>33</v>
      </c>
      <c r="K2" s="2" t="s">
        <v>38</v>
      </c>
      <c r="L2" s="4" t="s">
        <v>31</v>
      </c>
      <c r="M2" s="4" t="s">
        <v>32</v>
      </c>
      <c r="O2" s="11" t="str">
        <f>"Copy from N to T Into the files named "&amp;H3&amp;G3&amp;" etc"</f>
        <v>Copy from N to T Into the files named Nightblade1 etc</v>
      </c>
      <c r="P2" s="11"/>
      <c r="Q2" s="11"/>
      <c r="R2" s="11"/>
      <c r="S2" s="11"/>
      <c r="T2" s="11"/>
      <c r="U2" s="11"/>
      <c r="W2" s="1" t="s">
        <v>35</v>
      </c>
      <c r="Z2" s="1" t="s">
        <v>40</v>
      </c>
      <c r="AD2" t="s">
        <v>44</v>
      </c>
      <c r="AN2" t="s">
        <v>246</v>
      </c>
    </row>
    <row r="3" spans="1:40" x14ac:dyDescent="0.25">
      <c r="A3" s="5" t="s">
        <v>39</v>
      </c>
      <c r="B3" s="5" t="s">
        <v>0</v>
      </c>
      <c r="C3" s="5" t="str">
        <f t="shared" ref="C3:C66" si="0">"description,dailCompDesc"&amp;H3&amp;G3&amp;","</f>
        <v>description,dailCompDescNightblade1,</v>
      </c>
      <c r="D3" s="5" t="str">
        <f>"itemText,dailCompText"&amp;H3&amp;G3&amp;","</f>
        <v>itemText,dailCompTextNightblade1,</v>
      </c>
      <c r="E3" s="5" t="s">
        <v>24</v>
      </c>
      <c r="F3" s="5" t="str">
        <f>"augmentMasteryName1,records/skills"&amp;I3&amp;","</f>
        <v>augmentMasteryName1,records/skills/playerclass04/_classtraining_class04.dbr,</v>
      </c>
      <c r="G3" s="7">
        <f>IF(I3&lt;&gt;"",1,"")</f>
        <v>1</v>
      </c>
      <c r="H3" s="3" t="s">
        <v>66</v>
      </c>
      <c r="I3" s="3" t="s">
        <v>489</v>
      </c>
      <c r="J3" s="3" t="s">
        <v>67</v>
      </c>
      <c r="K3" s="3" t="s">
        <v>68</v>
      </c>
      <c r="L3" s="5" t="str">
        <f>"lootName"&amp;G3&amp;",DAIL/items/materia/"&amp;J3&amp;"/"&amp;H3&amp;G3&amp;".dbr"&amp;","</f>
        <v>lootName1,DAIL/items/materia/class0004/Nightblade1.dbr,</v>
      </c>
      <c r="M3" s="5" t="str">
        <f>"lootWeight"&amp;G3&amp;",1,"</f>
        <v>lootWeight1,1,</v>
      </c>
      <c r="N3" t="str">
        <f>LEFT(RIGHT(E3,2),1)</f>
        <v>1</v>
      </c>
      <c r="O3" s="5" t="str">
        <f>IF(I3&lt;&gt;"","copy .\dail_base2.dbr .\items\materia\"&amp;J3&amp;"\"&amp;H3&amp;G3&amp;".dbr /y"&amp;"","")</f>
        <v>copy .\dail_base2.dbr .\items\materia\class0004\Nightblade1.dbr /y</v>
      </c>
      <c r="P3" t="str">
        <f>IF($I3&lt;&gt;"","echo "&amp;A3&amp;" &gt;&gt; .\items\materia\"&amp;$J3&amp;"\"&amp;$H3&amp;$G3&amp;".dbr","")</f>
        <v>echo relicBitmap,items/craftingparts/components/component_a52_bristlyfur_b.tex, &gt;&gt; .\items\materia\class0004\Nightblade1.dbr</v>
      </c>
      <c r="Q3" t="str">
        <f t="shared" ref="Q3:U18" si="1">IF($I3&lt;&gt;"","echo "&amp;B3&amp;" &gt;&gt; .\items\materia\"&amp;$J3&amp;"\"&amp;$H3&amp;$G3&amp;".dbr","")</f>
        <v>echo itemCost,100000, &gt;&gt; .\items\materia\class0004\Nightblade1.dbr</v>
      </c>
      <c r="R3" t="str">
        <f t="shared" si="1"/>
        <v>echo description,dailCompDescNightblade1, &gt;&gt; .\items\materia\class0004\Nightblade1.dbr</v>
      </c>
      <c r="S3" t="str">
        <f t="shared" si="1"/>
        <v>echo itemText,dailCompTextNightblade1, &gt;&gt; .\items\materia\class0004\Nightblade1.dbr</v>
      </c>
      <c r="T3" t="str">
        <f t="shared" si="1"/>
        <v>echo augmentMasteryLevel1,1, &gt;&gt; .\items\materia\class0004\Nightblade1.dbr</v>
      </c>
      <c r="U3" t="str">
        <f t="shared" si="1"/>
        <v>echo augmentMasteryName1,records/skills/playerclass04/_classtraining_class04.dbr, &gt;&gt; .\items\materia\class0004\Nightblade1.dbr</v>
      </c>
      <c r="V3" s="5" t="s">
        <v>36</v>
      </c>
      <c r="W3" t="str">
        <f>IF($I3&lt;&gt;"","echo "&amp;L3&amp;" &gt;&gt; .\items\loottables\"&amp;$K3&amp;".dbr","")</f>
        <v>echo lootName1,DAIL/items/materia/class0004/Nightblade1.dbr, &gt;&gt; .\items\loottables\dailoneskill0004.dbr</v>
      </c>
      <c r="X3" t="str">
        <f>IF($I3&lt;&gt;"","echo "&amp;M3&amp;" &gt;&gt; .\items\loottables\"&amp;$K3&amp;".dbr","")</f>
        <v>echo lootWeight1,1, &gt;&gt; .\items\loottables\dailoneskill0004.dbr</v>
      </c>
      <c r="Y3" s="5" t="s">
        <v>36</v>
      </c>
      <c r="Z3" s="10" t="str">
        <f>IF(I2&lt;&gt;""," dailCompDesc"&amp;H3&amp;G3&amp;"=^p"&amp;H3&amp;"'s Gift of DAIL","")</f>
        <v xml:space="preserve"> dailCompDescNightblade1=^pNightblade's Gift of DAIL</v>
      </c>
      <c r="AA3" s="10" t="str">
        <f>IF(I2&lt;&gt;"","dailCompText"&amp;H3&amp;G3&amp;"=^oThis feels warm to the touch, almost familiar ^w(This component fits into the amulet only)"&amp;AN3,"")</f>
        <v>dailCompTextNightblade1=^oThis feels warm to the touch, almost familiar ^w(This component fits into the amulet only)raining_class04.dbr</v>
      </c>
      <c r="AB3" s="5" t="s">
        <v>36</v>
      </c>
      <c r="AD3">
        <v>1</v>
      </c>
      <c r="AE3" t="s">
        <v>42</v>
      </c>
      <c r="AF3" t="s">
        <v>45</v>
      </c>
      <c r="AN3" t="str">
        <f>LEFT(RIGHT(F3,20),19)</f>
        <v>raining_class04.dbr</v>
      </c>
    </row>
    <row r="4" spans="1:40" x14ac:dyDescent="0.25">
      <c r="A4" s="5" t="s">
        <v>39</v>
      </c>
      <c r="B4" s="5" t="s">
        <v>28</v>
      </c>
      <c r="C4" s="5" t="str">
        <f t="shared" si="0"/>
        <v>description,dailCompDescNightblade2,</v>
      </c>
      <c r="D4" s="5" t="str">
        <f t="shared" ref="D4:D67" si="2">"itemText,dailCompText"&amp;H4&amp;G4&amp;","</f>
        <v>itemText,dailCompTextNightblade2,</v>
      </c>
      <c r="E4" s="5" t="s">
        <v>1</v>
      </c>
      <c r="F4" s="5" t="str">
        <f t="shared" ref="F4:F5" si="3">"augmentMasteryName1,records/skills"&amp;I4&amp;","</f>
        <v>augmentMasteryName1,records/skills/playerclass04/_classtraining_class04.dbr,</v>
      </c>
      <c r="G4" s="7">
        <f>IF(I4&lt;&gt;"",G3+1,"")</f>
        <v>2</v>
      </c>
      <c r="H4" s="8" t="str">
        <f>H3</f>
        <v>Nightblade</v>
      </c>
      <c r="I4" s="3" t="s">
        <v>489</v>
      </c>
      <c r="J4" s="8" t="str">
        <f>J3</f>
        <v>class0004</v>
      </c>
      <c r="K4" s="8" t="str">
        <f>K3</f>
        <v>dailoneskill0004</v>
      </c>
      <c r="L4" s="5" t="str">
        <f t="shared" ref="L4:L67" si="4">"lootName"&amp;G4&amp;",DAIL/items/materia/"&amp;J4&amp;"/"&amp;H4&amp;G4&amp;".dbr"&amp;","</f>
        <v>lootName2,DAIL/items/materia/class0004/Nightblade2.dbr,</v>
      </c>
      <c r="M4" s="5" t="str">
        <f t="shared" ref="M4:M67" si="5">"lootWeight"&amp;G4&amp;",1,"</f>
        <v>lootWeight2,1,</v>
      </c>
      <c r="N4" t="str">
        <f t="shared" ref="N4:N67" si="6">LEFT(RIGHT(E4,2),1)</f>
        <v>2</v>
      </c>
      <c r="O4" s="5" t="str">
        <f>IF(I4&lt;&gt;"","copy .\dail_base2.dbr .\items\materia\"&amp;J4&amp;"\"&amp;H4&amp;G4&amp;".dbr /y"&amp;"","")</f>
        <v>copy .\dail_base2.dbr .\items\materia\class0004\Nightblade2.dbr /y</v>
      </c>
      <c r="P4" t="str">
        <f t="shared" ref="P4:U58" si="7">IF($I4&lt;&gt;"","echo "&amp;A4&amp;" &gt;&gt; .\items\materia\"&amp;$J4&amp;"\"&amp;$H4&amp;$G4&amp;".dbr","")</f>
        <v>echo relicBitmap,items/craftingparts/components/component_a52_bristlyfur_b.tex, &gt;&gt; .\items\materia\class0004\Nightblade2.dbr</v>
      </c>
      <c r="Q4" t="str">
        <f t="shared" si="1"/>
        <v>echo itemCost,300000, &gt;&gt; .\items\materia\class0004\Nightblade2.dbr</v>
      </c>
      <c r="R4" t="str">
        <f t="shared" si="1"/>
        <v>echo description,dailCompDescNightblade2, &gt;&gt; .\items\materia\class0004\Nightblade2.dbr</v>
      </c>
      <c r="S4" t="str">
        <f t="shared" si="1"/>
        <v>echo itemText,dailCompTextNightblade2, &gt;&gt; .\items\materia\class0004\Nightblade2.dbr</v>
      </c>
      <c r="T4" t="str">
        <f t="shared" si="1"/>
        <v>echo augmentMasteryLevel1,2, &gt;&gt; .\items\materia\class0004\Nightblade2.dbr</v>
      </c>
      <c r="U4" t="str">
        <f t="shared" si="1"/>
        <v>echo augmentMasteryName1,records/skills/playerclass04/_classtraining_class04.dbr, &gt;&gt; .\items\materia\class0004\Nightblade2.dbr</v>
      </c>
      <c r="V4" s="5" t="s">
        <v>36</v>
      </c>
      <c r="W4" t="str">
        <f t="shared" ref="W4:X67" si="8">IF($I4&lt;&gt;"","echo "&amp;L4&amp;" &gt;&gt; .\items\loottables\"&amp;$K4&amp;".dbr","")</f>
        <v>echo lootName2,DAIL/items/materia/class0004/Nightblade2.dbr, &gt;&gt; .\items\loottables\dailoneskill0004.dbr</v>
      </c>
      <c r="X4" t="str">
        <f t="shared" si="8"/>
        <v>echo lootWeight2,1, &gt;&gt; .\items\loottables\dailoneskill0004.dbr</v>
      </c>
      <c r="Y4" s="5" t="s">
        <v>36</v>
      </c>
      <c r="Z4" s="10" t="str">
        <f t="shared" ref="Z4:Z67" si="9">IF(I3&lt;&gt;""," dailCompDesc"&amp;H4&amp;G4&amp;"=^p"&amp;H4&amp;"'s Gift of DAIL","")</f>
        <v xml:space="preserve"> dailCompDescNightblade2=^pNightblade's Gift of DAIL</v>
      </c>
      <c r="AA4" s="10" t="str">
        <f>IF(I3&lt;&gt;"","dailCompText"&amp;H4&amp;G4&amp;"=^oThis feels warm to the touch, almost familiar ^w(This component fits into the amulet only)"&amp;AN4,"")</f>
        <v>dailCompTextNightblade2=^oThis feels warm to the touch, almost familiar ^w(This component fits into the amulet only)raining_class04.dbr</v>
      </c>
      <c r="AB4" s="5" t="s">
        <v>36</v>
      </c>
      <c r="AD4">
        <v>3</v>
      </c>
      <c r="AE4" t="s">
        <v>43</v>
      </c>
      <c r="AF4" t="s">
        <v>46</v>
      </c>
      <c r="AN4" t="str">
        <f t="shared" ref="AN4:AN67" si="10">LEFT(RIGHT(F4,20),19)</f>
        <v>raining_class04.dbr</v>
      </c>
    </row>
    <row r="5" spans="1:40" x14ac:dyDescent="0.25">
      <c r="A5" s="5" t="s">
        <v>39</v>
      </c>
      <c r="B5" s="5" t="s">
        <v>29</v>
      </c>
      <c r="C5" s="5" t="str">
        <f t="shared" si="0"/>
        <v>description,dailCompDescNightblade3,</v>
      </c>
      <c r="D5" s="5" t="str">
        <f t="shared" si="2"/>
        <v>itemText,dailCompTextNightblade3,</v>
      </c>
      <c r="E5" s="5" t="s">
        <v>25</v>
      </c>
      <c r="F5" s="5" t="str">
        <f t="shared" si="3"/>
        <v>augmentMasteryName1,records/skills/playerclass04/_classtraining_class04.dbr,</v>
      </c>
      <c r="G5" s="7">
        <f t="shared" ref="G5:G68" si="11">IF(I5&lt;&gt;"",G4+1,"")</f>
        <v>3</v>
      </c>
      <c r="H5" s="8" t="str">
        <f t="shared" ref="H5:H68" si="12">H4</f>
        <v>Nightblade</v>
      </c>
      <c r="I5" s="3" t="s">
        <v>489</v>
      </c>
      <c r="J5" s="8" t="str">
        <f t="shared" ref="J5:K20" si="13">J4</f>
        <v>class0004</v>
      </c>
      <c r="K5" s="8" t="str">
        <f t="shared" si="13"/>
        <v>dailoneskill0004</v>
      </c>
      <c r="L5" s="5" t="str">
        <f t="shared" si="4"/>
        <v>lootName3,DAIL/items/materia/class0004/Nightblade3.dbr,</v>
      </c>
      <c r="M5" s="5" t="str">
        <f t="shared" si="5"/>
        <v>lootWeight3,1,</v>
      </c>
      <c r="N5" t="str">
        <f t="shared" si="6"/>
        <v>3</v>
      </c>
      <c r="O5" s="5" t="str">
        <f>IF(I5&lt;&gt;"","copy .\dail_base2.dbr .\items\materia\"&amp;J5&amp;"\"&amp;H5&amp;G5&amp;".dbr /y"&amp;"","")</f>
        <v>copy .\dail_base2.dbr .\items\materia\class0004\Nightblade3.dbr /y</v>
      </c>
      <c r="P5" t="str">
        <f t="shared" si="7"/>
        <v>echo relicBitmap,items/craftingparts/components/component_a52_bristlyfur_b.tex, &gt;&gt; .\items\materia\class0004\Nightblade3.dbr</v>
      </c>
      <c r="Q5" t="str">
        <f t="shared" si="1"/>
        <v>echo itemCost,600000, &gt;&gt; .\items\materia\class0004\Nightblade3.dbr</v>
      </c>
      <c r="R5" t="str">
        <f t="shared" si="1"/>
        <v>echo description,dailCompDescNightblade3, &gt;&gt; .\items\materia\class0004\Nightblade3.dbr</v>
      </c>
      <c r="S5" t="str">
        <f t="shared" si="1"/>
        <v>echo itemText,dailCompTextNightblade3, &gt;&gt; .\items\materia\class0004\Nightblade3.dbr</v>
      </c>
      <c r="T5" t="str">
        <f t="shared" si="1"/>
        <v>echo augmentMasteryLevel1,3, &gt;&gt; .\items\materia\class0004\Nightblade3.dbr</v>
      </c>
      <c r="U5" t="str">
        <f t="shared" si="1"/>
        <v>echo augmentMasteryName1,records/skills/playerclass04/_classtraining_class04.dbr, &gt;&gt; .\items\materia\class0004\Nightblade3.dbr</v>
      </c>
      <c r="V5" s="5" t="s">
        <v>36</v>
      </c>
      <c r="W5" t="str">
        <f t="shared" si="8"/>
        <v>echo lootName3,DAIL/items/materia/class0004/Nightblade3.dbr, &gt;&gt; .\items\loottables\dailoneskill0004.dbr</v>
      </c>
      <c r="X5" t="str">
        <f t="shared" si="8"/>
        <v>echo lootWeight3,1, &gt;&gt; .\items\loottables\dailoneskill0004.dbr</v>
      </c>
      <c r="Y5" s="5" t="s">
        <v>36</v>
      </c>
      <c r="Z5" s="10" t="str">
        <f t="shared" si="9"/>
        <v xml:space="preserve"> dailCompDescNightblade3=^pNightblade's Gift of DAIL</v>
      </c>
      <c r="AA5" s="10" t="str">
        <f>IF(I4&lt;&gt;"","dailCompText"&amp;H5&amp;G5&amp;"=^oThis feels warm to the touch, almost familiar ^w(This component fits into the amulet only)"&amp;AN5,"")</f>
        <v>dailCompTextNightblade3=^oThis feels warm to the touch, almost familiar ^w(This component fits into the amulet only)raining_class04.dbr</v>
      </c>
      <c r="AB5" s="5" t="s">
        <v>36</v>
      </c>
      <c r="AD5">
        <v>5</v>
      </c>
      <c r="AE5" t="s">
        <v>43</v>
      </c>
      <c r="AF5" t="s">
        <v>46</v>
      </c>
      <c r="AI5" t="s">
        <v>61</v>
      </c>
      <c r="AN5" t="str">
        <f t="shared" si="10"/>
        <v>raining_class04.dbr</v>
      </c>
    </row>
    <row r="6" spans="1:40" x14ac:dyDescent="0.25">
      <c r="A6" s="5" t="s">
        <v>39</v>
      </c>
      <c r="B6" s="5" t="s">
        <v>0</v>
      </c>
      <c r="C6" s="5" t="str">
        <f t="shared" si="0"/>
        <v>description,dailCompDescNightblade4,</v>
      </c>
      <c r="D6" s="5" t="str">
        <f t="shared" si="2"/>
        <v>itemText,dailCompTextNightblade4,</v>
      </c>
      <c r="E6" s="5" t="str">
        <f>"augmentSkillLevel1,"&amp;AJ6&amp;","</f>
        <v>augmentSkillLevel1,1,</v>
      </c>
      <c r="F6" s="5" t="str">
        <f>"augmentSkillName1,records/skills"&amp;I6&amp;","</f>
        <v>augmentSkillName1,records/skills/playerclass04/passive1.dbr,</v>
      </c>
      <c r="G6" s="7">
        <f t="shared" si="11"/>
        <v>4</v>
      </c>
      <c r="H6" s="8" t="str">
        <f t="shared" si="12"/>
        <v>Nightblade</v>
      </c>
      <c r="I6" s="3" t="s">
        <v>306</v>
      </c>
      <c r="J6" s="8" t="str">
        <f t="shared" si="13"/>
        <v>class0004</v>
      </c>
      <c r="K6" s="8" t="str">
        <f t="shared" si="13"/>
        <v>dailoneskill0004</v>
      </c>
      <c r="L6" s="5" t="str">
        <f t="shared" si="4"/>
        <v>lootName4,DAIL/items/materia/class0004/Nightblade4.dbr,</v>
      </c>
      <c r="M6" s="5" t="str">
        <f t="shared" si="5"/>
        <v>lootWeight4,1,</v>
      </c>
      <c r="N6" t="str">
        <f t="shared" si="6"/>
        <v>1</v>
      </c>
      <c r="O6" t="str">
        <f>IF(I6&lt;&gt;"","copy .\"&amp;VLOOKUP(VALUE(N6),$AD$3:$AF$5,2,FALSE)&amp;" .\items\materia\"&amp;J6&amp;"\"&amp;H6&amp;G6&amp;".dbr /y"&amp;"","")</f>
        <v>copy .\dail_base.dbr .\items\materia\class0004\Nightblade4.dbr /y</v>
      </c>
      <c r="P6" t="str">
        <f t="shared" si="7"/>
        <v>echo relicBitmap,items/craftingparts/components/component_a52_bristlyfur_b.tex, &gt;&gt; .\items\materia\class0004\Nightblade4.dbr</v>
      </c>
      <c r="Q6" t="str">
        <f t="shared" si="1"/>
        <v>echo itemCost,100000, &gt;&gt; .\items\materia\class0004\Nightblade4.dbr</v>
      </c>
      <c r="R6" t="str">
        <f t="shared" si="1"/>
        <v>echo description,dailCompDescNightblade4, &gt;&gt; .\items\materia\class0004\Nightblade4.dbr</v>
      </c>
      <c r="S6" t="str">
        <f t="shared" si="1"/>
        <v>echo itemText,dailCompTextNightblade4, &gt;&gt; .\items\materia\class0004\Nightblade4.dbr</v>
      </c>
      <c r="T6" t="str">
        <f t="shared" si="1"/>
        <v>echo augmentSkillLevel1,1, &gt;&gt; .\items\materia\class0004\Nightblade4.dbr</v>
      </c>
      <c r="U6" t="str">
        <f t="shared" si="1"/>
        <v>echo augmentSkillName1,records/skills/playerclass04/passive1.dbr, &gt;&gt; .\items\materia\class0004\Nightblade4.dbr</v>
      </c>
      <c r="V6" s="5" t="s">
        <v>36</v>
      </c>
      <c r="W6" t="str">
        <f t="shared" si="8"/>
        <v>echo lootName4,DAIL/items/materia/class0004/Nightblade4.dbr, &gt;&gt; .\items\loottables\dailoneskill0004.dbr</v>
      </c>
      <c r="X6" t="str">
        <f t="shared" si="8"/>
        <v>echo lootWeight4,1, &gt;&gt; .\items\loottables\dailoneskill0004.dbr</v>
      </c>
      <c r="Y6" s="5" t="s">
        <v>36</v>
      </c>
      <c r="Z6" t="str">
        <f t="shared" si="9"/>
        <v xml:space="preserve"> dailCompDescNightblade4=^pNightblade's Gift of DAIL</v>
      </c>
      <c r="AA6" t="str">
        <f>IF(I5&lt;&gt;"","dailCompText"&amp;H6&amp;G6&amp;"=^oThis feels warm to the touch, almost familiar ^w("&amp;VLOOKUP(VALUE(N6),$AD$3:$AF$5,3,FALSE)&amp;")"&amp;AN6,"")</f>
        <v>dailCompTextNightblade4=^oThis feels warm to the touch, almost familiar ^w(This component fits into all Jewellery slots including the Belt And Shoulder)lass04/passive1.dbr</v>
      </c>
      <c r="AB6" s="5" t="s">
        <v>36</v>
      </c>
      <c r="AH6">
        <v>1</v>
      </c>
      <c r="AI6">
        <f t="shared" ref="AI6:AI37" si="14">LEN(I6)</f>
        <v>27</v>
      </c>
      <c r="AJ6">
        <f>IF(AH6&lt;$AL$7,1,IF(AH6&lt;$AL$8,3,5))</f>
        <v>1</v>
      </c>
      <c r="AK6" s="1" t="s">
        <v>62</v>
      </c>
      <c r="AL6" s="1">
        <f>COUNTIF(AI:AI,"&gt;0")</f>
        <v>97</v>
      </c>
      <c r="AN6" t="str">
        <f t="shared" si="10"/>
        <v>lass04/passive1.dbr</v>
      </c>
    </row>
    <row r="7" spans="1:40" x14ac:dyDescent="0.25">
      <c r="A7" s="5" t="s">
        <v>39</v>
      </c>
      <c r="B7" s="5" t="s">
        <v>0</v>
      </c>
      <c r="C7" s="5" t="str">
        <f t="shared" si="0"/>
        <v>description,dailCompDescNightblade5,</v>
      </c>
      <c r="D7" s="5" t="str">
        <f t="shared" si="2"/>
        <v>itemText,dailCompTextNightblade5,</v>
      </c>
      <c r="E7" s="5" t="str">
        <f t="shared" ref="E7:E70" si="15">"augmentSkillLevel1,"&amp;AJ7&amp;","</f>
        <v>augmentSkillLevel1,1,</v>
      </c>
      <c r="F7" s="5" t="str">
        <f t="shared" ref="F7:F70" si="16">"augmentSkillName1,records/skills"&amp;I7&amp;","</f>
        <v>augmentSkillName1,records/skills/playerclass04/passive2.dbr,</v>
      </c>
      <c r="G7" s="7">
        <f t="shared" si="11"/>
        <v>5</v>
      </c>
      <c r="H7" s="8" t="str">
        <f t="shared" si="12"/>
        <v>Nightblade</v>
      </c>
      <c r="I7" s="3" t="s">
        <v>307</v>
      </c>
      <c r="J7" s="8" t="str">
        <f t="shared" si="13"/>
        <v>class0004</v>
      </c>
      <c r="K7" s="8" t="str">
        <f t="shared" si="13"/>
        <v>dailoneskill0004</v>
      </c>
      <c r="L7" s="5" t="str">
        <f t="shared" si="4"/>
        <v>lootName5,DAIL/items/materia/class0004/Nightblade5.dbr,</v>
      </c>
      <c r="M7" s="5" t="str">
        <f t="shared" si="5"/>
        <v>lootWeight5,1,</v>
      </c>
      <c r="N7" t="str">
        <f t="shared" si="6"/>
        <v>1</v>
      </c>
      <c r="O7" t="str">
        <f t="shared" ref="O7:O70" si="17">IF(I7&lt;&gt;"","copy .\"&amp;VLOOKUP(VALUE(N7),$AD$3:$AF$5,2,FALSE)&amp;" .\items\materia\"&amp;J7&amp;"\"&amp;H7&amp;G7&amp;".dbr /y"&amp;"","")</f>
        <v>copy .\dail_base.dbr .\items\materia\class0004\Nightblade5.dbr /y</v>
      </c>
      <c r="P7" t="str">
        <f t="shared" si="7"/>
        <v>echo relicBitmap,items/craftingparts/components/component_a52_bristlyfur_b.tex, &gt;&gt; .\items\materia\class0004\Nightblade5.dbr</v>
      </c>
      <c r="Q7" t="str">
        <f t="shared" si="1"/>
        <v>echo itemCost,100000, &gt;&gt; .\items\materia\class0004\Nightblade5.dbr</v>
      </c>
      <c r="R7" t="str">
        <f t="shared" si="1"/>
        <v>echo description,dailCompDescNightblade5, &gt;&gt; .\items\materia\class0004\Nightblade5.dbr</v>
      </c>
      <c r="S7" t="str">
        <f t="shared" si="1"/>
        <v>echo itemText,dailCompTextNightblade5, &gt;&gt; .\items\materia\class0004\Nightblade5.dbr</v>
      </c>
      <c r="T7" t="str">
        <f t="shared" si="1"/>
        <v>echo augmentSkillLevel1,1, &gt;&gt; .\items\materia\class0004\Nightblade5.dbr</v>
      </c>
      <c r="U7" t="str">
        <f t="shared" si="1"/>
        <v>echo augmentSkillName1,records/skills/playerclass04/passive2.dbr, &gt;&gt; .\items\materia\class0004\Nightblade5.dbr</v>
      </c>
      <c r="V7" s="5" t="s">
        <v>36</v>
      </c>
      <c r="W7" t="str">
        <f t="shared" si="8"/>
        <v>echo lootName5,DAIL/items/materia/class0004/Nightblade5.dbr, &gt;&gt; .\items\loottables\dailoneskill0004.dbr</v>
      </c>
      <c r="X7" t="str">
        <f t="shared" si="8"/>
        <v>echo lootWeight5,1, &gt;&gt; .\items\loottables\dailoneskill0004.dbr</v>
      </c>
      <c r="Y7" s="5" t="s">
        <v>36</v>
      </c>
      <c r="Z7" t="str">
        <f t="shared" si="9"/>
        <v xml:space="preserve"> dailCompDescNightblade5=^pNightblade's Gift of DAIL</v>
      </c>
      <c r="AA7" t="str">
        <f t="shared" ref="AA7:AA70" si="18">IF(I6&lt;&gt;"","dailCompText"&amp;H7&amp;G7&amp;"=^oThis feels warm to the touch, almost familiar ^w("&amp;VLOOKUP(VALUE(N7),$AD$3:$AF$5,3,FALSE)&amp;")"&amp;AN7,"")</f>
        <v>dailCompTextNightblade5=^oThis feels warm to the touch, almost familiar ^w(This component fits into all Jewellery slots including the Belt And Shoulder)lass04/passive2.dbr</v>
      </c>
      <c r="AB7" s="5" t="s">
        <v>36</v>
      </c>
      <c r="AH7">
        <f>AH6+1</f>
        <v>2</v>
      </c>
      <c r="AI7">
        <f t="shared" si="14"/>
        <v>27</v>
      </c>
      <c r="AJ7">
        <f t="shared" ref="AJ7:AJ70" si="19">IF(AH7&lt;$AL$7,1,IF(AH7&lt;$AL$8,3,5))</f>
        <v>1</v>
      </c>
      <c r="AK7">
        <v>1</v>
      </c>
      <c r="AL7">
        <f>AL6/3</f>
        <v>32.333333333333336</v>
      </c>
      <c r="AN7" t="str">
        <f t="shared" si="10"/>
        <v>lass04/passive2.dbr</v>
      </c>
    </row>
    <row r="8" spans="1:40" x14ac:dyDescent="0.25">
      <c r="A8" s="5" t="s">
        <v>39</v>
      </c>
      <c r="B8" s="5" t="s">
        <v>0</v>
      </c>
      <c r="C8" s="5" t="str">
        <f t="shared" si="0"/>
        <v>description,dailCompDescNightblade6,</v>
      </c>
      <c r="D8" s="5" t="str">
        <f t="shared" si="2"/>
        <v>itemText,dailCompTextNightblade6,</v>
      </c>
      <c r="E8" s="5" t="str">
        <f t="shared" si="15"/>
        <v>augmentSkillLevel1,1,</v>
      </c>
      <c r="F8" s="5" t="str">
        <f t="shared" si="16"/>
        <v>augmentSkillName1,records/skills/playerclass04/passive3.dbr,</v>
      </c>
      <c r="G8" s="7">
        <f t="shared" si="11"/>
        <v>6</v>
      </c>
      <c r="H8" s="8" t="str">
        <f t="shared" si="12"/>
        <v>Nightblade</v>
      </c>
      <c r="I8" s="3" t="s">
        <v>308</v>
      </c>
      <c r="J8" s="8" t="str">
        <f t="shared" si="13"/>
        <v>class0004</v>
      </c>
      <c r="K8" s="8" t="str">
        <f t="shared" si="13"/>
        <v>dailoneskill0004</v>
      </c>
      <c r="L8" s="5" t="str">
        <f t="shared" si="4"/>
        <v>lootName6,DAIL/items/materia/class0004/Nightblade6.dbr,</v>
      </c>
      <c r="M8" s="5" t="str">
        <f t="shared" si="5"/>
        <v>lootWeight6,1,</v>
      </c>
      <c r="N8" t="str">
        <f t="shared" si="6"/>
        <v>1</v>
      </c>
      <c r="O8" t="str">
        <f t="shared" si="17"/>
        <v>copy .\dail_base.dbr .\items\materia\class0004\Nightblade6.dbr /y</v>
      </c>
      <c r="P8" t="str">
        <f t="shared" si="7"/>
        <v>echo relicBitmap,items/craftingparts/components/component_a52_bristlyfur_b.tex, &gt;&gt; .\items\materia\class0004\Nightblade6.dbr</v>
      </c>
      <c r="Q8" t="str">
        <f t="shared" si="1"/>
        <v>echo itemCost,100000, &gt;&gt; .\items\materia\class0004\Nightblade6.dbr</v>
      </c>
      <c r="R8" t="str">
        <f t="shared" si="1"/>
        <v>echo description,dailCompDescNightblade6, &gt;&gt; .\items\materia\class0004\Nightblade6.dbr</v>
      </c>
      <c r="S8" t="str">
        <f t="shared" si="1"/>
        <v>echo itemText,dailCompTextNightblade6, &gt;&gt; .\items\materia\class0004\Nightblade6.dbr</v>
      </c>
      <c r="T8" t="str">
        <f t="shared" si="1"/>
        <v>echo augmentSkillLevel1,1, &gt;&gt; .\items\materia\class0004\Nightblade6.dbr</v>
      </c>
      <c r="U8" t="str">
        <f t="shared" si="1"/>
        <v>echo augmentSkillName1,records/skills/playerclass04/passive3.dbr, &gt;&gt; .\items\materia\class0004\Nightblade6.dbr</v>
      </c>
      <c r="V8" s="5" t="s">
        <v>36</v>
      </c>
      <c r="W8" t="str">
        <f t="shared" si="8"/>
        <v>echo lootName6,DAIL/items/materia/class0004/Nightblade6.dbr, &gt;&gt; .\items\loottables\dailoneskill0004.dbr</v>
      </c>
      <c r="X8" t="str">
        <f t="shared" si="8"/>
        <v>echo lootWeight6,1, &gt;&gt; .\items\loottables\dailoneskill0004.dbr</v>
      </c>
      <c r="Y8" s="5" t="s">
        <v>36</v>
      </c>
      <c r="Z8" t="str">
        <f t="shared" si="9"/>
        <v xml:space="preserve"> dailCompDescNightblade6=^pNightblade's Gift of DAIL</v>
      </c>
      <c r="AA8" t="str">
        <f t="shared" si="18"/>
        <v>dailCompTextNightblade6=^oThis feels warm to the touch, almost familiar ^w(This component fits into all Jewellery slots including the Belt And Shoulder)lass04/passive3.dbr</v>
      </c>
      <c r="AB8" s="5" t="s">
        <v>36</v>
      </c>
      <c r="AH8">
        <f t="shared" ref="AH8:AH71" si="20">AH7+1</f>
        <v>3</v>
      </c>
      <c r="AI8">
        <f t="shared" si="14"/>
        <v>27</v>
      </c>
      <c r="AJ8">
        <f t="shared" si="19"/>
        <v>1</v>
      </c>
      <c r="AK8" s="1">
        <v>3</v>
      </c>
      <c r="AL8">
        <f>AL7*2</f>
        <v>64.666666666666671</v>
      </c>
      <c r="AN8" t="str">
        <f t="shared" si="10"/>
        <v>lass04/passive3.dbr</v>
      </c>
    </row>
    <row r="9" spans="1:40" x14ac:dyDescent="0.25">
      <c r="A9" s="5" t="s">
        <v>39</v>
      </c>
      <c r="B9" s="5" t="s">
        <v>0</v>
      </c>
      <c r="C9" s="5" t="str">
        <f t="shared" si="0"/>
        <v>description,dailCompDescNightblade7,</v>
      </c>
      <c r="D9" s="5" t="str">
        <f t="shared" si="2"/>
        <v>itemText,dailCompTextNightblade7,</v>
      </c>
      <c r="E9" s="5" t="str">
        <f t="shared" si="15"/>
        <v>augmentSkillLevel1,1,</v>
      </c>
      <c r="F9" s="5" t="str">
        <f t="shared" si="16"/>
        <v>augmentSkillName1,records/skills/playerclass04/eviscerate1.dbr,</v>
      </c>
      <c r="G9" s="7">
        <f t="shared" si="11"/>
        <v>7</v>
      </c>
      <c r="H9" s="8" t="str">
        <f t="shared" si="12"/>
        <v>Nightblade</v>
      </c>
      <c r="I9" s="3" t="s">
        <v>114</v>
      </c>
      <c r="J9" s="8" t="str">
        <f t="shared" si="13"/>
        <v>class0004</v>
      </c>
      <c r="K9" s="8" t="str">
        <f t="shared" si="13"/>
        <v>dailoneskill0004</v>
      </c>
      <c r="L9" s="5" t="str">
        <f t="shared" si="4"/>
        <v>lootName7,DAIL/items/materia/class0004/Nightblade7.dbr,</v>
      </c>
      <c r="M9" s="5" t="str">
        <f t="shared" si="5"/>
        <v>lootWeight7,1,</v>
      </c>
      <c r="N9" t="str">
        <f t="shared" si="6"/>
        <v>1</v>
      </c>
      <c r="O9" t="str">
        <f t="shared" si="17"/>
        <v>copy .\dail_base.dbr .\items\materia\class0004\Nightblade7.dbr /y</v>
      </c>
      <c r="P9" t="str">
        <f t="shared" si="7"/>
        <v>echo relicBitmap,items/craftingparts/components/component_a52_bristlyfur_b.tex, &gt;&gt; .\items\materia\class0004\Nightblade7.dbr</v>
      </c>
      <c r="Q9" t="str">
        <f t="shared" si="1"/>
        <v>echo itemCost,100000, &gt;&gt; .\items\materia\class0004\Nightblade7.dbr</v>
      </c>
      <c r="R9" t="str">
        <f t="shared" si="1"/>
        <v>echo description,dailCompDescNightblade7, &gt;&gt; .\items\materia\class0004\Nightblade7.dbr</v>
      </c>
      <c r="S9" t="str">
        <f t="shared" si="1"/>
        <v>echo itemText,dailCompTextNightblade7, &gt;&gt; .\items\materia\class0004\Nightblade7.dbr</v>
      </c>
      <c r="T9" t="str">
        <f t="shared" si="1"/>
        <v>echo augmentSkillLevel1,1, &gt;&gt; .\items\materia\class0004\Nightblade7.dbr</v>
      </c>
      <c r="U9" t="str">
        <f t="shared" si="1"/>
        <v>echo augmentSkillName1,records/skills/playerclass04/eviscerate1.dbr, &gt;&gt; .\items\materia\class0004\Nightblade7.dbr</v>
      </c>
      <c r="V9" s="5" t="s">
        <v>36</v>
      </c>
      <c r="W9" t="str">
        <f t="shared" si="8"/>
        <v>echo lootName7,DAIL/items/materia/class0004/Nightblade7.dbr, &gt;&gt; .\items\loottables\dailoneskill0004.dbr</v>
      </c>
      <c r="X9" t="str">
        <f t="shared" si="8"/>
        <v>echo lootWeight7,1, &gt;&gt; .\items\loottables\dailoneskill0004.dbr</v>
      </c>
      <c r="Y9" s="5" t="s">
        <v>36</v>
      </c>
      <c r="Z9" t="str">
        <f t="shared" si="9"/>
        <v xml:space="preserve"> dailCompDescNightblade7=^pNightblade's Gift of DAIL</v>
      </c>
      <c r="AA9" t="str">
        <f t="shared" si="18"/>
        <v>dailCompTextNightblade7=^oThis feels warm to the touch, almost familiar ^w(This component fits into all Jewellery slots including the Belt And Shoulder)s04/eviscerate1.dbr</v>
      </c>
      <c r="AB9" s="5" t="s">
        <v>36</v>
      </c>
      <c r="AH9">
        <f t="shared" si="20"/>
        <v>4</v>
      </c>
      <c r="AI9">
        <f t="shared" si="14"/>
        <v>30</v>
      </c>
      <c r="AJ9">
        <f t="shared" si="19"/>
        <v>1</v>
      </c>
      <c r="AK9" s="1">
        <v>5</v>
      </c>
      <c r="AL9">
        <f>AL6</f>
        <v>97</v>
      </c>
      <c r="AN9" t="str">
        <f t="shared" si="10"/>
        <v>s04/eviscerate1.dbr</v>
      </c>
    </row>
    <row r="10" spans="1:40" x14ac:dyDescent="0.25">
      <c r="A10" s="5" t="s">
        <v>39</v>
      </c>
      <c r="B10" s="5" t="s">
        <v>0</v>
      </c>
      <c r="C10" s="5" t="str">
        <f t="shared" si="0"/>
        <v>description,dailCompDescNightblade8,</v>
      </c>
      <c r="D10" s="5" t="str">
        <f t="shared" si="2"/>
        <v>itemText,dailCompTextNightblade8,</v>
      </c>
      <c r="E10" s="5" t="str">
        <f t="shared" si="15"/>
        <v>augmentSkillLevel1,1,</v>
      </c>
      <c r="F10" s="5" t="str">
        <f t="shared" si="16"/>
        <v>augmentSkillName1,records/skills/playerclass04/eviscerate2.dbr,</v>
      </c>
      <c r="G10" s="7">
        <f t="shared" si="11"/>
        <v>8</v>
      </c>
      <c r="H10" s="8" t="str">
        <f t="shared" si="12"/>
        <v>Nightblade</v>
      </c>
      <c r="I10" s="3" t="s">
        <v>309</v>
      </c>
      <c r="J10" s="8" t="str">
        <f t="shared" si="13"/>
        <v>class0004</v>
      </c>
      <c r="K10" s="8" t="str">
        <f t="shared" si="13"/>
        <v>dailoneskill0004</v>
      </c>
      <c r="L10" s="5" t="str">
        <f t="shared" si="4"/>
        <v>lootName8,DAIL/items/materia/class0004/Nightblade8.dbr,</v>
      </c>
      <c r="M10" s="5" t="str">
        <f t="shared" si="5"/>
        <v>lootWeight8,1,</v>
      </c>
      <c r="N10" t="str">
        <f t="shared" si="6"/>
        <v>1</v>
      </c>
      <c r="O10" t="str">
        <f t="shared" si="17"/>
        <v>copy .\dail_base.dbr .\items\materia\class0004\Nightblade8.dbr /y</v>
      </c>
      <c r="P10" t="str">
        <f t="shared" si="7"/>
        <v>echo relicBitmap,items/craftingparts/components/component_a52_bristlyfur_b.tex, &gt;&gt; .\items\materia\class0004\Nightblade8.dbr</v>
      </c>
      <c r="Q10" t="str">
        <f t="shared" si="1"/>
        <v>echo itemCost,100000, &gt;&gt; .\items\materia\class0004\Nightblade8.dbr</v>
      </c>
      <c r="R10" t="str">
        <f t="shared" si="1"/>
        <v>echo description,dailCompDescNightblade8, &gt;&gt; .\items\materia\class0004\Nightblade8.dbr</v>
      </c>
      <c r="S10" t="str">
        <f t="shared" si="1"/>
        <v>echo itemText,dailCompTextNightblade8, &gt;&gt; .\items\materia\class0004\Nightblade8.dbr</v>
      </c>
      <c r="T10" t="str">
        <f t="shared" si="1"/>
        <v>echo augmentSkillLevel1,1, &gt;&gt; .\items\materia\class0004\Nightblade8.dbr</v>
      </c>
      <c r="U10" t="str">
        <f t="shared" si="1"/>
        <v>echo augmentSkillName1,records/skills/playerclass04/eviscerate2.dbr, &gt;&gt; .\items\materia\class0004\Nightblade8.dbr</v>
      </c>
      <c r="V10" s="5" t="s">
        <v>36</v>
      </c>
      <c r="W10" t="str">
        <f t="shared" si="8"/>
        <v>echo lootName8,DAIL/items/materia/class0004/Nightblade8.dbr, &gt;&gt; .\items\loottables\dailoneskill0004.dbr</v>
      </c>
      <c r="X10" t="str">
        <f t="shared" si="8"/>
        <v>echo lootWeight8,1, &gt;&gt; .\items\loottables\dailoneskill0004.dbr</v>
      </c>
      <c r="Y10" s="5" t="s">
        <v>36</v>
      </c>
      <c r="Z10" t="str">
        <f t="shared" si="9"/>
        <v xml:space="preserve"> dailCompDescNightblade8=^pNightblade's Gift of DAIL</v>
      </c>
      <c r="AA10" t="str">
        <f t="shared" si="18"/>
        <v>dailCompTextNightblade8=^oThis feels warm to the touch, almost familiar ^w(This component fits into all Jewellery slots including the Belt And Shoulder)s04/eviscerate2.dbr</v>
      </c>
      <c r="AB10" s="5" t="s">
        <v>36</v>
      </c>
      <c r="AH10">
        <f t="shared" si="20"/>
        <v>5</v>
      </c>
      <c r="AI10">
        <f t="shared" si="14"/>
        <v>30</v>
      </c>
      <c r="AJ10">
        <f t="shared" si="19"/>
        <v>1</v>
      </c>
      <c r="AN10" t="str">
        <f t="shared" si="10"/>
        <v>s04/eviscerate2.dbr</v>
      </c>
    </row>
    <row r="11" spans="1:40" x14ac:dyDescent="0.25">
      <c r="A11" s="5" t="s">
        <v>39</v>
      </c>
      <c r="B11" s="5" t="s">
        <v>0</v>
      </c>
      <c r="C11" s="5" t="str">
        <f t="shared" si="0"/>
        <v>description,dailCompDescNightblade9,</v>
      </c>
      <c r="D11" s="5" t="str">
        <f t="shared" si="2"/>
        <v>itemText,dailCompTextNightblade9,</v>
      </c>
      <c r="E11" s="5" t="str">
        <f t="shared" si="15"/>
        <v>augmentSkillLevel1,1,</v>
      </c>
      <c r="F11" s="5" t="str">
        <f t="shared" si="16"/>
        <v>augmentSkillName1,records/skills/playerclass04/bladetrap1.dbr,</v>
      </c>
      <c r="G11" s="7">
        <f t="shared" si="11"/>
        <v>9</v>
      </c>
      <c r="H11" s="8" t="str">
        <f t="shared" si="12"/>
        <v>Nightblade</v>
      </c>
      <c r="I11" s="3" t="s">
        <v>113</v>
      </c>
      <c r="J11" s="8" t="str">
        <f t="shared" si="13"/>
        <v>class0004</v>
      </c>
      <c r="K11" s="8" t="str">
        <f t="shared" si="13"/>
        <v>dailoneskill0004</v>
      </c>
      <c r="L11" s="5" t="str">
        <f t="shared" si="4"/>
        <v>lootName9,DAIL/items/materia/class0004/Nightblade9.dbr,</v>
      </c>
      <c r="M11" s="5" t="str">
        <f t="shared" si="5"/>
        <v>lootWeight9,1,</v>
      </c>
      <c r="N11" t="str">
        <f t="shared" si="6"/>
        <v>1</v>
      </c>
      <c r="O11" t="str">
        <f t="shared" si="17"/>
        <v>copy .\dail_base.dbr .\items\materia\class0004\Nightblade9.dbr /y</v>
      </c>
      <c r="P11" t="str">
        <f t="shared" si="7"/>
        <v>echo relicBitmap,items/craftingparts/components/component_a52_bristlyfur_b.tex, &gt;&gt; .\items\materia\class0004\Nightblade9.dbr</v>
      </c>
      <c r="Q11" t="str">
        <f t="shared" si="1"/>
        <v>echo itemCost,100000, &gt;&gt; .\items\materia\class0004\Nightblade9.dbr</v>
      </c>
      <c r="R11" t="str">
        <f t="shared" si="1"/>
        <v>echo description,dailCompDescNightblade9, &gt;&gt; .\items\materia\class0004\Nightblade9.dbr</v>
      </c>
      <c r="S11" t="str">
        <f t="shared" si="1"/>
        <v>echo itemText,dailCompTextNightblade9, &gt;&gt; .\items\materia\class0004\Nightblade9.dbr</v>
      </c>
      <c r="T11" t="str">
        <f t="shared" si="1"/>
        <v>echo augmentSkillLevel1,1, &gt;&gt; .\items\materia\class0004\Nightblade9.dbr</v>
      </c>
      <c r="U11" t="str">
        <f t="shared" si="1"/>
        <v>echo augmentSkillName1,records/skills/playerclass04/bladetrap1.dbr, &gt;&gt; .\items\materia\class0004\Nightblade9.dbr</v>
      </c>
      <c r="V11" s="5" t="s">
        <v>36</v>
      </c>
      <c r="W11" t="str">
        <f t="shared" si="8"/>
        <v>echo lootName9,DAIL/items/materia/class0004/Nightblade9.dbr, &gt;&gt; .\items\loottables\dailoneskill0004.dbr</v>
      </c>
      <c r="X11" t="str">
        <f t="shared" si="8"/>
        <v>echo lootWeight9,1, &gt;&gt; .\items\loottables\dailoneskill0004.dbr</v>
      </c>
      <c r="Y11" s="5" t="s">
        <v>36</v>
      </c>
      <c r="Z11" t="str">
        <f t="shared" si="9"/>
        <v xml:space="preserve"> dailCompDescNightblade9=^pNightblade's Gift of DAIL</v>
      </c>
      <c r="AA11" t="str">
        <f t="shared" si="18"/>
        <v>dailCompTextNightblade9=^oThis feels warm to the touch, almost familiar ^w(This component fits into all Jewellery slots including the Belt And Shoulder)ss04/bladetrap1.dbr</v>
      </c>
      <c r="AB11" s="5" t="s">
        <v>36</v>
      </c>
      <c r="AH11">
        <f t="shared" si="20"/>
        <v>6</v>
      </c>
      <c r="AI11">
        <f t="shared" si="14"/>
        <v>29</v>
      </c>
      <c r="AJ11">
        <f t="shared" si="19"/>
        <v>1</v>
      </c>
      <c r="AN11" t="str">
        <f t="shared" si="10"/>
        <v>ss04/bladetrap1.dbr</v>
      </c>
    </row>
    <row r="12" spans="1:40" x14ac:dyDescent="0.25">
      <c r="A12" s="5" t="s">
        <v>39</v>
      </c>
      <c r="B12" s="5" t="s">
        <v>0</v>
      </c>
      <c r="C12" s="5" t="str">
        <f t="shared" si="0"/>
        <v>description,dailCompDescNightblade10,</v>
      </c>
      <c r="D12" s="5" t="str">
        <f t="shared" si="2"/>
        <v>itemText,dailCompTextNightblade10,</v>
      </c>
      <c r="E12" s="5" t="str">
        <f t="shared" si="15"/>
        <v>augmentSkillLevel1,1,</v>
      </c>
      <c r="F12" s="5" t="str">
        <f t="shared" si="16"/>
        <v>augmentSkillName1,records/skills/playerclass04/bladetrap2.dbr,</v>
      </c>
      <c r="G12" s="7">
        <f t="shared" si="11"/>
        <v>10</v>
      </c>
      <c r="H12" s="8" t="str">
        <f t="shared" si="12"/>
        <v>Nightblade</v>
      </c>
      <c r="I12" s="3" t="s">
        <v>310</v>
      </c>
      <c r="J12" s="8" t="str">
        <f t="shared" si="13"/>
        <v>class0004</v>
      </c>
      <c r="K12" s="8" t="str">
        <f t="shared" si="13"/>
        <v>dailoneskill0004</v>
      </c>
      <c r="L12" s="5" t="str">
        <f t="shared" si="4"/>
        <v>lootName10,DAIL/items/materia/class0004/Nightblade10.dbr,</v>
      </c>
      <c r="M12" s="5" t="str">
        <f t="shared" si="5"/>
        <v>lootWeight10,1,</v>
      </c>
      <c r="N12" t="str">
        <f t="shared" si="6"/>
        <v>1</v>
      </c>
      <c r="O12" t="str">
        <f t="shared" si="17"/>
        <v>copy .\dail_base.dbr .\items\materia\class0004\Nightblade10.dbr /y</v>
      </c>
      <c r="P12" t="str">
        <f t="shared" si="7"/>
        <v>echo relicBitmap,items/craftingparts/components/component_a52_bristlyfur_b.tex, &gt;&gt; .\items\materia\class0004\Nightblade10.dbr</v>
      </c>
      <c r="Q12" t="str">
        <f t="shared" si="1"/>
        <v>echo itemCost,100000, &gt;&gt; .\items\materia\class0004\Nightblade10.dbr</v>
      </c>
      <c r="R12" t="str">
        <f t="shared" si="1"/>
        <v>echo description,dailCompDescNightblade10, &gt;&gt; .\items\materia\class0004\Nightblade10.dbr</v>
      </c>
      <c r="S12" t="str">
        <f t="shared" si="1"/>
        <v>echo itemText,dailCompTextNightblade10, &gt;&gt; .\items\materia\class0004\Nightblade10.dbr</v>
      </c>
      <c r="T12" t="str">
        <f t="shared" si="1"/>
        <v>echo augmentSkillLevel1,1, &gt;&gt; .\items\materia\class0004\Nightblade10.dbr</v>
      </c>
      <c r="U12" t="str">
        <f t="shared" si="1"/>
        <v>echo augmentSkillName1,records/skills/playerclass04/bladetrap2.dbr, &gt;&gt; .\items\materia\class0004\Nightblade10.dbr</v>
      </c>
      <c r="V12" s="5" t="s">
        <v>36</v>
      </c>
      <c r="W12" t="str">
        <f t="shared" si="8"/>
        <v>echo lootName10,DAIL/items/materia/class0004/Nightblade10.dbr, &gt;&gt; .\items\loottables\dailoneskill0004.dbr</v>
      </c>
      <c r="X12" t="str">
        <f t="shared" si="8"/>
        <v>echo lootWeight10,1, &gt;&gt; .\items\loottables\dailoneskill0004.dbr</v>
      </c>
      <c r="Y12" s="5" t="s">
        <v>36</v>
      </c>
      <c r="Z12" t="str">
        <f t="shared" si="9"/>
        <v xml:space="preserve"> dailCompDescNightblade10=^pNightblade's Gift of DAIL</v>
      </c>
      <c r="AA12" t="str">
        <f t="shared" si="18"/>
        <v>dailCompTextNightblade10=^oThis feels warm to the touch, almost familiar ^w(This component fits into all Jewellery slots including the Belt And Shoulder)ss04/bladetrap2.dbr</v>
      </c>
      <c r="AB12" s="5" t="s">
        <v>36</v>
      </c>
      <c r="AH12">
        <f t="shared" si="20"/>
        <v>7</v>
      </c>
      <c r="AI12">
        <f t="shared" si="14"/>
        <v>29</v>
      </c>
      <c r="AJ12">
        <f t="shared" si="19"/>
        <v>1</v>
      </c>
      <c r="AN12" t="str">
        <f t="shared" si="10"/>
        <v>ss04/bladetrap2.dbr</v>
      </c>
    </row>
    <row r="13" spans="1:40" x14ac:dyDescent="0.25">
      <c r="A13" s="5" t="s">
        <v>39</v>
      </c>
      <c r="B13" s="5" t="s">
        <v>0</v>
      </c>
      <c r="C13" s="5" t="str">
        <f t="shared" si="0"/>
        <v>description,dailCompDescNightblade11,</v>
      </c>
      <c r="D13" s="5" t="str">
        <f t="shared" si="2"/>
        <v>itemText,dailCompTextNightblade11,</v>
      </c>
      <c r="E13" s="5" t="str">
        <f t="shared" si="15"/>
        <v>augmentSkillLevel1,1,</v>
      </c>
      <c r="F13" s="5" t="str">
        <f t="shared" si="16"/>
        <v>augmentSkillName1,records/skills/playerclass04/nightbladeenchant1.dbr,</v>
      </c>
      <c r="G13" s="7">
        <f t="shared" si="11"/>
        <v>11</v>
      </c>
      <c r="H13" s="8" t="str">
        <f t="shared" si="12"/>
        <v>Nightblade</v>
      </c>
      <c r="I13" s="3" t="s">
        <v>115</v>
      </c>
      <c r="J13" s="8" t="str">
        <f t="shared" si="13"/>
        <v>class0004</v>
      </c>
      <c r="K13" s="8" t="str">
        <f t="shared" si="13"/>
        <v>dailoneskill0004</v>
      </c>
      <c r="L13" s="5" t="str">
        <f t="shared" si="4"/>
        <v>lootName11,DAIL/items/materia/class0004/Nightblade11.dbr,</v>
      </c>
      <c r="M13" s="5" t="str">
        <f t="shared" si="5"/>
        <v>lootWeight11,1,</v>
      </c>
      <c r="N13" t="str">
        <f t="shared" si="6"/>
        <v>1</v>
      </c>
      <c r="O13" t="str">
        <f t="shared" si="17"/>
        <v>copy .\dail_base.dbr .\items\materia\class0004\Nightblade11.dbr /y</v>
      </c>
      <c r="P13" t="str">
        <f t="shared" si="7"/>
        <v>echo relicBitmap,items/craftingparts/components/component_a52_bristlyfur_b.tex, &gt;&gt; .\items\materia\class0004\Nightblade11.dbr</v>
      </c>
      <c r="Q13" t="str">
        <f t="shared" si="1"/>
        <v>echo itemCost,100000, &gt;&gt; .\items\materia\class0004\Nightblade11.dbr</v>
      </c>
      <c r="R13" t="str">
        <f t="shared" si="1"/>
        <v>echo description,dailCompDescNightblade11, &gt;&gt; .\items\materia\class0004\Nightblade11.dbr</v>
      </c>
      <c r="S13" t="str">
        <f t="shared" si="1"/>
        <v>echo itemText,dailCompTextNightblade11, &gt;&gt; .\items\materia\class0004\Nightblade11.dbr</v>
      </c>
      <c r="T13" t="str">
        <f t="shared" si="1"/>
        <v>echo augmentSkillLevel1,1, &gt;&gt; .\items\materia\class0004\Nightblade11.dbr</v>
      </c>
      <c r="U13" t="str">
        <f t="shared" si="1"/>
        <v>echo augmentSkillName1,records/skills/playerclass04/nightbladeenchant1.dbr, &gt;&gt; .\items\materia\class0004\Nightblade11.dbr</v>
      </c>
      <c r="V13" s="5" t="s">
        <v>36</v>
      </c>
      <c r="W13" t="str">
        <f t="shared" si="8"/>
        <v>echo lootName11,DAIL/items/materia/class0004/Nightblade11.dbr, &gt;&gt; .\items\loottables\dailoneskill0004.dbr</v>
      </c>
      <c r="X13" t="str">
        <f t="shared" si="8"/>
        <v>echo lootWeight11,1, &gt;&gt; .\items\loottables\dailoneskill0004.dbr</v>
      </c>
      <c r="Y13" s="5" t="s">
        <v>36</v>
      </c>
      <c r="Z13" t="str">
        <f t="shared" si="9"/>
        <v xml:space="preserve"> dailCompDescNightblade11=^pNightblade's Gift of DAIL</v>
      </c>
      <c r="AA13" t="str">
        <f t="shared" si="18"/>
        <v>dailCompTextNightblade11=^oThis feels warm to the touch, almost familiar ^w(This component fits into all Jewellery slots including the Belt And Shoulder)htbladeenchant1.dbr</v>
      </c>
      <c r="AB13" s="5" t="s">
        <v>36</v>
      </c>
      <c r="AH13">
        <f t="shared" si="20"/>
        <v>8</v>
      </c>
      <c r="AI13">
        <f t="shared" si="14"/>
        <v>37</v>
      </c>
      <c r="AJ13">
        <f t="shared" si="19"/>
        <v>1</v>
      </c>
      <c r="AN13" t="str">
        <f t="shared" si="10"/>
        <v>htbladeenchant1.dbr</v>
      </c>
    </row>
    <row r="14" spans="1:40" x14ac:dyDescent="0.25">
      <c r="A14" s="5" t="s">
        <v>39</v>
      </c>
      <c r="B14" s="5" t="s">
        <v>0</v>
      </c>
      <c r="C14" s="5" t="str">
        <f t="shared" si="0"/>
        <v>description,dailCompDescNightblade12,</v>
      </c>
      <c r="D14" s="5" t="str">
        <f t="shared" si="2"/>
        <v>itemText,dailCompTextNightblade12,</v>
      </c>
      <c r="E14" s="5" t="str">
        <f t="shared" si="15"/>
        <v>augmentSkillLevel1,1,</v>
      </c>
      <c r="F14" s="5" t="str">
        <f t="shared" si="16"/>
        <v>augmentSkillName1,records/skills/playerclass04/nightbladeenchant1b.dbr,</v>
      </c>
      <c r="G14" s="7">
        <f t="shared" si="11"/>
        <v>12</v>
      </c>
      <c r="H14" s="8" t="str">
        <f t="shared" si="12"/>
        <v>Nightblade</v>
      </c>
      <c r="I14" s="3" t="s">
        <v>311</v>
      </c>
      <c r="J14" s="8" t="str">
        <f t="shared" si="13"/>
        <v>class0004</v>
      </c>
      <c r="K14" s="8" t="str">
        <f t="shared" si="13"/>
        <v>dailoneskill0004</v>
      </c>
      <c r="L14" s="5" t="str">
        <f t="shared" si="4"/>
        <v>lootName12,DAIL/items/materia/class0004/Nightblade12.dbr,</v>
      </c>
      <c r="M14" s="5" t="str">
        <f t="shared" si="5"/>
        <v>lootWeight12,1,</v>
      </c>
      <c r="N14" t="str">
        <f t="shared" si="6"/>
        <v>1</v>
      </c>
      <c r="O14" t="str">
        <f t="shared" si="17"/>
        <v>copy .\dail_base.dbr .\items\materia\class0004\Nightblade12.dbr /y</v>
      </c>
      <c r="P14" t="str">
        <f t="shared" si="7"/>
        <v>echo relicBitmap,items/craftingparts/components/component_a52_bristlyfur_b.tex, &gt;&gt; .\items\materia\class0004\Nightblade12.dbr</v>
      </c>
      <c r="Q14" t="str">
        <f t="shared" si="1"/>
        <v>echo itemCost,100000, &gt;&gt; .\items\materia\class0004\Nightblade12.dbr</v>
      </c>
      <c r="R14" t="str">
        <f t="shared" si="1"/>
        <v>echo description,dailCompDescNightblade12, &gt;&gt; .\items\materia\class0004\Nightblade12.dbr</v>
      </c>
      <c r="S14" t="str">
        <f t="shared" si="1"/>
        <v>echo itemText,dailCompTextNightblade12, &gt;&gt; .\items\materia\class0004\Nightblade12.dbr</v>
      </c>
      <c r="T14" t="str">
        <f t="shared" si="1"/>
        <v>echo augmentSkillLevel1,1, &gt;&gt; .\items\materia\class0004\Nightblade12.dbr</v>
      </c>
      <c r="U14" t="str">
        <f t="shared" si="1"/>
        <v>echo augmentSkillName1,records/skills/playerclass04/nightbladeenchant1b.dbr, &gt;&gt; .\items\materia\class0004\Nightblade12.dbr</v>
      </c>
      <c r="V14" s="5" t="s">
        <v>36</v>
      </c>
      <c r="W14" t="str">
        <f t="shared" si="8"/>
        <v>echo lootName12,DAIL/items/materia/class0004/Nightblade12.dbr, &gt;&gt; .\items\loottables\dailoneskill0004.dbr</v>
      </c>
      <c r="X14" t="str">
        <f t="shared" si="8"/>
        <v>echo lootWeight12,1, &gt;&gt; .\items\loottables\dailoneskill0004.dbr</v>
      </c>
      <c r="Y14" s="5" t="s">
        <v>36</v>
      </c>
      <c r="Z14" t="str">
        <f t="shared" si="9"/>
        <v xml:space="preserve"> dailCompDescNightblade12=^pNightblade's Gift of DAIL</v>
      </c>
      <c r="AA14" t="str">
        <f t="shared" si="18"/>
        <v>dailCompTextNightblade12=^oThis feels warm to the touch, almost familiar ^w(This component fits into all Jewellery slots including the Belt And Shoulder)tbladeenchant1b.dbr</v>
      </c>
      <c r="AB14" s="5" t="s">
        <v>36</v>
      </c>
      <c r="AH14">
        <f t="shared" si="20"/>
        <v>9</v>
      </c>
      <c r="AI14">
        <f t="shared" si="14"/>
        <v>38</v>
      </c>
      <c r="AJ14">
        <f t="shared" si="19"/>
        <v>1</v>
      </c>
      <c r="AN14" t="str">
        <f t="shared" si="10"/>
        <v>tbladeenchant1b.dbr</v>
      </c>
    </row>
    <row r="15" spans="1:40" x14ac:dyDescent="0.25">
      <c r="A15" s="5" t="s">
        <v>39</v>
      </c>
      <c r="B15" s="5" t="s">
        <v>0</v>
      </c>
      <c r="C15" s="5" t="str">
        <f t="shared" si="0"/>
        <v>description,dailCompDescNightblade13,</v>
      </c>
      <c r="D15" s="5" t="str">
        <f t="shared" si="2"/>
        <v>itemText,dailCompTextNightblade13,</v>
      </c>
      <c r="E15" s="5" t="str">
        <f t="shared" si="15"/>
        <v>augmentSkillLevel1,1,</v>
      </c>
      <c r="F15" s="5" t="str">
        <f t="shared" si="16"/>
        <v>augmentSkillName1,records/skills/playerclass04/nightbladeenchant2.dbr,</v>
      </c>
      <c r="G15" s="7">
        <f t="shared" si="11"/>
        <v>13</v>
      </c>
      <c r="H15" s="8" t="str">
        <f t="shared" si="12"/>
        <v>Nightblade</v>
      </c>
      <c r="I15" s="3" t="s">
        <v>247</v>
      </c>
      <c r="J15" s="8" t="str">
        <f t="shared" si="13"/>
        <v>class0004</v>
      </c>
      <c r="K15" s="8" t="str">
        <f t="shared" si="13"/>
        <v>dailoneskill0004</v>
      </c>
      <c r="L15" s="5" t="str">
        <f t="shared" si="4"/>
        <v>lootName13,DAIL/items/materia/class0004/Nightblade13.dbr,</v>
      </c>
      <c r="M15" s="5" t="str">
        <f t="shared" si="5"/>
        <v>lootWeight13,1,</v>
      </c>
      <c r="N15" t="str">
        <f t="shared" si="6"/>
        <v>1</v>
      </c>
      <c r="O15" t="str">
        <f t="shared" si="17"/>
        <v>copy .\dail_base.dbr .\items\materia\class0004\Nightblade13.dbr /y</v>
      </c>
      <c r="P15" t="str">
        <f t="shared" si="7"/>
        <v>echo relicBitmap,items/craftingparts/components/component_a52_bristlyfur_b.tex, &gt;&gt; .\items\materia\class0004\Nightblade13.dbr</v>
      </c>
      <c r="Q15" t="str">
        <f t="shared" si="1"/>
        <v>echo itemCost,100000, &gt;&gt; .\items\materia\class0004\Nightblade13.dbr</v>
      </c>
      <c r="R15" t="str">
        <f t="shared" si="1"/>
        <v>echo description,dailCompDescNightblade13, &gt;&gt; .\items\materia\class0004\Nightblade13.dbr</v>
      </c>
      <c r="S15" t="str">
        <f t="shared" si="1"/>
        <v>echo itemText,dailCompTextNightblade13, &gt;&gt; .\items\materia\class0004\Nightblade13.dbr</v>
      </c>
      <c r="T15" t="str">
        <f t="shared" si="1"/>
        <v>echo augmentSkillLevel1,1, &gt;&gt; .\items\materia\class0004\Nightblade13.dbr</v>
      </c>
      <c r="U15" t="str">
        <f t="shared" si="1"/>
        <v>echo augmentSkillName1,records/skills/playerclass04/nightbladeenchant2.dbr, &gt;&gt; .\items\materia\class0004\Nightblade13.dbr</v>
      </c>
      <c r="V15" s="5" t="s">
        <v>36</v>
      </c>
      <c r="W15" t="str">
        <f t="shared" si="8"/>
        <v>echo lootName13,DAIL/items/materia/class0004/Nightblade13.dbr, &gt;&gt; .\items\loottables\dailoneskill0004.dbr</v>
      </c>
      <c r="X15" t="str">
        <f t="shared" si="8"/>
        <v>echo lootWeight13,1, &gt;&gt; .\items\loottables\dailoneskill0004.dbr</v>
      </c>
      <c r="Y15" s="5" t="s">
        <v>36</v>
      </c>
      <c r="Z15" t="str">
        <f t="shared" si="9"/>
        <v xml:space="preserve"> dailCompDescNightblade13=^pNightblade's Gift of DAIL</v>
      </c>
      <c r="AA15" t="str">
        <f t="shared" si="18"/>
        <v>dailCompTextNightblade13=^oThis feels warm to the touch, almost familiar ^w(This component fits into all Jewellery slots including the Belt And Shoulder)htbladeenchant2.dbr</v>
      </c>
      <c r="AB15" s="5" t="s">
        <v>36</v>
      </c>
      <c r="AH15">
        <f t="shared" si="20"/>
        <v>10</v>
      </c>
      <c r="AI15">
        <f t="shared" si="14"/>
        <v>37</v>
      </c>
      <c r="AJ15">
        <f t="shared" si="19"/>
        <v>1</v>
      </c>
      <c r="AN15" t="str">
        <f t="shared" si="10"/>
        <v>htbladeenchant2.dbr</v>
      </c>
    </row>
    <row r="16" spans="1:40" x14ac:dyDescent="0.25">
      <c r="A16" s="5" t="s">
        <v>39</v>
      </c>
      <c r="B16" s="5" t="s">
        <v>0</v>
      </c>
      <c r="C16" s="5" t="str">
        <f t="shared" si="0"/>
        <v>description,dailCompDescNightblade14,</v>
      </c>
      <c r="D16" s="5" t="str">
        <f t="shared" si="2"/>
        <v>itemText,dailCompTextNightblade14,</v>
      </c>
      <c r="E16" s="5" t="str">
        <f t="shared" si="15"/>
        <v>augmentSkillLevel1,1,</v>
      </c>
      <c r="F16" s="5" t="str">
        <f t="shared" si="16"/>
        <v>augmentSkillName1,records/skills/playerclass04/phantomblade.dbr,</v>
      </c>
      <c r="G16" s="7">
        <f t="shared" si="11"/>
        <v>14</v>
      </c>
      <c r="H16" s="8" t="str">
        <f t="shared" si="12"/>
        <v>Nightblade</v>
      </c>
      <c r="I16" s="3" t="s">
        <v>116</v>
      </c>
      <c r="J16" s="8" t="str">
        <f t="shared" si="13"/>
        <v>class0004</v>
      </c>
      <c r="K16" s="8" t="str">
        <f t="shared" si="13"/>
        <v>dailoneskill0004</v>
      </c>
      <c r="L16" s="5" t="str">
        <f t="shared" si="4"/>
        <v>lootName14,DAIL/items/materia/class0004/Nightblade14.dbr,</v>
      </c>
      <c r="M16" s="5" t="str">
        <f t="shared" si="5"/>
        <v>lootWeight14,1,</v>
      </c>
      <c r="N16" t="str">
        <f t="shared" si="6"/>
        <v>1</v>
      </c>
      <c r="O16" t="str">
        <f t="shared" si="17"/>
        <v>copy .\dail_base.dbr .\items\materia\class0004\Nightblade14.dbr /y</v>
      </c>
      <c r="P16" t="str">
        <f t="shared" si="7"/>
        <v>echo relicBitmap,items/craftingparts/components/component_a52_bristlyfur_b.tex, &gt;&gt; .\items\materia\class0004\Nightblade14.dbr</v>
      </c>
      <c r="Q16" t="str">
        <f t="shared" si="1"/>
        <v>echo itemCost,100000, &gt;&gt; .\items\materia\class0004\Nightblade14.dbr</v>
      </c>
      <c r="R16" t="str">
        <f t="shared" si="1"/>
        <v>echo description,dailCompDescNightblade14, &gt;&gt; .\items\materia\class0004\Nightblade14.dbr</v>
      </c>
      <c r="S16" t="str">
        <f t="shared" si="1"/>
        <v>echo itemText,dailCompTextNightblade14, &gt;&gt; .\items\materia\class0004\Nightblade14.dbr</v>
      </c>
      <c r="T16" t="str">
        <f t="shared" si="1"/>
        <v>echo augmentSkillLevel1,1, &gt;&gt; .\items\materia\class0004\Nightblade14.dbr</v>
      </c>
      <c r="U16" t="str">
        <f t="shared" si="1"/>
        <v>echo augmentSkillName1,records/skills/playerclass04/phantomblade.dbr, &gt;&gt; .\items\materia\class0004\Nightblade14.dbr</v>
      </c>
      <c r="V16" s="5" t="s">
        <v>36</v>
      </c>
      <c r="W16" t="str">
        <f t="shared" si="8"/>
        <v>echo lootName14,DAIL/items/materia/class0004/Nightblade14.dbr, &gt;&gt; .\items\loottables\dailoneskill0004.dbr</v>
      </c>
      <c r="X16" t="str">
        <f t="shared" si="8"/>
        <v>echo lootWeight14,1, &gt;&gt; .\items\loottables\dailoneskill0004.dbr</v>
      </c>
      <c r="Y16" s="5" t="s">
        <v>36</v>
      </c>
      <c r="Z16" t="str">
        <f t="shared" si="9"/>
        <v xml:space="preserve"> dailCompDescNightblade14=^pNightblade's Gift of DAIL</v>
      </c>
      <c r="AA16" t="str">
        <f t="shared" si="18"/>
        <v>dailCompTextNightblade14=^oThis feels warm to the touch, almost familiar ^w(This component fits into all Jewellery slots including the Belt And Shoulder)04/phantomblade.dbr</v>
      </c>
      <c r="AB16" s="5" t="s">
        <v>36</v>
      </c>
      <c r="AH16">
        <f t="shared" si="20"/>
        <v>11</v>
      </c>
      <c r="AI16">
        <f t="shared" si="14"/>
        <v>31</v>
      </c>
      <c r="AJ16">
        <f t="shared" si="19"/>
        <v>1</v>
      </c>
      <c r="AN16" t="str">
        <f t="shared" si="10"/>
        <v>04/phantomblade.dbr</v>
      </c>
    </row>
    <row r="17" spans="1:40" x14ac:dyDescent="0.25">
      <c r="A17" s="5" t="s">
        <v>39</v>
      </c>
      <c r="B17" s="5" t="s">
        <v>0</v>
      </c>
      <c r="C17" s="5" t="str">
        <f t="shared" si="0"/>
        <v>description,dailCompDescNightblade15,</v>
      </c>
      <c r="D17" s="5" t="str">
        <f t="shared" si="2"/>
        <v>itemText,dailCompTextNightblade15,</v>
      </c>
      <c r="E17" s="5" t="str">
        <f t="shared" si="15"/>
        <v>augmentSkillLevel1,1,</v>
      </c>
      <c r="F17" s="5" t="str">
        <f t="shared" si="16"/>
        <v>augmentSkillName1,records/skills/playerclass04/nightbladeenchant3.dbr,</v>
      </c>
      <c r="G17" s="7">
        <f t="shared" si="11"/>
        <v>15</v>
      </c>
      <c r="H17" s="8" t="str">
        <f t="shared" si="12"/>
        <v>Nightblade</v>
      </c>
      <c r="I17" s="3" t="s">
        <v>312</v>
      </c>
      <c r="J17" s="8" t="str">
        <f t="shared" si="13"/>
        <v>class0004</v>
      </c>
      <c r="K17" s="8" t="str">
        <f t="shared" si="13"/>
        <v>dailoneskill0004</v>
      </c>
      <c r="L17" s="5" t="str">
        <f t="shared" si="4"/>
        <v>lootName15,DAIL/items/materia/class0004/Nightblade15.dbr,</v>
      </c>
      <c r="M17" s="5" t="str">
        <f t="shared" si="5"/>
        <v>lootWeight15,1,</v>
      </c>
      <c r="N17" t="str">
        <f t="shared" si="6"/>
        <v>1</v>
      </c>
      <c r="O17" t="str">
        <f t="shared" si="17"/>
        <v>copy .\dail_base.dbr .\items\materia\class0004\Nightblade15.dbr /y</v>
      </c>
      <c r="P17" t="str">
        <f t="shared" si="7"/>
        <v>echo relicBitmap,items/craftingparts/components/component_a52_bristlyfur_b.tex, &gt;&gt; .\items\materia\class0004\Nightblade15.dbr</v>
      </c>
      <c r="Q17" t="str">
        <f t="shared" si="1"/>
        <v>echo itemCost,100000, &gt;&gt; .\items\materia\class0004\Nightblade15.dbr</v>
      </c>
      <c r="R17" t="str">
        <f t="shared" si="1"/>
        <v>echo description,dailCompDescNightblade15, &gt;&gt; .\items\materia\class0004\Nightblade15.dbr</v>
      </c>
      <c r="S17" t="str">
        <f t="shared" si="1"/>
        <v>echo itemText,dailCompTextNightblade15, &gt;&gt; .\items\materia\class0004\Nightblade15.dbr</v>
      </c>
      <c r="T17" t="str">
        <f t="shared" si="1"/>
        <v>echo augmentSkillLevel1,1, &gt;&gt; .\items\materia\class0004\Nightblade15.dbr</v>
      </c>
      <c r="U17" t="str">
        <f t="shared" si="1"/>
        <v>echo augmentSkillName1,records/skills/playerclass04/nightbladeenchant3.dbr, &gt;&gt; .\items\materia\class0004\Nightblade15.dbr</v>
      </c>
      <c r="V17" s="5" t="s">
        <v>36</v>
      </c>
      <c r="W17" t="str">
        <f t="shared" si="8"/>
        <v>echo lootName15,DAIL/items/materia/class0004/Nightblade15.dbr, &gt;&gt; .\items\loottables\dailoneskill0004.dbr</v>
      </c>
      <c r="X17" t="str">
        <f t="shared" si="8"/>
        <v>echo lootWeight15,1, &gt;&gt; .\items\loottables\dailoneskill0004.dbr</v>
      </c>
      <c r="Y17" s="5" t="s">
        <v>36</v>
      </c>
      <c r="Z17" t="str">
        <f t="shared" si="9"/>
        <v xml:space="preserve"> dailCompDescNightblade15=^pNightblade's Gift of DAIL</v>
      </c>
      <c r="AA17" t="str">
        <f t="shared" si="18"/>
        <v>dailCompTextNightblade15=^oThis feels warm to the touch, almost familiar ^w(This component fits into all Jewellery slots including the Belt And Shoulder)htbladeenchant3.dbr</v>
      </c>
      <c r="AB17" s="5" t="s">
        <v>36</v>
      </c>
      <c r="AH17">
        <f t="shared" si="20"/>
        <v>12</v>
      </c>
      <c r="AI17">
        <f t="shared" si="14"/>
        <v>37</v>
      </c>
      <c r="AJ17">
        <f t="shared" si="19"/>
        <v>1</v>
      </c>
      <c r="AN17" t="str">
        <f t="shared" si="10"/>
        <v>htbladeenchant3.dbr</v>
      </c>
    </row>
    <row r="18" spans="1:40" x14ac:dyDescent="0.25">
      <c r="A18" s="5" t="s">
        <v>39</v>
      </c>
      <c r="B18" s="5" t="s">
        <v>0</v>
      </c>
      <c r="C18" s="5" t="str">
        <f t="shared" si="0"/>
        <v>description,dailCompDescNightblade16,</v>
      </c>
      <c r="D18" s="5" t="str">
        <f t="shared" si="2"/>
        <v>itemText,dailCompTextNightblade16,</v>
      </c>
      <c r="E18" s="5" t="str">
        <f t="shared" si="15"/>
        <v>augmentSkillLevel1,1,</v>
      </c>
      <c r="F18" s="5" t="str">
        <f t="shared" si="16"/>
        <v>augmentSkillName1,records/skills/playerclass04/wpattack0.dbr,</v>
      </c>
      <c r="G18" s="7">
        <f t="shared" si="11"/>
        <v>16</v>
      </c>
      <c r="H18" s="8" t="str">
        <f t="shared" si="12"/>
        <v>Nightblade</v>
      </c>
      <c r="I18" s="3" t="s">
        <v>313</v>
      </c>
      <c r="J18" s="8" t="str">
        <f t="shared" si="13"/>
        <v>class0004</v>
      </c>
      <c r="K18" s="8" t="str">
        <f t="shared" si="13"/>
        <v>dailoneskill0004</v>
      </c>
      <c r="L18" s="5" t="str">
        <f t="shared" si="4"/>
        <v>lootName16,DAIL/items/materia/class0004/Nightblade16.dbr,</v>
      </c>
      <c r="M18" s="5" t="str">
        <f t="shared" si="5"/>
        <v>lootWeight16,1,</v>
      </c>
      <c r="N18" t="str">
        <f t="shared" si="6"/>
        <v>1</v>
      </c>
      <c r="O18" t="str">
        <f t="shared" si="17"/>
        <v>copy .\dail_base.dbr .\items\materia\class0004\Nightblade16.dbr /y</v>
      </c>
      <c r="P18" t="str">
        <f t="shared" si="7"/>
        <v>echo relicBitmap,items/craftingparts/components/component_a52_bristlyfur_b.tex, &gt;&gt; .\items\materia\class0004\Nightblade16.dbr</v>
      </c>
      <c r="Q18" t="str">
        <f t="shared" si="1"/>
        <v>echo itemCost,100000, &gt;&gt; .\items\materia\class0004\Nightblade16.dbr</v>
      </c>
      <c r="R18" t="str">
        <f t="shared" si="1"/>
        <v>echo description,dailCompDescNightblade16, &gt;&gt; .\items\materia\class0004\Nightblade16.dbr</v>
      </c>
      <c r="S18" t="str">
        <f t="shared" si="1"/>
        <v>echo itemText,dailCompTextNightblade16, &gt;&gt; .\items\materia\class0004\Nightblade16.dbr</v>
      </c>
      <c r="T18" t="str">
        <f t="shared" si="1"/>
        <v>echo augmentSkillLevel1,1, &gt;&gt; .\items\materia\class0004\Nightblade16.dbr</v>
      </c>
      <c r="U18" t="str">
        <f t="shared" si="1"/>
        <v>echo augmentSkillName1,records/skills/playerclass04/wpattack0.dbr, &gt;&gt; .\items\materia\class0004\Nightblade16.dbr</v>
      </c>
      <c r="V18" s="5" t="s">
        <v>36</v>
      </c>
      <c r="W18" t="str">
        <f t="shared" si="8"/>
        <v>echo lootName16,DAIL/items/materia/class0004/Nightblade16.dbr, &gt;&gt; .\items\loottables\dailoneskill0004.dbr</v>
      </c>
      <c r="X18" t="str">
        <f t="shared" si="8"/>
        <v>echo lootWeight16,1, &gt;&gt; .\items\loottables\dailoneskill0004.dbr</v>
      </c>
      <c r="Y18" s="5" t="s">
        <v>36</v>
      </c>
      <c r="Z18" t="str">
        <f t="shared" si="9"/>
        <v xml:space="preserve"> dailCompDescNightblade16=^pNightblade's Gift of DAIL</v>
      </c>
      <c r="AA18" t="str">
        <f t="shared" si="18"/>
        <v>dailCompTextNightblade16=^oThis feels warm to the touch, almost familiar ^w(This component fits into all Jewellery slots including the Belt And Shoulder)ass04/wpattack0.dbr</v>
      </c>
      <c r="AB18" s="5" t="s">
        <v>36</v>
      </c>
      <c r="AH18">
        <f t="shared" si="20"/>
        <v>13</v>
      </c>
      <c r="AI18">
        <f t="shared" si="14"/>
        <v>28</v>
      </c>
      <c r="AJ18">
        <f t="shared" si="19"/>
        <v>1</v>
      </c>
      <c r="AN18" t="str">
        <f t="shared" si="10"/>
        <v>ass04/wpattack0.dbr</v>
      </c>
    </row>
    <row r="19" spans="1:40" x14ac:dyDescent="0.25">
      <c r="A19" s="5" t="s">
        <v>39</v>
      </c>
      <c r="B19" s="5" t="s">
        <v>28</v>
      </c>
      <c r="C19" s="5" t="str">
        <f t="shared" si="0"/>
        <v>description,dailCompDescNightblade17,</v>
      </c>
      <c r="D19" s="5" t="str">
        <f t="shared" si="2"/>
        <v>itemText,dailCompTextNightblade17,</v>
      </c>
      <c r="E19" s="5" t="str">
        <f t="shared" si="15"/>
        <v>augmentSkillLevel1,1,</v>
      </c>
      <c r="F19" s="5" t="str">
        <f t="shared" si="16"/>
        <v>augmentSkillName1,records/skills/playerclass04/wpattack1.dbr,</v>
      </c>
      <c r="G19" s="7">
        <f t="shared" si="11"/>
        <v>17</v>
      </c>
      <c r="H19" s="8" t="str">
        <f t="shared" si="12"/>
        <v>Nightblade</v>
      </c>
      <c r="I19" s="3" t="s">
        <v>121</v>
      </c>
      <c r="J19" s="8" t="str">
        <f t="shared" si="13"/>
        <v>class0004</v>
      </c>
      <c r="K19" s="8" t="str">
        <f t="shared" si="13"/>
        <v>dailoneskill0004</v>
      </c>
      <c r="L19" s="5" t="str">
        <f t="shared" si="4"/>
        <v>lootName17,DAIL/items/materia/class0004/Nightblade17.dbr,</v>
      </c>
      <c r="M19" s="5" t="str">
        <f t="shared" si="5"/>
        <v>lootWeight17,1,</v>
      </c>
      <c r="N19" t="str">
        <f t="shared" si="6"/>
        <v>1</v>
      </c>
      <c r="O19" t="str">
        <f t="shared" si="17"/>
        <v>copy .\dail_base.dbr .\items\materia\class0004\Nightblade17.dbr /y</v>
      </c>
      <c r="P19" t="str">
        <f t="shared" si="7"/>
        <v>echo relicBitmap,items/craftingparts/components/component_a52_bristlyfur_b.tex, &gt;&gt; .\items\materia\class0004\Nightblade17.dbr</v>
      </c>
      <c r="Q19" t="str">
        <f t="shared" si="7"/>
        <v>echo itemCost,300000, &gt;&gt; .\items\materia\class0004\Nightblade17.dbr</v>
      </c>
      <c r="R19" t="str">
        <f t="shared" si="7"/>
        <v>echo description,dailCompDescNightblade17, &gt;&gt; .\items\materia\class0004\Nightblade17.dbr</v>
      </c>
      <c r="S19" t="str">
        <f t="shared" si="7"/>
        <v>echo itemText,dailCompTextNightblade17, &gt;&gt; .\items\materia\class0004\Nightblade17.dbr</v>
      </c>
      <c r="T19" t="str">
        <f t="shared" si="7"/>
        <v>echo augmentSkillLevel1,1, &gt;&gt; .\items\materia\class0004\Nightblade17.dbr</v>
      </c>
      <c r="U19" t="str">
        <f t="shared" si="7"/>
        <v>echo augmentSkillName1,records/skills/playerclass04/wpattack1.dbr, &gt;&gt; .\items\materia\class0004\Nightblade17.dbr</v>
      </c>
      <c r="V19" s="5" t="s">
        <v>36</v>
      </c>
      <c r="W19" t="str">
        <f t="shared" si="8"/>
        <v>echo lootName17,DAIL/items/materia/class0004/Nightblade17.dbr, &gt;&gt; .\items\loottables\dailoneskill0004.dbr</v>
      </c>
      <c r="X19" t="str">
        <f t="shared" si="8"/>
        <v>echo lootWeight17,1, &gt;&gt; .\items\loottables\dailoneskill0004.dbr</v>
      </c>
      <c r="Y19" s="5" t="s">
        <v>36</v>
      </c>
      <c r="Z19" t="str">
        <f t="shared" si="9"/>
        <v xml:space="preserve"> dailCompDescNightblade17=^pNightblade's Gift of DAIL</v>
      </c>
      <c r="AA19" t="str">
        <f t="shared" si="18"/>
        <v>dailCompTextNightblade17=^oThis feels warm to the touch, almost familiar ^w(This component fits into all Jewellery slots including the Belt And Shoulder)ass04/wpattack1.dbr</v>
      </c>
      <c r="AB19" s="5" t="s">
        <v>36</v>
      </c>
      <c r="AH19">
        <f t="shared" si="20"/>
        <v>14</v>
      </c>
      <c r="AI19">
        <f t="shared" si="14"/>
        <v>28</v>
      </c>
      <c r="AJ19">
        <f t="shared" si="19"/>
        <v>1</v>
      </c>
      <c r="AN19" t="str">
        <f t="shared" si="10"/>
        <v>ass04/wpattack1.dbr</v>
      </c>
    </row>
    <row r="20" spans="1:40" x14ac:dyDescent="0.25">
      <c r="A20" s="5" t="s">
        <v>39</v>
      </c>
      <c r="B20" s="5" t="s">
        <v>28</v>
      </c>
      <c r="C20" s="5" t="str">
        <f t="shared" si="0"/>
        <v>description,dailCompDescNightblade18,</v>
      </c>
      <c r="D20" s="5" t="str">
        <f t="shared" si="2"/>
        <v>itemText,dailCompTextNightblade18,</v>
      </c>
      <c r="E20" s="5" t="str">
        <f t="shared" si="15"/>
        <v>augmentSkillLevel1,1,</v>
      </c>
      <c r="F20" s="5" t="str">
        <f t="shared" si="16"/>
        <v>augmentSkillName1,records/skills/playerclass04/wpattack4.dbr,</v>
      </c>
      <c r="G20" s="7">
        <f t="shared" si="11"/>
        <v>18</v>
      </c>
      <c r="H20" s="8" t="str">
        <f t="shared" si="12"/>
        <v>Nightblade</v>
      </c>
      <c r="I20" s="3" t="s">
        <v>124</v>
      </c>
      <c r="J20" s="8" t="str">
        <f t="shared" si="13"/>
        <v>class0004</v>
      </c>
      <c r="K20" s="8" t="str">
        <f t="shared" si="13"/>
        <v>dailoneskill0004</v>
      </c>
      <c r="L20" s="5" t="str">
        <f t="shared" si="4"/>
        <v>lootName18,DAIL/items/materia/class0004/Nightblade18.dbr,</v>
      </c>
      <c r="M20" s="5" t="str">
        <f t="shared" si="5"/>
        <v>lootWeight18,1,</v>
      </c>
      <c r="N20" t="str">
        <f t="shared" si="6"/>
        <v>1</v>
      </c>
      <c r="O20" t="str">
        <f t="shared" si="17"/>
        <v>copy .\dail_base.dbr .\items\materia\class0004\Nightblade18.dbr /y</v>
      </c>
      <c r="P20" t="str">
        <f t="shared" si="7"/>
        <v>echo relicBitmap,items/craftingparts/components/component_a52_bristlyfur_b.tex, &gt;&gt; .\items\materia\class0004\Nightblade18.dbr</v>
      </c>
      <c r="Q20" t="str">
        <f t="shared" si="7"/>
        <v>echo itemCost,300000, &gt;&gt; .\items\materia\class0004\Nightblade18.dbr</v>
      </c>
      <c r="R20" t="str">
        <f t="shared" si="7"/>
        <v>echo description,dailCompDescNightblade18, &gt;&gt; .\items\materia\class0004\Nightblade18.dbr</v>
      </c>
      <c r="S20" t="str">
        <f t="shared" si="7"/>
        <v>echo itemText,dailCompTextNightblade18, &gt;&gt; .\items\materia\class0004\Nightblade18.dbr</v>
      </c>
      <c r="T20" t="str">
        <f t="shared" si="7"/>
        <v>echo augmentSkillLevel1,1, &gt;&gt; .\items\materia\class0004\Nightblade18.dbr</v>
      </c>
      <c r="U20" t="str">
        <f t="shared" si="7"/>
        <v>echo augmentSkillName1,records/skills/playerclass04/wpattack4.dbr, &gt;&gt; .\items\materia\class0004\Nightblade18.dbr</v>
      </c>
      <c r="V20" s="5" t="s">
        <v>36</v>
      </c>
      <c r="W20" t="str">
        <f t="shared" si="8"/>
        <v>echo lootName18,DAIL/items/materia/class0004/Nightblade18.dbr, &gt;&gt; .\items\loottables\dailoneskill0004.dbr</v>
      </c>
      <c r="X20" t="str">
        <f t="shared" si="8"/>
        <v>echo lootWeight18,1, &gt;&gt; .\items\loottables\dailoneskill0004.dbr</v>
      </c>
      <c r="Y20" s="5" t="s">
        <v>36</v>
      </c>
      <c r="Z20" t="str">
        <f t="shared" si="9"/>
        <v xml:space="preserve"> dailCompDescNightblade18=^pNightblade's Gift of DAIL</v>
      </c>
      <c r="AA20" t="str">
        <f t="shared" si="18"/>
        <v>dailCompTextNightblade18=^oThis feels warm to the touch, almost familiar ^w(This component fits into all Jewellery slots including the Belt And Shoulder)ass04/wpattack4.dbr</v>
      </c>
      <c r="AB20" s="5" t="s">
        <v>36</v>
      </c>
      <c r="AH20">
        <f t="shared" si="20"/>
        <v>15</v>
      </c>
      <c r="AI20">
        <f t="shared" si="14"/>
        <v>28</v>
      </c>
      <c r="AJ20">
        <f t="shared" si="19"/>
        <v>1</v>
      </c>
      <c r="AN20" t="str">
        <f t="shared" si="10"/>
        <v>ass04/wpattack4.dbr</v>
      </c>
    </row>
    <row r="21" spans="1:40" x14ac:dyDescent="0.25">
      <c r="A21" s="5" t="s">
        <v>39</v>
      </c>
      <c r="B21" s="5" t="s">
        <v>28</v>
      </c>
      <c r="C21" s="5" t="str">
        <f t="shared" si="0"/>
        <v>description,dailCompDescNightblade19,</v>
      </c>
      <c r="D21" s="5" t="str">
        <f t="shared" si="2"/>
        <v>itemText,dailCompTextNightblade19,</v>
      </c>
      <c r="E21" s="5" t="str">
        <f t="shared" si="15"/>
        <v>augmentSkillLevel1,1,</v>
      </c>
      <c r="F21" s="5" t="str">
        <f t="shared" si="16"/>
        <v>augmentSkillName1,records/skills/playerclass04/wpattack2.dbr,</v>
      </c>
      <c r="G21" s="7">
        <f t="shared" si="11"/>
        <v>19</v>
      </c>
      <c r="H21" s="8" t="str">
        <f t="shared" si="12"/>
        <v>Nightblade</v>
      </c>
      <c r="I21" s="3" t="s">
        <v>122</v>
      </c>
      <c r="J21" s="8" t="str">
        <f t="shared" ref="J21:K36" si="21">J20</f>
        <v>class0004</v>
      </c>
      <c r="K21" s="8" t="str">
        <f t="shared" si="21"/>
        <v>dailoneskill0004</v>
      </c>
      <c r="L21" s="5" t="str">
        <f t="shared" si="4"/>
        <v>lootName19,DAIL/items/materia/class0004/Nightblade19.dbr,</v>
      </c>
      <c r="M21" s="5" t="str">
        <f t="shared" si="5"/>
        <v>lootWeight19,1,</v>
      </c>
      <c r="N21" t="str">
        <f t="shared" si="6"/>
        <v>1</v>
      </c>
      <c r="O21" t="str">
        <f t="shared" si="17"/>
        <v>copy .\dail_base.dbr .\items\materia\class0004\Nightblade19.dbr /y</v>
      </c>
      <c r="P21" t="str">
        <f t="shared" si="7"/>
        <v>echo relicBitmap,items/craftingparts/components/component_a52_bristlyfur_b.tex, &gt;&gt; .\items\materia\class0004\Nightblade19.dbr</v>
      </c>
      <c r="Q21" t="str">
        <f t="shared" si="7"/>
        <v>echo itemCost,300000, &gt;&gt; .\items\materia\class0004\Nightblade19.dbr</v>
      </c>
      <c r="R21" t="str">
        <f t="shared" si="7"/>
        <v>echo description,dailCompDescNightblade19, &gt;&gt; .\items\materia\class0004\Nightblade19.dbr</v>
      </c>
      <c r="S21" t="str">
        <f t="shared" si="7"/>
        <v>echo itemText,dailCompTextNightblade19, &gt;&gt; .\items\materia\class0004\Nightblade19.dbr</v>
      </c>
      <c r="T21" t="str">
        <f t="shared" si="7"/>
        <v>echo augmentSkillLevel1,1, &gt;&gt; .\items\materia\class0004\Nightblade19.dbr</v>
      </c>
      <c r="U21" t="str">
        <f t="shared" si="7"/>
        <v>echo augmentSkillName1,records/skills/playerclass04/wpattack2.dbr, &gt;&gt; .\items\materia\class0004\Nightblade19.dbr</v>
      </c>
      <c r="V21" s="5" t="s">
        <v>36</v>
      </c>
      <c r="W21" t="str">
        <f t="shared" si="8"/>
        <v>echo lootName19,DAIL/items/materia/class0004/Nightblade19.dbr, &gt;&gt; .\items\loottables\dailoneskill0004.dbr</v>
      </c>
      <c r="X21" t="str">
        <f t="shared" si="8"/>
        <v>echo lootWeight19,1, &gt;&gt; .\items\loottables\dailoneskill0004.dbr</v>
      </c>
      <c r="Y21" s="5" t="s">
        <v>36</v>
      </c>
      <c r="Z21" t="str">
        <f t="shared" si="9"/>
        <v xml:space="preserve"> dailCompDescNightblade19=^pNightblade's Gift of DAIL</v>
      </c>
      <c r="AA21" t="str">
        <f t="shared" si="18"/>
        <v>dailCompTextNightblade19=^oThis feels warm to the touch, almost familiar ^w(This component fits into all Jewellery slots including the Belt And Shoulder)ass04/wpattack2.dbr</v>
      </c>
      <c r="AB21" s="5" t="s">
        <v>36</v>
      </c>
      <c r="AH21">
        <f t="shared" si="20"/>
        <v>16</v>
      </c>
      <c r="AI21">
        <f t="shared" si="14"/>
        <v>28</v>
      </c>
      <c r="AJ21">
        <f t="shared" si="19"/>
        <v>1</v>
      </c>
      <c r="AN21" t="str">
        <f t="shared" si="10"/>
        <v>ass04/wpattack2.dbr</v>
      </c>
    </row>
    <row r="22" spans="1:40" x14ac:dyDescent="0.25">
      <c r="A22" s="5" t="s">
        <v>39</v>
      </c>
      <c r="B22" s="5" t="s">
        <v>28</v>
      </c>
      <c r="C22" s="5" t="str">
        <f t="shared" si="0"/>
        <v>description,dailCompDescNightblade20,</v>
      </c>
      <c r="D22" s="5" t="str">
        <f t="shared" si="2"/>
        <v>itemText,dailCompTextNightblade20,</v>
      </c>
      <c r="E22" s="5" t="str">
        <f t="shared" si="15"/>
        <v>augmentSkillLevel1,1,</v>
      </c>
      <c r="F22" s="5" t="str">
        <f t="shared" si="16"/>
        <v>augmentSkillName1,records/skills/playerclass04/wpattack4.dbr,</v>
      </c>
      <c r="G22" s="7">
        <f t="shared" si="11"/>
        <v>20</v>
      </c>
      <c r="H22" s="8" t="str">
        <f t="shared" si="12"/>
        <v>Nightblade</v>
      </c>
      <c r="I22" s="3" t="s">
        <v>124</v>
      </c>
      <c r="J22" s="8" t="str">
        <f t="shared" si="21"/>
        <v>class0004</v>
      </c>
      <c r="K22" s="8" t="str">
        <f t="shared" si="21"/>
        <v>dailoneskill0004</v>
      </c>
      <c r="L22" s="5" t="str">
        <f t="shared" si="4"/>
        <v>lootName20,DAIL/items/materia/class0004/Nightblade20.dbr,</v>
      </c>
      <c r="M22" s="5" t="str">
        <f t="shared" si="5"/>
        <v>lootWeight20,1,</v>
      </c>
      <c r="N22" t="str">
        <f t="shared" si="6"/>
        <v>1</v>
      </c>
      <c r="O22" t="str">
        <f t="shared" si="17"/>
        <v>copy .\dail_base.dbr .\items\materia\class0004\Nightblade20.dbr /y</v>
      </c>
      <c r="P22" t="str">
        <f t="shared" si="7"/>
        <v>echo relicBitmap,items/craftingparts/components/component_a52_bristlyfur_b.tex, &gt;&gt; .\items\materia\class0004\Nightblade20.dbr</v>
      </c>
      <c r="Q22" t="str">
        <f t="shared" si="7"/>
        <v>echo itemCost,300000, &gt;&gt; .\items\materia\class0004\Nightblade20.dbr</v>
      </c>
      <c r="R22" t="str">
        <f t="shared" si="7"/>
        <v>echo description,dailCompDescNightblade20, &gt;&gt; .\items\materia\class0004\Nightblade20.dbr</v>
      </c>
      <c r="S22" t="str">
        <f t="shared" si="7"/>
        <v>echo itemText,dailCompTextNightblade20, &gt;&gt; .\items\materia\class0004\Nightblade20.dbr</v>
      </c>
      <c r="T22" t="str">
        <f t="shared" si="7"/>
        <v>echo augmentSkillLevel1,1, &gt;&gt; .\items\materia\class0004\Nightblade20.dbr</v>
      </c>
      <c r="U22" t="str">
        <f t="shared" si="7"/>
        <v>echo augmentSkillName1,records/skills/playerclass04/wpattack4.dbr, &gt;&gt; .\items\materia\class0004\Nightblade20.dbr</v>
      </c>
      <c r="V22" s="5" t="s">
        <v>36</v>
      </c>
      <c r="W22" t="str">
        <f t="shared" si="8"/>
        <v>echo lootName20,DAIL/items/materia/class0004/Nightblade20.dbr, &gt;&gt; .\items\loottables\dailoneskill0004.dbr</v>
      </c>
      <c r="X22" t="str">
        <f t="shared" si="8"/>
        <v>echo lootWeight20,1, &gt;&gt; .\items\loottables\dailoneskill0004.dbr</v>
      </c>
      <c r="Y22" s="5" t="s">
        <v>36</v>
      </c>
      <c r="Z22" t="str">
        <f t="shared" si="9"/>
        <v xml:space="preserve"> dailCompDescNightblade20=^pNightblade's Gift of DAIL</v>
      </c>
      <c r="AA22" t="str">
        <f t="shared" si="18"/>
        <v>dailCompTextNightblade20=^oThis feels warm to the touch, almost familiar ^w(This component fits into all Jewellery slots including the Belt And Shoulder)ass04/wpattack4.dbr</v>
      </c>
      <c r="AB22" s="5" t="s">
        <v>36</v>
      </c>
      <c r="AH22">
        <f t="shared" si="20"/>
        <v>17</v>
      </c>
      <c r="AI22">
        <f t="shared" si="14"/>
        <v>28</v>
      </c>
      <c r="AJ22">
        <f t="shared" si="19"/>
        <v>1</v>
      </c>
      <c r="AN22" t="str">
        <f t="shared" si="10"/>
        <v>ass04/wpattack4.dbr</v>
      </c>
    </row>
    <row r="23" spans="1:40" x14ac:dyDescent="0.25">
      <c r="A23" s="5" t="s">
        <v>39</v>
      </c>
      <c r="B23" s="5" t="s">
        <v>28</v>
      </c>
      <c r="C23" s="5" t="str">
        <f t="shared" si="0"/>
        <v>description,dailCompDescNightblade21,</v>
      </c>
      <c r="D23" s="5" t="str">
        <f t="shared" si="2"/>
        <v>itemText,dailCompTextNightblade21,</v>
      </c>
      <c r="E23" s="5" t="str">
        <f t="shared" si="15"/>
        <v>augmentSkillLevel1,1,</v>
      </c>
      <c r="F23" s="5" t="str">
        <f t="shared" si="16"/>
        <v>augmentSkillName1,records/skills/playerclass04/wpattack3.dbr,</v>
      </c>
      <c r="G23" s="7">
        <f t="shared" si="11"/>
        <v>21</v>
      </c>
      <c r="H23" s="8" t="str">
        <f t="shared" si="12"/>
        <v>Nightblade</v>
      </c>
      <c r="I23" s="3" t="s">
        <v>123</v>
      </c>
      <c r="J23" s="8" t="str">
        <f t="shared" si="21"/>
        <v>class0004</v>
      </c>
      <c r="K23" s="8" t="str">
        <f t="shared" si="21"/>
        <v>dailoneskill0004</v>
      </c>
      <c r="L23" s="5" t="str">
        <f t="shared" si="4"/>
        <v>lootName21,DAIL/items/materia/class0004/Nightblade21.dbr,</v>
      </c>
      <c r="M23" s="5" t="str">
        <f t="shared" si="5"/>
        <v>lootWeight21,1,</v>
      </c>
      <c r="N23" t="str">
        <f t="shared" si="6"/>
        <v>1</v>
      </c>
      <c r="O23" t="str">
        <f t="shared" si="17"/>
        <v>copy .\dail_base.dbr .\items\materia\class0004\Nightblade21.dbr /y</v>
      </c>
      <c r="P23" t="str">
        <f t="shared" si="7"/>
        <v>echo relicBitmap,items/craftingparts/components/component_a52_bristlyfur_b.tex, &gt;&gt; .\items\materia\class0004\Nightblade21.dbr</v>
      </c>
      <c r="Q23" t="str">
        <f t="shared" si="7"/>
        <v>echo itemCost,300000, &gt;&gt; .\items\materia\class0004\Nightblade21.dbr</v>
      </c>
      <c r="R23" t="str">
        <f t="shared" si="7"/>
        <v>echo description,dailCompDescNightblade21, &gt;&gt; .\items\materia\class0004\Nightblade21.dbr</v>
      </c>
      <c r="S23" t="str">
        <f t="shared" si="7"/>
        <v>echo itemText,dailCompTextNightblade21, &gt;&gt; .\items\materia\class0004\Nightblade21.dbr</v>
      </c>
      <c r="T23" t="str">
        <f t="shared" si="7"/>
        <v>echo augmentSkillLevel1,1, &gt;&gt; .\items\materia\class0004\Nightblade21.dbr</v>
      </c>
      <c r="U23" t="str">
        <f t="shared" si="7"/>
        <v>echo augmentSkillName1,records/skills/playerclass04/wpattack3.dbr, &gt;&gt; .\items\materia\class0004\Nightblade21.dbr</v>
      </c>
      <c r="V23" s="5" t="s">
        <v>36</v>
      </c>
      <c r="W23" t="str">
        <f t="shared" si="8"/>
        <v>echo lootName21,DAIL/items/materia/class0004/Nightblade21.dbr, &gt;&gt; .\items\loottables\dailoneskill0004.dbr</v>
      </c>
      <c r="X23" t="str">
        <f t="shared" si="8"/>
        <v>echo lootWeight21,1, &gt;&gt; .\items\loottables\dailoneskill0004.dbr</v>
      </c>
      <c r="Y23" s="5" t="s">
        <v>36</v>
      </c>
      <c r="Z23" t="str">
        <f t="shared" si="9"/>
        <v xml:space="preserve"> dailCompDescNightblade21=^pNightblade's Gift of DAIL</v>
      </c>
      <c r="AA23" t="str">
        <f t="shared" si="18"/>
        <v>dailCompTextNightblade21=^oThis feels warm to the touch, almost familiar ^w(This component fits into all Jewellery slots including the Belt And Shoulder)ass04/wpattack3.dbr</v>
      </c>
      <c r="AB23" s="5" t="s">
        <v>36</v>
      </c>
      <c r="AH23">
        <f t="shared" si="20"/>
        <v>18</v>
      </c>
      <c r="AI23">
        <f t="shared" si="14"/>
        <v>28</v>
      </c>
      <c r="AJ23">
        <f t="shared" si="19"/>
        <v>1</v>
      </c>
      <c r="AN23" t="str">
        <f t="shared" si="10"/>
        <v>ass04/wpattack3.dbr</v>
      </c>
    </row>
    <row r="24" spans="1:40" x14ac:dyDescent="0.25">
      <c r="A24" s="5" t="s">
        <v>39</v>
      </c>
      <c r="B24" s="5" t="s">
        <v>28</v>
      </c>
      <c r="C24" s="5" t="str">
        <f t="shared" si="0"/>
        <v>description,dailCompDescNightblade22,</v>
      </c>
      <c r="D24" s="5" t="str">
        <f t="shared" si="2"/>
        <v>itemText,dailCompTextNightblade22,</v>
      </c>
      <c r="E24" s="5" t="str">
        <f t="shared" si="15"/>
        <v>augmentSkillLevel1,1,</v>
      </c>
      <c r="F24" s="5" t="str">
        <f t="shared" si="16"/>
        <v>augmentSkillName1,records/skills/playerclass04/wpattack4.dbr,</v>
      </c>
      <c r="G24" s="7">
        <f t="shared" si="11"/>
        <v>22</v>
      </c>
      <c r="H24" s="8" t="str">
        <f t="shared" si="12"/>
        <v>Nightblade</v>
      </c>
      <c r="I24" s="3" t="s">
        <v>124</v>
      </c>
      <c r="J24" s="8" t="str">
        <f t="shared" si="21"/>
        <v>class0004</v>
      </c>
      <c r="K24" s="8" t="str">
        <f t="shared" si="21"/>
        <v>dailoneskill0004</v>
      </c>
      <c r="L24" s="5" t="str">
        <f t="shared" si="4"/>
        <v>lootName22,DAIL/items/materia/class0004/Nightblade22.dbr,</v>
      </c>
      <c r="M24" s="5" t="str">
        <f t="shared" si="5"/>
        <v>lootWeight22,1,</v>
      </c>
      <c r="N24" t="str">
        <f t="shared" si="6"/>
        <v>1</v>
      </c>
      <c r="O24" t="str">
        <f t="shared" si="17"/>
        <v>copy .\dail_base.dbr .\items\materia\class0004\Nightblade22.dbr /y</v>
      </c>
      <c r="P24" t="str">
        <f t="shared" si="7"/>
        <v>echo relicBitmap,items/craftingparts/components/component_a52_bristlyfur_b.tex, &gt;&gt; .\items\materia\class0004\Nightblade22.dbr</v>
      </c>
      <c r="Q24" t="str">
        <f t="shared" si="7"/>
        <v>echo itemCost,300000, &gt;&gt; .\items\materia\class0004\Nightblade22.dbr</v>
      </c>
      <c r="R24" t="str">
        <f t="shared" si="7"/>
        <v>echo description,dailCompDescNightblade22, &gt;&gt; .\items\materia\class0004\Nightblade22.dbr</v>
      </c>
      <c r="S24" t="str">
        <f t="shared" si="7"/>
        <v>echo itemText,dailCompTextNightblade22, &gt;&gt; .\items\materia\class0004\Nightblade22.dbr</v>
      </c>
      <c r="T24" t="str">
        <f t="shared" si="7"/>
        <v>echo augmentSkillLevel1,1, &gt;&gt; .\items\materia\class0004\Nightblade22.dbr</v>
      </c>
      <c r="U24" t="str">
        <f t="shared" si="7"/>
        <v>echo augmentSkillName1,records/skills/playerclass04/wpattack4.dbr, &gt;&gt; .\items\materia\class0004\Nightblade22.dbr</v>
      </c>
      <c r="V24" s="5" t="s">
        <v>36</v>
      </c>
      <c r="W24" t="str">
        <f t="shared" si="8"/>
        <v>echo lootName22,DAIL/items/materia/class0004/Nightblade22.dbr, &gt;&gt; .\items\loottables\dailoneskill0004.dbr</v>
      </c>
      <c r="X24" t="str">
        <f t="shared" si="8"/>
        <v>echo lootWeight22,1, &gt;&gt; .\items\loottables\dailoneskill0004.dbr</v>
      </c>
      <c r="Y24" s="5" t="s">
        <v>36</v>
      </c>
      <c r="Z24" t="str">
        <f t="shared" si="9"/>
        <v xml:space="preserve"> dailCompDescNightblade22=^pNightblade's Gift of DAIL</v>
      </c>
      <c r="AA24" t="str">
        <f t="shared" si="18"/>
        <v>dailCompTextNightblade22=^oThis feels warm to the touch, almost familiar ^w(This component fits into all Jewellery slots including the Belt And Shoulder)ass04/wpattack4.dbr</v>
      </c>
      <c r="AB24" s="5" t="s">
        <v>36</v>
      </c>
      <c r="AH24">
        <f t="shared" si="20"/>
        <v>19</v>
      </c>
      <c r="AI24">
        <f t="shared" si="14"/>
        <v>28</v>
      </c>
      <c r="AJ24">
        <f t="shared" si="19"/>
        <v>1</v>
      </c>
      <c r="AN24" t="str">
        <f t="shared" si="10"/>
        <v>ass04/wpattack4.dbr</v>
      </c>
    </row>
    <row r="25" spans="1:40" x14ac:dyDescent="0.25">
      <c r="A25" s="5" t="s">
        <v>39</v>
      </c>
      <c r="B25" s="5" t="s">
        <v>28</v>
      </c>
      <c r="C25" s="5" t="str">
        <f t="shared" si="0"/>
        <v>description,dailCompDescNightblade23,</v>
      </c>
      <c r="D25" s="5" t="str">
        <f t="shared" si="2"/>
        <v>itemText,dailCompTextNightblade23,</v>
      </c>
      <c r="E25" s="5" t="str">
        <f t="shared" si="15"/>
        <v>augmentSkillLevel1,1,</v>
      </c>
      <c r="F25" s="5" t="str">
        <f t="shared" si="16"/>
        <v>augmentSkillName1,records/skills/playerclass04/wpattack5.dbr,</v>
      </c>
      <c r="G25" s="7">
        <f t="shared" si="11"/>
        <v>23</v>
      </c>
      <c r="H25" s="8" t="str">
        <f t="shared" si="12"/>
        <v>Nightblade</v>
      </c>
      <c r="I25" s="3" t="s">
        <v>125</v>
      </c>
      <c r="J25" s="8" t="str">
        <f t="shared" si="21"/>
        <v>class0004</v>
      </c>
      <c r="K25" s="8" t="str">
        <f t="shared" si="21"/>
        <v>dailoneskill0004</v>
      </c>
      <c r="L25" s="5" t="str">
        <f t="shared" si="4"/>
        <v>lootName23,DAIL/items/materia/class0004/Nightblade23.dbr,</v>
      </c>
      <c r="M25" s="5" t="str">
        <f t="shared" si="5"/>
        <v>lootWeight23,1,</v>
      </c>
      <c r="N25" t="str">
        <f t="shared" si="6"/>
        <v>1</v>
      </c>
      <c r="O25" t="str">
        <f t="shared" si="17"/>
        <v>copy .\dail_base.dbr .\items\materia\class0004\Nightblade23.dbr /y</v>
      </c>
      <c r="P25" t="str">
        <f t="shared" si="7"/>
        <v>echo relicBitmap,items/craftingparts/components/component_a52_bristlyfur_b.tex, &gt;&gt; .\items\materia\class0004\Nightblade23.dbr</v>
      </c>
      <c r="Q25" t="str">
        <f t="shared" si="7"/>
        <v>echo itemCost,300000, &gt;&gt; .\items\materia\class0004\Nightblade23.dbr</v>
      </c>
      <c r="R25" t="str">
        <f t="shared" si="7"/>
        <v>echo description,dailCompDescNightblade23, &gt;&gt; .\items\materia\class0004\Nightblade23.dbr</v>
      </c>
      <c r="S25" t="str">
        <f t="shared" si="7"/>
        <v>echo itemText,dailCompTextNightblade23, &gt;&gt; .\items\materia\class0004\Nightblade23.dbr</v>
      </c>
      <c r="T25" t="str">
        <f t="shared" si="7"/>
        <v>echo augmentSkillLevel1,1, &gt;&gt; .\items\materia\class0004\Nightblade23.dbr</v>
      </c>
      <c r="U25" t="str">
        <f t="shared" si="7"/>
        <v>echo augmentSkillName1,records/skills/playerclass04/wpattack5.dbr, &gt;&gt; .\items\materia\class0004\Nightblade23.dbr</v>
      </c>
      <c r="V25" s="5" t="s">
        <v>36</v>
      </c>
      <c r="W25" t="str">
        <f t="shared" si="8"/>
        <v>echo lootName23,DAIL/items/materia/class0004/Nightblade23.dbr, &gt;&gt; .\items\loottables\dailoneskill0004.dbr</v>
      </c>
      <c r="X25" t="str">
        <f t="shared" si="8"/>
        <v>echo lootWeight23,1, &gt;&gt; .\items\loottables\dailoneskill0004.dbr</v>
      </c>
      <c r="Y25" s="5" t="s">
        <v>36</v>
      </c>
      <c r="Z25" t="str">
        <f t="shared" si="9"/>
        <v xml:space="preserve"> dailCompDescNightblade23=^pNightblade's Gift of DAIL</v>
      </c>
      <c r="AA25" t="str">
        <f t="shared" si="18"/>
        <v>dailCompTextNightblade23=^oThis feels warm to the touch, almost familiar ^w(This component fits into all Jewellery slots including the Belt And Shoulder)ass04/wpattack5.dbr</v>
      </c>
      <c r="AB25" s="5" t="s">
        <v>36</v>
      </c>
      <c r="AH25">
        <f t="shared" si="20"/>
        <v>20</v>
      </c>
      <c r="AI25">
        <f t="shared" si="14"/>
        <v>28</v>
      </c>
      <c r="AJ25">
        <f t="shared" si="19"/>
        <v>1</v>
      </c>
      <c r="AN25" t="str">
        <f t="shared" si="10"/>
        <v>ass04/wpattack5.dbr</v>
      </c>
    </row>
    <row r="26" spans="1:40" x14ac:dyDescent="0.25">
      <c r="A26" s="5" t="s">
        <v>39</v>
      </c>
      <c r="B26" s="5" t="s">
        <v>28</v>
      </c>
      <c r="C26" s="5" t="str">
        <f t="shared" si="0"/>
        <v>description,dailCompDescNightblade24,</v>
      </c>
      <c r="D26" s="5" t="str">
        <f t="shared" si="2"/>
        <v>itemText,dailCompTextNightblade24,</v>
      </c>
      <c r="E26" s="5" t="str">
        <f t="shared" si="15"/>
        <v>augmentSkillLevel1,1,</v>
      </c>
      <c r="F26" s="5" t="str">
        <f t="shared" si="16"/>
        <v>augmentSkillName1,records/skills/playerclass04/ringofsteel.dbr,</v>
      </c>
      <c r="G26" s="7">
        <f t="shared" si="11"/>
        <v>24</v>
      </c>
      <c r="H26" s="8" t="str">
        <f t="shared" si="12"/>
        <v>Nightblade</v>
      </c>
      <c r="I26" s="3" t="s">
        <v>117</v>
      </c>
      <c r="J26" s="8" t="str">
        <f t="shared" si="21"/>
        <v>class0004</v>
      </c>
      <c r="K26" s="8" t="str">
        <f t="shared" si="21"/>
        <v>dailoneskill0004</v>
      </c>
      <c r="L26" s="5" t="str">
        <f t="shared" si="4"/>
        <v>lootName24,DAIL/items/materia/class0004/Nightblade24.dbr,</v>
      </c>
      <c r="M26" s="5" t="str">
        <f t="shared" si="5"/>
        <v>lootWeight24,1,</v>
      </c>
      <c r="N26" t="str">
        <f t="shared" si="6"/>
        <v>1</v>
      </c>
      <c r="O26" t="str">
        <f t="shared" si="17"/>
        <v>copy .\dail_base.dbr .\items\materia\class0004\Nightblade24.dbr /y</v>
      </c>
      <c r="P26" t="str">
        <f t="shared" si="7"/>
        <v>echo relicBitmap,items/craftingparts/components/component_a52_bristlyfur_b.tex, &gt;&gt; .\items\materia\class0004\Nightblade24.dbr</v>
      </c>
      <c r="Q26" t="str">
        <f t="shared" si="7"/>
        <v>echo itemCost,300000, &gt;&gt; .\items\materia\class0004\Nightblade24.dbr</v>
      </c>
      <c r="R26" t="str">
        <f t="shared" si="7"/>
        <v>echo description,dailCompDescNightblade24, &gt;&gt; .\items\materia\class0004\Nightblade24.dbr</v>
      </c>
      <c r="S26" t="str">
        <f t="shared" si="7"/>
        <v>echo itemText,dailCompTextNightblade24, &gt;&gt; .\items\materia\class0004\Nightblade24.dbr</v>
      </c>
      <c r="T26" t="str">
        <f t="shared" si="7"/>
        <v>echo augmentSkillLevel1,1, &gt;&gt; .\items\materia\class0004\Nightblade24.dbr</v>
      </c>
      <c r="U26" t="str">
        <f t="shared" si="7"/>
        <v>echo augmentSkillName1,records/skills/playerclass04/ringofsteel.dbr, &gt;&gt; .\items\materia\class0004\Nightblade24.dbr</v>
      </c>
      <c r="V26" s="5" t="s">
        <v>36</v>
      </c>
      <c r="W26" t="str">
        <f t="shared" si="8"/>
        <v>echo lootName24,DAIL/items/materia/class0004/Nightblade24.dbr, &gt;&gt; .\items\loottables\dailoneskill0004.dbr</v>
      </c>
      <c r="X26" t="str">
        <f t="shared" si="8"/>
        <v>echo lootWeight24,1, &gt;&gt; .\items\loottables\dailoneskill0004.dbr</v>
      </c>
      <c r="Y26" s="5" t="s">
        <v>36</v>
      </c>
      <c r="Z26" t="str">
        <f t="shared" si="9"/>
        <v xml:space="preserve"> dailCompDescNightblade24=^pNightblade's Gift of DAIL</v>
      </c>
      <c r="AA26" t="str">
        <f t="shared" si="18"/>
        <v>dailCompTextNightblade24=^oThis feels warm to the touch, almost familiar ^w(This component fits into all Jewellery slots including the Belt And Shoulder)s04/ringofsteel.dbr</v>
      </c>
      <c r="AB26" s="5" t="s">
        <v>36</v>
      </c>
      <c r="AH26">
        <f t="shared" si="20"/>
        <v>21</v>
      </c>
      <c r="AI26">
        <f t="shared" si="14"/>
        <v>30</v>
      </c>
      <c r="AJ26">
        <f t="shared" si="19"/>
        <v>1</v>
      </c>
      <c r="AN26" t="str">
        <f t="shared" si="10"/>
        <v>s04/ringofsteel.dbr</v>
      </c>
    </row>
    <row r="27" spans="1:40" x14ac:dyDescent="0.25">
      <c r="A27" s="5" t="s">
        <v>39</v>
      </c>
      <c r="B27" s="5" t="s">
        <v>28</v>
      </c>
      <c r="C27" s="5" t="str">
        <f t="shared" si="0"/>
        <v>description,dailCompDescNightblade25,</v>
      </c>
      <c r="D27" s="5" t="str">
        <f t="shared" si="2"/>
        <v>itemText,dailCompTextNightblade25,</v>
      </c>
      <c r="E27" s="5" t="str">
        <f t="shared" si="15"/>
        <v>augmentSkillLevel1,1,</v>
      </c>
      <c r="F27" s="5" t="str">
        <f t="shared" si="16"/>
        <v>augmentSkillName1,records/skills/playerclass04/phantomblade_mod0.dbr,</v>
      </c>
      <c r="G27" s="7">
        <f t="shared" si="11"/>
        <v>25</v>
      </c>
      <c r="H27" s="8" t="str">
        <f t="shared" si="12"/>
        <v>Nightblade</v>
      </c>
      <c r="I27" s="3" t="s">
        <v>314</v>
      </c>
      <c r="J27" s="8" t="str">
        <f t="shared" si="21"/>
        <v>class0004</v>
      </c>
      <c r="K27" s="8" t="str">
        <f t="shared" si="21"/>
        <v>dailoneskill0004</v>
      </c>
      <c r="L27" s="5" t="str">
        <f t="shared" si="4"/>
        <v>lootName25,DAIL/items/materia/class0004/Nightblade25.dbr,</v>
      </c>
      <c r="M27" s="5" t="str">
        <f t="shared" si="5"/>
        <v>lootWeight25,1,</v>
      </c>
      <c r="N27" t="str">
        <f t="shared" si="6"/>
        <v>1</v>
      </c>
      <c r="O27" t="str">
        <f t="shared" si="17"/>
        <v>copy .\dail_base.dbr .\items\materia\class0004\Nightblade25.dbr /y</v>
      </c>
      <c r="P27" t="str">
        <f t="shared" si="7"/>
        <v>echo relicBitmap,items/craftingparts/components/component_a52_bristlyfur_b.tex, &gt;&gt; .\items\materia\class0004\Nightblade25.dbr</v>
      </c>
      <c r="Q27" t="str">
        <f t="shared" si="7"/>
        <v>echo itemCost,300000, &gt;&gt; .\items\materia\class0004\Nightblade25.dbr</v>
      </c>
      <c r="R27" t="str">
        <f t="shared" si="7"/>
        <v>echo description,dailCompDescNightblade25, &gt;&gt; .\items\materia\class0004\Nightblade25.dbr</v>
      </c>
      <c r="S27" t="str">
        <f t="shared" si="7"/>
        <v>echo itemText,dailCompTextNightblade25, &gt;&gt; .\items\materia\class0004\Nightblade25.dbr</v>
      </c>
      <c r="T27" t="str">
        <f t="shared" si="7"/>
        <v>echo augmentSkillLevel1,1, &gt;&gt; .\items\materia\class0004\Nightblade25.dbr</v>
      </c>
      <c r="U27" t="str">
        <f t="shared" si="7"/>
        <v>echo augmentSkillName1,records/skills/playerclass04/phantomblade_mod0.dbr, &gt;&gt; .\items\materia\class0004\Nightblade25.dbr</v>
      </c>
      <c r="V27" s="5" t="s">
        <v>36</v>
      </c>
      <c r="W27" t="str">
        <f t="shared" si="8"/>
        <v>echo lootName25,DAIL/items/materia/class0004/Nightblade25.dbr, &gt;&gt; .\items\loottables\dailoneskill0004.dbr</v>
      </c>
      <c r="X27" t="str">
        <f t="shared" si="8"/>
        <v>echo lootWeight25,1, &gt;&gt; .\items\loottables\dailoneskill0004.dbr</v>
      </c>
      <c r="Y27" s="5" t="s">
        <v>36</v>
      </c>
      <c r="Z27" t="str">
        <f t="shared" si="9"/>
        <v xml:space="preserve"> dailCompDescNightblade25=^pNightblade's Gift of DAIL</v>
      </c>
      <c r="AA27" t="str">
        <f t="shared" si="18"/>
        <v>dailCompTextNightblade25=^oThis feels warm to the touch, almost familiar ^w(This component fits into all Jewellery slots including the Belt And Shoulder)antomblade_mod0.dbr</v>
      </c>
      <c r="AB27" s="5" t="s">
        <v>36</v>
      </c>
      <c r="AH27">
        <f t="shared" si="20"/>
        <v>22</v>
      </c>
      <c r="AI27">
        <f t="shared" si="14"/>
        <v>36</v>
      </c>
      <c r="AJ27">
        <f t="shared" si="19"/>
        <v>1</v>
      </c>
      <c r="AN27" t="str">
        <f t="shared" si="10"/>
        <v>antomblade_mod0.dbr</v>
      </c>
    </row>
    <row r="28" spans="1:40" x14ac:dyDescent="0.25">
      <c r="A28" s="5" t="s">
        <v>39</v>
      </c>
      <c r="B28" s="5" t="s">
        <v>28</v>
      </c>
      <c r="C28" s="5" t="str">
        <f t="shared" si="0"/>
        <v>description,dailCompDescNightblade26,</v>
      </c>
      <c r="D28" s="5" t="str">
        <f t="shared" si="2"/>
        <v>itemText,dailCompTextNightblade26,</v>
      </c>
      <c r="E28" s="5" t="str">
        <f t="shared" si="15"/>
        <v>augmentSkillLevel1,1,</v>
      </c>
      <c r="F28" s="5" t="str">
        <f t="shared" si="16"/>
        <v>augmentSkillName1,records/skills/playerclass04/ringofsteel_mod0.dbr,</v>
      </c>
      <c r="G28" s="7">
        <f t="shared" si="11"/>
        <v>26</v>
      </c>
      <c r="H28" s="8" t="str">
        <f t="shared" si="12"/>
        <v>Nightblade</v>
      </c>
      <c r="I28" s="3" t="s">
        <v>315</v>
      </c>
      <c r="J28" s="8" t="str">
        <f t="shared" si="21"/>
        <v>class0004</v>
      </c>
      <c r="K28" s="8" t="str">
        <f t="shared" si="21"/>
        <v>dailoneskill0004</v>
      </c>
      <c r="L28" s="5" t="str">
        <f t="shared" si="4"/>
        <v>lootName26,DAIL/items/materia/class0004/Nightblade26.dbr,</v>
      </c>
      <c r="M28" s="5" t="str">
        <f t="shared" si="5"/>
        <v>lootWeight26,1,</v>
      </c>
      <c r="N28" t="str">
        <f t="shared" si="6"/>
        <v>1</v>
      </c>
      <c r="O28" t="str">
        <f t="shared" si="17"/>
        <v>copy .\dail_base.dbr .\items\materia\class0004\Nightblade26.dbr /y</v>
      </c>
      <c r="P28" t="str">
        <f t="shared" si="7"/>
        <v>echo relicBitmap,items/craftingparts/components/component_a52_bristlyfur_b.tex, &gt;&gt; .\items\materia\class0004\Nightblade26.dbr</v>
      </c>
      <c r="Q28" t="str">
        <f t="shared" si="7"/>
        <v>echo itemCost,300000, &gt;&gt; .\items\materia\class0004\Nightblade26.dbr</v>
      </c>
      <c r="R28" t="str">
        <f t="shared" si="7"/>
        <v>echo description,dailCompDescNightblade26, &gt;&gt; .\items\materia\class0004\Nightblade26.dbr</v>
      </c>
      <c r="S28" t="str">
        <f t="shared" si="7"/>
        <v>echo itemText,dailCompTextNightblade26, &gt;&gt; .\items\materia\class0004\Nightblade26.dbr</v>
      </c>
      <c r="T28" t="str">
        <f t="shared" si="7"/>
        <v>echo augmentSkillLevel1,1, &gt;&gt; .\items\materia\class0004\Nightblade26.dbr</v>
      </c>
      <c r="U28" t="str">
        <f t="shared" si="7"/>
        <v>echo augmentSkillName1,records/skills/playerclass04/ringofsteel_mod0.dbr, &gt;&gt; .\items\materia\class0004\Nightblade26.dbr</v>
      </c>
      <c r="V28" s="5" t="s">
        <v>36</v>
      </c>
      <c r="W28" t="str">
        <f t="shared" si="8"/>
        <v>echo lootName26,DAIL/items/materia/class0004/Nightblade26.dbr, &gt;&gt; .\items\loottables\dailoneskill0004.dbr</v>
      </c>
      <c r="X28" t="str">
        <f t="shared" si="8"/>
        <v>echo lootWeight26,1, &gt;&gt; .\items\loottables\dailoneskill0004.dbr</v>
      </c>
      <c r="Y28" s="5" t="s">
        <v>36</v>
      </c>
      <c r="Z28" t="str">
        <f t="shared" si="9"/>
        <v xml:space="preserve"> dailCompDescNightblade26=^pNightblade's Gift of DAIL</v>
      </c>
      <c r="AA28" t="str">
        <f t="shared" si="18"/>
        <v>dailCompTextNightblade26=^oThis feels warm to the touch, almost familiar ^w(This component fits into all Jewellery slots including the Belt And Shoulder)ingofsteel_mod0.dbr</v>
      </c>
      <c r="AB28" s="5" t="s">
        <v>36</v>
      </c>
      <c r="AH28">
        <f t="shared" si="20"/>
        <v>23</v>
      </c>
      <c r="AI28">
        <f t="shared" si="14"/>
        <v>35</v>
      </c>
      <c r="AJ28">
        <f t="shared" si="19"/>
        <v>1</v>
      </c>
      <c r="AN28" t="str">
        <f t="shared" si="10"/>
        <v>ingofsteel_mod0.dbr</v>
      </c>
    </row>
    <row r="29" spans="1:40" x14ac:dyDescent="0.25">
      <c r="A29" s="5" t="s">
        <v>39</v>
      </c>
      <c r="B29" s="5" t="s">
        <v>28</v>
      </c>
      <c r="C29" s="5" t="str">
        <f t="shared" si="0"/>
        <v>description,dailCompDescNightblade27,</v>
      </c>
      <c r="D29" s="5" t="str">
        <f t="shared" si="2"/>
        <v>itemText,dailCompTextNightblade27,</v>
      </c>
      <c r="E29" s="5" t="str">
        <f t="shared" si="15"/>
        <v>augmentSkillLevel1,1,</v>
      </c>
      <c r="F29" s="5" t="str">
        <f t="shared" si="16"/>
        <v>augmentSkillName1,records/skills/playerclass04/ringofsteel_mod1.dbr,</v>
      </c>
      <c r="G29" s="7">
        <f t="shared" si="11"/>
        <v>27</v>
      </c>
      <c r="H29" s="8" t="str">
        <f t="shared" si="12"/>
        <v>Nightblade</v>
      </c>
      <c r="I29" s="3" t="s">
        <v>316</v>
      </c>
      <c r="J29" s="8" t="str">
        <f t="shared" si="21"/>
        <v>class0004</v>
      </c>
      <c r="K29" s="8" t="str">
        <f t="shared" si="21"/>
        <v>dailoneskill0004</v>
      </c>
      <c r="L29" s="5" t="str">
        <f t="shared" si="4"/>
        <v>lootName27,DAIL/items/materia/class0004/Nightblade27.dbr,</v>
      </c>
      <c r="M29" s="5" t="str">
        <f t="shared" si="5"/>
        <v>lootWeight27,1,</v>
      </c>
      <c r="N29" t="str">
        <f t="shared" si="6"/>
        <v>1</v>
      </c>
      <c r="O29" t="str">
        <f t="shared" si="17"/>
        <v>copy .\dail_base.dbr .\items\materia\class0004\Nightblade27.dbr /y</v>
      </c>
      <c r="P29" t="str">
        <f t="shared" si="7"/>
        <v>echo relicBitmap,items/craftingparts/components/component_a52_bristlyfur_b.tex, &gt;&gt; .\items\materia\class0004\Nightblade27.dbr</v>
      </c>
      <c r="Q29" t="str">
        <f t="shared" si="7"/>
        <v>echo itemCost,300000, &gt;&gt; .\items\materia\class0004\Nightblade27.dbr</v>
      </c>
      <c r="R29" t="str">
        <f t="shared" si="7"/>
        <v>echo description,dailCompDescNightblade27, &gt;&gt; .\items\materia\class0004\Nightblade27.dbr</v>
      </c>
      <c r="S29" t="str">
        <f t="shared" si="7"/>
        <v>echo itemText,dailCompTextNightblade27, &gt;&gt; .\items\materia\class0004\Nightblade27.dbr</v>
      </c>
      <c r="T29" t="str">
        <f t="shared" si="7"/>
        <v>echo augmentSkillLevel1,1, &gt;&gt; .\items\materia\class0004\Nightblade27.dbr</v>
      </c>
      <c r="U29" t="str">
        <f t="shared" si="7"/>
        <v>echo augmentSkillName1,records/skills/playerclass04/ringofsteel_mod1.dbr, &gt;&gt; .\items\materia\class0004\Nightblade27.dbr</v>
      </c>
      <c r="V29" s="5" t="s">
        <v>36</v>
      </c>
      <c r="W29" t="str">
        <f t="shared" si="8"/>
        <v>echo lootName27,DAIL/items/materia/class0004/Nightblade27.dbr, &gt;&gt; .\items\loottables\dailoneskill0004.dbr</v>
      </c>
      <c r="X29" t="str">
        <f t="shared" si="8"/>
        <v>echo lootWeight27,1, &gt;&gt; .\items\loottables\dailoneskill0004.dbr</v>
      </c>
      <c r="Y29" s="5" t="s">
        <v>36</v>
      </c>
      <c r="Z29" t="str">
        <f t="shared" si="9"/>
        <v xml:space="preserve"> dailCompDescNightblade27=^pNightblade's Gift of DAIL</v>
      </c>
      <c r="AA29" t="str">
        <f t="shared" si="18"/>
        <v>dailCompTextNightblade27=^oThis feels warm to the touch, almost familiar ^w(This component fits into all Jewellery slots including the Belt And Shoulder)ingofsteel_mod1.dbr</v>
      </c>
      <c r="AB29" s="5" t="s">
        <v>36</v>
      </c>
      <c r="AH29">
        <f t="shared" si="20"/>
        <v>24</v>
      </c>
      <c r="AI29">
        <f t="shared" si="14"/>
        <v>35</v>
      </c>
      <c r="AJ29">
        <f t="shared" si="19"/>
        <v>1</v>
      </c>
      <c r="AN29" t="str">
        <f t="shared" si="10"/>
        <v>ingofsteel_mod1.dbr</v>
      </c>
    </row>
    <row r="30" spans="1:40" x14ac:dyDescent="0.25">
      <c r="A30" s="5" t="s">
        <v>39</v>
      </c>
      <c r="B30" s="5" t="s">
        <v>28</v>
      </c>
      <c r="C30" s="5" t="str">
        <f t="shared" si="0"/>
        <v>description,dailCompDescNightblade28,</v>
      </c>
      <c r="D30" s="5" t="str">
        <f t="shared" si="2"/>
        <v>itemText,dailCompTextNightblade28,</v>
      </c>
      <c r="E30" s="5" t="str">
        <f t="shared" si="15"/>
        <v>augmentSkillLevel1,1,</v>
      </c>
      <c r="F30" s="5" t="str">
        <f t="shared" si="16"/>
        <v>augmentSkillName1,records/skills/playerclass04/summon_bladespirit.dbr,</v>
      </c>
      <c r="G30" s="7">
        <f t="shared" si="11"/>
        <v>28</v>
      </c>
      <c r="H30" s="8" t="str">
        <f t="shared" si="12"/>
        <v>Nightblade</v>
      </c>
      <c r="I30" s="3" t="s">
        <v>119</v>
      </c>
      <c r="J30" s="8" t="str">
        <f t="shared" si="21"/>
        <v>class0004</v>
      </c>
      <c r="K30" s="8" t="str">
        <f t="shared" si="21"/>
        <v>dailoneskill0004</v>
      </c>
      <c r="L30" s="5" t="str">
        <f t="shared" si="4"/>
        <v>lootName28,DAIL/items/materia/class0004/Nightblade28.dbr,</v>
      </c>
      <c r="M30" s="5" t="str">
        <f t="shared" si="5"/>
        <v>lootWeight28,1,</v>
      </c>
      <c r="N30" t="str">
        <f t="shared" si="6"/>
        <v>1</v>
      </c>
      <c r="O30" t="str">
        <f t="shared" si="17"/>
        <v>copy .\dail_base.dbr .\items\materia\class0004\Nightblade28.dbr /y</v>
      </c>
      <c r="P30" t="str">
        <f t="shared" si="7"/>
        <v>echo relicBitmap,items/craftingparts/components/component_a52_bristlyfur_b.tex, &gt;&gt; .\items\materia\class0004\Nightblade28.dbr</v>
      </c>
      <c r="Q30" t="str">
        <f t="shared" si="7"/>
        <v>echo itemCost,300000, &gt;&gt; .\items\materia\class0004\Nightblade28.dbr</v>
      </c>
      <c r="R30" t="str">
        <f t="shared" si="7"/>
        <v>echo description,dailCompDescNightblade28, &gt;&gt; .\items\materia\class0004\Nightblade28.dbr</v>
      </c>
      <c r="S30" t="str">
        <f t="shared" si="7"/>
        <v>echo itemText,dailCompTextNightblade28, &gt;&gt; .\items\materia\class0004\Nightblade28.dbr</v>
      </c>
      <c r="T30" t="str">
        <f t="shared" si="7"/>
        <v>echo augmentSkillLevel1,1, &gt;&gt; .\items\materia\class0004\Nightblade28.dbr</v>
      </c>
      <c r="U30" t="str">
        <f t="shared" si="7"/>
        <v>echo augmentSkillName1,records/skills/playerclass04/summon_bladespirit.dbr, &gt;&gt; .\items\materia\class0004\Nightblade28.dbr</v>
      </c>
      <c r="V30" s="5" t="s">
        <v>36</v>
      </c>
      <c r="W30" t="str">
        <f t="shared" si="8"/>
        <v>echo lootName28,DAIL/items/materia/class0004/Nightblade28.dbr, &gt;&gt; .\items\loottables\dailoneskill0004.dbr</v>
      </c>
      <c r="X30" t="str">
        <f t="shared" si="8"/>
        <v>echo lootWeight28,1, &gt;&gt; .\items\loottables\dailoneskill0004.dbr</v>
      </c>
      <c r="Y30" s="5" t="s">
        <v>36</v>
      </c>
      <c r="Z30" t="str">
        <f t="shared" si="9"/>
        <v xml:space="preserve"> dailCompDescNightblade28=^pNightblade's Gift of DAIL</v>
      </c>
      <c r="AA30" t="str">
        <f t="shared" si="18"/>
        <v>dailCompTextNightblade28=^oThis feels warm to the touch, almost familiar ^w(This component fits into all Jewellery slots including the Belt And Shoulder)mon_bladespirit.dbr</v>
      </c>
      <c r="AB30" s="5" t="s">
        <v>36</v>
      </c>
      <c r="AH30">
        <f t="shared" si="20"/>
        <v>25</v>
      </c>
      <c r="AI30">
        <f t="shared" si="14"/>
        <v>37</v>
      </c>
      <c r="AJ30">
        <f t="shared" si="19"/>
        <v>1</v>
      </c>
      <c r="AN30" t="str">
        <f t="shared" si="10"/>
        <v>mon_bladespirit.dbr</v>
      </c>
    </row>
    <row r="31" spans="1:40" x14ac:dyDescent="0.25">
      <c r="A31" s="5" t="s">
        <v>39</v>
      </c>
      <c r="B31" s="5" t="s">
        <v>28</v>
      </c>
      <c r="C31" s="5" t="str">
        <f t="shared" si="0"/>
        <v>description,dailCompDescNightblade29,</v>
      </c>
      <c r="D31" s="5" t="str">
        <f t="shared" si="2"/>
        <v>itemText,dailCompTextNightblade29,</v>
      </c>
      <c r="E31" s="5" t="str">
        <f t="shared" si="15"/>
        <v>augmentSkillLevel1,1,</v>
      </c>
      <c r="F31" s="5" t="str">
        <f t="shared" si="16"/>
        <v>augmentSkillName1,records/skills/playerclass04/veilofshadows1.dbr,</v>
      </c>
      <c r="G31" s="7">
        <f t="shared" si="11"/>
        <v>29</v>
      </c>
      <c r="H31" s="8" t="str">
        <f t="shared" si="12"/>
        <v>Nightblade</v>
      </c>
      <c r="I31" s="3" t="s">
        <v>120</v>
      </c>
      <c r="J31" s="8" t="str">
        <f t="shared" si="21"/>
        <v>class0004</v>
      </c>
      <c r="K31" s="8" t="str">
        <f t="shared" si="21"/>
        <v>dailoneskill0004</v>
      </c>
      <c r="L31" s="5" t="str">
        <f t="shared" si="4"/>
        <v>lootName29,DAIL/items/materia/class0004/Nightblade29.dbr,</v>
      </c>
      <c r="M31" s="5" t="str">
        <f t="shared" si="5"/>
        <v>lootWeight29,1,</v>
      </c>
      <c r="N31" t="str">
        <f t="shared" si="6"/>
        <v>1</v>
      </c>
      <c r="O31" t="str">
        <f t="shared" si="17"/>
        <v>copy .\dail_base.dbr .\items\materia\class0004\Nightblade29.dbr /y</v>
      </c>
      <c r="P31" t="str">
        <f t="shared" si="7"/>
        <v>echo relicBitmap,items/craftingparts/components/component_a52_bristlyfur_b.tex, &gt;&gt; .\items\materia\class0004\Nightblade29.dbr</v>
      </c>
      <c r="Q31" t="str">
        <f t="shared" si="7"/>
        <v>echo itemCost,300000, &gt;&gt; .\items\materia\class0004\Nightblade29.dbr</v>
      </c>
      <c r="R31" t="str">
        <f t="shared" si="7"/>
        <v>echo description,dailCompDescNightblade29, &gt;&gt; .\items\materia\class0004\Nightblade29.dbr</v>
      </c>
      <c r="S31" t="str">
        <f t="shared" si="7"/>
        <v>echo itemText,dailCompTextNightblade29, &gt;&gt; .\items\materia\class0004\Nightblade29.dbr</v>
      </c>
      <c r="T31" t="str">
        <f t="shared" si="7"/>
        <v>echo augmentSkillLevel1,1, &gt;&gt; .\items\materia\class0004\Nightblade29.dbr</v>
      </c>
      <c r="U31" t="str">
        <f t="shared" si="7"/>
        <v>echo augmentSkillName1,records/skills/playerclass04/veilofshadows1.dbr, &gt;&gt; .\items\materia\class0004\Nightblade29.dbr</v>
      </c>
      <c r="V31" s="5" t="s">
        <v>36</v>
      </c>
      <c r="W31" t="str">
        <f t="shared" si="8"/>
        <v>echo lootName29,DAIL/items/materia/class0004/Nightblade29.dbr, &gt;&gt; .\items\loottables\dailoneskill0004.dbr</v>
      </c>
      <c r="X31" t="str">
        <f t="shared" si="8"/>
        <v>echo lootWeight29,1, &gt;&gt; .\items\loottables\dailoneskill0004.dbr</v>
      </c>
      <c r="Y31" s="5" t="s">
        <v>36</v>
      </c>
      <c r="Z31" t="str">
        <f t="shared" si="9"/>
        <v xml:space="preserve"> dailCompDescNightblade29=^pNightblade's Gift of DAIL</v>
      </c>
      <c r="AA31" t="str">
        <f t="shared" si="18"/>
        <v>dailCompTextNightblade29=^oThis feels warm to the touch, almost familiar ^w(This component fits into all Jewellery slots including the Belt And Shoulder)/veilofshadows1.dbr</v>
      </c>
      <c r="AB31" s="5" t="s">
        <v>36</v>
      </c>
      <c r="AH31">
        <f t="shared" si="20"/>
        <v>26</v>
      </c>
      <c r="AI31">
        <f t="shared" si="14"/>
        <v>33</v>
      </c>
      <c r="AJ31">
        <f t="shared" si="19"/>
        <v>1</v>
      </c>
      <c r="AN31" t="str">
        <f t="shared" si="10"/>
        <v>/veilofshadows1.dbr</v>
      </c>
    </row>
    <row r="32" spans="1:40" x14ac:dyDescent="0.25">
      <c r="A32" s="5" t="s">
        <v>39</v>
      </c>
      <c r="B32" s="5" t="s">
        <v>30</v>
      </c>
      <c r="C32" s="5" t="str">
        <f t="shared" si="0"/>
        <v>description,dailCompDescNightblade30,</v>
      </c>
      <c r="D32" s="5" t="str">
        <f t="shared" si="2"/>
        <v>itemText,dailCompTextNightblade30,</v>
      </c>
      <c r="E32" s="5" t="str">
        <f t="shared" si="15"/>
        <v>augmentSkillLevel1,1,</v>
      </c>
      <c r="F32" s="5" t="str">
        <f t="shared" si="16"/>
        <v>augmentSkillName1,records/skills/playerclass04/veilofshadows2.dbr,</v>
      </c>
      <c r="G32" s="7">
        <f t="shared" si="11"/>
        <v>30</v>
      </c>
      <c r="H32" s="8" t="str">
        <f t="shared" si="12"/>
        <v>Nightblade</v>
      </c>
      <c r="I32" s="3" t="s">
        <v>245</v>
      </c>
      <c r="J32" s="8" t="str">
        <f t="shared" si="21"/>
        <v>class0004</v>
      </c>
      <c r="K32" s="8" t="str">
        <f t="shared" si="21"/>
        <v>dailoneskill0004</v>
      </c>
      <c r="L32" s="5" t="str">
        <f t="shared" si="4"/>
        <v>lootName30,DAIL/items/materia/class0004/Nightblade30.dbr,</v>
      </c>
      <c r="M32" s="5" t="str">
        <f t="shared" si="5"/>
        <v>lootWeight30,1,</v>
      </c>
      <c r="N32" t="str">
        <f t="shared" si="6"/>
        <v>1</v>
      </c>
      <c r="O32" t="str">
        <f t="shared" si="17"/>
        <v>copy .\dail_base.dbr .\items\materia\class0004\Nightblade30.dbr /y</v>
      </c>
      <c r="P32" t="str">
        <f t="shared" si="7"/>
        <v>echo relicBitmap,items/craftingparts/components/component_a52_bristlyfur_b.tex, &gt;&gt; .\items\materia\class0004\Nightblade30.dbr</v>
      </c>
      <c r="Q32" t="str">
        <f t="shared" si="7"/>
        <v>echo itemCost,500000, &gt;&gt; .\items\materia\class0004\Nightblade30.dbr</v>
      </c>
      <c r="R32" t="str">
        <f t="shared" si="7"/>
        <v>echo description,dailCompDescNightblade30, &gt;&gt; .\items\materia\class0004\Nightblade30.dbr</v>
      </c>
      <c r="S32" t="str">
        <f t="shared" si="7"/>
        <v>echo itemText,dailCompTextNightblade30, &gt;&gt; .\items\materia\class0004\Nightblade30.dbr</v>
      </c>
      <c r="T32" t="str">
        <f t="shared" si="7"/>
        <v>echo augmentSkillLevel1,1, &gt;&gt; .\items\materia\class0004\Nightblade30.dbr</v>
      </c>
      <c r="U32" t="str">
        <f t="shared" si="7"/>
        <v>echo augmentSkillName1,records/skills/playerclass04/veilofshadows2.dbr, &gt;&gt; .\items\materia\class0004\Nightblade30.dbr</v>
      </c>
      <c r="V32" s="5" t="s">
        <v>36</v>
      </c>
      <c r="W32" t="str">
        <f t="shared" si="8"/>
        <v>echo lootName30,DAIL/items/materia/class0004/Nightblade30.dbr, &gt;&gt; .\items\loottables\dailoneskill0004.dbr</v>
      </c>
      <c r="X32" t="str">
        <f t="shared" si="8"/>
        <v>echo lootWeight30,1, &gt;&gt; .\items\loottables\dailoneskill0004.dbr</v>
      </c>
      <c r="Y32" s="5" t="s">
        <v>36</v>
      </c>
      <c r="Z32" t="str">
        <f t="shared" si="9"/>
        <v xml:space="preserve"> dailCompDescNightblade30=^pNightblade's Gift of DAIL</v>
      </c>
      <c r="AA32" t="str">
        <f t="shared" si="18"/>
        <v>dailCompTextNightblade30=^oThis feels warm to the touch, almost familiar ^w(This component fits into all Jewellery slots including the Belt And Shoulder)/veilofshadows2.dbr</v>
      </c>
      <c r="AB32" s="5" t="s">
        <v>36</v>
      </c>
      <c r="AH32">
        <f t="shared" si="20"/>
        <v>27</v>
      </c>
      <c r="AI32">
        <f t="shared" si="14"/>
        <v>33</v>
      </c>
      <c r="AJ32">
        <f t="shared" si="19"/>
        <v>1</v>
      </c>
      <c r="AN32" t="str">
        <f t="shared" si="10"/>
        <v>/veilofshadows2.dbr</v>
      </c>
    </row>
    <row r="33" spans="1:40" x14ac:dyDescent="0.25">
      <c r="A33" s="5" t="s">
        <v>39</v>
      </c>
      <c r="B33" s="5" t="s">
        <v>30</v>
      </c>
      <c r="C33" s="5" t="str">
        <f t="shared" si="0"/>
        <v>description,dailCompDescNightblade31,</v>
      </c>
      <c r="D33" s="5" t="str">
        <f t="shared" si="2"/>
        <v>itemText,dailCompTextNightblade31,</v>
      </c>
      <c r="E33" s="5" t="str">
        <f t="shared" si="15"/>
        <v>augmentSkillLevel1,1,</v>
      </c>
      <c r="F33" s="5" t="str">
        <f t="shared" si="16"/>
        <v>augmentSkillName1,records/skills/playerclass04/phantomblade_mod1.dbr,</v>
      </c>
      <c r="G33" s="7">
        <f t="shared" si="11"/>
        <v>31</v>
      </c>
      <c r="H33" s="8" t="str">
        <f t="shared" si="12"/>
        <v>Nightblade</v>
      </c>
      <c r="I33" s="3" t="s">
        <v>317</v>
      </c>
      <c r="J33" s="8" t="str">
        <f t="shared" si="21"/>
        <v>class0004</v>
      </c>
      <c r="K33" s="8" t="str">
        <f t="shared" si="21"/>
        <v>dailoneskill0004</v>
      </c>
      <c r="L33" s="5" t="str">
        <f t="shared" si="4"/>
        <v>lootName31,DAIL/items/materia/class0004/Nightblade31.dbr,</v>
      </c>
      <c r="M33" s="5" t="str">
        <f t="shared" si="5"/>
        <v>lootWeight31,1,</v>
      </c>
      <c r="N33" t="str">
        <f t="shared" si="6"/>
        <v>1</v>
      </c>
      <c r="O33" t="str">
        <f t="shared" si="17"/>
        <v>copy .\dail_base.dbr .\items\materia\class0004\Nightblade31.dbr /y</v>
      </c>
      <c r="P33" t="str">
        <f t="shared" si="7"/>
        <v>echo relicBitmap,items/craftingparts/components/component_a52_bristlyfur_b.tex, &gt;&gt; .\items\materia\class0004\Nightblade31.dbr</v>
      </c>
      <c r="Q33" t="str">
        <f t="shared" si="7"/>
        <v>echo itemCost,500000, &gt;&gt; .\items\materia\class0004\Nightblade31.dbr</v>
      </c>
      <c r="R33" t="str">
        <f t="shared" si="7"/>
        <v>echo description,dailCompDescNightblade31, &gt;&gt; .\items\materia\class0004\Nightblade31.dbr</v>
      </c>
      <c r="S33" t="str">
        <f t="shared" si="7"/>
        <v>echo itemText,dailCompTextNightblade31, &gt;&gt; .\items\materia\class0004\Nightblade31.dbr</v>
      </c>
      <c r="T33" t="str">
        <f t="shared" si="7"/>
        <v>echo augmentSkillLevel1,1, &gt;&gt; .\items\materia\class0004\Nightblade31.dbr</v>
      </c>
      <c r="U33" t="str">
        <f t="shared" si="7"/>
        <v>echo augmentSkillName1,records/skills/playerclass04/phantomblade_mod1.dbr, &gt;&gt; .\items\materia\class0004\Nightblade31.dbr</v>
      </c>
      <c r="V33" s="5" t="s">
        <v>36</v>
      </c>
      <c r="W33" t="str">
        <f t="shared" si="8"/>
        <v>echo lootName31,DAIL/items/materia/class0004/Nightblade31.dbr, &gt;&gt; .\items\loottables\dailoneskill0004.dbr</v>
      </c>
      <c r="X33" t="str">
        <f t="shared" si="8"/>
        <v>echo lootWeight31,1, &gt;&gt; .\items\loottables\dailoneskill0004.dbr</v>
      </c>
      <c r="Y33" s="5" t="s">
        <v>36</v>
      </c>
      <c r="Z33" t="str">
        <f t="shared" si="9"/>
        <v xml:space="preserve"> dailCompDescNightblade31=^pNightblade's Gift of DAIL</v>
      </c>
      <c r="AA33" t="str">
        <f t="shared" si="18"/>
        <v>dailCompTextNightblade31=^oThis feels warm to the touch, almost familiar ^w(This component fits into all Jewellery slots including the Belt And Shoulder)antomblade_mod1.dbr</v>
      </c>
      <c r="AB33" s="5" t="s">
        <v>36</v>
      </c>
      <c r="AH33">
        <f t="shared" si="20"/>
        <v>28</v>
      </c>
      <c r="AI33">
        <f t="shared" si="14"/>
        <v>36</v>
      </c>
      <c r="AJ33">
        <f t="shared" si="19"/>
        <v>1</v>
      </c>
      <c r="AN33" t="str">
        <f t="shared" si="10"/>
        <v>antomblade_mod1.dbr</v>
      </c>
    </row>
    <row r="34" spans="1:40" x14ac:dyDescent="0.25">
      <c r="A34" s="5" t="s">
        <v>39</v>
      </c>
      <c r="B34" s="5" t="s">
        <v>30</v>
      </c>
      <c r="C34" s="5" t="str">
        <f t="shared" si="0"/>
        <v>description,dailCompDescNightblade32,</v>
      </c>
      <c r="D34" s="5" t="str">
        <f t="shared" si="2"/>
        <v>itemText,dailCompTextNightblade32,</v>
      </c>
      <c r="E34" s="5" t="str">
        <f t="shared" si="15"/>
        <v>augmentSkillLevel1,1,</v>
      </c>
      <c r="F34" s="5" t="str">
        <f t="shared" si="16"/>
        <v>augmentSkillName1,records/skills/playerclass04/phantomblade_mod2.dbr,</v>
      </c>
      <c r="G34" s="7">
        <f t="shared" si="11"/>
        <v>32</v>
      </c>
      <c r="H34" s="8" t="str">
        <f t="shared" si="12"/>
        <v>Nightblade</v>
      </c>
      <c r="I34" s="3" t="s">
        <v>318</v>
      </c>
      <c r="J34" s="8" t="str">
        <f t="shared" si="21"/>
        <v>class0004</v>
      </c>
      <c r="K34" s="8" t="str">
        <f t="shared" si="21"/>
        <v>dailoneskill0004</v>
      </c>
      <c r="L34" s="5" t="str">
        <f t="shared" si="4"/>
        <v>lootName32,DAIL/items/materia/class0004/Nightblade32.dbr,</v>
      </c>
      <c r="M34" s="5" t="str">
        <f t="shared" si="5"/>
        <v>lootWeight32,1,</v>
      </c>
      <c r="N34" t="str">
        <f t="shared" si="6"/>
        <v>1</v>
      </c>
      <c r="O34" t="str">
        <f t="shared" si="17"/>
        <v>copy .\dail_base.dbr .\items\materia\class0004\Nightblade32.dbr /y</v>
      </c>
      <c r="P34" t="str">
        <f t="shared" si="7"/>
        <v>echo relicBitmap,items/craftingparts/components/component_a52_bristlyfur_b.tex, &gt;&gt; .\items\materia\class0004\Nightblade32.dbr</v>
      </c>
      <c r="Q34" t="str">
        <f t="shared" si="7"/>
        <v>echo itemCost,500000, &gt;&gt; .\items\materia\class0004\Nightblade32.dbr</v>
      </c>
      <c r="R34" t="str">
        <f t="shared" si="7"/>
        <v>echo description,dailCompDescNightblade32, &gt;&gt; .\items\materia\class0004\Nightblade32.dbr</v>
      </c>
      <c r="S34" t="str">
        <f t="shared" si="7"/>
        <v>echo itemText,dailCompTextNightblade32, &gt;&gt; .\items\materia\class0004\Nightblade32.dbr</v>
      </c>
      <c r="T34" t="str">
        <f t="shared" si="7"/>
        <v>echo augmentSkillLevel1,1, &gt;&gt; .\items\materia\class0004\Nightblade32.dbr</v>
      </c>
      <c r="U34" t="str">
        <f t="shared" si="7"/>
        <v>echo augmentSkillName1,records/skills/playerclass04/phantomblade_mod2.dbr, &gt;&gt; .\items\materia\class0004\Nightblade32.dbr</v>
      </c>
      <c r="V34" s="5" t="s">
        <v>36</v>
      </c>
      <c r="W34" t="str">
        <f t="shared" si="8"/>
        <v>echo lootName32,DAIL/items/materia/class0004/Nightblade32.dbr, &gt;&gt; .\items\loottables\dailoneskill0004.dbr</v>
      </c>
      <c r="X34" t="str">
        <f t="shared" si="8"/>
        <v>echo lootWeight32,1, &gt;&gt; .\items\loottables\dailoneskill0004.dbr</v>
      </c>
      <c r="Y34" s="5" t="s">
        <v>36</v>
      </c>
      <c r="Z34" t="str">
        <f t="shared" si="9"/>
        <v xml:space="preserve"> dailCompDescNightblade32=^pNightblade's Gift of DAIL</v>
      </c>
      <c r="AA34" t="str">
        <f t="shared" si="18"/>
        <v>dailCompTextNightblade32=^oThis feels warm to the touch, almost familiar ^w(This component fits into all Jewellery slots including the Belt And Shoulder)antomblade_mod2.dbr</v>
      </c>
      <c r="AB34" s="5" t="s">
        <v>36</v>
      </c>
      <c r="AH34">
        <f t="shared" si="20"/>
        <v>29</v>
      </c>
      <c r="AI34">
        <f t="shared" si="14"/>
        <v>36</v>
      </c>
      <c r="AJ34">
        <f t="shared" si="19"/>
        <v>1</v>
      </c>
      <c r="AN34" t="str">
        <f t="shared" si="10"/>
        <v>antomblade_mod2.dbr</v>
      </c>
    </row>
    <row r="35" spans="1:40" x14ac:dyDescent="0.25">
      <c r="A35" s="5" t="s">
        <v>39</v>
      </c>
      <c r="B35" s="5" t="s">
        <v>30</v>
      </c>
      <c r="C35" s="5" t="str">
        <f t="shared" si="0"/>
        <v>description,dailCompDescNightblade33,</v>
      </c>
      <c r="D35" s="5" t="str">
        <f t="shared" si="2"/>
        <v>itemText,dailCompTextNightblade33,</v>
      </c>
      <c r="E35" s="5" t="str">
        <f t="shared" si="15"/>
        <v>augmentSkillLevel1,1,</v>
      </c>
      <c r="F35" s="5" t="str">
        <f t="shared" si="16"/>
        <v>augmentSkillName1,records/skills/playerclass04/shadowstrike.dbr,</v>
      </c>
      <c r="G35" s="7">
        <f t="shared" si="11"/>
        <v>33</v>
      </c>
      <c r="H35" s="8" t="str">
        <f t="shared" si="12"/>
        <v>Nightblade</v>
      </c>
      <c r="I35" s="3" t="s">
        <v>118</v>
      </c>
      <c r="J35" s="8" t="str">
        <f t="shared" si="21"/>
        <v>class0004</v>
      </c>
      <c r="K35" s="8" t="str">
        <f t="shared" si="21"/>
        <v>dailoneskill0004</v>
      </c>
      <c r="L35" s="5" t="str">
        <f t="shared" si="4"/>
        <v>lootName33,DAIL/items/materia/class0004/Nightblade33.dbr,</v>
      </c>
      <c r="M35" s="5" t="str">
        <f t="shared" si="5"/>
        <v>lootWeight33,1,</v>
      </c>
      <c r="N35" t="str">
        <f t="shared" si="6"/>
        <v>1</v>
      </c>
      <c r="O35" t="str">
        <f t="shared" si="17"/>
        <v>copy .\dail_base.dbr .\items\materia\class0004\Nightblade33.dbr /y</v>
      </c>
      <c r="P35" t="str">
        <f t="shared" si="7"/>
        <v>echo relicBitmap,items/craftingparts/components/component_a52_bristlyfur_b.tex, &gt;&gt; .\items\materia\class0004\Nightblade33.dbr</v>
      </c>
      <c r="Q35" t="str">
        <f t="shared" si="7"/>
        <v>echo itemCost,500000, &gt;&gt; .\items\materia\class0004\Nightblade33.dbr</v>
      </c>
      <c r="R35" t="str">
        <f t="shared" si="7"/>
        <v>echo description,dailCompDescNightblade33, &gt;&gt; .\items\materia\class0004\Nightblade33.dbr</v>
      </c>
      <c r="S35" t="str">
        <f t="shared" si="7"/>
        <v>echo itemText,dailCompTextNightblade33, &gt;&gt; .\items\materia\class0004\Nightblade33.dbr</v>
      </c>
      <c r="T35" t="str">
        <f t="shared" si="7"/>
        <v>echo augmentSkillLevel1,1, &gt;&gt; .\items\materia\class0004\Nightblade33.dbr</v>
      </c>
      <c r="U35" t="str">
        <f t="shared" si="7"/>
        <v>echo augmentSkillName1,records/skills/playerclass04/shadowstrike.dbr, &gt;&gt; .\items\materia\class0004\Nightblade33.dbr</v>
      </c>
      <c r="V35" s="5" t="s">
        <v>36</v>
      </c>
      <c r="W35" t="str">
        <f t="shared" si="8"/>
        <v>echo lootName33,DAIL/items/materia/class0004/Nightblade33.dbr, &gt;&gt; .\items\loottables\dailoneskill0004.dbr</v>
      </c>
      <c r="X35" t="str">
        <f t="shared" si="8"/>
        <v>echo lootWeight33,1, &gt;&gt; .\items\loottables\dailoneskill0004.dbr</v>
      </c>
      <c r="Y35" s="5" t="s">
        <v>36</v>
      </c>
      <c r="Z35" t="str">
        <f t="shared" si="9"/>
        <v xml:space="preserve"> dailCompDescNightblade33=^pNightblade's Gift of DAIL</v>
      </c>
      <c r="AA35" t="str">
        <f t="shared" si="18"/>
        <v>dailCompTextNightblade33=^oThis feels warm to the touch, almost familiar ^w(This component fits into all Jewellery slots including the Belt And Shoulder)04/shadowstrike.dbr</v>
      </c>
      <c r="AB35" s="5" t="s">
        <v>36</v>
      </c>
      <c r="AH35">
        <f t="shared" si="20"/>
        <v>30</v>
      </c>
      <c r="AI35">
        <f t="shared" si="14"/>
        <v>31</v>
      </c>
      <c r="AJ35">
        <f t="shared" si="19"/>
        <v>1</v>
      </c>
      <c r="AN35" t="str">
        <f t="shared" si="10"/>
        <v>04/shadowstrike.dbr</v>
      </c>
    </row>
    <row r="36" spans="1:40" x14ac:dyDescent="0.25">
      <c r="A36" s="5" t="s">
        <v>39</v>
      </c>
      <c r="B36" s="5" t="s">
        <v>30</v>
      </c>
      <c r="C36" s="5" t="str">
        <f t="shared" si="0"/>
        <v>description,dailCompDescNightblade34,</v>
      </c>
      <c r="D36" s="5" t="str">
        <f t="shared" si="2"/>
        <v>itemText,dailCompTextNightblade34,</v>
      </c>
      <c r="E36" s="5" t="str">
        <f t="shared" si="15"/>
        <v>augmentSkillLevel1,1,</v>
      </c>
      <c r="F36" s="5" t="str">
        <f t="shared" si="16"/>
        <v>augmentSkillName1,records/skills/playerclass04/shadowstrike_mod1.dbr,</v>
      </c>
      <c r="G36" s="7">
        <f t="shared" si="11"/>
        <v>34</v>
      </c>
      <c r="H36" s="8" t="str">
        <f t="shared" si="12"/>
        <v>Nightblade</v>
      </c>
      <c r="I36" s="3" t="s">
        <v>319</v>
      </c>
      <c r="J36" s="8" t="str">
        <f t="shared" si="21"/>
        <v>class0004</v>
      </c>
      <c r="K36" s="8" t="str">
        <f t="shared" si="21"/>
        <v>dailoneskill0004</v>
      </c>
      <c r="L36" s="5" t="str">
        <f t="shared" si="4"/>
        <v>lootName34,DAIL/items/materia/class0004/Nightblade34.dbr,</v>
      </c>
      <c r="M36" s="5" t="str">
        <f t="shared" si="5"/>
        <v>lootWeight34,1,</v>
      </c>
      <c r="N36" t="str">
        <f t="shared" si="6"/>
        <v>1</v>
      </c>
      <c r="O36" t="str">
        <f t="shared" si="17"/>
        <v>copy .\dail_base.dbr .\items\materia\class0004\Nightblade34.dbr /y</v>
      </c>
      <c r="P36" t="str">
        <f t="shared" si="7"/>
        <v>echo relicBitmap,items/craftingparts/components/component_a52_bristlyfur_b.tex, &gt;&gt; .\items\materia\class0004\Nightblade34.dbr</v>
      </c>
      <c r="Q36" t="str">
        <f t="shared" si="7"/>
        <v>echo itemCost,500000, &gt;&gt; .\items\materia\class0004\Nightblade34.dbr</v>
      </c>
      <c r="R36" t="str">
        <f t="shared" si="7"/>
        <v>echo description,dailCompDescNightblade34, &gt;&gt; .\items\materia\class0004\Nightblade34.dbr</v>
      </c>
      <c r="S36" t="str">
        <f t="shared" si="7"/>
        <v>echo itemText,dailCompTextNightblade34, &gt;&gt; .\items\materia\class0004\Nightblade34.dbr</v>
      </c>
      <c r="T36" t="str">
        <f t="shared" si="7"/>
        <v>echo augmentSkillLevel1,1, &gt;&gt; .\items\materia\class0004\Nightblade34.dbr</v>
      </c>
      <c r="U36" t="str">
        <f t="shared" si="7"/>
        <v>echo augmentSkillName1,records/skills/playerclass04/shadowstrike_mod1.dbr, &gt;&gt; .\items\materia\class0004\Nightblade34.dbr</v>
      </c>
      <c r="V36" s="5" t="s">
        <v>36</v>
      </c>
      <c r="W36" t="str">
        <f t="shared" si="8"/>
        <v>echo lootName34,DAIL/items/materia/class0004/Nightblade34.dbr, &gt;&gt; .\items\loottables\dailoneskill0004.dbr</v>
      </c>
      <c r="X36" t="str">
        <f t="shared" si="8"/>
        <v>echo lootWeight34,1, &gt;&gt; .\items\loottables\dailoneskill0004.dbr</v>
      </c>
      <c r="Y36" s="5" t="s">
        <v>36</v>
      </c>
      <c r="Z36" t="str">
        <f t="shared" si="9"/>
        <v xml:space="preserve"> dailCompDescNightblade34=^pNightblade's Gift of DAIL</v>
      </c>
      <c r="AA36" t="str">
        <f t="shared" si="18"/>
        <v>dailCompTextNightblade34=^oThis feels warm to the touch, almost familiar ^w(This component fits into all Jewellery slots including the Belt And Shoulder)adowstrike_mod1.dbr</v>
      </c>
      <c r="AB36" s="5" t="s">
        <v>36</v>
      </c>
      <c r="AH36">
        <f t="shared" si="20"/>
        <v>31</v>
      </c>
      <c r="AI36">
        <f t="shared" si="14"/>
        <v>36</v>
      </c>
      <c r="AJ36">
        <f t="shared" si="19"/>
        <v>1</v>
      </c>
      <c r="AN36" t="str">
        <f t="shared" si="10"/>
        <v>adowstrike_mod1.dbr</v>
      </c>
    </row>
    <row r="37" spans="1:40" x14ac:dyDescent="0.25">
      <c r="A37" s="5" t="s">
        <v>39</v>
      </c>
      <c r="B37" s="5" t="s">
        <v>30</v>
      </c>
      <c r="C37" s="5" t="str">
        <f t="shared" si="0"/>
        <v>description,dailCompDescNightblade35,</v>
      </c>
      <c r="D37" s="5" t="str">
        <f t="shared" si="2"/>
        <v>itemText,dailCompTextNightblade35,</v>
      </c>
      <c r="E37" s="5" t="str">
        <f t="shared" si="15"/>
        <v>augmentSkillLevel1,1,</v>
      </c>
      <c r="F37" s="5" t="str">
        <f t="shared" si="16"/>
        <v>augmentSkillName1,records/skills/playerclass04/shadowstrike_mod2.dbr,</v>
      </c>
      <c r="G37" s="7">
        <f t="shared" si="11"/>
        <v>35</v>
      </c>
      <c r="H37" s="8" t="str">
        <f t="shared" si="12"/>
        <v>Nightblade</v>
      </c>
      <c r="I37" s="3" t="s">
        <v>320</v>
      </c>
      <c r="J37" s="8" t="str">
        <f t="shared" ref="J37:K52" si="22">J36</f>
        <v>class0004</v>
      </c>
      <c r="K37" s="8" t="str">
        <f t="shared" si="22"/>
        <v>dailoneskill0004</v>
      </c>
      <c r="L37" s="5" t="str">
        <f t="shared" si="4"/>
        <v>lootName35,DAIL/items/materia/class0004/Nightblade35.dbr,</v>
      </c>
      <c r="M37" s="5" t="str">
        <f t="shared" si="5"/>
        <v>lootWeight35,1,</v>
      </c>
      <c r="N37" t="str">
        <f t="shared" si="6"/>
        <v>1</v>
      </c>
      <c r="O37" t="str">
        <f t="shared" si="17"/>
        <v>copy .\dail_base.dbr .\items\materia\class0004\Nightblade35.dbr /y</v>
      </c>
      <c r="P37" t="str">
        <f t="shared" si="7"/>
        <v>echo relicBitmap,items/craftingparts/components/component_a52_bristlyfur_b.tex, &gt;&gt; .\items\materia\class0004\Nightblade35.dbr</v>
      </c>
      <c r="Q37" t="str">
        <f t="shared" si="7"/>
        <v>echo itemCost,500000, &gt;&gt; .\items\materia\class0004\Nightblade35.dbr</v>
      </c>
      <c r="R37" t="str">
        <f t="shared" si="7"/>
        <v>echo description,dailCompDescNightblade35, &gt;&gt; .\items\materia\class0004\Nightblade35.dbr</v>
      </c>
      <c r="S37" t="str">
        <f t="shared" si="7"/>
        <v>echo itemText,dailCompTextNightblade35, &gt;&gt; .\items\materia\class0004\Nightblade35.dbr</v>
      </c>
      <c r="T37" t="str">
        <f t="shared" si="7"/>
        <v>echo augmentSkillLevel1,1, &gt;&gt; .\items\materia\class0004\Nightblade35.dbr</v>
      </c>
      <c r="U37" t="str">
        <f t="shared" si="7"/>
        <v>echo augmentSkillName1,records/skills/playerclass04/shadowstrike_mod2.dbr, &gt;&gt; .\items\materia\class0004\Nightblade35.dbr</v>
      </c>
      <c r="V37" s="5" t="s">
        <v>36</v>
      </c>
      <c r="W37" t="str">
        <f t="shared" si="8"/>
        <v>echo lootName35,DAIL/items/materia/class0004/Nightblade35.dbr, &gt;&gt; .\items\loottables\dailoneskill0004.dbr</v>
      </c>
      <c r="X37" t="str">
        <f t="shared" si="8"/>
        <v>echo lootWeight35,1, &gt;&gt; .\items\loottables\dailoneskill0004.dbr</v>
      </c>
      <c r="Y37" s="5" t="s">
        <v>36</v>
      </c>
      <c r="Z37" t="str">
        <f t="shared" si="9"/>
        <v xml:space="preserve"> dailCompDescNightblade35=^pNightblade's Gift of DAIL</v>
      </c>
      <c r="AA37" t="str">
        <f t="shared" si="18"/>
        <v>dailCompTextNightblade35=^oThis feels warm to the touch, almost familiar ^w(This component fits into all Jewellery slots including the Belt And Shoulder)adowstrike_mod2.dbr</v>
      </c>
      <c r="AB37" s="5" t="s">
        <v>36</v>
      </c>
      <c r="AH37">
        <f t="shared" si="20"/>
        <v>32</v>
      </c>
      <c r="AI37">
        <f t="shared" si="14"/>
        <v>36</v>
      </c>
      <c r="AJ37">
        <f t="shared" si="19"/>
        <v>1</v>
      </c>
      <c r="AN37" t="str">
        <f t="shared" si="10"/>
        <v>adowstrike_mod2.dbr</v>
      </c>
    </row>
    <row r="38" spans="1:40" x14ac:dyDescent="0.25">
      <c r="A38" s="5" t="s">
        <v>39</v>
      </c>
      <c r="B38" s="5" t="s">
        <v>30</v>
      </c>
      <c r="C38" s="5" t="str">
        <f t="shared" si="0"/>
        <v>description,dailCompDescNightblade36,</v>
      </c>
      <c r="D38" s="5" t="str">
        <f t="shared" si="2"/>
        <v>itemText,dailCompTextNightblade36,</v>
      </c>
      <c r="E38" s="5" t="str">
        <f t="shared" si="15"/>
        <v>augmentSkillLevel1,3,</v>
      </c>
      <c r="F38" s="5" t="str">
        <f t="shared" si="16"/>
        <v>augmentSkillName1,records/skills/playerclass04/bladebarrier1.dbr,</v>
      </c>
      <c r="G38" s="7">
        <f t="shared" si="11"/>
        <v>36</v>
      </c>
      <c r="H38" s="8" t="str">
        <f t="shared" si="12"/>
        <v>Nightblade</v>
      </c>
      <c r="I38" s="3" t="s">
        <v>112</v>
      </c>
      <c r="J38" s="8" t="str">
        <f t="shared" si="22"/>
        <v>class0004</v>
      </c>
      <c r="K38" s="8" t="str">
        <f t="shared" si="22"/>
        <v>dailoneskill0004</v>
      </c>
      <c r="L38" s="5" t="str">
        <f t="shared" si="4"/>
        <v>lootName36,DAIL/items/materia/class0004/Nightblade36.dbr,</v>
      </c>
      <c r="M38" s="5" t="str">
        <f t="shared" si="5"/>
        <v>lootWeight36,1,</v>
      </c>
      <c r="N38" t="str">
        <f t="shared" si="6"/>
        <v>3</v>
      </c>
      <c r="O38" t="str">
        <f t="shared" si="17"/>
        <v>copy .\dail_base3.dbr .\items\materia\class0004\Nightblade36.dbr /y</v>
      </c>
      <c r="P38" t="str">
        <f t="shared" si="7"/>
        <v>echo relicBitmap,items/craftingparts/components/component_a52_bristlyfur_b.tex, &gt;&gt; .\items\materia\class0004\Nightblade36.dbr</v>
      </c>
      <c r="Q38" t="str">
        <f t="shared" si="7"/>
        <v>echo itemCost,500000, &gt;&gt; .\items\materia\class0004\Nightblade36.dbr</v>
      </c>
      <c r="R38" t="str">
        <f t="shared" si="7"/>
        <v>echo description,dailCompDescNightblade36, &gt;&gt; .\items\materia\class0004\Nightblade36.dbr</v>
      </c>
      <c r="S38" t="str">
        <f t="shared" si="7"/>
        <v>echo itemText,dailCompTextNightblade36, &gt;&gt; .\items\materia\class0004\Nightblade36.dbr</v>
      </c>
      <c r="T38" t="str">
        <f t="shared" si="7"/>
        <v>echo augmentSkillLevel1,3, &gt;&gt; .\items\materia\class0004\Nightblade36.dbr</v>
      </c>
      <c r="U38" t="str">
        <f t="shared" si="7"/>
        <v>echo augmentSkillName1,records/skills/playerclass04/bladebarrier1.dbr, &gt;&gt; .\items\materia\class0004\Nightblade36.dbr</v>
      </c>
      <c r="V38" s="5" t="s">
        <v>36</v>
      </c>
      <c r="W38" t="str">
        <f t="shared" si="8"/>
        <v>echo lootName36,DAIL/items/materia/class0004/Nightblade36.dbr, &gt;&gt; .\items\loottables\dailoneskill0004.dbr</v>
      </c>
      <c r="X38" t="str">
        <f t="shared" si="8"/>
        <v>echo lootWeight36,1, &gt;&gt; .\items\loottables\dailoneskill0004.dbr</v>
      </c>
      <c r="Y38" s="5" t="s">
        <v>36</v>
      </c>
      <c r="Z38" t="str">
        <f t="shared" si="9"/>
        <v xml:space="preserve"> dailCompDescNightblade36=^pNightblade's Gift of DAIL</v>
      </c>
      <c r="AA38" t="str">
        <f t="shared" si="18"/>
        <v>dailCompTextNightblade36=^oThis feels warm to the touch, almost familiar ^w(This component only fits into the Medal Slot)4/bladebarrier1.dbr</v>
      </c>
      <c r="AB38" s="5" t="s">
        <v>36</v>
      </c>
      <c r="AH38">
        <f t="shared" si="20"/>
        <v>33</v>
      </c>
      <c r="AI38">
        <f t="shared" ref="AI38:AI69" si="23">LEN(I38)</f>
        <v>32</v>
      </c>
      <c r="AJ38">
        <f t="shared" si="19"/>
        <v>3</v>
      </c>
      <c r="AN38" t="str">
        <f t="shared" si="10"/>
        <v>4/bladebarrier1.dbr</v>
      </c>
    </row>
    <row r="39" spans="1:40" x14ac:dyDescent="0.25">
      <c r="A39" s="5" t="s">
        <v>39</v>
      </c>
      <c r="B39" s="5" t="s">
        <v>30</v>
      </c>
      <c r="C39" s="5" t="str">
        <f t="shared" si="0"/>
        <v>description,dailCompDescNightblade37,</v>
      </c>
      <c r="D39" s="5" t="str">
        <f t="shared" si="2"/>
        <v>itemText,dailCompTextNightblade37,</v>
      </c>
      <c r="E39" s="5" t="str">
        <f t="shared" si="15"/>
        <v>augmentSkillLevel1,3,</v>
      </c>
      <c r="F39" s="5" t="str">
        <f t="shared" si="16"/>
        <v>augmentSkillName1,records/skills/playerclass04/passive1.dbr,</v>
      </c>
      <c r="G39" s="7">
        <f t="shared" si="11"/>
        <v>37</v>
      </c>
      <c r="H39" s="8" t="str">
        <f t="shared" si="12"/>
        <v>Nightblade</v>
      </c>
      <c r="I39" s="3" t="s">
        <v>306</v>
      </c>
      <c r="J39" s="8" t="str">
        <f t="shared" si="22"/>
        <v>class0004</v>
      </c>
      <c r="K39" s="8" t="str">
        <f t="shared" si="22"/>
        <v>dailoneskill0004</v>
      </c>
      <c r="L39" s="5" t="str">
        <f t="shared" si="4"/>
        <v>lootName37,DAIL/items/materia/class0004/Nightblade37.dbr,</v>
      </c>
      <c r="M39" s="5" t="str">
        <f t="shared" si="5"/>
        <v>lootWeight37,1,</v>
      </c>
      <c r="N39" t="str">
        <f t="shared" si="6"/>
        <v>3</v>
      </c>
      <c r="O39" t="str">
        <f t="shared" si="17"/>
        <v>copy .\dail_base3.dbr .\items\materia\class0004\Nightblade37.dbr /y</v>
      </c>
      <c r="P39" t="str">
        <f t="shared" si="7"/>
        <v>echo relicBitmap,items/craftingparts/components/component_a52_bristlyfur_b.tex, &gt;&gt; .\items\materia\class0004\Nightblade37.dbr</v>
      </c>
      <c r="Q39" t="str">
        <f t="shared" si="7"/>
        <v>echo itemCost,500000, &gt;&gt; .\items\materia\class0004\Nightblade37.dbr</v>
      </c>
      <c r="R39" t="str">
        <f t="shared" si="7"/>
        <v>echo description,dailCompDescNightblade37, &gt;&gt; .\items\materia\class0004\Nightblade37.dbr</v>
      </c>
      <c r="S39" t="str">
        <f t="shared" si="7"/>
        <v>echo itemText,dailCompTextNightblade37, &gt;&gt; .\items\materia\class0004\Nightblade37.dbr</v>
      </c>
      <c r="T39" t="str">
        <f t="shared" si="7"/>
        <v>echo augmentSkillLevel1,3, &gt;&gt; .\items\materia\class0004\Nightblade37.dbr</v>
      </c>
      <c r="U39" t="str">
        <f t="shared" si="7"/>
        <v>echo augmentSkillName1,records/skills/playerclass04/passive1.dbr, &gt;&gt; .\items\materia\class0004\Nightblade37.dbr</v>
      </c>
      <c r="V39" s="5" t="s">
        <v>36</v>
      </c>
      <c r="W39" t="str">
        <f t="shared" si="8"/>
        <v>echo lootName37,DAIL/items/materia/class0004/Nightblade37.dbr, &gt;&gt; .\items\loottables\dailoneskill0004.dbr</v>
      </c>
      <c r="X39" t="str">
        <f t="shared" si="8"/>
        <v>echo lootWeight37,1, &gt;&gt; .\items\loottables\dailoneskill0004.dbr</v>
      </c>
      <c r="Y39" s="5" t="s">
        <v>36</v>
      </c>
      <c r="Z39" t="str">
        <f t="shared" si="9"/>
        <v xml:space="preserve"> dailCompDescNightblade37=^pNightblade's Gift of DAIL</v>
      </c>
      <c r="AA39" t="str">
        <f t="shared" si="18"/>
        <v>dailCompTextNightblade37=^oThis feels warm to the touch, almost familiar ^w(This component only fits into the Medal Slot)lass04/passive1.dbr</v>
      </c>
      <c r="AB39" s="5" t="s">
        <v>36</v>
      </c>
      <c r="AH39">
        <f t="shared" si="20"/>
        <v>34</v>
      </c>
      <c r="AI39">
        <f t="shared" si="23"/>
        <v>27</v>
      </c>
      <c r="AJ39">
        <f t="shared" si="19"/>
        <v>3</v>
      </c>
      <c r="AN39" t="str">
        <f t="shared" si="10"/>
        <v>lass04/passive1.dbr</v>
      </c>
    </row>
    <row r="40" spans="1:40" x14ac:dyDescent="0.25">
      <c r="A40" s="5" t="s">
        <v>39</v>
      </c>
      <c r="B40" s="5" t="s">
        <v>30</v>
      </c>
      <c r="C40" s="5" t="str">
        <f t="shared" si="0"/>
        <v>description,dailCompDescNightblade38,</v>
      </c>
      <c r="D40" s="5" t="str">
        <f t="shared" si="2"/>
        <v>itemText,dailCompTextNightblade38,</v>
      </c>
      <c r="E40" s="5" t="str">
        <f t="shared" si="15"/>
        <v>augmentSkillLevel1,3,</v>
      </c>
      <c r="F40" s="5" t="str">
        <f t="shared" si="16"/>
        <v>augmentSkillName1,records/skills/playerclass04/passive2.dbr,</v>
      </c>
      <c r="G40" s="7">
        <f t="shared" si="11"/>
        <v>38</v>
      </c>
      <c r="H40" s="8" t="str">
        <f t="shared" si="12"/>
        <v>Nightblade</v>
      </c>
      <c r="I40" s="3" t="s">
        <v>307</v>
      </c>
      <c r="J40" s="8" t="str">
        <f t="shared" si="22"/>
        <v>class0004</v>
      </c>
      <c r="K40" s="8" t="str">
        <f t="shared" si="22"/>
        <v>dailoneskill0004</v>
      </c>
      <c r="L40" s="5" t="str">
        <f t="shared" si="4"/>
        <v>lootName38,DAIL/items/materia/class0004/Nightblade38.dbr,</v>
      </c>
      <c r="M40" s="5" t="str">
        <f t="shared" si="5"/>
        <v>lootWeight38,1,</v>
      </c>
      <c r="N40" t="str">
        <f t="shared" si="6"/>
        <v>3</v>
      </c>
      <c r="O40" t="str">
        <f t="shared" si="17"/>
        <v>copy .\dail_base3.dbr .\items\materia\class0004\Nightblade38.dbr /y</v>
      </c>
      <c r="P40" t="str">
        <f t="shared" si="7"/>
        <v>echo relicBitmap,items/craftingparts/components/component_a52_bristlyfur_b.tex, &gt;&gt; .\items\materia\class0004\Nightblade38.dbr</v>
      </c>
      <c r="Q40" t="str">
        <f t="shared" si="7"/>
        <v>echo itemCost,500000, &gt;&gt; .\items\materia\class0004\Nightblade38.dbr</v>
      </c>
      <c r="R40" t="str">
        <f t="shared" si="7"/>
        <v>echo description,dailCompDescNightblade38, &gt;&gt; .\items\materia\class0004\Nightblade38.dbr</v>
      </c>
      <c r="S40" t="str">
        <f t="shared" si="7"/>
        <v>echo itemText,dailCompTextNightblade38, &gt;&gt; .\items\materia\class0004\Nightblade38.dbr</v>
      </c>
      <c r="T40" t="str">
        <f t="shared" si="7"/>
        <v>echo augmentSkillLevel1,3, &gt;&gt; .\items\materia\class0004\Nightblade38.dbr</v>
      </c>
      <c r="U40" t="str">
        <f t="shared" si="7"/>
        <v>echo augmentSkillName1,records/skills/playerclass04/passive2.dbr, &gt;&gt; .\items\materia\class0004\Nightblade38.dbr</v>
      </c>
      <c r="V40" s="5" t="s">
        <v>36</v>
      </c>
      <c r="W40" t="str">
        <f t="shared" si="8"/>
        <v>echo lootName38,DAIL/items/materia/class0004/Nightblade38.dbr, &gt;&gt; .\items\loottables\dailoneskill0004.dbr</v>
      </c>
      <c r="X40" t="str">
        <f t="shared" si="8"/>
        <v>echo lootWeight38,1, &gt;&gt; .\items\loottables\dailoneskill0004.dbr</v>
      </c>
      <c r="Y40" s="5" t="s">
        <v>36</v>
      </c>
      <c r="Z40" t="str">
        <f t="shared" si="9"/>
        <v xml:space="preserve"> dailCompDescNightblade38=^pNightblade's Gift of DAIL</v>
      </c>
      <c r="AA40" t="str">
        <f t="shared" si="18"/>
        <v>dailCompTextNightblade38=^oThis feels warm to the touch, almost familiar ^w(This component only fits into the Medal Slot)lass04/passive2.dbr</v>
      </c>
      <c r="AB40" s="5" t="s">
        <v>36</v>
      </c>
      <c r="AH40">
        <f t="shared" si="20"/>
        <v>35</v>
      </c>
      <c r="AI40">
        <f t="shared" si="23"/>
        <v>27</v>
      </c>
      <c r="AJ40">
        <f t="shared" si="19"/>
        <v>3</v>
      </c>
      <c r="AN40" t="str">
        <f t="shared" si="10"/>
        <v>lass04/passive2.dbr</v>
      </c>
    </row>
    <row r="41" spans="1:40" x14ac:dyDescent="0.25">
      <c r="A41" s="5" t="s">
        <v>39</v>
      </c>
      <c r="B41" s="5" t="s">
        <v>30</v>
      </c>
      <c r="C41" s="5" t="str">
        <f t="shared" si="0"/>
        <v>description,dailCompDescNightblade39,</v>
      </c>
      <c r="D41" s="5" t="str">
        <f t="shared" si="2"/>
        <v>itemText,dailCompTextNightblade39,</v>
      </c>
      <c r="E41" s="5" t="str">
        <f t="shared" si="15"/>
        <v>augmentSkillLevel1,3,</v>
      </c>
      <c r="F41" s="5" t="str">
        <f t="shared" si="16"/>
        <v>augmentSkillName1,records/skills/playerclass04/passive3.dbr,</v>
      </c>
      <c r="G41" s="7">
        <f t="shared" si="11"/>
        <v>39</v>
      </c>
      <c r="H41" s="8" t="str">
        <f t="shared" si="12"/>
        <v>Nightblade</v>
      </c>
      <c r="I41" s="3" t="s">
        <v>308</v>
      </c>
      <c r="J41" s="8" t="str">
        <f t="shared" si="22"/>
        <v>class0004</v>
      </c>
      <c r="K41" s="8" t="str">
        <f t="shared" si="22"/>
        <v>dailoneskill0004</v>
      </c>
      <c r="L41" s="5" t="str">
        <f t="shared" si="4"/>
        <v>lootName39,DAIL/items/materia/class0004/Nightblade39.dbr,</v>
      </c>
      <c r="M41" s="5" t="str">
        <f t="shared" si="5"/>
        <v>lootWeight39,1,</v>
      </c>
      <c r="N41" t="str">
        <f t="shared" si="6"/>
        <v>3</v>
      </c>
      <c r="O41" t="str">
        <f t="shared" si="17"/>
        <v>copy .\dail_base3.dbr .\items\materia\class0004\Nightblade39.dbr /y</v>
      </c>
      <c r="P41" t="str">
        <f t="shared" si="7"/>
        <v>echo relicBitmap,items/craftingparts/components/component_a52_bristlyfur_b.tex, &gt;&gt; .\items\materia\class0004\Nightblade39.dbr</v>
      </c>
      <c r="Q41" t="str">
        <f t="shared" si="7"/>
        <v>echo itemCost,500000, &gt;&gt; .\items\materia\class0004\Nightblade39.dbr</v>
      </c>
      <c r="R41" t="str">
        <f t="shared" si="7"/>
        <v>echo description,dailCompDescNightblade39, &gt;&gt; .\items\materia\class0004\Nightblade39.dbr</v>
      </c>
      <c r="S41" t="str">
        <f t="shared" si="7"/>
        <v>echo itemText,dailCompTextNightblade39, &gt;&gt; .\items\materia\class0004\Nightblade39.dbr</v>
      </c>
      <c r="T41" t="str">
        <f t="shared" si="7"/>
        <v>echo augmentSkillLevel1,3, &gt;&gt; .\items\materia\class0004\Nightblade39.dbr</v>
      </c>
      <c r="U41" t="str">
        <f t="shared" si="7"/>
        <v>echo augmentSkillName1,records/skills/playerclass04/passive3.dbr, &gt;&gt; .\items\materia\class0004\Nightblade39.dbr</v>
      </c>
      <c r="V41" s="5" t="s">
        <v>36</v>
      </c>
      <c r="W41" t="str">
        <f t="shared" si="8"/>
        <v>echo lootName39,DAIL/items/materia/class0004/Nightblade39.dbr, &gt;&gt; .\items\loottables\dailoneskill0004.dbr</v>
      </c>
      <c r="X41" t="str">
        <f t="shared" si="8"/>
        <v>echo lootWeight39,1, &gt;&gt; .\items\loottables\dailoneskill0004.dbr</v>
      </c>
      <c r="Y41" s="5" t="s">
        <v>36</v>
      </c>
      <c r="Z41" t="str">
        <f t="shared" si="9"/>
        <v xml:space="preserve"> dailCompDescNightblade39=^pNightblade's Gift of DAIL</v>
      </c>
      <c r="AA41" t="str">
        <f t="shared" si="18"/>
        <v>dailCompTextNightblade39=^oThis feels warm to the touch, almost familiar ^w(This component only fits into the Medal Slot)lass04/passive3.dbr</v>
      </c>
      <c r="AB41" s="5" t="s">
        <v>36</v>
      </c>
      <c r="AH41">
        <f t="shared" si="20"/>
        <v>36</v>
      </c>
      <c r="AI41">
        <f t="shared" si="23"/>
        <v>27</v>
      </c>
      <c r="AJ41">
        <f t="shared" si="19"/>
        <v>3</v>
      </c>
      <c r="AN41" t="str">
        <f t="shared" si="10"/>
        <v>lass04/passive3.dbr</v>
      </c>
    </row>
    <row r="42" spans="1:40" x14ac:dyDescent="0.25">
      <c r="A42" s="5" t="s">
        <v>39</v>
      </c>
      <c r="B42" s="5" t="s">
        <v>30</v>
      </c>
      <c r="C42" s="5" t="str">
        <f t="shared" si="0"/>
        <v>description,dailCompDescNightblade40,</v>
      </c>
      <c r="D42" s="5" t="str">
        <f t="shared" si="2"/>
        <v>itemText,dailCompTextNightblade40,</v>
      </c>
      <c r="E42" s="5" t="str">
        <f t="shared" si="15"/>
        <v>augmentSkillLevel1,3,</v>
      </c>
      <c r="F42" s="5" t="str">
        <f t="shared" si="16"/>
        <v>augmentSkillName1,records/skills/playerclass04/eviscerate1.dbr,</v>
      </c>
      <c r="G42" s="7">
        <f t="shared" si="11"/>
        <v>40</v>
      </c>
      <c r="H42" s="8" t="str">
        <f t="shared" si="12"/>
        <v>Nightblade</v>
      </c>
      <c r="I42" s="3" t="s">
        <v>114</v>
      </c>
      <c r="J42" s="8" t="str">
        <f t="shared" si="22"/>
        <v>class0004</v>
      </c>
      <c r="K42" s="8" t="str">
        <f t="shared" si="22"/>
        <v>dailoneskill0004</v>
      </c>
      <c r="L42" s="5" t="str">
        <f t="shared" si="4"/>
        <v>lootName40,DAIL/items/materia/class0004/Nightblade40.dbr,</v>
      </c>
      <c r="M42" s="5" t="str">
        <f t="shared" si="5"/>
        <v>lootWeight40,1,</v>
      </c>
      <c r="N42" t="str">
        <f t="shared" si="6"/>
        <v>3</v>
      </c>
      <c r="O42" t="str">
        <f t="shared" si="17"/>
        <v>copy .\dail_base3.dbr .\items\materia\class0004\Nightblade40.dbr /y</v>
      </c>
      <c r="P42" t="str">
        <f t="shared" si="7"/>
        <v>echo relicBitmap,items/craftingparts/components/component_a52_bristlyfur_b.tex, &gt;&gt; .\items\materia\class0004\Nightblade40.dbr</v>
      </c>
      <c r="Q42" t="str">
        <f t="shared" si="7"/>
        <v>echo itemCost,500000, &gt;&gt; .\items\materia\class0004\Nightblade40.dbr</v>
      </c>
      <c r="R42" t="str">
        <f t="shared" si="7"/>
        <v>echo description,dailCompDescNightblade40, &gt;&gt; .\items\materia\class0004\Nightblade40.dbr</v>
      </c>
      <c r="S42" t="str">
        <f t="shared" si="7"/>
        <v>echo itemText,dailCompTextNightblade40, &gt;&gt; .\items\materia\class0004\Nightblade40.dbr</v>
      </c>
      <c r="T42" t="str">
        <f t="shared" si="7"/>
        <v>echo augmentSkillLevel1,3, &gt;&gt; .\items\materia\class0004\Nightblade40.dbr</v>
      </c>
      <c r="U42" t="str">
        <f t="shared" si="7"/>
        <v>echo augmentSkillName1,records/skills/playerclass04/eviscerate1.dbr, &gt;&gt; .\items\materia\class0004\Nightblade40.dbr</v>
      </c>
      <c r="V42" s="5" t="s">
        <v>36</v>
      </c>
      <c r="W42" t="str">
        <f t="shared" si="8"/>
        <v>echo lootName40,DAIL/items/materia/class0004/Nightblade40.dbr, &gt;&gt; .\items\loottables\dailoneskill0004.dbr</v>
      </c>
      <c r="X42" t="str">
        <f t="shared" si="8"/>
        <v>echo lootWeight40,1, &gt;&gt; .\items\loottables\dailoneskill0004.dbr</v>
      </c>
      <c r="Y42" s="5" t="s">
        <v>36</v>
      </c>
      <c r="Z42" t="str">
        <f t="shared" si="9"/>
        <v xml:space="preserve"> dailCompDescNightblade40=^pNightblade's Gift of DAIL</v>
      </c>
      <c r="AA42" t="str">
        <f t="shared" si="18"/>
        <v>dailCompTextNightblade40=^oThis feels warm to the touch, almost familiar ^w(This component only fits into the Medal Slot)s04/eviscerate1.dbr</v>
      </c>
      <c r="AB42" s="5" t="s">
        <v>36</v>
      </c>
      <c r="AH42">
        <f t="shared" si="20"/>
        <v>37</v>
      </c>
      <c r="AI42">
        <f t="shared" si="23"/>
        <v>30</v>
      </c>
      <c r="AJ42">
        <f t="shared" si="19"/>
        <v>3</v>
      </c>
      <c r="AN42" t="str">
        <f t="shared" si="10"/>
        <v>s04/eviscerate1.dbr</v>
      </c>
    </row>
    <row r="43" spans="1:40" x14ac:dyDescent="0.25">
      <c r="A43" s="5" t="s">
        <v>39</v>
      </c>
      <c r="B43" s="5" t="s">
        <v>30</v>
      </c>
      <c r="C43" s="5" t="str">
        <f t="shared" si="0"/>
        <v>description,dailCompDescNightblade41,</v>
      </c>
      <c r="D43" s="5" t="str">
        <f t="shared" si="2"/>
        <v>itemText,dailCompTextNightblade41,</v>
      </c>
      <c r="E43" s="5" t="str">
        <f t="shared" si="15"/>
        <v>augmentSkillLevel1,3,</v>
      </c>
      <c r="F43" s="5" t="str">
        <f t="shared" si="16"/>
        <v>augmentSkillName1,records/skills/playerclass04/eviscerate2.dbr,</v>
      </c>
      <c r="G43" s="7">
        <f t="shared" si="11"/>
        <v>41</v>
      </c>
      <c r="H43" s="8" t="str">
        <f t="shared" si="12"/>
        <v>Nightblade</v>
      </c>
      <c r="I43" s="3" t="s">
        <v>309</v>
      </c>
      <c r="J43" s="8" t="str">
        <f t="shared" si="22"/>
        <v>class0004</v>
      </c>
      <c r="K43" s="8" t="str">
        <f t="shared" si="22"/>
        <v>dailoneskill0004</v>
      </c>
      <c r="L43" s="5" t="str">
        <f t="shared" si="4"/>
        <v>lootName41,DAIL/items/materia/class0004/Nightblade41.dbr,</v>
      </c>
      <c r="M43" s="5" t="str">
        <f t="shared" si="5"/>
        <v>lootWeight41,1,</v>
      </c>
      <c r="N43" t="str">
        <f t="shared" si="6"/>
        <v>3</v>
      </c>
      <c r="O43" t="str">
        <f t="shared" si="17"/>
        <v>copy .\dail_base3.dbr .\items\materia\class0004\Nightblade41.dbr /y</v>
      </c>
      <c r="P43" t="str">
        <f t="shared" si="7"/>
        <v>echo relicBitmap,items/craftingparts/components/component_a52_bristlyfur_b.tex, &gt;&gt; .\items\materia\class0004\Nightblade41.dbr</v>
      </c>
      <c r="Q43" t="str">
        <f t="shared" si="7"/>
        <v>echo itemCost,500000, &gt;&gt; .\items\materia\class0004\Nightblade41.dbr</v>
      </c>
      <c r="R43" t="str">
        <f t="shared" si="7"/>
        <v>echo description,dailCompDescNightblade41, &gt;&gt; .\items\materia\class0004\Nightblade41.dbr</v>
      </c>
      <c r="S43" t="str">
        <f t="shared" si="7"/>
        <v>echo itemText,dailCompTextNightblade41, &gt;&gt; .\items\materia\class0004\Nightblade41.dbr</v>
      </c>
      <c r="T43" t="str">
        <f t="shared" si="7"/>
        <v>echo augmentSkillLevel1,3, &gt;&gt; .\items\materia\class0004\Nightblade41.dbr</v>
      </c>
      <c r="U43" t="str">
        <f t="shared" si="7"/>
        <v>echo augmentSkillName1,records/skills/playerclass04/eviscerate2.dbr, &gt;&gt; .\items\materia\class0004\Nightblade41.dbr</v>
      </c>
      <c r="V43" s="5" t="s">
        <v>36</v>
      </c>
      <c r="W43" t="str">
        <f t="shared" si="8"/>
        <v>echo lootName41,DAIL/items/materia/class0004/Nightblade41.dbr, &gt;&gt; .\items\loottables\dailoneskill0004.dbr</v>
      </c>
      <c r="X43" t="str">
        <f t="shared" si="8"/>
        <v>echo lootWeight41,1, &gt;&gt; .\items\loottables\dailoneskill0004.dbr</v>
      </c>
      <c r="Y43" s="5" t="s">
        <v>36</v>
      </c>
      <c r="Z43" t="str">
        <f t="shared" si="9"/>
        <v xml:space="preserve"> dailCompDescNightblade41=^pNightblade's Gift of DAIL</v>
      </c>
      <c r="AA43" t="str">
        <f t="shared" si="18"/>
        <v>dailCompTextNightblade41=^oThis feels warm to the touch, almost familiar ^w(This component only fits into the Medal Slot)s04/eviscerate2.dbr</v>
      </c>
      <c r="AB43" s="5" t="s">
        <v>36</v>
      </c>
      <c r="AH43">
        <f t="shared" si="20"/>
        <v>38</v>
      </c>
      <c r="AI43">
        <f t="shared" si="23"/>
        <v>30</v>
      </c>
      <c r="AJ43">
        <f t="shared" si="19"/>
        <v>3</v>
      </c>
      <c r="AN43" t="str">
        <f t="shared" si="10"/>
        <v>s04/eviscerate2.dbr</v>
      </c>
    </row>
    <row r="44" spans="1:40" x14ac:dyDescent="0.25">
      <c r="A44" s="5" t="s">
        <v>39</v>
      </c>
      <c r="B44" s="5" t="s">
        <v>30</v>
      </c>
      <c r="C44" s="5" t="str">
        <f t="shared" si="0"/>
        <v>description,dailCompDescNightblade42,</v>
      </c>
      <c r="D44" s="5" t="str">
        <f t="shared" si="2"/>
        <v>itemText,dailCompTextNightblade42,</v>
      </c>
      <c r="E44" s="5" t="str">
        <f t="shared" si="15"/>
        <v>augmentSkillLevel1,3,</v>
      </c>
      <c r="F44" s="5" t="str">
        <f t="shared" si="16"/>
        <v>augmentSkillName1,records/skills/playerclass04/bladetrap1.dbr,</v>
      </c>
      <c r="G44" s="7">
        <f t="shared" si="11"/>
        <v>42</v>
      </c>
      <c r="H44" s="8" t="str">
        <f t="shared" si="12"/>
        <v>Nightblade</v>
      </c>
      <c r="I44" s="3" t="s">
        <v>113</v>
      </c>
      <c r="J44" s="8" t="str">
        <f t="shared" si="22"/>
        <v>class0004</v>
      </c>
      <c r="K44" s="8" t="str">
        <f t="shared" si="22"/>
        <v>dailoneskill0004</v>
      </c>
      <c r="L44" s="5" t="str">
        <f t="shared" si="4"/>
        <v>lootName42,DAIL/items/materia/class0004/Nightblade42.dbr,</v>
      </c>
      <c r="M44" s="5" t="str">
        <f t="shared" si="5"/>
        <v>lootWeight42,1,</v>
      </c>
      <c r="N44" t="str">
        <f t="shared" si="6"/>
        <v>3</v>
      </c>
      <c r="O44" t="str">
        <f t="shared" si="17"/>
        <v>copy .\dail_base3.dbr .\items\materia\class0004\Nightblade42.dbr /y</v>
      </c>
      <c r="P44" t="str">
        <f t="shared" si="7"/>
        <v>echo relicBitmap,items/craftingparts/components/component_a52_bristlyfur_b.tex, &gt;&gt; .\items\materia\class0004\Nightblade42.dbr</v>
      </c>
      <c r="Q44" t="str">
        <f t="shared" si="7"/>
        <v>echo itemCost,500000, &gt;&gt; .\items\materia\class0004\Nightblade42.dbr</v>
      </c>
      <c r="R44" t="str">
        <f t="shared" si="7"/>
        <v>echo description,dailCompDescNightblade42, &gt;&gt; .\items\materia\class0004\Nightblade42.dbr</v>
      </c>
      <c r="S44" t="str">
        <f t="shared" si="7"/>
        <v>echo itemText,dailCompTextNightblade42, &gt;&gt; .\items\materia\class0004\Nightblade42.dbr</v>
      </c>
      <c r="T44" t="str">
        <f t="shared" si="7"/>
        <v>echo augmentSkillLevel1,3, &gt;&gt; .\items\materia\class0004\Nightblade42.dbr</v>
      </c>
      <c r="U44" t="str">
        <f t="shared" si="7"/>
        <v>echo augmentSkillName1,records/skills/playerclass04/bladetrap1.dbr, &gt;&gt; .\items\materia\class0004\Nightblade42.dbr</v>
      </c>
      <c r="V44" s="5" t="s">
        <v>36</v>
      </c>
      <c r="W44" t="str">
        <f t="shared" si="8"/>
        <v>echo lootName42,DAIL/items/materia/class0004/Nightblade42.dbr, &gt;&gt; .\items\loottables\dailoneskill0004.dbr</v>
      </c>
      <c r="X44" t="str">
        <f t="shared" si="8"/>
        <v>echo lootWeight42,1, &gt;&gt; .\items\loottables\dailoneskill0004.dbr</v>
      </c>
      <c r="Y44" s="5" t="s">
        <v>36</v>
      </c>
      <c r="Z44" t="str">
        <f t="shared" si="9"/>
        <v xml:space="preserve"> dailCompDescNightblade42=^pNightblade's Gift of DAIL</v>
      </c>
      <c r="AA44" t="str">
        <f t="shared" si="18"/>
        <v>dailCompTextNightblade42=^oThis feels warm to the touch, almost familiar ^w(This component only fits into the Medal Slot)ss04/bladetrap1.dbr</v>
      </c>
      <c r="AB44" s="5" t="s">
        <v>36</v>
      </c>
      <c r="AH44">
        <f t="shared" si="20"/>
        <v>39</v>
      </c>
      <c r="AI44">
        <f t="shared" si="23"/>
        <v>29</v>
      </c>
      <c r="AJ44">
        <f t="shared" si="19"/>
        <v>3</v>
      </c>
      <c r="AN44" t="str">
        <f t="shared" si="10"/>
        <v>ss04/bladetrap1.dbr</v>
      </c>
    </row>
    <row r="45" spans="1:40" x14ac:dyDescent="0.25">
      <c r="A45" s="5" t="s">
        <v>39</v>
      </c>
      <c r="B45" s="5" t="s">
        <v>30</v>
      </c>
      <c r="C45" s="5" t="str">
        <f t="shared" si="0"/>
        <v>description,dailCompDescNightblade43,</v>
      </c>
      <c r="D45" s="5" t="str">
        <f t="shared" si="2"/>
        <v>itemText,dailCompTextNightblade43,</v>
      </c>
      <c r="E45" s="5" t="str">
        <f t="shared" si="15"/>
        <v>augmentSkillLevel1,3,</v>
      </c>
      <c r="F45" s="5" t="str">
        <f t="shared" si="16"/>
        <v>augmentSkillName1,records/skills/playerclass04/bladetrap2.dbr,</v>
      </c>
      <c r="G45" s="7">
        <f t="shared" si="11"/>
        <v>43</v>
      </c>
      <c r="H45" s="8" t="str">
        <f t="shared" si="12"/>
        <v>Nightblade</v>
      </c>
      <c r="I45" s="3" t="s">
        <v>310</v>
      </c>
      <c r="J45" s="8" t="str">
        <f t="shared" si="22"/>
        <v>class0004</v>
      </c>
      <c r="K45" s="8" t="str">
        <f t="shared" si="22"/>
        <v>dailoneskill0004</v>
      </c>
      <c r="L45" s="5" t="str">
        <f t="shared" si="4"/>
        <v>lootName43,DAIL/items/materia/class0004/Nightblade43.dbr,</v>
      </c>
      <c r="M45" s="5" t="str">
        <f t="shared" si="5"/>
        <v>lootWeight43,1,</v>
      </c>
      <c r="N45" t="str">
        <f t="shared" si="6"/>
        <v>3</v>
      </c>
      <c r="O45" t="str">
        <f t="shared" si="17"/>
        <v>copy .\dail_base3.dbr .\items\materia\class0004\Nightblade43.dbr /y</v>
      </c>
      <c r="P45" t="str">
        <f t="shared" si="7"/>
        <v>echo relicBitmap,items/craftingparts/components/component_a52_bristlyfur_b.tex, &gt;&gt; .\items\materia\class0004\Nightblade43.dbr</v>
      </c>
      <c r="Q45" t="str">
        <f t="shared" si="7"/>
        <v>echo itemCost,500000, &gt;&gt; .\items\materia\class0004\Nightblade43.dbr</v>
      </c>
      <c r="R45" t="str">
        <f t="shared" si="7"/>
        <v>echo description,dailCompDescNightblade43, &gt;&gt; .\items\materia\class0004\Nightblade43.dbr</v>
      </c>
      <c r="S45" t="str">
        <f t="shared" si="7"/>
        <v>echo itemText,dailCompTextNightblade43, &gt;&gt; .\items\materia\class0004\Nightblade43.dbr</v>
      </c>
      <c r="T45" t="str">
        <f t="shared" si="7"/>
        <v>echo augmentSkillLevel1,3, &gt;&gt; .\items\materia\class0004\Nightblade43.dbr</v>
      </c>
      <c r="U45" t="str">
        <f t="shared" si="7"/>
        <v>echo augmentSkillName1,records/skills/playerclass04/bladetrap2.dbr, &gt;&gt; .\items\materia\class0004\Nightblade43.dbr</v>
      </c>
      <c r="V45" s="5" t="s">
        <v>36</v>
      </c>
      <c r="W45" t="str">
        <f t="shared" si="8"/>
        <v>echo lootName43,DAIL/items/materia/class0004/Nightblade43.dbr, &gt;&gt; .\items\loottables\dailoneskill0004.dbr</v>
      </c>
      <c r="X45" t="str">
        <f t="shared" si="8"/>
        <v>echo lootWeight43,1, &gt;&gt; .\items\loottables\dailoneskill0004.dbr</v>
      </c>
      <c r="Y45" s="5" t="s">
        <v>36</v>
      </c>
      <c r="Z45" t="str">
        <f t="shared" si="9"/>
        <v xml:space="preserve"> dailCompDescNightblade43=^pNightblade's Gift of DAIL</v>
      </c>
      <c r="AA45" t="str">
        <f t="shared" si="18"/>
        <v>dailCompTextNightblade43=^oThis feels warm to the touch, almost familiar ^w(This component only fits into the Medal Slot)ss04/bladetrap2.dbr</v>
      </c>
      <c r="AB45" s="5" t="s">
        <v>36</v>
      </c>
      <c r="AH45">
        <f t="shared" si="20"/>
        <v>40</v>
      </c>
      <c r="AI45">
        <f t="shared" si="23"/>
        <v>29</v>
      </c>
      <c r="AJ45">
        <f t="shared" si="19"/>
        <v>3</v>
      </c>
      <c r="AN45" t="str">
        <f t="shared" si="10"/>
        <v>ss04/bladetrap2.dbr</v>
      </c>
    </row>
    <row r="46" spans="1:40" x14ac:dyDescent="0.25">
      <c r="A46" s="5" t="s">
        <v>39</v>
      </c>
      <c r="B46" s="5" t="s">
        <v>30</v>
      </c>
      <c r="C46" s="5" t="str">
        <f t="shared" si="0"/>
        <v>description,dailCompDescNightblade44,</v>
      </c>
      <c r="D46" s="5" t="str">
        <f t="shared" si="2"/>
        <v>itemText,dailCompTextNightblade44,</v>
      </c>
      <c r="E46" s="5" t="str">
        <f t="shared" si="15"/>
        <v>augmentSkillLevel1,3,</v>
      </c>
      <c r="F46" s="5" t="str">
        <f t="shared" si="16"/>
        <v>augmentSkillName1,records/skills/playerclass04/nightbladeenchant1.dbr,</v>
      </c>
      <c r="G46" s="7">
        <f t="shared" si="11"/>
        <v>44</v>
      </c>
      <c r="H46" s="8" t="str">
        <f t="shared" si="12"/>
        <v>Nightblade</v>
      </c>
      <c r="I46" s="3" t="s">
        <v>115</v>
      </c>
      <c r="J46" s="8" t="str">
        <f t="shared" si="22"/>
        <v>class0004</v>
      </c>
      <c r="K46" s="8" t="str">
        <f t="shared" si="22"/>
        <v>dailoneskill0004</v>
      </c>
      <c r="L46" s="5" t="str">
        <f t="shared" si="4"/>
        <v>lootName44,DAIL/items/materia/class0004/Nightblade44.dbr,</v>
      </c>
      <c r="M46" s="5" t="str">
        <f t="shared" si="5"/>
        <v>lootWeight44,1,</v>
      </c>
      <c r="N46" t="str">
        <f t="shared" si="6"/>
        <v>3</v>
      </c>
      <c r="O46" t="str">
        <f t="shared" si="17"/>
        <v>copy .\dail_base3.dbr .\items\materia\class0004\Nightblade44.dbr /y</v>
      </c>
      <c r="P46" t="str">
        <f t="shared" si="7"/>
        <v>echo relicBitmap,items/craftingparts/components/component_a52_bristlyfur_b.tex, &gt;&gt; .\items\materia\class0004\Nightblade44.dbr</v>
      </c>
      <c r="Q46" t="str">
        <f t="shared" si="7"/>
        <v>echo itemCost,500000, &gt;&gt; .\items\materia\class0004\Nightblade44.dbr</v>
      </c>
      <c r="R46" t="str">
        <f t="shared" si="7"/>
        <v>echo description,dailCompDescNightblade44, &gt;&gt; .\items\materia\class0004\Nightblade44.dbr</v>
      </c>
      <c r="S46" t="str">
        <f t="shared" si="7"/>
        <v>echo itemText,dailCompTextNightblade44, &gt;&gt; .\items\materia\class0004\Nightblade44.dbr</v>
      </c>
      <c r="T46" t="str">
        <f t="shared" si="7"/>
        <v>echo augmentSkillLevel1,3, &gt;&gt; .\items\materia\class0004\Nightblade44.dbr</v>
      </c>
      <c r="U46" t="str">
        <f t="shared" si="7"/>
        <v>echo augmentSkillName1,records/skills/playerclass04/nightbladeenchant1.dbr, &gt;&gt; .\items\materia\class0004\Nightblade44.dbr</v>
      </c>
      <c r="V46" s="5" t="s">
        <v>36</v>
      </c>
      <c r="W46" t="str">
        <f t="shared" si="8"/>
        <v>echo lootName44,DAIL/items/materia/class0004/Nightblade44.dbr, &gt;&gt; .\items\loottables\dailoneskill0004.dbr</v>
      </c>
      <c r="X46" t="str">
        <f t="shared" si="8"/>
        <v>echo lootWeight44,1, &gt;&gt; .\items\loottables\dailoneskill0004.dbr</v>
      </c>
      <c r="Y46" s="5" t="s">
        <v>36</v>
      </c>
      <c r="Z46" t="str">
        <f t="shared" si="9"/>
        <v xml:space="preserve"> dailCompDescNightblade44=^pNightblade's Gift of DAIL</v>
      </c>
      <c r="AA46" t="str">
        <f t="shared" si="18"/>
        <v>dailCompTextNightblade44=^oThis feels warm to the touch, almost familiar ^w(This component only fits into the Medal Slot)htbladeenchant1.dbr</v>
      </c>
      <c r="AB46" s="5" t="s">
        <v>36</v>
      </c>
      <c r="AH46">
        <f t="shared" si="20"/>
        <v>41</v>
      </c>
      <c r="AI46">
        <f t="shared" si="23"/>
        <v>37</v>
      </c>
      <c r="AJ46">
        <f t="shared" si="19"/>
        <v>3</v>
      </c>
      <c r="AN46" t="str">
        <f t="shared" si="10"/>
        <v>htbladeenchant1.dbr</v>
      </c>
    </row>
    <row r="47" spans="1:40" x14ac:dyDescent="0.25">
      <c r="A47" s="5" t="s">
        <v>39</v>
      </c>
      <c r="B47" s="5" t="s">
        <v>30</v>
      </c>
      <c r="C47" s="5" t="str">
        <f t="shared" si="0"/>
        <v>description,dailCompDescNightblade45,</v>
      </c>
      <c r="D47" s="5" t="str">
        <f t="shared" si="2"/>
        <v>itemText,dailCompTextNightblade45,</v>
      </c>
      <c r="E47" s="5" t="str">
        <f t="shared" si="15"/>
        <v>augmentSkillLevel1,3,</v>
      </c>
      <c r="F47" s="5" t="str">
        <f t="shared" si="16"/>
        <v>augmentSkillName1,records/skills/playerclass04/nightbladeenchant1b.dbr,</v>
      </c>
      <c r="G47" s="7">
        <f t="shared" si="11"/>
        <v>45</v>
      </c>
      <c r="H47" s="8" t="str">
        <f t="shared" si="12"/>
        <v>Nightblade</v>
      </c>
      <c r="I47" s="3" t="s">
        <v>311</v>
      </c>
      <c r="J47" s="8" t="str">
        <f t="shared" si="22"/>
        <v>class0004</v>
      </c>
      <c r="K47" s="8" t="str">
        <f t="shared" si="22"/>
        <v>dailoneskill0004</v>
      </c>
      <c r="L47" s="5" t="str">
        <f t="shared" si="4"/>
        <v>lootName45,DAIL/items/materia/class0004/Nightblade45.dbr,</v>
      </c>
      <c r="M47" s="5" t="str">
        <f t="shared" si="5"/>
        <v>lootWeight45,1,</v>
      </c>
      <c r="N47" t="str">
        <f t="shared" si="6"/>
        <v>3</v>
      </c>
      <c r="O47" t="str">
        <f t="shared" si="17"/>
        <v>copy .\dail_base3.dbr .\items\materia\class0004\Nightblade45.dbr /y</v>
      </c>
      <c r="P47" t="str">
        <f t="shared" si="7"/>
        <v>echo relicBitmap,items/craftingparts/components/component_a52_bristlyfur_b.tex, &gt;&gt; .\items\materia\class0004\Nightblade45.dbr</v>
      </c>
      <c r="Q47" t="str">
        <f t="shared" si="7"/>
        <v>echo itemCost,500000, &gt;&gt; .\items\materia\class0004\Nightblade45.dbr</v>
      </c>
      <c r="R47" t="str">
        <f t="shared" si="7"/>
        <v>echo description,dailCompDescNightblade45, &gt;&gt; .\items\materia\class0004\Nightblade45.dbr</v>
      </c>
      <c r="S47" t="str">
        <f t="shared" si="7"/>
        <v>echo itemText,dailCompTextNightblade45, &gt;&gt; .\items\materia\class0004\Nightblade45.dbr</v>
      </c>
      <c r="T47" t="str">
        <f t="shared" si="7"/>
        <v>echo augmentSkillLevel1,3, &gt;&gt; .\items\materia\class0004\Nightblade45.dbr</v>
      </c>
      <c r="U47" t="str">
        <f t="shared" si="7"/>
        <v>echo augmentSkillName1,records/skills/playerclass04/nightbladeenchant1b.dbr, &gt;&gt; .\items\materia\class0004\Nightblade45.dbr</v>
      </c>
      <c r="V47" s="5" t="s">
        <v>36</v>
      </c>
      <c r="W47" t="str">
        <f t="shared" si="8"/>
        <v>echo lootName45,DAIL/items/materia/class0004/Nightblade45.dbr, &gt;&gt; .\items\loottables\dailoneskill0004.dbr</v>
      </c>
      <c r="X47" t="str">
        <f t="shared" si="8"/>
        <v>echo lootWeight45,1, &gt;&gt; .\items\loottables\dailoneskill0004.dbr</v>
      </c>
      <c r="Y47" s="5" t="s">
        <v>36</v>
      </c>
      <c r="Z47" t="str">
        <f t="shared" si="9"/>
        <v xml:space="preserve"> dailCompDescNightblade45=^pNightblade's Gift of DAIL</v>
      </c>
      <c r="AA47" t="str">
        <f t="shared" si="18"/>
        <v>dailCompTextNightblade45=^oThis feels warm to the touch, almost familiar ^w(This component only fits into the Medal Slot)tbladeenchant1b.dbr</v>
      </c>
      <c r="AB47" s="5" t="s">
        <v>36</v>
      </c>
      <c r="AH47">
        <f t="shared" si="20"/>
        <v>42</v>
      </c>
      <c r="AI47">
        <f t="shared" si="23"/>
        <v>38</v>
      </c>
      <c r="AJ47">
        <f t="shared" si="19"/>
        <v>3</v>
      </c>
      <c r="AN47" t="str">
        <f t="shared" si="10"/>
        <v>tbladeenchant1b.dbr</v>
      </c>
    </row>
    <row r="48" spans="1:40" x14ac:dyDescent="0.25">
      <c r="A48" s="5" t="s">
        <v>39</v>
      </c>
      <c r="B48" s="5" t="s">
        <v>30</v>
      </c>
      <c r="C48" s="5" t="str">
        <f t="shared" si="0"/>
        <v>description,dailCompDescNightblade46,</v>
      </c>
      <c r="D48" s="5" t="str">
        <f t="shared" si="2"/>
        <v>itemText,dailCompTextNightblade46,</v>
      </c>
      <c r="E48" s="5" t="str">
        <f t="shared" si="15"/>
        <v>augmentSkillLevel1,3,</v>
      </c>
      <c r="F48" s="5" t="str">
        <f t="shared" si="16"/>
        <v>augmentSkillName1,records/skills/playerclass04/nightbladeenchant2.dbr,</v>
      </c>
      <c r="G48" s="7">
        <f t="shared" si="11"/>
        <v>46</v>
      </c>
      <c r="H48" s="8" t="str">
        <f t="shared" si="12"/>
        <v>Nightblade</v>
      </c>
      <c r="I48" s="3" t="s">
        <v>247</v>
      </c>
      <c r="J48" s="8" t="str">
        <f t="shared" si="22"/>
        <v>class0004</v>
      </c>
      <c r="K48" s="8" t="str">
        <f t="shared" si="22"/>
        <v>dailoneskill0004</v>
      </c>
      <c r="L48" s="5" t="str">
        <f t="shared" si="4"/>
        <v>lootName46,DAIL/items/materia/class0004/Nightblade46.dbr,</v>
      </c>
      <c r="M48" s="5" t="str">
        <f t="shared" si="5"/>
        <v>lootWeight46,1,</v>
      </c>
      <c r="N48" t="str">
        <f t="shared" si="6"/>
        <v>3</v>
      </c>
      <c r="O48" t="str">
        <f t="shared" si="17"/>
        <v>copy .\dail_base3.dbr .\items\materia\class0004\Nightblade46.dbr /y</v>
      </c>
      <c r="P48" t="str">
        <f t="shared" si="7"/>
        <v>echo relicBitmap,items/craftingparts/components/component_a52_bristlyfur_b.tex, &gt;&gt; .\items\materia\class0004\Nightblade46.dbr</v>
      </c>
      <c r="Q48" t="str">
        <f t="shared" si="7"/>
        <v>echo itemCost,500000, &gt;&gt; .\items\materia\class0004\Nightblade46.dbr</v>
      </c>
      <c r="R48" t="str">
        <f t="shared" si="7"/>
        <v>echo description,dailCompDescNightblade46, &gt;&gt; .\items\materia\class0004\Nightblade46.dbr</v>
      </c>
      <c r="S48" t="str">
        <f t="shared" si="7"/>
        <v>echo itemText,dailCompTextNightblade46, &gt;&gt; .\items\materia\class0004\Nightblade46.dbr</v>
      </c>
      <c r="T48" t="str">
        <f t="shared" si="7"/>
        <v>echo augmentSkillLevel1,3, &gt;&gt; .\items\materia\class0004\Nightblade46.dbr</v>
      </c>
      <c r="U48" t="str">
        <f t="shared" si="7"/>
        <v>echo augmentSkillName1,records/skills/playerclass04/nightbladeenchant2.dbr, &gt;&gt; .\items\materia\class0004\Nightblade46.dbr</v>
      </c>
      <c r="V48" s="5" t="s">
        <v>36</v>
      </c>
      <c r="W48" t="str">
        <f t="shared" si="8"/>
        <v>echo lootName46,DAIL/items/materia/class0004/Nightblade46.dbr, &gt;&gt; .\items\loottables\dailoneskill0004.dbr</v>
      </c>
      <c r="X48" t="str">
        <f t="shared" si="8"/>
        <v>echo lootWeight46,1, &gt;&gt; .\items\loottables\dailoneskill0004.dbr</v>
      </c>
      <c r="Y48" s="5" t="s">
        <v>36</v>
      </c>
      <c r="Z48" t="str">
        <f t="shared" si="9"/>
        <v xml:space="preserve"> dailCompDescNightblade46=^pNightblade's Gift of DAIL</v>
      </c>
      <c r="AA48" t="str">
        <f t="shared" si="18"/>
        <v>dailCompTextNightblade46=^oThis feels warm to the touch, almost familiar ^w(This component only fits into the Medal Slot)htbladeenchant2.dbr</v>
      </c>
      <c r="AB48" s="5" t="s">
        <v>36</v>
      </c>
      <c r="AH48">
        <f t="shared" si="20"/>
        <v>43</v>
      </c>
      <c r="AI48">
        <f t="shared" si="23"/>
        <v>37</v>
      </c>
      <c r="AJ48">
        <f t="shared" si="19"/>
        <v>3</v>
      </c>
      <c r="AN48" t="str">
        <f t="shared" si="10"/>
        <v>htbladeenchant2.dbr</v>
      </c>
    </row>
    <row r="49" spans="1:40" x14ac:dyDescent="0.25">
      <c r="A49" s="5" t="s">
        <v>39</v>
      </c>
      <c r="B49" s="5" t="s">
        <v>30</v>
      </c>
      <c r="C49" s="5" t="str">
        <f t="shared" si="0"/>
        <v>description,dailCompDescNightblade47,</v>
      </c>
      <c r="D49" s="5" t="str">
        <f t="shared" si="2"/>
        <v>itemText,dailCompTextNightblade47,</v>
      </c>
      <c r="E49" s="5" t="str">
        <f t="shared" si="15"/>
        <v>augmentSkillLevel1,3,</v>
      </c>
      <c r="F49" s="5" t="str">
        <f t="shared" si="16"/>
        <v>augmentSkillName1,records/skills/playerclass04/phantomblade.dbr,</v>
      </c>
      <c r="G49" s="7">
        <f t="shared" si="11"/>
        <v>47</v>
      </c>
      <c r="H49" s="8" t="str">
        <f t="shared" si="12"/>
        <v>Nightblade</v>
      </c>
      <c r="I49" s="3" t="s">
        <v>116</v>
      </c>
      <c r="J49" s="8" t="str">
        <f t="shared" si="22"/>
        <v>class0004</v>
      </c>
      <c r="K49" s="8" t="str">
        <f t="shared" si="22"/>
        <v>dailoneskill0004</v>
      </c>
      <c r="L49" s="5" t="str">
        <f t="shared" si="4"/>
        <v>lootName47,DAIL/items/materia/class0004/Nightblade47.dbr,</v>
      </c>
      <c r="M49" s="5" t="str">
        <f t="shared" si="5"/>
        <v>lootWeight47,1,</v>
      </c>
      <c r="N49" t="str">
        <f t="shared" si="6"/>
        <v>3</v>
      </c>
      <c r="O49" t="str">
        <f t="shared" si="17"/>
        <v>copy .\dail_base3.dbr .\items\materia\class0004\Nightblade47.dbr /y</v>
      </c>
      <c r="P49" t="str">
        <f t="shared" si="7"/>
        <v>echo relicBitmap,items/craftingparts/components/component_a52_bristlyfur_b.tex, &gt;&gt; .\items\materia\class0004\Nightblade47.dbr</v>
      </c>
      <c r="Q49" t="str">
        <f t="shared" si="7"/>
        <v>echo itemCost,500000, &gt;&gt; .\items\materia\class0004\Nightblade47.dbr</v>
      </c>
      <c r="R49" t="str">
        <f t="shared" si="7"/>
        <v>echo description,dailCompDescNightblade47, &gt;&gt; .\items\materia\class0004\Nightblade47.dbr</v>
      </c>
      <c r="S49" t="str">
        <f t="shared" si="7"/>
        <v>echo itemText,dailCompTextNightblade47, &gt;&gt; .\items\materia\class0004\Nightblade47.dbr</v>
      </c>
      <c r="T49" t="str">
        <f t="shared" si="7"/>
        <v>echo augmentSkillLevel1,3, &gt;&gt; .\items\materia\class0004\Nightblade47.dbr</v>
      </c>
      <c r="U49" t="str">
        <f t="shared" si="7"/>
        <v>echo augmentSkillName1,records/skills/playerclass04/phantomblade.dbr, &gt;&gt; .\items\materia\class0004\Nightblade47.dbr</v>
      </c>
      <c r="V49" s="5" t="s">
        <v>36</v>
      </c>
      <c r="W49" t="str">
        <f t="shared" si="8"/>
        <v>echo lootName47,DAIL/items/materia/class0004/Nightblade47.dbr, &gt;&gt; .\items\loottables\dailoneskill0004.dbr</v>
      </c>
      <c r="X49" t="str">
        <f t="shared" si="8"/>
        <v>echo lootWeight47,1, &gt;&gt; .\items\loottables\dailoneskill0004.dbr</v>
      </c>
      <c r="Y49" s="5" t="s">
        <v>36</v>
      </c>
      <c r="Z49" t="str">
        <f t="shared" si="9"/>
        <v xml:space="preserve"> dailCompDescNightblade47=^pNightblade's Gift of DAIL</v>
      </c>
      <c r="AA49" t="str">
        <f t="shared" si="18"/>
        <v>dailCompTextNightblade47=^oThis feels warm to the touch, almost familiar ^w(This component only fits into the Medal Slot)04/phantomblade.dbr</v>
      </c>
      <c r="AB49" s="5" t="s">
        <v>36</v>
      </c>
      <c r="AH49">
        <f t="shared" si="20"/>
        <v>44</v>
      </c>
      <c r="AI49">
        <f t="shared" si="23"/>
        <v>31</v>
      </c>
      <c r="AJ49">
        <f t="shared" si="19"/>
        <v>3</v>
      </c>
      <c r="AN49" t="str">
        <f t="shared" si="10"/>
        <v>04/phantomblade.dbr</v>
      </c>
    </row>
    <row r="50" spans="1:40" x14ac:dyDescent="0.25">
      <c r="A50" s="5" t="s">
        <v>39</v>
      </c>
      <c r="B50" s="5" t="s">
        <v>30</v>
      </c>
      <c r="C50" s="5" t="str">
        <f t="shared" si="0"/>
        <v>description,dailCompDescNightblade48,</v>
      </c>
      <c r="D50" s="5" t="str">
        <f t="shared" si="2"/>
        <v>itemText,dailCompTextNightblade48,</v>
      </c>
      <c r="E50" s="5" t="str">
        <f t="shared" si="15"/>
        <v>augmentSkillLevel1,3,</v>
      </c>
      <c r="F50" s="5" t="str">
        <f t="shared" si="16"/>
        <v>augmentSkillName1,records/skills/playerclass04/nightbladeenchant3.dbr,</v>
      </c>
      <c r="G50" s="7">
        <f t="shared" si="11"/>
        <v>48</v>
      </c>
      <c r="H50" s="8" t="str">
        <f t="shared" si="12"/>
        <v>Nightblade</v>
      </c>
      <c r="I50" s="3" t="s">
        <v>312</v>
      </c>
      <c r="J50" s="8" t="str">
        <f t="shared" si="22"/>
        <v>class0004</v>
      </c>
      <c r="K50" s="8" t="str">
        <f t="shared" si="22"/>
        <v>dailoneskill0004</v>
      </c>
      <c r="L50" s="5" t="str">
        <f t="shared" si="4"/>
        <v>lootName48,DAIL/items/materia/class0004/Nightblade48.dbr,</v>
      </c>
      <c r="M50" s="5" t="str">
        <f t="shared" si="5"/>
        <v>lootWeight48,1,</v>
      </c>
      <c r="N50" t="str">
        <f t="shared" si="6"/>
        <v>3</v>
      </c>
      <c r="O50" t="str">
        <f t="shared" si="17"/>
        <v>copy .\dail_base3.dbr .\items\materia\class0004\Nightblade48.dbr /y</v>
      </c>
      <c r="P50" t="str">
        <f t="shared" si="7"/>
        <v>echo relicBitmap,items/craftingparts/components/component_a52_bristlyfur_b.tex, &gt;&gt; .\items\materia\class0004\Nightblade48.dbr</v>
      </c>
      <c r="Q50" t="str">
        <f t="shared" si="7"/>
        <v>echo itemCost,500000, &gt;&gt; .\items\materia\class0004\Nightblade48.dbr</v>
      </c>
      <c r="R50" t="str">
        <f t="shared" si="7"/>
        <v>echo description,dailCompDescNightblade48, &gt;&gt; .\items\materia\class0004\Nightblade48.dbr</v>
      </c>
      <c r="S50" t="str">
        <f t="shared" si="7"/>
        <v>echo itemText,dailCompTextNightblade48, &gt;&gt; .\items\materia\class0004\Nightblade48.dbr</v>
      </c>
      <c r="T50" t="str">
        <f t="shared" si="7"/>
        <v>echo augmentSkillLevel1,3, &gt;&gt; .\items\materia\class0004\Nightblade48.dbr</v>
      </c>
      <c r="U50" t="str">
        <f t="shared" si="7"/>
        <v>echo augmentSkillName1,records/skills/playerclass04/nightbladeenchant3.dbr, &gt;&gt; .\items\materia\class0004\Nightblade48.dbr</v>
      </c>
      <c r="V50" s="5" t="s">
        <v>36</v>
      </c>
      <c r="W50" t="str">
        <f t="shared" si="8"/>
        <v>echo lootName48,DAIL/items/materia/class0004/Nightblade48.dbr, &gt;&gt; .\items\loottables\dailoneskill0004.dbr</v>
      </c>
      <c r="X50" t="str">
        <f t="shared" si="8"/>
        <v>echo lootWeight48,1, &gt;&gt; .\items\loottables\dailoneskill0004.dbr</v>
      </c>
      <c r="Y50" s="5" t="s">
        <v>36</v>
      </c>
      <c r="Z50" t="str">
        <f t="shared" si="9"/>
        <v xml:space="preserve"> dailCompDescNightblade48=^pNightblade's Gift of DAIL</v>
      </c>
      <c r="AA50" t="str">
        <f t="shared" si="18"/>
        <v>dailCompTextNightblade48=^oThis feels warm to the touch, almost familiar ^w(This component only fits into the Medal Slot)htbladeenchant3.dbr</v>
      </c>
      <c r="AB50" s="5" t="s">
        <v>36</v>
      </c>
      <c r="AH50">
        <f t="shared" si="20"/>
        <v>45</v>
      </c>
      <c r="AI50">
        <f t="shared" si="23"/>
        <v>37</v>
      </c>
      <c r="AJ50">
        <f t="shared" si="19"/>
        <v>3</v>
      </c>
      <c r="AN50" t="str">
        <f t="shared" si="10"/>
        <v>htbladeenchant3.dbr</v>
      </c>
    </row>
    <row r="51" spans="1:40" x14ac:dyDescent="0.25">
      <c r="A51" s="5" t="s">
        <v>39</v>
      </c>
      <c r="B51" s="5" t="s">
        <v>30</v>
      </c>
      <c r="C51" s="5" t="str">
        <f t="shared" si="0"/>
        <v>description,dailCompDescNightblade49,</v>
      </c>
      <c r="D51" s="5" t="str">
        <f t="shared" si="2"/>
        <v>itemText,dailCompTextNightblade49,</v>
      </c>
      <c r="E51" s="5" t="str">
        <f t="shared" si="15"/>
        <v>augmentSkillLevel1,3,</v>
      </c>
      <c r="F51" s="5" t="str">
        <f t="shared" si="16"/>
        <v>augmentSkillName1,records/skills/playerclass04/wpattack0.dbr,</v>
      </c>
      <c r="G51" s="7">
        <f t="shared" si="11"/>
        <v>49</v>
      </c>
      <c r="H51" s="8" t="str">
        <f t="shared" si="12"/>
        <v>Nightblade</v>
      </c>
      <c r="I51" s="3" t="s">
        <v>313</v>
      </c>
      <c r="J51" s="8" t="str">
        <f t="shared" si="22"/>
        <v>class0004</v>
      </c>
      <c r="K51" s="8" t="str">
        <f t="shared" si="22"/>
        <v>dailoneskill0004</v>
      </c>
      <c r="L51" s="5" t="str">
        <f t="shared" si="4"/>
        <v>lootName49,DAIL/items/materia/class0004/Nightblade49.dbr,</v>
      </c>
      <c r="M51" s="5" t="str">
        <f t="shared" si="5"/>
        <v>lootWeight49,1,</v>
      </c>
      <c r="N51" t="str">
        <f t="shared" si="6"/>
        <v>3</v>
      </c>
      <c r="O51" t="str">
        <f t="shared" si="17"/>
        <v>copy .\dail_base3.dbr .\items\materia\class0004\Nightblade49.dbr /y</v>
      </c>
      <c r="P51" t="str">
        <f t="shared" si="7"/>
        <v>echo relicBitmap,items/craftingparts/components/component_a52_bristlyfur_b.tex, &gt;&gt; .\items\materia\class0004\Nightblade49.dbr</v>
      </c>
      <c r="Q51" t="str">
        <f t="shared" si="7"/>
        <v>echo itemCost,500000, &gt;&gt; .\items\materia\class0004\Nightblade49.dbr</v>
      </c>
      <c r="R51" t="str">
        <f t="shared" si="7"/>
        <v>echo description,dailCompDescNightblade49, &gt;&gt; .\items\materia\class0004\Nightblade49.dbr</v>
      </c>
      <c r="S51" t="str">
        <f t="shared" si="7"/>
        <v>echo itemText,dailCompTextNightblade49, &gt;&gt; .\items\materia\class0004\Nightblade49.dbr</v>
      </c>
      <c r="T51" t="str">
        <f t="shared" si="7"/>
        <v>echo augmentSkillLevel1,3, &gt;&gt; .\items\materia\class0004\Nightblade49.dbr</v>
      </c>
      <c r="U51" t="str">
        <f t="shared" si="7"/>
        <v>echo augmentSkillName1,records/skills/playerclass04/wpattack0.dbr, &gt;&gt; .\items\materia\class0004\Nightblade49.dbr</v>
      </c>
      <c r="V51" s="5" t="s">
        <v>36</v>
      </c>
      <c r="W51" t="str">
        <f t="shared" si="8"/>
        <v>echo lootName49,DAIL/items/materia/class0004/Nightblade49.dbr, &gt;&gt; .\items\loottables\dailoneskill0004.dbr</v>
      </c>
      <c r="X51" t="str">
        <f t="shared" si="8"/>
        <v>echo lootWeight49,1, &gt;&gt; .\items\loottables\dailoneskill0004.dbr</v>
      </c>
      <c r="Y51" s="5" t="s">
        <v>36</v>
      </c>
      <c r="Z51" t="str">
        <f t="shared" si="9"/>
        <v xml:space="preserve"> dailCompDescNightblade49=^pNightblade's Gift of DAIL</v>
      </c>
      <c r="AA51" t="str">
        <f t="shared" si="18"/>
        <v>dailCompTextNightblade49=^oThis feels warm to the touch, almost familiar ^w(This component only fits into the Medal Slot)ass04/wpattack0.dbr</v>
      </c>
      <c r="AB51" s="5" t="s">
        <v>36</v>
      </c>
      <c r="AH51">
        <f t="shared" si="20"/>
        <v>46</v>
      </c>
      <c r="AI51">
        <f t="shared" si="23"/>
        <v>28</v>
      </c>
      <c r="AJ51">
        <f t="shared" si="19"/>
        <v>3</v>
      </c>
      <c r="AN51" t="str">
        <f t="shared" si="10"/>
        <v>ass04/wpattack0.dbr</v>
      </c>
    </row>
    <row r="52" spans="1:40" x14ac:dyDescent="0.25">
      <c r="A52" s="5" t="s">
        <v>39</v>
      </c>
      <c r="B52" s="5" t="s">
        <v>30</v>
      </c>
      <c r="C52" s="5" t="str">
        <f t="shared" si="0"/>
        <v>description,dailCompDescNightblade50,</v>
      </c>
      <c r="D52" s="5" t="str">
        <f t="shared" si="2"/>
        <v>itemText,dailCompTextNightblade50,</v>
      </c>
      <c r="E52" s="5" t="str">
        <f t="shared" si="15"/>
        <v>augmentSkillLevel1,3,</v>
      </c>
      <c r="F52" s="5" t="str">
        <f t="shared" si="16"/>
        <v>augmentSkillName1,records/skills/playerclass04/wpattack1.dbr,</v>
      </c>
      <c r="G52" s="7">
        <f t="shared" si="11"/>
        <v>50</v>
      </c>
      <c r="H52" s="8" t="str">
        <f t="shared" si="12"/>
        <v>Nightblade</v>
      </c>
      <c r="I52" s="3" t="s">
        <v>121</v>
      </c>
      <c r="J52" s="8" t="str">
        <f t="shared" si="22"/>
        <v>class0004</v>
      </c>
      <c r="K52" s="8" t="str">
        <f t="shared" si="22"/>
        <v>dailoneskill0004</v>
      </c>
      <c r="L52" s="5" t="str">
        <f t="shared" si="4"/>
        <v>lootName50,DAIL/items/materia/class0004/Nightblade50.dbr,</v>
      </c>
      <c r="M52" s="5" t="str">
        <f t="shared" si="5"/>
        <v>lootWeight50,1,</v>
      </c>
      <c r="N52" t="str">
        <f t="shared" si="6"/>
        <v>3</v>
      </c>
      <c r="O52" t="str">
        <f t="shared" si="17"/>
        <v>copy .\dail_base3.dbr .\items\materia\class0004\Nightblade50.dbr /y</v>
      </c>
      <c r="P52" t="str">
        <f t="shared" si="7"/>
        <v>echo relicBitmap,items/craftingparts/components/component_a52_bristlyfur_b.tex, &gt;&gt; .\items\materia\class0004\Nightblade50.dbr</v>
      </c>
      <c r="Q52" t="str">
        <f t="shared" si="7"/>
        <v>echo itemCost,500000, &gt;&gt; .\items\materia\class0004\Nightblade50.dbr</v>
      </c>
      <c r="R52" t="str">
        <f t="shared" si="7"/>
        <v>echo description,dailCompDescNightblade50, &gt;&gt; .\items\materia\class0004\Nightblade50.dbr</v>
      </c>
      <c r="S52" t="str">
        <f t="shared" si="7"/>
        <v>echo itemText,dailCompTextNightblade50, &gt;&gt; .\items\materia\class0004\Nightblade50.dbr</v>
      </c>
      <c r="T52" t="str">
        <f t="shared" si="7"/>
        <v>echo augmentSkillLevel1,3, &gt;&gt; .\items\materia\class0004\Nightblade50.dbr</v>
      </c>
      <c r="U52" t="str">
        <f t="shared" si="7"/>
        <v>echo augmentSkillName1,records/skills/playerclass04/wpattack1.dbr, &gt;&gt; .\items\materia\class0004\Nightblade50.dbr</v>
      </c>
      <c r="V52" s="5" t="s">
        <v>36</v>
      </c>
      <c r="W52" t="str">
        <f t="shared" si="8"/>
        <v>echo lootName50,DAIL/items/materia/class0004/Nightblade50.dbr, &gt;&gt; .\items\loottables\dailoneskill0004.dbr</v>
      </c>
      <c r="X52" t="str">
        <f t="shared" si="8"/>
        <v>echo lootWeight50,1, &gt;&gt; .\items\loottables\dailoneskill0004.dbr</v>
      </c>
      <c r="Y52" s="5" t="s">
        <v>36</v>
      </c>
      <c r="Z52" t="str">
        <f t="shared" si="9"/>
        <v xml:space="preserve"> dailCompDescNightblade50=^pNightblade's Gift of DAIL</v>
      </c>
      <c r="AA52" t="str">
        <f t="shared" si="18"/>
        <v>dailCompTextNightblade50=^oThis feels warm to the touch, almost familiar ^w(This component only fits into the Medal Slot)ass04/wpattack1.dbr</v>
      </c>
      <c r="AB52" s="5" t="s">
        <v>36</v>
      </c>
      <c r="AH52">
        <f t="shared" si="20"/>
        <v>47</v>
      </c>
      <c r="AI52">
        <f t="shared" si="23"/>
        <v>28</v>
      </c>
      <c r="AJ52">
        <f t="shared" si="19"/>
        <v>3</v>
      </c>
      <c r="AN52" t="str">
        <f t="shared" si="10"/>
        <v>ass04/wpattack1.dbr</v>
      </c>
    </row>
    <row r="53" spans="1:40" x14ac:dyDescent="0.25">
      <c r="A53" s="5" t="s">
        <v>39</v>
      </c>
      <c r="B53" s="5" t="s">
        <v>30</v>
      </c>
      <c r="C53" s="5" t="str">
        <f t="shared" si="0"/>
        <v>description,dailCompDescNightblade51,</v>
      </c>
      <c r="D53" s="5" t="str">
        <f t="shared" si="2"/>
        <v>itemText,dailCompTextNightblade51,</v>
      </c>
      <c r="E53" s="5" t="str">
        <f t="shared" si="15"/>
        <v>augmentSkillLevel1,3,</v>
      </c>
      <c r="F53" s="5" t="str">
        <f t="shared" si="16"/>
        <v>augmentSkillName1,records/skills/playerclass04/wpattack4.dbr,</v>
      </c>
      <c r="G53" s="7">
        <f t="shared" si="11"/>
        <v>51</v>
      </c>
      <c r="H53" s="8" t="str">
        <f t="shared" si="12"/>
        <v>Nightblade</v>
      </c>
      <c r="I53" s="3" t="s">
        <v>124</v>
      </c>
      <c r="J53" s="8" t="str">
        <f t="shared" ref="J53:K68" si="24">J52</f>
        <v>class0004</v>
      </c>
      <c r="K53" s="8" t="str">
        <f t="shared" si="24"/>
        <v>dailoneskill0004</v>
      </c>
      <c r="L53" s="5" t="str">
        <f t="shared" si="4"/>
        <v>lootName51,DAIL/items/materia/class0004/Nightblade51.dbr,</v>
      </c>
      <c r="M53" s="5" t="str">
        <f t="shared" si="5"/>
        <v>lootWeight51,1,</v>
      </c>
      <c r="N53" t="str">
        <f t="shared" si="6"/>
        <v>3</v>
      </c>
      <c r="O53" t="str">
        <f t="shared" si="17"/>
        <v>copy .\dail_base3.dbr .\items\materia\class0004\Nightblade51.dbr /y</v>
      </c>
      <c r="P53" t="str">
        <f t="shared" si="7"/>
        <v>echo relicBitmap,items/craftingparts/components/component_a52_bristlyfur_b.tex, &gt;&gt; .\items\materia\class0004\Nightblade51.dbr</v>
      </c>
      <c r="Q53" t="str">
        <f t="shared" si="7"/>
        <v>echo itemCost,500000, &gt;&gt; .\items\materia\class0004\Nightblade51.dbr</v>
      </c>
      <c r="R53" t="str">
        <f t="shared" si="7"/>
        <v>echo description,dailCompDescNightblade51, &gt;&gt; .\items\materia\class0004\Nightblade51.dbr</v>
      </c>
      <c r="S53" t="str">
        <f t="shared" si="7"/>
        <v>echo itemText,dailCompTextNightblade51, &gt;&gt; .\items\materia\class0004\Nightblade51.dbr</v>
      </c>
      <c r="T53" t="str">
        <f t="shared" si="7"/>
        <v>echo augmentSkillLevel1,3, &gt;&gt; .\items\materia\class0004\Nightblade51.dbr</v>
      </c>
      <c r="U53" t="str">
        <f t="shared" si="7"/>
        <v>echo augmentSkillName1,records/skills/playerclass04/wpattack4.dbr, &gt;&gt; .\items\materia\class0004\Nightblade51.dbr</v>
      </c>
      <c r="V53" s="5" t="s">
        <v>36</v>
      </c>
      <c r="W53" t="str">
        <f t="shared" si="8"/>
        <v>echo lootName51,DAIL/items/materia/class0004/Nightblade51.dbr, &gt;&gt; .\items\loottables\dailoneskill0004.dbr</v>
      </c>
      <c r="X53" t="str">
        <f t="shared" si="8"/>
        <v>echo lootWeight51,1, &gt;&gt; .\items\loottables\dailoneskill0004.dbr</v>
      </c>
      <c r="Y53" s="5" t="s">
        <v>36</v>
      </c>
      <c r="Z53" t="str">
        <f t="shared" si="9"/>
        <v xml:space="preserve"> dailCompDescNightblade51=^pNightblade's Gift of DAIL</v>
      </c>
      <c r="AA53" t="str">
        <f t="shared" si="18"/>
        <v>dailCompTextNightblade51=^oThis feels warm to the touch, almost familiar ^w(This component only fits into the Medal Slot)ass04/wpattack4.dbr</v>
      </c>
      <c r="AB53" s="5" t="s">
        <v>36</v>
      </c>
      <c r="AH53">
        <f t="shared" si="20"/>
        <v>48</v>
      </c>
      <c r="AI53">
        <f t="shared" si="23"/>
        <v>28</v>
      </c>
      <c r="AJ53">
        <f t="shared" si="19"/>
        <v>3</v>
      </c>
      <c r="AN53" t="str">
        <f t="shared" si="10"/>
        <v>ass04/wpattack4.dbr</v>
      </c>
    </row>
    <row r="54" spans="1:40" x14ac:dyDescent="0.25">
      <c r="A54" s="5" t="s">
        <v>39</v>
      </c>
      <c r="B54" s="5" t="s">
        <v>30</v>
      </c>
      <c r="C54" s="5" t="str">
        <f t="shared" si="0"/>
        <v>description,dailCompDescNightblade52,</v>
      </c>
      <c r="D54" s="5" t="str">
        <f t="shared" si="2"/>
        <v>itemText,dailCompTextNightblade52,</v>
      </c>
      <c r="E54" s="5" t="str">
        <f t="shared" si="15"/>
        <v>augmentSkillLevel1,3,</v>
      </c>
      <c r="F54" s="5" t="str">
        <f t="shared" si="16"/>
        <v>augmentSkillName1,records/skills/playerclass04/wpattack2.dbr,</v>
      </c>
      <c r="G54" s="7">
        <f t="shared" si="11"/>
        <v>52</v>
      </c>
      <c r="H54" s="8" t="str">
        <f t="shared" si="12"/>
        <v>Nightblade</v>
      </c>
      <c r="I54" s="3" t="s">
        <v>122</v>
      </c>
      <c r="J54" s="8" t="str">
        <f t="shared" si="24"/>
        <v>class0004</v>
      </c>
      <c r="K54" s="8" t="str">
        <f t="shared" si="24"/>
        <v>dailoneskill0004</v>
      </c>
      <c r="L54" s="5" t="str">
        <f t="shared" si="4"/>
        <v>lootName52,DAIL/items/materia/class0004/Nightblade52.dbr,</v>
      </c>
      <c r="M54" s="5" t="str">
        <f t="shared" si="5"/>
        <v>lootWeight52,1,</v>
      </c>
      <c r="N54" t="str">
        <f t="shared" si="6"/>
        <v>3</v>
      </c>
      <c r="O54" t="str">
        <f t="shared" si="17"/>
        <v>copy .\dail_base3.dbr .\items\materia\class0004\Nightblade52.dbr /y</v>
      </c>
      <c r="P54" t="str">
        <f t="shared" si="7"/>
        <v>echo relicBitmap,items/craftingparts/components/component_a52_bristlyfur_b.tex, &gt;&gt; .\items\materia\class0004\Nightblade52.dbr</v>
      </c>
      <c r="Q54" t="str">
        <f t="shared" si="7"/>
        <v>echo itemCost,500000, &gt;&gt; .\items\materia\class0004\Nightblade52.dbr</v>
      </c>
      <c r="R54" t="str">
        <f t="shared" si="7"/>
        <v>echo description,dailCompDescNightblade52, &gt;&gt; .\items\materia\class0004\Nightblade52.dbr</v>
      </c>
      <c r="S54" t="str">
        <f t="shared" si="7"/>
        <v>echo itemText,dailCompTextNightblade52, &gt;&gt; .\items\materia\class0004\Nightblade52.dbr</v>
      </c>
      <c r="T54" t="str">
        <f t="shared" si="7"/>
        <v>echo augmentSkillLevel1,3, &gt;&gt; .\items\materia\class0004\Nightblade52.dbr</v>
      </c>
      <c r="U54" t="str">
        <f t="shared" si="7"/>
        <v>echo augmentSkillName1,records/skills/playerclass04/wpattack2.dbr, &gt;&gt; .\items\materia\class0004\Nightblade52.dbr</v>
      </c>
      <c r="V54" s="5" t="s">
        <v>36</v>
      </c>
      <c r="W54" t="str">
        <f t="shared" si="8"/>
        <v>echo lootName52,DAIL/items/materia/class0004/Nightblade52.dbr, &gt;&gt; .\items\loottables\dailoneskill0004.dbr</v>
      </c>
      <c r="X54" t="str">
        <f t="shared" si="8"/>
        <v>echo lootWeight52,1, &gt;&gt; .\items\loottables\dailoneskill0004.dbr</v>
      </c>
      <c r="Y54" s="5" t="s">
        <v>36</v>
      </c>
      <c r="Z54" t="str">
        <f t="shared" si="9"/>
        <v xml:space="preserve"> dailCompDescNightblade52=^pNightblade's Gift of DAIL</v>
      </c>
      <c r="AA54" t="str">
        <f t="shared" si="18"/>
        <v>dailCompTextNightblade52=^oThis feels warm to the touch, almost familiar ^w(This component only fits into the Medal Slot)ass04/wpattack2.dbr</v>
      </c>
      <c r="AB54" s="5" t="s">
        <v>36</v>
      </c>
      <c r="AH54">
        <f t="shared" si="20"/>
        <v>49</v>
      </c>
      <c r="AI54">
        <f t="shared" si="23"/>
        <v>28</v>
      </c>
      <c r="AJ54">
        <f t="shared" si="19"/>
        <v>3</v>
      </c>
      <c r="AN54" t="str">
        <f t="shared" si="10"/>
        <v>ass04/wpattack2.dbr</v>
      </c>
    </row>
    <row r="55" spans="1:40" x14ac:dyDescent="0.25">
      <c r="A55" s="5" t="s">
        <v>39</v>
      </c>
      <c r="B55" s="5" t="s">
        <v>30</v>
      </c>
      <c r="C55" s="5" t="str">
        <f t="shared" si="0"/>
        <v>description,dailCompDescNightblade53,</v>
      </c>
      <c r="D55" s="5" t="str">
        <f t="shared" si="2"/>
        <v>itemText,dailCompTextNightblade53,</v>
      </c>
      <c r="E55" s="5" t="str">
        <f t="shared" si="15"/>
        <v>augmentSkillLevel1,3,</v>
      </c>
      <c r="F55" s="5" t="str">
        <f t="shared" si="16"/>
        <v>augmentSkillName1,records/skills/playerclass04/wpattack4.dbr,</v>
      </c>
      <c r="G55" s="7">
        <f t="shared" si="11"/>
        <v>53</v>
      </c>
      <c r="H55" s="8" t="str">
        <f t="shared" si="12"/>
        <v>Nightblade</v>
      </c>
      <c r="I55" s="3" t="s">
        <v>124</v>
      </c>
      <c r="J55" s="8" t="str">
        <f t="shared" si="24"/>
        <v>class0004</v>
      </c>
      <c r="K55" s="8" t="str">
        <f t="shared" si="24"/>
        <v>dailoneskill0004</v>
      </c>
      <c r="L55" s="5" t="str">
        <f t="shared" si="4"/>
        <v>lootName53,DAIL/items/materia/class0004/Nightblade53.dbr,</v>
      </c>
      <c r="M55" s="5" t="str">
        <f t="shared" si="5"/>
        <v>lootWeight53,1,</v>
      </c>
      <c r="N55" t="str">
        <f t="shared" si="6"/>
        <v>3</v>
      </c>
      <c r="O55" t="str">
        <f t="shared" si="17"/>
        <v>copy .\dail_base3.dbr .\items\materia\class0004\Nightblade53.dbr /y</v>
      </c>
      <c r="P55" t="str">
        <f t="shared" si="7"/>
        <v>echo relicBitmap,items/craftingparts/components/component_a52_bristlyfur_b.tex, &gt;&gt; .\items\materia\class0004\Nightblade53.dbr</v>
      </c>
      <c r="Q55" t="str">
        <f t="shared" si="7"/>
        <v>echo itemCost,500000, &gt;&gt; .\items\materia\class0004\Nightblade53.dbr</v>
      </c>
      <c r="R55" t="str">
        <f t="shared" si="7"/>
        <v>echo description,dailCompDescNightblade53, &gt;&gt; .\items\materia\class0004\Nightblade53.dbr</v>
      </c>
      <c r="S55" t="str">
        <f t="shared" si="7"/>
        <v>echo itemText,dailCompTextNightblade53, &gt;&gt; .\items\materia\class0004\Nightblade53.dbr</v>
      </c>
      <c r="T55" t="str">
        <f t="shared" si="7"/>
        <v>echo augmentSkillLevel1,3, &gt;&gt; .\items\materia\class0004\Nightblade53.dbr</v>
      </c>
      <c r="U55" t="str">
        <f t="shared" si="7"/>
        <v>echo augmentSkillName1,records/skills/playerclass04/wpattack4.dbr, &gt;&gt; .\items\materia\class0004\Nightblade53.dbr</v>
      </c>
      <c r="V55" s="5" t="s">
        <v>36</v>
      </c>
      <c r="W55" t="str">
        <f t="shared" si="8"/>
        <v>echo lootName53,DAIL/items/materia/class0004/Nightblade53.dbr, &gt;&gt; .\items\loottables\dailoneskill0004.dbr</v>
      </c>
      <c r="X55" t="str">
        <f t="shared" si="8"/>
        <v>echo lootWeight53,1, &gt;&gt; .\items\loottables\dailoneskill0004.dbr</v>
      </c>
      <c r="Y55" s="5" t="s">
        <v>36</v>
      </c>
      <c r="Z55" t="str">
        <f t="shared" si="9"/>
        <v xml:space="preserve"> dailCompDescNightblade53=^pNightblade's Gift of DAIL</v>
      </c>
      <c r="AA55" t="str">
        <f t="shared" si="18"/>
        <v>dailCompTextNightblade53=^oThis feels warm to the touch, almost familiar ^w(This component only fits into the Medal Slot)ass04/wpattack4.dbr</v>
      </c>
      <c r="AB55" s="5" t="s">
        <v>36</v>
      </c>
      <c r="AH55">
        <f t="shared" si="20"/>
        <v>50</v>
      </c>
      <c r="AI55">
        <f t="shared" si="23"/>
        <v>28</v>
      </c>
      <c r="AJ55">
        <f t="shared" si="19"/>
        <v>3</v>
      </c>
      <c r="AN55" t="str">
        <f t="shared" si="10"/>
        <v>ass04/wpattack4.dbr</v>
      </c>
    </row>
    <row r="56" spans="1:40" x14ac:dyDescent="0.25">
      <c r="A56" s="5" t="s">
        <v>39</v>
      </c>
      <c r="B56" s="5" t="s">
        <v>30</v>
      </c>
      <c r="C56" s="5" t="str">
        <f t="shared" si="0"/>
        <v>description,dailCompDescNightblade54,</v>
      </c>
      <c r="D56" s="5" t="str">
        <f t="shared" si="2"/>
        <v>itemText,dailCompTextNightblade54,</v>
      </c>
      <c r="E56" s="5" t="str">
        <f t="shared" si="15"/>
        <v>augmentSkillLevel1,3,</v>
      </c>
      <c r="F56" s="5" t="str">
        <f t="shared" si="16"/>
        <v>augmentSkillName1,records/skills/playerclass04/wpattack3.dbr,</v>
      </c>
      <c r="G56" s="7">
        <f t="shared" si="11"/>
        <v>54</v>
      </c>
      <c r="H56" s="8" t="str">
        <f t="shared" si="12"/>
        <v>Nightblade</v>
      </c>
      <c r="I56" s="3" t="s">
        <v>123</v>
      </c>
      <c r="J56" s="8" t="str">
        <f t="shared" si="24"/>
        <v>class0004</v>
      </c>
      <c r="K56" s="8" t="str">
        <f t="shared" si="24"/>
        <v>dailoneskill0004</v>
      </c>
      <c r="L56" s="5" t="str">
        <f t="shared" si="4"/>
        <v>lootName54,DAIL/items/materia/class0004/Nightblade54.dbr,</v>
      </c>
      <c r="M56" s="5" t="str">
        <f t="shared" si="5"/>
        <v>lootWeight54,1,</v>
      </c>
      <c r="N56" t="str">
        <f t="shared" si="6"/>
        <v>3</v>
      </c>
      <c r="O56" t="str">
        <f t="shared" si="17"/>
        <v>copy .\dail_base3.dbr .\items\materia\class0004\Nightblade54.dbr /y</v>
      </c>
      <c r="P56" t="str">
        <f t="shared" si="7"/>
        <v>echo relicBitmap,items/craftingparts/components/component_a52_bristlyfur_b.tex, &gt;&gt; .\items\materia\class0004\Nightblade54.dbr</v>
      </c>
      <c r="Q56" t="str">
        <f t="shared" si="7"/>
        <v>echo itemCost,500000, &gt;&gt; .\items\materia\class0004\Nightblade54.dbr</v>
      </c>
      <c r="R56" t="str">
        <f t="shared" si="7"/>
        <v>echo description,dailCompDescNightblade54, &gt;&gt; .\items\materia\class0004\Nightblade54.dbr</v>
      </c>
      <c r="S56" t="str">
        <f t="shared" si="7"/>
        <v>echo itemText,dailCompTextNightblade54, &gt;&gt; .\items\materia\class0004\Nightblade54.dbr</v>
      </c>
      <c r="T56" t="str">
        <f t="shared" si="7"/>
        <v>echo augmentSkillLevel1,3, &gt;&gt; .\items\materia\class0004\Nightblade54.dbr</v>
      </c>
      <c r="U56" t="str">
        <f t="shared" si="7"/>
        <v>echo augmentSkillName1,records/skills/playerclass04/wpattack3.dbr, &gt;&gt; .\items\materia\class0004\Nightblade54.dbr</v>
      </c>
      <c r="V56" s="5" t="s">
        <v>36</v>
      </c>
      <c r="W56" t="str">
        <f t="shared" si="8"/>
        <v>echo lootName54,DAIL/items/materia/class0004/Nightblade54.dbr, &gt;&gt; .\items\loottables\dailoneskill0004.dbr</v>
      </c>
      <c r="X56" t="str">
        <f t="shared" si="8"/>
        <v>echo lootWeight54,1, &gt;&gt; .\items\loottables\dailoneskill0004.dbr</v>
      </c>
      <c r="Y56" s="5" t="s">
        <v>36</v>
      </c>
      <c r="Z56" t="str">
        <f t="shared" si="9"/>
        <v xml:space="preserve"> dailCompDescNightblade54=^pNightblade's Gift of DAIL</v>
      </c>
      <c r="AA56" t="str">
        <f t="shared" si="18"/>
        <v>dailCompTextNightblade54=^oThis feels warm to the touch, almost familiar ^w(This component only fits into the Medal Slot)ass04/wpattack3.dbr</v>
      </c>
      <c r="AB56" s="5" t="s">
        <v>36</v>
      </c>
      <c r="AH56">
        <f t="shared" si="20"/>
        <v>51</v>
      </c>
      <c r="AI56">
        <f t="shared" si="23"/>
        <v>28</v>
      </c>
      <c r="AJ56">
        <f t="shared" si="19"/>
        <v>3</v>
      </c>
      <c r="AN56" t="str">
        <f t="shared" si="10"/>
        <v>ass04/wpattack3.dbr</v>
      </c>
    </row>
    <row r="57" spans="1:40" x14ac:dyDescent="0.25">
      <c r="A57" s="5" t="s">
        <v>39</v>
      </c>
      <c r="B57" s="5" t="s">
        <v>30</v>
      </c>
      <c r="C57" s="5" t="str">
        <f t="shared" si="0"/>
        <v>description,dailCompDescNightblade55,</v>
      </c>
      <c r="D57" s="5" t="str">
        <f t="shared" si="2"/>
        <v>itemText,dailCompTextNightblade55,</v>
      </c>
      <c r="E57" s="5" t="str">
        <f t="shared" si="15"/>
        <v>augmentSkillLevel1,3,</v>
      </c>
      <c r="F57" s="5" t="str">
        <f t="shared" si="16"/>
        <v>augmentSkillName1,records/skills/playerclass04/wpattack4.dbr,</v>
      </c>
      <c r="G57" s="7">
        <f t="shared" si="11"/>
        <v>55</v>
      </c>
      <c r="H57" s="8" t="str">
        <f t="shared" si="12"/>
        <v>Nightblade</v>
      </c>
      <c r="I57" s="3" t="s">
        <v>124</v>
      </c>
      <c r="J57" s="8" t="str">
        <f t="shared" si="24"/>
        <v>class0004</v>
      </c>
      <c r="K57" s="8" t="str">
        <f t="shared" si="24"/>
        <v>dailoneskill0004</v>
      </c>
      <c r="L57" s="5" t="str">
        <f t="shared" si="4"/>
        <v>lootName55,DAIL/items/materia/class0004/Nightblade55.dbr,</v>
      </c>
      <c r="M57" s="5" t="str">
        <f t="shared" si="5"/>
        <v>lootWeight55,1,</v>
      </c>
      <c r="N57" t="str">
        <f t="shared" si="6"/>
        <v>3</v>
      </c>
      <c r="O57" t="str">
        <f t="shared" si="17"/>
        <v>copy .\dail_base3.dbr .\items\materia\class0004\Nightblade55.dbr /y</v>
      </c>
      <c r="P57" t="str">
        <f t="shared" si="7"/>
        <v>echo relicBitmap,items/craftingparts/components/component_a52_bristlyfur_b.tex, &gt;&gt; .\items\materia\class0004\Nightblade55.dbr</v>
      </c>
      <c r="Q57" t="str">
        <f t="shared" si="7"/>
        <v>echo itemCost,500000, &gt;&gt; .\items\materia\class0004\Nightblade55.dbr</v>
      </c>
      <c r="R57" t="str">
        <f t="shared" si="7"/>
        <v>echo description,dailCompDescNightblade55, &gt;&gt; .\items\materia\class0004\Nightblade55.dbr</v>
      </c>
      <c r="S57" t="str">
        <f t="shared" si="7"/>
        <v>echo itemText,dailCompTextNightblade55, &gt;&gt; .\items\materia\class0004\Nightblade55.dbr</v>
      </c>
      <c r="T57" t="str">
        <f t="shared" si="7"/>
        <v>echo augmentSkillLevel1,3, &gt;&gt; .\items\materia\class0004\Nightblade55.dbr</v>
      </c>
      <c r="U57" t="str">
        <f t="shared" si="7"/>
        <v>echo augmentSkillName1,records/skills/playerclass04/wpattack4.dbr, &gt;&gt; .\items\materia\class0004\Nightblade55.dbr</v>
      </c>
      <c r="V57" s="5" t="s">
        <v>36</v>
      </c>
      <c r="W57" t="str">
        <f t="shared" si="8"/>
        <v>echo lootName55,DAIL/items/materia/class0004/Nightblade55.dbr, &gt;&gt; .\items\loottables\dailoneskill0004.dbr</v>
      </c>
      <c r="X57" t="str">
        <f t="shared" si="8"/>
        <v>echo lootWeight55,1, &gt;&gt; .\items\loottables\dailoneskill0004.dbr</v>
      </c>
      <c r="Y57" s="5" t="s">
        <v>36</v>
      </c>
      <c r="Z57" t="str">
        <f t="shared" si="9"/>
        <v xml:space="preserve"> dailCompDescNightblade55=^pNightblade's Gift of DAIL</v>
      </c>
      <c r="AA57" t="str">
        <f t="shared" si="18"/>
        <v>dailCompTextNightblade55=^oThis feels warm to the touch, almost familiar ^w(This component only fits into the Medal Slot)ass04/wpattack4.dbr</v>
      </c>
      <c r="AB57" s="5" t="s">
        <v>36</v>
      </c>
      <c r="AH57">
        <f t="shared" si="20"/>
        <v>52</v>
      </c>
      <c r="AI57">
        <f t="shared" si="23"/>
        <v>28</v>
      </c>
      <c r="AJ57">
        <f t="shared" si="19"/>
        <v>3</v>
      </c>
      <c r="AN57" t="str">
        <f t="shared" si="10"/>
        <v>ass04/wpattack4.dbr</v>
      </c>
    </row>
    <row r="58" spans="1:40" x14ac:dyDescent="0.25">
      <c r="A58" s="5" t="s">
        <v>39</v>
      </c>
      <c r="B58" s="5" t="s">
        <v>30</v>
      </c>
      <c r="C58" s="5" t="str">
        <f t="shared" si="0"/>
        <v>description,dailCompDescNightblade56,</v>
      </c>
      <c r="D58" s="5" t="str">
        <f t="shared" si="2"/>
        <v>itemText,dailCompTextNightblade56,</v>
      </c>
      <c r="E58" s="5" t="str">
        <f t="shared" si="15"/>
        <v>augmentSkillLevel1,3,</v>
      </c>
      <c r="F58" s="5" t="str">
        <f t="shared" si="16"/>
        <v>augmentSkillName1,records/skills/playerclass04/wpattack5.dbr,</v>
      </c>
      <c r="G58" s="7">
        <f t="shared" si="11"/>
        <v>56</v>
      </c>
      <c r="H58" s="8" t="str">
        <f t="shared" si="12"/>
        <v>Nightblade</v>
      </c>
      <c r="I58" s="3" t="s">
        <v>125</v>
      </c>
      <c r="J58" s="8" t="str">
        <f t="shared" si="24"/>
        <v>class0004</v>
      </c>
      <c r="K58" s="8" t="str">
        <f t="shared" si="24"/>
        <v>dailoneskill0004</v>
      </c>
      <c r="L58" s="5" t="str">
        <f t="shared" si="4"/>
        <v>lootName56,DAIL/items/materia/class0004/Nightblade56.dbr,</v>
      </c>
      <c r="M58" s="5" t="str">
        <f t="shared" si="5"/>
        <v>lootWeight56,1,</v>
      </c>
      <c r="N58" t="str">
        <f t="shared" si="6"/>
        <v>3</v>
      </c>
      <c r="O58" t="str">
        <f t="shared" si="17"/>
        <v>copy .\dail_base3.dbr .\items\materia\class0004\Nightblade56.dbr /y</v>
      </c>
      <c r="P58" t="str">
        <f t="shared" si="7"/>
        <v>echo relicBitmap,items/craftingparts/components/component_a52_bristlyfur_b.tex, &gt;&gt; .\items\materia\class0004\Nightblade56.dbr</v>
      </c>
      <c r="Q58" t="str">
        <f t="shared" si="7"/>
        <v>echo itemCost,500000, &gt;&gt; .\items\materia\class0004\Nightblade56.dbr</v>
      </c>
      <c r="R58" t="str">
        <f t="shared" si="7"/>
        <v>echo description,dailCompDescNightblade56, &gt;&gt; .\items\materia\class0004\Nightblade56.dbr</v>
      </c>
      <c r="S58" t="str">
        <f t="shared" si="7"/>
        <v>echo itemText,dailCompTextNightblade56, &gt;&gt; .\items\materia\class0004\Nightblade56.dbr</v>
      </c>
      <c r="T58" t="str">
        <f t="shared" si="7"/>
        <v>echo augmentSkillLevel1,3, &gt;&gt; .\items\materia\class0004\Nightblade56.dbr</v>
      </c>
      <c r="U58" t="str">
        <f t="shared" si="7"/>
        <v>echo augmentSkillName1,records/skills/playerclass04/wpattack5.dbr, &gt;&gt; .\items\materia\class0004\Nightblade56.dbr</v>
      </c>
      <c r="V58" s="5" t="s">
        <v>36</v>
      </c>
      <c r="W58" t="str">
        <f t="shared" si="8"/>
        <v>echo lootName56,DAIL/items/materia/class0004/Nightblade56.dbr, &gt;&gt; .\items\loottables\dailoneskill0004.dbr</v>
      </c>
      <c r="X58" t="str">
        <f t="shared" si="8"/>
        <v>echo lootWeight56,1, &gt;&gt; .\items\loottables\dailoneskill0004.dbr</v>
      </c>
      <c r="Y58" s="5" t="s">
        <v>36</v>
      </c>
      <c r="Z58" t="str">
        <f t="shared" si="9"/>
        <v xml:space="preserve"> dailCompDescNightblade56=^pNightblade's Gift of DAIL</v>
      </c>
      <c r="AA58" t="str">
        <f t="shared" si="18"/>
        <v>dailCompTextNightblade56=^oThis feels warm to the touch, almost familiar ^w(This component only fits into the Medal Slot)ass04/wpattack5.dbr</v>
      </c>
      <c r="AB58" s="5" t="s">
        <v>36</v>
      </c>
      <c r="AH58">
        <f t="shared" si="20"/>
        <v>53</v>
      </c>
      <c r="AI58">
        <f t="shared" si="23"/>
        <v>28</v>
      </c>
      <c r="AJ58">
        <f t="shared" si="19"/>
        <v>3</v>
      </c>
      <c r="AN58" t="str">
        <f t="shared" si="10"/>
        <v>ass04/wpattack5.dbr</v>
      </c>
    </row>
    <row r="59" spans="1:40" x14ac:dyDescent="0.25">
      <c r="A59" s="5" t="s">
        <v>39</v>
      </c>
      <c r="B59" s="5" t="s">
        <v>30</v>
      </c>
      <c r="C59" s="5" t="str">
        <f t="shared" si="0"/>
        <v>description,dailCompDescNightblade57,</v>
      </c>
      <c r="D59" s="5" t="str">
        <f t="shared" si="2"/>
        <v>itemText,dailCompTextNightblade57,</v>
      </c>
      <c r="E59" s="5" t="str">
        <f t="shared" si="15"/>
        <v>augmentSkillLevel1,3,</v>
      </c>
      <c r="F59" s="5" t="str">
        <f t="shared" si="16"/>
        <v>augmentSkillName1,records/skills/playerclass04/ringofsteel.dbr,</v>
      </c>
      <c r="G59" s="7">
        <f t="shared" si="11"/>
        <v>57</v>
      </c>
      <c r="H59" s="8" t="str">
        <f t="shared" si="12"/>
        <v>Nightblade</v>
      </c>
      <c r="I59" s="3" t="s">
        <v>117</v>
      </c>
      <c r="J59" s="8" t="str">
        <f t="shared" si="24"/>
        <v>class0004</v>
      </c>
      <c r="K59" s="8" t="str">
        <f t="shared" si="24"/>
        <v>dailoneskill0004</v>
      </c>
      <c r="L59" s="5" t="str">
        <f t="shared" si="4"/>
        <v>lootName57,DAIL/items/materia/class0004/Nightblade57.dbr,</v>
      </c>
      <c r="M59" s="5" t="str">
        <f t="shared" si="5"/>
        <v>lootWeight57,1,</v>
      </c>
      <c r="N59" t="str">
        <f t="shared" si="6"/>
        <v>3</v>
      </c>
      <c r="O59" t="str">
        <f t="shared" si="17"/>
        <v>copy .\dail_base3.dbr .\items\materia\class0004\Nightblade57.dbr /y</v>
      </c>
      <c r="P59" t="str">
        <f t="shared" ref="P59:U101" si="25">IF($I59&lt;&gt;"","echo "&amp;A59&amp;" &gt;&gt; .\items\materia\"&amp;$J59&amp;"\"&amp;$H59&amp;$G59&amp;".dbr","")</f>
        <v>echo relicBitmap,items/craftingparts/components/component_a52_bristlyfur_b.tex, &gt;&gt; .\items\materia\class0004\Nightblade57.dbr</v>
      </c>
      <c r="Q59" t="str">
        <f t="shared" si="25"/>
        <v>echo itemCost,500000, &gt;&gt; .\items\materia\class0004\Nightblade57.dbr</v>
      </c>
      <c r="R59" t="str">
        <f t="shared" si="25"/>
        <v>echo description,dailCompDescNightblade57, &gt;&gt; .\items\materia\class0004\Nightblade57.dbr</v>
      </c>
      <c r="S59" t="str">
        <f t="shared" si="25"/>
        <v>echo itemText,dailCompTextNightblade57, &gt;&gt; .\items\materia\class0004\Nightblade57.dbr</v>
      </c>
      <c r="T59" t="str">
        <f t="shared" si="25"/>
        <v>echo augmentSkillLevel1,3, &gt;&gt; .\items\materia\class0004\Nightblade57.dbr</v>
      </c>
      <c r="U59" t="str">
        <f t="shared" si="25"/>
        <v>echo augmentSkillName1,records/skills/playerclass04/ringofsteel.dbr, &gt;&gt; .\items\materia\class0004\Nightblade57.dbr</v>
      </c>
      <c r="V59" s="5" t="s">
        <v>36</v>
      </c>
      <c r="W59" t="str">
        <f t="shared" si="8"/>
        <v>echo lootName57,DAIL/items/materia/class0004/Nightblade57.dbr, &gt;&gt; .\items\loottables\dailoneskill0004.dbr</v>
      </c>
      <c r="X59" t="str">
        <f t="shared" si="8"/>
        <v>echo lootWeight57,1, &gt;&gt; .\items\loottables\dailoneskill0004.dbr</v>
      </c>
      <c r="Y59" s="5" t="s">
        <v>36</v>
      </c>
      <c r="Z59" t="str">
        <f t="shared" si="9"/>
        <v xml:space="preserve"> dailCompDescNightblade57=^pNightblade's Gift of DAIL</v>
      </c>
      <c r="AA59" t="str">
        <f t="shared" si="18"/>
        <v>dailCompTextNightblade57=^oThis feels warm to the touch, almost familiar ^w(This component only fits into the Medal Slot)s04/ringofsteel.dbr</v>
      </c>
      <c r="AB59" s="5" t="s">
        <v>36</v>
      </c>
      <c r="AH59">
        <f t="shared" si="20"/>
        <v>54</v>
      </c>
      <c r="AI59">
        <f t="shared" si="23"/>
        <v>30</v>
      </c>
      <c r="AJ59">
        <f t="shared" si="19"/>
        <v>3</v>
      </c>
      <c r="AN59" t="str">
        <f t="shared" si="10"/>
        <v>s04/ringofsteel.dbr</v>
      </c>
    </row>
    <row r="60" spans="1:40" x14ac:dyDescent="0.25">
      <c r="A60" s="5" t="s">
        <v>39</v>
      </c>
      <c r="B60" s="5" t="s">
        <v>30</v>
      </c>
      <c r="C60" s="5" t="str">
        <f t="shared" si="0"/>
        <v>description,dailCompDescNightblade58,</v>
      </c>
      <c r="D60" s="5" t="str">
        <f t="shared" si="2"/>
        <v>itemText,dailCompTextNightblade58,</v>
      </c>
      <c r="E60" s="5" t="str">
        <f t="shared" si="15"/>
        <v>augmentSkillLevel1,3,</v>
      </c>
      <c r="F60" s="5" t="str">
        <f t="shared" si="16"/>
        <v>augmentSkillName1,records/skills/playerclass04/phantomblade_mod0.dbr,</v>
      </c>
      <c r="G60" s="7">
        <f t="shared" si="11"/>
        <v>58</v>
      </c>
      <c r="H60" s="8" t="str">
        <f t="shared" si="12"/>
        <v>Nightblade</v>
      </c>
      <c r="I60" s="3" t="s">
        <v>314</v>
      </c>
      <c r="J60" s="8" t="str">
        <f t="shared" si="24"/>
        <v>class0004</v>
      </c>
      <c r="K60" s="8" t="str">
        <f t="shared" si="24"/>
        <v>dailoneskill0004</v>
      </c>
      <c r="L60" s="5" t="str">
        <f t="shared" si="4"/>
        <v>lootName58,DAIL/items/materia/class0004/Nightblade58.dbr,</v>
      </c>
      <c r="M60" s="5" t="str">
        <f t="shared" si="5"/>
        <v>lootWeight58,1,</v>
      </c>
      <c r="N60" t="str">
        <f t="shared" si="6"/>
        <v>3</v>
      </c>
      <c r="O60" t="str">
        <f t="shared" si="17"/>
        <v>copy .\dail_base3.dbr .\items\materia\class0004\Nightblade58.dbr /y</v>
      </c>
      <c r="P60" t="str">
        <f t="shared" si="25"/>
        <v>echo relicBitmap,items/craftingparts/components/component_a52_bristlyfur_b.tex, &gt;&gt; .\items\materia\class0004\Nightblade58.dbr</v>
      </c>
      <c r="Q60" t="str">
        <f t="shared" si="25"/>
        <v>echo itemCost,500000, &gt;&gt; .\items\materia\class0004\Nightblade58.dbr</v>
      </c>
      <c r="R60" t="str">
        <f t="shared" si="25"/>
        <v>echo description,dailCompDescNightblade58, &gt;&gt; .\items\materia\class0004\Nightblade58.dbr</v>
      </c>
      <c r="S60" t="str">
        <f t="shared" si="25"/>
        <v>echo itemText,dailCompTextNightblade58, &gt;&gt; .\items\materia\class0004\Nightblade58.dbr</v>
      </c>
      <c r="T60" t="str">
        <f t="shared" si="25"/>
        <v>echo augmentSkillLevel1,3, &gt;&gt; .\items\materia\class0004\Nightblade58.dbr</v>
      </c>
      <c r="U60" t="str">
        <f t="shared" si="25"/>
        <v>echo augmentSkillName1,records/skills/playerclass04/phantomblade_mod0.dbr, &gt;&gt; .\items\materia\class0004\Nightblade58.dbr</v>
      </c>
      <c r="V60" s="5" t="s">
        <v>36</v>
      </c>
      <c r="W60" t="str">
        <f t="shared" si="8"/>
        <v>echo lootName58,DAIL/items/materia/class0004/Nightblade58.dbr, &gt;&gt; .\items\loottables\dailoneskill0004.dbr</v>
      </c>
      <c r="X60" t="str">
        <f t="shared" si="8"/>
        <v>echo lootWeight58,1, &gt;&gt; .\items\loottables\dailoneskill0004.dbr</v>
      </c>
      <c r="Y60" s="5" t="s">
        <v>36</v>
      </c>
      <c r="Z60" t="str">
        <f t="shared" si="9"/>
        <v xml:space="preserve"> dailCompDescNightblade58=^pNightblade's Gift of DAIL</v>
      </c>
      <c r="AA60" t="str">
        <f t="shared" si="18"/>
        <v>dailCompTextNightblade58=^oThis feels warm to the touch, almost familiar ^w(This component only fits into the Medal Slot)antomblade_mod0.dbr</v>
      </c>
      <c r="AB60" s="5" t="s">
        <v>36</v>
      </c>
      <c r="AH60">
        <f t="shared" si="20"/>
        <v>55</v>
      </c>
      <c r="AI60">
        <f t="shared" si="23"/>
        <v>36</v>
      </c>
      <c r="AJ60">
        <f t="shared" si="19"/>
        <v>3</v>
      </c>
      <c r="AN60" t="str">
        <f t="shared" si="10"/>
        <v>antomblade_mod0.dbr</v>
      </c>
    </row>
    <row r="61" spans="1:40" x14ac:dyDescent="0.25">
      <c r="A61" s="5" t="s">
        <v>39</v>
      </c>
      <c r="B61" s="5" t="s">
        <v>30</v>
      </c>
      <c r="C61" s="5" t="str">
        <f t="shared" si="0"/>
        <v>description,dailCompDescNightblade59,</v>
      </c>
      <c r="D61" s="5" t="str">
        <f t="shared" si="2"/>
        <v>itemText,dailCompTextNightblade59,</v>
      </c>
      <c r="E61" s="5" t="str">
        <f t="shared" si="15"/>
        <v>augmentSkillLevel1,3,</v>
      </c>
      <c r="F61" s="5" t="str">
        <f t="shared" si="16"/>
        <v>augmentSkillName1,records/skills/playerclass04/ringofsteel_mod0.dbr,</v>
      </c>
      <c r="G61" s="7">
        <f t="shared" si="11"/>
        <v>59</v>
      </c>
      <c r="H61" s="8" t="str">
        <f t="shared" si="12"/>
        <v>Nightblade</v>
      </c>
      <c r="I61" s="3" t="s">
        <v>315</v>
      </c>
      <c r="J61" s="8" t="str">
        <f t="shared" si="24"/>
        <v>class0004</v>
      </c>
      <c r="K61" s="8" t="str">
        <f t="shared" si="24"/>
        <v>dailoneskill0004</v>
      </c>
      <c r="L61" s="5" t="str">
        <f t="shared" si="4"/>
        <v>lootName59,DAIL/items/materia/class0004/Nightblade59.dbr,</v>
      </c>
      <c r="M61" s="5" t="str">
        <f t="shared" si="5"/>
        <v>lootWeight59,1,</v>
      </c>
      <c r="N61" t="str">
        <f t="shared" si="6"/>
        <v>3</v>
      </c>
      <c r="O61" t="str">
        <f t="shared" si="17"/>
        <v>copy .\dail_base3.dbr .\items\materia\class0004\Nightblade59.dbr /y</v>
      </c>
      <c r="P61" t="str">
        <f t="shared" si="25"/>
        <v>echo relicBitmap,items/craftingparts/components/component_a52_bristlyfur_b.tex, &gt;&gt; .\items\materia\class0004\Nightblade59.dbr</v>
      </c>
      <c r="Q61" t="str">
        <f t="shared" si="25"/>
        <v>echo itemCost,500000, &gt;&gt; .\items\materia\class0004\Nightblade59.dbr</v>
      </c>
      <c r="R61" t="str">
        <f t="shared" si="25"/>
        <v>echo description,dailCompDescNightblade59, &gt;&gt; .\items\materia\class0004\Nightblade59.dbr</v>
      </c>
      <c r="S61" t="str">
        <f t="shared" si="25"/>
        <v>echo itemText,dailCompTextNightblade59, &gt;&gt; .\items\materia\class0004\Nightblade59.dbr</v>
      </c>
      <c r="T61" t="str">
        <f t="shared" si="25"/>
        <v>echo augmentSkillLevel1,3, &gt;&gt; .\items\materia\class0004\Nightblade59.dbr</v>
      </c>
      <c r="U61" t="str">
        <f t="shared" si="25"/>
        <v>echo augmentSkillName1,records/skills/playerclass04/ringofsteel_mod0.dbr, &gt;&gt; .\items\materia\class0004\Nightblade59.dbr</v>
      </c>
      <c r="V61" s="5" t="s">
        <v>36</v>
      </c>
      <c r="W61" t="str">
        <f t="shared" si="8"/>
        <v>echo lootName59,DAIL/items/materia/class0004/Nightblade59.dbr, &gt;&gt; .\items\loottables\dailoneskill0004.dbr</v>
      </c>
      <c r="X61" t="str">
        <f t="shared" si="8"/>
        <v>echo lootWeight59,1, &gt;&gt; .\items\loottables\dailoneskill0004.dbr</v>
      </c>
      <c r="Y61" s="5" t="s">
        <v>36</v>
      </c>
      <c r="Z61" t="str">
        <f t="shared" si="9"/>
        <v xml:space="preserve"> dailCompDescNightblade59=^pNightblade's Gift of DAIL</v>
      </c>
      <c r="AA61" t="str">
        <f t="shared" si="18"/>
        <v>dailCompTextNightblade59=^oThis feels warm to the touch, almost familiar ^w(This component only fits into the Medal Slot)ingofsteel_mod0.dbr</v>
      </c>
      <c r="AB61" s="5" t="s">
        <v>36</v>
      </c>
      <c r="AH61">
        <f t="shared" si="20"/>
        <v>56</v>
      </c>
      <c r="AI61">
        <f t="shared" si="23"/>
        <v>35</v>
      </c>
      <c r="AJ61">
        <f t="shared" si="19"/>
        <v>3</v>
      </c>
      <c r="AN61" t="str">
        <f t="shared" si="10"/>
        <v>ingofsteel_mod0.dbr</v>
      </c>
    </row>
    <row r="62" spans="1:40" x14ac:dyDescent="0.25">
      <c r="A62" s="5" t="s">
        <v>39</v>
      </c>
      <c r="B62" s="5" t="s">
        <v>30</v>
      </c>
      <c r="C62" s="5" t="str">
        <f t="shared" si="0"/>
        <v>description,dailCompDescNightblade60,</v>
      </c>
      <c r="D62" s="5" t="str">
        <f t="shared" si="2"/>
        <v>itemText,dailCompTextNightblade60,</v>
      </c>
      <c r="E62" s="5" t="str">
        <f t="shared" si="15"/>
        <v>augmentSkillLevel1,3,</v>
      </c>
      <c r="F62" s="5" t="str">
        <f t="shared" si="16"/>
        <v>augmentSkillName1,records/skills/playerclass04/ringofsteel_mod1.dbr,</v>
      </c>
      <c r="G62" s="7">
        <f t="shared" si="11"/>
        <v>60</v>
      </c>
      <c r="H62" s="8" t="str">
        <f t="shared" si="12"/>
        <v>Nightblade</v>
      </c>
      <c r="I62" s="3" t="s">
        <v>316</v>
      </c>
      <c r="J62" s="8" t="str">
        <f t="shared" si="24"/>
        <v>class0004</v>
      </c>
      <c r="K62" s="8" t="str">
        <f t="shared" si="24"/>
        <v>dailoneskill0004</v>
      </c>
      <c r="L62" s="5" t="str">
        <f t="shared" si="4"/>
        <v>lootName60,DAIL/items/materia/class0004/Nightblade60.dbr,</v>
      </c>
      <c r="M62" s="5" t="str">
        <f t="shared" si="5"/>
        <v>lootWeight60,1,</v>
      </c>
      <c r="N62" t="str">
        <f t="shared" si="6"/>
        <v>3</v>
      </c>
      <c r="O62" t="str">
        <f t="shared" si="17"/>
        <v>copy .\dail_base3.dbr .\items\materia\class0004\Nightblade60.dbr /y</v>
      </c>
      <c r="P62" t="str">
        <f t="shared" si="25"/>
        <v>echo relicBitmap,items/craftingparts/components/component_a52_bristlyfur_b.tex, &gt;&gt; .\items\materia\class0004\Nightblade60.dbr</v>
      </c>
      <c r="Q62" t="str">
        <f t="shared" si="25"/>
        <v>echo itemCost,500000, &gt;&gt; .\items\materia\class0004\Nightblade60.dbr</v>
      </c>
      <c r="R62" t="str">
        <f t="shared" si="25"/>
        <v>echo description,dailCompDescNightblade60, &gt;&gt; .\items\materia\class0004\Nightblade60.dbr</v>
      </c>
      <c r="S62" t="str">
        <f t="shared" si="25"/>
        <v>echo itemText,dailCompTextNightblade60, &gt;&gt; .\items\materia\class0004\Nightblade60.dbr</v>
      </c>
      <c r="T62" t="str">
        <f t="shared" si="25"/>
        <v>echo augmentSkillLevel1,3, &gt;&gt; .\items\materia\class0004\Nightblade60.dbr</v>
      </c>
      <c r="U62" t="str">
        <f t="shared" si="25"/>
        <v>echo augmentSkillName1,records/skills/playerclass04/ringofsteel_mod1.dbr, &gt;&gt; .\items\materia\class0004\Nightblade60.dbr</v>
      </c>
      <c r="V62" s="5" t="s">
        <v>36</v>
      </c>
      <c r="W62" t="str">
        <f t="shared" si="8"/>
        <v>echo lootName60,DAIL/items/materia/class0004/Nightblade60.dbr, &gt;&gt; .\items\loottables\dailoneskill0004.dbr</v>
      </c>
      <c r="X62" t="str">
        <f t="shared" si="8"/>
        <v>echo lootWeight60,1, &gt;&gt; .\items\loottables\dailoneskill0004.dbr</v>
      </c>
      <c r="Y62" s="5" t="s">
        <v>36</v>
      </c>
      <c r="Z62" t="str">
        <f t="shared" si="9"/>
        <v xml:space="preserve"> dailCompDescNightblade60=^pNightblade's Gift of DAIL</v>
      </c>
      <c r="AA62" t="str">
        <f t="shared" si="18"/>
        <v>dailCompTextNightblade60=^oThis feels warm to the touch, almost familiar ^w(This component only fits into the Medal Slot)ingofsteel_mod1.dbr</v>
      </c>
      <c r="AB62" s="5" t="s">
        <v>36</v>
      </c>
      <c r="AH62">
        <f t="shared" si="20"/>
        <v>57</v>
      </c>
      <c r="AI62">
        <f t="shared" si="23"/>
        <v>35</v>
      </c>
      <c r="AJ62">
        <f t="shared" si="19"/>
        <v>3</v>
      </c>
      <c r="AN62" t="str">
        <f t="shared" si="10"/>
        <v>ingofsteel_mod1.dbr</v>
      </c>
    </row>
    <row r="63" spans="1:40" x14ac:dyDescent="0.25">
      <c r="A63" s="5" t="s">
        <v>39</v>
      </c>
      <c r="B63" s="5" t="s">
        <v>30</v>
      </c>
      <c r="C63" s="5" t="str">
        <f t="shared" si="0"/>
        <v>description,dailCompDescNightblade61,</v>
      </c>
      <c r="D63" s="5" t="str">
        <f t="shared" si="2"/>
        <v>itemText,dailCompTextNightblade61,</v>
      </c>
      <c r="E63" s="5" t="str">
        <f t="shared" si="15"/>
        <v>augmentSkillLevel1,3,</v>
      </c>
      <c r="F63" s="5" t="str">
        <f t="shared" si="16"/>
        <v>augmentSkillName1,records/skills/playerclass04/summon_bladespirit.dbr,</v>
      </c>
      <c r="G63" s="7">
        <f t="shared" si="11"/>
        <v>61</v>
      </c>
      <c r="H63" s="8" t="str">
        <f t="shared" si="12"/>
        <v>Nightblade</v>
      </c>
      <c r="I63" s="3" t="s">
        <v>119</v>
      </c>
      <c r="J63" s="8" t="str">
        <f t="shared" si="24"/>
        <v>class0004</v>
      </c>
      <c r="K63" s="8" t="str">
        <f t="shared" si="24"/>
        <v>dailoneskill0004</v>
      </c>
      <c r="L63" s="5" t="str">
        <f t="shared" si="4"/>
        <v>lootName61,DAIL/items/materia/class0004/Nightblade61.dbr,</v>
      </c>
      <c r="M63" s="5" t="str">
        <f t="shared" si="5"/>
        <v>lootWeight61,1,</v>
      </c>
      <c r="N63" t="str">
        <f t="shared" si="6"/>
        <v>3</v>
      </c>
      <c r="O63" t="str">
        <f t="shared" si="17"/>
        <v>copy .\dail_base3.dbr .\items\materia\class0004\Nightblade61.dbr /y</v>
      </c>
      <c r="P63" t="str">
        <f t="shared" si="25"/>
        <v>echo relicBitmap,items/craftingparts/components/component_a52_bristlyfur_b.tex, &gt;&gt; .\items\materia\class0004\Nightblade61.dbr</v>
      </c>
      <c r="Q63" t="str">
        <f t="shared" si="25"/>
        <v>echo itemCost,500000, &gt;&gt; .\items\materia\class0004\Nightblade61.dbr</v>
      </c>
      <c r="R63" t="str">
        <f t="shared" si="25"/>
        <v>echo description,dailCompDescNightblade61, &gt;&gt; .\items\materia\class0004\Nightblade61.dbr</v>
      </c>
      <c r="S63" t="str">
        <f t="shared" si="25"/>
        <v>echo itemText,dailCompTextNightblade61, &gt;&gt; .\items\materia\class0004\Nightblade61.dbr</v>
      </c>
      <c r="T63" t="str">
        <f t="shared" si="25"/>
        <v>echo augmentSkillLevel1,3, &gt;&gt; .\items\materia\class0004\Nightblade61.dbr</v>
      </c>
      <c r="U63" t="str">
        <f t="shared" si="25"/>
        <v>echo augmentSkillName1,records/skills/playerclass04/summon_bladespirit.dbr, &gt;&gt; .\items\materia\class0004\Nightblade61.dbr</v>
      </c>
      <c r="V63" s="5" t="s">
        <v>36</v>
      </c>
      <c r="W63" t="str">
        <f t="shared" si="8"/>
        <v>echo lootName61,DAIL/items/materia/class0004/Nightblade61.dbr, &gt;&gt; .\items\loottables\dailoneskill0004.dbr</v>
      </c>
      <c r="X63" t="str">
        <f t="shared" si="8"/>
        <v>echo lootWeight61,1, &gt;&gt; .\items\loottables\dailoneskill0004.dbr</v>
      </c>
      <c r="Y63" s="5" t="s">
        <v>36</v>
      </c>
      <c r="Z63" t="str">
        <f t="shared" si="9"/>
        <v xml:space="preserve"> dailCompDescNightblade61=^pNightblade's Gift of DAIL</v>
      </c>
      <c r="AA63" t="str">
        <f t="shared" si="18"/>
        <v>dailCompTextNightblade61=^oThis feels warm to the touch, almost familiar ^w(This component only fits into the Medal Slot)mon_bladespirit.dbr</v>
      </c>
      <c r="AB63" s="5" t="s">
        <v>36</v>
      </c>
      <c r="AH63">
        <f t="shared" si="20"/>
        <v>58</v>
      </c>
      <c r="AI63">
        <f t="shared" si="23"/>
        <v>37</v>
      </c>
      <c r="AJ63">
        <f t="shared" si="19"/>
        <v>3</v>
      </c>
      <c r="AN63" t="str">
        <f t="shared" si="10"/>
        <v>mon_bladespirit.dbr</v>
      </c>
    </row>
    <row r="64" spans="1:40" x14ac:dyDescent="0.25">
      <c r="A64" s="5" t="s">
        <v>39</v>
      </c>
      <c r="B64" s="5" t="s">
        <v>30</v>
      </c>
      <c r="C64" s="5" t="str">
        <f t="shared" si="0"/>
        <v>description,dailCompDescNightblade62,</v>
      </c>
      <c r="D64" s="5" t="str">
        <f t="shared" si="2"/>
        <v>itemText,dailCompTextNightblade62,</v>
      </c>
      <c r="E64" s="5" t="str">
        <f t="shared" si="15"/>
        <v>augmentSkillLevel1,3,</v>
      </c>
      <c r="F64" s="5" t="str">
        <f t="shared" si="16"/>
        <v>augmentSkillName1,records/skills/playerclass04/veilofshadows1.dbr,</v>
      </c>
      <c r="G64" s="7">
        <f t="shared" si="11"/>
        <v>62</v>
      </c>
      <c r="H64" s="8" t="str">
        <f t="shared" si="12"/>
        <v>Nightblade</v>
      </c>
      <c r="I64" s="3" t="s">
        <v>120</v>
      </c>
      <c r="J64" s="8" t="str">
        <f t="shared" si="24"/>
        <v>class0004</v>
      </c>
      <c r="K64" s="8" t="str">
        <f t="shared" si="24"/>
        <v>dailoneskill0004</v>
      </c>
      <c r="L64" s="5" t="str">
        <f t="shared" si="4"/>
        <v>lootName62,DAIL/items/materia/class0004/Nightblade62.dbr,</v>
      </c>
      <c r="M64" s="5" t="str">
        <f t="shared" si="5"/>
        <v>lootWeight62,1,</v>
      </c>
      <c r="N64" t="str">
        <f t="shared" si="6"/>
        <v>3</v>
      </c>
      <c r="O64" t="str">
        <f t="shared" si="17"/>
        <v>copy .\dail_base3.dbr .\items\materia\class0004\Nightblade62.dbr /y</v>
      </c>
      <c r="P64" t="str">
        <f t="shared" si="25"/>
        <v>echo relicBitmap,items/craftingparts/components/component_a52_bristlyfur_b.tex, &gt;&gt; .\items\materia\class0004\Nightblade62.dbr</v>
      </c>
      <c r="Q64" t="str">
        <f t="shared" si="25"/>
        <v>echo itemCost,500000, &gt;&gt; .\items\materia\class0004\Nightblade62.dbr</v>
      </c>
      <c r="R64" t="str">
        <f t="shared" si="25"/>
        <v>echo description,dailCompDescNightblade62, &gt;&gt; .\items\materia\class0004\Nightblade62.dbr</v>
      </c>
      <c r="S64" t="str">
        <f t="shared" si="25"/>
        <v>echo itemText,dailCompTextNightblade62, &gt;&gt; .\items\materia\class0004\Nightblade62.dbr</v>
      </c>
      <c r="T64" t="str">
        <f t="shared" si="25"/>
        <v>echo augmentSkillLevel1,3, &gt;&gt; .\items\materia\class0004\Nightblade62.dbr</v>
      </c>
      <c r="U64" t="str">
        <f t="shared" si="25"/>
        <v>echo augmentSkillName1,records/skills/playerclass04/veilofshadows1.dbr, &gt;&gt; .\items\materia\class0004\Nightblade62.dbr</v>
      </c>
      <c r="V64" s="5" t="s">
        <v>36</v>
      </c>
      <c r="W64" t="str">
        <f t="shared" si="8"/>
        <v>echo lootName62,DAIL/items/materia/class0004/Nightblade62.dbr, &gt;&gt; .\items\loottables\dailoneskill0004.dbr</v>
      </c>
      <c r="X64" t="str">
        <f t="shared" si="8"/>
        <v>echo lootWeight62,1, &gt;&gt; .\items\loottables\dailoneskill0004.dbr</v>
      </c>
      <c r="Y64" s="5" t="s">
        <v>36</v>
      </c>
      <c r="Z64" t="str">
        <f t="shared" si="9"/>
        <v xml:space="preserve"> dailCompDescNightblade62=^pNightblade's Gift of DAIL</v>
      </c>
      <c r="AA64" t="str">
        <f t="shared" si="18"/>
        <v>dailCompTextNightblade62=^oThis feels warm to the touch, almost familiar ^w(This component only fits into the Medal Slot)/veilofshadows1.dbr</v>
      </c>
      <c r="AB64" s="5" t="s">
        <v>36</v>
      </c>
      <c r="AH64">
        <f t="shared" si="20"/>
        <v>59</v>
      </c>
      <c r="AI64">
        <f t="shared" si="23"/>
        <v>33</v>
      </c>
      <c r="AJ64">
        <f t="shared" si="19"/>
        <v>3</v>
      </c>
      <c r="AN64" t="str">
        <f t="shared" si="10"/>
        <v>/veilofshadows1.dbr</v>
      </c>
    </row>
    <row r="65" spans="1:40" x14ac:dyDescent="0.25">
      <c r="A65" s="5" t="s">
        <v>39</v>
      </c>
      <c r="B65" s="5" t="s">
        <v>30</v>
      </c>
      <c r="C65" s="5" t="str">
        <f t="shared" si="0"/>
        <v>description,dailCompDescNightblade63,</v>
      </c>
      <c r="D65" s="5" t="str">
        <f t="shared" si="2"/>
        <v>itemText,dailCompTextNightblade63,</v>
      </c>
      <c r="E65" s="5" t="str">
        <f t="shared" si="15"/>
        <v>augmentSkillLevel1,3,</v>
      </c>
      <c r="F65" s="5" t="str">
        <f t="shared" si="16"/>
        <v>augmentSkillName1,records/skills/playerclass04/veilofshadows2.dbr,</v>
      </c>
      <c r="G65" s="7">
        <f t="shared" si="11"/>
        <v>63</v>
      </c>
      <c r="H65" s="8" t="str">
        <f t="shared" si="12"/>
        <v>Nightblade</v>
      </c>
      <c r="I65" s="3" t="s">
        <v>245</v>
      </c>
      <c r="J65" s="8" t="str">
        <f t="shared" si="24"/>
        <v>class0004</v>
      </c>
      <c r="K65" s="8" t="str">
        <f t="shared" si="24"/>
        <v>dailoneskill0004</v>
      </c>
      <c r="L65" s="5" t="str">
        <f t="shared" si="4"/>
        <v>lootName63,DAIL/items/materia/class0004/Nightblade63.dbr,</v>
      </c>
      <c r="M65" s="5" t="str">
        <f t="shared" si="5"/>
        <v>lootWeight63,1,</v>
      </c>
      <c r="N65" t="str">
        <f t="shared" si="6"/>
        <v>3</v>
      </c>
      <c r="O65" t="str">
        <f t="shared" si="17"/>
        <v>copy .\dail_base3.dbr .\items\materia\class0004\Nightblade63.dbr /y</v>
      </c>
      <c r="P65" t="str">
        <f t="shared" si="25"/>
        <v>echo relicBitmap,items/craftingparts/components/component_a52_bristlyfur_b.tex, &gt;&gt; .\items\materia\class0004\Nightblade63.dbr</v>
      </c>
      <c r="Q65" t="str">
        <f t="shared" si="25"/>
        <v>echo itemCost,500000, &gt;&gt; .\items\materia\class0004\Nightblade63.dbr</v>
      </c>
      <c r="R65" t="str">
        <f t="shared" si="25"/>
        <v>echo description,dailCompDescNightblade63, &gt;&gt; .\items\materia\class0004\Nightblade63.dbr</v>
      </c>
      <c r="S65" t="str">
        <f t="shared" si="25"/>
        <v>echo itemText,dailCompTextNightblade63, &gt;&gt; .\items\materia\class0004\Nightblade63.dbr</v>
      </c>
      <c r="T65" t="str">
        <f t="shared" si="25"/>
        <v>echo augmentSkillLevel1,3, &gt;&gt; .\items\materia\class0004\Nightblade63.dbr</v>
      </c>
      <c r="U65" t="str">
        <f t="shared" si="25"/>
        <v>echo augmentSkillName1,records/skills/playerclass04/veilofshadows2.dbr, &gt;&gt; .\items\materia\class0004\Nightblade63.dbr</v>
      </c>
      <c r="V65" s="5" t="s">
        <v>36</v>
      </c>
      <c r="W65" t="str">
        <f t="shared" si="8"/>
        <v>echo lootName63,DAIL/items/materia/class0004/Nightblade63.dbr, &gt;&gt; .\items\loottables\dailoneskill0004.dbr</v>
      </c>
      <c r="X65" t="str">
        <f t="shared" si="8"/>
        <v>echo lootWeight63,1, &gt;&gt; .\items\loottables\dailoneskill0004.dbr</v>
      </c>
      <c r="Y65" s="5" t="s">
        <v>36</v>
      </c>
      <c r="Z65" t="str">
        <f t="shared" si="9"/>
        <v xml:space="preserve"> dailCompDescNightblade63=^pNightblade's Gift of DAIL</v>
      </c>
      <c r="AA65" t="str">
        <f t="shared" si="18"/>
        <v>dailCompTextNightblade63=^oThis feels warm to the touch, almost familiar ^w(This component only fits into the Medal Slot)/veilofshadows2.dbr</v>
      </c>
      <c r="AB65" s="5" t="s">
        <v>36</v>
      </c>
      <c r="AH65">
        <f t="shared" si="20"/>
        <v>60</v>
      </c>
      <c r="AI65">
        <f t="shared" si="23"/>
        <v>33</v>
      </c>
      <c r="AJ65">
        <f t="shared" si="19"/>
        <v>3</v>
      </c>
      <c r="AN65" t="str">
        <f t="shared" si="10"/>
        <v>/veilofshadows2.dbr</v>
      </c>
    </row>
    <row r="66" spans="1:40" x14ac:dyDescent="0.25">
      <c r="A66" s="5" t="s">
        <v>39</v>
      </c>
      <c r="B66" s="5" t="s">
        <v>30</v>
      </c>
      <c r="C66" s="5" t="str">
        <f t="shared" si="0"/>
        <v>description,dailCompDescNightblade64,</v>
      </c>
      <c r="D66" s="5" t="str">
        <f t="shared" si="2"/>
        <v>itemText,dailCompTextNightblade64,</v>
      </c>
      <c r="E66" s="5" t="str">
        <f t="shared" si="15"/>
        <v>augmentSkillLevel1,3,</v>
      </c>
      <c r="F66" s="5" t="str">
        <f t="shared" si="16"/>
        <v>augmentSkillName1,records/skills/playerclass04/phantomblade_mod1.dbr,</v>
      </c>
      <c r="G66" s="7">
        <f t="shared" si="11"/>
        <v>64</v>
      </c>
      <c r="H66" s="8" t="str">
        <f t="shared" si="12"/>
        <v>Nightblade</v>
      </c>
      <c r="I66" s="3" t="s">
        <v>317</v>
      </c>
      <c r="J66" s="8" t="str">
        <f t="shared" si="24"/>
        <v>class0004</v>
      </c>
      <c r="K66" s="8" t="str">
        <f t="shared" si="24"/>
        <v>dailoneskill0004</v>
      </c>
      <c r="L66" s="5" t="str">
        <f t="shared" si="4"/>
        <v>lootName64,DAIL/items/materia/class0004/Nightblade64.dbr,</v>
      </c>
      <c r="M66" s="5" t="str">
        <f t="shared" si="5"/>
        <v>lootWeight64,1,</v>
      </c>
      <c r="N66" t="str">
        <f t="shared" si="6"/>
        <v>3</v>
      </c>
      <c r="O66" t="str">
        <f t="shared" si="17"/>
        <v>copy .\dail_base3.dbr .\items\materia\class0004\Nightblade64.dbr /y</v>
      </c>
      <c r="P66" t="str">
        <f t="shared" si="25"/>
        <v>echo relicBitmap,items/craftingparts/components/component_a52_bristlyfur_b.tex, &gt;&gt; .\items\materia\class0004\Nightblade64.dbr</v>
      </c>
      <c r="Q66" t="str">
        <f t="shared" si="25"/>
        <v>echo itemCost,500000, &gt;&gt; .\items\materia\class0004\Nightblade64.dbr</v>
      </c>
      <c r="R66" t="str">
        <f t="shared" si="25"/>
        <v>echo description,dailCompDescNightblade64, &gt;&gt; .\items\materia\class0004\Nightblade64.dbr</v>
      </c>
      <c r="S66" t="str">
        <f t="shared" si="25"/>
        <v>echo itemText,dailCompTextNightblade64, &gt;&gt; .\items\materia\class0004\Nightblade64.dbr</v>
      </c>
      <c r="T66" t="str">
        <f t="shared" si="25"/>
        <v>echo augmentSkillLevel1,3, &gt;&gt; .\items\materia\class0004\Nightblade64.dbr</v>
      </c>
      <c r="U66" t="str">
        <f t="shared" si="25"/>
        <v>echo augmentSkillName1,records/skills/playerclass04/phantomblade_mod1.dbr, &gt;&gt; .\items\materia\class0004\Nightblade64.dbr</v>
      </c>
      <c r="V66" s="5" t="s">
        <v>36</v>
      </c>
      <c r="W66" t="str">
        <f t="shared" si="8"/>
        <v>echo lootName64,DAIL/items/materia/class0004/Nightblade64.dbr, &gt;&gt; .\items\loottables\dailoneskill0004.dbr</v>
      </c>
      <c r="X66" t="str">
        <f t="shared" si="8"/>
        <v>echo lootWeight64,1, &gt;&gt; .\items\loottables\dailoneskill0004.dbr</v>
      </c>
      <c r="Y66" s="5" t="s">
        <v>36</v>
      </c>
      <c r="Z66" t="str">
        <f t="shared" si="9"/>
        <v xml:space="preserve"> dailCompDescNightblade64=^pNightblade's Gift of DAIL</v>
      </c>
      <c r="AA66" t="str">
        <f t="shared" si="18"/>
        <v>dailCompTextNightblade64=^oThis feels warm to the touch, almost familiar ^w(This component only fits into the Medal Slot)antomblade_mod1.dbr</v>
      </c>
      <c r="AB66" s="5" t="s">
        <v>36</v>
      </c>
      <c r="AH66">
        <f t="shared" si="20"/>
        <v>61</v>
      </c>
      <c r="AI66">
        <f t="shared" si="23"/>
        <v>36</v>
      </c>
      <c r="AJ66">
        <f t="shared" si="19"/>
        <v>3</v>
      </c>
      <c r="AN66" t="str">
        <f t="shared" si="10"/>
        <v>antomblade_mod1.dbr</v>
      </c>
    </row>
    <row r="67" spans="1:40" x14ac:dyDescent="0.25">
      <c r="A67" s="5" t="s">
        <v>39</v>
      </c>
      <c r="B67" s="5" t="s">
        <v>30</v>
      </c>
      <c r="C67" s="5" t="str">
        <f t="shared" ref="C67:C102" si="26">"description,dailCompDesc"&amp;H67&amp;G67&amp;","</f>
        <v>description,dailCompDescNightblade65,</v>
      </c>
      <c r="D67" s="5" t="str">
        <f t="shared" si="2"/>
        <v>itemText,dailCompTextNightblade65,</v>
      </c>
      <c r="E67" s="5" t="str">
        <f t="shared" si="15"/>
        <v>augmentSkillLevel1,3,</v>
      </c>
      <c r="F67" s="5" t="str">
        <f t="shared" si="16"/>
        <v>augmentSkillName1,records/skills/playerclass04/phantomblade_mod2.dbr,</v>
      </c>
      <c r="G67" s="7">
        <f t="shared" si="11"/>
        <v>65</v>
      </c>
      <c r="H67" s="8" t="str">
        <f t="shared" si="12"/>
        <v>Nightblade</v>
      </c>
      <c r="I67" s="3" t="s">
        <v>318</v>
      </c>
      <c r="J67" s="8" t="str">
        <f t="shared" si="24"/>
        <v>class0004</v>
      </c>
      <c r="K67" s="8" t="str">
        <f t="shared" si="24"/>
        <v>dailoneskill0004</v>
      </c>
      <c r="L67" s="5" t="str">
        <f t="shared" si="4"/>
        <v>lootName65,DAIL/items/materia/class0004/Nightblade65.dbr,</v>
      </c>
      <c r="M67" s="5" t="str">
        <f t="shared" si="5"/>
        <v>lootWeight65,1,</v>
      </c>
      <c r="N67" t="str">
        <f t="shared" si="6"/>
        <v>3</v>
      </c>
      <c r="O67" t="str">
        <f t="shared" si="17"/>
        <v>copy .\dail_base3.dbr .\items\materia\class0004\Nightblade65.dbr /y</v>
      </c>
      <c r="P67" t="str">
        <f t="shared" si="25"/>
        <v>echo relicBitmap,items/craftingparts/components/component_a52_bristlyfur_b.tex, &gt;&gt; .\items\materia\class0004\Nightblade65.dbr</v>
      </c>
      <c r="Q67" t="str">
        <f t="shared" si="25"/>
        <v>echo itemCost,500000, &gt;&gt; .\items\materia\class0004\Nightblade65.dbr</v>
      </c>
      <c r="R67" t="str">
        <f t="shared" si="25"/>
        <v>echo description,dailCompDescNightblade65, &gt;&gt; .\items\materia\class0004\Nightblade65.dbr</v>
      </c>
      <c r="S67" t="str">
        <f t="shared" si="25"/>
        <v>echo itemText,dailCompTextNightblade65, &gt;&gt; .\items\materia\class0004\Nightblade65.dbr</v>
      </c>
      <c r="T67" t="str">
        <f t="shared" si="25"/>
        <v>echo augmentSkillLevel1,3, &gt;&gt; .\items\materia\class0004\Nightblade65.dbr</v>
      </c>
      <c r="U67" t="str">
        <f t="shared" si="25"/>
        <v>echo augmentSkillName1,records/skills/playerclass04/phantomblade_mod2.dbr, &gt;&gt; .\items\materia\class0004\Nightblade65.dbr</v>
      </c>
      <c r="V67" s="5" t="s">
        <v>36</v>
      </c>
      <c r="W67" t="str">
        <f t="shared" si="8"/>
        <v>echo lootName65,DAIL/items/materia/class0004/Nightblade65.dbr, &gt;&gt; .\items\loottables\dailoneskill0004.dbr</v>
      </c>
      <c r="X67" t="str">
        <f t="shared" si="8"/>
        <v>echo lootWeight65,1, &gt;&gt; .\items\loottables\dailoneskill0004.dbr</v>
      </c>
      <c r="Y67" s="5" t="s">
        <v>36</v>
      </c>
      <c r="Z67" t="str">
        <f t="shared" si="9"/>
        <v xml:space="preserve"> dailCompDescNightblade65=^pNightblade's Gift of DAIL</v>
      </c>
      <c r="AA67" t="str">
        <f t="shared" si="18"/>
        <v>dailCompTextNightblade65=^oThis feels warm to the touch, almost familiar ^w(This component only fits into the Medal Slot)antomblade_mod2.dbr</v>
      </c>
      <c r="AB67" s="5" t="s">
        <v>36</v>
      </c>
      <c r="AH67">
        <f t="shared" si="20"/>
        <v>62</v>
      </c>
      <c r="AI67">
        <f t="shared" si="23"/>
        <v>36</v>
      </c>
      <c r="AJ67">
        <f t="shared" si="19"/>
        <v>3</v>
      </c>
      <c r="AN67" t="str">
        <f t="shared" si="10"/>
        <v>antomblade_mod2.dbr</v>
      </c>
    </row>
    <row r="68" spans="1:40" x14ac:dyDescent="0.25">
      <c r="A68" s="5" t="s">
        <v>39</v>
      </c>
      <c r="B68" s="5" t="s">
        <v>30</v>
      </c>
      <c r="C68" s="5" t="str">
        <f t="shared" si="26"/>
        <v>description,dailCompDescNightblade66,</v>
      </c>
      <c r="D68" s="5" t="str">
        <f t="shared" ref="D68:D102" si="27">"itemText,dailCompText"&amp;H68&amp;G68&amp;","</f>
        <v>itemText,dailCompTextNightblade66,</v>
      </c>
      <c r="E68" s="5" t="str">
        <f t="shared" si="15"/>
        <v>augmentSkillLevel1,3,</v>
      </c>
      <c r="F68" s="5" t="str">
        <f t="shared" si="16"/>
        <v>augmentSkillName1,records/skills/playerclass04/shadowstrike.dbr,</v>
      </c>
      <c r="G68" s="7">
        <f t="shared" si="11"/>
        <v>66</v>
      </c>
      <c r="H68" s="8" t="str">
        <f t="shared" si="12"/>
        <v>Nightblade</v>
      </c>
      <c r="I68" s="3" t="s">
        <v>118</v>
      </c>
      <c r="J68" s="8" t="str">
        <f t="shared" si="24"/>
        <v>class0004</v>
      </c>
      <c r="K68" s="8" t="str">
        <f t="shared" si="24"/>
        <v>dailoneskill0004</v>
      </c>
      <c r="L68" s="5" t="str">
        <f t="shared" ref="L68:L102" si="28">"lootName"&amp;G68&amp;",DAIL/items/materia/"&amp;J68&amp;"/"&amp;H68&amp;G68&amp;".dbr"&amp;","</f>
        <v>lootName66,DAIL/items/materia/class0004/Nightblade66.dbr,</v>
      </c>
      <c r="M68" s="5" t="str">
        <f t="shared" ref="M68:M102" si="29">"lootWeight"&amp;G68&amp;",1,"</f>
        <v>lootWeight66,1,</v>
      </c>
      <c r="N68" t="str">
        <f t="shared" ref="N68:N102" si="30">LEFT(RIGHT(E68,2),1)</f>
        <v>3</v>
      </c>
      <c r="O68" t="str">
        <f t="shared" si="17"/>
        <v>copy .\dail_base3.dbr .\items\materia\class0004\Nightblade66.dbr /y</v>
      </c>
      <c r="P68" t="str">
        <f t="shared" si="25"/>
        <v>echo relicBitmap,items/craftingparts/components/component_a52_bristlyfur_b.tex, &gt;&gt; .\items\materia\class0004\Nightblade66.dbr</v>
      </c>
      <c r="Q68" t="str">
        <f t="shared" si="25"/>
        <v>echo itemCost,500000, &gt;&gt; .\items\materia\class0004\Nightblade66.dbr</v>
      </c>
      <c r="R68" t="str">
        <f t="shared" si="25"/>
        <v>echo description,dailCompDescNightblade66, &gt;&gt; .\items\materia\class0004\Nightblade66.dbr</v>
      </c>
      <c r="S68" t="str">
        <f t="shared" si="25"/>
        <v>echo itemText,dailCompTextNightblade66, &gt;&gt; .\items\materia\class0004\Nightblade66.dbr</v>
      </c>
      <c r="T68" t="str">
        <f t="shared" si="25"/>
        <v>echo augmentSkillLevel1,3, &gt;&gt; .\items\materia\class0004\Nightblade66.dbr</v>
      </c>
      <c r="U68" t="str">
        <f t="shared" si="25"/>
        <v>echo augmentSkillName1,records/skills/playerclass04/shadowstrike.dbr, &gt;&gt; .\items\materia\class0004\Nightblade66.dbr</v>
      </c>
      <c r="V68" s="5" t="s">
        <v>36</v>
      </c>
      <c r="W68" t="str">
        <f t="shared" ref="W68:X102" si="31">IF($I68&lt;&gt;"","echo "&amp;L68&amp;" &gt;&gt; .\items\loottables\"&amp;$K68&amp;".dbr","")</f>
        <v>echo lootName66,DAIL/items/materia/class0004/Nightblade66.dbr, &gt;&gt; .\items\loottables\dailoneskill0004.dbr</v>
      </c>
      <c r="X68" t="str">
        <f t="shared" si="31"/>
        <v>echo lootWeight66,1, &gt;&gt; .\items\loottables\dailoneskill0004.dbr</v>
      </c>
      <c r="Y68" s="5" t="s">
        <v>36</v>
      </c>
      <c r="Z68" t="str">
        <f t="shared" ref="Z68:Z102" si="32">IF(I67&lt;&gt;""," dailCompDesc"&amp;H68&amp;G68&amp;"=^p"&amp;H68&amp;"'s Gift of DAIL","")</f>
        <v xml:space="preserve"> dailCompDescNightblade66=^pNightblade's Gift of DAIL</v>
      </c>
      <c r="AA68" t="str">
        <f t="shared" si="18"/>
        <v>dailCompTextNightblade66=^oThis feels warm to the touch, almost familiar ^w(This component only fits into the Medal Slot)04/shadowstrike.dbr</v>
      </c>
      <c r="AB68" s="5" t="s">
        <v>36</v>
      </c>
      <c r="AH68">
        <f t="shared" si="20"/>
        <v>63</v>
      </c>
      <c r="AI68">
        <f t="shared" si="23"/>
        <v>31</v>
      </c>
      <c r="AJ68">
        <f t="shared" si="19"/>
        <v>3</v>
      </c>
      <c r="AN68" t="str">
        <f t="shared" ref="AN68:AN102" si="33">LEFT(RIGHT(F68,20),19)</f>
        <v>04/shadowstrike.dbr</v>
      </c>
    </row>
    <row r="69" spans="1:40" x14ac:dyDescent="0.25">
      <c r="A69" s="5" t="s">
        <v>39</v>
      </c>
      <c r="B69" s="5" t="s">
        <v>30</v>
      </c>
      <c r="C69" s="5" t="str">
        <f t="shared" si="26"/>
        <v>description,dailCompDescNightblade67,</v>
      </c>
      <c r="D69" s="5" t="str">
        <f t="shared" si="27"/>
        <v>itemText,dailCompTextNightblade67,</v>
      </c>
      <c r="E69" s="5" t="str">
        <f t="shared" si="15"/>
        <v>augmentSkillLevel1,3,</v>
      </c>
      <c r="F69" s="5" t="str">
        <f t="shared" si="16"/>
        <v>augmentSkillName1,records/skills/playerclass04/shadowstrike_mod1.dbr,</v>
      </c>
      <c r="G69" s="7">
        <f t="shared" ref="G69:G102" si="34">IF(I69&lt;&gt;"",G68+1,"")</f>
        <v>67</v>
      </c>
      <c r="H69" s="8" t="str">
        <f t="shared" ref="H69:H102" si="35">H68</f>
        <v>Nightblade</v>
      </c>
      <c r="I69" s="3" t="s">
        <v>319</v>
      </c>
      <c r="J69" s="8" t="str">
        <f t="shared" ref="J69:K84" si="36">J68</f>
        <v>class0004</v>
      </c>
      <c r="K69" s="8" t="str">
        <f t="shared" si="36"/>
        <v>dailoneskill0004</v>
      </c>
      <c r="L69" s="5" t="str">
        <f t="shared" si="28"/>
        <v>lootName67,DAIL/items/materia/class0004/Nightblade67.dbr,</v>
      </c>
      <c r="M69" s="5" t="str">
        <f t="shared" si="29"/>
        <v>lootWeight67,1,</v>
      </c>
      <c r="N69" t="str">
        <f t="shared" si="30"/>
        <v>3</v>
      </c>
      <c r="O69" t="str">
        <f t="shared" si="17"/>
        <v>copy .\dail_base3.dbr .\items\materia\class0004\Nightblade67.dbr /y</v>
      </c>
      <c r="P69" t="str">
        <f t="shared" si="25"/>
        <v>echo relicBitmap,items/craftingparts/components/component_a52_bristlyfur_b.tex, &gt;&gt; .\items\materia\class0004\Nightblade67.dbr</v>
      </c>
      <c r="Q69" t="str">
        <f t="shared" si="25"/>
        <v>echo itemCost,500000, &gt;&gt; .\items\materia\class0004\Nightblade67.dbr</v>
      </c>
      <c r="R69" t="str">
        <f t="shared" si="25"/>
        <v>echo description,dailCompDescNightblade67, &gt;&gt; .\items\materia\class0004\Nightblade67.dbr</v>
      </c>
      <c r="S69" t="str">
        <f t="shared" si="25"/>
        <v>echo itemText,dailCompTextNightblade67, &gt;&gt; .\items\materia\class0004\Nightblade67.dbr</v>
      </c>
      <c r="T69" t="str">
        <f t="shared" si="25"/>
        <v>echo augmentSkillLevel1,3, &gt;&gt; .\items\materia\class0004\Nightblade67.dbr</v>
      </c>
      <c r="U69" t="str">
        <f t="shared" si="25"/>
        <v>echo augmentSkillName1,records/skills/playerclass04/shadowstrike_mod1.dbr, &gt;&gt; .\items\materia\class0004\Nightblade67.dbr</v>
      </c>
      <c r="V69" s="5" t="s">
        <v>36</v>
      </c>
      <c r="W69" t="str">
        <f t="shared" si="31"/>
        <v>echo lootName67,DAIL/items/materia/class0004/Nightblade67.dbr, &gt;&gt; .\items\loottables\dailoneskill0004.dbr</v>
      </c>
      <c r="X69" t="str">
        <f t="shared" si="31"/>
        <v>echo lootWeight67,1, &gt;&gt; .\items\loottables\dailoneskill0004.dbr</v>
      </c>
      <c r="Y69" s="5" t="s">
        <v>36</v>
      </c>
      <c r="Z69" t="str">
        <f t="shared" si="32"/>
        <v xml:space="preserve"> dailCompDescNightblade67=^pNightblade's Gift of DAIL</v>
      </c>
      <c r="AA69" t="str">
        <f t="shared" si="18"/>
        <v>dailCompTextNightblade67=^oThis feels warm to the touch, almost familiar ^w(This component only fits into the Medal Slot)adowstrike_mod1.dbr</v>
      </c>
      <c r="AB69" s="5" t="s">
        <v>36</v>
      </c>
      <c r="AH69">
        <f t="shared" si="20"/>
        <v>64</v>
      </c>
      <c r="AI69">
        <f t="shared" si="23"/>
        <v>36</v>
      </c>
      <c r="AJ69">
        <f t="shared" si="19"/>
        <v>3</v>
      </c>
      <c r="AN69" t="str">
        <f t="shared" si="33"/>
        <v>adowstrike_mod1.dbr</v>
      </c>
    </row>
    <row r="70" spans="1:40" x14ac:dyDescent="0.25">
      <c r="A70" s="5" t="s">
        <v>39</v>
      </c>
      <c r="B70" s="5" t="s">
        <v>30</v>
      </c>
      <c r="C70" s="5" t="str">
        <f t="shared" si="26"/>
        <v>description,dailCompDescNightblade68,</v>
      </c>
      <c r="D70" s="5" t="str">
        <f t="shared" si="27"/>
        <v>itemText,dailCompTextNightblade68,</v>
      </c>
      <c r="E70" s="5" t="str">
        <f t="shared" si="15"/>
        <v>augmentSkillLevel1,5,</v>
      </c>
      <c r="F70" s="5" t="str">
        <f t="shared" si="16"/>
        <v>augmentSkillName1,records/skills/playerclass04/passive1.dbr,</v>
      </c>
      <c r="G70" s="7">
        <f t="shared" si="34"/>
        <v>68</v>
      </c>
      <c r="H70" s="8" t="str">
        <f t="shared" si="35"/>
        <v>Nightblade</v>
      </c>
      <c r="I70" s="3" t="s">
        <v>306</v>
      </c>
      <c r="J70" s="8" t="str">
        <f t="shared" si="36"/>
        <v>class0004</v>
      </c>
      <c r="K70" s="8" t="str">
        <f t="shared" si="36"/>
        <v>dailoneskill0004</v>
      </c>
      <c r="L70" s="5" t="str">
        <f t="shared" si="28"/>
        <v>lootName68,DAIL/items/materia/class0004/Nightblade68.dbr,</v>
      </c>
      <c r="M70" s="5" t="str">
        <f t="shared" si="29"/>
        <v>lootWeight68,1,</v>
      </c>
      <c r="N70" t="str">
        <f t="shared" si="30"/>
        <v>5</v>
      </c>
      <c r="O70" t="str">
        <f t="shared" si="17"/>
        <v>copy .\dail_base3.dbr .\items\materia\class0004\Nightblade68.dbr /y</v>
      </c>
      <c r="P70" t="str">
        <f t="shared" si="25"/>
        <v>echo relicBitmap,items/craftingparts/components/component_a52_bristlyfur_b.tex, &gt;&gt; .\items\materia\class0004\Nightblade68.dbr</v>
      </c>
      <c r="Q70" t="str">
        <f t="shared" si="25"/>
        <v>echo itemCost,500000, &gt;&gt; .\items\materia\class0004\Nightblade68.dbr</v>
      </c>
      <c r="R70" t="str">
        <f t="shared" si="25"/>
        <v>echo description,dailCompDescNightblade68, &gt;&gt; .\items\materia\class0004\Nightblade68.dbr</v>
      </c>
      <c r="S70" t="str">
        <f t="shared" si="25"/>
        <v>echo itemText,dailCompTextNightblade68, &gt;&gt; .\items\materia\class0004\Nightblade68.dbr</v>
      </c>
      <c r="T70" t="str">
        <f t="shared" si="25"/>
        <v>echo augmentSkillLevel1,5, &gt;&gt; .\items\materia\class0004\Nightblade68.dbr</v>
      </c>
      <c r="U70" t="str">
        <f t="shared" si="25"/>
        <v>echo augmentSkillName1,records/skills/playerclass04/passive1.dbr, &gt;&gt; .\items\materia\class0004\Nightblade68.dbr</v>
      </c>
      <c r="V70" s="5" t="s">
        <v>36</v>
      </c>
      <c r="W70" t="str">
        <f t="shared" si="31"/>
        <v>echo lootName68,DAIL/items/materia/class0004/Nightblade68.dbr, &gt;&gt; .\items\loottables\dailoneskill0004.dbr</v>
      </c>
      <c r="X70" t="str">
        <f t="shared" si="31"/>
        <v>echo lootWeight68,1, &gt;&gt; .\items\loottables\dailoneskill0004.dbr</v>
      </c>
      <c r="Y70" s="5" t="s">
        <v>36</v>
      </c>
      <c r="Z70" t="str">
        <f t="shared" si="32"/>
        <v xml:space="preserve"> dailCompDescNightblade68=^pNightblade's Gift of DAIL</v>
      </c>
      <c r="AA70" t="str">
        <f t="shared" si="18"/>
        <v>dailCompTextNightblade68=^oThis feels warm to the touch, almost familiar ^w(This component only fits into the Medal Slot)lass04/passive1.dbr</v>
      </c>
      <c r="AB70" s="5" t="s">
        <v>36</v>
      </c>
      <c r="AH70">
        <f t="shared" si="20"/>
        <v>65</v>
      </c>
      <c r="AI70">
        <f t="shared" ref="AI70:AI102" si="37">LEN(I70)</f>
        <v>27</v>
      </c>
      <c r="AJ70">
        <f t="shared" si="19"/>
        <v>5</v>
      </c>
      <c r="AN70" t="str">
        <f t="shared" si="33"/>
        <v>lass04/passive1.dbr</v>
      </c>
    </row>
    <row r="71" spans="1:40" x14ac:dyDescent="0.25">
      <c r="A71" s="5" t="s">
        <v>39</v>
      </c>
      <c r="B71" s="5" t="s">
        <v>30</v>
      </c>
      <c r="C71" s="5" t="str">
        <f t="shared" si="26"/>
        <v>description,dailCompDescNightblade69,</v>
      </c>
      <c r="D71" s="5" t="str">
        <f t="shared" si="27"/>
        <v>itemText,dailCompTextNightblade69,</v>
      </c>
      <c r="E71" s="5" t="str">
        <f t="shared" ref="E71:E102" si="38">"augmentSkillLevel1,"&amp;AJ71&amp;","</f>
        <v>augmentSkillLevel1,5,</v>
      </c>
      <c r="F71" s="5" t="str">
        <f t="shared" ref="F71:F102" si="39">"augmentSkillName1,records/skills"&amp;I71&amp;","</f>
        <v>augmentSkillName1,records/skills/playerclass04/passive2.dbr,</v>
      </c>
      <c r="G71" s="7">
        <f t="shared" si="34"/>
        <v>69</v>
      </c>
      <c r="H71" s="8" t="str">
        <f t="shared" si="35"/>
        <v>Nightblade</v>
      </c>
      <c r="I71" s="3" t="s">
        <v>307</v>
      </c>
      <c r="J71" s="8" t="str">
        <f t="shared" si="36"/>
        <v>class0004</v>
      </c>
      <c r="K71" s="8" t="str">
        <f t="shared" si="36"/>
        <v>dailoneskill0004</v>
      </c>
      <c r="L71" s="5" t="str">
        <f t="shared" si="28"/>
        <v>lootName69,DAIL/items/materia/class0004/Nightblade69.dbr,</v>
      </c>
      <c r="M71" s="5" t="str">
        <f t="shared" si="29"/>
        <v>lootWeight69,1,</v>
      </c>
      <c r="N71" t="str">
        <f t="shared" si="30"/>
        <v>5</v>
      </c>
      <c r="O71" t="str">
        <f t="shared" ref="O71:O102" si="40">IF(I71&lt;&gt;"","copy .\"&amp;VLOOKUP(VALUE(N71),$AD$3:$AF$5,2,FALSE)&amp;" .\items\materia\"&amp;J71&amp;"\"&amp;H71&amp;G71&amp;".dbr /y"&amp;"","")</f>
        <v>copy .\dail_base3.dbr .\items\materia\class0004\Nightblade69.dbr /y</v>
      </c>
      <c r="P71" t="str">
        <f t="shared" si="25"/>
        <v>echo relicBitmap,items/craftingparts/components/component_a52_bristlyfur_b.tex, &gt;&gt; .\items\materia\class0004\Nightblade69.dbr</v>
      </c>
      <c r="Q71" t="str">
        <f t="shared" si="25"/>
        <v>echo itemCost,500000, &gt;&gt; .\items\materia\class0004\Nightblade69.dbr</v>
      </c>
      <c r="R71" t="str">
        <f t="shared" si="25"/>
        <v>echo description,dailCompDescNightblade69, &gt;&gt; .\items\materia\class0004\Nightblade69.dbr</v>
      </c>
      <c r="S71" t="str">
        <f t="shared" si="25"/>
        <v>echo itemText,dailCompTextNightblade69, &gt;&gt; .\items\materia\class0004\Nightblade69.dbr</v>
      </c>
      <c r="T71" t="str">
        <f t="shared" si="25"/>
        <v>echo augmentSkillLevel1,5, &gt;&gt; .\items\materia\class0004\Nightblade69.dbr</v>
      </c>
      <c r="U71" t="str">
        <f t="shared" si="25"/>
        <v>echo augmentSkillName1,records/skills/playerclass04/passive2.dbr, &gt;&gt; .\items\materia\class0004\Nightblade69.dbr</v>
      </c>
      <c r="V71" s="5" t="s">
        <v>36</v>
      </c>
      <c r="W71" t="str">
        <f t="shared" si="31"/>
        <v>echo lootName69,DAIL/items/materia/class0004/Nightblade69.dbr, &gt;&gt; .\items\loottables\dailoneskill0004.dbr</v>
      </c>
      <c r="X71" t="str">
        <f t="shared" si="31"/>
        <v>echo lootWeight69,1, &gt;&gt; .\items\loottables\dailoneskill0004.dbr</v>
      </c>
      <c r="Y71" s="5" t="s">
        <v>36</v>
      </c>
      <c r="Z71" t="str">
        <f t="shared" si="32"/>
        <v xml:space="preserve"> dailCompDescNightblade69=^pNightblade's Gift of DAIL</v>
      </c>
      <c r="AA71" t="str">
        <f t="shared" ref="AA71:AA102" si="41">IF(I70&lt;&gt;"","dailCompText"&amp;H71&amp;G71&amp;"=^oThis feels warm to the touch, almost familiar ^w("&amp;VLOOKUP(VALUE(N71),$AD$3:$AF$5,3,FALSE)&amp;")"&amp;AN71,"")</f>
        <v>dailCompTextNightblade69=^oThis feels warm to the touch, almost familiar ^w(This component only fits into the Medal Slot)lass04/passive2.dbr</v>
      </c>
      <c r="AB71" s="5" t="s">
        <v>36</v>
      </c>
      <c r="AH71">
        <f t="shared" si="20"/>
        <v>66</v>
      </c>
      <c r="AI71">
        <f t="shared" si="37"/>
        <v>27</v>
      </c>
      <c r="AJ71">
        <f t="shared" ref="AJ71:AJ102" si="42">IF(AH71&lt;$AL$7,1,IF(AH71&lt;$AL$8,3,5))</f>
        <v>5</v>
      </c>
      <c r="AN71" t="str">
        <f t="shared" si="33"/>
        <v>lass04/passive2.dbr</v>
      </c>
    </row>
    <row r="72" spans="1:40" x14ac:dyDescent="0.25">
      <c r="A72" s="5" t="s">
        <v>39</v>
      </c>
      <c r="B72" s="5" t="s">
        <v>30</v>
      </c>
      <c r="C72" s="5" t="str">
        <f t="shared" si="26"/>
        <v>description,dailCompDescNightblade70,</v>
      </c>
      <c r="D72" s="5" t="str">
        <f t="shared" si="27"/>
        <v>itemText,dailCompTextNightblade70,</v>
      </c>
      <c r="E72" s="5" t="str">
        <f t="shared" si="38"/>
        <v>augmentSkillLevel1,5,</v>
      </c>
      <c r="F72" s="5" t="str">
        <f t="shared" si="39"/>
        <v>augmentSkillName1,records/skills/playerclass04/passive3.dbr,</v>
      </c>
      <c r="G72" s="7">
        <f t="shared" si="34"/>
        <v>70</v>
      </c>
      <c r="H72" s="8" t="str">
        <f t="shared" si="35"/>
        <v>Nightblade</v>
      </c>
      <c r="I72" s="3" t="s">
        <v>308</v>
      </c>
      <c r="J72" s="8" t="str">
        <f t="shared" si="36"/>
        <v>class0004</v>
      </c>
      <c r="K72" s="8" t="str">
        <f t="shared" si="36"/>
        <v>dailoneskill0004</v>
      </c>
      <c r="L72" s="5" t="str">
        <f t="shared" si="28"/>
        <v>lootName70,DAIL/items/materia/class0004/Nightblade70.dbr,</v>
      </c>
      <c r="M72" s="5" t="str">
        <f t="shared" si="29"/>
        <v>lootWeight70,1,</v>
      </c>
      <c r="N72" t="str">
        <f t="shared" si="30"/>
        <v>5</v>
      </c>
      <c r="O72" t="str">
        <f t="shared" si="40"/>
        <v>copy .\dail_base3.dbr .\items\materia\class0004\Nightblade70.dbr /y</v>
      </c>
      <c r="P72" t="str">
        <f t="shared" si="25"/>
        <v>echo relicBitmap,items/craftingparts/components/component_a52_bristlyfur_b.tex, &gt;&gt; .\items\materia\class0004\Nightblade70.dbr</v>
      </c>
      <c r="Q72" t="str">
        <f t="shared" si="25"/>
        <v>echo itemCost,500000, &gt;&gt; .\items\materia\class0004\Nightblade70.dbr</v>
      </c>
      <c r="R72" t="str">
        <f t="shared" si="25"/>
        <v>echo description,dailCompDescNightblade70, &gt;&gt; .\items\materia\class0004\Nightblade70.dbr</v>
      </c>
      <c r="S72" t="str">
        <f t="shared" si="25"/>
        <v>echo itemText,dailCompTextNightblade70, &gt;&gt; .\items\materia\class0004\Nightblade70.dbr</v>
      </c>
      <c r="T72" t="str">
        <f t="shared" si="25"/>
        <v>echo augmentSkillLevel1,5, &gt;&gt; .\items\materia\class0004\Nightblade70.dbr</v>
      </c>
      <c r="U72" t="str">
        <f t="shared" si="25"/>
        <v>echo augmentSkillName1,records/skills/playerclass04/passive3.dbr, &gt;&gt; .\items\materia\class0004\Nightblade70.dbr</v>
      </c>
      <c r="V72" s="5" t="s">
        <v>36</v>
      </c>
      <c r="W72" t="str">
        <f t="shared" si="31"/>
        <v>echo lootName70,DAIL/items/materia/class0004/Nightblade70.dbr, &gt;&gt; .\items\loottables\dailoneskill0004.dbr</v>
      </c>
      <c r="X72" t="str">
        <f t="shared" si="31"/>
        <v>echo lootWeight70,1, &gt;&gt; .\items\loottables\dailoneskill0004.dbr</v>
      </c>
      <c r="Y72" s="5" t="s">
        <v>36</v>
      </c>
      <c r="Z72" t="str">
        <f t="shared" si="32"/>
        <v xml:space="preserve"> dailCompDescNightblade70=^pNightblade's Gift of DAIL</v>
      </c>
      <c r="AA72" t="str">
        <f t="shared" si="41"/>
        <v>dailCompTextNightblade70=^oThis feels warm to the touch, almost familiar ^w(This component only fits into the Medal Slot)lass04/passive3.dbr</v>
      </c>
      <c r="AB72" s="5" t="s">
        <v>36</v>
      </c>
      <c r="AH72">
        <f t="shared" ref="AH72:AH102" si="43">AH71+1</f>
        <v>67</v>
      </c>
      <c r="AI72">
        <f t="shared" si="37"/>
        <v>27</v>
      </c>
      <c r="AJ72">
        <f t="shared" si="42"/>
        <v>5</v>
      </c>
      <c r="AN72" t="str">
        <f t="shared" si="33"/>
        <v>lass04/passive3.dbr</v>
      </c>
    </row>
    <row r="73" spans="1:40" x14ac:dyDescent="0.25">
      <c r="A73" s="5" t="s">
        <v>39</v>
      </c>
      <c r="B73" s="5" t="s">
        <v>30</v>
      </c>
      <c r="C73" s="5" t="str">
        <f t="shared" si="26"/>
        <v>description,dailCompDescNightblade71,</v>
      </c>
      <c r="D73" s="5" t="str">
        <f t="shared" si="27"/>
        <v>itemText,dailCompTextNightblade71,</v>
      </c>
      <c r="E73" s="5" t="str">
        <f t="shared" si="38"/>
        <v>augmentSkillLevel1,5,</v>
      </c>
      <c r="F73" s="5" t="str">
        <f t="shared" si="39"/>
        <v>augmentSkillName1,records/skills/playerclass04/eviscerate1.dbr,</v>
      </c>
      <c r="G73" s="7">
        <f t="shared" si="34"/>
        <v>71</v>
      </c>
      <c r="H73" s="8" t="str">
        <f t="shared" si="35"/>
        <v>Nightblade</v>
      </c>
      <c r="I73" s="3" t="s">
        <v>114</v>
      </c>
      <c r="J73" s="8" t="str">
        <f t="shared" si="36"/>
        <v>class0004</v>
      </c>
      <c r="K73" s="8" t="str">
        <f t="shared" si="36"/>
        <v>dailoneskill0004</v>
      </c>
      <c r="L73" s="5" t="str">
        <f t="shared" si="28"/>
        <v>lootName71,DAIL/items/materia/class0004/Nightblade71.dbr,</v>
      </c>
      <c r="M73" s="5" t="str">
        <f t="shared" si="29"/>
        <v>lootWeight71,1,</v>
      </c>
      <c r="N73" t="str">
        <f t="shared" si="30"/>
        <v>5</v>
      </c>
      <c r="O73" t="str">
        <f t="shared" si="40"/>
        <v>copy .\dail_base3.dbr .\items\materia\class0004\Nightblade71.dbr /y</v>
      </c>
      <c r="P73" t="str">
        <f t="shared" si="25"/>
        <v>echo relicBitmap,items/craftingparts/components/component_a52_bristlyfur_b.tex, &gt;&gt; .\items\materia\class0004\Nightblade71.dbr</v>
      </c>
      <c r="Q73" t="str">
        <f t="shared" si="25"/>
        <v>echo itemCost,500000, &gt;&gt; .\items\materia\class0004\Nightblade71.dbr</v>
      </c>
      <c r="R73" t="str">
        <f t="shared" si="25"/>
        <v>echo description,dailCompDescNightblade71, &gt;&gt; .\items\materia\class0004\Nightblade71.dbr</v>
      </c>
      <c r="S73" t="str">
        <f t="shared" si="25"/>
        <v>echo itemText,dailCompTextNightblade71, &gt;&gt; .\items\materia\class0004\Nightblade71.dbr</v>
      </c>
      <c r="T73" t="str">
        <f t="shared" si="25"/>
        <v>echo augmentSkillLevel1,5, &gt;&gt; .\items\materia\class0004\Nightblade71.dbr</v>
      </c>
      <c r="U73" t="str">
        <f t="shared" si="25"/>
        <v>echo augmentSkillName1,records/skills/playerclass04/eviscerate1.dbr, &gt;&gt; .\items\materia\class0004\Nightblade71.dbr</v>
      </c>
      <c r="V73" s="5" t="s">
        <v>36</v>
      </c>
      <c r="W73" t="str">
        <f t="shared" si="31"/>
        <v>echo lootName71,DAIL/items/materia/class0004/Nightblade71.dbr, &gt;&gt; .\items\loottables\dailoneskill0004.dbr</v>
      </c>
      <c r="X73" t="str">
        <f t="shared" si="31"/>
        <v>echo lootWeight71,1, &gt;&gt; .\items\loottables\dailoneskill0004.dbr</v>
      </c>
      <c r="Y73" s="5" t="s">
        <v>36</v>
      </c>
      <c r="Z73" t="str">
        <f t="shared" si="32"/>
        <v xml:space="preserve"> dailCompDescNightblade71=^pNightblade's Gift of DAIL</v>
      </c>
      <c r="AA73" t="str">
        <f t="shared" si="41"/>
        <v>dailCompTextNightblade71=^oThis feels warm to the touch, almost familiar ^w(This component only fits into the Medal Slot)s04/eviscerate1.dbr</v>
      </c>
      <c r="AB73" s="5" t="s">
        <v>36</v>
      </c>
      <c r="AH73">
        <f t="shared" si="43"/>
        <v>68</v>
      </c>
      <c r="AI73">
        <f t="shared" si="37"/>
        <v>30</v>
      </c>
      <c r="AJ73">
        <f t="shared" si="42"/>
        <v>5</v>
      </c>
      <c r="AN73" t="str">
        <f t="shared" si="33"/>
        <v>s04/eviscerate1.dbr</v>
      </c>
    </row>
    <row r="74" spans="1:40" x14ac:dyDescent="0.25">
      <c r="A74" s="5" t="s">
        <v>39</v>
      </c>
      <c r="B74" s="5" t="s">
        <v>30</v>
      </c>
      <c r="C74" s="5" t="str">
        <f t="shared" si="26"/>
        <v>description,dailCompDescNightblade72,</v>
      </c>
      <c r="D74" s="5" t="str">
        <f t="shared" si="27"/>
        <v>itemText,dailCompTextNightblade72,</v>
      </c>
      <c r="E74" s="5" t="str">
        <f t="shared" si="38"/>
        <v>augmentSkillLevel1,5,</v>
      </c>
      <c r="F74" s="5" t="str">
        <f t="shared" si="39"/>
        <v>augmentSkillName1,records/skills/playerclass04/eviscerate2.dbr,</v>
      </c>
      <c r="G74" s="7">
        <f t="shared" si="34"/>
        <v>72</v>
      </c>
      <c r="H74" s="8" t="str">
        <f t="shared" si="35"/>
        <v>Nightblade</v>
      </c>
      <c r="I74" s="3" t="s">
        <v>309</v>
      </c>
      <c r="J74" s="8" t="str">
        <f t="shared" si="36"/>
        <v>class0004</v>
      </c>
      <c r="K74" s="8" t="str">
        <f t="shared" si="36"/>
        <v>dailoneskill0004</v>
      </c>
      <c r="L74" s="5" t="str">
        <f t="shared" si="28"/>
        <v>lootName72,DAIL/items/materia/class0004/Nightblade72.dbr,</v>
      </c>
      <c r="M74" s="5" t="str">
        <f t="shared" si="29"/>
        <v>lootWeight72,1,</v>
      </c>
      <c r="N74" t="str">
        <f t="shared" si="30"/>
        <v>5</v>
      </c>
      <c r="O74" t="str">
        <f t="shared" si="40"/>
        <v>copy .\dail_base3.dbr .\items\materia\class0004\Nightblade72.dbr /y</v>
      </c>
      <c r="P74" t="str">
        <f t="shared" si="25"/>
        <v>echo relicBitmap,items/craftingparts/components/component_a52_bristlyfur_b.tex, &gt;&gt; .\items\materia\class0004\Nightblade72.dbr</v>
      </c>
      <c r="Q74" t="str">
        <f t="shared" si="25"/>
        <v>echo itemCost,500000, &gt;&gt; .\items\materia\class0004\Nightblade72.dbr</v>
      </c>
      <c r="R74" t="str">
        <f t="shared" si="25"/>
        <v>echo description,dailCompDescNightblade72, &gt;&gt; .\items\materia\class0004\Nightblade72.dbr</v>
      </c>
      <c r="S74" t="str">
        <f t="shared" si="25"/>
        <v>echo itemText,dailCompTextNightblade72, &gt;&gt; .\items\materia\class0004\Nightblade72.dbr</v>
      </c>
      <c r="T74" t="str">
        <f t="shared" si="25"/>
        <v>echo augmentSkillLevel1,5, &gt;&gt; .\items\materia\class0004\Nightblade72.dbr</v>
      </c>
      <c r="U74" t="str">
        <f t="shared" si="25"/>
        <v>echo augmentSkillName1,records/skills/playerclass04/eviscerate2.dbr, &gt;&gt; .\items\materia\class0004\Nightblade72.dbr</v>
      </c>
      <c r="V74" s="5" t="s">
        <v>36</v>
      </c>
      <c r="W74" t="str">
        <f t="shared" si="31"/>
        <v>echo lootName72,DAIL/items/materia/class0004/Nightblade72.dbr, &gt;&gt; .\items\loottables\dailoneskill0004.dbr</v>
      </c>
      <c r="X74" t="str">
        <f t="shared" si="31"/>
        <v>echo lootWeight72,1, &gt;&gt; .\items\loottables\dailoneskill0004.dbr</v>
      </c>
      <c r="Y74" s="5" t="s">
        <v>36</v>
      </c>
      <c r="Z74" t="str">
        <f t="shared" si="32"/>
        <v xml:space="preserve"> dailCompDescNightblade72=^pNightblade's Gift of DAIL</v>
      </c>
      <c r="AA74" t="str">
        <f t="shared" si="41"/>
        <v>dailCompTextNightblade72=^oThis feels warm to the touch, almost familiar ^w(This component only fits into the Medal Slot)s04/eviscerate2.dbr</v>
      </c>
      <c r="AB74" s="5" t="s">
        <v>36</v>
      </c>
      <c r="AH74">
        <f t="shared" si="43"/>
        <v>69</v>
      </c>
      <c r="AI74">
        <f t="shared" si="37"/>
        <v>30</v>
      </c>
      <c r="AJ74">
        <f t="shared" si="42"/>
        <v>5</v>
      </c>
      <c r="AN74" t="str">
        <f t="shared" si="33"/>
        <v>s04/eviscerate2.dbr</v>
      </c>
    </row>
    <row r="75" spans="1:40" x14ac:dyDescent="0.25">
      <c r="A75" s="5" t="s">
        <v>39</v>
      </c>
      <c r="B75" s="5" t="s">
        <v>30</v>
      </c>
      <c r="C75" s="5" t="str">
        <f t="shared" si="26"/>
        <v>description,dailCompDescNightblade73,</v>
      </c>
      <c r="D75" s="5" t="str">
        <f t="shared" si="27"/>
        <v>itemText,dailCompTextNightblade73,</v>
      </c>
      <c r="E75" s="5" t="str">
        <f t="shared" si="38"/>
        <v>augmentSkillLevel1,5,</v>
      </c>
      <c r="F75" s="5" t="str">
        <f t="shared" si="39"/>
        <v>augmentSkillName1,records/skills/playerclass04/bladetrap1.dbr,</v>
      </c>
      <c r="G75" s="7">
        <f t="shared" si="34"/>
        <v>73</v>
      </c>
      <c r="H75" s="8" t="str">
        <f t="shared" si="35"/>
        <v>Nightblade</v>
      </c>
      <c r="I75" s="3" t="s">
        <v>113</v>
      </c>
      <c r="J75" s="8" t="str">
        <f t="shared" si="36"/>
        <v>class0004</v>
      </c>
      <c r="K75" s="8" t="str">
        <f t="shared" si="36"/>
        <v>dailoneskill0004</v>
      </c>
      <c r="L75" s="5" t="str">
        <f t="shared" si="28"/>
        <v>lootName73,DAIL/items/materia/class0004/Nightblade73.dbr,</v>
      </c>
      <c r="M75" s="5" t="str">
        <f t="shared" si="29"/>
        <v>lootWeight73,1,</v>
      </c>
      <c r="N75" t="str">
        <f t="shared" si="30"/>
        <v>5</v>
      </c>
      <c r="O75" t="str">
        <f t="shared" si="40"/>
        <v>copy .\dail_base3.dbr .\items\materia\class0004\Nightblade73.dbr /y</v>
      </c>
      <c r="P75" t="str">
        <f t="shared" si="25"/>
        <v>echo relicBitmap,items/craftingparts/components/component_a52_bristlyfur_b.tex, &gt;&gt; .\items\materia\class0004\Nightblade73.dbr</v>
      </c>
      <c r="Q75" t="str">
        <f t="shared" si="25"/>
        <v>echo itemCost,500000, &gt;&gt; .\items\materia\class0004\Nightblade73.dbr</v>
      </c>
      <c r="R75" t="str">
        <f t="shared" si="25"/>
        <v>echo description,dailCompDescNightblade73, &gt;&gt; .\items\materia\class0004\Nightblade73.dbr</v>
      </c>
      <c r="S75" t="str">
        <f t="shared" si="25"/>
        <v>echo itemText,dailCompTextNightblade73, &gt;&gt; .\items\materia\class0004\Nightblade73.dbr</v>
      </c>
      <c r="T75" t="str">
        <f t="shared" si="25"/>
        <v>echo augmentSkillLevel1,5, &gt;&gt; .\items\materia\class0004\Nightblade73.dbr</v>
      </c>
      <c r="U75" t="str">
        <f t="shared" si="25"/>
        <v>echo augmentSkillName1,records/skills/playerclass04/bladetrap1.dbr, &gt;&gt; .\items\materia\class0004\Nightblade73.dbr</v>
      </c>
      <c r="V75" s="5" t="s">
        <v>36</v>
      </c>
      <c r="W75" t="str">
        <f t="shared" si="31"/>
        <v>echo lootName73,DAIL/items/materia/class0004/Nightblade73.dbr, &gt;&gt; .\items\loottables\dailoneskill0004.dbr</v>
      </c>
      <c r="X75" t="str">
        <f t="shared" si="31"/>
        <v>echo lootWeight73,1, &gt;&gt; .\items\loottables\dailoneskill0004.dbr</v>
      </c>
      <c r="Y75" s="5" t="s">
        <v>36</v>
      </c>
      <c r="Z75" t="str">
        <f t="shared" si="32"/>
        <v xml:space="preserve"> dailCompDescNightblade73=^pNightblade's Gift of DAIL</v>
      </c>
      <c r="AA75" t="str">
        <f t="shared" si="41"/>
        <v>dailCompTextNightblade73=^oThis feels warm to the touch, almost familiar ^w(This component only fits into the Medal Slot)ss04/bladetrap1.dbr</v>
      </c>
      <c r="AB75" s="5" t="s">
        <v>36</v>
      </c>
      <c r="AH75">
        <f t="shared" si="43"/>
        <v>70</v>
      </c>
      <c r="AI75">
        <f t="shared" si="37"/>
        <v>29</v>
      </c>
      <c r="AJ75">
        <f t="shared" si="42"/>
        <v>5</v>
      </c>
      <c r="AN75" t="str">
        <f t="shared" si="33"/>
        <v>ss04/bladetrap1.dbr</v>
      </c>
    </row>
    <row r="76" spans="1:40" x14ac:dyDescent="0.25">
      <c r="A76" s="5" t="s">
        <v>39</v>
      </c>
      <c r="B76" s="5" t="s">
        <v>30</v>
      </c>
      <c r="C76" s="5" t="str">
        <f t="shared" si="26"/>
        <v>description,dailCompDescNightblade74,</v>
      </c>
      <c r="D76" s="5" t="str">
        <f t="shared" si="27"/>
        <v>itemText,dailCompTextNightblade74,</v>
      </c>
      <c r="E76" s="5" t="str">
        <f t="shared" si="38"/>
        <v>augmentSkillLevel1,5,</v>
      </c>
      <c r="F76" s="5" t="str">
        <f t="shared" si="39"/>
        <v>augmentSkillName1,records/skills/playerclass04/bladetrap2.dbr,</v>
      </c>
      <c r="G76" s="7">
        <f t="shared" si="34"/>
        <v>74</v>
      </c>
      <c r="H76" s="8" t="str">
        <f t="shared" si="35"/>
        <v>Nightblade</v>
      </c>
      <c r="I76" s="3" t="s">
        <v>310</v>
      </c>
      <c r="J76" s="8" t="str">
        <f t="shared" si="36"/>
        <v>class0004</v>
      </c>
      <c r="K76" s="8" t="str">
        <f t="shared" si="36"/>
        <v>dailoneskill0004</v>
      </c>
      <c r="L76" s="5" t="str">
        <f t="shared" si="28"/>
        <v>lootName74,DAIL/items/materia/class0004/Nightblade74.dbr,</v>
      </c>
      <c r="M76" s="5" t="str">
        <f t="shared" si="29"/>
        <v>lootWeight74,1,</v>
      </c>
      <c r="N76" t="str">
        <f t="shared" si="30"/>
        <v>5</v>
      </c>
      <c r="O76" t="str">
        <f t="shared" si="40"/>
        <v>copy .\dail_base3.dbr .\items\materia\class0004\Nightblade74.dbr /y</v>
      </c>
      <c r="P76" t="str">
        <f t="shared" si="25"/>
        <v>echo relicBitmap,items/craftingparts/components/component_a52_bristlyfur_b.tex, &gt;&gt; .\items\materia\class0004\Nightblade74.dbr</v>
      </c>
      <c r="Q76" t="str">
        <f t="shared" si="25"/>
        <v>echo itemCost,500000, &gt;&gt; .\items\materia\class0004\Nightblade74.dbr</v>
      </c>
      <c r="R76" t="str">
        <f t="shared" si="25"/>
        <v>echo description,dailCompDescNightblade74, &gt;&gt; .\items\materia\class0004\Nightblade74.dbr</v>
      </c>
      <c r="S76" t="str">
        <f t="shared" si="25"/>
        <v>echo itemText,dailCompTextNightblade74, &gt;&gt; .\items\materia\class0004\Nightblade74.dbr</v>
      </c>
      <c r="T76" t="str">
        <f t="shared" si="25"/>
        <v>echo augmentSkillLevel1,5, &gt;&gt; .\items\materia\class0004\Nightblade74.dbr</v>
      </c>
      <c r="U76" t="str">
        <f t="shared" si="25"/>
        <v>echo augmentSkillName1,records/skills/playerclass04/bladetrap2.dbr, &gt;&gt; .\items\materia\class0004\Nightblade74.dbr</v>
      </c>
      <c r="V76" s="5" t="s">
        <v>36</v>
      </c>
      <c r="W76" t="str">
        <f t="shared" si="31"/>
        <v>echo lootName74,DAIL/items/materia/class0004/Nightblade74.dbr, &gt;&gt; .\items\loottables\dailoneskill0004.dbr</v>
      </c>
      <c r="X76" t="str">
        <f t="shared" si="31"/>
        <v>echo lootWeight74,1, &gt;&gt; .\items\loottables\dailoneskill0004.dbr</v>
      </c>
      <c r="Y76" s="5" t="s">
        <v>36</v>
      </c>
      <c r="Z76" t="str">
        <f t="shared" si="32"/>
        <v xml:space="preserve"> dailCompDescNightblade74=^pNightblade's Gift of DAIL</v>
      </c>
      <c r="AA76" t="str">
        <f t="shared" si="41"/>
        <v>dailCompTextNightblade74=^oThis feels warm to the touch, almost familiar ^w(This component only fits into the Medal Slot)ss04/bladetrap2.dbr</v>
      </c>
      <c r="AB76" s="5" t="s">
        <v>36</v>
      </c>
      <c r="AH76">
        <f t="shared" si="43"/>
        <v>71</v>
      </c>
      <c r="AI76">
        <f t="shared" si="37"/>
        <v>29</v>
      </c>
      <c r="AJ76">
        <f t="shared" si="42"/>
        <v>5</v>
      </c>
      <c r="AN76" t="str">
        <f t="shared" si="33"/>
        <v>ss04/bladetrap2.dbr</v>
      </c>
    </row>
    <row r="77" spans="1:40" x14ac:dyDescent="0.25">
      <c r="A77" s="5" t="s">
        <v>39</v>
      </c>
      <c r="B77" s="5" t="s">
        <v>30</v>
      </c>
      <c r="C77" s="5" t="str">
        <f t="shared" si="26"/>
        <v>description,dailCompDescNightblade75,</v>
      </c>
      <c r="D77" s="5" t="str">
        <f t="shared" si="27"/>
        <v>itemText,dailCompTextNightblade75,</v>
      </c>
      <c r="E77" s="5" t="str">
        <f t="shared" si="38"/>
        <v>augmentSkillLevel1,5,</v>
      </c>
      <c r="F77" s="5" t="str">
        <f t="shared" si="39"/>
        <v>augmentSkillName1,records/skills/playerclass04/nightbladeenchant1.dbr,</v>
      </c>
      <c r="G77" s="7">
        <f t="shared" si="34"/>
        <v>75</v>
      </c>
      <c r="H77" s="8" t="str">
        <f t="shared" si="35"/>
        <v>Nightblade</v>
      </c>
      <c r="I77" s="3" t="s">
        <v>115</v>
      </c>
      <c r="J77" s="8" t="str">
        <f t="shared" si="36"/>
        <v>class0004</v>
      </c>
      <c r="K77" s="8" t="str">
        <f t="shared" si="36"/>
        <v>dailoneskill0004</v>
      </c>
      <c r="L77" s="5" t="str">
        <f t="shared" si="28"/>
        <v>lootName75,DAIL/items/materia/class0004/Nightblade75.dbr,</v>
      </c>
      <c r="M77" s="5" t="str">
        <f t="shared" si="29"/>
        <v>lootWeight75,1,</v>
      </c>
      <c r="N77" t="str">
        <f t="shared" si="30"/>
        <v>5</v>
      </c>
      <c r="O77" t="str">
        <f t="shared" si="40"/>
        <v>copy .\dail_base3.dbr .\items\materia\class0004\Nightblade75.dbr /y</v>
      </c>
      <c r="P77" t="str">
        <f t="shared" si="25"/>
        <v>echo relicBitmap,items/craftingparts/components/component_a52_bristlyfur_b.tex, &gt;&gt; .\items\materia\class0004\Nightblade75.dbr</v>
      </c>
      <c r="Q77" t="str">
        <f t="shared" si="25"/>
        <v>echo itemCost,500000, &gt;&gt; .\items\materia\class0004\Nightblade75.dbr</v>
      </c>
      <c r="R77" t="str">
        <f t="shared" si="25"/>
        <v>echo description,dailCompDescNightblade75, &gt;&gt; .\items\materia\class0004\Nightblade75.dbr</v>
      </c>
      <c r="S77" t="str">
        <f t="shared" si="25"/>
        <v>echo itemText,dailCompTextNightblade75, &gt;&gt; .\items\materia\class0004\Nightblade75.dbr</v>
      </c>
      <c r="T77" t="str">
        <f t="shared" si="25"/>
        <v>echo augmentSkillLevel1,5, &gt;&gt; .\items\materia\class0004\Nightblade75.dbr</v>
      </c>
      <c r="U77" t="str">
        <f t="shared" si="25"/>
        <v>echo augmentSkillName1,records/skills/playerclass04/nightbladeenchant1.dbr, &gt;&gt; .\items\materia\class0004\Nightblade75.dbr</v>
      </c>
      <c r="V77" s="5" t="s">
        <v>36</v>
      </c>
      <c r="W77" t="str">
        <f t="shared" si="31"/>
        <v>echo lootName75,DAIL/items/materia/class0004/Nightblade75.dbr, &gt;&gt; .\items\loottables\dailoneskill0004.dbr</v>
      </c>
      <c r="X77" t="str">
        <f t="shared" si="31"/>
        <v>echo lootWeight75,1, &gt;&gt; .\items\loottables\dailoneskill0004.dbr</v>
      </c>
      <c r="Y77" s="5" t="s">
        <v>36</v>
      </c>
      <c r="Z77" t="str">
        <f t="shared" si="32"/>
        <v xml:space="preserve"> dailCompDescNightblade75=^pNightblade's Gift of DAIL</v>
      </c>
      <c r="AA77" t="str">
        <f t="shared" si="41"/>
        <v>dailCompTextNightblade75=^oThis feels warm to the touch, almost familiar ^w(This component only fits into the Medal Slot)htbladeenchant1.dbr</v>
      </c>
      <c r="AB77" s="5" t="s">
        <v>36</v>
      </c>
      <c r="AH77">
        <f t="shared" si="43"/>
        <v>72</v>
      </c>
      <c r="AI77">
        <f t="shared" si="37"/>
        <v>37</v>
      </c>
      <c r="AJ77">
        <f t="shared" si="42"/>
        <v>5</v>
      </c>
      <c r="AN77" t="str">
        <f t="shared" si="33"/>
        <v>htbladeenchant1.dbr</v>
      </c>
    </row>
    <row r="78" spans="1:40" x14ac:dyDescent="0.25">
      <c r="A78" s="5" t="s">
        <v>39</v>
      </c>
      <c r="B78" s="5" t="s">
        <v>30</v>
      </c>
      <c r="C78" s="5" t="str">
        <f t="shared" si="26"/>
        <v>description,dailCompDescNightblade76,</v>
      </c>
      <c r="D78" s="5" t="str">
        <f t="shared" si="27"/>
        <v>itemText,dailCompTextNightblade76,</v>
      </c>
      <c r="E78" s="5" t="str">
        <f t="shared" si="38"/>
        <v>augmentSkillLevel1,5,</v>
      </c>
      <c r="F78" s="5" t="str">
        <f t="shared" si="39"/>
        <v>augmentSkillName1,records/skills/playerclass04/nightbladeenchant1b.dbr,</v>
      </c>
      <c r="G78" s="7">
        <f t="shared" si="34"/>
        <v>76</v>
      </c>
      <c r="H78" s="8" t="str">
        <f t="shared" si="35"/>
        <v>Nightblade</v>
      </c>
      <c r="I78" s="3" t="s">
        <v>311</v>
      </c>
      <c r="J78" s="8" t="str">
        <f t="shared" si="36"/>
        <v>class0004</v>
      </c>
      <c r="K78" s="8" t="str">
        <f t="shared" si="36"/>
        <v>dailoneskill0004</v>
      </c>
      <c r="L78" s="5" t="str">
        <f t="shared" si="28"/>
        <v>lootName76,DAIL/items/materia/class0004/Nightblade76.dbr,</v>
      </c>
      <c r="M78" s="5" t="str">
        <f t="shared" si="29"/>
        <v>lootWeight76,1,</v>
      </c>
      <c r="N78" t="str">
        <f t="shared" si="30"/>
        <v>5</v>
      </c>
      <c r="O78" t="str">
        <f t="shared" si="40"/>
        <v>copy .\dail_base3.dbr .\items\materia\class0004\Nightblade76.dbr /y</v>
      </c>
      <c r="P78" t="str">
        <f t="shared" si="25"/>
        <v>echo relicBitmap,items/craftingparts/components/component_a52_bristlyfur_b.tex, &gt;&gt; .\items\materia\class0004\Nightblade76.dbr</v>
      </c>
      <c r="Q78" t="str">
        <f t="shared" si="25"/>
        <v>echo itemCost,500000, &gt;&gt; .\items\materia\class0004\Nightblade76.dbr</v>
      </c>
      <c r="R78" t="str">
        <f t="shared" si="25"/>
        <v>echo description,dailCompDescNightblade76, &gt;&gt; .\items\materia\class0004\Nightblade76.dbr</v>
      </c>
      <c r="S78" t="str">
        <f t="shared" si="25"/>
        <v>echo itemText,dailCompTextNightblade76, &gt;&gt; .\items\materia\class0004\Nightblade76.dbr</v>
      </c>
      <c r="T78" t="str">
        <f t="shared" si="25"/>
        <v>echo augmentSkillLevel1,5, &gt;&gt; .\items\materia\class0004\Nightblade76.dbr</v>
      </c>
      <c r="U78" t="str">
        <f t="shared" si="25"/>
        <v>echo augmentSkillName1,records/skills/playerclass04/nightbladeenchant1b.dbr, &gt;&gt; .\items\materia\class0004\Nightblade76.dbr</v>
      </c>
      <c r="V78" s="5" t="s">
        <v>36</v>
      </c>
      <c r="W78" t="str">
        <f t="shared" si="31"/>
        <v>echo lootName76,DAIL/items/materia/class0004/Nightblade76.dbr, &gt;&gt; .\items\loottables\dailoneskill0004.dbr</v>
      </c>
      <c r="X78" t="str">
        <f t="shared" si="31"/>
        <v>echo lootWeight76,1, &gt;&gt; .\items\loottables\dailoneskill0004.dbr</v>
      </c>
      <c r="Y78" s="5" t="s">
        <v>36</v>
      </c>
      <c r="Z78" t="str">
        <f t="shared" si="32"/>
        <v xml:space="preserve"> dailCompDescNightblade76=^pNightblade's Gift of DAIL</v>
      </c>
      <c r="AA78" t="str">
        <f t="shared" si="41"/>
        <v>dailCompTextNightblade76=^oThis feels warm to the touch, almost familiar ^w(This component only fits into the Medal Slot)tbladeenchant1b.dbr</v>
      </c>
      <c r="AB78" s="5" t="s">
        <v>36</v>
      </c>
      <c r="AH78">
        <f t="shared" si="43"/>
        <v>73</v>
      </c>
      <c r="AI78">
        <f t="shared" si="37"/>
        <v>38</v>
      </c>
      <c r="AJ78">
        <f t="shared" si="42"/>
        <v>5</v>
      </c>
      <c r="AN78" t="str">
        <f t="shared" si="33"/>
        <v>tbladeenchant1b.dbr</v>
      </c>
    </row>
    <row r="79" spans="1:40" x14ac:dyDescent="0.25">
      <c r="A79" s="5" t="s">
        <v>39</v>
      </c>
      <c r="B79" s="5" t="s">
        <v>30</v>
      </c>
      <c r="C79" s="5" t="str">
        <f t="shared" si="26"/>
        <v>description,dailCompDescNightblade77,</v>
      </c>
      <c r="D79" s="5" t="str">
        <f t="shared" si="27"/>
        <v>itemText,dailCompTextNightblade77,</v>
      </c>
      <c r="E79" s="5" t="str">
        <f t="shared" si="38"/>
        <v>augmentSkillLevel1,5,</v>
      </c>
      <c r="F79" s="5" t="str">
        <f t="shared" si="39"/>
        <v>augmentSkillName1,records/skills/playerclass04/nightbladeenchant2.dbr,</v>
      </c>
      <c r="G79" s="7">
        <f t="shared" si="34"/>
        <v>77</v>
      </c>
      <c r="H79" s="8" t="str">
        <f t="shared" si="35"/>
        <v>Nightblade</v>
      </c>
      <c r="I79" s="3" t="s">
        <v>247</v>
      </c>
      <c r="J79" s="8" t="str">
        <f t="shared" si="36"/>
        <v>class0004</v>
      </c>
      <c r="K79" s="8" t="str">
        <f t="shared" si="36"/>
        <v>dailoneskill0004</v>
      </c>
      <c r="L79" s="5" t="str">
        <f t="shared" si="28"/>
        <v>lootName77,DAIL/items/materia/class0004/Nightblade77.dbr,</v>
      </c>
      <c r="M79" s="5" t="str">
        <f t="shared" si="29"/>
        <v>lootWeight77,1,</v>
      </c>
      <c r="N79" t="str">
        <f t="shared" si="30"/>
        <v>5</v>
      </c>
      <c r="O79" t="str">
        <f t="shared" si="40"/>
        <v>copy .\dail_base3.dbr .\items\materia\class0004\Nightblade77.dbr /y</v>
      </c>
      <c r="P79" t="str">
        <f t="shared" si="25"/>
        <v>echo relicBitmap,items/craftingparts/components/component_a52_bristlyfur_b.tex, &gt;&gt; .\items\materia\class0004\Nightblade77.dbr</v>
      </c>
      <c r="Q79" t="str">
        <f t="shared" si="25"/>
        <v>echo itemCost,500000, &gt;&gt; .\items\materia\class0004\Nightblade77.dbr</v>
      </c>
      <c r="R79" t="str">
        <f t="shared" si="25"/>
        <v>echo description,dailCompDescNightblade77, &gt;&gt; .\items\materia\class0004\Nightblade77.dbr</v>
      </c>
      <c r="S79" t="str">
        <f t="shared" si="25"/>
        <v>echo itemText,dailCompTextNightblade77, &gt;&gt; .\items\materia\class0004\Nightblade77.dbr</v>
      </c>
      <c r="T79" t="str">
        <f t="shared" si="25"/>
        <v>echo augmentSkillLevel1,5, &gt;&gt; .\items\materia\class0004\Nightblade77.dbr</v>
      </c>
      <c r="U79" t="str">
        <f t="shared" si="25"/>
        <v>echo augmentSkillName1,records/skills/playerclass04/nightbladeenchant2.dbr, &gt;&gt; .\items\materia\class0004\Nightblade77.dbr</v>
      </c>
      <c r="V79" s="5" t="s">
        <v>36</v>
      </c>
      <c r="W79" t="str">
        <f t="shared" si="31"/>
        <v>echo lootName77,DAIL/items/materia/class0004/Nightblade77.dbr, &gt;&gt; .\items\loottables\dailoneskill0004.dbr</v>
      </c>
      <c r="X79" t="str">
        <f t="shared" si="31"/>
        <v>echo lootWeight77,1, &gt;&gt; .\items\loottables\dailoneskill0004.dbr</v>
      </c>
      <c r="Y79" s="5" t="s">
        <v>36</v>
      </c>
      <c r="Z79" t="str">
        <f t="shared" si="32"/>
        <v xml:space="preserve"> dailCompDescNightblade77=^pNightblade's Gift of DAIL</v>
      </c>
      <c r="AA79" t="str">
        <f t="shared" si="41"/>
        <v>dailCompTextNightblade77=^oThis feels warm to the touch, almost familiar ^w(This component only fits into the Medal Slot)htbladeenchant2.dbr</v>
      </c>
      <c r="AB79" s="5" t="s">
        <v>36</v>
      </c>
      <c r="AH79">
        <f t="shared" si="43"/>
        <v>74</v>
      </c>
      <c r="AI79">
        <f t="shared" si="37"/>
        <v>37</v>
      </c>
      <c r="AJ79">
        <f t="shared" si="42"/>
        <v>5</v>
      </c>
      <c r="AN79" t="str">
        <f t="shared" si="33"/>
        <v>htbladeenchant2.dbr</v>
      </c>
    </row>
    <row r="80" spans="1:40" x14ac:dyDescent="0.25">
      <c r="A80" s="5" t="s">
        <v>39</v>
      </c>
      <c r="B80" s="5" t="s">
        <v>30</v>
      </c>
      <c r="C80" s="5" t="str">
        <f t="shared" si="26"/>
        <v>description,dailCompDescNightblade78,</v>
      </c>
      <c r="D80" s="5" t="str">
        <f t="shared" si="27"/>
        <v>itemText,dailCompTextNightblade78,</v>
      </c>
      <c r="E80" s="5" t="str">
        <f t="shared" si="38"/>
        <v>augmentSkillLevel1,5,</v>
      </c>
      <c r="F80" s="5" t="str">
        <f t="shared" si="39"/>
        <v>augmentSkillName1,records/skills/playerclass04/phantomblade.dbr,</v>
      </c>
      <c r="G80" s="7">
        <f t="shared" si="34"/>
        <v>78</v>
      </c>
      <c r="H80" s="8" t="str">
        <f t="shared" si="35"/>
        <v>Nightblade</v>
      </c>
      <c r="I80" s="3" t="s">
        <v>116</v>
      </c>
      <c r="J80" s="8" t="str">
        <f t="shared" si="36"/>
        <v>class0004</v>
      </c>
      <c r="K80" s="8" t="str">
        <f t="shared" si="36"/>
        <v>dailoneskill0004</v>
      </c>
      <c r="L80" s="5" t="str">
        <f t="shared" si="28"/>
        <v>lootName78,DAIL/items/materia/class0004/Nightblade78.dbr,</v>
      </c>
      <c r="M80" s="5" t="str">
        <f t="shared" si="29"/>
        <v>lootWeight78,1,</v>
      </c>
      <c r="N80" t="str">
        <f t="shared" si="30"/>
        <v>5</v>
      </c>
      <c r="O80" t="str">
        <f t="shared" si="40"/>
        <v>copy .\dail_base3.dbr .\items\materia\class0004\Nightblade78.dbr /y</v>
      </c>
      <c r="P80" t="str">
        <f t="shared" si="25"/>
        <v>echo relicBitmap,items/craftingparts/components/component_a52_bristlyfur_b.tex, &gt;&gt; .\items\materia\class0004\Nightblade78.dbr</v>
      </c>
      <c r="Q80" t="str">
        <f t="shared" si="25"/>
        <v>echo itemCost,500000, &gt;&gt; .\items\materia\class0004\Nightblade78.dbr</v>
      </c>
      <c r="R80" t="str">
        <f t="shared" si="25"/>
        <v>echo description,dailCompDescNightblade78, &gt;&gt; .\items\materia\class0004\Nightblade78.dbr</v>
      </c>
      <c r="S80" t="str">
        <f t="shared" si="25"/>
        <v>echo itemText,dailCompTextNightblade78, &gt;&gt; .\items\materia\class0004\Nightblade78.dbr</v>
      </c>
      <c r="T80" t="str">
        <f t="shared" si="25"/>
        <v>echo augmentSkillLevel1,5, &gt;&gt; .\items\materia\class0004\Nightblade78.dbr</v>
      </c>
      <c r="U80" t="str">
        <f t="shared" si="25"/>
        <v>echo augmentSkillName1,records/skills/playerclass04/phantomblade.dbr, &gt;&gt; .\items\materia\class0004\Nightblade78.dbr</v>
      </c>
      <c r="V80" s="5" t="s">
        <v>36</v>
      </c>
      <c r="W80" t="str">
        <f t="shared" si="31"/>
        <v>echo lootName78,DAIL/items/materia/class0004/Nightblade78.dbr, &gt;&gt; .\items\loottables\dailoneskill0004.dbr</v>
      </c>
      <c r="X80" t="str">
        <f t="shared" si="31"/>
        <v>echo lootWeight78,1, &gt;&gt; .\items\loottables\dailoneskill0004.dbr</v>
      </c>
      <c r="Y80" s="5" t="s">
        <v>36</v>
      </c>
      <c r="Z80" t="str">
        <f t="shared" si="32"/>
        <v xml:space="preserve"> dailCompDescNightblade78=^pNightblade's Gift of DAIL</v>
      </c>
      <c r="AA80" t="str">
        <f t="shared" si="41"/>
        <v>dailCompTextNightblade78=^oThis feels warm to the touch, almost familiar ^w(This component only fits into the Medal Slot)04/phantomblade.dbr</v>
      </c>
      <c r="AB80" s="5" t="s">
        <v>36</v>
      </c>
      <c r="AH80">
        <f t="shared" si="43"/>
        <v>75</v>
      </c>
      <c r="AI80">
        <f t="shared" si="37"/>
        <v>31</v>
      </c>
      <c r="AJ80">
        <f t="shared" si="42"/>
        <v>5</v>
      </c>
      <c r="AN80" t="str">
        <f t="shared" si="33"/>
        <v>04/phantomblade.dbr</v>
      </c>
    </row>
    <row r="81" spans="1:40" x14ac:dyDescent="0.25">
      <c r="A81" s="5" t="s">
        <v>39</v>
      </c>
      <c r="B81" s="5" t="s">
        <v>30</v>
      </c>
      <c r="C81" s="5" t="str">
        <f t="shared" si="26"/>
        <v>description,dailCompDescNightblade79,</v>
      </c>
      <c r="D81" s="5" t="str">
        <f t="shared" si="27"/>
        <v>itemText,dailCompTextNightblade79,</v>
      </c>
      <c r="E81" s="5" t="str">
        <f t="shared" si="38"/>
        <v>augmentSkillLevel1,5,</v>
      </c>
      <c r="F81" s="5" t="str">
        <f t="shared" si="39"/>
        <v>augmentSkillName1,records/skills/playerclass04/nightbladeenchant3.dbr,</v>
      </c>
      <c r="G81" s="7">
        <f t="shared" si="34"/>
        <v>79</v>
      </c>
      <c r="H81" s="8" t="str">
        <f t="shared" si="35"/>
        <v>Nightblade</v>
      </c>
      <c r="I81" s="3" t="s">
        <v>312</v>
      </c>
      <c r="J81" s="8" t="str">
        <f t="shared" si="36"/>
        <v>class0004</v>
      </c>
      <c r="K81" s="8" t="str">
        <f t="shared" si="36"/>
        <v>dailoneskill0004</v>
      </c>
      <c r="L81" s="5" t="str">
        <f t="shared" si="28"/>
        <v>lootName79,DAIL/items/materia/class0004/Nightblade79.dbr,</v>
      </c>
      <c r="M81" s="5" t="str">
        <f t="shared" si="29"/>
        <v>lootWeight79,1,</v>
      </c>
      <c r="N81" t="str">
        <f t="shared" si="30"/>
        <v>5</v>
      </c>
      <c r="O81" t="str">
        <f t="shared" si="40"/>
        <v>copy .\dail_base3.dbr .\items\materia\class0004\Nightblade79.dbr /y</v>
      </c>
      <c r="P81" t="str">
        <f t="shared" si="25"/>
        <v>echo relicBitmap,items/craftingparts/components/component_a52_bristlyfur_b.tex, &gt;&gt; .\items\materia\class0004\Nightblade79.dbr</v>
      </c>
      <c r="Q81" t="str">
        <f t="shared" si="25"/>
        <v>echo itemCost,500000, &gt;&gt; .\items\materia\class0004\Nightblade79.dbr</v>
      </c>
      <c r="R81" t="str">
        <f t="shared" si="25"/>
        <v>echo description,dailCompDescNightblade79, &gt;&gt; .\items\materia\class0004\Nightblade79.dbr</v>
      </c>
      <c r="S81" t="str">
        <f t="shared" si="25"/>
        <v>echo itemText,dailCompTextNightblade79, &gt;&gt; .\items\materia\class0004\Nightblade79.dbr</v>
      </c>
      <c r="T81" t="str">
        <f t="shared" si="25"/>
        <v>echo augmentSkillLevel1,5, &gt;&gt; .\items\materia\class0004\Nightblade79.dbr</v>
      </c>
      <c r="U81" t="str">
        <f t="shared" si="25"/>
        <v>echo augmentSkillName1,records/skills/playerclass04/nightbladeenchant3.dbr, &gt;&gt; .\items\materia\class0004\Nightblade79.dbr</v>
      </c>
      <c r="V81" s="5" t="s">
        <v>36</v>
      </c>
      <c r="W81" t="str">
        <f t="shared" si="31"/>
        <v>echo lootName79,DAIL/items/materia/class0004/Nightblade79.dbr, &gt;&gt; .\items\loottables\dailoneskill0004.dbr</v>
      </c>
      <c r="X81" t="str">
        <f t="shared" si="31"/>
        <v>echo lootWeight79,1, &gt;&gt; .\items\loottables\dailoneskill0004.dbr</v>
      </c>
      <c r="Y81" s="5" t="s">
        <v>36</v>
      </c>
      <c r="Z81" t="str">
        <f t="shared" si="32"/>
        <v xml:space="preserve"> dailCompDescNightblade79=^pNightblade's Gift of DAIL</v>
      </c>
      <c r="AA81" t="str">
        <f t="shared" si="41"/>
        <v>dailCompTextNightblade79=^oThis feels warm to the touch, almost familiar ^w(This component only fits into the Medal Slot)htbladeenchant3.dbr</v>
      </c>
      <c r="AB81" s="5" t="s">
        <v>36</v>
      </c>
      <c r="AH81">
        <f t="shared" si="43"/>
        <v>76</v>
      </c>
      <c r="AI81">
        <f t="shared" si="37"/>
        <v>37</v>
      </c>
      <c r="AJ81">
        <f t="shared" si="42"/>
        <v>5</v>
      </c>
      <c r="AN81" t="str">
        <f t="shared" si="33"/>
        <v>htbladeenchant3.dbr</v>
      </c>
    </row>
    <row r="82" spans="1:40" x14ac:dyDescent="0.25">
      <c r="A82" s="5" t="s">
        <v>39</v>
      </c>
      <c r="B82" s="5" t="s">
        <v>30</v>
      </c>
      <c r="C82" s="5" t="str">
        <f t="shared" si="26"/>
        <v>description,dailCompDescNightblade80,</v>
      </c>
      <c r="D82" s="5" t="str">
        <f t="shared" si="27"/>
        <v>itemText,dailCompTextNightblade80,</v>
      </c>
      <c r="E82" s="5" t="str">
        <f t="shared" si="38"/>
        <v>augmentSkillLevel1,5,</v>
      </c>
      <c r="F82" s="5" t="str">
        <f t="shared" si="39"/>
        <v>augmentSkillName1,records/skills/playerclass04/wpattack0.dbr,</v>
      </c>
      <c r="G82" s="7">
        <f t="shared" si="34"/>
        <v>80</v>
      </c>
      <c r="H82" s="8" t="str">
        <f t="shared" si="35"/>
        <v>Nightblade</v>
      </c>
      <c r="I82" s="3" t="s">
        <v>313</v>
      </c>
      <c r="J82" s="8" t="str">
        <f t="shared" si="36"/>
        <v>class0004</v>
      </c>
      <c r="K82" s="8" t="str">
        <f t="shared" si="36"/>
        <v>dailoneskill0004</v>
      </c>
      <c r="L82" s="5" t="str">
        <f t="shared" si="28"/>
        <v>lootName80,DAIL/items/materia/class0004/Nightblade80.dbr,</v>
      </c>
      <c r="M82" s="5" t="str">
        <f t="shared" si="29"/>
        <v>lootWeight80,1,</v>
      </c>
      <c r="N82" t="str">
        <f t="shared" si="30"/>
        <v>5</v>
      </c>
      <c r="O82" t="str">
        <f t="shared" si="40"/>
        <v>copy .\dail_base3.dbr .\items\materia\class0004\Nightblade80.dbr /y</v>
      </c>
      <c r="P82" t="str">
        <f t="shared" si="25"/>
        <v>echo relicBitmap,items/craftingparts/components/component_a52_bristlyfur_b.tex, &gt;&gt; .\items\materia\class0004\Nightblade80.dbr</v>
      </c>
      <c r="Q82" t="str">
        <f t="shared" si="25"/>
        <v>echo itemCost,500000, &gt;&gt; .\items\materia\class0004\Nightblade80.dbr</v>
      </c>
      <c r="R82" t="str">
        <f t="shared" si="25"/>
        <v>echo description,dailCompDescNightblade80, &gt;&gt; .\items\materia\class0004\Nightblade80.dbr</v>
      </c>
      <c r="S82" t="str">
        <f t="shared" si="25"/>
        <v>echo itemText,dailCompTextNightblade80, &gt;&gt; .\items\materia\class0004\Nightblade80.dbr</v>
      </c>
      <c r="T82" t="str">
        <f t="shared" si="25"/>
        <v>echo augmentSkillLevel1,5, &gt;&gt; .\items\materia\class0004\Nightblade80.dbr</v>
      </c>
      <c r="U82" t="str">
        <f t="shared" si="25"/>
        <v>echo augmentSkillName1,records/skills/playerclass04/wpattack0.dbr, &gt;&gt; .\items\materia\class0004\Nightblade80.dbr</v>
      </c>
      <c r="V82" s="5" t="s">
        <v>36</v>
      </c>
      <c r="W82" t="str">
        <f t="shared" si="31"/>
        <v>echo lootName80,DAIL/items/materia/class0004/Nightblade80.dbr, &gt;&gt; .\items\loottables\dailoneskill0004.dbr</v>
      </c>
      <c r="X82" t="str">
        <f t="shared" si="31"/>
        <v>echo lootWeight80,1, &gt;&gt; .\items\loottables\dailoneskill0004.dbr</v>
      </c>
      <c r="Y82" s="5" t="s">
        <v>36</v>
      </c>
      <c r="Z82" t="str">
        <f t="shared" si="32"/>
        <v xml:space="preserve"> dailCompDescNightblade80=^pNightblade's Gift of DAIL</v>
      </c>
      <c r="AA82" t="str">
        <f t="shared" si="41"/>
        <v>dailCompTextNightblade80=^oThis feels warm to the touch, almost familiar ^w(This component only fits into the Medal Slot)ass04/wpattack0.dbr</v>
      </c>
      <c r="AB82" s="5" t="s">
        <v>36</v>
      </c>
      <c r="AH82">
        <f t="shared" si="43"/>
        <v>77</v>
      </c>
      <c r="AI82">
        <f t="shared" si="37"/>
        <v>28</v>
      </c>
      <c r="AJ82">
        <f t="shared" si="42"/>
        <v>5</v>
      </c>
      <c r="AN82" t="str">
        <f t="shared" si="33"/>
        <v>ass04/wpattack0.dbr</v>
      </c>
    </row>
    <row r="83" spans="1:40" x14ac:dyDescent="0.25">
      <c r="A83" s="5" t="s">
        <v>39</v>
      </c>
      <c r="B83" s="5" t="s">
        <v>30</v>
      </c>
      <c r="C83" s="5" t="str">
        <f t="shared" si="26"/>
        <v>description,dailCompDescNightblade81,</v>
      </c>
      <c r="D83" s="5" t="str">
        <f t="shared" si="27"/>
        <v>itemText,dailCompTextNightblade81,</v>
      </c>
      <c r="E83" s="5" t="str">
        <f t="shared" si="38"/>
        <v>augmentSkillLevel1,5,</v>
      </c>
      <c r="F83" s="5" t="str">
        <f t="shared" si="39"/>
        <v>augmentSkillName1,records/skills/playerclass04/wpattack1.dbr,</v>
      </c>
      <c r="G83" s="7">
        <f t="shared" si="34"/>
        <v>81</v>
      </c>
      <c r="H83" s="8" t="str">
        <f t="shared" si="35"/>
        <v>Nightblade</v>
      </c>
      <c r="I83" s="3" t="s">
        <v>121</v>
      </c>
      <c r="J83" s="8" t="str">
        <f t="shared" si="36"/>
        <v>class0004</v>
      </c>
      <c r="K83" s="8" t="str">
        <f t="shared" si="36"/>
        <v>dailoneskill0004</v>
      </c>
      <c r="L83" s="5" t="str">
        <f t="shared" si="28"/>
        <v>lootName81,DAIL/items/materia/class0004/Nightblade81.dbr,</v>
      </c>
      <c r="M83" s="5" t="str">
        <f t="shared" si="29"/>
        <v>lootWeight81,1,</v>
      </c>
      <c r="N83" t="str">
        <f t="shared" si="30"/>
        <v>5</v>
      </c>
      <c r="O83" t="str">
        <f t="shared" si="40"/>
        <v>copy .\dail_base3.dbr .\items\materia\class0004\Nightblade81.dbr /y</v>
      </c>
      <c r="P83" t="str">
        <f t="shared" si="25"/>
        <v>echo relicBitmap,items/craftingparts/components/component_a52_bristlyfur_b.tex, &gt;&gt; .\items\materia\class0004\Nightblade81.dbr</v>
      </c>
      <c r="Q83" t="str">
        <f t="shared" si="25"/>
        <v>echo itemCost,500000, &gt;&gt; .\items\materia\class0004\Nightblade81.dbr</v>
      </c>
      <c r="R83" t="str">
        <f t="shared" si="25"/>
        <v>echo description,dailCompDescNightblade81, &gt;&gt; .\items\materia\class0004\Nightblade81.dbr</v>
      </c>
      <c r="S83" t="str">
        <f t="shared" si="25"/>
        <v>echo itemText,dailCompTextNightblade81, &gt;&gt; .\items\materia\class0004\Nightblade81.dbr</v>
      </c>
      <c r="T83" t="str">
        <f t="shared" si="25"/>
        <v>echo augmentSkillLevel1,5, &gt;&gt; .\items\materia\class0004\Nightblade81.dbr</v>
      </c>
      <c r="U83" t="str">
        <f t="shared" si="25"/>
        <v>echo augmentSkillName1,records/skills/playerclass04/wpattack1.dbr, &gt;&gt; .\items\materia\class0004\Nightblade81.dbr</v>
      </c>
      <c r="V83" s="5" t="s">
        <v>36</v>
      </c>
      <c r="W83" t="str">
        <f t="shared" si="31"/>
        <v>echo lootName81,DAIL/items/materia/class0004/Nightblade81.dbr, &gt;&gt; .\items\loottables\dailoneskill0004.dbr</v>
      </c>
      <c r="X83" t="str">
        <f t="shared" si="31"/>
        <v>echo lootWeight81,1, &gt;&gt; .\items\loottables\dailoneskill0004.dbr</v>
      </c>
      <c r="Y83" s="5" t="s">
        <v>36</v>
      </c>
      <c r="Z83" t="str">
        <f t="shared" si="32"/>
        <v xml:space="preserve"> dailCompDescNightblade81=^pNightblade's Gift of DAIL</v>
      </c>
      <c r="AA83" t="str">
        <f t="shared" si="41"/>
        <v>dailCompTextNightblade81=^oThis feels warm to the touch, almost familiar ^w(This component only fits into the Medal Slot)ass04/wpattack1.dbr</v>
      </c>
      <c r="AB83" s="5" t="s">
        <v>36</v>
      </c>
      <c r="AH83">
        <f t="shared" si="43"/>
        <v>78</v>
      </c>
      <c r="AI83">
        <f t="shared" si="37"/>
        <v>28</v>
      </c>
      <c r="AJ83">
        <f t="shared" si="42"/>
        <v>5</v>
      </c>
      <c r="AN83" t="str">
        <f t="shared" si="33"/>
        <v>ass04/wpattack1.dbr</v>
      </c>
    </row>
    <row r="84" spans="1:40" x14ac:dyDescent="0.25">
      <c r="A84" s="5" t="s">
        <v>39</v>
      </c>
      <c r="B84" s="5" t="s">
        <v>30</v>
      </c>
      <c r="C84" s="5" t="str">
        <f t="shared" si="26"/>
        <v>description,dailCompDescNightblade82,</v>
      </c>
      <c r="D84" s="5" t="str">
        <f t="shared" si="27"/>
        <v>itemText,dailCompTextNightblade82,</v>
      </c>
      <c r="E84" s="5" t="str">
        <f t="shared" si="38"/>
        <v>augmentSkillLevel1,5,</v>
      </c>
      <c r="F84" s="5" t="str">
        <f t="shared" si="39"/>
        <v>augmentSkillName1,records/skills/playerclass04/wpattack4.dbr,</v>
      </c>
      <c r="G84" s="7">
        <f t="shared" si="34"/>
        <v>82</v>
      </c>
      <c r="H84" s="8" t="str">
        <f t="shared" si="35"/>
        <v>Nightblade</v>
      </c>
      <c r="I84" s="3" t="s">
        <v>124</v>
      </c>
      <c r="J84" s="8" t="str">
        <f t="shared" si="36"/>
        <v>class0004</v>
      </c>
      <c r="K84" s="8" t="str">
        <f t="shared" si="36"/>
        <v>dailoneskill0004</v>
      </c>
      <c r="L84" s="5" t="str">
        <f t="shared" si="28"/>
        <v>lootName82,DAIL/items/materia/class0004/Nightblade82.dbr,</v>
      </c>
      <c r="M84" s="5" t="str">
        <f t="shared" si="29"/>
        <v>lootWeight82,1,</v>
      </c>
      <c r="N84" t="str">
        <f t="shared" si="30"/>
        <v>5</v>
      </c>
      <c r="O84" t="str">
        <f t="shared" si="40"/>
        <v>copy .\dail_base3.dbr .\items\materia\class0004\Nightblade82.dbr /y</v>
      </c>
      <c r="P84" t="str">
        <f t="shared" si="25"/>
        <v>echo relicBitmap,items/craftingparts/components/component_a52_bristlyfur_b.tex, &gt;&gt; .\items\materia\class0004\Nightblade82.dbr</v>
      </c>
      <c r="Q84" t="str">
        <f t="shared" si="25"/>
        <v>echo itemCost,500000, &gt;&gt; .\items\materia\class0004\Nightblade82.dbr</v>
      </c>
      <c r="R84" t="str">
        <f t="shared" si="25"/>
        <v>echo description,dailCompDescNightblade82, &gt;&gt; .\items\materia\class0004\Nightblade82.dbr</v>
      </c>
      <c r="S84" t="str">
        <f t="shared" si="25"/>
        <v>echo itemText,dailCompTextNightblade82, &gt;&gt; .\items\materia\class0004\Nightblade82.dbr</v>
      </c>
      <c r="T84" t="str">
        <f t="shared" si="25"/>
        <v>echo augmentSkillLevel1,5, &gt;&gt; .\items\materia\class0004\Nightblade82.dbr</v>
      </c>
      <c r="U84" t="str">
        <f t="shared" si="25"/>
        <v>echo augmentSkillName1,records/skills/playerclass04/wpattack4.dbr, &gt;&gt; .\items\materia\class0004\Nightblade82.dbr</v>
      </c>
      <c r="V84" s="5" t="s">
        <v>36</v>
      </c>
      <c r="W84" t="str">
        <f t="shared" si="31"/>
        <v>echo lootName82,DAIL/items/materia/class0004/Nightblade82.dbr, &gt;&gt; .\items\loottables\dailoneskill0004.dbr</v>
      </c>
      <c r="X84" t="str">
        <f t="shared" si="31"/>
        <v>echo lootWeight82,1, &gt;&gt; .\items\loottables\dailoneskill0004.dbr</v>
      </c>
      <c r="Y84" s="5" t="s">
        <v>36</v>
      </c>
      <c r="Z84" t="str">
        <f t="shared" si="32"/>
        <v xml:space="preserve"> dailCompDescNightblade82=^pNightblade's Gift of DAIL</v>
      </c>
      <c r="AA84" t="str">
        <f t="shared" si="41"/>
        <v>dailCompTextNightblade82=^oThis feels warm to the touch, almost familiar ^w(This component only fits into the Medal Slot)ass04/wpattack4.dbr</v>
      </c>
      <c r="AB84" s="5" t="s">
        <v>36</v>
      </c>
      <c r="AH84">
        <f t="shared" si="43"/>
        <v>79</v>
      </c>
      <c r="AI84">
        <f t="shared" si="37"/>
        <v>28</v>
      </c>
      <c r="AJ84">
        <f t="shared" si="42"/>
        <v>5</v>
      </c>
      <c r="AN84" t="str">
        <f t="shared" si="33"/>
        <v>ass04/wpattack4.dbr</v>
      </c>
    </row>
    <row r="85" spans="1:40" x14ac:dyDescent="0.25">
      <c r="A85" s="5" t="s">
        <v>39</v>
      </c>
      <c r="B85" s="5" t="s">
        <v>30</v>
      </c>
      <c r="C85" s="5" t="str">
        <f t="shared" si="26"/>
        <v>description,dailCompDescNightblade83,</v>
      </c>
      <c r="D85" s="5" t="str">
        <f t="shared" si="27"/>
        <v>itemText,dailCompTextNightblade83,</v>
      </c>
      <c r="E85" s="5" t="str">
        <f t="shared" si="38"/>
        <v>augmentSkillLevel1,5,</v>
      </c>
      <c r="F85" s="5" t="str">
        <f t="shared" si="39"/>
        <v>augmentSkillName1,records/skills/playerclass04/wpattack2.dbr,</v>
      </c>
      <c r="G85" s="7">
        <f t="shared" si="34"/>
        <v>83</v>
      </c>
      <c r="H85" s="8" t="str">
        <f t="shared" si="35"/>
        <v>Nightblade</v>
      </c>
      <c r="I85" s="3" t="s">
        <v>122</v>
      </c>
      <c r="J85" s="8" t="str">
        <f t="shared" ref="J85:K100" si="44">J84</f>
        <v>class0004</v>
      </c>
      <c r="K85" s="8" t="str">
        <f t="shared" si="44"/>
        <v>dailoneskill0004</v>
      </c>
      <c r="L85" s="5" t="str">
        <f t="shared" si="28"/>
        <v>lootName83,DAIL/items/materia/class0004/Nightblade83.dbr,</v>
      </c>
      <c r="M85" s="5" t="str">
        <f t="shared" si="29"/>
        <v>lootWeight83,1,</v>
      </c>
      <c r="N85" t="str">
        <f t="shared" si="30"/>
        <v>5</v>
      </c>
      <c r="O85" t="str">
        <f t="shared" si="40"/>
        <v>copy .\dail_base3.dbr .\items\materia\class0004\Nightblade83.dbr /y</v>
      </c>
      <c r="P85" t="str">
        <f t="shared" si="25"/>
        <v>echo relicBitmap,items/craftingparts/components/component_a52_bristlyfur_b.tex, &gt;&gt; .\items\materia\class0004\Nightblade83.dbr</v>
      </c>
      <c r="Q85" t="str">
        <f t="shared" si="25"/>
        <v>echo itemCost,500000, &gt;&gt; .\items\materia\class0004\Nightblade83.dbr</v>
      </c>
      <c r="R85" t="str">
        <f t="shared" si="25"/>
        <v>echo description,dailCompDescNightblade83, &gt;&gt; .\items\materia\class0004\Nightblade83.dbr</v>
      </c>
      <c r="S85" t="str">
        <f t="shared" si="25"/>
        <v>echo itemText,dailCompTextNightblade83, &gt;&gt; .\items\materia\class0004\Nightblade83.dbr</v>
      </c>
      <c r="T85" t="str">
        <f t="shared" si="25"/>
        <v>echo augmentSkillLevel1,5, &gt;&gt; .\items\materia\class0004\Nightblade83.dbr</v>
      </c>
      <c r="U85" t="str">
        <f t="shared" si="25"/>
        <v>echo augmentSkillName1,records/skills/playerclass04/wpattack2.dbr, &gt;&gt; .\items\materia\class0004\Nightblade83.dbr</v>
      </c>
      <c r="V85" s="5" t="s">
        <v>36</v>
      </c>
      <c r="W85" t="str">
        <f t="shared" si="31"/>
        <v>echo lootName83,DAIL/items/materia/class0004/Nightblade83.dbr, &gt;&gt; .\items\loottables\dailoneskill0004.dbr</v>
      </c>
      <c r="X85" t="str">
        <f t="shared" si="31"/>
        <v>echo lootWeight83,1, &gt;&gt; .\items\loottables\dailoneskill0004.dbr</v>
      </c>
      <c r="Y85" s="5" t="s">
        <v>36</v>
      </c>
      <c r="Z85" t="str">
        <f t="shared" si="32"/>
        <v xml:space="preserve"> dailCompDescNightblade83=^pNightblade's Gift of DAIL</v>
      </c>
      <c r="AA85" t="str">
        <f t="shared" si="41"/>
        <v>dailCompTextNightblade83=^oThis feels warm to the touch, almost familiar ^w(This component only fits into the Medal Slot)ass04/wpattack2.dbr</v>
      </c>
      <c r="AB85" s="5" t="s">
        <v>36</v>
      </c>
      <c r="AH85">
        <f t="shared" si="43"/>
        <v>80</v>
      </c>
      <c r="AI85">
        <f t="shared" si="37"/>
        <v>28</v>
      </c>
      <c r="AJ85">
        <f t="shared" si="42"/>
        <v>5</v>
      </c>
      <c r="AN85" t="str">
        <f t="shared" si="33"/>
        <v>ass04/wpattack2.dbr</v>
      </c>
    </row>
    <row r="86" spans="1:40" x14ac:dyDescent="0.25">
      <c r="A86" s="5" t="s">
        <v>39</v>
      </c>
      <c r="B86" s="5" t="s">
        <v>30</v>
      </c>
      <c r="C86" s="5" t="str">
        <f t="shared" si="26"/>
        <v>description,dailCompDescNightblade84,</v>
      </c>
      <c r="D86" s="5" t="str">
        <f t="shared" si="27"/>
        <v>itemText,dailCompTextNightblade84,</v>
      </c>
      <c r="E86" s="5" t="str">
        <f t="shared" si="38"/>
        <v>augmentSkillLevel1,5,</v>
      </c>
      <c r="F86" s="5" t="str">
        <f t="shared" si="39"/>
        <v>augmentSkillName1,records/skills/playerclass04/wpattack4.dbr,</v>
      </c>
      <c r="G86" s="7">
        <f t="shared" si="34"/>
        <v>84</v>
      </c>
      <c r="H86" s="8" t="str">
        <f t="shared" si="35"/>
        <v>Nightblade</v>
      </c>
      <c r="I86" s="3" t="s">
        <v>124</v>
      </c>
      <c r="J86" s="8" t="str">
        <f t="shared" si="44"/>
        <v>class0004</v>
      </c>
      <c r="K86" s="8" t="str">
        <f t="shared" si="44"/>
        <v>dailoneskill0004</v>
      </c>
      <c r="L86" s="5" t="str">
        <f t="shared" si="28"/>
        <v>lootName84,DAIL/items/materia/class0004/Nightblade84.dbr,</v>
      </c>
      <c r="M86" s="5" t="str">
        <f t="shared" si="29"/>
        <v>lootWeight84,1,</v>
      </c>
      <c r="N86" t="str">
        <f t="shared" si="30"/>
        <v>5</v>
      </c>
      <c r="O86" t="str">
        <f t="shared" si="40"/>
        <v>copy .\dail_base3.dbr .\items\materia\class0004\Nightblade84.dbr /y</v>
      </c>
      <c r="P86" t="str">
        <f t="shared" si="25"/>
        <v>echo relicBitmap,items/craftingparts/components/component_a52_bristlyfur_b.tex, &gt;&gt; .\items\materia\class0004\Nightblade84.dbr</v>
      </c>
      <c r="Q86" t="str">
        <f t="shared" si="25"/>
        <v>echo itemCost,500000, &gt;&gt; .\items\materia\class0004\Nightblade84.dbr</v>
      </c>
      <c r="R86" t="str">
        <f t="shared" si="25"/>
        <v>echo description,dailCompDescNightblade84, &gt;&gt; .\items\materia\class0004\Nightblade84.dbr</v>
      </c>
      <c r="S86" t="str">
        <f t="shared" si="25"/>
        <v>echo itemText,dailCompTextNightblade84, &gt;&gt; .\items\materia\class0004\Nightblade84.dbr</v>
      </c>
      <c r="T86" t="str">
        <f t="shared" si="25"/>
        <v>echo augmentSkillLevel1,5, &gt;&gt; .\items\materia\class0004\Nightblade84.dbr</v>
      </c>
      <c r="U86" t="str">
        <f t="shared" si="25"/>
        <v>echo augmentSkillName1,records/skills/playerclass04/wpattack4.dbr, &gt;&gt; .\items\materia\class0004\Nightblade84.dbr</v>
      </c>
      <c r="V86" s="5" t="s">
        <v>36</v>
      </c>
      <c r="W86" t="str">
        <f t="shared" si="31"/>
        <v>echo lootName84,DAIL/items/materia/class0004/Nightblade84.dbr, &gt;&gt; .\items\loottables\dailoneskill0004.dbr</v>
      </c>
      <c r="X86" t="str">
        <f t="shared" si="31"/>
        <v>echo lootWeight84,1, &gt;&gt; .\items\loottables\dailoneskill0004.dbr</v>
      </c>
      <c r="Y86" s="5" t="s">
        <v>36</v>
      </c>
      <c r="Z86" t="str">
        <f t="shared" si="32"/>
        <v xml:space="preserve"> dailCompDescNightblade84=^pNightblade's Gift of DAIL</v>
      </c>
      <c r="AA86" t="str">
        <f t="shared" si="41"/>
        <v>dailCompTextNightblade84=^oThis feels warm to the touch, almost familiar ^w(This component only fits into the Medal Slot)ass04/wpattack4.dbr</v>
      </c>
      <c r="AB86" s="5" t="s">
        <v>36</v>
      </c>
      <c r="AH86">
        <f t="shared" si="43"/>
        <v>81</v>
      </c>
      <c r="AI86">
        <f t="shared" si="37"/>
        <v>28</v>
      </c>
      <c r="AJ86">
        <f t="shared" si="42"/>
        <v>5</v>
      </c>
      <c r="AN86" t="str">
        <f t="shared" si="33"/>
        <v>ass04/wpattack4.dbr</v>
      </c>
    </row>
    <row r="87" spans="1:40" x14ac:dyDescent="0.25">
      <c r="A87" s="5" t="s">
        <v>39</v>
      </c>
      <c r="B87" s="5" t="s">
        <v>30</v>
      </c>
      <c r="C87" s="5" t="str">
        <f t="shared" si="26"/>
        <v>description,dailCompDescNightblade85,</v>
      </c>
      <c r="D87" s="5" t="str">
        <f t="shared" si="27"/>
        <v>itemText,dailCompTextNightblade85,</v>
      </c>
      <c r="E87" s="5" t="str">
        <f t="shared" si="38"/>
        <v>augmentSkillLevel1,5,</v>
      </c>
      <c r="F87" s="5" t="str">
        <f t="shared" si="39"/>
        <v>augmentSkillName1,records/skills/playerclass04/wpattack3.dbr,</v>
      </c>
      <c r="G87" s="7">
        <f t="shared" si="34"/>
        <v>85</v>
      </c>
      <c r="H87" s="8" t="str">
        <f t="shared" si="35"/>
        <v>Nightblade</v>
      </c>
      <c r="I87" s="3" t="s">
        <v>123</v>
      </c>
      <c r="J87" s="8" t="str">
        <f t="shared" si="44"/>
        <v>class0004</v>
      </c>
      <c r="K87" s="8" t="str">
        <f t="shared" si="44"/>
        <v>dailoneskill0004</v>
      </c>
      <c r="L87" s="5" t="str">
        <f t="shared" si="28"/>
        <v>lootName85,DAIL/items/materia/class0004/Nightblade85.dbr,</v>
      </c>
      <c r="M87" s="5" t="str">
        <f t="shared" si="29"/>
        <v>lootWeight85,1,</v>
      </c>
      <c r="N87" t="str">
        <f t="shared" si="30"/>
        <v>5</v>
      </c>
      <c r="O87" t="str">
        <f t="shared" si="40"/>
        <v>copy .\dail_base3.dbr .\items\materia\class0004\Nightblade85.dbr /y</v>
      </c>
      <c r="P87" t="str">
        <f t="shared" si="25"/>
        <v>echo relicBitmap,items/craftingparts/components/component_a52_bristlyfur_b.tex, &gt;&gt; .\items\materia\class0004\Nightblade85.dbr</v>
      </c>
      <c r="Q87" t="str">
        <f t="shared" si="25"/>
        <v>echo itemCost,500000, &gt;&gt; .\items\materia\class0004\Nightblade85.dbr</v>
      </c>
      <c r="R87" t="str">
        <f t="shared" si="25"/>
        <v>echo description,dailCompDescNightblade85, &gt;&gt; .\items\materia\class0004\Nightblade85.dbr</v>
      </c>
      <c r="S87" t="str">
        <f t="shared" si="25"/>
        <v>echo itemText,dailCompTextNightblade85, &gt;&gt; .\items\materia\class0004\Nightblade85.dbr</v>
      </c>
      <c r="T87" t="str">
        <f t="shared" si="25"/>
        <v>echo augmentSkillLevel1,5, &gt;&gt; .\items\materia\class0004\Nightblade85.dbr</v>
      </c>
      <c r="U87" t="str">
        <f t="shared" si="25"/>
        <v>echo augmentSkillName1,records/skills/playerclass04/wpattack3.dbr, &gt;&gt; .\items\materia\class0004\Nightblade85.dbr</v>
      </c>
      <c r="V87" s="5" t="s">
        <v>36</v>
      </c>
      <c r="W87" t="str">
        <f t="shared" si="31"/>
        <v>echo lootName85,DAIL/items/materia/class0004/Nightblade85.dbr, &gt;&gt; .\items\loottables\dailoneskill0004.dbr</v>
      </c>
      <c r="X87" t="str">
        <f t="shared" si="31"/>
        <v>echo lootWeight85,1, &gt;&gt; .\items\loottables\dailoneskill0004.dbr</v>
      </c>
      <c r="Y87" s="5" t="s">
        <v>36</v>
      </c>
      <c r="Z87" t="str">
        <f t="shared" si="32"/>
        <v xml:space="preserve"> dailCompDescNightblade85=^pNightblade's Gift of DAIL</v>
      </c>
      <c r="AA87" t="str">
        <f t="shared" si="41"/>
        <v>dailCompTextNightblade85=^oThis feels warm to the touch, almost familiar ^w(This component only fits into the Medal Slot)ass04/wpattack3.dbr</v>
      </c>
      <c r="AB87" s="5" t="s">
        <v>36</v>
      </c>
      <c r="AH87">
        <f t="shared" si="43"/>
        <v>82</v>
      </c>
      <c r="AI87">
        <f t="shared" si="37"/>
        <v>28</v>
      </c>
      <c r="AJ87">
        <f t="shared" si="42"/>
        <v>5</v>
      </c>
      <c r="AN87" t="str">
        <f t="shared" si="33"/>
        <v>ass04/wpattack3.dbr</v>
      </c>
    </row>
    <row r="88" spans="1:40" x14ac:dyDescent="0.25">
      <c r="A88" s="5" t="s">
        <v>39</v>
      </c>
      <c r="B88" s="5" t="s">
        <v>30</v>
      </c>
      <c r="C88" s="5" t="str">
        <f t="shared" si="26"/>
        <v>description,dailCompDescNightblade86,</v>
      </c>
      <c r="D88" s="5" t="str">
        <f t="shared" si="27"/>
        <v>itemText,dailCompTextNightblade86,</v>
      </c>
      <c r="E88" s="5" t="str">
        <f t="shared" si="38"/>
        <v>augmentSkillLevel1,5,</v>
      </c>
      <c r="F88" s="5" t="str">
        <f t="shared" si="39"/>
        <v>augmentSkillName1,records/skills/playerclass04/wpattack4.dbr,</v>
      </c>
      <c r="G88" s="7">
        <f t="shared" si="34"/>
        <v>86</v>
      </c>
      <c r="H88" s="8" t="str">
        <f t="shared" si="35"/>
        <v>Nightblade</v>
      </c>
      <c r="I88" s="3" t="s">
        <v>124</v>
      </c>
      <c r="J88" s="8" t="str">
        <f t="shared" si="44"/>
        <v>class0004</v>
      </c>
      <c r="K88" s="8" t="str">
        <f t="shared" si="44"/>
        <v>dailoneskill0004</v>
      </c>
      <c r="L88" s="5" t="str">
        <f t="shared" si="28"/>
        <v>lootName86,DAIL/items/materia/class0004/Nightblade86.dbr,</v>
      </c>
      <c r="M88" s="5" t="str">
        <f t="shared" si="29"/>
        <v>lootWeight86,1,</v>
      </c>
      <c r="N88" t="str">
        <f t="shared" si="30"/>
        <v>5</v>
      </c>
      <c r="O88" t="str">
        <f t="shared" si="40"/>
        <v>copy .\dail_base3.dbr .\items\materia\class0004\Nightblade86.dbr /y</v>
      </c>
      <c r="P88" t="str">
        <f t="shared" si="25"/>
        <v>echo relicBitmap,items/craftingparts/components/component_a52_bristlyfur_b.tex, &gt;&gt; .\items\materia\class0004\Nightblade86.dbr</v>
      </c>
      <c r="Q88" t="str">
        <f t="shared" si="25"/>
        <v>echo itemCost,500000, &gt;&gt; .\items\materia\class0004\Nightblade86.dbr</v>
      </c>
      <c r="R88" t="str">
        <f t="shared" si="25"/>
        <v>echo description,dailCompDescNightblade86, &gt;&gt; .\items\materia\class0004\Nightblade86.dbr</v>
      </c>
      <c r="S88" t="str">
        <f t="shared" si="25"/>
        <v>echo itemText,dailCompTextNightblade86, &gt;&gt; .\items\materia\class0004\Nightblade86.dbr</v>
      </c>
      <c r="T88" t="str">
        <f t="shared" si="25"/>
        <v>echo augmentSkillLevel1,5, &gt;&gt; .\items\materia\class0004\Nightblade86.dbr</v>
      </c>
      <c r="U88" t="str">
        <f t="shared" si="25"/>
        <v>echo augmentSkillName1,records/skills/playerclass04/wpattack4.dbr, &gt;&gt; .\items\materia\class0004\Nightblade86.dbr</v>
      </c>
      <c r="V88" s="5" t="s">
        <v>36</v>
      </c>
      <c r="W88" t="str">
        <f t="shared" si="31"/>
        <v>echo lootName86,DAIL/items/materia/class0004/Nightblade86.dbr, &gt;&gt; .\items\loottables\dailoneskill0004.dbr</v>
      </c>
      <c r="X88" t="str">
        <f t="shared" si="31"/>
        <v>echo lootWeight86,1, &gt;&gt; .\items\loottables\dailoneskill0004.dbr</v>
      </c>
      <c r="Y88" s="5" t="s">
        <v>36</v>
      </c>
      <c r="Z88" t="str">
        <f t="shared" si="32"/>
        <v xml:space="preserve"> dailCompDescNightblade86=^pNightblade's Gift of DAIL</v>
      </c>
      <c r="AA88" t="str">
        <f t="shared" si="41"/>
        <v>dailCompTextNightblade86=^oThis feels warm to the touch, almost familiar ^w(This component only fits into the Medal Slot)ass04/wpattack4.dbr</v>
      </c>
      <c r="AB88" s="5" t="s">
        <v>36</v>
      </c>
      <c r="AH88">
        <f t="shared" si="43"/>
        <v>83</v>
      </c>
      <c r="AI88">
        <f t="shared" si="37"/>
        <v>28</v>
      </c>
      <c r="AJ88">
        <f t="shared" si="42"/>
        <v>5</v>
      </c>
      <c r="AN88" t="str">
        <f t="shared" si="33"/>
        <v>ass04/wpattack4.dbr</v>
      </c>
    </row>
    <row r="89" spans="1:40" x14ac:dyDescent="0.25">
      <c r="A89" s="5" t="s">
        <v>39</v>
      </c>
      <c r="B89" s="5" t="s">
        <v>30</v>
      </c>
      <c r="C89" s="5" t="str">
        <f t="shared" si="26"/>
        <v>description,dailCompDescNightblade87,</v>
      </c>
      <c r="D89" s="5" t="str">
        <f t="shared" si="27"/>
        <v>itemText,dailCompTextNightblade87,</v>
      </c>
      <c r="E89" s="5" t="str">
        <f t="shared" si="38"/>
        <v>augmentSkillLevel1,5,</v>
      </c>
      <c r="F89" s="5" t="str">
        <f t="shared" si="39"/>
        <v>augmentSkillName1,records/skills/playerclass04/wpattack5.dbr,</v>
      </c>
      <c r="G89" s="7">
        <f t="shared" si="34"/>
        <v>87</v>
      </c>
      <c r="H89" s="8" t="str">
        <f t="shared" si="35"/>
        <v>Nightblade</v>
      </c>
      <c r="I89" s="3" t="s">
        <v>125</v>
      </c>
      <c r="J89" s="8" t="str">
        <f t="shared" si="44"/>
        <v>class0004</v>
      </c>
      <c r="K89" s="8" t="str">
        <f t="shared" si="44"/>
        <v>dailoneskill0004</v>
      </c>
      <c r="L89" s="5" t="str">
        <f t="shared" si="28"/>
        <v>lootName87,DAIL/items/materia/class0004/Nightblade87.dbr,</v>
      </c>
      <c r="M89" s="5" t="str">
        <f t="shared" si="29"/>
        <v>lootWeight87,1,</v>
      </c>
      <c r="N89" t="str">
        <f t="shared" si="30"/>
        <v>5</v>
      </c>
      <c r="O89" t="str">
        <f t="shared" si="40"/>
        <v>copy .\dail_base3.dbr .\items\materia\class0004\Nightblade87.dbr /y</v>
      </c>
      <c r="P89" t="str">
        <f t="shared" si="25"/>
        <v>echo relicBitmap,items/craftingparts/components/component_a52_bristlyfur_b.tex, &gt;&gt; .\items\materia\class0004\Nightblade87.dbr</v>
      </c>
      <c r="Q89" t="str">
        <f t="shared" si="25"/>
        <v>echo itemCost,500000, &gt;&gt; .\items\materia\class0004\Nightblade87.dbr</v>
      </c>
      <c r="R89" t="str">
        <f t="shared" si="25"/>
        <v>echo description,dailCompDescNightblade87, &gt;&gt; .\items\materia\class0004\Nightblade87.dbr</v>
      </c>
      <c r="S89" t="str">
        <f t="shared" si="25"/>
        <v>echo itemText,dailCompTextNightblade87, &gt;&gt; .\items\materia\class0004\Nightblade87.dbr</v>
      </c>
      <c r="T89" t="str">
        <f t="shared" si="25"/>
        <v>echo augmentSkillLevel1,5, &gt;&gt; .\items\materia\class0004\Nightblade87.dbr</v>
      </c>
      <c r="U89" t="str">
        <f t="shared" si="25"/>
        <v>echo augmentSkillName1,records/skills/playerclass04/wpattack5.dbr, &gt;&gt; .\items\materia\class0004\Nightblade87.dbr</v>
      </c>
      <c r="V89" s="5" t="s">
        <v>36</v>
      </c>
      <c r="W89" t="str">
        <f t="shared" si="31"/>
        <v>echo lootName87,DAIL/items/materia/class0004/Nightblade87.dbr, &gt;&gt; .\items\loottables\dailoneskill0004.dbr</v>
      </c>
      <c r="X89" t="str">
        <f t="shared" si="31"/>
        <v>echo lootWeight87,1, &gt;&gt; .\items\loottables\dailoneskill0004.dbr</v>
      </c>
      <c r="Y89" s="5" t="s">
        <v>36</v>
      </c>
      <c r="Z89" t="str">
        <f t="shared" si="32"/>
        <v xml:space="preserve"> dailCompDescNightblade87=^pNightblade's Gift of DAIL</v>
      </c>
      <c r="AA89" t="str">
        <f t="shared" si="41"/>
        <v>dailCompTextNightblade87=^oThis feels warm to the touch, almost familiar ^w(This component only fits into the Medal Slot)ass04/wpattack5.dbr</v>
      </c>
      <c r="AB89" s="5" t="s">
        <v>36</v>
      </c>
      <c r="AH89">
        <f t="shared" si="43"/>
        <v>84</v>
      </c>
      <c r="AI89">
        <f t="shared" si="37"/>
        <v>28</v>
      </c>
      <c r="AJ89">
        <f t="shared" si="42"/>
        <v>5</v>
      </c>
      <c r="AN89" t="str">
        <f t="shared" si="33"/>
        <v>ass04/wpattack5.dbr</v>
      </c>
    </row>
    <row r="90" spans="1:40" x14ac:dyDescent="0.25">
      <c r="A90" s="5" t="s">
        <v>39</v>
      </c>
      <c r="B90" s="5" t="s">
        <v>30</v>
      </c>
      <c r="C90" s="5" t="str">
        <f t="shared" si="26"/>
        <v>description,dailCompDescNightblade88,</v>
      </c>
      <c r="D90" s="5" t="str">
        <f t="shared" si="27"/>
        <v>itemText,dailCompTextNightblade88,</v>
      </c>
      <c r="E90" s="5" t="str">
        <f t="shared" si="38"/>
        <v>augmentSkillLevel1,5,</v>
      </c>
      <c r="F90" s="5" t="str">
        <f t="shared" si="39"/>
        <v>augmentSkillName1,records/skills/playerclass04/ringofsteel.dbr,</v>
      </c>
      <c r="G90" s="7">
        <f t="shared" si="34"/>
        <v>88</v>
      </c>
      <c r="H90" s="8" t="str">
        <f t="shared" si="35"/>
        <v>Nightblade</v>
      </c>
      <c r="I90" s="3" t="s">
        <v>117</v>
      </c>
      <c r="J90" s="8" t="str">
        <f t="shared" si="44"/>
        <v>class0004</v>
      </c>
      <c r="K90" s="8" t="str">
        <f t="shared" si="44"/>
        <v>dailoneskill0004</v>
      </c>
      <c r="L90" s="5" t="str">
        <f t="shared" si="28"/>
        <v>lootName88,DAIL/items/materia/class0004/Nightblade88.dbr,</v>
      </c>
      <c r="M90" s="5" t="str">
        <f t="shared" si="29"/>
        <v>lootWeight88,1,</v>
      </c>
      <c r="N90" t="str">
        <f t="shared" si="30"/>
        <v>5</v>
      </c>
      <c r="O90" t="str">
        <f t="shared" si="40"/>
        <v>copy .\dail_base3.dbr .\items\materia\class0004\Nightblade88.dbr /y</v>
      </c>
      <c r="P90" t="str">
        <f t="shared" si="25"/>
        <v>echo relicBitmap,items/craftingparts/components/component_a52_bristlyfur_b.tex, &gt;&gt; .\items\materia\class0004\Nightblade88.dbr</v>
      </c>
      <c r="Q90" t="str">
        <f t="shared" si="25"/>
        <v>echo itemCost,500000, &gt;&gt; .\items\materia\class0004\Nightblade88.dbr</v>
      </c>
      <c r="R90" t="str">
        <f t="shared" si="25"/>
        <v>echo description,dailCompDescNightblade88, &gt;&gt; .\items\materia\class0004\Nightblade88.dbr</v>
      </c>
      <c r="S90" t="str">
        <f t="shared" si="25"/>
        <v>echo itemText,dailCompTextNightblade88, &gt;&gt; .\items\materia\class0004\Nightblade88.dbr</v>
      </c>
      <c r="T90" t="str">
        <f t="shared" si="25"/>
        <v>echo augmentSkillLevel1,5, &gt;&gt; .\items\materia\class0004\Nightblade88.dbr</v>
      </c>
      <c r="U90" t="str">
        <f t="shared" si="25"/>
        <v>echo augmentSkillName1,records/skills/playerclass04/ringofsteel.dbr, &gt;&gt; .\items\materia\class0004\Nightblade88.dbr</v>
      </c>
      <c r="V90" s="5" t="s">
        <v>36</v>
      </c>
      <c r="W90" t="str">
        <f t="shared" si="31"/>
        <v>echo lootName88,DAIL/items/materia/class0004/Nightblade88.dbr, &gt;&gt; .\items\loottables\dailoneskill0004.dbr</v>
      </c>
      <c r="X90" t="str">
        <f t="shared" si="31"/>
        <v>echo lootWeight88,1, &gt;&gt; .\items\loottables\dailoneskill0004.dbr</v>
      </c>
      <c r="Y90" s="5" t="s">
        <v>36</v>
      </c>
      <c r="Z90" t="str">
        <f t="shared" si="32"/>
        <v xml:space="preserve"> dailCompDescNightblade88=^pNightblade's Gift of DAIL</v>
      </c>
      <c r="AA90" t="str">
        <f t="shared" si="41"/>
        <v>dailCompTextNightblade88=^oThis feels warm to the touch, almost familiar ^w(This component only fits into the Medal Slot)s04/ringofsteel.dbr</v>
      </c>
      <c r="AB90" s="5" t="s">
        <v>36</v>
      </c>
      <c r="AH90">
        <f t="shared" si="43"/>
        <v>85</v>
      </c>
      <c r="AI90">
        <f t="shared" si="37"/>
        <v>30</v>
      </c>
      <c r="AJ90">
        <f t="shared" si="42"/>
        <v>5</v>
      </c>
      <c r="AN90" t="str">
        <f t="shared" si="33"/>
        <v>s04/ringofsteel.dbr</v>
      </c>
    </row>
    <row r="91" spans="1:40" x14ac:dyDescent="0.25">
      <c r="A91" s="5" t="s">
        <v>39</v>
      </c>
      <c r="B91" s="5" t="s">
        <v>30</v>
      </c>
      <c r="C91" s="5" t="str">
        <f t="shared" si="26"/>
        <v>description,dailCompDescNightblade89,</v>
      </c>
      <c r="D91" s="5" t="str">
        <f t="shared" si="27"/>
        <v>itemText,dailCompTextNightblade89,</v>
      </c>
      <c r="E91" s="5" t="str">
        <f t="shared" si="38"/>
        <v>augmentSkillLevel1,5,</v>
      </c>
      <c r="F91" s="5" t="str">
        <f t="shared" si="39"/>
        <v>augmentSkillName1,records/skills/playerclass04/phantomblade_mod0.dbr,</v>
      </c>
      <c r="G91" s="7">
        <f t="shared" si="34"/>
        <v>89</v>
      </c>
      <c r="H91" s="8" t="str">
        <f t="shared" si="35"/>
        <v>Nightblade</v>
      </c>
      <c r="I91" s="3" t="s">
        <v>314</v>
      </c>
      <c r="J91" s="8" t="str">
        <f t="shared" si="44"/>
        <v>class0004</v>
      </c>
      <c r="K91" s="8" t="str">
        <f t="shared" si="44"/>
        <v>dailoneskill0004</v>
      </c>
      <c r="L91" s="5" t="str">
        <f t="shared" si="28"/>
        <v>lootName89,DAIL/items/materia/class0004/Nightblade89.dbr,</v>
      </c>
      <c r="M91" s="5" t="str">
        <f t="shared" si="29"/>
        <v>lootWeight89,1,</v>
      </c>
      <c r="N91" t="str">
        <f t="shared" si="30"/>
        <v>5</v>
      </c>
      <c r="O91" t="str">
        <f t="shared" si="40"/>
        <v>copy .\dail_base3.dbr .\items\materia\class0004\Nightblade89.dbr /y</v>
      </c>
      <c r="P91" t="str">
        <f t="shared" si="25"/>
        <v>echo relicBitmap,items/craftingparts/components/component_a52_bristlyfur_b.tex, &gt;&gt; .\items\materia\class0004\Nightblade89.dbr</v>
      </c>
      <c r="Q91" t="str">
        <f t="shared" si="25"/>
        <v>echo itemCost,500000, &gt;&gt; .\items\materia\class0004\Nightblade89.dbr</v>
      </c>
      <c r="R91" t="str">
        <f t="shared" si="25"/>
        <v>echo description,dailCompDescNightblade89, &gt;&gt; .\items\materia\class0004\Nightblade89.dbr</v>
      </c>
      <c r="S91" t="str">
        <f t="shared" si="25"/>
        <v>echo itemText,dailCompTextNightblade89, &gt;&gt; .\items\materia\class0004\Nightblade89.dbr</v>
      </c>
      <c r="T91" t="str">
        <f t="shared" si="25"/>
        <v>echo augmentSkillLevel1,5, &gt;&gt; .\items\materia\class0004\Nightblade89.dbr</v>
      </c>
      <c r="U91" t="str">
        <f t="shared" si="25"/>
        <v>echo augmentSkillName1,records/skills/playerclass04/phantomblade_mod0.dbr, &gt;&gt; .\items\materia\class0004\Nightblade89.dbr</v>
      </c>
      <c r="V91" s="5" t="s">
        <v>36</v>
      </c>
      <c r="W91" t="str">
        <f t="shared" si="31"/>
        <v>echo lootName89,DAIL/items/materia/class0004/Nightblade89.dbr, &gt;&gt; .\items\loottables\dailoneskill0004.dbr</v>
      </c>
      <c r="X91" t="str">
        <f t="shared" si="31"/>
        <v>echo lootWeight89,1, &gt;&gt; .\items\loottables\dailoneskill0004.dbr</v>
      </c>
      <c r="Y91" s="5" t="s">
        <v>36</v>
      </c>
      <c r="Z91" t="str">
        <f t="shared" si="32"/>
        <v xml:space="preserve"> dailCompDescNightblade89=^pNightblade's Gift of DAIL</v>
      </c>
      <c r="AA91" t="str">
        <f t="shared" si="41"/>
        <v>dailCompTextNightblade89=^oThis feels warm to the touch, almost familiar ^w(This component only fits into the Medal Slot)antomblade_mod0.dbr</v>
      </c>
      <c r="AB91" s="5" t="s">
        <v>36</v>
      </c>
      <c r="AH91">
        <f t="shared" si="43"/>
        <v>86</v>
      </c>
      <c r="AI91">
        <f t="shared" si="37"/>
        <v>36</v>
      </c>
      <c r="AJ91">
        <f t="shared" si="42"/>
        <v>5</v>
      </c>
      <c r="AN91" t="str">
        <f t="shared" si="33"/>
        <v>antomblade_mod0.dbr</v>
      </c>
    </row>
    <row r="92" spans="1:40" x14ac:dyDescent="0.25">
      <c r="A92" s="5" t="s">
        <v>39</v>
      </c>
      <c r="B92" s="5" t="s">
        <v>30</v>
      </c>
      <c r="C92" s="5" t="str">
        <f t="shared" si="26"/>
        <v>description,dailCompDescNightblade90,</v>
      </c>
      <c r="D92" s="5" t="str">
        <f t="shared" si="27"/>
        <v>itemText,dailCompTextNightblade90,</v>
      </c>
      <c r="E92" s="5" t="str">
        <f t="shared" si="38"/>
        <v>augmentSkillLevel1,5,</v>
      </c>
      <c r="F92" s="5" t="str">
        <f t="shared" si="39"/>
        <v>augmentSkillName1,records/skills/playerclass04/ringofsteel_mod0.dbr,</v>
      </c>
      <c r="G92" s="7">
        <f t="shared" si="34"/>
        <v>90</v>
      </c>
      <c r="H92" s="8" t="str">
        <f t="shared" si="35"/>
        <v>Nightblade</v>
      </c>
      <c r="I92" s="3" t="s">
        <v>315</v>
      </c>
      <c r="J92" s="8" t="str">
        <f t="shared" si="44"/>
        <v>class0004</v>
      </c>
      <c r="K92" s="8" t="str">
        <f t="shared" si="44"/>
        <v>dailoneskill0004</v>
      </c>
      <c r="L92" s="5" t="str">
        <f t="shared" si="28"/>
        <v>lootName90,DAIL/items/materia/class0004/Nightblade90.dbr,</v>
      </c>
      <c r="M92" s="5" t="str">
        <f t="shared" si="29"/>
        <v>lootWeight90,1,</v>
      </c>
      <c r="N92" t="str">
        <f t="shared" si="30"/>
        <v>5</v>
      </c>
      <c r="O92" t="str">
        <f t="shared" si="40"/>
        <v>copy .\dail_base3.dbr .\items\materia\class0004\Nightblade90.dbr /y</v>
      </c>
      <c r="P92" t="str">
        <f t="shared" si="25"/>
        <v>echo relicBitmap,items/craftingparts/components/component_a52_bristlyfur_b.tex, &gt;&gt; .\items\materia\class0004\Nightblade90.dbr</v>
      </c>
      <c r="Q92" t="str">
        <f t="shared" si="25"/>
        <v>echo itemCost,500000, &gt;&gt; .\items\materia\class0004\Nightblade90.dbr</v>
      </c>
      <c r="R92" t="str">
        <f t="shared" si="25"/>
        <v>echo description,dailCompDescNightblade90, &gt;&gt; .\items\materia\class0004\Nightblade90.dbr</v>
      </c>
      <c r="S92" t="str">
        <f t="shared" si="25"/>
        <v>echo itemText,dailCompTextNightblade90, &gt;&gt; .\items\materia\class0004\Nightblade90.dbr</v>
      </c>
      <c r="T92" t="str">
        <f t="shared" si="25"/>
        <v>echo augmentSkillLevel1,5, &gt;&gt; .\items\materia\class0004\Nightblade90.dbr</v>
      </c>
      <c r="U92" t="str">
        <f t="shared" si="25"/>
        <v>echo augmentSkillName1,records/skills/playerclass04/ringofsteel_mod0.dbr, &gt;&gt; .\items\materia\class0004\Nightblade90.dbr</v>
      </c>
      <c r="V92" s="5" t="s">
        <v>36</v>
      </c>
      <c r="W92" t="str">
        <f t="shared" si="31"/>
        <v>echo lootName90,DAIL/items/materia/class0004/Nightblade90.dbr, &gt;&gt; .\items\loottables\dailoneskill0004.dbr</v>
      </c>
      <c r="X92" t="str">
        <f t="shared" si="31"/>
        <v>echo lootWeight90,1, &gt;&gt; .\items\loottables\dailoneskill0004.dbr</v>
      </c>
      <c r="Y92" s="5" t="s">
        <v>36</v>
      </c>
      <c r="Z92" t="str">
        <f t="shared" si="32"/>
        <v xml:space="preserve"> dailCompDescNightblade90=^pNightblade's Gift of DAIL</v>
      </c>
      <c r="AA92" t="str">
        <f t="shared" si="41"/>
        <v>dailCompTextNightblade90=^oThis feels warm to the touch, almost familiar ^w(This component only fits into the Medal Slot)ingofsteel_mod0.dbr</v>
      </c>
      <c r="AB92" s="5" t="s">
        <v>36</v>
      </c>
      <c r="AH92">
        <f t="shared" si="43"/>
        <v>87</v>
      </c>
      <c r="AI92">
        <f t="shared" si="37"/>
        <v>35</v>
      </c>
      <c r="AJ92">
        <f t="shared" si="42"/>
        <v>5</v>
      </c>
      <c r="AN92" t="str">
        <f t="shared" si="33"/>
        <v>ingofsteel_mod0.dbr</v>
      </c>
    </row>
    <row r="93" spans="1:40" x14ac:dyDescent="0.25">
      <c r="A93" s="5" t="s">
        <v>39</v>
      </c>
      <c r="B93" s="5" t="s">
        <v>30</v>
      </c>
      <c r="C93" s="5" t="str">
        <f t="shared" si="26"/>
        <v>description,dailCompDescNightblade91,</v>
      </c>
      <c r="D93" s="5" t="str">
        <f t="shared" si="27"/>
        <v>itemText,dailCompTextNightblade91,</v>
      </c>
      <c r="E93" s="5" t="str">
        <f t="shared" si="38"/>
        <v>augmentSkillLevel1,5,</v>
      </c>
      <c r="F93" s="5" t="str">
        <f t="shared" si="39"/>
        <v>augmentSkillName1,records/skills/playerclass04/ringofsteel_mod1.dbr,</v>
      </c>
      <c r="G93" s="7">
        <f t="shared" si="34"/>
        <v>91</v>
      </c>
      <c r="H93" s="8" t="str">
        <f t="shared" si="35"/>
        <v>Nightblade</v>
      </c>
      <c r="I93" s="3" t="s">
        <v>316</v>
      </c>
      <c r="J93" s="8" t="str">
        <f t="shared" si="44"/>
        <v>class0004</v>
      </c>
      <c r="K93" s="8" t="str">
        <f t="shared" si="44"/>
        <v>dailoneskill0004</v>
      </c>
      <c r="L93" s="5" t="str">
        <f t="shared" si="28"/>
        <v>lootName91,DAIL/items/materia/class0004/Nightblade91.dbr,</v>
      </c>
      <c r="M93" s="5" t="str">
        <f t="shared" si="29"/>
        <v>lootWeight91,1,</v>
      </c>
      <c r="N93" t="str">
        <f t="shared" si="30"/>
        <v>5</v>
      </c>
      <c r="O93" t="str">
        <f t="shared" si="40"/>
        <v>copy .\dail_base3.dbr .\items\materia\class0004\Nightblade91.dbr /y</v>
      </c>
      <c r="P93" t="str">
        <f t="shared" si="25"/>
        <v>echo relicBitmap,items/craftingparts/components/component_a52_bristlyfur_b.tex, &gt;&gt; .\items\materia\class0004\Nightblade91.dbr</v>
      </c>
      <c r="Q93" t="str">
        <f t="shared" si="25"/>
        <v>echo itemCost,500000, &gt;&gt; .\items\materia\class0004\Nightblade91.dbr</v>
      </c>
      <c r="R93" t="str">
        <f t="shared" si="25"/>
        <v>echo description,dailCompDescNightblade91, &gt;&gt; .\items\materia\class0004\Nightblade91.dbr</v>
      </c>
      <c r="S93" t="str">
        <f t="shared" si="25"/>
        <v>echo itemText,dailCompTextNightblade91, &gt;&gt; .\items\materia\class0004\Nightblade91.dbr</v>
      </c>
      <c r="T93" t="str">
        <f t="shared" si="25"/>
        <v>echo augmentSkillLevel1,5, &gt;&gt; .\items\materia\class0004\Nightblade91.dbr</v>
      </c>
      <c r="U93" t="str">
        <f t="shared" si="25"/>
        <v>echo augmentSkillName1,records/skills/playerclass04/ringofsteel_mod1.dbr, &gt;&gt; .\items\materia\class0004\Nightblade91.dbr</v>
      </c>
      <c r="V93" s="5" t="s">
        <v>36</v>
      </c>
      <c r="W93" t="str">
        <f t="shared" si="31"/>
        <v>echo lootName91,DAIL/items/materia/class0004/Nightblade91.dbr, &gt;&gt; .\items\loottables\dailoneskill0004.dbr</v>
      </c>
      <c r="X93" t="str">
        <f t="shared" si="31"/>
        <v>echo lootWeight91,1, &gt;&gt; .\items\loottables\dailoneskill0004.dbr</v>
      </c>
      <c r="Y93" s="5" t="s">
        <v>36</v>
      </c>
      <c r="Z93" t="str">
        <f t="shared" si="32"/>
        <v xml:space="preserve"> dailCompDescNightblade91=^pNightblade's Gift of DAIL</v>
      </c>
      <c r="AA93" t="str">
        <f t="shared" si="41"/>
        <v>dailCompTextNightblade91=^oThis feels warm to the touch, almost familiar ^w(This component only fits into the Medal Slot)ingofsteel_mod1.dbr</v>
      </c>
      <c r="AB93" s="5" t="s">
        <v>36</v>
      </c>
      <c r="AH93">
        <f t="shared" si="43"/>
        <v>88</v>
      </c>
      <c r="AI93">
        <f t="shared" si="37"/>
        <v>35</v>
      </c>
      <c r="AJ93">
        <f t="shared" si="42"/>
        <v>5</v>
      </c>
      <c r="AN93" t="str">
        <f t="shared" si="33"/>
        <v>ingofsteel_mod1.dbr</v>
      </c>
    </row>
    <row r="94" spans="1:40" x14ac:dyDescent="0.25">
      <c r="A94" s="5" t="s">
        <v>39</v>
      </c>
      <c r="B94" s="5" t="s">
        <v>30</v>
      </c>
      <c r="C94" s="5" t="str">
        <f t="shared" si="26"/>
        <v>description,dailCompDescNightblade92,</v>
      </c>
      <c r="D94" s="5" t="str">
        <f t="shared" si="27"/>
        <v>itemText,dailCompTextNightblade92,</v>
      </c>
      <c r="E94" s="5" t="str">
        <f t="shared" si="38"/>
        <v>augmentSkillLevel1,5,</v>
      </c>
      <c r="F94" s="5" t="str">
        <f t="shared" si="39"/>
        <v>augmentSkillName1,records/skills/playerclass04/summon_bladespirit.dbr,</v>
      </c>
      <c r="G94" s="7">
        <f t="shared" si="34"/>
        <v>92</v>
      </c>
      <c r="H94" s="8" t="str">
        <f t="shared" si="35"/>
        <v>Nightblade</v>
      </c>
      <c r="I94" s="3" t="s">
        <v>119</v>
      </c>
      <c r="J94" s="8" t="str">
        <f t="shared" si="44"/>
        <v>class0004</v>
      </c>
      <c r="K94" s="8" t="str">
        <f t="shared" si="44"/>
        <v>dailoneskill0004</v>
      </c>
      <c r="L94" s="5" t="str">
        <f t="shared" si="28"/>
        <v>lootName92,DAIL/items/materia/class0004/Nightblade92.dbr,</v>
      </c>
      <c r="M94" s="5" t="str">
        <f t="shared" si="29"/>
        <v>lootWeight92,1,</v>
      </c>
      <c r="N94" t="str">
        <f t="shared" si="30"/>
        <v>5</v>
      </c>
      <c r="O94" t="str">
        <f t="shared" si="40"/>
        <v>copy .\dail_base3.dbr .\items\materia\class0004\Nightblade92.dbr /y</v>
      </c>
      <c r="P94" t="str">
        <f t="shared" si="25"/>
        <v>echo relicBitmap,items/craftingparts/components/component_a52_bristlyfur_b.tex, &gt;&gt; .\items\materia\class0004\Nightblade92.dbr</v>
      </c>
      <c r="Q94" t="str">
        <f t="shared" si="25"/>
        <v>echo itemCost,500000, &gt;&gt; .\items\materia\class0004\Nightblade92.dbr</v>
      </c>
      <c r="R94" t="str">
        <f t="shared" si="25"/>
        <v>echo description,dailCompDescNightblade92, &gt;&gt; .\items\materia\class0004\Nightblade92.dbr</v>
      </c>
      <c r="S94" t="str">
        <f t="shared" si="25"/>
        <v>echo itemText,dailCompTextNightblade92, &gt;&gt; .\items\materia\class0004\Nightblade92.dbr</v>
      </c>
      <c r="T94" t="str">
        <f t="shared" si="25"/>
        <v>echo augmentSkillLevel1,5, &gt;&gt; .\items\materia\class0004\Nightblade92.dbr</v>
      </c>
      <c r="U94" t="str">
        <f t="shared" si="25"/>
        <v>echo augmentSkillName1,records/skills/playerclass04/summon_bladespirit.dbr, &gt;&gt; .\items\materia\class0004\Nightblade92.dbr</v>
      </c>
      <c r="V94" s="5" t="s">
        <v>36</v>
      </c>
      <c r="W94" t="str">
        <f t="shared" si="31"/>
        <v>echo lootName92,DAIL/items/materia/class0004/Nightblade92.dbr, &gt;&gt; .\items\loottables\dailoneskill0004.dbr</v>
      </c>
      <c r="X94" t="str">
        <f t="shared" si="31"/>
        <v>echo lootWeight92,1, &gt;&gt; .\items\loottables\dailoneskill0004.dbr</v>
      </c>
      <c r="Y94" s="5" t="s">
        <v>36</v>
      </c>
      <c r="Z94" t="str">
        <f t="shared" si="32"/>
        <v xml:space="preserve"> dailCompDescNightblade92=^pNightblade's Gift of DAIL</v>
      </c>
      <c r="AA94" t="str">
        <f t="shared" si="41"/>
        <v>dailCompTextNightblade92=^oThis feels warm to the touch, almost familiar ^w(This component only fits into the Medal Slot)mon_bladespirit.dbr</v>
      </c>
      <c r="AB94" s="5" t="s">
        <v>36</v>
      </c>
      <c r="AH94">
        <f t="shared" si="43"/>
        <v>89</v>
      </c>
      <c r="AI94">
        <f t="shared" si="37"/>
        <v>37</v>
      </c>
      <c r="AJ94">
        <f t="shared" si="42"/>
        <v>5</v>
      </c>
      <c r="AN94" t="str">
        <f t="shared" si="33"/>
        <v>mon_bladespirit.dbr</v>
      </c>
    </row>
    <row r="95" spans="1:40" x14ac:dyDescent="0.25">
      <c r="A95" s="5" t="s">
        <v>39</v>
      </c>
      <c r="B95" s="5" t="s">
        <v>30</v>
      </c>
      <c r="C95" s="5" t="str">
        <f t="shared" si="26"/>
        <v>description,dailCompDescNightblade93,</v>
      </c>
      <c r="D95" s="5" t="str">
        <f t="shared" si="27"/>
        <v>itemText,dailCompTextNightblade93,</v>
      </c>
      <c r="E95" s="5" t="str">
        <f t="shared" si="38"/>
        <v>augmentSkillLevel1,5,</v>
      </c>
      <c r="F95" s="5" t="str">
        <f t="shared" si="39"/>
        <v>augmentSkillName1,records/skills/playerclass04/veilofshadows1.dbr,</v>
      </c>
      <c r="G95" s="7">
        <f t="shared" si="34"/>
        <v>93</v>
      </c>
      <c r="H95" s="8" t="str">
        <f t="shared" si="35"/>
        <v>Nightblade</v>
      </c>
      <c r="I95" s="3" t="s">
        <v>120</v>
      </c>
      <c r="J95" s="8" t="str">
        <f t="shared" si="44"/>
        <v>class0004</v>
      </c>
      <c r="K95" s="8" t="str">
        <f t="shared" si="44"/>
        <v>dailoneskill0004</v>
      </c>
      <c r="L95" s="5" t="str">
        <f t="shared" si="28"/>
        <v>lootName93,DAIL/items/materia/class0004/Nightblade93.dbr,</v>
      </c>
      <c r="M95" s="5" t="str">
        <f t="shared" si="29"/>
        <v>lootWeight93,1,</v>
      </c>
      <c r="N95" t="str">
        <f t="shared" si="30"/>
        <v>5</v>
      </c>
      <c r="O95" t="str">
        <f t="shared" si="40"/>
        <v>copy .\dail_base3.dbr .\items\materia\class0004\Nightblade93.dbr /y</v>
      </c>
      <c r="P95" t="str">
        <f t="shared" si="25"/>
        <v>echo relicBitmap,items/craftingparts/components/component_a52_bristlyfur_b.tex, &gt;&gt; .\items\materia\class0004\Nightblade93.dbr</v>
      </c>
      <c r="Q95" t="str">
        <f t="shared" si="25"/>
        <v>echo itemCost,500000, &gt;&gt; .\items\materia\class0004\Nightblade93.dbr</v>
      </c>
      <c r="R95" t="str">
        <f t="shared" si="25"/>
        <v>echo description,dailCompDescNightblade93, &gt;&gt; .\items\materia\class0004\Nightblade93.dbr</v>
      </c>
      <c r="S95" t="str">
        <f t="shared" si="25"/>
        <v>echo itemText,dailCompTextNightblade93, &gt;&gt; .\items\materia\class0004\Nightblade93.dbr</v>
      </c>
      <c r="T95" t="str">
        <f t="shared" si="25"/>
        <v>echo augmentSkillLevel1,5, &gt;&gt; .\items\materia\class0004\Nightblade93.dbr</v>
      </c>
      <c r="U95" t="str">
        <f t="shared" si="25"/>
        <v>echo augmentSkillName1,records/skills/playerclass04/veilofshadows1.dbr, &gt;&gt; .\items\materia\class0004\Nightblade93.dbr</v>
      </c>
      <c r="V95" s="5" t="s">
        <v>36</v>
      </c>
      <c r="W95" t="str">
        <f t="shared" si="31"/>
        <v>echo lootName93,DAIL/items/materia/class0004/Nightblade93.dbr, &gt;&gt; .\items\loottables\dailoneskill0004.dbr</v>
      </c>
      <c r="X95" t="str">
        <f t="shared" si="31"/>
        <v>echo lootWeight93,1, &gt;&gt; .\items\loottables\dailoneskill0004.dbr</v>
      </c>
      <c r="Y95" s="5" t="s">
        <v>36</v>
      </c>
      <c r="Z95" t="str">
        <f t="shared" si="32"/>
        <v xml:space="preserve"> dailCompDescNightblade93=^pNightblade's Gift of DAIL</v>
      </c>
      <c r="AA95" t="str">
        <f t="shared" si="41"/>
        <v>dailCompTextNightblade93=^oThis feels warm to the touch, almost familiar ^w(This component only fits into the Medal Slot)/veilofshadows1.dbr</v>
      </c>
      <c r="AB95" s="5" t="s">
        <v>36</v>
      </c>
      <c r="AH95">
        <f t="shared" si="43"/>
        <v>90</v>
      </c>
      <c r="AI95">
        <f t="shared" si="37"/>
        <v>33</v>
      </c>
      <c r="AJ95">
        <f t="shared" si="42"/>
        <v>5</v>
      </c>
      <c r="AN95" t="str">
        <f t="shared" si="33"/>
        <v>/veilofshadows1.dbr</v>
      </c>
    </row>
    <row r="96" spans="1:40" x14ac:dyDescent="0.25">
      <c r="A96" s="5" t="s">
        <v>39</v>
      </c>
      <c r="B96" s="5" t="s">
        <v>30</v>
      </c>
      <c r="C96" s="5" t="str">
        <f t="shared" si="26"/>
        <v>description,dailCompDescNightblade94,</v>
      </c>
      <c r="D96" s="5" t="str">
        <f t="shared" si="27"/>
        <v>itemText,dailCompTextNightblade94,</v>
      </c>
      <c r="E96" s="5" t="str">
        <f t="shared" si="38"/>
        <v>augmentSkillLevel1,5,</v>
      </c>
      <c r="F96" s="5" t="str">
        <f t="shared" si="39"/>
        <v>augmentSkillName1,records/skills/playerclass04/veilofshadows2.dbr,</v>
      </c>
      <c r="G96" s="7">
        <f t="shared" si="34"/>
        <v>94</v>
      </c>
      <c r="H96" s="8" t="str">
        <f t="shared" si="35"/>
        <v>Nightblade</v>
      </c>
      <c r="I96" s="3" t="s">
        <v>245</v>
      </c>
      <c r="J96" s="8" t="str">
        <f t="shared" si="44"/>
        <v>class0004</v>
      </c>
      <c r="K96" s="8" t="str">
        <f t="shared" si="44"/>
        <v>dailoneskill0004</v>
      </c>
      <c r="L96" s="5" t="str">
        <f t="shared" si="28"/>
        <v>lootName94,DAIL/items/materia/class0004/Nightblade94.dbr,</v>
      </c>
      <c r="M96" s="5" t="str">
        <f t="shared" si="29"/>
        <v>lootWeight94,1,</v>
      </c>
      <c r="N96" t="str">
        <f t="shared" si="30"/>
        <v>5</v>
      </c>
      <c r="O96" t="str">
        <f t="shared" si="40"/>
        <v>copy .\dail_base3.dbr .\items\materia\class0004\Nightblade94.dbr /y</v>
      </c>
      <c r="P96" t="str">
        <f t="shared" si="25"/>
        <v>echo relicBitmap,items/craftingparts/components/component_a52_bristlyfur_b.tex, &gt;&gt; .\items\materia\class0004\Nightblade94.dbr</v>
      </c>
      <c r="Q96" t="str">
        <f t="shared" si="25"/>
        <v>echo itemCost,500000, &gt;&gt; .\items\materia\class0004\Nightblade94.dbr</v>
      </c>
      <c r="R96" t="str">
        <f t="shared" si="25"/>
        <v>echo description,dailCompDescNightblade94, &gt;&gt; .\items\materia\class0004\Nightblade94.dbr</v>
      </c>
      <c r="S96" t="str">
        <f t="shared" si="25"/>
        <v>echo itemText,dailCompTextNightblade94, &gt;&gt; .\items\materia\class0004\Nightblade94.dbr</v>
      </c>
      <c r="T96" t="str">
        <f t="shared" si="25"/>
        <v>echo augmentSkillLevel1,5, &gt;&gt; .\items\materia\class0004\Nightblade94.dbr</v>
      </c>
      <c r="U96" t="str">
        <f t="shared" si="25"/>
        <v>echo augmentSkillName1,records/skills/playerclass04/veilofshadows2.dbr, &gt;&gt; .\items\materia\class0004\Nightblade94.dbr</v>
      </c>
      <c r="V96" s="5" t="s">
        <v>36</v>
      </c>
      <c r="W96" t="str">
        <f t="shared" si="31"/>
        <v>echo lootName94,DAIL/items/materia/class0004/Nightblade94.dbr, &gt;&gt; .\items\loottables\dailoneskill0004.dbr</v>
      </c>
      <c r="X96" t="str">
        <f t="shared" si="31"/>
        <v>echo lootWeight94,1, &gt;&gt; .\items\loottables\dailoneskill0004.dbr</v>
      </c>
      <c r="Y96" s="5" t="s">
        <v>36</v>
      </c>
      <c r="Z96" t="str">
        <f t="shared" si="32"/>
        <v xml:space="preserve"> dailCompDescNightblade94=^pNightblade's Gift of DAIL</v>
      </c>
      <c r="AA96" t="str">
        <f t="shared" si="41"/>
        <v>dailCompTextNightblade94=^oThis feels warm to the touch, almost familiar ^w(This component only fits into the Medal Slot)/veilofshadows2.dbr</v>
      </c>
      <c r="AB96" s="5" t="s">
        <v>36</v>
      </c>
      <c r="AH96">
        <f t="shared" si="43"/>
        <v>91</v>
      </c>
      <c r="AI96">
        <f t="shared" si="37"/>
        <v>33</v>
      </c>
      <c r="AJ96">
        <f t="shared" si="42"/>
        <v>5</v>
      </c>
      <c r="AN96" t="str">
        <f t="shared" si="33"/>
        <v>/veilofshadows2.dbr</v>
      </c>
    </row>
    <row r="97" spans="1:40" x14ac:dyDescent="0.25">
      <c r="A97" s="5" t="s">
        <v>39</v>
      </c>
      <c r="B97" s="5" t="s">
        <v>30</v>
      </c>
      <c r="C97" s="5" t="str">
        <f t="shared" si="26"/>
        <v>description,dailCompDescNightblade95,</v>
      </c>
      <c r="D97" s="5" t="str">
        <f t="shared" si="27"/>
        <v>itemText,dailCompTextNightblade95,</v>
      </c>
      <c r="E97" s="5" t="str">
        <f t="shared" si="38"/>
        <v>augmentSkillLevel1,5,</v>
      </c>
      <c r="F97" s="5" t="str">
        <f t="shared" si="39"/>
        <v>augmentSkillName1,records/skills/playerclass04/phantomblade_mod1.dbr,</v>
      </c>
      <c r="G97" s="7">
        <f t="shared" si="34"/>
        <v>95</v>
      </c>
      <c r="H97" s="8" t="str">
        <f t="shared" si="35"/>
        <v>Nightblade</v>
      </c>
      <c r="I97" s="3" t="s">
        <v>317</v>
      </c>
      <c r="J97" s="8" t="str">
        <f t="shared" si="44"/>
        <v>class0004</v>
      </c>
      <c r="K97" s="8" t="str">
        <f t="shared" si="44"/>
        <v>dailoneskill0004</v>
      </c>
      <c r="L97" s="5" t="str">
        <f t="shared" si="28"/>
        <v>lootName95,DAIL/items/materia/class0004/Nightblade95.dbr,</v>
      </c>
      <c r="M97" s="5" t="str">
        <f t="shared" si="29"/>
        <v>lootWeight95,1,</v>
      </c>
      <c r="N97" t="str">
        <f t="shared" si="30"/>
        <v>5</v>
      </c>
      <c r="O97" t="str">
        <f t="shared" si="40"/>
        <v>copy .\dail_base3.dbr .\items\materia\class0004\Nightblade95.dbr /y</v>
      </c>
      <c r="P97" t="str">
        <f t="shared" si="25"/>
        <v>echo relicBitmap,items/craftingparts/components/component_a52_bristlyfur_b.tex, &gt;&gt; .\items\materia\class0004\Nightblade95.dbr</v>
      </c>
      <c r="Q97" t="str">
        <f t="shared" si="25"/>
        <v>echo itemCost,500000, &gt;&gt; .\items\materia\class0004\Nightblade95.dbr</v>
      </c>
      <c r="R97" t="str">
        <f t="shared" si="25"/>
        <v>echo description,dailCompDescNightblade95, &gt;&gt; .\items\materia\class0004\Nightblade95.dbr</v>
      </c>
      <c r="S97" t="str">
        <f t="shared" si="25"/>
        <v>echo itemText,dailCompTextNightblade95, &gt;&gt; .\items\materia\class0004\Nightblade95.dbr</v>
      </c>
      <c r="T97" t="str">
        <f t="shared" si="25"/>
        <v>echo augmentSkillLevel1,5, &gt;&gt; .\items\materia\class0004\Nightblade95.dbr</v>
      </c>
      <c r="U97" t="str">
        <f t="shared" si="25"/>
        <v>echo augmentSkillName1,records/skills/playerclass04/phantomblade_mod1.dbr, &gt;&gt; .\items\materia\class0004\Nightblade95.dbr</v>
      </c>
      <c r="V97" s="5" t="s">
        <v>36</v>
      </c>
      <c r="W97" t="str">
        <f t="shared" si="31"/>
        <v>echo lootName95,DAIL/items/materia/class0004/Nightblade95.dbr, &gt;&gt; .\items\loottables\dailoneskill0004.dbr</v>
      </c>
      <c r="X97" t="str">
        <f t="shared" si="31"/>
        <v>echo lootWeight95,1, &gt;&gt; .\items\loottables\dailoneskill0004.dbr</v>
      </c>
      <c r="Y97" s="5" t="s">
        <v>36</v>
      </c>
      <c r="Z97" t="str">
        <f t="shared" si="32"/>
        <v xml:space="preserve"> dailCompDescNightblade95=^pNightblade's Gift of DAIL</v>
      </c>
      <c r="AA97" t="str">
        <f t="shared" si="41"/>
        <v>dailCompTextNightblade95=^oThis feels warm to the touch, almost familiar ^w(This component only fits into the Medal Slot)antomblade_mod1.dbr</v>
      </c>
      <c r="AB97" s="5" t="s">
        <v>36</v>
      </c>
      <c r="AH97">
        <f t="shared" si="43"/>
        <v>92</v>
      </c>
      <c r="AI97">
        <f t="shared" si="37"/>
        <v>36</v>
      </c>
      <c r="AJ97">
        <f t="shared" si="42"/>
        <v>5</v>
      </c>
      <c r="AN97" t="str">
        <f t="shared" si="33"/>
        <v>antomblade_mod1.dbr</v>
      </c>
    </row>
    <row r="98" spans="1:40" x14ac:dyDescent="0.25">
      <c r="A98" s="5" t="s">
        <v>39</v>
      </c>
      <c r="B98" s="5" t="s">
        <v>30</v>
      </c>
      <c r="C98" s="5" t="str">
        <f t="shared" si="26"/>
        <v>description,dailCompDescNightblade96,</v>
      </c>
      <c r="D98" s="5" t="str">
        <f t="shared" si="27"/>
        <v>itemText,dailCompTextNightblade96,</v>
      </c>
      <c r="E98" s="5" t="str">
        <f t="shared" si="38"/>
        <v>augmentSkillLevel1,5,</v>
      </c>
      <c r="F98" s="5" t="str">
        <f t="shared" si="39"/>
        <v>augmentSkillName1,records/skills/playerclass04/phantomblade_mod2.dbr,</v>
      </c>
      <c r="G98" s="7">
        <f t="shared" si="34"/>
        <v>96</v>
      </c>
      <c r="H98" s="8" t="str">
        <f t="shared" si="35"/>
        <v>Nightblade</v>
      </c>
      <c r="I98" s="3" t="s">
        <v>318</v>
      </c>
      <c r="J98" s="8" t="str">
        <f t="shared" si="44"/>
        <v>class0004</v>
      </c>
      <c r="K98" s="8" t="str">
        <f t="shared" si="44"/>
        <v>dailoneskill0004</v>
      </c>
      <c r="L98" s="5" t="str">
        <f t="shared" si="28"/>
        <v>lootName96,DAIL/items/materia/class0004/Nightblade96.dbr,</v>
      </c>
      <c r="M98" s="5" t="str">
        <f t="shared" si="29"/>
        <v>lootWeight96,1,</v>
      </c>
      <c r="N98" t="str">
        <f t="shared" si="30"/>
        <v>5</v>
      </c>
      <c r="O98" t="str">
        <f t="shared" si="40"/>
        <v>copy .\dail_base3.dbr .\items\materia\class0004\Nightblade96.dbr /y</v>
      </c>
      <c r="P98" t="str">
        <f t="shared" si="25"/>
        <v>echo relicBitmap,items/craftingparts/components/component_a52_bristlyfur_b.tex, &gt;&gt; .\items\materia\class0004\Nightblade96.dbr</v>
      </c>
      <c r="Q98" t="str">
        <f t="shared" si="25"/>
        <v>echo itemCost,500000, &gt;&gt; .\items\materia\class0004\Nightblade96.dbr</v>
      </c>
      <c r="R98" t="str">
        <f t="shared" si="25"/>
        <v>echo description,dailCompDescNightblade96, &gt;&gt; .\items\materia\class0004\Nightblade96.dbr</v>
      </c>
      <c r="S98" t="str">
        <f t="shared" si="25"/>
        <v>echo itemText,dailCompTextNightblade96, &gt;&gt; .\items\materia\class0004\Nightblade96.dbr</v>
      </c>
      <c r="T98" t="str">
        <f t="shared" si="25"/>
        <v>echo augmentSkillLevel1,5, &gt;&gt; .\items\materia\class0004\Nightblade96.dbr</v>
      </c>
      <c r="U98" t="str">
        <f t="shared" si="25"/>
        <v>echo augmentSkillName1,records/skills/playerclass04/phantomblade_mod2.dbr, &gt;&gt; .\items\materia\class0004\Nightblade96.dbr</v>
      </c>
      <c r="V98" s="5" t="s">
        <v>36</v>
      </c>
      <c r="W98" t="str">
        <f t="shared" si="31"/>
        <v>echo lootName96,DAIL/items/materia/class0004/Nightblade96.dbr, &gt;&gt; .\items\loottables\dailoneskill0004.dbr</v>
      </c>
      <c r="X98" t="str">
        <f t="shared" si="31"/>
        <v>echo lootWeight96,1, &gt;&gt; .\items\loottables\dailoneskill0004.dbr</v>
      </c>
      <c r="Y98" s="5" t="s">
        <v>36</v>
      </c>
      <c r="Z98" t="str">
        <f t="shared" si="32"/>
        <v xml:space="preserve"> dailCompDescNightblade96=^pNightblade's Gift of DAIL</v>
      </c>
      <c r="AA98" t="str">
        <f t="shared" si="41"/>
        <v>dailCompTextNightblade96=^oThis feels warm to the touch, almost familiar ^w(This component only fits into the Medal Slot)antomblade_mod2.dbr</v>
      </c>
      <c r="AB98" s="5" t="s">
        <v>36</v>
      </c>
      <c r="AH98">
        <f t="shared" si="43"/>
        <v>93</v>
      </c>
      <c r="AI98">
        <f t="shared" si="37"/>
        <v>36</v>
      </c>
      <c r="AJ98">
        <f t="shared" si="42"/>
        <v>5</v>
      </c>
      <c r="AN98" t="str">
        <f t="shared" si="33"/>
        <v>antomblade_mod2.dbr</v>
      </c>
    </row>
    <row r="99" spans="1:40" x14ac:dyDescent="0.25">
      <c r="A99" s="5" t="s">
        <v>39</v>
      </c>
      <c r="B99" s="5" t="s">
        <v>30</v>
      </c>
      <c r="C99" s="5" t="str">
        <f t="shared" si="26"/>
        <v>description,dailCompDescNightblade97,</v>
      </c>
      <c r="D99" s="5" t="str">
        <f t="shared" si="27"/>
        <v>itemText,dailCompTextNightblade97,</v>
      </c>
      <c r="E99" s="5" t="str">
        <f t="shared" si="38"/>
        <v>augmentSkillLevel1,5,</v>
      </c>
      <c r="F99" s="5" t="str">
        <f t="shared" si="39"/>
        <v>augmentSkillName1,records/skills/playerclass04/shadowstrike.dbr,</v>
      </c>
      <c r="G99" s="7">
        <f t="shared" si="34"/>
        <v>97</v>
      </c>
      <c r="H99" s="8" t="str">
        <f t="shared" si="35"/>
        <v>Nightblade</v>
      </c>
      <c r="I99" s="3" t="s">
        <v>118</v>
      </c>
      <c r="J99" s="8" t="str">
        <f t="shared" si="44"/>
        <v>class0004</v>
      </c>
      <c r="K99" s="8" t="str">
        <f t="shared" si="44"/>
        <v>dailoneskill0004</v>
      </c>
      <c r="L99" s="5" t="str">
        <f t="shared" si="28"/>
        <v>lootName97,DAIL/items/materia/class0004/Nightblade97.dbr,</v>
      </c>
      <c r="M99" s="5" t="str">
        <f t="shared" si="29"/>
        <v>lootWeight97,1,</v>
      </c>
      <c r="N99" t="str">
        <f t="shared" si="30"/>
        <v>5</v>
      </c>
      <c r="O99" t="str">
        <f t="shared" si="40"/>
        <v>copy .\dail_base3.dbr .\items\materia\class0004\Nightblade97.dbr /y</v>
      </c>
      <c r="P99" t="str">
        <f t="shared" si="25"/>
        <v>echo relicBitmap,items/craftingparts/components/component_a52_bristlyfur_b.tex, &gt;&gt; .\items\materia\class0004\Nightblade97.dbr</v>
      </c>
      <c r="Q99" t="str">
        <f t="shared" si="25"/>
        <v>echo itemCost,500000, &gt;&gt; .\items\materia\class0004\Nightblade97.dbr</v>
      </c>
      <c r="R99" t="str">
        <f t="shared" si="25"/>
        <v>echo description,dailCompDescNightblade97, &gt;&gt; .\items\materia\class0004\Nightblade97.dbr</v>
      </c>
      <c r="S99" t="str">
        <f t="shared" si="25"/>
        <v>echo itemText,dailCompTextNightblade97, &gt;&gt; .\items\materia\class0004\Nightblade97.dbr</v>
      </c>
      <c r="T99" t="str">
        <f t="shared" si="25"/>
        <v>echo augmentSkillLevel1,5, &gt;&gt; .\items\materia\class0004\Nightblade97.dbr</v>
      </c>
      <c r="U99" t="str">
        <f t="shared" si="25"/>
        <v>echo augmentSkillName1,records/skills/playerclass04/shadowstrike.dbr, &gt;&gt; .\items\materia\class0004\Nightblade97.dbr</v>
      </c>
      <c r="V99" s="5" t="s">
        <v>36</v>
      </c>
      <c r="W99" t="str">
        <f t="shared" si="31"/>
        <v>echo lootName97,DAIL/items/materia/class0004/Nightblade97.dbr, &gt;&gt; .\items\loottables\dailoneskill0004.dbr</v>
      </c>
      <c r="X99" t="str">
        <f t="shared" si="31"/>
        <v>echo lootWeight97,1, &gt;&gt; .\items\loottables\dailoneskill0004.dbr</v>
      </c>
      <c r="Y99" s="5" t="s">
        <v>36</v>
      </c>
      <c r="Z99" t="str">
        <f t="shared" si="32"/>
        <v xml:space="preserve"> dailCompDescNightblade97=^pNightblade's Gift of DAIL</v>
      </c>
      <c r="AA99" t="str">
        <f t="shared" si="41"/>
        <v>dailCompTextNightblade97=^oThis feels warm to the touch, almost familiar ^w(This component only fits into the Medal Slot)04/shadowstrike.dbr</v>
      </c>
      <c r="AB99" s="5" t="s">
        <v>36</v>
      </c>
      <c r="AH99">
        <f t="shared" si="43"/>
        <v>94</v>
      </c>
      <c r="AI99">
        <f t="shared" si="37"/>
        <v>31</v>
      </c>
      <c r="AJ99">
        <f t="shared" si="42"/>
        <v>5</v>
      </c>
      <c r="AN99" t="str">
        <f t="shared" si="33"/>
        <v>04/shadowstrike.dbr</v>
      </c>
    </row>
    <row r="100" spans="1:40" x14ac:dyDescent="0.25">
      <c r="A100" s="5" t="s">
        <v>39</v>
      </c>
      <c r="B100" s="5" t="s">
        <v>30</v>
      </c>
      <c r="C100" s="5" t="str">
        <f t="shared" si="26"/>
        <v>description,dailCompDescNightblade98,</v>
      </c>
      <c r="D100" s="5" t="str">
        <f t="shared" si="27"/>
        <v>itemText,dailCompTextNightblade98,</v>
      </c>
      <c r="E100" s="5" t="str">
        <f t="shared" si="38"/>
        <v>augmentSkillLevel1,5,</v>
      </c>
      <c r="F100" s="5" t="str">
        <f t="shared" si="39"/>
        <v>augmentSkillName1,records/skills/playerclass04/shadowstrike_mod1.dbr,</v>
      </c>
      <c r="G100" s="7">
        <f t="shared" si="34"/>
        <v>98</v>
      </c>
      <c r="H100" s="8" t="str">
        <f t="shared" si="35"/>
        <v>Nightblade</v>
      </c>
      <c r="I100" s="3" t="s">
        <v>319</v>
      </c>
      <c r="J100" s="8" t="str">
        <f t="shared" si="44"/>
        <v>class0004</v>
      </c>
      <c r="K100" s="8" t="str">
        <f t="shared" si="44"/>
        <v>dailoneskill0004</v>
      </c>
      <c r="L100" s="5" t="str">
        <f t="shared" si="28"/>
        <v>lootName98,DAIL/items/materia/class0004/Nightblade98.dbr,</v>
      </c>
      <c r="M100" s="5" t="str">
        <f t="shared" si="29"/>
        <v>lootWeight98,1,</v>
      </c>
      <c r="N100" t="str">
        <f t="shared" si="30"/>
        <v>5</v>
      </c>
      <c r="O100" t="str">
        <f t="shared" si="40"/>
        <v>copy .\dail_base3.dbr .\items\materia\class0004\Nightblade98.dbr /y</v>
      </c>
      <c r="P100" t="str">
        <f t="shared" si="25"/>
        <v>echo relicBitmap,items/craftingparts/components/component_a52_bristlyfur_b.tex, &gt;&gt; .\items\materia\class0004\Nightblade98.dbr</v>
      </c>
      <c r="Q100" t="str">
        <f t="shared" si="25"/>
        <v>echo itemCost,500000, &gt;&gt; .\items\materia\class0004\Nightblade98.dbr</v>
      </c>
      <c r="R100" t="str">
        <f t="shared" si="25"/>
        <v>echo description,dailCompDescNightblade98, &gt;&gt; .\items\materia\class0004\Nightblade98.dbr</v>
      </c>
      <c r="S100" t="str">
        <f t="shared" si="25"/>
        <v>echo itemText,dailCompTextNightblade98, &gt;&gt; .\items\materia\class0004\Nightblade98.dbr</v>
      </c>
      <c r="T100" t="str">
        <f t="shared" si="25"/>
        <v>echo augmentSkillLevel1,5, &gt;&gt; .\items\materia\class0004\Nightblade98.dbr</v>
      </c>
      <c r="U100" t="str">
        <f t="shared" si="25"/>
        <v>echo augmentSkillName1,records/skills/playerclass04/shadowstrike_mod1.dbr, &gt;&gt; .\items\materia\class0004\Nightblade98.dbr</v>
      </c>
      <c r="V100" s="5" t="s">
        <v>36</v>
      </c>
      <c r="W100" t="str">
        <f t="shared" si="31"/>
        <v>echo lootName98,DAIL/items/materia/class0004/Nightblade98.dbr, &gt;&gt; .\items\loottables\dailoneskill0004.dbr</v>
      </c>
      <c r="X100" t="str">
        <f t="shared" si="31"/>
        <v>echo lootWeight98,1, &gt;&gt; .\items\loottables\dailoneskill0004.dbr</v>
      </c>
      <c r="Y100" s="5" t="s">
        <v>36</v>
      </c>
      <c r="Z100" t="str">
        <f t="shared" si="32"/>
        <v xml:space="preserve"> dailCompDescNightblade98=^pNightblade's Gift of DAIL</v>
      </c>
      <c r="AA100" t="str">
        <f t="shared" si="41"/>
        <v>dailCompTextNightblade98=^oThis feels warm to the touch, almost familiar ^w(This component only fits into the Medal Slot)adowstrike_mod1.dbr</v>
      </c>
      <c r="AB100" s="5" t="s">
        <v>36</v>
      </c>
      <c r="AH100">
        <f t="shared" si="43"/>
        <v>95</v>
      </c>
      <c r="AI100">
        <f t="shared" si="37"/>
        <v>36</v>
      </c>
      <c r="AJ100">
        <f t="shared" si="42"/>
        <v>5</v>
      </c>
      <c r="AN100" t="str">
        <f t="shared" si="33"/>
        <v>adowstrike_mod1.dbr</v>
      </c>
    </row>
    <row r="101" spans="1:40" x14ac:dyDescent="0.25">
      <c r="A101" s="5" t="s">
        <v>39</v>
      </c>
      <c r="B101" s="5" t="s">
        <v>30</v>
      </c>
      <c r="C101" s="5" t="str">
        <f t="shared" si="26"/>
        <v>description,dailCompDescNightblade99,</v>
      </c>
      <c r="D101" s="5" t="str">
        <f t="shared" si="27"/>
        <v>itemText,dailCompTextNightblade99,</v>
      </c>
      <c r="E101" s="5" t="str">
        <f t="shared" si="38"/>
        <v>augmentSkillLevel1,5,</v>
      </c>
      <c r="F101" s="5" t="str">
        <f t="shared" si="39"/>
        <v>augmentSkillName1,records/skills/playerclass04/shadowstrike_mod2.dbr,</v>
      </c>
      <c r="G101" s="7">
        <f t="shared" si="34"/>
        <v>99</v>
      </c>
      <c r="H101" s="8" t="str">
        <f t="shared" si="35"/>
        <v>Nightblade</v>
      </c>
      <c r="I101" s="3" t="s">
        <v>320</v>
      </c>
      <c r="J101" s="8" t="str">
        <f t="shared" ref="J101:K102" si="45">J100</f>
        <v>class0004</v>
      </c>
      <c r="K101" s="8" t="str">
        <f t="shared" si="45"/>
        <v>dailoneskill0004</v>
      </c>
      <c r="L101" s="5" t="str">
        <f t="shared" si="28"/>
        <v>lootName99,DAIL/items/materia/class0004/Nightblade99.dbr,</v>
      </c>
      <c r="M101" s="5" t="str">
        <f t="shared" si="29"/>
        <v>lootWeight99,1,</v>
      </c>
      <c r="N101" t="str">
        <f t="shared" si="30"/>
        <v>5</v>
      </c>
      <c r="O101" t="str">
        <f t="shared" si="40"/>
        <v>copy .\dail_base3.dbr .\items\materia\class0004\Nightblade99.dbr /y</v>
      </c>
      <c r="P101" t="str">
        <f t="shared" si="25"/>
        <v>echo relicBitmap,items/craftingparts/components/component_a52_bristlyfur_b.tex, &gt;&gt; .\items\materia\class0004\Nightblade99.dbr</v>
      </c>
      <c r="Q101" t="str">
        <f t="shared" si="25"/>
        <v>echo itemCost,500000, &gt;&gt; .\items\materia\class0004\Nightblade99.dbr</v>
      </c>
      <c r="R101" t="str">
        <f t="shared" si="25"/>
        <v>echo description,dailCompDescNightblade99, &gt;&gt; .\items\materia\class0004\Nightblade99.dbr</v>
      </c>
      <c r="S101" t="str">
        <f t="shared" ref="S101:U102" si="46">IF($I101&lt;&gt;"","echo "&amp;D101&amp;" &gt;&gt; .\items\materia\"&amp;$J101&amp;"\"&amp;$H101&amp;$G101&amp;".dbr","")</f>
        <v>echo itemText,dailCompTextNightblade99, &gt;&gt; .\items\materia\class0004\Nightblade99.dbr</v>
      </c>
      <c r="T101" t="str">
        <f t="shared" si="46"/>
        <v>echo augmentSkillLevel1,5, &gt;&gt; .\items\materia\class0004\Nightblade99.dbr</v>
      </c>
      <c r="U101" t="str">
        <f t="shared" si="46"/>
        <v>echo augmentSkillName1,records/skills/playerclass04/shadowstrike_mod2.dbr, &gt;&gt; .\items\materia\class0004\Nightblade99.dbr</v>
      </c>
      <c r="V101" s="5" t="s">
        <v>36</v>
      </c>
      <c r="W101" t="str">
        <f t="shared" si="31"/>
        <v>echo lootName99,DAIL/items/materia/class0004/Nightblade99.dbr, &gt;&gt; .\items\loottables\dailoneskill0004.dbr</v>
      </c>
      <c r="X101" t="str">
        <f t="shared" si="31"/>
        <v>echo lootWeight99,1, &gt;&gt; .\items\loottables\dailoneskill0004.dbr</v>
      </c>
      <c r="Y101" s="5" t="s">
        <v>36</v>
      </c>
      <c r="Z101" t="str">
        <f t="shared" si="32"/>
        <v xml:space="preserve"> dailCompDescNightblade99=^pNightblade's Gift of DAIL</v>
      </c>
      <c r="AA101" t="str">
        <f t="shared" si="41"/>
        <v>dailCompTextNightblade99=^oThis feels warm to the touch, almost familiar ^w(This component only fits into the Medal Slot)adowstrike_mod2.dbr</v>
      </c>
      <c r="AB101" s="5" t="s">
        <v>36</v>
      </c>
      <c r="AH101">
        <f t="shared" si="43"/>
        <v>96</v>
      </c>
      <c r="AI101">
        <f t="shared" si="37"/>
        <v>36</v>
      </c>
      <c r="AJ101">
        <f t="shared" si="42"/>
        <v>5</v>
      </c>
      <c r="AN101" t="str">
        <f t="shared" si="33"/>
        <v>adowstrike_mod2.dbr</v>
      </c>
    </row>
    <row r="102" spans="1:40" x14ac:dyDescent="0.25">
      <c r="A102" s="5" t="s">
        <v>39</v>
      </c>
      <c r="B102" s="5" t="s">
        <v>30</v>
      </c>
      <c r="C102" s="5" t="str">
        <f t="shared" si="26"/>
        <v>description,dailCompDescNightblade100,</v>
      </c>
      <c r="D102" s="5" t="str">
        <f t="shared" si="27"/>
        <v>itemText,dailCompTextNightblade100,</v>
      </c>
      <c r="E102" s="5" t="str">
        <f t="shared" si="38"/>
        <v>augmentSkillLevel1,5,</v>
      </c>
      <c r="F102" s="5" t="str">
        <f t="shared" si="39"/>
        <v>augmentSkillName1,records/skills/playerclass04/bladebarrier1.dbr,</v>
      </c>
      <c r="G102" s="7">
        <f t="shared" si="34"/>
        <v>100</v>
      </c>
      <c r="H102" s="8" t="str">
        <f t="shared" si="35"/>
        <v>Nightblade</v>
      </c>
      <c r="I102" s="3" t="s">
        <v>112</v>
      </c>
      <c r="J102" s="8" t="str">
        <f t="shared" si="45"/>
        <v>class0004</v>
      </c>
      <c r="K102" s="8" t="str">
        <f t="shared" si="45"/>
        <v>dailoneskill0004</v>
      </c>
      <c r="L102" s="5" t="str">
        <f t="shared" si="28"/>
        <v>lootName100,DAIL/items/materia/class0004/Nightblade100.dbr,</v>
      </c>
      <c r="M102" s="5" t="str">
        <f t="shared" si="29"/>
        <v>lootWeight100,1,</v>
      </c>
      <c r="N102" t="str">
        <f t="shared" si="30"/>
        <v>5</v>
      </c>
      <c r="O102" t="str">
        <f t="shared" si="40"/>
        <v>copy .\dail_base3.dbr .\items\materia\class0004\Nightblade100.dbr /y</v>
      </c>
      <c r="P102" t="str">
        <f t="shared" ref="P102:R102" si="47">IF($I102&lt;&gt;"","echo "&amp;A102&amp;" &gt;&gt; .\items\materia\"&amp;$J102&amp;"\"&amp;$H102&amp;$G102&amp;".dbr","")</f>
        <v>echo relicBitmap,items/craftingparts/components/component_a52_bristlyfur_b.tex, &gt;&gt; .\items\materia\class0004\Nightblade100.dbr</v>
      </c>
      <c r="Q102" t="str">
        <f t="shared" si="47"/>
        <v>echo itemCost,500000, &gt;&gt; .\items\materia\class0004\Nightblade100.dbr</v>
      </c>
      <c r="R102" t="str">
        <f t="shared" si="47"/>
        <v>echo description,dailCompDescNightblade100, &gt;&gt; .\items\materia\class0004\Nightblade100.dbr</v>
      </c>
      <c r="S102" t="str">
        <f t="shared" si="46"/>
        <v>echo itemText,dailCompTextNightblade100, &gt;&gt; .\items\materia\class0004\Nightblade100.dbr</v>
      </c>
      <c r="T102" t="str">
        <f t="shared" si="46"/>
        <v>echo augmentSkillLevel1,5, &gt;&gt; .\items\materia\class0004\Nightblade100.dbr</v>
      </c>
      <c r="U102" t="str">
        <f t="shared" si="46"/>
        <v>echo augmentSkillName1,records/skills/playerclass04/bladebarrier1.dbr, &gt;&gt; .\items\materia\class0004\Nightblade100.dbr</v>
      </c>
      <c r="V102" s="5" t="s">
        <v>36</v>
      </c>
      <c r="W102" t="str">
        <f t="shared" si="31"/>
        <v>echo lootName100,DAIL/items/materia/class0004/Nightblade100.dbr, &gt;&gt; .\items\loottables\dailoneskill0004.dbr</v>
      </c>
      <c r="X102" t="str">
        <f t="shared" si="31"/>
        <v>echo lootWeight100,1, &gt;&gt; .\items\loottables\dailoneskill0004.dbr</v>
      </c>
      <c r="Y102" s="5" t="s">
        <v>36</v>
      </c>
      <c r="Z102" t="str">
        <f t="shared" si="32"/>
        <v xml:space="preserve"> dailCompDescNightblade100=^pNightblade's Gift of DAIL</v>
      </c>
      <c r="AA102" t="str">
        <f t="shared" si="41"/>
        <v>dailCompTextNightblade100=^oThis feels warm to the touch, almost familiar ^w(This component only fits into the Medal Slot)4/bladebarrier1.dbr</v>
      </c>
      <c r="AB102" s="5" t="s">
        <v>36</v>
      </c>
      <c r="AH102">
        <f t="shared" si="43"/>
        <v>97</v>
      </c>
      <c r="AI102">
        <f t="shared" si="37"/>
        <v>32</v>
      </c>
      <c r="AJ102">
        <f t="shared" si="42"/>
        <v>5</v>
      </c>
      <c r="AN102" t="str">
        <f t="shared" si="33"/>
        <v>4/bladebarrier1.dbr</v>
      </c>
    </row>
  </sheetData>
  <mergeCells count="1">
    <mergeCell ref="O2:U2"/>
  </mergeCells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AL102"/>
  <sheetViews>
    <sheetView topLeftCell="M1" zoomScaleNormal="100" workbookViewId="0">
      <selection activeCell="U3" sqref="U3:U102"/>
    </sheetView>
  </sheetViews>
  <sheetFormatPr defaultRowHeight="15" x14ac:dyDescent="0.25"/>
  <cols>
    <col min="1" max="1" width="73.85546875" style="5" bestFit="1" customWidth="1"/>
    <col min="2" max="2" width="16.28515625" style="5" bestFit="1" customWidth="1"/>
    <col min="3" max="3" width="32.7109375" style="5" bestFit="1" customWidth="1"/>
    <col min="4" max="4" width="31.42578125" style="5" bestFit="1" customWidth="1"/>
    <col min="5" max="5" width="24.28515625" style="5" bestFit="1" customWidth="1"/>
    <col min="6" max="6" width="73.5703125" style="5" bestFit="1" customWidth="1"/>
    <col min="7" max="7" width="5.85546875" style="8" bestFit="1" customWidth="1"/>
    <col min="8" max="8" width="7.85546875" style="3" bestFit="1" customWidth="1"/>
    <col min="9" max="9" width="38.140625" style="3" bestFit="1" customWidth="1"/>
    <col min="10" max="10" width="9.140625" style="3" bestFit="1" customWidth="1"/>
    <col min="11" max="11" width="18.140625" style="3" customWidth="1"/>
    <col min="12" max="12" width="51.85546875" style="5" bestFit="1" customWidth="1"/>
    <col min="13" max="13" width="21.28515625" style="5" customWidth="1"/>
    <col min="15" max="15" width="10.5703125" customWidth="1"/>
    <col min="22" max="22" width="1.5703125" style="5" customWidth="1"/>
    <col min="23" max="23" width="9.5703125" customWidth="1"/>
    <col min="25" max="25" width="1.5703125" style="5" bestFit="1" customWidth="1"/>
    <col min="26" max="26" width="46.7109375" bestFit="1" customWidth="1"/>
    <col min="27" max="27" width="29.140625" customWidth="1"/>
    <col min="28" max="28" width="1.5703125" style="5" bestFit="1" customWidth="1"/>
    <col min="31" max="31" width="14.140625" bestFit="1" customWidth="1"/>
  </cols>
  <sheetData>
    <row r="1" spans="1:38" x14ac:dyDescent="0.25">
      <c r="G1" s="5"/>
      <c r="H1" s="5"/>
      <c r="I1" s="5"/>
      <c r="J1" s="5"/>
      <c r="K1" s="5"/>
      <c r="N1" s="5"/>
      <c r="O1" s="9"/>
      <c r="P1" s="9"/>
      <c r="Q1" s="9"/>
      <c r="R1" s="9"/>
      <c r="S1" s="9"/>
      <c r="T1" s="9"/>
      <c r="U1" s="9"/>
      <c r="W1" s="9"/>
      <c r="X1" s="9"/>
      <c r="Z1" s="9"/>
      <c r="AA1" s="9"/>
    </row>
    <row r="2" spans="1:38" x14ac:dyDescent="0.25">
      <c r="A2" s="4" t="s">
        <v>2</v>
      </c>
      <c r="B2" s="4" t="s">
        <v>3</v>
      </c>
      <c r="C2" s="4" t="s">
        <v>4</v>
      </c>
      <c r="D2" s="4" t="s">
        <v>5</v>
      </c>
      <c r="E2" s="4" t="s">
        <v>6</v>
      </c>
      <c r="F2" s="4" t="s">
        <v>7</v>
      </c>
      <c r="G2" s="6" t="s">
        <v>9</v>
      </c>
      <c r="H2" s="2" t="s">
        <v>26</v>
      </c>
      <c r="I2" s="2" t="s">
        <v>8</v>
      </c>
      <c r="J2" s="2" t="s">
        <v>33</v>
      </c>
      <c r="K2" s="2" t="s">
        <v>38</v>
      </c>
      <c r="L2" s="4" t="s">
        <v>31</v>
      </c>
      <c r="M2" s="4" t="s">
        <v>32</v>
      </c>
      <c r="O2" s="11" t="str">
        <f>"Copy from N to T Into the files named "&amp;H3&amp;G3&amp;" etc"</f>
        <v>Copy from N to T Into the files named Arcanist1 etc</v>
      </c>
      <c r="P2" s="11"/>
      <c r="Q2" s="11"/>
      <c r="R2" s="11"/>
      <c r="S2" s="11"/>
      <c r="T2" s="11"/>
      <c r="U2" s="11"/>
      <c r="W2" s="1" t="s">
        <v>35</v>
      </c>
      <c r="Z2" s="1" t="s">
        <v>40</v>
      </c>
      <c r="AD2" t="s">
        <v>44</v>
      </c>
    </row>
    <row r="3" spans="1:38" x14ac:dyDescent="0.25">
      <c r="A3" s="5" t="s">
        <v>39</v>
      </c>
      <c r="B3" s="5" t="s">
        <v>0</v>
      </c>
      <c r="C3" s="5" t="str">
        <f t="shared" ref="C3:C66" si="0">"description,dailCompDesc"&amp;H3&amp;G3&amp;","</f>
        <v>description,dailCompDescArcanist1,</v>
      </c>
      <c r="D3" s="5" t="str">
        <f>"itemText,dailCompText"&amp;H3&amp;G3&amp;","</f>
        <v>itemText,dailCompTextArcanist1,</v>
      </c>
      <c r="E3" s="5" t="s">
        <v>24</v>
      </c>
      <c r="F3" s="5" t="str">
        <f>"augmentMasteryName1,records/skills"&amp;I3&amp;","</f>
        <v>augmentMasteryName1,records/skills/playerclass05/_classtraining_class05.dbr,</v>
      </c>
      <c r="G3" s="7">
        <f>IF(I3&lt;&gt;"",1,"")</f>
        <v>1</v>
      </c>
      <c r="H3" s="3" t="s">
        <v>71</v>
      </c>
      <c r="I3" s="3" t="s">
        <v>126</v>
      </c>
      <c r="J3" s="3" t="s">
        <v>70</v>
      </c>
      <c r="K3" s="3" t="s">
        <v>69</v>
      </c>
      <c r="L3" s="5" t="str">
        <f>"lootName"&amp;G3&amp;",DAIL/items/materia/"&amp;J3&amp;"/"&amp;H3&amp;G3&amp;".dbr"&amp;","</f>
        <v>lootName1,DAIL/items/materia/class0005/Arcanist1.dbr,</v>
      </c>
      <c r="M3" s="5" t="str">
        <f>"lootWeight"&amp;G3&amp;",1,"</f>
        <v>lootWeight1,1,</v>
      </c>
      <c r="N3" t="str">
        <f>LEFT(RIGHT(E3,2),1)</f>
        <v>1</v>
      </c>
      <c r="O3" s="5" t="str">
        <f>IF(I3&lt;&gt;"","copy .\dail_base2.dbr .\items\materia\"&amp;J3&amp;"\"&amp;H3&amp;G3&amp;".dbr /y"&amp;"","")</f>
        <v>copy .\dail_base2.dbr .\items\materia\class0005\Arcanist1.dbr /y</v>
      </c>
      <c r="P3" t="str">
        <f>IF($I3&lt;&gt;"","echo "&amp;A3&amp;" &gt;&gt; .\items\materia\"&amp;$J3&amp;"\"&amp;$H3&amp;$G3&amp;".dbr","")</f>
        <v>echo relicBitmap,items/craftingparts/components/component_a52_bristlyfur_b.tex, &gt;&gt; .\items\materia\class0005\Arcanist1.dbr</v>
      </c>
      <c r="Q3" t="str">
        <f t="shared" ref="Q3:U18" si="1">IF($I3&lt;&gt;"","echo "&amp;B3&amp;" &gt;&gt; .\items\materia\"&amp;$J3&amp;"\"&amp;$H3&amp;$G3&amp;".dbr","")</f>
        <v>echo itemCost,100000, &gt;&gt; .\items\materia\class0005\Arcanist1.dbr</v>
      </c>
      <c r="R3" t="str">
        <f t="shared" si="1"/>
        <v>echo description,dailCompDescArcanist1, &gt;&gt; .\items\materia\class0005\Arcanist1.dbr</v>
      </c>
      <c r="S3" t="str">
        <f t="shared" si="1"/>
        <v>echo itemText,dailCompTextArcanist1, &gt;&gt; .\items\materia\class0005\Arcanist1.dbr</v>
      </c>
      <c r="T3" t="str">
        <f t="shared" si="1"/>
        <v>echo augmentMasteryLevel1,1, &gt;&gt; .\items\materia\class0005\Arcanist1.dbr</v>
      </c>
      <c r="U3" t="str">
        <f t="shared" si="1"/>
        <v>echo augmentMasteryName1,records/skills/playerclass05/_classtraining_class05.dbr, &gt;&gt; .\items\materia\class0005\Arcanist1.dbr</v>
      </c>
      <c r="V3" s="5" t="s">
        <v>36</v>
      </c>
      <c r="W3" t="str">
        <f>IF($I3&lt;&gt;"","echo "&amp;L3&amp;" &gt;&gt; .\items\loottables\"&amp;$K3&amp;".dbr","")</f>
        <v>echo lootName1,DAIL/items/materia/class0005/Arcanist1.dbr, &gt;&gt; .\items\loottables\dailoneskill0005.dbr</v>
      </c>
      <c r="X3" t="str">
        <f>IF($I3&lt;&gt;"","echo "&amp;M3&amp;" &gt;&gt; .\items\loottables\"&amp;$K3&amp;".dbr","")</f>
        <v>echo lootWeight1,1, &gt;&gt; .\items\loottables\dailoneskill0005.dbr</v>
      </c>
      <c r="Y3" s="5" t="s">
        <v>36</v>
      </c>
      <c r="Z3" s="10" t="str">
        <f>IF(I2&lt;&gt;""," dailCompDesc"&amp;H3&amp;G3&amp;"=^p"&amp;H3&amp;"'s Gift of DAIL","")</f>
        <v xml:space="preserve"> dailCompDescArcanist1=^pArcanist's Gift of DAIL</v>
      </c>
      <c r="AA3" s="10" t="str">
        <f>IF(I2&lt;&gt;"","dailCompText"&amp;H3&amp;G3&amp;"=^oThis feels warm to the touch, almost familiar ^w(This component fits into the amulet only)","")</f>
        <v>dailCompTextArcanist1=^oThis feels warm to the touch, almost familiar ^w(This component fits into the amulet only)</v>
      </c>
      <c r="AB3" s="5" t="s">
        <v>36</v>
      </c>
      <c r="AD3">
        <v>1</v>
      </c>
      <c r="AE3" t="s">
        <v>42</v>
      </c>
      <c r="AF3" t="s">
        <v>45</v>
      </c>
    </row>
    <row r="4" spans="1:38" x14ac:dyDescent="0.25">
      <c r="A4" s="5" t="s">
        <v>39</v>
      </c>
      <c r="B4" s="5" t="s">
        <v>28</v>
      </c>
      <c r="C4" s="5" t="str">
        <f t="shared" si="0"/>
        <v>description,dailCompDescArcanist2,</v>
      </c>
      <c r="D4" s="5" t="str">
        <f t="shared" ref="D4:D67" si="2">"itemText,dailCompText"&amp;H4&amp;G4&amp;","</f>
        <v>itemText,dailCompTextArcanist2,</v>
      </c>
      <c r="E4" s="5" t="s">
        <v>1</v>
      </c>
      <c r="F4" s="5" t="str">
        <f t="shared" ref="F4:F5" si="3">"augmentMasteryName1,records/skills"&amp;I4&amp;","</f>
        <v>augmentMasteryName1,records/skills/playerclass05/_classtraining_class05.dbr,</v>
      </c>
      <c r="G4" s="7">
        <f>IF(I4&lt;&gt;"",G3+1,"")</f>
        <v>2</v>
      </c>
      <c r="H4" s="8" t="str">
        <f>H3</f>
        <v>Arcanist</v>
      </c>
      <c r="I4" s="3" t="s">
        <v>126</v>
      </c>
      <c r="J4" s="8" t="str">
        <f>J3</f>
        <v>class0005</v>
      </c>
      <c r="K4" s="8" t="str">
        <f>K3</f>
        <v>dailoneskill0005</v>
      </c>
      <c r="L4" s="5" t="str">
        <f t="shared" ref="L4:L67" si="4">"lootName"&amp;G4&amp;",DAIL/items/materia/"&amp;J4&amp;"/"&amp;H4&amp;G4&amp;".dbr"&amp;","</f>
        <v>lootName2,DAIL/items/materia/class0005/Arcanist2.dbr,</v>
      </c>
      <c r="M4" s="5" t="str">
        <f t="shared" ref="M4:M67" si="5">"lootWeight"&amp;G4&amp;",1,"</f>
        <v>lootWeight2,1,</v>
      </c>
      <c r="N4" t="str">
        <f t="shared" ref="N4:N67" si="6">LEFT(RIGHT(E4,2),1)</f>
        <v>2</v>
      </c>
      <c r="O4" s="5" t="str">
        <f>IF(I4&lt;&gt;"","copy .\dail_base2.dbr .\items\materia\"&amp;J4&amp;"\"&amp;H4&amp;G4&amp;".dbr /y"&amp;"","")</f>
        <v>copy .\dail_base2.dbr .\items\materia\class0005\Arcanist2.dbr /y</v>
      </c>
      <c r="P4" t="str">
        <f t="shared" ref="P4:U58" si="7">IF($I4&lt;&gt;"","echo "&amp;A4&amp;" &gt;&gt; .\items\materia\"&amp;$J4&amp;"\"&amp;$H4&amp;$G4&amp;".dbr","")</f>
        <v>echo relicBitmap,items/craftingparts/components/component_a52_bristlyfur_b.tex, &gt;&gt; .\items\materia\class0005\Arcanist2.dbr</v>
      </c>
      <c r="Q4" t="str">
        <f t="shared" si="1"/>
        <v>echo itemCost,300000, &gt;&gt; .\items\materia\class0005\Arcanist2.dbr</v>
      </c>
      <c r="R4" t="str">
        <f t="shared" si="1"/>
        <v>echo description,dailCompDescArcanist2, &gt;&gt; .\items\materia\class0005\Arcanist2.dbr</v>
      </c>
      <c r="S4" t="str">
        <f t="shared" si="1"/>
        <v>echo itemText,dailCompTextArcanist2, &gt;&gt; .\items\materia\class0005\Arcanist2.dbr</v>
      </c>
      <c r="T4" t="str">
        <f t="shared" si="1"/>
        <v>echo augmentMasteryLevel1,2, &gt;&gt; .\items\materia\class0005\Arcanist2.dbr</v>
      </c>
      <c r="U4" t="str">
        <f t="shared" si="1"/>
        <v>echo augmentMasteryName1,records/skills/playerclass05/_classtraining_class05.dbr, &gt;&gt; .\items\materia\class0005\Arcanist2.dbr</v>
      </c>
      <c r="V4" s="5" t="s">
        <v>36</v>
      </c>
      <c r="W4" t="str">
        <f t="shared" ref="W4:X67" si="8">IF($I4&lt;&gt;"","echo "&amp;L4&amp;" &gt;&gt; .\items\loottables\"&amp;$K4&amp;".dbr","")</f>
        <v>echo lootName2,DAIL/items/materia/class0005/Arcanist2.dbr, &gt;&gt; .\items\loottables\dailoneskill0005.dbr</v>
      </c>
      <c r="X4" t="str">
        <f t="shared" si="8"/>
        <v>echo lootWeight2,1, &gt;&gt; .\items\loottables\dailoneskill0005.dbr</v>
      </c>
      <c r="Y4" s="5" t="s">
        <v>36</v>
      </c>
      <c r="Z4" s="10" t="str">
        <f t="shared" ref="Z4:Z67" si="9">IF(I3&lt;&gt;""," dailCompDesc"&amp;H4&amp;G4&amp;"=^p"&amp;H4&amp;"'s Gift of DAIL","")</f>
        <v xml:space="preserve"> dailCompDescArcanist2=^pArcanist's Gift of DAIL</v>
      </c>
      <c r="AA4" s="10" t="str">
        <f>IF(I3&lt;&gt;"","dailCompText"&amp;H4&amp;G4&amp;"=^oThis feels warm to the touch, almost familiar ^w(This component fits into the amulet only)","")</f>
        <v>dailCompTextArcanist2=^oThis feels warm to the touch, almost familiar ^w(This component fits into the amulet only)</v>
      </c>
      <c r="AB4" s="5" t="s">
        <v>36</v>
      </c>
      <c r="AD4">
        <v>3</v>
      </c>
      <c r="AE4" t="s">
        <v>43</v>
      </c>
      <c r="AF4" t="s">
        <v>46</v>
      </c>
    </row>
    <row r="5" spans="1:38" x14ac:dyDescent="0.25">
      <c r="A5" s="5" t="s">
        <v>39</v>
      </c>
      <c r="B5" s="5" t="s">
        <v>29</v>
      </c>
      <c r="C5" s="5" t="str">
        <f t="shared" si="0"/>
        <v>description,dailCompDescArcanist3,</v>
      </c>
      <c r="D5" s="5" t="str">
        <f t="shared" si="2"/>
        <v>itemText,dailCompTextArcanist3,</v>
      </c>
      <c r="E5" s="5" t="s">
        <v>25</v>
      </c>
      <c r="F5" s="5" t="str">
        <f t="shared" si="3"/>
        <v>augmentMasteryName1,records/skills/playerclass05/_classtraining_class05.dbr,</v>
      </c>
      <c r="G5" s="7">
        <f t="shared" ref="G5:G68" si="10">IF(I5&lt;&gt;"",G4+1,"")</f>
        <v>3</v>
      </c>
      <c r="H5" s="8" t="str">
        <f t="shared" ref="H5:H68" si="11">H4</f>
        <v>Arcanist</v>
      </c>
      <c r="I5" s="3" t="s">
        <v>126</v>
      </c>
      <c r="J5" s="8" t="str">
        <f t="shared" ref="J5:K20" si="12">J4</f>
        <v>class0005</v>
      </c>
      <c r="K5" s="8" t="str">
        <f t="shared" si="12"/>
        <v>dailoneskill0005</v>
      </c>
      <c r="L5" s="5" t="str">
        <f t="shared" si="4"/>
        <v>lootName3,DAIL/items/materia/class0005/Arcanist3.dbr,</v>
      </c>
      <c r="M5" s="5" t="str">
        <f t="shared" si="5"/>
        <v>lootWeight3,1,</v>
      </c>
      <c r="N5" t="str">
        <f t="shared" si="6"/>
        <v>3</v>
      </c>
      <c r="O5" s="5" t="str">
        <f>IF(I5&lt;&gt;"","copy .\dail_base2.dbr .\items\materia\"&amp;J5&amp;"\"&amp;H5&amp;G5&amp;".dbr /y"&amp;"","")</f>
        <v>copy .\dail_base2.dbr .\items\materia\class0005\Arcanist3.dbr /y</v>
      </c>
      <c r="P5" t="str">
        <f t="shared" si="7"/>
        <v>echo relicBitmap,items/craftingparts/components/component_a52_bristlyfur_b.tex, &gt;&gt; .\items\materia\class0005\Arcanist3.dbr</v>
      </c>
      <c r="Q5" t="str">
        <f t="shared" si="1"/>
        <v>echo itemCost,600000, &gt;&gt; .\items\materia\class0005\Arcanist3.dbr</v>
      </c>
      <c r="R5" t="str">
        <f t="shared" si="1"/>
        <v>echo description,dailCompDescArcanist3, &gt;&gt; .\items\materia\class0005\Arcanist3.dbr</v>
      </c>
      <c r="S5" t="str">
        <f t="shared" si="1"/>
        <v>echo itemText,dailCompTextArcanist3, &gt;&gt; .\items\materia\class0005\Arcanist3.dbr</v>
      </c>
      <c r="T5" t="str">
        <f t="shared" si="1"/>
        <v>echo augmentMasteryLevel1,3, &gt;&gt; .\items\materia\class0005\Arcanist3.dbr</v>
      </c>
      <c r="U5" t="str">
        <f t="shared" si="1"/>
        <v>echo augmentMasteryName1,records/skills/playerclass05/_classtraining_class05.dbr, &gt;&gt; .\items\materia\class0005\Arcanist3.dbr</v>
      </c>
      <c r="V5" s="5" t="s">
        <v>36</v>
      </c>
      <c r="W5" t="str">
        <f t="shared" si="8"/>
        <v>echo lootName3,DAIL/items/materia/class0005/Arcanist3.dbr, &gt;&gt; .\items\loottables\dailoneskill0005.dbr</v>
      </c>
      <c r="X5" t="str">
        <f t="shared" si="8"/>
        <v>echo lootWeight3,1, &gt;&gt; .\items\loottables\dailoneskill0005.dbr</v>
      </c>
      <c r="Y5" s="5" t="s">
        <v>36</v>
      </c>
      <c r="Z5" s="10" t="str">
        <f t="shared" si="9"/>
        <v xml:space="preserve"> dailCompDescArcanist3=^pArcanist's Gift of DAIL</v>
      </c>
      <c r="AA5" s="10" t="str">
        <f>IF(I4&lt;&gt;"","dailCompText"&amp;H5&amp;G5&amp;"=^oThis feels warm to the touch, almost familiar ^w(This component fits into the amulet only)","")</f>
        <v>dailCompTextArcanist3=^oThis feels warm to the touch, almost familiar ^w(This component fits into the amulet only)</v>
      </c>
      <c r="AB5" s="5" t="s">
        <v>36</v>
      </c>
      <c r="AD5">
        <v>5</v>
      </c>
      <c r="AE5" t="s">
        <v>43</v>
      </c>
      <c r="AF5" t="s">
        <v>46</v>
      </c>
      <c r="AI5" t="s">
        <v>61</v>
      </c>
    </row>
    <row r="6" spans="1:38" x14ac:dyDescent="0.25">
      <c r="A6" s="5" t="s">
        <v>39</v>
      </c>
      <c r="B6" s="5" t="s">
        <v>0</v>
      </c>
      <c r="C6" s="5" t="str">
        <f t="shared" si="0"/>
        <v>description,dailCompDescArcanist4,</v>
      </c>
      <c r="D6" s="5" t="str">
        <f t="shared" si="2"/>
        <v>itemText,dailCompTextArcanist4,</v>
      </c>
      <c r="E6" s="5" t="str">
        <f>"augmentSkillLevel1,"&amp;AJ6&amp;","</f>
        <v>augmentSkillLevel1,1,</v>
      </c>
      <c r="F6" s="5" t="str">
        <f>"augmentSkillName1,records/skills"&amp;I6&amp;","</f>
        <v>augmentSkillName1,records/skills/playerclass05/devastation.dbr,</v>
      </c>
      <c r="G6" s="7">
        <f t="shared" si="10"/>
        <v>4</v>
      </c>
      <c r="H6" s="8" t="str">
        <f t="shared" si="11"/>
        <v>Arcanist</v>
      </c>
      <c r="I6" s="3" t="s">
        <v>131</v>
      </c>
      <c r="J6" s="8" t="str">
        <f t="shared" si="12"/>
        <v>class0005</v>
      </c>
      <c r="K6" s="8" t="str">
        <f t="shared" si="12"/>
        <v>dailoneskill0005</v>
      </c>
      <c r="L6" s="5" t="str">
        <f t="shared" si="4"/>
        <v>lootName4,DAIL/items/materia/class0005/Arcanist4.dbr,</v>
      </c>
      <c r="M6" s="5" t="str">
        <f t="shared" si="5"/>
        <v>lootWeight4,1,</v>
      </c>
      <c r="N6" t="str">
        <f t="shared" si="6"/>
        <v>1</v>
      </c>
      <c r="O6" t="str">
        <f>IF(I6&lt;&gt;"","copy .\"&amp;VLOOKUP(VALUE(N6),$AD$3:$AF$5,2,FALSE)&amp;" .\items\materia\"&amp;J6&amp;"\"&amp;H6&amp;G6&amp;".dbr /y"&amp;"","")</f>
        <v>copy .\dail_base.dbr .\items\materia\class0005\Arcanist4.dbr /y</v>
      </c>
      <c r="P6" t="str">
        <f t="shared" si="7"/>
        <v>echo relicBitmap,items/craftingparts/components/component_a52_bristlyfur_b.tex, &gt;&gt; .\items\materia\class0005\Arcanist4.dbr</v>
      </c>
      <c r="Q6" t="str">
        <f t="shared" si="1"/>
        <v>echo itemCost,100000, &gt;&gt; .\items\materia\class0005\Arcanist4.dbr</v>
      </c>
      <c r="R6" t="str">
        <f t="shared" si="1"/>
        <v>echo description,dailCompDescArcanist4, &gt;&gt; .\items\materia\class0005\Arcanist4.dbr</v>
      </c>
      <c r="S6" t="str">
        <f t="shared" si="1"/>
        <v>echo itemText,dailCompTextArcanist4, &gt;&gt; .\items\materia\class0005\Arcanist4.dbr</v>
      </c>
      <c r="T6" t="str">
        <f t="shared" si="1"/>
        <v>echo augmentSkillLevel1,1, &gt;&gt; .\items\materia\class0005\Arcanist4.dbr</v>
      </c>
      <c r="U6" t="str">
        <f t="shared" si="1"/>
        <v>echo augmentSkillName1,records/skills/playerclass05/devastation.dbr, &gt;&gt; .\items\materia\class0005\Arcanist4.dbr</v>
      </c>
      <c r="V6" s="5" t="s">
        <v>36</v>
      </c>
      <c r="W6" t="str">
        <f t="shared" si="8"/>
        <v>echo lootName4,DAIL/items/materia/class0005/Arcanist4.dbr, &gt;&gt; .\items\loottables\dailoneskill0005.dbr</v>
      </c>
      <c r="X6" t="str">
        <f t="shared" si="8"/>
        <v>echo lootWeight4,1, &gt;&gt; .\items\loottables\dailoneskill0005.dbr</v>
      </c>
      <c r="Y6" s="5" t="s">
        <v>36</v>
      </c>
      <c r="Z6" t="str">
        <f t="shared" si="9"/>
        <v xml:space="preserve"> dailCompDescArcanist4=^pArcanist's Gift of DAIL</v>
      </c>
      <c r="AA6" t="str">
        <f>IF(I5&lt;&gt;"","dailCompText"&amp;H6&amp;G6&amp;"=^oThis feels warm to the touch, almost familiar ^w("&amp;VLOOKUP(VALUE(N6),$AD$3:$AF$5,3,FALSE)&amp;")","")</f>
        <v>dailCompTextArcanist4=^oThis feels warm to the touch, almost familiar ^w(This component fits into all Jewellery slots including the Belt And Shoulder)</v>
      </c>
      <c r="AB6" s="5" t="s">
        <v>36</v>
      </c>
      <c r="AH6">
        <v>1</v>
      </c>
      <c r="AI6">
        <f t="shared" ref="AI6:AI37" si="13">LEN(I6)</f>
        <v>30</v>
      </c>
      <c r="AJ6">
        <f>IF(AH6&lt;$AL$7,1,IF(AH6&lt;$AL$8,3,5))</f>
        <v>1</v>
      </c>
      <c r="AK6" s="1" t="s">
        <v>62</v>
      </c>
      <c r="AL6" s="1">
        <f>COUNTIF(AI:AI,"&gt;0")</f>
        <v>90</v>
      </c>
    </row>
    <row r="7" spans="1:38" x14ac:dyDescent="0.25">
      <c r="A7" s="5" t="s">
        <v>39</v>
      </c>
      <c r="B7" s="5" t="s">
        <v>0</v>
      </c>
      <c r="C7" s="5" t="str">
        <f t="shared" si="0"/>
        <v>description,dailCompDescArcanist5,</v>
      </c>
      <c r="D7" s="5" t="str">
        <f t="shared" si="2"/>
        <v>itemText,dailCompTextArcanist5,</v>
      </c>
      <c r="E7" s="5" t="str">
        <f t="shared" ref="E7:E70" si="14">"augmentSkillLevel1,"&amp;AJ7&amp;","</f>
        <v>augmentSkillLevel1,1,</v>
      </c>
      <c r="F7" s="5" t="str">
        <f t="shared" ref="F7:F70" si="15">"augmentSkillName1,records/skills"&amp;I7&amp;","</f>
        <v>augmentSkillName1,records/skills/playerclass05/arcaneshield.dbr,</v>
      </c>
      <c r="G7" s="7">
        <f t="shared" si="10"/>
        <v>5</v>
      </c>
      <c r="H7" s="8" t="str">
        <f t="shared" si="11"/>
        <v>Arcanist</v>
      </c>
      <c r="I7" s="3" t="s">
        <v>129</v>
      </c>
      <c r="J7" s="8" t="str">
        <f t="shared" si="12"/>
        <v>class0005</v>
      </c>
      <c r="K7" s="8" t="str">
        <f t="shared" si="12"/>
        <v>dailoneskill0005</v>
      </c>
      <c r="L7" s="5" t="str">
        <f t="shared" si="4"/>
        <v>lootName5,DAIL/items/materia/class0005/Arcanist5.dbr,</v>
      </c>
      <c r="M7" s="5" t="str">
        <f t="shared" si="5"/>
        <v>lootWeight5,1,</v>
      </c>
      <c r="N7" t="str">
        <f t="shared" si="6"/>
        <v>1</v>
      </c>
      <c r="O7" t="str">
        <f t="shared" ref="O7:O70" si="16">IF(I7&lt;&gt;"","copy .\"&amp;VLOOKUP(VALUE(N7),$AD$3:$AF$5,2,FALSE)&amp;" .\items\materia\"&amp;J7&amp;"\"&amp;H7&amp;G7&amp;".dbr /y"&amp;"","")</f>
        <v>copy .\dail_base.dbr .\items\materia\class0005\Arcanist5.dbr /y</v>
      </c>
      <c r="P7" t="str">
        <f t="shared" si="7"/>
        <v>echo relicBitmap,items/craftingparts/components/component_a52_bristlyfur_b.tex, &gt;&gt; .\items\materia\class0005\Arcanist5.dbr</v>
      </c>
      <c r="Q7" t="str">
        <f t="shared" si="1"/>
        <v>echo itemCost,100000, &gt;&gt; .\items\materia\class0005\Arcanist5.dbr</v>
      </c>
      <c r="R7" t="str">
        <f t="shared" si="1"/>
        <v>echo description,dailCompDescArcanist5, &gt;&gt; .\items\materia\class0005\Arcanist5.dbr</v>
      </c>
      <c r="S7" t="str">
        <f t="shared" si="1"/>
        <v>echo itemText,dailCompTextArcanist5, &gt;&gt; .\items\materia\class0005\Arcanist5.dbr</v>
      </c>
      <c r="T7" t="str">
        <f t="shared" si="1"/>
        <v>echo augmentSkillLevel1,1, &gt;&gt; .\items\materia\class0005\Arcanist5.dbr</v>
      </c>
      <c r="U7" t="str">
        <f t="shared" si="1"/>
        <v>echo augmentSkillName1,records/skills/playerclass05/arcaneshield.dbr, &gt;&gt; .\items\materia\class0005\Arcanist5.dbr</v>
      </c>
      <c r="V7" s="5" t="s">
        <v>36</v>
      </c>
      <c r="W7" t="str">
        <f t="shared" si="8"/>
        <v>echo lootName5,DAIL/items/materia/class0005/Arcanist5.dbr, &gt;&gt; .\items\loottables\dailoneskill0005.dbr</v>
      </c>
      <c r="X7" t="str">
        <f t="shared" si="8"/>
        <v>echo lootWeight5,1, &gt;&gt; .\items\loottables\dailoneskill0005.dbr</v>
      </c>
      <c r="Y7" s="5" t="s">
        <v>36</v>
      </c>
      <c r="Z7" t="str">
        <f t="shared" si="9"/>
        <v xml:space="preserve"> dailCompDescArcanist5=^pArcanist's Gift of DAIL</v>
      </c>
      <c r="AA7" t="str">
        <f t="shared" ref="AA7:AA70" si="17">IF(I6&lt;&gt;"","dailCompText"&amp;H7&amp;G7&amp;"=^oThis feels warm to the touch, almost familiar ^w("&amp;VLOOKUP(VALUE(N7),$AD$3:$AF$5,3,FALSE)&amp;")","")</f>
        <v>dailCompTextArcanist5=^oThis feels warm to the touch, almost familiar ^w(This component fits into all Jewellery slots including the Belt And Shoulder)</v>
      </c>
      <c r="AB7" s="5" t="s">
        <v>36</v>
      </c>
      <c r="AH7">
        <f>AH6+1</f>
        <v>2</v>
      </c>
      <c r="AI7">
        <f t="shared" si="13"/>
        <v>31</v>
      </c>
      <c r="AJ7">
        <f t="shared" ref="AJ7:AJ70" si="18">IF(AH7&lt;$AL$7,1,IF(AH7&lt;$AL$8,3,5))</f>
        <v>1</v>
      </c>
      <c r="AK7">
        <v>1</v>
      </c>
      <c r="AL7">
        <f>AL6/3</f>
        <v>30</v>
      </c>
    </row>
    <row r="8" spans="1:38" x14ac:dyDescent="0.25">
      <c r="A8" s="5" t="s">
        <v>39</v>
      </c>
      <c r="B8" s="5" t="s">
        <v>0</v>
      </c>
      <c r="C8" s="5" t="str">
        <f t="shared" si="0"/>
        <v>description,dailCompDescArcanist6,</v>
      </c>
      <c r="D8" s="5" t="str">
        <f t="shared" si="2"/>
        <v>itemText,dailCompTextArcanist6,</v>
      </c>
      <c r="E8" s="5" t="str">
        <f t="shared" si="14"/>
        <v>augmentSkillLevel1,1,</v>
      </c>
      <c r="F8" s="5" t="str">
        <f t="shared" si="15"/>
        <v>augmentSkillName1,records/skills/playerclass05/skyshard1.dbr,</v>
      </c>
      <c r="G8" s="7">
        <f t="shared" si="10"/>
        <v>6</v>
      </c>
      <c r="H8" s="8" t="str">
        <f t="shared" si="11"/>
        <v>Arcanist</v>
      </c>
      <c r="I8" s="3" t="s">
        <v>136</v>
      </c>
      <c r="J8" s="8" t="str">
        <f t="shared" si="12"/>
        <v>class0005</v>
      </c>
      <c r="K8" s="8" t="str">
        <f t="shared" si="12"/>
        <v>dailoneskill0005</v>
      </c>
      <c r="L8" s="5" t="str">
        <f t="shared" si="4"/>
        <v>lootName6,DAIL/items/materia/class0005/Arcanist6.dbr,</v>
      </c>
      <c r="M8" s="5" t="str">
        <f t="shared" si="5"/>
        <v>lootWeight6,1,</v>
      </c>
      <c r="N8" t="str">
        <f t="shared" si="6"/>
        <v>1</v>
      </c>
      <c r="O8" t="str">
        <f t="shared" si="16"/>
        <v>copy .\dail_base.dbr .\items\materia\class0005\Arcanist6.dbr /y</v>
      </c>
      <c r="P8" t="str">
        <f t="shared" si="7"/>
        <v>echo relicBitmap,items/craftingparts/components/component_a52_bristlyfur_b.tex, &gt;&gt; .\items\materia\class0005\Arcanist6.dbr</v>
      </c>
      <c r="Q8" t="str">
        <f t="shared" si="1"/>
        <v>echo itemCost,100000, &gt;&gt; .\items\materia\class0005\Arcanist6.dbr</v>
      </c>
      <c r="R8" t="str">
        <f t="shared" si="1"/>
        <v>echo description,dailCompDescArcanist6, &gt;&gt; .\items\materia\class0005\Arcanist6.dbr</v>
      </c>
      <c r="S8" t="str">
        <f t="shared" si="1"/>
        <v>echo itemText,dailCompTextArcanist6, &gt;&gt; .\items\materia\class0005\Arcanist6.dbr</v>
      </c>
      <c r="T8" t="str">
        <f t="shared" si="1"/>
        <v>echo augmentSkillLevel1,1, &gt;&gt; .\items\materia\class0005\Arcanist6.dbr</v>
      </c>
      <c r="U8" t="str">
        <f t="shared" si="1"/>
        <v>echo augmentSkillName1,records/skills/playerclass05/skyshard1.dbr, &gt;&gt; .\items\materia\class0005\Arcanist6.dbr</v>
      </c>
      <c r="V8" s="5" t="s">
        <v>36</v>
      </c>
      <c r="W8" t="str">
        <f t="shared" si="8"/>
        <v>echo lootName6,DAIL/items/materia/class0005/Arcanist6.dbr, &gt;&gt; .\items\loottables\dailoneskill0005.dbr</v>
      </c>
      <c r="X8" t="str">
        <f t="shared" si="8"/>
        <v>echo lootWeight6,1, &gt;&gt; .\items\loottables\dailoneskill0005.dbr</v>
      </c>
      <c r="Y8" s="5" t="s">
        <v>36</v>
      </c>
      <c r="Z8" t="str">
        <f t="shared" si="9"/>
        <v xml:space="preserve"> dailCompDescArcanist6=^pArcanist's Gift of DAIL</v>
      </c>
      <c r="AA8" t="str">
        <f t="shared" si="17"/>
        <v>dailCompTextArcanist6=^oThis feels warm to the touch, almost familiar ^w(This component fits into all Jewellery slots including the Belt And Shoulder)</v>
      </c>
      <c r="AB8" s="5" t="s">
        <v>36</v>
      </c>
      <c r="AH8">
        <f t="shared" ref="AH8:AH71" si="19">AH7+1</f>
        <v>3</v>
      </c>
      <c r="AI8">
        <f t="shared" si="13"/>
        <v>28</v>
      </c>
      <c r="AJ8">
        <f t="shared" si="18"/>
        <v>1</v>
      </c>
      <c r="AK8" s="1">
        <v>3</v>
      </c>
      <c r="AL8">
        <f>AL7*2</f>
        <v>60</v>
      </c>
    </row>
    <row r="9" spans="1:38" x14ac:dyDescent="0.25">
      <c r="A9" s="5" t="s">
        <v>39</v>
      </c>
      <c r="B9" s="5" t="s">
        <v>0</v>
      </c>
      <c r="C9" s="5" t="str">
        <f t="shared" si="0"/>
        <v>description,dailCompDescArcanist7,</v>
      </c>
      <c r="D9" s="5" t="str">
        <f t="shared" si="2"/>
        <v>itemText,dailCompTextArcanist7,</v>
      </c>
      <c r="E9" s="5" t="str">
        <f t="shared" si="14"/>
        <v>augmentSkillLevel1,1,</v>
      </c>
      <c r="F9" s="5" t="str">
        <f t="shared" si="15"/>
        <v>augmentSkillName1,records/skills/playerclass05/skyshard2.dbr,</v>
      </c>
      <c r="G9" s="7">
        <f t="shared" si="10"/>
        <v>7</v>
      </c>
      <c r="H9" s="8" t="str">
        <f t="shared" si="11"/>
        <v>Arcanist</v>
      </c>
      <c r="I9" s="3" t="s">
        <v>321</v>
      </c>
      <c r="J9" s="8" t="str">
        <f t="shared" si="12"/>
        <v>class0005</v>
      </c>
      <c r="K9" s="8" t="str">
        <f t="shared" si="12"/>
        <v>dailoneskill0005</v>
      </c>
      <c r="L9" s="5" t="str">
        <f t="shared" si="4"/>
        <v>lootName7,DAIL/items/materia/class0005/Arcanist7.dbr,</v>
      </c>
      <c r="M9" s="5" t="str">
        <f t="shared" si="5"/>
        <v>lootWeight7,1,</v>
      </c>
      <c r="N9" t="str">
        <f t="shared" si="6"/>
        <v>1</v>
      </c>
      <c r="O9" t="str">
        <f t="shared" si="16"/>
        <v>copy .\dail_base.dbr .\items\materia\class0005\Arcanist7.dbr /y</v>
      </c>
      <c r="P9" t="str">
        <f t="shared" si="7"/>
        <v>echo relicBitmap,items/craftingparts/components/component_a52_bristlyfur_b.tex, &gt;&gt; .\items\materia\class0005\Arcanist7.dbr</v>
      </c>
      <c r="Q9" t="str">
        <f t="shared" si="1"/>
        <v>echo itemCost,100000, &gt;&gt; .\items\materia\class0005\Arcanist7.dbr</v>
      </c>
      <c r="R9" t="str">
        <f t="shared" si="1"/>
        <v>echo description,dailCompDescArcanist7, &gt;&gt; .\items\materia\class0005\Arcanist7.dbr</v>
      </c>
      <c r="S9" t="str">
        <f t="shared" si="1"/>
        <v>echo itemText,dailCompTextArcanist7, &gt;&gt; .\items\materia\class0005\Arcanist7.dbr</v>
      </c>
      <c r="T9" t="str">
        <f t="shared" si="1"/>
        <v>echo augmentSkillLevel1,1, &gt;&gt; .\items\materia\class0005\Arcanist7.dbr</v>
      </c>
      <c r="U9" t="str">
        <f t="shared" si="1"/>
        <v>echo augmentSkillName1,records/skills/playerclass05/skyshard2.dbr, &gt;&gt; .\items\materia\class0005\Arcanist7.dbr</v>
      </c>
      <c r="V9" s="5" t="s">
        <v>36</v>
      </c>
      <c r="W9" t="str">
        <f t="shared" si="8"/>
        <v>echo lootName7,DAIL/items/materia/class0005/Arcanist7.dbr, &gt;&gt; .\items\loottables\dailoneskill0005.dbr</v>
      </c>
      <c r="X9" t="str">
        <f t="shared" si="8"/>
        <v>echo lootWeight7,1, &gt;&gt; .\items\loottables\dailoneskill0005.dbr</v>
      </c>
      <c r="Y9" s="5" t="s">
        <v>36</v>
      </c>
      <c r="Z9" t="str">
        <f t="shared" si="9"/>
        <v xml:space="preserve"> dailCompDescArcanist7=^pArcanist's Gift of DAIL</v>
      </c>
      <c r="AA9" t="str">
        <f t="shared" si="17"/>
        <v>dailCompTextArcanist7=^oThis feels warm to the touch, almost familiar ^w(This component fits into all Jewellery slots including the Belt And Shoulder)</v>
      </c>
      <c r="AB9" s="5" t="s">
        <v>36</v>
      </c>
      <c r="AH9">
        <f t="shared" si="19"/>
        <v>4</v>
      </c>
      <c r="AI9">
        <f t="shared" si="13"/>
        <v>28</v>
      </c>
      <c r="AJ9">
        <f t="shared" si="18"/>
        <v>1</v>
      </c>
      <c r="AK9" s="1">
        <v>5</v>
      </c>
      <c r="AL9">
        <f>AL6</f>
        <v>90</v>
      </c>
    </row>
    <row r="10" spans="1:38" x14ac:dyDescent="0.25">
      <c r="A10" s="5" t="s">
        <v>39</v>
      </c>
      <c r="B10" s="5" t="s">
        <v>0</v>
      </c>
      <c r="C10" s="5" t="str">
        <f t="shared" si="0"/>
        <v>description,dailCompDescArcanist8,</v>
      </c>
      <c r="D10" s="5" t="str">
        <f t="shared" si="2"/>
        <v>itemText,dailCompTextArcanist8,</v>
      </c>
      <c r="E10" s="5" t="str">
        <f t="shared" si="14"/>
        <v>augmentSkillLevel1,1,</v>
      </c>
      <c r="F10" s="5" t="str">
        <f t="shared" si="15"/>
        <v>augmentSkillName1,records/skills/playerclass05/skyshard3.dbr,</v>
      </c>
      <c r="G10" s="7">
        <f t="shared" si="10"/>
        <v>8</v>
      </c>
      <c r="H10" s="8" t="str">
        <f t="shared" si="11"/>
        <v>Arcanist</v>
      </c>
      <c r="I10" s="3" t="s">
        <v>322</v>
      </c>
      <c r="J10" s="8" t="str">
        <f t="shared" si="12"/>
        <v>class0005</v>
      </c>
      <c r="K10" s="8" t="str">
        <f t="shared" si="12"/>
        <v>dailoneskill0005</v>
      </c>
      <c r="L10" s="5" t="str">
        <f t="shared" si="4"/>
        <v>lootName8,DAIL/items/materia/class0005/Arcanist8.dbr,</v>
      </c>
      <c r="M10" s="5" t="str">
        <f t="shared" si="5"/>
        <v>lootWeight8,1,</v>
      </c>
      <c r="N10" t="str">
        <f t="shared" si="6"/>
        <v>1</v>
      </c>
      <c r="O10" t="str">
        <f t="shared" si="16"/>
        <v>copy .\dail_base.dbr .\items\materia\class0005\Arcanist8.dbr /y</v>
      </c>
      <c r="P10" t="str">
        <f t="shared" si="7"/>
        <v>echo relicBitmap,items/craftingparts/components/component_a52_bristlyfur_b.tex, &gt;&gt; .\items\materia\class0005\Arcanist8.dbr</v>
      </c>
      <c r="Q10" t="str">
        <f t="shared" si="1"/>
        <v>echo itemCost,100000, &gt;&gt; .\items\materia\class0005\Arcanist8.dbr</v>
      </c>
      <c r="R10" t="str">
        <f t="shared" si="1"/>
        <v>echo description,dailCompDescArcanist8, &gt;&gt; .\items\materia\class0005\Arcanist8.dbr</v>
      </c>
      <c r="S10" t="str">
        <f t="shared" si="1"/>
        <v>echo itemText,dailCompTextArcanist8, &gt;&gt; .\items\materia\class0005\Arcanist8.dbr</v>
      </c>
      <c r="T10" t="str">
        <f t="shared" si="1"/>
        <v>echo augmentSkillLevel1,1, &gt;&gt; .\items\materia\class0005\Arcanist8.dbr</v>
      </c>
      <c r="U10" t="str">
        <f t="shared" si="1"/>
        <v>echo augmentSkillName1,records/skills/playerclass05/skyshard3.dbr, &gt;&gt; .\items\materia\class0005\Arcanist8.dbr</v>
      </c>
      <c r="V10" s="5" t="s">
        <v>36</v>
      </c>
      <c r="W10" t="str">
        <f t="shared" si="8"/>
        <v>echo lootName8,DAIL/items/materia/class0005/Arcanist8.dbr, &gt;&gt; .\items\loottables\dailoneskill0005.dbr</v>
      </c>
      <c r="X10" t="str">
        <f t="shared" si="8"/>
        <v>echo lootWeight8,1, &gt;&gt; .\items\loottables\dailoneskill0005.dbr</v>
      </c>
      <c r="Y10" s="5" t="s">
        <v>36</v>
      </c>
      <c r="Z10" t="str">
        <f t="shared" si="9"/>
        <v xml:space="preserve"> dailCompDescArcanist8=^pArcanist's Gift of DAIL</v>
      </c>
      <c r="AA10" t="str">
        <f t="shared" si="17"/>
        <v>dailCompTextArcanist8=^oThis feels warm to the touch, almost familiar ^w(This component fits into all Jewellery slots including the Belt And Shoulder)</v>
      </c>
      <c r="AB10" s="5" t="s">
        <v>36</v>
      </c>
      <c r="AH10">
        <f t="shared" si="19"/>
        <v>5</v>
      </c>
      <c r="AI10">
        <f t="shared" si="13"/>
        <v>28</v>
      </c>
      <c r="AJ10">
        <f t="shared" si="18"/>
        <v>1</v>
      </c>
    </row>
    <row r="11" spans="1:38" x14ac:dyDescent="0.25">
      <c r="A11" s="5" t="s">
        <v>39</v>
      </c>
      <c r="B11" s="5" t="s">
        <v>0</v>
      </c>
      <c r="C11" s="5" t="str">
        <f t="shared" si="0"/>
        <v>description,dailCompDescArcanist9,</v>
      </c>
      <c r="D11" s="5" t="str">
        <f t="shared" si="2"/>
        <v>itemText,dailCompTextArcanist9,</v>
      </c>
      <c r="E11" s="5" t="str">
        <f t="shared" si="14"/>
        <v>augmentSkillLevel1,1,</v>
      </c>
      <c r="F11" s="5" t="str">
        <f t="shared" si="15"/>
        <v>augmentSkillName1,records/skills/playerclass05/mindovermatter1.dbr,</v>
      </c>
      <c r="G11" s="7">
        <f t="shared" si="10"/>
        <v>9</v>
      </c>
      <c r="H11" s="8" t="str">
        <f t="shared" si="11"/>
        <v>Arcanist</v>
      </c>
      <c r="I11" s="3" t="s">
        <v>133</v>
      </c>
      <c r="J11" s="8" t="str">
        <f t="shared" si="12"/>
        <v>class0005</v>
      </c>
      <c r="K11" s="8" t="str">
        <f t="shared" si="12"/>
        <v>dailoneskill0005</v>
      </c>
      <c r="L11" s="5" t="str">
        <f t="shared" si="4"/>
        <v>lootName9,DAIL/items/materia/class0005/Arcanist9.dbr,</v>
      </c>
      <c r="M11" s="5" t="str">
        <f t="shared" si="5"/>
        <v>lootWeight9,1,</v>
      </c>
      <c r="N11" t="str">
        <f t="shared" si="6"/>
        <v>1</v>
      </c>
      <c r="O11" t="str">
        <f t="shared" si="16"/>
        <v>copy .\dail_base.dbr .\items\materia\class0005\Arcanist9.dbr /y</v>
      </c>
      <c r="P11" t="str">
        <f t="shared" si="7"/>
        <v>echo relicBitmap,items/craftingparts/components/component_a52_bristlyfur_b.tex, &gt;&gt; .\items\materia\class0005\Arcanist9.dbr</v>
      </c>
      <c r="Q11" t="str">
        <f t="shared" si="1"/>
        <v>echo itemCost,100000, &gt;&gt; .\items\materia\class0005\Arcanist9.dbr</v>
      </c>
      <c r="R11" t="str">
        <f t="shared" si="1"/>
        <v>echo description,dailCompDescArcanist9, &gt;&gt; .\items\materia\class0005\Arcanist9.dbr</v>
      </c>
      <c r="S11" t="str">
        <f t="shared" si="1"/>
        <v>echo itemText,dailCompTextArcanist9, &gt;&gt; .\items\materia\class0005\Arcanist9.dbr</v>
      </c>
      <c r="T11" t="str">
        <f t="shared" si="1"/>
        <v>echo augmentSkillLevel1,1, &gt;&gt; .\items\materia\class0005\Arcanist9.dbr</v>
      </c>
      <c r="U11" t="str">
        <f t="shared" si="1"/>
        <v>echo augmentSkillName1,records/skills/playerclass05/mindovermatter1.dbr, &gt;&gt; .\items\materia\class0005\Arcanist9.dbr</v>
      </c>
      <c r="V11" s="5" t="s">
        <v>36</v>
      </c>
      <c r="W11" t="str">
        <f t="shared" si="8"/>
        <v>echo lootName9,DAIL/items/materia/class0005/Arcanist9.dbr, &gt;&gt; .\items\loottables\dailoneskill0005.dbr</v>
      </c>
      <c r="X11" t="str">
        <f t="shared" si="8"/>
        <v>echo lootWeight9,1, &gt;&gt; .\items\loottables\dailoneskill0005.dbr</v>
      </c>
      <c r="Y11" s="5" t="s">
        <v>36</v>
      </c>
      <c r="Z11" t="str">
        <f t="shared" si="9"/>
        <v xml:space="preserve"> dailCompDescArcanist9=^pArcanist's Gift of DAIL</v>
      </c>
      <c r="AA11" t="str">
        <f t="shared" si="17"/>
        <v>dailCompTextArcanist9=^oThis feels warm to the touch, almost familiar ^w(This component fits into all Jewellery slots including the Belt And Shoulder)</v>
      </c>
      <c r="AB11" s="5" t="s">
        <v>36</v>
      </c>
      <c r="AH11">
        <f t="shared" si="19"/>
        <v>6</v>
      </c>
      <c r="AI11">
        <f t="shared" si="13"/>
        <v>34</v>
      </c>
      <c r="AJ11">
        <f t="shared" si="18"/>
        <v>1</v>
      </c>
    </row>
    <row r="12" spans="1:38" x14ac:dyDescent="0.25">
      <c r="A12" s="5" t="s">
        <v>39</v>
      </c>
      <c r="B12" s="5" t="s">
        <v>0</v>
      </c>
      <c r="C12" s="5" t="str">
        <f t="shared" si="0"/>
        <v>description,dailCompDescArcanist10,</v>
      </c>
      <c r="D12" s="5" t="str">
        <f t="shared" si="2"/>
        <v>itemText,dailCompTextArcanist10,</v>
      </c>
      <c r="E12" s="5" t="str">
        <f t="shared" si="14"/>
        <v>augmentSkillLevel1,1,</v>
      </c>
      <c r="F12" s="5" t="str">
        <f t="shared" si="15"/>
        <v>augmentSkillName1,records/skills/playerclass05/mindovermatter2.dbr,</v>
      </c>
      <c r="G12" s="7">
        <f t="shared" si="10"/>
        <v>10</v>
      </c>
      <c r="H12" s="8" t="str">
        <f t="shared" si="11"/>
        <v>Arcanist</v>
      </c>
      <c r="I12" s="3" t="s">
        <v>323</v>
      </c>
      <c r="J12" s="8" t="str">
        <f t="shared" si="12"/>
        <v>class0005</v>
      </c>
      <c r="K12" s="8" t="str">
        <f t="shared" si="12"/>
        <v>dailoneskill0005</v>
      </c>
      <c r="L12" s="5" t="str">
        <f t="shared" si="4"/>
        <v>lootName10,DAIL/items/materia/class0005/Arcanist10.dbr,</v>
      </c>
      <c r="M12" s="5" t="str">
        <f t="shared" si="5"/>
        <v>lootWeight10,1,</v>
      </c>
      <c r="N12" t="str">
        <f t="shared" si="6"/>
        <v>1</v>
      </c>
      <c r="O12" t="str">
        <f t="shared" si="16"/>
        <v>copy .\dail_base.dbr .\items\materia\class0005\Arcanist10.dbr /y</v>
      </c>
      <c r="P12" t="str">
        <f t="shared" si="7"/>
        <v>echo relicBitmap,items/craftingparts/components/component_a52_bristlyfur_b.tex, &gt;&gt; .\items\materia\class0005\Arcanist10.dbr</v>
      </c>
      <c r="Q12" t="str">
        <f t="shared" si="1"/>
        <v>echo itemCost,100000, &gt;&gt; .\items\materia\class0005\Arcanist10.dbr</v>
      </c>
      <c r="R12" t="str">
        <f t="shared" si="1"/>
        <v>echo description,dailCompDescArcanist10, &gt;&gt; .\items\materia\class0005\Arcanist10.dbr</v>
      </c>
      <c r="S12" t="str">
        <f t="shared" si="1"/>
        <v>echo itemText,dailCompTextArcanist10, &gt;&gt; .\items\materia\class0005\Arcanist10.dbr</v>
      </c>
      <c r="T12" t="str">
        <f t="shared" si="1"/>
        <v>echo augmentSkillLevel1,1, &gt;&gt; .\items\materia\class0005\Arcanist10.dbr</v>
      </c>
      <c r="U12" t="str">
        <f t="shared" si="1"/>
        <v>echo augmentSkillName1,records/skills/playerclass05/mindovermatter2.dbr, &gt;&gt; .\items\materia\class0005\Arcanist10.dbr</v>
      </c>
      <c r="V12" s="5" t="s">
        <v>36</v>
      </c>
      <c r="W12" t="str">
        <f t="shared" si="8"/>
        <v>echo lootName10,DAIL/items/materia/class0005/Arcanist10.dbr, &gt;&gt; .\items\loottables\dailoneskill0005.dbr</v>
      </c>
      <c r="X12" t="str">
        <f t="shared" si="8"/>
        <v>echo lootWeight10,1, &gt;&gt; .\items\loottables\dailoneskill0005.dbr</v>
      </c>
      <c r="Y12" s="5" t="s">
        <v>36</v>
      </c>
      <c r="Z12" t="str">
        <f t="shared" si="9"/>
        <v xml:space="preserve"> dailCompDescArcanist10=^pArcanist's Gift of DAIL</v>
      </c>
      <c r="AA12" t="str">
        <f t="shared" si="17"/>
        <v>dailCompTextArcanist10=^oThis feels warm to the touch, almost familiar ^w(This component fits into all Jewellery slots including the Belt And Shoulder)</v>
      </c>
      <c r="AB12" s="5" t="s">
        <v>36</v>
      </c>
      <c r="AH12">
        <f t="shared" si="19"/>
        <v>7</v>
      </c>
      <c r="AI12">
        <f t="shared" si="13"/>
        <v>34</v>
      </c>
      <c r="AJ12">
        <f t="shared" si="18"/>
        <v>1</v>
      </c>
    </row>
    <row r="13" spans="1:38" x14ac:dyDescent="0.25">
      <c r="A13" s="5" t="s">
        <v>39</v>
      </c>
      <c r="B13" s="5" t="s">
        <v>0</v>
      </c>
      <c r="C13" s="5" t="str">
        <f t="shared" si="0"/>
        <v>description,dailCompDescArcanist11,</v>
      </c>
      <c r="D13" s="5" t="str">
        <f t="shared" si="2"/>
        <v>itemText,dailCompTextArcanist11,</v>
      </c>
      <c r="E13" s="5" t="str">
        <f t="shared" si="14"/>
        <v>augmentSkillLevel1,1,</v>
      </c>
      <c r="F13" s="5" t="str">
        <f t="shared" si="15"/>
        <v>augmentSkillName1,records/skills/playerclass05/nullification.dbr,</v>
      </c>
      <c r="G13" s="7">
        <f t="shared" si="10"/>
        <v>11</v>
      </c>
      <c r="H13" s="8" t="str">
        <f t="shared" si="11"/>
        <v>Arcanist</v>
      </c>
      <c r="I13" s="3" t="s">
        <v>134</v>
      </c>
      <c r="J13" s="8" t="str">
        <f t="shared" si="12"/>
        <v>class0005</v>
      </c>
      <c r="K13" s="8" t="str">
        <f t="shared" si="12"/>
        <v>dailoneskill0005</v>
      </c>
      <c r="L13" s="5" t="str">
        <f t="shared" si="4"/>
        <v>lootName11,DAIL/items/materia/class0005/Arcanist11.dbr,</v>
      </c>
      <c r="M13" s="5" t="str">
        <f t="shared" si="5"/>
        <v>lootWeight11,1,</v>
      </c>
      <c r="N13" t="str">
        <f t="shared" si="6"/>
        <v>1</v>
      </c>
      <c r="O13" t="str">
        <f t="shared" si="16"/>
        <v>copy .\dail_base.dbr .\items\materia\class0005\Arcanist11.dbr /y</v>
      </c>
      <c r="P13" t="str">
        <f t="shared" si="7"/>
        <v>echo relicBitmap,items/craftingparts/components/component_a52_bristlyfur_b.tex, &gt;&gt; .\items\materia\class0005\Arcanist11.dbr</v>
      </c>
      <c r="Q13" t="str">
        <f t="shared" si="1"/>
        <v>echo itemCost,100000, &gt;&gt; .\items\materia\class0005\Arcanist11.dbr</v>
      </c>
      <c r="R13" t="str">
        <f t="shared" si="1"/>
        <v>echo description,dailCompDescArcanist11, &gt;&gt; .\items\materia\class0005\Arcanist11.dbr</v>
      </c>
      <c r="S13" t="str">
        <f t="shared" si="1"/>
        <v>echo itemText,dailCompTextArcanist11, &gt;&gt; .\items\materia\class0005\Arcanist11.dbr</v>
      </c>
      <c r="T13" t="str">
        <f t="shared" si="1"/>
        <v>echo augmentSkillLevel1,1, &gt;&gt; .\items\materia\class0005\Arcanist11.dbr</v>
      </c>
      <c r="U13" t="str">
        <f t="shared" si="1"/>
        <v>echo augmentSkillName1,records/skills/playerclass05/nullification.dbr, &gt;&gt; .\items\materia\class0005\Arcanist11.dbr</v>
      </c>
      <c r="V13" s="5" t="s">
        <v>36</v>
      </c>
      <c r="W13" t="str">
        <f t="shared" si="8"/>
        <v>echo lootName11,DAIL/items/materia/class0005/Arcanist11.dbr, &gt;&gt; .\items\loottables\dailoneskill0005.dbr</v>
      </c>
      <c r="X13" t="str">
        <f t="shared" si="8"/>
        <v>echo lootWeight11,1, &gt;&gt; .\items\loottables\dailoneskill0005.dbr</v>
      </c>
      <c r="Y13" s="5" t="s">
        <v>36</v>
      </c>
      <c r="Z13" t="str">
        <f t="shared" si="9"/>
        <v xml:space="preserve"> dailCompDescArcanist11=^pArcanist's Gift of DAIL</v>
      </c>
      <c r="AA13" t="str">
        <f t="shared" si="17"/>
        <v>dailCompTextArcanist11=^oThis feels warm to the touch, almost familiar ^w(This component fits into all Jewellery slots including the Belt And Shoulder)</v>
      </c>
      <c r="AB13" s="5" t="s">
        <v>36</v>
      </c>
      <c r="AH13">
        <f t="shared" si="19"/>
        <v>8</v>
      </c>
      <c r="AI13">
        <f t="shared" si="13"/>
        <v>32</v>
      </c>
      <c r="AJ13">
        <f t="shared" si="18"/>
        <v>1</v>
      </c>
    </row>
    <row r="14" spans="1:38" x14ac:dyDescent="0.25">
      <c r="A14" s="5" t="s">
        <v>39</v>
      </c>
      <c r="B14" s="5" t="s">
        <v>0</v>
      </c>
      <c r="C14" s="5" t="str">
        <f t="shared" si="0"/>
        <v>description,dailCompDescArcanist12,</v>
      </c>
      <c r="D14" s="5" t="str">
        <f t="shared" si="2"/>
        <v>itemText,dailCompTextArcanist12,</v>
      </c>
      <c r="E14" s="5" t="str">
        <f t="shared" si="14"/>
        <v>augmentSkillLevel1,1,</v>
      </c>
      <c r="F14" s="5" t="str">
        <f t="shared" si="15"/>
        <v>augmentSkillName1,records/skills/playerclass05/elementalinfusion1.dbr,</v>
      </c>
      <c r="G14" s="7">
        <f t="shared" si="10"/>
        <v>12</v>
      </c>
      <c r="H14" s="8" t="str">
        <f t="shared" si="11"/>
        <v>Arcanist</v>
      </c>
      <c r="I14" s="3" t="s">
        <v>132</v>
      </c>
      <c r="J14" s="8" t="str">
        <f t="shared" si="12"/>
        <v>class0005</v>
      </c>
      <c r="K14" s="8" t="str">
        <f t="shared" si="12"/>
        <v>dailoneskill0005</v>
      </c>
      <c r="L14" s="5" t="str">
        <f t="shared" si="4"/>
        <v>lootName12,DAIL/items/materia/class0005/Arcanist12.dbr,</v>
      </c>
      <c r="M14" s="5" t="str">
        <f t="shared" si="5"/>
        <v>lootWeight12,1,</v>
      </c>
      <c r="N14" t="str">
        <f t="shared" si="6"/>
        <v>1</v>
      </c>
      <c r="O14" t="str">
        <f t="shared" si="16"/>
        <v>copy .\dail_base.dbr .\items\materia\class0005\Arcanist12.dbr /y</v>
      </c>
      <c r="P14" t="str">
        <f t="shared" si="7"/>
        <v>echo relicBitmap,items/craftingparts/components/component_a52_bristlyfur_b.tex, &gt;&gt; .\items\materia\class0005\Arcanist12.dbr</v>
      </c>
      <c r="Q14" t="str">
        <f t="shared" si="1"/>
        <v>echo itemCost,100000, &gt;&gt; .\items\materia\class0005\Arcanist12.dbr</v>
      </c>
      <c r="R14" t="str">
        <f t="shared" si="1"/>
        <v>echo description,dailCompDescArcanist12, &gt;&gt; .\items\materia\class0005\Arcanist12.dbr</v>
      </c>
      <c r="S14" t="str">
        <f t="shared" si="1"/>
        <v>echo itemText,dailCompTextArcanist12, &gt;&gt; .\items\materia\class0005\Arcanist12.dbr</v>
      </c>
      <c r="T14" t="str">
        <f t="shared" si="1"/>
        <v>echo augmentSkillLevel1,1, &gt;&gt; .\items\materia\class0005\Arcanist12.dbr</v>
      </c>
      <c r="U14" t="str">
        <f t="shared" si="1"/>
        <v>echo augmentSkillName1,records/skills/playerclass05/elementalinfusion1.dbr, &gt;&gt; .\items\materia\class0005\Arcanist12.dbr</v>
      </c>
      <c r="V14" s="5" t="s">
        <v>36</v>
      </c>
      <c r="W14" t="str">
        <f t="shared" si="8"/>
        <v>echo lootName12,DAIL/items/materia/class0005/Arcanist12.dbr, &gt;&gt; .\items\loottables\dailoneskill0005.dbr</v>
      </c>
      <c r="X14" t="str">
        <f t="shared" si="8"/>
        <v>echo lootWeight12,1, &gt;&gt; .\items\loottables\dailoneskill0005.dbr</v>
      </c>
      <c r="Y14" s="5" t="s">
        <v>36</v>
      </c>
      <c r="Z14" t="str">
        <f t="shared" si="9"/>
        <v xml:space="preserve"> dailCompDescArcanist12=^pArcanist's Gift of DAIL</v>
      </c>
      <c r="AA14" t="str">
        <f t="shared" si="17"/>
        <v>dailCompTextArcanist12=^oThis feels warm to the touch, almost familiar ^w(This component fits into all Jewellery slots including the Belt And Shoulder)</v>
      </c>
      <c r="AB14" s="5" t="s">
        <v>36</v>
      </c>
      <c r="AH14">
        <f t="shared" si="19"/>
        <v>9</v>
      </c>
      <c r="AI14">
        <f t="shared" si="13"/>
        <v>37</v>
      </c>
      <c r="AJ14">
        <f t="shared" si="18"/>
        <v>1</v>
      </c>
    </row>
    <row r="15" spans="1:38" x14ac:dyDescent="0.25">
      <c r="A15" s="5" t="s">
        <v>39</v>
      </c>
      <c r="B15" s="5" t="s">
        <v>0</v>
      </c>
      <c r="C15" s="5" t="str">
        <f t="shared" si="0"/>
        <v>description,dailCompDescArcanist13,</v>
      </c>
      <c r="D15" s="5" t="str">
        <f t="shared" si="2"/>
        <v>itemText,dailCompTextArcanist13,</v>
      </c>
      <c r="E15" s="5" t="str">
        <f t="shared" si="14"/>
        <v>augmentSkillLevel1,1,</v>
      </c>
      <c r="F15" s="5" t="str">
        <f t="shared" si="15"/>
        <v>augmentSkillName1,records/skills/playerclass05/elementalinfusion2.dbr,</v>
      </c>
      <c r="G15" s="7">
        <f t="shared" si="10"/>
        <v>13</v>
      </c>
      <c r="H15" s="8" t="str">
        <f t="shared" si="11"/>
        <v>Arcanist</v>
      </c>
      <c r="I15" s="3" t="s">
        <v>324</v>
      </c>
      <c r="J15" s="8" t="str">
        <f t="shared" si="12"/>
        <v>class0005</v>
      </c>
      <c r="K15" s="8" t="str">
        <f t="shared" si="12"/>
        <v>dailoneskill0005</v>
      </c>
      <c r="L15" s="5" t="str">
        <f t="shared" si="4"/>
        <v>lootName13,DAIL/items/materia/class0005/Arcanist13.dbr,</v>
      </c>
      <c r="M15" s="5" t="str">
        <f t="shared" si="5"/>
        <v>lootWeight13,1,</v>
      </c>
      <c r="N15" t="str">
        <f t="shared" si="6"/>
        <v>1</v>
      </c>
      <c r="O15" t="str">
        <f t="shared" si="16"/>
        <v>copy .\dail_base.dbr .\items\materia\class0005\Arcanist13.dbr /y</v>
      </c>
      <c r="P15" t="str">
        <f t="shared" si="7"/>
        <v>echo relicBitmap,items/craftingparts/components/component_a52_bristlyfur_b.tex, &gt;&gt; .\items\materia\class0005\Arcanist13.dbr</v>
      </c>
      <c r="Q15" t="str">
        <f t="shared" si="1"/>
        <v>echo itemCost,100000, &gt;&gt; .\items\materia\class0005\Arcanist13.dbr</v>
      </c>
      <c r="R15" t="str">
        <f t="shared" si="1"/>
        <v>echo description,dailCompDescArcanist13, &gt;&gt; .\items\materia\class0005\Arcanist13.dbr</v>
      </c>
      <c r="S15" t="str">
        <f t="shared" si="1"/>
        <v>echo itemText,dailCompTextArcanist13, &gt;&gt; .\items\materia\class0005\Arcanist13.dbr</v>
      </c>
      <c r="T15" t="str">
        <f t="shared" si="1"/>
        <v>echo augmentSkillLevel1,1, &gt;&gt; .\items\materia\class0005\Arcanist13.dbr</v>
      </c>
      <c r="U15" t="str">
        <f t="shared" si="1"/>
        <v>echo augmentSkillName1,records/skills/playerclass05/elementalinfusion2.dbr, &gt;&gt; .\items\materia\class0005\Arcanist13.dbr</v>
      </c>
      <c r="V15" s="5" t="s">
        <v>36</v>
      </c>
      <c r="W15" t="str">
        <f t="shared" si="8"/>
        <v>echo lootName13,DAIL/items/materia/class0005/Arcanist13.dbr, &gt;&gt; .\items\loottables\dailoneskill0005.dbr</v>
      </c>
      <c r="X15" t="str">
        <f t="shared" si="8"/>
        <v>echo lootWeight13,1, &gt;&gt; .\items\loottables\dailoneskill0005.dbr</v>
      </c>
      <c r="Y15" s="5" t="s">
        <v>36</v>
      </c>
      <c r="Z15" t="str">
        <f t="shared" si="9"/>
        <v xml:space="preserve"> dailCompDescArcanist13=^pArcanist's Gift of DAIL</v>
      </c>
      <c r="AA15" t="str">
        <f t="shared" si="17"/>
        <v>dailCompTextArcanist13=^oThis feels warm to the touch, almost familiar ^w(This component fits into all Jewellery slots including the Belt And Shoulder)</v>
      </c>
      <c r="AB15" s="5" t="s">
        <v>36</v>
      </c>
      <c r="AH15">
        <f t="shared" si="19"/>
        <v>10</v>
      </c>
      <c r="AI15">
        <f t="shared" si="13"/>
        <v>37</v>
      </c>
      <c r="AJ15">
        <f t="shared" si="18"/>
        <v>1</v>
      </c>
    </row>
    <row r="16" spans="1:38" x14ac:dyDescent="0.25">
      <c r="A16" s="5" t="s">
        <v>39</v>
      </c>
      <c r="B16" s="5" t="s">
        <v>0</v>
      </c>
      <c r="C16" s="5" t="str">
        <f t="shared" si="0"/>
        <v>description,dailCompDescArcanist14,</v>
      </c>
      <c r="D16" s="5" t="str">
        <f t="shared" si="2"/>
        <v>itemText,dailCompTextArcanist14,</v>
      </c>
      <c r="E16" s="5" t="str">
        <f t="shared" si="14"/>
        <v>augmentSkillLevel1,1,</v>
      </c>
      <c r="F16" s="5" t="str">
        <f t="shared" si="15"/>
        <v>augmentSkillName1,records/skills/playerclass05/chillingsurge.dbr,</v>
      </c>
      <c r="G16" s="7">
        <f t="shared" si="10"/>
        <v>14</v>
      </c>
      <c r="H16" s="8" t="str">
        <f t="shared" si="11"/>
        <v>Arcanist</v>
      </c>
      <c r="I16" s="3" t="s">
        <v>130</v>
      </c>
      <c r="J16" s="8" t="str">
        <f t="shared" si="12"/>
        <v>class0005</v>
      </c>
      <c r="K16" s="8" t="str">
        <f t="shared" si="12"/>
        <v>dailoneskill0005</v>
      </c>
      <c r="L16" s="5" t="str">
        <f t="shared" si="4"/>
        <v>lootName14,DAIL/items/materia/class0005/Arcanist14.dbr,</v>
      </c>
      <c r="M16" s="5" t="str">
        <f t="shared" si="5"/>
        <v>lootWeight14,1,</v>
      </c>
      <c r="N16" t="str">
        <f t="shared" si="6"/>
        <v>1</v>
      </c>
      <c r="O16" t="str">
        <f t="shared" si="16"/>
        <v>copy .\dail_base.dbr .\items\materia\class0005\Arcanist14.dbr /y</v>
      </c>
      <c r="P16" t="str">
        <f t="shared" si="7"/>
        <v>echo relicBitmap,items/craftingparts/components/component_a52_bristlyfur_b.tex, &gt;&gt; .\items\materia\class0005\Arcanist14.dbr</v>
      </c>
      <c r="Q16" t="str">
        <f t="shared" si="1"/>
        <v>echo itemCost,100000, &gt;&gt; .\items\materia\class0005\Arcanist14.dbr</v>
      </c>
      <c r="R16" t="str">
        <f t="shared" si="1"/>
        <v>echo description,dailCompDescArcanist14, &gt;&gt; .\items\materia\class0005\Arcanist14.dbr</v>
      </c>
      <c r="S16" t="str">
        <f t="shared" si="1"/>
        <v>echo itemText,dailCompTextArcanist14, &gt;&gt; .\items\materia\class0005\Arcanist14.dbr</v>
      </c>
      <c r="T16" t="str">
        <f t="shared" si="1"/>
        <v>echo augmentSkillLevel1,1, &gt;&gt; .\items\materia\class0005\Arcanist14.dbr</v>
      </c>
      <c r="U16" t="str">
        <f t="shared" si="1"/>
        <v>echo augmentSkillName1,records/skills/playerclass05/chillingsurge.dbr, &gt;&gt; .\items\materia\class0005\Arcanist14.dbr</v>
      </c>
      <c r="V16" s="5" t="s">
        <v>36</v>
      </c>
      <c r="W16" t="str">
        <f t="shared" si="8"/>
        <v>echo lootName14,DAIL/items/materia/class0005/Arcanist14.dbr, &gt;&gt; .\items\loottables\dailoneskill0005.dbr</v>
      </c>
      <c r="X16" t="str">
        <f t="shared" si="8"/>
        <v>echo lootWeight14,1, &gt;&gt; .\items\loottables\dailoneskill0005.dbr</v>
      </c>
      <c r="Y16" s="5" t="s">
        <v>36</v>
      </c>
      <c r="Z16" t="str">
        <f t="shared" si="9"/>
        <v xml:space="preserve"> dailCompDescArcanist14=^pArcanist's Gift of DAIL</v>
      </c>
      <c r="AA16" t="str">
        <f t="shared" si="17"/>
        <v>dailCompTextArcanist14=^oThis feels warm to the touch, almost familiar ^w(This component fits into all Jewellery slots including the Belt And Shoulder)</v>
      </c>
      <c r="AB16" s="5" t="s">
        <v>36</v>
      </c>
      <c r="AH16">
        <f t="shared" si="19"/>
        <v>11</v>
      </c>
      <c r="AI16">
        <f t="shared" si="13"/>
        <v>32</v>
      </c>
      <c r="AJ16">
        <f t="shared" si="18"/>
        <v>1</v>
      </c>
    </row>
    <row r="17" spans="1:36" x14ac:dyDescent="0.25">
      <c r="A17" s="5" t="s">
        <v>39</v>
      </c>
      <c r="B17" s="5" t="s">
        <v>0</v>
      </c>
      <c r="C17" s="5" t="str">
        <f t="shared" si="0"/>
        <v>description,dailCompDescArcanist15,</v>
      </c>
      <c r="D17" s="5" t="str">
        <f t="shared" si="2"/>
        <v>itemText,dailCompTextArcanist15,</v>
      </c>
      <c r="E17" s="5" t="str">
        <f t="shared" si="14"/>
        <v>augmentSkillLevel1,1,</v>
      </c>
      <c r="F17" s="5" t="str">
        <f t="shared" si="15"/>
        <v>augmentSkillName1,records/skills/playerclass05/elementalinfusion3.dbr,</v>
      </c>
      <c r="G17" s="7">
        <f t="shared" si="10"/>
        <v>15</v>
      </c>
      <c r="H17" s="8" t="str">
        <f t="shared" si="11"/>
        <v>Arcanist</v>
      </c>
      <c r="I17" s="3" t="s">
        <v>325</v>
      </c>
      <c r="J17" s="8" t="str">
        <f t="shared" si="12"/>
        <v>class0005</v>
      </c>
      <c r="K17" s="8" t="str">
        <f t="shared" si="12"/>
        <v>dailoneskill0005</v>
      </c>
      <c r="L17" s="5" t="str">
        <f t="shared" si="4"/>
        <v>lootName15,DAIL/items/materia/class0005/Arcanist15.dbr,</v>
      </c>
      <c r="M17" s="5" t="str">
        <f t="shared" si="5"/>
        <v>lootWeight15,1,</v>
      </c>
      <c r="N17" t="str">
        <f t="shared" si="6"/>
        <v>1</v>
      </c>
      <c r="O17" t="str">
        <f t="shared" si="16"/>
        <v>copy .\dail_base.dbr .\items\materia\class0005\Arcanist15.dbr /y</v>
      </c>
      <c r="P17" t="str">
        <f t="shared" si="7"/>
        <v>echo relicBitmap,items/craftingparts/components/component_a52_bristlyfur_b.tex, &gt;&gt; .\items\materia\class0005\Arcanist15.dbr</v>
      </c>
      <c r="Q17" t="str">
        <f t="shared" si="1"/>
        <v>echo itemCost,100000, &gt;&gt; .\items\materia\class0005\Arcanist15.dbr</v>
      </c>
      <c r="R17" t="str">
        <f t="shared" si="1"/>
        <v>echo description,dailCompDescArcanist15, &gt;&gt; .\items\materia\class0005\Arcanist15.dbr</v>
      </c>
      <c r="S17" t="str">
        <f t="shared" si="1"/>
        <v>echo itemText,dailCompTextArcanist15, &gt;&gt; .\items\materia\class0005\Arcanist15.dbr</v>
      </c>
      <c r="T17" t="str">
        <f t="shared" si="1"/>
        <v>echo augmentSkillLevel1,1, &gt;&gt; .\items\materia\class0005\Arcanist15.dbr</v>
      </c>
      <c r="U17" t="str">
        <f t="shared" si="1"/>
        <v>echo augmentSkillName1,records/skills/playerclass05/elementalinfusion3.dbr, &gt;&gt; .\items\materia\class0005\Arcanist15.dbr</v>
      </c>
      <c r="V17" s="5" t="s">
        <v>36</v>
      </c>
      <c r="W17" t="str">
        <f t="shared" si="8"/>
        <v>echo lootName15,DAIL/items/materia/class0005/Arcanist15.dbr, &gt;&gt; .\items\loottables\dailoneskill0005.dbr</v>
      </c>
      <c r="X17" t="str">
        <f t="shared" si="8"/>
        <v>echo lootWeight15,1, &gt;&gt; .\items\loottables\dailoneskill0005.dbr</v>
      </c>
      <c r="Y17" s="5" t="s">
        <v>36</v>
      </c>
      <c r="Z17" t="str">
        <f t="shared" si="9"/>
        <v xml:space="preserve"> dailCompDescArcanist15=^pArcanist's Gift of DAIL</v>
      </c>
      <c r="AA17" t="str">
        <f t="shared" si="17"/>
        <v>dailCompTextArcanist15=^oThis feels warm to the touch, almost familiar ^w(This component fits into all Jewellery slots including the Belt And Shoulder)</v>
      </c>
      <c r="AB17" s="5" t="s">
        <v>36</v>
      </c>
      <c r="AH17">
        <f t="shared" si="19"/>
        <v>12</v>
      </c>
      <c r="AI17">
        <f t="shared" si="13"/>
        <v>37</v>
      </c>
      <c r="AJ17">
        <f t="shared" si="18"/>
        <v>1</v>
      </c>
    </row>
    <row r="18" spans="1:36" x14ac:dyDescent="0.25">
      <c r="A18" s="5" t="s">
        <v>39</v>
      </c>
      <c r="B18" s="5" t="s">
        <v>0</v>
      </c>
      <c r="C18" s="5" t="str">
        <f t="shared" si="0"/>
        <v>description,dailCompDescArcanist16,</v>
      </c>
      <c r="D18" s="5" t="str">
        <f t="shared" si="2"/>
        <v>itemText,dailCompTextArcanist16,</v>
      </c>
      <c r="E18" s="5" t="str">
        <f t="shared" si="14"/>
        <v>augmentSkillLevel1,1,</v>
      </c>
      <c r="F18" s="5" t="str">
        <f t="shared" si="15"/>
        <v>augmentSkillName1,records/skills/playerclass05/elementalinfusion1b.dbr,</v>
      </c>
      <c r="G18" s="7">
        <f t="shared" si="10"/>
        <v>16</v>
      </c>
      <c r="H18" s="8" t="str">
        <f t="shared" si="11"/>
        <v>Arcanist</v>
      </c>
      <c r="I18" s="3" t="s">
        <v>326</v>
      </c>
      <c r="J18" s="8" t="str">
        <f t="shared" si="12"/>
        <v>class0005</v>
      </c>
      <c r="K18" s="8" t="str">
        <f t="shared" si="12"/>
        <v>dailoneskill0005</v>
      </c>
      <c r="L18" s="5" t="str">
        <f t="shared" si="4"/>
        <v>lootName16,DAIL/items/materia/class0005/Arcanist16.dbr,</v>
      </c>
      <c r="M18" s="5" t="str">
        <f t="shared" si="5"/>
        <v>lootWeight16,1,</v>
      </c>
      <c r="N18" t="str">
        <f t="shared" si="6"/>
        <v>1</v>
      </c>
      <c r="O18" t="str">
        <f t="shared" si="16"/>
        <v>copy .\dail_base.dbr .\items\materia\class0005\Arcanist16.dbr /y</v>
      </c>
      <c r="P18" t="str">
        <f t="shared" si="7"/>
        <v>echo relicBitmap,items/craftingparts/components/component_a52_bristlyfur_b.tex, &gt;&gt; .\items\materia\class0005\Arcanist16.dbr</v>
      </c>
      <c r="Q18" t="str">
        <f t="shared" si="1"/>
        <v>echo itemCost,100000, &gt;&gt; .\items\materia\class0005\Arcanist16.dbr</v>
      </c>
      <c r="R18" t="str">
        <f t="shared" si="1"/>
        <v>echo description,dailCompDescArcanist16, &gt;&gt; .\items\materia\class0005\Arcanist16.dbr</v>
      </c>
      <c r="S18" t="str">
        <f t="shared" si="1"/>
        <v>echo itemText,dailCompTextArcanist16, &gt;&gt; .\items\materia\class0005\Arcanist16.dbr</v>
      </c>
      <c r="T18" t="str">
        <f t="shared" si="1"/>
        <v>echo augmentSkillLevel1,1, &gt;&gt; .\items\materia\class0005\Arcanist16.dbr</v>
      </c>
      <c r="U18" t="str">
        <f t="shared" si="1"/>
        <v>echo augmentSkillName1,records/skills/playerclass05/elementalinfusion1b.dbr, &gt;&gt; .\items\materia\class0005\Arcanist16.dbr</v>
      </c>
      <c r="V18" s="5" t="s">
        <v>36</v>
      </c>
      <c r="W18" t="str">
        <f t="shared" si="8"/>
        <v>echo lootName16,DAIL/items/materia/class0005/Arcanist16.dbr, &gt;&gt; .\items\loottables\dailoneskill0005.dbr</v>
      </c>
      <c r="X18" t="str">
        <f t="shared" si="8"/>
        <v>echo lootWeight16,1, &gt;&gt; .\items\loottables\dailoneskill0005.dbr</v>
      </c>
      <c r="Y18" s="5" t="s">
        <v>36</v>
      </c>
      <c r="Z18" t="str">
        <f t="shared" si="9"/>
        <v xml:space="preserve"> dailCompDescArcanist16=^pArcanist's Gift of DAIL</v>
      </c>
      <c r="AA18" t="str">
        <f t="shared" si="17"/>
        <v>dailCompTextArcanist16=^oThis feels warm to the touch, almost familiar ^w(This component fits into all Jewellery slots including the Belt And Shoulder)</v>
      </c>
      <c r="AB18" s="5" t="s">
        <v>36</v>
      </c>
      <c r="AH18">
        <f t="shared" si="19"/>
        <v>13</v>
      </c>
      <c r="AI18">
        <f t="shared" si="13"/>
        <v>38</v>
      </c>
      <c r="AJ18">
        <f t="shared" si="18"/>
        <v>1</v>
      </c>
    </row>
    <row r="19" spans="1:36" x14ac:dyDescent="0.25">
      <c r="A19" s="5" t="s">
        <v>39</v>
      </c>
      <c r="B19" s="5" t="s">
        <v>28</v>
      </c>
      <c r="C19" s="5" t="str">
        <f t="shared" si="0"/>
        <v>description,dailCompDescArcanist17,</v>
      </c>
      <c r="D19" s="5" t="str">
        <f t="shared" si="2"/>
        <v>itemText,dailCompTextArcanist17,</v>
      </c>
      <c r="E19" s="5" t="str">
        <f t="shared" si="14"/>
        <v>augmentSkillLevel1,1,</v>
      </c>
      <c r="F19" s="5" t="str">
        <f t="shared" si="15"/>
        <v>augmentSkillName1,records/skills/playerclass05/razorwind1.dbr,</v>
      </c>
      <c r="G19" s="7">
        <f t="shared" si="10"/>
        <v>17</v>
      </c>
      <c r="H19" s="8" t="str">
        <f t="shared" si="11"/>
        <v>Arcanist</v>
      </c>
      <c r="I19" s="3" t="s">
        <v>135</v>
      </c>
      <c r="J19" s="8" t="str">
        <f t="shared" si="12"/>
        <v>class0005</v>
      </c>
      <c r="K19" s="8" t="str">
        <f t="shared" si="12"/>
        <v>dailoneskill0005</v>
      </c>
      <c r="L19" s="5" t="str">
        <f t="shared" si="4"/>
        <v>lootName17,DAIL/items/materia/class0005/Arcanist17.dbr,</v>
      </c>
      <c r="M19" s="5" t="str">
        <f t="shared" si="5"/>
        <v>lootWeight17,1,</v>
      </c>
      <c r="N19" t="str">
        <f t="shared" si="6"/>
        <v>1</v>
      </c>
      <c r="O19" t="str">
        <f t="shared" si="16"/>
        <v>copy .\dail_base.dbr .\items\materia\class0005\Arcanist17.dbr /y</v>
      </c>
      <c r="P19" t="str">
        <f t="shared" si="7"/>
        <v>echo relicBitmap,items/craftingparts/components/component_a52_bristlyfur_b.tex, &gt;&gt; .\items\materia\class0005\Arcanist17.dbr</v>
      </c>
      <c r="Q19" t="str">
        <f t="shared" si="7"/>
        <v>echo itemCost,300000, &gt;&gt; .\items\materia\class0005\Arcanist17.dbr</v>
      </c>
      <c r="R19" t="str">
        <f t="shared" si="7"/>
        <v>echo description,dailCompDescArcanist17, &gt;&gt; .\items\materia\class0005\Arcanist17.dbr</v>
      </c>
      <c r="S19" t="str">
        <f t="shared" si="7"/>
        <v>echo itemText,dailCompTextArcanist17, &gt;&gt; .\items\materia\class0005\Arcanist17.dbr</v>
      </c>
      <c r="T19" t="str">
        <f t="shared" si="7"/>
        <v>echo augmentSkillLevel1,1, &gt;&gt; .\items\materia\class0005\Arcanist17.dbr</v>
      </c>
      <c r="U19" t="str">
        <f t="shared" si="7"/>
        <v>echo augmentSkillName1,records/skills/playerclass05/razorwind1.dbr, &gt;&gt; .\items\materia\class0005\Arcanist17.dbr</v>
      </c>
      <c r="V19" s="5" t="s">
        <v>36</v>
      </c>
      <c r="W19" t="str">
        <f t="shared" si="8"/>
        <v>echo lootName17,DAIL/items/materia/class0005/Arcanist17.dbr, &gt;&gt; .\items\loottables\dailoneskill0005.dbr</v>
      </c>
      <c r="X19" t="str">
        <f t="shared" si="8"/>
        <v>echo lootWeight17,1, &gt;&gt; .\items\loottables\dailoneskill0005.dbr</v>
      </c>
      <c r="Y19" s="5" t="s">
        <v>36</v>
      </c>
      <c r="Z19" t="str">
        <f t="shared" si="9"/>
        <v xml:space="preserve"> dailCompDescArcanist17=^pArcanist's Gift of DAIL</v>
      </c>
      <c r="AA19" t="str">
        <f t="shared" si="17"/>
        <v>dailCompTextArcanist17=^oThis feels warm to the touch, almost familiar ^w(This component fits into all Jewellery slots including the Belt And Shoulder)</v>
      </c>
      <c r="AB19" s="5" t="s">
        <v>36</v>
      </c>
      <c r="AH19">
        <f t="shared" si="19"/>
        <v>14</v>
      </c>
      <c r="AI19">
        <f t="shared" si="13"/>
        <v>29</v>
      </c>
      <c r="AJ19">
        <f t="shared" si="18"/>
        <v>1</v>
      </c>
    </row>
    <row r="20" spans="1:36" x14ac:dyDescent="0.25">
      <c r="A20" s="5" t="s">
        <v>39</v>
      </c>
      <c r="B20" s="5" t="s">
        <v>28</v>
      </c>
      <c r="C20" s="5" t="str">
        <f t="shared" si="0"/>
        <v>description,dailCompDescArcanist18,</v>
      </c>
      <c r="D20" s="5" t="str">
        <f t="shared" si="2"/>
        <v>itemText,dailCompTextArcanist18,</v>
      </c>
      <c r="E20" s="5" t="str">
        <f t="shared" si="14"/>
        <v>augmentSkillLevel1,1,</v>
      </c>
      <c r="F20" s="5" t="str">
        <f t="shared" si="15"/>
        <v>augmentSkillName1,records/skills/playerclass05/razorwind2.dbr,</v>
      </c>
      <c r="G20" s="7">
        <f t="shared" si="10"/>
        <v>18</v>
      </c>
      <c r="H20" s="8" t="str">
        <f t="shared" si="11"/>
        <v>Arcanist</v>
      </c>
      <c r="I20" s="3" t="s">
        <v>327</v>
      </c>
      <c r="J20" s="8" t="str">
        <f t="shared" si="12"/>
        <v>class0005</v>
      </c>
      <c r="K20" s="8" t="str">
        <f t="shared" si="12"/>
        <v>dailoneskill0005</v>
      </c>
      <c r="L20" s="5" t="str">
        <f t="shared" si="4"/>
        <v>lootName18,DAIL/items/materia/class0005/Arcanist18.dbr,</v>
      </c>
      <c r="M20" s="5" t="str">
        <f t="shared" si="5"/>
        <v>lootWeight18,1,</v>
      </c>
      <c r="N20" t="str">
        <f t="shared" si="6"/>
        <v>1</v>
      </c>
      <c r="O20" t="str">
        <f t="shared" si="16"/>
        <v>copy .\dail_base.dbr .\items\materia\class0005\Arcanist18.dbr /y</v>
      </c>
      <c r="P20" t="str">
        <f t="shared" si="7"/>
        <v>echo relicBitmap,items/craftingparts/components/component_a52_bristlyfur_b.tex, &gt;&gt; .\items\materia\class0005\Arcanist18.dbr</v>
      </c>
      <c r="Q20" t="str">
        <f t="shared" si="7"/>
        <v>echo itemCost,300000, &gt;&gt; .\items\materia\class0005\Arcanist18.dbr</v>
      </c>
      <c r="R20" t="str">
        <f t="shared" si="7"/>
        <v>echo description,dailCompDescArcanist18, &gt;&gt; .\items\materia\class0005\Arcanist18.dbr</v>
      </c>
      <c r="S20" t="str">
        <f t="shared" si="7"/>
        <v>echo itemText,dailCompTextArcanist18, &gt;&gt; .\items\materia\class0005\Arcanist18.dbr</v>
      </c>
      <c r="T20" t="str">
        <f t="shared" si="7"/>
        <v>echo augmentSkillLevel1,1, &gt;&gt; .\items\materia\class0005\Arcanist18.dbr</v>
      </c>
      <c r="U20" t="str">
        <f t="shared" si="7"/>
        <v>echo augmentSkillName1,records/skills/playerclass05/razorwind2.dbr, &gt;&gt; .\items\materia\class0005\Arcanist18.dbr</v>
      </c>
      <c r="V20" s="5" t="s">
        <v>36</v>
      </c>
      <c r="W20" t="str">
        <f t="shared" si="8"/>
        <v>echo lootName18,DAIL/items/materia/class0005/Arcanist18.dbr, &gt;&gt; .\items\loottables\dailoneskill0005.dbr</v>
      </c>
      <c r="X20" t="str">
        <f t="shared" si="8"/>
        <v>echo lootWeight18,1, &gt;&gt; .\items\loottables\dailoneskill0005.dbr</v>
      </c>
      <c r="Y20" s="5" t="s">
        <v>36</v>
      </c>
      <c r="Z20" t="str">
        <f t="shared" si="9"/>
        <v xml:space="preserve"> dailCompDescArcanist18=^pArcanist's Gift of DAIL</v>
      </c>
      <c r="AA20" t="str">
        <f t="shared" si="17"/>
        <v>dailCompTextArcanist18=^oThis feels warm to the touch, almost familiar ^w(This component fits into all Jewellery slots including the Belt And Shoulder)</v>
      </c>
      <c r="AB20" s="5" t="s">
        <v>36</v>
      </c>
      <c r="AH20">
        <f t="shared" si="19"/>
        <v>15</v>
      </c>
      <c r="AI20">
        <f t="shared" si="13"/>
        <v>29</v>
      </c>
      <c r="AJ20">
        <f t="shared" si="18"/>
        <v>1</v>
      </c>
    </row>
    <row r="21" spans="1:36" x14ac:dyDescent="0.25">
      <c r="A21" s="5" t="s">
        <v>39</v>
      </c>
      <c r="B21" s="5" t="s">
        <v>28</v>
      </c>
      <c r="C21" s="5" t="str">
        <f t="shared" si="0"/>
        <v>description,dailCompDescArcanist19,</v>
      </c>
      <c r="D21" s="5" t="str">
        <f t="shared" si="2"/>
        <v>itemText,dailCompTextArcanist19,</v>
      </c>
      <c r="E21" s="5" t="str">
        <f t="shared" si="14"/>
        <v>augmentSkillLevel1,1,</v>
      </c>
      <c r="F21" s="5" t="str">
        <f t="shared" si="15"/>
        <v>augmentSkillName1,records/skills/playerclass05/razorwind1b.dbr,</v>
      </c>
      <c r="G21" s="7">
        <f t="shared" si="10"/>
        <v>19</v>
      </c>
      <c r="H21" s="8" t="str">
        <f t="shared" si="11"/>
        <v>Arcanist</v>
      </c>
      <c r="I21" s="3" t="s">
        <v>328</v>
      </c>
      <c r="J21" s="8" t="str">
        <f t="shared" ref="J21:K36" si="20">J20</f>
        <v>class0005</v>
      </c>
      <c r="K21" s="8" t="str">
        <f t="shared" si="20"/>
        <v>dailoneskill0005</v>
      </c>
      <c r="L21" s="5" t="str">
        <f t="shared" si="4"/>
        <v>lootName19,DAIL/items/materia/class0005/Arcanist19.dbr,</v>
      </c>
      <c r="M21" s="5" t="str">
        <f t="shared" si="5"/>
        <v>lootWeight19,1,</v>
      </c>
      <c r="N21" t="str">
        <f t="shared" si="6"/>
        <v>1</v>
      </c>
      <c r="O21" t="str">
        <f t="shared" si="16"/>
        <v>copy .\dail_base.dbr .\items\materia\class0005\Arcanist19.dbr /y</v>
      </c>
      <c r="P21" t="str">
        <f t="shared" si="7"/>
        <v>echo relicBitmap,items/craftingparts/components/component_a52_bristlyfur_b.tex, &gt;&gt; .\items\materia\class0005\Arcanist19.dbr</v>
      </c>
      <c r="Q21" t="str">
        <f t="shared" si="7"/>
        <v>echo itemCost,300000, &gt;&gt; .\items\materia\class0005\Arcanist19.dbr</v>
      </c>
      <c r="R21" t="str">
        <f t="shared" si="7"/>
        <v>echo description,dailCompDescArcanist19, &gt;&gt; .\items\materia\class0005\Arcanist19.dbr</v>
      </c>
      <c r="S21" t="str">
        <f t="shared" si="7"/>
        <v>echo itemText,dailCompTextArcanist19, &gt;&gt; .\items\materia\class0005\Arcanist19.dbr</v>
      </c>
      <c r="T21" t="str">
        <f t="shared" si="7"/>
        <v>echo augmentSkillLevel1,1, &gt;&gt; .\items\materia\class0005\Arcanist19.dbr</v>
      </c>
      <c r="U21" t="str">
        <f t="shared" si="7"/>
        <v>echo augmentSkillName1,records/skills/playerclass05/razorwind1b.dbr, &gt;&gt; .\items\materia\class0005\Arcanist19.dbr</v>
      </c>
      <c r="V21" s="5" t="s">
        <v>36</v>
      </c>
      <c r="W21" t="str">
        <f t="shared" si="8"/>
        <v>echo lootName19,DAIL/items/materia/class0005/Arcanist19.dbr, &gt;&gt; .\items\loottables\dailoneskill0005.dbr</v>
      </c>
      <c r="X21" t="str">
        <f t="shared" si="8"/>
        <v>echo lootWeight19,1, &gt;&gt; .\items\loottables\dailoneskill0005.dbr</v>
      </c>
      <c r="Y21" s="5" t="s">
        <v>36</v>
      </c>
      <c r="Z21" t="str">
        <f t="shared" si="9"/>
        <v xml:space="preserve"> dailCompDescArcanist19=^pArcanist's Gift of DAIL</v>
      </c>
      <c r="AA21" t="str">
        <f t="shared" si="17"/>
        <v>dailCompTextArcanist19=^oThis feels warm to the touch, almost familiar ^w(This component fits into all Jewellery slots including the Belt And Shoulder)</v>
      </c>
      <c r="AB21" s="5" t="s">
        <v>36</v>
      </c>
      <c r="AH21">
        <f t="shared" si="19"/>
        <v>16</v>
      </c>
      <c r="AI21">
        <f t="shared" si="13"/>
        <v>30</v>
      </c>
      <c r="AJ21">
        <f t="shared" si="18"/>
        <v>1</v>
      </c>
    </row>
    <row r="22" spans="1:36" x14ac:dyDescent="0.25">
      <c r="A22" s="5" t="s">
        <v>39</v>
      </c>
      <c r="B22" s="5" t="s">
        <v>28</v>
      </c>
      <c r="C22" s="5" t="str">
        <f t="shared" si="0"/>
        <v>description,dailCompDescArcanist20,</v>
      </c>
      <c r="D22" s="5" t="str">
        <f t="shared" si="2"/>
        <v>itemText,dailCompTextArcanist20,</v>
      </c>
      <c r="E22" s="5" t="str">
        <f t="shared" si="14"/>
        <v>augmentSkillLevel1,1,</v>
      </c>
      <c r="F22" s="5" t="str">
        <f t="shared" si="15"/>
        <v>augmentSkillName1,records/skills/playerclass05/arcanemissile.dbr,</v>
      </c>
      <c r="G22" s="7">
        <f t="shared" si="10"/>
        <v>20</v>
      </c>
      <c r="H22" s="8" t="str">
        <f t="shared" si="11"/>
        <v>Arcanist</v>
      </c>
      <c r="I22" s="3" t="s">
        <v>128</v>
      </c>
      <c r="J22" s="8" t="str">
        <f t="shared" si="20"/>
        <v>class0005</v>
      </c>
      <c r="K22" s="8" t="str">
        <f t="shared" si="20"/>
        <v>dailoneskill0005</v>
      </c>
      <c r="L22" s="5" t="str">
        <f t="shared" si="4"/>
        <v>lootName20,DAIL/items/materia/class0005/Arcanist20.dbr,</v>
      </c>
      <c r="M22" s="5" t="str">
        <f t="shared" si="5"/>
        <v>lootWeight20,1,</v>
      </c>
      <c r="N22" t="str">
        <f t="shared" si="6"/>
        <v>1</v>
      </c>
      <c r="O22" t="str">
        <f t="shared" si="16"/>
        <v>copy .\dail_base.dbr .\items\materia\class0005\Arcanist20.dbr /y</v>
      </c>
      <c r="P22" t="str">
        <f t="shared" si="7"/>
        <v>echo relicBitmap,items/craftingparts/components/component_a52_bristlyfur_b.tex, &gt;&gt; .\items\materia\class0005\Arcanist20.dbr</v>
      </c>
      <c r="Q22" t="str">
        <f t="shared" si="7"/>
        <v>echo itemCost,300000, &gt;&gt; .\items\materia\class0005\Arcanist20.dbr</v>
      </c>
      <c r="R22" t="str">
        <f t="shared" si="7"/>
        <v>echo description,dailCompDescArcanist20, &gt;&gt; .\items\materia\class0005\Arcanist20.dbr</v>
      </c>
      <c r="S22" t="str">
        <f t="shared" si="7"/>
        <v>echo itemText,dailCompTextArcanist20, &gt;&gt; .\items\materia\class0005\Arcanist20.dbr</v>
      </c>
      <c r="T22" t="str">
        <f t="shared" si="7"/>
        <v>echo augmentSkillLevel1,1, &gt;&gt; .\items\materia\class0005\Arcanist20.dbr</v>
      </c>
      <c r="U22" t="str">
        <f t="shared" si="7"/>
        <v>echo augmentSkillName1,records/skills/playerclass05/arcanemissile.dbr, &gt;&gt; .\items\materia\class0005\Arcanist20.dbr</v>
      </c>
      <c r="V22" s="5" t="s">
        <v>36</v>
      </c>
      <c r="W22" t="str">
        <f t="shared" si="8"/>
        <v>echo lootName20,DAIL/items/materia/class0005/Arcanist20.dbr, &gt;&gt; .\items\loottables\dailoneskill0005.dbr</v>
      </c>
      <c r="X22" t="str">
        <f t="shared" si="8"/>
        <v>echo lootWeight20,1, &gt;&gt; .\items\loottables\dailoneskill0005.dbr</v>
      </c>
      <c r="Y22" s="5" t="s">
        <v>36</v>
      </c>
      <c r="Z22" t="str">
        <f t="shared" si="9"/>
        <v xml:space="preserve"> dailCompDescArcanist20=^pArcanist's Gift of DAIL</v>
      </c>
      <c r="AA22" t="str">
        <f t="shared" si="17"/>
        <v>dailCompTextArcanist20=^oThis feels warm to the touch, almost familiar ^w(This component fits into all Jewellery slots including the Belt And Shoulder)</v>
      </c>
      <c r="AB22" s="5" t="s">
        <v>36</v>
      </c>
      <c r="AH22">
        <f t="shared" si="19"/>
        <v>17</v>
      </c>
      <c r="AI22">
        <f t="shared" si="13"/>
        <v>32</v>
      </c>
      <c r="AJ22">
        <f t="shared" si="18"/>
        <v>1</v>
      </c>
    </row>
    <row r="23" spans="1:36" x14ac:dyDescent="0.25">
      <c r="A23" s="5" t="s">
        <v>39</v>
      </c>
      <c r="B23" s="5" t="s">
        <v>28</v>
      </c>
      <c r="C23" s="5" t="str">
        <f t="shared" si="0"/>
        <v>description,dailCompDescArcanist21,</v>
      </c>
      <c r="D23" s="5" t="str">
        <f t="shared" si="2"/>
        <v>itemText,dailCompTextArcanist21,</v>
      </c>
      <c r="E23" s="5" t="str">
        <f t="shared" si="14"/>
        <v>augmentSkillLevel1,1,</v>
      </c>
      <c r="F23" s="5" t="str">
        <f t="shared" si="15"/>
        <v>augmentSkillName1,records/skills/playerclass05/arcanemissile2.dbr,</v>
      </c>
      <c r="G23" s="7">
        <f t="shared" si="10"/>
        <v>21</v>
      </c>
      <c r="H23" s="8" t="str">
        <f t="shared" si="11"/>
        <v>Arcanist</v>
      </c>
      <c r="I23" s="3" t="s">
        <v>329</v>
      </c>
      <c r="J23" s="8" t="str">
        <f t="shared" si="20"/>
        <v>class0005</v>
      </c>
      <c r="K23" s="8" t="str">
        <f t="shared" si="20"/>
        <v>dailoneskill0005</v>
      </c>
      <c r="L23" s="5" t="str">
        <f t="shared" si="4"/>
        <v>lootName21,DAIL/items/materia/class0005/Arcanist21.dbr,</v>
      </c>
      <c r="M23" s="5" t="str">
        <f t="shared" si="5"/>
        <v>lootWeight21,1,</v>
      </c>
      <c r="N23" t="str">
        <f t="shared" si="6"/>
        <v>1</v>
      </c>
      <c r="O23" t="str">
        <f t="shared" si="16"/>
        <v>copy .\dail_base.dbr .\items\materia\class0005\Arcanist21.dbr /y</v>
      </c>
      <c r="P23" t="str">
        <f t="shared" si="7"/>
        <v>echo relicBitmap,items/craftingparts/components/component_a52_bristlyfur_b.tex, &gt;&gt; .\items\materia\class0005\Arcanist21.dbr</v>
      </c>
      <c r="Q23" t="str">
        <f t="shared" si="7"/>
        <v>echo itemCost,300000, &gt;&gt; .\items\materia\class0005\Arcanist21.dbr</v>
      </c>
      <c r="R23" t="str">
        <f t="shared" si="7"/>
        <v>echo description,dailCompDescArcanist21, &gt;&gt; .\items\materia\class0005\Arcanist21.dbr</v>
      </c>
      <c r="S23" t="str">
        <f t="shared" si="7"/>
        <v>echo itemText,dailCompTextArcanist21, &gt;&gt; .\items\materia\class0005\Arcanist21.dbr</v>
      </c>
      <c r="T23" t="str">
        <f t="shared" si="7"/>
        <v>echo augmentSkillLevel1,1, &gt;&gt; .\items\materia\class0005\Arcanist21.dbr</v>
      </c>
      <c r="U23" t="str">
        <f t="shared" si="7"/>
        <v>echo augmentSkillName1,records/skills/playerclass05/arcanemissile2.dbr, &gt;&gt; .\items\materia\class0005\Arcanist21.dbr</v>
      </c>
      <c r="V23" s="5" t="s">
        <v>36</v>
      </c>
      <c r="W23" t="str">
        <f t="shared" si="8"/>
        <v>echo lootName21,DAIL/items/materia/class0005/Arcanist21.dbr, &gt;&gt; .\items\loottables\dailoneskill0005.dbr</v>
      </c>
      <c r="X23" t="str">
        <f t="shared" si="8"/>
        <v>echo lootWeight21,1, &gt;&gt; .\items\loottables\dailoneskill0005.dbr</v>
      </c>
      <c r="Y23" s="5" t="s">
        <v>36</v>
      </c>
      <c r="Z23" t="str">
        <f t="shared" si="9"/>
        <v xml:space="preserve"> dailCompDescArcanist21=^pArcanist's Gift of DAIL</v>
      </c>
      <c r="AA23" t="str">
        <f t="shared" si="17"/>
        <v>dailCompTextArcanist21=^oThis feels warm to the touch, almost familiar ^w(This component fits into all Jewellery slots including the Belt And Shoulder)</v>
      </c>
      <c r="AB23" s="5" t="s">
        <v>36</v>
      </c>
      <c r="AH23">
        <f t="shared" si="19"/>
        <v>18</v>
      </c>
      <c r="AI23">
        <f t="shared" si="13"/>
        <v>33</v>
      </c>
      <c r="AJ23">
        <f t="shared" si="18"/>
        <v>1</v>
      </c>
    </row>
    <row r="24" spans="1:36" x14ac:dyDescent="0.25">
      <c r="A24" s="5" t="s">
        <v>39</v>
      </c>
      <c r="B24" s="5" t="s">
        <v>28</v>
      </c>
      <c r="C24" s="5" t="str">
        <f t="shared" si="0"/>
        <v>description,dailCompDescArcanist22,</v>
      </c>
      <c r="D24" s="5" t="str">
        <f t="shared" si="2"/>
        <v>itemText,dailCompTextArcanist22,</v>
      </c>
      <c r="E24" s="5" t="str">
        <f t="shared" si="14"/>
        <v>augmentSkillLevel1,1,</v>
      </c>
      <c r="F24" s="5" t="str">
        <f t="shared" si="15"/>
        <v>augmentSkillName1,records/skills/playerclass05/arcanemissile3.dbr,</v>
      </c>
      <c r="G24" s="7">
        <f t="shared" si="10"/>
        <v>22</v>
      </c>
      <c r="H24" s="8" t="str">
        <f t="shared" si="11"/>
        <v>Arcanist</v>
      </c>
      <c r="I24" s="3" t="s">
        <v>330</v>
      </c>
      <c r="J24" s="8" t="str">
        <f t="shared" si="20"/>
        <v>class0005</v>
      </c>
      <c r="K24" s="8" t="str">
        <f t="shared" si="20"/>
        <v>dailoneskill0005</v>
      </c>
      <c r="L24" s="5" t="str">
        <f t="shared" si="4"/>
        <v>lootName22,DAIL/items/materia/class0005/Arcanist22.dbr,</v>
      </c>
      <c r="M24" s="5" t="str">
        <f t="shared" si="5"/>
        <v>lootWeight22,1,</v>
      </c>
      <c r="N24" t="str">
        <f t="shared" si="6"/>
        <v>1</v>
      </c>
      <c r="O24" t="str">
        <f t="shared" si="16"/>
        <v>copy .\dail_base.dbr .\items\materia\class0005\Arcanist22.dbr /y</v>
      </c>
      <c r="P24" t="str">
        <f t="shared" si="7"/>
        <v>echo relicBitmap,items/craftingparts/components/component_a52_bristlyfur_b.tex, &gt;&gt; .\items\materia\class0005\Arcanist22.dbr</v>
      </c>
      <c r="Q24" t="str">
        <f t="shared" si="7"/>
        <v>echo itemCost,300000, &gt;&gt; .\items\materia\class0005\Arcanist22.dbr</v>
      </c>
      <c r="R24" t="str">
        <f t="shared" si="7"/>
        <v>echo description,dailCompDescArcanist22, &gt;&gt; .\items\materia\class0005\Arcanist22.dbr</v>
      </c>
      <c r="S24" t="str">
        <f t="shared" si="7"/>
        <v>echo itemText,dailCompTextArcanist22, &gt;&gt; .\items\materia\class0005\Arcanist22.dbr</v>
      </c>
      <c r="T24" t="str">
        <f t="shared" si="7"/>
        <v>echo augmentSkillLevel1,1, &gt;&gt; .\items\materia\class0005\Arcanist22.dbr</v>
      </c>
      <c r="U24" t="str">
        <f t="shared" si="7"/>
        <v>echo augmentSkillName1,records/skills/playerclass05/arcanemissile3.dbr, &gt;&gt; .\items\materia\class0005\Arcanist22.dbr</v>
      </c>
      <c r="V24" s="5" t="s">
        <v>36</v>
      </c>
      <c r="W24" t="str">
        <f t="shared" si="8"/>
        <v>echo lootName22,DAIL/items/materia/class0005/Arcanist22.dbr, &gt;&gt; .\items\loottables\dailoneskill0005.dbr</v>
      </c>
      <c r="X24" t="str">
        <f t="shared" si="8"/>
        <v>echo lootWeight22,1, &gt;&gt; .\items\loottables\dailoneskill0005.dbr</v>
      </c>
      <c r="Y24" s="5" t="s">
        <v>36</v>
      </c>
      <c r="Z24" t="str">
        <f t="shared" si="9"/>
        <v xml:space="preserve"> dailCompDescArcanist22=^pArcanist's Gift of DAIL</v>
      </c>
      <c r="AA24" t="str">
        <f t="shared" si="17"/>
        <v>dailCompTextArcanist22=^oThis feels warm to the touch, almost familiar ^w(This component fits into all Jewellery slots including the Belt And Shoulder)</v>
      </c>
      <c r="AB24" s="5" t="s">
        <v>36</v>
      </c>
      <c r="AH24">
        <f t="shared" si="19"/>
        <v>19</v>
      </c>
      <c r="AI24">
        <f t="shared" si="13"/>
        <v>33</v>
      </c>
      <c r="AJ24">
        <f t="shared" si="18"/>
        <v>1</v>
      </c>
    </row>
    <row r="25" spans="1:36" x14ac:dyDescent="0.25">
      <c r="A25" s="5" t="s">
        <v>39</v>
      </c>
      <c r="B25" s="5" t="s">
        <v>28</v>
      </c>
      <c r="C25" s="5" t="str">
        <f t="shared" si="0"/>
        <v>description,dailCompDescArcanist23,</v>
      </c>
      <c r="D25" s="5" t="str">
        <f t="shared" si="2"/>
        <v>itemText,dailCompTextArcanist23,</v>
      </c>
      <c r="E25" s="5" t="str">
        <f t="shared" si="14"/>
        <v>augmentSkillLevel1,1,</v>
      </c>
      <c r="F25" s="5" t="str">
        <f t="shared" si="15"/>
        <v>augmentSkillName1,records/skills/playerclass05/arcanemissile4.dbr,</v>
      </c>
      <c r="G25" s="7">
        <f t="shared" si="10"/>
        <v>23</v>
      </c>
      <c r="H25" s="8" t="str">
        <f t="shared" si="11"/>
        <v>Arcanist</v>
      </c>
      <c r="I25" s="3" t="s">
        <v>331</v>
      </c>
      <c r="J25" s="8" t="str">
        <f t="shared" si="20"/>
        <v>class0005</v>
      </c>
      <c r="K25" s="8" t="str">
        <f t="shared" si="20"/>
        <v>dailoneskill0005</v>
      </c>
      <c r="L25" s="5" t="str">
        <f t="shared" si="4"/>
        <v>lootName23,DAIL/items/materia/class0005/Arcanist23.dbr,</v>
      </c>
      <c r="M25" s="5" t="str">
        <f t="shared" si="5"/>
        <v>lootWeight23,1,</v>
      </c>
      <c r="N25" t="str">
        <f t="shared" si="6"/>
        <v>1</v>
      </c>
      <c r="O25" t="str">
        <f t="shared" si="16"/>
        <v>copy .\dail_base.dbr .\items\materia\class0005\Arcanist23.dbr /y</v>
      </c>
      <c r="P25" t="str">
        <f t="shared" si="7"/>
        <v>echo relicBitmap,items/craftingparts/components/component_a52_bristlyfur_b.tex, &gt;&gt; .\items\materia\class0005\Arcanist23.dbr</v>
      </c>
      <c r="Q25" t="str">
        <f t="shared" si="7"/>
        <v>echo itemCost,300000, &gt;&gt; .\items\materia\class0005\Arcanist23.dbr</v>
      </c>
      <c r="R25" t="str">
        <f t="shared" si="7"/>
        <v>echo description,dailCompDescArcanist23, &gt;&gt; .\items\materia\class0005\Arcanist23.dbr</v>
      </c>
      <c r="S25" t="str">
        <f t="shared" si="7"/>
        <v>echo itemText,dailCompTextArcanist23, &gt;&gt; .\items\materia\class0005\Arcanist23.dbr</v>
      </c>
      <c r="T25" t="str">
        <f t="shared" si="7"/>
        <v>echo augmentSkillLevel1,1, &gt;&gt; .\items\materia\class0005\Arcanist23.dbr</v>
      </c>
      <c r="U25" t="str">
        <f t="shared" si="7"/>
        <v>echo augmentSkillName1,records/skills/playerclass05/arcanemissile4.dbr, &gt;&gt; .\items\materia\class0005\Arcanist23.dbr</v>
      </c>
      <c r="V25" s="5" t="s">
        <v>36</v>
      </c>
      <c r="W25" t="str">
        <f t="shared" si="8"/>
        <v>echo lootName23,DAIL/items/materia/class0005/Arcanist23.dbr, &gt;&gt; .\items\loottables\dailoneskill0005.dbr</v>
      </c>
      <c r="X25" t="str">
        <f t="shared" si="8"/>
        <v>echo lootWeight23,1, &gt;&gt; .\items\loottables\dailoneskill0005.dbr</v>
      </c>
      <c r="Y25" s="5" t="s">
        <v>36</v>
      </c>
      <c r="Z25" t="str">
        <f t="shared" si="9"/>
        <v xml:space="preserve"> dailCompDescArcanist23=^pArcanist's Gift of DAIL</v>
      </c>
      <c r="AA25" t="str">
        <f t="shared" si="17"/>
        <v>dailCompTextArcanist23=^oThis feels warm to the touch, almost familiar ^w(This component fits into all Jewellery slots including the Belt And Shoulder)</v>
      </c>
      <c r="AB25" s="5" t="s">
        <v>36</v>
      </c>
      <c r="AH25">
        <f t="shared" si="19"/>
        <v>20</v>
      </c>
      <c r="AI25">
        <f t="shared" si="13"/>
        <v>33</v>
      </c>
      <c r="AJ25">
        <f t="shared" si="18"/>
        <v>1</v>
      </c>
    </row>
    <row r="26" spans="1:36" x14ac:dyDescent="0.25">
      <c r="A26" s="5" t="s">
        <v>39</v>
      </c>
      <c r="B26" s="5" t="s">
        <v>28</v>
      </c>
      <c r="C26" s="5" t="str">
        <f t="shared" si="0"/>
        <v>description,dailCompDescArcanist24,</v>
      </c>
      <c r="D26" s="5" t="str">
        <f t="shared" si="2"/>
        <v>itemText,dailCompTextArcanist24,</v>
      </c>
      <c r="E26" s="5" t="str">
        <f t="shared" si="14"/>
        <v>augmentSkillLevel1,1,</v>
      </c>
      <c r="F26" s="5" t="str">
        <f t="shared" si="15"/>
        <v>augmentSkillName1,records/skills/playerclass05/aetherray1.dbr,</v>
      </c>
      <c r="G26" s="7">
        <f t="shared" si="10"/>
        <v>24</v>
      </c>
      <c r="H26" s="8" t="str">
        <f t="shared" si="11"/>
        <v>Arcanist</v>
      </c>
      <c r="I26" s="3" t="s">
        <v>127</v>
      </c>
      <c r="J26" s="8" t="str">
        <f t="shared" si="20"/>
        <v>class0005</v>
      </c>
      <c r="K26" s="8" t="str">
        <f t="shared" si="20"/>
        <v>dailoneskill0005</v>
      </c>
      <c r="L26" s="5" t="str">
        <f t="shared" si="4"/>
        <v>lootName24,DAIL/items/materia/class0005/Arcanist24.dbr,</v>
      </c>
      <c r="M26" s="5" t="str">
        <f t="shared" si="5"/>
        <v>lootWeight24,1,</v>
      </c>
      <c r="N26" t="str">
        <f t="shared" si="6"/>
        <v>1</v>
      </c>
      <c r="O26" t="str">
        <f t="shared" si="16"/>
        <v>copy .\dail_base.dbr .\items\materia\class0005\Arcanist24.dbr /y</v>
      </c>
      <c r="P26" t="str">
        <f t="shared" si="7"/>
        <v>echo relicBitmap,items/craftingparts/components/component_a52_bristlyfur_b.tex, &gt;&gt; .\items\materia\class0005\Arcanist24.dbr</v>
      </c>
      <c r="Q26" t="str">
        <f t="shared" si="7"/>
        <v>echo itemCost,300000, &gt;&gt; .\items\materia\class0005\Arcanist24.dbr</v>
      </c>
      <c r="R26" t="str">
        <f t="shared" si="7"/>
        <v>echo description,dailCompDescArcanist24, &gt;&gt; .\items\materia\class0005\Arcanist24.dbr</v>
      </c>
      <c r="S26" t="str">
        <f t="shared" si="7"/>
        <v>echo itemText,dailCompTextArcanist24, &gt;&gt; .\items\materia\class0005\Arcanist24.dbr</v>
      </c>
      <c r="T26" t="str">
        <f t="shared" si="7"/>
        <v>echo augmentSkillLevel1,1, &gt;&gt; .\items\materia\class0005\Arcanist24.dbr</v>
      </c>
      <c r="U26" t="str">
        <f t="shared" si="7"/>
        <v>echo augmentSkillName1,records/skills/playerclass05/aetherray1.dbr, &gt;&gt; .\items\materia\class0005\Arcanist24.dbr</v>
      </c>
      <c r="V26" s="5" t="s">
        <v>36</v>
      </c>
      <c r="W26" t="str">
        <f t="shared" si="8"/>
        <v>echo lootName24,DAIL/items/materia/class0005/Arcanist24.dbr, &gt;&gt; .\items\loottables\dailoneskill0005.dbr</v>
      </c>
      <c r="X26" t="str">
        <f t="shared" si="8"/>
        <v>echo lootWeight24,1, &gt;&gt; .\items\loottables\dailoneskill0005.dbr</v>
      </c>
      <c r="Y26" s="5" t="s">
        <v>36</v>
      </c>
      <c r="Z26" t="str">
        <f t="shared" si="9"/>
        <v xml:space="preserve"> dailCompDescArcanist24=^pArcanist's Gift of DAIL</v>
      </c>
      <c r="AA26" t="str">
        <f t="shared" si="17"/>
        <v>dailCompTextArcanist24=^oThis feels warm to the touch, almost familiar ^w(This component fits into all Jewellery slots including the Belt And Shoulder)</v>
      </c>
      <c r="AB26" s="5" t="s">
        <v>36</v>
      </c>
      <c r="AH26">
        <f t="shared" si="19"/>
        <v>21</v>
      </c>
      <c r="AI26">
        <f t="shared" si="13"/>
        <v>29</v>
      </c>
      <c r="AJ26">
        <f t="shared" si="18"/>
        <v>1</v>
      </c>
    </row>
    <row r="27" spans="1:36" x14ac:dyDescent="0.25">
      <c r="A27" s="5" t="s">
        <v>39</v>
      </c>
      <c r="B27" s="5" t="s">
        <v>28</v>
      </c>
      <c r="C27" s="5" t="str">
        <f t="shared" si="0"/>
        <v>description,dailCompDescArcanist25,</v>
      </c>
      <c r="D27" s="5" t="str">
        <f t="shared" si="2"/>
        <v>itemText,dailCompTextArcanist25,</v>
      </c>
      <c r="E27" s="5" t="str">
        <f t="shared" si="14"/>
        <v>augmentSkillLevel1,1,</v>
      </c>
      <c r="F27" s="5" t="str">
        <f t="shared" si="15"/>
        <v>augmentSkillName1,records/skills/playerclass05/chillingsurge2.dbr,</v>
      </c>
      <c r="G27" s="7">
        <f t="shared" si="10"/>
        <v>25</v>
      </c>
      <c r="H27" s="8" t="str">
        <f t="shared" si="11"/>
        <v>Arcanist</v>
      </c>
      <c r="I27" s="3" t="s">
        <v>332</v>
      </c>
      <c r="J27" s="8" t="str">
        <f t="shared" si="20"/>
        <v>class0005</v>
      </c>
      <c r="K27" s="8" t="str">
        <f t="shared" si="20"/>
        <v>dailoneskill0005</v>
      </c>
      <c r="L27" s="5" t="str">
        <f t="shared" si="4"/>
        <v>lootName25,DAIL/items/materia/class0005/Arcanist25.dbr,</v>
      </c>
      <c r="M27" s="5" t="str">
        <f t="shared" si="5"/>
        <v>lootWeight25,1,</v>
      </c>
      <c r="N27" t="str">
        <f t="shared" si="6"/>
        <v>1</v>
      </c>
      <c r="O27" t="str">
        <f t="shared" si="16"/>
        <v>copy .\dail_base.dbr .\items\materia\class0005\Arcanist25.dbr /y</v>
      </c>
      <c r="P27" t="str">
        <f t="shared" si="7"/>
        <v>echo relicBitmap,items/craftingparts/components/component_a52_bristlyfur_b.tex, &gt;&gt; .\items\materia\class0005\Arcanist25.dbr</v>
      </c>
      <c r="Q27" t="str">
        <f t="shared" si="7"/>
        <v>echo itemCost,300000, &gt;&gt; .\items\materia\class0005\Arcanist25.dbr</v>
      </c>
      <c r="R27" t="str">
        <f t="shared" si="7"/>
        <v>echo description,dailCompDescArcanist25, &gt;&gt; .\items\materia\class0005\Arcanist25.dbr</v>
      </c>
      <c r="S27" t="str">
        <f t="shared" si="7"/>
        <v>echo itemText,dailCompTextArcanist25, &gt;&gt; .\items\materia\class0005\Arcanist25.dbr</v>
      </c>
      <c r="T27" t="str">
        <f t="shared" si="7"/>
        <v>echo augmentSkillLevel1,1, &gt;&gt; .\items\materia\class0005\Arcanist25.dbr</v>
      </c>
      <c r="U27" t="str">
        <f t="shared" si="7"/>
        <v>echo augmentSkillName1,records/skills/playerclass05/chillingsurge2.dbr, &gt;&gt; .\items\materia\class0005\Arcanist25.dbr</v>
      </c>
      <c r="V27" s="5" t="s">
        <v>36</v>
      </c>
      <c r="W27" t="str">
        <f t="shared" si="8"/>
        <v>echo lootName25,DAIL/items/materia/class0005/Arcanist25.dbr, &gt;&gt; .\items\loottables\dailoneskill0005.dbr</v>
      </c>
      <c r="X27" t="str">
        <f t="shared" si="8"/>
        <v>echo lootWeight25,1, &gt;&gt; .\items\loottables\dailoneskill0005.dbr</v>
      </c>
      <c r="Y27" s="5" t="s">
        <v>36</v>
      </c>
      <c r="Z27" t="str">
        <f t="shared" si="9"/>
        <v xml:space="preserve"> dailCompDescArcanist25=^pArcanist's Gift of DAIL</v>
      </c>
      <c r="AA27" t="str">
        <f t="shared" si="17"/>
        <v>dailCompTextArcanist25=^oThis feels warm to the touch, almost familiar ^w(This component fits into all Jewellery slots including the Belt And Shoulder)</v>
      </c>
      <c r="AB27" s="5" t="s">
        <v>36</v>
      </c>
      <c r="AH27">
        <f t="shared" si="19"/>
        <v>22</v>
      </c>
      <c r="AI27">
        <f t="shared" si="13"/>
        <v>33</v>
      </c>
      <c r="AJ27">
        <f t="shared" si="18"/>
        <v>1</v>
      </c>
    </row>
    <row r="28" spans="1:36" x14ac:dyDescent="0.25">
      <c r="A28" s="5" t="s">
        <v>39</v>
      </c>
      <c r="B28" s="5" t="s">
        <v>28</v>
      </c>
      <c r="C28" s="5" t="str">
        <f t="shared" si="0"/>
        <v>description,dailCompDescArcanist26,</v>
      </c>
      <c r="D28" s="5" t="str">
        <f t="shared" si="2"/>
        <v>itemText,dailCompTextArcanist26,</v>
      </c>
      <c r="E28" s="5" t="str">
        <f t="shared" si="14"/>
        <v>augmentSkillLevel1,1,</v>
      </c>
      <c r="F28" s="5" t="str">
        <f t="shared" si="15"/>
        <v>augmentSkillName1,records/skills/playerclass05/aetherray2.dbr,</v>
      </c>
      <c r="G28" s="7">
        <f t="shared" si="10"/>
        <v>26</v>
      </c>
      <c r="H28" s="8" t="str">
        <f t="shared" si="11"/>
        <v>Arcanist</v>
      </c>
      <c r="I28" s="3" t="s">
        <v>333</v>
      </c>
      <c r="J28" s="8" t="str">
        <f t="shared" si="20"/>
        <v>class0005</v>
      </c>
      <c r="K28" s="8" t="str">
        <f t="shared" si="20"/>
        <v>dailoneskill0005</v>
      </c>
      <c r="L28" s="5" t="str">
        <f t="shared" si="4"/>
        <v>lootName26,DAIL/items/materia/class0005/Arcanist26.dbr,</v>
      </c>
      <c r="M28" s="5" t="str">
        <f t="shared" si="5"/>
        <v>lootWeight26,1,</v>
      </c>
      <c r="N28" t="str">
        <f t="shared" si="6"/>
        <v>1</v>
      </c>
      <c r="O28" t="str">
        <f t="shared" si="16"/>
        <v>copy .\dail_base.dbr .\items\materia\class0005\Arcanist26.dbr /y</v>
      </c>
      <c r="P28" t="str">
        <f t="shared" si="7"/>
        <v>echo relicBitmap,items/craftingparts/components/component_a52_bristlyfur_b.tex, &gt;&gt; .\items\materia\class0005\Arcanist26.dbr</v>
      </c>
      <c r="Q28" t="str">
        <f t="shared" si="7"/>
        <v>echo itemCost,300000, &gt;&gt; .\items\materia\class0005\Arcanist26.dbr</v>
      </c>
      <c r="R28" t="str">
        <f t="shared" si="7"/>
        <v>echo description,dailCompDescArcanist26, &gt;&gt; .\items\materia\class0005\Arcanist26.dbr</v>
      </c>
      <c r="S28" t="str">
        <f t="shared" si="7"/>
        <v>echo itemText,dailCompTextArcanist26, &gt;&gt; .\items\materia\class0005\Arcanist26.dbr</v>
      </c>
      <c r="T28" t="str">
        <f t="shared" si="7"/>
        <v>echo augmentSkillLevel1,1, &gt;&gt; .\items\materia\class0005\Arcanist26.dbr</v>
      </c>
      <c r="U28" t="str">
        <f t="shared" si="7"/>
        <v>echo augmentSkillName1,records/skills/playerclass05/aetherray2.dbr, &gt;&gt; .\items\materia\class0005\Arcanist26.dbr</v>
      </c>
      <c r="V28" s="5" t="s">
        <v>36</v>
      </c>
      <c r="W28" t="str">
        <f t="shared" si="8"/>
        <v>echo lootName26,DAIL/items/materia/class0005/Arcanist26.dbr, &gt;&gt; .\items\loottables\dailoneskill0005.dbr</v>
      </c>
      <c r="X28" t="str">
        <f t="shared" si="8"/>
        <v>echo lootWeight26,1, &gt;&gt; .\items\loottables\dailoneskill0005.dbr</v>
      </c>
      <c r="Y28" s="5" t="s">
        <v>36</v>
      </c>
      <c r="Z28" t="str">
        <f t="shared" si="9"/>
        <v xml:space="preserve"> dailCompDescArcanist26=^pArcanist's Gift of DAIL</v>
      </c>
      <c r="AA28" t="str">
        <f t="shared" si="17"/>
        <v>dailCompTextArcanist26=^oThis feels warm to the touch, almost familiar ^w(This component fits into all Jewellery slots including the Belt And Shoulder)</v>
      </c>
      <c r="AB28" s="5" t="s">
        <v>36</v>
      </c>
      <c r="AH28">
        <f t="shared" si="19"/>
        <v>23</v>
      </c>
      <c r="AI28">
        <f t="shared" si="13"/>
        <v>29</v>
      </c>
      <c r="AJ28">
        <f t="shared" si="18"/>
        <v>1</v>
      </c>
    </row>
    <row r="29" spans="1:36" x14ac:dyDescent="0.25">
      <c r="A29" s="5" t="s">
        <v>39</v>
      </c>
      <c r="B29" s="5" t="s">
        <v>28</v>
      </c>
      <c r="C29" s="5" t="str">
        <f t="shared" si="0"/>
        <v>description,dailCompDescArcanist27,</v>
      </c>
      <c r="D29" s="5" t="str">
        <f t="shared" si="2"/>
        <v>itemText,dailCompTextArcanist27,</v>
      </c>
      <c r="E29" s="5" t="str">
        <f t="shared" si="14"/>
        <v>augmentSkillLevel1,1,</v>
      </c>
      <c r="F29" s="5" t="str">
        <f t="shared" si="15"/>
        <v>augmentSkillName1,records/skills/playerclass05/aetherray1b.dbr,</v>
      </c>
      <c r="G29" s="7">
        <f t="shared" si="10"/>
        <v>27</v>
      </c>
      <c r="H29" s="8" t="str">
        <f t="shared" si="11"/>
        <v>Arcanist</v>
      </c>
      <c r="I29" s="3" t="s">
        <v>334</v>
      </c>
      <c r="J29" s="8" t="str">
        <f t="shared" si="20"/>
        <v>class0005</v>
      </c>
      <c r="K29" s="8" t="str">
        <f t="shared" si="20"/>
        <v>dailoneskill0005</v>
      </c>
      <c r="L29" s="5" t="str">
        <f t="shared" si="4"/>
        <v>lootName27,DAIL/items/materia/class0005/Arcanist27.dbr,</v>
      </c>
      <c r="M29" s="5" t="str">
        <f t="shared" si="5"/>
        <v>lootWeight27,1,</v>
      </c>
      <c r="N29" t="str">
        <f t="shared" si="6"/>
        <v>1</v>
      </c>
      <c r="O29" t="str">
        <f t="shared" si="16"/>
        <v>copy .\dail_base.dbr .\items\materia\class0005\Arcanist27.dbr /y</v>
      </c>
      <c r="P29" t="str">
        <f t="shared" si="7"/>
        <v>echo relicBitmap,items/craftingparts/components/component_a52_bristlyfur_b.tex, &gt;&gt; .\items\materia\class0005\Arcanist27.dbr</v>
      </c>
      <c r="Q29" t="str">
        <f t="shared" si="7"/>
        <v>echo itemCost,300000, &gt;&gt; .\items\materia\class0005\Arcanist27.dbr</v>
      </c>
      <c r="R29" t="str">
        <f t="shared" si="7"/>
        <v>echo description,dailCompDescArcanist27, &gt;&gt; .\items\materia\class0005\Arcanist27.dbr</v>
      </c>
      <c r="S29" t="str">
        <f t="shared" si="7"/>
        <v>echo itemText,dailCompTextArcanist27, &gt;&gt; .\items\materia\class0005\Arcanist27.dbr</v>
      </c>
      <c r="T29" t="str">
        <f t="shared" si="7"/>
        <v>echo augmentSkillLevel1,1, &gt;&gt; .\items\materia\class0005\Arcanist27.dbr</v>
      </c>
      <c r="U29" t="str">
        <f t="shared" si="7"/>
        <v>echo augmentSkillName1,records/skills/playerclass05/aetherray1b.dbr, &gt;&gt; .\items\materia\class0005\Arcanist27.dbr</v>
      </c>
      <c r="V29" s="5" t="s">
        <v>36</v>
      </c>
      <c r="W29" t="str">
        <f t="shared" si="8"/>
        <v>echo lootName27,DAIL/items/materia/class0005/Arcanist27.dbr, &gt;&gt; .\items\loottables\dailoneskill0005.dbr</v>
      </c>
      <c r="X29" t="str">
        <f t="shared" si="8"/>
        <v>echo lootWeight27,1, &gt;&gt; .\items\loottables\dailoneskill0005.dbr</v>
      </c>
      <c r="Y29" s="5" t="s">
        <v>36</v>
      </c>
      <c r="Z29" t="str">
        <f t="shared" si="9"/>
        <v xml:space="preserve"> dailCompDescArcanist27=^pArcanist's Gift of DAIL</v>
      </c>
      <c r="AA29" t="str">
        <f t="shared" si="17"/>
        <v>dailCompTextArcanist27=^oThis feels warm to the touch, almost familiar ^w(This component fits into all Jewellery slots including the Belt And Shoulder)</v>
      </c>
      <c r="AB29" s="5" t="s">
        <v>36</v>
      </c>
      <c r="AH29">
        <f t="shared" si="19"/>
        <v>24</v>
      </c>
      <c r="AI29">
        <f t="shared" si="13"/>
        <v>30</v>
      </c>
      <c r="AJ29">
        <f t="shared" si="18"/>
        <v>1</v>
      </c>
    </row>
    <row r="30" spans="1:36" x14ac:dyDescent="0.25">
      <c r="A30" s="5" t="s">
        <v>39</v>
      </c>
      <c r="B30" s="5" t="s">
        <v>28</v>
      </c>
      <c r="C30" s="5" t="str">
        <f t="shared" si="0"/>
        <v>description,dailCompDescArcanist28,</v>
      </c>
      <c r="D30" s="5" t="str">
        <f t="shared" si="2"/>
        <v>itemText,dailCompTextArcanist28,</v>
      </c>
      <c r="E30" s="5" t="str">
        <f t="shared" si="14"/>
        <v>augmentSkillLevel1,1,</v>
      </c>
      <c r="F30" s="5" t="str">
        <f t="shared" si="15"/>
        <v>augmentSkillName1,records/skills/playerclass05/sphereofprotection1.dbr,</v>
      </c>
      <c r="G30" s="7">
        <f t="shared" si="10"/>
        <v>28</v>
      </c>
      <c r="H30" s="8" t="str">
        <f t="shared" si="11"/>
        <v>Arcanist</v>
      </c>
      <c r="I30" s="3" t="s">
        <v>137</v>
      </c>
      <c r="J30" s="8" t="str">
        <f t="shared" si="20"/>
        <v>class0005</v>
      </c>
      <c r="K30" s="8" t="str">
        <f t="shared" si="20"/>
        <v>dailoneskill0005</v>
      </c>
      <c r="L30" s="5" t="str">
        <f t="shared" si="4"/>
        <v>lootName28,DAIL/items/materia/class0005/Arcanist28.dbr,</v>
      </c>
      <c r="M30" s="5" t="str">
        <f t="shared" si="5"/>
        <v>lootWeight28,1,</v>
      </c>
      <c r="N30" t="str">
        <f t="shared" si="6"/>
        <v>1</v>
      </c>
      <c r="O30" t="str">
        <f t="shared" si="16"/>
        <v>copy .\dail_base.dbr .\items\materia\class0005\Arcanist28.dbr /y</v>
      </c>
      <c r="P30" t="str">
        <f t="shared" si="7"/>
        <v>echo relicBitmap,items/craftingparts/components/component_a52_bristlyfur_b.tex, &gt;&gt; .\items\materia\class0005\Arcanist28.dbr</v>
      </c>
      <c r="Q30" t="str">
        <f t="shared" si="7"/>
        <v>echo itemCost,300000, &gt;&gt; .\items\materia\class0005\Arcanist28.dbr</v>
      </c>
      <c r="R30" t="str">
        <f t="shared" si="7"/>
        <v>echo description,dailCompDescArcanist28, &gt;&gt; .\items\materia\class0005\Arcanist28.dbr</v>
      </c>
      <c r="S30" t="str">
        <f t="shared" si="7"/>
        <v>echo itemText,dailCompTextArcanist28, &gt;&gt; .\items\materia\class0005\Arcanist28.dbr</v>
      </c>
      <c r="T30" t="str">
        <f t="shared" si="7"/>
        <v>echo augmentSkillLevel1,1, &gt;&gt; .\items\materia\class0005\Arcanist28.dbr</v>
      </c>
      <c r="U30" t="str">
        <f t="shared" si="7"/>
        <v>echo augmentSkillName1,records/skills/playerclass05/sphereofprotection1.dbr, &gt;&gt; .\items\materia\class0005\Arcanist28.dbr</v>
      </c>
      <c r="V30" s="5" t="s">
        <v>36</v>
      </c>
      <c r="W30" t="str">
        <f t="shared" si="8"/>
        <v>echo lootName28,DAIL/items/materia/class0005/Arcanist28.dbr, &gt;&gt; .\items\loottables\dailoneskill0005.dbr</v>
      </c>
      <c r="X30" t="str">
        <f t="shared" si="8"/>
        <v>echo lootWeight28,1, &gt;&gt; .\items\loottables\dailoneskill0005.dbr</v>
      </c>
      <c r="Y30" s="5" t="s">
        <v>36</v>
      </c>
      <c r="Z30" t="str">
        <f t="shared" si="9"/>
        <v xml:space="preserve"> dailCompDescArcanist28=^pArcanist's Gift of DAIL</v>
      </c>
      <c r="AA30" t="str">
        <f t="shared" si="17"/>
        <v>dailCompTextArcanist28=^oThis feels warm to the touch, almost familiar ^w(This component fits into all Jewellery slots including the Belt And Shoulder)</v>
      </c>
      <c r="AB30" s="5" t="s">
        <v>36</v>
      </c>
      <c r="AH30">
        <f t="shared" si="19"/>
        <v>25</v>
      </c>
      <c r="AI30">
        <f t="shared" si="13"/>
        <v>38</v>
      </c>
      <c r="AJ30">
        <f t="shared" si="18"/>
        <v>1</v>
      </c>
    </row>
    <row r="31" spans="1:36" x14ac:dyDescent="0.25">
      <c r="A31" s="5" t="s">
        <v>39</v>
      </c>
      <c r="B31" s="5" t="s">
        <v>28</v>
      </c>
      <c r="C31" s="5" t="str">
        <f t="shared" si="0"/>
        <v>description,dailCompDescArcanist29,</v>
      </c>
      <c r="D31" s="5" t="str">
        <f t="shared" si="2"/>
        <v>itemText,dailCompTextArcanist29,</v>
      </c>
      <c r="E31" s="5" t="str">
        <f t="shared" si="14"/>
        <v>augmentSkillLevel1,1,</v>
      </c>
      <c r="F31" s="5" t="str">
        <f t="shared" si="15"/>
        <v>augmentSkillName1,records/skills/playerclass05/sphereofprotection2.dbr,</v>
      </c>
      <c r="G31" s="7">
        <f t="shared" si="10"/>
        <v>29</v>
      </c>
      <c r="H31" s="8" t="str">
        <f t="shared" si="11"/>
        <v>Arcanist</v>
      </c>
      <c r="I31" s="3" t="s">
        <v>335</v>
      </c>
      <c r="J31" s="8" t="str">
        <f t="shared" si="20"/>
        <v>class0005</v>
      </c>
      <c r="K31" s="8" t="str">
        <f t="shared" si="20"/>
        <v>dailoneskill0005</v>
      </c>
      <c r="L31" s="5" t="str">
        <f t="shared" si="4"/>
        <v>lootName29,DAIL/items/materia/class0005/Arcanist29.dbr,</v>
      </c>
      <c r="M31" s="5" t="str">
        <f t="shared" si="5"/>
        <v>lootWeight29,1,</v>
      </c>
      <c r="N31" t="str">
        <f t="shared" si="6"/>
        <v>1</v>
      </c>
      <c r="O31" t="str">
        <f t="shared" si="16"/>
        <v>copy .\dail_base.dbr .\items\materia\class0005\Arcanist29.dbr /y</v>
      </c>
      <c r="P31" t="str">
        <f t="shared" si="7"/>
        <v>echo relicBitmap,items/craftingparts/components/component_a52_bristlyfur_b.tex, &gt;&gt; .\items\materia\class0005\Arcanist29.dbr</v>
      </c>
      <c r="Q31" t="str">
        <f t="shared" si="7"/>
        <v>echo itemCost,300000, &gt;&gt; .\items\materia\class0005\Arcanist29.dbr</v>
      </c>
      <c r="R31" t="str">
        <f t="shared" si="7"/>
        <v>echo description,dailCompDescArcanist29, &gt;&gt; .\items\materia\class0005\Arcanist29.dbr</v>
      </c>
      <c r="S31" t="str">
        <f t="shared" si="7"/>
        <v>echo itemText,dailCompTextArcanist29, &gt;&gt; .\items\materia\class0005\Arcanist29.dbr</v>
      </c>
      <c r="T31" t="str">
        <f t="shared" si="7"/>
        <v>echo augmentSkillLevel1,1, &gt;&gt; .\items\materia\class0005\Arcanist29.dbr</v>
      </c>
      <c r="U31" t="str">
        <f t="shared" si="7"/>
        <v>echo augmentSkillName1,records/skills/playerclass05/sphereofprotection2.dbr, &gt;&gt; .\items\materia\class0005\Arcanist29.dbr</v>
      </c>
      <c r="V31" s="5" t="s">
        <v>36</v>
      </c>
      <c r="W31" t="str">
        <f t="shared" si="8"/>
        <v>echo lootName29,DAIL/items/materia/class0005/Arcanist29.dbr, &gt;&gt; .\items\loottables\dailoneskill0005.dbr</v>
      </c>
      <c r="X31" t="str">
        <f t="shared" si="8"/>
        <v>echo lootWeight29,1, &gt;&gt; .\items\loottables\dailoneskill0005.dbr</v>
      </c>
      <c r="Y31" s="5" t="s">
        <v>36</v>
      </c>
      <c r="Z31" t="str">
        <f t="shared" si="9"/>
        <v xml:space="preserve"> dailCompDescArcanist29=^pArcanist's Gift of DAIL</v>
      </c>
      <c r="AA31" t="str">
        <f t="shared" si="17"/>
        <v>dailCompTextArcanist29=^oThis feels warm to the touch, almost familiar ^w(This component fits into all Jewellery slots including the Belt And Shoulder)</v>
      </c>
      <c r="AB31" s="5" t="s">
        <v>36</v>
      </c>
      <c r="AH31">
        <f t="shared" si="19"/>
        <v>26</v>
      </c>
      <c r="AI31">
        <f t="shared" si="13"/>
        <v>38</v>
      </c>
      <c r="AJ31">
        <f t="shared" si="18"/>
        <v>1</v>
      </c>
    </row>
    <row r="32" spans="1:36" x14ac:dyDescent="0.25">
      <c r="A32" s="5" t="s">
        <v>39</v>
      </c>
      <c r="B32" s="5" t="s">
        <v>30</v>
      </c>
      <c r="C32" s="5" t="str">
        <f t="shared" si="0"/>
        <v>description,dailCompDescArcanist30,</v>
      </c>
      <c r="D32" s="5" t="str">
        <f t="shared" si="2"/>
        <v>itemText,dailCompTextArcanist30,</v>
      </c>
      <c r="E32" s="5" t="str">
        <f t="shared" si="14"/>
        <v>augmentSkillLevel1,1,</v>
      </c>
      <c r="F32" s="5" t="str">
        <f t="shared" si="15"/>
        <v>augmentSkillName1,records/skills/playerclass05/passive01.dbr,</v>
      </c>
      <c r="G32" s="7">
        <f t="shared" si="10"/>
        <v>30</v>
      </c>
      <c r="H32" s="8" t="str">
        <f t="shared" si="11"/>
        <v>Arcanist</v>
      </c>
      <c r="I32" s="3" t="s">
        <v>336</v>
      </c>
      <c r="J32" s="8" t="str">
        <f t="shared" si="20"/>
        <v>class0005</v>
      </c>
      <c r="K32" s="8" t="str">
        <f t="shared" si="20"/>
        <v>dailoneskill0005</v>
      </c>
      <c r="L32" s="5" t="str">
        <f t="shared" si="4"/>
        <v>lootName30,DAIL/items/materia/class0005/Arcanist30.dbr,</v>
      </c>
      <c r="M32" s="5" t="str">
        <f t="shared" si="5"/>
        <v>lootWeight30,1,</v>
      </c>
      <c r="N32" t="str">
        <f t="shared" si="6"/>
        <v>1</v>
      </c>
      <c r="O32" t="str">
        <f t="shared" si="16"/>
        <v>copy .\dail_base.dbr .\items\materia\class0005\Arcanist30.dbr /y</v>
      </c>
      <c r="P32" t="str">
        <f t="shared" si="7"/>
        <v>echo relicBitmap,items/craftingparts/components/component_a52_bristlyfur_b.tex, &gt;&gt; .\items\materia\class0005\Arcanist30.dbr</v>
      </c>
      <c r="Q32" t="str">
        <f t="shared" si="7"/>
        <v>echo itemCost,500000, &gt;&gt; .\items\materia\class0005\Arcanist30.dbr</v>
      </c>
      <c r="R32" t="str">
        <f t="shared" si="7"/>
        <v>echo description,dailCompDescArcanist30, &gt;&gt; .\items\materia\class0005\Arcanist30.dbr</v>
      </c>
      <c r="S32" t="str">
        <f t="shared" si="7"/>
        <v>echo itemText,dailCompTextArcanist30, &gt;&gt; .\items\materia\class0005\Arcanist30.dbr</v>
      </c>
      <c r="T32" t="str">
        <f t="shared" si="7"/>
        <v>echo augmentSkillLevel1,1, &gt;&gt; .\items\materia\class0005\Arcanist30.dbr</v>
      </c>
      <c r="U32" t="str">
        <f t="shared" si="7"/>
        <v>echo augmentSkillName1,records/skills/playerclass05/passive01.dbr, &gt;&gt; .\items\materia\class0005\Arcanist30.dbr</v>
      </c>
      <c r="V32" s="5" t="s">
        <v>36</v>
      </c>
      <c r="W32" t="str">
        <f t="shared" si="8"/>
        <v>echo lootName30,DAIL/items/materia/class0005/Arcanist30.dbr, &gt;&gt; .\items\loottables\dailoneskill0005.dbr</v>
      </c>
      <c r="X32" t="str">
        <f t="shared" si="8"/>
        <v>echo lootWeight30,1, &gt;&gt; .\items\loottables\dailoneskill0005.dbr</v>
      </c>
      <c r="Y32" s="5" t="s">
        <v>36</v>
      </c>
      <c r="Z32" t="str">
        <f t="shared" si="9"/>
        <v xml:space="preserve"> dailCompDescArcanist30=^pArcanist's Gift of DAIL</v>
      </c>
      <c r="AA32" t="str">
        <f t="shared" si="17"/>
        <v>dailCompTextArcanist30=^oThis feels warm to the touch, almost familiar ^w(This component fits into all Jewellery slots including the Belt And Shoulder)</v>
      </c>
      <c r="AB32" s="5" t="s">
        <v>36</v>
      </c>
      <c r="AH32">
        <f t="shared" si="19"/>
        <v>27</v>
      </c>
      <c r="AI32">
        <f t="shared" si="13"/>
        <v>28</v>
      </c>
      <c r="AJ32">
        <f t="shared" si="18"/>
        <v>1</v>
      </c>
    </row>
    <row r="33" spans="1:36" x14ac:dyDescent="0.25">
      <c r="A33" s="5" t="s">
        <v>39</v>
      </c>
      <c r="B33" s="5" t="s">
        <v>30</v>
      </c>
      <c r="C33" s="5" t="str">
        <f t="shared" si="0"/>
        <v>description,dailCompDescArcanist31,</v>
      </c>
      <c r="D33" s="5" t="str">
        <f t="shared" si="2"/>
        <v>itemText,dailCompTextArcanist31,</v>
      </c>
      <c r="E33" s="5" t="str">
        <f t="shared" si="14"/>
        <v>augmentSkillLevel1,1,</v>
      </c>
      <c r="F33" s="5" t="str">
        <f t="shared" si="15"/>
        <v>augmentSkillName1,records/skills/playerclass05/passive02.dbr,</v>
      </c>
      <c r="G33" s="7">
        <f t="shared" si="10"/>
        <v>31</v>
      </c>
      <c r="H33" s="8" t="str">
        <f t="shared" si="11"/>
        <v>Arcanist</v>
      </c>
      <c r="I33" s="3" t="s">
        <v>337</v>
      </c>
      <c r="J33" s="8" t="str">
        <f t="shared" si="20"/>
        <v>class0005</v>
      </c>
      <c r="K33" s="8" t="str">
        <f t="shared" si="20"/>
        <v>dailoneskill0005</v>
      </c>
      <c r="L33" s="5" t="str">
        <f t="shared" si="4"/>
        <v>lootName31,DAIL/items/materia/class0005/Arcanist31.dbr,</v>
      </c>
      <c r="M33" s="5" t="str">
        <f t="shared" si="5"/>
        <v>lootWeight31,1,</v>
      </c>
      <c r="N33" t="str">
        <f t="shared" si="6"/>
        <v>1</v>
      </c>
      <c r="O33" t="str">
        <f t="shared" si="16"/>
        <v>copy .\dail_base.dbr .\items\materia\class0005\Arcanist31.dbr /y</v>
      </c>
      <c r="P33" t="str">
        <f t="shared" si="7"/>
        <v>echo relicBitmap,items/craftingparts/components/component_a52_bristlyfur_b.tex, &gt;&gt; .\items\materia\class0005\Arcanist31.dbr</v>
      </c>
      <c r="Q33" t="str">
        <f t="shared" si="7"/>
        <v>echo itemCost,500000, &gt;&gt; .\items\materia\class0005\Arcanist31.dbr</v>
      </c>
      <c r="R33" t="str">
        <f t="shared" si="7"/>
        <v>echo description,dailCompDescArcanist31, &gt;&gt; .\items\materia\class0005\Arcanist31.dbr</v>
      </c>
      <c r="S33" t="str">
        <f t="shared" si="7"/>
        <v>echo itemText,dailCompTextArcanist31, &gt;&gt; .\items\materia\class0005\Arcanist31.dbr</v>
      </c>
      <c r="T33" t="str">
        <f t="shared" si="7"/>
        <v>echo augmentSkillLevel1,1, &gt;&gt; .\items\materia\class0005\Arcanist31.dbr</v>
      </c>
      <c r="U33" t="str">
        <f t="shared" si="7"/>
        <v>echo augmentSkillName1,records/skills/playerclass05/passive02.dbr, &gt;&gt; .\items\materia\class0005\Arcanist31.dbr</v>
      </c>
      <c r="V33" s="5" t="s">
        <v>36</v>
      </c>
      <c r="W33" t="str">
        <f t="shared" si="8"/>
        <v>echo lootName31,DAIL/items/materia/class0005/Arcanist31.dbr, &gt;&gt; .\items\loottables\dailoneskill0005.dbr</v>
      </c>
      <c r="X33" t="str">
        <f t="shared" si="8"/>
        <v>echo lootWeight31,1, &gt;&gt; .\items\loottables\dailoneskill0005.dbr</v>
      </c>
      <c r="Y33" s="5" t="s">
        <v>36</v>
      </c>
      <c r="Z33" t="str">
        <f t="shared" si="9"/>
        <v xml:space="preserve"> dailCompDescArcanist31=^pArcanist's Gift of DAIL</v>
      </c>
      <c r="AA33" t="str">
        <f t="shared" si="17"/>
        <v>dailCompTextArcanist31=^oThis feels warm to the touch, almost familiar ^w(This component fits into all Jewellery slots including the Belt And Shoulder)</v>
      </c>
      <c r="AB33" s="5" t="s">
        <v>36</v>
      </c>
      <c r="AH33">
        <f t="shared" si="19"/>
        <v>28</v>
      </c>
      <c r="AI33">
        <f t="shared" si="13"/>
        <v>28</v>
      </c>
      <c r="AJ33">
        <f t="shared" si="18"/>
        <v>1</v>
      </c>
    </row>
    <row r="34" spans="1:36" x14ac:dyDescent="0.25">
      <c r="A34" s="5" t="s">
        <v>39</v>
      </c>
      <c r="B34" s="5" t="s">
        <v>30</v>
      </c>
      <c r="C34" s="5" t="str">
        <f t="shared" si="0"/>
        <v>description,dailCompDescArcanist32,</v>
      </c>
      <c r="D34" s="5" t="str">
        <f t="shared" si="2"/>
        <v>itemText,dailCompTextArcanist32,</v>
      </c>
      <c r="E34" s="5" t="str">
        <f t="shared" si="14"/>
        <v>augmentSkillLevel1,1,</v>
      </c>
      <c r="F34" s="5" t="str">
        <f t="shared" si="15"/>
        <v>augmentSkillName1,records/skills/playerclass05/passive03.dbr,</v>
      </c>
      <c r="G34" s="7">
        <f t="shared" si="10"/>
        <v>32</v>
      </c>
      <c r="H34" s="8" t="str">
        <f t="shared" si="11"/>
        <v>Arcanist</v>
      </c>
      <c r="I34" s="3" t="s">
        <v>338</v>
      </c>
      <c r="J34" s="8" t="str">
        <f t="shared" si="20"/>
        <v>class0005</v>
      </c>
      <c r="K34" s="8" t="str">
        <f t="shared" si="20"/>
        <v>dailoneskill0005</v>
      </c>
      <c r="L34" s="5" t="str">
        <f t="shared" si="4"/>
        <v>lootName32,DAIL/items/materia/class0005/Arcanist32.dbr,</v>
      </c>
      <c r="M34" s="5" t="str">
        <f t="shared" si="5"/>
        <v>lootWeight32,1,</v>
      </c>
      <c r="N34" t="str">
        <f t="shared" si="6"/>
        <v>1</v>
      </c>
      <c r="O34" t="str">
        <f t="shared" si="16"/>
        <v>copy .\dail_base.dbr .\items\materia\class0005\Arcanist32.dbr /y</v>
      </c>
      <c r="P34" t="str">
        <f t="shared" si="7"/>
        <v>echo relicBitmap,items/craftingparts/components/component_a52_bristlyfur_b.tex, &gt;&gt; .\items\materia\class0005\Arcanist32.dbr</v>
      </c>
      <c r="Q34" t="str">
        <f t="shared" si="7"/>
        <v>echo itemCost,500000, &gt;&gt; .\items\materia\class0005\Arcanist32.dbr</v>
      </c>
      <c r="R34" t="str">
        <f t="shared" si="7"/>
        <v>echo description,dailCompDescArcanist32, &gt;&gt; .\items\materia\class0005\Arcanist32.dbr</v>
      </c>
      <c r="S34" t="str">
        <f t="shared" si="7"/>
        <v>echo itemText,dailCompTextArcanist32, &gt;&gt; .\items\materia\class0005\Arcanist32.dbr</v>
      </c>
      <c r="T34" t="str">
        <f t="shared" si="7"/>
        <v>echo augmentSkillLevel1,1, &gt;&gt; .\items\materia\class0005\Arcanist32.dbr</v>
      </c>
      <c r="U34" t="str">
        <f t="shared" si="7"/>
        <v>echo augmentSkillName1,records/skills/playerclass05/passive03.dbr, &gt;&gt; .\items\materia\class0005\Arcanist32.dbr</v>
      </c>
      <c r="V34" s="5" t="s">
        <v>36</v>
      </c>
      <c r="W34" t="str">
        <f t="shared" si="8"/>
        <v>echo lootName32,DAIL/items/materia/class0005/Arcanist32.dbr, &gt;&gt; .\items\loottables\dailoneskill0005.dbr</v>
      </c>
      <c r="X34" t="str">
        <f t="shared" si="8"/>
        <v>echo lootWeight32,1, &gt;&gt; .\items\loottables\dailoneskill0005.dbr</v>
      </c>
      <c r="Y34" s="5" t="s">
        <v>36</v>
      </c>
      <c r="Z34" t="str">
        <f t="shared" si="9"/>
        <v xml:space="preserve"> dailCompDescArcanist32=^pArcanist's Gift of DAIL</v>
      </c>
      <c r="AA34" t="str">
        <f t="shared" si="17"/>
        <v>dailCompTextArcanist32=^oThis feels warm to the touch, almost familiar ^w(This component fits into all Jewellery slots including the Belt And Shoulder)</v>
      </c>
      <c r="AB34" s="5" t="s">
        <v>36</v>
      </c>
      <c r="AH34">
        <f t="shared" si="19"/>
        <v>29</v>
      </c>
      <c r="AI34">
        <f t="shared" si="13"/>
        <v>28</v>
      </c>
      <c r="AJ34">
        <f t="shared" si="18"/>
        <v>1</v>
      </c>
    </row>
    <row r="35" spans="1:36" x14ac:dyDescent="0.25">
      <c r="A35" s="5" t="s">
        <v>39</v>
      </c>
      <c r="B35" s="5" t="s">
        <v>30</v>
      </c>
      <c r="C35" s="5" t="str">
        <f t="shared" si="0"/>
        <v>description,dailCompDescArcanist33,</v>
      </c>
      <c r="D35" s="5" t="str">
        <f t="shared" si="2"/>
        <v>itemText,dailCompTextArcanist33,</v>
      </c>
      <c r="E35" s="5" t="str">
        <f t="shared" si="14"/>
        <v>augmentSkillLevel1,3,</v>
      </c>
      <c r="F35" s="5" t="str">
        <f t="shared" si="15"/>
        <v>augmentSkillName1,records/skills/playerclass05/passive04.dbr,</v>
      </c>
      <c r="G35" s="7">
        <f t="shared" si="10"/>
        <v>33</v>
      </c>
      <c r="H35" s="8" t="str">
        <f t="shared" si="11"/>
        <v>Arcanist</v>
      </c>
      <c r="I35" s="3" t="s">
        <v>339</v>
      </c>
      <c r="J35" s="8" t="str">
        <f t="shared" si="20"/>
        <v>class0005</v>
      </c>
      <c r="K35" s="8" t="str">
        <f t="shared" si="20"/>
        <v>dailoneskill0005</v>
      </c>
      <c r="L35" s="5" t="str">
        <f t="shared" si="4"/>
        <v>lootName33,DAIL/items/materia/class0005/Arcanist33.dbr,</v>
      </c>
      <c r="M35" s="5" t="str">
        <f t="shared" si="5"/>
        <v>lootWeight33,1,</v>
      </c>
      <c r="N35" t="str">
        <f t="shared" si="6"/>
        <v>3</v>
      </c>
      <c r="O35" t="str">
        <f t="shared" si="16"/>
        <v>copy .\dail_base3.dbr .\items\materia\class0005\Arcanist33.dbr /y</v>
      </c>
      <c r="P35" t="str">
        <f t="shared" si="7"/>
        <v>echo relicBitmap,items/craftingparts/components/component_a52_bristlyfur_b.tex, &gt;&gt; .\items\materia\class0005\Arcanist33.dbr</v>
      </c>
      <c r="Q35" t="str">
        <f t="shared" si="7"/>
        <v>echo itemCost,500000, &gt;&gt; .\items\materia\class0005\Arcanist33.dbr</v>
      </c>
      <c r="R35" t="str">
        <f t="shared" si="7"/>
        <v>echo description,dailCompDescArcanist33, &gt;&gt; .\items\materia\class0005\Arcanist33.dbr</v>
      </c>
      <c r="S35" t="str">
        <f t="shared" si="7"/>
        <v>echo itemText,dailCompTextArcanist33, &gt;&gt; .\items\materia\class0005\Arcanist33.dbr</v>
      </c>
      <c r="T35" t="str">
        <f t="shared" si="7"/>
        <v>echo augmentSkillLevel1,3, &gt;&gt; .\items\materia\class0005\Arcanist33.dbr</v>
      </c>
      <c r="U35" t="str">
        <f t="shared" si="7"/>
        <v>echo augmentSkillName1,records/skills/playerclass05/passive04.dbr, &gt;&gt; .\items\materia\class0005\Arcanist33.dbr</v>
      </c>
      <c r="V35" s="5" t="s">
        <v>36</v>
      </c>
      <c r="W35" t="str">
        <f t="shared" si="8"/>
        <v>echo lootName33,DAIL/items/materia/class0005/Arcanist33.dbr, &gt;&gt; .\items\loottables\dailoneskill0005.dbr</v>
      </c>
      <c r="X35" t="str">
        <f t="shared" si="8"/>
        <v>echo lootWeight33,1, &gt;&gt; .\items\loottables\dailoneskill0005.dbr</v>
      </c>
      <c r="Y35" s="5" t="s">
        <v>36</v>
      </c>
      <c r="Z35" t="str">
        <f t="shared" si="9"/>
        <v xml:space="preserve"> dailCompDescArcanist33=^pArcanist's Gift of DAIL</v>
      </c>
      <c r="AA35" t="str">
        <f t="shared" si="17"/>
        <v>dailCompTextArcanist33=^oThis feels warm to the touch, almost familiar ^w(This component only fits into the Medal Slot)</v>
      </c>
      <c r="AB35" s="5" t="s">
        <v>36</v>
      </c>
      <c r="AH35">
        <f t="shared" si="19"/>
        <v>30</v>
      </c>
      <c r="AI35">
        <f t="shared" si="13"/>
        <v>28</v>
      </c>
      <c r="AJ35">
        <f t="shared" si="18"/>
        <v>3</v>
      </c>
    </row>
    <row r="36" spans="1:36" x14ac:dyDescent="0.25">
      <c r="A36" s="5" t="s">
        <v>39</v>
      </c>
      <c r="B36" s="5" t="s">
        <v>30</v>
      </c>
      <c r="C36" s="5" t="str">
        <f t="shared" si="0"/>
        <v>description,dailCompDescArcanist34,</v>
      </c>
      <c r="D36" s="5" t="str">
        <f t="shared" si="2"/>
        <v>itemText,dailCompTextArcanist34,</v>
      </c>
      <c r="E36" s="5" t="str">
        <f t="shared" si="14"/>
        <v>augmentSkillLevel1,3,</v>
      </c>
      <c r="F36" s="5" t="str">
        <f t="shared" si="15"/>
        <v>augmentSkillName1,records/skills/playerclass05/devastation.dbr,</v>
      </c>
      <c r="G36" s="7">
        <f t="shared" si="10"/>
        <v>34</v>
      </c>
      <c r="H36" s="8" t="str">
        <f t="shared" si="11"/>
        <v>Arcanist</v>
      </c>
      <c r="I36" s="3" t="s">
        <v>131</v>
      </c>
      <c r="J36" s="8" t="str">
        <f t="shared" si="20"/>
        <v>class0005</v>
      </c>
      <c r="K36" s="8" t="str">
        <f t="shared" si="20"/>
        <v>dailoneskill0005</v>
      </c>
      <c r="L36" s="5" t="str">
        <f t="shared" si="4"/>
        <v>lootName34,DAIL/items/materia/class0005/Arcanist34.dbr,</v>
      </c>
      <c r="M36" s="5" t="str">
        <f t="shared" si="5"/>
        <v>lootWeight34,1,</v>
      </c>
      <c r="N36" t="str">
        <f t="shared" si="6"/>
        <v>3</v>
      </c>
      <c r="O36" t="str">
        <f t="shared" si="16"/>
        <v>copy .\dail_base3.dbr .\items\materia\class0005\Arcanist34.dbr /y</v>
      </c>
      <c r="P36" t="str">
        <f t="shared" si="7"/>
        <v>echo relicBitmap,items/craftingparts/components/component_a52_bristlyfur_b.tex, &gt;&gt; .\items\materia\class0005\Arcanist34.dbr</v>
      </c>
      <c r="Q36" t="str">
        <f t="shared" si="7"/>
        <v>echo itemCost,500000, &gt;&gt; .\items\materia\class0005\Arcanist34.dbr</v>
      </c>
      <c r="R36" t="str">
        <f t="shared" si="7"/>
        <v>echo description,dailCompDescArcanist34, &gt;&gt; .\items\materia\class0005\Arcanist34.dbr</v>
      </c>
      <c r="S36" t="str">
        <f t="shared" si="7"/>
        <v>echo itemText,dailCompTextArcanist34, &gt;&gt; .\items\materia\class0005\Arcanist34.dbr</v>
      </c>
      <c r="T36" t="str">
        <f t="shared" si="7"/>
        <v>echo augmentSkillLevel1,3, &gt;&gt; .\items\materia\class0005\Arcanist34.dbr</v>
      </c>
      <c r="U36" t="str">
        <f t="shared" si="7"/>
        <v>echo augmentSkillName1,records/skills/playerclass05/devastation.dbr, &gt;&gt; .\items\materia\class0005\Arcanist34.dbr</v>
      </c>
      <c r="V36" s="5" t="s">
        <v>36</v>
      </c>
      <c r="W36" t="str">
        <f t="shared" si="8"/>
        <v>echo lootName34,DAIL/items/materia/class0005/Arcanist34.dbr, &gt;&gt; .\items\loottables\dailoneskill0005.dbr</v>
      </c>
      <c r="X36" t="str">
        <f t="shared" si="8"/>
        <v>echo lootWeight34,1, &gt;&gt; .\items\loottables\dailoneskill0005.dbr</v>
      </c>
      <c r="Y36" s="5" t="s">
        <v>36</v>
      </c>
      <c r="Z36" t="str">
        <f t="shared" si="9"/>
        <v xml:space="preserve"> dailCompDescArcanist34=^pArcanist's Gift of DAIL</v>
      </c>
      <c r="AA36" t="str">
        <f t="shared" si="17"/>
        <v>dailCompTextArcanist34=^oThis feels warm to the touch, almost familiar ^w(This component only fits into the Medal Slot)</v>
      </c>
      <c r="AB36" s="5" t="s">
        <v>36</v>
      </c>
      <c r="AH36">
        <f t="shared" si="19"/>
        <v>31</v>
      </c>
      <c r="AI36">
        <f t="shared" si="13"/>
        <v>30</v>
      </c>
      <c r="AJ36">
        <f t="shared" si="18"/>
        <v>3</v>
      </c>
    </row>
    <row r="37" spans="1:36" x14ac:dyDescent="0.25">
      <c r="A37" s="5" t="s">
        <v>39</v>
      </c>
      <c r="B37" s="5" t="s">
        <v>30</v>
      </c>
      <c r="C37" s="5" t="str">
        <f t="shared" si="0"/>
        <v>description,dailCompDescArcanist35,</v>
      </c>
      <c r="D37" s="5" t="str">
        <f t="shared" si="2"/>
        <v>itemText,dailCompTextArcanist35,</v>
      </c>
      <c r="E37" s="5" t="str">
        <f t="shared" si="14"/>
        <v>augmentSkillLevel1,3,</v>
      </c>
      <c r="F37" s="5" t="str">
        <f t="shared" si="15"/>
        <v>augmentSkillName1,records/skills/playerclass05/arcaneshield.dbr,</v>
      </c>
      <c r="G37" s="7">
        <f t="shared" si="10"/>
        <v>35</v>
      </c>
      <c r="H37" s="8" t="str">
        <f t="shared" si="11"/>
        <v>Arcanist</v>
      </c>
      <c r="I37" s="3" t="s">
        <v>129</v>
      </c>
      <c r="J37" s="8" t="str">
        <f t="shared" ref="J37:K52" si="21">J36</f>
        <v>class0005</v>
      </c>
      <c r="K37" s="8" t="str">
        <f t="shared" si="21"/>
        <v>dailoneskill0005</v>
      </c>
      <c r="L37" s="5" t="str">
        <f t="shared" si="4"/>
        <v>lootName35,DAIL/items/materia/class0005/Arcanist35.dbr,</v>
      </c>
      <c r="M37" s="5" t="str">
        <f t="shared" si="5"/>
        <v>lootWeight35,1,</v>
      </c>
      <c r="N37" t="str">
        <f t="shared" si="6"/>
        <v>3</v>
      </c>
      <c r="O37" t="str">
        <f t="shared" si="16"/>
        <v>copy .\dail_base3.dbr .\items\materia\class0005\Arcanist35.dbr /y</v>
      </c>
      <c r="P37" t="str">
        <f t="shared" si="7"/>
        <v>echo relicBitmap,items/craftingparts/components/component_a52_bristlyfur_b.tex, &gt;&gt; .\items\materia\class0005\Arcanist35.dbr</v>
      </c>
      <c r="Q37" t="str">
        <f t="shared" si="7"/>
        <v>echo itemCost,500000, &gt;&gt; .\items\materia\class0005\Arcanist35.dbr</v>
      </c>
      <c r="R37" t="str">
        <f t="shared" si="7"/>
        <v>echo description,dailCompDescArcanist35, &gt;&gt; .\items\materia\class0005\Arcanist35.dbr</v>
      </c>
      <c r="S37" t="str">
        <f t="shared" si="7"/>
        <v>echo itemText,dailCompTextArcanist35, &gt;&gt; .\items\materia\class0005\Arcanist35.dbr</v>
      </c>
      <c r="T37" t="str">
        <f t="shared" si="7"/>
        <v>echo augmentSkillLevel1,3, &gt;&gt; .\items\materia\class0005\Arcanist35.dbr</v>
      </c>
      <c r="U37" t="str">
        <f t="shared" si="7"/>
        <v>echo augmentSkillName1,records/skills/playerclass05/arcaneshield.dbr, &gt;&gt; .\items\materia\class0005\Arcanist35.dbr</v>
      </c>
      <c r="V37" s="5" t="s">
        <v>36</v>
      </c>
      <c r="W37" t="str">
        <f t="shared" si="8"/>
        <v>echo lootName35,DAIL/items/materia/class0005/Arcanist35.dbr, &gt;&gt; .\items\loottables\dailoneskill0005.dbr</v>
      </c>
      <c r="X37" t="str">
        <f t="shared" si="8"/>
        <v>echo lootWeight35,1, &gt;&gt; .\items\loottables\dailoneskill0005.dbr</v>
      </c>
      <c r="Y37" s="5" t="s">
        <v>36</v>
      </c>
      <c r="Z37" t="str">
        <f t="shared" si="9"/>
        <v xml:space="preserve"> dailCompDescArcanist35=^pArcanist's Gift of DAIL</v>
      </c>
      <c r="AA37" t="str">
        <f t="shared" si="17"/>
        <v>dailCompTextArcanist35=^oThis feels warm to the touch, almost familiar ^w(This component only fits into the Medal Slot)</v>
      </c>
      <c r="AB37" s="5" t="s">
        <v>36</v>
      </c>
      <c r="AH37">
        <f t="shared" si="19"/>
        <v>32</v>
      </c>
      <c r="AI37">
        <f t="shared" si="13"/>
        <v>31</v>
      </c>
      <c r="AJ37">
        <f t="shared" si="18"/>
        <v>3</v>
      </c>
    </row>
    <row r="38" spans="1:36" x14ac:dyDescent="0.25">
      <c r="A38" s="5" t="s">
        <v>39</v>
      </c>
      <c r="B38" s="5" t="s">
        <v>30</v>
      </c>
      <c r="C38" s="5" t="str">
        <f t="shared" si="0"/>
        <v>description,dailCompDescArcanist36,</v>
      </c>
      <c r="D38" s="5" t="str">
        <f t="shared" si="2"/>
        <v>itemText,dailCompTextArcanist36,</v>
      </c>
      <c r="E38" s="5" t="str">
        <f t="shared" si="14"/>
        <v>augmentSkillLevel1,3,</v>
      </c>
      <c r="F38" s="5" t="str">
        <f t="shared" si="15"/>
        <v>augmentSkillName1,records/skills/playerclass05/skyshard1.dbr,</v>
      </c>
      <c r="G38" s="7">
        <f t="shared" si="10"/>
        <v>36</v>
      </c>
      <c r="H38" s="8" t="str">
        <f t="shared" si="11"/>
        <v>Arcanist</v>
      </c>
      <c r="I38" s="3" t="s">
        <v>136</v>
      </c>
      <c r="J38" s="8" t="str">
        <f t="shared" si="21"/>
        <v>class0005</v>
      </c>
      <c r="K38" s="8" t="str">
        <f t="shared" si="21"/>
        <v>dailoneskill0005</v>
      </c>
      <c r="L38" s="5" t="str">
        <f t="shared" si="4"/>
        <v>lootName36,DAIL/items/materia/class0005/Arcanist36.dbr,</v>
      </c>
      <c r="M38" s="5" t="str">
        <f t="shared" si="5"/>
        <v>lootWeight36,1,</v>
      </c>
      <c r="N38" t="str">
        <f t="shared" si="6"/>
        <v>3</v>
      </c>
      <c r="O38" t="str">
        <f t="shared" si="16"/>
        <v>copy .\dail_base3.dbr .\items\materia\class0005\Arcanist36.dbr /y</v>
      </c>
      <c r="P38" t="str">
        <f t="shared" si="7"/>
        <v>echo relicBitmap,items/craftingparts/components/component_a52_bristlyfur_b.tex, &gt;&gt; .\items\materia\class0005\Arcanist36.dbr</v>
      </c>
      <c r="Q38" t="str">
        <f t="shared" si="7"/>
        <v>echo itemCost,500000, &gt;&gt; .\items\materia\class0005\Arcanist36.dbr</v>
      </c>
      <c r="R38" t="str">
        <f t="shared" si="7"/>
        <v>echo description,dailCompDescArcanist36, &gt;&gt; .\items\materia\class0005\Arcanist36.dbr</v>
      </c>
      <c r="S38" t="str">
        <f t="shared" si="7"/>
        <v>echo itemText,dailCompTextArcanist36, &gt;&gt; .\items\materia\class0005\Arcanist36.dbr</v>
      </c>
      <c r="T38" t="str">
        <f t="shared" si="7"/>
        <v>echo augmentSkillLevel1,3, &gt;&gt; .\items\materia\class0005\Arcanist36.dbr</v>
      </c>
      <c r="U38" t="str">
        <f t="shared" si="7"/>
        <v>echo augmentSkillName1,records/skills/playerclass05/skyshard1.dbr, &gt;&gt; .\items\materia\class0005\Arcanist36.dbr</v>
      </c>
      <c r="V38" s="5" t="s">
        <v>36</v>
      </c>
      <c r="W38" t="str">
        <f t="shared" si="8"/>
        <v>echo lootName36,DAIL/items/materia/class0005/Arcanist36.dbr, &gt;&gt; .\items\loottables\dailoneskill0005.dbr</v>
      </c>
      <c r="X38" t="str">
        <f t="shared" si="8"/>
        <v>echo lootWeight36,1, &gt;&gt; .\items\loottables\dailoneskill0005.dbr</v>
      </c>
      <c r="Y38" s="5" t="s">
        <v>36</v>
      </c>
      <c r="Z38" t="str">
        <f t="shared" si="9"/>
        <v xml:space="preserve"> dailCompDescArcanist36=^pArcanist's Gift of DAIL</v>
      </c>
      <c r="AA38" t="str">
        <f t="shared" si="17"/>
        <v>dailCompTextArcanist36=^oThis feels warm to the touch, almost familiar ^w(This component only fits into the Medal Slot)</v>
      </c>
      <c r="AB38" s="5" t="s">
        <v>36</v>
      </c>
      <c r="AH38">
        <f t="shared" si="19"/>
        <v>33</v>
      </c>
      <c r="AI38">
        <f t="shared" ref="AI38:AI69" si="22">LEN(I38)</f>
        <v>28</v>
      </c>
      <c r="AJ38">
        <f t="shared" si="18"/>
        <v>3</v>
      </c>
    </row>
    <row r="39" spans="1:36" x14ac:dyDescent="0.25">
      <c r="A39" s="5" t="s">
        <v>39</v>
      </c>
      <c r="B39" s="5" t="s">
        <v>30</v>
      </c>
      <c r="C39" s="5" t="str">
        <f t="shared" si="0"/>
        <v>description,dailCompDescArcanist37,</v>
      </c>
      <c r="D39" s="5" t="str">
        <f t="shared" si="2"/>
        <v>itemText,dailCompTextArcanist37,</v>
      </c>
      <c r="E39" s="5" t="str">
        <f t="shared" si="14"/>
        <v>augmentSkillLevel1,3,</v>
      </c>
      <c r="F39" s="5" t="str">
        <f t="shared" si="15"/>
        <v>augmentSkillName1,records/skills/playerclass05/skyshard2.dbr,</v>
      </c>
      <c r="G39" s="7">
        <f t="shared" si="10"/>
        <v>37</v>
      </c>
      <c r="H39" s="8" t="str">
        <f t="shared" si="11"/>
        <v>Arcanist</v>
      </c>
      <c r="I39" s="3" t="s">
        <v>321</v>
      </c>
      <c r="J39" s="8" t="str">
        <f t="shared" si="21"/>
        <v>class0005</v>
      </c>
      <c r="K39" s="8" t="str">
        <f t="shared" si="21"/>
        <v>dailoneskill0005</v>
      </c>
      <c r="L39" s="5" t="str">
        <f t="shared" si="4"/>
        <v>lootName37,DAIL/items/materia/class0005/Arcanist37.dbr,</v>
      </c>
      <c r="M39" s="5" t="str">
        <f t="shared" si="5"/>
        <v>lootWeight37,1,</v>
      </c>
      <c r="N39" t="str">
        <f t="shared" si="6"/>
        <v>3</v>
      </c>
      <c r="O39" t="str">
        <f t="shared" si="16"/>
        <v>copy .\dail_base3.dbr .\items\materia\class0005\Arcanist37.dbr /y</v>
      </c>
      <c r="P39" t="str">
        <f t="shared" si="7"/>
        <v>echo relicBitmap,items/craftingparts/components/component_a52_bristlyfur_b.tex, &gt;&gt; .\items\materia\class0005\Arcanist37.dbr</v>
      </c>
      <c r="Q39" t="str">
        <f t="shared" si="7"/>
        <v>echo itemCost,500000, &gt;&gt; .\items\materia\class0005\Arcanist37.dbr</v>
      </c>
      <c r="R39" t="str">
        <f t="shared" si="7"/>
        <v>echo description,dailCompDescArcanist37, &gt;&gt; .\items\materia\class0005\Arcanist37.dbr</v>
      </c>
      <c r="S39" t="str">
        <f t="shared" si="7"/>
        <v>echo itemText,dailCompTextArcanist37, &gt;&gt; .\items\materia\class0005\Arcanist37.dbr</v>
      </c>
      <c r="T39" t="str">
        <f t="shared" si="7"/>
        <v>echo augmentSkillLevel1,3, &gt;&gt; .\items\materia\class0005\Arcanist37.dbr</v>
      </c>
      <c r="U39" t="str">
        <f t="shared" si="7"/>
        <v>echo augmentSkillName1,records/skills/playerclass05/skyshard2.dbr, &gt;&gt; .\items\materia\class0005\Arcanist37.dbr</v>
      </c>
      <c r="V39" s="5" t="s">
        <v>36</v>
      </c>
      <c r="W39" t="str">
        <f t="shared" si="8"/>
        <v>echo lootName37,DAIL/items/materia/class0005/Arcanist37.dbr, &gt;&gt; .\items\loottables\dailoneskill0005.dbr</v>
      </c>
      <c r="X39" t="str">
        <f t="shared" si="8"/>
        <v>echo lootWeight37,1, &gt;&gt; .\items\loottables\dailoneskill0005.dbr</v>
      </c>
      <c r="Y39" s="5" t="s">
        <v>36</v>
      </c>
      <c r="Z39" t="str">
        <f t="shared" si="9"/>
        <v xml:space="preserve"> dailCompDescArcanist37=^pArcanist's Gift of DAIL</v>
      </c>
      <c r="AA39" t="str">
        <f t="shared" si="17"/>
        <v>dailCompTextArcanist37=^oThis feels warm to the touch, almost familiar ^w(This component only fits into the Medal Slot)</v>
      </c>
      <c r="AB39" s="5" t="s">
        <v>36</v>
      </c>
      <c r="AH39">
        <f t="shared" si="19"/>
        <v>34</v>
      </c>
      <c r="AI39">
        <f t="shared" si="22"/>
        <v>28</v>
      </c>
      <c r="AJ39">
        <f t="shared" si="18"/>
        <v>3</v>
      </c>
    </row>
    <row r="40" spans="1:36" x14ac:dyDescent="0.25">
      <c r="A40" s="5" t="s">
        <v>39</v>
      </c>
      <c r="B40" s="5" t="s">
        <v>30</v>
      </c>
      <c r="C40" s="5" t="str">
        <f t="shared" si="0"/>
        <v>description,dailCompDescArcanist38,</v>
      </c>
      <c r="D40" s="5" t="str">
        <f t="shared" si="2"/>
        <v>itemText,dailCompTextArcanist38,</v>
      </c>
      <c r="E40" s="5" t="str">
        <f t="shared" si="14"/>
        <v>augmentSkillLevel1,3,</v>
      </c>
      <c r="F40" s="5" t="str">
        <f t="shared" si="15"/>
        <v>augmentSkillName1,records/skills/playerclass05/skyshard3.dbr,</v>
      </c>
      <c r="G40" s="7">
        <f t="shared" si="10"/>
        <v>38</v>
      </c>
      <c r="H40" s="8" t="str">
        <f t="shared" si="11"/>
        <v>Arcanist</v>
      </c>
      <c r="I40" s="3" t="s">
        <v>322</v>
      </c>
      <c r="J40" s="8" t="str">
        <f t="shared" si="21"/>
        <v>class0005</v>
      </c>
      <c r="K40" s="8" t="str">
        <f t="shared" si="21"/>
        <v>dailoneskill0005</v>
      </c>
      <c r="L40" s="5" t="str">
        <f t="shared" si="4"/>
        <v>lootName38,DAIL/items/materia/class0005/Arcanist38.dbr,</v>
      </c>
      <c r="M40" s="5" t="str">
        <f t="shared" si="5"/>
        <v>lootWeight38,1,</v>
      </c>
      <c r="N40" t="str">
        <f t="shared" si="6"/>
        <v>3</v>
      </c>
      <c r="O40" t="str">
        <f t="shared" si="16"/>
        <v>copy .\dail_base3.dbr .\items\materia\class0005\Arcanist38.dbr /y</v>
      </c>
      <c r="P40" t="str">
        <f t="shared" si="7"/>
        <v>echo relicBitmap,items/craftingparts/components/component_a52_bristlyfur_b.tex, &gt;&gt; .\items\materia\class0005\Arcanist38.dbr</v>
      </c>
      <c r="Q40" t="str">
        <f t="shared" si="7"/>
        <v>echo itemCost,500000, &gt;&gt; .\items\materia\class0005\Arcanist38.dbr</v>
      </c>
      <c r="R40" t="str">
        <f t="shared" si="7"/>
        <v>echo description,dailCompDescArcanist38, &gt;&gt; .\items\materia\class0005\Arcanist38.dbr</v>
      </c>
      <c r="S40" t="str">
        <f t="shared" si="7"/>
        <v>echo itemText,dailCompTextArcanist38, &gt;&gt; .\items\materia\class0005\Arcanist38.dbr</v>
      </c>
      <c r="T40" t="str">
        <f t="shared" si="7"/>
        <v>echo augmentSkillLevel1,3, &gt;&gt; .\items\materia\class0005\Arcanist38.dbr</v>
      </c>
      <c r="U40" t="str">
        <f t="shared" si="7"/>
        <v>echo augmentSkillName1,records/skills/playerclass05/skyshard3.dbr, &gt;&gt; .\items\materia\class0005\Arcanist38.dbr</v>
      </c>
      <c r="V40" s="5" t="s">
        <v>36</v>
      </c>
      <c r="W40" t="str">
        <f t="shared" si="8"/>
        <v>echo lootName38,DAIL/items/materia/class0005/Arcanist38.dbr, &gt;&gt; .\items\loottables\dailoneskill0005.dbr</v>
      </c>
      <c r="X40" t="str">
        <f t="shared" si="8"/>
        <v>echo lootWeight38,1, &gt;&gt; .\items\loottables\dailoneskill0005.dbr</v>
      </c>
      <c r="Y40" s="5" t="s">
        <v>36</v>
      </c>
      <c r="Z40" t="str">
        <f t="shared" si="9"/>
        <v xml:space="preserve"> dailCompDescArcanist38=^pArcanist's Gift of DAIL</v>
      </c>
      <c r="AA40" t="str">
        <f t="shared" si="17"/>
        <v>dailCompTextArcanist38=^oThis feels warm to the touch, almost familiar ^w(This component only fits into the Medal Slot)</v>
      </c>
      <c r="AB40" s="5" t="s">
        <v>36</v>
      </c>
      <c r="AH40">
        <f t="shared" si="19"/>
        <v>35</v>
      </c>
      <c r="AI40">
        <f t="shared" si="22"/>
        <v>28</v>
      </c>
      <c r="AJ40">
        <f t="shared" si="18"/>
        <v>3</v>
      </c>
    </row>
    <row r="41" spans="1:36" x14ac:dyDescent="0.25">
      <c r="A41" s="5" t="s">
        <v>39</v>
      </c>
      <c r="B41" s="5" t="s">
        <v>30</v>
      </c>
      <c r="C41" s="5" t="str">
        <f t="shared" si="0"/>
        <v>description,dailCompDescArcanist39,</v>
      </c>
      <c r="D41" s="5" t="str">
        <f t="shared" si="2"/>
        <v>itemText,dailCompTextArcanist39,</v>
      </c>
      <c r="E41" s="5" t="str">
        <f t="shared" si="14"/>
        <v>augmentSkillLevel1,3,</v>
      </c>
      <c r="F41" s="5" t="str">
        <f t="shared" si="15"/>
        <v>augmentSkillName1,records/skills/playerclass05/mindovermatter1.dbr,</v>
      </c>
      <c r="G41" s="7">
        <f t="shared" si="10"/>
        <v>39</v>
      </c>
      <c r="H41" s="8" t="str">
        <f t="shared" si="11"/>
        <v>Arcanist</v>
      </c>
      <c r="I41" s="3" t="s">
        <v>133</v>
      </c>
      <c r="J41" s="8" t="str">
        <f t="shared" si="21"/>
        <v>class0005</v>
      </c>
      <c r="K41" s="8" t="str">
        <f t="shared" si="21"/>
        <v>dailoneskill0005</v>
      </c>
      <c r="L41" s="5" t="str">
        <f t="shared" si="4"/>
        <v>lootName39,DAIL/items/materia/class0005/Arcanist39.dbr,</v>
      </c>
      <c r="M41" s="5" t="str">
        <f t="shared" si="5"/>
        <v>lootWeight39,1,</v>
      </c>
      <c r="N41" t="str">
        <f t="shared" si="6"/>
        <v>3</v>
      </c>
      <c r="O41" t="str">
        <f t="shared" si="16"/>
        <v>copy .\dail_base3.dbr .\items\materia\class0005\Arcanist39.dbr /y</v>
      </c>
      <c r="P41" t="str">
        <f t="shared" si="7"/>
        <v>echo relicBitmap,items/craftingparts/components/component_a52_bristlyfur_b.tex, &gt;&gt; .\items\materia\class0005\Arcanist39.dbr</v>
      </c>
      <c r="Q41" t="str">
        <f t="shared" si="7"/>
        <v>echo itemCost,500000, &gt;&gt; .\items\materia\class0005\Arcanist39.dbr</v>
      </c>
      <c r="R41" t="str">
        <f t="shared" si="7"/>
        <v>echo description,dailCompDescArcanist39, &gt;&gt; .\items\materia\class0005\Arcanist39.dbr</v>
      </c>
      <c r="S41" t="str">
        <f t="shared" si="7"/>
        <v>echo itemText,dailCompTextArcanist39, &gt;&gt; .\items\materia\class0005\Arcanist39.dbr</v>
      </c>
      <c r="T41" t="str">
        <f t="shared" si="7"/>
        <v>echo augmentSkillLevel1,3, &gt;&gt; .\items\materia\class0005\Arcanist39.dbr</v>
      </c>
      <c r="U41" t="str">
        <f t="shared" si="7"/>
        <v>echo augmentSkillName1,records/skills/playerclass05/mindovermatter1.dbr, &gt;&gt; .\items\materia\class0005\Arcanist39.dbr</v>
      </c>
      <c r="V41" s="5" t="s">
        <v>36</v>
      </c>
      <c r="W41" t="str">
        <f t="shared" si="8"/>
        <v>echo lootName39,DAIL/items/materia/class0005/Arcanist39.dbr, &gt;&gt; .\items\loottables\dailoneskill0005.dbr</v>
      </c>
      <c r="X41" t="str">
        <f t="shared" si="8"/>
        <v>echo lootWeight39,1, &gt;&gt; .\items\loottables\dailoneskill0005.dbr</v>
      </c>
      <c r="Y41" s="5" t="s">
        <v>36</v>
      </c>
      <c r="Z41" t="str">
        <f t="shared" si="9"/>
        <v xml:space="preserve"> dailCompDescArcanist39=^pArcanist's Gift of DAIL</v>
      </c>
      <c r="AA41" t="str">
        <f t="shared" si="17"/>
        <v>dailCompTextArcanist39=^oThis feels warm to the touch, almost familiar ^w(This component only fits into the Medal Slot)</v>
      </c>
      <c r="AB41" s="5" t="s">
        <v>36</v>
      </c>
      <c r="AH41">
        <f t="shared" si="19"/>
        <v>36</v>
      </c>
      <c r="AI41">
        <f t="shared" si="22"/>
        <v>34</v>
      </c>
      <c r="AJ41">
        <f t="shared" si="18"/>
        <v>3</v>
      </c>
    </row>
    <row r="42" spans="1:36" x14ac:dyDescent="0.25">
      <c r="A42" s="5" t="s">
        <v>39</v>
      </c>
      <c r="B42" s="5" t="s">
        <v>30</v>
      </c>
      <c r="C42" s="5" t="str">
        <f t="shared" si="0"/>
        <v>description,dailCompDescArcanist40,</v>
      </c>
      <c r="D42" s="5" t="str">
        <f t="shared" si="2"/>
        <v>itemText,dailCompTextArcanist40,</v>
      </c>
      <c r="E42" s="5" t="str">
        <f t="shared" si="14"/>
        <v>augmentSkillLevel1,3,</v>
      </c>
      <c r="F42" s="5" t="str">
        <f t="shared" si="15"/>
        <v>augmentSkillName1,records/skills/playerclass05/mindovermatter2.dbr,</v>
      </c>
      <c r="G42" s="7">
        <f t="shared" si="10"/>
        <v>40</v>
      </c>
      <c r="H42" s="8" t="str">
        <f t="shared" si="11"/>
        <v>Arcanist</v>
      </c>
      <c r="I42" s="3" t="s">
        <v>323</v>
      </c>
      <c r="J42" s="8" t="str">
        <f t="shared" si="21"/>
        <v>class0005</v>
      </c>
      <c r="K42" s="8" t="str">
        <f t="shared" si="21"/>
        <v>dailoneskill0005</v>
      </c>
      <c r="L42" s="5" t="str">
        <f t="shared" si="4"/>
        <v>lootName40,DAIL/items/materia/class0005/Arcanist40.dbr,</v>
      </c>
      <c r="M42" s="5" t="str">
        <f t="shared" si="5"/>
        <v>lootWeight40,1,</v>
      </c>
      <c r="N42" t="str">
        <f t="shared" si="6"/>
        <v>3</v>
      </c>
      <c r="O42" t="str">
        <f t="shared" si="16"/>
        <v>copy .\dail_base3.dbr .\items\materia\class0005\Arcanist40.dbr /y</v>
      </c>
      <c r="P42" t="str">
        <f t="shared" si="7"/>
        <v>echo relicBitmap,items/craftingparts/components/component_a52_bristlyfur_b.tex, &gt;&gt; .\items\materia\class0005\Arcanist40.dbr</v>
      </c>
      <c r="Q42" t="str">
        <f t="shared" si="7"/>
        <v>echo itemCost,500000, &gt;&gt; .\items\materia\class0005\Arcanist40.dbr</v>
      </c>
      <c r="R42" t="str">
        <f t="shared" si="7"/>
        <v>echo description,dailCompDescArcanist40, &gt;&gt; .\items\materia\class0005\Arcanist40.dbr</v>
      </c>
      <c r="S42" t="str">
        <f t="shared" si="7"/>
        <v>echo itemText,dailCompTextArcanist40, &gt;&gt; .\items\materia\class0005\Arcanist40.dbr</v>
      </c>
      <c r="T42" t="str">
        <f t="shared" si="7"/>
        <v>echo augmentSkillLevel1,3, &gt;&gt; .\items\materia\class0005\Arcanist40.dbr</v>
      </c>
      <c r="U42" t="str">
        <f t="shared" si="7"/>
        <v>echo augmentSkillName1,records/skills/playerclass05/mindovermatter2.dbr, &gt;&gt; .\items\materia\class0005\Arcanist40.dbr</v>
      </c>
      <c r="V42" s="5" t="s">
        <v>36</v>
      </c>
      <c r="W42" t="str">
        <f t="shared" si="8"/>
        <v>echo lootName40,DAIL/items/materia/class0005/Arcanist40.dbr, &gt;&gt; .\items\loottables\dailoneskill0005.dbr</v>
      </c>
      <c r="X42" t="str">
        <f t="shared" si="8"/>
        <v>echo lootWeight40,1, &gt;&gt; .\items\loottables\dailoneskill0005.dbr</v>
      </c>
      <c r="Y42" s="5" t="s">
        <v>36</v>
      </c>
      <c r="Z42" t="str">
        <f t="shared" si="9"/>
        <v xml:space="preserve"> dailCompDescArcanist40=^pArcanist's Gift of DAIL</v>
      </c>
      <c r="AA42" t="str">
        <f t="shared" si="17"/>
        <v>dailCompTextArcanist40=^oThis feels warm to the touch, almost familiar ^w(This component only fits into the Medal Slot)</v>
      </c>
      <c r="AB42" s="5" t="s">
        <v>36</v>
      </c>
      <c r="AH42">
        <f t="shared" si="19"/>
        <v>37</v>
      </c>
      <c r="AI42">
        <f t="shared" si="22"/>
        <v>34</v>
      </c>
      <c r="AJ42">
        <f t="shared" si="18"/>
        <v>3</v>
      </c>
    </row>
    <row r="43" spans="1:36" x14ac:dyDescent="0.25">
      <c r="A43" s="5" t="s">
        <v>39</v>
      </c>
      <c r="B43" s="5" t="s">
        <v>30</v>
      </c>
      <c r="C43" s="5" t="str">
        <f t="shared" si="0"/>
        <v>description,dailCompDescArcanist41,</v>
      </c>
      <c r="D43" s="5" t="str">
        <f t="shared" si="2"/>
        <v>itemText,dailCompTextArcanist41,</v>
      </c>
      <c r="E43" s="5" t="str">
        <f t="shared" si="14"/>
        <v>augmentSkillLevel1,3,</v>
      </c>
      <c r="F43" s="5" t="str">
        <f t="shared" si="15"/>
        <v>augmentSkillName1,records/skills/playerclass05/nullification.dbr,</v>
      </c>
      <c r="G43" s="7">
        <f t="shared" si="10"/>
        <v>41</v>
      </c>
      <c r="H43" s="8" t="str">
        <f t="shared" si="11"/>
        <v>Arcanist</v>
      </c>
      <c r="I43" s="3" t="s">
        <v>134</v>
      </c>
      <c r="J43" s="8" t="str">
        <f t="shared" si="21"/>
        <v>class0005</v>
      </c>
      <c r="K43" s="8" t="str">
        <f t="shared" si="21"/>
        <v>dailoneskill0005</v>
      </c>
      <c r="L43" s="5" t="str">
        <f t="shared" si="4"/>
        <v>lootName41,DAIL/items/materia/class0005/Arcanist41.dbr,</v>
      </c>
      <c r="M43" s="5" t="str">
        <f t="shared" si="5"/>
        <v>lootWeight41,1,</v>
      </c>
      <c r="N43" t="str">
        <f t="shared" si="6"/>
        <v>3</v>
      </c>
      <c r="O43" t="str">
        <f t="shared" si="16"/>
        <v>copy .\dail_base3.dbr .\items\materia\class0005\Arcanist41.dbr /y</v>
      </c>
      <c r="P43" t="str">
        <f t="shared" si="7"/>
        <v>echo relicBitmap,items/craftingparts/components/component_a52_bristlyfur_b.tex, &gt;&gt; .\items\materia\class0005\Arcanist41.dbr</v>
      </c>
      <c r="Q43" t="str">
        <f t="shared" si="7"/>
        <v>echo itemCost,500000, &gt;&gt; .\items\materia\class0005\Arcanist41.dbr</v>
      </c>
      <c r="R43" t="str">
        <f t="shared" si="7"/>
        <v>echo description,dailCompDescArcanist41, &gt;&gt; .\items\materia\class0005\Arcanist41.dbr</v>
      </c>
      <c r="S43" t="str">
        <f t="shared" si="7"/>
        <v>echo itemText,dailCompTextArcanist41, &gt;&gt; .\items\materia\class0005\Arcanist41.dbr</v>
      </c>
      <c r="T43" t="str">
        <f t="shared" si="7"/>
        <v>echo augmentSkillLevel1,3, &gt;&gt; .\items\materia\class0005\Arcanist41.dbr</v>
      </c>
      <c r="U43" t="str">
        <f t="shared" si="7"/>
        <v>echo augmentSkillName1,records/skills/playerclass05/nullification.dbr, &gt;&gt; .\items\materia\class0005\Arcanist41.dbr</v>
      </c>
      <c r="V43" s="5" t="s">
        <v>36</v>
      </c>
      <c r="W43" t="str">
        <f t="shared" si="8"/>
        <v>echo lootName41,DAIL/items/materia/class0005/Arcanist41.dbr, &gt;&gt; .\items\loottables\dailoneskill0005.dbr</v>
      </c>
      <c r="X43" t="str">
        <f t="shared" si="8"/>
        <v>echo lootWeight41,1, &gt;&gt; .\items\loottables\dailoneskill0005.dbr</v>
      </c>
      <c r="Y43" s="5" t="s">
        <v>36</v>
      </c>
      <c r="Z43" t="str">
        <f t="shared" si="9"/>
        <v xml:space="preserve"> dailCompDescArcanist41=^pArcanist's Gift of DAIL</v>
      </c>
      <c r="AA43" t="str">
        <f t="shared" si="17"/>
        <v>dailCompTextArcanist41=^oThis feels warm to the touch, almost familiar ^w(This component only fits into the Medal Slot)</v>
      </c>
      <c r="AB43" s="5" t="s">
        <v>36</v>
      </c>
      <c r="AH43">
        <f t="shared" si="19"/>
        <v>38</v>
      </c>
      <c r="AI43">
        <f t="shared" si="22"/>
        <v>32</v>
      </c>
      <c r="AJ43">
        <f t="shared" si="18"/>
        <v>3</v>
      </c>
    </row>
    <row r="44" spans="1:36" x14ac:dyDescent="0.25">
      <c r="A44" s="5" t="s">
        <v>39</v>
      </c>
      <c r="B44" s="5" t="s">
        <v>30</v>
      </c>
      <c r="C44" s="5" t="str">
        <f t="shared" si="0"/>
        <v>description,dailCompDescArcanist42,</v>
      </c>
      <c r="D44" s="5" t="str">
        <f t="shared" si="2"/>
        <v>itemText,dailCompTextArcanist42,</v>
      </c>
      <c r="E44" s="5" t="str">
        <f t="shared" si="14"/>
        <v>augmentSkillLevel1,3,</v>
      </c>
      <c r="F44" s="5" t="str">
        <f t="shared" si="15"/>
        <v>augmentSkillName1,records/skills/playerclass05/elementalinfusion1.dbr,</v>
      </c>
      <c r="G44" s="7">
        <f t="shared" si="10"/>
        <v>42</v>
      </c>
      <c r="H44" s="8" t="str">
        <f t="shared" si="11"/>
        <v>Arcanist</v>
      </c>
      <c r="I44" s="3" t="s">
        <v>132</v>
      </c>
      <c r="J44" s="8" t="str">
        <f t="shared" si="21"/>
        <v>class0005</v>
      </c>
      <c r="K44" s="8" t="str">
        <f t="shared" si="21"/>
        <v>dailoneskill0005</v>
      </c>
      <c r="L44" s="5" t="str">
        <f t="shared" si="4"/>
        <v>lootName42,DAIL/items/materia/class0005/Arcanist42.dbr,</v>
      </c>
      <c r="M44" s="5" t="str">
        <f t="shared" si="5"/>
        <v>lootWeight42,1,</v>
      </c>
      <c r="N44" t="str">
        <f t="shared" si="6"/>
        <v>3</v>
      </c>
      <c r="O44" t="str">
        <f t="shared" si="16"/>
        <v>copy .\dail_base3.dbr .\items\materia\class0005\Arcanist42.dbr /y</v>
      </c>
      <c r="P44" t="str">
        <f t="shared" si="7"/>
        <v>echo relicBitmap,items/craftingparts/components/component_a52_bristlyfur_b.tex, &gt;&gt; .\items\materia\class0005\Arcanist42.dbr</v>
      </c>
      <c r="Q44" t="str">
        <f t="shared" si="7"/>
        <v>echo itemCost,500000, &gt;&gt; .\items\materia\class0005\Arcanist42.dbr</v>
      </c>
      <c r="R44" t="str">
        <f t="shared" si="7"/>
        <v>echo description,dailCompDescArcanist42, &gt;&gt; .\items\materia\class0005\Arcanist42.dbr</v>
      </c>
      <c r="S44" t="str">
        <f t="shared" si="7"/>
        <v>echo itemText,dailCompTextArcanist42, &gt;&gt; .\items\materia\class0005\Arcanist42.dbr</v>
      </c>
      <c r="T44" t="str">
        <f t="shared" si="7"/>
        <v>echo augmentSkillLevel1,3, &gt;&gt; .\items\materia\class0005\Arcanist42.dbr</v>
      </c>
      <c r="U44" t="str">
        <f t="shared" si="7"/>
        <v>echo augmentSkillName1,records/skills/playerclass05/elementalinfusion1.dbr, &gt;&gt; .\items\materia\class0005\Arcanist42.dbr</v>
      </c>
      <c r="V44" s="5" t="s">
        <v>36</v>
      </c>
      <c r="W44" t="str">
        <f t="shared" si="8"/>
        <v>echo lootName42,DAIL/items/materia/class0005/Arcanist42.dbr, &gt;&gt; .\items\loottables\dailoneskill0005.dbr</v>
      </c>
      <c r="X44" t="str">
        <f t="shared" si="8"/>
        <v>echo lootWeight42,1, &gt;&gt; .\items\loottables\dailoneskill0005.dbr</v>
      </c>
      <c r="Y44" s="5" t="s">
        <v>36</v>
      </c>
      <c r="Z44" t="str">
        <f t="shared" si="9"/>
        <v xml:space="preserve"> dailCompDescArcanist42=^pArcanist's Gift of DAIL</v>
      </c>
      <c r="AA44" t="str">
        <f t="shared" si="17"/>
        <v>dailCompTextArcanist42=^oThis feels warm to the touch, almost familiar ^w(This component only fits into the Medal Slot)</v>
      </c>
      <c r="AB44" s="5" t="s">
        <v>36</v>
      </c>
      <c r="AH44">
        <f t="shared" si="19"/>
        <v>39</v>
      </c>
      <c r="AI44">
        <f t="shared" si="22"/>
        <v>37</v>
      </c>
      <c r="AJ44">
        <f t="shared" si="18"/>
        <v>3</v>
      </c>
    </row>
    <row r="45" spans="1:36" x14ac:dyDescent="0.25">
      <c r="A45" s="5" t="s">
        <v>39</v>
      </c>
      <c r="B45" s="5" t="s">
        <v>30</v>
      </c>
      <c r="C45" s="5" t="str">
        <f t="shared" si="0"/>
        <v>description,dailCompDescArcanist43,</v>
      </c>
      <c r="D45" s="5" t="str">
        <f t="shared" si="2"/>
        <v>itemText,dailCompTextArcanist43,</v>
      </c>
      <c r="E45" s="5" t="str">
        <f t="shared" si="14"/>
        <v>augmentSkillLevel1,3,</v>
      </c>
      <c r="F45" s="5" t="str">
        <f t="shared" si="15"/>
        <v>augmentSkillName1,records/skills/playerclass05/elementalinfusion2.dbr,</v>
      </c>
      <c r="G45" s="7">
        <f t="shared" si="10"/>
        <v>43</v>
      </c>
      <c r="H45" s="8" t="str">
        <f t="shared" si="11"/>
        <v>Arcanist</v>
      </c>
      <c r="I45" s="3" t="s">
        <v>324</v>
      </c>
      <c r="J45" s="8" t="str">
        <f t="shared" si="21"/>
        <v>class0005</v>
      </c>
      <c r="K45" s="8" t="str">
        <f t="shared" si="21"/>
        <v>dailoneskill0005</v>
      </c>
      <c r="L45" s="5" t="str">
        <f t="shared" si="4"/>
        <v>lootName43,DAIL/items/materia/class0005/Arcanist43.dbr,</v>
      </c>
      <c r="M45" s="5" t="str">
        <f t="shared" si="5"/>
        <v>lootWeight43,1,</v>
      </c>
      <c r="N45" t="str">
        <f t="shared" si="6"/>
        <v>3</v>
      </c>
      <c r="O45" t="str">
        <f t="shared" si="16"/>
        <v>copy .\dail_base3.dbr .\items\materia\class0005\Arcanist43.dbr /y</v>
      </c>
      <c r="P45" t="str">
        <f t="shared" si="7"/>
        <v>echo relicBitmap,items/craftingparts/components/component_a52_bristlyfur_b.tex, &gt;&gt; .\items\materia\class0005\Arcanist43.dbr</v>
      </c>
      <c r="Q45" t="str">
        <f t="shared" si="7"/>
        <v>echo itemCost,500000, &gt;&gt; .\items\materia\class0005\Arcanist43.dbr</v>
      </c>
      <c r="R45" t="str">
        <f t="shared" si="7"/>
        <v>echo description,dailCompDescArcanist43, &gt;&gt; .\items\materia\class0005\Arcanist43.dbr</v>
      </c>
      <c r="S45" t="str">
        <f t="shared" si="7"/>
        <v>echo itemText,dailCompTextArcanist43, &gt;&gt; .\items\materia\class0005\Arcanist43.dbr</v>
      </c>
      <c r="T45" t="str">
        <f t="shared" si="7"/>
        <v>echo augmentSkillLevel1,3, &gt;&gt; .\items\materia\class0005\Arcanist43.dbr</v>
      </c>
      <c r="U45" t="str">
        <f t="shared" si="7"/>
        <v>echo augmentSkillName1,records/skills/playerclass05/elementalinfusion2.dbr, &gt;&gt; .\items\materia\class0005\Arcanist43.dbr</v>
      </c>
      <c r="V45" s="5" t="s">
        <v>36</v>
      </c>
      <c r="W45" t="str">
        <f t="shared" si="8"/>
        <v>echo lootName43,DAIL/items/materia/class0005/Arcanist43.dbr, &gt;&gt; .\items\loottables\dailoneskill0005.dbr</v>
      </c>
      <c r="X45" t="str">
        <f t="shared" si="8"/>
        <v>echo lootWeight43,1, &gt;&gt; .\items\loottables\dailoneskill0005.dbr</v>
      </c>
      <c r="Y45" s="5" t="s">
        <v>36</v>
      </c>
      <c r="Z45" t="str">
        <f t="shared" si="9"/>
        <v xml:space="preserve"> dailCompDescArcanist43=^pArcanist's Gift of DAIL</v>
      </c>
      <c r="AA45" t="str">
        <f t="shared" si="17"/>
        <v>dailCompTextArcanist43=^oThis feels warm to the touch, almost familiar ^w(This component only fits into the Medal Slot)</v>
      </c>
      <c r="AB45" s="5" t="s">
        <v>36</v>
      </c>
      <c r="AH45">
        <f t="shared" si="19"/>
        <v>40</v>
      </c>
      <c r="AI45">
        <f t="shared" si="22"/>
        <v>37</v>
      </c>
      <c r="AJ45">
        <f t="shared" si="18"/>
        <v>3</v>
      </c>
    </row>
    <row r="46" spans="1:36" x14ac:dyDescent="0.25">
      <c r="A46" s="5" t="s">
        <v>39</v>
      </c>
      <c r="B46" s="5" t="s">
        <v>30</v>
      </c>
      <c r="C46" s="5" t="str">
        <f t="shared" si="0"/>
        <v>description,dailCompDescArcanist44,</v>
      </c>
      <c r="D46" s="5" t="str">
        <f t="shared" si="2"/>
        <v>itemText,dailCompTextArcanist44,</v>
      </c>
      <c r="E46" s="5" t="str">
        <f t="shared" si="14"/>
        <v>augmentSkillLevel1,3,</v>
      </c>
      <c r="F46" s="5" t="str">
        <f t="shared" si="15"/>
        <v>augmentSkillName1,records/skills/playerclass05/chillingsurge.dbr,</v>
      </c>
      <c r="G46" s="7">
        <f t="shared" si="10"/>
        <v>44</v>
      </c>
      <c r="H46" s="8" t="str">
        <f t="shared" si="11"/>
        <v>Arcanist</v>
      </c>
      <c r="I46" s="3" t="s">
        <v>130</v>
      </c>
      <c r="J46" s="8" t="str">
        <f t="shared" si="21"/>
        <v>class0005</v>
      </c>
      <c r="K46" s="8" t="str">
        <f t="shared" si="21"/>
        <v>dailoneskill0005</v>
      </c>
      <c r="L46" s="5" t="str">
        <f t="shared" si="4"/>
        <v>lootName44,DAIL/items/materia/class0005/Arcanist44.dbr,</v>
      </c>
      <c r="M46" s="5" t="str">
        <f t="shared" si="5"/>
        <v>lootWeight44,1,</v>
      </c>
      <c r="N46" t="str">
        <f t="shared" si="6"/>
        <v>3</v>
      </c>
      <c r="O46" t="str">
        <f t="shared" si="16"/>
        <v>copy .\dail_base3.dbr .\items\materia\class0005\Arcanist44.dbr /y</v>
      </c>
      <c r="P46" t="str">
        <f t="shared" si="7"/>
        <v>echo relicBitmap,items/craftingparts/components/component_a52_bristlyfur_b.tex, &gt;&gt; .\items\materia\class0005\Arcanist44.dbr</v>
      </c>
      <c r="Q46" t="str">
        <f t="shared" si="7"/>
        <v>echo itemCost,500000, &gt;&gt; .\items\materia\class0005\Arcanist44.dbr</v>
      </c>
      <c r="R46" t="str">
        <f t="shared" si="7"/>
        <v>echo description,dailCompDescArcanist44, &gt;&gt; .\items\materia\class0005\Arcanist44.dbr</v>
      </c>
      <c r="S46" t="str">
        <f t="shared" si="7"/>
        <v>echo itemText,dailCompTextArcanist44, &gt;&gt; .\items\materia\class0005\Arcanist44.dbr</v>
      </c>
      <c r="T46" t="str">
        <f t="shared" si="7"/>
        <v>echo augmentSkillLevel1,3, &gt;&gt; .\items\materia\class0005\Arcanist44.dbr</v>
      </c>
      <c r="U46" t="str">
        <f t="shared" si="7"/>
        <v>echo augmentSkillName1,records/skills/playerclass05/chillingsurge.dbr, &gt;&gt; .\items\materia\class0005\Arcanist44.dbr</v>
      </c>
      <c r="V46" s="5" t="s">
        <v>36</v>
      </c>
      <c r="W46" t="str">
        <f t="shared" si="8"/>
        <v>echo lootName44,DAIL/items/materia/class0005/Arcanist44.dbr, &gt;&gt; .\items\loottables\dailoneskill0005.dbr</v>
      </c>
      <c r="X46" t="str">
        <f t="shared" si="8"/>
        <v>echo lootWeight44,1, &gt;&gt; .\items\loottables\dailoneskill0005.dbr</v>
      </c>
      <c r="Y46" s="5" t="s">
        <v>36</v>
      </c>
      <c r="Z46" t="str">
        <f t="shared" si="9"/>
        <v xml:space="preserve"> dailCompDescArcanist44=^pArcanist's Gift of DAIL</v>
      </c>
      <c r="AA46" t="str">
        <f t="shared" si="17"/>
        <v>dailCompTextArcanist44=^oThis feels warm to the touch, almost familiar ^w(This component only fits into the Medal Slot)</v>
      </c>
      <c r="AB46" s="5" t="s">
        <v>36</v>
      </c>
      <c r="AH46">
        <f t="shared" si="19"/>
        <v>41</v>
      </c>
      <c r="AI46">
        <f t="shared" si="22"/>
        <v>32</v>
      </c>
      <c r="AJ46">
        <f t="shared" si="18"/>
        <v>3</v>
      </c>
    </row>
    <row r="47" spans="1:36" x14ac:dyDescent="0.25">
      <c r="A47" s="5" t="s">
        <v>39</v>
      </c>
      <c r="B47" s="5" t="s">
        <v>30</v>
      </c>
      <c r="C47" s="5" t="str">
        <f t="shared" si="0"/>
        <v>description,dailCompDescArcanist45,</v>
      </c>
      <c r="D47" s="5" t="str">
        <f t="shared" si="2"/>
        <v>itemText,dailCompTextArcanist45,</v>
      </c>
      <c r="E47" s="5" t="str">
        <f t="shared" si="14"/>
        <v>augmentSkillLevel1,3,</v>
      </c>
      <c r="F47" s="5" t="str">
        <f t="shared" si="15"/>
        <v>augmentSkillName1,records/skills/playerclass05/elementalinfusion3.dbr,</v>
      </c>
      <c r="G47" s="7">
        <f t="shared" si="10"/>
        <v>45</v>
      </c>
      <c r="H47" s="8" t="str">
        <f t="shared" si="11"/>
        <v>Arcanist</v>
      </c>
      <c r="I47" s="3" t="s">
        <v>325</v>
      </c>
      <c r="J47" s="8" t="str">
        <f t="shared" si="21"/>
        <v>class0005</v>
      </c>
      <c r="K47" s="8" t="str">
        <f t="shared" si="21"/>
        <v>dailoneskill0005</v>
      </c>
      <c r="L47" s="5" t="str">
        <f t="shared" si="4"/>
        <v>lootName45,DAIL/items/materia/class0005/Arcanist45.dbr,</v>
      </c>
      <c r="M47" s="5" t="str">
        <f t="shared" si="5"/>
        <v>lootWeight45,1,</v>
      </c>
      <c r="N47" t="str">
        <f t="shared" si="6"/>
        <v>3</v>
      </c>
      <c r="O47" t="str">
        <f t="shared" si="16"/>
        <v>copy .\dail_base3.dbr .\items\materia\class0005\Arcanist45.dbr /y</v>
      </c>
      <c r="P47" t="str">
        <f t="shared" si="7"/>
        <v>echo relicBitmap,items/craftingparts/components/component_a52_bristlyfur_b.tex, &gt;&gt; .\items\materia\class0005\Arcanist45.dbr</v>
      </c>
      <c r="Q47" t="str">
        <f t="shared" si="7"/>
        <v>echo itemCost,500000, &gt;&gt; .\items\materia\class0005\Arcanist45.dbr</v>
      </c>
      <c r="R47" t="str">
        <f t="shared" si="7"/>
        <v>echo description,dailCompDescArcanist45, &gt;&gt; .\items\materia\class0005\Arcanist45.dbr</v>
      </c>
      <c r="S47" t="str">
        <f t="shared" si="7"/>
        <v>echo itemText,dailCompTextArcanist45, &gt;&gt; .\items\materia\class0005\Arcanist45.dbr</v>
      </c>
      <c r="T47" t="str">
        <f t="shared" si="7"/>
        <v>echo augmentSkillLevel1,3, &gt;&gt; .\items\materia\class0005\Arcanist45.dbr</v>
      </c>
      <c r="U47" t="str">
        <f t="shared" si="7"/>
        <v>echo augmentSkillName1,records/skills/playerclass05/elementalinfusion3.dbr, &gt;&gt; .\items\materia\class0005\Arcanist45.dbr</v>
      </c>
      <c r="V47" s="5" t="s">
        <v>36</v>
      </c>
      <c r="W47" t="str">
        <f t="shared" si="8"/>
        <v>echo lootName45,DAIL/items/materia/class0005/Arcanist45.dbr, &gt;&gt; .\items\loottables\dailoneskill0005.dbr</v>
      </c>
      <c r="X47" t="str">
        <f t="shared" si="8"/>
        <v>echo lootWeight45,1, &gt;&gt; .\items\loottables\dailoneskill0005.dbr</v>
      </c>
      <c r="Y47" s="5" t="s">
        <v>36</v>
      </c>
      <c r="Z47" t="str">
        <f t="shared" si="9"/>
        <v xml:space="preserve"> dailCompDescArcanist45=^pArcanist's Gift of DAIL</v>
      </c>
      <c r="AA47" t="str">
        <f t="shared" si="17"/>
        <v>dailCompTextArcanist45=^oThis feels warm to the touch, almost familiar ^w(This component only fits into the Medal Slot)</v>
      </c>
      <c r="AB47" s="5" t="s">
        <v>36</v>
      </c>
      <c r="AH47">
        <f t="shared" si="19"/>
        <v>42</v>
      </c>
      <c r="AI47">
        <f t="shared" si="22"/>
        <v>37</v>
      </c>
      <c r="AJ47">
        <f t="shared" si="18"/>
        <v>3</v>
      </c>
    </row>
    <row r="48" spans="1:36" x14ac:dyDescent="0.25">
      <c r="A48" s="5" t="s">
        <v>39</v>
      </c>
      <c r="B48" s="5" t="s">
        <v>30</v>
      </c>
      <c r="C48" s="5" t="str">
        <f t="shared" si="0"/>
        <v>description,dailCompDescArcanist46,</v>
      </c>
      <c r="D48" s="5" t="str">
        <f t="shared" si="2"/>
        <v>itemText,dailCompTextArcanist46,</v>
      </c>
      <c r="E48" s="5" t="str">
        <f t="shared" si="14"/>
        <v>augmentSkillLevel1,3,</v>
      </c>
      <c r="F48" s="5" t="str">
        <f t="shared" si="15"/>
        <v>augmentSkillName1,records/skills/playerclass05/elementalinfusion1b.dbr,</v>
      </c>
      <c r="G48" s="7">
        <f t="shared" si="10"/>
        <v>46</v>
      </c>
      <c r="H48" s="8" t="str">
        <f t="shared" si="11"/>
        <v>Arcanist</v>
      </c>
      <c r="I48" s="3" t="s">
        <v>326</v>
      </c>
      <c r="J48" s="8" t="str">
        <f t="shared" si="21"/>
        <v>class0005</v>
      </c>
      <c r="K48" s="8" t="str">
        <f t="shared" si="21"/>
        <v>dailoneskill0005</v>
      </c>
      <c r="L48" s="5" t="str">
        <f t="shared" si="4"/>
        <v>lootName46,DAIL/items/materia/class0005/Arcanist46.dbr,</v>
      </c>
      <c r="M48" s="5" t="str">
        <f t="shared" si="5"/>
        <v>lootWeight46,1,</v>
      </c>
      <c r="N48" t="str">
        <f t="shared" si="6"/>
        <v>3</v>
      </c>
      <c r="O48" t="str">
        <f t="shared" si="16"/>
        <v>copy .\dail_base3.dbr .\items\materia\class0005\Arcanist46.dbr /y</v>
      </c>
      <c r="P48" t="str">
        <f t="shared" si="7"/>
        <v>echo relicBitmap,items/craftingparts/components/component_a52_bristlyfur_b.tex, &gt;&gt; .\items\materia\class0005\Arcanist46.dbr</v>
      </c>
      <c r="Q48" t="str">
        <f t="shared" si="7"/>
        <v>echo itemCost,500000, &gt;&gt; .\items\materia\class0005\Arcanist46.dbr</v>
      </c>
      <c r="R48" t="str">
        <f t="shared" si="7"/>
        <v>echo description,dailCompDescArcanist46, &gt;&gt; .\items\materia\class0005\Arcanist46.dbr</v>
      </c>
      <c r="S48" t="str">
        <f t="shared" si="7"/>
        <v>echo itemText,dailCompTextArcanist46, &gt;&gt; .\items\materia\class0005\Arcanist46.dbr</v>
      </c>
      <c r="T48" t="str">
        <f t="shared" si="7"/>
        <v>echo augmentSkillLevel1,3, &gt;&gt; .\items\materia\class0005\Arcanist46.dbr</v>
      </c>
      <c r="U48" t="str">
        <f t="shared" si="7"/>
        <v>echo augmentSkillName1,records/skills/playerclass05/elementalinfusion1b.dbr, &gt;&gt; .\items\materia\class0005\Arcanist46.dbr</v>
      </c>
      <c r="V48" s="5" t="s">
        <v>36</v>
      </c>
      <c r="W48" t="str">
        <f t="shared" si="8"/>
        <v>echo lootName46,DAIL/items/materia/class0005/Arcanist46.dbr, &gt;&gt; .\items\loottables\dailoneskill0005.dbr</v>
      </c>
      <c r="X48" t="str">
        <f t="shared" si="8"/>
        <v>echo lootWeight46,1, &gt;&gt; .\items\loottables\dailoneskill0005.dbr</v>
      </c>
      <c r="Y48" s="5" t="s">
        <v>36</v>
      </c>
      <c r="Z48" t="str">
        <f t="shared" si="9"/>
        <v xml:space="preserve"> dailCompDescArcanist46=^pArcanist's Gift of DAIL</v>
      </c>
      <c r="AA48" t="str">
        <f t="shared" si="17"/>
        <v>dailCompTextArcanist46=^oThis feels warm to the touch, almost familiar ^w(This component only fits into the Medal Slot)</v>
      </c>
      <c r="AB48" s="5" t="s">
        <v>36</v>
      </c>
      <c r="AH48">
        <f t="shared" si="19"/>
        <v>43</v>
      </c>
      <c r="AI48">
        <f t="shared" si="22"/>
        <v>38</v>
      </c>
      <c r="AJ48">
        <f t="shared" si="18"/>
        <v>3</v>
      </c>
    </row>
    <row r="49" spans="1:36" x14ac:dyDescent="0.25">
      <c r="A49" s="5" t="s">
        <v>39</v>
      </c>
      <c r="B49" s="5" t="s">
        <v>30</v>
      </c>
      <c r="C49" s="5" t="str">
        <f t="shared" si="0"/>
        <v>description,dailCompDescArcanist47,</v>
      </c>
      <c r="D49" s="5" t="str">
        <f t="shared" si="2"/>
        <v>itemText,dailCompTextArcanist47,</v>
      </c>
      <c r="E49" s="5" t="str">
        <f t="shared" si="14"/>
        <v>augmentSkillLevel1,3,</v>
      </c>
      <c r="F49" s="5" t="str">
        <f t="shared" si="15"/>
        <v>augmentSkillName1,records/skills/playerclass05/razorwind1.dbr,</v>
      </c>
      <c r="G49" s="7">
        <f t="shared" si="10"/>
        <v>47</v>
      </c>
      <c r="H49" s="8" t="str">
        <f t="shared" si="11"/>
        <v>Arcanist</v>
      </c>
      <c r="I49" s="3" t="s">
        <v>135</v>
      </c>
      <c r="J49" s="8" t="str">
        <f t="shared" si="21"/>
        <v>class0005</v>
      </c>
      <c r="K49" s="8" t="str">
        <f t="shared" si="21"/>
        <v>dailoneskill0005</v>
      </c>
      <c r="L49" s="5" t="str">
        <f t="shared" si="4"/>
        <v>lootName47,DAIL/items/materia/class0005/Arcanist47.dbr,</v>
      </c>
      <c r="M49" s="5" t="str">
        <f t="shared" si="5"/>
        <v>lootWeight47,1,</v>
      </c>
      <c r="N49" t="str">
        <f t="shared" si="6"/>
        <v>3</v>
      </c>
      <c r="O49" t="str">
        <f t="shared" si="16"/>
        <v>copy .\dail_base3.dbr .\items\materia\class0005\Arcanist47.dbr /y</v>
      </c>
      <c r="P49" t="str">
        <f t="shared" si="7"/>
        <v>echo relicBitmap,items/craftingparts/components/component_a52_bristlyfur_b.tex, &gt;&gt; .\items\materia\class0005\Arcanist47.dbr</v>
      </c>
      <c r="Q49" t="str">
        <f t="shared" si="7"/>
        <v>echo itemCost,500000, &gt;&gt; .\items\materia\class0005\Arcanist47.dbr</v>
      </c>
      <c r="R49" t="str">
        <f t="shared" si="7"/>
        <v>echo description,dailCompDescArcanist47, &gt;&gt; .\items\materia\class0005\Arcanist47.dbr</v>
      </c>
      <c r="S49" t="str">
        <f t="shared" si="7"/>
        <v>echo itemText,dailCompTextArcanist47, &gt;&gt; .\items\materia\class0005\Arcanist47.dbr</v>
      </c>
      <c r="T49" t="str">
        <f t="shared" si="7"/>
        <v>echo augmentSkillLevel1,3, &gt;&gt; .\items\materia\class0005\Arcanist47.dbr</v>
      </c>
      <c r="U49" t="str">
        <f t="shared" si="7"/>
        <v>echo augmentSkillName1,records/skills/playerclass05/razorwind1.dbr, &gt;&gt; .\items\materia\class0005\Arcanist47.dbr</v>
      </c>
      <c r="V49" s="5" t="s">
        <v>36</v>
      </c>
      <c r="W49" t="str">
        <f t="shared" si="8"/>
        <v>echo lootName47,DAIL/items/materia/class0005/Arcanist47.dbr, &gt;&gt; .\items\loottables\dailoneskill0005.dbr</v>
      </c>
      <c r="X49" t="str">
        <f t="shared" si="8"/>
        <v>echo lootWeight47,1, &gt;&gt; .\items\loottables\dailoneskill0005.dbr</v>
      </c>
      <c r="Y49" s="5" t="s">
        <v>36</v>
      </c>
      <c r="Z49" t="str">
        <f t="shared" si="9"/>
        <v xml:space="preserve"> dailCompDescArcanist47=^pArcanist's Gift of DAIL</v>
      </c>
      <c r="AA49" t="str">
        <f t="shared" si="17"/>
        <v>dailCompTextArcanist47=^oThis feels warm to the touch, almost familiar ^w(This component only fits into the Medal Slot)</v>
      </c>
      <c r="AB49" s="5" t="s">
        <v>36</v>
      </c>
      <c r="AH49">
        <f t="shared" si="19"/>
        <v>44</v>
      </c>
      <c r="AI49">
        <f t="shared" si="22"/>
        <v>29</v>
      </c>
      <c r="AJ49">
        <f t="shared" si="18"/>
        <v>3</v>
      </c>
    </row>
    <row r="50" spans="1:36" x14ac:dyDescent="0.25">
      <c r="A50" s="5" t="s">
        <v>39</v>
      </c>
      <c r="B50" s="5" t="s">
        <v>30</v>
      </c>
      <c r="C50" s="5" t="str">
        <f t="shared" si="0"/>
        <v>description,dailCompDescArcanist48,</v>
      </c>
      <c r="D50" s="5" t="str">
        <f t="shared" si="2"/>
        <v>itemText,dailCompTextArcanist48,</v>
      </c>
      <c r="E50" s="5" t="str">
        <f t="shared" si="14"/>
        <v>augmentSkillLevel1,3,</v>
      </c>
      <c r="F50" s="5" t="str">
        <f t="shared" si="15"/>
        <v>augmentSkillName1,records/skills/playerclass05/razorwind2.dbr,</v>
      </c>
      <c r="G50" s="7">
        <f t="shared" si="10"/>
        <v>48</v>
      </c>
      <c r="H50" s="8" t="str">
        <f t="shared" si="11"/>
        <v>Arcanist</v>
      </c>
      <c r="I50" s="3" t="s">
        <v>327</v>
      </c>
      <c r="J50" s="8" t="str">
        <f t="shared" si="21"/>
        <v>class0005</v>
      </c>
      <c r="K50" s="8" t="str">
        <f t="shared" si="21"/>
        <v>dailoneskill0005</v>
      </c>
      <c r="L50" s="5" t="str">
        <f t="shared" si="4"/>
        <v>lootName48,DAIL/items/materia/class0005/Arcanist48.dbr,</v>
      </c>
      <c r="M50" s="5" t="str">
        <f t="shared" si="5"/>
        <v>lootWeight48,1,</v>
      </c>
      <c r="N50" t="str">
        <f t="shared" si="6"/>
        <v>3</v>
      </c>
      <c r="O50" t="str">
        <f t="shared" si="16"/>
        <v>copy .\dail_base3.dbr .\items\materia\class0005\Arcanist48.dbr /y</v>
      </c>
      <c r="P50" t="str">
        <f t="shared" si="7"/>
        <v>echo relicBitmap,items/craftingparts/components/component_a52_bristlyfur_b.tex, &gt;&gt; .\items\materia\class0005\Arcanist48.dbr</v>
      </c>
      <c r="Q50" t="str">
        <f t="shared" si="7"/>
        <v>echo itemCost,500000, &gt;&gt; .\items\materia\class0005\Arcanist48.dbr</v>
      </c>
      <c r="R50" t="str">
        <f t="shared" si="7"/>
        <v>echo description,dailCompDescArcanist48, &gt;&gt; .\items\materia\class0005\Arcanist48.dbr</v>
      </c>
      <c r="S50" t="str">
        <f t="shared" si="7"/>
        <v>echo itemText,dailCompTextArcanist48, &gt;&gt; .\items\materia\class0005\Arcanist48.dbr</v>
      </c>
      <c r="T50" t="str">
        <f t="shared" si="7"/>
        <v>echo augmentSkillLevel1,3, &gt;&gt; .\items\materia\class0005\Arcanist48.dbr</v>
      </c>
      <c r="U50" t="str">
        <f t="shared" si="7"/>
        <v>echo augmentSkillName1,records/skills/playerclass05/razorwind2.dbr, &gt;&gt; .\items\materia\class0005\Arcanist48.dbr</v>
      </c>
      <c r="V50" s="5" t="s">
        <v>36</v>
      </c>
      <c r="W50" t="str">
        <f t="shared" si="8"/>
        <v>echo lootName48,DAIL/items/materia/class0005/Arcanist48.dbr, &gt;&gt; .\items\loottables\dailoneskill0005.dbr</v>
      </c>
      <c r="X50" t="str">
        <f t="shared" si="8"/>
        <v>echo lootWeight48,1, &gt;&gt; .\items\loottables\dailoneskill0005.dbr</v>
      </c>
      <c r="Y50" s="5" t="s">
        <v>36</v>
      </c>
      <c r="Z50" t="str">
        <f t="shared" si="9"/>
        <v xml:space="preserve"> dailCompDescArcanist48=^pArcanist's Gift of DAIL</v>
      </c>
      <c r="AA50" t="str">
        <f t="shared" si="17"/>
        <v>dailCompTextArcanist48=^oThis feels warm to the touch, almost familiar ^w(This component only fits into the Medal Slot)</v>
      </c>
      <c r="AB50" s="5" t="s">
        <v>36</v>
      </c>
      <c r="AH50">
        <f t="shared" si="19"/>
        <v>45</v>
      </c>
      <c r="AI50">
        <f t="shared" si="22"/>
        <v>29</v>
      </c>
      <c r="AJ50">
        <f t="shared" si="18"/>
        <v>3</v>
      </c>
    </row>
    <row r="51" spans="1:36" x14ac:dyDescent="0.25">
      <c r="A51" s="5" t="s">
        <v>39</v>
      </c>
      <c r="B51" s="5" t="s">
        <v>30</v>
      </c>
      <c r="C51" s="5" t="str">
        <f t="shared" si="0"/>
        <v>description,dailCompDescArcanist49,</v>
      </c>
      <c r="D51" s="5" t="str">
        <f t="shared" si="2"/>
        <v>itemText,dailCompTextArcanist49,</v>
      </c>
      <c r="E51" s="5" t="str">
        <f t="shared" si="14"/>
        <v>augmentSkillLevel1,3,</v>
      </c>
      <c r="F51" s="5" t="str">
        <f t="shared" si="15"/>
        <v>augmentSkillName1,records/skills/playerclass05/razorwind1b.dbr,</v>
      </c>
      <c r="G51" s="7">
        <f t="shared" si="10"/>
        <v>49</v>
      </c>
      <c r="H51" s="8" t="str">
        <f t="shared" si="11"/>
        <v>Arcanist</v>
      </c>
      <c r="I51" s="3" t="s">
        <v>328</v>
      </c>
      <c r="J51" s="8" t="str">
        <f t="shared" si="21"/>
        <v>class0005</v>
      </c>
      <c r="K51" s="8" t="str">
        <f t="shared" si="21"/>
        <v>dailoneskill0005</v>
      </c>
      <c r="L51" s="5" t="str">
        <f t="shared" si="4"/>
        <v>lootName49,DAIL/items/materia/class0005/Arcanist49.dbr,</v>
      </c>
      <c r="M51" s="5" t="str">
        <f t="shared" si="5"/>
        <v>lootWeight49,1,</v>
      </c>
      <c r="N51" t="str">
        <f t="shared" si="6"/>
        <v>3</v>
      </c>
      <c r="O51" t="str">
        <f t="shared" si="16"/>
        <v>copy .\dail_base3.dbr .\items\materia\class0005\Arcanist49.dbr /y</v>
      </c>
      <c r="P51" t="str">
        <f t="shared" si="7"/>
        <v>echo relicBitmap,items/craftingparts/components/component_a52_bristlyfur_b.tex, &gt;&gt; .\items\materia\class0005\Arcanist49.dbr</v>
      </c>
      <c r="Q51" t="str">
        <f t="shared" si="7"/>
        <v>echo itemCost,500000, &gt;&gt; .\items\materia\class0005\Arcanist49.dbr</v>
      </c>
      <c r="R51" t="str">
        <f t="shared" si="7"/>
        <v>echo description,dailCompDescArcanist49, &gt;&gt; .\items\materia\class0005\Arcanist49.dbr</v>
      </c>
      <c r="S51" t="str">
        <f t="shared" si="7"/>
        <v>echo itemText,dailCompTextArcanist49, &gt;&gt; .\items\materia\class0005\Arcanist49.dbr</v>
      </c>
      <c r="T51" t="str">
        <f t="shared" si="7"/>
        <v>echo augmentSkillLevel1,3, &gt;&gt; .\items\materia\class0005\Arcanist49.dbr</v>
      </c>
      <c r="U51" t="str">
        <f t="shared" si="7"/>
        <v>echo augmentSkillName1,records/skills/playerclass05/razorwind1b.dbr, &gt;&gt; .\items\materia\class0005\Arcanist49.dbr</v>
      </c>
      <c r="V51" s="5" t="s">
        <v>36</v>
      </c>
      <c r="W51" t="str">
        <f t="shared" si="8"/>
        <v>echo lootName49,DAIL/items/materia/class0005/Arcanist49.dbr, &gt;&gt; .\items\loottables\dailoneskill0005.dbr</v>
      </c>
      <c r="X51" t="str">
        <f t="shared" si="8"/>
        <v>echo lootWeight49,1, &gt;&gt; .\items\loottables\dailoneskill0005.dbr</v>
      </c>
      <c r="Y51" s="5" t="s">
        <v>36</v>
      </c>
      <c r="Z51" t="str">
        <f t="shared" si="9"/>
        <v xml:space="preserve"> dailCompDescArcanist49=^pArcanist's Gift of DAIL</v>
      </c>
      <c r="AA51" t="str">
        <f t="shared" si="17"/>
        <v>dailCompTextArcanist49=^oThis feels warm to the touch, almost familiar ^w(This component only fits into the Medal Slot)</v>
      </c>
      <c r="AB51" s="5" t="s">
        <v>36</v>
      </c>
      <c r="AH51">
        <f t="shared" si="19"/>
        <v>46</v>
      </c>
      <c r="AI51">
        <f t="shared" si="22"/>
        <v>30</v>
      </c>
      <c r="AJ51">
        <f t="shared" si="18"/>
        <v>3</v>
      </c>
    </row>
    <row r="52" spans="1:36" x14ac:dyDescent="0.25">
      <c r="A52" s="5" t="s">
        <v>39</v>
      </c>
      <c r="B52" s="5" t="s">
        <v>30</v>
      </c>
      <c r="C52" s="5" t="str">
        <f t="shared" si="0"/>
        <v>description,dailCompDescArcanist50,</v>
      </c>
      <c r="D52" s="5" t="str">
        <f t="shared" si="2"/>
        <v>itemText,dailCompTextArcanist50,</v>
      </c>
      <c r="E52" s="5" t="str">
        <f t="shared" si="14"/>
        <v>augmentSkillLevel1,3,</v>
      </c>
      <c r="F52" s="5" t="str">
        <f t="shared" si="15"/>
        <v>augmentSkillName1,records/skills/playerclass05/arcanemissile.dbr,</v>
      </c>
      <c r="G52" s="7">
        <f t="shared" si="10"/>
        <v>50</v>
      </c>
      <c r="H52" s="8" t="str">
        <f t="shared" si="11"/>
        <v>Arcanist</v>
      </c>
      <c r="I52" s="3" t="s">
        <v>128</v>
      </c>
      <c r="J52" s="8" t="str">
        <f t="shared" si="21"/>
        <v>class0005</v>
      </c>
      <c r="K52" s="8" t="str">
        <f t="shared" si="21"/>
        <v>dailoneskill0005</v>
      </c>
      <c r="L52" s="5" t="str">
        <f t="shared" si="4"/>
        <v>lootName50,DAIL/items/materia/class0005/Arcanist50.dbr,</v>
      </c>
      <c r="M52" s="5" t="str">
        <f t="shared" si="5"/>
        <v>lootWeight50,1,</v>
      </c>
      <c r="N52" t="str">
        <f t="shared" si="6"/>
        <v>3</v>
      </c>
      <c r="O52" t="str">
        <f t="shared" si="16"/>
        <v>copy .\dail_base3.dbr .\items\materia\class0005\Arcanist50.dbr /y</v>
      </c>
      <c r="P52" t="str">
        <f t="shared" si="7"/>
        <v>echo relicBitmap,items/craftingparts/components/component_a52_bristlyfur_b.tex, &gt;&gt; .\items\materia\class0005\Arcanist50.dbr</v>
      </c>
      <c r="Q52" t="str">
        <f t="shared" si="7"/>
        <v>echo itemCost,500000, &gt;&gt; .\items\materia\class0005\Arcanist50.dbr</v>
      </c>
      <c r="R52" t="str">
        <f t="shared" si="7"/>
        <v>echo description,dailCompDescArcanist50, &gt;&gt; .\items\materia\class0005\Arcanist50.dbr</v>
      </c>
      <c r="S52" t="str">
        <f t="shared" si="7"/>
        <v>echo itemText,dailCompTextArcanist50, &gt;&gt; .\items\materia\class0005\Arcanist50.dbr</v>
      </c>
      <c r="T52" t="str">
        <f t="shared" si="7"/>
        <v>echo augmentSkillLevel1,3, &gt;&gt; .\items\materia\class0005\Arcanist50.dbr</v>
      </c>
      <c r="U52" t="str">
        <f t="shared" si="7"/>
        <v>echo augmentSkillName1,records/skills/playerclass05/arcanemissile.dbr, &gt;&gt; .\items\materia\class0005\Arcanist50.dbr</v>
      </c>
      <c r="V52" s="5" t="s">
        <v>36</v>
      </c>
      <c r="W52" t="str">
        <f t="shared" si="8"/>
        <v>echo lootName50,DAIL/items/materia/class0005/Arcanist50.dbr, &gt;&gt; .\items\loottables\dailoneskill0005.dbr</v>
      </c>
      <c r="X52" t="str">
        <f t="shared" si="8"/>
        <v>echo lootWeight50,1, &gt;&gt; .\items\loottables\dailoneskill0005.dbr</v>
      </c>
      <c r="Y52" s="5" t="s">
        <v>36</v>
      </c>
      <c r="Z52" t="str">
        <f t="shared" si="9"/>
        <v xml:space="preserve"> dailCompDescArcanist50=^pArcanist's Gift of DAIL</v>
      </c>
      <c r="AA52" t="str">
        <f t="shared" si="17"/>
        <v>dailCompTextArcanist50=^oThis feels warm to the touch, almost familiar ^w(This component only fits into the Medal Slot)</v>
      </c>
      <c r="AB52" s="5" t="s">
        <v>36</v>
      </c>
      <c r="AH52">
        <f t="shared" si="19"/>
        <v>47</v>
      </c>
      <c r="AI52">
        <f t="shared" si="22"/>
        <v>32</v>
      </c>
      <c r="AJ52">
        <f t="shared" si="18"/>
        <v>3</v>
      </c>
    </row>
    <row r="53" spans="1:36" x14ac:dyDescent="0.25">
      <c r="A53" s="5" t="s">
        <v>39</v>
      </c>
      <c r="B53" s="5" t="s">
        <v>30</v>
      </c>
      <c r="C53" s="5" t="str">
        <f t="shared" si="0"/>
        <v>description,dailCompDescArcanist51,</v>
      </c>
      <c r="D53" s="5" t="str">
        <f t="shared" si="2"/>
        <v>itemText,dailCompTextArcanist51,</v>
      </c>
      <c r="E53" s="5" t="str">
        <f t="shared" si="14"/>
        <v>augmentSkillLevel1,3,</v>
      </c>
      <c r="F53" s="5" t="str">
        <f t="shared" si="15"/>
        <v>augmentSkillName1,records/skills/playerclass05/arcanemissile2.dbr,</v>
      </c>
      <c r="G53" s="7">
        <f t="shared" si="10"/>
        <v>51</v>
      </c>
      <c r="H53" s="8" t="str">
        <f t="shared" si="11"/>
        <v>Arcanist</v>
      </c>
      <c r="I53" s="3" t="s">
        <v>329</v>
      </c>
      <c r="J53" s="8" t="str">
        <f t="shared" ref="J53:K68" si="23">J52</f>
        <v>class0005</v>
      </c>
      <c r="K53" s="8" t="str">
        <f t="shared" si="23"/>
        <v>dailoneskill0005</v>
      </c>
      <c r="L53" s="5" t="str">
        <f t="shared" si="4"/>
        <v>lootName51,DAIL/items/materia/class0005/Arcanist51.dbr,</v>
      </c>
      <c r="M53" s="5" t="str">
        <f t="shared" si="5"/>
        <v>lootWeight51,1,</v>
      </c>
      <c r="N53" t="str">
        <f t="shared" si="6"/>
        <v>3</v>
      </c>
      <c r="O53" t="str">
        <f t="shared" si="16"/>
        <v>copy .\dail_base3.dbr .\items\materia\class0005\Arcanist51.dbr /y</v>
      </c>
      <c r="P53" t="str">
        <f t="shared" si="7"/>
        <v>echo relicBitmap,items/craftingparts/components/component_a52_bristlyfur_b.tex, &gt;&gt; .\items\materia\class0005\Arcanist51.dbr</v>
      </c>
      <c r="Q53" t="str">
        <f t="shared" si="7"/>
        <v>echo itemCost,500000, &gt;&gt; .\items\materia\class0005\Arcanist51.dbr</v>
      </c>
      <c r="R53" t="str">
        <f t="shared" si="7"/>
        <v>echo description,dailCompDescArcanist51, &gt;&gt; .\items\materia\class0005\Arcanist51.dbr</v>
      </c>
      <c r="S53" t="str">
        <f t="shared" si="7"/>
        <v>echo itemText,dailCompTextArcanist51, &gt;&gt; .\items\materia\class0005\Arcanist51.dbr</v>
      </c>
      <c r="T53" t="str">
        <f t="shared" si="7"/>
        <v>echo augmentSkillLevel1,3, &gt;&gt; .\items\materia\class0005\Arcanist51.dbr</v>
      </c>
      <c r="U53" t="str">
        <f t="shared" si="7"/>
        <v>echo augmentSkillName1,records/skills/playerclass05/arcanemissile2.dbr, &gt;&gt; .\items\materia\class0005\Arcanist51.dbr</v>
      </c>
      <c r="V53" s="5" t="s">
        <v>36</v>
      </c>
      <c r="W53" t="str">
        <f t="shared" si="8"/>
        <v>echo lootName51,DAIL/items/materia/class0005/Arcanist51.dbr, &gt;&gt; .\items\loottables\dailoneskill0005.dbr</v>
      </c>
      <c r="X53" t="str">
        <f t="shared" si="8"/>
        <v>echo lootWeight51,1, &gt;&gt; .\items\loottables\dailoneskill0005.dbr</v>
      </c>
      <c r="Y53" s="5" t="s">
        <v>36</v>
      </c>
      <c r="Z53" t="str">
        <f t="shared" si="9"/>
        <v xml:space="preserve"> dailCompDescArcanist51=^pArcanist's Gift of DAIL</v>
      </c>
      <c r="AA53" t="str">
        <f t="shared" si="17"/>
        <v>dailCompTextArcanist51=^oThis feels warm to the touch, almost familiar ^w(This component only fits into the Medal Slot)</v>
      </c>
      <c r="AB53" s="5" t="s">
        <v>36</v>
      </c>
      <c r="AH53">
        <f t="shared" si="19"/>
        <v>48</v>
      </c>
      <c r="AI53">
        <f t="shared" si="22"/>
        <v>33</v>
      </c>
      <c r="AJ53">
        <f t="shared" si="18"/>
        <v>3</v>
      </c>
    </row>
    <row r="54" spans="1:36" x14ac:dyDescent="0.25">
      <c r="A54" s="5" t="s">
        <v>39</v>
      </c>
      <c r="B54" s="5" t="s">
        <v>30</v>
      </c>
      <c r="C54" s="5" t="str">
        <f t="shared" si="0"/>
        <v>description,dailCompDescArcanist52,</v>
      </c>
      <c r="D54" s="5" t="str">
        <f t="shared" si="2"/>
        <v>itemText,dailCompTextArcanist52,</v>
      </c>
      <c r="E54" s="5" t="str">
        <f t="shared" si="14"/>
        <v>augmentSkillLevel1,3,</v>
      </c>
      <c r="F54" s="5" t="str">
        <f t="shared" si="15"/>
        <v>augmentSkillName1,records/skills/playerclass05/arcanemissile3.dbr,</v>
      </c>
      <c r="G54" s="7">
        <f t="shared" si="10"/>
        <v>52</v>
      </c>
      <c r="H54" s="8" t="str">
        <f t="shared" si="11"/>
        <v>Arcanist</v>
      </c>
      <c r="I54" s="3" t="s">
        <v>330</v>
      </c>
      <c r="J54" s="8" t="str">
        <f t="shared" si="23"/>
        <v>class0005</v>
      </c>
      <c r="K54" s="8" t="str">
        <f t="shared" si="23"/>
        <v>dailoneskill0005</v>
      </c>
      <c r="L54" s="5" t="str">
        <f t="shared" si="4"/>
        <v>lootName52,DAIL/items/materia/class0005/Arcanist52.dbr,</v>
      </c>
      <c r="M54" s="5" t="str">
        <f t="shared" si="5"/>
        <v>lootWeight52,1,</v>
      </c>
      <c r="N54" t="str">
        <f t="shared" si="6"/>
        <v>3</v>
      </c>
      <c r="O54" t="str">
        <f t="shared" si="16"/>
        <v>copy .\dail_base3.dbr .\items\materia\class0005\Arcanist52.dbr /y</v>
      </c>
      <c r="P54" t="str">
        <f t="shared" si="7"/>
        <v>echo relicBitmap,items/craftingparts/components/component_a52_bristlyfur_b.tex, &gt;&gt; .\items\materia\class0005\Arcanist52.dbr</v>
      </c>
      <c r="Q54" t="str">
        <f t="shared" si="7"/>
        <v>echo itemCost,500000, &gt;&gt; .\items\materia\class0005\Arcanist52.dbr</v>
      </c>
      <c r="R54" t="str">
        <f t="shared" si="7"/>
        <v>echo description,dailCompDescArcanist52, &gt;&gt; .\items\materia\class0005\Arcanist52.dbr</v>
      </c>
      <c r="S54" t="str">
        <f t="shared" si="7"/>
        <v>echo itemText,dailCompTextArcanist52, &gt;&gt; .\items\materia\class0005\Arcanist52.dbr</v>
      </c>
      <c r="T54" t="str">
        <f t="shared" si="7"/>
        <v>echo augmentSkillLevel1,3, &gt;&gt; .\items\materia\class0005\Arcanist52.dbr</v>
      </c>
      <c r="U54" t="str">
        <f t="shared" si="7"/>
        <v>echo augmentSkillName1,records/skills/playerclass05/arcanemissile3.dbr, &gt;&gt; .\items\materia\class0005\Arcanist52.dbr</v>
      </c>
      <c r="V54" s="5" t="s">
        <v>36</v>
      </c>
      <c r="W54" t="str">
        <f t="shared" si="8"/>
        <v>echo lootName52,DAIL/items/materia/class0005/Arcanist52.dbr, &gt;&gt; .\items\loottables\dailoneskill0005.dbr</v>
      </c>
      <c r="X54" t="str">
        <f t="shared" si="8"/>
        <v>echo lootWeight52,1, &gt;&gt; .\items\loottables\dailoneskill0005.dbr</v>
      </c>
      <c r="Y54" s="5" t="s">
        <v>36</v>
      </c>
      <c r="Z54" t="str">
        <f t="shared" si="9"/>
        <v xml:space="preserve"> dailCompDescArcanist52=^pArcanist's Gift of DAIL</v>
      </c>
      <c r="AA54" t="str">
        <f t="shared" si="17"/>
        <v>dailCompTextArcanist52=^oThis feels warm to the touch, almost familiar ^w(This component only fits into the Medal Slot)</v>
      </c>
      <c r="AB54" s="5" t="s">
        <v>36</v>
      </c>
      <c r="AH54">
        <f t="shared" si="19"/>
        <v>49</v>
      </c>
      <c r="AI54">
        <f t="shared" si="22"/>
        <v>33</v>
      </c>
      <c r="AJ54">
        <f t="shared" si="18"/>
        <v>3</v>
      </c>
    </row>
    <row r="55" spans="1:36" x14ac:dyDescent="0.25">
      <c r="A55" s="5" t="s">
        <v>39</v>
      </c>
      <c r="B55" s="5" t="s">
        <v>30</v>
      </c>
      <c r="C55" s="5" t="str">
        <f t="shared" si="0"/>
        <v>description,dailCompDescArcanist53,</v>
      </c>
      <c r="D55" s="5" t="str">
        <f t="shared" si="2"/>
        <v>itemText,dailCompTextArcanist53,</v>
      </c>
      <c r="E55" s="5" t="str">
        <f t="shared" si="14"/>
        <v>augmentSkillLevel1,3,</v>
      </c>
      <c r="F55" s="5" t="str">
        <f t="shared" si="15"/>
        <v>augmentSkillName1,records/skills/playerclass05/arcanemissile4.dbr,</v>
      </c>
      <c r="G55" s="7">
        <f t="shared" si="10"/>
        <v>53</v>
      </c>
      <c r="H55" s="8" t="str">
        <f t="shared" si="11"/>
        <v>Arcanist</v>
      </c>
      <c r="I55" s="3" t="s">
        <v>331</v>
      </c>
      <c r="J55" s="8" t="str">
        <f t="shared" si="23"/>
        <v>class0005</v>
      </c>
      <c r="K55" s="8" t="str">
        <f t="shared" si="23"/>
        <v>dailoneskill0005</v>
      </c>
      <c r="L55" s="5" t="str">
        <f t="shared" si="4"/>
        <v>lootName53,DAIL/items/materia/class0005/Arcanist53.dbr,</v>
      </c>
      <c r="M55" s="5" t="str">
        <f t="shared" si="5"/>
        <v>lootWeight53,1,</v>
      </c>
      <c r="N55" t="str">
        <f t="shared" si="6"/>
        <v>3</v>
      </c>
      <c r="O55" t="str">
        <f t="shared" si="16"/>
        <v>copy .\dail_base3.dbr .\items\materia\class0005\Arcanist53.dbr /y</v>
      </c>
      <c r="P55" t="str">
        <f t="shared" si="7"/>
        <v>echo relicBitmap,items/craftingparts/components/component_a52_bristlyfur_b.tex, &gt;&gt; .\items\materia\class0005\Arcanist53.dbr</v>
      </c>
      <c r="Q55" t="str">
        <f t="shared" si="7"/>
        <v>echo itemCost,500000, &gt;&gt; .\items\materia\class0005\Arcanist53.dbr</v>
      </c>
      <c r="R55" t="str">
        <f t="shared" si="7"/>
        <v>echo description,dailCompDescArcanist53, &gt;&gt; .\items\materia\class0005\Arcanist53.dbr</v>
      </c>
      <c r="S55" t="str">
        <f t="shared" si="7"/>
        <v>echo itemText,dailCompTextArcanist53, &gt;&gt; .\items\materia\class0005\Arcanist53.dbr</v>
      </c>
      <c r="T55" t="str">
        <f t="shared" si="7"/>
        <v>echo augmentSkillLevel1,3, &gt;&gt; .\items\materia\class0005\Arcanist53.dbr</v>
      </c>
      <c r="U55" t="str">
        <f t="shared" si="7"/>
        <v>echo augmentSkillName1,records/skills/playerclass05/arcanemissile4.dbr, &gt;&gt; .\items\materia\class0005\Arcanist53.dbr</v>
      </c>
      <c r="V55" s="5" t="s">
        <v>36</v>
      </c>
      <c r="W55" t="str">
        <f t="shared" si="8"/>
        <v>echo lootName53,DAIL/items/materia/class0005/Arcanist53.dbr, &gt;&gt; .\items\loottables\dailoneskill0005.dbr</v>
      </c>
      <c r="X55" t="str">
        <f t="shared" si="8"/>
        <v>echo lootWeight53,1, &gt;&gt; .\items\loottables\dailoneskill0005.dbr</v>
      </c>
      <c r="Y55" s="5" t="s">
        <v>36</v>
      </c>
      <c r="Z55" t="str">
        <f t="shared" si="9"/>
        <v xml:space="preserve"> dailCompDescArcanist53=^pArcanist's Gift of DAIL</v>
      </c>
      <c r="AA55" t="str">
        <f t="shared" si="17"/>
        <v>dailCompTextArcanist53=^oThis feels warm to the touch, almost familiar ^w(This component only fits into the Medal Slot)</v>
      </c>
      <c r="AB55" s="5" t="s">
        <v>36</v>
      </c>
      <c r="AH55">
        <f t="shared" si="19"/>
        <v>50</v>
      </c>
      <c r="AI55">
        <f t="shared" si="22"/>
        <v>33</v>
      </c>
      <c r="AJ55">
        <f t="shared" si="18"/>
        <v>3</v>
      </c>
    </row>
    <row r="56" spans="1:36" x14ac:dyDescent="0.25">
      <c r="A56" s="5" t="s">
        <v>39</v>
      </c>
      <c r="B56" s="5" t="s">
        <v>30</v>
      </c>
      <c r="C56" s="5" t="str">
        <f t="shared" si="0"/>
        <v>description,dailCompDescArcanist54,</v>
      </c>
      <c r="D56" s="5" t="str">
        <f t="shared" si="2"/>
        <v>itemText,dailCompTextArcanist54,</v>
      </c>
      <c r="E56" s="5" t="str">
        <f t="shared" si="14"/>
        <v>augmentSkillLevel1,3,</v>
      </c>
      <c r="F56" s="5" t="str">
        <f t="shared" si="15"/>
        <v>augmentSkillName1,records/skills/playerclass05/aetherray1.dbr,</v>
      </c>
      <c r="G56" s="7">
        <f t="shared" si="10"/>
        <v>54</v>
      </c>
      <c r="H56" s="8" t="str">
        <f t="shared" si="11"/>
        <v>Arcanist</v>
      </c>
      <c r="I56" s="3" t="s">
        <v>127</v>
      </c>
      <c r="J56" s="8" t="str">
        <f t="shared" si="23"/>
        <v>class0005</v>
      </c>
      <c r="K56" s="8" t="str">
        <f t="shared" si="23"/>
        <v>dailoneskill0005</v>
      </c>
      <c r="L56" s="5" t="str">
        <f t="shared" si="4"/>
        <v>lootName54,DAIL/items/materia/class0005/Arcanist54.dbr,</v>
      </c>
      <c r="M56" s="5" t="str">
        <f t="shared" si="5"/>
        <v>lootWeight54,1,</v>
      </c>
      <c r="N56" t="str">
        <f t="shared" si="6"/>
        <v>3</v>
      </c>
      <c r="O56" t="str">
        <f t="shared" si="16"/>
        <v>copy .\dail_base3.dbr .\items\materia\class0005\Arcanist54.dbr /y</v>
      </c>
      <c r="P56" t="str">
        <f t="shared" si="7"/>
        <v>echo relicBitmap,items/craftingparts/components/component_a52_bristlyfur_b.tex, &gt;&gt; .\items\materia\class0005\Arcanist54.dbr</v>
      </c>
      <c r="Q56" t="str">
        <f t="shared" si="7"/>
        <v>echo itemCost,500000, &gt;&gt; .\items\materia\class0005\Arcanist54.dbr</v>
      </c>
      <c r="R56" t="str">
        <f t="shared" si="7"/>
        <v>echo description,dailCompDescArcanist54, &gt;&gt; .\items\materia\class0005\Arcanist54.dbr</v>
      </c>
      <c r="S56" t="str">
        <f t="shared" si="7"/>
        <v>echo itemText,dailCompTextArcanist54, &gt;&gt; .\items\materia\class0005\Arcanist54.dbr</v>
      </c>
      <c r="T56" t="str">
        <f t="shared" si="7"/>
        <v>echo augmentSkillLevel1,3, &gt;&gt; .\items\materia\class0005\Arcanist54.dbr</v>
      </c>
      <c r="U56" t="str">
        <f t="shared" si="7"/>
        <v>echo augmentSkillName1,records/skills/playerclass05/aetherray1.dbr, &gt;&gt; .\items\materia\class0005\Arcanist54.dbr</v>
      </c>
      <c r="V56" s="5" t="s">
        <v>36</v>
      </c>
      <c r="W56" t="str">
        <f t="shared" si="8"/>
        <v>echo lootName54,DAIL/items/materia/class0005/Arcanist54.dbr, &gt;&gt; .\items\loottables\dailoneskill0005.dbr</v>
      </c>
      <c r="X56" t="str">
        <f t="shared" si="8"/>
        <v>echo lootWeight54,1, &gt;&gt; .\items\loottables\dailoneskill0005.dbr</v>
      </c>
      <c r="Y56" s="5" t="s">
        <v>36</v>
      </c>
      <c r="Z56" t="str">
        <f t="shared" si="9"/>
        <v xml:space="preserve"> dailCompDescArcanist54=^pArcanist's Gift of DAIL</v>
      </c>
      <c r="AA56" t="str">
        <f t="shared" si="17"/>
        <v>dailCompTextArcanist54=^oThis feels warm to the touch, almost familiar ^w(This component only fits into the Medal Slot)</v>
      </c>
      <c r="AB56" s="5" t="s">
        <v>36</v>
      </c>
      <c r="AH56">
        <f t="shared" si="19"/>
        <v>51</v>
      </c>
      <c r="AI56">
        <f t="shared" si="22"/>
        <v>29</v>
      </c>
      <c r="AJ56">
        <f t="shared" si="18"/>
        <v>3</v>
      </c>
    </row>
    <row r="57" spans="1:36" x14ac:dyDescent="0.25">
      <c r="A57" s="5" t="s">
        <v>39</v>
      </c>
      <c r="B57" s="5" t="s">
        <v>30</v>
      </c>
      <c r="C57" s="5" t="str">
        <f t="shared" si="0"/>
        <v>description,dailCompDescArcanist55,</v>
      </c>
      <c r="D57" s="5" t="str">
        <f t="shared" si="2"/>
        <v>itemText,dailCompTextArcanist55,</v>
      </c>
      <c r="E57" s="5" t="str">
        <f t="shared" si="14"/>
        <v>augmentSkillLevel1,3,</v>
      </c>
      <c r="F57" s="5" t="str">
        <f t="shared" si="15"/>
        <v>augmentSkillName1,records/skills/playerclass05/chillingsurge2.dbr,</v>
      </c>
      <c r="G57" s="7">
        <f t="shared" si="10"/>
        <v>55</v>
      </c>
      <c r="H57" s="8" t="str">
        <f t="shared" si="11"/>
        <v>Arcanist</v>
      </c>
      <c r="I57" s="3" t="s">
        <v>332</v>
      </c>
      <c r="J57" s="8" t="str">
        <f t="shared" si="23"/>
        <v>class0005</v>
      </c>
      <c r="K57" s="8" t="str">
        <f t="shared" si="23"/>
        <v>dailoneskill0005</v>
      </c>
      <c r="L57" s="5" t="str">
        <f t="shared" si="4"/>
        <v>lootName55,DAIL/items/materia/class0005/Arcanist55.dbr,</v>
      </c>
      <c r="M57" s="5" t="str">
        <f t="shared" si="5"/>
        <v>lootWeight55,1,</v>
      </c>
      <c r="N57" t="str">
        <f t="shared" si="6"/>
        <v>3</v>
      </c>
      <c r="O57" t="str">
        <f t="shared" si="16"/>
        <v>copy .\dail_base3.dbr .\items\materia\class0005\Arcanist55.dbr /y</v>
      </c>
      <c r="P57" t="str">
        <f t="shared" si="7"/>
        <v>echo relicBitmap,items/craftingparts/components/component_a52_bristlyfur_b.tex, &gt;&gt; .\items\materia\class0005\Arcanist55.dbr</v>
      </c>
      <c r="Q57" t="str">
        <f t="shared" si="7"/>
        <v>echo itemCost,500000, &gt;&gt; .\items\materia\class0005\Arcanist55.dbr</v>
      </c>
      <c r="R57" t="str">
        <f t="shared" si="7"/>
        <v>echo description,dailCompDescArcanist55, &gt;&gt; .\items\materia\class0005\Arcanist55.dbr</v>
      </c>
      <c r="S57" t="str">
        <f t="shared" si="7"/>
        <v>echo itemText,dailCompTextArcanist55, &gt;&gt; .\items\materia\class0005\Arcanist55.dbr</v>
      </c>
      <c r="T57" t="str">
        <f t="shared" si="7"/>
        <v>echo augmentSkillLevel1,3, &gt;&gt; .\items\materia\class0005\Arcanist55.dbr</v>
      </c>
      <c r="U57" t="str">
        <f t="shared" si="7"/>
        <v>echo augmentSkillName1,records/skills/playerclass05/chillingsurge2.dbr, &gt;&gt; .\items\materia\class0005\Arcanist55.dbr</v>
      </c>
      <c r="V57" s="5" t="s">
        <v>36</v>
      </c>
      <c r="W57" t="str">
        <f t="shared" si="8"/>
        <v>echo lootName55,DAIL/items/materia/class0005/Arcanist55.dbr, &gt;&gt; .\items\loottables\dailoneskill0005.dbr</v>
      </c>
      <c r="X57" t="str">
        <f t="shared" si="8"/>
        <v>echo lootWeight55,1, &gt;&gt; .\items\loottables\dailoneskill0005.dbr</v>
      </c>
      <c r="Y57" s="5" t="s">
        <v>36</v>
      </c>
      <c r="Z57" t="str">
        <f t="shared" si="9"/>
        <v xml:space="preserve"> dailCompDescArcanist55=^pArcanist's Gift of DAIL</v>
      </c>
      <c r="AA57" t="str">
        <f t="shared" si="17"/>
        <v>dailCompTextArcanist55=^oThis feels warm to the touch, almost familiar ^w(This component only fits into the Medal Slot)</v>
      </c>
      <c r="AB57" s="5" t="s">
        <v>36</v>
      </c>
      <c r="AH57">
        <f t="shared" si="19"/>
        <v>52</v>
      </c>
      <c r="AI57">
        <f t="shared" si="22"/>
        <v>33</v>
      </c>
      <c r="AJ57">
        <f t="shared" si="18"/>
        <v>3</v>
      </c>
    </row>
    <row r="58" spans="1:36" x14ac:dyDescent="0.25">
      <c r="A58" s="5" t="s">
        <v>39</v>
      </c>
      <c r="B58" s="5" t="s">
        <v>30</v>
      </c>
      <c r="C58" s="5" t="str">
        <f t="shared" si="0"/>
        <v>description,dailCompDescArcanist56,</v>
      </c>
      <c r="D58" s="5" t="str">
        <f t="shared" si="2"/>
        <v>itemText,dailCompTextArcanist56,</v>
      </c>
      <c r="E58" s="5" t="str">
        <f t="shared" si="14"/>
        <v>augmentSkillLevel1,3,</v>
      </c>
      <c r="F58" s="5" t="str">
        <f t="shared" si="15"/>
        <v>augmentSkillName1,records/skills/playerclass05/aetherray2.dbr,</v>
      </c>
      <c r="G58" s="7">
        <f t="shared" si="10"/>
        <v>56</v>
      </c>
      <c r="H58" s="8" t="str">
        <f t="shared" si="11"/>
        <v>Arcanist</v>
      </c>
      <c r="I58" s="3" t="s">
        <v>333</v>
      </c>
      <c r="J58" s="8" t="str">
        <f t="shared" si="23"/>
        <v>class0005</v>
      </c>
      <c r="K58" s="8" t="str">
        <f t="shared" si="23"/>
        <v>dailoneskill0005</v>
      </c>
      <c r="L58" s="5" t="str">
        <f t="shared" si="4"/>
        <v>lootName56,DAIL/items/materia/class0005/Arcanist56.dbr,</v>
      </c>
      <c r="M58" s="5" t="str">
        <f t="shared" si="5"/>
        <v>lootWeight56,1,</v>
      </c>
      <c r="N58" t="str">
        <f t="shared" si="6"/>
        <v>3</v>
      </c>
      <c r="O58" t="str">
        <f t="shared" si="16"/>
        <v>copy .\dail_base3.dbr .\items\materia\class0005\Arcanist56.dbr /y</v>
      </c>
      <c r="P58" t="str">
        <f t="shared" si="7"/>
        <v>echo relicBitmap,items/craftingparts/components/component_a52_bristlyfur_b.tex, &gt;&gt; .\items\materia\class0005\Arcanist56.dbr</v>
      </c>
      <c r="Q58" t="str">
        <f t="shared" si="7"/>
        <v>echo itemCost,500000, &gt;&gt; .\items\materia\class0005\Arcanist56.dbr</v>
      </c>
      <c r="R58" t="str">
        <f t="shared" si="7"/>
        <v>echo description,dailCompDescArcanist56, &gt;&gt; .\items\materia\class0005\Arcanist56.dbr</v>
      </c>
      <c r="S58" t="str">
        <f t="shared" si="7"/>
        <v>echo itemText,dailCompTextArcanist56, &gt;&gt; .\items\materia\class0005\Arcanist56.dbr</v>
      </c>
      <c r="T58" t="str">
        <f t="shared" si="7"/>
        <v>echo augmentSkillLevel1,3, &gt;&gt; .\items\materia\class0005\Arcanist56.dbr</v>
      </c>
      <c r="U58" t="str">
        <f t="shared" si="7"/>
        <v>echo augmentSkillName1,records/skills/playerclass05/aetherray2.dbr, &gt;&gt; .\items\materia\class0005\Arcanist56.dbr</v>
      </c>
      <c r="V58" s="5" t="s">
        <v>36</v>
      </c>
      <c r="W58" t="str">
        <f t="shared" si="8"/>
        <v>echo lootName56,DAIL/items/materia/class0005/Arcanist56.dbr, &gt;&gt; .\items\loottables\dailoneskill0005.dbr</v>
      </c>
      <c r="X58" t="str">
        <f t="shared" si="8"/>
        <v>echo lootWeight56,1, &gt;&gt; .\items\loottables\dailoneskill0005.dbr</v>
      </c>
      <c r="Y58" s="5" t="s">
        <v>36</v>
      </c>
      <c r="Z58" t="str">
        <f t="shared" si="9"/>
        <v xml:space="preserve"> dailCompDescArcanist56=^pArcanist's Gift of DAIL</v>
      </c>
      <c r="AA58" t="str">
        <f t="shared" si="17"/>
        <v>dailCompTextArcanist56=^oThis feels warm to the touch, almost familiar ^w(This component only fits into the Medal Slot)</v>
      </c>
      <c r="AB58" s="5" t="s">
        <v>36</v>
      </c>
      <c r="AH58">
        <f t="shared" si="19"/>
        <v>53</v>
      </c>
      <c r="AI58">
        <f t="shared" si="22"/>
        <v>29</v>
      </c>
      <c r="AJ58">
        <f t="shared" si="18"/>
        <v>3</v>
      </c>
    </row>
    <row r="59" spans="1:36" x14ac:dyDescent="0.25">
      <c r="A59" s="5" t="s">
        <v>39</v>
      </c>
      <c r="B59" s="5" t="s">
        <v>30</v>
      </c>
      <c r="C59" s="5" t="str">
        <f t="shared" si="0"/>
        <v>description,dailCompDescArcanist57,</v>
      </c>
      <c r="D59" s="5" t="str">
        <f t="shared" si="2"/>
        <v>itemText,dailCompTextArcanist57,</v>
      </c>
      <c r="E59" s="5" t="str">
        <f t="shared" si="14"/>
        <v>augmentSkillLevel1,3,</v>
      </c>
      <c r="F59" s="5" t="str">
        <f t="shared" si="15"/>
        <v>augmentSkillName1,records/skills/playerclass05/aetherray1b.dbr,</v>
      </c>
      <c r="G59" s="7">
        <f t="shared" si="10"/>
        <v>57</v>
      </c>
      <c r="H59" s="8" t="str">
        <f t="shared" si="11"/>
        <v>Arcanist</v>
      </c>
      <c r="I59" s="3" t="s">
        <v>334</v>
      </c>
      <c r="J59" s="8" t="str">
        <f t="shared" si="23"/>
        <v>class0005</v>
      </c>
      <c r="K59" s="8" t="str">
        <f t="shared" si="23"/>
        <v>dailoneskill0005</v>
      </c>
      <c r="L59" s="5" t="str">
        <f t="shared" si="4"/>
        <v>lootName57,DAIL/items/materia/class0005/Arcanist57.dbr,</v>
      </c>
      <c r="M59" s="5" t="str">
        <f t="shared" si="5"/>
        <v>lootWeight57,1,</v>
      </c>
      <c r="N59" t="str">
        <f t="shared" si="6"/>
        <v>3</v>
      </c>
      <c r="O59" t="str">
        <f t="shared" si="16"/>
        <v>copy .\dail_base3.dbr .\items\materia\class0005\Arcanist57.dbr /y</v>
      </c>
      <c r="P59" t="str">
        <f t="shared" ref="P59:U101" si="24">IF($I59&lt;&gt;"","echo "&amp;A59&amp;" &gt;&gt; .\items\materia\"&amp;$J59&amp;"\"&amp;$H59&amp;$G59&amp;".dbr","")</f>
        <v>echo relicBitmap,items/craftingparts/components/component_a52_bristlyfur_b.tex, &gt;&gt; .\items\materia\class0005\Arcanist57.dbr</v>
      </c>
      <c r="Q59" t="str">
        <f t="shared" si="24"/>
        <v>echo itemCost,500000, &gt;&gt; .\items\materia\class0005\Arcanist57.dbr</v>
      </c>
      <c r="R59" t="str">
        <f t="shared" si="24"/>
        <v>echo description,dailCompDescArcanist57, &gt;&gt; .\items\materia\class0005\Arcanist57.dbr</v>
      </c>
      <c r="S59" t="str">
        <f t="shared" si="24"/>
        <v>echo itemText,dailCompTextArcanist57, &gt;&gt; .\items\materia\class0005\Arcanist57.dbr</v>
      </c>
      <c r="T59" t="str">
        <f t="shared" si="24"/>
        <v>echo augmentSkillLevel1,3, &gt;&gt; .\items\materia\class0005\Arcanist57.dbr</v>
      </c>
      <c r="U59" t="str">
        <f t="shared" si="24"/>
        <v>echo augmentSkillName1,records/skills/playerclass05/aetherray1b.dbr, &gt;&gt; .\items\materia\class0005\Arcanist57.dbr</v>
      </c>
      <c r="V59" s="5" t="s">
        <v>36</v>
      </c>
      <c r="W59" t="str">
        <f t="shared" si="8"/>
        <v>echo lootName57,DAIL/items/materia/class0005/Arcanist57.dbr, &gt;&gt; .\items\loottables\dailoneskill0005.dbr</v>
      </c>
      <c r="X59" t="str">
        <f t="shared" si="8"/>
        <v>echo lootWeight57,1, &gt;&gt; .\items\loottables\dailoneskill0005.dbr</v>
      </c>
      <c r="Y59" s="5" t="s">
        <v>36</v>
      </c>
      <c r="Z59" t="str">
        <f t="shared" si="9"/>
        <v xml:space="preserve"> dailCompDescArcanist57=^pArcanist's Gift of DAIL</v>
      </c>
      <c r="AA59" t="str">
        <f t="shared" si="17"/>
        <v>dailCompTextArcanist57=^oThis feels warm to the touch, almost familiar ^w(This component only fits into the Medal Slot)</v>
      </c>
      <c r="AB59" s="5" t="s">
        <v>36</v>
      </c>
      <c r="AH59">
        <f t="shared" si="19"/>
        <v>54</v>
      </c>
      <c r="AI59">
        <f t="shared" si="22"/>
        <v>30</v>
      </c>
      <c r="AJ59">
        <f t="shared" si="18"/>
        <v>3</v>
      </c>
    </row>
    <row r="60" spans="1:36" x14ac:dyDescent="0.25">
      <c r="A60" s="5" t="s">
        <v>39</v>
      </c>
      <c r="B60" s="5" t="s">
        <v>30</v>
      </c>
      <c r="C60" s="5" t="str">
        <f t="shared" si="0"/>
        <v>description,dailCompDescArcanist58,</v>
      </c>
      <c r="D60" s="5" t="str">
        <f t="shared" si="2"/>
        <v>itemText,dailCompTextArcanist58,</v>
      </c>
      <c r="E60" s="5" t="str">
        <f t="shared" si="14"/>
        <v>augmentSkillLevel1,3,</v>
      </c>
      <c r="F60" s="5" t="str">
        <f t="shared" si="15"/>
        <v>augmentSkillName1,records/skills/playerclass05/sphereofprotection1.dbr,</v>
      </c>
      <c r="G60" s="7">
        <f t="shared" si="10"/>
        <v>58</v>
      </c>
      <c r="H60" s="8" t="str">
        <f t="shared" si="11"/>
        <v>Arcanist</v>
      </c>
      <c r="I60" s="3" t="s">
        <v>137</v>
      </c>
      <c r="J60" s="8" t="str">
        <f t="shared" si="23"/>
        <v>class0005</v>
      </c>
      <c r="K60" s="8" t="str">
        <f t="shared" si="23"/>
        <v>dailoneskill0005</v>
      </c>
      <c r="L60" s="5" t="str">
        <f t="shared" si="4"/>
        <v>lootName58,DAIL/items/materia/class0005/Arcanist58.dbr,</v>
      </c>
      <c r="M60" s="5" t="str">
        <f t="shared" si="5"/>
        <v>lootWeight58,1,</v>
      </c>
      <c r="N60" t="str">
        <f t="shared" si="6"/>
        <v>3</v>
      </c>
      <c r="O60" t="str">
        <f t="shared" si="16"/>
        <v>copy .\dail_base3.dbr .\items\materia\class0005\Arcanist58.dbr /y</v>
      </c>
      <c r="P60" t="str">
        <f t="shared" si="24"/>
        <v>echo relicBitmap,items/craftingparts/components/component_a52_bristlyfur_b.tex, &gt;&gt; .\items\materia\class0005\Arcanist58.dbr</v>
      </c>
      <c r="Q60" t="str">
        <f t="shared" si="24"/>
        <v>echo itemCost,500000, &gt;&gt; .\items\materia\class0005\Arcanist58.dbr</v>
      </c>
      <c r="R60" t="str">
        <f t="shared" si="24"/>
        <v>echo description,dailCompDescArcanist58, &gt;&gt; .\items\materia\class0005\Arcanist58.dbr</v>
      </c>
      <c r="S60" t="str">
        <f t="shared" si="24"/>
        <v>echo itemText,dailCompTextArcanist58, &gt;&gt; .\items\materia\class0005\Arcanist58.dbr</v>
      </c>
      <c r="T60" t="str">
        <f t="shared" si="24"/>
        <v>echo augmentSkillLevel1,3, &gt;&gt; .\items\materia\class0005\Arcanist58.dbr</v>
      </c>
      <c r="U60" t="str">
        <f t="shared" si="24"/>
        <v>echo augmentSkillName1,records/skills/playerclass05/sphereofprotection1.dbr, &gt;&gt; .\items\materia\class0005\Arcanist58.dbr</v>
      </c>
      <c r="V60" s="5" t="s">
        <v>36</v>
      </c>
      <c r="W60" t="str">
        <f t="shared" si="8"/>
        <v>echo lootName58,DAIL/items/materia/class0005/Arcanist58.dbr, &gt;&gt; .\items\loottables\dailoneskill0005.dbr</v>
      </c>
      <c r="X60" t="str">
        <f t="shared" si="8"/>
        <v>echo lootWeight58,1, &gt;&gt; .\items\loottables\dailoneskill0005.dbr</v>
      </c>
      <c r="Y60" s="5" t="s">
        <v>36</v>
      </c>
      <c r="Z60" t="str">
        <f t="shared" si="9"/>
        <v xml:space="preserve"> dailCompDescArcanist58=^pArcanist's Gift of DAIL</v>
      </c>
      <c r="AA60" t="str">
        <f t="shared" si="17"/>
        <v>dailCompTextArcanist58=^oThis feels warm to the touch, almost familiar ^w(This component only fits into the Medal Slot)</v>
      </c>
      <c r="AB60" s="5" t="s">
        <v>36</v>
      </c>
      <c r="AH60">
        <f t="shared" si="19"/>
        <v>55</v>
      </c>
      <c r="AI60">
        <f t="shared" si="22"/>
        <v>38</v>
      </c>
      <c r="AJ60">
        <f t="shared" si="18"/>
        <v>3</v>
      </c>
    </row>
    <row r="61" spans="1:36" x14ac:dyDescent="0.25">
      <c r="A61" s="5" t="s">
        <v>39</v>
      </c>
      <c r="B61" s="5" t="s">
        <v>30</v>
      </c>
      <c r="C61" s="5" t="str">
        <f t="shared" si="0"/>
        <v>description,dailCompDescArcanist59,</v>
      </c>
      <c r="D61" s="5" t="str">
        <f t="shared" si="2"/>
        <v>itemText,dailCompTextArcanist59,</v>
      </c>
      <c r="E61" s="5" t="str">
        <f t="shared" si="14"/>
        <v>augmentSkillLevel1,3,</v>
      </c>
      <c r="F61" s="5" t="str">
        <f t="shared" si="15"/>
        <v>augmentSkillName1,records/skills/playerclass05/sphereofprotection2.dbr,</v>
      </c>
      <c r="G61" s="7">
        <f t="shared" si="10"/>
        <v>59</v>
      </c>
      <c r="H61" s="8" t="str">
        <f t="shared" si="11"/>
        <v>Arcanist</v>
      </c>
      <c r="I61" s="3" t="s">
        <v>335</v>
      </c>
      <c r="J61" s="8" t="str">
        <f t="shared" si="23"/>
        <v>class0005</v>
      </c>
      <c r="K61" s="8" t="str">
        <f t="shared" si="23"/>
        <v>dailoneskill0005</v>
      </c>
      <c r="L61" s="5" t="str">
        <f t="shared" si="4"/>
        <v>lootName59,DAIL/items/materia/class0005/Arcanist59.dbr,</v>
      </c>
      <c r="M61" s="5" t="str">
        <f t="shared" si="5"/>
        <v>lootWeight59,1,</v>
      </c>
      <c r="N61" t="str">
        <f t="shared" si="6"/>
        <v>3</v>
      </c>
      <c r="O61" t="str">
        <f t="shared" si="16"/>
        <v>copy .\dail_base3.dbr .\items\materia\class0005\Arcanist59.dbr /y</v>
      </c>
      <c r="P61" t="str">
        <f t="shared" si="24"/>
        <v>echo relicBitmap,items/craftingparts/components/component_a52_bristlyfur_b.tex, &gt;&gt; .\items\materia\class0005\Arcanist59.dbr</v>
      </c>
      <c r="Q61" t="str">
        <f t="shared" si="24"/>
        <v>echo itemCost,500000, &gt;&gt; .\items\materia\class0005\Arcanist59.dbr</v>
      </c>
      <c r="R61" t="str">
        <f t="shared" si="24"/>
        <v>echo description,dailCompDescArcanist59, &gt;&gt; .\items\materia\class0005\Arcanist59.dbr</v>
      </c>
      <c r="S61" t="str">
        <f t="shared" si="24"/>
        <v>echo itemText,dailCompTextArcanist59, &gt;&gt; .\items\materia\class0005\Arcanist59.dbr</v>
      </c>
      <c r="T61" t="str">
        <f t="shared" si="24"/>
        <v>echo augmentSkillLevel1,3, &gt;&gt; .\items\materia\class0005\Arcanist59.dbr</v>
      </c>
      <c r="U61" t="str">
        <f t="shared" si="24"/>
        <v>echo augmentSkillName1,records/skills/playerclass05/sphereofprotection2.dbr, &gt;&gt; .\items\materia\class0005\Arcanist59.dbr</v>
      </c>
      <c r="V61" s="5" t="s">
        <v>36</v>
      </c>
      <c r="W61" t="str">
        <f t="shared" si="8"/>
        <v>echo lootName59,DAIL/items/materia/class0005/Arcanist59.dbr, &gt;&gt; .\items\loottables\dailoneskill0005.dbr</v>
      </c>
      <c r="X61" t="str">
        <f t="shared" si="8"/>
        <v>echo lootWeight59,1, &gt;&gt; .\items\loottables\dailoneskill0005.dbr</v>
      </c>
      <c r="Y61" s="5" t="s">
        <v>36</v>
      </c>
      <c r="Z61" t="str">
        <f t="shared" si="9"/>
        <v xml:space="preserve"> dailCompDescArcanist59=^pArcanist's Gift of DAIL</v>
      </c>
      <c r="AA61" t="str">
        <f t="shared" si="17"/>
        <v>dailCompTextArcanist59=^oThis feels warm to the touch, almost familiar ^w(This component only fits into the Medal Slot)</v>
      </c>
      <c r="AB61" s="5" t="s">
        <v>36</v>
      </c>
      <c r="AH61">
        <f t="shared" si="19"/>
        <v>56</v>
      </c>
      <c r="AI61">
        <f t="shared" si="22"/>
        <v>38</v>
      </c>
      <c r="AJ61">
        <f t="shared" si="18"/>
        <v>3</v>
      </c>
    </row>
    <row r="62" spans="1:36" x14ac:dyDescent="0.25">
      <c r="A62" s="5" t="s">
        <v>39</v>
      </c>
      <c r="B62" s="5" t="s">
        <v>30</v>
      </c>
      <c r="C62" s="5" t="str">
        <f t="shared" si="0"/>
        <v>description,dailCompDescArcanist60,</v>
      </c>
      <c r="D62" s="5" t="str">
        <f t="shared" si="2"/>
        <v>itemText,dailCompTextArcanist60,</v>
      </c>
      <c r="E62" s="5" t="str">
        <f t="shared" si="14"/>
        <v>augmentSkillLevel1,3,</v>
      </c>
      <c r="F62" s="5" t="str">
        <f t="shared" si="15"/>
        <v>augmentSkillName1,records/skills/playerclass05/passive01.dbr,</v>
      </c>
      <c r="G62" s="7">
        <f t="shared" si="10"/>
        <v>60</v>
      </c>
      <c r="H62" s="8" t="str">
        <f t="shared" si="11"/>
        <v>Arcanist</v>
      </c>
      <c r="I62" s="3" t="s">
        <v>336</v>
      </c>
      <c r="J62" s="8" t="str">
        <f t="shared" si="23"/>
        <v>class0005</v>
      </c>
      <c r="K62" s="8" t="str">
        <f t="shared" si="23"/>
        <v>dailoneskill0005</v>
      </c>
      <c r="L62" s="5" t="str">
        <f t="shared" si="4"/>
        <v>lootName60,DAIL/items/materia/class0005/Arcanist60.dbr,</v>
      </c>
      <c r="M62" s="5" t="str">
        <f t="shared" si="5"/>
        <v>lootWeight60,1,</v>
      </c>
      <c r="N62" t="str">
        <f t="shared" si="6"/>
        <v>3</v>
      </c>
      <c r="O62" t="str">
        <f t="shared" si="16"/>
        <v>copy .\dail_base3.dbr .\items\materia\class0005\Arcanist60.dbr /y</v>
      </c>
      <c r="P62" t="str">
        <f t="shared" si="24"/>
        <v>echo relicBitmap,items/craftingparts/components/component_a52_bristlyfur_b.tex, &gt;&gt; .\items\materia\class0005\Arcanist60.dbr</v>
      </c>
      <c r="Q62" t="str">
        <f t="shared" si="24"/>
        <v>echo itemCost,500000, &gt;&gt; .\items\materia\class0005\Arcanist60.dbr</v>
      </c>
      <c r="R62" t="str">
        <f t="shared" si="24"/>
        <v>echo description,dailCompDescArcanist60, &gt;&gt; .\items\materia\class0005\Arcanist60.dbr</v>
      </c>
      <c r="S62" t="str">
        <f t="shared" si="24"/>
        <v>echo itemText,dailCompTextArcanist60, &gt;&gt; .\items\materia\class0005\Arcanist60.dbr</v>
      </c>
      <c r="T62" t="str">
        <f t="shared" si="24"/>
        <v>echo augmentSkillLevel1,3, &gt;&gt; .\items\materia\class0005\Arcanist60.dbr</v>
      </c>
      <c r="U62" t="str">
        <f t="shared" si="24"/>
        <v>echo augmentSkillName1,records/skills/playerclass05/passive01.dbr, &gt;&gt; .\items\materia\class0005\Arcanist60.dbr</v>
      </c>
      <c r="V62" s="5" t="s">
        <v>36</v>
      </c>
      <c r="W62" t="str">
        <f t="shared" si="8"/>
        <v>echo lootName60,DAIL/items/materia/class0005/Arcanist60.dbr, &gt;&gt; .\items\loottables\dailoneskill0005.dbr</v>
      </c>
      <c r="X62" t="str">
        <f t="shared" si="8"/>
        <v>echo lootWeight60,1, &gt;&gt; .\items\loottables\dailoneskill0005.dbr</v>
      </c>
      <c r="Y62" s="5" t="s">
        <v>36</v>
      </c>
      <c r="Z62" t="str">
        <f t="shared" si="9"/>
        <v xml:space="preserve"> dailCompDescArcanist60=^pArcanist's Gift of DAIL</v>
      </c>
      <c r="AA62" t="str">
        <f t="shared" si="17"/>
        <v>dailCompTextArcanist60=^oThis feels warm to the touch, almost familiar ^w(This component only fits into the Medal Slot)</v>
      </c>
      <c r="AB62" s="5" t="s">
        <v>36</v>
      </c>
      <c r="AH62">
        <f t="shared" si="19"/>
        <v>57</v>
      </c>
      <c r="AI62">
        <f t="shared" si="22"/>
        <v>28</v>
      </c>
      <c r="AJ62">
        <f t="shared" si="18"/>
        <v>3</v>
      </c>
    </row>
    <row r="63" spans="1:36" x14ac:dyDescent="0.25">
      <c r="A63" s="5" t="s">
        <v>39</v>
      </c>
      <c r="B63" s="5" t="s">
        <v>30</v>
      </c>
      <c r="C63" s="5" t="str">
        <f t="shared" si="0"/>
        <v>description,dailCompDescArcanist61,</v>
      </c>
      <c r="D63" s="5" t="str">
        <f t="shared" si="2"/>
        <v>itemText,dailCompTextArcanist61,</v>
      </c>
      <c r="E63" s="5" t="str">
        <f t="shared" si="14"/>
        <v>augmentSkillLevel1,3,</v>
      </c>
      <c r="F63" s="5" t="str">
        <f t="shared" si="15"/>
        <v>augmentSkillName1,records/skills/playerclass05/passive02.dbr,</v>
      </c>
      <c r="G63" s="7">
        <f t="shared" si="10"/>
        <v>61</v>
      </c>
      <c r="H63" s="8" t="str">
        <f t="shared" si="11"/>
        <v>Arcanist</v>
      </c>
      <c r="I63" s="3" t="s">
        <v>337</v>
      </c>
      <c r="J63" s="8" t="str">
        <f t="shared" si="23"/>
        <v>class0005</v>
      </c>
      <c r="K63" s="8" t="str">
        <f t="shared" si="23"/>
        <v>dailoneskill0005</v>
      </c>
      <c r="L63" s="5" t="str">
        <f t="shared" si="4"/>
        <v>lootName61,DAIL/items/materia/class0005/Arcanist61.dbr,</v>
      </c>
      <c r="M63" s="5" t="str">
        <f t="shared" si="5"/>
        <v>lootWeight61,1,</v>
      </c>
      <c r="N63" t="str">
        <f t="shared" si="6"/>
        <v>3</v>
      </c>
      <c r="O63" t="str">
        <f t="shared" si="16"/>
        <v>copy .\dail_base3.dbr .\items\materia\class0005\Arcanist61.dbr /y</v>
      </c>
      <c r="P63" t="str">
        <f t="shared" si="24"/>
        <v>echo relicBitmap,items/craftingparts/components/component_a52_bristlyfur_b.tex, &gt;&gt; .\items\materia\class0005\Arcanist61.dbr</v>
      </c>
      <c r="Q63" t="str">
        <f t="shared" si="24"/>
        <v>echo itemCost,500000, &gt;&gt; .\items\materia\class0005\Arcanist61.dbr</v>
      </c>
      <c r="R63" t="str">
        <f t="shared" si="24"/>
        <v>echo description,dailCompDescArcanist61, &gt;&gt; .\items\materia\class0005\Arcanist61.dbr</v>
      </c>
      <c r="S63" t="str">
        <f t="shared" si="24"/>
        <v>echo itemText,dailCompTextArcanist61, &gt;&gt; .\items\materia\class0005\Arcanist61.dbr</v>
      </c>
      <c r="T63" t="str">
        <f t="shared" si="24"/>
        <v>echo augmentSkillLevel1,3, &gt;&gt; .\items\materia\class0005\Arcanist61.dbr</v>
      </c>
      <c r="U63" t="str">
        <f t="shared" si="24"/>
        <v>echo augmentSkillName1,records/skills/playerclass05/passive02.dbr, &gt;&gt; .\items\materia\class0005\Arcanist61.dbr</v>
      </c>
      <c r="V63" s="5" t="s">
        <v>36</v>
      </c>
      <c r="W63" t="str">
        <f t="shared" si="8"/>
        <v>echo lootName61,DAIL/items/materia/class0005/Arcanist61.dbr, &gt;&gt; .\items\loottables\dailoneskill0005.dbr</v>
      </c>
      <c r="X63" t="str">
        <f t="shared" si="8"/>
        <v>echo lootWeight61,1, &gt;&gt; .\items\loottables\dailoneskill0005.dbr</v>
      </c>
      <c r="Y63" s="5" t="s">
        <v>36</v>
      </c>
      <c r="Z63" t="str">
        <f t="shared" si="9"/>
        <v xml:space="preserve"> dailCompDescArcanist61=^pArcanist's Gift of DAIL</v>
      </c>
      <c r="AA63" t="str">
        <f t="shared" si="17"/>
        <v>dailCompTextArcanist61=^oThis feels warm to the touch, almost familiar ^w(This component only fits into the Medal Slot)</v>
      </c>
      <c r="AB63" s="5" t="s">
        <v>36</v>
      </c>
      <c r="AH63">
        <f t="shared" si="19"/>
        <v>58</v>
      </c>
      <c r="AI63">
        <f t="shared" si="22"/>
        <v>28</v>
      </c>
      <c r="AJ63">
        <f t="shared" si="18"/>
        <v>3</v>
      </c>
    </row>
    <row r="64" spans="1:36" x14ac:dyDescent="0.25">
      <c r="A64" s="5" t="s">
        <v>39</v>
      </c>
      <c r="B64" s="5" t="s">
        <v>30</v>
      </c>
      <c r="C64" s="5" t="str">
        <f t="shared" si="0"/>
        <v>description,dailCompDescArcanist62,</v>
      </c>
      <c r="D64" s="5" t="str">
        <f t="shared" si="2"/>
        <v>itemText,dailCompTextArcanist62,</v>
      </c>
      <c r="E64" s="5" t="str">
        <f t="shared" si="14"/>
        <v>augmentSkillLevel1,3,</v>
      </c>
      <c r="F64" s="5" t="str">
        <f t="shared" si="15"/>
        <v>augmentSkillName1,records/skills/playerclass05/passive03.dbr,</v>
      </c>
      <c r="G64" s="7">
        <f t="shared" si="10"/>
        <v>62</v>
      </c>
      <c r="H64" s="8" t="str">
        <f t="shared" si="11"/>
        <v>Arcanist</v>
      </c>
      <c r="I64" s="3" t="s">
        <v>338</v>
      </c>
      <c r="J64" s="8" t="str">
        <f t="shared" si="23"/>
        <v>class0005</v>
      </c>
      <c r="K64" s="8" t="str">
        <f t="shared" si="23"/>
        <v>dailoneskill0005</v>
      </c>
      <c r="L64" s="5" t="str">
        <f t="shared" si="4"/>
        <v>lootName62,DAIL/items/materia/class0005/Arcanist62.dbr,</v>
      </c>
      <c r="M64" s="5" t="str">
        <f t="shared" si="5"/>
        <v>lootWeight62,1,</v>
      </c>
      <c r="N64" t="str">
        <f t="shared" si="6"/>
        <v>3</v>
      </c>
      <c r="O64" t="str">
        <f t="shared" si="16"/>
        <v>copy .\dail_base3.dbr .\items\materia\class0005\Arcanist62.dbr /y</v>
      </c>
      <c r="P64" t="str">
        <f t="shared" si="24"/>
        <v>echo relicBitmap,items/craftingparts/components/component_a52_bristlyfur_b.tex, &gt;&gt; .\items\materia\class0005\Arcanist62.dbr</v>
      </c>
      <c r="Q64" t="str">
        <f t="shared" si="24"/>
        <v>echo itemCost,500000, &gt;&gt; .\items\materia\class0005\Arcanist62.dbr</v>
      </c>
      <c r="R64" t="str">
        <f t="shared" si="24"/>
        <v>echo description,dailCompDescArcanist62, &gt;&gt; .\items\materia\class0005\Arcanist62.dbr</v>
      </c>
      <c r="S64" t="str">
        <f t="shared" si="24"/>
        <v>echo itemText,dailCompTextArcanist62, &gt;&gt; .\items\materia\class0005\Arcanist62.dbr</v>
      </c>
      <c r="T64" t="str">
        <f t="shared" si="24"/>
        <v>echo augmentSkillLevel1,3, &gt;&gt; .\items\materia\class0005\Arcanist62.dbr</v>
      </c>
      <c r="U64" t="str">
        <f t="shared" si="24"/>
        <v>echo augmentSkillName1,records/skills/playerclass05/passive03.dbr, &gt;&gt; .\items\materia\class0005\Arcanist62.dbr</v>
      </c>
      <c r="V64" s="5" t="s">
        <v>36</v>
      </c>
      <c r="W64" t="str">
        <f t="shared" si="8"/>
        <v>echo lootName62,DAIL/items/materia/class0005/Arcanist62.dbr, &gt;&gt; .\items\loottables\dailoneskill0005.dbr</v>
      </c>
      <c r="X64" t="str">
        <f t="shared" si="8"/>
        <v>echo lootWeight62,1, &gt;&gt; .\items\loottables\dailoneskill0005.dbr</v>
      </c>
      <c r="Y64" s="5" t="s">
        <v>36</v>
      </c>
      <c r="Z64" t="str">
        <f t="shared" si="9"/>
        <v xml:space="preserve"> dailCompDescArcanist62=^pArcanist's Gift of DAIL</v>
      </c>
      <c r="AA64" t="str">
        <f t="shared" si="17"/>
        <v>dailCompTextArcanist62=^oThis feels warm to the touch, almost familiar ^w(This component only fits into the Medal Slot)</v>
      </c>
      <c r="AB64" s="5" t="s">
        <v>36</v>
      </c>
      <c r="AH64">
        <f t="shared" si="19"/>
        <v>59</v>
      </c>
      <c r="AI64">
        <f t="shared" si="22"/>
        <v>28</v>
      </c>
      <c r="AJ64">
        <f t="shared" si="18"/>
        <v>3</v>
      </c>
    </row>
    <row r="65" spans="1:36" x14ac:dyDescent="0.25">
      <c r="A65" s="5" t="s">
        <v>39</v>
      </c>
      <c r="B65" s="5" t="s">
        <v>30</v>
      </c>
      <c r="C65" s="5" t="str">
        <f t="shared" si="0"/>
        <v>description,dailCompDescArcanist63,</v>
      </c>
      <c r="D65" s="5" t="str">
        <f t="shared" si="2"/>
        <v>itemText,dailCompTextArcanist63,</v>
      </c>
      <c r="E65" s="5" t="str">
        <f t="shared" si="14"/>
        <v>augmentSkillLevel1,5,</v>
      </c>
      <c r="F65" s="5" t="str">
        <f t="shared" si="15"/>
        <v>augmentSkillName1,records/skills/playerclass05/passive04.dbr,</v>
      </c>
      <c r="G65" s="7">
        <f t="shared" si="10"/>
        <v>63</v>
      </c>
      <c r="H65" s="8" t="str">
        <f t="shared" si="11"/>
        <v>Arcanist</v>
      </c>
      <c r="I65" s="3" t="s">
        <v>339</v>
      </c>
      <c r="J65" s="8" t="str">
        <f t="shared" si="23"/>
        <v>class0005</v>
      </c>
      <c r="K65" s="8" t="str">
        <f t="shared" si="23"/>
        <v>dailoneskill0005</v>
      </c>
      <c r="L65" s="5" t="str">
        <f t="shared" si="4"/>
        <v>lootName63,DAIL/items/materia/class0005/Arcanist63.dbr,</v>
      </c>
      <c r="M65" s="5" t="str">
        <f t="shared" si="5"/>
        <v>lootWeight63,1,</v>
      </c>
      <c r="N65" t="str">
        <f t="shared" si="6"/>
        <v>5</v>
      </c>
      <c r="O65" t="str">
        <f t="shared" si="16"/>
        <v>copy .\dail_base3.dbr .\items\materia\class0005\Arcanist63.dbr /y</v>
      </c>
      <c r="P65" t="str">
        <f t="shared" si="24"/>
        <v>echo relicBitmap,items/craftingparts/components/component_a52_bristlyfur_b.tex, &gt;&gt; .\items\materia\class0005\Arcanist63.dbr</v>
      </c>
      <c r="Q65" t="str">
        <f t="shared" si="24"/>
        <v>echo itemCost,500000, &gt;&gt; .\items\materia\class0005\Arcanist63.dbr</v>
      </c>
      <c r="R65" t="str">
        <f t="shared" si="24"/>
        <v>echo description,dailCompDescArcanist63, &gt;&gt; .\items\materia\class0005\Arcanist63.dbr</v>
      </c>
      <c r="S65" t="str">
        <f t="shared" si="24"/>
        <v>echo itemText,dailCompTextArcanist63, &gt;&gt; .\items\materia\class0005\Arcanist63.dbr</v>
      </c>
      <c r="T65" t="str">
        <f t="shared" si="24"/>
        <v>echo augmentSkillLevel1,5, &gt;&gt; .\items\materia\class0005\Arcanist63.dbr</v>
      </c>
      <c r="U65" t="str">
        <f t="shared" si="24"/>
        <v>echo augmentSkillName1,records/skills/playerclass05/passive04.dbr, &gt;&gt; .\items\materia\class0005\Arcanist63.dbr</v>
      </c>
      <c r="V65" s="5" t="s">
        <v>36</v>
      </c>
      <c r="W65" t="str">
        <f t="shared" si="8"/>
        <v>echo lootName63,DAIL/items/materia/class0005/Arcanist63.dbr, &gt;&gt; .\items\loottables\dailoneskill0005.dbr</v>
      </c>
      <c r="X65" t="str">
        <f t="shared" si="8"/>
        <v>echo lootWeight63,1, &gt;&gt; .\items\loottables\dailoneskill0005.dbr</v>
      </c>
      <c r="Y65" s="5" t="s">
        <v>36</v>
      </c>
      <c r="Z65" t="str">
        <f t="shared" si="9"/>
        <v xml:space="preserve"> dailCompDescArcanist63=^pArcanist's Gift of DAIL</v>
      </c>
      <c r="AA65" t="str">
        <f t="shared" si="17"/>
        <v>dailCompTextArcanist63=^oThis feels warm to the touch, almost familiar ^w(This component only fits into the Medal Slot)</v>
      </c>
      <c r="AB65" s="5" t="s">
        <v>36</v>
      </c>
      <c r="AH65">
        <f t="shared" si="19"/>
        <v>60</v>
      </c>
      <c r="AI65">
        <f t="shared" si="22"/>
        <v>28</v>
      </c>
      <c r="AJ65">
        <f t="shared" si="18"/>
        <v>5</v>
      </c>
    </row>
    <row r="66" spans="1:36" x14ac:dyDescent="0.25">
      <c r="A66" s="5" t="s">
        <v>39</v>
      </c>
      <c r="B66" s="5" t="s">
        <v>30</v>
      </c>
      <c r="C66" s="5" t="str">
        <f t="shared" si="0"/>
        <v>description,dailCompDescArcanist64,</v>
      </c>
      <c r="D66" s="5" t="str">
        <f t="shared" si="2"/>
        <v>itemText,dailCompTextArcanist64,</v>
      </c>
      <c r="E66" s="5" t="str">
        <f t="shared" si="14"/>
        <v>augmentSkillLevel1,5,</v>
      </c>
      <c r="F66" s="5" t="str">
        <f t="shared" si="15"/>
        <v>augmentSkillName1,records/skills/playerclass05/devastation.dbr,</v>
      </c>
      <c r="G66" s="7">
        <f t="shared" si="10"/>
        <v>64</v>
      </c>
      <c r="H66" s="8" t="str">
        <f t="shared" si="11"/>
        <v>Arcanist</v>
      </c>
      <c r="I66" s="3" t="s">
        <v>131</v>
      </c>
      <c r="J66" s="8" t="str">
        <f t="shared" si="23"/>
        <v>class0005</v>
      </c>
      <c r="K66" s="8" t="str">
        <f t="shared" si="23"/>
        <v>dailoneskill0005</v>
      </c>
      <c r="L66" s="5" t="str">
        <f t="shared" si="4"/>
        <v>lootName64,DAIL/items/materia/class0005/Arcanist64.dbr,</v>
      </c>
      <c r="M66" s="5" t="str">
        <f t="shared" si="5"/>
        <v>lootWeight64,1,</v>
      </c>
      <c r="N66" t="str">
        <f t="shared" si="6"/>
        <v>5</v>
      </c>
      <c r="O66" t="str">
        <f t="shared" si="16"/>
        <v>copy .\dail_base3.dbr .\items\materia\class0005\Arcanist64.dbr /y</v>
      </c>
      <c r="P66" t="str">
        <f t="shared" si="24"/>
        <v>echo relicBitmap,items/craftingparts/components/component_a52_bristlyfur_b.tex, &gt;&gt; .\items\materia\class0005\Arcanist64.dbr</v>
      </c>
      <c r="Q66" t="str">
        <f t="shared" si="24"/>
        <v>echo itemCost,500000, &gt;&gt; .\items\materia\class0005\Arcanist64.dbr</v>
      </c>
      <c r="R66" t="str">
        <f t="shared" si="24"/>
        <v>echo description,dailCompDescArcanist64, &gt;&gt; .\items\materia\class0005\Arcanist64.dbr</v>
      </c>
      <c r="S66" t="str">
        <f t="shared" si="24"/>
        <v>echo itemText,dailCompTextArcanist64, &gt;&gt; .\items\materia\class0005\Arcanist64.dbr</v>
      </c>
      <c r="T66" t="str">
        <f t="shared" si="24"/>
        <v>echo augmentSkillLevel1,5, &gt;&gt; .\items\materia\class0005\Arcanist64.dbr</v>
      </c>
      <c r="U66" t="str">
        <f t="shared" si="24"/>
        <v>echo augmentSkillName1,records/skills/playerclass05/devastation.dbr, &gt;&gt; .\items\materia\class0005\Arcanist64.dbr</v>
      </c>
      <c r="V66" s="5" t="s">
        <v>36</v>
      </c>
      <c r="W66" t="str">
        <f t="shared" si="8"/>
        <v>echo lootName64,DAIL/items/materia/class0005/Arcanist64.dbr, &gt;&gt; .\items\loottables\dailoneskill0005.dbr</v>
      </c>
      <c r="X66" t="str">
        <f t="shared" si="8"/>
        <v>echo lootWeight64,1, &gt;&gt; .\items\loottables\dailoneskill0005.dbr</v>
      </c>
      <c r="Y66" s="5" t="s">
        <v>36</v>
      </c>
      <c r="Z66" t="str">
        <f t="shared" si="9"/>
        <v xml:space="preserve"> dailCompDescArcanist64=^pArcanist's Gift of DAIL</v>
      </c>
      <c r="AA66" t="str">
        <f t="shared" si="17"/>
        <v>dailCompTextArcanist64=^oThis feels warm to the touch, almost familiar ^w(This component only fits into the Medal Slot)</v>
      </c>
      <c r="AB66" s="5" t="s">
        <v>36</v>
      </c>
      <c r="AH66">
        <f t="shared" si="19"/>
        <v>61</v>
      </c>
      <c r="AI66">
        <f t="shared" si="22"/>
        <v>30</v>
      </c>
      <c r="AJ66">
        <f t="shared" si="18"/>
        <v>5</v>
      </c>
    </row>
    <row r="67" spans="1:36" x14ac:dyDescent="0.25">
      <c r="A67" s="5" t="s">
        <v>39</v>
      </c>
      <c r="B67" s="5" t="s">
        <v>30</v>
      </c>
      <c r="C67" s="5" t="str">
        <f t="shared" ref="C67:C102" si="25">"description,dailCompDesc"&amp;H67&amp;G67&amp;","</f>
        <v>description,dailCompDescArcanist65,</v>
      </c>
      <c r="D67" s="5" t="str">
        <f t="shared" si="2"/>
        <v>itemText,dailCompTextArcanist65,</v>
      </c>
      <c r="E67" s="5" t="str">
        <f t="shared" si="14"/>
        <v>augmentSkillLevel1,5,</v>
      </c>
      <c r="F67" s="5" t="str">
        <f t="shared" si="15"/>
        <v>augmentSkillName1,records/skills/playerclass05/arcaneshield.dbr,</v>
      </c>
      <c r="G67" s="7">
        <f t="shared" si="10"/>
        <v>65</v>
      </c>
      <c r="H67" s="8" t="str">
        <f t="shared" si="11"/>
        <v>Arcanist</v>
      </c>
      <c r="I67" s="3" t="s">
        <v>129</v>
      </c>
      <c r="J67" s="8" t="str">
        <f t="shared" si="23"/>
        <v>class0005</v>
      </c>
      <c r="K67" s="8" t="str">
        <f t="shared" si="23"/>
        <v>dailoneskill0005</v>
      </c>
      <c r="L67" s="5" t="str">
        <f t="shared" si="4"/>
        <v>lootName65,DAIL/items/materia/class0005/Arcanist65.dbr,</v>
      </c>
      <c r="M67" s="5" t="str">
        <f t="shared" si="5"/>
        <v>lootWeight65,1,</v>
      </c>
      <c r="N67" t="str">
        <f t="shared" si="6"/>
        <v>5</v>
      </c>
      <c r="O67" t="str">
        <f t="shared" si="16"/>
        <v>copy .\dail_base3.dbr .\items\materia\class0005\Arcanist65.dbr /y</v>
      </c>
      <c r="P67" t="str">
        <f t="shared" si="24"/>
        <v>echo relicBitmap,items/craftingparts/components/component_a52_bristlyfur_b.tex, &gt;&gt; .\items\materia\class0005\Arcanist65.dbr</v>
      </c>
      <c r="Q67" t="str">
        <f t="shared" si="24"/>
        <v>echo itemCost,500000, &gt;&gt; .\items\materia\class0005\Arcanist65.dbr</v>
      </c>
      <c r="R67" t="str">
        <f t="shared" si="24"/>
        <v>echo description,dailCompDescArcanist65, &gt;&gt; .\items\materia\class0005\Arcanist65.dbr</v>
      </c>
      <c r="S67" t="str">
        <f t="shared" si="24"/>
        <v>echo itemText,dailCompTextArcanist65, &gt;&gt; .\items\materia\class0005\Arcanist65.dbr</v>
      </c>
      <c r="T67" t="str">
        <f t="shared" si="24"/>
        <v>echo augmentSkillLevel1,5, &gt;&gt; .\items\materia\class0005\Arcanist65.dbr</v>
      </c>
      <c r="U67" t="str">
        <f t="shared" si="24"/>
        <v>echo augmentSkillName1,records/skills/playerclass05/arcaneshield.dbr, &gt;&gt; .\items\materia\class0005\Arcanist65.dbr</v>
      </c>
      <c r="V67" s="5" t="s">
        <v>36</v>
      </c>
      <c r="W67" t="str">
        <f t="shared" si="8"/>
        <v>echo lootName65,DAIL/items/materia/class0005/Arcanist65.dbr, &gt;&gt; .\items\loottables\dailoneskill0005.dbr</v>
      </c>
      <c r="X67" t="str">
        <f t="shared" si="8"/>
        <v>echo lootWeight65,1, &gt;&gt; .\items\loottables\dailoneskill0005.dbr</v>
      </c>
      <c r="Y67" s="5" t="s">
        <v>36</v>
      </c>
      <c r="Z67" t="str">
        <f t="shared" si="9"/>
        <v xml:space="preserve"> dailCompDescArcanist65=^pArcanist's Gift of DAIL</v>
      </c>
      <c r="AA67" t="str">
        <f t="shared" si="17"/>
        <v>dailCompTextArcanist65=^oThis feels warm to the touch, almost familiar ^w(This component only fits into the Medal Slot)</v>
      </c>
      <c r="AB67" s="5" t="s">
        <v>36</v>
      </c>
      <c r="AH67">
        <f t="shared" si="19"/>
        <v>62</v>
      </c>
      <c r="AI67">
        <f t="shared" si="22"/>
        <v>31</v>
      </c>
      <c r="AJ67">
        <f t="shared" si="18"/>
        <v>5</v>
      </c>
    </row>
    <row r="68" spans="1:36" x14ac:dyDescent="0.25">
      <c r="A68" s="5" t="s">
        <v>39</v>
      </c>
      <c r="B68" s="5" t="s">
        <v>30</v>
      </c>
      <c r="C68" s="5" t="str">
        <f t="shared" si="25"/>
        <v>description,dailCompDescArcanist66,</v>
      </c>
      <c r="D68" s="5" t="str">
        <f t="shared" ref="D68:D102" si="26">"itemText,dailCompText"&amp;H68&amp;G68&amp;","</f>
        <v>itemText,dailCompTextArcanist66,</v>
      </c>
      <c r="E68" s="5" t="str">
        <f t="shared" si="14"/>
        <v>augmentSkillLevel1,5,</v>
      </c>
      <c r="F68" s="5" t="str">
        <f t="shared" si="15"/>
        <v>augmentSkillName1,records/skills/playerclass05/skyshard1.dbr,</v>
      </c>
      <c r="G68" s="7">
        <f t="shared" si="10"/>
        <v>66</v>
      </c>
      <c r="H68" s="8" t="str">
        <f t="shared" si="11"/>
        <v>Arcanist</v>
      </c>
      <c r="I68" s="3" t="s">
        <v>136</v>
      </c>
      <c r="J68" s="8" t="str">
        <f t="shared" si="23"/>
        <v>class0005</v>
      </c>
      <c r="K68" s="8" t="str">
        <f t="shared" si="23"/>
        <v>dailoneskill0005</v>
      </c>
      <c r="L68" s="5" t="str">
        <f t="shared" ref="L68:L102" si="27">"lootName"&amp;G68&amp;",DAIL/items/materia/"&amp;J68&amp;"/"&amp;H68&amp;G68&amp;".dbr"&amp;","</f>
        <v>lootName66,DAIL/items/materia/class0005/Arcanist66.dbr,</v>
      </c>
      <c r="M68" s="5" t="str">
        <f t="shared" ref="M68:M102" si="28">"lootWeight"&amp;G68&amp;",1,"</f>
        <v>lootWeight66,1,</v>
      </c>
      <c r="N68" t="str">
        <f t="shared" ref="N68:N102" si="29">LEFT(RIGHT(E68,2),1)</f>
        <v>5</v>
      </c>
      <c r="O68" t="str">
        <f t="shared" si="16"/>
        <v>copy .\dail_base3.dbr .\items\materia\class0005\Arcanist66.dbr /y</v>
      </c>
      <c r="P68" t="str">
        <f t="shared" si="24"/>
        <v>echo relicBitmap,items/craftingparts/components/component_a52_bristlyfur_b.tex, &gt;&gt; .\items\materia\class0005\Arcanist66.dbr</v>
      </c>
      <c r="Q68" t="str">
        <f t="shared" si="24"/>
        <v>echo itemCost,500000, &gt;&gt; .\items\materia\class0005\Arcanist66.dbr</v>
      </c>
      <c r="R68" t="str">
        <f t="shared" si="24"/>
        <v>echo description,dailCompDescArcanist66, &gt;&gt; .\items\materia\class0005\Arcanist66.dbr</v>
      </c>
      <c r="S68" t="str">
        <f t="shared" si="24"/>
        <v>echo itemText,dailCompTextArcanist66, &gt;&gt; .\items\materia\class0005\Arcanist66.dbr</v>
      </c>
      <c r="T68" t="str">
        <f t="shared" si="24"/>
        <v>echo augmentSkillLevel1,5, &gt;&gt; .\items\materia\class0005\Arcanist66.dbr</v>
      </c>
      <c r="U68" t="str">
        <f t="shared" si="24"/>
        <v>echo augmentSkillName1,records/skills/playerclass05/skyshard1.dbr, &gt;&gt; .\items\materia\class0005\Arcanist66.dbr</v>
      </c>
      <c r="V68" s="5" t="s">
        <v>36</v>
      </c>
      <c r="W68" t="str">
        <f t="shared" ref="W68:X102" si="30">IF($I68&lt;&gt;"","echo "&amp;L68&amp;" &gt;&gt; .\items\loottables\"&amp;$K68&amp;".dbr","")</f>
        <v>echo lootName66,DAIL/items/materia/class0005/Arcanist66.dbr, &gt;&gt; .\items\loottables\dailoneskill0005.dbr</v>
      </c>
      <c r="X68" t="str">
        <f t="shared" si="30"/>
        <v>echo lootWeight66,1, &gt;&gt; .\items\loottables\dailoneskill0005.dbr</v>
      </c>
      <c r="Y68" s="5" t="s">
        <v>36</v>
      </c>
      <c r="Z68" t="str">
        <f t="shared" ref="Z68:Z102" si="31">IF(I67&lt;&gt;""," dailCompDesc"&amp;H68&amp;G68&amp;"=^p"&amp;H68&amp;"'s Gift of DAIL","")</f>
        <v xml:space="preserve"> dailCompDescArcanist66=^pArcanist's Gift of DAIL</v>
      </c>
      <c r="AA68" t="str">
        <f t="shared" si="17"/>
        <v>dailCompTextArcanist66=^oThis feels warm to the touch, almost familiar ^w(This component only fits into the Medal Slot)</v>
      </c>
      <c r="AB68" s="5" t="s">
        <v>36</v>
      </c>
      <c r="AH68">
        <f t="shared" si="19"/>
        <v>63</v>
      </c>
      <c r="AI68">
        <f t="shared" si="22"/>
        <v>28</v>
      </c>
      <c r="AJ68">
        <f t="shared" si="18"/>
        <v>5</v>
      </c>
    </row>
    <row r="69" spans="1:36" x14ac:dyDescent="0.25">
      <c r="A69" s="5" t="s">
        <v>39</v>
      </c>
      <c r="B69" s="5" t="s">
        <v>30</v>
      </c>
      <c r="C69" s="5" t="str">
        <f t="shared" si="25"/>
        <v>description,dailCompDescArcanist67,</v>
      </c>
      <c r="D69" s="5" t="str">
        <f t="shared" si="26"/>
        <v>itemText,dailCompTextArcanist67,</v>
      </c>
      <c r="E69" s="5" t="str">
        <f t="shared" si="14"/>
        <v>augmentSkillLevel1,5,</v>
      </c>
      <c r="F69" s="5" t="str">
        <f t="shared" si="15"/>
        <v>augmentSkillName1,records/skills/playerclass05/skyshard2.dbr,</v>
      </c>
      <c r="G69" s="7">
        <f t="shared" ref="G69:G102" si="32">IF(I69&lt;&gt;"",G68+1,"")</f>
        <v>67</v>
      </c>
      <c r="H69" s="8" t="str">
        <f t="shared" ref="H69:H102" si="33">H68</f>
        <v>Arcanist</v>
      </c>
      <c r="I69" s="3" t="s">
        <v>321</v>
      </c>
      <c r="J69" s="8" t="str">
        <f t="shared" ref="J69:K84" si="34">J68</f>
        <v>class0005</v>
      </c>
      <c r="K69" s="8" t="str">
        <f t="shared" si="34"/>
        <v>dailoneskill0005</v>
      </c>
      <c r="L69" s="5" t="str">
        <f t="shared" si="27"/>
        <v>lootName67,DAIL/items/materia/class0005/Arcanist67.dbr,</v>
      </c>
      <c r="M69" s="5" t="str">
        <f t="shared" si="28"/>
        <v>lootWeight67,1,</v>
      </c>
      <c r="N69" t="str">
        <f t="shared" si="29"/>
        <v>5</v>
      </c>
      <c r="O69" t="str">
        <f t="shared" si="16"/>
        <v>copy .\dail_base3.dbr .\items\materia\class0005\Arcanist67.dbr /y</v>
      </c>
      <c r="P69" t="str">
        <f t="shared" si="24"/>
        <v>echo relicBitmap,items/craftingparts/components/component_a52_bristlyfur_b.tex, &gt;&gt; .\items\materia\class0005\Arcanist67.dbr</v>
      </c>
      <c r="Q69" t="str">
        <f t="shared" si="24"/>
        <v>echo itemCost,500000, &gt;&gt; .\items\materia\class0005\Arcanist67.dbr</v>
      </c>
      <c r="R69" t="str">
        <f t="shared" si="24"/>
        <v>echo description,dailCompDescArcanist67, &gt;&gt; .\items\materia\class0005\Arcanist67.dbr</v>
      </c>
      <c r="S69" t="str">
        <f t="shared" si="24"/>
        <v>echo itemText,dailCompTextArcanist67, &gt;&gt; .\items\materia\class0005\Arcanist67.dbr</v>
      </c>
      <c r="T69" t="str">
        <f t="shared" si="24"/>
        <v>echo augmentSkillLevel1,5, &gt;&gt; .\items\materia\class0005\Arcanist67.dbr</v>
      </c>
      <c r="U69" t="str">
        <f t="shared" si="24"/>
        <v>echo augmentSkillName1,records/skills/playerclass05/skyshard2.dbr, &gt;&gt; .\items\materia\class0005\Arcanist67.dbr</v>
      </c>
      <c r="V69" s="5" t="s">
        <v>36</v>
      </c>
      <c r="W69" t="str">
        <f t="shared" si="30"/>
        <v>echo lootName67,DAIL/items/materia/class0005/Arcanist67.dbr, &gt;&gt; .\items\loottables\dailoneskill0005.dbr</v>
      </c>
      <c r="X69" t="str">
        <f t="shared" si="30"/>
        <v>echo lootWeight67,1, &gt;&gt; .\items\loottables\dailoneskill0005.dbr</v>
      </c>
      <c r="Y69" s="5" t="s">
        <v>36</v>
      </c>
      <c r="Z69" t="str">
        <f t="shared" si="31"/>
        <v xml:space="preserve"> dailCompDescArcanist67=^pArcanist's Gift of DAIL</v>
      </c>
      <c r="AA69" t="str">
        <f t="shared" si="17"/>
        <v>dailCompTextArcanist67=^oThis feels warm to the touch, almost familiar ^w(This component only fits into the Medal Slot)</v>
      </c>
      <c r="AB69" s="5" t="s">
        <v>36</v>
      </c>
      <c r="AH69">
        <f t="shared" si="19"/>
        <v>64</v>
      </c>
      <c r="AI69">
        <f t="shared" si="22"/>
        <v>28</v>
      </c>
      <c r="AJ69">
        <f t="shared" si="18"/>
        <v>5</v>
      </c>
    </row>
    <row r="70" spans="1:36" x14ac:dyDescent="0.25">
      <c r="A70" s="5" t="s">
        <v>39</v>
      </c>
      <c r="B70" s="5" t="s">
        <v>30</v>
      </c>
      <c r="C70" s="5" t="str">
        <f t="shared" si="25"/>
        <v>description,dailCompDescArcanist68,</v>
      </c>
      <c r="D70" s="5" t="str">
        <f t="shared" si="26"/>
        <v>itemText,dailCompTextArcanist68,</v>
      </c>
      <c r="E70" s="5" t="str">
        <f t="shared" si="14"/>
        <v>augmentSkillLevel1,5,</v>
      </c>
      <c r="F70" s="5" t="str">
        <f t="shared" si="15"/>
        <v>augmentSkillName1,records/skills/playerclass05/skyshard3.dbr,</v>
      </c>
      <c r="G70" s="7">
        <f t="shared" si="32"/>
        <v>68</v>
      </c>
      <c r="H70" s="8" t="str">
        <f t="shared" si="33"/>
        <v>Arcanist</v>
      </c>
      <c r="I70" s="3" t="s">
        <v>322</v>
      </c>
      <c r="J70" s="8" t="str">
        <f t="shared" si="34"/>
        <v>class0005</v>
      </c>
      <c r="K70" s="8" t="str">
        <f t="shared" si="34"/>
        <v>dailoneskill0005</v>
      </c>
      <c r="L70" s="5" t="str">
        <f t="shared" si="27"/>
        <v>lootName68,DAIL/items/materia/class0005/Arcanist68.dbr,</v>
      </c>
      <c r="M70" s="5" t="str">
        <f t="shared" si="28"/>
        <v>lootWeight68,1,</v>
      </c>
      <c r="N70" t="str">
        <f t="shared" si="29"/>
        <v>5</v>
      </c>
      <c r="O70" t="str">
        <f t="shared" si="16"/>
        <v>copy .\dail_base3.dbr .\items\materia\class0005\Arcanist68.dbr /y</v>
      </c>
      <c r="P70" t="str">
        <f t="shared" si="24"/>
        <v>echo relicBitmap,items/craftingparts/components/component_a52_bristlyfur_b.tex, &gt;&gt; .\items\materia\class0005\Arcanist68.dbr</v>
      </c>
      <c r="Q70" t="str">
        <f t="shared" si="24"/>
        <v>echo itemCost,500000, &gt;&gt; .\items\materia\class0005\Arcanist68.dbr</v>
      </c>
      <c r="R70" t="str">
        <f t="shared" si="24"/>
        <v>echo description,dailCompDescArcanist68, &gt;&gt; .\items\materia\class0005\Arcanist68.dbr</v>
      </c>
      <c r="S70" t="str">
        <f t="shared" si="24"/>
        <v>echo itemText,dailCompTextArcanist68, &gt;&gt; .\items\materia\class0005\Arcanist68.dbr</v>
      </c>
      <c r="T70" t="str">
        <f t="shared" si="24"/>
        <v>echo augmentSkillLevel1,5, &gt;&gt; .\items\materia\class0005\Arcanist68.dbr</v>
      </c>
      <c r="U70" t="str">
        <f t="shared" si="24"/>
        <v>echo augmentSkillName1,records/skills/playerclass05/skyshard3.dbr, &gt;&gt; .\items\materia\class0005\Arcanist68.dbr</v>
      </c>
      <c r="V70" s="5" t="s">
        <v>36</v>
      </c>
      <c r="W70" t="str">
        <f t="shared" si="30"/>
        <v>echo lootName68,DAIL/items/materia/class0005/Arcanist68.dbr, &gt;&gt; .\items\loottables\dailoneskill0005.dbr</v>
      </c>
      <c r="X70" t="str">
        <f t="shared" si="30"/>
        <v>echo lootWeight68,1, &gt;&gt; .\items\loottables\dailoneskill0005.dbr</v>
      </c>
      <c r="Y70" s="5" t="s">
        <v>36</v>
      </c>
      <c r="Z70" t="str">
        <f t="shared" si="31"/>
        <v xml:space="preserve"> dailCompDescArcanist68=^pArcanist's Gift of DAIL</v>
      </c>
      <c r="AA70" t="str">
        <f t="shared" si="17"/>
        <v>dailCompTextArcanist68=^oThis feels warm to the touch, almost familiar ^w(This component only fits into the Medal Slot)</v>
      </c>
      <c r="AB70" s="5" t="s">
        <v>36</v>
      </c>
      <c r="AH70">
        <f t="shared" si="19"/>
        <v>65</v>
      </c>
      <c r="AI70">
        <f t="shared" ref="AI70:AI102" si="35">LEN(I70)</f>
        <v>28</v>
      </c>
      <c r="AJ70">
        <f t="shared" si="18"/>
        <v>5</v>
      </c>
    </row>
    <row r="71" spans="1:36" x14ac:dyDescent="0.25">
      <c r="A71" s="5" t="s">
        <v>39</v>
      </c>
      <c r="B71" s="5" t="s">
        <v>30</v>
      </c>
      <c r="C71" s="5" t="str">
        <f t="shared" si="25"/>
        <v>description,dailCompDescArcanist69,</v>
      </c>
      <c r="D71" s="5" t="str">
        <f t="shared" si="26"/>
        <v>itemText,dailCompTextArcanist69,</v>
      </c>
      <c r="E71" s="5" t="str">
        <f t="shared" ref="E71:E102" si="36">"augmentSkillLevel1,"&amp;AJ71&amp;","</f>
        <v>augmentSkillLevel1,5,</v>
      </c>
      <c r="F71" s="5" t="str">
        <f t="shared" ref="F71:F102" si="37">"augmentSkillName1,records/skills"&amp;I71&amp;","</f>
        <v>augmentSkillName1,records/skills/playerclass05/mindovermatter1.dbr,</v>
      </c>
      <c r="G71" s="7">
        <f t="shared" si="32"/>
        <v>69</v>
      </c>
      <c r="H71" s="8" t="str">
        <f t="shared" si="33"/>
        <v>Arcanist</v>
      </c>
      <c r="I71" s="3" t="s">
        <v>133</v>
      </c>
      <c r="J71" s="8" t="str">
        <f t="shared" si="34"/>
        <v>class0005</v>
      </c>
      <c r="K71" s="8" t="str">
        <f t="shared" si="34"/>
        <v>dailoneskill0005</v>
      </c>
      <c r="L71" s="5" t="str">
        <f t="shared" si="27"/>
        <v>lootName69,DAIL/items/materia/class0005/Arcanist69.dbr,</v>
      </c>
      <c r="M71" s="5" t="str">
        <f t="shared" si="28"/>
        <v>lootWeight69,1,</v>
      </c>
      <c r="N71" t="str">
        <f t="shared" si="29"/>
        <v>5</v>
      </c>
      <c r="O71" t="str">
        <f t="shared" ref="O71:O102" si="38">IF(I71&lt;&gt;"","copy .\"&amp;VLOOKUP(VALUE(N71),$AD$3:$AF$5,2,FALSE)&amp;" .\items\materia\"&amp;J71&amp;"\"&amp;H71&amp;G71&amp;".dbr /y"&amp;"","")</f>
        <v>copy .\dail_base3.dbr .\items\materia\class0005\Arcanist69.dbr /y</v>
      </c>
      <c r="P71" t="str">
        <f t="shared" si="24"/>
        <v>echo relicBitmap,items/craftingparts/components/component_a52_bristlyfur_b.tex, &gt;&gt; .\items\materia\class0005\Arcanist69.dbr</v>
      </c>
      <c r="Q71" t="str">
        <f t="shared" si="24"/>
        <v>echo itemCost,500000, &gt;&gt; .\items\materia\class0005\Arcanist69.dbr</v>
      </c>
      <c r="R71" t="str">
        <f t="shared" si="24"/>
        <v>echo description,dailCompDescArcanist69, &gt;&gt; .\items\materia\class0005\Arcanist69.dbr</v>
      </c>
      <c r="S71" t="str">
        <f t="shared" si="24"/>
        <v>echo itemText,dailCompTextArcanist69, &gt;&gt; .\items\materia\class0005\Arcanist69.dbr</v>
      </c>
      <c r="T71" t="str">
        <f t="shared" si="24"/>
        <v>echo augmentSkillLevel1,5, &gt;&gt; .\items\materia\class0005\Arcanist69.dbr</v>
      </c>
      <c r="U71" t="str">
        <f t="shared" si="24"/>
        <v>echo augmentSkillName1,records/skills/playerclass05/mindovermatter1.dbr, &gt;&gt; .\items\materia\class0005\Arcanist69.dbr</v>
      </c>
      <c r="V71" s="5" t="s">
        <v>36</v>
      </c>
      <c r="W71" t="str">
        <f t="shared" si="30"/>
        <v>echo lootName69,DAIL/items/materia/class0005/Arcanist69.dbr, &gt;&gt; .\items\loottables\dailoneskill0005.dbr</v>
      </c>
      <c r="X71" t="str">
        <f t="shared" si="30"/>
        <v>echo lootWeight69,1, &gt;&gt; .\items\loottables\dailoneskill0005.dbr</v>
      </c>
      <c r="Y71" s="5" t="s">
        <v>36</v>
      </c>
      <c r="Z71" t="str">
        <f t="shared" si="31"/>
        <v xml:space="preserve"> dailCompDescArcanist69=^pArcanist's Gift of DAIL</v>
      </c>
      <c r="AA71" t="str">
        <f t="shared" ref="AA71:AA102" si="39">IF(I70&lt;&gt;"","dailCompText"&amp;H71&amp;G71&amp;"=^oThis feels warm to the touch, almost familiar ^w("&amp;VLOOKUP(VALUE(N71),$AD$3:$AF$5,3,FALSE)&amp;")","")</f>
        <v>dailCompTextArcanist69=^oThis feels warm to the touch, almost familiar ^w(This component only fits into the Medal Slot)</v>
      </c>
      <c r="AB71" s="5" t="s">
        <v>36</v>
      </c>
      <c r="AH71">
        <f t="shared" si="19"/>
        <v>66</v>
      </c>
      <c r="AI71">
        <f t="shared" si="35"/>
        <v>34</v>
      </c>
      <c r="AJ71">
        <f t="shared" ref="AJ71:AJ102" si="40">IF(AH71&lt;$AL$7,1,IF(AH71&lt;$AL$8,3,5))</f>
        <v>5</v>
      </c>
    </row>
    <row r="72" spans="1:36" x14ac:dyDescent="0.25">
      <c r="A72" s="5" t="s">
        <v>39</v>
      </c>
      <c r="B72" s="5" t="s">
        <v>30</v>
      </c>
      <c r="C72" s="5" t="str">
        <f t="shared" si="25"/>
        <v>description,dailCompDescArcanist70,</v>
      </c>
      <c r="D72" s="5" t="str">
        <f t="shared" si="26"/>
        <v>itemText,dailCompTextArcanist70,</v>
      </c>
      <c r="E72" s="5" t="str">
        <f t="shared" si="36"/>
        <v>augmentSkillLevel1,5,</v>
      </c>
      <c r="F72" s="5" t="str">
        <f t="shared" si="37"/>
        <v>augmentSkillName1,records/skills/playerclass05/mindovermatter2.dbr,</v>
      </c>
      <c r="G72" s="7">
        <f t="shared" si="32"/>
        <v>70</v>
      </c>
      <c r="H72" s="8" t="str">
        <f t="shared" si="33"/>
        <v>Arcanist</v>
      </c>
      <c r="I72" s="3" t="s">
        <v>323</v>
      </c>
      <c r="J72" s="8" t="str">
        <f t="shared" si="34"/>
        <v>class0005</v>
      </c>
      <c r="K72" s="8" t="str">
        <f t="shared" si="34"/>
        <v>dailoneskill0005</v>
      </c>
      <c r="L72" s="5" t="str">
        <f t="shared" si="27"/>
        <v>lootName70,DAIL/items/materia/class0005/Arcanist70.dbr,</v>
      </c>
      <c r="M72" s="5" t="str">
        <f t="shared" si="28"/>
        <v>lootWeight70,1,</v>
      </c>
      <c r="N72" t="str">
        <f t="shared" si="29"/>
        <v>5</v>
      </c>
      <c r="O72" t="str">
        <f t="shared" si="38"/>
        <v>copy .\dail_base3.dbr .\items\materia\class0005\Arcanist70.dbr /y</v>
      </c>
      <c r="P72" t="str">
        <f t="shared" si="24"/>
        <v>echo relicBitmap,items/craftingparts/components/component_a52_bristlyfur_b.tex, &gt;&gt; .\items\materia\class0005\Arcanist70.dbr</v>
      </c>
      <c r="Q72" t="str">
        <f t="shared" si="24"/>
        <v>echo itemCost,500000, &gt;&gt; .\items\materia\class0005\Arcanist70.dbr</v>
      </c>
      <c r="R72" t="str">
        <f t="shared" si="24"/>
        <v>echo description,dailCompDescArcanist70, &gt;&gt; .\items\materia\class0005\Arcanist70.dbr</v>
      </c>
      <c r="S72" t="str">
        <f t="shared" si="24"/>
        <v>echo itemText,dailCompTextArcanist70, &gt;&gt; .\items\materia\class0005\Arcanist70.dbr</v>
      </c>
      <c r="T72" t="str">
        <f t="shared" si="24"/>
        <v>echo augmentSkillLevel1,5, &gt;&gt; .\items\materia\class0005\Arcanist70.dbr</v>
      </c>
      <c r="U72" t="str">
        <f t="shared" si="24"/>
        <v>echo augmentSkillName1,records/skills/playerclass05/mindovermatter2.dbr, &gt;&gt; .\items\materia\class0005\Arcanist70.dbr</v>
      </c>
      <c r="V72" s="5" t="s">
        <v>36</v>
      </c>
      <c r="W72" t="str">
        <f t="shared" si="30"/>
        <v>echo lootName70,DAIL/items/materia/class0005/Arcanist70.dbr, &gt;&gt; .\items\loottables\dailoneskill0005.dbr</v>
      </c>
      <c r="X72" t="str">
        <f t="shared" si="30"/>
        <v>echo lootWeight70,1, &gt;&gt; .\items\loottables\dailoneskill0005.dbr</v>
      </c>
      <c r="Y72" s="5" t="s">
        <v>36</v>
      </c>
      <c r="Z72" t="str">
        <f t="shared" si="31"/>
        <v xml:space="preserve"> dailCompDescArcanist70=^pArcanist's Gift of DAIL</v>
      </c>
      <c r="AA72" t="str">
        <f t="shared" si="39"/>
        <v>dailCompTextArcanist70=^oThis feels warm to the touch, almost familiar ^w(This component only fits into the Medal Slot)</v>
      </c>
      <c r="AB72" s="5" t="s">
        <v>36</v>
      </c>
      <c r="AH72">
        <f t="shared" ref="AH72:AH102" si="41">AH71+1</f>
        <v>67</v>
      </c>
      <c r="AI72">
        <f t="shared" si="35"/>
        <v>34</v>
      </c>
      <c r="AJ72">
        <f t="shared" si="40"/>
        <v>5</v>
      </c>
    </row>
    <row r="73" spans="1:36" x14ac:dyDescent="0.25">
      <c r="A73" s="5" t="s">
        <v>39</v>
      </c>
      <c r="B73" s="5" t="s">
        <v>30</v>
      </c>
      <c r="C73" s="5" t="str">
        <f t="shared" si="25"/>
        <v>description,dailCompDescArcanist71,</v>
      </c>
      <c r="D73" s="5" t="str">
        <f t="shared" si="26"/>
        <v>itemText,dailCompTextArcanist71,</v>
      </c>
      <c r="E73" s="5" t="str">
        <f t="shared" si="36"/>
        <v>augmentSkillLevel1,5,</v>
      </c>
      <c r="F73" s="5" t="str">
        <f t="shared" si="37"/>
        <v>augmentSkillName1,records/skills/playerclass05/nullification.dbr,</v>
      </c>
      <c r="G73" s="7">
        <f t="shared" si="32"/>
        <v>71</v>
      </c>
      <c r="H73" s="8" t="str">
        <f t="shared" si="33"/>
        <v>Arcanist</v>
      </c>
      <c r="I73" s="3" t="s">
        <v>134</v>
      </c>
      <c r="J73" s="8" t="str">
        <f t="shared" si="34"/>
        <v>class0005</v>
      </c>
      <c r="K73" s="8" t="str">
        <f t="shared" si="34"/>
        <v>dailoneskill0005</v>
      </c>
      <c r="L73" s="5" t="str">
        <f t="shared" si="27"/>
        <v>lootName71,DAIL/items/materia/class0005/Arcanist71.dbr,</v>
      </c>
      <c r="M73" s="5" t="str">
        <f t="shared" si="28"/>
        <v>lootWeight71,1,</v>
      </c>
      <c r="N73" t="str">
        <f t="shared" si="29"/>
        <v>5</v>
      </c>
      <c r="O73" t="str">
        <f t="shared" si="38"/>
        <v>copy .\dail_base3.dbr .\items\materia\class0005\Arcanist71.dbr /y</v>
      </c>
      <c r="P73" t="str">
        <f t="shared" si="24"/>
        <v>echo relicBitmap,items/craftingparts/components/component_a52_bristlyfur_b.tex, &gt;&gt; .\items\materia\class0005\Arcanist71.dbr</v>
      </c>
      <c r="Q73" t="str">
        <f t="shared" si="24"/>
        <v>echo itemCost,500000, &gt;&gt; .\items\materia\class0005\Arcanist71.dbr</v>
      </c>
      <c r="R73" t="str">
        <f t="shared" si="24"/>
        <v>echo description,dailCompDescArcanist71, &gt;&gt; .\items\materia\class0005\Arcanist71.dbr</v>
      </c>
      <c r="S73" t="str">
        <f t="shared" si="24"/>
        <v>echo itemText,dailCompTextArcanist71, &gt;&gt; .\items\materia\class0005\Arcanist71.dbr</v>
      </c>
      <c r="T73" t="str">
        <f t="shared" si="24"/>
        <v>echo augmentSkillLevel1,5, &gt;&gt; .\items\materia\class0005\Arcanist71.dbr</v>
      </c>
      <c r="U73" t="str">
        <f t="shared" si="24"/>
        <v>echo augmentSkillName1,records/skills/playerclass05/nullification.dbr, &gt;&gt; .\items\materia\class0005\Arcanist71.dbr</v>
      </c>
      <c r="V73" s="5" t="s">
        <v>36</v>
      </c>
      <c r="W73" t="str">
        <f t="shared" si="30"/>
        <v>echo lootName71,DAIL/items/materia/class0005/Arcanist71.dbr, &gt;&gt; .\items\loottables\dailoneskill0005.dbr</v>
      </c>
      <c r="X73" t="str">
        <f t="shared" si="30"/>
        <v>echo lootWeight71,1, &gt;&gt; .\items\loottables\dailoneskill0005.dbr</v>
      </c>
      <c r="Y73" s="5" t="s">
        <v>36</v>
      </c>
      <c r="Z73" t="str">
        <f t="shared" si="31"/>
        <v xml:space="preserve"> dailCompDescArcanist71=^pArcanist's Gift of DAIL</v>
      </c>
      <c r="AA73" t="str">
        <f t="shared" si="39"/>
        <v>dailCompTextArcanist71=^oThis feels warm to the touch, almost familiar ^w(This component only fits into the Medal Slot)</v>
      </c>
      <c r="AB73" s="5" t="s">
        <v>36</v>
      </c>
      <c r="AH73">
        <f t="shared" si="41"/>
        <v>68</v>
      </c>
      <c r="AI73">
        <f t="shared" si="35"/>
        <v>32</v>
      </c>
      <c r="AJ73">
        <f t="shared" si="40"/>
        <v>5</v>
      </c>
    </row>
    <row r="74" spans="1:36" x14ac:dyDescent="0.25">
      <c r="A74" s="5" t="s">
        <v>39</v>
      </c>
      <c r="B74" s="5" t="s">
        <v>30</v>
      </c>
      <c r="C74" s="5" t="str">
        <f t="shared" si="25"/>
        <v>description,dailCompDescArcanist72,</v>
      </c>
      <c r="D74" s="5" t="str">
        <f t="shared" si="26"/>
        <v>itemText,dailCompTextArcanist72,</v>
      </c>
      <c r="E74" s="5" t="str">
        <f t="shared" si="36"/>
        <v>augmentSkillLevel1,5,</v>
      </c>
      <c r="F74" s="5" t="str">
        <f t="shared" si="37"/>
        <v>augmentSkillName1,records/skills/playerclass05/elementalinfusion1.dbr,</v>
      </c>
      <c r="G74" s="7">
        <f t="shared" si="32"/>
        <v>72</v>
      </c>
      <c r="H74" s="8" t="str">
        <f t="shared" si="33"/>
        <v>Arcanist</v>
      </c>
      <c r="I74" s="3" t="s">
        <v>132</v>
      </c>
      <c r="J74" s="8" t="str">
        <f t="shared" si="34"/>
        <v>class0005</v>
      </c>
      <c r="K74" s="8" t="str">
        <f t="shared" si="34"/>
        <v>dailoneskill0005</v>
      </c>
      <c r="L74" s="5" t="str">
        <f t="shared" si="27"/>
        <v>lootName72,DAIL/items/materia/class0005/Arcanist72.dbr,</v>
      </c>
      <c r="M74" s="5" t="str">
        <f t="shared" si="28"/>
        <v>lootWeight72,1,</v>
      </c>
      <c r="N74" t="str">
        <f t="shared" si="29"/>
        <v>5</v>
      </c>
      <c r="O74" t="str">
        <f t="shared" si="38"/>
        <v>copy .\dail_base3.dbr .\items\materia\class0005\Arcanist72.dbr /y</v>
      </c>
      <c r="P74" t="str">
        <f t="shared" si="24"/>
        <v>echo relicBitmap,items/craftingparts/components/component_a52_bristlyfur_b.tex, &gt;&gt; .\items\materia\class0005\Arcanist72.dbr</v>
      </c>
      <c r="Q74" t="str">
        <f t="shared" si="24"/>
        <v>echo itemCost,500000, &gt;&gt; .\items\materia\class0005\Arcanist72.dbr</v>
      </c>
      <c r="R74" t="str">
        <f t="shared" si="24"/>
        <v>echo description,dailCompDescArcanist72, &gt;&gt; .\items\materia\class0005\Arcanist72.dbr</v>
      </c>
      <c r="S74" t="str">
        <f t="shared" si="24"/>
        <v>echo itemText,dailCompTextArcanist72, &gt;&gt; .\items\materia\class0005\Arcanist72.dbr</v>
      </c>
      <c r="T74" t="str">
        <f t="shared" si="24"/>
        <v>echo augmentSkillLevel1,5, &gt;&gt; .\items\materia\class0005\Arcanist72.dbr</v>
      </c>
      <c r="U74" t="str">
        <f t="shared" si="24"/>
        <v>echo augmentSkillName1,records/skills/playerclass05/elementalinfusion1.dbr, &gt;&gt; .\items\materia\class0005\Arcanist72.dbr</v>
      </c>
      <c r="V74" s="5" t="s">
        <v>36</v>
      </c>
      <c r="W74" t="str">
        <f t="shared" si="30"/>
        <v>echo lootName72,DAIL/items/materia/class0005/Arcanist72.dbr, &gt;&gt; .\items\loottables\dailoneskill0005.dbr</v>
      </c>
      <c r="X74" t="str">
        <f t="shared" si="30"/>
        <v>echo lootWeight72,1, &gt;&gt; .\items\loottables\dailoneskill0005.dbr</v>
      </c>
      <c r="Y74" s="5" t="s">
        <v>36</v>
      </c>
      <c r="Z74" t="str">
        <f t="shared" si="31"/>
        <v xml:space="preserve"> dailCompDescArcanist72=^pArcanist's Gift of DAIL</v>
      </c>
      <c r="AA74" t="str">
        <f t="shared" si="39"/>
        <v>dailCompTextArcanist72=^oThis feels warm to the touch, almost familiar ^w(This component only fits into the Medal Slot)</v>
      </c>
      <c r="AB74" s="5" t="s">
        <v>36</v>
      </c>
      <c r="AH74">
        <f t="shared" si="41"/>
        <v>69</v>
      </c>
      <c r="AI74">
        <f t="shared" si="35"/>
        <v>37</v>
      </c>
      <c r="AJ74">
        <f t="shared" si="40"/>
        <v>5</v>
      </c>
    </row>
    <row r="75" spans="1:36" x14ac:dyDescent="0.25">
      <c r="A75" s="5" t="s">
        <v>39</v>
      </c>
      <c r="B75" s="5" t="s">
        <v>30</v>
      </c>
      <c r="C75" s="5" t="str">
        <f t="shared" si="25"/>
        <v>description,dailCompDescArcanist73,</v>
      </c>
      <c r="D75" s="5" t="str">
        <f t="shared" si="26"/>
        <v>itemText,dailCompTextArcanist73,</v>
      </c>
      <c r="E75" s="5" t="str">
        <f t="shared" si="36"/>
        <v>augmentSkillLevel1,5,</v>
      </c>
      <c r="F75" s="5" t="str">
        <f t="shared" si="37"/>
        <v>augmentSkillName1,records/skills/playerclass05/elementalinfusion2.dbr,</v>
      </c>
      <c r="G75" s="7">
        <f t="shared" si="32"/>
        <v>73</v>
      </c>
      <c r="H75" s="8" t="str">
        <f t="shared" si="33"/>
        <v>Arcanist</v>
      </c>
      <c r="I75" s="3" t="s">
        <v>324</v>
      </c>
      <c r="J75" s="8" t="str">
        <f t="shared" si="34"/>
        <v>class0005</v>
      </c>
      <c r="K75" s="8" t="str">
        <f t="shared" si="34"/>
        <v>dailoneskill0005</v>
      </c>
      <c r="L75" s="5" t="str">
        <f t="shared" si="27"/>
        <v>lootName73,DAIL/items/materia/class0005/Arcanist73.dbr,</v>
      </c>
      <c r="M75" s="5" t="str">
        <f t="shared" si="28"/>
        <v>lootWeight73,1,</v>
      </c>
      <c r="N75" t="str">
        <f t="shared" si="29"/>
        <v>5</v>
      </c>
      <c r="O75" t="str">
        <f t="shared" si="38"/>
        <v>copy .\dail_base3.dbr .\items\materia\class0005\Arcanist73.dbr /y</v>
      </c>
      <c r="P75" t="str">
        <f t="shared" si="24"/>
        <v>echo relicBitmap,items/craftingparts/components/component_a52_bristlyfur_b.tex, &gt;&gt; .\items\materia\class0005\Arcanist73.dbr</v>
      </c>
      <c r="Q75" t="str">
        <f t="shared" si="24"/>
        <v>echo itemCost,500000, &gt;&gt; .\items\materia\class0005\Arcanist73.dbr</v>
      </c>
      <c r="R75" t="str">
        <f t="shared" si="24"/>
        <v>echo description,dailCompDescArcanist73, &gt;&gt; .\items\materia\class0005\Arcanist73.dbr</v>
      </c>
      <c r="S75" t="str">
        <f t="shared" si="24"/>
        <v>echo itemText,dailCompTextArcanist73, &gt;&gt; .\items\materia\class0005\Arcanist73.dbr</v>
      </c>
      <c r="T75" t="str">
        <f t="shared" si="24"/>
        <v>echo augmentSkillLevel1,5, &gt;&gt; .\items\materia\class0005\Arcanist73.dbr</v>
      </c>
      <c r="U75" t="str">
        <f t="shared" si="24"/>
        <v>echo augmentSkillName1,records/skills/playerclass05/elementalinfusion2.dbr, &gt;&gt; .\items\materia\class0005\Arcanist73.dbr</v>
      </c>
      <c r="V75" s="5" t="s">
        <v>36</v>
      </c>
      <c r="W75" t="str">
        <f t="shared" si="30"/>
        <v>echo lootName73,DAIL/items/materia/class0005/Arcanist73.dbr, &gt;&gt; .\items\loottables\dailoneskill0005.dbr</v>
      </c>
      <c r="X75" t="str">
        <f t="shared" si="30"/>
        <v>echo lootWeight73,1, &gt;&gt; .\items\loottables\dailoneskill0005.dbr</v>
      </c>
      <c r="Y75" s="5" t="s">
        <v>36</v>
      </c>
      <c r="Z75" t="str">
        <f t="shared" si="31"/>
        <v xml:space="preserve"> dailCompDescArcanist73=^pArcanist's Gift of DAIL</v>
      </c>
      <c r="AA75" t="str">
        <f t="shared" si="39"/>
        <v>dailCompTextArcanist73=^oThis feels warm to the touch, almost familiar ^w(This component only fits into the Medal Slot)</v>
      </c>
      <c r="AB75" s="5" t="s">
        <v>36</v>
      </c>
      <c r="AH75">
        <f t="shared" si="41"/>
        <v>70</v>
      </c>
      <c r="AI75">
        <f t="shared" si="35"/>
        <v>37</v>
      </c>
      <c r="AJ75">
        <f t="shared" si="40"/>
        <v>5</v>
      </c>
    </row>
    <row r="76" spans="1:36" x14ac:dyDescent="0.25">
      <c r="A76" s="5" t="s">
        <v>39</v>
      </c>
      <c r="B76" s="5" t="s">
        <v>30</v>
      </c>
      <c r="C76" s="5" t="str">
        <f t="shared" si="25"/>
        <v>description,dailCompDescArcanist74,</v>
      </c>
      <c r="D76" s="5" t="str">
        <f t="shared" si="26"/>
        <v>itemText,dailCompTextArcanist74,</v>
      </c>
      <c r="E76" s="5" t="str">
        <f t="shared" si="36"/>
        <v>augmentSkillLevel1,5,</v>
      </c>
      <c r="F76" s="5" t="str">
        <f t="shared" si="37"/>
        <v>augmentSkillName1,records/skills/playerclass05/chillingsurge.dbr,</v>
      </c>
      <c r="G76" s="7">
        <f t="shared" si="32"/>
        <v>74</v>
      </c>
      <c r="H76" s="8" t="str">
        <f t="shared" si="33"/>
        <v>Arcanist</v>
      </c>
      <c r="I76" s="3" t="s">
        <v>130</v>
      </c>
      <c r="J76" s="8" t="str">
        <f t="shared" si="34"/>
        <v>class0005</v>
      </c>
      <c r="K76" s="8" t="str">
        <f t="shared" si="34"/>
        <v>dailoneskill0005</v>
      </c>
      <c r="L76" s="5" t="str">
        <f t="shared" si="27"/>
        <v>lootName74,DAIL/items/materia/class0005/Arcanist74.dbr,</v>
      </c>
      <c r="M76" s="5" t="str">
        <f t="shared" si="28"/>
        <v>lootWeight74,1,</v>
      </c>
      <c r="N76" t="str">
        <f t="shared" si="29"/>
        <v>5</v>
      </c>
      <c r="O76" t="str">
        <f t="shared" si="38"/>
        <v>copy .\dail_base3.dbr .\items\materia\class0005\Arcanist74.dbr /y</v>
      </c>
      <c r="P76" t="str">
        <f t="shared" si="24"/>
        <v>echo relicBitmap,items/craftingparts/components/component_a52_bristlyfur_b.tex, &gt;&gt; .\items\materia\class0005\Arcanist74.dbr</v>
      </c>
      <c r="Q76" t="str">
        <f t="shared" si="24"/>
        <v>echo itemCost,500000, &gt;&gt; .\items\materia\class0005\Arcanist74.dbr</v>
      </c>
      <c r="R76" t="str">
        <f t="shared" si="24"/>
        <v>echo description,dailCompDescArcanist74, &gt;&gt; .\items\materia\class0005\Arcanist74.dbr</v>
      </c>
      <c r="S76" t="str">
        <f t="shared" si="24"/>
        <v>echo itemText,dailCompTextArcanist74, &gt;&gt; .\items\materia\class0005\Arcanist74.dbr</v>
      </c>
      <c r="T76" t="str">
        <f t="shared" si="24"/>
        <v>echo augmentSkillLevel1,5, &gt;&gt; .\items\materia\class0005\Arcanist74.dbr</v>
      </c>
      <c r="U76" t="str">
        <f t="shared" si="24"/>
        <v>echo augmentSkillName1,records/skills/playerclass05/chillingsurge.dbr, &gt;&gt; .\items\materia\class0005\Arcanist74.dbr</v>
      </c>
      <c r="V76" s="5" t="s">
        <v>36</v>
      </c>
      <c r="W76" t="str">
        <f t="shared" si="30"/>
        <v>echo lootName74,DAIL/items/materia/class0005/Arcanist74.dbr, &gt;&gt; .\items\loottables\dailoneskill0005.dbr</v>
      </c>
      <c r="X76" t="str">
        <f t="shared" si="30"/>
        <v>echo lootWeight74,1, &gt;&gt; .\items\loottables\dailoneskill0005.dbr</v>
      </c>
      <c r="Y76" s="5" t="s">
        <v>36</v>
      </c>
      <c r="Z76" t="str">
        <f t="shared" si="31"/>
        <v xml:space="preserve"> dailCompDescArcanist74=^pArcanist's Gift of DAIL</v>
      </c>
      <c r="AA76" t="str">
        <f t="shared" si="39"/>
        <v>dailCompTextArcanist74=^oThis feels warm to the touch, almost familiar ^w(This component only fits into the Medal Slot)</v>
      </c>
      <c r="AB76" s="5" t="s">
        <v>36</v>
      </c>
      <c r="AH76">
        <f t="shared" si="41"/>
        <v>71</v>
      </c>
      <c r="AI76">
        <f t="shared" si="35"/>
        <v>32</v>
      </c>
      <c r="AJ76">
        <f t="shared" si="40"/>
        <v>5</v>
      </c>
    </row>
    <row r="77" spans="1:36" x14ac:dyDescent="0.25">
      <c r="A77" s="5" t="s">
        <v>39</v>
      </c>
      <c r="B77" s="5" t="s">
        <v>30</v>
      </c>
      <c r="C77" s="5" t="str">
        <f t="shared" si="25"/>
        <v>description,dailCompDescArcanist75,</v>
      </c>
      <c r="D77" s="5" t="str">
        <f t="shared" si="26"/>
        <v>itemText,dailCompTextArcanist75,</v>
      </c>
      <c r="E77" s="5" t="str">
        <f t="shared" si="36"/>
        <v>augmentSkillLevel1,5,</v>
      </c>
      <c r="F77" s="5" t="str">
        <f t="shared" si="37"/>
        <v>augmentSkillName1,records/skills/playerclass05/elementalinfusion3.dbr,</v>
      </c>
      <c r="G77" s="7">
        <f t="shared" si="32"/>
        <v>75</v>
      </c>
      <c r="H77" s="8" t="str">
        <f t="shared" si="33"/>
        <v>Arcanist</v>
      </c>
      <c r="I77" s="3" t="s">
        <v>325</v>
      </c>
      <c r="J77" s="8" t="str">
        <f t="shared" si="34"/>
        <v>class0005</v>
      </c>
      <c r="K77" s="8" t="str">
        <f t="shared" si="34"/>
        <v>dailoneskill0005</v>
      </c>
      <c r="L77" s="5" t="str">
        <f t="shared" si="27"/>
        <v>lootName75,DAIL/items/materia/class0005/Arcanist75.dbr,</v>
      </c>
      <c r="M77" s="5" t="str">
        <f t="shared" si="28"/>
        <v>lootWeight75,1,</v>
      </c>
      <c r="N77" t="str">
        <f t="shared" si="29"/>
        <v>5</v>
      </c>
      <c r="O77" t="str">
        <f t="shared" si="38"/>
        <v>copy .\dail_base3.dbr .\items\materia\class0005\Arcanist75.dbr /y</v>
      </c>
      <c r="P77" t="str">
        <f t="shared" si="24"/>
        <v>echo relicBitmap,items/craftingparts/components/component_a52_bristlyfur_b.tex, &gt;&gt; .\items\materia\class0005\Arcanist75.dbr</v>
      </c>
      <c r="Q77" t="str">
        <f t="shared" si="24"/>
        <v>echo itemCost,500000, &gt;&gt; .\items\materia\class0005\Arcanist75.dbr</v>
      </c>
      <c r="R77" t="str">
        <f t="shared" si="24"/>
        <v>echo description,dailCompDescArcanist75, &gt;&gt; .\items\materia\class0005\Arcanist75.dbr</v>
      </c>
      <c r="S77" t="str">
        <f t="shared" si="24"/>
        <v>echo itemText,dailCompTextArcanist75, &gt;&gt; .\items\materia\class0005\Arcanist75.dbr</v>
      </c>
      <c r="T77" t="str">
        <f t="shared" si="24"/>
        <v>echo augmentSkillLevel1,5, &gt;&gt; .\items\materia\class0005\Arcanist75.dbr</v>
      </c>
      <c r="U77" t="str">
        <f t="shared" si="24"/>
        <v>echo augmentSkillName1,records/skills/playerclass05/elementalinfusion3.dbr, &gt;&gt; .\items\materia\class0005\Arcanist75.dbr</v>
      </c>
      <c r="V77" s="5" t="s">
        <v>36</v>
      </c>
      <c r="W77" t="str">
        <f t="shared" si="30"/>
        <v>echo lootName75,DAIL/items/materia/class0005/Arcanist75.dbr, &gt;&gt; .\items\loottables\dailoneskill0005.dbr</v>
      </c>
      <c r="X77" t="str">
        <f t="shared" si="30"/>
        <v>echo lootWeight75,1, &gt;&gt; .\items\loottables\dailoneskill0005.dbr</v>
      </c>
      <c r="Y77" s="5" t="s">
        <v>36</v>
      </c>
      <c r="Z77" t="str">
        <f t="shared" si="31"/>
        <v xml:space="preserve"> dailCompDescArcanist75=^pArcanist's Gift of DAIL</v>
      </c>
      <c r="AA77" t="str">
        <f t="shared" si="39"/>
        <v>dailCompTextArcanist75=^oThis feels warm to the touch, almost familiar ^w(This component only fits into the Medal Slot)</v>
      </c>
      <c r="AB77" s="5" t="s">
        <v>36</v>
      </c>
      <c r="AH77">
        <f t="shared" si="41"/>
        <v>72</v>
      </c>
      <c r="AI77">
        <f t="shared" si="35"/>
        <v>37</v>
      </c>
      <c r="AJ77">
        <f t="shared" si="40"/>
        <v>5</v>
      </c>
    </row>
    <row r="78" spans="1:36" x14ac:dyDescent="0.25">
      <c r="A78" s="5" t="s">
        <v>39</v>
      </c>
      <c r="B78" s="5" t="s">
        <v>30</v>
      </c>
      <c r="C78" s="5" t="str">
        <f t="shared" si="25"/>
        <v>description,dailCompDescArcanist76,</v>
      </c>
      <c r="D78" s="5" t="str">
        <f t="shared" si="26"/>
        <v>itemText,dailCompTextArcanist76,</v>
      </c>
      <c r="E78" s="5" t="str">
        <f t="shared" si="36"/>
        <v>augmentSkillLevel1,5,</v>
      </c>
      <c r="F78" s="5" t="str">
        <f t="shared" si="37"/>
        <v>augmentSkillName1,records/skills/playerclass05/elementalinfusion1b.dbr,</v>
      </c>
      <c r="G78" s="7">
        <f t="shared" si="32"/>
        <v>76</v>
      </c>
      <c r="H78" s="8" t="str">
        <f t="shared" si="33"/>
        <v>Arcanist</v>
      </c>
      <c r="I78" s="3" t="s">
        <v>326</v>
      </c>
      <c r="J78" s="8" t="str">
        <f t="shared" si="34"/>
        <v>class0005</v>
      </c>
      <c r="K78" s="8" t="str">
        <f t="shared" si="34"/>
        <v>dailoneskill0005</v>
      </c>
      <c r="L78" s="5" t="str">
        <f t="shared" si="27"/>
        <v>lootName76,DAIL/items/materia/class0005/Arcanist76.dbr,</v>
      </c>
      <c r="M78" s="5" t="str">
        <f t="shared" si="28"/>
        <v>lootWeight76,1,</v>
      </c>
      <c r="N78" t="str">
        <f t="shared" si="29"/>
        <v>5</v>
      </c>
      <c r="O78" t="str">
        <f t="shared" si="38"/>
        <v>copy .\dail_base3.dbr .\items\materia\class0005\Arcanist76.dbr /y</v>
      </c>
      <c r="P78" t="str">
        <f t="shared" si="24"/>
        <v>echo relicBitmap,items/craftingparts/components/component_a52_bristlyfur_b.tex, &gt;&gt; .\items\materia\class0005\Arcanist76.dbr</v>
      </c>
      <c r="Q78" t="str">
        <f t="shared" si="24"/>
        <v>echo itemCost,500000, &gt;&gt; .\items\materia\class0005\Arcanist76.dbr</v>
      </c>
      <c r="R78" t="str">
        <f t="shared" si="24"/>
        <v>echo description,dailCompDescArcanist76, &gt;&gt; .\items\materia\class0005\Arcanist76.dbr</v>
      </c>
      <c r="S78" t="str">
        <f t="shared" si="24"/>
        <v>echo itemText,dailCompTextArcanist76, &gt;&gt; .\items\materia\class0005\Arcanist76.dbr</v>
      </c>
      <c r="T78" t="str">
        <f t="shared" si="24"/>
        <v>echo augmentSkillLevel1,5, &gt;&gt; .\items\materia\class0005\Arcanist76.dbr</v>
      </c>
      <c r="U78" t="str">
        <f t="shared" si="24"/>
        <v>echo augmentSkillName1,records/skills/playerclass05/elementalinfusion1b.dbr, &gt;&gt; .\items\materia\class0005\Arcanist76.dbr</v>
      </c>
      <c r="V78" s="5" t="s">
        <v>36</v>
      </c>
      <c r="W78" t="str">
        <f t="shared" si="30"/>
        <v>echo lootName76,DAIL/items/materia/class0005/Arcanist76.dbr, &gt;&gt; .\items\loottables\dailoneskill0005.dbr</v>
      </c>
      <c r="X78" t="str">
        <f t="shared" si="30"/>
        <v>echo lootWeight76,1, &gt;&gt; .\items\loottables\dailoneskill0005.dbr</v>
      </c>
      <c r="Y78" s="5" t="s">
        <v>36</v>
      </c>
      <c r="Z78" t="str">
        <f t="shared" si="31"/>
        <v xml:space="preserve"> dailCompDescArcanist76=^pArcanist's Gift of DAIL</v>
      </c>
      <c r="AA78" t="str">
        <f t="shared" si="39"/>
        <v>dailCompTextArcanist76=^oThis feels warm to the touch, almost familiar ^w(This component only fits into the Medal Slot)</v>
      </c>
      <c r="AB78" s="5" t="s">
        <v>36</v>
      </c>
      <c r="AH78">
        <f t="shared" si="41"/>
        <v>73</v>
      </c>
      <c r="AI78">
        <f t="shared" si="35"/>
        <v>38</v>
      </c>
      <c r="AJ78">
        <f t="shared" si="40"/>
        <v>5</v>
      </c>
    </row>
    <row r="79" spans="1:36" x14ac:dyDescent="0.25">
      <c r="A79" s="5" t="s">
        <v>39</v>
      </c>
      <c r="B79" s="5" t="s">
        <v>30</v>
      </c>
      <c r="C79" s="5" t="str">
        <f t="shared" si="25"/>
        <v>description,dailCompDescArcanist77,</v>
      </c>
      <c r="D79" s="5" t="str">
        <f t="shared" si="26"/>
        <v>itemText,dailCompTextArcanist77,</v>
      </c>
      <c r="E79" s="5" t="str">
        <f t="shared" si="36"/>
        <v>augmentSkillLevel1,5,</v>
      </c>
      <c r="F79" s="5" t="str">
        <f t="shared" si="37"/>
        <v>augmentSkillName1,records/skills/playerclass05/razorwind1.dbr,</v>
      </c>
      <c r="G79" s="7">
        <f t="shared" si="32"/>
        <v>77</v>
      </c>
      <c r="H79" s="8" t="str">
        <f t="shared" si="33"/>
        <v>Arcanist</v>
      </c>
      <c r="I79" s="3" t="s">
        <v>135</v>
      </c>
      <c r="J79" s="8" t="str">
        <f t="shared" si="34"/>
        <v>class0005</v>
      </c>
      <c r="K79" s="8" t="str">
        <f t="shared" si="34"/>
        <v>dailoneskill0005</v>
      </c>
      <c r="L79" s="5" t="str">
        <f t="shared" si="27"/>
        <v>lootName77,DAIL/items/materia/class0005/Arcanist77.dbr,</v>
      </c>
      <c r="M79" s="5" t="str">
        <f t="shared" si="28"/>
        <v>lootWeight77,1,</v>
      </c>
      <c r="N79" t="str">
        <f t="shared" si="29"/>
        <v>5</v>
      </c>
      <c r="O79" t="str">
        <f t="shared" si="38"/>
        <v>copy .\dail_base3.dbr .\items\materia\class0005\Arcanist77.dbr /y</v>
      </c>
      <c r="P79" t="str">
        <f t="shared" si="24"/>
        <v>echo relicBitmap,items/craftingparts/components/component_a52_bristlyfur_b.tex, &gt;&gt; .\items\materia\class0005\Arcanist77.dbr</v>
      </c>
      <c r="Q79" t="str">
        <f t="shared" si="24"/>
        <v>echo itemCost,500000, &gt;&gt; .\items\materia\class0005\Arcanist77.dbr</v>
      </c>
      <c r="R79" t="str">
        <f t="shared" si="24"/>
        <v>echo description,dailCompDescArcanist77, &gt;&gt; .\items\materia\class0005\Arcanist77.dbr</v>
      </c>
      <c r="S79" t="str">
        <f t="shared" si="24"/>
        <v>echo itemText,dailCompTextArcanist77, &gt;&gt; .\items\materia\class0005\Arcanist77.dbr</v>
      </c>
      <c r="T79" t="str">
        <f t="shared" si="24"/>
        <v>echo augmentSkillLevel1,5, &gt;&gt; .\items\materia\class0005\Arcanist77.dbr</v>
      </c>
      <c r="U79" t="str">
        <f t="shared" si="24"/>
        <v>echo augmentSkillName1,records/skills/playerclass05/razorwind1.dbr, &gt;&gt; .\items\materia\class0005\Arcanist77.dbr</v>
      </c>
      <c r="V79" s="5" t="s">
        <v>36</v>
      </c>
      <c r="W79" t="str">
        <f t="shared" si="30"/>
        <v>echo lootName77,DAIL/items/materia/class0005/Arcanist77.dbr, &gt;&gt; .\items\loottables\dailoneskill0005.dbr</v>
      </c>
      <c r="X79" t="str">
        <f t="shared" si="30"/>
        <v>echo lootWeight77,1, &gt;&gt; .\items\loottables\dailoneskill0005.dbr</v>
      </c>
      <c r="Y79" s="5" t="s">
        <v>36</v>
      </c>
      <c r="Z79" t="str">
        <f t="shared" si="31"/>
        <v xml:space="preserve"> dailCompDescArcanist77=^pArcanist's Gift of DAIL</v>
      </c>
      <c r="AA79" t="str">
        <f t="shared" si="39"/>
        <v>dailCompTextArcanist77=^oThis feels warm to the touch, almost familiar ^w(This component only fits into the Medal Slot)</v>
      </c>
      <c r="AB79" s="5" t="s">
        <v>36</v>
      </c>
      <c r="AH79">
        <f t="shared" si="41"/>
        <v>74</v>
      </c>
      <c r="AI79">
        <f t="shared" si="35"/>
        <v>29</v>
      </c>
      <c r="AJ79">
        <f t="shared" si="40"/>
        <v>5</v>
      </c>
    </row>
    <row r="80" spans="1:36" x14ac:dyDescent="0.25">
      <c r="A80" s="5" t="s">
        <v>39</v>
      </c>
      <c r="B80" s="5" t="s">
        <v>30</v>
      </c>
      <c r="C80" s="5" t="str">
        <f t="shared" si="25"/>
        <v>description,dailCompDescArcanist78,</v>
      </c>
      <c r="D80" s="5" t="str">
        <f t="shared" si="26"/>
        <v>itemText,dailCompTextArcanist78,</v>
      </c>
      <c r="E80" s="5" t="str">
        <f t="shared" si="36"/>
        <v>augmentSkillLevel1,5,</v>
      </c>
      <c r="F80" s="5" t="str">
        <f t="shared" si="37"/>
        <v>augmentSkillName1,records/skills/playerclass05/razorwind2.dbr,</v>
      </c>
      <c r="G80" s="7">
        <f t="shared" si="32"/>
        <v>78</v>
      </c>
      <c r="H80" s="8" t="str">
        <f t="shared" si="33"/>
        <v>Arcanist</v>
      </c>
      <c r="I80" s="3" t="s">
        <v>327</v>
      </c>
      <c r="J80" s="8" t="str">
        <f t="shared" si="34"/>
        <v>class0005</v>
      </c>
      <c r="K80" s="8" t="str">
        <f t="shared" si="34"/>
        <v>dailoneskill0005</v>
      </c>
      <c r="L80" s="5" t="str">
        <f t="shared" si="27"/>
        <v>lootName78,DAIL/items/materia/class0005/Arcanist78.dbr,</v>
      </c>
      <c r="M80" s="5" t="str">
        <f t="shared" si="28"/>
        <v>lootWeight78,1,</v>
      </c>
      <c r="N80" t="str">
        <f t="shared" si="29"/>
        <v>5</v>
      </c>
      <c r="O80" t="str">
        <f t="shared" si="38"/>
        <v>copy .\dail_base3.dbr .\items\materia\class0005\Arcanist78.dbr /y</v>
      </c>
      <c r="P80" t="str">
        <f t="shared" si="24"/>
        <v>echo relicBitmap,items/craftingparts/components/component_a52_bristlyfur_b.tex, &gt;&gt; .\items\materia\class0005\Arcanist78.dbr</v>
      </c>
      <c r="Q80" t="str">
        <f t="shared" si="24"/>
        <v>echo itemCost,500000, &gt;&gt; .\items\materia\class0005\Arcanist78.dbr</v>
      </c>
      <c r="R80" t="str">
        <f t="shared" si="24"/>
        <v>echo description,dailCompDescArcanist78, &gt;&gt; .\items\materia\class0005\Arcanist78.dbr</v>
      </c>
      <c r="S80" t="str">
        <f t="shared" si="24"/>
        <v>echo itemText,dailCompTextArcanist78, &gt;&gt; .\items\materia\class0005\Arcanist78.dbr</v>
      </c>
      <c r="T80" t="str">
        <f t="shared" si="24"/>
        <v>echo augmentSkillLevel1,5, &gt;&gt; .\items\materia\class0005\Arcanist78.dbr</v>
      </c>
      <c r="U80" t="str">
        <f t="shared" si="24"/>
        <v>echo augmentSkillName1,records/skills/playerclass05/razorwind2.dbr, &gt;&gt; .\items\materia\class0005\Arcanist78.dbr</v>
      </c>
      <c r="V80" s="5" t="s">
        <v>36</v>
      </c>
      <c r="W80" t="str">
        <f t="shared" si="30"/>
        <v>echo lootName78,DAIL/items/materia/class0005/Arcanist78.dbr, &gt;&gt; .\items\loottables\dailoneskill0005.dbr</v>
      </c>
      <c r="X80" t="str">
        <f t="shared" si="30"/>
        <v>echo lootWeight78,1, &gt;&gt; .\items\loottables\dailoneskill0005.dbr</v>
      </c>
      <c r="Y80" s="5" t="s">
        <v>36</v>
      </c>
      <c r="Z80" t="str">
        <f t="shared" si="31"/>
        <v xml:space="preserve"> dailCompDescArcanist78=^pArcanist's Gift of DAIL</v>
      </c>
      <c r="AA80" t="str">
        <f t="shared" si="39"/>
        <v>dailCompTextArcanist78=^oThis feels warm to the touch, almost familiar ^w(This component only fits into the Medal Slot)</v>
      </c>
      <c r="AB80" s="5" t="s">
        <v>36</v>
      </c>
      <c r="AH80">
        <f t="shared" si="41"/>
        <v>75</v>
      </c>
      <c r="AI80">
        <f t="shared" si="35"/>
        <v>29</v>
      </c>
      <c r="AJ80">
        <f t="shared" si="40"/>
        <v>5</v>
      </c>
    </row>
    <row r="81" spans="1:36" x14ac:dyDescent="0.25">
      <c r="A81" s="5" t="s">
        <v>39</v>
      </c>
      <c r="B81" s="5" t="s">
        <v>30</v>
      </c>
      <c r="C81" s="5" t="str">
        <f t="shared" si="25"/>
        <v>description,dailCompDescArcanist79,</v>
      </c>
      <c r="D81" s="5" t="str">
        <f t="shared" si="26"/>
        <v>itemText,dailCompTextArcanist79,</v>
      </c>
      <c r="E81" s="5" t="str">
        <f t="shared" si="36"/>
        <v>augmentSkillLevel1,5,</v>
      </c>
      <c r="F81" s="5" t="str">
        <f t="shared" si="37"/>
        <v>augmentSkillName1,records/skills/playerclass05/razorwind1b.dbr,</v>
      </c>
      <c r="G81" s="7">
        <f t="shared" si="32"/>
        <v>79</v>
      </c>
      <c r="H81" s="8" t="str">
        <f t="shared" si="33"/>
        <v>Arcanist</v>
      </c>
      <c r="I81" s="3" t="s">
        <v>328</v>
      </c>
      <c r="J81" s="8" t="str">
        <f t="shared" si="34"/>
        <v>class0005</v>
      </c>
      <c r="K81" s="8" t="str">
        <f t="shared" si="34"/>
        <v>dailoneskill0005</v>
      </c>
      <c r="L81" s="5" t="str">
        <f t="shared" si="27"/>
        <v>lootName79,DAIL/items/materia/class0005/Arcanist79.dbr,</v>
      </c>
      <c r="M81" s="5" t="str">
        <f t="shared" si="28"/>
        <v>lootWeight79,1,</v>
      </c>
      <c r="N81" t="str">
        <f t="shared" si="29"/>
        <v>5</v>
      </c>
      <c r="O81" t="str">
        <f t="shared" si="38"/>
        <v>copy .\dail_base3.dbr .\items\materia\class0005\Arcanist79.dbr /y</v>
      </c>
      <c r="P81" t="str">
        <f t="shared" si="24"/>
        <v>echo relicBitmap,items/craftingparts/components/component_a52_bristlyfur_b.tex, &gt;&gt; .\items\materia\class0005\Arcanist79.dbr</v>
      </c>
      <c r="Q81" t="str">
        <f t="shared" si="24"/>
        <v>echo itemCost,500000, &gt;&gt; .\items\materia\class0005\Arcanist79.dbr</v>
      </c>
      <c r="R81" t="str">
        <f t="shared" si="24"/>
        <v>echo description,dailCompDescArcanist79, &gt;&gt; .\items\materia\class0005\Arcanist79.dbr</v>
      </c>
      <c r="S81" t="str">
        <f t="shared" si="24"/>
        <v>echo itemText,dailCompTextArcanist79, &gt;&gt; .\items\materia\class0005\Arcanist79.dbr</v>
      </c>
      <c r="T81" t="str">
        <f t="shared" si="24"/>
        <v>echo augmentSkillLevel1,5, &gt;&gt; .\items\materia\class0005\Arcanist79.dbr</v>
      </c>
      <c r="U81" t="str">
        <f t="shared" si="24"/>
        <v>echo augmentSkillName1,records/skills/playerclass05/razorwind1b.dbr, &gt;&gt; .\items\materia\class0005\Arcanist79.dbr</v>
      </c>
      <c r="V81" s="5" t="s">
        <v>36</v>
      </c>
      <c r="W81" t="str">
        <f t="shared" si="30"/>
        <v>echo lootName79,DAIL/items/materia/class0005/Arcanist79.dbr, &gt;&gt; .\items\loottables\dailoneskill0005.dbr</v>
      </c>
      <c r="X81" t="str">
        <f t="shared" si="30"/>
        <v>echo lootWeight79,1, &gt;&gt; .\items\loottables\dailoneskill0005.dbr</v>
      </c>
      <c r="Y81" s="5" t="s">
        <v>36</v>
      </c>
      <c r="Z81" t="str">
        <f t="shared" si="31"/>
        <v xml:space="preserve"> dailCompDescArcanist79=^pArcanist's Gift of DAIL</v>
      </c>
      <c r="AA81" t="str">
        <f t="shared" si="39"/>
        <v>dailCompTextArcanist79=^oThis feels warm to the touch, almost familiar ^w(This component only fits into the Medal Slot)</v>
      </c>
      <c r="AB81" s="5" t="s">
        <v>36</v>
      </c>
      <c r="AH81">
        <f t="shared" si="41"/>
        <v>76</v>
      </c>
      <c r="AI81">
        <f t="shared" si="35"/>
        <v>30</v>
      </c>
      <c r="AJ81">
        <f t="shared" si="40"/>
        <v>5</v>
      </c>
    </row>
    <row r="82" spans="1:36" x14ac:dyDescent="0.25">
      <c r="A82" s="5" t="s">
        <v>39</v>
      </c>
      <c r="B82" s="5" t="s">
        <v>30</v>
      </c>
      <c r="C82" s="5" t="str">
        <f t="shared" si="25"/>
        <v>description,dailCompDescArcanist80,</v>
      </c>
      <c r="D82" s="5" t="str">
        <f t="shared" si="26"/>
        <v>itemText,dailCompTextArcanist80,</v>
      </c>
      <c r="E82" s="5" t="str">
        <f t="shared" si="36"/>
        <v>augmentSkillLevel1,5,</v>
      </c>
      <c r="F82" s="5" t="str">
        <f t="shared" si="37"/>
        <v>augmentSkillName1,records/skills/playerclass05/arcanemissile.dbr,</v>
      </c>
      <c r="G82" s="7">
        <f t="shared" si="32"/>
        <v>80</v>
      </c>
      <c r="H82" s="8" t="str">
        <f t="shared" si="33"/>
        <v>Arcanist</v>
      </c>
      <c r="I82" s="3" t="s">
        <v>128</v>
      </c>
      <c r="J82" s="8" t="str">
        <f t="shared" si="34"/>
        <v>class0005</v>
      </c>
      <c r="K82" s="8" t="str">
        <f t="shared" si="34"/>
        <v>dailoneskill0005</v>
      </c>
      <c r="L82" s="5" t="str">
        <f t="shared" si="27"/>
        <v>lootName80,DAIL/items/materia/class0005/Arcanist80.dbr,</v>
      </c>
      <c r="M82" s="5" t="str">
        <f t="shared" si="28"/>
        <v>lootWeight80,1,</v>
      </c>
      <c r="N82" t="str">
        <f t="shared" si="29"/>
        <v>5</v>
      </c>
      <c r="O82" t="str">
        <f t="shared" si="38"/>
        <v>copy .\dail_base3.dbr .\items\materia\class0005\Arcanist80.dbr /y</v>
      </c>
      <c r="P82" t="str">
        <f t="shared" si="24"/>
        <v>echo relicBitmap,items/craftingparts/components/component_a52_bristlyfur_b.tex, &gt;&gt; .\items\materia\class0005\Arcanist80.dbr</v>
      </c>
      <c r="Q82" t="str">
        <f t="shared" si="24"/>
        <v>echo itemCost,500000, &gt;&gt; .\items\materia\class0005\Arcanist80.dbr</v>
      </c>
      <c r="R82" t="str">
        <f t="shared" si="24"/>
        <v>echo description,dailCompDescArcanist80, &gt;&gt; .\items\materia\class0005\Arcanist80.dbr</v>
      </c>
      <c r="S82" t="str">
        <f t="shared" si="24"/>
        <v>echo itemText,dailCompTextArcanist80, &gt;&gt; .\items\materia\class0005\Arcanist80.dbr</v>
      </c>
      <c r="T82" t="str">
        <f t="shared" si="24"/>
        <v>echo augmentSkillLevel1,5, &gt;&gt; .\items\materia\class0005\Arcanist80.dbr</v>
      </c>
      <c r="U82" t="str">
        <f t="shared" si="24"/>
        <v>echo augmentSkillName1,records/skills/playerclass05/arcanemissile.dbr, &gt;&gt; .\items\materia\class0005\Arcanist80.dbr</v>
      </c>
      <c r="V82" s="5" t="s">
        <v>36</v>
      </c>
      <c r="W82" t="str">
        <f t="shared" si="30"/>
        <v>echo lootName80,DAIL/items/materia/class0005/Arcanist80.dbr, &gt;&gt; .\items\loottables\dailoneskill0005.dbr</v>
      </c>
      <c r="X82" t="str">
        <f t="shared" si="30"/>
        <v>echo lootWeight80,1, &gt;&gt; .\items\loottables\dailoneskill0005.dbr</v>
      </c>
      <c r="Y82" s="5" t="s">
        <v>36</v>
      </c>
      <c r="Z82" t="str">
        <f t="shared" si="31"/>
        <v xml:space="preserve"> dailCompDescArcanist80=^pArcanist's Gift of DAIL</v>
      </c>
      <c r="AA82" t="str">
        <f t="shared" si="39"/>
        <v>dailCompTextArcanist80=^oThis feels warm to the touch, almost familiar ^w(This component only fits into the Medal Slot)</v>
      </c>
      <c r="AB82" s="5" t="s">
        <v>36</v>
      </c>
      <c r="AH82">
        <f t="shared" si="41"/>
        <v>77</v>
      </c>
      <c r="AI82">
        <f t="shared" si="35"/>
        <v>32</v>
      </c>
      <c r="AJ82">
        <f t="shared" si="40"/>
        <v>5</v>
      </c>
    </row>
    <row r="83" spans="1:36" x14ac:dyDescent="0.25">
      <c r="A83" s="5" t="s">
        <v>39</v>
      </c>
      <c r="B83" s="5" t="s">
        <v>30</v>
      </c>
      <c r="C83" s="5" t="str">
        <f t="shared" si="25"/>
        <v>description,dailCompDescArcanist81,</v>
      </c>
      <c r="D83" s="5" t="str">
        <f t="shared" si="26"/>
        <v>itemText,dailCompTextArcanist81,</v>
      </c>
      <c r="E83" s="5" t="str">
        <f t="shared" si="36"/>
        <v>augmentSkillLevel1,5,</v>
      </c>
      <c r="F83" s="5" t="str">
        <f t="shared" si="37"/>
        <v>augmentSkillName1,records/skills/playerclass05/arcanemissile2.dbr,</v>
      </c>
      <c r="G83" s="7">
        <f t="shared" si="32"/>
        <v>81</v>
      </c>
      <c r="H83" s="8" t="str">
        <f t="shared" si="33"/>
        <v>Arcanist</v>
      </c>
      <c r="I83" s="3" t="s">
        <v>329</v>
      </c>
      <c r="J83" s="8" t="str">
        <f t="shared" si="34"/>
        <v>class0005</v>
      </c>
      <c r="K83" s="8" t="str">
        <f t="shared" si="34"/>
        <v>dailoneskill0005</v>
      </c>
      <c r="L83" s="5" t="str">
        <f t="shared" si="27"/>
        <v>lootName81,DAIL/items/materia/class0005/Arcanist81.dbr,</v>
      </c>
      <c r="M83" s="5" t="str">
        <f t="shared" si="28"/>
        <v>lootWeight81,1,</v>
      </c>
      <c r="N83" t="str">
        <f t="shared" si="29"/>
        <v>5</v>
      </c>
      <c r="O83" t="str">
        <f t="shared" si="38"/>
        <v>copy .\dail_base3.dbr .\items\materia\class0005\Arcanist81.dbr /y</v>
      </c>
      <c r="P83" t="str">
        <f t="shared" si="24"/>
        <v>echo relicBitmap,items/craftingparts/components/component_a52_bristlyfur_b.tex, &gt;&gt; .\items\materia\class0005\Arcanist81.dbr</v>
      </c>
      <c r="Q83" t="str">
        <f t="shared" si="24"/>
        <v>echo itemCost,500000, &gt;&gt; .\items\materia\class0005\Arcanist81.dbr</v>
      </c>
      <c r="R83" t="str">
        <f t="shared" si="24"/>
        <v>echo description,dailCompDescArcanist81, &gt;&gt; .\items\materia\class0005\Arcanist81.dbr</v>
      </c>
      <c r="S83" t="str">
        <f t="shared" si="24"/>
        <v>echo itemText,dailCompTextArcanist81, &gt;&gt; .\items\materia\class0005\Arcanist81.dbr</v>
      </c>
      <c r="T83" t="str">
        <f t="shared" si="24"/>
        <v>echo augmentSkillLevel1,5, &gt;&gt; .\items\materia\class0005\Arcanist81.dbr</v>
      </c>
      <c r="U83" t="str">
        <f t="shared" si="24"/>
        <v>echo augmentSkillName1,records/skills/playerclass05/arcanemissile2.dbr, &gt;&gt; .\items\materia\class0005\Arcanist81.dbr</v>
      </c>
      <c r="V83" s="5" t="s">
        <v>36</v>
      </c>
      <c r="W83" t="str">
        <f t="shared" si="30"/>
        <v>echo lootName81,DAIL/items/materia/class0005/Arcanist81.dbr, &gt;&gt; .\items\loottables\dailoneskill0005.dbr</v>
      </c>
      <c r="X83" t="str">
        <f t="shared" si="30"/>
        <v>echo lootWeight81,1, &gt;&gt; .\items\loottables\dailoneskill0005.dbr</v>
      </c>
      <c r="Y83" s="5" t="s">
        <v>36</v>
      </c>
      <c r="Z83" t="str">
        <f t="shared" si="31"/>
        <v xml:space="preserve"> dailCompDescArcanist81=^pArcanist's Gift of DAIL</v>
      </c>
      <c r="AA83" t="str">
        <f t="shared" si="39"/>
        <v>dailCompTextArcanist81=^oThis feels warm to the touch, almost familiar ^w(This component only fits into the Medal Slot)</v>
      </c>
      <c r="AB83" s="5" t="s">
        <v>36</v>
      </c>
      <c r="AH83">
        <f t="shared" si="41"/>
        <v>78</v>
      </c>
      <c r="AI83">
        <f t="shared" si="35"/>
        <v>33</v>
      </c>
      <c r="AJ83">
        <f t="shared" si="40"/>
        <v>5</v>
      </c>
    </row>
    <row r="84" spans="1:36" x14ac:dyDescent="0.25">
      <c r="A84" s="5" t="s">
        <v>39</v>
      </c>
      <c r="B84" s="5" t="s">
        <v>30</v>
      </c>
      <c r="C84" s="5" t="str">
        <f t="shared" si="25"/>
        <v>description,dailCompDescArcanist82,</v>
      </c>
      <c r="D84" s="5" t="str">
        <f t="shared" si="26"/>
        <v>itemText,dailCompTextArcanist82,</v>
      </c>
      <c r="E84" s="5" t="str">
        <f t="shared" si="36"/>
        <v>augmentSkillLevel1,5,</v>
      </c>
      <c r="F84" s="5" t="str">
        <f t="shared" si="37"/>
        <v>augmentSkillName1,records/skills/playerclass05/arcanemissile3.dbr,</v>
      </c>
      <c r="G84" s="7">
        <f t="shared" si="32"/>
        <v>82</v>
      </c>
      <c r="H84" s="8" t="str">
        <f t="shared" si="33"/>
        <v>Arcanist</v>
      </c>
      <c r="I84" s="3" t="s">
        <v>330</v>
      </c>
      <c r="J84" s="8" t="str">
        <f t="shared" si="34"/>
        <v>class0005</v>
      </c>
      <c r="K84" s="8" t="str">
        <f t="shared" si="34"/>
        <v>dailoneskill0005</v>
      </c>
      <c r="L84" s="5" t="str">
        <f t="shared" si="27"/>
        <v>lootName82,DAIL/items/materia/class0005/Arcanist82.dbr,</v>
      </c>
      <c r="M84" s="5" t="str">
        <f t="shared" si="28"/>
        <v>lootWeight82,1,</v>
      </c>
      <c r="N84" t="str">
        <f t="shared" si="29"/>
        <v>5</v>
      </c>
      <c r="O84" t="str">
        <f t="shared" si="38"/>
        <v>copy .\dail_base3.dbr .\items\materia\class0005\Arcanist82.dbr /y</v>
      </c>
      <c r="P84" t="str">
        <f t="shared" si="24"/>
        <v>echo relicBitmap,items/craftingparts/components/component_a52_bristlyfur_b.tex, &gt;&gt; .\items\materia\class0005\Arcanist82.dbr</v>
      </c>
      <c r="Q84" t="str">
        <f t="shared" si="24"/>
        <v>echo itemCost,500000, &gt;&gt; .\items\materia\class0005\Arcanist82.dbr</v>
      </c>
      <c r="R84" t="str">
        <f t="shared" si="24"/>
        <v>echo description,dailCompDescArcanist82, &gt;&gt; .\items\materia\class0005\Arcanist82.dbr</v>
      </c>
      <c r="S84" t="str">
        <f t="shared" si="24"/>
        <v>echo itemText,dailCompTextArcanist82, &gt;&gt; .\items\materia\class0005\Arcanist82.dbr</v>
      </c>
      <c r="T84" t="str">
        <f t="shared" si="24"/>
        <v>echo augmentSkillLevel1,5, &gt;&gt; .\items\materia\class0005\Arcanist82.dbr</v>
      </c>
      <c r="U84" t="str">
        <f t="shared" si="24"/>
        <v>echo augmentSkillName1,records/skills/playerclass05/arcanemissile3.dbr, &gt;&gt; .\items\materia\class0005\Arcanist82.dbr</v>
      </c>
      <c r="V84" s="5" t="s">
        <v>36</v>
      </c>
      <c r="W84" t="str">
        <f t="shared" si="30"/>
        <v>echo lootName82,DAIL/items/materia/class0005/Arcanist82.dbr, &gt;&gt; .\items\loottables\dailoneskill0005.dbr</v>
      </c>
      <c r="X84" t="str">
        <f t="shared" si="30"/>
        <v>echo lootWeight82,1, &gt;&gt; .\items\loottables\dailoneskill0005.dbr</v>
      </c>
      <c r="Y84" s="5" t="s">
        <v>36</v>
      </c>
      <c r="Z84" t="str">
        <f t="shared" si="31"/>
        <v xml:space="preserve"> dailCompDescArcanist82=^pArcanist's Gift of DAIL</v>
      </c>
      <c r="AA84" t="str">
        <f t="shared" si="39"/>
        <v>dailCompTextArcanist82=^oThis feels warm to the touch, almost familiar ^w(This component only fits into the Medal Slot)</v>
      </c>
      <c r="AB84" s="5" t="s">
        <v>36</v>
      </c>
      <c r="AH84">
        <f t="shared" si="41"/>
        <v>79</v>
      </c>
      <c r="AI84">
        <f t="shared" si="35"/>
        <v>33</v>
      </c>
      <c r="AJ84">
        <f t="shared" si="40"/>
        <v>5</v>
      </c>
    </row>
    <row r="85" spans="1:36" x14ac:dyDescent="0.25">
      <c r="A85" s="5" t="s">
        <v>39</v>
      </c>
      <c r="B85" s="5" t="s">
        <v>30</v>
      </c>
      <c r="C85" s="5" t="str">
        <f t="shared" si="25"/>
        <v>description,dailCompDescArcanist83,</v>
      </c>
      <c r="D85" s="5" t="str">
        <f t="shared" si="26"/>
        <v>itemText,dailCompTextArcanist83,</v>
      </c>
      <c r="E85" s="5" t="str">
        <f t="shared" si="36"/>
        <v>augmentSkillLevel1,5,</v>
      </c>
      <c r="F85" s="5" t="str">
        <f t="shared" si="37"/>
        <v>augmentSkillName1,records/skills/playerclass05/arcanemissile4.dbr,</v>
      </c>
      <c r="G85" s="7">
        <f t="shared" si="32"/>
        <v>83</v>
      </c>
      <c r="H85" s="8" t="str">
        <f t="shared" si="33"/>
        <v>Arcanist</v>
      </c>
      <c r="I85" s="3" t="s">
        <v>331</v>
      </c>
      <c r="J85" s="8" t="str">
        <f t="shared" ref="J85:K100" si="42">J84</f>
        <v>class0005</v>
      </c>
      <c r="K85" s="8" t="str">
        <f t="shared" si="42"/>
        <v>dailoneskill0005</v>
      </c>
      <c r="L85" s="5" t="str">
        <f t="shared" si="27"/>
        <v>lootName83,DAIL/items/materia/class0005/Arcanist83.dbr,</v>
      </c>
      <c r="M85" s="5" t="str">
        <f t="shared" si="28"/>
        <v>lootWeight83,1,</v>
      </c>
      <c r="N85" t="str">
        <f t="shared" si="29"/>
        <v>5</v>
      </c>
      <c r="O85" t="str">
        <f t="shared" si="38"/>
        <v>copy .\dail_base3.dbr .\items\materia\class0005\Arcanist83.dbr /y</v>
      </c>
      <c r="P85" t="str">
        <f t="shared" si="24"/>
        <v>echo relicBitmap,items/craftingparts/components/component_a52_bristlyfur_b.tex, &gt;&gt; .\items\materia\class0005\Arcanist83.dbr</v>
      </c>
      <c r="Q85" t="str">
        <f t="shared" si="24"/>
        <v>echo itemCost,500000, &gt;&gt; .\items\materia\class0005\Arcanist83.dbr</v>
      </c>
      <c r="R85" t="str">
        <f t="shared" si="24"/>
        <v>echo description,dailCompDescArcanist83, &gt;&gt; .\items\materia\class0005\Arcanist83.dbr</v>
      </c>
      <c r="S85" t="str">
        <f t="shared" si="24"/>
        <v>echo itemText,dailCompTextArcanist83, &gt;&gt; .\items\materia\class0005\Arcanist83.dbr</v>
      </c>
      <c r="T85" t="str">
        <f t="shared" si="24"/>
        <v>echo augmentSkillLevel1,5, &gt;&gt; .\items\materia\class0005\Arcanist83.dbr</v>
      </c>
      <c r="U85" t="str">
        <f t="shared" si="24"/>
        <v>echo augmentSkillName1,records/skills/playerclass05/arcanemissile4.dbr, &gt;&gt; .\items\materia\class0005\Arcanist83.dbr</v>
      </c>
      <c r="V85" s="5" t="s">
        <v>36</v>
      </c>
      <c r="W85" t="str">
        <f t="shared" si="30"/>
        <v>echo lootName83,DAIL/items/materia/class0005/Arcanist83.dbr, &gt;&gt; .\items\loottables\dailoneskill0005.dbr</v>
      </c>
      <c r="X85" t="str">
        <f t="shared" si="30"/>
        <v>echo lootWeight83,1, &gt;&gt; .\items\loottables\dailoneskill0005.dbr</v>
      </c>
      <c r="Y85" s="5" t="s">
        <v>36</v>
      </c>
      <c r="Z85" t="str">
        <f t="shared" si="31"/>
        <v xml:space="preserve"> dailCompDescArcanist83=^pArcanist's Gift of DAIL</v>
      </c>
      <c r="AA85" t="str">
        <f t="shared" si="39"/>
        <v>dailCompTextArcanist83=^oThis feels warm to the touch, almost familiar ^w(This component only fits into the Medal Slot)</v>
      </c>
      <c r="AB85" s="5" t="s">
        <v>36</v>
      </c>
      <c r="AH85">
        <f t="shared" si="41"/>
        <v>80</v>
      </c>
      <c r="AI85">
        <f t="shared" si="35"/>
        <v>33</v>
      </c>
      <c r="AJ85">
        <f t="shared" si="40"/>
        <v>5</v>
      </c>
    </row>
    <row r="86" spans="1:36" x14ac:dyDescent="0.25">
      <c r="A86" s="5" t="s">
        <v>39</v>
      </c>
      <c r="B86" s="5" t="s">
        <v>30</v>
      </c>
      <c r="C86" s="5" t="str">
        <f t="shared" si="25"/>
        <v>description,dailCompDescArcanist84,</v>
      </c>
      <c r="D86" s="5" t="str">
        <f t="shared" si="26"/>
        <v>itemText,dailCompTextArcanist84,</v>
      </c>
      <c r="E86" s="5" t="str">
        <f t="shared" si="36"/>
        <v>augmentSkillLevel1,5,</v>
      </c>
      <c r="F86" s="5" t="str">
        <f t="shared" si="37"/>
        <v>augmentSkillName1,records/skills/playerclass05/aetherray1.dbr,</v>
      </c>
      <c r="G86" s="7">
        <f t="shared" si="32"/>
        <v>84</v>
      </c>
      <c r="H86" s="8" t="str">
        <f t="shared" si="33"/>
        <v>Arcanist</v>
      </c>
      <c r="I86" s="3" t="s">
        <v>127</v>
      </c>
      <c r="J86" s="8" t="str">
        <f t="shared" si="42"/>
        <v>class0005</v>
      </c>
      <c r="K86" s="8" t="str">
        <f t="shared" si="42"/>
        <v>dailoneskill0005</v>
      </c>
      <c r="L86" s="5" t="str">
        <f t="shared" si="27"/>
        <v>lootName84,DAIL/items/materia/class0005/Arcanist84.dbr,</v>
      </c>
      <c r="M86" s="5" t="str">
        <f t="shared" si="28"/>
        <v>lootWeight84,1,</v>
      </c>
      <c r="N86" t="str">
        <f t="shared" si="29"/>
        <v>5</v>
      </c>
      <c r="O86" t="str">
        <f t="shared" si="38"/>
        <v>copy .\dail_base3.dbr .\items\materia\class0005\Arcanist84.dbr /y</v>
      </c>
      <c r="P86" t="str">
        <f t="shared" si="24"/>
        <v>echo relicBitmap,items/craftingparts/components/component_a52_bristlyfur_b.tex, &gt;&gt; .\items\materia\class0005\Arcanist84.dbr</v>
      </c>
      <c r="Q86" t="str">
        <f t="shared" si="24"/>
        <v>echo itemCost,500000, &gt;&gt; .\items\materia\class0005\Arcanist84.dbr</v>
      </c>
      <c r="R86" t="str">
        <f t="shared" si="24"/>
        <v>echo description,dailCompDescArcanist84, &gt;&gt; .\items\materia\class0005\Arcanist84.dbr</v>
      </c>
      <c r="S86" t="str">
        <f t="shared" si="24"/>
        <v>echo itemText,dailCompTextArcanist84, &gt;&gt; .\items\materia\class0005\Arcanist84.dbr</v>
      </c>
      <c r="T86" t="str">
        <f t="shared" si="24"/>
        <v>echo augmentSkillLevel1,5, &gt;&gt; .\items\materia\class0005\Arcanist84.dbr</v>
      </c>
      <c r="U86" t="str">
        <f t="shared" si="24"/>
        <v>echo augmentSkillName1,records/skills/playerclass05/aetherray1.dbr, &gt;&gt; .\items\materia\class0005\Arcanist84.dbr</v>
      </c>
      <c r="V86" s="5" t="s">
        <v>36</v>
      </c>
      <c r="W86" t="str">
        <f t="shared" si="30"/>
        <v>echo lootName84,DAIL/items/materia/class0005/Arcanist84.dbr, &gt;&gt; .\items\loottables\dailoneskill0005.dbr</v>
      </c>
      <c r="X86" t="str">
        <f t="shared" si="30"/>
        <v>echo lootWeight84,1, &gt;&gt; .\items\loottables\dailoneskill0005.dbr</v>
      </c>
      <c r="Y86" s="5" t="s">
        <v>36</v>
      </c>
      <c r="Z86" t="str">
        <f t="shared" si="31"/>
        <v xml:space="preserve"> dailCompDescArcanist84=^pArcanist's Gift of DAIL</v>
      </c>
      <c r="AA86" t="str">
        <f t="shared" si="39"/>
        <v>dailCompTextArcanist84=^oThis feels warm to the touch, almost familiar ^w(This component only fits into the Medal Slot)</v>
      </c>
      <c r="AB86" s="5" t="s">
        <v>36</v>
      </c>
      <c r="AH86">
        <f t="shared" si="41"/>
        <v>81</v>
      </c>
      <c r="AI86">
        <f t="shared" si="35"/>
        <v>29</v>
      </c>
      <c r="AJ86">
        <f t="shared" si="40"/>
        <v>5</v>
      </c>
    </row>
    <row r="87" spans="1:36" x14ac:dyDescent="0.25">
      <c r="A87" s="5" t="s">
        <v>39</v>
      </c>
      <c r="B87" s="5" t="s">
        <v>30</v>
      </c>
      <c r="C87" s="5" t="str">
        <f t="shared" si="25"/>
        <v>description,dailCompDescArcanist85,</v>
      </c>
      <c r="D87" s="5" t="str">
        <f t="shared" si="26"/>
        <v>itemText,dailCompTextArcanist85,</v>
      </c>
      <c r="E87" s="5" t="str">
        <f t="shared" si="36"/>
        <v>augmentSkillLevel1,5,</v>
      </c>
      <c r="F87" s="5" t="str">
        <f t="shared" si="37"/>
        <v>augmentSkillName1,records/skills/playerclass05/chillingsurge2.dbr,</v>
      </c>
      <c r="G87" s="7">
        <f t="shared" si="32"/>
        <v>85</v>
      </c>
      <c r="H87" s="8" t="str">
        <f t="shared" si="33"/>
        <v>Arcanist</v>
      </c>
      <c r="I87" s="3" t="s">
        <v>332</v>
      </c>
      <c r="J87" s="8" t="str">
        <f t="shared" si="42"/>
        <v>class0005</v>
      </c>
      <c r="K87" s="8" t="str">
        <f t="shared" si="42"/>
        <v>dailoneskill0005</v>
      </c>
      <c r="L87" s="5" t="str">
        <f t="shared" si="27"/>
        <v>lootName85,DAIL/items/materia/class0005/Arcanist85.dbr,</v>
      </c>
      <c r="M87" s="5" t="str">
        <f t="shared" si="28"/>
        <v>lootWeight85,1,</v>
      </c>
      <c r="N87" t="str">
        <f t="shared" si="29"/>
        <v>5</v>
      </c>
      <c r="O87" t="str">
        <f t="shared" si="38"/>
        <v>copy .\dail_base3.dbr .\items\materia\class0005\Arcanist85.dbr /y</v>
      </c>
      <c r="P87" t="str">
        <f t="shared" si="24"/>
        <v>echo relicBitmap,items/craftingparts/components/component_a52_bristlyfur_b.tex, &gt;&gt; .\items\materia\class0005\Arcanist85.dbr</v>
      </c>
      <c r="Q87" t="str">
        <f t="shared" si="24"/>
        <v>echo itemCost,500000, &gt;&gt; .\items\materia\class0005\Arcanist85.dbr</v>
      </c>
      <c r="R87" t="str">
        <f t="shared" si="24"/>
        <v>echo description,dailCompDescArcanist85, &gt;&gt; .\items\materia\class0005\Arcanist85.dbr</v>
      </c>
      <c r="S87" t="str">
        <f t="shared" si="24"/>
        <v>echo itemText,dailCompTextArcanist85, &gt;&gt; .\items\materia\class0005\Arcanist85.dbr</v>
      </c>
      <c r="T87" t="str">
        <f t="shared" si="24"/>
        <v>echo augmentSkillLevel1,5, &gt;&gt; .\items\materia\class0005\Arcanist85.dbr</v>
      </c>
      <c r="U87" t="str">
        <f t="shared" si="24"/>
        <v>echo augmentSkillName1,records/skills/playerclass05/chillingsurge2.dbr, &gt;&gt; .\items\materia\class0005\Arcanist85.dbr</v>
      </c>
      <c r="V87" s="5" t="s">
        <v>36</v>
      </c>
      <c r="W87" t="str">
        <f t="shared" si="30"/>
        <v>echo lootName85,DAIL/items/materia/class0005/Arcanist85.dbr, &gt;&gt; .\items\loottables\dailoneskill0005.dbr</v>
      </c>
      <c r="X87" t="str">
        <f t="shared" si="30"/>
        <v>echo lootWeight85,1, &gt;&gt; .\items\loottables\dailoneskill0005.dbr</v>
      </c>
      <c r="Y87" s="5" t="s">
        <v>36</v>
      </c>
      <c r="Z87" t="str">
        <f t="shared" si="31"/>
        <v xml:space="preserve"> dailCompDescArcanist85=^pArcanist's Gift of DAIL</v>
      </c>
      <c r="AA87" t="str">
        <f t="shared" si="39"/>
        <v>dailCompTextArcanist85=^oThis feels warm to the touch, almost familiar ^w(This component only fits into the Medal Slot)</v>
      </c>
      <c r="AB87" s="5" t="s">
        <v>36</v>
      </c>
      <c r="AH87">
        <f t="shared" si="41"/>
        <v>82</v>
      </c>
      <c r="AI87">
        <f t="shared" si="35"/>
        <v>33</v>
      </c>
      <c r="AJ87">
        <f t="shared" si="40"/>
        <v>5</v>
      </c>
    </row>
    <row r="88" spans="1:36" x14ac:dyDescent="0.25">
      <c r="A88" s="5" t="s">
        <v>39</v>
      </c>
      <c r="B88" s="5" t="s">
        <v>30</v>
      </c>
      <c r="C88" s="5" t="str">
        <f t="shared" si="25"/>
        <v>description,dailCompDescArcanist86,</v>
      </c>
      <c r="D88" s="5" t="str">
        <f t="shared" si="26"/>
        <v>itemText,dailCompTextArcanist86,</v>
      </c>
      <c r="E88" s="5" t="str">
        <f t="shared" si="36"/>
        <v>augmentSkillLevel1,5,</v>
      </c>
      <c r="F88" s="5" t="str">
        <f t="shared" si="37"/>
        <v>augmentSkillName1,records/skills/playerclass05/aetherray2.dbr,</v>
      </c>
      <c r="G88" s="7">
        <f t="shared" si="32"/>
        <v>86</v>
      </c>
      <c r="H88" s="8" t="str">
        <f t="shared" si="33"/>
        <v>Arcanist</v>
      </c>
      <c r="I88" s="3" t="s">
        <v>333</v>
      </c>
      <c r="J88" s="8" t="str">
        <f t="shared" si="42"/>
        <v>class0005</v>
      </c>
      <c r="K88" s="8" t="str">
        <f t="shared" si="42"/>
        <v>dailoneskill0005</v>
      </c>
      <c r="L88" s="5" t="str">
        <f t="shared" si="27"/>
        <v>lootName86,DAIL/items/materia/class0005/Arcanist86.dbr,</v>
      </c>
      <c r="M88" s="5" t="str">
        <f t="shared" si="28"/>
        <v>lootWeight86,1,</v>
      </c>
      <c r="N88" t="str">
        <f t="shared" si="29"/>
        <v>5</v>
      </c>
      <c r="O88" t="str">
        <f t="shared" si="38"/>
        <v>copy .\dail_base3.dbr .\items\materia\class0005\Arcanist86.dbr /y</v>
      </c>
      <c r="P88" t="str">
        <f t="shared" si="24"/>
        <v>echo relicBitmap,items/craftingparts/components/component_a52_bristlyfur_b.tex, &gt;&gt; .\items\materia\class0005\Arcanist86.dbr</v>
      </c>
      <c r="Q88" t="str">
        <f t="shared" si="24"/>
        <v>echo itemCost,500000, &gt;&gt; .\items\materia\class0005\Arcanist86.dbr</v>
      </c>
      <c r="R88" t="str">
        <f t="shared" si="24"/>
        <v>echo description,dailCompDescArcanist86, &gt;&gt; .\items\materia\class0005\Arcanist86.dbr</v>
      </c>
      <c r="S88" t="str">
        <f t="shared" si="24"/>
        <v>echo itemText,dailCompTextArcanist86, &gt;&gt; .\items\materia\class0005\Arcanist86.dbr</v>
      </c>
      <c r="T88" t="str">
        <f t="shared" si="24"/>
        <v>echo augmentSkillLevel1,5, &gt;&gt; .\items\materia\class0005\Arcanist86.dbr</v>
      </c>
      <c r="U88" t="str">
        <f t="shared" si="24"/>
        <v>echo augmentSkillName1,records/skills/playerclass05/aetherray2.dbr, &gt;&gt; .\items\materia\class0005\Arcanist86.dbr</v>
      </c>
      <c r="V88" s="5" t="s">
        <v>36</v>
      </c>
      <c r="W88" t="str">
        <f t="shared" si="30"/>
        <v>echo lootName86,DAIL/items/materia/class0005/Arcanist86.dbr, &gt;&gt; .\items\loottables\dailoneskill0005.dbr</v>
      </c>
      <c r="X88" t="str">
        <f t="shared" si="30"/>
        <v>echo lootWeight86,1, &gt;&gt; .\items\loottables\dailoneskill0005.dbr</v>
      </c>
      <c r="Y88" s="5" t="s">
        <v>36</v>
      </c>
      <c r="Z88" t="str">
        <f t="shared" si="31"/>
        <v xml:space="preserve"> dailCompDescArcanist86=^pArcanist's Gift of DAIL</v>
      </c>
      <c r="AA88" t="str">
        <f t="shared" si="39"/>
        <v>dailCompTextArcanist86=^oThis feels warm to the touch, almost familiar ^w(This component only fits into the Medal Slot)</v>
      </c>
      <c r="AB88" s="5" t="s">
        <v>36</v>
      </c>
      <c r="AH88">
        <f t="shared" si="41"/>
        <v>83</v>
      </c>
      <c r="AI88">
        <f t="shared" si="35"/>
        <v>29</v>
      </c>
      <c r="AJ88">
        <f t="shared" si="40"/>
        <v>5</v>
      </c>
    </row>
    <row r="89" spans="1:36" x14ac:dyDescent="0.25">
      <c r="A89" s="5" t="s">
        <v>39</v>
      </c>
      <c r="B89" s="5" t="s">
        <v>30</v>
      </c>
      <c r="C89" s="5" t="str">
        <f t="shared" si="25"/>
        <v>description,dailCompDescArcanist87,</v>
      </c>
      <c r="D89" s="5" t="str">
        <f t="shared" si="26"/>
        <v>itemText,dailCompTextArcanist87,</v>
      </c>
      <c r="E89" s="5" t="str">
        <f t="shared" si="36"/>
        <v>augmentSkillLevel1,5,</v>
      </c>
      <c r="F89" s="5" t="str">
        <f t="shared" si="37"/>
        <v>augmentSkillName1,records/skills/playerclass05/aetherray1b.dbr,</v>
      </c>
      <c r="G89" s="7">
        <f t="shared" si="32"/>
        <v>87</v>
      </c>
      <c r="H89" s="8" t="str">
        <f t="shared" si="33"/>
        <v>Arcanist</v>
      </c>
      <c r="I89" s="3" t="s">
        <v>334</v>
      </c>
      <c r="J89" s="8" t="str">
        <f t="shared" si="42"/>
        <v>class0005</v>
      </c>
      <c r="K89" s="8" t="str">
        <f t="shared" si="42"/>
        <v>dailoneskill0005</v>
      </c>
      <c r="L89" s="5" t="str">
        <f t="shared" si="27"/>
        <v>lootName87,DAIL/items/materia/class0005/Arcanist87.dbr,</v>
      </c>
      <c r="M89" s="5" t="str">
        <f t="shared" si="28"/>
        <v>lootWeight87,1,</v>
      </c>
      <c r="N89" t="str">
        <f t="shared" si="29"/>
        <v>5</v>
      </c>
      <c r="O89" t="str">
        <f t="shared" si="38"/>
        <v>copy .\dail_base3.dbr .\items\materia\class0005\Arcanist87.dbr /y</v>
      </c>
      <c r="P89" t="str">
        <f t="shared" si="24"/>
        <v>echo relicBitmap,items/craftingparts/components/component_a52_bristlyfur_b.tex, &gt;&gt; .\items\materia\class0005\Arcanist87.dbr</v>
      </c>
      <c r="Q89" t="str">
        <f t="shared" si="24"/>
        <v>echo itemCost,500000, &gt;&gt; .\items\materia\class0005\Arcanist87.dbr</v>
      </c>
      <c r="R89" t="str">
        <f t="shared" si="24"/>
        <v>echo description,dailCompDescArcanist87, &gt;&gt; .\items\materia\class0005\Arcanist87.dbr</v>
      </c>
      <c r="S89" t="str">
        <f t="shared" si="24"/>
        <v>echo itemText,dailCompTextArcanist87, &gt;&gt; .\items\materia\class0005\Arcanist87.dbr</v>
      </c>
      <c r="T89" t="str">
        <f t="shared" si="24"/>
        <v>echo augmentSkillLevel1,5, &gt;&gt; .\items\materia\class0005\Arcanist87.dbr</v>
      </c>
      <c r="U89" t="str">
        <f t="shared" si="24"/>
        <v>echo augmentSkillName1,records/skills/playerclass05/aetherray1b.dbr, &gt;&gt; .\items\materia\class0005\Arcanist87.dbr</v>
      </c>
      <c r="V89" s="5" t="s">
        <v>36</v>
      </c>
      <c r="W89" t="str">
        <f t="shared" si="30"/>
        <v>echo lootName87,DAIL/items/materia/class0005/Arcanist87.dbr, &gt;&gt; .\items\loottables\dailoneskill0005.dbr</v>
      </c>
      <c r="X89" t="str">
        <f t="shared" si="30"/>
        <v>echo lootWeight87,1, &gt;&gt; .\items\loottables\dailoneskill0005.dbr</v>
      </c>
      <c r="Y89" s="5" t="s">
        <v>36</v>
      </c>
      <c r="Z89" t="str">
        <f t="shared" si="31"/>
        <v xml:space="preserve"> dailCompDescArcanist87=^pArcanist's Gift of DAIL</v>
      </c>
      <c r="AA89" t="str">
        <f t="shared" si="39"/>
        <v>dailCompTextArcanist87=^oThis feels warm to the touch, almost familiar ^w(This component only fits into the Medal Slot)</v>
      </c>
      <c r="AB89" s="5" t="s">
        <v>36</v>
      </c>
      <c r="AH89">
        <f t="shared" si="41"/>
        <v>84</v>
      </c>
      <c r="AI89">
        <f t="shared" si="35"/>
        <v>30</v>
      </c>
      <c r="AJ89">
        <f t="shared" si="40"/>
        <v>5</v>
      </c>
    </row>
    <row r="90" spans="1:36" x14ac:dyDescent="0.25">
      <c r="A90" s="5" t="s">
        <v>39</v>
      </c>
      <c r="B90" s="5" t="s">
        <v>30</v>
      </c>
      <c r="C90" s="5" t="str">
        <f t="shared" si="25"/>
        <v>description,dailCompDescArcanist88,</v>
      </c>
      <c r="D90" s="5" t="str">
        <f t="shared" si="26"/>
        <v>itemText,dailCompTextArcanist88,</v>
      </c>
      <c r="E90" s="5" t="str">
        <f t="shared" si="36"/>
        <v>augmentSkillLevel1,5,</v>
      </c>
      <c r="F90" s="5" t="str">
        <f t="shared" si="37"/>
        <v>augmentSkillName1,records/skills/playerclass05/sphereofprotection1.dbr,</v>
      </c>
      <c r="G90" s="7">
        <f t="shared" si="32"/>
        <v>88</v>
      </c>
      <c r="H90" s="8" t="str">
        <f t="shared" si="33"/>
        <v>Arcanist</v>
      </c>
      <c r="I90" s="3" t="s">
        <v>137</v>
      </c>
      <c r="J90" s="8" t="str">
        <f t="shared" si="42"/>
        <v>class0005</v>
      </c>
      <c r="K90" s="8" t="str">
        <f t="shared" si="42"/>
        <v>dailoneskill0005</v>
      </c>
      <c r="L90" s="5" t="str">
        <f t="shared" si="27"/>
        <v>lootName88,DAIL/items/materia/class0005/Arcanist88.dbr,</v>
      </c>
      <c r="M90" s="5" t="str">
        <f t="shared" si="28"/>
        <v>lootWeight88,1,</v>
      </c>
      <c r="N90" t="str">
        <f t="shared" si="29"/>
        <v>5</v>
      </c>
      <c r="O90" t="str">
        <f t="shared" si="38"/>
        <v>copy .\dail_base3.dbr .\items\materia\class0005\Arcanist88.dbr /y</v>
      </c>
      <c r="P90" t="str">
        <f t="shared" si="24"/>
        <v>echo relicBitmap,items/craftingparts/components/component_a52_bristlyfur_b.tex, &gt;&gt; .\items\materia\class0005\Arcanist88.dbr</v>
      </c>
      <c r="Q90" t="str">
        <f t="shared" si="24"/>
        <v>echo itemCost,500000, &gt;&gt; .\items\materia\class0005\Arcanist88.dbr</v>
      </c>
      <c r="R90" t="str">
        <f t="shared" si="24"/>
        <v>echo description,dailCompDescArcanist88, &gt;&gt; .\items\materia\class0005\Arcanist88.dbr</v>
      </c>
      <c r="S90" t="str">
        <f t="shared" si="24"/>
        <v>echo itemText,dailCompTextArcanist88, &gt;&gt; .\items\materia\class0005\Arcanist88.dbr</v>
      </c>
      <c r="T90" t="str">
        <f t="shared" si="24"/>
        <v>echo augmentSkillLevel1,5, &gt;&gt; .\items\materia\class0005\Arcanist88.dbr</v>
      </c>
      <c r="U90" t="str">
        <f t="shared" si="24"/>
        <v>echo augmentSkillName1,records/skills/playerclass05/sphereofprotection1.dbr, &gt;&gt; .\items\materia\class0005\Arcanist88.dbr</v>
      </c>
      <c r="V90" s="5" t="s">
        <v>36</v>
      </c>
      <c r="W90" t="str">
        <f t="shared" si="30"/>
        <v>echo lootName88,DAIL/items/materia/class0005/Arcanist88.dbr, &gt;&gt; .\items\loottables\dailoneskill0005.dbr</v>
      </c>
      <c r="X90" t="str">
        <f t="shared" si="30"/>
        <v>echo lootWeight88,1, &gt;&gt; .\items\loottables\dailoneskill0005.dbr</v>
      </c>
      <c r="Y90" s="5" t="s">
        <v>36</v>
      </c>
      <c r="Z90" t="str">
        <f t="shared" si="31"/>
        <v xml:space="preserve"> dailCompDescArcanist88=^pArcanist's Gift of DAIL</v>
      </c>
      <c r="AA90" t="str">
        <f t="shared" si="39"/>
        <v>dailCompTextArcanist88=^oThis feels warm to the touch, almost familiar ^w(This component only fits into the Medal Slot)</v>
      </c>
      <c r="AB90" s="5" t="s">
        <v>36</v>
      </c>
      <c r="AH90">
        <f t="shared" si="41"/>
        <v>85</v>
      </c>
      <c r="AI90">
        <f t="shared" si="35"/>
        <v>38</v>
      </c>
      <c r="AJ90">
        <f t="shared" si="40"/>
        <v>5</v>
      </c>
    </row>
    <row r="91" spans="1:36" x14ac:dyDescent="0.25">
      <c r="A91" s="5" t="s">
        <v>39</v>
      </c>
      <c r="B91" s="5" t="s">
        <v>30</v>
      </c>
      <c r="C91" s="5" t="str">
        <f t="shared" si="25"/>
        <v>description,dailCompDescArcanist89,</v>
      </c>
      <c r="D91" s="5" t="str">
        <f t="shared" si="26"/>
        <v>itemText,dailCompTextArcanist89,</v>
      </c>
      <c r="E91" s="5" t="str">
        <f t="shared" si="36"/>
        <v>augmentSkillLevel1,5,</v>
      </c>
      <c r="F91" s="5" t="str">
        <f t="shared" si="37"/>
        <v>augmentSkillName1,records/skills/playerclass05/sphereofprotection2.dbr,</v>
      </c>
      <c r="G91" s="7">
        <f t="shared" si="32"/>
        <v>89</v>
      </c>
      <c r="H91" s="8" t="str">
        <f t="shared" si="33"/>
        <v>Arcanist</v>
      </c>
      <c r="I91" s="3" t="s">
        <v>335</v>
      </c>
      <c r="J91" s="8" t="str">
        <f t="shared" si="42"/>
        <v>class0005</v>
      </c>
      <c r="K91" s="8" t="str">
        <f t="shared" si="42"/>
        <v>dailoneskill0005</v>
      </c>
      <c r="L91" s="5" t="str">
        <f t="shared" si="27"/>
        <v>lootName89,DAIL/items/materia/class0005/Arcanist89.dbr,</v>
      </c>
      <c r="M91" s="5" t="str">
        <f t="shared" si="28"/>
        <v>lootWeight89,1,</v>
      </c>
      <c r="N91" t="str">
        <f t="shared" si="29"/>
        <v>5</v>
      </c>
      <c r="O91" t="str">
        <f t="shared" si="38"/>
        <v>copy .\dail_base3.dbr .\items\materia\class0005\Arcanist89.dbr /y</v>
      </c>
      <c r="P91" t="str">
        <f t="shared" si="24"/>
        <v>echo relicBitmap,items/craftingparts/components/component_a52_bristlyfur_b.tex, &gt;&gt; .\items\materia\class0005\Arcanist89.dbr</v>
      </c>
      <c r="Q91" t="str">
        <f t="shared" si="24"/>
        <v>echo itemCost,500000, &gt;&gt; .\items\materia\class0005\Arcanist89.dbr</v>
      </c>
      <c r="R91" t="str">
        <f t="shared" si="24"/>
        <v>echo description,dailCompDescArcanist89, &gt;&gt; .\items\materia\class0005\Arcanist89.dbr</v>
      </c>
      <c r="S91" t="str">
        <f t="shared" si="24"/>
        <v>echo itemText,dailCompTextArcanist89, &gt;&gt; .\items\materia\class0005\Arcanist89.dbr</v>
      </c>
      <c r="T91" t="str">
        <f t="shared" si="24"/>
        <v>echo augmentSkillLevel1,5, &gt;&gt; .\items\materia\class0005\Arcanist89.dbr</v>
      </c>
      <c r="U91" t="str">
        <f t="shared" si="24"/>
        <v>echo augmentSkillName1,records/skills/playerclass05/sphereofprotection2.dbr, &gt;&gt; .\items\materia\class0005\Arcanist89.dbr</v>
      </c>
      <c r="V91" s="5" t="s">
        <v>36</v>
      </c>
      <c r="W91" t="str">
        <f t="shared" si="30"/>
        <v>echo lootName89,DAIL/items/materia/class0005/Arcanist89.dbr, &gt;&gt; .\items\loottables\dailoneskill0005.dbr</v>
      </c>
      <c r="X91" t="str">
        <f t="shared" si="30"/>
        <v>echo lootWeight89,1, &gt;&gt; .\items\loottables\dailoneskill0005.dbr</v>
      </c>
      <c r="Y91" s="5" t="s">
        <v>36</v>
      </c>
      <c r="Z91" t="str">
        <f t="shared" si="31"/>
        <v xml:space="preserve"> dailCompDescArcanist89=^pArcanist's Gift of DAIL</v>
      </c>
      <c r="AA91" t="str">
        <f t="shared" si="39"/>
        <v>dailCompTextArcanist89=^oThis feels warm to the touch, almost familiar ^w(This component only fits into the Medal Slot)</v>
      </c>
      <c r="AB91" s="5" t="s">
        <v>36</v>
      </c>
      <c r="AH91">
        <f t="shared" si="41"/>
        <v>86</v>
      </c>
      <c r="AI91">
        <f t="shared" si="35"/>
        <v>38</v>
      </c>
      <c r="AJ91">
        <f t="shared" si="40"/>
        <v>5</v>
      </c>
    </row>
    <row r="92" spans="1:36" x14ac:dyDescent="0.25">
      <c r="A92" s="5" t="s">
        <v>39</v>
      </c>
      <c r="B92" s="5" t="s">
        <v>30</v>
      </c>
      <c r="C92" s="5" t="str">
        <f t="shared" si="25"/>
        <v>description,dailCompDescArcanist90,</v>
      </c>
      <c r="D92" s="5" t="str">
        <f t="shared" si="26"/>
        <v>itemText,dailCompTextArcanist90,</v>
      </c>
      <c r="E92" s="5" t="str">
        <f t="shared" si="36"/>
        <v>augmentSkillLevel1,5,</v>
      </c>
      <c r="F92" s="5" t="str">
        <f t="shared" si="37"/>
        <v>augmentSkillName1,records/skills/playerclass05/passive01.dbr,</v>
      </c>
      <c r="G92" s="7">
        <f t="shared" si="32"/>
        <v>90</v>
      </c>
      <c r="H92" s="8" t="str">
        <f t="shared" si="33"/>
        <v>Arcanist</v>
      </c>
      <c r="I92" s="3" t="s">
        <v>336</v>
      </c>
      <c r="J92" s="8" t="str">
        <f t="shared" si="42"/>
        <v>class0005</v>
      </c>
      <c r="K92" s="8" t="str">
        <f t="shared" si="42"/>
        <v>dailoneskill0005</v>
      </c>
      <c r="L92" s="5" t="str">
        <f t="shared" si="27"/>
        <v>lootName90,DAIL/items/materia/class0005/Arcanist90.dbr,</v>
      </c>
      <c r="M92" s="5" t="str">
        <f t="shared" si="28"/>
        <v>lootWeight90,1,</v>
      </c>
      <c r="N92" t="str">
        <f t="shared" si="29"/>
        <v>5</v>
      </c>
      <c r="O92" t="str">
        <f t="shared" si="38"/>
        <v>copy .\dail_base3.dbr .\items\materia\class0005\Arcanist90.dbr /y</v>
      </c>
      <c r="P92" t="str">
        <f t="shared" si="24"/>
        <v>echo relicBitmap,items/craftingparts/components/component_a52_bristlyfur_b.tex, &gt;&gt; .\items\materia\class0005\Arcanist90.dbr</v>
      </c>
      <c r="Q92" t="str">
        <f t="shared" si="24"/>
        <v>echo itemCost,500000, &gt;&gt; .\items\materia\class0005\Arcanist90.dbr</v>
      </c>
      <c r="R92" t="str">
        <f t="shared" si="24"/>
        <v>echo description,dailCompDescArcanist90, &gt;&gt; .\items\materia\class0005\Arcanist90.dbr</v>
      </c>
      <c r="S92" t="str">
        <f t="shared" si="24"/>
        <v>echo itemText,dailCompTextArcanist90, &gt;&gt; .\items\materia\class0005\Arcanist90.dbr</v>
      </c>
      <c r="T92" t="str">
        <f t="shared" si="24"/>
        <v>echo augmentSkillLevel1,5, &gt;&gt; .\items\materia\class0005\Arcanist90.dbr</v>
      </c>
      <c r="U92" t="str">
        <f t="shared" si="24"/>
        <v>echo augmentSkillName1,records/skills/playerclass05/passive01.dbr, &gt;&gt; .\items\materia\class0005\Arcanist90.dbr</v>
      </c>
      <c r="V92" s="5" t="s">
        <v>36</v>
      </c>
      <c r="W92" t="str">
        <f t="shared" si="30"/>
        <v>echo lootName90,DAIL/items/materia/class0005/Arcanist90.dbr, &gt;&gt; .\items\loottables\dailoneskill0005.dbr</v>
      </c>
      <c r="X92" t="str">
        <f t="shared" si="30"/>
        <v>echo lootWeight90,1, &gt;&gt; .\items\loottables\dailoneskill0005.dbr</v>
      </c>
      <c r="Y92" s="5" t="s">
        <v>36</v>
      </c>
      <c r="Z92" t="str">
        <f t="shared" si="31"/>
        <v xml:space="preserve"> dailCompDescArcanist90=^pArcanist's Gift of DAIL</v>
      </c>
      <c r="AA92" t="str">
        <f t="shared" si="39"/>
        <v>dailCompTextArcanist90=^oThis feels warm to the touch, almost familiar ^w(This component only fits into the Medal Slot)</v>
      </c>
      <c r="AB92" s="5" t="s">
        <v>36</v>
      </c>
      <c r="AH92">
        <f t="shared" si="41"/>
        <v>87</v>
      </c>
      <c r="AI92">
        <f t="shared" si="35"/>
        <v>28</v>
      </c>
      <c r="AJ92">
        <f t="shared" si="40"/>
        <v>5</v>
      </c>
    </row>
    <row r="93" spans="1:36" x14ac:dyDescent="0.25">
      <c r="A93" s="5" t="s">
        <v>39</v>
      </c>
      <c r="B93" s="5" t="s">
        <v>30</v>
      </c>
      <c r="C93" s="5" t="str">
        <f t="shared" si="25"/>
        <v>description,dailCompDescArcanist91,</v>
      </c>
      <c r="D93" s="5" t="str">
        <f t="shared" si="26"/>
        <v>itemText,dailCompTextArcanist91,</v>
      </c>
      <c r="E93" s="5" t="str">
        <f t="shared" si="36"/>
        <v>augmentSkillLevel1,5,</v>
      </c>
      <c r="F93" s="5" t="str">
        <f t="shared" si="37"/>
        <v>augmentSkillName1,records/skills/playerclass05/passive02.dbr,</v>
      </c>
      <c r="G93" s="7">
        <f t="shared" si="32"/>
        <v>91</v>
      </c>
      <c r="H93" s="8" t="str">
        <f t="shared" si="33"/>
        <v>Arcanist</v>
      </c>
      <c r="I93" s="3" t="s">
        <v>337</v>
      </c>
      <c r="J93" s="8" t="str">
        <f t="shared" si="42"/>
        <v>class0005</v>
      </c>
      <c r="K93" s="8" t="str">
        <f t="shared" si="42"/>
        <v>dailoneskill0005</v>
      </c>
      <c r="L93" s="5" t="str">
        <f t="shared" si="27"/>
        <v>lootName91,DAIL/items/materia/class0005/Arcanist91.dbr,</v>
      </c>
      <c r="M93" s="5" t="str">
        <f t="shared" si="28"/>
        <v>lootWeight91,1,</v>
      </c>
      <c r="N93" t="str">
        <f t="shared" si="29"/>
        <v>5</v>
      </c>
      <c r="O93" t="str">
        <f t="shared" si="38"/>
        <v>copy .\dail_base3.dbr .\items\materia\class0005\Arcanist91.dbr /y</v>
      </c>
      <c r="P93" t="str">
        <f t="shared" si="24"/>
        <v>echo relicBitmap,items/craftingparts/components/component_a52_bristlyfur_b.tex, &gt;&gt; .\items\materia\class0005\Arcanist91.dbr</v>
      </c>
      <c r="Q93" t="str">
        <f t="shared" si="24"/>
        <v>echo itemCost,500000, &gt;&gt; .\items\materia\class0005\Arcanist91.dbr</v>
      </c>
      <c r="R93" t="str">
        <f t="shared" si="24"/>
        <v>echo description,dailCompDescArcanist91, &gt;&gt; .\items\materia\class0005\Arcanist91.dbr</v>
      </c>
      <c r="S93" t="str">
        <f t="shared" si="24"/>
        <v>echo itemText,dailCompTextArcanist91, &gt;&gt; .\items\materia\class0005\Arcanist91.dbr</v>
      </c>
      <c r="T93" t="str">
        <f t="shared" si="24"/>
        <v>echo augmentSkillLevel1,5, &gt;&gt; .\items\materia\class0005\Arcanist91.dbr</v>
      </c>
      <c r="U93" t="str">
        <f t="shared" si="24"/>
        <v>echo augmentSkillName1,records/skills/playerclass05/passive02.dbr, &gt;&gt; .\items\materia\class0005\Arcanist91.dbr</v>
      </c>
      <c r="V93" s="5" t="s">
        <v>36</v>
      </c>
      <c r="W93" t="str">
        <f t="shared" si="30"/>
        <v>echo lootName91,DAIL/items/materia/class0005/Arcanist91.dbr, &gt;&gt; .\items\loottables\dailoneskill0005.dbr</v>
      </c>
      <c r="X93" t="str">
        <f t="shared" si="30"/>
        <v>echo lootWeight91,1, &gt;&gt; .\items\loottables\dailoneskill0005.dbr</v>
      </c>
      <c r="Y93" s="5" t="s">
        <v>36</v>
      </c>
      <c r="Z93" t="str">
        <f t="shared" si="31"/>
        <v xml:space="preserve"> dailCompDescArcanist91=^pArcanist's Gift of DAIL</v>
      </c>
      <c r="AA93" t="str">
        <f t="shared" si="39"/>
        <v>dailCompTextArcanist91=^oThis feels warm to the touch, almost familiar ^w(This component only fits into the Medal Slot)</v>
      </c>
      <c r="AB93" s="5" t="s">
        <v>36</v>
      </c>
      <c r="AH93">
        <f t="shared" si="41"/>
        <v>88</v>
      </c>
      <c r="AI93">
        <f t="shared" si="35"/>
        <v>28</v>
      </c>
      <c r="AJ93">
        <f t="shared" si="40"/>
        <v>5</v>
      </c>
    </row>
    <row r="94" spans="1:36" x14ac:dyDescent="0.25">
      <c r="A94" s="5" t="s">
        <v>39</v>
      </c>
      <c r="B94" s="5" t="s">
        <v>30</v>
      </c>
      <c r="C94" s="5" t="str">
        <f t="shared" si="25"/>
        <v>description,dailCompDescArcanist92,</v>
      </c>
      <c r="D94" s="5" t="str">
        <f t="shared" si="26"/>
        <v>itemText,dailCompTextArcanist92,</v>
      </c>
      <c r="E94" s="5" t="str">
        <f t="shared" si="36"/>
        <v>augmentSkillLevel1,5,</v>
      </c>
      <c r="F94" s="5" t="str">
        <f t="shared" si="37"/>
        <v>augmentSkillName1,records/skills/playerclass05/passive03.dbr,</v>
      </c>
      <c r="G94" s="7">
        <f t="shared" si="32"/>
        <v>92</v>
      </c>
      <c r="H94" s="8" t="str">
        <f t="shared" si="33"/>
        <v>Arcanist</v>
      </c>
      <c r="I94" s="3" t="s">
        <v>338</v>
      </c>
      <c r="J94" s="8" t="str">
        <f t="shared" si="42"/>
        <v>class0005</v>
      </c>
      <c r="K94" s="8" t="str">
        <f t="shared" si="42"/>
        <v>dailoneskill0005</v>
      </c>
      <c r="L94" s="5" t="str">
        <f t="shared" si="27"/>
        <v>lootName92,DAIL/items/materia/class0005/Arcanist92.dbr,</v>
      </c>
      <c r="M94" s="5" t="str">
        <f t="shared" si="28"/>
        <v>lootWeight92,1,</v>
      </c>
      <c r="N94" t="str">
        <f t="shared" si="29"/>
        <v>5</v>
      </c>
      <c r="O94" t="str">
        <f t="shared" si="38"/>
        <v>copy .\dail_base3.dbr .\items\materia\class0005\Arcanist92.dbr /y</v>
      </c>
      <c r="P94" t="str">
        <f t="shared" si="24"/>
        <v>echo relicBitmap,items/craftingparts/components/component_a52_bristlyfur_b.tex, &gt;&gt; .\items\materia\class0005\Arcanist92.dbr</v>
      </c>
      <c r="Q94" t="str">
        <f t="shared" si="24"/>
        <v>echo itemCost,500000, &gt;&gt; .\items\materia\class0005\Arcanist92.dbr</v>
      </c>
      <c r="R94" t="str">
        <f t="shared" si="24"/>
        <v>echo description,dailCompDescArcanist92, &gt;&gt; .\items\materia\class0005\Arcanist92.dbr</v>
      </c>
      <c r="S94" t="str">
        <f t="shared" si="24"/>
        <v>echo itemText,dailCompTextArcanist92, &gt;&gt; .\items\materia\class0005\Arcanist92.dbr</v>
      </c>
      <c r="T94" t="str">
        <f t="shared" si="24"/>
        <v>echo augmentSkillLevel1,5, &gt;&gt; .\items\materia\class0005\Arcanist92.dbr</v>
      </c>
      <c r="U94" t="str">
        <f t="shared" si="24"/>
        <v>echo augmentSkillName1,records/skills/playerclass05/passive03.dbr, &gt;&gt; .\items\materia\class0005\Arcanist92.dbr</v>
      </c>
      <c r="V94" s="5" t="s">
        <v>36</v>
      </c>
      <c r="W94" t="str">
        <f t="shared" si="30"/>
        <v>echo lootName92,DAIL/items/materia/class0005/Arcanist92.dbr, &gt;&gt; .\items\loottables\dailoneskill0005.dbr</v>
      </c>
      <c r="X94" t="str">
        <f t="shared" si="30"/>
        <v>echo lootWeight92,1, &gt;&gt; .\items\loottables\dailoneskill0005.dbr</v>
      </c>
      <c r="Y94" s="5" t="s">
        <v>36</v>
      </c>
      <c r="Z94" t="str">
        <f t="shared" si="31"/>
        <v xml:space="preserve"> dailCompDescArcanist92=^pArcanist's Gift of DAIL</v>
      </c>
      <c r="AA94" t="str">
        <f t="shared" si="39"/>
        <v>dailCompTextArcanist92=^oThis feels warm to the touch, almost familiar ^w(This component only fits into the Medal Slot)</v>
      </c>
      <c r="AB94" s="5" t="s">
        <v>36</v>
      </c>
      <c r="AH94">
        <f t="shared" si="41"/>
        <v>89</v>
      </c>
      <c r="AI94">
        <f t="shared" si="35"/>
        <v>28</v>
      </c>
      <c r="AJ94">
        <f t="shared" si="40"/>
        <v>5</v>
      </c>
    </row>
    <row r="95" spans="1:36" x14ac:dyDescent="0.25">
      <c r="A95" s="5" t="s">
        <v>39</v>
      </c>
      <c r="B95" s="5" t="s">
        <v>30</v>
      </c>
      <c r="C95" s="5" t="str">
        <f t="shared" si="25"/>
        <v>description,dailCompDescArcanist93,</v>
      </c>
      <c r="D95" s="5" t="str">
        <f t="shared" si="26"/>
        <v>itemText,dailCompTextArcanist93,</v>
      </c>
      <c r="E95" s="5" t="str">
        <f t="shared" si="36"/>
        <v>augmentSkillLevel1,5,</v>
      </c>
      <c r="F95" s="5" t="str">
        <f t="shared" si="37"/>
        <v>augmentSkillName1,records/skills/playerclass05/passive04.dbr,</v>
      </c>
      <c r="G95" s="7">
        <f t="shared" si="32"/>
        <v>93</v>
      </c>
      <c r="H95" s="8" t="str">
        <f t="shared" si="33"/>
        <v>Arcanist</v>
      </c>
      <c r="I95" s="3" t="s">
        <v>339</v>
      </c>
      <c r="J95" s="8" t="str">
        <f t="shared" si="42"/>
        <v>class0005</v>
      </c>
      <c r="K95" s="8" t="str">
        <f t="shared" si="42"/>
        <v>dailoneskill0005</v>
      </c>
      <c r="L95" s="5" t="str">
        <f t="shared" si="27"/>
        <v>lootName93,DAIL/items/materia/class0005/Arcanist93.dbr,</v>
      </c>
      <c r="M95" s="5" t="str">
        <f t="shared" si="28"/>
        <v>lootWeight93,1,</v>
      </c>
      <c r="N95" t="str">
        <f t="shared" si="29"/>
        <v>5</v>
      </c>
      <c r="O95" t="str">
        <f t="shared" si="38"/>
        <v>copy .\dail_base3.dbr .\items\materia\class0005\Arcanist93.dbr /y</v>
      </c>
      <c r="P95" t="str">
        <f t="shared" si="24"/>
        <v>echo relicBitmap,items/craftingparts/components/component_a52_bristlyfur_b.tex, &gt;&gt; .\items\materia\class0005\Arcanist93.dbr</v>
      </c>
      <c r="Q95" t="str">
        <f t="shared" si="24"/>
        <v>echo itemCost,500000, &gt;&gt; .\items\materia\class0005\Arcanist93.dbr</v>
      </c>
      <c r="R95" t="str">
        <f t="shared" si="24"/>
        <v>echo description,dailCompDescArcanist93, &gt;&gt; .\items\materia\class0005\Arcanist93.dbr</v>
      </c>
      <c r="S95" t="str">
        <f t="shared" si="24"/>
        <v>echo itemText,dailCompTextArcanist93, &gt;&gt; .\items\materia\class0005\Arcanist93.dbr</v>
      </c>
      <c r="T95" t="str">
        <f t="shared" si="24"/>
        <v>echo augmentSkillLevel1,5, &gt;&gt; .\items\materia\class0005\Arcanist93.dbr</v>
      </c>
      <c r="U95" t="str">
        <f t="shared" si="24"/>
        <v>echo augmentSkillName1,records/skills/playerclass05/passive04.dbr, &gt;&gt; .\items\materia\class0005\Arcanist93.dbr</v>
      </c>
      <c r="V95" s="5" t="s">
        <v>36</v>
      </c>
      <c r="W95" t="str">
        <f t="shared" si="30"/>
        <v>echo lootName93,DAIL/items/materia/class0005/Arcanist93.dbr, &gt;&gt; .\items\loottables\dailoneskill0005.dbr</v>
      </c>
      <c r="X95" t="str">
        <f t="shared" si="30"/>
        <v>echo lootWeight93,1, &gt;&gt; .\items\loottables\dailoneskill0005.dbr</v>
      </c>
      <c r="Y95" s="5" t="s">
        <v>36</v>
      </c>
      <c r="Z95" t="str">
        <f t="shared" si="31"/>
        <v xml:space="preserve"> dailCompDescArcanist93=^pArcanist's Gift of DAIL</v>
      </c>
      <c r="AA95" t="str">
        <f t="shared" si="39"/>
        <v>dailCompTextArcanist93=^oThis feels warm to the touch, almost familiar ^w(This component only fits into the Medal Slot)</v>
      </c>
      <c r="AB95" s="5" t="s">
        <v>36</v>
      </c>
      <c r="AH95">
        <f t="shared" si="41"/>
        <v>90</v>
      </c>
      <c r="AI95">
        <f t="shared" si="35"/>
        <v>28</v>
      </c>
      <c r="AJ95">
        <f t="shared" si="40"/>
        <v>5</v>
      </c>
    </row>
    <row r="96" spans="1:36" x14ac:dyDescent="0.25">
      <c r="A96" s="5" t="s">
        <v>39</v>
      </c>
      <c r="B96" s="5" t="s">
        <v>30</v>
      </c>
      <c r="C96" s="5" t="str">
        <f t="shared" si="25"/>
        <v>description,dailCompDescArcanist,</v>
      </c>
      <c r="D96" s="5" t="str">
        <f t="shared" si="26"/>
        <v>itemText,dailCompTextArcanist,</v>
      </c>
      <c r="E96" s="5" t="str">
        <f t="shared" si="36"/>
        <v>augmentSkillLevel1,5,</v>
      </c>
      <c r="F96" s="5" t="str">
        <f t="shared" si="37"/>
        <v>augmentSkillName1,records/skills,</v>
      </c>
      <c r="G96" s="7" t="str">
        <f t="shared" si="32"/>
        <v/>
      </c>
      <c r="H96" s="8" t="str">
        <f t="shared" si="33"/>
        <v>Arcanist</v>
      </c>
      <c r="J96" s="8" t="str">
        <f t="shared" si="42"/>
        <v>class0005</v>
      </c>
      <c r="K96" s="8" t="str">
        <f t="shared" si="42"/>
        <v>dailoneskill0005</v>
      </c>
      <c r="L96" s="5" t="str">
        <f t="shared" si="27"/>
        <v>lootName,DAIL/items/materia/class0005/Arcanist.dbr,</v>
      </c>
      <c r="M96" s="5" t="str">
        <f t="shared" si="28"/>
        <v>lootWeight,1,</v>
      </c>
      <c r="N96" t="str">
        <f t="shared" si="29"/>
        <v>5</v>
      </c>
      <c r="O96" t="str">
        <f t="shared" si="38"/>
        <v/>
      </c>
      <c r="P96" t="str">
        <f t="shared" si="24"/>
        <v/>
      </c>
      <c r="Q96" t="str">
        <f t="shared" si="24"/>
        <v/>
      </c>
      <c r="R96" t="str">
        <f t="shared" si="24"/>
        <v/>
      </c>
      <c r="S96" t="str">
        <f t="shared" si="24"/>
        <v/>
      </c>
      <c r="T96" t="str">
        <f t="shared" si="24"/>
        <v/>
      </c>
      <c r="U96" t="str">
        <f t="shared" si="24"/>
        <v/>
      </c>
      <c r="V96" s="5" t="s">
        <v>36</v>
      </c>
      <c r="W96" t="str">
        <f t="shared" si="30"/>
        <v/>
      </c>
      <c r="X96" t="str">
        <f t="shared" si="30"/>
        <v/>
      </c>
      <c r="Y96" s="5" t="s">
        <v>36</v>
      </c>
      <c r="Z96" t="str">
        <f t="shared" si="31"/>
        <v xml:space="preserve"> dailCompDescArcanist=^pArcanist's Gift of DAIL</v>
      </c>
      <c r="AA96" t="str">
        <f t="shared" si="39"/>
        <v>dailCompTextArcanist=^oThis feels warm to the touch, almost familiar ^w(This component only fits into the Medal Slot)</v>
      </c>
      <c r="AB96" s="5" t="s">
        <v>36</v>
      </c>
      <c r="AH96">
        <f t="shared" si="41"/>
        <v>91</v>
      </c>
      <c r="AI96">
        <f t="shared" si="35"/>
        <v>0</v>
      </c>
      <c r="AJ96">
        <f t="shared" si="40"/>
        <v>5</v>
      </c>
    </row>
    <row r="97" spans="1:36" x14ac:dyDescent="0.25">
      <c r="A97" s="5" t="s">
        <v>39</v>
      </c>
      <c r="B97" s="5" t="s">
        <v>30</v>
      </c>
      <c r="C97" s="5" t="str">
        <f t="shared" si="25"/>
        <v>description,dailCompDescArcanist,</v>
      </c>
      <c r="D97" s="5" t="str">
        <f t="shared" si="26"/>
        <v>itemText,dailCompTextArcanist,</v>
      </c>
      <c r="E97" s="5" t="str">
        <f t="shared" si="36"/>
        <v>augmentSkillLevel1,5,</v>
      </c>
      <c r="F97" s="5" t="str">
        <f t="shared" si="37"/>
        <v>augmentSkillName1,records/skills,</v>
      </c>
      <c r="G97" s="7" t="str">
        <f t="shared" si="32"/>
        <v/>
      </c>
      <c r="H97" s="8" t="str">
        <f t="shared" si="33"/>
        <v>Arcanist</v>
      </c>
      <c r="J97" s="8" t="str">
        <f t="shared" si="42"/>
        <v>class0005</v>
      </c>
      <c r="K97" s="8" t="str">
        <f t="shared" si="42"/>
        <v>dailoneskill0005</v>
      </c>
      <c r="L97" s="5" t="str">
        <f t="shared" si="27"/>
        <v>lootName,DAIL/items/materia/class0005/Arcanist.dbr,</v>
      </c>
      <c r="M97" s="5" t="str">
        <f t="shared" si="28"/>
        <v>lootWeight,1,</v>
      </c>
      <c r="N97" t="str">
        <f t="shared" si="29"/>
        <v>5</v>
      </c>
      <c r="O97" t="str">
        <f t="shared" si="38"/>
        <v/>
      </c>
      <c r="P97" t="str">
        <f t="shared" si="24"/>
        <v/>
      </c>
      <c r="Q97" t="str">
        <f t="shared" si="24"/>
        <v/>
      </c>
      <c r="R97" t="str">
        <f t="shared" si="24"/>
        <v/>
      </c>
      <c r="S97" t="str">
        <f t="shared" si="24"/>
        <v/>
      </c>
      <c r="T97" t="str">
        <f t="shared" si="24"/>
        <v/>
      </c>
      <c r="U97" t="str">
        <f t="shared" si="24"/>
        <v/>
      </c>
      <c r="V97" s="5" t="s">
        <v>36</v>
      </c>
      <c r="W97" t="str">
        <f t="shared" si="30"/>
        <v/>
      </c>
      <c r="X97" t="str">
        <f t="shared" si="30"/>
        <v/>
      </c>
      <c r="Y97" s="5" t="s">
        <v>36</v>
      </c>
      <c r="Z97" t="str">
        <f t="shared" si="31"/>
        <v/>
      </c>
      <c r="AA97" t="str">
        <f t="shared" si="39"/>
        <v/>
      </c>
      <c r="AB97" s="5" t="s">
        <v>36</v>
      </c>
      <c r="AH97">
        <f t="shared" si="41"/>
        <v>92</v>
      </c>
      <c r="AI97">
        <f t="shared" si="35"/>
        <v>0</v>
      </c>
      <c r="AJ97">
        <f t="shared" si="40"/>
        <v>5</v>
      </c>
    </row>
    <row r="98" spans="1:36" x14ac:dyDescent="0.25">
      <c r="A98" s="5" t="s">
        <v>39</v>
      </c>
      <c r="B98" s="5" t="s">
        <v>30</v>
      </c>
      <c r="C98" s="5" t="str">
        <f t="shared" si="25"/>
        <v>description,dailCompDescArcanist,</v>
      </c>
      <c r="D98" s="5" t="str">
        <f t="shared" si="26"/>
        <v>itemText,dailCompTextArcanist,</v>
      </c>
      <c r="E98" s="5" t="str">
        <f t="shared" si="36"/>
        <v>augmentSkillLevel1,5,</v>
      </c>
      <c r="F98" s="5" t="str">
        <f t="shared" si="37"/>
        <v>augmentSkillName1,records/skills,</v>
      </c>
      <c r="G98" s="7" t="str">
        <f t="shared" si="32"/>
        <v/>
      </c>
      <c r="H98" s="8" t="str">
        <f t="shared" si="33"/>
        <v>Arcanist</v>
      </c>
      <c r="J98" s="8" t="str">
        <f t="shared" si="42"/>
        <v>class0005</v>
      </c>
      <c r="K98" s="8" t="str">
        <f t="shared" si="42"/>
        <v>dailoneskill0005</v>
      </c>
      <c r="L98" s="5" t="str">
        <f t="shared" si="27"/>
        <v>lootName,DAIL/items/materia/class0005/Arcanist.dbr,</v>
      </c>
      <c r="M98" s="5" t="str">
        <f t="shared" si="28"/>
        <v>lootWeight,1,</v>
      </c>
      <c r="N98" t="str">
        <f t="shared" si="29"/>
        <v>5</v>
      </c>
      <c r="O98" t="str">
        <f t="shared" si="38"/>
        <v/>
      </c>
      <c r="P98" t="str">
        <f t="shared" si="24"/>
        <v/>
      </c>
      <c r="Q98" t="str">
        <f t="shared" si="24"/>
        <v/>
      </c>
      <c r="R98" t="str">
        <f t="shared" si="24"/>
        <v/>
      </c>
      <c r="S98" t="str">
        <f t="shared" si="24"/>
        <v/>
      </c>
      <c r="T98" t="str">
        <f t="shared" si="24"/>
        <v/>
      </c>
      <c r="U98" t="str">
        <f t="shared" si="24"/>
        <v/>
      </c>
      <c r="V98" s="5" t="s">
        <v>36</v>
      </c>
      <c r="W98" t="str">
        <f t="shared" si="30"/>
        <v/>
      </c>
      <c r="X98" t="str">
        <f t="shared" si="30"/>
        <v/>
      </c>
      <c r="Y98" s="5" t="s">
        <v>36</v>
      </c>
      <c r="Z98" t="str">
        <f t="shared" si="31"/>
        <v/>
      </c>
      <c r="AA98" t="str">
        <f t="shared" si="39"/>
        <v/>
      </c>
      <c r="AB98" s="5" t="s">
        <v>36</v>
      </c>
      <c r="AH98">
        <f t="shared" si="41"/>
        <v>93</v>
      </c>
      <c r="AI98">
        <f t="shared" si="35"/>
        <v>0</v>
      </c>
      <c r="AJ98">
        <f t="shared" si="40"/>
        <v>5</v>
      </c>
    </row>
    <row r="99" spans="1:36" x14ac:dyDescent="0.25">
      <c r="A99" s="5" t="s">
        <v>39</v>
      </c>
      <c r="B99" s="5" t="s">
        <v>30</v>
      </c>
      <c r="C99" s="5" t="str">
        <f t="shared" si="25"/>
        <v>description,dailCompDescArcanist,</v>
      </c>
      <c r="D99" s="5" t="str">
        <f t="shared" si="26"/>
        <v>itemText,dailCompTextArcanist,</v>
      </c>
      <c r="E99" s="5" t="str">
        <f t="shared" si="36"/>
        <v>augmentSkillLevel1,5,</v>
      </c>
      <c r="F99" s="5" t="str">
        <f t="shared" si="37"/>
        <v>augmentSkillName1,records/skills,</v>
      </c>
      <c r="G99" s="7" t="str">
        <f t="shared" si="32"/>
        <v/>
      </c>
      <c r="H99" s="8" t="str">
        <f t="shared" si="33"/>
        <v>Arcanist</v>
      </c>
      <c r="J99" s="8" t="str">
        <f t="shared" si="42"/>
        <v>class0005</v>
      </c>
      <c r="K99" s="8" t="str">
        <f t="shared" si="42"/>
        <v>dailoneskill0005</v>
      </c>
      <c r="L99" s="5" t="str">
        <f t="shared" si="27"/>
        <v>lootName,DAIL/items/materia/class0005/Arcanist.dbr,</v>
      </c>
      <c r="M99" s="5" t="str">
        <f t="shared" si="28"/>
        <v>lootWeight,1,</v>
      </c>
      <c r="N99" t="str">
        <f t="shared" si="29"/>
        <v>5</v>
      </c>
      <c r="O99" t="str">
        <f t="shared" si="38"/>
        <v/>
      </c>
      <c r="P99" t="str">
        <f t="shared" si="24"/>
        <v/>
      </c>
      <c r="Q99" t="str">
        <f t="shared" si="24"/>
        <v/>
      </c>
      <c r="R99" t="str">
        <f t="shared" si="24"/>
        <v/>
      </c>
      <c r="S99" t="str">
        <f t="shared" si="24"/>
        <v/>
      </c>
      <c r="T99" t="str">
        <f t="shared" si="24"/>
        <v/>
      </c>
      <c r="U99" t="str">
        <f t="shared" si="24"/>
        <v/>
      </c>
      <c r="V99" s="5" t="s">
        <v>36</v>
      </c>
      <c r="W99" t="str">
        <f t="shared" si="30"/>
        <v/>
      </c>
      <c r="X99" t="str">
        <f t="shared" si="30"/>
        <v/>
      </c>
      <c r="Y99" s="5" t="s">
        <v>36</v>
      </c>
      <c r="Z99" t="str">
        <f t="shared" si="31"/>
        <v/>
      </c>
      <c r="AA99" t="str">
        <f t="shared" si="39"/>
        <v/>
      </c>
      <c r="AB99" s="5" t="s">
        <v>36</v>
      </c>
      <c r="AH99">
        <f t="shared" si="41"/>
        <v>94</v>
      </c>
      <c r="AI99">
        <f t="shared" si="35"/>
        <v>0</v>
      </c>
      <c r="AJ99">
        <f t="shared" si="40"/>
        <v>5</v>
      </c>
    </row>
    <row r="100" spans="1:36" x14ac:dyDescent="0.25">
      <c r="A100" s="5" t="s">
        <v>39</v>
      </c>
      <c r="B100" s="5" t="s">
        <v>30</v>
      </c>
      <c r="C100" s="5" t="str">
        <f t="shared" si="25"/>
        <v>description,dailCompDescArcanist,</v>
      </c>
      <c r="D100" s="5" t="str">
        <f t="shared" si="26"/>
        <v>itemText,dailCompTextArcanist,</v>
      </c>
      <c r="E100" s="5" t="str">
        <f t="shared" si="36"/>
        <v>augmentSkillLevel1,5,</v>
      </c>
      <c r="F100" s="5" t="str">
        <f t="shared" si="37"/>
        <v>augmentSkillName1,records/skills,</v>
      </c>
      <c r="G100" s="7" t="str">
        <f t="shared" si="32"/>
        <v/>
      </c>
      <c r="H100" s="8" t="str">
        <f t="shared" si="33"/>
        <v>Arcanist</v>
      </c>
      <c r="J100" s="8" t="str">
        <f t="shared" si="42"/>
        <v>class0005</v>
      </c>
      <c r="K100" s="8" t="str">
        <f t="shared" si="42"/>
        <v>dailoneskill0005</v>
      </c>
      <c r="L100" s="5" t="str">
        <f t="shared" si="27"/>
        <v>lootName,DAIL/items/materia/class0005/Arcanist.dbr,</v>
      </c>
      <c r="M100" s="5" t="str">
        <f t="shared" si="28"/>
        <v>lootWeight,1,</v>
      </c>
      <c r="N100" t="str">
        <f t="shared" si="29"/>
        <v>5</v>
      </c>
      <c r="O100" t="str">
        <f t="shared" si="38"/>
        <v/>
      </c>
      <c r="P100" t="str">
        <f t="shared" si="24"/>
        <v/>
      </c>
      <c r="Q100" t="str">
        <f t="shared" si="24"/>
        <v/>
      </c>
      <c r="R100" t="str">
        <f t="shared" si="24"/>
        <v/>
      </c>
      <c r="S100" t="str">
        <f t="shared" si="24"/>
        <v/>
      </c>
      <c r="T100" t="str">
        <f t="shared" si="24"/>
        <v/>
      </c>
      <c r="U100" t="str">
        <f t="shared" si="24"/>
        <v/>
      </c>
      <c r="V100" s="5" t="s">
        <v>36</v>
      </c>
      <c r="W100" t="str">
        <f t="shared" si="30"/>
        <v/>
      </c>
      <c r="X100" t="str">
        <f t="shared" si="30"/>
        <v/>
      </c>
      <c r="Y100" s="5" t="s">
        <v>36</v>
      </c>
      <c r="Z100" t="str">
        <f t="shared" si="31"/>
        <v/>
      </c>
      <c r="AA100" t="str">
        <f t="shared" si="39"/>
        <v/>
      </c>
      <c r="AB100" s="5" t="s">
        <v>36</v>
      </c>
      <c r="AH100">
        <f t="shared" si="41"/>
        <v>95</v>
      </c>
      <c r="AI100">
        <f t="shared" si="35"/>
        <v>0</v>
      </c>
      <c r="AJ100">
        <f t="shared" si="40"/>
        <v>5</v>
      </c>
    </row>
    <row r="101" spans="1:36" x14ac:dyDescent="0.25">
      <c r="A101" s="5" t="s">
        <v>39</v>
      </c>
      <c r="B101" s="5" t="s">
        <v>30</v>
      </c>
      <c r="C101" s="5" t="str">
        <f t="shared" si="25"/>
        <v>description,dailCompDescArcanist,</v>
      </c>
      <c r="D101" s="5" t="str">
        <f t="shared" si="26"/>
        <v>itemText,dailCompTextArcanist,</v>
      </c>
      <c r="E101" s="5" t="str">
        <f t="shared" si="36"/>
        <v>augmentSkillLevel1,5,</v>
      </c>
      <c r="F101" s="5" t="str">
        <f t="shared" si="37"/>
        <v>augmentSkillName1,records/skills,</v>
      </c>
      <c r="G101" s="7" t="str">
        <f t="shared" si="32"/>
        <v/>
      </c>
      <c r="H101" s="8" t="str">
        <f t="shared" si="33"/>
        <v>Arcanist</v>
      </c>
      <c r="J101" s="8" t="str">
        <f t="shared" ref="J101:K102" si="43">J100</f>
        <v>class0005</v>
      </c>
      <c r="K101" s="8" t="str">
        <f t="shared" si="43"/>
        <v>dailoneskill0005</v>
      </c>
      <c r="L101" s="5" t="str">
        <f t="shared" si="27"/>
        <v>lootName,DAIL/items/materia/class0005/Arcanist.dbr,</v>
      </c>
      <c r="M101" s="5" t="str">
        <f t="shared" si="28"/>
        <v>lootWeight,1,</v>
      </c>
      <c r="N101" t="str">
        <f t="shared" si="29"/>
        <v>5</v>
      </c>
      <c r="O101" t="str">
        <f t="shared" si="38"/>
        <v/>
      </c>
      <c r="P101" t="str">
        <f t="shared" si="24"/>
        <v/>
      </c>
      <c r="Q101" t="str">
        <f t="shared" si="24"/>
        <v/>
      </c>
      <c r="R101" t="str">
        <f t="shared" si="24"/>
        <v/>
      </c>
      <c r="S101" t="str">
        <f t="shared" ref="S101:U102" si="44">IF($I101&lt;&gt;"","echo "&amp;D101&amp;" &gt;&gt; .\items\materia\"&amp;$J101&amp;"\"&amp;$H101&amp;$G101&amp;".dbr","")</f>
        <v/>
      </c>
      <c r="T101" t="str">
        <f t="shared" si="44"/>
        <v/>
      </c>
      <c r="U101" t="str">
        <f t="shared" si="44"/>
        <v/>
      </c>
      <c r="V101" s="5" t="s">
        <v>36</v>
      </c>
      <c r="W101" t="str">
        <f t="shared" si="30"/>
        <v/>
      </c>
      <c r="X101" t="str">
        <f t="shared" si="30"/>
        <v/>
      </c>
      <c r="Y101" s="5" t="s">
        <v>36</v>
      </c>
      <c r="Z101" t="str">
        <f t="shared" si="31"/>
        <v/>
      </c>
      <c r="AA101" t="str">
        <f t="shared" si="39"/>
        <v/>
      </c>
      <c r="AB101" s="5" t="s">
        <v>36</v>
      </c>
      <c r="AH101">
        <f t="shared" si="41"/>
        <v>96</v>
      </c>
      <c r="AI101">
        <f t="shared" si="35"/>
        <v>0</v>
      </c>
      <c r="AJ101">
        <f t="shared" si="40"/>
        <v>5</v>
      </c>
    </row>
    <row r="102" spans="1:36" x14ac:dyDescent="0.25">
      <c r="A102" s="5" t="s">
        <v>39</v>
      </c>
      <c r="B102" s="5" t="s">
        <v>30</v>
      </c>
      <c r="C102" s="5" t="str">
        <f t="shared" si="25"/>
        <v>description,dailCompDescArcanist,</v>
      </c>
      <c r="D102" s="5" t="str">
        <f t="shared" si="26"/>
        <v>itemText,dailCompTextArcanist,</v>
      </c>
      <c r="E102" s="5" t="str">
        <f t="shared" si="36"/>
        <v>augmentSkillLevel1,5,</v>
      </c>
      <c r="F102" s="5" t="str">
        <f t="shared" si="37"/>
        <v>augmentSkillName1,records/skills,</v>
      </c>
      <c r="G102" s="7" t="str">
        <f t="shared" si="32"/>
        <v/>
      </c>
      <c r="H102" s="8" t="str">
        <f t="shared" si="33"/>
        <v>Arcanist</v>
      </c>
      <c r="J102" s="8" t="str">
        <f t="shared" si="43"/>
        <v>class0005</v>
      </c>
      <c r="K102" s="8" t="str">
        <f t="shared" si="43"/>
        <v>dailoneskill0005</v>
      </c>
      <c r="L102" s="5" t="str">
        <f t="shared" si="27"/>
        <v>lootName,DAIL/items/materia/class0005/Arcanist.dbr,</v>
      </c>
      <c r="M102" s="5" t="str">
        <f t="shared" si="28"/>
        <v>lootWeight,1,</v>
      </c>
      <c r="N102" t="str">
        <f t="shared" si="29"/>
        <v>5</v>
      </c>
      <c r="O102" t="str">
        <f t="shared" si="38"/>
        <v/>
      </c>
      <c r="P102" t="str">
        <f t="shared" ref="P102:R102" si="45">IF($I102&lt;&gt;"","echo "&amp;A102&amp;" &gt;&gt; .\items\materia\"&amp;$J102&amp;"\"&amp;$H102&amp;$G102&amp;".dbr","")</f>
        <v/>
      </c>
      <c r="Q102" t="str">
        <f t="shared" si="45"/>
        <v/>
      </c>
      <c r="R102" t="str">
        <f t="shared" si="45"/>
        <v/>
      </c>
      <c r="S102" t="str">
        <f t="shared" si="44"/>
        <v/>
      </c>
      <c r="T102" t="str">
        <f t="shared" si="44"/>
        <v/>
      </c>
      <c r="U102" t="str">
        <f t="shared" si="44"/>
        <v/>
      </c>
      <c r="V102" s="5" t="s">
        <v>36</v>
      </c>
      <c r="W102" t="str">
        <f t="shared" si="30"/>
        <v/>
      </c>
      <c r="X102" t="str">
        <f t="shared" si="30"/>
        <v/>
      </c>
      <c r="Y102" s="5" t="s">
        <v>36</v>
      </c>
      <c r="Z102" t="str">
        <f t="shared" si="31"/>
        <v/>
      </c>
      <c r="AA102" t="str">
        <f t="shared" si="39"/>
        <v/>
      </c>
      <c r="AB102" s="5" t="s">
        <v>36</v>
      </c>
      <c r="AH102">
        <f t="shared" si="41"/>
        <v>97</v>
      </c>
      <c r="AI102">
        <f t="shared" si="35"/>
        <v>0</v>
      </c>
      <c r="AJ102">
        <f t="shared" si="40"/>
        <v>5</v>
      </c>
    </row>
  </sheetData>
  <mergeCells count="1">
    <mergeCell ref="O2:U2"/>
  </mergeCells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AL102"/>
  <sheetViews>
    <sheetView topLeftCell="M1" zoomScaleNormal="100" workbookViewId="0">
      <selection activeCell="U3" sqref="U3:U102"/>
    </sheetView>
  </sheetViews>
  <sheetFormatPr defaultRowHeight="15" x14ac:dyDescent="0.25"/>
  <cols>
    <col min="1" max="1" width="73.85546875" style="5" bestFit="1" customWidth="1"/>
    <col min="2" max="2" width="16.28515625" style="5" bestFit="1" customWidth="1"/>
    <col min="3" max="3" width="32.7109375" style="5" bestFit="1" customWidth="1"/>
    <col min="4" max="4" width="31.42578125" style="5" bestFit="1" customWidth="1"/>
    <col min="5" max="5" width="24.28515625" style="5" bestFit="1" customWidth="1"/>
    <col min="6" max="6" width="73.5703125" style="5" bestFit="1" customWidth="1"/>
    <col min="7" max="7" width="5.85546875" style="8" bestFit="1" customWidth="1"/>
    <col min="8" max="8" width="7.85546875" style="3" bestFit="1" customWidth="1"/>
    <col min="9" max="9" width="38.140625" style="3" bestFit="1" customWidth="1"/>
    <col min="10" max="10" width="9.140625" style="3" bestFit="1" customWidth="1"/>
    <col min="11" max="11" width="18.140625" style="3" customWidth="1"/>
    <col min="12" max="12" width="51.85546875" style="5" bestFit="1" customWidth="1"/>
    <col min="13" max="13" width="21.28515625" style="5" customWidth="1"/>
    <col min="15" max="15" width="10.5703125" customWidth="1"/>
    <col min="22" max="22" width="1.5703125" style="5" customWidth="1"/>
    <col min="23" max="23" width="9.5703125" customWidth="1"/>
    <col min="25" max="25" width="1.5703125" style="5" bestFit="1" customWidth="1"/>
    <col min="26" max="26" width="46.7109375" bestFit="1" customWidth="1"/>
    <col min="27" max="27" width="29.140625" customWidth="1"/>
    <col min="28" max="28" width="1.5703125" style="5" bestFit="1" customWidth="1"/>
    <col min="31" max="31" width="14.140625" bestFit="1" customWidth="1"/>
  </cols>
  <sheetData>
    <row r="1" spans="1:38" x14ac:dyDescent="0.25">
      <c r="G1" s="5"/>
      <c r="H1" s="5"/>
      <c r="I1" s="5"/>
      <c r="J1" s="5"/>
      <c r="K1" s="5"/>
      <c r="N1" s="5"/>
      <c r="O1" s="9"/>
      <c r="P1" s="9"/>
      <c r="Q1" s="9"/>
      <c r="R1" s="9"/>
      <c r="S1" s="9"/>
      <c r="T1" s="9"/>
      <c r="U1" s="9"/>
      <c r="W1" s="9"/>
      <c r="X1" s="9"/>
      <c r="Z1" s="9"/>
      <c r="AA1" s="9"/>
    </row>
    <row r="2" spans="1:38" x14ac:dyDescent="0.25">
      <c r="A2" s="4" t="s">
        <v>2</v>
      </c>
      <c r="B2" s="4" t="s">
        <v>3</v>
      </c>
      <c r="C2" s="4" t="s">
        <v>4</v>
      </c>
      <c r="D2" s="4" t="s">
        <v>5</v>
      </c>
      <c r="E2" s="4" t="s">
        <v>6</v>
      </c>
      <c r="F2" s="4" t="s">
        <v>7</v>
      </c>
      <c r="G2" s="6" t="s">
        <v>9</v>
      </c>
      <c r="H2" s="2" t="s">
        <v>26</v>
      </c>
      <c r="I2" s="2" t="s">
        <v>8</v>
      </c>
      <c r="J2" s="2" t="s">
        <v>33</v>
      </c>
      <c r="K2" s="2" t="s">
        <v>38</v>
      </c>
      <c r="L2" s="4" t="s">
        <v>31</v>
      </c>
      <c r="M2" s="4" t="s">
        <v>32</v>
      </c>
      <c r="O2" s="11" t="str">
        <f>"Copy from N to T Into the files named "&amp;H3&amp;G3&amp;" etc"</f>
        <v>Copy from N to T Into the files named Shaman1 etc</v>
      </c>
      <c r="P2" s="11"/>
      <c r="Q2" s="11"/>
      <c r="R2" s="11"/>
      <c r="S2" s="11"/>
      <c r="T2" s="11"/>
      <c r="U2" s="11"/>
      <c r="W2" s="1" t="s">
        <v>35</v>
      </c>
      <c r="Z2" s="1" t="s">
        <v>40</v>
      </c>
      <c r="AD2" t="s">
        <v>44</v>
      </c>
    </row>
    <row r="3" spans="1:38" x14ac:dyDescent="0.25">
      <c r="A3" s="5" t="s">
        <v>39</v>
      </c>
      <c r="B3" s="5" t="s">
        <v>0</v>
      </c>
      <c r="C3" s="5" t="str">
        <f t="shared" ref="C3:C66" si="0">"description,dailCompDesc"&amp;H3&amp;G3&amp;","</f>
        <v>description,dailCompDescShaman1,</v>
      </c>
      <c r="D3" s="5" t="str">
        <f>"itemText,dailCompText"&amp;H3&amp;G3&amp;","</f>
        <v>itemText,dailCompTextShaman1,</v>
      </c>
      <c r="E3" s="5" t="s">
        <v>24</v>
      </c>
      <c r="F3" s="5" t="str">
        <f>"augmentMasteryName1,records/skills"&amp;I3&amp;","</f>
        <v>augmentMasteryName1,records/skills/playerclass06/_classtraining_class06.dbr,</v>
      </c>
      <c r="G3" s="7">
        <f>IF(I3&lt;&gt;"",1,"")</f>
        <v>1</v>
      </c>
      <c r="H3" s="3" t="s">
        <v>74</v>
      </c>
      <c r="I3" s="3" t="s">
        <v>138</v>
      </c>
      <c r="J3" s="3" t="s">
        <v>72</v>
      </c>
      <c r="K3" s="3" t="s">
        <v>73</v>
      </c>
      <c r="L3" s="5" t="str">
        <f>"lootName"&amp;G3&amp;",DAIL/items/materia/"&amp;J3&amp;"/"&amp;H3&amp;G3&amp;".dbr"&amp;","</f>
        <v>lootName1,DAIL/items/materia/class0006/Shaman1.dbr,</v>
      </c>
      <c r="M3" s="5" t="str">
        <f>"lootWeight"&amp;G3&amp;",1,"</f>
        <v>lootWeight1,1,</v>
      </c>
      <c r="N3" t="str">
        <f>LEFT(RIGHT(E3,2),1)</f>
        <v>1</v>
      </c>
      <c r="O3" s="5" t="str">
        <f>IF(I3&lt;&gt;"","copy .\dail_base2.dbr .\items\materia\"&amp;J3&amp;"\"&amp;H3&amp;G3&amp;".dbr /y"&amp;"","")</f>
        <v>copy .\dail_base2.dbr .\items\materia\class0006\Shaman1.dbr /y</v>
      </c>
      <c r="P3" t="str">
        <f>IF($I3&lt;&gt;"","echo "&amp;A3&amp;" &gt;&gt; .\items\materia\"&amp;$J3&amp;"\"&amp;$H3&amp;$G3&amp;".dbr","")</f>
        <v>echo relicBitmap,items/craftingparts/components/component_a52_bristlyfur_b.tex, &gt;&gt; .\items\materia\class0006\Shaman1.dbr</v>
      </c>
      <c r="Q3" t="str">
        <f t="shared" ref="Q3:U18" si="1">IF($I3&lt;&gt;"","echo "&amp;B3&amp;" &gt;&gt; .\items\materia\"&amp;$J3&amp;"\"&amp;$H3&amp;$G3&amp;".dbr","")</f>
        <v>echo itemCost,100000, &gt;&gt; .\items\materia\class0006\Shaman1.dbr</v>
      </c>
      <c r="R3" t="str">
        <f t="shared" si="1"/>
        <v>echo description,dailCompDescShaman1, &gt;&gt; .\items\materia\class0006\Shaman1.dbr</v>
      </c>
      <c r="S3" t="str">
        <f t="shared" si="1"/>
        <v>echo itemText,dailCompTextShaman1, &gt;&gt; .\items\materia\class0006\Shaman1.dbr</v>
      </c>
      <c r="T3" t="str">
        <f t="shared" si="1"/>
        <v>echo augmentMasteryLevel1,1, &gt;&gt; .\items\materia\class0006\Shaman1.dbr</v>
      </c>
      <c r="U3" t="str">
        <f t="shared" si="1"/>
        <v>echo augmentMasteryName1,records/skills/playerclass06/_classtraining_class06.dbr, &gt;&gt; .\items\materia\class0006\Shaman1.dbr</v>
      </c>
      <c r="V3" s="5" t="s">
        <v>36</v>
      </c>
      <c r="W3" t="str">
        <f>IF($I3&lt;&gt;"","echo "&amp;L3&amp;" &gt;&gt; .\items\loottables\"&amp;$K3&amp;".dbr","")</f>
        <v>echo lootName1,DAIL/items/materia/class0006/Shaman1.dbr, &gt;&gt; .\items\loottables\dailoneskill0006.dbr</v>
      </c>
      <c r="X3" t="str">
        <f>IF($I3&lt;&gt;"","echo "&amp;M3&amp;" &gt;&gt; .\items\loottables\"&amp;$K3&amp;".dbr","")</f>
        <v>echo lootWeight1,1, &gt;&gt; .\items\loottables\dailoneskill0006.dbr</v>
      </c>
      <c r="Y3" s="5" t="s">
        <v>36</v>
      </c>
      <c r="Z3" s="10" t="str">
        <f>IF(I2&lt;&gt;""," dailCompDesc"&amp;H3&amp;G3&amp;"=^p"&amp;H3&amp;"'s Gift of DAIL","")</f>
        <v xml:space="preserve"> dailCompDescShaman1=^pShaman's Gift of DAIL</v>
      </c>
      <c r="AA3" s="10" t="str">
        <f>IF(I2&lt;&gt;"","dailCompText"&amp;H3&amp;G3&amp;"=^oThis feels warm to the touch, almost familiar ^w(This component fits into the amulet only)","")</f>
        <v>dailCompTextShaman1=^oThis feels warm to the touch, almost familiar ^w(This component fits into the amulet only)</v>
      </c>
      <c r="AB3" s="5" t="s">
        <v>36</v>
      </c>
      <c r="AD3">
        <v>1</v>
      </c>
      <c r="AE3" t="s">
        <v>42</v>
      </c>
      <c r="AF3" t="s">
        <v>45</v>
      </c>
    </row>
    <row r="4" spans="1:38" x14ac:dyDescent="0.25">
      <c r="A4" s="5" t="s">
        <v>39</v>
      </c>
      <c r="B4" s="5" t="s">
        <v>28</v>
      </c>
      <c r="C4" s="5" t="str">
        <f t="shared" si="0"/>
        <v>description,dailCompDescShaman2,</v>
      </c>
      <c r="D4" s="5" t="str">
        <f t="shared" ref="D4:D67" si="2">"itemText,dailCompText"&amp;H4&amp;G4&amp;","</f>
        <v>itemText,dailCompTextShaman2,</v>
      </c>
      <c r="E4" s="5" t="s">
        <v>1</v>
      </c>
      <c r="F4" s="5" t="str">
        <f t="shared" ref="F4:F5" si="3">"augmentMasteryName1,records/skills"&amp;I4&amp;","</f>
        <v>augmentMasteryName1,records/skills/playerclass06/_classtraining_class06.dbr,</v>
      </c>
      <c r="G4" s="7">
        <f>IF(I4&lt;&gt;"",G3+1,"")</f>
        <v>2</v>
      </c>
      <c r="H4" s="8" t="str">
        <f>H3</f>
        <v>Shaman</v>
      </c>
      <c r="I4" s="3" t="s">
        <v>138</v>
      </c>
      <c r="J4" s="8" t="str">
        <f>J3</f>
        <v>class0006</v>
      </c>
      <c r="K4" s="8" t="str">
        <f>K3</f>
        <v>dailoneskill0006</v>
      </c>
      <c r="L4" s="5" t="str">
        <f t="shared" ref="L4:L67" si="4">"lootName"&amp;G4&amp;",DAIL/items/materia/"&amp;J4&amp;"/"&amp;H4&amp;G4&amp;".dbr"&amp;","</f>
        <v>lootName2,DAIL/items/materia/class0006/Shaman2.dbr,</v>
      </c>
      <c r="M4" s="5" t="str">
        <f t="shared" ref="M4:M67" si="5">"lootWeight"&amp;G4&amp;",1,"</f>
        <v>lootWeight2,1,</v>
      </c>
      <c r="N4" t="str">
        <f t="shared" ref="N4:N67" si="6">LEFT(RIGHT(E4,2),1)</f>
        <v>2</v>
      </c>
      <c r="O4" s="5" t="str">
        <f>IF(I4&lt;&gt;"","copy .\dail_base2.dbr .\items\materia\"&amp;J4&amp;"\"&amp;H4&amp;G4&amp;".dbr /y"&amp;"","")</f>
        <v>copy .\dail_base2.dbr .\items\materia\class0006\Shaman2.dbr /y</v>
      </c>
      <c r="P4" t="str">
        <f t="shared" ref="P4:U58" si="7">IF($I4&lt;&gt;"","echo "&amp;A4&amp;" &gt;&gt; .\items\materia\"&amp;$J4&amp;"\"&amp;$H4&amp;$G4&amp;".dbr","")</f>
        <v>echo relicBitmap,items/craftingparts/components/component_a52_bristlyfur_b.tex, &gt;&gt; .\items\materia\class0006\Shaman2.dbr</v>
      </c>
      <c r="Q4" t="str">
        <f t="shared" si="1"/>
        <v>echo itemCost,300000, &gt;&gt; .\items\materia\class0006\Shaman2.dbr</v>
      </c>
      <c r="R4" t="str">
        <f t="shared" si="1"/>
        <v>echo description,dailCompDescShaman2, &gt;&gt; .\items\materia\class0006\Shaman2.dbr</v>
      </c>
      <c r="S4" t="str">
        <f t="shared" si="1"/>
        <v>echo itemText,dailCompTextShaman2, &gt;&gt; .\items\materia\class0006\Shaman2.dbr</v>
      </c>
      <c r="T4" t="str">
        <f t="shared" si="1"/>
        <v>echo augmentMasteryLevel1,2, &gt;&gt; .\items\materia\class0006\Shaman2.dbr</v>
      </c>
      <c r="U4" t="str">
        <f t="shared" si="1"/>
        <v>echo augmentMasteryName1,records/skills/playerclass06/_classtraining_class06.dbr, &gt;&gt; .\items\materia\class0006\Shaman2.dbr</v>
      </c>
      <c r="V4" s="5" t="s">
        <v>36</v>
      </c>
      <c r="W4" t="str">
        <f t="shared" ref="W4:X67" si="8">IF($I4&lt;&gt;"","echo "&amp;L4&amp;" &gt;&gt; .\items\loottables\"&amp;$K4&amp;".dbr","")</f>
        <v>echo lootName2,DAIL/items/materia/class0006/Shaman2.dbr, &gt;&gt; .\items\loottables\dailoneskill0006.dbr</v>
      </c>
      <c r="X4" t="str">
        <f t="shared" si="8"/>
        <v>echo lootWeight2,1, &gt;&gt; .\items\loottables\dailoneskill0006.dbr</v>
      </c>
      <c r="Y4" s="5" t="s">
        <v>36</v>
      </c>
      <c r="Z4" s="10" t="str">
        <f t="shared" ref="Z4:Z67" si="9">IF(I3&lt;&gt;""," dailCompDesc"&amp;H4&amp;G4&amp;"=^p"&amp;H4&amp;"'s Gift of DAIL","")</f>
        <v xml:space="preserve"> dailCompDescShaman2=^pShaman's Gift of DAIL</v>
      </c>
      <c r="AA4" s="10" t="str">
        <f>IF(I3&lt;&gt;"","dailCompText"&amp;H4&amp;G4&amp;"=^oThis feels warm to the touch, almost familiar ^w(This component fits into the amulet only)","")</f>
        <v>dailCompTextShaman2=^oThis feels warm to the touch, almost familiar ^w(This component fits into the amulet only)</v>
      </c>
      <c r="AB4" s="5" t="s">
        <v>36</v>
      </c>
      <c r="AD4">
        <v>3</v>
      </c>
      <c r="AE4" t="s">
        <v>43</v>
      </c>
      <c r="AF4" t="s">
        <v>46</v>
      </c>
    </row>
    <row r="5" spans="1:38" x14ac:dyDescent="0.25">
      <c r="A5" s="5" t="s">
        <v>39</v>
      </c>
      <c r="B5" s="5" t="s">
        <v>29</v>
      </c>
      <c r="C5" s="5" t="str">
        <f t="shared" si="0"/>
        <v>description,dailCompDescShaman3,</v>
      </c>
      <c r="D5" s="5" t="str">
        <f t="shared" si="2"/>
        <v>itemText,dailCompTextShaman3,</v>
      </c>
      <c r="E5" s="5" t="s">
        <v>25</v>
      </c>
      <c r="F5" s="5" t="str">
        <f t="shared" si="3"/>
        <v>augmentMasteryName1,records/skills/playerclass06/_classtraining_class06.dbr,</v>
      </c>
      <c r="G5" s="7">
        <f t="shared" ref="G5:G68" si="10">IF(I5&lt;&gt;"",G4+1,"")</f>
        <v>3</v>
      </c>
      <c r="H5" s="8" t="str">
        <f t="shared" ref="H5:H68" si="11">H4</f>
        <v>Shaman</v>
      </c>
      <c r="I5" s="3" t="s">
        <v>138</v>
      </c>
      <c r="J5" s="8" t="str">
        <f t="shared" ref="J5:K20" si="12">J4</f>
        <v>class0006</v>
      </c>
      <c r="K5" s="8" t="str">
        <f t="shared" si="12"/>
        <v>dailoneskill0006</v>
      </c>
      <c r="L5" s="5" t="str">
        <f t="shared" si="4"/>
        <v>lootName3,DAIL/items/materia/class0006/Shaman3.dbr,</v>
      </c>
      <c r="M5" s="5" t="str">
        <f t="shared" si="5"/>
        <v>lootWeight3,1,</v>
      </c>
      <c r="N5" t="str">
        <f t="shared" si="6"/>
        <v>3</v>
      </c>
      <c r="O5" s="5" t="str">
        <f>IF(I5&lt;&gt;"","copy .\dail_base2.dbr .\items\materia\"&amp;J5&amp;"\"&amp;H5&amp;G5&amp;".dbr /y"&amp;"","")</f>
        <v>copy .\dail_base2.dbr .\items\materia\class0006\Shaman3.dbr /y</v>
      </c>
      <c r="P5" t="str">
        <f t="shared" si="7"/>
        <v>echo relicBitmap,items/craftingparts/components/component_a52_bristlyfur_b.tex, &gt;&gt; .\items\materia\class0006\Shaman3.dbr</v>
      </c>
      <c r="Q5" t="str">
        <f t="shared" si="1"/>
        <v>echo itemCost,600000, &gt;&gt; .\items\materia\class0006\Shaman3.dbr</v>
      </c>
      <c r="R5" t="str">
        <f t="shared" si="1"/>
        <v>echo description,dailCompDescShaman3, &gt;&gt; .\items\materia\class0006\Shaman3.dbr</v>
      </c>
      <c r="S5" t="str">
        <f t="shared" si="1"/>
        <v>echo itemText,dailCompTextShaman3, &gt;&gt; .\items\materia\class0006\Shaman3.dbr</v>
      </c>
      <c r="T5" t="str">
        <f t="shared" si="1"/>
        <v>echo augmentMasteryLevel1,3, &gt;&gt; .\items\materia\class0006\Shaman3.dbr</v>
      </c>
      <c r="U5" t="str">
        <f t="shared" si="1"/>
        <v>echo augmentMasteryName1,records/skills/playerclass06/_classtraining_class06.dbr, &gt;&gt; .\items\materia\class0006\Shaman3.dbr</v>
      </c>
      <c r="V5" s="5" t="s">
        <v>36</v>
      </c>
      <c r="W5" t="str">
        <f t="shared" si="8"/>
        <v>echo lootName3,DAIL/items/materia/class0006/Shaman3.dbr, &gt;&gt; .\items\loottables\dailoneskill0006.dbr</v>
      </c>
      <c r="X5" t="str">
        <f t="shared" si="8"/>
        <v>echo lootWeight3,1, &gt;&gt; .\items\loottables\dailoneskill0006.dbr</v>
      </c>
      <c r="Y5" s="5" t="s">
        <v>36</v>
      </c>
      <c r="Z5" s="10" t="str">
        <f t="shared" si="9"/>
        <v xml:space="preserve"> dailCompDescShaman3=^pShaman's Gift of DAIL</v>
      </c>
      <c r="AA5" s="10" t="str">
        <f>IF(I4&lt;&gt;"","dailCompText"&amp;H5&amp;G5&amp;"=^oThis feels warm to the touch, almost familiar ^w(This component fits into the amulet only)","")</f>
        <v>dailCompTextShaman3=^oThis feels warm to the touch, almost familiar ^w(This component fits into the amulet only)</v>
      </c>
      <c r="AB5" s="5" t="s">
        <v>36</v>
      </c>
      <c r="AD5">
        <v>5</v>
      </c>
      <c r="AE5" t="s">
        <v>43</v>
      </c>
      <c r="AF5" t="s">
        <v>46</v>
      </c>
      <c r="AI5" t="s">
        <v>61</v>
      </c>
    </row>
    <row r="6" spans="1:38" x14ac:dyDescent="0.25">
      <c r="A6" s="5" t="s">
        <v>39</v>
      </c>
      <c r="B6" s="5" t="s">
        <v>0</v>
      </c>
      <c r="C6" s="5" t="str">
        <f t="shared" si="0"/>
        <v>description,dailCompDescShaman4,</v>
      </c>
      <c r="D6" s="5" t="str">
        <f t="shared" si="2"/>
        <v>itemText,dailCompTextShaman4,</v>
      </c>
      <c r="E6" s="5" t="str">
        <f>"augmentSkillLevel1,"&amp;AJ6&amp;","</f>
        <v>augmentSkillLevel1,1,</v>
      </c>
      <c r="F6" s="5" t="str">
        <f>"augmentSkillName1,records/skills"&amp;I6&amp;","</f>
        <v>augmentSkillName1,records/skills/playerclass06/natureblessing1.dbr,</v>
      </c>
      <c r="G6" s="7">
        <f t="shared" si="10"/>
        <v>4</v>
      </c>
      <c r="H6" s="8" t="str">
        <f t="shared" si="11"/>
        <v>Shaman</v>
      </c>
      <c r="I6" s="3" t="s">
        <v>141</v>
      </c>
      <c r="J6" s="8" t="str">
        <f t="shared" si="12"/>
        <v>class0006</v>
      </c>
      <c r="K6" s="8" t="str">
        <f t="shared" si="12"/>
        <v>dailoneskill0006</v>
      </c>
      <c r="L6" s="5" t="str">
        <f t="shared" si="4"/>
        <v>lootName4,DAIL/items/materia/class0006/Shaman4.dbr,</v>
      </c>
      <c r="M6" s="5" t="str">
        <f t="shared" si="5"/>
        <v>lootWeight4,1,</v>
      </c>
      <c r="N6" t="str">
        <f t="shared" si="6"/>
        <v>1</v>
      </c>
      <c r="O6" t="str">
        <f>IF(I6&lt;&gt;"","copy .\"&amp;VLOOKUP(VALUE(N6),$AD$3:$AF$5,2,FALSE)&amp;" .\items\materia\"&amp;J6&amp;"\"&amp;H6&amp;G6&amp;".dbr /y"&amp;"","")</f>
        <v>copy .\dail_base.dbr .\items\materia\class0006\Shaman4.dbr /y</v>
      </c>
      <c r="P6" t="str">
        <f t="shared" si="7"/>
        <v>echo relicBitmap,items/craftingparts/components/component_a52_bristlyfur_b.tex, &gt;&gt; .\items\materia\class0006\Shaman4.dbr</v>
      </c>
      <c r="Q6" t="str">
        <f t="shared" si="1"/>
        <v>echo itemCost,100000, &gt;&gt; .\items\materia\class0006\Shaman4.dbr</v>
      </c>
      <c r="R6" t="str">
        <f t="shared" si="1"/>
        <v>echo description,dailCompDescShaman4, &gt;&gt; .\items\materia\class0006\Shaman4.dbr</v>
      </c>
      <c r="S6" t="str">
        <f t="shared" si="1"/>
        <v>echo itemText,dailCompTextShaman4, &gt;&gt; .\items\materia\class0006\Shaman4.dbr</v>
      </c>
      <c r="T6" t="str">
        <f t="shared" si="1"/>
        <v>echo augmentSkillLevel1,1, &gt;&gt; .\items\materia\class0006\Shaman4.dbr</v>
      </c>
      <c r="U6" t="str">
        <f t="shared" si="1"/>
        <v>echo augmentSkillName1,records/skills/playerclass06/natureblessing1.dbr, &gt;&gt; .\items\materia\class0006\Shaman4.dbr</v>
      </c>
      <c r="V6" s="5" t="s">
        <v>36</v>
      </c>
      <c r="W6" t="str">
        <f t="shared" si="8"/>
        <v>echo lootName4,DAIL/items/materia/class0006/Shaman4.dbr, &gt;&gt; .\items\loottables\dailoneskill0006.dbr</v>
      </c>
      <c r="X6" t="str">
        <f t="shared" si="8"/>
        <v>echo lootWeight4,1, &gt;&gt; .\items\loottables\dailoneskill0006.dbr</v>
      </c>
      <c r="Y6" s="5" t="s">
        <v>36</v>
      </c>
      <c r="Z6" t="str">
        <f t="shared" si="9"/>
        <v xml:space="preserve"> dailCompDescShaman4=^pShaman's Gift of DAIL</v>
      </c>
      <c r="AA6" t="str">
        <f>IF(I5&lt;&gt;"","dailCompText"&amp;H6&amp;G6&amp;"=^oThis feels warm to the touch, almost familiar ^w("&amp;VLOOKUP(VALUE(N6),$AD$3:$AF$5,3,FALSE)&amp;")","")</f>
        <v>dailCompTextShaman4=^oThis feels warm to the touch, almost familiar ^w(This component fits into all Jewellery slots including the Belt And Shoulder)</v>
      </c>
      <c r="AB6" s="5" t="s">
        <v>36</v>
      </c>
      <c r="AH6">
        <v>1</v>
      </c>
      <c r="AI6">
        <f t="shared" ref="AI6:AI37" si="13">LEN(I6)</f>
        <v>34</v>
      </c>
      <c r="AJ6">
        <f>IF(AH6&lt;$AL$7,1,IF(AH6&lt;$AL$8,3,5))</f>
        <v>1</v>
      </c>
      <c r="AK6" s="1" t="s">
        <v>62</v>
      </c>
      <c r="AL6" s="1">
        <f>COUNTIF(AI:AI,"&gt;0")</f>
        <v>90</v>
      </c>
    </row>
    <row r="7" spans="1:38" x14ac:dyDescent="0.25">
      <c r="A7" s="5" t="s">
        <v>39</v>
      </c>
      <c r="B7" s="5" t="s">
        <v>0</v>
      </c>
      <c r="C7" s="5" t="str">
        <f t="shared" si="0"/>
        <v>description,dailCompDescShaman5,</v>
      </c>
      <c r="D7" s="5" t="str">
        <f t="shared" si="2"/>
        <v>itemText,dailCompTextShaman5,</v>
      </c>
      <c r="E7" s="5" t="str">
        <f t="shared" ref="E7:E70" si="14">"augmentSkillLevel1,"&amp;AJ7&amp;","</f>
        <v>augmentSkillLevel1,1,</v>
      </c>
      <c r="F7" s="5" t="str">
        <f t="shared" ref="F7:F70" si="15">"augmentSkillName1,records/skills"&amp;I7&amp;","</f>
        <v>augmentSkillName1,records/skills/playerclass06/naturesblessing2.dbr,</v>
      </c>
      <c r="G7" s="7">
        <f t="shared" si="10"/>
        <v>5</v>
      </c>
      <c r="H7" s="8" t="str">
        <f t="shared" si="11"/>
        <v>Shaman</v>
      </c>
      <c r="I7" s="3" t="s">
        <v>340</v>
      </c>
      <c r="J7" s="8" t="str">
        <f t="shared" si="12"/>
        <v>class0006</v>
      </c>
      <c r="K7" s="8" t="str">
        <f t="shared" si="12"/>
        <v>dailoneskill0006</v>
      </c>
      <c r="L7" s="5" t="str">
        <f t="shared" si="4"/>
        <v>lootName5,DAIL/items/materia/class0006/Shaman5.dbr,</v>
      </c>
      <c r="M7" s="5" t="str">
        <f t="shared" si="5"/>
        <v>lootWeight5,1,</v>
      </c>
      <c r="N7" t="str">
        <f t="shared" si="6"/>
        <v>1</v>
      </c>
      <c r="O7" t="str">
        <f t="shared" ref="O7:O70" si="16">IF(I7&lt;&gt;"","copy .\"&amp;VLOOKUP(VALUE(N7),$AD$3:$AF$5,2,FALSE)&amp;" .\items\materia\"&amp;J7&amp;"\"&amp;H7&amp;G7&amp;".dbr /y"&amp;"","")</f>
        <v>copy .\dail_base.dbr .\items\materia\class0006\Shaman5.dbr /y</v>
      </c>
      <c r="P7" t="str">
        <f t="shared" si="7"/>
        <v>echo relicBitmap,items/craftingparts/components/component_a52_bristlyfur_b.tex, &gt;&gt; .\items\materia\class0006\Shaman5.dbr</v>
      </c>
      <c r="Q7" t="str">
        <f t="shared" si="1"/>
        <v>echo itemCost,100000, &gt;&gt; .\items\materia\class0006\Shaman5.dbr</v>
      </c>
      <c r="R7" t="str">
        <f t="shared" si="1"/>
        <v>echo description,dailCompDescShaman5, &gt;&gt; .\items\materia\class0006\Shaman5.dbr</v>
      </c>
      <c r="S7" t="str">
        <f t="shared" si="1"/>
        <v>echo itemText,dailCompTextShaman5, &gt;&gt; .\items\materia\class0006\Shaman5.dbr</v>
      </c>
      <c r="T7" t="str">
        <f t="shared" si="1"/>
        <v>echo augmentSkillLevel1,1, &gt;&gt; .\items\materia\class0006\Shaman5.dbr</v>
      </c>
      <c r="U7" t="str">
        <f t="shared" si="1"/>
        <v>echo augmentSkillName1,records/skills/playerclass06/naturesblessing2.dbr, &gt;&gt; .\items\materia\class0006\Shaman5.dbr</v>
      </c>
      <c r="V7" s="5" t="s">
        <v>36</v>
      </c>
      <c r="W7" t="str">
        <f t="shared" si="8"/>
        <v>echo lootName5,DAIL/items/materia/class0006/Shaman5.dbr, &gt;&gt; .\items\loottables\dailoneskill0006.dbr</v>
      </c>
      <c r="X7" t="str">
        <f t="shared" si="8"/>
        <v>echo lootWeight5,1, &gt;&gt; .\items\loottables\dailoneskill0006.dbr</v>
      </c>
      <c r="Y7" s="5" t="s">
        <v>36</v>
      </c>
      <c r="Z7" t="str">
        <f t="shared" si="9"/>
        <v xml:space="preserve"> dailCompDescShaman5=^pShaman's Gift of DAIL</v>
      </c>
      <c r="AA7" t="str">
        <f t="shared" ref="AA7:AA70" si="17">IF(I6&lt;&gt;"","dailCompText"&amp;H7&amp;G7&amp;"=^oThis feels warm to the touch, almost familiar ^w("&amp;VLOOKUP(VALUE(N7),$AD$3:$AF$5,3,FALSE)&amp;")","")</f>
        <v>dailCompTextShaman5=^oThis feels warm to the touch, almost familiar ^w(This component fits into all Jewellery slots including the Belt And Shoulder)</v>
      </c>
      <c r="AB7" s="5" t="s">
        <v>36</v>
      </c>
      <c r="AH7">
        <f>AH6+1</f>
        <v>2</v>
      </c>
      <c r="AI7">
        <f t="shared" si="13"/>
        <v>35</v>
      </c>
      <c r="AJ7">
        <f t="shared" ref="AJ7:AJ70" si="18">IF(AH7&lt;$AL$7,1,IF(AH7&lt;$AL$8,3,5))</f>
        <v>1</v>
      </c>
      <c r="AK7">
        <v>1</v>
      </c>
      <c r="AL7">
        <f>AL6/3</f>
        <v>30</v>
      </c>
    </row>
    <row r="8" spans="1:38" x14ac:dyDescent="0.25">
      <c r="A8" s="5" t="s">
        <v>39</v>
      </c>
      <c r="B8" s="5" t="s">
        <v>0</v>
      </c>
      <c r="C8" s="5" t="str">
        <f t="shared" si="0"/>
        <v>description,dailCompDescShaman6,</v>
      </c>
      <c r="D8" s="5" t="str">
        <f t="shared" si="2"/>
        <v>itemText,dailCompTextShaman6,</v>
      </c>
      <c r="E8" s="5" t="str">
        <f t="shared" si="14"/>
        <v>augmentSkillLevel1,1,</v>
      </c>
      <c r="F8" s="5" t="str">
        <f t="shared" si="15"/>
        <v>augmentSkillName1,records/skills/playerclass06/naturesblessing3.dbr,</v>
      </c>
      <c r="G8" s="7">
        <f t="shared" si="10"/>
        <v>6</v>
      </c>
      <c r="H8" s="8" t="str">
        <f t="shared" si="11"/>
        <v>Shaman</v>
      </c>
      <c r="I8" s="3" t="s">
        <v>341</v>
      </c>
      <c r="J8" s="8" t="str">
        <f t="shared" si="12"/>
        <v>class0006</v>
      </c>
      <c r="K8" s="8" t="str">
        <f t="shared" si="12"/>
        <v>dailoneskill0006</v>
      </c>
      <c r="L8" s="5" t="str">
        <f t="shared" si="4"/>
        <v>lootName6,DAIL/items/materia/class0006/Shaman6.dbr,</v>
      </c>
      <c r="M8" s="5" t="str">
        <f t="shared" si="5"/>
        <v>lootWeight6,1,</v>
      </c>
      <c r="N8" t="str">
        <f t="shared" si="6"/>
        <v>1</v>
      </c>
      <c r="O8" t="str">
        <f t="shared" si="16"/>
        <v>copy .\dail_base.dbr .\items\materia\class0006\Shaman6.dbr /y</v>
      </c>
      <c r="P8" t="str">
        <f t="shared" si="7"/>
        <v>echo relicBitmap,items/craftingparts/components/component_a52_bristlyfur_b.tex, &gt;&gt; .\items\materia\class0006\Shaman6.dbr</v>
      </c>
      <c r="Q8" t="str">
        <f t="shared" si="1"/>
        <v>echo itemCost,100000, &gt;&gt; .\items\materia\class0006\Shaman6.dbr</v>
      </c>
      <c r="R8" t="str">
        <f t="shared" si="1"/>
        <v>echo description,dailCompDescShaman6, &gt;&gt; .\items\materia\class0006\Shaman6.dbr</v>
      </c>
      <c r="S8" t="str">
        <f t="shared" si="1"/>
        <v>echo itemText,dailCompTextShaman6, &gt;&gt; .\items\materia\class0006\Shaman6.dbr</v>
      </c>
      <c r="T8" t="str">
        <f t="shared" si="1"/>
        <v>echo augmentSkillLevel1,1, &gt;&gt; .\items\materia\class0006\Shaman6.dbr</v>
      </c>
      <c r="U8" t="str">
        <f t="shared" si="1"/>
        <v>echo augmentSkillName1,records/skills/playerclass06/naturesblessing3.dbr, &gt;&gt; .\items\materia\class0006\Shaman6.dbr</v>
      </c>
      <c r="V8" s="5" t="s">
        <v>36</v>
      </c>
      <c r="W8" t="str">
        <f t="shared" si="8"/>
        <v>echo lootName6,DAIL/items/materia/class0006/Shaman6.dbr, &gt;&gt; .\items\loottables\dailoneskill0006.dbr</v>
      </c>
      <c r="X8" t="str">
        <f t="shared" si="8"/>
        <v>echo lootWeight6,1, &gt;&gt; .\items\loottables\dailoneskill0006.dbr</v>
      </c>
      <c r="Y8" s="5" t="s">
        <v>36</v>
      </c>
      <c r="Z8" t="str">
        <f t="shared" si="9"/>
        <v xml:space="preserve"> dailCompDescShaman6=^pShaman's Gift of DAIL</v>
      </c>
      <c r="AA8" t="str">
        <f t="shared" si="17"/>
        <v>dailCompTextShaman6=^oThis feels warm to the touch, almost familiar ^w(This component fits into all Jewellery slots including the Belt And Shoulder)</v>
      </c>
      <c r="AB8" s="5" t="s">
        <v>36</v>
      </c>
      <c r="AH8">
        <f t="shared" ref="AH8:AH71" si="19">AH7+1</f>
        <v>3</v>
      </c>
      <c r="AI8">
        <f t="shared" si="13"/>
        <v>35</v>
      </c>
      <c r="AJ8">
        <f t="shared" si="18"/>
        <v>1</v>
      </c>
      <c r="AK8" s="1">
        <v>3</v>
      </c>
      <c r="AL8">
        <f>AL7*2</f>
        <v>60</v>
      </c>
    </row>
    <row r="9" spans="1:38" x14ac:dyDescent="0.25">
      <c r="A9" s="5" t="s">
        <v>39</v>
      </c>
      <c r="B9" s="5" t="s">
        <v>0</v>
      </c>
      <c r="C9" s="5" t="str">
        <f t="shared" si="0"/>
        <v>description,dailCompDescShaman7,</v>
      </c>
      <c r="D9" s="5" t="str">
        <f t="shared" si="2"/>
        <v>itemText,dailCompTextShaman7,</v>
      </c>
      <c r="E9" s="5" t="str">
        <f t="shared" si="14"/>
        <v>augmentSkillLevel1,1,</v>
      </c>
      <c r="F9" s="5" t="str">
        <f t="shared" si="15"/>
        <v>augmentSkillName1,records/skills/playerclass06/summon_briarthorn1.dbr,</v>
      </c>
      <c r="G9" s="7">
        <f t="shared" si="10"/>
        <v>7</v>
      </c>
      <c r="H9" s="8" t="str">
        <f t="shared" si="11"/>
        <v>Shaman</v>
      </c>
      <c r="I9" s="3" t="s">
        <v>148</v>
      </c>
      <c r="J9" s="8" t="str">
        <f t="shared" si="12"/>
        <v>class0006</v>
      </c>
      <c r="K9" s="8" t="str">
        <f t="shared" si="12"/>
        <v>dailoneskill0006</v>
      </c>
      <c r="L9" s="5" t="str">
        <f t="shared" si="4"/>
        <v>lootName7,DAIL/items/materia/class0006/Shaman7.dbr,</v>
      </c>
      <c r="M9" s="5" t="str">
        <f t="shared" si="5"/>
        <v>lootWeight7,1,</v>
      </c>
      <c r="N9" t="str">
        <f t="shared" si="6"/>
        <v>1</v>
      </c>
      <c r="O9" t="str">
        <f t="shared" si="16"/>
        <v>copy .\dail_base.dbr .\items\materia\class0006\Shaman7.dbr /y</v>
      </c>
      <c r="P9" t="str">
        <f t="shared" si="7"/>
        <v>echo relicBitmap,items/craftingparts/components/component_a52_bristlyfur_b.tex, &gt;&gt; .\items\materia\class0006\Shaman7.dbr</v>
      </c>
      <c r="Q9" t="str">
        <f t="shared" si="1"/>
        <v>echo itemCost,100000, &gt;&gt; .\items\materia\class0006\Shaman7.dbr</v>
      </c>
      <c r="R9" t="str">
        <f t="shared" si="1"/>
        <v>echo description,dailCompDescShaman7, &gt;&gt; .\items\materia\class0006\Shaman7.dbr</v>
      </c>
      <c r="S9" t="str">
        <f t="shared" si="1"/>
        <v>echo itemText,dailCompTextShaman7, &gt;&gt; .\items\materia\class0006\Shaman7.dbr</v>
      </c>
      <c r="T9" t="str">
        <f t="shared" si="1"/>
        <v>echo augmentSkillLevel1,1, &gt;&gt; .\items\materia\class0006\Shaman7.dbr</v>
      </c>
      <c r="U9" t="str">
        <f t="shared" si="1"/>
        <v>echo augmentSkillName1,records/skills/playerclass06/summon_briarthorn1.dbr, &gt;&gt; .\items\materia\class0006\Shaman7.dbr</v>
      </c>
      <c r="V9" s="5" t="s">
        <v>36</v>
      </c>
      <c r="W9" t="str">
        <f t="shared" si="8"/>
        <v>echo lootName7,DAIL/items/materia/class0006/Shaman7.dbr, &gt;&gt; .\items\loottables\dailoneskill0006.dbr</v>
      </c>
      <c r="X9" t="str">
        <f t="shared" si="8"/>
        <v>echo lootWeight7,1, &gt;&gt; .\items\loottables\dailoneskill0006.dbr</v>
      </c>
      <c r="Y9" s="5" t="s">
        <v>36</v>
      </c>
      <c r="Z9" t="str">
        <f t="shared" si="9"/>
        <v xml:space="preserve"> dailCompDescShaman7=^pShaman's Gift of DAIL</v>
      </c>
      <c r="AA9" t="str">
        <f t="shared" si="17"/>
        <v>dailCompTextShaman7=^oThis feels warm to the touch, almost familiar ^w(This component fits into all Jewellery slots including the Belt And Shoulder)</v>
      </c>
      <c r="AB9" s="5" t="s">
        <v>36</v>
      </c>
      <c r="AH9">
        <f t="shared" si="19"/>
        <v>4</v>
      </c>
      <c r="AI9">
        <f t="shared" si="13"/>
        <v>37</v>
      </c>
      <c r="AJ9">
        <f t="shared" si="18"/>
        <v>1</v>
      </c>
      <c r="AK9" s="1">
        <v>5</v>
      </c>
      <c r="AL9">
        <f>AL6</f>
        <v>90</v>
      </c>
    </row>
    <row r="10" spans="1:38" x14ac:dyDescent="0.25">
      <c r="A10" s="5" t="s">
        <v>39</v>
      </c>
      <c r="B10" s="5" t="s">
        <v>0</v>
      </c>
      <c r="C10" s="5" t="str">
        <f t="shared" si="0"/>
        <v>description,dailCompDescShaman8,</v>
      </c>
      <c r="D10" s="5" t="str">
        <f t="shared" si="2"/>
        <v>itemText,dailCompTextShaman8,</v>
      </c>
      <c r="E10" s="5" t="str">
        <f t="shared" si="14"/>
        <v>augmentSkillLevel1,1,</v>
      </c>
      <c r="F10" s="5" t="str">
        <f t="shared" si="15"/>
        <v>augmentSkillName1,records/skills/playerclass06/summon_briarthorn2_petmodifier.dbr,</v>
      </c>
      <c r="G10" s="7">
        <f t="shared" si="10"/>
        <v>8</v>
      </c>
      <c r="H10" s="8" t="str">
        <f t="shared" si="11"/>
        <v>Shaman</v>
      </c>
      <c r="I10" s="3" t="s">
        <v>342</v>
      </c>
      <c r="J10" s="8" t="str">
        <f t="shared" si="12"/>
        <v>class0006</v>
      </c>
      <c r="K10" s="8" t="str">
        <f t="shared" si="12"/>
        <v>dailoneskill0006</v>
      </c>
      <c r="L10" s="5" t="str">
        <f t="shared" si="4"/>
        <v>lootName8,DAIL/items/materia/class0006/Shaman8.dbr,</v>
      </c>
      <c r="M10" s="5" t="str">
        <f t="shared" si="5"/>
        <v>lootWeight8,1,</v>
      </c>
      <c r="N10" t="str">
        <f t="shared" si="6"/>
        <v>1</v>
      </c>
      <c r="O10" t="str">
        <f t="shared" si="16"/>
        <v>copy .\dail_base.dbr .\items\materia\class0006\Shaman8.dbr /y</v>
      </c>
      <c r="P10" t="str">
        <f t="shared" si="7"/>
        <v>echo relicBitmap,items/craftingparts/components/component_a52_bristlyfur_b.tex, &gt;&gt; .\items\materia\class0006\Shaman8.dbr</v>
      </c>
      <c r="Q10" t="str">
        <f t="shared" si="1"/>
        <v>echo itemCost,100000, &gt;&gt; .\items\materia\class0006\Shaman8.dbr</v>
      </c>
      <c r="R10" t="str">
        <f t="shared" si="1"/>
        <v>echo description,dailCompDescShaman8, &gt;&gt; .\items\materia\class0006\Shaman8.dbr</v>
      </c>
      <c r="S10" t="str">
        <f t="shared" si="1"/>
        <v>echo itemText,dailCompTextShaman8, &gt;&gt; .\items\materia\class0006\Shaman8.dbr</v>
      </c>
      <c r="T10" t="str">
        <f t="shared" si="1"/>
        <v>echo augmentSkillLevel1,1, &gt;&gt; .\items\materia\class0006\Shaman8.dbr</v>
      </c>
      <c r="U10" t="str">
        <f t="shared" si="1"/>
        <v>echo augmentSkillName1,records/skills/playerclass06/summon_briarthorn2_petmodifier.dbr, &gt;&gt; .\items\materia\class0006\Shaman8.dbr</v>
      </c>
      <c r="V10" s="5" t="s">
        <v>36</v>
      </c>
      <c r="W10" t="str">
        <f t="shared" si="8"/>
        <v>echo lootName8,DAIL/items/materia/class0006/Shaman8.dbr, &gt;&gt; .\items\loottables\dailoneskill0006.dbr</v>
      </c>
      <c r="X10" t="str">
        <f t="shared" si="8"/>
        <v>echo lootWeight8,1, &gt;&gt; .\items\loottables\dailoneskill0006.dbr</v>
      </c>
      <c r="Y10" s="5" t="s">
        <v>36</v>
      </c>
      <c r="Z10" t="str">
        <f t="shared" si="9"/>
        <v xml:space="preserve"> dailCompDescShaman8=^pShaman's Gift of DAIL</v>
      </c>
      <c r="AA10" t="str">
        <f t="shared" si="17"/>
        <v>dailCompTextShaman8=^oThis feels warm to the touch, almost familiar ^w(This component fits into all Jewellery slots including the Belt And Shoulder)</v>
      </c>
      <c r="AB10" s="5" t="s">
        <v>36</v>
      </c>
      <c r="AH10">
        <f t="shared" si="19"/>
        <v>5</v>
      </c>
      <c r="AI10">
        <f t="shared" si="13"/>
        <v>49</v>
      </c>
      <c r="AJ10">
        <f t="shared" si="18"/>
        <v>1</v>
      </c>
    </row>
    <row r="11" spans="1:38" x14ac:dyDescent="0.25">
      <c r="A11" s="5" t="s">
        <v>39</v>
      </c>
      <c r="B11" s="5" t="s">
        <v>0</v>
      </c>
      <c r="C11" s="5" t="str">
        <f t="shared" si="0"/>
        <v>description,dailCompDescShaman9,</v>
      </c>
      <c r="D11" s="5" t="str">
        <f t="shared" si="2"/>
        <v>itemText,dailCompTextShaman9,</v>
      </c>
      <c r="E11" s="5" t="str">
        <f t="shared" si="14"/>
        <v>augmentSkillLevel1,1,</v>
      </c>
      <c r="F11" s="5" t="str">
        <f t="shared" si="15"/>
        <v>augmentSkillName1,records/skills/playerclass06/summon_briarthorn3_petmodifier.dbr,</v>
      </c>
      <c r="G11" s="7">
        <f t="shared" si="10"/>
        <v>9</v>
      </c>
      <c r="H11" s="8" t="str">
        <f t="shared" si="11"/>
        <v>Shaman</v>
      </c>
      <c r="I11" s="3" t="s">
        <v>343</v>
      </c>
      <c r="J11" s="8" t="str">
        <f t="shared" si="12"/>
        <v>class0006</v>
      </c>
      <c r="K11" s="8" t="str">
        <f t="shared" si="12"/>
        <v>dailoneskill0006</v>
      </c>
      <c r="L11" s="5" t="str">
        <f t="shared" si="4"/>
        <v>lootName9,DAIL/items/materia/class0006/Shaman9.dbr,</v>
      </c>
      <c r="M11" s="5" t="str">
        <f t="shared" si="5"/>
        <v>lootWeight9,1,</v>
      </c>
      <c r="N11" t="str">
        <f t="shared" si="6"/>
        <v>1</v>
      </c>
      <c r="O11" t="str">
        <f t="shared" si="16"/>
        <v>copy .\dail_base.dbr .\items\materia\class0006\Shaman9.dbr /y</v>
      </c>
      <c r="P11" t="str">
        <f t="shared" si="7"/>
        <v>echo relicBitmap,items/craftingparts/components/component_a52_bristlyfur_b.tex, &gt;&gt; .\items\materia\class0006\Shaman9.dbr</v>
      </c>
      <c r="Q11" t="str">
        <f t="shared" si="1"/>
        <v>echo itemCost,100000, &gt;&gt; .\items\materia\class0006\Shaman9.dbr</v>
      </c>
      <c r="R11" t="str">
        <f t="shared" si="1"/>
        <v>echo description,dailCompDescShaman9, &gt;&gt; .\items\materia\class0006\Shaman9.dbr</v>
      </c>
      <c r="S11" t="str">
        <f t="shared" si="1"/>
        <v>echo itemText,dailCompTextShaman9, &gt;&gt; .\items\materia\class0006\Shaman9.dbr</v>
      </c>
      <c r="T11" t="str">
        <f t="shared" si="1"/>
        <v>echo augmentSkillLevel1,1, &gt;&gt; .\items\materia\class0006\Shaman9.dbr</v>
      </c>
      <c r="U11" t="str">
        <f t="shared" si="1"/>
        <v>echo augmentSkillName1,records/skills/playerclass06/summon_briarthorn3_petmodifier.dbr, &gt;&gt; .\items\materia\class0006\Shaman9.dbr</v>
      </c>
      <c r="V11" s="5" t="s">
        <v>36</v>
      </c>
      <c r="W11" t="str">
        <f t="shared" si="8"/>
        <v>echo lootName9,DAIL/items/materia/class0006/Shaman9.dbr, &gt;&gt; .\items\loottables\dailoneskill0006.dbr</v>
      </c>
      <c r="X11" t="str">
        <f t="shared" si="8"/>
        <v>echo lootWeight9,1, &gt;&gt; .\items\loottables\dailoneskill0006.dbr</v>
      </c>
      <c r="Y11" s="5" t="s">
        <v>36</v>
      </c>
      <c r="Z11" t="str">
        <f t="shared" si="9"/>
        <v xml:space="preserve"> dailCompDescShaman9=^pShaman's Gift of DAIL</v>
      </c>
      <c r="AA11" t="str">
        <f t="shared" si="17"/>
        <v>dailCompTextShaman9=^oThis feels warm to the touch, almost familiar ^w(This component fits into all Jewellery slots including the Belt And Shoulder)</v>
      </c>
      <c r="AB11" s="5" t="s">
        <v>36</v>
      </c>
      <c r="AH11">
        <f t="shared" si="19"/>
        <v>6</v>
      </c>
      <c r="AI11">
        <f t="shared" si="13"/>
        <v>49</v>
      </c>
      <c r="AJ11">
        <f t="shared" si="18"/>
        <v>1</v>
      </c>
    </row>
    <row r="12" spans="1:38" x14ac:dyDescent="0.25">
      <c r="A12" s="5" t="s">
        <v>39</v>
      </c>
      <c r="B12" s="5" t="s">
        <v>0</v>
      </c>
      <c r="C12" s="5" t="str">
        <f t="shared" si="0"/>
        <v>description,dailCompDescShaman10,</v>
      </c>
      <c r="D12" s="5" t="str">
        <f t="shared" si="2"/>
        <v>itemText,dailCompTextShaman10,</v>
      </c>
      <c r="E12" s="5" t="str">
        <f t="shared" si="14"/>
        <v>augmentSkillLevel1,1,</v>
      </c>
      <c r="F12" s="5" t="str">
        <f t="shared" si="15"/>
        <v>augmentSkillName1,records/skills/playerclass06/primalbond01.dbr,</v>
      </c>
      <c r="G12" s="7">
        <f t="shared" si="10"/>
        <v>10</v>
      </c>
      <c r="H12" s="8" t="str">
        <f t="shared" si="11"/>
        <v>Shaman</v>
      </c>
      <c r="I12" s="3" t="s">
        <v>142</v>
      </c>
      <c r="J12" s="8" t="str">
        <f t="shared" si="12"/>
        <v>class0006</v>
      </c>
      <c r="K12" s="8" t="str">
        <f t="shared" si="12"/>
        <v>dailoneskill0006</v>
      </c>
      <c r="L12" s="5" t="str">
        <f t="shared" si="4"/>
        <v>lootName10,DAIL/items/materia/class0006/Shaman10.dbr,</v>
      </c>
      <c r="M12" s="5" t="str">
        <f t="shared" si="5"/>
        <v>lootWeight10,1,</v>
      </c>
      <c r="N12" t="str">
        <f t="shared" si="6"/>
        <v>1</v>
      </c>
      <c r="O12" t="str">
        <f t="shared" si="16"/>
        <v>copy .\dail_base.dbr .\items\materia\class0006\Shaman10.dbr /y</v>
      </c>
      <c r="P12" t="str">
        <f t="shared" si="7"/>
        <v>echo relicBitmap,items/craftingparts/components/component_a52_bristlyfur_b.tex, &gt;&gt; .\items\materia\class0006\Shaman10.dbr</v>
      </c>
      <c r="Q12" t="str">
        <f t="shared" si="1"/>
        <v>echo itemCost,100000, &gt;&gt; .\items\materia\class0006\Shaman10.dbr</v>
      </c>
      <c r="R12" t="str">
        <f t="shared" si="1"/>
        <v>echo description,dailCompDescShaman10, &gt;&gt; .\items\materia\class0006\Shaman10.dbr</v>
      </c>
      <c r="S12" t="str">
        <f t="shared" si="1"/>
        <v>echo itemText,dailCompTextShaman10, &gt;&gt; .\items\materia\class0006\Shaman10.dbr</v>
      </c>
      <c r="T12" t="str">
        <f t="shared" si="1"/>
        <v>echo augmentSkillLevel1,1, &gt;&gt; .\items\materia\class0006\Shaman10.dbr</v>
      </c>
      <c r="U12" t="str">
        <f t="shared" si="1"/>
        <v>echo augmentSkillName1,records/skills/playerclass06/primalbond01.dbr, &gt;&gt; .\items\materia\class0006\Shaman10.dbr</v>
      </c>
      <c r="V12" s="5" t="s">
        <v>36</v>
      </c>
      <c r="W12" t="str">
        <f t="shared" si="8"/>
        <v>echo lootName10,DAIL/items/materia/class0006/Shaman10.dbr, &gt;&gt; .\items\loottables\dailoneskill0006.dbr</v>
      </c>
      <c r="X12" t="str">
        <f t="shared" si="8"/>
        <v>echo lootWeight10,1, &gt;&gt; .\items\loottables\dailoneskill0006.dbr</v>
      </c>
      <c r="Y12" s="5" t="s">
        <v>36</v>
      </c>
      <c r="Z12" t="str">
        <f t="shared" si="9"/>
        <v xml:space="preserve"> dailCompDescShaman10=^pShaman's Gift of DAIL</v>
      </c>
      <c r="AA12" t="str">
        <f t="shared" si="17"/>
        <v>dailCompTextShaman10=^oThis feels warm to the touch, almost familiar ^w(This component fits into all Jewellery slots including the Belt And Shoulder)</v>
      </c>
      <c r="AB12" s="5" t="s">
        <v>36</v>
      </c>
      <c r="AH12">
        <f t="shared" si="19"/>
        <v>7</v>
      </c>
      <c r="AI12">
        <f t="shared" si="13"/>
        <v>31</v>
      </c>
      <c r="AJ12">
        <f t="shared" si="18"/>
        <v>1</v>
      </c>
    </row>
    <row r="13" spans="1:38" x14ac:dyDescent="0.25">
      <c r="A13" s="5" t="s">
        <v>39</v>
      </c>
      <c r="B13" s="5" t="s">
        <v>0</v>
      </c>
      <c r="C13" s="5" t="str">
        <f t="shared" si="0"/>
        <v>description,dailCompDescShaman11,</v>
      </c>
      <c r="D13" s="5" t="str">
        <f t="shared" si="2"/>
        <v>itemText,dailCompTextShaman11,</v>
      </c>
      <c r="E13" s="5" t="str">
        <f t="shared" si="14"/>
        <v>augmentSkillLevel1,1,</v>
      </c>
      <c r="F13" s="5" t="str">
        <f t="shared" si="15"/>
        <v>augmentSkillName1,records/skills/playerclass06/stormcaller1.dbr,</v>
      </c>
      <c r="G13" s="7">
        <f t="shared" si="10"/>
        <v>11</v>
      </c>
      <c r="H13" s="8" t="str">
        <f t="shared" si="11"/>
        <v>Shaman</v>
      </c>
      <c r="I13" s="3" t="s">
        <v>146</v>
      </c>
      <c r="J13" s="8" t="str">
        <f t="shared" si="12"/>
        <v>class0006</v>
      </c>
      <c r="K13" s="8" t="str">
        <f t="shared" si="12"/>
        <v>dailoneskill0006</v>
      </c>
      <c r="L13" s="5" t="str">
        <f t="shared" si="4"/>
        <v>lootName11,DAIL/items/materia/class0006/Shaman11.dbr,</v>
      </c>
      <c r="M13" s="5" t="str">
        <f t="shared" si="5"/>
        <v>lootWeight11,1,</v>
      </c>
      <c r="N13" t="str">
        <f t="shared" si="6"/>
        <v>1</v>
      </c>
      <c r="O13" t="str">
        <f t="shared" si="16"/>
        <v>copy .\dail_base.dbr .\items\materia\class0006\Shaman11.dbr /y</v>
      </c>
      <c r="P13" t="str">
        <f t="shared" si="7"/>
        <v>echo relicBitmap,items/craftingparts/components/component_a52_bristlyfur_b.tex, &gt;&gt; .\items\materia\class0006\Shaman11.dbr</v>
      </c>
      <c r="Q13" t="str">
        <f t="shared" si="1"/>
        <v>echo itemCost,100000, &gt;&gt; .\items\materia\class0006\Shaman11.dbr</v>
      </c>
      <c r="R13" t="str">
        <f t="shared" si="1"/>
        <v>echo description,dailCompDescShaman11, &gt;&gt; .\items\materia\class0006\Shaman11.dbr</v>
      </c>
      <c r="S13" t="str">
        <f t="shared" si="1"/>
        <v>echo itemText,dailCompTextShaman11, &gt;&gt; .\items\materia\class0006\Shaman11.dbr</v>
      </c>
      <c r="T13" t="str">
        <f t="shared" si="1"/>
        <v>echo augmentSkillLevel1,1, &gt;&gt; .\items\materia\class0006\Shaman11.dbr</v>
      </c>
      <c r="U13" t="str">
        <f t="shared" si="1"/>
        <v>echo augmentSkillName1,records/skills/playerclass06/stormcaller1.dbr, &gt;&gt; .\items\materia\class0006\Shaman11.dbr</v>
      </c>
      <c r="V13" s="5" t="s">
        <v>36</v>
      </c>
      <c r="W13" t="str">
        <f t="shared" si="8"/>
        <v>echo lootName11,DAIL/items/materia/class0006/Shaman11.dbr, &gt;&gt; .\items\loottables\dailoneskill0006.dbr</v>
      </c>
      <c r="X13" t="str">
        <f t="shared" si="8"/>
        <v>echo lootWeight11,1, &gt;&gt; .\items\loottables\dailoneskill0006.dbr</v>
      </c>
      <c r="Y13" s="5" t="s">
        <v>36</v>
      </c>
      <c r="Z13" t="str">
        <f t="shared" si="9"/>
        <v xml:space="preserve"> dailCompDescShaman11=^pShaman's Gift of DAIL</v>
      </c>
      <c r="AA13" t="str">
        <f t="shared" si="17"/>
        <v>dailCompTextShaman11=^oThis feels warm to the touch, almost familiar ^w(This component fits into all Jewellery slots including the Belt And Shoulder)</v>
      </c>
      <c r="AB13" s="5" t="s">
        <v>36</v>
      </c>
      <c r="AH13">
        <f t="shared" si="19"/>
        <v>8</v>
      </c>
      <c r="AI13">
        <f t="shared" si="13"/>
        <v>31</v>
      </c>
      <c r="AJ13">
        <f t="shared" si="18"/>
        <v>1</v>
      </c>
    </row>
    <row r="14" spans="1:38" x14ac:dyDescent="0.25">
      <c r="A14" s="5" t="s">
        <v>39</v>
      </c>
      <c r="B14" s="5" t="s">
        <v>0</v>
      </c>
      <c r="C14" s="5" t="str">
        <f t="shared" si="0"/>
        <v>description,dailCompDescShaman12,</v>
      </c>
      <c r="D14" s="5" t="str">
        <f t="shared" si="2"/>
        <v>itemText,dailCompTextShaman12,</v>
      </c>
      <c r="E14" s="5" t="str">
        <f t="shared" si="14"/>
        <v>augmentSkillLevel1,1,</v>
      </c>
      <c r="F14" s="5" t="str">
        <f t="shared" si="15"/>
        <v>augmentSkillName1,records/skills/playerclass06/totem1.dbr,</v>
      </c>
      <c r="G14" s="7">
        <f t="shared" si="10"/>
        <v>12</v>
      </c>
      <c r="H14" s="8" t="str">
        <f t="shared" si="11"/>
        <v>Shaman</v>
      </c>
      <c r="I14" s="3" t="s">
        <v>150</v>
      </c>
      <c r="J14" s="8" t="str">
        <f t="shared" si="12"/>
        <v>class0006</v>
      </c>
      <c r="K14" s="8" t="str">
        <f t="shared" si="12"/>
        <v>dailoneskill0006</v>
      </c>
      <c r="L14" s="5" t="str">
        <f t="shared" si="4"/>
        <v>lootName12,DAIL/items/materia/class0006/Shaman12.dbr,</v>
      </c>
      <c r="M14" s="5" t="str">
        <f t="shared" si="5"/>
        <v>lootWeight12,1,</v>
      </c>
      <c r="N14" t="str">
        <f t="shared" si="6"/>
        <v>1</v>
      </c>
      <c r="O14" t="str">
        <f t="shared" si="16"/>
        <v>copy .\dail_base.dbr .\items\materia\class0006\Shaman12.dbr /y</v>
      </c>
      <c r="P14" t="str">
        <f t="shared" si="7"/>
        <v>echo relicBitmap,items/craftingparts/components/component_a52_bristlyfur_b.tex, &gt;&gt; .\items\materia\class0006\Shaman12.dbr</v>
      </c>
      <c r="Q14" t="str">
        <f t="shared" si="1"/>
        <v>echo itemCost,100000, &gt;&gt; .\items\materia\class0006\Shaman12.dbr</v>
      </c>
      <c r="R14" t="str">
        <f t="shared" si="1"/>
        <v>echo description,dailCompDescShaman12, &gt;&gt; .\items\materia\class0006\Shaman12.dbr</v>
      </c>
      <c r="S14" t="str">
        <f t="shared" si="1"/>
        <v>echo itemText,dailCompTextShaman12, &gt;&gt; .\items\materia\class0006\Shaman12.dbr</v>
      </c>
      <c r="T14" t="str">
        <f t="shared" si="1"/>
        <v>echo augmentSkillLevel1,1, &gt;&gt; .\items\materia\class0006\Shaman12.dbr</v>
      </c>
      <c r="U14" t="str">
        <f t="shared" si="1"/>
        <v>echo augmentSkillName1,records/skills/playerclass06/totem1.dbr, &gt;&gt; .\items\materia\class0006\Shaman12.dbr</v>
      </c>
      <c r="V14" s="5" t="s">
        <v>36</v>
      </c>
      <c r="W14" t="str">
        <f t="shared" si="8"/>
        <v>echo lootName12,DAIL/items/materia/class0006/Shaman12.dbr, &gt;&gt; .\items\loottables\dailoneskill0006.dbr</v>
      </c>
      <c r="X14" t="str">
        <f t="shared" si="8"/>
        <v>echo lootWeight12,1, &gt;&gt; .\items\loottables\dailoneskill0006.dbr</v>
      </c>
      <c r="Y14" s="5" t="s">
        <v>36</v>
      </c>
      <c r="Z14" t="str">
        <f t="shared" si="9"/>
        <v xml:space="preserve"> dailCompDescShaman12=^pShaman's Gift of DAIL</v>
      </c>
      <c r="AA14" t="str">
        <f t="shared" si="17"/>
        <v>dailCompTextShaman12=^oThis feels warm to the touch, almost familiar ^w(This component fits into all Jewellery slots including the Belt And Shoulder)</v>
      </c>
      <c r="AB14" s="5" t="s">
        <v>36</v>
      </c>
      <c r="AH14">
        <f t="shared" si="19"/>
        <v>9</v>
      </c>
      <c r="AI14">
        <f t="shared" si="13"/>
        <v>25</v>
      </c>
      <c r="AJ14">
        <f t="shared" si="18"/>
        <v>1</v>
      </c>
    </row>
    <row r="15" spans="1:38" x14ac:dyDescent="0.25">
      <c r="A15" s="5" t="s">
        <v>39</v>
      </c>
      <c r="B15" s="5" t="s">
        <v>0</v>
      </c>
      <c r="C15" s="5" t="str">
        <f t="shared" si="0"/>
        <v>description,dailCompDescShaman13,</v>
      </c>
      <c r="D15" s="5" t="str">
        <f t="shared" si="2"/>
        <v>itemText,dailCompTextShaman13,</v>
      </c>
      <c r="E15" s="5" t="str">
        <f t="shared" si="14"/>
        <v>augmentSkillLevel1,1,</v>
      </c>
      <c r="F15" s="5" t="str">
        <f t="shared" si="15"/>
        <v>augmentSkillName1,records/skills/playerclass06/totem2_petmodifier.dbr,</v>
      </c>
      <c r="G15" s="7">
        <f t="shared" si="10"/>
        <v>13</v>
      </c>
      <c r="H15" s="8" t="str">
        <f t="shared" si="11"/>
        <v>Shaman</v>
      </c>
      <c r="I15" s="3" t="s">
        <v>344</v>
      </c>
      <c r="J15" s="8" t="str">
        <f t="shared" si="12"/>
        <v>class0006</v>
      </c>
      <c r="K15" s="8" t="str">
        <f t="shared" si="12"/>
        <v>dailoneskill0006</v>
      </c>
      <c r="L15" s="5" t="str">
        <f t="shared" si="4"/>
        <v>lootName13,DAIL/items/materia/class0006/Shaman13.dbr,</v>
      </c>
      <c r="M15" s="5" t="str">
        <f t="shared" si="5"/>
        <v>lootWeight13,1,</v>
      </c>
      <c r="N15" t="str">
        <f t="shared" si="6"/>
        <v>1</v>
      </c>
      <c r="O15" t="str">
        <f t="shared" si="16"/>
        <v>copy .\dail_base.dbr .\items\materia\class0006\Shaman13.dbr /y</v>
      </c>
      <c r="P15" t="str">
        <f t="shared" si="7"/>
        <v>echo relicBitmap,items/craftingparts/components/component_a52_bristlyfur_b.tex, &gt;&gt; .\items\materia\class0006\Shaman13.dbr</v>
      </c>
      <c r="Q15" t="str">
        <f t="shared" si="1"/>
        <v>echo itemCost,100000, &gt;&gt; .\items\materia\class0006\Shaman13.dbr</v>
      </c>
      <c r="R15" t="str">
        <f t="shared" si="1"/>
        <v>echo description,dailCompDescShaman13, &gt;&gt; .\items\materia\class0006\Shaman13.dbr</v>
      </c>
      <c r="S15" t="str">
        <f t="shared" si="1"/>
        <v>echo itemText,dailCompTextShaman13, &gt;&gt; .\items\materia\class0006\Shaman13.dbr</v>
      </c>
      <c r="T15" t="str">
        <f t="shared" si="1"/>
        <v>echo augmentSkillLevel1,1, &gt;&gt; .\items\materia\class0006\Shaman13.dbr</v>
      </c>
      <c r="U15" t="str">
        <f t="shared" si="1"/>
        <v>echo augmentSkillName1,records/skills/playerclass06/totem2_petmodifier.dbr, &gt;&gt; .\items\materia\class0006\Shaman13.dbr</v>
      </c>
      <c r="V15" s="5" t="s">
        <v>36</v>
      </c>
      <c r="W15" t="str">
        <f t="shared" si="8"/>
        <v>echo lootName13,DAIL/items/materia/class0006/Shaman13.dbr, &gt;&gt; .\items\loottables\dailoneskill0006.dbr</v>
      </c>
      <c r="X15" t="str">
        <f t="shared" si="8"/>
        <v>echo lootWeight13,1, &gt;&gt; .\items\loottables\dailoneskill0006.dbr</v>
      </c>
      <c r="Y15" s="5" t="s">
        <v>36</v>
      </c>
      <c r="Z15" t="str">
        <f t="shared" si="9"/>
        <v xml:space="preserve"> dailCompDescShaman13=^pShaman's Gift of DAIL</v>
      </c>
      <c r="AA15" t="str">
        <f t="shared" si="17"/>
        <v>dailCompTextShaman13=^oThis feels warm to the touch, almost familiar ^w(This component fits into all Jewellery slots including the Belt And Shoulder)</v>
      </c>
      <c r="AB15" s="5" t="s">
        <v>36</v>
      </c>
      <c r="AH15">
        <f t="shared" si="19"/>
        <v>10</v>
      </c>
      <c r="AI15">
        <f t="shared" si="13"/>
        <v>37</v>
      </c>
      <c r="AJ15">
        <f t="shared" si="18"/>
        <v>1</v>
      </c>
    </row>
    <row r="16" spans="1:38" x14ac:dyDescent="0.25">
      <c r="A16" s="5" t="s">
        <v>39</v>
      </c>
      <c r="B16" s="5" t="s">
        <v>0</v>
      </c>
      <c r="C16" s="5" t="str">
        <f t="shared" si="0"/>
        <v>description,dailCompDescShaman14,</v>
      </c>
      <c r="D16" s="5" t="str">
        <f t="shared" si="2"/>
        <v>itemText,dailCompTextShaman14,</v>
      </c>
      <c r="E16" s="5" t="str">
        <f t="shared" si="14"/>
        <v>augmentSkillLevel1,1,</v>
      </c>
      <c r="F16" s="5" t="str">
        <f t="shared" si="15"/>
        <v>augmentSkillName1,records/skills/playerclass06/savagery1.dbr,</v>
      </c>
      <c r="G16" s="7">
        <f t="shared" si="10"/>
        <v>14</v>
      </c>
      <c r="H16" s="8" t="str">
        <f t="shared" si="11"/>
        <v>Shaman</v>
      </c>
      <c r="I16" s="3" t="s">
        <v>143</v>
      </c>
      <c r="J16" s="8" t="str">
        <f t="shared" si="12"/>
        <v>class0006</v>
      </c>
      <c r="K16" s="8" t="str">
        <f t="shared" si="12"/>
        <v>dailoneskill0006</v>
      </c>
      <c r="L16" s="5" t="str">
        <f t="shared" si="4"/>
        <v>lootName14,DAIL/items/materia/class0006/Shaman14.dbr,</v>
      </c>
      <c r="M16" s="5" t="str">
        <f t="shared" si="5"/>
        <v>lootWeight14,1,</v>
      </c>
      <c r="N16" t="str">
        <f t="shared" si="6"/>
        <v>1</v>
      </c>
      <c r="O16" t="str">
        <f t="shared" si="16"/>
        <v>copy .\dail_base.dbr .\items\materia\class0006\Shaman14.dbr /y</v>
      </c>
      <c r="P16" t="str">
        <f t="shared" si="7"/>
        <v>echo relicBitmap,items/craftingparts/components/component_a52_bristlyfur_b.tex, &gt;&gt; .\items\materia\class0006\Shaman14.dbr</v>
      </c>
      <c r="Q16" t="str">
        <f t="shared" si="1"/>
        <v>echo itemCost,100000, &gt;&gt; .\items\materia\class0006\Shaman14.dbr</v>
      </c>
      <c r="R16" t="str">
        <f t="shared" si="1"/>
        <v>echo description,dailCompDescShaman14, &gt;&gt; .\items\materia\class0006\Shaman14.dbr</v>
      </c>
      <c r="S16" t="str">
        <f t="shared" si="1"/>
        <v>echo itemText,dailCompTextShaman14, &gt;&gt; .\items\materia\class0006\Shaman14.dbr</v>
      </c>
      <c r="T16" t="str">
        <f t="shared" si="1"/>
        <v>echo augmentSkillLevel1,1, &gt;&gt; .\items\materia\class0006\Shaman14.dbr</v>
      </c>
      <c r="U16" t="str">
        <f t="shared" si="1"/>
        <v>echo augmentSkillName1,records/skills/playerclass06/savagery1.dbr, &gt;&gt; .\items\materia\class0006\Shaman14.dbr</v>
      </c>
      <c r="V16" s="5" t="s">
        <v>36</v>
      </c>
      <c r="W16" t="str">
        <f t="shared" si="8"/>
        <v>echo lootName14,DAIL/items/materia/class0006/Shaman14.dbr, &gt;&gt; .\items\loottables\dailoneskill0006.dbr</v>
      </c>
      <c r="X16" t="str">
        <f t="shared" si="8"/>
        <v>echo lootWeight14,1, &gt;&gt; .\items\loottables\dailoneskill0006.dbr</v>
      </c>
      <c r="Y16" s="5" t="s">
        <v>36</v>
      </c>
      <c r="Z16" t="str">
        <f t="shared" si="9"/>
        <v xml:space="preserve"> dailCompDescShaman14=^pShaman's Gift of DAIL</v>
      </c>
      <c r="AA16" t="str">
        <f t="shared" si="17"/>
        <v>dailCompTextShaman14=^oThis feels warm to the touch, almost familiar ^w(This component fits into all Jewellery slots including the Belt And Shoulder)</v>
      </c>
      <c r="AB16" s="5" t="s">
        <v>36</v>
      </c>
      <c r="AH16">
        <f t="shared" si="19"/>
        <v>11</v>
      </c>
      <c r="AI16">
        <f t="shared" si="13"/>
        <v>28</v>
      </c>
      <c r="AJ16">
        <f t="shared" si="18"/>
        <v>1</v>
      </c>
    </row>
    <row r="17" spans="1:36" x14ac:dyDescent="0.25">
      <c r="A17" s="5" t="s">
        <v>39</v>
      </c>
      <c r="B17" s="5" t="s">
        <v>0</v>
      </c>
      <c r="C17" s="5" t="str">
        <f t="shared" si="0"/>
        <v>description,dailCompDescShaman15,</v>
      </c>
      <c r="D17" s="5" t="str">
        <f t="shared" si="2"/>
        <v>itemText,dailCompTextShaman15,</v>
      </c>
      <c r="E17" s="5" t="str">
        <f t="shared" si="14"/>
        <v>augmentSkillLevel1,1,</v>
      </c>
      <c r="F17" s="5" t="str">
        <f t="shared" si="15"/>
        <v>augmentSkillName1,records/skills/playerclass06/devouringswarm1.dbr,</v>
      </c>
      <c r="G17" s="7">
        <f t="shared" si="10"/>
        <v>15</v>
      </c>
      <c r="H17" s="8" t="str">
        <f t="shared" si="11"/>
        <v>Shaman</v>
      </c>
      <c r="I17" s="3" t="s">
        <v>139</v>
      </c>
      <c r="J17" s="8" t="str">
        <f t="shared" si="12"/>
        <v>class0006</v>
      </c>
      <c r="K17" s="8" t="str">
        <f t="shared" si="12"/>
        <v>dailoneskill0006</v>
      </c>
      <c r="L17" s="5" t="str">
        <f t="shared" si="4"/>
        <v>lootName15,DAIL/items/materia/class0006/Shaman15.dbr,</v>
      </c>
      <c r="M17" s="5" t="str">
        <f t="shared" si="5"/>
        <v>lootWeight15,1,</v>
      </c>
      <c r="N17" t="str">
        <f t="shared" si="6"/>
        <v>1</v>
      </c>
      <c r="O17" t="str">
        <f t="shared" si="16"/>
        <v>copy .\dail_base.dbr .\items\materia\class0006\Shaman15.dbr /y</v>
      </c>
      <c r="P17" t="str">
        <f t="shared" si="7"/>
        <v>echo relicBitmap,items/craftingparts/components/component_a52_bristlyfur_b.tex, &gt;&gt; .\items\materia\class0006\Shaman15.dbr</v>
      </c>
      <c r="Q17" t="str">
        <f t="shared" si="1"/>
        <v>echo itemCost,100000, &gt;&gt; .\items\materia\class0006\Shaman15.dbr</v>
      </c>
      <c r="R17" t="str">
        <f t="shared" si="1"/>
        <v>echo description,dailCompDescShaman15, &gt;&gt; .\items\materia\class0006\Shaman15.dbr</v>
      </c>
      <c r="S17" t="str">
        <f t="shared" si="1"/>
        <v>echo itemText,dailCompTextShaman15, &gt;&gt; .\items\materia\class0006\Shaman15.dbr</v>
      </c>
      <c r="T17" t="str">
        <f t="shared" si="1"/>
        <v>echo augmentSkillLevel1,1, &gt;&gt; .\items\materia\class0006\Shaman15.dbr</v>
      </c>
      <c r="U17" t="str">
        <f t="shared" si="1"/>
        <v>echo augmentSkillName1,records/skills/playerclass06/devouringswarm1.dbr, &gt;&gt; .\items\materia\class0006\Shaman15.dbr</v>
      </c>
      <c r="V17" s="5" t="s">
        <v>36</v>
      </c>
      <c r="W17" t="str">
        <f t="shared" si="8"/>
        <v>echo lootName15,DAIL/items/materia/class0006/Shaman15.dbr, &gt;&gt; .\items\loottables\dailoneskill0006.dbr</v>
      </c>
      <c r="X17" t="str">
        <f t="shared" si="8"/>
        <v>echo lootWeight15,1, &gt;&gt; .\items\loottables\dailoneskill0006.dbr</v>
      </c>
      <c r="Y17" s="5" t="s">
        <v>36</v>
      </c>
      <c r="Z17" t="str">
        <f t="shared" si="9"/>
        <v xml:space="preserve"> dailCompDescShaman15=^pShaman's Gift of DAIL</v>
      </c>
      <c r="AA17" t="str">
        <f t="shared" si="17"/>
        <v>dailCompTextShaman15=^oThis feels warm to the touch, almost familiar ^w(This component fits into all Jewellery slots including the Belt And Shoulder)</v>
      </c>
      <c r="AB17" s="5" t="s">
        <v>36</v>
      </c>
      <c r="AH17">
        <f t="shared" si="19"/>
        <v>12</v>
      </c>
      <c r="AI17">
        <f t="shared" si="13"/>
        <v>34</v>
      </c>
      <c r="AJ17">
        <f t="shared" si="18"/>
        <v>1</v>
      </c>
    </row>
    <row r="18" spans="1:36" x14ac:dyDescent="0.25">
      <c r="A18" s="5" t="s">
        <v>39</v>
      </c>
      <c r="B18" s="5" t="s">
        <v>0</v>
      </c>
      <c r="C18" s="5" t="str">
        <f t="shared" si="0"/>
        <v>description,dailCompDescShaman16,</v>
      </c>
      <c r="D18" s="5" t="str">
        <f t="shared" si="2"/>
        <v>itemText,dailCompTextShaman16,</v>
      </c>
      <c r="E18" s="5" t="str">
        <f t="shared" si="14"/>
        <v>augmentSkillLevel1,1,</v>
      </c>
      <c r="F18" s="5" t="str">
        <f t="shared" si="15"/>
        <v>augmentSkillName1,records/skills/playerclass06/squall1.dbr,</v>
      </c>
      <c r="G18" s="7">
        <f t="shared" si="10"/>
        <v>16</v>
      </c>
      <c r="H18" s="8" t="str">
        <f t="shared" si="11"/>
        <v>Shaman</v>
      </c>
      <c r="I18" s="3" t="s">
        <v>145</v>
      </c>
      <c r="J18" s="8" t="str">
        <f t="shared" si="12"/>
        <v>class0006</v>
      </c>
      <c r="K18" s="8" t="str">
        <f t="shared" si="12"/>
        <v>dailoneskill0006</v>
      </c>
      <c r="L18" s="5" t="str">
        <f t="shared" si="4"/>
        <v>lootName16,DAIL/items/materia/class0006/Shaman16.dbr,</v>
      </c>
      <c r="M18" s="5" t="str">
        <f t="shared" si="5"/>
        <v>lootWeight16,1,</v>
      </c>
      <c r="N18" t="str">
        <f t="shared" si="6"/>
        <v>1</v>
      </c>
      <c r="O18" t="str">
        <f t="shared" si="16"/>
        <v>copy .\dail_base.dbr .\items\materia\class0006\Shaman16.dbr /y</v>
      </c>
      <c r="P18" t="str">
        <f t="shared" si="7"/>
        <v>echo relicBitmap,items/craftingparts/components/component_a52_bristlyfur_b.tex, &gt;&gt; .\items\materia\class0006\Shaman16.dbr</v>
      </c>
      <c r="Q18" t="str">
        <f t="shared" si="1"/>
        <v>echo itemCost,100000, &gt;&gt; .\items\materia\class0006\Shaman16.dbr</v>
      </c>
      <c r="R18" t="str">
        <f t="shared" si="1"/>
        <v>echo description,dailCompDescShaman16, &gt;&gt; .\items\materia\class0006\Shaman16.dbr</v>
      </c>
      <c r="S18" t="str">
        <f t="shared" si="1"/>
        <v>echo itemText,dailCompTextShaman16, &gt;&gt; .\items\materia\class0006\Shaman16.dbr</v>
      </c>
      <c r="T18" t="str">
        <f t="shared" si="1"/>
        <v>echo augmentSkillLevel1,1, &gt;&gt; .\items\materia\class0006\Shaman16.dbr</v>
      </c>
      <c r="U18" t="str">
        <f t="shared" si="1"/>
        <v>echo augmentSkillName1,records/skills/playerclass06/squall1.dbr, &gt;&gt; .\items\materia\class0006\Shaman16.dbr</v>
      </c>
      <c r="V18" s="5" t="s">
        <v>36</v>
      </c>
      <c r="W18" t="str">
        <f t="shared" si="8"/>
        <v>echo lootName16,DAIL/items/materia/class0006/Shaman16.dbr, &gt;&gt; .\items\loottables\dailoneskill0006.dbr</v>
      </c>
      <c r="X18" t="str">
        <f t="shared" si="8"/>
        <v>echo lootWeight16,1, &gt;&gt; .\items\loottables\dailoneskill0006.dbr</v>
      </c>
      <c r="Y18" s="5" t="s">
        <v>36</v>
      </c>
      <c r="Z18" t="str">
        <f t="shared" si="9"/>
        <v xml:space="preserve"> dailCompDescShaman16=^pShaman's Gift of DAIL</v>
      </c>
      <c r="AA18" t="str">
        <f t="shared" si="17"/>
        <v>dailCompTextShaman16=^oThis feels warm to the touch, almost familiar ^w(This component fits into all Jewellery slots including the Belt And Shoulder)</v>
      </c>
      <c r="AB18" s="5" t="s">
        <v>36</v>
      </c>
      <c r="AH18">
        <f t="shared" si="19"/>
        <v>13</v>
      </c>
      <c r="AI18">
        <f t="shared" si="13"/>
        <v>26</v>
      </c>
      <c r="AJ18">
        <f t="shared" si="18"/>
        <v>1</v>
      </c>
    </row>
    <row r="19" spans="1:36" x14ac:dyDescent="0.25">
      <c r="A19" s="5" t="s">
        <v>39</v>
      </c>
      <c r="B19" s="5" t="s">
        <v>28</v>
      </c>
      <c r="C19" s="5" t="str">
        <f t="shared" si="0"/>
        <v>description,dailCompDescShaman17,</v>
      </c>
      <c r="D19" s="5" t="str">
        <f t="shared" si="2"/>
        <v>itemText,dailCompTextShaman17,</v>
      </c>
      <c r="E19" s="5" t="str">
        <f t="shared" si="14"/>
        <v>augmentSkillLevel1,1,</v>
      </c>
      <c r="F19" s="5" t="str">
        <f t="shared" si="15"/>
        <v>augmentSkillName1,records/skills/playerclass06/squall2.dbr,</v>
      </c>
      <c r="G19" s="7">
        <f t="shared" si="10"/>
        <v>17</v>
      </c>
      <c r="H19" s="8" t="str">
        <f t="shared" si="11"/>
        <v>Shaman</v>
      </c>
      <c r="I19" s="3" t="s">
        <v>345</v>
      </c>
      <c r="J19" s="8" t="str">
        <f t="shared" si="12"/>
        <v>class0006</v>
      </c>
      <c r="K19" s="8" t="str">
        <f t="shared" si="12"/>
        <v>dailoneskill0006</v>
      </c>
      <c r="L19" s="5" t="str">
        <f t="shared" si="4"/>
        <v>lootName17,DAIL/items/materia/class0006/Shaman17.dbr,</v>
      </c>
      <c r="M19" s="5" t="str">
        <f t="shared" si="5"/>
        <v>lootWeight17,1,</v>
      </c>
      <c r="N19" t="str">
        <f t="shared" si="6"/>
        <v>1</v>
      </c>
      <c r="O19" t="str">
        <f t="shared" si="16"/>
        <v>copy .\dail_base.dbr .\items\materia\class0006\Shaman17.dbr /y</v>
      </c>
      <c r="P19" t="str">
        <f t="shared" si="7"/>
        <v>echo relicBitmap,items/craftingparts/components/component_a52_bristlyfur_b.tex, &gt;&gt; .\items\materia\class0006\Shaman17.dbr</v>
      </c>
      <c r="Q19" t="str">
        <f t="shared" si="7"/>
        <v>echo itemCost,300000, &gt;&gt; .\items\materia\class0006\Shaman17.dbr</v>
      </c>
      <c r="R19" t="str">
        <f t="shared" si="7"/>
        <v>echo description,dailCompDescShaman17, &gt;&gt; .\items\materia\class0006\Shaman17.dbr</v>
      </c>
      <c r="S19" t="str">
        <f t="shared" si="7"/>
        <v>echo itemText,dailCompTextShaman17, &gt;&gt; .\items\materia\class0006\Shaman17.dbr</v>
      </c>
      <c r="T19" t="str">
        <f t="shared" si="7"/>
        <v>echo augmentSkillLevel1,1, &gt;&gt; .\items\materia\class0006\Shaman17.dbr</v>
      </c>
      <c r="U19" t="str">
        <f t="shared" si="7"/>
        <v>echo augmentSkillName1,records/skills/playerclass06/squall2.dbr, &gt;&gt; .\items\materia\class0006\Shaman17.dbr</v>
      </c>
      <c r="V19" s="5" t="s">
        <v>36</v>
      </c>
      <c r="W19" t="str">
        <f t="shared" si="8"/>
        <v>echo lootName17,DAIL/items/materia/class0006/Shaman17.dbr, &gt;&gt; .\items\loottables\dailoneskill0006.dbr</v>
      </c>
      <c r="X19" t="str">
        <f t="shared" si="8"/>
        <v>echo lootWeight17,1, &gt;&gt; .\items\loottables\dailoneskill0006.dbr</v>
      </c>
      <c r="Y19" s="5" t="s">
        <v>36</v>
      </c>
      <c r="Z19" t="str">
        <f t="shared" si="9"/>
        <v xml:space="preserve"> dailCompDescShaman17=^pShaman's Gift of DAIL</v>
      </c>
      <c r="AA19" t="str">
        <f t="shared" si="17"/>
        <v>dailCompTextShaman17=^oThis feels warm to the touch, almost familiar ^w(This component fits into all Jewellery slots including the Belt And Shoulder)</v>
      </c>
      <c r="AB19" s="5" t="s">
        <v>36</v>
      </c>
      <c r="AH19">
        <f t="shared" si="19"/>
        <v>14</v>
      </c>
      <c r="AI19">
        <f t="shared" si="13"/>
        <v>26</v>
      </c>
      <c r="AJ19">
        <f t="shared" si="18"/>
        <v>1</v>
      </c>
    </row>
    <row r="20" spans="1:36" x14ac:dyDescent="0.25">
      <c r="A20" s="5" t="s">
        <v>39</v>
      </c>
      <c r="B20" s="5" t="s">
        <v>28</v>
      </c>
      <c r="C20" s="5" t="str">
        <f t="shared" si="0"/>
        <v>description,dailCompDescShaman18,</v>
      </c>
      <c r="D20" s="5" t="str">
        <f t="shared" si="2"/>
        <v>itemText,dailCompTextShaman18,</v>
      </c>
      <c r="E20" s="5" t="str">
        <f t="shared" si="14"/>
        <v>augmentSkillLevel1,1,</v>
      </c>
      <c r="F20" s="5" t="str">
        <f t="shared" si="15"/>
        <v>augmentSkillName1,records/skills/playerclass06/squall3.dbr,</v>
      </c>
      <c r="G20" s="7">
        <f t="shared" si="10"/>
        <v>18</v>
      </c>
      <c r="H20" s="8" t="str">
        <f t="shared" si="11"/>
        <v>Shaman</v>
      </c>
      <c r="I20" s="3" t="s">
        <v>346</v>
      </c>
      <c r="J20" s="8" t="str">
        <f t="shared" si="12"/>
        <v>class0006</v>
      </c>
      <c r="K20" s="8" t="str">
        <f t="shared" si="12"/>
        <v>dailoneskill0006</v>
      </c>
      <c r="L20" s="5" t="str">
        <f t="shared" si="4"/>
        <v>lootName18,DAIL/items/materia/class0006/Shaman18.dbr,</v>
      </c>
      <c r="M20" s="5" t="str">
        <f t="shared" si="5"/>
        <v>lootWeight18,1,</v>
      </c>
      <c r="N20" t="str">
        <f t="shared" si="6"/>
        <v>1</v>
      </c>
      <c r="O20" t="str">
        <f t="shared" si="16"/>
        <v>copy .\dail_base.dbr .\items\materia\class0006\Shaman18.dbr /y</v>
      </c>
      <c r="P20" t="str">
        <f t="shared" si="7"/>
        <v>echo relicBitmap,items/craftingparts/components/component_a52_bristlyfur_b.tex, &gt;&gt; .\items\materia\class0006\Shaman18.dbr</v>
      </c>
      <c r="Q20" t="str">
        <f t="shared" si="7"/>
        <v>echo itemCost,300000, &gt;&gt; .\items\materia\class0006\Shaman18.dbr</v>
      </c>
      <c r="R20" t="str">
        <f t="shared" si="7"/>
        <v>echo description,dailCompDescShaman18, &gt;&gt; .\items\materia\class0006\Shaman18.dbr</v>
      </c>
      <c r="S20" t="str">
        <f t="shared" si="7"/>
        <v>echo itemText,dailCompTextShaman18, &gt;&gt; .\items\materia\class0006\Shaman18.dbr</v>
      </c>
      <c r="T20" t="str">
        <f t="shared" si="7"/>
        <v>echo augmentSkillLevel1,1, &gt;&gt; .\items\materia\class0006\Shaman18.dbr</v>
      </c>
      <c r="U20" t="str">
        <f t="shared" si="7"/>
        <v>echo augmentSkillName1,records/skills/playerclass06/squall3.dbr, &gt;&gt; .\items\materia\class0006\Shaman18.dbr</v>
      </c>
      <c r="V20" s="5" t="s">
        <v>36</v>
      </c>
      <c r="W20" t="str">
        <f t="shared" si="8"/>
        <v>echo lootName18,DAIL/items/materia/class0006/Shaman18.dbr, &gt;&gt; .\items\loottables\dailoneskill0006.dbr</v>
      </c>
      <c r="X20" t="str">
        <f t="shared" si="8"/>
        <v>echo lootWeight18,1, &gt;&gt; .\items\loottables\dailoneskill0006.dbr</v>
      </c>
      <c r="Y20" s="5" t="s">
        <v>36</v>
      </c>
      <c r="Z20" t="str">
        <f t="shared" si="9"/>
        <v xml:space="preserve"> dailCompDescShaman18=^pShaman's Gift of DAIL</v>
      </c>
      <c r="AA20" t="str">
        <f t="shared" si="17"/>
        <v>dailCompTextShaman18=^oThis feels warm to the touch, almost familiar ^w(This component fits into all Jewellery slots including the Belt And Shoulder)</v>
      </c>
      <c r="AB20" s="5" t="s">
        <v>36</v>
      </c>
      <c r="AH20">
        <f t="shared" si="19"/>
        <v>15</v>
      </c>
      <c r="AI20">
        <f t="shared" si="13"/>
        <v>26</v>
      </c>
      <c r="AJ20">
        <f t="shared" si="18"/>
        <v>1</v>
      </c>
    </row>
    <row r="21" spans="1:36" x14ac:dyDescent="0.25">
      <c r="A21" s="5" t="s">
        <v>39</v>
      </c>
      <c r="B21" s="5" t="s">
        <v>28</v>
      </c>
      <c r="C21" s="5" t="str">
        <f t="shared" si="0"/>
        <v>description,dailCompDescShaman19,</v>
      </c>
      <c r="D21" s="5" t="str">
        <f t="shared" si="2"/>
        <v>itemText,dailCompTextShaman19,</v>
      </c>
      <c r="E21" s="5" t="str">
        <f t="shared" si="14"/>
        <v>augmentSkillLevel1,1,</v>
      </c>
      <c r="F21" s="5" t="str">
        <f t="shared" si="15"/>
        <v>augmentSkillName1,records/skills/playerclass06/passive01.dbr,</v>
      </c>
      <c r="G21" s="7">
        <f t="shared" si="10"/>
        <v>19</v>
      </c>
      <c r="H21" s="8" t="str">
        <f t="shared" si="11"/>
        <v>Shaman</v>
      </c>
      <c r="I21" s="3" t="s">
        <v>347</v>
      </c>
      <c r="J21" s="8" t="str">
        <f t="shared" ref="J21:K36" si="20">J20</f>
        <v>class0006</v>
      </c>
      <c r="K21" s="8" t="str">
        <f t="shared" si="20"/>
        <v>dailoneskill0006</v>
      </c>
      <c r="L21" s="5" t="str">
        <f t="shared" si="4"/>
        <v>lootName19,DAIL/items/materia/class0006/Shaman19.dbr,</v>
      </c>
      <c r="M21" s="5" t="str">
        <f t="shared" si="5"/>
        <v>lootWeight19,1,</v>
      </c>
      <c r="N21" t="str">
        <f t="shared" si="6"/>
        <v>1</v>
      </c>
      <c r="O21" t="str">
        <f t="shared" si="16"/>
        <v>copy .\dail_base.dbr .\items\materia\class0006\Shaman19.dbr /y</v>
      </c>
      <c r="P21" t="str">
        <f t="shared" si="7"/>
        <v>echo relicBitmap,items/craftingparts/components/component_a52_bristlyfur_b.tex, &gt;&gt; .\items\materia\class0006\Shaman19.dbr</v>
      </c>
      <c r="Q21" t="str">
        <f t="shared" si="7"/>
        <v>echo itemCost,300000, &gt;&gt; .\items\materia\class0006\Shaman19.dbr</v>
      </c>
      <c r="R21" t="str">
        <f t="shared" si="7"/>
        <v>echo description,dailCompDescShaman19, &gt;&gt; .\items\materia\class0006\Shaman19.dbr</v>
      </c>
      <c r="S21" t="str">
        <f t="shared" si="7"/>
        <v>echo itemText,dailCompTextShaman19, &gt;&gt; .\items\materia\class0006\Shaman19.dbr</v>
      </c>
      <c r="T21" t="str">
        <f t="shared" si="7"/>
        <v>echo augmentSkillLevel1,1, &gt;&gt; .\items\materia\class0006\Shaman19.dbr</v>
      </c>
      <c r="U21" t="str">
        <f t="shared" si="7"/>
        <v>echo augmentSkillName1,records/skills/playerclass06/passive01.dbr, &gt;&gt; .\items\materia\class0006\Shaman19.dbr</v>
      </c>
      <c r="V21" s="5" t="s">
        <v>36</v>
      </c>
      <c r="W21" t="str">
        <f t="shared" si="8"/>
        <v>echo lootName19,DAIL/items/materia/class0006/Shaman19.dbr, &gt;&gt; .\items\loottables\dailoneskill0006.dbr</v>
      </c>
      <c r="X21" t="str">
        <f t="shared" si="8"/>
        <v>echo lootWeight19,1, &gt;&gt; .\items\loottables\dailoneskill0006.dbr</v>
      </c>
      <c r="Y21" s="5" t="s">
        <v>36</v>
      </c>
      <c r="Z21" t="str">
        <f t="shared" si="9"/>
        <v xml:space="preserve"> dailCompDescShaman19=^pShaman's Gift of DAIL</v>
      </c>
      <c r="AA21" t="str">
        <f t="shared" si="17"/>
        <v>dailCompTextShaman19=^oThis feels warm to the touch, almost familiar ^w(This component fits into all Jewellery slots including the Belt And Shoulder)</v>
      </c>
      <c r="AB21" s="5" t="s">
        <v>36</v>
      </c>
      <c r="AH21">
        <f t="shared" si="19"/>
        <v>16</v>
      </c>
      <c r="AI21">
        <f t="shared" si="13"/>
        <v>28</v>
      </c>
      <c r="AJ21">
        <f t="shared" si="18"/>
        <v>1</v>
      </c>
    </row>
    <row r="22" spans="1:36" x14ac:dyDescent="0.25">
      <c r="A22" s="5" t="s">
        <v>39</v>
      </c>
      <c r="B22" s="5" t="s">
        <v>28</v>
      </c>
      <c r="C22" s="5" t="str">
        <f t="shared" si="0"/>
        <v>description,dailCompDescShaman20,</v>
      </c>
      <c r="D22" s="5" t="str">
        <f t="shared" si="2"/>
        <v>itemText,dailCompTextShaman20,</v>
      </c>
      <c r="E22" s="5" t="str">
        <f t="shared" si="14"/>
        <v>augmentSkillLevel1,1,</v>
      </c>
      <c r="F22" s="5" t="str">
        <f t="shared" si="15"/>
        <v>augmentSkillName1,records/skills/playerclass06/summon_manticore1.dbr,</v>
      </c>
      <c r="G22" s="7">
        <f t="shared" si="10"/>
        <v>20</v>
      </c>
      <c r="H22" s="8" t="str">
        <f t="shared" si="11"/>
        <v>Shaman</v>
      </c>
      <c r="I22" s="3" t="s">
        <v>149</v>
      </c>
      <c r="J22" s="8" t="str">
        <f t="shared" si="20"/>
        <v>class0006</v>
      </c>
      <c r="K22" s="8" t="str">
        <f t="shared" si="20"/>
        <v>dailoneskill0006</v>
      </c>
      <c r="L22" s="5" t="str">
        <f t="shared" si="4"/>
        <v>lootName20,DAIL/items/materia/class0006/Shaman20.dbr,</v>
      </c>
      <c r="M22" s="5" t="str">
        <f t="shared" si="5"/>
        <v>lootWeight20,1,</v>
      </c>
      <c r="N22" t="str">
        <f t="shared" si="6"/>
        <v>1</v>
      </c>
      <c r="O22" t="str">
        <f t="shared" si="16"/>
        <v>copy .\dail_base.dbr .\items\materia\class0006\Shaman20.dbr /y</v>
      </c>
      <c r="P22" t="str">
        <f t="shared" si="7"/>
        <v>echo relicBitmap,items/craftingparts/components/component_a52_bristlyfur_b.tex, &gt;&gt; .\items\materia\class0006\Shaman20.dbr</v>
      </c>
      <c r="Q22" t="str">
        <f t="shared" si="7"/>
        <v>echo itemCost,300000, &gt;&gt; .\items\materia\class0006\Shaman20.dbr</v>
      </c>
      <c r="R22" t="str">
        <f t="shared" si="7"/>
        <v>echo description,dailCompDescShaman20, &gt;&gt; .\items\materia\class0006\Shaman20.dbr</v>
      </c>
      <c r="S22" t="str">
        <f t="shared" si="7"/>
        <v>echo itemText,dailCompTextShaman20, &gt;&gt; .\items\materia\class0006\Shaman20.dbr</v>
      </c>
      <c r="T22" t="str">
        <f t="shared" si="7"/>
        <v>echo augmentSkillLevel1,1, &gt;&gt; .\items\materia\class0006\Shaman20.dbr</v>
      </c>
      <c r="U22" t="str">
        <f t="shared" si="7"/>
        <v>echo augmentSkillName1,records/skills/playerclass06/summon_manticore1.dbr, &gt;&gt; .\items\materia\class0006\Shaman20.dbr</v>
      </c>
      <c r="V22" s="5" t="s">
        <v>36</v>
      </c>
      <c r="W22" t="str">
        <f t="shared" si="8"/>
        <v>echo lootName20,DAIL/items/materia/class0006/Shaman20.dbr, &gt;&gt; .\items\loottables\dailoneskill0006.dbr</v>
      </c>
      <c r="X22" t="str">
        <f t="shared" si="8"/>
        <v>echo lootWeight20,1, &gt;&gt; .\items\loottables\dailoneskill0006.dbr</v>
      </c>
      <c r="Y22" s="5" t="s">
        <v>36</v>
      </c>
      <c r="Z22" t="str">
        <f t="shared" si="9"/>
        <v xml:space="preserve"> dailCompDescShaman20=^pShaman's Gift of DAIL</v>
      </c>
      <c r="AA22" t="str">
        <f t="shared" si="17"/>
        <v>dailCompTextShaman20=^oThis feels warm to the touch, almost familiar ^w(This component fits into all Jewellery slots including the Belt And Shoulder)</v>
      </c>
      <c r="AB22" s="5" t="s">
        <v>36</v>
      </c>
      <c r="AH22">
        <f t="shared" si="19"/>
        <v>17</v>
      </c>
      <c r="AI22">
        <f t="shared" si="13"/>
        <v>36</v>
      </c>
      <c r="AJ22">
        <f t="shared" si="18"/>
        <v>1</v>
      </c>
    </row>
    <row r="23" spans="1:36" x14ac:dyDescent="0.25">
      <c r="A23" s="5" t="s">
        <v>39</v>
      </c>
      <c r="B23" s="5" t="s">
        <v>28</v>
      </c>
      <c r="C23" s="5" t="str">
        <f t="shared" si="0"/>
        <v>description,dailCompDescShaman21,</v>
      </c>
      <c r="D23" s="5" t="str">
        <f t="shared" si="2"/>
        <v>itemText,dailCompTextShaman21,</v>
      </c>
      <c r="E23" s="5" t="str">
        <f t="shared" si="14"/>
        <v>augmentSkillLevel1,1,</v>
      </c>
      <c r="F23" s="5" t="str">
        <f t="shared" si="15"/>
        <v>augmentSkillName1,records/skills/playerclass06/weaponpool01.dbr,</v>
      </c>
      <c r="G23" s="7">
        <f t="shared" si="10"/>
        <v>21</v>
      </c>
      <c r="H23" s="8" t="str">
        <f t="shared" si="11"/>
        <v>Shaman</v>
      </c>
      <c r="I23" s="3" t="s">
        <v>348</v>
      </c>
      <c r="J23" s="8" t="str">
        <f t="shared" si="20"/>
        <v>class0006</v>
      </c>
      <c r="K23" s="8" t="str">
        <f t="shared" si="20"/>
        <v>dailoneskill0006</v>
      </c>
      <c r="L23" s="5" t="str">
        <f t="shared" si="4"/>
        <v>lootName21,DAIL/items/materia/class0006/Shaman21.dbr,</v>
      </c>
      <c r="M23" s="5" t="str">
        <f t="shared" si="5"/>
        <v>lootWeight21,1,</v>
      </c>
      <c r="N23" t="str">
        <f t="shared" si="6"/>
        <v>1</v>
      </c>
      <c r="O23" t="str">
        <f t="shared" si="16"/>
        <v>copy .\dail_base.dbr .\items\materia\class0006\Shaman21.dbr /y</v>
      </c>
      <c r="P23" t="str">
        <f t="shared" si="7"/>
        <v>echo relicBitmap,items/craftingparts/components/component_a52_bristlyfur_b.tex, &gt;&gt; .\items\materia\class0006\Shaman21.dbr</v>
      </c>
      <c r="Q23" t="str">
        <f t="shared" si="7"/>
        <v>echo itemCost,300000, &gt;&gt; .\items\materia\class0006\Shaman21.dbr</v>
      </c>
      <c r="R23" t="str">
        <f t="shared" si="7"/>
        <v>echo description,dailCompDescShaman21, &gt;&gt; .\items\materia\class0006\Shaman21.dbr</v>
      </c>
      <c r="S23" t="str">
        <f t="shared" si="7"/>
        <v>echo itemText,dailCompTextShaman21, &gt;&gt; .\items\materia\class0006\Shaman21.dbr</v>
      </c>
      <c r="T23" t="str">
        <f t="shared" si="7"/>
        <v>echo augmentSkillLevel1,1, &gt;&gt; .\items\materia\class0006\Shaman21.dbr</v>
      </c>
      <c r="U23" t="str">
        <f t="shared" si="7"/>
        <v>echo augmentSkillName1,records/skills/playerclass06/weaponpool01.dbr, &gt;&gt; .\items\materia\class0006\Shaman21.dbr</v>
      </c>
      <c r="V23" s="5" t="s">
        <v>36</v>
      </c>
      <c r="W23" t="str">
        <f t="shared" si="8"/>
        <v>echo lootName21,DAIL/items/materia/class0006/Shaman21.dbr, &gt;&gt; .\items\loottables\dailoneskill0006.dbr</v>
      </c>
      <c r="X23" t="str">
        <f t="shared" si="8"/>
        <v>echo lootWeight21,1, &gt;&gt; .\items\loottables\dailoneskill0006.dbr</v>
      </c>
      <c r="Y23" s="5" t="s">
        <v>36</v>
      </c>
      <c r="Z23" t="str">
        <f t="shared" si="9"/>
        <v xml:space="preserve"> dailCompDescShaman21=^pShaman's Gift of DAIL</v>
      </c>
      <c r="AA23" t="str">
        <f t="shared" si="17"/>
        <v>dailCompTextShaman21=^oThis feels warm to the touch, almost familiar ^w(This component fits into all Jewellery slots including the Belt And Shoulder)</v>
      </c>
      <c r="AB23" s="5" t="s">
        <v>36</v>
      </c>
      <c r="AH23">
        <f t="shared" si="19"/>
        <v>18</v>
      </c>
      <c r="AI23">
        <f t="shared" si="13"/>
        <v>31</v>
      </c>
      <c r="AJ23">
        <f t="shared" si="18"/>
        <v>1</v>
      </c>
    </row>
    <row r="24" spans="1:36" x14ac:dyDescent="0.25">
      <c r="A24" s="5" t="s">
        <v>39</v>
      </c>
      <c r="B24" s="5" t="s">
        <v>28</v>
      </c>
      <c r="C24" s="5" t="str">
        <f t="shared" si="0"/>
        <v>description,dailCompDescShaman22,</v>
      </c>
      <c r="D24" s="5" t="str">
        <f t="shared" si="2"/>
        <v>itemText,dailCompTextShaman22,</v>
      </c>
      <c r="E24" s="5" t="str">
        <f t="shared" si="14"/>
        <v>augmentSkillLevel1,1,</v>
      </c>
      <c r="F24" s="5" t="str">
        <f t="shared" si="15"/>
        <v>augmentSkillName1,records/skills/playerclass06/weaponpool02.dbr,</v>
      </c>
      <c r="G24" s="7">
        <f t="shared" si="10"/>
        <v>22</v>
      </c>
      <c r="H24" s="8" t="str">
        <f t="shared" si="11"/>
        <v>Shaman</v>
      </c>
      <c r="I24" s="3" t="s">
        <v>349</v>
      </c>
      <c r="J24" s="8" t="str">
        <f t="shared" si="20"/>
        <v>class0006</v>
      </c>
      <c r="K24" s="8" t="str">
        <f t="shared" si="20"/>
        <v>dailoneskill0006</v>
      </c>
      <c r="L24" s="5" t="str">
        <f t="shared" si="4"/>
        <v>lootName22,DAIL/items/materia/class0006/Shaman22.dbr,</v>
      </c>
      <c r="M24" s="5" t="str">
        <f t="shared" si="5"/>
        <v>lootWeight22,1,</v>
      </c>
      <c r="N24" t="str">
        <f t="shared" si="6"/>
        <v>1</v>
      </c>
      <c r="O24" t="str">
        <f t="shared" si="16"/>
        <v>copy .\dail_base.dbr .\items\materia\class0006\Shaman22.dbr /y</v>
      </c>
      <c r="P24" t="str">
        <f t="shared" si="7"/>
        <v>echo relicBitmap,items/craftingparts/components/component_a52_bristlyfur_b.tex, &gt;&gt; .\items\materia\class0006\Shaman22.dbr</v>
      </c>
      <c r="Q24" t="str">
        <f t="shared" si="7"/>
        <v>echo itemCost,300000, &gt;&gt; .\items\materia\class0006\Shaman22.dbr</v>
      </c>
      <c r="R24" t="str">
        <f t="shared" si="7"/>
        <v>echo description,dailCompDescShaman22, &gt;&gt; .\items\materia\class0006\Shaman22.dbr</v>
      </c>
      <c r="S24" t="str">
        <f t="shared" si="7"/>
        <v>echo itemText,dailCompTextShaman22, &gt;&gt; .\items\materia\class0006\Shaman22.dbr</v>
      </c>
      <c r="T24" t="str">
        <f t="shared" si="7"/>
        <v>echo augmentSkillLevel1,1, &gt;&gt; .\items\materia\class0006\Shaman22.dbr</v>
      </c>
      <c r="U24" t="str">
        <f t="shared" si="7"/>
        <v>echo augmentSkillName1,records/skills/playerclass06/weaponpool02.dbr, &gt;&gt; .\items\materia\class0006\Shaman22.dbr</v>
      </c>
      <c r="V24" s="5" t="s">
        <v>36</v>
      </c>
      <c r="W24" t="str">
        <f t="shared" si="8"/>
        <v>echo lootName22,DAIL/items/materia/class0006/Shaman22.dbr, &gt;&gt; .\items\loottables\dailoneskill0006.dbr</v>
      </c>
      <c r="X24" t="str">
        <f t="shared" si="8"/>
        <v>echo lootWeight22,1, &gt;&gt; .\items\loottables\dailoneskill0006.dbr</v>
      </c>
      <c r="Y24" s="5" t="s">
        <v>36</v>
      </c>
      <c r="Z24" t="str">
        <f t="shared" si="9"/>
        <v xml:space="preserve"> dailCompDescShaman22=^pShaman's Gift of DAIL</v>
      </c>
      <c r="AA24" t="str">
        <f t="shared" si="17"/>
        <v>dailCompTextShaman22=^oThis feels warm to the touch, almost familiar ^w(This component fits into all Jewellery slots including the Belt And Shoulder)</v>
      </c>
      <c r="AB24" s="5" t="s">
        <v>36</v>
      </c>
      <c r="AH24">
        <f t="shared" si="19"/>
        <v>19</v>
      </c>
      <c r="AI24">
        <f t="shared" si="13"/>
        <v>31</v>
      </c>
      <c r="AJ24">
        <f t="shared" si="18"/>
        <v>1</v>
      </c>
    </row>
    <row r="25" spans="1:36" x14ac:dyDescent="0.25">
      <c r="A25" s="5" t="s">
        <v>39</v>
      </c>
      <c r="B25" s="5" t="s">
        <v>28</v>
      </c>
      <c r="C25" s="5" t="str">
        <f t="shared" si="0"/>
        <v>description,dailCompDescShaman23,</v>
      </c>
      <c r="D25" s="5" t="str">
        <f t="shared" si="2"/>
        <v>itemText,dailCompTextShaman23,</v>
      </c>
      <c r="E25" s="5" t="str">
        <f t="shared" si="14"/>
        <v>augmentSkillLevel1,1,</v>
      </c>
      <c r="F25" s="5" t="str">
        <f t="shared" si="15"/>
        <v>augmentSkillName1,records/skills/playerclass06/stormtotem01.dbr,</v>
      </c>
      <c r="G25" s="7">
        <f t="shared" si="10"/>
        <v>23</v>
      </c>
      <c r="H25" s="8" t="str">
        <f t="shared" si="11"/>
        <v>Shaman</v>
      </c>
      <c r="I25" s="3" t="s">
        <v>147</v>
      </c>
      <c r="J25" s="8" t="str">
        <f t="shared" si="20"/>
        <v>class0006</v>
      </c>
      <c r="K25" s="8" t="str">
        <f t="shared" si="20"/>
        <v>dailoneskill0006</v>
      </c>
      <c r="L25" s="5" t="str">
        <f t="shared" si="4"/>
        <v>lootName23,DAIL/items/materia/class0006/Shaman23.dbr,</v>
      </c>
      <c r="M25" s="5" t="str">
        <f t="shared" si="5"/>
        <v>lootWeight23,1,</v>
      </c>
      <c r="N25" t="str">
        <f t="shared" si="6"/>
        <v>1</v>
      </c>
      <c r="O25" t="str">
        <f t="shared" si="16"/>
        <v>copy .\dail_base.dbr .\items\materia\class0006\Shaman23.dbr /y</v>
      </c>
      <c r="P25" t="str">
        <f t="shared" si="7"/>
        <v>echo relicBitmap,items/craftingparts/components/component_a52_bristlyfur_b.tex, &gt;&gt; .\items\materia\class0006\Shaman23.dbr</v>
      </c>
      <c r="Q25" t="str">
        <f t="shared" si="7"/>
        <v>echo itemCost,300000, &gt;&gt; .\items\materia\class0006\Shaman23.dbr</v>
      </c>
      <c r="R25" t="str">
        <f t="shared" si="7"/>
        <v>echo description,dailCompDescShaman23, &gt;&gt; .\items\materia\class0006\Shaman23.dbr</v>
      </c>
      <c r="S25" t="str">
        <f t="shared" si="7"/>
        <v>echo itemText,dailCompTextShaman23, &gt;&gt; .\items\materia\class0006\Shaman23.dbr</v>
      </c>
      <c r="T25" t="str">
        <f t="shared" si="7"/>
        <v>echo augmentSkillLevel1,1, &gt;&gt; .\items\materia\class0006\Shaman23.dbr</v>
      </c>
      <c r="U25" t="str">
        <f t="shared" si="7"/>
        <v>echo augmentSkillName1,records/skills/playerclass06/stormtotem01.dbr, &gt;&gt; .\items\materia\class0006\Shaman23.dbr</v>
      </c>
      <c r="V25" s="5" t="s">
        <v>36</v>
      </c>
      <c r="W25" t="str">
        <f t="shared" si="8"/>
        <v>echo lootName23,DAIL/items/materia/class0006/Shaman23.dbr, &gt;&gt; .\items\loottables\dailoneskill0006.dbr</v>
      </c>
      <c r="X25" t="str">
        <f t="shared" si="8"/>
        <v>echo lootWeight23,1, &gt;&gt; .\items\loottables\dailoneskill0006.dbr</v>
      </c>
      <c r="Y25" s="5" t="s">
        <v>36</v>
      </c>
      <c r="Z25" t="str">
        <f t="shared" si="9"/>
        <v xml:space="preserve"> dailCompDescShaman23=^pShaman's Gift of DAIL</v>
      </c>
      <c r="AA25" t="str">
        <f t="shared" si="17"/>
        <v>dailCompTextShaman23=^oThis feels warm to the touch, almost familiar ^w(This component fits into all Jewellery slots including the Belt And Shoulder)</v>
      </c>
      <c r="AB25" s="5" t="s">
        <v>36</v>
      </c>
      <c r="AH25">
        <f t="shared" si="19"/>
        <v>20</v>
      </c>
      <c r="AI25">
        <f t="shared" si="13"/>
        <v>31</v>
      </c>
      <c r="AJ25">
        <f t="shared" si="18"/>
        <v>1</v>
      </c>
    </row>
    <row r="26" spans="1:36" x14ac:dyDescent="0.25">
      <c r="A26" s="5" t="s">
        <v>39</v>
      </c>
      <c r="B26" s="5" t="s">
        <v>28</v>
      </c>
      <c r="C26" s="5" t="str">
        <f t="shared" si="0"/>
        <v>description,dailCompDescShaman24,</v>
      </c>
      <c r="D26" s="5" t="str">
        <f t="shared" si="2"/>
        <v>itemText,dailCompTextShaman24,</v>
      </c>
      <c r="E26" s="5" t="str">
        <f t="shared" si="14"/>
        <v>augmentSkillLevel1,1,</v>
      </c>
      <c r="F26" s="5" t="str">
        <f t="shared" si="15"/>
        <v>augmentSkillName1,records/skills/playerclass06/stormtotem01b_petmodifier.dbr,</v>
      </c>
      <c r="G26" s="7">
        <f t="shared" si="10"/>
        <v>24</v>
      </c>
      <c r="H26" s="8" t="str">
        <f t="shared" si="11"/>
        <v>Shaman</v>
      </c>
      <c r="I26" s="3" t="s">
        <v>350</v>
      </c>
      <c r="J26" s="8" t="str">
        <f t="shared" si="20"/>
        <v>class0006</v>
      </c>
      <c r="K26" s="8" t="str">
        <f t="shared" si="20"/>
        <v>dailoneskill0006</v>
      </c>
      <c r="L26" s="5" t="str">
        <f t="shared" si="4"/>
        <v>lootName24,DAIL/items/materia/class0006/Shaman24.dbr,</v>
      </c>
      <c r="M26" s="5" t="str">
        <f t="shared" si="5"/>
        <v>lootWeight24,1,</v>
      </c>
      <c r="N26" t="str">
        <f t="shared" si="6"/>
        <v>1</v>
      </c>
      <c r="O26" t="str">
        <f t="shared" si="16"/>
        <v>copy .\dail_base.dbr .\items\materia\class0006\Shaman24.dbr /y</v>
      </c>
      <c r="P26" t="str">
        <f t="shared" si="7"/>
        <v>echo relicBitmap,items/craftingparts/components/component_a52_bristlyfur_b.tex, &gt;&gt; .\items\materia\class0006\Shaman24.dbr</v>
      </c>
      <c r="Q26" t="str">
        <f t="shared" si="7"/>
        <v>echo itemCost,300000, &gt;&gt; .\items\materia\class0006\Shaman24.dbr</v>
      </c>
      <c r="R26" t="str">
        <f t="shared" si="7"/>
        <v>echo description,dailCompDescShaman24, &gt;&gt; .\items\materia\class0006\Shaman24.dbr</v>
      </c>
      <c r="S26" t="str">
        <f t="shared" si="7"/>
        <v>echo itemText,dailCompTextShaman24, &gt;&gt; .\items\materia\class0006\Shaman24.dbr</v>
      </c>
      <c r="T26" t="str">
        <f t="shared" si="7"/>
        <v>echo augmentSkillLevel1,1, &gt;&gt; .\items\materia\class0006\Shaman24.dbr</v>
      </c>
      <c r="U26" t="str">
        <f t="shared" si="7"/>
        <v>echo augmentSkillName1,records/skills/playerclass06/stormtotem01b_petmodifier.dbr, &gt;&gt; .\items\materia\class0006\Shaman24.dbr</v>
      </c>
      <c r="V26" s="5" t="s">
        <v>36</v>
      </c>
      <c r="W26" t="str">
        <f t="shared" si="8"/>
        <v>echo lootName24,DAIL/items/materia/class0006/Shaman24.dbr, &gt;&gt; .\items\loottables\dailoneskill0006.dbr</v>
      </c>
      <c r="X26" t="str">
        <f t="shared" si="8"/>
        <v>echo lootWeight24,1, &gt;&gt; .\items\loottables\dailoneskill0006.dbr</v>
      </c>
      <c r="Y26" s="5" t="s">
        <v>36</v>
      </c>
      <c r="Z26" t="str">
        <f t="shared" si="9"/>
        <v xml:space="preserve"> dailCompDescShaman24=^pShaman's Gift of DAIL</v>
      </c>
      <c r="AA26" t="str">
        <f t="shared" si="17"/>
        <v>dailCompTextShaman24=^oThis feels warm to the touch, almost familiar ^w(This component fits into all Jewellery slots including the Belt And Shoulder)</v>
      </c>
      <c r="AB26" s="5" t="s">
        <v>36</v>
      </c>
      <c r="AH26">
        <f t="shared" si="19"/>
        <v>21</v>
      </c>
      <c r="AI26">
        <f t="shared" si="13"/>
        <v>44</v>
      </c>
      <c r="AJ26">
        <f t="shared" si="18"/>
        <v>1</v>
      </c>
    </row>
    <row r="27" spans="1:36" x14ac:dyDescent="0.25">
      <c r="A27" s="5" t="s">
        <v>39</v>
      </c>
      <c r="B27" s="5" t="s">
        <v>28</v>
      </c>
      <c r="C27" s="5" t="str">
        <f t="shared" si="0"/>
        <v>description,dailCompDescShaman25,</v>
      </c>
      <c r="D27" s="5" t="str">
        <f t="shared" si="2"/>
        <v>itemText,dailCompTextShaman25,</v>
      </c>
      <c r="E27" s="5" t="str">
        <f t="shared" si="14"/>
        <v>augmentSkillLevel1,1,</v>
      </c>
      <c r="F27" s="5" t="str">
        <f t="shared" si="15"/>
        <v>augmentSkillName1,records/skills/playerclass06/savagery1b.dbr,</v>
      </c>
      <c r="G27" s="7">
        <f t="shared" si="10"/>
        <v>25</v>
      </c>
      <c r="H27" s="8" t="str">
        <f t="shared" si="11"/>
        <v>Shaman</v>
      </c>
      <c r="I27" s="3" t="s">
        <v>351</v>
      </c>
      <c r="J27" s="8" t="str">
        <f t="shared" si="20"/>
        <v>class0006</v>
      </c>
      <c r="K27" s="8" t="str">
        <f t="shared" si="20"/>
        <v>dailoneskill0006</v>
      </c>
      <c r="L27" s="5" t="str">
        <f t="shared" si="4"/>
        <v>lootName25,DAIL/items/materia/class0006/Shaman25.dbr,</v>
      </c>
      <c r="M27" s="5" t="str">
        <f t="shared" si="5"/>
        <v>lootWeight25,1,</v>
      </c>
      <c r="N27" t="str">
        <f t="shared" si="6"/>
        <v>1</v>
      </c>
      <c r="O27" t="str">
        <f t="shared" si="16"/>
        <v>copy .\dail_base.dbr .\items\materia\class0006\Shaman25.dbr /y</v>
      </c>
      <c r="P27" t="str">
        <f t="shared" si="7"/>
        <v>echo relicBitmap,items/craftingparts/components/component_a52_bristlyfur_b.tex, &gt;&gt; .\items\materia\class0006\Shaman25.dbr</v>
      </c>
      <c r="Q27" t="str">
        <f t="shared" si="7"/>
        <v>echo itemCost,300000, &gt;&gt; .\items\materia\class0006\Shaman25.dbr</v>
      </c>
      <c r="R27" t="str">
        <f t="shared" si="7"/>
        <v>echo description,dailCompDescShaman25, &gt;&gt; .\items\materia\class0006\Shaman25.dbr</v>
      </c>
      <c r="S27" t="str">
        <f t="shared" si="7"/>
        <v>echo itemText,dailCompTextShaman25, &gt;&gt; .\items\materia\class0006\Shaman25.dbr</v>
      </c>
      <c r="T27" t="str">
        <f t="shared" si="7"/>
        <v>echo augmentSkillLevel1,1, &gt;&gt; .\items\materia\class0006\Shaman25.dbr</v>
      </c>
      <c r="U27" t="str">
        <f t="shared" si="7"/>
        <v>echo augmentSkillName1,records/skills/playerclass06/savagery1b.dbr, &gt;&gt; .\items\materia\class0006\Shaman25.dbr</v>
      </c>
      <c r="V27" s="5" t="s">
        <v>36</v>
      </c>
      <c r="W27" t="str">
        <f t="shared" si="8"/>
        <v>echo lootName25,DAIL/items/materia/class0006/Shaman25.dbr, &gt;&gt; .\items\loottables\dailoneskill0006.dbr</v>
      </c>
      <c r="X27" t="str">
        <f t="shared" si="8"/>
        <v>echo lootWeight25,1, &gt;&gt; .\items\loottables\dailoneskill0006.dbr</v>
      </c>
      <c r="Y27" s="5" t="s">
        <v>36</v>
      </c>
      <c r="Z27" t="str">
        <f t="shared" si="9"/>
        <v xml:space="preserve"> dailCompDescShaman25=^pShaman's Gift of DAIL</v>
      </c>
      <c r="AA27" t="str">
        <f t="shared" si="17"/>
        <v>dailCompTextShaman25=^oThis feels warm to the touch, almost familiar ^w(This component fits into all Jewellery slots including the Belt And Shoulder)</v>
      </c>
      <c r="AB27" s="5" t="s">
        <v>36</v>
      </c>
      <c r="AH27">
        <f t="shared" si="19"/>
        <v>22</v>
      </c>
      <c r="AI27">
        <f t="shared" si="13"/>
        <v>29</v>
      </c>
      <c r="AJ27">
        <f t="shared" si="18"/>
        <v>1</v>
      </c>
    </row>
    <row r="28" spans="1:36" x14ac:dyDescent="0.25">
      <c r="A28" s="5" t="s">
        <v>39</v>
      </c>
      <c r="B28" s="5" t="s">
        <v>28</v>
      </c>
      <c r="C28" s="5" t="str">
        <f t="shared" si="0"/>
        <v>description,dailCompDescShaman26,</v>
      </c>
      <c r="D28" s="5" t="str">
        <f t="shared" si="2"/>
        <v>itemText,dailCompTextShaman26,</v>
      </c>
      <c r="E28" s="5" t="str">
        <f t="shared" si="14"/>
        <v>augmentSkillLevel1,1,</v>
      </c>
      <c r="F28" s="5" t="str">
        <f t="shared" si="15"/>
        <v>augmentSkillName1,records/skills/playerclass06/graspingvines1.dbr,</v>
      </c>
      <c r="G28" s="7">
        <f t="shared" si="10"/>
        <v>26</v>
      </c>
      <c r="H28" s="8" t="str">
        <f t="shared" si="11"/>
        <v>Shaman</v>
      </c>
      <c r="I28" s="3" t="s">
        <v>140</v>
      </c>
      <c r="J28" s="8" t="str">
        <f t="shared" si="20"/>
        <v>class0006</v>
      </c>
      <c r="K28" s="8" t="str">
        <f t="shared" si="20"/>
        <v>dailoneskill0006</v>
      </c>
      <c r="L28" s="5" t="str">
        <f t="shared" si="4"/>
        <v>lootName26,DAIL/items/materia/class0006/Shaman26.dbr,</v>
      </c>
      <c r="M28" s="5" t="str">
        <f t="shared" si="5"/>
        <v>lootWeight26,1,</v>
      </c>
      <c r="N28" t="str">
        <f t="shared" si="6"/>
        <v>1</v>
      </c>
      <c r="O28" t="str">
        <f t="shared" si="16"/>
        <v>copy .\dail_base.dbr .\items\materia\class0006\Shaman26.dbr /y</v>
      </c>
      <c r="P28" t="str">
        <f t="shared" si="7"/>
        <v>echo relicBitmap,items/craftingparts/components/component_a52_bristlyfur_b.tex, &gt;&gt; .\items\materia\class0006\Shaman26.dbr</v>
      </c>
      <c r="Q28" t="str">
        <f t="shared" si="7"/>
        <v>echo itemCost,300000, &gt;&gt; .\items\materia\class0006\Shaman26.dbr</v>
      </c>
      <c r="R28" t="str">
        <f t="shared" si="7"/>
        <v>echo description,dailCompDescShaman26, &gt;&gt; .\items\materia\class0006\Shaman26.dbr</v>
      </c>
      <c r="S28" t="str">
        <f t="shared" si="7"/>
        <v>echo itemText,dailCompTextShaman26, &gt;&gt; .\items\materia\class0006\Shaman26.dbr</v>
      </c>
      <c r="T28" t="str">
        <f t="shared" si="7"/>
        <v>echo augmentSkillLevel1,1, &gt;&gt; .\items\materia\class0006\Shaman26.dbr</v>
      </c>
      <c r="U28" t="str">
        <f t="shared" si="7"/>
        <v>echo augmentSkillName1,records/skills/playerclass06/graspingvines1.dbr, &gt;&gt; .\items\materia\class0006\Shaman26.dbr</v>
      </c>
      <c r="V28" s="5" t="s">
        <v>36</v>
      </c>
      <c r="W28" t="str">
        <f t="shared" si="8"/>
        <v>echo lootName26,DAIL/items/materia/class0006/Shaman26.dbr, &gt;&gt; .\items\loottables\dailoneskill0006.dbr</v>
      </c>
      <c r="X28" t="str">
        <f t="shared" si="8"/>
        <v>echo lootWeight26,1, &gt;&gt; .\items\loottables\dailoneskill0006.dbr</v>
      </c>
      <c r="Y28" s="5" t="s">
        <v>36</v>
      </c>
      <c r="Z28" t="str">
        <f t="shared" si="9"/>
        <v xml:space="preserve"> dailCompDescShaman26=^pShaman's Gift of DAIL</v>
      </c>
      <c r="AA28" t="str">
        <f t="shared" si="17"/>
        <v>dailCompTextShaman26=^oThis feels warm to the touch, almost familiar ^w(This component fits into all Jewellery slots including the Belt And Shoulder)</v>
      </c>
      <c r="AB28" s="5" t="s">
        <v>36</v>
      </c>
      <c r="AH28">
        <f t="shared" si="19"/>
        <v>23</v>
      </c>
      <c r="AI28">
        <f t="shared" si="13"/>
        <v>33</v>
      </c>
      <c r="AJ28">
        <f t="shared" si="18"/>
        <v>1</v>
      </c>
    </row>
    <row r="29" spans="1:36" x14ac:dyDescent="0.25">
      <c r="A29" s="5" t="s">
        <v>39</v>
      </c>
      <c r="B29" s="5" t="s">
        <v>28</v>
      </c>
      <c r="C29" s="5" t="str">
        <f t="shared" si="0"/>
        <v>description,dailCompDescShaman27,</v>
      </c>
      <c r="D29" s="5" t="str">
        <f t="shared" si="2"/>
        <v>itemText,dailCompTextShaman27,</v>
      </c>
      <c r="E29" s="5" t="str">
        <f t="shared" si="14"/>
        <v>augmentSkillLevel1,1,</v>
      </c>
      <c r="F29" s="5" t="str">
        <f t="shared" si="15"/>
        <v>augmentSkillName1,records/skills/playerclass06/graspingvines2.dbr,</v>
      </c>
      <c r="G29" s="7">
        <f t="shared" si="10"/>
        <v>27</v>
      </c>
      <c r="H29" s="8" t="str">
        <f t="shared" si="11"/>
        <v>Shaman</v>
      </c>
      <c r="I29" s="3" t="s">
        <v>352</v>
      </c>
      <c r="J29" s="8" t="str">
        <f t="shared" si="20"/>
        <v>class0006</v>
      </c>
      <c r="K29" s="8" t="str">
        <f t="shared" si="20"/>
        <v>dailoneskill0006</v>
      </c>
      <c r="L29" s="5" t="str">
        <f t="shared" si="4"/>
        <v>lootName27,DAIL/items/materia/class0006/Shaman27.dbr,</v>
      </c>
      <c r="M29" s="5" t="str">
        <f t="shared" si="5"/>
        <v>lootWeight27,1,</v>
      </c>
      <c r="N29" t="str">
        <f t="shared" si="6"/>
        <v>1</v>
      </c>
      <c r="O29" t="str">
        <f t="shared" si="16"/>
        <v>copy .\dail_base.dbr .\items\materia\class0006\Shaman27.dbr /y</v>
      </c>
      <c r="P29" t="str">
        <f t="shared" si="7"/>
        <v>echo relicBitmap,items/craftingparts/components/component_a52_bristlyfur_b.tex, &gt;&gt; .\items\materia\class0006\Shaman27.dbr</v>
      </c>
      <c r="Q29" t="str">
        <f t="shared" si="7"/>
        <v>echo itemCost,300000, &gt;&gt; .\items\materia\class0006\Shaman27.dbr</v>
      </c>
      <c r="R29" t="str">
        <f t="shared" si="7"/>
        <v>echo description,dailCompDescShaman27, &gt;&gt; .\items\materia\class0006\Shaman27.dbr</v>
      </c>
      <c r="S29" t="str">
        <f t="shared" si="7"/>
        <v>echo itemText,dailCompTextShaman27, &gt;&gt; .\items\materia\class0006\Shaman27.dbr</v>
      </c>
      <c r="T29" t="str">
        <f t="shared" si="7"/>
        <v>echo augmentSkillLevel1,1, &gt;&gt; .\items\materia\class0006\Shaman27.dbr</v>
      </c>
      <c r="U29" t="str">
        <f t="shared" si="7"/>
        <v>echo augmentSkillName1,records/skills/playerclass06/graspingvines2.dbr, &gt;&gt; .\items\materia\class0006\Shaman27.dbr</v>
      </c>
      <c r="V29" s="5" t="s">
        <v>36</v>
      </c>
      <c r="W29" t="str">
        <f t="shared" si="8"/>
        <v>echo lootName27,DAIL/items/materia/class0006/Shaman27.dbr, &gt;&gt; .\items\loottables\dailoneskill0006.dbr</v>
      </c>
      <c r="X29" t="str">
        <f t="shared" si="8"/>
        <v>echo lootWeight27,1, &gt;&gt; .\items\loottables\dailoneskill0006.dbr</v>
      </c>
      <c r="Y29" s="5" t="s">
        <v>36</v>
      </c>
      <c r="Z29" t="str">
        <f t="shared" si="9"/>
        <v xml:space="preserve"> dailCompDescShaman27=^pShaman's Gift of DAIL</v>
      </c>
      <c r="AA29" t="str">
        <f t="shared" si="17"/>
        <v>dailCompTextShaman27=^oThis feels warm to the touch, almost familiar ^w(This component fits into all Jewellery slots including the Belt And Shoulder)</v>
      </c>
      <c r="AB29" s="5" t="s">
        <v>36</v>
      </c>
      <c r="AH29">
        <f t="shared" si="19"/>
        <v>24</v>
      </c>
      <c r="AI29">
        <f t="shared" si="13"/>
        <v>33</v>
      </c>
      <c r="AJ29">
        <f t="shared" si="18"/>
        <v>1</v>
      </c>
    </row>
    <row r="30" spans="1:36" x14ac:dyDescent="0.25">
      <c r="A30" s="5" t="s">
        <v>39</v>
      </c>
      <c r="B30" s="5" t="s">
        <v>28</v>
      </c>
      <c r="C30" s="5" t="str">
        <f t="shared" si="0"/>
        <v>description,dailCompDescShaman28,</v>
      </c>
      <c r="D30" s="5" t="str">
        <f t="shared" si="2"/>
        <v>itemText,dailCompTextShaman28,</v>
      </c>
      <c r="E30" s="5" t="str">
        <f t="shared" si="14"/>
        <v>augmentSkillLevel1,1,</v>
      </c>
      <c r="F30" s="5" t="str">
        <f t="shared" si="15"/>
        <v>augmentSkillName1,records/skills/playerclass06/savagery2.dbr,</v>
      </c>
      <c r="G30" s="7">
        <f t="shared" si="10"/>
        <v>28</v>
      </c>
      <c r="H30" s="8" t="str">
        <f t="shared" si="11"/>
        <v>Shaman</v>
      </c>
      <c r="I30" s="3" t="s">
        <v>353</v>
      </c>
      <c r="J30" s="8" t="str">
        <f t="shared" si="20"/>
        <v>class0006</v>
      </c>
      <c r="K30" s="8" t="str">
        <f t="shared" si="20"/>
        <v>dailoneskill0006</v>
      </c>
      <c r="L30" s="5" t="str">
        <f t="shared" si="4"/>
        <v>lootName28,DAIL/items/materia/class0006/Shaman28.dbr,</v>
      </c>
      <c r="M30" s="5" t="str">
        <f t="shared" si="5"/>
        <v>lootWeight28,1,</v>
      </c>
      <c r="N30" t="str">
        <f t="shared" si="6"/>
        <v>1</v>
      </c>
      <c r="O30" t="str">
        <f t="shared" si="16"/>
        <v>copy .\dail_base.dbr .\items\materia\class0006\Shaman28.dbr /y</v>
      </c>
      <c r="P30" t="str">
        <f t="shared" si="7"/>
        <v>echo relicBitmap,items/craftingparts/components/component_a52_bristlyfur_b.tex, &gt;&gt; .\items\materia\class0006\Shaman28.dbr</v>
      </c>
      <c r="Q30" t="str">
        <f t="shared" si="7"/>
        <v>echo itemCost,300000, &gt;&gt; .\items\materia\class0006\Shaman28.dbr</v>
      </c>
      <c r="R30" t="str">
        <f t="shared" si="7"/>
        <v>echo description,dailCompDescShaman28, &gt;&gt; .\items\materia\class0006\Shaman28.dbr</v>
      </c>
      <c r="S30" t="str">
        <f t="shared" si="7"/>
        <v>echo itemText,dailCompTextShaman28, &gt;&gt; .\items\materia\class0006\Shaman28.dbr</v>
      </c>
      <c r="T30" t="str">
        <f t="shared" si="7"/>
        <v>echo augmentSkillLevel1,1, &gt;&gt; .\items\materia\class0006\Shaman28.dbr</v>
      </c>
      <c r="U30" t="str">
        <f t="shared" si="7"/>
        <v>echo augmentSkillName1,records/skills/playerclass06/savagery2.dbr, &gt;&gt; .\items\materia\class0006\Shaman28.dbr</v>
      </c>
      <c r="V30" s="5" t="s">
        <v>36</v>
      </c>
      <c r="W30" t="str">
        <f t="shared" si="8"/>
        <v>echo lootName28,DAIL/items/materia/class0006/Shaman28.dbr, &gt;&gt; .\items\loottables\dailoneskill0006.dbr</v>
      </c>
      <c r="X30" t="str">
        <f t="shared" si="8"/>
        <v>echo lootWeight28,1, &gt;&gt; .\items\loottables\dailoneskill0006.dbr</v>
      </c>
      <c r="Y30" s="5" t="s">
        <v>36</v>
      </c>
      <c r="Z30" t="str">
        <f t="shared" si="9"/>
        <v xml:space="preserve"> dailCompDescShaman28=^pShaman's Gift of DAIL</v>
      </c>
      <c r="AA30" t="str">
        <f t="shared" si="17"/>
        <v>dailCompTextShaman28=^oThis feels warm to the touch, almost familiar ^w(This component fits into all Jewellery slots including the Belt And Shoulder)</v>
      </c>
      <c r="AB30" s="5" t="s">
        <v>36</v>
      </c>
      <c r="AH30">
        <f t="shared" si="19"/>
        <v>25</v>
      </c>
      <c r="AI30">
        <f t="shared" si="13"/>
        <v>28</v>
      </c>
      <c r="AJ30">
        <f t="shared" si="18"/>
        <v>1</v>
      </c>
    </row>
    <row r="31" spans="1:36" x14ac:dyDescent="0.25">
      <c r="A31" s="5" t="s">
        <v>39</v>
      </c>
      <c r="B31" s="5" t="s">
        <v>28</v>
      </c>
      <c r="C31" s="5" t="str">
        <f t="shared" si="0"/>
        <v>description,dailCompDescShaman29,</v>
      </c>
      <c r="D31" s="5" t="str">
        <f t="shared" si="2"/>
        <v>itemText,dailCompTextShaman29,</v>
      </c>
      <c r="E31" s="5" t="str">
        <f t="shared" si="14"/>
        <v>augmentSkillLevel1,1,</v>
      </c>
      <c r="F31" s="5" t="str">
        <f t="shared" si="15"/>
        <v>augmentSkillName1,records/skills/playerclass06/savagery3.dbr,</v>
      </c>
      <c r="G31" s="7">
        <f t="shared" si="10"/>
        <v>29</v>
      </c>
      <c r="H31" s="8" t="str">
        <f t="shared" si="11"/>
        <v>Shaman</v>
      </c>
      <c r="I31" s="3" t="s">
        <v>354</v>
      </c>
      <c r="J31" s="8" t="str">
        <f t="shared" si="20"/>
        <v>class0006</v>
      </c>
      <c r="K31" s="8" t="str">
        <f t="shared" si="20"/>
        <v>dailoneskill0006</v>
      </c>
      <c r="L31" s="5" t="str">
        <f t="shared" si="4"/>
        <v>lootName29,DAIL/items/materia/class0006/Shaman29.dbr,</v>
      </c>
      <c r="M31" s="5" t="str">
        <f t="shared" si="5"/>
        <v>lootWeight29,1,</v>
      </c>
      <c r="N31" t="str">
        <f t="shared" si="6"/>
        <v>1</v>
      </c>
      <c r="O31" t="str">
        <f t="shared" si="16"/>
        <v>copy .\dail_base.dbr .\items\materia\class0006\Shaman29.dbr /y</v>
      </c>
      <c r="P31" t="str">
        <f t="shared" si="7"/>
        <v>echo relicBitmap,items/craftingparts/components/component_a52_bristlyfur_b.tex, &gt;&gt; .\items\materia\class0006\Shaman29.dbr</v>
      </c>
      <c r="Q31" t="str">
        <f t="shared" si="7"/>
        <v>echo itemCost,300000, &gt;&gt; .\items\materia\class0006\Shaman29.dbr</v>
      </c>
      <c r="R31" t="str">
        <f t="shared" si="7"/>
        <v>echo description,dailCompDescShaman29, &gt;&gt; .\items\materia\class0006\Shaman29.dbr</v>
      </c>
      <c r="S31" t="str">
        <f t="shared" si="7"/>
        <v>echo itemText,dailCompTextShaman29, &gt;&gt; .\items\materia\class0006\Shaman29.dbr</v>
      </c>
      <c r="T31" t="str">
        <f t="shared" si="7"/>
        <v>echo augmentSkillLevel1,1, &gt;&gt; .\items\materia\class0006\Shaman29.dbr</v>
      </c>
      <c r="U31" t="str">
        <f t="shared" si="7"/>
        <v>echo augmentSkillName1,records/skills/playerclass06/savagery3.dbr, &gt;&gt; .\items\materia\class0006\Shaman29.dbr</v>
      </c>
      <c r="V31" s="5" t="s">
        <v>36</v>
      </c>
      <c r="W31" t="str">
        <f t="shared" si="8"/>
        <v>echo lootName29,DAIL/items/materia/class0006/Shaman29.dbr, &gt;&gt; .\items\loottables\dailoneskill0006.dbr</v>
      </c>
      <c r="X31" t="str">
        <f t="shared" si="8"/>
        <v>echo lootWeight29,1, &gt;&gt; .\items\loottables\dailoneskill0006.dbr</v>
      </c>
      <c r="Y31" s="5" t="s">
        <v>36</v>
      </c>
      <c r="Z31" t="str">
        <f t="shared" si="9"/>
        <v xml:space="preserve"> dailCompDescShaman29=^pShaman's Gift of DAIL</v>
      </c>
      <c r="AA31" t="str">
        <f t="shared" si="17"/>
        <v>dailCompTextShaman29=^oThis feels warm to the touch, almost familiar ^w(This component fits into all Jewellery slots including the Belt And Shoulder)</v>
      </c>
      <c r="AB31" s="5" t="s">
        <v>36</v>
      </c>
      <c r="AH31">
        <f t="shared" si="19"/>
        <v>26</v>
      </c>
      <c r="AI31">
        <f t="shared" si="13"/>
        <v>28</v>
      </c>
      <c r="AJ31">
        <f t="shared" si="18"/>
        <v>1</v>
      </c>
    </row>
    <row r="32" spans="1:36" x14ac:dyDescent="0.25">
      <c r="A32" s="5" t="s">
        <v>39</v>
      </c>
      <c r="B32" s="5" t="s">
        <v>30</v>
      </c>
      <c r="C32" s="5" t="str">
        <f t="shared" si="0"/>
        <v>description,dailCompDescShaman30,</v>
      </c>
      <c r="D32" s="5" t="str">
        <f t="shared" si="2"/>
        <v>itemText,dailCompTextShaman30,</v>
      </c>
      <c r="E32" s="5" t="str">
        <f t="shared" si="14"/>
        <v>augmentSkillLevel1,1,</v>
      </c>
      <c r="F32" s="5" t="str">
        <f t="shared" si="15"/>
        <v>augmentSkillName1,records/skills/playerclass06/savagestrike1.dbr,</v>
      </c>
      <c r="G32" s="7">
        <f t="shared" si="10"/>
        <v>30</v>
      </c>
      <c r="H32" s="8" t="str">
        <f t="shared" si="11"/>
        <v>Shaman</v>
      </c>
      <c r="I32" s="3" t="s">
        <v>144</v>
      </c>
      <c r="J32" s="8" t="str">
        <f t="shared" si="20"/>
        <v>class0006</v>
      </c>
      <c r="K32" s="8" t="str">
        <f t="shared" si="20"/>
        <v>dailoneskill0006</v>
      </c>
      <c r="L32" s="5" t="str">
        <f t="shared" si="4"/>
        <v>lootName30,DAIL/items/materia/class0006/Shaman30.dbr,</v>
      </c>
      <c r="M32" s="5" t="str">
        <f t="shared" si="5"/>
        <v>lootWeight30,1,</v>
      </c>
      <c r="N32" t="str">
        <f t="shared" si="6"/>
        <v>1</v>
      </c>
      <c r="O32" t="str">
        <f t="shared" si="16"/>
        <v>copy .\dail_base.dbr .\items\materia\class0006\Shaman30.dbr /y</v>
      </c>
      <c r="P32" t="str">
        <f t="shared" si="7"/>
        <v>echo relicBitmap,items/craftingparts/components/component_a52_bristlyfur_b.tex, &gt;&gt; .\items\materia\class0006\Shaman30.dbr</v>
      </c>
      <c r="Q32" t="str">
        <f t="shared" si="7"/>
        <v>echo itemCost,500000, &gt;&gt; .\items\materia\class0006\Shaman30.dbr</v>
      </c>
      <c r="R32" t="str">
        <f t="shared" si="7"/>
        <v>echo description,dailCompDescShaman30, &gt;&gt; .\items\materia\class0006\Shaman30.dbr</v>
      </c>
      <c r="S32" t="str">
        <f t="shared" si="7"/>
        <v>echo itemText,dailCompTextShaman30, &gt;&gt; .\items\materia\class0006\Shaman30.dbr</v>
      </c>
      <c r="T32" t="str">
        <f t="shared" si="7"/>
        <v>echo augmentSkillLevel1,1, &gt;&gt; .\items\materia\class0006\Shaman30.dbr</v>
      </c>
      <c r="U32" t="str">
        <f t="shared" si="7"/>
        <v>echo augmentSkillName1,records/skills/playerclass06/savagestrike1.dbr, &gt;&gt; .\items\materia\class0006\Shaman30.dbr</v>
      </c>
      <c r="V32" s="5" t="s">
        <v>36</v>
      </c>
      <c r="W32" t="str">
        <f t="shared" si="8"/>
        <v>echo lootName30,DAIL/items/materia/class0006/Shaman30.dbr, &gt;&gt; .\items\loottables\dailoneskill0006.dbr</v>
      </c>
      <c r="X32" t="str">
        <f t="shared" si="8"/>
        <v>echo lootWeight30,1, &gt;&gt; .\items\loottables\dailoneskill0006.dbr</v>
      </c>
      <c r="Y32" s="5" t="s">
        <v>36</v>
      </c>
      <c r="Z32" t="str">
        <f t="shared" si="9"/>
        <v xml:space="preserve"> dailCompDescShaman30=^pShaman's Gift of DAIL</v>
      </c>
      <c r="AA32" t="str">
        <f t="shared" si="17"/>
        <v>dailCompTextShaman30=^oThis feels warm to the touch, almost familiar ^w(This component fits into all Jewellery slots including the Belt And Shoulder)</v>
      </c>
      <c r="AB32" s="5" t="s">
        <v>36</v>
      </c>
      <c r="AH32">
        <f t="shared" si="19"/>
        <v>27</v>
      </c>
      <c r="AI32">
        <f t="shared" si="13"/>
        <v>32</v>
      </c>
      <c r="AJ32">
        <f t="shared" si="18"/>
        <v>1</v>
      </c>
    </row>
    <row r="33" spans="1:36" x14ac:dyDescent="0.25">
      <c r="A33" s="5" t="s">
        <v>39</v>
      </c>
      <c r="B33" s="5" t="s">
        <v>30</v>
      </c>
      <c r="C33" s="5" t="str">
        <f t="shared" si="0"/>
        <v>description,dailCompDescShaman31,</v>
      </c>
      <c r="D33" s="5" t="str">
        <f t="shared" si="2"/>
        <v>itemText,dailCompTextShaman31,</v>
      </c>
      <c r="E33" s="5" t="str">
        <f t="shared" si="14"/>
        <v>augmentSkillLevel1,1,</v>
      </c>
      <c r="F33" s="5" t="str">
        <f t="shared" si="15"/>
        <v>augmentSkillName1,records/skills/playerclass06/savagestrike1b.dbr,</v>
      </c>
      <c r="G33" s="7">
        <f t="shared" si="10"/>
        <v>31</v>
      </c>
      <c r="H33" s="8" t="str">
        <f t="shared" si="11"/>
        <v>Shaman</v>
      </c>
      <c r="I33" s="3" t="s">
        <v>355</v>
      </c>
      <c r="J33" s="8" t="str">
        <f t="shared" si="20"/>
        <v>class0006</v>
      </c>
      <c r="K33" s="8" t="str">
        <f t="shared" si="20"/>
        <v>dailoneskill0006</v>
      </c>
      <c r="L33" s="5" t="str">
        <f t="shared" si="4"/>
        <v>lootName31,DAIL/items/materia/class0006/Shaman31.dbr,</v>
      </c>
      <c r="M33" s="5" t="str">
        <f t="shared" si="5"/>
        <v>lootWeight31,1,</v>
      </c>
      <c r="N33" t="str">
        <f t="shared" si="6"/>
        <v>1</v>
      </c>
      <c r="O33" t="str">
        <f t="shared" si="16"/>
        <v>copy .\dail_base.dbr .\items\materia\class0006\Shaman31.dbr /y</v>
      </c>
      <c r="P33" t="str">
        <f t="shared" si="7"/>
        <v>echo relicBitmap,items/craftingparts/components/component_a52_bristlyfur_b.tex, &gt;&gt; .\items\materia\class0006\Shaman31.dbr</v>
      </c>
      <c r="Q33" t="str">
        <f t="shared" si="7"/>
        <v>echo itemCost,500000, &gt;&gt; .\items\materia\class0006\Shaman31.dbr</v>
      </c>
      <c r="R33" t="str">
        <f t="shared" si="7"/>
        <v>echo description,dailCompDescShaman31, &gt;&gt; .\items\materia\class0006\Shaman31.dbr</v>
      </c>
      <c r="S33" t="str">
        <f t="shared" si="7"/>
        <v>echo itemText,dailCompTextShaman31, &gt;&gt; .\items\materia\class0006\Shaman31.dbr</v>
      </c>
      <c r="T33" t="str">
        <f t="shared" si="7"/>
        <v>echo augmentSkillLevel1,1, &gt;&gt; .\items\materia\class0006\Shaman31.dbr</v>
      </c>
      <c r="U33" t="str">
        <f t="shared" si="7"/>
        <v>echo augmentSkillName1,records/skills/playerclass06/savagestrike1b.dbr, &gt;&gt; .\items\materia\class0006\Shaman31.dbr</v>
      </c>
      <c r="V33" s="5" t="s">
        <v>36</v>
      </c>
      <c r="W33" t="str">
        <f t="shared" si="8"/>
        <v>echo lootName31,DAIL/items/materia/class0006/Shaman31.dbr, &gt;&gt; .\items\loottables\dailoneskill0006.dbr</v>
      </c>
      <c r="X33" t="str">
        <f t="shared" si="8"/>
        <v>echo lootWeight31,1, &gt;&gt; .\items\loottables\dailoneskill0006.dbr</v>
      </c>
      <c r="Y33" s="5" t="s">
        <v>36</v>
      </c>
      <c r="Z33" t="str">
        <f t="shared" si="9"/>
        <v xml:space="preserve"> dailCompDescShaman31=^pShaman's Gift of DAIL</v>
      </c>
      <c r="AA33" t="str">
        <f t="shared" si="17"/>
        <v>dailCompTextShaman31=^oThis feels warm to the touch, almost familiar ^w(This component fits into all Jewellery slots including the Belt And Shoulder)</v>
      </c>
      <c r="AB33" s="5" t="s">
        <v>36</v>
      </c>
      <c r="AH33">
        <f t="shared" si="19"/>
        <v>28</v>
      </c>
      <c r="AI33">
        <f t="shared" si="13"/>
        <v>33</v>
      </c>
      <c r="AJ33">
        <f t="shared" si="18"/>
        <v>1</v>
      </c>
    </row>
    <row r="34" spans="1:36" x14ac:dyDescent="0.25">
      <c r="A34" s="5" t="s">
        <v>39</v>
      </c>
      <c r="B34" s="5" t="s">
        <v>30</v>
      </c>
      <c r="C34" s="5" t="str">
        <f t="shared" si="0"/>
        <v>description,dailCompDescShaman32,</v>
      </c>
      <c r="D34" s="5" t="str">
        <f t="shared" si="2"/>
        <v>itemText,dailCompTextShaman32,</v>
      </c>
      <c r="E34" s="5" t="str">
        <f t="shared" si="14"/>
        <v>augmentSkillLevel1,1,</v>
      </c>
      <c r="F34" s="5" t="str">
        <f t="shared" si="15"/>
        <v>augmentSkillName1,records/skills/playerclass06/savagestrike3.dbr,</v>
      </c>
      <c r="G34" s="7">
        <f t="shared" si="10"/>
        <v>32</v>
      </c>
      <c r="H34" s="8" t="str">
        <f t="shared" si="11"/>
        <v>Shaman</v>
      </c>
      <c r="I34" s="3" t="s">
        <v>356</v>
      </c>
      <c r="J34" s="8" t="str">
        <f t="shared" si="20"/>
        <v>class0006</v>
      </c>
      <c r="K34" s="8" t="str">
        <f t="shared" si="20"/>
        <v>dailoneskill0006</v>
      </c>
      <c r="L34" s="5" t="str">
        <f t="shared" si="4"/>
        <v>lootName32,DAIL/items/materia/class0006/Shaman32.dbr,</v>
      </c>
      <c r="M34" s="5" t="str">
        <f t="shared" si="5"/>
        <v>lootWeight32,1,</v>
      </c>
      <c r="N34" t="str">
        <f t="shared" si="6"/>
        <v>1</v>
      </c>
      <c r="O34" t="str">
        <f t="shared" si="16"/>
        <v>copy .\dail_base.dbr .\items\materia\class0006\Shaman32.dbr /y</v>
      </c>
      <c r="P34" t="str">
        <f t="shared" si="7"/>
        <v>echo relicBitmap,items/craftingparts/components/component_a52_bristlyfur_b.tex, &gt;&gt; .\items\materia\class0006\Shaman32.dbr</v>
      </c>
      <c r="Q34" t="str">
        <f t="shared" si="7"/>
        <v>echo itemCost,500000, &gt;&gt; .\items\materia\class0006\Shaman32.dbr</v>
      </c>
      <c r="R34" t="str">
        <f t="shared" si="7"/>
        <v>echo description,dailCompDescShaman32, &gt;&gt; .\items\materia\class0006\Shaman32.dbr</v>
      </c>
      <c r="S34" t="str">
        <f t="shared" si="7"/>
        <v>echo itemText,dailCompTextShaman32, &gt;&gt; .\items\materia\class0006\Shaman32.dbr</v>
      </c>
      <c r="T34" t="str">
        <f t="shared" si="7"/>
        <v>echo augmentSkillLevel1,1, &gt;&gt; .\items\materia\class0006\Shaman32.dbr</v>
      </c>
      <c r="U34" t="str">
        <f t="shared" si="7"/>
        <v>echo augmentSkillName1,records/skills/playerclass06/savagestrike3.dbr, &gt;&gt; .\items\materia\class0006\Shaman32.dbr</v>
      </c>
      <c r="V34" s="5" t="s">
        <v>36</v>
      </c>
      <c r="W34" t="str">
        <f t="shared" si="8"/>
        <v>echo lootName32,DAIL/items/materia/class0006/Shaman32.dbr, &gt;&gt; .\items\loottables\dailoneskill0006.dbr</v>
      </c>
      <c r="X34" t="str">
        <f t="shared" si="8"/>
        <v>echo lootWeight32,1, &gt;&gt; .\items\loottables\dailoneskill0006.dbr</v>
      </c>
      <c r="Y34" s="5" t="s">
        <v>36</v>
      </c>
      <c r="Z34" t="str">
        <f t="shared" si="9"/>
        <v xml:space="preserve"> dailCompDescShaman32=^pShaman's Gift of DAIL</v>
      </c>
      <c r="AA34" t="str">
        <f t="shared" si="17"/>
        <v>dailCompTextShaman32=^oThis feels warm to the touch, almost familiar ^w(This component fits into all Jewellery slots including the Belt And Shoulder)</v>
      </c>
      <c r="AB34" s="5" t="s">
        <v>36</v>
      </c>
      <c r="AH34">
        <f t="shared" si="19"/>
        <v>29</v>
      </c>
      <c r="AI34">
        <f t="shared" si="13"/>
        <v>32</v>
      </c>
      <c r="AJ34">
        <f t="shared" si="18"/>
        <v>1</v>
      </c>
    </row>
    <row r="35" spans="1:36" x14ac:dyDescent="0.25">
      <c r="A35" s="5" t="s">
        <v>39</v>
      </c>
      <c r="B35" s="5" t="s">
        <v>30</v>
      </c>
      <c r="C35" s="5" t="str">
        <f t="shared" si="0"/>
        <v>description,dailCompDescShaman33,</v>
      </c>
      <c r="D35" s="5" t="str">
        <f t="shared" si="2"/>
        <v>itemText,dailCompTextShaman33,</v>
      </c>
      <c r="E35" s="5" t="str">
        <f t="shared" si="14"/>
        <v>augmentSkillLevel1,3,</v>
      </c>
      <c r="F35" s="5" t="str">
        <f t="shared" si="15"/>
        <v>augmentSkillName1,records/skills/playerclass06/savagestrike2.dbr,</v>
      </c>
      <c r="G35" s="7">
        <f t="shared" si="10"/>
        <v>33</v>
      </c>
      <c r="H35" s="8" t="str">
        <f t="shared" si="11"/>
        <v>Shaman</v>
      </c>
      <c r="I35" s="3" t="s">
        <v>357</v>
      </c>
      <c r="J35" s="8" t="str">
        <f t="shared" si="20"/>
        <v>class0006</v>
      </c>
      <c r="K35" s="8" t="str">
        <f t="shared" si="20"/>
        <v>dailoneskill0006</v>
      </c>
      <c r="L35" s="5" t="str">
        <f t="shared" si="4"/>
        <v>lootName33,DAIL/items/materia/class0006/Shaman33.dbr,</v>
      </c>
      <c r="M35" s="5" t="str">
        <f t="shared" si="5"/>
        <v>lootWeight33,1,</v>
      </c>
      <c r="N35" t="str">
        <f t="shared" si="6"/>
        <v>3</v>
      </c>
      <c r="O35" t="str">
        <f t="shared" si="16"/>
        <v>copy .\dail_base3.dbr .\items\materia\class0006\Shaman33.dbr /y</v>
      </c>
      <c r="P35" t="str">
        <f t="shared" si="7"/>
        <v>echo relicBitmap,items/craftingparts/components/component_a52_bristlyfur_b.tex, &gt;&gt; .\items\materia\class0006\Shaman33.dbr</v>
      </c>
      <c r="Q35" t="str">
        <f t="shared" si="7"/>
        <v>echo itemCost,500000, &gt;&gt; .\items\materia\class0006\Shaman33.dbr</v>
      </c>
      <c r="R35" t="str">
        <f t="shared" si="7"/>
        <v>echo description,dailCompDescShaman33, &gt;&gt; .\items\materia\class0006\Shaman33.dbr</v>
      </c>
      <c r="S35" t="str">
        <f t="shared" si="7"/>
        <v>echo itemText,dailCompTextShaman33, &gt;&gt; .\items\materia\class0006\Shaman33.dbr</v>
      </c>
      <c r="T35" t="str">
        <f t="shared" si="7"/>
        <v>echo augmentSkillLevel1,3, &gt;&gt; .\items\materia\class0006\Shaman33.dbr</v>
      </c>
      <c r="U35" t="str">
        <f t="shared" si="7"/>
        <v>echo augmentSkillName1,records/skills/playerclass06/savagestrike2.dbr, &gt;&gt; .\items\materia\class0006\Shaman33.dbr</v>
      </c>
      <c r="V35" s="5" t="s">
        <v>36</v>
      </c>
      <c r="W35" t="str">
        <f t="shared" si="8"/>
        <v>echo lootName33,DAIL/items/materia/class0006/Shaman33.dbr, &gt;&gt; .\items\loottables\dailoneskill0006.dbr</v>
      </c>
      <c r="X35" t="str">
        <f t="shared" si="8"/>
        <v>echo lootWeight33,1, &gt;&gt; .\items\loottables\dailoneskill0006.dbr</v>
      </c>
      <c r="Y35" s="5" t="s">
        <v>36</v>
      </c>
      <c r="Z35" t="str">
        <f t="shared" si="9"/>
        <v xml:space="preserve"> dailCompDescShaman33=^pShaman's Gift of DAIL</v>
      </c>
      <c r="AA35" t="str">
        <f t="shared" si="17"/>
        <v>dailCompTextShaman33=^oThis feels warm to the touch, almost familiar ^w(This component only fits into the Medal Slot)</v>
      </c>
      <c r="AB35" s="5" t="s">
        <v>36</v>
      </c>
      <c r="AH35">
        <f t="shared" si="19"/>
        <v>30</v>
      </c>
      <c r="AI35">
        <f t="shared" si="13"/>
        <v>32</v>
      </c>
      <c r="AJ35">
        <f t="shared" si="18"/>
        <v>3</v>
      </c>
    </row>
    <row r="36" spans="1:36" x14ac:dyDescent="0.25">
      <c r="A36" s="5" t="s">
        <v>39</v>
      </c>
      <c r="B36" s="5" t="s">
        <v>30</v>
      </c>
      <c r="C36" s="5" t="str">
        <f t="shared" si="0"/>
        <v>description,dailCompDescShaman34,</v>
      </c>
      <c r="D36" s="5" t="str">
        <f t="shared" si="2"/>
        <v>itemText,dailCompTextShaman34,</v>
      </c>
      <c r="E36" s="5" t="str">
        <f t="shared" si="14"/>
        <v>augmentSkillLevel1,3,</v>
      </c>
      <c r="F36" s="5" t="str">
        <f t="shared" si="15"/>
        <v>augmentSkillName1,records/skills/playerclass06/natureblessing1.dbr,</v>
      </c>
      <c r="G36" s="7">
        <f t="shared" si="10"/>
        <v>34</v>
      </c>
      <c r="H36" s="8" t="str">
        <f t="shared" si="11"/>
        <v>Shaman</v>
      </c>
      <c r="I36" s="3" t="s">
        <v>141</v>
      </c>
      <c r="J36" s="8" t="str">
        <f t="shared" si="20"/>
        <v>class0006</v>
      </c>
      <c r="K36" s="8" t="str">
        <f t="shared" si="20"/>
        <v>dailoneskill0006</v>
      </c>
      <c r="L36" s="5" t="str">
        <f t="shared" si="4"/>
        <v>lootName34,DAIL/items/materia/class0006/Shaman34.dbr,</v>
      </c>
      <c r="M36" s="5" t="str">
        <f t="shared" si="5"/>
        <v>lootWeight34,1,</v>
      </c>
      <c r="N36" t="str">
        <f t="shared" si="6"/>
        <v>3</v>
      </c>
      <c r="O36" t="str">
        <f t="shared" si="16"/>
        <v>copy .\dail_base3.dbr .\items\materia\class0006\Shaman34.dbr /y</v>
      </c>
      <c r="P36" t="str">
        <f t="shared" si="7"/>
        <v>echo relicBitmap,items/craftingparts/components/component_a52_bristlyfur_b.tex, &gt;&gt; .\items\materia\class0006\Shaman34.dbr</v>
      </c>
      <c r="Q36" t="str">
        <f t="shared" si="7"/>
        <v>echo itemCost,500000, &gt;&gt; .\items\materia\class0006\Shaman34.dbr</v>
      </c>
      <c r="R36" t="str">
        <f t="shared" si="7"/>
        <v>echo description,dailCompDescShaman34, &gt;&gt; .\items\materia\class0006\Shaman34.dbr</v>
      </c>
      <c r="S36" t="str">
        <f t="shared" si="7"/>
        <v>echo itemText,dailCompTextShaman34, &gt;&gt; .\items\materia\class0006\Shaman34.dbr</v>
      </c>
      <c r="T36" t="str">
        <f t="shared" si="7"/>
        <v>echo augmentSkillLevel1,3, &gt;&gt; .\items\materia\class0006\Shaman34.dbr</v>
      </c>
      <c r="U36" t="str">
        <f t="shared" si="7"/>
        <v>echo augmentSkillName1,records/skills/playerclass06/natureblessing1.dbr, &gt;&gt; .\items\materia\class0006\Shaman34.dbr</v>
      </c>
      <c r="V36" s="5" t="s">
        <v>36</v>
      </c>
      <c r="W36" t="str">
        <f t="shared" si="8"/>
        <v>echo lootName34,DAIL/items/materia/class0006/Shaman34.dbr, &gt;&gt; .\items\loottables\dailoneskill0006.dbr</v>
      </c>
      <c r="X36" t="str">
        <f t="shared" si="8"/>
        <v>echo lootWeight34,1, &gt;&gt; .\items\loottables\dailoneskill0006.dbr</v>
      </c>
      <c r="Y36" s="5" t="s">
        <v>36</v>
      </c>
      <c r="Z36" t="str">
        <f t="shared" si="9"/>
        <v xml:space="preserve"> dailCompDescShaman34=^pShaman's Gift of DAIL</v>
      </c>
      <c r="AA36" t="str">
        <f t="shared" si="17"/>
        <v>dailCompTextShaman34=^oThis feels warm to the touch, almost familiar ^w(This component only fits into the Medal Slot)</v>
      </c>
      <c r="AB36" s="5" t="s">
        <v>36</v>
      </c>
      <c r="AH36">
        <f t="shared" si="19"/>
        <v>31</v>
      </c>
      <c r="AI36">
        <f t="shared" si="13"/>
        <v>34</v>
      </c>
      <c r="AJ36">
        <f t="shared" si="18"/>
        <v>3</v>
      </c>
    </row>
    <row r="37" spans="1:36" x14ac:dyDescent="0.25">
      <c r="A37" s="5" t="s">
        <v>39</v>
      </c>
      <c r="B37" s="5" t="s">
        <v>30</v>
      </c>
      <c r="C37" s="5" t="str">
        <f t="shared" si="0"/>
        <v>description,dailCompDescShaman35,</v>
      </c>
      <c r="D37" s="5" t="str">
        <f t="shared" si="2"/>
        <v>itemText,dailCompTextShaman35,</v>
      </c>
      <c r="E37" s="5" t="str">
        <f t="shared" si="14"/>
        <v>augmentSkillLevel1,3,</v>
      </c>
      <c r="F37" s="5" t="str">
        <f t="shared" si="15"/>
        <v>augmentSkillName1,records/skills/playerclass06/naturesblessing2.dbr,</v>
      </c>
      <c r="G37" s="7">
        <f t="shared" si="10"/>
        <v>35</v>
      </c>
      <c r="H37" s="8" t="str">
        <f t="shared" si="11"/>
        <v>Shaman</v>
      </c>
      <c r="I37" s="3" t="s">
        <v>340</v>
      </c>
      <c r="J37" s="8" t="str">
        <f t="shared" ref="J37:K52" si="21">J36</f>
        <v>class0006</v>
      </c>
      <c r="K37" s="8" t="str">
        <f t="shared" si="21"/>
        <v>dailoneskill0006</v>
      </c>
      <c r="L37" s="5" t="str">
        <f t="shared" si="4"/>
        <v>lootName35,DAIL/items/materia/class0006/Shaman35.dbr,</v>
      </c>
      <c r="M37" s="5" t="str">
        <f t="shared" si="5"/>
        <v>lootWeight35,1,</v>
      </c>
      <c r="N37" t="str">
        <f t="shared" si="6"/>
        <v>3</v>
      </c>
      <c r="O37" t="str">
        <f t="shared" si="16"/>
        <v>copy .\dail_base3.dbr .\items\materia\class0006\Shaman35.dbr /y</v>
      </c>
      <c r="P37" t="str">
        <f t="shared" si="7"/>
        <v>echo relicBitmap,items/craftingparts/components/component_a52_bristlyfur_b.tex, &gt;&gt; .\items\materia\class0006\Shaman35.dbr</v>
      </c>
      <c r="Q37" t="str">
        <f t="shared" si="7"/>
        <v>echo itemCost,500000, &gt;&gt; .\items\materia\class0006\Shaman35.dbr</v>
      </c>
      <c r="R37" t="str">
        <f t="shared" si="7"/>
        <v>echo description,dailCompDescShaman35, &gt;&gt; .\items\materia\class0006\Shaman35.dbr</v>
      </c>
      <c r="S37" t="str">
        <f t="shared" si="7"/>
        <v>echo itemText,dailCompTextShaman35, &gt;&gt; .\items\materia\class0006\Shaman35.dbr</v>
      </c>
      <c r="T37" t="str">
        <f t="shared" si="7"/>
        <v>echo augmentSkillLevel1,3, &gt;&gt; .\items\materia\class0006\Shaman35.dbr</v>
      </c>
      <c r="U37" t="str">
        <f t="shared" si="7"/>
        <v>echo augmentSkillName1,records/skills/playerclass06/naturesblessing2.dbr, &gt;&gt; .\items\materia\class0006\Shaman35.dbr</v>
      </c>
      <c r="V37" s="5" t="s">
        <v>36</v>
      </c>
      <c r="W37" t="str">
        <f t="shared" si="8"/>
        <v>echo lootName35,DAIL/items/materia/class0006/Shaman35.dbr, &gt;&gt; .\items\loottables\dailoneskill0006.dbr</v>
      </c>
      <c r="X37" t="str">
        <f t="shared" si="8"/>
        <v>echo lootWeight35,1, &gt;&gt; .\items\loottables\dailoneskill0006.dbr</v>
      </c>
      <c r="Y37" s="5" t="s">
        <v>36</v>
      </c>
      <c r="Z37" t="str">
        <f t="shared" si="9"/>
        <v xml:space="preserve"> dailCompDescShaman35=^pShaman's Gift of DAIL</v>
      </c>
      <c r="AA37" t="str">
        <f t="shared" si="17"/>
        <v>dailCompTextShaman35=^oThis feels warm to the touch, almost familiar ^w(This component only fits into the Medal Slot)</v>
      </c>
      <c r="AB37" s="5" t="s">
        <v>36</v>
      </c>
      <c r="AH37">
        <f t="shared" si="19"/>
        <v>32</v>
      </c>
      <c r="AI37">
        <f t="shared" si="13"/>
        <v>35</v>
      </c>
      <c r="AJ37">
        <f t="shared" si="18"/>
        <v>3</v>
      </c>
    </row>
    <row r="38" spans="1:36" x14ac:dyDescent="0.25">
      <c r="A38" s="5" t="s">
        <v>39</v>
      </c>
      <c r="B38" s="5" t="s">
        <v>30</v>
      </c>
      <c r="C38" s="5" t="str">
        <f t="shared" si="0"/>
        <v>description,dailCompDescShaman36,</v>
      </c>
      <c r="D38" s="5" t="str">
        <f t="shared" si="2"/>
        <v>itemText,dailCompTextShaman36,</v>
      </c>
      <c r="E38" s="5" t="str">
        <f t="shared" si="14"/>
        <v>augmentSkillLevel1,3,</v>
      </c>
      <c r="F38" s="5" t="str">
        <f t="shared" si="15"/>
        <v>augmentSkillName1,records/skills/playerclass06/naturesblessing3.dbr,</v>
      </c>
      <c r="G38" s="7">
        <f t="shared" si="10"/>
        <v>36</v>
      </c>
      <c r="H38" s="8" t="str">
        <f t="shared" si="11"/>
        <v>Shaman</v>
      </c>
      <c r="I38" s="3" t="s">
        <v>341</v>
      </c>
      <c r="J38" s="8" t="str">
        <f t="shared" si="21"/>
        <v>class0006</v>
      </c>
      <c r="K38" s="8" t="str">
        <f t="shared" si="21"/>
        <v>dailoneskill0006</v>
      </c>
      <c r="L38" s="5" t="str">
        <f t="shared" si="4"/>
        <v>lootName36,DAIL/items/materia/class0006/Shaman36.dbr,</v>
      </c>
      <c r="M38" s="5" t="str">
        <f t="shared" si="5"/>
        <v>lootWeight36,1,</v>
      </c>
      <c r="N38" t="str">
        <f t="shared" si="6"/>
        <v>3</v>
      </c>
      <c r="O38" t="str">
        <f t="shared" si="16"/>
        <v>copy .\dail_base3.dbr .\items\materia\class0006\Shaman36.dbr /y</v>
      </c>
      <c r="P38" t="str">
        <f t="shared" si="7"/>
        <v>echo relicBitmap,items/craftingparts/components/component_a52_bristlyfur_b.tex, &gt;&gt; .\items\materia\class0006\Shaman36.dbr</v>
      </c>
      <c r="Q38" t="str">
        <f t="shared" si="7"/>
        <v>echo itemCost,500000, &gt;&gt; .\items\materia\class0006\Shaman36.dbr</v>
      </c>
      <c r="R38" t="str">
        <f t="shared" si="7"/>
        <v>echo description,dailCompDescShaman36, &gt;&gt; .\items\materia\class0006\Shaman36.dbr</v>
      </c>
      <c r="S38" t="str">
        <f t="shared" si="7"/>
        <v>echo itemText,dailCompTextShaman36, &gt;&gt; .\items\materia\class0006\Shaman36.dbr</v>
      </c>
      <c r="T38" t="str">
        <f t="shared" si="7"/>
        <v>echo augmentSkillLevel1,3, &gt;&gt; .\items\materia\class0006\Shaman36.dbr</v>
      </c>
      <c r="U38" t="str">
        <f t="shared" si="7"/>
        <v>echo augmentSkillName1,records/skills/playerclass06/naturesblessing3.dbr, &gt;&gt; .\items\materia\class0006\Shaman36.dbr</v>
      </c>
      <c r="V38" s="5" t="s">
        <v>36</v>
      </c>
      <c r="W38" t="str">
        <f t="shared" si="8"/>
        <v>echo lootName36,DAIL/items/materia/class0006/Shaman36.dbr, &gt;&gt; .\items\loottables\dailoneskill0006.dbr</v>
      </c>
      <c r="X38" t="str">
        <f t="shared" si="8"/>
        <v>echo lootWeight36,1, &gt;&gt; .\items\loottables\dailoneskill0006.dbr</v>
      </c>
      <c r="Y38" s="5" t="s">
        <v>36</v>
      </c>
      <c r="Z38" t="str">
        <f t="shared" si="9"/>
        <v xml:space="preserve"> dailCompDescShaman36=^pShaman's Gift of DAIL</v>
      </c>
      <c r="AA38" t="str">
        <f t="shared" si="17"/>
        <v>dailCompTextShaman36=^oThis feels warm to the touch, almost familiar ^w(This component only fits into the Medal Slot)</v>
      </c>
      <c r="AB38" s="5" t="s">
        <v>36</v>
      </c>
      <c r="AH38">
        <f t="shared" si="19"/>
        <v>33</v>
      </c>
      <c r="AI38">
        <f t="shared" ref="AI38:AI69" si="22">LEN(I38)</f>
        <v>35</v>
      </c>
      <c r="AJ38">
        <f t="shared" si="18"/>
        <v>3</v>
      </c>
    </row>
    <row r="39" spans="1:36" x14ac:dyDescent="0.25">
      <c r="A39" s="5" t="s">
        <v>39</v>
      </c>
      <c r="B39" s="5" t="s">
        <v>30</v>
      </c>
      <c r="C39" s="5" t="str">
        <f t="shared" si="0"/>
        <v>description,dailCompDescShaman37,</v>
      </c>
      <c r="D39" s="5" t="str">
        <f t="shared" si="2"/>
        <v>itemText,dailCompTextShaman37,</v>
      </c>
      <c r="E39" s="5" t="str">
        <f t="shared" si="14"/>
        <v>augmentSkillLevel1,3,</v>
      </c>
      <c r="F39" s="5" t="str">
        <f t="shared" si="15"/>
        <v>augmentSkillName1,records/skills/playerclass06/summon_briarthorn1.dbr,</v>
      </c>
      <c r="G39" s="7">
        <f t="shared" si="10"/>
        <v>37</v>
      </c>
      <c r="H39" s="8" t="str">
        <f t="shared" si="11"/>
        <v>Shaman</v>
      </c>
      <c r="I39" s="3" t="s">
        <v>148</v>
      </c>
      <c r="J39" s="8" t="str">
        <f t="shared" si="21"/>
        <v>class0006</v>
      </c>
      <c r="K39" s="8" t="str">
        <f t="shared" si="21"/>
        <v>dailoneskill0006</v>
      </c>
      <c r="L39" s="5" t="str">
        <f t="shared" si="4"/>
        <v>lootName37,DAIL/items/materia/class0006/Shaman37.dbr,</v>
      </c>
      <c r="M39" s="5" t="str">
        <f t="shared" si="5"/>
        <v>lootWeight37,1,</v>
      </c>
      <c r="N39" t="str">
        <f t="shared" si="6"/>
        <v>3</v>
      </c>
      <c r="O39" t="str">
        <f t="shared" si="16"/>
        <v>copy .\dail_base3.dbr .\items\materia\class0006\Shaman37.dbr /y</v>
      </c>
      <c r="P39" t="str">
        <f t="shared" si="7"/>
        <v>echo relicBitmap,items/craftingparts/components/component_a52_bristlyfur_b.tex, &gt;&gt; .\items\materia\class0006\Shaman37.dbr</v>
      </c>
      <c r="Q39" t="str">
        <f t="shared" si="7"/>
        <v>echo itemCost,500000, &gt;&gt; .\items\materia\class0006\Shaman37.dbr</v>
      </c>
      <c r="R39" t="str">
        <f t="shared" si="7"/>
        <v>echo description,dailCompDescShaman37, &gt;&gt; .\items\materia\class0006\Shaman37.dbr</v>
      </c>
      <c r="S39" t="str">
        <f t="shared" si="7"/>
        <v>echo itemText,dailCompTextShaman37, &gt;&gt; .\items\materia\class0006\Shaman37.dbr</v>
      </c>
      <c r="T39" t="str">
        <f t="shared" si="7"/>
        <v>echo augmentSkillLevel1,3, &gt;&gt; .\items\materia\class0006\Shaman37.dbr</v>
      </c>
      <c r="U39" t="str">
        <f t="shared" si="7"/>
        <v>echo augmentSkillName1,records/skills/playerclass06/summon_briarthorn1.dbr, &gt;&gt; .\items\materia\class0006\Shaman37.dbr</v>
      </c>
      <c r="V39" s="5" t="s">
        <v>36</v>
      </c>
      <c r="W39" t="str">
        <f t="shared" si="8"/>
        <v>echo lootName37,DAIL/items/materia/class0006/Shaman37.dbr, &gt;&gt; .\items\loottables\dailoneskill0006.dbr</v>
      </c>
      <c r="X39" t="str">
        <f t="shared" si="8"/>
        <v>echo lootWeight37,1, &gt;&gt; .\items\loottables\dailoneskill0006.dbr</v>
      </c>
      <c r="Y39" s="5" t="s">
        <v>36</v>
      </c>
      <c r="Z39" t="str">
        <f t="shared" si="9"/>
        <v xml:space="preserve"> dailCompDescShaman37=^pShaman's Gift of DAIL</v>
      </c>
      <c r="AA39" t="str">
        <f t="shared" si="17"/>
        <v>dailCompTextShaman37=^oThis feels warm to the touch, almost familiar ^w(This component only fits into the Medal Slot)</v>
      </c>
      <c r="AB39" s="5" t="s">
        <v>36</v>
      </c>
      <c r="AH39">
        <f t="shared" si="19"/>
        <v>34</v>
      </c>
      <c r="AI39">
        <f t="shared" si="22"/>
        <v>37</v>
      </c>
      <c r="AJ39">
        <f t="shared" si="18"/>
        <v>3</v>
      </c>
    </row>
    <row r="40" spans="1:36" x14ac:dyDescent="0.25">
      <c r="A40" s="5" t="s">
        <v>39</v>
      </c>
      <c r="B40" s="5" t="s">
        <v>30</v>
      </c>
      <c r="C40" s="5" t="str">
        <f t="shared" si="0"/>
        <v>description,dailCompDescShaman38,</v>
      </c>
      <c r="D40" s="5" t="str">
        <f t="shared" si="2"/>
        <v>itemText,dailCompTextShaman38,</v>
      </c>
      <c r="E40" s="5" t="str">
        <f t="shared" si="14"/>
        <v>augmentSkillLevel1,3,</v>
      </c>
      <c r="F40" s="5" t="str">
        <f t="shared" si="15"/>
        <v>augmentSkillName1,records/skills/playerclass06/summon_briarthorn2_petmodifier.dbr,</v>
      </c>
      <c r="G40" s="7">
        <f t="shared" si="10"/>
        <v>38</v>
      </c>
      <c r="H40" s="8" t="str">
        <f t="shared" si="11"/>
        <v>Shaman</v>
      </c>
      <c r="I40" s="3" t="s">
        <v>342</v>
      </c>
      <c r="J40" s="8" t="str">
        <f t="shared" si="21"/>
        <v>class0006</v>
      </c>
      <c r="K40" s="8" t="str">
        <f t="shared" si="21"/>
        <v>dailoneskill0006</v>
      </c>
      <c r="L40" s="5" t="str">
        <f t="shared" si="4"/>
        <v>lootName38,DAIL/items/materia/class0006/Shaman38.dbr,</v>
      </c>
      <c r="M40" s="5" t="str">
        <f t="shared" si="5"/>
        <v>lootWeight38,1,</v>
      </c>
      <c r="N40" t="str">
        <f t="shared" si="6"/>
        <v>3</v>
      </c>
      <c r="O40" t="str">
        <f t="shared" si="16"/>
        <v>copy .\dail_base3.dbr .\items\materia\class0006\Shaman38.dbr /y</v>
      </c>
      <c r="P40" t="str">
        <f t="shared" si="7"/>
        <v>echo relicBitmap,items/craftingparts/components/component_a52_bristlyfur_b.tex, &gt;&gt; .\items\materia\class0006\Shaman38.dbr</v>
      </c>
      <c r="Q40" t="str">
        <f t="shared" si="7"/>
        <v>echo itemCost,500000, &gt;&gt; .\items\materia\class0006\Shaman38.dbr</v>
      </c>
      <c r="R40" t="str">
        <f t="shared" si="7"/>
        <v>echo description,dailCompDescShaman38, &gt;&gt; .\items\materia\class0006\Shaman38.dbr</v>
      </c>
      <c r="S40" t="str">
        <f t="shared" si="7"/>
        <v>echo itemText,dailCompTextShaman38, &gt;&gt; .\items\materia\class0006\Shaman38.dbr</v>
      </c>
      <c r="T40" t="str">
        <f t="shared" si="7"/>
        <v>echo augmentSkillLevel1,3, &gt;&gt; .\items\materia\class0006\Shaman38.dbr</v>
      </c>
      <c r="U40" t="str">
        <f t="shared" si="7"/>
        <v>echo augmentSkillName1,records/skills/playerclass06/summon_briarthorn2_petmodifier.dbr, &gt;&gt; .\items\materia\class0006\Shaman38.dbr</v>
      </c>
      <c r="V40" s="5" t="s">
        <v>36</v>
      </c>
      <c r="W40" t="str">
        <f t="shared" si="8"/>
        <v>echo lootName38,DAIL/items/materia/class0006/Shaman38.dbr, &gt;&gt; .\items\loottables\dailoneskill0006.dbr</v>
      </c>
      <c r="X40" t="str">
        <f t="shared" si="8"/>
        <v>echo lootWeight38,1, &gt;&gt; .\items\loottables\dailoneskill0006.dbr</v>
      </c>
      <c r="Y40" s="5" t="s">
        <v>36</v>
      </c>
      <c r="Z40" t="str">
        <f t="shared" si="9"/>
        <v xml:space="preserve"> dailCompDescShaman38=^pShaman's Gift of DAIL</v>
      </c>
      <c r="AA40" t="str">
        <f t="shared" si="17"/>
        <v>dailCompTextShaman38=^oThis feels warm to the touch, almost familiar ^w(This component only fits into the Medal Slot)</v>
      </c>
      <c r="AB40" s="5" t="s">
        <v>36</v>
      </c>
      <c r="AH40">
        <f t="shared" si="19"/>
        <v>35</v>
      </c>
      <c r="AI40">
        <f t="shared" si="22"/>
        <v>49</v>
      </c>
      <c r="AJ40">
        <f t="shared" si="18"/>
        <v>3</v>
      </c>
    </row>
    <row r="41" spans="1:36" x14ac:dyDescent="0.25">
      <c r="A41" s="5" t="s">
        <v>39</v>
      </c>
      <c r="B41" s="5" t="s">
        <v>30</v>
      </c>
      <c r="C41" s="5" t="str">
        <f t="shared" si="0"/>
        <v>description,dailCompDescShaman39,</v>
      </c>
      <c r="D41" s="5" t="str">
        <f t="shared" si="2"/>
        <v>itemText,dailCompTextShaman39,</v>
      </c>
      <c r="E41" s="5" t="str">
        <f t="shared" si="14"/>
        <v>augmentSkillLevel1,3,</v>
      </c>
      <c r="F41" s="5" t="str">
        <f t="shared" si="15"/>
        <v>augmentSkillName1,records/skills/playerclass06/summon_briarthorn3_petmodifier.dbr,</v>
      </c>
      <c r="G41" s="7">
        <f t="shared" si="10"/>
        <v>39</v>
      </c>
      <c r="H41" s="8" t="str">
        <f t="shared" si="11"/>
        <v>Shaman</v>
      </c>
      <c r="I41" s="3" t="s">
        <v>343</v>
      </c>
      <c r="J41" s="8" t="str">
        <f t="shared" si="21"/>
        <v>class0006</v>
      </c>
      <c r="K41" s="8" t="str">
        <f t="shared" si="21"/>
        <v>dailoneskill0006</v>
      </c>
      <c r="L41" s="5" t="str">
        <f t="shared" si="4"/>
        <v>lootName39,DAIL/items/materia/class0006/Shaman39.dbr,</v>
      </c>
      <c r="M41" s="5" t="str">
        <f t="shared" si="5"/>
        <v>lootWeight39,1,</v>
      </c>
      <c r="N41" t="str">
        <f t="shared" si="6"/>
        <v>3</v>
      </c>
      <c r="O41" t="str">
        <f t="shared" si="16"/>
        <v>copy .\dail_base3.dbr .\items\materia\class0006\Shaman39.dbr /y</v>
      </c>
      <c r="P41" t="str">
        <f t="shared" si="7"/>
        <v>echo relicBitmap,items/craftingparts/components/component_a52_bristlyfur_b.tex, &gt;&gt; .\items\materia\class0006\Shaman39.dbr</v>
      </c>
      <c r="Q41" t="str">
        <f t="shared" si="7"/>
        <v>echo itemCost,500000, &gt;&gt; .\items\materia\class0006\Shaman39.dbr</v>
      </c>
      <c r="R41" t="str">
        <f t="shared" si="7"/>
        <v>echo description,dailCompDescShaman39, &gt;&gt; .\items\materia\class0006\Shaman39.dbr</v>
      </c>
      <c r="S41" t="str">
        <f t="shared" si="7"/>
        <v>echo itemText,dailCompTextShaman39, &gt;&gt; .\items\materia\class0006\Shaman39.dbr</v>
      </c>
      <c r="T41" t="str">
        <f t="shared" si="7"/>
        <v>echo augmentSkillLevel1,3, &gt;&gt; .\items\materia\class0006\Shaman39.dbr</v>
      </c>
      <c r="U41" t="str">
        <f t="shared" si="7"/>
        <v>echo augmentSkillName1,records/skills/playerclass06/summon_briarthorn3_petmodifier.dbr, &gt;&gt; .\items\materia\class0006\Shaman39.dbr</v>
      </c>
      <c r="V41" s="5" t="s">
        <v>36</v>
      </c>
      <c r="W41" t="str">
        <f t="shared" si="8"/>
        <v>echo lootName39,DAIL/items/materia/class0006/Shaman39.dbr, &gt;&gt; .\items\loottables\dailoneskill0006.dbr</v>
      </c>
      <c r="X41" t="str">
        <f t="shared" si="8"/>
        <v>echo lootWeight39,1, &gt;&gt; .\items\loottables\dailoneskill0006.dbr</v>
      </c>
      <c r="Y41" s="5" t="s">
        <v>36</v>
      </c>
      <c r="Z41" t="str">
        <f t="shared" si="9"/>
        <v xml:space="preserve"> dailCompDescShaman39=^pShaman's Gift of DAIL</v>
      </c>
      <c r="AA41" t="str">
        <f t="shared" si="17"/>
        <v>dailCompTextShaman39=^oThis feels warm to the touch, almost familiar ^w(This component only fits into the Medal Slot)</v>
      </c>
      <c r="AB41" s="5" t="s">
        <v>36</v>
      </c>
      <c r="AH41">
        <f t="shared" si="19"/>
        <v>36</v>
      </c>
      <c r="AI41">
        <f t="shared" si="22"/>
        <v>49</v>
      </c>
      <c r="AJ41">
        <f t="shared" si="18"/>
        <v>3</v>
      </c>
    </row>
    <row r="42" spans="1:36" x14ac:dyDescent="0.25">
      <c r="A42" s="5" t="s">
        <v>39</v>
      </c>
      <c r="B42" s="5" t="s">
        <v>30</v>
      </c>
      <c r="C42" s="5" t="str">
        <f t="shared" si="0"/>
        <v>description,dailCompDescShaman40,</v>
      </c>
      <c r="D42" s="5" t="str">
        <f t="shared" si="2"/>
        <v>itemText,dailCompTextShaman40,</v>
      </c>
      <c r="E42" s="5" t="str">
        <f t="shared" si="14"/>
        <v>augmentSkillLevel1,3,</v>
      </c>
      <c r="F42" s="5" t="str">
        <f t="shared" si="15"/>
        <v>augmentSkillName1,records/skills/playerclass06/primalbond01.dbr,</v>
      </c>
      <c r="G42" s="7">
        <f t="shared" si="10"/>
        <v>40</v>
      </c>
      <c r="H42" s="8" t="str">
        <f t="shared" si="11"/>
        <v>Shaman</v>
      </c>
      <c r="I42" s="3" t="s">
        <v>142</v>
      </c>
      <c r="J42" s="8" t="str">
        <f t="shared" si="21"/>
        <v>class0006</v>
      </c>
      <c r="K42" s="8" t="str">
        <f t="shared" si="21"/>
        <v>dailoneskill0006</v>
      </c>
      <c r="L42" s="5" t="str">
        <f t="shared" si="4"/>
        <v>lootName40,DAIL/items/materia/class0006/Shaman40.dbr,</v>
      </c>
      <c r="M42" s="5" t="str">
        <f t="shared" si="5"/>
        <v>lootWeight40,1,</v>
      </c>
      <c r="N42" t="str">
        <f t="shared" si="6"/>
        <v>3</v>
      </c>
      <c r="O42" t="str">
        <f t="shared" si="16"/>
        <v>copy .\dail_base3.dbr .\items\materia\class0006\Shaman40.dbr /y</v>
      </c>
      <c r="P42" t="str">
        <f t="shared" si="7"/>
        <v>echo relicBitmap,items/craftingparts/components/component_a52_bristlyfur_b.tex, &gt;&gt; .\items\materia\class0006\Shaman40.dbr</v>
      </c>
      <c r="Q42" t="str">
        <f t="shared" si="7"/>
        <v>echo itemCost,500000, &gt;&gt; .\items\materia\class0006\Shaman40.dbr</v>
      </c>
      <c r="R42" t="str">
        <f t="shared" si="7"/>
        <v>echo description,dailCompDescShaman40, &gt;&gt; .\items\materia\class0006\Shaman40.dbr</v>
      </c>
      <c r="S42" t="str">
        <f t="shared" si="7"/>
        <v>echo itemText,dailCompTextShaman40, &gt;&gt; .\items\materia\class0006\Shaman40.dbr</v>
      </c>
      <c r="T42" t="str">
        <f t="shared" si="7"/>
        <v>echo augmentSkillLevel1,3, &gt;&gt; .\items\materia\class0006\Shaman40.dbr</v>
      </c>
      <c r="U42" t="str">
        <f t="shared" si="7"/>
        <v>echo augmentSkillName1,records/skills/playerclass06/primalbond01.dbr, &gt;&gt; .\items\materia\class0006\Shaman40.dbr</v>
      </c>
      <c r="V42" s="5" t="s">
        <v>36</v>
      </c>
      <c r="W42" t="str">
        <f t="shared" si="8"/>
        <v>echo lootName40,DAIL/items/materia/class0006/Shaman40.dbr, &gt;&gt; .\items\loottables\dailoneskill0006.dbr</v>
      </c>
      <c r="X42" t="str">
        <f t="shared" si="8"/>
        <v>echo lootWeight40,1, &gt;&gt; .\items\loottables\dailoneskill0006.dbr</v>
      </c>
      <c r="Y42" s="5" t="s">
        <v>36</v>
      </c>
      <c r="Z42" t="str">
        <f t="shared" si="9"/>
        <v xml:space="preserve"> dailCompDescShaman40=^pShaman's Gift of DAIL</v>
      </c>
      <c r="AA42" t="str">
        <f t="shared" si="17"/>
        <v>dailCompTextShaman40=^oThis feels warm to the touch, almost familiar ^w(This component only fits into the Medal Slot)</v>
      </c>
      <c r="AB42" s="5" t="s">
        <v>36</v>
      </c>
      <c r="AH42">
        <f t="shared" si="19"/>
        <v>37</v>
      </c>
      <c r="AI42">
        <f t="shared" si="22"/>
        <v>31</v>
      </c>
      <c r="AJ42">
        <f t="shared" si="18"/>
        <v>3</v>
      </c>
    </row>
    <row r="43" spans="1:36" x14ac:dyDescent="0.25">
      <c r="A43" s="5" t="s">
        <v>39</v>
      </c>
      <c r="B43" s="5" t="s">
        <v>30</v>
      </c>
      <c r="C43" s="5" t="str">
        <f t="shared" si="0"/>
        <v>description,dailCompDescShaman41,</v>
      </c>
      <c r="D43" s="5" t="str">
        <f t="shared" si="2"/>
        <v>itemText,dailCompTextShaman41,</v>
      </c>
      <c r="E43" s="5" t="str">
        <f t="shared" si="14"/>
        <v>augmentSkillLevel1,3,</v>
      </c>
      <c r="F43" s="5" t="str">
        <f t="shared" si="15"/>
        <v>augmentSkillName1,records/skills/playerclass06/stormcaller1.dbr,</v>
      </c>
      <c r="G43" s="7">
        <f t="shared" si="10"/>
        <v>41</v>
      </c>
      <c r="H43" s="8" t="str">
        <f t="shared" si="11"/>
        <v>Shaman</v>
      </c>
      <c r="I43" s="3" t="s">
        <v>146</v>
      </c>
      <c r="J43" s="8" t="str">
        <f t="shared" si="21"/>
        <v>class0006</v>
      </c>
      <c r="K43" s="8" t="str">
        <f t="shared" si="21"/>
        <v>dailoneskill0006</v>
      </c>
      <c r="L43" s="5" t="str">
        <f t="shared" si="4"/>
        <v>lootName41,DAIL/items/materia/class0006/Shaman41.dbr,</v>
      </c>
      <c r="M43" s="5" t="str">
        <f t="shared" si="5"/>
        <v>lootWeight41,1,</v>
      </c>
      <c r="N43" t="str">
        <f t="shared" si="6"/>
        <v>3</v>
      </c>
      <c r="O43" t="str">
        <f t="shared" si="16"/>
        <v>copy .\dail_base3.dbr .\items\materia\class0006\Shaman41.dbr /y</v>
      </c>
      <c r="P43" t="str">
        <f t="shared" si="7"/>
        <v>echo relicBitmap,items/craftingparts/components/component_a52_bristlyfur_b.tex, &gt;&gt; .\items\materia\class0006\Shaman41.dbr</v>
      </c>
      <c r="Q43" t="str">
        <f t="shared" si="7"/>
        <v>echo itemCost,500000, &gt;&gt; .\items\materia\class0006\Shaman41.dbr</v>
      </c>
      <c r="R43" t="str">
        <f t="shared" si="7"/>
        <v>echo description,dailCompDescShaman41, &gt;&gt; .\items\materia\class0006\Shaman41.dbr</v>
      </c>
      <c r="S43" t="str">
        <f t="shared" si="7"/>
        <v>echo itemText,dailCompTextShaman41, &gt;&gt; .\items\materia\class0006\Shaman41.dbr</v>
      </c>
      <c r="T43" t="str">
        <f t="shared" si="7"/>
        <v>echo augmentSkillLevel1,3, &gt;&gt; .\items\materia\class0006\Shaman41.dbr</v>
      </c>
      <c r="U43" t="str">
        <f t="shared" si="7"/>
        <v>echo augmentSkillName1,records/skills/playerclass06/stormcaller1.dbr, &gt;&gt; .\items\materia\class0006\Shaman41.dbr</v>
      </c>
      <c r="V43" s="5" t="s">
        <v>36</v>
      </c>
      <c r="W43" t="str">
        <f t="shared" si="8"/>
        <v>echo lootName41,DAIL/items/materia/class0006/Shaman41.dbr, &gt;&gt; .\items\loottables\dailoneskill0006.dbr</v>
      </c>
      <c r="X43" t="str">
        <f t="shared" si="8"/>
        <v>echo lootWeight41,1, &gt;&gt; .\items\loottables\dailoneskill0006.dbr</v>
      </c>
      <c r="Y43" s="5" t="s">
        <v>36</v>
      </c>
      <c r="Z43" t="str">
        <f t="shared" si="9"/>
        <v xml:space="preserve"> dailCompDescShaman41=^pShaman's Gift of DAIL</v>
      </c>
      <c r="AA43" t="str">
        <f t="shared" si="17"/>
        <v>dailCompTextShaman41=^oThis feels warm to the touch, almost familiar ^w(This component only fits into the Medal Slot)</v>
      </c>
      <c r="AB43" s="5" t="s">
        <v>36</v>
      </c>
      <c r="AH43">
        <f t="shared" si="19"/>
        <v>38</v>
      </c>
      <c r="AI43">
        <f t="shared" si="22"/>
        <v>31</v>
      </c>
      <c r="AJ43">
        <f t="shared" si="18"/>
        <v>3</v>
      </c>
    </row>
    <row r="44" spans="1:36" x14ac:dyDescent="0.25">
      <c r="A44" s="5" t="s">
        <v>39</v>
      </c>
      <c r="B44" s="5" t="s">
        <v>30</v>
      </c>
      <c r="C44" s="5" t="str">
        <f t="shared" si="0"/>
        <v>description,dailCompDescShaman42,</v>
      </c>
      <c r="D44" s="5" t="str">
        <f t="shared" si="2"/>
        <v>itemText,dailCompTextShaman42,</v>
      </c>
      <c r="E44" s="5" t="str">
        <f t="shared" si="14"/>
        <v>augmentSkillLevel1,3,</v>
      </c>
      <c r="F44" s="5" t="str">
        <f t="shared" si="15"/>
        <v>augmentSkillName1,records/skills/playerclass06/totem1.dbr,</v>
      </c>
      <c r="G44" s="7">
        <f t="shared" si="10"/>
        <v>42</v>
      </c>
      <c r="H44" s="8" t="str">
        <f t="shared" si="11"/>
        <v>Shaman</v>
      </c>
      <c r="I44" s="3" t="s">
        <v>150</v>
      </c>
      <c r="J44" s="8" t="str">
        <f t="shared" si="21"/>
        <v>class0006</v>
      </c>
      <c r="K44" s="8" t="str">
        <f t="shared" si="21"/>
        <v>dailoneskill0006</v>
      </c>
      <c r="L44" s="5" t="str">
        <f t="shared" si="4"/>
        <v>lootName42,DAIL/items/materia/class0006/Shaman42.dbr,</v>
      </c>
      <c r="M44" s="5" t="str">
        <f t="shared" si="5"/>
        <v>lootWeight42,1,</v>
      </c>
      <c r="N44" t="str">
        <f t="shared" si="6"/>
        <v>3</v>
      </c>
      <c r="O44" t="str">
        <f t="shared" si="16"/>
        <v>copy .\dail_base3.dbr .\items\materia\class0006\Shaman42.dbr /y</v>
      </c>
      <c r="P44" t="str">
        <f t="shared" si="7"/>
        <v>echo relicBitmap,items/craftingparts/components/component_a52_bristlyfur_b.tex, &gt;&gt; .\items\materia\class0006\Shaman42.dbr</v>
      </c>
      <c r="Q44" t="str">
        <f t="shared" si="7"/>
        <v>echo itemCost,500000, &gt;&gt; .\items\materia\class0006\Shaman42.dbr</v>
      </c>
      <c r="R44" t="str">
        <f t="shared" si="7"/>
        <v>echo description,dailCompDescShaman42, &gt;&gt; .\items\materia\class0006\Shaman42.dbr</v>
      </c>
      <c r="S44" t="str">
        <f t="shared" si="7"/>
        <v>echo itemText,dailCompTextShaman42, &gt;&gt; .\items\materia\class0006\Shaman42.dbr</v>
      </c>
      <c r="T44" t="str">
        <f t="shared" si="7"/>
        <v>echo augmentSkillLevel1,3, &gt;&gt; .\items\materia\class0006\Shaman42.dbr</v>
      </c>
      <c r="U44" t="str">
        <f t="shared" si="7"/>
        <v>echo augmentSkillName1,records/skills/playerclass06/totem1.dbr, &gt;&gt; .\items\materia\class0006\Shaman42.dbr</v>
      </c>
      <c r="V44" s="5" t="s">
        <v>36</v>
      </c>
      <c r="W44" t="str">
        <f t="shared" si="8"/>
        <v>echo lootName42,DAIL/items/materia/class0006/Shaman42.dbr, &gt;&gt; .\items\loottables\dailoneskill0006.dbr</v>
      </c>
      <c r="X44" t="str">
        <f t="shared" si="8"/>
        <v>echo lootWeight42,1, &gt;&gt; .\items\loottables\dailoneskill0006.dbr</v>
      </c>
      <c r="Y44" s="5" t="s">
        <v>36</v>
      </c>
      <c r="Z44" t="str">
        <f t="shared" si="9"/>
        <v xml:space="preserve"> dailCompDescShaman42=^pShaman's Gift of DAIL</v>
      </c>
      <c r="AA44" t="str">
        <f t="shared" si="17"/>
        <v>dailCompTextShaman42=^oThis feels warm to the touch, almost familiar ^w(This component only fits into the Medal Slot)</v>
      </c>
      <c r="AB44" s="5" t="s">
        <v>36</v>
      </c>
      <c r="AH44">
        <f t="shared" si="19"/>
        <v>39</v>
      </c>
      <c r="AI44">
        <f t="shared" si="22"/>
        <v>25</v>
      </c>
      <c r="AJ44">
        <f t="shared" si="18"/>
        <v>3</v>
      </c>
    </row>
    <row r="45" spans="1:36" x14ac:dyDescent="0.25">
      <c r="A45" s="5" t="s">
        <v>39</v>
      </c>
      <c r="B45" s="5" t="s">
        <v>30</v>
      </c>
      <c r="C45" s="5" t="str">
        <f t="shared" si="0"/>
        <v>description,dailCompDescShaman43,</v>
      </c>
      <c r="D45" s="5" t="str">
        <f t="shared" si="2"/>
        <v>itemText,dailCompTextShaman43,</v>
      </c>
      <c r="E45" s="5" t="str">
        <f t="shared" si="14"/>
        <v>augmentSkillLevel1,3,</v>
      </c>
      <c r="F45" s="5" t="str">
        <f t="shared" si="15"/>
        <v>augmentSkillName1,records/skills/playerclass06/totem2_petmodifier.dbr,</v>
      </c>
      <c r="G45" s="7">
        <f t="shared" si="10"/>
        <v>43</v>
      </c>
      <c r="H45" s="8" t="str">
        <f t="shared" si="11"/>
        <v>Shaman</v>
      </c>
      <c r="I45" s="3" t="s">
        <v>344</v>
      </c>
      <c r="J45" s="8" t="str">
        <f t="shared" si="21"/>
        <v>class0006</v>
      </c>
      <c r="K45" s="8" t="str">
        <f t="shared" si="21"/>
        <v>dailoneskill0006</v>
      </c>
      <c r="L45" s="5" t="str">
        <f t="shared" si="4"/>
        <v>lootName43,DAIL/items/materia/class0006/Shaman43.dbr,</v>
      </c>
      <c r="M45" s="5" t="str">
        <f t="shared" si="5"/>
        <v>lootWeight43,1,</v>
      </c>
      <c r="N45" t="str">
        <f t="shared" si="6"/>
        <v>3</v>
      </c>
      <c r="O45" t="str">
        <f t="shared" si="16"/>
        <v>copy .\dail_base3.dbr .\items\materia\class0006\Shaman43.dbr /y</v>
      </c>
      <c r="P45" t="str">
        <f t="shared" si="7"/>
        <v>echo relicBitmap,items/craftingparts/components/component_a52_bristlyfur_b.tex, &gt;&gt; .\items\materia\class0006\Shaman43.dbr</v>
      </c>
      <c r="Q45" t="str">
        <f t="shared" si="7"/>
        <v>echo itemCost,500000, &gt;&gt; .\items\materia\class0006\Shaman43.dbr</v>
      </c>
      <c r="R45" t="str">
        <f t="shared" si="7"/>
        <v>echo description,dailCompDescShaman43, &gt;&gt; .\items\materia\class0006\Shaman43.dbr</v>
      </c>
      <c r="S45" t="str">
        <f t="shared" si="7"/>
        <v>echo itemText,dailCompTextShaman43, &gt;&gt; .\items\materia\class0006\Shaman43.dbr</v>
      </c>
      <c r="T45" t="str">
        <f t="shared" si="7"/>
        <v>echo augmentSkillLevel1,3, &gt;&gt; .\items\materia\class0006\Shaman43.dbr</v>
      </c>
      <c r="U45" t="str">
        <f t="shared" si="7"/>
        <v>echo augmentSkillName1,records/skills/playerclass06/totem2_petmodifier.dbr, &gt;&gt; .\items\materia\class0006\Shaman43.dbr</v>
      </c>
      <c r="V45" s="5" t="s">
        <v>36</v>
      </c>
      <c r="W45" t="str">
        <f t="shared" si="8"/>
        <v>echo lootName43,DAIL/items/materia/class0006/Shaman43.dbr, &gt;&gt; .\items\loottables\dailoneskill0006.dbr</v>
      </c>
      <c r="X45" t="str">
        <f t="shared" si="8"/>
        <v>echo lootWeight43,1, &gt;&gt; .\items\loottables\dailoneskill0006.dbr</v>
      </c>
      <c r="Y45" s="5" t="s">
        <v>36</v>
      </c>
      <c r="Z45" t="str">
        <f t="shared" si="9"/>
        <v xml:space="preserve"> dailCompDescShaman43=^pShaman's Gift of DAIL</v>
      </c>
      <c r="AA45" t="str">
        <f t="shared" si="17"/>
        <v>dailCompTextShaman43=^oThis feels warm to the touch, almost familiar ^w(This component only fits into the Medal Slot)</v>
      </c>
      <c r="AB45" s="5" t="s">
        <v>36</v>
      </c>
      <c r="AH45">
        <f t="shared" si="19"/>
        <v>40</v>
      </c>
      <c r="AI45">
        <f t="shared" si="22"/>
        <v>37</v>
      </c>
      <c r="AJ45">
        <f t="shared" si="18"/>
        <v>3</v>
      </c>
    </row>
    <row r="46" spans="1:36" x14ac:dyDescent="0.25">
      <c r="A46" s="5" t="s">
        <v>39</v>
      </c>
      <c r="B46" s="5" t="s">
        <v>30</v>
      </c>
      <c r="C46" s="5" t="str">
        <f t="shared" si="0"/>
        <v>description,dailCompDescShaman44,</v>
      </c>
      <c r="D46" s="5" t="str">
        <f t="shared" si="2"/>
        <v>itemText,dailCompTextShaman44,</v>
      </c>
      <c r="E46" s="5" t="str">
        <f t="shared" si="14"/>
        <v>augmentSkillLevel1,3,</v>
      </c>
      <c r="F46" s="5" t="str">
        <f t="shared" si="15"/>
        <v>augmentSkillName1,records/skills/playerclass06/savagery1.dbr,</v>
      </c>
      <c r="G46" s="7">
        <f t="shared" si="10"/>
        <v>44</v>
      </c>
      <c r="H46" s="8" t="str">
        <f t="shared" si="11"/>
        <v>Shaman</v>
      </c>
      <c r="I46" s="3" t="s">
        <v>143</v>
      </c>
      <c r="J46" s="8" t="str">
        <f t="shared" si="21"/>
        <v>class0006</v>
      </c>
      <c r="K46" s="8" t="str">
        <f t="shared" si="21"/>
        <v>dailoneskill0006</v>
      </c>
      <c r="L46" s="5" t="str">
        <f t="shared" si="4"/>
        <v>lootName44,DAIL/items/materia/class0006/Shaman44.dbr,</v>
      </c>
      <c r="M46" s="5" t="str">
        <f t="shared" si="5"/>
        <v>lootWeight44,1,</v>
      </c>
      <c r="N46" t="str">
        <f t="shared" si="6"/>
        <v>3</v>
      </c>
      <c r="O46" t="str">
        <f t="shared" si="16"/>
        <v>copy .\dail_base3.dbr .\items\materia\class0006\Shaman44.dbr /y</v>
      </c>
      <c r="P46" t="str">
        <f t="shared" si="7"/>
        <v>echo relicBitmap,items/craftingparts/components/component_a52_bristlyfur_b.tex, &gt;&gt; .\items\materia\class0006\Shaman44.dbr</v>
      </c>
      <c r="Q46" t="str">
        <f t="shared" si="7"/>
        <v>echo itemCost,500000, &gt;&gt; .\items\materia\class0006\Shaman44.dbr</v>
      </c>
      <c r="R46" t="str">
        <f t="shared" si="7"/>
        <v>echo description,dailCompDescShaman44, &gt;&gt; .\items\materia\class0006\Shaman44.dbr</v>
      </c>
      <c r="S46" t="str">
        <f t="shared" si="7"/>
        <v>echo itemText,dailCompTextShaman44, &gt;&gt; .\items\materia\class0006\Shaman44.dbr</v>
      </c>
      <c r="T46" t="str">
        <f t="shared" si="7"/>
        <v>echo augmentSkillLevel1,3, &gt;&gt; .\items\materia\class0006\Shaman44.dbr</v>
      </c>
      <c r="U46" t="str">
        <f t="shared" si="7"/>
        <v>echo augmentSkillName1,records/skills/playerclass06/savagery1.dbr, &gt;&gt; .\items\materia\class0006\Shaman44.dbr</v>
      </c>
      <c r="V46" s="5" t="s">
        <v>36</v>
      </c>
      <c r="W46" t="str">
        <f t="shared" si="8"/>
        <v>echo lootName44,DAIL/items/materia/class0006/Shaman44.dbr, &gt;&gt; .\items\loottables\dailoneskill0006.dbr</v>
      </c>
      <c r="X46" t="str">
        <f t="shared" si="8"/>
        <v>echo lootWeight44,1, &gt;&gt; .\items\loottables\dailoneskill0006.dbr</v>
      </c>
      <c r="Y46" s="5" t="s">
        <v>36</v>
      </c>
      <c r="Z46" t="str">
        <f t="shared" si="9"/>
        <v xml:space="preserve"> dailCompDescShaman44=^pShaman's Gift of DAIL</v>
      </c>
      <c r="AA46" t="str">
        <f t="shared" si="17"/>
        <v>dailCompTextShaman44=^oThis feels warm to the touch, almost familiar ^w(This component only fits into the Medal Slot)</v>
      </c>
      <c r="AB46" s="5" t="s">
        <v>36</v>
      </c>
      <c r="AH46">
        <f t="shared" si="19"/>
        <v>41</v>
      </c>
      <c r="AI46">
        <f t="shared" si="22"/>
        <v>28</v>
      </c>
      <c r="AJ46">
        <f t="shared" si="18"/>
        <v>3</v>
      </c>
    </row>
    <row r="47" spans="1:36" x14ac:dyDescent="0.25">
      <c r="A47" s="5" t="s">
        <v>39</v>
      </c>
      <c r="B47" s="5" t="s">
        <v>30</v>
      </c>
      <c r="C47" s="5" t="str">
        <f t="shared" si="0"/>
        <v>description,dailCompDescShaman45,</v>
      </c>
      <c r="D47" s="5" t="str">
        <f t="shared" si="2"/>
        <v>itemText,dailCompTextShaman45,</v>
      </c>
      <c r="E47" s="5" t="str">
        <f t="shared" si="14"/>
        <v>augmentSkillLevel1,3,</v>
      </c>
      <c r="F47" s="5" t="str">
        <f t="shared" si="15"/>
        <v>augmentSkillName1,records/skills/playerclass06/devouringswarm1.dbr,</v>
      </c>
      <c r="G47" s="7">
        <f t="shared" si="10"/>
        <v>45</v>
      </c>
      <c r="H47" s="8" t="str">
        <f t="shared" si="11"/>
        <v>Shaman</v>
      </c>
      <c r="I47" s="3" t="s">
        <v>139</v>
      </c>
      <c r="J47" s="8" t="str">
        <f t="shared" si="21"/>
        <v>class0006</v>
      </c>
      <c r="K47" s="8" t="str">
        <f t="shared" si="21"/>
        <v>dailoneskill0006</v>
      </c>
      <c r="L47" s="5" t="str">
        <f t="shared" si="4"/>
        <v>lootName45,DAIL/items/materia/class0006/Shaman45.dbr,</v>
      </c>
      <c r="M47" s="5" t="str">
        <f t="shared" si="5"/>
        <v>lootWeight45,1,</v>
      </c>
      <c r="N47" t="str">
        <f t="shared" si="6"/>
        <v>3</v>
      </c>
      <c r="O47" t="str">
        <f t="shared" si="16"/>
        <v>copy .\dail_base3.dbr .\items\materia\class0006\Shaman45.dbr /y</v>
      </c>
      <c r="P47" t="str">
        <f t="shared" si="7"/>
        <v>echo relicBitmap,items/craftingparts/components/component_a52_bristlyfur_b.tex, &gt;&gt; .\items\materia\class0006\Shaman45.dbr</v>
      </c>
      <c r="Q47" t="str">
        <f t="shared" si="7"/>
        <v>echo itemCost,500000, &gt;&gt; .\items\materia\class0006\Shaman45.dbr</v>
      </c>
      <c r="R47" t="str">
        <f t="shared" si="7"/>
        <v>echo description,dailCompDescShaman45, &gt;&gt; .\items\materia\class0006\Shaman45.dbr</v>
      </c>
      <c r="S47" t="str">
        <f t="shared" si="7"/>
        <v>echo itemText,dailCompTextShaman45, &gt;&gt; .\items\materia\class0006\Shaman45.dbr</v>
      </c>
      <c r="T47" t="str">
        <f t="shared" si="7"/>
        <v>echo augmentSkillLevel1,3, &gt;&gt; .\items\materia\class0006\Shaman45.dbr</v>
      </c>
      <c r="U47" t="str">
        <f t="shared" si="7"/>
        <v>echo augmentSkillName1,records/skills/playerclass06/devouringswarm1.dbr, &gt;&gt; .\items\materia\class0006\Shaman45.dbr</v>
      </c>
      <c r="V47" s="5" t="s">
        <v>36</v>
      </c>
      <c r="W47" t="str">
        <f t="shared" si="8"/>
        <v>echo lootName45,DAIL/items/materia/class0006/Shaman45.dbr, &gt;&gt; .\items\loottables\dailoneskill0006.dbr</v>
      </c>
      <c r="X47" t="str">
        <f t="shared" si="8"/>
        <v>echo lootWeight45,1, &gt;&gt; .\items\loottables\dailoneskill0006.dbr</v>
      </c>
      <c r="Y47" s="5" t="s">
        <v>36</v>
      </c>
      <c r="Z47" t="str">
        <f t="shared" si="9"/>
        <v xml:space="preserve"> dailCompDescShaman45=^pShaman's Gift of DAIL</v>
      </c>
      <c r="AA47" t="str">
        <f t="shared" si="17"/>
        <v>dailCompTextShaman45=^oThis feels warm to the touch, almost familiar ^w(This component only fits into the Medal Slot)</v>
      </c>
      <c r="AB47" s="5" t="s">
        <v>36</v>
      </c>
      <c r="AH47">
        <f t="shared" si="19"/>
        <v>42</v>
      </c>
      <c r="AI47">
        <f t="shared" si="22"/>
        <v>34</v>
      </c>
      <c r="AJ47">
        <f t="shared" si="18"/>
        <v>3</v>
      </c>
    </row>
    <row r="48" spans="1:36" x14ac:dyDescent="0.25">
      <c r="A48" s="5" t="s">
        <v>39</v>
      </c>
      <c r="B48" s="5" t="s">
        <v>30</v>
      </c>
      <c r="C48" s="5" t="str">
        <f t="shared" si="0"/>
        <v>description,dailCompDescShaman46,</v>
      </c>
      <c r="D48" s="5" t="str">
        <f t="shared" si="2"/>
        <v>itemText,dailCompTextShaman46,</v>
      </c>
      <c r="E48" s="5" t="str">
        <f t="shared" si="14"/>
        <v>augmentSkillLevel1,3,</v>
      </c>
      <c r="F48" s="5" t="str">
        <f t="shared" si="15"/>
        <v>augmentSkillName1,records/skills/playerclass06/squall1.dbr,</v>
      </c>
      <c r="G48" s="7">
        <f t="shared" si="10"/>
        <v>46</v>
      </c>
      <c r="H48" s="8" t="str">
        <f t="shared" si="11"/>
        <v>Shaman</v>
      </c>
      <c r="I48" s="3" t="s">
        <v>145</v>
      </c>
      <c r="J48" s="8" t="str">
        <f t="shared" si="21"/>
        <v>class0006</v>
      </c>
      <c r="K48" s="8" t="str">
        <f t="shared" si="21"/>
        <v>dailoneskill0006</v>
      </c>
      <c r="L48" s="5" t="str">
        <f t="shared" si="4"/>
        <v>lootName46,DAIL/items/materia/class0006/Shaman46.dbr,</v>
      </c>
      <c r="M48" s="5" t="str">
        <f t="shared" si="5"/>
        <v>lootWeight46,1,</v>
      </c>
      <c r="N48" t="str">
        <f t="shared" si="6"/>
        <v>3</v>
      </c>
      <c r="O48" t="str">
        <f t="shared" si="16"/>
        <v>copy .\dail_base3.dbr .\items\materia\class0006\Shaman46.dbr /y</v>
      </c>
      <c r="P48" t="str">
        <f t="shared" si="7"/>
        <v>echo relicBitmap,items/craftingparts/components/component_a52_bristlyfur_b.tex, &gt;&gt; .\items\materia\class0006\Shaman46.dbr</v>
      </c>
      <c r="Q48" t="str">
        <f t="shared" si="7"/>
        <v>echo itemCost,500000, &gt;&gt; .\items\materia\class0006\Shaman46.dbr</v>
      </c>
      <c r="R48" t="str">
        <f t="shared" si="7"/>
        <v>echo description,dailCompDescShaman46, &gt;&gt; .\items\materia\class0006\Shaman46.dbr</v>
      </c>
      <c r="S48" t="str">
        <f t="shared" si="7"/>
        <v>echo itemText,dailCompTextShaman46, &gt;&gt; .\items\materia\class0006\Shaman46.dbr</v>
      </c>
      <c r="T48" t="str">
        <f t="shared" si="7"/>
        <v>echo augmentSkillLevel1,3, &gt;&gt; .\items\materia\class0006\Shaman46.dbr</v>
      </c>
      <c r="U48" t="str">
        <f t="shared" si="7"/>
        <v>echo augmentSkillName1,records/skills/playerclass06/squall1.dbr, &gt;&gt; .\items\materia\class0006\Shaman46.dbr</v>
      </c>
      <c r="V48" s="5" t="s">
        <v>36</v>
      </c>
      <c r="W48" t="str">
        <f t="shared" si="8"/>
        <v>echo lootName46,DAIL/items/materia/class0006/Shaman46.dbr, &gt;&gt; .\items\loottables\dailoneskill0006.dbr</v>
      </c>
      <c r="X48" t="str">
        <f t="shared" si="8"/>
        <v>echo lootWeight46,1, &gt;&gt; .\items\loottables\dailoneskill0006.dbr</v>
      </c>
      <c r="Y48" s="5" t="s">
        <v>36</v>
      </c>
      <c r="Z48" t="str">
        <f t="shared" si="9"/>
        <v xml:space="preserve"> dailCompDescShaman46=^pShaman's Gift of DAIL</v>
      </c>
      <c r="AA48" t="str">
        <f t="shared" si="17"/>
        <v>dailCompTextShaman46=^oThis feels warm to the touch, almost familiar ^w(This component only fits into the Medal Slot)</v>
      </c>
      <c r="AB48" s="5" t="s">
        <v>36</v>
      </c>
      <c r="AH48">
        <f t="shared" si="19"/>
        <v>43</v>
      </c>
      <c r="AI48">
        <f t="shared" si="22"/>
        <v>26</v>
      </c>
      <c r="AJ48">
        <f t="shared" si="18"/>
        <v>3</v>
      </c>
    </row>
    <row r="49" spans="1:36" x14ac:dyDescent="0.25">
      <c r="A49" s="5" t="s">
        <v>39</v>
      </c>
      <c r="B49" s="5" t="s">
        <v>30</v>
      </c>
      <c r="C49" s="5" t="str">
        <f t="shared" si="0"/>
        <v>description,dailCompDescShaman47,</v>
      </c>
      <c r="D49" s="5" t="str">
        <f t="shared" si="2"/>
        <v>itemText,dailCompTextShaman47,</v>
      </c>
      <c r="E49" s="5" t="str">
        <f t="shared" si="14"/>
        <v>augmentSkillLevel1,3,</v>
      </c>
      <c r="F49" s="5" t="str">
        <f t="shared" si="15"/>
        <v>augmentSkillName1,records/skills/playerclass06/squall2.dbr,</v>
      </c>
      <c r="G49" s="7">
        <f t="shared" si="10"/>
        <v>47</v>
      </c>
      <c r="H49" s="8" t="str">
        <f t="shared" si="11"/>
        <v>Shaman</v>
      </c>
      <c r="I49" s="3" t="s">
        <v>345</v>
      </c>
      <c r="J49" s="8" t="str">
        <f t="shared" si="21"/>
        <v>class0006</v>
      </c>
      <c r="K49" s="8" t="str">
        <f t="shared" si="21"/>
        <v>dailoneskill0006</v>
      </c>
      <c r="L49" s="5" t="str">
        <f t="shared" si="4"/>
        <v>lootName47,DAIL/items/materia/class0006/Shaman47.dbr,</v>
      </c>
      <c r="M49" s="5" t="str">
        <f t="shared" si="5"/>
        <v>lootWeight47,1,</v>
      </c>
      <c r="N49" t="str">
        <f t="shared" si="6"/>
        <v>3</v>
      </c>
      <c r="O49" t="str">
        <f t="shared" si="16"/>
        <v>copy .\dail_base3.dbr .\items\materia\class0006\Shaman47.dbr /y</v>
      </c>
      <c r="P49" t="str">
        <f t="shared" si="7"/>
        <v>echo relicBitmap,items/craftingparts/components/component_a52_bristlyfur_b.tex, &gt;&gt; .\items\materia\class0006\Shaman47.dbr</v>
      </c>
      <c r="Q49" t="str">
        <f t="shared" si="7"/>
        <v>echo itemCost,500000, &gt;&gt; .\items\materia\class0006\Shaman47.dbr</v>
      </c>
      <c r="R49" t="str">
        <f t="shared" si="7"/>
        <v>echo description,dailCompDescShaman47, &gt;&gt; .\items\materia\class0006\Shaman47.dbr</v>
      </c>
      <c r="S49" t="str">
        <f t="shared" si="7"/>
        <v>echo itemText,dailCompTextShaman47, &gt;&gt; .\items\materia\class0006\Shaman47.dbr</v>
      </c>
      <c r="T49" t="str">
        <f t="shared" si="7"/>
        <v>echo augmentSkillLevel1,3, &gt;&gt; .\items\materia\class0006\Shaman47.dbr</v>
      </c>
      <c r="U49" t="str">
        <f t="shared" si="7"/>
        <v>echo augmentSkillName1,records/skills/playerclass06/squall2.dbr, &gt;&gt; .\items\materia\class0006\Shaman47.dbr</v>
      </c>
      <c r="V49" s="5" t="s">
        <v>36</v>
      </c>
      <c r="W49" t="str">
        <f t="shared" si="8"/>
        <v>echo lootName47,DAIL/items/materia/class0006/Shaman47.dbr, &gt;&gt; .\items\loottables\dailoneskill0006.dbr</v>
      </c>
      <c r="X49" t="str">
        <f t="shared" si="8"/>
        <v>echo lootWeight47,1, &gt;&gt; .\items\loottables\dailoneskill0006.dbr</v>
      </c>
      <c r="Y49" s="5" t="s">
        <v>36</v>
      </c>
      <c r="Z49" t="str">
        <f t="shared" si="9"/>
        <v xml:space="preserve"> dailCompDescShaman47=^pShaman's Gift of DAIL</v>
      </c>
      <c r="AA49" t="str">
        <f t="shared" si="17"/>
        <v>dailCompTextShaman47=^oThis feels warm to the touch, almost familiar ^w(This component only fits into the Medal Slot)</v>
      </c>
      <c r="AB49" s="5" t="s">
        <v>36</v>
      </c>
      <c r="AH49">
        <f t="shared" si="19"/>
        <v>44</v>
      </c>
      <c r="AI49">
        <f t="shared" si="22"/>
        <v>26</v>
      </c>
      <c r="AJ49">
        <f t="shared" si="18"/>
        <v>3</v>
      </c>
    </row>
    <row r="50" spans="1:36" x14ac:dyDescent="0.25">
      <c r="A50" s="5" t="s">
        <v>39</v>
      </c>
      <c r="B50" s="5" t="s">
        <v>30</v>
      </c>
      <c r="C50" s="5" t="str">
        <f t="shared" si="0"/>
        <v>description,dailCompDescShaman48,</v>
      </c>
      <c r="D50" s="5" t="str">
        <f t="shared" si="2"/>
        <v>itemText,dailCompTextShaman48,</v>
      </c>
      <c r="E50" s="5" t="str">
        <f t="shared" si="14"/>
        <v>augmentSkillLevel1,3,</v>
      </c>
      <c r="F50" s="5" t="str">
        <f t="shared" si="15"/>
        <v>augmentSkillName1,records/skills/playerclass06/squall3.dbr,</v>
      </c>
      <c r="G50" s="7">
        <f t="shared" si="10"/>
        <v>48</v>
      </c>
      <c r="H50" s="8" t="str">
        <f t="shared" si="11"/>
        <v>Shaman</v>
      </c>
      <c r="I50" s="3" t="s">
        <v>346</v>
      </c>
      <c r="J50" s="8" t="str">
        <f t="shared" si="21"/>
        <v>class0006</v>
      </c>
      <c r="K50" s="8" t="str">
        <f t="shared" si="21"/>
        <v>dailoneskill0006</v>
      </c>
      <c r="L50" s="5" t="str">
        <f t="shared" si="4"/>
        <v>lootName48,DAIL/items/materia/class0006/Shaman48.dbr,</v>
      </c>
      <c r="M50" s="5" t="str">
        <f t="shared" si="5"/>
        <v>lootWeight48,1,</v>
      </c>
      <c r="N50" t="str">
        <f t="shared" si="6"/>
        <v>3</v>
      </c>
      <c r="O50" t="str">
        <f t="shared" si="16"/>
        <v>copy .\dail_base3.dbr .\items\materia\class0006\Shaman48.dbr /y</v>
      </c>
      <c r="P50" t="str">
        <f t="shared" si="7"/>
        <v>echo relicBitmap,items/craftingparts/components/component_a52_bristlyfur_b.tex, &gt;&gt; .\items\materia\class0006\Shaman48.dbr</v>
      </c>
      <c r="Q50" t="str">
        <f t="shared" si="7"/>
        <v>echo itemCost,500000, &gt;&gt; .\items\materia\class0006\Shaman48.dbr</v>
      </c>
      <c r="R50" t="str">
        <f t="shared" si="7"/>
        <v>echo description,dailCompDescShaman48, &gt;&gt; .\items\materia\class0006\Shaman48.dbr</v>
      </c>
      <c r="S50" t="str">
        <f t="shared" si="7"/>
        <v>echo itemText,dailCompTextShaman48, &gt;&gt; .\items\materia\class0006\Shaman48.dbr</v>
      </c>
      <c r="T50" t="str">
        <f t="shared" si="7"/>
        <v>echo augmentSkillLevel1,3, &gt;&gt; .\items\materia\class0006\Shaman48.dbr</v>
      </c>
      <c r="U50" t="str">
        <f t="shared" si="7"/>
        <v>echo augmentSkillName1,records/skills/playerclass06/squall3.dbr, &gt;&gt; .\items\materia\class0006\Shaman48.dbr</v>
      </c>
      <c r="V50" s="5" t="s">
        <v>36</v>
      </c>
      <c r="W50" t="str">
        <f t="shared" si="8"/>
        <v>echo lootName48,DAIL/items/materia/class0006/Shaman48.dbr, &gt;&gt; .\items\loottables\dailoneskill0006.dbr</v>
      </c>
      <c r="X50" t="str">
        <f t="shared" si="8"/>
        <v>echo lootWeight48,1, &gt;&gt; .\items\loottables\dailoneskill0006.dbr</v>
      </c>
      <c r="Y50" s="5" t="s">
        <v>36</v>
      </c>
      <c r="Z50" t="str">
        <f t="shared" si="9"/>
        <v xml:space="preserve"> dailCompDescShaman48=^pShaman's Gift of DAIL</v>
      </c>
      <c r="AA50" t="str">
        <f t="shared" si="17"/>
        <v>dailCompTextShaman48=^oThis feels warm to the touch, almost familiar ^w(This component only fits into the Medal Slot)</v>
      </c>
      <c r="AB50" s="5" t="s">
        <v>36</v>
      </c>
      <c r="AH50">
        <f t="shared" si="19"/>
        <v>45</v>
      </c>
      <c r="AI50">
        <f t="shared" si="22"/>
        <v>26</v>
      </c>
      <c r="AJ50">
        <f t="shared" si="18"/>
        <v>3</v>
      </c>
    </row>
    <row r="51" spans="1:36" x14ac:dyDescent="0.25">
      <c r="A51" s="5" t="s">
        <v>39</v>
      </c>
      <c r="B51" s="5" t="s">
        <v>30</v>
      </c>
      <c r="C51" s="5" t="str">
        <f t="shared" si="0"/>
        <v>description,dailCompDescShaman49,</v>
      </c>
      <c r="D51" s="5" t="str">
        <f t="shared" si="2"/>
        <v>itemText,dailCompTextShaman49,</v>
      </c>
      <c r="E51" s="5" t="str">
        <f t="shared" si="14"/>
        <v>augmentSkillLevel1,3,</v>
      </c>
      <c r="F51" s="5" t="str">
        <f t="shared" si="15"/>
        <v>augmentSkillName1,records/skills/playerclass06/passive01.dbr,</v>
      </c>
      <c r="G51" s="7">
        <f t="shared" si="10"/>
        <v>49</v>
      </c>
      <c r="H51" s="8" t="str">
        <f t="shared" si="11"/>
        <v>Shaman</v>
      </c>
      <c r="I51" s="3" t="s">
        <v>347</v>
      </c>
      <c r="J51" s="8" t="str">
        <f t="shared" si="21"/>
        <v>class0006</v>
      </c>
      <c r="K51" s="8" t="str">
        <f t="shared" si="21"/>
        <v>dailoneskill0006</v>
      </c>
      <c r="L51" s="5" t="str">
        <f t="shared" si="4"/>
        <v>lootName49,DAIL/items/materia/class0006/Shaman49.dbr,</v>
      </c>
      <c r="M51" s="5" t="str">
        <f t="shared" si="5"/>
        <v>lootWeight49,1,</v>
      </c>
      <c r="N51" t="str">
        <f t="shared" si="6"/>
        <v>3</v>
      </c>
      <c r="O51" t="str">
        <f t="shared" si="16"/>
        <v>copy .\dail_base3.dbr .\items\materia\class0006\Shaman49.dbr /y</v>
      </c>
      <c r="P51" t="str">
        <f t="shared" si="7"/>
        <v>echo relicBitmap,items/craftingparts/components/component_a52_bristlyfur_b.tex, &gt;&gt; .\items\materia\class0006\Shaman49.dbr</v>
      </c>
      <c r="Q51" t="str">
        <f t="shared" si="7"/>
        <v>echo itemCost,500000, &gt;&gt; .\items\materia\class0006\Shaman49.dbr</v>
      </c>
      <c r="R51" t="str">
        <f t="shared" si="7"/>
        <v>echo description,dailCompDescShaman49, &gt;&gt; .\items\materia\class0006\Shaman49.dbr</v>
      </c>
      <c r="S51" t="str">
        <f t="shared" si="7"/>
        <v>echo itemText,dailCompTextShaman49, &gt;&gt; .\items\materia\class0006\Shaman49.dbr</v>
      </c>
      <c r="T51" t="str">
        <f t="shared" si="7"/>
        <v>echo augmentSkillLevel1,3, &gt;&gt; .\items\materia\class0006\Shaman49.dbr</v>
      </c>
      <c r="U51" t="str">
        <f t="shared" si="7"/>
        <v>echo augmentSkillName1,records/skills/playerclass06/passive01.dbr, &gt;&gt; .\items\materia\class0006\Shaman49.dbr</v>
      </c>
      <c r="V51" s="5" t="s">
        <v>36</v>
      </c>
      <c r="W51" t="str">
        <f t="shared" si="8"/>
        <v>echo lootName49,DAIL/items/materia/class0006/Shaman49.dbr, &gt;&gt; .\items\loottables\dailoneskill0006.dbr</v>
      </c>
      <c r="X51" t="str">
        <f t="shared" si="8"/>
        <v>echo lootWeight49,1, &gt;&gt; .\items\loottables\dailoneskill0006.dbr</v>
      </c>
      <c r="Y51" s="5" t="s">
        <v>36</v>
      </c>
      <c r="Z51" t="str">
        <f t="shared" si="9"/>
        <v xml:space="preserve"> dailCompDescShaman49=^pShaman's Gift of DAIL</v>
      </c>
      <c r="AA51" t="str">
        <f t="shared" si="17"/>
        <v>dailCompTextShaman49=^oThis feels warm to the touch, almost familiar ^w(This component only fits into the Medal Slot)</v>
      </c>
      <c r="AB51" s="5" t="s">
        <v>36</v>
      </c>
      <c r="AH51">
        <f t="shared" si="19"/>
        <v>46</v>
      </c>
      <c r="AI51">
        <f t="shared" si="22"/>
        <v>28</v>
      </c>
      <c r="AJ51">
        <f t="shared" si="18"/>
        <v>3</v>
      </c>
    </row>
    <row r="52" spans="1:36" x14ac:dyDescent="0.25">
      <c r="A52" s="5" t="s">
        <v>39</v>
      </c>
      <c r="B52" s="5" t="s">
        <v>30</v>
      </c>
      <c r="C52" s="5" t="str">
        <f t="shared" si="0"/>
        <v>description,dailCompDescShaman50,</v>
      </c>
      <c r="D52" s="5" t="str">
        <f t="shared" si="2"/>
        <v>itemText,dailCompTextShaman50,</v>
      </c>
      <c r="E52" s="5" t="str">
        <f t="shared" si="14"/>
        <v>augmentSkillLevel1,3,</v>
      </c>
      <c r="F52" s="5" t="str">
        <f t="shared" si="15"/>
        <v>augmentSkillName1,records/skills/playerclass06/summon_manticore1.dbr,</v>
      </c>
      <c r="G52" s="7">
        <f t="shared" si="10"/>
        <v>50</v>
      </c>
      <c r="H52" s="8" t="str">
        <f t="shared" si="11"/>
        <v>Shaman</v>
      </c>
      <c r="I52" s="3" t="s">
        <v>149</v>
      </c>
      <c r="J52" s="8" t="str">
        <f t="shared" si="21"/>
        <v>class0006</v>
      </c>
      <c r="K52" s="8" t="str">
        <f t="shared" si="21"/>
        <v>dailoneskill0006</v>
      </c>
      <c r="L52" s="5" t="str">
        <f t="shared" si="4"/>
        <v>lootName50,DAIL/items/materia/class0006/Shaman50.dbr,</v>
      </c>
      <c r="M52" s="5" t="str">
        <f t="shared" si="5"/>
        <v>lootWeight50,1,</v>
      </c>
      <c r="N52" t="str">
        <f t="shared" si="6"/>
        <v>3</v>
      </c>
      <c r="O52" t="str">
        <f t="shared" si="16"/>
        <v>copy .\dail_base3.dbr .\items\materia\class0006\Shaman50.dbr /y</v>
      </c>
      <c r="P52" t="str">
        <f t="shared" si="7"/>
        <v>echo relicBitmap,items/craftingparts/components/component_a52_bristlyfur_b.tex, &gt;&gt; .\items\materia\class0006\Shaman50.dbr</v>
      </c>
      <c r="Q52" t="str">
        <f t="shared" si="7"/>
        <v>echo itemCost,500000, &gt;&gt; .\items\materia\class0006\Shaman50.dbr</v>
      </c>
      <c r="R52" t="str">
        <f t="shared" si="7"/>
        <v>echo description,dailCompDescShaman50, &gt;&gt; .\items\materia\class0006\Shaman50.dbr</v>
      </c>
      <c r="S52" t="str">
        <f t="shared" si="7"/>
        <v>echo itemText,dailCompTextShaman50, &gt;&gt; .\items\materia\class0006\Shaman50.dbr</v>
      </c>
      <c r="T52" t="str">
        <f t="shared" si="7"/>
        <v>echo augmentSkillLevel1,3, &gt;&gt; .\items\materia\class0006\Shaman50.dbr</v>
      </c>
      <c r="U52" t="str">
        <f t="shared" si="7"/>
        <v>echo augmentSkillName1,records/skills/playerclass06/summon_manticore1.dbr, &gt;&gt; .\items\materia\class0006\Shaman50.dbr</v>
      </c>
      <c r="V52" s="5" t="s">
        <v>36</v>
      </c>
      <c r="W52" t="str">
        <f t="shared" si="8"/>
        <v>echo lootName50,DAIL/items/materia/class0006/Shaman50.dbr, &gt;&gt; .\items\loottables\dailoneskill0006.dbr</v>
      </c>
      <c r="X52" t="str">
        <f t="shared" si="8"/>
        <v>echo lootWeight50,1, &gt;&gt; .\items\loottables\dailoneskill0006.dbr</v>
      </c>
      <c r="Y52" s="5" t="s">
        <v>36</v>
      </c>
      <c r="Z52" t="str">
        <f t="shared" si="9"/>
        <v xml:space="preserve"> dailCompDescShaman50=^pShaman's Gift of DAIL</v>
      </c>
      <c r="AA52" t="str">
        <f t="shared" si="17"/>
        <v>dailCompTextShaman50=^oThis feels warm to the touch, almost familiar ^w(This component only fits into the Medal Slot)</v>
      </c>
      <c r="AB52" s="5" t="s">
        <v>36</v>
      </c>
      <c r="AH52">
        <f t="shared" si="19"/>
        <v>47</v>
      </c>
      <c r="AI52">
        <f t="shared" si="22"/>
        <v>36</v>
      </c>
      <c r="AJ52">
        <f t="shared" si="18"/>
        <v>3</v>
      </c>
    </row>
    <row r="53" spans="1:36" x14ac:dyDescent="0.25">
      <c r="A53" s="5" t="s">
        <v>39</v>
      </c>
      <c r="B53" s="5" t="s">
        <v>30</v>
      </c>
      <c r="C53" s="5" t="str">
        <f t="shared" si="0"/>
        <v>description,dailCompDescShaman51,</v>
      </c>
      <c r="D53" s="5" t="str">
        <f t="shared" si="2"/>
        <v>itemText,dailCompTextShaman51,</v>
      </c>
      <c r="E53" s="5" t="str">
        <f t="shared" si="14"/>
        <v>augmentSkillLevel1,3,</v>
      </c>
      <c r="F53" s="5" t="str">
        <f t="shared" si="15"/>
        <v>augmentSkillName1,records/skills/playerclass06/weaponpool01.dbr,</v>
      </c>
      <c r="G53" s="7">
        <f t="shared" si="10"/>
        <v>51</v>
      </c>
      <c r="H53" s="8" t="str">
        <f t="shared" si="11"/>
        <v>Shaman</v>
      </c>
      <c r="I53" s="3" t="s">
        <v>348</v>
      </c>
      <c r="J53" s="8" t="str">
        <f t="shared" ref="J53:K68" si="23">J52</f>
        <v>class0006</v>
      </c>
      <c r="K53" s="8" t="str">
        <f t="shared" si="23"/>
        <v>dailoneskill0006</v>
      </c>
      <c r="L53" s="5" t="str">
        <f t="shared" si="4"/>
        <v>lootName51,DAIL/items/materia/class0006/Shaman51.dbr,</v>
      </c>
      <c r="M53" s="5" t="str">
        <f t="shared" si="5"/>
        <v>lootWeight51,1,</v>
      </c>
      <c r="N53" t="str">
        <f t="shared" si="6"/>
        <v>3</v>
      </c>
      <c r="O53" t="str">
        <f t="shared" si="16"/>
        <v>copy .\dail_base3.dbr .\items\materia\class0006\Shaman51.dbr /y</v>
      </c>
      <c r="P53" t="str">
        <f t="shared" si="7"/>
        <v>echo relicBitmap,items/craftingparts/components/component_a52_bristlyfur_b.tex, &gt;&gt; .\items\materia\class0006\Shaman51.dbr</v>
      </c>
      <c r="Q53" t="str">
        <f t="shared" si="7"/>
        <v>echo itemCost,500000, &gt;&gt; .\items\materia\class0006\Shaman51.dbr</v>
      </c>
      <c r="R53" t="str">
        <f t="shared" si="7"/>
        <v>echo description,dailCompDescShaman51, &gt;&gt; .\items\materia\class0006\Shaman51.dbr</v>
      </c>
      <c r="S53" t="str">
        <f t="shared" si="7"/>
        <v>echo itemText,dailCompTextShaman51, &gt;&gt; .\items\materia\class0006\Shaman51.dbr</v>
      </c>
      <c r="T53" t="str">
        <f t="shared" si="7"/>
        <v>echo augmentSkillLevel1,3, &gt;&gt; .\items\materia\class0006\Shaman51.dbr</v>
      </c>
      <c r="U53" t="str">
        <f t="shared" si="7"/>
        <v>echo augmentSkillName1,records/skills/playerclass06/weaponpool01.dbr, &gt;&gt; .\items\materia\class0006\Shaman51.dbr</v>
      </c>
      <c r="V53" s="5" t="s">
        <v>36</v>
      </c>
      <c r="W53" t="str">
        <f t="shared" si="8"/>
        <v>echo lootName51,DAIL/items/materia/class0006/Shaman51.dbr, &gt;&gt; .\items\loottables\dailoneskill0006.dbr</v>
      </c>
      <c r="X53" t="str">
        <f t="shared" si="8"/>
        <v>echo lootWeight51,1, &gt;&gt; .\items\loottables\dailoneskill0006.dbr</v>
      </c>
      <c r="Y53" s="5" t="s">
        <v>36</v>
      </c>
      <c r="Z53" t="str">
        <f t="shared" si="9"/>
        <v xml:space="preserve"> dailCompDescShaman51=^pShaman's Gift of DAIL</v>
      </c>
      <c r="AA53" t="str">
        <f t="shared" si="17"/>
        <v>dailCompTextShaman51=^oThis feels warm to the touch, almost familiar ^w(This component only fits into the Medal Slot)</v>
      </c>
      <c r="AB53" s="5" t="s">
        <v>36</v>
      </c>
      <c r="AH53">
        <f t="shared" si="19"/>
        <v>48</v>
      </c>
      <c r="AI53">
        <f t="shared" si="22"/>
        <v>31</v>
      </c>
      <c r="AJ53">
        <f t="shared" si="18"/>
        <v>3</v>
      </c>
    </row>
    <row r="54" spans="1:36" x14ac:dyDescent="0.25">
      <c r="A54" s="5" t="s">
        <v>39</v>
      </c>
      <c r="B54" s="5" t="s">
        <v>30</v>
      </c>
      <c r="C54" s="5" t="str">
        <f t="shared" si="0"/>
        <v>description,dailCompDescShaman52,</v>
      </c>
      <c r="D54" s="5" t="str">
        <f t="shared" si="2"/>
        <v>itemText,dailCompTextShaman52,</v>
      </c>
      <c r="E54" s="5" t="str">
        <f t="shared" si="14"/>
        <v>augmentSkillLevel1,3,</v>
      </c>
      <c r="F54" s="5" t="str">
        <f t="shared" si="15"/>
        <v>augmentSkillName1,records/skills/playerclass06/weaponpool02.dbr,</v>
      </c>
      <c r="G54" s="7">
        <f t="shared" si="10"/>
        <v>52</v>
      </c>
      <c r="H54" s="8" t="str">
        <f t="shared" si="11"/>
        <v>Shaman</v>
      </c>
      <c r="I54" s="3" t="s">
        <v>349</v>
      </c>
      <c r="J54" s="8" t="str">
        <f t="shared" si="23"/>
        <v>class0006</v>
      </c>
      <c r="K54" s="8" t="str">
        <f t="shared" si="23"/>
        <v>dailoneskill0006</v>
      </c>
      <c r="L54" s="5" t="str">
        <f t="shared" si="4"/>
        <v>lootName52,DAIL/items/materia/class0006/Shaman52.dbr,</v>
      </c>
      <c r="M54" s="5" t="str">
        <f t="shared" si="5"/>
        <v>lootWeight52,1,</v>
      </c>
      <c r="N54" t="str">
        <f t="shared" si="6"/>
        <v>3</v>
      </c>
      <c r="O54" t="str">
        <f t="shared" si="16"/>
        <v>copy .\dail_base3.dbr .\items\materia\class0006\Shaman52.dbr /y</v>
      </c>
      <c r="P54" t="str">
        <f t="shared" si="7"/>
        <v>echo relicBitmap,items/craftingparts/components/component_a52_bristlyfur_b.tex, &gt;&gt; .\items\materia\class0006\Shaman52.dbr</v>
      </c>
      <c r="Q54" t="str">
        <f t="shared" si="7"/>
        <v>echo itemCost,500000, &gt;&gt; .\items\materia\class0006\Shaman52.dbr</v>
      </c>
      <c r="R54" t="str">
        <f t="shared" si="7"/>
        <v>echo description,dailCompDescShaman52, &gt;&gt; .\items\materia\class0006\Shaman52.dbr</v>
      </c>
      <c r="S54" t="str">
        <f t="shared" si="7"/>
        <v>echo itemText,dailCompTextShaman52, &gt;&gt; .\items\materia\class0006\Shaman52.dbr</v>
      </c>
      <c r="T54" t="str">
        <f t="shared" si="7"/>
        <v>echo augmentSkillLevel1,3, &gt;&gt; .\items\materia\class0006\Shaman52.dbr</v>
      </c>
      <c r="U54" t="str">
        <f t="shared" si="7"/>
        <v>echo augmentSkillName1,records/skills/playerclass06/weaponpool02.dbr, &gt;&gt; .\items\materia\class0006\Shaman52.dbr</v>
      </c>
      <c r="V54" s="5" t="s">
        <v>36</v>
      </c>
      <c r="W54" t="str">
        <f t="shared" si="8"/>
        <v>echo lootName52,DAIL/items/materia/class0006/Shaman52.dbr, &gt;&gt; .\items\loottables\dailoneskill0006.dbr</v>
      </c>
      <c r="X54" t="str">
        <f t="shared" si="8"/>
        <v>echo lootWeight52,1, &gt;&gt; .\items\loottables\dailoneskill0006.dbr</v>
      </c>
      <c r="Y54" s="5" t="s">
        <v>36</v>
      </c>
      <c r="Z54" t="str">
        <f t="shared" si="9"/>
        <v xml:space="preserve"> dailCompDescShaman52=^pShaman's Gift of DAIL</v>
      </c>
      <c r="AA54" t="str">
        <f t="shared" si="17"/>
        <v>dailCompTextShaman52=^oThis feels warm to the touch, almost familiar ^w(This component only fits into the Medal Slot)</v>
      </c>
      <c r="AB54" s="5" t="s">
        <v>36</v>
      </c>
      <c r="AH54">
        <f t="shared" si="19"/>
        <v>49</v>
      </c>
      <c r="AI54">
        <f t="shared" si="22"/>
        <v>31</v>
      </c>
      <c r="AJ54">
        <f t="shared" si="18"/>
        <v>3</v>
      </c>
    </row>
    <row r="55" spans="1:36" x14ac:dyDescent="0.25">
      <c r="A55" s="5" t="s">
        <v>39</v>
      </c>
      <c r="B55" s="5" t="s">
        <v>30</v>
      </c>
      <c r="C55" s="5" t="str">
        <f t="shared" si="0"/>
        <v>description,dailCompDescShaman53,</v>
      </c>
      <c r="D55" s="5" t="str">
        <f t="shared" si="2"/>
        <v>itemText,dailCompTextShaman53,</v>
      </c>
      <c r="E55" s="5" t="str">
        <f t="shared" si="14"/>
        <v>augmentSkillLevel1,3,</v>
      </c>
      <c r="F55" s="5" t="str">
        <f t="shared" si="15"/>
        <v>augmentSkillName1,records/skills/playerclass06/stormtotem01.dbr,</v>
      </c>
      <c r="G55" s="7">
        <f t="shared" si="10"/>
        <v>53</v>
      </c>
      <c r="H55" s="8" t="str">
        <f t="shared" si="11"/>
        <v>Shaman</v>
      </c>
      <c r="I55" s="3" t="s">
        <v>147</v>
      </c>
      <c r="J55" s="8" t="str">
        <f t="shared" si="23"/>
        <v>class0006</v>
      </c>
      <c r="K55" s="8" t="str">
        <f t="shared" si="23"/>
        <v>dailoneskill0006</v>
      </c>
      <c r="L55" s="5" t="str">
        <f t="shared" si="4"/>
        <v>lootName53,DAIL/items/materia/class0006/Shaman53.dbr,</v>
      </c>
      <c r="M55" s="5" t="str">
        <f t="shared" si="5"/>
        <v>lootWeight53,1,</v>
      </c>
      <c r="N55" t="str">
        <f t="shared" si="6"/>
        <v>3</v>
      </c>
      <c r="O55" t="str">
        <f t="shared" si="16"/>
        <v>copy .\dail_base3.dbr .\items\materia\class0006\Shaman53.dbr /y</v>
      </c>
      <c r="P55" t="str">
        <f t="shared" si="7"/>
        <v>echo relicBitmap,items/craftingparts/components/component_a52_bristlyfur_b.tex, &gt;&gt; .\items\materia\class0006\Shaman53.dbr</v>
      </c>
      <c r="Q55" t="str">
        <f t="shared" si="7"/>
        <v>echo itemCost,500000, &gt;&gt; .\items\materia\class0006\Shaman53.dbr</v>
      </c>
      <c r="R55" t="str">
        <f t="shared" si="7"/>
        <v>echo description,dailCompDescShaman53, &gt;&gt; .\items\materia\class0006\Shaman53.dbr</v>
      </c>
      <c r="S55" t="str">
        <f t="shared" si="7"/>
        <v>echo itemText,dailCompTextShaman53, &gt;&gt; .\items\materia\class0006\Shaman53.dbr</v>
      </c>
      <c r="T55" t="str">
        <f t="shared" si="7"/>
        <v>echo augmentSkillLevel1,3, &gt;&gt; .\items\materia\class0006\Shaman53.dbr</v>
      </c>
      <c r="U55" t="str">
        <f t="shared" si="7"/>
        <v>echo augmentSkillName1,records/skills/playerclass06/stormtotem01.dbr, &gt;&gt; .\items\materia\class0006\Shaman53.dbr</v>
      </c>
      <c r="V55" s="5" t="s">
        <v>36</v>
      </c>
      <c r="W55" t="str">
        <f t="shared" si="8"/>
        <v>echo lootName53,DAIL/items/materia/class0006/Shaman53.dbr, &gt;&gt; .\items\loottables\dailoneskill0006.dbr</v>
      </c>
      <c r="X55" t="str">
        <f t="shared" si="8"/>
        <v>echo lootWeight53,1, &gt;&gt; .\items\loottables\dailoneskill0006.dbr</v>
      </c>
      <c r="Y55" s="5" t="s">
        <v>36</v>
      </c>
      <c r="Z55" t="str">
        <f t="shared" si="9"/>
        <v xml:space="preserve"> dailCompDescShaman53=^pShaman's Gift of DAIL</v>
      </c>
      <c r="AA55" t="str">
        <f t="shared" si="17"/>
        <v>dailCompTextShaman53=^oThis feels warm to the touch, almost familiar ^w(This component only fits into the Medal Slot)</v>
      </c>
      <c r="AB55" s="5" t="s">
        <v>36</v>
      </c>
      <c r="AH55">
        <f t="shared" si="19"/>
        <v>50</v>
      </c>
      <c r="AI55">
        <f t="shared" si="22"/>
        <v>31</v>
      </c>
      <c r="AJ55">
        <f t="shared" si="18"/>
        <v>3</v>
      </c>
    </row>
    <row r="56" spans="1:36" x14ac:dyDescent="0.25">
      <c r="A56" s="5" t="s">
        <v>39</v>
      </c>
      <c r="B56" s="5" t="s">
        <v>30</v>
      </c>
      <c r="C56" s="5" t="str">
        <f t="shared" si="0"/>
        <v>description,dailCompDescShaman54,</v>
      </c>
      <c r="D56" s="5" t="str">
        <f t="shared" si="2"/>
        <v>itemText,dailCompTextShaman54,</v>
      </c>
      <c r="E56" s="5" t="str">
        <f t="shared" si="14"/>
        <v>augmentSkillLevel1,3,</v>
      </c>
      <c r="F56" s="5" t="str">
        <f t="shared" si="15"/>
        <v>augmentSkillName1,records/skills/playerclass06/stormtotem01b_petmodifier.dbr,</v>
      </c>
      <c r="G56" s="7">
        <f t="shared" si="10"/>
        <v>54</v>
      </c>
      <c r="H56" s="8" t="str">
        <f t="shared" si="11"/>
        <v>Shaman</v>
      </c>
      <c r="I56" s="3" t="s">
        <v>350</v>
      </c>
      <c r="J56" s="8" t="str">
        <f t="shared" si="23"/>
        <v>class0006</v>
      </c>
      <c r="K56" s="8" t="str">
        <f t="shared" si="23"/>
        <v>dailoneskill0006</v>
      </c>
      <c r="L56" s="5" t="str">
        <f t="shared" si="4"/>
        <v>lootName54,DAIL/items/materia/class0006/Shaman54.dbr,</v>
      </c>
      <c r="M56" s="5" t="str">
        <f t="shared" si="5"/>
        <v>lootWeight54,1,</v>
      </c>
      <c r="N56" t="str">
        <f t="shared" si="6"/>
        <v>3</v>
      </c>
      <c r="O56" t="str">
        <f t="shared" si="16"/>
        <v>copy .\dail_base3.dbr .\items\materia\class0006\Shaman54.dbr /y</v>
      </c>
      <c r="P56" t="str">
        <f t="shared" si="7"/>
        <v>echo relicBitmap,items/craftingparts/components/component_a52_bristlyfur_b.tex, &gt;&gt; .\items\materia\class0006\Shaman54.dbr</v>
      </c>
      <c r="Q56" t="str">
        <f t="shared" si="7"/>
        <v>echo itemCost,500000, &gt;&gt; .\items\materia\class0006\Shaman54.dbr</v>
      </c>
      <c r="R56" t="str">
        <f t="shared" si="7"/>
        <v>echo description,dailCompDescShaman54, &gt;&gt; .\items\materia\class0006\Shaman54.dbr</v>
      </c>
      <c r="S56" t="str">
        <f t="shared" si="7"/>
        <v>echo itemText,dailCompTextShaman54, &gt;&gt; .\items\materia\class0006\Shaman54.dbr</v>
      </c>
      <c r="T56" t="str">
        <f t="shared" si="7"/>
        <v>echo augmentSkillLevel1,3, &gt;&gt; .\items\materia\class0006\Shaman54.dbr</v>
      </c>
      <c r="U56" t="str">
        <f t="shared" si="7"/>
        <v>echo augmentSkillName1,records/skills/playerclass06/stormtotem01b_petmodifier.dbr, &gt;&gt; .\items\materia\class0006\Shaman54.dbr</v>
      </c>
      <c r="V56" s="5" t="s">
        <v>36</v>
      </c>
      <c r="W56" t="str">
        <f t="shared" si="8"/>
        <v>echo lootName54,DAIL/items/materia/class0006/Shaman54.dbr, &gt;&gt; .\items\loottables\dailoneskill0006.dbr</v>
      </c>
      <c r="X56" t="str">
        <f t="shared" si="8"/>
        <v>echo lootWeight54,1, &gt;&gt; .\items\loottables\dailoneskill0006.dbr</v>
      </c>
      <c r="Y56" s="5" t="s">
        <v>36</v>
      </c>
      <c r="Z56" t="str">
        <f t="shared" si="9"/>
        <v xml:space="preserve"> dailCompDescShaman54=^pShaman's Gift of DAIL</v>
      </c>
      <c r="AA56" t="str">
        <f t="shared" si="17"/>
        <v>dailCompTextShaman54=^oThis feels warm to the touch, almost familiar ^w(This component only fits into the Medal Slot)</v>
      </c>
      <c r="AB56" s="5" t="s">
        <v>36</v>
      </c>
      <c r="AH56">
        <f t="shared" si="19"/>
        <v>51</v>
      </c>
      <c r="AI56">
        <f t="shared" si="22"/>
        <v>44</v>
      </c>
      <c r="AJ56">
        <f t="shared" si="18"/>
        <v>3</v>
      </c>
    </row>
    <row r="57" spans="1:36" x14ac:dyDescent="0.25">
      <c r="A57" s="5" t="s">
        <v>39</v>
      </c>
      <c r="B57" s="5" t="s">
        <v>30</v>
      </c>
      <c r="C57" s="5" t="str">
        <f t="shared" si="0"/>
        <v>description,dailCompDescShaman55,</v>
      </c>
      <c r="D57" s="5" t="str">
        <f t="shared" si="2"/>
        <v>itemText,dailCompTextShaman55,</v>
      </c>
      <c r="E57" s="5" t="str">
        <f t="shared" si="14"/>
        <v>augmentSkillLevel1,3,</v>
      </c>
      <c r="F57" s="5" t="str">
        <f t="shared" si="15"/>
        <v>augmentSkillName1,records/skills/playerclass06/savagery1b.dbr,</v>
      </c>
      <c r="G57" s="7">
        <f t="shared" si="10"/>
        <v>55</v>
      </c>
      <c r="H57" s="8" t="str">
        <f t="shared" si="11"/>
        <v>Shaman</v>
      </c>
      <c r="I57" s="3" t="s">
        <v>351</v>
      </c>
      <c r="J57" s="8" t="str">
        <f t="shared" si="23"/>
        <v>class0006</v>
      </c>
      <c r="K57" s="8" t="str">
        <f t="shared" si="23"/>
        <v>dailoneskill0006</v>
      </c>
      <c r="L57" s="5" t="str">
        <f t="shared" si="4"/>
        <v>lootName55,DAIL/items/materia/class0006/Shaman55.dbr,</v>
      </c>
      <c r="M57" s="5" t="str">
        <f t="shared" si="5"/>
        <v>lootWeight55,1,</v>
      </c>
      <c r="N57" t="str">
        <f t="shared" si="6"/>
        <v>3</v>
      </c>
      <c r="O57" t="str">
        <f t="shared" si="16"/>
        <v>copy .\dail_base3.dbr .\items\materia\class0006\Shaman55.dbr /y</v>
      </c>
      <c r="P57" t="str">
        <f t="shared" si="7"/>
        <v>echo relicBitmap,items/craftingparts/components/component_a52_bristlyfur_b.tex, &gt;&gt; .\items\materia\class0006\Shaman55.dbr</v>
      </c>
      <c r="Q57" t="str">
        <f t="shared" si="7"/>
        <v>echo itemCost,500000, &gt;&gt; .\items\materia\class0006\Shaman55.dbr</v>
      </c>
      <c r="R57" t="str">
        <f t="shared" si="7"/>
        <v>echo description,dailCompDescShaman55, &gt;&gt; .\items\materia\class0006\Shaman55.dbr</v>
      </c>
      <c r="S57" t="str">
        <f t="shared" si="7"/>
        <v>echo itemText,dailCompTextShaman55, &gt;&gt; .\items\materia\class0006\Shaman55.dbr</v>
      </c>
      <c r="T57" t="str">
        <f t="shared" si="7"/>
        <v>echo augmentSkillLevel1,3, &gt;&gt; .\items\materia\class0006\Shaman55.dbr</v>
      </c>
      <c r="U57" t="str">
        <f t="shared" si="7"/>
        <v>echo augmentSkillName1,records/skills/playerclass06/savagery1b.dbr, &gt;&gt; .\items\materia\class0006\Shaman55.dbr</v>
      </c>
      <c r="V57" s="5" t="s">
        <v>36</v>
      </c>
      <c r="W57" t="str">
        <f t="shared" si="8"/>
        <v>echo lootName55,DAIL/items/materia/class0006/Shaman55.dbr, &gt;&gt; .\items\loottables\dailoneskill0006.dbr</v>
      </c>
      <c r="X57" t="str">
        <f t="shared" si="8"/>
        <v>echo lootWeight55,1, &gt;&gt; .\items\loottables\dailoneskill0006.dbr</v>
      </c>
      <c r="Y57" s="5" t="s">
        <v>36</v>
      </c>
      <c r="Z57" t="str">
        <f t="shared" si="9"/>
        <v xml:space="preserve"> dailCompDescShaman55=^pShaman's Gift of DAIL</v>
      </c>
      <c r="AA57" t="str">
        <f t="shared" si="17"/>
        <v>dailCompTextShaman55=^oThis feels warm to the touch, almost familiar ^w(This component only fits into the Medal Slot)</v>
      </c>
      <c r="AB57" s="5" t="s">
        <v>36</v>
      </c>
      <c r="AH57">
        <f t="shared" si="19"/>
        <v>52</v>
      </c>
      <c r="AI57">
        <f t="shared" si="22"/>
        <v>29</v>
      </c>
      <c r="AJ57">
        <f t="shared" si="18"/>
        <v>3</v>
      </c>
    </row>
    <row r="58" spans="1:36" x14ac:dyDescent="0.25">
      <c r="A58" s="5" t="s">
        <v>39</v>
      </c>
      <c r="B58" s="5" t="s">
        <v>30</v>
      </c>
      <c r="C58" s="5" t="str">
        <f t="shared" si="0"/>
        <v>description,dailCompDescShaman56,</v>
      </c>
      <c r="D58" s="5" t="str">
        <f t="shared" si="2"/>
        <v>itemText,dailCompTextShaman56,</v>
      </c>
      <c r="E58" s="5" t="str">
        <f t="shared" si="14"/>
        <v>augmentSkillLevel1,3,</v>
      </c>
      <c r="F58" s="5" t="str">
        <f t="shared" si="15"/>
        <v>augmentSkillName1,records/skills/playerclass06/graspingvines1.dbr,</v>
      </c>
      <c r="G58" s="7">
        <f t="shared" si="10"/>
        <v>56</v>
      </c>
      <c r="H58" s="8" t="str">
        <f t="shared" si="11"/>
        <v>Shaman</v>
      </c>
      <c r="I58" s="3" t="s">
        <v>140</v>
      </c>
      <c r="J58" s="8" t="str">
        <f t="shared" si="23"/>
        <v>class0006</v>
      </c>
      <c r="K58" s="8" t="str">
        <f t="shared" si="23"/>
        <v>dailoneskill0006</v>
      </c>
      <c r="L58" s="5" t="str">
        <f t="shared" si="4"/>
        <v>lootName56,DAIL/items/materia/class0006/Shaman56.dbr,</v>
      </c>
      <c r="M58" s="5" t="str">
        <f t="shared" si="5"/>
        <v>lootWeight56,1,</v>
      </c>
      <c r="N58" t="str">
        <f t="shared" si="6"/>
        <v>3</v>
      </c>
      <c r="O58" t="str">
        <f t="shared" si="16"/>
        <v>copy .\dail_base3.dbr .\items\materia\class0006\Shaman56.dbr /y</v>
      </c>
      <c r="P58" t="str">
        <f t="shared" si="7"/>
        <v>echo relicBitmap,items/craftingparts/components/component_a52_bristlyfur_b.tex, &gt;&gt; .\items\materia\class0006\Shaman56.dbr</v>
      </c>
      <c r="Q58" t="str">
        <f t="shared" si="7"/>
        <v>echo itemCost,500000, &gt;&gt; .\items\materia\class0006\Shaman56.dbr</v>
      </c>
      <c r="R58" t="str">
        <f t="shared" si="7"/>
        <v>echo description,dailCompDescShaman56, &gt;&gt; .\items\materia\class0006\Shaman56.dbr</v>
      </c>
      <c r="S58" t="str">
        <f t="shared" si="7"/>
        <v>echo itemText,dailCompTextShaman56, &gt;&gt; .\items\materia\class0006\Shaman56.dbr</v>
      </c>
      <c r="T58" t="str">
        <f t="shared" si="7"/>
        <v>echo augmentSkillLevel1,3, &gt;&gt; .\items\materia\class0006\Shaman56.dbr</v>
      </c>
      <c r="U58" t="str">
        <f t="shared" si="7"/>
        <v>echo augmentSkillName1,records/skills/playerclass06/graspingvines1.dbr, &gt;&gt; .\items\materia\class0006\Shaman56.dbr</v>
      </c>
      <c r="V58" s="5" t="s">
        <v>36</v>
      </c>
      <c r="W58" t="str">
        <f t="shared" si="8"/>
        <v>echo lootName56,DAIL/items/materia/class0006/Shaman56.dbr, &gt;&gt; .\items\loottables\dailoneskill0006.dbr</v>
      </c>
      <c r="X58" t="str">
        <f t="shared" si="8"/>
        <v>echo lootWeight56,1, &gt;&gt; .\items\loottables\dailoneskill0006.dbr</v>
      </c>
      <c r="Y58" s="5" t="s">
        <v>36</v>
      </c>
      <c r="Z58" t="str">
        <f t="shared" si="9"/>
        <v xml:space="preserve"> dailCompDescShaman56=^pShaman's Gift of DAIL</v>
      </c>
      <c r="AA58" t="str">
        <f t="shared" si="17"/>
        <v>dailCompTextShaman56=^oThis feels warm to the touch, almost familiar ^w(This component only fits into the Medal Slot)</v>
      </c>
      <c r="AB58" s="5" t="s">
        <v>36</v>
      </c>
      <c r="AH58">
        <f t="shared" si="19"/>
        <v>53</v>
      </c>
      <c r="AI58">
        <f t="shared" si="22"/>
        <v>33</v>
      </c>
      <c r="AJ58">
        <f t="shared" si="18"/>
        <v>3</v>
      </c>
    </row>
    <row r="59" spans="1:36" x14ac:dyDescent="0.25">
      <c r="A59" s="5" t="s">
        <v>39</v>
      </c>
      <c r="B59" s="5" t="s">
        <v>30</v>
      </c>
      <c r="C59" s="5" t="str">
        <f t="shared" si="0"/>
        <v>description,dailCompDescShaman57,</v>
      </c>
      <c r="D59" s="5" t="str">
        <f t="shared" si="2"/>
        <v>itemText,dailCompTextShaman57,</v>
      </c>
      <c r="E59" s="5" t="str">
        <f t="shared" si="14"/>
        <v>augmentSkillLevel1,3,</v>
      </c>
      <c r="F59" s="5" t="str">
        <f t="shared" si="15"/>
        <v>augmentSkillName1,records/skills/playerclass06/graspingvines2.dbr,</v>
      </c>
      <c r="G59" s="7">
        <f t="shared" si="10"/>
        <v>57</v>
      </c>
      <c r="H59" s="8" t="str">
        <f t="shared" si="11"/>
        <v>Shaman</v>
      </c>
      <c r="I59" s="3" t="s">
        <v>352</v>
      </c>
      <c r="J59" s="8" t="str">
        <f t="shared" si="23"/>
        <v>class0006</v>
      </c>
      <c r="K59" s="8" t="str">
        <f t="shared" si="23"/>
        <v>dailoneskill0006</v>
      </c>
      <c r="L59" s="5" t="str">
        <f t="shared" si="4"/>
        <v>lootName57,DAIL/items/materia/class0006/Shaman57.dbr,</v>
      </c>
      <c r="M59" s="5" t="str">
        <f t="shared" si="5"/>
        <v>lootWeight57,1,</v>
      </c>
      <c r="N59" t="str">
        <f t="shared" si="6"/>
        <v>3</v>
      </c>
      <c r="O59" t="str">
        <f t="shared" si="16"/>
        <v>copy .\dail_base3.dbr .\items\materia\class0006\Shaman57.dbr /y</v>
      </c>
      <c r="P59" t="str">
        <f t="shared" ref="P59:U101" si="24">IF($I59&lt;&gt;"","echo "&amp;A59&amp;" &gt;&gt; .\items\materia\"&amp;$J59&amp;"\"&amp;$H59&amp;$G59&amp;".dbr","")</f>
        <v>echo relicBitmap,items/craftingparts/components/component_a52_bristlyfur_b.tex, &gt;&gt; .\items\materia\class0006\Shaman57.dbr</v>
      </c>
      <c r="Q59" t="str">
        <f t="shared" si="24"/>
        <v>echo itemCost,500000, &gt;&gt; .\items\materia\class0006\Shaman57.dbr</v>
      </c>
      <c r="R59" t="str">
        <f t="shared" si="24"/>
        <v>echo description,dailCompDescShaman57, &gt;&gt; .\items\materia\class0006\Shaman57.dbr</v>
      </c>
      <c r="S59" t="str">
        <f t="shared" si="24"/>
        <v>echo itemText,dailCompTextShaman57, &gt;&gt; .\items\materia\class0006\Shaman57.dbr</v>
      </c>
      <c r="T59" t="str">
        <f t="shared" si="24"/>
        <v>echo augmentSkillLevel1,3, &gt;&gt; .\items\materia\class0006\Shaman57.dbr</v>
      </c>
      <c r="U59" t="str">
        <f t="shared" si="24"/>
        <v>echo augmentSkillName1,records/skills/playerclass06/graspingvines2.dbr, &gt;&gt; .\items\materia\class0006\Shaman57.dbr</v>
      </c>
      <c r="V59" s="5" t="s">
        <v>36</v>
      </c>
      <c r="W59" t="str">
        <f t="shared" si="8"/>
        <v>echo lootName57,DAIL/items/materia/class0006/Shaman57.dbr, &gt;&gt; .\items\loottables\dailoneskill0006.dbr</v>
      </c>
      <c r="X59" t="str">
        <f t="shared" si="8"/>
        <v>echo lootWeight57,1, &gt;&gt; .\items\loottables\dailoneskill0006.dbr</v>
      </c>
      <c r="Y59" s="5" t="s">
        <v>36</v>
      </c>
      <c r="Z59" t="str">
        <f t="shared" si="9"/>
        <v xml:space="preserve"> dailCompDescShaman57=^pShaman's Gift of DAIL</v>
      </c>
      <c r="AA59" t="str">
        <f t="shared" si="17"/>
        <v>dailCompTextShaman57=^oThis feels warm to the touch, almost familiar ^w(This component only fits into the Medal Slot)</v>
      </c>
      <c r="AB59" s="5" t="s">
        <v>36</v>
      </c>
      <c r="AH59">
        <f t="shared" si="19"/>
        <v>54</v>
      </c>
      <c r="AI59">
        <f t="shared" si="22"/>
        <v>33</v>
      </c>
      <c r="AJ59">
        <f t="shared" si="18"/>
        <v>3</v>
      </c>
    </row>
    <row r="60" spans="1:36" x14ac:dyDescent="0.25">
      <c r="A60" s="5" t="s">
        <v>39</v>
      </c>
      <c r="B60" s="5" t="s">
        <v>30</v>
      </c>
      <c r="C60" s="5" t="str">
        <f t="shared" si="0"/>
        <v>description,dailCompDescShaman58,</v>
      </c>
      <c r="D60" s="5" t="str">
        <f t="shared" si="2"/>
        <v>itemText,dailCompTextShaman58,</v>
      </c>
      <c r="E60" s="5" t="str">
        <f t="shared" si="14"/>
        <v>augmentSkillLevel1,3,</v>
      </c>
      <c r="F60" s="5" t="str">
        <f t="shared" si="15"/>
        <v>augmentSkillName1,records/skills/playerclass06/savagery2.dbr,</v>
      </c>
      <c r="G60" s="7">
        <f t="shared" si="10"/>
        <v>58</v>
      </c>
      <c r="H60" s="8" t="str">
        <f t="shared" si="11"/>
        <v>Shaman</v>
      </c>
      <c r="I60" s="3" t="s">
        <v>353</v>
      </c>
      <c r="J60" s="8" t="str">
        <f t="shared" si="23"/>
        <v>class0006</v>
      </c>
      <c r="K60" s="8" t="str">
        <f t="shared" si="23"/>
        <v>dailoneskill0006</v>
      </c>
      <c r="L60" s="5" t="str">
        <f t="shared" si="4"/>
        <v>lootName58,DAIL/items/materia/class0006/Shaman58.dbr,</v>
      </c>
      <c r="M60" s="5" t="str">
        <f t="shared" si="5"/>
        <v>lootWeight58,1,</v>
      </c>
      <c r="N60" t="str">
        <f t="shared" si="6"/>
        <v>3</v>
      </c>
      <c r="O60" t="str">
        <f t="shared" si="16"/>
        <v>copy .\dail_base3.dbr .\items\materia\class0006\Shaman58.dbr /y</v>
      </c>
      <c r="P60" t="str">
        <f t="shared" si="24"/>
        <v>echo relicBitmap,items/craftingparts/components/component_a52_bristlyfur_b.tex, &gt;&gt; .\items\materia\class0006\Shaman58.dbr</v>
      </c>
      <c r="Q60" t="str">
        <f t="shared" si="24"/>
        <v>echo itemCost,500000, &gt;&gt; .\items\materia\class0006\Shaman58.dbr</v>
      </c>
      <c r="R60" t="str">
        <f t="shared" si="24"/>
        <v>echo description,dailCompDescShaman58, &gt;&gt; .\items\materia\class0006\Shaman58.dbr</v>
      </c>
      <c r="S60" t="str">
        <f t="shared" si="24"/>
        <v>echo itemText,dailCompTextShaman58, &gt;&gt; .\items\materia\class0006\Shaman58.dbr</v>
      </c>
      <c r="T60" t="str">
        <f t="shared" si="24"/>
        <v>echo augmentSkillLevel1,3, &gt;&gt; .\items\materia\class0006\Shaman58.dbr</v>
      </c>
      <c r="U60" t="str">
        <f t="shared" si="24"/>
        <v>echo augmentSkillName1,records/skills/playerclass06/savagery2.dbr, &gt;&gt; .\items\materia\class0006\Shaman58.dbr</v>
      </c>
      <c r="V60" s="5" t="s">
        <v>36</v>
      </c>
      <c r="W60" t="str">
        <f t="shared" si="8"/>
        <v>echo lootName58,DAIL/items/materia/class0006/Shaman58.dbr, &gt;&gt; .\items\loottables\dailoneskill0006.dbr</v>
      </c>
      <c r="X60" t="str">
        <f t="shared" si="8"/>
        <v>echo lootWeight58,1, &gt;&gt; .\items\loottables\dailoneskill0006.dbr</v>
      </c>
      <c r="Y60" s="5" t="s">
        <v>36</v>
      </c>
      <c r="Z60" t="str">
        <f t="shared" si="9"/>
        <v xml:space="preserve"> dailCompDescShaman58=^pShaman's Gift of DAIL</v>
      </c>
      <c r="AA60" t="str">
        <f t="shared" si="17"/>
        <v>dailCompTextShaman58=^oThis feels warm to the touch, almost familiar ^w(This component only fits into the Medal Slot)</v>
      </c>
      <c r="AB60" s="5" t="s">
        <v>36</v>
      </c>
      <c r="AH60">
        <f t="shared" si="19"/>
        <v>55</v>
      </c>
      <c r="AI60">
        <f t="shared" si="22"/>
        <v>28</v>
      </c>
      <c r="AJ60">
        <f t="shared" si="18"/>
        <v>3</v>
      </c>
    </row>
    <row r="61" spans="1:36" x14ac:dyDescent="0.25">
      <c r="A61" s="5" t="s">
        <v>39</v>
      </c>
      <c r="B61" s="5" t="s">
        <v>30</v>
      </c>
      <c r="C61" s="5" t="str">
        <f t="shared" si="0"/>
        <v>description,dailCompDescShaman59,</v>
      </c>
      <c r="D61" s="5" t="str">
        <f t="shared" si="2"/>
        <v>itemText,dailCompTextShaman59,</v>
      </c>
      <c r="E61" s="5" t="str">
        <f t="shared" si="14"/>
        <v>augmentSkillLevel1,3,</v>
      </c>
      <c r="F61" s="5" t="str">
        <f t="shared" si="15"/>
        <v>augmentSkillName1,records/skills/playerclass06/savagery3.dbr,</v>
      </c>
      <c r="G61" s="7">
        <f t="shared" si="10"/>
        <v>59</v>
      </c>
      <c r="H61" s="8" t="str">
        <f t="shared" si="11"/>
        <v>Shaman</v>
      </c>
      <c r="I61" s="3" t="s">
        <v>354</v>
      </c>
      <c r="J61" s="8" t="str">
        <f t="shared" si="23"/>
        <v>class0006</v>
      </c>
      <c r="K61" s="8" t="str">
        <f t="shared" si="23"/>
        <v>dailoneskill0006</v>
      </c>
      <c r="L61" s="5" t="str">
        <f t="shared" si="4"/>
        <v>lootName59,DAIL/items/materia/class0006/Shaman59.dbr,</v>
      </c>
      <c r="M61" s="5" t="str">
        <f t="shared" si="5"/>
        <v>lootWeight59,1,</v>
      </c>
      <c r="N61" t="str">
        <f t="shared" si="6"/>
        <v>3</v>
      </c>
      <c r="O61" t="str">
        <f t="shared" si="16"/>
        <v>copy .\dail_base3.dbr .\items\materia\class0006\Shaman59.dbr /y</v>
      </c>
      <c r="P61" t="str">
        <f t="shared" si="24"/>
        <v>echo relicBitmap,items/craftingparts/components/component_a52_bristlyfur_b.tex, &gt;&gt; .\items\materia\class0006\Shaman59.dbr</v>
      </c>
      <c r="Q61" t="str">
        <f t="shared" si="24"/>
        <v>echo itemCost,500000, &gt;&gt; .\items\materia\class0006\Shaman59.dbr</v>
      </c>
      <c r="R61" t="str">
        <f t="shared" si="24"/>
        <v>echo description,dailCompDescShaman59, &gt;&gt; .\items\materia\class0006\Shaman59.dbr</v>
      </c>
      <c r="S61" t="str">
        <f t="shared" si="24"/>
        <v>echo itemText,dailCompTextShaman59, &gt;&gt; .\items\materia\class0006\Shaman59.dbr</v>
      </c>
      <c r="T61" t="str">
        <f t="shared" si="24"/>
        <v>echo augmentSkillLevel1,3, &gt;&gt; .\items\materia\class0006\Shaman59.dbr</v>
      </c>
      <c r="U61" t="str">
        <f t="shared" si="24"/>
        <v>echo augmentSkillName1,records/skills/playerclass06/savagery3.dbr, &gt;&gt; .\items\materia\class0006\Shaman59.dbr</v>
      </c>
      <c r="V61" s="5" t="s">
        <v>36</v>
      </c>
      <c r="W61" t="str">
        <f t="shared" si="8"/>
        <v>echo lootName59,DAIL/items/materia/class0006/Shaman59.dbr, &gt;&gt; .\items\loottables\dailoneskill0006.dbr</v>
      </c>
      <c r="X61" t="str">
        <f t="shared" si="8"/>
        <v>echo lootWeight59,1, &gt;&gt; .\items\loottables\dailoneskill0006.dbr</v>
      </c>
      <c r="Y61" s="5" t="s">
        <v>36</v>
      </c>
      <c r="Z61" t="str">
        <f t="shared" si="9"/>
        <v xml:space="preserve"> dailCompDescShaman59=^pShaman's Gift of DAIL</v>
      </c>
      <c r="AA61" t="str">
        <f t="shared" si="17"/>
        <v>dailCompTextShaman59=^oThis feels warm to the touch, almost familiar ^w(This component only fits into the Medal Slot)</v>
      </c>
      <c r="AB61" s="5" t="s">
        <v>36</v>
      </c>
      <c r="AH61">
        <f t="shared" si="19"/>
        <v>56</v>
      </c>
      <c r="AI61">
        <f t="shared" si="22"/>
        <v>28</v>
      </c>
      <c r="AJ61">
        <f t="shared" si="18"/>
        <v>3</v>
      </c>
    </row>
    <row r="62" spans="1:36" x14ac:dyDescent="0.25">
      <c r="A62" s="5" t="s">
        <v>39</v>
      </c>
      <c r="B62" s="5" t="s">
        <v>30</v>
      </c>
      <c r="C62" s="5" t="str">
        <f t="shared" si="0"/>
        <v>description,dailCompDescShaman60,</v>
      </c>
      <c r="D62" s="5" t="str">
        <f t="shared" si="2"/>
        <v>itemText,dailCompTextShaman60,</v>
      </c>
      <c r="E62" s="5" t="str">
        <f t="shared" si="14"/>
        <v>augmentSkillLevel1,3,</v>
      </c>
      <c r="F62" s="5" t="str">
        <f t="shared" si="15"/>
        <v>augmentSkillName1,records/skills/playerclass06/savagestrike1.dbr,</v>
      </c>
      <c r="G62" s="7">
        <f t="shared" si="10"/>
        <v>60</v>
      </c>
      <c r="H62" s="8" t="str">
        <f t="shared" si="11"/>
        <v>Shaman</v>
      </c>
      <c r="I62" s="3" t="s">
        <v>144</v>
      </c>
      <c r="J62" s="8" t="str">
        <f t="shared" si="23"/>
        <v>class0006</v>
      </c>
      <c r="K62" s="8" t="str">
        <f t="shared" si="23"/>
        <v>dailoneskill0006</v>
      </c>
      <c r="L62" s="5" t="str">
        <f t="shared" si="4"/>
        <v>lootName60,DAIL/items/materia/class0006/Shaman60.dbr,</v>
      </c>
      <c r="M62" s="5" t="str">
        <f t="shared" si="5"/>
        <v>lootWeight60,1,</v>
      </c>
      <c r="N62" t="str">
        <f t="shared" si="6"/>
        <v>3</v>
      </c>
      <c r="O62" t="str">
        <f t="shared" si="16"/>
        <v>copy .\dail_base3.dbr .\items\materia\class0006\Shaman60.dbr /y</v>
      </c>
      <c r="P62" t="str">
        <f t="shared" si="24"/>
        <v>echo relicBitmap,items/craftingparts/components/component_a52_bristlyfur_b.tex, &gt;&gt; .\items\materia\class0006\Shaman60.dbr</v>
      </c>
      <c r="Q62" t="str">
        <f t="shared" si="24"/>
        <v>echo itemCost,500000, &gt;&gt; .\items\materia\class0006\Shaman60.dbr</v>
      </c>
      <c r="R62" t="str">
        <f t="shared" si="24"/>
        <v>echo description,dailCompDescShaman60, &gt;&gt; .\items\materia\class0006\Shaman60.dbr</v>
      </c>
      <c r="S62" t="str">
        <f t="shared" si="24"/>
        <v>echo itemText,dailCompTextShaman60, &gt;&gt; .\items\materia\class0006\Shaman60.dbr</v>
      </c>
      <c r="T62" t="str">
        <f t="shared" si="24"/>
        <v>echo augmentSkillLevel1,3, &gt;&gt; .\items\materia\class0006\Shaman60.dbr</v>
      </c>
      <c r="U62" t="str">
        <f t="shared" si="24"/>
        <v>echo augmentSkillName1,records/skills/playerclass06/savagestrike1.dbr, &gt;&gt; .\items\materia\class0006\Shaman60.dbr</v>
      </c>
      <c r="V62" s="5" t="s">
        <v>36</v>
      </c>
      <c r="W62" t="str">
        <f t="shared" si="8"/>
        <v>echo lootName60,DAIL/items/materia/class0006/Shaman60.dbr, &gt;&gt; .\items\loottables\dailoneskill0006.dbr</v>
      </c>
      <c r="X62" t="str">
        <f t="shared" si="8"/>
        <v>echo lootWeight60,1, &gt;&gt; .\items\loottables\dailoneskill0006.dbr</v>
      </c>
      <c r="Y62" s="5" t="s">
        <v>36</v>
      </c>
      <c r="Z62" t="str">
        <f t="shared" si="9"/>
        <v xml:space="preserve"> dailCompDescShaman60=^pShaman's Gift of DAIL</v>
      </c>
      <c r="AA62" t="str">
        <f t="shared" si="17"/>
        <v>dailCompTextShaman60=^oThis feels warm to the touch, almost familiar ^w(This component only fits into the Medal Slot)</v>
      </c>
      <c r="AB62" s="5" t="s">
        <v>36</v>
      </c>
      <c r="AH62">
        <f t="shared" si="19"/>
        <v>57</v>
      </c>
      <c r="AI62">
        <f t="shared" si="22"/>
        <v>32</v>
      </c>
      <c r="AJ62">
        <f t="shared" si="18"/>
        <v>3</v>
      </c>
    </row>
    <row r="63" spans="1:36" x14ac:dyDescent="0.25">
      <c r="A63" s="5" t="s">
        <v>39</v>
      </c>
      <c r="B63" s="5" t="s">
        <v>30</v>
      </c>
      <c r="C63" s="5" t="str">
        <f t="shared" si="0"/>
        <v>description,dailCompDescShaman61,</v>
      </c>
      <c r="D63" s="5" t="str">
        <f t="shared" si="2"/>
        <v>itemText,dailCompTextShaman61,</v>
      </c>
      <c r="E63" s="5" t="str">
        <f t="shared" si="14"/>
        <v>augmentSkillLevel1,3,</v>
      </c>
      <c r="F63" s="5" t="str">
        <f t="shared" si="15"/>
        <v>augmentSkillName1,records/skills/playerclass06/savagestrike1b.dbr,</v>
      </c>
      <c r="G63" s="7">
        <f t="shared" si="10"/>
        <v>61</v>
      </c>
      <c r="H63" s="8" t="str">
        <f t="shared" si="11"/>
        <v>Shaman</v>
      </c>
      <c r="I63" s="3" t="s">
        <v>355</v>
      </c>
      <c r="J63" s="8" t="str">
        <f t="shared" si="23"/>
        <v>class0006</v>
      </c>
      <c r="K63" s="8" t="str">
        <f t="shared" si="23"/>
        <v>dailoneskill0006</v>
      </c>
      <c r="L63" s="5" t="str">
        <f t="shared" si="4"/>
        <v>lootName61,DAIL/items/materia/class0006/Shaman61.dbr,</v>
      </c>
      <c r="M63" s="5" t="str">
        <f t="shared" si="5"/>
        <v>lootWeight61,1,</v>
      </c>
      <c r="N63" t="str">
        <f t="shared" si="6"/>
        <v>3</v>
      </c>
      <c r="O63" t="str">
        <f t="shared" si="16"/>
        <v>copy .\dail_base3.dbr .\items\materia\class0006\Shaman61.dbr /y</v>
      </c>
      <c r="P63" t="str">
        <f t="shared" si="24"/>
        <v>echo relicBitmap,items/craftingparts/components/component_a52_bristlyfur_b.tex, &gt;&gt; .\items\materia\class0006\Shaman61.dbr</v>
      </c>
      <c r="Q63" t="str">
        <f t="shared" si="24"/>
        <v>echo itemCost,500000, &gt;&gt; .\items\materia\class0006\Shaman61.dbr</v>
      </c>
      <c r="R63" t="str">
        <f t="shared" si="24"/>
        <v>echo description,dailCompDescShaman61, &gt;&gt; .\items\materia\class0006\Shaman61.dbr</v>
      </c>
      <c r="S63" t="str">
        <f t="shared" si="24"/>
        <v>echo itemText,dailCompTextShaman61, &gt;&gt; .\items\materia\class0006\Shaman61.dbr</v>
      </c>
      <c r="T63" t="str">
        <f t="shared" si="24"/>
        <v>echo augmentSkillLevel1,3, &gt;&gt; .\items\materia\class0006\Shaman61.dbr</v>
      </c>
      <c r="U63" t="str">
        <f t="shared" si="24"/>
        <v>echo augmentSkillName1,records/skills/playerclass06/savagestrike1b.dbr, &gt;&gt; .\items\materia\class0006\Shaman61.dbr</v>
      </c>
      <c r="V63" s="5" t="s">
        <v>36</v>
      </c>
      <c r="W63" t="str">
        <f t="shared" si="8"/>
        <v>echo lootName61,DAIL/items/materia/class0006/Shaman61.dbr, &gt;&gt; .\items\loottables\dailoneskill0006.dbr</v>
      </c>
      <c r="X63" t="str">
        <f t="shared" si="8"/>
        <v>echo lootWeight61,1, &gt;&gt; .\items\loottables\dailoneskill0006.dbr</v>
      </c>
      <c r="Y63" s="5" t="s">
        <v>36</v>
      </c>
      <c r="Z63" t="str">
        <f t="shared" si="9"/>
        <v xml:space="preserve"> dailCompDescShaman61=^pShaman's Gift of DAIL</v>
      </c>
      <c r="AA63" t="str">
        <f t="shared" si="17"/>
        <v>dailCompTextShaman61=^oThis feels warm to the touch, almost familiar ^w(This component only fits into the Medal Slot)</v>
      </c>
      <c r="AB63" s="5" t="s">
        <v>36</v>
      </c>
      <c r="AH63">
        <f t="shared" si="19"/>
        <v>58</v>
      </c>
      <c r="AI63">
        <f t="shared" si="22"/>
        <v>33</v>
      </c>
      <c r="AJ63">
        <f t="shared" si="18"/>
        <v>3</v>
      </c>
    </row>
    <row r="64" spans="1:36" x14ac:dyDescent="0.25">
      <c r="A64" s="5" t="s">
        <v>39</v>
      </c>
      <c r="B64" s="5" t="s">
        <v>30</v>
      </c>
      <c r="C64" s="5" t="str">
        <f t="shared" si="0"/>
        <v>description,dailCompDescShaman62,</v>
      </c>
      <c r="D64" s="5" t="str">
        <f t="shared" si="2"/>
        <v>itemText,dailCompTextShaman62,</v>
      </c>
      <c r="E64" s="5" t="str">
        <f t="shared" si="14"/>
        <v>augmentSkillLevel1,3,</v>
      </c>
      <c r="F64" s="5" t="str">
        <f t="shared" si="15"/>
        <v>augmentSkillName1,records/skills/playerclass06/savagestrike3.dbr,</v>
      </c>
      <c r="G64" s="7">
        <f t="shared" si="10"/>
        <v>62</v>
      </c>
      <c r="H64" s="8" t="str">
        <f t="shared" si="11"/>
        <v>Shaman</v>
      </c>
      <c r="I64" s="3" t="s">
        <v>356</v>
      </c>
      <c r="J64" s="8" t="str">
        <f t="shared" si="23"/>
        <v>class0006</v>
      </c>
      <c r="K64" s="8" t="str">
        <f t="shared" si="23"/>
        <v>dailoneskill0006</v>
      </c>
      <c r="L64" s="5" t="str">
        <f t="shared" si="4"/>
        <v>lootName62,DAIL/items/materia/class0006/Shaman62.dbr,</v>
      </c>
      <c r="M64" s="5" t="str">
        <f t="shared" si="5"/>
        <v>lootWeight62,1,</v>
      </c>
      <c r="N64" t="str">
        <f t="shared" si="6"/>
        <v>3</v>
      </c>
      <c r="O64" t="str">
        <f t="shared" si="16"/>
        <v>copy .\dail_base3.dbr .\items\materia\class0006\Shaman62.dbr /y</v>
      </c>
      <c r="P64" t="str">
        <f t="shared" si="24"/>
        <v>echo relicBitmap,items/craftingparts/components/component_a52_bristlyfur_b.tex, &gt;&gt; .\items\materia\class0006\Shaman62.dbr</v>
      </c>
      <c r="Q64" t="str">
        <f t="shared" si="24"/>
        <v>echo itemCost,500000, &gt;&gt; .\items\materia\class0006\Shaman62.dbr</v>
      </c>
      <c r="R64" t="str">
        <f t="shared" si="24"/>
        <v>echo description,dailCompDescShaman62, &gt;&gt; .\items\materia\class0006\Shaman62.dbr</v>
      </c>
      <c r="S64" t="str">
        <f t="shared" si="24"/>
        <v>echo itemText,dailCompTextShaman62, &gt;&gt; .\items\materia\class0006\Shaman62.dbr</v>
      </c>
      <c r="T64" t="str">
        <f t="shared" si="24"/>
        <v>echo augmentSkillLevel1,3, &gt;&gt; .\items\materia\class0006\Shaman62.dbr</v>
      </c>
      <c r="U64" t="str">
        <f t="shared" si="24"/>
        <v>echo augmentSkillName1,records/skills/playerclass06/savagestrike3.dbr, &gt;&gt; .\items\materia\class0006\Shaman62.dbr</v>
      </c>
      <c r="V64" s="5" t="s">
        <v>36</v>
      </c>
      <c r="W64" t="str">
        <f t="shared" si="8"/>
        <v>echo lootName62,DAIL/items/materia/class0006/Shaman62.dbr, &gt;&gt; .\items\loottables\dailoneskill0006.dbr</v>
      </c>
      <c r="X64" t="str">
        <f t="shared" si="8"/>
        <v>echo lootWeight62,1, &gt;&gt; .\items\loottables\dailoneskill0006.dbr</v>
      </c>
      <c r="Y64" s="5" t="s">
        <v>36</v>
      </c>
      <c r="Z64" t="str">
        <f t="shared" si="9"/>
        <v xml:space="preserve"> dailCompDescShaman62=^pShaman's Gift of DAIL</v>
      </c>
      <c r="AA64" t="str">
        <f t="shared" si="17"/>
        <v>dailCompTextShaman62=^oThis feels warm to the touch, almost familiar ^w(This component only fits into the Medal Slot)</v>
      </c>
      <c r="AB64" s="5" t="s">
        <v>36</v>
      </c>
      <c r="AH64">
        <f t="shared" si="19"/>
        <v>59</v>
      </c>
      <c r="AI64">
        <f t="shared" si="22"/>
        <v>32</v>
      </c>
      <c r="AJ64">
        <f t="shared" si="18"/>
        <v>3</v>
      </c>
    </row>
    <row r="65" spans="1:36" x14ac:dyDescent="0.25">
      <c r="A65" s="5" t="s">
        <v>39</v>
      </c>
      <c r="B65" s="5" t="s">
        <v>30</v>
      </c>
      <c r="C65" s="5" t="str">
        <f t="shared" si="0"/>
        <v>description,dailCompDescShaman63,</v>
      </c>
      <c r="D65" s="5" t="str">
        <f t="shared" si="2"/>
        <v>itemText,dailCompTextShaman63,</v>
      </c>
      <c r="E65" s="5" t="str">
        <f t="shared" si="14"/>
        <v>augmentSkillLevel1,5,</v>
      </c>
      <c r="F65" s="5" t="str">
        <f t="shared" si="15"/>
        <v>augmentSkillName1,records/skills/playerclass06/savagestrike2.dbr,</v>
      </c>
      <c r="G65" s="7">
        <f t="shared" si="10"/>
        <v>63</v>
      </c>
      <c r="H65" s="8" t="str">
        <f t="shared" si="11"/>
        <v>Shaman</v>
      </c>
      <c r="I65" s="3" t="s">
        <v>357</v>
      </c>
      <c r="J65" s="8" t="str">
        <f t="shared" si="23"/>
        <v>class0006</v>
      </c>
      <c r="K65" s="8" t="str">
        <f t="shared" si="23"/>
        <v>dailoneskill0006</v>
      </c>
      <c r="L65" s="5" t="str">
        <f t="shared" si="4"/>
        <v>lootName63,DAIL/items/materia/class0006/Shaman63.dbr,</v>
      </c>
      <c r="M65" s="5" t="str">
        <f t="shared" si="5"/>
        <v>lootWeight63,1,</v>
      </c>
      <c r="N65" t="str">
        <f t="shared" si="6"/>
        <v>5</v>
      </c>
      <c r="O65" t="str">
        <f t="shared" si="16"/>
        <v>copy .\dail_base3.dbr .\items\materia\class0006\Shaman63.dbr /y</v>
      </c>
      <c r="P65" t="str">
        <f t="shared" si="24"/>
        <v>echo relicBitmap,items/craftingparts/components/component_a52_bristlyfur_b.tex, &gt;&gt; .\items\materia\class0006\Shaman63.dbr</v>
      </c>
      <c r="Q65" t="str">
        <f t="shared" si="24"/>
        <v>echo itemCost,500000, &gt;&gt; .\items\materia\class0006\Shaman63.dbr</v>
      </c>
      <c r="R65" t="str">
        <f t="shared" si="24"/>
        <v>echo description,dailCompDescShaman63, &gt;&gt; .\items\materia\class0006\Shaman63.dbr</v>
      </c>
      <c r="S65" t="str">
        <f t="shared" si="24"/>
        <v>echo itemText,dailCompTextShaman63, &gt;&gt; .\items\materia\class0006\Shaman63.dbr</v>
      </c>
      <c r="T65" t="str">
        <f t="shared" si="24"/>
        <v>echo augmentSkillLevel1,5, &gt;&gt; .\items\materia\class0006\Shaman63.dbr</v>
      </c>
      <c r="U65" t="str">
        <f t="shared" si="24"/>
        <v>echo augmentSkillName1,records/skills/playerclass06/savagestrike2.dbr, &gt;&gt; .\items\materia\class0006\Shaman63.dbr</v>
      </c>
      <c r="V65" s="5" t="s">
        <v>36</v>
      </c>
      <c r="W65" t="str">
        <f t="shared" si="8"/>
        <v>echo lootName63,DAIL/items/materia/class0006/Shaman63.dbr, &gt;&gt; .\items\loottables\dailoneskill0006.dbr</v>
      </c>
      <c r="X65" t="str">
        <f t="shared" si="8"/>
        <v>echo lootWeight63,1, &gt;&gt; .\items\loottables\dailoneskill0006.dbr</v>
      </c>
      <c r="Y65" s="5" t="s">
        <v>36</v>
      </c>
      <c r="Z65" t="str">
        <f t="shared" si="9"/>
        <v xml:space="preserve"> dailCompDescShaman63=^pShaman's Gift of DAIL</v>
      </c>
      <c r="AA65" t="str">
        <f t="shared" si="17"/>
        <v>dailCompTextShaman63=^oThis feels warm to the touch, almost familiar ^w(This component only fits into the Medal Slot)</v>
      </c>
      <c r="AB65" s="5" t="s">
        <v>36</v>
      </c>
      <c r="AH65">
        <f t="shared" si="19"/>
        <v>60</v>
      </c>
      <c r="AI65">
        <f t="shared" si="22"/>
        <v>32</v>
      </c>
      <c r="AJ65">
        <f t="shared" si="18"/>
        <v>5</v>
      </c>
    </row>
    <row r="66" spans="1:36" x14ac:dyDescent="0.25">
      <c r="A66" s="5" t="s">
        <v>39</v>
      </c>
      <c r="B66" s="5" t="s">
        <v>30</v>
      </c>
      <c r="C66" s="5" t="str">
        <f t="shared" si="0"/>
        <v>description,dailCompDescShaman64,</v>
      </c>
      <c r="D66" s="5" t="str">
        <f t="shared" si="2"/>
        <v>itemText,dailCompTextShaman64,</v>
      </c>
      <c r="E66" s="5" t="str">
        <f t="shared" si="14"/>
        <v>augmentSkillLevel1,5,</v>
      </c>
      <c r="F66" s="5" t="str">
        <f t="shared" si="15"/>
        <v>augmentSkillName1,records/skills/playerclass06/natureblessing1.dbr,</v>
      </c>
      <c r="G66" s="7">
        <f t="shared" si="10"/>
        <v>64</v>
      </c>
      <c r="H66" s="8" t="str">
        <f t="shared" si="11"/>
        <v>Shaman</v>
      </c>
      <c r="I66" s="3" t="s">
        <v>141</v>
      </c>
      <c r="J66" s="8" t="str">
        <f t="shared" si="23"/>
        <v>class0006</v>
      </c>
      <c r="K66" s="8" t="str">
        <f t="shared" si="23"/>
        <v>dailoneskill0006</v>
      </c>
      <c r="L66" s="5" t="str">
        <f t="shared" si="4"/>
        <v>lootName64,DAIL/items/materia/class0006/Shaman64.dbr,</v>
      </c>
      <c r="M66" s="5" t="str">
        <f t="shared" si="5"/>
        <v>lootWeight64,1,</v>
      </c>
      <c r="N66" t="str">
        <f t="shared" si="6"/>
        <v>5</v>
      </c>
      <c r="O66" t="str">
        <f t="shared" si="16"/>
        <v>copy .\dail_base3.dbr .\items\materia\class0006\Shaman64.dbr /y</v>
      </c>
      <c r="P66" t="str">
        <f t="shared" si="24"/>
        <v>echo relicBitmap,items/craftingparts/components/component_a52_bristlyfur_b.tex, &gt;&gt; .\items\materia\class0006\Shaman64.dbr</v>
      </c>
      <c r="Q66" t="str">
        <f t="shared" si="24"/>
        <v>echo itemCost,500000, &gt;&gt; .\items\materia\class0006\Shaman64.dbr</v>
      </c>
      <c r="R66" t="str">
        <f t="shared" si="24"/>
        <v>echo description,dailCompDescShaman64, &gt;&gt; .\items\materia\class0006\Shaman64.dbr</v>
      </c>
      <c r="S66" t="str">
        <f t="shared" si="24"/>
        <v>echo itemText,dailCompTextShaman64, &gt;&gt; .\items\materia\class0006\Shaman64.dbr</v>
      </c>
      <c r="T66" t="str">
        <f t="shared" si="24"/>
        <v>echo augmentSkillLevel1,5, &gt;&gt; .\items\materia\class0006\Shaman64.dbr</v>
      </c>
      <c r="U66" t="str">
        <f t="shared" si="24"/>
        <v>echo augmentSkillName1,records/skills/playerclass06/natureblessing1.dbr, &gt;&gt; .\items\materia\class0006\Shaman64.dbr</v>
      </c>
      <c r="V66" s="5" t="s">
        <v>36</v>
      </c>
      <c r="W66" t="str">
        <f t="shared" si="8"/>
        <v>echo lootName64,DAIL/items/materia/class0006/Shaman64.dbr, &gt;&gt; .\items\loottables\dailoneskill0006.dbr</v>
      </c>
      <c r="X66" t="str">
        <f t="shared" si="8"/>
        <v>echo lootWeight64,1, &gt;&gt; .\items\loottables\dailoneskill0006.dbr</v>
      </c>
      <c r="Y66" s="5" t="s">
        <v>36</v>
      </c>
      <c r="Z66" t="str">
        <f t="shared" si="9"/>
        <v xml:space="preserve"> dailCompDescShaman64=^pShaman's Gift of DAIL</v>
      </c>
      <c r="AA66" t="str">
        <f t="shared" si="17"/>
        <v>dailCompTextShaman64=^oThis feels warm to the touch, almost familiar ^w(This component only fits into the Medal Slot)</v>
      </c>
      <c r="AB66" s="5" t="s">
        <v>36</v>
      </c>
      <c r="AH66">
        <f t="shared" si="19"/>
        <v>61</v>
      </c>
      <c r="AI66">
        <f t="shared" si="22"/>
        <v>34</v>
      </c>
      <c r="AJ66">
        <f t="shared" si="18"/>
        <v>5</v>
      </c>
    </row>
    <row r="67" spans="1:36" x14ac:dyDescent="0.25">
      <c r="A67" s="5" t="s">
        <v>39</v>
      </c>
      <c r="B67" s="5" t="s">
        <v>30</v>
      </c>
      <c r="C67" s="5" t="str">
        <f t="shared" ref="C67:C102" si="25">"description,dailCompDesc"&amp;H67&amp;G67&amp;","</f>
        <v>description,dailCompDescShaman65,</v>
      </c>
      <c r="D67" s="5" t="str">
        <f t="shared" si="2"/>
        <v>itemText,dailCompTextShaman65,</v>
      </c>
      <c r="E67" s="5" t="str">
        <f t="shared" si="14"/>
        <v>augmentSkillLevel1,5,</v>
      </c>
      <c r="F67" s="5" t="str">
        <f t="shared" si="15"/>
        <v>augmentSkillName1,records/skills/playerclass06/naturesblessing2.dbr,</v>
      </c>
      <c r="G67" s="7">
        <f t="shared" si="10"/>
        <v>65</v>
      </c>
      <c r="H67" s="8" t="str">
        <f t="shared" si="11"/>
        <v>Shaman</v>
      </c>
      <c r="I67" s="3" t="s">
        <v>340</v>
      </c>
      <c r="J67" s="8" t="str">
        <f t="shared" si="23"/>
        <v>class0006</v>
      </c>
      <c r="K67" s="8" t="str">
        <f t="shared" si="23"/>
        <v>dailoneskill0006</v>
      </c>
      <c r="L67" s="5" t="str">
        <f t="shared" si="4"/>
        <v>lootName65,DAIL/items/materia/class0006/Shaman65.dbr,</v>
      </c>
      <c r="M67" s="5" t="str">
        <f t="shared" si="5"/>
        <v>lootWeight65,1,</v>
      </c>
      <c r="N67" t="str">
        <f t="shared" si="6"/>
        <v>5</v>
      </c>
      <c r="O67" t="str">
        <f t="shared" si="16"/>
        <v>copy .\dail_base3.dbr .\items\materia\class0006\Shaman65.dbr /y</v>
      </c>
      <c r="P67" t="str">
        <f t="shared" si="24"/>
        <v>echo relicBitmap,items/craftingparts/components/component_a52_bristlyfur_b.tex, &gt;&gt; .\items\materia\class0006\Shaman65.dbr</v>
      </c>
      <c r="Q67" t="str">
        <f t="shared" si="24"/>
        <v>echo itemCost,500000, &gt;&gt; .\items\materia\class0006\Shaman65.dbr</v>
      </c>
      <c r="R67" t="str">
        <f t="shared" si="24"/>
        <v>echo description,dailCompDescShaman65, &gt;&gt; .\items\materia\class0006\Shaman65.dbr</v>
      </c>
      <c r="S67" t="str">
        <f t="shared" si="24"/>
        <v>echo itemText,dailCompTextShaman65, &gt;&gt; .\items\materia\class0006\Shaman65.dbr</v>
      </c>
      <c r="T67" t="str">
        <f t="shared" si="24"/>
        <v>echo augmentSkillLevel1,5, &gt;&gt; .\items\materia\class0006\Shaman65.dbr</v>
      </c>
      <c r="U67" t="str">
        <f t="shared" si="24"/>
        <v>echo augmentSkillName1,records/skills/playerclass06/naturesblessing2.dbr, &gt;&gt; .\items\materia\class0006\Shaman65.dbr</v>
      </c>
      <c r="V67" s="5" t="s">
        <v>36</v>
      </c>
      <c r="W67" t="str">
        <f t="shared" si="8"/>
        <v>echo lootName65,DAIL/items/materia/class0006/Shaman65.dbr, &gt;&gt; .\items\loottables\dailoneskill0006.dbr</v>
      </c>
      <c r="X67" t="str">
        <f t="shared" si="8"/>
        <v>echo lootWeight65,1, &gt;&gt; .\items\loottables\dailoneskill0006.dbr</v>
      </c>
      <c r="Y67" s="5" t="s">
        <v>36</v>
      </c>
      <c r="Z67" t="str">
        <f t="shared" si="9"/>
        <v xml:space="preserve"> dailCompDescShaman65=^pShaman's Gift of DAIL</v>
      </c>
      <c r="AA67" t="str">
        <f t="shared" si="17"/>
        <v>dailCompTextShaman65=^oThis feels warm to the touch, almost familiar ^w(This component only fits into the Medal Slot)</v>
      </c>
      <c r="AB67" s="5" t="s">
        <v>36</v>
      </c>
      <c r="AH67">
        <f t="shared" si="19"/>
        <v>62</v>
      </c>
      <c r="AI67">
        <f t="shared" si="22"/>
        <v>35</v>
      </c>
      <c r="AJ67">
        <f t="shared" si="18"/>
        <v>5</v>
      </c>
    </row>
    <row r="68" spans="1:36" x14ac:dyDescent="0.25">
      <c r="A68" s="5" t="s">
        <v>39</v>
      </c>
      <c r="B68" s="5" t="s">
        <v>30</v>
      </c>
      <c r="C68" s="5" t="str">
        <f t="shared" si="25"/>
        <v>description,dailCompDescShaman66,</v>
      </c>
      <c r="D68" s="5" t="str">
        <f t="shared" ref="D68:D102" si="26">"itemText,dailCompText"&amp;H68&amp;G68&amp;","</f>
        <v>itemText,dailCompTextShaman66,</v>
      </c>
      <c r="E68" s="5" t="str">
        <f t="shared" si="14"/>
        <v>augmentSkillLevel1,5,</v>
      </c>
      <c r="F68" s="5" t="str">
        <f t="shared" si="15"/>
        <v>augmentSkillName1,records/skills/playerclass06/naturesblessing3.dbr,</v>
      </c>
      <c r="G68" s="7">
        <f t="shared" si="10"/>
        <v>66</v>
      </c>
      <c r="H68" s="8" t="str">
        <f t="shared" si="11"/>
        <v>Shaman</v>
      </c>
      <c r="I68" s="3" t="s">
        <v>341</v>
      </c>
      <c r="J68" s="8" t="str">
        <f t="shared" si="23"/>
        <v>class0006</v>
      </c>
      <c r="K68" s="8" t="str">
        <f t="shared" si="23"/>
        <v>dailoneskill0006</v>
      </c>
      <c r="L68" s="5" t="str">
        <f t="shared" ref="L68:L102" si="27">"lootName"&amp;G68&amp;",DAIL/items/materia/"&amp;J68&amp;"/"&amp;H68&amp;G68&amp;".dbr"&amp;","</f>
        <v>lootName66,DAIL/items/materia/class0006/Shaman66.dbr,</v>
      </c>
      <c r="M68" s="5" t="str">
        <f t="shared" ref="M68:M102" si="28">"lootWeight"&amp;G68&amp;",1,"</f>
        <v>lootWeight66,1,</v>
      </c>
      <c r="N68" t="str">
        <f t="shared" ref="N68:N102" si="29">LEFT(RIGHT(E68,2),1)</f>
        <v>5</v>
      </c>
      <c r="O68" t="str">
        <f t="shared" si="16"/>
        <v>copy .\dail_base3.dbr .\items\materia\class0006\Shaman66.dbr /y</v>
      </c>
      <c r="P68" t="str">
        <f t="shared" si="24"/>
        <v>echo relicBitmap,items/craftingparts/components/component_a52_bristlyfur_b.tex, &gt;&gt; .\items\materia\class0006\Shaman66.dbr</v>
      </c>
      <c r="Q68" t="str">
        <f t="shared" si="24"/>
        <v>echo itemCost,500000, &gt;&gt; .\items\materia\class0006\Shaman66.dbr</v>
      </c>
      <c r="R68" t="str">
        <f t="shared" si="24"/>
        <v>echo description,dailCompDescShaman66, &gt;&gt; .\items\materia\class0006\Shaman66.dbr</v>
      </c>
      <c r="S68" t="str">
        <f t="shared" si="24"/>
        <v>echo itemText,dailCompTextShaman66, &gt;&gt; .\items\materia\class0006\Shaman66.dbr</v>
      </c>
      <c r="T68" t="str">
        <f t="shared" si="24"/>
        <v>echo augmentSkillLevel1,5, &gt;&gt; .\items\materia\class0006\Shaman66.dbr</v>
      </c>
      <c r="U68" t="str">
        <f t="shared" si="24"/>
        <v>echo augmentSkillName1,records/skills/playerclass06/naturesblessing3.dbr, &gt;&gt; .\items\materia\class0006\Shaman66.dbr</v>
      </c>
      <c r="V68" s="5" t="s">
        <v>36</v>
      </c>
      <c r="W68" t="str">
        <f t="shared" ref="W68:X102" si="30">IF($I68&lt;&gt;"","echo "&amp;L68&amp;" &gt;&gt; .\items\loottables\"&amp;$K68&amp;".dbr","")</f>
        <v>echo lootName66,DAIL/items/materia/class0006/Shaman66.dbr, &gt;&gt; .\items\loottables\dailoneskill0006.dbr</v>
      </c>
      <c r="X68" t="str">
        <f t="shared" si="30"/>
        <v>echo lootWeight66,1, &gt;&gt; .\items\loottables\dailoneskill0006.dbr</v>
      </c>
      <c r="Y68" s="5" t="s">
        <v>36</v>
      </c>
      <c r="Z68" t="str">
        <f t="shared" ref="Z68:Z102" si="31">IF(I67&lt;&gt;""," dailCompDesc"&amp;H68&amp;G68&amp;"=^p"&amp;H68&amp;"'s Gift of DAIL","")</f>
        <v xml:space="preserve"> dailCompDescShaman66=^pShaman's Gift of DAIL</v>
      </c>
      <c r="AA68" t="str">
        <f t="shared" si="17"/>
        <v>dailCompTextShaman66=^oThis feels warm to the touch, almost familiar ^w(This component only fits into the Medal Slot)</v>
      </c>
      <c r="AB68" s="5" t="s">
        <v>36</v>
      </c>
      <c r="AH68">
        <f t="shared" si="19"/>
        <v>63</v>
      </c>
      <c r="AI68">
        <f t="shared" si="22"/>
        <v>35</v>
      </c>
      <c r="AJ68">
        <f t="shared" si="18"/>
        <v>5</v>
      </c>
    </row>
    <row r="69" spans="1:36" x14ac:dyDescent="0.25">
      <c r="A69" s="5" t="s">
        <v>39</v>
      </c>
      <c r="B69" s="5" t="s">
        <v>30</v>
      </c>
      <c r="C69" s="5" t="str">
        <f t="shared" si="25"/>
        <v>description,dailCompDescShaman67,</v>
      </c>
      <c r="D69" s="5" t="str">
        <f t="shared" si="26"/>
        <v>itemText,dailCompTextShaman67,</v>
      </c>
      <c r="E69" s="5" t="str">
        <f t="shared" si="14"/>
        <v>augmentSkillLevel1,5,</v>
      </c>
      <c r="F69" s="5" t="str">
        <f t="shared" si="15"/>
        <v>augmentSkillName1,records/skills/playerclass06/summon_briarthorn1.dbr,</v>
      </c>
      <c r="G69" s="7">
        <f t="shared" ref="G69:G102" si="32">IF(I69&lt;&gt;"",G68+1,"")</f>
        <v>67</v>
      </c>
      <c r="H69" s="8" t="str">
        <f t="shared" ref="H69:H102" si="33">H68</f>
        <v>Shaman</v>
      </c>
      <c r="I69" s="3" t="s">
        <v>148</v>
      </c>
      <c r="J69" s="8" t="str">
        <f t="shared" ref="J69:K84" si="34">J68</f>
        <v>class0006</v>
      </c>
      <c r="K69" s="8" t="str">
        <f t="shared" si="34"/>
        <v>dailoneskill0006</v>
      </c>
      <c r="L69" s="5" t="str">
        <f t="shared" si="27"/>
        <v>lootName67,DAIL/items/materia/class0006/Shaman67.dbr,</v>
      </c>
      <c r="M69" s="5" t="str">
        <f t="shared" si="28"/>
        <v>lootWeight67,1,</v>
      </c>
      <c r="N69" t="str">
        <f t="shared" si="29"/>
        <v>5</v>
      </c>
      <c r="O69" t="str">
        <f t="shared" si="16"/>
        <v>copy .\dail_base3.dbr .\items\materia\class0006\Shaman67.dbr /y</v>
      </c>
      <c r="P69" t="str">
        <f t="shared" si="24"/>
        <v>echo relicBitmap,items/craftingparts/components/component_a52_bristlyfur_b.tex, &gt;&gt; .\items\materia\class0006\Shaman67.dbr</v>
      </c>
      <c r="Q69" t="str">
        <f t="shared" si="24"/>
        <v>echo itemCost,500000, &gt;&gt; .\items\materia\class0006\Shaman67.dbr</v>
      </c>
      <c r="R69" t="str">
        <f t="shared" si="24"/>
        <v>echo description,dailCompDescShaman67, &gt;&gt; .\items\materia\class0006\Shaman67.dbr</v>
      </c>
      <c r="S69" t="str">
        <f t="shared" si="24"/>
        <v>echo itemText,dailCompTextShaman67, &gt;&gt; .\items\materia\class0006\Shaman67.dbr</v>
      </c>
      <c r="T69" t="str">
        <f t="shared" si="24"/>
        <v>echo augmentSkillLevel1,5, &gt;&gt; .\items\materia\class0006\Shaman67.dbr</v>
      </c>
      <c r="U69" t="str">
        <f t="shared" si="24"/>
        <v>echo augmentSkillName1,records/skills/playerclass06/summon_briarthorn1.dbr, &gt;&gt; .\items\materia\class0006\Shaman67.dbr</v>
      </c>
      <c r="V69" s="5" t="s">
        <v>36</v>
      </c>
      <c r="W69" t="str">
        <f t="shared" si="30"/>
        <v>echo lootName67,DAIL/items/materia/class0006/Shaman67.dbr, &gt;&gt; .\items\loottables\dailoneskill0006.dbr</v>
      </c>
      <c r="X69" t="str">
        <f t="shared" si="30"/>
        <v>echo lootWeight67,1, &gt;&gt; .\items\loottables\dailoneskill0006.dbr</v>
      </c>
      <c r="Y69" s="5" t="s">
        <v>36</v>
      </c>
      <c r="Z69" t="str">
        <f t="shared" si="31"/>
        <v xml:space="preserve"> dailCompDescShaman67=^pShaman's Gift of DAIL</v>
      </c>
      <c r="AA69" t="str">
        <f t="shared" si="17"/>
        <v>dailCompTextShaman67=^oThis feels warm to the touch, almost familiar ^w(This component only fits into the Medal Slot)</v>
      </c>
      <c r="AB69" s="5" t="s">
        <v>36</v>
      </c>
      <c r="AH69">
        <f t="shared" si="19"/>
        <v>64</v>
      </c>
      <c r="AI69">
        <f t="shared" si="22"/>
        <v>37</v>
      </c>
      <c r="AJ69">
        <f t="shared" si="18"/>
        <v>5</v>
      </c>
    </row>
    <row r="70" spans="1:36" x14ac:dyDescent="0.25">
      <c r="A70" s="5" t="s">
        <v>39</v>
      </c>
      <c r="B70" s="5" t="s">
        <v>30</v>
      </c>
      <c r="C70" s="5" t="str">
        <f t="shared" si="25"/>
        <v>description,dailCompDescShaman68,</v>
      </c>
      <c r="D70" s="5" t="str">
        <f t="shared" si="26"/>
        <v>itemText,dailCompTextShaman68,</v>
      </c>
      <c r="E70" s="5" t="str">
        <f t="shared" si="14"/>
        <v>augmentSkillLevel1,5,</v>
      </c>
      <c r="F70" s="5" t="str">
        <f t="shared" si="15"/>
        <v>augmentSkillName1,records/skills/playerclass06/summon_briarthorn2_petmodifier.dbr,</v>
      </c>
      <c r="G70" s="7">
        <f t="shared" si="32"/>
        <v>68</v>
      </c>
      <c r="H70" s="8" t="str">
        <f t="shared" si="33"/>
        <v>Shaman</v>
      </c>
      <c r="I70" s="3" t="s">
        <v>342</v>
      </c>
      <c r="J70" s="8" t="str">
        <f t="shared" si="34"/>
        <v>class0006</v>
      </c>
      <c r="K70" s="8" t="str">
        <f t="shared" si="34"/>
        <v>dailoneskill0006</v>
      </c>
      <c r="L70" s="5" t="str">
        <f t="shared" si="27"/>
        <v>lootName68,DAIL/items/materia/class0006/Shaman68.dbr,</v>
      </c>
      <c r="M70" s="5" t="str">
        <f t="shared" si="28"/>
        <v>lootWeight68,1,</v>
      </c>
      <c r="N70" t="str">
        <f t="shared" si="29"/>
        <v>5</v>
      </c>
      <c r="O70" t="str">
        <f t="shared" si="16"/>
        <v>copy .\dail_base3.dbr .\items\materia\class0006\Shaman68.dbr /y</v>
      </c>
      <c r="P70" t="str">
        <f t="shared" si="24"/>
        <v>echo relicBitmap,items/craftingparts/components/component_a52_bristlyfur_b.tex, &gt;&gt; .\items\materia\class0006\Shaman68.dbr</v>
      </c>
      <c r="Q70" t="str">
        <f t="shared" si="24"/>
        <v>echo itemCost,500000, &gt;&gt; .\items\materia\class0006\Shaman68.dbr</v>
      </c>
      <c r="R70" t="str">
        <f t="shared" si="24"/>
        <v>echo description,dailCompDescShaman68, &gt;&gt; .\items\materia\class0006\Shaman68.dbr</v>
      </c>
      <c r="S70" t="str">
        <f t="shared" si="24"/>
        <v>echo itemText,dailCompTextShaman68, &gt;&gt; .\items\materia\class0006\Shaman68.dbr</v>
      </c>
      <c r="T70" t="str">
        <f t="shared" si="24"/>
        <v>echo augmentSkillLevel1,5, &gt;&gt; .\items\materia\class0006\Shaman68.dbr</v>
      </c>
      <c r="U70" t="str">
        <f t="shared" si="24"/>
        <v>echo augmentSkillName1,records/skills/playerclass06/summon_briarthorn2_petmodifier.dbr, &gt;&gt; .\items\materia\class0006\Shaman68.dbr</v>
      </c>
      <c r="V70" s="5" t="s">
        <v>36</v>
      </c>
      <c r="W70" t="str">
        <f t="shared" si="30"/>
        <v>echo lootName68,DAIL/items/materia/class0006/Shaman68.dbr, &gt;&gt; .\items\loottables\dailoneskill0006.dbr</v>
      </c>
      <c r="X70" t="str">
        <f t="shared" si="30"/>
        <v>echo lootWeight68,1, &gt;&gt; .\items\loottables\dailoneskill0006.dbr</v>
      </c>
      <c r="Y70" s="5" t="s">
        <v>36</v>
      </c>
      <c r="Z70" t="str">
        <f t="shared" si="31"/>
        <v xml:space="preserve"> dailCompDescShaman68=^pShaman's Gift of DAIL</v>
      </c>
      <c r="AA70" t="str">
        <f t="shared" si="17"/>
        <v>dailCompTextShaman68=^oThis feels warm to the touch, almost familiar ^w(This component only fits into the Medal Slot)</v>
      </c>
      <c r="AB70" s="5" t="s">
        <v>36</v>
      </c>
      <c r="AH70">
        <f t="shared" si="19"/>
        <v>65</v>
      </c>
      <c r="AI70">
        <f t="shared" ref="AI70:AI102" si="35">LEN(I70)</f>
        <v>49</v>
      </c>
      <c r="AJ70">
        <f t="shared" si="18"/>
        <v>5</v>
      </c>
    </row>
    <row r="71" spans="1:36" x14ac:dyDescent="0.25">
      <c r="A71" s="5" t="s">
        <v>39</v>
      </c>
      <c r="B71" s="5" t="s">
        <v>30</v>
      </c>
      <c r="C71" s="5" t="str">
        <f t="shared" si="25"/>
        <v>description,dailCompDescShaman69,</v>
      </c>
      <c r="D71" s="5" t="str">
        <f t="shared" si="26"/>
        <v>itemText,dailCompTextShaman69,</v>
      </c>
      <c r="E71" s="5" t="str">
        <f t="shared" ref="E71:E102" si="36">"augmentSkillLevel1,"&amp;AJ71&amp;","</f>
        <v>augmentSkillLevel1,5,</v>
      </c>
      <c r="F71" s="5" t="str">
        <f t="shared" ref="F71:F102" si="37">"augmentSkillName1,records/skills"&amp;I71&amp;","</f>
        <v>augmentSkillName1,records/skills/playerclass06/summon_briarthorn3_petmodifier.dbr,</v>
      </c>
      <c r="G71" s="7">
        <f t="shared" si="32"/>
        <v>69</v>
      </c>
      <c r="H71" s="8" t="str">
        <f t="shared" si="33"/>
        <v>Shaman</v>
      </c>
      <c r="I71" s="3" t="s">
        <v>343</v>
      </c>
      <c r="J71" s="8" t="str">
        <f t="shared" si="34"/>
        <v>class0006</v>
      </c>
      <c r="K71" s="8" t="str">
        <f t="shared" si="34"/>
        <v>dailoneskill0006</v>
      </c>
      <c r="L71" s="5" t="str">
        <f t="shared" si="27"/>
        <v>lootName69,DAIL/items/materia/class0006/Shaman69.dbr,</v>
      </c>
      <c r="M71" s="5" t="str">
        <f t="shared" si="28"/>
        <v>lootWeight69,1,</v>
      </c>
      <c r="N71" t="str">
        <f t="shared" si="29"/>
        <v>5</v>
      </c>
      <c r="O71" t="str">
        <f t="shared" ref="O71:O102" si="38">IF(I71&lt;&gt;"","copy .\"&amp;VLOOKUP(VALUE(N71),$AD$3:$AF$5,2,FALSE)&amp;" .\items\materia\"&amp;J71&amp;"\"&amp;H71&amp;G71&amp;".dbr /y"&amp;"","")</f>
        <v>copy .\dail_base3.dbr .\items\materia\class0006\Shaman69.dbr /y</v>
      </c>
      <c r="P71" t="str">
        <f t="shared" si="24"/>
        <v>echo relicBitmap,items/craftingparts/components/component_a52_bristlyfur_b.tex, &gt;&gt; .\items\materia\class0006\Shaman69.dbr</v>
      </c>
      <c r="Q71" t="str">
        <f t="shared" si="24"/>
        <v>echo itemCost,500000, &gt;&gt; .\items\materia\class0006\Shaman69.dbr</v>
      </c>
      <c r="R71" t="str">
        <f t="shared" si="24"/>
        <v>echo description,dailCompDescShaman69, &gt;&gt; .\items\materia\class0006\Shaman69.dbr</v>
      </c>
      <c r="S71" t="str">
        <f t="shared" si="24"/>
        <v>echo itemText,dailCompTextShaman69, &gt;&gt; .\items\materia\class0006\Shaman69.dbr</v>
      </c>
      <c r="T71" t="str">
        <f t="shared" si="24"/>
        <v>echo augmentSkillLevel1,5, &gt;&gt; .\items\materia\class0006\Shaman69.dbr</v>
      </c>
      <c r="U71" t="str">
        <f t="shared" si="24"/>
        <v>echo augmentSkillName1,records/skills/playerclass06/summon_briarthorn3_petmodifier.dbr, &gt;&gt; .\items\materia\class0006\Shaman69.dbr</v>
      </c>
      <c r="V71" s="5" t="s">
        <v>36</v>
      </c>
      <c r="W71" t="str">
        <f t="shared" si="30"/>
        <v>echo lootName69,DAIL/items/materia/class0006/Shaman69.dbr, &gt;&gt; .\items\loottables\dailoneskill0006.dbr</v>
      </c>
      <c r="X71" t="str">
        <f t="shared" si="30"/>
        <v>echo lootWeight69,1, &gt;&gt; .\items\loottables\dailoneskill0006.dbr</v>
      </c>
      <c r="Y71" s="5" t="s">
        <v>36</v>
      </c>
      <c r="Z71" t="str">
        <f t="shared" si="31"/>
        <v xml:space="preserve"> dailCompDescShaman69=^pShaman's Gift of DAIL</v>
      </c>
      <c r="AA71" t="str">
        <f t="shared" ref="AA71:AA102" si="39">IF(I70&lt;&gt;"","dailCompText"&amp;H71&amp;G71&amp;"=^oThis feels warm to the touch, almost familiar ^w("&amp;VLOOKUP(VALUE(N71),$AD$3:$AF$5,3,FALSE)&amp;")","")</f>
        <v>dailCompTextShaman69=^oThis feels warm to the touch, almost familiar ^w(This component only fits into the Medal Slot)</v>
      </c>
      <c r="AB71" s="5" t="s">
        <v>36</v>
      </c>
      <c r="AH71">
        <f t="shared" si="19"/>
        <v>66</v>
      </c>
      <c r="AI71">
        <f t="shared" si="35"/>
        <v>49</v>
      </c>
      <c r="AJ71">
        <f t="shared" ref="AJ71:AJ102" si="40">IF(AH71&lt;$AL$7,1,IF(AH71&lt;$AL$8,3,5))</f>
        <v>5</v>
      </c>
    </row>
    <row r="72" spans="1:36" x14ac:dyDescent="0.25">
      <c r="A72" s="5" t="s">
        <v>39</v>
      </c>
      <c r="B72" s="5" t="s">
        <v>30</v>
      </c>
      <c r="C72" s="5" t="str">
        <f t="shared" si="25"/>
        <v>description,dailCompDescShaman70,</v>
      </c>
      <c r="D72" s="5" t="str">
        <f t="shared" si="26"/>
        <v>itemText,dailCompTextShaman70,</v>
      </c>
      <c r="E72" s="5" t="str">
        <f t="shared" si="36"/>
        <v>augmentSkillLevel1,5,</v>
      </c>
      <c r="F72" s="5" t="str">
        <f t="shared" si="37"/>
        <v>augmentSkillName1,records/skills/playerclass06/primalbond01.dbr,</v>
      </c>
      <c r="G72" s="7">
        <f t="shared" si="32"/>
        <v>70</v>
      </c>
      <c r="H72" s="8" t="str">
        <f t="shared" si="33"/>
        <v>Shaman</v>
      </c>
      <c r="I72" s="3" t="s">
        <v>142</v>
      </c>
      <c r="J72" s="8" t="str">
        <f t="shared" si="34"/>
        <v>class0006</v>
      </c>
      <c r="K72" s="8" t="str">
        <f t="shared" si="34"/>
        <v>dailoneskill0006</v>
      </c>
      <c r="L72" s="5" t="str">
        <f t="shared" si="27"/>
        <v>lootName70,DAIL/items/materia/class0006/Shaman70.dbr,</v>
      </c>
      <c r="M72" s="5" t="str">
        <f t="shared" si="28"/>
        <v>lootWeight70,1,</v>
      </c>
      <c r="N72" t="str">
        <f t="shared" si="29"/>
        <v>5</v>
      </c>
      <c r="O72" t="str">
        <f t="shared" si="38"/>
        <v>copy .\dail_base3.dbr .\items\materia\class0006\Shaman70.dbr /y</v>
      </c>
      <c r="P72" t="str">
        <f t="shared" si="24"/>
        <v>echo relicBitmap,items/craftingparts/components/component_a52_bristlyfur_b.tex, &gt;&gt; .\items\materia\class0006\Shaman70.dbr</v>
      </c>
      <c r="Q72" t="str">
        <f t="shared" si="24"/>
        <v>echo itemCost,500000, &gt;&gt; .\items\materia\class0006\Shaman70.dbr</v>
      </c>
      <c r="R72" t="str">
        <f t="shared" si="24"/>
        <v>echo description,dailCompDescShaman70, &gt;&gt; .\items\materia\class0006\Shaman70.dbr</v>
      </c>
      <c r="S72" t="str">
        <f t="shared" si="24"/>
        <v>echo itemText,dailCompTextShaman70, &gt;&gt; .\items\materia\class0006\Shaman70.dbr</v>
      </c>
      <c r="T72" t="str">
        <f t="shared" si="24"/>
        <v>echo augmentSkillLevel1,5, &gt;&gt; .\items\materia\class0006\Shaman70.dbr</v>
      </c>
      <c r="U72" t="str">
        <f t="shared" si="24"/>
        <v>echo augmentSkillName1,records/skills/playerclass06/primalbond01.dbr, &gt;&gt; .\items\materia\class0006\Shaman70.dbr</v>
      </c>
      <c r="V72" s="5" t="s">
        <v>36</v>
      </c>
      <c r="W72" t="str">
        <f t="shared" si="30"/>
        <v>echo lootName70,DAIL/items/materia/class0006/Shaman70.dbr, &gt;&gt; .\items\loottables\dailoneskill0006.dbr</v>
      </c>
      <c r="X72" t="str">
        <f t="shared" si="30"/>
        <v>echo lootWeight70,1, &gt;&gt; .\items\loottables\dailoneskill0006.dbr</v>
      </c>
      <c r="Y72" s="5" t="s">
        <v>36</v>
      </c>
      <c r="Z72" t="str">
        <f t="shared" si="31"/>
        <v xml:space="preserve"> dailCompDescShaman70=^pShaman's Gift of DAIL</v>
      </c>
      <c r="AA72" t="str">
        <f t="shared" si="39"/>
        <v>dailCompTextShaman70=^oThis feels warm to the touch, almost familiar ^w(This component only fits into the Medal Slot)</v>
      </c>
      <c r="AB72" s="5" t="s">
        <v>36</v>
      </c>
      <c r="AH72">
        <f t="shared" ref="AH72:AH102" si="41">AH71+1</f>
        <v>67</v>
      </c>
      <c r="AI72">
        <f t="shared" si="35"/>
        <v>31</v>
      </c>
      <c r="AJ72">
        <f t="shared" si="40"/>
        <v>5</v>
      </c>
    </row>
    <row r="73" spans="1:36" x14ac:dyDescent="0.25">
      <c r="A73" s="5" t="s">
        <v>39</v>
      </c>
      <c r="B73" s="5" t="s">
        <v>30</v>
      </c>
      <c r="C73" s="5" t="str">
        <f t="shared" si="25"/>
        <v>description,dailCompDescShaman71,</v>
      </c>
      <c r="D73" s="5" t="str">
        <f t="shared" si="26"/>
        <v>itemText,dailCompTextShaman71,</v>
      </c>
      <c r="E73" s="5" t="str">
        <f t="shared" si="36"/>
        <v>augmentSkillLevel1,5,</v>
      </c>
      <c r="F73" s="5" t="str">
        <f t="shared" si="37"/>
        <v>augmentSkillName1,records/skills/playerclass06/stormcaller1.dbr,</v>
      </c>
      <c r="G73" s="7">
        <f t="shared" si="32"/>
        <v>71</v>
      </c>
      <c r="H73" s="8" t="str">
        <f t="shared" si="33"/>
        <v>Shaman</v>
      </c>
      <c r="I73" s="3" t="s">
        <v>146</v>
      </c>
      <c r="J73" s="8" t="str">
        <f t="shared" si="34"/>
        <v>class0006</v>
      </c>
      <c r="K73" s="8" t="str">
        <f t="shared" si="34"/>
        <v>dailoneskill0006</v>
      </c>
      <c r="L73" s="5" t="str">
        <f t="shared" si="27"/>
        <v>lootName71,DAIL/items/materia/class0006/Shaman71.dbr,</v>
      </c>
      <c r="M73" s="5" t="str">
        <f t="shared" si="28"/>
        <v>lootWeight71,1,</v>
      </c>
      <c r="N73" t="str">
        <f t="shared" si="29"/>
        <v>5</v>
      </c>
      <c r="O73" t="str">
        <f t="shared" si="38"/>
        <v>copy .\dail_base3.dbr .\items\materia\class0006\Shaman71.dbr /y</v>
      </c>
      <c r="P73" t="str">
        <f t="shared" si="24"/>
        <v>echo relicBitmap,items/craftingparts/components/component_a52_bristlyfur_b.tex, &gt;&gt; .\items\materia\class0006\Shaman71.dbr</v>
      </c>
      <c r="Q73" t="str">
        <f t="shared" si="24"/>
        <v>echo itemCost,500000, &gt;&gt; .\items\materia\class0006\Shaman71.dbr</v>
      </c>
      <c r="R73" t="str">
        <f t="shared" si="24"/>
        <v>echo description,dailCompDescShaman71, &gt;&gt; .\items\materia\class0006\Shaman71.dbr</v>
      </c>
      <c r="S73" t="str">
        <f t="shared" si="24"/>
        <v>echo itemText,dailCompTextShaman71, &gt;&gt; .\items\materia\class0006\Shaman71.dbr</v>
      </c>
      <c r="T73" t="str">
        <f t="shared" si="24"/>
        <v>echo augmentSkillLevel1,5, &gt;&gt; .\items\materia\class0006\Shaman71.dbr</v>
      </c>
      <c r="U73" t="str">
        <f t="shared" si="24"/>
        <v>echo augmentSkillName1,records/skills/playerclass06/stormcaller1.dbr, &gt;&gt; .\items\materia\class0006\Shaman71.dbr</v>
      </c>
      <c r="V73" s="5" t="s">
        <v>36</v>
      </c>
      <c r="W73" t="str">
        <f t="shared" si="30"/>
        <v>echo lootName71,DAIL/items/materia/class0006/Shaman71.dbr, &gt;&gt; .\items\loottables\dailoneskill0006.dbr</v>
      </c>
      <c r="X73" t="str">
        <f t="shared" si="30"/>
        <v>echo lootWeight71,1, &gt;&gt; .\items\loottables\dailoneskill0006.dbr</v>
      </c>
      <c r="Y73" s="5" t="s">
        <v>36</v>
      </c>
      <c r="Z73" t="str">
        <f t="shared" si="31"/>
        <v xml:space="preserve"> dailCompDescShaman71=^pShaman's Gift of DAIL</v>
      </c>
      <c r="AA73" t="str">
        <f t="shared" si="39"/>
        <v>dailCompTextShaman71=^oThis feels warm to the touch, almost familiar ^w(This component only fits into the Medal Slot)</v>
      </c>
      <c r="AB73" s="5" t="s">
        <v>36</v>
      </c>
      <c r="AH73">
        <f t="shared" si="41"/>
        <v>68</v>
      </c>
      <c r="AI73">
        <f t="shared" si="35"/>
        <v>31</v>
      </c>
      <c r="AJ73">
        <f t="shared" si="40"/>
        <v>5</v>
      </c>
    </row>
    <row r="74" spans="1:36" x14ac:dyDescent="0.25">
      <c r="A74" s="5" t="s">
        <v>39</v>
      </c>
      <c r="B74" s="5" t="s">
        <v>30</v>
      </c>
      <c r="C74" s="5" t="str">
        <f t="shared" si="25"/>
        <v>description,dailCompDescShaman72,</v>
      </c>
      <c r="D74" s="5" t="str">
        <f t="shared" si="26"/>
        <v>itemText,dailCompTextShaman72,</v>
      </c>
      <c r="E74" s="5" t="str">
        <f t="shared" si="36"/>
        <v>augmentSkillLevel1,5,</v>
      </c>
      <c r="F74" s="5" t="str">
        <f t="shared" si="37"/>
        <v>augmentSkillName1,records/skills/playerclass06/totem1.dbr,</v>
      </c>
      <c r="G74" s="7">
        <f t="shared" si="32"/>
        <v>72</v>
      </c>
      <c r="H74" s="8" t="str">
        <f t="shared" si="33"/>
        <v>Shaman</v>
      </c>
      <c r="I74" s="3" t="s">
        <v>150</v>
      </c>
      <c r="J74" s="8" t="str">
        <f t="shared" si="34"/>
        <v>class0006</v>
      </c>
      <c r="K74" s="8" t="str">
        <f t="shared" si="34"/>
        <v>dailoneskill0006</v>
      </c>
      <c r="L74" s="5" t="str">
        <f t="shared" si="27"/>
        <v>lootName72,DAIL/items/materia/class0006/Shaman72.dbr,</v>
      </c>
      <c r="M74" s="5" t="str">
        <f t="shared" si="28"/>
        <v>lootWeight72,1,</v>
      </c>
      <c r="N74" t="str">
        <f t="shared" si="29"/>
        <v>5</v>
      </c>
      <c r="O74" t="str">
        <f t="shared" si="38"/>
        <v>copy .\dail_base3.dbr .\items\materia\class0006\Shaman72.dbr /y</v>
      </c>
      <c r="P74" t="str">
        <f t="shared" si="24"/>
        <v>echo relicBitmap,items/craftingparts/components/component_a52_bristlyfur_b.tex, &gt;&gt; .\items\materia\class0006\Shaman72.dbr</v>
      </c>
      <c r="Q74" t="str">
        <f t="shared" si="24"/>
        <v>echo itemCost,500000, &gt;&gt; .\items\materia\class0006\Shaman72.dbr</v>
      </c>
      <c r="R74" t="str">
        <f t="shared" si="24"/>
        <v>echo description,dailCompDescShaman72, &gt;&gt; .\items\materia\class0006\Shaman72.dbr</v>
      </c>
      <c r="S74" t="str">
        <f t="shared" si="24"/>
        <v>echo itemText,dailCompTextShaman72, &gt;&gt; .\items\materia\class0006\Shaman72.dbr</v>
      </c>
      <c r="T74" t="str">
        <f t="shared" si="24"/>
        <v>echo augmentSkillLevel1,5, &gt;&gt; .\items\materia\class0006\Shaman72.dbr</v>
      </c>
      <c r="U74" t="str">
        <f t="shared" si="24"/>
        <v>echo augmentSkillName1,records/skills/playerclass06/totem1.dbr, &gt;&gt; .\items\materia\class0006\Shaman72.dbr</v>
      </c>
      <c r="V74" s="5" t="s">
        <v>36</v>
      </c>
      <c r="W74" t="str">
        <f t="shared" si="30"/>
        <v>echo lootName72,DAIL/items/materia/class0006/Shaman72.dbr, &gt;&gt; .\items\loottables\dailoneskill0006.dbr</v>
      </c>
      <c r="X74" t="str">
        <f t="shared" si="30"/>
        <v>echo lootWeight72,1, &gt;&gt; .\items\loottables\dailoneskill0006.dbr</v>
      </c>
      <c r="Y74" s="5" t="s">
        <v>36</v>
      </c>
      <c r="Z74" t="str">
        <f t="shared" si="31"/>
        <v xml:space="preserve"> dailCompDescShaman72=^pShaman's Gift of DAIL</v>
      </c>
      <c r="AA74" t="str">
        <f t="shared" si="39"/>
        <v>dailCompTextShaman72=^oThis feels warm to the touch, almost familiar ^w(This component only fits into the Medal Slot)</v>
      </c>
      <c r="AB74" s="5" t="s">
        <v>36</v>
      </c>
      <c r="AH74">
        <f t="shared" si="41"/>
        <v>69</v>
      </c>
      <c r="AI74">
        <f t="shared" si="35"/>
        <v>25</v>
      </c>
      <c r="AJ74">
        <f t="shared" si="40"/>
        <v>5</v>
      </c>
    </row>
    <row r="75" spans="1:36" x14ac:dyDescent="0.25">
      <c r="A75" s="5" t="s">
        <v>39</v>
      </c>
      <c r="B75" s="5" t="s">
        <v>30</v>
      </c>
      <c r="C75" s="5" t="str">
        <f t="shared" si="25"/>
        <v>description,dailCompDescShaman73,</v>
      </c>
      <c r="D75" s="5" t="str">
        <f t="shared" si="26"/>
        <v>itemText,dailCompTextShaman73,</v>
      </c>
      <c r="E75" s="5" t="str">
        <f t="shared" si="36"/>
        <v>augmentSkillLevel1,5,</v>
      </c>
      <c r="F75" s="5" t="str">
        <f t="shared" si="37"/>
        <v>augmentSkillName1,records/skills/playerclass06/totem2_petmodifier.dbr,</v>
      </c>
      <c r="G75" s="7">
        <f t="shared" si="32"/>
        <v>73</v>
      </c>
      <c r="H75" s="8" t="str">
        <f t="shared" si="33"/>
        <v>Shaman</v>
      </c>
      <c r="I75" s="3" t="s">
        <v>344</v>
      </c>
      <c r="J75" s="8" t="str">
        <f t="shared" si="34"/>
        <v>class0006</v>
      </c>
      <c r="K75" s="8" t="str">
        <f t="shared" si="34"/>
        <v>dailoneskill0006</v>
      </c>
      <c r="L75" s="5" t="str">
        <f t="shared" si="27"/>
        <v>lootName73,DAIL/items/materia/class0006/Shaman73.dbr,</v>
      </c>
      <c r="M75" s="5" t="str">
        <f t="shared" si="28"/>
        <v>lootWeight73,1,</v>
      </c>
      <c r="N75" t="str">
        <f t="shared" si="29"/>
        <v>5</v>
      </c>
      <c r="O75" t="str">
        <f t="shared" si="38"/>
        <v>copy .\dail_base3.dbr .\items\materia\class0006\Shaman73.dbr /y</v>
      </c>
      <c r="P75" t="str">
        <f t="shared" si="24"/>
        <v>echo relicBitmap,items/craftingparts/components/component_a52_bristlyfur_b.tex, &gt;&gt; .\items\materia\class0006\Shaman73.dbr</v>
      </c>
      <c r="Q75" t="str">
        <f t="shared" si="24"/>
        <v>echo itemCost,500000, &gt;&gt; .\items\materia\class0006\Shaman73.dbr</v>
      </c>
      <c r="R75" t="str">
        <f t="shared" si="24"/>
        <v>echo description,dailCompDescShaman73, &gt;&gt; .\items\materia\class0006\Shaman73.dbr</v>
      </c>
      <c r="S75" t="str">
        <f t="shared" si="24"/>
        <v>echo itemText,dailCompTextShaman73, &gt;&gt; .\items\materia\class0006\Shaman73.dbr</v>
      </c>
      <c r="T75" t="str">
        <f t="shared" si="24"/>
        <v>echo augmentSkillLevel1,5, &gt;&gt; .\items\materia\class0006\Shaman73.dbr</v>
      </c>
      <c r="U75" t="str">
        <f t="shared" si="24"/>
        <v>echo augmentSkillName1,records/skills/playerclass06/totem2_petmodifier.dbr, &gt;&gt; .\items\materia\class0006\Shaman73.dbr</v>
      </c>
      <c r="V75" s="5" t="s">
        <v>36</v>
      </c>
      <c r="W75" t="str">
        <f t="shared" si="30"/>
        <v>echo lootName73,DAIL/items/materia/class0006/Shaman73.dbr, &gt;&gt; .\items\loottables\dailoneskill0006.dbr</v>
      </c>
      <c r="X75" t="str">
        <f t="shared" si="30"/>
        <v>echo lootWeight73,1, &gt;&gt; .\items\loottables\dailoneskill0006.dbr</v>
      </c>
      <c r="Y75" s="5" t="s">
        <v>36</v>
      </c>
      <c r="Z75" t="str">
        <f t="shared" si="31"/>
        <v xml:space="preserve"> dailCompDescShaman73=^pShaman's Gift of DAIL</v>
      </c>
      <c r="AA75" t="str">
        <f t="shared" si="39"/>
        <v>dailCompTextShaman73=^oThis feels warm to the touch, almost familiar ^w(This component only fits into the Medal Slot)</v>
      </c>
      <c r="AB75" s="5" t="s">
        <v>36</v>
      </c>
      <c r="AH75">
        <f t="shared" si="41"/>
        <v>70</v>
      </c>
      <c r="AI75">
        <f t="shared" si="35"/>
        <v>37</v>
      </c>
      <c r="AJ75">
        <f t="shared" si="40"/>
        <v>5</v>
      </c>
    </row>
    <row r="76" spans="1:36" x14ac:dyDescent="0.25">
      <c r="A76" s="5" t="s">
        <v>39</v>
      </c>
      <c r="B76" s="5" t="s">
        <v>30</v>
      </c>
      <c r="C76" s="5" t="str">
        <f t="shared" si="25"/>
        <v>description,dailCompDescShaman74,</v>
      </c>
      <c r="D76" s="5" t="str">
        <f t="shared" si="26"/>
        <v>itemText,dailCompTextShaman74,</v>
      </c>
      <c r="E76" s="5" t="str">
        <f t="shared" si="36"/>
        <v>augmentSkillLevel1,5,</v>
      </c>
      <c r="F76" s="5" t="str">
        <f t="shared" si="37"/>
        <v>augmentSkillName1,records/skills/playerclass06/savagery1.dbr,</v>
      </c>
      <c r="G76" s="7">
        <f t="shared" si="32"/>
        <v>74</v>
      </c>
      <c r="H76" s="8" t="str">
        <f t="shared" si="33"/>
        <v>Shaman</v>
      </c>
      <c r="I76" s="3" t="s">
        <v>143</v>
      </c>
      <c r="J76" s="8" t="str">
        <f t="shared" si="34"/>
        <v>class0006</v>
      </c>
      <c r="K76" s="8" t="str">
        <f t="shared" si="34"/>
        <v>dailoneskill0006</v>
      </c>
      <c r="L76" s="5" t="str">
        <f t="shared" si="27"/>
        <v>lootName74,DAIL/items/materia/class0006/Shaman74.dbr,</v>
      </c>
      <c r="M76" s="5" t="str">
        <f t="shared" si="28"/>
        <v>lootWeight74,1,</v>
      </c>
      <c r="N76" t="str">
        <f t="shared" si="29"/>
        <v>5</v>
      </c>
      <c r="O76" t="str">
        <f t="shared" si="38"/>
        <v>copy .\dail_base3.dbr .\items\materia\class0006\Shaman74.dbr /y</v>
      </c>
      <c r="P76" t="str">
        <f t="shared" si="24"/>
        <v>echo relicBitmap,items/craftingparts/components/component_a52_bristlyfur_b.tex, &gt;&gt; .\items\materia\class0006\Shaman74.dbr</v>
      </c>
      <c r="Q76" t="str">
        <f t="shared" si="24"/>
        <v>echo itemCost,500000, &gt;&gt; .\items\materia\class0006\Shaman74.dbr</v>
      </c>
      <c r="R76" t="str">
        <f t="shared" si="24"/>
        <v>echo description,dailCompDescShaman74, &gt;&gt; .\items\materia\class0006\Shaman74.dbr</v>
      </c>
      <c r="S76" t="str">
        <f t="shared" si="24"/>
        <v>echo itemText,dailCompTextShaman74, &gt;&gt; .\items\materia\class0006\Shaman74.dbr</v>
      </c>
      <c r="T76" t="str">
        <f t="shared" si="24"/>
        <v>echo augmentSkillLevel1,5, &gt;&gt; .\items\materia\class0006\Shaman74.dbr</v>
      </c>
      <c r="U76" t="str">
        <f t="shared" si="24"/>
        <v>echo augmentSkillName1,records/skills/playerclass06/savagery1.dbr, &gt;&gt; .\items\materia\class0006\Shaman74.dbr</v>
      </c>
      <c r="V76" s="5" t="s">
        <v>36</v>
      </c>
      <c r="W76" t="str">
        <f t="shared" si="30"/>
        <v>echo lootName74,DAIL/items/materia/class0006/Shaman74.dbr, &gt;&gt; .\items\loottables\dailoneskill0006.dbr</v>
      </c>
      <c r="X76" t="str">
        <f t="shared" si="30"/>
        <v>echo lootWeight74,1, &gt;&gt; .\items\loottables\dailoneskill0006.dbr</v>
      </c>
      <c r="Y76" s="5" t="s">
        <v>36</v>
      </c>
      <c r="Z76" t="str">
        <f t="shared" si="31"/>
        <v xml:space="preserve"> dailCompDescShaman74=^pShaman's Gift of DAIL</v>
      </c>
      <c r="AA76" t="str">
        <f t="shared" si="39"/>
        <v>dailCompTextShaman74=^oThis feels warm to the touch, almost familiar ^w(This component only fits into the Medal Slot)</v>
      </c>
      <c r="AB76" s="5" t="s">
        <v>36</v>
      </c>
      <c r="AH76">
        <f t="shared" si="41"/>
        <v>71</v>
      </c>
      <c r="AI76">
        <f t="shared" si="35"/>
        <v>28</v>
      </c>
      <c r="AJ76">
        <f t="shared" si="40"/>
        <v>5</v>
      </c>
    </row>
    <row r="77" spans="1:36" x14ac:dyDescent="0.25">
      <c r="A77" s="5" t="s">
        <v>39</v>
      </c>
      <c r="B77" s="5" t="s">
        <v>30</v>
      </c>
      <c r="C77" s="5" t="str">
        <f t="shared" si="25"/>
        <v>description,dailCompDescShaman75,</v>
      </c>
      <c r="D77" s="5" t="str">
        <f t="shared" si="26"/>
        <v>itemText,dailCompTextShaman75,</v>
      </c>
      <c r="E77" s="5" t="str">
        <f t="shared" si="36"/>
        <v>augmentSkillLevel1,5,</v>
      </c>
      <c r="F77" s="5" t="str">
        <f t="shared" si="37"/>
        <v>augmentSkillName1,records/skills/playerclass06/devouringswarm1.dbr,</v>
      </c>
      <c r="G77" s="7">
        <f t="shared" si="32"/>
        <v>75</v>
      </c>
      <c r="H77" s="8" t="str">
        <f t="shared" si="33"/>
        <v>Shaman</v>
      </c>
      <c r="I77" s="3" t="s">
        <v>139</v>
      </c>
      <c r="J77" s="8" t="str">
        <f t="shared" si="34"/>
        <v>class0006</v>
      </c>
      <c r="K77" s="8" t="str">
        <f t="shared" si="34"/>
        <v>dailoneskill0006</v>
      </c>
      <c r="L77" s="5" t="str">
        <f t="shared" si="27"/>
        <v>lootName75,DAIL/items/materia/class0006/Shaman75.dbr,</v>
      </c>
      <c r="M77" s="5" t="str">
        <f t="shared" si="28"/>
        <v>lootWeight75,1,</v>
      </c>
      <c r="N77" t="str">
        <f t="shared" si="29"/>
        <v>5</v>
      </c>
      <c r="O77" t="str">
        <f t="shared" si="38"/>
        <v>copy .\dail_base3.dbr .\items\materia\class0006\Shaman75.dbr /y</v>
      </c>
      <c r="P77" t="str">
        <f t="shared" si="24"/>
        <v>echo relicBitmap,items/craftingparts/components/component_a52_bristlyfur_b.tex, &gt;&gt; .\items\materia\class0006\Shaman75.dbr</v>
      </c>
      <c r="Q77" t="str">
        <f t="shared" si="24"/>
        <v>echo itemCost,500000, &gt;&gt; .\items\materia\class0006\Shaman75.dbr</v>
      </c>
      <c r="R77" t="str">
        <f t="shared" si="24"/>
        <v>echo description,dailCompDescShaman75, &gt;&gt; .\items\materia\class0006\Shaman75.dbr</v>
      </c>
      <c r="S77" t="str">
        <f t="shared" si="24"/>
        <v>echo itemText,dailCompTextShaman75, &gt;&gt; .\items\materia\class0006\Shaman75.dbr</v>
      </c>
      <c r="T77" t="str">
        <f t="shared" si="24"/>
        <v>echo augmentSkillLevel1,5, &gt;&gt; .\items\materia\class0006\Shaman75.dbr</v>
      </c>
      <c r="U77" t="str">
        <f t="shared" si="24"/>
        <v>echo augmentSkillName1,records/skills/playerclass06/devouringswarm1.dbr, &gt;&gt; .\items\materia\class0006\Shaman75.dbr</v>
      </c>
      <c r="V77" s="5" t="s">
        <v>36</v>
      </c>
      <c r="W77" t="str">
        <f t="shared" si="30"/>
        <v>echo lootName75,DAIL/items/materia/class0006/Shaman75.dbr, &gt;&gt; .\items\loottables\dailoneskill0006.dbr</v>
      </c>
      <c r="X77" t="str">
        <f t="shared" si="30"/>
        <v>echo lootWeight75,1, &gt;&gt; .\items\loottables\dailoneskill0006.dbr</v>
      </c>
      <c r="Y77" s="5" t="s">
        <v>36</v>
      </c>
      <c r="Z77" t="str">
        <f t="shared" si="31"/>
        <v xml:space="preserve"> dailCompDescShaman75=^pShaman's Gift of DAIL</v>
      </c>
      <c r="AA77" t="str">
        <f t="shared" si="39"/>
        <v>dailCompTextShaman75=^oThis feels warm to the touch, almost familiar ^w(This component only fits into the Medal Slot)</v>
      </c>
      <c r="AB77" s="5" t="s">
        <v>36</v>
      </c>
      <c r="AH77">
        <f t="shared" si="41"/>
        <v>72</v>
      </c>
      <c r="AI77">
        <f t="shared" si="35"/>
        <v>34</v>
      </c>
      <c r="AJ77">
        <f t="shared" si="40"/>
        <v>5</v>
      </c>
    </row>
    <row r="78" spans="1:36" x14ac:dyDescent="0.25">
      <c r="A78" s="5" t="s">
        <v>39</v>
      </c>
      <c r="B78" s="5" t="s">
        <v>30</v>
      </c>
      <c r="C78" s="5" t="str">
        <f t="shared" si="25"/>
        <v>description,dailCompDescShaman76,</v>
      </c>
      <c r="D78" s="5" t="str">
        <f t="shared" si="26"/>
        <v>itemText,dailCompTextShaman76,</v>
      </c>
      <c r="E78" s="5" t="str">
        <f t="shared" si="36"/>
        <v>augmentSkillLevel1,5,</v>
      </c>
      <c r="F78" s="5" t="str">
        <f t="shared" si="37"/>
        <v>augmentSkillName1,records/skills/playerclass06/squall1.dbr,</v>
      </c>
      <c r="G78" s="7">
        <f t="shared" si="32"/>
        <v>76</v>
      </c>
      <c r="H78" s="8" t="str">
        <f t="shared" si="33"/>
        <v>Shaman</v>
      </c>
      <c r="I78" s="3" t="s">
        <v>145</v>
      </c>
      <c r="J78" s="8" t="str">
        <f t="shared" si="34"/>
        <v>class0006</v>
      </c>
      <c r="K78" s="8" t="str">
        <f t="shared" si="34"/>
        <v>dailoneskill0006</v>
      </c>
      <c r="L78" s="5" t="str">
        <f t="shared" si="27"/>
        <v>lootName76,DAIL/items/materia/class0006/Shaman76.dbr,</v>
      </c>
      <c r="M78" s="5" t="str">
        <f t="shared" si="28"/>
        <v>lootWeight76,1,</v>
      </c>
      <c r="N78" t="str">
        <f t="shared" si="29"/>
        <v>5</v>
      </c>
      <c r="O78" t="str">
        <f t="shared" si="38"/>
        <v>copy .\dail_base3.dbr .\items\materia\class0006\Shaman76.dbr /y</v>
      </c>
      <c r="P78" t="str">
        <f t="shared" si="24"/>
        <v>echo relicBitmap,items/craftingparts/components/component_a52_bristlyfur_b.tex, &gt;&gt; .\items\materia\class0006\Shaman76.dbr</v>
      </c>
      <c r="Q78" t="str">
        <f t="shared" si="24"/>
        <v>echo itemCost,500000, &gt;&gt; .\items\materia\class0006\Shaman76.dbr</v>
      </c>
      <c r="R78" t="str">
        <f t="shared" si="24"/>
        <v>echo description,dailCompDescShaman76, &gt;&gt; .\items\materia\class0006\Shaman76.dbr</v>
      </c>
      <c r="S78" t="str">
        <f t="shared" si="24"/>
        <v>echo itemText,dailCompTextShaman76, &gt;&gt; .\items\materia\class0006\Shaman76.dbr</v>
      </c>
      <c r="T78" t="str">
        <f t="shared" si="24"/>
        <v>echo augmentSkillLevel1,5, &gt;&gt; .\items\materia\class0006\Shaman76.dbr</v>
      </c>
      <c r="U78" t="str">
        <f t="shared" si="24"/>
        <v>echo augmentSkillName1,records/skills/playerclass06/squall1.dbr, &gt;&gt; .\items\materia\class0006\Shaman76.dbr</v>
      </c>
      <c r="V78" s="5" t="s">
        <v>36</v>
      </c>
      <c r="W78" t="str">
        <f t="shared" si="30"/>
        <v>echo lootName76,DAIL/items/materia/class0006/Shaman76.dbr, &gt;&gt; .\items\loottables\dailoneskill0006.dbr</v>
      </c>
      <c r="X78" t="str">
        <f t="shared" si="30"/>
        <v>echo lootWeight76,1, &gt;&gt; .\items\loottables\dailoneskill0006.dbr</v>
      </c>
      <c r="Y78" s="5" t="s">
        <v>36</v>
      </c>
      <c r="Z78" t="str">
        <f t="shared" si="31"/>
        <v xml:space="preserve"> dailCompDescShaman76=^pShaman's Gift of DAIL</v>
      </c>
      <c r="AA78" t="str">
        <f t="shared" si="39"/>
        <v>dailCompTextShaman76=^oThis feels warm to the touch, almost familiar ^w(This component only fits into the Medal Slot)</v>
      </c>
      <c r="AB78" s="5" t="s">
        <v>36</v>
      </c>
      <c r="AH78">
        <f t="shared" si="41"/>
        <v>73</v>
      </c>
      <c r="AI78">
        <f t="shared" si="35"/>
        <v>26</v>
      </c>
      <c r="AJ78">
        <f t="shared" si="40"/>
        <v>5</v>
      </c>
    </row>
    <row r="79" spans="1:36" x14ac:dyDescent="0.25">
      <c r="A79" s="5" t="s">
        <v>39</v>
      </c>
      <c r="B79" s="5" t="s">
        <v>30</v>
      </c>
      <c r="C79" s="5" t="str">
        <f t="shared" si="25"/>
        <v>description,dailCompDescShaman77,</v>
      </c>
      <c r="D79" s="5" t="str">
        <f t="shared" si="26"/>
        <v>itemText,dailCompTextShaman77,</v>
      </c>
      <c r="E79" s="5" t="str">
        <f t="shared" si="36"/>
        <v>augmentSkillLevel1,5,</v>
      </c>
      <c r="F79" s="5" t="str">
        <f t="shared" si="37"/>
        <v>augmentSkillName1,records/skills/playerclass06/squall2.dbr,</v>
      </c>
      <c r="G79" s="7">
        <f t="shared" si="32"/>
        <v>77</v>
      </c>
      <c r="H79" s="8" t="str">
        <f t="shared" si="33"/>
        <v>Shaman</v>
      </c>
      <c r="I79" s="3" t="s">
        <v>345</v>
      </c>
      <c r="J79" s="8" t="str">
        <f t="shared" si="34"/>
        <v>class0006</v>
      </c>
      <c r="K79" s="8" t="str">
        <f t="shared" si="34"/>
        <v>dailoneskill0006</v>
      </c>
      <c r="L79" s="5" t="str">
        <f t="shared" si="27"/>
        <v>lootName77,DAIL/items/materia/class0006/Shaman77.dbr,</v>
      </c>
      <c r="M79" s="5" t="str">
        <f t="shared" si="28"/>
        <v>lootWeight77,1,</v>
      </c>
      <c r="N79" t="str">
        <f t="shared" si="29"/>
        <v>5</v>
      </c>
      <c r="O79" t="str">
        <f t="shared" si="38"/>
        <v>copy .\dail_base3.dbr .\items\materia\class0006\Shaman77.dbr /y</v>
      </c>
      <c r="P79" t="str">
        <f t="shared" si="24"/>
        <v>echo relicBitmap,items/craftingparts/components/component_a52_bristlyfur_b.tex, &gt;&gt; .\items\materia\class0006\Shaman77.dbr</v>
      </c>
      <c r="Q79" t="str">
        <f t="shared" si="24"/>
        <v>echo itemCost,500000, &gt;&gt; .\items\materia\class0006\Shaman77.dbr</v>
      </c>
      <c r="R79" t="str">
        <f t="shared" si="24"/>
        <v>echo description,dailCompDescShaman77, &gt;&gt; .\items\materia\class0006\Shaman77.dbr</v>
      </c>
      <c r="S79" t="str">
        <f t="shared" si="24"/>
        <v>echo itemText,dailCompTextShaman77, &gt;&gt; .\items\materia\class0006\Shaman77.dbr</v>
      </c>
      <c r="T79" t="str">
        <f t="shared" si="24"/>
        <v>echo augmentSkillLevel1,5, &gt;&gt; .\items\materia\class0006\Shaman77.dbr</v>
      </c>
      <c r="U79" t="str">
        <f t="shared" si="24"/>
        <v>echo augmentSkillName1,records/skills/playerclass06/squall2.dbr, &gt;&gt; .\items\materia\class0006\Shaman77.dbr</v>
      </c>
      <c r="V79" s="5" t="s">
        <v>36</v>
      </c>
      <c r="W79" t="str">
        <f t="shared" si="30"/>
        <v>echo lootName77,DAIL/items/materia/class0006/Shaman77.dbr, &gt;&gt; .\items\loottables\dailoneskill0006.dbr</v>
      </c>
      <c r="X79" t="str">
        <f t="shared" si="30"/>
        <v>echo lootWeight77,1, &gt;&gt; .\items\loottables\dailoneskill0006.dbr</v>
      </c>
      <c r="Y79" s="5" t="s">
        <v>36</v>
      </c>
      <c r="Z79" t="str">
        <f t="shared" si="31"/>
        <v xml:space="preserve"> dailCompDescShaman77=^pShaman's Gift of DAIL</v>
      </c>
      <c r="AA79" t="str">
        <f t="shared" si="39"/>
        <v>dailCompTextShaman77=^oThis feels warm to the touch, almost familiar ^w(This component only fits into the Medal Slot)</v>
      </c>
      <c r="AB79" s="5" t="s">
        <v>36</v>
      </c>
      <c r="AH79">
        <f t="shared" si="41"/>
        <v>74</v>
      </c>
      <c r="AI79">
        <f t="shared" si="35"/>
        <v>26</v>
      </c>
      <c r="AJ79">
        <f t="shared" si="40"/>
        <v>5</v>
      </c>
    </row>
    <row r="80" spans="1:36" x14ac:dyDescent="0.25">
      <c r="A80" s="5" t="s">
        <v>39</v>
      </c>
      <c r="B80" s="5" t="s">
        <v>30</v>
      </c>
      <c r="C80" s="5" t="str">
        <f t="shared" si="25"/>
        <v>description,dailCompDescShaman78,</v>
      </c>
      <c r="D80" s="5" t="str">
        <f t="shared" si="26"/>
        <v>itemText,dailCompTextShaman78,</v>
      </c>
      <c r="E80" s="5" t="str">
        <f t="shared" si="36"/>
        <v>augmentSkillLevel1,5,</v>
      </c>
      <c r="F80" s="5" t="str">
        <f t="shared" si="37"/>
        <v>augmentSkillName1,records/skills/playerclass06/squall3.dbr,</v>
      </c>
      <c r="G80" s="7">
        <f t="shared" si="32"/>
        <v>78</v>
      </c>
      <c r="H80" s="8" t="str">
        <f t="shared" si="33"/>
        <v>Shaman</v>
      </c>
      <c r="I80" s="3" t="s">
        <v>346</v>
      </c>
      <c r="J80" s="8" t="str">
        <f t="shared" si="34"/>
        <v>class0006</v>
      </c>
      <c r="K80" s="8" t="str">
        <f t="shared" si="34"/>
        <v>dailoneskill0006</v>
      </c>
      <c r="L80" s="5" t="str">
        <f t="shared" si="27"/>
        <v>lootName78,DAIL/items/materia/class0006/Shaman78.dbr,</v>
      </c>
      <c r="M80" s="5" t="str">
        <f t="shared" si="28"/>
        <v>lootWeight78,1,</v>
      </c>
      <c r="N80" t="str">
        <f t="shared" si="29"/>
        <v>5</v>
      </c>
      <c r="O80" t="str">
        <f t="shared" si="38"/>
        <v>copy .\dail_base3.dbr .\items\materia\class0006\Shaman78.dbr /y</v>
      </c>
      <c r="P80" t="str">
        <f t="shared" si="24"/>
        <v>echo relicBitmap,items/craftingparts/components/component_a52_bristlyfur_b.tex, &gt;&gt; .\items\materia\class0006\Shaman78.dbr</v>
      </c>
      <c r="Q80" t="str">
        <f t="shared" si="24"/>
        <v>echo itemCost,500000, &gt;&gt; .\items\materia\class0006\Shaman78.dbr</v>
      </c>
      <c r="R80" t="str">
        <f t="shared" si="24"/>
        <v>echo description,dailCompDescShaman78, &gt;&gt; .\items\materia\class0006\Shaman78.dbr</v>
      </c>
      <c r="S80" t="str">
        <f t="shared" si="24"/>
        <v>echo itemText,dailCompTextShaman78, &gt;&gt; .\items\materia\class0006\Shaman78.dbr</v>
      </c>
      <c r="T80" t="str">
        <f t="shared" si="24"/>
        <v>echo augmentSkillLevel1,5, &gt;&gt; .\items\materia\class0006\Shaman78.dbr</v>
      </c>
      <c r="U80" t="str">
        <f t="shared" si="24"/>
        <v>echo augmentSkillName1,records/skills/playerclass06/squall3.dbr, &gt;&gt; .\items\materia\class0006\Shaman78.dbr</v>
      </c>
      <c r="V80" s="5" t="s">
        <v>36</v>
      </c>
      <c r="W80" t="str">
        <f t="shared" si="30"/>
        <v>echo lootName78,DAIL/items/materia/class0006/Shaman78.dbr, &gt;&gt; .\items\loottables\dailoneskill0006.dbr</v>
      </c>
      <c r="X80" t="str">
        <f t="shared" si="30"/>
        <v>echo lootWeight78,1, &gt;&gt; .\items\loottables\dailoneskill0006.dbr</v>
      </c>
      <c r="Y80" s="5" t="s">
        <v>36</v>
      </c>
      <c r="Z80" t="str">
        <f t="shared" si="31"/>
        <v xml:space="preserve"> dailCompDescShaman78=^pShaman's Gift of DAIL</v>
      </c>
      <c r="AA80" t="str">
        <f t="shared" si="39"/>
        <v>dailCompTextShaman78=^oThis feels warm to the touch, almost familiar ^w(This component only fits into the Medal Slot)</v>
      </c>
      <c r="AB80" s="5" t="s">
        <v>36</v>
      </c>
      <c r="AH80">
        <f t="shared" si="41"/>
        <v>75</v>
      </c>
      <c r="AI80">
        <f t="shared" si="35"/>
        <v>26</v>
      </c>
      <c r="AJ80">
        <f t="shared" si="40"/>
        <v>5</v>
      </c>
    </row>
    <row r="81" spans="1:36" x14ac:dyDescent="0.25">
      <c r="A81" s="5" t="s">
        <v>39</v>
      </c>
      <c r="B81" s="5" t="s">
        <v>30</v>
      </c>
      <c r="C81" s="5" t="str">
        <f t="shared" si="25"/>
        <v>description,dailCompDescShaman79,</v>
      </c>
      <c r="D81" s="5" t="str">
        <f t="shared" si="26"/>
        <v>itemText,dailCompTextShaman79,</v>
      </c>
      <c r="E81" s="5" t="str">
        <f t="shared" si="36"/>
        <v>augmentSkillLevel1,5,</v>
      </c>
      <c r="F81" s="5" t="str">
        <f t="shared" si="37"/>
        <v>augmentSkillName1,records/skills/playerclass06/passive01.dbr,</v>
      </c>
      <c r="G81" s="7">
        <f t="shared" si="32"/>
        <v>79</v>
      </c>
      <c r="H81" s="8" t="str">
        <f t="shared" si="33"/>
        <v>Shaman</v>
      </c>
      <c r="I81" s="3" t="s">
        <v>347</v>
      </c>
      <c r="J81" s="8" t="str">
        <f t="shared" si="34"/>
        <v>class0006</v>
      </c>
      <c r="K81" s="8" t="str">
        <f t="shared" si="34"/>
        <v>dailoneskill0006</v>
      </c>
      <c r="L81" s="5" t="str">
        <f t="shared" si="27"/>
        <v>lootName79,DAIL/items/materia/class0006/Shaman79.dbr,</v>
      </c>
      <c r="M81" s="5" t="str">
        <f t="shared" si="28"/>
        <v>lootWeight79,1,</v>
      </c>
      <c r="N81" t="str">
        <f t="shared" si="29"/>
        <v>5</v>
      </c>
      <c r="O81" t="str">
        <f t="shared" si="38"/>
        <v>copy .\dail_base3.dbr .\items\materia\class0006\Shaman79.dbr /y</v>
      </c>
      <c r="P81" t="str">
        <f t="shared" si="24"/>
        <v>echo relicBitmap,items/craftingparts/components/component_a52_bristlyfur_b.tex, &gt;&gt; .\items\materia\class0006\Shaman79.dbr</v>
      </c>
      <c r="Q81" t="str">
        <f t="shared" si="24"/>
        <v>echo itemCost,500000, &gt;&gt; .\items\materia\class0006\Shaman79.dbr</v>
      </c>
      <c r="R81" t="str">
        <f t="shared" si="24"/>
        <v>echo description,dailCompDescShaman79, &gt;&gt; .\items\materia\class0006\Shaman79.dbr</v>
      </c>
      <c r="S81" t="str">
        <f t="shared" si="24"/>
        <v>echo itemText,dailCompTextShaman79, &gt;&gt; .\items\materia\class0006\Shaman79.dbr</v>
      </c>
      <c r="T81" t="str">
        <f t="shared" si="24"/>
        <v>echo augmentSkillLevel1,5, &gt;&gt; .\items\materia\class0006\Shaman79.dbr</v>
      </c>
      <c r="U81" t="str">
        <f t="shared" si="24"/>
        <v>echo augmentSkillName1,records/skills/playerclass06/passive01.dbr, &gt;&gt; .\items\materia\class0006\Shaman79.dbr</v>
      </c>
      <c r="V81" s="5" t="s">
        <v>36</v>
      </c>
      <c r="W81" t="str">
        <f t="shared" si="30"/>
        <v>echo lootName79,DAIL/items/materia/class0006/Shaman79.dbr, &gt;&gt; .\items\loottables\dailoneskill0006.dbr</v>
      </c>
      <c r="X81" t="str">
        <f t="shared" si="30"/>
        <v>echo lootWeight79,1, &gt;&gt; .\items\loottables\dailoneskill0006.dbr</v>
      </c>
      <c r="Y81" s="5" t="s">
        <v>36</v>
      </c>
      <c r="Z81" t="str">
        <f t="shared" si="31"/>
        <v xml:space="preserve"> dailCompDescShaman79=^pShaman's Gift of DAIL</v>
      </c>
      <c r="AA81" t="str">
        <f t="shared" si="39"/>
        <v>dailCompTextShaman79=^oThis feels warm to the touch, almost familiar ^w(This component only fits into the Medal Slot)</v>
      </c>
      <c r="AB81" s="5" t="s">
        <v>36</v>
      </c>
      <c r="AH81">
        <f t="shared" si="41"/>
        <v>76</v>
      </c>
      <c r="AI81">
        <f t="shared" si="35"/>
        <v>28</v>
      </c>
      <c r="AJ81">
        <f t="shared" si="40"/>
        <v>5</v>
      </c>
    </row>
    <row r="82" spans="1:36" x14ac:dyDescent="0.25">
      <c r="A82" s="5" t="s">
        <v>39</v>
      </c>
      <c r="B82" s="5" t="s">
        <v>30</v>
      </c>
      <c r="C82" s="5" t="str">
        <f t="shared" si="25"/>
        <v>description,dailCompDescShaman80,</v>
      </c>
      <c r="D82" s="5" t="str">
        <f t="shared" si="26"/>
        <v>itemText,dailCompTextShaman80,</v>
      </c>
      <c r="E82" s="5" t="str">
        <f t="shared" si="36"/>
        <v>augmentSkillLevel1,5,</v>
      </c>
      <c r="F82" s="5" t="str">
        <f t="shared" si="37"/>
        <v>augmentSkillName1,records/skills/playerclass06/summon_manticore1.dbr,</v>
      </c>
      <c r="G82" s="7">
        <f t="shared" si="32"/>
        <v>80</v>
      </c>
      <c r="H82" s="8" t="str">
        <f t="shared" si="33"/>
        <v>Shaman</v>
      </c>
      <c r="I82" s="3" t="s">
        <v>149</v>
      </c>
      <c r="J82" s="8" t="str">
        <f t="shared" si="34"/>
        <v>class0006</v>
      </c>
      <c r="K82" s="8" t="str">
        <f t="shared" si="34"/>
        <v>dailoneskill0006</v>
      </c>
      <c r="L82" s="5" t="str">
        <f t="shared" si="27"/>
        <v>lootName80,DAIL/items/materia/class0006/Shaman80.dbr,</v>
      </c>
      <c r="M82" s="5" t="str">
        <f t="shared" si="28"/>
        <v>lootWeight80,1,</v>
      </c>
      <c r="N82" t="str">
        <f t="shared" si="29"/>
        <v>5</v>
      </c>
      <c r="O82" t="str">
        <f t="shared" si="38"/>
        <v>copy .\dail_base3.dbr .\items\materia\class0006\Shaman80.dbr /y</v>
      </c>
      <c r="P82" t="str">
        <f t="shared" si="24"/>
        <v>echo relicBitmap,items/craftingparts/components/component_a52_bristlyfur_b.tex, &gt;&gt; .\items\materia\class0006\Shaman80.dbr</v>
      </c>
      <c r="Q82" t="str">
        <f t="shared" si="24"/>
        <v>echo itemCost,500000, &gt;&gt; .\items\materia\class0006\Shaman80.dbr</v>
      </c>
      <c r="R82" t="str">
        <f t="shared" si="24"/>
        <v>echo description,dailCompDescShaman80, &gt;&gt; .\items\materia\class0006\Shaman80.dbr</v>
      </c>
      <c r="S82" t="str">
        <f t="shared" si="24"/>
        <v>echo itemText,dailCompTextShaman80, &gt;&gt; .\items\materia\class0006\Shaman80.dbr</v>
      </c>
      <c r="T82" t="str">
        <f t="shared" si="24"/>
        <v>echo augmentSkillLevel1,5, &gt;&gt; .\items\materia\class0006\Shaman80.dbr</v>
      </c>
      <c r="U82" t="str">
        <f t="shared" si="24"/>
        <v>echo augmentSkillName1,records/skills/playerclass06/summon_manticore1.dbr, &gt;&gt; .\items\materia\class0006\Shaman80.dbr</v>
      </c>
      <c r="V82" s="5" t="s">
        <v>36</v>
      </c>
      <c r="W82" t="str">
        <f t="shared" si="30"/>
        <v>echo lootName80,DAIL/items/materia/class0006/Shaman80.dbr, &gt;&gt; .\items\loottables\dailoneskill0006.dbr</v>
      </c>
      <c r="X82" t="str">
        <f t="shared" si="30"/>
        <v>echo lootWeight80,1, &gt;&gt; .\items\loottables\dailoneskill0006.dbr</v>
      </c>
      <c r="Y82" s="5" t="s">
        <v>36</v>
      </c>
      <c r="Z82" t="str">
        <f t="shared" si="31"/>
        <v xml:space="preserve"> dailCompDescShaman80=^pShaman's Gift of DAIL</v>
      </c>
      <c r="AA82" t="str">
        <f t="shared" si="39"/>
        <v>dailCompTextShaman80=^oThis feels warm to the touch, almost familiar ^w(This component only fits into the Medal Slot)</v>
      </c>
      <c r="AB82" s="5" t="s">
        <v>36</v>
      </c>
      <c r="AH82">
        <f t="shared" si="41"/>
        <v>77</v>
      </c>
      <c r="AI82">
        <f t="shared" si="35"/>
        <v>36</v>
      </c>
      <c r="AJ82">
        <f t="shared" si="40"/>
        <v>5</v>
      </c>
    </row>
    <row r="83" spans="1:36" x14ac:dyDescent="0.25">
      <c r="A83" s="5" t="s">
        <v>39</v>
      </c>
      <c r="B83" s="5" t="s">
        <v>30</v>
      </c>
      <c r="C83" s="5" t="str">
        <f t="shared" si="25"/>
        <v>description,dailCompDescShaman81,</v>
      </c>
      <c r="D83" s="5" t="str">
        <f t="shared" si="26"/>
        <v>itemText,dailCompTextShaman81,</v>
      </c>
      <c r="E83" s="5" t="str">
        <f t="shared" si="36"/>
        <v>augmentSkillLevel1,5,</v>
      </c>
      <c r="F83" s="5" t="str">
        <f t="shared" si="37"/>
        <v>augmentSkillName1,records/skills/playerclass06/weaponpool01.dbr,</v>
      </c>
      <c r="G83" s="7">
        <f t="shared" si="32"/>
        <v>81</v>
      </c>
      <c r="H83" s="8" t="str">
        <f t="shared" si="33"/>
        <v>Shaman</v>
      </c>
      <c r="I83" s="3" t="s">
        <v>348</v>
      </c>
      <c r="J83" s="8" t="str">
        <f t="shared" si="34"/>
        <v>class0006</v>
      </c>
      <c r="K83" s="8" t="str">
        <f t="shared" si="34"/>
        <v>dailoneskill0006</v>
      </c>
      <c r="L83" s="5" t="str">
        <f t="shared" si="27"/>
        <v>lootName81,DAIL/items/materia/class0006/Shaman81.dbr,</v>
      </c>
      <c r="M83" s="5" t="str">
        <f t="shared" si="28"/>
        <v>lootWeight81,1,</v>
      </c>
      <c r="N83" t="str">
        <f t="shared" si="29"/>
        <v>5</v>
      </c>
      <c r="O83" t="str">
        <f t="shared" si="38"/>
        <v>copy .\dail_base3.dbr .\items\materia\class0006\Shaman81.dbr /y</v>
      </c>
      <c r="P83" t="str">
        <f t="shared" si="24"/>
        <v>echo relicBitmap,items/craftingparts/components/component_a52_bristlyfur_b.tex, &gt;&gt; .\items\materia\class0006\Shaman81.dbr</v>
      </c>
      <c r="Q83" t="str">
        <f t="shared" si="24"/>
        <v>echo itemCost,500000, &gt;&gt; .\items\materia\class0006\Shaman81.dbr</v>
      </c>
      <c r="R83" t="str">
        <f t="shared" si="24"/>
        <v>echo description,dailCompDescShaman81, &gt;&gt; .\items\materia\class0006\Shaman81.dbr</v>
      </c>
      <c r="S83" t="str">
        <f t="shared" si="24"/>
        <v>echo itemText,dailCompTextShaman81, &gt;&gt; .\items\materia\class0006\Shaman81.dbr</v>
      </c>
      <c r="T83" t="str">
        <f t="shared" si="24"/>
        <v>echo augmentSkillLevel1,5, &gt;&gt; .\items\materia\class0006\Shaman81.dbr</v>
      </c>
      <c r="U83" t="str">
        <f t="shared" si="24"/>
        <v>echo augmentSkillName1,records/skills/playerclass06/weaponpool01.dbr, &gt;&gt; .\items\materia\class0006\Shaman81.dbr</v>
      </c>
      <c r="V83" s="5" t="s">
        <v>36</v>
      </c>
      <c r="W83" t="str">
        <f t="shared" si="30"/>
        <v>echo lootName81,DAIL/items/materia/class0006/Shaman81.dbr, &gt;&gt; .\items\loottables\dailoneskill0006.dbr</v>
      </c>
      <c r="X83" t="str">
        <f t="shared" si="30"/>
        <v>echo lootWeight81,1, &gt;&gt; .\items\loottables\dailoneskill0006.dbr</v>
      </c>
      <c r="Y83" s="5" t="s">
        <v>36</v>
      </c>
      <c r="Z83" t="str">
        <f t="shared" si="31"/>
        <v xml:space="preserve"> dailCompDescShaman81=^pShaman's Gift of DAIL</v>
      </c>
      <c r="AA83" t="str">
        <f t="shared" si="39"/>
        <v>dailCompTextShaman81=^oThis feels warm to the touch, almost familiar ^w(This component only fits into the Medal Slot)</v>
      </c>
      <c r="AB83" s="5" t="s">
        <v>36</v>
      </c>
      <c r="AH83">
        <f t="shared" si="41"/>
        <v>78</v>
      </c>
      <c r="AI83">
        <f t="shared" si="35"/>
        <v>31</v>
      </c>
      <c r="AJ83">
        <f t="shared" si="40"/>
        <v>5</v>
      </c>
    </row>
    <row r="84" spans="1:36" x14ac:dyDescent="0.25">
      <c r="A84" s="5" t="s">
        <v>39</v>
      </c>
      <c r="B84" s="5" t="s">
        <v>30</v>
      </c>
      <c r="C84" s="5" t="str">
        <f t="shared" si="25"/>
        <v>description,dailCompDescShaman82,</v>
      </c>
      <c r="D84" s="5" t="str">
        <f t="shared" si="26"/>
        <v>itemText,dailCompTextShaman82,</v>
      </c>
      <c r="E84" s="5" t="str">
        <f t="shared" si="36"/>
        <v>augmentSkillLevel1,5,</v>
      </c>
      <c r="F84" s="5" t="str">
        <f t="shared" si="37"/>
        <v>augmentSkillName1,records/skills/playerclass06/weaponpool02.dbr,</v>
      </c>
      <c r="G84" s="7">
        <f t="shared" si="32"/>
        <v>82</v>
      </c>
      <c r="H84" s="8" t="str">
        <f t="shared" si="33"/>
        <v>Shaman</v>
      </c>
      <c r="I84" s="3" t="s">
        <v>349</v>
      </c>
      <c r="J84" s="8" t="str">
        <f t="shared" si="34"/>
        <v>class0006</v>
      </c>
      <c r="K84" s="8" t="str">
        <f t="shared" si="34"/>
        <v>dailoneskill0006</v>
      </c>
      <c r="L84" s="5" t="str">
        <f t="shared" si="27"/>
        <v>lootName82,DAIL/items/materia/class0006/Shaman82.dbr,</v>
      </c>
      <c r="M84" s="5" t="str">
        <f t="shared" si="28"/>
        <v>lootWeight82,1,</v>
      </c>
      <c r="N84" t="str">
        <f t="shared" si="29"/>
        <v>5</v>
      </c>
      <c r="O84" t="str">
        <f t="shared" si="38"/>
        <v>copy .\dail_base3.dbr .\items\materia\class0006\Shaman82.dbr /y</v>
      </c>
      <c r="P84" t="str">
        <f t="shared" si="24"/>
        <v>echo relicBitmap,items/craftingparts/components/component_a52_bristlyfur_b.tex, &gt;&gt; .\items\materia\class0006\Shaman82.dbr</v>
      </c>
      <c r="Q84" t="str">
        <f t="shared" si="24"/>
        <v>echo itemCost,500000, &gt;&gt; .\items\materia\class0006\Shaman82.dbr</v>
      </c>
      <c r="R84" t="str">
        <f t="shared" si="24"/>
        <v>echo description,dailCompDescShaman82, &gt;&gt; .\items\materia\class0006\Shaman82.dbr</v>
      </c>
      <c r="S84" t="str">
        <f t="shared" si="24"/>
        <v>echo itemText,dailCompTextShaman82, &gt;&gt; .\items\materia\class0006\Shaman82.dbr</v>
      </c>
      <c r="T84" t="str">
        <f t="shared" si="24"/>
        <v>echo augmentSkillLevel1,5, &gt;&gt; .\items\materia\class0006\Shaman82.dbr</v>
      </c>
      <c r="U84" t="str">
        <f t="shared" si="24"/>
        <v>echo augmentSkillName1,records/skills/playerclass06/weaponpool02.dbr, &gt;&gt; .\items\materia\class0006\Shaman82.dbr</v>
      </c>
      <c r="V84" s="5" t="s">
        <v>36</v>
      </c>
      <c r="W84" t="str">
        <f t="shared" si="30"/>
        <v>echo lootName82,DAIL/items/materia/class0006/Shaman82.dbr, &gt;&gt; .\items\loottables\dailoneskill0006.dbr</v>
      </c>
      <c r="X84" t="str">
        <f t="shared" si="30"/>
        <v>echo lootWeight82,1, &gt;&gt; .\items\loottables\dailoneskill0006.dbr</v>
      </c>
      <c r="Y84" s="5" t="s">
        <v>36</v>
      </c>
      <c r="Z84" t="str">
        <f t="shared" si="31"/>
        <v xml:space="preserve"> dailCompDescShaman82=^pShaman's Gift of DAIL</v>
      </c>
      <c r="AA84" t="str">
        <f t="shared" si="39"/>
        <v>dailCompTextShaman82=^oThis feels warm to the touch, almost familiar ^w(This component only fits into the Medal Slot)</v>
      </c>
      <c r="AB84" s="5" t="s">
        <v>36</v>
      </c>
      <c r="AH84">
        <f t="shared" si="41"/>
        <v>79</v>
      </c>
      <c r="AI84">
        <f t="shared" si="35"/>
        <v>31</v>
      </c>
      <c r="AJ84">
        <f t="shared" si="40"/>
        <v>5</v>
      </c>
    </row>
    <row r="85" spans="1:36" x14ac:dyDescent="0.25">
      <c r="A85" s="5" t="s">
        <v>39</v>
      </c>
      <c r="B85" s="5" t="s">
        <v>30</v>
      </c>
      <c r="C85" s="5" t="str">
        <f t="shared" si="25"/>
        <v>description,dailCompDescShaman83,</v>
      </c>
      <c r="D85" s="5" t="str">
        <f t="shared" si="26"/>
        <v>itemText,dailCompTextShaman83,</v>
      </c>
      <c r="E85" s="5" t="str">
        <f t="shared" si="36"/>
        <v>augmentSkillLevel1,5,</v>
      </c>
      <c r="F85" s="5" t="str">
        <f t="shared" si="37"/>
        <v>augmentSkillName1,records/skills/playerclass06/stormtotem01.dbr,</v>
      </c>
      <c r="G85" s="7">
        <f t="shared" si="32"/>
        <v>83</v>
      </c>
      <c r="H85" s="8" t="str">
        <f t="shared" si="33"/>
        <v>Shaman</v>
      </c>
      <c r="I85" s="3" t="s">
        <v>147</v>
      </c>
      <c r="J85" s="8" t="str">
        <f t="shared" ref="J85:K100" si="42">J84</f>
        <v>class0006</v>
      </c>
      <c r="K85" s="8" t="str">
        <f t="shared" si="42"/>
        <v>dailoneskill0006</v>
      </c>
      <c r="L85" s="5" t="str">
        <f t="shared" si="27"/>
        <v>lootName83,DAIL/items/materia/class0006/Shaman83.dbr,</v>
      </c>
      <c r="M85" s="5" t="str">
        <f t="shared" si="28"/>
        <v>lootWeight83,1,</v>
      </c>
      <c r="N85" t="str">
        <f t="shared" si="29"/>
        <v>5</v>
      </c>
      <c r="O85" t="str">
        <f t="shared" si="38"/>
        <v>copy .\dail_base3.dbr .\items\materia\class0006\Shaman83.dbr /y</v>
      </c>
      <c r="P85" t="str">
        <f t="shared" si="24"/>
        <v>echo relicBitmap,items/craftingparts/components/component_a52_bristlyfur_b.tex, &gt;&gt; .\items\materia\class0006\Shaman83.dbr</v>
      </c>
      <c r="Q85" t="str">
        <f t="shared" si="24"/>
        <v>echo itemCost,500000, &gt;&gt; .\items\materia\class0006\Shaman83.dbr</v>
      </c>
      <c r="R85" t="str">
        <f t="shared" si="24"/>
        <v>echo description,dailCompDescShaman83, &gt;&gt; .\items\materia\class0006\Shaman83.dbr</v>
      </c>
      <c r="S85" t="str">
        <f t="shared" si="24"/>
        <v>echo itemText,dailCompTextShaman83, &gt;&gt; .\items\materia\class0006\Shaman83.dbr</v>
      </c>
      <c r="T85" t="str">
        <f t="shared" si="24"/>
        <v>echo augmentSkillLevel1,5, &gt;&gt; .\items\materia\class0006\Shaman83.dbr</v>
      </c>
      <c r="U85" t="str">
        <f t="shared" si="24"/>
        <v>echo augmentSkillName1,records/skills/playerclass06/stormtotem01.dbr, &gt;&gt; .\items\materia\class0006\Shaman83.dbr</v>
      </c>
      <c r="V85" s="5" t="s">
        <v>36</v>
      </c>
      <c r="W85" t="str">
        <f t="shared" si="30"/>
        <v>echo lootName83,DAIL/items/materia/class0006/Shaman83.dbr, &gt;&gt; .\items\loottables\dailoneskill0006.dbr</v>
      </c>
      <c r="X85" t="str">
        <f t="shared" si="30"/>
        <v>echo lootWeight83,1, &gt;&gt; .\items\loottables\dailoneskill0006.dbr</v>
      </c>
      <c r="Y85" s="5" t="s">
        <v>36</v>
      </c>
      <c r="Z85" t="str">
        <f t="shared" si="31"/>
        <v xml:space="preserve"> dailCompDescShaman83=^pShaman's Gift of DAIL</v>
      </c>
      <c r="AA85" t="str">
        <f t="shared" si="39"/>
        <v>dailCompTextShaman83=^oThis feels warm to the touch, almost familiar ^w(This component only fits into the Medal Slot)</v>
      </c>
      <c r="AB85" s="5" t="s">
        <v>36</v>
      </c>
      <c r="AH85">
        <f t="shared" si="41"/>
        <v>80</v>
      </c>
      <c r="AI85">
        <f t="shared" si="35"/>
        <v>31</v>
      </c>
      <c r="AJ85">
        <f t="shared" si="40"/>
        <v>5</v>
      </c>
    </row>
    <row r="86" spans="1:36" x14ac:dyDescent="0.25">
      <c r="A86" s="5" t="s">
        <v>39</v>
      </c>
      <c r="B86" s="5" t="s">
        <v>30</v>
      </c>
      <c r="C86" s="5" t="str">
        <f t="shared" si="25"/>
        <v>description,dailCompDescShaman84,</v>
      </c>
      <c r="D86" s="5" t="str">
        <f t="shared" si="26"/>
        <v>itemText,dailCompTextShaman84,</v>
      </c>
      <c r="E86" s="5" t="str">
        <f t="shared" si="36"/>
        <v>augmentSkillLevel1,5,</v>
      </c>
      <c r="F86" s="5" t="str">
        <f t="shared" si="37"/>
        <v>augmentSkillName1,records/skills/playerclass06/stormtotem01b_petmodifier.dbr,</v>
      </c>
      <c r="G86" s="7">
        <f t="shared" si="32"/>
        <v>84</v>
      </c>
      <c r="H86" s="8" t="str">
        <f t="shared" si="33"/>
        <v>Shaman</v>
      </c>
      <c r="I86" s="3" t="s">
        <v>350</v>
      </c>
      <c r="J86" s="8" t="str">
        <f t="shared" si="42"/>
        <v>class0006</v>
      </c>
      <c r="K86" s="8" t="str">
        <f t="shared" si="42"/>
        <v>dailoneskill0006</v>
      </c>
      <c r="L86" s="5" t="str">
        <f t="shared" si="27"/>
        <v>lootName84,DAIL/items/materia/class0006/Shaman84.dbr,</v>
      </c>
      <c r="M86" s="5" t="str">
        <f t="shared" si="28"/>
        <v>lootWeight84,1,</v>
      </c>
      <c r="N86" t="str">
        <f t="shared" si="29"/>
        <v>5</v>
      </c>
      <c r="O86" t="str">
        <f t="shared" si="38"/>
        <v>copy .\dail_base3.dbr .\items\materia\class0006\Shaman84.dbr /y</v>
      </c>
      <c r="P86" t="str">
        <f t="shared" si="24"/>
        <v>echo relicBitmap,items/craftingparts/components/component_a52_bristlyfur_b.tex, &gt;&gt; .\items\materia\class0006\Shaman84.dbr</v>
      </c>
      <c r="Q86" t="str">
        <f t="shared" si="24"/>
        <v>echo itemCost,500000, &gt;&gt; .\items\materia\class0006\Shaman84.dbr</v>
      </c>
      <c r="R86" t="str">
        <f t="shared" si="24"/>
        <v>echo description,dailCompDescShaman84, &gt;&gt; .\items\materia\class0006\Shaman84.dbr</v>
      </c>
      <c r="S86" t="str">
        <f t="shared" si="24"/>
        <v>echo itemText,dailCompTextShaman84, &gt;&gt; .\items\materia\class0006\Shaman84.dbr</v>
      </c>
      <c r="T86" t="str">
        <f t="shared" si="24"/>
        <v>echo augmentSkillLevel1,5, &gt;&gt; .\items\materia\class0006\Shaman84.dbr</v>
      </c>
      <c r="U86" t="str">
        <f t="shared" si="24"/>
        <v>echo augmentSkillName1,records/skills/playerclass06/stormtotem01b_petmodifier.dbr, &gt;&gt; .\items\materia\class0006\Shaman84.dbr</v>
      </c>
      <c r="V86" s="5" t="s">
        <v>36</v>
      </c>
      <c r="W86" t="str">
        <f t="shared" si="30"/>
        <v>echo lootName84,DAIL/items/materia/class0006/Shaman84.dbr, &gt;&gt; .\items\loottables\dailoneskill0006.dbr</v>
      </c>
      <c r="X86" t="str">
        <f t="shared" si="30"/>
        <v>echo lootWeight84,1, &gt;&gt; .\items\loottables\dailoneskill0006.dbr</v>
      </c>
      <c r="Y86" s="5" t="s">
        <v>36</v>
      </c>
      <c r="Z86" t="str">
        <f t="shared" si="31"/>
        <v xml:space="preserve"> dailCompDescShaman84=^pShaman's Gift of DAIL</v>
      </c>
      <c r="AA86" t="str">
        <f t="shared" si="39"/>
        <v>dailCompTextShaman84=^oThis feels warm to the touch, almost familiar ^w(This component only fits into the Medal Slot)</v>
      </c>
      <c r="AB86" s="5" t="s">
        <v>36</v>
      </c>
      <c r="AH86">
        <f t="shared" si="41"/>
        <v>81</v>
      </c>
      <c r="AI86">
        <f t="shared" si="35"/>
        <v>44</v>
      </c>
      <c r="AJ86">
        <f t="shared" si="40"/>
        <v>5</v>
      </c>
    </row>
    <row r="87" spans="1:36" x14ac:dyDescent="0.25">
      <c r="A87" s="5" t="s">
        <v>39</v>
      </c>
      <c r="B87" s="5" t="s">
        <v>30</v>
      </c>
      <c r="C87" s="5" t="str">
        <f t="shared" si="25"/>
        <v>description,dailCompDescShaman85,</v>
      </c>
      <c r="D87" s="5" t="str">
        <f t="shared" si="26"/>
        <v>itemText,dailCompTextShaman85,</v>
      </c>
      <c r="E87" s="5" t="str">
        <f t="shared" si="36"/>
        <v>augmentSkillLevel1,5,</v>
      </c>
      <c r="F87" s="5" t="str">
        <f t="shared" si="37"/>
        <v>augmentSkillName1,records/skills/playerclass06/savagery1b.dbr,</v>
      </c>
      <c r="G87" s="7">
        <f t="shared" si="32"/>
        <v>85</v>
      </c>
      <c r="H87" s="8" t="str">
        <f t="shared" si="33"/>
        <v>Shaman</v>
      </c>
      <c r="I87" s="3" t="s">
        <v>351</v>
      </c>
      <c r="J87" s="8" t="str">
        <f t="shared" si="42"/>
        <v>class0006</v>
      </c>
      <c r="K87" s="8" t="str">
        <f t="shared" si="42"/>
        <v>dailoneskill0006</v>
      </c>
      <c r="L87" s="5" t="str">
        <f t="shared" si="27"/>
        <v>lootName85,DAIL/items/materia/class0006/Shaman85.dbr,</v>
      </c>
      <c r="M87" s="5" t="str">
        <f t="shared" si="28"/>
        <v>lootWeight85,1,</v>
      </c>
      <c r="N87" t="str">
        <f t="shared" si="29"/>
        <v>5</v>
      </c>
      <c r="O87" t="str">
        <f t="shared" si="38"/>
        <v>copy .\dail_base3.dbr .\items\materia\class0006\Shaman85.dbr /y</v>
      </c>
      <c r="P87" t="str">
        <f t="shared" si="24"/>
        <v>echo relicBitmap,items/craftingparts/components/component_a52_bristlyfur_b.tex, &gt;&gt; .\items\materia\class0006\Shaman85.dbr</v>
      </c>
      <c r="Q87" t="str">
        <f t="shared" si="24"/>
        <v>echo itemCost,500000, &gt;&gt; .\items\materia\class0006\Shaman85.dbr</v>
      </c>
      <c r="R87" t="str">
        <f t="shared" si="24"/>
        <v>echo description,dailCompDescShaman85, &gt;&gt; .\items\materia\class0006\Shaman85.dbr</v>
      </c>
      <c r="S87" t="str">
        <f t="shared" si="24"/>
        <v>echo itemText,dailCompTextShaman85, &gt;&gt; .\items\materia\class0006\Shaman85.dbr</v>
      </c>
      <c r="T87" t="str">
        <f t="shared" si="24"/>
        <v>echo augmentSkillLevel1,5, &gt;&gt; .\items\materia\class0006\Shaman85.dbr</v>
      </c>
      <c r="U87" t="str">
        <f t="shared" si="24"/>
        <v>echo augmentSkillName1,records/skills/playerclass06/savagery1b.dbr, &gt;&gt; .\items\materia\class0006\Shaman85.dbr</v>
      </c>
      <c r="V87" s="5" t="s">
        <v>36</v>
      </c>
      <c r="W87" t="str">
        <f t="shared" si="30"/>
        <v>echo lootName85,DAIL/items/materia/class0006/Shaman85.dbr, &gt;&gt; .\items\loottables\dailoneskill0006.dbr</v>
      </c>
      <c r="X87" t="str">
        <f t="shared" si="30"/>
        <v>echo lootWeight85,1, &gt;&gt; .\items\loottables\dailoneskill0006.dbr</v>
      </c>
      <c r="Y87" s="5" t="s">
        <v>36</v>
      </c>
      <c r="Z87" t="str">
        <f t="shared" si="31"/>
        <v xml:space="preserve"> dailCompDescShaman85=^pShaman's Gift of DAIL</v>
      </c>
      <c r="AA87" t="str">
        <f t="shared" si="39"/>
        <v>dailCompTextShaman85=^oThis feels warm to the touch, almost familiar ^w(This component only fits into the Medal Slot)</v>
      </c>
      <c r="AB87" s="5" t="s">
        <v>36</v>
      </c>
      <c r="AH87">
        <f t="shared" si="41"/>
        <v>82</v>
      </c>
      <c r="AI87">
        <f t="shared" si="35"/>
        <v>29</v>
      </c>
      <c r="AJ87">
        <f t="shared" si="40"/>
        <v>5</v>
      </c>
    </row>
    <row r="88" spans="1:36" x14ac:dyDescent="0.25">
      <c r="A88" s="5" t="s">
        <v>39</v>
      </c>
      <c r="B88" s="5" t="s">
        <v>30</v>
      </c>
      <c r="C88" s="5" t="str">
        <f t="shared" si="25"/>
        <v>description,dailCompDescShaman86,</v>
      </c>
      <c r="D88" s="5" t="str">
        <f t="shared" si="26"/>
        <v>itemText,dailCompTextShaman86,</v>
      </c>
      <c r="E88" s="5" t="str">
        <f t="shared" si="36"/>
        <v>augmentSkillLevel1,5,</v>
      </c>
      <c r="F88" s="5" t="str">
        <f t="shared" si="37"/>
        <v>augmentSkillName1,records/skills/playerclass06/graspingvines1.dbr,</v>
      </c>
      <c r="G88" s="7">
        <f t="shared" si="32"/>
        <v>86</v>
      </c>
      <c r="H88" s="8" t="str">
        <f t="shared" si="33"/>
        <v>Shaman</v>
      </c>
      <c r="I88" s="3" t="s">
        <v>140</v>
      </c>
      <c r="J88" s="8" t="str">
        <f t="shared" si="42"/>
        <v>class0006</v>
      </c>
      <c r="K88" s="8" t="str">
        <f t="shared" si="42"/>
        <v>dailoneskill0006</v>
      </c>
      <c r="L88" s="5" t="str">
        <f t="shared" si="27"/>
        <v>lootName86,DAIL/items/materia/class0006/Shaman86.dbr,</v>
      </c>
      <c r="M88" s="5" t="str">
        <f t="shared" si="28"/>
        <v>lootWeight86,1,</v>
      </c>
      <c r="N88" t="str">
        <f t="shared" si="29"/>
        <v>5</v>
      </c>
      <c r="O88" t="str">
        <f t="shared" si="38"/>
        <v>copy .\dail_base3.dbr .\items\materia\class0006\Shaman86.dbr /y</v>
      </c>
      <c r="P88" t="str">
        <f t="shared" si="24"/>
        <v>echo relicBitmap,items/craftingparts/components/component_a52_bristlyfur_b.tex, &gt;&gt; .\items\materia\class0006\Shaman86.dbr</v>
      </c>
      <c r="Q88" t="str">
        <f t="shared" si="24"/>
        <v>echo itemCost,500000, &gt;&gt; .\items\materia\class0006\Shaman86.dbr</v>
      </c>
      <c r="R88" t="str">
        <f t="shared" si="24"/>
        <v>echo description,dailCompDescShaman86, &gt;&gt; .\items\materia\class0006\Shaman86.dbr</v>
      </c>
      <c r="S88" t="str">
        <f t="shared" si="24"/>
        <v>echo itemText,dailCompTextShaman86, &gt;&gt; .\items\materia\class0006\Shaman86.dbr</v>
      </c>
      <c r="T88" t="str">
        <f t="shared" si="24"/>
        <v>echo augmentSkillLevel1,5, &gt;&gt; .\items\materia\class0006\Shaman86.dbr</v>
      </c>
      <c r="U88" t="str">
        <f t="shared" si="24"/>
        <v>echo augmentSkillName1,records/skills/playerclass06/graspingvines1.dbr, &gt;&gt; .\items\materia\class0006\Shaman86.dbr</v>
      </c>
      <c r="V88" s="5" t="s">
        <v>36</v>
      </c>
      <c r="W88" t="str">
        <f t="shared" si="30"/>
        <v>echo lootName86,DAIL/items/materia/class0006/Shaman86.dbr, &gt;&gt; .\items\loottables\dailoneskill0006.dbr</v>
      </c>
      <c r="X88" t="str">
        <f t="shared" si="30"/>
        <v>echo lootWeight86,1, &gt;&gt; .\items\loottables\dailoneskill0006.dbr</v>
      </c>
      <c r="Y88" s="5" t="s">
        <v>36</v>
      </c>
      <c r="Z88" t="str">
        <f t="shared" si="31"/>
        <v xml:space="preserve"> dailCompDescShaman86=^pShaman's Gift of DAIL</v>
      </c>
      <c r="AA88" t="str">
        <f t="shared" si="39"/>
        <v>dailCompTextShaman86=^oThis feels warm to the touch, almost familiar ^w(This component only fits into the Medal Slot)</v>
      </c>
      <c r="AB88" s="5" t="s">
        <v>36</v>
      </c>
      <c r="AH88">
        <f t="shared" si="41"/>
        <v>83</v>
      </c>
      <c r="AI88">
        <f t="shared" si="35"/>
        <v>33</v>
      </c>
      <c r="AJ88">
        <f t="shared" si="40"/>
        <v>5</v>
      </c>
    </row>
    <row r="89" spans="1:36" x14ac:dyDescent="0.25">
      <c r="A89" s="5" t="s">
        <v>39</v>
      </c>
      <c r="B89" s="5" t="s">
        <v>30</v>
      </c>
      <c r="C89" s="5" t="str">
        <f t="shared" si="25"/>
        <v>description,dailCompDescShaman87,</v>
      </c>
      <c r="D89" s="5" t="str">
        <f t="shared" si="26"/>
        <v>itemText,dailCompTextShaman87,</v>
      </c>
      <c r="E89" s="5" t="str">
        <f t="shared" si="36"/>
        <v>augmentSkillLevel1,5,</v>
      </c>
      <c r="F89" s="5" t="str">
        <f t="shared" si="37"/>
        <v>augmentSkillName1,records/skills/playerclass06/graspingvines2.dbr,</v>
      </c>
      <c r="G89" s="7">
        <f t="shared" si="32"/>
        <v>87</v>
      </c>
      <c r="H89" s="8" t="str">
        <f t="shared" si="33"/>
        <v>Shaman</v>
      </c>
      <c r="I89" s="3" t="s">
        <v>352</v>
      </c>
      <c r="J89" s="8" t="str">
        <f t="shared" si="42"/>
        <v>class0006</v>
      </c>
      <c r="K89" s="8" t="str">
        <f t="shared" si="42"/>
        <v>dailoneskill0006</v>
      </c>
      <c r="L89" s="5" t="str">
        <f t="shared" si="27"/>
        <v>lootName87,DAIL/items/materia/class0006/Shaman87.dbr,</v>
      </c>
      <c r="M89" s="5" t="str">
        <f t="shared" si="28"/>
        <v>lootWeight87,1,</v>
      </c>
      <c r="N89" t="str">
        <f t="shared" si="29"/>
        <v>5</v>
      </c>
      <c r="O89" t="str">
        <f t="shared" si="38"/>
        <v>copy .\dail_base3.dbr .\items\materia\class0006\Shaman87.dbr /y</v>
      </c>
      <c r="P89" t="str">
        <f t="shared" si="24"/>
        <v>echo relicBitmap,items/craftingparts/components/component_a52_bristlyfur_b.tex, &gt;&gt; .\items\materia\class0006\Shaman87.dbr</v>
      </c>
      <c r="Q89" t="str">
        <f t="shared" si="24"/>
        <v>echo itemCost,500000, &gt;&gt; .\items\materia\class0006\Shaman87.dbr</v>
      </c>
      <c r="R89" t="str">
        <f t="shared" si="24"/>
        <v>echo description,dailCompDescShaman87, &gt;&gt; .\items\materia\class0006\Shaman87.dbr</v>
      </c>
      <c r="S89" t="str">
        <f t="shared" si="24"/>
        <v>echo itemText,dailCompTextShaman87, &gt;&gt; .\items\materia\class0006\Shaman87.dbr</v>
      </c>
      <c r="T89" t="str">
        <f t="shared" si="24"/>
        <v>echo augmentSkillLevel1,5, &gt;&gt; .\items\materia\class0006\Shaman87.dbr</v>
      </c>
      <c r="U89" t="str">
        <f t="shared" si="24"/>
        <v>echo augmentSkillName1,records/skills/playerclass06/graspingvines2.dbr, &gt;&gt; .\items\materia\class0006\Shaman87.dbr</v>
      </c>
      <c r="V89" s="5" t="s">
        <v>36</v>
      </c>
      <c r="W89" t="str">
        <f t="shared" si="30"/>
        <v>echo lootName87,DAIL/items/materia/class0006/Shaman87.dbr, &gt;&gt; .\items\loottables\dailoneskill0006.dbr</v>
      </c>
      <c r="X89" t="str">
        <f t="shared" si="30"/>
        <v>echo lootWeight87,1, &gt;&gt; .\items\loottables\dailoneskill0006.dbr</v>
      </c>
      <c r="Y89" s="5" t="s">
        <v>36</v>
      </c>
      <c r="Z89" t="str">
        <f t="shared" si="31"/>
        <v xml:space="preserve"> dailCompDescShaman87=^pShaman's Gift of DAIL</v>
      </c>
      <c r="AA89" t="str">
        <f t="shared" si="39"/>
        <v>dailCompTextShaman87=^oThis feels warm to the touch, almost familiar ^w(This component only fits into the Medal Slot)</v>
      </c>
      <c r="AB89" s="5" t="s">
        <v>36</v>
      </c>
      <c r="AH89">
        <f t="shared" si="41"/>
        <v>84</v>
      </c>
      <c r="AI89">
        <f t="shared" si="35"/>
        <v>33</v>
      </c>
      <c r="AJ89">
        <f t="shared" si="40"/>
        <v>5</v>
      </c>
    </row>
    <row r="90" spans="1:36" x14ac:dyDescent="0.25">
      <c r="A90" s="5" t="s">
        <v>39</v>
      </c>
      <c r="B90" s="5" t="s">
        <v>30</v>
      </c>
      <c r="C90" s="5" t="str">
        <f t="shared" si="25"/>
        <v>description,dailCompDescShaman88,</v>
      </c>
      <c r="D90" s="5" t="str">
        <f t="shared" si="26"/>
        <v>itemText,dailCompTextShaman88,</v>
      </c>
      <c r="E90" s="5" t="str">
        <f t="shared" si="36"/>
        <v>augmentSkillLevel1,5,</v>
      </c>
      <c r="F90" s="5" t="str">
        <f t="shared" si="37"/>
        <v>augmentSkillName1,records/skills/playerclass06/savagery2.dbr,</v>
      </c>
      <c r="G90" s="7">
        <f t="shared" si="32"/>
        <v>88</v>
      </c>
      <c r="H90" s="8" t="str">
        <f t="shared" si="33"/>
        <v>Shaman</v>
      </c>
      <c r="I90" s="3" t="s">
        <v>353</v>
      </c>
      <c r="J90" s="8" t="str">
        <f t="shared" si="42"/>
        <v>class0006</v>
      </c>
      <c r="K90" s="8" t="str">
        <f t="shared" si="42"/>
        <v>dailoneskill0006</v>
      </c>
      <c r="L90" s="5" t="str">
        <f t="shared" si="27"/>
        <v>lootName88,DAIL/items/materia/class0006/Shaman88.dbr,</v>
      </c>
      <c r="M90" s="5" t="str">
        <f t="shared" si="28"/>
        <v>lootWeight88,1,</v>
      </c>
      <c r="N90" t="str">
        <f t="shared" si="29"/>
        <v>5</v>
      </c>
      <c r="O90" t="str">
        <f t="shared" si="38"/>
        <v>copy .\dail_base3.dbr .\items\materia\class0006\Shaman88.dbr /y</v>
      </c>
      <c r="P90" t="str">
        <f t="shared" si="24"/>
        <v>echo relicBitmap,items/craftingparts/components/component_a52_bristlyfur_b.tex, &gt;&gt; .\items\materia\class0006\Shaman88.dbr</v>
      </c>
      <c r="Q90" t="str">
        <f t="shared" si="24"/>
        <v>echo itemCost,500000, &gt;&gt; .\items\materia\class0006\Shaman88.dbr</v>
      </c>
      <c r="R90" t="str">
        <f t="shared" si="24"/>
        <v>echo description,dailCompDescShaman88, &gt;&gt; .\items\materia\class0006\Shaman88.dbr</v>
      </c>
      <c r="S90" t="str">
        <f t="shared" si="24"/>
        <v>echo itemText,dailCompTextShaman88, &gt;&gt; .\items\materia\class0006\Shaman88.dbr</v>
      </c>
      <c r="T90" t="str">
        <f t="shared" si="24"/>
        <v>echo augmentSkillLevel1,5, &gt;&gt; .\items\materia\class0006\Shaman88.dbr</v>
      </c>
      <c r="U90" t="str">
        <f t="shared" si="24"/>
        <v>echo augmentSkillName1,records/skills/playerclass06/savagery2.dbr, &gt;&gt; .\items\materia\class0006\Shaman88.dbr</v>
      </c>
      <c r="V90" s="5" t="s">
        <v>36</v>
      </c>
      <c r="W90" t="str">
        <f t="shared" si="30"/>
        <v>echo lootName88,DAIL/items/materia/class0006/Shaman88.dbr, &gt;&gt; .\items\loottables\dailoneskill0006.dbr</v>
      </c>
      <c r="X90" t="str">
        <f t="shared" si="30"/>
        <v>echo lootWeight88,1, &gt;&gt; .\items\loottables\dailoneskill0006.dbr</v>
      </c>
      <c r="Y90" s="5" t="s">
        <v>36</v>
      </c>
      <c r="Z90" t="str">
        <f t="shared" si="31"/>
        <v xml:space="preserve"> dailCompDescShaman88=^pShaman's Gift of DAIL</v>
      </c>
      <c r="AA90" t="str">
        <f t="shared" si="39"/>
        <v>dailCompTextShaman88=^oThis feels warm to the touch, almost familiar ^w(This component only fits into the Medal Slot)</v>
      </c>
      <c r="AB90" s="5" t="s">
        <v>36</v>
      </c>
      <c r="AH90">
        <f t="shared" si="41"/>
        <v>85</v>
      </c>
      <c r="AI90">
        <f t="shared" si="35"/>
        <v>28</v>
      </c>
      <c r="AJ90">
        <f t="shared" si="40"/>
        <v>5</v>
      </c>
    </row>
    <row r="91" spans="1:36" x14ac:dyDescent="0.25">
      <c r="A91" s="5" t="s">
        <v>39</v>
      </c>
      <c r="B91" s="5" t="s">
        <v>30</v>
      </c>
      <c r="C91" s="5" t="str">
        <f t="shared" si="25"/>
        <v>description,dailCompDescShaman89,</v>
      </c>
      <c r="D91" s="5" t="str">
        <f t="shared" si="26"/>
        <v>itemText,dailCompTextShaman89,</v>
      </c>
      <c r="E91" s="5" t="str">
        <f t="shared" si="36"/>
        <v>augmentSkillLevel1,5,</v>
      </c>
      <c r="F91" s="5" t="str">
        <f t="shared" si="37"/>
        <v>augmentSkillName1,records/skills/playerclass06/savagery3.dbr,</v>
      </c>
      <c r="G91" s="7">
        <f t="shared" si="32"/>
        <v>89</v>
      </c>
      <c r="H91" s="8" t="str">
        <f t="shared" si="33"/>
        <v>Shaman</v>
      </c>
      <c r="I91" s="3" t="s">
        <v>354</v>
      </c>
      <c r="J91" s="8" t="str">
        <f t="shared" si="42"/>
        <v>class0006</v>
      </c>
      <c r="K91" s="8" t="str">
        <f t="shared" si="42"/>
        <v>dailoneskill0006</v>
      </c>
      <c r="L91" s="5" t="str">
        <f t="shared" si="27"/>
        <v>lootName89,DAIL/items/materia/class0006/Shaman89.dbr,</v>
      </c>
      <c r="M91" s="5" t="str">
        <f t="shared" si="28"/>
        <v>lootWeight89,1,</v>
      </c>
      <c r="N91" t="str">
        <f t="shared" si="29"/>
        <v>5</v>
      </c>
      <c r="O91" t="str">
        <f t="shared" si="38"/>
        <v>copy .\dail_base3.dbr .\items\materia\class0006\Shaman89.dbr /y</v>
      </c>
      <c r="P91" t="str">
        <f t="shared" si="24"/>
        <v>echo relicBitmap,items/craftingparts/components/component_a52_bristlyfur_b.tex, &gt;&gt; .\items\materia\class0006\Shaman89.dbr</v>
      </c>
      <c r="Q91" t="str">
        <f t="shared" si="24"/>
        <v>echo itemCost,500000, &gt;&gt; .\items\materia\class0006\Shaman89.dbr</v>
      </c>
      <c r="R91" t="str">
        <f t="shared" si="24"/>
        <v>echo description,dailCompDescShaman89, &gt;&gt; .\items\materia\class0006\Shaman89.dbr</v>
      </c>
      <c r="S91" t="str">
        <f t="shared" si="24"/>
        <v>echo itemText,dailCompTextShaman89, &gt;&gt; .\items\materia\class0006\Shaman89.dbr</v>
      </c>
      <c r="T91" t="str">
        <f t="shared" si="24"/>
        <v>echo augmentSkillLevel1,5, &gt;&gt; .\items\materia\class0006\Shaman89.dbr</v>
      </c>
      <c r="U91" t="str">
        <f t="shared" si="24"/>
        <v>echo augmentSkillName1,records/skills/playerclass06/savagery3.dbr, &gt;&gt; .\items\materia\class0006\Shaman89.dbr</v>
      </c>
      <c r="V91" s="5" t="s">
        <v>36</v>
      </c>
      <c r="W91" t="str">
        <f t="shared" si="30"/>
        <v>echo lootName89,DAIL/items/materia/class0006/Shaman89.dbr, &gt;&gt; .\items\loottables\dailoneskill0006.dbr</v>
      </c>
      <c r="X91" t="str">
        <f t="shared" si="30"/>
        <v>echo lootWeight89,1, &gt;&gt; .\items\loottables\dailoneskill0006.dbr</v>
      </c>
      <c r="Y91" s="5" t="s">
        <v>36</v>
      </c>
      <c r="Z91" t="str">
        <f t="shared" si="31"/>
        <v xml:space="preserve"> dailCompDescShaman89=^pShaman's Gift of DAIL</v>
      </c>
      <c r="AA91" t="str">
        <f t="shared" si="39"/>
        <v>dailCompTextShaman89=^oThis feels warm to the touch, almost familiar ^w(This component only fits into the Medal Slot)</v>
      </c>
      <c r="AB91" s="5" t="s">
        <v>36</v>
      </c>
      <c r="AH91">
        <f t="shared" si="41"/>
        <v>86</v>
      </c>
      <c r="AI91">
        <f t="shared" si="35"/>
        <v>28</v>
      </c>
      <c r="AJ91">
        <f t="shared" si="40"/>
        <v>5</v>
      </c>
    </row>
    <row r="92" spans="1:36" x14ac:dyDescent="0.25">
      <c r="A92" s="5" t="s">
        <v>39</v>
      </c>
      <c r="B92" s="5" t="s">
        <v>30</v>
      </c>
      <c r="C92" s="5" t="str">
        <f t="shared" si="25"/>
        <v>description,dailCompDescShaman90,</v>
      </c>
      <c r="D92" s="5" t="str">
        <f t="shared" si="26"/>
        <v>itemText,dailCompTextShaman90,</v>
      </c>
      <c r="E92" s="5" t="str">
        <f t="shared" si="36"/>
        <v>augmentSkillLevel1,5,</v>
      </c>
      <c r="F92" s="5" t="str">
        <f t="shared" si="37"/>
        <v>augmentSkillName1,records/skills/playerclass06/savagestrike1.dbr,</v>
      </c>
      <c r="G92" s="7">
        <f t="shared" si="32"/>
        <v>90</v>
      </c>
      <c r="H92" s="8" t="str">
        <f t="shared" si="33"/>
        <v>Shaman</v>
      </c>
      <c r="I92" s="3" t="s">
        <v>144</v>
      </c>
      <c r="J92" s="8" t="str">
        <f t="shared" si="42"/>
        <v>class0006</v>
      </c>
      <c r="K92" s="8" t="str">
        <f t="shared" si="42"/>
        <v>dailoneskill0006</v>
      </c>
      <c r="L92" s="5" t="str">
        <f t="shared" si="27"/>
        <v>lootName90,DAIL/items/materia/class0006/Shaman90.dbr,</v>
      </c>
      <c r="M92" s="5" t="str">
        <f t="shared" si="28"/>
        <v>lootWeight90,1,</v>
      </c>
      <c r="N92" t="str">
        <f t="shared" si="29"/>
        <v>5</v>
      </c>
      <c r="O92" t="str">
        <f t="shared" si="38"/>
        <v>copy .\dail_base3.dbr .\items\materia\class0006\Shaman90.dbr /y</v>
      </c>
      <c r="P92" t="str">
        <f t="shared" si="24"/>
        <v>echo relicBitmap,items/craftingparts/components/component_a52_bristlyfur_b.tex, &gt;&gt; .\items\materia\class0006\Shaman90.dbr</v>
      </c>
      <c r="Q92" t="str">
        <f t="shared" si="24"/>
        <v>echo itemCost,500000, &gt;&gt; .\items\materia\class0006\Shaman90.dbr</v>
      </c>
      <c r="R92" t="str">
        <f t="shared" si="24"/>
        <v>echo description,dailCompDescShaman90, &gt;&gt; .\items\materia\class0006\Shaman90.dbr</v>
      </c>
      <c r="S92" t="str">
        <f t="shared" si="24"/>
        <v>echo itemText,dailCompTextShaman90, &gt;&gt; .\items\materia\class0006\Shaman90.dbr</v>
      </c>
      <c r="T92" t="str">
        <f t="shared" si="24"/>
        <v>echo augmentSkillLevel1,5, &gt;&gt; .\items\materia\class0006\Shaman90.dbr</v>
      </c>
      <c r="U92" t="str">
        <f t="shared" si="24"/>
        <v>echo augmentSkillName1,records/skills/playerclass06/savagestrike1.dbr, &gt;&gt; .\items\materia\class0006\Shaman90.dbr</v>
      </c>
      <c r="V92" s="5" t="s">
        <v>36</v>
      </c>
      <c r="W92" t="str">
        <f t="shared" si="30"/>
        <v>echo lootName90,DAIL/items/materia/class0006/Shaman90.dbr, &gt;&gt; .\items\loottables\dailoneskill0006.dbr</v>
      </c>
      <c r="X92" t="str">
        <f t="shared" si="30"/>
        <v>echo lootWeight90,1, &gt;&gt; .\items\loottables\dailoneskill0006.dbr</v>
      </c>
      <c r="Y92" s="5" t="s">
        <v>36</v>
      </c>
      <c r="Z92" t="str">
        <f t="shared" si="31"/>
        <v xml:space="preserve"> dailCompDescShaman90=^pShaman's Gift of DAIL</v>
      </c>
      <c r="AA92" t="str">
        <f t="shared" si="39"/>
        <v>dailCompTextShaman90=^oThis feels warm to the touch, almost familiar ^w(This component only fits into the Medal Slot)</v>
      </c>
      <c r="AB92" s="5" t="s">
        <v>36</v>
      </c>
      <c r="AH92">
        <f t="shared" si="41"/>
        <v>87</v>
      </c>
      <c r="AI92">
        <f t="shared" si="35"/>
        <v>32</v>
      </c>
      <c r="AJ92">
        <f t="shared" si="40"/>
        <v>5</v>
      </c>
    </row>
    <row r="93" spans="1:36" x14ac:dyDescent="0.25">
      <c r="A93" s="5" t="s">
        <v>39</v>
      </c>
      <c r="B93" s="5" t="s">
        <v>30</v>
      </c>
      <c r="C93" s="5" t="str">
        <f t="shared" si="25"/>
        <v>description,dailCompDescShaman91,</v>
      </c>
      <c r="D93" s="5" t="str">
        <f t="shared" si="26"/>
        <v>itemText,dailCompTextShaman91,</v>
      </c>
      <c r="E93" s="5" t="str">
        <f t="shared" si="36"/>
        <v>augmentSkillLevel1,5,</v>
      </c>
      <c r="F93" s="5" t="str">
        <f t="shared" si="37"/>
        <v>augmentSkillName1,records/skills/playerclass06/savagestrike1b.dbr,</v>
      </c>
      <c r="G93" s="7">
        <f t="shared" si="32"/>
        <v>91</v>
      </c>
      <c r="H93" s="8" t="str">
        <f t="shared" si="33"/>
        <v>Shaman</v>
      </c>
      <c r="I93" s="3" t="s">
        <v>355</v>
      </c>
      <c r="J93" s="8" t="str">
        <f t="shared" si="42"/>
        <v>class0006</v>
      </c>
      <c r="K93" s="8" t="str">
        <f t="shared" si="42"/>
        <v>dailoneskill0006</v>
      </c>
      <c r="L93" s="5" t="str">
        <f t="shared" si="27"/>
        <v>lootName91,DAIL/items/materia/class0006/Shaman91.dbr,</v>
      </c>
      <c r="M93" s="5" t="str">
        <f t="shared" si="28"/>
        <v>lootWeight91,1,</v>
      </c>
      <c r="N93" t="str">
        <f t="shared" si="29"/>
        <v>5</v>
      </c>
      <c r="O93" t="str">
        <f t="shared" si="38"/>
        <v>copy .\dail_base3.dbr .\items\materia\class0006\Shaman91.dbr /y</v>
      </c>
      <c r="P93" t="str">
        <f t="shared" si="24"/>
        <v>echo relicBitmap,items/craftingparts/components/component_a52_bristlyfur_b.tex, &gt;&gt; .\items\materia\class0006\Shaman91.dbr</v>
      </c>
      <c r="Q93" t="str">
        <f t="shared" si="24"/>
        <v>echo itemCost,500000, &gt;&gt; .\items\materia\class0006\Shaman91.dbr</v>
      </c>
      <c r="R93" t="str">
        <f t="shared" si="24"/>
        <v>echo description,dailCompDescShaman91, &gt;&gt; .\items\materia\class0006\Shaman91.dbr</v>
      </c>
      <c r="S93" t="str">
        <f t="shared" si="24"/>
        <v>echo itemText,dailCompTextShaman91, &gt;&gt; .\items\materia\class0006\Shaman91.dbr</v>
      </c>
      <c r="T93" t="str">
        <f t="shared" si="24"/>
        <v>echo augmentSkillLevel1,5, &gt;&gt; .\items\materia\class0006\Shaman91.dbr</v>
      </c>
      <c r="U93" t="str">
        <f t="shared" si="24"/>
        <v>echo augmentSkillName1,records/skills/playerclass06/savagestrike1b.dbr, &gt;&gt; .\items\materia\class0006\Shaman91.dbr</v>
      </c>
      <c r="V93" s="5" t="s">
        <v>36</v>
      </c>
      <c r="W93" t="str">
        <f t="shared" si="30"/>
        <v>echo lootName91,DAIL/items/materia/class0006/Shaman91.dbr, &gt;&gt; .\items\loottables\dailoneskill0006.dbr</v>
      </c>
      <c r="X93" t="str">
        <f t="shared" si="30"/>
        <v>echo lootWeight91,1, &gt;&gt; .\items\loottables\dailoneskill0006.dbr</v>
      </c>
      <c r="Y93" s="5" t="s">
        <v>36</v>
      </c>
      <c r="Z93" t="str">
        <f t="shared" si="31"/>
        <v xml:space="preserve"> dailCompDescShaman91=^pShaman's Gift of DAIL</v>
      </c>
      <c r="AA93" t="str">
        <f t="shared" si="39"/>
        <v>dailCompTextShaman91=^oThis feels warm to the touch, almost familiar ^w(This component only fits into the Medal Slot)</v>
      </c>
      <c r="AB93" s="5" t="s">
        <v>36</v>
      </c>
      <c r="AH93">
        <f t="shared" si="41"/>
        <v>88</v>
      </c>
      <c r="AI93">
        <f t="shared" si="35"/>
        <v>33</v>
      </c>
      <c r="AJ93">
        <f t="shared" si="40"/>
        <v>5</v>
      </c>
    </row>
    <row r="94" spans="1:36" x14ac:dyDescent="0.25">
      <c r="A94" s="5" t="s">
        <v>39</v>
      </c>
      <c r="B94" s="5" t="s">
        <v>30</v>
      </c>
      <c r="C94" s="5" t="str">
        <f t="shared" si="25"/>
        <v>description,dailCompDescShaman92,</v>
      </c>
      <c r="D94" s="5" t="str">
        <f t="shared" si="26"/>
        <v>itemText,dailCompTextShaman92,</v>
      </c>
      <c r="E94" s="5" t="str">
        <f t="shared" si="36"/>
        <v>augmentSkillLevel1,5,</v>
      </c>
      <c r="F94" s="5" t="str">
        <f t="shared" si="37"/>
        <v>augmentSkillName1,records/skills/playerclass06/savagestrike3.dbr,</v>
      </c>
      <c r="G94" s="7">
        <f t="shared" si="32"/>
        <v>92</v>
      </c>
      <c r="H94" s="8" t="str">
        <f t="shared" si="33"/>
        <v>Shaman</v>
      </c>
      <c r="I94" s="3" t="s">
        <v>356</v>
      </c>
      <c r="J94" s="8" t="str">
        <f t="shared" si="42"/>
        <v>class0006</v>
      </c>
      <c r="K94" s="8" t="str">
        <f t="shared" si="42"/>
        <v>dailoneskill0006</v>
      </c>
      <c r="L94" s="5" t="str">
        <f t="shared" si="27"/>
        <v>lootName92,DAIL/items/materia/class0006/Shaman92.dbr,</v>
      </c>
      <c r="M94" s="5" t="str">
        <f t="shared" si="28"/>
        <v>lootWeight92,1,</v>
      </c>
      <c r="N94" t="str">
        <f t="shared" si="29"/>
        <v>5</v>
      </c>
      <c r="O94" t="str">
        <f t="shared" si="38"/>
        <v>copy .\dail_base3.dbr .\items\materia\class0006\Shaman92.dbr /y</v>
      </c>
      <c r="P94" t="str">
        <f t="shared" si="24"/>
        <v>echo relicBitmap,items/craftingparts/components/component_a52_bristlyfur_b.tex, &gt;&gt; .\items\materia\class0006\Shaman92.dbr</v>
      </c>
      <c r="Q94" t="str">
        <f t="shared" si="24"/>
        <v>echo itemCost,500000, &gt;&gt; .\items\materia\class0006\Shaman92.dbr</v>
      </c>
      <c r="R94" t="str">
        <f t="shared" si="24"/>
        <v>echo description,dailCompDescShaman92, &gt;&gt; .\items\materia\class0006\Shaman92.dbr</v>
      </c>
      <c r="S94" t="str">
        <f t="shared" si="24"/>
        <v>echo itemText,dailCompTextShaman92, &gt;&gt; .\items\materia\class0006\Shaman92.dbr</v>
      </c>
      <c r="T94" t="str">
        <f t="shared" si="24"/>
        <v>echo augmentSkillLevel1,5, &gt;&gt; .\items\materia\class0006\Shaman92.dbr</v>
      </c>
      <c r="U94" t="str">
        <f t="shared" si="24"/>
        <v>echo augmentSkillName1,records/skills/playerclass06/savagestrike3.dbr, &gt;&gt; .\items\materia\class0006\Shaman92.dbr</v>
      </c>
      <c r="V94" s="5" t="s">
        <v>36</v>
      </c>
      <c r="W94" t="str">
        <f t="shared" si="30"/>
        <v>echo lootName92,DAIL/items/materia/class0006/Shaman92.dbr, &gt;&gt; .\items\loottables\dailoneskill0006.dbr</v>
      </c>
      <c r="X94" t="str">
        <f t="shared" si="30"/>
        <v>echo lootWeight92,1, &gt;&gt; .\items\loottables\dailoneskill0006.dbr</v>
      </c>
      <c r="Y94" s="5" t="s">
        <v>36</v>
      </c>
      <c r="Z94" t="str">
        <f t="shared" si="31"/>
        <v xml:space="preserve"> dailCompDescShaman92=^pShaman's Gift of DAIL</v>
      </c>
      <c r="AA94" t="str">
        <f t="shared" si="39"/>
        <v>dailCompTextShaman92=^oThis feels warm to the touch, almost familiar ^w(This component only fits into the Medal Slot)</v>
      </c>
      <c r="AB94" s="5" t="s">
        <v>36</v>
      </c>
      <c r="AH94">
        <f t="shared" si="41"/>
        <v>89</v>
      </c>
      <c r="AI94">
        <f t="shared" si="35"/>
        <v>32</v>
      </c>
      <c r="AJ94">
        <f t="shared" si="40"/>
        <v>5</v>
      </c>
    </row>
    <row r="95" spans="1:36" x14ac:dyDescent="0.25">
      <c r="A95" s="5" t="s">
        <v>39</v>
      </c>
      <c r="B95" s="5" t="s">
        <v>30</v>
      </c>
      <c r="C95" s="5" t="str">
        <f t="shared" si="25"/>
        <v>description,dailCompDescShaman93,</v>
      </c>
      <c r="D95" s="5" t="str">
        <f t="shared" si="26"/>
        <v>itemText,dailCompTextShaman93,</v>
      </c>
      <c r="E95" s="5" t="str">
        <f t="shared" si="36"/>
        <v>augmentSkillLevel1,5,</v>
      </c>
      <c r="F95" s="5" t="str">
        <f t="shared" si="37"/>
        <v>augmentSkillName1,records/skills/playerclass06/savagestrike2.dbr,</v>
      </c>
      <c r="G95" s="7">
        <f t="shared" si="32"/>
        <v>93</v>
      </c>
      <c r="H95" s="8" t="str">
        <f t="shared" si="33"/>
        <v>Shaman</v>
      </c>
      <c r="I95" s="3" t="s">
        <v>357</v>
      </c>
      <c r="J95" s="8" t="str">
        <f t="shared" si="42"/>
        <v>class0006</v>
      </c>
      <c r="K95" s="8" t="str">
        <f t="shared" si="42"/>
        <v>dailoneskill0006</v>
      </c>
      <c r="L95" s="5" t="str">
        <f t="shared" si="27"/>
        <v>lootName93,DAIL/items/materia/class0006/Shaman93.dbr,</v>
      </c>
      <c r="M95" s="5" t="str">
        <f t="shared" si="28"/>
        <v>lootWeight93,1,</v>
      </c>
      <c r="N95" t="str">
        <f t="shared" si="29"/>
        <v>5</v>
      </c>
      <c r="O95" t="str">
        <f t="shared" si="38"/>
        <v>copy .\dail_base3.dbr .\items\materia\class0006\Shaman93.dbr /y</v>
      </c>
      <c r="P95" t="str">
        <f t="shared" si="24"/>
        <v>echo relicBitmap,items/craftingparts/components/component_a52_bristlyfur_b.tex, &gt;&gt; .\items\materia\class0006\Shaman93.dbr</v>
      </c>
      <c r="Q95" t="str">
        <f t="shared" si="24"/>
        <v>echo itemCost,500000, &gt;&gt; .\items\materia\class0006\Shaman93.dbr</v>
      </c>
      <c r="R95" t="str">
        <f t="shared" si="24"/>
        <v>echo description,dailCompDescShaman93, &gt;&gt; .\items\materia\class0006\Shaman93.dbr</v>
      </c>
      <c r="S95" t="str">
        <f t="shared" si="24"/>
        <v>echo itemText,dailCompTextShaman93, &gt;&gt; .\items\materia\class0006\Shaman93.dbr</v>
      </c>
      <c r="T95" t="str">
        <f t="shared" si="24"/>
        <v>echo augmentSkillLevel1,5, &gt;&gt; .\items\materia\class0006\Shaman93.dbr</v>
      </c>
      <c r="U95" t="str">
        <f t="shared" si="24"/>
        <v>echo augmentSkillName1,records/skills/playerclass06/savagestrike2.dbr, &gt;&gt; .\items\materia\class0006\Shaman93.dbr</v>
      </c>
      <c r="V95" s="5" t="s">
        <v>36</v>
      </c>
      <c r="W95" t="str">
        <f t="shared" si="30"/>
        <v>echo lootName93,DAIL/items/materia/class0006/Shaman93.dbr, &gt;&gt; .\items\loottables\dailoneskill0006.dbr</v>
      </c>
      <c r="X95" t="str">
        <f t="shared" si="30"/>
        <v>echo lootWeight93,1, &gt;&gt; .\items\loottables\dailoneskill0006.dbr</v>
      </c>
      <c r="Y95" s="5" t="s">
        <v>36</v>
      </c>
      <c r="Z95" t="str">
        <f t="shared" si="31"/>
        <v xml:space="preserve"> dailCompDescShaman93=^pShaman's Gift of DAIL</v>
      </c>
      <c r="AA95" t="str">
        <f t="shared" si="39"/>
        <v>dailCompTextShaman93=^oThis feels warm to the touch, almost familiar ^w(This component only fits into the Medal Slot)</v>
      </c>
      <c r="AB95" s="5" t="s">
        <v>36</v>
      </c>
      <c r="AH95">
        <f t="shared" si="41"/>
        <v>90</v>
      </c>
      <c r="AI95">
        <f t="shared" si="35"/>
        <v>32</v>
      </c>
      <c r="AJ95">
        <f t="shared" si="40"/>
        <v>5</v>
      </c>
    </row>
    <row r="96" spans="1:36" x14ac:dyDescent="0.25">
      <c r="A96" s="5" t="s">
        <v>39</v>
      </c>
      <c r="B96" s="5" t="s">
        <v>30</v>
      </c>
      <c r="C96" s="5" t="str">
        <f t="shared" si="25"/>
        <v>description,dailCompDescShaman,</v>
      </c>
      <c r="D96" s="5" t="str">
        <f t="shared" si="26"/>
        <v>itemText,dailCompTextShaman,</v>
      </c>
      <c r="E96" s="5" t="str">
        <f t="shared" si="36"/>
        <v>augmentSkillLevel1,5,</v>
      </c>
      <c r="F96" s="5" t="str">
        <f t="shared" si="37"/>
        <v>augmentSkillName1,records/skills,</v>
      </c>
      <c r="G96" s="7" t="str">
        <f t="shared" si="32"/>
        <v/>
      </c>
      <c r="H96" s="8" t="str">
        <f t="shared" si="33"/>
        <v>Shaman</v>
      </c>
      <c r="J96" s="8" t="str">
        <f t="shared" si="42"/>
        <v>class0006</v>
      </c>
      <c r="K96" s="8" t="str">
        <f t="shared" si="42"/>
        <v>dailoneskill0006</v>
      </c>
      <c r="L96" s="5" t="str">
        <f t="shared" si="27"/>
        <v>lootName,DAIL/items/materia/class0006/Shaman.dbr,</v>
      </c>
      <c r="M96" s="5" t="str">
        <f t="shared" si="28"/>
        <v>lootWeight,1,</v>
      </c>
      <c r="N96" t="str">
        <f t="shared" si="29"/>
        <v>5</v>
      </c>
      <c r="O96" t="str">
        <f t="shared" si="38"/>
        <v/>
      </c>
      <c r="P96" t="str">
        <f t="shared" si="24"/>
        <v/>
      </c>
      <c r="Q96" t="str">
        <f t="shared" si="24"/>
        <v/>
      </c>
      <c r="R96" t="str">
        <f t="shared" si="24"/>
        <v/>
      </c>
      <c r="S96" t="str">
        <f t="shared" si="24"/>
        <v/>
      </c>
      <c r="T96" t="str">
        <f t="shared" si="24"/>
        <v/>
      </c>
      <c r="U96" t="str">
        <f t="shared" si="24"/>
        <v/>
      </c>
      <c r="V96" s="5" t="s">
        <v>36</v>
      </c>
      <c r="W96" t="str">
        <f t="shared" si="30"/>
        <v/>
      </c>
      <c r="X96" t="str">
        <f t="shared" si="30"/>
        <v/>
      </c>
      <c r="Y96" s="5" t="s">
        <v>36</v>
      </c>
      <c r="Z96" t="str">
        <f t="shared" si="31"/>
        <v xml:space="preserve"> dailCompDescShaman=^pShaman's Gift of DAIL</v>
      </c>
      <c r="AA96" t="str">
        <f t="shared" si="39"/>
        <v>dailCompTextShaman=^oThis feels warm to the touch, almost familiar ^w(This component only fits into the Medal Slot)</v>
      </c>
      <c r="AB96" s="5" t="s">
        <v>36</v>
      </c>
      <c r="AH96">
        <f t="shared" si="41"/>
        <v>91</v>
      </c>
      <c r="AI96">
        <f t="shared" si="35"/>
        <v>0</v>
      </c>
      <c r="AJ96">
        <f t="shared" si="40"/>
        <v>5</v>
      </c>
    </row>
    <row r="97" spans="1:36" x14ac:dyDescent="0.25">
      <c r="A97" s="5" t="s">
        <v>39</v>
      </c>
      <c r="B97" s="5" t="s">
        <v>30</v>
      </c>
      <c r="C97" s="5" t="str">
        <f t="shared" si="25"/>
        <v>description,dailCompDescShaman,</v>
      </c>
      <c r="D97" s="5" t="str">
        <f t="shared" si="26"/>
        <v>itemText,dailCompTextShaman,</v>
      </c>
      <c r="E97" s="5" t="str">
        <f t="shared" si="36"/>
        <v>augmentSkillLevel1,5,</v>
      </c>
      <c r="F97" s="5" t="str">
        <f t="shared" si="37"/>
        <v>augmentSkillName1,records/skills,</v>
      </c>
      <c r="G97" s="7" t="str">
        <f t="shared" si="32"/>
        <v/>
      </c>
      <c r="H97" s="8" t="str">
        <f t="shared" si="33"/>
        <v>Shaman</v>
      </c>
      <c r="J97" s="8" t="str">
        <f t="shared" si="42"/>
        <v>class0006</v>
      </c>
      <c r="K97" s="8" t="str">
        <f t="shared" si="42"/>
        <v>dailoneskill0006</v>
      </c>
      <c r="L97" s="5" t="str">
        <f t="shared" si="27"/>
        <v>lootName,DAIL/items/materia/class0006/Shaman.dbr,</v>
      </c>
      <c r="M97" s="5" t="str">
        <f t="shared" si="28"/>
        <v>lootWeight,1,</v>
      </c>
      <c r="N97" t="str">
        <f t="shared" si="29"/>
        <v>5</v>
      </c>
      <c r="O97" t="str">
        <f t="shared" si="38"/>
        <v/>
      </c>
      <c r="P97" t="str">
        <f t="shared" si="24"/>
        <v/>
      </c>
      <c r="Q97" t="str">
        <f t="shared" si="24"/>
        <v/>
      </c>
      <c r="R97" t="str">
        <f t="shared" si="24"/>
        <v/>
      </c>
      <c r="S97" t="str">
        <f t="shared" si="24"/>
        <v/>
      </c>
      <c r="T97" t="str">
        <f t="shared" si="24"/>
        <v/>
      </c>
      <c r="U97" t="str">
        <f t="shared" si="24"/>
        <v/>
      </c>
      <c r="V97" s="5" t="s">
        <v>36</v>
      </c>
      <c r="W97" t="str">
        <f t="shared" si="30"/>
        <v/>
      </c>
      <c r="X97" t="str">
        <f t="shared" si="30"/>
        <v/>
      </c>
      <c r="Y97" s="5" t="s">
        <v>36</v>
      </c>
      <c r="Z97" t="str">
        <f t="shared" si="31"/>
        <v/>
      </c>
      <c r="AA97" t="str">
        <f t="shared" si="39"/>
        <v/>
      </c>
      <c r="AB97" s="5" t="s">
        <v>36</v>
      </c>
      <c r="AH97">
        <f t="shared" si="41"/>
        <v>92</v>
      </c>
      <c r="AI97">
        <f t="shared" si="35"/>
        <v>0</v>
      </c>
      <c r="AJ97">
        <f t="shared" si="40"/>
        <v>5</v>
      </c>
    </row>
    <row r="98" spans="1:36" x14ac:dyDescent="0.25">
      <c r="A98" s="5" t="s">
        <v>39</v>
      </c>
      <c r="B98" s="5" t="s">
        <v>30</v>
      </c>
      <c r="C98" s="5" t="str">
        <f t="shared" si="25"/>
        <v>description,dailCompDescShaman,</v>
      </c>
      <c r="D98" s="5" t="str">
        <f t="shared" si="26"/>
        <v>itemText,dailCompTextShaman,</v>
      </c>
      <c r="E98" s="5" t="str">
        <f t="shared" si="36"/>
        <v>augmentSkillLevel1,5,</v>
      </c>
      <c r="F98" s="5" t="str">
        <f t="shared" si="37"/>
        <v>augmentSkillName1,records/skills,</v>
      </c>
      <c r="G98" s="7" t="str">
        <f t="shared" si="32"/>
        <v/>
      </c>
      <c r="H98" s="8" t="str">
        <f t="shared" si="33"/>
        <v>Shaman</v>
      </c>
      <c r="J98" s="8" t="str">
        <f t="shared" si="42"/>
        <v>class0006</v>
      </c>
      <c r="K98" s="8" t="str">
        <f t="shared" si="42"/>
        <v>dailoneskill0006</v>
      </c>
      <c r="L98" s="5" t="str">
        <f t="shared" si="27"/>
        <v>lootName,DAIL/items/materia/class0006/Shaman.dbr,</v>
      </c>
      <c r="M98" s="5" t="str">
        <f t="shared" si="28"/>
        <v>lootWeight,1,</v>
      </c>
      <c r="N98" t="str">
        <f t="shared" si="29"/>
        <v>5</v>
      </c>
      <c r="O98" t="str">
        <f t="shared" si="38"/>
        <v/>
      </c>
      <c r="P98" t="str">
        <f t="shared" si="24"/>
        <v/>
      </c>
      <c r="Q98" t="str">
        <f t="shared" si="24"/>
        <v/>
      </c>
      <c r="R98" t="str">
        <f t="shared" si="24"/>
        <v/>
      </c>
      <c r="S98" t="str">
        <f t="shared" si="24"/>
        <v/>
      </c>
      <c r="T98" t="str">
        <f t="shared" si="24"/>
        <v/>
      </c>
      <c r="U98" t="str">
        <f t="shared" si="24"/>
        <v/>
      </c>
      <c r="V98" s="5" t="s">
        <v>36</v>
      </c>
      <c r="W98" t="str">
        <f t="shared" si="30"/>
        <v/>
      </c>
      <c r="X98" t="str">
        <f t="shared" si="30"/>
        <v/>
      </c>
      <c r="Y98" s="5" t="s">
        <v>36</v>
      </c>
      <c r="Z98" t="str">
        <f t="shared" si="31"/>
        <v/>
      </c>
      <c r="AA98" t="str">
        <f t="shared" si="39"/>
        <v/>
      </c>
      <c r="AB98" s="5" t="s">
        <v>36</v>
      </c>
      <c r="AH98">
        <f t="shared" si="41"/>
        <v>93</v>
      </c>
      <c r="AI98">
        <f t="shared" si="35"/>
        <v>0</v>
      </c>
      <c r="AJ98">
        <f t="shared" si="40"/>
        <v>5</v>
      </c>
    </row>
    <row r="99" spans="1:36" x14ac:dyDescent="0.25">
      <c r="A99" s="5" t="s">
        <v>39</v>
      </c>
      <c r="B99" s="5" t="s">
        <v>30</v>
      </c>
      <c r="C99" s="5" t="str">
        <f t="shared" si="25"/>
        <v>description,dailCompDescShaman,</v>
      </c>
      <c r="D99" s="5" t="str">
        <f t="shared" si="26"/>
        <v>itemText,dailCompTextShaman,</v>
      </c>
      <c r="E99" s="5" t="str">
        <f t="shared" si="36"/>
        <v>augmentSkillLevel1,5,</v>
      </c>
      <c r="F99" s="5" t="str">
        <f t="shared" si="37"/>
        <v>augmentSkillName1,records/skills,</v>
      </c>
      <c r="G99" s="7" t="str">
        <f t="shared" si="32"/>
        <v/>
      </c>
      <c r="H99" s="8" t="str">
        <f t="shared" si="33"/>
        <v>Shaman</v>
      </c>
      <c r="J99" s="8" t="str">
        <f t="shared" si="42"/>
        <v>class0006</v>
      </c>
      <c r="K99" s="8" t="str">
        <f t="shared" si="42"/>
        <v>dailoneskill0006</v>
      </c>
      <c r="L99" s="5" t="str">
        <f t="shared" si="27"/>
        <v>lootName,DAIL/items/materia/class0006/Shaman.dbr,</v>
      </c>
      <c r="M99" s="5" t="str">
        <f t="shared" si="28"/>
        <v>lootWeight,1,</v>
      </c>
      <c r="N99" t="str">
        <f t="shared" si="29"/>
        <v>5</v>
      </c>
      <c r="O99" t="str">
        <f t="shared" si="38"/>
        <v/>
      </c>
      <c r="P99" t="str">
        <f t="shared" si="24"/>
        <v/>
      </c>
      <c r="Q99" t="str">
        <f t="shared" si="24"/>
        <v/>
      </c>
      <c r="R99" t="str">
        <f t="shared" si="24"/>
        <v/>
      </c>
      <c r="S99" t="str">
        <f t="shared" si="24"/>
        <v/>
      </c>
      <c r="T99" t="str">
        <f t="shared" si="24"/>
        <v/>
      </c>
      <c r="U99" t="str">
        <f t="shared" si="24"/>
        <v/>
      </c>
      <c r="V99" s="5" t="s">
        <v>36</v>
      </c>
      <c r="W99" t="str">
        <f t="shared" si="30"/>
        <v/>
      </c>
      <c r="X99" t="str">
        <f t="shared" si="30"/>
        <v/>
      </c>
      <c r="Y99" s="5" t="s">
        <v>36</v>
      </c>
      <c r="Z99" t="str">
        <f t="shared" si="31"/>
        <v/>
      </c>
      <c r="AA99" t="str">
        <f t="shared" si="39"/>
        <v/>
      </c>
      <c r="AB99" s="5" t="s">
        <v>36</v>
      </c>
      <c r="AH99">
        <f t="shared" si="41"/>
        <v>94</v>
      </c>
      <c r="AI99">
        <f t="shared" si="35"/>
        <v>0</v>
      </c>
      <c r="AJ99">
        <f t="shared" si="40"/>
        <v>5</v>
      </c>
    </row>
    <row r="100" spans="1:36" x14ac:dyDescent="0.25">
      <c r="A100" s="5" t="s">
        <v>39</v>
      </c>
      <c r="B100" s="5" t="s">
        <v>30</v>
      </c>
      <c r="C100" s="5" t="str">
        <f t="shared" si="25"/>
        <v>description,dailCompDescShaman,</v>
      </c>
      <c r="D100" s="5" t="str">
        <f t="shared" si="26"/>
        <v>itemText,dailCompTextShaman,</v>
      </c>
      <c r="E100" s="5" t="str">
        <f t="shared" si="36"/>
        <v>augmentSkillLevel1,5,</v>
      </c>
      <c r="F100" s="5" t="str">
        <f t="shared" si="37"/>
        <v>augmentSkillName1,records/skills,</v>
      </c>
      <c r="G100" s="7" t="str">
        <f t="shared" si="32"/>
        <v/>
      </c>
      <c r="H100" s="8" t="str">
        <f t="shared" si="33"/>
        <v>Shaman</v>
      </c>
      <c r="J100" s="8" t="str">
        <f t="shared" si="42"/>
        <v>class0006</v>
      </c>
      <c r="K100" s="8" t="str">
        <f t="shared" si="42"/>
        <v>dailoneskill0006</v>
      </c>
      <c r="L100" s="5" t="str">
        <f t="shared" si="27"/>
        <v>lootName,DAIL/items/materia/class0006/Shaman.dbr,</v>
      </c>
      <c r="M100" s="5" t="str">
        <f t="shared" si="28"/>
        <v>lootWeight,1,</v>
      </c>
      <c r="N100" t="str">
        <f t="shared" si="29"/>
        <v>5</v>
      </c>
      <c r="O100" t="str">
        <f t="shared" si="38"/>
        <v/>
      </c>
      <c r="P100" t="str">
        <f t="shared" si="24"/>
        <v/>
      </c>
      <c r="Q100" t="str">
        <f t="shared" si="24"/>
        <v/>
      </c>
      <c r="R100" t="str">
        <f t="shared" si="24"/>
        <v/>
      </c>
      <c r="S100" t="str">
        <f t="shared" si="24"/>
        <v/>
      </c>
      <c r="T100" t="str">
        <f t="shared" si="24"/>
        <v/>
      </c>
      <c r="U100" t="str">
        <f t="shared" si="24"/>
        <v/>
      </c>
      <c r="V100" s="5" t="s">
        <v>36</v>
      </c>
      <c r="W100" t="str">
        <f t="shared" si="30"/>
        <v/>
      </c>
      <c r="X100" t="str">
        <f t="shared" si="30"/>
        <v/>
      </c>
      <c r="Y100" s="5" t="s">
        <v>36</v>
      </c>
      <c r="Z100" t="str">
        <f t="shared" si="31"/>
        <v/>
      </c>
      <c r="AA100" t="str">
        <f t="shared" si="39"/>
        <v/>
      </c>
      <c r="AB100" s="5" t="s">
        <v>36</v>
      </c>
      <c r="AH100">
        <f t="shared" si="41"/>
        <v>95</v>
      </c>
      <c r="AI100">
        <f t="shared" si="35"/>
        <v>0</v>
      </c>
      <c r="AJ100">
        <f t="shared" si="40"/>
        <v>5</v>
      </c>
    </row>
    <row r="101" spans="1:36" x14ac:dyDescent="0.25">
      <c r="A101" s="5" t="s">
        <v>39</v>
      </c>
      <c r="B101" s="5" t="s">
        <v>30</v>
      </c>
      <c r="C101" s="5" t="str">
        <f t="shared" si="25"/>
        <v>description,dailCompDescShaman,</v>
      </c>
      <c r="D101" s="5" t="str">
        <f t="shared" si="26"/>
        <v>itemText,dailCompTextShaman,</v>
      </c>
      <c r="E101" s="5" t="str">
        <f t="shared" si="36"/>
        <v>augmentSkillLevel1,5,</v>
      </c>
      <c r="F101" s="5" t="str">
        <f t="shared" si="37"/>
        <v>augmentSkillName1,records/skills,</v>
      </c>
      <c r="G101" s="7" t="str">
        <f t="shared" si="32"/>
        <v/>
      </c>
      <c r="H101" s="8" t="str">
        <f t="shared" si="33"/>
        <v>Shaman</v>
      </c>
      <c r="J101" s="8" t="str">
        <f t="shared" ref="J101:K102" si="43">J100</f>
        <v>class0006</v>
      </c>
      <c r="K101" s="8" t="str">
        <f t="shared" si="43"/>
        <v>dailoneskill0006</v>
      </c>
      <c r="L101" s="5" t="str">
        <f t="shared" si="27"/>
        <v>lootName,DAIL/items/materia/class0006/Shaman.dbr,</v>
      </c>
      <c r="M101" s="5" t="str">
        <f t="shared" si="28"/>
        <v>lootWeight,1,</v>
      </c>
      <c r="N101" t="str">
        <f t="shared" si="29"/>
        <v>5</v>
      </c>
      <c r="O101" t="str">
        <f t="shared" si="38"/>
        <v/>
      </c>
      <c r="P101" t="str">
        <f t="shared" si="24"/>
        <v/>
      </c>
      <c r="Q101" t="str">
        <f t="shared" si="24"/>
        <v/>
      </c>
      <c r="R101" t="str">
        <f t="shared" si="24"/>
        <v/>
      </c>
      <c r="S101" t="str">
        <f t="shared" ref="S101:U102" si="44">IF($I101&lt;&gt;"","echo "&amp;D101&amp;" &gt;&gt; .\items\materia\"&amp;$J101&amp;"\"&amp;$H101&amp;$G101&amp;".dbr","")</f>
        <v/>
      </c>
      <c r="T101" t="str">
        <f t="shared" si="44"/>
        <v/>
      </c>
      <c r="U101" t="str">
        <f t="shared" si="44"/>
        <v/>
      </c>
      <c r="V101" s="5" t="s">
        <v>36</v>
      </c>
      <c r="W101" t="str">
        <f t="shared" si="30"/>
        <v/>
      </c>
      <c r="X101" t="str">
        <f t="shared" si="30"/>
        <v/>
      </c>
      <c r="Y101" s="5" t="s">
        <v>36</v>
      </c>
      <c r="Z101" t="str">
        <f t="shared" si="31"/>
        <v/>
      </c>
      <c r="AA101" t="str">
        <f t="shared" si="39"/>
        <v/>
      </c>
      <c r="AB101" s="5" t="s">
        <v>36</v>
      </c>
      <c r="AH101">
        <f t="shared" si="41"/>
        <v>96</v>
      </c>
      <c r="AI101">
        <f t="shared" si="35"/>
        <v>0</v>
      </c>
      <c r="AJ101">
        <f t="shared" si="40"/>
        <v>5</v>
      </c>
    </row>
    <row r="102" spans="1:36" x14ac:dyDescent="0.25">
      <c r="A102" s="5" t="s">
        <v>39</v>
      </c>
      <c r="B102" s="5" t="s">
        <v>30</v>
      </c>
      <c r="C102" s="5" t="str">
        <f t="shared" si="25"/>
        <v>description,dailCompDescShaman,</v>
      </c>
      <c r="D102" s="5" t="str">
        <f t="shared" si="26"/>
        <v>itemText,dailCompTextShaman,</v>
      </c>
      <c r="E102" s="5" t="str">
        <f t="shared" si="36"/>
        <v>augmentSkillLevel1,5,</v>
      </c>
      <c r="F102" s="5" t="str">
        <f t="shared" si="37"/>
        <v>augmentSkillName1,records/skills,</v>
      </c>
      <c r="G102" s="7" t="str">
        <f t="shared" si="32"/>
        <v/>
      </c>
      <c r="H102" s="8" t="str">
        <f t="shared" si="33"/>
        <v>Shaman</v>
      </c>
      <c r="J102" s="8" t="str">
        <f t="shared" si="43"/>
        <v>class0006</v>
      </c>
      <c r="K102" s="8" t="str">
        <f t="shared" si="43"/>
        <v>dailoneskill0006</v>
      </c>
      <c r="L102" s="5" t="str">
        <f t="shared" si="27"/>
        <v>lootName,DAIL/items/materia/class0006/Shaman.dbr,</v>
      </c>
      <c r="M102" s="5" t="str">
        <f t="shared" si="28"/>
        <v>lootWeight,1,</v>
      </c>
      <c r="N102" t="str">
        <f t="shared" si="29"/>
        <v>5</v>
      </c>
      <c r="O102" t="str">
        <f t="shared" si="38"/>
        <v/>
      </c>
      <c r="P102" t="str">
        <f t="shared" ref="P102:R102" si="45">IF($I102&lt;&gt;"","echo "&amp;A102&amp;" &gt;&gt; .\items\materia\"&amp;$J102&amp;"\"&amp;$H102&amp;$G102&amp;".dbr","")</f>
        <v/>
      </c>
      <c r="Q102" t="str">
        <f t="shared" si="45"/>
        <v/>
      </c>
      <c r="R102" t="str">
        <f t="shared" si="45"/>
        <v/>
      </c>
      <c r="S102" t="str">
        <f t="shared" si="44"/>
        <v/>
      </c>
      <c r="T102" t="str">
        <f t="shared" si="44"/>
        <v/>
      </c>
      <c r="U102" t="str">
        <f t="shared" si="44"/>
        <v/>
      </c>
      <c r="V102" s="5" t="s">
        <v>36</v>
      </c>
      <c r="W102" t="str">
        <f t="shared" si="30"/>
        <v/>
      </c>
      <c r="X102" t="str">
        <f t="shared" si="30"/>
        <v/>
      </c>
      <c r="Y102" s="5" t="s">
        <v>36</v>
      </c>
      <c r="Z102" t="str">
        <f t="shared" si="31"/>
        <v/>
      </c>
      <c r="AA102" t="str">
        <f t="shared" si="39"/>
        <v/>
      </c>
      <c r="AB102" s="5" t="s">
        <v>36</v>
      </c>
      <c r="AH102">
        <f t="shared" si="41"/>
        <v>97</v>
      </c>
      <c r="AI102">
        <f t="shared" si="35"/>
        <v>0</v>
      </c>
      <c r="AJ102">
        <f t="shared" si="40"/>
        <v>5</v>
      </c>
    </row>
  </sheetData>
  <mergeCells count="1">
    <mergeCell ref="O2:U2"/>
  </mergeCells>
  <pageMargins left="0.7" right="0.7" top="0.75" bottom="0.75" header="0.3" footer="0.3"/>
  <pageSetup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AL102"/>
  <sheetViews>
    <sheetView topLeftCell="M1" zoomScaleNormal="100" workbookViewId="0">
      <selection activeCell="U3" sqref="U3:U102"/>
    </sheetView>
  </sheetViews>
  <sheetFormatPr defaultRowHeight="15" x14ac:dyDescent="0.25"/>
  <cols>
    <col min="1" max="1" width="73.85546875" style="5" bestFit="1" customWidth="1"/>
    <col min="2" max="2" width="16.28515625" style="5" bestFit="1" customWidth="1"/>
    <col min="3" max="3" width="32.7109375" style="5" bestFit="1" customWidth="1"/>
    <col min="4" max="4" width="31.42578125" style="5" bestFit="1" customWidth="1"/>
    <col min="5" max="5" width="24.28515625" style="5" bestFit="1" customWidth="1"/>
    <col min="6" max="6" width="73.5703125" style="5" bestFit="1" customWidth="1"/>
    <col min="7" max="7" width="5.85546875" style="8" bestFit="1" customWidth="1"/>
    <col min="8" max="8" width="7.85546875" style="3" bestFit="1" customWidth="1"/>
    <col min="9" max="9" width="38.140625" style="3" bestFit="1" customWidth="1"/>
    <col min="10" max="10" width="9.140625" style="3" bestFit="1" customWidth="1"/>
    <col min="11" max="11" width="18.140625" style="3" customWidth="1"/>
    <col min="12" max="12" width="51.85546875" style="5" bestFit="1" customWidth="1"/>
    <col min="13" max="13" width="21.28515625" style="5" customWidth="1"/>
    <col min="15" max="15" width="10.5703125" customWidth="1"/>
    <col min="22" max="22" width="1.5703125" style="5" customWidth="1"/>
    <col min="23" max="23" width="9.5703125" customWidth="1"/>
    <col min="25" max="25" width="1.5703125" style="5" bestFit="1" customWidth="1"/>
    <col min="26" max="26" width="46.7109375" bestFit="1" customWidth="1"/>
    <col min="27" max="27" width="29.140625" customWidth="1"/>
    <col min="28" max="28" width="1.5703125" style="5" bestFit="1" customWidth="1"/>
    <col min="31" max="31" width="14.140625" bestFit="1" customWidth="1"/>
  </cols>
  <sheetData>
    <row r="1" spans="1:38" x14ac:dyDescent="0.25">
      <c r="G1" s="5"/>
      <c r="H1" s="5"/>
      <c r="I1" s="5"/>
      <c r="J1" s="5"/>
      <c r="K1" s="5"/>
      <c r="N1" s="5"/>
      <c r="O1" s="9"/>
      <c r="P1" s="9"/>
      <c r="Q1" s="9"/>
      <c r="R1" s="9"/>
      <c r="S1" s="9"/>
      <c r="T1" s="9"/>
      <c r="U1" s="9"/>
      <c r="W1" s="9"/>
      <c r="X1" s="9"/>
      <c r="Z1" s="9"/>
      <c r="AA1" s="9"/>
    </row>
    <row r="2" spans="1:38" x14ac:dyDescent="0.25">
      <c r="A2" s="4" t="s">
        <v>2</v>
      </c>
      <c r="B2" s="4" t="s">
        <v>3</v>
      </c>
      <c r="C2" s="4" t="s">
        <v>4</v>
      </c>
      <c r="D2" s="4" t="s">
        <v>5</v>
      </c>
      <c r="E2" s="4" t="s">
        <v>6</v>
      </c>
      <c r="F2" s="4" t="s">
        <v>7</v>
      </c>
      <c r="G2" s="6" t="s">
        <v>9</v>
      </c>
      <c r="H2" s="2" t="s">
        <v>26</v>
      </c>
      <c r="I2" s="2" t="s">
        <v>8</v>
      </c>
      <c r="J2" s="2" t="s">
        <v>33</v>
      </c>
      <c r="K2" s="2" t="s">
        <v>38</v>
      </c>
      <c r="L2" s="4" t="s">
        <v>31</v>
      </c>
      <c r="M2" s="4" t="s">
        <v>32</v>
      </c>
      <c r="O2" s="11" t="str">
        <f>"Copy from N to T Into the files named "&amp;H3&amp;G3&amp;" etc"</f>
        <v>Copy from N to T Into the files named Necromancer1 etc</v>
      </c>
      <c r="P2" s="11"/>
      <c r="Q2" s="11"/>
      <c r="R2" s="11"/>
      <c r="S2" s="11"/>
      <c r="T2" s="11"/>
      <c r="U2" s="11"/>
      <c r="W2" s="1" t="s">
        <v>35</v>
      </c>
      <c r="Z2" s="1" t="s">
        <v>40</v>
      </c>
      <c r="AD2" t="s">
        <v>44</v>
      </c>
    </row>
    <row r="3" spans="1:38" x14ac:dyDescent="0.25">
      <c r="A3" s="5" t="s">
        <v>39</v>
      </c>
      <c r="B3" s="5" t="s">
        <v>0</v>
      </c>
      <c r="C3" s="5" t="str">
        <f t="shared" ref="C3:C66" si="0">"description,dailCompDesc"&amp;H3&amp;G3&amp;","</f>
        <v>description,dailCompDescNecromancer1,</v>
      </c>
      <c r="D3" s="5" t="str">
        <f>"itemText,dailCompText"&amp;H3&amp;G3&amp;","</f>
        <v>itemText,dailCompTextNecromancer1,</v>
      </c>
      <c r="E3" s="5" t="s">
        <v>24</v>
      </c>
      <c r="F3" s="5" t="str">
        <f>"augmentMasteryName1,records/skills"&amp;I3&amp;","</f>
        <v>augmentMasteryName1,records/skills/playerclass07/_classtraining_class07.dbr,</v>
      </c>
      <c r="G3" s="7">
        <f>IF(I3&lt;&gt;"",1,"")</f>
        <v>1</v>
      </c>
      <c r="H3" s="3" t="s">
        <v>75</v>
      </c>
      <c r="I3" s="3" t="s">
        <v>248</v>
      </c>
      <c r="J3" s="3" t="s">
        <v>76</v>
      </c>
      <c r="K3" s="3" t="s">
        <v>77</v>
      </c>
      <c r="L3" s="5" t="str">
        <f>"lootName"&amp;G3&amp;",DAIL/items/materia/"&amp;J3&amp;"/"&amp;H3&amp;G3&amp;".dbr"&amp;","</f>
        <v>lootName1,DAIL/items/materia/class0007/Necromancer1.dbr,</v>
      </c>
      <c r="M3" s="5" t="str">
        <f>"lootWeight"&amp;G3&amp;",1,"</f>
        <v>lootWeight1,1,</v>
      </c>
      <c r="N3" t="str">
        <f>LEFT(RIGHT(E3,2),1)</f>
        <v>1</v>
      </c>
      <c r="O3" s="5" t="str">
        <f>IF(I3&lt;&gt;"","copy .\dail_base2.dbr .\items\materia\"&amp;J3&amp;"\"&amp;H3&amp;G3&amp;".dbr /y"&amp;"","")</f>
        <v>copy .\dail_base2.dbr .\items\materia\class0007\Necromancer1.dbr /y</v>
      </c>
      <c r="P3" t="str">
        <f>IF($I3&lt;&gt;"","echo "&amp;A3&amp;" &gt;&gt; .\items\materia\"&amp;$J3&amp;"\"&amp;$H3&amp;$G3&amp;".dbr","")</f>
        <v>echo relicBitmap,items/craftingparts/components/component_a52_bristlyfur_b.tex, &gt;&gt; .\items\materia\class0007\Necromancer1.dbr</v>
      </c>
      <c r="Q3" t="str">
        <f t="shared" ref="Q3:U18" si="1">IF($I3&lt;&gt;"","echo "&amp;B3&amp;" &gt;&gt; .\items\materia\"&amp;$J3&amp;"\"&amp;$H3&amp;$G3&amp;".dbr","")</f>
        <v>echo itemCost,100000, &gt;&gt; .\items\materia\class0007\Necromancer1.dbr</v>
      </c>
      <c r="R3" t="str">
        <f t="shared" si="1"/>
        <v>echo description,dailCompDescNecromancer1, &gt;&gt; .\items\materia\class0007\Necromancer1.dbr</v>
      </c>
      <c r="S3" t="str">
        <f t="shared" si="1"/>
        <v>echo itemText,dailCompTextNecromancer1, &gt;&gt; .\items\materia\class0007\Necromancer1.dbr</v>
      </c>
      <c r="T3" t="str">
        <f t="shared" si="1"/>
        <v>echo augmentMasteryLevel1,1, &gt;&gt; .\items\materia\class0007\Necromancer1.dbr</v>
      </c>
      <c r="U3" t="str">
        <f t="shared" si="1"/>
        <v>echo augmentMasteryName1,records/skills/playerclass07/_classtraining_class07.dbr, &gt;&gt; .\items\materia\class0007\Necromancer1.dbr</v>
      </c>
      <c r="V3" s="5" t="s">
        <v>36</v>
      </c>
      <c r="W3" t="str">
        <f>IF($I3&lt;&gt;"","echo "&amp;L3&amp;" &gt;&gt; .\items\loottables\"&amp;$K3&amp;".dbr","")</f>
        <v>echo lootName1,DAIL/items/materia/class0007/Necromancer1.dbr, &gt;&gt; .\items\loottables\dailoneskill0007.dbr</v>
      </c>
      <c r="X3" t="str">
        <f>IF($I3&lt;&gt;"","echo "&amp;M3&amp;" &gt;&gt; .\items\loottables\"&amp;$K3&amp;".dbr","")</f>
        <v>echo lootWeight1,1, &gt;&gt; .\items\loottables\dailoneskill0007.dbr</v>
      </c>
      <c r="Y3" s="5" t="s">
        <v>36</v>
      </c>
      <c r="Z3" s="10" t="str">
        <f>IF(I2&lt;&gt;""," dailCompDesc"&amp;H3&amp;G3&amp;"=^p"&amp;H3&amp;"'s Gift of DAIL","")</f>
        <v xml:space="preserve"> dailCompDescNecromancer1=^pNecromancer's Gift of DAIL</v>
      </c>
      <c r="AA3" s="10" t="str">
        <f>IF(I2&lt;&gt;"","dailCompText"&amp;H3&amp;G3&amp;"=^oThis feels warm to the touch, almost familiar ^w(This component fits into the amulet only)","")</f>
        <v>dailCompTextNecromancer1=^oThis feels warm to the touch, almost familiar ^w(This component fits into the amulet only)</v>
      </c>
      <c r="AB3" s="5" t="s">
        <v>36</v>
      </c>
      <c r="AD3">
        <v>1</v>
      </c>
      <c r="AE3" t="s">
        <v>42</v>
      </c>
      <c r="AF3" t="s">
        <v>45</v>
      </c>
    </row>
    <row r="4" spans="1:38" x14ac:dyDescent="0.25">
      <c r="A4" s="5" t="s">
        <v>39</v>
      </c>
      <c r="B4" s="5" t="s">
        <v>28</v>
      </c>
      <c r="C4" s="5" t="str">
        <f t="shared" si="0"/>
        <v>description,dailCompDescNecromancer2,</v>
      </c>
      <c r="D4" s="5" t="str">
        <f t="shared" ref="D4:D67" si="2">"itemText,dailCompText"&amp;H4&amp;G4&amp;","</f>
        <v>itemText,dailCompTextNecromancer2,</v>
      </c>
      <c r="E4" s="5" t="s">
        <v>1</v>
      </c>
      <c r="F4" s="5" t="str">
        <f t="shared" ref="F4:F5" si="3">"augmentMasteryName1,records/skills"&amp;I4&amp;","</f>
        <v>augmentMasteryName1,records/skills/playerclass07/_classtraining_class07.dbr,</v>
      </c>
      <c r="G4" s="7">
        <f>IF(I4&lt;&gt;"",G3+1,"")</f>
        <v>2</v>
      </c>
      <c r="H4" s="8" t="str">
        <f>H3</f>
        <v>Necromancer</v>
      </c>
      <c r="I4" s="3" t="s">
        <v>248</v>
      </c>
      <c r="J4" s="8" t="str">
        <f>J3</f>
        <v>class0007</v>
      </c>
      <c r="K4" s="8" t="str">
        <f>K3</f>
        <v>dailoneskill0007</v>
      </c>
      <c r="L4" s="5" t="str">
        <f t="shared" ref="L4:L67" si="4">"lootName"&amp;G4&amp;",DAIL/items/materia/"&amp;J4&amp;"/"&amp;H4&amp;G4&amp;".dbr"&amp;","</f>
        <v>lootName2,DAIL/items/materia/class0007/Necromancer2.dbr,</v>
      </c>
      <c r="M4" s="5" t="str">
        <f t="shared" ref="M4:M67" si="5">"lootWeight"&amp;G4&amp;",1,"</f>
        <v>lootWeight2,1,</v>
      </c>
      <c r="N4" t="str">
        <f t="shared" ref="N4:N67" si="6">LEFT(RIGHT(E4,2),1)</f>
        <v>2</v>
      </c>
      <c r="O4" s="5" t="str">
        <f>IF(I4&lt;&gt;"","copy .\dail_base2.dbr .\items\materia\"&amp;J4&amp;"\"&amp;H4&amp;G4&amp;".dbr /y"&amp;"","")</f>
        <v>copy .\dail_base2.dbr .\items\materia\class0007\Necromancer2.dbr /y</v>
      </c>
      <c r="P4" t="str">
        <f t="shared" ref="P4:U58" si="7">IF($I4&lt;&gt;"","echo "&amp;A4&amp;" &gt;&gt; .\items\materia\"&amp;$J4&amp;"\"&amp;$H4&amp;$G4&amp;".dbr","")</f>
        <v>echo relicBitmap,items/craftingparts/components/component_a52_bristlyfur_b.tex, &gt;&gt; .\items\materia\class0007\Necromancer2.dbr</v>
      </c>
      <c r="Q4" t="str">
        <f t="shared" si="1"/>
        <v>echo itemCost,300000, &gt;&gt; .\items\materia\class0007\Necromancer2.dbr</v>
      </c>
      <c r="R4" t="str">
        <f t="shared" si="1"/>
        <v>echo description,dailCompDescNecromancer2, &gt;&gt; .\items\materia\class0007\Necromancer2.dbr</v>
      </c>
      <c r="S4" t="str">
        <f t="shared" si="1"/>
        <v>echo itemText,dailCompTextNecromancer2, &gt;&gt; .\items\materia\class0007\Necromancer2.dbr</v>
      </c>
      <c r="T4" t="str">
        <f t="shared" si="1"/>
        <v>echo augmentMasteryLevel1,2, &gt;&gt; .\items\materia\class0007\Necromancer2.dbr</v>
      </c>
      <c r="U4" t="str">
        <f t="shared" si="1"/>
        <v>echo augmentMasteryName1,records/skills/playerclass07/_classtraining_class07.dbr, &gt;&gt; .\items\materia\class0007\Necromancer2.dbr</v>
      </c>
      <c r="V4" s="5" t="s">
        <v>36</v>
      </c>
      <c r="W4" t="str">
        <f t="shared" ref="W4:X67" si="8">IF($I4&lt;&gt;"","echo "&amp;L4&amp;" &gt;&gt; .\items\loottables\"&amp;$K4&amp;".dbr","")</f>
        <v>echo lootName2,DAIL/items/materia/class0007/Necromancer2.dbr, &gt;&gt; .\items\loottables\dailoneskill0007.dbr</v>
      </c>
      <c r="X4" t="str">
        <f t="shared" si="8"/>
        <v>echo lootWeight2,1, &gt;&gt; .\items\loottables\dailoneskill0007.dbr</v>
      </c>
      <c r="Y4" s="5" t="s">
        <v>36</v>
      </c>
      <c r="Z4" s="10" t="str">
        <f t="shared" ref="Z4:Z67" si="9">IF(I3&lt;&gt;""," dailCompDesc"&amp;H4&amp;G4&amp;"=^p"&amp;H4&amp;"'s Gift of DAIL","")</f>
        <v xml:space="preserve"> dailCompDescNecromancer2=^pNecromancer's Gift of DAIL</v>
      </c>
      <c r="AA4" s="10" t="str">
        <f>IF(I3&lt;&gt;"","dailCompText"&amp;H4&amp;G4&amp;"=^oThis feels warm to the touch, almost familiar ^w(This component fits into the amulet only)","")</f>
        <v>dailCompTextNecromancer2=^oThis feels warm to the touch, almost familiar ^w(This component fits into the amulet only)</v>
      </c>
      <c r="AB4" s="5" t="s">
        <v>36</v>
      </c>
      <c r="AD4">
        <v>3</v>
      </c>
      <c r="AE4" t="s">
        <v>43</v>
      </c>
      <c r="AF4" t="s">
        <v>46</v>
      </c>
    </row>
    <row r="5" spans="1:38" x14ac:dyDescent="0.25">
      <c r="A5" s="5" t="s">
        <v>39</v>
      </c>
      <c r="B5" s="5" t="s">
        <v>29</v>
      </c>
      <c r="C5" s="5" t="str">
        <f t="shared" si="0"/>
        <v>description,dailCompDescNecromancer3,</v>
      </c>
      <c r="D5" s="5" t="str">
        <f t="shared" si="2"/>
        <v>itemText,dailCompTextNecromancer3,</v>
      </c>
      <c r="E5" s="5" t="s">
        <v>25</v>
      </c>
      <c r="F5" s="5" t="str">
        <f t="shared" si="3"/>
        <v>augmentMasteryName1,records/skills/playerclass07/_classtraining_class07.dbr,</v>
      </c>
      <c r="G5" s="7">
        <f t="shared" ref="G5:G68" si="10">IF(I5&lt;&gt;"",G4+1,"")</f>
        <v>3</v>
      </c>
      <c r="H5" s="8" t="str">
        <f t="shared" ref="H5:H68" si="11">H4</f>
        <v>Necromancer</v>
      </c>
      <c r="I5" s="3" t="s">
        <v>248</v>
      </c>
      <c r="J5" s="8" t="str">
        <f t="shared" ref="J5:K20" si="12">J4</f>
        <v>class0007</v>
      </c>
      <c r="K5" s="8" t="str">
        <f t="shared" si="12"/>
        <v>dailoneskill0007</v>
      </c>
      <c r="L5" s="5" t="str">
        <f t="shared" si="4"/>
        <v>lootName3,DAIL/items/materia/class0007/Necromancer3.dbr,</v>
      </c>
      <c r="M5" s="5" t="str">
        <f t="shared" si="5"/>
        <v>lootWeight3,1,</v>
      </c>
      <c r="N5" t="str">
        <f t="shared" si="6"/>
        <v>3</v>
      </c>
      <c r="O5" s="5" t="str">
        <f>IF(I5&lt;&gt;"","copy .\dail_base2.dbr .\items\materia\"&amp;J5&amp;"\"&amp;H5&amp;G5&amp;".dbr /y"&amp;"","")</f>
        <v>copy .\dail_base2.dbr .\items\materia\class0007\Necromancer3.dbr /y</v>
      </c>
      <c r="P5" t="str">
        <f t="shared" si="7"/>
        <v>echo relicBitmap,items/craftingparts/components/component_a52_bristlyfur_b.tex, &gt;&gt; .\items\materia\class0007\Necromancer3.dbr</v>
      </c>
      <c r="Q5" t="str">
        <f t="shared" si="1"/>
        <v>echo itemCost,600000, &gt;&gt; .\items\materia\class0007\Necromancer3.dbr</v>
      </c>
      <c r="R5" t="str">
        <f t="shared" si="1"/>
        <v>echo description,dailCompDescNecromancer3, &gt;&gt; .\items\materia\class0007\Necromancer3.dbr</v>
      </c>
      <c r="S5" t="str">
        <f t="shared" si="1"/>
        <v>echo itemText,dailCompTextNecromancer3, &gt;&gt; .\items\materia\class0007\Necromancer3.dbr</v>
      </c>
      <c r="T5" t="str">
        <f t="shared" si="1"/>
        <v>echo augmentMasteryLevel1,3, &gt;&gt; .\items\materia\class0007\Necromancer3.dbr</v>
      </c>
      <c r="U5" t="str">
        <f t="shared" si="1"/>
        <v>echo augmentMasteryName1,records/skills/playerclass07/_classtraining_class07.dbr, &gt;&gt; .\items\materia\class0007\Necromancer3.dbr</v>
      </c>
      <c r="V5" s="5" t="s">
        <v>36</v>
      </c>
      <c r="W5" t="str">
        <f t="shared" si="8"/>
        <v>echo lootName3,DAIL/items/materia/class0007/Necromancer3.dbr, &gt;&gt; .\items\loottables\dailoneskill0007.dbr</v>
      </c>
      <c r="X5" t="str">
        <f t="shared" si="8"/>
        <v>echo lootWeight3,1, &gt;&gt; .\items\loottables\dailoneskill0007.dbr</v>
      </c>
      <c r="Y5" s="5" t="s">
        <v>36</v>
      </c>
      <c r="Z5" s="10" t="str">
        <f t="shared" si="9"/>
        <v xml:space="preserve"> dailCompDescNecromancer3=^pNecromancer's Gift of DAIL</v>
      </c>
      <c r="AA5" s="10" t="str">
        <f>IF(I4&lt;&gt;"","dailCompText"&amp;H5&amp;G5&amp;"=^oThis feels warm to the touch, almost familiar ^w(This component fits into the amulet only)","")</f>
        <v>dailCompTextNecromancer3=^oThis feels warm to the touch, almost familiar ^w(This component fits into the amulet only)</v>
      </c>
      <c r="AB5" s="5" t="s">
        <v>36</v>
      </c>
      <c r="AD5">
        <v>5</v>
      </c>
      <c r="AE5" t="s">
        <v>43</v>
      </c>
      <c r="AF5" t="s">
        <v>46</v>
      </c>
      <c r="AI5" t="s">
        <v>61</v>
      </c>
    </row>
    <row r="6" spans="1:38" x14ac:dyDescent="0.25">
      <c r="A6" s="5" t="s">
        <v>39</v>
      </c>
      <c r="B6" s="5" t="s">
        <v>0</v>
      </c>
      <c r="C6" s="5" t="str">
        <f t="shared" si="0"/>
        <v>description,dailCompDescNecromancer4,</v>
      </c>
      <c r="D6" s="5" t="str">
        <f t="shared" si="2"/>
        <v>itemText,dailCompTextNecromancer4,</v>
      </c>
      <c r="E6" s="5" t="str">
        <f>"augmentSkillLevel1,"&amp;AJ6&amp;","</f>
        <v>augmentSkillLevel1,1,</v>
      </c>
      <c r="F6" s="5" t="str">
        <f>"augmentSkillName1,records/skills"&amp;I6&amp;","</f>
        <v>augmentSkillName1,records/skills/playerclass07/nec_boneshield.dbr,</v>
      </c>
      <c r="G6" s="7">
        <f t="shared" si="10"/>
        <v>4</v>
      </c>
      <c r="H6" s="8" t="str">
        <f t="shared" si="11"/>
        <v>Necromancer</v>
      </c>
      <c r="I6" s="3" t="s">
        <v>154</v>
      </c>
      <c r="J6" s="8" t="str">
        <f t="shared" si="12"/>
        <v>class0007</v>
      </c>
      <c r="K6" s="8" t="str">
        <f t="shared" si="12"/>
        <v>dailoneskill0007</v>
      </c>
      <c r="L6" s="5" t="str">
        <f t="shared" si="4"/>
        <v>lootName4,DAIL/items/materia/class0007/Necromancer4.dbr,</v>
      </c>
      <c r="M6" s="5" t="str">
        <f t="shared" si="5"/>
        <v>lootWeight4,1,</v>
      </c>
      <c r="N6" t="str">
        <f t="shared" si="6"/>
        <v>1</v>
      </c>
      <c r="O6" t="str">
        <f>IF(I6&lt;&gt;"","copy .\"&amp;VLOOKUP(VALUE(N6),$AD$3:$AF$5,2,FALSE)&amp;" .\items\materia\"&amp;J6&amp;"\"&amp;H6&amp;G6&amp;".dbr /y"&amp;"","")</f>
        <v>copy .\dail_base.dbr .\items\materia\class0007\Necromancer4.dbr /y</v>
      </c>
      <c r="P6" t="str">
        <f t="shared" si="7"/>
        <v>echo relicBitmap,items/craftingparts/components/component_a52_bristlyfur_b.tex, &gt;&gt; .\items\materia\class0007\Necromancer4.dbr</v>
      </c>
      <c r="Q6" t="str">
        <f t="shared" si="1"/>
        <v>echo itemCost,100000, &gt;&gt; .\items\materia\class0007\Necromancer4.dbr</v>
      </c>
      <c r="R6" t="str">
        <f t="shared" si="1"/>
        <v>echo description,dailCompDescNecromancer4, &gt;&gt; .\items\materia\class0007\Necromancer4.dbr</v>
      </c>
      <c r="S6" t="str">
        <f t="shared" si="1"/>
        <v>echo itemText,dailCompTextNecromancer4, &gt;&gt; .\items\materia\class0007\Necromancer4.dbr</v>
      </c>
      <c r="T6" t="str">
        <f t="shared" si="1"/>
        <v>echo augmentSkillLevel1,1, &gt;&gt; .\items\materia\class0007\Necromancer4.dbr</v>
      </c>
      <c r="U6" t="str">
        <f t="shared" si="1"/>
        <v>echo augmentSkillName1,records/skills/playerclass07/nec_boneshield.dbr, &gt;&gt; .\items\materia\class0007\Necromancer4.dbr</v>
      </c>
      <c r="V6" s="5" t="s">
        <v>36</v>
      </c>
      <c r="W6" t="str">
        <f t="shared" si="8"/>
        <v>echo lootName4,DAIL/items/materia/class0007/Necromancer4.dbr, &gt;&gt; .\items\loottables\dailoneskill0007.dbr</v>
      </c>
      <c r="X6" t="str">
        <f t="shared" si="8"/>
        <v>echo lootWeight4,1, &gt;&gt; .\items\loottables\dailoneskill0007.dbr</v>
      </c>
      <c r="Y6" s="5" t="s">
        <v>36</v>
      </c>
      <c r="Z6" t="str">
        <f t="shared" si="9"/>
        <v xml:space="preserve"> dailCompDescNecromancer4=^pNecromancer's Gift of DAIL</v>
      </c>
      <c r="AA6" t="str">
        <f>IF(I5&lt;&gt;"","dailCompText"&amp;H6&amp;G6&amp;"=^oThis feels warm to the touch, almost familiar ^w("&amp;VLOOKUP(VALUE(N6),$AD$3:$AF$5,3,FALSE)&amp;")","")</f>
        <v>dailCompTextNecromancer4=^oThis feels warm to the touch, almost familiar ^w(This component fits into all Jewellery slots including the Belt And Shoulder)</v>
      </c>
      <c r="AB6" s="5" t="s">
        <v>36</v>
      </c>
      <c r="AH6">
        <v>1</v>
      </c>
      <c r="AI6">
        <f t="shared" ref="AI6:AI37" si="13">LEN(I6)</f>
        <v>33</v>
      </c>
      <c r="AJ6">
        <f>IF(AH6&lt;$AL$7,1,IF(AH6&lt;$AL$8,3,5))</f>
        <v>1</v>
      </c>
      <c r="AK6" s="1" t="s">
        <v>62</v>
      </c>
      <c r="AL6" s="1">
        <f>COUNTIF(AI:AI,"&gt;0")</f>
        <v>96</v>
      </c>
    </row>
    <row r="7" spans="1:38" x14ac:dyDescent="0.25">
      <c r="A7" s="5" t="s">
        <v>39</v>
      </c>
      <c r="B7" s="5" t="s">
        <v>0</v>
      </c>
      <c r="C7" s="5" t="str">
        <f t="shared" si="0"/>
        <v>description,dailCompDescNecromancer5,</v>
      </c>
      <c r="D7" s="5" t="str">
        <f t="shared" si="2"/>
        <v>itemText,dailCompTextNecromancer5,</v>
      </c>
      <c r="E7" s="5" t="str">
        <f t="shared" ref="E7:E70" si="14">"augmentSkillLevel1,"&amp;AJ7&amp;","</f>
        <v>augmentSkillLevel1,1,</v>
      </c>
      <c r="F7" s="5" t="str">
        <f t="shared" ref="F7:F70" si="15">"augmentSkillName1,records/skills"&amp;I7&amp;","</f>
        <v>augmentSkillName1,records/skills/playerclass07/nec_boneshield_mod.dbr,</v>
      </c>
      <c r="G7" s="7">
        <f t="shared" si="10"/>
        <v>5</v>
      </c>
      <c r="H7" s="8" t="str">
        <f t="shared" si="11"/>
        <v>Necromancer</v>
      </c>
      <c r="I7" s="3" t="s">
        <v>358</v>
      </c>
      <c r="J7" s="8" t="str">
        <f t="shared" si="12"/>
        <v>class0007</v>
      </c>
      <c r="K7" s="8" t="str">
        <f t="shared" si="12"/>
        <v>dailoneskill0007</v>
      </c>
      <c r="L7" s="5" t="str">
        <f t="shared" si="4"/>
        <v>lootName5,DAIL/items/materia/class0007/Necromancer5.dbr,</v>
      </c>
      <c r="M7" s="5" t="str">
        <f t="shared" si="5"/>
        <v>lootWeight5,1,</v>
      </c>
      <c r="N7" t="str">
        <f t="shared" si="6"/>
        <v>1</v>
      </c>
      <c r="O7" t="str">
        <f t="shared" ref="O7:O70" si="16">IF(I7&lt;&gt;"","copy .\"&amp;VLOOKUP(VALUE(N7),$AD$3:$AF$5,2,FALSE)&amp;" .\items\materia\"&amp;J7&amp;"\"&amp;H7&amp;G7&amp;".dbr /y"&amp;"","")</f>
        <v>copy .\dail_base.dbr .\items\materia\class0007\Necromancer5.dbr /y</v>
      </c>
      <c r="P7" t="str">
        <f t="shared" si="7"/>
        <v>echo relicBitmap,items/craftingparts/components/component_a52_bristlyfur_b.tex, &gt;&gt; .\items\materia\class0007\Necromancer5.dbr</v>
      </c>
      <c r="Q7" t="str">
        <f t="shared" si="1"/>
        <v>echo itemCost,100000, &gt;&gt; .\items\materia\class0007\Necromancer5.dbr</v>
      </c>
      <c r="R7" t="str">
        <f t="shared" si="1"/>
        <v>echo description,dailCompDescNecromancer5, &gt;&gt; .\items\materia\class0007\Necromancer5.dbr</v>
      </c>
      <c r="S7" t="str">
        <f t="shared" si="1"/>
        <v>echo itemText,dailCompTextNecromancer5, &gt;&gt; .\items\materia\class0007\Necromancer5.dbr</v>
      </c>
      <c r="T7" t="str">
        <f t="shared" si="1"/>
        <v>echo augmentSkillLevel1,1, &gt;&gt; .\items\materia\class0007\Necromancer5.dbr</v>
      </c>
      <c r="U7" t="str">
        <f t="shared" si="1"/>
        <v>echo augmentSkillName1,records/skills/playerclass07/nec_boneshield_mod.dbr, &gt;&gt; .\items\materia\class0007\Necromancer5.dbr</v>
      </c>
      <c r="V7" s="5" t="s">
        <v>36</v>
      </c>
      <c r="W7" t="str">
        <f t="shared" si="8"/>
        <v>echo lootName5,DAIL/items/materia/class0007/Necromancer5.dbr, &gt;&gt; .\items\loottables\dailoneskill0007.dbr</v>
      </c>
      <c r="X7" t="str">
        <f t="shared" si="8"/>
        <v>echo lootWeight5,1, &gt;&gt; .\items\loottables\dailoneskill0007.dbr</v>
      </c>
      <c r="Y7" s="5" t="s">
        <v>36</v>
      </c>
      <c r="Z7" t="str">
        <f t="shared" si="9"/>
        <v xml:space="preserve"> dailCompDescNecromancer5=^pNecromancer's Gift of DAIL</v>
      </c>
      <c r="AA7" t="str">
        <f t="shared" ref="AA7:AA70" si="17">IF(I6&lt;&gt;"","dailCompText"&amp;H7&amp;G7&amp;"=^oThis feels warm to the touch, almost familiar ^w("&amp;VLOOKUP(VALUE(N7),$AD$3:$AF$5,3,FALSE)&amp;")","")</f>
        <v>dailCompTextNecromancer5=^oThis feels warm to the touch, almost familiar ^w(This component fits into all Jewellery slots including the Belt And Shoulder)</v>
      </c>
      <c r="AB7" s="5" t="s">
        <v>36</v>
      </c>
      <c r="AH7">
        <f>AH6+1</f>
        <v>2</v>
      </c>
      <c r="AI7">
        <f t="shared" si="13"/>
        <v>37</v>
      </c>
      <c r="AJ7">
        <f t="shared" ref="AJ7:AJ70" si="18">IF(AH7&lt;$AL$7,1,IF(AH7&lt;$AL$8,3,5))</f>
        <v>1</v>
      </c>
      <c r="AK7">
        <v>1</v>
      </c>
      <c r="AL7">
        <f>AL6/3</f>
        <v>32</v>
      </c>
    </row>
    <row r="8" spans="1:38" x14ac:dyDescent="0.25">
      <c r="A8" s="5" t="s">
        <v>39</v>
      </c>
      <c r="B8" s="5" t="s">
        <v>0</v>
      </c>
      <c r="C8" s="5" t="str">
        <f t="shared" si="0"/>
        <v>description,dailCompDescNecromancer6,</v>
      </c>
      <c r="D8" s="5" t="str">
        <f t="shared" si="2"/>
        <v>itemText,dailCompTextNecromancer6,</v>
      </c>
      <c r="E8" s="5" t="str">
        <f t="shared" si="14"/>
        <v>augmentSkillLevel1,1,</v>
      </c>
      <c r="F8" s="5" t="str">
        <f t="shared" si="15"/>
        <v>augmentSkillName1,records/skills/playerclass07/darkattack.dbr,</v>
      </c>
      <c r="G8" s="7">
        <f t="shared" si="10"/>
        <v>6</v>
      </c>
      <c r="H8" s="8" t="str">
        <f t="shared" si="11"/>
        <v>Necromancer</v>
      </c>
      <c r="I8" s="3" t="s">
        <v>152</v>
      </c>
      <c r="J8" s="8" t="str">
        <f t="shared" si="12"/>
        <v>class0007</v>
      </c>
      <c r="K8" s="8" t="str">
        <f t="shared" si="12"/>
        <v>dailoneskill0007</v>
      </c>
      <c r="L8" s="5" t="str">
        <f t="shared" si="4"/>
        <v>lootName6,DAIL/items/materia/class0007/Necromancer6.dbr,</v>
      </c>
      <c r="M8" s="5" t="str">
        <f t="shared" si="5"/>
        <v>lootWeight6,1,</v>
      </c>
      <c r="N8" t="str">
        <f t="shared" si="6"/>
        <v>1</v>
      </c>
      <c r="O8" t="str">
        <f t="shared" si="16"/>
        <v>copy .\dail_base.dbr .\items\materia\class0007\Necromancer6.dbr /y</v>
      </c>
      <c r="P8" t="str">
        <f t="shared" si="7"/>
        <v>echo relicBitmap,items/craftingparts/components/component_a52_bristlyfur_b.tex, &gt;&gt; .\items\materia\class0007\Necromancer6.dbr</v>
      </c>
      <c r="Q8" t="str">
        <f t="shared" si="1"/>
        <v>echo itemCost,100000, &gt;&gt; .\items\materia\class0007\Necromancer6.dbr</v>
      </c>
      <c r="R8" t="str">
        <f t="shared" si="1"/>
        <v>echo description,dailCompDescNecromancer6, &gt;&gt; .\items\materia\class0007\Necromancer6.dbr</v>
      </c>
      <c r="S8" t="str">
        <f t="shared" si="1"/>
        <v>echo itemText,dailCompTextNecromancer6, &gt;&gt; .\items\materia\class0007\Necromancer6.dbr</v>
      </c>
      <c r="T8" t="str">
        <f t="shared" si="1"/>
        <v>echo augmentSkillLevel1,1, &gt;&gt; .\items\materia\class0007\Necromancer6.dbr</v>
      </c>
      <c r="U8" t="str">
        <f t="shared" si="1"/>
        <v>echo augmentSkillName1,records/skills/playerclass07/darkattack.dbr, &gt;&gt; .\items\materia\class0007\Necromancer6.dbr</v>
      </c>
      <c r="V8" s="5" t="s">
        <v>36</v>
      </c>
      <c r="W8" t="str">
        <f t="shared" si="8"/>
        <v>echo lootName6,DAIL/items/materia/class0007/Necromancer6.dbr, &gt;&gt; .\items\loottables\dailoneskill0007.dbr</v>
      </c>
      <c r="X8" t="str">
        <f t="shared" si="8"/>
        <v>echo lootWeight6,1, &gt;&gt; .\items\loottables\dailoneskill0007.dbr</v>
      </c>
      <c r="Y8" s="5" t="s">
        <v>36</v>
      </c>
      <c r="Z8" t="str">
        <f t="shared" si="9"/>
        <v xml:space="preserve"> dailCompDescNecromancer6=^pNecromancer's Gift of DAIL</v>
      </c>
      <c r="AA8" t="str">
        <f t="shared" si="17"/>
        <v>dailCompTextNecromancer6=^oThis feels warm to the touch, almost familiar ^w(This component fits into all Jewellery slots including the Belt And Shoulder)</v>
      </c>
      <c r="AB8" s="5" t="s">
        <v>36</v>
      </c>
      <c r="AH8">
        <f t="shared" ref="AH8:AH71" si="19">AH7+1</f>
        <v>3</v>
      </c>
      <c r="AI8">
        <f t="shared" si="13"/>
        <v>29</v>
      </c>
      <c r="AJ8">
        <f t="shared" si="18"/>
        <v>1</v>
      </c>
      <c r="AK8" s="1">
        <v>3</v>
      </c>
      <c r="AL8">
        <f>AL7*2</f>
        <v>64</v>
      </c>
    </row>
    <row r="9" spans="1:38" x14ac:dyDescent="0.25">
      <c r="A9" s="5" t="s">
        <v>39</v>
      </c>
      <c r="B9" s="5" t="s">
        <v>0</v>
      </c>
      <c r="C9" s="5" t="str">
        <f t="shared" si="0"/>
        <v>description,dailCompDescNecromancer7,</v>
      </c>
      <c r="D9" s="5" t="str">
        <f t="shared" si="2"/>
        <v>itemText,dailCompTextNecromancer7,</v>
      </c>
      <c r="E9" s="5" t="str">
        <f t="shared" si="14"/>
        <v>augmentSkillLevel1,1,</v>
      </c>
      <c r="F9" s="5" t="str">
        <f t="shared" si="15"/>
        <v>augmentSkillName1,records/skills/playerclass07/darkattack2.dbr,</v>
      </c>
      <c r="G9" s="7">
        <f t="shared" si="10"/>
        <v>7</v>
      </c>
      <c r="H9" s="8" t="str">
        <f t="shared" si="11"/>
        <v>Necromancer</v>
      </c>
      <c r="I9" s="3" t="s">
        <v>359</v>
      </c>
      <c r="J9" s="8" t="str">
        <f t="shared" si="12"/>
        <v>class0007</v>
      </c>
      <c r="K9" s="8" t="str">
        <f t="shared" si="12"/>
        <v>dailoneskill0007</v>
      </c>
      <c r="L9" s="5" t="str">
        <f t="shared" si="4"/>
        <v>lootName7,DAIL/items/materia/class0007/Necromancer7.dbr,</v>
      </c>
      <c r="M9" s="5" t="str">
        <f t="shared" si="5"/>
        <v>lootWeight7,1,</v>
      </c>
      <c r="N9" t="str">
        <f t="shared" si="6"/>
        <v>1</v>
      </c>
      <c r="O9" t="str">
        <f t="shared" si="16"/>
        <v>copy .\dail_base.dbr .\items\materia\class0007\Necromancer7.dbr /y</v>
      </c>
      <c r="P9" t="str">
        <f t="shared" si="7"/>
        <v>echo relicBitmap,items/craftingparts/components/component_a52_bristlyfur_b.tex, &gt;&gt; .\items\materia\class0007\Necromancer7.dbr</v>
      </c>
      <c r="Q9" t="str">
        <f t="shared" si="1"/>
        <v>echo itemCost,100000, &gt;&gt; .\items\materia\class0007\Necromancer7.dbr</v>
      </c>
      <c r="R9" t="str">
        <f t="shared" si="1"/>
        <v>echo description,dailCompDescNecromancer7, &gt;&gt; .\items\materia\class0007\Necromancer7.dbr</v>
      </c>
      <c r="S9" t="str">
        <f t="shared" si="1"/>
        <v>echo itemText,dailCompTextNecromancer7, &gt;&gt; .\items\materia\class0007\Necromancer7.dbr</v>
      </c>
      <c r="T9" t="str">
        <f t="shared" si="1"/>
        <v>echo augmentSkillLevel1,1, &gt;&gt; .\items\materia\class0007\Necromancer7.dbr</v>
      </c>
      <c r="U9" t="str">
        <f t="shared" si="1"/>
        <v>echo augmentSkillName1,records/skills/playerclass07/darkattack2.dbr, &gt;&gt; .\items\materia\class0007\Necromancer7.dbr</v>
      </c>
      <c r="V9" s="5" t="s">
        <v>36</v>
      </c>
      <c r="W9" t="str">
        <f t="shared" si="8"/>
        <v>echo lootName7,DAIL/items/materia/class0007/Necromancer7.dbr, &gt;&gt; .\items\loottables\dailoneskill0007.dbr</v>
      </c>
      <c r="X9" t="str">
        <f t="shared" si="8"/>
        <v>echo lootWeight7,1, &gt;&gt; .\items\loottables\dailoneskill0007.dbr</v>
      </c>
      <c r="Y9" s="5" t="s">
        <v>36</v>
      </c>
      <c r="Z9" t="str">
        <f t="shared" si="9"/>
        <v xml:space="preserve"> dailCompDescNecromancer7=^pNecromancer's Gift of DAIL</v>
      </c>
      <c r="AA9" t="str">
        <f t="shared" si="17"/>
        <v>dailCompTextNecromancer7=^oThis feels warm to the touch, almost familiar ^w(This component fits into all Jewellery slots including the Belt And Shoulder)</v>
      </c>
      <c r="AB9" s="5" t="s">
        <v>36</v>
      </c>
      <c r="AH9">
        <f t="shared" si="19"/>
        <v>4</v>
      </c>
      <c r="AI9">
        <f t="shared" si="13"/>
        <v>30</v>
      </c>
      <c r="AJ9">
        <f t="shared" si="18"/>
        <v>1</v>
      </c>
      <c r="AK9" s="1">
        <v>5</v>
      </c>
      <c r="AL9">
        <f>AL6</f>
        <v>96</v>
      </c>
    </row>
    <row r="10" spans="1:38" x14ac:dyDescent="0.25">
      <c r="A10" s="5" t="s">
        <v>39</v>
      </c>
      <c r="B10" s="5" t="s">
        <v>0</v>
      </c>
      <c r="C10" s="5" t="str">
        <f t="shared" si="0"/>
        <v>description,dailCompDescNecromancer8,</v>
      </c>
      <c r="D10" s="5" t="str">
        <f t="shared" si="2"/>
        <v>itemText,dailCompTextNecromancer8,</v>
      </c>
      <c r="E10" s="5" t="str">
        <f t="shared" si="14"/>
        <v>augmentSkillLevel1,1,</v>
      </c>
      <c r="F10" s="5" t="str">
        <f t="shared" si="15"/>
        <v>augmentSkillName1,records/skills/playerclass07/darkattack3.dbr,</v>
      </c>
      <c r="G10" s="7">
        <f t="shared" si="10"/>
        <v>8</v>
      </c>
      <c r="H10" s="8" t="str">
        <f t="shared" si="11"/>
        <v>Necromancer</v>
      </c>
      <c r="I10" s="3" t="s">
        <v>360</v>
      </c>
      <c r="J10" s="8" t="str">
        <f t="shared" si="12"/>
        <v>class0007</v>
      </c>
      <c r="K10" s="8" t="str">
        <f t="shared" si="12"/>
        <v>dailoneskill0007</v>
      </c>
      <c r="L10" s="5" t="str">
        <f t="shared" si="4"/>
        <v>lootName8,DAIL/items/materia/class0007/Necromancer8.dbr,</v>
      </c>
      <c r="M10" s="5" t="str">
        <f t="shared" si="5"/>
        <v>lootWeight8,1,</v>
      </c>
      <c r="N10" t="str">
        <f t="shared" si="6"/>
        <v>1</v>
      </c>
      <c r="O10" t="str">
        <f t="shared" si="16"/>
        <v>copy .\dail_base.dbr .\items\materia\class0007\Necromancer8.dbr /y</v>
      </c>
      <c r="P10" t="str">
        <f t="shared" si="7"/>
        <v>echo relicBitmap,items/craftingparts/components/component_a52_bristlyfur_b.tex, &gt;&gt; .\items\materia\class0007\Necromancer8.dbr</v>
      </c>
      <c r="Q10" t="str">
        <f t="shared" si="1"/>
        <v>echo itemCost,100000, &gt;&gt; .\items\materia\class0007\Necromancer8.dbr</v>
      </c>
      <c r="R10" t="str">
        <f t="shared" si="1"/>
        <v>echo description,dailCompDescNecromancer8, &gt;&gt; .\items\materia\class0007\Necromancer8.dbr</v>
      </c>
      <c r="S10" t="str">
        <f t="shared" si="1"/>
        <v>echo itemText,dailCompTextNecromancer8, &gt;&gt; .\items\materia\class0007\Necromancer8.dbr</v>
      </c>
      <c r="T10" t="str">
        <f t="shared" si="1"/>
        <v>echo augmentSkillLevel1,1, &gt;&gt; .\items\materia\class0007\Necromancer8.dbr</v>
      </c>
      <c r="U10" t="str">
        <f t="shared" si="1"/>
        <v>echo augmentSkillName1,records/skills/playerclass07/darkattack3.dbr, &gt;&gt; .\items\materia\class0007\Necromancer8.dbr</v>
      </c>
      <c r="V10" s="5" t="s">
        <v>36</v>
      </c>
      <c r="W10" t="str">
        <f t="shared" si="8"/>
        <v>echo lootName8,DAIL/items/materia/class0007/Necromancer8.dbr, &gt;&gt; .\items\loottables\dailoneskill0007.dbr</v>
      </c>
      <c r="X10" t="str">
        <f t="shared" si="8"/>
        <v>echo lootWeight8,1, &gt;&gt; .\items\loottables\dailoneskill0007.dbr</v>
      </c>
      <c r="Y10" s="5" t="s">
        <v>36</v>
      </c>
      <c r="Z10" t="str">
        <f t="shared" si="9"/>
        <v xml:space="preserve"> dailCompDescNecromancer8=^pNecromancer's Gift of DAIL</v>
      </c>
      <c r="AA10" t="str">
        <f t="shared" si="17"/>
        <v>dailCompTextNecromancer8=^oThis feels warm to the touch, almost familiar ^w(This component fits into all Jewellery slots including the Belt And Shoulder)</v>
      </c>
      <c r="AB10" s="5" t="s">
        <v>36</v>
      </c>
      <c r="AH10">
        <f t="shared" si="19"/>
        <v>5</v>
      </c>
      <c r="AI10">
        <f t="shared" si="13"/>
        <v>30</v>
      </c>
      <c r="AJ10">
        <f t="shared" si="18"/>
        <v>1</v>
      </c>
    </row>
    <row r="11" spans="1:38" x14ac:dyDescent="0.25">
      <c r="A11" s="5" t="s">
        <v>39</v>
      </c>
      <c r="B11" s="5" t="s">
        <v>0</v>
      </c>
      <c r="C11" s="5" t="str">
        <f t="shared" si="0"/>
        <v>description,dailCompDescNecromancer9,</v>
      </c>
      <c r="D11" s="5" t="str">
        <f t="shared" si="2"/>
        <v>itemText,dailCompTextNecromancer9,</v>
      </c>
      <c r="E11" s="5" t="str">
        <f t="shared" si="14"/>
        <v>augmentSkillLevel1,1,</v>
      </c>
      <c r="F11" s="5" t="str">
        <f t="shared" si="15"/>
        <v>augmentSkillName1,records/skills/playerclass07/darkattack_tra.dbr,</v>
      </c>
      <c r="G11" s="7">
        <f t="shared" si="10"/>
        <v>9</v>
      </c>
      <c r="H11" s="8" t="str">
        <f t="shared" si="11"/>
        <v>Necromancer</v>
      </c>
      <c r="I11" s="3" t="s">
        <v>361</v>
      </c>
      <c r="J11" s="8" t="str">
        <f t="shared" si="12"/>
        <v>class0007</v>
      </c>
      <c r="K11" s="8" t="str">
        <f t="shared" si="12"/>
        <v>dailoneskill0007</v>
      </c>
      <c r="L11" s="5" t="str">
        <f t="shared" si="4"/>
        <v>lootName9,DAIL/items/materia/class0007/Necromancer9.dbr,</v>
      </c>
      <c r="M11" s="5" t="str">
        <f t="shared" si="5"/>
        <v>lootWeight9,1,</v>
      </c>
      <c r="N11" t="str">
        <f t="shared" si="6"/>
        <v>1</v>
      </c>
      <c r="O11" t="str">
        <f t="shared" si="16"/>
        <v>copy .\dail_base.dbr .\items\materia\class0007\Necromancer9.dbr /y</v>
      </c>
      <c r="P11" t="str">
        <f t="shared" si="7"/>
        <v>echo relicBitmap,items/craftingparts/components/component_a52_bristlyfur_b.tex, &gt;&gt; .\items\materia\class0007\Necromancer9.dbr</v>
      </c>
      <c r="Q11" t="str">
        <f t="shared" si="1"/>
        <v>echo itemCost,100000, &gt;&gt; .\items\materia\class0007\Necromancer9.dbr</v>
      </c>
      <c r="R11" t="str">
        <f t="shared" si="1"/>
        <v>echo description,dailCompDescNecromancer9, &gt;&gt; .\items\materia\class0007\Necromancer9.dbr</v>
      </c>
      <c r="S11" t="str">
        <f t="shared" si="1"/>
        <v>echo itemText,dailCompTextNecromancer9, &gt;&gt; .\items\materia\class0007\Necromancer9.dbr</v>
      </c>
      <c r="T11" t="str">
        <f t="shared" si="1"/>
        <v>echo augmentSkillLevel1,1, &gt;&gt; .\items\materia\class0007\Necromancer9.dbr</v>
      </c>
      <c r="U11" t="str">
        <f t="shared" si="1"/>
        <v>echo augmentSkillName1,records/skills/playerclass07/darkattack_tra.dbr, &gt;&gt; .\items\materia\class0007\Necromancer9.dbr</v>
      </c>
      <c r="V11" s="5" t="s">
        <v>36</v>
      </c>
      <c r="W11" t="str">
        <f t="shared" si="8"/>
        <v>echo lootName9,DAIL/items/materia/class0007/Necromancer9.dbr, &gt;&gt; .\items\loottables\dailoneskill0007.dbr</v>
      </c>
      <c r="X11" t="str">
        <f t="shared" si="8"/>
        <v>echo lootWeight9,1, &gt;&gt; .\items\loottables\dailoneskill0007.dbr</v>
      </c>
      <c r="Y11" s="5" t="s">
        <v>36</v>
      </c>
      <c r="Z11" t="str">
        <f t="shared" si="9"/>
        <v xml:space="preserve"> dailCompDescNecromancer9=^pNecromancer's Gift of DAIL</v>
      </c>
      <c r="AA11" t="str">
        <f t="shared" si="17"/>
        <v>dailCompTextNecromancer9=^oThis feels warm to the touch, almost familiar ^w(This component fits into all Jewellery slots including the Belt And Shoulder)</v>
      </c>
      <c r="AB11" s="5" t="s">
        <v>36</v>
      </c>
      <c r="AH11">
        <f t="shared" si="19"/>
        <v>6</v>
      </c>
      <c r="AI11">
        <f t="shared" si="13"/>
        <v>33</v>
      </c>
      <c r="AJ11">
        <f t="shared" si="18"/>
        <v>1</v>
      </c>
    </row>
    <row r="12" spans="1:38" x14ac:dyDescent="0.25">
      <c r="A12" s="5" t="s">
        <v>39</v>
      </c>
      <c r="B12" s="5" t="s">
        <v>0</v>
      </c>
      <c r="C12" s="5" t="str">
        <f t="shared" si="0"/>
        <v>description,dailCompDescNecromancer10,</v>
      </c>
      <c r="D12" s="5" t="str">
        <f t="shared" si="2"/>
        <v>itemText,dailCompTextNecromancer10,</v>
      </c>
      <c r="E12" s="5" t="str">
        <f t="shared" si="14"/>
        <v>augmentSkillLevel1,1,</v>
      </c>
      <c r="F12" s="5" t="str">
        <f t="shared" si="15"/>
        <v>augmentSkillName1,records/skills/playerclass07/unmaking1.dbr,</v>
      </c>
      <c r="G12" s="7">
        <f t="shared" si="10"/>
        <v>10</v>
      </c>
      <c r="H12" s="8" t="str">
        <f t="shared" si="11"/>
        <v>Necromancer</v>
      </c>
      <c r="I12" s="3" t="s">
        <v>164</v>
      </c>
      <c r="J12" s="8" t="str">
        <f t="shared" si="12"/>
        <v>class0007</v>
      </c>
      <c r="K12" s="8" t="str">
        <f t="shared" si="12"/>
        <v>dailoneskill0007</v>
      </c>
      <c r="L12" s="5" t="str">
        <f t="shared" si="4"/>
        <v>lootName10,DAIL/items/materia/class0007/Necromancer10.dbr,</v>
      </c>
      <c r="M12" s="5" t="str">
        <f t="shared" si="5"/>
        <v>lootWeight10,1,</v>
      </c>
      <c r="N12" t="str">
        <f t="shared" si="6"/>
        <v>1</v>
      </c>
      <c r="O12" t="str">
        <f t="shared" si="16"/>
        <v>copy .\dail_base.dbr .\items\materia\class0007\Necromancer10.dbr /y</v>
      </c>
      <c r="P12" t="str">
        <f t="shared" si="7"/>
        <v>echo relicBitmap,items/craftingparts/components/component_a52_bristlyfur_b.tex, &gt;&gt; .\items\materia\class0007\Necromancer10.dbr</v>
      </c>
      <c r="Q12" t="str">
        <f t="shared" si="1"/>
        <v>echo itemCost,100000, &gt;&gt; .\items\materia\class0007\Necromancer10.dbr</v>
      </c>
      <c r="R12" t="str">
        <f t="shared" si="1"/>
        <v>echo description,dailCompDescNecromancer10, &gt;&gt; .\items\materia\class0007\Necromancer10.dbr</v>
      </c>
      <c r="S12" t="str">
        <f t="shared" si="1"/>
        <v>echo itemText,dailCompTextNecromancer10, &gt;&gt; .\items\materia\class0007\Necromancer10.dbr</v>
      </c>
      <c r="T12" t="str">
        <f t="shared" si="1"/>
        <v>echo augmentSkillLevel1,1, &gt;&gt; .\items\materia\class0007\Necromancer10.dbr</v>
      </c>
      <c r="U12" t="str">
        <f t="shared" si="1"/>
        <v>echo augmentSkillName1,records/skills/playerclass07/unmaking1.dbr, &gt;&gt; .\items\materia\class0007\Necromancer10.dbr</v>
      </c>
      <c r="V12" s="5" t="s">
        <v>36</v>
      </c>
      <c r="W12" t="str">
        <f t="shared" si="8"/>
        <v>echo lootName10,DAIL/items/materia/class0007/Necromancer10.dbr, &gt;&gt; .\items\loottables\dailoneskill0007.dbr</v>
      </c>
      <c r="X12" t="str">
        <f t="shared" si="8"/>
        <v>echo lootWeight10,1, &gt;&gt; .\items\loottables\dailoneskill0007.dbr</v>
      </c>
      <c r="Y12" s="5" t="s">
        <v>36</v>
      </c>
      <c r="Z12" t="str">
        <f t="shared" si="9"/>
        <v xml:space="preserve"> dailCompDescNecromancer10=^pNecromancer's Gift of DAIL</v>
      </c>
      <c r="AA12" t="str">
        <f t="shared" si="17"/>
        <v>dailCompTextNecromancer10=^oThis feels warm to the touch, almost familiar ^w(This component fits into all Jewellery slots including the Belt And Shoulder)</v>
      </c>
      <c r="AB12" s="5" t="s">
        <v>36</v>
      </c>
      <c r="AH12">
        <f t="shared" si="19"/>
        <v>7</v>
      </c>
      <c r="AI12">
        <f t="shared" si="13"/>
        <v>28</v>
      </c>
      <c r="AJ12">
        <f t="shared" si="18"/>
        <v>1</v>
      </c>
    </row>
    <row r="13" spans="1:38" x14ac:dyDescent="0.25">
      <c r="A13" s="5" t="s">
        <v>39</v>
      </c>
      <c r="B13" s="5" t="s">
        <v>0</v>
      </c>
      <c r="C13" s="5" t="str">
        <f t="shared" si="0"/>
        <v>description,dailCompDescNecromancer11,</v>
      </c>
      <c r="D13" s="5" t="str">
        <f t="shared" si="2"/>
        <v>itemText,dailCompTextNecromancer11,</v>
      </c>
      <c r="E13" s="5" t="str">
        <f t="shared" si="14"/>
        <v>augmentSkillLevel1,1,</v>
      </c>
      <c r="F13" s="5" t="str">
        <f t="shared" si="15"/>
        <v>augmentSkillName1,records/skills/playerclass07/unmaking2.dbr,</v>
      </c>
      <c r="G13" s="7">
        <f t="shared" si="10"/>
        <v>11</v>
      </c>
      <c r="H13" s="8" t="str">
        <f t="shared" si="11"/>
        <v>Necromancer</v>
      </c>
      <c r="I13" s="3" t="s">
        <v>362</v>
      </c>
      <c r="J13" s="8" t="str">
        <f t="shared" si="12"/>
        <v>class0007</v>
      </c>
      <c r="K13" s="8" t="str">
        <f t="shared" si="12"/>
        <v>dailoneskill0007</v>
      </c>
      <c r="L13" s="5" t="str">
        <f t="shared" si="4"/>
        <v>lootName11,DAIL/items/materia/class0007/Necromancer11.dbr,</v>
      </c>
      <c r="M13" s="5" t="str">
        <f t="shared" si="5"/>
        <v>lootWeight11,1,</v>
      </c>
      <c r="N13" t="str">
        <f t="shared" si="6"/>
        <v>1</v>
      </c>
      <c r="O13" t="str">
        <f t="shared" si="16"/>
        <v>copy .\dail_base.dbr .\items\materia\class0007\Necromancer11.dbr /y</v>
      </c>
      <c r="P13" t="str">
        <f t="shared" si="7"/>
        <v>echo relicBitmap,items/craftingparts/components/component_a52_bristlyfur_b.tex, &gt;&gt; .\items\materia\class0007\Necromancer11.dbr</v>
      </c>
      <c r="Q13" t="str">
        <f t="shared" si="1"/>
        <v>echo itemCost,100000, &gt;&gt; .\items\materia\class0007\Necromancer11.dbr</v>
      </c>
      <c r="R13" t="str">
        <f t="shared" si="1"/>
        <v>echo description,dailCompDescNecromancer11, &gt;&gt; .\items\materia\class0007\Necromancer11.dbr</v>
      </c>
      <c r="S13" t="str">
        <f t="shared" si="1"/>
        <v>echo itemText,dailCompTextNecromancer11, &gt;&gt; .\items\materia\class0007\Necromancer11.dbr</v>
      </c>
      <c r="T13" t="str">
        <f t="shared" si="1"/>
        <v>echo augmentSkillLevel1,1, &gt;&gt; .\items\materia\class0007\Necromancer11.dbr</v>
      </c>
      <c r="U13" t="str">
        <f t="shared" si="1"/>
        <v>echo augmentSkillName1,records/skills/playerclass07/unmaking2.dbr, &gt;&gt; .\items\materia\class0007\Necromancer11.dbr</v>
      </c>
      <c r="V13" s="5" t="s">
        <v>36</v>
      </c>
      <c r="W13" t="str">
        <f t="shared" si="8"/>
        <v>echo lootName11,DAIL/items/materia/class0007/Necromancer11.dbr, &gt;&gt; .\items\loottables\dailoneskill0007.dbr</v>
      </c>
      <c r="X13" t="str">
        <f t="shared" si="8"/>
        <v>echo lootWeight11,1, &gt;&gt; .\items\loottables\dailoneskill0007.dbr</v>
      </c>
      <c r="Y13" s="5" t="s">
        <v>36</v>
      </c>
      <c r="Z13" t="str">
        <f t="shared" si="9"/>
        <v xml:space="preserve"> dailCompDescNecromancer11=^pNecromancer's Gift of DAIL</v>
      </c>
      <c r="AA13" t="str">
        <f t="shared" si="17"/>
        <v>dailCompTextNecromancer11=^oThis feels warm to the touch, almost familiar ^w(This component fits into all Jewellery slots including the Belt And Shoulder)</v>
      </c>
      <c r="AB13" s="5" t="s">
        <v>36</v>
      </c>
      <c r="AH13">
        <f t="shared" si="19"/>
        <v>8</v>
      </c>
      <c r="AI13">
        <f t="shared" si="13"/>
        <v>28</v>
      </c>
      <c r="AJ13">
        <f t="shared" si="18"/>
        <v>1</v>
      </c>
    </row>
    <row r="14" spans="1:38" x14ac:dyDescent="0.25">
      <c r="A14" s="5" t="s">
        <v>39</v>
      </c>
      <c r="B14" s="5" t="s">
        <v>0</v>
      </c>
      <c r="C14" s="5" t="str">
        <f t="shared" si="0"/>
        <v>description,dailCompDescNecromancer12,</v>
      </c>
      <c r="D14" s="5" t="str">
        <f t="shared" si="2"/>
        <v>itemText,dailCompTextNecromancer12,</v>
      </c>
      <c r="E14" s="5" t="str">
        <f t="shared" si="14"/>
        <v>augmentSkillLevel1,1,</v>
      </c>
      <c r="F14" s="5" t="str">
        <f t="shared" si="15"/>
        <v>augmentSkillName1,records/skills/playerclass07/unmaking3.dbr,</v>
      </c>
      <c r="G14" s="7">
        <f t="shared" si="10"/>
        <v>12</v>
      </c>
      <c r="H14" s="8" t="str">
        <f t="shared" si="11"/>
        <v>Necromancer</v>
      </c>
      <c r="I14" s="3" t="s">
        <v>363</v>
      </c>
      <c r="J14" s="8" t="str">
        <f t="shared" si="12"/>
        <v>class0007</v>
      </c>
      <c r="K14" s="8" t="str">
        <f t="shared" si="12"/>
        <v>dailoneskill0007</v>
      </c>
      <c r="L14" s="5" t="str">
        <f t="shared" si="4"/>
        <v>lootName12,DAIL/items/materia/class0007/Necromancer12.dbr,</v>
      </c>
      <c r="M14" s="5" t="str">
        <f t="shared" si="5"/>
        <v>lootWeight12,1,</v>
      </c>
      <c r="N14" t="str">
        <f t="shared" si="6"/>
        <v>1</v>
      </c>
      <c r="O14" t="str">
        <f t="shared" si="16"/>
        <v>copy .\dail_base.dbr .\items\materia\class0007\Necromancer12.dbr /y</v>
      </c>
      <c r="P14" t="str">
        <f t="shared" si="7"/>
        <v>echo relicBitmap,items/craftingparts/components/component_a52_bristlyfur_b.tex, &gt;&gt; .\items\materia\class0007\Necromancer12.dbr</v>
      </c>
      <c r="Q14" t="str">
        <f t="shared" si="1"/>
        <v>echo itemCost,100000, &gt;&gt; .\items\materia\class0007\Necromancer12.dbr</v>
      </c>
      <c r="R14" t="str">
        <f t="shared" si="1"/>
        <v>echo description,dailCompDescNecromancer12, &gt;&gt; .\items\materia\class0007\Necromancer12.dbr</v>
      </c>
      <c r="S14" t="str">
        <f t="shared" si="1"/>
        <v>echo itemText,dailCompTextNecromancer12, &gt;&gt; .\items\materia\class0007\Necromancer12.dbr</v>
      </c>
      <c r="T14" t="str">
        <f t="shared" si="1"/>
        <v>echo augmentSkillLevel1,1, &gt;&gt; .\items\materia\class0007\Necromancer12.dbr</v>
      </c>
      <c r="U14" t="str">
        <f t="shared" si="1"/>
        <v>echo augmentSkillName1,records/skills/playerclass07/unmaking3.dbr, &gt;&gt; .\items\materia\class0007\Necromancer12.dbr</v>
      </c>
      <c r="V14" s="5" t="s">
        <v>36</v>
      </c>
      <c r="W14" t="str">
        <f t="shared" si="8"/>
        <v>echo lootName12,DAIL/items/materia/class0007/Necromancer12.dbr, &gt;&gt; .\items\loottables\dailoneskill0007.dbr</v>
      </c>
      <c r="X14" t="str">
        <f t="shared" si="8"/>
        <v>echo lootWeight12,1, &gt;&gt; .\items\loottables\dailoneskill0007.dbr</v>
      </c>
      <c r="Y14" s="5" t="s">
        <v>36</v>
      </c>
      <c r="Z14" t="str">
        <f t="shared" si="9"/>
        <v xml:space="preserve"> dailCompDescNecromancer12=^pNecromancer's Gift of DAIL</v>
      </c>
      <c r="AA14" t="str">
        <f t="shared" si="17"/>
        <v>dailCompTextNecromancer12=^oThis feels warm to the touch, almost familiar ^w(This component fits into all Jewellery slots including the Belt And Shoulder)</v>
      </c>
      <c r="AB14" s="5" t="s">
        <v>36</v>
      </c>
      <c r="AH14">
        <f t="shared" si="19"/>
        <v>9</v>
      </c>
      <c r="AI14">
        <f t="shared" si="13"/>
        <v>28</v>
      </c>
      <c r="AJ14">
        <f t="shared" si="18"/>
        <v>1</v>
      </c>
    </row>
    <row r="15" spans="1:38" x14ac:dyDescent="0.25">
      <c r="A15" s="5" t="s">
        <v>39</v>
      </c>
      <c r="B15" s="5" t="s">
        <v>0</v>
      </c>
      <c r="C15" s="5" t="str">
        <f t="shared" si="0"/>
        <v>description,dailCompDescNecromancer13,</v>
      </c>
      <c r="D15" s="5" t="str">
        <f t="shared" si="2"/>
        <v>itemText,dailCompTextNecromancer13,</v>
      </c>
      <c r="E15" s="5" t="str">
        <f t="shared" si="14"/>
        <v>augmentSkillLevel1,1,</v>
      </c>
      <c r="F15" s="5" t="str">
        <f t="shared" si="15"/>
        <v>augmentSkillName1,records/skills/playerclass07/passive01.dbr,</v>
      </c>
      <c r="G15" s="7">
        <f t="shared" si="10"/>
        <v>13</v>
      </c>
      <c r="H15" s="8" t="str">
        <f t="shared" si="11"/>
        <v>Necromancer</v>
      </c>
      <c r="I15" s="3" t="s">
        <v>364</v>
      </c>
      <c r="J15" s="8" t="str">
        <f t="shared" si="12"/>
        <v>class0007</v>
      </c>
      <c r="K15" s="8" t="str">
        <f t="shared" si="12"/>
        <v>dailoneskill0007</v>
      </c>
      <c r="L15" s="5" t="str">
        <f t="shared" si="4"/>
        <v>lootName13,DAIL/items/materia/class0007/Necromancer13.dbr,</v>
      </c>
      <c r="M15" s="5" t="str">
        <f t="shared" si="5"/>
        <v>lootWeight13,1,</v>
      </c>
      <c r="N15" t="str">
        <f t="shared" si="6"/>
        <v>1</v>
      </c>
      <c r="O15" t="str">
        <f t="shared" si="16"/>
        <v>copy .\dail_base.dbr .\items\materia\class0007\Necromancer13.dbr /y</v>
      </c>
      <c r="P15" t="str">
        <f t="shared" si="7"/>
        <v>echo relicBitmap,items/craftingparts/components/component_a52_bristlyfur_b.tex, &gt;&gt; .\items\materia\class0007\Necromancer13.dbr</v>
      </c>
      <c r="Q15" t="str">
        <f t="shared" si="1"/>
        <v>echo itemCost,100000, &gt;&gt; .\items\materia\class0007\Necromancer13.dbr</v>
      </c>
      <c r="R15" t="str">
        <f t="shared" si="1"/>
        <v>echo description,dailCompDescNecromancer13, &gt;&gt; .\items\materia\class0007\Necromancer13.dbr</v>
      </c>
      <c r="S15" t="str">
        <f t="shared" si="1"/>
        <v>echo itemText,dailCompTextNecromancer13, &gt;&gt; .\items\materia\class0007\Necromancer13.dbr</v>
      </c>
      <c r="T15" t="str">
        <f t="shared" si="1"/>
        <v>echo augmentSkillLevel1,1, &gt;&gt; .\items\materia\class0007\Necromancer13.dbr</v>
      </c>
      <c r="U15" t="str">
        <f t="shared" si="1"/>
        <v>echo augmentSkillName1,records/skills/playerclass07/passive01.dbr, &gt;&gt; .\items\materia\class0007\Necromancer13.dbr</v>
      </c>
      <c r="V15" s="5" t="s">
        <v>36</v>
      </c>
      <c r="W15" t="str">
        <f t="shared" si="8"/>
        <v>echo lootName13,DAIL/items/materia/class0007/Necromancer13.dbr, &gt;&gt; .\items\loottables\dailoneskill0007.dbr</v>
      </c>
      <c r="X15" t="str">
        <f t="shared" si="8"/>
        <v>echo lootWeight13,1, &gt;&gt; .\items\loottables\dailoneskill0007.dbr</v>
      </c>
      <c r="Y15" s="5" t="s">
        <v>36</v>
      </c>
      <c r="Z15" t="str">
        <f t="shared" si="9"/>
        <v xml:space="preserve"> dailCompDescNecromancer13=^pNecromancer's Gift of DAIL</v>
      </c>
      <c r="AA15" t="str">
        <f t="shared" si="17"/>
        <v>dailCompTextNecromancer13=^oThis feels warm to the touch, almost familiar ^w(This component fits into all Jewellery slots including the Belt And Shoulder)</v>
      </c>
      <c r="AB15" s="5" t="s">
        <v>36</v>
      </c>
      <c r="AH15">
        <f t="shared" si="19"/>
        <v>10</v>
      </c>
      <c r="AI15">
        <f t="shared" si="13"/>
        <v>28</v>
      </c>
      <c r="AJ15">
        <f t="shared" si="18"/>
        <v>1</v>
      </c>
    </row>
    <row r="16" spans="1:38" x14ac:dyDescent="0.25">
      <c r="A16" s="5" t="s">
        <v>39</v>
      </c>
      <c r="B16" s="5" t="s">
        <v>0</v>
      </c>
      <c r="C16" s="5" t="str">
        <f t="shared" si="0"/>
        <v>description,dailCompDescNecromancer14,</v>
      </c>
      <c r="D16" s="5" t="str">
        <f t="shared" si="2"/>
        <v>itemText,dailCompTextNecromancer14,</v>
      </c>
      <c r="E16" s="5" t="str">
        <f t="shared" si="14"/>
        <v>augmentSkillLevel1,1,</v>
      </c>
      <c r="F16" s="5" t="str">
        <f t="shared" si="15"/>
        <v>augmentSkillName1,records/skills/playerclass07/nec_tel.dbr,</v>
      </c>
      <c r="G16" s="7">
        <f t="shared" si="10"/>
        <v>14</v>
      </c>
      <c r="H16" s="8" t="str">
        <f t="shared" si="11"/>
        <v>Necromancer</v>
      </c>
      <c r="I16" s="3" t="s">
        <v>156</v>
      </c>
      <c r="J16" s="8" t="str">
        <f t="shared" si="12"/>
        <v>class0007</v>
      </c>
      <c r="K16" s="8" t="str">
        <f t="shared" si="12"/>
        <v>dailoneskill0007</v>
      </c>
      <c r="L16" s="5" t="str">
        <f t="shared" si="4"/>
        <v>lootName14,DAIL/items/materia/class0007/Necromancer14.dbr,</v>
      </c>
      <c r="M16" s="5" t="str">
        <f t="shared" si="5"/>
        <v>lootWeight14,1,</v>
      </c>
      <c r="N16" t="str">
        <f t="shared" si="6"/>
        <v>1</v>
      </c>
      <c r="O16" t="str">
        <f t="shared" si="16"/>
        <v>copy .\dail_base.dbr .\items\materia\class0007\Necromancer14.dbr /y</v>
      </c>
      <c r="P16" t="str">
        <f t="shared" si="7"/>
        <v>echo relicBitmap,items/craftingparts/components/component_a52_bristlyfur_b.tex, &gt;&gt; .\items\materia\class0007\Necromancer14.dbr</v>
      </c>
      <c r="Q16" t="str">
        <f t="shared" si="1"/>
        <v>echo itemCost,100000, &gt;&gt; .\items\materia\class0007\Necromancer14.dbr</v>
      </c>
      <c r="R16" t="str">
        <f t="shared" si="1"/>
        <v>echo description,dailCompDescNecromancer14, &gt;&gt; .\items\materia\class0007\Necromancer14.dbr</v>
      </c>
      <c r="S16" t="str">
        <f t="shared" si="1"/>
        <v>echo itemText,dailCompTextNecromancer14, &gt;&gt; .\items\materia\class0007\Necromancer14.dbr</v>
      </c>
      <c r="T16" t="str">
        <f t="shared" si="1"/>
        <v>echo augmentSkillLevel1,1, &gt;&gt; .\items\materia\class0007\Necromancer14.dbr</v>
      </c>
      <c r="U16" t="str">
        <f t="shared" si="1"/>
        <v>echo augmentSkillName1,records/skills/playerclass07/nec_tel.dbr, &gt;&gt; .\items\materia\class0007\Necromancer14.dbr</v>
      </c>
      <c r="V16" s="5" t="s">
        <v>36</v>
      </c>
      <c r="W16" t="str">
        <f t="shared" si="8"/>
        <v>echo lootName14,DAIL/items/materia/class0007/Necromancer14.dbr, &gt;&gt; .\items\loottables\dailoneskill0007.dbr</v>
      </c>
      <c r="X16" t="str">
        <f t="shared" si="8"/>
        <v>echo lootWeight14,1, &gt;&gt; .\items\loottables\dailoneskill0007.dbr</v>
      </c>
      <c r="Y16" s="5" t="s">
        <v>36</v>
      </c>
      <c r="Z16" t="str">
        <f t="shared" si="9"/>
        <v xml:space="preserve"> dailCompDescNecromancer14=^pNecromancer's Gift of DAIL</v>
      </c>
      <c r="AA16" t="str">
        <f t="shared" si="17"/>
        <v>dailCompTextNecromancer14=^oThis feels warm to the touch, almost familiar ^w(This component fits into all Jewellery slots including the Belt And Shoulder)</v>
      </c>
      <c r="AB16" s="5" t="s">
        <v>36</v>
      </c>
      <c r="AH16">
        <f t="shared" si="19"/>
        <v>11</v>
      </c>
      <c r="AI16">
        <f t="shared" si="13"/>
        <v>26</v>
      </c>
      <c r="AJ16">
        <f t="shared" si="18"/>
        <v>1</v>
      </c>
    </row>
    <row r="17" spans="1:36" x14ac:dyDescent="0.25">
      <c r="A17" s="5" t="s">
        <v>39</v>
      </c>
      <c r="B17" s="5" t="s">
        <v>0</v>
      </c>
      <c r="C17" s="5" t="str">
        <f t="shared" si="0"/>
        <v>description,dailCompDescNecromancer15,</v>
      </c>
      <c r="D17" s="5" t="str">
        <f t="shared" si="2"/>
        <v>itemText,dailCompTextNecromancer15,</v>
      </c>
      <c r="E17" s="5" t="str">
        <f t="shared" si="14"/>
        <v>augmentSkillLevel1,1,</v>
      </c>
      <c r="F17" s="5" t="str">
        <f t="shared" si="15"/>
        <v>augmentSkillName1,records/skills/playerclass07/passive02.dbr,</v>
      </c>
      <c r="G17" s="7">
        <f t="shared" si="10"/>
        <v>15</v>
      </c>
      <c r="H17" s="8" t="str">
        <f t="shared" si="11"/>
        <v>Necromancer</v>
      </c>
      <c r="I17" s="3" t="s">
        <v>365</v>
      </c>
      <c r="J17" s="8" t="str">
        <f t="shared" si="12"/>
        <v>class0007</v>
      </c>
      <c r="K17" s="8" t="str">
        <f t="shared" si="12"/>
        <v>dailoneskill0007</v>
      </c>
      <c r="L17" s="5" t="str">
        <f t="shared" si="4"/>
        <v>lootName15,DAIL/items/materia/class0007/Necromancer15.dbr,</v>
      </c>
      <c r="M17" s="5" t="str">
        <f t="shared" si="5"/>
        <v>lootWeight15,1,</v>
      </c>
      <c r="N17" t="str">
        <f t="shared" si="6"/>
        <v>1</v>
      </c>
      <c r="O17" t="str">
        <f t="shared" si="16"/>
        <v>copy .\dail_base.dbr .\items\materia\class0007\Necromancer15.dbr /y</v>
      </c>
      <c r="P17" t="str">
        <f t="shared" si="7"/>
        <v>echo relicBitmap,items/craftingparts/components/component_a52_bristlyfur_b.tex, &gt;&gt; .\items\materia\class0007\Necromancer15.dbr</v>
      </c>
      <c r="Q17" t="str">
        <f t="shared" si="1"/>
        <v>echo itemCost,100000, &gt;&gt; .\items\materia\class0007\Necromancer15.dbr</v>
      </c>
      <c r="R17" t="str">
        <f t="shared" si="1"/>
        <v>echo description,dailCompDescNecromancer15, &gt;&gt; .\items\materia\class0007\Necromancer15.dbr</v>
      </c>
      <c r="S17" t="str">
        <f t="shared" si="1"/>
        <v>echo itemText,dailCompTextNecromancer15, &gt;&gt; .\items\materia\class0007\Necromancer15.dbr</v>
      </c>
      <c r="T17" t="str">
        <f t="shared" si="1"/>
        <v>echo augmentSkillLevel1,1, &gt;&gt; .\items\materia\class0007\Necromancer15.dbr</v>
      </c>
      <c r="U17" t="str">
        <f t="shared" si="1"/>
        <v>echo augmentSkillName1,records/skills/playerclass07/passive02.dbr, &gt;&gt; .\items\materia\class0007\Necromancer15.dbr</v>
      </c>
      <c r="V17" s="5" t="s">
        <v>36</v>
      </c>
      <c r="W17" t="str">
        <f t="shared" si="8"/>
        <v>echo lootName15,DAIL/items/materia/class0007/Necromancer15.dbr, &gt;&gt; .\items\loottables\dailoneskill0007.dbr</v>
      </c>
      <c r="X17" t="str">
        <f t="shared" si="8"/>
        <v>echo lootWeight15,1, &gt;&gt; .\items\loottables\dailoneskill0007.dbr</v>
      </c>
      <c r="Y17" s="5" t="s">
        <v>36</v>
      </c>
      <c r="Z17" t="str">
        <f t="shared" si="9"/>
        <v xml:space="preserve"> dailCompDescNecromancer15=^pNecromancer's Gift of DAIL</v>
      </c>
      <c r="AA17" t="str">
        <f t="shared" si="17"/>
        <v>dailCompTextNecromancer15=^oThis feels warm to the touch, almost familiar ^w(This component fits into all Jewellery slots including the Belt And Shoulder)</v>
      </c>
      <c r="AB17" s="5" t="s">
        <v>36</v>
      </c>
      <c r="AH17">
        <f t="shared" si="19"/>
        <v>12</v>
      </c>
      <c r="AI17">
        <f t="shared" si="13"/>
        <v>28</v>
      </c>
      <c r="AJ17">
        <f t="shared" si="18"/>
        <v>1</v>
      </c>
    </row>
    <row r="18" spans="1:36" x14ac:dyDescent="0.25">
      <c r="A18" s="5" t="s">
        <v>39</v>
      </c>
      <c r="B18" s="5" t="s">
        <v>0</v>
      </c>
      <c r="C18" s="5" t="str">
        <f t="shared" si="0"/>
        <v>description,dailCompDescNecromancer16,</v>
      </c>
      <c r="D18" s="5" t="str">
        <f t="shared" si="2"/>
        <v>itemText,dailCompTextNecromancer16,</v>
      </c>
      <c r="E18" s="5" t="str">
        <f t="shared" si="14"/>
        <v>augmentSkillLevel1,1,</v>
      </c>
      <c r="F18" s="5" t="str">
        <f t="shared" si="15"/>
        <v>augmentSkillName1,records/skills/playerclass07/passive03.dbr,</v>
      </c>
      <c r="G18" s="7">
        <f t="shared" si="10"/>
        <v>16</v>
      </c>
      <c r="H18" s="8" t="str">
        <f t="shared" si="11"/>
        <v>Necromancer</v>
      </c>
      <c r="I18" s="3" t="s">
        <v>366</v>
      </c>
      <c r="J18" s="8" t="str">
        <f t="shared" si="12"/>
        <v>class0007</v>
      </c>
      <c r="K18" s="8" t="str">
        <f t="shared" si="12"/>
        <v>dailoneskill0007</v>
      </c>
      <c r="L18" s="5" t="str">
        <f t="shared" si="4"/>
        <v>lootName16,DAIL/items/materia/class0007/Necromancer16.dbr,</v>
      </c>
      <c r="M18" s="5" t="str">
        <f t="shared" si="5"/>
        <v>lootWeight16,1,</v>
      </c>
      <c r="N18" t="str">
        <f t="shared" si="6"/>
        <v>1</v>
      </c>
      <c r="O18" t="str">
        <f t="shared" si="16"/>
        <v>copy .\dail_base.dbr .\items\materia\class0007\Necromancer16.dbr /y</v>
      </c>
      <c r="P18" t="str">
        <f t="shared" si="7"/>
        <v>echo relicBitmap,items/craftingparts/components/component_a52_bristlyfur_b.tex, &gt;&gt; .\items\materia\class0007\Necromancer16.dbr</v>
      </c>
      <c r="Q18" t="str">
        <f t="shared" si="1"/>
        <v>echo itemCost,100000, &gt;&gt; .\items\materia\class0007\Necromancer16.dbr</v>
      </c>
      <c r="R18" t="str">
        <f t="shared" si="1"/>
        <v>echo description,dailCompDescNecromancer16, &gt;&gt; .\items\materia\class0007\Necromancer16.dbr</v>
      </c>
      <c r="S18" t="str">
        <f t="shared" si="1"/>
        <v>echo itemText,dailCompTextNecromancer16, &gt;&gt; .\items\materia\class0007\Necromancer16.dbr</v>
      </c>
      <c r="T18" t="str">
        <f t="shared" si="1"/>
        <v>echo augmentSkillLevel1,1, &gt;&gt; .\items\materia\class0007\Necromancer16.dbr</v>
      </c>
      <c r="U18" t="str">
        <f t="shared" si="1"/>
        <v>echo augmentSkillName1,records/skills/playerclass07/passive03.dbr, &gt;&gt; .\items\materia\class0007\Necromancer16.dbr</v>
      </c>
      <c r="V18" s="5" t="s">
        <v>36</v>
      </c>
      <c r="W18" t="str">
        <f t="shared" si="8"/>
        <v>echo lootName16,DAIL/items/materia/class0007/Necromancer16.dbr, &gt;&gt; .\items\loottables\dailoneskill0007.dbr</v>
      </c>
      <c r="X18" t="str">
        <f t="shared" si="8"/>
        <v>echo lootWeight16,1, &gt;&gt; .\items\loottables\dailoneskill0007.dbr</v>
      </c>
      <c r="Y18" s="5" t="s">
        <v>36</v>
      </c>
      <c r="Z18" t="str">
        <f t="shared" si="9"/>
        <v xml:space="preserve"> dailCompDescNecromancer16=^pNecromancer's Gift of DAIL</v>
      </c>
      <c r="AA18" t="str">
        <f t="shared" si="17"/>
        <v>dailCompTextNecromancer16=^oThis feels warm to the touch, almost familiar ^w(This component fits into all Jewellery slots including the Belt And Shoulder)</v>
      </c>
      <c r="AB18" s="5" t="s">
        <v>36</v>
      </c>
      <c r="AH18">
        <f t="shared" si="19"/>
        <v>13</v>
      </c>
      <c r="AI18">
        <f t="shared" si="13"/>
        <v>28</v>
      </c>
      <c r="AJ18">
        <f t="shared" si="18"/>
        <v>1</v>
      </c>
    </row>
    <row r="19" spans="1:36" x14ac:dyDescent="0.25">
      <c r="A19" s="5" t="s">
        <v>39</v>
      </c>
      <c r="B19" s="5" t="s">
        <v>28</v>
      </c>
      <c r="C19" s="5" t="str">
        <f t="shared" si="0"/>
        <v>description,dailCompDescNecromancer17,</v>
      </c>
      <c r="D19" s="5" t="str">
        <f t="shared" si="2"/>
        <v>itemText,dailCompTextNecromancer17,</v>
      </c>
      <c r="E19" s="5" t="str">
        <f t="shared" si="14"/>
        <v>augmentSkillLevel1,1,</v>
      </c>
      <c r="F19" s="5" t="str">
        <f t="shared" si="15"/>
        <v>augmentSkillName1,records/skills/playerclass07/passive04.dbr,</v>
      </c>
      <c r="G19" s="7">
        <f t="shared" si="10"/>
        <v>17</v>
      </c>
      <c r="H19" s="8" t="str">
        <f t="shared" si="11"/>
        <v>Necromancer</v>
      </c>
      <c r="I19" s="3" t="s">
        <v>367</v>
      </c>
      <c r="J19" s="8" t="str">
        <f t="shared" si="12"/>
        <v>class0007</v>
      </c>
      <c r="K19" s="8" t="str">
        <f t="shared" si="12"/>
        <v>dailoneskill0007</v>
      </c>
      <c r="L19" s="5" t="str">
        <f t="shared" si="4"/>
        <v>lootName17,DAIL/items/materia/class0007/Necromancer17.dbr,</v>
      </c>
      <c r="M19" s="5" t="str">
        <f t="shared" si="5"/>
        <v>lootWeight17,1,</v>
      </c>
      <c r="N19" t="str">
        <f t="shared" si="6"/>
        <v>1</v>
      </c>
      <c r="O19" t="str">
        <f t="shared" si="16"/>
        <v>copy .\dail_base.dbr .\items\materia\class0007\Necromancer17.dbr /y</v>
      </c>
      <c r="P19" t="str">
        <f t="shared" si="7"/>
        <v>echo relicBitmap,items/craftingparts/components/component_a52_bristlyfur_b.tex, &gt;&gt; .\items\materia\class0007\Necromancer17.dbr</v>
      </c>
      <c r="Q19" t="str">
        <f t="shared" si="7"/>
        <v>echo itemCost,300000, &gt;&gt; .\items\materia\class0007\Necromancer17.dbr</v>
      </c>
      <c r="R19" t="str">
        <f t="shared" si="7"/>
        <v>echo description,dailCompDescNecromancer17, &gt;&gt; .\items\materia\class0007\Necromancer17.dbr</v>
      </c>
      <c r="S19" t="str">
        <f t="shared" si="7"/>
        <v>echo itemText,dailCompTextNecromancer17, &gt;&gt; .\items\materia\class0007\Necromancer17.dbr</v>
      </c>
      <c r="T19" t="str">
        <f t="shared" si="7"/>
        <v>echo augmentSkillLevel1,1, &gt;&gt; .\items\materia\class0007\Necromancer17.dbr</v>
      </c>
      <c r="U19" t="str">
        <f t="shared" si="7"/>
        <v>echo augmentSkillName1,records/skills/playerclass07/passive04.dbr, &gt;&gt; .\items\materia\class0007\Necromancer17.dbr</v>
      </c>
      <c r="V19" s="5" t="s">
        <v>36</v>
      </c>
      <c r="W19" t="str">
        <f t="shared" si="8"/>
        <v>echo lootName17,DAIL/items/materia/class0007/Necromancer17.dbr, &gt;&gt; .\items\loottables\dailoneskill0007.dbr</v>
      </c>
      <c r="X19" t="str">
        <f t="shared" si="8"/>
        <v>echo lootWeight17,1, &gt;&gt; .\items\loottables\dailoneskill0007.dbr</v>
      </c>
      <c r="Y19" s="5" t="s">
        <v>36</v>
      </c>
      <c r="Z19" t="str">
        <f t="shared" si="9"/>
        <v xml:space="preserve"> dailCompDescNecromancer17=^pNecromancer's Gift of DAIL</v>
      </c>
      <c r="AA19" t="str">
        <f t="shared" si="17"/>
        <v>dailCompTextNecromancer17=^oThis feels warm to the touch, almost familiar ^w(This component fits into all Jewellery slots including the Belt And Shoulder)</v>
      </c>
      <c r="AB19" s="5" t="s">
        <v>36</v>
      </c>
      <c r="AH19">
        <f t="shared" si="19"/>
        <v>14</v>
      </c>
      <c r="AI19">
        <f t="shared" si="13"/>
        <v>28</v>
      </c>
      <c r="AJ19">
        <f t="shared" si="18"/>
        <v>1</v>
      </c>
    </row>
    <row r="20" spans="1:36" x14ac:dyDescent="0.25">
      <c r="A20" s="5" t="s">
        <v>39</v>
      </c>
      <c r="B20" s="5" t="s">
        <v>28</v>
      </c>
      <c r="C20" s="5" t="str">
        <f t="shared" si="0"/>
        <v>description,dailCompDescNecromancer18,</v>
      </c>
      <c r="D20" s="5" t="str">
        <f t="shared" si="2"/>
        <v>itemText,dailCompTextNecromancer18,</v>
      </c>
      <c r="E20" s="5" t="str">
        <f t="shared" si="14"/>
        <v>augmentSkillLevel1,1,</v>
      </c>
      <c r="F20" s="5" t="str">
        <f t="shared" si="15"/>
        <v>augmentSkillName1,records/skills/playerclass07/summon_ske.dbr,</v>
      </c>
      <c r="G20" s="7">
        <f t="shared" si="10"/>
        <v>18</v>
      </c>
      <c r="H20" s="8" t="str">
        <f t="shared" si="11"/>
        <v>Necromancer</v>
      </c>
      <c r="I20" s="3" t="s">
        <v>157</v>
      </c>
      <c r="J20" s="8" t="str">
        <f t="shared" si="12"/>
        <v>class0007</v>
      </c>
      <c r="K20" s="8" t="str">
        <f t="shared" si="12"/>
        <v>dailoneskill0007</v>
      </c>
      <c r="L20" s="5" t="str">
        <f t="shared" si="4"/>
        <v>lootName18,DAIL/items/materia/class0007/Necromancer18.dbr,</v>
      </c>
      <c r="M20" s="5" t="str">
        <f t="shared" si="5"/>
        <v>lootWeight18,1,</v>
      </c>
      <c r="N20" t="str">
        <f t="shared" si="6"/>
        <v>1</v>
      </c>
      <c r="O20" t="str">
        <f t="shared" si="16"/>
        <v>copy .\dail_base.dbr .\items\materia\class0007\Necromancer18.dbr /y</v>
      </c>
      <c r="P20" t="str">
        <f t="shared" si="7"/>
        <v>echo relicBitmap,items/craftingparts/components/component_a52_bristlyfur_b.tex, &gt;&gt; .\items\materia\class0007\Necromancer18.dbr</v>
      </c>
      <c r="Q20" t="str">
        <f t="shared" si="7"/>
        <v>echo itemCost,300000, &gt;&gt; .\items\materia\class0007\Necromancer18.dbr</v>
      </c>
      <c r="R20" t="str">
        <f t="shared" si="7"/>
        <v>echo description,dailCompDescNecromancer18, &gt;&gt; .\items\materia\class0007\Necromancer18.dbr</v>
      </c>
      <c r="S20" t="str">
        <f t="shared" si="7"/>
        <v>echo itemText,dailCompTextNecromancer18, &gt;&gt; .\items\materia\class0007\Necromancer18.dbr</v>
      </c>
      <c r="T20" t="str">
        <f t="shared" si="7"/>
        <v>echo augmentSkillLevel1,1, &gt;&gt; .\items\materia\class0007\Necromancer18.dbr</v>
      </c>
      <c r="U20" t="str">
        <f t="shared" si="7"/>
        <v>echo augmentSkillName1,records/skills/playerclass07/summon_ske.dbr, &gt;&gt; .\items\materia\class0007\Necromancer18.dbr</v>
      </c>
      <c r="V20" s="5" t="s">
        <v>36</v>
      </c>
      <c r="W20" t="str">
        <f t="shared" si="8"/>
        <v>echo lootName18,DAIL/items/materia/class0007/Necromancer18.dbr, &gt;&gt; .\items\loottables\dailoneskill0007.dbr</v>
      </c>
      <c r="X20" t="str">
        <f t="shared" si="8"/>
        <v>echo lootWeight18,1, &gt;&gt; .\items\loottables\dailoneskill0007.dbr</v>
      </c>
      <c r="Y20" s="5" t="s">
        <v>36</v>
      </c>
      <c r="Z20" t="str">
        <f t="shared" si="9"/>
        <v xml:space="preserve"> dailCompDescNecromancer18=^pNecromancer's Gift of DAIL</v>
      </c>
      <c r="AA20" t="str">
        <f t="shared" si="17"/>
        <v>dailCompTextNecromancer18=^oThis feels warm to the touch, almost familiar ^w(This component fits into all Jewellery slots including the Belt And Shoulder)</v>
      </c>
      <c r="AB20" s="5" t="s">
        <v>36</v>
      </c>
      <c r="AH20">
        <f t="shared" si="19"/>
        <v>15</v>
      </c>
      <c r="AI20">
        <f t="shared" si="13"/>
        <v>29</v>
      </c>
      <c r="AJ20">
        <f t="shared" si="18"/>
        <v>1</v>
      </c>
    </row>
    <row r="21" spans="1:36" x14ac:dyDescent="0.25">
      <c r="A21" s="5" t="s">
        <v>39</v>
      </c>
      <c r="B21" s="5" t="s">
        <v>28</v>
      </c>
      <c r="C21" s="5" t="str">
        <f t="shared" si="0"/>
        <v>description,dailCompDescNecromancer19,</v>
      </c>
      <c r="D21" s="5" t="str">
        <f t="shared" si="2"/>
        <v>itemText,dailCompTextNecromancer19,</v>
      </c>
      <c r="E21" s="5" t="str">
        <f t="shared" si="14"/>
        <v>augmentSkillLevel1,1,</v>
      </c>
      <c r="F21" s="5" t="str">
        <f t="shared" si="15"/>
        <v>augmentSkillName1,records/skills/playerclass07/summon_ske_abi.dbr,</v>
      </c>
      <c r="G21" s="7">
        <f t="shared" si="10"/>
        <v>19</v>
      </c>
      <c r="H21" s="8" t="str">
        <f t="shared" si="11"/>
        <v>Necromancer</v>
      </c>
      <c r="I21" s="3" t="s">
        <v>158</v>
      </c>
      <c r="J21" s="8" t="str">
        <f t="shared" ref="J21:K36" si="20">J20</f>
        <v>class0007</v>
      </c>
      <c r="K21" s="8" t="str">
        <f t="shared" si="20"/>
        <v>dailoneskill0007</v>
      </c>
      <c r="L21" s="5" t="str">
        <f t="shared" si="4"/>
        <v>lootName19,DAIL/items/materia/class0007/Necromancer19.dbr,</v>
      </c>
      <c r="M21" s="5" t="str">
        <f t="shared" si="5"/>
        <v>lootWeight19,1,</v>
      </c>
      <c r="N21" t="str">
        <f t="shared" si="6"/>
        <v>1</v>
      </c>
      <c r="O21" t="str">
        <f t="shared" si="16"/>
        <v>copy .\dail_base.dbr .\items\materia\class0007\Necromancer19.dbr /y</v>
      </c>
      <c r="P21" t="str">
        <f t="shared" si="7"/>
        <v>echo relicBitmap,items/craftingparts/components/component_a52_bristlyfur_b.tex, &gt;&gt; .\items\materia\class0007\Necromancer19.dbr</v>
      </c>
      <c r="Q21" t="str">
        <f t="shared" si="7"/>
        <v>echo itemCost,300000, &gt;&gt; .\items\materia\class0007\Necromancer19.dbr</v>
      </c>
      <c r="R21" t="str">
        <f t="shared" si="7"/>
        <v>echo description,dailCompDescNecromancer19, &gt;&gt; .\items\materia\class0007\Necromancer19.dbr</v>
      </c>
      <c r="S21" t="str">
        <f t="shared" si="7"/>
        <v>echo itemText,dailCompTextNecromancer19, &gt;&gt; .\items\materia\class0007\Necromancer19.dbr</v>
      </c>
      <c r="T21" t="str">
        <f t="shared" si="7"/>
        <v>echo augmentSkillLevel1,1, &gt;&gt; .\items\materia\class0007\Necromancer19.dbr</v>
      </c>
      <c r="U21" t="str">
        <f t="shared" si="7"/>
        <v>echo augmentSkillName1,records/skills/playerclass07/summon_ske_abi.dbr, &gt;&gt; .\items\materia\class0007\Necromancer19.dbr</v>
      </c>
      <c r="V21" s="5" t="s">
        <v>36</v>
      </c>
      <c r="W21" t="str">
        <f t="shared" si="8"/>
        <v>echo lootName19,DAIL/items/materia/class0007/Necromancer19.dbr, &gt;&gt; .\items\loottables\dailoneskill0007.dbr</v>
      </c>
      <c r="X21" t="str">
        <f t="shared" si="8"/>
        <v>echo lootWeight19,1, &gt;&gt; .\items\loottables\dailoneskill0007.dbr</v>
      </c>
      <c r="Y21" s="5" t="s">
        <v>36</v>
      </c>
      <c r="Z21" t="str">
        <f t="shared" si="9"/>
        <v xml:space="preserve"> dailCompDescNecromancer19=^pNecromancer's Gift of DAIL</v>
      </c>
      <c r="AA21" t="str">
        <f t="shared" si="17"/>
        <v>dailCompTextNecromancer19=^oThis feels warm to the touch, almost familiar ^w(This component fits into all Jewellery slots including the Belt And Shoulder)</v>
      </c>
      <c r="AB21" s="5" t="s">
        <v>36</v>
      </c>
      <c r="AH21">
        <f t="shared" si="19"/>
        <v>16</v>
      </c>
      <c r="AI21">
        <f t="shared" si="13"/>
        <v>33</v>
      </c>
      <c r="AJ21">
        <f t="shared" si="18"/>
        <v>1</v>
      </c>
    </row>
    <row r="22" spans="1:36" x14ac:dyDescent="0.25">
      <c r="A22" s="5" t="s">
        <v>39</v>
      </c>
      <c r="B22" s="5" t="s">
        <v>28</v>
      </c>
      <c r="C22" s="5" t="str">
        <f t="shared" si="0"/>
        <v>description,dailCompDescNecromancer20,</v>
      </c>
      <c r="D22" s="5" t="str">
        <f t="shared" si="2"/>
        <v>itemText,dailCompTextNecromancer20,</v>
      </c>
      <c r="E22" s="5" t="str">
        <f t="shared" si="14"/>
        <v>augmentSkillLevel1,1,</v>
      </c>
      <c r="F22" s="5" t="str">
        <f t="shared" si="15"/>
        <v>augmentSkillName1,records/skills/playerclass07/summon_ske_ut.dbr,</v>
      </c>
      <c r="G22" s="7">
        <f t="shared" si="10"/>
        <v>20</v>
      </c>
      <c r="H22" s="8" t="str">
        <f t="shared" si="11"/>
        <v>Necromancer</v>
      </c>
      <c r="I22" s="3" t="s">
        <v>161</v>
      </c>
      <c r="J22" s="8" t="str">
        <f t="shared" si="20"/>
        <v>class0007</v>
      </c>
      <c r="K22" s="8" t="str">
        <f t="shared" si="20"/>
        <v>dailoneskill0007</v>
      </c>
      <c r="L22" s="5" t="str">
        <f t="shared" si="4"/>
        <v>lootName20,DAIL/items/materia/class0007/Necromancer20.dbr,</v>
      </c>
      <c r="M22" s="5" t="str">
        <f t="shared" si="5"/>
        <v>lootWeight20,1,</v>
      </c>
      <c r="N22" t="str">
        <f t="shared" si="6"/>
        <v>1</v>
      </c>
      <c r="O22" t="str">
        <f t="shared" si="16"/>
        <v>copy .\dail_base.dbr .\items\materia\class0007\Necromancer20.dbr /y</v>
      </c>
      <c r="P22" t="str">
        <f t="shared" si="7"/>
        <v>echo relicBitmap,items/craftingparts/components/component_a52_bristlyfur_b.tex, &gt;&gt; .\items\materia\class0007\Necromancer20.dbr</v>
      </c>
      <c r="Q22" t="str">
        <f t="shared" si="7"/>
        <v>echo itemCost,300000, &gt;&gt; .\items\materia\class0007\Necromancer20.dbr</v>
      </c>
      <c r="R22" t="str">
        <f t="shared" si="7"/>
        <v>echo description,dailCompDescNecromancer20, &gt;&gt; .\items\materia\class0007\Necromancer20.dbr</v>
      </c>
      <c r="S22" t="str">
        <f t="shared" si="7"/>
        <v>echo itemText,dailCompTextNecromancer20, &gt;&gt; .\items\materia\class0007\Necromancer20.dbr</v>
      </c>
      <c r="T22" t="str">
        <f t="shared" si="7"/>
        <v>echo augmentSkillLevel1,1, &gt;&gt; .\items\materia\class0007\Necromancer20.dbr</v>
      </c>
      <c r="U22" t="str">
        <f t="shared" si="7"/>
        <v>echo augmentSkillName1,records/skills/playerclass07/summon_ske_ut.dbr, &gt;&gt; .\items\materia\class0007\Necromancer20.dbr</v>
      </c>
      <c r="V22" s="5" t="s">
        <v>36</v>
      </c>
      <c r="W22" t="str">
        <f t="shared" si="8"/>
        <v>echo lootName20,DAIL/items/materia/class0007/Necromancer20.dbr, &gt;&gt; .\items\loottables\dailoneskill0007.dbr</v>
      </c>
      <c r="X22" t="str">
        <f t="shared" si="8"/>
        <v>echo lootWeight20,1, &gt;&gt; .\items\loottables\dailoneskill0007.dbr</v>
      </c>
      <c r="Y22" s="5" t="s">
        <v>36</v>
      </c>
      <c r="Z22" t="str">
        <f t="shared" si="9"/>
        <v xml:space="preserve"> dailCompDescNecromancer20=^pNecromancer's Gift of DAIL</v>
      </c>
      <c r="AA22" t="str">
        <f t="shared" si="17"/>
        <v>dailCompTextNecromancer20=^oThis feels warm to the touch, almost familiar ^w(This component fits into all Jewellery slots including the Belt And Shoulder)</v>
      </c>
      <c r="AB22" s="5" t="s">
        <v>36</v>
      </c>
      <c r="AH22">
        <f t="shared" si="19"/>
        <v>17</v>
      </c>
      <c r="AI22">
        <f t="shared" si="13"/>
        <v>32</v>
      </c>
      <c r="AJ22">
        <f t="shared" si="18"/>
        <v>1</v>
      </c>
    </row>
    <row r="23" spans="1:36" x14ac:dyDescent="0.25">
      <c r="A23" s="5" t="s">
        <v>39</v>
      </c>
      <c r="B23" s="5" t="s">
        <v>28</v>
      </c>
      <c r="C23" s="5" t="str">
        <f t="shared" si="0"/>
        <v>description,dailCompDescNecromancer21,</v>
      </c>
      <c r="D23" s="5" t="str">
        <f t="shared" si="2"/>
        <v>itemText,dailCompTextNecromancer21,</v>
      </c>
      <c r="E23" s="5" t="str">
        <f t="shared" si="14"/>
        <v>augmentSkillLevel1,1,</v>
      </c>
      <c r="F23" s="5" t="str">
        <f t="shared" si="15"/>
        <v>augmentSkillName1,records/skills/playerclass07/summon_ske_dy.dbr,</v>
      </c>
      <c r="G23" s="7">
        <f t="shared" si="10"/>
        <v>21</v>
      </c>
      <c r="H23" s="8" t="str">
        <f t="shared" si="11"/>
        <v>Necromancer</v>
      </c>
      <c r="I23" s="3" t="s">
        <v>159</v>
      </c>
      <c r="J23" s="8" t="str">
        <f t="shared" si="20"/>
        <v>class0007</v>
      </c>
      <c r="K23" s="8" t="str">
        <f t="shared" si="20"/>
        <v>dailoneskill0007</v>
      </c>
      <c r="L23" s="5" t="str">
        <f t="shared" si="4"/>
        <v>lootName21,DAIL/items/materia/class0007/Necromancer21.dbr,</v>
      </c>
      <c r="M23" s="5" t="str">
        <f t="shared" si="5"/>
        <v>lootWeight21,1,</v>
      </c>
      <c r="N23" t="str">
        <f t="shared" si="6"/>
        <v>1</v>
      </c>
      <c r="O23" t="str">
        <f t="shared" si="16"/>
        <v>copy .\dail_base.dbr .\items\materia\class0007\Necromancer21.dbr /y</v>
      </c>
      <c r="P23" t="str">
        <f t="shared" si="7"/>
        <v>echo relicBitmap,items/craftingparts/components/component_a52_bristlyfur_b.tex, &gt;&gt; .\items\materia\class0007\Necromancer21.dbr</v>
      </c>
      <c r="Q23" t="str">
        <f t="shared" si="7"/>
        <v>echo itemCost,300000, &gt;&gt; .\items\materia\class0007\Necromancer21.dbr</v>
      </c>
      <c r="R23" t="str">
        <f t="shared" si="7"/>
        <v>echo description,dailCompDescNecromancer21, &gt;&gt; .\items\materia\class0007\Necromancer21.dbr</v>
      </c>
      <c r="S23" t="str">
        <f t="shared" si="7"/>
        <v>echo itemText,dailCompTextNecromancer21, &gt;&gt; .\items\materia\class0007\Necromancer21.dbr</v>
      </c>
      <c r="T23" t="str">
        <f t="shared" si="7"/>
        <v>echo augmentSkillLevel1,1, &gt;&gt; .\items\materia\class0007\Necromancer21.dbr</v>
      </c>
      <c r="U23" t="str">
        <f t="shared" si="7"/>
        <v>echo augmentSkillName1,records/skills/playerclass07/summon_ske_dy.dbr, &gt;&gt; .\items\materia\class0007\Necromancer21.dbr</v>
      </c>
      <c r="V23" s="5" t="s">
        <v>36</v>
      </c>
      <c r="W23" t="str">
        <f t="shared" si="8"/>
        <v>echo lootName21,DAIL/items/materia/class0007/Necromancer21.dbr, &gt;&gt; .\items\loottables\dailoneskill0007.dbr</v>
      </c>
      <c r="X23" t="str">
        <f t="shared" si="8"/>
        <v>echo lootWeight21,1, &gt;&gt; .\items\loottables\dailoneskill0007.dbr</v>
      </c>
      <c r="Y23" s="5" t="s">
        <v>36</v>
      </c>
      <c r="Z23" t="str">
        <f t="shared" si="9"/>
        <v xml:space="preserve"> dailCompDescNecromancer21=^pNecromancer's Gift of DAIL</v>
      </c>
      <c r="AA23" t="str">
        <f t="shared" si="17"/>
        <v>dailCompTextNecromancer21=^oThis feels warm to the touch, almost familiar ^w(This component fits into all Jewellery slots including the Belt And Shoulder)</v>
      </c>
      <c r="AB23" s="5" t="s">
        <v>36</v>
      </c>
      <c r="AH23">
        <f t="shared" si="19"/>
        <v>18</v>
      </c>
      <c r="AI23">
        <f t="shared" si="13"/>
        <v>32</v>
      </c>
      <c r="AJ23">
        <f t="shared" si="18"/>
        <v>1</v>
      </c>
    </row>
    <row r="24" spans="1:36" x14ac:dyDescent="0.25">
      <c r="A24" s="5" t="s">
        <v>39</v>
      </c>
      <c r="B24" s="5" t="s">
        <v>28</v>
      </c>
      <c r="C24" s="5" t="str">
        <f t="shared" si="0"/>
        <v>description,dailCompDescNecromancer22,</v>
      </c>
      <c r="D24" s="5" t="str">
        <f t="shared" si="2"/>
        <v>itemText,dailCompTextNecromancer22,</v>
      </c>
      <c r="E24" s="5" t="str">
        <f t="shared" si="14"/>
        <v>augmentSkillLevel1,1,</v>
      </c>
      <c r="F24" s="5" t="str">
        <f t="shared" si="15"/>
        <v>augmentSkillName1,records/skills/playerclass07/summon_ske_tra.dbr,</v>
      </c>
      <c r="G24" s="7">
        <f t="shared" si="10"/>
        <v>22</v>
      </c>
      <c r="H24" s="8" t="str">
        <f t="shared" si="11"/>
        <v>Necromancer</v>
      </c>
      <c r="I24" s="3" t="s">
        <v>160</v>
      </c>
      <c r="J24" s="8" t="str">
        <f t="shared" si="20"/>
        <v>class0007</v>
      </c>
      <c r="K24" s="8" t="str">
        <f t="shared" si="20"/>
        <v>dailoneskill0007</v>
      </c>
      <c r="L24" s="5" t="str">
        <f t="shared" si="4"/>
        <v>lootName22,DAIL/items/materia/class0007/Necromancer22.dbr,</v>
      </c>
      <c r="M24" s="5" t="str">
        <f t="shared" si="5"/>
        <v>lootWeight22,1,</v>
      </c>
      <c r="N24" t="str">
        <f t="shared" si="6"/>
        <v>1</v>
      </c>
      <c r="O24" t="str">
        <f t="shared" si="16"/>
        <v>copy .\dail_base.dbr .\items\materia\class0007\Necromancer22.dbr /y</v>
      </c>
      <c r="P24" t="str">
        <f t="shared" si="7"/>
        <v>echo relicBitmap,items/craftingparts/components/component_a52_bristlyfur_b.tex, &gt;&gt; .\items\materia\class0007\Necromancer22.dbr</v>
      </c>
      <c r="Q24" t="str">
        <f t="shared" si="7"/>
        <v>echo itemCost,300000, &gt;&gt; .\items\materia\class0007\Necromancer22.dbr</v>
      </c>
      <c r="R24" t="str">
        <f t="shared" si="7"/>
        <v>echo description,dailCompDescNecromancer22, &gt;&gt; .\items\materia\class0007\Necromancer22.dbr</v>
      </c>
      <c r="S24" t="str">
        <f t="shared" si="7"/>
        <v>echo itemText,dailCompTextNecromancer22, &gt;&gt; .\items\materia\class0007\Necromancer22.dbr</v>
      </c>
      <c r="T24" t="str">
        <f t="shared" si="7"/>
        <v>echo augmentSkillLevel1,1, &gt;&gt; .\items\materia\class0007\Necromancer22.dbr</v>
      </c>
      <c r="U24" t="str">
        <f t="shared" si="7"/>
        <v>echo augmentSkillName1,records/skills/playerclass07/summon_ske_tra.dbr, &gt;&gt; .\items\materia\class0007\Necromancer22.dbr</v>
      </c>
      <c r="V24" s="5" t="s">
        <v>36</v>
      </c>
      <c r="W24" t="str">
        <f t="shared" si="8"/>
        <v>echo lootName22,DAIL/items/materia/class0007/Necromancer22.dbr, &gt;&gt; .\items\loottables\dailoneskill0007.dbr</v>
      </c>
      <c r="X24" t="str">
        <f t="shared" si="8"/>
        <v>echo lootWeight22,1, &gt;&gt; .\items\loottables\dailoneskill0007.dbr</v>
      </c>
      <c r="Y24" s="5" t="s">
        <v>36</v>
      </c>
      <c r="Z24" t="str">
        <f t="shared" si="9"/>
        <v xml:space="preserve"> dailCompDescNecromancer22=^pNecromancer's Gift of DAIL</v>
      </c>
      <c r="AA24" t="str">
        <f t="shared" si="17"/>
        <v>dailCompTextNecromancer22=^oThis feels warm to the touch, almost familiar ^w(This component fits into all Jewellery slots including the Belt And Shoulder)</v>
      </c>
      <c r="AB24" s="5" t="s">
        <v>36</v>
      </c>
      <c r="AH24">
        <f t="shared" si="19"/>
        <v>19</v>
      </c>
      <c r="AI24">
        <f t="shared" si="13"/>
        <v>33</v>
      </c>
      <c r="AJ24">
        <f t="shared" si="18"/>
        <v>1</v>
      </c>
    </row>
    <row r="25" spans="1:36" x14ac:dyDescent="0.25">
      <c r="A25" s="5" t="s">
        <v>39</v>
      </c>
      <c r="B25" s="5" t="s">
        <v>28</v>
      </c>
      <c r="C25" s="5" t="str">
        <f t="shared" si="0"/>
        <v>description,dailCompDescNecromancer23,</v>
      </c>
      <c r="D25" s="5" t="str">
        <f t="shared" si="2"/>
        <v>itemText,dailCompTextNecromancer23,</v>
      </c>
      <c r="E25" s="5" t="str">
        <f t="shared" si="14"/>
        <v>augmentSkillLevel1,1,</v>
      </c>
      <c r="F25" s="5" t="str">
        <f t="shared" si="15"/>
        <v>augmentSkillName1,records/skills/playerclass07/ult.dbr,</v>
      </c>
      <c r="G25" s="7">
        <f t="shared" si="10"/>
        <v>23</v>
      </c>
      <c r="H25" s="8" t="str">
        <f t="shared" si="11"/>
        <v>Necromancer</v>
      </c>
      <c r="I25" s="3" t="s">
        <v>162</v>
      </c>
      <c r="J25" s="8" t="str">
        <f t="shared" si="20"/>
        <v>class0007</v>
      </c>
      <c r="K25" s="8" t="str">
        <f t="shared" si="20"/>
        <v>dailoneskill0007</v>
      </c>
      <c r="L25" s="5" t="str">
        <f t="shared" si="4"/>
        <v>lootName23,DAIL/items/materia/class0007/Necromancer23.dbr,</v>
      </c>
      <c r="M25" s="5" t="str">
        <f t="shared" si="5"/>
        <v>lootWeight23,1,</v>
      </c>
      <c r="N25" t="str">
        <f t="shared" si="6"/>
        <v>1</v>
      </c>
      <c r="O25" t="str">
        <f t="shared" si="16"/>
        <v>copy .\dail_base.dbr .\items\materia\class0007\Necromancer23.dbr /y</v>
      </c>
      <c r="P25" t="str">
        <f t="shared" si="7"/>
        <v>echo relicBitmap,items/craftingparts/components/component_a52_bristlyfur_b.tex, &gt;&gt; .\items\materia\class0007\Necromancer23.dbr</v>
      </c>
      <c r="Q25" t="str">
        <f t="shared" si="7"/>
        <v>echo itemCost,300000, &gt;&gt; .\items\materia\class0007\Necromancer23.dbr</v>
      </c>
      <c r="R25" t="str">
        <f t="shared" si="7"/>
        <v>echo description,dailCompDescNecromancer23, &gt;&gt; .\items\materia\class0007\Necromancer23.dbr</v>
      </c>
      <c r="S25" t="str">
        <f t="shared" si="7"/>
        <v>echo itemText,dailCompTextNecromancer23, &gt;&gt; .\items\materia\class0007\Necromancer23.dbr</v>
      </c>
      <c r="T25" t="str">
        <f t="shared" si="7"/>
        <v>echo augmentSkillLevel1,1, &gt;&gt; .\items\materia\class0007\Necromancer23.dbr</v>
      </c>
      <c r="U25" t="str">
        <f t="shared" si="7"/>
        <v>echo augmentSkillName1,records/skills/playerclass07/ult.dbr, &gt;&gt; .\items\materia\class0007\Necromancer23.dbr</v>
      </c>
      <c r="V25" s="5" t="s">
        <v>36</v>
      </c>
      <c r="W25" t="str">
        <f t="shared" si="8"/>
        <v>echo lootName23,DAIL/items/materia/class0007/Necromancer23.dbr, &gt;&gt; .\items\loottables\dailoneskill0007.dbr</v>
      </c>
      <c r="X25" t="str">
        <f t="shared" si="8"/>
        <v>echo lootWeight23,1, &gt;&gt; .\items\loottables\dailoneskill0007.dbr</v>
      </c>
      <c r="Y25" s="5" t="s">
        <v>36</v>
      </c>
      <c r="Z25" t="str">
        <f t="shared" si="9"/>
        <v xml:space="preserve"> dailCompDescNecromancer23=^pNecromancer's Gift of DAIL</v>
      </c>
      <c r="AA25" t="str">
        <f t="shared" si="17"/>
        <v>dailCompTextNecromancer23=^oThis feels warm to the touch, almost familiar ^w(This component fits into all Jewellery slots including the Belt And Shoulder)</v>
      </c>
      <c r="AB25" s="5" t="s">
        <v>36</v>
      </c>
      <c r="AH25">
        <f t="shared" si="19"/>
        <v>20</v>
      </c>
      <c r="AI25">
        <f t="shared" si="13"/>
        <v>22</v>
      </c>
      <c r="AJ25">
        <f t="shared" si="18"/>
        <v>1</v>
      </c>
    </row>
    <row r="26" spans="1:36" x14ac:dyDescent="0.25">
      <c r="A26" s="5" t="s">
        <v>39</v>
      </c>
      <c r="B26" s="5" t="s">
        <v>28</v>
      </c>
      <c r="C26" s="5" t="str">
        <f t="shared" si="0"/>
        <v>description,dailCompDescNecromancer24,</v>
      </c>
      <c r="D26" s="5" t="str">
        <f t="shared" si="2"/>
        <v>itemText,dailCompTextNecromancer24,</v>
      </c>
      <c r="E26" s="5" t="str">
        <f t="shared" si="14"/>
        <v>augmentSkillLevel1,1,</v>
      </c>
      <c r="F26" s="5" t="str">
        <f t="shared" si="15"/>
        <v>augmentSkillName1,records/skills/playerclass07/ult_tra.dbr,</v>
      </c>
      <c r="G26" s="7">
        <f t="shared" si="10"/>
        <v>24</v>
      </c>
      <c r="H26" s="8" t="str">
        <f t="shared" si="11"/>
        <v>Necromancer</v>
      </c>
      <c r="I26" s="3" t="s">
        <v>163</v>
      </c>
      <c r="J26" s="8" t="str">
        <f t="shared" si="20"/>
        <v>class0007</v>
      </c>
      <c r="K26" s="8" t="str">
        <f t="shared" si="20"/>
        <v>dailoneskill0007</v>
      </c>
      <c r="L26" s="5" t="str">
        <f t="shared" si="4"/>
        <v>lootName24,DAIL/items/materia/class0007/Necromancer24.dbr,</v>
      </c>
      <c r="M26" s="5" t="str">
        <f t="shared" si="5"/>
        <v>lootWeight24,1,</v>
      </c>
      <c r="N26" t="str">
        <f t="shared" si="6"/>
        <v>1</v>
      </c>
      <c r="O26" t="str">
        <f t="shared" si="16"/>
        <v>copy .\dail_base.dbr .\items\materia\class0007\Necromancer24.dbr /y</v>
      </c>
      <c r="P26" t="str">
        <f t="shared" si="7"/>
        <v>echo relicBitmap,items/craftingparts/components/component_a52_bristlyfur_b.tex, &gt;&gt; .\items\materia\class0007\Necromancer24.dbr</v>
      </c>
      <c r="Q26" t="str">
        <f t="shared" si="7"/>
        <v>echo itemCost,300000, &gt;&gt; .\items\materia\class0007\Necromancer24.dbr</v>
      </c>
      <c r="R26" t="str">
        <f t="shared" si="7"/>
        <v>echo description,dailCompDescNecromancer24, &gt;&gt; .\items\materia\class0007\Necromancer24.dbr</v>
      </c>
      <c r="S26" t="str">
        <f t="shared" si="7"/>
        <v>echo itemText,dailCompTextNecromancer24, &gt;&gt; .\items\materia\class0007\Necromancer24.dbr</v>
      </c>
      <c r="T26" t="str">
        <f t="shared" si="7"/>
        <v>echo augmentSkillLevel1,1, &gt;&gt; .\items\materia\class0007\Necromancer24.dbr</v>
      </c>
      <c r="U26" t="str">
        <f t="shared" si="7"/>
        <v>echo augmentSkillName1,records/skills/playerclass07/ult_tra.dbr, &gt;&gt; .\items\materia\class0007\Necromancer24.dbr</v>
      </c>
      <c r="V26" s="5" t="s">
        <v>36</v>
      </c>
      <c r="W26" t="str">
        <f t="shared" si="8"/>
        <v>echo lootName24,DAIL/items/materia/class0007/Necromancer24.dbr, &gt;&gt; .\items\loottables\dailoneskill0007.dbr</v>
      </c>
      <c r="X26" t="str">
        <f t="shared" si="8"/>
        <v>echo lootWeight24,1, &gt;&gt; .\items\loottables\dailoneskill0007.dbr</v>
      </c>
      <c r="Y26" s="5" t="s">
        <v>36</v>
      </c>
      <c r="Z26" t="str">
        <f t="shared" si="9"/>
        <v xml:space="preserve"> dailCompDescNecromancer24=^pNecromancer's Gift of DAIL</v>
      </c>
      <c r="AA26" t="str">
        <f t="shared" si="17"/>
        <v>dailCompTextNecromancer24=^oThis feels warm to the touch, almost familiar ^w(This component fits into all Jewellery slots including the Belt And Shoulder)</v>
      </c>
      <c r="AB26" s="5" t="s">
        <v>36</v>
      </c>
      <c r="AH26">
        <f t="shared" si="19"/>
        <v>21</v>
      </c>
      <c r="AI26">
        <f t="shared" si="13"/>
        <v>26</v>
      </c>
      <c r="AJ26">
        <f t="shared" si="18"/>
        <v>1</v>
      </c>
    </row>
    <row r="27" spans="1:36" x14ac:dyDescent="0.25">
      <c r="A27" s="5" t="s">
        <v>39</v>
      </c>
      <c r="B27" s="5" t="s">
        <v>28</v>
      </c>
      <c r="C27" s="5" t="str">
        <f t="shared" si="0"/>
        <v>description,dailCompDescNecromancer25,</v>
      </c>
      <c r="D27" s="5" t="str">
        <f t="shared" si="2"/>
        <v>itemText,dailCompTextNecromancer25,</v>
      </c>
      <c r="E27" s="5" t="str">
        <f t="shared" si="14"/>
        <v>augmentSkillLevel1,1,</v>
      </c>
      <c r="F27" s="5" t="str">
        <f t="shared" si="15"/>
        <v>augmentSkillName1,records/skills/playerclass07/nec_tel_mod.dbr,</v>
      </c>
      <c r="G27" s="7">
        <f t="shared" si="10"/>
        <v>25</v>
      </c>
      <c r="H27" s="8" t="str">
        <f t="shared" si="11"/>
        <v>Necromancer</v>
      </c>
      <c r="I27" s="3" t="s">
        <v>368</v>
      </c>
      <c r="J27" s="8" t="str">
        <f t="shared" si="20"/>
        <v>class0007</v>
      </c>
      <c r="K27" s="8" t="str">
        <f t="shared" si="20"/>
        <v>dailoneskill0007</v>
      </c>
      <c r="L27" s="5" t="str">
        <f t="shared" si="4"/>
        <v>lootName25,DAIL/items/materia/class0007/Necromancer25.dbr,</v>
      </c>
      <c r="M27" s="5" t="str">
        <f t="shared" si="5"/>
        <v>lootWeight25,1,</v>
      </c>
      <c r="N27" t="str">
        <f t="shared" si="6"/>
        <v>1</v>
      </c>
      <c r="O27" t="str">
        <f t="shared" si="16"/>
        <v>copy .\dail_base.dbr .\items\materia\class0007\Necromancer25.dbr /y</v>
      </c>
      <c r="P27" t="str">
        <f t="shared" si="7"/>
        <v>echo relicBitmap,items/craftingparts/components/component_a52_bristlyfur_b.tex, &gt;&gt; .\items\materia\class0007\Necromancer25.dbr</v>
      </c>
      <c r="Q27" t="str">
        <f t="shared" si="7"/>
        <v>echo itemCost,300000, &gt;&gt; .\items\materia\class0007\Necromancer25.dbr</v>
      </c>
      <c r="R27" t="str">
        <f t="shared" si="7"/>
        <v>echo description,dailCompDescNecromancer25, &gt;&gt; .\items\materia\class0007\Necromancer25.dbr</v>
      </c>
      <c r="S27" t="str">
        <f t="shared" si="7"/>
        <v>echo itemText,dailCompTextNecromancer25, &gt;&gt; .\items\materia\class0007\Necromancer25.dbr</v>
      </c>
      <c r="T27" t="str">
        <f t="shared" si="7"/>
        <v>echo augmentSkillLevel1,1, &gt;&gt; .\items\materia\class0007\Necromancer25.dbr</v>
      </c>
      <c r="U27" t="str">
        <f t="shared" si="7"/>
        <v>echo augmentSkillName1,records/skills/playerclass07/nec_tel_mod.dbr, &gt;&gt; .\items\materia\class0007\Necromancer25.dbr</v>
      </c>
      <c r="V27" s="5" t="s">
        <v>36</v>
      </c>
      <c r="W27" t="str">
        <f t="shared" si="8"/>
        <v>echo lootName25,DAIL/items/materia/class0007/Necromancer25.dbr, &gt;&gt; .\items\loottables\dailoneskill0007.dbr</v>
      </c>
      <c r="X27" t="str">
        <f t="shared" si="8"/>
        <v>echo lootWeight25,1, &gt;&gt; .\items\loottables\dailoneskill0007.dbr</v>
      </c>
      <c r="Y27" s="5" t="s">
        <v>36</v>
      </c>
      <c r="Z27" t="str">
        <f t="shared" si="9"/>
        <v xml:space="preserve"> dailCompDescNecromancer25=^pNecromancer's Gift of DAIL</v>
      </c>
      <c r="AA27" t="str">
        <f t="shared" si="17"/>
        <v>dailCompTextNecromancer25=^oThis feels warm to the touch, almost familiar ^w(This component fits into all Jewellery slots including the Belt And Shoulder)</v>
      </c>
      <c r="AB27" s="5" t="s">
        <v>36</v>
      </c>
      <c r="AH27">
        <f t="shared" si="19"/>
        <v>22</v>
      </c>
      <c r="AI27">
        <f t="shared" si="13"/>
        <v>30</v>
      </c>
      <c r="AJ27">
        <f t="shared" si="18"/>
        <v>1</v>
      </c>
    </row>
    <row r="28" spans="1:36" x14ac:dyDescent="0.25">
      <c r="A28" s="5" t="s">
        <v>39</v>
      </c>
      <c r="B28" s="5" t="s">
        <v>28</v>
      </c>
      <c r="C28" s="5" t="str">
        <f t="shared" si="0"/>
        <v>description,dailCompDescNecromancer26,</v>
      </c>
      <c r="D28" s="5" t="str">
        <f t="shared" si="2"/>
        <v>itemText,dailCompTextNecromancer26,</v>
      </c>
      <c r="E28" s="5" t="str">
        <f t="shared" si="14"/>
        <v>augmentSkillLevel1,1,</v>
      </c>
      <c r="F28" s="5" t="str">
        <f t="shared" si="15"/>
        <v>augmentSkillName1,records/skills/playerclass07/nec_dispel.dbr,</v>
      </c>
      <c r="G28" s="7">
        <f t="shared" si="10"/>
        <v>26</v>
      </c>
      <c r="H28" s="8" t="str">
        <f t="shared" si="11"/>
        <v>Necromancer</v>
      </c>
      <c r="I28" s="3" t="s">
        <v>155</v>
      </c>
      <c r="J28" s="8" t="str">
        <f t="shared" si="20"/>
        <v>class0007</v>
      </c>
      <c r="K28" s="8" t="str">
        <f t="shared" si="20"/>
        <v>dailoneskill0007</v>
      </c>
      <c r="L28" s="5" t="str">
        <f t="shared" si="4"/>
        <v>lootName26,DAIL/items/materia/class0007/Necromancer26.dbr,</v>
      </c>
      <c r="M28" s="5" t="str">
        <f t="shared" si="5"/>
        <v>lootWeight26,1,</v>
      </c>
      <c r="N28" t="str">
        <f t="shared" si="6"/>
        <v>1</v>
      </c>
      <c r="O28" t="str">
        <f t="shared" si="16"/>
        <v>copy .\dail_base.dbr .\items\materia\class0007\Necromancer26.dbr /y</v>
      </c>
      <c r="P28" t="str">
        <f t="shared" si="7"/>
        <v>echo relicBitmap,items/craftingparts/components/component_a52_bristlyfur_b.tex, &gt;&gt; .\items\materia\class0007\Necromancer26.dbr</v>
      </c>
      <c r="Q28" t="str">
        <f t="shared" si="7"/>
        <v>echo itemCost,300000, &gt;&gt; .\items\materia\class0007\Necromancer26.dbr</v>
      </c>
      <c r="R28" t="str">
        <f t="shared" si="7"/>
        <v>echo description,dailCompDescNecromancer26, &gt;&gt; .\items\materia\class0007\Necromancer26.dbr</v>
      </c>
      <c r="S28" t="str">
        <f t="shared" si="7"/>
        <v>echo itemText,dailCompTextNecromancer26, &gt;&gt; .\items\materia\class0007\Necromancer26.dbr</v>
      </c>
      <c r="T28" t="str">
        <f t="shared" si="7"/>
        <v>echo augmentSkillLevel1,1, &gt;&gt; .\items\materia\class0007\Necromancer26.dbr</v>
      </c>
      <c r="U28" t="str">
        <f t="shared" si="7"/>
        <v>echo augmentSkillName1,records/skills/playerclass07/nec_dispel.dbr, &gt;&gt; .\items\materia\class0007\Necromancer26.dbr</v>
      </c>
      <c r="V28" s="5" t="s">
        <v>36</v>
      </c>
      <c r="W28" t="str">
        <f t="shared" si="8"/>
        <v>echo lootName26,DAIL/items/materia/class0007/Necromancer26.dbr, &gt;&gt; .\items\loottables\dailoneskill0007.dbr</v>
      </c>
      <c r="X28" t="str">
        <f t="shared" si="8"/>
        <v>echo lootWeight26,1, &gt;&gt; .\items\loottables\dailoneskill0007.dbr</v>
      </c>
      <c r="Y28" s="5" t="s">
        <v>36</v>
      </c>
      <c r="Z28" t="str">
        <f t="shared" si="9"/>
        <v xml:space="preserve"> dailCompDescNecromancer26=^pNecromancer's Gift of DAIL</v>
      </c>
      <c r="AA28" t="str">
        <f t="shared" si="17"/>
        <v>dailCompTextNecromancer26=^oThis feels warm to the touch, almost familiar ^w(This component fits into all Jewellery slots including the Belt And Shoulder)</v>
      </c>
      <c r="AB28" s="5" t="s">
        <v>36</v>
      </c>
      <c r="AH28">
        <f t="shared" si="19"/>
        <v>23</v>
      </c>
      <c r="AI28">
        <f t="shared" si="13"/>
        <v>29</v>
      </c>
      <c r="AJ28">
        <f t="shared" si="18"/>
        <v>1</v>
      </c>
    </row>
    <row r="29" spans="1:36" x14ac:dyDescent="0.25">
      <c r="A29" s="5" t="s">
        <v>39</v>
      </c>
      <c r="B29" s="5" t="s">
        <v>28</v>
      </c>
      <c r="C29" s="5" t="str">
        <f t="shared" si="0"/>
        <v>description,dailCompDescNecromancer27,</v>
      </c>
      <c r="D29" s="5" t="str">
        <f t="shared" si="2"/>
        <v>itemText,dailCompTextNecromancer27,</v>
      </c>
      <c r="E29" s="5" t="str">
        <f t="shared" si="14"/>
        <v>augmentSkillLevel1,1,</v>
      </c>
      <c r="F29" s="5" t="str">
        <f t="shared" si="15"/>
        <v>augmentSkillName1,records/skills/playerclass07/ground.dbr,</v>
      </c>
      <c r="G29" s="7">
        <f t="shared" si="10"/>
        <v>27</v>
      </c>
      <c r="H29" s="8" t="str">
        <f t="shared" si="11"/>
        <v>Necromancer</v>
      </c>
      <c r="I29" s="3" t="s">
        <v>153</v>
      </c>
      <c r="J29" s="8" t="str">
        <f t="shared" si="20"/>
        <v>class0007</v>
      </c>
      <c r="K29" s="8" t="str">
        <f t="shared" si="20"/>
        <v>dailoneskill0007</v>
      </c>
      <c r="L29" s="5" t="str">
        <f t="shared" si="4"/>
        <v>lootName27,DAIL/items/materia/class0007/Necromancer27.dbr,</v>
      </c>
      <c r="M29" s="5" t="str">
        <f t="shared" si="5"/>
        <v>lootWeight27,1,</v>
      </c>
      <c r="N29" t="str">
        <f t="shared" si="6"/>
        <v>1</v>
      </c>
      <c r="O29" t="str">
        <f t="shared" si="16"/>
        <v>copy .\dail_base.dbr .\items\materia\class0007\Necromancer27.dbr /y</v>
      </c>
      <c r="P29" t="str">
        <f t="shared" si="7"/>
        <v>echo relicBitmap,items/craftingparts/components/component_a52_bristlyfur_b.tex, &gt;&gt; .\items\materia\class0007\Necromancer27.dbr</v>
      </c>
      <c r="Q29" t="str">
        <f t="shared" si="7"/>
        <v>echo itemCost,300000, &gt;&gt; .\items\materia\class0007\Necromancer27.dbr</v>
      </c>
      <c r="R29" t="str">
        <f t="shared" si="7"/>
        <v>echo description,dailCompDescNecromancer27, &gt;&gt; .\items\materia\class0007\Necromancer27.dbr</v>
      </c>
      <c r="S29" t="str">
        <f t="shared" si="7"/>
        <v>echo itemText,dailCompTextNecromancer27, &gt;&gt; .\items\materia\class0007\Necromancer27.dbr</v>
      </c>
      <c r="T29" t="str">
        <f t="shared" si="7"/>
        <v>echo augmentSkillLevel1,1, &gt;&gt; .\items\materia\class0007\Necromancer27.dbr</v>
      </c>
      <c r="U29" t="str">
        <f t="shared" si="7"/>
        <v>echo augmentSkillName1,records/skills/playerclass07/ground.dbr, &gt;&gt; .\items\materia\class0007\Necromancer27.dbr</v>
      </c>
      <c r="V29" s="5" t="s">
        <v>36</v>
      </c>
      <c r="W29" t="str">
        <f t="shared" si="8"/>
        <v>echo lootName27,DAIL/items/materia/class0007/Necromancer27.dbr, &gt;&gt; .\items\loottables\dailoneskill0007.dbr</v>
      </c>
      <c r="X29" t="str">
        <f t="shared" si="8"/>
        <v>echo lootWeight27,1, &gt;&gt; .\items\loottables\dailoneskill0007.dbr</v>
      </c>
      <c r="Y29" s="5" t="s">
        <v>36</v>
      </c>
      <c r="Z29" t="str">
        <f t="shared" si="9"/>
        <v xml:space="preserve"> dailCompDescNecromancer27=^pNecromancer's Gift of DAIL</v>
      </c>
      <c r="AA29" t="str">
        <f t="shared" si="17"/>
        <v>dailCompTextNecromancer27=^oThis feels warm to the touch, almost familiar ^w(This component fits into all Jewellery slots including the Belt And Shoulder)</v>
      </c>
      <c r="AB29" s="5" t="s">
        <v>36</v>
      </c>
      <c r="AH29">
        <f t="shared" si="19"/>
        <v>24</v>
      </c>
      <c r="AI29">
        <f t="shared" si="13"/>
        <v>25</v>
      </c>
      <c r="AJ29">
        <f t="shared" si="18"/>
        <v>1</v>
      </c>
    </row>
    <row r="30" spans="1:36" x14ac:dyDescent="0.25">
      <c r="A30" s="5" t="s">
        <v>39</v>
      </c>
      <c r="B30" s="5" t="s">
        <v>28</v>
      </c>
      <c r="C30" s="5" t="str">
        <f t="shared" si="0"/>
        <v>description,dailCompDescNecromancer28,</v>
      </c>
      <c r="D30" s="5" t="str">
        <f t="shared" si="2"/>
        <v>itemText,dailCompTextNecromancer28,</v>
      </c>
      <c r="E30" s="5" t="str">
        <f t="shared" si="14"/>
        <v>augmentSkillLevel1,1,</v>
      </c>
      <c r="F30" s="5" t="str">
        <f t="shared" si="15"/>
        <v>augmentSkillName1,records/skills/playerclass07/ground_mod.dbr,</v>
      </c>
      <c r="G30" s="7">
        <f t="shared" si="10"/>
        <v>28</v>
      </c>
      <c r="H30" s="8" t="str">
        <f t="shared" si="11"/>
        <v>Necromancer</v>
      </c>
      <c r="I30" s="3" t="s">
        <v>369</v>
      </c>
      <c r="J30" s="8" t="str">
        <f t="shared" si="20"/>
        <v>class0007</v>
      </c>
      <c r="K30" s="8" t="str">
        <f t="shared" si="20"/>
        <v>dailoneskill0007</v>
      </c>
      <c r="L30" s="5" t="str">
        <f t="shared" si="4"/>
        <v>lootName28,DAIL/items/materia/class0007/Necromancer28.dbr,</v>
      </c>
      <c r="M30" s="5" t="str">
        <f t="shared" si="5"/>
        <v>lootWeight28,1,</v>
      </c>
      <c r="N30" t="str">
        <f t="shared" si="6"/>
        <v>1</v>
      </c>
      <c r="O30" t="str">
        <f t="shared" si="16"/>
        <v>copy .\dail_base.dbr .\items\materia\class0007\Necromancer28.dbr /y</v>
      </c>
      <c r="P30" t="str">
        <f t="shared" si="7"/>
        <v>echo relicBitmap,items/craftingparts/components/component_a52_bristlyfur_b.tex, &gt;&gt; .\items\materia\class0007\Necromancer28.dbr</v>
      </c>
      <c r="Q30" t="str">
        <f t="shared" si="7"/>
        <v>echo itemCost,300000, &gt;&gt; .\items\materia\class0007\Necromancer28.dbr</v>
      </c>
      <c r="R30" t="str">
        <f t="shared" si="7"/>
        <v>echo description,dailCompDescNecromancer28, &gt;&gt; .\items\materia\class0007\Necromancer28.dbr</v>
      </c>
      <c r="S30" t="str">
        <f t="shared" si="7"/>
        <v>echo itemText,dailCompTextNecromancer28, &gt;&gt; .\items\materia\class0007\Necromancer28.dbr</v>
      </c>
      <c r="T30" t="str">
        <f t="shared" si="7"/>
        <v>echo augmentSkillLevel1,1, &gt;&gt; .\items\materia\class0007\Necromancer28.dbr</v>
      </c>
      <c r="U30" t="str">
        <f t="shared" si="7"/>
        <v>echo augmentSkillName1,records/skills/playerclass07/ground_mod.dbr, &gt;&gt; .\items\materia\class0007\Necromancer28.dbr</v>
      </c>
      <c r="V30" s="5" t="s">
        <v>36</v>
      </c>
      <c r="W30" t="str">
        <f t="shared" si="8"/>
        <v>echo lootName28,DAIL/items/materia/class0007/Necromancer28.dbr, &gt;&gt; .\items\loottables\dailoneskill0007.dbr</v>
      </c>
      <c r="X30" t="str">
        <f t="shared" si="8"/>
        <v>echo lootWeight28,1, &gt;&gt; .\items\loottables\dailoneskill0007.dbr</v>
      </c>
      <c r="Y30" s="5" t="s">
        <v>36</v>
      </c>
      <c r="Z30" t="str">
        <f t="shared" si="9"/>
        <v xml:space="preserve"> dailCompDescNecromancer28=^pNecromancer's Gift of DAIL</v>
      </c>
      <c r="AA30" t="str">
        <f t="shared" si="17"/>
        <v>dailCompTextNecromancer28=^oThis feels warm to the touch, almost familiar ^w(This component fits into all Jewellery slots including the Belt And Shoulder)</v>
      </c>
      <c r="AB30" s="5" t="s">
        <v>36</v>
      </c>
      <c r="AH30">
        <f t="shared" si="19"/>
        <v>25</v>
      </c>
      <c r="AI30">
        <f t="shared" si="13"/>
        <v>29</v>
      </c>
      <c r="AJ30">
        <f t="shared" si="18"/>
        <v>1</v>
      </c>
    </row>
    <row r="31" spans="1:36" x14ac:dyDescent="0.25">
      <c r="A31" s="5" t="s">
        <v>39</v>
      </c>
      <c r="B31" s="5" t="s">
        <v>28</v>
      </c>
      <c r="C31" s="5" t="str">
        <f t="shared" si="0"/>
        <v>description,dailCompDescNecromancer29,</v>
      </c>
      <c r="D31" s="5" t="str">
        <f t="shared" si="2"/>
        <v>itemText,dailCompTextNecromancer29,</v>
      </c>
      <c r="E31" s="5" t="str">
        <f t="shared" si="14"/>
        <v>augmentSkillLevel1,1,</v>
      </c>
      <c r="F31" s="5" t="str">
        <f t="shared" si="15"/>
        <v>augmentSkillName1,records/skills/playerclass07/summon_death.dbr,</v>
      </c>
      <c r="G31" s="7">
        <f t="shared" si="10"/>
        <v>29</v>
      </c>
      <c r="H31" s="8" t="str">
        <f t="shared" si="11"/>
        <v>Necromancer</v>
      </c>
      <c r="I31" s="3" t="s">
        <v>370</v>
      </c>
      <c r="J31" s="8" t="str">
        <f t="shared" si="20"/>
        <v>class0007</v>
      </c>
      <c r="K31" s="8" t="str">
        <f t="shared" si="20"/>
        <v>dailoneskill0007</v>
      </c>
      <c r="L31" s="5" t="str">
        <f t="shared" si="4"/>
        <v>lootName29,DAIL/items/materia/class0007/Necromancer29.dbr,</v>
      </c>
      <c r="M31" s="5" t="str">
        <f t="shared" si="5"/>
        <v>lootWeight29,1,</v>
      </c>
      <c r="N31" t="str">
        <f t="shared" si="6"/>
        <v>1</v>
      </c>
      <c r="O31" t="str">
        <f t="shared" si="16"/>
        <v>copy .\dail_base.dbr .\items\materia\class0007\Necromancer29.dbr /y</v>
      </c>
      <c r="P31" t="str">
        <f t="shared" si="7"/>
        <v>echo relicBitmap,items/craftingparts/components/component_a52_bristlyfur_b.tex, &gt;&gt; .\items\materia\class0007\Necromancer29.dbr</v>
      </c>
      <c r="Q31" t="str">
        <f t="shared" si="7"/>
        <v>echo itemCost,300000, &gt;&gt; .\items\materia\class0007\Necromancer29.dbr</v>
      </c>
      <c r="R31" t="str">
        <f t="shared" si="7"/>
        <v>echo description,dailCompDescNecromancer29, &gt;&gt; .\items\materia\class0007\Necromancer29.dbr</v>
      </c>
      <c r="S31" t="str">
        <f t="shared" si="7"/>
        <v>echo itemText,dailCompTextNecromancer29, &gt;&gt; .\items\materia\class0007\Necromancer29.dbr</v>
      </c>
      <c r="T31" t="str">
        <f t="shared" si="7"/>
        <v>echo augmentSkillLevel1,1, &gt;&gt; .\items\materia\class0007\Necromancer29.dbr</v>
      </c>
      <c r="U31" t="str">
        <f t="shared" si="7"/>
        <v>echo augmentSkillName1,records/skills/playerclass07/summon_death.dbr, &gt;&gt; .\items\materia\class0007\Necromancer29.dbr</v>
      </c>
      <c r="V31" s="5" t="s">
        <v>36</v>
      </c>
      <c r="W31" t="str">
        <f t="shared" si="8"/>
        <v>echo lootName29,DAIL/items/materia/class0007/Necromancer29.dbr, &gt;&gt; .\items\loottables\dailoneskill0007.dbr</v>
      </c>
      <c r="X31" t="str">
        <f t="shared" si="8"/>
        <v>echo lootWeight29,1, &gt;&gt; .\items\loottables\dailoneskill0007.dbr</v>
      </c>
      <c r="Y31" s="5" t="s">
        <v>36</v>
      </c>
      <c r="Z31" t="str">
        <f t="shared" si="9"/>
        <v xml:space="preserve"> dailCompDescNecromancer29=^pNecromancer's Gift of DAIL</v>
      </c>
      <c r="AA31" t="str">
        <f t="shared" si="17"/>
        <v>dailCompTextNecromancer29=^oThis feels warm to the touch, almost familiar ^w(This component fits into all Jewellery slots including the Belt And Shoulder)</v>
      </c>
      <c r="AB31" s="5" t="s">
        <v>36</v>
      </c>
      <c r="AH31">
        <f t="shared" si="19"/>
        <v>26</v>
      </c>
      <c r="AI31">
        <f t="shared" si="13"/>
        <v>31</v>
      </c>
      <c r="AJ31">
        <f t="shared" si="18"/>
        <v>1</v>
      </c>
    </row>
    <row r="32" spans="1:36" x14ac:dyDescent="0.25">
      <c r="A32" s="5" t="s">
        <v>39</v>
      </c>
      <c r="B32" s="5" t="s">
        <v>30</v>
      </c>
      <c r="C32" s="5" t="str">
        <f t="shared" si="0"/>
        <v>description,dailCompDescNecromancer30,</v>
      </c>
      <c r="D32" s="5" t="str">
        <f t="shared" si="2"/>
        <v>itemText,dailCompTextNecromancer30,</v>
      </c>
      <c r="E32" s="5" t="str">
        <f t="shared" si="14"/>
        <v>augmentSkillLevel1,1,</v>
      </c>
      <c r="F32" s="5" t="str">
        <f t="shared" si="15"/>
        <v>augmentSkillName1,records/skills/playerclass07/nec_tel_mod2.dbr,</v>
      </c>
      <c r="G32" s="7">
        <f t="shared" si="10"/>
        <v>30</v>
      </c>
      <c r="H32" s="8" t="str">
        <f t="shared" si="11"/>
        <v>Necromancer</v>
      </c>
      <c r="I32" s="3" t="s">
        <v>371</v>
      </c>
      <c r="J32" s="8" t="str">
        <f t="shared" si="20"/>
        <v>class0007</v>
      </c>
      <c r="K32" s="8" t="str">
        <f t="shared" si="20"/>
        <v>dailoneskill0007</v>
      </c>
      <c r="L32" s="5" t="str">
        <f t="shared" si="4"/>
        <v>lootName30,DAIL/items/materia/class0007/Necromancer30.dbr,</v>
      </c>
      <c r="M32" s="5" t="str">
        <f t="shared" si="5"/>
        <v>lootWeight30,1,</v>
      </c>
      <c r="N32" t="str">
        <f t="shared" si="6"/>
        <v>1</v>
      </c>
      <c r="O32" t="str">
        <f t="shared" si="16"/>
        <v>copy .\dail_base.dbr .\items\materia\class0007\Necromancer30.dbr /y</v>
      </c>
      <c r="P32" t="str">
        <f t="shared" si="7"/>
        <v>echo relicBitmap,items/craftingparts/components/component_a52_bristlyfur_b.tex, &gt;&gt; .\items\materia\class0007\Necromancer30.dbr</v>
      </c>
      <c r="Q32" t="str">
        <f t="shared" si="7"/>
        <v>echo itemCost,500000, &gt;&gt; .\items\materia\class0007\Necromancer30.dbr</v>
      </c>
      <c r="R32" t="str">
        <f t="shared" si="7"/>
        <v>echo description,dailCompDescNecromancer30, &gt;&gt; .\items\materia\class0007\Necromancer30.dbr</v>
      </c>
      <c r="S32" t="str">
        <f t="shared" si="7"/>
        <v>echo itemText,dailCompTextNecromancer30, &gt;&gt; .\items\materia\class0007\Necromancer30.dbr</v>
      </c>
      <c r="T32" t="str">
        <f t="shared" si="7"/>
        <v>echo augmentSkillLevel1,1, &gt;&gt; .\items\materia\class0007\Necromancer30.dbr</v>
      </c>
      <c r="U32" t="str">
        <f t="shared" si="7"/>
        <v>echo augmentSkillName1,records/skills/playerclass07/nec_tel_mod2.dbr, &gt;&gt; .\items\materia\class0007\Necromancer30.dbr</v>
      </c>
      <c r="V32" s="5" t="s">
        <v>36</v>
      </c>
      <c r="W32" t="str">
        <f t="shared" si="8"/>
        <v>echo lootName30,DAIL/items/materia/class0007/Necromancer30.dbr, &gt;&gt; .\items\loottables\dailoneskill0007.dbr</v>
      </c>
      <c r="X32" t="str">
        <f t="shared" si="8"/>
        <v>echo lootWeight30,1, &gt;&gt; .\items\loottables\dailoneskill0007.dbr</v>
      </c>
      <c r="Y32" s="5" t="s">
        <v>36</v>
      </c>
      <c r="Z32" t="str">
        <f t="shared" si="9"/>
        <v xml:space="preserve"> dailCompDescNecromancer30=^pNecromancer's Gift of DAIL</v>
      </c>
      <c r="AA32" t="str">
        <f t="shared" si="17"/>
        <v>dailCompTextNecromancer30=^oThis feels warm to the touch, almost familiar ^w(This component fits into all Jewellery slots including the Belt And Shoulder)</v>
      </c>
      <c r="AB32" s="5" t="s">
        <v>36</v>
      </c>
      <c r="AH32">
        <f t="shared" si="19"/>
        <v>27</v>
      </c>
      <c r="AI32">
        <f t="shared" si="13"/>
        <v>31</v>
      </c>
      <c r="AJ32">
        <f t="shared" si="18"/>
        <v>1</v>
      </c>
    </row>
    <row r="33" spans="1:36" x14ac:dyDescent="0.25">
      <c r="A33" s="5" t="s">
        <v>39</v>
      </c>
      <c r="B33" s="5" t="s">
        <v>30</v>
      </c>
      <c r="C33" s="5" t="str">
        <f t="shared" si="0"/>
        <v>description,dailCompDescNecromancer31,</v>
      </c>
      <c r="D33" s="5" t="str">
        <f t="shared" si="2"/>
        <v>itemText,dailCompTextNecromancer31,</v>
      </c>
      <c r="E33" s="5" t="str">
        <f t="shared" si="14"/>
        <v>augmentSkillLevel1,1,</v>
      </c>
      <c r="F33" s="5" t="str">
        <f t="shared" si="15"/>
        <v>augmentSkillName1,records/skills/playerclass07/nec_tel_tra.dbr,</v>
      </c>
      <c r="G33" s="7">
        <f t="shared" si="10"/>
        <v>31</v>
      </c>
      <c r="H33" s="8" t="str">
        <f t="shared" si="11"/>
        <v>Necromancer</v>
      </c>
      <c r="I33" s="3" t="s">
        <v>372</v>
      </c>
      <c r="J33" s="8" t="str">
        <f t="shared" si="20"/>
        <v>class0007</v>
      </c>
      <c r="K33" s="8" t="str">
        <f t="shared" si="20"/>
        <v>dailoneskill0007</v>
      </c>
      <c r="L33" s="5" t="str">
        <f t="shared" si="4"/>
        <v>lootName31,DAIL/items/materia/class0007/Necromancer31.dbr,</v>
      </c>
      <c r="M33" s="5" t="str">
        <f t="shared" si="5"/>
        <v>lootWeight31,1,</v>
      </c>
      <c r="N33" t="str">
        <f t="shared" si="6"/>
        <v>1</v>
      </c>
      <c r="O33" t="str">
        <f t="shared" si="16"/>
        <v>copy .\dail_base.dbr .\items\materia\class0007\Necromancer31.dbr /y</v>
      </c>
      <c r="P33" t="str">
        <f t="shared" si="7"/>
        <v>echo relicBitmap,items/craftingparts/components/component_a52_bristlyfur_b.tex, &gt;&gt; .\items\materia\class0007\Necromancer31.dbr</v>
      </c>
      <c r="Q33" t="str">
        <f t="shared" si="7"/>
        <v>echo itemCost,500000, &gt;&gt; .\items\materia\class0007\Necromancer31.dbr</v>
      </c>
      <c r="R33" t="str">
        <f t="shared" si="7"/>
        <v>echo description,dailCompDescNecromancer31, &gt;&gt; .\items\materia\class0007\Necromancer31.dbr</v>
      </c>
      <c r="S33" t="str">
        <f t="shared" si="7"/>
        <v>echo itemText,dailCompTextNecromancer31, &gt;&gt; .\items\materia\class0007\Necromancer31.dbr</v>
      </c>
      <c r="T33" t="str">
        <f t="shared" si="7"/>
        <v>echo augmentSkillLevel1,1, &gt;&gt; .\items\materia\class0007\Necromancer31.dbr</v>
      </c>
      <c r="U33" t="str">
        <f t="shared" si="7"/>
        <v>echo augmentSkillName1,records/skills/playerclass07/nec_tel_tra.dbr, &gt;&gt; .\items\materia\class0007\Necromancer31.dbr</v>
      </c>
      <c r="V33" s="5" t="s">
        <v>36</v>
      </c>
      <c r="W33" t="str">
        <f t="shared" si="8"/>
        <v>echo lootName31,DAIL/items/materia/class0007/Necromancer31.dbr, &gt;&gt; .\items\loottables\dailoneskill0007.dbr</v>
      </c>
      <c r="X33" t="str">
        <f t="shared" si="8"/>
        <v>echo lootWeight31,1, &gt;&gt; .\items\loottables\dailoneskill0007.dbr</v>
      </c>
      <c r="Y33" s="5" t="s">
        <v>36</v>
      </c>
      <c r="Z33" t="str">
        <f t="shared" si="9"/>
        <v xml:space="preserve"> dailCompDescNecromancer31=^pNecromancer's Gift of DAIL</v>
      </c>
      <c r="AA33" t="str">
        <f t="shared" si="17"/>
        <v>dailCompTextNecromancer31=^oThis feels warm to the touch, almost familiar ^w(This component fits into all Jewellery slots including the Belt And Shoulder)</v>
      </c>
      <c r="AB33" s="5" t="s">
        <v>36</v>
      </c>
      <c r="AH33">
        <f t="shared" si="19"/>
        <v>28</v>
      </c>
      <c r="AI33">
        <f t="shared" si="13"/>
        <v>30</v>
      </c>
      <c r="AJ33">
        <f t="shared" si="18"/>
        <v>1</v>
      </c>
    </row>
    <row r="34" spans="1:36" x14ac:dyDescent="0.25">
      <c r="A34" s="5" t="s">
        <v>39</v>
      </c>
      <c r="B34" s="5" t="s">
        <v>30</v>
      </c>
      <c r="C34" s="5" t="str">
        <f t="shared" si="0"/>
        <v>description,dailCompDescNecromancer32,</v>
      </c>
      <c r="D34" s="5" t="str">
        <f t="shared" si="2"/>
        <v>itemText,dailCompTextNecromancer32,</v>
      </c>
      <c r="E34" s="5" t="str">
        <f t="shared" si="14"/>
        <v>augmentSkillLevel1,1,</v>
      </c>
      <c r="F34" s="5" t="str">
        <f t="shared" si="15"/>
        <v>augmentSkillName1,records/skills/playerclass07/bonearmor.dbr,</v>
      </c>
      <c r="G34" s="7">
        <f t="shared" si="10"/>
        <v>32</v>
      </c>
      <c r="H34" s="8" t="str">
        <f t="shared" si="11"/>
        <v>Necromancer</v>
      </c>
      <c r="I34" s="3" t="s">
        <v>151</v>
      </c>
      <c r="J34" s="8" t="str">
        <f t="shared" si="20"/>
        <v>class0007</v>
      </c>
      <c r="K34" s="8" t="str">
        <f t="shared" si="20"/>
        <v>dailoneskill0007</v>
      </c>
      <c r="L34" s="5" t="str">
        <f t="shared" si="4"/>
        <v>lootName32,DAIL/items/materia/class0007/Necromancer32.dbr,</v>
      </c>
      <c r="M34" s="5" t="str">
        <f t="shared" si="5"/>
        <v>lootWeight32,1,</v>
      </c>
      <c r="N34" t="str">
        <f t="shared" si="6"/>
        <v>1</v>
      </c>
      <c r="O34" t="str">
        <f t="shared" si="16"/>
        <v>copy .\dail_base.dbr .\items\materia\class0007\Necromancer32.dbr /y</v>
      </c>
      <c r="P34" t="str">
        <f t="shared" si="7"/>
        <v>echo relicBitmap,items/craftingparts/components/component_a52_bristlyfur_b.tex, &gt;&gt; .\items\materia\class0007\Necromancer32.dbr</v>
      </c>
      <c r="Q34" t="str">
        <f t="shared" si="7"/>
        <v>echo itemCost,500000, &gt;&gt; .\items\materia\class0007\Necromancer32.dbr</v>
      </c>
      <c r="R34" t="str">
        <f t="shared" si="7"/>
        <v>echo description,dailCompDescNecromancer32, &gt;&gt; .\items\materia\class0007\Necromancer32.dbr</v>
      </c>
      <c r="S34" t="str">
        <f t="shared" si="7"/>
        <v>echo itemText,dailCompTextNecromancer32, &gt;&gt; .\items\materia\class0007\Necromancer32.dbr</v>
      </c>
      <c r="T34" t="str">
        <f t="shared" si="7"/>
        <v>echo augmentSkillLevel1,1, &gt;&gt; .\items\materia\class0007\Necromancer32.dbr</v>
      </c>
      <c r="U34" t="str">
        <f t="shared" si="7"/>
        <v>echo augmentSkillName1,records/skills/playerclass07/bonearmor.dbr, &gt;&gt; .\items\materia\class0007\Necromancer32.dbr</v>
      </c>
      <c r="V34" s="5" t="s">
        <v>36</v>
      </c>
      <c r="W34" t="str">
        <f t="shared" si="8"/>
        <v>echo lootName32,DAIL/items/materia/class0007/Necromancer32.dbr, &gt;&gt; .\items\loottables\dailoneskill0007.dbr</v>
      </c>
      <c r="X34" t="str">
        <f t="shared" si="8"/>
        <v>echo lootWeight32,1, &gt;&gt; .\items\loottables\dailoneskill0007.dbr</v>
      </c>
      <c r="Y34" s="5" t="s">
        <v>36</v>
      </c>
      <c r="Z34" t="str">
        <f t="shared" si="9"/>
        <v xml:space="preserve"> dailCompDescNecromancer32=^pNecromancer's Gift of DAIL</v>
      </c>
      <c r="AA34" t="str">
        <f t="shared" si="17"/>
        <v>dailCompTextNecromancer32=^oThis feels warm to the touch, almost familiar ^w(This component fits into all Jewellery slots including the Belt And Shoulder)</v>
      </c>
      <c r="AB34" s="5" t="s">
        <v>36</v>
      </c>
      <c r="AH34">
        <f t="shared" si="19"/>
        <v>29</v>
      </c>
      <c r="AI34">
        <f t="shared" si="13"/>
        <v>28</v>
      </c>
      <c r="AJ34">
        <f t="shared" si="18"/>
        <v>1</v>
      </c>
    </row>
    <row r="35" spans="1:36" x14ac:dyDescent="0.25">
      <c r="A35" s="5" t="s">
        <v>39</v>
      </c>
      <c r="B35" s="5" t="s">
        <v>30</v>
      </c>
      <c r="C35" s="5" t="str">
        <f t="shared" si="0"/>
        <v>description,dailCompDescNecromancer33,</v>
      </c>
      <c r="D35" s="5" t="str">
        <f t="shared" si="2"/>
        <v>itemText,dailCompTextNecromancer33,</v>
      </c>
      <c r="E35" s="5" t="str">
        <f t="shared" si="14"/>
        <v>augmentSkillLevel1,1,</v>
      </c>
      <c r="F35" s="5" t="str">
        <f t="shared" si="15"/>
        <v>augmentSkillName1,records/skills/playerclass07/bonearmor_tra.dbr,</v>
      </c>
      <c r="G35" s="7">
        <f t="shared" si="10"/>
        <v>33</v>
      </c>
      <c r="H35" s="8" t="str">
        <f t="shared" si="11"/>
        <v>Necromancer</v>
      </c>
      <c r="I35" s="3" t="s">
        <v>373</v>
      </c>
      <c r="J35" s="8" t="str">
        <f t="shared" si="20"/>
        <v>class0007</v>
      </c>
      <c r="K35" s="8" t="str">
        <f t="shared" si="20"/>
        <v>dailoneskill0007</v>
      </c>
      <c r="L35" s="5" t="str">
        <f t="shared" si="4"/>
        <v>lootName33,DAIL/items/materia/class0007/Necromancer33.dbr,</v>
      </c>
      <c r="M35" s="5" t="str">
        <f t="shared" si="5"/>
        <v>lootWeight33,1,</v>
      </c>
      <c r="N35" t="str">
        <f t="shared" si="6"/>
        <v>1</v>
      </c>
      <c r="O35" t="str">
        <f t="shared" si="16"/>
        <v>copy .\dail_base.dbr .\items\materia\class0007\Necromancer33.dbr /y</v>
      </c>
      <c r="P35" t="str">
        <f t="shared" si="7"/>
        <v>echo relicBitmap,items/craftingparts/components/component_a52_bristlyfur_b.tex, &gt;&gt; .\items\materia\class0007\Necromancer33.dbr</v>
      </c>
      <c r="Q35" t="str">
        <f t="shared" si="7"/>
        <v>echo itemCost,500000, &gt;&gt; .\items\materia\class0007\Necromancer33.dbr</v>
      </c>
      <c r="R35" t="str">
        <f t="shared" si="7"/>
        <v>echo description,dailCompDescNecromancer33, &gt;&gt; .\items\materia\class0007\Necromancer33.dbr</v>
      </c>
      <c r="S35" t="str">
        <f t="shared" si="7"/>
        <v>echo itemText,dailCompTextNecromancer33, &gt;&gt; .\items\materia\class0007\Necromancer33.dbr</v>
      </c>
      <c r="T35" t="str">
        <f t="shared" si="7"/>
        <v>echo augmentSkillLevel1,1, &gt;&gt; .\items\materia\class0007\Necromancer33.dbr</v>
      </c>
      <c r="U35" t="str">
        <f t="shared" si="7"/>
        <v>echo augmentSkillName1,records/skills/playerclass07/bonearmor_tra.dbr, &gt;&gt; .\items\materia\class0007\Necromancer33.dbr</v>
      </c>
      <c r="V35" s="5" t="s">
        <v>36</v>
      </c>
      <c r="W35" t="str">
        <f t="shared" si="8"/>
        <v>echo lootName33,DAIL/items/materia/class0007/Necromancer33.dbr, &gt;&gt; .\items\loottables\dailoneskill0007.dbr</v>
      </c>
      <c r="X35" t="str">
        <f t="shared" si="8"/>
        <v>echo lootWeight33,1, &gt;&gt; .\items\loottables\dailoneskill0007.dbr</v>
      </c>
      <c r="Y35" s="5" t="s">
        <v>36</v>
      </c>
      <c r="Z35" t="str">
        <f t="shared" si="9"/>
        <v xml:space="preserve"> dailCompDescNecromancer33=^pNecromancer's Gift of DAIL</v>
      </c>
      <c r="AA35" t="str">
        <f t="shared" si="17"/>
        <v>dailCompTextNecromancer33=^oThis feels warm to the touch, almost familiar ^w(This component fits into all Jewellery slots including the Belt And Shoulder)</v>
      </c>
      <c r="AB35" s="5" t="s">
        <v>36</v>
      </c>
      <c r="AH35">
        <f t="shared" si="19"/>
        <v>30</v>
      </c>
      <c r="AI35">
        <f t="shared" si="13"/>
        <v>32</v>
      </c>
      <c r="AJ35">
        <f t="shared" si="18"/>
        <v>1</v>
      </c>
    </row>
    <row r="36" spans="1:36" x14ac:dyDescent="0.25">
      <c r="A36" s="5" t="s">
        <v>39</v>
      </c>
      <c r="B36" s="5" t="s">
        <v>30</v>
      </c>
      <c r="C36" s="5" t="str">
        <f t="shared" si="0"/>
        <v>description,dailCompDescNecromancer34,</v>
      </c>
      <c r="D36" s="5" t="str">
        <f t="shared" si="2"/>
        <v>itemText,dailCompTextNecromancer34,</v>
      </c>
      <c r="E36" s="5" t="str">
        <f t="shared" si="14"/>
        <v>augmentSkillLevel1,1,</v>
      </c>
      <c r="F36" s="5" t="str">
        <f t="shared" si="15"/>
        <v>augmentSkillName1,records/skills/playerclass07/bonearmor2.dbr,</v>
      </c>
      <c r="G36" s="7">
        <f t="shared" si="10"/>
        <v>34</v>
      </c>
      <c r="H36" s="8" t="str">
        <f t="shared" si="11"/>
        <v>Necromancer</v>
      </c>
      <c r="I36" s="3" t="s">
        <v>374</v>
      </c>
      <c r="J36" s="8" t="str">
        <f t="shared" si="20"/>
        <v>class0007</v>
      </c>
      <c r="K36" s="8" t="str">
        <f t="shared" si="20"/>
        <v>dailoneskill0007</v>
      </c>
      <c r="L36" s="5" t="str">
        <f t="shared" si="4"/>
        <v>lootName34,DAIL/items/materia/class0007/Necromancer34.dbr,</v>
      </c>
      <c r="M36" s="5" t="str">
        <f t="shared" si="5"/>
        <v>lootWeight34,1,</v>
      </c>
      <c r="N36" t="str">
        <f t="shared" si="6"/>
        <v>1</v>
      </c>
      <c r="O36" t="str">
        <f t="shared" si="16"/>
        <v>copy .\dail_base.dbr .\items\materia\class0007\Necromancer34.dbr /y</v>
      </c>
      <c r="P36" t="str">
        <f t="shared" si="7"/>
        <v>echo relicBitmap,items/craftingparts/components/component_a52_bristlyfur_b.tex, &gt;&gt; .\items\materia\class0007\Necromancer34.dbr</v>
      </c>
      <c r="Q36" t="str">
        <f t="shared" si="7"/>
        <v>echo itemCost,500000, &gt;&gt; .\items\materia\class0007\Necromancer34.dbr</v>
      </c>
      <c r="R36" t="str">
        <f t="shared" si="7"/>
        <v>echo description,dailCompDescNecromancer34, &gt;&gt; .\items\materia\class0007\Necromancer34.dbr</v>
      </c>
      <c r="S36" t="str">
        <f t="shared" si="7"/>
        <v>echo itemText,dailCompTextNecromancer34, &gt;&gt; .\items\materia\class0007\Necromancer34.dbr</v>
      </c>
      <c r="T36" t="str">
        <f t="shared" si="7"/>
        <v>echo augmentSkillLevel1,1, &gt;&gt; .\items\materia\class0007\Necromancer34.dbr</v>
      </c>
      <c r="U36" t="str">
        <f t="shared" si="7"/>
        <v>echo augmentSkillName1,records/skills/playerclass07/bonearmor2.dbr, &gt;&gt; .\items\materia\class0007\Necromancer34.dbr</v>
      </c>
      <c r="V36" s="5" t="s">
        <v>36</v>
      </c>
      <c r="W36" t="str">
        <f t="shared" si="8"/>
        <v>echo lootName34,DAIL/items/materia/class0007/Necromancer34.dbr, &gt;&gt; .\items\loottables\dailoneskill0007.dbr</v>
      </c>
      <c r="X36" t="str">
        <f t="shared" si="8"/>
        <v>echo lootWeight34,1, &gt;&gt; .\items\loottables\dailoneskill0007.dbr</v>
      </c>
      <c r="Y36" s="5" t="s">
        <v>36</v>
      </c>
      <c r="Z36" t="str">
        <f t="shared" si="9"/>
        <v xml:space="preserve"> dailCompDescNecromancer34=^pNecromancer's Gift of DAIL</v>
      </c>
      <c r="AA36" t="str">
        <f t="shared" si="17"/>
        <v>dailCompTextNecromancer34=^oThis feels warm to the touch, almost familiar ^w(This component fits into all Jewellery slots including the Belt And Shoulder)</v>
      </c>
      <c r="AB36" s="5" t="s">
        <v>36</v>
      </c>
      <c r="AH36">
        <f t="shared" si="19"/>
        <v>31</v>
      </c>
      <c r="AI36">
        <f t="shared" si="13"/>
        <v>29</v>
      </c>
      <c r="AJ36">
        <f t="shared" si="18"/>
        <v>1</v>
      </c>
    </row>
    <row r="37" spans="1:36" x14ac:dyDescent="0.25">
      <c r="A37" s="5" t="s">
        <v>39</v>
      </c>
      <c r="B37" s="5" t="s">
        <v>30</v>
      </c>
      <c r="C37" s="5" t="str">
        <f t="shared" si="0"/>
        <v>description,dailCompDescNecromancer35,</v>
      </c>
      <c r="D37" s="5" t="str">
        <f t="shared" si="2"/>
        <v>itemText,dailCompTextNecromancer35,</v>
      </c>
      <c r="E37" s="5" t="str">
        <f t="shared" si="14"/>
        <v>augmentSkillLevel1,3,</v>
      </c>
      <c r="F37" s="5" t="str">
        <f t="shared" si="15"/>
        <v>augmentSkillName1,records/skills/playerclass07/bonearmor3.dbr,</v>
      </c>
      <c r="G37" s="7">
        <f t="shared" si="10"/>
        <v>35</v>
      </c>
      <c r="H37" s="8" t="str">
        <f t="shared" si="11"/>
        <v>Necromancer</v>
      </c>
      <c r="I37" s="3" t="s">
        <v>375</v>
      </c>
      <c r="J37" s="8" t="str">
        <f t="shared" ref="J37:K52" si="21">J36</f>
        <v>class0007</v>
      </c>
      <c r="K37" s="8" t="str">
        <f t="shared" si="21"/>
        <v>dailoneskill0007</v>
      </c>
      <c r="L37" s="5" t="str">
        <f t="shared" si="4"/>
        <v>lootName35,DAIL/items/materia/class0007/Necromancer35.dbr,</v>
      </c>
      <c r="M37" s="5" t="str">
        <f t="shared" si="5"/>
        <v>lootWeight35,1,</v>
      </c>
      <c r="N37" t="str">
        <f t="shared" si="6"/>
        <v>3</v>
      </c>
      <c r="O37" t="str">
        <f t="shared" si="16"/>
        <v>copy .\dail_base3.dbr .\items\materia\class0007\Necromancer35.dbr /y</v>
      </c>
      <c r="P37" t="str">
        <f t="shared" si="7"/>
        <v>echo relicBitmap,items/craftingparts/components/component_a52_bristlyfur_b.tex, &gt;&gt; .\items\materia\class0007\Necromancer35.dbr</v>
      </c>
      <c r="Q37" t="str">
        <f t="shared" si="7"/>
        <v>echo itemCost,500000, &gt;&gt; .\items\materia\class0007\Necromancer35.dbr</v>
      </c>
      <c r="R37" t="str">
        <f t="shared" si="7"/>
        <v>echo description,dailCompDescNecromancer35, &gt;&gt; .\items\materia\class0007\Necromancer35.dbr</v>
      </c>
      <c r="S37" t="str">
        <f t="shared" si="7"/>
        <v>echo itemText,dailCompTextNecromancer35, &gt;&gt; .\items\materia\class0007\Necromancer35.dbr</v>
      </c>
      <c r="T37" t="str">
        <f t="shared" si="7"/>
        <v>echo augmentSkillLevel1,3, &gt;&gt; .\items\materia\class0007\Necromancer35.dbr</v>
      </c>
      <c r="U37" t="str">
        <f t="shared" si="7"/>
        <v>echo augmentSkillName1,records/skills/playerclass07/bonearmor3.dbr, &gt;&gt; .\items\materia\class0007\Necromancer35.dbr</v>
      </c>
      <c r="V37" s="5" t="s">
        <v>36</v>
      </c>
      <c r="W37" t="str">
        <f t="shared" si="8"/>
        <v>echo lootName35,DAIL/items/materia/class0007/Necromancer35.dbr, &gt;&gt; .\items\loottables\dailoneskill0007.dbr</v>
      </c>
      <c r="X37" t="str">
        <f t="shared" si="8"/>
        <v>echo lootWeight35,1, &gt;&gt; .\items\loottables\dailoneskill0007.dbr</v>
      </c>
      <c r="Y37" s="5" t="s">
        <v>36</v>
      </c>
      <c r="Z37" t="str">
        <f t="shared" si="9"/>
        <v xml:space="preserve"> dailCompDescNecromancer35=^pNecromancer's Gift of DAIL</v>
      </c>
      <c r="AA37" t="str">
        <f t="shared" si="17"/>
        <v>dailCompTextNecromancer35=^oThis feels warm to the touch, almost familiar ^w(This component only fits into the Medal Slot)</v>
      </c>
      <c r="AB37" s="5" t="s">
        <v>36</v>
      </c>
      <c r="AH37">
        <f t="shared" si="19"/>
        <v>32</v>
      </c>
      <c r="AI37">
        <f t="shared" si="13"/>
        <v>29</v>
      </c>
      <c r="AJ37">
        <f t="shared" si="18"/>
        <v>3</v>
      </c>
    </row>
    <row r="38" spans="1:36" x14ac:dyDescent="0.25">
      <c r="A38" s="5" t="s">
        <v>39</v>
      </c>
      <c r="B38" s="5" t="s">
        <v>30</v>
      </c>
      <c r="C38" s="5" t="str">
        <f t="shared" si="0"/>
        <v>description,dailCompDescNecromancer36,</v>
      </c>
      <c r="D38" s="5" t="str">
        <f t="shared" si="2"/>
        <v>itemText,dailCompTextNecromancer36,</v>
      </c>
      <c r="E38" s="5" t="str">
        <f t="shared" si="14"/>
        <v>augmentSkillLevel1,3,</v>
      </c>
      <c r="F38" s="5" t="str">
        <f t="shared" si="15"/>
        <v>augmentSkillName1,records/skills/playerclass07/nec_boneshield.dbr,</v>
      </c>
      <c r="G38" s="7">
        <f t="shared" si="10"/>
        <v>36</v>
      </c>
      <c r="H38" s="8" t="str">
        <f t="shared" si="11"/>
        <v>Necromancer</v>
      </c>
      <c r="I38" s="3" t="s">
        <v>154</v>
      </c>
      <c r="J38" s="8" t="str">
        <f t="shared" si="21"/>
        <v>class0007</v>
      </c>
      <c r="K38" s="8" t="str">
        <f t="shared" si="21"/>
        <v>dailoneskill0007</v>
      </c>
      <c r="L38" s="5" t="str">
        <f t="shared" si="4"/>
        <v>lootName36,DAIL/items/materia/class0007/Necromancer36.dbr,</v>
      </c>
      <c r="M38" s="5" t="str">
        <f t="shared" si="5"/>
        <v>lootWeight36,1,</v>
      </c>
      <c r="N38" t="str">
        <f t="shared" si="6"/>
        <v>3</v>
      </c>
      <c r="O38" t="str">
        <f t="shared" si="16"/>
        <v>copy .\dail_base3.dbr .\items\materia\class0007\Necromancer36.dbr /y</v>
      </c>
      <c r="P38" t="str">
        <f t="shared" si="7"/>
        <v>echo relicBitmap,items/craftingparts/components/component_a52_bristlyfur_b.tex, &gt;&gt; .\items\materia\class0007\Necromancer36.dbr</v>
      </c>
      <c r="Q38" t="str">
        <f t="shared" si="7"/>
        <v>echo itemCost,500000, &gt;&gt; .\items\materia\class0007\Necromancer36.dbr</v>
      </c>
      <c r="R38" t="str">
        <f t="shared" si="7"/>
        <v>echo description,dailCompDescNecromancer36, &gt;&gt; .\items\materia\class0007\Necromancer36.dbr</v>
      </c>
      <c r="S38" t="str">
        <f t="shared" si="7"/>
        <v>echo itemText,dailCompTextNecromancer36, &gt;&gt; .\items\materia\class0007\Necromancer36.dbr</v>
      </c>
      <c r="T38" t="str">
        <f t="shared" si="7"/>
        <v>echo augmentSkillLevel1,3, &gt;&gt; .\items\materia\class0007\Necromancer36.dbr</v>
      </c>
      <c r="U38" t="str">
        <f t="shared" si="7"/>
        <v>echo augmentSkillName1,records/skills/playerclass07/nec_boneshield.dbr, &gt;&gt; .\items\materia\class0007\Necromancer36.dbr</v>
      </c>
      <c r="V38" s="5" t="s">
        <v>36</v>
      </c>
      <c r="W38" t="str">
        <f t="shared" si="8"/>
        <v>echo lootName36,DAIL/items/materia/class0007/Necromancer36.dbr, &gt;&gt; .\items\loottables\dailoneskill0007.dbr</v>
      </c>
      <c r="X38" t="str">
        <f t="shared" si="8"/>
        <v>echo lootWeight36,1, &gt;&gt; .\items\loottables\dailoneskill0007.dbr</v>
      </c>
      <c r="Y38" s="5" t="s">
        <v>36</v>
      </c>
      <c r="Z38" t="str">
        <f t="shared" si="9"/>
        <v xml:space="preserve"> dailCompDescNecromancer36=^pNecromancer's Gift of DAIL</v>
      </c>
      <c r="AA38" t="str">
        <f t="shared" si="17"/>
        <v>dailCompTextNecromancer36=^oThis feels warm to the touch, almost familiar ^w(This component only fits into the Medal Slot)</v>
      </c>
      <c r="AB38" s="5" t="s">
        <v>36</v>
      </c>
      <c r="AH38">
        <f t="shared" si="19"/>
        <v>33</v>
      </c>
      <c r="AI38">
        <f t="shared" ref="AI38:AI69" si="22">LEN(I38)</f>
        <v>33</v>
      </c>
      <c r="AJ38">
        <f t="shared" si="18"/>
        <v>3</v>
      </c>
    </row>
    <row r="39" spans="1:36" x14ac:dyDescent="0.25">
      <c r="A39" s="5" t="s">
        <v>39</v>
      </c>
      <c r="B39" s="5" t="s">
        <v>30</v>
      </c>
      <c r="C39" s="5" t="str">
        <f t="shared" si="0"/>
        <v>description,dailCompDescNecromancer37,</v>
      </c>
      <c r="D39" s="5" t="str">
        <f t="shared" si="2"/>
        <v>itemText,dailCompTextNecromancer37,</v>
      </c>
      <c r="E39" s="5" t="str">
        <f t="shared" si="14"/>
        <v>augmentSkillLevel1,3,</v>
      </c>
      <c r="F39" s="5" t="str">
        <f t="shared" si="15"/>
        <v>augmentSkillName1,records/skills/playerclass07/nec_boneshield_mod.dbr,</v>
      </c>
      <c r="G39" s="7">
        <f t="shared" si="10"/>
        <v>37</v>
      </c>
      <c r="H39" s="8" t="str">
        <f t="shared" si="11"/>
        <v>Necromancer</v>
      </c>
      <c r="I39" s="3" t="s">
        <v>358</v>
      </c>
      <c r="J39" s="8" t="str">
        <f t="shared" si="21"/>
        <v>class0007</v>
      </c>
      <c r="K39" s="8" t="str">
        <f t="shared" si="21"/>
        <v>dailoneskill0007</v>
      </c>
      <c r="L39" s="5" t="str">
        <f t="shared" si="4"/>
        <v>lootName37,DAIL/items/materia/class0007/Necromancer37.dbr,</v>
      </c>
      <c r="M39" s="5" t="str">
        <f t="shared" si="5"/>
        <v>lootWeight37,1,</v>
      </c>
      <c r="N39" t="str">
        <f t="shared" si="6"/>
        <v>3</v>
      </c>
      <c r="O39" t="str">
        <f t="shared" si="16"/>
        <v>copy .\dail_base3.dbr .\items\materia\class0007\Necromancer37.dbr /y</v>
      </c>
      <c r="P39" t="str">
        <f t="shared" si="7"/>
        <v>echo relicBitmap,items/craftingparts/components/component_a52_bristlyfur_b.tex, &gt;&gt; .\items\materia\class0007\Necromancer37.dbr</v>
      </c>
      <c r="Q39" t="str">
        <f t="shared" si="7"/>
        <v>echo itemCost,500000, &gt;&gt; .\items\materia\class0007\Necromancer37.dbr</v>
      </c>
      <c r="R39" t="str">
        <f t="shared" si="7"/>
        <v>echo description,dailCompDescNecromancer37, &gt;&gt; .\items\materia\class0007\Necromancer37.dbr</v>
      </c>
      <c r="S39" t="str">
        <f t="shared" si="7"/>
        <v>echo itemText,dailCompTextNecromancer37, &gt;&gt; .\items\materia\class0007\Necromancer37.dbr</v>
      </c>
      <c r="T39" t="str">
        <f t="shared" si="7"/>
        <v>echo augmentSkillLevel1,3, &gt;&gt; .\items\materia\class0007\Necromancer37.dbr</v>
      </c>
      <c r="U39" t="str">
        <f t="shared" si="7"/>
        <v>echo augmentSkillName1,records/skills/playerclass07/nec_boneshield_mod.dbr, &gt;&gt; .\items\materia\class0007\Necromancer37.dbr</v>
      </c>
      <c r="V39" s="5" t="s">
        <v>36</v>
      </c>
      <c r="W39" t="str">
        <f t="shared" si="8"/>
        <v>echo lootName37,DAIL/items/materia/class0007/Necromancer37.dbr, &gt;&gt; .\items\loottables\dailoneskill0007.dbr</v>
      </c>
      <c r="X39" t="str">
        <f t="shared" si="8"/>
        <v>echo lootWeight37,1, &gt;&gt; .\items\loottables\dailoneskill0007.dbr</v>
      </c>
      <c r="Y39" s="5" t="s">
        <v>36</v>
      </c>
      <c r="Z39" t="str">
        <f t="shared" si="9"/>
        <v xml:space="preserve"> dailCompDescNecromancer37=^pNecromancer's Gift of DAIL</v>
      </c>
      <c r="AA39" t="str">
        <f t="shared" si="17"/>
        <v>dailCompTextNecromancer37=^oThis feels warm to the touch, almost familiar ^w(This component only fits into the Medal Slot)</v>
      </c>
      <c r="AB39" s="5" t="s">
        <v>36</v>
      </c>
      <c r="AH39">
        <f t="shared" si="19"/>
        <v>34</v>
      </c>
      <c r="AI39">
        <f t="shared" si="22"/>
        <v>37</v>
      </c>
      <c r="AJ39">
        <f t="shared" si="18"/>
        <v>3</v>
      </c>
    </row>
    <row r="40" spans="1:36" x14ac:dyDescent="0.25">
      <c r="A40" s="5" t="s">
        <v>39</v>
      </c>
      <c r="B40" s="5" t="s">
        <v>30</v>
      </c>
      <c r="C40" s="5" t="str">
        <f t="shared" si="0"/>
        <v>description,dailCompDescNecromancer38,</v>
      </c>
      <c r="D40" s="5" t="str">
        <f t="shared" si="2"/>
        <v>itemText,dailCompTextNecromancer38,</v>
      </c>
      <c r="E40" s="5" t="str">
        <f t="shared" si="14"/>
        <v>augmentSkillLevel1,3,</v>
      </c>
      <c r="F40" s="5" t="str">
        <f t="shared" si="15"/>
        <v>augmentSkillName1,records/skills/playerclass07/darkattack.dbr,</v>
      </c>
      <c r="G40" s="7">
        <f t="shared" si="10"/>
        <v>38</v>
      </c>
      <c r="H40" s="8" t="str">
        <f t="shared" si="11"/>
        <v>Necromancer</v>
      </c>
      <c r="I40" s="3" t="s">
        <v>152</v>
      </c>
      <c r="J40" s="8" t="str">
        <f t="shared" si="21"/>
        <v>class0007</v>
      </c>
      <c r="K40" s="8" t="str">
        <f t="shared" si="21"/>
        <v>dailoneskill0007</v>
      </c>
      <c r="L40" s="5" t="str">
        <f t="shared" si="4"/>
        <v>lootName38,DAIL/items/materia/class0007/Necromancer38.dbr,</v>
      </c>
      <c r="M40" s="5" t="str">
        <f t="shared" si="5"/>
        <v>lootWeight38,1,</v>
      </c>
      <c r="N40" t="str">
        <f t="shared" si="6"/>
        <v>3</v>
      </c>
      <c r="O40" t="str">
        <f t="shared" si="16"/>
        <v>copy .\dail_base3.dbr .\items\materia\class0007\Necromancer38.dbr /y</v>
      </c>
      <c r="P40" t="str">
        <f t="shared" si="7"/>
        <v>echo relicBitmap,items/craftingparts/components/component_a52_bristlyfur_b.tex, &gt;&gt; .\items\materia\class0007\Necromancer38.dbr</v>
      </c>
      <c r="Q40" t="str">
        <f t="shared" si="7"/>
        <v>echo itemCost,500000, &gt;&gt; .\items\materia\class0007\Necromancer38.dbr</v>
      </c>
      <c r="R40" t="str">
        <f t="shared" si="7"/>
        <v>echo description,dailCompDescNecromancer38, &gt;&gt; .\items\materia\class0007\Necromancer38.dbr</v>
      </c>
      <c r="S40" t="str">
        <f t="shared" si="7"/>
        <v>echo itemText,dailCompTextNecromancer38, &gt;&gt; .\items\materia\class0007\Necromancer38.dbr</v>
      </c>
      <c r="T40" t="str">
        <f t="shared" si="7"/>
        <v>echo augmentSkillLevel1,3, &gt;&gt; .\items\materia\class0007\Necromancer38.dbr</v>
      </c>
      <c r="U40" t="str">
        <f t="shared" si="7"/>
        <v>echo augmentSkillName1,records/skills/playerclass07/darkattack.dbr, &gt;&gt; .\items\materia\class0007\Necromancer38.dbr</v>
      </c>
      <c r="V40" s="5" t="s">
        <v>36</v>
      </c>
      <c r="W40" t="str">
        <f t="shared" si="8"/>
        <v>echo lootName38,DAIL/items/materia/class0007/Necromancer38.dbr, &gt;&gt; .\items\loottables\dailoneskill0007.dbr</v>
      </c>
      <c r="X40" t="str">
        <f t="shared" si="8"/>
        <v>echo lootWeight38,1, &gt;&gt; .\items\loottables\dailoneskill0007.dbr</v>
      </c>
      <c r="Y40" s="5" t="s">
        <v>36</v>
      </c>
      <c r="Z40" t="str">
        <f t="shared" si="9"/>
        <v xml:space="preserve"> dailCompDescNecromancer38=^pNecromancer's Gift of DAIL</v>
      </c>
      <c r="AA40" t="str">
        <f t="shared" si="17"/>
        <v>dailCompTextNecromancer38=^oThis feels warm to the touch, almost familiar ^w(This component only fits into the Medal Slot)</v>
      </c>
      <c r="AB40" s="5" t="s">
        <v>36</v>
      </c>
      <c r="AH40">
        <f t="shared" si="19"/>
        <v>35</v>
      </c>
      <c r="AI40">
        <f t="shared" si="22"/>
        <v>29</v>
      </c>
      <c r="AJ40">
        <f t="shared" si="18"/>
        <v>3</v>
      </c>
    </row>
    <row r="41" spans="1:36" x14ac:dyDescent="0.25">
      <c r="A41" s="5" t="s">
        <v>39</v>
      </c>
      <c r="B41" s="5" t="s">
        <v>30</v>
      </c>
      <c r="C41" s="5" t="str">
        <f t="shared" si="0"/>
        <v>description,dailCompDescNecromancer39,</v>
      </c>
      <c r="D41" s="5" t="str">
        <f t="shared" si="2"/>
        <v>itemText,dailCompTextNecromancer39,</v>
      </c>
      <c r="E41" s="5" t="str">
        <f t="shared" si="14"/>
        <v>augmentSkillLevel1,3,</v>
      </c>
      <c r="F41" s="5" t="str">
        <f t="shared" si="15"/>
        <v>augmentSkillName1,records/skills/playerclass07/darkattack2.dbr,</v>
      </c>
      <c r="G41" s="7">
        <f t="shared" si="10"/>
        <v>39</v>
      </c>
      <c r="H41" s="8" t="str">
        <f t="shared" si="11"/>
        <v>Necromancer</v>
      </c>
      <c r="I41" s="3" t="s">
        <v>359</v>
      </c>
      <c r="J41" s="8" t="str">
        <f t="shared" si="21"/>
        <v>class0007</v>
      </c>
      <c r="K41" s="8" t="str">
        <f t="shared" si="21"/>
        <v>dailoneskill0007</v>
      </c>
      <c r="L41" s="5" t="str">
        <f t="shared" si="4"/>
        <v>lootName39,DAIL/items/materia/class0007/Necromancer39.dbr,</v>
      </c>
      <c r="M41" s="5" t="str">
        <f t="shared" si="5"/>
        <v>lootWeight39,1,</v>
      </c>
      <c r="N41" t="str">
        <f t="shared" si="6"/>
        <v>3</v>
      </c>
      <c r="O41" t="str">
        <f t="shared" si="16"/>
        <v>copy .\dail_base3.dbr .\items\materia\class0007\Necromancer39.dbr /y</v>
      </c>
      <c r="P41" t="str">
        <f t="shared" si="7"/>
        <v>echo relicBitmap,items/craftingparts/components/component_a52_bristlyfur_b.tex, &gt;&gt; .\items\materia\class0007\Necromancer39.dbr</v>
      </c>
      <c r="Q41" t="str">
        <f t="shared" si="7"/>
        <v>echo itemCost,500000, &gt;&gt; .\items\materia\class0007\Necromancer39.dbr</v>
      </c>
      <c r="R41" t="str">
        <f t="shared" si="7"/>
        <v>echo description,dailCompDescNecromancer39, &gt;&gt; .\items\materia\class0007\Necromancer39.dbr</v>
      </c>
      <c r="S41" t="str">
        <f t="shared" si="7"/>
        <v>echo itemText,dailCompTextNecromancer39, &gt;&gt; .\items\materia\class0007\Necromancer39.dbr</v>
      </c>
      <c r="T41" t="str">
        <f t="shared" si="7"/>
        <v>echo augmentSkillLevel1,3, &gt;&gt; .\items\materia\class0007\Necromancer39.dbr</v>
      </c>
      <c r="U41" t="str">
        <f t="shared" si="7"/>
        <v>echo augmentSkillName1,records/skills/playerclass07/darkattack2.dbr, &gt;&gt; .\items\materia\class0007\Necromancer39.dbr</v>
      </c>
      <c r="V41" s="5" t="s">
        <v>36</v>
      </c>
      <c r="W41" t="str">
        <f t="shared" si="8"/>
        <v>echo lootName39,DAIL/items/materia/class0007/Necromancer39.dbr, &gt;&gt; .\items\loottables\dailoneskill0007.dbr</v>
      </c>
      <c r="X41" t="str">
        <f t="shared" si="8"/>
        <v>echo lootWeight39,1, &gt;&gt; .\items\loottables\dailoneskill0007.dbr</v>
      </c>
      <c r="Y41" s="5" t="s">
        <v>36</v>
      </c>
      <c r="Z41" t="str">
        <f t="shared" si="9"/>
        <v xml:space="preserve"> dailCompDescNecromancer39=^pNecromancer's Gift of DAIL</v>
      </c>
      <c r="AA41" t="str">
        <f t="shared" si="17"/>
        <v>dailCompTextNecromancer39=^oThis feels warm to the touch, almost familiar ^w(This component only fits into the Medal Slot)</v>
      </c>
      <c r="AB41" s="5" t="s">
        <v>36</v>
      </c>
      <c r="AH41">
        <f t="shared" si="19"/>
        <v>36</v>
      </c>
      <c r="AI41">
        <f t="shared" si="22"/>
        <v>30</v>
      </c>
      <c r="AJ41">
        <f t="shared" si="18"/>
        <v>3</v>
      </c>
    </row>
    <row r="42" spans="1:36" x14ac:dyDescent="0.25">
      <c r="A42" s="5" t="s">
        <v>39</v>
      </c>
      <c r="B42" s="5" t="s">
        <v>30</v>
      </c>
      <c r="C42" s="5" t="str">
        <f t="shared" si="0"/>
        <v>description,dailCompDescNecromancer40,</v>
      </c>
      <c r="D42" s="5" t="str">
        <f t="shared" si="2"/>
        <v>itemText,dailCompTextNecromancer40,</v>
      </c>
      <c r="E42" s="5" t="str">
        <f t="shared" si="14"/>
        <v>augmentSkillLevel1,3,</v>
      </c>
      <c r="F42" s="5" t="str">
        <f t="shared" si="15"/>
        <v>augmentSkillName1,records/skills/playerclass07/darkattack3.dbr,</v>
      </c>
      <c r="G42" s="7">
        <f t="shared" si="10"/>
        <v>40</v>
      </c>
      <c r="H42" s="8" t="str">
        <f t="shared" si="11"/>
        <v>Necromancer</v>
      </c>
      <c r="I42" s="3" t="s">
        <v>360</v>
      </c>
      <c r="J42" s="8" t="str">
        <f t="shared" si="21"/>
        <v>class0007</v>
      </c>
      <c r="K42" s="8" t="str">
        <f t="shared" si="21"/>
        <v>dailoneskill0007</v>
      </c>
      <c r="L42" s="5" t="str">
        <f t="shared" si="4"/>
        <v>lootName40,DAIL/items/materia/class0007/Necromancer40.dbr,</v>
      </c>
      <c r="M42" s="5" t="str">
        <f t="shared" si="5"/>
        <v>lootWeight40,1,</v>
      </c>
      <c r="N42" t="str">
        <f t="shared" si="6"/>
        <v>3</v>
      </c>
      <c r="O42" t="str">
        <f t="shared" si="16"/>
        <v>copy .\dail_base3.dbr .\items\materia\class0007\Necromancer40.dbr /y</v>
      </c>
      <c r="P42" t="str">
        <f t="shared" si="7"/>
        <v>echo relicBitmap,items/craftingparts/components/component_a52_bristlyfur_b.tex, &gt;&gt; .\items\materia\class0007\Necromancer40.dbr</v>
      </c>
      <c r="Q42" t="str">
        <f t="shared" si="7"/>
        <v>echo itemCost,500000, &gt;&gt; .\items\materia\class0007\Necromancer40.dbr</v>
      </c>
      <c r="R42" t="str">
        <f t="shared" si="7"/>
        <v>echo description,dailCompDescNecromancer40, &gt;&gt; .\items\materia\class0007\Necromancer40.dbr</v>
      </c>
      <c r="S42" t="str">
        <f t="shared" si="7"/>
        <v>echo itemText,dailCompTextNecromancer40, &gt;&gt; .\items\materia\class0007\Necromancer40.dbr</v>
      </c>
      <c r="T42" t="str">
        <f t="shared" si="7"/>
        <v>echo augmentSkillLevel1,3, &gt;&gt; .\items\materia\class0007\Necromancer40.dbr</v>
      </c>
      <c r="U42" t="str">
        <f t="shared" si="7"/>
        <v>echo augmentSkillName1,records/skills/playerclass07/darkattack3.dbr, &gt;&gt; .\items\materia\class0007\Necromancer40.dbr</v>
      </c>
      <c r="V42" s="5" t="s">
        <v>36</v>
      </c>
      <c r="W42" t="str">
        <f t="shared" si="8"/>
        <v>echo lootName40,DAIL/items/materia/class0007/Necromancer40.dbr, &gt;&gt; .\items\loottables\dailoneskill0007.dbr</v>
      </c>
      <c r="X42" t="str">
        <f t="shared" si="8"/>
        <v>echo lootWeight40,1, &gt;&gt; .\items\loottables\dailoneskill0007.dbr</v>
      </c>
      <c r="Y42" s="5" t="s">
        <v>36</v>
      </c>
      <c r="Z42" t="str">
        <f t="shared" si="9"/>
        <v xml:space="preserve"> dailCompDescNecromancer40=^pNecromancer's Gift of DAIL</v>
      </c>
      <c r="AA42" t="str">
        <f t="shared" si="17"/>
        <v>dailCompTextNecromancer40=^oThis feels warm to the touch, almost familiar ^w(This component only fits into the Medal Slot)</v>
      </c>
      <c r="AB42" s="5" t="s">
        <v>36</v>
      </c>
      <c r="AH42">
        <f t="shared" si="19"/>
        <v>37</v>
      </c>
      <c r="AI42">
        <f t="shared" si="22"/>
        <v>30</v>
      </c>
      <c r="AJ42">
        <f t="shared" si="18"/>
        <v>3</v>
      </c>
    </row>
    <row r="43" spans="1:36" x14ac:dyDescent="0.25">
      <c r="A43" s="5" t="s">
        <v>39</v>
      </c>
      <c r="B43" s="5" t="s">
        <v>30</v>
      </c>
      <c r="C43" s="5" t="str">
        <f t="shared" si="0"/>
        <v>description,dailCompDescNecromancer41,</v>
      </c>
      <c r="D43" s="5" t="str">
        <f t="shared" si="2"/>
        <v>itemText,dailCompTextNecromancer41,</v>
      </c>
      <c r="E43" s="5" t="str">
        <f t="shared" si="14"/>
        <v>augmentSkillLevel1,3,</v>
      </c>
      <c r="F43" s="5" t="str">
        <f t="shared" si="15"/>
        <v>augmentSkillName1,records/skills/playerclass07/darkattack_tra.dbr,</v>
      </c>
      <c r="G43" s="7">
        <f t="shared" si="10"/>
        <v>41</v>
      </c>
      <c r="H43" s="8" t="str">
        <f t="shared" si="11"/>
        <v>Necromancer</v>
      </c>
      <c r="I43" s="3" t="s">
        <v>361</v>
      </c>
      <c r="J43" s="8" t="str">
        <f t="shared" si="21"/>
        <v>class0007</v>
      </c>
      <c r="K43" s="8" t="str">
        <f t="shared" si="21"/>
        <v>dailoneskill0007</v>
      </c>
      <c r="L43" s="5" t="str">
        <f t="shared" si="4"/>
        <v>lootName41,DAIL/items/materia/class0007/Necromancer41.dbr,</v>
      </c>
      <c r="M43" s="5" t="str">
        <f t="shared" si="5"/>
        <v>lootWeight41,1,</v>
      </c>
      <c r="N43" t="str">
        <f t="shared" si="6"/>
        <v>3</v>
      </c>
      <c r="O43" t="str">
        <f t="shared" si="16"/>
        <v>copy .\dail_base3.dbr .\items\materia\class0007\Necromancer41.dbr /y</v>
      </c>
      <c r="P43" t="str">
        <f t="shared" si="7"/>
        <v>echo relicBitmap,items/craftingparts/components/component_a52_bristlyfur_b.tex, &gt;&gt; .\items\materia\class0007\Necromancer41.dbr</v>
      </c>
      <c r="Q43" t="str">
        <f t="shared" si="7"/>
        <v>echo itemCost,500000, &gt;&gt; .\items\materia\class0007\Necromancer41.dbr</v>
      </c>
      <c r="R43" t="str">
        <f t="shared" si="7"/>
        <v>echo description,dailCompDescNecromancer41, &gt;&gt; .\items\materia\class0007\Necromancer41.dbr</v>
      </c>
      <c r="S43" t="str">
        <f t="shared" si="7"/>
        <v>echo itemText,dailCompTextNecromancer41, &gt;&gt; .\items\materia\class0007\Necromancer41.dbr</v>
      </c>
      <c r="T43" t="str">
        <f t="shared" si="7"/>
        <v>echo augmentSkillLevel1,3, &gt;&gt; .\items\materia\class0007\Necromancer41.dbr</v>
      </c>
      <c r="U43" t="str">
        <f t="shared" si="7"/>
        <v>echo augmentSkillName1,records/skills/playerclass07/darkattack_tra.dbr, &gt;&gt; .\items\materia\class0007\Necromancer41.dbr</v>
      </c>
      <c r="V43" s="5" t="s">
        <v>36</v>
      </c>
      <c r="W43" t="str">
        <f t="shared" si="8"/>
        <v>echo lootName41,DAIL/items/materia/class0007/Necromancer41.dbr, &gt;&gt; .\items\loottables\dailoneskill0007.dbr</v>
      </c>
      <c r="X43" t="str">
        <f t="shared" si="8"/>
        <v>echo lootWeight41,1, &gt;&gt; .\items\loottables\dailoneskill0007.dbr</v>
      </c>
      <c r="Y43" s="5" t="s">
        <v>36</v>
      </c>
      <c r="Z43" t="str">
        <f t="shared" si="9"/>
        <v xml:space="preserve"> dailCompDescNecromancer41=^pNecromancer's Gift of DAIL</v>
      </c>
      <c r="AA43" t="str">
        <f t="shared" si="17"/>
        <v>dailCompTextNecromancer41=^oThis feels warm to the touch, almost familiar ^w(This component only fits into the Medal Slot)</v>
      </c>
      <c r="AB43" s="5" t="s">
        <v>36</v>
      </c>
      <c r="AH43">
        <f t="shared" si="19"/>
        <v>38</v>
      </c>
      <c r="AI43">
        <f t="shared" si="22"/>
        <v>33</v>
      </c>
      <c r="AJ43">
        <f t="shared" si="18"/>
        <v>3</v>
      </c>
    </row>
    <row r="44" spans="1:36" x14ac:dyDescent="0.25">
      <c r="A44" s="5" t="s">
        <v>39</v>
      </c>
      <c r="B44" s="5" t="s">
        <v>30</v>
      </c>
      <c r="C44" s="5" t="str">
        <f t="shared" si="0"/>
        <v>description,dailCompDescNecromancer42,</v>
      </c>
      <c r="D44" s="5" t="str">
        <f t="shared" si="2"/>
        <v>itemText,dailCompTextNecromancer42,</v>
      </c>
      <c r="E44" s="5" t="str">
        <f t="shared" si="14"/>
        <v>augmentSkillLevel1,3,</v>
      </c>
      <c r="F44" s="5" t="str">
        <f t="shared" si="15"/>
        <v>augmentSkillName1,records/skills/playerclass07/unmaking1.dbr,</v>
      </c>
      <c r="G44" s="7">
        <f t="shared" si="10"/>
        <v>42</v>
      </c>
      <c r="H44" s="8" t="str">
        <f t="shared" si="11"/>
        <v>Necromancer</v>
      </c>
      <c r="I44" s="3" t="s">
        <v>164</v>
      </c>
      <c r="J44" s="8" t="str">
        <f t="shared" si="21"/>
        <v>class0007</v>
      </c>
      <c r="K44" s="8" t="str">
        <f t="shared" si="21"/>
        <v>dailoneskill0007</v>
      </c>
      <c r="L44" s="5" t="str">
        <f t="shared" si="4"/>
        <v>lootName42,DAIL/items/materia/class0007/Necromancer42.dbr,</v>
      </c>
      <c r="M44" s="5" t="str">
        <f t="shared" si="5"/>
        <v>lootWeight42,1,</v>
      </c>
      <c r="N44" t="str">
        <f t="shared" si="6"/>
        <v>3</v>
      </c>
      <c r="O44" t="str">
        <f t="shared" si="16"/>
        <v>copy .\dail_base3.dbr .\items\materia\class0007\Necromancer42.dbr /y</v>
      </c>
      <c r="P44" t="str">
        <f t="shared" si="7"/>
        <v>echo relicBitmap,items/craftingparts/components/component_a52_bristlyfur_b.tex, &gt;&gt; .\items\materia\class0007\Necromancer42.dbr</v>
      </c>
      <c r="Q44" t="str">
        <f t="shared" si="7"/>
        <v>echo itemCost,500000, &gt;&gt; .\items\materia\class0007\Necromancer42.dbr</v>
      </c>
      <c r="R44" t="str">
        <f t="shared" si="7"/>
        <v>echo description,dailCompDescNecromancer42, &gt;&gt; .\items\materia\class0007\Necromancer42.dbr</v>
      </c>
      <c r="S44" t="str">
        <f t="shared" si="7"/>
        <v>echo itemText,dailCompTextNecromancer42, &gt;&gt; .\items\materia\class0007\Necromancer42.dbr</v>
      </c>
      <c r="T44" t="str">
        <f t="shared" si="7"/>
        <v>echo augmentSkillLevel1,3, &gt;&gt; .\items\materia\class0007\Necromancer42.dbr</v>
      </c>
      <c r="U44" t="str">
        <f t="shared" si="7"/>
        <v>echo augmentSkillName1,records/skills/playerclass07/unmaking1.dbr, &gt;&gt; .\items\materia\class0007\Necromancer42.dbr</v>
      </c>
      <c r="V44" s="5" t="s">
        <v>36</v>
      </c>
      <c r="W44" t="str">
        <f t="shared" si="8"/>
        <v>echo lootName42,DAIL/items/materia/class0007/Necromancer42.dbr, &gt;&gt; .\items\loottables\dailoneskill0007.dbr</v>
      </c>
      <c r="X44" t="str">
        <f t="shared" si="8"/>
        <v>echo lootWeight42,1, &gt;&gt; .\items\loottables\dailoneskill0007.dbr</v>
      </c>
      <c r="Y44" s="5" t="s">
        <v>36</v>
      </c>
      <c r="Z44" t="str">
        <f t="shared" si="9"/>
        <v xml:space="preserve"> dailCompDescNecromancer42=^pNecromancer's Gift of DAIL</v>
      </c>
      <c r="AA44" t="str">
        <f t="shared" si="17"/>
        <v>dailCompTextNecromancer42=^oThis feels warm to the touch, almost familiar ^w(This component only fits into the Medal Slot)</v>
      </c>
      <c r="AB44" s="5" t="s">
        <v>36</v>
      </c>
      <c r="AH44">
        <f t="shared" si="19"/>
        <v>39</v>
      </c>
      <c r="AI44">
        <f t="shared" si="22"/>
        <v>28</v>
      </c>
      <c r="AJ44">
        <f t="shared" si="18"/>
        <v>3</v>
      </c>
    </row>
    <row r="45" spans="1:36" x14ac:dyDescent="0.25">
      <c r="A45" s="5" t="s">
        <v>39</v>
      </c>
      <c r="B45" s="5" t="s">
        <v>30</v>
      </c>
      <c r="C45" s="5" t="str">
        <f t="shared" si="0"/>
        <v>description,dailCompDescNecromancer43,</v>
      </c>
      <c r="D45" s="5" t="str">
        <f t="shared" si="2"/>
        <v>itemText,dailCompTextNecromancer43,</v>
      </c>
      <c r="E45" s="5" t="str">
        <f t="shared" si="14"/>
        <v>augmentSkillLevel1,3,</v>
      </c>
      <c r="F45" s="5" t="str">
        <f t="shared" si="15"/>
        <v>augmentSkillName1,records/skills/playerclass07/unmaking2.dbr,</v>
      </c>
      <c r="G45" s="7">
        <f t="shared" si="10"/>
        <v>43</v>
      </c>
      <c r="H45" s="8" t="str">
        <f t="shared" si="11"/>
        <v>Necromancer</v>
      </c>
      <c r="I45" s="3" t="s">
        <v>362</v>
      </c>
      <c r="J45" s="8" t="str">
        <f t="shared" si="21"/>
        <v>class0007</v>
      </c>
      <c r="K45" s="8" t="str">
        <f t="shared" si="21"/>
        <v>dailoneskill0007</v>
      </c>
      <c r="L45" s="5" t="str">
        <f t="shared" si="4"/>
        <v>lootName43,DAIL/items/materia/class0007/Necromancer43.dbr,</v>
      </c>
      <c r="M45" s="5" t="str">
        <f t="shared" si="5"/>
        <v>lootWeight43,1,</v>
      </c>
      <c r="N45" t="str">
        <f t="shared" si="6"/>
        <v>3</v>
      </c>
      <c r="O45" t="str">
        <f t="shared" si="16"/>
        <v>copy .\dail_base3.dbr .\items\materia\class0007\Necromancer43.dbr /y</v>
      </c>
      <c r="P45" t="str">
        <f t="shared" si="7"/>
        <v>echo relicBitmap,items/craftingparts/components/component_a52_bristlyfur_b.tex, &gt;&gt; .\items\materia\class0007\Necromancer43.dbr</v>
      </c>
      <c r="Q45" t="str">
        <f t="shared" si="7"/>
        <v>echo itemCost,500000, &gt;&gt; .\items\materia\class0007\Necromancer43.dbr</v>
      </c>
      <c r="R45" t="str">
        <f t="shared" si="7"/>
        <v>echo description,dailCompDescNecromancer43, &gt;&gt; .\items\materia\class0007\Necromancer43.dbr</v>
      </c>
      <c r="S45" t="str">
        <f t="shared" si="7"/>
        <v>echo itemText,dailCompTextNecromancer43, &gt;&gt; .\items\materia\class0007\Necromancer43.dbr</v>
      </c>
      <c r="T45" t="str">
        <f t="shared" si="7"/>
        <v>echo augmentSkillLevel1,3, &gt;&gt; .\items\materia\class0007\Necromancer43.dbr</v>
      </c>
      <c r="U45" t="str">
        <f t="shared" si="7"/>
        <v>echo augmentSkillName1,records/skills/playerclass07/unmaking2.dbr, &gt;&gt; .\items\materia\class0007\Necromancer43.dbr</v>
      </c>
      <c r="V45" s="5" t="s">
        <v>36</v>
      </c>
      <c r="W45" t="str">
        <f t="shared" si="8"/>
        <v>echo lootName43,DAIL/items/materia/class0007/Necromancer43.dbr, &gt;&gt; .\items\loottables\dailoneskill0007.dbr</v>
      </c>
      <c r="X45" t="str">
        <f t="shared" si="8"/>
        <v>echo lootWeight43,1, &gt;&gt; .\items\loottables\dailoneskill0007.dbr</v>
      </c>
      <c r="Y45" s="5" t="s">
        <v>36</v>
      </c>
      <c r="Z45" t="str">
        <f t="shared" si="9"/>
        <v xml:space="preserve"> dailCompDescNecromancer43=^pNecromancer's Gift of DAIL</v>
      </c>
      <c r="AA45" t="str">
        <f t="shared" si="17"/>
        <v>dailCompTextNecromancer43=^oThis feels warm to the touch, almost familiar ^w(This component only fits into the Medal Slot)</v>
      </c>
      <c r="AB45" s="5" t="s">
        <v>36</v>
      </c>
      <c r="AH45">
        <f t="shared" si="19"/>
        <v>40</v>
      </c>
      <c r="AI45">
        <f t="shared" si="22"/>
        <v>28</v>
      </c>
      <c r="AJ45">
        <f t="shared" si="18"/>
        <v>3</v>
      </c>
    </row>
    <row r="46" spans="1:36" x14ac:dyDescent="0.25">
      <c r="A46" s="5" t="s">
        <v>39</v>
      </c>
      <c r="B46" s="5" t="s">
        <v>30</v>
      </c>
      <c r="C46" s="5" t="str">
        <f t="shared" si="0"/>
        <v>description,dailCompDescNecromancer44,</v>
      </c>
      <c r="D46" s="5" t="str">
        <f t="shared" si="2"/>
        <v>itemText,dailCompTextNecromancer44,</v>
      </c>
      <c r="E46" s="5" t="str">
        <f t="shared" si="14"/>
        <v>augmentSkillLevel1,3,</v>
      </c>
      <c r="F46" s="5" t="str">
        <f t="shared" si="15"/>
        <v>augmentSkillName1,records/skills/playerclass07/unmaking3.dbr,</v>
      </c>
      <c r="G46" s="7">
        <f t="shared" si="10"/>
        <v>44</v>
      </c>
      <c r="H46" s="8" t="str">
        <f t="shared" si="11"/>
        <v>Necromancer</v>
      </c>
      <c r="I46" s="3" t="s">
        <v>363</v>
      </c>
      <c r="J46" s="8" t="str">
        <f t="shared" si="21"/>
        <v>class0007</v>
      </c>
      <c r="K46" s="8" t="str">
        <f t="shared" si="21"/>
        <v>dailoneskill0007</v>
      </c>
      <c r="L46" s="5" t="str">
        <f t="shared" si="4"/>
        <v>lootName44,DAIL/items/materia/class0007/Necromancer44.dbr,</v>
      </c>
      <c r="M46" s="5" t="str">
        <f t="shared" si="5"/>
        <v>lootWeight44,1,</v>
      </c>
      <c r="N46" t="str">
        <f t="shared" si="6"/>
        <v>3</v>
      </c>
      <c r="O46" t="str">
        <f t="shared" si="16"/>
        <v>copy .\dail_base3.dbr .\items\materia\class0007\Necromancer44.dbr /y</v>
      </c>
      <c r="P46" t="str">
        <f t="shared" si="7"/>
        <v>echo relicBitmap,items/craftingparts/components/component_a52_bristlyfur_b.tex, &gt;&gt; .\items\materia\class0007\Necromancer44.dbr</v>
      </c>
      <c r="Q46" t="str">
        <f t="shared" si="7"/>
        <v>echo itemCost,500000, &gt;&gt; .\items\materia\class0007\Necromancer44.dbr</v>
      </c>
      <c r="R46" t="str">
        <f t="shared" si="7"/>
        <v>echo description,dailCompDescNecromancer44, &gt;&gt; .\items\materia\class0007\Necromancer44.dbr</v>
      </c>
      <c r="S46" t="str">
        <f t="shared" si="7"/>
        <v>echo itemText,dailCompTextNecromancer44, &gt;&gt; .\items\materia\class0007\Necromancer44.dbr</v>
      </c>
      <c r="T46" t="str">
        <f t="shared" si="7"/>
        <v>echo augmentSkillLevel1,3, &gt;&gt; .\items\materia\class0007\Necromancer44.dbr</v>
      </c>
      <c r="U46" t="str">
        <f t="shared" si="7"/>
        <v>echo augmentSkillName1,records/skills/playerclass07/unmaking3.dbr, &gt;&gt; .\items\materia\class0007\Necromancer44.dbr</v>
      </c>
      <c r="V46" s="5" t="s">
        <v>36</v>
      </c>
      <c r="W46" t="str">
        <f t="shared" si="8"/>
        <v>echo lootName44,DAIL/items/materia/class0007/Necromancer44.dbr, &gt;&gt; .\items\loottables\dailoneskill0007.dbr</v>
      </c>
      <c r="X46" t="str">
        <f t="shared" si="8"/>
        <v>echo lootWeight44,1, &gt;&gt; .\items\loottables\dailoneskill0007.dbr</v>
      </c>
      <c r="Y46" s="5" t="s">
        <v>36</v>
      </c>
      <c r="Z46" t="str">
        <f t="shared" si="9"/>
        <v xml:space="preserve"> dailCompDescNecromancer44=^pNecromancer's Gift of DAIL</v>
      </c>
      <c r="AA46" t="str">
        <f t="shared" si="17"/>
        <v>dailCompTextNecromancer44=^oThis feels warm to the touch, almost familiar ^w(This component only fits into the Medal Slot)</v>
      </c>
      <c r="AB46" s="5" t="s">
        <v>36</v>
      </c>
      <c r="AH46">
        <f t="shared" si="19"/>
        <v>41</v>
      </c>
      <c r="AI46">
        <f t="shared" si="22"/>
        <v>28</v>
      </c>
      <c r="AJ46">
        <f t="shared" si="18"/>
        <v>3</v>
      </c>
    </row>
    <row r="47" spans="1:36" x14ac:dyDescent="0.25">
      <c r="A47" s="5" t="s">
        <v>39</v>
      </c>
      <c r="B47" s="5" t="s">
        <v>30</v>
      </c>
      <c r="C47" s="5" t="str">
        <f t="shared" si="0"/>
        <v>description,dailCompDescNecromancer45,</v>
      </c>
      <c r="D47" s="5" t="str">
        <f t="shared" si="2"/>
        <v>itemText,dailCompTextNecromancer45,</v>
      </c>
      <c r="E47" s="5" t="str">
        <f t="shared" si="14"/>
        <v>augmentSkillLevel1,3,</v>
      </c>
      <c r="F47" s="5" t="str">
        <f t="shared" si="15"/>
        <v>augmentSkillName1,records/skills/playerclass07/passive01.dbr,</v>
      </c>
      <c r="G47" s="7">
        <f t="shared" si="10"/>
        <v>45</v>
      </c>
      <c r="H47" s="8" t="str">
        <f t="shared" si="11"/>
        <v>Necromancer</v>
      </c>
      <c r="I47" s="3" t="s">
        <v>364</v>
      </c>
      <c r="J47" s="8" t="str">
        <f t="shared" si="21"/>
        <v>class0007</v>
      </c>
      <c r="K47" s="8" t="str">
        <f t="shared" si="21"/>
        <v>dailoneskill0007</v>
      </c>
      <c r="L47" s="5" t="str">
        <f t="shared" si="4"/>
        <v>lootName45,DAIL/items/materia/class0007/Necromancer45.dbr,</v>
      </c>
      <c r="M47" s="5" t="str">
        <f t="shared" si="5"/>
        <v>lootWeight45,1,</v>
      </c>
      <c r="N47" t="str">
        <f t="shared" si="6"/>
        <v>3</v>
      </c>
      <c r="O47" t="str">
        <f t="shared" si="16"/>
        <v>copy .\dail_base3.dbr .\items\materia\class0007\Necromancer45.dbr /y</v>
      </c>
      <c r="P47" t="str">
        <f t="shared" si="7"/>
        <v>echo relicBitmap,items/craftingparts/components/component_a52_bristlyfur_b.tex, &gt;&gt; .\items\materia\class0007\Necromancer45.dbr</v>
      </c>
      <c r="Q47" t="str">
        <f t="shared" si="7"/>
        <v>echo itemCost,500000, &gt;&gt; .\items\materia\class0007\Necromancer45.dbr</v>
      </c>
      <c r="R47" t="str">
        <f t="shared" si="7"/>
        <v>echo description,dailCompDescNecromancer45, &gt;&gt; .\items\materia\class0007\Necromancer45.dbr</v>
      </c>
      <c r="S47" t="str">
        <f t="shared" si="7"/>
        <v>echo itemText,dailCompTextNecromancer45, &gt;&gt; .\items\materia\class0007\Necromancer45.dbr</v>
      </c>
      <c r="T47" t="str">
        <f t="shared" si="7"/>
        <v>echo augmentSkillLevel1,3, &gt;&gt; .\items\materia\class0007\Necromancer45.dbr</v>
      </c>
      <c r="U47" t="str">
        <f t="shared" si="7"/>
        <v>echo augmentSkillName1,records/skills/playerclass07/passive01.dbr, &gt;&gt; .\items\materia\class0007\Necromancer45.dbr</v>
      </c>
      <c r="V47" s="5" t="s">
        <v>36</v>
      </c>
      <c r="W47" t="str">
        <f t="shared" si="8"/>
        <v>echo lootName45,DAIL/items/materia/class0007/Necromancer45.dbr, &gt;&gt; .\items\loottables\dailoneskill0007.dbr</v>
      </c>
      <c r="X47" t="str">
        <f t="shared" si="8"/>
        <v>echo lootWeight45,1, &gt;&gt; .\items\loottables\dailoneskill0007.dbr</v>
      </c>
      <c r="Y47" s="5" t="s">
        <v>36</v>
      </c>
      <c r="Z47" t="str">
        <f t="shared" si="9"/>
        <v xml:space="preserve"> dailCompDescNecromancer45=^pNecromancer's Gift of DAIL</v>
      </c>
      <c r="AA47" t="str">
        <f t="shared" si="17"/>
        <v>dailCompTextNecromancer45=^oThis feels warm to the touch, almost familiar ^w(This component only fits into the Medal Slot)</v>
      </c>
      <c r="AB47" s="5" t="s">
        <v>36</v>
      </c>
      <c r="AH47">
        <f t="shared" si="19"/>
        <v>42</v>
      </c>
      <c r="AI47">
        <f t="shared" si="22"/>
        <v>28</v>
      </c>
      <c r="AJ47">
        <f t="shared" si="18"/>
        <v>3</v>
      </c>
    </row>
    <row r="48" spans="1:36" x14ac:dyDescent="0.25">
      <c r="A48" s="5" t="s">
        <v>39</v>
      </c>
      <c r="B48" s="5" t="s">
        <v>30</v>
      </c>
      <c r="C48" s="5" t="str">
        <f t="shared" si="0"/>
        <v>description,dailCompDescNecromancer46,</v>
      </c>
      <c r="D48" s="5" t="str">
        <f t="shared" si="2"/>
        <v>itemText,dailCompTextNecromancer46,</v>
      </c>
      <c r="E48" s="5" t="str">
        <f t="shared" si="14"/>
        <v>augmentSkillLevel1,3,</v>
      </c>
      <c r="F48" s="5" t="str">
        <f t="shared" si="15"/>
        <v>augmentSkillName1,records/skills/playerclass07/nec_tel.dbr,</v>
      </c>
      <c r="G48" s="7">
        <f t="shared" si="10"/>
        <v>46</v>
      </c>
      <c r="H48" s="8" t="str">
        <f t="shared" si="11"/>
        <v>Necromancer</v>
      </c>
      <c r="I48" s="3" t="s">
        <v>156</v>
      </c>
      <c r="J48" s="8" t="str">
        <f t="shared" si="21"/>
        <v>class0007</v>
      </c>
      <c r="K48" s="8" t="str">
        <f t="shared" si="21"/>
        <v>dailoneskill0007</v>
      </c>
      <c r="L48" s="5" t="str">
        <f t="shared" si="4"/>
        <v>lootName46,DAIL/items/materia/class0007/Necromancer46.dbr,</v>
      </c>
      <c r="M48" s="5" t="str">
        <f t="shared" si="5"/>
        <v>lootWeight46,1,</v>
      </c>
      <c r="N48" t="str">
        <f t="shared" si="6"/>
        <v>3</v>
      </c>
      <c r="O48" t="str">
        <f t="shared" si="16"/>
        <v>copy .\dail_base3.dbr .\items\materia\class0007\Necromancer46.dbr /y</v>
      </c>
      <c r="P48" t="str">
        <f t="shared" si="7"/>
        <v>echo relicBitmap,items/craftingparts/components/component_a52_bristlyfur_b.tex, &gt;&gt; .\items\materia\class0007\Necromancer46.dbr</v>
      </c>
      <c r="Q48" t="str">
        <f t="shared" si="7"/>
        <v>echo itemCost,500000, &gt;&gt; .\items\materia\class0007\Necromancer46.dbr</v>
      </c>
      <c r="R48" t="str">
        <f t="shared" si="7"/>
        <v>echo description,dailCompDescNecromancer46, &gt;&gt; .\items\materia\class0007\Necromancer46.dbr</v>
      </c>
      <c r="S48" t="str">
        <f t="shared" si="7"/>
        <v>echo itemText,dailCompTextNecromancer46, &gt;&gt; .\items\materia\class0007\Necromancer46.dbr</v>
      </c>
      <c r="T48" t="str">
        <f t="shared" si="7"/>
        <v>echo augmentSkillLevel1,3, &gt;&gt; .\items\materia\class0007\Necromancer46.dbr</v>
      </c>
      <c r="U48" t="str">
        <f t="shared" si="7"/>
        <v>echo augmentSkillName1,records/skills/playerclass07/nec_tel.dbr, &gt;&gt; .\items\materia\class0007\Necromancer46.dbr</v>
      </c>
      <c r="V48" s="5" t="s">
        <v>36</v>
      </c>
      <c r="W48" t="str">
        <f t="shared" si="8"/>
        <v>echo lootName46,DAIL/items/materia/class0007/Necromancer46.dbr, &gt;&gt; .\items\loottables\dailoneskill0007.dbr</v>
      </c>
      <c r="X48" t="str">
        <f t="shared" si="8"/>
        <v>echo lootWeight46,1, &gt;&gt; .\items\loottables\dailoneskill0007.dbr</v>
      </c>
      <c r="Y48" s="5" t="s">
        <v>36</v>
      </c>
      <c r="Z48" t="str">
        <f t="shared" si="9"/>
        <v xml:space="preserve"> dailCompDescNecromancer46=^pNecromancer's Gift of DAIL</v>
      </c>
      <c r="AA48" t="str">
        <f t="shared" si="17"/>
        <v>dailCompTextNecromancer46=^oThis feels warm to the touch, almost familiar ^w(This component only fits into the Medal Slot)</v>
      </c>
      <c r="AB48" s="5" t="s">
        <v>36</v>
      </c>
      <c r="AH48">
        <f t="shared" si="19"/>
        <v>43</v>
      </c>
      <c r="AI48">
        <f t="shared" si="22"/>
        <v>26</v>
      </c>
      <c r="AJ48">
        <f t="shared" si="18"/>
        <v>3</v>
      </c>
    </row>
    <row r="49" spans="1:36" x14ac:dyDescent="0.25">
      <c r="A49" s="5" t="s">
        <v>39</v>
      </c>
      <c r="B49" s="5" t="s">
        <v>30</v>
      </c>
      <c r="C49" s="5" t="str">
        <f t="shared" si="0"/>
        <v>description,dailCompDescNecromancer47,</v>
      </c>
      <c r="D49" s="5" t="str">
        <f t="shared" si="2"/>
        <v>itemText,dailCompTextNecromancer47,</v>
      </c>
      <c r="E49" s="5" t="str">
        <f t="shared" si="14"/>
        <v>augmentSkillLevel1,3,</v>
      </c>
      <c r="F49" s="5" t="str">
        <f t="shared" si="15"/>
        <v>augmentSkillName1,records/skills/playerclass07/passive02.dbr,</v>
      </c>
      <c r="G49" s="7">
        <f t="shared" si="10"/>
        <v>47</v>
      </c>
      <c r="H49" s="8" t="str">
        <f t="shared" si="11"/>
        <v>Necromancer</v>
      </c>
      <c r="I49" s="3" t="s">
        <v>365</v>
      </c>
      <c r="J49" s="8" t="str">
        <f t="shared" si="21"/>
        <v>class0007</v>
      </c>
      <c r="K49" s="8" t="str">
        <f t="shared" si="21"/>
        <v>dailoneskill0007</v>
      </c>
      <c r="L49" s="5" t="str">
        <f t="shared" si="4"/>
        <v>lootName47,DAIL/items/materia/class0007/Necromancer47.dbr,</v>
      </c>
      <c r="M49" s="5" t="str">
        <f t="shared" si="5"/>
        <v>lootWeight47,1,</v>
      </c>
      <c r="N49" t="str">
        <f t="shared" si="6"/>
        <v>3</v>
      </c>
      <c r="O49" t="str">
        <f t="shared" si="16"/>
        <v>copy .\dail_base3.dbr .\items\materia\class0007\Necromancer47.dbr /y</v>
      </c>
      <c r="P49" t="str">
        <f t="shared" si="7"/>
        <v>echo relicBitmap,items/craftingparts/components/component_a52_bristlyfur_b.tex, &gt;&gt; .\items\materia\class0007\Necromancer47.dbr</v>
      </c>
      <c r="Q49" t="str">
        <f t="shared" si="7"/>
        <v>echo itemCost,500000, &gt;&gt; .\items\materia\class0007\Necromancer47.dbr</v>
      </c>
      <c r="R49" t="str">
        <f t="shared" si="7"/>
        <v>echo description,dailCompDescNecromancer47, &gt;&gt; .\items\materia\class0007\Necromancer47.dbr</v>
      </c>
      <c r="S49" t="str">
        <f t="shared" si="7"/>
        <v>echo itemText,dailCompTextNecromancer47, &gt;&gt; .\items\materia\class0007\Necromancer47.dbr</v>
      </c>
      <c r="T49" t="str">
        <f t="shared" si="7"/>
        <v>echo augmentSkillLevel1,3, &gt;&gt; .\items\materia\class0007\Necromancer47.dbr</v>
      </c>
      <c r="U49" t="str">
        <f t="shared" si="7"/>
        <v>echo augmentSkillName1,records/skills/playerclass07/passive02.dbr, &gt;&gt; .\items\materia\class0007\Necromancer47.dbr</v>
      </c>
      <c r="V49" s="5" t="s">
        <v>36</v>
      </c>
      <c r="W49" t="str">
        <f t="shared" si="8"/>
        <v>echo lootName47,DAIL/items/materia/class0007/Necromancer47.dbr, &gt;&gt; .\items\loottables\dailoneskill0007.dbr</v>
      </c>
      <c r="X49" t="str">
        <f t="shared" si="8"/>
        <v>echo lootWeight47,1, &gt;&gt; .\items\loottables\dailoneskill0007.dbr</v>
      </c>
      <c r="Y49" s="5" t="s">
        <v>36</v>
      </c>
      <c r="Z49" t="str">
        <f t="shared" si="9"/>
        <v xml:space="preserve"> dailCompDescNecromancer47=^pNecromancer's Gift of DAIL</v>
      </c>
      <c r="AA49" t="str">
        <f t="shared" si="17"/>
        <v>dailCompTextNecromancer47=^oThis feels warm to the touch, almost familiar ^w(This component only fits into the Medal Slot)</v>
      </c>
      <c r="AB49" s="5" t="s">
        <v>36</v>
      </c>
      <c r="AH49">
        <f t="shared" si="19"/>
        <v>44</v>
      </c>
      <c r="AI49">
        <f t="shared" si="22"/>
        <v>28</v>
      </c>
      <c r="AJ49">
        <f t="shared" si="18"/>
        <v>3</v>
      </c>
    </row>
    <row r="50" spans="1:36" x14ac:dyDescent="0.25">
      <c r="A50" s="5" t="s">
        <v>39</v>
      </c>
      <c r="B50" s="5" t="s">
        <v>30</v>
      </c>
      <c r="C50" s="5" t="str">
        <f t="shared" si="0"/>
        <v>description,dailCompDescNecromancer48,</v>
      </c>
      <c r="D50" s="5" t="str">
        <f t="shared" si="2"/>
        <v>itemText,dailCompTextNecromancer48,</v>
      </c>
      <c r="E50" s="5" t="str">
        <f t="shared" si="14"/>
        <v>augmentSkillLevel1,3,</v>
      </c>
      <c r="F50" s="5" t="str">
        <f t="shared" si="15"/>
        <v>augmentSkillName1,records/skills/playerclass07/passive03.dbr,</v>
      </c>
      <c r="G50" s="7">
        <f t="shared" si="10"/>
        <v>48</v>
      </c>
      <c r="H50" s="8" t="str">
        <f t="shared" si="11"/>
        <v>Necromancer</v>
      </c>
      <c r="I50" s="3" t="s">
        <v>366</v>
      </c>
      <c r="J50" s="8" t="str">
        <f t="shared" si="21"/>
        <v>class0007</v>
      </c>
      <c r="K50" s="8" t="str">
        <f t="shared" si="21"/>
        <v>dailoneskill0007</v>
      </c>
      <c r="L50" s="5" t="str">
        <f t="shared" si="4"/>
        <v>lootName48,DAIL/items/materia/class0007/Necromancer48.dbr,</v>
      </c>
      <c r="M50" s="5" t="str">
        <f t="shared" si="5"/>
        <v>lootWeight48,1,</v>
      </c>
      <c r="N50" t="str">
        <f t="shared" si="6"/>
        <v>3</v>
      </c>
      <c r="O50" t="str">
        <f t="shared" si="16"/>
        <v>copy .\dail_base3.dbr .\items\materia\class0007\Necromancer48.dbr /y</v>
      </c>
      <c r="P50" t="str">
        <f t="shared" si="7"/>
        <v>echo relicBitmap,items/craftingparts/components/component_a52_bristlyfur_b.tex, &gt;&gt; .\items\materia\class0007\Necromancer48.dbr</v>
      </c>
      <c r="Q50" t="str">
        <f t="shared" si="7"/>
        <v>echo itemCost,500000, &gt;&gt; .\items\materia\class0007\Necromancer48.dbr</v>
      </c>
      <c r="R50" t="str">
        <f t="shared" si="7"/>
        <v>echo description,dailCompDescNecromancer48, &gt;&gt; .\items\materia\class0007\Necromancer48.dbr</v>
      </c>
      <c r="S50" t="str">
        <f t="shared" si="7"/>
        <v>echo itemText,dailCompTextNecromancer48, &gt;&gt; .\items\materia\class0007\Necromancer48.dbr</v>
      </c>
      <c r="T50" t="str">
        <f t="shared" si="7"/>
        <v>echo augmentSkillLevel1,3, &gt;&gt; .\items\materia\class0007\Necromancer48.dbr</v>
      </c>
      <c r="U50" t="str">
        <f t="shared" si="7"/>
        <v>echo augmentSkillName1,records/skills/playerclass07/passive03.dbr, &gt;&gt; .\items\materia\class0007\Necromancer48.dbr</v>
      </c>
      <c r="V50" s="5" t="s">
        <v>36</v>
      </c>
      <c r="W50" t="str">
        <f t="shared" si="8"/>
        <v>echo lootName48,DAIL/items/materia/class0007/Necromancer48.dbr, &gt;&gt; .\items\loottables\dailoneskill0007.dbr</v>
      </c>
      <c r="X50" t="str">
        <f t="shared" si="8"/>
        <v>echo lootWeight48,1, &gt;&gt; .\items\loottables\dailoneskill0007.dbr</v>
      </c>
      <c r="Y50" s="5" t="s">
        <v>36</v>
      </c>
      <c r="Z50" t="str">
        <f t="shared" si="9"/>
        <v xml:space="preserve"> dailCompDescNecromancer48=^pNecromancer's Gift of DAIL</v>
      </c>
      <c r="AA50" t="str">
        <f t="shared" si="17"/>
        <v>dailCompTextNecromancer48=^oThis feels warm to the touch, almost familiar ^w(This component only fits into the Medal Slot)</v>
      </c>
      <c r="AB50" s="5" t="s">
        <v>36</v>
      </c>
      <c r="AH50">
        <f t="shared" si="19"/>
        <v>45</v>
      </c>
      <c r="AI50">
        <f t="shared" si="22"/>
        <v>28</v>
      </c>
      <c r="AJ50">
        <f t="shared" si="18"/>
        <v>3</v>
      </c>
    </row>
    <row r="51" spans="1:36" x14ac:dyDescent="0.25">
      <c r="A51" s="5" t="s">
        <v>39</v>
      </c>
      <c r="B51" s="5" t="s">
        <v>30</v>
      </c>
      <c r="C51" s="5" t="str">
        <f t="shared" si="0"/>
        <v>description,dailCompDescNecromancer49,</v>
      </c>
      <c r="D51" s="5" t="str">
        <f t="shared" si="2"/>
        <v>itemText,dailCompTextNecromancer49,</v>
      </c>
      <c r="E51" s="5" t="str">
        <f t="shared" si="14"/>
        <v>augmentSkillLevel1,3,</v>
      </c>
      <c r="F51" s="5" t="str">
        <f t="shared" si="15"/>
        <v>augmentSkillName1,records/skills/playerclass07/passive04.dbr,</v>
      </c>
      <c r="G51" s="7">
        <f t="shared" si="10"/>
        <v>49</v>
      </c>
      <c r="H51" s="8" t="str">
        <f t="shared" si="11"/>
        <v>Necromancer</v>
      </c>
      <c r="I51" s="3" t="s">
        <v>367</v>
      </c>
      <c r="J51" s="8" t="str">
        <f t="shared" si="21"/>
        <v>class0007</v>
      </c>
      <c r="K51" s="8" t="str">
        <f t="shared" si="21"/>
        <v>dailoneskill0007</v>
      </c>
      <c r="L51" s="5" t="str">
        <f t="shared" si="4"/>
        <v>lootName49,DAIL/items/materia/class0007/Necromancer49.dbr,</v>
      </c>
      <c r="M51" s="5" t="str">
        <f t="shared" si="5"/>
        <v>lootWeight49,1,</v>
      </c>
      <c r="N51" t="str">
        <f t="shared" si="6"/>
        <v>3</v>
      </c>
      <c r="O51" t="str">
        <f t="shared" si="16"/>
        <v>copy .\dail_base3.dbr .\items\materia\class0007\Necromancer49.dbr /y</v>
      </c>
      <c r="P51" t="str">
        <f t="shared" si="7"/>
        <v>echo relicBitmap,items/craftingparts/components/component_a52_bristlyfur_b.tex, &gt;&gt; .\items\materia\class0007\Necromancer49.dbr</v>
      </c>
      <c r="Q51" t="str">
        <f t="shared" si="7"/>
        <v>echo itemCost,500000, &gt;&gt; .\items\materia\class0007\Necromancer49.dbr</v>
      </c>
      <c r="R51" t="str">
        <f t="shared" si="7"/>
        <v>echo description,dailCompDescNecromancer49, &gt;&gt; .\items\materia\class0007\Necromancer49.dbr</v>
      </c>
      <c r="S51" t="str">
        <f t="shared" si="7"/>
        <v>echo itemText,dailCompTextNecromancer49, &gt;&gt; .\items\materia\class0007\Necromancer49.dbr</v>
      </c>
      <c r="T51" t="str">
        <f t="shared" si="7"/>
        <v>echo augmentSkillLevel1,3, &gt;&gt; .\items\materia\class0007\Necromancer49.dbr</v>
      </c>
      <c r="U51" t="str">
        <f t="shared" si="7"/>
        <v>echo augmentSkillName1,records/skills/playerclass07/passive04.dbr, &gt;&gt; .\items\materia\class0007\Necromancer49.dbr</v>
      </c>
      <c r="V51" s="5" t="s">
        <v>36</v>
      </c>
      <c r="W51" t="str">
        <f t="shared" si="8"/>
        <v>echo lootName49,DAIL/items/materia/class0007/Necromancer49.dbr, &gt;&gt; .\items\loottables\dailoneskill0007.dbr</v>
      </c>
      <c r="X51" t="str">
        <f t="shared" si="8"/>
        <v>echo lootWeight49,1, &gt;&gt; .\items\loottables\dailoneskill0007.dbr</v>
      </c>
      <c r="Y51" s="5" t="s">
        <v>36</v>
      </c>
      <c r="Z51" t="str">
        <f t="shared" si="9"/>
        <v xml:space="preserve"> dailCompDescNecromancer49=^pNecromancer's Gift of DAIL</v>
      </c>
      <c r="AA51" t="str">
        <f t="shared" si="17"/>
        <v>dailCompTextNecromancer49=^oThis feels warm to the touch, almost familiar ^w(This component only fits into the Medal Slot)</v>
      </c>
      <c r="AB51" s="5" t="s">
        <v>36</v>
      </c>
      <c r="AH51">
        <f t="shared" si="19"/>
        <v>46</v>
      </c>
      <c r="AI51">
        <f t="shared" si="22"/>
        <v>28</v>
      </c>
      <c r="AJ51">
        <f t="shared" si="18"/>
        <v>3</v>
      </c>
    </row>
    <row r="52" spans="1:36" x14ac:dyDescent="0.25">
      <c r="A52" s="5" t="s">
        <v>39</v>
      </c>
      <c r="B52" s="5" t="s">
        <v>30</v>
      </c>
      <c r="C52" s="5" t="str">
        <f t="shared" si="0"/>
        <v>description,dailCompDescNecromancer50,</v>
      </c>
      <c r="D52" s="5" t="str">
        <f t="shared" si="2"/>
        <v>itemText,dailCompTextNecromancer50,</v>
      </c>
      <c r="E52" s="5" t="str">
        <f t="shared" si="14"/>
        <v>augmentSkillLevel1,3,</v>
      </c>
      <c r="F52" s="5" t="str">
        <f t="shared" si="15"/>
        <v>augmentSkillName1,records/skills/playerclass07/summon_ske.dbr,</v>
      </c>
      <c r="G52" s="7">
        <f t="shared" si="10"/>
        <v>50</v>
      </c>
      <c r="H52" s="8" t="str">
        <f t="shared" si="11"/>
        <v>Necromancer</v>
      </c>
      <c r="I52" s="3" t="s">
        <v>157</v>
      </c>
      <c r="J52" s="8" t="str">
        <f t="shared" si="21"/>
        <v>class0007</v>
      </c>
      <c r="K52" s="8" t="str">
        <f t="shared" si="21"/>
        <v>dailoneskill0007</v>
      </c>
      <c r="L52" s="5" t="str">
        <f t="shared" si="4"/>
        <v>lootName50,DAIL/items/materia/class0007/Necromancer50.dbr,</v>
      </c>
      <c r="M52" s="5" t="str">
        <f t="shared" si="5"/>
        <v>lootWeight50,1,</v>
      </c>
      <c r="N52" t="str">
        <f t="shared" si="6"/>
        <v>3</v>
      </c>
      <c r="O52" t="str">
        <f t="shared" si="16"/>
        <v>copy .\dail_base3.dbr .\items\materia\class0007\Necromancer50.dbr /y</v>
      </c>
      <c r="P52" t="str">
        <f t="shared" si="7"/>
        <v>echo relicBitmap,items/craftingparts/components/component_a52_bristlyfur_b.tex, &gt;&gt; .\items\materia\class0007\Necromancer50.dbr</v>
      </c>
      <c r="Q52" t="str">
        <f t="shared" si="7"/>
        <v>echo itemCost,500000, &gt;&gt; .\items\materia\class0007\Necromancer50.dbr</v>
      </c>
      <c r="R52" t="str">
        <f t="shared" si="7"/>
        <v>echo description,dailCompDescNecromancer50, &gt;&gt; .\items\materia\class0007\Necromancer50.dbr</v>
      </c>
      <c r="S52" t="str">
        <f t="shared" si="7"/>
        <v>echo itemText,dailCompTextNecromancer50, &gt;&gt; .\items\materia\class0007\Necromancer50.dbr</v>
      </c>
      <c r="T52" t="str">
        <f t="shared" si="7"/>
        <v>echo augmentSkillLevel1,3, &gt;&gt; .\items\materia\class0007\Necromancer50.dbr</v>
      </c>
      <c r="U52" t="str">
        <f t="shared" si="7"/>
        <v>echo augmentSkillName1,records/skills/playerclass07/summon_ske.dbr, &gt;&gt; .\items\materia\class0007\Necromancer50.dbr</v>
      </c>
      <c r="V52" s="5" t="s">
        <v>36</v>
      </c>
      <c r="W52" t="str">
        <f t="shared" si="8"/>
        <v>echo lootName50,DAIL/items/materia/class0007/Necromancer50.dbr, &gt;&gt; .\items\loottables\dailoneskill0007.dbr</v>
      </c>
      <c r="X52" t="str">
        <f t="shared" si="8"/>
        <v>echo lootWeight50,1, &gt;&gt; .\items\loottables\dailoneskill0007.dbr</v>
      </c>
      <c r="Y52" s="5" t="s">
        <v>36</v>
      </c>
      <c r="Z52" t="str">
        <f t="shared" si="9"/>
        <v xml:space="preserve"> dailCompDescNecromancer50=^pNecromancer's Gift of DAIL</v>
      </c>
      <c r="AA52" t="str">
        <f t="shared" si="17"/>
        <v>dailCompTextNecromancer50=^oThis feels warm to the touch, almost familiar ^w(This component only fits into the Medal Slot)</v>
      </c>
      <c r="AB52" s="5" t="s">
        <v>36</v>
      </c>
      <c r="AH52">
        <f t="shared" si="19"/>
        <v>47</v>
      </c>
      <c r="AI52">
        <f t="shared" si="22"/>
        <v>29</v>
      </c>
      <c r="AJ52">
        <f t="shared" si="18"/>
        <v>3</v>
      </c>
    </row>
    <row r="53" spans="1:36" x14ac:dyDescent="0.25">
      <c r="A53" s="5" t="s">
        <v>39</v>
      </c>
      <c r="B53" s="5" t="s">
        <v>30</v>
      </c>
      <c r="C53" s="5" t="str">
        <f t="shared" si="0"/>
        <v>description,dailCompDescNecromancer51,</v>
      </c>
      <c r="D53" s="5" t="str">
        <f t="shared" si="2"/>
        <v>itemText,dailCompTextNecromancer51,</v>
      </c>
      <c r="E53" s="5" t="str">
        <f t="shared" si="14"/>
        <v>augmentSkillLevel1,3,</v>
      </c>
      <c r="F53" s="5" t="str">
        <f t="shared" si="15"/>
        <v>augmentSkillName1,records/skills/playerclass07/summon_ske_abi.dbr,</v>
      </c>
      <c r="G53" s="7">
        <f t="shared" si="10"/>
        <v>51</v>
      </c>
      <c r="H53" s="8" t="str">
        <f t="shared" si="11"/>
        <v>Necromancer</v>
      </c>
      <c r="I53" s="3" t="s">
        <v>158</v>
      </c>
      <c r="J53" s="8" t="str">
        <f t="shared" ref="J53:K68" si="23">J52</f>
        <v>class0007</v>
      </c>
      <c r="K53" s="8" t="str">
        <f t="shared" si="23"/>
        <v>dailoneskill0007</v>
      </c>
      <c r="L53" s="5" t="str">
        <f t="shared" si="4"/>
        <v>lootName51,DAIL/items/materia/class0007/Necromancer51.dbr,</v>
      </c>
      <c r="M53" s="5" t="str">
        <f t="shared" si="5"/>
        <v>lootWeight51,1,</v>
      </c>
      <c r="N53" t="str">
        <f t="shared" si="6"/>
        <v>3</v>
      </c>
      <c r="O53" t="str">
        <f t="shared" si="16"/>
        <v>copy .\dail_base3.dbr .\items\materia\class0007\Necromancer51.dbr /y</v>
      </c>
      <c r="P53" t="str">
        <f t="shared" si="7"/>
        <v>echo relicBitmap,items/craftingparts/components/component_a52_bristlyfur_b.tex, &gt;&gt; .\items\materia\class0007\Necromancer51.dbr</v>
      </c>
      <c r="Q53" t="str">
        <f t="shared" si="7"/>
        <v>echo itemCost,500000, &gt;&gt; .\items\materia\class0007\Necromancer51.dbr</v>
      </c>
      <c r="R53" t="str">
        <f t="shared" si="7"/>
        <v>echo description,dailCompDescNecromancer51, &gt;&gt; .\items\materia\class0007\Necromancer51.dbr</v>
      </c>
      <c r="S53" t="str">
        <f t="shared" si="7"/>
        <v>echo itemText,dailCompTextNecromancer51, &gt;&gt; .\items\materia\class0007\Necromancer51.dbr</v>
      </c>
      <c r="T53" t="str">
        <f t="shared" si="7"/>
        <v>echo augmentSkillLevel1,3, &gt;&gt; .\items\materia\class0007\Necromancer51.dbr</v>
      </c>
      <c r="U53" t="str">
        <f t="shared" si="7"/>
        <v>echo augmentSkillName1,records/skills/playerclass07/summon_ske_abi.dbr, &gt;&gt; .\items\materia\class0007\Necromancer51.dbr</v>
      </c>
      <c r="V53" s="5" t="s">
        <v>36</v>
      </c>
      <c r="W53" t="str">
        <f t="shared" si="8"/>
        <v>echo lootName51,DAIL/items/materia/class0007/Necromancer51.dbr, &gt;&gt; .\items\loottables\dailoneskill0007.dbr</v>
      </c>
      <c r="X53" t="str">
        <f t="shared" si="8"/>
        <v>echo lootWeight51,1, &gt;&gt; .\items\loottables\dailoneskill0007.dbr</v>
      </c>
      <c r="Y53" s="5" t="s">
        <v>36</v>
      </c>
      <c r="Z53" t="str">
        <f t="shared" si="9"/>
        <v xml:space="preserve"> dailCompDescNecromancer51=^pNecromancer's Gift of DAIL</v>
      </c>
      <c r="AA53" t="str">
        <f t="shared" si="17"/>
        <v>dailCompTextNecromancer51=^oThis feels warm to the touch, almost familiar ^w(This component only fits into the Medal Slot)</v>
      </c>
      <c r="AB53" s="5" t="s">
        <v>36</v>
      </c>
      <c r="AH53">
        <f t="shared" si="19"/>
        <v>48</v>
      </c>
      <c r="AI53">
        <f t="shared" si="22"/>
        <v>33</v>
      </c>
      <c r="AJ53">
        <f t="shared" si="18"/>
        <v>3</v>
      </c>
    </row>
    <row r="54" spans="1:36" x14ac:dyDescent="0.25">
      <c r="A54" s="5" t="s">
        <v>39</v>
      </c>
      <c r="B54" s="5" t="s">
        <v>30</v>
      </c>
      <c r="C54" s="5" t="str">
        <f t="shared" si="0"/>
        <v>description,dailCompDescNecromancer52,</v>
      </c>
      <c r="D54" s="5" t="str">
        <f t="shared" si="2"/>
        <v>itemText,dailCompTextNecromancer52,</v>
      </c>
      <c r="E54" s="5" t="str">
        <f t="shared" si="14"/>
        <v>augmentSkillLevel1,3,</v>
      </c>
      <c r="F54" s="5" t="str">
        <f t="shared" si="15"/>
        <v>augmentSkillName1,records/skills/playerclass07/summon_ske_ut.dbr,</v>
      </c>
      <c r="G54" s="7">
        <f t="shared" si="10"/>
        <v>52</v>
      </c>
      <c r="H54" s="8" t="str">
        <f t="shared" si="11"/>
        <v>Necromancer</v>
      </c>
      <c r="I54" s="3" t="s">
        <v>161</v>
      </c>
      <c r="J54" s="8" t="str">
        <f t="shared" si="23"/>
        <v>class0007</v>
      </c>
      <c r="K54" s="8" t="str">
        <f t="shared" si="23"/>
        <v>dailoneskill0007</v>
      </c>
      <c r="L54" s="5" t="str">
        <f t="shared" si="4"/>
        <v>lootName52,DAIL/items/materia/class0007/Necromancer52.dbr,</v>
      </c>
      <c r="M54" s="5" t="str">
        <f t="shared" si="5"/>
        <v>lootWeight52,1,</v>
      </c>
      <c r="N54" t="str">
        <f t="shared" si="6"/>
        <v>3</v>
      </c>
      <c r="O54" t="str">
        <f t="shared" si="16"/>
        <v>copy .\dail_base3.dbr .\items\materia\class0007\Necromancer52.dbr /y</v>
      </c>
      <c r="P54" t="str">
        <f t="shared" si="7"/>
        <v>echo relicBitmap,items/craftingparts/components/component_a52_bristlyfur_b.tex, &gt;&gt; .\items\materia\class0007\Necromancer52.dbr</v>
      </c>
      <c r="Q54" t="str">
        <f t="shared" si="7"/>
        <v>echo itemCost,500000, &gt;&gt; .\items\materia\class0007\Necromancer52.dbr</v>
      </c>
      <c r="R54" t="str">
        <f t="shared" si="7"/>
        <v>echo description,dailCompDescNecromancer52, &gt;&gt; .\items\materia\class0007\Necromancer52.dbr</v>
      </c>
      <c r="S54" t="str">
        <f t="shared" si="7"/>
        <v>echo itemText,dailCompTextNecromancer52, &gt;&gt; .\items\materia\class0007\Necromancer52.dbr</v>
      </c>
      <c r="T54" t="str">
        <f t="shared" si="7"/>
        <v>echo augmentSkillLevel1,3, &gt;&gt; .\items\materia\class0007\Necromancer52.dbr</v>
      </c>
      <c r="U54" t="str">
        <f t="shared" si="7"/>
        <v>echo augmentSkillName1,records/skills/playerclass07/summon_ske_ut.dbr, &gt;&gt; .\items\materia\class0007\Necromancer52.dbr</v>
      </c>
      <c r="V54" s="5" t="s">
        <v>36</v>
      </c>
      <c r="W54" t="str">
        <f t="shared" si="8"/>
        <v>echo lootName52,DAIL/items/materia/class0007/Necromancer52.dbr, &gt;&gt; .\items\loottables\dailoneskill0007.dbr</v>
      </c>
      <c r="X54" t="str">
        <f t="shared" si="8"/>
        <v>echo lootWeight52,1, &gt;&gt; .\items\loottables\dailoneskill0007.dbr</v>
      </c>
      <c r="Y54" s="5" t="s">
        <v>36</v>
      </c>
      <c r="Z54" t="str">
        <f t="shared" si="9"/>
        <v xml:space="preserve"> dailCompDescNecromancer52=^pNecromancer's Gift of DAIL</v>
      </c>
      <c r="AA54" t="str">
        <f t="shared" si="17"/>
        <v>dailCompTextNecromancer52=^oThis feels warm to the touch, almost familiar ^w(This component only fits into the Medal Slot)</v>
      </c>
      <c r="AB54" s="5" t="s">
        <v>36</v>
      </c>
      <c r="AH54">
        <f t="shared" si="19"/>
        <v>49</v>
      </c>
      <c r="AI54">
        <f t="shared" si="22"/>
        <v>32</v>
      </c>
      <c r="AJ54">
        <f t="shared" si="18"/>
        <v>3</v>
      </c>
    </row>
    <row r="55" spans="1:36" x14ac:dyDescent="0.25">
      <c r="A55" s="5" t="s">
        <v>39</v>
      </c>
      <c r="B55" s="5" t="s">
        <v>30</v>
      </c>
      <c r="C55" s="5" t="str">
        <f t="shared" si="0"/>
        <v>description,dailCompDescNecromancer53,</v>
      </c>
      <c r="D55" s="5" t="str">
        <f t="shared" si="2"/>
        <v>itemText,dailCompTextNecromancer53,</v>
      </c>
      <c r="E55" s="5" t="str">
        <f t="shared" si="14"/>
        <v>augmentSkillLevel1,3,</v>
      </c>
      <c r="F55" s="5" t="str">
        <f t="shared" si="15"/>
        <v>augmentSkillName1,records/skills/playerclass07/summon_ske_dy.dbr,</v>
      </c>
      <c r="G55" s="7">
        <f t="shared" si="10"/>
        <v>53</v>
      </c>
      <c r="H55" s="8" t="str">
        <f t="shared" si="11"/>
        <v>Necromancer</v>
      </c>
      <c r="I55" s="3" t="s">
        <v>159</v>
      </c>
      <c r="J55" s="8" t="str">
        <f t="shared" si="23"/>
        <v>class0007</v>
      </c>
      <c r="K55" s="8" t="str">
        <f t="shared" si="23"/>
        <v>dailoneskill0007</v>
      </c>
      <c r="L55" s="5" t="str">
        <f t="shared" si="4"/>
        <v>lootName53,DAIL/items/materia/class0007/Necromancer53.dbr,</v>
      </c>
      <c r="M55" s="5" t="str">
        <f t="shared" si="5"/>
        <v>lootWeight53,1,</v>
      </c>
      <c r="N55" t="str">
        <f t="shared" si="6"/>
        <v>3</v>
      </c>
      <c r="O55" t="str">
        <f t="shared" si="16"/>
        <v>copy .\dail_base3.dbr .\items\materia\class0007\Necromancer53.dbr /y</v>
      </c>
      <c r="P55" t="str">
        <f t="shared" si="7"/>
        <v>echo relicBitmap,items/craftingparts/components/component_a52_bristlyfur_b.tex, &gt;&gt; .\items\materia\class0007\Necromancer53.dbr</v>
      </c>
      <c r="Q55" t="str">
        <f t="shared" si="7"/>
        <v>echo itemCost,500000, &gt;&gt; .\items\materia\class0007\Necromancer53.dbr</v>
      </c>
      <c r="R55" t="str">
        <f t="shared" si="7"/>
        <v>echo description,dailCompDescNecromancer53, &gt;&gt; .\items\materia\class0007\Necromancer53.dbr</v>
      </c>
      <c r="S55" t="str">
        <f t="shared" si="7"/>
        <v>echo itemText,dailCompTextNecromancer53, &gt;&gt; .\items\materia\class0007\Necromancer53.dbr</v>
      </c>
      <c r="T55" t="str">
        <f t="shared" si="7"/>
        <v>echo augmentSkillLevel1,3, &gt;&gt; .\items\materia\class0007\Necromancer53.dbr</v>
      </c>
      <c r="U55" t="str">
        <f t="shared" si="7"/>
        <v>echo augmentSkillName1,records/skills/playerclass07/summon_ske_dy.dbr, &gt;&gt; .\items\materia\class0007\Necromancer53.dbr</v>
      </c>
      <c r="V55" s="5" t="s">
        <v>36</v>
      </c>
      <c r="W55" t="str">
        <f t="shared" si="8"/>
        <v>echo lootName53,DAIL/items/materia/class0007/Necromancer53.dbr, &gt;&gt; .\items\loottables\dailoneskill0007.dbr</v>
      </c>
      <c r="X55" t="str">
        <f t="shared" si="8"/>
        <v>echo lootWeight53,1, &gt;&gt; .\items\loottables\dailoneskill0007.dbr</v>
      </c>
      <c r="Y55" s="5" t="s">
        <v>36</v>
      </c>
      <c r="Z55" t="str">
        <f t="shared" si="9"/>
        <v xml:space="preserve"> dailCompDescNecromancer53=^pNecromancer's Gift of DAIL</v>
      </c>
      <c r="AA55" t="str">
        <f t="shared" si="17"/>
        <v>dailCompTextNecromancer53=^oThis feels warm to the touch, almost familiar ^w(This component only fits into the Medal Slot)</v>
      </c>
      <c r="AB55" s="5" t="s">
        <v>36</v>
      </c>
      <c r="AH55">
        <f t="shared" si="19"/>
        <v>50</v>
      </c>
      <c r="AI55">
        <f t="shared" si="22"/>
        <v>32</v>
      </c>
      <c r="AJ55">
        <f t="shared" si="18"/>
        <v>3</v>
      </c>
    </row>
    <row r="56" spans="1:36" x14ac:dyDescent="0.25">
      <c r="A56" s="5" t="s">
        <v>39</v>
      </c>
      <c r="B56" s="5" t="s">
        <v>30</v>
      </c>
      <c r="C56" s="5" t="str">
        <f t="shared" si="0"/>
        <v>description,dailCompDescNecromancer54,</v>
      </c>
      <c r="D56" s="5" t="str">
        <f t="shared" si="2"/>
        <v>itemText,dailCompTextNecromancer54,</v>
      </c>
      <c r="E56" s="5" t="str">
        <f t="shared" si="14"/>
        <v>augmentSkillLevel1,3,</v>
      </c>
      <c r="F56" s="5" t="str">
        <f t="shared" si="15"/>
        <v>augmentSkillName1,records/skills/playerclass07/summon_ske_tra.dbr,</v>
      </c>
      <c r="G56" s="7">
        <f t="shared" si="10"/>
        <v>54</v>
      </c>
      <c r="H56" s="8" t="str">
        <f t="shared" si="11"/>
        <v>Necromancer</v>
      </c>
      <c r="I56" s="3" t="s">
        <v>160</v>
      </c>
      <c r="J56" s="8" t="str">
        <f t="shared" si="23"/>
        <v>class0007</v>
      </c>
      <c r="K56" s="8" t="str">
        <f t="shared" si="23"/>
        <v>dailoneskill0007</v>
      </c>
      <c r="L56" s="5" t="str">
        <f t="shared" si="4"/>
        <v>lootName54,DAIL/items/materia/class0007/Necromancer54.dbr,</v>
      </c>
      <c r="M56" s="5" t="str">
        <f t="shared" si="5"/>
        <v>lootWeight54,1,</v>
      </c>
      <c r="N56" t="str">
        <f t="shared" si="6"/>
        <v>3</v>
      </c>
      <c r="O56" t="str">
        <f t="shared" si="16"/>
        <v>copy .\dail_base3.dbr .\items\materia\class0007\Necromancer54.dbr /y</v>
      </c>
      <c r="P56" t="str">
        <f t="shared" si="7"/>
        <v>echo relicBitmap,items/craftingparts/components/component_a52_bristlyfur_b.tex, &gt;&gt; .\items\materia\class0007\Necromancer54.dbr</v>
      </c>
      <c r="Q56" t="str">
        <f t="shared" si="7"/>
        <v>echo itemCost,500000, &gt;&gt; .\items\materia\class0007\Necromancer54.dbr</v>
      </c>
      <c r="R56" t="str">
        <f t="shared" si="7"/>
        <v>echo description,dailCompDescNecromancer54, &gt;&gt; .\items\materia\class0007\Necromancer54.dbr</v>
      </c>
      <c r="S56" t="str">
        <f t="shared" si="7"/>
        <v>echo itemText,dailCompTextNecromancer54, &gt;&gt; .\items\materia\class0007\Necromancer54.dbr</v>
      </c>
      <c r="T56" t="str">
        <f t="shared" si="7"/>
        <v>echo augmentSkillLevel1,3, &gt;&gt; .\items\materia\class0007\Necromancer54.dbr</v>
      </c>
      <c r="U56" t="str">
        <f t="shared" si="7"/>
        <v>echo augmentSkillName1,records/skills/playerclass07/summon_ske_tra.dbr, &gt;&gt; .\items\materia\class0007\Necromancer54.dbr</v>
      </c>
      <c r="V56" s="5" t="s">
        <v>36</v>
      </c>
      <c r="W56" t="str">
        <f t="shared" si="8"/>
        <v>echo lootName54,DAIL/items/materia/class0007/Necromancer54.dbr, &gt;&gt; .\items\loottables\dailoneskill0007.dbr</v>
      </c>
      <c r="X56" t="str">
        <f t="shared" si="8"/>
        <v>echo lootWeight54,1, &gt;&gt; .\items\loottables\dailoneskill0007.dbr</v>
      </c>
      <c r="Y56" s="5" t="s">
        <v>36</v>
      </c>
      <c r="Z56" t="str">
        <f t="shared" si="9"/>
        <v xml:space="preserve"> dailCompDescNecromancer54=^pNecromancer's Gift of DAIL</v>
      </c>
      <c r="AA56" t="str">
        <f t="shared" si="17"/>
        <v>dailCompTextNecromancer54=^oThis feels warm to the touch, almost familiar ^w(This component only fits into the Medal Slot)</v>
      </c>
      <c r="AB56" s="5" t="s">
        <v>36</v>
      </c>
      <c r="AH56">
        <f t="shared" si="19"/>
        <v>51</v>
      </c>
      <c r="AI56">
        <f t="shared" si="22"/>
        <v>33</v>
      </c>
      <c r="AJ56">
        <f t="shared" si="18"/>
        <v>3</v>
      </c>
    </row>
    <row r="57" spans="1:36" x14ac:dyDescent="0.25">
      <c r="A57" s="5" t="s">
        <v>39</v>
      </c>
      <c r="B57" s="5" t="s">
        <v>30</v>
      </c>
      <c r="C57" s="5" t="str">
        <f t="shared" si="0"/>
        <v>description,dailCompDescNecromancer55,</v>
      </c>
      <c r="D57" s="5" t="str">
        <f t="shared" si="2"/>
        <v>itemText,dailCompTextNecromancer55,</v>
      </c>
      <c r="E57" s="5" t="str">
        <f t="shared" si="14"/>
        <v>augmentSkillLevel1,3,</v>
      </c>
      <c r="F57" s="5" t="str">
        <f t="shared" si="15"/>
        <v>augmentSkillName1,records/skills/playerclass07/ult.dbr,</v>
      </c>
      <c r="G57" s="7">
        <f t="shared" si="10"/>
        <v>55</v>
      </c>
      <c r="H57" s="8" t="str">
        <f t="shared" si="11"/>
        <v>Necromancer</v>
      </c>
      <c r="I57" s="3" t="s">
        <v>162</v>
      </c>
      <c r="J57" s="8" t="str">
        <f t="shared" si="23"/>
        <v>class0007</v>
      </c>
      <c r="K57" s="8" t="str">
        <f t="shared" si="23"/>
        <v>dailoneskill0007</v>
      </c>
      <c r="L57" s="5" t="str">
        <f t="shared" si="4"/>
        <v>lootName55,DAIL/items/materia/class0007/Necromancer55.dbr,</v>
      </c>
      <c r="M57" s="5" t="str">
        <f t="shared" si="5"/>
        <v>lootWeight55,1,</v>
      </c>
      <c r="N57" t="str">
        <f t="shared" si="6"/>
        <v>3</v>
      </c>
      <c r="O57" t="str">
        <f t="shared" si="16"/>
        <v>copy .\dail_base3.dbr .\items\materia\class0007\Necromancer55.dbr /y</v>
      </c>
      <c r="P57" t="str">
        <f t="shared" si="7"/>
        <v>echo relicBitmap,items/craftingparts/components/component_a52_bristlyfur_b.tex, &gt;&gt; .\items\materia\class0007\Necromancer55.dbr</v>
      </c>
      <c r="Q57" t="str">
        <f t="shared" si="7"/>
        <v>echo itemCost,500000, &gt;&gt; .\items\materia\class0007\Necromancer55.dbr</v>
      </c>
      <c r="R57" t="str">
        <f t="shared" si="7"/>
        <v>echo description,dailCompDescNecromancer55, &gt;&gt; .\items\materia\class0007\Necromancer55.dbr</v>
      </c>
      <c r="S57" t="str">
        <f t="shared" si="7"/>
        <v>echo itemText,dailCompTextNecromancer55, &gt;&gt; .\items\materia\class0007\Necromancer55.dbr</v>
      </c>
      <c r="T57" t="str">
        <f t="shared" si="7"/>
        <v>echo augmentSkillLevel1,3, &gt;&gt; .\items\materia\class0007\Necromancer55.dbr</v>
      </c>
      <c r="U57" t="str">
        <f t="shared" si="7"/>
        <v>echo augmentSkillName1,records/skills/playerclass07/ult.dbr, &gt;&gt; .\items\materia\class0007\Necromancer55.dbr</v>
      </c>
      <c r="V57" s="5" t="s">
        <v>36</v>
      </c>
      <c r="W57" t="str">
        <f t="shared" si="8"/>
        <v>echo lootName55,DAIL/items/materia/class0007/Necromancer55.dbr, &gt;&gt; .\items\loottables\dailoneskill0007.dbr</v>
      </c>
      <c r="X57" t="str">
        <f t="shared" si="8"/>
        <v>echo lootWeight55,1, &gt;&gt; .\items\loottables\dailoneskill0007.dbr</v>
      </c>
      <c r="Y57" s="5" t="s">
        <v>36</v>
      </c>
      <c r="Z57" t="str">
        <f t="shared" si="9"/>
        <v xml:space="preserve"> dailCompDescNecromancer55=^pNecromancer's Gift of DAIL</v>
      </c>
      <c r="AA57" t="str">
        <f t="shared" si="17"/>
        <v>dailCompTextNecromancer55=^oThis feels warm to the touch, almost familiar ^w(This component only fits into the Medal Slot)</v>
      </c>
      <c r="AB57" s="5" t="s">
        <v>36</v>
      </c>
      <c r="AH57">
        <f t="shared" si="19"/>
        <v>52</v>
      </c>
      <c r="AI57">
        <f t="shared" si="22"/>
        <v>22</v>
      </c>
      <c r="AJ57">
        <f t="shared" si="18"/>
        <v>3</v>
      </c>
    </row>
    <row r="58" spans="1:36" x14ac:dyDescent="0.25">
      <c r="A58" s="5" t="s">
        <v>39</v>
      </c>
      <c r="B58" s="5" t="s">
        <v>30</v>
      </c>
      <c r="C58" s="5" t="str">
        <f t="shared" si="0"/>
        <v>description,dailCompDescNecromancer56,</v>
      </c>
      <c r="D58" s="5" t="str">
        <f t="shared" si="2"/>
        <v>itemText,dailCompTextNecromancer56,</v>
      </c>
      <c r="E58" s="5" t="str">
        <f t="shared" si="14"/>
        <v>augmentSkillLevel1,3,</v>
      </c>
      <c r="F58" s="5" t="str">
        <f t="shared" si="15"/>
        <v>augmentSkillName1,records/skills/playerclass07/ult_tra.dbr,</v>
      </c>
      <c r="G58" s="7">
        <f t="shared" si="10"/>
        <v>56</v>
      </c>
      <c r="H58" s="8" t="str">
        <f t="shared" si="11"/>
        <v>Necromancer</v>
      </c>
      <c r="I58" s="3" t="s">
        <v>163</v>
      </c>
      <c r="J58" s="8" t="str">
        <f t="shared" si="23"/>
        <v>class0007</v>
      </c>
      <c r="K58" s="8" t="str">
        <f t="shared" si="23"/>
        <v>dailoneskill0007</v>
      </c>
      <c r="L58" s="5" t="str">
        <f t="shared" si="4"/>
        <v>lootName56,DAIL/items/materia/class0007/Necromancer56.dbr,</v>
      </c>
      <c r="M58" s="5" t="str">
        <f t="shared" si="5"/>
        <v>lootWeight56,1,</v>
      </c>
      <c r="N58" t="str">
        <f t="shared" si="6"/>
        <v>3</v>
      </c>
      <c r="O58" t="str">
        <f t="shared" si="16"/>
        <v>copy .\dail_base3.dbr .\items\materia\class0007\Necromancer56.dbr /y</v>
      </c>
      <c r="P58" t="str">
        <f t="shared" si="7"/>
        <v>echo relicBitmap,items/craftingparts/components/component_a52_bristlyfur_b.tex, &gt;&gt; .\items\materia\class0007\Necromancer56.dbr</v>
      </c>
      <c r="Q58" t="str">
        <f t="shared" si="7"/>
        <v>echo itemCost,500000, &gt;&gt; .\items\materia\class0007\Necromancer56.dbr</v>
      </c>
      <c r="R58" t="str">
        <f t="shared" si="7"/>
        <v>echo description,dailCompDescNecromancer56, &gt;&gt; .\items\materia\class0007\Necromancer56.dbr</v>
      </c>
      <c r="S58" t="str">
        <f t="shared" si="7"/>
        <v>echo itemText,dailCompTextNecromancer56, &gt;&gt; .\items\materia\class0007\Necromancer56.dbr</v>
      </c>
      <c r="T58" t="str">
        <f t="shared" si="7"/>
        <v>echo augmentSkillLevel1,3, &gt;&gt; .\items\materia\class0007\Necromancer56.dbr</v>
      </c>
      <c r="U58" t="str">
        <f t="shared" si="7"/>
        <v>echo augmentSkillName1,records/skills/playerclass07/ult_tra.dbr, &gt;&gt; .\items\materia\class0007\Necromancer56.dbr</v>
      </c>
      <c r="V58" s="5" t="s">
        <v>36</v>
      </c>
      <c r="W58" t="str">
        <f t="shared" si="8"/>
        <v>echo lootName56,DAIL/items/materia/class0007/Necromancer56.dbr, &gt;&gt; .\items\loottables\dailoneskill0007.dbr</v>
      </c>
      <c r="X58" t="str">
        <f t="shared" si="8"/>
        <v>echo lootWeight56,1, &gt;&gt; .\items\loottables\dailoneskill0007.dbr</v>
      </c>
      <c r="Y58" s="5" t="s">
        <v>36</v>
      </c>
      <c r="Z58" t="str">
        <f t="shared" si="9"/>
        <v xml:space="preserve"> dailCompDescNecromancer56=^pNecromancer's Gift of DAIL</v>
      </c>
      <c r="AA58" t="str">
        <f t="shared" si="17"/>
        <v>dailCompTextNecromancer56=^oThis feels warm to the touch, almost familiar ^w(This component only fits into the Medal Slot)</v>
      </c>
      <c r="AB58" s="5" t="s">
        <v>36</v>
      </c>
      <c r="AH58">
        <f t="shared" si="19"/>
        <v>53</v>
      </c>
      <c r="AI58">
        <f t="shared" si="22"/>
        <v>26</v>
      </c>
      <c r="AJ58">
        <f t="shared" si="18"/>
        <v>3</v>
      </c>
    </row>
    <row r="59" spans="1:36" x14ac:dyDescent="0.25">
      <c r="A59" s="5" t="s">
        <v>39</v>
      </c>
      <c r="B59" s="5" t="s">
        <v>30</v>
      </c>
      <c r="C59" s="5" t="str">
        <f t="shared" si="0"/>
        <v>description,dailCompDescNecromancer57,</v>
      </c>
      <c r="D59" s="5" t="str">
        <f t="shared" si="2"/>
        <v>itemText,dailCompTextNecromancer57,</v>
      </c>
      <c r="E59" s="5" t="str">
        <f t="shared" si="14"/>
        <v>augmentSkillLevel1,3,</v>
      </c>
      <c r="F59" s="5" t="str">
        <f t="shared" si="15"/>
        <v>augmentSkillName1,records/skills/playerclass07/nec_tel_mod.dbr,</v>
      </c>
      <c r="G59" s="7">
        <f t="shared" si="10"/>
        <v>57</v>
      </c>
      <c r="H59" s="8" t="str">
        <f t="shared" si="11"/>
        <v>Necromancer</v>
      </c>
      <c r="I59" s="3" t="s">
        <v>368</v>
      </c>
      <c r="J59" s="8" t="str">
        <f t="shared" si="23"/>
        <v>class0007</v>
      </c>
      <c r="K59" s="8" t="str">
        <f t="shared" si="23"/>
        <v>dailoneskill0007</v>
      </c>
      <c r="L59" s="5" t="str">
        <f t="shared" si="4"/>
        <v>lootName57,DAIL/items/materia/class0007/Necromancer57.dbr,</v>
      </c>
      <c r="M59" s="5" t="str">
        <f t="shared" si="5"/>
        <v>lootWeight57,1,</v>
      </c>
      <c r="N59" t="str">
        <f t="shared" si="6"/>
        <v>3</v>
      </c>
      <c r="O59" t="str">
        <f t="shared" si="16"/>
        <v>copy .\dail_base3.dbr .\items\materia\class0007\Necromancer57.dbr /y</v>
      </c>
      <c r="P59" t="str">
        <f t="shared" ref="P59:U101" si="24">IF($I59&lt;&gt;"","echo "&amp;A59&amp;" &gt;&gt; .\items\materia\"&amp;$J59&amp;"\"&amp;$H59&amp;$G59&amp;".dbr","")</f>
        <v>echo relicBitmap,items/craftingparts/components/component_a52_bristlyfur_b.tex, &gt;&gt; .\items\materia\class0007\Necromancer57.dbr</v>
      </c>
      <c r="Q59" t="str">
        <f t="shared" si="24"/>
        <v>echo itemCost,500000, &gt;&gt; .\items\materia\class0007\Necromancer57.dbr</v>
      </c>
      <c r="R59" t="str">
        <f t="shared" si="24"/>
        <v>echo description,dailCompDescNecromancer57, &gt;&gt; .\items\materia\class0007\Necromancer57.dbr</v>
      </c>
      <c r="S59" t="str">
        <f t="shared" si="24"/>
        <v>echo itemText,dailCompTextNecromancer57, &gt;&gt; .\items\materia\class0007\Necromancer57.dbr</v>
      </c>
      <c r="T59" t="str">
        <f t="shared" si="24"/>
        <v>echo augmentSkillLevel1,3, &gt;&gt; .\items\materia\class0007\Necromancer57.dbr</v>
      </c>
      <c r="U59" t="str">
        <f t="shared" si="24"/>
        <v>echo augmentSkillName1,records/skills/playerclass07/nec_tel_mod.dbr, &gt;&gt; .\items\materia\class0007\Necromancer57.dbr</v>
      </c>
      <c r="V59" s="5" t="s">
        <v>36</v>
      </c>
      <c r="W59" t="str">
        <f t="shared" si="8"/>
        <v>echo lootName57,DAIL/items/materia/class0007/Necromancer57.dbr, &gt;&gt; .\items\loottables\dailoneskill0007.dbr</v>
      </c>
      <c r="X59" t="str">
        <f t="shared" si="8"/>
        <v>echo lootWeight57,1, &gt;&gt; .\items\loottables\dailoneskill0007.dbr</v>
      </c>
      <c r="Y59" s="5" t="s">
        <v>36</v>
      </c>
      <c r="Z59" t="str">
        <f t="shared" si="9"/>
        <v xml:space="preserve"> dailCompDescNecromancer57=^pNecromancer's Gift of DAIL</v>
      </c>
      <c r="AA59" t="str">
        <f t="shared" si="17"/>
        <v>dailCompTextNecromancer57=^oThis feels warm to the touch, almost familiar ^w(This component only fits into the Medal Slot)</v>
      </c>
      <c r="AB59" s="5" t="s">
        <v>36</v>
      </c>
      <c r="AH59">
        <f t="shared" si="19"/>
        <v>54</v>
      </c>
      <c r="AI59">
        <f t="shared" si="22"/>
        <v>30</v>
      </c>
      <c r="AJ59">
        <f t="shared" si="18"/>
        <v>3</v>
      </c>
    </row>
    <row r="60" spans="1:36" x14ac:dyDescent="0.25">
      <c r="A60" s="5" t="s">
        <v>39</v>
      </c>
      <c r="B60" s="5" t="s">
        <v>30</v>
      </c>
      <c r="C60" s="5" t="str">
        <f t="shared" si="0"/>
        <v>description,dailCompDescNecromancer58,</v>
      </c>
      <c r="D60" s="5" t="str">
        <f t="shared" si="2"/>
        <v>itemText,dailCompTextNecromancer58,</v>
      </c>
      <c r="E60" s="5" t="str">
        <f t="shared" si="14"/>
        <v>augmentSkillLevel1,3,</v>
      </c>
      <c r="F60" s="5" t="str">
        <f t="shared" si="15"/>
        <v>augmentSkillName1,records/skills/playerclass07/nec_dispel.dbr,</v>
      </c>
      <c r="G60" s="7">
        <f t="shared" si="10"/>
        <v>58</v>
      </c>
      <c r="H60" s="8" t="str">
        <f t="shared" si="11"/>
        <v>Necromancer</v>
      </c>
      <c r="I60" s="3" t="s">
        <v>155</v>
      </c>
      <c r="J60" s="8" t="str">
        <f t="shared" si="23"/>
        <v>class0007</v>
      </c>
      <c r="K60" s="8" t="str">
        <f t="shared" si="23"/>
        <v>dailoneskill0007</v>
      </c>
      <c r="L60" s="5" t="str">
        <f t="shared" si="4"/>
        <v>lootName58,DAIL/items/materia/class0007/Necromancer58.dbr,</v>
      </c>
      <c r="M60" s="5" t="str">
        <f t="shared" si="5"/>
        <v>lootWeight58,1,</v>
      </c>
      <c r="N60" t="str">
        <f t="shared" si="6"/>
        <v>3</v>
      </c>
      <c r="O60" t="str">
        <f t="shared" si="16"/>
        <v>copy .\dail_base3.dbr .\items\materia\class0007\Necromancer58.dbr /y</v>
      </c>
      <c r="P60" t="str">
        <f t="shared" si="24"/>
        <v>echo relicBitmap,items/craftingparts/components/component_a52_bristlyfur_b.tex, &gt;&gt; .\items\materia\class0007\Necromancer58.dbr</v>
      </c>
      <c r="Q60" t="str">
        <f t="shared" si="24"/>
        <v>echo itemCost,500000, &gt;&gt; .\items\materia\class0007\Necromancer58.dbr</v>
      </c>
      <c r="R60" t="str">
        <f t="shared" si="24"/>
        <v>echo description,dailCompDescNecromancer58, &gt;&gt; .\items\materia\class0007\Necromancer58.dbr</v>
      </c>
      <c r="S60" t="str">
        <f t="shared" si="24"/>
        <v>echo itemText,dailCompTextNecromancer58, &gt;&gt; .\items\materia\class0007\Necromancer58.dbr</v>
      </c>
      <c r="T60" t="str">
        <f t="shared" si="24"/>
        <v>echo augmentSkillLevel1,3, &gt;&gt; .\items\materia\class0007\Necromancer58.dbr</v>
      </c>
      <c r="U60" t="str">
        <f t="shared" si="24"/>
        <v>echo augmentSkillName1,records/skills/playerclass07/nec_dispel.dbr, &gt;&gt; .\items\materia\class0007\Necromancer58.dbr</v>
      </c>
      <c r="V60" s="5" t="s">
        <v>36</v>
      </c>
      <c r="W60" t="str">
        <f t="shared" si="8"/>
        <v>echo lootName58,DAIL/items/materia/class0007/Necromancer58.dbr, &gt;&gt; .\items\loottables\dailoneskill0007.dbr</v>
      </c>
      <c r="X60" t="str">
        <f t="shared" si="8"/>
        <v>echo lootWeight58,1, &gt;&gt; .\items\loottables\dailoneskill0007.dbr</v>
      </c>
      <c r="Y60" s="5" t="s">
        <v>36</v>
      </c>
      <c r="Z60" t="str">
        <f t="shared" si="9"/>
        <v xml:space="preserve"> dailCompDescNecromancer58=^pNecromancer's Gift of DAIL</v>
      </c>
      <c r="AA60" t="str">
        <f t="shared" si="17"/>
        <v>dailCompTextNecromancer58=^oThis feels warm to the touch, almost familiar ^w(This component only fits into the Medal Slot)</v>
      </c>
      <c r="AB60" s="5" t="s">
        <v>36</v>
      </c>
      <c r="AH60">
        <f t="shared" si="19"/>
        <v>55</v>
      </c>
      <c r="AI60">
        <f t="shared" si="22"/>
        <v>29</v>
      </c>
      <c r="AJ60">
        <f t="shared" si="18"/>
        <v>3</v>
      </c>
    </row>
    <row r="61" spans="1:36" x14ac:dyDescent="0.25">
      <c r="A61" s="5" t="s">
        <v>39</v>
      </c>
      <c r="B61" s="5" t="s">
        <v>30</v>
      </c>
      <c r="C61" s="5" t="str">
        <f t="shared" si="0"/>
        <v>description,dailCompDescNecromancer59,</v>
      </c>
      <c r="D61" s="5" t="str">
        <f t="shared" si="2"/>
        <v>itemText,dailCompTextNecromancer59,</v>
      </c>
      <c r="E61" s="5" t="str">
        <f t="shared" si="14"/>
        <v>augmentSkillLevel1,3,</v>
      </c>
      <c r="F61" s="5" t="str">
        <f t="shared" si="15"/>
        <v>augmentSkillName1,records/skills/playerclass07/ground.dbr,</v>
      </c>
      <c r="G61" s="7">
        <f t="shared" si="10"/>
        <v>59</v>
      </c>
      <c r="H61" s="8" t="str">
        <f t="shared" si="11"/>
        <v>Necromancer</v>
      </c>
      <c r="I61" s="3" t="s">
        <v>153</v>
      </c>
      <c r="J61" s="8" t="str">
        <f t="shared" si="23"/>
        <v>class0007</v>
      </c>
      <c r="K61" s="8" t="str">
        <f t="shared" si="23"/>
        <v>dailoneskill0007</v>
      </c>
      <c r="L61" s="5" t="str">
        <f t="shared" si="4"/>
        <v>lootName59,DAIL/items/materia/class0007/Necromancer59.dbr,</v>
      </c>
      <c r="M61" s="5" t="str">
        <f t="shared" si="5"/>
        <v>lootWeight59,1,</v>
      </c>
      <c r="N61" t="str">
        <f t="shared" si="6"/>
        <v>3</v>
      </c>
      <c r="O61" t="str">
        <f t="shared" si="16"/>
        <v>copy .\dail_base3.dbr .\items\materia\class0007\Necromancer59.dbr /y</v>
      </c>
      <c r="P61" t="str">
        <f t="shared" si="24"/>
        <v>echo relicBitmap,items/craftingparts/components/component_a52_bristlyfur_b.tex, &gt;&gt; .\items\materia\class0007\Necromancer59.dbr</v>
      </c>
      <c r="Q61" t="str">
        <f t="shared" si="24"/>
        <v>echo itemCost,500000, &gt;&gt; .\items\materia\class0007\Necromancer59.dbr</v>
      </c>
      <c r="R61" t="str">
        <f t="shared" si="24"/>
        <v>echo description,dailCompDescNecromancer59, &gt;&gt; .\items\materia\class0007\Necromancer59.dbr</v>
      </c>
      <c r="S61" t="str">
        <f t="shared" si="24"/>
        <v>echo itemText,dailCompTextNecromancer59, &gt;&gt; .\items\materia\class0007\Necromancer59.dbr</v>
      </c>
      <c r="T61" t="str">
        <f t="shared" si="24"/>
        <v>echo augmentSkillLevel1,3, &gt;&gt; .\items\materia\class0007\Necromancer59.dbr</v>
      </c>
      <c r="U61" t="str">
        <f t="shared" si="24"/>
        <v>echo augmentSkillName1,records/skills/playerclass07/ground.dbr, &gt;&gt; .\items\materia\class0007\Necromancer59.dbr</v>
      </c>
      <c r="V61" s="5" t="s">
        <v>36</v>
      </c>
      <c r="W61" t="str">
        <f t="shared" si="8"/>
        <v>echo lootName59,DAIL/items/materia/class0007/Necromancer59.dbr, &gt;&gt; .\items\loottables\dailoneskill0007.dbr</v>
      </c>
      <c r="X61" t="str">
        <f t="shared" si="8"/>
        <v>echo lootWeight59,1, &gt;&gt; .\items\loottables\dailoneskill0007.dbr</v>
      </c>
      <c r="Y61" s="5" t="s">
        <v>36</v>
      </c>
      <c r="Z61" t="str">
        <f t="shared" si="9"/>
        <v xml:space="preserve"> dailCompDescNecromancer59=^pNecromancer's Gift of DAIL</v>
      </c>
      <c r="AA61" t="str">
        <f t="shared" si="17"/>
        <v>dailCompTextNecromancer59=^oThis feels warm to the touch, almost familiar ^w(This component only fits into the Medal Slot)</v>
      </c>
      <c r="AB61" s="5" t="s">
        <v>36</v>
      </c>
      <c r="AH61">
        <f t="shared" si="19"/>
        <v>56</v>
      </c>
      <c r="AI61">
        <f t="shared" si="22"/>
        <v>25</v>
      </c>
      <c r="AJ61">
        <f t="shared" si="18"/>
        <v>3</v>
      </c>
    </row>
    <row r="62" spans="1:36" x14ac:dyDescent="0.25">
      <c r="A62" s="5" t="s">
        <v>39</v>
      </c>
      <c r="B62" s="5" t="s">
        <v>30</v>
      </c>
      <c r="C62" s="5" t="str">
        <f t="shared" si="0"/>
        <v>description,dailCompDescNecromancer60,</v>
      </c>
      <c r="D62" s="5" t="str">
        <f t="shared" si="2"/>
        <v>itemText,dailCompTextNecromancer60,</v>
      </c>
      <c r="E62" s="5" t="str">
        <f t="shared" si="14"/>
        <v>augmentSkillLevel1,3,</v>
      </c>
      <c r="F62" s="5" t="str">
        <f t="shared" si="15"/>
        <v>augmentSkillName1,records/skills/playerclass07/ground_mod.dbr,</v>
      </c>
      <c r="G62" s="7">
        <f t="shared" si="10"/>
        <v>60</v>
      </c>
      <c r="H62" s="8" t="str">
        <f t="shared" si="11"/>
        <v>Necromancer</v>
      </c>
      <c r="I62" s="3" t="s">
        <v>369</v>
      </c>
      <c r="J62" s="8" t="str">
        <f t="shared" si="23"/>
        <v>class0007</v>
      </c>
      <c r="K62" s="8" t="str">
        <f t="shared" si="23"/>
        <v>dailoneskill0007</v>
      </c>
      <c r="L62" s="5" t="str">
        <f t="shared" si="4"/>
        <v>lootName60,DAIL/items/materia/class0007/Necromancer60.dbr,</v>
      </c>
      <c r="M62" s="5" t="str">
        <f t="shared" si="5"/>
        <v>lootWeight60,1,</v>
      </c>
      <c r="N62" t="str">
        <f t="shared" si="6"/>
        <v>3</v>
      </c>
      <c r="O62" t="str">
        <f t="shared" si="16"/>
        <v>copy .\dail_base3.dbr .\items\materia\class0007\Necromancer60.dbr /y</v>
      </c>
      <c r="P62" t="str">
        <f t="shared" si="24"/>
        <v>echo relicBitmap,items/craftingparts/components/component_a52_bristlyfur_b.tex, &gt;&gt; .\items\materia\class0007\Necromancer60.dbr</v>
      </c>
      <c r="Q62" t="str">
        <f t="shared" si="24"/>
        <v>echo itemCost,500000, &gt;&gt; .\items\materia\class0007\Necromancer60.dbr</v>
      </c>
      <c r="R62" t="str">
        <f t="shared" si="24"/>
        <v>echo description,dailCompDescNecromancer60, &gt;&gt; .\items\materia\class0007\Necromancer60.dbr</v>
      </c>
      <c r="S62" t="str">
        <f t="shared" si="24"/>
        <v>echo itemText,dailCompTextNecromancer60, &gt;&gt; .\items\materia\class0007\Necromancer60.dbr</v>
      </c>
      <c r="T62" t="str">
        <f t="shared" si="24"/>
        <v>echo augmentSkillLevel1,3, &gt;&gt; .\items\materia\class0007\Necromancer60.dbr</v>
      </c>
      <c r="U62" t="str">
        <f t="shared" si="24"/>
        <v>echo augmentSkillName1,records/skills/playerclass07/ground_mod.dbr, &gt;&gt; .\items\materia\class0007\Necromancer60.dbr</v>
      </c>
      <c r="V62" s="5" t="s">
        <v>36</v>
      </c>
      <c r="W62" t="str">
        <f t="shared" si="8"/>
        <v>echo lootName60,DAIL/items/materia/class0007/Necromancer60.dbr, &gt;&gt; .\items\loottables\dailoneskill0007.dbr</v>
      </c>
      <c r="X62" t="str">
        <f t="shared" si="8"/>
        <v>echo lootWeight60,1, &gt;&gt; .\items\loottables\dailoneskill0007.dbr</v>
      </c>
      <c r="Y62" s="5" t="s">
        <v>36</v>
      </c>
      <c r="Z62" t="str">
        <f t="shared" si="9"/>
        <v xml:space="preserve"> dailCompDescNecromancer60=^pNecromancer's Gift of DAIL</v>
      </c>
      <c r="AA62" t="str">
        <f t="shared" si="17"/>
        <v>dailCompTextNecromancer60=^oThis feels warm to the touch, almost familiar ^w(This component only fits into the Medal Slot)</v>
      </c>
      <c r="AB62" s="5" t="s">
        <v>36</v>
      </c>
      <c r="AH62">
        <f t="shared" si="19"/>
        <v>57</v>
      </c>
      <c r="AI62">
        <f t="shared" si="22"/>
        <v>29</v>
      </c>
      <c r="AJ62">
        <f t="shared" si="18"/>
        <v>3</v>
      </c>
    </row>
    <row r="63" spans="1:36" x14ac:dyDescent="0.25">
      <c r="A63" s="5" t="s">
        <v>39</v>
      </c>
      <c r="B63" s="5" t="s">
        <v>30</v>
      </c>
      <c r="C63" s="5" t="str">
        <f t="shared" si="0"/>
        <v>description,dailCompDescNecromancer61,</v>
      </c>
      <c r="D63" s="5" t="str">
        <f t="shared" si="2"/>
        <v>itemText,dailCompTextNecromancer61,</v>
      </c>
      <c r="E63" s="5" t="str">
        <f t="shared" si="14"/>
        <v>augmentSkillLevel1,3,</v>
      </c>
      <c r="F63" s="5" t="str">
        <f t="shared" si="15"/>
        <v>augmentSkillName1,records/skills/playerclass07/summon_death.dbr,</v>
      </c>
      <c r="G63" s="7">
        <f t="shared" si="10"/>
        <v>61</v>
      </c>
      <c r="H63" s="8" t="str">
        <f t="shared" si="11"/>
        <v>Necromancer</v>
      </c>
      <c r="I63" s="3" t="s">
        <v>370</v>
      </c>
      <c r="J63" s="8" t="str">
        <f t="shared" si="23"/>
        <v>class0007</v>
      </c>
      <c r="K63" s="8" t="str">
        <f t="shared" si="23"/>
        <v>dailoneskill0007</v>
      </c>
      <c r="L63" s="5" t="str">
        <f t="shared" si="4"/>
        <v>lootName61,DAIL/items/materia/class0007/Necromancer61.dbr,</v>
      </c>
      <c r="M63" s="5" t="str">
        <f t="shared" si="5"/>
        <v>lootWeight61,1,</v>
      </c>
      <c r="N63" t="str">
        <f t="shared" si="6"/>
        <v>3</v>
      </c>
      <c r="O63" t="str">
        <f t="shared" si="16"/>
        <v>copy .\dail_base3.dbr .\items\materia\class0007\Necromancer61.dbr /y</v>
      </c>
      <c r="P63" t="str">
        <f t="shared" si="24"/>
        <v>echo relicBitmap,items/craftingparts/components/component_a52_bristlyfur_b.tex, &gt;&gt; .\items\materia\class0007\Necromancer61.dbr</v>
      </c>
      <c r="Q63" t="str">
        <f t="shared" si="24"/>
        <v>echo itemCost,500000, &gt;&gt; .\items\materia\class0007\Necromancer61.dbr</v>
      </c>
      <c r="R63" t="str">
        <f t="shared" si="24"/>
        <v>echo description,dailCompDescNecromancer61, &gt;&gt; .\items\materia\class0007\Necromancer61.dbr</v>
      </c>
      <c r="S63" t="str">
        <f t="shared" si="24"/>
        <v>echo itemText,dailCompTextNecromancer61, &gt;&gt; .\items\materia\class0007\Necromancer61.dbr</v>
      </c>
      <c r="T63" t="str">
        <f t="shared" si="24"/>
        <v>echo augmentSkillLevel1,3, &gt;&gt; .\items\materia\class0007\Necromancer61.dbr</v>
      </c>
      <c r="U63" t="str">
        <f t="shared" si="24"/>
        <v>echo augmentSkillName1,records/skills/playerclass07/summon_death.dbr, &gt;&gt; .\items\materia\class0007\Necromancer61.dbr</v>
      </c>
      <c r="V63" s="5" t="s">
        <v>36</v>
      </c>
      <c r="W63" t="str">
        <f t="shared" si="8"/>
        <v>echo lootName61,DAIL/items/materia/class0007/Necromancer61.dbr, &gt;&gt; .\items\loottables\dailoneskill0007.dbr</v>
      </c>
      <c r="X63" t="str">
        <f t="shared" si="8"/>
        <v>echo lootWeight61,1, &gt;&gt; .\items\loottables\dailoneskill0007.dbr</v>
      </c>
      <c r="Y63" s="5" t="s">
        <v>36</v>
      </c>
      <c r="Z63" t="str">
        <f t="shared" si="9"/>
        <v xml:space="preserve"> dailCompDescNecromancer61=^pNecromancer's Gift of DAIL</v>
      </c>
      <c r="AA63" t="str">
        <f t="shared" si="17"/>
        <v>dailCompTextNecromancer61=^oThis feels warm to the touch, almost familiar ^w(This component only fits into the Medal Slot)</v>
      </c>
      <c r="AB63" s="5" t="s">
        <v>36</v>
      </c>
      <c r="AH63">
        <f t="shared" si="19"/>
        <v>58</v>
      </c>
      <c r="AI63">
        <f t="shared" si="22"/>
        <v>31</v>
      </c>
      <c r="AJ63">
        <f t="shared" si="18"/>
        <v>3</v>
      </c>
    </row>
    <row r="64" spans="1:36" x14ac:dyDescent="0.25">
      <c r="A64" s="5" t="s">
        <v>39</v>
      </c>
      <c r="B64" s="5" t="s">
        <v>30</v>
      </c>
      <c r="C64" s="5" t="str">
        <f t="shared" si="0"/>
        <v>description,dailCompDescNecromancer62,</v>
      </c>
      <c r="D64" s="5" t="str">
        <f t="shared" si="2"/>
        <v>itemText,dailCompTextNecromancer62,</v>
      </c>
      <c r="E64" s="5" t="str">
        <f t="shared" si="14"/>
        <v>augmentSkillLevel1,3,</v>
      </c>
      <c r="F64" s="5" t="str">
        <f t="shared" si="15"/>
        <v>augmentSkillName1,records/skills/playerclass07/nec_tel_mod2.dbr,</v>
      </c>
      <c r="G64" s="7">
        <f t="shared" si="10"/>
        <v>62</v>
      </c>
      <c r="H64" s="8" t="str">
        <f t="shared" si="11"/>
        <v>Necromancer</v>
      </c>
      <c r="I64" s="3" t="s">
        <v>371</v>
      </c>
      <c r="J64" s="8" t="str">
        <f t="shared" si="23"/>
        <v>class0007</v>
      </c>
      <c r="K64" s="8" t="str">
        <f t="shared" si="23"/>
        <v>dailoneskill0007</v>
      </c>
      <c r="L64" s="5" t="str">
        <f t="shared" si="4"/>
        <v>lootName62,DAIL/items/materia/class0007/Necromancer62.dbr,</v>
      </c>
      <c r="M64" s="5" t="str">
        <f t="shared" si="5"/>
        <v>lootWeight62,1,</v>
      </c>
      <c r="N64" t="str">
        <f t="shared" si="6"/>
        <v>3</v>
      </c>
      <c r="O64" t="str">
        <f t="shared" si="16"/>
        <v>copy .\dail_base3.dbr .\items\materia\class0007\Necromancer62.dbr /y</v>
      </c>
      <c r="P64" t="str">
        <f t="shared" si="24"/>
        <v>echo relicBitmap,items/craftingparts/components/component_a52_bristlyfur_b.tex, &gt;&gt; .\items\materia\class0007\Necromancer62.dbr</v>
      </c>
      <c r="Q64" t="str">
        <f t="shared" si="24"/>
        <v>echo itemCost,500000, &gt;&gt; .\items\materia\class0007\Necromancer62.dbr</v>
      </c>
      <c r="R64" t="str">
        <f t="shared" si="24"/>
        <v>echo description,dailCompDescNecromancer62, &gt;&gt; .\items\materia\class0007\Necromancer62.dbr</v>
      </c>
      <c r="S64" t="str">
        <f t="shared" si="24"/>
        <v>echo itemText,dailCompTextNecromancer62, &gt;&gt; .\items\materia\class0007\Necromancer62.dbr</v>
      </c>
      <c r="T64" t="str">
        <f t="shared" si="24"/>
        <v>echo augmentSkillLevel1,3, &gt;&gt; .\items\materia\class0007\Necromancer62.dbr</v>
      </c>
      <c r="U64" t="str">
        <f t="shared" si="24"/>
        <v>echo augmentSkillName1,records/skills/playerclass07/nec_tel_mod2.dbr, &gt;&gt; .\items\materia\class0007\Necromancer62.dbr</v>
      </c>
      <c r="V64" s="5" t="s">
        <v>36</v>
      </c>
      <c r="W64" t="str">
        <f t="shared" si="8"/>
        <v>echo lootName62,DAIL/items/materia/class0007/Necromancer62.dbr, &gt;&gt; .\items\loottables\dailoneskill0007.dbr</v>
      </c>
      <c r="X64" t="str">
        <f t="shared" si="8"/>
        <v>echo lootWeight62,1, &gt;&gt; .\items\loottables\dailoneskill0007.dbr</v>
      </c>
      <c r="Y64" s="5" t="s">
        <v>36</v>
      </c>
      <c r="Z64" t="str">
        <f t="shared" si="9"/>
        <v xml:space="preserve"> dailCompDescNecromancer62=^pNecromancer's Gift of DAIL</v>
      </c>
      <c r="AA64" t="str">
        <f t="shared" si="17"/>
        <v>dailCompTextNecromancer62=^oThis feels warm to the touch, almost familiar ^w(This component only fits into the Medal Slot)</v>
      </c>
      <c r="AB64" s="5" t="s">
        <v>36</v>
      </c>
      <c r="AH64">
        <f t="shared" si="19"/>
        <v>59</v>
      </c>
      <c r="AI64">
        <f t="shared" si="22"/>
        <v>31</v>
      </c>
      <c r="AJ64">
        <f t="shared" si="18"/>
        <v>3</v>
      </c>
    </row>
    <row r="65" spans="1:36" x14ac:dyDescent="0.25">
      <c r="A65" s="5" t="s">
        <v>39</v>
      </c>
      <c r="B65" s="5" t="s">
        <v>30</v>
      </c>
      <c r="C65" s="5" t="str">
        <f t="shared" si="0"/>
        <v>description,dailCompDescNecromancer63,</v>
      </c>
      <c r="D65" s="5" t="str">
        <f t="shared" si="2"/>
        <v>itemText,dailCompTextNecromancer63,</v>
      </c>
      <c r="E65" s="5" t="str">
        <f t="shared" si="14"/>
        <v>augmentSkillLevel1,3,</v>
      </c>
      <c r="F65" s="5" t="str">
        <f t="shared" si="15"/>
        <v>augmentSkillName1,records/skills/playerclass07/nec_tel_tra.dbr,</v>
      </c>
      <c r="G65" s="7">
        <f t="shared" si="10"/>
        <v>63</v>
      </c>
      <c r="H65" s="8" t="str">
        <f t="shared" si="11"/>
        <v>Necromancer</v>
      </c>
      <c r="I65" s="3" t="s">
        <v>372</v>
      </c>
      <c r="J65" s="8" t="str">
        <f t="shared" si="23"/>
        <v>class0007</v>
      </c>
      <c r="K65" s="8" t="str">
        <f t="shared" si="23"/>
        <v>dailoneskill0007</v>
      </c>
      <c r="L65" s="5" t="str">
        <f t="shared" si="4"/>
        <v>lootName63,DAIL/items/materia/class0007/Necromancer63.dbr,</v>
      </c>
      <c r="M65" s="5" t="str">
        <f t="shared" si="5"/>
        <v>lootWeight63,1,</v>
      </c>
      <c r="N65" t="str">
        <f t="shared" si="6"/>
        <v>3</v>
      </c>
      <c r="O65" t="str">
        <f t="shared" si="16"/>
        <v>copy .\dail_base3.dbr .\items\materia\class0007\Necromancer63.dbr /y</v>
      </c>
      <c r="P65" t="str">
        <f t="shared" si="24"/>
        <v>echo relicBitmap,items/craftingparts/components/component_a52_bristlyfur_b.tex, &gt;&gt; .\items\materia\class0007\Necromancer63.dbr</v>
      </c>
      <c r="Q65" t="str">
        <f t="shared" si="24"/>
        <v>echo itemCost,500000, &gt;&gt; .\items\materia\class0007\Necromancer63.dbr</v>
      </c>
      <c r="R65" t="str">
        <f t="shared" si="24"/>
        <v>echo description,dailCompDescNecromancer63, &gt;&gt; .\items\materia\class0007\Necromancer63.dbr</v>
      </c>
      <c r="S65" t="str">
        <f t="shared" si="24"/>
        <v>echo itemText,dailCompTextNecromancer63, &gt;&gt; .\items\materia\class0007\Necromancer63.dbr</v>
      </c>
      <c r="T65" t="str">
        <f t="shared" si="24"/>
        <v>echo augmentSkillLevel1,3, &gt;&gt; .\items\materia\class0007\Necromancer63.dbr</v>
      </c>
      <c r="U65" t="str">
        <f t="shared" si="24"/>
        <v>echo augmentSkillName1,records/skills/playerclass07/nec_tel_tra.dbr, &gt;&gt; .\items\materia\class0007\Necromancer63.dbr</v>
      </c>
      <c r="V65" s="5" t="s">
        <v>36</v>
      </c>
      <c r="W65" t="str">
        <f t="shared" si="8"/>
        <v>echo lootName63,DAIL/items/materia/class0007/Necromancer63.dbr, &gt;&gt; .\items\loottables\dailoneskill0007.dbr</v>
      </c>
      <c r="X65" t="str">
        <f t="shared" si="8"/>
        <v>echo lootWeight63,1, &gt;&gt; .\items\loottables\dailoneskill0007.dbr</v>
      </c>
      <c r="Y65" s="5" t="s">
        <v>36</v>
      </c>
      <c r="Z65" t="str">
        <f t="shared" si="9"/>
        <v xml:space="preserve"> dailCompDescNecromancer63=^pNecromancer's Gift of DAIL</v>
      </c>
      <c r="AA65" t="str">
        <f t="shared" si="17"/>
        <v>dailCompTextNecromancer63=^oThis feels warm to the touch, almost familiar ^w(This component only fits into the Medal Slot)</v>
      </c>
      <c r="AB65" s="5" t="s">
        <v>36</v>
      </c>
      <c r="AH65">
        <f t="shared" si="19"/>
        <v>60</v>
      </c>
      <c r="AI65">
        <f t="shared" si="22"/>
        <v>30</v>
      </c>
      <c r="AJ65">
        <f t="shared" si="18"/>
        <v>3</v>
      </c>
    </row>
    <row r="66" spans="1:36" x14ac:dyDescent="0.25">
      <c r="A66" s="5" t="s">
        <v>39</v>
      </c>
      <c r="B66" s="5" t="s">
        <v>30</v>
      </c>
      <c r="C66" s="5" t="str">
        <f t="shared" si="0"/>
        <v>description,dailCompDescNecromancer64,</v>
      </c>
      <c r="D66" s="5" t="str">
        <f t="shared" si="2"/>
        <v>itemText,dailCompTextNecromancer64,</v>
      </c>
      <c r="E66" s="5" t="str">
        <f t="shared" si="14"/>
        <v>augmentSkillLevel1,3,</v>
      </c>
      <c r="F66" s="5" t="str">
        <f t="shared" si="15"/>
        <v>augmentSkillName1,records/skills/playerclass07/bonearmor.dbr,</v>
      </c>
      <c r="G66" s="7">
        <f t="shared" si="10"/>
        <v>64</v>
      </c>
      <c r="H66" s="8" t="str">
        <f t="shared" si="11"/>
        <v>Necromancer</v>
      </c>
      <c r="I66" s="3" t="s">
        <v>151</v>
      </c>
      <c r="J66" s="8" t="str">
        <f t="shared" si="23"/>
        <v>class0007</v>
      </c>
      <c r="K66" s="8" t="str">
        <f t="shared" si="23"/>
        <v>dailoneskill0007</v>
      </c>
      <c r="L66" s="5" t="str">
        <f t="shared" si="4"/>
        <v>lootName64,DAIL/items/materia/class0007/Necromancer64.dbr,</v>
      </c>
      <c r="M66" s="5" t="str">
        <f t="shared" si="5"/>
        <v>lootWeight64,1,</v>
      </c>
      <c r="N66" t="str">
        <f t="shared" si="6"/>
        <v>3</v>
      </c>
      <c r="O66" t="str">
        <f t="shared" si="16"/>
        <v>copy .\dail_base3.dbr .\items\materia\class0007\Necromancer64.dbr /y</v>
      </c>
      <c r="P66" t="str">
        <f t="shared" si="24"/>
        <v>echo relicBitmap,items/craftingparts/components/component_a52_bristlyfur_b.tex, &gt;&gt; .\items\materia\class0007\Necromancer64.dbr</v>
      </c>
      <c r="Q66" t="str">
        <f t="shared" si="24"/>
        <v>echo itemCost,500000, &gt;&gt; .\items\materia\class0007\Necromancer64.dbr</v>
      </c>
      <c r="R66" t="str">
        <f t="shared" si="24"/>
        <v>echo description,dailCompDescNecromancer64, &gt;&gt; .\items\materia\class0007\Necromancer64.dbr</v>
      </c>
      <c r="S66" t="str">
        <f t="shared" si="24"/>
        <v>echo itemText,dailCompTextNecromancer64, &gt;&gt; .\items\materia\class0007\Necromancer64.dbr</v>
      </c>
      <c r="T66" t="str">
        <f t="shared" si="24"/>
        <v>echo augmentSkillLevel1,3, &gt;&gt; .\items\materia\class0007\Necromancer64.dbr</v>
      </c>
      <c r="U66" t="str">
        <f t="shared" si="24"/>
        <v>echo augmentSkillName1,records/skills/playerclass07/bonearmor.dbr, &gt;&gt; .\items\materia\class0007\Necromancer64.dbr</v>
      </c>
      <c r="V66" s="5" t="s">
        <v>36</v>
      </c>
      <c r="W66" t="str">
        <f t="shared" si="8"/>
        <v>echo lootName64,DAIL/items/materia/class0007/Necromancer64.dbr, &gt;&gt; .\items\loottables\dailoneskill0007.dbr</v>
      </c>
      <c r="X66" t="str">
        <f t="shared" si="8"/>
        <v>echo lootWeight64,1, &gt;&gt; .\items\loottables\dailoneskill0007.dbr</v>
      </c>
      <c r="Y66" s="5" t="s">
        <v>36</v>
      </c>
      <c r="Z66" t="str">
        <f t="shared" si="9"/>
        <v xml:space="preserve"> dailCompDescNecromancer64=^pNecromancer's Gift of DAIL</v>
      </c>
      <c r="AA66" t="str">
        <f t="shared" si="17"/>
        <v>dailCompTextNecromancer64=^oThis feels warm to the touch, almost familiar ^w(This component only fits into the Medal Slot)</v>
      </c>
      <c r="AB66" s="5" t="s">
        <v>36</v>
      </c>
      <c r="AH66">
        <f t="shared" si="19"/>
        <v>61</v>
      </c>
      <c r="AI66">
        <f t="shared" si="22"/>
        <v>28</v>
      </c>
      <c r="AJ66">
        <f t="shared" si="18"/>
        <v>3</v>
      </c>
    </row>
    <row r="67" spans="1:36" x14ac:dyDescent="0.25">
      <c r="A67" s="5" t="s">
        <v>39</v>
      </c>
      <c r="B67" s="5" t="s">
        <v>30</v>
      </c>
      <c r="C67" s="5" t="str">
        <f t="shared" ref="C67:C102" si="25">"description,dailCompDesc"&amp;H67&amp;G67&amp;","</f>
        <v>description,dailCompDescNecromancer65,</v>
      </c>
      <c r="D67" s="5" t="str">
        <f t="shared" si="2"/>
        <v>itemText,dailCompTextNecromancer65,</v>
      </c>
      <c r="E67" s="5" t="str">
        <f t="shared" si="14"/>
        <v>augmentSkillLevel1,3,</v>
      </c>
      <c r="F67" s="5" t="str">
        <f t="shared" si="15"/>
        <v>augmentSkillName1,records/skills/playerclass07/bonearmor_tra.dbr,</v>
      </c>
      <c r="G67" s="7">
        <f t="shared" si="10"/>
        <v>65</v>
      </c>
      <c r="H67" s="8" t="str">
        <f t="shared" si="11"/>
        <v>Necromancer</v>
      </c>
      <c r="I67" s="3" t="s">
        <v>373</v>
      </c>
      <c r="J67" s="8" t="str">
        <f t="shared" si="23"/>
        <v>class0007</v>
      </c>
      <c r="K67" s="8" t="str">
        <f t="shared" si="23"/>
        <v>dailoneskill0007</v>
      </c>
      <c r="L67" s="5" t="str">
        <f t="shared" si="4"/>
        <v>lootName65,DAIL/items/materia/class0007/Necromancer65.dbr,</v>
      </c>
      <c r="M67" s="5" t="str">
        <f t="shared" si="5"/>
        <v>lootWeight65,1,</v>
      </c>
      <c r="N67" t="str">
        <f t="shared" si="6"/>
        <v>3</v>
      </c>
      <c r="O67" t="str">
        <f t="shared" si="16"/>
        <v>copy .\dail_base3.dbr .\items\materia\class0007\Necromancer65.dbr /y</v>
      </c>
      <c r="P67" t="str">
        <f t="shared" si="24"/>
        <v>echo relicBitmap,items/craftingparts/components/component_a52_bristlyfur_b.tex, &gt;&gt; .\items\materia\class0007\Necromancer65.dbr</v>
      </c>
      <c r="Q67" t="str">
        <f t="shared" si="24"/>
        <v>echo itemCost,500000, &gt;&gt; .\items\materia\class0007\Necromancer65.dbr</v>
      </c>
      <c r="R67" t="str">
        <f t="shared" si="24"/>
        <v>echo description,dailCompDescNecromancer65, &gt;&gt; .\items\materia\class0007\Necromancer65.dbr</v>
      </c>
      <c r="S67" t="str">
        <f t="shared" si="24"/>
        <v>echo itemText,dailCompTextNecromancer65, &gt;&gt; .\items\materia\class0007\Necromancer65.dbr</v>
      </c>
      <c r="T67" t="str">
        <f t="shared" si="24"/>
        <v>echo augmentSkillLevel1,3, &gt;&gt; .\items\materia\class0007\Necromancer65.dbr</v>
      </c>
      <c r="U67" t="str">
        <f t="shared" si="24"/>
        <v>echo augmentSkillName1,records/skills/playerclass07/bonearmor_tra.dbr, &gt;&gt; .\items\materia\class0007\Necromancer65.dbr</v>
      </c>
      <c r="V67" s="5" t="s">
        <v>36</v>
      </c>
      <c r="W67" t="str">
        <f t="shared" si="8"/>
        <v>echo lootName65,DAIL/items/materia/class0007/Necromancer65.dbr, &gt;&gt; .\items\loottables\dailoneskill0007.dbr</v>
      </c>
      <c r="X67" t="str">
        <f t="shared" si="8"/>
        <v>echo lootWeight65,1, &gt;&gt; .\items\loottables\dailoneskill0007.dbr</v>
      </c>
      <c r="Y67" s="5" t="s">
        <v>36</v>
      </c>
      <c r="Z67" t="str">
        <f t="shared" si="9"/>
        <v xml:space="preserve"> dailCompDescNecromancer65=^pNecromancer's Gift of DAIL</v>
      </c>
      <c r="AA67" t="str">
        <f t="shared" si="17"/>
        <v>dailCompTextNecromancer65=^oThis feels warm to the touch, almost familiar ^w(This component only fits into the Medal Slot)</v>
      </c>
      <c r="AB67" s="5" t="s">
        <v>36</v>
      </c>
      <c r="AH67">
        <f t="shared" si="19"/>
        <v>62</v>
      </c>
      <c r="AI67">
        <f t="shared" si="22"/>
        <v>32</v>
      </c>
      <c r="AJ67">
        <f t="shared" si="18"/>
        <v>3</v>
      </c>
    </row>
    <row r="68" spans="1:36" x14ac:dyDescent="0.25">
      <c r="A68" s="5" t="s">
        <v>39</v>
      </c>
      <c r="B68" s="5" t="s">
        <v>30</v>
      </c>
      <c r="C68" s="5" t="str">
        <f t="shared" si="25"/>
        <v>description,dailCompDescNecromancer66,</v>
      </c>
      <c r="D68" s="5" t="str">
        <f t="shared" ref="D68:D102" si="26">"itemText,dailCompText"&amp;H68&amp;G68&amp;","</f>
        <v>itemText,dailCompTextNecromancer66,</v>
      </c>
      <c r="E68" s="5" t="str">
        <f t="shared" si="14"/>
        <v>augmentSkillLevel1,3,</v>
      </c>
      <c r="F68" s="5" t="str">
        <f t="shared" si="15"/>
        <v>augmentSkillName1,records/skills/playerclass07/bonearmor2.dbr,</v>
      </c>
      <c r="G68" s="7">
        <f t="shared" si="10"/>
        <v>66</v>
      </c>
      <c r="H68" s="8" t="str">
        <f t="shared" si="11"/>
        <v>Necromancer</v>
      </c>
      <c r="I68" s="3" t="s">
        <v>374</v>
      </c>
      <c r="J68" s="8" t="str">
        <f t="shared" si="23"/>
        <v>class0007</v>
      </c>
      <c r="K68" s="8" t="str">
        <f t="shared" si="23"/>
        <v>dailoneskill0007</v>
      </c>
      <c r="L68" s="5" t="str">
        <f t="shared" ref="L68:L102" si="27">"lootName"&amp;G68&amp;",DAIL/items/materia/"&amp;J68&amp;"/"&amp;H68&amp;G68&amp;".dbr"&amp;","</f>
        <v>lootName66,DAIL/items/materia/class0007/Necromancer66.dbr,</v>
      </c>
      <c r="M68" s="5" t="str">
        <f t="shared" ref="M68:M102" si="28">"lootWeight"&amp;G68&amp;",1,"</f>
        <v>lootWeight66,1,</v>
      </c>
      <c r="N68" t="str">
        <f t="shared" ref="N68:N102" si="29">LEFT(RIGHT(E68,2),1)</f>
        <v>3</v>
      </c>
      <c r="O68" t="str">
        <f t="shared" si="16"/>
        <v>copy .\dail_base3.dbr .\items\materia\class0007\Necromancer66.dbr /y</v>
      </c>
      <c r="P68" t="str">
        <f t="shared" si="24"/>
        <v>echo relicBitmap,items/craftingparts/components/component_a52_bristlyfur_b.tex, &gt;&gt; .\items\materia\class0007\Necromancer66.dbr</v>
      </c>
      <c r="Q68" t="str">
        <f t="shared" si="24"/>
        <v>echo itemCost,500000, &gt;&gt; .\items\materia\class0007\Necromancer66.dbr</v>
      </c>
      <c r="R68" t="str">
        <f t="shared" si="24"/>
        <v>echo description,dailCompDescNecromancer66, &gt;&gt; .\items\materia\class0007\Necromancer66.dbr</v>
      </c>
      <c r="S68" t="str">
        <f t="shared" si="24"/>
        <v>echo itemText,dailCompTextNecromancer66, &gt;&gt; .\items\materia\class0007\Necromancer66.dbr</v>
      </c>
      <c r="T68" t="str">
        <f t="shared" si="24"/>
        <v>echo augmentSkillLevel1,3, &gt;&gt; .\items\materia\class0007\Necromancer66.dbr</v>
      </c>
      <c r="U68" t="str">
        <f t="shared" si="24"/>
        <v>echo augmentSkillName1,records/skills/playerclass07/bonearmor2.dbr, &gt;&gt; .\items\materia\class0007\Necromancer66.dbr</v>
      </c>
      <c r="V68" s="5" t="s">
        <v>36</v>
      </c>
      <c r="W68" t="str">
        <f t="shared" ref="W68:X102" si="30">IF($I68&lt;&gt;"","echo "&amp;L68&amp;" &gt;&gt; .\items\loottables\"&amp;$K68&amp;".dbr","")</f>
        <v>echo lootName66,DAIL/items/materia/class0007/Necromancer66.dbr, &gt;&gt; .\items\loottables\dailoneskill0007.dbr</v>
      </c>
      <c r="X68" t="str">
        <f t="shared" si="30"/>
        <v>echo lootWeight66,1, &gt;&gt; .\items\loottables\dailoneskill0007.dbr</v>
      </c>
      <c r="Y68" s="5" t="s">
        <v>36</v>
      </c>
      <c r="Z68" t="str">
        <f t="shared" ref="Z68:Z102" si="31">IF(I67&lt;&gt;""," dailCompDesc"&amp;H68&amp;G68&amp;"=^p"&amp;H68&amp;"'s Gift of DAIL","")</f>
        <v xml:space="preserve"> dailCompDescNecromancer66=^pNecromancer's Gift of DAIL</v>
      </c>
      <c r="AA68" t="str">
        <f t="shared" si="17"/>
        <v>dailCompTextNecromancer66=^oThis feels warm to the touch, almost familiar ^w(This component only fits into the Medal Slot)</v>
      </c>
      <c r="AB68" s="5" t="s">
        <v>36</v>
      </c>
      <c r="AH68">
        <f t="shared" si="19"/>
        <v>63</v>
      </c>
      <c r="AI68">
        <f t="shared" si="22"/>
        <v>29</v>
      </c>
      <c r="AJ68">
        <f t="shared" si="18"/>
        <v>3</v>
      </c>
    </row>
    <row r="69" spans="1:36" x14ac:dyDescent="0.25">
      <c r="A69" s="5" t="s">
        <v>39</v>
      </c>
      <c r="B69" s="5" t="s">
        <v>30</v>
      </c>
      <c r="C69" s="5" t="str">
        <f t="shared" si="25"/>
        <v>description,dailCompDescNecromancer67,</v>
      </c>
      <c r="D69" s="5" t="str">
        <f t="shared" si="26"/>
        <v>itemText,dailCompTextNecromancer67,</v>
      </c>
      <c r="E69" s="5" t="str">
        <f t="shared" si="14"/>
        <v>augmentSkillLevel1,5,</v>
      </c>
      <c r="F69" s="5" t="str">
        <f t="shared" si="15"/>
        <v>augmentSkillName1,records/skills/playerclass07/bonearmor3.dbr,</v>
      </c>
      <c r="G69" s="7">
        <f t="shared" ref="G69:G102" si="32">IF(I69&lt;&gt;"",G68+1,"")</f>
        <v>67</v>
      </c>
      <c r="H69" s="8" t="str">
        <f t="shared" ref="H69:H102" si="33">H68</f>
        <v>Necromancer</v>
      </c>
      <c r="I69" s="3" t="s">
        <v>375</v>
      </c>
      <c r="J69" s="8" t="str">
        <f t="shared" ref="J69:K84" si="34">J68</f>
        <v>class0007</v>
      </c>
      <c r="K69" s="8" t="str">
        <f t="shared" si="34"/>
        <v>dailoneskill0007</v>
      </c>
      <c r="L69" s="5" t="str">
        <f t="shared" si="27"/>
        <v>lootName67,DAIL/items/materia/class0007/Necromancer67.dbr,</v>
      </c>
      <c r="M69" s="5" t="str">
        <f t="shared" si="28"/>
        <v>lootWeight67,1,</v>
      </c>
      <c r="N69" t="str">
        <f t="shared" si="29"/>
        <v>5</v>
      </c>
      <c r="O69" t="str">
        <f t="shared" si="16"/>
        <v>copy .\dail_base3.dbr .\items\materia\class0007\Necromancer67.dbr /y</v>
      </c>
      <c r="P69" t="str">
        <f t="shared" si="24"/>
        <v>echo relicBitmap,items/craftingparts/components/component_a52_bristlyfur_b.tex, &gt;&gt; .\items\materia\class0007\Necromancer67.dbr</v>
      </c>
      <c r="Q69" t="str">
        <f t="shared" si="24"/>
        <v>echo itemCost,500000, &gt;&gt; .\items\materia\class0007\Necromancer67.dbr</v>
      </c>
      <c r="R69" t="str">
        <f t="shared" si="24"/>
        <v>echo description,dailCompDescNecromancer67, &gt;&gt; .\items\materia\class0007\Necromancer67.dbr</v>
      </c>
      <c r="S69" t="str">
        <f t="shared" si="24"/>
        <v>echo itemText,dailCompTextNecromancer67, &gt;&gt; .\items\materia\class0007\Necromancer67.dbr</v>
      </c>
      <c r="T69" t="str">
        <f t="shared" si="24"/>
        <v>echo augmentSkillLevel1,5, &gt;&gt; .\items\materia\class0007\Necromancer67.dbr</v>
      </c>
      <c r="U69" t="str">
        <f t="shared" si="24"/>
        <v>echo augmentSkillName1,records/skills/playerclass07/bonearmor3.dbr, &gt;&gt; .\items\materia\class0007\Necromancer67.dbr</v>
      </c>
      <c r="V69" s="5" t="s">
        <v>36</v>
      </c>
      <c r="W69" t="str">
        <f t="shared" si="30"/>
        <v>echo lootName67,DAIL/items/materia/class0007/Necromancer67.dbr, &gt;&gt; .\items\loottables\dailoneskill0007.dbr</v>
      </c>
      <c r="X69" t="str">
        <f t="shared" si="30"/>
        <v>echo lootWeight67,1, &gt;&gt; .\items\loottables\dailoneskill0007.dbr</v>
      </c>
      <c r="Y69" s="5" t="s">
        <v>36</v>
      </c>
      <c r="Z69" t="str">
        <f t="shared" si="31"/>
        <v xml:space="preserve"> dailCompDescNecromancer67=^pNecromancer's Gift of DAIL</v>
      </c>
      <c r="AA69" t="str">
        <f t="shared" si="17"/>
        <v>dailCompTextNecromancer67=^oThis feels warm to the touch, almost familiar ^w(This component only fits into the Medal Slot)</v>
      </c>
      <c r="AB69" s="5" t="s">
        <v>36</v>
      </c>
      <c r="AH69">
        <f t="shared" si="19"/>
        <v>64</v>
      </c>
      <c r="AI69">
        <f t="shared" si="22"/>
        <v>29</v>
      </c>
      <c r="AJ69">
        <f t="shared" si="18"/>
        <v>5</v>
      </c>
    </row>
    <row r="70" spans="1:36" x14ac:dyDescent="0.25">
      <c r="A70" s="5" t="s">
        <v>39</v>
      </c>
      <c r="B70" s="5" t="s">
        <v>30</v>
      </c>
      <c r="C70" s="5" t="str">
        <f t="shared" si="25"/>
        <v>description,dailCompDescNecromancer68,</v>
      </c>
      <c r="D70" s="5" t="str">
        <f t="shared" si="26"/>
        <v>itemText,dailCompTextNecromancer68,</v>
      </c>
      <c r="E70" s="5" t="str">
        <f t="shared" si="14"/>
        <v>augmentSkillLevel1,5,</v>
      </c>
      <c r="F70" s="5" t="str">
        <f t="shared" si="15"/>
        <v>augmentSkillName1,records/skills/playerclass07/nec_boneshield.dbr,</v>
      </c>
      <c r="G70" s="7">
        <f t="shared" si="32"/>
        <v>68</v>
      </c>
      <c r="H70" s="8" t="str">
        <f t="shared" si="33"/>
        <v>Necromancer</v>
      </c>
      <c r="I70" s="3" t="s">
        <v>154</v>
      </c>
      <c r="J70" s="8" t="str">
        <f t="shared" si="34"/>
        <v>class0007</v>
      </c>
      <c r="K70" s="8" t="str">
        <f t="shared" si="34"/>
        <v>dailoneskill0007</v>
      </c>
      <c r="L70" s="5" t="str">
        <f t="shared" si="27"/>
        <v>lootName68,DAIL/items/materia/class0007/Necromancer68.dbr,</v>
      </c>
      <c r="M70" s="5" t="str">
        <f t="shared" si="28"/>
        <v>lootWeight68,1,</v>
      </c>
      <c r="N70" t="str">
        <f t="shared" si="29"/>
        <v>5</v>
      </c>
      <c r="O70" t="str">
        <f t="shared" si="16"/>
        <v>copy .\dail_base3.dbr .\items\materia\class0007\Necromancer68.dbr /y</v>
      </c>
      <c r="P70" t="str">
        <f t="shared" si="24"/>
        <v>echo relicBitmap,items/craftingparts/components/component_a52_bristlyfur_b.tex, &gt;&gt; .\items\materia\class0007\Necromancer68.dbr</v>
      </c>
      <c r="Q70" t="str">
        <f t="shared" si="24"/>
        <v>echo itemCost,500000, &gt;&gt; .\items\materia\class0007\Necromancer68.dbr</v>
      </c>
      <c r="R70" t="str">
        <f t="shared" si="24"/>
        <v>echo description,dailCompDescNecromancer68, &gt;&gt; .\items\materia\class0007\Necromancer68.dbr</v>
      </c>
      <c r="S70" t="str">
        <f t="shared" si="24"/>
        <v>echo itemText,dailCompTextNecromancer68, &gt;&gt; .\items\materia\class0007\Necromancer68.dbr</v>
      </c>
      <c r="T70" t="str">
        <f t="shared" si="24"/>
        <v>echo augmentSkillLevel1,5, &gt;&gt; .\items\materia\class0007\Necromancer68.dbr</v>
      </c>
      <c r="U70" t="str">
        <f t="shared" si="24"/>
        <v>echo augmentSkillName1,records/skills/playerclass07/nec_boneshield.dbr, &gt;&gt; .\items\materia\class0007\Necromancer68.dbr</v>
      </c>
      <c r="V70" s="5" t="s">
        <v>36</v>
      </c>
      <c r="W70" t="str">
        <f t="shared" si="30"/>
        <v>echo lootName68,DAIL/items/materia/class0007/Necromancer68.dbr, &gt;&gt; .\items\loottables\dailoneskill0007.dbr</v>
      </c>
      <c r="X70" t="str">
        <f t="shared" si="30"/>
        <v>echo lootWeight68,1, &gt;&gt; .\items\loottables\dailoneskill0007.dbr</v>
      </c>
      <c r="Y70" s="5" t="s">
        <v>36</v>
      </c>
      <c r="Z70" t="str">
        <f t="shared" si="31"/>
        <v xml:space="preserve"> dailCompDescNecromancer68=^pNecromancer's Gift of DAIL</v>
      </c>
      <c r="AA70" t="str">
        <f t="shared" si="17"/>
        <v>dailCompTextNecromancer68=^oThis feels warm to the touch, almost familiar ^w(This component only fits into the Medal Slot)</v>
      </c>
      <c r="AB70" s="5" t="s">
        <v>36</v>
      </c>
      <c r="AH70">
        <f t="shared" si="19"/>
        <v>65</v>
      </c>
      <c r="AI70">
        <f t="shared" ref="AI70:AI102" si="35">LEN(I70)</f>
        <v>33</v>
      </c>
      <c r="AJ70">
        <f t="shared" si="18"/>
        <v>5</v>
      </c>
    </row>
    <row r="71" spans="1:36" x14ac:dyDescent="0.25">
      <c r="A71" s="5" t="s">
        <v>39</v>
      </c>
      <c r="B71" s="5" t="s">
        <v>30</v>
      </c>
      <c r="C71" s="5" t="str">
        <f t="shared" si="25"/>
        <v>description,dailCompDescNecromancer69,</v>
      </c>
      <c r="D71" s="5" t="str">
        <f t="shared" si="26"/>
        <v>itemText,dailCompTextNecromancer69,</v>
      </c>
      <c r="E71" s="5" t="str">
        <f t="shared" ref="E71:E102" si="36">"augmentSkillLevel1,"&amp;AJ71&amp;","</f>
        <v>augmentSkillLevel1,5,</v>
      </c>
      <c r="F71" s="5" t="str">
        <f t="shared" ref="F71:F102" si="37">"augmentSkillName1,records/skills"&amp;I71&amp;","</f>
        <v>augmentSkillName1,records/skills/playerclass07/nec_boneshield_mod.dbr,</v>
      </c>
      <c r="G71" s="7">
        <f t="shared" si="32"/>
        <v>69</v>
      </c>
      <c r="H71" s="8" t="str">
        <f t="shared" si="33"/>
        <v>Necromancer</v>
      </c>
      <c r="I71" s="3" t="s">
        <v>358</v>
      </c>
      <c r="J71" s="8" t="str">
        <f t="shared" si="34"/>
        <v>class0007</v>
      </c>
      <c r="K71" s="8" t="str">
        <f t="shared" si="34"/>
        <v>dailoneskill0007</v>
      </c>
      <c r="L71" s="5" t="str">
        <f t="shared" si="27"/>
        <v>lootName69,DAIL/items/materia/class0007/Necromancer69.dbr,</v>
      </c>
      <c r="M71" s="5" t="str">
        <f t="shared" si="28"/>
        <v>lootWeight69,1,</v>
      </c>
      <c r="N71" t="str">
        <f t="shared" si="29"/>
        <v>5</v>
      </c>
      <c r="O71" t="str">
        <f t="shared" ref="O71:O102" si="38">IF(I71&lt;&gt;"","copy .\"&amp;VLOOKUP(VALUE(N71),$AD$3:$AF$5,2,FALSE)&amp;" .\items\materia\"&amp;J71&amp;"\"&amp;H71&amp;G71&amp;".dbr /y"&amp;"","")</f>
        <v>copy .\dail_base3.dbr .\items\materia\class0007\Necromancer69.dbr /y</v>
      </c>
      <c r="P71" t="str">
        <f t="shared" si="24"/>
        <v>echo relicBitmap,items/craftingparts/components/component_a52_bristlyfur_b.tex, &gt;&gt; .\items\materia\class0007\Necromancer69.dbr</v>
      </c>
      <c r="Q71" t="str">
        <f t="shared" si="24"/>
        <v>echo itemCost,500000, &gt;&gt; .\items\materia\class0007\Necromancer69.dbr</v>
      </c>
      <c r="R71" t="str">
        <f t="shared" si="24"/>
        <v>echo description,dailCompDescNecromancer69, &gt;&gt; .\items\materia\class0007\Necromancer69.dbr</v>
      </c>
      <c r="S71" t="str">
        <f t="shared" si="24"/>
        <v>echo itemText,dailCompTextNecromancer69, &gt;&gt; .\items\materia\class0007\Necromancer69.dbr</v>
      </c>
      <c r="T71" t="str">
        <f t="shared" si="24"/>
        <v>echo augmentSkillLevel1,5, &gt;&gt; .\items\materia\class0007\Necromancer69.dbr</v>
      </c>
      <c r="U71" t="str">
        <f t="shared" si="24"/>
        <v>echo augmentSkillName1,records/skills/playerclass07/nec_boneshield_mod.dbr, &gt;&gt; .\items\materia\class0007\Necromancer69.dbr</v>
      </c>
      <c r="V71" s="5" t="s">
        <v>36</v>
      </c>
      <c r="W71" t="str">
        <f t="shared" si="30"/>
        <v>echo lootName69,DAIL/items/materia/class0007/Necromancer69.dbr, &gt;&gt; .\items\loottables\dailoneskill0007.dbr</v>
      </c>
      <c r="X71" t="str">
        <f t="shared" si="30"/>
        <v>echo lootWeight69,1, &gt;&gt; .\items\loottables\dailoneskill0007.dbr</v>
      </c>
      <c r="Y71" s="5" t="s">
        <v>36</v>
      </c>
      <c r="Z71" t="str">
        <f t="shared" si="31"/>
        <v xml:space="preserve"> dailCompDescNecromancer69=^pNecromancer's Gift of DAIL</v>
      </c>
      <c r="AA71" t="str">
        <f t="shared" ref="AA71:AA102" si="39">IF(I70&lt;&gt;"","dailCompText"&amp;H71&amp;G71&amp;"=^oThis feels warm to the touch, almost familiar ^w("&amp;VLOOKUP(VALUE(N71),$AD$3:$AF$5,3,FALSE)&amp;")","")</f>
        <v>dailCompTextNecromancer69=^oThis feels warm to the touch, almost familiar ^w(This component only fits into the Medal Slot)</v>
      </c>
      <c r="AB71" s="5" t="s">
        <v>36</v>
      </c>
      <c r="AH71">
        <f t="shared" si="19"/>
        <v>66</v>
      </c>
      <c r="AI71">
        <f t="shared" si="35"/>
        <v>37</v>
      </c>
      <c r="AJ71">
        <f t="shared" ref="AJ71:AJ102" si="40">IF(AH71&lt;$AL$7,1,IF(AH71&lt;$AL$8,3,5))</f>
        <v>5</v>
      </c>
    </row>
    <row r="72" spans="1:36" x14ac:dyDescent="0.25">
      <c r="A72" s="5" t="s">
        <v>39</v>
      </c>
      <c r="B72" s="5" t="s">
        <v>30</v>
      </c>
      <c r="C72" s="5" t="str">
        <f t="shared" si="25"/>
        <v>description,dailCompDescNecromancer70,</v>
      </c>
      <c r="D72" s="5" t="str">
        <f t="shared" si="26"/>
        <v>itemText,dailCompTextNecromancer70,</v>
      </c>
      <c r="E72" s="5" t="str">
        <f t="shared" si="36"/>
        <v>augmentSkillLevel1,5,</v>
      </c>
      <c r="F72" s="5" t="str">
        <f t="shared" si="37"/>
        <v>augmentSkillName1,records/skills/playerclass07/darkattack.dbr,</v>
      </c>
      <c r="G72" s="7">
        <f t="shared" si="32"/>
        <v>70</v>
      </c>
      <c r="H72" s="8" t="str">
        <f t="shared" si="33"/>
        <v>Necromancer</v>
      </c>
      <c r="I72" s="3" t="s">
        <v>152</v>
      </c>
      <c r="J72" s="8" t="str">
        <f t="shared" si="34"/>
        <v>class0007</v>
      </c>
      <c r="K72" s="8" t="str">
        <f t="shared" si="34"/>
        <v>dailoneskill0007</v>
      </c>
      <c r="L72" s="5" t="str">
        <f t="shared" si="27"/>
        <v>lootName70,DAIL/items/materia/class0007/Necromancer70.dbr,</v>
      </c>
      <c r="M72" s="5" t="str">
        <f t="shared" si="28"/>
        <v>lootWeight70,1,</v>
      </c>
      <c r="N72" t="str">
        <f t="shared" si="29"/>
        <v>5</v>
      </c>
      <c r="O72" t="str">
        <f t="shared" si="38"/>
        <v>copy .\dail_base3.dbr .\items\materia\class0007\Necromancer70.dbr /y</v>
      </c>
      <c r="P72" t="str">
        <f t="shared" si="24"/>
        <v>echo relicBitmap,items/craftingparts/components/component_a52_bristlyfur_b.tex, &gt;&gt; .\items\materia\class0007\Necromancer70.dbr</v>
      </c>
      <c r="Q72" t="str">
        <f t="shared" si="24"/>
        <v>echo itemCost,500000, &gt;&gt; .\items\materia\class0007\Necromancer70.dbr</v>
      </c>
      <c r="R72" t="str">
        <f t="shared" si="24"/>
        <v>echo description,dailCompDescNecromancer70, &gt;&gt; .\items\materia\class0007\Necromancer70.dbr</v>
      </c>
      <c r="S72" t="str">
        <f t="shared" si="24"/>
        <v>echo itemText,dailCompTextNecromancer70, &gt;&gt; .\items\materia\class0007\Necromancer70.dbr</v>
      </c>
      <c r="T72" t="str">
        <f t="shared" si="24"/>
        <v>echo augmentSkillLevel1,5, &gt;&gt; .\items\materia\class0007\Necromancer70.dbr</v>
      </c>
      <c r="U72" t="str">
        <f t="shared" si="24"/>
        <v>echo augmentSkillName1,records/skills/playerclass07/darkattack.dbr, &gt;&gt; .\items\materia\class0007\Necromancer70.dbr</v>
      </c>
      <c r="V72" s="5" t="s">
        <v>36</v>
      </c>
      <c r="W72" t="str">
        <f t="shared" si="30"/>
        <v>echo lootName70,DAIL/items/materia/class0007/Necromancer70.dbr, &gt;&gt; .\items\loottables\dailoneskill0007.dbr</v>
      </c>
      <c r="X72" t="str">
        <f t="shared" si="30"/>
        <v>echo lootWeight70,1, &gt;&gt; .\items\loottables\dailoneskill0007.dbr</v>
      </c>
      <c r="Y72" s="5" t="s">
        <v>36</v>
      </c>
      <c r="Z72" t="str">
        <f t="shared" si="31"/>
        <v xml:space="preserve"> dailCompDescNecromancer70=^pNecromancer's Gift of DAIL</v>
      </c>
      <c r="AA72" t="str">
        <f t="shared" si="39"/>
        <v>dailCompTextNecromancer70=^oThis feels warm to the touch, almost familiar ^w(This component only fits into the Medal Slot)</v>
      </c>
      <c r="AB72" s="5" t="s">
        <v>36</v>
      </c>
      <c r="AH72">
        <f t="shared" ref="AH72:AH102" si="41">AH71+1</f>
        <v>67</v>
      </c>
      <c r="AI72">
        <f t="shared" si="35"/>
        <v>29</v>
      </c>
      <c r="AJ72">
        <f t="shared" si="40"/>
        <v>5</v>
      </c>
    </row>
    <row r="73" spans="1:36" x14ac:dyDescent="0.25">
      <c r="A73" s="5" t="s">
        <v>39</v>
      </c>
      <c r="B73" s="5" t="s">
        <v>30</v>
      </c>
      <c r="C73" s="5" t="str">
        <f t="shared" si="25"/>
        <v>description,dailCompDescNecromancer71,</v>
      </c>
      <c r="D73" s="5" t="str">
        <f t="shared" si="26"/>
        <v>itemText,dailCompTextNecromancer71,</v>
      </c>
      <c r="E73" s="5" t="str">
        <f t="shared" si="36"/>
        <v>augmentSkillLevel1,5,</v>
      </c>
      <c r="F73" s="5" t="str">
        <f t="shared" si="37"/>
        <v>augmentSkillName1,records/skills/playerclass07/darkattack2.dbr,</v>
      </c>
      <c r="G73" s="7">
        <f t="shared" si="32"/>
        <v>71</v>
      </c>
      <c r="H73" s="8" t="str">
        <f t="shared" si="33"/>
        <v>Necromancer</v>
      </c>
      <c r="I73" s="3" t="s">
        <v>359</v>
      </c>
      <c r="J73" s="8" t="str">
        <f t="shared" si="34"/>
        <v>class0007</v>
      </c>
      <c r="K73" s="8" t="str">
        <f t="shared" si="34"/>
        <v>dailoneskill0007</v>
      </c>
      <c r="L73" s="5" t="str">
        <f t="shared" si="27"/>
        <v>lootName71,DAIL/items/materia/class0007/Necromancer71.dbr,</v>
      </c>
      <c r="M73" s="5" t="str">
        <f t="shared" si="28"/>
        <v>lootWeight71,1,</v>
      </c>
      <c r="N73" t="str">
        <f t="shared" si="29"/>
        <v>5</v>
      </c>
      <c r="O73" t="str">
        <f t="shared" si="38"/>
        <v>copy .\dail_base3.dbr .\items\materia\class0007\Necromancer71.dbr /y</v>
      </c>
      <c r="P73" t="str">
        <f t="shared" si="24"/>
        <v>echo relicBitmap,items/craftingparts/components/component_a52_bristlyfur_b.tex, &gt;&gt; .\items\materia\class0007\Necromancer71.dbr</v>
      </c>
      <c r="Q73" t="str">
        <f t="shared" si="24"/>
        <v>echo itemCost,500000, &gt;&gt; .\items\materia\class0007\Necromancer71.dbr</v>
      </c>
      <c r="R73" t="str">
        <f t="shared" si="24"/>
        <v>echo description,dailCompDescNecromancer71, &gt;&gt; .\items\materia\class0007\Necromancer71.dbr</v>
      </c>
      <c r="S73" t="str">
        <f t="shared" si="24"/>
        <v>echo itemText,dailCompTextNecromancer71, &gt;&gt; .\items\materia\class0007\Necromancer71.dbr</v>
      </c>
      <c r="T73" t="str">
        <f t="shared" si="24"/>
        <v>echo augmentSkillLevel1,5, &gt;&gt; .\items\materia\class0007\Necromancer71.dbr</v>
      </c>
      <c r="U73" t="str">
        <f t="shared" si="24"/>
        <v>echo augmentSkillName1,records/skills/playerclass07/darkattack2.dbr, &gt;&gt; .\items\materia\class0007\Necromancer71.dbr</v>
      </c>
      <c r="V73" s="5" t="s">
        <v>36</v>
      </c>
      <c r="W73" t="str">
        <f t="shared" si="30"/>
        <v>echo lootName71,DAIL/items/materia/class0007/Necromancer71.dbr, &gt;&gt; .\items\loottables\dailoneskill0007.dbr</v>
      </c>
      <c r="X73" t="str">
        <f t="shared" si="30"/>
        <v>echo lootWeight71,1, &gt;&gt; .\items\loottables\dailoneskill0007.dbr</v>
      </c>
      <c r="Y73" s="5" t="s">
        <v>36</v>
      </c>
      <c r="Z73" t="str">
        <f t="shared" si="31"/>
        <v xml:space="preserve"> dailCompDescNecromancer71=^pNecromancer's Gift of DAIL</v>
      </c>
      <c r="AA73" t="str">
        <f t="shared" si="39"/>
        <v>dailCompTextNecromancer71=^oThis feels warm to the touch, almost familiar ^w(This component only fits into the Medal Slot)</v>
      </c>
      <c r="AB73" s="5" t="s">
        <v>36</v>
      </c>
      <c r="AH73">
        <f t="shared" si="41"/>
        <v>68</v>
      </c>
      <c r="AI73">
        <f t="shared" si="35"/>
        <v>30</v>
      </c>
      <c r="AJ73">
        <f t="shared" si="40"/>
        <v>5</v>
      </c>
    </row>
    <row r="74" spans="1:36" x14ac:dyDescent="0.25">
      <c r="A74" s="5" t="s">
        <v>39</v>
      </c>
      <c r="B74" s="5" t="s">
        <v>30</v>
      </c>
      <c r="C74" s="5" t="str">
        <f t="shared" si="25"/>
        <v>description,dailCompDescNecromancer72,</v>
      </c>
      <c r="D74" s="5" t="str">
        <f t="shared" si="26"/>
        <v>itemText,dailCompTextNecromancer72,</v>
      </c>
      <c r="E74" s="5" t="str">
        <f t="shared" si="36"/>
        <v>augmentSkillLevel1,5,</v>
      </c>
      <c r="F74" s="5" t="str">
        <f t="shared" si="37"/>
        <v>augmentSkillName1,records/skills/playerclass07/darkattack3.dbr,</v>
      </c>
      <c r="G74" s="7">
        <f t="shared" si="32"/>
        <v>72</v>
      </c>
      <c r="H74" s="8" t="str">
        <f t="shared" si="33"/>
        <v>Necromancer</v>
      </c>
      <c r="I74" s="3" t="s">
        <v>360</v>
      </c>
      <c r="J74" s="8" t="str">
        <f t="shared" si="34"/>
        <v>class0007</v>
      </c>
      <c r="K74" s="8" t="str">
        <f t="shared" si="34"/>
        <v>dailoneskill0007</v>
      </c>
      <c r="L74" s="5" t="str">
        <f t="shared" si="27"/>
        <v>lootName72,DAIL/items/materia/class0007/Necromancer72.dbr,</v>
      </c>
      <c r="M74" s="5" t="str">
        <f t="shared" si="28"/>
        <v>lootWeight72,1,</v>
      </c>
      <c r="N74" t="str">
        <f t="shared" si="29"/>
        <v>5</v>
      </c>
      <c r="O74" t="str">
        <f t="shared" si="38"/>
        <v>copy .\dail_base3.dbr .\items\materia\class0007\Necromancer72.dbr /y</v>
      </c>
      <c r="P74" t="str">
        <f t="shared" si="24"/>
        <v>echo relicBitmap,items/craftingparts/components/component_a52_bristlyfur_b.tex, &gt;&gt; .\items\materia\class0007\Necromancer72.dbr</v>
      </c>
      <c r="Q74" t="str">
        <f t="shared" si="24"/>
        <v>echo itemCost,500000, &gt;&gt; .\items\materia\class0007\Necromancer72.dbr</v>
      </c>
      <c r="R74" t="str">
        <f t="shared" si="24"/>
        <v>echo description,dailCompDescNecromancer72, &gt;&gt; .\items\materia\class0007\Necromancer72.dbr</v>
      </c>
      <c r="S74" t="str">
        <f t="shared" si="24"/>
        <v>echo itemText,dailCompTextNecromancer72, &gt;&gt; .\items\materia\class0007\Necromancer72.dbr</v>
      </c>
      <c r="T74" t="str">
        <f t="shared" si="24"/>
        <v>echo augmentSkillLevel1,5, &gt;&gt; .\items\materia\class0007\Necromancer72.dbr</v>
      </c>
      <c r="U74" t="str">
        <f t="shared" si="24"/>
        <v>echo augmentSkillName1,records/skills/playerclass07/darkattack3.dbr, &gt;&gt; .\items\materia\class0007\Necromancer72.dbr</v>
      </c>
      <c r="V74" s="5" t="s">
        <v>36</v>
      </c>
      <c r="W74" t="str">
        <f t="shared" si="30"/>
        <v>echo lootName72,DAIL/items/materia/class0007/Necromancer72.dbr, &gt;&gt; .\items\loottables\dailoneskill0007.dbr</v>
      </c>
      <c r="X74" t="str">
        <f t="shared" si="30"/>
        <v>echo lootWeight72,1, &gt;&gt; .\items\loottables\dailoneskill0007.dbr</v>
      </c>
      <c r="Y74" s="5" t="s">
        <v>36</v>
      </c>
      <c r="Z74" t="str">
        <f t="shared" si="31"/>
        <v xml:space="preserve"> dailCompDescNecromancer72=^pNecromancer's Gift of DAIL</v>
      </c>
      <c r="AA74" t="str">
        <f t="shared" si="39"/>
        <v>dailCompTextNecromancer72=^oThis feels warm to the touch, almost familiar ^w(This component only fits into the Medal Slot)</v>
      </c>
      <c r="AB74" s="5" t="s">
        <v>36</v>
      </c>
      <c r="AH74">
        <f t="shared" si="41"/>
        <v>69</v>
      </c>
      <c r="AI74">
        <f t="shared" si="35"/>
        <v>30</v>
      </c>
      <c r="AJ74">
        <f t="shared" si="40"/>
        <v>5</v>
      </c>
    </row>
    <row r="75" spans="1:36" x14ac:dyDescent="0.25">
      <c r="A75" s="5" t="s">
        <v>39</v>
      </c>
      <c r="B75" s="5" t="s">
        <v>30</v>
      </c>
      <c r="C75" s="5" t="str">
        <f t="shared" si="25"/>
        <v>description,dailCompDescNecromancer73,</v>
      </c>
      <c r="D75" s="5" t="str">
        <f t="shared" si="26"/>
        <v>itemText,dailCompTextNecromancer73,</v>
      </c>
      <c r="E75" s="5" t="str">
        <f t="shared" si="36"/>
        <v>augmentSkillLevel1,5,</v>
      </c>
      <c r="F75" s="5" t="str">
        <f t="shared" si="37"/>
        <v>augmentSkillName1,records/skills/playerclass07/darkattack_tra.dbr,</v>
      </c>
      <c r="G75" s="7">
        <f t="shared" si="32"/>
        <v>73</v>
      </c>
      <c r="H75" s="8" t="str">
        <f t="shared" si="33"/>
        <v>Necromancer</v>
      </c>
      <c r="I75" s="3" t="s">
        <v>361</v>
      </c>
      <c r="J75" s="8" t="str">
        <f t="shared" si="34"/>
        <v>class0007</v>
      </c>
      <c r="K75" s="8" t="str">
        <f t="shared" si="34"/>
        <v>dailoneskill0007</v>
      </c>
      <c r="L75" s="5" t="str">
        <f t="shared" si="27"/>
        <v>lootName73,DAIL/items/materia/class0007/Necromancer73.dbr,</v>
      </c>
      <c r="M75" s="5" t="str">
        <f t="shared" si="28"/>
        <v>lootWeight73,1,</v>
      </c>
      <c r="N75" t="str">
        <f t="shared" si="29"/>
        <v>5</v>
      </c>
      <c r="O75" t="str">
        <f t="shared" si="38"/>
        <v>copy .\dail_base3.dbr .\items\materia\class0007\Necromancer73.dbr /y</v>
      </c>
      <c r="P75" t="str">
        <f t="shared" si="24"/>
        <v>echo relicBitmap,items/craftingparts/components/component_a52_bristlyfur_b.tex, &gt;&gt; .\items\materia\class0007\Necromancer73.dbr</v>
      </c>
      <c r="Q75" t="str">
        <f t="shared" si="24"/>
        <v>echo itemCost,500000, &gt;&gt; .\items\materia\class0007\Necromancer73.dbr</v>
      </c>
      <c r="R75" t="str">
        <f t="shared" si="24"/>
        <v>echo description,dailCompDescNecromancer73, &gt;&gt; .\items\materia\class0007\Necromancer73.dbr</v>
      </c>
      <c r="S75" t="str">
        <f t="shared" si="24"/>
        <v>echo itemText,dailCompTextNecromancer73, &gt;&gt; .\items\materia\class0007\Necromancer73.dbr</v>
      </c>
      <c r="T75" t="str">
        <f t="shared" si="24"/>
        <v>echo augmentSkillLevel1,5, &gt;&gt; .\items\materia\class0007\Necromancer73.dbr</v>
      </c>
      <c r="U75" t="str">
        <f t="shared" si="24"/>
        <v>echo augmentSkillName1,records/skills/playerclass07/darkattack_tra.dbr, &gt;&gt; .\items\materia\class0007\Necromancer73.dbr</v>
      </c>
      <c r="V75" s="5" t="s">
        <v>36</v>
      </c>
      <c r="W75" t="str">
        <f t="shared" si="30"/>
        <v>echo lootName73,DAIL/items/materia/class0007/Necromancer73.dbr, &gt;&gt; .\items\loottables\dailoneskill0007.dbr</v>
      </c>
      <c r="X75" t="str">
        <f t="shared" si="30"/>
        <v>echo lootWeight73,1, &gt;&gt; .\items\loottables\dailoneskill0007.dbr</v>
      </c>
      <c r="Y75" s="5" t="s">
        <v>36</v>
      </c>
      <c r="Z75" t="str">
        <f t="shared" si="31"/>
        <v xml:space="preserve"> dailCompDescNecromancer73=^pNecromancer's Gift of DAIL</v>
      </c>
      <c r="AA75" t="str">
        <f t="shared" si="39"/>
        <v>dailCompTextNecromancer73=^oThis feels warm to the touch, almost familiar ^w(This component only fits into the Medal Slot)</v>
      </c>
      <c r="AB75" s="5" t="s">
        <v>36</v>
      </c>
      <c r="AH75">
        <f t="shared" si="41"/>
        <v>70</v>
      </c>
      <c r="AI75">
        <f t="shared" si="35"/>
        <v>33</v>
      </c>
      <c r="AJ75">
        <f t="shared" si="40"/>
        <v>5</v>
      </c>
    </row>
    <row r="76" spans="1:36" x14ac:dyDescent="0.25">
      <c r="A76" s="5" t="s">
        <v>39</v>
      </c>
      <c r="B76" s="5" t="s">
        <v>30</v>
      </c>
      <c r="C76" s="5" t="str">
        <f t="shared" si="25"/>
        <v>description,dailCompDescNecromancer74,</v>
      </c>
      <c r="D76" s="5" t="str">
        <f t="shared" si="26"/>
        <v>itemText,dailCompTextNecromancer74,</v>
      </c>
      <c r="E76" s="5" t="str">
        <f t="shared" si="36"/>
        <v>augmentSkillLevel1,5,</v>
      </c>
      <c r="F76" s="5" t="str">
        <f t="shared" si="37"/>
        <v>augmentSkillName1,records/skills/playerclass07/unmaking1.dbr,</v>
      </c>
      <c r="G76" s="7">
        <f t="shared" si="32"/>
        <v>74</v>
      </c>
      <c r="H76" s="8" t="str">
        <f t="shared" si="33"/>
        <v>Necromancer</v>
      </c>
      <c r="I76" s="3" t="s">
        <v>164</v>
      </c>
      <c r="J76" s="8" t="str">
        <f t="shared" si="34"/>
        <v>class0007</v>
      </c>
      <c r="K76" s="8" t="str">
        <f t="shared" si="34"/>
        <v>dailoneskill0007</v>
      </c>
      <c r="L76" s="5" t="str">
        <f t="shared" si="27"/>
        <v>lootName74,DAIL/items/materia/class0007/Necromancer74.dbr,</v>
      </c>
      <c r="M76" s="5" t="str">
        <f t="shared" si="28"/>
        <v>lootWeight74,1,</v>
      </c>
      <c r="N76" t="str">
        <f t="shared" si="29"/>
        <v>5</v>
      </c>
      <c r="O76" t="str">
        <f t="shared" si="38"/>
        <v>copy .\dail_base3.dbr .\items\materia\class0007\Necromancer74.dbr /y</v>
      </c>
      <c r="P76" t="str">
        <f t="shared" si="24"/>
        <v>echo relicBitmap,items/craftingparts/components/component_a52_bristlyfur_b.tex, &gt;&gt; .\items\materia\class0007\Necromancer74.dbr</v>
      </c>
      <c r="Q76" t="str">
        <f t="shared" si="24"/>
        <v>echo itemCost,500000, &gt;&gt; .\items\materia\class0007\Necromancer74.dbr</v>
      </c>
      <c r="R76" t="str">
        <f t="shared" si="24"/>
        <v>echo description,dailCompDescNecromancer74, &gt;&gt; .\items\materia\class0007\Necromancer74.dbr</v>
      </c>
      <c r="S76" t="str">
        <f t="shared" si="24"/>
        <v>echo itemText,dailCompTextNecromancer74, &gt;&gt; .\items\materia\class0007\Necromancer74.dbr</v>
      </c>
      <c r="T76" t="str">
        <f t="shared" si="24"/>
        <v>echo augmentSkillLevel1,5, &gt;&gt; .\items\materia\class0007\Necromancer74.dbr</v>
      </c>
      <c r="U76" t="str">
        <f t="shared" si="24"/>
        <v>echo augmentSkillName1,records/skills/playerclass07/unmaking1.dbr, &gt;&gt; .\items\materia\class0007\Necromancer74.dbr</v>
      </c>
      <c r="V76" s="5" t="s">
        <v>36</v>
      </c>
      <c r="W76" t="str">
        <f t="shared" si="30"/>
        <v>echo lootName74,DAIL/items/materia/class0007/Necromancer74.dbr, &gt;&gt; .\items\loottables\dailoneskill0007.dbr</v>
      </c>
      <c r="X76" t="str">
        <f t="shared" si="30"/>
        <v>echo lootWeight74,1, &gt;&gt; .\items\loottables\dailoneskill0007.dbr</v>
      </c>
      <c r="Y76" s="5" t="s">
        <v>36</v>
      </c>
      <c r="Z76" t="str">
        <f t="shared" si="31"/>
        <v xml:space="preserve"> dailCompDescNecromancer74=^pNecromancer's Gift of DAIL</v>
      </c>
      <c r="AA76" t="str">
        <f t="shared" si="39"/>
        <v>dailCompTextNecromancer74=^oThis feels warm to the touch, almost familiar ^w(This component only fits into the Medal Slot)</v>
      </c>
      <c r="AB76" s="5" t="s">
        <v>36</v>
      </c>
      <c r="AH76">
        <f t="shared" si="41"/>
        <v>71</v>
      </c>
      <c r="AI76">
        <f t="shared" si="35"/>
        <v>28</v>
      </c>
      <c r="AJ76">
        <f t="shared" si="40"/>
        <v>5</v>
      </c>
    </row>
    <row r="77" spans="1:36" x14ac:dyDescent="0.25">
      <c r="A77" s="5" t="s">
        <v>39</v>
      </c>
      <c r="B77" s="5" t="s">
        <v>30</v>
      </c>
      <c r="C77" s="5" t="str">
        <f t="shared" si="25"/>
        <v>description,dailCompDescNecromancer75,</v>
      </c>
      <c r="D77" s="5" t="str">
        <f t="shared" si="26"/>
        <v>itemText,dailCompTextNecromancer75,</v>
      </c>
      <c r="E77" s="5" t="str">
        <f t="shared" si="36"/>
        <v>augmentSkillLevel1,5,</v>
      </c>
      <c r="F77" s="5" t="str">
        <f t="shared" si="37"/>
        <v>augmentSkillName1,records/skills/playerclass07/unmaking2.dbr,</v>
      </c>
      <c r="G77" s="7">
        <f t="shared" si="32"/>
        <v>75</v>
      </c>
      <c r="H77" s="8" t="str">
        <f t="shared" si="33"/>
        <v>Necromancer</v>
      </c>
      <c r="I77" s="3" t="s">
        <v>362</v>
      </c>
      <c r="J77" s="8" t="str">
        <f t="shared" si="34"/>
        <v>class0007</v>
      </c>
      <c r="K77" s="8" t="str">
        <f t="shared" si="34"/>
        <v>dailoneskill0007</v>
      </c>
      <c r="L77" s="5" t="str">
        <f t="shared" si="27"/>
        <v>lootName75,DAIL/items/materia/class0007/Necromancer75.dbr,</v>
      </c>
      <c r="M77" s="5" t="str">
        <f t="shared" si="28"/>
        <v>lootWeight75,1,</v>
      </c>
      <c r="N77" t="str">
        <f t="shared" si="29"/>
        <v>5</v>
      </c>
      <c r="O77" t="str">
        <f t="shared" si="38"/>
        <v>copy .\dail_base3.dbr .\items\materia\class0007\Necromancer75.dbr /y</v>
      </c>
      <c r="P77" t="str">
        <f t="shared" si="24"/>
        <v>echo relicBitmap,items/craftingparts/components/component_a52_bristlyfur_b.tex, &gt;&gt; .\items\materia\class0007\Necromancer75.dbr</v>
      </c>
      <c r="Q77" t="str">
        <f t="shared" si="24"/>
        <v>echo itemCost,500000, &gt;&gt; .\items\materia\class0007\Necromancer75.dbr</v>
      </c>
      <c r="R77" t="str">
        <f t="shared" si="24"/>
        <v>echo description,dailCompDescNecromancer75, &gt;&gt; .\items\materia\class0007\Necromancer75.dbr</v>
      </c>
      <c r="S77" t="str">
        <f t="shared" si="24"/>
        <v>echo itemText,dailCompTextNecromancer75, &gt;&gt; .\items\materia\class0007\Necromancer75.dbr</v>
      </c>
      <c r="T77" t="str">
        <f t="shared" si="24"/>
        <v>echo augmentSkillLevel1,5, &gt;&gt; .\items\materia\class0007\Necromancer75.dbr</v>
      </c>
      <c r="U77" t="str">
        <f t="shared" si="24"/>
        <v>echo augmentSkillName1,records/skills/playerclass07/unmaking2.dbr, &gt;&gt; .\items\materia\class0007\Necromancer75.dbr</v>
      </c>
      <c r="V77" s="5" t="s">
        <v>36</v>
      </c>
      <c r="W77" t="str">
        <f t="shared" si="30"/>
        <v>echo lootName75,DAIL/items/materia/class0007/Necromancer75.dbr, &gt;&gt; .\items\loottables\dailoneskill0007.dbr</v>
      </c>
      <c r="X77" t="str">
        <f t="shared" si="30"/>
        <v>echo lootWeight75,1, &gt;&gt; .\items\loottables\dailoneskill0007.dbr</v>
      </c>
      <c r="Y77" s="5" t="s">
        <v>36</v>
      </c>
      <c r="Z77" t="str">
        <f t="shared" si="31"/>
        <v xml:space="preserve"> dailCompDescNecromancer75=^pNecromancer's Gift of DAIL</v>
      </c>
      <c r="AA77" t="str">
        <f t="shared" si="39"/>
        <v>dailCompTextNecromancer75=^oThis feels warm to the touch, almost familiar ^w(This component only fits into the Medal Slot)</v>
      </c>
      <c r="AB77" s="5" t="s">
        <v>36</v>
      </c>
      <c r="AH77">
        <f t="shared" si="41"/>
        <v>72</v>
      </c>
      <c r="AI77">
        <f t="shared" si="35"/>
        <v>28</v>
      </c>
      <c r="AJ77">
        <f t="shared" si="40"/>
        <v>5</v>
      </c>
    </row>
    <row r="78" spans="1:36" x14ac:dyDescent="0.25">
      <c r="A78" s="5" t="s">
        <v>39</v>
      </c>
      <c r="B78" s="5" t="s">
        <v>30</v>
      </c>
      <c r="C78" s="5" t="str">
        <f t="shared" si="25"/>
        <v>description,dailCompDescNecromancer76,</v>
      </c>
      <c r="D78" s="5" t="str">
        <f t="shared" si="26"/>
        <v>itemText,dailCompTextNecromancer76,</v>
      </c>
      <c r="E78" s="5" t="str">
        <f t="shared" si="36"/>
        <v>augmentSkillLevel1,5,</v>
      </c>
      <c r="F78" s="5" t="str">
        <f t="shared" si="37"/>
        <v>augmentSkillName1,records/skills/playerclass07/unmaking3.dbr,</v>
      </c>
      <c r="G78" s="7">
        <f t="shared" si="32"/>
        <v>76</v>
      </c>
      <c r="H78" s="8" t="str">
        <f t="shared" si="33"/>
        <v>Necromancer</v>
      </c>
      <c r="I78" s="3" t="s">
        <v>363</v>
      </c>
      <c r="J78" s="8" t="str">
        <f t="shared" si="34"/>
        <v>class0007</v>
      </c>
      <c r="K78" s="8" t="str">
        <f t="shared" si="34"/>
        <v>dailoneskill0007</v>
      </c>
      <c r="L78" s="5" t="str">
        <f t="shared" si="27"/>
        <v>lootName76,DAIL/items/materia/class0007/Necromancer76.dbr,</v>
      </c>
      <c r="M78" s="5" t="str">
        <f t="shared" si="28"/>
        <v>lootWeight76,1,</v>
      </c>
      <c r="N78" t="str">
        <f t="shared" si="29"/>
        <v>5</v>
      </c>
      <c r="O78" t="str">
        <f t="shared" si="38"/>
        <v>copy .\dail_base3.dbr .\items\materia\class0007\Necromancer76.dbr /y</v>
      </c>
      <c r="P78" t="str">
        <f t="shared" si="24"/>
        <v>echo relicBitmap,items/craftingparts/components/component_a52_bristlyfur_b.tex, &gt;&gt; .\items\materia\class0007\Necromancer76.dbr</v>
      </c>
      <c r="Q78" t="str">
        <f t="shared" si="24"/>
        <v>echo itemCost,500000, &gt;&gt; .\items\materia\class0007\Necromancer76.dbr</v>
      </c>
      <c r="R78" t="str">
        <f t="shared" si="24"/>
        <v>echo description,dailCompDescNecromancer76, &gt;&gt; .\items\materia\class0007\Necromancer76.dbr</v>
      </c>
      <c r="S78" t="str">
        <f t="shared" si="24"/>
        <v>echo itemText,dailCompTextNecromancer76, &gt;&gt; .\items\materia\class0007\Necromancer76.dbr</v>
      </c>
      <c r="T78" t="str">
        <f t="shared" si="24"/>
        <v>echo augmentSkillLevel1,5, &gt;&gt; .\items\materia\class0007\Necromancer76.dbr</v>
      </c>
      <c r="U78" t="str">
        <f t="shared" si="24"/>
        <v>echo augmentSkillName1,records/skills/playerclass07/unmaking3.dbr, &gt;&gt; .\items\materia\class0007\Necromancer76.dbr</v>
      </c>
      <c r="V78" s="5" t="s">
        <v>36</v>
      </c>
      <c r="W78" t="str">
        <f t="shared" si="30"/>
        <v>echo lootName76,DAIL/items/materia/class0007/Necromancer76.dbr, &gt;&gt; .\items\loottables\dailoneskill0007.dbr</v>
      </c>
      <c r="X78" t="str">
        <f t="shared" si="30"/>
        <v>echo lootWeight76,1, &gt;&gt; .\items\loottables\dailoneskill0007.dbr</v>
      </c>
      <c r="Y78" s="5" t="s">
        <v>36</v>
      </c>
      <c r="Z78" t="str">
        <f t="shared" si="31"/>
        <v xml:space="preserve"> dailCompDescNecromancer76=^pNecromancer's Gift of DAIL</v>
      </c>
      <c r="AA78" t="str">
        <f t="shared" si="39"/>
        <v>dailCompTextNecromancer76=^oThis feels warm to the touch, almost familiar ^w(This component only fits into the Medal Slot)</v>
      </c>
      <c r="AB78" s="5" t="s">
        <v>36</v>
      </c>
      <c r="AH78">
        <f t="shared" si="41"/>
        <v>73</v>
      </c>
      <c r="AI78">
        <f t="shared" si="35"/>
        <v>28</v>
      </c>
      <c r="AJ78">
        <f t="shared" si="40"/>
        <v>5</v>
      </c>
    </row>
    <row r="79" spans="1:36" x14ac:dyDescent="0.25">
      <c r="A79" s="5" t="s">
        <v>39</v>
      </c>
      <c r="B79" s="5" t="s">
        <v>30</v>
      </c>
      <c r="C79" s="5" t="str">
        <f t="shared" si="25"/>
        <v>description,dailCompDescNecromancer77,</v>
      </c>
      <c r="D79" s="5" t="str">
        <f t="shared" si="26"/>
        <v>itemText,dailCompTextNecromancer77,</v>
      </c>
      <c r="E79" s="5" t="str">
        <f t="shared" si="36"/>
        <v>augmentSkillLevel1,5,</v>
      </c>
      <c r="F79" s="5" t="str">
        <f t="shared" si="37"/>
        <v>augmentSkillName1,records/skills/playerclass07/passive01.dbr,</v>
      </c>
      <c r="G79" s="7">
        <f t="shared" si="32"/>
        <v>77</v>
      </c>
      <c r="H79" s="8" t="str">
        <f t="shared" si="33"/>
        <v>Necromancer</v>
      </c>
      <c r="I79" s="3" t="s">
        <v>364</v>
      </c>
      <c r="J79" s="8" t="str">
        <f t="shared" si="34"/>
        <v>class0007</v>
      </c>
      <c r="K79" s="8" t="str">
        <f t="shared" si="34"/>
        <v>dailoneskill0007</v>
      </c>
      <c r="L79" s="5" t="str">
        <f t="shared" si="27"/>
        <v>lootName77,DAIL/items/materia/class0007/Necromancer77.dbr,</v>
      </c>
      <c r="M79" s="5" t="str">
        <f t="shared" si="28"/>
        <v>lootWeight77,1,</v>
      </c>
      <c r="N79" t="str">
        <f t="shared" si="29"/>
        <v>5</v>
      </c>
      <c r="O79" t="str">
        <f t="shared" si="38"/>
        <v>copy .\dail_base3.dbr .\items\materia\class0007\Necromancer77.dbr /y</v>
      </c>
      <c r="P79" t="str">
        <f t="shared" si="24"/>
        <v>echo relicBitmap,items/craftingparts/components/component_a52_bristlyfur_b.tex, &gt;&gt; .\items\materia\class0007\Necromancer77.dbr</v>
      </c>
      <c r="Q79" t="str">
        <f t="shared" si="24"/>
        <v>echo itemCost,500000, &gt;&gt; .\items\materia\class0007\Necromancer77.dbr</v>
      </c>
      <c r="R79" t="str">
        <f t="shared" si="24"/>
        <v>echo description,dailCompDescNecromancer77, &gt;&gt; .\items\materia\class0007\Necromancer77.dbr</v>
      </c>
      <c r="S79" t="str">
        <f t="shared" si="24"/>
        <v>echo itemText,dailCompTextNecromancer77, &gt;&gt; .\items\materia\class0007\Necromancer77.dbr</v>
      </c>
      <c r="T79" t="str">
        <f t="shared" si="24"/>
        <v>echo augmentSkillLevel1,5, &gt;&gt; .\items\materia\class0007\Necromancer77.dbr</v>
      </c>
      <c r="U79" t="str">
        <f t="shared" si="24"/>
        <v>echo augmentSkillName1,records/skills/playerclass07/passive01.dbr, &gt;&gt; .\items\materia\class0007\Necromancer77.dbr</v>
      </c>
      <c r="V79" s="5" t="s">
        <v>36</v>
      </c>
      <c r="W79" t="str">
        <f t="shared" si="30"/>
        <v>echo lootName77,DAIL/items/materia/class0007/Necromancer77.dbr, &gt;&gt; .\items\loottables\dailoneskill0007.dbr</v>
      </c>
      <c r="X79" t="str">
        <f t="shared" si="30"/>
        <v>echo lootWeight77,1, &gt;&gt; .\items\loottables\dailoneskill0007.dbr</v>
      </c>
      <c r="Y79" s="5" t="s">
        <v>36</v>
      </c>
      <c r="Z79" t="str">
        <f t="shared" si="31"/>
        <v xml:space="preserve"> dailCompDescNecromancer77=^pNecromancer's Gift of DAIL</v>
      </c>
      <c r="AA79" t="str">
        <f t="shared" si="39"/>
        <v>dailCompTextNecromancer77=^oThis feels warm to the touch, almost familiar ^w(This component only fits into the Medal Slot)</v>
      </c>
      <c r="AB79" s="5" t="s">
        <v>36</v>
      </c>
      <c r="AH79">
        <f t="shared" si="41"/>
        <v>74</v>
      </c>
      <c r="AI79">
        <f t="shared" si="35"/>
        <v>28</v>
      </c>
      <c r="AJ79">
        <f t="shared" si="40"/>
        <v>5</v>
      </c>
    </row>
    <row r="80" spans="1:36" x14ac:dyDescent="0.25">
      <c r="A80" s="5" t="s">
        <v>39</v>
      </c>
      <c r="B80" s="5" t="s">
        <v>30</v>
      </c>
      <c r="C80" s="5" t="str">
        <f t="shared" si="25"/>
        <v>description,dailCompDescNecromancer78,</v>
      </c>
      <c r="D80" s="5" t="str">
        <f t="shared" si="26"/>
        <v>itemText,dailCompTextNecromancer78,</v>
      </c>
      <c r="E80" s="5" t="str">
        <f t="shared" si="36"/>
        <v>augmentSkillLevel1,5,</v>
      </c>
      <c r="F80" s="5" t="str">
        <f t="shared" si="37"/>
        <v>augmentSkillName1,records/skills/playerclass07/nec_tel.dbr,</v>
      </c>
      <c r="G80" s="7">
        <f t="shared" si="32"/>
        <v>78</v>
      </c>
      <c r="H80" s="8" t="str">
        <f t="shared" si="33"/>
        <v>Necromancer</v>
      </c>
      <c r="I80" s="3" t="s">
        <v>156</v>
      </c>
      <c r="J80" s="8" t="str">
        <f t="shared" si="34"/>
        <v>class0007</v>
      </c>
      <c r="K80" s="8" t="str">
        <f t="shared" si="34"/>
        <v>dailoneskill0007</v>
      </c>
      <c r="L80" s="5" t="str">
        <f t="shared" si="27"/>
        <v>lootName78,DAIL/items/materia/class0007/Necromancer78.dbr,</v>
      </c>
      <c r="M80" s="5" t="str">
        <f t="shared" si="28"/>
        <v>lootWeight78,1,</v>
      </c>
      <c r="N80" t="str">
        <f t="shared" si="29"/>
        <v>5</v>
      </c>
      <c r="O80" t="str">
        <f t="shared" si="38"/>
        <v>copy .\dail_base3.dbr .\items\materia\class0007\Necromancer78.dbr /y</v>
      </c>
      <c r="P80" t="str">
        <f t="shared" si="24"/>
        <v>echo relicBitmap,items/craftingparts/components/component_a52_bristlyfur_b.tex, &gt;&gt; .\items\materia\class0007\Necromancer78.dbr</v>
      </c>
      <c r="Q80" t="str">
        <f t="shared" si="24"/>
        <v>echo itemCost,500000, &gt;&gt; .\items\materia\class0007\Necromancer78.dbr</v>
      </c>
      <c r="R80" t="str">
        <f t="shared" si="24"/>
        <v>echo description,dailCompDescNecromancer78, &gt;&gt; .\items\materia\class0007\Necromancer78.dbr</v>
      </c>
      <c r="S80" t="str">
        <f t="shared" si="24"/>
        <v>echo itemText,dailCompTextNecromancer78, &gt;&gt; .\items\materia\class0007\Necromancer78.dbr</v>
      </c>
      <c r="T80" t="str">
        <f t="shared" si="24"/>
        <v>echo augmentSkillLevel1,5, &gt;&gt; .\items\materia\class0007\Necromancer78.dbr</v>
      </c>
      <c r="U80" t="str">
        <f t="shared" si="24"/>
        <v>echo augmentSkillName1,records/skills/playerclass07/nec_tel.dbr, &gt;&gt; .\items\materia\class0007\Necromancer78.dbr</v>
      </c>
      <c r="V80" s="5" t="s">
        <v>36</v>
      </c>
      <c r="W80" t="str">
        <f t="shared" si="30"/>
        <v>echo lootName78,DAIL/items/materia/class0007/Necromancer78.dbr, &gt;&gt; .\items\loottables\dailoneskill0007.dbr</v>
      </c>
      <c r="X80" t="str">
        <f t="shared" si="30"/>
        <v>echo lootWeight78,1, &gt;&gt; .\items\loottables\dailoneskill0007.dbr</v>
      </c>
      <c r="Y80" s="5" t="s">
        <v>36</v>
      </c>
      <c r="Z80" t="str">
        <f t="shared" si="31"/>
        <v xml:space="preserve"> dailCompDescNecromancer78=^pNecromancer's Gift of DAIL</v>
      </c>
      <c r="AA80" t="str">
        <f t="shared" si="39"/>
        <v>dailCompTextNecromancer78=^oThis feels warm to the touch, almost familiar ^w(This component only fits into the Medal Slot)</v>
      </c>
      <c r="AB80" s="5" t="s">
        <v>36</v>
      </c>
      <c r="AH80">
        <f t="shared" si="41"/>
        <v>75</v>
      </c>
      <c r="AI80">
        <f t="shared" si="35"/>
        <v>26</v>
      </c>
      <c r="AJ80">
        <f t="shared" si="40"/>
        <v>5</v>
      </c>
    </row>
    <row r="81" spans="1:36" x14ac:dyDescent="0.25">
      <c r="A81" s="5" t="s">
        <v>39</v>
      </c>
      <c r="B81" s="5" t="s">
        <v>30</v>
      </c>
      <c r="C81" s="5" t="str">
        <f t="shared" si="25"/>
        <v>description,dailCompDescNecromancer79,</v>
      </c>
      <c r="D81" s="5" t="str">
        <f t="shared" si="26"/>
        <v>itemText,dailCompTextNecromancer79,</v>
      </c>
      <c r="E81" s="5" t="str">
        <f t="shared" si="36"/>
        <v>augmentSkillLevel1,5,</v>
      </c>
      <c r="F81" s="5" t="str">
        <f t="shared" si="37"/>
        <v>augmentSkillName1,records/skills/playerclass07/passive02.dbr,</v>
      </c>
      <c r="G81" s="7">
        <f t="shared" si="32"/>
        <v>79</v>
      </c>
      <c r="H81" s="8" t="str">
        <f t="shared" si="33"/>
        <v>Necromancer</v>
      </c>
      <c r="I81" s="3" t="s">
        <v>365</v>
      </c>
      <c r="J81" s="8" t="str">
        <f t="shared" si="34"/>
        <v>class0007</v>
      </c>
      <c r="K81" s="8" t="str">
        <f t="shared" si="34"/>
        <v>dailoneskill0007</v>
      </c>
      <c r="L81" s="5" t="str">
        <f t="shared" si="27"/>
        <v>lootName79,DAIL/items/materia/class0007/Necromancer79.dbr,</v>
      </c>
      <c r="M81" s="5" t="str">
        <f t="shared" si="28"/>
        <v>lootWeight79,1,</v>
      </c>
      <c r="N81" t="str">
        <f t="shared" si="29"/>
        <v>5</v>
      </c>
      <c r="O81" t="str">
        <f t="shared" si="38"/>
        <v>copy .\dail_base3.dbr .\items\materia\class0007\Necromancer79.dbr /y</v>
      </c>
      <c r="P81" t="str">
        <f t="shared" si="24"/>
        <v>echo relicBitmap,items/craftingparts/components/component_a52_bristlyfur_b.tex, &gt;&gt; .\items\materia\class0007\Necromancer79.dbr</v>
      </c>
      <c r="Q81" t="str">
        <f t="shared" si="24"/>
        <v>echo itemCost,500000, &gt;&gt; .\items\materia\class0007\Necromancer79.dbr</v>
      </c>
      <c r="R81" t="str">
        <f t="shared" si="24"/>
        <v>echo description,dailCompDescNecromancer79, &gt;&gt; .\items\materia\class0007\Necromancer79.dbr</v>
      </c>
      <c r="S81" t="str">
        <f t="shared" si="24"/>
        <v>echo itemText,dailCompTextNecromancer79, &gt;&gt; .\items\materia\class0007\Necromancer79.dbr</v>
      </c>
      <c r="T81" t="str">
        <f t="shared" si="24"/>
        <v>echo augmentSkillLevel1,5, &gt;&gt; .\items\materia\class0007\Necromancer79.dbr</v>
      </c>
      <c r="U81" t="str">
        <f t="shared" si="24"/>
        <v>echo augmentSkillName1,records/skills/playerclass07/passive02.dbr, &gt;&gt; .\items\materia\class0007\Necromancer79.dbr</v>
      </c>
      <c r="V81" s="5" t="s">
        <v>36</v>
      </c>
      <c r="W81" t="str">
        <f t="shared" si="30"/>
        <v>echo lootName79,DAIL/items/materia/class0007/Necromancer79.dbr, &gt;&gt; .\items\loottables\dailoneskill0007.dbr</v>
      </c>
      <c r="X81" t="str">
        <f t="shared" si="30"/>
        <v>echo lootWeight79,1, &gt;&gt; .\items\loottables\dailoneskill0007.dbr</v>
      </c>
      <c r="Y81" s="5" t="s">
        <v>36</v>
      </c>
      <c r="Z81" t="str">
        <f t="shared" si="31"/>
        <v xml:space="preserve"> dailCompDescNecromancer79=^pNecromancer's Gift of DAIL</v>
      </c>
      <c r="AA81" t="str">
        <f t="shared" si="39"/>
        <v>dailCompTextNecromancer79=^oThis feels warm to the touch, almost familiar ^w(This component only fits into the Medal Slot)</v>
      </c>
      <c r="AB81" s="5" t="s">
        <v>36</v>
      </c>
      <c r="AH81">
        <f t="shared" si="41"/>
        <v>76</v>
      </c>
      <c r="AI81">
        <f t="shared" si="35"/>
        <v>28</v>
      </c>
      <c r="AJ81">
        <f t="shared" si="40"/>
        <v>5</v>
      </c>
    </row>
    <row r="82" spans="1:36" x14ac:dyDescent="0.25">
      <c r="A82" s="5" t="s">
        <v>39</v>
      </c>
      <c r="B82" s="5" t="s">
        <v>30</v>
      </c>
      <c r="C82" s="5" t="str">
        <f t="shared" si="25"/>
        <v>description,dailCompDescNecromancer80,</v>
      </c>
      <c r="D82" s="5" t="str">
        <f t="shared" si="26"/>
        <v>itemText,dailCompTextNecromancer80,</v>
      </c>
      <c r="E82" s="5" t="str">
        <f t="shared" si="36"/>
        <v>augmentSkillLevel1,5,</v>
      </c>
      <c r="F82" s="5" t="str">
        <f t="shared" si="37"/>
        <v>augmentSkillName1,records/skills/playerclass07/passive03.dbr,</v>
      </c>
      <c r="G82" s="7">
        <f t="shared" si="32"/>
        <v>80</v>
      </c>
      <c r="H82" s="8" t="str">
        <f t="shared" si="33"/>
        <v>Necromancer</v>
      </c>
      <c r="I82" s="3" t="s">
        <v>366</v>
      </c>
      <c r="J82" s="8" t="str">
        <f t="shared" si="34"/>
        <v>class0007</v>
      </c>
      <c r="K82" s="8" t="str">
        <f t="shared" si="34"/>
        <v>dailoneskill0007</v>
      </c>
      <c r="L82" s="5" t="str">
        <f t="shared" si="27"/>
        <v>lootName80,DAIL/items/materia/class0007/Necromancer80.dbr,</v>
      </c>
      <c r="M82" s="5" t="str">
        <f t="shared" si="28"/>
        <v>lootWeight80,1,</v>
      </c>
      <c r="N82" t="str">
        <f t="shared" si="29"/>
        <v>5</v>
      </c>
      <c r="O82" t="str">
        <f t="shared" si="38"/>
        <v>copy .\dail_base3.dbr .\items\materia\class0007\Necromancer80.dbr /y</v>
      </c>
      <c r="P82" t="str">
        <f t="shared" si="24"/>
        <v>echo relicBitmap,items/craftingparts/components/component_a52_bristlyfur_b.tex, &gt;&gt; .\items\materia\class0007\Necromancer80.dbr</v>
      </c>
      <c r="Q82" t="str">
        <f t="shared" si="24"/>
        <v>echo itemCost,500000, &gt;&gt; .\items\materia\class0007\Necromancer80.dbr</v>
      </c>
      <c r="R82" t="str">
        <f t="shared" si="24"/>
        <v>echo description,dailCompDescNecromancer80, &gt;&gt; .\items\materia\class0007\Necromancer80.dbr</v>
      </c>
      <c r="S82" t="str">
        <f t="shared" si="24"/>
        <v>echo itemText,dailCompTextNecromancer80, &gt;&gt; .\items\materia\class0007\Necromancer80.dbr</v>
      </c>
      <c r="T82" t="str">
        <f t="shared" si="24"/>
        <v>echo augmentSkillLevel1,5, &gt;&gt; .\items\materia\class0007\Necromancer80.dbr</v>
      </c>
      <c r="U82" t="str">
        <f t="shared" si="24"/>
        <v>echo augmentSkillName1,records/skills/playerclass07/passive03.dbr, &gt;&gt; .\items\materia\class0007\Necromancer80.dbr</v>
      </c>
      <c r="V82" s="5" t="s">
        <v>36</v>
      </c>
      <c r="W82" t="str">
        <f t="shared" si="30"/>
        <v>echo lootName80,DAIL/items/materia/class0007/Necromancer80.dbr, &gt;&gt; .\items\loottables\dailoneskill0007.dbr</v>
      </c>
      <c r="X82" t="str">
        <f t="shared" si="30"/>
        <v>echo lootWeight80,1, &gt;&gt; .\items\loottables\dailoneskill0007.dbr</v>
      </c>
      <c r="Y82" s="5" t="s">
        <v>36</v>
      </c>
      <c r="Z82" t="str">
        <f t="shared" si="31"/>
        <v xml:space="preserve"> dailCompDescNecromancer80=^pNecromancer's Gift of DAIL</v>
      </c>
      <c r="AA82" t="str">
        <f t="shared" si="39"/>
        <v>dailCompTextNecromancer80=^oThis feels warm to the touch, almost familiar ^w(This component only fits into the Medal Slot)</v>
      </c>
      <c r="AB82" s="5" t="s">
        <v>36</v>
      </c>
      <c r="AH82">
        <f t="shared" si="41"/>
        <v>77</v>
      </c>
      <c r="AI82">
        <f t="shared" si="35"/>
        <v>28</v>
      </c>
      <c r="AJ82">
        <f t="shared" si="40"/>
        <v>5</v>
      </c>
    </row>
    <row r="83" spans="1:36" x14ac:dyDescent="0.25">
      <c r="A83" s="5" t="s">
        <v>39</v>
      </c>
      <c r="B83" s="5" t="s">
        <v>30</v>
      </c>
      <c r="C83" s="5" t="str">
        <f t="shared" si="25"/>
        <v>description,dailCompDescNecromancer81,</v>
      </c>
      <c r="D83" s="5" t="str">
        <f t="shared" si="26"/>
        <v>itemText,dailCompTextNecromancer81,</v>
      </c>
      <c r="E83" s="5" t="str">
        <f t="shared" si="36"/>
        <v>augmentSkillLevel1,5,</v>
      </c>
      <c r="F83" s="5" t="str">
        <f t="shared" si="37"/>
        <v>augmentSkillName1,records/skills/playerclass07/passive04.dbr,</v>
      </c>
      <c r="G83" s="7">
        <f t="shared" si="32"/>
        <v>81</v>
      </c>
      <c r="H83" s="8" t="str">
        <f t="shared" si="33"/>
        <v>Necromancer</v>
      </c>
      <c r="I83" s="3" t="s">
        <v>367</v>
      </c>
      <c r="J83" s="8" t="str">
        <f t="shared" si="34"/>
        <v>class0007</v>
      </c>
      <c r="K83" s="8" t="str">
        <f t="shared" si="34"/>
        <v>dailoneskill0007</v>
      </c>
      <c r="L83" s="5" t="str">
        <f t="shared" si="27"/>
        <v>lootName81,DAIL/items/materia/class0007/Necromancer81.dbr,</v>
      </c>
      <c r="M83" s="5" t="str">
        <f t="shared" si="28"/>
        <v>lootWeight81,1,</v>
      </c>
      <c r="N83" t="str">
        <f t="shared" si="29"/>
        <v>5</v>
      </c>
      <c r="O83" t="str">
        <f t="shared" si="38"/>
        <v>copy .\dail_base3.dbr .\items\materia\class0007\Necromancer81.dbr /y</v>
      </c>
      <c r="P83" t="str">
        <f t="shared" si="24"/>
        <v>echo relicBitmap,items/craftingparts/components/component_a52_bristlyfur_b.tex, &gt;&gt; .\items\materia\class0007\Necromancer81.dbr</v>
      </c>
      <c r="Q83" t="str">
        <f t="shared" si="24"/>
        <v>echo itemCost,500000, &gt;&gt; .\items\materia\class0007\Necromancer81.dbr</v>
      </c>
      <c r="R83" t="str">
        <f t="shared" si="24"/>
        <v>echo description,dailCompDescNecromancer81, &gt;&gt; .\items\materia\class0007\Necromancer81.dbr</v>
      </c>
      <c r="S83" t="str">
        <f t="shared" si="24"/>
        <v>echo itemText,dailCompTextNecromancer81, &gt;&gt; .\items\materia\class0007\Necromancer81.dbr</v>
      </c>
      <c r="T83" t="str">
        <f t="shared" si="24"/>
        <v>echo augmentSkillLevel1,5, &gt;&gt; .\items\materia\class0007\Necromancer81.dbr</v>
      </c>
      <c r="U83" t="str">
        <f t="shared" si="24"/>
        <v>echo augmentSkillName1,records/skills/playerclass07/passive04.dbr, &gt;&gt; .\items\materia\class0007\Necromancer81.dbr</v>
      </c>
      <c r="V83" s="5" t="s">
        <v>36</v>
      </c>
      <c r="W83" t="str">
        <f t="shared" si="30"/>
        <v>echo lootName81,DAIL/items/materia/class0007/Necromancer81.dbr, &gt;&gt; .\items\loottables\dailoneskill0007.dbr</v>
      </c>
      <c r="X83" t="str">
        <f t="shared" si="30"/>
        <v>echo lootWeight81,1, &gt;&gt; .\items\loottables\dailoneskill0007.dbr</v>
      </c>
      <c r="Y83" s="5" t="s">
        <v>36</v>
      </c>
      <c r="Z83" t="str">
        <f t="shared" si="31"/>
        <v xml:space="preserve"> dailCompDescNecromancer81=^pNecromancer's Gift of DAIL</v>
      </c>
      <c r="AA83" t="str">
        <f t="shared" si="39"/>
        <v>dailCompTextNecromancer81=^oThis feels warm to the touch, almost familiar ^w(This component only fits into the Medal Slot)</v>
      </c>
      <c r="AB83" s="5" t="s">
        <v>36</v>
      </c>
      <c r="AH83">
        <f t="shared" si="41"/>
        <v>78</v>
      </c>
      <c r="AI83">
        <f t="shared" si="35"/>
        <v>28</v>
      </c>
      <c r="AJ83">
        <f t="shared" si="40"/>
        <v>5</v>
      </c>
    </row>
    <row r="84" spans="1:36" x14ac:dyDescent="0.25">
      <c r="A84" s="5" t="s">
        <v>39</v>
      </c>
      <c r="B84" s="5" t="s">
        <v>30</v>
      </c>
      <c r="C84" s="5" t="str">
        <f t="shared" si="25"/>
        <v>description,dailCompDescNecromancer82,</v>
      </c>
      <c r="D84" s="5" t="str">
        <f t="shared" si="26"/>
        <v>itemText,dailCompTextNecromancer82,</v>
      </c>
      <c r="E84" s="5" t="str">
        <f t="shared" si="36"/>
        <v>augmentSkillLevel1,5,</v>
      </c>
      <c r="F84" s="5" t="str">
        <f t="shared" si="37"/>
        <v>augmentSkillName1,records/skills/playerclass07/summon_ske.dbr,</v>
      </c>
      <c r="G84" s="7">
        <f t="shared" si="32"/>
        <v>82</v>
      </c>
      <c r="H84" s="8" t="str">
        <f t="shared" si="33"/>
        <v>Necromancer</v>
      </c>
      <c r="I84" s="3" t="s">
        <v>157</v>
      </c>
      <c r="J84" s="8" t="str">
        <f t="shared" si="34"/>
        <v>class0007</v>
      </c>
      <c r="K84" s="8" t="str">
        <f t="shared" si="34"/>
        <v>dailoneskill0007</v>
      </c>
      <c r="L84" s="5" t="str">
        <f t="shared" si="27"/>
        <v>lootName82,DAIL/items/materia/class0007/Necromancer82.dbr,</v>
      </c>
      <c r="M84" s="5" t="str">
        <f t="shared" si="28"/>
        <v>lootWeight82,1,</v>
      </c>
      <c r="N84" t="str">
        <f t="shared" si="29"/>
        <v>5</v>
      </c>
      <c r="O84" t="str">
        <f t="shared" si="38"/>
        <v>copy .\dail_base3.dbr .\items\materia\class0007\Necromancer82.dbr /y</v>
      </c>
      <c r="P84" t="str">
        <f t="shared" si="24"/>
        <v>echo relicBitmap,items/craftingparts/components/component_a52_bristlyfur_b.tex, &gt;&gt; .\items\materia\class0007\Necromancer82.dbr</v>
      </c>
      <c r="Q84" t="str">
        <f t="shared" si="24"/>
        <v>echo itemCost,500000, &gt;&gt; .\items\materia\class0007\Necromancer82.dbr</v>
      </c>
      <c r="R84" t="str">
        <f t="shared" si="24"/>
        <v>echo description,dailCompDescNecromancer82, &gt;&gt; .\items\materia\class0007\Necromancer82.dbr</v>
      </c>
      <c r="S84" t="str">
        <f t="shared" si="24"/>
        <v>echo itemText,dailCompTextNecromancer82, &gt;&gt; .\items\materia\class0007\Necromancer82.dbr</v>
      </c>
      <c r="T84" t="str">
        <f t="shared" si="24"/>
        <v>echo augmentSkillLevel1,5, &gt;&gt; .\items\materia\class0007\Necromancer82.dbr</v>
      </c>
      <c r="U84" t="str">
        <f t="shared" si="24"/>
        <v>echo augmentSkillName1,records/skills/playerclass07/summon_ske.dbr, &gt;&gt; .\items\materia\class0007\Necromancer82.dbr</v>
      </c>
      <c r="V84" s="5" t="s">
        <v>36</v>
      </c>
      <c r="W84" t="str">
        <f t="shared" si="30"/>
        <v>echo lootName82,DAIL/items/materia/class0007/Necromancer82.dbr, &gt;&gt; .\items\loottables\dailoneskill0007.dbr</v>
      </c>
      <c r="X84" t="str">
        <f t="shared" si="30"/>
        <v>echo lootWeight82,1, &gt;&gt; .\items\loottables\dailoneskill0007.dbr</v>
      </c>
      <c r="Y84" s="5" t="s">
        <v>36</v>
      </c>
      <c r="Z84" t="str">
        <f t="shared" si="31"/>
        <v xml:space="preserve"> dailCompDescNecromancer82=^pNecromancer's Gift of DAIL</v>
      </c>
      <c r="AA84" t="str">
        <f t="shared" si="39"/>
        <v>dailCompTextNecromancer82=^oThis feels warm to the touch, almost familiar ^w(This component only fits into the Medal Slot)</v>
      </c>
      <c r="AB84" s="5" t="s">
        <v>36</v>
      </c>
      <c r="AH84">
        <f t="shared" si="41"/>
        <v>79</v>
      </c>
      <c r="AI84">
        <f t="shared" si="35"/>
        <v>29</v>
      </c>
      <c r="AJ84">
        <f t="shared" si="40"/>
        <v>5</v>
      </c>
    </row>
    <row r="85" spans="1:36" x14ac:dyDescent="0.25">
      <c r="A85" s="5" t="s">
        <v>39</v>
      </c>
      <c r="B85" s="5" t="s">
        <v>30</v>
      </c>
      <c r="C85" s="5" t="str">
        <f t="shared" si="25"/>
        <v>description,dailCompDescNecromancer83,</v>
      </c>
      <c r="D85" s="5" t="str">
        <f t="shared" si="26"/>
        <v>itemText,dailCompTextNecromancer83,</v>
      </c>
      <c r="E85" s="5" t="str">
        <f t="shared" si="36"/>
        <v>augmentSkillLevel1,5,</v>
      </c>
      <c r="F85" s="5" t="str">
        <f t="shared" si="37"/>
        <v>augmentSkillName1,records/skills/playerclass07/summon_ske_abi.dbr,</v>
      </c>
      <c r="G85" s="7">
        <f t="shared" si="32"/>
        <v>83</v>
      </c>
      <c r="H85" s="8" t="str">
        <f t="shared" si="33"/>
        <v>Necromancer</v>
      </c>
      <c r="I85" s="3" t="s">
        <v>158</v>
      </c>
      <c r="J85" s="8" t="str">
        <f t="shared" ref="J85:K100" si="42">J84</f>
        <v>class0007</v>
      </c>
      <c r="K85" s="8" t="str">
        <f t="shared" si="42"/>
        <v>dailoneskill0007</v>
      </c>
      <c r="L85" s="5" t="str">
        <f t="shared" si="27"/>
        <v>lootName83,DAIL/items/materia/class0007/Necromancer83.dbr,</v>
      </c>
      <c r="M85" s="5" t="str">
        <f t="shared" si="28"/>
        <v>lootWeight83,1,</v>
      </c>
      <c r="N85" t="str">
        <f t="shared" si="29"/>
        <v>5</v>
      </c>
      <c r="O85" t="str">
        <f t="shared" si="38"/>
        <v>copy .\dail_base3.dbr .\items\materia\class0007\Necromancer83.dbr /y</v>
      </c>
      <c r="P85" t="str">
        <f t="shared" si="24"/>
        <v>echo relicBitmap,items/craftingparts/components/component_a52_bristlyfur_b.tex, &gt;&gt; .\items\materia\class0007\Necromancer83.dbr</v>
      </c>
      <c r="Q85" t="str">
        <f t="shared" si="24"/>
        <v>echo itemCost,500000, &gt;&gt; .\items\materia\class0007\Necromancer83.dbr</v>
      </c>
      <c r="R85" t="str">
        <f t="shared" si="24"/>
        <v>echo description,dailCompDescNecromancer83, &gt;&gt; .\items\materia\class0007\Necromancer83.dbr</v>
      </c>
      <c r="S85" t="str">
        <f t="shared" si="24"/>
        <v>echo itemText,dailCompTextNecromancer83, &gt;&gt; .\items\materia\class0007\Necromancer83.dbr</v>
      </c>
      <c r="T85" t="str">
        <f t="shared" si="24"/>
        <v>echo augmentSkillLevel1,5, &gt;&gt; .\items\materia\class0007\Necromancer83.dbr</v>
      </c>
      <c r="U85" t="str">
        <f t="shared" si="24"/>
        <v>echo augmentSkillName1,records/skills/playerclass07/summon_ske_abi.dbr, &gt;&gt; .\items\materia\class0007\Necromancer83.dbr</v>
      </c>
      <c r="V85" s="5" t="s">
        <v>36</v>
      </c>
      <c r="W85" t="str">
        <f t="shared" si="30"/>
        <v>echo lootName83,DAIL/items/materia/class0007/Necromancer83.dbr, &gt;&gt; .\items\loottables\dailoneskill0007.dbr</v>
      </c>
      <c r="X85" t="str">
        <f t="shared" si="30"/>
        <v>echo lootWeight83,1, &gt;&gt; .\items\loottables\dailoneskill0007.dbr</v>
      </c>
      <c r="Y85" s="5" t="s">
        <v>36</v>
      </c>
      <c r="Z85" t="str">
        <f t="shared" si="31"/>
        <v xml:space="preserve"> dailCompDescNecromancer83=^pNecromancer's Gift of DAIL</v>
      </c>
      <c r="AA85" t="str">
        <f t="shared" si="39"/>
        <v>dailCompTextNecromancer83=^oThis feels warm to the touch, almost familiar ^w(This component only fits into the Medal Slot)</v>
      </c>
      <c r="AB85" s="5" t="s">
        <v>36</v>
      </c>
      <c r="AH85">
        <f t="shared" si="41"/>
        <v>80</v>
      </c>
      <c r="AI85">
        <f t="shared" si="35"/>
        <v>33</v>
      </c>
      <c r="AJ85">
        <f t="shared" si="40"/>
        <v>5</v>
      </c>
    </row>
    <row r="86" spans="1:36" x14ac:dyDescent="0.25">
      <c r="A86" s="5" t="s">
        <v>39</v>
      </c>
      <c r="B86" s="5" t="s">
        <v>30</v>
      </c>
      <c r="C86" s="5" t="str">
        <f t="shared" si="25"/>
        <v>description,dailCompDescNecromancer84,</v>
      </c>
      <c r="D86" s="5" t="str">
        <f t="shared" si="26"/>
        <v>itemText,dailCompTextNecromancer84,</v>
      </c>
      <c r="E86" s="5" t="str">
        <f t="shared" si="36"/>
        <v>augmentSkillLevel1,5,</v>
      </c>
      <c r="F86" s="5" t="str">
        <f t="shared" si="37"/>
        <v>augmentSkillName1,records/skills/playerclass07/summon_ske_ut.dbr,</v>
      </c>
      <c r="G86" s="7">
        <f t="shared" si="32"/>
        <v>84</v>
      </c>
      <c r="H86" s="8" t="str">
        <f t="shared" si="33"/>
        <v>Necromancer</v>
      </c>
      <c r="I86" s="3" t="s">
        <v>161</v>
      </c>
      <c r="J86" s="8" t="str">
        <f t="shared" si="42"/>
        <v>class0007</v>
      </c>
      <c r="K86" s="8" t="str">
        <f t="shared" si="42"/>
        <v>dailoneskill0007</v>
      </c>
      <c r="L86" s="5" t="str">
        <f t="shared" si="27"/>
        <v>lootName84,DAIL/items/materia/class0007/Necromancer84.dbr,</v>
      </c>
      <c r="M86" s="5" t="str">
        <f t="shared" si="28"/>
        <v>lootWeight84,1,</v>
      </c>
      <c r="N86" t="str">
        <f t="shared" si="29"/>
        <v>5</v>
      </c>
      <c r="O86" t="str">
        <f t="shared" si="38"/>
        <v>copy .\dail_base3.dbr .\items\materia\class0007\Necromancer84.dbr /y</v>
      </c>
      <c r="P86" t="str">
        <f t="shared" si="24"/>
        <v>echo relicBitmap,items/craftingparts/components/component_a52_bristlyfur_b.tex, &gt;&gt; .\items\materia\class0007\Necromancer84.dbr</v>
      </c>
      <c r="Q86" t="str">
        <f t="shared" si="24"/>
        <v>echo itemCost,500000, &gt;&gt; .\items\materia\class0007\Necromancer84.dbr</v>
      </c>
      <c r="R86" t="str">
        <f t="shared" si="24"/>
        <v>echo description,dailCompDescNecromancer84, &gt;&gt; .\items\materia\class0007\Necromancer84.dbr</v>
      </c>
      <c r="S86" t="str">
        <f t="shared" si="24"/>
        <v>echo itemText,dailCompTextNecromancer84, &gt;&gt; .\items\materia\class0007\Necromancer84.dbr</v>
      </c>
      <c r="T86" t="str">
        <f t="shared" si="24"/>
        <v>echo augmentSkillLevel1,5, &gt;&gt; .\items\materia\class0007\Necromancer84.dbr</v>
      </c>
      <c r="U86" t="str">
        <f t="shared" si="24"/>
        <v>echo augmentSkillName1,records/skills/playerclass07/summon_ske_ut.dbr, &gt;&gt; .\items\materia\class0007\Necromancer84.dbr</v>
      </c>
      <c r="V86" s="5" t="s">
        <v>36</v>
      </c>
      <c r="W86" t="str">
        <f t="shared" si="30"/>
        <v>echo lootName84,DAIL/items/materia/class0007/Necromancer84.dbr, &gt;&gt; .\items\loottables\dailoneskill0007.dbr</v>
      </c>
      <c r="X86" t="str">
        <f t="shared" si="30"/>
        <v>echo lootWeight84,1, &gt;&gt; .\items\loottables\dailoneskill0007.dbr</v>
      </c>
      <c r="Y86" s="5" t="s">
        <v>36</v>
      </c>
      <c r="Z86" t="str">
        <f t="shared" si="31"/>
        <v xml:space="preserve"> dailCompDescNecromancer84=^pNecromancer's Gift of DAIL</v>
      </c>
      <c r="AA86" t="str">
        <f t="shared" si="39"/>
        <v>dailCompTextNecromancer84=^oThis feels warm to the touch, almost familiar ^w(This component only fits into the Medal Slot)</v>
      </c>
      <c r="AB86" s="5" t="s">
        <v>36</v>
      </c>
      <c r="AH86">
        <f t="shared" si="41"/>
        <v>81</v>
      </c>
      <c r="AI86">
        <f t="shared" si="35"/>
        <v>32</v>
      </c>
      <c r="AJ86">
        <f t="shared" si="40"/>
        <v>5</v>
      </c>
    </row>
    <row r="87" spans="1:36" x14ac:dyDescent="0.25">
      <c r="A87" s="5" t="s">
        <v>39</v>
      </c>
      <c r="B87" s="5" t="s">
        <v>30</v>
      </c>
      <c r="C87" s="5" t="str">
        <f t="shared" si="25"/>
        <v>description,dailCompDescNecromancer85,</v>
      </c>
      <c r="D87" s="5" t="str">
        <f t="shared" si="26"/>
        <v>itemText,dailCompTextNecromancer85,</v>
      </c>
      <c r="E87" s="5" t="str">
        <f t="shared" si="36"/>
        <v>augmentSkillLevel1,5,</v>
      </c>
      <c r="F87" s="5" t="str">
        <f t="shared" si="37"/>
        <v>augmentSkillName1,records/skills/playerclass07/summon_ske_dy.dbr,</v>
      </c>
      <c r="G87" s="7">
        <f t="shared" si="32"/>
        <v>85</v>
      </c>
      <c r="H87" s="8" t="str">
        <f t="shared" si="33"/>
        <v>Necromancer</v>
      </c>
      <c r="I87" s="3" t="s">
        <v>159</v>
      </c>
      <c r="J87" s="8" t="str">
        <f t="shared" si="42"/>
        <v>class0007</v>
      </c>
      <c r="K87" s="8" t="str">
        <f t="shared" si="42"/>
        <v>dailoneskill0007</v>
      </c>
      <c r="L87" s="5" t="str">
        <f t="shared" si="27"/>
        <v>lootName85,DAIL/items/materia/class0007/Necromancer85.dbr,</v>
      </c>
      <c r="M87" s="5" t="str">
        <f t="shared" si="28"/>
        <v>lootWeight85,1,</v>
      </c>
      <c r="N87" t="str">
        <f t="shared" si="29"/>
        <v>5</v>
      </c>
      <c r="O87" t="str">
        <f t="shared" si="38"/>
        <v>copy .\dail_base3.dbr .\items\materia\class0007\Necromancer85.dbr /y</v>
      </c>
      <c r="P87" t="str">
        <f t="shared" si="24"/>
        <v>echo relicBitmap,items/craftingparts/components/component_a52_bristlyfur_b.tex, &gt;&gt; .\items\materia\class0007\Necromancer85.dbr</v>
      </c>
      <c r="Q87" t="str">
        <f t="shared" si="24"/>
        <v>echo itemCost,500000, &gt;&gt; .\items\materia\class0007\Necromancer85.dbr</v>
      </c>
      <c r="R87" t="str">
        <f t="shared" si="24"/>
        <v>echo description,dailCompDescNecromancer85, &gt;&gt; .\items\materia\class0007\Necromancer85.dbr</v>
      </c>
      <c r="S87" t="str">
        <f t="shared" si="24"/>
        <v>echo itemText,dailCompTextNecromancer85, &gt;&gt; .\items\materia\class0007\Necromancer85.dbr</v>
      </c>
      <c r="T87" t="str">
        <f t="shared" si="24"/>
        <v>echo augmentSkillLevel1,5, &gt;&gt; .\items\materia\class0007\Necromancer85.dbr</v>
      </c>
      <c r="U87" t="str">
        <f t="shared" si="24"/>
        <v>echo augmentSkillName1,records/skills/playerclass07/summon_ske_dy.dbr, &gt;&gt; .\items\materia\class0007\Necromancer85.dbr</v>
      </c>
      <c r="V87" s="5" t="s">
        <v>36</v>
      </c>
      <c r="W87" t="str">
        <f t="shared" si="30"/>
        <v>echo lootName85,DAIL/items/materia/class0007/Necromancer85.dbr, &gt;&gt; .\items\loottables\dailoneskill0007.dbr</v>
      </c>
      <c r="X87" t="str">
        <f t="shared" si="30"/>
        <v>echo lootWeight85,1, &gt;&gt; .\items\loottables\dailoneskill0007.dbr</v>
      </c>
      <c r="Y87" s="5" t="s">
        <v>36</v>
      </c>
      <c r="Z87" t="str">
        <f t="shared" si="31"/>
        <v xml:space="preserve"> dailCompDescNecromancer85=^pNecromancer's Gift of DAIL</v>
      </c>
      <c r="AA87" t="str">
        <f t="shared" si="39"/>
        <v>dailCompTextNecromancer85=^oThis feels warm to the touch, almost familiar ^w(This component only fits into the Medal Slot)</v>
      </c>
      <c r="AB87" s="5" t="s">
        <v>36</v>
      </c>
      <c r="AH87">
        <f t="shared" si="41"/>
        <v>82</v>
      </c>
      <c r="AI87">
        <f t="shared" si="35"/>
        <v>32</v>
      </c>
      <c r="AJ87">
        <f t="shared" si="40"/>
        <v>5</v>
      </c>
    </row>
    <row r="88" spans="1:36" x14ac:dyDescent="0.25">
      <c r="A88" s="5" t="s">
        <v>39</v>
      </c>
      <c r="B88" s="5" t="s">
        <v>30</v>
      </c>
      <c r="C88" s="5" t="str">
        <f t="shared" si="25"/>
        <v>description,dailCompDescNecromancer86,</v>
      </c>
      <c r="D88" s="5" t="str">
        <f t="shared" si="26"/>
        <v>itemText,dailCompTextNecromancer86,</v>
      </c>
      <c r="E88" s="5" t="str">
        <f t="shared" si="36"/>
        <v>augmentSkillLevel1,5,</v>
      </c>
      <c r="F88" s="5" t="str">
        <f t="shared" si="37"/>
        <v>augmentSkillName1,records/skills/playerclass07/summon_ske_tra.dbr,</v>
      </c>
      <c r="G88" s="7">
        <f t="shared" si="32"/>
        <v>86</v>
      </c>
      <c r="H88" s="8" t="str">
        <f t="shared" si="33"/>
        <v>Necromancer</v>
      </c>
      <c r="I88" s="3" t="s">
        <v>160</v>
      </c>
      <c r="J88" s="8" t="str">
        <f t="shared" si="42"/>
        <v>class0007</v>
      </c>
      <c r="K88" s="8" t="str">
        <f t="shared" si="42"/>
        <v>dailoneskill0007</v>
      </c>
      <c r="L88" s="5" t="str">
        <f t="shared" si="27"/>
        <v>lootName86,DAIL/items/materia/class0007/Necromancer86.dbr,</v>
      </c>
      <c r="M88" s="5" t="str">
        <f t="shared" si="28"/>
        <v>lootWeight86,1,</v>
      </c>
      <c r="N88" t="str">
        <f t="shared" si="29"/>
        <v>5</v>
      </c>
      <c r="O88" t="str">
        <f t="shared" si="38"/>
        <v>copy .\dail_base3.dbr .\items\materia\class0007\Necromancer86.dbr /y</v>
      </c>
      <c r="P88" t="str">
        <f t="shared" si="24"/>
        <v>echo relicBitmap,items/craftingparts/components/component_a52_bristlyfur_b.tex, &gt;&gt; .\items\materia\class0007\Necromancer86.dbr</v>
      </c>
      <c r="Q88" t="str">
        <f t="shared" si="24"/>
        <v>echo itemCost,500000, &gt;&gt; .\items\materia\class0007\Necromancer86.dbr</v>
      </c>
      <c r="R88" t="str">
        <f t="shared" si="24"/>
        <v>echo description,dailCompDescNecromancer86, &gt;&gt; .\items\materia\class0007\Necromancer86.dbr</v>
      </c>
      <c r="S88" t="str">
        <f t="shared" si="24"/>
        <v>echo itemText,dailCompTextNecromancer86, &gt;&gt; .\items\materia\class0007\Necromancer86.dbr</v>
      </c>
      <c r="T88" t="str">
        <f t="shared" si="24"/>
        <v>echo augmentSkillLevel1,5, &gt;&gt; .\items\materia\class0007\Necromancer86.dbr</v>
      </c>
      <c r="U88" t="str">
        <f t="shared" si="24"/>
        <v>echo augmentSkillName1,records/skills/playerclass07/summon_ske_tra.dbr, &gt;&gt; .\items\materia\class0007\Necromancer86.dbr</v>
      </c>
      <c r="V88" s="5" t="s">
        <v>36</v>
      </c>
      <c r="W88" t="str">
        <f t="shared" si="30"/>
        <v>echo lootName86,DAIL/items/materia/class0007/Necromancer86.dbr, &gt;&gt; .\items\loottables\dailoneskill0007.dbr</v>
      </c>
      <c r="X88" t="str">
        <f t="shared" si="30"/>
        <v>echo lootWeight86,1, &gt;&gt; .\items\loottables\dailoneskill0007.dbr</v>
      </c>
      <c r="Y88" s="5" t="s">
        <v>36</v>
      </c>
      <c r="Z88" t="str">
        <f t="shared" si="31"/>
        <v xml:space="preserve"> dailCompDescNecromancer86=^pNecromancer's Gift of DAIL</v>
      </c>
      <c r="AA88" t="str">
        <f t="shared" si="39"/>
        <v>dailCompTextNecromancer86=^oThis feels warm to the touch, almost familiar ^w(This component only fits into the Medal Slot)</v>
      </c>
      <c r="AB88" s="5" t="s">
        <v>36</v>
      </c>
      <c r="AH88">
        <f t="shared" si="41"/>
        <v>83</v>
      </c>
      <c r="AI88">
        <f t="shared" si="35"/>
        <v>33</v>
      </c>
      <c r="AJ88">
        <f t="shared" si="40"/>
        <v>5</v>
      </c>
    </row>
    <row r="89" spans="1:36" x14ac:dyDescent="0.25">
      <c r="A89" s="5" t="s">
        <v>39</v>
      </c>
      <c r="B89" s="5" t="s">
        <v>30</v>
      </c>
      <c r="C89" s="5" t="str">
        <f t="shared" si="25"/>
        <v>description,dailCompDescNecromancer87,</v>
      </c>
      <c r="D89" s="5" t="str">
        <f t="shared" si="26"/>
        <v>itemText,dailCompTextNecromancer87,</v>
      </c>
      <c r="E89" s="5" t="str">
        <f t="shared" si="36"/>
        <v>augmentSkillLevel1,5,</v>
      </c>
      <c r="F89" s="5" t="str">
        <f t="shared" si="37"/>
        <v>augmentSkillName1,records/skills/playerclass07/ult.dbr,</v>
      </c>
      <c r="G89" s="7">
        <f t="shared" si="32"/>
        <v>87</v>
      </c>
      <c r="H89" s="8" t="str">
        <f t="shared" si="33"/>
        <v>Necromancer</v>
      </c>
      <c r="I89" s="3" t="s">
        <v>162</v>
      </c>
      <c r="J89" s="8" t="str">
        <f t="shared" si="42"/>
        <v>class0007</v>
      </c>
      <c r="K89" s="8" t="str">
        <f t="shared" si="42"/>
        <v>dailoneskill0007</v>
      </c>
      <c r="L89" s="5" t="str">
        <f t="shared" si="27"/>
        <v>lootName87,DAIL/items/materia/class0007/Necromancer87.dbr,</v>
      </c>
      <c r="M89" s="5" t="str">
        <f t="shared" si="28"/>
        <v>lootWeight87,1,</v>
      </c>
      <c r="N89" t="str">
        <f t="shared" si="29"/>
        <v>5</v>
      </c>
      <c r="O89" t="str">
        <f t="shared" si="38"/>
        <v>copy .\dail_base3.dbr .\items\materia\class0007\Necromancer87.dbr /y</v>
      </c>
      <c r="P89" t="str">
        <f t="shared" si="24"/>
        <v>echo relicBitmap,items/craftingparts/components/component_a52_bristlyfur_b.tex, &gt;&gt; .\items\materia\class0007\Necromancer87.dbr</v>
      </c>
      <c r="Q89" t="str">
        <f t="shared" si="24"/>
        <v>echo itemCost,500000, &gt;&gt; .\items\materia\class0007\Necromancer87.dbr</v>
      </c>
      <c r="R89" t="str">
        <f t="shared" si="24"/>
        <v>echo description,dailCompDescNecromancer87, &gt;&gt; .\items\materia\class0007\Necromancer87.dbr</v>
      </c>
      <c r="S89" t="str">
        <f t="shared" si="24"/>
        <v>echo itemText,dailCompTextNecromancer87, &gt;&gt; .\items\materia\class0007\Necromancer87.dbr</v>
      </c>
      <c r="T89" t="str">
        <f t="shared" si="24"/>
        <v>echo augmentSkillLevel1,5, &gt;&gt; .\items\materia\class0007\Necromancer87.dbr</v>
      </c>
      <c r="U89" t="str">
        <f t="shared" si="24"/>
        <v>echo augmentSkillName1,records/skills/playerclass07/ult.dbr, &gt;&gt; .\items\materia\class0007\Necromancer87.dbr</v>
      </c>
      <c r="V89" s="5" t="s">
        <v>36</v>
      </c>
      <c r="W89" t="str">
        <f t="shared" si="30"/>
        <v>echo lootName87,DAIL/items/materia/class0007/Necromancer87.dbr, &gt;&gt; .\items\loottables\dailoneskill0007.dbr</v>
      </c>
      <c r="X89" t="str">
        <f t="shared" si="30"/>
        <v>echo lootWeight87,1, &gt;&gt; .\items\loottables\dailoneskill0007.dbr</v>
      </c>
      <c r="Y89" s="5" t="s">
        <v>36</v>
      </c>
      <c r="Z89" t="str">
        <f t="shared" si="31"/>
        <v xml:space="preserve"> dailCompDescNecromancer87=^pNecromancer's Gift of DAIL</v>
      </c>
      <c r="AA89" t="str">
        <f t="shared" si="39"/>
        <v>dailCompTextNecromancer87=^oThis feels warm to the touch, almost familiar ^w(This component only fits into the Medal Slot)</v>
      </c>
      <c r="AB89" s="5" t="s">
        <v>36</v>
      </c>
      <c r="AH89">
        <f t="shared" si="41"/>
        <v>84</v>
      </c>
      <c r="AI89">
        <f t="shared" si="35"/>
        <v>22</v>
      </c>
      <c r="AJ89">
        <f t="shared" si="40"/>
        <v>5</v>
      </c>
    </row>
    <row r="90" spans="1:36" x14ac:dyDescent="0.25">
      <c r="A90" s="5" t="s">
        <v>39</v>
      </c>
      <c r="B90" s="5" t="s">
        <v>30</v>
      </c>
      <c r="C90" s="5" t="str">
        <f t="shared" si="25"/>
        <v>description,dailCompDescNecromancer88,</v>
      </c>
      <c r="D90" s="5" t="str">
        <f t="shared" si="26"/>
        <v>itemText,dailCompTextNecromancer88,</v>
      </c>
      <c r="E90" s="5" t="str">
        <f t="shared" si="36"/>
        <v>augmentSkillLevel1,5,</v>
      </c>
      <c r="F90" s="5" t="str">
        <f t="shared" si="37"/>
        <v>augmentSkillName1,records/skills/playerclass07/ult_tra.dbr,</v>
      </c>
      <c r="G90" s="7">
        <f t="shared" si="32"/>
        <v>88</v>
      </c>
      <c r="H90" s="8" t="str">
        <f t="shared" si="33"/>
        <v>Necromancer</v>
      </c>
      <c r="I90" s="3" t="s">
        <v>163</v>
      </c>
      <c r="J90" s="8" t="str">
        <f t="shared" si="42"/>
        <v>class0007</v>
      </c>
      <c r="K90" s="8" t="str">
        <f t="shared" si="42"/>
        <v>dailoneskill0007</v>
      </c>
      <c r="L90" s="5" t="str">
        <f t="shared" si="27"/>
        <v>lootName88,DAIL/items/materia/class0007/Necromancer88.dbr,</v>
      </c>
      <c r="M90" s="5" t="str">
        <f t="shared" si="28"/>
        <v>lootWeight88,1,</v>
      </c>
      <c r="N90" t="str">
        <f t="shared" si="29"/>
        <v>5</v>
      </c>
      <c r="O90" t="str">
        <f t="shared" si="38"/>
        <v>copy .\dail_base3.dbr .\items\materia\class0007\Necromancer88.dbr /y</v>
      </c>
      <c r="P90" t="str">
        <f t="shared" si="24"/>
        <v>echo relicBitmap,items/craftingparts/components/component_a52_bristlyfur_b.tex, &gt;&gt; .\items\materia\class0007\Necromancer88.dbr</v>
      </c>
      <c r="Q90" t="str">
        <f t="shared" si="24"/>
        <v>echo itemCost,500000, &gt;&gt; .\items\materia\class0007\Necromancer88.dbr</v>
      </c>
      <c r="R90" t="str">
        <f t="shared" si="24"/>
        <v>echo description,dailCompDescNecromancer88, &gt;&gt; .\items\materia\class0007\Necromancer88.dbr</v>
      </c>
      <c r="S90" t="str">
        <f t="shared" si="24"/>
        <v>echo itemText,dailCompTextNecromancer88, &gt;&gt; .\items\materia\class0007\Necromancer88.dbr</v>
      </c>
      <c r="T90" t="str">
        <f t="shared" si="24"/>
        <v>echo augmentSkillLevel1,5, &gt;&gt; .\items\materia\class0007\Necromancer88.dbr</v>
      </c>
      <c r="U90" t="str">
        <f t="shared" si="24"/>
        <v>echo augmentSkillName1,records/skills/playerclass07/ult_tra.dbr, &gt;&gt; .\items\materia\class0007\Necromancer88.dbr</v>
      </c>
      <c r="V90" s="5" t="s">
        <v>36</v>
      </c>
      <c r="W90" t="str">
        <f t="shared" si="30"/>
        <v>echo lootName88,DAIL/items/materia/class0007/Necromancer88.dbr, &gt;&gt; .\items\loottables\dailoneskill0007.dbr</v>
      </c>
      <c r="X90" t="str">
        <f t="shared" si="30"/>
        <v>echo lootWeight88,1, &gt;&gt; .\items\loottables\dailoneskill0007.dbr</v>
      </c>
      <c r="Y90" s="5" t="s">
        <v>36</v>
      </c>
      <c r="Z90" t="str">
        <f t="shared" si="31"/>
        <v xml:space="preserve"> dailCompDescNecromancer88=^pNecromancer's Gift of DAIL</v>
      </c>
      <c r="AA90" t="str">
        <f t="shared" si="39"/>
        <v>dailCompTextNecromancer88=^oThis feels warm to the touch, almost familiar ^w(This component only fits into the Medal Slot)</v>
      </c>
      <c r="AB90" s="5" t="s">
        <v>36</v>
      </c>
      <c r="AH90">
        <f t="shared" si="41"/>
        <v>85</v>
      </c>
      <c r="AI90">
        <f t="shared" si="35"/>
        <v>26</v>
      </c>
      <c r="AJ90">
        <f t="shared" si="40"/>
        <v>5</v>
      </c>
    </row>
    <row r="91" spans="1:36" x14ac:dyDescent="0.25">
      <c r="A91" s="5" t="s">
        <v>39</v>
      </c>
      <c r="B91" s="5" t="s">
        <v>30</v>
      </c>
      <c r="C91" s="5" t="str">
        <f t="shared" si="25"/>
        <v>description,dailCompDescNecromancer89,</v>
      </c>
      <c r="D91" s="5" t="str">
        <f t="shared" si="26"/>
        <v>itemText,dailCompTextNecromancer89,</v>
      </c>
      <c r="E91" s="5" t="str">
        <f t="shared" si="36"/>
        <v>augmentSkillLevel1,5,</v>
      </c>
      <c r="F91" s="5" t="str">
        <f t="shared" si="37"/>
        <v>augmentSkillName1,records/skills/playerclass07/nec_tel_mod.dbr,</v>
      </c>
      <c r="G91" s="7">
        <f t="shared" si="32"/>
        <v>89</v>
      </c>
      <c r="H91" s="8" t="str">
        <f t="shared" si="33"/>
        <v>Necromancer</v>
      </c>
      <c r="I91" s="3" t="s">
        <v>368</v>
      </c>
      <c r="J91" s="8" t="str">
        <f t="shared" si="42"/>
        <v>class0007</v>
      </c>
      <c r="K91" s="8" t="str">
        <f t="shared" si="42"/>
        <v>dailoneskill0007</v>
      </c>
      <c r="L91" s="5" t="str">
        <f t="shared" si="27"/>
        <v>lootName89,DAIL/items/materia/class0007/Necromancer89.dbr,</v>
      </c>
      <c r="M91" s="5" t="str">
        <f t="shared" si="28"/>
        <v>lootWeight89,1,</v>
      </c>
      <c r="N91" t="str">
        <f t="shared" si="29"/>
        <v>5</v>
      </c>
      <c r="O91" t="str">
        <f t="shared" si="38"/>
        <v>copy .\dail_base3.dbr .\items\materia\class0007\Necromancer89.dbr /y</v>
      </c>
      <c r="P91" t="str">
        <f t="shared" si="24"/>
        <v>echo relicBitmap,items/craftingparts/components/component_a52_bristlyfur_b.tex, &gt;&gt; .\items\materia\class0007\Necromancer89.dbr</v>
      </c>
      <c r="Q91" t="str">
        <f t="shared" si="24"/>
        <v>echo itemCost,500000, &gt;&gt; .\items\materia\class0007\Necromancer89.dbr</v>
      </c>
      <c r="R91" t="str">
        <f t="shared" si="24"/>
        <v>echo description,dailCompDescNecromancer89, &gt;&gt; .\items\materia\class0007\Necromancer89.dbr</v>
      </c>
      <c r="S91" t="str">
        <f t="shared" si="24"/>
        <v>echo itemText,dailCompTextNecromancer89, &gt;&gt; .\items\materia\class0007\Necromancer89.dbr</v>
      </c>
      <c r="T91" t="str">
        <f t="shared" si="24"/>
        <v>echo augmentSkillLevel1,5, &gt;&gt; .\items\materia\class0007\Necromancer89.dbr</v>
      </c>
      <c r="U91" t="str">
        <f t="shared" si="24"/>
        <v>echo augmentSkillName1,records/skills/playerclass07/nec_tel_mod.dbr, &gt;&gt; .\items\materia\class0007\Necromancer89.dbr</v>
      </c>
      <c r="V91" s="5" t="s">
        <v>36</v>
      </c>
      <c r="W91" t="str">
        <f t="shared" si="30"/>
        <v>echo lootName89,DAIL/items/materia/class0007/Necromancer89.dbr, &gt;&gt; .\items\loottables\dailoneskill0007.dbr</v>
      </c>
      <c r="X91" t="str">
        <f t="shared" si="30"/>
        <v>echo lootWeight89,1, &gt;&gt; .\items\loottables\dailoneskill0007.dbr</v>
      </c>
      <c r="Y91" s="5" t="s">
        <v>36</v>
      </c>
      <c r="Z91" t="str">
        <f t="shared" si="31"/>
        <v xml:space="preserve"> dailCompDescNecromancer89=^pNecromancer's Gift of DAIL</v>
      </c>
      <c r="AA91" t="str">
        <f t="shared" si="39"/>
        <v>dailCompTextNecromancer89=^oThis feels warm to the touch, almost familiar ^w(This component only fits into the Medal Slot)</v>
      </c>
      <c r="AB91" s="5" t="s">
        <v>36</v>
      </c>
      <c r="AH91">
        <f t="shared" si="41"/>
        <v>86</v>
      </c>
      <c r="AI91">
        <f t="shared" si="35"/>
        <v>30</v>
      </c>
      <c r="AJ91">
        <f t="shared" si="40"/>
        <v>5</v>
      </c>
    </row>
    <row r="92" spans="1:36" x14ac:dyDescent="0.25">
      <c r="A92" s="5" t="s">
        <v>39</v>
      </c>
      <c r="B92" s="5" t="s">
        <v>30</v>
      </c>
      <c r="C92" s="5" t="str">
        <f t="shared" si="25"/>
        <v>description,dailCompDescNecromancer90,</v>
      </c>
      <c r="D92" s="5" t="str">
        <f t="shared" si="26"/>
        <v>itemText,dailCompTextNecromancer90,</v>
      </c>
      <c r="E92" s="5" t="str">
        <f t="shared" si="36"/>
        <v>augmentSkillLevel1,5,</v>
      </c>
      <c r="F92" s="5" t="str">
        <f t="shared" si="37"/>
        <v>augmentSkillName1,records/skills/playerclass07/nec_dispel.dbr,</v>
      </c>
      <c r="G92" s="7">
        <f t="shared" si="32"/>
        <v>90</v>
      </c>
      <c r="H92" s="8" t="str">
        <f t="shared" si="33"/>
        <v>Necromancer</v>
      </c>
      <c r="I92" s="3" t="s">
        <v>155</v>
      </c>
      <c r="J92" s="8" t="str">
        <f t="shared" si="42"/>
        <v>class0007</v>
      </c>
      <c r="K92" s="8" t="str">
        <f t="shared" si="42"/>
        <v>dailoneskill0007</v>
      </c>
      <c r="L92" s="5" t="str">
        <f t="shared" si="27"/>
        <v>lootName90,DAIL/items/materia/class0007/Necromancer90.dbr,</v>
      </c>
      <c r="M92" s="5" t="str">
        <f t="shared" si="28"/>
        <v>lootWeight90,1,</v>
      </c>
      <c r="N92" t="str">
        <f t="shared" si="29"/>
        <v>5</v>
      </c>
      <c r="O92" t="str">
        <f t="shared" si="38"/>
        <v>copy .\dail_base3.dbr .\items\materia\class0007\Necromancer90.dbr /y</v>
      </c>
      <c r="P92" t="str">
        <f t="shared" si="24"/>
        <v>echo relicBitmap,items/craftingparts/components/component_a52_bristlyfur_b.tex, &gt;&gt; .\items\materia\class0007\Necromancer90.dbr</v>
      </c>
      <c r="Q92" t="str">
        <f t="shared" si="24"/>
        <v>echo itemCost,500000, &gt;&gt; .\items\materia\class0007\Necromancer90.dbr</v>
      </c>
      <c r="R92" t="str">
        <f t="shared" si="24"/>
        <v>echo description,dailCompDescNecromancer90, &gt;&gt; .\items\materia\class0007\Necromancer90.dbr</v>
      </c>
      <c r="S92" t="str">
        <f t="shared" si="24"/>
        <v>echo itemText,dailCompTextNecromancer90, &gt;&gt; .\items\materia\class0007\Necromancer90.dbr</v>
      </c>
      <c r="T92" t="str">
        <f t="shared" si="24"/>
        <v>echo augmentSkillLevel1,5, &gt;&gt; .\items\materia\class0007\Necromancer90.dbr</v>
      </c>
      <c r="U92" t="str">
        <f t="shared" si="24"/>
        <v>echo augmentSkillName1,records/skills/playerclass07/nec_dispel.dbr, &gt;&gt; .\items\materia\class0007\Necromancer90.dbr</v>
      </c>
      <c r="V92" s="5" t="s">
        <v>36</v>
      </c>
      <c r="W92" t="str">
        <f t="shared" si="30"/>
        <v>echo lootName90,DAIL/items/materia/class0007/Necromancer90.dbr, &gt;&gt; .\items\loottables\dailoneskill0007.dbr</v>
      </c>
      <c r="X92" t="str">
        <f t="shared" si="30"/>
        <v>echo lootWeight90,1, &gt;&gt; .\items\loottables\dailoneskill0007.dbr</v>
      </c>
      <c r="Y92" s="5" t="s">
        <v>36</v>
      </c>
      <c r="Z92" t="str">
        <f t="shared" si="31"/>
        <v xml:space="preserve"> dailCompDescNecromancer90=^pNecromancer's Gift of DAIL</v>
      </c>
      <c r="AA92" t="str">
        <f t="shared" si="39"/>
        <v>dailCompTextNecromancer90=^oThis feels warm to the touch, almost familiar ^w(This component only fits into the Medal Slot)</v>
      </c>
      <c r="AB92" s="5" t="s">
        <v>36</v>
      </c>
      <c r="AH92">
        <f t="shared" si="41"/>
        <v>87</v>
      </c>
      <c r="AI92">
        <f t="shared" si="35"/>
        <v>29</v>
      </c>
      <c r="AJ92">
        <f t="shared" si="40"/>
        <v>5</v>
      </c>
    </row>
    <row r="93" spans="1:36" x14ac:dyDescent="0.25">
      <c r="A93" s="5" t="s">
        <v>39</v>
      </c>
      <c r="B93" s="5" t="s">
        <v>30</v>
      </c>
      <c r="C93" s="5" t="str">
        <f t="shared" si="25"/>
        <v>description,dailCompDescNecromancer91,</v>
      </c>
      <c r="D93" s="5" t="str">
        <f t="shared" si="26"/>
        <v>itemText,dailCompTextNecromancer91,</v>
      </c>
      <c r="E93" s="5" t="str">
        <f t="shared" si="36"/>
        <v>augmentSkillLevel1,5,</v>
      </c>
      <c r="F93" s="5" t="str">
        <f t="shared" si="37"/>
        <v>augmentSkillName1,records/skills/playerclass07/ground.dbr,</v>
      </c>
      <c r="G93" s="7">
        <f t="shared" si="32"/>
        <v>91</v>
      </c>
      <c r="H93" s="8" t="str">
        <f t="shared" si="33"/>
        <v>Necromancer</v>
      </c>
      <c r="I93" s="3" t="s">
        <v>153</v>
      </c>
      <c r="J93" s="8" t="str">
        <f t="shared" si="42"/>
        <v>class0007</v>
      </c>
      <c r="K93" s="8" t="str">
        <f t="shared" si="42"/>
        <v>dailoneskill0007</v>
      </c>
      <c r="L93" s="5" t="str">
        <f t="shared" si="27"/>
        <v>lootName91,DAIL/items/materia/class0007/Necromancer91.dbr,</v>
      </c>
      <c r="M93" s="5" t="str">
        <f t="shared" si="28"/>
        <v>lootWeight91,1,</v>
      </c>
      <c r="N93" t="str">
        <f t="shared" si="29"/>
        <v>5</v>
      </c>
      <c r="O93" t="str">
        <f t="shared" si="38"/>
        <v>copy .\dail_base3.dbr .\items\materia\class0007\Necromancer91.dbr /y</v>
      </c>
      <c r="P93" t="str">
        <f t="shared" si="24"/>
        <v>echo relicBitmap,items/craftingparts/components/component_a52_bristlyfur_b.tex, &gt;&gt; .\items\materia\class0007\Necromancer91.dbr</v>
      </c>
      <c r="Q93" t="str">
        <f t="shared" si="24"/>
        <v>echo itemCost,500000, &gt;&gt; .\items\materia\class0007\Necromancer91.dbr</v>
      </c>
      <c r="R93" t="str">
        <f t="shared" si="24"/>
        <v>echo description,dailCompDescNecromancer91, &gt;&gt; .\items\materia\class0007\Necromancer91.dbr</v>
      </c>
      <c r="S93" t="str">
        <f t="shared" si="24"/>
        <v>echo itemText,dailCompTextNecromancer91, &gt;&gt; .\items\materia\class0007\Necromancer91.dbr</v>
      </c>
      <c r="T93" t="str">
        <f t="shared" si="24"/>
        <v>echo augmentSkillLevel1,5, &gt;&gt; .\items\materia\class0007\Necromancer91.dbr</v>
      </c>
      <c r="U93" t="str">
        <f t="shared" si="24"/>
        <v>echo augmentSkillName1,records/skills/playerclass07/ground.dbr, &gt;&gt; .\items\materia\class0007\Necromancer91.dbr</v>
      </c>
      <c r="V93" s="5" t="s">
        <v>36</v>
      </c>
      <c r="W93" t="str">
        <f t="shared" si="30"/>
        <v>echo lootName91,DAIL/items/materia/class0007/Necromancer91.dbr, &gt;&gt; .\items\loottables\dailoneskill0007.dbr</v>
      </c>
      <c r="X93" t="str">
        <f t="shared" si="30"/>
        <v>echo lootWeight91,1, &gt;&gt; .\items\loottables\dailoneskill0007.dbr</v>
      </c>
      <c r="Y93" s="5" t="s">
        <v>36</v>
      </c>
      <c r="Z93" t="str">
        <f t="shared" si="31"/>
        <v xml:space="preserve"> dailCompDescNecromancer91=^pNecromancer's Gift of DAIL</v>
      </c>
      <c r="AA93" t="str">
        <f t="shared" si="39"/>
        <v>dailCompTextNecromancer91=^oThis feels warm to the touch, almost familiar ^w(This component only fits into the Medal Slot)</v>
      </c>
      <c r="AB93" s="5" t="s">
        <v>36</v>
      </c>
      <c r="AH93">
        <f t="shared" si="41"/>
        <v>88</v>
      </c>
      <c r="AI93">
        <f t="shared" si="35"/>
        <v>25</v>
      </c>
      <c r="AJ93">
        <f t="shared" si="40"/>
        <v>5</v>
      </c>
    </row>
    <row r="94" spans="1:36" x14ac:dyDescent="0.25">
      <c r="A94" s="5" t="s">
        <v>39</v>
      </c>
      <c r="B94" s="5" t="s">
        <v>30</v>
      </c>
      <c r="C94" s="5" t="str">
        <f t="shared" si="25"/>
        <v>description,dailCompDescNecromancer92,</v>
      </c>
      <c r="D94" s="5" t="str">
        <f t="shared" si="26"/>
        <v>itemText,dailCompTextNecromancer92,</v>
      </c>
      <c r="E94" s="5" t="str">
        <f t="shared" si="36"/>
        <v>augmentSkillLevel1,5,</v>
      </c>
      <c r="F94" s="5" t="str">
        <f t="shared" si="37"/>
        <v>augmentSkillName1,records/skills/playerclass07/ground_mod.dbr,</v>
      </c>
      <c r="G94" s="7">
        <f t="shared" si="32"/>
        <v>92</v>
      </c>
      <c r="H94" s="8" t="str">
        <f t="shared" si="33"/>
        <v>Necromancer</v>
      </c>
      <c r="I94" s="3" t="s">
        <v>369</v>
      </c>
      <c r="J94" s="8" t="str">
        <f t="shared" si="42"/>
        <v>class0007</v>
      </c>
      <c r="K94" s="8" t="str">
        <f t="shared" si="42"/>
        <v>dailoneskill0007</v>
      </c>
      <c r="L94" s="5" t="str">
        <f t="shared" si="27"/>
        <v>lootName92,DAIL/items/materia/class0007/Necromancer92.dbr,</v>
      </c>
      <c r="M94" s="5" t="str">
        <f t="shared" si="28"/>
        <v>lootWeight92,1,</v>
      </c>
      <c r="N94" t="str">
        <f t="shared" si="29"/>
        <v>5</v>
      </c>
      <c r="O94" t="str">
        <f t="shared" si="38"/>
        <v>copy .\dail_base3.dbr .\items\materia\class0007\Necromancer92.dbr /y</v>
      </c>
      <c r="P94" t="str">
        <f t="shared" si="24"/>
        <v>echo relicBitmap,items/craftingparts/components/component_a52_bristlyfur_b.tex, &gt;&gt; .\items\materia\class0007\Necromancer92.dbr</v>
      </c>
      <c r="Q94" t="str">
        <f t="shared" si="24"/>
        <v>echo itemCost,500000, &gt;&gt; .\items\materia\class0007\Necromancer92.dbr</v>
      </c>
      <c r="R94" t="str">
        <f t="shared" si="24"/>
        <v>echo description,dailCompDescNecromancer92, &gt;&gt; .\items\materia\class0007\Necromancer92.dbr</v>
      </c>
      <c r="S94" t="str">
        <f t="shared" si="24"/>
        <v>echo itemText,dailCompTextNecromancer92, &gt;&gt; .\items\materia\class0007\Necromancer92.dbr</v>
      </c>
      <c r="T94" t="str">
        <f t="shared" si="24"/>
        <v>echo augmentSkillLevel1,5, &gt;&gt; .\items\materia\class0007\Necromancer92.dbr</v>
      </c>
      <c r="U94" t="str">
        <f t="shared" si="24"/>
        <v>echo augmentSkillName1,records/skills/playerclass07/ground_mod.dbr, &gt;&gt; .\items\materia\class0007\Necromancer92.dbr</v>
      </c>
      <c r="V94" s="5" t="s">
        <v>36</v>
      </c>
      <c r="W94" t="str">
        <f t="shared" si="30"/>
        <v>echo lootName92,DAIL/items/materia/class0007/Necromancer92.dbr, &gt;&gt; .\items\loottables\dailoneskill0007.dbr</v>
      </c>
      <c r="X94" t="str">
        <f t="shared" si="30"/>
        <v>echo lootWeight92,1, &gt;&gt; .\items\loottables\dailoneskill0007.dbr</v>
      </c>
      <c r="Y94" s="5" t="s">
        <v>36</v>
      </c>
      <c r="Z94" t="str">
        <f t="shared" si="31"/>
        <v xml:space="preserve"> dailCompDescNecromancer92=^pNecromancer's Gift of DAIL</v>
      </c>
      <c r="AA94" t="str">
        <f t="shared" si="39"/>
        <v>dailCompTextNecromancer92=^oThis feels warm to the touch, almost familiar ^w(This component only fits into the Medal Slot)</v>
      </c>
      <c r="AB94" s="5" t="s">
        <v>36</v>
      </c>
      <c r="AH94">
        <f t="shared" si="41"/>
        <v>89</v>
      </c>
      <c r="AI94">
        <f t="shared" si="35"/>
        <v>29</v>
      </c>
      <c r="AJ94">
        <f t="shared" si="40"/>
        <v>5</v>
      </c>
    </row>
    <row r="95" spans="1:36" x14ac:dyDescent="0.25">
      <c r="A95" s="5" t="s">
        <v>39</v>
      </c>
      <c r="B95" s="5" t="s">
        <v>30</v>
      </c>
      <c r="C95" s="5" t="str">
        <f t="shared" si="25"/>
        <v>description,dailCompDescNecromancer93,</v>
      </c>
      <c r="D95" s="5" t="str">
        <f t="shared" si="26"/>
        <v>itemText,dailCompTextNecromancer93,</v>
      </c>
      <c r="E95" s="5" t="str">
        <f t="shared" si="36"/>
        <v>augmentSkillLevel1,5,</v>
      </c>
      <c r="F95" s="5" t="str">
        <f t="shared" si="37"/>
        <v>augmentSkillName1,records/skills/playerclass07/summon_death.dbr,</v>
      </c>
      <c r="G95" s="7">
        <f t="shared" si="32"/>
        <v>93</v>
      </c>
      <c r="H95" s="8" t="str">
        <f t="shared" si="33"/>
        <v>Necromancer</v>
      </c>
      <c r="I95" s="3" t="s">
        <v>370</v>
      </c>
      <c r="J95" s="8" t="str">
        <f t="shared" si="42"/>
        <v>class0007</v>
      </c>
      <c r="K95" s="8" t="str">
        <f t="shared" si="42"/>
        <v>dailoneskill0007</v>
      </c>
      <c r="L95" s="5" t="str">
        <f t="shared" si="27"/>
        <v>lootName93,DAIL/items/materia/class0007/Necromancer93.dbr,</v>
      </c>
      <c r="M95" s="5" t="str">
        <f t="shared" si="28"/>
        <v>lootWeight93,1,</v>
      </c>
      <c r="N95" t="str">
        <f t="shared" si="29"/>
        <v>5</v>
      </c>
      <c r="O95" t="str">
        <f t="shared" si="38"/>
        <v>copy .\dail_base3.dbr .\items\materia\class0007\Necromancer93.dbr /y</v>
      </c>
      <c r="P95" t="str">
        <f t="shared" si="24"/>
        <v>echo relicBitmap,items/craftingparts/components/component_a52_bristlyfur_b.tex, &gt;&gt; .\items\materia\class0007\Necromancer93.dbr</v>
      </c>
      <c r="Q95" t="str">
        <f t="shared" si="24"/>
        <v>echo itemCost,500000, &gt;&gt; .\items\materia\class0007\Necromancer93.dbr</v>
      </c>
      <c r="R95" t="str">
        <f t="shared" si="24"/>
        <v>echo description,dailCompDescNecromancer93, &gt;&gt; .\items\materia\class0007\Necromancer93.dbr</v>
      </c>
      <c r="S95" t="str">
        <f t="shared" si="24"/>
        <v>echo itemText,dailCompTextNecromancer93, &gt;&gt; .\items\materia\class0007\Necromancer93.dbr</v>
      </c>
      <c r="T95" t="str">
        <f t="shared" si="24"/>
        <v>echo augmentSkillLevel1,5, &gt;&gt; .\items\materia\class0007\Necromancer93.dbr</v>
      </c>
      <c r="U95" t="str">
        <f t="shared" si="24"/>
        <v>echo augmentSkillName1,records/skills/playerclass07/summon_death.dbr, &gt;&gt; .\items\materia\class0007\Necromancer93.dbr</v>
      </c>
      <c r="V95" s="5" t="s">
        <v>36</v>
      </c>
      <c r="W95" t="str">
        <f t="shared" si="30"/>
        <v>echo lootName93,DAIL/items/materia/class0007/Necromancer93.dbr, &gt;&gt; .\items\loottables\dailoneskill0007.dbr</v>
      </c>
      <c r="X95" t="str">
        <f t="shared" si="30"/>
        <v>echo lootWeight93,1, &gt;&gt; .\items\loottables\dailoneskill0007.dbr</v>
      </c>
      <c r="Y95" s="5" t="s">
        <v>36</v>
      </c>
      <c r="Z95" t="str">
        <f t="shared" si="31"/>
        <v xml:space="preserve"> dailCompDescNecromancer93=^pNecromancer's Gift of DAIL</v>
      </c>
      <c r="AA95" t="str">
        <f t="shared" si="39"/>
        <v>dailCompTextNecromancer93=^oThis feels warm to the touch, almost familiar ^w(This component only fits into the Medal Slot)</v>
      </c>
      <c r="AB95" s="5" t="s">
        <v>36</v>
      </c>
      <c r="AH95">
        <f t="shared" si="41"/>
        <v>90</v>
      </c>
      <c r="AI95">
        <f t="shared" si="35"/>
        <v>31</v>
      </c>
      <c r="AJ95">
        <f t="shared" si="40"/>
        <v>5</v>
      </c>
    </row>
    <row r="96" spans="1:36" x14ac:dyDescent="0.25">
      <c r="A96" s="5" t="s">
        <v>39</v>
      </c>
      <c r="B96" s="5" t="s">
        <v>30</v>
      </c>
      <c r="C96" s="5" t="str">
        <f t="shared" si="25"/>
        <v>description,dailCompDescNecromancer94,</v>
      </c>
      <c r="D96" s="5" t="str">
        <f t="shared" si="26"/>
        <v>itemText,dailCompTextNecromancer94,</v>
      </c>
      <c r="E96" s="5" t="str">
        <f t="shared" si="36"/>
        <v>augmentSkillLevel1,5,</v>
      </c>
      <c r="F96" s="5" t="str">
        <f t="shared" si="37"/>
        <v>augmentSkillName1,records/skills/playerclass07/nec_tel_mod2.dbr,</v>
      </c>
      <c r="G96" s="7">
        <f t="shared" si="32"/>
        <v>94</v>
      </c>
      <c r="H96" s="8" t="str">
        <f t="shared" si="33"/>
        <v>Necromancer</v>
      </c>
      <c r="I96" s="3" t="s">
        <v>371</v>
      </c>
      <c r="J96" s="8" t="str">
        <f t="shared" si="42"/>
        <v>class0007</v>
      </c>
      <c r="K96" s="8" t="str">
        <f t="shared" si="42"/>
        <v>dailoneskill0007</v>
      </c>
      <c r="L96" s="5" t="str">
        <f t="shared" si="27"/>
        <v>lootName94,DAIL/items/materia/class0007/Necromancer94.dbr,</v>
      </c>
      <c r="M96" s="5" t="str">
        <f t="shared" si="28"/>
        <v>lootWeight94,1,</v>
      </c>
      <c r="N96" t="str">
        <f t="shared" si="29"/>
        <v>5</v>
      </c>
      <c r="O96" t="str">
        <f t="shared" si="38"/>
        <v>copy .\dail_base3.dbr .\items\materia\class0007\Necromancer94.dbr /y</v>
      </c>
      <c r="P96" t="str">
        <f t="shared" si="24"/>
        <v>echo relicBitmap,items/craftingparts/components/component_a52_bristlyfur_b.tex, &gt;&gt; .\items\materia\class0007\Necromancer94.dbr</v>
      </c>
      <c r="Q96" t="str">
        <f t="shared" si="24"/>
        <v>echo itemCost,500000, &gt;&gt; .\items\materia\class0007\Necromancer94.dbr</v>
      </c>
      <c r="R96" t="str">
        <f t="shared" si="24"/>
        <v>echo description,dailCompDescNecromancer94, &gt;&gt; .\items\materia\class0007\Necromancer94.dbr</v>
      </c>
      <c r="S96" t="str">
        <f t="shared" si="24"/>
        <v>echo itemText,dailCompTextNecromancer94, &gt;&gt; .\items\materia\class0007\Necromancer94.dbr</v>
      </c>
      <c r="T96" t="str">
        <f t="shared" si="24"/>
        <v>echo augmentSkillLevel1,5, &gt;&gt; .\items\materia\class0007\Necromancer94.dbr</v>
      </c>
      <c r="U96" t="str">
        <f t="shared" si="24"/>
        <v>echo augmentSkillName1,records/skills/playerclass07/nec_tel_mod2.dbr, &gt;&gt; .\items\materia\class0007\Necromancer94.dbr</v>
      </c>
      <c r="V96" s="5" t="s">
        <v>36</v>
      </c>
      <c r="W96" t="str">
        <f t="shared" si="30"/>
        <v>echo lootName94,DAIL/items/materia/class0007/Necromancer94.dbr, &gt;&gt; .\items\loottables\dailoneskill0007.dbr</v>
      </c>
      <c r="X96" t="str">
        <f t="shared" si="30"/>
        <v>echo lootWeight94,1, &gt;&gt; .\items\loottables\dailoneskill0007.dbr</v>
      </c>
      <c r="Y96" s="5" t="s">
        <v>36</v>
      </c>
      <c r="Z96" t="str">
        <f t="shared" si="31"/>
        <v xml:space="preserve"> dailCompDescNecromancer94=^pNecromancer's Gift of DAIL</v>
      </c>
      <c r="AA96" t="str">
        <f t="shared" si="39"/>
        <v>dailCompTextNecromancer94=^oThis feels warm to the touch, almost familiar ^w(This component only fits into the Medal Slot)</v>
      </c>
      <c r="AB96" s="5" t="s">
        <v>36</v>
      </c>
      <c r="AH96">
        <f t="shared" si="41"/>
        <v>91</v>
      </c>
      <c r="AI96">
        <f t="shared" si="35"/>
        <v>31</v>
      </c>
      <c r="AJ96">
        <f t="shared" si="40"/>
        <v>5</v>
      </c>
    </row>
    <row r="97" spans="1:36" x14ac:dyDescent="0.25">
      <c r="A97" s="5" t="s">
        <v>39</v>
      </c>
      <c r="B97" s="5" t="s">
        <v>30</v>
      </c>
      <c r="C97" s="5" t="str">
        <f t="shared" si="25"/>
        <v>description,dailCompDescNecromancer95,</v>
      </c>
      <c r="D97" s="5" t="str">
        <f t="shared" si="26"/>
        <v>itemText,dailCompTextNecromancer95,</v>
      </c>
      <c r="E97" s="5" t="str">
        <f t="shared" si="36"/>
        <v>augmentSkillLevel1,5,</v>
      </c>
      <c r="F97" s="5" t="str">
        <f t="shared" si="37"/>
        <v>augmentSkillName1,records/skills/playerclass07/nec_tel_tra.dbr,</v>
      </c>
      <c r="G97" s="7">
        <f t="shared" si="32"/>
        <v>95</v>
      </c>
      <c r="H97" s="8" t="str">
        <f t="shared" si="33"/>
        <v>Necromancer</v>
      </c>
      <c r="I97" s="3" t="s">
        <v>372</v>
      </c>
      <c r="J97" s="8" t="str">
        <f t="shared" si="42"/>
        <v>class0007</v>
      </c>
      <c r="K97" s="8" t="str">
        <f t="shared" si="42"/>
        <v>dailoneskill0007</v>
      </c>
      <c r="L97" s="5" t="str">
        <f t="shared" si="27"/>
        <v>lootName95,DAIL/items/materia/class0007/Necromancer95.dbr,</v>
      </c>
      <c r="M97" s="5" t="str">
        <f t="shared" si="28"/>
        <v>lootWeight95,1,</v>
      </c>
      <c r="N97" t="str">
        <f t="shared" si="29"/>
        <v>5</v>
      </c>
      <c r="O97" t="str">
        <f t="shared" si="38"/>
        <v>copy .\dail_base3.dbr .\items\materia\class0007\Necromancer95.dbr /y</v>
      </c>
      <c r="P97" t="str">
        <f t="shared" si="24"/>
        <v>echo relicBitmap,items/craftingparts/components/component_a52_bristlyfur_b.tex, &gt;&gt; .\items\materia\class0007\Necromancer95.dbr</v>
      </c>
      <c r="Q97" t="str">
        <f t="shared" si="24"/>
        <v>echo itemCost,500000, &gt;&gt; .\items\materia\class0007\Necromancer95.dbr</v>
      </c>
      <c r="R97" t="str">
        <f t="shared" si="24"/>
        <v>echo description,dailCompDescNecromancer95, &gt;&gt; .\items\materia\class0007\Necromancer95.dbr</v>
      </c>
      <c r="S97" t="str">
        <f t="shared" si="24"/>
        <v>echo itemText,dailCompTextNecromancer95, &gt;&gt; .\items\materia\class0007\Necromancer95.dbr</v>
      </c>
      <c r="T97" t="str">
        <f t="shared" si="24"/>
        <v>echo augmentSkillLevel1,5, &gt;&gt; .\items\materia\class0007\Necromancer95.dbr</v>
      </c>
      <c r="U97" t="str">
        <f t="shared" si="24"/>
        <v>echo augmentSkillName1,records/skills/playerclass07/nec_tel_tra.dbr, &gt;&gt; .\items\materia\class0007\Necromancer95.dbr</v>
      </c>
      <c r="V97" s="5" t="s">
        <v>36</v>
      </c>
      <c r="W97" t="str">
        <f t="shared" si="30"/>
        <v>echo lootName95,DAIL/items/materia/class0007/Necromancer95.dbr, &gt;&gt; .\items\loottables\dailoneskill0007.dbr</v>
      </c>
      <c r="X97" t="str">
        <f t="shared" si="30"/>
        <v>echo lootWeight95,1, &gt;&gt; .\items\loottables\dailoneskill0007.dbr</v>
      </c>
      <c r="Y97" s="5" t="s">
        <v>36</v>
      </c>
      <c r="Z97" t="str">
        <f t="shared" si="31"/>
        <v xml:space="preserve"> dailCompDescNecromancer95=^pNecromancer's Gift of DAIL</v>
      </c>
      <c r="AA97" t="str">
        <f t="shared" si="39"/>
        <v>dailCompTextNecromancer95=^oThis feels warm to the touch, almost familiar ^w(This component only fits into the Medal Slot)</v>
      </c>
      <c r="AB97" s="5" t="s">
        <v>36</v>
      </c>
      <c r="AH97">
        <f t="shared" si="41"/>
        <v>92</v>
      </c>
      <c r="AI97">
        <f t="shared" si="35"/>
        <v>30</v>
      </c>
      <c r="AJ97">
        <f t="shared" si="40"/>
        <v>5</v>
      </c>
    </row>
    <row r="98" spans="1:36" x14ac:dyDescent="0.25">
      <c r="A98" s="5" t="s">
        <v>39</v>
      </c>
      <c r="B98" s="5" t="s">
        <v>30</v>
      </c>
      <c r="C98" s="5" t="str">
        <f t="shared" si="25"/>
        <v>description,dailCompDescNecromancer96,</v>
      </c>
      <c r="D98" s="5" t="str">
        <f t="shared" si="26"/>
        <v>itemText,dailCompTextNecromancer96,</v>
      </c>
      <c r="E98" s="5" t="str">
        <f t="shared" si="36"/>
        <v>augmentSkillLevel1,5,</v>
      </c>
      <c r="F98" s="5" t="str">
        <f t="shared" si="37"/>
        <v>augmentSkillName1,records/skills/playerclass07/bonearmor.dbr,</v>
      </c>
      <c r="G98" s="7">
        <f t="shared" si="32"/>
        <v>96</v>
      </c>
      <c r="H98" s="8" t="str">
        <f t="shared" si="33"/>
        <v>Necromancer</v>
      </c>
      <c r="I98" s="3" t="s">
        <v>151</v>
      </c>
      <c r="J98" s="8" t="str">
        <f t="shared" si="42"/>
        <v>class0007</v>
      </c>
      <c r="K98" s="8" t="str">
        <f t="shared" si="42"/>
        <v>dailoneskill0007</v>
      </c>
      <c r="L98" s="5" t="str">
        <f t="shared" si="27"/>
        <v>lootName96,DAIL/items/materia/class0007/Necromancer96.dbr,</v>
      </c>
      <c r="M98" s="5" t="str">
        <f t="shared" si="28"/>
        <v>lootWeight96,1,</v>
      </c>
      <c r="N98" t="str">
        <f t="shared" si="29"/>
        <v>5</v>
      </c>
      <c r="O98" t="str">
        <f t="shared" si="38"/>
        <v>copy .\dail_base3.dbr .\items\materia\class0007\Necromancer96.dbr /y</v>
      </c>
      <c r="P98" t="str">
        <f t="shared" si="24"/>
        <v>echo relicBitmap,items/craftingparts/components/component_a52_bristlyfur_b.tex, &gt;&gt; .\items\materia\class0007\Necromancer96.dbr</v>
      </c>
      <c r="Q98" t="str">
        <f t="shared" si="24"/>
        <v>echo itemCost,500000, &gt;&gt; .\items\materia\class0007\Necromancer96.dbr</v>
      </c>
      <c r="R98" t="str">
        <f t="shared" si="24"/>
        <v>echo description,dailCompDescNecromancer96, &gt;&gt; .\items\materia\class0007\Necromancer96.dbr</v>
      </c>
      <c r="S98" t="str">
        <f t="shared" si="24"/>
        <v>echo itemText,dailCompTextNecromancer96, &gt;&gt; .\items\materia\class0007\Necromancer96.dbr</v>
      </c>
      <c r="T98" t="str">
        <f t="shared" si="24"/>
        <v>echo augmentSkillLevel1,5, &gt;&gt; .\items\materia\class0007\Necromancer96.dbr</v>
      </c>
      <c r="U98" t="str">
        <f t="shared" si="24"/>
        <v>echo augmentSkillName1,records/skills/playerclass07/bonearmor.dbr, &gt;&gt; .\items\materia\class0007\Necromancer96.dbr</v>
      </c>
      <c r="V98" s="5" t="s">
        <v>36</v>
      </c>
      <c r="W98" t="str">
        <f t="shared" si="30"/>
        <v>echo lootName96,DAIL/items/materia/class0007/Necromancer96.dbr, &gt;&gt; .\items\loottables\dailoneskill0007.dbr</v>
      </c>
      <c r="X98" t="str">
        <f t="shared" si="30"/>
        <v>echo lootWeight96,1, &gt;&gt; .\items\loottables\dailoneskill0007.dbr</v>
      </c>
      <c r="Y98" s="5" t="s">
        <v>36</v>
      </c>
      <c r="Z98" t="str">
        <f t="shared" si="31"/>
        <v xml:space="preserve"> dailCompDescNecromancer96=^pNecromancer's Gift of DAIL</v>
      </c>
      <c r="AA98" t="str">
        <f t="shared" si="39"/>
        <v>dailCompTextNecromancer96=^oThis feels warm to the touch, almost familiar ^w(This component only fits into the Medal Slot)</v>
      </c>
      <c r="AB98" s="5" t="s">
        <v>36</v>
      </c>
      <c r="AH98">
        <f t="shared" si="41"/>
        <v>93</v>
      </c>
      <c r="AI98">
        <f t="shared" si="35"/>
        <v>28</v>
      </c>
      <c r="AJ98">
        <f t="shared" si="40"/>
        <v>5</v>
      </c>
    </row>
    <row r="99" spans="1:36" x14ac:dyDescent="0.25">
      <c r="A99" s="5" t="s">
        <v>39</v>
      </c>
      <c r="B99" s="5" t="s">
        <v>30</v>
      </c>
      <c r="C99" s="5" t="str">
        <f t="shared" si="25"/>
        <v>description,dailCompDescNecromancer97,</v>
      </c>
      <c r="D99" s="5" t="str">
        <f t="shared" si="26"/>
        <v>itemText,dailCompTextNecromancer97,</v>
      </c>
      <c r="E99" s="5" t="str">
        <f t="shared" si="36"/>
        <v>augmentSkillLevel1,5,</v>
      </c>
      <c r="F99" s="5" t="str">
        <f t="shared" si="37"/>
        <v>augmentSkillName1,records/skills/playerclass07/bonearmor_tra.dbr,</v>
      </c>
      <c r="G99" s="7">
        <f t="shared" si="32"/>
        <v>97</v>
      </c>
      <c r="H99" s="8" t="str">
        <f t="shared" si="33"/>
        <v>Necromancer</v>
      </c>
      <c r="I99" s="3" t="s">
        <v>373</v>
      </c>
      <c r="J99" s="8" t="str">
        <f t="shared" si="42"/>
        <v>class0007</v>
      </c>
      <c r="K99" s="8" t="str">
        <f t="shared" si="42"/>
        <v>dailoneskill0007</v>
      </c>
      <c r="L99" s="5" t="str">
        <f t="shared" si="27"/>
        <v>lootName97,DAIL/items/materia/class0007/Necromancer97.dbr,</v>
      </c>
      <c r="M99" s="5" t="str">
        <f t="shared" si="28"/>
        <v>lootWeight97,1,</v>
      </c>
      <c r="N99" t="str">
        <f t="shared" si="29"/>
        <v>5</v>
      </c>
      <c r="O99" t="str">
        <f t="shared" si="38"/>
        <v>copy .\dail_base3.dbr .\items\materia\class0007\Necromancer97.dbr /y</v>
      </c>
      <c r="P99" t="str">
        <f t="shared" si="24"/>
        <v>echo relicBitmap,items/craftingparts/components/component_a52_bristlyfur_b.tex, &gt;&gt; .\items\materia\class0007\Necromancer97.dbr</v>
      </c>
      <c r="Q99" t="str">
        <f t="shared" si="24"/>
        <v>echo itemCost,500000, &gt;&gt; .\items\materia\class0007\Necromancer97.dbr</v>
      </c>
      <c r="R99" t="str">
        <f t="shared" si="24"/>
        <v>echo description,dailCompDescNecromancer97, &gt;&gt; .\items\materia\class0007\Necromancer97.dbr</v>
      </c>
      <c r="S99" t="str">
        <f t="shared" si="24"/>
        <v>echo itemText,dailCompTextNecromancer97, &gt;&gt; .\items\materia\class0007\Necromancer97.dbr</v>
      </c>
      <c r="T99" t="str">
        <f t="shared" si="24"/>
        <v>echo augmentSkillLevel1,5, &gt;&gt; .\items\materia\class0007\Necromancer97.dbr</v>
      </c>
      <c r="U99" t="str">
        <f t="shared" si="24"/>
        <v>echo augmentSkillName1,records/skills/playerclass07/bonearmor_tra.dbr, &gt;&gt; .\items\materia\class0007\Necromancer97.dbr</v>
      </c>
      <c r="V99" s="5" t="s">
        <v>36</v>
      </c>
      <c r="W99" t="str">
        <f t="shared" si="30"/>
        <v>echo lootName97,DAIL/items/materia/class0007/Necromancer97.dbr, &gt;&gt; .\items\loottables\dailoneskill0007.dbr</v>
      </c>
      <c r="X99" t="str">
        <f t="shared" si="30"/>
        <v>echo lootWeight97,1, &gt;&gt; .\items\loottables\dailoneskill0007.dbr</v>
      </c>
      <c r="Y99" s="5" t="s">
        <v>36</v>
      </c>
      <c r="Z99" t="str">
        <f t="shared" si="31"/>
        <v xml:space="preserve"> dailCompDescNecromancer97=^pNecromancer's Gift of DAIL</v>
      </c>
      <c r="AA99" t="str">
        <f t="shared" si="39"/>
        <v>dailCompTextNecromancer97=^oThis feels warm to the touch, almost familiar ^w(This component only fits into the Medal Slot)</v>
      </c>
      <c r="AB99" s="5" t="s">
        <v>36</v>
      </c>
      <c r="AH99">
        <f t="shared" si="41"/>
        <v>94</v>
      </c>
      <c r="AI99">
        <f t="shared" si="35"/>
        <v>32</v>
      </c>
      <c r="AJ99">
        <f t="shared" si="40"/>
        <v>5</v>
      </c>
    </row>
    <row r="100" spans="1:36" x14ac:dyDescent="0.25">
      <c r="A100" s="5" t="s">
        <v>39</v>
      </c>
      <c r="B100" s="5" t="s">
        <v>30</v>
      </c>
      <c r="C100" s="5" t="str">
        <f t="shared" si="25"/>
        <v>description,dailCompDescNecromancer98,</v>
      </c>
      <c r="D100" s="5" t="str">
        <f t="shared" si="26"/>
        <v>itemText,dailCompTextNecromancer98,</v>
      </c>
      <c r="E100" s="5" t="str">
        <f t="shared" si="36"/>
        <v>augmentSkillLevel1,5,</v>
      </c>
      <c r="F100" s="5" t="str">
        <f t="shared" si="37"/>
        <v>augmentSkillName1,records/skills/playerclass07/bonearmor2.dbr,</v>
      </c>
      <c r="G100" s="7">
        <f t="shared" si="32"/>
        <v>98</v>
      </c>
      <c r="H100" s="8" t="str">
        <f t="shared" si="33"/>
        <v>Necromancer</v>
      </c>
      <c r="I100" s="3" t="s">
        <v>374</v>
      </c>
      <c r="J100" s="8" t="str">
        <f t="shared" si="42"/>
        <v>class0007</v>
      </c>
      <c r="K100" s="8" t="str">
        <f t="shared" si="42"/>
        <v>dailoneskill0007</v>
      </c>
      <c r="L100" s="5" t="str">
        <f t="shared" si="27"/>
        <v>lootName98,DAIL/items/materia/class0007/Necromancer98.dbr,</v>
      </c>
      <c r="M100" s="5" t="str">
        <f t="shared" si="28"/>
        <v>lootWeight98,1,</v>
      </c>
      <c r="N100" t="str">
        <f t="shared" si="29"/>
        <v>5</v>
      </c>
      <c r="O100" t="str">
        <f t="shared" si="38"/>
        <v>copy .\dail_base3.dbr .\items\materia\class0007\Necromancer98.dbr /y</v>
      </c>
      <c r="P100" t="str">
        <f t="shared" si="24"/>
        <v>echo relicBitmap,items/craftingparts/components/component_a52_bristlyfur_b.tex, &gt;&gt; .\items\materia\class0007\Necromancer98.dbr</v>
      </c>
      <c r="Q100" t="str">
        <f t="shared" si="24"/>
        <v>echo itemCost,500000, &gt;&gt; .\items\materia\class0007\Necromancer98.dbr</v>
      </c>
      <c r="R100" t="str">
        <f t="shared" si="24"/>
        <v>echo description,dailCompDescNecromancer98, &gt;&gt; .\items\materia\class0007\Necromancer98.dbr</v>
      </c>
      <c r="S100" t="str">
        <f t="shared" si="24"/>
        <v>echo itemText,dailCompTextNecromancer98, &gt;&gt; .\items\materia\class0007\Necromancer98.dbr</v>
      </c>
      <c r="T100" t="str">
        <f t="shared" si="24"/>
        <v>echo augmentSkillLevel1,5, &gt;&gt; .\items\materia\class0007\Necromancer98.dbr</v>
      </c>
      <c r="U100" t="str">
        <f t="shared" si="24"/>
        <v>echo augmentSkillName1,records/skills/playerclass07/bonearmor2.dbr, &gt;&gt; .\items\materia\class0007\Necromancer98.dbr</v>
      </c>
      <c r="V100" s="5" t="s">
        <v>36</v>
      </c>
      <c r="W100" t="str">
        <f t="shared" si="30"/>
        <v>echo lootName98,DAIL/items/materia/class0007/Necromancer98.dbr, &gt;&gt; .\items\loottables\dailoneskill0007.dbr</v>
      </c>
      <c r="X100" t="str">
        <f t="shared" si="30"/>
        <v>echo lootWeight98,1, &gt;&gt; .\items\loottables\dailoneskill0007.dbr</v>
      </c>
      <c r="Y100" s="5" t="s">
        <v>36</v>
      </c>
      <c r="Z100" t="str">
        <f t="shared" si="31"/>
        <v xml:space="preserve"> dailCompDescNecromancer98=^pNecromancer's Gift of DAIL</v>
      </c>
      <c r="AA100" t="str">
        <f t="shared" si="39"/>
        <v>dailCompTextNecromancer98=^oThis feels warm to the touch, almost familiar ^w(This component only fits into the Medal Slot)</v>
      </c>
      <c r="AB100" s="5" t="s">
        <v>36</v>
      </c>
      <c r="AH100">
        <f t="shared" si="41"/>
        <v>95</v>
      </c>
      <c r="AI100">
        <f t="shared" si="35"/>
        <v>29</v>
      </c>
      <c r="AJ100">
        <f t="shared" si="40"/>
        <v>5</v>
      </c>
    </row>
    <row r="101" spans="1:36" x14ac:dyDescent="0.25">
      <c r="A101" s="5" t="s">
        <v>39</v>
      </c>
      <c r="B101" s="5" t="s">
        <v>30</v>
      </c>
      <c r="C101" s="5" t="str">
        <f t="shared" si="25"/>
        <v>description,dailCompDescNecromancer99,</v>
      </c>
      <c r="D101" s="5" t="str">
        <f t="shared" si="26"/>
        <v>itemText,dailCompTextNecromancer99,</v>
      </c>
      <c r="E101" s="5" t="str">
        <f t="shared" si="36"/>
        <v>augmentSkillLevel1,5,</v>
      </c>
      <c r="F101" s="5" t="str">
        <f t="shared" si="37"/>
        <v>augmentSkillName1,records/skills/playerclass07/bonearmor3.dbr,</v>
      </c>
      <c r="G101" s="7">
        <f t="shared" si="32"/>
        <v>99</v>
      </c>
      <c r="H101" s="8" t="str">
        <f t="shared" si="33"/>
        <v>Necromancer</v>
      </c>
      <c r="I101" s="3" t="s">
        <v>375</v>
      </c>
      <c r="J101" s="8" t="str">
        <f t="shared" ref="J101:K102" si="43">J100</f>
        <v>class0007</v>
      </c>
      <c r="K101" s="8" t="str">
        <f t="shared" si="43"/>
        <v>dailoneskill0007</v>
      </c>
      <c r="L101" s="5" t="str">
        <f t="shared" si="27"/>
        <v>lootName99,DAIL/items/materia/class0007/Necromancer99.dbr,</v>
      </c>
      <c r="M101" s="5" t="str">
        <f t="shared" si="28"/>
        <v>lootWeight99,1,</v>
      </c>
      <c r="N101" t="str">
        <f t="shared" si="29"/>
        <v>5</v>
      </c>
      <c r="O101" t="str">
        <f t="shared" si="38"/>
        <v>copy .\dail_base3.dbr .\items\materia\class0007\Necromancer99.dbr /y</v>
      </c>
      <c r="P101" t="str">
        <f t="shared" si="24"/>
        <v>echo relicBitmap,items/craftingparts/components/component_a52_bristlyfur_b.tex, &gt;&gt; .\items\materia\class0007\Necromancer99.dbr</v>
      </c>
      <c r="Q101" t="str">
        <f t="shared" si="24"/>
        <v>echo itemCost,500000, &gt;&gt; .\items\materia\class0007\Necromancer99.dbr</v>
      </c>
      <c r="R101" t="str">
        <f t="shared" si="24"/>
        <v>echo description,dailCompDescNecromancer99, &gt;&gt; .\items\materia\class0007\Necromancer99.dbr</v>
      </c>
      <c r="S101" t="str">
        <f t="shared" ref="S101:U102" si="44">IF($I101&lt;&gt;"","echo "&amp;D101&amp;" &gt;&gt; .\items\materia\"&amp;$J101&amp;"\"&amp;$H101&amp;$G101&amp;".dbr","")</f>
        <v>echo itemText,dailCompTextNecromancer99, &gt;&gt; .\items\materia\class0007\Necromancer99.dbr</v>
      </c>
      <c r="T101" t="str">
        <f t="shared" si="44"/>
        <v>echo augmentSkillLevel1,5, &gt;&gt; .\items\materia\class0007\Necromancer99.dbr</v>
      </c>
      <c r="U101" t="str">
        <f t="shared" si="44"/>
        <v>echo augmentSkillName1,records/skills/playerclass07/bonearmor3.dbr, &gt;&gt; .\items\materia\class0007\Necromancer99.dbr</v>
      </c>
      <c r="V101" s="5" t="s">
        <v>36</v>
      </c>
      <c r="W101" t="str">
        <f t="shared" si="30"/>
        <v>echo lootName99,DAIL/items/materia/class0007/Necromancer99.dbr, &gt;&gt; .\items\loottables\dailoneskill0007.dbr</v>
      </c>
      <c r="X101" t="str">
        <f t="shared" si="30"/>
        <v>echo lootWeight99,1, &gt;&gt; .\items\loottables\dailoneskill0007.dbr</v>
      </c>
      <c r="Y101" s="5" t="s">
        <v>36</v>
      </c>
      <c r="Z101" t="str">
        <f t="shared" si="31"/>
        <v xml:space="preserve"> dailCompDescNecromancer99=^pNecromancer's Gift of DAIL</v>
      </c>
      <c r="AA101" t="str">
        <f t="shared" si="39"/>
        <v>dailCompTextNecromancer99=^oThis feels warm to the touch, almost familiar ^w(This component only fits into the Medal Slot)</v>
      </c>
      <c r="AB101" s="5" t="s">
        <v>36</v>
      </c>
      <c r="AH101">
        <f t="shared" si="41"/>
        <v>96</v>
      </c>
      <c r="AI101">
        <f t="shared" si="35"/>
        <v>29</v>
      </c>
      <c r="AJ101">
        <f t="shared" si="40"/>
        <v>5</v>
      </c>
    </row>
    <row r="102" spans="1:36" x14ac:dyDescent="0.25">
      <c r="A102" s="5" t="s">
        <v>39</v>
      </c>
      <c r="B102" s="5" t="s">
        <v>30</v>
      </c>
      <c r="C102" s="5" t="str">
        <f t="shared" si="25"/>
        <v>description,dailCompDescNecromancer,</v>
      </c>
      <c r="D102" s="5" t="str">
        <f t="shared" si="26"/>
        <v>itemText,dailCompTextNecromancer,</v>
      </c>
      <c r="E102" s="5" t="str">
        <f t="shared" si="36"/>
        <v>augmentSkillLevel1,5,</v>
      </c>
      <c r="F102" s="5" t="str">
        <f t="shared" si="37"/>
        <v>augmentSkillName1,records/skills,</v>
      </c>
      <c r="G102" s="7" t="str">
        <f t="shared" si="32"/>
        <v/>
      </c>
      <c r="H102" s="8" t="str">
        <f t="shared" si="33"/>
        <v>Necromancer</v>
      </c>
      <c r="J102" s="8" t="str">
        <f t="shared" si="43"/>
        <v>class0007</v>
      </c>
      <c r="K102" s="8" t="str">
        <f t="shared" si="43"/>
        <v>dailoneskill0007</v>
      </c>
      <c r="L102" s="5" t="str">
        <f t="shared" si="27"/>
        <v>lootName,DAIL/items/materia/class0007/Necromancer.dbr,</v>
      </c>
      <c r="M102" s="5" t="str">
        <f t="shared" si="28"/>
        <v>lootWeight,1,</v>
      </c>
      <c r="N102" t="str">
        <f t="shared" si="29"/>
        <v>5</v>
      </c>
      <c r="O102" t="str">
        <f t="shared" si="38"/>
        <v/>
      </c>
      <c r="P102" t="str">
        <f t="shared" ref="P102:R102" si="45">IF($I102&lt;&gt;"","echo "&amp;A102&amp;" &gt;&gt; .\items\materia\"&amp;$J102&amp;"\"&amp;$H102&amp;$G102&amp;".dbr","")</f>
        <v/>
      </c>
      <c r="Q102" t="str">
        <f t="shared" si="45"/>
        <v/>
      </c>
      <c r="R102" t="str">
        <f t="shared" si="45"/>
        <v/>
      </c>
      <c r="S102" t="str">
        <f t="shared" si="44"/>
        <v/>
      </c>
      <c r="T102" t="str">
        <f t="shared" si="44"/>
        <v/>
      </c>
      <c r="U102" t="str">
        <f t="shared" si="44"/>
        <v/>
      </c>
      <c r="V102" s="5" t="s">
        <v>36</v>
      </c>
      <c r="W102" t="str">
        <f t="shared" si="30"/>
        <v/>
      </c>
      <c r="X102" t="str">
        <f t="shared" si="30"/>
        <v/>
      </c>
      <c r="Y102" s="5" t="s">
        <v>36</v>
      </c>
      <c r="Z102" t="str">
        <f t="shared" si="31"/>
        <v xml:space="preserve"> dailCompDescNecromancer=^pNecromancer's Gift of DAIL</v>
      </c>
      <c r="AA102" t="str">
        <f t="shared" si="39"/>
        <v>dailCompTextNecromancer=^oThis feels warm to the touch, almost familiar ^w(This component only fits into the Medal Slot)</v>
      </c>
      <c r="AB102" s="5" t="s">
        <v>36</v>
      </c>
      <c r="AH102">
        <f t="shared" si="41"/>
        <v>97</v>
      </c>
      <c r="AI102">
        <f t="shared" si="35"/>
        <v>0</v>
      </c>
      <c r="AJ102">
        <f t="shared" si="40"/>
        <v>5</v>
      </c>
    </row>
  </sheetData>
  <mergeCells count="1">
    <mergeCell ref="O2:U2"/>
  </mergeCells>
  <pageMargins left="0.7" right="0.7" top="0.75" bottom="0.75" header="0.3" footer="0.3"/>
  <pageSetup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AL102"/>
  <sheetViews>
    <sheetView topLeftCell="M1" zoomScaleNormal="100" workbookViewId="0">
      <selection activeCell="U3" sqref="U3:U102"/>
    </sheetView>
  </sheetViews>
  <sheetFormatPr defaultRowHeight="15" x14ac:dyDescent="0.25"/>
  <cols>
    <col min="1" max="1" width="73.85546875" style="5" bestFit="1" customWidth="1"/>
    <col min="2" max="2" width="16.28515625" style="5" bestFit="1" customWidth="1"/>
    <col min="3" max="3" width="32.7109375" style="5" bestFit="1" customWidth="1"/>
    <col min="4" max="4" width="31.42578125" style="5" bestFit="1" customWidth="1"/>
    <col min="5" max="5" width="24.28515625" style="5" bestFit="1" customWidth="1"/>
    <col min="6" max="6" width="73.5703125" style="5" bestFit="1" customWidth="1"/>
    <col min="7" max="7" width="5.85546875" style="8" bestFit="1" customWidth="1"/>
    <col min="8" max="8" width="7.85546875" style="3" bestFit="1" customWidth="1"/>
    <col min="9" max="9" width="38.140625" style="3" bestFit="1" customWidth="1"/>
    <col min="10" max="10" width="9.140625" style="3" bestFit="1" customWidth="1"/>
    <col min="11" max="11" width="18.140625" style="3" customWidth="1"/>
    <col min="12" max="12" width="51.85546875" style="5" bestFit="1" customWidth="1"/>
    <col min="13" max="13" width="21.28515625" style="5" customWidth="1"/>
    <col min="15" max="15" width="10.5703125" customWidth="1"/>
    <col min="22" max="22" width="1.5703125" style="5" customWidth="1"/>
    <col min="23" max="23" width="9.5703125" customWidth="1"/>
    <col min="25" max="25" width="1.5703125" style="5" bestFit="1" customWidth="1"/>
    <col min="26" max="26" width="46.7109375" bestFit="1" customWidth="1"/>
    <col min="27" max="27" width="29.140625" customWidth="1"/>
    <col min="28" max="28" width="1.5703125" style="5" bestFit="1" customWidth="1"/>
    <col min="31" max="31" width="14.140625" bestFit="1" customWidth="1"/>
  </cols>
  <sheetData>
    <row r="1" spans="1:38" x14ac:dyDescent="0.25">
      <c r="G1" s="5"/>
      <c r="H1" s="5"/>
      <c r="I1" s="5"/>
      <c r="J1" s="5"/>
      <c r="K1" s="5"/>
      <c r="N1" s="5"/>
      <c r="O1" s="9"/>
      <c r="P1" s="9"/>
      <c r="Q1" s="9"/>
      <c r="R1" s="9"/>
      <c r="S1" s="9"/>
      <c r="T1" s="9"/>
      <c r="U1" s="9"/>
      <c r="W1" s="9"/>
      <c r="X1" s="9"/>
      <c r="Z1" s="9"/>
      <c r="AA1" s="9"/>
    </row>
    <row r="2" spans="1:38" x14ac:dyDescent="0.25">
      <c r="A2" s="4" t="s">
        <v>2</v>
      </c>
      <c r="B2" s="4" t="s">
        <v>3</v>
      </c>
      <c r="C2" s="4" t="s">
        <v>4</v>
      </c>
      <c r="D2" s="4" t="s">
        <v>5</v>
      </c>
      <c r="E2" s="4" t="s">
        <v>6</v>
      </c>
      <c r="F2" s="4" t="s">
        <v>7</v>
      </c>
      <c r="G2" s="6" t="s">
        <v>9</v>
      </c>
      <c r="H2" s="2" t="s">
        <v>26</v>
      </c>
      <c r="I2" s="2" t="s">
        <v>8</v>
      </c>
      <c r="J2" s="2" t="s">
        <v>33</v>
      </c>
      <c r="K2" s="2" t="s">
        <v>38</v>
      </c>
      <c r="L2" s="4" t="s">
        <v>31</v>
      </c>
      <c r="M2" s="4" t="s">
        <v>32</v>
      </c>
      <c r="O2" s="11" t="str">
        <f>"Copy from N to T Into the files named "&amp;H3&amp;G3&amp;" etc"</f>
        <v>Copy from N to T Into the files named Ranger1 etc</v>
      </c>
      <c r="P2" s="11"/>
      <c r="Q2" s="11"/>
      <c r="R2" s="11"/>
      <c r="S2" s="11"/>
      <c r="T2" s="11"/>
      <c r="U2" s="11"/>
      <c r="W2" s="1" t="s">
        <v>35</v>
      </c>
      <c r="Z2" s="1" t="s">
        <v>40</v>
      </c>
      <c r="AD2" t="s">
        <v>44</v>
      </c>
    </row>
    <row r="3" spans="1:38" x14ac:dyDescent="0.25">
      <c r="A3" s="5" t="s">
        <v>39</v>
      </c>
      <c r="B3" s="5" t="s">
        <v>0</v>
      </c>
      <c r="C3" s="5" t="str">
        <f t="shared" ref="C3:C66" si="0">"description,dailCompDesc"&amp;H3&amp;G3&amp;","</f>
        <v>description,dailCompDescRanger1,</v>
      </c>
      <c r="D3" s="5" t="str">
        <f>"itemText,dailCompText"&amp;H3&amp;G3&amp;","</f>
        <v>itemText,dailCompTextRanger1,</v>
      </c>
      <c r="E3" s="5" t="s">
        <v>24</v>
      </c>
      <c r="F3" s="5" t="str">
        <f>"augmentMasteryName1,records/skills"&amp;I3&amp;","</f>
        <v>augmentMasteryName1,records/skills/playerclass08/_classtraining_class08.dbr,</v>
      </c>
      <c r="G3" s="7">
        <f>IF(I3&lt;&gt;"",1,"")</f>
        <v>1</v>
      </c>
      <c r="H3" s="3" t="s">
        <v>78</v>
      </c>
      <c r="I3" s="3" t="s">
        <v>166</v>
      </c>
      <c r="J3" s="3" t="s">
        <v>79</v>
      </c>
      <c r="K3" s="3" t="s">
        <v>80</v>
      </c>
      <c r="L3" s="5" t="str">
        <f>"lootName"&amp;G3&amp;",DAIL/items/materia/"&amp;J3&amp;"/"&amp;H3&amp;G3&amp;".dbr"&amp;","</f>
        <v>lootName1,DAIL/items/materia/class0008/Ranger1.dbr,</v>
      </c>
      <c r="M3" s="5" t="str">
        <f>"lootWeight"&amp;G3&amp;",1,"</f>
        <v>lootWeight1,1,</v>
      </c>
      <c r="N3" t="str">
        <f>LEFT(RIGHT(E3,2),1)</f>
        <v>1</v>
      </c>
      <c r="O3" s="5" t="str">
        <f>IF(I3&lt;&gt;"","copy .\dail_base2.dbr .\items\materia\"&amp;J3&amp;"\"&amp;H3&amp;G3&amp;".dbr /y"&amp;"","")</f>
        <v>copy .\dail_base2.dbr .\items\materia\class0008\Ranger1.dbr /y</v>
      </c>
      <c r="P3" t="str">
        <f>IF($I3&lt;&gt;"","echo "&amp;A3&amp;" &gt;&gt; .\items\materia\"&amp;$J3&amp;"\"&amp;$H3&amp;$G3&amp;".dbr","")</f>
        <v>echo relicBitmap,items/craftingparts/components/component_a52_bristlyfur_b.tex, &gt;&gt; .\items\materia\class0008\Ranger1.dbr</v>
      </c>
      <c r="Q3" t="str">
        <f t="shared" ref="Q3:U18" si="1">IF($I3&lt;&gt;"","echo "&amp;B3&amp;" &gt;&gt; .\items\materia\"&amp;$J3&amp;"\"&amp;$H3&amp;$G3&amp;".dbr","")</f>
        <v>echo itemCost,100000, &gt;&gt; .\items\materia\class0008\Ranger1.dbr</v>
      </c>
      <c r="R3" t="str">
        <f t="shared" si="1"/>
        <v>echo description,dailCompDescRanger1, &gt;&gt; .\items\materia\class0008\Ranger1.dbr</v>
      </c>
      <c r="S3" t="str">
        <f t="shared" si="1"/>
        <v>echo itemText,dailCompTextRanger1, &gt;&gt; .\items\materia\class0008\Ranger1.dbr</v>
      </c>
      <c r="T3" t="str">
        <f t="shared" si="1"/>
        <v>echo augmentMasteryLevel1,1, &gt;&gt; .\items\materia\class0008\Ranger1.dbr</v>
      </c>
      <c r="U3" t="str">
        <f t="shared" si="1"/>
        <v>echo augmentMasteryName1,records/skills/playerclass08/_classtraining_class08.dbr, &gt;&gt; .\items\materia\class0008\Ranger1.dbr</v>
      </c>
      <c r="V3" s="5" t="s">
        <v>36</v>
      </c>
      <c r="W3" t="str">
        <f>IF($I3&lt;&gt;"","echo "&amp;L3&amp;" &gt;&gt; .\items\loottables\"&amp;$K3&amp;".dbr","")</f>
        <v>echo lootName1,DAIL/items/materia/class0008/Ranger1.dbr, &gt;&gt; .\items\loottables\dailoneskill0008.dbr</v>
      </c>
      <c r="X3" t="str">
        <f>IF($I3&lt;&gt;"","echo "&amp;M3&amp;" &gt;&gt; .\items\loottables\"&amp;$K3&amp;".dbr","")</f>
        <v>echo lootWeight1,1, &gt;&gt; .\items\loottables\dailoneskill0008.dbr</v>
      </c>
      <c r="Y3" s="5" t="s">
        <v>36</v>
      </c>
      <c r="Z3" s="10" t="str">
        <f>IF(I2&lt;&gt;""," dailCompDesc"&amp;H3&amp;G3&amp;"=^p"&amp;H3&amp;"'s Gift of DAIL","")</f>
        <v xml:space="preserve"> dailCompDescRanger1=^pRanger's Gift of DAIL</v>
      </c>
      <c r="AA3" s="10" t="str">
        <f>IF(I2&lt;&gt;"","dailCompText"&amp;H3&amp;G3&amp;"=^oThis feels warm to the touch, almost familiar ^w(This component fits into the amulet only)","")</f>
        <v>dailCompTextRanger1=^oThis feels warm to the touch, almost familiar ^w(This component fits into the amulet only)</v>
      </c>
      <c r="AB3" s="5" t="s">
        <v>36</v>
      </c>
      <c r="AD3">
        <v>1</v>
      </c>
      <c r="AE3" t="s">
        <v>42</v>
      </c>
      <c r="AF3" t="s">
        <v>45</v>
      </c>
    </row>
    <row r="4" spans="1:38" x14ac:dyDescent="0.25">
      <c r="A4" s="5" t="s">
        <v>39</v>
      </c>
      <c r="B4" s="5" t="s">
        <v>28</v>
      </c>
      <c r="C4" s="5" t="str">
        <f t="shared" si="0"/>
        <v>description,dailCompDescRanger2,</v>
      </c>
      <c r="D4" s="5" t="str">
        <f t="shared" ref="D4:D67" si="2">"itemText,dailCompText"&amp;H4&amp;G4&amp;","</f>
        <v>itemText,dailCompTextRanger2,</v>
      </c>
      <c r="E4" s="5" t="s">
        <v>1</v>
      </c>
      <c r="F4" s="5" t="str">
        <f t="shared" ref="F4:F5" si="3">"augmentMasteryName1,records/skills"&amp;I4&amp;","</f>
        <v>augmentMasteryName1,records/skills/playerclass08/_classtraining_class08.dbr,</v>
      </c>
      <c r="G4" s="7">
        <f>IF(I4&lt;&gt;"",G3+1,"")</f>
        <v>2</v>
      </c>
      <c r="H4" s="8" t="str">
        <f>H3</f>
        <v>Ranger</v>
      </c>
      <c r="I4" s="3" t="s">
        <v>166</v>
      </c>
      <c r="J4" s="8" t="str">
        <f>J3</f>
        <v>class0008</v>
      </c>
      <c r="K4" s="8" t="str">
        <f>K3</f>
        <v>dailoneskill0008</v>
      </c>
      <c r="L4" s="5" t="str">
        <f t="shared" ref="L4:L67" si="4">"lootName"&amp;G4&amp;",DAIL/items/materia/"&amp;J4&amp;"/"&amp;H4&amp;G4&amp;".dbr"&amp;","</f>
        <v>lootName2,DAIL/items/materia/class0008/Ranger2.dbr,</v>
      </c>
      <c r="M4" s="5" t="str">
        <f t="shared" ref="M4:M67" si="5">"lootWeight"&amp;G4&amp;",1,"</f>
        <v>lootWeight2,1,</v>
      </c>
      <c r="N4" t="str">
        <f t="shared" ref="N4:N67" si="6">LEFT(RIGHT(E4,2),1)</f>
        <v>2</v>
      </c>
      <c r="O4" s="5" t="str">
        <f>IF(I4&lt;&gt;"","copy .\dail_base2.dbr .\items\materia\"&amp;J4&amp;"\"&amp;H4&amp;G4&amp;".dbr /y"&amp;"","")</f>
        <v>copy .\dail_base2.dbr .\items\materia\class0008\Ranger2.dbr /y</v>
      </c>
      <c r="P4" t="str">
        <f t="shared" ref="P4:U58" si="7">IF($I4&lt;&gt;"","echo "&amp;A4&amp;" &gt;&gt; .\items\materia\"&amp;$J4&amp;"\"&amp;$H4&amp;$G4&amp;".dbr","")</f>
        <v>echo relicBitmap,items/craftingparts/components/component_a52_bristlyfur_b.tex, &gt;&gt; .\items\materia\class0008\Ranger2.dbr</v>
      </c>
      <c r="Q4" t="str">
        <f t="shared" si="1"/>
        <v>echo itemCost,300000, &gt;&gt; .\items\materia\class0008\Ranger2.dbr</v>
      </c>
      <c r="R4" t="str">
        <f t="shared" si="1"/>
        <v>echo description,dailCompDescRanger2, &gt;&gt; .\items\materia\class0008\Ranger2.dbr</v>
      </c>
      <c r="S4" t="str">
        <f t="shared" si="1"/>
        <v>echo itemText,dailCompTextRanger2, &gt;&gt; .\items\materia\class0008\Ranger2.dbr</v>
      </c>
      <c r="T4" t="str">
        <f t="shared" si="1"/>
        <v>echo augmentMasteryLevel1,2, &gt;&gt; .\items\materia\class0008\Ranger2.dbr</v>
      </c>
      <c r="U4" t="str">
        <f t="shared" si="1"/>
        <v>echo augmentMasteryName1,records/skills/playerclass08/_classtraining_class08.dbr, &gt;&gt; .\items\materia\class0008\Ranger2.dbr</v>
      </c>
      <c r="V4" s="5" t="s">
        <v>36</v>
      </c>
      <c r="W4" t="str">
        <f t="shared" ref="W4:X67" si="8">IF($I4&lt;&gt;"","echo "&amp;L4&amp;" &gt;&gt; .\items\loottables\"&amp;$K4&amp;".dbr","")</f>
        <v>echo lootName2,DAIL/items/materia/class0008/Ranger2.dbr, &gt;&gt; .\items\loottables\dailoneskill0008.dbr</v>
      </c>
      <c r="X4" t="str">
        <f t="shared" si="8"/>
        <v>echo lootWeight2,1, &gt;&gt; .\items\loottables\dailoneskill0008.dbr</v>
      </c>
      <c r="Y4" s="5" t="s">
        <v>36</v>
      </c>
      <c r="Z4" s="10" t="str">
        <f t="shared" ref="Z4:Z67" si="9">IF(I3&lt;&gt;""," dailCompDesc"&amp;H4&amp;G4&amp;"=^p"&amp;H4&amp;"'s Gift of DAIL","")</f>
        <v xml:space="preserve"> dailCompDescRanger2=^pRanger's Gift of DAIL</v>
      </c>
      <c r="AA4" s="10" t="str">
        <f>IF(I3&lt;&gt;"","dailCompText"&amp;H4&amp;G4&amp;"=^oThis feels warm to the touch, almost familiar ^w(This component fits into the amulet only)","")</f>
        <v>dailCompTextRanger2=^oThis feels warm to the touch, almost familiar ^w(This component fits into the amulet only)</v>
      </c>
      <c r="AB4" s="5" t="s">
        <v>36</v>
      </c>
      <c r="AD4">
        <v>3</v>
      </c>
      <c r="AE4" t="s">
        <v>43</v>
      </c>
      <c r="AF4" t="s">
        <v>46</v>
      </c>
    </row>
    <row r="5" spans="1:38" x14ac:dyDescent="0.25">
      <c r="A5" s="5" t="s">
        <v>39</v>
      </c>
      <c r="B5" s="5" t="s">
        <v>29</v>
      </c>
      <c r="C5" s="5" t="str">
        <f t="shared" si="0"/>
        <v>description,dailCompDescRanger3,</v>
      </c>
      <c r="D5" s="5" t="str">
        <f t="shared" si="2"/>
        <v>itemText,dailCompTextRanger3,</v>
      </c>
      <c r="E5" s="5" t="s">
        <v>25</v>
      </c>
      <c r="F5" s="5" t="str">
        <f t="shared" si="3"/>
        <v>augmentMasteryName1,records/skills/playerclass08/_classtraining_class08.dbr,</v>
      </c>
      <c r="G5" s="7">
        <f t="shared" ref="G5:G68" si="10">IF(I5&lt;&gt;"",G4+1,"")</f>
        <v>3</v>
      </c>
      <c r="H5" s="8" t="str">
        <f t="shared" ref="H5:H68" si="11">H4</f>
        <v>Ranger</v>
      </c>
      <c r="I5" s="3" t="s">
        <v>166</v>
      </c>
      <c r="J5" s="8" t="str">
        <f t="shared" ref="J5:K20" si="12">J4</f>
        <v>class0008</v>
      </c>
      <c r="K5" s="8" t="str">
        <f t="shared" si="12"/>
        <v>dailoneskill0008</v>
      </c>
      <c r="L5" s="5" t="str">
        <f t="shared" si="4"/>
        <v>lootName3,DAIL/items/materia/class0008/Ranger3.dbr,</v>
      </c>
      <c r="M5" s="5" t="str">
        <f t="shared" si="5"/>
        <v>lootWeight3,1,</v>
      </c>
      <c r="N5" t="str">
        <f t="shared" si="6"/>
        <v>3</v>
      </c>
      <c r="O5" s="5" t="str">
        <f>IF(I5&lt;&gt;"","copy .\dail_base2.dbr .\items\materia\"&amp;J5&amp;"\"&amp;H5&amp;G5&amp;".dbr /y"&amp;"","")</f>
        <v>copy .\dail_base2.dbr .\items\materia\class0008\Ranger3.dbr /y</v>
      </c>
      <c r="P5" t="str">
        <f t="shared" si="7"/>
        <v>echo relicBitmap,items/craftingparts/components/component_a52_bristlyfur_b.tex, &gt;&gt; .\items\materia\class0008\Ranger3.dbr</v>
      </c>
      <c r="Q5" t="str">
        <f t="shared" si="1"/>
        <v>echo itemCost,600000, &gt;&gt; .\items\materia\class0008\Ranger3.dbr</v>
      </c>
      <c r="R5" t="str">
        <f t="shared" si="1"/>
        <v>echo description,dailCompDescRanger3, &gt;&gt; .\items\materia\class0008\Ranger3.dbr</v>
      </c>
      <c r="S5" t="str">
        <f t="shared" si="1"/>
        <v>echo itemText,dailCompTextRanger3, &gt;&gt; .\items\materia\class0008\Ranger3.dbr</v>
      </c>
      <c r="T5" t="str">
        <f t="shared" si="1"/>
        <v>echo augmentMasteryLevel1,3, &gt;&gt; .\items\materia\class0008\Ranger3.dbr</v>
      </c>
      <c r="U5" t="str">
        <f t="shared" si="1"/>
        <v>echo augmentMasteryName1,records/skills/playerclass08/_classtraining_class08.dbr, &gt;&gt; .\items\materia\class0008\Ranger3.dbr</v>
      </c>
      <c r="V5" s="5" t="s">
        <v>36</v>
      </c>
      <c r="W5" t="str">
        <f t="shared" si="8"/>
        <v>echo lootName3,DAIL/items/materia/class0008/Ranger3.dbr, &gt;&gt; .\items\loottables\dailoneskill0008.dbr</v>
      </c>
      <c r="X5" t="str">
        <f t="shared" si="8"/>
        <v>echo lootWeight3,1, &gt;&gt; .\items\loottables\dailoneskill0008.dbr</v>
      </c>
      <c r="Y5" s="5" t="s">
        <v>36</v>
      </c>
      <c r="Z5" s="10" t="str">
        <f t="shared" si="9"/>
        <v xml:space="preserve"> dailCompDescRanger3=^pRanger's Gift of DAIL</v>
      </c>
      <c r="AA5" s="10" t="str">
        <f>IF(I4&lt;&gt;"","dailCompText"&amp;H5&amp;G5&amp;"=^oThis feels warm to the touch, almost familiar ^w(This component fits into the amulet only)","")</f>
        <v>dailCompTextRanger3=^oThis feels warm to the touch, almost familiar ^w(This component fits into the amulet only)</v>
      </c>
      <c r="AB5" s="5" t="s">
        <v>36</v>
      </c>
      <c r="AD5">
        <v>5</v>
      </c>
      <c r="AE5" t="s">
        <v>43</v>
      </c>
      <c r="AF5" t="s">
        <v>46</v>
      </c>
      <c r="AI5" t="s">
        <v>61</v>
      </c>
    </row>
    <row r="6" spans="1:38" x14ac:dyDescent="0.25">
      <c r="A6" s="5" t="s">
        <v>39</v>
      </c>
      <c r="B6" s="5" t="s">
        <v>0</v>
      </c>
      <c r="C6" s="5" t="str">
        <f t="shared" si="0"/>
        <v>description,dailCompDescRanger4,</v>
      </c>
      <c r="D6" s="5" t="str">
        <f t="shared" si="2"/>
        <v>itemText,dailCompTextRanger4,</v>
      </c>
      <c r="E6" s="5" t="str">
        <f>"augmentSkillLevel1,"&amp;AJ6&amp;","</f>
        <v>augmentSkillLevel1,1,</v>
      </c>
      <c r="F6" s="5" t="str">
        <f>"augmentSkillName1,records/skills"&amp;I6&amp;","</f>
        <v>augmentSkillName1,records/skills/playerclass08/passive4.dbr,</v>
      </c>
      <c r="G6" s="7">
        <f t="shared" si="10"/>
        <v>4</v>
      </c>
      <c r="H6" s="8" t="str">
        <f t="shared" si="11"/>
        <v>Ranger</v>
      </c>
      <c r="I6" s="3" t="s">
        <v>376</v>
      </c>
      <c r="J6" s="8" t="str">
        <f t="shared" si="12"/>
        <v>class0008</v>
      </c>
      <c r="K6" s="8" t="str">
        <f t="shared" si="12"/>
        <v>dailoneskill0008</v>
      </c>
      <c r="L6" s="5" t="str">
        <f t="shared" si="4"/>
        <v>lootName4,DAIL/items/materia/class0008/Ranger4.dbr,</v>
      </c>
      <c r="M6" s="5" t="str">
        <f t="shared" si="5"/>
        <v>lootWeight4,1,</v>
      </c>
      <c r="N6" t="str">
        <f t="shared" si="6"/>
        <v>1</v>
      </c>
      <c r="O6" t="str">
        <f>IF(I6&lt;&gt;"","copy .\"&amp;VLOOKUP(VALUE(N6),$AD$3:$AF$5,2,FALSE)&amp;" .\items\materia\"&amp;J6&amp;"\"&amp;H6&amp;G6&amp;".dbr /y"&amp;"","")</f>
        <v>copy .\dail_base.dbr .\items\materia\class0008\Ranger4.dbr /y</v>
      </c>
      <c r="P6" t="str">
        <f t="shared" si="7"/>
        <v>echo relicBitmap,items/craftingparts/components/component_a52_bristlyfur_b.tex, &gt;&gt; .\items\materia\class0008\Ranger4.dbr</v>
      </c>
      <c r="Q6" t="str">
        <f t="shared" si="1"/>
        <v>echo itemCost,100000, &gt;&gt; .\items\materia\class0008\Ranger4.dbr</v>
      </c>
      <c r="R6" t="str">
        <f t="shared" si="1"/>
        <v>echo description,dailCompDescRanger4, &gt;&gt; .\items\materia\class0008\Ranger4.dbr</v>
      </c>
      <c r="S6" t="str">
        <f t="shared" si="1"/>
        <v>echo itemText,dailCompTextRanger4, &gt;&gt; .\items\materia\class0008\Ranger4.dbr</v>
      </c>
      <c r="T6" t="str">
        <f t="shared" si="1"/>
        <v>echo augmentSkillLevel1,1, &gt;&gt; .\items\materia\class0008\Ranger4.dbr</v>
      </c>
      <c r="U6" t="str">
        <f t="shared" si="1"/>
        <v>echo augmentSkillName1,records/skills/playerclass08/passive4.dbr, &gt;&gt; .\items\materia\class0008\Ranger4.dbr</v>
      </c>
      <c r="V6" s="5" t="s">
        <v>36</v>
      </c>
      <c r="W6" t="str">
        <f t="shared" si="8"/>
        <v>echo lootName4,DAIL/items/materia/class0008/Ranger4.dbr, &gt;&gt; .\items\loottables\dailoneskill0008.dbr</v>
      </c>
      <c r="X6" t="str">
        <f t="shared" si="8"/>
        <v>echo lootWeight4,1, &gt;&gt; .\items\loottables\dailoneskill0008.dbr</v>
      </c>
      <c r="Y6" s="5" t="s">
        <v>36</v>
      </c>
      <c r="Z6" t="str">
        <f t="shared" si="9"/>
        <v xml:space="preserve"> dailCompDescRanger4=^pRanger's Gift of DAIL</v>
      </c>
      <c r="AA6" t="str">
        <f>IF(I5&lt;&gt;"","dailCompText"&amp;H6&amp;G6&amp;"=^oThis feels warm to the touch, almost familiar ^w("&amp;VLOOKUP(VALUE(N6),$AD$3:$AF$5,3,FALSE)&amp;")","")</f>
        <v>dailCompTextRanger4=^oThis feels warm to the touch, almost familiar ^w(This component fits into all Jewellery slots including the Belt And Shoulder)</v>
      </c>
      <c r="AB6" s="5" t="s">
        <v>36</v>
      </c>
      <c r="AH6">
        <v>1</v>
      </c>
      <c r="AI6">
        <f t="shared" ref="AI6:AI37" si="13">LEN(I6)</f>
        <v>27</v>
      </c>
      <c r="AJ6">
        <f>IF(AH6&lt;$AL$7,1,IF(AH6&lt;$AL$8,3,5))</f>
        <v>1</v>
      </c>
      <c r="AK6" s="1" t="s">
        <v>62</v>
      </c>
      <c r="AL6" s="1">
        <f>COUNTIF(AI:AI,"&gt;0")</f>
        <v>97</v>
      </c>
    </row>
    <row r="7" spans="1:38" x14ac:dyDescent="0.25">
      <c r="A7" s="5" t="s">
        <v>39</v>
      </c>
      <c r="B7" s="5" t="s">
        <v>0</v>
      </c>
      <c r="C7" s="5" t="str">
        <f t="shared" si="0"/>
        <v>description,dailCompDescRanger5,</v>
      </c>
      <c r="D7" s="5" t="str">
        <f t="shared" si="2"/>
        <v>itemText,dailCompTextRanger5,</v>
      </c>
      <c r="E7" s="5" t="str">
        <f t="shared" ref="E7:E70" si="14">"augmentSkillLevel1,"&amp;AJ7&amp;","</f>
        <v>augmentSkillLevel1,1,</v>
      </c>
      <c r="F7" s="5" t="str">
        <f t="shared" ref="F7:F70" si="15">"augmentSkillName1,records/skills"&amp;I7&amp;","</f>
        <v>augmentSkillName1,records/skills/playerclass08/windrunner.dbr,</v>
      </c>
      <c r="G7" s="7">
        <f t="shared" si="10"/>
        <v>5</v>
      </c>
      <c r="H7" s="8" t="str">
        <f t="shared" si="11"/>
        <v>Ranger</v>
      </c>
      <c r="I7" s="3" t="s">
        <v>175</v>
      </c>
      <c r="J7" s="8" t="str">
        <f t="shared" si="12"/>
        <v>class0008</v>
      </c>
      <c r="K7" s="8" t="str">
        <f t="shared" si="12"/>
        <v>dailoneskill0008</v>
      </c>
      <c r="L7" s="5" t="str">
        <f t="shared" si="4"/>
        <v>lootName5,DAIL/items/materia/class0008/Ranger5.dbr,</v>
      </c>
      <c r="M7" s="5" t="str">
        <f t="shared" si="5"/>
        <v>lootWeight5,1,</v>
      </c>
      <c r="N7" t="str">
        <f t="shared" si="6"/>
        <v>1</v>
      </c>
      <c r="O7" t="str">
        <f t="shared" ref="O7:O70" si="16">IF(I7&lt;&gt;"","copy .\"&amp;VLOOKUP(VALUE(N7),$AD$3:$AF$5,2,FALSE)&amp;" .\items\materia\"&amp;J7&amp;"\"&amp;H7&amp;G7&amp;".dbr /y"&amp;"","")</f>
        <v>copy .\dail_base.dbr .\items\materia\class0008\Ranger5.dbr /y</v>
      </c>
      <c r="P7" t="str">
        <f t="shared" si="7"/>
        <v>echo relicBitmap,items/craftingparts/components/component_a52_bristlyfur_b.tex, &gt;&gt; .\items\materia\class0008\Ranger5.dbr</v>
      </c>
      <c r="Q7" t="str">
        <f t="shared" si="1"/>
        <v>echo itemCost,100000, &gt;&gt; .\items\materia\class0008\Ranger5.dbr</v>
      </c>
      <c r="R7" t="str">
        <f t="shared" si="1"/>
        <v>echo description,dailCompDescRanger5, &gt;&gt; .\items\materia\class0008\Ranger5.dbr</v>
      </c>
      <c r="S7" t="str">
        <f t="shared" si="1"/>
        <v>echo itemText,dailCompTextRanger5, &gt;&gt; .\items\materia\class0008\Ranger5.dbr</v>
      </c>
      <c r="T7" t="str">
        <f t="shared" si="1"/>
        <v>echo augmentSkillLevel1,1, &gt;&gt; .\items\materia\class0008\Ranger5.dbr</v>
      </c>
      <c r="U7" t="str">
        <f t="shared" si="1"/>
        <v>echo augmentSkillName1,records/skills/playerclass08/windrunner.dbr, &gt;&gt; .\items\materia\class0008\Ranger5.dbr</v>
      </c>
      <c r="V7" s="5" t="s">
        <v>36</v>
      </c>
      <c r="W7" t="str">
        <f t="shared" si="8"/>
        <v>echo lootName5,DAIL/items/materia/class0008/Ranger5.dbr, &gt;&gt; .\items\loottables\dailoneskill0008.dbr</v>
      </c>
      <c r="X7" t="str">
        <f t="shared" si="8"/>
        <v>echo lootWeight5,1, &gt;&gt; .\items\loottables\dailoneskill0008.dbr</v>
      </c>
      <c r="Y7" s="5" t="s">
        <v>36</v>
      </c>
      <c r="Z7" t="str">
        <f t="shared" si="9"/>
        <v xml:space="preserve"> dailCompDescRanger5=^pRanger's Gift of DAIL</v>
      </c>
      <c r="AA7" t="str">
        <f t="shared" ref="AA7:AA70" si="17">IF(I6&lt;&gt;"","dailCompText"&amp;H7&amp;G7&amp;"=^oThis feels warm to the touch, almost familiar ^w("&amp;VLOOKUP(VALUE(N7),$AD$3:$AF$5,3,FALSE)&amp;")","")</f>
        <v>dailCompTextRanger5=^oThis feels warm to the touch, almost familiar ^w(This component fits into all Jewellery slots including the Belt And Shoulder)</v>
      </c>
      <c r="AB7" s="5" t="s">
        <v>36</v>
      </c>
      <c r="AH7">
        <f>AH6+1</f>
        <v>2</v>
      </c>
      <c r="AI7">
        <f t="shared" si="13"/>
        <v>29</v>
      </c>
      <c r="AJ7">
        <f t="shared" ref="AJ7:AJ70" si="18">IF(AH7&lt;$AL$7,1,IF(AH7&lt;$AL$8,3,5))</f>
        <v>1</v>
      </c>
      <c r="AK7">
        <v>1</v>
      </c>
      <c r="AL7">
        <f>AL6/3</f>
        <v>32.333333333333336</v>
      </c>
    </row>
    <row r="8" spans="1:38" x14ac:dyDescent="0.25">
      <c r="A8" s="5" t="s">
        <v>39</v>
      </c>
      <c r="B8" s="5" t="s">
        <v>0</v>
      </c>
      <c r="C8" s="5" t="str">
        <f t="shared" si="0"/>
        <v>description,dailCompDescRanger6,</v>
      </c>
      <c r="D8" s="5" t="str">
        <f t="shared" si="2"/>
        <v>itemText,dailCompTextRanger6,</v>
      </c>
      <c r="E8" s="5" t="str">
        <f t="shared" si="14"/>
        <v>augmentSkillLevel1,1,</v>
      </c>
      <c r="F8" s="5" t="str">
        <f t="shared" si="15"/>
        <v>augmentSkillName1,records/skills/playerclass08/windrunner_ut.dbr,</v>
      </c>
      <c r="G8" s="7">
        <f t="shared" si="10"/>
        <v>6</v>
      </c>
      <c r="H8" s="8" t="str">
        <f t="shared" si="11"/>
        <v>Ranger</v>
      </c>
      <c r="I8" s="3" t="s">
        <v>377</v>
      </c>
      <c r="J8" s="8" t="str">
        <f t="shared" si="12"/>
        <v>class0008</v>
      </c>
      <c r="K8" s="8" t="str">
        <f t="shared" si="12"/>
        <v>dailoneskill0008</v>
      </c>
      <c r="L8" s="5" t="str">
        <f t="shared" si="4"/>
        <v>lootName6,DAIL/items/materia/class0008/Ranger6.dbr,</v>
      </c>
      <c r="M8" s="5" t="str">
        <f t="shared" si="5"/>
        <v>lootWeight6,1,</v>
      </c>
      <c r="N8" t="str">
        <f t="shared" si="6"/>
        <v>1</v>
      </c>
      <c r="O8" t="str">
        <f t="shared" si="16"/>
        <v>copy .\dail_base.dbr .\items\materia\class0008\Ranger6.dbr /y</v>
      </c>
      <c r="P8" t="str">
        <f t="shared" si="7"/>
        <v>echo relicBitmap,items/craftingparts/components/component_a52_bristlyfur_b.tex, &gt;&gt; .\items\materia\class0008\Ranger6.dbr</v>
      </c>
      <c r="Q8" t="str">
        <f t="shared" si="1"/>
        <v>echo itemCost,100000, &gt;&gt; .\items\materia\class0008\Ranger6.dbr</v>
      </c>
      <c r="R8" t="str">
        <f t="shared" si="1"/>
        <v>echo description,dailCompDescRanger6, &gt;&gt; .\items\materia\class0008\Ranger6.dbr</v>
      </c>
      <c r="S8" t="str">
        <f t="shared" si="1"/>
        <v>echo itemText,dailCompTextRanger6, &gt;&gt; .\items\materia\class0008\Ranger6.dbr</v>
      </c>
      <c r="T8" t="str">
        <f t="shared" si="1"/>
        <v>echo augmentSkillLevel1,1, &gt;&gt; .\items\materia\class0008\Ranger6.dbr</v>
      </c>
      <c r="U8" t="str">
        <f t="shared" si="1"/>
        <v>echo augmentSkillName1,records/skills/playerclass08/windrunner_ut.dbr, &gt;&gt; .\items\materia\class0008\Ranger6.dbr</v>
      </c>
      <c r="V8" s="5" t="s">
        <v>36</v>
      </c>
      <c r="W8" t="str">
        <f t="shared" si="8"/>
        <v>echo lootName6,DAIL/items/materia/class0008/Ranger6.dbr, &gt;&gt; .\items\loottables\dailoneskill0008.dbr</v>
      </c>
      <c r="X8" t="str">
        <f t="shared" si="8"/>
        <v>echo lootWeight6,1, &gt;&gt; .\items\loottables\dailoneskill0008.dbr</v>
      </c>
      <c r="Y8" s="5" t="s">
        <v>36</v>
      </c>
      <c r="Z8" t="str">
        <f t="shared" si="9"/>
        <v xml:space="preserve"> dailCompDescRanger6=^pRanger's Gift of DAIL</v>
      </c>
      <c r="AA8" t="str">
        <f t="shared" si="17"/>
        <v>dailCompTextRanger6=^oThis feels warm to the touch, almost familiar ^w(This component fits into all Jewellery slots including the Belt And Shoulder)</v>
      </c>
      <c r="AB8" s="5" t="s">
        <v>36</v>
      </c>
      <c r="AH8">
        <f t="shared" ref="AH8:AH71" si="19">AH7+1</f>
        <v>3</v>
      </c>
      <c r="AI8">
        <f t="shared" si="13"/>
        <v>32</v>
      </c>
      <c r="AJ8">
        <f t="shared" si="18"/>
        <v>1</v>
      </c>
      <c r="AK8" s="1">
        <v>3</v>
      </c>
      <c r="AL8">
        <f>AL7*2</f>
        <v>64.666666666666671</v>
      </c>
    </row>
    <row r="9" spans="1:38" x14ac:dyDescent="0.25">
      <c r="A9" s="5" t="s">
        <v>39</v>
      </c>
      <c r="B9" s="5" t="s">
        <v>0</v>
      </c>
      <c r="C9" s="5" t="str">
        <f t="shared" si="0"/>
        <v>description,dailCompDescRanger7,</v>
      </c>
      <c r="D9" s="5" t="str">
        <f t="shared" si="2"/>
        <v>itemText,dailCompTextRanger7,</v>
      </c>
      <c r="E9" s="5" t="str">
        <f t="shared" si="14"/>
        <v>augmentSkillLevel1,1,</v>
      </c>
      <c r="F9" s="5" t="str">
        <f t="shared" si="15"/>
        <v>augmentSkillName1,records/skills/playerclass08/windrunner_mod.dbr,</v>
      </c>
      <c r="G9" s="7">
        <f t="shared" si="10"/>
        <v>7</v>
      </c>
      <c r="H9" s="8" t="str">
        <f t="shared" si="11"/>
        <v>Ranger</v>
      </c>
      <c r="I9" s="3" t="s">
        <v>378</v>
      </c>
      <c r="J9" s="8" t="str">
        <f t="shared" si="12"/>
        <v>class0008</v>
      </c>
      <c r="K9" s="8" t="str">
        <f t="shared" si="12"/>
        <v>dailoneskill0008</v>
      </c>
      <c r="L9" s="5" t="str">
        <f t="shared" si="4"/>
        <v>lootName7,DAIL/items/materia/class0008/Ranger7.dbr,</v>
      </c>
      <c r="M9" s="5" t="str">
        <f t="shared" si="5"/>
        <v>lootWeight7,1,</v>
      </c>
      <c r="N9" t="str">
        <f t="shared" si="6"/>
        <v>1</v>
      </c>
      <c r="O9" t="str">
        <f t="shared" si="16"/>
        <v>copy .\dail_base.dbr .\items\materia\class0008\Ranger7.dbr /y</v>
      </c>
      <c r="P9" t="str">
        <f t="shared" si="7"/>
        <v>echo relicBitmap,items/craftingparts/components/component_a52_bristlyfur_b.tex, &gt;&gt; .\items\materia\class0008\Ranger7.dbr</v>
      </c>
      <c r="Q9" t="str">
        <f t="shared" si="1"/>
        <v>echo itemCost,100000, &gt;&gt; .\items\materia\class0008\Ranger7.dbr</v>
      </c>
      <c r="R9" t="str">
        <f t="shared" si="1"/>
        <v>echo description,dailCompDescRanger7, &gt;&gt; .\items\materia\class0008\Ranger7.dbr</v>
      </c>
      <c r="S9" t="str">
        <f t="shared" si="1"/>
        <v>echo itemText,dailCompTextRanger7, &gt;&gt; .\items\materia\class0008\Ranger7.dbr</v>
      </c>
      <c r="T9" t="str">
        <f t="shared" si="1"/>
        <v>echo augmentSkillLevel1,1, &gt;&gt; .\items\materia\class0008\Ranger7.dbr</v>
      </c>
      <c r="U9" t="str">
        <f t="shared" si="1"/>
        <v>echo augmentSkillName1,records/skills/playerclass08/windrunner_mod.dbr, &gt;&gt; .\items\materia\class0008\Ranger7.dbr</v>
      </c>
      <c r="V9" s="5" t="s">
        <v>36</v>
      </c>
      <c r="W9" t="str">
        <f t="shared" si="8"/>
        <v>echo lootName7,DAIL/items/materia/class0008/Ranger7.dbr, &gt;&gt; .\items\loottables\dailoneskill0008.dbr</v>
      </c>
      <c r="X9" t="str">
        <f t="shared" si="8"/>
        <v>echo lootWeight7,1, &gt;&gt; .\items\loottables\dailoneskill0008.dbr</v>
      </c>
      <c r="Y9" s="5" t="s">
        <v>36</v>
      </c>
      <c r="Z9" t="str">
        <f t="shared" si="9"/>
        <v xml:space="preserve"> dailCompDescRanger7=^pRanger's Gift of DAIL</v>
      </c>
      <c r="AA9" t="str">
        <f t="shared" si="17"/>
        <v>dailCompTextRanger7=^oThis feels warm to the touch, almost familiar ^w(This component fits into all Jewellery slots including the Belt And Shoulder)</v>
      </c>
      <c r="AB9" s="5" t="s">
        <v>36</v>
      </c>
      <c r="AH9">
        <f t="shared" si="19"/>
        <v>4</v>
      </c>
      <c r="AI9">
        <f t="shared" si="13"/>
        <v>33</v>
      </c>
      <c r="AJ9">
        <f t="shared" si="18"/>
        <v>1</v>
      </c>
      <c r="AK9" s="1">
        <v>5</v>
      </c>
      <c r="AL9">
        <f>AL6</f>
        <v>97</v>
      </c>
    </row>
    <row r="10" spans="1:38" x14ac:dyDescent="0.25">
      <c r="A10" s="5" t="s">
        <v>39</v>
      </c>
      <c r="B10" s="5" t="s">
        <v>0</v>
      </c>
      <c r="C10" s="5" t="str">
        <f t="shared" si="0"/>
        <v>description,dailCompDescRanger8,</v>
      </c>
      <c r="D10" s="5" t="str">
        <f t="shared" si="2"/>
        <v>itemText,dailCompTextRanger8,</v>
      </c>
      <c r="E10" s="5" t="str">
        <f t="shared" si="14"/>
        <v>augmentSkillLevel1,1,</v>
      </c>
      <c r="F10" s="5" t="str">
        <f t="shared" si="15"/>
        <v>augmentSkillName1,records/skills/playerclass08/ammo_storm.dbr,</v>
      </c>
      <c r="G10" s="7">
        <f t="shared" si="10"/>
        <v>8</v>
      </c>
      <c r="H10" s="8" t="str">
        <f t="shared" si="11"/>
        <v>Ranger</v>
      </c>
      <c r="I10" s="3" t="s">
        <v>167</v>
      </c>
      <c r="J10" s="8" t="str">
        <f t="shared" si="12"/>
        <v>class0008</v>
      </c>
      <c r="K10" s="8" t="str">
        <f t="shared" si="12"/>
        <v>dailoneskill0008</v>
      </c>
      <c r="L10" s="5" t="str">
        <f t="shared" si="4"/>
        <v>lootName8,DAIL/items/materia/class0008/Ranger8.dbr,</v>
      </c>
      <c r="M10" s="5" t="str">
        <f t="shared" si="5"/>
        <v>lootWeight8,1,</v>
      </c>
      <c r="N10" t="str">
        <f t="shared" si="6"/>
        <v>1</v>
      </c>
      <c r="O10" t="str">
        <f t="shared" si="16"/>
        <v>copy .\dail_base.dbr .\items\materia\class0008\Ranger8.dbr /y</v>
      </c>
      <c r="P10" t="str">
        <f t="shared" si="7"/>
        <v>echo relicBitmap,items/craftingparts/components/component_a52_bristlyfur_b.tex, &gt;&gt; .\items\materia\class0008\Ranger8.dbr</v>
      </c>
      <c r="Q10" t="str">
        <f t="shared" si="1"/>
        <v>echo itemCost,100000, &gt;&gt; .\items\materia\class0008\Ranger8.dbr</v>
      </c>
      <c r="R10" t="str">
        <f t="shared" si="1"/>
        <v>echo description,dailCompDescRanger8, &gt;&gt; .\items\materia\class0008\Ranger8.dbr</v>
      </c>
      <c r="S10" t="str">
        <f t="shared" si="1"/>
        <v>echo itemText,dailCompTextRanger8, &gt;&gt; .\items\materia\class0008\Ranger8.dbr</v>
      </c>
      <c r="T10" t="str">
        <f t="shared" si="1"/>
        <v>echo augmentSkillLevel1,1, &gt;&gt; .\items\materia\class0008\Ranger8.dbr</v>
      </c>
      <c r="U10" t="str">
        <f t="shared" si="1"/>
        <v>echo augmentSkillName1,records/skills/playerclass08/ammo_storm.dbr, &gt;&gt; .\items\materia\class0008\Ranger8.dbr</v>
      </c>
      <c r="V10" s="5" t="s">
        <v>36</v>
      </c>
      <c r="W10" t="str">
        <f t="shared" si="8"/>
        <v>echo lootName8,DAIL/items/materia/class0008/Ranger8.dbr, &gt;&gt; .\items\loottables\dailoneskill0008.dbr</v>
      </c>
      <c r="X10" t="str">
        <f t="shared" si="8"/>
        <v>echo lootWeight8,1, &gt;&gt; .\items\loottables\dailoneskill0008.dbr</v>
      </c>
      <c r="Y10" s="5" t="s">
        <v>36</v>
      </c>
      <c r="Z10" t="str">
        <f t="shared" si="9"/>
        <v xml:space="preserve"> dailCompDescRanger8=^pRanger's Gift of DAIL</v>
      </c>
      <c r="AA10" t="str">
        <f t="shared" si="17"/>
        <v>dailCompTextRanger8=^oThis feels warm to the touch, almost familiar ^w(This component fits into all Jewellery slots including the Belt And Shoulder)</v>
      </c>
      <c r="AB10" s="5" t="s">
        <v>36</v>
      </c>
      <c r="AH10">
        <f t="shared" si="19"/>
        <v>5</v>
      </c>
      <c r="AI10">
        <f t="shared" si="13"/>
        <v>29</v>
      </c>
      <c r="AJ10">
        <f t="shared" si="18"/>
        <v>1</v>
      </c>
    </row>
    <row r="11" spans="1:38" x14ac:dyDescent="0.25">
      <c r="A11" s="5" t="s">
        <v>39</v>
      </c>
      <c r="B11" s="5" t="s">
        <v>0</v>
      </c>
      <c r="C11" s="5" t="str">
        <f t="shared" si="0"/>
        <v>description,dailCompDescRanger9,</v>
      </c>
      <c r="D11" s="5" t="str">
        <f t="shared" si="2"/>
        <v>itemText,dailCompTextRanger9,</v>
      </c>
      <c r="E11" s="5" t="str">
        <f t="shared" si="14"/>
        <v>augmentSkillLevel1,1,</v>
      </c>
      <c r="F11" s="5" t="str">
        <f t="shared" si="15"/>
        <v>augmentSkillName1,records/skills/playerclass08/ammo_storm_mod.dbr,</v>
      </c>
      <c r="G11" s="7">
        <f t="shared" si="10"/>
        <v>9</v>
      </c>
      <c r="H11" s="8" t="str">
        <f t="shared" si="11"/>
        <v>Ranger</v>
      </c>
      <c r="I11" s="3" t="s">
        <v>379</v>
      </c>
      <c r="J11" s="8" t="str">
        <f t="shared" si="12"/>
        <v>class0008</v>
      </c>
      <c r="K11" s="8" t="str">
        <f t="shared" si="12"/>
        <v>dailoneskill0008</v>
      </c>
      <c r="L11" s="5" t="str">
        <f t="shared" si="4"/>
        <v>lootName9,DAIL/items/materia/class0008/Ranger9.dbr,</v>
      </c>
      <c r="M11" s="5" t="str">
        <f t="shared" si="5"/>
        <v>lootWeight9,1,</v>
      </c>
      <c r="N11" t="str">
        <f t="shared" si="6"/>
        <v>1</v>
      </c>
      <c r="O11" t="str">
        <f t="shared" si="16"/>
        <v>copy .\dail_base.dbr .\items\materia\class0008\Ranger9.dbr /y</v>
      </c>
      <c r="P11" t="str">
        <f t="shared" si="7"/>
        <v>echo relicBitmap,items/craftingparts/components/component_a52_bristlyfur_b.tex, &gt;&gt; .\items\materia\class0008\Ranger9.dbr</v>
      </c>
      <c r="Q11" t="str">
        <f t="shared" si="1"/>
        <v>echo itemCost,100000, &gt;&gt; .\items\materia\class0008\Ranger9.dbr</v>
      </c>
      <c r="R11" t="str">
        <f t="shared" si="1"/>
        <v>echo description,dailCompDescRanger9, &gt;&gt; .\items\materia\class0008\Ranger9.dbr</v>
      </c>
      <c r="S11" t="str">
        <f t="shared" si="1"/>
        <v>echo itemText,dailCompTextRanger9, &gt;&gt; .\items\materia\class0008\Ranger9.dbr</v>
      </c>
      <c r="T11" t="str">
        <f t="shared" si="1"/>
        <v>echo augmentSkillLevel1,1, &gt;&gt; .\items\materia\class0008\Ranger9.dbr</v>
      </c>
      <c r="U11" t="str">
        <f t="shared" si="1"/>
        <v>echo augmentSkillName1,records/skills/playerclass08/ammo_storm_mod.dbr, &gt;&gt; .\items\materia\class0008\Ranger9.dbr</v>
      </c>
      <c r="V11" s="5" t="s">
        <v>36</v>
      </c>
      <c r="W11" t="str">
        <f t="shared" si="8"/>
        <v>echo lootName9,DAIL/items/materia/class0008/Ranger9.dbr, &gt;&gt; .\items\loottables\dailoneskill0008.dbr</v>
      </c>
      <c r="X11" t="str">
        <f t="shared" si="8"/>
        <v>echo lootWeight9,1, &gt;&gt; .\items\loottables\dailoneskill0008.dbr</v>
      </c>
      <c r="Y11" s="5" t="s">
        <v>36</v>
      </c>
      <c r="Z11" t="str">
        <f t="shared" si="9"/>
        <v xml:space="preserve"> dailCompDescRanger9=^pRanger's Gift of DAIL</v>
      </c>
      <c r="AA11" t="str">
        <f t="shared" si="17"/>
        <v>dailCompTextRanger9=^oThis feels warm to the touch, almost familiar ^w(This component fits into all Jewellery slots including the Belt And Shoulder)</v>
      </c>
      <c r="AB11" s="5" t="s">
        <v>36</v>
      </c>
      <c r="AH11">
        <f t="shared" si="19"/>
        <v>6</v>
      </c>
      <c r="AI11">
        <f t="shared" si="13"/>
        <v>33</v>
      </c>
      <c r="AJ11">
        <f t="shared" si="18"/>
        <v>1</v>
      </c>
    </row>
    <row r="12" spans="1:38" x14ac:dyDescent="0.25">
      <c r="A12" s="5" t="s">
        <v>39</v>
      </c>
      <c r="B12" s="5" t="s">
        <v>0</v>
      </c>
      <c r="C12" s="5" t="str">
        <f t="shared" si="0"/>
        <v>description,dailCompDescRanger10,</v>
      </c>
      <c r="D12" s="5" t="str">
        <f t="shared" si="2"/>
        <v>itemText,dailCompTextRanger10,</v>
      </c>
      <c r="E12" s="5" t="str">
        <f t="shared" si="14"/>
        <v>augmentSkillLevel1,1,</v>
      </c>
      <c r="F12" s="5" t="str">
        <f t="shared" si="15"/>
        <v>augmentSkillName1,records/skills/playerclass08/ammo_storm_tra.dbr,</v>
      </c>
      <c r="G12" s="7">
        <f t="shared" si="10"/>
        <v>10</v>
      </c>
      <c r="H12" s="8" t="str">
        <f t="shared" si="11"/>
        <v>Ranger</v>
      </c>
      <c r="I12" s="3" t="s">
        <v>380</v>
      </c>
      <c r="J12" s="8" t="str">
        <f t="shared" si="12"/>
        <v>class0008</v>
      </c>
      <c r="K12" s="8" t="str">
        <f t="shared" si="12"/>
        <v>dailoneskill0008</v>
      </c>
      <c r="L12" s="5" t="str">
        <f t="shared" si="4"/>
        <v>lootName10,DAIL/items/materia/class0008/Ranger10.dbr,</v>
      </c>
      <c r="M12" s="5" t="str">
        <f t="shared" si="5"/>
        <v>lootWeight10,1,</v>
      </c>
      <c r="N12" t="str">
        <f t="shared" si="6"/>
        <v>1</v>
      </c>
      <c r="O12" t="str">
        <f t="shared" si="16"/>
        <v>copy .\dail_base.dbr .\items\materia\class0008\Ranger10.dbr /y</v>
      </c>
      <c r="P12" t="str">
        <f t="shared" si="7"/>
        <v>echo relicBitmap,items/craftingparts/components/component_a52_bristlyfur_b.tex, &gt;&gt; .\items\materia\class0008\Ranger10.dbr</v>
      </c>
      <c r="Q12" t="str">
        <f t="shared" si="1"/>
        <v>echo itemCost,100000, &gt;&gt; .\items\materia\class0008\Ranger10.dbr</v>
      </c>
      <c r="R12" t="str">
        <f t="shared" si="1"/>
        <v>echo description,dailCompDescRanger10, &gt;&gt; .\items\materia\class0008\Ranger10.dbr</v>
      </c>
      <c r="S12" t="str">
        <f t="shared" si="1"/>
        <v>echo itemText,dailCompTextRanger10, &gt;&gt; .\items\materia\class0008\Ranger10.dbr</v>
      </c>
      <c r="T12" t="str">
        <f t="shared" si="1"/>
        <v>echo augmentSkillLevel1,1, &gt;&gt; .\items\materia\class0008\Ranger10.dbr</v>
      </c>
      <c r="U12" t="str">
        <f t="shared" si="1"/>
        <v>echo augmentSkillName1,records/skills/playerclass08/ammo_storm_tra.dbr, &gt;&gt; .\items\materia\class0008\Ranger10.dbr</v>
      </c>
      <c r="V12" s="5" t="s">
        <v>36</v>
      </c>
      <c r="W12" t="str">
        <f t="shared" si="8"/>
        <v>echo lootName10,DAIL/items/materia/class0008/Ranger10.dbr, &gt;&gt; .\items\loottables\dailoneskill0008.dbr</v>
      </c>
      <c r="X12" t="str">
        <f t="shared" si="8"/>
        <v>echo lootWeight10,1, &gt;&gt; .\items\loottables\dailoneskill0008.dbr</v>
      </c>
      <c r="Y12" s="5" t="s">
        <v>36</v>
      </c>
      <c r="Z12" t="str">
        <f t="shared" si="9"/>
        <v xml:space="preserve"> dailCompDescRanger10=^pRanger's Gift of DAIL</v>
      </c>
      <c r="AA12" t="str">
        <f t="shared" si="17"/>
        <v>dailCompTextRanger10=^oThis feels warm to the touch, almost familiar ^w(This component fits into all Jewellery slots including the Belt And Shoulder)</v>
      </c>
      <c r="AB12" s="5" t="s">
        <v>36</v>
      </c>
      <c r="AH12">
        <f t="shared" si="19"/>
        <v>7</v>
      </c>
      <c r="AI12">
        <f t="shared" si="13"/>
        <v>33</v>
      </c>
      <c r="AJ12">
        <f t="shared" si="18"/>
        <v>1</v>
      </c>
    </row>
    <row r="13" spans="1:38" x14ac:dyDescent="0.25">
      <c r="A13" s="5" t="s">
        <v>39</v>
      </c>
      <c r="B13" s="5" t="s">
        <v>0</v>
      </c>
      <c r="C13" s="5" t="str">
        <f t="shared" si="0"/>
        <v>description,dailCompDescRanger11,</v>
      </c>
      <c r="D13" s="5" t="str">
        <f t="shared" si="2"/>
        <v>itemText,dailCompTextRanger11,</v>
      </c>
      <c r="E13" s="5" t="str">
        <f t="shared" si="14"/>
        <v>augmentSkillLevel1,1,</v>
      </c>
      <c r="F13" s="5" t="str">
        <f t="shared" si="15"/>
        <v>augmentSkillName1,records/skills/playerclass08/avoid.dbr,</v>
      </c>
      <c r="G13" s="7">
        <f t="shared" si="10"/>
        <v>11</v>
      </c>
      <c r="H13" s="8" t="str">
        <f t="shared" si="11"/>
        <v>Ranger</v>
      </c>
      <c r="I13" s="3" t="s">
        <v>381</v>
      </c>
      <c r="J13" s="8" t="str">
        <f t="shared" si="12"/>
        <v>class0008</v>
      </c>
      <c r="K13" s="8" t="str">
        <f t="shared" si="12"/>
        <v>dailoneskill0008</v>
      </c>
      <c r="L13" s="5" t="str">
        <f t="shared" si="4"/>
        <v>lootName11,DAIL/items/materia/class0008/Ranger11.dbr,</v>
      </c>
      <c r="M13" s="5" t="str">
        <f t="shared" si="5"/>
        <v>lootWeight11,1,</v>
      </c>
      <c r="N13" t="str">
        <f t="shared" si="6"/>
        <v>1</v>
      </c>
      <c r="O13" t="str">
        <f t="shared" si="16"/>
        <v>copy .\dail_base.dbr .\items\materia\class0008\Ranger11.dbr /y</v>
      </c>
      <c r="P13" t="str">
        <f t="shared" si="7"/>
        <v>echo relicBitmap,items/craftingparts/components/component_a52_bristlyfur_b.tex, &gt;&gt; .\items\materia\class0008\Ranger11.dbr</v>
      </c>
      <c r="Q13" t="str">
        <f t="shared" si="1"/>
        <v>echo itemCost,100000, &gt;&gt; .\items\materia\class0008\Ranger11.dbr</v>
      </c>
      <c r="R13" t="str">
        <f t="shared" si="1"/>
        <v>echo description,dailCompDescRanger11, &gt;&gt; .\items\materia\class0008\Ranger11.dbr</v>
      </c>
      <c r="S13" t="str">
        <f t="shared" si="1"/>
        <v>echo itemText,dailCompTextRanger11, &gt;&gt; .\items\materia\class0008\Ranger11.dbr</v>
      </c>
      <c r="T13" t="str">
        <f t="shared" si="1"/>
        <v>echo augmentSkillLevel1,1, &gt;&gt; .\items\materia\class0008\Ranger11.dbr</v>
      </c>
      <c r="U13" t="str">
        <f t="shared" si="1"/>
        <v>echo augmentSkillName1,records/skills/playerclass08/avoid.dbr, &gt;&gt; .\items\materia\class0008\Ranger11.dbr</v>
      </c>
      <c r="V13" s="5" t="s">
        <v>36</v>
      </c>
      <c r="W13" t="str">
        <f t="shared" si="8"/>
        <v>echo lootName11,DAIL/items/materia/class0008/Ranger11.dbr, &gt;&gt; .\items\loottables\dailoneskill0008.dbr</v>
      </c>
      <c r="X13" t="str">
        <f t="shared" si="8"/>
        <v>echo lootWeight11,1, &gt;&gt; .\items\loottables\dailoneskill0008.dbr</v>
      </c>
      <c r="Y13" s="5" t="s">
        <v>36</v>
      </c>
      <c r="Z13" t="str">
        <f t="shared" si="9"/>
        <v xml:space="preserve"> dailCompDescRanger11=^pRanger's Gift of DAIL</v>
      </c>
      <c r="AA13" t="str">
        <f t="shared" si="17"/>
        <v>dailCompTextRanger11=^oThis feels warm to the touch, almost familiar ^w(This component fits into all Jewellery slots including the Belt And Shoulder)</v>
      </c>
      <c r="AB13" s="5" t="s">
        <v>36</v>
      </c>
      <c r="AH13">
        <f t="shared" si="19"/>
        <v>8</v>
      </c>
      <c r="AI13">
        <f t="shared" si="13"/>
        <v>24</v>
      </c>
      <c r="AJ13">
        <f t="shared" si="18"/>
        <v>1</v>
      </c>
    </row>
    <row r="14" spans="1:38" x14ac:dyDescent="0.25">
      <c r="A14" s="5" t="s">
        <v>39</v>
      </c>
      <c r="B14" s="5" t="s">
        <v>0</v>
      </c>
      <c r="C14" s="5" t="str">
        <f t="shared" si="0"/>
        <v>description,dailCompDescRanger12,</v>
      </c>
      <c r="D14" s="5" t="str">
        <f t="shared" si="2"/>
        <v>itemText,dailCompTextRanger12,</v>
      </c>
      <c r="E14" s="5" t="str">
        <f t="shared" si="14"/>
        <v>augmentSkillLevel1,1,</v>
      </c>
      <c r="F14" s="5" t="str">
        <f t="shared" si="15"/>
        <v>augmentSkillName1,records/skills/playerclass08/coup_de_grace.dbr,</v>
      </c>
      <c r="G14" s="7">
        <f t="shared" si="10"/>
        <v>12</v>
      </c>
      <c r="H14" s="8" t="str">
        <f t="shared" si="11"/>
        <v>Ranger</v>
      </c>
      <c r="I14" s="3" t="s">
        <v>168</v>
      </c>
      <c r="J14" s="8" t="str">
        <f t="shared" si="12"/>
        <v>class0008</v>
      </c>
      <c r="K14" s="8" t="str">
        <f t="shared" si="12"/>
        <v>dailoneskill0008</v>
      </c>
      <c r="L14" s="5" t="str">
        <f t="shared" si="4"/>
        <v>lootName12,DAIL/items/materia/class0008/Ranger12.dbr,</v>
      </c>
      <c r="M14" s="5" t="str">
        <f t="shared" si="5"/>
        <v>lootWeight12,1,</v>
      </c>
      <c r="N14" t="str">
        <f t="shared" si="6"/>
        <v>1</v>
      </c>
      <c r="O14" t="str">
        <f t="shared" si="16"/>
        <v>copy .\dail_base.dbr .\items\materia\class0008\Ranger12.dbr /y</v>
      </c>
      <c r="P14" t="str">
        <f t="shared" si="7"/>
        <v>echo relicBitmap,items/craftingparts/components/component_a52_bristlyfur_b.tex, &gt;&gt; .\items\materia\class0008\Ranger12.dbr</v>
      </c>
      <c r="Q14" t="str">
        <f t="shared" si="1"/>
        <v>echo itemCost,100000, &gt;&gt; .\items\materia\class0008\Ranger12.dbr</v>
      </c>
      <c r="R14" t="str">
        <f t="shared" si="1"/>
        <v>echo description,dailCompDescRanger12, &gt;&gt; .\items\materia\class0008\Ranger12.dbr</v>
      </c>
      <c r="S14" t="str">
        <f t="shared" si="1"/>
        <v>echo itemText,dailCompTextRanger12, &gt;&gt; .\items\materia\class0008\Ranger12.dbr</v>
      </c>
      <c r="T14" t="str">
        <f t="shared" si="1"/>
        <v>echo augmentSkillLevel1,1, &gt;&gt; .\items\materia\class0008\Ranger12.dbr</v>
      </c>
      <c r="U14" t="str">
        <f t="shared" si="1"/>
        <v>echo augmentSkillName1,records/skills/playerclass08/coup_de_grace.dbr, &gt;&gt; .\items\materia\class0008\Ranger12.dbr</v>
      </c>
      <c r="V14" s="5" t="s">
        <v>36</v>
      </c>
      <c r="W14" t="str">
        <f t="shared" si="8"/>
        <v>echo lootName12,DAIL/items/materia/class0008/Ranger12.dbr, &gt;&gt; .\items\loottables\dailoneskill0008.dbr</v>
      </c>
      <c r="X14" t="str">
        <f t="shared" si="8"/>
        <v>echo lootWeight12,1, &gt;&gt; .\items\loottables\dailoneskill0008.dbr</v>
      </c>
      <c r="Y14" s="5" t="s">
        <v>36</v>
      </c>
      <c r="Z14" t="str">
        <f t="shared" si="9"/>
        <v xml:space="preserve"> dailCompDescRanger12=^pRanger's Gift of DAIL</v>
      </c>
      <c r="AA14" t="str">
        <f t="shared" si="17"/>
        <v>dailCompTextRanger12=^oThis feels warm to the touch, almost familiar ^w(This component fits into all Jewellery slots including the Belt And Shoulder)</v>
      </c>
      <c r="AB14" s="5" t="s">
        <v>36</v>
      </c>
      <c r="AH14">
        <f t="shared" si="19"/>
        <v>9</v>
      </c>
      <c r="AI14">
        <f t="shared" si="13"/>
        <v>32</v>
      </c>
      <c r="AJ14">
        <f t="shared" si="18"/>
        <v>1</v>
      </c>
    </row>
    <row r="15" spans="1:38" x14ac:dyDescent="0.25">
      <c r="A15" s="5" t="s">
        <v>39</v>
      </c>
      <c r="B15" s="5" t="s">
        <v>0</v>
      </c>
      <c r="C15" s="5" t="str">
        <f t="shared" si="0"/>
        <v>description,dailCompDescRanger13,</v>
      </c>
      <c r="D15" s="5" t="str">
        <f t="shared" si="2"/>
        <v>itemText,dailCompTextRanger13,</v>
      </c>
      <c r="E15" s="5" t="str">
        <f t="shared" si="14"/>
        <v>augmentSkillLevel1,1,</v>
      </c>
      <c r="F15" s="5" t="str">
        <f t="shared" si="15"/>
        <v>augmentSkillName1,records/skills/playerclass08/coup_de_grace_mod.dbr,</v>
      </c>
      <c r="G15" s="7">
        <f t="shared" si="10"/>
        <v>13</v>
      </c>
      <c r="H15" s="8" t="str">
        <f t="shared" si="11"/>
        <v>Ranger</v>
      </c>
      <c r="I15" s="3" t="s">
        <v>382</v>
      </c>
      <c r="J15" s="8" t="str">
        <f t="shared" si="12"/>
        <v>class0008</v>
      </c>
      <c r="K15" s="8" t="str">
        <f t="shared" si="12"/>
        <v>dailoneskill0008</v>
      </c>
      <c r="L15" s="5" t="str">
        <f t="shared" si="4"/>
        <v>lootName13,DAIL/items/materia/class0008/Ranger13.dbr,</v>
      </c>
      <c r="M15" s="5" t="str">
        <f t="shared" si="5"/>
        <v>lootWeight13,1,</v>
      </c>
      <c r="N15" t="str">
        <f t="shared" si="6"/>
        <v>1</v>
      </c>
      <c r="O15" t="str">
        <f t="shared" si="16"/>
        <v>copy .\dail_base.dbr .\items\materia\class0008\Ranger13.dbr /y</v>
      </c>
      <c r="P15" t="str">
        <f t="shared" si="7"/>
        <v>echo relicBitmap,items/craftingparts/components/component_a52_bristlyfur_b.tex, &gt;&gt; .\items\materia\class0008\Ranger13.dbr</v>
      </c>
      <c r="Q15" t="str">
        <f t="shared" si="1"/>
        <v>echo itemCost,100000, &gt;&gt; .\items\materia\class0008\Ranger13.dbr</v>
      </c>
      <c r="R15" t="str">
        <f t="shared" si="1"/>
        <v>echo description,dailCompDescRanger13, &gt;&gt; .\items\materia\class0008\Ranger13.dbr</v>
      </c>
      <c r="S15" t="str">
        <f t="shared" si="1"/>
        <v>echo itemText,dailCompTextRanger13, &gt;&gt; .\items\materia\class0008\Ranger13.dbr</v>
      </c>
      <c r="T15" t="str">
        <f t="shared" si="1"/>
        <v>echo augmentSkillLevel1,1, &gt;&gt; .\items\materia\class0008\Ranger13.dbr</v>
      </c>
      <c r="U15" t="str">
        <f t="shared" si="1"/>
        <v>echo augmentSkillName1,records/skills/playerclass08/coup_de_grace_mod.dbr, &gt;&gt; .\items\materia\class0008\Ranger13.dbr</v>
      </c>
      <c r="V15" s="5" t="s">
        <v>36</v>
      </c>
      <c r="W15" t="str">
        <f t="shared" si="8"/>
        <v>echo lootName13,DAIL/items/materia/class0008/Ranger13.dbr, &gt;&gt; .\items\loottables\dailoneskill0008.dbr</v>
      </c>
      <c r="X15" t="str">
        <f t="shared" si="8"/>
        <v>echo lootWeight13,1, &gt;&gt; .\items\loottables\dailoneskill0008.dbr</v>
      </c>
      <c r="Y15" s="5" t="s">
        <v>36</v>
      </c>
      <c r="Z15" t="str">
        <f t="shared" si="9"/>
        <v xml:space="preserve"> dailCompDescRanger13=^pRanger's Gift of DAIL</v>
      </c>
      <c r="AA15" t="str">
        <f t="shared" si="17"/>
        <v>dailCompTextRanger13=^oThis feels warm to the touch, almost familiar ^w(This component fits into all Jewellery slots including the Belt And Shoulder)</v>
      </c>
      <c r="AB15" s="5" t="s">
        <v>36</v>
      </c>
      <c r="AH15">
        <f t="shared" si="19"/>
        <v>10</v>
      </c>
      <c r="AI15">
        <f t="shared" si="13"/>
        <v>36</v>
      </c>
      <c r="AJ15">
        <f t="shared" si="18"/>
        <v>1</v>
      </c>
    </row>
    <row r="16" spans="1:38" x14ac:dyDescent="0.25">
      <c r="A16" s="5" t="s">
        <v>39</v>
      </c>
      <c r="B16" s="5" t="s">
        <v>0</v>
      </c>
      <c r="C16" s="5" t="str">
        <f t="shared" si="0"/>
        <v>description,dailCompDescRanger14,</v>
      </c>
      <c r="D16" s="5" t="str">
        <f t="shared" si="2"/>
        <v>itemText,dailCompTextRanger14,</v>
      </c>
      <c r="E16" s="5" t="str">
        <f t="shared" si="14"/>
        <v>augmentSkillLevel1,1,</v>
      </c>
      <c r="F16" s="5" t="str">
        <f t="shared" si="15"/>
        <v>augmentSkillName1,records/skills/playerclass08/mult_attack.dbr,</v>
      </c>
      <c r="G16" s="7">
        <f t="shared" si="10"/>
        <v>14</v>
      </c>
      <c r="H16" s="8" t="str">
        <f t="shared" si="11"/>
        <v>Ranger</v>
      </c>
      <c r="I16" s="3" t="s">
        <v>172</v>
      </c>
      <c r="J16" s="8" t="str">
        <f t="shared" si="12"/>
        <v>class0008</v>
      </c>
      <c r="K16" s="8" t="str">
        <f t="shared" si="12"/>
        <v>dailoneskill0008</v>
      </c>
      <c r="L16" s="5" t="str">
        <f t="shared" si="4"/>
        <v>lootName14,DAIL/items/materia/class0008/Ranger14.dbr,</v>
      </c>
      <c r="M16" s="5" t="str">
        <f t="shared" si="5"/>
        <v>lootWeight14,1,</v>
      </c>
      <c r="N16" t="str">
        <f t="shared" si="6"/>
        <v>1</v>
      </c>
      <c r="O16" t="str">
        <f t="shared" si="16"/>
        <v>copy .\dail_base.dbr .\items\materia\class0008\Ranger14.dbr /y</v>
      </c>
      <c r="P16" t="str">
        <f t="shared" si="7"/>
        <v>echo relicBitmap,items/craftingparts/components/component_a52_bristlyfur_b.tex, &gt;&gt; .\items\materia\class0008\Ranger14.dbr</v>
      </c>
      <c r="Q16" t="str">
        <f t="shared" si="1"/>
        <v>echo itemCost,100000, &gt;&gt; .\items\materia\class0008\Ranger14.dbr</v>
      </c>
      <c r="R16" t="str">
        <f t="shared" si="1"/>
        <v>echo description,dailCompDescRanger14, &gt;&gt; .\items\materia\class0008\Ranger14.dbr</v>
      </c>
      <c r="S16" t="str">
        <f t="shared" si="1"/>
        <v>echo itemText,dailCompTextRanger14, &gt;&gt; .\items\materia\class0008\Ranger14.dbr</v>
      </c>
      <c r="T16" t="str">
        <f t="shared" si="1"/>
        <v>echo augmentSkillLevel1,1, &gt;&gt; .\items\materia\class0008\Ranger14.dbr</v>
      </c>
      <c r="U16" t="str">
        <f t="shared" si="1"/>
        <v>echo augmentSkillName1,records/skills/playerclass08/mult_attack.dbr, &gt;&gt; .\items\materia\class0008\Ranger14.dbr</v>
      </c>
      <c r="V16" s="5" t="s">
        <v>36</v>
      </c>
      <c r="W16" t="str">
        <f t="shared" si="8"/>
        <v>echo lootName14,DAIL/items/materia/class0008/Ranger14.dbr, &gt;&gt; .\items\loottables\dailoneskill0008.dbr</v>
      </c>
      <c r="X16" t="str">
        <f t="shared" si="8"/>
        <v>echo lootWeight14,1, &gt;&gt; .\items\loottables\dailoneskill0008.dbr</v>
      </c>
      <c r="Y16" s="5" t="s">
        <v>36</v>
      </c>
      <c r="Z16" t="str">
        <f t="shared" si="9"/>
        <v xml:space="preserve"> dailCompDescRanger14=^pRanger's Gift of DAIL</v>
      </c>
      <c r="AA16" t="str">
        <f t="shared" si="17"/>
        <v>dailCompTextRanger14=^oThis feels warm to the touch, almost familiar ^w(This component fits into all Jewellery slots including the Belt And Shoulder)</v>
      </c>
      <c r="AB16" s="5" t="s">
        <v>36</v>
      </c>
      <c r="AH16">
        <f t="shared" si="19"/>
        <v>11</v>
      </c>
      <c r="AI16">
        <f t="shared" si="13"/>
        <v>30</v>
      </c>
      <c r="AJ16">
        <f t="shared" si="18"/>
        <v>1</v>
      </c>
    </row>
    <row r="17" spans="1:36" x14ac:dyDescent="0.25">
      <c r="A17" s="5" t="s">
        <v>39</v>
      </c>
      <c r="B17" s="5" t="s">
        <v>0</v>
      </c>
      <c r="C17" s="5" t="str">
        <f t="shared" si="0"/>
        <v>description,dailCompDescRanger15,</v>
      </c>
      <c r="D17" s="5" t="str">
        <f t="shared" si="2"/>
        <v>itemText,dailCompTextRanger15,</v>
      </c>
      <c r="E17" s="5" t="str">
        <f t="shared" si="14"/>
        <v>augmentSkillLevel1,1,</v>
      </c>
      <c r="F17" s="5" t="str">
        <f t="shared" si="15"/>
        <v>augmentSkillName1,records/skills/playerclass08/coup_mod.dbr,</v>
      </c>
      <c r="G17" s="7">
        <f t="shared" si="10"/>
        <v>15</v>
      </c>
      <c r="H17" s="8" t="str">
        <f t="shared" si="11"/>
        <v>Ranger</v>
      </c>
      <c r="I17" s="3" t="s">
        <v>169</v>
      </c>
      <c r="J17" s="8" t="str">
        <f t="shared" si="12"/>
        <v>class0008</v>
      </c>
      <c r="K17" s="8" t="str">
        <f t="shared" si="12"/>
        <v>dailoneskill0008</v>
      </c>
      <c r="L17" s="5" t="str">
        <f t="shared" si="4"/>
        <v>lootName15,DAIL/items/materia/class0008/Ranger15.dbr,</v>
      </c>
      <c r="M17" s="5" t="str">
        <f t="shared" si="5"/>
        <v>lootWeight15,1,</v>
      </c>
      <c r="N17" t="str">
        <f t="shared" si="6"/>
        <v>1</v>
      </c>
      <c r="O17" t="str">
        <f t="shared" si="16"/>
        <v>copy .\dail_base.dbr .\items\materia\class0008\Ranger15.dbr /y</v>
      </c>
      <c r="P17" t="str">
        <f t="shared" si="7"/>
        <v>echo relicBitmap,items/craftingparts/components/component_a52_bristlyfur_b.tex, &gt;&gt; .\items\materia\class0008\Ranger15.dbr</v>
      </c>
      <c r="Q17" t="str">
        <f t="shared" si="1"/>
        <v>echo itemCost,100000, &gt;&gt; .\items\materia\class0008\Ranger15.dbr</v>
      </c>
      <c r="R17" t="str">
        <f t="shared" si="1"/>
        <v>echo description,dailCompDescRanger15, &gt;&gt; .\items\materia\class0008\Ranger15.dbr</v>
      </c>
      <c r="S17" t="str">
        <f t="shared" si="1"/>
        <v>echo itemText,dailCompTextRanger15, &gt;&gt; .\items\materia\class0008\Ranger15.dbr</v>
      </c>
      <c r="T17" t="str">
        <f t="shared" si="1"/>
        <v>echo augmentSkillLevel1,1, &gt;&gt; .\items\materia\class0008\Ranger15.dbr</v>
      </c>
      <c r="U17" t="str">
        <f t="shared" si="1"/>
        <v>echo augmentSkillName1,records/skills/playerclass08/coup_mod.dbr, &gt;&gt; .\items\materia\class0008\Ranger15.dbr</v>
      </c>
      <c r="V17" s="5" t="s">
        <v>36</v>
      </c>
      <c r="W17" t="str">
        <f t="shared" si="8"/>
        <v>echo lootName15,DAIL/items/materia/class0008/Ranger15.dbr, &gt;&gt; .\items\loottables\dailoneskill0008.dbr</v>
      </c>
      <c r="X17" t="str">
        <f t="shared" si="8"/>
        <v>echo lootWeight15,1, &gt;&gt; .\items\loottables\dailoneskill0008.dbr</v>
      </c>
      <c r="Y17" s="5" t="s">
        <v>36</v>
      </c>
      <c r="Z17" t="str">
        <f t="shared" si="9"/>
        <v xml:space="preserve"> dailCompDescRanger15=^pRanger's Gift of DAIL</v>
      </c>
      <c r="AA17" t="str">
        <f t="shared" si="17"/>
        <v>dailCompTextRanger15=^oThis feels warm to the touch, almost familiar ^w(This component fits into all Jewellery slots including the Belt And Shoulder)</v>
      </c>
      <c r="AB17" s="5" t="s">
        <v>36</v>
      </c>
      <c r="AH17">
        <f t="shared" si="19"/>
        <v>12</v>
      </c>
      <c r="AI17">
        <f t="shared" si="13"/>
        <v>27</v>
      </c>
      <c r="AJ17">
        <f t="shared" si="18"/>
        <v>1</v>
      </c>
    </row>
    <row r="18" spans="1:36" x14ac:dyDescent="0.25">
      <c r="A18" s="5" t="s">
        <v>39</v>
      </c>
      <c r="B18" s="5" t="s">
        <v>0</v>
      </c>
      <c r="C18" s="5" t="str">
        <f t="shared" si="0"/>
        <v>description,dailCompDescRanger16,</v>
      </c>
      <c r="D18" s="5" t="str">
        <f t="shared" si="2"/>
        <v>itemText,dailCompTextRanger16,</v>
      </c>
      <c r="E18" s="5" t="str">
        <f t="shared" si="14"/>
        <v>augmentSkillLevel1,1,</v>
      </c>
      <c r="F18" s="5" t="str">
        <f t="shared" si="15"/>
        <v>augmentSkillName1,records/skills/playerclass08/windrunner_ut.dbr,</v>
      </c>
      <c r="G18" s="7">
        <f t="shared" si="10"/>
        <v>16</v>
      </c>
      <c r="H18" s="8" t="str">
        <f t="shared" si="11"/>
        <v>Ranger</v>
      </c>
      <c r="I18" s="3" t="s">
        <v>377</v>
      </c>
      <c r="J18" s="8" t="str">
        <f t="shared" si="12"/>
        <v>class0008</v>
      </c>
      <c r="K18" s="8" t="str">
        <f t="shared" si="12"/>
        <v>dailoneskill0008</v>
      </c>
      <c r="L18" s="5" t="str">
        <f t="shared" si="4"/>
        <v>lootName16,DAIL/items/materia/class0008/Ranger16.dbr,</v>
      </c>
      <c r="M18" s="5" t="str">
        <f t="shared" si="5"/>
        <v>lootWeight16,1,</v>
      </c>
      <c r="N18" t="str">
        <f t="shared" si="6"/>
        <v>1</v>
      </c>
      <c r="O18" t="str">
        <f t="shared" si="16"/>
        <v>copy .\dail_base.dbr .\items\materia\class0008\Ranger16.dbr /y</v>
      </c>
      <c r="P18" t="str">
        <f t="shared" si="7"/>
        <v>echo relicBitmap,items/craftingparts/components/component_a52_bristlyfur_b.tex, &gt;&gt; .\items\materia\class0008\Ranger16.dbr</v>
      </c>
      <c r="Q18" t="str">
        <f t="shared" si="1"/>
        <v>echo itemCost,100000, &gt;&gt; .\items\materia\class0008\Ranger16.dbr</v>
      </c>
      <c r="R18" t="str">
        <f t="shared" si="1"/>
        <v>echo description,dailCompDescRanger16, &gt;&gt; .\items\materia\class0008\Ranger16.dbr</v>
      </c>
      <c r="S18" t="str">
        <f t="shared" si="1"/>
        <v>echo itemText,dailCompTextRanger16, &gt;&gt; .\items\materia\class0008\Ranger16.dbr</v>
      </c>
      <c r="T18" t="str">
        <f t="shared" si="1"/>
        <v>echo augmentSkillLevel1,1, &gt;&gt; .\items\materia\class0008\Ranger16.dbr</v>
      </c>
      <c r="U18" t="str">
        <f t="shared" si="1"/>
        <v>echo augmentSkillName1,records/skills/playerclass08/windrunner_ut.dbr, &gt;&gt; .\items\materia\class0008\Ranger16.dbr</v>
      </c>
      <c r="V18" s="5" t="s">
        <v>36</v>
      </c>
      <c r="W18" t="str">
        <f t="shared" si="8"/>
        <v>echo lootName16,DAIL/items/materia/class0008/Ranger16.dbr, &gt;&gt; .\items\loottables\dailoneskill0008.dbr</v>
      </c>
      <c r="X18" t="str">
        <f t="shared" si="8"/>
        <v>echo lootWeight16,1, &gt;&gt; .\items\loottables\dailoneskill0008.dbr</v>
      </c>
      <c r="Y18" s="5" t="s">
        <v>36</v>
      </c>
      <c r="Z18" t="str">
        <f t="shared" si="9"/>
        <v xml:space="preserve"> dailCompDescRanger16=^pRanger's Gift of DAIL</v>
      </c>
      <c r="AA18" t="str">
        <f t="shared" si="17"/>
        <v>dailCompTextRanger16=^oThis feels warm to the touch, almost familiar ^w(This component fits into all Jewellery slots including the Belt And Shoulder)</v>
      </c>
      <c r="AB18" s="5" t="s">
        <v>36</v>
      </c>
      <c r="AH18">
        <f t="shared" si="19"/>
        <v>13</v>
      </c>
      <c r="AI18">
        <f t="shared" si="13"/>
        <v>32</v>
      </c>
      <c r="AJ18">
        <f t="shared" si="18"/>
        <v>1</v>
      </c>
    </row>
    <row r="19" spans="1:36" x14ac:dyDescent="0.25">
      <c r="A19" s="5" t="s">
        <v>39</v>
      </c>
      <c r="B19" s="5" t="s">
        <v>28</v>
      </c>
      <c r="C19" s="5" t="str">
        <f t="shared" si="0"/>
        <v>description,dailCompDescRanger17,</v>
      </c>
      <c r="D19" s="5" t="str">
        <f t="shared" si="2"/>
        <v>itemText,dailCompTextRanger17,</v>
      </c>
      <c r="E19" s="5" t="str">
        <f t="shared" si="14"/>
        <v>augmentSkillLevel1,1,</v>
      </c>
      <c r="F19" s="5" t="str">
        <f t="shared" si="15"/>
        <v>augmentSkillName1,records/skills/playerclass08/cur_attack.dbr,</v>
      </c>
      <c r="G19" s="7">
        <f t="shared" si="10"/>
        <v>17</v>
      </c>
      <c r="H19" s="8" t="str">
        <f t="shared" si="11"/>
        <v>Ranger</v>
      </c>
      <c r="I19" s="3" t="s">
        <v>171</v>
      </c>
      <c r="J19" s="8" t="str">
        <f t="shared" si="12"/>
        <v>class0008</v>
      </c>
      <c r="K19" s="8" t="str">
        <f t="shared" si="12"/>
        <v>dailoneskill0008</v>
      </c>
      <c r="L19" s="5" t="str">
        <f t="shared" si="4"/>
        <v>lootName17,DAIL/items/materia/class0008/Ranger17.dbr,</v>
      </c>
      <c r="M19" s="5" t="str">
        <f t="shared" si="5"/>
        <v>lootWeight17,1,</v>
      </c>
      <c r="N19" t="str">
        <f t="shared" si="6"/>
        <v>1</v>
      </c>
      <c r="O19" t="str">
        <f t="shared" si="16"/>
        <v>copy .\dail_base.dbr .\items\materia\class0008\Ranger17.dbr /y</v>
      </c>
      <c r="P19" t="str">
        <f t="shared" si="7"/>
        <v>echo relicBitmap,items/craftingparts/components/component_a52_bristlyfur_b.tex, &gt;&gt; .\items\materia\class0008\Ranger17.dbr</v>
      </c>
      <c r="Q19" t="str">
        <f t="shared" si="7"/>
        <v>echo itemCost,300000, &gt;&gt; .\items\materia\class0008\Ranger17.dbr</v>
      </c>
      <c r="R19" t="str">
        <f t="shared" si="7"/>
        <v>echo description,dailCompDescRanger17, &gt;&gt; .\items\materia\class0008\Ranger17.dbr</v>
      </c>
      <c r="S19" t="str">
        <f t="shared" si="7"/>
        <v>echo itemText,dailCompTextRanger17, &gt;&gt; .\items\materia\class0008\Ranger17.dbr</v>
      </c>
      <c r="T19" t="str">
        <f t="shared" si="7"/>
        <v>echo augmentSkillLevel1,1, &gt;&gt; .\items\materia\class0008\Ranger17.dbr</v>
      </c>
      <c r="U19" t="str">
        <f t="shared" si="7"/>
        <v>echo augmentSkillName1,records/skills/playerclass08/cur_attack.dbr, &gt;&gt; .\items\materia\class0008\Ranger17.dbr</v>
      </c>
      <c r="V19" s="5" t="s">
        <v>36</v>
      </c>
      <c r="W19" t="str">
        <f t="shared" si="8"/>
        <v>echo lootName17,DAIL/items/materia/class0008/Ranger17.dbr, &gt;&gt; .\items\loottables\dailoneskill0008.dbr</v>
      </c>
      <c r="X19" t="str">
        <f t="shared" si="8"/>
        <v>echo lootWeight17,1, &gt;&gt; .\items\loottables\dailoneskill0008.dbr</v>
      </c>
      <c r="Y19" s="5" t="s">
        <v>36</v>
      </c>
      <c r="Z19" t="str">
        <f t="shared" si="9"/>
        <v xml:space="preserve"> dailCompDescRanger17=^pRanger's Gift of DAIL</v>
      </c>
      <c r="AA19" t="str">
        <f t="shared" si="17"/>
        <v>dailCompTextRanger17=^oThis feels warm to the touch, almost familiar ^w(This component fits into all Jewellery slots including the Belt And Shoulder)</v>
      </c>
      <c r="AB19" s="5" t="s">
        <v>36</v>
      </c>
      <c r="AH19">
        <f t="shared" si="19"/>
        <v>14</v>
      </c>
      <c r="AI19">
        <f t="shared" si="13"/>
        <v>29</v>
      </c>
      <c r="AJ19">
        <f t="shared" si="18"/>
        <v>1</v>
      </c>
    </row>
    <row r="20" spans="1:36" x14ac:dyDescent="0.25">
      <c r="A20" s="5" t="s">
        <v>39</v>
      </c>
      <c r="B20" s="5" t="s">
        <v>28</v>
      </c>
      <c r="C20" s="5" t="str">
        <f t="shared" si="0"/>
        <v>description,dailCompDescRanger18,</v>
      </c>
      <c r="D20" s="5" t="str">
        <f t="shared" si="2"/>
        <v>itemText,dailCompTextRanger18,</v>
      </c>
      <c r="E20" s="5" t="str">
        <f t="shared" si="14"/>
        <v>augmentSkillLevel1,1,</v>
      </c>
      <c r="F20" s="5" t="str">
        <f t="shared" si="15"/>
        <v>augmentSkillName1,records/skills/playerclass08/coup_refre.dbr,</v>
      </c>
      <c r="G20" s="7">
        <f t="shared" si="10"/>
        <v>18</v>
      </c>
      <c r="H20" s="8" t="str">
        <f t="shared" si="11"/>
        <v>Ranger</v>
      </c>
      <c r="I20" s="3" t="s">
        <v>170</v>
      </c>
      <c r="J20" s="8" t="str">
        <f t="shared" si="12"/>
        <v>class0008</v>
      </c>
      <c r="K20" s="8" t="str">
        <f t="shared" si="12"/>
        <v>dailoneskill0008</v>
      </c>
      <c r="L20" s="5" t="str">
        <f t="shared" si="4"/>
        <v>lootName18,DAIL/items/materia/class0008/Ranger18.dbr,</v>
      </c>
      <c r="M20" s="5" t="str">
        <f t="shared" si="5"/>
        <v>lootWeight18,1,</v>
      </c>
      <c r="N20" t="str">
        <f t="shared" si="6"/>
        <v>1</v>
      </c>
      <c r="O20" t="str">
        <f t="shared" si="16"/>
        <v>copy .\dail_base.dbr .\items\materia\class0008\Ranger18.dbr /y</v>
      </c>
      <c r="P20" t="str">
        <f t="shared" si="7"/>
        <v>echo relicBitmap,items/craftingparts/components/component_a52_bristlyfur_b.tex, &gt;&gt; .\items\materia\class0008\Ranger18.dbr</v>
      </c>
      <c r="Q20" t="str">
        <f t="shared" si="7"/>
        <v>echo itemCost,300000, &gt;&gt; .\items\materia\class0008\Ranger18.dbr</v>
      </c>
      <c r="R20" t="str">
        <f t="shared" si="7"/>
        <v>echo description,dailCompDescRanger18, &gt;&gt; .\items\materia\class0008\Ranger18.dbr</v>
      </c>
      <c r="S20" t="str">
        <f t="shared" si="7"/>
        <v>echo itemText,dailCompTextRanger18, &gt;&gt; .\items\materia\class0008\Ranger18.dbr</v>
      </c>
      <c r="T20" t="str">
        <f t="shared" si="7"/>
        <v>echo augmentSkillLevel1,1, &gt;&gt; .\items\materia\class0008\Ranger18.dbr</v>
      </c>
      <c r="U20" t="str">
        <f t="shared" si="7"/>
        <v>echo augmentSkillName1,records/skills/playerclass08/coup_refre.dbr, &gt;&gt; .\items\materia\class0008\Ranger18.dbr</v>
      </c>
      <c r="V20" s="5" t="s">
        <v>36</v>
      </c>
      <c r="W20" t="str">
        <f t="shared" si="8"/>
        <v>echo lootName18,DAIL/items/materia/class0008/Ranger18.dbr, &gt;&gt; .\items\loottables\dailoneskill0008.dbr</v>
      </c>
      <c r="X20" t="str">
        <f t="shared" si="8"/>
        <v>echo lootWeight18,1, &gt;&gt; .\items\loottables\dailoneskill0008.dbr</v>
      </c>
      <c r="Y20" s="5" t="s">
        <v>36</v>
      </c>
      <c r="Z20" t="str">
        <f t="shared" si="9"/>
        <v xml:space="preserve"> dailCompDescRanger18=^pRanger's Gift of DAIL</v>
      </c>
      <c r="AA20" t="str">
        <f t="shared" si="17"/>
        <v>dailCompTextRanger18=^oThis feels warm to the touch, almost familiar ^w(This component fits into all Jewellery slots including the Belt And Shoulder)</v>
      </c>
      <c r="AB20" s="5" t="s">
        <v>36</v>
      </c>
      <c r="AH20">
        <f t="shared" si="19"/>
        <v>15</v>
      </c>
      <c r="AI20">
        <f t="shared" si="13"/>
        <v>29</v>
      </c>
      <c r="AJ20">
        <f t="shared" si="18"/>
        <v>1</v>
      </c>
    </row>
    <row r="21" spans="1:36" x14ac:dyDescent="0.25">
      <c r="A21" s="5" t="s">
        <v>39</v>
      </c>
      <c r="B21" s="5" t="s">
        <v>28</v>
      </c>
      <c r="C21" s="5" t="str">
        <f t="shared" si="0"/>
        <v>description,dailCompDescRanger19,</v>
      </c>
      <c r="D21" s="5" t="str">
        <f t="shared" si="2"/>
        <v>itemText,dailCompTextRanger19,</v>
      </c>
      <c r="E21" s="5" t="str">
        <f t="shared" si="14"/>
        <v>augmentSkillLevel1,1,</v>
      </c>
      <c r="F21" s="5" t="str">
        <f t="shared" si="15"/>
        <v>augmentSkillName1,records/skills/playerclass08/coup_refre_t.dbr,</v>
      </c>
      <c r="G21" s="7">
        <f t="shared" si="10"/>
        <v>19</v>
      </c>
      <c r="H21" s="8" t="str">
        <f t="shared" si="11"/>
        <v>Ranger</v>
      </c>
      <c r="I21" s="3" t="s">
        <v>383</v>
      </c>
      <c r="J21" s="8" t="str">
        <f t="shared" ref="J21:K36" si="20">J20</f>
        <v>class0008</v>
      </c>
      <c r="K21" s="8" t="str">
        <f t="shared" si="20"/>
        <v>dailoneskill0008</v>
      </c>
      <c r="L21" s="5" t="str">
        <f t="shared" si="4"/>
        <v>lootName19,DAIL/items/materia/class0008/Ranger19.dbr,</v>
      </c>
      <c r="M21" s="5" t="str">
        <f t="shared" si="5"/>
        <v>lootWeight19,1,</v>
      </c>
      <c r="N21" t="str">
        <f t="shared" si="6"/>
        <v>1</v>
      </c>
      <c r="O21" t="str">
        <f t="shared" si="16"/>
        <v>copy .\dail_base.dbr .\items\materia\class0008\Ranger19.dbr /y</v>
      </c>
      <c r="P21" t="str">
        <f t="shared" si="7"/>
        <v>echo relicBitmap,items/craftingparts/components/component_a52_bristlyfur_b.tex, &gt;&gt; .\items\materia\class0008\Ranger19.dbr</v>
      </c>
      <c r="Q21" t="str">
        <f t="shared" si="7"/>
        <v>echo itemCost,300000, &gt;&gt; .\items\materia\class0008\Ranger19.dbr</v>
      </c>
      <c r="R21" t="str">
        <f t="shared" si="7"/>
        <v>echo description,dailCompDescRanger19, &gt;&gt; .\items\materia\class0008\Ranger19.dbr</v>
      </c>
      <c r="S21" t="str">
        <f t="shared" si="7"/>
        <v>echo itemText,dailCompTextRanger19, &gt;&gt; .\items\materia\class0008\Ranger19.dbr</v>
      </c>
      <c r="T21" t="str">
        <f t="shared" si="7"/>
        <v>echo augmentSkillLevel1,1, &gt;&gt; .\items\materia\class0008\Ranger19.dbr</v>
      </c>
      <c r="U21" t="str">
        <f t="shared" si="7"/>
        <v>echo augmentSkillName1,records/skills/playerclass08/coup_refre_t.dbr, &gt;&gt; .\items\materia\class0008\Ranger19.dbr</v>
      </c>
      <c r="V21" s="5" t="s">
        <v>36</v>
      </c>
      <c r="W21" t="str">
        <f t="shared" si="8"/>
        <v>echo lootName19,DAIL/items/materia/class0008/Ranger19.dbr, &gt;&gt; .\items\loottables\dailoneskill0008.dbr</v>
      </c>
      <c r="X21" t="str">
        <f t="shared" si="8"/>
        <v>echo lootWeight19,1, &gt;&gt; .\items\loottables\dailoneskill0008.dbr</v>
      </c>
      <c r="Y21" s="5" t="s">
        <v>36</v>
      </c>
      <c r="Z21" t="str">
        <f t="shared" si="9"/>
        <v xml:space="preserve"> dailCompDescRanger19=^pRanger's Gift of DAIL</v>
      </c>
      <c r="AA21" t="str">
        <f t="shared" si="17"/>
        <v>dailCompTextRanger19=^oThis feels warm to the touch, almost familiar ^w(This component fits into all Jewellery slots including the Belt And Shoulder)</v>
      </c>
      <c r="AB21" s="5" t="s">
        <v>36</v>
      </c>
      <c r="AH21">
        <f t="shared" si="19"/>
        <v>16</v>
      </c>
      <c r="AI21">
        <f t="shared" si="13"/>
        <v>31</v>
      </c>
      <c r="AJ21">
        <f t="shared" si="18"/>
        <v>1</v>
      </c>
    </row>
    <row r="22" spans="1:36" x14ac:dyDescent="0.25">
      <c r="A22" s="5" t="s">
        <v>39</v>
      </c>
      <c r="B22" s="5" t="s">
        <v>28</v>
      </c>
      <c r="C22" s="5" t="str">
        <f t="shared" si="0"/>
        <v>description,dailCompDescRanger20,</v>
      </c>
      <c r="D22" s="5" t="str">
        <f t="shared" si="2"/>
        <v>itemText,dailCompTextRanger20,</v>
      </c>
      <c r="E22" s="5" t="str">
        <f t="shared" si="14"/>
        <v>augmentSkillLevel1,1,</v>
      </c>
      <c r="F22" s="5" t="str">
        <f t="shared" si="15"/>
        <v>augmentSkillName1,records/skills/playerclass08/passive7.dbr,</v>
      </c>
      <c r="G22" s="7">
        <f t="shared" si="10"/>
        <v>20</v>
      </c>
      <c r="H22" s="8" t="str">
        <f t="shared" si="11"/>
        <v>Ranger</v>
      </c>
      <c r="I22" s="3" t="s">
        <v>384</v>
      </c>
      <c r="J22" s="8" t="str">
        <f t="shared" si="20"/>
        <v>class0008</v>
      </c>
      <c r="K22" s="8" t="str">
        <f t="shared" si="20"/>
        <v>dailoneskill0008</v>
      </c>
      <c r="L22" s="5" t="str">
        <f t="shared" si="4"/>
        <v>lootName20,DAIL/items/materia/class0008/Ranger20.dbr,</v>
      </c>
      <c r="M22" s="5" t="str">
        <f t="shared" si="5"/>
        <v>lootWeight20,1,</v>
      </c>
      <c r="N22" t="str">
        <f t="shared" si="6"/>
        <v>1</v>
      </c>
      <c r="O22" t="str">
        <f t="shared" si="16"/>
        <v>copy .\dail_base.dbr .\items\materia\class0008\Ranger20.dbr /y</v>
      </c>
      <c r="P22" t="str">
        <f t="shared" si="7"/>
        <v>echo relicBitmap,items/craftingparts/components/component_a52_bristlyfur_b.tex, &gt;&gt; .\items\materia\class0008\Ranger20.dbr</v>
      </c>
      <c r="Q22" t="str">
        <f t="shared" si="7"/>
        <v>echo itemCost,300000, &gt;&gt; .\items\materia\class0008\Ranger20.dbr</v>
      </c>
      <c r="R22" t="str">
        <f t="shared" si="7"/>
        <v>echo description,dailCompDescRanger20, &gt;&gt; .\items\materia\class0008\Ranger20.dbr</v>
      </c>
      <c r="S22" t="str">
        <f t="shared" si="7"/>
        <v>echo itemText,dailCompTextRanger20, &gt;&gt; .\items\materia\class0008\Ranger20.dbr</v>
      </c>
      <c r="T22" t="str">
        <f t="shared" si="7"/>
        <v>echo augmentSkillLevel1,1, &gt;&gt; .\items\materia\class0008\Ranger20.dbr</v>
      </c>
      <c r="U22" t="str">
        <f t="shared" si="7"/>
        <v>echo augmentSkillName1,records/skills/playerclass08/passive7.dbr, &gt;&gt; .\items\materia\class0008\Ranger20.dbr</v>
      </c>
      <c r="V22" s="5" t="s">
        <v>36</v>
      </c>
      <c r="W22" t="str">
        <f t="shared" si="8"/>
        <v>echo lootName20,DAIL/items/materia/class0008/Ranger20.dbr, &gt;&gt; .\items\loottables\dailoneskill0008.dbr</v>
      </c>
      <c r="X22" t="str">
        <f t="shared" si="8"/>
        <v>echo lootWeight20,1, &gt;&gt; .\items\loottables\dailoneskill0008.dbr</v>
      </c>
      <c r="Y22" s="5" t="s">
        <v>36</v>
      </c>
      <c r="Z22" t="str">
        <f t="shared" si="9"/>
        <v xml:space="preserve"> dailCompDescRanger20=^pRanger's Gift of DAIL</v>
      </c>
      <c r="AA22" t="str">
        <f t="shared" si="17"/>
        <v>dailCompTextRanger20=^oThis feels warm to the touch, almost familiar ^w(This component fits into all Jewellery slots including the Belt And Shoulder)</v>
      </c>
      <c r="AB22" s="5" t="s">
        <v>36</v>
      </c>
      <c r="AH22">
        <f t="shared" si="19"/>
        <v>17</v>
      </c>
      <c r="AI22">
        <f t="shared" si="13"/>
        <v>27</v>
      </c>
      <c r="AJ22">
        <f t="shared" si="18"/>
        <v>1</v>
      </c>
    </row>
    <row r="23" spans="1:36" x14ac:dyDescent="0.25">
      <c r="A23" s="5" t="s">
        <v>39</v>
      </c>
      <c r="B23" s="5" t="s">
        <v>28</v>
      </c>
      <c r="C23" s="5" t="str">
        <f t="shared" si="0"/>
        <v>description,dailCompDescRanger21,</v>
      </c>
      <c r="D23" s="5" t="str">
        <f t="shared" si="2"/>
        <v>itemText,dailCompTextRanger21,</v>
      </c>
      <c r="E23" s="5" t="str">
        <f t="shared" si="14"/>
        <v>augmentSkillLevel1,1,</v>
      </c>
      <c r="F23" s="5" t="str">
        <f t="shared" si="15"/>
        <v>augmentSkillName1,records/skills/playerclass08/summon_hawk.dbr,</v>
      </c>
      <c r="G23" s="7">
        <f t="shared" si="10"/>
        <v>21</v>
      </c>
      <c r="H23" s="8" t="str">
        <f t="shared" si="11"/>
        <v>Ranger</v>
      </c>
      <c r="I23" s="3" t="s">
        <v>174</v>
      </c>
      <c r="J23" s="8" t="str">
        <f t="shared" si="20"/>
        <v>class0008</v>
      </c>
      <c r="K23" s="8" t="str">
        <f t="shared" si="20"/>
        <v>dailoneskill0008</v>
      </c>
      <c r="L23" s="5" t="str">
        <f t="shared" si="4"/>
        <v>lootName21,DAIL/items/materia/class0008/Ranger21.dbr,</v>
      </c>
      <c r="M23" s="5" t="str">
        <f t="shared" si="5"/>
        <v>lootWeight21,1,</v>
      </c>
      <c r="N23" t="str">
        <f t="shared" si="6"/>
        <v>1</v>
      </c>
      <c r="O23" t="str">
        <f t="shared" si="16"/>
        <v>copy .\dail_base.dbr .\items\materia\class0008\Ranger21.dbr /y</v>
      </c>
      <c r="P23" t="str">
        <f t="shared" si="7"/>
        <v>echo relicBitmap,items/craftingparts/components/component_a52_bristlyfur_b.tex, &gt;&gt; .\items\materia\class0008\Ranger21.dbr</v>
      </c>
      <c r="Q23" t="str">
        <f t="shared" si="7"/>
        <v>echo itemCost,300000, &gt;&gt; .\items\materia\class0008\Ranger21.dbr</v>
      </c>
      <c r="R23" t="str">
        <f t="shared" si="7"/>
        <v>echo description,dailCompDescRanger21, &gt;&gt; .\items\materia\class0008\Ranger21.dbr</v>
      </c>
      <c r="S23" t="str">
        <f t="shared" si="7"/>
        <v>echo itemText,dailCompTextRanger21, &gt;&gt; .\items\materia\class0008\Ranger21.dbr</v>
      </c>
      <c r="T23" t="str">
        <f t="shared" si="7"/>
        <v>echo augmentSkillLevel1,1, &gt;&gt; .\items\materia\class0008\Ranger21.dbr</v>
      </c>
      <c r="U23" t="str">
        <f t="shared" si="7"/>
        <v>echo augmentSkillName1,records/skills/playerclass08/summon_hawk.dbr, &gt;&gt; .\items\materia\class0008\Ranger21.dbr</v>
      </c>
      <c r="V23" s="5" t="s">
        <v>36</v>
      </c>
      <c r="W23" t="str">
        <f t="shared" si="8"/>
        <v>echo lootName21,DAIL/items/materia/class0008/Ranger21.dbr, &gt;&gt; .\items\loottables\dailoneskill0008.dbr</v>
      </c>
      <c r="X23" t="str">
        <f t="shared" si="8"/>
        <v>echo lootWeight21,1, &gt;&gt; .\items\loottables\dailoneskill0008.dbr</v>
      </c>
      <c r="Y23" s="5" t="s">
        <v>36</v>
      </c>
      <c r="Z23" t="str">
        <f t="shared" si="9"/>
        <v xml:space="preserve"> dailCompDescRanger21=^pRanger's Gift of DAIL</v>
      </c>
      <c r="AA23" t="str">
        <f t="shared" si="17"/>
        <v>dailCompTextRanger21=^oThis feels warm to the touch, almost familiar ^w(This component fits into all Jewellery slots including the Belt And Shoulder)</v>
      </c>
      <c r="AB23" s="5" t="s">
        <v>36</v>
      </c>
      <c r="AH23">
        <f t="shared" si="19"/>
        <v>18</v>
      </c>
      <c r="AI23">
        <f t="shared" si="13"/>
        <v>30</v>
      </c>
      <c r="AJ23">
        <f t="shared" si="18"/>
        <v>1</v>
      </c>
    </row>
    <row r="24" spans="1:36" x14ac:dyDescent="0.25">
      <c r="A24" s="5" t="s">
        <v>39</v>
      </c>
      <c r="B24" s="5" t="s">
        <v>28</v>
      </c>
      <c r="C24" s="5" t="str">
        <f t="shared" si="0"/>
        <v>description,dailCompDescRanger22,</v>
      </c>
      <c r="D24" s="5" t="str">
        <f t="shared" si="2"/>
        <v>itemText,dailCompTextRanger22,</v>
      </c>
      <c r="E24" s="5" t="str">
        <f t="shared" si="14"/>
        <v>augmentSkillLevel1,1,</v>
      </c>
      <c r="F24" s="5" t="str">
        <f t="shared" si="15"/>
        <v>augmentSkillName1,records/skills/playerclass08/windrunner_ut.dbr,</v>
      </c>
      <c r="G24" s="7">
        <f t="shared" si="10"/>
        <v>22</v>
      </c>
      <c r="H24" s="8" t="str">
        <f t="shared" si="11"/>
        <v>Ranger</v>
      </c>
      <c r="I24" s="3" t="s">
        <v>377</v>
      </c>
      <c r="J24" s="8" t="str">
        <f t="shared" si="20"/>
        <v>class0008</v>
      </c>
      <c r="K24" s="8" t="str">
        <f t="shared" si="20"/>
        <v>dailoneskill0008</v>
      </c>
      <c r="L24" s="5" t="str">
        <f t="shared" si="4"/>
        <v>lootName22,DAIL/items/materia/class0008/Ranger22.dbr,</v>
      </c>
      <c r="M24" s="5" t="str">
        <f t="shared" si="5"/>
        <v>lootWeight22,1,</v>
      </c>
      <c r="N24" t="str">
        <f t="shared" si="6"/>
        <v>1</v>
      </c>
      <c r="O24" t="str">
        <f t="shared" si="16"/>
        <v>copy .\dail_base.dbr .\items\materia\class0008\Ranger22.dbr /y</v>
      </c>
      <c r="P24" t="str">
        <f t="shared" si="7"/>
        <v>echo relicBitmap,items/craftingparts/components/component_a52_bristlyfur_b.tex, &gt;&gt; .\items\materia\class0008\Ranger22.dbr</v>
      </c>
      <c r="Q24" t="str">
        <f t="shared" si="7"/>
        <v>echo itemCost,300000, &gt;&gt; .\items\materia\class0008\Ranger22.dbr</v>
      </c>
      <c r="R24" t="str">
        <f t="shared" si="7"/>
        <v>echo description,dailCompDescRanger22, &gt;&gt; .\items\materia\class0008\Ranger22.dbr</v>
      </c>
      <c r="S24" t="str">
        <f t="shared" si="7"/>
        <v>echo itemText,dailCompTextRanger22, &gt;&gt; .\items\materia\class0008\Ranger22.dbr</v>
      </c>
      <c r="T24" t="str">
        <f t="shared" si="7"/>
        <v>echo augmentSkillLevel1,1, &gt;&gt; .\items\materia\class0008\Ranger22.dbr</v>
      </c>
      <c r="U24" t="str">
        <f t="shared" si="7"/>
        <v>echo augmentSkillName1,records/skills/playerclass08/windrunner_ut.dbr, &gt;&gt; .\items\materia\class0008\Ranger22.dbr</v>
      </c>
      <c r="V24" s="5" t="s">
        <v>36</v>
      </c>
      <c r="W24" t="str">
        <f t="shared" si="8"/>
        <v>echo lootName22,DAIL/items/materia/class0008/Ranger22.dbr, &gt;&gt; .\items\loottables\dailoneskill0008.dbr</v>
      </c>
      <c r="X24" t="str">
        <f t="shared" si="8"/>
        <v>echo lootWeight22,1, &gt;&gt; .\items\loottables\dailoneskill0008.dbr</v>
      </c>
      <c r="Y24" s="5" t="s">
        <v>36</v>
      </c>
      <c r="Z24" t="str">
        <f t="shared" si="9"/>
        <v xml:space="preserve"> dailCompDescRanger22=^pRanger's Gift of DAIL</v>
      </c>
      <c r="AA24" t="str">
        <f t="shared" si="17"/>
        <v>dailCompTextRanger22=^oThis feels warm to the touch, almost familiar ^w(This component fits into all Jewellery slots including the Belt And Shoulder)</v>
      </c>
      <c r="AB24" s="5" t="s">
        <v>36</v>
      </c>
      <c r="AH24">
        <f t="shared" si="19"/>
        <v>19</v>
      </c>
      <c r="AI24">
        <f t="shared" si="13"/>
        <v>32</v>
      </c>
      <c r="AJ24">
        <f t="shared" si="18"/>
        <v>1</v>
      </c>
    </row>
    <row r="25" spans="1:36" x14ac:dyDescent="0.25">
      <c r="A25" s="5" t="s">
        <v>39</v>
      </c>
      <c r="B25" s="5" t="s">
        <v>28</v>
      </c>
      <c r="C25" s="5" t="str">
        <f t="shared" si="0"/>
        <v>description,dailCompDescRanger23,</v>
      </c>
      <c r="D25" s="5" t="str">
        <f t="shared" si="2"/>
        <v>itemText,dailCompTextRanger23,</v>
      </c>
      <c r="E25" s="5" t="str">
        <f t="shared" si="14"/>
        <v>augmentSkillLevel1,1,</v>
      </c>
      <c r="F25" s="5" t="str">
        <f t="shared" si="15"/>
        <v>augmentSkillName1,records/skills/playerclass08/summon_hawk_mod2.dbr,</v>
      </c>
      <c r="G25" s="7">
        <f t="shared" si="10"/>
        <v>23</v>
      </c>
      <c r="H25" s="8" t="str">
        <f t="shared" si="11"/>
        <v>Ranger</v>
      </c>
      <c r="I25" s="3" t="s">
        <v>385</v>
      </c>
      <c r="J25" s="8" t="str">
        <f t="shared" si="20"/>
        <v>class0008</v>
      </c>
      <c r="K25" s="8" t="str">
        <f t="shared" si="20"/>
        <v>dailoneskill0008</v>
      </c>
      <c r="L25" s="5" t="str">
        <f t="shared" si="4"/>
        <v>lootName23,DAIL/items/materia/class0008/Ranger23.dbr,</v>
      </c>
      <c r="M25" s="5" t="str">
        <f t="shared" si="5"/>
        <v>lootWeight23,1,</v>
      </c>
      <c r="N25" t="str">
        <f t="shared" si="6"/>
        <v>1</v>
      </c>
      <c r="O25" t="str">
        <f t="shared" si="16"/>
        <v>copy .\dail_base.dbr .\items\materia\class0008\Ranger23.dbr /y</v>
      </c>
      <c r="P25" t="str">
        <f t="shared" si="7"/>
        <v>echo relicBitmap,items/craftingparts/components/component_a52_bristlyfur_b.tex, &gt;&gt; .\items\materia\class0008\Ranger23.dbr</v>
      </c>
      <c r="Q25" t="str">
        <f t="shared" si="7"/>
        <v>echo itemCost,300000, &gt;&gt; .\items\materia\class0008\Ranger23.dbr</v>
      </c>
      <c r="R25" t="str">
        <f t="shared" si="7"/>
        <v>echo description,dailCompDescRanger23, &gt;&gt; .\items\materia\class0008\Ranger23.dbr</v>
      </c>
      <c r="S25" t="str">
        <f t="shared" si="7"/>
        <v>echo itemText,dailCompTextRanger23, &gt;&gt; .\items\materia\class0008\Ranger23.dbr</v>
      </c>
      <c r="T25" t="str">
        <f t="shared" si="7"/>
        <v>echo augmentSkillLevel1,1, &gt;&gt; .\items\materia\class0008\Ranger23.dbr</v>
      </c>
      <c r="U25" t="str">
        <f t="shared" si="7"/>
        <v>echo augmentSkillName1,records/skills/playerclass08/summon_hawk_mod2.dbr, &gt;&gt; .\items\materia\class0008\Ranger23.dbr</v>
      </c>
      <c r="V25" s="5" t="s">
        <v>36</v>
      </c>
      <c r="W25" t="str">
        <f t="shared" si="8"/>
        <v>echo lootName23,DAIL/items/materia/class0008/Ranger23.dbr, &gt;&gt; .\items\loottables\dailoneskill0008.dbr</v>
      </c>
      <c r="X25" t="str">
        <f t="shared" si="8"/>
        <v>echo lootWeight23,1, &gt;&gt; .\items\loottables\dailoneskill0008.dbr</v>
      </c>
      <c r="Y25" s="5" t="s">
        <v>36</v>
      </c>
      <c r="Z25" t="str">
        <f t="shared" si="9"/>
        <v xml:space="preserve"> dailCompDescRanger23=^pRanger's Gift of DAIL</v>
      </c>
      <c r="AA25" t="str">
        <f t="shared" si="17"/>
        <v>dailCompTextRanger23=^oThis feels warm to the touch, almost familiar ^w(This component fits into all Jewellery slots including the Belt And Shoulder)</v>
      </c>
      <c r="AB25" s="5" t="s">
        <v>36</v>
      </c>
      <c r="AH25">
        <f t="shared" si="19"/>
        <v>20</v>
      </c>
      <c r="AI25">
        <f t="shared" si="13"/>
        <v>35</v>
      </c>
      <c r="AJ25">
        <f t="shared" si="18"/>
        <v>1</v>
      </c>
    </row>
    <row r="26" spans="1:36" x14ac:dyDescent="0.25">
      <c r="A26" s="5" t="s">
        <v>39</v>
      </c>
      <c r="B26" s="5" t="s">
        <v>28</v>
      </c>
      <c r="C26" s="5" t="str">
        <f t="shared" si="0"/>
        <v>description,dailCompDescRanger24,</v>
      </c>
      <c r="D26" s="5" t="str">
        <f t="shared" si="2"/>
        <v>itemText,dailCompTextRanger24,</v>
      </c>
      <c r="E26" s="5" t="str">
        <f t="shared" si="14"/>
        <v>augmentSkillLevel1,1,</v>
      </c>
      <c r="F26" s="5" t="str">
        <f t="shared" si="15"/>
        <v>augmentSkillName1,records/skills/playerclass08/summon_hawk_mod3.dbr,</v>
      </c>
      <c r="G26" s="7">
        <f t="shared" si="10"/>
        <v>24</v>
      </c>
      <c r="H26" s="8" t="str">
        <f t="shared" si="11"/>
        <v>Ranger</v>
      </c>
      <c r="I26" s="3" t="s">
        <v>386</v>
      </c>
      <c r="J26" s="8" t="str">
        <f t="shared" si="20"/>
        <v>class0008</v>
      </c>
      <c r="K26" s="8" t="str">
        <f t="shared" si="20"/>
        <v>dailoneskill0008</v>
      </c>
      <c r="L26" s="5" t="str">
        <f t="shared" si="4"/>
        <v>lootName24,DAIL/items/materia/class0008/Ranger24.dbr,</v>
      </c>
      <c r="M26" s="5" t="str">
        <f t="shared" si="5"/>
        <v>lootWeight24,1,</v>
      </c>
      <c r="N26" t="str">
        <f t="shared" si="6"/>
        <v>1</v>
      </c>
      <c r="O26" t="str">
        <f t="shared" si="16"/>
        <v>copy .\dail_base.dbr .\items\materia\class0008\Ranger24.dbr /y</v>
      </c>
      <c r="P26" t="str">
        <f t="shared" si="7"/>
        <v>echo relicBitmap,items/craftingparts/components/component_a52_bristlyfur_b.tex, &gt;&gt; .\items\materia\class0008\Ranger24.dbr</v>
      </c>
      <c r="Q26" t="str">
        <f t="shared" si="7"/>
        <v>echo itemCost,300000, &gt;&gt; .\items\materia\class0008\Ranger24.dbr</v>
      </c>
      <c r="R26" t="str">
        <f t="shared" si="7"/>
        <v>echo description,dailCompDescRanger24, &gt;&gt; .\items\materia\class0008\Ranger24.dbr</v>
      </c>
      <c r="S26" t="str">
        <f t="shared" si="7"/>
        <v>echo itemText,dailCompTextRanger24, &gt;&gt; .\items\materia\class0008\Ranger24.dbr</v>
      </c>
      <c r="T26" t="str">
        <f t="shared" si="7"/>
        <v>echo augmentSkillLevel1,1, &gt;&gt; .\items\materia\class0008\Ranger24.dbr</v>
      </c>
      <c r="U26" t="str">
        <f t="shared" si="7"/>
        <v>echo augmentSkillName1,records/skills/playerclass08/summon_hawk_mod3.dbr, &gt;&gt; .\items\materia\class0008\Ranger24.dbr</v>
      </c>
      <c r="V26" s="5" t="s">
        <v>36</v>
      </c>
      <c r="W26" t="str">
        <f t="shared" si="8"/>
        <v>echo lootName24,DAIL/items/materia/class0008/Ranger24.dbr, &gt;&gt; .\items\loottables\dailoneskill0008.dbr</v>
      </c>
      <c r="X26" t="str">
        <f t="shared" si="8"/>
        <v>echo lootWeight24,1, &gt;&gt; .\items\loottables\dailoneskill0008.dbr</v>
      </c>
      <c r="Y26" s="5" t="s">
        <v>36</v>
      </c>
      <c r="Z26" t="str">
        <f t="shared" si="9"/>
        <v xml:space="preserve"> dailCompDescRanger24=^pRanger's Gift of DAIL</v>
      </c>
      <c r="AA26" t="str">
        <f t="shared" si="17"/>
        <v>dailCompTextRanger24=^oThis feels warm to the touch, almost familiar ^w(This component fits into all Jewellery slots including the Belt And Shoulder)</v>
      </c>
      <c r="AB26" s="5" t="s">
        <v>36</v>
      </c>
      <c r="AH26">
        <f t="shared" si="19"/>
        <v>21</v>
      </c>
      <c r="AI26">
        <f t="shared" si="13"/>
        <v>35</v>
      </c>
      <c r="AJ26">
        <f t="shared" si="18"/>
        <v>1</v>
      </c>
    </row>
    <row r="27" spans="1:36" x14ac:dyDescent="0.25">
      <c r="A27" s="5" t="s">
        <v>39</v>
      </c>
      <c r="B27" s="5" t="s">
        <v>28</v>
      </c>
      <c r="C27" s="5" t="str">
        <f t="shared" si="0"/>
        <v>description,dailCompDescRanger25,</v>
      </c>
      <c r="D27" s="5" t="str">
        <f t="shared" si="2"/>
        <v>itemText,dailCompTextRanger25,</v>
      </c>
      <c r="E27" s="5" t="str">
        <f t="shared" si="14"/>
        <v>augmentSkillLevel1,1,</v>
      </c>
      <c r="F27" s="5" t="str">
        <f t="shared" si="15"/>
        <v>augmentSkillName1,records/skills/playerclass08/mutl_attack_add_buff.dbr,</v>
      </c>
      <c r="G27" s="7">
        <f t="shared" si="10"/>
        <v>25</v>
      </c>
      <c r="H27" s="8" t="str">
        <f t="shared" si="11"/>
        <v>Ranger</v>
      </c>
      <c r="I27" s="3" t="s">
        <v>387</v>
      </c>
      <c r="J27" s="8" t="str">
        <f t="shared" si="20"/>
        <v>class0008</v>
      </c>
      <c r="K27" s="8" t="str">
        <f t="shared" si="20"/>
        <v>dailoneskill0008</v>
      </c>
      <c r="L27" s="5" t="str">
        <f t="shared" si="4"/>
        <v>lootName25,DAIL/items/materia/class0008/Ranger25.dbr,</v>
      </c>
      <c r="M27" s="5" t="str">
        <f t="shared" si="5"/>
        <v>lootWeight25,1,</v>
      </c>
      <c r="N27" t="str">
        <f t="shared" si="6"/>
        <v>1</v>
      </c>
      <c r="O27" t="str">
        <f t="shared" si="16"/>
        <v>copy .\dail_base.dbr .\items\materia\class0008\Ranger25.dbr /y</v>
      </c>
      <c r="P27" t="str">
        <f t="shared" si="7"/>
        <v>echo relicBitmap,items/craftingparts/components/component_a52_bristlyfur_b.tex, &gt;&gt; .\items\materia\class0008\Ranger25.dbr</v>
      </c>
      <c r="Q27" t="str">
        <f t="shared" si="7"/>
        <v>echo itemCost,300000, &gt;&gt; .\items\materia\class0008\Ranger25.dbr</v>
      </c>
      <c r="R27" t="str">
        <f t="shared" si="7"/>
        <v>echo description,dailCompDescRanger25, &gt;&gt; .\items\materia\class0008\Ranger25.dbr</v>
      </c>
      <c r="S27" t="str">
        <f t="shared" si="7"/>
        <v>echo itemText,dailCompTextRanger25, &gt;&gt; .\items\materia\class0008\Ranger25.dbr</v>
      </c>
      <c r="T27" t="str">
        <f t="shared" si="7"/>
        <v>echo augmentSkillLevel1,1, &gt;&gt; .\items\materia\class0008\Ranger25.dbr</v>
      </c>
      <c r="U27" t="str">
        <f t="shared" si="7"/>
        <v>echo augmentSkillName1,records/skills/playerclass08/mutl_attack_add_buff.dbr, &gt;&gt; .\items\materia\class0008\Ranger25.dbr</v>
      </c>
      <c r="V27" s="5" t="s">
        <v>36</v>
      </c>
      <c r="W27" t="str">
        <f t="shared" si="8"/>
        <v>echo lootName25,DAIL/items/materia/class0008/Ranger25.dbr, &gt;&gt; .\items\loottables\dailoneskill0008.dbr</v>
      </c>
      <c r="X27" t="str">
        <f t="shared" si="8"/>
        <v>echo lootWeight25,1, &gt;&gt; .\items\loottables\dailoneskill0008.dbr</v>
      </c>
      <c r="Y27" s="5" t="s">
        <v>36</v>
      </c>
      <c r="Z27" t="str">
        <f t="shared" si="9"/>
        <v xml:space="preserve"> dailCompDescRanger25=^pRanger's Gift of DAIL</v>
      </c>
      <c r="AA27" t="str">
        <f t="shared" si="17"/>
        <v>dailCompTextRanger25=^oThis feels warm to the touch, almost familiar ^w(This component fits into all Jewellery slots including the Belt And Shoulder)</v>
      </c>
      <c r="AB27" s="5" t="s">
        <v>36</v>
      </c>
      <c r="AH27">
        <f t="shared" si="19"/>
        <v>22</v>
      </c>
      <c r="AI27">
        <f t="shared" si="13"/>
        <v>39</v>
      </c>
      <c r="AJ27">
        <f t="shared" si="18"/>
        <v>1</v>
      </c>
    </row>
    <row r="28" spans="1:36" x14ac:dyDescent="0.25">
      <c r="A28" s="5" t="s">
        <v>39</v>
      </c>
      <c r="B28" s="5" t="s">
        <v>28</v>
      </c>
      <c r="C28" s="5" t="str">
        <f t="shared" si="0"/>
        <v>description,dailCompDescRanger26,</v>
      </c>
      <c r="D28" s="5" t="str">
        <f t="shared" si="2"/>
        <v>itemText,dailCompTextRanger26,</v>
      </c>
      <c r="E28" s="5" t="str">
        <f t="shared" si="14"/>
        <v>augmentSkillLevel1,1,</v>
      </c>
      <c r="F28" s="5" t="str">
        <f t="shared" si="15"/>
        <v>augmentSkillName1,records/skills/playerclass08/summon_hawk_mod.dbr,</v>
      </c>
      <c r="G28" s="7">
        <f t="shared" si="10"/>
        <v>26</v>
      </c>
      <c r="H28" s="8" t="str">
        <f t="shared" si="11"/>
        <v>Ranger</v>
      </c>
      <c r="I28" s="3" t="s">
        <v>388</v>
      </c>
      <c r="J28" s="8" t="str">
        <f t="shared" si="20"/>
        <v>class0008</v>
      </c>
      <c r="K28" s="8" t="str">
        <f t="shared" si="20"/>
        <v>dailoneskill0008</v>
      </c>
      <c r="L28" s="5" t="str">
        <f t="shared" si="4"/>
        <v>lootName26,DAIL/items/materia/class0008/Ranger26.dbr,</v>
      </c>
      <c r="M28" s="5" t="str">
        <f t="shared" si="5"/>
        <v>lootWeight26,1,</v>
      </c>
      <c r="N28" t="str">
        <f t="shared" si="6"/>
        <v>1</v>
      </c>
      <c r="O28" t="str">
        <f t="shared" si="16"/>
        <v>copy .\dail_base.dbr .\items\materia\class0008\Ranger26.dbr /y</v>
      </c>
      <c r="P28" t="str">
        <f t="shared" si="7"/>
        <v>echo relicBitmap,items/craftingparts/components/component_a52_bristlyfur_b.tex, &gt;&gt; .\items\materia\class0008\Ranger26.dbr</v>
      </c>
      <c r="Q28" t="str">
        <f t="shared" si="7"/>
        <v>echo itemCost,300000, &gt;&gt; .\items\materia\class0008\Ranger26.dbr</v>
      </c>
      <c r="R28" t="str">
        <f t="shared" si="7"/>
        <v>echo description,dailCompDescRanger26, &gt;&gt; .\items\materia\class0008\Ranger26.dbr</v>
      </c>
      <c r="S28" t="str">
        <f t="shared" si="7"/>
        <v>echo itemText,dailCompTextRanger26, &gt;&gt; .\items\materia\class0008\Ranger26.dbr</v>
      </c>
      <c r="T28" t="str">
        <f t="shared" si="7"/>
        <v>echo augmentSkillLevel1,1, &gt;&gt; .\items\materia\class0008\Ranger26.dbr</v>
      </c>
      <c r="U28" t="str">
        <f t="shared" si="7"/>
        <v>echo augmentSkillName1,records/skills/playerclass08/summon_hawk_mod.dbr, &gt;&gt; .\items\materia\class0008\Ranger26.dbr</v>
      </c>
      <c r="V28" s="5" t="s">
        <v>36</v>
      </c>
      <c r="W28" t="str">
        <f t="shared" si="8"/>
        <v>echo lootName26,DAIL/items/materia/class0008/Ranger26.dbr, &gt;&gt; .\items\loottables\dailoneskill0008.dbr</v>
      </c>
      <c r="X28" t="str">
        <f t="shared" si="8"/>
        <v>echo lootWeight26,1, &gt;&gt; .\items\loottables\dailoneskill0008.dbr</v>
      </c>
      <c r="Y28" s="5" t="s">
        <v>36</v>
      </c>
      <c r="Z28" t="str">
        <f t="shared" si="9"/>
        <v xml:space="preserve"> dailCompDescRanger26=^pRanger's Gift of DAIL</v>
      </c>
      <c r="AA28" t="str">
        <f t="shared" si="17"/>
        <v>dailCompTextRanger26=^oThis feels warm to the touch, almost familiar ^w(This component fits into all Jewellery slots including the Belt And Shoulder)</v>
      </c>
      <c r="AB28" s="5" t="s">
        <v>36</v>
      </c>
      <c r="AH28">
        <f t="shared" si="19"/>
        <v>23</v>
      </c>
      <c r="AI28">
        <f t="shared" si="13"/>
        <v>34</v>
      </c>
      <c r="AJ28">
        <f t="shared" si="18"/>
        <v>1</v>
      </c>
    </row>
    <row r="29" spans="1:36" x14ac:dyDescent="0.25">
      <c r="A29" s="5" t="s">
        <v>39</v>
      </c>
      <c r="B29" s="5" t="s">
        <v>28</v>
      </c>
      <c r="C29" s="5" t="str">
        <f t="shared" si="0"/>
        <v>description,dailCompDescRanger27,</v>
      </c>
      <c r="D29" s="5" t="str">
        <f t="shared" si="2"/>
        <v>itemText,dailCompTextRanger27,</v>
      </c>
      <c r="E29" s="5" t="str">
        <f t="shared" si="14"/>
        <v>augmentSkillLevel1,1,</v>
      </c>
      <c r="F29" s="5" t="str">
        <f t="shared" si="15"/>
        <v>augmentSkillName1,records/skills/playerclass08/passive9.dbr,</v>
      </c>
      <c r="G29" s="7">
        <f t="shared" si="10"/>
        <v>27</v>
      </c>
      <c r="H29" s="8" t="str">
        <f t="shared" si="11"/>
        <v>Ranger</v>
      </c>
      <c r="I29" s="3" t="s">
        <v>389</v>
      </c>
      <c r="J29" s="8" t="str">
        <f t="shared" si="20"/>
        <v>class0008</v>
      </c>
      <c r="K29" s="8" t="str">
        <f t="shared" si="20"/>
        <v>dailoneskill0008</v>
      </c>
      <c r="L29" s="5" t="str">
        <f t="shared" si="4"/>
        <v>lootName27,DAIL/items/materia/class0008/Ranger27.dbr,</v>
      </c>
      <c r="M29" s="5" t="str">
        <f t="shared" si="5"/>
        <v>lootWeight27,1,</v>
      </c>
      <c r="N29" t="str">
        <f t="shared" si="6"/>
        <v>1</v>
      </c>
      <c r="O29" t="str">
        <f t="shared" si="16"/>
        <v>copy .\dail_base.dbr .\items\materia\class0008\Ranger27.dbr /y</v>
      </c>
      <c r="P29" t="str">
        <f t="shared" si="7"/>
        <v>echo relicBitmap,items/craftingparts/components/component_a52_bristlyfur_b.tex, &gt;&gt; .\items\materia\class0008\Ranger27.dbr</v>
      </c>
      <c r="Q29" t="str">
        <f t="shared" si="7"/>
        <v>echo itemCost,300000, &gt;&gt; .\items\materia\class0008\Ranger27.dbr</v>
      </c>
      <c r="R29" t="str">
        <f t="shared" si="7"/>
        <v>echo description,dailCompDescRanger27, &gt;&gt; .\items\materia\class0008\Ranger27.dbr</v>
      </c>
      <c r="S29" t="str">
        <f t="shared" si="7"/>
        <v>echo itemText,dailCompTextRanger27, &gt;&gt; .\items\materia\class0008\Ranger27.dbr</v>
      </c>
      <c r="T29" t="str">
        <f t="shared" si="7"/>
        <v>echo augmentSkillLevel1,1, &gt;&gt; .\items\materia\class0008\Ranger27.dbr</v>
      </c>
      <c r="U29" t="str">
        <f t="shared" si="7"/>
        <v>echo augmentSkillName1,records/skills/playerclass08/passive9.dbr, &gt;&gt; .\items\materia\class0008\Ranger27.dbr</v>
      </c>
      <c r="V29" s="5" t="s">
        <v>36</v>
      </c>
      <c r="W29" t="str">
        <f t="shared" si="8"/>
        <v>echo lootName27,DAIL/items/materia/class0008/Ranger27.dbr, &gt;&gt; .\items\loottables\dailoneskill0008.dbr</v>
      </c>
      <c r="X29" t="str">
        <f t="shared" si="8"/>
        <v>echo lootWeight27,1, &gt;&gt; .\items\loottables\dailoneskill0008.dbr</v>
      </c>
      <c r="Y29" s="5" t="s">
        <v>36</v>
      </c>
      <c r="Z29" t="str">
        <f t="shared" si="9"/>
        <v xml:space="preserve"> dailCompDescRanger27=^pRanger's Gift of DAIL</v>
      </c>
      <c r="AA29" t="str">
        <f t="shared" si="17"/>
        <v>dailCompTextRanger27=^oThis feels warm to the touch, almost familiar ^w(This component fits into all Jewellery slots including the Belt And Shoulder)</v>
      </c>
      <c r="AB29" s="5" t="s">
        <v>36</v>
      </c>
      <c r="AH29">
        <f t="shared" si="19"/>
        <v>24</v>
      </c>
      <c r="AI29">
        <f t="shared" si="13"/>
        <v>27</v>
      </c>
      <c r="AJ29">
        <f t="shared" si="18"/>
        <v>1</v>
      </c>
    </row>
    <row r="30" spans="1:36" x14ac:dyDescent="0.25">
      <c r="A30" s="5" t="s">
        <v>39</v>
      </c>
      <c r="B30" s="5" t="s">
        <v>28</v>
      </c>
      <c r="C30" s="5" t="str">
        <f t="shared" si="0"/>
        <v>description,dailCompDescRanger28,</v>
      </c>
      <c r="D30" s="5" t="str">
        <f t="shared" si="2"/>
        <v>itemText,dailCompTextRanger28,</v>
      </c>
      <c r="E30" s="5" t="str">
        <f t="shared" si="14"/>
        <v>augmentSkillLevel1,1,</v>
      </c>
      <c r="F30" s="5" t="str">
        <f t="shared" si="15"/>
        <v>augmentSkillName1,records/skills/playerclass08/passive8.dbr,</v>
      </c>
      <c r="G30" s="7">
        <f t="shared" si="10"/>
        <v>28</v>
      </c>
      <c r="H30" s="8" t="str">
        <f t="shared" si="11"/>
        <v>Ranger</v>
      </c>
      <c r="I30" s="3" t="s">
        <v>390</v>
      </c>
      <c r="J30" s="8" t="str">
        <f t="shared" si="20"/>
        <v>class0008</v>
      </c>
      <c r="K30" s="8" t="str">
        <f t="shared" si="20"/>
        <v>dailoneskill0008</v>
      </c>
      <c r="L30" s="5" t="str">
        <f t="shared" si="4"/>
        <v>lootName28,DAIL/items/materia/class0008/Ranger28.dbr,</v>
      </c>
      <c r="M30" s="5" t="str">
        <f t="shared" si="5"/>
        <v>lootWeight28,1,</v>
      </c>
      <c r="N30" t="str">
        <f t="shared" si="6"/>
        <v>1</v>
      </c>
      <c r="O30" t="str">
        <f t="shared" si="16"/>
        <v>copy .\dail_base.dbr .\items\materia\class0008\Ranger28.dbr /y</v>
      </c>
      <c r="P30" t="str">
        <f t="shared" si="7"/>
        <v>echo relicBitmap,items/craftingparts/components/component_a52_bristlyfur_b.tex, &gt;&gt; .\items\materia\class0008\Ranger28.dbr</v>
      </c>
      <c r="Q30" t="str">
        <f t="shared" si="7"/>
        <v>echo itemCost,300000, &gt;&gt; .\items\materia\class0008\Ranger28.dbr</v>
      </c>
      <c r="R30" t="str">
        <f t="shared" si="7"/>
        <v>echo description,dailCompDescRanger28, &gt;&gt; .\items\materia\class0008\Ranger28.dbr</v>
      </c>
      <c r="S30" t="str">
        <f t="shared" si="7"/>
        <v>echo itemText,dailCompTextRanger28, &gt;&gt; .\items\materia\class0008\Ranger28.dbr</v>
      </c>
      <c r="T30" t="str">
        <f t="shared" si="7"/>
        <v>echo augmentSkillLevel1,1, &gt;&gt; .\items\materia\class0008\Ranger28.dbr</v>
      </c>
      <c r="U30" t="str">
        <f t="shared" si="7"/>
        <v>echo augmentSkillName1,records/skills/playerclass08/passive8.dbr, &gt;&gt; .\items\materia\class0008\Ranger28.dbr</v>
      </c>
      <c r="V30" s="5" t="s">
        <v>36</v>
      </c>
      <c r="W30" t="str">
        <f t="shared" si="8"/>
        <v>echo lootName28,DAIL/items/materia/class0008/Ranger28.dbr, &gt;&gt; .\items\loottables\dailoneskill0008.dbr</v>
      </c>
      <c r="X30" t="str">
        <f t="shared" si="8"/>
        <v>echo lootWeight28,1, &gt;&gt; .\items\loottables\dailoneskill0008.dbr</v>
      </c>
      <c r="Y30" s="5" t="s">
        <v>36</v>
      </c>
      <c r="Z30" t="str">
        <f t="shared" si="9"/>
        <v xml:space="preserve"> dailCompDescRanger28=^pRanger's Gift of DAIL</v>
      </c>
      <c r="AA30" t="str">
        <f t="shared" si="17"/>
        <v>dailCompTextRanger28=^oThis feels warm to the touch, almost familiar ^w(This component fits into all Jewellery slots including the Belt And Shoulder)</v>
      </c>
      <c r="AB30" s="5" t="s">
        <v>36</v>
      </c>
      <c r="AH30">
        <f t="shared" si="19"/>
        <v>25</v>
      </c>
      <c r="AI30">
        <f t="shared" si="13"/>
        <v>27</v>
      </c>
      <c r="AJ30">
        <f t="shared" si="18"/>
        <v>1</v>
      </c>
    </row>
    <row r="31" spans="1:36" x14ac:dyDescent="0.25">
      <c r="A31" s="5" t="s">
        <v>39</v>
      </c>
      <c r="B31" s="5" t="s">
        <v>28</v>
      </c>
      <c r="C31" s="5" t="str">
        <f t="shared" si="0"/>
        <v>description,dailCompDescRanger29,</v>
      </c>
      <c r="D31" s="5" t="str">
        <f t="shared" si="2"/>
        <v>itemText,dailCompTextRanger29,</v>
      </c>
      <c r="E31" s="5" t="str">
        <f t="shared" si="14"/>
        <v>augmentSkillLevel1,1,</v>
      </c>
      <c r="F31" s="5" t="str">
        <f t="shared" si="15"/>
        <v>augmentSkillName1,records/skills/playerclass08/p_attack.dbr,</v>
      </c>
      <c r="G31" s="7">
        <f t="shared" si="10"/>
        <v>29</v>
      </c>
      <c r="H31" s="8" t="str">
        <f t="shared" si="11"/>
        <v>Ranger</v>
      </c>
      <c r="I31" s="3" t="s">
        <v>173</v>
      </c>
      <c r="J31" s="8" t="str">
        <f t="shared" si="20"/>
        <v>class0008</v>
      </c>
      <c r="K31" s="8" t="str">
        <f t="shared" si="20"/>
        <v>dailoneskill0008</v>
      </c>
      <c r="L31" s="5" t="str">
        <f t="shared" si="4"/>
        <v>lootName29,DAIL/items/materia/class0008/Ranger29.dbr,</v>
      </c>
      <c r="M31" s="5" t="str">
        <f t="shared" si="5"/>
        <v>lootWeight29,1,</v>
      </c>
      <c r="N31" t="str">
        <f t="shared" si="6"/>
        <v>1</v>
      </c>
      <c r="O31" t="str">
        <f t="shared" si="16"/>
        <v>copy .\dail_base.dbr .\items\materia\class0008\Ranger29.dbr /y</v>
      </c>
      <c r="P31" t="str">
        <f t="shared" si="7"/>
        <v>echo relicBitmap,items/craftingparts/components/component_a52_bristlyfur_b.tex, &gt;&gt; .\items\materia\class0008\Ranger29.dbr</v>
      </c>
      <c r="Q31" t="str">
        <f t="shared" si="7"/>
        <v>echo itemCost,300000, &gt;&gt; .\items\materia\class0008\Ranger29.dbr</v>
      </c>
      <c r="R31" t="str">
        <f t="shared" si="7"/>
        <v>echo description,dailCompDescRanger29, &gt;&gt; .\items\materia\class0008\Ranger29.dbr</v>
      </c>
      <c r="S31" t="str">
        <f t="shared" si="7"/>
        <v>echo itemText,dailCompTextRanger29, &gt;&gt; .\items\materia\class0008\Ranger29.dbr</v>
      </c>
      <c r="T31" t="str">
        <f t="shared" si="7"/>
        <v>echo augmentSkillLevel1,1, &gt;&gt; .\items\materia\class0008\Ranger29.dbr</v>
      </c>
      <c r="U31" t="str">
        <f t="shared" si="7"/>
        <v>echo augmentSkillName1,records/skills/playerclass08/p_attack.dbr, &gt;&gt; .\items\materia\class0008\Ranger29.dbr</v>
      </c>
      <c r="V31" s="5" t="s">
        <v>36</v>
      </c>
      <c r="W31" t="str">
        <f t="shared" si="8"/>
        <v>echo lootName29,DAIL/items/materia/class0008/Ranger29.dbr, &gt;&gt; .\items\loottables\dailoneskill0008.dbr</v>
      </c>
      <c r="X31" t="str">
        <f t="shared" si="8"/>
        <v>echo lootWeight29,1, &gt;&gt; .\items\loottables\dailoneskill0008.dbr</v>
      </c>
      <c r="Y31" s="5" t="s">
        <v>36</v>
      </c>
      <c r="Z31" t="str">
        <f t="shared" si="9"/>
        <v xml:space="preserve"> dailCompDescRanger29=^pRanger's Gift of DAIL</v>
      </c>
      <c r="AA31" t="str">
        <f t="shared" si="17"/>
        <v>dailCompTextRanger29=^oThis feels warm to the touch, almost familiar ^w(This component fits into all Jewellery slots including the Belt And Shoulder)</v>
      </c>
      <c r="AB31" s="5" t="s">
        <v>36</v>
      </c>
      <c r="AH31">
        <f t="shared" si="19"/>
        <v>26</v>
      </c>
      <c r="AI31">
        <f t="shared" si="13"/>
        <v>27</v>
      </c>
      <c r="AJ31">
        <f t="shared" si="18"/>
        <v>1</v>
      </c>
    </row>
    <row r="32" spans="1:36" x14ac:dyDescent="0.25">
      <c r="A32" s="5" t="s">
        <v>39</v>
      </c>
      <c r="B32" s="5" t="s">
        <v>30</v>
      </c>
      <c r="C32" s="5" t="str">
        <f t="shared" si="0"/>
        <v>description,dailCompDescRanger30,</v>
      </c>
      <c r="D32" s="5" t="str">
        <f t="shared" si="2"/>
        <v>itemText,dailCompTextRanger30,</v>
      </c>
      <c r="E32" s="5" t="str">
        <f t="shared" si="14"/>
        <v>augmentSkillLevel1,1,</v>
      </c>
      <c r="F32" s="5" t="str">
        <f t="shared" si="15"/>
        <v>augmentSkillName1,records/skills/playerclass08/pl_attack_tra.dbr,</v>
      </c>
      <c r="G32" s="7">
        <f t="shared" si="10"/>
        <v>30</v>
      </c>
      <c r="H32" s="8" t="str">
        <f t="shared" si="11"/>
        <v>Ranger</v>
      </c>
      <c r="I32" s="3" t="s">
        <v>391</v>
      </c>
      <c r="J32" s="8" t="str">
        <f t="shared" si="20"/>
        <v>class0008</v>
      </c>
      <c r="K32" s="8" t="str">
        <f t="shared" si="20"/>
        <v>dailoneskill0008</v>
      </c>
      <c r="L32" s="5" t="str">
        <f t="shared" si="4"/>
        <v>lootName30,DAIL/items/materia/class0008/Ranger30.dbr,</v>
      </c>
      <c r="M32" s="5" t="str">
        <f t="shared" si="5"/>
        <v>lootWeight30,1,</v>
      </c>
      <c r="N32" t="str">
        <f t="shared" si="6"/>
        <v>1</v>
      </c>
      <c r="O32" t="str">
        <f t="shared" si="16"/>
        <v>copy .\dail_base.dbr .\items\materia\class0008\Ranger30.dbr /y</v>
      </c>
      <c r="P32" t="str">
        <f t="shared" si="7"/>
        <v>echo relicBitmap,items/craftingparts/components/component_a52_bristlyfur_b.tex, &gt;&gt; .\items\materia\class0008\Ranger30.dbr</v>
      </c>
      <c r="Q32" t="str">
        <f t="shared" si="7"/>
        <v>echo itemCost,500000, &gt;&gt; .\items\materia\class0008\Ranger30.dbr</v>
      </c>
      <c r="R32" t="str">
        <f t="shared" si="7"/>
        <v>echo description,dailCompDescRanger30, &gt;&gt; .\items\materia\class0008\Ranger30.dbr</v>
      </c>
      <c r="S32" t="str">
        <f t="shared" si="7"/>
        <v>echo itemText,dailCompTextRanger30, &gt;&gt; .\items\materia\class0008\Ranger30.dbr</v>
      </c>
      <c r="T32" t="str">
        <f t="shared" si="7"/>
        <v>echo augmentSkillLevel1,1, &gt;&gt; .\items\materia\class0008\Ranger30.dbr</v>
      </c>
      <c r="U32" t="str">
        <f t="shared" si="7"/>
        <v>echo augmentSkillName1,records/skills/playerclass08/pl_attack_tra.dbr, &gt;&gt; .\items\materia\class0008\Ranger30.dbr</v>
      </c>
      <c r="V32" s="5" t="s">
        <v>36</v>
      </c>
      <c r="W32" t="str">
        <f t="shared" si="8"/>
        <v>echo lootName30,DAIL/items/materia/class0008/Ranger30.dbr, &gt;&gt; .\items\loottables\dailoneskill0008.dbr</v>
      </c>
      <c r="X32" t="str">
        <f t="shared" si="8"/>
        <v>echo lootWeight30,1, &gt;&gt; .\items\loottables\dailoneskill0008.dbr</v>
      </c>
      <c r="Y32" s="5" t="s">
        <v>36</v>
      </c>
      <c r="Z32" t="str">
        <f t="shared" si="9"/>
        <v xml:space="preserve"> dailCompDescRanger30=^pRanger's Gift of DAIL</v>
      </c>
      <c r="AA32" t="str">
        <f t="shared" si="17"/>
        <v>dailCompTextRanger30=^oThis feels warm to the touch, almost familiar ^w(This component fits into all Jewellery slots including the Belt And Shoulder)</v>
      </c>
      <c r="AB32" s="5" t="s">
        <v>36</v>
      </c>
      <c r="AH32">
        <f t="shared" si="19"/>
        <v>27</v>
      </c>
      <c r="AI32">
        <f t="shared" si="13"/>
        <v>32</v>
      </c>
      <c r="AJ32">
        <f t="shared" si="18"/>
        <v>1</v>
      </c>
    </row>
    <row r="33" spans="1:36" x14ac:dyDescent="0.25">
      <c r="A33" s="5" t="s">
        <v>39</v>
      </c>
      <c r="B33" s="5" t="s">
        <v>30</v>
      </c>
      <c r="C33" s="5" t="str">
        <f t="shared" si="0"/>
        <v>description,dailCompDescRanger31,</v>
      </c>
      <c r="D33" s="5" t="str">
        <f t="shared" si="2"/>
        <v>itemText,dailCompTextRanger31,</v>
      </c>
      <c r="E33" s="5" t="str">
        <f t="shared" si="14"/>
        <v>augmentSkillLevel1,1,</v>
      </c>
      <c r="F33" s="5" t="str">
        <f t="shared" si="15"/>
        <v>augmentSkillName1,records/skills/playerclass08/p_attack_mod.dbr,</v>
      </c>
      <c r="G33" s="7">
        <f t="shared" si="10"/>
        <v>31</v>
      </c>
      <c r="H33" s="8" t="str">
        <f t="shared" si="11"/>
        <v>Ranger</v>
      </c>
      <c r="I33" s="3" t="s">
        <v>392</v>
      </c>
      <c r="J33" s="8" t="str">
        <f t="shared" si="20"/>
        <v>class0008</v>
      </c>
      <c r="K33" s="8" t="str">
        <f t="shared" si="20"/>
        <v>dailoneskill0008</v>
      </c>
      <c r="L33" s="5" t="str">
        <f t="shared" si="4"/>
        <v>lootName31,DAIL/items/materia/class0008/Ranger31.dbr,</v>
      </c>
      <c r="M33" s="5" t="str">
        <f t="shared" si="5"/>
        <v>lootWeight31,1,</v>
      </c>
      <c r="N33" t="str">
        <f t="shared" si="6"/>
        <v>1</v>
      </c>
      <c r="O33" t="str">
        <f t="shared" si="16"/>
        <v>copy .\dail_base.dbr .\items\materia\class0008\Ranger31.dbr /y</v>
      </c>
      <c r="P33" t="str">
        <f t="shared" si="7"/>
        <v>echo relicBitmap,items/craftingparts/components/component_a52_bristlyfur_b.tex, &gt;&gt; .\items\materia\class0008\Ranger31.dbr</v>
      </c>
      <c r="Q33" t="str">
        <f t="shared" si="7"/>
        <v>echo itemCost,500000, &gt;&gt; .\items\materia\class0008\Ranger31.dbr</v>
      </c>
      <c r="R33" t="str">
        <f t="shared" si="7"/>
        <v>echo description,dailCompDescRanger31, &gt;&gt; .\items\materia\class0008\Ranger31.dbr</v>
      </c>
      <c r="S33" t="str">
        <f t="shared" si="7"/>
        <v>echo itemText,dailCompTextRanger31, &gt;&gt; .\items\materia\class0008\Ranger31.dbr</v>
      </c>
      <c r="T33" t="str">
        <f t="shared" si="7"/>
        <v>echo augmentSkillLevel1,1, &gt;&gt; .\items\materia\class0008\Ranger31.dbr</v>
      </c>
      <c r="U33" t="str">
        <f t="shared" si="7"/>
        <v>echo augmentSkillName1,records/skills/playerclass08/p_attack_mod.dbr, &gt;&gt; .\items\materia\class0008\Ranger31.dbr</v>
      </c>
      <c r="V33" s="5" t="s">
        <v>36</v>
      </c>
      <c r="W33" t="str">
        <f t="shared" si="8"/>
        <v>echo lootName31,DAIL/items/materia/class0008/Ranger31.dbr, &gt;&gt; .\items\loottables\dailoneskill0008.dbr</v>
      </c>
      <c r="X33" t="str">
        <f t="shared" si="8"/>
        <v>echo lootWeight31,1, &gt;&gt; .\items\loottables\dailoneskill0008.dbr</v>
      </c>
      <c r="Y33" s="5" t="s">
        <v>36</v>
      </c>
      <c r="Z33" t="str">
        <f t="shared" si="9"/>
        <v xml:space="preserve"> dailCompDescRanger31=^pRanger's Gift of DAIL</v>
      </c>
      <c r="AA33" t="str">
        <f t="shared" si="17"/>
        <v>dailCompTextRanger31=^oThis feels warm to the touch, almost familiar ^w(This component fits into all Jewellery slots including the Belt And Shoulder)</v>
      </c>
      <c r="AB33" s="5" t="s">
        <v>36</v>
      </c>
      <c r="AH33">
        <f t="shared" si="19"/>
        <v>28</v>
      </c>
      <c r="AI33">
        <f t="shared" si="13"/>
        <v>31</v>
      </c>
      <c r="AJ33">
        <f t="shared" si="18"/>
        <v>1</v>
      </c>
    </row>
    <row r="34" spans="1:36" x14ac:dyDescent="0.25">
      <c r="A34" s="5" t="s">
        <v>39</v>
      </c>
      <c r="B34" s="5" t="s">
        <v>30</v>
      </c>
      <c r="C34" s="5" t="str">
        <f t="shared" si="0"/>
        <v>description,dailCompDescRanger32,</v>
      </c>
      <c r="D34" s="5" t="str">
        <f t="shared" si="2"/>
        <v>itemText,dailCompTextRanger32,</v>
      </c>
      <c r="E34" s="5" t="str">
        <f t="shared" si="14"/>
        <v>augmentSkillLevel1,1,</v>
      </c>
      <c r="F34" s="5" t="str">
        <f t="shared" si="15"/>
        <v>augmentSkillName1,records/skills/playerclass08/mutl_attack_tra.dbr,</v>
      </c>
      <c r="G34" s="7">
        <f t="shared" si="10"/>
        <v>32</v>
      </c>
      <c r="H34" s="8" t="str">
        <f t="shared" si="11"/>
        <v>Ranger</v>
      </c>
      <c r="I34" s="3" t="s">
        <v>393</v>
      </c>
      <c r="J34" s="8" t="str">
        <f t="shared" si="20"/>
        <v>class0008</v>
      </c>
      <c r="K34" s="8" t="str">
        <f t="shared" si="20"/>
        <v>dailoneskill0008</v>
      </c>
      <c r="L34" s="5" t="str">
        <f t="shared" si="4"/>
        <v>lootName32,DAIL/items/materia/class0008/Ranger32.dbr,</v>
      </c>
      <c r="M34" s="5" t="str">
        <f t="shared" si="5"/>
        <v>lootWeight32,1,</v>
      </c>
      <c r="N34" t="str">
        <f t="shared" si="6"/>
        <v>1</v>
      </c>
      <c r="O34" t="str">
        <f t="shared" si="16"/>
        <v>copy .\dail_base.dbr .\items\materia\class0008\Ranger32.dbr /y</v>
      </c>
      <c r="P34" t="str">
        <f t="shared" si="7"/>
        <v>echo relicBitmap,items/craftingparts/components/component_a52_bristlyfur_b.tex, &gt;&gt; .\items\materia\class0008\Ranger32.dbr</v>
      </c>
      <c r="Q34" t="str">
        <f t="shared" si="7"/>
        <v>echo itemCost,500000, &gt;&gt; .\items\materia\class0008\Ranger32.dbr</v>
      </c>
      <c r="R34" t="str">
        <f t="shared" si="7"/>
        <v>echo description,dailCompDescRanger32, &gt;&gt; .\items\materia\class0008\Ranger32.dbr</v>
      </c>
      <c r="S34" t="str">
        <f t="shared" si="7"/>
        <v>echo itemText,dailCompTextRanger32, &gt;&gt; .\items\materia\class0008\Ranger32.dbr</v>
      </c>
      <c r="T34" t="str">
        <f t="shared" si="7"/>
        <v>echo augmentSkillLevel1,1, &gt;&gt; .\items\materia\class0008\Ranger32.dbr</v>
      </c>
      <c r="U34" t="str">
        <f t="shared" si="7"/>
        <v>echo augmentSkillName1,records/skills/playerclass08/mutl_attack_tra.dbr, &gt;&gt; .\items\materia\class0008\Ranger32.dbr</v>
      </c>
      <c r="V34" s="5" t="s">
        <v>36</v>
      </c>
      <c r="W34" t="str">
        <f t="shared" si="8"/>
        <v>echo lootName32,DAIL/items/materia/class0008/Ranger32.dbr, &gt;&gt; .\items\loottables\dailoneskill0008.dbr</v>
      </c>
      <c r="X34" t="str">
        <f t="shared" si="8"/>
        <v>echo lootWeight32,1, &gt;&gt; .\items\loottables\dailoneskill0008.dbr</v>
      </c>
      <c r="Y34" s="5" t="s">
        <v>36</v>
      </c>
      <c r="Z34" t="str">
        <f t="shared" si="9"/>
        <v xml:space="preserve"> dailCompDescRanger32=^pRanger's Gift of DAIL</v>
      </c>
      <c r="AA34" t="str">
        <f t="shared" si="17"/>
        <v>dailCompTextRanger32=^oThis feels warm to the touch, almost familiar ^w(This component fits into all Jewellery slots including the Belt And Shoulder)</v>
      </c>
      <c r="AB34" s="5" t="s">
        <v>36</v>
      </c>
      <c r="AH34">
        <f t="shared" si="19"/>
        <v>29</v>
      </c>
      <c r="AI34">
        <f t="shared" si="13"/>
        <v>34</v>
      </c>
      <c r="AJ34">
        <f t="shared" si="18"/>
        <v>1</v>
      </c>
    </row>
    <row r="35" spans="1:36" x14ac:dyDescent="0.25">
      <c r="A35" s="5" t="s">
        <v>39</v>
      </c>
      <c r="B35" s="5" t="s">
        <v>30</v>
      </c>
      <c r="C35" s="5" t="str">
        <f t="shared" si="0"/>
        <v>description,dailCompDescRanger33,</v>
      </c>
      <c r="D35" s="5" t="str">
        <f t="shared" si="2"/>
        <v>itemText,dailCompTextRanger33,</v>
      </c>
      <c r="E35" s="5" t="str">
        <f t="shared" si="14"/>
        <v>augmentSkillLevel1,1,</v>
      </c>
      <c r="F35" s="5" t="str">
        <f t="shared" si="15"/>
        <v>augmentSkillName1,records/skills/playerclass08/mult_attack_mod.dbr,</v>
      </c>
      <c r="G35" s="7">
        <f t="shared" si="10"/>
        <v>33</v>
      </c>
      <c r="H35" s="8" t="str">
        <f t="shared" si="11"/>
        <v>Ranger</v>
      </c>
      <c r="I35" s="3" t="s">
        <v>394</v>
      </c>
      <c r="J35" s="8" t="str">
        <f t="shared" si="20"/>
        <v>class0008</v>
      </c>
      <c r="K35" s="8" t="str">
        <f t="shared" si="20"/>
        <v>dailoneskill0008</v>
      </c>
      <c r="L35" s="5" t="str">
        <f t="shared" si="4"/>
        <v>lootName33,DAIL/items/materia/class0008/Ranger33.dbr,</v>
      </c>
      <c r="M35" s="5" t="str">
        <f t="shared" si="5"/>
        <v>lootWeight33,1,</v>
      </c>
      <c r="N35" t="str">
        <f t="shared" si="6"/>
        <v>1</v>
      </c>
      <c r="O35" t="str">
        <f t="shared" si="16"/>
        <v>copy .\dail_base.dbr .\items\materia\class0008\Ranger33.dbr /y</v>
      </c>
      <c r="P35" t="str">
        <f t="shared" si="7"/>
        <v>echo relicBitmap,items/craftingparts/components/component_a52_bristlyfur_b.tex, &gt;&gt; .\items\materia\class0008\Ranger33.dbr</v>
      </c>
      <c r="Q35" t="str">
        <f t="shared" si="7"/>
        <v>echo itemCost,500000, &gt;&gt; .\items\materia\class0008\Ranger33.dbr</v>
      </c>
      <c r="R35" t="str">
        <f t="shared" si="7"/>
        <v>echo description,dailCompDescRanger33, &gt;&gt; .\items\materia\class0008\Ranger33.dbr</v>
      </c>
      <c r="S35" t="str">
        <f t="shared" si="7"/>
        <v>echo itemText,dailCompTextRanger33, &gt;&gt; .\items\materia\class0008\Ranger33.dbr</v>
      </c>
      <c r="T35" t="str">
        <f t="shared" si="7"/>
        <v>echo augmentSkillLevel1,1, &gt;&gt; .\items\materia\class0008\Ranger33.dbr</v>
      </c>
      <c r="U35" t="str">
        <f t="shared" si="7"/>
        <v>echo augmentSkillName1,records/skills/playerclass08/mult_attack_mod.dbr, &gt;&gt; .\items\materia\class0008\Ranger33.dbr</v>
      </c>
      <c r="V35" s="5" t="s">
        <v>36</v>
      </c>
      <c r="W35" t="str">
        <f t="shared" si="8"/>
        <v>echo lootName33,DAIL/items/materia/class0008/Ranger33.dbr, &gt;&gt; .\items\loottables\dailoneskill0008.dbr</v>
      </c>
      <c r="X35" t="str">
        <f t="shared" si="8"/>
        <v>echo lootWeight33,1, &gt;&gt; .\items\loottables\dailoneskill0008.dbr</v>
      </c>
      <c r="Y35" s="5" t="s">
        <v>36</v>
      </c>
      <c r="Z35" t="str">
        <f t="shared" si="9"/>
        <v xml:space="preserve"> dailCompDescRanger33=^pRanger's Gift of DAIL</v>
      </c>
      <c r="AA35" t="str">
        <f t="shared" si="17"/>
        <v>dailCompTextRanger33=^oThis feels warm to the touch, almost familiar ^w(This component fits into all Jewellery slots including the Belt And Shoulder)</v>
      </c>
      <c r="AB35" s="5" t="s">
        <v>36</v>
      </c>
      <c r="AH35">
        <f t="shared" si="19"/>
        <v>30</v>
      </c>
      <c r="AI35">
        <f t="shared" si="13"/>
        <v>34</v>
      </c>
      <c r="AJ35">
        <f t="shared" si="18"/>
        <v>1</v>
      </c>
    </row>
    <row r="36" spans="1:36" x14ac:dyDescent="0.25">
      <c r="A36" s="5" t="s">
        <v>39</v>
      </c>
      <c r="B36" s="5" t="s">
        <v>30</v>
      </c>
      <c r="C36" s="5" t="str">
        <f t="shared" si="0"/>
        <v>description,dailCompDescRanger34,</v>
      </c>
      <c r="D36" s="5" t="str">
        <f t="shared" si="2"/>
        <v>itemText,dailCompTextRanger34,</v>
      </c>
      <c r="E36" s="5" t="str">
        <f t="shared" si="14"/>
        <v>augmentSkillLevel1,1,</v>
      </c>
      <c r="F36" s="5" t="str">
        <f t="shared" si="15"/>
        <v>augmentSkillName1,records/skills/playerclass08/mult_attack_mod2.dbr,</v>
      </c>
      <c r="G36" s="7">
        <f t="shared" si="10"/>
        <v>34</v>
      </c>
      <c r="H36" s="8" t="str">
        <f t="shared" si="11"/>
        <v>Ranger</v>
      </c>
      <c r="I36" s="3" t="s">
        <v>395</v>
      </c>
      <c r="J36" s="8" t="str">
        <f t="shared" si="20"/>
        <v>class0008</v>
      </c>
      <c r="K36" s="8" t="str">
        <f t="shared" si="20"/>
        <v>dailoneskill0008</v>
      </c>
      <c r="L36" s="5" t="str">
        <f t="shared" si="4"/>
        <v>lootName34,DAIL/items/materia/class0008/Ranger34.dbr,</v>
      </c>
      <c r="M36" s="5" t="str">
        <f t="shared" si="5"/>
        <v>lootWeight34,1,</v>
      </c>
      <c r="N36" t="str">
        <f t="shared" si="6"/>
        <v>1</v>
      </c>
      <c r="O36" t="str">
        <f t="shared" si="16"/>
        <v>copy .\dail_base.dbr .\items\materia\class0008\Ranger34.dbr /y</v>
      </c>
      <c r="P36" t="str">
        <f t="shared" si="7"/>
        <v>echo relicBitmap,items/craftingparts/components/component_a52_bristlyfur_b.tex, &gt;&gt; .\items\materia\class0008\Ranger34.dbr</v>
      </c>
      <c r="Q36" t="str">
        <f t="shared" si="7"/>
        <v>echo itemCost,500000, &gt;&gt; .\items\materia\class0008\Ranger34.dbr</v>
      </c>
      <c r="R36" t="str">
        <f t="shared" si="7"/>
        <v>echo description,dailCompDescRanger34, &gt;&gt; .\items\materia\class0008\Ranger34.dbr</v>
      </c>
      <c r="S36" t="str">
        <f t="shared" si="7"/>
        <v>echo itemText,dailCompTextRanger34, &gt;&gt; .\items\materia\class0008\Ranger34.dbr</v>
      </c>
      <c r="T36" t="str">
        <f t="shared" si="7"/>
        <v>echo augmentSkillLevel1,1, &gt;&gt; .\items\materia\class0008\Ranger34.dbr</v>
      </c>
      <c r="U36" t="str">
        <f t="shared" si="7"/>
        <v>echo augmentSkillName1,records/skills/playerclass08/mult_attack_mod2.dbr, &gt;&gt; .\items\materia\class0008\Ranger34.dbr</v>
      </c>
      <c r="V36" s="5" t="s">
        <v>36</v>
      </c>
      <c r="W36" t="str">
        <f t="shared" si="8"/>
        <v>echo lootName34,DAIL/items/materia/class0008/Ranger34.dbr, &gt;&gt; .\items\loottables\dailoneskill0008.dbr</v>
      </c>
      <c r="X36" t="str">
        <f t="shared" si="8"/>
        <v>echo lootWeight34,1, &gt;&gt; .\items\loottables\dailoneskill0008.dbr</v>
      </c>
      <c r="Y36" s="5" t="s">
        <v>36</v>
      </c>
      <c r="Z36" t="str">
        <f t="shared" si="9"/>
        <v xml:space="preserve"> dailCompDescRanger34=^pRanger's Gift of DAIL</v>
      </c>
      <c r="AA36" t="str">
        <f t="shared" si="17"/>
        <v>dailCompTextRanger34=^oThis feels warm to the touch, almost familiar ^w(This component fits into all Jewellery slots including the Belt And Shoulder)</v>
      </c>
      <c r="AB36" s="5" t="s">
        <v>36</v>
      </c>
      <c r="AH36">
        <f t="shared" si="19"/>
        <v>31</v>
      </c>
      <c r="AI36">
        <f t="shared" si="13"/>
        <v>35</v>
      </c>
      <c r="AJ36">
        <f t="shared" si="18"/>
        <v>1</v>
      </c>
    </row>
    <row r="37" spans="1:36" x14ac:dyDescent="0.25">
      <c r="A37" s="5" t="s">
        <v>39</v>
      </c>
      <c r="B37" s="5" t="s">
        <v>30</v>
      </c>
      <c r="C37" s="5" t="str">
        <f t="shared" si="0"/>
        <v>description,dailCompDescRanger35,</v>
      </c>
      <c r="D37" s="5" t="str">
        <f t="shared" si="2"/>
        <v>itemText,dailCompTextRanger35,</v>
      </c>
      <c r="E37" s="5" t="str">
        <f t="shared" si="14"/>
        <v>augmentSkillLevel1,1,</v>
      </c>
      <c r="F37" s="5" t="str">
        <f t="shared" si="15"/>
        <v>augmentSkillName1,records/skills/playerclass08/passive1.dbr,</v>
      </c>
      <c r="G37" s="7">
        <f t="shared" si="10"/>
        <v>35</v>
      </c>
      <c r="H37" s="8" t="str">
        <f t="shared" si="11"/>
        <v>Ranger</v>
      </c>
      <c r="I37" s="3" t="s">
        <v>396</v>
      </c>
      <c r="J37" s="8" t="str">
        <f t="shared" ref="J37:K52" si="21">J36</f>
        <v>class0008</v>
      </c>
      <c r="K37" s="8" t="str">
        <f t="shared" si="21"/>
        <v>dailoneskill0008</v>
      </c>
      <c r="L37" s="5" t="str">
        <f t="shared" si="4"/>
        <v>lootName35,DAIL/items/materia/class0008/Ranger35.dbr,</v>
      </c>
      <c r="M37" s="5" t="str">
        <f t="shared" si="5"/>
        <v>lootWeight35,1,</v>
      </c>
      <c r="N37" t="str">
        <f t="shared" si="6"/>
        <v>1</v>
      </c>
      <c r="O37" t="str">
        <f t="shared" si="16"/>
        <v>copy .\dail_base.dbr .\items\materia\class0008\Ranger35.dbr /y</v>
      </c>
      <c r="P37" t="str">
        <f t="shared" si="7"/>
        <v>echo relicBitmap,items/craftingparts/components/component_a52_bristlyfur_b.tex, &gt;&gt; .\items\materia\class0008\Ranger35.dbr</v>
      </c>
      <c r="Q37" t="str">
        <f t="shared" si="7"/>
        <v>echo itemCost,500000, &gt;&gt; .\items\materia\class0008\Ranger35.dbr</v>
      </c>
      <c r="R37" t="str">
        <f t="shared" si="7"/>
        <v>echo description,dailCompDescRanger35, &gt;&gt; .\items\materia\class0008\Ranger35.dbr</v>
      </c>
      <c r="S37" t="str">
        <f t="shared" si="7"/>
        <v>echo itemText,dailCompTextRanger35, &gt;&gt; .\items\materia\class0008\Ranger35.dbr</v>
      </c>
      <c r="T37" t="str">
        <f t="shared" si="7"/>
        <v>echo augmentSkillLevel1,1, &gt;&gt; .\items\materia\class0008\Ranger35.dbr</v>
      </c>
      <c r="U37" t="str">
        <f t="shared" si="7"/>
        <v>echo augmentSkillName1,records/skills/playerclass08/passive1.dbr, &gt;&gt; .\items\materia\class0008\Ranger35.dbr</v>
      </c>
      <c r="V37" s="5" t="s">
        <v>36</v>
      </c>
      <c r="W37" t="str">
        <f t="shared" si="8"/>
        <v>echo lootName35,DAIL/items/materia/class0008/Ranger35.dbr, &gt;&gt; .\items\loottables\dailoneskill0008.dbr</v>
      </c>
      <c r="X37" t="str">
        <f t="shared" si="8"/>
        <v>echo lootWeight35,1, &gt;&gt; .\items\loottables\dailoneskill0008.dbr</v>
      </c>
      <c r="Y37" s="5" t="s">
        <v>36</v>
      </c>
      <c r="Z37" t="str">
        <f t="shared" si="9"/>
        <v xml:space="preserve"> dailCompDescRanger35=^pRanger's Gift of DAIL</v>
      </c>
      <c r="AA37" t="str">
        <f t="shared" si="17"/>
        <v>dailCompTextRanger35=^oThis feels warm to the touch, almost familiar ^w(This component fits into all Jewellery slots including the Belt And Shoulder)</v>
      </c>
      <c r="AB37" s="5" t="s">
        <v>36</v>
      </c>
      <c r="AH37">
        <f t="shared" si="19"/>
        <v>32</v>
      </c>
      <c r="AI37">
        <f t="shared" si="13"/>
        <v>27</v>
      </c>
      <c r="AJ37">
        <f t="shared" si="18"/>
        <v>1</v>
      </c>
    </row>
    <row r="38" spans="1:36" x14ac:dyDescent="0.25">
      <c r="A38" s="5" t="s">
        <v>39</v>
      </c>
      <c r="B38" s="5" t="s">
        <v>30</v>
      </c>
      <c r="C38" s="5" t="str">
        <f t="shared" si="0"/>
        <v>description,dailCompDescRanger36,</v>
      </c>
      <c r="D38" s="5" t="str">
        <f t="shared" si="2"/>
        <v>itemText,dailCompTextRanger36,</v>
      </c>
      <c r="E38" s="5" t="str">
        <f t="shared" si="14"/>
        <v>augmentSkillLevel1,3,</v>
      </c>
      <c r="F38" s="5" t="str">
        <f t="shared" si="15"/>
        <v>augmentSkillName1,records/skills/playerclass08/passive2.dbr,</v>
      </c>
      <c r="G38" s="7">
        <f t="shared" si="10"/>
        <v>36</v>
      </c>
      <c r="H38" s="8" t="str">
        <f t="shared" si="11"/>
        <v>Ranger</v>
      </c>
      <c r="I38" s="3" t="s">
        <v>397</v>
      </c>
      <c r="J38" s="8" t="str">
        <f t="shared" si="21"/>
        <v>class0008</v>
      </c>
      <c r="K38" s="8" t="str">
        <f t="shared" si="21"/>
        <v>dailoneskill0008</v>
      </c>
      <c r="L38" s="5" t="str">
        <f t="shared" si="4"/>
        <v>lootName36,DAIL/items/materia/class0008/Ranger36.dbr,</v>
      </c>
      <c r="M38" s="5" t="str">
        <f t="shared" si="5"/>
        <v>lootWeight36,1,</v>
      </c>
      <c r="N38" t="str">
        <f t="shared" si="6"/>
        <v>3</v>
      </c>
      <c r="O38" t="str">
        <f t="shared" si="16"/>
        <v>copy .\dail_base3.dbr .\items\materia\class0008\Ranger36.dbr /y</v>
      </c>
      <c r="P38" t="str">
        <f t="shared" si="7"/>
        <v>echo relicBitmap,items/craftingparts/components/component_a52_bristlyfur_b.tex, &gt;&gt; .\items\materia\class0008\Ranger36.dbr</v>
      </c>
      <c r="Q38" t="str">
        <f t="shared" si="7"/>
        <v>echo itemCost,500000, &gt;&gt; .\items\materia\class0008\Ranger36.dbr</v>
      </c>
      <c r="R38" t="str">
        <f t="shared" si="7"/>
        <v>echo description,dailCompDescRanger36, &gt;&gt; .\items\materia\class0008\Ranger36.dbr</v>
      </c>
      <c r="S38" t="str">
        <f t="shared" si="7"/>
        <v>echo itemText,dailCompTextRanger36, &gt;&gt; .\items\materia\class0008\Ranger36.dbr</v>
      </c>
      <c r="T38" t="str">
        <f t="shared" si="7"/>
        <v>echo augmentSkillLevel1,3, &gt;&gt; .\items\materia\class0008\Ranger36.dbr</v>
      </c>
      <c r="U38" t="str">
        <f t="shared" si="7"/>
        <v>echo augmentSkillName1,records/skills/playerclass08/passive2.dbr, &gt;&gt; .\items\materia\class0008\Ranger36.dbr</v>
      </c>
      <c r="V38" s="5" t="s">
        <v>36</v>
      </c>
      <c r="W38" t="str">
        <f t="shared" si="8"/>
        <v>echo lootName36,DAIL/items/materia/class0008/Ranger36.dbr, &gt;&gt; .\items\loottables\dailoneskill0008.dbr</v>
      </c>
      <c r="X38" t="str">
        <f t="shared" si="8"/>
        <v>echo lootWeight36,1, &gt;&gt; .\items\loottables\dailoneskill0008.dbr</v>
      </c>
      <c r="Y38" s="5" t="s">
        <v>36</v>
      </c>
      <c r="Z38" t="str">
        <f t="shared" si="9"/>
        <v xml:space="preserve"> dailCompDescRanger36=^pRanger's Gift of DAIL</v>
      </c>
      <c r="AA38" t="str">
        <f t="shared" si="17"/>
        <v>dailCompTextRanger36=^oThis feels warm to the touch, almost familiar ^w(This component only fits into the Medal Slot)</v>
      </c>
      <c r="AB38" s="5" t="s">
        <v>36</v>
      </c>
      <c r="AH38">
        <f t="shared" si="19"/>
        <v>33</v>
      </c>
      <c r="AI38">
        <f t="shared" ref="AI38:AI69" si="22">LEN(I38)</f>
        <v>27</v>
      </c>
      <c r="AJ38">
        <f t="shared" si="18"/>
        <v>3</v>
      </c>
    </row>
    <row r="39" spans="1:36" x14ac:dyDescent="0.25">
      <c r="A39" s="5" t="s">
        <v>39</v>
      </c>
      <c r="B39" s="5" t="s">
        <v>30</v>
      </c>
      <c r="C39" s="5" t="str">
        <f t="shared" si="0"/>
        <v>description,dailCompDescRanger37,</v>
      </c>
      <c r="D39" s="5" t="str">
        <f t="shared" si="2"/>
        <v>itemText,dailCompTextRanger37,</v>
      </c>
      <c r="E39" s="5" t="str">
        <f t="shared" si="14"/>
        <v>augmentSkillLevel1,3,</v>
      </c>
      <c r="F39" s="5" t="str">
        <f t="shared" si="15"/>
        <v>augmentSkillName1,records/skills/playerclass08/passive3.dbr,</v>
      </c>
      <c r="G39" s="7">
        <f t="shared" si="10"/>
        <v>37</v>
      </c>
      <c r="H39" s="8" t="str">
        <f t="shared" si="11"/>
        <v>Ranger</v>
      </c>
      <c r="I39" s="3" t="s">
        <v>398</v>
      </c>
      <c r="J39" s="8" t="str">
        <f t="shared" si="21"/>
        <v>class0008</v>
      </c>
      <c r="K39" s="8" t="str">
        <f t="shared" si="21"/>
        <v>dailoneskill0008</v>
      </c>
      <c r="L39" s="5" t="str">
        <f t="shared" si="4"/>
        <v>lootName37,DAIL/items/materia/class0008/Ranger37.dbr,</v>
      </c>
      <c r="M39" s="5" t="str">
        <f t="shared" si="5"/>
        <v>lootWeight37,1,</v>
      </c>
      <c r="N39" t="str">
        <f t="shared" si="6"/>
        <v>3</v>
      </c>
      <c r="O39" t="str">
        <f t="shared" si="16"/>
        <v>copy .\dail_base3.dbr .\items\materia\class0008\Ranger37.dbr /y</v>
      </c>
      <c r="P39" t="str">
        <f t="shared" si="7"/>
        <v>echo relicBitmap,items/craftingparts/components/component_a52_bristlyfur_b.tex, &gt;&gt; .\items\materia\class0008\Ranger37.dbr</v>
      </c>
      <c r="Q39" t="str">
        <f t="shared" si="7"/>
        <v>echo itemCost,500000, &gt;&gt; .\items\materia\class0008\Ranger37.dbr</v>
      </c>
      <c r="R39" t="str">
        <f t="shared" si="7"/>
        <v>echo description,dailCompDescRanger37, &gt;&gt; .\items\materia\class0008\Ranger37.dbr</v>
      </c>
      <c r="S39" t="str">
        <f t="shared" si="7"/>
        <v>echo itemText,dailCompTextRanger37, &gt;&gt; .\items\materia\class0008\Ranger37.dbr</v>
      </c>
      <c r="T39" t="str">
        <f t="shared" si="7"/>
        <v>echo augmentSkillLevel1,3, &gt;&gt; .\items\materia\class0008\Ranger37.dbr</v>
      </c>
      <c r="U39" t="str">
        <f t="shared" si="7"/>
        <v>echo augmentSkillName1,records/skills/playerclass08/passive3.dbr, &gt;&gt; .\items\materia\class0008\Ranger37.dbr</v>
      </c>
      <c r="V39" s="5" t="s">
        <v>36</v>
      </c>
      <c r="W39" t="str">
        <f t="shared" si="8"/>
        <v>echo lootName37,DAIL/items/materia/class0008/Ranger37.dbr, &gt;&gt; .\items\loottables\dailoneskill0008.dbr</v>
      </c>
      <c r="X39" t="str">
        <f t="shared" si="8"/>
        <v>echo lootWeight37,1, &gt;&gt; .\items\loottables\dailoneskill0008.dbr</v>
      </c>
      <c r="Y39" s="5" t="s">
        <v>36</v>
      </c>
      <c r="Z39" t="str">
        <f t="shared" si="9"/>
        <v xml:space="preserve"> dailCompDescRanger37=^pRanger's Gift of DAIL</v>
      </c>
      <c r="AA39" t="str">
        <f t="shared" si="17"/>
        <v>dailCompTextRanger37=^oThis feels warm to the touch, almost familiar ^w(This component only fits into the Medal Slot)</v>
      </c>
      <c r="AB39" s="5" t="s">
        <v>36</v>
      </c>
      <c r="AH39">
        <f t="shared" si="19"/>
        <v>34</v>
      </c>
      <c r="AI39">
        <f t="shared" si="22"/>
        <v>27</v>
      </c>
      <c r="AJ39">
        <f t="shared" si="18"/>
        <v>3</v>
      </c>
    </row>
    <row r="40" spans="1:36" x14ac:dyDescent="0.25">
      <c r="A40" s="5" t="s">
        <v>39</v>
      </c>
      <c r="B40" s="5" t="s">
        <v>30</v>
      </c>
      <c r="C40" s="5" t="str">
        <f t="shared" si="0"/>
        <v>description,dailCompDescRanger38,</v>
      </c>
      <c r="D40" s="5" t="str">
        <f t="shared" si="2"/>
        <v>itemText,dailCompTextRanger38,</v>
      </c>
      <c r="E40" s="5" t="str">
        <f t="shared" si="14"/>
        <v>augmentSkillLevel1,3,</v>
      </c>
      <c r="F40" s="5" t="str">
        <f t="shared" si="15"/>
        <v>augmentSkillName1,records/skills/playerclass08/passive4.dbr,</v>
      </c>
      <c r="G40" s="7">
        <f t="shared" si="10"/>
        <v>38</v>
      </c>
      <c r="H40" s="8" t="str">
        <f t="shared" si="11"/>
        <v>Ranger</v>
      </c>
      <c r="I40" s="3" t="s">
        <v>376</v>
      </c>
      <c r="J40" s="8" t="str">
        <f t="shared" si="21"/>
        <v>class0008</v>
      </c>
      <c r="K40" s="8" t="str">
        <f t="shared" si="21"/>
        <v>dailoneskill0008</v>
      </c>
      <c r="L40" s="5" t="str">
        <f t="shared" si="4"/>
        <v>lootName38,DAIL/items/materia/class0008/Ranger38.dbr,</v>
      </c>
      <c r="M40" s="5" t="str">
        <f t="shared" si="5"/>
        <v>lootWeight38,1,</v>
      </c>
      <c r="N40" t="str">
        <f t="shared" si="6"/>
        <v>3</v>
      </c>
      <c r="O40" t="str">
        <f t="shared" si="16"/>
        <v>copy .\dail_base3.dbr .\items\materia\class0008\Ranger38.dbr /y</v>
      </c>
      <c r="P40" t="str">
        <f t="shared" si="7"/>
        <v>echo relicBitmap,items/craftingparts/components/component_a52_bristlyfur_b.tex, &gt;&gt; .\items\materia\class0008\Ranger38.dbr</v>
      </c>
      <c r="Q40" t="str">
        <f t="shared" si="7"/>
        <v>echo itemCost,500000, &gt;&gt; .\items\materia\class0008\Ranger38.dbr</v>
      </c>
      <c r="R40" t="str">
        <f t="shared" si="7"/>
        <v>echo description,dailCompDescRanger38, &gt;&gt; .\items\materia\class0008\Ranger38.dbr</v>
      </c>
      <c r="S40" t="str">
        <f t="shared" si="7"/>
        <v>echo itemText,dailCompTextRanger38, &gt;&gt; .\items\materia\class0008\Ranger38.dbr</v>
      </c>
      <c r="T40" t="str">
        <f t="shared" si="7"/>
        <v>echo augmentSkillLevel1,3, &gt;&gt; .\items\materia\class0008\Ranger38.dbr</v>
      </c>
      <c r="U40" t="str">
        <f t="shared" si="7"/>
        <v>echo augmentSkillName1,records/skills/playerclass08/passive4.dbr, &gt;&gt; .\items\materia\class0008\Ranger38.dbr</v>
      </c>
      <c r="V40" s="5" t="s">
        <v>36</v>
      </c>
      <c r="W40" t="str">
        <f t="shared" si="8"/>
        <v>echo lootName38,DAIL/items/materia/class0008/Ranger38.dbr, &gt;&gt; .\items\loottables\dailoneskill0008.dbr</v>
      </c>
      <c r="X40" t="str">
        <f t="shared" si="8"/>
        <v>echo lootWeight38,1, &gt;&gt; .\items\loottables\dailoneskill0008.dbr</v>
      </c>
      <c r="Y40" s="5" t="s">
        <v>36</v>
      </c>
      <c r="Z40" t="str">
        <f t="shared" si="9"/>
        <v xml:space="preserve"> dailCompDescRanger38=^pRanger's Gift of DAIL</v>
      </c>
      <c r="AA40" t="str">
        <f t="shared" si="17"/>
        <v>dailCompTextRanger38=^oThis feels warm to the touch, almost familiar ^w(This component only fits into the Medal Slot)</v>
      </c>
      <c r="AB40" s="5" t="s">
        <v>36</v>
      </c>
      <c r="AH40">
        <f t="shared" si="19"/>
        <v>35</v>
      </c>
      <c r="AI40">
        <f t="shared" si="22"/>
        <v>27</v>
      </c>
      <c r="AJ40">
        <f t="shared" si="18"/>
        <v>3</v>
      </c>
    </row>
    <row r="41" spans="1:36" x14ac:dyDescent="0.25">
      <c r="A41" s="5" t="s">
        <v>39</v>
      </c>
      <c r="B41" s="5" t="s">
        <v>30</v>
      </c>
      <c r="C41" s="5" t="str">
        <f t="shared" si="0"/>
        <v>description,dailCompDescRanger39,</v>
      </c>
      <c r="D41" s="5" t="str">
        <f t="shared" si="2"/>
        <v>itemText,dailCompTextRanger39,</v>
      </c>
      <c r="E41" s="5" t="str">
        <f t="shared" si="14"/>
        <v>augmentSkillLevel1,3,</v>
      </c>
      <c r="F41" s="5" t="str">
        <f t="shared" si="15"/>
        <v>augmentSkillName1,records/skills/playerclass08/windrunner.dbr,</v>
      </c>
      <c r="G41" s="7">
        <f t="shared" si="10"/>
        <v>39</v>
      </c>
      <c r="H41" s="8" t="str">
        <f t="shared" si="11"/>
        <v>Ranger</v>
      </c>
      <c r="I41" s="3" t="s">
        <v>175</v>
      </c>
      <c r="J41" s="8" t="str">
        <f t="shared" si="21"/>
        <v>class0008</v>
      </c>
      <c r="K41" s="8" t="str">
        <f t="shared" si="21"/>
        <v>dailoneskill0008</v>
      </c>
      <c r="L41" s="5" t="str">
        <f t="shared" si="4"/>
        <v>lootName39,DAIL/items/materia/class0008/Ranger39.dbr,</v>
      </c>
      <c r="M41" s="5" t="str">
        <f t="shared" si="5"/>
        <v>lootWeight39,1,</v>
      </c>
      <c r="N41" t="str">
        <f t="shared" si="6"/>
        <v>3</v>
      </c>
      <c r="O41" t="str">
        <f t="shared" si="16"/>
        <v>copy .\dail_base3.dbr .\items\materia\class0008\Ranger39.dbr /y</v>
      </c>
      <c r="P41" t="str">
        <f t="shared" si="7"/>
        <v>echo relicBitmap,items/craftingparts/components/component_a52_bristlyfur_b.tex, &gt;&gt; .\items\materia\class0008\Ranger39.dbr</v>
      </c>
      <c r="Q41" t="str">
        <f t="shared" si="7"/>
        <v>echo itemCost,500000, &gt;&gt; .\items\materia\class0008\Ranger39.dbr</v>
      </c>
      <c r="R41" t="str">
        <f t="shared" si="7"/>
        <v>echo description,dailCompDescRanger39, &gt;&gt; .\items\materia\class0008\Ranger39.dbr</v>
      </c>
      <c r="S41" t="str">
        <f t="shared" si="7"/>
        <v>echo itemText,dailCompTextRanger39, &gt;&gt; .\items\materia\class0008\Ranger39.dbr</v>
      </c>
      <c r="T41" t="str">
        <f t="shared" si="7"/>
        <v>echo augmentSkillLevel1,3, &gt;&gt; .\items\materia\class0008\Ranger39.dbr</v>
      </c>
      <c r="U41" t="str">
        <f t="shared" si="7"/>
        <v>echo augmentSkillName1,records/skills/playerclass08/windrunner.dbr, &gt;&gt; .\items\materia\class0008\Ranger39.dbr</v>
      </c>
      <c r="V41" s="5" t="s">
        <v>36</v>
      </c>
      <c r="W41" t="str">
        <f t="shared" si="8"/>
        <v>echo lootName39,DAIL/items/materia/class0008/Ranger39.dbr, &gt;&gt; .\items\loottables\dailoneskill0008.dbr</v>
      </c>
      <c r="X41" t="str">
        <f t="shared" si="8"/>
        <v>echo lootWeight39,1, &gt;&gt; .\items\loottables\dailoneskill0008.dbr</v>
      </c>
      <c r="Y41" s="5" t="s">
        <v>36</v>
      </c>
      <c r="Z41" t="str">
        <f t="shared" si="9"/>
        <v xml:space="preserve"> dailCompDescRanger39=^pRanger's Gift of DAIL</v>
      </c>
      <c r="AA41" t="str">
        <f t="shared" si="17"/>
        <v>dailCompTextRanger39=^oThis feels warm to the touch, almost familiar ^w(This component only fits into the Medal Slot)</v>
      </c>
      <c r="AB41" s="5" t="s">
        <v>36</v>
      </c>
      <c r="AH41">
        <f t="shared" si="19"/>
        <v>36</v>
      </c>
      <c r="AI41">
        <f t="shared" si="22"/>
        <v>29</v>
      </c>
      <c r="AJ41">
        <f t="shared" si="18"/>
        <v>3</v>
      </c>
    </row>
    <row r="42" spans="1:36" x14ac:dyDescent="0.25">
      <c r="A42" s="5" t="s">
        <v>39</v>
      </c>
      <c r="B42" s="5" t="s">
        <v>30</v>
      </c>
      <c r="C42" s="5" t="str">
        <f t="shared" si="0"/>
        <v>description,dailCompDescRanger40,</v>
      </c>
      <c r="D42" s="5" t="str">
        <f t="shared" si="2"/>
        <v>itemText,dailCompTextRanger40,</v>
      </c>
      <c r="E42" s="5" t="str">
        <f t="shared" si="14"/>
        <v>augmentSkillLevel1,3,</v>
      </c>
      <c r="F42" s="5" t="str">
        <f t="shared" si="15"/>
        <v>augmentSkillName1,records/skills/playerclass08/windrunner_ut.dbr,</v>
      </c>
      <c r="G42" s="7">
        <f t="shared" si="10"/>
        <v>40</v>
      </c>
      <c r="H42" s="8" t="str">
        <f t="shared" si="11"/>
        <v>Ranger</v>
      </c>
      <c r="I42" s="3" t="s">
        <v>377</v>
      </c>
      <c r="J42" s="8" t="str">
        <f t="shared" si="21"/>
        <v>class0008</v>
      </c>
      <c r="K42" s="8" t="str">
        <f t="shared" si="21"/>
        <v>dailoneskill0008</v>
      </c>
      <c r="L42" s="5" t="str">
        <f t="shared" si="4"/>
        <v>lootName40,DAIL/items/materia/class0008/Ranger40.dbr,</v>
      </c>
      <c r="M42" s="5" t="str">
        <f t="shared" si="5"/>
        <v>lootWeight40,1,</v>
      </c>
      <c r="N42" t="str">
        <f t="shared" si="6"/>
        <v>3</v>
      </c>
      <c r="O42" t="str">
        <f t="shared" si="16"/>
        <v>copy .\dail_base3.dbr .\items\materia\class0008\Ranger40.dbr /y</v>
      </c>
      <c r="P42" t="str">
        <f t="shared" si="7"/>
        <v>echo relicBitmap,items/craftingparts/components/component_a52_bristlyfur_b.tex, &gt;&gt; .\items\materia\class0008\Ranger40.dbr</v>
      </c>
      <c r="Q42" t="str">
        <f t="shared" si="7"/>
        <v>echo itemCost,500000, &gt;&gt; .\items\materia\class0008\Ranger40.dbr</v>
      </c>
      <c r="R42" t="str">
        <f t="shared" si="7"/>
        <v>echo description,dailCompDescRanger40, &gt;&gt; .\items\materia\class0008\Ranger40.dbr</v>
      </c>
      <c r="S42" t="str">
        <f t="shared" si="7"/>
        <v>echo itemText,dailCompTextRanger40, &gt;&gt; .\items\materia\class0008\Ranger40.dbr</v>
      </c>
      <c r="T42" t="str">
        <f t="shared" si="7"/>
        <v>echo augmentSkillLevel1,3, &gt;&gt; .\items\materia\class0008\Ranger40.dbr</v>
      </c>
      <c r="U42" t="str">
        <f t="shared" si="7"/>
        <v>echo augmentSkillName1,records/skills/playerclass08/windrunner_ut.dbr, &gt;&gt; .\items\materia\class0008\Ranger40.dbr</v>
      </c>
      <c r="V42" s="5" t="s">
        <v>36</v>
      </c>
      <c r="W42" t="str">
        <f t="shared" si="8"/>
        <v>echo lootName40,DAIL/items/materia/class0008/Ranger40.dbr, &gt;&gt; .\items\loottables\dailoneskill0008.dbr</v>
      </c>
      <c r="X42" t="str">
        <f t="shared" si="8"/>
        <v>echo lootWeight40,1, &gt;&gt; .\items\loottables\dailoneskill0008.dbr</v>
      </c>
      <c r="Y42" s="5" t="s">
        <v>36</v>
      </c>
      <c r="Z42" t="str">
        <f t="shared" si="9"/>
        <v xml:space="preserve"> dailCompDescRanger40=^pRanger's Gift of DAIL</v>
      </c>
      <c r="AA42" t="str">
        <f t="shared" si="17"/>
        <v>dailCompTextRanger40=^oThis feels warm to the touch, almost familiar ^w(This component only fits into the Medal Slot)</v>
      </c>
      <c r="AB42" s="5" t="s">
        <v>36</v>
      </c>
      <c r="AH42">
        <f t="shared" si="19"/>
        <v>37</v>
      </c>
      <c r="AI42">
        <f t="shared" si="22"/>
        <v>32</v>
      </c>
      <c r="AJ42">
        <f t="shared" si="18"/>
        <v>3</v>
      </c>
    </row>
    <row r="43" spans="1:36" x14ac:dyDescent="0.25">
      <c r="A43" s="5" t="s">
        <v>39</v>
      </c>
      <c r="B43" s="5" t="s">
        <v>30</v>
      </c>
      <c r="C43" s="5" t="str">
        <f t="shared" si="0"/>
        <v>description,dailCompDescRanger41,</v>
      </c>
      <c r="D43" s="5" t="str">
        <f t="shared" si="2"/>
        <v>itemText,dailCompTextRanger41,</v>
      </c>
      <c r="E43" s="5" t="str">
        <f t="shared" si="14"/>
        <v>augmentSkillLevel1,3,</v>
      </c>
      <c r="F43" s="5" t="str">
        <f t="shared" si="15"/>
        <v>augmentSkillName1,records/skills/playerclass08/windrunner_mod.dbr,</v>
      </c>
      <c r="G43" s="7">
        <f t="shared" si="10"/>
        <v>41</v>
      </c>
      <c r="H43" s="8" t="str">
        <f t="shared" si="11"/>
        <v>Ranger</v>
      </c>
      <c r="I43" s="3" t="s">
        <v>378</v>
      </c>
      <c r="J43" s="8" t="str">
        <f t="shared" si="21"/>
        <v>class0008</v>
      </c>
      <c r="K43" s="8" t="str">
        <f t="shared" si="21"/>
        <v>dailoneskill0008</v>
      </c>
      <c r="L43" s="5" t="str">
        <f t="shared" si="4"/>
        <v>lootName41,DAIL/items/materia/class0008/Ranger41.dbr,</v>
      </c>
      <c r="M43" s="5" t="str">
        <f t="shared" si="5"/>
        <v>lootWeight41,1,</v>
      </c>
      <c r="N43" t="str">
        <f t="shared" si="6"/>
        <v>3</v>
      </c>
      <c r="O43" t="str">
        <f t="shared" si="16"/>
        <v>copy .\dail_base3.dbr .\items\materia\class0008\Ranger41.dbr /y</v>
      </c>
      <c r="P43" t="str">
        <f t="shared" si="7"/>
        <v>echo relicBitmap,items/craftingparts/components/component_a52_bristlyfur_b.tex, &gt;&gt; .\items\materia\class0008\Ranger41.dbr</v>
      </c>
      <c r="Q43" t="str">
        <f t="shared" si="7"/>
        <v>echo itemCost,500000, &gt;&gt; .\items\materia\class0008\Ranger41.dbr</v>
      </c>
      <c r="R43" t="str">
        <f t="shared" si="7"/>
        <v>echo description,dailCompDescRanger41, &gt;&gt; .\items\materia\class0008\Ranger41.dbr</v>
      </c>
      <c r="S43" t="str">
        <f t="shared" si="7"/>
        <v>echo itemText,dailCompTextRanger41, &gt;&gt; .\items\materia\class0008\Ranger41.dbr</v>
      </c>
      <c r="T43" t="str">
        <f t="shared" si="7"/>
        <v>echo augmentSkillLevel1,3, &gt;&gt; .\items\materia\class0008\Ranger41.dbr</v>
      </c>
      <c r="U43" t="str">
        <f t="shared" si="7"/>
        <v>echo augmentSkillName1,records/skills/playerclass08/windrunner_mod.dbr, &gt;&gt; .\items\materia\class0008\Ranger41.dbr</v>
      </c>
      <c r="V43" s="5" t="s">
        <v>36</v>
      </c>
      <c r="W43" t="str">
        <f t="shared" si="8"/>
        <v>echo lootName41,DAIL/items/materia/class0008/Ranger41.dbr, &gt;&gt; .\items\loottables\dailoneskill0008.dbr</v>
      </c>
      <c r="X43" t="str">
        <f t="shared" si="8"/>
        <v>echo lootWeight41,1, &gt;&gt; .\items\loottables\dailoneskill0008.dbr</v>
      </c>
      <c r="Y43" s="5" t="s">
        <v>36</v>
      </c>
      <c r="Z43" t="str">
        <f t="shared" si="9"/>
        <v xml:space="preserve"> dailCompDescRanger41=^pRanger's Gift of DAIL</v>
      </c>
      <c r="AA43" t="str">
        <f t="shared" si="17"/>
        <v>dailCompTextRanger41=^oThis feels warm to the touch, almost familiar ^w(This component only fits into the Medal Slot)</v>
      </c>
      <c r="AB43" s="5" t="s">
        <v>36</v>
      </c>
      <c r="AH43">
        <f t="shared" si="19"/>
        <v>38</v>
      </c>
      <c r="AI43">
        <f t="shared" si="22"/>
        <v>33</v>
      </c>
      <c r="AJ43">
        <f t="shared" si="18"/>
        <v>3</v>
      </c>
    </row>
    <row r="44" spans="1:36" x14ac:dyDescent="0.25">
      <c r="A44" s="5" t="s">
        <v>39</v>
      </c>
      <c r="B44" s="5" t="s">
        <v>30</v>
      </c>
      <c r="C44" s="5" t="str">
        <f t="shared" si="0"/>
        <v>description,dailCompDescRanger42,</v>
      </c>
      <c r="D44" s="5" t="str">
        <f t="shared" si="2"/>
        <v>itemText,dailCompTextRanger42,</v>
      </c>
      <c r="E44" s="5" t="str">
        <f t="shared" si="14"/>
        <v>augmentSkillLevel1,3,</v>
      </c>
      <c r="F44" s="5" t="str">
        <f t="shared" si="15"/>
        <v>augmentSkillName1,records/skills/playerclass08/ammo_storm.dbr,</v>
      </c>
      <c r="G44" s="7">
        <f t="shared" si="10"/>
        <v>42</v>
      </c>
      <c r="H44" s="8" t="str">
        <f t="shared" si="11"/>
        <v>Ranger</v>
      </c>
      <c r="I44" s="3" t="s">
        <v>167</v>
      </c>
      <c r="J44" s="8" t="str">
        <f t="shared" si="21"/>
        <v>class0008</v>
      </c>
      <c r="K44" s="8" t="str">
        <f t="shared" si="21"/>
        <v>dailoneskill0008</v>
      </c>
      <c r="L44" s="5" t="str">
        <f t="shared" si="4"/>
        <v>lootName42,DAIL/items/materia/class0008/Ranger42.dbr,</v>
      </c>
      <c r="M44" s="5" t="str">
        <f t="shared" si="5"/>
        <v>lootWeight42,1,</v>
      </c>
      <c r="N44" t="str">
        <f t="shared" si="6"/>
        <v>3</v>
      </c>
      <c r="O44" t="str">
        <f t="shared" si="16"/>
        <v>copy .\dail_base3.dbr .\items\materia\class0008\Ranger42.dbr /y</v>
      </c>
      <c r="P44" t="str">
        <f t="shared" si="7"/>
        <v>echo relicBitmap,items/craftingparts/components/component_a52_bristlyfur_b.tex, &gt;&gt; .\items\materia\class0008\Ranger42.dbr</v>
      </c>
      <c r="Q44" t="str">
        <f t="shared" si="7"/>
        <v>echo itemCost,500000, &gt;&gt; .\items\materia\class0008\Ranger42.dbr</v>
      </c>
      <c r="R44" t="str">
        <f t="shared" si="7"/>
        <v>echo description,dailCompDescRanger42, &gt;&gt; .\items\materia\class0008\Ranger42.dbr</v>
      </c>
      <c r="S44" t="str">
        <f t="shared" si="7"/>
        <v>echo itemText,dailCompTextRanger42, &gt;&gt; .\items\materia\class0008\Ranger42.dbr</v>
      </c>
      <c r="T44" t="str">
        <f t="shared" si="7"/>
        <v>echo augmentSkillLevel1,3, &gt;&gt; .\items\materia\class0008\Ranger42.dbr</v>
      </c>
      <c r="U44" t="str">
        <f t="shared" si="7"/>
        <v>echo augmentSkillName1,records/skills/playerclass08/ammo_storm.dbr, &gt;&gt; .\items\materia\class0008\Ranger42.dbr</v>
      </c>
      <c r="V44" s="5" t="s">
        <v>36</v>
      </c>
      <c r="W44" t="str">
        <f t="shared" si="8"/>
        <v>echo lootName42,DAIL/items/materia/class0008/Ranger42.dbr, &gt;&gt; .\items\loottables\dailoneskill0008.dbr</v>
      </c>
      <c r="X44" t="str">
        <f t="shared" si="8"/>
        <v>echo lootWeight42,1, &gt;&gt; .\items\loottables\dailoneskill0008.dbr</v>
      </c>
      <c r="Y44" s="5" t="s">
        <v>36</v>
      </c>
      <c r="Z44" t="str">
        <f t="shared" si="9"/>
        <v xml:space="preserve"> dailCompDescRanger42=^pRanger's Gift of DAIL</v>
      </c>
      <c r="AA44" t="str">
        <f t="shared" si="17"/>
        <v>dailCompTextRanger42=^oThis feels warm to the touch, almost familiar ^w(This component only fits into the Medal Slot)</v>
      </c>
      <c r="AB44" s="5" t="s">
        <v>36</v>
      </c>
      <c r="AH44">
        <f t="shared" si="19"/>
        <v>39</v>
      </c>
      <c r="AI44">
        <f t="shared" si="22"/>
        <v>29</v>
      </c>
      <c r="AJ44">
        <f t="shared" si="18"/>
        <v>3</v>
      </c>
    </row>
    <row r="45" spans="1:36" x14ac:dyDescent="0.25">
      <c r="A45" s="5" t="s">
        <v>39</v>
      </c>
      <c r="B45" s="5" t="s">
        <v>30</v>
      </c>
      <c r="C45" s="5" t="str">
        <f t="shared" si="0"/>
        <v>description,dailCompDescRanger43,</v>
      </c>
      <c r="D45" s="5" t="str">
        <f t="shared" si="2"/>
        <v>itemText,dailCompTextRanger43,</v>
      </c>
      <c r="E45" s="5" t="str">
        <f t="shared" si="14"/>
        <v>augmentSkillLevel1,3,</v>
      </c>
      <c r="F45" s="5" t="str">
        <f t="shared" si="15"/>
        <v>augmentSkillName1,records/skills/playerclass08/ammo_storm_mod.dbr,</v>
      </c>
      <c r="G45" s="7">
        <f t="shared" si="10"/>
        <v>43</v>
      </c>
      <c r="H45" s="8" t="str">
        <f t="shared" si="11"/>
        <v>Ranger</v>
      </c>
      <c r="I45" s="3" t="s">
        <v>379</v>
      </c>
      <c r="J45" s="8" t="str">
        <f t="shared" si="21"/>
        <v>class0008</v>
      </c>
      <c r="K45" s="8" t="str">
        <f t="shared" si="21"/>
        <v>dailoneskill0008</v>
      </c>
      <c r="L45" s="5" t="str">
        <f t="shared" si="4"/>
        <v>lootName43,DAIL/items/materia/class0008/Ranger43.dbr,</v>
      </c>
      <c r="M45" s="5" t="str">
        <f t="shared" si="5"/>
        <v>lootWeight43,1,</v>
      </c>
      <c r="N45" t="str">
        <f t="shared" si="6"/>
        <v>3</v>
      </c>
      <c r="O45" t="str">
        <f t="shared" si="16"/>
        <v>copy .\dail_base3.dbr .\items\materia\class0008\Ranger43.dbr /y</v>
      </c>
      <c r="P45" t="str">
        <f t="shared" si="7"/>
        <v>echo relicBitmap,items/craftingparts/components/component_a52_bristlyfur_b.tex, &gt;&gt; .\items\materia\class0008\Ranger43.dbr</v>
      </c>
      <c r="Q45" t="str">
        <f t="shared" si="7"/>
        <v>echo itemCost,500000, &gt;&gt; .\items\materia\class0008\Ranger43.dbr</v>
      </c>
      <c r="R45" t="str">
        <f t="shared" si="7"/>
        <v>echo description,dailCompDescRanger43, &gt;&gt; .\items\materia\class0008\Ranger43.dbr</v>
      </c>
      <c r="S45" t="str">
        <f t="shared" si="7"/>
        <v>echo itemText,dailCompTextRanger43, &gt;&gt; .\items\materia\class0008\Ranger43.dbr</v>
      </c>
      <c r="T45" t="str">
        <f t="shared" si="7"/>
        <v>echo augmentSkillLevel1,3, &gt;&gt; .\items\materia\class0008\Ranger43.dbr</v>
      </c>
      <c r="U45" t="str">
        <f t="shared" si="7"/>
        <v>echo augmentSkillName1,records/skills/playerclass08/ammo_storm_mod.dbr, &gt;&gt; .\items\materia\class0008\Ranger43.dbr</v>
      </c>
      <c r="V45" s="5" t="s">
        <v>36</v>
      </c>
      <c r="W45" t="str">
        <f t="shared" si="8"/>
        <v>echo lootName43,DAIL/items/materia/class0008/Ranger43.dbr, &gt;&gt; .\items\loottables\dailoneskill0008.dbr</v>
      </c>
      <c r="X45" t="str">
        <f t="shared" si="8"/>
        <v>echo lootWeight43,1, &gt;&gt; .\items\loottables\dailoneskill0008.dbr</v>
      </c>
      <c r="Y45" s="5" t="s">
        <v>36</v>
      </c>
      <c r="Z45" t="str">
        <f t="shared" si="9"/>
        <v xml:space="preserve"> dailCompDescRanger43=^pRanger's Gift of DAIL</v>
      </c>
      <c r="AA45" t="str">
        <f t="shared" si="17"/>
        <v>dailCompTextRanger43=^oThis feels warm to the touch, almost familiar ^w(This component only fits into the Medal Slot)</v>
      </c>
      <c r="AB45" s="5" t="s">
        <v>36</v>
      </c>
      <c r="AH45">
        <f t="shared" si="19"/>
        <v>40</v>
      </c>
      <c r="AI45">
        <f t="shared" si="22"/>
        <v>33</v>
      </c>
      <c r="AJ45">
        <f t="shared" si="18"/>
        <v>3</v>
      </c>
    </row>
    <row r="46" spans="1:36" x14ac:dyDescent="0.25">
      <c r="A46" s="5" t="s">
        <v>39</v>
      </c>
      <c r="B46" s="5" t="s">
        <v>30</v>
      </c>
      <c r="C46" s="5" t="str">
        <f t="shared" si="0"/>
        <v>description,dailCompDescRanger44,</v>
      </c>
      <c r="D46" s="5" t="str">
        <f t="shared" si="2"/>
        <v>itemText,dailCompTextRanger44,</v>
      </c>
      <c r="E46" s="5" t="str">
        <f t="shared" si="14"/>
        <v>augmentSkillLevel1,3,</v>
      </c>
      <c r="F46" s="5" t="str">
        <f t="shared" si="15"/>
        <v>augmentSkillName1,records/skills/playerclass08/ammo_storm_tra.dbr,</v>
      </c>
      <c r="G46" s="7">
        <f t="shared" si="10"/>
        <v>44</v>
      </c>
      <c r="H46" s="8" t="str">
        <f t="shared" si="11"/>
        <v>Ranger</v>
      </c>
      <c r="I46" s="3" t="s">
        <v>380</v>
      </c>
      <c r="J46" s="8" t="str">
        <f t="shared" si="21"/>
        <v>class0008</v>
      </c>
      <c r="K46" s="8" t="str">
        <f t="shared" si="21"/>
        <v>dailoneskill0008</v>
      </c>
      <c r="L46" s="5" t="str">
        <f t="shared" si="4"/>
        <v>lootName44,DAIL/items/materia/class0008/Ranger44.dbr,</v>
      </c>
      <c r="M46" s="5" t="str">
        <f t="shared" si="5"/>
        <v>lootWeight44,1,</v>
      </c>
      <c r="N46" t="str">
        <f t="shared" si="6"/>
        <v>3</v>
      </c>
      <c r="O46" t="str">
        <f t="shared" si="16"/>
        <v>copy .\dail_base3.dbr .\items\materia\class0008\Ranger44.dbr /y</v>
      </c>
      <c r="P46" t="str">
        <f t="shared" si="7"/>
        <v>echo relicBitmap,items/craftingparts/components/component_a52_bristlyfur_b.tex, &gt;&gt; .\items\materia\class0008\Ranger44.dbr</v>
      </c>
      <c r="Q46" t="str">
        <f t="shared" si="7"/>
        <v>echo itemCost,500000, &gt;&gt; .\items\materia\class0008\Ranger44.dbr</v>
      </c>
      <c r="R46" t="str">
        <f t="shared" si="7"/>
        <v>echo description,dailCompDescRanger44, &gt;&gt; .\items\materia\class0008\Ranger44.dbr</v>
      </c>
      <c r="S46" t="str">
        <f t="shared" si="7"/>
        <v>echo itemText,dailCompTextRanger44, &gt;&gt; .\items\materia\class0008\Ranger44.dbr</v>
      </c>
      <c r="T46" t="str">
        <f t="shared" si="7"/>
        <v>echo augmentSkillLevel1,3, &gt;&gt; .\items\materia\class0008\Ranger44.dbr</v>
      </c>
      <c r="U46" t="str">
        <f t="shared" si="7"/>
        <v>echo augmentSkillName1,records/skills/playerclass08/ammo_storm_tra.dbr, &gt;&gt; .\items\materia\class0008\Ranger44.dbr</v>
      </c>
      <c r="V46" s="5" t="s">
        <v>36</v>
      </c>
      <c r="W46" t="str">
        <f t="shared" si="8"/>
        <v>echo lootName44,DAIL/items/materia/class0008/Ranger44.dbr, &gt;&gt; .\items\loottables\dailoneskill0008.dbr</v>
      </c>
      <c r="X46" t="str">
        <f t="shared" si="8"/>
        <v>echo lootWeight44,1, &gt;&gt; .\items\loottables\dailoneskill0008.dbr</v>
      </c>
      <c r="Y46" s="5" t="s">
        <v>36</v>
      </c>
      <c r="Z46" t="str">
        <f t="shared" si="9"/>
        <v xml:space="preserve"> dailCompDescRanger44=^pRanger's Gift of DAIL</v>
      </c>
      <c r="AA46" t="str">
        <f t="shared" si="17"/>
        <v>dailCompTextRanger44=^oThis feels warm to the touch, almost familiar ^w(This component only fits into the Medal Slot)</v>
      </c>
      <c r="AB46" s="5" t="s">
        <v>36</v>
      </c>
      <c r="AH46">
        <f t="shared" si="19"/>
        <v>41</v>
      </c>
      <c r="AI46">
        <f t="shared" si="22"/>
        <v>33</v>
      </c>
      <c r="AJ46">
        <f t="shared" si="18"/>
        <v>3</v>
      </c>
    </row>
    <row r="47" spans="1:36" x14ac:dyDescent="0.25">
      <c r="A47" s="5" t="s">
        <v>39</v>
      </c>
      <c r="B47" s="5" t="s">
        <v>30</v>
      </c>
      <c r="C47" s="5" t="str">
        <f t="shared" si="0"/>
        <v>description,dailCompDescRanger45,</v>
      </c>
      <c r="D47" s="5" t="str">
        <f t="shared" si="2"/>
        <v>itemText,dailCompTextRanger45,</v>
      </c>
      <c r="E47" s="5" t="str">
        <f t="shared" si="14"/>
        <v>augmentSkillLevel1,3,</v>
      </c>
      <c r="F47" s="5" t="str">
        <f t="shared" si="15"/>
        <v>augmentSkillName1,records/skills/playerclass08/avoid.dbr,</v>
      </c>
      <c r="G47" s="7">
        <f t="shared" si="10"/>
        <v>45</v>
      </c>
      <c r="H47" s="8" t="str">
        <f t="shared" si="11"/>
        <v>Ranger</v>
      </c>
      <c r="I47" s="3" t="s">
        <v>381</v>
      </c>
      <c r="J47" s="8" t="str">
        <f t="shared" si="21"/>
        <v>class0008</v>
      </c>
      <c r="K47" s="8" t="str">
        <f t="shared" si="21"/>
        <v>dailoneskill0008</v>
      </c>
      <c r="L47" s="5" t="str">
        <f t="shared" si="4"/>
        <v>lootName45,DAIL/items/materia/class0008/Ranger45.dbr,</v>
      </c>
      <c r="M47" s="5" t="str">
        <f t="shared" si="5"/>
        <v>lootWeight45,1,</v>
      </c>
      <c r="N47" t="str">
        <f t="shared" si="6"/>
        <v>3</v>
      </c>
      <c r="O47" t="str">
        <f t="shared" si="16"/>
        <v>copy .\dail_base3.dbr .\items\materia\class0008\Ranger45.dbr /y</v>
      </c>
      <c r="P47" t="str">
        <f t="shared" si="7"/>
        <v>echo relicBitmap,items/craftingparts/components/component_a52_bristlyfur_b.tex, &gt;&gt; .\items\materia\class0008\Ranger45.dbr</v>
      </c>
      <c r="Q47" t="str">
        <f t="shared" si="7"/>
        <v>echo itemCost,500000, &gt;&gt; .\items\materia\class0008\Ranger45.dbr</v>
      </c>
      <c r="R47" t="str">
        <f t="shared" si="7"/>
        <v>echo description,dailCompDescRanger45, &gt;&gt; .\items\materia\class0008\Ranger45.dbr</v>
      </c>
      <c r="S47" t="str">
        <f t="shared" si="7"/>
        <v>echo itemText,dailCompTextRanger45, &gt;&gt; .\items\materia\class0008\Ranger45.dbr</v>
      </c>
      <c r="T47" t="str">
        <f t="shared" si="7"/>
        <v>echo augmentSkillLevel1,3, &gt;&gt; .\items\materia\class0008\Ranger45.dbr</v>
      </c>
      <c r="U47" t="str">
        <f t="shared" si="7"/>
        <v>echo augmentSkillName1,records/skills/playerclass08/avoid.dbr, &gt;&gt; .\items\materia\class0008\Ranger45.dbr</v>
      </c>
      <c r="V47" s="5" t="s">
        <v>36</v>
      </c>
      <c r="W47" t="str">
        <f t="shared" si="8"/>
        <v>echo lootName45,DAIL/items/materia/class0008/Ranger45.dbr, &gt;&gt; .\items\loottables\dailoneskill0008.dbr</v>
      </c>
      <c r="X47" t="str">
        <f t="shared" si="8"/>
        <v>echo lootWeight45,1, &gt;&gt; .\items\loottables\dailoneskill0008.dbr</v>
      </c>
      <c r="Y47" s="5" t="s">
        <v>36</v>
      </c>
      <c r="Z47" t="str">
        <f t="shared" si="9"/>
        <v xml:space="preserve"> dailCompDescRanger45=^pRanger's Gift of DAIL</v>
      </c>
      <c r="AA47" t="str">
        <f t="shared" si="17"/>
        <v>dailCompTextRanger45=^oThis feels warm to the touch, almost familiar ^w(This component only fits into the Medal Slot)</v>
      </c>
      <c r="AB47" s="5" t="s">
        <v>36</v>
      </c>
      <c r="AH47">
        <f t="shared" si="19"/>
        <v>42</v>
      </c>
      <c r="AI47">
        <f t="shared" si="22"/>
        <v>24</v>
      </c>
      <c r="AJ47">
        <f t="shared" si="18"/>
        <v>3</v>
      </c>
    </row>
    <row r="48" spans="1:36" x14ac:dyDescent="0.25">
      <c r="A48" s="5" t="s">
        <v>39</v>
      </c>
      <c r="B48" s="5" t="s">
        <v>30</v>
      </c>
      <c r="C48" s="5" t="str">
        <f t="shared" si="0"/>
        <v>description,dailCompDescRanger46,</v>
      </c>
      <c r="D48" s="5" t="str">
        <f t="shared" si="2"/>
        <v>itemText,dailCompTextRanger46,</v>
      </c>
      <c r="E48" s="5" t="str">
        <f t="shared" si="14"/>
        <v>augmentSkillLevel1,3,</v>
      </c>
      <c r="F48" s="5" t="str">
        <f t="shared" si="15"/>
        <v>augmentSkillName1,records/skills/playerclass08/coup_de_grace.dbr,</v>
      </c>
      <c r="G48" s="7">
        <f t="shared" si="10"/>
        <v>46</v>
      </c>
      <c r="H48" s="8" t="str">
        <f t="shared" si="11"/>
        <v>Ranger</v>
      </c>
      <c r="I48" s="3" t="s">
        <v>168</v>
      </c>
      <c r="J48" s="8" t="str">
        <f t="shared" si="21"/>
        <v>class0008</v>
      </c>
      <c r="K48" s="8" t="str">
        <f t="shared" si="21"/>
        <v>dailoneskill0008</v>
      </c>
      <c r="L48" s="5" t="str">
        <f t="shared" si="4"/>
        <v>lootName46,DAIL/items/materia/class0008/Ranger46.dbr,</v>
      </c>
      <c r="M48" s="5" t="str">
        <f t="shared" si="5"/>
        <v>lootWeight46,1,</v>
      </c>
      <c r="N48" t="str">
        <f t="shared" si="6"/>
        <v>3</v>
      </c>
      <c r="O48" t="str">
        <f t="shared" si="16"/>
        <v>copy .\dail_base3.dbr .\items\materia\class0008\Ranger46.dbr /y</v>
      </c>
      <c r="P48" t="str">
        <f t="shared" si="7"/>
        <v>echo relicBitmap,items/craftingparts/components/component_a52_bristlyfur_b.tex, &gt;&gt; .\items\materia\class0008\Ranger46.dbr</v>
      </c>
      <c r="Q48" t="str">
        <f t="shared" si="7"/>
        <v>echo itemCost,500000, &gt;&gt; .\items\materia\class0008\Ranger46.dbr</v>
      </c>
      <c r="R48" t="str">
        <f t="shared" si="7"/>
        <v>echo description,dailCompDescRanger46, &gt;&gt; .\items\materia\class0008\Ranger46.dbr</v>
      </c>
      <c r="S48" t="str">
        <f t="shared" si="7"/>
        <v>echo itemText,dailCompTextRanger46, &gt;&gt; .\items\materia\class0008\Ranger46.dbr</v>
      </c>
      <c r="T48" t="str">
        <f t="shared" si="7"/>
        <v>echo augmentSkillLevel1,3, &gt;&gt; .\items\materia\class0008\Ranger46.dbr</v>
      </c>
      <c r="U48" t="str">
        <f t="shared" si="7"/>
        <v>echo augmentSkillName1,records/skills/playerclass08/coup_de_grace.dbr, &gt;&gt; .\items\materia\class0008\Ranger46.dbr</v>
      </c>
      <c r="V48" s="5" t="s">
        <v>36</v>
      </c>
      <c r="W48" t="str">
        <f t="shared" si="8"/>
        <v>echo lootName46,DAIL/items/materia/class0008/Ranger46.dbr, &gt;&gt; .\items\loottables\dailoneskill0008.dbr</v>
      </c>
      <c r="X48" t="str">
        <f t="shared" si="8"/>
        <v>echo lootWeight46,1, &gt;&gt; .\items\loottables\dailoneskill0008.dbr</v>
      </c>
      <c r="Y48" s="5" t="s">
        <v>36</v>
      </c>
      <c r="Z48" t="str">
        <f t="shared" si="9"/>
        <v xml:space="preserve"> dailCompDescRanger46=^pRanger's Gift of DAIL</v>
      </c>
      <c r="AA48" t="str">
        <f t="shared" si="17"/>
        <v>dailCompTextRanger46=^oThis feels warm to the touch, almost familiar ^w(This component only fits into the Medal Slot)</v>
      </c>
      <c r="AB48" s="5" t="s">
        <v>36</v>
      </c>
      <c r="AH48">
        <f t="shared" si="19"/>
        <v>43</v>
      </c>
      <c r="AI48">
        <f t="shared" si="22"/>
        <v>32</v>
      </c>
      <c r="AJ48">
        <f t="shared" si="18"/>
        <v>3</v>
      </c>
    </row>
    <row r="49" spans="1:36" x14ac:dyDescent="0.25">
      <c r="A49" s="5" t="s">
        <v>39</v>
      </c>
      <c r="B49" s="5" t="s">
        <v>30</v>
      </c>
      <c r="C49" s="5" t="str">
        <f t="shared" si="0"/>
        <v>description,dailCompDescRanger47,</v>
      </c>
      <c r="D49" s="5" t="str">
        <f t="shared" si="2"/>
        <v>itemText,dailCompTextRanger47,</v>
      </c>
      <c r="E49" s="5" t="str">
        <f t="shared" si="14"/>
        <v>augmentSkillLevel1,3,</v>
      </c>
      <c r="F49" s="5" t="str">
        <f t="shared" si="15"/>
        <v>augmentSkillName1,records/skills/playerclass08/coup_de_grace_mod.dbr,</v>
      </c>
      <c r="G49" s="7">
        <f t="shared" si="10"/>
        <v>47</v>
      </c>
      <c r="H49" s="8" t="str">
        <f t="shared" si="11"/>
        <v>Ranger</v>
      </c>
      <c r="I49" s="3" t="s">
        <v>382</v>
      </c>
      <c r="J49" s="8" t="str">
        <f t="shared" si="21"/>
        <v>class0008</v>
      </c>
      <c r="K49" s="8" t="str">
        <f t="shared" si="21"/>
        <v>dailoneskill0008</v>
      </c>
      <c r="L49" s="5" t="str">
        <f t="shared" si="4"/>
        <v>lootName47,DAIL/items/materia/class0008/Ranger47.dbr,</v>
      </c>
      <c r="M49" s="5" t="str">
        <f t="shared" si="5"/>
        <v>lootWeight47,1,</v>
      </c>
      <c r="N49" t="str">
        <f t="shared" si="6"/>
        <v>3</v>
      </c>
      <c r="O49" t="str">
        <f t="shared" si="16"/>
        <v>copy .\dail_base3.dbr .\items\materia\class0008\Ranger47.dbr /y</v>
      </c>
      <c r="P49" t="str">
        <f t="shared" si="7"/>
        <v>echo relicBitmap,items/craftingparts/components/component_a52_bristlyfur_b.tex, &gt;&gt; .\items\materia\class0008\Ranger47.dbr</v>
      </c>
      <c r="Q49" t="str">
        <f t="shared" si="7"/>
        <v>echo itemCost,500000, &gt;&gt; .\items\materia\class0008\Ranger47.dbr</v>
      </c>
      <c r="R49" t="str">
        <f t="shared" si="7"/>
        <v>echo description,dailCompDescRanger47, &gt;&gt; .\items\materia\class0008\Ranger47.dbr</v>
      </c>
      <c r="S49" t="str">
        <f t="shared" si="7"/>
        <v>echo itemText,dailCompTextRanger47, &gt;&gt; .\items\materia\class0008\Ranger47.dbr</v>
      </c>
      <c r="T49" t="str">
        <f t="shared" si="7"/>
        <v>echo augmentSkillLevel1,3, &gt;&gt; .\items\materia\class0008\Ranger47.dbr</v>
      </c>
      <c r="U49" t="str">
        <f t="shared" si="7"/>
        <v>echo augmentSkillName1,records/skills/playerclass08/coup_de_grace_mod.dbr, &gt;&gt; .\items\materia\class0008\Ranger47.dbr</v>
      </c>
      <c r="V49" s="5" t="s">
        <v>36</v>
      </c>
      <c r="W49" t="str">
        <f t="shared" si="8"/>
        <v>echo lootName47,DAIL/items/materia/class0008/Ranger47.dbr, &gt;&gt; .\items\loottables\dailoneskill0008.dbr</v>
      </c>
      <c r="X49" t="str">
        <f t="shared" si="8"/>
        <v>echo lootWeight47,1, &gt;&gt; .\items\loottables\dailoneskill0008.dbr</v>
      </c>
      <c r="Y49" s="5" t="s">
        <v>36</v>
      </c>
      <c r="Z49" t="str">
        <f t="shared" si="9"/>
        <v xml:space="preserve"> dailCompDescRanger47=^pRanger's Gift of DAIL</v>
      </c>
      <c r="AA49" t="str">
        <f t="shared" si="17"/>
        <v>dailCompTextRanger47=^oThis feels warm to the touch, almost familiar ^w(This component only fits into the Medal Slot)</v>
      </c>
      <c r="AB49" s="5" t="s">
        <v>36</v>
      </c>
      <c r="AH49">
        <f t="shared" si="19"/>
        <v>44</v>
      </c>
      <c r="AI49">
        <f t="shared" si="22"/>
        <v>36</v>
      </c>
      <c r="AJ49">
        <f t="shared" si="18"/>
        <v>3</v>
      </c>
    </row>
    <row r="50" spans="1:36" x14ac:dyDescent="0.25">
      <c r="A50" s="5" t="s">
        <v>39</v>
      </c>
      <c r="B50" s="5" t="s">
        <v>30</v>
      </c>
      <c r="C50" s="5" t="str">
        <f t="shared" si="0"/>
        <v>description,dailCompDescRanger48,</v>
      </c>
      <c r="D50" s="5" t="str">
        <f t="shared" si="2"/>
        <v>itemText,dailCompTextRanger48,</v>
      </c>
      <c r="E50" s="5" t="str">
        <f t="shared" si="14"/>
        <v>augmentSkillLevel1,3,</v>
      </c>
      <c r="F50" s="5" t="str">
        <f t="shared" si="15"/>
        <v>augmentSkillName1,records/skills/playerclass08/mult_attack.dbr,</v>
      </c>
      <c r="G50" s="7">
        <f t="shared" si="10"/>
        <v>48</v>
      </c>
      <c r="H50" s="8" t="str">
        <f t="shared" si="11"/>
        <v>Ranger</v>
      </c>
      <c r="I50" s="3" t="s">
        <v>172</v>
      </c>
      <c r="J50" s="8" t="str">
        <f t="shared" si="21"/>
        <v>class0008</v>
      </c>
      <c r="K50" s="8" t="str">
        <f t="shared" si="21"/>
        <v>dailoneskill0008</v>
      </c>
      <c r="L50" s="5" t="str">
        <f t="shared" si="4"/>
        <v>lootName48,DAIL/items/materia/class0008/Ranger48.dbr,</v>
      </c>
      <c r="M50" s="5" t="str">
        <f t="shared" si="5"/>
        <v>lootWeight48,1,</v>
      </c>
      <c r="N50" t="str">
        <f t="shared" si="6"/>
        <v>3</v>
      </c>
      <c r="O50" t="str">
        <f t="shared" si="16"/>
        <v>copy .\dail_base3.dbr .\items\materia\class0008\Ranger48.dbr /y</v>
      </c>
      <c r="P50" t="str">
        <f t="shared" si="7"/>
        <v>echo relicBitmap,items/craftingparts/components/component_a52_bristlyfur_b.tex, &gt;&gt; .\items\materia\class0008\Ranger48.dbr</v>
      </c>
      <c r="Q50" t="str">
        <f t="shared" si="7"/>
        <v>echo itemCost,500000, &gt;&gt; .\items\materia\class0008\Ranger48.dbr</v>
      </c>
      <c r="R50" t="str">
        <f t="shared" si="7"/>
        <v>echo description,dailCompDescRanger48, &gt;&gt; .\items\materia\class0008\Ranger48.dbr</v>
      </c>
      <c r="S50" t="str">
        <f t="shared" si="7"/>
        <v>echo itemText,dailCompTextRanger48, &gt;&gt; .\items\materia\class0008\Ranger48.dbr</v>
      </c>
      <c r="T50" t="str">
        <f t="shared" si="7"/>
        <v>echo augmentSkillLevel1,3, &gt;&gt; .\items\materia\class0008\Ranger48.dbr</v>
      </c>
      <c r="U50" t="str">
        <f t="shared" si="7"/>
        <v>echo augmentSkillName1,records/skills/playerclass08/mult_attack.dbr, &gt;&gt; .\items\materia\class0008\Ranger48.dbr</v>
      </c>
      <c r="V50" s="5" t="s">
        <v>36</v>
      </c>
      <c r="W50" t="str">
        <f t="shared" si="8"/>
        <v>echo lootName48,DAIL/items/materia/class0008/Ranger48.dbr, &gt;&gt; .\items\loottables\dailoneskill0008.dbr</v>
      </c>
      <c r="X50" t="str">
        <f t="shared" si="8"/>
        <v>echo lootWeight48,1, &gt;&gt; .\items\loottables\dailoneskill0008.dbr</v>
      </c>
      <c r="Y50" s="5" t="s">
        <v>36</v>
      </c>
      <c r="Z50" t="str">
        <f t="shared" si="9"/>
        <v xml:space="preserve"> dailCompDescRanger48=^pRanger's Gift of DAIL</v>
      </c>
      <c r="AA50" t="str">
        <f t="shared" si="17"/>
        <v>dailCompTextRanger48=^oThis feels warm to the touch, almost familiar ^w(This component only fits into the Medal Slot)</v>
      </c>
      <c r="AB50" s="5" t="s">
        <v>36</v>
      </c>
      <c r="AH50">
        <f t="shared" si="19"/>
        <v>45</v>
      </c>
      <c r="AI50">
        <f t="shared" si="22"/>
        <v>30</v>
      </c>
      <c r="AJ50">
        <f t="shared" si="18"/>
        <v>3</v>
      </c>
    </row>
    <row r="51" spans="1:36" x14ac:dyDescent="0.25">
      <c r="A51" s="5" t="s">
        <v>39</v>
      </c>
      <c r="B51" s="5" t="s">
        <v>30</v>
      </c>
      <c r="C51" s="5" t="str">
        <f t="shared" si="0"/>
        <v>description,dailCompDescRanger49,</v>
      </c>
      <c r="D51" s="5" t="str">
        <f t="shared" si="2"/>
        <v>itemText,dailCompTextRanger49,</v>
      </c>
      <c r="E51" s="5" t="str">
        <f t="shared" si="14"/>
        <v>augmentSkillLevel1,3,</v>
      </c>
      <c r="F51" s="5" t="str">
        <f t="shared" si="15"/>
        <v>augmentSkillName1,records/skills/playerclass08/coup_mod.dbr,</v>
      </c>
      <c r="G51" s="7">
        <f t="shared" si="10"/>
        <v>49</v>
      </c>
      <c r="H51" s="8" t="str">
        <f t="shared" si="11"/>
        <v>Ranger</v>
      </c>
      <c r="I51" s="3" t="s">
        <v>169</v>
      </c>
      <c r="J51" s="8" t="str">
        <f t="shared" si="21"/>
        <v>class0008</v>
      </c>
      <c r="K51" s="8" t="str">
        <f t="shared" si="21"/>
        <v>dailoneskill0008</v>
      </c>
      <c r="L51" s="5" t="str">
        <f t="shared" si="4"/>
        <v>lootName49,DAIL/items/materia/class0008/Ranger49.dbr,</v>
      </c>
      <c r="M51" s="5" t="str">
        <f t="shared" si="5"/>
        <v>lootWeight49,1,</v>
      </c>
      <c r="N51" t="str">
        <f t="shared" si="6"/>
        <v>3</v>
      </c>
      <c r="O51" t="str">
        <f t="shared" si="16"/>
        <v>copy .\dail_base3.dbr .\items\materia\class0008\Ranger49.dbr /y</v>
      </c>
      <c r="P51" t="str">
        <f t="shared" si="7"/>
        <v>echo relicBitmap,items/craftingparts/components/component_a52_bristlyfur_b.tex, &gt;&gt; .\items\materia\class0008\Ranger49.dbr</v>
      </c>
      <c r="Q51" t="str">
        <f t="shared" si="7"/>
        <v>echo itemCost,500000, &gt;&gt; .\items\materia\class0008\Ranger49.dbr</v>
      </c>
      <c r="R51" t="str">
        <f t="shared" si="7"/>
        <v>echo description,dailCompDescRanger49, &gt;&gt; .\items\materia\class0008\Ranger49.dbr</v>
      </c>
      <c r="S51" t="str">
        <f t="shared" si="7"/>
        <v>echo itemText,dailCompTextRanger49, &gt;&gt; .\items\materia\class0008\Ranger49.dbr</v>
      </c>
      <c r="T51" t="str">
        <f t="shared" si="7"/>
        <v>echo augmentSkillLevel1,3, &gt;&gt; .\items\materia\class0008\Ranger49.dbr</v>
      </c>
      <c r="U51" t="str">
        <f t="shared" si="7"/>
        <v>echo augmentSkillName1,records/skills/playerclass08/coup_mod.dbr, &gt;&gt; .\items\materia\class0008\Ranger49.dbr</v>
      </c>
      <c r="V51" s="5" t="s">
        <v>36</v>
      </c>
      <c r="W51" t="str">
        <f t="shared" si="8"/>
        <v>echo lootName49,DAIL/items/materia/class0008/Ranger49.dbr, &gt;&gt; .\items\loottables\dailoneskill0008.dbr</v>
      </c>
      <c r="X51" t="str">
        <f t="shared" si="8"/>
        <v>echo lootWeight49,1, &gt;&gt; .\items\loottables\dailoneskill0008.dbr</v>
      </c>
      <c r="Y51" s="5" t="s">
        <v>36</v>
      </c>
      <c r="Z51" t="str">
        <f t="shared" si="9"/>
        <v xml:space="preserve"> dailCompDescRanger49=^pRanger's Gift of DAIL</v>
      </c>
      <c r="AA51" t="str">
        <f t="shared" si="17"/>
        <v>dailCompTextRanger49=^oThis feels warm to the touch, almost familiar ^w(This component only fits into the Medal Slot)</v>
      </c>
      <c r="AB51" s="5" t="s">
        <v>36</v>
      </c>
      <c r="AH51">
        <f t="shared" si="19"/>
        <v>46</v>
      </c>
      <c r="AI51">
        <f t="shared" si="22"/>
        <v>27</v>
      </c>
      <c r="AJ51">
        <f t="shared" si="18"/>
        <v>3</v>
      </c>
    </row>
    <row r="52" spans="1:36" x14ac:dyDescent="0.25">
      <c r="A52" s="5" t="s">
        <v>39</v>
      </c>
      <c r="B52" s="5" t="s">
        <v>30</v>
      </c>
      <c r="C52" s="5" t="str">
        <f t="shared" si="0"/>
        <v>description,dailCompDescRanger50,</v>
      </c>
      <c r="D52" s="5" t="str">
        <f t="shared" si="2"/>
        <v>itemText,dailCompTextRanger50,</v>
      </c>
      <c r="E52" s="5" t="str">
        <f t="shared" si="14"/>
        <v>augmentSkillLevel1,3,</v>
      </c>
      <c r="F52" s="5" t="str">
        <f t="shared" si="15"/>
        <v>augmentSkillName1,records/skills/playerclass08/windrunner_ut.dbr,</v>
      </c>
      <c r="G52" s="7">
        <f t="shared" si="10"/>
        <v>50</v>
      </c>
      <c r="H52" s="8" t="str">
        <f t="shared" si="11"/>
        <v>Ranger</v>
      </c>
      <c r="I52" s="3" t="s">
        <v>377</v>
      </c>
      <c r="J52" s="8" t="str">
        <f t="shared" si="21"/>
        <v>class0008</v>
      </c>
      <c r="K52" s="8" t="str">
        <f t="shared" si="21"/>
        <v>dailoneskill0008</v>
      </c>
      <c r="L52" s="5" t="str">
        <f t="shared" si="4"/>
        <v>lootName50,DAIL/items/materia/class0008/Ranger50.dbr,</v>
      </c>
      <c r="M52" s="5" t="str">
        <f t="shared" si="5"/>
        <v>lootWeight50,1,</v>
      </c>
      <c r="N52" t="str">
        <f t="shared" si="6"/>
        <v>3</v>
      </c>
      <c r="O52" t="str">
        <f t="shared" si="16"/>
        <v>copy .\dail_base3.dbr .\items\materia\class0008\Ranger50.dbr /y</v>
      </c>
      <c r="P52" t="str">
        <f t="shared" si="7"/>
        <v>echo relicBitmap,items/craftingparts/components/component_a52_bristlyfur_b.tex, &gt;&gt; .\items\materia\class0008\Ranger50.dbr</v>
      </c>
      <c r="Q52" t="str">
        <f t="shared" si="7"/>
        <v>echo itemCost,500000, &gt;&gt; .\items\materia\class0008\Ranger50.dbr</v>
      </c>
      <c r="R52" t="str">
        <f t="shared" si="7"/>
        <v>echo description,dailCompDescRanger50, &gt;&gt; .\items\materia\class0008\Ranger50.dbr</v>
      </c>
      <c r="S52" t="str">
        <f t="shared" si="7"/>
        <v>echo itemText,dailCompTextRanger50, &gt;&gt; .\items\materia\class0008\Ranger50.dbr</v>
      </c>
      <c r="T52" t="str">
        <f t="shared" si="7"/>
        <v>echo augmentSkillLevel1,3, &gt;&gt; .\items\materia\class0008\Ranger50.dbr</v>
      </c>
      <c r="U52" t="str">
        <f t="shared" si="7"/>
        <v>echo augmentSkillName1,records/skills/playerclass08/windrunner_ut.dbr, &gt;&gt; .\items\materia\class0008\Ranger50.dbr</v>
      </c>
      <c r="V52" s="5" t="s">
        <v>36</v>
      </c>
      <c r="W52" t="str">
        <f t="shared" si="8"/>
        <v>echo lootName50,DAIL/items/materia/class0008/Ranger50.dbr, &gt;&gt; .\items\loottables\dailoneskill0008.dbr</v>
      </c>
      <c r="X52" t="str">
        <f t="shared" si="8"/>
        <v>echo lootWeight50,1, &gt;&gt; .\items\loottables\dailoneskill0008.dbr</v>
      </c>
      <c r="Y52" s="5" t="s">
        <v>36</v>
      </c>
      <c r="Z52" t="str">
        <f t="shared" si="9"/>
        <v xml:space="preserve"> dailCompDescRanger50=^pRanger's Gift of DAIL</v>
      </c>
      <c r="AA52" t="str">
        <f t="shared" si="17"/>
        <v>dailCompTextRanger50=^oThis feels warm to the touch, almost familiar ^w(This component only fits into the Medal Slot)</v>
      </c>
      <c r="AB52" s="5" t="s">
        <v>36</v>
      </c>
      <c r="AH52">
        <f t="shared" si="19"/>
        <v>47</v>
      </c>
      <c r="AI52">
        <f t="shared" si="22"/>
        <v>32</v>
      </c>
      <c r="AJ52">
        <f t="shared" si="18"/>
        <v>3</v>
      </c>
    </row>
    <row r="53" spans="1:36" x14ac:dyDescent="0.25">
      <c r="A53" s="5" t="s">
        <v>39</v>
      </c>
      <c r="B53" s="5" t="s">
        <v>30</v>
      </c>
      <c r="C53" s="5" t="str">
        <f t="shared" si="0"/>
        <v>description,dailCompDescRanger51,</v>
      </c>
      <c r="D53" s="5" t="str">
        <f t="shared" si="2"/>
        <v>itemText,dailCompTextRanger51,</v>
      </c>
      <c r="E53" s="5" t="str">
        <f t="shared" si="14"/>
        <v>augmentSkillLevel1,3,</v>
      </c>
      <c r="F53" s="5" t="str">
        <f t="shared" si="15"/>
        <v>augmentSkillName1,records/skills/playerclass08/cur_attack.dbr,</v>
      </c>
      <c r="G53" s="7">
        <f t="shared" si="10"/>
        <v>51</v>
      </c>
      <c r="H53" s="8" t="str">
        <f t="shared" si="11"/>
        <v>Ranger</v>
      </c>
      <c r="I53" s="3" t="s">
        <v>171</v>
      </c>
      <c r="J53" s="8" t="str">
        <f t="shared" ref="J53:K68" si="23">J52</f>
        <v>class0008</v>
      </c>
      <c r="K53" s="8" t="str">
        <f t="shared" si="23"/>
        <v>dailoneskill0008</v>
      </c>
      <c r="L53" s="5" t="str">
        <f t="shared" si="4"/>
        <v>lootName51,DAIL/items/materia/class0008/Ranger51.dbr,</v>
      </c>
      <c r="M53" s="5" t="str">
        <f t="shared" si="5"/>
        <v>lootWeight51,1,</v>
      </c>
      <c r="N53" t="str">
        <f t="shared" si="6"/>
        <v>3</v>
      </c>
      <c r="O53" t="str">
        <f t="shared" si="16"/>
        <v>copy .\dail_base3.dbr .\items\materia\class0008\Ranger51.dbr /y</v>
      </c>
      <c r="P53" t="str">
        <f t="shared" si="7"/>
        <v>echo relicBitmap,items/craftingparts/components/component_a52_bristlyfur_b.tex, &gt;&gt; .\items\materia\class0008\Ranger51.dbr</v>
      </c>
      <c r="Q53" t="str">
        <f t="shared" si="7"/>
        <v>echo itemCost,500000, &gt;&gt; .\items\materia\class0008\Ranger51.dbr</v>
      </c>
      <c r="R53" t="str">
        <f t="shared" si="7"/>
        <v>echo description,dailCompDescRanger51, &gt;&gt; .\items\materia\class0008\Ranger51.dbr</v>
      </c>
      <c r="S53" t="str">
        <f t="shared" si="7"/>
        <v>echo itemText,dailCompTextRanger51, &gt;&gt; .\items\materia\class0008\Ranger51.dbr</v>
      </c>
      <c r="T53" t="str">
        <f t="shared" si="7"/>
        <v>echo augmentSkillLevel1,3, &gt;&gt; .\items\materia\class0008\Ranger51.dbr</v>
      </c>
      <c r="U53" t="str">
        <f t="shared" si="7"/>
        <v>echo augmentSkillName1,records/skills/playerclass08/cur_attack.dbr, &gt;&gt; .\items\materia\class0008\Ranger51.dbr</v>
      </c>
      <c r="V53" s="5" t="s">
        <v>36</v>
      </c>
      <c r="W53" t="str">
        <f t="shared" si="8"/>
        <v>echo lootName51,DAIL/items/materia/class0008/Ranger51.dbr, &gt;&gt; .\items\loottables\dailoneskill0008.dbr</v>
      </c>
      <c r="X53" t="str">
        <f t="shared" si="8"/>
        <v>echo lootWeight51,1, &gt;&gt; .\items\loottables\dailoneskill0008.dbr</v>
      </c>
      <c r="Y53" s="5" t="s">
        <v>36</v>
      </c>
      <c r="Z53" t="str">
        <f t="shared" si="9"/>
        <v xml:space="preserve"> dailCompDescRanger51=^pRanger's Gift of DAIL</v>
      </c>
      <c r="AA53" t="str">
        <f t="shared" si="17"/>
        <v>dailCompTextRanger51=^oThis feels warm to the touch, almost familiar ^w(This component only fits into the Medal Slot)</v>
      </c>
      <c r="AB53" s="5" t="s">
        <v>36</v>
      </c>
      <c r="AH53">
        <f t="shared" si="19"/>
        <v>48</v>
      </c>
      <c r="AI53">
        <f t="shared" si="22"/>
        <v>29</v>
      </c>
      <c r="AJ53">
        <f t="shared" si="18"/>
        <v>3</v>
      </c>
    </row>
    <row r="54" spans="1:36" x14ac:dyDescent="0.25">
      <c r="A54" s="5" t="s">
        <v>39</v>
      </c>
      <c r="B54" s="5" t="s">
        <v>30</v>
      </c>
      <c r="C54" s="5" t="str">
        <f t="shared" si="0"/>
        <v>description,dailCompDescRanger52,</v>
      </c>
      <c r="D54" s="5" t="str">
        <f t="shared" si="2"/>
        <v>itemText,dailCompTextRanger52,</v>
      </c>
      <c r="E54" s="5" t="str">
        <f t="shared" si="14"/>
        <v>augmentSkillLevel1,3,</v>
      </c>
      <c r="F54" s="5" t="str">
        <f t="shared" si="15"/>
        <v>augmentSkillName1,records/skills/playerclass08/coup_refre.dbr,</v>
      </c>
      <c r="G54" s="7">
        <f t="shared" si="10"/>
        <v>52</v>
      </c>
      <c r="H54" s="8" t="str">
        <f t="shared" si="11"/>
        <v>Ranger</v>
      </c>
      <c r="I54" s="3" t="s">
        <v>170</v>
      </c>
      <c r="J54" s="8" t="str">
        <f t="shared" si="23"/>
        <v>class0008</v>
      </c>
      <c r="K54" s="8" t="str">
        <f t="shared" si="23"/>
        <v>dailoneskill0008</v>
      </c>
      <c r="L54" s="5" t="str">
        <f t="shared" si="4"/>
        <v>lootName52,DAIL/items/materia/class0008/Ranger52.dbr,</v>
      </c>
      <c r="M54" s="5" t="str">
        <f t="shared" si="5"/>
        <v>lootWeight52,1,</v>
      </c>
      <c r="N54" t="str">
        <f t="shared" si="6"/>
        <v>3</v>
      </c>
      <c r="O54" t="str">
        <f t="shared" si="16"/>
        <v>copy .\dail_base3.dbr .\items\materia\class0008\Ranger52.dbr /y</v>
      </c>
      <c r="P54" t="str">
        <f t="shared" si="7"/>
        <v>echo relicBitmap,items/craftingparts/components/component_a52_bristlyfur_b.tex, &gt;&gt; .\items\materia\class0008\Ranger52.dbr</v>
      </c>
      <c r="Q54" t="str">
        <f t="shared" si="7"/>
        <v>echo itemCost,500000, &gt;&gt; .\items\materia\class0008\Ranger52.dbr</v>
      </c>
      <c r="R54" t="str">
        <f t="shared" si="7"/>
        <v>echo description,dailCompDescRanger52, &gt;&gt; .\items\materia\class0008\Ranger52.dbr</v>
      </c>
      <c r="S54" t="str">
        <f t="shared" si="7"/>
        <v>echo itemText,dailCompTextRanger52, &gt;&gt; .\items\materia\class0008\Ranger52.dbr</v>
      </c>
      <c r="T54" t="str">
        <f t="shared" si="7"/>
        <v>echo augmentSkillLevel1,3, &gt;&gt; .\items\materia\class0008\Ranger52.dbr</v>
      </c>
      <c r="U54" t="str">
        <f t="shared" si="7"/>
        <v>echo augmentSkillName1,records/skills/playerclass08/coup_refre.dbr, &gt;&gt; .\items\materia\class0008\Ranger52.dbr</v>
      </c>
      <c r="V54" s="5" t="s">
        <v>36</v>
      </c>
      <c r="W54" t="str">
        <f t="shared" si="8"/>
        <v>echo lootName52,DAIL/items/materia/class0008/Ranger52.dbr, &gt;&gt; .\items\loottables\dailoneskill0008.dbr</v>
      </c>
      <c r="X54" t="str">
        <f t="shared" si="8"/>
        <v>echo lootWeight52,1, &gt;&gt; .\items\loottables\dailoneskill0008.dbr</v>
      </c>
      <c r="Y54" s="5" t="s">
        <v>36</v>
      </c>
      <c r="Z54" t="str">
        <f t="shared" si="9"/>
        <v xml:space="preserve"> dailCompDescRanger52=^pRanger's Gift of DAIL</v>
      </c>
      <c r="AA54" t="str">
        <f t="shared" si="17"/>
        <v>dailCompTextRanger52=^oThis feels warm to the touch, almost familiar ^w(This component only fits into the Medal Slot)</v>
      </c>
      <c r="AB54" s="5" t="s">
        <v>36</v>
      </c>
      <c r="AH54">
        <f t="shared" si="19"/>
        <v>49</v>
      </c>
      <c r="AI54">
        <f t="shared" si="22"/>
        <v>29</v>
      </c>
      <c r="AJ54">
        <f t="shared" si="18"/>
        <v>3</v>
      </c>
    </row>
    <row r="55" spans="1:36" x14ac:dyDescent="0.25">
      <c r="A55" s="5" t="s">
        <v>39</v>
      </c>
      <c r="B55" s="5" t="s">
        <v>30</v>
      </c>
      <c r="C55" s="5" t="str">
        <f t="shared" si="0"/>
        <v>description,dailCompDescRanger53,</v>
      </c>
      <c r="D55" s="5" t="str">
        <f t="shared" si="2"/>
        <v>itemText,dailCompTextRanger53,</v>
      </c>
      <c r="E55" s="5" t="str">
        <f t="shared" si="14"/>
        <v>augmentSkillLevel1,3,</v>
      </c>
      <c r="F55" s="5" t="str">
        <f t="shared" si="15"/>
        <v>augmentSkillName1,records/skills/playerclass08/coup_refre_t.dbr,</v>
      </c>
      <c r="G55" s="7">
        <f t="shared" si="10"/>
        <v>53</v>
      </c>
      <c r="H55" s="8" t="str">
        <f t="shared" si="11"/>
        <v>Ranger</v>
      </c>
      <c r="I55" s="3" t="s">
        <v>383</v>
      </c>
      <c r="J55" s="8" t="str">
        <f t="shared" si="23"/>
        <v>class0008</v>
      </c>
      <c r="K55" s="8" t="str">
        <f t="shared" si="23"/>
        <v>dailoneskill0008</v>
      </c>
      <c r="L55" s="5" t="str">
        <f t="shared" si="4"/>
        <v>lootName53,DAIL/items/materia/class0008/Ranger53.dbr,</v>
      </c>
      <c r="M55" s="5" t="str">
        <f t="shared" si="5"/>
        <v>lootWeight53,1,</v>
      </c>
      <c r="N55" t="str">
        <f t="shared" si="6"/>
        <v>3</v>
      </c>
      <c r="O55" t="str">
        <f t="shared" si="16"/>
        <v>copy .\dail_base3.dbr .\items\materia\class0008\Ranger53.dbr /y</v>
      </c>
      <c r="P55" t="str">
        <f t="shared" si="7"/>
        <v>echo relicBitmap,items/craftingparts/components/component_a52_bristlyfur_b.tex, &gt;&gt; .\items\materia\class0008\Ranger53.dbr</v>
      </c>
      <c r="Q55" t="str">
        <f t="shared" si="7"/>
        <v>echo itemCost,500000, &gt;&gt; .\items\materia\class0008\Ranger53.dbr</v>
      </c>
      <c r="R55" t="str">
        <f t="shared" si="7"/>
        <v>echo description,dailCompDescRanger53, &gt;&gt; .\items\materia\class0008\Ranger53.dbr</v>
      </c>
      <c r="S55" t="str">
        <f t="shared" si="7"/>
        <v>echo itemText,dailCompTextRanger53, &gt;&gt; .\items\materia\class0008\Ranger53.dbr</v>
      </c>
      <c r="T55" t="str">
        <f t="shared" si="7"/>
        <v>echo augmentSkillLevel1,3, &gt;&gt; .\items\materia\class0008\Ranger53.dbr</v>
      </c>
      <c r="U55" t="str">
        <f t="shared" si="7"/>
        <v>echo augmentSkillName1,records/skills/playerclass08/coup_refre_t.dbr, &gt;&gt; .\items\materia\class0008\Ranger53.dbr</v>
      </c>
      <c r="V55" s="5" t="s">
        <v>36</v>
      </c>
      <c r="W55" t="str">
        <f t="shared" si="8"/>
        <v>echo lootName53,DAIL/items/materia/class0008/Ranger53.dbr, &gt;&gt; .\items\loottables\dailoneskill0008.dbr</v>
      </c>
      <c r="X55" t="str">
        <f t="shared" si="8"/>
        <v>echo lootWeight53,1, &gt;&gt; .\items\loottables\dailoneskill0008.dbr</v>
      </c>
      <c r="Y55" s="5" t="s">
        <v>36</v>
      </c>
      <c r="Z55" t="str">
        <f t="shared" si="9"/>
        <v xml:space="preserve"> dailCompDescRanger53=^pRanger's Gift of DAIL</v>
      </c>
      <c r="AA55" t="str">
        <f t="shared" si="17"/>
        <v>dailCompTextRanger53=^oThis feels warm to the touch, almost familiar ^w(This component only fits into the Medal Slot)</v>
      </c>
      <c r="AB55" s="5" t="s">
        <v>36</v>
      </c>
      <c r="AH55">
        <f t="shared" si="19"/>
        <v>50</v>
      </c>
      <c r="AI55">
        <f t="shared" si="22"/>
        <v>31</v>
      </c>
      <c r="AJ55">
        <f t="shared" si="18"/>
        <v>3</v>
      </c>
    </row>
    <row r="56" spans="1:36" x14ac:dyDescent="0.25">
      <c r="A56" s="5" t="s">
        <v>39</v>
      </c>
      <c r="B56" s="5" t="s">
        <v>30</v>
      </c>
      <c r="C56" s="5" t="str">
        <f t="shared" si="0"/>
        <v>description,dailCompDescRanger54,</v>
      </c>
      <c r="D56" s="5" t="str">
        <f t="shared" si="2"/>
        <v>itemText,dailCompTextRanger54,</v>
      </c>
      <c r="E56" s="5" t="str">
        <f t="shared" si="14"/>
        <v>augmentSkillLevel1,3,</v>
      </c>
      <c r="F56" s="5" t="str">
        <f t="shared" si="15"/>
        <v>augmentSkillName1,records/skills/playerclass08/passive7.dbr,</v>
      </c>
      <c r="G56" s="7">
        <f t="shared" si="10"/>
        <v>54</v>
      </c>
      <c r="H56" s="8" t="str">
        <f t="shared" si="11"/>
        <v>Ranger</v>
      </c>
      <c r="I56" s="3" t="s">
        <v>384</v>
      </c>
      <c r="J56" s="8" t="str">
        <f t="shared" si="23"/>
        <v>class0008</v>
      </c>
      <c r="K56" s="8" t="str">
        <f t="shared" si="23"/>
        <v>dailoneskill0008</v>
      </c>
      <c r="L56" s="5" t="str">
        <f t="shared" si="4"/>
        <v>lootName54,DAIL/items/materia/class0008/Ranger54.dbr,</v>
      </c>
      <c r="M56" s="5" t="str">
        <f t="shared" si="5"/>
        <v>lootWeight54,1,</v>
      </c>
      <c r="N56" t="str">
        <f t="shared" si="6"/>
        <v>3</v>
      </c>
      <c r="O56" t="str">
        <f t="shared" si="16"/>
        <v>copy .\dail_base3.dbr .\items\materia\class0008\Ranger54.dbr /y</v>
      </c>
      <c r="P56" t="str">
        <f t="shared" si="7"/>
        <v>echo relicBitmap,items/craftingparts/components/component_a52_bristlyfur_b.tex, &gt;&gt; .\items\materia\class0008\Ranger54.dbr</v>
      </c>
      <c r="Q56" t="str">
        <f t="shared" si="7"/>
        <v>echo itemCost,500000, &gt;&gt; .\items\materia\class0008\Ranger54.dbr</v>
      </c>
      <c r="R56" t="str">
        <f t="shared" si="7"/>
        <v>echo description,dailCompDescRanger54, &gt;&gt; .\items\materia\class0008\Ranger54.dbr</v>
      </c>
      <c r="S56" t="str">
        <f t="shared" si="7"/>
        <v>echo itemText,dailCompTextRanger54, &gt;&gt; .\items\materia\class0008\Ranger54.dbr</v>
      </c>
      <c r="T56" t="str">
        <f t="shared" si="7"/>
        <v>echo augmentSkillLevel1,3, &gt;&gt; .\items\materia\class0008\Ranger54.dbr</v>
      </c>
      <c r="U56" t="str">
        <f t="shared" si="7"/>
        <v>echo augmentSkillName1,records/skills/playerclass08/passive7.dbr, &gt;&gt; .\items\materia\class0008\Ranger54.dbr</v>
      </c>
      <c r="V56" s="5" t="s">
        <v>36</v>
      </c>
      <c r="W56" t="str">
        <f t="shared" si="8"/>
        <v>echo lootName54,DAIL/items/materia/class0008/Ranger54.dbr, &gt;&gt; .\items\loottables\dailoneskill0008.dbr</v>
      </c>
      <c r="X56" t="str">
        <f t="shared" si="8"/>
        <v>echo lootWeight54,1, &gt;&gt; .\items\loottables\dailoneskill0008.dbr</v>
      </c>
      <c r="Y56" s="5" t="s">
        <v>36</v>
      </c>
      <c r="Z56" t="str">
        <f t="shared" si="9"/>
        <v xml:space="preserve"> dailCompDescRanger54=^pRanger's Gift of DAIL</v>
      </c>
      <c r="AA56" t="str">
        <f t="shared" si="17"/>
        <v>dailCompTextRanger54=^oThis feels warm to the touch, almost familiar ^w(This component only fits into the Medal Slot)</v>
      </c>
      <c r="AB56" s="5" t="s">
        <v>36</v>
      </c>
      <c r="AH56">
        <f t="shared" si="19"/>
        <v>51</v>
      </c>
      <c r="AI56">
        <f t="shared" si="22"/>
        <v>27</v>
      </c>
      <c r="AJ56">
        <f t="shared" si="18"/>
        <v>3</v>
      </c>
    </row>
    <row r="57" spans="1:36" x14ac:dyDescent="0.25">
      <c r="A57" s="5" t="s">
        <v>39</v>
      </c>
      <c r="B57" s="5" t="s">
        <v>30</v>
      </c>
      <c r="C57" s="5" t="str">
        <f t="shared" si="0"/>
        <v>description,dailCompDescRanger55,</v>
      </c>
      <c r="D57" s="5" t="str">
        <f t="shared" si="2"/>
        <v>itemText,dailCompTextRanger55,</v>
      </c>
      <c r="E57" s="5" t="str">
        <f t="shared" si="14"/>
        <v>augmentSkillLevel1,3,</v>
      </c>
      <c r="F57" s="5" t="str">
        <f t="shared" si="15"/>
        <v>augmentSkillName1,records/skills/playerclass08/summon_hawk.dbr,</v>
      </c>
      <c r="G57" s="7">
        <f t="shared" si="10"/>
        <v>55</v>
      </c>
      <c r="H57" s="8" t="str">
        <f t="shared" si="11"/>
        <v>Ranger</v>
      </c>
      <c r="I57" s="3" t="s">
        <v>174</v>
      </c>
      <c r="J57" s="8" t="str">
        <f t="shared" si="23"/>
        <v>class0008</v>
      </c>
      <c r="K57" s="8" t="str">
        <f t="shared" si="23"/>
        <v>dailoneskill0008</v>
      </c>
      <c r="L57" s="5" t="str">
        <f t="shared" si="4"/>
        <v>lootName55,DAIL/items/materia/class0008/Ranger55.dbr,</v>
      </c>
      <c r="M57" s="5" t="str">
        <f t="shared" si="5"/>
        <v>lootWeight55,1,</v>
      </c>
      <c r="N57" t="str">
        <f t="shared" si="6"/>
        <v>3</v>
      </c>
      <c r="O57" t="str">
        <f t="shared" si="16"/>
        <v>copy .\dail_base3.dbr .\items\materia\class0008\Ranger55.dbr /y</v>
      </c>
      <c r="P57" t="str">
        <f t="shared" si="7"/>
        <v>echo relicBitmap,items/craftingparts/components/component_a52_bristlyfur_b.tex, &gt;&gt; .\items\materia\class0008\Ranger55.dbr</v>
      </c>
      <c r="Q57" t="str">
        <f t="shared" si="7"/>
        <v>echo itemCost,500000, &gt;&gt; .\items\materia\class0008\Ranger55.dbr</v>
      </c>
      <c r="R57" t="str">
        <f t="shared" si="7"/>
        <v>echo description,dailCompDescRanger55, &gt;&gt; .\items\materia\class0008\Ranger55.dbr</v>
      </c>
      <c r="S57" t="str">
        <f t="shared" si="7"/>
        <v>echo itemText,dailCompTextRanger55, &gt;&gt; .\items\materia\class0008\Ranger55.dbr</v>
      </c>
      <c r="T57" t="str">
        <f t="shared" si="7"/>
        <v>echo augmentSkillLevel1,3, &gt;&gt; .\items\materia\class0008\Ranger55.dbr</v>
      </c>
      <c r="U57" t="str">
        <f t="shared" si="7"/>
        <v>echo augmentSkillName1,records/skills/playerclass08/summon_hawk.dbr, &gt;&gt; .\items\materia\class0008\Ranger55.dbr</v>
      </c>
      <c r="V57" s="5" t="s">
        <v>36</v>
      </c>
      <c r="W57" t="str">
        <f t="shared" si="8"/>
        <v>echo lootName55,DAIL/items/materia/class0008/Ranger55.dbr, &gt;&gt; .\items\loottables\dailoneskill0008.dbr</v>
      </c>
      <c r="X57" t="str">
        <f t="shared" si="8"/>
        <v>echo lootWeight55,1, &gt;&gt; .\items\loottables\dailoneskill0008.dbr</v>
      </c>
      <c r="Y57" s="5" t="s">
        <v>36</v>
      </c>
      <c r="Z57" t="str">
        <f t="shared" si="9"/>
        <v xml:space="preserve"> dailCompDescRanger55=^pRanger's Gift of DAIL</v>
      </c>
      <c r="AA57" t="str">
        <f t="shared" si="17"/>
        <v>dailCompTextRanger55=^oThis feels warm to the touch, almost familiar ^w(This component only fits into the Medal Slot)</v>
      </c>
      <c r="AB57" s="5" t="s">
        <v>36</v>
      </c>
      <c r="AH57">
        <f t="shared" si="19"/>
        <v>52</v>
      </c>
      <c r="AI57">
        <f t="shared" si="22"/>
        <v>30</v>
      </c>
      <c r="AJ57">
        <f t="shared" si="18"/>
        <v>3</v>
      </c>
    </row>
    <row r="58" spans="1:36" x14ac:dyDescent="0.25">
      <c r="A58" s="5" t="s">
        <v>39</v>
      </c>
      <c r="B58" s="5" t="s">
        <v>30</v>
      </c>
      <c r="C58" s="5" t="str">
        <f t="shared" si="0"/>
        <v>description,dailCompDescRanger56,</v>
      </c>
      <c r="D58" s="5" t="str">
        <f t="shared" si="2"/>
        <v>itemText,dailCompTextRanger56,</v>
      </c>
      <c r="E58" s="5" t="str">
        <f t="shared" si="14"/>
        <v>augmentSkillLevel1,3,</v>
      </c>
      <c r="F58" s="5" t="str">
        <f t="shared" si="15"/>
        <v>augmentSkillName1,records/skills/playerclass08/windrunner_ut.dbr,</v>
      </c>
      <c r="G58" s="7">
        <f t="shared" si="10"/>
        <v>56</v>
      </c>
      <c r="H58" s="8" t="str">
        <f t="shared" si="11"/>
        <v>Ranger</v>
      </c>
      <c r="I58" s="3" t="s">
        <v>377</v>
      </c>
      <c r="J58" s="8" t="str">
        <f t="shared" si="23"/>
        <v>class0008</v>
      </c>
      <c r="K58" s="8" t="str">
        <f t="shared" si="23"/>
        <v>dailoneskill0008</v>
      </c>
      <c r="L58" s="5" t="str">
        <f t="shared" si="4"/>
        <v>lootName56,DAIL/items/materia/class0008/Ranger56.dbr,</v>
      </c>
      <c r="M58" s="5" t="str">
        <f t="shared" si="5"/>
        <v>lootWeight56,1,</v>
      </c>
      <c r="N58" t="str">
        <f t="shared" si="6"/>
        <v>3</v>
      </c>
      <c r="O58" t="str">
        <f t="shared" si="16"/>
        <v>copy .\dail_base3.dbr .\items\materia\class0008\Ranger56.dbr /y</v>
      </c>
      <c r="P58" t="str">
        <f t="shared" si="7"/>
        <v>echo relicBitmap,items/craftingparts/components/component_a52_bristlyfur_b.tex, &gt;&gt; .\items\materia\class0008\Ranger56.dbr</v>
      </c>
      <c r="Q58" t="str">
        <f t="shared" si="7"/>
        <v>echo itemCost,500000, &gt;&gt; .\items\materia\class0008\Ranger56.dbr</v>
      </c>
      <c r="R58" t="str">
        <f t="shared" si="7"/>
        <v>echo description,dailCompDescRanger56, &gt;&gt; .\items\materia\class0008\Ranger56.dbr</v>
      </c>
      <c r="S58" t="str">
        <f t="shared" si="7"/>
        <v>echo itemText,dailCompTextRanger56, &gt;&gt; .\items\materia\class0008\Ranger56.dbr</v>
      </c>
      <c r="T58" t="str">
        <f t="shared" si="7"/>
        <v>echo augmentSkillLevel1,3, &gt;&gt; .\items\materia\class0008\Ranger56.dbr</v>
      </c>
      <c r="U58" t="str">
        <f t="shared" si="7"/>
        <v>echo augmentSkillName1,records/skills/playerclass08/windrunner_ut.dbr, &gt;&gt; .\items\materia\class0008\Ranger56.dbr</v>
      </c>
      <c r="V58" s="5" t="s">
        <v>36</v>
      </c>
      <c r="W58" t="str">
        <f t="shared" si="8"/>
        <v>echo lootName56,DAIL/items/materia/class0008/Ranger56.dbr, &gt;&gt; .\items\loottables\dailoneskill0008.dbr</v>
      </c>
      <c r="X58" t="str">
        <f t="shared" si="8"/>
        <v>echo lootWeight56,1, &gt;&gt; .\items\loottables\dailoneskill0008.dbr</v>
      </c>
      <c r="Y58" s="5" t="s">
        <v>36</v>
      </c>
      <c r="Z58" t="str">
        <f t="shared" si="9"/>
        <v xml:space="preserve"> dailCompDescRanger56=^pRanger's Gift of DAIL</v>
      </c>
      <c r="AA58" t="str">
        <f t="shared" si="17"/>
        <v>dailCompTextRanger56=^oThis feels warm to the touch, almost familiar ^w(This component only fits into the Medal Slot)</v>
      </c>
      <c r="AB58" s="5" t="s">
        <v>36</v>
      </c>
      <c r="AH58">
        <f t="shared" si="19"/>
        <v>53</v>
      </c>
      <c r="AI58">
        <f t="shared" si="22"/>
        <v>32</v>
      </c>
      <c r="AJ58">
        <f t="shared" si="18"/>
        <v>3</v>
      </c>
    </row>
    <row r="59" spans="1:36" x14ac:dyDescent="0.25">
      <c r="A59" s="5" t="s">
        <v>39</v>
      </c>
      <c r="B59" s="5" t="s">
        <v>30</v>
      </c>
      <c r="C59" s="5" t="str">
        <f t="shared" si="0"/>
        <v>description,dailCompDescRanger57,</v>
      </c>
      <c r="D59" s="5" t="str">
        <f t="shared" si="2"/>
        <v>itemText,dailCompTextRanger57,</v>
      </c>
      <c r="E59" s="5" t="str">
        <f t="shared" si="14"/>
        <v>augmentSkillLevel1,3,</v>
      </c>
      <c r="F59" s="5" t="str">
        <f t="shared" si="15"/>
        <v>augmentSkillName1,records/skills/playerclass08/summon_hawk_mod2.dbr,</v>
      </c>
      <c r="G59" s="7">
        <f t="shared" si="10"/>
        <v>57</v>
      </c>
      <c r="H59" s="8" t="str">
        <f t="shared" si="11"/>
        <v>Ranger</v>
      </c>
      <c r="I59" s="3" t="s">
        <v>385</v>
      </c>
      <c r="J59" s="8" t="str">
        <f t="shared" si="23"/>
        <v>class0008</v>
      </c>
      <c r="K59" s="8" t="str">
        <f t="shared" si="23"/>
        <v>dailoneskill0008</v>
      </c>
      <c r="L59" s="5" t="str">
        <f t="shared" si="4"/>
        <v>lootName57,DAIL/items/materia/class0008/Ranger57.dbr,</v>
      </c>
      <c r="M59" s="5" t="str">
        <f t="shared" si="5"/>
        <v>lootWeight57,1,</v>
      </c>
      <c r="N59" t="str">
        <f t="shared" si="6"/>
        <v>3</v>
      </c>
      <c r="O59" t="str">
        <f t="shared" si="16"/>
        <v>copy .\dail_base3.dbr .\items\materia\class0008\Ranger57.dbr /y</v>
      </c>
      <c r="P59" t="str">
        <f t="shared" ref="P59:U101" si="24">IF($I59&lt;&gt;"","echo "&amp;A59&amp;" &gt;&gt; .\items\materia\"&amp;$J59&amp;"\"&amp;$H59&amp;$G59&amp;".dbr","")</f>
        <v>echo relicBitmap,items/craftingparts/components/component_a52_bristlyfur_b.tex, &gt;&gt; .\items\materia\class0008\Ranger57.dbr</v>
      </c>
      <c r="Q59" t="str">
        <f t="shared" si="24"/>
        <v>echo itemCost,500000, &gt;&gt; .\items\materia\class0008\Ranger57.dbr</v>
      </c>
      <c r="R59" t="str">
        <f t="shared" si="24"/>
        <v>echo description,dailCompDescRanger57, &gt;&gt; .\items\materia\class0008\Ranger57.dbr</v>
      </c>
      <c r="S59" t="str">
        <f t="shared" si="24"/>
        <v>echo itemText,dailCompTextRanger57, &gt;&gt; .\items\materia\class0008\Ranger57.dbr</v>
      </c>
      <c r="T59" t="str">
        <f t="shared" si="24"/>
        <v>echo augmentSkillLevel1,3, &gt;&gt; .\items\materia\class0008\Ranger57.dbr</v>
      </c>
      <c r="U59" t="str">
        <f t="shared" si="24"/>
        <v>echo augmentSkillName1,records/skills/playerclass08/summon_hawk_mod2.dbr, &gt;&gt; .\items\materia\class0008\Ranger57.dbr</v>
      </c>
      <c r="V59" s="5" t="s">
        <v>36</v>
      </c>
      <c r="W59" t="str">
        <f t="shared" si="8"/>
        <v>echo lootName57,DAIL/items/materia/class0008/Ranger57.dbr, &gt;&gt; .\items\loottables\dailoneskill0008.dbr</v>
      </c>
      <c r="X59" t="str">
        <f t="shared" si="8"/>
        <v>echo lootWeight57,1, &gt;&gt; .\items\loottables\dailoneskill0008.dbr</v>
      </c>
      <c r="Y59" s="5" t="s">
        <v>36</v>
      </c>
      <c r="Z59" t="str">
        <f t="shared" si="9"/>
        <v xml:space="preserve"> dailCompDescRanger57=^pRanger's Gift of DAIL</v>
      </c>
      <c r="AA59" t="str">
        <f t="shared" si="17"/>
        <v>dailCompTextRanger57=^oThis feels warm to the touch, almost familiar ^w(This component only fits into the Medal Slot)</v>
      </c>
      <c r="AB59" s="5" t="s">
        <v>36</v>
      </c>
      <c r="AH59">
        <f t="shared" si="19"/>
        <v>54</v>
      </c>
      <c r="AI59">
        <f t="shared" si="22"/>
        <v>35</v>
      </c>
      <c r="AJ59">
        <f t="shared" si="18"/>
        <v>3</v>
      </c>
    </row>
    <row r="60" spans="1:36" x14ac:dyDescent="0.25">
      <c r="A60" s="5" t="s">
        <v>39</v>
      </c>
      <c r="B60" s="5" t="s">
        <v>30</v>
      </c>
      <c r="C60" s="5" t="str">
        <f t="shared" si="0"/>
        <v>description,dailCompDescRanger58,</v>
      </c>
      <c r="D60" s="5" t="str">
        <f t="shared" si="2"/>
        <v>itemText,dailCompTextRanger58,</v>
      </c>
      <c r="E60" s="5" t="str">
        <f t="shared" si="14"/>
        <v>augmentSkillLevel1,3,</v>
      </c>
      <c r="F60" s="5" t="str">
        <f t="shared" si="15"/>
        <v>augmentSkillName1,records/skills/playerclass08/summon_hawk_mod3.dbr,</v>
      </c>
      <c r="G60" s="7">
        <f t="shared" si="10"/>
        <v>58</v>
      </c>
      <c r="H60" s="8" t="str">
        <f t="shared" si="11"/>
        <v>Ranger</v>
      </c>
      <c r="I60" s="3" t="s">
        <v>386</v>
      </c>
      <c r="J60" s="8" t="str">
        <f t="shared" si="23"/>
        <v>class0008</v>
      </c>
      <c r="K60" s="8" t="str">
        <f t="shared" si="23"/>
        <v>dailoneskill0008</v>
      </c>
      <c r="L60" s="5" t="str">
        <f t="shared" si="4"/>
        <v>lootName58,DAIL/items/materia/class0008/Ranger58.dbr,</v>
      </c>
      <c r="M60" s="5" t="str">
        <f t="shared" si="5"/>
        <v>lootWeight58,1,</v>
      </c>
      <c r="N60" t="str">
        <f t="shared" si="6"/>
        <v>3</v>
      </c>
      <c r="O60" t="str">
        <f t="shared" si="16"/>
        <v>copy .\dail_base3.dbr .\items\materia\class0008\Ranger58.dbr /y</v>
      </c>
      <c r="P60" t="str">
        <f t="shared" si="24"/>
        <v>echo relicBitmap,items/craftingparts/components/component_a52_bristlyfur_b.tex, &gt;&gt; .\items\materia\class0008\Ranger58.dbr</v>
      </c>
      <c r="Q60" t="str">
        <f t="shared" si="24"/>
        <v>echo itemCost,500000, &gt;&gt; .\items\materia\class0008\Ranger58.dbr</v>
      </c>
      <c r="R60" t="str">
        <f t="shared" si="24"/>
        <v>echo description,dailCompDescRanger58, &gt;&gt; .\items\materia\class0008\Ranger58.dbr</v>
      </c>
      <c r="S60" t="str">
        <f t="shared" si="24"/>
        <v>echo itemText,dailCompTextRanger58, &gt;&gt; .\items\materia\class0008\Ranger58.dbr</v>
      </c>
      <c r="T60" t="str">
        <f t="shared" si="24"/>
        <v>echo augmentSkillLevel1,3, &gt;&gt; .\items\materia\class0008\Ranger58.dbr</v>
      </c>
      <c r="U60" t="str">
        <f t="shared" si="24"/>
        <v>echo augmentSkillName1,records/skills/playerclass08/summon_hawk_mod3.dbr, &gt;&gt; .\items\materia\class0008\Ranger58.dbr</v>
      </c>
      <c r="V60" s="5" t="s">
        <v>36</v>
      </c>
      <c r="W60" t="str">
        <f t="shared" si="8"/>
        <v>echo lootName58,DAIL/items/materia/class0008/Ranger58.dbr, &gt;&gt; .\items\loottables\dailoneskill0008.dbr</v>
      </c>
      <c r="X60" t="str">
        <f t="shared" si="8"/>
        <v>echo lootWeight58,1, &gt;&gt; .\items\loottables\dailoneskill0008.dbr</v>
      </c>
      <c r="Y60" s="5" t="s">
        <v>36</v>
      </c>
      <c r="Z60" t="str">
        <f t="shared" si="9"/>
        <v xml:space="preserve"> dailCompDescRanger58=^pRanger's Gift of DAIL</v>
      </c>
      <c r="AA60" t="str">
        <f t="shared" si="17"/>
        <v>dailCompTextRanger58=^oThis feels warm to the touch, almost familiar ^w(This component only fits into the Medal Slot)</v>
      </c>
      <c r="AB60" s="5" t="s">
        <v>36</v>
      </c>
      <c r="AH60">
        <f t="shared" si="19"/>
        <v>55</v>
      </c>
      <c r="AI60">
        <f t="shared" si="22"/>
        <v>35</v>
      </c>
      <c r="AJ60">
        <f t="shared" si="18"/>
        <v>3</v>
      </c>
    </row>
    <row r="61" spans="1:36" x14ac:dyDescent="0.25">
      <c r="A61" s="5" t="s">
        <v>39</v>
      </c>
      <c r="B61" s="5" t="s">
        <v>30</v>
      </c>
      <c r="C61" s="5" t="str">
        <f t="shared" si="0"/>
        <v>description,dailCompDescRanger59,</v>
      </c>
      <c r="D61" s="5" t="str">
        <f t="shared" si="2"/>
        <v>itemText,dailCompTextRanger59,</v>
      </c>
      <c r="E61" s="5" t="str">
        <f t="shared" si="14"/>
        <v>augmentSkillLevel1,3,</v>
      </c>
      <c r="F61" s="5" t="str">
        <f t="shared" si="15"/>
        <v>augmentSkillName1,records/skills/playerclass08/mutl_attack_add_buff.dbr,</v>
      </c>
      <c r="G61" s="7">
        <f t="shared" si="10"/>
        <v>59</v>
      </c>
      <c r="H61" s="8" t="str">
        <f t="shared" si="11"/>
        <v>Ranger</v>
      </c>
      <c r="I61" s="3" t="s">
        <v>387</v>
      </c>
      <c r="J61" s="8" t="str">
        <f t="shared" si="23"/>
        <v>class0008</v>
      </c>
      <c r="K61" s="8" t="str">
        <f t="shared" si="23"/>
        <v>dailoneskill0008</v>
      </c>
      <c r="L61" s="5" t="str">
        <f t="shared" si="4"/>
        <v>lootName59,DAIL/items/materia/class0008/Ranger59.dbr,</v>
      </c>
      <c r="M61" s="5" t="str">
        <f t="shared" si="5"/>
        <v>lootWeight59,1,</v>
      </c>
      <c r="N61" t="str">
        <f t="shared" si="6"/>
        <v>3</v>
      </c>
      <c r="O61" t="str">
        <f t="shared" si="16"/>
        <v>copy .\dail_base3.dbr .\items\materia\class0008\Ranger59.dbr /y</v>
      </c>
      <c r="P61" t="str">
        <f t="shared" si="24"/>
        <v>echo relicBitmap,items/craftingparts/components/component_a52_bristlyfur_b.tex, &gt;&gt; .\items\materia\class0008\Ranger59.dbr</v>
      </c>
      <c r="Q61" t="str">
        <f t="shared" si="24"/>
        <v>echo itemCost,500000, &gt;&gt; .\items\materia\class0008\Ranger59.dbr</v>
      </c>
      <c r="R61" t="str">
        <f t="shared" si="24"/>
        <v>echo description,dailCompDescRanger59, &gt;&gt; .\items\materia\class0008\Ranger59.dbr</v>
      </c>
      <c r="S61" t="str">
        <f t="shared" si="24"/>
        <v>echo itemText,dailCompTextRanger59, &gt;&gt; .\items\materia\class0008\Ranger59.dbr</v>
      </c>
      <c r="T61" t="str">
        <f t="shared" si="24"/>
        <v>echo augmentSkillLevel1,3, &gt;&gt; .\items\materia\class0008\Ranger59.dbr</v>
      </c>
      <c r="U61" t="str">
        <f t="shared" si="24"/>
        <v>echo augmentSkillName1,records/skills/playerclass08/mutl_attack_add_buff.dbr, &gt;&gt; .\items\materia\class0008\Ranger59.dbr</v>
      </c>
      <c r="V61" s="5" t="s">
        <v>36</v>
      </c>
      <c r="W61" t="str">
        <f t="shared" si="8"/>
        <v>echo lootName59,DAIL/items/materia/class0008/Ranger59.dbr, &gt;&gt; .\items\loottables\dailoneskill0008.dbr</v>
      </c>
      <c r="X61" t="str">
        <f t="shared" si="8"/>
        <v>echo lootWeight59,1, &gt;&gt; .\items\loottables\dailoneskill0008.dbr</v>
      </c>
      <c r="Y61" s="5" t="s">
        <v>36</v>
      </c>
      <c r="Z61" t="str">
        <f t="shared" si="9"/>
        <v xml:space="preserve"> dailCompDescRanger59=^pRanger's Gift of DAIL</v>
      </c>
      <c r="AA61" t="str">
        <f t="shared" si="17"/>
        <v>dailCompTextRanger59=^oThis feels warm to the touch, almost familiar ^w(This component only fits into the Medal Slot)</v>
      </c>
      <c r="AB61" s="5" t="s">
        <v>36</v>
      </c>
      <c r="AH61">
        <f t="shared" si="19"/>
        <v>56</v>
      </c>
      <c r="AI61">
        <f t="shared" si="22"/>
        <v>39</v>
      </c>
      <c r="AJ61">
        <f t="shared" si="18"/>
        <v>3</v>
      </c>
    </row>
    <row r="62" spans="1:36" x14ac:dyDescent="0.25">
      <c r="A62" s="5" t="s">
        <v>39</v>
      </c>
      <c r="B62" s="5" t="s">
        <v>30</v>
      </c>
      <c r="C62" s="5" t="str">
        <f t="shared" si="0"/>
        <v>description,dailCompDescRanger60,</v>
      </c>
      <c r="D62" s="5" t="str">
        <f t="shared" si="2"/>
        <v>itemText,dailCompTextRanger60,</v>
      </c>
      <c r="E62" s="5" t="str">
        <f t="shared" si="14"/>
        <v>augmentSkillLevel1,3,</v>
      </c>
      <c r="F62" s="5" t="str">
        <f t="shared" si="15"/>
        <v>augmentSkillName1,records/skills/playerclass08/summon_hawk_mod.dbr,</v>
      </c>
      <c r="G62" s="7">
        <f t="shared" si="10"/>
        <v>60</v>
      </c>
      <c r="H62" s="8" t="str">
        <f t="shared" si="11"/>
        <v>Ranger</v>
      </c>
      <c r="I62" s="3" t="s">
        <v>388</v>
      </c>
      <c r="J62" s="8" t="str">
        <f t="shared" si="23"/>
        <v>class0008</v>
      </c>
      <c r="K62" s="8" t="str">
        <f t="shared" si="23"/>
        <v>dailoneskill0008</v>
      </c>
      <c r="L62" s="5" t="str">
        <f t="shared" si="4"/>
        <v>lootName60,DAIL/items/materia/class0008/Ranger60.dbr,</v>
      </c>
      <c r="M62" s="5" t="str">
        <f t="shared" si="5"/>
        <v>lootWeight60,1,</v>
      </c>
      <c r="N62" t="str">
        <f t="shared" si="6"/>
        <v>3</v>
      </c>
      <c r="O62" t="str">
        <f t="shared" si="16"/>
        <v>copy .\dail_base3.dbr .\items\materia\class0008\Ranger60.dbr /y</v>
      </c>
      <c r="P62" t="str">
        <f t="shared" si="24"/>
        <v>echo relicBitmap,items/craftingparts/components/component_a52_bristlyfur_b.tex, &gt;&gt; .\items\materia\class0008\Ranger60.dbr</v>
      </c>
      <c r="Q62" t="str">
        <f t="shared" si="24"/>
        <v>echo itemCost,500000, &gt;&gt; .\items\materia\class0008\Ranger60.dbr</v>
      </c>
      <c r="R62" t="str">
        <f t="shared" si="24"/>
        <v>echo description,dailCompDescRanger60, &gt;&gt; .\items\materia\class0008\Ranger60.dbr</v>
      </c>
      <c r="S62" t="str">
        <f t="shared" si="24"/>
        <v>echo itemText,dailCompTextRanger60, &gt;&gt; .\items\materia\class0008\Ranger60.dbr</v>
      </c>
      <c r="T62" t="str">
        <f t="shared" si="24"/>
        <v>echo augmentSkillLevel1,3, &gt;&gt; .\items\materia\class0008\Ranger60.dbr</v>
      </c>
      <c r="U62" t="str">
        <f t="shared" si="24"/>
        <v>echo augmentSkillName1,records/skills/playerclass08/summon_hawk_mod.dbr, &gt;&gt; .\items\materia\class0008\Ranger60.dbr</v>
      </c>
      <c r="V62" s="5" t="s">
        <v>36</v>
      </c>
      <c r="W62" t="str">
        <f t="shared" si="8"/>
        <v>echo lootName60,DAIL/items/materia/class0008/Ranger60.dbr, &gt;&gt; .\items\loottables\dailoneskill0008.dbr</v>
      </c>
      <c r="X62" t="str">
        <f t="shared" si="8"/>
        <v>echo lootWeight60,1, &gt;&gt; .\items\loottables\dailoneskill0008.dbr</v>
      </c>
      <c r="Y62" s="5" t="s">
        <v>36</v>
      </c>
      <c r="Z62" t="str">
        <f t="shared" si="9"/>
        <v xml:space="preserve"> dailCompDescRanger60=^pRanger's Gift of DAIL</v>
      </c>
      <c r="AA62" t="str">
        <f t="shared" si="17"/>
        <v>dailCompTextRanger60=^oThis feels warm to the touch, almost familiar ^w(This component only fits into the Medal Slot)</v>
      </c>
      <c r="AB62" s="5" t="s">
        <v>36</v>
      </c>
      <c r="AH62">
        <f t="shared" si="19"/>
        <v>57</v>
      </c>
      <c r="AI62">
        <f t="shared" si="22"/>
        <v>34</v>
      </c>
      <c r="AJ62">
        <f t="shared" si="18"/>
        <v>3</v>
      </c>
    </row>
    <row r="63" spans="1:36" x14ac:dyDescent="0.25">
      <c r="A63" s="5" t="s">
        <v>39</v>
      </c>
      <c r="B63" s="5" t="s">
        <v>30</v>
      </c>
      <c r="C63" s="5" t="str">
        <f t="shared" si="0"/>
        <v>description,dailCompDescRanger61,</v>
      </c>
      <c r="D63" s="5" t="str">
        <f t="shared" si="2"/>
        <v>itemText,dailCompTextRanger61,</v>
      </c>
      <c r="E63" s="5" t="str">
        <f t="shared" si="14"/>
        <v>augmentSkillLevel1,3,</v>
      </c>
      <c r="F63" s="5" t="str">
        <f t="shared" si="15"/>
        <v>augmentSkillName1,records/skills/playerclass08/passive9.dbr,</v>
      </c>
      <c r="G63" s="7">
        <f t="shared" si="10"/>
        <v>61</v>
      </c>
      <c r="H63" s="8" t="str">
        <f t="shared" si="11"/>
        <v>Ranger</v>
      </c>
      <c r="I63" s="3" t="s">
        <v>389</v>
      </c>
      <c r="J63" s="8" t="str">
        <f t="shared" si="23"/>
        <v>class0008</v>
      </c>
      <c r="K63" s="8" t="str">
        <f t="shared" si="23"/>
        <v>dailoneskill0008</v>
      </c>
      <c r="L63" s="5" t="str">
        <f t="shared" si="4"/>
        <v>lootName61,DAIL/items/materia/class0008/Ranger61.dbr,</v>
      </c>
      <c r="M63" s="5" t="str">
        <f t="shared" si="5"/>
        <v>lootWeight61,1,</v>
      </c>
      <c r="N63" t="str">
        <f t="shared" si="6"/>
        <v>3</v>
      </c>
      <c r="O63" t="str">
        <f t="shared" si="16"/>
        <v>copy .\dail_base3.dbr .\items\materia\class0008\Ranger61.dbr /y</v>
      </c>
      <c r="P63" t="str">
        <f t="shared" si="24"/>
        <v>echo relicBitmap,items/craftingparts/components/component_a52_bristlyfur_b.tex, &gt;&gt; .\items\materia\class0008\Ranger61.dbr</v>
      </c>
      <c r="Q63" t="str">
        <f t="shared" si="24"/>
        <v>echo itemCost,500000, &gt;&gt; .\items\materia\class0008\Ranger61.dbr</v>
      </c>
      <c r="R63" t="str">
        <f t="shared" si="24"/>
        <v>echo description,dailCompDescRanger61, &gt;&gt; .\items\materia\class0008\Ranger61.dbr</v>
      </c>
      <c r="S63" t="str">
        <f t="shared" si="24"/>
        <v>echo itemText,dailCompTextRanger61, &gt;&gt; .\items\materia\class0008\Ranger61.dbr</v>
      </c>
      <c r="T63" t="str">
        <f t="shared" si="24"/>
        <v>echo augmentSkillLevel1,3, &gt;&gt; .\items\materia\class0008\Ranger61.dbr</v>
      </c>
      <c r="U63" t="str">
        <f t="shared" si="24"/>
        <v>echo augmentSkillName1,records/skills/playerclass08/passive9.dbr, &gt;&gt; .\items\materia\class0008\Ranger61.dbr</v>
      </c>
      <c r="V63" s="5" t="s">
        <v>36</v>
      </c>
      <c r="W63" t="str">
        <f t="shared" si="8"/>
        <v>echo lootName61,DAIL/items/materia/class0008/Ranger61.dbr, &gt;&gt; .\items\loottables\dailoneskill0008.dbr</v>
      </c>
      <c r="X63" t="str">
        <f t="shared" si="8"/>
        <v>echo lootWeight61,1, &gt;&gt; .\items\loottables\dailoneskill0008.dbr</v>
      </c>
      <c r="Y63" s="5" t="s">
        <v>36</v>
      </c>
      <c r="Z63" t="str">
        <f t="shared" si="9"/>
        <v xml:space="preserve"> dailCompDescRanger61=^pRanger's Gift of DAIL</v>
      </c>
      <c r="AA63" t="str">
        <f t="shared" si="17"/>
        <v>dailCompTextRanger61=^oThis feels warm to the touch, almost familiar ^w(This component only fits into the Medal Slot)</v>
      </c>
      <c r="AB63" s="5" t="s">
        <v>36</v>
      </c>
      <c r="AH63">
        <f t="shared" si="19"/>
        <v>58</v>
      </c>
      <c r="AI63">
        <f t="shared" si="22"/>
        <v>27</v>
      </c>
      <c r="AJ63">
        <f t="shared" si="18"/>
        <v>3</v>
      </c>
    </row>
    <row r="64" spans="1:36" x14ac:dyDescent="0.25">
      <c r="A64" s="5" t="s">
        <v>39</v>
      </c>
      <c r="B64" s="5" t="s">
        <v>30</v>
      </c>
      <c r="C64" s="5" t="str">
        <f t="shared" si="0"/>
        <v>description,dailCompDescRanger62,</v>
      </c>
      <c r="D64" s="5" t="str">
        <f t="shared" si="2"/>
        <v>itemText,dailCompTextRanger62,</v>
      </c>
      <c r="E64" s="5" t="str">
        <f t="shared" si="14"/>
        <v>augmentSkillLevel1,3,</v>
      </c>
      <c r="F64" s="5" t="str">
        <f t="shared" si="15"/>
        <v>augmentSkillName1,records/skills/playerclass08/passive8.dbr,</v>
      </c>
      <c r="G64" s="7">
        <f t="shared" si="10"/>
        <v>62</v>
      </c>
      <c r="H64" s="8" t="str">
        <f t="shared" si="11"/>
        <v>Ranger</v>
      </c>
      <c r="I64" s="3" t="s">
        <v>390</v>
      </c>
      <c r="J64" s="8" t="str">
        <f t="shared" si="23"/>
        <v>class0008</v>
      </c>
      <c r="K64" s="8" t="str">
        <f t="shared" si="23"/>
        <v>dailoneskill0008</v>
      </c>
      <c r="L64" s="5" t="str">
        <f t="shared" si="4"/>
        <v>lootName62,DAIL/items/materia/class0008/Ranger62.dbr,</v>
      </c>
      <c r="M64" s="5" t="str">
        <f t="shared" si="5"/>
        <v>lootWeight62,1,</v>
      </c>
      <c r="N64" t="str">
        <f t="shared" si="6"/>
        <v>3</v>
      </c>
      <c r="O64" t="str">
        <f t="shared" si="16"/>
        <v>copy .\dail_base3.dbr .\items\materia\class0008\Ranger62.dbr /y</v>
      </c>
      <c r="P64" t="str">
        <f t="shared" si="24"/>
        <v>echo relicBitmap,items/craftingparts/components/component_a52_bristlyfur_b.tex, &gt;&gt; .\items\materia\class0008\Ranger62.dbr</v>
      </c>
      <c r="Q64" t="str">
        <f t="shared" si="24"/>
        <v>echo itemCost,500000, &gt;&gt; .\items\materia\class0008\Ranger62.dbr</v>
      </c>
      <c r="R64" t="str">
        <f t="shared" si="24"/>
        <v>echo description,dailCompDescRanger62, &gt;&gt; .\items\materia\class0008\Ranger62.dbr</v>
      </c>
      <c r="S64" t="str">
        <f t="shared" si="24"/>
        <v>echo itemText,dailCompTextRanger62, &gt;&gt; .\items\materia\class0008\Ranger62.dbr</v>
      </c>
      <c r="T64" t="str">
        <f t="shared" si="24"/>
        <v>echo augmentSkillLevel1,3, &gt;&gt; .\items\materia\class0008\Ranger62.dbr</v>
      </c>
      <c r="U64" t="str">
        <f t="shared" si="24"/>
        <v>echo augmentSkillName1,records/skills/playerclass08/passive8.dbr, &gt;&gt; .\items\materia\class0008\Ranger62.dbr</v>
      </c>
      <c r="V64" s="5" t="s">
        <v>36</v>
      </c>
      <c r="W64" t="str">
        <f t="shared" si="8"/>
        <v>echo lootName62,DAIL/items/materia/class0008/Ranger62.dbr, &gt;&gt; .\items\loottables\dailoneskill0008.dbr</v>
      </c>
      <c r="X64" t="str">
        <f t="shared" si="8"/>
        <v>echo lootWeight62,1, &gt;&gt; .\items\loottables\dailoneskill0008.dbr</v>
      </c>
      <c r="Y64" s="5" t="s">
        <v>36</v>
      </c>
      <c r="Z64" t="str">
        <f t="shared" si="9"/>
        <v xml:space="preserve"> dailCompDescRanger62=^pRanger's Gift of DAIL</v>
      </c>
      <c r="AA64" t="str">
        <f t="shared" si="17"/>
        <v>dailCompTextRanger62=^oThis feels warm to the touch, almost familiar ^w(This component only fits into the Medal Slot)</v>
      </c>
      <c r="AB64" s="5" t="s">
        <v>36</v>
      </c>
      <c r="AH64">
        <f t="shared" si="19"/>
        <v>59</v>
      </c>
      <c r="AI64">
        <f t="shared" si="22"/>
        <v>27</v>
      </c>
      <c r="AJ64">
        <f t="shared" si="18"/>
        <v>3</v>
      </c>
    </row>
    <row r="65" spans="1:36" x14ac:dyDescent="0.25">
      <c r="A65" s="5" t="s">
        <v>39</v>
      </c>
      <c r="B65" s="5" t="s">
        <v>30</v>
      </c>
      <c r="C65" s="5" t="str">
        <f t="shared" si="0"/>
        <v>description,dailCompDescRanger63,</v>
      </c>
      <c r="D65" s="5" t="str">
        <f t="shared" si="2"/>
        <v>itemText,dailCompTextRanger63,</v>
      </c>
      <c r="E65" s="5" t="str">
        <f t="shared" si="14"/>
        <v>augmentSkillLevel1,3,</v>
      </c>
      <c r="F65" s="5" t="str">
        <f t="shared" si="15"/>
        <v>augmentSkillName1,records/skills/playerclass08/p_attack.dbr,</v>
      </c>
      <c r="G65" s="7">
        <f t="shared" si="10"/>
        <v>63</v>
      </c>
      <c r="H65" s="8" t="str">
        <f t="shared" si="11"/>
        <v>Ranger</v>
      </c>
      <c r="I65" s="3" t="s">
        <v>173</v>
      </c>
      <c r="J65" s="8" t="str">
        <f t="shared" si="23"/>
        <v>class0008</v>
      </c>
      <c r="K65" s="8" t="str">
        <f t="shared" si="23"/>
        <v>dailoneskill0008</v>
      </c>
      <c r="L65" s="5" t="str">
        <f t="shared" si="4"/>
        <v>lootName63,DAIL/items/materia/class0008/Ranger63.dbr,</v>
      </c>
      <c r="M65" s="5" t="str">
        <f t="shared" si="5"/>
        <v>lootWeight63,1,</v>
      </c>
      <c r="N65" t="str">
        <f t="shared" si="6"/>
        <v>3</v>
      </c>
      <c r="O65" t="str">
        <f t="shared" si="16"/>
        <v>copy .\dail_base3.dbr .\items\materia\class0008\Ranger63.dbr /y</v>
      </c>
      <c r="P65" t="str">
        <f t="shared" si="24"/>
        <v>echo relicBitmap,items/craftingparts/components/component_a52_bristlyfur_b.tex, &gt;&gt; .\items\materia\class0008\Ranger63.dbr</v>
      </c>
      <c r="Q65" t="str">
        <f t="shared" si="24"/>
        <v>echo itemCost,500000, &gt;&gt; .\items\materia\class0008\Ranger63.dbr</v>
      </c>
      <c r="R65" t="str">
        <f t="shared" si="24"/>
        <v>echo description,dailCompDescRanger63, &gt;&gt; .\items\materia\class0008\Ranger63.dbr</v>
      </c>
      <c r="S65" t="str">
        <f t="shared" si="24"/>
        <v>echo itemText,dailCompTextRanger63, &gt;&gt; .\items\materia\class0008\Ranger63.dbr</v>
      </c>
      <c r="T65" t="str">
        <f t="shared" si="24"/>
        <v>echo augmentSkillLevel1,3, &gt;&gt; .\items\materia\class0008\Ranger63.dbr</v>
      </c>
      <c r="U65" t="str">
        <f t="shared" si="24"/>
        <v>echo augmentSkillName1,records/skills/playerclass08/p_attack.dbr, &gt;&gt; .\items\materia\class0008\Ranger63.dbr</v>
      </c>
      <c r="V65" s="5" t="s">
        <v>36</v>
      </c>
      <c r="W65" t="str">
        <f t="shared" si="8"/>
        <v>echo lootName63,DAIL/items/materia/class0008/Ranger63.dbr, &gt;&gt; .\items\loottables\dailoneskill0008.dbr</v>
      </c>
      <c r="X65" t="str">
        <f t="shared" si="8"/>
        <v>echo lootWeight63,1, &gt;&gt; .\items\loottables\dailoneskill0008.dbr</v>
      </c>
      <c r="Y65" s="5" t="s">
        <v>36</v>
      </c>
      <c r="Z65" t="str">
        <f t="shared" si="9"/>
        <v xml:space="preserve"> dailCompDescRanger63=^pRanger's Gift of DAIL</v>
      </c>
      <c r="AA65" t="str">
        <f t="shared" si="17"/>
        <v>dailCompTextRanger63=^oThis feels warm to the touch, almost familiar ^w(This component only fits into the Medal Slot)</v>
      </c>
      <c r="AB65" s="5" t="s">
        <v>36</v>
      </c>
      <c r="AH65">
        <f t="shared" si="19"/>
        <v>60</v>
      </c>
      <c r="AI65">
        <f t="shared" si="22"/>
        <v>27</v>
      </c>
      <c r="AJ65">
        <f t="shared" si="18"/>
        <v>3</v>
      </c>
    </row>
    <row r="66" spans="1:36" x14ac:dyDescent="0.25">
      <c r="A66" s="5" t="s">
        <v>39</v>
      </c>
      <c r="B66" s="5" t="s">
        <v>30</v>
      </c>
      <c r="C66" s="5" t="str">
        <f t="shared" si="0"/>
        <v>description,dailCompDescRanger64,</v>
      </c>
      <c r="D66" s="5" t="str">
        <f t="shared" si="2"/>
        <v>itemText,dailCompTextRanger64,</v>
      </c>
      <c r="E66" s="5" t="str">
        <f t="shared" si="14"/>
        <v>augmentSkillLevel1,3,</v>
      </c>
      <c r="F66" s="5" t="str">
        <f t="shared" si="15"/>
        <v>augmentSkillName1,records/skills/playerclass08/pl_attack_tra.dbr,</v>
      </c>
      <c r="G66" s="7">
        <f t="shared" si="10"/>
        <v>64</v>
      </c>
      <c r="H66" s="8" t="str">
        <f t="shared" si="11"/>
        <v>Ranger</v>
      </c>
      <c r="I66" s="3" t="s">
        <v>391</v>
      </c>
      <c r="J66" s="8" t="str">
        <f t="shared" si="23"/>
        <v>class0008</v>
      </c>
      <c r="K66" s="8" t="str">
        <f t="shared" si="23"/>
        <v>dailoneskill0008</v>
      </c>
      <c r="L66" s="5" t="str">
        <f t="shared" si="4"/>
        <v>lootName64,DAIL/items/materia/class0008/Ranger64.dbr,</v>
      </c>
      <c r="M66" s="5" t="str">
        <f t="shared" si="5"/>
        <v>lootWeight64,1,</v>
      </c>
      <c r="N66" t="str">
        <f t="shared" si="6"/>
        <v>3</v>
      </c>
      <c r="O66" t="str">
        <f t="shared" si="16"/>
        <v>copy .\dail_base3.dbr .\items\materia\class0008\Ranger64.dbr /y</v>
      </c>
      <c r="P66" t="str">
        <f t="shared" si="24"/>
        <v>echo relicBitmap,items/craftingparts/components/component_a52_bristlyfur_b.tex, &gt;&gt; .\items\materia\class0008\Ranger64.dbr</v>
      </c>
      <c r="Q66" t="str">
        <f t="shared" si="24"/>
        <v>echo itemCost,500000, &gt;&gt; .\items\materia\class0008\Ranger64.dbr</v>
      </c>
      <c r="R66" t="str">
        <f t="shared" si="24"/>
        <v>echo description,dailCompDescRanger64, &gt;&gt; .\items\materia\class0008\Ranger64.dbr</v>
      </c>
      <c r="S66" t="str">
        <f t="shared" si="24"/>
        <v>echo itemText,dailCompTextRanger64, &gt;&gt; .\items\materia\class0008\Ranger64.dbr</v>
      </c>
      <c r="T66" t="str">
        <f t="shared" si="24"/>
        <v>echo augmentSkillLevel1,3, &gt;&gt; .\items\materia\class0008\Ranger64.dbr</v>
      </c>
      <c r="U66" t="str">
        <f t="shared" si="24"/>
        <v>echo augmentSkillName1,records/skills/playerclass08/pl_attack_tra.dbr, &gt;&gt; .\items\materia\class0008\Ranger64.dbr</v>
      </c>
      <c r="V66" s="5" t="s">
        <v>36</v>
      </c>
      <c r="W66" t="str">
        <f t="shared" si="8"/>
        <v>echo lootName64,DAIL/items/materia/class0008/Ranger64.dbr, &gt;&gt; .\items\loottables\dailoneskill0008.dbr</v>
      </c>
      <c r="X66" t="str">
        <f t="shared" si="8"/>
        <v>echo lootWeight64,1, &gt;&gt; .\items\loottables\dailoneskill0008.dbr</v>
      </c>
      <c r="Y66" s="5" t="s">
        <v>36</v>
      </c>
      <c r="Z66" t="str">
        <f t="shared" si="9"/>
        <v xml:space="preserve"> dailCompDescRanger64=^pRanger's Gift of DAIL</v>
      </c>
      <c r="AA66" t="str">
        <f t="shared" si="17"/>
        <v>dailCompTextRanger64=^oThis feels warm to the touch, almost familiar ^w(This component only fits into the Medal Slot)</v>
      </c>
      <c r="AB66" s="5" t="s">
        <v>36</v>
      </c>
      <c r="AH66">
        <f t="shared" si="19"/>
        <v>61</v>
      </c>
      <c r="AI66">
        <f t="shared" si="22"/>
        <v>32</v>
      </c>
      <c r="AJ66">
        <f t="shared" si="18"/>
        <v>3</v>
      </c>
    </row>
    <row r="67" spans="1:36" x14ac:dyDescent="0.25">
      <c r="A67" s="5" t="s">
        <v>39</v>
      </c>
      <c r="B67" s="5" t="s">
        <v>30</v>
      </c>
      <c r="C67" s="5" t="str">
        <f t="shared" ref="C67:C102" si="25">"description,dailCompDesc"&amp;H67&amp;G67&amp;","</f>
        <v>description,dailCompDescRanger65,</v>
      </c>
      <c r="D67" s="5" t="str">
        <f t="shared" si="2"/>
        <v>itemText,dailCompTextRanger65,</v>
      </c>
      <c r="E67" s="5" t="str">
        <f t="shared" si="14"/>
        <v>augmentSkillLevel1,3,</v>
      </c>
      <c r="F67" s="5" t="str">
        <f t="shared" si="15"/>
        <v>augmentSkillName1,records/skills/playerclass08/p_attack_mod.dbr,</v>
      </c>
      <c r="G67" s="7">
        <f t="shared" si="10"/>
        <v>65</v>
      </c>
      <c r="H67" s="8" t="str">
        <f t="shared" si="11"/>
        <v>Ranger</v>
      </c>
      <c r="I67" s="3" t="s">
        <v>392</v>
      </c>
      <c r="J67" s="8" t="str">
        <f t="shared" si="23"/>
        <v>class0008</v>
      </c>
      <c r="K67" s="8" t="str">
        <f t="shared" si="23"/>
        <v>dailoneskill0008</v>
      </c>
      <c r="L67" s="5" t="str">
        <f t="shared" si="4"/>
        <v>lootName65,DAIL/items/materia/class0008/Ranger65.dbr,</v>
      </c>
      <c r="M67" s="5" t="str">
        <f t="shared" si="5"/>
        <v>lootWeight65,1,</v>
      </c>
      <c r="N67" t="str">
        <f t="shared" si="6"/>
        <v>3</v>
      </c>
      <c r="O67" t="str">
        <f t="shared" si="16"/>
        <v>copy .\dail_base3.dbr .\items\materia\class0008\Ranger65.dbr /y</v>
      </c>
      <c r="P67" t="str">
        <f t="shared" si="24"/>
        <v>echo relicBitmap,items/craftingparts/components/component_a52_bristlyfur_b.tex, &gt;&gt; .\items\materia\class0008\Ranger65.dbr</v>
      </c>
      <c r="Q67" t="str">
        <f t="shared" si="24"/>
        <v>echo itemCost,500000, &gt;&gt; .\items\materia\class0008\Ranger65.dbr</v>
      </c>
      <c r="R67" t="str">
        <f t="shared" si="24"/>
        <v>echo description,dailCompDescRanger65, &gt;&gt; .\items\materia\class0008\Ranger65.dbr</v>
      </c>
      <c r="S67" t="str">
        <f t="shared" si="24"/>
        <v>echo itemText,dailCompTextRanger65, &gt;&gt; .\items\materia\class0008\Ranger65.dbr</v>
      </c>
      <c r="T67" t="str">
        <f t="shared" si="24"/>
        <v>echo augmentSkillLevel1,3, &gt;&gt; .\items\materia\class0008\Ranger65.dbr</v>
      </c>
      <c r="U67" t="str">
        <f t="shared" si="24"/>
        <v>echo augmentSkillName1,records/skills/playerclass08/p_attack_mod.dbr, &gt;&gt; .\items\materia\class0008\Ranger65.dbr</v>
      </c>
      <c r="V67" s="5" t="s">
        <v>36</v>
      </c>
      <c r="W67" t="str">
        <f t="shared" si="8"/>
        <v>echo lootName65,DAIL/items/materia/class0008/Ranger65.dbr, &gt;&gt; .\items\loottables\dailoneskill0008.dbr</v>
      </c>
      <c r="X67" t="str">
        <f t="shared" si="8"/>
        <v>echo lootWeight65,1, &gt;&gt; .\items\loottables\dailoneskill0008.dbr</v>
      </c>
      <c r="Y67" s="5" t="s">
        <v>36</v>
      </c>
      <c r="Z67" t="str">
        <f t="shared" si="9"/>
        <v xml:space="preserve"> dailCompDescRanger65=^pRanger's Gift of DAIL</v>
      </c>
      <c r="AA67" t="str">
        <f t="shared" si="17"/>
        <v>dailCompTextRanger65=^oThis feels warm to the touch, almost familiar ^w(This component only fits into the Medal Slot)</v>
      </c>
      <c r="AB67" s="5" t="s">
        <v>36</v>
      </c>
      <c r="AH67">
        <f t="shared" si="19"/>
        <v>62</v>
      </c>
      <c r="AI67">
        <f t="shared" si="22"/>
        <v>31</v>
      </c>
      <c r="AJ67">
        <f t="shared" si="18"/>
        <v>3</v>
      </c>
    </row>
    <row r="68" spans="1:36" x14ac:dyDescent="0.25">
      <c r="A68" s="5" t="s">
        <v>39</v>
      </c>
      <c r="B68" s="5" t="s">
        <v>30</v>
      </c>
      <c r="C68" s="5" t="str">
        <f t="shared" si="25"/>
        <v>description,dailCompDescRanger66,</v>
      </c>
      <c r="D68" s="5" t="str">
        <f t="shared" ref="D68:D102" si="26">"itemText,dailCompText"&amp;H68&amp;G68&amp;","</f>
        <v>itemText,dailCompTextRanger66,</v>
      </c>
      <c r="E68" s="5" t="str">
        <f t="shared" si="14"/>
        <v>augmentSkillLevel1,3,</v>
      </c>
      <c r="F68" s="5" t="str">
        <f t="shared" si="15"/>
        <v>augmentSkillName1,records/skills/playerclass08/mutl_attack_tra.dbr,</v>
      </c>
      <c r="G68" s="7">
        <f t="shared" si="10"/>
        <v>66</v>
      </c>
      <c r="H68" s="8" t="str">
        <f t="shared" si="11"/>
        <v>Ranger</v>
      </c>
      <c r="I68" s="3" t="s">
        <v>393</v>
      </c>
      <c r="J68" s="8" t="str">
        <f t="shared" si="23"/>
        <v>class0008</v>
      </c>
      <c r="K68" s="8" t="str">
        <f t="shared" si="23"/>
        <v>dailoneskill0008</v>
      </c>
      <c r="L68" s="5" t="str">
        <f t="shared" ref="L68:L102" si="27">"lootName"&amp;G68&amp;",DAIL/items/materia/"&amp;J68&amp;"/"&amp;H68&amp;G68&amp;".dbr"&amp;","</f>
        <v>lootName66,DAIL/items/materia/class0008/Ranger66.dbr,</v>
      </c>
      <c r="M68" s="5" t="str">
        <f t="shared" ref="M68:M102" si="28">"lootWeight"&amp;G68&amp;",1,"</f>
        <v>lootWeight66,1,</v>
      </c>
      <c r="N68" t="str">
        <f t="shared" ref="N68:N102" si="29">LEFT(RIGHT(E68,2),1)</f>
        <v>3</v>
      </c>
      <c r="O68" t="str">
        <f t="shared" si="16"/>
        <v>copy .\dail_base3.dbr .\items\materia\class0008\Ranger66.dbr /y</v>
      </c>
      <c r="P68" t="str">
        <f t="shared" si="24"/>
        <v>echo relicBitmap,items/craftingparts/components/component_a52_bristlyfur_b.tex, &gt;&gt; .\items\materia\class0008\Ranger66.dbr</v>
      </c>
      <c r="Q68" t="str">
        <f t="shared" si="24"/>
        <v>echo itemCost,500000, &gt;&gt; .\items\materia\class0008\Ranger66.dbr</v>
      </c>
      <c r="R68" t="str">
        <f t="shared" si="24"/>
        <v>echo description,dailCompDescRanger66, &gt;&gt; .\items\materia\class0008\Ranger66.dbr</v>
      </c>
      <c r="S68" t="str">
        <f t="shared" si="24"/>
        <v>echo itemText,dailCompTextRanger66, &gt;&gt; .\items\materia\class0008\Ranger66.dbr</v>
      </c>
      <c r="T68" t="str">
        <f t="shared" si="24"/>
        <v>echo augmentSkillLevel1,3, &gt;&gt; .\items\materia\class0008\Ranger66.dbr</v>
      </c>
      <c r="U68" t="str">
        <f t="shared" si="24"/>
        <v>echo augmentSkillName1,records/skills/playerclass08/mutl_attack_tra.dbr, &gt;&gt; .\items\materia\class0008\Ranger66.dbr</v>
      </c>
      <c r="V68" s="5" t="s">
        <v>36</v>
      </c>
      <c r="W68" t="str">
        <f t="shared" ref="W68:X102" si="30">IF($I68&lt;&gt;"","echo "&amp;L68&amp;" &gt;&gt; .\items\loottables\"&amp;$K68&amp;".dbr","")</f>
        <v>echo lootName66,DAIL/items/materia/class0008/Ranger66.dbr, &gt;&gt; .\items\loottables\dailoneskill0008.dbr</v>
      </c>
      <c r="X68" t="str">
        <f t="shared" si="30"/>
        <v>echo lootWeight66,1, &gt;&gt; .\items\loottables\dailoneskill0008.dbr</v>
      </c>
      <c r="Y68" s="5" t="s">
        <v>36</v>
      </c>
      <c r="Z68" t="str">
        <f t="shared" ref="Z68:Z102" si="31">IF(I67&lt;&gt;""," dailCompDesc"&amp;H68&amp;G68&amp;"=^p"&amp;H68&amp;"'s Gift of DAIL","")</f>
        <v xml:space="preserve"> dailCompDescRanger66=^pRanger's Gift of DAIL</v>
      </c>
      <c r="AA68" t="str">
        <f t="shared" si="17"/>
        <v>dailCompTextRanger66=^oThis feels warm to the touch, almost familiar ^w(This component only fits into the Medal Slot)</v>
      </c>
      <c r="AB68" s="5" t="s">
        <v>36</v>
      </c>
      <c r="AH68">
        <f t="shared" si="19"/>
        <v>63</v>
      </c>
      <c r="AI68">
        <f t="shared" si="22"/>
        <v>34</v>
      </c>
      <c r="AJ68">
        <f t="shared" si="18"/>
        <v>3</v>
      </c>
    </row>
    <row r="69" spans="1:36" x14ac:dyDescent="0.25">
      <c r="A69" s="5" t="s">
        <v>39</v>
      </c>
      <c r="B69" s="5" t="s">
        <v>30</v>
      </c>
      <c r="C69" s="5" t="str">
        <f t="shared" si="25"/>
        <v>description,dailCompDescRanger67,</v>
      </c>
      <c r="D69" s="5" t="str">
        <f t="shared" si="26"/>
        <v>itemText,dailCompTextRanger67,</v>
      </c>
      <c r="E69" s="5" t="str">
        <f t="shared" si="14"/>
        <v>augmentSkillLevel1,3,</v>
      </c>
      <c r="F69" s="5" t="str">
        <f t="shared" si="15"/>
        <v>augmentSkillName1,records/skills/playerclass08/passive4.dbr,</v>
      </c>
      <c r="G69" s="7">
        <f t="shared" ref="G69:G102" si="32">IF(I69&lt;&gt;"",G68+1,"")</f>
        <v>67</v>
      </c>
      <c r="H69" s="8" t="str">
        <f t="shared" ref="H69:H102" si="33">H68</f>
        <v>Ranger</v>
      </c>
      <c r="I69" s="3" t="s">
        <v>376</v>
      </c>
      <c r="J69" s="8" t="str">
        <f t="shared" ref="J69:K84" si="34">J68</f>
        <v>class0008</v>
      </c>
      <c r="K69" s="8" t="str">
        <f t="shared" si="34"/>
        <v>dailoneskill0008</v>
      </c>
      <c r="L69" s="5" t="str">
        <f t="shared" si="27"/>
        <v>lootName67,DAIL/items/materia/class0008/Ranger67.dbr,</v>
      </c>
      <c r="M69" s="5" t="str">
        <f t="shared" si="28"/>
        <v>lootWeight67,1,</v>
      </c>
      <c r="N69" t="str">
        <f t="shared" si="29"/>
        <v>3</v>
      </c>
      <c r="O69" t="str">
        <f t="shared" si="16"/>
        <v>copy .\dail_base3.dbr .\items\materia\class0008\Ranger67.dbr /y</v>
      </c>
      <c r="P69" t="str">
        <f t="shared" si="24"/>
        <v>echo relicBitmap,items/craftingparts/components/component_a52_bristlyfur_b.tex, &gt;&gt; .\items\materia\class0008\Ranger67.dbr</v>
      </c>
      <c r="Q69" t="str">
        <f t="shared" si="24"/>
        <v>echo itemCost,500000, &gt;&gt; .\items\materia\class0008\Ranger67.dbr</v>
      </c>
      <c r="R69" t="str">
        <f t="shared" si="24"/>
        <v>echo description,dailCompDescRanger67, &gt;&gt; .\items\materia\class0008\Ranger67.dbr</v>
      </c>
      <c r="S69" t="str">
        <f t="shared" si="24"/>
        <v>echo itemText,dailCompTextRanger67, &gt;&gt; .\items\materia\class0008\Ranger67.dbr</v>
      </c>
      <c r="T69" t="str">
        <f t="shared" si="24"/>
        <v>echo augmentSkillLevel1,3, &gt;&gt; .\items\materia\class0008\Ranger67.dbr</v>
      </c>
      <c r="U69" t="str">
        <f t="shared" si="24"/>
        <v>echo augmentSkillName1,records/skills/playerclass08/passive4.dbr, &gt;&gt; .\items\materia\class0008\Ranger67.dbr</v>
      </c>
      <c r="V69" s="5" t="s">
        <v>36</v>
      </c>
      <c r="W69" t="str">
        <f t="shared" si="30"/>
        <v>echo lootName67,DAIL/items/materia/class0008/Ranger67.dbr, &gt;&gt; .\items\loottables\dailoneskill0008.dbr</v>
      </c>
      <c r="X69" t="str">
        <f t="shared" si="30"/>
        <v>echo lootWeight67,1, &gt;&gt; .\items\loottables\dailoneskill0008.dbr</v>
      </c>
      <c r="Y69" s="5" t="s">
        <v>36</v>
      </c>
      <c r="Z69" t="str">
        <f t="shared" si="31"/>
        <v xml:space="preserve"> dailCompDescRanger67=^pRanger's Gift of DAIL</v>
      </c>
      <c r="AA69" t="str">
        <f t="shared" si="17"/>
        <v>dailCompTextRanger67=^oThis feels warm to the touch, almost familiar ^w(This component only fits into the Medal Slot)</v>
      </c>
      <c r="AB69" s="5" t="s">
        <v>36</v>
      </c>
      <c r="AH69">
        <f t="shared" si="19"/>
        <v>64</v>
      </c>
      <c r="AI69">
        <f t="shared" si="22"/>
        <v>27</v>
      </c>
      <c r="AJ69">
        <f t="shared" si="18"/>
        <v>3</v>
      </c>
    </row>
    <row r="70" spans="1:36" x14ac:dyDescent="0.25">
      <c r="A70" s="5" t="s">
        <v>39</v>
      </c>
      <c r="B70" s="5" t="s">
        <v>30</v>
      </c>
      <c r="C70" s="5" t="str">
        <f t="shared" si="25"/>
        <v>description,dailCompDescRanger68,</v>
      </c>
      <c r="D70" s="5" t="str">
        <f t="shared" si="26"/>
        <v>itemText,dailCompTextRanger68,</v>
      </c>
      <c r="E70" s="5" t="str">
        <f t="shared" si="14"/>
        <v>augmentSkillLevel1,5,</v>
      </c>
      <c r="F70" s="5" t="str">
        <f t="shared" si="15"/>
        <v>augmentSkillName1,records/skills/playerclass08/windrunner.dbr,</v>
      </c>
      <c r="G70" s="7">
        <f t="shared" si="32"/>
        <v>68</v>
      </c>
      <c r="H70" s="8" t="str">
        <f t="shared" si="33"/>
        <v>Ranger</v>
      </c>
      <c r="I70" s="3" t="s">
        <v>175</v>
      </c>
      <c r="J70" s="8" t="str">
        <f t="shared" si="34"/>
        <v>class0008</v>
      </c>
      <c r="K70" s="8" t="str">
        <f t="shared" si="34"/>
        <v>dailoneskill0008</v>
      </c>
      <c r="L70" s="5" t="str">
        <f t="shared" si="27"/>
        <v>lootName68,DAIL/items/materia/class0008/Ranger68.dbr,</v>
      </c>
      <c r="M70" s="5" t="str">
        <f t="shared" si="28"/>
        <v>lootWeight68,1,</v>
      </c>
      <c r="N70" t="str">
        <f t="shared" si="29"/>
        <v>5</v>
      </c>
      <c r="O70" t="str">
        <f t="shared" si="16"/>
        <v>copy .\dail_base3.dbr .\items\materia\class0008\Ranger68.dbr /y</v>
      </c>
      <c r="P70" t="str">
        <f t="shared" si="24"/>
        <v>echo relicBitmap,items/craftingparts/components/component_a52_bristlyfur_b.tex, &gt;&gt; .\items\materia\class0008\Ranger68.dbr</v>
      </c>
      <c r="Q70" t="str">
        <f t="shared" si="24"/>
        <v>echo itemCost,500000, &gt;&gt; .\items\materia\class0008\Ranger68.dbr</v>
      </c>
      <c r="R70" t="str">
        <f t="shared" si="24"/>
        <v>echo description,dailCompDescRanger68, &gt;&gt; .\items\materia\class0008\Ranger68.dbr</v>
      </c>
      <c r="S70" t="str">
        <f t="shared" si="24"/>
        <v>echo itemText,dailCompTextRanger68, &gt;&gt; .\items\materia\class0008\Ranger68.dbr</v>
      </c>
      <c r="T70" t="str">
        <f t="shared" si="24"/>
        <v>echo augmentSkillLevel1,5, &gt;&gt; .\items\materia\class0008\Ranger68.dbr</v>
      </c>
      <c r="U70" t="str">
        <f t="shared" si="24"/>
        <v>echo augmentSkillName1,records/skills/playerclass08/windrunner.dbr, &gt;&gt; .\items\materia\class0008\Ranger68.dbr</v>
      </c>
      <c r="V70" s="5" t="s">
        <v>36</v>
      </c>
      <c r="W70" t="str">
        <f t="shared" si="30"/>
        <v>echo lootName68,DAIL/items/materia/class0008/Ranger68.dbr, &gt;&gt; .\items\loottables\dailoneskill0008.dbr</v>
      </c>
      <c r="X70" t="str">
        <f t="shared" si="30"/>
        <v>echo lootWeight68,1, &gt;&gt; .\items\loottables\dailoneskill0008.dbr</v>
      </c>
      <c r="Y70" s="5" t="s">
        <v>36</v>
      </c>
      <c r="Z70" t="str">
        <f t="shared" si="31"/>
        <v xml:space="preserve"> dailCompDescRanger68=^pRanger's Gift of DAIL</v>
      </c>
      <c r="AA70" t="str">
        <f t="shared" si="17"/>
        <v>dailCompTextRanger68=^oThis feels warm to the touch, almost familiar ^w(This component only fits into the Medal Slot)</v>
      </c>
      <c r="AB70" s="5" t="s">
        <v>36</v>
      </c>
      <c r="AH70">
        <f t="shared" si="19"/>
        <v>65</v>
      </c>
      <c r="AI70">
        <f t="shared" ref="AI70:AI102" si="35">LEN(I70)</f>
        <v>29</v>
      </c>
      <c r="AJ70">
        <f t="shared" si="18"/>
        <v>5</v>
      </c>
    </row>
    <row r="71" spans="1:36" x14ac:dyDescent="0.25">
      <c r="A71" s="5" t="s">
        <v>39</v>
      </c>
      <c r="B71" s="5" t="s">
        <v>30</v>
      </c>
      <c r="C71" s="5" t="str">
        <f t="shared" si="25"/>
        <v>description,dailCompDescRanger69,</v>
      </c>
      <c r="D71" s="5" t="str">
        <f t="shared" si="26"/>
        <v>itemText,dailCompTextRanger69,</v>
      </c>
      <c r="E71" s="5" t="str">
        <f t="shared" ref="E71:E102" si="36">"augmentSkillLevel1,"&amp;AJ71&amp;","</f>
        <v>augmentSkillLevel1,5,</v>
      </c>
      <c r="F71" s="5" t="str">
        <f t="shared" ref="F71:F102" si="37">"augmentSkillName1,records/skills"&amp;I71&amp;","</f>
        <v>augmentSkillName1,records/skills/playerclass08/windrunner_ut.dbr,</v>
      </c>
      <c r="G71" s="7">
        <f t="shared" si="32"/>
        <v>69</v>
      </c>
      <c r="H71" s="8" t="str">
        <f t="shared" si="33"/>
        <v>Ranger</v>
      </c>
      <c r="I71" s="3" t="s">
        <v>377</v>
      </c>
      <c r="J71" s="8" t="str">
        <f t="shared" si="34"/>
        <v>class0008</v>
      </c>
      <c r="K71" s="8" t="str">
        <f t="shared" si="34"/>
        <v>dailoneskill0008</v>
      </c>
      <c r="L71" s="5" t="str">
        <f t="shared" si="27"/>
        <v>lootName69,DAIL/items/materia/class0008/Ranger69.dbr,</v>
      </c>
      <c r="M71" s="5" t="str">
        <f t="shared" si="28"/>
        <v>lootWeight69,1,</v>
      </c>
      <c r="N71" t="str">
        <f t="shared" si="29"/>
        <v>5</v>
      </c>
      <c r="O71" t="str">
        <f t="shared" ref="O71:O102" si="38">IF(I71&lt;&gt;"","copy .\"&amp;VLOOKUP(VALUE(N71),$AD$3:$AF$5,2,FALSE)&amp;" .\items\materia\"&amp;J71&amp;"\"&amp;H71&amp;G71&amp;".dbr /y"&amp;"","")</f>
        <v>copy .\dail_base3.dbr .\items\materia\class0008\Ranger69.dbr /y</v>
      </c>
      <c r="P71" t="str">
        <f t="shared" si="24"/>
        <v>echo relicBitmap,items/craftingparts/components/component_a52_bristlyfur_b.tex, &gt;&gt; .\items\materia\class0008\Ranger69.dbr</v>
      </c>
      <c r="Q71" t="str">
        <f t="shared" si="24"/>
        <v>echo itemCost,500000, &gt;&gt; .\items\materia\class0008\Ranger69.dbr</v>
      </c>
      <c r="R71" t="str">
        <f t="shared" si="24"/>
        <v>echo description,dailCompDescRanger69, &gt;&gt; .\items\materia\class0008\Ranger69.dbr</v>
      </c>
      <c r="S71" t="str">
        <f t="shared" si="24"/>
        <v>echo itemText,dailCompTextRanger69, &gt;&gt; .\items\materia\class0008\Ranger69.dbr</v>
      </c>
      <c r="T71" t="str">
        <f t="shared" si="24"/>
        <v>echo augmentSkillLevel1,5, &gt;&gt; .\items\materia\class0008\Ranger69.dbr</v>
      </c>
      <c r="U71" t="str">
        <f t="shared" si="24"/>
        <v>echo augmentSkillName1,records/skills/playerclass08/windrunner_ut.dbr, &gt;&gt; .\items\materia\class0008\Ranger69.dbr</v>
      </c>
      <c r="V71" s="5" t="s">
        <v>36</v>
      </c>
      <c r="W71" t="str">
        <f t="shared" si="30"/>
        <v>echo lootName69,DAIL/items/materia/class0008/Ranger69.dbr, &gt;&gt; .\items\loottables\dailoneskill0008.dbr</v>
      </c>
      <c r="X71" t="str">
        <f t="shared" si="30"/>
        <v>echo lootWeight69,1, &gt;&gt; .\items\loottables\dailoneskill0008.dbr</v>
      </c>
      <c r="Y71" s="5" t="s">
        <v>36</v>
      </c>
      <c r="Z71" t="str">
        <f t="shared" si="31"/>
        <v xml:space="preserve"> dailCompDescRanger69=^pRanger's Gift of DAIL</v>
      </c>
      <c r="AA71" t="str">
        <f t="shared" ref="AA71:AA102" si="39">IF(I70&lt;&gt;"","dailCompText"&amp;H71&amp;G71&amp;"=^oThis feels warm to the touch, almost familiar ^w("&amp;VLOOKUP(VALUE(N71),$AD$3:$AF$5,3,FALSE)&amp;")","")</f>
        <v>dailCompTextRanger69=^oThis feels warm to the touch, almost familiar ^w(This component only fits into the Medal Slot)</v>
      </c>
      <c r="AB71" s="5" t="s">
        <v>36</v>
      </c>
      <c r="AH71">
        <f t="shared" si="19"/>
        <v>66</v>
      </c>
      <c r="AI71">
        <f t="shared" si="35"/>
        <v>32</v>
      </c>
      <c r="AJ71">
        <f t="shared" ref="AJ71:AJ102" si="40">IF(AH71&lt;$AL$7,1,IF(AH71&lt;$AL$8,3,5))</f>
        <v>5</v>
      </c>
    </row>
    <row r="72" spans="1:36" x14ac:dyDescent="0.25">
      <c r="A72" s="5" t="s">
        <v>39</v>
      </c>
      <c r="B72" s="5" t="s">
        <v>30</v>
      </c>
      <c r="C72" s="5" t="str">
        <f t="shared" si="25"/>
        <v>description,dailCompDescRanger70,</v>
      </c>
      <c r="D72" s="5" t="str">
        <f t="shared" si="26"/>
        <v>itemText,dailCompTextRanger70,</v>
      </c>
      <c r="E72" s="5" t="str">
        <f t="shared" si="36"/>
        <v>augmentSkillLevel1,5,</v>
      </c>
      <c r="F72" s="5" t="str">
        <f t="shared" si="37"/>
        <v>augmentSkillName1,records/skills/playerclass08/windrunner_mod.dbr,</v>
      </c>
      <c r="G72" s="7">
        <f t="shared" si="32"/>
        <v>70</v>
      </c>
      <c r="H72" s="8" t="str">
        <f t="shared" si="33"/>
        <v>Ranger</v>
      </c>
      <c r="I72" s="3" t="s">
        <v>378</v>
      </c>
      <c r="J72" s="8" t="str">
        <f t="shared" si="34"/>
        <v>class0008</v>
      </c>
      <c r="K72" s="8" t="str">
        <f t="shared" si="34"/>
        <v>dailoneskill0008</v>
      </c>
      <c r="L72" s="5" t="str">
        <f t="shared" si="27"/>
        <v>lootName70,DAIL/items/materia/class0008/Ranger70.dbr,</v>
      </c>
      <c r="M72" s="5" t="str">
        <f t="shared" si="28"/>
        <v>lootWeight70,1,</v>
      </c>
      <c r="N72" t="str">
        <f t="shared" si="29"/>
        <v>5</v>
      </c>
      <c r="O72" t="str">
        <f t="shared" si="38"/>
        <v>copy .\dail_base3.dbr .\items\materia\class0008\Ranger70.dbr /y</v>
      </c>
      <c r="P72" t="str">
        <f t="shared" si="24"/>
        <v>echo relicBitmap,items/craftingparts/components/component_a52_bristlyfur_b.tex, &gt;&gt; .\items\materia\class0008\Ranger70.dbr</v>
      </c>
      <c r="Q72" t="str">
        <f t="shared" si="24"/>
        <v>echo itemCost,500000, &gt;&gt; .\items\materia\class0008\Ranger70.dbr</v>
      </c>
      <c r="R72" t="str">
        <f t="shared" si="24"/>
        <v>echo description,dailCompDescRanger70, &gt;&gt; .\items\materia\class0008\Ranger70.dbr</v>
      </c>
      <c r="S72" t="str">
        <f t="shared" si="24"/>
        <v>echo itemText,dailCompTextRanger70, &gt;&gt; .\items\materia\class0008\Ranger70.dbr</v>
      </c>
      <c r="T72" t="str">
        <f t="shared" si="24"/>
        <v>echo augmentSkillLevel1,5, &gt;&gt; .\items\materia\class0008\Ranger70.dbr</v>
      </c>
      <c r="U72" t="str">
        <f t="shared" si="24"/>
        <v>echo augmentSkillName1,records/skills/playerclass08/windrunner_mod.dbr, &gt;&gt; .\items\materia\class0008\Ranger70.dbr</v>
      </c>
      <c r="V72" s="5" t="s">
        <v>36</v>
      </c>
      <c r="W72" t="str">
        <f t="shared" si="30"/>
        <v>echo lootName70,DAIL/items/materia/class0008/Ranger70.dbr, &gt;&gt; .\items\loottables\dailoneskill0008.dbr</v>
      </c>
      <c r="X72" t="str">
        <f t="shared" si="30"/>
        <v>echo lootWeight70,1, &gt;&gt; .\items\loottables\dailoneskill0008.dbr</v>
      </c>
      <c r="Y72" s="5" t="s">
        <v>36</v>
      </c>
      <c r="Z72" t="str">
        <f t="shared" si="31"/>
        <v xml:space="preserve"> dailCompDescRanger70=^pRanger's Gift of DAIL</v>
      </c>
      <c r="AA72" t="str">
        <f t="shared" si="39"/>
        <v>dailCompTextRanger70=^oThis feels warm to the touch, almost familiar ^w(This component only fits into the Medal Slot)</v>
      </c>
      <c r="AB72" s="5" t="s">
        <v>36</v>
      </c>
      <c r="AH72">
        <f t="shared" ref="AH72:AH102" si="41">AH71+1</f>
        <v>67</v>
      </c>
      <c r="AI72">
        <f t="shared" si="35"/>
        <v>33</v>
      </c>
      <c r="AJ72">
        <f t="shared" si="40"/>
        <v>5</v>
      </c>
    </row>
    <row r="73" spans="1:36" x14ac:dyDescent="0.25">
      <c r="A73" s="5" t="s">
        <v>39</v>
      </c>
      <c r="B73" s="5" t="s">
        <v>30</v>
      </c>
      <c r="C73" s="5" t="str">
        <f t="shared" si="25"/>
        <v>description,dailCompDescRanger71,</v>
      </c>
      <c r="D73" s="5" t="str">
        <f t="shared" si="26"/>
        <v>itemText,dailCompTextRanger71,</v>
      </c>
      <c r="E73" s="5" t="str">
        <f t="shared" si="36"/>
        <v>augmentSkillLevel1,5,</v>
      </c>
      <c r="F73" s="5" t="str">
        <f t="shared" si="37"/>
        <v>augmentSkillName1,records/skills/playerclass08/ammo_storm.dbr,</v>
      </c>
      <c r="G73" s="7">
        <f t="shared" si="32"/>
        <v>71</v>
      </c>
      <c r="H73" s="8" t="str">
        <f t="shared" si="33"/>
        <v>Ranger</v>
      </c>
      <c r="I73" s="3" t="s">
        <v>167</v>
      </c>
      <c r="J73" s="8" t="str">
        <f t="shared" si="34"/>
        <v>class0008</v>
      </c>
      <c r="K73" s="8" t="str">
        <f t="shared" si="34"/>
        <v>dailoneskill0008</v>
      </c>
      <c r="L73" s="5" t="str">
        <f t="shared" si="27"/>
        <v>lootName71,DAIL/items/materia/class0008/Ranger71.dbr,</v>
      </c>
      <c r="M73" s="5" t="str">
        <f t="shared" si="28"/>
        <v>lootWeight71,1,</v>
      </c>
      <c r="N73" t="str">
        <f t="shared" si="29"/>
        <v>5</v>
      </c>
      <c r="O73" t="str">
        <f t="shared" si="38"/>
        <v>copy .\dail_base3.dbr .\items\materia\class0008\Ranger71.dbr /y</v>
      </c>
      <c r="P73" t="str">
        <f t="shared" si="24"/>
        <v>echo relicBitmap,items/craftingparts/components/component_a52_bristlyfur_b.tex, &gt;&gt; .\items\materia\class0008\Ranger71.dbr</v>
      </c>
      <c r="Q73" t="str">
        <f t="shared" si="24"/>
        <v>echo itemCost,500000, &gt;&gt; .\items\materia\class0008\Ranger71.dbr</v>
      </c>
      <c r="R73" t="str">
        <f t="shared" si="24"/>
        <v>echo description,dailCompDescRanger71, &gt;&gt; .\items\materia\class0008\Ranger71.dbr</v>
      </c>
      <c r="S73" t="str">
        <f t="shared" si="24"/>
        <v>echo itemText,dailCompTextRanger71, &gt;&gt; .\items\materia\class0008\Ranger71.dbr</v>
      </c>
      <c r="T73" t="str">
        <f t="shared" si="24"/>
        <v>echo augmentSkillLevel1,5, &gt;&gt; .\items\materia\class0008\Ranger71.dbr</v>
      </c>
      <c r="U73" t="str">
        <f t="shared" si="24"/>
        <v>echo augmentSkillName1,records/skills/playerclass08/ammo_storm.dbr, &gt;&gt; .\items\materia\class0008\Ranger71.dbr</v>
      </c>
      <c r="V73" s="5" t="s">
        <v>36</v>
      </c>
      <c r="W73" t="str">
        <f t="shared" si="30"/>
        <v>echo lootName71,DAIL/items/materia/class0008/Ranger71.dbr, &gt;&gt; .\items\loottables\dailoneskill0008.dbr</v>
      </c>
      <c r="X73" t="str">
        <f t="shared" si="30"/>
        <v>echo lootWeight71,1, &gt;&gt; .\items\loottables\dailoneskill0008.dbr</v>
      </c>
      <c r="Y73" s="5" t="s">
        <v>36</v>
      </c>
      <c r="Z73" t="str">
        <f t="shared" si="31"/>
        <v xml:space="preserve"> dailCompDescRanger71=^pRanger's Gift of DAIL</v>
      </c>
      <c r="AA73" t="str">
        <f t="shared" si="39"/>
        <v>dailCompTextRanger71=^oThis feels warm to the touch, almost familiar ^w(This component only fits into the Medal Slot)</v>
      </c>
      <c r="AB73" s="5" t="s">
        <v>36</v>
      </c>
      <c r="AH73">
        <f t="shared" si="41"/>
        <v>68</v>
      </c>
      <c r="AI73">
        <f t="shared" si="35"/>
        <v>29</v>
      </c>
      <c r="AJ73">
        <f t="shared" si="40"/>
        <v>5</v>
      </c>
    </row>
    <row r="74" spans="1:36" x14ac:dyDescent="0.25">
      <c r="A74" s="5" t="s">
        <v>39</v>
      </c>
      <c r="B74" s="5" t="s">
        <v>30</v>
      </c>
      <c r="C74" s="5" t="str">
        <f t="shared" si="25"/>
        <v>description,dailCompDescRanger72,</v>
      </c>
      <c r="D74" s="5" t="str">
        <f t="shared" si="26"/>
        <v>itemText,dailCompTextRanger72,</v>
      </c>
      <c r="E74" s="5" t="str">
        <f t="shared" si="36"/>
        <v>augmentSkillLevel1,5,</v>
      </c>
      <c r="F74" s="5" t="str">
        <f t="shared" si="37"/>
        <v>augmentSkillName1,records/skills/playerclass08/ammo_storm_mod.dbr,</v>
      </c>
      <c r="G74" s="7">
        <f t="shared" si="32"/>
        <v>72</v>
      </c>
      <c r="H74" s="8" t="str">
        <f t="shared" si="33"/>
        <v>Ranger</v>
      </c>
      <c r="I74" s="3" t="s">
        <v>379</v>
      </c>
      <c r="J74" s="8" t="str">
        <f t="shared" si="34"/>
        <v>class0008</v>
      </c>
      <c r="K74" s="8" t="str">
        <f t="shared" si="34"/>
        <v>dailoneskill0008</v>
      </c>
      <c r="L74" s="5" t="str">
        <f t="shared" si="27"/>
        <v>lootName72,DAIL/items/materia/class0008/Ranger72.dbr,</v>
      </c>
      <c r="M74" s="5" t="str">
        <f t="shared" si="28"/>
        <v>lootWeight72,1,</v>
      </c>
      <c r="N74" t="str">
        <f t="shared" si="29"/>
        <v>5</v>
      </c>
      <c r="O74" t="str">
        <f t="shared" si="38"/>
        <v>copy .\dail_base3.dbr .\items\materia\class0008\Ranger72.dbr /y</v>
      </c>
      <c r="P74" t="str">
        <f t="shared" si="24"/>
        <v>echo relicBitmap,items/craftingparts/components/component_a52_bristlyfur_b.tex, &gt;&gt; .\items\materia\class0008\Ranger72.dbr</v>
      </c>
      <c r="Q74" t="str">
        <f t="shared" si="24"/>
        <v>echo itemCost,500000, &gt;&gt; .\items\materia\class0008\Ranger72.dbr</v>
      </c>
      <c r="R74" t="str">
        <f t="shared" si="24"/>
        <v>echo description,dailCompDescRanger72, &gt;&gt; .\items\materia\class0008\Ranger72.dbr</v>
      </c>
      <c r="S74" t="str">
        <f t="shared" si="24"/>
        <v>echo itemText,dailCompTextRanger72, &gt;&gt; .\items\materia\class0008\Ranger72.dbr</v>
      </c>
      <c r="T74" t="str">
        <f t="shared" si="24"/>
        <v>echo augmentSkillLevel1,5, &gt;&gt; .\items\materia\class0008\Ranger72.dbr</v>
      </c>
      <c r="U74" t="str">
        <f t="shared" si="24"/>
        <v>echo augmentSkillName1,records/skills/playerclass08/ammo_storm_mod.dbr, &gt;&gt; .\items\materia\class0008\Ranger72.dbr</v>
      </c>
      <c r="V74" s="5" t="s">
        <v>36</v>
      </c>
      <c r="W74" t="str">
        <f t="shared" si="30"/>
        <v>echo lootName72,DAIL/items/materia/class0008/Ranger72.dbr, &gt;&gt; .\items\loottables\dailoneskill0008.dbr</v>
      </c>
      <c r="X74" t="str">
        <f t="shared" si="30"/>
        <v>echo lootWeight72,1, &gt;&gt; .\items\loottables\dailoneskill0008.dbr</v>
      </c>
      <c r="Y74" s="5" t="s">
        <v>36</v>
      </c>
      <c r="Z74" t="str">
        <f t="shared" si="31"/>
        <v xml:space="preserve"> dailCompDescRanger72=^pRanger's Gift of DAIL</v>
      </c>
      <c r="AA74" t="str">
        <f t="shared" si="39"/>
        <v>dailCompTextRanger72=^oThis feels warm to the touch, almost familiar ^w(This component only fits into the Medal Slot)</v>
      </c>
      <c r="AB74" s="5" t="s">
        <v>36</v>
      </c>
      <c r="AH74">
        <f t="shared" si="41"/>
        <v>69</v>
      </c>
      <c r="AI74">
        <f t="shared" si="35"/>
        <v>33</v>
      </c>
      <c r="AJ74">
        <f t="shared" si="40"/>
        <v>5</v>
      </c>
    </row>
    <row r="75" spans="1:36" x14ac:dyDescent="0.25">
      <c r="A75" s="5" t="s">
        <v>39</v>
      </c>
      <c r="B75" s="5" t="s">
        <v>30</v>
      </c>
      <c r="C75" s="5" t="str">
        <f t="shared" si="25"/>
        <v>description,dailCompDescRanger73,</v>
      </c>
      <c r="D75" s="5" t="str">
        <f t="shared" si="26"/>
        <v>itemText,dailCompTextRanger73,</v>
      </c>
      <c r="E75" s="5" t="str">
        <f t="shared" si="36"/>
        <v>augmentSkillLevel1,5,</v>
      </c>
      <c r="F75" s="5" t="str">
        <f t="shared" si="37"/>
        <v>augmentSkillName1,records/skills/playerclass08/ammo_storm_tra.dbr,</v>
      </c>
      <c r="G75" s="7">
        <f t="shared" si="32"/>
        <v>73</v>
      </c>
      <c r="H75" s="8" t="str">
        <f t="shared" si="33"/>
        <v>Ranger</v>
      </c>
      <c r="I75" s="3" t="s">
        <v>380</v>
      </c>
      <c r="J75" s="8" t="str">
        <f t="shared" si="34"/>
        <v>class0008</v>
      </c>
      <c r="K75" s="8" t="str">
        <f t="shared" si="34"/>
        <v>dailoneskill0008</v>
      </c>
      <c r="L75" s="5" t="str">
        <f t="shared" si="27"/>
        <v>lootName73,DAIL/items/materia/class0008/Ranger73.dbr,</v>
      </c>
      <c r="M75" s="5" t="str">
        <f t="shared" si="28"/>
        <v>lootWeight73,1,</v>
      </c>
      <c r="N75" t="str">
        <f t="shared" si="29"/>
        <v>5</v>
      </c>
      <c r="O75" t="str">
        <f t="shared" si="38"/>
        <v>copy .\dail_base3.dbr .\items\materia\class0008\Ranger73.dbr /y</v>
      </c>
      <c r="P75" t="str">
        <f t="shared" si="24"/>
        <v>echo relicBitmap,items/craftingparts/components/component_a52_bristlyfur_b.tex, &gt;&gt; .\items\materia\class0008\Ranger73.dbr</v>
      </c>
      <c r="Q75" t="str">
        <f t="shared" si="24"/>
        <v>echo itemCost,500000, &gt;&gt; .\items\materia\class0008\Ranger73.dbr</v>
      </c>
      <c r="R75" t="str">
        <f t="shared" si="24"/>
        <v>echo description,dailCompDescRanger73, &gt;&gt; .\items\materia\class0008\Ranger73.dbr</v>
      </c>
      <c r="S75" t="str">
        <f t="shared" si="24"/>
        <v>echo itemText,dailCompTextRanger73, &gt;&gt; .\items\materia\class0008\Ranger73.dbr</v>
      </c>
      <c r="T75" t="str">
        <f t="shared" si="24"/>
        <v>echo augmentSkillLevel1,5, &gt;&gt; .\items\materia\class0008\Ranger73.dbr</v>
      </c>
      <c r="U75" t="str">
        <f t="shared" si="24"/>
        <v>echo augmentSkillName1,records/skills/playerclass08/ammo_storm_tra.dbr, &gt;&gt; .\items\materia\class0008\Ranger73.dbr</v>
      </c>
      <c r="V75" s="5" t="s">
        <v>36</v>
      </c>
      <c r="W75" t="str">
        <f t="shared" si="30"/>
        <v>echo lootName73,DAIL/items/materia/class0008/Ranger73.dbr, &gt;&gt; .\items\loottables\dailoneskill0008.dbr</v>
      </c>
      <c r="X75" t="str">
        <f t="shared" si="30"/>
        <v>echo lootWeight73,1, &gt;&gt; .\items\loottables\dailoneskill0008.dbr</v>
      </c>
      <c r="Y75" s="5" t="s">
        <v>36</v>
      </c>
      <c r="Z75" t="str">
        <f t="shared" si="31"/>
        <v xml:space="preserve"> dailCompDescRanger73=^pRanger's Gift of DAIL</v>
      </c>
      <c r="AA75" t="str">
        <f t="shared" si="39"/>
        <v>dailCompTextRanger73=^oThis feels warm to the touch, almost familiar ^w(This component only fits into the Medal Slot)</v>
      </c>
      <c r="AB75" s="5" t="s">
        <v>36</v>
      </c>
      <c r="AH75">
        <f t="shared" si="41"/>
        <v>70</v>
      </c>
      <c r="AI75">
        <f t="shared" si="35"/>
        <v>33</v>
      </c>
      <c r="AJ75">
        <f t="shared" si="40"/>
        <v>5</v>
      </c>
    </row>
    <row r="76" spans="1:36" x14ac:dyDescent="0.25">
      <c r="A76" s="5" t="s">
        <v>39</v>
      </c>
      <c r="B76" s="5" t="s">
        <v>30</v>
      </c>
      <c r="C76" s="5" t="str">
        <f t="shared" si="25"/>
        <v>description,dailCompDescRanger74,</v>
      </c>
      <c r="D76" s="5" t="str">
        <f t="shared" si="26"/>
        <v>itemText,dailCompTextRanger74,</v>
      </c>
      <c r="E76" s="5" t="str">
        <f t="shared" si="36"/>
        <v>augmentSkillLevel1,5,</v>
      </c>
      <c r="F76" s="5" t="str">
        <f t="shared" si="37"/>
        <v>augmentSkillName1,records/skills/playerclass08/avoid.dbr,</v>
      </c>
      <c r="G76" s="7">
        <f t="shared" si="32"/>
        <v>74</v>
      </c>
      <c r="H76" s="8" t="str">
        <f t="shared" si="33"/>
        <v>Ranger</v>
      </c>
      <c r="I76" s="3" t="s">
        <v>381</v>
      </c>
      <c r="J76" s="8" t="str">
        <f t="shared" si="34"/>
        <v>class0008</v>
      </c>
      <c r="K76" s="8" t="str">
        <f t="shared" si="34"/>
        <v>dailoneskill0008</v>
      </c>
      <c r="L76" s="5" t="str">
        <f t="shared" si="27"/>
        <v>lootName74,DAIL/items/materia/class0008/Ranger74.dbr,</v>
      </c>
      <c r="M76" s="5" t="str">
        <f t="shared" si="28"/>
        <v>lootWeight74,1,</v>
      </c>
      <c r="N76" t="str">
        <f t="shared" si="29"/>
        <v>5</v>
      </c>
      <c r="O76" t="str">
        <f t="shared" si="38"/>
        <v>copy .\dail_base3.dbr .\items\materia\class0008\Ranger74.dbr /y</v>
      </c>
      <c r="P76" t="str">
        <f t="shared" si="24"/>
        <v>echo relicBitmap,items/craftingparts/components/component_a52_bristlyfur_b.tex, &gt;&gt; .\items\materia\class0008\Ranger74.dbr</v>
      </c>
      <c r="Q76" t="str">
        <f t="shared" si="24"/>
        <v>echo itemCost,500000, &gt;&gt; .\items\materia\class0008\Ranger74.dbr</v>
      </c>
      <c r="R76" t="str">
        <f t="shared" si="24"/>
        <v>echo description,dailCompDescRanger74, &gt;&gt; .\items\materia\class0008\Ranger74.dbr</v>
      </c>
      <c r="S76" t="str">
        <f t="shared" si="24"/>
        <v>echo itemText,dailCompTextRanger74, &gt;&gt; .\items\materia\class0008\Ranger74.dbr</v>
      </c>
      <c r="T76" t="str">
        <f t="shared" si="24"/>
        <v>echo augmentSkillLevel1,5, &gt;&gt; .\items\materia\class0008\Ranger74.dbr</v>
      </c>
      <c r="U76" t="str">
        <f t="shared" si="24"/>
        <v>echo augmentSkillName1,records/skills/playerclass08/avoid.dbr, &gt;&gt; .\items\materia\class0008\Ranger74.dbr</v>
      </c>
      <c r="V76" s="5" t="s">
        <v>36</v>
      </c>
      <c r="W76" t="str">
        <f t="shared" si="30"/>
        <v>echo lootName74,DAIL/items/materia/class0008/Ranger74.dbr, &gt;&gt; .\items\loottables\dailoneskill0008.dbr</v>
      </c>
      <c r="X76" t="str">
        <f t="shared" si="30"/>
        <v>echo lootWeight74,1, &gt;&gt; .\items\loottables\dailoneskill0008.dbr</v>
      </c>
      <c r="Y76" s="5" t="s">
        <v>36</v>
      </c>
      <c r="Z76" t="str">
        <f t="shared" si="31"/>
        <v xml:space="preserve"> dailCompDescRanger74=^pRanger's Gift of DAIL</v>
      </c>
      <c r="AA76" t="str">
        <f t="shared" si="39"/>
        <v>dailCompTextRanger74=^oThis feels warm to the touch, almost familiar ^w(This component only fits into the Medal Slot)</v>
      </c>
      <c r="AB76" s="5" t="s">
        <v>36</v>
      </c>
      <c r="AH76">
        <f t="shared" si="41"/>
        <v>71</v>
      </c>
      <c r="AI76">
        <f t="shared" si="35"/>
        <v>24</v>
      </c>
      <c r="AJ76">
        <f t="shared" si="40"/>
        <v>5</v>
      </c>
    </row>
    <row r="77" spans="1:36" x14ac:dyDescent="0.25">
      <c r="A77" s="5" t="s">
        <v>39</v>
      </c>
      <c r="B77" s="5" t="s">
        <v>30</v>
      </c>
      <c r="C77" s="5" t="str">
        <f t="shared" si="25"/>
        <v>description,dailCompDescRanger75,</v>
      </c>
      <c r="D77" s="5" t="str">
        <f t="shared" si="26"/>
        <v>itemText,dailCompTextRanger75,</v>
      </c>
      <c r="E77" s="5" t="str">
        <f t="shared" si="36"/>
        <v>augmentSkillLevel1,5,</v>
      </c>
      <c r="F77" s="5" t="str">
        <f t="shared" si="37"/>
        <v>augmentSkillName1,records/skills/playerclass08/coup_de_grace.dbr,</v>
      </c>
      <c r="G77" s="7">
        <f t="shared" si="32"/>
        <v>75</v>
      </c>
      <c r="H77" s="8" t="str">
        <f t="shared" si="33"/>
        <v>Ranger</v>
      </c>
      <c r="I77" s="3" t="s">
        <v>168</v>
      </c>
      <c r="J77" s="8" t="str">
        <f t="shared" si="34"/>
        <v>class0008</v>
      </c>
      <c r="K77" s="8" t="str">
        <f t="shared" si="34"/>
        <v>dailoneskill0008</v>
      </c>
      <c r="L77" s="5" t="str">
        <f t="shared" si="27"/>
        <v>lootName75,DAIL/items/materia/class0008/Ranger75.dbr,</v>
      </c>
      <c r="M77" s="5" t="str">
        <f t="shared" si="28"/>
        <v>lootWeight75,1,</v>
      </c>
      <c r="N77" t="str">
        <f t="shared" si="29"/>
        <v>5</v>
      </c>
      <c r="O77" t="str">
        <f t="shared" si="38"/>
        <v>copy .\dail_base3.dbr .\items\materia\class0008\Ranger75.dbr /y</v>
      </c>
      <c r="P77" t="str">
        <f t="shared" si="24"/>
        <v>echo relicBitmap,items/craftingparts/components/component_a52_bristlyfur_b.tex, &gt;&gt; .\items\materia\class0008\Ranger75.dbr</v>
      </c>
      <c r="Q77" t="str">
        <f t="shared" si="24"/>
        <v>echo itemCost,500000, &gt;&gt; .\items\materia\class0008\Ranger75.dbr</v>
      </c>
      <c r="R77" t="str">
        <f t="shared" si="24"/>
        <v>echo description,dailCompDescRanger75, &gt;&gt; .\items\materia\class0008\Ranger75.dbr</v>
      </c>
      <c r="S77" t="str">
        <f t="shared" si="24"/>
        <v>echo itemText,dailCompTextRanger75, &gt;&gt; .\items\materia\class0008\Ranger75.dbr</v>
      </c>
      <c r="T77" t="str">
        <f t="shared" si="24"/>
        <v>echo augmentSkillLevel1,5, &gt;&gt; .\items\materia\class0008\Ranger75.dbr</v>
      </c>
      <c r="U77" t="str">
        <f t="shared" si="24"/>
        <v>echo augmentSkillName1,records/skills/playerclass08/coup_de_grace.dbr, &gt;&gt; .\items\materia\class0008\Ranger75.dbr</v>
      </c>
      <c r="V77" s="5" t="s">
        <v>36</v>
      </c>
      <c r="W77" t="str">
        <f t="shared" si="30"/>
        <v>echo lootName75,DAIL/items/materia/class0008/Ranger75.dbr, &gt;&gt; .\items\loottables\dailoneskill0008.dbr</v>
      </c>
      <c r="X77" t="str">
        <f t="shared" si="30"/>
        <v>echo lootWeight75,1, &gt;&gt; .\items\loottables\dailoneskill0008.dbr</v>
      </c>
      <c r="Y77" s="5" t="s">
        <v>36</v>
      </c>
      <c r="Z77" t="str">
        <f t="shared" si="31"/>
        <v xml:space="preserve"> dailCompDescRanger75=^pRanger's Gift of DAIL</v>
      </c>
      <c r="AA77" t="str">
        <f t="shared" si="39"/>
        <v>dailCompTextRanger75=^oThis feels warm to the touch, almost familiar ^w(This component only fits into the Medal Slot)</v>
      </c>
      <c r="AB77" s="5" t="s">
        <v>36</v>
      </c>
      <c r="AH77">
        <f t="shared" si="41"/>
        <v>72</v>
      </c>
      <c r="AI77">
        <f t="shared" si="35"/>
        <v>32</v>
      </c>
      <c r="AJ77">
        <f t="shared" si="40"/>
        <v>5</v>
      </c>
    </row>
    <row r="78" spans="1:36" x14ac:dyDescent="0.25">
      <c r="A78" s="5" t="s">
        <v>39</v>
      </c>
      <c r="B78" s="5" t="s">
        <v>30</v>
      </c>
      <c r="C78" s="5" t="str">
        <f t="shared" si="25"/>
        <v>description,dailCompDescRanger76,</v>
      </c>
      <c r="D78" s="5" t="str">
        <f t="shared" si="26"/>
        <v>itemText,dailCompTextRanger76,</v>
      </c>
      <c r="E78" s="5" t="str">
        <f t="shared" si="36"/>
        <v>augmentSkillLevel1,5,</v>
      </c>
      <c r="F78" s="5" t="str">
        <f t="shared" si="37"/>
        <v>augmentSkillName1,records/skills/playerclass08/coup_de_grace_mod.dbr,</v>
      </c>
      <c r="G78" s="7">
        <f t="shared" si="32"/>
        <v>76</v>
      </c>
      <c r="H78" s="8" t="str">
        <f t="shared" si="33"/>
        <v>Ranger</v>
      </c>
      <c r="I78" s="3" t="s">
        <v>382</v>
      </c>
      <c r="J78" s="8" t="str">
        <f t="shared" si="34"/>
        <v>class0008</v>
      </c>
      <c r="K78" s="8" t="str">
        <f t="shared" si="34"/>
        <v>dailoneskill0008</v>
      </c>
      <c r="L78" s="5" t="str">
        <f t="shared" si="27"/>
        <v>lootName76,DAIL/items/materia/class0008/Ranger76.dbr,</v>
      </c>
      <c r="M78" s="5" t="str">
        <f t="shared" si="28"/>
        <v>lootWeight76,1,</v>
      </c>
      <c r="N78" t="str">
        <f t="shared" si="29"/>
        <v>5</v>
      </c>
      <c r="O78" t="str">
        <f t="shared" si="38"/>
        <v>copy .\dail_base3.dbr .\items\materia\class0008\Ranger76.dbr /y</v>
      </c>
      <c r="P78" t="str">
        <f t="shared" si="24"/>
        <v>echo relicBitmap,items/craftingparts/components/component_a52_bristlyfur_b.tex, &gt;&gt; .\items\materia\class0008\Ranger76.dbr</v>
      </c>
      <c r="Q78" t="str">
        <f t="shared" si="24"/>
        <v>echo itemCost,500000, &gt;&gt; .\items\materia\class0008\Ranger76.dbr</v>
      </c>
      <c r="R78" t="str">
        <f t="shared" si="24"/>
        <v>echo description,dailCompDescRanger76, &gt;&gt; .\items\materia\class0008\Ranger76.dbr</v>
      </c>
      <c r="S78" t="str">
        <f t="shared" si="24"/>
        <v>echo itemText,dailCompTextRanger76, &gt;&gt; .\items\materia\class0008\Ranger76.dbr</v>
      </c>
      <c r="T78" t="str">
        <f t="shared" si="24"/>
        <v>echo augmentSkillLevel1,5, &gt;&gt; .\items\materia\class0008\Ranger76.dbr</v>
      </c>
      <c r="U78" t="str">
        <f t="shared" si="24"/>
        <v>echo augmentSkillName1,records/skills/playerclass08/coup_de_grace_mod.dbr, &gt;&gt; .\items\materia\class0008\Ranger76.dbr</v>
      </c>
      <c r="V78" s="5" t="s">
        <v>36</v>
      </c>
      <c r="W78" t="str">
        <f t="shared" si="30"/>
        <v>echo lootName76,DAIL/items/materia/class0008/Ranger76.dbr, &gt;&gt; .\items\loottables\dailoneskill0008.dbr</v>
      </c>
      <c r="X78" t="str">
        <f t="shared" si="30"/>
        <v>echo lootWeight76,1, &gt;&gt; .\items\loottables\dailoneskill0008.dbr</v>
      </c>
      <c r="Y78" s="5" t="s">
        <v>36</v>
      </c>
      <c r="Z78" t="str">
        <f t="shared" si="31"/>
        <v xml:space="preserve"> dailCompDescRanger76=^pRanger's Gift of DAIL</v>
      </c>
      <c r="AA78" t="str">
        <f t="shared" si="39"/>
        <v>dailCompTextRanger76=^oThis feels warm to the touch, almost familiar ^w(This component only fits into the Medal Slot)</v>
      </c>
      <c r="AB78" s="5" t="s">
        <v>36</v>
      </c>
      <c r="AH78">
        <f t="shared" si="41"/>
        <v>73</v>
      </c>
      <c r="AI78">
        <f t="shared" si="35"/>
        <v>36</v>
      </c>
      <c r="AJ78">
        <f t="shared" si="40"/>
        <v>5</v>
      </c>
    </row>
    <row r="79" spans="1:36" x14ac:dyDescent="0.25">
      <c r="A79" s="5" t="s">
        <v>39</v>
      </c>
      <c r="B79" s="5" t="s">
        <v>30</v>
      </c>
      <c r="C79" s="5" t="str">
        <f t="shared" si="25"/>
        <v>description,dailCompDescRanger77,</v>
      </c>
      <c r="D79" s="5" t="str">
        <f t="shared" si="26"/>
        <v>itemText,dailCompTextRanger77,</v>
      </c>
      <c r="E79" s="5" t="str">
        <f t="shared" si="36"/>
        <v>augmentSkillLevel1,5,</v>
      </c>
      <c r="F79" s="5" t="str">
        <f t="shared" si="37"/>
        <v>augmentSkillName1,records/skills/playerclass08/mult_attack.dbr,</v>
      </c>
      <c r="G79" s="7">
        <f t="shared" si="32"/>
        <v>77</v>
      </c>
      <c r="H79" s="8" t="str">
        <f t="shared" si="33"/>
        <v>Ranger</v>
      </c>
      <c r="I79" s="3" t="s">
        <v>172</v>
      </c>
      <c r="J79" s="8" t="str">
        <f t="shared" si="34"/>
        <v>class0008</v>
      </c>
      <c r="K79" s="8" t="str">
        <f t="shared" si="34"/>
        <v>dailoneskill0008</v>
      </c>
      <c r="L79" s="5" t="str">
        <f t="shared" si="27"/>
        <v>lootName77,DAIL/items/materia/class0008/Ranger77.dbr,</v>
      </c>
      <c r="M79" s="5" t="str">
        <f t="shared" si="28"/>
        <v>lootWeight77,1,</v>
      </c>
      <c r="N79" t="str">
        <f t="shared" si="29"/>
        <v>5</v>
      </c>
      <c r="O79" t="str">
        <f t="shared" si="38"/>
        <v>copy .\dail_base3.dbr .\items\materia\class0008\Ranger77.dbr /y</v>
      </c>
      <c r="P79" t="str">
        <f t="shared" si="24"/>
        <v>echo relicBitmap,items/craftingparts/components/component_a52_bristlyfur_b.tex, &gt;&gt; .\items\materia\class0008\Ranger77.dbr</v>
      </c>
      <c r="Q79" t="str">
        <f t="shared" si="24"/>
        <v>echo itemCost,500000, &gt;&gt; .\items\materia\class0008\Ranger77.dbr</v>
      </c>
      <c r="R79" t="str">
        <f t="shared" si="24"/>
        <v>echo description,dailCompDescRanger77, &gt;&gt; .\items\materia\class0008\Ranger77.dbr</v>
      </c>
      <c r="S79" t="str">
        <f t="shared" si="24"/>
        <v>echo itemText,dailCompTextRanger77, &gt;&gt; .\items\materia\class0008\Ranger77.dbr</v>
      </c>
      <c r="T79" t="str">
        <f t="shared" si="24"/>
        <v>echo augmentSkillLevel1,5, &gt;&gt; .\items\materia\class0008\Ranger77.dbr</v>
      </c>
      <c r="U79" t="str">
        <f t="shared" si="24"/>
        <v>echo augmentSkillName1,records/skills/playerclass08/mult_attack.dbr, &gt;&gt; .\items\materia\class0008\Ranger77.dbr</v>
      </c>
      <c r="V79" s="5" t="s">
        <v>36</v>
      </c>
      <c r="W79" t="str">
        <f t="shared" si="30"/>
        <v>echo lootName77,DAIL/items/materia/class0008/Ranger77.dbr, &gt;&gt; .\items\loottables\dailoneskill0008.dbr</v>
      </c>
      <c r="X79" t="str">
        <f t="shared" si="30"/>
        <v>echo lootWeight77,1, &gt;&gt; .\items\loottables\dailoneskill0008.dbr</v>
      </c>
      <c r="Y79" s="5" t="s">
        <v>36</v>
      </c>
      <c r="Z79" t="str">
        <f t="shared" si="31"/>
        <v xml:space="preserve"> dailCompDescRanger77=^pRanger's Gift of DAIL</v>
      </c>
      <c r="AA79" t="str">
        <f t="shared" si="39"/>
        <v>dailCompTextRanger77=^oThis feels warm to the touch, almost familiar ^w(This component only fits into the Medal Slot)</v>
      </c>
      <c r="AB79" s="5" t="s">
        <v>36</v>
      </c>
      <c r="AH79">
        <f t="shared" si="41"/>
        <v>74</v>
      </c>
      <c r="AI79">
        <f t="shared" si="35"/>
        <v>30</v>
      </c>
      <c r="AJ79">
        <f t="shared" si="40"/>
        <v>5</v>
      </c>
    </row>
    <row r="80" spans="1:36" x14ac:dyDescent="0.25">
      <c r="A80" s="5" t="s">
        <v>39</v>
      </c>
      <c r="B80" s="5" t="s">
        <v>30</v>
      </c>
      <c r="C80" s="5" t="str">
        <f t="shared" si="25"/>
        <v>description,dailCompDescRanger78,</v>
      </c>
      <c r="D80" s="5" t="str">
        <f t="shared" si="26"/>
        <v>itemText,dailCompTextRanger78,</v>
      </c>
      <c r="E80" s="5" t="str">
        <f t="shared" si="36"/>
        <v>augmentSkillLevel1,5,</v>
      </c>
      <c r="F80" s="5" t="str">
        <f t="shared" si="37"/>
        <v>augmentSkillName1,records/skills/playerclass08/coup_mod.dbr,</v>
      </c>
      <c r="G80" s="7">
        <f t="shared" si="32"/>
        <v>78</v>
      </c>
      <c r="H80" s="8" t="str">
        <f t="shared" si="33"/>
        <v>Ranger</v>
      </c>
      <c r="I80" s="3" t="s">
        <v>169</v>
      </c>
      <c r="J80" s="8" t="str">
        <f t="shared" si="34"/>
        <v>class0008</v>
      </c>
      <c r="K80" s="8" t="str">
        <f t="shared" si="34"/>
        <v>dailoneskill0008</v>
      </c>
      <c r="L80" s="5" t="str">
        <f t="shared" si="27"/>
        <v>lootName78,DAIL/items/materia/class0008/Ranger78.dbr,</v>
      </c>
      <c r="M80" s="5" t="str">
        <f t="shared" si="28"/>
        <v>lootWeight78,1,</v>
      </c>
      <c r="N80" t="str">
        <f t="shared" si="29"/>
        <v>5</v>
      </c>
      <c r="O80" t="str">
        <f t="shared" si="38"/>
        <v>copy .\dail_base3.dbr .\items\materia\class0008\Ranger78.dbr /y</v>
      </c>
      <c r="P80" t="str">
        <f t="shared" si="24"/>
        <v>echo relicBitmap,items/craftingparts/components/component_a52_bristlyfur_b.tex, &gt;&gt; .\items\materia\class0008\Ranger78.dbr</v>
      </c>
      <c r="Q80" t="str">
        <f t="shared" si="24"/>
        <v>echo itemCost,500000, &gt;&gt; .\items\materia\class0008\Ranger78.dbr</v>
      </c>
      <c r="R80" t="str">
        <f t="shared" si="24"/>
        <v>echo description,dailCompDescRanger78, &gt;&gt; .\items\materia\class0008\Ranger78.dbr</v>
      </c>
      <c r="S80" t="str">
        <f t="shared" si="24"/>
        <v>echo itemText,dailCompTextRanger78, &gt;&gt; .\items\materia\class0008\Ranger78.dbr</v>
      </c>
      <c r="T80" t="str">
        <f t="shared" si="24"/>
        <v>echo augmentSkillLevel1,5, &gt;&gt; .\items\materia\class0008\Ranger78.dbr</v>
      </c>
      <c r="U80" t="str">
        <f t="shared" si="24"/>
        <v>echo augmentSkillName1,records/skills/playerclass08/coup_mod.dbr, &gt;&gt; .\items\materia\class0008\Ranger78.dbr</v>
      </c>
      <c r="V80" s="5" t="s">
        <v>36</v>
      </c>
      <c r="W80" t="str">
        <f t="shared" si="30"/>
        <v>echo lootName78,DAIL/items/materia/class0008/Ranger78.dbr, &gt;&gt; .\items\loottables\dailoneskill0008.dbr</v>
      </c>
      <c r="X80" t="str">
        <f t="shared" si="30"/>
        <v>echo lootWeight78,1, &gt;&gt; .\items\loottables\dailoneskill0008.dbr</v>
      </c>
      <c r="Y80" s="5" t="s">
        <v>36</v>
      </c>
      <c r="Z80" t="str">
        <f t="shared" si="31"/>
        <v xml:space="preserve"> dailCompDescRanger78=^pRanger's Gift of DAIL</v>
      </c>
      <c r="AA80" t="str">
        <f t="shared" si="39"/>
        <v>dailCompTextRanger78=^oThis feels warm to the touch, almost familiar ^w(This component only fits into the Medal Slot)</v>
      </c>
      <c r="AB80" s="5" t="s">
        <v>36</v>
      </c>
      <c r="AH80">
        <f t="shared" si="41"/>
        <v>75</v>
      </c>
      <c r="AI80">
        <f t="shared" si="35"/>
        <v>27</v>
      </c>
      <c r="AJ80">
        <f t="shared" si="40"/>
        <v>5</v>
      </c>
    </row>
    <row r="81" spans="1:36" x14ac:dyDescent="0.25">
      <c r="A81" s="5" t="s">
        <v>39</v>
      </c>
      <c r="B81" s="5" t="s">
        <v>30</v>
      </c>
      <c r="C81" s="5" t="str">
        <f t="shared" si="25"/>
        <v>description,dailCompDescRanger79,</v>
      </c>
      <c r="D81" s="5" t="str">
        <f t="shared" si="26"/>
        <v>itemText,dailCompTextRanger79,</v>
      </c>
      <c r="E81" s="5" t="str">
        <f t="shared" si="36"/>
        <v>augmentSkillLevel1,5,</v>
      </c>
      <c r="F81" s="5" t="str">
        <f t="shared" si="37"/>
        <v>augmentSkillName1,records/skills/playerclass08/windrunner_ut.dbr,</v>
      </c>
      <c r="G81" s="7">
        <f t="shared" si="32"/>
        <v>79</v>
      </c>
      <c r="H81" s="8" t="str">
        <f t="shared" si="33"/>
        <v>Ranger</v>
      </c>
      <c r="I81" s="3" t="s">
        <v>377</v>
      </c>
      <c r="J81" s="8" t="str">
        <f t="shared" si="34"/>
        <v>class0008</v>
      </c>
      <c r="K81" s="8" t="str">
        <f t="shared" si="34"/>
        <v>dailoneskill0008</v>
      </c>
      <c r="L81" s="5" t="str">
        <f t="shared" si="27"/>
        <v>lootName79,DAIL/items/materia/class0008/Ranger79.dbr,</v>
      </c>
      <c r="M81" s="5" t="str">
        <f t="shared" si="28"/>
        <v>lootWeight79,1,</v>
      </c>
      <c r="N81" t="str">
        <f t="shared" si="29"/>
        <v>5</v>
      </c>
      <c r="O81" t="str">
        <f t="shared" si="38"/>
        <v>copy .\dail_base3.dbr .\items\materia\class0008\Ranger79.dbr /y</v>
      </c>
      <c r="P81" t="str">
        <f t="shared" si="24"/>
        <v>echo relicBitmap,items/craftingparts/components/component_a52_bristlyfur_b.tex, &gt;&gt; .\items\materia\class0008\Ranger79.dbr</v>
      </c>
      <c r="Q81" t="str">
        <f t="shared" si="24"/>
        <v>echo itemCost,500000, &gt;&gt; .\items\materia\class0008\Ranger79.dbr</v>
      </c>
      <c r="R81" t="str">
        <f t="shared" si="24"/>
        <v>echo description,dailCompDescRanger79, &gt;&gt; .\items\materia\class0008\Ranger79.dbr</v>
      </c>
      <c r="S81" t="str">
        <f t="shared" si="24"/>
        <v>echo itemText,dailCompTextRanger79, &gt;&gt; .\items\materia\class0008\Ranger79.dbr</v>
      </c>
      <c r="T81" t="str">
        <f t="shared" si="24"/>
        <v>echo augmentSkillLevel1,5, &gt;&gt; .\items\materia\class0008\Ranger79.dbr</v>
      </c>
      <c r="U81" t="str">
        <f t="shared" si="24"/>
        <v>echo augmentSkillName1,records/skills/playerclass08/windrunner_ut.dbr, &gt;&gt; .\items\materia\class0008\Ranger79.dbr</v>
      </c>
      <c r="V81" s="5" t="s">
        <v>36</v>
      </c>
      <c r="W81" t="str">
        <f t="shared" si="30"/>
        <v>echo lootName79,DAIL/items/materia/class0008/Ranger79.dbr, &gt;&gt; .\items\loottables\dailoneskill0008.dbr</v>
      </c>
      <c r="X81" t="str">
        <f t="shared" si="30"/>
        <v>echo lootWeight79,1, &gt;&gt; .\items\loottables\dailoneskill0008.dbr</v>
      </c>
      <c r="Y81" s="5" t="s">
        <v>36</v>
      </c>
      <c r="Z81" t="str">
        <f t="shared" si="31"/>
        <v xml:space="preserve"> dailCompDescRanger79=^pRanger's Gift of DAIL</v>
      </c>
      <c r="AA81" t="str">
        <f t="shared" si="39"/>
        <v>dailCompTextRanger79=^oThis feels warm to the touch, almost familiar ^w(This component only fits into the Medal Slot)</v>
      </c>
      <c r="AB81" s="5" t="s">
        <v>36</v>
      </c>
      <c r="AH81">
        <f t="shared" si="41"/>
        <v>76</v>
      </c>
      <c r="AI81">
        <f t="shared" si="35"/>
        <v>32</v>
      </c>
      <c r="AJ81">
        <f t="shared" si="40"/>
        <v>5</v>
      </c>
    </row>
    <row r="82" spans="1:36" x14ac:dyDescent="0.25">
      <c r="A82" s="5" t="s">
        <v>39</v>
      </c>
      <c r="B82" s="5" t="s">
        <v>30</v>
      </c>
      <c r="C82" s="5" t="str">
        <f t="shared" si="25"/>
        <v>description,dailCompDescRanger80,</v>
      </c>
      <c r="D82" s="5" t="str">
        <f t="shared" si="26"/>
        <v>itemText,dailCompTextRanger80,</v>
      </c>
      <c r="E82" s="5" t="str">
        <f t="shared" si="36"/>
        <v>augmentSkillLevel1,5,</v>
      </c>
      <c r="F82" s="5" t="str">
        <f t="shared" si="37"/>
        <v>augmentSkillName1,records/skills/playerclass08/cur_attack.dbr,</v>
      </c>
      <c r="G82" s="7">
        <f t="shared" si="32"/>
        <v>80</v>
      </c>
      <c r="H82" s="8" t="str">
        <f t="shared" si="33"/>
        <v>Ranger</v>
      </c>
      <c r="I82" s="3" t="s">
        <v>171</v>
      </c>
      <c r="J82" s="8" t="str">
        <f t="shared" si="34"/>
        <v>class0008</v>
      </c>
      <c r="K82" s="8" t="str">
        <f t="shared" si="34"/>
        <v>dailoneskill0008</v>
      </c>
      <c r="L82" s="5" t="str">
        <f t="shared" si="27"/>
        <v>lootName80,DAIL/items/materia/class0008/Ranger80.dbr,</v>
      </c>
      <c r="M82" s="5" t="str">
        <f t="shared" si="28"/>
        <v>lootWeight80,1,</v>
      </c>
      <c r="N82" t="str">
        <f t="shared" si="29"/>
        <v>5</v>
      </c>
      <c r="O82" t="str">
        <f t="shared" si="38"/>
        <v>copy .\dail_base3.dbr .\items\materia\class0008\Ranger80.dbr /y</v>
      </c>
      <c r="P82" t="str">
        <f t="shared" si="24"/>
        <v>echo relicBitmap,items/craftingparts/components/component_a52_bristlyfur_b.tex, &gt;&gt; .\items\materia\class0008\Ranger80.dbr</v>
      </c>
      <c r="Q82" t="str">
        <f t="shared" si="24"/>
        <v>echo itemCost,500000, &gt;&gt; .\items\materia\class0008\Ranger80.dbr</v>
      </c>
      <c r="R82" t="str">
        <f t="shared" si="24"/>
        <v>echo description,dailCompDescRanger80, &gt;&gt; .\items\materia\class0008\Ranger80.dbr</v>
      </c>
      <c r="S82" t="str">
        <f t="shared" si="24"/>
        <v>echo itemText,dailCompTextRanger80, &gt;&gt; .\items\materia\class0008\Ranger80.dbr</v>
      </c>
      <c r="T82" t="str">
        <f t="shared" si="24"/>
        <v>echo augmentSkillLevel1,5, &gt;&gt; .\items\materia\class0008\Ranger80.dbr</v>
      </c>
      <c r="U82" t="str">
        <f t="shared" si="24"/>
        <v>echo augmentSkillName1,records/skills/playerclass08/cur_attack.dbr, &gt;&gt; .\items\materia\class0008\Ranger80.dbr</v>
      </c>
      <c r="V82" s="5" t="s">
        <v>36</v>
      </c>
      <c r="W82" t="str">
        <f t="shared" si="30"/>
        <v>echo lootName80,DAIL/items/materia/class0008/Ranger80.dbr, &gt;&gt; .\items\loottables\dailoneskill0008.dbr</v>
      </c>
      <c r="X82" t="str">
        <f t="shared" si="30"/>
        <v>echo lootWeight80,1, &gt;&gt; .\items\loottables\dailoneskill0008.dbr</v>
      </c>
      <c r="Y82" s="5" t="s">
        <v>36</v>
      </c>
      <c r="Z82" t="str">
        <f t="shared" si="31"/>
        <v xml:space="preserve"> dailCompDescRanger80=^pRanger's Gift of DAIL</v>
      </c>
      <c r="AA82" t="str">
        <f t="shared" si="39"/>
        <v>dailCompTextRanger80=^oThis feels warm to the touch, almost familiar ^w(This component only fits into the Medal Slot)</v>
      </c>
      <c r="AB82" s="5" t="s">
        <v>36</v>
      </c>
      <c r="AH82">
        <f t="shared" si="41"/>
        <v>77</v>
      </c>
      <c r="AI82">
        <f t="shared" si="35"/>
        <v>29</v>
      </c>
      <c r="AJ82">
        <f t="shared" si="40"/>
        <v>5</v>
      </c>
    </row>
    <row r="83" spans="1:36" x14ac:dyDescent="0.25">
      <c r="A83" s="5" t="s">
        <v>39</v>
      </c>
      <c r="B83" s="5" t="s">
        <v>30</v>
      </c>
      <c r="C83" s="5" t="str">
        <f t="shared" si="25"/>
        <v>description,dailCompDescRanger81,</v>
      </c>
      <c r="D83" s="5" t="str">
        <f t="shared" si="26"/>
        <v>itemText,dailCompTextRanger81,</v>
      </c>
      <c r="E83" s="5" t="str">
        <f t="shared" si="36"/>
        <v>augmentSkillLevel1,5,</v>
      </c>
      <c r="F83" s="5" t="str">
        <f t="shared" si="37"/>
        <v>augmentSkillName1,records/skills/playerclass08/coup_refre.dbr,</v>
      </c>
      <c r="G83" s="7">
        <f t="shared" si="32"/>
        <v>81</v>
      </c>
      <c r="H83" s="8" t="str">
        <f t="shared" si="33"/>
        <v>Ranger</v>
      </c>
      <c r="I83" s="3" t="s">
        <v>170</v>
      </c>
      <c r="J83" s="8" t="str">
        <f t="shared" si="34"/>
        <v>class0008</v>
      </c>
      <c r="K83" s="8" t="str">
        <f t="shared" si="34"/>
        <v>dailoneskill0008</v>
      </c>
      <c r="L83" s="5" t="str">
        <f t="shared" si="27"/>
        <v>lootName81,DAIL/items/materia/class0008/Ranger81.dbr,</v>
      </c>
      <c r="M83" s="5" t="str">
        <f t="shared" si="28"/>
        <v>lootWeight81,1,</v>
      </c>
      <c r="N83" t="str">
        <f t="shared" si="29"/>
        <v>5</v>
      </c>
      <c r="O83" t="str">
        <f t="shared" si="38"/>
        <v>copy .\dail_base3.dbr .\items\materia\class0008\Ranger81.dbr /y</v>
      </c>
      <c r="P83" t="str">
        <f t="shared" si="24"/>
        <v>echo relicBitmap,items/craftingparts/components/component_a52_bristlyfur_b.tex, &gt;&gt; .\items\materia\class0008\Ranger81.dbr</v>
      </c>
      <c r="Q83" t="str">
        <f t="shared" si="24"/>
        <v>echo itemCost,500000, &gt;&gt; .\items\materia\class0008\Ranger81.dbr</v>
      </c>
      <c r="R83" t="str">
        <f t="shared" si="24"/>
        <v>echo description,dailCompDescRanger81, &gt;&gt; .\items\materia\class0008\Ranger81.dbr</v>
      </c>
      <c r="S83" t="str">
        <f t="shared" si="24"/>
        <v>echo itemText,dailCompTextRanger81, &gt;&gt; .\items\materia\class0008\Ranger81.dbr</v>
      </c>
      <c r="T83" t="str">
        <f t="shared" si="24"/>
        <v>echo augmentSkillLevel1,5, &gt;&gt; .\items\materia\class0008\Ranger81.dbr</v>
      </c>
      <c r="U83" t="str">
        <f t="shared" si="24"/>
        <v>echo augmentSkillName1,records/skills/playerclass08/coup_refre.dbr, &gt;&gt; .\items\materia\class0008\Ranger81.dbr</v>
      </c>
      <c r="V83" s="5" t="s">
        <v>36</v>
      </c>
      <c r="W83" t="str">
        <f t="shared" si="30"/>
        <v>echo lootName81,DAIL/items/materia/class0008/Ranger81.dbr, &gt;&gt; .\items\loottables\dailoneskill0008.dbr</v>
      </c>
      <c r="X83" t="str">
        <f t="shared" si="30"/>
        <v>echo lootWeight81,1, &gt;&gt; .\items\loottables\dailoneskill0008.dbr</v>
      </c>
      <c r="Y83" s="5" t="s">
        <v>36</v>
      </c>
      <c r="Z83" t="str">
        <f t="shared" si="31"/>
        <v xml:space="preserve"> dailCompDescRanger81=^pRanger's Gift of DAIL</v>
      </c>
      <c r="AA83" t="str">
        <f t="shared" si="39"/>
        <v>dailCompTextRanger81=^oThis feels warm to the touch, almost familiar ^w(This component only fits into the Medal Slot)</v>
      </c>
      <c r="AB83" s="5" t="s">
        <v>36</v>
      </c>
      <c r="AH83">
        <f t="shared" si="41"/>
        <v>78</v>
      </c>
      <c r="AI83">
        <f t="shared" si="35"/>
        <v>29</v>
      </c>
      <c r="AJ83">
        <f t="shared" si="40"/>
        <v>5</v>
      </c>
    </row>
    <row r="84" spans="1:36" x14ac:dyDescent="0.25">
      <c r="A84" s="5" t="s">
        <v>39</v>
      </c>
      <c r="B84" s="5" t="s">
        <v>30</v>
      </c>
      <c r="C84" s="5" t="str">
        <f t="shared" si="25"/>
        <v>description,dailCompDescRanger82,</v>
      </c>
      <c r="D84" s="5" t="str">
        <f t="shared" si="26"/>
        <v>itemText,dailCompTextRanger82,</v>
      </c>
      <c r="E84" s="5" t="str">
        <f t="shared" si="36"/>
        <v>augmentSkillLevel1,5,</v>
      </c>
      <c r="F84" s="5" t="str">
        <f t="shared" si="37"/>
        <v>augmentSkillName1,records/skills/playerclass08/coup_refre_t.dbr,</v>
      </c>
      <c r="G84" s="7">
        <f t="shared" si="32"/>
        <v>82</v>
      </c>
      <c r="H84" s="8" t="str">
        <f t="shared" si="33"/>
        <v>Ranger</v>
      </c>
      <c r="I84" s="3" t="s">
        <v>383</v>
      </c>
      <c r="J84" s="8" t="str">
        <f t="shared" si="34"/>
        <v>class0008</v>
      </c>
      <c r="K84" s="8" t="str">
        <f t="shared" si="34"/>
        <v>dailoneskill0008</v>
      </c>
      <c r="L84" s="5" t="str">
        <f t="shared" si="27"/>
        <v>lootName82,DAIL/items/materia/class0008/Ranger82.dbr,</v>
      </c>
      <c r="M84" s="5" t="str">
        <f t="shared" si="28"/>
        <v>lootWeight82,1,</v>
      </c>
      <c r="N84" t="str">
        <f t="shared" si="29"/>
        <v>5</v>
      </c>
      <c r="O84" t="str">
        <f t="shared" si="38"/>
        <v>copy .\dail_base3.dbr .\items\materia\class0008\Ranger82.dbr /y</v>
      </c>
      <c r="P84" t="str">
        <f t="shared" si="24"/>
        <v>echo relicBitmap,items/craftingparts/components/component_a52_bristlyfur_b.tex, &gt;&gt; .\items\materia\class0008\Ranger82.dbr</v>
      </c>
      <c r="Q84" t="str">
        <f t="shared" si="24"/>
        <v>echo itemCost,500000, &gt;&gt; .\items\materia\class0008\Ranger82.dbr</v>
      </c>
      <c r="R84" t="str">
        <f t="shared" si="24"/>
        <v>echo description,dailCompDescRanger82, &gt;&gt; .\items\materia\class0008\Ranger82.dbr</v>
      </c>
      <c r="S84" t="str">
        <f t="shared" si="24"/>
        <v>echo itemText,dailCompTextRanger82, &gt;&gt; .\items\materia\class0008\Ranger82.dbr</v>
      </c>
      <c r="T84" t="str">
        <f t="shared" si="24"/>
        <v>echo augmentSkillLevel1,5, &gt;&gt; .\items\materia\class0008\Ranger82.dbr</v>
      </c>
      <c r="U84" t="str">
        <f t="shared" si="24"/>
        <v>echo augmentSkillName1,records/skills/playerclass08/coup_refre_t.dbr, &gt;&gt; .\items\materia\class0008\Ranger82.dbr</v>
      </c>
      <c r="V84" s="5" t="s">
        <v>36</v>
      </c>
      <c r="W84" t="str">
        <f t="shared" si="30"/>
        <v>echo lootName82,DAIL/items/materia/class0008/Ranger82.dbr, &gt;&gt; .\items\loottables\dailoneskill0008.dbr</v>
      </c>
      <c r="X84" t="str">
        <f t="shared" si="30"/>
        <v>echo lootWeight82,1, &gt;&gt; .\items\loottables\dailoneskill0008.dbr</v>
      </c>
      <c r="Y84" s="5" t="s">
        <v>36</v>
      </c>
      <c r="Z84" t="str">
        <f t="shared" si="31"/>
        <v xml:space="preserve"> dailCompDescRanger82=^pRanger's Gift of DAIL</v>
      </c>
      <c r="AA84" t="str">
        <f t="shared" si="39"/>
        <v>dailCompTextRanger82=^oThis feels warm to the touch, almost familiar ^w(This component only fits into the Medal Slot)</v>
      </c>
      <c r="AB84" s="5" t="s">
        <v>36</v>
      </c>
      <c r="AH84">
        <f t="shared" si="41"/>
        <v>79</v>
      </c>
      <c r="AI84">
        <f t="shared" si="35"/>
        <v>31</v>
      </c>
      <c r="AJ84">
        <f t="shared" si="40"/>
        <v>5</v>
      </c>
    </row>
    <row r="85" spans="1:36" x14ac:dyDescent="0.25">
      <c r="A85" s="5" t="s">
        <v>39</v>
      </c>
      <c r="B85" s="5" t="s">
        <v>30</v>
      </c>
      <c r="C85" s="5" t="str">
        <f t="shared" si="25"/>
        <v>description,dailCompDescRanger83,</v>
      </c>
      <c r="D85" s="5" t="str">
        <f t="shared" si="26"/>
        <v>itemText,dailCompTextRanger83,</v>
      </c>
      <c r="E85" s="5" t="str">
        <f t="shared" si="36"/>
        <v>augmentSkillLevel1,5,</v>
      </c>
      <c r="F85" s="5" t="str">
        <f t="shared" si="37"/>
        <v>augmentSkillName1,records/skills/playerclass08/passive7.dbr,</v>
      </c>
      <c r="G85" s="7">
        <f t="shared" si="32"/>
        <v>83</v>
      </c>
      <c r="H85" s="8" t="str">
        <f t="shared" si="33"/>
        <v>Ranger</v>
      </c>
      <c r="I85" s="3" t="s">
        <v>384</v>
      </c>
      <c r="J85" s="8" t="str">
        <f t="shared" ref="J85:K100" si="42">J84</f>
        <v>class0008</v>
      </c>
      <c r="K85" s="8" t="str">
        <f t="shared" si="42"/>
        <v>dailoneskill0008</v>
      </c>
      <c r="L85" s="5" t="str">
        <f t="shared" si="27"/>
        <v>lootName83,DAIL/items/materia/class0008/Ranger83.dbr,</v>
      </c>
      <c r="M85" s="5" t="str">
        <f t="shared" si="28"/>
        <v>lootWeight83,1,</v>
      </c>
      <c r="N85" t="str">
        <f t="shared" si="29"/>
        <v>5</v>
      </c>
      <c r="O85" t="str">
        <f t="shared" si="38"/>
        <v>copy .\dail_base3.dbr .\items\materia\class0008\Ranger83.dbr /y</v>
      </c>
      <c r="P85" t="str">
        <f t="shared" si="24"/>
        <v>echo relicBitmap,items/craftingparts/components/component_a52_bristlyfur_b.tex, &gt;&gt; .\items\materia\class0008\Ranger83.dbr</v>
      </c>
      <c r="Q85" t="str">
        <f t="shared" si="24"/>
        <v>echo itemCost,500000, &gt;&gt; .\items\materia\class0008\Ranger83.dbr</v>
      </c>
      <c r="R85" t="str">
        <f t="shared" si="24"/>
        <v>echo description,dailCompDescRanger83, &gt;&gt; .\items\materia\class0008\Ranger83.dbr</v>
      </c>
      <c r="S85" t="str">
        <f t="shared" si="24"/>
        <v>echo itemText,dailCompTextRanger83, &gt;&gt; .\items\materia\class0008\Ranger83.dbr</v>
      </c>
      <c r="T85" t="str">
        <f t="shared" si="24"/>
        <v>echo augmentSkillLevel1,5, &gt;&gt; .\items\materia\class0008\Ranger83.dbr</v>
      </c>
      <c r="U85" t="str">
        <f t="shared" si="24"/>
        <v>echo augmentSkillName1,records/skills/playerclass08/passive7.dbr, &gt;&gt; .\items\materia\class0008\Ranger83.dbr</v>
      </c>
      <c r="V85" s="5" t="s">
        <v>36</v>
      </c>
      <c r="W85" t="str">
        <f t="shared" si="30"/>
        <v>echo lootName83,DAIL/items/materia/class0008/Ranger83.dbr, &gt;&gt; .\items\loottables\dailoneskill0008.dbr</v>
      </c>
      <c r="X85" t="str">
        <f t="shared" si="30"/>
        <v>echo lootWeight83,1, &gt;&gt; .\items\loottables\dailoneskill0008.dbr</v>
      </c>
      <c r="Y85" s="5" t="s">
        <v>36</v>
      </c>
      <c r="Z85" t="str">
        <f t="shared" si="31"/>
        <v xml:space="preserve"> dailCompDescRanger83=^pRanger's Gift of DAIL</v>
      </c>
      <c r="AA85" t="str">
        <f t="shared" si="39"/>
        <v>dailCompTextRanger83=^oThis feels warm to the touch, almost familiar ^w(This component only fits into the Medal Slot)</v>
      </c>
      <c r="AB85" s="5" t="s">
        <v>36</v>
      </c>
      <c r="AH85">
        <f t="shared" si="41"/>
        <v>80</v>
      </c>
      <c r="AI85">
        <f t="shared" si="35"/>
        <v>27</v>
      </c>
      <c r="AJ85">
        <f t="shared" si="40"/>
        <v>5</v>
      </c>
    </row>
    <row r="86" spans="1:36" x14ac:dyDescent="0.25">
      <c r="A86" s="5" t="s">
        <v>39</v>
      </c>
      <c r="B86" s="5" t="s">
        <v>30</v>
      </c>
      <c r="C86" s="5" t="str">
        <f t="shared" si="25"/>
        <v>description,dailCompDescRanger84,</v>
      </c>
      <c r="D86" s="5" t="str">
        <f t="shared" si="26"/>
        <v>itemText,dailCompTextRanger84,</v>
      </c>
      <c r="E86" s="5" t="str">
        <f t="shared" si="36"/>
        <v>augmentSkillLevel1,5,</v>
      </c>
      <c r="F86" s="5" t="str">
        <f t="shared" si="37"/>
        <v>augmentSkillName1,records/skills/playerclass08/summon_hawk.dbr,</v>
      </c>
      <c r="G86" s="7">
        <f t="shared" si="32"/>
        <v>84</v>
      </c>
      <c r="H86" s="8" t="str">
        <f t="shared" si="33"/>
        <v>Ranger</v>
      </c>
      <c r="I86" s="3" t="s">
        <v>174</v>
      </c>
      <c r="J86" s="8" t="str">
        <f t="shared" si="42"/>
        <v>class0008</v>
      </c>
      <c r="K86" s="8" t="str">
        <f t="shared" si="42"/>
        <v>dailoneskill0008</v>
      </c>
      <c r="L86" s="5" t="str">
        <f t="shared" si="27"/>
        <v>lootName84,DAIL/items/materia/class0008/Ranger84.dbr,</v>
      </c>
      <c r="M86" s="5" t="str">
        <f t="shared" si="28"/>
        <v>lootWeight84,1,</v>
      </c>
      <c r="N86" t="str">
        <f t="shared" si="29"/>
        <v>5</v>
      </c>
      <c r="O86" t="str">
        <f t="shared" si="38"/>
        <v>copy .\dail_base3.dbr .\items\materia\class0008\Ranger84.dbr /y</v>
      </c>
      <c r="P86" t="str">
        <f t="shared" si="24"/>
        <v>echo relicBitmap,items/craftingparts/components/component_a52_bristlyfur_b.tex, &gt;&gt; .\items\materia\class0008\Ranger84.dbr</v>
      </c>
      <c r="Q86" t="str">
        <f t="shared" si="24"/>
        <v>echo itemCost,500000, &gt;&gt; .\items\materia\class0008\Ranger84.dbr</v>
      </c>
      <c r="R86" t="str">
        <f t="shared" si="24"/>
        <v>echo description,dailCompDescRanger84, &gt;&gt; .\items\materia\class0008\Ranger84.dbr</v>
      </c>
      <c r="S86" t="str">
        <f t="shared" si="24"/>
        <v>echo itemText,dailCompTextRanger84, &gt;&gt; .\items\materia\class0008\Ranger84.dbr</v>
      </c>
      <c r="T86" t="str">
        <f t="shared" si="24"/>
        <v>echo augmentSkillLevel1,5, &gt;&gt; .\items\materia\class0008\Ranger84.dbr</v>
      </c>
      <c r="U86" t="str">
        <f t="shared" si="24"/>
        <v>echo augmentSkillName1,records/skills/playerclass08/summon_hawk.dbr, &gt;&gt; .\items\materia\class0008\Ranger84.dbr</v>
      </c>
      <c r="V86" s="5" t="s">
        <v>36</v>
      </c>
      <c r="W86" t="str">
        <f t="shared" si="30"/>
        <v>echo lootName84,DAIL/items/materia/class0008/Ranger84.dbr, &gt;&gt; .\items\loottables\dailoneskill0008.dbr</v>
      </c>
      <c r="X86" t="str">
        <f t="shared" si="30"/>
        <v>echo lootWeight84,1, &gt;&gt; .\items\loottables\dailoneskill0008.dbr</v>
      </c>
      <c r="Y86" s="5" t="s">
        <v>36</v>
      </c>
      <c r="Z86" t="str">
        <f t="shared" si="31"/>
        <v xml:space="preserve"> dailCompDescRanger84=^pRanger's Gift of DAIL</v>
      </c>
      <c r="AA86" t="str">
        <f t="shared" si="39"/>
        <v>dailCompTextRanger84=^oThis feels warm to the touch, almost familiar ^w(This component only fits into the Medal Slot)</v>
      </c>
      <c r="AB86" s="5" t="s">
        <v>36</v>
      </c>
      <c r="AH86">
        <f t="shared" si="41"/>
        <v>81</v>
      </c>
      <c r="AI86">
        <f t="shared" si="35"/>
        <v>30</v>
      </c>
      <c r="AJ86">
        <f t="shared" si="40"/>
        <v>5</v>
      </c>
    </row>
    <row r="87" spans="1:36" x14ac:dyDescent="0.25">
      <c r="A87" s="5" t="s">
        <v>39</v>
      </c>
      <c r="B87" s="5" t="s">
        <v>30</v>
      </c>
      <c r="C87" s="5" t="str">
        <f t="shared" si="25"/>
        <v>description,dailCompDescRanger85,</v>
      </c>
      <c r="D87" s="5" t="str">
        <f t="shared" si="26"/>
        <v>itemText,dailCompTextRanger85,</v>
      </c>
      <c r="E87" s="5" t="str">
        <f t="shared" si="36"/>
        <v>augmentSkillLevel1,5,</v>
      </c>
      <c r="F87" s="5" t="str">
        <f t="shared" si="37"/>
        <v>augmentSkillName1,records/skills/playerclass08/windrunner_ut.dbr,</v>
      </c>
      <c r="G87" s="7">
        <f t="shared" si="32"/>
        <v>85</v>
      </c>
      <c r="H87" s="8" t="str">
        <f t="shared" si="33"/>
        <v>Ranger</v>
      </c>
      <c r="I87" s="3" t="s">
        <v>377</v>
      </c>
      <c r="J87" s="8" t="str">
        <f t="shared" si="42"/>
        <v>class0008</v>
      </c>
      <c r="K87" s="8" t="str">
        <f t="shared" si="42"/>
        <v>dailoneskill0008</v>
      </c>
      <c r="L87" s="5" t="str">
        <f t="shared" si="27"/>
        <v>lootName85,DAIL/items/materia/class0008/Ranger85.dbr,</v>
      </c>
      <c r="M87" s="5" t="str">
        <f t="shared" si="28"/>
        <v>lootWeight85,1,</v>
      </c>
      <c r="N87" t="str">
        <f t="shared" si="29"/>
        <v>5</v>
      </c>
      <c r="O87" t="str">
        <f t="shared" si="38"/>
        <v>copy .\dail_base3.dbr .\items\materia\class0008\Ranger85.dbr /y</v>
      </c>
      <c r="P87" t="str">
        <f t="shared" si="24"/>
        <v>echo relicBitmap,items/craftingparts/components/component_a52_bristlyfur_b.tex, &gt;&gt; .\items\materia\class0008\Ranger85.dbr</v>
      </c>
      <c r="Q87" t="str">
        <f t="shared" si="24"/>
        <v>echo itemCost,500000, &gt;&gt; .\items\materia\class0008\Ranger85.dbr</v>
      </c>
      <c r="R87" t="str">
        <f t="shared" si="24"/>
        <v>echo description,dailCompDescRanger85, &gt;&gt; .\items\materia\class0008\Ranger85.dbr</v>
      </c>
      <c r="S87" t="str">
        <f t="shared" si="24"/>
        <v>echo itemText,dailCompTextRanger85, &gt;&gt; .\items\materia\class0008\Ranger85.dbr</v>
      </c>
      <c r="T87" t="str">
        <f t="shared" si="24"/>
        <v>echo augmentSkillLevel1,5, &gt;&gt; .\items\materia\class0008\Ranger85.dbr</v>
      </c>
      <c r="U87" t="str">
        <f t="shared" si="24"/>
        <v>echo augmentSkillName1,records/skills/playerclass08/windrunner_ut.dbr, &gt;&gt; .\items\materia\class0008\Ranger85.dbr</v>
      </c>
      <c r="V87" s="5" t="s">
        <v>36</v>
      </c>
      <c r="W87" t="str">
        <f t="shared" si="30"/>
        <v>echo lootName85,DAIL/items/materia/class0008/Ranger85.dbr, &gt;&gt; .\items\loottables\dailoneskill0008.dbr</v>
      </c>
      <c r="X87" t="str">
        <f t="shared" si="30"/>
        <v>echo lootWeight85,1, &gt;&gt; .\items\loottables\dailoneskill0008.dbr</v>
      </c>
      <c r="Y87" s="5" t="s">
        <v>36</v>
      </c>
      <c r="Z87" t="str">
        <f t="shared" si="31"/>
        <v xml:space="preserve"> dailCompDescRanger85=^pRanger's Gift of DAIL</v>
      </c>
      <c r="AA87" t="str">
        <f t="shared" si="39"/>
        <v>dailCompTextRanger85=^oThis feels warm to the touch, almost familiar ^w(This component only fits into the Medal Slot)</v>
      </c>
      <c r="AB87" s="5" t="s">
        <v>36</v>
      </c>
      <c r="AH87">
        <f t="shared" si="41"/>
        <v>82</v>
      </c>
      <c r="AI87">
        <f t="shared" si="35"/>
        <v>32</v>
      </c>
      <c r="AJ87">
        <f t="shared" si="40"/>
        <v>5</v>
      </c>
    </row>
    <row r="88" spans="1:36" x14ac:dyDescent="0.25">
      <c r="A88" s="5" t="s">
        <v>39</v>
      </c>
      <c r="B88" s="5" t="s">
        <v>30</v>
      </c>
      <c r="C88" s="5" t="str">
        <f t="shared" si="25"/>
        <v>description,dailCompDescRanger86,</v>
      </c>
      <c r="D88" s="5" t="str">
        <f t="shared" si="26"/>
        <v>itemText,dailCompTextRanger86,</v>
      </c>
      <c r="E88" s="5" t="str">
        <f t="shared" si="36"/>
        <v>augmentSkillLevel1,5,</v>
      </c>
      <c r="F88" s="5" t="str">
        <f t="shared" si="37"/>
        <v>augmentSkillName1,records/skills/playerclass08/summon_hawk_mod2.dbr,</v>
      </c>
      <c r="G88" s="7">
        <f t="shared" si="32"/>
        <v>86</v>
      </c>
      <c r="H88" s="8" t="str">
        <f t="shared" si="33"/>
        <v>Ranger</v>
      </c>
      <c r="I88" s="3" t="s">
        <v>385</v>
      </c>
      <c r="J88" s="8" t="str">
        <f t="shared" si="42"/>
        <v>class0008</v>
      </c>
      <c r="K88" s="8" t="str">
        <f t="shared" si="42"/>
        <v>dailoneskill0008</v>
      </c>
      <c r="L88" s="5" t="str">
        <f t="shared" si="27"/>
        <v>lootName86,DAIL/items/materia/class0008/Ranger86.dbr,</v>
      </c>
      <c r="M88" s="5" t="str">
        <f t="shared" si="28"/>
        <v>lootWeight86,1,</v>
      </c>
      <c r="N88" t="str">
        <f t="shared" si="29"/>
        <v>5</v>
      </c>
      <c r="O88" t="str">
        <f t="shared" si="38"/>
        <v>copy .\dail_base3.dbr .\items\materia\class0008\Ranger86.dbr /y</v>
      </c>
      <c r="P88" t="str">
        <f t="shared" si="24"/>
        <v>echo relicBitmap,items/craftingparts/components/component_a52_bristlyfur_b.tex, &gt;&gt; .\items\materia\class0008\Ranger86.dbr</v>
      </c>
      <c r="Q88" t="str">
        <f t="shared" si="24"/>
        <v>echo itemCost,500000, &gt;&gt; .\items\materia\class0008\Ranger86.dbr</v>
      </c>
      <c r="R88" t="str">
        <f t="shared" si="24"/>
        <v>echo description,dailCompDescRanger86, &gt;&gt; .\items\materia\class0008\Ranger86.dbr</v>
      </c>
      <c r="S88" t="str">
        <f t="shared" si="24"/>
        <v>echo itemText,dailCompTextRanger86, &gt;&gt; .\items\materia\class0008\Ranger86.dbr</v>
      </c>
      <c r="T88" t="str">
        <f t="shared" si="24"/>
        <v>echo augmentSkillLevel1,5, &gt;&gt; .\items\materia\class0008\Ranger86.dbr</v>
      </c>
      <c r="U88" t="str">
        <f t="shared" si="24"/>
        <v>echo augmentSkillName1,records/skills/playerclass08/summon_hawk_mod2.dbr, &gt;&gt; .\items\materia\class0008\Ranger86.dbr</v>
      </c>
      <c r="V88" s="5" t="s">
        <v>36</v>
      </c>
      <c r="W88" t="str">
        <f t="shared" si="30"/>
        <v>echo lootName86,DAIL/items/materia/class0008/Ranger86.dbr, &gt;&gt; .\items\loottables\dailoneskill0008.dbr</v>
      </c>
      <c r="X88" t="str">
        <f t="shared" si="30"/>
        <v>echo lootWeight86,1, &gt;&gt; .\items\loottables\dailoneskill0008.dbr</v>
      </c>
      <c r="Y88" s="5" t="s">
        <v>36</v>
      </c>
      <c r="Z88" t="str">
        <f t="shared" si="31"/>
        <v xml:space="preserve"> dailCompDescRanger86=^pRanger's Gift of DAIL</v>
      </c>
      <c r="AA88" t="str">
        <f t="shared" si="39"/>
        <v>dailCompTextRanger86=^oThis feels warm to the touch, almost familiar ^w(This component only fits into the Medal Slot)</v>
      </c>
      <c r="AB88" s="5" t="s">
        <v>36</v>
      </c>
      <c r="AH88">
        <f t="shared" si="41"/>
        <v>83</v>
      </c>
      <c r="AI88">
        <f t="shared" si="35"/>
        <v>35</v>
      </c>
      <c r="AJ88">
        <f t="shared" si="40"/>
        <v>5</v>
      </c>
    </row>
    <row r="89" spans="1:36" x14ac:dyDescent="0.25">
      <c r="A89" s="5" t="s">
        <v>39</v>
      </c>
      <c r="B89" s="5" t="s">
        <v>30</v>
      </c>
      <c r="C89" s="5" t="str">
        <f t="shared" si="25"/>
        <v>description,dailCompDescRanger87,</v>
      </c>
      <c r="D89" s="5" t="str">
        <f t="shared" si="26"/>
        <v>itemText,dailCompTextRanger87,</v>
      </c>
      <c r="E89" s="5" t="str">
        <f t="shared" si="36"/>
        <v>augmentSkillLevel1,5,</v>
      </c>
      <c r="F89" s="5" t="str">
        <f t="shared" si="37"/>
        <v>augmentSkillName1,records/skills/playerclass08/summon_hawk_mod3.dbr,</v>
      </c>
      <c r="G89" s="7">
        <f t="shared" si="32"/>
        <v>87</v>
      </c>
      <c r="H89" s="8" t="str">
        <f t="shared" si="33"/>
        <v>Ranger</v>
      </c>
      <c r="I89" s="3" t="s">
        <v>386</v>
      </c>
      <c r="J89" s="8" t="str">
        <f t="shared" si="42"/>
        <v>class0008</v>
      </c>
      <c r="K89" s="8" t="str">
        <f t="shared" si="42"/>
        <v>dailoneskill0008</v>
      </c>
      <c r="L89" s="5" t="str">
        <f t="shared" si="27"/>
        <v>lootName87,DAIL/items/materia/class0008/Ranger87.dbr,</v>
      </c>
      <c r="M89" s="5" t="str">
        <f t="shared" si="28"/>
        <v>lootWeight87,1,</v>
      </c>
      <c r="N89" t="str">
        <f t="shared" si="29"/>
        <v>5</v>
      </c>
      <c r="O89" t="str">
        <f t="shared" si="38"/>
        <v>copy .\dail_base3.dbr .\items\materia\class0008\Ranger87.dbr /y</v>
      </c>
      <c r="P89" t="str">
        <f t="shared" si="24"/>
        <v>echo relicBitmap,items/craftingparts/components/component_a52_bristlyfur_b.tex, &gt;&gt; .\items\materia\class0008\Ranger87.dbr</v>
      </c>
      <c r="Q89" t="str">
        <f t="shared" si="24"/>
        <v>echo itemCost,500000, &gt;&gt; .\items\materia\class0008\Ranger87.dbr</v>
      </c>
      <c r="R89" t="str">
        <f t="shared" si="24"/>
        <v>echo description,dailCompDescRanger87, &gt;&gt; .\items\materia\class0008\Ranger87.dbr</v>
      </c>
      <c r="S89" t="str">
        <f t="shared" si="24"/>
        <v>echo itemText,dailCompTextRanger87, &gt;&gt; .\items\materia\class0008\Ranger87.dbr</v>
      </c>
      <c r="T89" t="str">
        <f t="shared" si="24"/>
        <v>echo augmentSkillLevel1,5, &gt;&gt; .\items\materia\class0008\Ranger87.dbr</v>
      </c>
      <c r="U89" t="str">
        <f t="shared" si="24"/>
        <v>echo augmentSkillName1,records/skills/playerclass08/summon_hawk_mod3.dbr, &gt;&gt; .\items\materia\class0008\Ranger87.dbr</v>
      </c>
      <c r="V89" s="5" t="s">
        <v>36</v>
      </c>
      <c r="W89" t="str">
        <f t="shared" si="30"/>
        <v>echo lootName87,DAIL/items/materia/class0008/Ranger87.dbr, &gt;&gt; .\items\loottables\dailoneskill0008.dbr</v>
      </c>
      <c r="X89" t="str">
        <f t="shared" si="30"/>
        <v>echo lootWeight87,1, &gt;&gt; .\items\loottables\dailoneskill0008.dbr</v>
      </c>
      <c r="Y89" s="5" t="s">
        <v>36</v>
      </c>
      <c r="Z89" t="str">
        <f t="shared" si="31"/>
        <v xml:space="preserve"> dailCompDescRanger87=^pRanger's Gift of DAIL</v>
      </c>
      <c r="AA89" t="str">
        <f t="shared" si="39"/>
        <v>dailCompTextRanger87=^oThis feels warm to the touch, almost familiar ^w(This component only fits into the Medal Slot)</v>
      </c>
      <c r="AB89" s="5" t="s">
        <v>36</v>
      </c>
      <c r="AH89">
        <f t="shared" si="41"/>
        <v>84</v>
      </c>
      <c r="AI89">
        <f t="shared" si="35"/>
        <v>35</v>
      </c>
      <c r="AJ89">
        <f t="shared" si="40"/>
        <v>5</v>
      </c>
    </row>
    <row r="90" spans="1:36" x14ac:dyDescent="0.25">
      <c r="A90" s="5" t="s">
        <v>39</v>
      </c>
      <c r="B90" s="5" t="s">
        <v>30</v>
      </c>
      <c r="C90" s="5" t="str">
        <f t="shared" si="25"/>
        <v>description,dailCompDescRanger88,</v>
      </c>
      <c r="D90" s="5" t="str">
        <f t="shared" si="26"/>
        <v>itemText,dailCompTextRanger88,</v>
      </c>
      <c r="E90" s="5" t="str">
        <f t="shared" si="36"/>
        <v>augmentSkillLevel1,5,</v>
      </c>
      <c r="F90" s="5" t="str">
        <f t="shared" si="37"/>
        <v>augmentSkillName1,records/skills/playerclass08/mutl_attack_add_buff.dbr,</v>
      </c>
      <c r="G90" s="7">
        <f t="shared" si="32"/>
        <v>88</v>
      </c>
      <c r="H90" s="8" t="str">
        <f t="shared" si="33"/>
        <v>Ranger</v>
      </c>
      <c r="I90" s="3" t="s">
        <v>387</v>
      </c>
      <c r="J90" s="8" t="str">
        <f t="shared" si="42"/>
        <v>class0008</v>
      </c>
      <c r="K90" s="8" t="str">
        <f t="shared" si="42"/>
        <v>dailoneskill0008</v>
      </c>
      <c r="L90" s="5" t="str">
        <f t="shared" si="27"/>
        <v>lootName88,DAIL/items/materia/class0008/Ranger88.dbr,</v>
      </c>
      <c r="M90" s="5" t="str">
        <f t="shared" si="28"/>
        <v>lootWeight88,1,</v>
      </c>
      <c r="N90" t="str">
        <f t="shared" si="29"/>
        <v>5</v>
      </c>
      <c r="O90" t="str">
        <f t="shared" si="38"/>
        <v>copy .\dail_base3.dbr .\items\materia\class0008\Ranger88.dbr /y</v>
      </c>
      <c r="P90" t="str">
        <f t="shared" si="24"/>
        <v>echo relicBitmap,items/craftingparts/components/component_a52_bristlyfur_b.tex, &gt;&gt; .\items\materia\class0008\Ranger88.dbr</v>
      </c>
      <c r="Q90" t="str">
        <f t="shared" si="24"/>
        <v>echo itemCost,500000, &gt;&gt; .\items\materia\class0008\Ranger88.dbr</v>
      </c>
      <c r="R90" t="str">
        <f t="shared" si="24"/>
        <v>echo description,dailCompDescRanger88, &gt;&gt; .\items\materia\class0008\Ranger88.dbr</v>
      </c>
      <c r="S90" t="str">
        <f t="shared" si="24"/>
        <v>echo itemText,dailCompTextRanger88, &gt;&gt; .\items\materia\class0008\Ranger88.dbr</v>
      </c>
      <c r="T90" t="str">
        <f t="shared" si="24"/>
        <v>echo augmentSkillLevel1,5, &gt;&gt; .\items\materia\class0008\Ranger88.dbr</v>
      </c>
      <c r="U90" t="str">
        <f t="shared" si="24"/>
        <v>echo augmentSkillName1,records/skills/playerclass08/mutl_attack_add_buff.dbr, &gt;&gt; .\items\materia\class0008\Ranger88.dbr</v>
      </c>
      <c r="V90" s="5" t="s">
        <v>36</v>
      </c>
      <c r="W90" t="str">
        <f t="shared" si="30"/>
        <v>echo lootName88,DAIL/items/materia/class0008/Ranger88.dbr, &gt;&gt; .\items\loottables\dailoneskill0008.dbr</v>
      </c>
      <c r="X90" t="str">
        <f t="shared" si="30"/>
        <v>echo lootWeight88,1, &gt;&gt; .\items\loottables\dailoneskill0008.dbr</v>
      </c>
      <c r="Y90" s="5" t="s">
        <v>36</v>
      </c>
      <c r="Z90" t="str">
        <f t="shared" si="31"/>
        <v xml:space="preserve"> dailCompDescRanger88=^pRanger's Gift of DAIL</v>
      </c>
      <c r="AA90" t="str">
        <f t="shared" si="39"/>
        <v>dailCompTextRanger88=^oThis feels warm to the touch, almost familiar ^w(This component only fits into the Medal Slot)</v>
      </c>
      <c r="AB90" s="5" t="s">
        <v>36</v>
      </c>
      <c r="AH90">
        <f t="shared" si="41"/>
        <v>85</v>
      </c>
      <c r="AI90">
        <f t="shared" si="35"/>
        <v>39</v>
      </c>
      <c r="AJ90">
        <f t="shared" si="40"/>
        <v>5</v>
      </c>
    </row>
    <row r="91" spans="1:36" x14ac:dyDescent="0.25">
      <c r="A91" s="5" t="s">
        <v>39</v>
      </c>
      <c r="B91" s="5" t="s">
        <v>30</v>
      </c>
      <c r="C91" s="5" t="str">
        <f t="shared" si="25"/>
        <v>description,dailCompDescRanger89,</v>
      </c>
      <c r="D91" s="5" t="str">
        <f t="shared" si="26"/>
        <v>itemText,dailCompTextRanger89,</v>
      </c>
      <c r="E91" s="5" t="str">
        <f t="shared" si="36"/>
        <v>augmentSkillLevel1,5,</v>
      </c>
      <c r="F91" s="5" t="str">
        <f t="shared" si="37"/>
        <v>augmentSkillName1,records/skills/playerclass08/summon_hawk_mod.dbr,</v>
      </c>
      <c r="G91" s="7">
        <f t="shared" si="32"/>
        <v>89</v>
      </c>
      <c r="H91" s="8" t="str">
        <f t="shared" si="33"/>
        <v>Ranger</v>
      </c>
      <c r="I91" s="3" t="s">
        <v>388</v>
      </c>
      <c r="J91" s="8" t="str">
        <f t="shared" si="42"/>
        <v>class0008</v>
      </c>
      <c r="K91" s="8" t="str">
        <f t="shared" si="42"/>
        <v>dailoneskill0008</v>
      </c>
      <c r="L91" s="5" t="str">
        <f t="shared" si="27"/>
        <v>lootName89,DAIL/items/materia/class0008/Ranger89.dbr,</v>
      </c>
      <c r="M91" s="5" t="str">
        <f t="shared" si="28"/>
        <v>lootWeight89,1,</v>
      </c>
      <c r="N91" t="str">
        <f t="shared" si="29"/>
        <v>5</v>
      </c>
      <c r="O91" t="str">
        <f t="shared" si="38"/>
        <v>copy .\dail_base3.dbr .\items\materia\class0008\Ranger89.dbr /y</v>
      </c>
      <c r="P91" t="str">
        <f t="shared" si="24"/>
        <v>echo relicBitmap,items/craftingparts/components/component_a52_bristlyfur_b.tex, &gt;&gt; .\items\materia\class0008\Ranger89.dbr</v>
      </c>
      <c r="Q91" t="str">
        <f t="shared" si="24"/>
        <v>echo itemCost,500000, &gt;&gt; .\items\materia\class0008\Ranger89.dbr</v>
      </c>
      <c r="R91" t="str">
        <f t="shared" si="24"/>
        <v>echo description,dailCompDescRanger89, &gt;&gt; .\items\materia\class0008\Ranger89.dbr</v>
      </c>
      <c r="S91" t="str">
        <f t="shared" si="24"/>
        <v>echo itemText,dailCompTextRanger89, &gt;&gt; .\items\materia\class0008\Ranger89.dbr</v>
      </c>
      <c r="T91" t="str">
        <f t="shared" si="24"/>
        <v>echo augmentSkillLevel1,5, &gt;&gt; .\items\materia\class0008\Ranger89.dbr</v>
      </c>
      <c r="U91" t="str">
        <f t="shared" si="24"/>
        <v>echo augmentSkillName1,records/skills/playerclass08/summon_hawk_mod.dbr, &gt;&gt; .\items\materia\class0008\Ranger89.dbr</v>
      </c>
      <c r="V91" s="5" t="s">
        <v>36</v>
      </c>
      <c r="W91" t="str">
        <f t="shared" si="30"/>
        <v>echo lootName89,DAIL/items/materia/class0008/Ranger89.dbr, &gt;&gt; .\items\loottables\dailoneskill0008.dbr</v>
      </c>
      <c r="X91" t="str">
        <f t="shared" si="30"/>
        <v>echo lootWeight89,1, &gt;&gt; .\items\loottables\dailoneskill0008.dbr</v>
      </c>
      <c r="Y91" s="5" t="s">
        <v>36</v>
      </c>
      <c r="Z91" t="str">
        <f t="shared" si="31"/>
        <v xml:space="preserve"> dailCompDescRanger89=^pRanger's Gift of DAIL</v>
      </c>
      <c r="AA91" t="str">
        <f t="shared" si="39"/>
        <v>dailCompTextRanger89=^oThis feels warm to the touch, almost familiar ^w(This component only fits into the Medal Slot)</v>
      </c>
      <c r="AB91" s="5" t="s">
        <v>36</v>
      </c>
      <c r="AH91">
        <f t="shared" si="41"/>
        <v>86</v>
      </c>
      <c r="AI91">
        <f t="shared" si="35"/>
        <v>34</v>
      </c>
      <c r="AJ91">
        <f t="shared" si="40"/>
        <v>5</v>
      </c>
    </row>
    <row r="92" spans="1:36" x14ac:dyDescent="0.25">
      <c r="A92" s="5" t="s">
        <v>39</v>
      </c>
      <c r="B92" s="5" t="s">
        <v>30</v>
      </c>
      <c r="C92" s="5" t="str">
        <f t="shared" si="25"/>
        <v>description,dailCompDescRanger90,</v>
      </c>
      <c r="D92" s="5" t="str">
        <f t="shared" si="26"/>
        <v>itemText,dailCompTextRanger90,</v>
      </c>
      <c r="E92" s="5" t="str">
        <f t="shared" si="36"/>
        <v>augmentSkillLevel1,5,</v>
      </c>
      <c r="F92" s="5" t="str">
        <f t="shared" si="37"/>
        <v>augmentSkillName1,records/skills/playerclass08/passive9.dbr,</v>
      </c>
      <c r="G92" s="7">
        <f t="shared" si="32"/>
        <v>90</v>
      </c>
      <c r="H92" s="8" t="str">
        <f t="shared" si="33"/>
        <v>Ranger</v>
      </c>
      <c r="I92" s="3" t="s">
        <v>389</v>
      </c>
      <c r="J92" s="8" t="str">
        <f t="shared" si="42"/>
        <v>class0008</v>
      </c>
      <c r="K92" s="8" t="str">
        <f t="shared" si="42"/>
        <v>dailoneskill0008</v>
      </c>
      <c r="L92" s="5" t="str">
        <f t="shared" si="27"/>
        <v>lootName90,DAIL/items/materia/class0008/Ranger90.dbr,</v>
      </c>
      <c r="M92" s="5" t="str">
        <f t="shared" si="28"/>
        <v>lootWeight90,1,</v>
      </c>
      <c r="N92" t="str">
        <f t="shared" si="29"/>
        <v>5</v>
      </c>
      <c r="O92" t="str">
        <f t="shared" si="38"/>
        <v>copy .\dail_base3.dbr .\items\materia\class0008\Ranger90.dbr /y</v>
      </c>
      <c r="P92" t="str">
        <f t="shared" si="24"/>
        <v>echo relicBitmap,items/craftingparts/components/component_a52_bristlyfur_b.tex, &gt;&gt; .\items\materia\class0008\Ranger90.dbr</v>
      </c>
      <c r="Q92" t="str">
        <f t="shared" si="24"/>
        <v>echo itemCost,500000, &gt;&gt; .\items\materia\class0008\Ranger90.dbr</v>
      </c>
      <c r="R92" t="str">
        <f t="shared" si="24"/>
        <v>echo description,dailCompDescRanger90, &gt;&gt; .\items\materia\class0008\Ranger90.dbr</v>
      </c>
      <c r="S92" t="str">
        <f t="shared" si="24"/>
        <v>echo itemText,dailCompTextRanger90, &gt;&gt; .\items\materia\class0008\Ranger90.dbr</v>
      </c>
      <c r="T92" t="str">
        <f t="shared" si="24"/>
        <v>echo augmentSkillLevel1,5, &gt;&gt; .\items\materia\class0008\Ranger90.dbr</v>
      </c>
      <c r="U92" t="str">
        <f t="shared" si="24"/>
        <v>echo augmentSkillName1,records/skills/playerclass08/passive9.dbr, &gt;&gt; .\items\materia\class0008\Ranger90.dbr</v>
      </c>
      <c r="V92" s="5" t="s">
        <v>36</v>
      </c>
      <c r="W92" t="str">
        <f t="shared" si="30"/>
        <v>echo lootName90,DAIL/items/materia/class0008/Ranger90.dbr, &gt;&gt; .\items\loottables\dailoneskill0008.dbr</v>
      </c>
      <c r="X92" t="str">
        <f t="shared" si="30"/>
        <v>echo lootWeight90,1, &gt;&gt; .\items\loottables\dailoneskill0008.dbr</v>
      </c>
      <c r="Y92" s="5" t="s">
        <v>36</v>
      </c>
      <c r="Z92" t="str">
        <f t="shared" si="31"/>
        <v xml:space="preserve"> dailCompDescRanger90=^pRanger's Gift of DAIL</v>
      </c>
      <c r="AA92" t="str">
        <f t="shared" si="39"/>
        <v>dailCompTextRanger90=^oThis feels warm to the touch, almost familiar ^w(This component only fits into the Medal Slot)</v>
      </c>
      <c r="AB92" s="5" t="s">
        <v>36</v>
      </c>
      <c r="AH92">
        <f t="shared" si="41"/>
        <v>87</v>
      </c>
      <c r="AI92">
        <f t="shared" si="35"/>
        <v>27</v>
      </c>
      <c r="AJ92">
        <f t="shared" si="40"/>
        <v>5</v>
      </c>
    </row>
    <row r="93" spans="1:36" x14ac:dyDescent="0.25">
      <c r="A93" s="5" t="s">
        <v>39</v>
      </c>
      <c r="B93" s="5" t="s">
        <v>30</v>
      </c>
      <c r="C93" s="5" t="str">
        <f t="shared" si="25"/>
        <v>description,dailCompDescRanger91,</v>
      </c>
      <c r="D93" s="5" t="str">
        <f t="shared" si="26"/>
        <v>itemText,dailCompTextRanger91,</v>
      </c>
      <c r="E93" s="5" t="str">
        <f t="shared" si="36"/>
        <v>augmentSkillLevel1,5,</v>
      </c>
      <c r="F93" s="5" t="str">
        <f t="shared" si="37"/>
        <v>augmentSkillName1,records/skills/playerclass08/passive8.dbr,</v>
      </c>
      <c r="G93" s="7">
        <f t="shared" si="32"/>
        <v>91</v>
      </c>
      <c r="H93" s="8" t="str">
        <f t="shared" si="33"/>
        <v>Ranger</v>
      </c>
      <c r="I93" s="3" t="s">
        <v>390</v>
      </c>
      <c r="J93" s="8" t="str">
        <f t="shared" si="42"/>
        <v>class0008</v>
      </c>
      <c r="K93" s="8" t="str">
        <f t="shared" si="42"/>
        <v>dailoneskill0008</v>
      </c>
      <c r="L93" s="5" t="str">
        <f t="shared" si="27"/>
        <v>lootName91,DAIL/items/materia/class0008/Ranger91.dbr,</v>
      </c>
      <c r="M93" s="5" t="str">
        <f t="shared" si="28"/>
        <v>lootWeight91,1,</v>
      </c>
      <c r="N93" t="str">
        <f t="shared" si="29"/>
        <v>5</v>
      </c>
      <c r="O93" t="str">
        <f t="shared" si="38"/>
        <v>copy .\dail_base3.dbr .\items\materia\class0008\Ranger91.dbr /y</v>
      </c>
      <c r="P93" t="str">
        <f t="shared" si="24"/>
        <v>echo relicBitmap,items/craftingparts/components/component_a52_bristlyfur_b.tex, &gt;&gt; .\items\materia\class0008\Ranger91.dbr</v>
      </c>
      <c r="Q93" t="str">
        <f t="shared" si="24"/>
        <v>echo itemCost,500000, &gt;&gt; .\items\materia\class0008\Ranger91.dbr</v>
      </c>
      <c r="R93" t="str">
        <f t="shared" si="24"/>
        <v>echo description,dailCompDescRanger91, &gt;&gt; .\items\materia\class0008\Ranger91.dbr</v>
      </c>
      <c r="S93" t="str">
        <f t="shared" si="24"/>
        <v>echo itemText,dailCompTextRanger91, &gt;&gt; .\items\materia\class0008\Ranger91.dbr</v>
      </c>
      <c r="T93" t="str">
        <f t="shared" si="24"/>
        <v>echo augmentSkillLevel1,5, &gt;&gt; .\items\materia\class0008\Ranger91.dbr</v>
      </c>
      <c r="U93" t="str">
        <f t="shared" si="24"/>
        <v>echo augmentSkillName1,records/skills/playerclass08/passive8.dbr, &gt;&gt; .\items\materia\class0008\Ranger91.dbr</v>
      </c>
      <c r="V93" s="5" t="s">
        <v>36</v>
      </c>
      <c r="W93" t="str">
        <f t="shared" si="30"/>
        <v>echo lootName91,DAIL/items/materia/class0008/Ranger91.dbr, &gt;&gt; .\items\loottables\dailoneskill0008.dbr</v>
      </c>
      <c r="X93" t="str">
        <f t="shared" si="30"/>
        <v>echo lootWeight91,1, &gt;&gt; .\items\loottables\dailoneskill0008.dbr</v>
      </c>
      <c r="Y93" s="5" t="s">
        <v>36</v>
      </c>
      <c r="Z93" t="str">
        <f t="shared" si="31"/>
        <v xml:space="preserve"> dailCompDescRanger91=^pRanger's Gift of DAIL</v>
      </c>
      <c r="AA93" t="str">
        <f t="shared" si="39"/>
        <v>dailCompTextRanger91=^oThis feels warm to the touch, almost familiar ^w(This component only fits into the Medal Slot)</v>
      </c>
      <c r="AB93" s="5" t="s">
        <v>36</v>
      </c>
      <c r="AH93">
        <f t="shared" si="41"/>
        <v>88</v>
      </c>
      <c r="AI93">
        <f t="shared" si="35"/>
        <v>27</v>
      </c>
      <c r="AJ93">
        <f t="shared" si="40"/>
        <v>5</v>
      </c>
    </row>
    <row r="94" spans="1:36" x14ac:dyDescent="0.25">
      <c r="A94" s="5" t="s">
        <v>39</v>
      </c>
      <c r="B94" s="5" t="s">
        <v>30</v>
      </c>
      <c r="C94" s="5" t="str">
        <f t="shared" si="25"/>
        <v>description,dailCompDescRanger92,</v>
      </c>
      <c r="D94" s="5" t="str">
        <f t="shared" si="26"/>
        <v>itemText,dailCompTextRanger92,</v>
      </c>
      <c r="E94" s="5" t="str">
        <f t="shared" si="36"/>
        <v>augmentSkillLevel1,5,</v>
      </c>
      <c r="F94" s="5" t="str">
        <f t="shared" si="37"/>
        <v>augmentSkillName1,records/skills/playerclass08/p_attack.dbr,</v>
      </c>
      <c r="G94" s="7">
        <f t="shared" si="32"/>
        <v>92</v>
      </c>
      <c r="H94" s="8" t="str">
        <f t="shared" si="33"/>
        <v>Ranger</v>
      </c>
      <c r="I94" s="3" t="s">
        <v>173</v>
      </c>
      <c r="J94" s="8" t="str">
        <f t="shared" si="42"/>
        <v>class0008</v>
      </c>
      <c r="K94" s="8" t="str">
        <f t="shared" si="42"/>
        <v>dailoneskill0008</v>
      </c>
      <c r="L94" s="5" t="str">
        <f t="shared" si="27"/>
        <v>lootName92,DAIL/items/materia/class0008/Ranger92.dbr,</v>
      </c>
      <c r="M94" s="5" t="str">
        <f t="shared" si="28"/>
        <v>lootWeight92,1,</v>
      </c>
      <c r="N94" t="str">
        <f t="shared" si="29"/>
        <v>5</v>
      </c>
      <c r="O94" t="str">
        <f t="shared" si="38"/>
        <v>copy .\dail_base3.dbr .\items\materia\class0008\Ranger92.dbr /y</v>
      </c>
      <c r="P94" t="str">
        <f t="shared" si="24"/>
        <v>echo relicBitmap,items/craftingparts/components/component_a52_bristlyfur_b.tex, &gt;&gt; .\items\materia\class0008\Ranger92.dbr</v>
      </c>
      <c r="Q94" t="str">
        <f t="shared" si="24"/>
        <v>echo itemCost,500000, &gt;&gt; .\items\materia\class0008\Ranger92.dbr</v>
      </c>
      <c r="R94" t="str">
        <f t="shared" si="24"/>
        <v>echo description,dailCompDescRanger92, &gt;&gt; .\items\materia\class0008\Ranger92.dbr</v>
      </c>
      <c r="S94" t="str">
        <f t="shared" si="24"/>
        <v>echo itemText,dailCompTextRanger92, &gt;&gt; .\items\materia\class0008\Ranger92.dbr</v>
      </c>
      <c r="T94" t="str">
        <f t="shared" si="24"/>
        <v>echo augmentSkillLevel1,5, &gt;&gt; .\items\materia\class0008\Ranger92.dbr</v>
      </c>
      <c r="U94" t="str">
        <f t="shared" si="24"/>
        <v>echo augmentSkillName1,records/skills/playerclass08/p_attack.dbr, &gt;&gt; .\items\materia\class0008\Ranger92.dbr</v>
      </c>
      <c r="V94" s="5" t="s">
        <v>36</v>
      </c>
      <c r="W94" t="str">
        <f t="shared" si="30"/>
        <v>echo lootName92,DAIL/items/materia/class0008/Ranger92.dbr, &gt;&gt; .\items\loottables\dailoneskill0008.dbr</v>
      </c>
      <c r="X94" t="str">
        <f t="shared" si="30"/>
        <v>echo lootWeight92,1, &gt;&gt; .\items\loottables\dailoneskill0008.dbr</v>
      </c>
      <c r="Y94" s="5" t="s">
        <v>36</v>
      </c>
      <c r="Z94" t="str">
        <f t="shared" si="31"/>
        <v xml:space="preserve"> dailCompDescRanger92=^pRanger's Gift of DAIL</v>
      </c>
      <c r="AA94" t="str">
        <f t="shared" si="39"/>
        <v>dailCompTextRanger92=^oThis feels warm to the touch, almost familiar ^w(This component only fits into the Medal Slot)</v>
      </c>
      <c r="AB94" s="5" t="s">
        <v>36</v>
      </c>
      <c r="AH94">
        <f t="shared" si="41"/>
        <v>89</v>
      </c>
      <c r="AI94">
        <f t="shared" si="35"/>
        <v>27</v>
      </c>
      <c r="AJ94">
        <f t="shared" si="40"/>
        <v>5</v>
      </c>
    </row>
    <row r="95" spans="1:36" x14ac:dyDescent="0.25">
      <c r="A95" s="5" t="s">
        <v>39</v>
      </c>
      <c r="B95" s="5" t="s">
        <v>30</v>
      </c>
      <c r="C95" s="5" t="str">
        <f t="shared" si="25"/>
        <v>description,dailCompDescRanger93,</v>
      </c>
      <c r="D95" s="5" t="str">
        <f t="shared" si="26"/>
        <v>itemText,dailCompTextRanger93,</v>
      </c>
      <c r="E95" s="5" t="str">
        <f t="shared" si="36"/>
        <v>augmentSkillLevel1,5,</v>
      </c>
      <c r="F95" s="5" t="str">
        <f t="shared" si="37"/>
        <v>augmentSkillName1,records/skills/playerclass08/pl_attack_tra.dbr,</v>
      </c>
      <c r="G95" s="7">
        <f t="shared" si="32"/>
        <v>93</v>
      </c>
      <c r="H95" s="8" t="str">
        <f t="shared" si="33"/>
        <v>Ranger</v>
      </c>
      <c r="I95" s="3" t="s">
        <v>391</v>
      </c>
      <c r="J95" s="8" t="str">
        <f t="shared" si="42"/>
        <v>class0008</v>
      </c>
      <c r="K95" s="8" t="str">
        <f t="shared" si="42"/>
        <v>dailoneskill0008</v>
      </c>
      <c r="L95" s="5" t="str">
        <f t="shared" si="27"/>
        <v>lootName93,DAIL/items/materia/class0008/Ranger93.dbr,</v>
      </c>
      <c r="M95" s="5" t="str">
        <f t="shared" si="28"/>
        <v>lootWeight93,1,</v>
      </c>
      <c r="N95" t="str">
        <f t="shared" si="29"/>
        <v>5</v>
      </c>
      <c r="O95" t="str">
        <f t="shared" si="38"/>
        <v>copy .\dail_base3.dbr .\items\materia\class0008\Ranger93.dbr /y</v>
      </c>
      <c r="P95" t="str">
        <f t="shared" si="24"/>
        <v>echo relicBitmap,items/craftingparts/components/component_a52_bristlyfur_b.tex, &gt;&gt; .\items\materia\class0008\Ranger93.dbr</v>
      </c>
      <c r="Q95" t="str">
        <f t="shared" si="24"/>
        <v>echo itemCost,500000, &gt;&gt; .\items\materia\class0008\Ranger93.dbr</v>
      </c>
      <c r="R95" t="str">
        <f t="shared" si="24"/>
        <v>echo description,dailCompDescRanger93, &gt;&gt; .\items\materia\class0008\Ranger93.dbr</v>
      </c>
      <c r="S95" t="str">
        <f t="shared" si="24"/>
        <v>echo itemText,dailCompTextRanger93, &gt;&gt; .\items\materia\class0008\Ranger93.dbr</v>
      </c>
      <c r="T95" t="str">
        <f t="shared" si="24"/>
        <v>echo augmentSkillLevel1,5, &gt;&gt; .\items\materia\class0008\Ranger93.dbr</v>
      </c>
      <c r="U95" t="str">
        <f t="shared" si="24"/>
        <v>echo augmentSkillName1,records/skills/playerclass08/pl_attack_tra.dbr, &gt;&gt; .\items\materia\class0008\Ranger93.dbr</v>
      </c>
      <c r="V95" s="5" t="s">
        <v>36</v>
      </c>
      <c r="W95" t="str">
        <f t="shared" si="30"/>
        <v>echo lootName93,DAIL/items/materia/class0008/Ranger93.dbr, &gt;&gt; .\items\loottables\dailoneskill0008.dbr</v>
      </c>
      <c r="X95" t="str">
        <f t="shared" si="30"/>
        <v>echo lootWeight93,1, &gt;&gt; .\items\loottables\dailoneskill0008.dbr</v>
      </c>
      <c r="Y95" s="5" t="s">
        <v>36</v>
      </c>
      <c r="Z95" t="str">
        <f t="shared" si="31"/>
        <v xml:space="preserve"> dailCompDescRanger93=^pRanger's Gift of DAIL</v>
      </c>
      <c r="AA95" t="str">
        <f t="shared" si="39"/>
        <v>dailCompTextRanger93=^oThis feels warm to the touch, almost familiar ^w(This component only fits into the Medal Slot)</v>
      </c>
      <c r="AB95" s="5" t="s">
        <v>36</v>
      </c>
      <c r="AH95">
        <f t="shared" si="41"/>
        <v>90</v>
      </c>
      <c r="AI95">
        <f t="shared" si="35"/>
        <v>32</v>
      </c>
      <c r="AJ95">
        <f t="shared" si="40"/>
        <v>5</v>
      </c>
    </row>
    <row r="96" spans="1:36" x14ac:dyDescent="0.25">
      <c r="A96" s="5" t="s">
        <v>39</v>
      </c>
      <c r="B96" s="5" t="s">
        <v>30</v>
      </c>
      <c r="C96" s="5" t="str">
        <f t="shared" si="25"/>
        <v>description,dailCompDescRanger94,</v>
      </c>
      <c r="D96" s="5" t="str">
        <f t="shared" si="26"/>
        <v>itemText,dailCompTextRanger94,</v>
      </c>
      <c r="E96" s="5" t="str">
        <f t="shared" si="36"/>
        <v>augmentSkillLevel1,5,</v>
      </c>
      <c r="F96" s="5" t="str">
        <f t="shared" si="37"/>
        <v>augmentSkillName1,records/skills/playerclass08/p_attack_mod.dbr,</v>
      </c>
      <c r="G96" s="7">
        <f t="shared" si="32"/>
        <v>94</v>
      </c>
      <c r="H96" s="8" t="str">
        <f t="shared" si="33"/>
        <v>Ranger</v>
      </c>
      <c r="I96" s="3" t="s">
        <v>392</v>
      </c>
      <c r="J96" s="8" t="str">
        <f t="shared" si="42"/>
        <v>class0008</v>
      </c>
      <c r="K96" s="8" t="str">
        <f t="shared" si="42"/>
        <v>dailoneskill0008</v>
      </c>
      <c r="L96" s="5" t="str">
        <f t="shared" si="27"/>
        <v>lootName94,DAIL/items/materia/class0008/Ranger94.dbr,</v>
      </c>
      <c r="M96" s="5" t="str">
        <f t="shared" si="28"/>
        <v>lootWeight94,1,</v>
      </c>
      <c r="N96" t="str">
        <f t="shared" si="29"/>
        <v>5</v>
      </c>
      <c r="O96" t="str">
        <f t="shared" si="38"/>
        <v>copy .\dail_base3.dbr .\items\materia\class0008\Ranger94.dbr /y</v>
      </c>
      <c r="P96" t="str">
        <f t="shared" si="24"/>
        <v>echo relicBitmap,items/craftingparts/components/component_a52_bristlyfur_b.tex, &gt;&gt; .\items\materia\class0008\Ranger94.dbr</v>
      </c>
      <c r="Q96" t="str">
        <f t="shared" si="24"/>
        <v>echo itemCost,500000, &gt;&gt; .\items\materia\class0008\Ranger94.dbr</v>
      </c>
      <c r="R96" t="str">
        <f t="shared" si="24"/>
        <v>echo description,dailCompDescRanger94, &gt;&gt; .\items\materia\class0008\Ranger94.dbr</v>
      </c>
      <c r="S96" t="str">
        <f t="shared" si="24"/>
        <v>echo itemText,dailCompTextRanger94, &gt;&gt; .\items\materia\class0008\Ranger94.dbr</v>
      </c>
      <c r="T96" t="str">
        <f t="shared" si="24"/>
        <v>echo augmentSkillLevel1,5, &gt;&gt; .\items\materia\class0008\Ranger94.dbr</v>
      </c>
      <c r="U96" t="str">
        <f t="shared" si="24"/>
        <v>echo augmentSkillName1,records/skills/playerclass08/p_attack_mod.dbr, &gt;&gt; .\items\materia\class0008\Ranger94.dbr</v>
      </c>
      <c r="V96" s="5" t="s">
        <v>36</v>
      </c>
      <c r="W96" t="str">
        <f t="shared" si="30"/>
        <v>echo lootName94,DAIL/items/materia/class0008/Ranger94.dbr, &gt;&gt; .\items\loottables\dailoneskill0008.dbr</v>
      </c>
      <c r="X96" t="str">
        <f t="shared" si="30"/>
        <v>echo lootWeight94,1, &gt;&gt; .\items\loottables\dailoneskill0008.dbr</v>
      </c>
      <c r="Y96" s="5" t="s">
        <v>36</v>
      </c>
      <c r="Z96" t="str">
        <f t="shared" si="31"/>
        <v xml:space="preserve"> dailCompDescRanger94=^pRanger's Gift of DAIL</v>
      </c>
      <c r="AA96" t="str">
        <f t="shared" si="39"/>
        <v>dailCompTextRanger94=^oThis feels warm to the touch, almost familiar ^w(This component only fits into the Medal Slot)</v>
      </c>
      <c r="AB96" s="5" t="s">
        <v>36</v>
      </c>
      <c r="AH96">
        <f t="shared" si="41"/>
        <v>91</v>
      </c>
      <c r="AI96">
        <f t="shared" si="35"/>
        <v>31</v>
      </c>
      <c r="AJ96">
        <f t="shared" si="40"/>
        <v>5</v>
      </c>
    </row>
    <row r="97" spans="1:36" x14ac:dyDescent="0.25">
      <c r="A97" s="5" t="s">
        <v>39</v>
      </c>
      <c r="B97" s="5" t="s">
        <v>30</v>
      </c>
      <c r="C97" s="5" t="str">
        <f t="shared" si="25"/>
        <v>description,dailCompDescRanger95,</v>
      </c>
      <c r="D97" s="5" t="str">
        <f t="shared" si="26"/>
        <v>itemText,dailCompTextRanger95,</v>
      </c>
      <c r="E97" s="5" t="str">
        <f t="shared" si="36"/>
        <v>augmentSkillLevel1,5,</v>
      </c>
      <c r="F97" s="5" t="str">
        <f t="shared" si="37"/>
        <v>augmentSkillName1,records/skills/playerclass08/mutl_attack_tra.dbr,</v>
      </c>
      <c r="G97" s="7">
        <f t="shared" si="32"/>
        <v>95</v>
      </c>
      <c r="H97" s="8" t="str">
        <f t="shared" si="33"/>
        <v>Ranger</v>
      </c>
      <c r="I97" s="3" t="s">
        <v>393</v>
      </c>
      <c r="J97" s="8" t="str">
        <f t="shared" si="42"/>
        <v>class0008</v>
      </c>
      <c r="K97" s="8" t="str">
        <f t="shared" si="42"/>
        <v>dailoneskill0008</v>
      </c>
      <c r="L97" s="5" t="str">
        <f t="shared" si="27"/>
        <v>lootName95,DAIL/items/materia/class0008/Ranger95.dbr,</v>
      </c>
      <c r="M97" s="5" t="str">
        <f t="shared" si="28"/>
        <v>lootWeight95,1,</v>
      </c>
      <c r="N97" t="str">
        <f t="shared" si="29"/>
        <v>5</v>
      </c>
      <c r="O97" t="str">
        <f t="shared" si="38"/>
        <v>copy .\dail_base3.dbr .\items\materia\class0008\Ranger95.dbr /y</v>
      </c>
      <c r="P97" t="str">
        <f t="shared" si="24"/>
        <v>echo relicBitmap,items/craftingparts/components/component_a52_bristlyfur_b.tex, &gt;&gt; .\items\materia\class0008\Ranger95.dbr</v>
      </c>
      <c r="Q97" t="str">
        <f t="shared" si="24"/>
        <v>echo itemCost,500000, &gt;&gt; .\items\materia\class0008\Ranger95.dbr</v>
      </c>
      <c r="R97" t="str">
        <f t="shared" si="24"/>
        <v>echo description,dailCompDescRanger95, &gt;&gt; .\items\materia\class0008\Ranger95.dbr</v>
      </c>
      <c r="S97" t="str">
        <f t="shared" si="24"/>
        <v>echo itemText,dailCompTextRanger95, &gt;&gt; .\items\materia\class0008\Ranger95.dbr</v>
      </c>
      <c r="T97" t="str">
        <f t="shared" si="24"/>
        <v>echo augmentSkillLevel1,5, &gt;&gt; .\items\materia\class0008\Ranger95.dbr</v>
      </c>
      <c r="U97" t="str">
        <f t="shared" si="24"/>
        <v>echo augmentSkillName1,records/skills/playerclass08/mutl_attack_tra.dbr, &gt;&gt; .\items\materia\class0008\Ranger95.dbr</v>
      </c>
      <c r="V97" s="5" t="s">
        <v>36</v>
      </c>
      <c r="W97" t="str">
        <f t="shared" si="30"/>
        <v>echo lootName95,DAIL/items/materia/class0008/Ranger95.dbr, &gt;&gt; .\items\loottables\dailoneskill0008.dbr</v>
      </c>
      <c r="X97" t="str">
        <f t="shared" si="30"/>
        <v>echo lootWeight95,1, &gt;&gt; .\items\loottables\dailoneskill0008.dbr</v>
      </c>
      <c r="Y97" s="5" t="s">
        <v>36</v>
      </c>
      <c r="Z97" t="str">
        <f t="shared" si="31"/>
        <v xml:space="preserve"> dailCompDescRanger95=^pRanger's Gift of DAIL</v>
      </c>
      <c r="AA97" t="str">
        <f t="shared" si="39"/>
        <v>dailCompTextRanger95=^oThis feels warm to the touch, almost familiar ^w(This component only fits into the Medal Slot)</v>
      </c>
      <c r="AB97" s="5" t="s">
        <v>36</v>
      </c>
      <c r="AH97">
        <f t="shared" si="41"/>
        <v>92</v>
      </c>
      <c r="AI97">
        <f t="shared" si="35"/>
        <v>34</v>
      </c>
      <c r="AJ97">
        <f t="shared" si="40"/>
        <v>5</v>
      </c>
    </row>
    <row r="98" spans="1:36" x14ac:dyDescent="0.25">
      <c r="A98" s="5" t="s">
        <v>39</v>
      </c>
      <c r="B98" s="5" t="s">
        <v>30</v>
      </c>
      <c r="C98" s="5" t="str">
        <f t="shared" si="25"/>
        <v>description,dailCompDescRanger96,</v>
      </c>
      <c r="D98" s="5" t="str">
        <f t="shared" si="26"/>
        <v>itemText,dailCompTextRanger96,</v>
      </c>
      <c r="E98" s="5" t="str">
        <f t="shared" si="36"/>
        <v>augmentSkillLevel1,5,</v>
      </c>
      <c r="F98" s="5" t="str">
        <f t="shared" si="37"/>
        <v>augmentSkillName1,records/skills/playerclass08/mult_attack_mod.dbr,</v>
      </c>
      <c r="G98" s="7">
        <f t="shared" si="32"/>
        <v>96</v>
      </c>
      <c r="H98" s="8" t="str">
        <f t="shared" si="33"/>
        <v>Ranger</v>
      </c>
      <c r="I98" s="3" t="s">
        <v>394</v>
      </c>
      <c r="J98" s="8" t="str">
        <f t="shared" si="42"/>
        <v>class0008</v>
      </c>
      <c r="K98" s="8" t="str">
        <f t="shared" si="42"/>
        <v>dailoneskill0008</v>
      </c>
      <c r="L98" s="5" t="str">
        <f t="shared" si="27"/>
        <v>lootName96,DAIL/items/materia/class0008/Ranger96.dbr,</v>
      </c>
      <c r="M98" s="5" t="str">
        <f t="shared" si="28"/>
        <v>lootWeight96,1,</v>
      </c>
      <c r="N98" t="str">
        <f t="shared" si="29"/>
        <v>5</v>
      </c>
      <c r="O98" t="str">
        <f t="shared" si="38"/>
        <v>copy .\dail_base3.dbr .\items\materia\class0008\Ranger96.dbr /y</v>
      </c>
      <c r="P98" t="str">
        <f t="shared" si="24"/>
        <v>echo relicBitmap,items/craftingparts/components/component_a52_bristlyfur_b.tex, &gt;&gt; .\items\materia\class0008\Ranger96.dbr</v>
      </c>
      <c r="Q98" t="str">
        <f t="shared" si="24"/>
        <v>echo itemCost,500000, &gt;&gt; .\items\materia\class0008\Ranger96.dbr</v>
      </c>
      <c r="R98" t="str">
        <f t="shared" si="24"/>
        <v>echo description,dailCompDescRanger96, &gt;&gt; .\items\materia\class0008\Ranger96.dbr</v>
      </c>
      <c r="S98" t="str">
        <f t="shared" si="24"/>
        <v>echo itemText,dailCompTextRanger96, &gt;&gt; .\items\materia\class0008\Ranger96.dbr</v>
      </c>
      <c r="T98" t="str">
        <f t="shared" si="24"/>
        <v>echo augmentSkillLevel1,5, &gt;&gt; .\items\materia\class0008\Ranger96.dbr</v>
      </c>
      <c r="U98" t="str">
        <f t="shared" si="24"/>
        <v>echo augmentSkillName1,records/skills/playerclass08/mult_attack_mod.dbr, &gt;&gt; .\items\materia\class0008\Ranger96.dbr</v>
      </c>
      <c r="V98" s="5" t="s">
        <v>36</v>
      </c>
      <c r="W98" t="str">
        <f t="shared" si="30"/>
        <v>echo lootName96,DAIL/items/materia/class0008/Ranger96.dbr, &gt;&gt; .\items\loottables\dailoneskill0008.dbr</v>
      </c>
      <c r="X98" t="str">
        <f t="shared" si="30"/>
        <v>echo lootWeight96,1, &gt;&gt; .\items\loottables\dailoneskill0008.dbr</v>
      </c>
      <c r="Y98" s="5" t="s">
        <v>36</v>
      </c>
      <c r="Z98" t="str">
        <f t="shared" si="31"/>
        <v xml:space="preserve"> dailCompDescRanger96=^pRanger's Gift of DAIL</v>
      </c>
      <c r="AA98" t="str">
        <f t="shared" si="39"/>
        <v>dailCompTextRanger96=^oThis feels warm to the touch, almost familiar ^w(This component only fits into the Medal Slot)</v>
      </c>
      <c r="AB98" s="5" t="s">
        <v>36</v>
      </c>
      <c r="AH98">
        <f t="shared" si="41"/>
        <v>93</v>
      </c>
      <c r="AI98">
        <f t="shared" si="35"/>
        <v>34</v>
      </c>
      <c r="AJ98">
        <f t="shared" si="40"/>
        <v>5</v>
      </c>
    </row>
    <row r="99" spans="1:36" x14ac:dyDescent="0.25">
      <c r="A99" s="5" t="s">
        <v>39</v>
      </c>
      <c r="B99" s="5" t="s">
        <v>30</v>
      </c>
      <c r="C99" s="5" t="str">
        <f t="shared" si="25"/>
        <v>description,dailCompDescRanger97,</v>
      </c>
      <c r="D99" s="5" t="str">
        <f t="shared" si="26"/>
        <v>itemText,dailCompTextRanger97,</v>
      </c>
      <c r="E99" s="5" t="str">
        <f t="shared" si="36"/>
        <v>augmentSkillLevel1,5,</v>
      </c>
      <c r="F99" s="5" t="str">
        <f t="shared" si="37"/>
        <v>augmentSkillName1,records/skills/playerclass08/mult_attack_mod2.dbr,</v>
      </c>
      <c r="G99" s="7">
        <f t="shared" si="32"/>
        <v>97</v>
      </c>
      <c r="H99" s="8" t="str">
        <f t="shared" si="33"/>
        <v>Ranger</v>
      </c>
      <c r="I99" s="3" t="s">
        <v>395</v>
      </c>
      <c r="J99" s="8" t="str">
        <f t="shared" si="42"/>
        <v>class0008</v>
      </c>
      <c r="K99" s="8" t="str">
        <f t="shared" si="42"/>
        <v>dailoneskill0008</v>
      </c>
      <c r="L99" s="5" t="str">
        <f t="shared" si="27"/>
        <v>lootName97,DAIL/items/materia/class0008/Ranger97.dbr,</v>
      </c>
      <c r="M99" s="5" t="str">
        <f t="shared" si="28"/>
        <v>lootWeight97,1,</v>
      </c>
      <c r="N99" t="str">
        <f t="shared" si="29"/>
        <v>5</v>
      </c>
      <c r="O99" t="str">
        <f t="shared" si="38"/>
        <v>copy .\dail_base3.dbr .\items\materia\class0008\Ranger97.dbr /y</v>
      </c>
      <c r="P99" t="str">
        <f t="shared" si="24"/>
        <v>echo relicBitmap,items/craftingparts/components/component_a52_bristlyfur_b.tex, &gt;&gt; .\items\materia\class0008\Ranger97.dbr</v>
      </c>
      <c r="Q99" t="str">
        <f t="shared" si="24"/>
        <v>echo itemCost,500000, &gt;&gt; .\items\materia\class0008\Ranger97.dbr</v>
      </c>
      <c r="R99" t="str">
        <f t="shared" si="24"/>
        <v>echo description,dailCompDescRanger97, &gt;&gt; .\items\materia\class0008\Ranger97.dbr</v>
      </c>
      <c r="S99" t="str">
        <f t="shared" si="24"/>
        <v>echo itemText,dailCompTextRanger97, &gt;&gt; .\items\materia\class0008\Ranger97.dbr</v>
      </c>
      <c r="T99" t="str">
        <f t="shared" si="24"/>
        <v>echo augmentSkillLevel1,5, &gt;&gt; .\items\materia\class0008\Ranger97.dbr</v>
      </c>
      <c r="U99" t="str">
        <f t="shared" si="24"/>
        <v>echo augmentSkillName1,records/skills/playerclass08/mult_attack_mod2.dbr, &gt;&gt; .\items\materia\class0008\Ranger97.dbr</v>
      </c>
      <c r="V99" s="5" t="s">
        <v>36</v>
      </c>
      <c r="W99" t="str">
        <f t="shared" si="30"/>
        <v>echo lootName97,DAIL/items/materia/class0008/Ranger97.dbr, &gt;&gt; .\items\loottables\dailoneskill0008.dbr</v>
      </c>
      <c r="X99" t="str">
        <f t="shared" si="30"/>
        <v>echo lootWeight97,1, &gt;&gt; .\items\loottables\dailoneskill0008.dbr</v>
      </c>
      <c r="Y99" s="5" t="s">
        <v>36</v>
      </c>
      <c r="Z99" t="str">
        <f t="shared" si="31"/>
        <v xml:space="preserve"> dailCompDescRanger97=^pRanger's Gift of DAIL</v>
      </c>
      <c r="AA99" t="str">
        <f t="shared" si="39"/>
        <v>dailCompTextRanger97=^oThis feels warm to the touch, almost familiar ^w(This component only fits into the Medal Slot)</v>
      </c>
      <c r="AB99" s="5" t="s">
        <v>36</v>
      </c>
      <c r="AH99">
        <f t="shared" si="41"/>
        <v>94</v>
      </c>
      <c r="AI99">
        <f t="shared" si="35"/>
        <v>35</v>
      </c>
      <c r="AJ99">
        <f t="shared" si="40"/>
        <v>5</v>
      </c>
    </row>
    <row r="100" spans="1:36" x14ac:dyDescent="0.25">
      <c r="A100" s="5" t="s">
        <v>39</v>
      </c>
      <c r="B100" s="5" t="s">
        <v>30</v>
      </c>
      <c r="C100" s="5" t="str">
        <f t="shared" si="25"/>
        <v>description,dailCompDescRanger98,</v>
      </c>
      <c r="D100" s="5" t="str">
        <f t="shared" si="26"/>
        <v>itemText,dailCompTextRanger98,</v>
      </c>
      <c r="E100" s="5" t="str">
        <f t="shared" si="36"/>
        <v>augmentSkillLevel1,5,</v>
      </c>
      <c r="F100" s="5" t="str">
        <f t="shared" si="37"/>
        <v>augmentSkillName1,records/skills/playerclass08/passive1.dbr,</v>
      </c>
      <c r="G100" s="7">
        <f t="shared" si="32"/>
        <v>98</v>
      </c>
      <c r="H100" s="8" t="str">
        <f t="shared" si="33"/>
        <v>Ranger</v>
      </c>
      <c r="I100" s="3" t="s">
        <v>396</v>
      </c>
      <c r="J100" s="8" t="str">
        <f t="shared" si="42"/>
        <v>class0008</v>
      </c>
      <c r="K100" s="8" t="str">
        <f t="shared" si="42"/>
        <v>dailoneskill0008</v>
      </c>
      <c r="L100" s="5" t="str">
        <f t="shared" si="27"/>
        <v>lootName98,DAIL/items/materia/class0008/Ranger98.dbr,</v>
      </c>
      <c r="M100" s="5" t="str">
        <f t="shared" si="28"/>
        <v>lootWeight98,1,</v>
      </c>
      <c r="N100" t="str">
        <f t="shared" si="29"/>
        <v>5</v>
      </c>
      <c r="O100" t="str">
        <f t="shared" si="38"/>
        <v>copy .\dail_base3.dbr .\items\materia\class0008\Ranger98.dbr /y</v>
      </c>
      <c r="P100" t="str">
        <f t="shared" si="24"/>
        <v>echo relicBitmap,items/craftingparts/components/component_a52_bristlyfur_b.tex, &gt;&gt; .\items\materia\class0008\Ranger98.dbr</v>
      </c>
      <c r="Q100" t="str">
        <f t="shared" si="24"/>
        <v>echo itemCost,500000, &gt;&gt; .\items\materia\class0008\Ranger98.dbr</v>
      </c>
      <c r="R100" t="str">
        <f t="shared" si="24"/>
        <v>echo description,dailCompDescRanger98, &gt;&gt; .\items\materia\class0008\Ranger98.dbr</v>
      </c>
      <c r="S100" t="str">
        <f t="shared" si="24"/>
        <v>echo itemText,dailCompTextRanger98, &gt;&gt; .\items\materia\class0008\Ranger98.dbr</v>
      </c>
      <c r="T100" t="str">
        <f t="shared" si="24"/>
        <v>echo augmentSkillLevel1,5, &gt;&gt; .\items\materia\class0008\Ranger98.dbr</v>
      </c>
      <c r="U100" t="str">
        <f t="shared" si="24"/>
        <v>echo augmentSkillName1,records/skills/playerclass08/passive1.dbr, &gt;&gt; .\items\materia\class0008\Ranger98.dbr</v>
      </c>
      <c r="V100" s="5" t="s">
        <v>36</v>
      </c>
      <c r="W100" t="str">
        <f t="shared" si="30"/>
        <v>echo lootName98,DAIL/items/materia/class0008/Ranger98.dbr, &gt;&gt; .\items\loottables\dailoneskill0008.dbr</v>
      </c>
      <c r="X100" t="str">
        <f t="shared" si="30"/>
        <v>echo lootWeight98,1, &gt;&gt; .\items\loottables\dailoneskill0008.dbr</v>
      </c>
      <c r="Y100" s="5" t="s">
        <v>36</v>
      </c>
      <c r="Z100" t="str">
        <f t="shared" si="31"/>
        <v xml:space="preserve"> dailCompDescRanger98=^pRanger's Gift of DAIL</v>
      </c>
      <c r="AA100" t="str">
        <f t="shared" si="39"/>
        <v>dailCompTextRanger98=^oThis feels warm to the touch, almost familiar ^w(This component only fits into the Medal Slot)</v>
      </c>
      <c r="AB100" s="5" t="s">
        <v>36</v>
      </c>
      <c r="AH100">
        <f t="shared" si="41"/>
        <v>95</v>
      </c>
      <c r="AI100">
        <f t="shared" si="35"/>
        <v>27</v>
      </c>
      <c r="AJ100">
        <f t="shared" si="40"/>
        <v>5</v>
      </c>
    </row>
    <row r="101" spans="1:36" x14ac:dyDescent="0.25">
      <c r="A101" s="5" t="s">
        <v>39</v>
      </c>
      <c r="B101" s="5" t="s">
        <v>30</v>
      </c>
      <c r="C101" s="5" t="str">
        <f t="shared" si="25"/>
        <v>description,dailCompDescRanger99,</v>
      </c>
      <c r="D101" s="5" t="str">
        <f t="shared" si="26"/>
        <v>itemText,dailCompTextRanger99,</v>
      </c>
      <c r="E101" s="5" t="str">
        <f t="shared" si="36"/>
        <v>augmentSkillLevel1,5,</v>
      </c>
      <c r="F101" s="5" t="str">
        <f t="shared" si="37"/>
        <v>augmentSkillName1,records/skills/playerclass08/passive2.dbr,</v>
      </c>
      <c r="G101" s="7">
        <f t="shared" si="32"/>
        <v>99</v>
      </c>
      <c r="H101" s="8" t="str">
        <f t="shared" si="33"/>
        <v>Ranger</v>
      </c>
      <c r="I101" s="3" t="s">
        <v>397</v>
      </c>
      <c r="J101" s="8" t="str">
        <f t="shared" ref="J101:K102" si="43">J100</f>
        <v>class0008</v>
      </c>
      <c r="K101" s="8" t="str">
        <f t="shared" si="43"/>
        <v>dailoneskill0008</v>
      </c>
      <c r="L101" s="5" t="str">
        <f t="shared" si="27"/>
        <v>lootName99,DAIL/items/materia/class0008/Ranger99.dbr,</v>
      </c>
      <c r="M101" s="5" t="str">
        <f t="shared" si="28"/>
        <v>lootWeight99,1,</v>
      </c>
      <c r="N101" t="str">
        <f t="shared" si="29"/>
        <v>5</v>
      </c>
      <c r="O101" t="str">
        <f t="shared" si="38"/>
        <v>copy .\dail_base3.dbr .\items\materia\class0008\Ranger99.dbr /y</v>
      </c>
      <c r="P101" t="str">
        <f t="shared" si="24"/>
        <v>echo relicBitmap,items/craftingparts/components/component_a52_bristlyfur_b.tex, &gt;&gt; .\items\materia\class0008\Ranger99.dbr</v>
      </c>
      <c r="Q101" t="str">
        <f t="shared" si="24"/>
        <v>echo itemCost,500000, &gt;&gt; .\items\materia\class0008\Ranger99.dbr</v>
      </c>
      <c r="R101" t="str">
        <f t="shared" si="24"/>
        <v>echo description,dailCompDescRanger99, &gt;&gt; .\items\materia\class0008\Ranger99.dbr</v>
      </c>
      <c r="S101" t="str">
        <f t="shared" ref="S101:U102" si="44">IF($I101&lt;&gt;"","echo "&amp;D101&amp;" &gt;&gt; .\items\materia\"&amp;$J101&amp;"\"&amp;$H101&amp;$G101&amp;".dbr","")</f>
        <v>echo itemText,dailCompTextRanger99, &gt;&gt; .\items\materia\class0008\Ranger99.dbr</v>
      </c>
      <c r="T101" t="str">
        <f t="shared" si="44"/>
        <v>echo augmentSkillLevel1,5, &gt;&gt; .\items\materia\class0008\Ranger99.dbr</v>
      </c>
      <c r="U101" t="str">
        <f t="shared" si="44"/>
        <v>echo augmentSkillName1,records/skills/playerclass08/passive2.dbr, &gt;&gt; .\items\materia\class0008\Ranger99.dbr</v>
      </c>
      <c r="V101" s="5" t="s">
        <v>36</v>
      </c>
      <c r="W101" t="str">
        <f t="shared" si="30"/>
        <v>echo lootName99,DAIL/items/materia/class0008/Ranger99.dbr, &gt;&gt; .\items\loottables\dailoneskill0008.dbr</v>
      </c>
      <c r="X101" t="str">
        <f t="shared" si="30"/>
        <v>echo lootWeight99,1, &gt;&gt; .\items\loottables\dailoneskill0008.dbr</v>
      </c>
      <c r="Y101" s="5" t="s">
        <v>36</v>
      </c>
      <c r="Z101" t="str">
        <f t="shared" si="31"/>
        <v xml:space="preserve"> dailCompDescRanger99=^pRanger's Gift of DAIL</v>
      </c>
      <c r="AA101" t="str">
        <f t="shared" si="39"/>
        <v>dailCompTextRanger99=^oThis feels warm to the touch, almost familiar ^w(This component only fits into the Medal Slot)</v>
      </c>
      <c r="AB101" s="5" t="s">
        <v>36</v>
      </c>
      <c r="AH101">
        <f t="shared" si="41"/>
        <v>96</v>
      </c>
      <c r="AI101">
        <f t="shared" si="35"/>
        <v>27</v>
      </c>
      <c r="AJ101">
        <f t="shared" si="40"/>
        <v>5</v>
      </c>
    </row>
    <row r="102" spans="1:36" x14ac:dyDescent="0.25">
      <c r="A102" s="5" t="s">
        <v>39</v>
      </c>
      <c r="B102" s="5" t="s">
        <v>30</v>
      </c>
      <c r="C102" s="5" t="str">
        <f t="shared" si="25"/>
        <v>description,dailCompDescRanger100,</v>
      </c>
      <c r="D102" s="5" t="str">
        <f t="shared" si="26"/>
        <v>itemText,dailCompTextRanger100,</v>
      </c>
      <c r="E102" s="5" t="str">
        <f t="shared" si="36"/>
        <v>augmentSkillLevel1,5,</v>
      </c>
      <c r="F102" s="5" t="str">
        <f t="shared" si="37"/>
        <v>augmentSkillName1,records/skills/playerclass08/passive3.dbr,</v>
      </c>
      <c r="G102" s="7">
        <f t="shared" si="32"/>
        <v>100</v>
      </c>
      <c r="H102" s="8" t="str">
        <f t="shared" si="33"/>
        <v>Ranger</v>
      </c>
      <c r="I102" s="3" t="s">
        <v>398</v>
      </c>
      <c r="J102" s="8" t="str">
        <f t="shared" si="43"/>
        <v>class0008</v>
      </c>
      <c r="K102" s="8" t="str">
        <f t="shared" si="43"/>
        <v>dailoneskill0008</v>
      </c>
      <c r="L102" s="5" t="str">
        <f t="shared" si="27"/>
        <v>lootName100,DAIL/items/materia/class0008/Ranger100.dbr,</v>
      </c>
      <c r="M102" s="5" t="str">
        <f t="shared" si="28"/>
        <v>lootWeight100,1,</v>
      </c>
      <c r="N102" t="str">
        <f t="shared" si="29"/>
        <v>5</v>
      </c>
      <c r="O102" t="str">
        <f t="shared" si="38"/>
        <v>copy .\dail_base3.dbr .\items\materia\class0008\Ranger100.dbr /y</v>
      </c>
      <c r="P102" t="str">
        <f t="shared" ref="P102:R102" si="45">IF($I102&lt;&gt;"","echo "&amp;A102&amp;" &gt;&gt; .\items\materia\"&amp;$J102&amp;"\"&amp;$H102&amp;$G102&amp;".dbr","")</f>
        <v>echo relicBitmap,items/craftingparts/components/component_a52_bristlyfur_b.tex, &gt;&gt; .\items\materia\class0008\Ranger100.dbr</v>
      </c>
      <c r="Q102" t="str">
        <f t="shared" si="45"/>
        <v>echo itemCost,500000, &gt;&gt; .\items\materia\class0008\Ranger100.dbr</v>
      </c>
      <c r="R102" t="str">
        <f t="shared" si="45"/>
        <v>echo description,dailCompDescRanger100, &gt;&gt; .\items\materia\class0008\Ranger100.dbr</v>
      </c>
      <c r="S102" t="str">
        <f t="shared" si="44"/>
        <v>echo itemText,dailCompTextRanger100, &gt;&gt; .\items\materia\class0008\Ranger100.dbr</v>
      </c>
      <c r="T102" t="str">
        <f t="shared" si="44"/>
        <v>echo augmentSkillLevel1,5, &gt;&gt; .\items\materia\class0008\Ranger100.dbr</v>
      </c>
      <c r="U102" t="str">
        <f t="shared" si="44"/>
        <v>echo augmentSkillName1,records/skills/playerclass08/passive3.dbr, &gt;&gt; .\items\materia\class0008\Ranger100.dbr</v>
      </c>
      <c r="V102" s="5" t="s">
        <v>36</v>
      </c>
      <c r="W102" t="str">
        <f t="shared" si="30"/>
        <v>echo lootName100,DAIL/items/materia/class0008/Ranger100.dbr, &gt;&gt; .\items\loottables\dailoneskill0008.dbr</v>
      </c>
      <c r="X102" t="str">
        <f t="shared" si="30"/>
        <v>echo lootWeight100,1, &gt;&gt; .\items\loottables\dailoneskill0008.dbr</v>
      </c>
      <c r="Y102" s="5" t="s">
        <v>36</v>
      </c>
      <c r="Z102" t="str">
        <f t="shared" si="31"/>
        <v xml:space="preserve"> dailCompDescRanger100=^pRanger's Gift of DAIL</v>
      </c>
      <c r="AA102" t="str">
        <f t="shared" si="39"/>
        <v>dailCompTextRanger100=^oThis feels warm to the touch, almost familiar ^w(This component only fits into the Medal Slot)</v>
      </c>
      <c r="AB102" s="5" t="s">
        <v>36</v>
      </c>
      <c r="AH102">
        <f t="shared" si="41"/>
        <v>97</v>
      </c>
      <c r="AI102">
        <f t="shared" si="35"/>
        <v>27</v>
      </c>
      <c r="AJ102">
        <f t="shared" si="40"/>
        <v>5</v>
      </c>
    </row>
  </sheetData>
  <mergeCells count="1">
    <mergeCell ref="O2:U2"/>
  </mergeCells>
  <pageMargins left="0.7" right="0.7" top="0.75" bottom="0.75" header="0.3" footer="0.3"/>
  <pageSetup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AL102"/>
  <sheetViews>
    <sheetView topLeftCell="M1" zoomScaleNormal="100" workbookViewId="0">
      <selection activeCell="U3" sqref="U3:U102"/>
    </sheetView>
  </sheetViews>
  <sheetFormatPr defaultRowHeight="15" x14ac:dyDescent="0.25"/>
  <cols>
    <col min="1" max="1" width="73.85546875" style="5" bestFit="1" customWidth="1"/>
    <col min="2" max="2" width="16.28515625" style="5" bestFit="1" customWidth="1"/>
    <col min="3" max="3" width="32.7109375" style="5" bestFit="1" customWidth="1"/>
    <col min="4" max="4" width="31.42578125" style="5" bestFit="1" customWidth="1"/>
    <col min="5" max="5" width="24.28515625" style="5" bestFit="1" customWidth="1"/>
    <col min="6" max="6" width="73.5703125" style="5" bestFit="1" customWidth="1"/>
    <col min="7" max="7" width="5.85546875" style="8" bestFit="1" customWidth="1"/>
    <col min="8" max="8" width="7.85546875" style="3" bestFit="1" customWidth="1"/>
    <col min="9" max="9" width="38.140625" style="3" bestFit="1" customWidth="1"/>
    <col min="10" max="10" width="9.140625" style="3" bestFit="1" customWidth="1"/>
    <col min="11" max="11" width="18.140625" style="3" customWidth="1"/>
    <col min="12" max="12" width="51.85546875" style="5" bestFit="1" customWidth="1"/>
    <col min="13" max="13" width="21.28515625" style="5" customWidth="1"/>
    <col min="15" max="15" width="10.5703125" customWidth="1"/>
    <col min="22" max="22" width="1.5703125" style="5" customWidth="1"/>
    <col min="23" max="23" width="9.5703125" customWidth="1"/>
    <col min="25" max="25" width="1.5703125" style="5" bestFit="1" customWidth="1"/>
    <col min="26" max="26" width="46.7109375" bestFit="1" customWidth="1"/>
    <col min="27" max="27" width="29.140625" customWidth="1"/>
    <col min="28" max="28" width="1.5703125" style="5" bestFit="1" customWidth="1"/>
    <col min="31" max="31" width="14.140625" bestFit="1" customWidth="1"/>
  </cols>
  <sheetData>
    <row r="1" spans="1:38" x14ac:dyDescent="0.25">
      <c r="G1" s="5"/>
      <c r="H1" s="5"/>
      <c r="I1" s="5"/>
      <c r="J1" s="5"/>
      <c r="K1" s="5"/>
      <c r="N1" s="5"/>
      <c r="O1" s="9"/>
      <c r="P1" s="9"/>
      <c r="Q1" s="9"/>
      <c r="R1" s="9"/>
      <c r="S1" s="9"/>
      <c r="T1" s="9"/>
      <c r="U1" s="9"/>
      <c r="W1" s="9"/>
      <c r="X1" s="9"/>
      <c r="Z1" s="9"/>
      <c r="AA1" s="9"/>
    </row>
    <row r="2" spans="1:38" x14ac:dyDescent="0.25">
      <c r="A2" s="4" t="s">
        <v>2</v>
      </c>
      <c r="B2" s="4" t="s">
        <v>3</v>
      </c>
      <c r="C2" s="4" t="s">
        <v>4</v>
      </c>
      <c r="D2" s="4" t="s">
        <v>5</v>
      </c>
      <c r="E2" s="4" t="s">
        <v>6</v>
      </c>
      <c r="F2" s="4" t="s">
        <v>7</v>
      </c>
      <c r="G2" s="6" t="s">
        <v>9</v>
      </c>
      <c r="H2" s="2" t="s">
        <v>26</v>
      </c>
      <c r="I2" s="2" t="s">
        <v>8</v>
      </c>
      <c r="J2" s="2" t="s">
        <v>33</v>
      </c>
      <c r="K2" s="2" t="s">
        <v>38</v>
      </c>
      <c r="L2" s="4" t="s">
        <v>31</v>
      </c>
      <c r="M2" s="4" t="s">
        <v>32</v>
      </c>
      <c r="O2" s="11" t="str">
        <f>"Copy from N to T Into the files named "&amp;H3&amp;G3&amp;" etc"</f>
        <v>Copy from N to T Into the files named Coronus1 etc</v>
      </c>
      <c r="P2" s="11"/>
      <c r="Q2" s="11"/>
      <c r="R2" s="11"/>
      <c r="S2" s="11"/>
      <c r="T2" s="11"/>
      <c r="U2" s="11"/>
      <c r="W2" s="1" t="s">
        <v>35</v>
      </c>
      <c r="Z2" s="1" t="s">
        <v>40</v>
      </c>
      <c r="AD2" t="s">
        <v>44</v>
      </c>
    </row>
    <row r="3" spans="1:38" x14ac:dyDescent="0.25">
      <c r="A3" s="5" t="s">
        <v>39</v>
      </c>
      <c r="B3" s="5" t="s">
        <v>0</v>
      </c>
      <c r="C3" s="5" t="str">
        <f t="shared" ref="C3:C66" si="0">"description,dailCompDesc"&amp;H3&amp;G3&amp;","</f>
        <v>description,dailCompDescCoronus1,</v>
      </c>
      <c r="D3" s="5" t="str">
        <f>"itemText,dailCompText"&amp;H3&amp;G3&amp;","</f>
        <v>itemText,dailCompTextCoronus1,</v>
      </c>
      <c r="E3" s="5" t="s">
        <v>24</v>
      </c>
      <c r="F3" s="5" t="str">
        <f>"augmentMasteryName1,records/skills"&amp;I3&amp;","</f>
        <v>augmentMasteryName1,records/skills/PlayerClassCoronus/_ClassTraining_ClassCoronus.dbr,</v>
      </c>
      <c r="G3" s="7">
        <f>IF(I3&lt;&gt;"",1,"")</f>
        <v>1</v>
      </c>
      <c r="H3" s="3" t="s">
        <v>81</v>
      </c>
      <c r="I3" s="3" t="s">
        <v>165</v>
      </c>
      <c r="J3" s="3" t="s">
        <v>82</v>
      </c>
      <c r="K3" s="3" t="s">
        <v>83</v>
      </c>
      <c r="L3" s="5" t="str">
        <f>"lootName"&amp;G3&amp;",DAIL/items/materia/"&amp;J3&amp;"/"&amp;H3&amp;G3&amp;".dbr"&amp;","</f>
        <v>lootName1,DAIL/items/materia/class0009/Coronus1.dbr,</v>
      </c>
      <c r="M3" s="5" t="str">
        <f>"lootWeight"&amp;G3&amp;",1,"</f>
        <v>lootWeight1,1,</v>
      </c>
      <c r="N3" t="str">
        <f>LEFT(RIGHT(E3,2),1)</f>
        <v>1</v>
      </c>
      <c r="O3" s="5" t="str">
        <f>IF(I3&lt;&gt;"","copy .\dail_base2.dbr .\items\materia\"&amp;J3&amp;"\"&amp;H3&amp;G3&amp;".dbr /y"&amp;"","")</f>
        <v>copy .\dail_base2.dbr .\items\materia\class0009\Coronus1.dbr /y</v>
      </c>
      <c r="P3" t="str">
        <f>IF($I3&lt;&gt;"","echo "&amp;A3&amp;" &gt;&gt; .\items\materia\"&amp;$J3&amp;"\"&amp;$H3&amp;$G3&amp;".dbr","")</f>
        <v>echo relicBitmap,items/craftingparts/components/component_a52_bristlyfur_b.tex, &gt;&gt; .\items\materia\class0009\Coronus1.dbr</v>
      </c>
      <c r="Q3" t="str">
        <f t="shared" ref="Q3:U18" si="1">IF($I3&lt;&gt;"","echo "&amp;B3&amp;" &gt;&gt; .\items\materia\"&amp;$J3&amp;"\"&amp;$H3&amp;$G3&amp;".dbr","")</f>
        <v>echo itemCost,100000, &gt;&gt; .\items\materia\class0009\Coronus1.dbr</v>
      </c>
      <c r="R3" t="str">
        <f t="shared" si="1"/>
        <v>echo description,dailCompDescCoronus1, &gt;&gt; .\items\materia\class0009\Coronus1.dbr</v>
      </c>
      <c r="S3" t="str">
        <f t="shared" si="1"/>
        <v>echo itemText,dailCompTextCoronus1, &gt;&gt; .\items\materia\class0009\Coronus1.dbr</v>
      </c>
      <c r="T3" t="str">
        <f t="shared" si="1"/>
        <v>echo augmentMasteryLevel1,1, &gt;&gt; .\items\materia\class0009\Coronus1.dbr</v>
      </c>
      <c r="U3" t="str">
        <f t="shared" si="1"/>
        <v>echo augmentMasteryName1,records/skills/PlayerClassCoronus/_ClassTraining_ClassCoronus.dbr, &gt;&gt; .\items\materia\class0009\Coronus1.dbr</v>
      </c>
      <c r="V3" s="5" t="s">
        <v>36</v>
      </c>
      <c r="W3" t="str">
        <f>IF($I3&lt;&gt;"","echo "&amp;L3&amp;" &gt;&gt; .\items\loottables\"&amp;$K3&amp;".dbr","")</f>
        <v>echo lootName1,DAIL/items/materia/class0009/Coronus1.dbr, &gt;&gt; .\items\loottables\dailoneskill0009.dbr</v>
      </c>
      <c r="X3" t="str">
        <f>IF($I3&lt;&gt;"","echo "&amp;M3&amp;" &gt;&gt; .\items\loottables\"&amp;$K3&amp;".dbr","")</f>
        <v>echo lootWeight1,1, &gt;&gt; .\items\loottables\dailoneskill0009.dbr</v>
      </c>
      <c r="Y3" s="5" t="s">
        <v>36</v>
      </c>
      <c r="Z3" s="10" t="str">
        <f>IF(I2&lt;&gt;""," dailCompDesc"&amp;H3&amp;G3&amp;"=^p"&amp;H3&amp;"'s Gift of DAIL","")</f>
        <v xml:space="preserve"> dailCompDescCoronus1=^pCoronus's Gift of DAIL</v>
      </c>
      <c r="AA3" s="10" t="str">
        <f>IF(I2&lt;&gt;"","dailCompText"&amp;H3&amp;G3&amp;"=^oThis feels warm to the touch, almost familiar ^w(This component fits into the amulet only)","")</f>
        <v>dailCompTextCoronus1=^oThis feels warm to the touch, almost familiar ^w(This component fits into the amulet only)</v>
      </c>
      <c r="AB3" s="5" t="s">
        <v>36</v>
      </c>
      <c r="AD3">
        <v>1</v>
      </c>
      <c r="AE3" t="s">
        <v>42</v>
      </c>
      <c r="AF3" t="s">
        <v>45</v>
      </c>
    </row>
    <row r="4" spans="1:38" x14ac:dyDescent="0.25">
      <c r="A4" s="5" t="s">
        <v>39</v>
      </c>
      <c r="B4" s="5" t="s">
        <v>28</v>
      </c>
      <c r="C4" s="5" t="str">
        <f t="shared" si="0"/>
        <v>description,dailCompDescCoronus2,</v>
      </c>
      <c r="D4" s="5" t="str">
        <f t="shared" ref="D4:D67" si="2">"itemText,dailCompText"&amp;H4&amp;G4&amp;","</f>
        <v>itemText,dailCompTextCoronus2,</v>
      </c>
      <c r="E4" s="5" t="s">
        <v>1</v>
      </c>
      <c r="F4" s="5" t="str">
        <f t="shared" ref="F4:F5" si="3">"augmentMasteryName1,records/skills"&amp;I4&amp;","</f>
        <v>augmentMasteryName1,records/skills/PlayerClassCoronus/_ClassTraining_ClassCoronus.dbr,</v>
      </c>
      <c r="G4" s="7">
        <f>IF(I4&lt;&gt;"",G3+1,"")</f>
        <v>2</v>
      </c>
      <c r="H4" s="8" t="str">
        <f>H3</f>
        <v>Coronus</v>
      </c>
      <c r="I4" s="3" t="s">
        <v>165</v>
      </c>
      <c r="J4" s="8" t="str">
        <f>J3</f>
        <v>class0009</v>
      </c>
      <c r="K4" s="8" t="str">
        <f>K3</f>
        <v>dailoneskill0009</v>
      </c>
      <c r="L4" s="5" t="str">
        <f t="shared" ref="L4:L67" si="4">"lootName"&amp;G4&amp;",DAIL/items/materia/"&amp;J4&amp;"/"&amp;H4&amp;G4&amp;".dbr"&amp;","</f>
        <v>lootName2,DAIL/items/materia/class0009/Coronus2.dbr,</v>
      </c>
      <c r="M4" s="5" t="str">
        <f t="shared" ref="M4:M67" si="5">"lootWeight"&amp;G4&amp;",1,"</f>
        <v>lootWeight2,1,</v>
      </c>
      <c r="N4" t="str">
        <f t="shared" ref="N4:N67" si="6">LEFT(RIGHT(E4,2),1)</f>
        <v>2</v>
      </c>
      <c r="O4" s="5" t="str">
        <f>IF(I4&lt;&gt;"","copy .\dail_base2.dbr .\items\materia\"&amp;J4&amp;"\"&amp;H4&amp;G4&amp;".dbr /y"&amp;"","")</f>
        <v>copy .\dail_base2.dbr .\items\materia\class0009\Coronus2.dbr /y</v>
      </c>
      <c r="P4" t="str">
        <f t="shared" ref="P4:U58" si="7">IF($I4&lt;&gt;"","echo "&amp;A4&amp;" &gt;&gt; .\items\materia\"&amp;$J4&amp;"\"&amp;$H4&amp;$G4&amp;".dbr","")</f>
        <v>echo relicBitmap,items/craftingparts/components/component_a52_bristlyfur_b.tex, &gt;&gt; .\items\materia\class0009\Coronus2.dbr</v>
      </c>
      <c r="Q4" t="str">
        <f t="shared" si="1"/>
        <v>echo itemCost,300000, &gt;&gt; .\items\materia\class0009\Coronus2.dbr</v>
      </c>
      <c r="R4" t="str">
        <f t="shared" si="1"/>
        <v>echo description,dailCompDescCoronus2, &gt;&gt; .\items\materia\class0009\Coronus2.dbr</v>
      </c>
      <c r="S4" t="str">
        <f t="shared" si="1"/>
        <v>echo itemText,dailCompTextCoronus2, &gt;&gt; .\items\materia\class0009\Coronus2.dbr</v>
      </c>
      <c r="T4" t="str">
        <f t="shared" si="1"/>
        <v>echo augmentMasteryLevel1,2, &gt;&gt; .\items\materia\class0009\Coronus2.dbr</v>
      </c>
      <c r="U4" t="str">
        <f t="shared" si="1"/>
        <v>echo augmentMasteryName1,records/skills/PlayerClassCoronus/_ClassTraining_ClassCoronus.dbr, &gt;&gt; .\items\materia\class0009\Coronus2.dbr</v>
      </c>
      <c r="V4" s="5" t="s">
        <v>36</v>
      </c>
      <c r="W4" t="str">
        <f t="shared" ref="W4:X67" si="8">IF($I4&lt;&gt;"","echo "&amp;L4&amp;" &gt;&gt; .\items\loottables\"&amp;$K4&amp;".dbr","")</f>
        <v>echo lootName2,DAIL/items/materia/class0009/Coronus2.dbr, &gt;&gt; .\items\loottables\dailoneskill0009.dbr</v>
      </c>
      <c r="X4" t="str">
        <f t="shared" si="8"/>
        <v>echo lootWeight2,1, &gt;&gt; .\items\loottables\dailoneskill0009.dbr</v>
      </c>
      <c r="Y4" s="5" t="s">
        <v>36</v>
      </c>
      <c r="Z4" s="10" t="str">
        <f t="shared" ref="Z4:Z67" si="9">IF(I3&lt;&gt;""," dailCompDesc"&amp;H4&amp;G4&amp;"=^p"&amp;H4&amp;"'s Gift of DAIL","")</f>
        <v xml:space="preserve"> dailCompDescCoronus2=^pCoronus's Gift of DAIL</v>
      </c>
      <c r="AA4" s="10" t="str">
        <f>IF(I3&lt;&gt;"","dailCompText"&amp;H4&amp;G4&amp;"=^oThis feels warm to the touch, almost familiar ^w(This component fits into the amulet only)","")</f>
        <v>dailCompTextCoronus2=^oThis feels warm to the touch, almost familiar ^w(This component fits into the amulet only)</v>
      </c>
      <c r="AB4" s="5" t="s">
        <v>36</v>
      </c>
      <c r="AD4">
        <v>3</v>
      </c>
      <c r="AE4" t="s">
        <v>43</v>
      </c>
      <c r="AF4" t="s">
        <v>46</v>
      </c>
    </row>
    <row r="5" spans="1:38" x14ac:dyDescent="0.25">
      <c r="A5" s="5" t="s">
        <v>39</v>
      </c>
      <c r="B5" s="5" t="s">
        <v>29</v>
      </c>
      <c r="C5" s="5" t="str">
        <f t="shared" si="0"/>
        <v>description,dailCompDescCoronus3,</v>
      </c>
      <c r="D5" s="5" t="str">
        <f t="shared" si="2"/>
        <v>itemText,dailCompTextCoronus3,</v>
      </c>
      <c r="E5" s="5" t="s">
        <v>25</v>
      </c>
      <c r="F5" s="5" t="str">
        <f t="shared" si="3"/>
        <v>augmentMasteryName1,records/skills/PlayerClassCoronus/_ClassTraining_ClassCoronus.dbr,</v>
      </c>
      <c r="G5" s="7">
        <f t="shared" ref="G5:G68" si="10">IF(I5&lt;&gt;"",G4+1,"")</f>
        <v>3</v>
      </c>
      <c r="H5" s="8" t="str">
        <f t="shared" ref="H5:H68" si="11">H4</f>
        <v>Coronus</v>
      </c>
      <c r="I5" s="3" t="s">
        <v>165</v>
      </c>
      <c r="J5" s="8" t="str">
        <f t="shared" ref="J5:K20" si="12">J4</f>
        <v>class0009</v>
      </c>
      <c r="K5" s="8" t="str">
        <f t="shared" si="12"/>
        <v>dailoneskill0009</v>
      </c>
      <c r="L5" s="5" t="str">
        <f t="shared" si="4"/>
        <v>lootName3,DAIL/items/materia/class0009/Coronus3.dbr,</v>
      </c>
      <c r="M5" s="5" t="str">
        <f t="shared" si="5"/>
        <v>lootWeight3,1,</v>
      </c>
      <c r="N5" t="str">
        <f t="shared" si="6"/>
        <v>3</v>
      </c>
      <c r="O5" s="5" t="str">
        <f>IF(I5&lt;&gt;"","copy .\dail_base2.dbr .\items\materia\"&amp;J5&amp;"\"&amp;H5&amp;G5&amp;".dbr /y"&amp;"","")</f>
        <v>copy .\dail_base2.dbr .\items\materia\class0009\Coronus3.dbr /y</v>
      </c>
      <c r="P5" t="str">
        <f t="shared" si="7"/>
        <v>echo relicBitmap,items/craftingparts/components/component_a52_bristlyfur_b.tex, &gt;&gt; .\items\materia\class0009\Coronus3.dbr</v>
      </c>
      <c r="Q5" t="str">
        <f t="shared" si="1"/>
        <v>echo itemCost,600000, &gt;&gt; .\items\materia\class0009\Coronus3.dbr</v>
      </c>
      <c r="R5" t="str">
        <f t="shared" si="1"/>
        <v>echo description,dailCompDescCoronus3, &gt;&gt; .\items\materia\class0009\Coronus3.dbr</v>
      </c>
      <c r="S5" t="str">
        <f t="shared" si="1"/>
        <v>echo itemText,dailCompTextCoronus3, &gt;&gt; .\items\materia\class0009\Coronus3.dbr</v>
      </c>
      <c r="T5" t="str">
        <f t="shared" si="1"/>
        <v>echo augmentMasteryLevel1,3, &gt;&gt; .\items\materia\class0009\Coronus3.dbr</v>
      </c>
      <c r="U5" t="str">
        <f t="shared" si="1"/>
        <v>echo augmentMasteryName1,records/skills/PlayerClassCoronus/_ClassTraining_ClassCoronus.dbr, &gt;&gt; .\items\materia\class0009\Coronus3.dbr</v>
      </c>
      <c r="V5" s="5" t="s">
        <v>36</v>
      </c>
      <c r="W5" t="str">
        <f t="shared" si="8"/>
        <v>echo lootName3,DAIL/items/materia/class0009/Coronus3.dbr, &gt;&gt; .\items\loottables\dailoneskill0009.dbr</v>
      </c>
      <c r="X5" t="str">
        <f t="shared" si="8"/>
        <v>echo lootWeight3,1, &gt;&gt; .\items\loottables\dailoneskill0009.dbr</v>
      </c>
      <c r="Y5" s="5" t="s">
        <v>36</v>
      </c>
      <c r="Z5" s="10" t="str">
        <f t="shared" si="9"/>
        <v xml:space="preserve"> dailCompDescCoronus3=^pCoronus's Gift of DAIL</v>
      </c>
      <c r="AA5" s="10" t="str">
        <f>IF(I4&lt;&gt;"","dailCompText"&amp;H5&amp;G5&amp;"=^oThis feels warm to the touch, almost familiar ^w(This component fits into the amulet only)","")</f>
        <v>dailCompTextCoronus3=^oThis feels warm to the touch, almost familiar ^w(This component fits into the amulet only)</v>
      </c>
      <c r="AB5" s="5" t="s">
        <v>36</v>
      </c>
      <c r="AD5">
        <v>5</v>
      </c>
      <c r="AE5" t="s">
        <v>43</v>
      </c>
      <c r="AF5" t="s">
        <v>46</v>
      </c>
      <c r="AI5" t="s">
        <v>61</v>
      </c>
    </row>
    <row r="6" spans="1:38" x14ac:dyDescent="0.25">
      <c r="A6" s="5" t="s">
        <v>39</v>
      </c>
      <c r="B6" s="5" t="s">
        <v>0</v>
      </c>
      <c r="C6" s="5" t="str">
        <f t="shared" si="0"/>
        <v>description,dailCompDescCoronus4,</v>
      </c>
      <c r="D6" s="5" t="str">
        <f t="shared" si="2"/>
        <v>itemText,dailCompTextCoronus4,</v>
      </c>
      <c r="E6" s="5" t="str">
        <f>"augmentSkillLevel1,"&amp;AJ6&amp;","</f>
        <v>augmentSkillLevel1,1,</v>
      </c>
      <c r="F6" s="5" t="str">
        <f>"augmentSkillName1,records/skills"&amp;I6&amp;","</f>
        <v>augmentSkillName1,records/skills/playerclasscoronus/trouble1.dbr,</v>
      </c>
      <c r="G6" s="7">
        <f t="shared" si="10"/>
        <v>4</v>
      </c>
      <c r="H6" s="8" t="str">
        <f t="shared" si="11"/>
        <v>Coronus</v>
      </c>
      <c r="I6" s="3" t="s">
        <v>399</v>
      </c>
      <c r="J6" s="8" t="str">
        <f t="shared" si="12"/>
        <v>class0009</v>
      </c>
      <c r="K6" s="8" t="str">
        <f t="shared" si="12"/>
        <v>dailoneskill0009</v>
      </c>
      <c r="L6" s="5" t="str">
        <f t="shared" si="4"/>
        <v>lootName4,DAIL/items/materia/class0009/Coronus4.dbr,</v>
      </c>
      <c r="M6" s="5" t="str">
        <f t="shared" si="5"/>
        <v>lootWeight4,1,</v>
      </c>
      <c r="N6" t="str">
        <f t="shared" si="6"/>
        <v>1</v>
      </c>
      <c r="O6" t="str">
        <f>IF(I6&lt;&gt;"","copy .\"&amp;VLOOKUP(VALUE(N6),$AD$3:$AF$5,2,FALSE)&amp;" .\items\materia\"&amp;J6&amp;"\"&amp;H6&amp;G6&amp;".dbr /y"&amp;"","")</f>
        <v>copy .\dail_base.dbr .\items\materia\class0009\Coronus4.dbr /y</v>
      </c>
      <c r="P6" t="str">
        <f t="shared" si="7"/>
        <v>echo relicBitmap,items/craftingparts/components/component_a52_bristlyfur_b.tex, &gt;&gt; .\items\materia\class0009\Coronus4.dbr</v>
      </c>
      <c r="Q6" t="str">
        <f t="shared" si="1"/>
        <v>echo itemCost,100000, &gt;&gt; .\items\materia\class0009\Coronus4.dbr</v>
      </c>
      <c r="R6" t="str">
        <f t="shared" si="1"/>
        <v>echo description,dailCompDescCoronus4, &gt;&gt; .\items\materia\class0009\Coronus4.dbr</v>
      </c>
      <c r="S6" t="str">
        <f t="shared" si="1"/>
        <v>echo itemText,dailCompTextCoronus4, &gt;&gt; .\items\materia\class0009\Coronus4.dbr</v>
      </c>
      <c r="T6" t="str">
        <f t="shared" si="1"/>
        <v>echo augmentSkillLevel1,1, &gt;&gt; .\items\materia\class0009\Coronus4.dbr</v>
      </c>
      <c r="U6" t="str">
        <f t="shared" si="1"/>
        <v>echo augmentSkillName1,records/skills/playerclasscoronus/trouble1.dbr, &gt;&gt; .\items\materia\class0009\Coronus4.dbr</v>
      </c>
      <c r="V6" s="5" t="s">
        <v>36</v>
      </c>
      <c r="W6" t="str">
        <f t="shared" si="8"/>
        <v>echo lootName4,DAIL/items/materia/class0009/Coronus4.dbr, &gt;&gt; .\items\loottables\dailoneskill0009.dbr</v>
      </c>
      <c r="X6" t="str">
        <f t="shared" si="8"/>
        <v>echo lootWeight4,1, &gt;&gt; .\items\loottables\dailoneskill0009.dbr</v>
      </c>
      <c r="Y6" s="5" t="s">
        <v>36</v>
      </c>
      <c r="Z6" t="str">
        <f t="shared" si="9"/>
        <v xml:space="preserve"> dailCompDescCoronus4=^pCoronus's Gift of DAIL</v>
      </c>
      <c r="AA6" t="str">
        <f>IF(I5&lt;&gt;"","dailCompText"&amp;H6&amp;G6&amp;"=^oThis feels warm to the touch, almost familiar ^w("&amp;VLOOKUP(VALUE(N6),$AD$3:$AF$5,3,FALSE)&amp;")","")</f>
        <v>dailCompTextCoronus4=^oThis feels warm to the touch, almost familiar ^w(This component fits into all Jewellery slots including the Belt And Shoulder)</v>
      </c>
      <c r="AB6" s="5" t="s">
        <v>36</v>
      </c>
      <c r="AH6">
        <v>1</v>
      </c>
      <c r="AI6">
        <f t="shared" ref="AI6:AI37" si="13">LEN(I6)</f>
        <v>32</v>
      </c>
      <c r="AJ6">
        <f>IF(AH6&lt;$AL$7,1,IF(AH6&lt;$AL$8,3,5))</f>
        <v>1</v>
      </c>
      <c r="AK6" s="1" t="s">
        <v>62</v>
      </c>
      <c r="AL6" s="1">
        <f>COUNTIF(AI:AI,"&gt;0")</f>
        <v>54</v>
      </c>
    </row>
    <row r="7" spans="1:38" x14ac:dyDescent="0.25">
      <c r="A7" s="5" t="s">
        <v>39</v>
      </c>
      <c r="B7" s="5" t="s">
        <v>0</v>
      </c>
      <c r="C7" s="5" t="str">
        <f t="shared" si="0"/>
        <v>description,dailCompDescCoronus5,</v>
      </c>
      <c r="D7" s="5" t="str">
        <f t="shared" si="2"/>
        <v>itemText,dailCompTextCoronus5,</v>
      </c>
      <c r="E7" s="5" t="str">
        <f t="shared" ref="E7:E70" si="14">"augmentSkillLevel1,"&amp;AJ7&amp;","</f>
        <v>augmentSkillLevel1,1,</v>
      </c>
      <c r="F7" s="5" t="str">
        <f t="shared" ref="F7:F70" si="15">"augmentSkillName1,records/skills"&amp;I7&amp;","</f>
        <v>augmentSkillName1,records/skills/playerclasscoronus/trouble2_petmodifier.dbr,</v>
      </c>
      <c r="G7" s="7">
        <f t="shared" si="10"/>
        <v>5</v>
      </c>
      <c r="H7" s="8" t="str">
        <f t="shared" si="11"/>
        <v>Coronus</v>
      </c>
      <c r="I7" s="3" t="s">
        <v>400</v>
      </c>
      <c r="J7" s="8" t="str">
        <f t="shared" si="12"/>
        <v>class0009</v>
      </c>
      <c r="K7" s="8" t="str">
        <f t="shared" si="12"/>
        <v>dailoneskill0009</v>
      </c>
      <c r="L7" s="5" t="str">
        <f t="shared" si="4"/>
        <v>lootName5,DAIL/items/materia/class0009/Coronus5.dbr,</v>
      </c>
      <c r="M7" s="5" t="str">
        <f t="shared" si="5"/>
        <v>lootWeight5,1,</v>
      </c>
      <c r="N7" t="str">
        <f t="shared" si="6"/>
        <v>1</v>
      </c>
      <c r="O7" t="str">
        <f t="shared" ref="O7:O70" si="16">IF(I7&lt;&gt;"","copy .\"&amp;VLOOKUP(VALUE(N7),$AD$3:$AF$5,2,FALSE)&amp;" .\items\materia\"&amp;J7&amp;"\"&amp;H7&amp;G7&amp;".dbr /y"&amp;"","")</f>
        <v>copy .\dail_base.dbr .\items\materia\class0009\Coronus5.dbr /y</v>
      </c>
      <c r="P7" t="str">
        <f t="shared" si="7"/>
        <v>echo relicBitmap,items/craftingparts/components/component_a52_bristlyfur_b.tex, &gt;&gt; .\items\materia\class0009\Coronus5.dbr</v>
      </c>
      <c r="Q7" t="str">
        <f t="shared" si="1"/>
        <v>echo itemCost,100000, &gt;&gt; .\items\materia\class0009\Coronus5.dbr</v>
      </c>
      <c r="R7" t="str">
        <f t="shared" si="1"/>
        <v>echo description,dailCompDescCoronus5, &gt;&gt; .\items\materia\class0009\Coronus5.dbr</v>
      </c>
      <c r="S7" t="str">
        <f t="shared" si="1"/>
        <v>echo itemText,dailCompTextCoronus5, &gt;&gt; .\items\materia\class0009\Coronus5.dbr</v>
      </c>
      <c r="T7" t="str">
        <f t="shared" si="1"/>
        <v>echo augmentSkillLevel1,1, &gt;&gt; .\items\materia\class0009\Coronus5.dbr</v>
      </c>
      <c r="U7" t="str">
        <f t="shared" si="1"/>
        <v>echo augmentSkillName1,records/skills/playerclasscoronus/trouble2_petmodifier.dbr, &gt;&gt; .\items\materia\class0009\Coronus5.dbr</v>
      </c>
      <c r="V7" s="5" t="s">
        <v>36</v>
      </c>
      <c r="W7" t="str">
        <f t="shared" si="8"/>
        <v>echo lootName5,DAIL/items/materia/class0009/Coronus5.dbr, &gt;&gt; .\items\loottables\dailoneskill0009.dbr</v>
      </c>
      <c r="X7" t="str">
        <f t="shared" si="8"/>
        <v>echo lootWeight5,1, &gt;&gt; .\items\loottables\dailoneskill0009.dbr</v>
      </c>
      <c r="Y7" s="5" t="s">
        <v>36</v>
      </c>
      <c r="Z7" t="str">
        <f t="shared" si="9"/>
        <v xml:space="preserve"> dailCompDescCoronus5=^pCoronus's Gift of DAIL</v>
      </c>
      <c r="AA7" t="str">
        <f t="shared" ref="AA7:AA70" si="17">IF(I6&lt;&gt;"","dailCompText"&amp;H7&amp;G7&amp;"=^oThis feels warm to the touch, almost familiar ^w("&amp;VLOOKUP(VALUE(N7),$AD$3:$AF$5,3,FALSE)&amp;")","")</f>
        <v>dailCompTextCoronus5=^oThis feels warm to the touch, almost familiar ^w(This component fits into all Jewellery slots including the Belt And Shoulder)</v>
      </c>
      <c r="AB7" s="5" t="s">
        <v>36</v>
      </c>
      <c r="AH7">
        <f>AH6+1</f>
        <v>2</v>
      </c>
      <c r="AI7">
        <f t="shared" si="13"/>
        <v>44</v>
      </c>
      <c r="AJ7">
        <f t="shared" ref="AJ7:AJ70" si="18">IF(AH7&lt;$AL$7,1,IF(AH7&lt;$AL$8,3,5))</f>
        <v>1</v>
      </c>
      <c r="AK7">
        <v>1</v>
      </c>
      <c r="AL7">
        <f>AL6/3</f>
        <v>18</v>
      </c>
    </row>
    <row r="8" spans="1:38" x14ac:dyDescent="0.25">
      <c r="A8" s="5" t="s">
        <v>39</v>
      </c>
      <c r="B8" s="5" t="s">
        <v>0</v>
      </c>
      <c r="C8" s="5" t="str">
        <f t="shared" si="0"/>
        <v>description,dailCompDescCoronus6,</v>
      </c>
      <c r="D8" s="5" t="str">
        <f t="shared" si="2"/>
        <v>itemText,dailCompTextCoronus6,</v>
      </c>
      <c r="E8" s="5" t="str">
        <f t="shared" si="14"/>
        <v>augmentSkillLevel1,1,</v>
      </c>
      <c r="F8" s="5" t="str">
        <f t="shared" si="15"/>
        <v>augmentSkillName1,records/skills/playerclasscoronus/trouble3_petmodifier.dbr,</v>
      </c>
      <c r="G8" s="7">
        <f t="shared" si="10"/>
        <v>6</v>
      </c>
      <c r="H8" s="8" t="str">
        <f t="shared" si="11"/>
        <v>Coronus</v>
      </c>
      <c r="I8" s="3" t="s">
        <v>401</v>
      </c>
      <c r="J8" s="8" t="str">
        <f t="shared" si="12"/>
        <v>class0009</v>
      </c>
      <c r="K8" s="8" t="str">
        <f t="shared" si="12"/>
        <v>dailoneskill0009</v>
      </c>
      <c r="L8" s="5" t="str">
        <f t="shared" si="4"/>
        <v>lootName6,DAIL/items/materia/class0009/Coronus6.dbr,</v>
      </c>
      <c r="M8" s="5" t="str">
        <f t="shared" si="5"/>
        <v>lootWeight6,1,</v>
      </c>
      <c r="N8" t="str">
        <f t="shared" si="6"/>
        <v>1</v>
      </c>
      <c r="O8" t="str">
        <f t="shared" si="16"/>
        <v>copy .\dail_base.dbr .\items\materia\class0009\Coronus6.dbr /y</v>
      </c>
      <c r="P8" t="str">
        <f t="shared" si="7"/>
        <v>echo relicBitmap,items/craftingparts/components/component_a52_bristlyfur_b.tex, &gt;&gt; .\items\materia\class0009\Coronus6.dbr</v>
      </c>
      <c r="Q8" t="str">
        <f t="shared" si="1"/>
        <v>echo itemCost,100000, &gt;&gt; .\items\materia\class0009\Coronus6.dbr</v>
      </c>
      <c r="R8" t="str">
        <f t="shared" si="1"/>
        <v>echo description,dailCompDescCoronus6, &gt;&gt; .\items\materia\class0009\Coronus6.dbr</v>
      </c>
      <c r="S8" t="str">
        <f t="shared" si="1"/>
        <v>echo itemText,dailCompTextCoronus6, &gt;&gt; .\items\materia\class0009\Coronus6.dbr</v>
      </c>
      <c r="T8" t="str">
        <f t="shared" si="1"/>
        <v>echo augmentSkillLevel1,1, &gt;&gt; .\items\materia\class0009\Coronus6.dbr</v>
      </c>
      <c r="U8" t="str">
        <f t="shared" si="1"/>
        <v>echo augmentSkillName1,records/skills/playerclasscoronus/trouble3_petmodifier.dbr, &gt;&gt; .\items\materia\class0009\Coronus6.dbr</v>
      </c>
      <c r="V8" s="5" t="s">
        <v>36</v>
      </c>
      <c r="W8" t="str">
        <f t="shared" si="8"/>
        <v>echo lootName6,DAIL/items/materia/class0009/Coronus6.dbr, &gt;&gt; .\items\loottables\dailoneskill0009.dbr</v>
      </c>
      <c r="X8" t="str">
        <f t="shared" si="8"/>
        <v>echo lootWeight6,1, &gt;&gt; .\items\loottables\dailoneskill0009.dbr</v>
      </c>
      <c r="Y8" s="5" t="s">
        <v>36</v>
      </c>
      <c r="Z8" t="str">
        <f t="shared" si="9"/>
        <v xml:space="preserve"> dailCompDescCoronus6=^pCoronus's Gift of DAIL</v>
      </c>
      <c r="AA8" t="str">
        <f t="shared" si="17"/>
        <v>dailCompTextCoronus6=^oThis feels warm to the touch, almost familiar ^w(This component fits into all Jewellery slots including the Belt And Shoulder)</v>
      </c>
      <c r="AB8" s="5" t="s">
        <v>36</v>
      </c>
      <c r="AH8">
        <f t="shared" ref="AH8:AH71" si="19">AH7+1</f>
        <v>3</v>
      </c>
      <c r="AI8">
        <f t="shared" si="13"/>
        <v>44</v>
      </c>
      <c r="AJ8">
        <f t="shared" si="18"/>
        <v>1</v>
      </c>
      <c r="AK8" s="1">
        <v>3</v>
      </c>
      <c r="AL8">
        <f>AL7*2</f>
        <v>36</v>
      </c>
    </row>
    <row r="9" spans="1:38" x14ac:dyDescent="0.25">
      <c r="A9" s="5" t="s">
        <v>39</v>
      </c>
      <c r="B9" s="5" t="s">
        <v>0</v>
      </c>
      <c r="C9" s="5" t="str">
        <f t="shared" si="0"/>
        <v>description,dailCompDescCoronus7,</v>
      </c>
      <c r="D9" s="5" t="str">
        <f t="shared" si="2"/>
        <v>itemText,dailCompTextCoronus7,</v>
      </c>
      <c r="E9" s="5" t="str">
        <f t="shared" si="14"/>
        <v>augmentSkillLevel1,1,</v>
      </c>
      <c r="F9" s="5" t="str">
        <f t="shared" si="15"/>
        <v>augmentSkillName1,records/skills/playerclasscoronus/summon_abomination.dbr,</v>
      </c>
      <c r="G9" s="7">
        <f t="shared" si="10"/>
        <v>7</v>
      </c>
      <c r="H9" s="8" t="str">
        <f t="shared" si="11"/>
        <v>Coronus</v>
      </c>
      <c r="I9" s="3" t="s">
        <v>402</v>
      </c>
      <c r="J9" s="8" t="str">
        <f t="shared" si="12"/>
        <v>class0009</v>
      </c>
      <c r="K9" s="8" t="str">
        <f t="shared" si="12"/>
        <v>dailoneskill0009</v>
      </c>
      <c r="L9" s="5" t="str">
        <f t="shared" si="4"/>
        <v>lootName7,DAIL/items/materia/class0009/Coronus7.dbr,</v>
      </c>
      <c r="M9" s="5" t="str">
        <f t="shared" si="5"/>
        <v>lootWeight7,1,</v>
      </c>
      <c r="N9" t="str">
        <f t="shared" si="6"/>
        <v>1</v>
      </c>
      <c r="O9" t="str">
        <f t="shared" si="16"/>
        <v>copy .\dail_base.dbr .\items\materia\class0009\Coronus7.dbr /y</v>
      </c>
      <c r="P9" t="str">
        <f t="shared" si="7"/>
        <v>echo relicBitmap,items/craftingparts/components/component_a52_bristlyfur_b.tex, &gt;&gt; .\items\materia\class0009\Coronus7.dbr</v>
      </c>
      <c r="Q9" t="str">
        <f t="shared" si="1"/>
        <v>echo itemCost,100000, &gt;&gt; .\items\materia\class0009\Coronus7.dbr</v>
      </c>
      <c r="R9" t="str">
        <f t="shared" si="1"/>
        <v>echo description,dailCompDescCoronus7, &gt;&gt; .\items\materia\class0009\Coronus7.dbr</v>
      </c>
      <c r="S9" t="str">
        <f t="shared" si="1"/>
        <v>echo itemText,dailCompTextCoronus7, &gt;&gt; .\items\materia\class0009\Coronus7.dbr</v>
      </c>
      <c r="T9" t="str">
        <f t="shared" si="1"/>
        <v>echo augmentSkillLevel1,1, &gt;&gt; .\items\materia\class0009\Coronus7.dbr</v>
      </c>
      <c r="U9" t="str">
        <f t="shared" si="1"/>
        <v>echo augmentSkillName1,records/skills/playerclasscoronus/summon_abomination.dbr, &gt;&gt; .\items\materia\class0009\Coronus7.dbr</v>
      </c>
      <c r="V9" s="5" t="s">
        <v>36</v>
      </c>
      <c r="W9" t="str">
        <f t="shared" si="8"/>
        <v>echo lootName7,DAIL/items/materia/class0009/Coronus7.dbr, &gt;&gt; .\items\loottables\dailoneskill0009.dbr</v>
      </c>
      <c r="X9" t="str">
        <f t="shared" si="8"/>
        <v>echo lootWeight7,1, &gt;&gt; .\items\loottables\dailoneskill0009.dbr</v>
      </c>
      <c r="Y9" s="5" t="s">
        <v>36</v>
      </c>
      <c r="Z9" t="str">
        <f t="shared" si="9"/>
        <v xml:space="preserve"> dailCompDescCoronus7=^pCoronus's Gift of DAIL</v>
      </c>
      <c r="AA9" t="str">
        <f t="shared" si="17"/>
        <v>dailCompTextCoronus7=^oThis feels warm to the touch, almost familiar ^w(This component fits into all Jewellery slots including the Belt And Shoulder)</v>
      </c>
      <c r="AB9" s="5" t="s">
        <v>36</v>
      </c>
      <c r="AH9">
        <f t="shared" si="19"/>
        <v>4</v>
      </c>
      <c r="AI9">
        <f t="shared" si="13"/>
        <v>42</v>
      </c>
      <c r="AJ9">
        <f t="shared" si="18"/>
        <v>1</v>
      </c>
      <c r="AK9" s="1">
        <v>5</v>
      </c>
      <c r="AL9">
        <f>AL6</f>
        <v>54</v>
      </c>
    </row>
    <row r="10" spans="1:38" x14ac:dyDescent="0.25">
      <c r="A10" s="5" t="s">
        <v>39</v>
      </c>
      <c r="B10" s="5" t="s">
        <v>0</v>
      </c>
      <c r="C10" s="5" t="str">
        <f t="shared" si="0"/>
        <v>description,dailCompDescCoronus8,</v>
      </c>
      <c r="D10" s="5" t="str">
        <f t="shared" si="2"/>
        <v>itemText,dailCompTextCoronus8,</v>
      </c>
      <c r="E10" s="5" t="str">
        <f t="shared" si="14"/>
        <v>augmentSkillLevel1,1,</v>
      </c>
      <c r="F10" s="5" t="str">
        <f t="shared" si="15"/>
        <v>augmentSkillName1,records/skills/playerclasscoronus/heal.dbr,</v>
      </c>
      <c r="G10" s="7">
        <f t="shared" si="10"/>
        <v>8</v>
      </c>
      <c r="H10" s="8" t="str">
        <f t="shared" si="11"/>
        <v>Coronus</v>
      </c>
      <c r="I10" s="3" t="s">
        <v>403</v>
      </c>
      <c r="J10" s="8" t="str">
        <f t="shared" si="12"/>
        <v>class0009</v>
      </c>
      <c r="K10" s="8" t="str">
        <f t="shared" si="12"/>
        <v>dailoneskill0009</v>
      </c>
      <c r="L10" s="5" t="str">
        <f t="shared" si="4"/>
        <v>lootName8,DAIL/items/materia/class0009/Coronus8.dbr,</v>
      </c>
      <c r="M10" s="5" t="str">
        <f t="shared" si="5"/>
        <v>lootWeight8,1,</v>
      </c>
      <c r="N10" t="str">
        <f t="shared" si="6"/>
        <v>1</v>
      </c>
      <c r="O10" t="str">
        <f t="shared" si="16"/>
        <v>copy .\dail_base.dbr .\items\materia\class0009\Coronus8.dbr /y</v>
      </c>
      <c r="P10" t="str">
        <f t="shared" si="7"/>
        <v>echo relicBitmap,items/craftingparts/components/component_a52_bristlyfur_b.tex, &gt;&gt; .\items\materia\class0009\Coronus8.dbr</v>
      </c>
      <c r="Q10" t="str">
        <f t="shared" si="1"/>
        <v>echo itemCost,100000, &gt;&gt; .\items\materia\class0009\Coronus8.dbr</v>
      </c>
      <c r="R10" t="str">
        <f t="shared" si="1"/>
        <v>echo description,dailCompDescCoronus8, &gt;&gt; .\items\materia\class0009\Coronus8.dbr</v>
      </c>
      <c r="S10" t="str">
        <f t="shared" si="1"/>
        <v>echo itemText,dailCompTextCoronus8, &gt;&gt; .\items\materia\class0009\Coronus8.dbr</v>
      </c>
      <c r="T10" t="str">
        <f t="shared" si="1"/>
        <v>echo augmentSkillLevel1,1, &gt;&gt; .\items\materia\class0009\Coronus8.dbr</v>
      </c>
      <c r="U10" t="str">
        <f t="shared" si="1"/>
        <v>echo augmentSkillName1,records/skills/playerclasscoronus/heal.dbr, &gt;&gt; .\items\materia\class0009\Coronus8.dbr</v>
      </c>
      <c r="V10" s="5" t="s">
        <v>36</v>
      </c>
      <c r="W10" t="str">
        <f t="shared" si="8"/>
        <v>echo lootName8,DAIL/items/materia/class0009/Coronus8.dbr, &gt;&gt; .\items\loottables\dailoneskill0009.dbr</v>
      </c>
      <c r="X10" t="str">
        <f t="shared" si="8"/>
        <v>echo lootWeight8,1, &gt;&gt; .\items\loottables\dailoneskill0009.dbr</v>
      </c>
      <c r="Y10" s="5" t="s">
        <v>36</v>
      </c>
      <c r="Z10" t="str">
        <f t="shared" si="9"/>
        <v xml:space="preserve"> dailCompDescCoronus8=^pCoronus's Gift of DAIL</v>
      </c>
      <c r="AA10" t="str">
        <f t="shared" si="17"/>
        <v>dailCompTextCoronus8=^oThis feels warm to the touch, almost familiar ^w(This component fits into all Jewellery slots including the Belt And Shoulder)</v>
      </c>
      <c r="AB10" s="5" t="s">
        <v>36</v>
      </c>
      <c r="AH10">
        <f t="shared" si="19"/>
        <v>5</v>
      </c>
      <c r="AI10">
        <f t="shared" si="13"/>
        <v>28</v>
      </c>
      <c r="AJ10">
        <f t="shared" si="18"/>
        <v>1</v>
      </c>
    </row>
    <row r="11" spans="1:38" x14ac:dyDescent="0.25">
      <c r="A11" s="5" t="s">
        <v>39</v>
      </c>
      <c r="B11" s="5" t="s">
        <v>0</v>
      </c>
      <c r="C11" s="5" t="str">
        <f t="shared" si="0"/>
        <v>description,dailCompDescCoronus9,</v>
      </c>
      <c r="D11" s="5" t="str">
        <f t="shared" si="2"/>
        <v>itemText,dailCompTextCoronus9,</v>
      </c>
      <c r="E11" s="5" t="str">
        <f t="shared" si="14"/>
        <v>augmentSkillLevel1,1,</v>
      </c>
      <c r="F11" s="5" t="str">
        <f t="shared" si="15"/>
        <v>augmentSkillName1,records/skills/playerclasscoronus/oadabuff1.dbr,</v>
      </c>
      <c r="G11" s="7">
        <f t="shared" si="10"/>
        <v>9</v>
      </c>
      <c r="H11" s="8" t="str">
        <f t="shared" si="11"/>
        <v>Coronus</v>
      </c>
      <c r="I11" s="3" t="s">
        <v>404</v>
      </c>
      <c r="J11" s="8" t="str">
        <f t="shared" si="12"/>
        <v>class0009</v>
      </c>
      <c r="K11" s="8" t="str">
        <f t="shared" si="12"/>
        <v>dailoneskill0009</v>
      </c>
      <c r="L11" s="5" t="str">
        <f t="shared" si="4"/>
        <v>lootName9,DAIL/items/materia/class0009/Coronus9.dbr,</v>
      </c>
      <c r="M11" s="5" t="str">
        <f t="shared" si="5"/>
        <v>lootWeight9,1,</v>
      </c>
      <c r="N11" t="str">
        <f t="shared" si="6"/>
        <v>1</v>
      </c>
      <c r="O11" t="str">
        <f t="shared" si="16"/>
        <v>copy .\dail_base.dbr .\items\materia\class0009\Coronus9.dbr /y</v>
      </c>
      <c r="P11" t="str">
        <f t="shared" si="7"/>
        <v>echo relicBitmap,items/craftingparts/components/component_a52_bristlyfur_b.tex, &gt;&gt; .\items\materia\class0009\Coronus9.dbr</v>
      </c>
      <c r="Q11" t="str">
        <f t="shared" si="1"/>
        <v>echo itemCost,100000, &gt;&gt; .\items\materia\class0009\Coronus9.dbr</v>
      </c>
      <c r="R11" t="str">
        <f t="shared" si="1"/>
        <v>echo description,dailCompDescCoronus9, &gt;&gt; .\items\materia\class0009\Coronus9.dbr</v>
      </c>
      <c r="S11" t="str">
        <f t="shared" si="1"/>
        <v>echo itemText,dailCompTextCoronus9, &gt;&gt; .\items\materia\class0009\Coronus9.dbr</v>
      </c>
      <c r="T11" t="str">
        <f t="shared" si="1"/>
        <v>echo augmentSkillLevel1,1, &gt;&gt; .\items\materia\class0009\Coronus9.dbr</v>
      </c>
      <c r="U11" t="str">
        <f t="shared" si="1"/>
        <v>echo augmentSkillName1,records/skills/playerclasscoronus/oadabuff1.dbr, &gt;&gt; .\items\materia\class0009\Coronus9.dbr</v>
      </c>
      <c r="V11" s="5" t="s">
        <v>36</v>
      </c>
      <c r="W11" t="str">
        <f t="shared" si="8"/>
        <v>echo lootName9,DAIL/items/materia/class0009/Coronus9.dbr, &gt;&gt; .\items\loottables\dailoneskill0009.dbr</v>
      </c>
      <c r="X11" t="str">
        <f t="shared" si="8"/>
        <v>echo lootWeight9,1, &gt;&gt; .\items\loottables\dailoneskill0009.dbr</v>
      </c>
      <c r="Y11" s="5" t="s">
        <v>36</v>
      </c>
      <c r="Z11" t="str">
        <f t="shared" si="9"/>
        <v xml:space="preserve"> dailCompDescCoronus9=^pCoronus's Gift of DAIL</v>
      </c>
      <c r="AA11" t="str">
        <f t="shared" si="17"/>
        <v>dailCompTextCoronus9=^oThis feels warm to the touch, almost familiar ^w(This component fits into all Jewellery slots including the Belt And Shoulder)</v>
      </c>
      <c r="AB11" s="5" t="s">
        <v>36</v>
      </c>
      <c r="AH11">
        <f t="shared" si="19"/>
        <v>6</v>
      </c>
      <c r="AI11">
        <f t="shared" si="13"/>
        <v>33</v>
      </c>
      <c r="AJ11">
        <f t="shared" si="18"/>
        <v>1</v>
      </c>
    </row>
    <row r="12" spans="1:38" x14ac:dyDescent="0.25">
      <c r="A12" s="5" t="s">
        <v>39</v>
      </c>
      <c r="B12" s="5" t="s">
        <v>0</v>
      </c>
      <c r="C12" s="5" t="str">
        <f t="shared" si="0"/>
        <v>description,dailCompDescCoronus10,</v>
      </c>
      <c r="D12" s="5" t="str">
        <f t="shared" si="2"/>
        <v>itemText,dailCompTextCoronus10,</v>
      </c>
      <c r="E12" s="5" t="str">
        <f t="shared" si="14"/>
        <v>augmentSkillLevel1,1,</v>
      </c>
      <c r="F12" s="5" t="str">
        <f t="shared" si="15"/>
        <v>augmentSkillName1,records/skills/playerclasscoronus/pinned1.dbr,</v>
      </c>
      <c r="G12" s="7">
        <f t="shared" si="10"/>
        <v>10</v>
      </c>
      <c r="H12" s="8" t="str">
        <f t="shared" si="11"/>
        <v>Coronus</v>
      </c>
      <c r="I12" s="3" t="s">
        <v>405</v>
      </c>
      <c r="J12" s="8" t="str">
        <f t="shared" si="12"/>
        <v>class0009</v>
      </c>
      <c r="K12" s="8" t="str">
        <f t="shared" si="12"/>
        <v>dailoneskill0009</v>
      </c>
      <c r="L12" s="5" t="str">
        <f t="shared" si="4"/>
        <v>lootName10,DAIL/items/materia/class0009/Coronus10.dbr,</v>
      </c>
      <c r="M12" s="5" t="str">
        <f t="shared" si="5"/>
        <v>lootWeight10,1,</v>
      </c>
      <c r="N12" t="str">
        <f t="shared" si="6"/>
        <v>1</v>
      </c>
      <c r="O12" t="str">
        <f t="shared" si="16"/>
        <v>copy .\dail_base.dbr .\items\materia\class0009\Coronus10.dbr /y</v>
      </c>
      <c r="P12" t="str">
        <f t="shared" si="7"/>
        <v>echo relicBitmap,items/craftingparts/components/component_a52_bristlyfur_b.tex, &gt;&gt; .\items\materia\class0009\Coronus10.dbr</v>
      </c>
      <c r="Q12" t="str">
        <f t="shared" si="1"/>
        <v>echo itemCost,100000, &gt;&gt; .\items\materia\class0009\Coronus10.dbr</v>
      </c>
      <c r="R12" t="str">
        <f t="shared" si="1"/>
        <v>echo description,dailCompDescCoronus10, &gt;&gt; .\items\materia\class0009\Coronus10.dbr</v>
      </c>
      <c r="S12" t="str">
        <f t="shared" si="1"/>
        <v>echo itemText,dailCompTextCoronus10, &gt;&gt; .\items\materia\class0009\Coronus10.dbr</v>
      </c>
      <c r="T12" t="str">
        <f t="shared" si="1"/>
        <v>echo augmentSkillLevel1,1, &gt;&gt; .\items\materia\class0009\Coronus10.dbr</v>
      </c>
      <c r="U12" t="str">
        <f t="shared" si="1"/>
        <v>echo augmentSkillName1,records/skills/playerclasscoronus/pinned1.dbr, &gt;&gt; .\items\materia\class0009\Coronus10.dbr</v>
      </c>
      <c r="V12" s="5" t="s">
        <v>36</v>
      </c>
      <c r="W12" t="str">
        <f t="shared" si="8"/>
        <v>echo lootName10,DAIL/items/materia/class0009/Coronus10.dbr, &gt;&gt; .\items\loottables\dailoneskill0009.dbr</v>
      </c>
      <c r="X12" t="str">
        <f t="shared" si="8"/>
        <v>echo lootWeight10,1, &gt;&gt; .\items\loottables\dailoneskill0009.dbr</v>
      </c>
      <c r="Y12" s="5" t="s">
        <v>36</v>
      </c>
      <c r="Z12" t="str">
        <f t="shared" si="9"/>
        <v xml:space="preserve"> dailCompDescCoronus10=^pCoronus's Gift of DAIL</v>
      </c>
      <c r="AA12" t="str">
        <f t="shared" si="17"/>
        <v>dailCompTextCoronus10=^oThis feels warm to the touch, almost familiar ^w(This component fits into all Jewellery slots including the Belt And Shoulder)</v>
      </c>
      <c r="AB12" s="5" t="s">
        <v>36</v>
      </c>
      <c r="AH12">
        <f t="shared" si="19"/>
        <v>7</v>
      </c>
      <c r="AI12">
        <f t="shared" si="13"/>
        <v>31</v>
      </c>
      <c r="AJ12">
        <f t="shared" si="18"/>
        <v>1</v>
      </c>
    </row>
    <row r="13" spans="1:38" x14ac:dyDescent="0.25">
      <c r="A13" s="5" t="s">
        <v>39</v>
      </c>
      <c r="B13" s="5" t="s">
        <v>0</v>
      </c>
      <c r="C13" s="5" t="str">
        <f t="shared" si="0"/>
        <v>description,dailCompDescCoronus11,</v>
      </c>
      <c r="D13" s="5" t="str">
        <f t="shared" si="2"/>
        <v>itemText,dailCompTextCoronus11,</v>
      </c>
      <c r="E13" s="5" t="str">
        <f t="shared" si="14"/>
        <v>augmentSkillLevel1,1,</v>
      </c>
      <c r="F13" s="5" t="str">
        <f t="shared" si="15"/>
        <v>augmentSkillName1,records/skills/playerclasscoronus/pinned2_petmodifier.dbr,</v>
      </c>
      <c r="G13" s="7">
        <f t="shared" si="10"/>
        <v>11</v>
      </c>
      <c r="H13" s="8" t="str">
        <f t="shared" si="11"/>
        <v>Coronus</v>
      </c>
      <c r="I13" s="3" t="s">
        <v>406</v>
      </c>
      <c r="J13" s="8" t="str">
        <f t="shared" si="12"/>
        <v>class0009</v>
      </c>
      <c r="K13" s="8" t="str">
        <f t="shared" si="12"/>
        <v>dailoneskill0009</v>
      </c>
      <c r="L13" s="5" t="str">
        <f t="shared" si="4"/>
        <v>lootName11,DAIL/items/materia/class0009/Coronus11.dbr,</v>
      </c>
      <c r="M13" s="5" t="str">
        <f t="shared" si="5"/>
        <v>lootWeight11,1,</v>
      </c>
      <c r="N13" t="str">
        <f t="shared" si="6"/>
        <v>1</v>
      </c>
      <c r="O13" t="str">
        <f t="shared" si="16"/>
        <v>copy .\dail_base.dbr .\items\materia\class0009\Coronus11.dbr /y</v>
      </c>
      <c r="P13" t="str">
        <f t="shared" si="7"/>
        <v>echo relicBitmap,items/craftingparts/components/component_a52_bristlyfur_b.tex, &gt;&gt; .\items\materia\class0009\Coronus11.dbr</v>
      </c>
      <c r="Q13" t="str">
        <f t="shared" si="1"/>
        <v>echo itemCost,100000, &gt;&gt; .\items\materia\class0009\Coronus11.dbr</v>
      </c>
      <c r="R13" t="str">
        <f t="shared" si="1"/>
        <v>echo description,dailCompDescCoronus11, &gt;&gt; .\items\materia\class0009\Coronus11.dbr</v>
      </c>
      <c r="S13" t="str">
        <f t="shared" si="1"/>
        <v>echo itemText,dailCompTextCoronus11, &gt;&gt; .\items\materia\class0009\Coronus11.dbr</v>
      </c>
      <c r="T13" t="str">
        <f t="shared" si="1"/>
        <v>echo augmentSkillLevel1,1, &gt;&gt; .\items\materia\class0009\Coronus11.dbr</v>
      </c>
      <c r="U13" t="str">
        <f t="shared" si="1"/>
        <v>echo augmentSkillName1,records/skills/playerclasscoronus/pinned2_petmodifier.dbr, &gt;&gt; .\items\materia\class0009\Coronus11.dbr</v>
      </c>
      <c r="V13" s="5" t="s">
        <v>36</v>
      </c>
      <c r="W13" t="str">
        <f t="shared" si="8"/>
        <v>echo lootName11,DAIL/items/materia/class0009/Coronus11.dbr, &gt;&gt; .\items\loottables\dailoneskill0009.dbr</v>
      </c>
      <c r="X13" t="str">
        <f t="shared" si="8"/>
        <v>echo lootWeight11,1, &gt;&gt; .\items\loottables\dailoneskill0009.dbr</v>
      </c>
      <c r="Y13" s="5" t="s">
        <v>36</v>
      </c>
      <c r="Z13" t="str">
        <f t="shared" si="9"/>
        <v xml:space="preserve"> dailCompDescCoronus11=^pCoronus's Gift of DAIL</v>
      </c>
      <c r="AA13" t="str">
        <f t="shared" si="17"/>
        <v>dailCompTextCoronus11=^oThis feels warm to the touch, almost familiar ^w(This component fits into all Jewellery slots including the Belt And Shoulder)</v>
      </c>
      <c r="AB13" s="5" t="s">
        <v>36</v>
      </c>
      <c r="AH13">
        <f t="shared" si="19"/>
        <v>8</v>
      </c>
      <c r="AI13">
        <f t="shared" si="13"/>
        <v>43</v>
      </c>
      <c r="AJ13">
        <f t="shared" si="18"/>
        <v>1</v>
      </c>
    </row>
    <row r="14" spans="1:38" x14ac:dyDescent="0.25">
      <c r="A14" s="5" t="s">
        <v>39</v>
      </c>
      <c r="B14" s="5" t="s">
        <v>0</v>
      </c>
      <c r="C14" s="5" t="str">
        <f t="shared" si="0"/>
        <v>description,dailCompDescCoronus12,</v>
      </c>
      <c r="D14" s="5" t="str">
        <f t="shared" si="2"/>
        <v>itemText,dailCompTextCoronus12,</v>
      </c>
      <c r="E14" s="5" t="str">
        <f t="shared" si="14"/>
        <v>augmentSkillLevel1,1,</v>
      </c>
      <c r="F14" s="5" t="str">
        <f t="shared" si="15"/>
        <v>augmentSkillName1,records/skills/playerclasscoronus/goetia.dbr,</v>
      </c>
      <c r="G14" s="7">
        <f t="shared" si="10"/>
        <v>12</v>
      </c>
      <c r="H14" s="8" t="str">
        <f t="shared" si="11"/>
        <v>Coronus</v>
      </c>
      <c r="I14" s="3" t="s">
        <v>407</v>
      </c>
      <c r="J14" s="8" t="str">
        <f t="shared" si="12"/>
        <v>class0009</v>
      </c>
      <c r="K14" s="8" t="str">
        <f t="shared" si="12"/>
        <v>dailoneskill0009</v>
      </c>
      <c r="L14" s="5" t="str">
        <f t="shared" si="4"/>
        <v>lootName12,DAIL/items/materia/class0009/Coronus12.dbr,</v>
      </c>
      <c r="M14" s="5" t="str">
        <f t="shared" si="5"/>
        <v>lootWeight12,1,</v>
      </c>
      <c r="N14" t="str">
        <f t="shared" si="6"/>
        <v>1</v>
      </c>
      <c r="O14" t="str">
        <f t="shared" si="16"/>
        <v>copy .\dail_base.dbr .\items\materia\class0009\Coronus12.dbr /y</v>
      </c>
      <c r="P14" t="str">
        <f t="shared" si="7"/>
        <v>echo relicBitmap,items/craftingparts/components/component_a52_bristlyfur_b.tex, &gt;&gt; .\items\materia\class0009\Coronus12.dbr</v>
      </c>
      <c r="Q14" t="str">
        <f t="shared" si="1"/>
        <v>echo itemCost,100000, &gt;&gt; .\items\materia\class0009\Coronus12.dbr</v>
      </c>
      <c r="R14" t="str">
        <f t="shared" si="1"/>
        <v>echo description,dailCompDescCoronus12, &gt;&gt; .\items\materia\class0009\Coronus12.dbr</v>
      </c>
      <c r="S14" t="str">
        <f t="shared" si="1"/>
        <v>echo itemText,dailCompTextCoronus12, &gt;&gt; .\items\materia\class0009\Coronus12.dbr</v>
      </c>
      <c r="T14" t="str">
        <f t="shared" si="1"/>
        <v>echo augmentSkillLevel1,1, &gt;&gt; .\items\materia\class0009\Coronus12.dbr</v>
      </c>
      <c r="U14" t="str">
        <f t="shared" si="1"/>
        <v>echo augmentSkillName1,records/skills/playerclasscoronus/goetia.dbr, &gt;&gt; .\items\materia\class0009\Coronus12.dbr</v>
      </c>
      <c r="V14" s="5" t="s">
        <v>36</v>
      </c>
      <c r="W14" t="str">
        <f t="shared" si="8"/>
        <v>echo lootName12,DAIL/items/materia/class0009/Coronus12.dbr, &gt;&gt; .\items\loottables\dailoneskill0009.dbr</v>
      </c>
      <c r="X14" t="str">
        <f t="shared" si="8"/>
        <v>echo lootWeight12,1, &gt;&gt; .\items\loottables\dailoneskill0009.dbr</v>
      </c>
      <c r="Y14" s="5" t="s">
        <v>36</v>
      </c>
      <c r="Z14" t="str">
        <f t="shared" si="9"/>
        <v xml:space="preserve"> dailCompDescCoronus12=^pCoronus's Gift of DAIL</v>
      </c>
      <c r="AA14" t="str">
        <f t="shared" si="17"/>
        <v>dailCompTextCoronus12=^oThis feels warm to the touch, almost familiar ^w(This component fits into all Jewellery slots including the Belt And Shoulder)</v>
      </c>
      <c r="AB14" s="5" t="s">
        <v>36</v>
      </c>
      <c r="AH14">
        <f t="shared" si="19"/>
        <v>9</v>
      </c>
      <c r="AI14">
        <f t="shared" si="13"/>
        <v>30</v>
      </c>
      <c r="AJ14">
        <f t="shared" si="18"/>
        <v>1</v>
      </c>
    </row>
    <row r="15" spans="1:38" x14ac:dyDescent="0.25">
      <c r="A15" s="5" t="s">
        <v>39</v>
      </c>
      <c r="B15" s="5" t="s">
        <v>0</v>
      </c>
      <c r="C15" s="5" t="str">
        <f t="shared" si="0"/>
        <v>description,dailCompDescCoronus13,</v>
      </c>
      <c r="D15" s="5" t="str">
        <f t="shared" si="2"/>
        <v>itemText,dailCompTextCoronus13,</v>
      </c>
      <c r="E15" s="5" t="str">
        <f t="shared" si="14"/>
        <v>augmentSkillLevel1,1,</v>
      </c>
      <c r="F15" s="5" t="str">
        <f t="shared" si="15"/>
        <v>augmentSkillName1,records/skills/playerclasscoronus/grigori1.dbr,</v>
      </c>
      <c r="G15" s="7">
        <f t="shared" si="10"/>
        <v>13</v>
      </c>
      <c r="H15" s="8" t="str">
        <f t="shared" si="11"/>
        <v>Coronus</v>
      </c>
      <c r="I15" s="3" t="s">
        <v>408</v>
      </c>
      <c r="J15" s="8" t="str">
        <f t="shared" si="12"/>
        <v>class0009</v>
      </c>
      <c r="K15" s="8" t="str">
        <f t="shared" si="12"/>
        <v>dailoneskill0009</v>
      </c>
      <c r="L15" s="5" t="str">
        <f t="shared" si="4"/>
        <v>lootName13,DAIL/items/materia/class0009/Coronus13.dbr,</v>
      </c>
      <c r="M15" s="5" t="str">
        <f t="shared" si="5"/>
        <v>lootWeight13,1,</v>
      </c>
      <c r="N15" t="str">
        <f t="shared" si="6"/>
        <v>1</v>
      </c>
      <c r="O15" t="str">
        <f t="shared" si="16"/>
        <v>copy .\dail_base.dbr .\items\materia\class0009\Coronus13.dbr /y</v>
      </c>
      <c r="P15" t="str">
        <f t="shared" si="7"/>
        <v>echo relicBitmap,items/craftingparts/components/component_a52_bristlyfur_b.tex, &gt;&gt; .\items\materia\class0009\Coronus13.dbr</v>
      </c>
      <c r="Q15" t="str">
        <f t="shared" si="1"/>
        <v>echo itemCost,100000, &gt;&gt; .\items\materia\class0009\Coronus13.dbr</v>
      </c>
      <c r="R15" t="str">
        <f t="shared" si="1"/>
        <v>echo description,dailCompDescCoronus13, &gt;&gt; .\items\materia\class0009\Coronus13.dbr</v>
      </c>
      <c r="S15" t="str">
        <f t="shared" si="1"/>
        <v>echo itemText,dailCompTextCoronus13, &gt;&gt; .\items\materia\class0009\Coronus13.dbr</v>
      </c>
      <c r="T15" t="str">
        <f t="shared" si="1"/>
        <v>echo augmentSkillLevel1,1, &gt;&gt; .\items\materia\class0009\Coronus13.dbr</v>
      </c>
      <c r="U15" t="str">
        <f t="shared" si="1"/>
        <v>echo augmentSkillName1,records/skills/playerclasscoronus/grigori1.dbr, &gt;&gt; .\items\materia\class0009\Coronus13.dbr</v>
      </c>
      <c r="V15" s="5" t="s">
        <v>36</v>
      </c>
      <c r="W15" t="str">
        <f t="shared" si="8"/>
        <v>echo lootName13,DAIL/items/materia/class0009/Coronus13.dbr, &gt;&gt; .\items\loottables\dailoneskill0009.dbr</v>
      </c>
      <c r="X15" t="str">
        <f t="shared" si="8"/>
        <v>echo lootWeight13,1, &gt;&gt; .\items\loottables\dailoneskill0009.dbr</v>
      </c>
      <c r="Y15" s="5" t="s">
        <v>36</v>
      </c>
      <c r="Z15" t="str">
        <f t="shared" si="9"/>
        <v xml:space="preserve"> dailCompDescCoronus13=^pCoronus's Gift of DAIL</v>
      </c>
      <c r="AA15" t="str">
        <f t="shared" si="17"/>
        <v>dailCompTextCoronus13=^oThis feels warm to the touch, almost familiar ^w(This component fits into all Jewellery slots including the Belt And Shoulder)</v>
      </c>
      <c r="AB15" s="5" t="s">
        <v>36</v>
      </c>
      <c r="AH15">
        <f t="shared" si="19"/>
        <v>10</v>
      </c>
      <c r="AI15">
        <f t="shared" si="13"/>
        <v>32</v>
      </c>
      <c r="AJ15">
        <f t="shared" si="18"/>
        <v>1</v>
      </c>
    </row>
    <row r="16" spans="1:38" x14ac:dyDescent="0.25">
      <c r="A16" s="5" t="s">
        <v>39</v>
      </c>
      <c r="B16" s="5" t="s">
        <v>0</v>
      </c>
      <c r="C16" s="5" t="str">
        <f t="shared" si="0"/>
        <v>description,dailCompDescCoronus14,</v>
      </c>
      <c r="D16" s="5" t="str">
        <f t="shared" si="2"/>
        <v>itemText,dailCompTextCoronus14,</v>
      </c>
      <c r="E16" s="5" t="str">
        <f t="shared" si="14"/>
        <v>augmentSkillLevel1,1,</v>
      </c>
      <c r="F16" s="5" t="str">
        <f t="shared" si="15"/>
        <v>augmentSkillName1,records/skills/playerclasscoronus/grigori2_petmodifier.dbr,</v>
      </c>
      <c r="G16" s="7">
        <f t="shared" si="10"/>
        <v>14</v>
      </c>
      <c r="H16" s="8" t="str">
        <f t="shared" si="11"/>
        <v>Coronus</v>
      </c>
      <c r="I16" s="3" t="s">
        <v>409</v>
      </c>
      <c r="J16" s="8" t="str">
        <f t="shared" si="12"/>
        <v>class0009</v>
      </c>
      <c r="K16" s="8" t="str">
        <f t="shared" si="12"/>
        <v>dailoneskill0009</v>
      </c>
      <c r="L16" s="5" t="str">
        <f t="shared" si="4"/>
        <v>lootName14,DAIL/items/materia/class0009/Coronus14.dbr,</v>
      </c>
      <c r="M16" s="5" t="str">
        <f t="shared" si="5"/>
        <v>lootWeight14,1,</v>
      </c>
      <c r="N16" t="str">
        <f t="shared" si="6"/>
        <v>1</v>
      </c>
      <c r="O16" t="str">
        <f t="shared" si="16"/>
        <v>copy .\dail_base.dbr .\items\materia\class0009\Coronus14.dbr /y</v>
      </c>
      <c r="P16" t="str">
        <f t="shared" si="7"/>
        <v>echo relicBitmap,items/craftingparts/components/component_a52_bristlyfur_b.tex, &gt;&gt; .\items\materia\class0009\Coronus14.dbr</v>
      </c>
      <c r="Q16" t="str">
        <f t="shared" si="1"/>
        <v>echo itemCost,100000, &gt;&gt; .\items\materia\class0009\Coronus14.dbr</v>
      </c>
      <c r="R16" t="str">
        <f t="shared" si="1"/>
        <v>echo description,dailCompDescCoronus14, &gt;&gt; .\items\materia\class0009\Coronus14.dbr</v>
      </c>
      <c r="S16" t="str">
        <f t="shared" si="1"/>
        <v>echo itemText,dailCompTextCoronus14, &gt;&gt; .\items\materia\class0009\Coronus14.dbr</v>
      </c>
      <c r="T16" t="str">
        <f t="shared" si="1"/>
        <v>echo augmentSkillLevel1,1, &gt;&gt; .\items\materia\class0009\Coronus14.dbr</v>
      </c>
      <c r="U16" t="str">
        <f t="shared" si="1"/>
        <v>echo augmentSkillName1,records/skills/playerclasscoronus/grigori2_petmodifier.dbr, &gt;&gt; .\items\materia\class0009\Coronus14.dbr</v>
      </c>
      <c r="V16" s="5" t="s">
        <v>36</v>
      </c>
      <c r="W16" t="str">
        <f t="shared" si="8"/>
        <v>echo lootName14,DAIL/items/materia/class0009/Coronus14.dbr, &gt;&gt; .\items\loottables\dailoneskill0009.dbr</v>
      </c>
      <c r="X16" t="str">
        <f t="shared" si="8"/>
        <v>echo lootWeight14,1, &gt;&gt; .\items\loottables\dailoneskill0009.dbr</v>
      </c>
      <c r="Y16" s="5" t="s">
        <v>36</v>
      </c>
      <c r="Z16" t="str">
        <f t="shared" si="9"/>
        <v xml:space="preserve"> dailCompDescCoronus14=^pCoronus's Gift of DAIL</v>
      </c>
      <c r="AA16" t="str">
        <f t="shared" si="17"/>
        <v>dailCompTextCoronus14=^oThis feels warm to the touch, almost familiar ^w(This component fits into all Jewellery slots including the Belt And Shoulder)</v>
      </c>
      <c r="AB16" s="5" t="s">
        <v>36</v>
      </c>
      <c r="AH16">
        <f t="shared" si="19"/>
        <v>11</v>
      </c>
      <c r="AI16">
        <f t="shared" si="13"/>
        <v>44</v>
      </c>
      <c r="AJ16">
        <f t="shared" si="18"/>
        <v>1</v>
      </c>
    </row>
    <row r="17" spans="1:36" x14ac:dyDescent="0.25">
      <c r="A17" s="5" t="s">
        <v>39</v>
      </c>
      <c r="B17" s="5" t="s">
        <v>0</v>
      </c>
      <c r="C17" s="5" t="str">
        <f t="shared" si="0"/>
        <v>description,dailCompDescCoronus15,</v>
      </c>
      <c r="D17" s="5" t="str">
        <f t="shared" si="2"/>
        <v>itemText,dailCompTextCoronus15,</v>
      </c>
      <c r="E17" s="5" t="str">
        <f t="shared" si="14"/>
        <v>augmentSkillLevel1,1,</v>
      </c>
      <c r="F17" s="5" t="str">
        <f t="shared" si="15"/>
        <v>augmentSkillName1,records/skills/playerclasscoronus/grigori3_petmodifier.dbr,</v>
      </c>
      <c r="G17" s="7">
        <f t="shared" si="10"/>
        <v>15</v>
      </c>
      <c r="H17" s="8" t="str">
        <f t="shared" si="11"/>
        <v>Coronus</v>
      </c>
      <c r="I17" s="3" t="s">
        <v>410</v>
      </c>
      <c r="J17" s="8" t="str">
        <f t="shared" si="12"/>
        <v>class0009</v>
      </c>
      <c r="K17" s="8" t="str">
        <f t="shared" si="12"/>
        <v>dailoneskill0009</v>
      </c>
      <c r="L17" s="5" t="str">
        <f t="shared" si="4"/>
        <v>lootName15,DAIL/items/materia/class0009/Coronus15.dbr,</v>
      </c>
      <c r="M17" s="5" t="str">
        <f t="shared" si="5"/>
        <v>lootWeight15,1,</v>
      </c>
      <c r="N17" t="str">
        <f t="shared" si="6"/>
        <v>1</v>
      </c>
      <c r="O17" t="str">
        <f t="shared" si="16"/>
        <v>copy .\dail_base.dbr .\items\materia\class0009\Coronus15.dbr /y</v>
      </c>
      <c r="P17" t="str">
        <f t="shared" si="7"/>
        <v>echo relicBitmap,items/craftingparts/components/component_a52_bristlyfur_b.tex, &gt;&gt; .\items\materia\class0009\Coronus15.dbr</v>
      </c>
      <c r="Q17" t="str">
        <f t="shared" si="1"/>
        <v>echo itemCost,100000, &gt;&gt; .\items\materia\class0009\Coronus15.dbr</v>
      </c>
      <c r="R17" t="str">
        <f t="shared" si="1"/>
        <v>echo description,dailCompDescCoronus15, &gt;&gt; .\items\materia\class0009\Coronus15.dbr</v>
      </c>
      <c r="S17" t="str">
        <f t="shared" si="1"/>
        <v>echo itemText,dailCompTextCoronus15, &gt;&gt; .\items\materia\class0009\Coronus15.dbr</v>
      </c>
      <c r="T17" t="str">
        <f t="shared" si="1"/>
        <v>echo augmentSkillLevel1,1, &gt;&gt; .\items\materia\class0009\Coronus15.dbr</v>
      </c>
      <c r="U17" t="str">
        <f t="shared" si="1"/>
        <v>echo augmentSkillName1,records/skills/playerclasscoronus/grigori3_petmodifier.dbr, &gt;&gt; .\items\materia\class0009\Coronus15.dbr</v>
      </c>
      <c r="V17" s="5" t="s">
        <v>36</v>
      </c>
      <c r="W17" t="str">
        <f t="shared" si="8"/>
        <v>echo lootName15,DAIL/items/materia/class0009/Coronus15.dbr, &gt;&gt; .\items\loottables\dailoneskill0009.dbr</v>
      </c>
      <c r="X17" t="str">
        <f t="shared" si="8"/>
        <v>echo lootWeight15,1, &gt;&gt; .\items\loottables\dailoneskill0009.dbr</v>
      </c>
      <c r="Y17" s="5" t="s">
        <v>36</v>
      </c>
      <c r="Z17" t="str">
        <f t="shared" si="9"/>
        <v xml:space="preserve"> dailCompDescCoronus15=^pCoronus's Gift of DAIL</v>
      </c>
      <c r="AA17" t="str">
        <f t="shared" si="17"/>
        <v>dailCompTextCoronus15=^oThis feels warm to the touch, almost familiar ^w(This component fits into all Jewellery slots including the Belt And Shoulder)</v>
      </c>
      <c r="AB17" s="5" t="s">
        <v>36</v>
      </c>
      <c r="AH17">
        <f t="shared" si="19"/>
        <v>12</v>
      </c>
      <c r="AI17">
        <f t="shared" si="13"/>
        <v>44</v>
      </c>
      <c r="AJ17">
        <f t="shared" si="18"/>
        <v>1</v>
      </c>
    </row>
    <row r="18" spans="1:36" x14ac:dyDescent="0.25">
      <c r="A18" s="5" t="s">
        <v>39</v>
      </c>
      <c r="B18" s="5" t="s">
        <v>0</v>
      </c>
      <c r="C18" s="5" t="str">
        <f t="shared" si="0"/>
        <v>description,dailCompDescCoronus16,</v>
      </c>
      <c r="D18" s="5" t="str">
        <f t="shared" si="2"/>
        <v>itemText,dailCompTextCoronus16,</v>
      </c>
      <c r="E18" s="5" t="str">
        <f t="shared" si="14"/>
        <v>augmentSkillLevel1,1,</v>
      </c>
      <c r="F18" s="5" t="str">
        <f t="shared" si="15"/>
        <v>augmentSkillName1,records/skills/playerclasscoronus/grigori4_petmodifier.dbr,</v>
      </c>
      <c r="G18" s="7">
        <f t="shared" si="10"/>
        <v>16</v>
      </c>
      <c r="H18" s="8" t="str">
        <f t="shared" si="11"/>
        <v>Coronus</v>
      </c>
      <c r="I18" s="3" t="s">
        <v>411</v>
      </c>
      <c r="J18" s="8" t="str">
        <f t="shared" si="12"/>
        <v>class0009</v>
      </c>
      <c r="K18" s="8" t="str">
        <f t="shared" si="12"/>
        <v>dailoneskill0009</v>
      </c>
      <c r="L18" s="5" t="str">
        <f t="shared" si="4"/>
        <v>lootName16,DAIL/items/materia/class0009/Coronus16.dbr,</v>
      </c>
      <c r="M18" s="5" t="str">
        <f t="shared" si="5"/>
        <v>lootWeight16,1,</v>
      </c>
      <c r="N18" t="str">
        <f t="shared" si="6"/>
        <v>1</v>
      </c>
      <c r="O18" t="str">
        <f t="shared" si="16"/>
        <v>copy .\dail_base.dbr .\items\materia\class0009\Coronus16.dbr /y</v>
      </c>
      <c r="P18" t="str">
        <f t="shared" si="7"/>
        <v>echo relicBitmap,items/craftingparts/components/component_a52_bristlyfur_b.tex, &gt;&gt; .\items\materia\class0009\Coronus16.dbr</v>
      </c>
      <c r="Q18" t="str">
        <f t="shared" si="1"/>
        <v>echo itemCost,100000, &gt;&gt; .\items\materia\class0009\Coronus16.dbr</v>
      </c>
      <c r="R18" t="str">
        <f t="shared" si="1"/>
        <v>echo description,dailCompDescCoronus16, &gt;&gt; .\items\materia\class0009\Coronus16.dbr</v>
      </c>
      <c r="S18" t="str">
        <f t="shared" si="1"/>
        <v>echo itemText,dailCompTextCoronus16, &gt;&gt; .\items\materia\class0009\Coronus16.dbr</v>
      </c>
      <c r="T18" t="str">
        <f t="shared" si="1"/>
        <v>echo augmentSkillLevel1,1, &gt;&gt; .\items\materia\class0009\Coronus16.dbr</v>
      </c>
      <c r="U18" t="str">
        <f t="shared" si="1"/>
        <v>echo augmentSkillName1,records/skills/playerclasscoronus/grigori4_petmodifier.dbr, &gt;&gt; .\items\materia\class0009\Coronus16.dbr</v>
      </c>
      <c r="V18" s="5" t="s">
        <v>36</v>
      </c>
      <c r="W18" t="str">
        <f t="shared" si="8"/>
        <v>echo lootName16,DAIL/items/materia/class0009/Coronus16.dbr, &gt;&gt; .\items\loottables\dailoneskill0009.dbr</v>
      </c>
      <c r="X18" t="str">
        <f t="shared" si="8"/>
        <v>echo lootWeight16,1, &gt;&gt; .\items\loottables\dailoneskill0009.dbr</v>
      </c>
      <c r="Y18" s="5" t="s">
        <v>36</v>
      </c>
      <c r="Z18" t="str">
        <f t="shared" si="9"/>
        <v xml:space="preserve"> dailCompDescCoronus16=^pCoronus's Gift of DAIL</v>
      </c>
      <c r="AA18" t="str">
        <f t="shared" si="17"/>
        <v>dailCompTextCoronus16=^oThis feels warm to the touch, almost familiar ^w(This component fits into all Jewellery slots including the Belt And Shoulder)</v>
      </c>
      <c r="AB18" s="5" t="s">
        <v>36</v>
      </c>
      <c r="AH18">
        <f t="shared" si="19"/>
        <v>13</v>
      </c>
      <c r="AI18">
        <f t="shared" si="13"/>
        <v>44</v>
      </c>
      <c r="AJ18">
        <f t="shared" si="18"/>
        <v>1</v>
      </c>
    </row>
    <row r="19" spans="1:36" x14ac:dyDescent="0.25">
      <c r="A19" s="5" t="s">
        <v>39</v>
      </c>
      <c r="B19" s="5" t="s">
        <v>28</v>
      </c>
      <c r="C19" s="5" t="str">
        <f t="shared" si="0"/>
        <v>description,dailCompDescCoronus17,</v>
      </c>
      <c r="D19" s="5" t="str">
        <f t="shared" si="2"/>
        <v>itemText,dailCompTextCoronus17,</v>
      </c>
      <c r="E19" s="5" t="str">
        <f t="shared" si="14"/>
        <v>augmentSkillLevel1,1,</v>
      </c>
      <c r="F19" s="5" t="str">
        <f t="shared" si="15"/>
        <v>augmentSkillName1,records/skills/playerclasscoronus/grigori5_petmodifier.dbr,</v>
      </c>
      <c r="G19" s="7">
        <f t="shared" si="10"/>
        <v>17</v>
      </c>
      <c r="H19" s="8" t="str">
        <f t="shared" si="11"/>
        <v>Coronus</v>
      </c>
      <c r="I19" s="3" t="s">
        <v>412</v>
      </c>
      <c r="J19" s="8" t="str">
        <f t="shared" si="12"/>
        <v>class0009</v>
      </c>
      <c r="K19" s="8" t="str">
        <f t="shared" si="12"/>
        <v>dailoneskill0009</v>
      </c>
      <c r="L19" s="5" t="str">
        <f t="shared" si="4"/>
        <v>lootName17,DAIL/items/materia/class0009/Coronus17.dbr,</v>
      </c>
      <c r="M19" s="5" t="str">
        <f t="shared" si="5"/>
        <v>lootWeight17,1,</v>
      </c>
      <c r="N19" t="str">
        <f t="shared" si="6"/>
        <v>1</v>
      </c>
      <c r="O19" t="str">
        <f t="shared" si="16"/>
        <v>copy .\dail_base.dbr .\items\materia\class0009\Coronus17.dbr /y</v>
      </c>
      <c r="P19" t="str">
        <f t="shared" si="7"/>
        <v>echo relicBitmap,items/craftingparts/components/component_a52_bristlyfur_b.tex, &gt;&gt; .\items\materia\class0009\Coronus17.dbr</v>
      </c>
      <c r="Q19" t="str">
        <f t="shared" si="7"/>
        <v>echo itemCost,300000, &gt;&gt; .\items\materia\class0009\Coronus17.dbr</v>
      </c>
      <c r="R19" t="str">
        <f t="shared" si="7"/>
        <v>echo description,dailCompDescCoronus17, &gt;&gt; .\items\materia\class0009\Coronus17.dbr</v>
      </c>
      <c r="S19" t="str">
        <f t="shared" si="7"/>
        <v>echo itemText,dailCompTextCoronus17, &gt;&gt; .\items\materia\class0009\Coronus17.dbr</v>
      </c>
      <c r="T19" t="str">
        <f t="shared" si="7"/>
        <v>echo augmentSkillLevel1,1, &gt;&gt; .\items\materia\class0009\Coronus17.dbr</v>
      </c>
      <c r="U19" t="str">
        <f t="shared" si="7"/>
        <v>echo augmentSkillName1,records/skills/playerclasscoronus/grigori5_petmodifier.dbr, &gt;&gt; .\items\materia\class0009\Coronus17.dbr</v>
      </c>
      <c r="V19" s="5" t="s">
        <v>36</v>
      </c>
      <c r="W19" t="str">
        <f t="shared" si="8"/>
        <v>echo lootName17,DAIL/items/materia/class0009/Coronus17.dbr, &gt;&gt; .\items\loottables\dailoneskill0009.dbr</v>
      </c>
      <c r="X19" t="str">
        <f t="shared" si="8"/>
        <v>echo lootWeight17,1, &gt;&gt; .\items\loottables\dailoneskill0009.dbr</v>
      </c>
      <c r="Y19" s="5" t="s">
        <v>36</v>
      </c>
      <c r="Z19" t="str">
        <f t="shared" si="9"/>
        <v xml:space="preserve"> dailCompDescCoronus17=^pCoronus's Gift of DAIL</v>
      </c>
      <c r="AA19" t="str">
        <f t="shared" si="17"/>
        <v>dailCompTextCoronus17=^oThis feels warm to the touch, almost familiar ^w(This component fits into all Jewellery slots including the Belt And Shoulder)</v>
      </c>
      <c r="AB19" s="5" t="s">
        <v>36</v>
      </c>
      <c r="AH19">
        <f t="shared" si="19"/>
        <v>14</v>
      </c>
      <c r="AI19">
        <f t="shared" si="13"/>
        <v>44</v>
      </c>
      <c r="AJ19">
        <f t="shared" si="18"/>
        <v>1</v>
      </c>
    </row>
    <row r="20" spans="1:36" x14ac:dyDescent="0.25">
      <c r="A20" s="5" t="s">
        <v>39</v>
      </c>
      <c r="B20" s="5" t="s">
        <v>28</v>
      </c>
      <c r="C20" s="5" t="str">
        <f t="shared" si="0"/>
        <v>description,dailCompDescCoronus18,</v>
      </c>
      <c r="D20" s="5" t="str">
        <f t="shared" si="2"/>
        <v>itemText,dailCompTextCoronus18,</v>
      </c>
      <c r="E20" s="5" t="str">
        <f t="shared" si="14"/>
        <v>augmentSkillLevel1,1,</v>
      </c>
      <c r="F20" s="5" t="str">
        <f t="shared" si="15"/>
        <v>augmentSkillName1,records/skills/playerclasscoronus/buffh1.dbr,</v>
      </c>
      <c r="G20" s="7">
        <f t="shared" si="10"/>
        <v>18</v>
      </c>
      <c r="H20" s="8" t="str">
        <f t="shared" si="11"/>
        <v>Coronus</v>
      </c>
      <c r="I20" s="3" t="s">
        <v>413</v>
      </c>
      <c r="J20" s="8" t="str">
        <f t="shared" si="12"/>
        <v>class0009</v>
      </c>
      <c r="K20" s="8" t="str">
        <f t="shared" si="12"/>
        <v>dailoneskill0009</v>
      </c>
      <c r="L20" s="5" t="str">
        <f t="shared" si="4"/>
        <v>lootName18,DAIL/items/materia/class0009/Coronus18.dbr,</v>
      </c>
      <c r="M20" s="5" t="str">
        <f t="shared" si="5"/>
        <v>lootWeight18,1,</v>
      </c>
      <c r="N20" t="str">
        <f t="shared" si="6"/>
        <v>1</v>
      </c>
      <c r="O20" t="str">
        <f t="shared" si="16"/>
        <v>copy .\dail_base.dbr .\items\materia\class0009\Coronus18.dbr /y</v>
      </c>
      <c r="P20" t="str">
        <f t="shared" si="7"/>
        <v>echo relicBitmap,items/craftingparts/components/component_a52_bristlyfur_b.tex, &gt;&gt; .\items\materia\class0009\Coronus18.dbr</v>
      </c>
      <c r="Q20" t="str">
        <f t="shared" si="7"/>
        <v>echo itemCost,300000, &gt;&gt; .\items\materia\class0009\Coronus18.dbr</v>
      </c>
      <c r="R20" t="str">
        <f t="shared" si="7"/>
        <v>echo description,dailCompDescCoronus18, &gt;&gt; .\items\materia\class0009\Coronus18.dbr</v>
      </c>
      <c r="S20" t="str">
        <f t="shared" si="7"/>
        <v>echo itemText,dailCompTextCoronus18, &gt;&gt; .\items\materia\class0009\Coronus18.dbr</v>
      </c>
      <c r="T20" t="str">
        <f t="shared" si="7"/>
        <v>echo augmentSkillLevel1,1, &gt;&gt; .\items\materia\class0009\Coronus18.dbr</v>
      </c>
      <c r="U20" t="str">
        <f t="shared" si="7"/>
        <v>echo augmentSkillName1,records/skills/playerclasscoronus/buffh1.dbr, &gt;&gt; .\items\materia\class0009\Coronus18.dbr</v>
      </c>
      <c r="V20" s="5" t="s">
        <v>36</v>
      </c>
      <c r="W20" t="str">
        <f t="shared" si="8"/>
        <v>echo lootName18,DAIL/items/materia/class0009/Coronus18.dbr, &gt;&gt; .\items\loottables\dailoneskill0009.dbr</v>
      </c>
      <c r="X20" t="str">
        <f t="shared" si="8"/>
        <v>echo lootWeight18,1, &gt;&gt; .\items\loottables\dailoneskill0009.dbr</v>
      </c>
      <c r="Y20" s="5" t="s">
        <v>36</v>
      </c>
      <c r="Z20" t="str">
        <f t="shared" si="9"/>
        <v xml:space="preserve"> dailCompDescCoronus18=^pCoronus's Gift of DAIL</v>
      </c>
      <c r="AA20" t="str">
        <f t="shared" si="17"/>
        <v>dailCompTextCoronus18=^oThis feels warm to the touch, almost familiar ^w(This component fits into all Jewellery slots including the Belt And Shoulder)</v>
      </c>
      <c r="AB20" s="5" t="s">
        <v>36</v>
      </c>
      <c r="AH20">
        <f t="shared" si="19"/>
        <v>15</v>
      </c>
      <c r="AI20">
        <f t="shared" si="13"/>
        <v>30</v>
      </c>
      <c r="AJ20">
        <f t="shared" si="18"/>
        <v>1</v>
      </c>
    </row>
    <row r="21" spans="1:36" x14ac:dyDescent="0.25">
      <c r="A21" s="5" t="s">
        <v>39</v>
      </c>
      <c r="B21" s="5" t="s">
        <v>28</v>
      </c>
      <c r="C21" s="5" t="str">
        <f t="shared" si="0"/>
        <v>description,dailCompDescCoronus19,</v>
      </c>
      <c r="D21" s="5" t="str">
        <f t="shared" si="2"/>
        <v>itemText,dailCompTextCoronus19,</v>
      </c>
      <c r="E21" s="5" t="str">
        <f t="shared" si="14"/>
        <v>augmentSkillLevel1,1,</v>
      </c>
      <c r="F21" s="5" t="str">
        <f t="shared" si="15"/>
        <v>augmentSkillName1,records/skills/playerclasscoronus/buffe1.dbr,</v>
      </c>
      <c r="G21" s="7">
        <f t="shared" si="10"/>
        <v>19</v>
      </c>
      <c r="H21" s="8" t="str">
        <f t="shared" si="11"/>
        <v>Coronus</v>
      </c>
      <c r="I21" s="3" t="s">
        <v>414</v>
      </c>
      <c r="J21" s="8" t="str">
        <f t="shared" ref="J21:K36" si="20">J20</f>
        <v>class0009</v>
      </c>
      <c r="K21" s="8" t="str">
        <f t="shared" si="20"/>
        <v>dailoneskill0009</v>
      </c>
      <c r="L21" s="5" t="str">
        <f t="shared" si="4"/>
        <v>lootName19,DAIL/items/materia/class0009/Coronus19.dbr,</v>
      </c>
      <c r="M21" s="5" t="str">
        <f t="shared" si="5"/>
        <v>lootWeight19,1,</v>
      </c>
      <c r="N21" t="str">
        <f t="shared" si="6"/>
        <v>1</v>
      </c>
      <c r="O21" t="str">
        <f t="shared" si="16"/>
        <v>copy .\dail_base.dbr .\items\materia\class0009\Coronus19.dbr /y</v>
      </c>
      <c r="P21" t="str">
        <f t="shared" si="7"/>
        <v>echo relicBitmap,items/craftingparts/components/component_a52_bristlyfur_b.tex, &gt;&gt; .\items\materia\class0009\Coronus19.dbr</v>
      </c>
      <c r="Q21" t="str">
        <f t="shared" si="7"/>
        <v>echo itemCost,300000, &gt;&gt; .\items\materia\class0009\Coronus19.dbr</v>
      </c>
      <c r="R21" t="str">
        <f t="shared" si="7"/>
        <v>echo description,dailCompDescCoronus19, &gt;&gt; .\items\materia\class0009\Coronus19.dbr</v>
      </c>
      <c r="S21" t="str">
        <f t="shared" si="7"/>
        <v>echo itemText,dailCompTextCoronus19, &gt;&gt; .\items\materia\class0009\Coronus19.dbr</v>
      </c>
      <c r="T21" t="str">
        <f t="shared" si="7"/>
        <v>echo augmentSkillLevel1,1, &gt;&gt; .\items\materia\class0009\Coronus19.dbr</v>
      </c>
      <c r="U21" t="str">
        <f t="shared" si="7"/>
        <v>echo augmentSkillName1,records/skills/playerclasscoronus/buffe1.dbr, &gt;&gt; .\items\materia\class0009\Coronus19.dbr</v>
      </c>
      <c r="V21" s="5" t="s">
        <v>36</v>
      </c>
      <c r="W21" t="str">
        <f t="shared" si="8"/>
        <v>echo lootName19,DAIL/items/materia/class0009/Coronus19.dbr, &gt;&gt; .\items\loottables\dailoneskill0009.dbr</v>
      </c>
      <c r="X21" t="str">
        <f t="shared" si="8"/>
        <v>echo lootWeight19,1, &gt;&gt; .\items\loottables\dailoneskill0009.dbr</v>
      </c>
      <c r="Y21" s="5" t="s">
        <v>36</v>
      </c>
      <c r="Z21" t="str">
        <f t="shared" si="9"/>
        <v xml:space="preserve"> dailCompDescCoronus19=^pCoronus's Gift of DAIL</v>
      </c>
      <c r="AA21" t="str">
        <f t="shared" si="17"/>
        <v>dailCompTextCoronus19=^oThis feels warm to the touch, almost familiar ^w(This component fits into all Jewellery slots including the Belt And Shoulder)</v>
      </c>
      <c r="AB21" s="5" t="s">
        <v>36</v>
      </c>
      <c r="AH21">
        <f t="shared" si="19"/>
        <v>16</v>
      </c>
      <c r="AI21">
        <f t="shared" si="13"/>
        <v>30</v>
      </c>
      <c r="AJ21">
        <f t="shared" si="18"/>
        <v>1</v>
      </c>
    </row>
    <row r="22" spans="1:36" x14ac:dyDescent="0.25">
      <c r="A22" s="5" t="s">
        <v>39</v>
      </c>
      <c r="B22" s="5" t="s">
        <v>28</v>
      </c>
      <c r="C22" s="5" t="str">
        <f t="shared" si="0"/>
        <v>description,dailCompDescCoronus20,</v>
      </c>
      <c r="D22" s="5" t="str">
        <f t="shared" si="2"/>
        <v>itemText,dailCompTextCoronus20,</v>
      </c>
      <c r="E22" s="5" t="str">
        <f t="shared" si="14"/>
        <v>augmentSkillLevel1,1,</v>
      </c>
      <c r="F22" s="5" t="str">
        <f t="shared" si="15"/>
        <v>augmentSkillName1,records/skills/playerclasscoronus/icegrenade1.dbr,</v>
      </c>
      <c r="G22" s="7">
        <f t="shared" si="10"/>
        <v>20</v>
      </c>
      <c r="H22" s="8" t="str">
        <f t="shared" si="11"/>
        <v>Coronus</v>
      </c>
      <c r="I22" s="3" t="s">
        <v>415</v>
      </c>
      <c r="J22" s="8" t="str">
        <f t="shared" si="20"/>
        <v>class0009</v>
      </c>
      <c r="K22" s="8" t="str">
        <f t="shared" si="20"/>
        <v>dailoneskill0009</v>
      </c>
      <c r="L22" s="5" t="str">
        <f t="shared" si="4"/>
        <v>lootName20,DAIL/items/materia/class0009/Coronus20.dbr,</v>
      </c>
      <c r="M22" s="5" t="str">
        <f t="shared" si="5"/>
        <v>lootWeight20,1,</v>
      </c>
      <c r="N22" t="str">
        <f t="shared" si="6"/>
        <v>1</v>
      </c>
      <c r="O22" t="str">
        <f t="shared" si="16"/>
        <v>copy .\dail_base.dbr .\items\materia\class0009\Coronus20.dbr /y</v>
      </c>
      <c r="P22" t="str">
        <f t="shared" si="7"/>
        <v>echo relicBitmap,items/craftingparts/components/component_a52_bristlyfur_b.tex, &gt;&gt; .\items\materia\class0009\Coronus20.dbr</v>
      </c>
      <c r="Q22" t="str">
        <f t="shared" si="7"/>
        <v>echo itemCost,300000, &gt;&gt; .\items\materia\class0009\Coronus20.dbr</v>
      </c>
      <c r="R22" t="str">
        <f t="shared" si="7"/>
        <v>echo description,dailCompDescCoronus20, &gt;&gt; .\items\materia\class0009\Coronus20.dbr</v>
      </c>
      <c r="S22" t="str">
        <f t="shared" si="7"/>
        <v>echo itemText,dailCompTextCoronus20, &gt;&gt; .\items\materia\class0009\Coronus20.dbr</v>
      </c>
      <c r="T22" t="str">
        <f t="shared" si="7"/>
        <v>echo augmentSkillLevel1,1, &gt;&gt; .\items\materia\class0009\Coronus20.dbr</v>
      </c>
      <c r="U22" t="str">
        <f t="shared" si="7"/>
        <v>echo augmentSkillName1,records/skills/playerclasscoronus/icegrenade1.dbr, &gt;&gt; .\items\materia\class0009\Coronus20.dbr</v>
      </c>
      <c r="V22" s="5" t="s">
        <v>36</v>
      </c>
      <c r="W22" t="str">
        <f t="shared" si="8"/>
        <v>echo lootName20,DAIL/items/materia/class0009/Coronus20.dbr, &gt;&gt; .\items\loottables\dailoneskill0009.dbr</v>
      </c>
      <c r="X22" t="str">
        <f t="shared" si="8"/>
        <v>echo lootWeight20,1, &gt;&gt; .\items\loottables\dailoneskill0009.dbr</v>
      </c>
      <c r="Y22" s="5" t="s">
        <v>36</v>
      </c>
      <c r="Z22" t="str">
        <f t="shared" si="9"/>
        <v xml:space="preserve"> dailCompDescCoronus20=^pCoronus's Gift of DAIL</v>
      </c>
      <c r="AA22" t="str">
        <f t="shared" si="17"/>
        <v>dailCompTextCoronus20=^oThis feels warm to the touch, almost familiar ^w(This component fits into all Jewellery slots including the Belt And Shoulder)</v>
      </c>
      <c r="AB22" s="5" t="s">
        <v>36</v>
      </c>
      <c r="AH22">
        <f t="shared" si="19"/>
        <v>17</v>
      </c>
      <c r="AI22">
        <f t="shared" si="13"/>
        <v>35</v>
      </c>
      <c r="AJ22">
        <f t="shared" si="18"/>
        <v>1</v>
      </c>
    </row>
    <row r="23" spans="1:36" x14ac:dyDescent="0.25">
      <c r="A23" s="5" t="s">
        <v>39</v>
      </c>
      <c r="B23" s="5" t="s">
        <v>28</v>
      </c>
      <c r="C23" s="5" t="str">
        <f t="shared" si="0"/>
        <v>description,dailCompDescCoronus21,</v>
      </c>
      <c r="D23" s="5" t="str">
        <f t="shared" si="2"/>
        <v>itemText,dailCompTextCoronus21,</v>
      </c>
      <c r="E23" s="5" t="str">
        <f t="shared" si="14"/>
        <v>augmentSkillLevel1,3,</v>
      </c>
      <c r="F23" s="5" t="str">
        <f t="shared" si="15"/>
        <v>augmentSkillName1,records/skills/playerclasscoronus/icegrenade2.dbr,</v>
      </c>
      <c r="G23" s="7">
        <f t="shared" si="10"/>
        <v>21</v>
      </c>
      <c r="H23" s="8" t="str">
        <f t="shared" si="11"/>
        <v>Coronus</v>
      </c>
      <c r="I23" s="3" t="s">
        <v>416</v>
      </c>
      <c r="J23" s="8" t="str">
        <f t="shared" si="20"/>
        <v>class0009</v>
      </c>
      <c r="K23" s="8" t="str">
        <f t="shared" si="20"/>
        <v>dailoneskill0009</v>
      </c>
      <c r="L23" s="5" t="str">
        <f t="shared" si="4"/>
        <v>lootName21,DAIL/items/materia/class0009/Coronus21.dbr,</v>
      </c>
      <c r="M23" s="5" t="str">
        <f t="shared" si="5"/>
        <v>lootWeight21,1,</v>
      </c>
      <c r="N23" t="str">
        <f t="shared" si="6"/>
        <v>3</v>
      </c>
      <c r="O23" t="str">
        <f t="shared" si="16"/>
        <v>copy .\dail_base3.dbr .\items\materia\class0009\Coronus21.dbr /y</v>
      </c>
      <c r="P23" t="str">
        <f t="shared" si="7"/>
        <v>echo relicBitmap,items/craftingparts/components/component_a52_bristlyfur_b.tex, &gt;&gt; .\items\materia\class0009\Coronus21.dbr</v>
      </c>
      <c r="Q23" t="str">
        <f t="shared" si="7"/>
        <v>echo itemCost,300000, &gt;&gt; .\items\materia\class0009\Coronus21.dbr</v>
      </c>
      <c r="R23" t="str">
        <f t="shared" si="7"/>
        <v>echo description,dailCompDescCoronus21, &gt;&gt; .\items\materia\class0009\Coronus21.dbr</v>
      </c>
      <c r="S23" t="str">
        <f t="shared" si="7"/>
        <v>echo itemText,dailCompTextCoronus21, &gt;&gt; .\items\materia\class0009\Coronus21.dbr</v>
      </c>
      <c r="T23" t="str">
        <f t="shared" si="7"/>
        <v>echo augmentSkillLevel1,3, &gt;&gt; .\items\materia\class0009\Coronus21.dbr</v>
      </c>
      <c r="U23" t="str">
        <f t="shared" si="7"/>
        <v>echo augmentSkillName1,records/skills/playerclasscoronus/icegrenade2.dbr, &gt;&gt; .\items\materia\class0009\Coronus21.dbr</v>
      </c>
      <c r="V23" s="5" t="s">
        <v>36</v>
      </c>
      <c r="W23" t="str">
        <f t="shared" si="8"/>
        <v>echo lootName21,DAIL/items/materia/class0009/Coronus21.dbr, &gt;&gt; .\items\loottables\dailoneskill0009.dbr</v>
      </c>
      <c r="X23" t="str">
        <f t="shared" si="8"/>
        <v>echo lootWeight21,1, &gt;&gt; .\items\loottables\dailoneskill0009.dbr</v>
      </c>
      <c r="Y23" s="5" t="s">
        <v>36</v>
      </c>
      <c r="Z23" t="str">
        <f t="shared" si="9"/>
        <v xml:space="preserve"> dailCompDescCoronus21=^pCoronus's Gift of DAIL</v>
      </c>
      <c r="AA23" t="str">
        <f t="shared" si="17"/>
        <v>dailCompTextCoronus21=^oThis feels warm to the touch, almost familiar ^w(This component only fits into the Medal Slot)</v>
      </c>
      <c r="AB23" s="5" t="s">
        <v>36</v>
      </c>
      <c r="AH23">
        <f t="shared" si="19"/>
        <v>18</v>
      </c>
      <c r="AI23">
        <f t="shared" si="13"/>
        <v>35</v>
      </c>
      <c r="AJ23">
        <f t="shared" si="18"/>
        <v>3</v>
      </c>
    </row>
    <row r="24" spans="1:36" x14ac:dyDescent="0.25">
      <c r="A24" s="5" t="s">
        <v>39</v>
      </c>
      <c r="B24" s="5" t="s">
        <v>28</v>
      </c>
      <c r="C24" s="5" t="str">
        <f t="shared" si="0"/>
        <v>description,dailCompDescCoronus22,</v>
      </c>
      <c r="D24" s="5" t="str">
        <f t="shared" si="2"/>
        <v>itemText,dailCompTextCoronus22,</v>
      </c>
      <c r="E24" s="5" t="str">
        <f t="shared" si="14"/>
        <v>augmentSkillLevel1,3,</v>
      </c>
      <c r="F24" s="5" t="str">
        <f t="shared" si="15"/>
        <v>augmentSkillName1,records/skills/playerclasscoronus/trouble1.dbr,</v>
      </c>
      <c r="G24" s="7">
        <f t="shared" si="10"/>
        <v>22</v>
      </c>
      <c r="H24" s="8" t="str">
        <f t="shared" si="11"/>
        <v>Coronus</v>
      </c>
      <c r="I24" s="3" t="s">
        <v>399</v>
      </c>
      <c r="J24" s="8" t="str">
        <f t="shared" si="20"/>
        <v>class0009</v>
      </c>
      <c r="K24" s="8" t="str">
        <f t="shared" si="20"/>
        <v>dailoneskill0009</v>
      </c>
      <c r="L24" s="5" t="str">
        <f t="shared" si="4"/>
        <v>lootName22,DAIL/items/materia/class0009/Coronus22.dbr,</v>
      </c>
      <c r="M24" s="5" t="str">
        <f t="shared" si="5"/>
        <v>lootWeight22,1,</v>
      </c>
      <c r="N24" t="str">
        <f t="shared" si="6"/>
        <v>3</v>
      </c>
      <c r="O24" t="str">
        <f t="shared" si="16"/>
        <v>copy .\dail_base3.dbr .\items\materia\class0009\Coronus22.dbr /y</v>
      </c>
      <c r="P24" t="str">
        <f t="shared" si="7"/>
        <v>echo relicBitmap,items/craftingparts/components/component_a52_bristlyfur_b.tex, &gt;&gt; .\items\materia\class0009\Coronus22.dbr</v>
      </c>
      <c r="Q24" t="str">
        <f t="shared" si="7"/>
        <v>echo itemCost,300000, &gt;&gt; .\items\materia\class0009\Coronus22.dbr</v>
      </c>
      <c r="R24" t="str">
        <f t="shared" si="7"/>
        <v>echo description,dailCompDescCoronus22, &gt;&gt; .\items\materia\class0009\Coronus22.dbr</v>
      </c>
      <c r="S24" t="str">
        <f t="shared" si="7"/>
        <v>echo itemText,dailCompTextCoronus22, &gt;&gt; .\items\materia\class0009\Coronus22.dbr</v>
      </c>
      <c r="T24" t="str">
        <f t="shared" si="7"/>
        <v>echo augmentSkillLevel1,3, &gt;&gt; .\items\materia\class0009\Coronus22.dbr</v>
      </c>
      <c r="U24" t="str">
        <f t="shared" si="7"/>
        <v>echo augmentSkillName1,records/skills/playerclasscoronus/trouble1.dbr, &gt;&gt; .\items\materia\class0009\Coronus22.dbr</v>
      </c>
      <c r="V24" s="5" t="s">
        <v>36</v>
      </c>
      <c r="W24" t="str">
        <f t="shared" si="8"/>
        <v>echo lootName22,DAIL/items/materia/class0009/Coronus22.dbr, &gt;&gt; .\items\loottables\dailoneskill0009.dbr</v>
      </c>
      <c r="X24" t="str">
        <f t="shared" si="8"/>
        <v>echo lootWeight22,1, &gt;&gt; .\items\loottables\dailoneskill0009.dbr</v>
      </c>
      <c r="Y24" s="5" t="s">
        <v>36</v>
      </c>
      <c r="Z24" t="str">
        <f t="shared" si="9"/>
        <v xml:space="preserve"> dailCompDescCoronus22=^pCoronus's Gift of DAIL</v>
      </c>
      <c r="AA24" t="str">
        <f t="shared" si="17"/>
        <v>dailCompTextCoronus22=^oThis feels warm to the touch, almost familiar ^w(This component only fits into the Medal Slot)</v>
      </c>
      <c r="AB24" s="5" t="s">
        <v>36</v>
      </c>
      <c r="AH24">
        <f t="shared" si="19"/>
        <v>19</v>
      </c>
      <c r="AI24">
        <f t="shared" si="13"/>
        <v>32</v>
      </c>
      <c r="AJ24">
        <f t="shared" si="18"/>
        <v>3</v>
      </c>
    </row>
    <row r="25" spans="1:36" x14ac:dyDescent="0.25">
      <c r="A25" s="5" t="s">
        <v>39</v>
      </c>
      <c r="B25" s="5" t="s">
        <v>28</v>
      </c>
      <c r="C25" s="5" t="str">
        <f t="shared" si="0"/>
        <v>description,dailCompDescCoronus23,</v>
      </c>
      <c r="D25" s="5" t="str">
        <f t="shared" si="2"/>
        <v>itemText,dailCompTextCoronus23,</v>
      </c>
      <c r="E25" s="5" t="str">
        <f t="shared" si="14"/>
        <v>augmentSkillLevel1,3,</v>
      </c>
      <c r="F25" s="5" t="str">
        <f t="shared" si="15"/>
        <v>augmentSkillName1,records/skills/playerclasscoronus/trouble2_petmodifier.dbr,</v>
      </c>
      <c r="G25" s="7">
        <f t="shared" si="10"/>
        <v>23</v>
      </c>
      <c r="H25" s="8" t="str">
        <f t="shared" si="11"/>
        <v>Coronus</v>
      </c>
      <c r="I25" s="3" t="s">
        <v>400</v>
      </c>
      <c r="J25" s="8" t="str">
        <f t="shared" si="20"/>
        <v>class0009</v>
      </c>
      <c r="K25" s="8" t="str">
        <f t="shared" si="20"/>
        <v>dailoneskill0009</v>
      </c>
      <c r="L25" s="5" t="str">
        <f t="shared" si="4"/>
        <v>lootName23,DAIL/items/materia/class0009/Coronus23.dbr,</v>
      </c>
      <c r="M25" s="5" t="str">
        <f t="shared" si="5"/>
        <v>lootWeight23,1,</v>
      </c>
      <c r="N25" t="str">
        <f t="shared" si="6"/>
        <v>3</v>
      </c>
      <c r="O25" t="str">
        <f t="shared" si="16"/>
        <v>copy .\dail_base3.dbr .\items\materia\class0009\Coronus23.dbr /y</v>
      </c>
      <c r="P25" t="str">
        <f t="shared" si="7"/>
        <v>echo relicBitmap,items/craftingparts/components/component_a52_bristlyfur_b.tex, &gt;&gt; .\items\materia\class0009\Coronus23.dbr</v>
      </c>
      <c r="Q25" t="str">
        <f t="shared" si="7"/>
        <v>echo itemCost,300000, &gt;&gt; .\items\materia\class0009\Coronus23.dbr</v>
      </c>
      <c r="R25" t="str">
        <f t="shared" si="7"/>
        <v>echo description,dailCompDescCoronus23, &gt;&gt; .\items\materia\class0009\Coronus23.dbr</v>
      </c>
      <c r="S25" t="str">
        <f t="shared" si="7"/>
        <v>echo itemText,dailCompTextCoronus23, &gt;&gt; .\items\materia\class0009\Coronus23.dbr</v>
      </c>
      <c r="T25" t="str">
        <f t="shared" si="7"/>
        <v>echo augmentSkillLevel1,3, &gt;&gt; .\items\materia\class0009\Coronus23.dbr</v>
      </c>
      <c r="U25" t="str">
        <f t="shared" si="7"/>
        <v>echo augmentSkillName1,records/skills/playerclasscoronus/trouble2_petmodifier.dbr, &gt;&gt; .\items\materia\class0009\Coronus23.dbr</v>
      </c>
      <c r="V25" s="5" t="s">
        <v>36</v>
      </c>
      <c r="W25" t="str">
        <f t="shared" si="8"/>
        <v>echo lootName23,DAIL/items/materia/class0009/Coronus23.dbr, &gt;&gt; .\items\loottables\dailoneskill0009.dbr</v>
      </c>
      <c r="X25" t="str">
        <f t="shared" si="8"/>
        <v>echo lootWeight23,1, &gt;&gt; .\items\loottables\dailoneskill0009.dbr</v>
      </c>
      <c r="Y25" s="5" t="s">
        <v>36</v>
      </c>
      <c r="Z25" t="str">
        <f t="shared" si="9"/>
        <v xml:space="preserve"> dailCompDescCoronus23=^pCoronus's Gift of DAIL</v>
      </c>
      <c r="AA25" t="str">
        <f t="shared" si="17"/>
        <v>dailCompTextCoronus23=^oThis feels warm to the touch, almost familiar ^w(This component only fits into the Medal Slot)</v>
      </c>
      <c r="AB25" s="5" t="s">
        <v>36</v>
      </c>
      <c r="AH25">
        <f t="shared" si="19"/>
        <v>20</v>
      </c>
      <c r="AI25">
        <f t="shared" si="13"/>
        <v>44</v>
      </c>
      <c r="AJ25">
        <f t="shared" si="18"/>
        <v>3</v>
      </c>
    </row>
    <row r="26" spans="1:36" x14ac:dyDescent="0.25">
      <c r="A26" s="5" t="s">
        <v>39</v>
      </c>
      <c r="B26" s="5" t="s">
        <v>28</v>
      </c>
      <c r="C26" s="5" t="str">
        <f t="shared" si="0"/>
        <v>description,dailCompDescCoronus24,</v>
      </c>
      <c r="D26" s="5" t="str">
        <f t="shared" si="2"/>
        <v>itemText,dailCompTextCoronus24,</v>
      </c>
      <c r="E26" s="5" t="str">
        <f t="shared" si="14"/>
        <v>augmentSkillLevel1,3,</v>
      </c>
      <c r="F26" s="5" t="str">
        <f t="shared" si="15"/>
        <v>augmentSkillName1,records/skills/playerclasscoronus/trouble3_petmodifier.dbr,</v>
      </c>
      <c r="G26" s="7">
        <f t="shared" si="10"/>
        <v>24</v>
      </c>
      <c r="H26" s="8" t="str">
        <f t="shared" si="11"/>
        <v>Coronus</v>
      </c>
      <c r="I26" s="3" t="s">
        <v>401</v>
      </c>
      <c r="J26" s="8" t="str">
        <f t="shared" si="20"/>
        <v>class0009</v>
      </c>
      <c r="K26" s="8" t="str">
        <f t="shared" si="20"/>
        <v>dailoneskill0009</v>
      </c>
      <c r="L26" s="5" t="str">
        <f t="shared" si="4"/>
        <v>lootName24,DAIL/items/materia/class0009/Coronus24.dbr,</v>
      </c>
      <c r="M26" s="5" t="str">
        <f t="shared" si="5"/>
        <v>lootWeight24,1,</v>
      </c>
      <c r="N26" t="str">
        <f t="shared" si="6"/>
        <v>3</v>
      </c>
      <c r="O26" t="str">
        <f t="shared" si="16"/>
        <v>copy .\dail_base3.dbr .\items\materia\class0009\Coronus24.dbr /y</v>
      </c>
      <c r="P26" t="str">
        <f t="shared" si="7"/>
        <v>echo relicBitmap,items/craftingparts/components/component_a52_bristlyfur_b.tex, &gt;&gt; .\items\materia\class0009\Coronus24.dbr</v>
      </c>
      <c r="Q26" t="str">
        <f t="shared" si="7"/>
        <v>echo itemCost,300000, &gt;&gt; .\items\materia\class0009\Coronus24.dbr</v>
      </c>
      <c r="R26" t="str">
        <f t="shared" si="7"/>
        <v>echo description,dailCompDescCoronus24, &gt;&gt; .\items\materia\class0009\Coronus24.dbr</v>
      </c>
      <c r="S26" t="str">
        <f t="shared" si="7"/>
        <v>echo itemText,dailCompTextCoronus24, &gt;&gt; .\items\materia\class0009\Coronus24.dbr</v>
      </c>
      <c r="T26" t="str">
        <f t="shared" si="7"/>
        <v>echo augmentSkillLevel1,3, &gt;&gt; .\items\materia\class0009\Coronus24.dbr</v>
      </c>
      <c r="U26" t="str">
        <f t="shared" si="7"/>
        <v>echo augmentSkillName1,records/skills/playerclasscoronus/trouble3_petmodifier.dbr, &gt;&gt; .\items\materia\class0009\Coronus24.dbr</v>
      </c>
      <c r="V26" s="5" t="s">
        <v>36</v>
      </c>
      <c r="W26" t="str">
        <f t="shared" si="8"/>
        <v>echo lootName24,DAIL/items/materia/class0009/Coronus24.dbr, &gt;&gt; .\items\loottables\dailoneskill0009.dbr</v>
      </c>
      <c r="X26" t="str">
        <f t="shared" si="8"/>
        <v>echo lootWeight24,1, &gt;&gt; .\items\loottables\dailoneskill0009.dbr</v>
      </c>
      <c r="Y26" s="5" t="s">
        <v>36</v>
      </c>
      <c r="Z26" t="str">
        <f t="shared" si="9"/>
        <v xml:space="preserve"> dailCompDescCoronus24=^pCoronus's Gift of DAIL</v>
      </c>
      <c r="AA26" t="str">
        <f t="shared" si="17"/>
        <v>dailCompTextCoronus24=^oThis feels warm to the touch, almost familiar ^w(This component only fits into the Medal Slot)</v>
      </c>
      <c r="AB26" s="5" t="s">
        <v>36</v>
      </c>
      <c r="AH26">
        <f t="shared" si="19"/>
        <v>21</v>
      </c>
      <c r="AI26">
        <f t="shared" si="13"/>
        <v>44</v>
      </c>
      <c r="AJ26">
        <f t="shared" si="18"/>
        <v>3</v>
      </c>
    </row>
    <row r="27" spans="1:36" x14ac:dyDescent="0.25">
      <c r="A27" s="5" t="s">
        <v>39</v>
      </c>
      <c r="B27" s="5" t="s">
        <v>28</v>
      </c>
      <c r="C27" s="5" t="str">
        <f t="shared" si="0"/>
        <v>description,dailCompDescCoronus25,</v>
      </c>
      <c r="D27" s="5" t="str">
        <f t="shared" si="2"/>
        <v>itemText,dailCompTextCoronus25,</v>
      </c>
      <c r="E27" s="5" t="str">
        <f t="shared" si="14"/>
        <v>augmentSkillLevel1,3,</v>
      </c>
      <c r="F27" s="5" t="str">
        <f t="shared" si="15"/>
        <v>augmentSkillName1,records/skills/playerclasscoronus/summon_abomination.dbr,</v>
      </c>
      <c r="G27" s="7">
        <f t="shared" si="10"/>
        <v>25</v>
      </c>
      <c r="H27" s="8" t="str">
        <f t="shared" si="11"/>
        <v>Coronus</v>
      </c>
      <c r="I27" s="3" t="s">
        <v>402</v>
      </c>
      <c r="J27" s="8" t="str">
        <f t="shared" si="20"/>
        <v>class0009</v>
      </c>
      <c r="K27" s="8" t="str">
        <f t="shared" si="20"/>
        <v>dailoneskill0009</v>
      </c>
      <c r="L27" s="5" t="str">
        <f t="shared" si="4"/>
        <v>lootName25,DAIL/items/materia/class0009/Coronus25.dbr,</v>
      </c>
      <c r="M27" s="5" t="str">
        <f t="shared" si="5"/>
        <v>lootWeight25,1,</v>
      </c>
      <c r="N27" t="str">
        <f t="shared" si="6"/>
        <v>3</v>
      </c>
      <c r="O27" t="str">
        <f t="shared" si="16"/>
        <v>copy .\dail_base3.dbr .\items\materia\class0009\Coronus25.dbr /y</v>
      </c>
      <c r="P27" t="str">
        <f t="shared" si="7"/>
        <v>echo relicBitmap,items/craftingparts/components/component_a52_bristlyfur_b.tex, &gt;&gt; .\items\materia\class0009\Coronus25.dbr</v>
      </c>
      <c r="Q27" t="str">
        <f t="shared" si="7"/>
        <v>echo itemCost,300000, &gt;&gt; .\items\materia\class0009\Coronus25.dbr</v>
      </c>
      <c r="R27" t="str">
        <f t="shared" si="7"/>
        <v>echo description,dailCompDescCoronus25, &gt;&gt; .\items\materia\class0009\Coronus25.dbr</v>
      </c>
      <c r="S27" t="str">
        <f t="shared" si="7"/>
        <v>echo itemText,dailCompTextCoronus25, &gt;&gt; .\items\materia\class0009\Coronus25.dbr</v>
      </c>
      <c r="T27" t="str">
        <f t="shared" si="7"/>
        <v>echo augmentSkillLevel1,3, &gt;&gt; .\items\materia\class0009\Coronus25.dbr</v>
      </c>
      <c r="U27" t="str">
        <f t="shared" si="7"/>
        <v>echo augmentSkillName1,records/skills/playerclasscoronus/summon_abomination.dbr, &gt;&gt; .\items\materia\class0009\Coronus25.dbr</v>
      </c>
      <c r="V27" s="5" t="s">
        <v>36</v>
      </c>
      <c r="W27" t="str">
        <f t="shared" si="8"/>
        <v>echo lootName25,DAIL/items/materia/class0009/Coronus25.dbr, &gt;&gt; .\items\loottables\dailoneskill0009.dbr</v>
      </c>
      <c r="X27" t="str">
        <f t="shared" si="8"/>
        <v>echo lootWeight25,1, &gt;&gt; .\items\loottables\dailoneskill0009.dbr</v>
      </c>
      <c r="Y27" s="5" t="s">
        <v>36</v>
      </c>
      <c r="Z27" t="str">
        <f t="shared" si="9"/>
        <v xml:space="preserve"> dailCompDescCoronus25=^pCoronus's Gift of DAIL</v>
      </c>
      <c r="AA27" t="str">
        <f t="shared" si="17"/>
        <v>dailCompTextCoronus25=^oThis feels warm to the touch, almost familiar ^w(This component only fits into the Medal Slot)</v>
      </c>
      <c r="AB27" s="5" t="s">
        <v>36</v>
      </c>
      <c r="AH27">
        <f t="shared" si="19"/>
        <v>22</v>
      </c>
      <c r="AI27">
        <f t="shared" si="13"/>
        <v>42</v>
      </c>
      <c r="AJ27">
        <f t="shared" si="18"/>
        <v>3</v>
      </c>
    </row>
    <row r="28" spans="1:36" x14ac:dyDescent="0.25">
      <c r="A28" s="5" t="s">
        <v>39</v>
      </c>
      <c r="B28" s="5" t="s">
        <v>28</v>
      </c>
      <c r="C28" s="5" t="str">
        <f t="shared" si="0"/>
        <v>description,dailCompDescCoronus26,</v>
      </c>
      <c r="D28" s="5" t="str">
        <f t="shared" si="2"/>
        <v>itemText,dailCompTextCoronus26,</v>
      </c>
      <c r="E28" s="5" t="str">
        <f t="shared" si="14"/>
        <v>augmentSkillLevel1,3,</v>
      </c>
      <c r="F28" s="5" t="str">
        <f t="shared" si="15"/>
        <v>augmentSkillName1,records/skills/playerclasscoronus/heal.dbr,</v>
      </c>
      <c r="G28" s="7">
        <f t="shared" si="10"/>
        <v>26</v>
      </c>
      <c r="H28" s="8" t="str">
        <f t="shared" si="11"/>
        <v>Coronus</v>
      </c>
      <c r="I28" s="3" t="s">
        <v>403</v>
      </c>
      <c r="J28" s="8" t="str">
        <f t="shared" si="20"/>
        <v>class0009</v>
      </c>
      <c r="K28" s="8" t="str">
        <f t="shared" si="20"/>
        <v>dailoneskill0009</v>
      </c>
      <c r="L28" s="5" t="str">
        <f t="shared" si="4"/>
        <v>lootName26,DAIL/items/materia/class0009/Coronus26.dbr,</v>
      </c>
      <c r="M28" s="5" t="str">
        <f t="shared" si="5"/>
        <v>lootWeight26,1,</v>
      </c>
      <c r="N28" t="str">
        <f t="shared" si="6"/>
        <v>3</v>
      </c>
      <c r="O28" t="str">
        <f t="shared" si="16"/>
        <v>copy .\dail_base3.dbr .\items\materia\class0009\Coronus26.dbr /y</v>
      </c>
      <c r="P28" t="str">
        <f t="shared" si="7"/>
        <v>echo relicBitmap,items/craftingparts/components/component_a52_bristlyfur_b.tex, &gt;&gt; .\items\materia\class0009\Coronus26.dbr</v>
      </c>
      <c r="Q28" t="str">
        <f t="shared" si="7"/>
        <v>echo itemCost,300000, &gt;&gt; .\items\materia\class0009\Coronus26.dbr</v>
      </c>
      <c r="R28" t="str">
        <f t="shared" si="7"/>
        <v>echo description,dailCompDescCoronus26, &gt;&gt; .\items\materia\class0009\Coronus26.dbr</v>
      </c>
      <c r="S28" t="str">
        <f t="shared" si="7"/>
        <v>echo itemText,dailCompTextCoronus26, &gt;&gt; .\items\materia\class0009\Coronus26.dbr</v>
      </c>
      <c r="T28" t="str">
        <f t="shared" si="7"/>
        <v>echo augmentSkillLevel1,3, &gt;&gt; .\items\materia\class0009\Coronus26.dbr</v>
      </c>
      <c r="U28" t="str">
        <f t="shared" si="7"/>
        <v>echo augmentSkillName1,records/skills/playerclasscoronus/heal.dbr, &gt;&gt; .\items\materia\class0009\Coronus26.dbr</v>
      </c>
      <c r="V28" s="5" t="s">
        <v>36</v>
      </c>
      <c r="W28" t="str">
        <f t="shared" si="8"/>
        <v>echo lootName26,DAIL/items/materia/class0009/Coronus26.dbr, &gt;&gt; .\items\loottables\dailoneskill0009.dbr</v>
      </c>
      <c r="X28" t="str">
        <f t="shared" si="8"/>
        <v>echo lootWeight26,1, &gt;&gt; .\items\loottables\dailoneskill0009.dbr</v>
      </c>
      <c r="Y28" s="5" t="s">
        <v>36</v>
      </c>
      <c r="Z28" t="str">
        <f t="shared" si="9"/>
        <v xml:space="preserve"> dailCompDescCoronus26=^pCoronus's Gift of DAIL</v>
      </c>
      <c r="AA28" t="str">
        <f t="shared" si="17"/>
        <v>dailCompTextCoronus26=^oThis feels warm to the touch, almost familiar ^w(This component only fits into the Medal Slot)</v>
      </c>
      <c r="AB28" s="5" t="s">
        <v>36</v>
      </c>
      <c r="AH28">
        <f t="shared" si="19"/>
        <v>23</v>
      </c>
      <c r="AI28">
        <f t="shared" si="13"/>
        <v>28</v>
      </c>
      <c r="AJ28">
        <f t="shared" si="18"/>
        <v>3</v>
      </c>
    </row>
    <row r="29" spans="1:36" x14ac:dyDescent="0.25">
      <c r="A29" s="5" t="s">
        <v>39</v>
      </c>
      <c r="B29" s="5" t="s">
        <v>28</v>
      </c>
      <c r="C29" s="5" t="str">
        <f t="shared" si="0"/>
        <v>description,dailCompDescCoronus27,</v>
      </c>
      <c r="D29" s="5" t="str">
        <f t="shared" si="2"/>
        <v>itemText,dailCompTextCoronus27,</v>
      </c>
      <c r="E29" s="5" t="str">
        <f t="shared" si="14"/>
        <v>augmentSkillLevel1,3,</v>
      </c>
      <c r="F29" s="5" t="str">
        <f t="shared" si="15"/>
        <v>augmentSkillName1,records/skills/playerclasscoronus/oadabuff1.dbr,</v>
      </c>
      <c r="G29" s="7">
        <f t="shared" si="10"/>
        <v>27</v>
      </c>
      <c r="H29" s="8" t="str">
        <f t="shared" si="11"/>
        <v>Coronus</v>
      </c>
      <c r="I29" s="3" t="s">
        <v>404</v>
      </c>
      <c r="J29" s="8" t="str">
        <f t="shared" si="20"/>
        <v>class0009</v>
      </c>
      <c r="K29" s="8" t="str">
        <f t="shared" si="20"/>
        <v>dailoneskill0009</v>
      </c>
      <c r="L29" s="5" t="str">
        <f t="shared" si="4"/>
        <v>lootName27,DAIL/items/materia/class0009/Coronus27.dbr,</v>
      </c>
      <c r="M29" s="5" t="str">
        <f t="shared" si="5"/>
        <v>lootWeight27,1,</v>
      </c>
      <c r="N29" t="str">
        <f t="shared" si="6"/>
        <v>3</v>
      </c>
      <c r="O29" t="str">
        <f t="shared" si="16"/>
        <v>copy .\dail_base3.dbr .\items\materia\class0009\Coronus27.dbr /y</v>
      </c>
      <c r="P29" t="str">
        <f t="shared" si="7"/>
        <v>echo relicBitmap,items/craftingparts/components/component_a52_bristlyfur_b.tex, &gt;&gt; .\items\materia\class0009\Coronus27.dbr</v>
      </c>
      <c r="Q29" t="str">
        <f t="shared" si="7"/>
        <v>echo itemCost,300000, &gt;&gt; .\items\materia\class0009\Coronus27.dbr</v>
      </c>
      <c r="R29" t="str">
        <f t="shared" si="7"/>
        <v>echo description,dailCompDescCoronus27, &gt;&gt; .\items\materia\class0009\Coronus27.dbr</v>
      </c>
      <c r="S29" t="str">
        <f t="shared" si="7"/>
        <v>echo itemText,dailCompTextCoronus27, &gt;&gt; .\items\materia\class0009\Coronus27.dbr</v>
      </c>
      <c r="T29" t="str">
        <f t="shared" si="7"/>
        <v>echo augmentSkillLevel1,3, &gt;&gt; .\items\materia\class0009\Coronus27.dbr</v>
      </c>
      <c r="U29" t="str">
        <f t="shared" si="7"/>
        <v>echo augmentSkillName1,records/skills/playerclasscoronus/oadabuff1.dbr, &gt;&gt; .\items\materia\class0009\Coronus27.dbr</v>
      </c>
      <c r="V29" s="5" t="s">
        <v>36</v>
      </c>
      <c r="W29" t="str">
        <f t="shared" si="8"/>
        <v>echo lootName27,DAIL/items/materia/class0009/Coronus27.dbr, &gt;&gt; .\items\loottables\dailoneskill0009.dbr</v>
      </c>
      <c r="X29" t="str">
        <f t="shared" si="8"/>
        <v>echo lootWeight27,1, &gt;&gt; .\items\loottables\dailoneskill0009.dbr</v>
      </c>
      <c r="Y29" s="5" t="s">
        <v>36</v>
      </c>
      <c r="Z29" t="str">
        <f t="shared" si="9"/>
        <v xml:space="preserve"> dailCompDescCoronus27=^pCoronus's Gift of DAIL</v>
      </c>
      <c r="AA29" t="str">
        <f t="shared" si="17"/>
        <v>dailCompTextCoronus27=^oThis feels warm to the touch, almost familiar ^w(This component only fits into the Medal Slot)</v>
      </c>
      <c r="AB29" s="5" t="s">
        <v>36</v>
      </c>
      <c r="AH29">
        <f t="shared" si="19"/>
        <v>24</v>
      </c>
      <c r="AI29">
        <f t="shared" si="13"/>
        <v>33</v>
      </c>
      <c r="AJ29">
        <f t="shared" si="18"/>
        <v>3</v>
      </c>
    </row>
    <row r="30" spans="1:36" x14ac:dyDescent="0.25">
      <c r="A30" s="5" t="s">
        <v>39</v>
      </c>
      <c r="B30" s="5" t="s">
        <v>28</v>
      </c>
      <c r="C30" s="5" t="str">
        <f t="shared" si="0"/>
        <v>description,dailCompDescCoronus28,</v>
      </c>
      <c r="D30" s="5" t="str">
        <f t="shared" si="2"/>
        <v>itemText,dailCompTextCoronus28,</v>
      </c>
      <c r="E30" s="5" t="str">
        <f t="shared" si="14"/>
        <v>augmentSkillLevel1,3,</v>
      </c>
      <c r="F30" s="5" t="str">
        <f t="shared" si="15"/>
        <v>augmentSkillName1,records/skills/playerclasscoronus/pinned1.dbr,</v>
      </c>
      <c r="G30" s="7">
        <f t="shared" si="10"/>
        <v>28</v>
      </c>
      <c r="H30" s="8" t="str">
        <f t="shared" si="11"/>
        <v>Coronus</v>
      </c>
      <c r="I30" s="3" t="s">
        <v>405</v>
      </c>
      <c r="J30" s="8" t="str">
        <f t="shared" si="20"/>
        <v>class0009</v>
      </c>
      <c r="K30" s="8" t="str">
        <f t="shared" si="20"/>
        <v>dailoneskill0009</v>
      </c>
      <c r="L30" s="5" t="str">
        <f t="shared" si="4"/>
        <v>lootName28,DAIL/items/materia/class0009/Coronus28.dbr,</v>
      </c>
      <c r="M30" s="5" t="str">
        <f t="shared" si="5"/>
        <v>lootWeight28,1,</v>
      </c>
      <c r="N30" t="str">
        <f t="shared" si="6"/>
        <v>3</v>
      </c>
      <c r="O30" t="str">
        <f t="shared" si="16"/>
        <v>copy .\dail_base3.dbr .\items\materia\class0009\Coronus28.dbr /y</v>
      </c>
      <c r="P30" t="str">
        <f t="shared" si="7"/>
        <v>echo relicBitmap,items/craftingparts/components/component_a52_bristlyfur_b.tex, &gt;&gt; .\items\materia\class0009\Coronus28.dbr</v>
      </c>
      <c r="Q30" t="str">
        <f t="shared" si="7"/>
        <v>echo itemCost,300000, &gt;&gt; .\items\materia\class0009\Coronus28.dbr</v>
      </c>
      <c r="R30" t="str">
        <f t="shared" si="7"/>
        <v>echo description,dailCompDescCoronus28, &gt;&gt; .\items\materia\class0009\Coronus28.dbr</v>
      </c>
      <c r="S30" t="str">
        <f t="shared" si="7"/>
        <v>echo itemText,dailCompTextCoronus28, &gt;&gt; .\items\materia\class0009\Coronus28.dbr</v>
      </c>
      <c r="T30" t="str">
        <f t="shared" si="7"/>
        <v>echo augmentSkillLevel1,3, &gt;&gt; .\items\materia\class0009\Coronus28.dbr</v>
      </c>
      <c r="U30" t="str">
        <f t="shared" si="7"/>
        <v>echo augmentSkillName1,records/skills/playerclasscoronus/pinned1.dbr, &gt;&gt; .\items\materia\class0009\Coronus28.dbr</v>
      </c>
      <c r="V30" s="5" t="s">
        <v>36</v>
      </c>
      <c r="W30" t="str">
        <f t="shared" si="8"/>
        <v>echo lootName28,DAIL/items/materia/class0009/Coronus28.dbr, &gt;&gt; .\items\loottables\dailoneskill0009.dbr</v>
      </c>
      <c r="X30" t="str">
        <f t="shared" si="8"/>
        <v>echo lootWeight28,1, &gt;&gt; .\items\loottables\dailoneskill0009.dbr</v>
      </c>
      <c r="Y30" s="5" t="s">
        <v>36</v>
      </c>
      <c r="Z30" t="str">
        <f t="shared" si="9"/>
        <v xml:space="preserve"> dailCompDescCoronus28=^pCoronus's Gift of DAIL</v>
      </c>
      <c r="AA30" t="str">
        <f t="shared" si="17"/>
        <v>dailCompTextCoronus28=^oThis feels warm to the touch, almost familiar ^w(This component only fits into the Medal Slot)</v>
      </c>
      <c r="AB30" s="5" t="s">
        <v>36</v>
      </c>
      <c r="AH30">
        <f t="shared" si="19"/>
        <v>25</v>
      </c>
      <c r="AI30">
        <f t="shared" si="13"/>
        <v>31</v>
      </c>
      <c r="AJ30">
        <f t="shared" si="18"/>
        <v>3</v>
      </c>
    </row>
    <row r="31" spans="1:36" x14ac:dyDescent="0.25">
      <c r="A31" s="5" t="s">
        <v>39</v>
      </c>
      <c r="B31" s="5" t="s">
        <v>28</v>
      </c>
      <c r="C31" s="5" t="str">
        <f t="shared" si="0"/>
        <v>description,dailCompDescCoronus29,</v>
      </c>
      <c r="D31" s="5" t="str">
        <f t="shared" si="2"/>
        <v>itemText,dailCompTextCoronus29,</v>
      </c>
      <c r="E31" s="5" t="str">
        <f t="shared" si="14"/>
        <v>augmentSkillLevel1,3,</v>
      </c>
      <c r="F31" s="5" t="str">
        <f t="shared" si="15"/>
        <v>augmentSkillName1,records/skills/playerclasscoronus/pinned2_petmodifier.dbr,</v>
      </c>
      <c r="G31" s="7">
        <f t="shared" si="10"/>
        <v>29</v>
      </c>
      <c r="H31" s="8" t="str">
        <f t="shared" si="11"/>
        <v>Coronus</v>
      </c>
      <c r="I31" s="3" t="s">
        <v>406</v>
      </c>
      <c r="J31" s="8" t="str">
        <f t="shared" si="20"/>
        <v>class0009</v>
      </c>
      <c r="K31" s="8" t="str">
        <f t="shared" si="20"/>
        <v>dailoneskill0009</v>
      </c>
      <c r="L31" s="5" t="str">
        <f t="shared" si="4"/>
        <v>lootName29,DAIL/items/materia/class0009/Coronus29.dbr,</v>
      </c>
      <c r="M31" s="5" t="str">
        <f t="shared" si="5"/>
        <v>lootWeight29,1,</v>
      </c>
      <c r="N31" t="str">
        <f t="shared" si="6"/>
        <v>3</v>
      </c>
      <c r="O31" t="str">
        <f t="shared" si="16"/>
        <v>copy .\dail_base3.dbr .\items\materia\class0009\Coronus29.dbr /y</v>
      </c>
      <c r="P31" t="str">
        <f t="shared" si="7"/>
        <v>echo relicBitmap,items/craftingparts/components/component_a52_bristlyfur_b.tex, &gt;&gt; .\items\materia\class0009\Coronus29.dbr</v>
      </c>
      <c r="Q31" t="str">
        <f t="shared" si="7"/>
        <v>echo itemCost,300000, &gt;&gt; .\items\materia\class0009\Coronus29.dbr</v>
      </c>
      <c r="R31" t="str">
        <f t="shared" si="7"/>
        <v>echo description,dailCompDescCoronus29, &gt;&gt; .\items\materia\class0009\Coronus29.dbr</v>
      </c>
      <c r="S31" t="str">
        <f t="shared" si="7"/>
        <v>echo itemText,dailCompTextCoronus29, &gt;&gt; .\items\materia\class0009\Coronus29.dbr</v>
      </c>
      <c r="T31" t="str">
        <f t="shared" si="7"/>
        <v>echo augmentSkillLevel1,3, &gt;&gt; .\items\materia\class0009\Coronus29.dbr</v>
      </c>
      <c r="U31" t="str">
        <f t="shared" si="7"/>
        <v>echo augmentSkillName1,records/skills/playerclasscoronus/pinned2_petmodifier.dbr, &gt;&gt; .\items\materia\class0009\Coronus29.dbr</v>
      </c>
      <c r="V31" s="5" t="s">
        <v>36</v>
      </c>
      <c r="W31" t="str">
        <f t="shared" si="8"/>
        <v>echo lootName29,DAIL/items/materia/class0009/Coronus29.dbr, &gt;&gt; .\items\loottables\dailoneskill0009.dbr</v>
      </c>
      <c r="X31" t="str">
        <f t="shared" si="8"/>
        <v>echo lootWeight29,1, &gt;&gt; .\items\loottables\dailoneskill0009.dbr</v>
      </c>
      <c r="Y31" s="5" t="s">
        <v>36</v>
      </c>
      <c r="Z31" t="str">
        <f t="shared" si="9"/>
        <v xml:space="preserve"> dailCompDescCoronus29=^pCoronus's Gift of DAIL</v>
      </c>
      <c r="AA31" t="str">
        <f t="shared" si="17"/>
        <v>dailCompTextCoronus29=^oThis feels warm to the touch, almost familiar ^w(This component only fits into the Medal Slot)</v>
      </c>
      <c r="AB31" s="5" t="s">
        <v>36</v>
      </c>
      <c r="AH31">
        <f t="shared" si="19"/>
        <v>26</v>
      </c>
      <c r="AI31">
        <f t="shared" si="13"/>
        <v>43</v>
      </c>
      <c r="AJ31">
        <f t="shared" si="18"/>
        <v>3</v>
      </c>
    </row>
    <row r="32" spans="1:36" x14ac:dyDescent="0.25">
      <c r="A32" s="5" t="s">
        <v>39</v>
      </c>
      <c r="B32" s="5" t="s">
        <v>30</v>
      </c>
      <c r="C32" s="5" t="str">
        <f t="shared" si="0"/>
        <v>description,dailCompDescCoronus30,</v>
      </c>
      <c r="D32" s="5" t="str">
        <f t="shared" si="2"/>
        <v>itemText,dailCompTextCoronus30,</v>
      </c>
      <c r="E32" s="5" t="str">
        <f t="shared" si="14"/>
        <v>augmentSkillLevel1,3,</v>
      </c>
      <c r="F32" s="5" t="str">
        <f t="shared" si="15"/>
        <v>augmentSkillName1,records/skills/playerclasscoronus/goetia.dbr,</v>
      </c>
      <c r="G32" s="7">
        <f t="shared" si="10"/>
        <v>30</v>
      </c>
      <c r="H32" s="8" t="str">
        <f t="shared" si="11"/>
        <v>Coronus</v>
      </c>
      <c r="I32" s="3" t="s">
        <v>407</v>
      </c>
      <c r="J32" s="8" t="str">
        <f t="shared" si="20"/>
        <v>class0009</v>
      </c>
      <c r="K32" s="8" t="str">
        <f t="shared" si="20"/>
        <v>dailoneskill0009</v>
      </c>
      <c r="L32" s="5" t="str">
        <f t="shared" si="4"/>
        <v>lootName30,DAIL/items/materia/class0009/Coronus30.dbr,</v>
      </c>
      <c r="M32" s="5" t="str">
        <f t="shared" si="5"/>
        <v>lootWeight30,1,</v>
      </c>
      <c r="N32" t="str">
        <f t="shared" si="6"/>
        <v>3</v>
      </c>
      <c r="O32" t="str">
        <f t="shared" si="16"/>
        <v>copy .\dail_base3.dbr .\items\materia\class0009\Coronus30.dbr /y</v>
      </c>
      <c r="P32" t="str">
        <f t="shared" si="7"/>
        <v>echo relicBitmap,items/craftingparts/components/component_a52_bristlyfur_b.tex, &gt;&gt; .\items\materia\class0009\Coronus30.dbr</v>
      </c>
      <c r="Q32" t="str">
        <f t="shared" si="7"/>
        <v>echo itemCost,500000, &gt;&gt; .\items\materia\class0009\Coronus30.dbr</v>
      </c>
      <c r="R32" t="str">
        <f t="shared" si="7"/>
        <v>echo description,dailCompDescCoronus30, &gt;&gt; .\items\materia\class0009\Coronus30.dbr</v>
      </c>
      <c r="S32" t="str">
        <f t="shared" si="7"/>
        <v>echo itemText,dailCompTextCoronus30, &gt;&gt; .\items\materia\class0009\Coronus30.dbr</v>
      </c>
      <c r="T32" t="str">
        <f t="shared" si="7"/>
        <v>echo augmentSkillLevel1,3, &gt;&gt; .\items\materia\class0009\Coronus30.dbr</v>
      </c>
      <c r="U32" t="str">
        <f t="shared" si="7"/>
        <v>echo augmentSkillName1,records/skills/playerclasscoronus/goetia.dbr, &gt;&gt; .\items\materia\class0009\Coronus30.dbr</v>
      </c>
      <c r="V32" s="5" t="s">
        <v>36</v>
      </c>
      <c r="W32" t="str">
        <f t="shared" si="8"/>
        <v>echo lootName30,DAIL/items/materia/class0009/Coronus30.dbr, &gt;&gt; .\items\loottables\dailoneskill0009.dbr</v>
      </c>
      <c r="X32" t="str">
        <f t="shared" si="8"/>
        <v>echo lootWeight30,1, &gt;&gt; .\items\loottables\dailoneskill0009.dbr</v>
      </c>
      <c r="Y32" s="5" t="s">
        <v>36</v>
      </c>
      <c r="Z32" t="str">
        <f t="shared" si="9"/>
        <v xml:space="preserve"> dailCompDescCoronus30=^pCoronus's Gift of DAIL</v>
      </c>
      <c r="AA32" t="str">
        <f t="shared" si="17"/>
        <v>dailCompTextCoronus30=^oThis feels warm to the touch, almost familiar ^w(This component only fits into the Medal Slot)</v>
      </c>
      <c r="AB32" s="5" t="s">
        <v>36</v>
      </c>
      <c r="AH32">
        <f t="shared" si="19"/>
        <v>27</v>
      </c>
      <c r="AI32">
        <f t="shared" si="13"/>
        <v>30</v>
      </c>
      <c r="AJ32">
        <f t="shared" si="18"/>
        <v>3</v>
      </c>
    </row>
    <row r="33" spans="1:36" x14ac:dyDescent="0.25">
      <c r="A33" s="5" t="s">
        <v>39</v>
      </c>
      <c r="B33" s="5" t="s">
        <v>30</v>
      </c>
      <c r="C33" s="5" t="str">
        <f t="shared" si="0"/>
        <v>description,dailCompDescCoronus31,</v>
      </c>
      <c r="D33" s="5" t="str">
        <f t="shared" si="2"/>
        <v>itemText,dailCompTextCoronus31,</v>
      </c>
      <c r="E33" s="5" t="str">
        <f t="shared" si="14"/>
        <v>augmentSkillLevel1,3,</v>
      </c>
      <c r="F33" s="5" t="str">
        <f t="shared" si="15"/>
        <v>augmentSkillName1,records/skills/playerclasscoronus/grigori1.dbr,</v>
      </c>
      <c r="G33" s="7">
        <f t="shared" si="10"/>
        <v>31</v>
      </c>
      <c r="H33" s="8" t="str">
        <f t="shared" si="11"/>
        <v>Coronus</v>
      </c>
      <c r="I33" s="3" t="s">
        <v>408</v>
      </c>
      <c r="J33" s="8" t="str">
        <f t="shared" si="20"/>
        <v>class0009</v>
      </c>
      <c r="K33" s="8" t="str">
        <f t="shared" si="20"/>
        <v>dailoneskill0009</v>
      </c>
      <c r="L33" s="5" t="str">
        <f t="shared" si="4"/>
        <v>lootName31,DAIL/items/materia/class0009/Coronus31.dbr,</v>
      </c>
      <c r="M33" s="5" t="str">
        <f t="shared" si="5"/>
        <v>lootWeight31,1,</v>
      </c>
      <c r="N33" t="str">
        <f t="shared" si="6"/>
        <v>3</v>
      </c>
      <c r="O33" t="str">
        <f t="shared" si="16"/>
        <v>copy .\dail_base3.dbr .\items\materia\class0009\Coronus31.dbr /y</v>
      </c>
      <c r="P33" t="str">
        <f t="shared" si="7"/>
        <v>echo relicBitmap,items/craftingparts/components/component_a52_bristlyfur_b.tex, &gt;&gt; .\items\materia\class0009\Coronus31.dbr</v>
      </c>
      <c r="Q33" t="str">
        <f t="shared" si="7"/>
        <v>echo itemCost,500000, &gt;&gt; .\items\materia\class0009\Coronus31.dbr</v>
      </c>
      <c r="R33" t="str">
        <f t="shared" si="7"/>
        <v>echo description,dailCompDescCoronus31, &gt;&gt; .\items\materia\class0009\Coronus31.dbr</v>
      </c>
      <c r="S33" t="str">
        <f t="shared" si="7"/>
        <v>echo itemText,dailCompTextCoronus31, &gt;&gt; .\items\materia\class0009\Coronus31.dbr</v>
      </c>
      <c r="T33" t="str">
        <f t="shared" si="7"/>
        <v>echo augmentSkillLevel1,3, &gt;&gt; .\items\materia\class0009\Coronus31.dbr</v>
      </c>
      <c r="U33" t="str">
        <f t="shared" si="7"/>
        <v>echo augmentSkillName1,records/skills/playerclasscoronus/grigori1.dbr, &gt;&gt; .\items\materia\class0009\Coronus31.dbr</v>
      </c>
      <c r="V33" s="5" t="s">
        <v>36</v>
      </c>
      <c r="W33" t="str">
        <f t="shared" si="8"/>
        <v>echo lootName31,DAIL/items/materia/class0009/Coronus31.dbr, &gt;&gt; .\items\loottables\dailoneskill0009.dbr</v>
      </c>
      <c r="X33" t="str">
        <f t="shared" si="8"/>
        <v>echo lootWeight31,1, &gt;&gt; .\items\loottables\dailoneskill0009.dbr</v>
      </c>
      <c r="Y33" s="5" t="s">
        <v>36</v>
      </c>
      <c r="Z33" t="str">
        <f t="shared" si="9"/>
        <v xml:space="preserve"> dailCompDescCoronus31=^pCoronus's Gift of DAIL</v>
      </c>
      <c r="AA33" t="str">
        <f t="shared" si="17"/>
        <v>dailCompTextCoronus31=^oThis feels warm to the touch, almost familiar ^w(This component only fits into the Medal Slot)</v>
      </c>
      <c r="AB33" s="5" t="s">
        <v>36</v>
      </c>
      <c r="AH33">
        <f t="shared" si="19"/>
        <v>28</v>
      </c>
      <c r="AI33">
        <f t="shared" si="13"/>
        <v>32</v>
      </c>
      <c r="AJ33">
        <f t="shared" si="18"/>
        <v>3</v>
      </c>
    </row>
    <row r="34" spans="1:36" x14ac:dyDescent="0.25">
      <c r="A34" s="5" t="s">
        <v>39</v>
      </c>
      <c r="B34" s="5" t="s">
        <v>30</v>
      </c>
      <c r="C34" s="5" t="str">
        <f t="shared" si="0"/>
        <v>description,dailCompDescCoronus32,</v>
      </c>
      <c r="D34" s="5" t="str">
        <f t="shared" si="2"/>
        <v>itemText,dailCompTextCoronus32,</v>
      </c>
      <c r="E34" s="5" t="str">
        <f t="shared" si="14"/>
        <v>augmentSkillLevel1,3,</v>
      </c>
      <c r="F34" s="5" t="str">
        <f t="shared" si="15"/>
        <v>augmentSkillName1,records/skills/playerclasscoronus/grigori2_petmodifier.dbr,</v>
      </c>
      <c r="G34" s="7">
        <f t="shared" si="10"/>
        <v>32</v>
      </c>
      <c r="H34" s="8" t="str">
        <f t="shared" si="11"/>
        <v>Coronus</v>
      </c>
      <c r="I34" s="3" t="s">
        <v>409</v>
      </c>
      <c r="J34" s="8" t="str">
        <f t="shared" si="20"/>
        <v>class0009</v>
      </c>
      <c r="K34" s="8" t="str">
        <f t="shared" si="20"/>
        <v>dailoneskill0009</v>
      </c>
      <c r="L34" s="5" t="str">
        <f t="shared" si="4"/>
        <v>lootName32,DAIL/items/materia/class0009/Coronus32.dbr,</v>
      </c>
      <c r="M34" s="5" t="str">
        <f t="shared" si="5"/>
        <v>lootWeight32,1,</v>
      </c>
      <c r="N34" t="str">
        <f t="shared" si="6"/>
        <v>3</v>
      </c>
      <c r="O34" t="str">
        <f t="shared" si="16"/>
        <v>copy .\dail_base3.dbr .\items\materia\class0009\Coronus32.dbr /y</v>
      </c>
      <c r="P34" t="str">
        <f t="shared" si="7"/>
        <v>echo relicBitmap,items/craftingparts/components/component_a52_bristlyfur_b.tex, &gt;&gt; .\items\materia\class0009\Coronus32.dbr</v>
      </c>
      <c r="Q34" t="str">
        <f t="shared" si="7"/>
        <v>echo itemCost,500000, &gt;&gt; .\items\materia\class0009\Coronus32.dbr</v>
      </c>
      <c r="R34" t="str">
        <f t="shared" si="7"/>
        <v>echo description,dailCompDescCoronus32, &gt;&gt; .\items\materia\class0009\Coronus32.dbr</v>
      </c>
      <c r="S34" t="str">
        <f t="shared" si="7"/>
        <v>echo itemText,dailCompTextCoronus32, &gt;&gt; .\items\materia\class0009\Coronus32.dbr</v>
      </c>
      <c r="T34" t="str">
        <f t="shared" si="7"/>
        <v>echo augmentSkillLevel1,3, &gt;&gt; .\items\materia\class0009\Coronus32.dbr</v>
      </c>
      <c r="U34" t="str">
        <f t="shared" si="7"/>
        <v>echo augmentSkillName1,records/skills/playerclasscoronus/grigori2_petmodifier.dbr, &gt;&gt; .\items\materia\class0009\Coronus32.dbr</v>
      </c>
      <c r="V34" s="5" t="s">
        <v>36</v>
      </c>
      <c r="W34" t="str">
        <f t="shared" si="8"/>
        <v>echo lootName32,DAIL/items/materia/class0009/Coronus32.dbr, &gt;&gt; .\items\loottables\dailoneskill0009.dbr</v>
      </c>
      <c r="X34" t="str">
        <f t="shared" si="8"/>
        <v>echo lootWeight32,1, &gt;&gt; .\items\loottables\dailoneskill0009.dbr</v>
      </c>
      <c r="Y34" s="5" t="s">
        <v>36</v>
      </c>
      <c r="Z34" t="str">
        <f t="shared" si="9"/>
        <v xml:space="preserve"> dailCompDescCoronus32=^pCoronus's Gift of DAIL</v>
      </c>
      <c r="AA34" t="str">
        <f t="shared" si="17"/>
        <v>dailCompTextCoronus32=^oThis feels warm to the touch, almost familiar ^w(This component only fits into the Medal Slot)</v>
      </c>
      <c r="AB34" s="5" t="s">
        <v>36</v>
      </c>
      <c r="AH34">
        <f t="shared" si="19"/>
        <v>29</v>
      </c>
      <c r="AI34">
        <f t="shared" si="13"/>
        <v>44</v>
      </c>
      <c r="AJ34">
        <f t="shared" si="18"/>
        <v>3</v>
      </c>
    </row>
    <row r="35" spans="1:36" x14ac:dyDescent="0.25">
      <c r="A35" s="5" t="s">
        <v>39</v>
      </c>
      <c r="B35" s="5" t="s">
        <v>30</v>
      </c>
      <c r="C35" s="5" t="str">
        <f t="shared" si="0"/>
        <v>description,dailCompDescCoronus33,</v>
      </c>
      <c r="D35" s="5" t="str">
        <f t="shared" si="2"/>
        <v>itemText,dailCompTextCoronus33,</v>
      </c>
      <c r="E35" s="5" t="str">
        <f t="shared" si="14"/>
        <v>augmentSkillLevel1,3,</v>
      </c>
      <c r="F35" s="5" t="str">
        <f t="shared" si="15"/>
        <v>augmentSkillName1,records/skills/playerclasscoronus/grigori3_petmodifier.dbr,</v>
      </c>
      <c r="G35" s="7">
        <f t="shared" si="10"/>
        <v>33</v>
      </c>
      <c r="H35" s="8" t="str">
        <f t="shared" si="11"/>
        <v>Coronus</v>
      </c>
      <c r="I35" s="3" t="s">
        <v>410</v>
      </c>
      <c r="J35" s="8" t="str">
        <f t="shared" si="20"/>
        <v>class0009</v>
      </c>
      <c r="K35" s="8" t="str">
        <f t="shared" si="20"/>
        <v>dailoneskill0009</v>
      </c>
      <c r="L35" s="5" t="str">
        <f t="shared" si="4"/>
        <v>lootName33,DAIL/items/materia/class0009/Coronus33.dbr,</v>
      </c>
      <c r="M35" s="5" t="str">
        <f t="shared" si="5"/>
        <v>lootWeight33,1,</v>
      </c>
      <c r="N35" t="str">
        <f t="shared" si="6"/>
        <v>3</v>
      </c>
      <c r="O35" t="str">
        <f t="shared" si="16"/>
        <v>copy .\dail_base3.dbr .\items\materia\class0009\Coronus33.dbr /y</v>
      </c>
      <c r="P35" t="str">
        <f t="shared" si="7"/>
        <v>echo relicBitmap,items/craftingparts/components/component_a52_bristlyfur_b.tex, &gt;&gt; .\items\materia\class0009\Coronus33.dbr</v>
      </c>
      <c r="Q35" t="str">
        <f t="shared" si="7"/>
        <v>echo itemCost,500000, &gt;&gt; .\items\materia\class0009\Coronus33.dbr</v>
      </c>
      <c r="R35" t="str">
        <f t="shared" si="7"/>
        <v>echo description,dailCompDescCoronus33, &gt;&gt; .\items\materia\class0009\Coronus33.dbr</v>
      </c>
      <c r="S35" t="str">
        <f t="shared" si="7"/>
        <v>echo itemText,dailCompTextCoronus33, &gt;&gt; .\items\materia\class0009\Coronus33.dbr</v>
      </c>
      <c r="T35" t="str">
        <f t="shared" si="7"/>
        <v>echo augmentSkillLevel1,3, &gt;&gt; .\items\materia\class0009\Coronus33.dbr</v>
      </c>
      <c r="U35" t="str">
        <f t="shared" si="7"/>
        <v>echo augmentSkillName1,records/skills/playerclasscoronus/grigori3_petmodifier.dbr, &gt;&gt; .\items\materia\class0009\Coronus33.dbr</v>
      </c>
      <c r="V35" s="5" t="s">
        <v>36</v>
      </c>
      <c r="W35" t="str">
        <f t="shared" si="8"/>
        <v>echo lootName33,DAIL/items/materia/class0009/Coronus33.dbr, &gt;&gt; .\items\loottables\dailoneskill0009.dbr</v>
      </c>
      <c r="X35" t="str">
        <f t="shared" si="8"/>
        <v>echo lootWeight33,1, &gt;&gt; .\items\loottables\dailoneskill0009.dbr</v>
      </c>
      <c r="Y35" s="5" t="s">
        <v>36</v>
      </c>
      <c r="Z35" t="str">
        <f t="shared" si="9"/>
        <v xml:space="preserve"> dailCompDescCoronus33=^pCoronus's Gift of DAIL</v>
      </c>
      <c r="AA35" t="str">
        <f t="shared" si="17"/>
        <v>dailCompTextCoronus33=^oThis feels warm to the touch, almost familiar ^w(This component only fits into the Medal Slot)</v>
      </c>
      <c r="AB35" s="5" t="s">
        <v>36</v>
      </c>
      <c r="AH35">
        <f t="shared" si="19"/>
        <v>30</v>
      </c>
      <c r="AI35">
        <f t="shared" si="13"/>
        <v>44</v>
      </c>
      <c r="AJ35">
        <f t="shared" si="18"/>
        <v>3</v>
      </c>
    </row>
    <row r="36" spans="1:36" x14ac:dyDescent="0.25">
      <c r="A36" s="5" t="s">
        <v>39</v>
      </c>
      <c r="B36" s="5" t="s">
        <v>30</v>
      </c>
      <c r="C36" s="5" t="str">
        <f t="shared" si="0"/>
        <v>description,dailCompDescCoronus34,</v>
      </c>
      <c r="D36" s="5" t="str">
        <f t="shared" si="2"/>
        <v>itemText,dailCompTextCoronus34,</v>
      </c>
      <c r="E36" s="5" t="str">
        <f t="shared" si="14"/>
        <v>augmentSkillLevel1,3,</v>
      </c>
      <c r="F36" s="5" t="str">
        <f t="shared" si="15"/>
        <v>augmentSkillName1,records/skills/playerclasscoronus/grigori4_petmodifier.dbr,</v>
      </c>
      <c r="G36" s="7">
        <f t="shared" si="10"/>
        <v>34</v>
      </c>
      <c r="H36" s="8" t="str">
        <f t="shared" si="11"/>
        <v>Coronus</v>
      </c>
      <c r="I36" s="3" t="s">
        <v>411</v>
      </c>
      <c r="J36" s="8" t="str">
        <f t="shared" si="20"/>
        <v>class0009</v>
      </c>
      <c r="K36" s="8" t="str">
        <f t="shared" si="20"/>
        <v>dailoneskill0009</v>
      </c>
      <c r="L36" s="5" t="str">
        <f t="shared" si="4"/>
        <v>lootName34,DAIL/items/materia/class0009/Coronus34.dbr,</v>
      </c>
      <c r="M36" s="5" t="str">
        <f t="shared" si="5"/>
        <v>lootWeight34,1,</v>
      </c>
      <c r="N36" t="str">
        <f t="shared" si="6"/>
        <v>3</v>
      </c>
      <c r="O36" t="str">
        <f t="shared" si="16"/>
        <v>copy .\dail_base3.dbr .\items\materia\class0009\Coronus34.dbr /y</v>
      </c>
      <c r="P36" t="str">
        <f t="shared" si="7"/>
        <v>echo relicBitmap,items/craftingparts/components/component_a52_bristlyfur_b.tex, &gt;&gt; .\items\materia\class0009\Coronus34.dbr</v>
      </c>
      <c r="Q36" t="str">
        <f t="shared" si="7"/>
        <v>echo itemCost,500000, &gt;&gt; .\items\materia\class0009\Coronus34.dbr</v>
      </c>
      <c r="R36" t="str">
        <f t="shared" si="7"/>
        <v>echo description,dailCompDescCoronus34, &gt;&gt; .\items\materia\class0009\Coronus34.dbr</v>
      </c>
      <c r="S36" t="str">
        <f t="shared" si="7"/>
        <v>echo itemText,dailCompTextCoronus34, &gt;&gt; .\items\materia\class0009\Coronus34.dbr</v>
      </c>
      <c r="T36" t="str">
        <f t="shared" si="7"/>
        <v>echo augmentSkillLevel1,3, &gt;&gt; .\items\materia\class0009\Coronus34.dbr</v>
      </c>
      <c r="U36" t="str">
        <f t="shared" si="7"/>
        <v>echo augmentSkillName1,records/skills/playerclasscoronus/grigori4_petmodifier.dbr, &gt;&gt; .\items\materia\class0009\Coronus34.dbr</v>
      </c>
      <c r="V36" s="5" t="s">
        <v>36</v>
      </c>
      <c r="W36" t="str">
        <f t="shared" si="8"/>
        <v>echo lootName34,DAIL/items/materia/class0009/Coronus34.dbr, &gt;&gt; .\items\loottables\dailoneskill0009.dbr</v>
      </c>
      <c r="X36" t="str">
        <f t="shared" si="8"/>
        <v>echo lootWeight34,1, &gt;&gt; .\items\loottables\dailoneskill0009.dbr</v>
      </c>
      <c r="Y36" s="5" t="s">
        <v>36</v>
      </c>
      <c r="Z36" t="str">
        <f t="shared" si="9"/>
        <v xml:space="preserve"> dailCompDescCoronus34=^pCoronus's Gift of DAIL</v>
      </c>
      <c r="AA36" t="str">
        <f t="shared" si="17"/>
        <v>dailCompTextCoronus34=^oThis feels warm to the touch, almost familiar ^w(This component only fits into the Medal Slot)</v>
      </c>
      <c r="AB36" s="5" t="s">
        <v>36</v>
      </c>
      <c r="AH36">
        <f t="shared" si="19"/>
        <v>31</v>
      </c>
      <c r="AI36">
        <f t="shared" si="13"/>
        <v>44</v>
      </c>
      <c r="AJ36">
        <f t="shared" si="18"/>
        <v>3</v>
      </c>
    </row>
    <row r="37" spans="1:36" x14ac:dyDescent="0.25">
      <c r="A37" s="5" t="s">
        <v>39</v>
      </c>
      <c r="B37" s="5" t="s">
        <v>30</v>
      </c>
      <c r="C37" s="5" t="str">
        <f t="shared" si="0"/>
        <v>description,dailCompDescCoronus35,</v>
      </c>
      <c r="D37" s="5" t="str">
        <f t="shared" si="2"/>
        <v>itemText,dailCompTextCoronus35,</v>
      </c>
      <c r="E37" s="5" t="str">
        <f t="shared" si="14"/>
        <v>augmentSkillLevel1,3,</v>
      </c>
      <c r="F37" s="5" t="str">
        <f t="shared" si="15"/>
        <v>augmentSkillName1,records/skills/playerclasscoronus/grigori5_petmodifier.dbr,</v>
      </c>
      <c r="G37" s="7">
        <f t="shared" si="10"/>
        <v>35</v>
      </c>
      <c r="H37" s="8" t="str">
        <f t="shared" si="11"/>
        <v>Coronus</v>
      </c>
      <c r="I37" s="3" t="s">
        <v>412</v>
      </c>
      <c r="J37" s="8" t="str">
        <f t="shared" ref="J37:K52" si="21">J36</f>
        <v>class0009</v>
      </c>
      <c r="K37" s="8" t="str">
        <f t="shared" si="21"/>
        <v>dailoneskill0009</v>
      </c>
      <c r="L37" s="5" t="str">
        <f t="shared" si="4"/>
        <v>lootName35,DAIL/items/materia/class0009/Coronus35.dbr,</v>
      </c>
      <c r="M37" s="5" t="str">
        <f t="shared" si="5"/>
        <v>lootWeight35,1,</v>
      </c>
      <c r="N37" t="str">
        <f t="shared" si="6"/>
        <v>3</v>
      </c>
      <c r="O37" t="str">
        <f t="shared" si="16"/>
        <v>copy .\dail_base3.dbr .\items\materia\class0009\Coronus35.dbr /y</v>
      </c>
      <c r="P37" t="str">
        <f t="shared" si="7"/>
        <v>echo relicBitmap,items/craftingparts/components/component_a52_bristlyfur_b.tex, &gt;&gt; .\items\materia\class0009\Coronus35.dbr</v>
      </c>
      <c r="Q37" t="str">
        <f t="shared" si="7"/>
        <v>echo itemCost,500000, &gt;&gt; .\items\materia\class0009\Coronus35.dbr</v>
      </c>
      <c r="R37" t="str">
        <f t="shared" si="7"/>
        <v>echo description,dailCompDescCoronus35, &gt;&gt; .\items\materia\class0009\Coronus35.dbr</v>
      </c>
      <c r="S37" t="str">
        <f t="shared" si="7"/>
        <v>echo itemText,dailCompTextCoronus35, &gt;&gt; .\items\materia\class0009\Coronus35.dbr</v>
      </c>
      <c r="T37" t="str">
        <f t="shared" si="7"/>
        <v>echo augmentSkillLevel1,3, &gt;&gt; .\items\materia\class0009\Coronus35.dbr</v>
      </c>
      <c r="U37" t="str">
        <f t="shared" si="7"/>
        <v>echo augmentSkillName1,records/skills/playerclasscoronus/grigori5_petmodifier.dbr, &gt;&gt; .\items\materia\class0009\Coronus35.dbr</v>
      </c>
      <c r="V37" s="5" t="s">
        <v>36</v>
      </c>
      <c r="W37" t="str">
        <f t="shared" si="8"/>
        <v>echo lootName35,DAIL/items/materia/class0009/Coronus35.dbr, &gt;&gt; .\items\loottables\dailoneskill0009.dbr</v>
      </c>
      <c r="X37" t="str">
        <f t="shared" si="8"/>
        <v>echo lootWeight35,1, &gt;&gt; .\items\loottables\dailoneskill0009.dbr</v>
      </c>
      <c r="Y37" s="5" t="s">
        <v>36</v>
      </c>
      <c r="Z37" t="str">
        <f t="shared" si="9"/>
        <v xml:space="preserve"> dailCompDescCoronus35=^pCoronus's Gift of DAIL</v>
      </c>
      <c r="AA37" t="str">
        <f t="shared" si="17"/>
        <v>dailCompTextCoronus35=^oThis feels warm to the touch, almost familiar ^w(This component only fits into the Medal Slot)</v>
      </c>
      <c r="AB37" s="5" t="s">
        <v>36</v>
      </c>
      <c r="AH37">
        <f t="shared" si="19"/>
        <v>32</v>
      </c>
      <c r="AI37">
        <f t="shared" si="13"/>
        <v>44</v>
      </c>
      <c r="AJ37">
        <f t="shared" si="18"/>
        <v>3</v>
      </c>
    </row>
    <row r="38" spans="1:36" x14ac:dyDescent="0.25">
      <c r="A38" s="5" t="s">
        <v>39</v>
      </c>
      <c r="B38" s="5" t="s">
        <v>30</v>
      </c>
      <c r="C38" s="5" t="str">
        <f t="shared" si="0"/>
        <v>description,dailCompDescCoronus36,</v>
      </c>
      <c r="D38" s="5" t="str">
        <f t="shared" si="2"/>
        <v>itemText,dailCompTextCoronus36,</v>
      </c>
      <c r="E38" s="5" t="str">
        <f t="shared" si="14"/>
        <v>augmentSkillLevel1,3,</v>
      </c>
      <c r="F38" s="5" t="str">
        <f t="shared" si="15"/>
        <v>augmentSkillName1,records/skills/playerclasscoronus/buffh1.dbr,</v>
      </c>
      <c r="G38" s="7">
        <f t="shared" si="10"/>
        <v>36</v>
      </c>
      <c r="H38" s="8" t="str">
        <f t="shared" si="11"/>
        <v>Coronus</v>
      </c>
      <c r="I38" s="3" t="s">
        <v>413</v>
      </c>
      <c r="J38" s="8" t="str">
        <f t="shared" si="21"/>
        <v>class0009</v>
      </c>
      <c r="K38" s="8" t="str">
        <f t="shared" si="21"/>
        <v>dailoneskill0009</v>
      </c>
      <c r="L38" s="5" t="str">
        <f t="shared" si="4"/>
        <v>lootName36,DAIL/items/materia/class0009/Coronus36.dbr,</v>
      </c>
      <c r="M38" s="5" t="str">
        <f t="shared" si="5"/>
        <v>lootWeight36,1,</v>
      </c>
      <c r="N38" t="str">
        <f t="shared" si="6"/>
        <v>3</v>
      </c>
      <c r="O38" t="str">
        <f t="shared" si="16"/>
        <v>copy .\dail_base3.dbr .\items\materia\class0009\Coronus36.dbr /y</v>
      </c>
      <c r="P38" t="str">
        <f t="shared" si="7"/>
        <v>echo relicBitmap,items/craftingparts/components/component_a52_bristlyfur_b.tex, &gt;&gt; .\items\materia\class0009\Coronus36.dbr</v>
      </c>
      <c r="Q38" t="str">
        <f t="shared" si="7"/>
        <v>echo itemCost,500000, &gt;&gt; .\items\materia\class0009\Coronus36.dbr</v>
      </c>
      <c r="R38" t="str">
        <f t="shared" si="7"/>
        <v>echo description,dailCompDescCoronus36, &gt;&gt; .\items\materia\class0009\Coronus36.dbr</v>
      </c>
      <c r="S38" t="str">
        <f t="shared" si="7"/>
        <v>echo itemText,dailCompTextCoronus36, &gt;&gt; .\items\materia\class0009\Coronus36.dbr</v>
      </c>
      <c r="T38" t="str">
        <f t="shared" si="7"/>
        <v>echo augmentSkillLevel1,3, &gt;&gt; .\items\materia\class0009\Coronus36.dbr</v>
      </c>
      <c r="U38" t="str">
        <f t="shared" si="7"/>
        <v>echo augmentSkillName1,records/skills/playerclasscoronus/buffh1.dbr, &gt;&gt; .\items\materia\class0009\Coronus36.dbr</v>
      </c>
      <c r="V38" s="5" t="s">
        <v>36</v>
      </c>
      <c r="W38" t="str">
        <f t="shared" si="8"/>
        <v>echo lootName36,DAIL/items/materia/class0009/Coronus36.dbr, &gt;&gt; .\items\loottables\dailoneskill0009.dbr</v>
      </c>
      <c r="X38" t="str">
        <f t="shared" si="8"/>
        <v>echo lootWeight36,1, &gt;&gt; .\items\loottables\dailoneskill0009.dbr</v>
      </c>
      <c r="Y38" s="5" t="s">
        <v>36</v>
      </c>
      <c r="Z38" t="str">
        <f t="shared" si="9"/>
        <v xml:space="preserve"> dailCompDescCoronus36=^pCoronus's Gift of DAIL</v>
      </c>
      <c r="AA38" t="str">
        <f t="shared" si="17"/>
        <v>dailCompTextCoronus36=^oThis feels warm to the touch, almost familiar ^w(This component only fits into the Medal Slot)</v>
      </c>
      <c r="AB38" s="5" t="s">
        <v>36</v>
      </c>
      <c r="AH38">
        <f t="shared" si="19"/>
        <v>33</v>
      </c>
      <c r="AI38">
        <f t="shared" ref="AI38:AI69" si="22">LEN(I38)</f>
        <v>30</v>
      </c>
      <c r="AJ38">
        <f t="shared" si="18"/>
        <v>3</v>
      </c>
    </row>
    <row r="39" spans="1:36" x14ac:dyDescent="0.25">
      <c r="A39" s="5" t="s">
        <v>39</v>
      </c>
      <c r="B39" s="5" t="s">
        <v>30</v>
      </c>
      <c r="C39" s="5" t="str">
        <f t="shared" si="0"/>
        <v>description,dailCompDescCoronus37,</v>
      </c>
      <c r="D39" s="5" t="str">
        <f t="shared" si="2"/>
        <v>itemText,dailCompTextCoronus37,</v>
      </c>
      <c r="E39" s="5" t="str">
        <f t="shared" si="14"/>
        <v>augmentSkillLevel1,3,</v>
      </c>
      <c r="F39" s="5" t="str">
        <f t="shared" si="15"/>
        <v>augmentSkillName1,records/skills/playerclasscoronus/buffe1.dbr,</v>
      </c>
      <c r="G39" s="7">
        <f t="shared" si="10"/>
        <v>37</v>
      </c>
      <c r="H39" s="8" t="str">
        <f t="shared" si="11"/>
        <v>Coronus</v>
      </c>
      <c r="I39" s="3" t="s">
        <v>414</v>
      </c>
      <c r="J39" s="8" t="str">
        <f t="shared" si="21"/>
        <v>class0009</v>
      </c>
      <c r="K39" s="8" t="str">
        <f t="shared" si="21"/>
        <v>dailoneskill0009</v>
      </c>
      <c r="L39" s="5" t="str">
        <f t="shared" si="4"/>
        <v>lootName37,DAIL/items/materia/class0009/Coronus37.dbr,</v>
      </c>
      <c r="M39" s="5" t="str">
        <f t="shared" si="5"/>
        <v>lootWeight37,1,</v>
      </c>
      <c r="N39" t="str">
        <f t="shared" si="6"/>
        <v>3</v>
      </c>
      <c r="O39" t="str">
        <f t="shared" si="16"/>
        <v>copy .\dail_base3.dbr .\items\materia\class0009\Coronus37.dbr /y</v>
      </c>
      <c r="P39" t="str">
        <f t="shared" si="7"/>
        <v>echo relicBitmap,items/craftingparts/components/component_a52_bristlyfur_b.tex, &gt;&gt; .\items\materia\class0009\Coronus37.dbr</v>
      </c>
      <c r="Q39" t="str">
        <f t="shared" si="7"/>
        <v>echo itemCost,500000, &gt;&gt; .\items\materia\class0009\Coronus37.dbr</v>
      </c>
      <c r="R39" t="str">
        <f t="shared" si="7"/>
        <v>echo description,dailCompDescCoronus37, &gt;&gt; .\items\materia\class0009\Coronus37.dbr</v>
      </c>
      <c r="S39" t="str">
        <f t="shared" si="7"/>
        <v>echo itemText,dailCompTextCoronus37, &gt;&gt; .\items\materia\class0009\Coronus37.dbr</v>
      </c>
      <c r="T39" t="str">
        <f t="shared" si="7"/>
        <v>echo augmentSkillLevel1,3, &gt;&gt; .\items\materia\class0009\Coronus37.dbr</v>
      </c>
      <c r="U39" t="str">
        <f t="shared" si="7"/>
        <v>echo augmentSkillName1,records/skills/playerclasscoronus/buffe1.dbr, &gt;&gt; .\items\materia\class0009\Coronus37.dbr</v>
      </c>
      <c r="V39" s="5" t="s">
        <v>36</v>
      </c>
      <c r="W39" t="str">
        <f t="shared" si="8"/>
        <v>echo lootName37,DAIL/items/materia/class0009/Coronus37.dbr, &gt;&gt; .\items\loottables\dailoneskill0009.dbr</v>
      </c>
      <c r="X39" t="str">
        <f t="shared" si="8"/>
        <v>echo lootWeight37,1, &gt;&gt; .\items\loottables\dailoneskill0009.dbr</v>
      </c>
      <c r="Y39" s="5" t="s">
        <v>36</v>
      </c>
      <c r="Z39" t="str">
        <f t="shared" si="9"/>
        <v xml:space="preserve"> dailCompDescCoronus37=^pCoronus's Gift of DAIL</v>
      </c>
      <c r="AA39" t="str">
        <f t="shared" si="17"/>
        <v>dailCompTextCoronus37=^oThis feels warm to the touch, almost familiar ^w(This component only fits into the Medal Slot)</v>
      </c>
      <c r="AB39" s="5" t="s">
        <v>36</v>
      </c>
      <c r="AH39">
        <f t="shared" si="19"/>
        <v>34</v>
      </c>
      <c r="AI39">
        <f t="shared" si="22"/>
        <v>30</v>
      </c>
      <c r="AJ39">
        <f t="shared" si="18"/>
        <v>3</v>
      </c>
    </row>
    <row r="40" spans="1:36" x14ac:dyDescent="0.25">
      <c r="A40" s="5" t="s">
        <v>39</v>
      </c>
      <c r="B40" s="5" t="s">
        <v>30</v>
      </c>
      <c r="C40" s="5" t="str">
        <f t="shared" si="0"/>
        <v>description,dailCompDescCoronus38,</v>
      </c>
      <c r="D40" s="5" t="str">
        <f t="shared" si="2"/>
        <v>itemText,dailCompTextCoronus38,</v>
      </c>
      <c r="E40" s="5" t="str">
        <f t="shared" si="14"/>
        <v>augmentSkillLevel1,3,</v>
      </c>
      <c r="F40" s="5" t="str">
        <f t="shared" si="15"/>
        <v>augmentSkillName1,records/skills/playerclasscoronus/icegrenade1.dbr,</v>
      </c>
      <c r="G40" s="7">
        <f t="shared" si="10"/>
        <v>38</v>
      </c>
      <c r="H40" s="8" t="str">
        <f t="shared" si="11"/>
        <v>Coronus</v>
      </c>
      <c r="I40" s="3" t="s">
        <v>415</v>
      </c>
      <c r="J40" s="8" t="str">
        <f t="shared" si="21"/>
        <v>class0009</v>
      </c>
      <c r="K40" s="8" t="str">
        <f t="shared" si="21"/>
        <v>dailoneskill0009</v>
      </c>
      <c r="L40" s="5" t="str">
        <f t="shared" si="4"/>
        <v>lootName38,DAIL/items/materia/class0009/Coronus38.dbr,</v>
      </c>
      <c r="M40" s="5" t="str">
        <f t="shared" si="5"/>
        <v>lootWeight38,1,</v>
      </c>
      <c r="N40" t="str">
        <f t="shared" si="6"/>
        <v>3</v>
      </c>
      <c r="O40" t="str">
        <f t="shared" si="16"/>
        <v>copy .\dail_base3.dbr .\items\materia\class0009\Coronus38.dbr /y</v>
      </c>
      <c r="P40" t="str">
        <f t="shared" si="7"/>
        <v>echo relicBitmap,items/craftingparts/components/component_a52_bristlyfur_b.tex, &gt;&gt; .\items\materia\class0009\Coronus38.dbr</v>
      </c>
      <c r="Q40" t="str">
        <f t="shared" si="7"/>
        <v>echo itemCost,500000, &gt;&gt; .\items\materia\class0009\Coronus38.dbr</v>
      </c>
      <c r="R40" t="str">
        <f t="shared" si="7"/>
        <v>echo description,dailCompDescCoronus38, &gt;&gt; .\items\materia\class0009\Coronus38.dbr</v>
      </c>
      <c r="S40" t="str">
        <f t="shared" si="7"/>
        <v>echo itemText,dailCompTextCoronus38, &gt;&gt; .\items\materia\class0009\Coronus38.dbr</v>
      </c>
      <c r="T40" t="str">
        <f t="shared" si="7"/>
        <v>echo augmentSkillLevel1,3, &gt;&gt; .\items\materia\class0009\Coronus38.dbr</v>
      </c>
      <c r="U40" t="str">
        <f t="shared" si="7"/>
        <v>echo augmentSkillName1,records/skills/playerclasscoronus/icegrenade1.dbr, &gt;&gt; .\items\materia\class0009\Coronus38.dbr</v>
      </c>
      <c r="V40" s="5" t="s">
        <v>36</v>
      </c>
      <c r="W40" t="str">
        <f t="shared" si="8"/>
        <v>echo lootName38,DAIL/items/materia/class0009/Coronus38.dbr, &gt;&gt; .\items\loottables\dailoneskill0009.dbr</v>
      </c>
      <c r="X40" t="str">
        <f t="shared" si="8"/>
        <v>echo lootWeight38,1, &gt;&gt; .\items\loottables\dailoneskill0009.dbr</v>
      </c>
      <c r="Y40" s="5" t="s">
        <v>36</v>
      </c>
      <c r="Z40" t="str">
        <f t="shared" si="9"/>
        <v xml:space="preserve"> dailCompDescCoronus38=^pCoronus's Gift of DAIL</v>
      </c>
      <c r="AA40" t="str">
        <f t="shared" si="17"/>
        <v>dailCompTextCoronus38=^oThis feels warm to the touch, almost familiar ^w(This component only fits into the Medal Slot)</v>
      </c>
      <c r="AB40" s="5" t="s">
        <v>36</v>
      </c>
      <c r="AH40">
        <f t="shared" si="19"/>
        <v>35</v>
      </c>
      <c r="AI40">
        <f t="shared" si="22"/>
        <v>35</v>
      </c>
      <c r="AJ40">
        <f t="shared" si="18"/>
        <v>3</v>
      </c>
    </row>
    <row r="41" spans="1:36" x14ac:dyDescent="0.25">
      <c r="A41" s="5" t="s">
        <v>39</v>
      </c>
      <c r="B41" s="5" t="s">
        <v>30</v>
      </c>
      <c r="C41" s="5" t="str">
        <f t="shared" si="0"/>
        <v>description,dailCompDescCoronus39,</v>
      </c>
      <c r="D41" s="5" t="str">
        <f t="shared" si="2"/>
        <v>itemText,dailCompTextCoronus39,</v>
      </c>
      <c r="E41" s="5" t="str">
        <f t="shared" si="14"/>
        <v>augmentSkillLevel1,5,</v>
      </c>
      <c r="F41" s="5" t="str">
        <f t="shared" si="15"/>
        <v>augmentSkillName1,records/skills/playerclasscoronus/icegrenade2.dbr,</v>
      </c>
      <c r="G41" s="7">
        <f t="shared" si="10"/>
        <v>39</v>
      </c>
      <c r="H41" s="8" t="str">
        <f t="shared" si="11"/>
        <v>Coronus</v>
      </c>
      <c r="I41" s="3" t="s">
        <v>416</v>
      </c>
      <c r="J41" s="8" t="str">
        <f t="shared" si="21"/>
        <v>class0009</v>
      </c>
      <c r="K41" s="8" t="str">
        <f t="shared" si="21"/>
        <v>dailoneskill0009</v>
      </c>
      <c r="L41" s="5" t="str">
        <f t="shared" si="4"/>
        <v>lootName39,DAIL/items/materia/class0009/Coronus39.dbr,</v>
      </c>
      <c r="M41" s="5" t="str">
        <f t="shared" si="5"/>
        <v>lootWeight39,1,</v>
      </c>
      <c r="N41" t="str">
        <f t="shared" si="6"/>
        <v>5</v>
      </c>
      <c r="O41" t="str">
        <f t="shared" si="16"/>
        <v>copy .\dail_base3.dbr .\items\materia\class0009\Coronus39.dbr /y</v>
      </c>
      <c r="P41" t="str">
        <f t="shared" si="7"/>
        <v>echo relicBitmap,items/craftingparts/components/component_a52_bristlyfur_b.tex, &gt;&gt; .\items\materia\class0009\Coronus39.dbr</v>
      </c>
      <c r="Q41" t="str">
        <f t="shared" si="7"/>
        <v>echo itemCost,500000, &gt;&gt; .\items\materia\class0009\Coronus39.dbr</v>
      </c>
      <c r="R41" t="str">
        <f t="shared" si="7"/>
        <v>echo description,dailCompDescCoronus39, &gt;&gt; .\items\materia\class0009\Coronus39.dbr</v>
      </c>
      <c r="S41" t="str">
        <f t="shared" si="7"/>
        <v>echo itemText,dailCompTextCoronus39, &gt;&gt; .\items\materia\class0009\Coronus39.dbr</v>
      </c>
      <c r="T41" t="str">
        <f t="shared" si="7"/>
        <v>echo augmentSkillLevel1,5, &gt;&gt; .\items\materia\class0009\Coronus39.dbr</v>
      </c>
      <c r="U41" t="str">
        <f t="shared" si="7"/>
        <v>echo augmentSkillName1,records/skills/playerclasscoronus/icegrenade2.dbr, &gt;&gt; .\items\materia\class0009\Coronus39.dbr</v>
      </c>
      <c r="V41" s="5" t="s">
        <v>36</v>
      </c>
      <c r="W41" t="str">
        <f t="shared" si="8"/>
        <v>echo lootName39,DAIL/items/materia/class0009/Coronus39.dbr, &gt;&gt; .\items\loottables\dailoneskill0009.dbr</v>
      </c>
      <c r="X41" t="str">
        <f t="shared" si="8"/>
        <v>echo lootWeight39,1, &gt;&gt; .\items\loottables\dailoneskill0009.dbr</v>
      </c>
      <c r="Y41" s="5" t="s">
        <v>36</v>
      </c>
      <c r="Z41" t="str">
        <f t="shared" si="9"/>
        <v xml:space="preserve"> dailCompDescCoronus39=^pCoronus's Gift of DAIL</v>
      </c>
      <c r="AA41" t="str">
        <f t="shared" si="17"/>
        <v>dailCompTextCoronus39=^oThis feels warm to the touch, almost familiar ^w(This component only fits into the Medal Slot)</v>
      </c>
      <c r="AB41" s="5" t="s">
        <v>36</v>
      </c>
      <c r="AH41">
        <f t="shared" si="19"/>
        <v>36</v>
      </c>
      <c r="AI41">
        <f t="shared" si="22"/>
        <v>35</v>
      </c>
      <c r="AJ41">
        <f t="shared" si="18"/>
        <v>5</v>
      </c>
    </row>
    <row r="42" spans="1:36" x14ac:dyDescent="0.25">
      <c r="A42" s="5" t="s">
        <v>39</v>
      </c>
      <c r="B42" s="5" t="s">
        <v>30</v>
      </c>
      <c r="C42" s="5" t="str">
        <f t="shared" si="0"/>
        <v>description,dailCompDescCoronus40,</v>
      </c>
      <c r="D42" s="5" t="str">
        <f t="shared" si="2"/>
        <v>itemText,dailCompTextCoronus40,</v>
      </c>
      <c r="E42" s="5" t="str">
        <f t="shared" si="14"/>
        <v>augmentSkillLevel1,5,</v>
      </c>
      <c r="F42" s="5" t="str">
        <f t="shared" si="15"/>
        <v>augmentSkillName1,records/skills/playerclasscoronus/trouble1.dbr,</v>
      </c>
      <c r="G42" s="7">
        <f t="shared" si="10"/>
        <v>40</v>
      </c>
      <c r="H42" s="8" t="str">
        <f t="shared" si="11"/>
        <v>Coronus</v>
      </c>
      <c r="I42" s="3" t="s">
        <v>399</v>
      </c>
      <c r="J42" s="8" t="str">
        <f t="shared" si="21"/>
        <v>class0009</v>
      </c>
      <c r="K42" s="8" t="str">
        <f t="shared" si="21"/>
        <v>dailoneskill0009</v>
      </c>
      <c r="L42" s="5" t="str">
        <f t="shared" si="4"/>
        <v>lootName40,DAIL/items/materia/class0009/Coronus40.dbr,</v>
      </c>
      <c r="M42" s="5" t="str">
        <f t="shared" si="5"/>
        <v>lootWeight40,1,</v>
      </c>
      <c r="N42" t="str">
        <f t="shared" si="6"/>
        <v>5</v>
      </c>
      <c r="O42" t="str">
        <f t="shared" si="16"/>
        <v>copy .\dail_base3.dbr .\items\materia\class0009\Coronus40.dbr /y</v>
      </c>
      <c r="P42" t="str">
        <f t="shared" si="7"/>
        <v>echo relicBitmap,items/craftingparts/components/component_a52_bristlyfur_b.tex, &gt;&gt; .\items\materia\class0009\Coronus40.dbr</v>
      </c>
      <c r="Q42" t="str">
        <f t="shared" si="7"/>
        <v>echo itemCost,500000, &gt;&gt; .\items\materia\class0009\Coronus40.dbr</v>
      </c>
      <c r="R42" t="str">
        <f t="shared" si="7"/>
        <v>echo description,dailCompDescCoronus40, &gt;&gt; .\items\materia\class0009\Coronus40.dbr</v>
      </c>
      <c r="S42" t="str">
        <f t="shared" si="7"/>
        <v>echo itemText,dailCompTextCoronus40, &gt;&gt; .\items\materia\class0009\Coronus40.dbr</v>
      </c>
      <c r="T42" t="str">
        <f t="shared" si="7"/>
        <v>echo augmentSkillLevel1,5, &gt;&gt; .\items\materia\class0009\Coronus40.dbr</v>
      </c>
      <c r="U42" t="str">
        <f t="shared" si="7"/>
        <v>echo augmentSkillName1,records/skills/playerclasscoronus/trouble1.dbr, &gt;&gt; .\items\materia\class0009\Coronus40.dbr</v>
      </c>
      <c r="V42" s="5" t="s">
        <v>36</v>
      </c>
      <c r="W42" t="str">
        <f t="shared" si="8"/>
        <v>echo lootName40,DAIL/items/materia/class0009/Coronus40.dbr, &gt;&gt; .\items\loottables\dailoneskill0009.dbr</v>
      </c>
      <c r="X42" t="str">
        <f t="shared" si="8"/>
        <v>echo lootWeight40,1, &gt;&gt; .\items\loottables\dailoneskill0009.dbr</v>
      </c>
      <c r="Y42" s="5" t="s">
        <v>36</v>
      </c>
      <c r="Z42" t="str">
        <f t="shared" si="9"/>
        <v xml:space="preserve"> dailCompDescCoronus40=^pCoronus's Gift of DAIL</v>
      </c>
      <c r="AA42" t="str">
        <f t="shared" si="17"/>
        <v>dailCompTextCoronus40=^oThis feels warm to the touch, almost familiar ^w(This component only fits into the Medal Slot)</v>
      </c>
      <c r="AB42" s="5" t="s">
        <v>36</v>
      </c>
      <c r="AH42">
        <f t="shared" si="19"/>
        <v>37</v>
      </c>
      <c r="AI42">
        <f t="shared" si="22"/>
        <v>32</v>
      </c>
      <c r="AJ42">
        <f t="shared" si="18"/>
        <v>5</v>
      </c>
    </row>
    <row r="43" spans="1:36" x14ac:dyDescent="0.25">
      <c r="A43" s="5" t="s">
        <v>39</v>
      </c>
      <c r="B43" s="5" t="s">
        <v>30</v>
      </c>
      <c r="C43" s="5" t="str">
        <f t="shared" si="0"/>
        <v>description,dailCompDescCoronus41,</v>
      </c>
      <c r="D43" s="5" t="str">
        <f t="shared" si="2"/>
        <v>itemText,dailCompTextCoronus41,</v>
      </c>
      <c r="E43" s="5" t="str">
        <f t="shared" si="14"/>
        <v>augmentSkillLevel1,5,</v>
      </c>
      <c r="F43" s="5" t="str">
        <f t="shared" si="15"/>
        <v>augmentSkillName1,records/skills/playerclasscoronus/trouble2_petmodifier.dbr,</v>
      </c>
      <c r="G43" s="7">
        <f t="shared" si="10"/>
        <v>41</v>
      </c>
      <c r="H43" s="8" t="str">
        <f t="shared" si="11"/>
        <v>Coronus</v>
      </c>
      <c r="I43" s="3" t="s">
        <v>400</v>
      </c>
      <c r="J43" s="8" t="str">
        <f t="shared" si="21"/>
        <v>class0009</v>
      </c>
      <c r="K43" s="8" t="str">
        <f t="shared" si="21"/>
        <v>dailoneskill0009</v>
      </c>
      <c r="L43" s="5" t="str">
        <f t="shared" si="4"/>
        <v>lootName41,DAIL/items/materia/class0009/Coronus41.dbr,</v>
      </c>
      <c r="M43" s="5" t="str">
        <f t="shared" si="5"/>
        <v>lootWeight41,1,</v>
      </c>
      <c r="N43" t="str">
        <f t="shared" si="6"/>
        <v>5</v>
      </c>
      <c r="O43" t="str">
        <f t="shared" si="16"/>
        <v>copy .\dail_base3.dbr .\items\materia\class0009\Coronus41.dbr /y</v>
      </c>
      <c r="P43" t="str">
        <f t="shared" si="7"/>
        <v>echo relicBitmap,items/craftingparts/components/component_a52_bristlyfur_b.tex, &gt;&gt; .\items\materia\class0009\Coronus41.dbr</v>
      </c>
      <c r="Q43" t="str">
        <f t="shared" si="7"/>
        <v>echo itemCost,500000, &gt;&gt; .\items\materia\class0009\Coronus41.dbr</v>
      </c>
      <c r="R43" t="str">
        <f t="shared" si="7"/>
        <v>echo description,dailCompDescCoronus41, &gt;&gt; .\items\materia\class0009\Coronus41.dbr</v>
      </c>
      <c r="S43" t="str">
        <f t="shared" si="7"/>
        <v>echo itemText,dailCompTextCoronus41, &gt;&gt; .\items\materia\class0009\Coronus41.dbr</v>
      </c>
      <c r="T43" t="str">
        <f t="shared" si="7"/>
        <v>echo augmentSkillLevel1,5, &gt;&gt; .\items\materia\class0009\Coronus41.dbr</v>
      </c>
      <c r="U43" t="str">
        <f t="shared" si="7"/>
        <v>echo augmentSkillName1,records/skills/playerclasscoronus/trouble2_petmodifier.dbr, &gt;&gt; .\items\materia\class0009\Coronus41.dbr</v>
      </c>
      <c r="V43" s="5" t="s">
        <v>36</v>
      </c>
      <c r="W43" t="str">
        <f t="shared" si="8"/>
        <v>echo lootName41,DAIL/items/materia/class0009/Coronus41.dbr, &gt;&gt; .\items\loottables\dailoneskill0009.dbr</v>
      </c>
      <c r="X43" t="str">
        <f t="shared" si="8"/>
        <v>echo lootWeight41,1, &gt;&gt; .\items\loottables\dailoneskill0009.dbr</v>
      </c>
      <c r="Y43" s="5" t="s">
        <v>36</v>
      </c>
      <c r="Z43" t="str">
        <f t="shared" si="9"/>
        <v xml:space="preserve"> dailCompDescCoronus41=^pCoronus's Gift of DAIL</v>
      </c>
      <c r="AA43" t="str">
        <f t="shared" si="17"/>
        <v>dailCompTextCoronus41=^oThis feels warm to the touch, almost familiar ^w(This component only fits into the Medal Slot)</v>
      </c>
      <c r="AB43" s="5" t="s">
        <v>36</v>
      </c>
      <c r="AH43">
        <f t="shared" si="19"/>
        <v>38</v>
      </c>
      <c r="AI43">
        <f t="shared" si="22"/>
        <v>44</v>
      </c>
      <c r="AJ43">
        <f t="shared" si="18"/>
        <v>5</v>
      </c>
    </row>
    <row r="44" spans="1:36" x14ac:dyDescent="0.25">
      <c r="A44" s="5" t="s">
        <v>39</v>
      </c>
      <c r="B44" s="5" t="s">
        <v>30</v>
      </c>
      <c r="C44" s="5" t="str">
        <f t="shared" si="0"/>
        <v>description,dailCompDescCoronus42,</v>
      </c>
      <c r="D44" s="5" t="str">
        <f t="shared" si="2"/>
        <v>itemText,dailCompTextCoronus42,</v>
      </c>
      <c r="E44" s="5" t="str">
        <f t="shared" si="14"/>
        <v>augmentSkillLevel1,5,</v>
      </c>
      <c r="F44" s="5" t="str">
        <f t="shared" si="15"/>
        <v>augmentSkillName1,records/skills/playerclasscoronus/trouble3_petmodifier.dbr,</v>
      </c>
      <c r="G44" s="7">
        <f t="shared" si="10"/>
        <v>42</v>
      </c>
      <c r="H44" s="8" t="str">
        <f t="shared" si="11"/>
        <v>Coronus</v>
      </c>
      <c r="I44" s="3" t="s">
        <v>401</v>
      </c>
      <c r="J44" s="8" t="str">
        <f t="shared" si="21"/>
        <v>class0009</v>
      </c>
      <c r="K44" s="8" t="str">
        <f t="shared" si="21"/>
        <v>dailoneskill0009</v>
      </c>
      <c r="L44" s="5" t="str">
        <f t="shared" si="4"/>
        <v>lootName42,DAIL/items/materia/class0009/Coronus42.dbr,</v>
      </c>
      <c r="M44" s="5" t="str">
        <f t="shared" si="5"/>
        <v>lootWeight42,1,</v>
      </c>
      <c r="N44" t="str">
        <f t="shared" si="6"/>
        <v>5</v>
      </c>
      <c r="O44" t="str">
        <f t="shared" si="16"/>
        <v>copy .\dail_base3.dbr .\items\materia\class0009\Coronus42.dbr /y</v>
      </c>
      <c r="P44" t="str">
        <f t="shared" si="7"/>
        <v>echo relicBitmap,items/craftingparts/components/component_a52_bristlyfur_b.tex, &gt;&gt; .\items\materia\class0009\Coronus42.dbr</v>
      </c>
      <c r="Q44" t="str">
        <f t="shared" si="7"/>
        <v>echo itemCost,500000, &gt;&gt; .\items\materia\class0009\Coronus42.dbr</v>
      </c>
      <c r="R44" t="str">
        <f t="shared" si="7"/>
        <v>echo description,dailCompDescCoronus42, &gt;&gt; .\items\materia\class0009\Coronus42.dbr</v>
      </c>
      <c r="S44" t="str">
        <f t="shared" si="7"/>
        <v>echo itemText,dailCompTextCoronus42, &gt;&gt; .\items\materia\class0009\Coronus42.dbr</v>
      </c>
      <c r="T44" t="str">
        <f t="shared" si="7"/>
        <v>echo augmentSkillLevel1,5, &gt;&gt; .\items\materia\class0009\Coronus42.dbr</v>
      </c>
      <c r="U44" t="str">
        <f t="shared" si="7"/>
        <v>echo augmentSkillName1,records/skills/playerclasscoronus/trouble3_petmodifier.dbr, &gt;&gt; .\items\materia\class0009\Coronus42.dbr</v>
      </c>
      <c r="V44" s="5" t="s">
        <v>36</v>
      </c>
      <c r="W44" t="str">
        <f t="shared" si="8"/>
        <v>echo lootName42,DAIL/items/materia/class0009/Coronus42.dbr, &gt;&gt; .\items\loottables\dailoneskill0009.dbr</v>
      </c>
      <c r="X44" t="str">
        <f t="shared" si="8"/>
        <v>echo lootWeight42,1, &gt;&gt; .\items\loottables\dailoneskill0009.dbr</v>
      </c>
      <c r="Y44" s="5" t="s">
        <v>36</v>
      </c>
      <c r="Z44" t="str">
        <f t="shared" si="9"/>
        <v xml:space="preserve"> dailCompDescCoronus42=^pCoronus's Gift of DAIL</v>
      </c>
      <c r="AA44" t="str">
        <f t="shared" si="17"/>
        <v>dailCompTextCoronus42=^oThis feels warm to the touch, almost familiar ^w(This component only fits into the Medal Slot)</v>
      </c>
      <c r="AB44" s="5" t="s">
        <v>36</v>
      </c>
      <c r="AH44">
        <f t="shared" si="19"/>
        <v>39</v>
      </c>
      <c r="AI44">
        <f t="shared" si="22"/>
        <v>44</v>
      </c>
      <c r="AJ44">
        <f t="shared" si="18"/>
        <v>5</v>
      </c>
    </row>
    <row r="45" spans="1:36" x14ac:dyDescent="0.25">
      <c r="A45" s="5" t="s">
        <v>39</v>
      </c>
      <c r="B45" s="5" t="s">
        <v>30</v>
      </c>
      <c r="C45" s="5" t="str">
        <f t="shared" si="0"/>
        <v>description,dailCompDescCoronus43,</v>
      </c>
      <c r="D45" s="5" t="str">
        <f t="shared" si="2"/>
        <v>itemText,dailCompTextCoronus43,</v>
      </c>
      <c r="E45" s="5" t="str">
        <f t="shared" si="14"/>
        <v>augmentSkillLevel1,5,</v>
      </c>
      <c r="F45" s="5" t="str">
        <f t="shared" si="15"/>
        <v>augmentSkillName1,records/skills/playerclasscoronus/summon_abomination.dbr,</v>
      </c>
      <c r="G45" s="7">
        <f t="shared" si="10"/>
        <v>43</v>
      </c>
      <c r="H45" s="8" t="str">
        <f t="shared" si="11"/>
        <v>Coronus</v>
      </c>
      <c r="I45" s="3" t="s">
        <v>402</v>
      </c>
      <c r="J45" s="8" t="str">
        <f t="shared" si="21"/>
        <v>class0009</v>
      </c>
      <c r="K45" s="8" t="str">
        <f t="shared" si="21"/>
        <v>dailoneskill0009</v>
      </c>
      <c r="L45" s="5" t="str">
        <f t="shared" si="4"/>
        <v>lootName43,DAIL/items/materia/class0009/Coronus43.dbr,</v>
      </c>
      <c r="M45" s="5" t="str">
        <f t="shared" si="5"/>
        <v>lootWeight43,1,</v>
      </c>
      <c r="N45" t="str">
        <f t="shared" si="6"/>
        <v>5</v>
      </c>
      <c r="O45" t="str">
        <f t="shared" si="16"/>
        <v>copy .\dail_base3.dbr .\items\materia\class0009\Coronus43.dbr /y</v>
      </c>
      <c r="P45" t="str">
        <f t="shared" si="7"/>
        <v>echo relicBitmap,items/craftingparts/components/component_a52_bristlyfur_b.tex, &gt;&gt; .\items\materia\class0009\Coronus43.dbr</v>
      </c>
      <c r="Q45" t="str">
        <f t="shared" si="7"/>
        <v>echo itemCost,500000, &gt;&gt; .\items\materia\class0009\Coronus43.dbr</v>
      </c>
      <c r="R45" t="str">
        <f t="shared" si="7"/>
        <v>echo description,dailCompDescCoronus43, &gt;&gt; .\items\materia\class0009\Coronus43.dbr</v>
      </c>
      <c r="S45" t="str">
        <f t="shared" si="7"/>
        <v>echo itemText,dailCompTextCoronus43, &gt;&gt; .\items\materia\class0009\Coronus43.dbr</v>
      </c>
      <c r="T45" t="str">
        <f t="shared" si="7"/>
        <v>echo augmentSkillLevel1,5, &gt;&gt; .\items\materia\class0009\Coronus43.dbr</v>
      </c>
      <c r="U45" t="str">
        <f t="shared" si="7"/>
        <v>echo augmentSkillName1,records/skills/playerclasscoronus/summon_abomination.dbr, &gt;&gt; .\items\materia\class0009\Coronus43.dbr</v>
      </c>
      <c r="V45" s="5" t="s">
        <v>36</v>
      </c>
      <c r="W45" t="str">
        <f t="shared" si="8"/>
        <v>echo lootName43,DAIL/items/materia/class0009/Coronus43.dbr, &gt;&gt; .\items\loottables\dailoneskill0009.dbr</v>
      </c>
      <c r="X45" t="str">
        <f t="shared" si="8"/>
        <v>echo lootWeight43,1, &gt;&gt; .\items\loottables\dailoneskill0009.dbr</v>
      </c>
      <c r="Y45" s="5" t="s">
        <v>36</v>
      </c>
      <c r="Z45" t="str">
        <f t="shared" si="9"/>
        <v xml:space="preserve"> dailCompDescCoronus43=^pCoronus's Gift of DAIL</v>
      </c>
      <c r="AA45" t="str">
        <f t="shared" si="17"/>
        <v>dailCompTextCoronus43=^oThis feels warm to the touch, almost familiar ^w(This component only fits into the Medal Slot)</v>
      </c>
      <c r="AB45" s="5" t="s">
        <v>36</v>
      </c>
      <c r="AH45">
        <f t="shared" si="19"/>
        <v>40</v>
      </c>
      <c r="AI45">
        <f t="shared" si="22"/>
        <v>42</v>
      </c>
      <c r="AJ45">
        <f t="shared" si="18"/>
        <v>5</v>
      </c>
    </row>
    <row r="46" spans="1:36" x14ac:dyDescent="0.25">
      <c r="A46" s="5" t="s">
        <v>39</v>
      </c>
      <c r="B46" s="5" t="s">
        <v>30</v>
      </c>
      <c r="C46" s="5" t="str">
        <f t="shared" si="0"/>
        <v>description,dailCompDescCoronus44,</v>
      </c>
      <c r="D46" s="5" t="str">
        <f t="shared" si="2"/>
        <v>itemText,dailCompTextCoronus44,</v>
      </c>
      <c r="E46" s="5" t="str">
        <f t="shared" si="14"/>
        <v>augmentSkillLevel1,5,</v>
      </c>
      <c r="F46" s="5" t="str">
        <f t="shared" si="15"/>
        <v>augmentSkillName1,records/skills/playerclasscoronus/heal.dbr,</v>
      </c>
      <c r="G46" s="7">
        <f t="shared" si="10"/>
        <v>44</v>
      </c>
      <c r="H46" s="8" t="str">
        <f t="shared" si="11"/>
        <v>Coronus</v>
      </c>
      <c r="I46" s="3" t="s">
        <v>403</v>
      </c>
      <c r="J46" s="8" t="str">
        <f t="shared" si="21"/>
        <v>class0009</v>
      </c>
      <c r="K46" s="8" t="str">
        <f t="shared" si="21"/>
        <v>dailoneskill0009</v>
      </c>
      <c r="L46" s="5" t="str">
        <f t="shared" si="4"/>
        <v>lootName44,DAIL/items/materia/class0009/Coronus44.dbr,</v>
      </c>
      <c r="M46" s="5" t="str">
        <f t="shared" si="5"/>
        <v>lootWeight44,1,</v>
      </c>
      <c r="N46" t="str">
        <f t="shared" si="6"/>
        <v>5</v>
      </c>
      <c r="O46" t="str">
        <f t="shared" si="16"/>
        <v>copy .\dail_base3.dbr .\items\materia\class0009\Coronus44.dbr /y</v>
      </c>
      <c r="P46" t="str">
        <f t="shared" si="7"/>
        <v>echo relicBitmap,items/craftingparts/components/component_a52_bristlyfur_b.tex, &gt;&gt; .\items\materia\class0009\Coronus44.dbr</v>
      </c>
      <c r="Q46" t="str">
        <f t="shared" si="7"/>
        <v>echo itemCost,500000, &gt;&gt; .\items\materia\class0009\Coronus44.dbr</v>
      </c>
      <c r="R46" t="str">
        <f t="shared" si="7"/>
        <v>echo description,dailCompDescCoronus44, &gt;&gt; .\items\materia\class0009\Coronus44.dbr</v>
      </c>
      <c r="S46" t="str">
        <f t="shared" si="7"/>
        <v>echo itemText,dailCompTextCoronus44, &gt;&gt; .\items\materia\class0009\Coronus44.dbr</v>
      </c>
      <c r="T46" t="str">
        <f t="shared" si="7"/>
        <v>echo augmentSkillLevel1,5, &gt;&gt; .\items\materia\class0009\Coronus44.dbr</v>
      </c>
      <c r="U46" t="str">
        <f t="shared" si="7"/>
        <v>echo augmentSkillName1,records/skills/playerclasscoronus/heal.dbr, &gt;&gt; .\items\materia\class0009\Coronus44.dbr</v>
      </c>
      <c r="V46" s="5" t="s">
        <v>36</v>
      </c>
      <c r="W46" t="str">
        <f t="shared" si="8"/>
        <v>echo lootName44,DAIL/items/materia/class0009/Coronus44.dbr, &gt;&gt; .\items\loottables\dailoneskill0009.dbr</v>
      </c>
      <c r="X46" t="str">
        <f t="shared" si="8"/>
        <v>echo lootWeight44,1, &gt;&gt; .\items\loottables\dailoneskill0009.dbr</v>
      </c>
      <c r="Y46" s="5" t="s">
        <v>36</v>
      </c>
      <c r="Z46" t="str">
        <f t="shared" si="9"/>
        <v xml:space="preserve"> dailCompDescCoronus44=^pCoronus's Gift of DAIL</v>
      </c>
      <c r="AA46" t="str">
        <f t="shared" si="17"/>
        <v>dailCompTextCoronus44=^oThis feels warm to the touch, almost familiar ^w(This component only fits into the Medal Slot)</v>
      </c>
      <c r="AB46" s="5" t="s">
        <v>36</v>
      </c>
      <c r="AH46">
        <f t="shared" si="19"/>
        <v>41</v>
      </c>
      <c r="AI46">
        <f t="shared" si="22"/>
        <v>28</v>
      </c>
      <c r="AJ46">
        <f t="shared" si="18"/>
        <v>5</v>
      </c>
    </row>
    <row r="47" spans="1:36" x14ac:dyDescent="0.25">
      <c r="A47" s="5" t="s">
        <v>39</v>
      </c>
      <c r="B47" s="5" t="s">
        <v>30</v>
      </c>
      <c r="C47" s="5" t="str">
        <f t="shared" si="0"/>
        <v>description,dailCompDescCoronus45,</v>
      </c>
      <c r="D47" s="5" t="str">
        <f t="shared" si="2"/>
        <v>itemText,dailCompTextCoronus45,</v>
      </c>
      <c r="E47" s="5" t="str">
        <f t="shared" si="14"/>
        <v>augmentSkillLevel1,5,</v>
      </c>
      <c r="F47" s="5" t="str">
        <f t="shared" si="15"/>
        <v>augmentSkillName1,records/skills/playerclasscoronus/oadabuff1.dbr,</v>
      </c>
      <c r="G47" s="7">
        <f t="shared" si="10"/>
        <v>45</v>
      </c>
      <c r="H47" s="8" t="str">
        <f t="shared" si="11"/>
        <v>Coronus</v>
      </c>
      <c r="I47" s="3" t="s">
        <v>404</v>
      </c>
      <c r="J47" s="8" t="str">
        <f t="shared" si="21"/>
        <v>class0009</v>
      </c>
      <c r="K47" s="8" t="str">
        <f t="shared" si="21"/>
        <v>dailoneskill0009</v>
      </c>
      <c r="L47" s="5" t="str">
        <f t="shared" si="4"/>
        <v>lootName45,DAIL/items/materia/class0009/Coronus45.dbr,</v>
      </c>
      <c r="M47" s="5" t="str">
        <f t="shared" si="5"/>
        <v>lootWeight45,1,</v>
      </c>
      <c r="N47" t="str">
        <f t="shared" si="6"/>
        <v>5</v>
      </c>
      <c r="O47" t="str">
        <f t="shared" si="16"/>
        <v>copy .\dail_base3.dbr .\items\materia\class0009\Coronus45.dbr /y</v>
      </c>
      <c r="P47" t="str">
        <f t="shared" si="7"/>
        <v>echo relicBitmap,items/craftingparts/components/component_a52_bristlyfur_b.tex, &gt;&gt; .\items\materia\class0009\Coronus45.dbr</v>
      </c>
      <c r="Q47" t="str">
        <f t="shared" si="7"/>
        <v>echo itemCost,500000, &gt;&gt; .\items\materia\class0009\Coronus45.dbr</v>
      </c>
      <c r="R47" t="str">
        <f t="shared" si="7"/>
        <v>echo description,dailCompDescCoronus45, &gt;&gt; .\items\materia\class0009\Coronus45.dbr</v>
      </c>
      <c r="S47" t="str">
        <f t="shared" si="7"/>
        <v>echo itemText,dailCompTextCoronus45, &gt;&gt; .\items\materia\class0009\Coronus45.dbr</v>
      </c>
      <c r="T47" t="str">
        <f t="shared" si="7"/>
        <v>echo augmentSkillLevel1,5, &gt;&gt; .\items\materia\class0009\Coronus45.dbr</v>
      </c>
      <c r="U47" t="str">
        <f t="shared" si="7"/>
        <v>echo augmentSkillName1,records/skills/playerclasscoronus/oadabuff1.dbr, &gt;&gt; .\items\materia\class0009\Coronus45.dbr</v>
      </c>
      <c r="V47" s="5" t="s">
        <v>36</v>
      </c>
      <c r="W47" t="str">
        <f t="shared" si="8"/>
        <v>echo lootName45,DAIL/items/materia/class0009/Coronus45.dbr, &gt;&gt; .\items\loottables\dailoneskill0009.dbr</v>
      </c>
      <c r="X47" t="str">
        <f t="shared" si="8"/>
        <v>echo lootWeight45,1, &gt;&gt; .\items\loottables\dailoneskill0009.dbr</v>
      </c>
      <c r="Y47" s="5" t="s">
        <v>36</v>
      </c>
      <c r="Z47" t="str">
        <f t="shared" si="9"/>
        <v xml:space="preserve"> dailCompDescCoronus45=^pCoronus's Gift of DAIL</v>
      </c>
      <c r="AA47" t="str">
        <f t="shared" si="17"/>
        <v>dailCompTextCoronus45=^oThis feels warm to the touch, almost familiar ^w(This component only fits into the Medal Slot)</v>
      </c>
      <c r="AB47" s="5" t="s">
        <v>36</v>
      </c>
      <c r="AH47">
        <f t="shared" si="19"/>
        <v>42</v>
      </c>
      <c r="AI47">
        <f t="shared" si="22"/>
        <v>33</v>
      </c>
      <c r="AJ47">
        <f t="shared" si="18"/>
        <v>5</v>
      </c>
    </row>
    <row r="48" spans="1:36" x14ac:dyDescent="0.25">
      <c r="A48" s="5" t="s">
        <v>39</v>
      </c>
      <c r="B48" s="5" t="s">
        <v>30</v>
      </c>
      <c r="C48" s="5" t="str">
        <f t="shared" si="0"/>
        <v>description,dailCompDescCoronus46,</v>
      </c>
      <c r="D48" s="5" t="str">
        <f t="shared" si="2"/>
        <v>itemText,dailCompTextCoronus46,</v>
      </c>
      <c r="E48" s="5" t="str">
        <f t="shared" si="14"/>
        <v>augmentSkillLevel1,5,</v>
      </c>
      <c r="F48" s="5" t="str">
        <f t="shared" si="15"/>
        <v>augmentSkillName1,records/skills/playerclasscoronus/pinned1.dbr,</v>
      </c>
      <c r="G48" s="7">
        <f t="shared" si="10"/>
        <v>46</v>
      </c>
      <c r="H48" s="8" t="str">
        <f t="shared" si="11"/>
        <v>Coronus</v>
      </c>
      <c r="I48" s="3" t="s">
        <v>405</v>
      </c>
      <c r="J48" s="8" t="str">
        <f t="shared" si="21"/>
        <v>class0009</v>
      </c>
      <c r="K48" s="8" t="str">
        <f t="shared" si="21"/>
        <v>dailoneskill0009</v>
      </c>
      <c r="L48" s="5" t="str">
        <f t="shared" si="4"/>
        <v>lootName46,DAIL/items/materia/class0009/Coronus46.dbr,</v>
      </c>
      <c r="M48" s="5" t="str">
        <f t="shared" si="5"/>
        <v>lootWeight46,1,</v>
      </c>
      <c r="N48" t="str">
        <f t="shared" si="6"/>
        <v>5</v>
      </c>
      <c r="O48" t="str">
        <f t="shared" si="16"/>
        <v>copy .\dail_base3.dbr .\items\materia\class0009\Coronus46.dbr /y</v>
      </c>
      <c r="P48" t="str">
        <f t="shared" si="7"/>
        <v>echo relicBitmap,items/craftingparts/components/component_a52_bristlyfur_b.tex, &gt;&gt; .\items\materia\class0009\Coronus46.dbr</v>
      </c>
      <c r="Q48" t="str">
        <f t="shared" si="7"/>
        <v>echo itemCost,500000, &gt;&gt; .\items\materia\class0009\Coronus46.dbr</v>
      </c>
      <c r="R48" t="str">
        <f t="shared" si="7"/>
        <v>echo description,dailCompDescCoronus46, &gt;&gt; .\items\materia\class0009\Coronus46.dbr</v>
      </c>
      <c r="S48" t="str">
        <f t="shared" si="7"/>
        <v>echo itemText,dailCompTextCoronus46, &gt;&gt; .\items\materia\class0009\Coronus46.dbr</v>
      </c>
      <c r="T48" t="str">
        <f t="shared" si="7"/>
        <v>echo augmentSkillLevel1,5, &gt;&gt; .\items\materia\class0009\Coronus46.dbr</v>
      </c>
      <c r="U48" t="str">
        <f t="shared" si="7"/>
        <v>echo augmentSkillName1,records/skills/playerclasscoronus/pinned1.dbr, &gt;&gt; .\items\materia\class0009\Coronus46.dbr</v>
      </c>
      <c r="V48" s="5" t="s">
        <v>36</v>
      </c>
      <c r="W48" t="str">
        <f t="shared" si="8"/>
        <v>echo lootName46,DAIL/items/materia/class0009/Coronus46.dbr, &gt;&gt; .\items\loottables\dailoneskill0009.dbr</v>
      </c>
      <c r="X48" t="str">
        <f t="shared" si="8"/>
        <v>echo lootWeight46,1, &gt;&gt; .\items\loottables\dailoneskill0009.dbr</v>
      </c>
      <c r="Y48" s="5" t="s">
        <v>36</v>
      </c>
      <c r="Z48" t="str">
        <f t="shared" si="9"/>
        <v xml:space="preserve"> dailCompDescCoronus46=^pCoronus's Gift of DAIL</v>
      </c>
      <c r="AA48" t="str">
        <f t="shared" si="17"/>
        <v>dailCompTextCoronus46=^oThis feels warm to the touch, almost familiar ^w(This component only fits into the Medal Slot)</v>
      </c>
      <c r="AB48" s="5" t="s">
        <v>36</v>
      </c>
      <c r="AH48">
        <f t="shared" si="19"/>
        <v>43</v>
      </c>
      <c r="AI48">
        <f t="shared" si="22"/>
        <v>31</v>
      </c>
      <c r="AJ48">
        <f t="shared" si="18"/>
        <v>5</v>
      </c>
    </row>
    <row r="49" spans="1:36" x14ac:dyDescent="0.25">
      <c r="A49" s="5" t="s">
        <v>39</v>
      </c>
      <c r="B49" s="5" t="s">
        <v>30</v>
      </c>
      <c r="C49" s="5" t="str">
        <f t="shared" si="0"/>
        <v>description,dailCompDescCoronus47,</v>
      </c>
      <c r="D49" s="5" t="str">
        <f t="shared" si="2"/>
        <v>itemText,dailCompTextCoronus47,</v>
      </c>
      <c r="E49" s="5" t="str">
        <f t="shared" si="14"/>
        <v>augmentSkillLevel1,5,</v>
      </c>
      <c r="F49" s="5" t="str">
        <f t="shared" si="15"/>
        <v>augmentSkillName1,records/skills/playerclasscoronus/pinned2_petmodifier.dbr,</v>
      </c>
      <c r="G49" s="7">
        <f t="shared" si="10"/>
        <v>47</v>
      </c>
      <c r="H49" s="8" t="str">
        <f t="shared" si="11"/>
        <v>Coronus</v>
      </c>
      <c r="I49" s="3" t="s">
        <v>406</v>
      </c>
      <c r="J49" s="8" t="str">
        <f t="shared" si="21"/>
        <v>class0009</v>
      </c>
      <c r="K49" s="8" t="str">
        <f t="shared" si="21"/>
        <v>dailoneskill0009</v>
      </c>
      <c r="L49" s="5" t="str">
        <f t="shared" si="4"/>
        <v>lootName47,DAIL/items/materia/class0009/Coronus47.dbr,</v>
      </c>
      <c r="M49" s="5" t="str">
        <f t="shared" si="5"/>
        <v>lootWeight47,1,</v>
      </c>
      <c r="N49" t="str">
        <f t="shared" si="6"/>
        <v>5</v>
      </c>
      <c r="O49" t="str">
        <f t="shared" si="16"/>
        <v>copy .\dail_base3.dbr .\items\materia\class0009\Coronus47.dbr /y</v>
      </c>
      <c r="P49" t="str">
        <f t="shared" si="7"/>
        <v>echo relicBitmap,items/craftingparts/components/component_a52_bristlyfur_b.tex, &gt;&gt; .\items\materia\class0009\Coronus47.dbr</v>
      </c>
      <c r="Q49" t="str">
        <f t="shared" si="7"/>
        <v>echo itemCost,500000, &gt;&gt; .\items\materia\class0009\Coronus47.dbr</v>
      </c>
      <c r="R49" t="str">
        <f t="shared" si="7"/>
        <v>echo description,dailCompDescCoronus47, &gt;&gt; .\items\materia\class0009\Coronus47.dbr</v>
      </c>
      <c r="S49" t="str">
        <f t="shared" si="7"/>
        <v>echo itemText,dailCompTextCoronus47, &gt;&gt; .\items\materia\class0009\Coronus47.dbr</v>
      </c>
      <c r="T49" t="str">
        <f t="shared" si="7"/>
        <v>echo augmentSkillLevel1,5, &gt;&gt; .\items\materia\class0009\Coronus47.dbr</v>
      </c>
      <c r="U49" t="str">
        <f t="shared" si="7"/>
        <v>echo augmentSkillName1,records/skills/playerclasscoronus/pinned2_petmodifier.dbr, &gt;&gt; .\items\materia\class0009\Coronus47.dbr</v>
      </c>
      <c r="V49" s="5" t="s">
        <v>36</v>
      </c>
      <c r="W49" t="str">
        <f t="shared" si="8"/>
        <v>echo lootName47,DAIL/items/materia/class0009/Coronus47.dbr, &gt;&gt; .\items\loottables\dailoneskill0009.dbr</v>
      </c>
      <c r="X49" t="str">
        <f t="shared" si="8"/>
        <v>echo lootWeight47,1, &gt;&gt; .\items\loottables\dailoneskill0009.dbr</v>
      </c>
      <c r="Y49" s="5" t="s">
        <v>36</v>
      </c>
      <c r="Z49" t="str">
        <f t="shared" si="9"/>
        <v xml:space="preserve"> dailCompDescCoronus47=^pCoronus's Gift of DAIL</v>
      </c>
      <c r="AA49" t="str">
        <f t="shared" si="17"/>
        <v>dailCompTextCoronus47=^oThis feels warm to the touch, almost familiar ^w(This component only fits into the Medal Slot)</v>
      </c>
      <c r="AB49" s="5" t="s">
        <v>36</v>
      </c>
      <c r="AH49">
        <f t="shared" si="19"/>
        <v>44</v>
      </c>
      <c r="AI49">
        <f t="shared" si="22"/>
        <v>43</v>
      </c>
      <c r="AJ49">
        <f t="shared" si="18"/>
        <v>5</v>
      </c>
    </row>
    <row r="50" spans="1:36" x14ac:dyDescent="0.25">
      <c r="A50" s="5" t="s">
        <v>39</v>
      </c>
      <c r="B50" s="5" t="s">
        <v>30</v>
      </c>
      <c r="C50" s="5" t="str">
        <f t="shared" si="0"/>
        <v>description,dailCompDescCoronus48,</v>
      </c>
      <c r="D50" s="5" t="str">
        <f t="shared" si="2"/>
        <v>itemText,dailCompTextCoronus48,</v>
      </c>
      <c r="E50" s="5" t="str">
        <f t="shared" si="14"/>
        <v>augmentSkillLevel1,5,</v>
      </c>
      <c r="F50" s="5" t="str">
        <f t="shared" si="15"/>
        <v>augmentSkillName1,records/skills/playerclasscoronus/goetia.dbr,</v>
      </c>
      <c r="G50" s="7">
        <f t="shared" si="10"/>
        <v>48</v>
      </c>
      <c r="H50" s="8" t="str">
        <f t="shared" si="11"/>
        <v>Coronus</v>
      </c>
      <c r="I50" s="3" t="s">
        <v>407</v>
      </c>
      <c r="J50" s="8" t="str">
        <f t="shared" si="21"/>
        <v>class0009</v>
      </c>
      <c r="K50" s="8" t="str">
        <f t="shared" si="21"/>
        <v>dailoneskill0009</v>
      </c>
      <c r="L50" s="5" t="str">
        <f t="shared" si="4"/>
        <v>lootName48,DAIL/items/materia/class0009/Coronus48.dbr,</v>
      </c>
      <c r="M50" s="5" t="str">
        <f t="shared" si="5"/>
        <v>lootWeight48,1,</v>
      </c>
      <c r="N50" t="str">
        <f t="shared" si="6"/>
        <v>5</v>
      </c>
      <c r="O50" t="str">
        <f t="shared" si="16"/>
        <v>copy .\dail_base3.dbr .\items\materia\class0009\Coronus48.dbr /y</v>
      </c>
      <c r="P50" t="str">
        <f t="shared" si="7"/>
        <v>echo relicBitmap,items/craftingparts/components/component_a52_bristlyfur_b.tex, &gt;&gt; .\items\materia\class0009\Coronus48.dbr</v>
      </c>
      <c r="Q50" t="str">
        <f t="shared" si="7"/>
        <v>echo itemCost,500000, &gt;&gt; .\items\materia\class0009\Coronus48.dbr</v>
      </c>
      <c r="R50" t="str">
        <f t="shared" si="7"/>
        <v>echo description,dailCompDescCoronus48, &gt;&gt; .\items\materia\class0009\Coronus48.dbr</v>
      </c>
      <c r="S50" t="str">
        <f t="shared" si="7"/>
        <v>echo itemText,dailCompTextCoronus48, &gt;&gt; .\items\materia\class0009\Coronus48.dbr</v>
      </c>
      <c r="T50" t="str">
        <f t="shared" si="7"/>
        <v>echo augmentSkillLevel1,5, &gt;&gt; .\items\materia\class0009\Coronus48.dbr</v>
      </c>
      <c r="U50" t="str">
        <f t="shared" si="7"/>
        <v>echo augmentSkillName1,records/skills/playerclasscoronus/goetia.dbr, &gt;&gt; .\items\materia\class0009\Coronus48.dbr</v>
      </c>
      <c r="V50" s="5" t="s">
        <v>36</v>
      </c>
      <c r="W50" t="str">
        <f t="shared" si="8"/>
        <v>echo lootName48,DAIL/items/materia/class0009/Coronus48.dbr, &gt;&gt; .\items\loottables\dailoneskill0009.dbr</v>
      </c>
      <c r="X50" t="str">
        <f t="shared" si="8"/>
        <v>echo lootWeight48,1, &gt;&gt; .\items\loottables\dailoneskill0009.dbr</v>
      </c>
      <c r="Y50" s="5" t="s">
        <v>36</v>
      </c>
      <c r="Z50" t="str">
        <f t="shared" si="9"/>
        <v xml:space="preserve"> dailCompDescCoronus48=^pCoronus's Gift of DAIL</v>
      </c>
      <c r="AA50" t="str">
        <f t="shared" si="17"/>
        <v>dailCompTextCoronus48=^oThis feels warm to the touch, almost familiar ^w(This component only fits into the Medal Slot)</v>
      </c>
      <c r="AB50" s="5" t="s">
        <v>36</v>
      </c>
      <c r="AH50">
        <f t="shared" si="19"/>
        <v>45</v>
      </c>
      <c r="AI50">
        <f t="shared" si="22"/>
        <v>30</v>
      </c>
      <c r="AJ50">
        <f t="shared" si="18"/>
        <v>5</v>
      </c>
    </row>
    <row r="51" spans="1:36" x14ac:dyDescent="0.25">
      <c r="A51" s="5" t="s">
        <v>39</v>
      </c>
      <c r="B51" s="5" t="s">
        <v>30</v>
      </c>
      <c r="C51" s="5" t="str">
        <f t="shared" si="0"/>
        <v>description,dailCompDescCoronus49,</v>
      </c>
      <c r="D51" s="5" t="str">
        <f t="shared" si="2"/>
        <v>itemText,dailCompTextCoronus49,</v>
      </c>
      <c r="E51" s="5" t="str">
        <f t="shared" si="14"/>
        <v>augmentSkillLevel1,5,</v>
      </c>
      <c r="F51" s="5" t="str">
        <f t="shared" si="15"/>
        <v>augmentSkillName1,records/skills/playerclasscoronus/grigori1.dbr,</v>
      </c>
      <c r="G51" s="7">
        <f t="shared" si="10"/>
        <v>49</v>
      </c>
      <c r="H51" s="8" t="str">
        <f t="shared" si="11"/>
        <v>Coronus</v>
      </c>
      <c r="I51" s="3" t="s">
        <v>408</v>
      </c>
      <c r="J51" s="8" t="str">
        <f t="shared" si="21"/>
        <v>class0009</v>
      </c>
      <c r="K51" s="8" t="str">
        <f t="shared" si="21"/>
        <v>dailoneskill0009</v>
      </c>
      <c r="L51" s="5" t="str">
        <f t="shared" si="4"/>
        <v>lootName49,DAIL/items/materia/class0009/Coronus49.dbr,</v>
      </c>
      <c r="M51" s="5" t="str">
        <f t="shared" si="5"/>
        <v>lootWeight49,1,</v>
      </c>
      <c r="N51" t="str">
        <f t="shared" si="6"/>
        <v>5</v>
      </c>
      <c r="O51" t="str">
        <f t="shared" si="16"/>
        <v>copy .\dail_base3.dbr .\items\materia\class0009\Coronus49.dbr /y</v>
      </c>
      <c r="P51" t="str">
        <f t="shared" si="7"/>
        <v>echo relicBitmap,items/craftingparts/components/component_a52_bristlyfur_b.tex, &gt;&gt; .\items\materia\class0009\Coronus49.dbr</v>
      </c>
      <c r="Q51" t="str">
        <f t="shared" si="7"/>
        <v>echo itemCost,500000, &gt;&gt; .\items\materia\class0009\Coronus49.dbr</v>
      </c>
      <c r="R51" t="str">
        <f t="shared" si="7"/>
        <v>echo description,dailCompDescCoronus49, &gt;&gt; .\items\materia\class0009\Coronus49.dbr</v>
      </c>
      <c r="S51" t="str">
        <f t="shared" si="7"/>
        <v>echo itemText,dailCompTextCoronus49, &gt;&gt; .\items\materia\class0009\Coronus49.dbr</v>
      </c>
      <c r="T51" t="str">
        <f t="shared" si="7"/>
        <v>echo augmentSkillLevel1,5, &gt;&gt; .\items\materia\class0009\Coronus49.dbr</v>
      </c>
      <c r="U51" t="str">
        <f t="shared" si="7"/>
        <v>echo augmentSkillName1,records/skills/playerclasscoronus/grigori1.dbr, &gt;&gt; .\items\materia\class0009\Coronus49.dbr</v>
      </c>
      <c r="V51" s="5" t="s">
        <v>36</v>
      </c>
      <c r="W51" t="str">
        <f t="shared" si="8"/>
        <v>echo lootName49,DAIL/items/materia/class0009/Coronus49.dbr, &gt;&gt; .\items\loottables\dailoneskill0009.dbr</v>
      </c>
      <c r="X51" t="str">
        <f t="shared" si="8"/>
        <v>echo lootWeight49,1, &gt;&gt; .\items\loottables\dailoneskill0009.dbr</v>
      </c>
      <c r="Y51" s="5" t="s">
        <v>36</v>
      </c>
      <c r="Z51" t="str">
        <f t="shared" si="9"/>
        <v xml:space="preserve"> dailCompDescCoronus49=^pCoronus's Gift of DAIL</v>
      </c>
      <c r="AA51" t="str">
        <f t="shared" si="17"/>
        <v>dailCompTextCoronus49=^oThis feels warm to the touch, almost familiar ^w(This component only fits into the Medal Slot)</v>
      </c>
      <c r="AB51" s="5" t="s">
        <v>36</v>
      </c>
      <c r="AH51">
        <f t="shared" si="19"/>
        <v>46</v>
      </c>
      <c r="AI51">
        <f t="shared" si="22"/>
        <v>32</v>
      </c>
      <c r="AJ51">
        <f t="shared" si="18"/>
        <v>5</v>
      </c>
    </row>
    <row r="52" spans="1:36" x14ac:dyDescent="0.25">
      <c r="A52" s="5" t="s">
        <v>39</v>
      </c>
      <c r="B52" s="5" t="s">
        <v>30</v>
      </c>
      <c r="C52" s="5" t="str">
        <f t="shared" si="0"/>
        <v>description,dailCompDescCoronus50,</v>
      </c>
      <c r="D52" s="5" t="str">
        <f t="shared" si="2"/>
        <v>itemText,dailCompTextCoronus50,</v>
      </c>
      <c r="E52" s="5" t="str">
        <f t="shared" si="14"/>
        <v>augmentSkillLevel1,5,</v>
      </c>
      <c r="F52" s="5" t="str">
        <f t="shared" si="15"/>
        <v>augmentSkillName1,records/skills/playerclasscoronus/grigori2_petmodifier.dbr,</v>
      </c>
      <c r="G52" s="7">
        <f t="shared" si="10"/>
        <v>50</v>
      </c>
      <c r="H52" s="8" t="str">
        <f t="shared" si="11"/>
        <v>Coronus</v>
      </c>
      <c r="I52" s="3" t="s">
        <v>409</v>
      </c>
      <c r="J52" s="8" t="str">
        <f t="shared" si="21"/>
        <v>class0009</v>
      </c>
      <c r="K52" s="8" t="str">
        <f t="shared" si="21"/>
        <v>dailoneskill0009</v>
      </c>
      <c r="L52" s="5" t="str">
        <f t="shared" si="4"/>
        <v>lootName50,DAIL/items/materia/class0009/Coronus50.dbr,</v>
      </c>
      <c r="M52" s="5" t="str">
        <f t="shared" si="5"/>
        <v>lootWeight50,1,</v>
      </c>
      <c r="N52" t="str">
        <f t="shared" si="6"/>
        <v>5</v>
      </c>
      <c r="O52" t="str">
        <f t="shared" si="16"/>
        <v>copy .\dail_base3.dbr .\items\materia\class0009\Coronus50.dbr /y</v>
      </c>
      <c r="P52" t="str">
        <f t="shared" si="7"/>
        <v>echo relicBitmap,items/craftingparts/components/component_a52_bristlyfur_b.tex, &gt;&gt; .\items\materia\class0009\Coronus50.dbr</v>
      </c>
      <c r="Q52" t="str">
        <f t="shared" si="7"/>
        <v>echo itemCost,500000, &gt;&gt; .\items\materia\class0009\Coronus50.dbr</v>
      </c>
      <c r="R52" t="str">
        <f t="shared" si="7"/>
        <v>echo description,dailCompDescCoronus50, &gt;&gt; .\items\materia\class0009\Coronus50.dbr</v>
      </c>
      <c r="S52" t="str">
        <f t="shared" si="7"/>
        <v>echo itemText,dailCompTextCoronus50, &gt;&gt; .\items\materia\class0009\Coronus50.dbr</v>
      </c>
      <c r="T52" t="str">
        <f t="shared" si="7"/>
        <v>echo augmentSkillLevel1,5, &gt;&gt; .\items\materia\class0009\Coronus50.dbr</v>
      </c>
      <c r="U52" t="str">
        <f t="shared" si="7"/>
        <v>echo augmentSkillName1,records/skills/playerclasscoronus/grigori2_petmodifier.dbr, &gt;&gt; .\items\materia\class0009\Coronus50.dbr</v>
      </c>
      <c r="V52" s="5" t="s">
        <v>36</v>
      </c>
      <c r="W52" t="str">
        <f t="shared" si="8"/>
        <v>echo lootName50,DAIL/items/materia/class0009/Coronus50.dbr, &gt;&gt; .\items\loottables\dailoneskill0009.dbr</v>
      </c>
      <c r="X52" t="str">
        <f t="shared" si="8"/>
        <v>echo lootWeight50,1, &gt;&gt; .\items\loottables\dailoneskill0009.dbr</v>
      </c>
      <c r="Y52" s="5" t="s">
        <v>36</v>
      </c>
      <c r="Z52" t="str">
        <f t="shared" si="9"/>
        <v xml:space="preserve"> dailCompDescCoronus50=^pCoronus's Gift of DAIL</v>
      </c>
      <c r="AA52" t="str">
        <f t="shared" si="17"/>
        <v>dailCompTextCoronus50=^oThis feels warm to the touch, almost familiar ^w(This component only fits into the Medal Slot)</v>
      </c>
      <c r="AB52" s="5" t="s">
        <v>36</v>
      </c>
      <c r="AH52">
        <f t="shared" si="19"/>
        <v>47</v>
      </c>
      <c r="AI52">
        <f t="shared" si="22"/>
        <v>44</v>
      </c>
      <c r="AJ52">
        <f t="shared" si="18"/>
        <v>5</v>
      </c>
    </row>
    <row r="53" spans="1:36" x14ac:dyDescent="0.25">
      <c r="A53" s="5" t="s">
        <v>39</v>
      </c>
      <c r="B53" s="5" t="s">
        <v>30</v>
      </c>
      <c r="C53" s="5" t="str">
        <f t="shared" si="0"/>
        <v>description,dailCompDescCoronus51,</v>
      </c>
      <c r="D53" s="5" t="str">
        <f t="shared" si="2"/>
        <v>itemText,dailCompTextCoronus51,</v>
      </c>
      <c r="E53" s="5" t="str">
        <f t="shared" si="14"/>
        <v>augmentSkillLevel1,5,</v>
      </c>
      <c r="F53" s="5" t="str">
        <f t="shared" si="15"/>
        <v>augmentSkillName1,records/skills/playerclasscoronus/grigori3_petmodifier.dbr,</v>
      </c>
      <c r="G53" s="7">
        <f t="shared" si="10"/>
        <v>51</v>
      </c>
      <c r="H53" s="8" t="str">
        <f t="shared" si="11"/>
        <v>Coronus</v>
      </c>
      <c r="I53" s="3" t="s">
        <v>410</v>
      </c>
      <c r="J53" s="8" t="str">
        <f t="shared" ref="J53:K68" si="23">J52</f>
        <v>class0009</v>
      </c>
      <c r="K53" s="8" t="str">
        <f t="shared" si="23"/>
        <v>dailoneskill0009</v>
      </c>
      <c r="L53" s="5" t="str">
        <f t="shared" si="4"/>
        <v>lootName51,DAIL/items/materia/class0009/Coronus51.dbr,</v>
      </c>
      <c r="M53" s="5" t="str">
        <f t="shared" si="5"/>
        <v>lootWeight51,1,</v>
      </c>
      <c r="N53" t="str">
        <f t="shared" si="6"/>
        <v>5</v>
      </c>
      <c r="O53" t="str">
        <f t="shared" si="16"/>
        <v>copy .\dail_base3.dbr .\items\materia\class0009\Coronus51.dbr /y</v>
      </c>
      <c r="P53" t="str">
        <f t="shared" si="7"/>
        <v>echo relicBitmap,items/craftingparts/components/component_a52_bristlyfur_b.tex, &gt;&gt; .\items\materia\class0009\Coronus51.dbr</v>
      </c>
      <c r="Q53" t="str">
        <f t="shared" si="7"/>
        <v>echo itemCost,500000, &gt;&gt; .\items\materia\class0009\Coronus51.dbr</v>
      </c>
      <c r="R53" t="str">
        <f t="shared" si="7"/>
        <v>echo description,dailCompDescCoronus51, &gt;&gt; .\items\materia\class0009\Coronus51.dbr</v>
      </c>
      <c r="S53" t="str">
        <f t="shared" si="7"/>
        <v>echo itemText,dailCompTextCoronus51, &gt;&gt; .\items\materia\class0009\Coronus51.dbr</v>
      </c>
      <c r="T53" t="str">
        <f t="shared" si="7"/>
        <v>echo augmentSkillLevel1,5, &gt;&gt; .\items\materia\class0009\Coronus51.dbr</v>
      </c>
      <c r="U53" t="str">
        <f t="shared" si="7"/>
        <v>echo augmentSkillName1,records/skills/playerclasscoronus/grigori3_petmodifier.dbr, &gt;&gt; .\items\materia\class0009\Coronus51.dbr</v>
      </c>
      <c r="V53" s="5" t="s">
        <v>36</v>
      </c>
      <c r="W53" t="str">
        <f t="shared" si="8"/>
        <v>echo lootName51,DAIL/items/materia/class0009/Coronus51.dbr, &gt;&gt; .\items\loottables\dailoneskill0009.dbr</v>
      </c>
      <c r="X53" t="str">
        <f t="shared" si="8"/>
        <v>echo lootWeight51,1, &gt;&gt; .\items\loottables\dailoneskill0009.dbr</v>
      </c>
      <c r="Y53" s="5" t="s">
        <v>36</v>
      </c>
      <c r="Z53" t="str">
        <f t="shared" si="9"/>
        <v xml:space="preserve"> dailCompDescCoronus51=^pCoronus's Gift of DAIL</v>
      </c>
      <c r="AA53" t="str">
        <f t="shared" si="17"/>
        <v>dailCompTextCoronus51=^oThis feels warm to the touch, almost familiar ^w(This component only fits into the Medal Slot)</v>
      </c>
      <c r="AB53" s="5" t="s">
        <v>36</v>
      </c>
      <c r="AH53">
        <f t="shared" si="19"/>
        <v>48</v>
      </c>
      <c r="AI53">
        <f t="shared" si="22"/>
        <v>44</v>
      </c>
      <c r="AJ53">
        <f t="shared" si="18"/>
        <v>5</v>
      </c>
    </row>
    <row r="54" spans="1:36" x14ac:dyDescent="0.25">
      <c r="A54" s="5" t="s">
        <v>39</v>
      </c>
      <c r="B54" s="5" t="s">
        <v>30</v>
      </c>
      <c r="C54" s="5" t="str">
        <f t="shared" si="0"/>
        <v>description,dailCompDescCoronus52,</v>
      </c>
      <c r="D54" s="5" t="str">
        <f t="shared" si="2"/>
        <v>itemText,dailCompTextCoronus52,</v>
      </c>
      <c r="E54" s="5" t="str">
        <f t="shared" si="14"/>
        <v>augmentSkillLevel1,5,</v>
      </c>
      <c r="F54" s="5" t="str">
        <f t="shared" si="15"/>
        <v>augmentSkillName1,records/skills/playerclasscoronus/grigori4_petmodifier.dbr,</v>
      </c>
      <c r="G54" s="7">
        <f t="shared" si="10"/>
        <v>52</v>
      </c>
      <c r="H54" s="8" t="str">
        <f t="shared" si="11"/>
        <v>Coronus</v>
      </c>
      <c r="I54" s="3" t="s">
        <v>411</v>
      </c>
      <c r="J54" s="8" t="str">
        <f t="shared" si="23"/>
        <v>class0009</v>
      </c>
      <c r="K54" s="8" t="str">
        <f t="shared" si="23"/>
        <v>dailoneskill0009</v>
      </c>
      <c r="L54" s="5" t="str">
        <f t="shared" si="4"/>
        <v>lootName52,DAIL/items/materia/class0009/Coronus52.dbr,</v>
      </c>
      <c r="M54" s="5" t="str">
        <f t="shared" si="5"/>
        <v>lootWeight52,1,</v>
      </c>
      <c r="N54" t="str">
        <f t="shared" si="6"/>
        <v>5</v>
      </c>
      <c r="O54" t="str">
        <f t="shared" si="16"/>
        <v>copy .\dail_base3.dbr .\items\materia\class0009\Coronus52.dbr /y</v>
      </c>
      <c r="P54" t="str">
        <f t="shared" si="7"/>
        <v>echo relicBitmap,items/craftingparts/components/component_a52_bristlyfur_b.tex, &gt;&gt; .\items\materia\class0009\Coronus52.dbr</v>
      </c>
      <c r="Q54" t="str">
        <f t="shared" si="7"/>
        <v>echo itemCost,500000, &gt;&gt; .\items\materia\class0009\Coronus52.dbr</v>
      </c>
      <c r="R54" t="str">
        <f t="shared" si="7"/>
        <v>echo description,dailCompDescCoronus52, &gt;&gt; .\items\materia\class0009\Coronus52.dbr</v>
      </c>
      <c r="S54" t="str">
        <f t="shared" si="7"/>
        <v>echo itemText,dailCompTextCoronus52, &gt;&gt; .\items\materia\class0009\Coronus52.dbr</v>
      </c>
      <c r="T54" t="str">
        <f t="shared" si="7"/>
        <v>echo augmentSkillLevel1,5, &gt;&gt; .\items\materia\class0009\Coronus52.dbr</v>
      </c>
      <c r="U54" t="str">
        <f t="shared" si="7"/>
        <v>echo augmentSkillName1,records/skills/playerclasscoronus/grigori4_petmodifier.dbr, &gt;&gt; .\items\materia\class0009\Coronus52.dbr</v>
      </c>
      <c r="V54" s="5" t="s">
        <v>36</v>
      </c>
      <c r="W54" t="str">
        <f t="shared" si="8"/>
        <v>echo lootName52,DAIL/items/materia/class0009/Coronus52.dbr, &gt;&gt; .\items\loottables\dailoneskill0009.dbr</v>
      </c>
      <c r="X54" t="str">
        <f t="shared" si="8"/>
        <v>echo lootWeight52,1, &gt;&gt; .\items\loottables\dailoneskill0009.dbr</v>
      </c>
      <c r="Y54" s="5" t="s">
        <v>36</v>
      </c>
      <c r="Z54" t="str">
        <f t="shared" si="9"/>
        <v xml:space="preserve"> dailCompDescCoronus52=^pCoronus's Gift of DAIL</v>
      </c>
      <c r="AA54" t="str">
        <f t="shared" si="17"/>
        <v>dailCompTextCoronus52=^oThis feels warm to the touch, almost familiar ^w(This component only fits into the Medal Slot)</v>
      </c>
      <c r="AB54" s="5" t="s">
        <v>36</v>
      </c>
      <c r="AH54">
        <f t="shared" si="19"/>
        <v>49</v>
      </c>
      <c r="AI54">
        <f t="shared" si="22"/>
        <v>44</v>
      </c>
      <c r="AJ54">
        <f t="shared" si="18"/>
        <v>5</v>
      </c>
    </row>
    <row r="55" spans="1:36" x14ac:dyDescent="0.25">
      <c r="A55" s="5" t="s">
        <v>39</v>
      </c>
      <c r="B55" s="5" t="s">
        <v>30</v>
      </c>
      <c r="C55" s="5" t="str">
        <f t="shared" si="0"/>
        <v>description,dailCompDescCoronus53,</v>
      </c>
      <c r="D55" s="5" t="str">
        <f t="shared" si="2"/>
        <v>itemText,dailCompTextCoronus53,</v>
      </c>
      <c r="E55" s="5" t="str">
        <f t="shared" si="14"/>
        <v>augmentSkillLevel1,5,</v>
      </c>
      <c r="F55" s="5" t="str">
        <f t="shared" si="15"/>
        <v>augmentSkillName1,records/skills/playerclasscoronus/grigori5_petmodifier.dbr,</v>
      </c>
      <c r="G55" s="7">
        <f t="shared" si="10"/>
        <v>53</v>
      </c>
      <c r="H55" s="8" t="str">
        <f t="shared" si="11"/>
        <v>Coronus</v>
      </c>
      <c r="I55" s="3" t="s">
        <v>412</v>
      </c>
      <c r="J55" s="8" t="str">
        <f t="shared" si="23"/>
        <v>class0009</v>
      </c>
      <c r="K55" s="8" t="str">
        <f t="shared" si="23"/>
        <v>dailoneskill0009</v>
      </c>
      <c r="L55" s="5" t="str">
        <f t="shared" si="4"/>
        <v>lootName53,DAIL/items/materia/class0009/Coronus53.dbr,</v>
      </c>
      <c r="M55" s="5" t="str">
        <f t="shared" si="5"/>
        <v>lootWeight53,1,</v>
      </c>
      <c r="N55" t="str">
        <f t="shared" si="6"/>
        <v>5</v>
      </c>
      <c r="O55" t="str">
        <f t="shared" si="16"/>
        <v>copy .\dail_base3.dbr .\items\materia\class0009\Coronus53.dbr /y</v>
      </c>
      <c r="P55" t="str">
        <f t="shared" si="7"/>
        <v>echo relicBitmap,items/craftingparts/components/component_a52_bristlyfur_b.tex, &gt;&gt; .\items\materia\class0009\Coronus53.dbr</v>
      </c>
      <c r="Q55" t="str">
        <f t="shared" si="7"/>
        <v>echo itemCost,500000, &gt;&gt; .\items\materia\class0009\Coronus53.dbr</v>
      </c>
      <c r="R55" t="str">
        <f t="shared" si="7"/>
        <v>echo description,dailCompDescCoronus53, &gt;&gt; .\items\materia\class0009\Coronus53.dbr</v>
      </c>
      <c r="S55" t="str">
        <f t="shared" si="7"/>
        <v>echo itemText,dailCompTextCoronus53, &gt;&gt; .\items\materia\class0009\Coronus53.dbr</v>
      </c>
      <c r="T55" t="str">
        <f t="shared" si="7"/>
        <v>echo augmentSkillLevel1,5, &gt;&gt; .\items\materia\class0009\Coronus53.dbr</v>
      </c>
      <c r="U55" t="str">
        <f t="shared" si="7"/>
        <v>echo augmentSkillName1,records/skills/playerclasscoronus/grigori5_petmodifier.dbr, &gt;&gt; .\items\materia\class0009\Coronus53.dbr</v>
      </c>
      <c r="V55" s="5" t="s">
        <v>36</v>
      </c>
      <c r="W55" t="str">
        <f t="shared" si="8"/>
        <v>echo lootName53,DAIL/items/materia/class0009/Coronus53.dbr, &gt;&gt; .\items\loottables\dailoneskill0009.dbr</v>
      </c>
      <c r="X55" t="str">
        <f t="shared" si="8"/>
        <v>echo lootWeight53,1, &gt;&gt; .\items\loottables\dailoneskill0009.dbr</v>
      </c>
      <c r="Y55" s="5" t="s">
        <v>36</v>
      </c>
      <c r="Z55" t="str">
        <f t="shared" si="9"/>
        <v xml:space="preserve"> dailCompDescCoronus53=^pCoronus's Gift of DAIL</v>
      </c>
      <c r="AA55" t="str">
        <f t="shared" si="17"/>
        <v>dailCompTextCoronus53=^oThis feels warm to the touch, almost familiar ^w(This component only fits into the Medal Slot)</v>
      </c>
      <c r="AB55" s="5" t="s">
        <v>36</v>
      </c>
      <c r="AH55">
        <f t="shared" si="19"/>
        <v>50</v>
      </c>
      <c r="AI55">
        <f t="shared" si="22"/>
        <v>44</v>
      </c>
      <c r="AJ55">
        <f t="shared" si="18"/>
        <v>5</v>
      </c>
    </row>
    <row r="56" spans="1:36" x14ac:dyDescent="0.25">
      <c r="A56" s="5" t="s">
        <v>39</v>
      </c>
      <c r="B56" s="5" t="s">
        <v>30</v>
      </c>
      <c r="C56" s="5" t="str">
        <f t="shared" si="0"/>
        <v>description,dailCompDescCoronus54,</v>
      </c>
      <c r="D56" s="5" t="str">
        <f t="shared" si="2"/>
        <v>itemText,dailCompTextCoronus54,</v>
      </c>
      <c r="E56" s="5" t="str">
        <f t="shared" si="14"/>
        <v>augmentSkillLevel1,5,</v>
      </c>
      <c r="F56" s="5" t="str">
        <f t="shared" si="15"/>
        <v>augmentSkillName1,records/skills/playerclasscoronus/buffh1.dbr,</v>
      </c>
      <c r="G56" s="7">
        <f t="shared" si="10"/>
        <v>54</v>
      </c>
      <c r="H56" s="8" t="str">
        <f t="shared" si="11"/>
        <v>Coronus</v>
      </c>
      <c r="I56" s="3" t="s">
        <v>413</v>
      </c>
      <c r="J56" s="8" t="str">
        <f t="shared" si="23"/>
        <v>class0009</v>
      </c>
      <c r="K56" s="8" t="str">
        <f t="shared" si="23"/>
        <v>dailoneskill0009</v>
      </c>
      <c r="L56" s="5" t="str">
        <f t="shared" si="4"/>
        <v>lootName54,DAIL/items/materia/class0009/Coronus54.dbr,</v>
      </c>
      <c r="M56" s="5" t="str">
        <f t="shared" si="5"/>
        <v>lootWeight54,1,</v>
      </c>
      <c r="N56" t="str">
        <f t="shared" si="6"/>
        <v>5</v>
      </c>
      <c r="O56" t="str">
        <f t="shared" si="16"/>
        <v>copy .\dail_base3.dbr .\items\materia\class0009\Coronus54.dbr /y</v>
      </c>
      <c r="P56" t="str">
        <f t="shared" si="7"/>
        <v>echo relicBitmap,items/craftingparts/components/component_a52_bristlyfur_b.tex, &gt;&gt; .\items\materia\class0009\Coronus54.dbr</v>
      </c>
      <c r="Q56" t="str">
        <f t="shared" si="7"/>
        <v>echo itemCost,500000, &gt;&gt; .\items\materia\class0009\Coronus54.dbr</v>
      </c>
      <c r="R56" t="str">
        <f t="shared" si="7"/>
        <v>echo description,dailCompDescCoronus54, &gt;&gt; .\items\materia\class0009\Coronus54.dbr</v>
      </c>
      <c r="S56" t="str">
        <f t="shared" si="7"/>
        <v>echo itemText,dailCompTextCoronus54, &gt;&gt; .\items\materia\class0009\Coronus54.dbr</v>
      </c>
      <c r="T56" t="str">
        <f t="shared" si="7"/>
        <v>echo augmentSkillLevel1,5, &gt;&gt; .\items\materia\class0009\Coronus54.dbr</v>
      </c>
      <c r="U56" t="str">
        <f t="shared" si="7"/>
        <v>echo augmentSkillName1,records/skills/playerclasscoronus/buffh1.dbr, &gt;&gt; .\items\materia\class0009\Coronus54.dbr</v>
      </c>
      <c r="V56" s="5" t="s">
        <v>36</v>
      </c>
      <c r="W56" t="str">
        <f t="shared" si="8"/>
        <v>echo lootName54,DAIL/items/materia/class0009/Coronus54.dbr, &gt;&gt; .\items\loottables\dailoneskill0009.dbr</v>
      </c>
      <c r="X56" t="str">
        <f t="shared" si="8"/>
        <v>echo lootWeight54,1, &gt;&gt; .\items\loottables\dailoneskill0009.dbr</v>
      </c>
      <c r="Y56" s="5" t="s">
        <v>36</v>
      </c>
      <c r="Z56" t="str">
        <f t="shared" si="9"/>
        <v xml:space="preserve"> dailCompDescCoronus54=^pCoronus's Gift of DAIL</v>
      </c>
      <c r="AA56" t="str">
        <f t="shared" si="17"/>
        <v>dailCompTextCoronus54=^oThis feels warm to the touch, almost familiar ^w(This component only fits into the Medal Slot)</v>
      </c>
      <c r="AB56" s="5" t="s">
        <v>36</v>
      </c>
      <c r="AH56">
        <f t="shared" si="19"/>
        <v>51</v>
      </c>
      <c r="AI56">
        <f t="shared" si="22"/>
        <v>30</v>
      </c>
      <c r="AJ56">
        <f t="shared" si="18"/>
        <v>5</v>
      </c>
    </row>
    <row r="57" spans="1:36" x14ac:dyDescent="0.25">
      <c r="A57" s="5" t="s">
        <v>39</v>
      </c>
      <c r="B57" s="5" t="s">
        <v>30</v>
      </c>
      <c r="C57" s="5" t="str">
        <f t="shared" si="0"/>
        <v>description,dailCompDescCoronus55,</v>
      </c>
      <c r="D57" s="5" t="str">
        <f t="shared" si="2"/>
        <v>itemText,dailCompTextCoronus55,</v>
      </c>
      <c r="E57" s="5" t="str">
        <f t="shared" si="14"/>
        <v>augmentSkillLevel1,5,</v>
      </c>
      <c r="F57" s="5" t="str">
        <f t="shared" si="15"/>
        <v>augmentSkillName1,records/skills/playerclasscoronus/buffe1.dbr,</v>
      </c>
      <c r="G57" s="7">
        <f t="shared" si="10"/>
        <v>55</v>
      </c>
      <c r="H57" s="8" t="str">
        <f t="shared" si="11"/>
        <v>Coronus</v>
      </c>
      <c r="I57" s="3" t="s">
        <v>414</v>
      </c>
      <c r="J57" s="8" t="str">
        <f t="shared" si="23"/>
        <v>class0009</v>
      </c>
      <c r="K57" s="8" t="str">
        <f t="shared" si="23"/>
        <v>dailoneskill0009</v>
      </c>
      <c r="L57" s="5" t="str">
        <f t="shared" si="4"/>
        <v>lootName55,DAIL/items/materia/class0009/Coronus55.dbr,</v>
      </c>
      <c r="M57" s="5" t="str">
        <f t="shared" si="5"/>
        <v>lootWeight55,1,</v>
      </c>
      <c r="N57" t="str">
        <f t="shared" si="6"/>
        <v>5</v>
      </c>
      <c r="O57" t="str">
        <f t="shared" si="16"/>
        <v>copy .\dail_base3.dbr .\items\materia\class0009\Coronus55.dbr /y</v>
      </c>
      <c r="P57" t="str">
        <f t="shared" si="7"/>
        <v>echo relicBitmap,items/craftingparts/components/component_a52_bristlyfur_b.tex, &gt;&gt; .\items\materia\class0009\Coronus55.dbr</v>
      </c>
      <c r="Q57" t="str">
        <f t="shared" si="7"/>
        <v>echo itemCost,500000, &gt;&gt; .\items\materia\class0009\Coronus55.dbr</v>
      </c>
      <c r="R57" t="str">
        <f t="shared" si="7"/>
        <v>echo description,dailCompDescCoronus55, &gt;&gt; .\items\materia\class0009\Coronus55.dbr</v>
      </c>
      <c r="S57" t="str">
        <f t="shared" si="7"/>
        <v>echo itemText,dailCompTextCoronus55, &gt;&gt; .\items\materia\class0009\Coronus55.dbr</v>
      </c>
      <c r="T57" t="str">
        <f t="shared" si="7"/>
        <v>echo augmentSkillLevel1,5, &gt;&gt; .\items\materia\class0009\Coronus55.dbr</v>
      </c>
      <c r="U57" t="str">
        <f t="shared" si="7"/>
        <v>echo augmentSkillName1,records/skills/playerclasscoronus/buffe1.dbr, &gt;&gt; .\items\materia\class0009\Coronus55.dbr</v>
      </c>
      <c r="V57" s="5" t="s">
        <v>36</v>
      </c>
      <c r="W57" t="str">
        <f t="shared" si="8"/>
        <v>echo lootName55,DAIL/items/materia/class0009/Coronus55.dbr, &gt;&gt; .\items\loottables\dailoneskill0009.dbr</v>
      </c>
      <c r="X57" t="str">
        <f t="shared" si="8"/>
        <v>echo lootWeight55,1, &gt;&gt; .\items\loottables\dailoneskill0009.dbr</v>
      </c>
      <c r="Y57" s="5" t="s">
        <v>36</v>
      </c>
      <c r="Z57" t="str">
        <f t="shared" si="9"/>
        <v xml:space="preserve"> dailCompDescCoronus55=^pCoronus's Gift of DAIL</v>
      </c>
      <c r="AA57" t="str">
        <f t="shared" si="17"/>
        <v>dailCompTextCoronus55=^oThis feels warm to the touch, almost familiar ^w(This component only fits into the Medal Slot)</v>
      </c>
      <c r="AB57" s="5" t="s">
        <v>36</v>
      </c>
      <c r="AH57">
        <f t="shared" si="19"/>
        <v>52</v>
      </c>
      <c r="AI57">
        <f t="shared" si="22"/>
        <v>30</v>
      </c>
      <c r="AJ57">
        <f t="shared" si="18"/>
        <v>5</v>
      </c>
    </row>
    <row r="58" spans="1:36" x14ac:dyDescent="0.25">
      <c r="A58" s="5" t="s">
        <v>39</v>
      </c>
      <c r="B58" s="5" t="s">
        <v>30</v>
      </c>
      <c r="C58" s="5" t="str">
        <f t="shared" si="0"/>
        <v>description,dailCompDescCoronus56,</v>
      </c>
      <c r="D58" s="5" t="str">
        <f t="shared" si="2"/>
        <v>itemText,dailCompTextCoronus56,</v>
      </c>
      <c r="E58" s="5" t="str">
        <f t="shared" si="14"/>
        <v>augmentSkillLevel1,5,</v>
      </c>
      <c r="F58" s="5" t="str">
        <f t="shared" si="15"/>
        <v>augmentSkillName1,records/skills/playerclasscoronus/icegrenade1.dbr,</v>
      </c>
      <c r="G58" s="7">
        <f t="shared" si="10"/>
        <v>56</v>
      </c>
      <c r="H58" s="8" t="str">
        <f t="shared" si="11"/>
        <v>Coronus</v>
      </c>
      <c r="I58" s="3" t="s">
        <v>415</v>
      </c>
      <c r="J58" s="8" t="str">
        <f t="shared" si="23"/>
        <v>class0009</v>
      </c>
      <c r="K58" s="8" t="str">
        <f t="shared" si="23"/>
        <v>dailoneskill0009</v>
      </c>
      <c r="L58" s="5" t="str">
        <f t="shared" si="4"/>
        <v>lootName56,DAIL/items/materia/class0009/Coronus56.dbr,</v>
      </c>
      <c r="M58" s="5" t="str">
        <f t="shared" si="5"/>
        <v>lootWeight56,1,</v>
      </c>
      <c r="N58" t="str">
        <f t="shared" si="6"/>
        <v>5</v>
      </c>
      <c r="O58" t="str">
        <f t="shared" si="16"/>
        <v>copy .\dail_base3.dbr .\items\materia\class0009\Coronus56.dbr /y</v>
      </c>
      <c r="P58" t="str">
        <f t="shared" si="7"/>
        <v>echo relicBitmap,items/craftingparts/components/component_a52_bristlyfur_b.tex, &gt;&gt; .\items\materia\class0009\Coronus56.dbr</v>
      </c>
      <c r="Q58" t="str">
        <f t="shared" si="7"/>
        <v>echo itemCost,500000, &gt;&gt; .\items\materia\class0009\Coronus56.dbr</v>
      </c>
      <c r="R58" t="str">
        <f t="shared" si="7"/>
        <v>echo description,dailCompDescCoronus56, &gt;&gt; .\items\materia\class0009\Coronus56.dbr</v>
      </c>
      <c r="S58" t="str">
        <f t="shared" si="7"/>
        <v>echo itemText,dailCompTextCoronus56, &gt;&gt; .\items\materia\class0009\Coronus56.dbr</v>
      </c>
      <c r="T58" t="str">
        <f t="shared" si="7"/>
        <v>echo augmentSkillLevel1,5, &gt;&gt; .\items\materia\class0009\Coronus56.dbr</v>
      </c>
      <c r="U58" t="str">
        <f t="shared" si="7"/>
        <v>echo augmentSkillName1,records/skills/playerclasscoronus/icegrenade1.dbr, &gt;&gt; .\items\materia\class0009\Coronus56.dbr</v>
      </c>
      <c r="V58" s="5" t="s">
        <v>36</v>
      </c>
      <c r="W58" t="str">
        <f t="shared" si="8"/>
        <v>echo lootName56,DAIL/items/materia/class0009/Coronus56.dbr, &gt;&gt; .\items\loottables\dailoneskill0009.dbr</v>
      </c>
      <c r="X58" t="str">
        <f t="shared" si="8"/>
        <v>echo lootWeight56,1, &gt;&gt; .\items\loottables\dailoneskill0009.dbr</v>
      </c>
      <c r="Y58" s="5" t="s">
        <v>36</v>
      </c>
      <c r="Z58" t="str">
        <f t="shared" si="9"/>
        <v xml:space="preserve"> dailCompDescCoronus56=^pCoronus's Gift of DAIL</v>
      </c>
      <c r="AA58" t="str">
        <f t="shared" si="17"/>
        <v>dailCompTextCoronus56=^oThis feels warm to the touch, almost familiar ^w(This component only fits into the Medal Slot)</v>
      </c>
      <c r="AB58" s="5" t="s">
        <v>36</v>
      </c>
      <c r="AH58">
        <f t="shared" si="19"/>
        <v>53</v>
      </c>
      <c r="AI58">
        <f t="shared" si="22"/>
        <v>35</v>
      </c>
      <c r="AJ58">
        <f t="shared" si="18"/>
        <v>5</v>
      </c>
    </row>
    <row r="59" spans="1:36" x14ac:dyDescent="0.25">
      <c r="A59" s="5" t="s">
        <v>39</v>
      </c>
      <c r="B59" s="5" t="s">
        <v>30</v>
      </c>
      <c r="C59" s="5" t="str">
        <f t="shared" si="0"/>
        <v>description,dailCompDescCoronus57,</v>
      </c>
      <c r="D59" s="5" t="str">
        <f t="shared" si="2"/>
        <v>itemText,dailCompTextCoronus57,</v>
      </c>
      <c r="E59" s="5" t="str">
        <f t="shared" si="14"/>
        <v>augmentSkillLevel1,5,</v>
      </c>
      <c r="F59" s="5" t="str">
        <f t="shared" si="15"/>
        <v>augmentSkillName1,records/skills/playerclasscoronus/icegrenade2.dbr,</v>
      </c>
      <c r="G59" s="7">
        <f t="shared" si="10"/>
        <v>57</v>
      </c>
      <c r="H59" s="8" t="str">
        <f t="shared" si="11"/>
        <v>Coronus</v>
      </c>
      <c r="I59" s="3" t="s">
        <v>416</v>
      </c>
      <c r="J59" s="8" t="str">
        <f t="shared" si="23"/>
        <v>class0009</v>
      </c>
      <c r="K59" s="8" t="str">
        <f t="shared" si="23"/>
        <v>dailoneskill0009</v>
      </c>
      <c r="L59" s="5" t="str">
        <f t="shared" si="4"/>
        <v>lootName57,DAIL/items/materia/class0009/Coronus57.dbr,</v>
      </c>
      <c r="M59" s="5" t="str">
        <f t="shared" si="5"/>
        <v>lootWeight57,1,</v>
      </c>
      <c r="N59" t="str">
        <f t="shared" si="6"/>
        <v>5</v>
      </c>
      <c r="O59" t="str">
        <f t="shared" si="16"/>
        <v>copy .\dail_base3.dbr .\items\materia\class0009\Coronus57.dbr /y</v>
      </c>
      <c r="P59" t="str">
        <f t="shared" ref="P59:U101" si="24">IF($I59&lt;&gt;"","echo "&amp;A59&amp;" &gt;&gt; .\items\materia\"&amp;$J59&amp;"\"&amp;$H59&amp;$G59&amp;".dbr","")</f>
        <v>echo relicBitmap,items/craftingparts/components/component_a52_bristlyfur_b.tex, &gt;&gt; .\items\materia\class0009\Coronus57.dbr</v>
      </c>
      <c r="Q59" t="str">
        <f t="shared" si="24"/>
        <v>echo itemCost,500000, &gt;&gt; .\items\materia\class0009\Coronus57.dbr</v>
      </c>
      <c r="R59" t="str">
        <f t="shared" si="24"/>
        <v>echo description,dailCompDescCoronus57, &gt;&gt; .\items\materia\class0009\Coronus57.dbr</v>
      </c>
      <c r="S59" t="str">
        <f t="shared" si="24"/>
        <v>echo itemText,dailCompTextCoronus57, &gt;&gt; .\items\materia\class0009\Coronus57.dbr</v>
      </c>
      <c r="T59" t="str">
        <f t="shared" si="24"/>
        <v>echo augmentSkillLevel1,5, &gt;&gt; .\items\materia\class0009\Coronus57.dbr</v>
      </c>
      <c r="U59" t="str">
        <f t="shared" si="24"/>
        <v>echo augmentSkillName1,records/skills/playerclasscoronus/icegrenade2.dbr, &gt;&gt; .\items\materia\class0009\Coronus57.dbr</v>
      </c>
      <c r="V59" s="5" t="s">
        <v>36</v>
      </c>
      <c r="W59" t="str">
        <f t="shared" si="8"/>
        <v>echo lootName57,DAIL/items/materia/class0009/Coronus57.dbr, &gt;&gt; .\items\loottables\dailoneskill0009.dbr</v>
      </c>
      <c r="X59" t="str">
        <f t="shared" si="8"/>
        <v>echo lootWeight57,1, &gt;&gt; .\items\loottables\dailoneskill0009.dbr</v>
      </c>
      <c r="Y59" s="5" t="s">
        <v>36</v>
      </c>
      <c r="Z59" t="str">
        <f t="shared" si="9"/>
        <v xml:space="preserve"> dailCompDescCoronus57=^pCoronus's Gift of DAIL</v>
      </c>
      <c r="AA59" t="str">
        <f t="shared" si="17"/>
        <v>dailCompTextCoronus57=^oThis feels warm to the touch, almost familiar ^w(This component only fits into the Medal Slot)</v>
      </c>
      <c r="AB59" s="5" t="s">
        <v>36</v>
      </c>
      <c r="AH59">
        <f t="shared" si="19"/>
        <v>54</v>
      </c>
      <c r="AI59">
        <f t="shared" si="22"/>
        <v>35</v>
      </c>
      <c r="AJ59">
        <f t="shared" si="18"/>
        <v>5</v>
      </c>
    </row>
    <row r="60" spans="1:36" x14ac:dyDescent="0.25">
      <c r="A60" s="5" t="s">
        <v>39</v>
      </c>
      <c r="B60" s="5" t="s">
        <v>30</v>
      </c>
      <c r="C60" s="5" t="str">
        <f t="shared" si="0"/>
        <v>description,dailCompDescCoronus,</v>
      </c>
      <c r="D60" s="5" t="str">
        <f t="shared" si="2"/>
        <v>itemText,dailCompTextCoronus,</v>
      </c>
      <c r="E60" s="5" t="str">
        <f t="shared" si="14"/>
        <v>augmentSkillLevel1,5,</v>
      </c>
      <c r="F60" s="5" t="str">
        <f t="shared" si="15"/>
        <v>augmentSkillName1,records/skills,</v>
      </c>
      <c r="G60" s="7" t="str">
        <f t="shared" si="10"/>
        <v/>
      </c>
      <c r="H60" s="8" t="str">
        <f t="shared" si="11"/>
        <v>Coronus</v>
      </c>
      <c r="J60" s="8" t="str">
        <f t="shared" si="23"/>
        <v>class0009</v>
      </c>
      <c r="K60" s="8" t="str">
        <f t="shared" si="23"/>
        <v>dailoneskill0009</v>
      </c>
      <c r="L60" s="5" t="str">
        <f t="shared" si="4"/>
        <v>lootName,DAIL/items/materia/class0009/Coronus.dbr,</v>
      </c>
      <c r="M60" s="5" t="str">
        <f t="shared" si="5"/>
        <v>lootWeight,1,</v>
      </c>
      <c r="N60" t="str">
        <f t="shared" si="6"/>
        <v>5</v>
      </c>
      <c r="O60" t="str">
        <f t="shared" si="16"/>
        <v/>
      </c>
      <c r="P60" t="str">
        <f t="shared" si="24"/>
        <v/>
      </c>
      <c r="Q60" t="str">
        <f t="shared" si="24"/>
        <v/>
      </c>
      <c r="R60" t="str">
        <f t="shared" si="24"/>
        <v/>
      </c>
      <c r="S60" t="str">
        <f t="shared" si="24"/>
        <v/>
      </c>
      <c r="T60" t="str">
        <f t="shared" si="24"/>
        <v/>
      </c>
      <c r="U60" t="str">
        <f t="shared" si="24"/>
        <v/>
      </c>
      <c r="V60" s="5" t="s">
        <v>36</v>
      </c>
      <c r="W60" t="str">
        <f t="shared" si="8"/>
        <v/>
      </c>
      <c r="X60" t="str">
        <f t="shared" si="8"/>
        <v/>
      </c>
      <c r="Y60" s="5" t="s">
        <v>36</v>
      </c>
      <c r="Z60" t="str">
        <f t="shared" si="9"/>
        <v xml:space="preserve"> dailCompDescCoronus=^pCoronus's Gift of DAIL</v>
      </c>
      <c r="AA60" t="str">
        <f t="shared" si="17"/>
        <v>dailCompTextCoronus=^oThis feels warm to the touch, almost familiar ^w(This component only fits into the Medal Slot)</v>
      </c>
      <c r="AB60" s="5" t="s">
        <v>36</v>
      </c>
      <c r="AH60">
        <f t="shared" si="19"/>
        <v>55</v>
      </c>
      <c r="AI60">
        <f t="shared" si="22"/>
        <v>0</v>
      </c>
      <c r="AJ60">
        <f t="shared" si="18"/>
        <v>5</v>
      </c>
    </row>
    <row r="61" spans="1:36" x14ac:dyDescent="0.25">
      <c r="A61" s="5" t="s">
        <v>39</v>
      </c>
      <c r="B61" s="5" t="s">
        <v>30</v>
      </c>
      <c r="C61" s="5" t="str">
        <f t="shared" si="0"/>
        <v>description,dailCompDescCoronus,</v>
      </c>
      <c r="D61" s="5" t="str">
        <f t="shared" si="2"/>
        <v>itemText,dailCompTextCoronus,</v>
      </c>
      <c r="E61" s="5" t="str">
        <f t="shared" si="14"/>
        <v>augmentSkillLevel1,5,</v>
      </c>
      <c r="F61" s="5" t="str">
        <f t="shared" si="15"/>
        <v>augmentSkillName1,records/skills,</v>
      </c>
      <c r="G61" s="7" t="str">
        <f t="shared" si="10"/>
        <v/>
      </c>
      <c r="H61" s="8" t="str">
        <f t="shared" si="11"/>
        <v>Coronus</v>
      </c>
      <c r="J61" s="8" t="str">
        <f t="shared" si="23"/>
        <v>class0009</v>
      </c>
      <c r="K61" s="8" t="str">
        <f t="shared" si="23"/>
        <v>dailoneskill0009</v>
      </c>
      <c r="L61" s="5" t="str">
        <f t="shared" si="4"/>
        <v>lootName,DAIL/items/materia/class0009/Coronus.dbr,</v>
      </c>
      <c r="M61" s="5" t="str">
        <f t="shared" si="5"/>
        <v>lootWeight,1,</v>
      </c>
      <c r="N61" t="str">
        <f t="shared" si="6"/>
        <v>5</v>
      </c>
      <c r="O61" t="str">
        <f t="shared" si="16"/>
        <v/>
      </c>
      <c r="P61" t="str">
        <f t="shared" si="24"/>
        <v/>
      </c>
      <c r="Q61" t="str">
        <f t="shared" si="24"/>
        <v/>
      </c>
      <c r="R61" t="str">
        <f t="shared" si="24"/>
        <v/>
      </c>
      <c r="S61" t="str">
        <f t="shared" si="24"/>
        <v/>
      </c>
      <c r="T61" t="str">
        <f t="shared" si="24"/>
        <v/>
      </c>
      <c r="U61" t="str">
        <f t="shared" si="24"/>
        <v/>
      </c>
      <c r="V61" s="5" t="s">
        <v>36</v>
      </c>
      <c r="W61" t="str">
        <f t="shared" si="8"/>
        <v/>
      </c>
      <c r="X61" t="str">
        <f t="shared" si="8"/>
        <v/>
      </c>
      <c r="Y61" s="5" t="s">
        <v>36</v>
      </c>
      <c r="Z61" t="str">
        <f t="shared" si="9"/>
        <v/>
      </c>
      <c r="AA61" t="str">
        <f t="shared" si="17"/>
        <v/>
      </c>
      <c r="AB61" s="5" t="s">
        <v>36</v>
      </c>
      <c r="AH61">
        <f t="shared" si="19"/>
        <v>56</v>
      </c>
      <c r="AI61">
        <f t="shared" si="22"/>
        <v>0</v>
      </c>
      <c r="AJ61">
        <f t="shared" si="18"/>
        <v>5</v>
      </c>
    </row>
    <row r="62" spans="1:36" x14ac:dyDescent="0.25">
      <c r="A62" s="5" t="s">
        <v>39</v>
      </c>
      <c r="B62" s="5" t="s">
        <v>30</v>
      </c>
      <c r="C62" s="5" t="str">
        <f t="shared" si="0"/>
        <v>description,dailCompDescCoronus,</v>
      </c>
      <c r="D62" s="5" t="str">
        <f t="shared" si="2"/>
        <v>itemText,dailCompTextCoronus,</v>
      </c>
      <c r="E62" s="5" t="str">
        <f t="shared" si="14"/>
        <v>augmentSkillLevel1,5,</v>
      </c>
      <c r="F62" s="5" t="str">
        <f t="shared" si="15"/>
        <v>augmentSkillName1,records/skills,</v>
      </c>
      <c r="G62" s="7" t="str">
        <f t="shared" si="10"/>
        <v/>
      </c>
      <c r="H62" s="8" t="str">
        <f t="shared" si="11"/>
        <v>Coronus</v>
      </c>
      <c r="J62" s="8" t="str">
        <f t="shared" si="23"/>
        <v>class0009</v>
      </c>
      <c r="K62" s="8" t="str">
        <f t="shared" si="23"/>
        <v>dailoneskill0009</v>
      </c>
      <c r="L62" s="5" t="str">
        <f t="shared" si="4"/>
        <v>lootName,DAIL/items/materia/class0009/Coronus.dbr,</v>
      </c>
      <c r="M62" s="5" t="str">
        <f t="shared" si="5"/>
        <v>lootWeight,1,</v>
      </c>
      <c r="N62" t="str">
        <f t="shared" si="6"/>
        <v>5</v>
      </c>
      <c r="O62" t="str">
        <f t="shared" si="16"/>
        <v/>
      </c>
      <c r="P62" t="str">
        <f t="shared" si="24"/>
        <v/>
      </c>
      <c r="Q62" t="str">
        <f t="shared" si="24"/>
        <v/>
      </c>
      <c r="R62" t="str">
        <f t="shared" si="24"/>
        <v/>
      </c>
      <c r="S62" t="str">
        <f t="shared" si="24"/>
        <v/>
      </c>
      <c r="T62" t="str">
        <f t="shared" si="24"/>
        <v/>
      </c>
      <c r="U62" t="str">
        <f t="shared" si="24"/>
        <v/>
      </c>
      <c r="V62" s="5" t="s">
        <v>36</v>
      </c>
      <c r="W62" t="str">
        <f t="shared" si="8"/>
        <v/>
      </c>
      <c r="X62" t="str">
        <f t="shared" si="8"/>
        <v/>
      </c>
      <c r="Y62" s="5" t="s">
        <v>36</v>
      </c>
      <c r="Z62" t="str">
        <f t="shared" si="9"/>
        <v/>
      </c>
      <c r="AA62" t="str">
        <f t="shared" si="17"/>
        <v/>
      </c>
      <c r="AB62" s="5" t="s">
        <v>36</v>
      </c>
      <c r="AH62">
        <f t="shared" si="19"/>
        <v>57</v>
      </c>
      <c r="AI62">
        <f t="shared" si="22"/>
        <v>0</v>
      </c>
      <c r="AJ62">
        <f t="shared" si="18"/>
        <v>5</v>
      </c>
    </row>
    <row r="63" spans="1:36" x14ac:dyDescent="0.25">
      <c r="A63" s="5" t="s">
        <v>39</v>
      </c>
      <c r="B63" s="5" t="s">
        <v>30</v>
      </c>
      <c r="C63" s="5" t="str">
        <f t="shared" si="0"/>
        <v>description,dailCompDescCoronus,</v>
      </c>
      <c r="D63" s="5" t="str">
        <f t="shared" si="2"/>
        <v>itemText,dailCompTextCoronus,</v>
      </c>
      <c r="E63" s="5" t="str">
        <f t="shared" si="14"/>
        <v>augmentSkillLevel1,5,</v>
      </c>
      <c r="F63" s="5" t="str">
        <f t="shared" si="15"/>
        <v>augmentSkillName1,records/skills,</v>
      </c>
      <c r="G63" s="7" t="str">
        <f t="shared" si="10"/>
        <v/>
      </c>
      <c r="H63" s="8" t="str">
        <f t="shared" si="11"/>
        <v>Coronus</v>
      </c>
      <c r="J63" s="8" t="str">
        <f t="shared" si="23"/>
        <v>class0009</v>
      </c>
      <c r="K63" s="8" t="str">
        <f t="shared" si="23"/>
        <v>dailoneskill0009</v>
      </c>
      <c r="L63" s="5" t="str">
        <f t="shared" si="4"/>
        <v>lootName,DAIL/items/materia/class0009/Coronus.dbr,</v>
      </c>
      <c r="M63" s="5" t="str">
        <f t="shared" si="5"/>
        <v>lootWeight,1,</v>
      </c>
      <c r="N63" t="str">
        <f t="shared" si="6"/>
        <v>5</v>
      </c>
      <c r="O63" t="str">
        <f t="shared" si="16"/>
        <v/>
      </c>
      <c r="P63" t="str">
        <f t="shared" si="24"/>
        <v/>
      </c>
      <c r="Q63" t="str">
        <f t="shared" si="24"/>
        <v/>
      </c>
      <c r="R63" t="str">
        <f t="shared" si="24"/>
        <v/>
      </c>
      <c r="S63" t="str">
        <f t="shared" si="24"/>
        <v/>
      </c>
      <c r="T63" t="str">
        <f t="shared" si="24"/>
        <v/>
      </c>
      <c r="U63" t="str">
        <f t="shared" si="24"/>
        <v/>
      </c>
      <c r="V63" s="5" t="s">
        <v>36</v>
      </c>
      <c r="W63" t="str">
        <f t="shared" si="8"/>
        <v/>
      </c>
      <c r="X63" t="str">
        <f t="shared" si="8"/>
        <v/>
      </c>
      <c r="Y63" s="5" t="s">
        <v>36</v>
      </c>
      <c r="Z63" t="str">
        <f t="shared" si="9"/>
        <v/>
      </c>
      <c r="AA63" t="str">
        <f t="shared" si="17"/>
        <v/>
      </c>
      <c r="AB63" s="5" t="s">
        <v>36</v>
      </c>
      <c r="AH63">
        <f t="shared" si="19"/>
        <v>58</v>
      </c>
      <c r="AI63">
        <f t="shared" si="22"/>
        <v>0</v>
      </c>
      <c r="AJ63">
        <f t="shared" si="18"/>
        <v>5</v>
      </c>
    </row>
    <row r="64" spans="1:36" x14ac:dyDescent="0.25">
      <c r="A64" s="5" t="s">
        <v>39</v>
      </c>
      <c r="B64" s="5" t="s">
        <v>30</v>
      </c>
      <c r="C64" s="5" t="str">
        <f t="shared" si="0"/>
        <v>description,dailCompDescCoronus,</v>
      </c>
      <c r="D64" s="5" t="str">
        <f t="shared" si="2"/>
        <v>itemText,dailCompTextCoronus,</v>
      </c>
      <c r="E64" s="5" t="str">
        <f t="shared" si="14"/>
        <v>augmentSkillLevel1,5,</v>
      </c>
      <c r="F64" s="5" t="str">
        <f t="shared" si="15"/>
        <v>augmentSkillName1,records/skills,</v>
      </c>
      <c r="G64" s="7" t="str">
        <f t="shared" si="10"/>
        <v/>
      </c>
      <c r="H64" s="8" t="str">
        <f t="shared" si="11"/>
        <v>Coronus</v>
      </c>
      <c r="J64" s="8" t="str">
        <f t="shared" si="23"/>
        <v>class0009</v>
      </c>
      <c r="K64" s="8" t="str">
        <f t="shared" si="23"/>
        <v>dailoneskill0009</v>
      </c>
      <c r="L64" s="5" t="str">
        <f t="shared" si="4"/>
        <v>lootName,DAIL/items/materia/class0009/Coronus.dbr,</v>
      </c>
      <c r="M64" s="5" t="str">
        <f t="shared" si="5"/>
        <v>lootWeight,1,</v>
      </c>
      <c r="N64" t="str">
        <f t="shared" si="6"/>
        <v>5</v>
      </c>
      <c r="O64" t="str">
        <f t="shared" si="16"/>
        <v/>
      </c>
      <c r="P64" t="str">
        <f t="shared" si="24"/>
        <v/>
      </c>
      <c r="Q64" t="str">
        <f t="shared" si="24"/>
        <v/>
      </c>
      <c r="R64" t="str">
        <f t="shared" si="24"/>
        <v/>
      </c>
      <c r="S64" t="str">
        <f t="shared" si="24"/>
        <v/>
      </c>
      <c r="T64" t="str">
        <f t="shared" si="24"/>
        <v/>
      </c>
      <c r="U64" t="str">
        <f t="shared" si="24"/>
        <v/>
      </c>
      <c r="V64" s="5" t="s">
        <v>36</v>
      </c>
      <c r="W64" t="str">
        <f t="shared" si="8"/>
        <v/>
      </c>
      <c r="X64" t="str">
        <f t="shared" si="8"/>
        <v/>
      </c>
      <c r="Y64" s="5" t="s">
        <v>36</v>
      </c>
      <c r="Z64" t="str">
        <f t="shared" si="9"/>
        <v/>
      </c>
      <c r="AA64" t="str">
        <f t="shared" si="17"/>
        <v/>
      </c>
      <c r="AB64" s="5" t="s">
        <v>36</v>
      </c>
      <c r="AH64">
        <f t="shared" si="19"/>
        <v>59</v>
      </c>
      <c r="AI64">
        <f t="shared" si="22"/>
        <v>0</v>
      </c>
      <c r="AJ64">
        <f t="shared" si="18"/>
        <v>5</v>
      </c>
    </row>
    <row r="65" spans="1:36" x14ac:dyDescent="0.25">
      <c r="A65" s="5" t="s">
        <v>39</v>
      </c>
      <c r="B65" s="5" t="s">
        <v>30</v>
      </c>
      <c r="C65" s="5" t="str">
        <f t="shared" si="0"/>
        <v>description,dailCompDescCoronus,</v>
      </c>
      <c r="D65" s="5" t="str">
        <f t="shared" si="2"/>
        <v>itemText,dailCompTextCoronus,</v>
      </c>
      <c r="E65" s="5" t="str">
        <f t="shared" si="14"/>
        <v>augmentSkillLevel1,5,</v>
      </c>
      <c r="F65" s="5" t="str">
        <f t="shared" si="15"/>
        <v>augmentSkillName1,records/skills,</v>
      </c>
      <c r="G65" s="7" t="str">
        <f t="shared" si="10"/>
        <v/>
      </c>
      <c r="H65" s="8" t="str">
        <f t="shared" si="11"/>
        <v>Coronus</v>
      </c>
      <c r="J65" s="8" t="str">
        <f t="shared" si="23"/>
        <v>class0009</v>
      </c>
      <c r="K65" s="8" t="str">
        <f t="shared" si="23"/>
        <v>dailoneskill0009</v>
      </c>
      <c r="L65" s="5" t="str">
        <f t="shared" si="4"/>
        <v>lootName,DAIL/items/materia/class0009/Coronus.dbr,</v>
      </c>
      <c r="M65" s="5" t="str">
        <f t="shared" si="5"/>
        <v>lootWeight,1,</v>
      </c>
      <c r="N65" t="str">
        <f t="shared" si="6"/>
        <v>5</v>
      </c>
      <c r="O65" t="str">
        <f t="shared" si="16"/>
        <v/>
      </c>
      <c r="P65" t="str">
        <f t="shared" si="24"/>
        <v/>
      </c>
      <c r="Q65" t="str">
        <f t="shared" si="24"/>
        <v/>
      </c>
      <c r="R65" t="str">
        <f t="shared" si="24"/>
        <v/>
      </c>
      <c r="S65" t="str">
        <f t="shared" si="24"/>
        <v/>
      </c>
      <c r="T65" t="str">
        <f t="shared" si="24"/>
        <v/>
      </c>
      <c r="U65" t="str">
        <f t="shared" si="24"/>
        <v/>
      </c>
      <c r="V65" s="5" t="s">
        <v>36</v>
      </c>
      <c r="W65" t="str">
        <f t="shared" si="8"/>
        <v/>
      </c>
      <c r="X65" t="str">
        <f t="shared" si="8"/>
        <v/>
      </c>
      <c r="Y65" s="5" t="s">
        <v>36</v>
      </c>
      <c r="Z65" t="str">
        <f t="shared" si="9"/>
        <v/>
      </c>
      <c r="AA65" t="str">
        <f t="shared" si="17"/>
        <v/>
      </c>
      <c r="AB65" s="5" t="s">
        <v>36</v>
      </c>
      <c r="AH65">
        <f t="shared" si="19"/>
        <v>60</v>
      </c>
      <c r="AI65">
        <f t="shared" si="22"/>
        <v>0</v>
      </c>
      <c r="AJ65">
        <f t="shared" si="18"/>
        <v>5</v>
      </c>
    </row>
    <row r="66" spans="1:36" x14ac:dyDescent="0.25">
      <c r="A66" s="5" t="s">
        <v>39</v>
      </c>
      <c r="B66" s="5" t="s">
        <v>30</v>
      </c>
      <c r="C66" s="5" t="str">
        <f t="shared" si="0"/>
        <v>description,dailCompDescCoronus,</v>
      </c>
      <c r="D66" s="5" t="str">
        <f t="shared" si="2"/>
        <v>itemText,dailCompTextCoronus,</v>
      </c>
      <c r="E66" s="5" t="str">
        <f t="shared" si="14"/>
        <v>augmentSkillLevel1,5,</v>
      </c>
      <c r="F66" s="5" t="str">
        <f t="shared" si="15"/>
        <v>augmentSkillName1,records/skills,</v>
      </c>
      <c r="G66" s="7" t="str">
        <f t="shared" si="10"/>
        <v/>
      </c>
      <c r="H66" s="8" t="str">
        <f t="shared" si="11"/>
        <v>Coronus</v>
      </c>
      <c r="J66" s="8" t="str">
        <f t="shared" si="23"/>
        <v>class0009</v>
      </c>
      <c r="K66" s="8" t="str">
        <f t="shared" si="23"/>
        <v>dailoneskill0009</v>
      </c>
      <c r="L66" s="5" t="str">
        <f t="shared" si="4"/>
        <v>lootName,DAIL/items/materia/class0009/Coronus.dbr,</v>
      </c>
      <c r="M66" s="5" t="str">
        <f t="shared" si="5"/>
        <v>lootWeight,1,</v>
      </c>
      <c r="N66" t="str">
        <f t="shared" si="6"/>
        <v>5</v>
      </c>
      <c r="O66" t="str">
        <f t="shared" si="16"/>
        <v/>
      </c>
      <c r="P66" t="str">
        <f t="shared" si="24"/>
        <v/>
      </c>
      <c r="Q66" t="str">
        <f t="shared" si="24"/>
        <v/>
      </c>
      <c r="R66" t="str">
        <f t="shared" si="24"/>
        <v/>
      </c>
      <c r="S66" t="str">
        <f t="shared" si="24"/>
        <v/>
      </c>
      <c r="T66" t="str">
        <f t="shared" si="24"/>
        <v/>
      </c>
      <c r="U66" t="str">
        <f t="shared" si="24"/>
        <v/>
      </c>
      <c r="V66" s="5" t="s">
        <v>36</v>
      </c>
      <c r="W66" t="str">
        <f t="shared" si="8"/>
        <v/>
      </c>
      <c r="X66" t="str">
        <f t="shared" si="8"/>
        <v/>
      </c>
      <c r="Y66" s="5" t="s">
        <v>36</v>
      </c>
      <c r="Z66" t="str">
        <f t="shared" si="9"/>
        <v/>
      </c>
      <c r="AA66" t="str">
        <f t="shared" si="17"/>
        <v/>
      </c>
      <c r="AB66" s="5" t="s">
        <v>36</v>
      </c>
      <c r="AH66">
        <f t="shared" si="19"/>
        <v>61</v>
      </c>
      <c r="AI66">
        <f t="shared" si="22"/>
        <v>0</v>
      </c>
      <c r="AJ66">
        <f t="shared" si="18"/>
        <v>5</v>
      </c>
    </row>
    <row r="67" spans="1:36" x14ac:dyDescent="0.25">
      <c r="A67" s="5" t="s">
        <v>39</v>
      </c>
      <c r="B67" s="5" t="s">
        <v>30</v>
      </c>
      <c r="C67" s="5" t="str">
        <f t="shared" ref="C67:C102" si="25">"description,dailCompDesc"&amp;H67&amp;G67&amp;","</f>
        <v>description,dailCompDescCoronus,</v>
      </c>
      <c r="D67" s="5" t="str">
        <f t="shared" si="2"/>
        <v>itemText,dailCompTextCoronus,</v>
      </c>
      <c r="E67" s="5" t="str">
        <f t="shared" si="14"/>
        <v>augmentSkillLevel1,5,</v>
      </c>
      <c r="F67" s="5" t="str">
        <f t="shared" si="15"/>
        <v>augmentSkillName1,records/skills,</v>
      </c>
      <c r="G67" s="7" t="str">
        <f t="shared" si="10"/>
        <v/>
      </c>
      <c r="H67" s="8" t="str">
        <f t="shared" si="11"/>
        <v>Coronus</v>
      </c>
      <c r="J67" s="8" t="str">
        <f t="shared" si="23"/>
        <v>class0009</v>
      </c>
      <c r="K67" s="8" t="str">
        <f t="shared" si="23"/>
        <v>dailoneskill0009</v>
      </c>
      <c r="L67" s="5" t="str">
        <f t="shared" si="4"/>
        <v>lootName,DAIL/items/materia/class0009/Coronus.dbr,</v>
      </c>
      <c r="M67" s="5" t="str">
        <f t="shared" si="5"/>
        <v>lootWeight,1,</v>
      </c>
      <c r="N67" t="str">
        <f t="shared" si="6"/>
        <v>5</v>
      </c>
      <c r="O67" t="str">
        <f t="shared" si="16"/>
        <v/>
      </c>
      <c r="P67" t="str">
        <f t="shared" si="24"/>
        <v/>
      </c>
      <c r="Q67" t="str">
        <f t="shared" si="24"/>
        <v/>
      </c>
      <c r="R67" t="str">
        <f t="shared" si="24"/>
        <v/>
      </c>
      <c r="S67" t="str">
        <f t="shared" si="24"/>
        <v/>
      </c>
      <c r="T67" t="str">
        <f t="shared" si="24"/>
        <v/>
      </c>
      <c r="U67" t="str">
        <f t="shared" si="24"/>
        <v/>
      </c>
      <c r="V67" s="5" t="s">
        <v>36</v>
      </c>
      <c r="W67" t="str">
        <f t="shared" si="8"/>
        <v/>
      </c>
      <c r="X67" t="str">
        <f t="shared" si="8"/>
        <v/>
      </c>
      <c r="Y67" s="5" t="s">
        <v>36</v>
      </c>
      <c r="Z67" t="str">
        <f t="shared" si="9"/>
        <v/>
      </c>
      <c r="AA67" t="str">
        <f t="shared" si="17"/>
        <v/>
      </c>
      <c r="AB67" s="5" t="s">
        <v>36</v>
      </c>
      <c r="AH67">
        <f t="shared" si="19"/>
        <v>62</v>
      </c>
      <c r="AI67">
        <f t="shared" si="22"/>
        <v>0</v>
      </c>
      <c r="AJ67">
        <f t="shared" si="18"/>
        <v>5</v>
      </c>
    </row>
    <row r="68" spans="1:36" x14ac:dyDescent="0.25">
      <c r="A68" s="5" t="s">
        <v>39</v>
      </c>
      <c r="B68" s="5" t="s">
        <v>30</v>
      </c>
      <c r="C68" s="5" t="str">
        <f t="shared" si="25"/>
        <v>description,dailCompDescCoronus,</v>
      </c>
      <c r="D68" s="5" t="str">
        <f t="shared" ref="D68:D102" si="26">"itemText,dailCompText"&amp;H68&amp;G68&amp;","</f>
        <v>itemText,dailCompTextCoronus,</v>
      </c>
      <c r="E68" s="5" t="str">
        <f t="shared" si="14"/>
        <v>augmentSkillLevel1,5,</v>
      </c>
      <c r="F68" s="5" t="str">
        <f t="shared" si="15"/>
        <v>augmentSkillName1,records/skills,</v>
      </c>
      <c r="G68" s="7" t="str">
        <f t="shared" si="10"/>
        <v/>
      </c>
      <c r="H68" s="8" t="str">
        <f t="shared" si="11"/>
        <v>Coronus</v>
      </c>
      <c r="J68" s="8" t="str">
        <f t="shared" si="23"/>
        <v>class0009</v>
      </c>
      <c r="K68" s="8" t="str">
        <f t="shared" si="23"/>
        <v>dailoneskill0009</v>
      </c>
      <c r="L68" s="5" t="str">
        <f t="shared" ref="L68:L102" si="27">"lootName"&amp;G68&amp;",DAIL/items/materia/"&amp;J68&amp;"/"&amp;H68&amp;G68&amp;".dbr"&amp;","</f>
        <v>lootName,DAIL/items/materia/class0009/Coronus.dbr,</v>
      </c>
      <c r="M68" s="5" t="str">
        <f t="shared" ref="M68:M102" si="28">"lootWeight"&amp;G68&amp;",1,"</f>
        <v>lootWeight,1,</v>
      </c>
      <c r="N68" t="str">
        <f t="shared" ref="N68:N102" si="29">LEFT(RIGHT(E68,2),1)</f>
        <v>5</v>
      </c>
      <c r="O68" t="str">
        <f t="shared" si="16"/>
        <v/>
      </c>
      <c r="P68" t="str">
        <f t="shared" si="24"/>
        <v/>
      </c>
      <c r="Q68" t="str">
        <f t="shared" si="24"/>
        <v/>
      </c>
      <c r="R68" t="str">
        <f t="shared" si="24"/>
        <v/>
      </c>
      <c r="S68" t="str">
        <f t="shared" si="24"/>
        <v/>
      </c>
      <c r="T68" t="str">
        <f t="shared" si="24"/>
        <v/>
      </c>
      <c r="U68" t="str">
        <f t="shared" si="24"/>
        <v/>
      </c>
      <c r="V68" s="5" t="s">
        <v>36</v>
      </c>
      <c r="W68" t="str">
        <f t="shared" ref="W68:X102" si="30">IF($I68&lt;&gt;"","echo "&amp;L68&amp;" &gt;&gt; .\items\loottables\"&amp;$K68&amp;".dbr","")</f>
        <v/>
      </c>
      <c r="X68" t="str">
        <f t="shared" si="30"/>
        <v/>
      </c>
      <c r="Y68" s="5" t="s">
        <v>36</v>
      </c>
      <c r="Z68" t="str">
        <f t="shared" ref="Z68:Z102" si="31">IF(I67&lt;&gt;""," dailCompDesc"&amp;H68&amp;G68&amp;"=^p"&amp;H68&amp;"'s Gift of DAIL","")</f>
        <v/>
      </c>
      <c r="AA68" t="str">
        <f t="shared" si="17"/>
        <v/>
      </c>
      <c r="AB68" s="5" t="s">
        <v>36</v>
      </c>
      <c r="AH68">
        <f t="shared" si="19"/>
        <v>63</v>
      </c>
      <c r="AI68">
        <f t="shared" si="22"/>
        <v>0</v>
      </c>
      <c r="AJ68">
        <f t="shared" si="18"/>
        <v>5</v>
      </c>
    </row>
    <row r="69" spans="1:36" x14ac:dyDescent="0.25">
      <c r="A69" s="5" t="s">
        <v>39</v>
      </c>
      <c r="B69" s="5" t="s">
        <v>30</v>
      </c>
      <c r="C69" s="5" t="str">
        <f t="shared" si="25"/>
        <v>description,dailCompDescCoronus,</v>
      </c>
      <c r="D69" s="5" t="str">
        <f t="shared" si="26"/>
        <v>itemText,dailCompTextCoronus,</v>
      </c>
      <c r="E69" s="5" t="str">
        <f t="shared" si="14"/>
        <v>augmentSkillLevel1,5,</v>
      </c>
      <c r="F69" s="5" t="str">
        <f t="shared" si="15"/>
        <v>augmentSkillName1,records/skills,</v>
      </c>
      <c r="G69" s="7" t="str">
        <f t="shared" ref="G69:G102" si="32">IF(I69&lt;&gt;"",G68+1,"")</f>
        <v/>
      </c>
      <c r="H69" s="8" t="str">
        <f t="shared" ref="H69:H102" si="33">H68</f>
        <v>Coronus</v>
      </c>
      <c r="J69" s="8" t="str">
        <f t="shared" ref="J69:K84" si="34">J68</f>
        <v>class0009</v>
      </c>
      <c r="K69" s="8" t="str">
        <f t="shared" si="34"/>
        <v>dailoneskill0009</v>
      </c>
      <c r="L69" s="5" t="str">
        <f t="shared" si="27"/>
        <v>lootName,DAIL/items/materia/class0009/Coronus.dbr,</v>
      </c>
      <c r="M69" s="5" t="str">
        <f t="shared" si="28"/>
        <v>lootWeight,1,</v>
      </c>
      <c r="N69" t="str">
        <f t="shared" si="29"/>
        <v>5</v>
      </c>
      <c r="O69" t="str">
        <f t="shared" si="16"/>
        <v/>
      </c>
      <c r="P69" t="str">
        <f t="shared" si="24"/>
        <v/>
      </c>
      <c r="Q69" t="str">
        <f t="shared" si="24"/>
        <v/>
      </c>
      <c r="R69" t="str">
        <f t="shared" si="24"/>
        <v/>
      </c>
      <c r="S69" t="str">
        <f t="shared" si="24"/>
        <v/>
      </c>
      <c r="T69" t="str">
        <f t="shared" si="24"/>
        <v/>
      </c>
      <c r="U69" t="str">
        <f t="shared" si="24"/>
        <v/>
      </c>
      <c r="V69" s="5" t="s">
        <v>36</v>
      </c>
      <c r="W69" t="str">
        <f t="shared" si="30"/>
        <v/>
      </c>
      <c r="X69" t="str">
        <f t="shared" si="30"/>
        <v/>
      </c>
      <c r="Y69" s="5" t="s">
        <v>36</v>
      </c>
      <c r="Z69" t="str">
        <f t="shared" si="31"/>
        <v/>
      </c>
      <c r="AA69" t="str">
        <f t="shared" si="17"/>
        <v/>
      </c>
      <c r="AB69" s="5" t="s">
        <v>36</v>
      </c>
      <c r="AH69">
        <f t="shared" si="19"/>
        <v>64</v>
      </c>
      <c r="AI69">
        <f t="shared" si="22"/>
        <v>0</v>
      </c>
      <c r="AJ69">
        <f t="shared" si="18"/>
        <v>5</v>
      </c>
    </row>
    <row r="70" spans="1:36" x14ac:dyDescent="0.25">
      <c r="A70" s="5" t="s">
        <v>39</v>
      </c>
      <c r="B70" s="5" t="s">
        <v>30</v>
      </c>
      <c r="C70" s="5" t="str">
        <f t="shared" si="25"/>
        <v>description,dailCompDescCoronus,</v>
      </c>
      <c r="D70" s="5" t="str">
        <f t="shared" si="26"/>
        <v>itemText,dailCompTextCoronus,</v>
      </c>
      <c r="E70" s="5" t="str">
        <f t="shared" si="14"/>
        <v>augmentSkillLevel1,5,</v>
      </c>
      <c r="F70" s="5" t="str">
        <f t="shared" si="15"/>
        <v>augmentSkillName1,records/skills,</v>
      </c>
      <c r="G70" s="7" t="str">
        <f t="shared" si="32"/>
        <v/>
      </c>
      <c r="H70" s="8" t="str">
        <f t="shared" si="33"/>
        <v>Coronus</v>
      </c>
      <c r="J70" s="8" t="str">
        <f t="shared" si="34"/>
        <v>class0009</v>
      </c>
      <c r="K70" s="8" t="str">
        <f t="shared" si="34"/>
        <v>dailoneskill0009</v>
      </c>
      <c r="L70" s="5" t="str">
        <f t="shared" si="27"/>
        <v>lootName,DAIL/items/materia/class0009/Coronus.dbr,</v>
      </c>
      <c r="M70" s="5" t="str">
        <f t="shared" si="28"/>
        <v>lootWeight,1,</v>
      </c>
      <c r="N70" t="str">
        <f t="shared" si="29"/>
        <v>5</v>
      </c>
      <c r="O70" t="str">
        <f t="shared" si="16"/>
        <v/>
      </c>
      <c r="P70" t="str">
        <f t="shared" si="24"/>
        <v/>
      </c>
      <c r="Q70" t="str">
        <f t="shared" si="24"/>
        <v/>
      </c>
      <c r="R70" t="str">
        <f t="shared" si="24"/>
        <v/>
      </c>
      <c r="S70" t="str">
        <f t="shared" si="24"/>
        <v/>
      </c>
      <c r="T70" t="str">
        <f t="shared" si="24"/>
        <v/>
      </c>
      <c r="U70" t="str">
        <f t="shared" si="24"/>
        <v/>
      </c>
      <c r="V70" s="5" t="s">
        <v>36</v>
      </c>
      <c r="W70" t="str">
        <f t="shared" si="30"/>
        <v/>
      </c>
      <c r="X70" t="str">
        <f t="shared" si="30"/>
        <v/>
      </c>
      <c r="Y70" s="5" t="s">
        <v>36</v>
      </c>
      <c r="Z70" t="str">
        <f t="shared" si="31"/>
        <v/>
      </c>
      <c r="AA70" t="str">
        <f t="shared" si="17"/>
        <v/>
      </c>
      <c r="AB70" s="5" t="s">
        <v>36</v>
      </c>
      <c r="AH70">
        <f t="shared" si="19"/>
        <v>65</v>
      </c>
      <c r="AI70">
        <f t="shared" ref="AI70:AI102" si="35">LEN(I70)</f>
        <v>0</v>
      </c>
      <c r="AJ70">
        <f t="shared" si="18"/>
        <v>5</v>
      </c>
    </row>
    <row r="71" spans="1:36" x14ac:dyDescent="0.25">
      <c r="A71" s="5" t="s">
        <v>39</v>
      </c>
      <c r="B71" s="5" t="s">
        <v>30</v>
      </c>
      <c r="C71" s="5" t="str">
        <f t="shared" si="25"/>
        <v>description,dailCompDescCoronus,</v>
      </c>
      <c r="D71" s="5" t="str">
        <f t="shared" si="26"/>
        <v>itemText,dailCompTextCoronus,</v>
      </c>
      <c r="E71" s="5" t="str">
        <f t="shared" ref="E71:E102" si="36">"augmentSkillLevel1,"&amp;AJ71&amp;","</f>
        <v>augmentSkillLevel1,5,</v>
      </c>
      <c r="F71" s="5" t="str">
        <f t="shared" ref="F71:F102" si="37">"augmentSkillName1,records/skills"&amp;I71&amp;","</f>
        <v>augmentSkillName1,records/skills,</v>
      </c>
      <c r="G71" s="7" t="str">
        <f t="shared" si="32"/>
        <v/>
      </c>
      <c r="H71" s="8" t="str">
        <f t="shared" si="33"/>
        <v>Coronus</v>
      </c>
      <c r="J71" s="8" t="str">
        <f t="shared" si="34"/>
        <v>class0009</v>
      </c>
      <c r="K71" s="8" t="str">
        <f t="shared" si="34"/>
        <v>dailoneskill0009</v>
      </c>
      <c r="L71" s="5" t="str">
        <f t="shared" si="27"/>
        <v>lootName,DAIL/items/materia/class0009/Coronus.dbr,</v>
      </c>
      <c r="M71" s="5" t="str">
        <f t="shared" si="28"/>
        <v>lootWeight,1,</v>
      </c>
      <c r="N71" t="str">
        <f t="shared" si="29"/>
        <v>5</v>
      </c>
      <c r="O71" t="str">
        <f t="shared" ref="O71:O102" si="38">IF(I71&lt;&gt;"","copy .\"&amp;VLOOKUP(VALUE(N71),$AD$3:$AF$5,2,FALSE)&amp;" .\items\materia\"&amp;J71&amp;"\"&amp;H71&amp;G71&amp;".dbr /y"&amp;"","")</f>
        <v/>
      </c>
      <c r="P71" t="str">
        <f t="shared" si="24"/>
        <v/>
      </c>
      <c r="Q71" t="str">
        <f t="shared" si="24"/>
        <v/>
      </c>
      <c r="R71" t="str">
        <f t="shared" si="24"/>
        <v/>
      </c>
      <c r="S71" t="str">
        <f t="shared" si="24"/>
        <v/>
      </c>
      <c r="T71" t="str">
        <f t="shared" si="24"/>
        <v/>
      </c>
      <c r="U71" t="str">
        <f t="shared" si="24"/>
        <v/>
      </c>
      <c r="V71" s="5" t="s">
        <v>36</v>
      </c>
      <c r="W71" t="str">
        <f t="shared" si="30"/>
        <v/>
      </c>
      <c r="X71" t="str">
        <f t="shared" si="30"/>
        <v/>
      </c>
      <c r="Y71" s="5" t="s">
        <v>36</v>
      </c>
      <c r="Z71" t="str">
        <f t="shared" si="31"/>
        <v/>
      </c>
      <c r="AA71" t="str">
        <f t="shared" ref="AA71:AA102" si="39">IF(I70&lt;&gt;"","dailCompText"&amp;H71&amp;G71&amp;"=^oThis feels warm to the touch, almost familiar ^w("&amp;VLOOKUP(VALUE(N71),$AD$3:$AF$5,3,FALSE)&amp;")","")</f>
        <v/>
      </c>
      <c r="AB71" s="5" t="s">
        <v>36</v>
      </c>
      <c r="AH71">
        <f t="shared" si="19"/>
        <v>66</v>
      </c>
      <c r="AI71">
        <f t="shared" si="35"/>
        <v>0</v>
      </c>
      <c r="AJ71">
        <f t="shared" ref="AJ71:AJ102" si="40">IF(AH71&lt;$AL$7,1,IF(AH71&lt;$AL$8,3,5))</f>
        <v>5</v>
      </c>
    </row>
    <row r="72" spans="1:36" x14ac:dyDescent="0.25">
      <c r="A72" s="5" t="s">
        <v>39</v>
      </c>
      <c r="B72" s="5" t="s">
        <v>30</v>
      </c>
      <c r="C72" s="5" t="str">
        <f t="shared" si="25"/>
        <v>description,dailCompDescCoronus,</v>
      </c>
      <c r="D72" s="5" t="str">
        <f t="shared" si="26"/>
        <v>itemText,dailCompTextCoronus,</v>
      </c>
      <c r="E72" s="5" t="str">
        <f t="shared" si="36"/>
        <v>augmentSkillLevel1,5,</v>
      </c>
      <c r="F72" s="5" t="str">
        <f t="shared" si="37"/>
        <v>augmentSkillName1,records/skills,</v>
      </c>
      <c r="G72" s="7" t="str">
        <f t="shared" si="32"/>
        <v/>
      </c>
      <c r="H72" s="8" t="str">
        <f t="shared" si="33"/>
        <v>Coronus</v>
      </c>
      <c r="J72" s="8" t="str">
        <f t="shared" si="34"/>
        <v>class0009</v>
      </c>
      <c r="K72" s="8" t="str">
        <f t="shared" si="34"/>
        <v>dailoneskill0009</v>
      </c>
      <c r="L72" s="5" t="str">
        <f t="shared" si="27"/>
        <v>lootName,DAIL/items/materia/class0009/Coronus.dbr,</v>
      </c>
      <c r="M72" s="5" t="str">
        <f t="shared" si="28"/>
        <v>lootWeight,1,</v>
      </c>
      <c r="N72" t="str">
        <f t="shared" si="29"/>
        <v>5</v>
      </c>
      <c r="O72" t="str">
        <f t="shared" si="38"/>
        <v/>
      </c>
      <c r="P72" t="str">
        <f t="shared" si="24"/>
        <v/>
      </c>
      <c r="Q72" t="str">
        <f t="shared" si="24"/>
        <v/>
      </c>
      <c r="R72" t="str">
        <f t="shared" si="24"/>
        <v/>
      </c>
      <c r="S72" t="str">
        <f t="shared" si="24"/>
        <v/>
      </c>
      <c r="T72" t="str">
        <f t="shared" si="24"/>
        <v/>
      </c>
      <c r="U72" t="str">
        <f t="shared" si="24"/>
        <v/>
      </c>
      <c r="V72" s="5" t="s">
        <v>36</v>
      </c>
      <c r="W72" t="str">
        <f t="shared" si="30"/>
        <v/>
      </c>
      <c r="X72" t="str">
        <f t="shared" si="30"/>
        <v/>
      </c>
      <c r="Y72" s="5" t="s">
        <v>36</v>
      </c>
      <c r="Z72" t="str">
        <f t="shared" si="31"/>
        <v/>
      </c>
      <c r="AA72" t="str">
        <f t="shared" si="39"/>
        <v/>
      </c>
      <c r="AB72" s="5" t="s">
        <v>36</v>
      </c>
      <c r="AH72">
        <f t="shared" ref="AH72:AH102" si="41">AH71+1</f>
        <v>67</v>
      </c>
      <c r="AI72">
        <f t="shared" si="35"/>
        <v>0</v>
      </c>
      <c r="AJ72">
        <f t="shared" si="40"/>
        <v>5</v>
      </c>
    </row>
    <row r="73" spans="1:36" x14ac:dyDescent="0.25">
      <c r="A73" s="5" t="s">
        <v>39</v>
      </c>
      <c r="B73" s="5" t="s">
        <v>30</v>
      </c>
      <c r="C73" s="5" t="str">
        <f t="shared" si="25"/>
        <v>description,dailCompDescCoronus,</v>
      </c>
      <c r="D73" s="5" t="str">
        <f t="shared" si="26"/>
        <v>itemText,dailCompTextCoronus,</v>
      </c>
      <c r="E73" s="5" t="str">
        <f t="shared" si="36"/>
        <v>augmentSkillLevel1,5,</v>
      </c>
      <c r="F73" s="5" t="str">
        <f t="shared" si="37"/>
        <v>augmentSkillName1,records/skills,</v>
      </c>
      <c r="G73" s="7" t="str">
        <f t="shared" si="32"/>
        <v/>
      </c>
      <c r="H73" s="8" t="str">
        <f t="shared" si="33"/>
        <v>Coronus</v>
      </c>
      <c r="J73" s="8" t="str">
        <f t="shared" si="34"/>
        <v>class0009</v>
      </c>
      <c r="K73" s="8" t="str">
        <f t="shared" si="34"/>
        <v>dailoneskill0009</v>
      </c>
      <c r="L73" s="5" t="str">
        <f t="shared" si="27"/>
        <v>lootName,DAIL/items/materia/class0009/Coronus.dbr,</v>
      </c>
      <c r="M73" s="5" t="str">
        <f t="shared" si="28"/>
        <v>lootWeight,1,</v>
      </c>
      <c r="N73" t="str">
        <f t="shared" si="29"/>
        <v>5</v>
      </c>
      <c r="O73" t="str">
        <f t="shared" si="38"/>
        <v/>
      </c>
      <c r="P73" t="str">
        <f t="shared" si="24"/>
        <v/>
      </c>
      <c r="Q73" t="str">
        <f t="shared" si="24"/>
        <v/>
      </c>
      <c r="R73" t="str">
        <f t="shared" si="24"/>
        <v/>
      </c>
      <c r="S73" t="str">
        <f t="shared" si="24"/>
        <v/>
      </c>
      <c r="T73" t="str">
        <f t="shared" si="24"/>
        <v/>
      </c>
      <c r="U73" t="str">
        <f t="shared" si="24"/>
        <v/>
      </c>
      <c r="V73" s="5" t="s">
        <v>36</v>
      </c>
      <c r="W73" t="str">
        <f t="shared" si="30"/>
        <v/>
      </c>
      <c r="X73" t="str">
        <f t="shared" si="30"/>
        <v/>
      </c>
      <c r="Y73" s="5" t="s">
        <v>36</v>
      </c>
      <c r="Z73" t="str">
        <f t="shared" si="31"/>
        <v/>
      </c>
      <c r="AA73" t="str">
        <f t="shared" si="39"/>
        <v/>
      </c>
      <c r="AB73" s="5" t="s">
        <v>36</v>
      </c>
      <c r="AH73">
        <f t="shared" si="41"/>
        <v>68</v>
      </c>
      <c r="AI73">
        <f t="shared" si="35"/>
        <v>0</v>
      </c>
      <c r="AJ73">
        <f t="shared" si="40"/>
        <v>5</v>
      </c>
    </row>
    <row r="74" spans="1:36" x14ac:dyDescent="0.25">
      <c r="A74" s="5" t="s">
        <v>39</v>
      </c>
      <c r="B74" s="5" t="s">
        <v>30</v>
      </c>
      <c r="C74" s="5" t="str">
        <f t="shared" si="25"/>
        <v>description,dailCompDescCoronus,</v>
      </c>
      <c r="D74" s="5" t="str">
        <f t="shared" si="26"/>
        <v>itemText,dailCompTextCoronus,</v>
      </c>
      <c r="E74" s="5" t="str">
        <f t="shared" si="36"/>
        <v>augmentSkillLevel1,5,</v>
      </c>
      <c r="F74" s="5" t="str">
        <f t="shared" si="37"/>
        <v>augmentSkillName1,records/skills,</v>
      </c>
      <c r="G74" s="7" t="str">
        <f t="shared" si="32"/>
        <v/>
      </c>
      <c r="H74" s="8" t="str">
        <f t="shared" si="33"/>
        <v>Coronus</v>
      </c>
      <c r="J74" s="8" t="str">
        <f t="shared" si="34"/>
        <v>class0009</v>
      </c>
      <c r="K74" s="8" t="str">
        <f t="shared" si="34"/>
        <v>dailoneskill0009</v>
      </c>
      <c r="L74" s="5" t="str">
        <f t="shared" si="27"/>
        <v>lootName,DAIL/items/materia/class0009/Coronus.dbr,</v>
      </c>
      <c r="M74" s="5" t="str">
        <f t="shared" si="28"/>
        <v>lootWeight,1,</v>
      </c>
      <c r="N74" t="str">
        <f t="shared" si="29"/>
        <v>5</v>
      </c>
      <c r="O74" t="str">
        <f t="shared" si="38"/>
        <v/>
      </c>
      <c r="P74" t="str">
        <f t="shared" si="24"/>
        <v/>
      </c>
      <c r="Q74" t="str">
        <f t="shared" si="24"/>
        <v/>
      </c>
      <c r="R74" t="str">
        <f t="shared" si="24"/>
        <v/>
      </c>
      <c r="S74" t="str">
        <f t="shared" si="24"/>
        <v/>
      </c>
      <c r="T74" t="str">
        <f t="shared" si="24"/>
        <v/>
      </c>
      <c r="U74" t="str">
        <f t="shared" si="24"/>
        <v/>
      </c>
      <c r="V74" s="5" t="s">
        <v>36</v>
      </c>
      <c r="W74" t="str">
        <f t="shared" si="30"/>
        <v/>
      </c>
      <c r="X74" t="str">
        <f t="shared" si="30"/>
        <v/>
      </c>
      <c r="Y74" s="5" t="s">
        <v>36</v>
      </c>
      <c r="Z74" t="str">
        <f t="shared" si="31"/>
        <v/>
      </c>
      <c r="AA74" t="str">
        <f t="shared" si="39"/>
        <v/>
      </c>
      <c r="AB74" s="5" t="s">
        <v>36</v>
      </c>
      <c r="AH74">
        <f t="shared" si="41"/>
        <v>69</v>
      </c>
      <c r="AI74">
        <f t="shared" si="35"/>
        <v>0</v>
      </c>
      <c r="AJ74">
        <f t="shared" si="40"/>
        <v>5</v>
      </c>
    </row>
    <row r="75" spans="1:36" x14ac:dyDescent="0.25">
      <c r="A75" s="5" t="s">
        <v>39</v>
      </c>
      <c r="B75" s="5" t="s">
        <v>30</v>
      </c>
      <c r="C75" s="5" t="str">
        <f t="shared" si="25"/>
        <v>description,dailCompDescCoronus,</v>
      </c>
      <c r="D75" s="5" t="str">
        <f t="shared" si="26"/>
        <v>itemText,dailCompTextCoronus,</v>
      </c>
      <c r="E75" s="5" t="str">
        <f t="shared" si="36"/>
        <v>augmentSkillLevel1,5,</v>
      </c>
      <c r="F75" s="5" t="str">
        <f t="shared" si="37"/>
        <v>augmentSkillName1,records/skills,</v>
      </c>
      <c r="G75" s="7" t="str">
        <f t="shared" si="32"/>
        <v/>
      </c>
      <c r="H75" s="8" t="str">
        <f t="shared" si="33"/>
        <v>Coronus</v>
      </c>
      <c r="J75" s="8" t="str">
        <f t="shared" si="34"/>
        <v>class0009</v>
      </c>
      <c r="K75" s="8" t="str">
        <f t="shared" si="34"/>
        <v>dailoneskill0009</v>
      </c>
      <c r="L75" s="5" t="str">
        <f t="shared" si="27"/>
        <v>lootName,DAIL/items/materia/class0009/Coronus.dbr,</v>
      </c>
      <c r="M75" s="5" t="str">
        <f t="shared" si="28"/>
        <v>lootWeight,1,</v>
      </c>
      <c r="N75" t="str">
        <f t="shared" si="29"/>
        <v>5</v>
      </c>
      <c r="O75" t="str">
        <f t="shared" si="38"/>
        <v/>
      </c>
      <c r="P75" t="str">
        <f t="shared" si="24"/>
        <v/>
      </c>
      <c r="Q75" t="str">
        <f t="shared" si="24"/>
        <v/>
      </c>
      <c r="R75" t="str">
        <f t="shared" si="24"/>
        <v/>
      </c>
      <c r="S75" t="str">
        <f t="shared" si="24"/>
        <v/>
      </c>
      <c r="T75" t="str">
        <f t="shared" si="24"/>
        <v/>
      </c>
      <c r="U75" t="str">
        <f t="shared" si="24"/>
        <v/>
      </c>
      <c r="V75" s="5" t="s">
        <v>36</v>
      </c>
      <c r="W75" t="str">
        <f t="shared" si="30"/>
        <v/>
      </c>
      <c r="X75" t="str">
        <f t="shared" si="30"/>
        <v/>
      </c>
      <c r="Y75" s="5" t="s">
        <v>36</v>
      </c>
      <c r="Z75" t="str">
        <f t="shared" si="31"/>
        <v/>
      </c>
      <c r="AA75" t="str">
        <f t="shared" si="39"/>
        <v/>
      </c>
      <c r="AB75" s="5" t="s">
        <v>36</v>
      </c>
      <c r="AH75">
        <f t="shared" si="41"/>
        <v>70</v>
      </c>
      <c r="AI75">
        <f t="shared" si="35"/>
        <v>0</v>
      </c>
      <c r="AJ75">
        <f t="shared" si="40"/>
        <v>5</v>
      </c>
    </row>
    <row r="76" spans="1:36" x14ac:dyDescent="0.25">
      <c r="A76" s="5" t="s">
        <v>39</v>
      </c>
      <c r="B76" s="5" t="s">
        <v>30</v>
      </c>
      <c r="C76" s="5" t="str">
        <f t="shared" si="25"/>
        <v>description,dailCompDescCoronus,</v>
      </c>
      <c r="D76" s="5" t="str">
        <f t="shared" si="26"/>
        <v>itemText,dailCompTextCoronus,</v>
      </c>
      <c r="E76" s="5" t="str">
        <f t="shared" si="36"/>
        <v>augmentSkillLevel1,5,</v>
      </c>
      <c r="F76" s="5" t="str">
        <f t="shared" si="37"/>
        <v>augmentSkillName1,records/skills,</v>
      </c>
      <c r="G76" s="7" t="str">
        <f t="shared" si="32"/>
        <v/>
      </c>
      <c r="H76" s="8" t="str">
        <f t="shared" si="33"/>
        <v>Coronus</v>
      </c>
      <c r="J76" s="8" t="str">
        <f t="shared" si="34"/>
        <v>class0009</v>
      </c>
      <c r="K76" s="8" t="str">
        <f t="shared" si="34"/>
        <v>dailoneskill0009</v>
      </c>
      <c r="L76" s="5" t="str">
        <f t="shared" si="27"/>
        <v>lootName,DAIL/items/materia/class0009/Coronus.dbr,</v>
      </c>
      <c r="M76" s="5" t="str">
        <f t="shared" si="28"/>
        <v>lootWeight,1,</v>
      </c>
      <c r="N76" t="str">
        <f t="shared" si="29"/>
        <v>5</v>
      </c>
      <c r="O76" t="str">
        <f t="shared" si="38"/>
        <v/>
      </c>
      <c r="P76" t="str">
        <f t="shared" si="24"/>
        <v/>
      </c>
      <c r="Q76" t="str">
        <f t="shared" si="24"/>
        <v/>
      </c>
      <c r="R76" t="str">
        <f t="shared" si="24"/>
        <v/>
      </c>
      <c r="S76" t="str">
        <f t="shared" si="24"/>
        <v/>
      </c>
      <c r="T76" t="str">
        <f t="shared" si="24"/>
        <v/>
      </c>
      <c r="U76" t="str">
        <f t="shared" si="24"/>
        <v/>
      </c>
      <c r="V76" s="5" t="s">
        <v>36</v>
      </c>
      <c r="W76" t="str">
        <f t="shared" si="30"/>
        <v/>
      </c>
      <c r="X76" t="str">
        <f t="shared" si="30"/>
        <v/>
      </c>
      <c r="Y76" s="5" t="s">
        <v>36</v>
      </c>
      <c r="Z76" t="str">
        <f t="shared" si="31"/>
        <v/>
      </c>
      <c r="AA76" t="str">
        <f t="shared" si="39"/>
        <v/>
      </c>
      <c r="AB76" s="5" t="s">
        <v>36</v>
      </c>
      <c r="AH76">
        <f t="shared" si="41"/>
        <v>71</v>
      </c>
      <c r="AI76">
        <f t="shared" si="35"/>
        <v>0</v>
      </c>
      <c r="AJ76">
        <f t="shared" si="40"/>
        <v>5</v>
      </c>
    </row>
    <row r="77" spans="1:36" x14ac:dyDescent="0.25">
      <c r="A77" s="5" t="s">
        <v>39</v>
      </c>
      <c r="B77" s="5" t="s">
        <v>30</v>
      </c>
      <c r="C77" s="5" t="str">
        <f t="shared" si="25"/>
        <v>description,dailCompDescCoronus,</v>
      </c>
      <c r="D77" s="5" t="str">
        <f t="shared" si="26"/>
        <v>itemText,dailCompTextCoronus,</v>
      </c>
      <c r="E77" s="5" t="str">
        <f t="shared" si="36"/>
        <v>augmentSkillLevel1,5,</v>
      </c>
      <c r="F77" s="5" t="str">
        <f t="shared" si="37"/>
        <v>augmentSkillName1,records/skills,</v>
      </c>
      <c r="G77" s="7" t="str">
        <f t="shared" si="32"/>
        <v/>
      </c>
      <c r="H77" s="8" t="str">
        <f t="shared" si="33"/>
        <v>Coronus</v>
      </c>
      <c r="J77" s="8" t="str">
        <f t="shared" si="34"/>
        <v>class0009</v>
      </c>
      <c r="K77" s="8" t="str">
        <f t="shared" si="34"/>
        <v>dailoneskill0009</v>
      </c>
      <c r="L77" s="5" t="str">
        <f t="shared" si="27"/>
        <v>lootName,DAIL/items/materia/class0009/Coronus.dbr,</v>
      </c>
      <c r="M77" s="5" t="str">
        <f t="shared" si="28"/>
        <v>lootWeight,1,</v>
      </c>
      <c r="N77" t="str">
        <f t="shared" si="29"/>
        <v>5</v>
      </c>
      <c r="O77" t="str">
        <f t="shared" si="38"/>
        <v/>
      </c>
      <c r="P77" t="str">
        <f t="shared" si="24"/>
        <v/>
      </c>
      <c r="Q77" t="str">
        <f t="shared" si="24"/>
        <v/>
      </c>
      <c r="R77" t="str">
        <f t="shared" si="24"/>
        <v/>
      </c>
      <c r="S77" t="str">
        <f t="shared" si="24"/>
        <v/>
      </c>
      <c r="T77" t="str">
        <f t="shared" si="24"/>
        <v/>
      </c>
      <c r="U77" t="str">
        <f t="shared" si="24"/>
        <v/>
      </c>
      <c r="V77" s="5" t="s">
        <v>36</v>
      </c>
      <c r="W77" t="str">
        <f t="shared" si="30"/>
        <v/>
      </c>
      <c r="X77" t="str">
        <f t="shared" si="30"/>
        <v/>
      </c>
      <c r="Y77" s="5" t="s">
        <v>36</v>
      </c>
      <c r="Z77" t="str">
        <f t="shared" si="31"/>
        <v/>
      </c>
      <c r="AA77" t="str">
        <f t="shared" si="39"/>
        <v/>
      </c>
      <c r="AB77" s="5" t="s">
        <v>36</v>
      </c>
      <c r="AH77">
        <f t="shared" si="41"/>
        <v>72</v>
      </c>
      <c r="AI77">
        <f t="shared" si="35"/>
        <v>0</v>
      </c>
      <c r="AJ77">
        <f t="shared" si="40"/>
        <v>5</v>
      </c>
    </row>
    <row r="78" spans="1:36" x14ac:dyDescent="0.25">
      <c r="A78" s="5" t="s">
        <v>39</v>
      </c>
      <c r="B78" s="5" t="s">
        <v>30</v>
      </c>
      <c r="C78" s="5" t="str">
        <f t="shared" si="25"/>
        <v>description,dailCompDescCoronus,</v>
      </c>
      <c r="D78" s="5" t="str">
        <f t="shared" si="26"/>
        <v>itemText,dailCompTextCoronus,</v>
      </c>
      <c r="E78" s="5" t="str">
        <f t="shared" si="36"/>
        <v>augmentSkillLevel1,5,</v>
      </c>
      <c r="F78" s="5" t="str">
        <f t="shared" si="37"/>
        <v>augmentSkillName1,records/skills,</v>
      </c>
      <c r="G78" s="7" t="str">
        <f t="shared" si="32"/>
        <v/>
      </c>
      <c r="H78" s="8" t="str">
        <f t="shared" si="33"/>
        <v>Coronus</v>
      </c>
      <c r="J78" s="8" t="str">
        <f t="shared" si="34"/>
        <v>class0009</v>
      </c>
      <c r="K78" s="8" t="str">
        <f t="shared" si="34"/>
        <v>dailoneskill0009</v>
      </c>
      <c r="L78" s="5" t="str">
        <f t="shared" si="27"/>
        <v>lootName,DAIL/items/materia/class0009/Coronus.dbr,</v>
      </c>
      <c r="M78" s="5" t="str">
        <f t="shared" si="28"/>
        <v>lootWeight,1,</v>
      </c>
      <c r="N78" t="str">
        <f t="shared" si="29"/>
        <v>5</v>
      </c>
      <c r="O78" t="str">
        <f t="shared" si="38"/>
        <v/>
      </c>
      <c r="P78" t="str">
        <f t="shared" si="24"/>
        <v/>
      </c>
      <c r="Q78" t="str">
        <f t="shared" si="24"/>
        <v/>
      </c>
      <c r="R78" t="str">
        <f t="shared" si="24"/>
        <v/>
      </c>
      <c r="S78" t="str">
        <f t="shared" si="24"/>
        <v/>
      </c>
      <c r="T78" t="str">
        <f t="shared" si="24"/>
        <v/>
      </c>
      <c r="U78" t="str">
        <f t="shared" si="24"/>
        <v/>
      </c>
      <c r="V78" s="5" t="s">
        <v>36</v>
      </c>
      <c r="W78" t="str">
        <f t="shared" si="30"/>
        <v/>
      </c>
      <c r="X78" t="str">
        <f t="shared" si="30"/>
        <v/>
      </c>
      <c r="Y78" s="5" t="s">
        <v>36</v>
      </c>
      <c r="Z78" t="str">
        <f t="shared" si="31"/>
        <v/>
      </c>
      <c r="AA78" t="str">
        <f t="shared" si="39"/>
        <v/>
      </c>
      <c r="AB78" s="5" t="s">
        <v>36</v>
      </c>
      <c r="AH78">
        <f t="shared" si="41"/>
        <v>73</v>
      </c>
      <c r="AI78">
        <f t="shared" si="35"/>
        <v>0</v>
      </c>
      <c r="AJ78">
        <f t="shared" si="40"/>
        <v>5</v>
      </c>
    </row>
    <row r="79" spans="1:36" x14ac:dyDescent="0.25">
      <c r="A79" s="5" t="s">
        <v>39</v>
      </c>
      <c r="B79" s="5" t="s">
        <v>30</v>
      </c>
      <c r="C79" s="5" t="str">
        <f t="shared" si="25"/>
        <v>description,dailCompDescCoronus,</v>
      </c>
      <c r="D79" s="5" t="str">
        <f t="shared" si="26"/>
        <v>itemText,dailCompTextCoronus,</v>
      </c>
      <c r="E79" s="5" t="str">
        <f t="shared" si="36"/>
        <v>augmentSkillLevel1,5,</v>
      </c>
      <c r="F79" s="5" t="str">
        <f t="shared" si="37"/>
        <v>augmentSkillName1,records/skills,</v>
      </c>
      <c r="G79" s="7" t="str">
        <f t="shared" si="32"/>
        <v/>
      </c>
      <c r="H79" s="8" t="str">
        <f t="shared" si="33"/>
        <v>Coronus</v>
      </c>
      <c r="J79" s="8" t="str">
        <f t="shared" si="34"/>
        <v>class0009</v>
      </c>
      <c r="K79" s="8" t="str">
        <f t="shared" si="34"/>
        <v>dailoneskill0009</v>
      </c>
      <c r="L79" s="5" t="str">
        <f t="shared" si="27"/>
        <v>lootName,DAIL/items/materia/class0009/Coronus.dbr,</v>
      </c>
      <c r="M79" s="5" t="str">
        <f t="shared" si="28"/>
        <v>lootWeight,1,</v>
      </c>
      <c r="N79" t="str">
        <f t="shared" si="29"/>
        <v>5</v>
      </c>
      <c r="O79" t="str">
        <f t="shared" si="38"/>
        <v/>
      </c>
      <c r="P79" t="str">
        <f t="shared" si="24"/>
        <v/>
      </c>
      <c r="Q79" t="str">
        <f t="shared" si="24"/>
        <v/>
      </c>
      <c r="R79" t="str">
        <f t="shared" si="24"/>
        <v/>
      </c>
      <c r="S79" t="str">
        <f t="shared" si="24"/>
        <v/>
      </c>
      <c r="T79" t="str">
        <f t="shared" si="24"/>
        <v/>
      </c>
      <c r="U79" t="str">
        <f t="shared" si="24"/>
        <v/>
      </c>
      <c r="V79" s="5" t="s">
        <v>36</v>
      </c>
      <c r="W79" t="str">
        <f t="shared" si="30"/>
        <v/>
      </c>
      <c r="X79" t="str">
        <f t="shared" si="30"/>
        <v/>
      </c>
      <c r="Y79" s="5" t="s">
        <v>36</v>
      </c>
      <c r="Z79" t="str">
        <f t="shared" si="31"/>
        <v/>
      </c>
      <c r="AA79" t="str">
        <f t="shared" si="39"/>
        <v/>
      </c>
      <c r="AB79" s="5" t="s">
        <v>36</v>
      </c>
      <c r="AH79">
        <f t="shared" si="41"/>
        <v>74</v>
      </c>
      <c r="AI79">
        <f t="shared" si="35"/>
        <v>0</v>
      </c>
      <c r="AJ79">
        <f t="shared" si="40"/>
        <v>5</v>
      </c>
    </row>
    <row r="80" spans="1:36" x14ac:dyDescent="0.25">
      <c r="A80" s="5" t="s">
        <v>39</v>
      </c>
      <c r="B80" s="5" t="s">
        <v>30</v>
      </c>
      <c r="C80" s="5" t="str">
        <f t="shared" si="25"/>
        <v>description,dailCompDescCoronus,</v>
      </c>
      <c r="D80" s="5" t="str">
        <f t="shared" si="26"/>
        <v>itemText,dailCompTextCoronus,</v>
      </c>
      <c r="E80" s="5" t="str">
        <f t="shared" si="36"/>
        <v>augmentSkillLevel1,5,</v>
      </c>
      <c r="F80" s="5" t="str">
        <f t="shared" si="37"/>
        <v>augmentSkillName1,records/skills,</v>
      </c>
      <c r="G80" s="7" t="str">
        <f t="shared" si="32"/>
        <v/>
      </c>
      <c r="H80" s="8" t="str">
        <f t="shared" si="33"/>
        <v>Coronus</v>
      </c>
      <c r="J80" s="8" t="str">
        <f t="shared" si="34"/>
        <v>class0009</v>
      </c>
      <c r="K80" s="8" t="str">
        <f t="shared" si="34"/>
        <v>dailoneskill0009</v>
      </c>
      <c r="L80" s="5" t="str">
        <f t="shared" si="27"/>
        <v>lootName,DAIL/items/materia/class0009/Coronus.dbr,</v>
      </c>
      <c r="M80" s="5" t="str">
        <f t="shared" si="28"/>
        <v>lootWeight,1,</v>
      </c>
      <c r="N80" t="str">
        <f t="shared" si="29"/>
        <v>5</v>
      </c>
      <c r="O80" t="str">
        <f t="shared" si="38"/>
        <v/>
      </c>
      <c r="P80" t="str">
        <f t="shared" si="24"/>
        <v/>
      </c>
      <c r="Q80" t="str">
        <f t="shared" si="24"/>
        <v/>
      </c>
      <c r="R80" t="str">
        <f t="shared" si="24"/>
        <v/>
      </c>
      <c r="S80" t="str">
        <f t="shared" si="24"/>
        <v/>
      </c>
      <c r="T80" t="str">
        <f t="shared" si="24"/>
        <v/>
      </c>
      <c r="U80" t="str">
        <f t="shared" si="24"/>
        <v/>
      </c>
      <c r="V80" s="5" t="s">
        <v>36</v>
      </c>
      <c r="W80" t="str">
        <f t="shared" si="30"/>
        <v/>
      </c>
      <c r="X80" t="str">
        <f t="shared" si="30"/>
        <v/>
      </c>
      <c r="Y80" s="5" t="s">
        <v>36</v>
      </c>
      <c r="Z80" t="str">
        <f t="shared" si="31"/>
        <v/>
      </c>
      <c r="AA80" t="str">
        <f t="shared" si="39"/>
        <v/>
      </c>
      <c r="AB80" s="5" t="s">
        <v>36</v>
      </c>
      <c r="AH80">
        <f t="shared" si="41"/>
        <v>75</v>
      </c>
      <c r="AI80">
        <f t="shared" si="35"/>
        <v>0</v>
      </c>
      <c r="AJ80">
        <f t="shared" si="40"/>
        <v>5</v>
      </c>
    </row>
    <row r="81" spans="1:36" x14ac:dyDescent="0.25">
      <c r="A81" s="5" t="s">
        <v>39</v>
      </c>
      <c r="B81" s="5" t="s">
        <v>30</v>
      </c>
      <c r="C81" s="5" t="str">
        <f t="shared" si="25"/>
        <v>description,dailCompDescCoronus,</v>
      </c>
      <c r="D81" s="5" t="str">
        <f t="shared" si="26"/>
        <v>itemText,dailCompTextCoronus,</v>
      </c>
      <c r="E81" s="5" t="str">
        <f t="shared" si="36"/>
        <v>augmentSkillLevel1,5,</v>
      </c>
      <c r="F81" s="5" t="str">
        <f t="shared" si="37"/>
        <v>augmentSkillName1,records/skills,</v>
      </c>
      <c r="G81" s="7" t="str">
        <f t="shared" si="32"/>
        <v/>
      </c>
      <c r="H81" s="8" t="str">
        <f t="shared" si="33"/>
        <v>Coronus</v>
      </c>
      <c r="J81" s="8" t="str">
        <f t="shared" si="34"/>
        <v>class0009</v>
      </c>
      <c r="K81" s="8" t="str">
        <f t="shared" si="34"/>
        <v>dailoneskill0009</v>
      </c>
      <c r="L81" s="5" t="str">
        <f t="shared" si="27"/>
        <v>lootName,DAIL/items/materia/class0009/Coronus.dbr,</v>
      </c>
      <c r="M81" s="5" t="str">
        <f t="shared" si="28"/>
        <v>lootWeight,1,</v>
      </c>
      <c r="N81" t="str">
        <f t="shared" si="29"/>
        <v>5</v>
      </c>
      <c r="O81" t="str">
        <f t="shared" si="38"/>
        <v/>
      </c>
      <c r="P81" t="str">
        <f t="shared" si="24"/>
        <v/>
      </c>
      <c r="Q81" t="str">
        <f t="shared" si="24"/>
        <v/>
      </c>
      <c r="R81" t="str">
        <f t="shared" si="24"/>
        <v/>
      </c>
      <c r="S81" t="str">
        <f t="shared" si="24"/>
        <v/>
      </c>
      <c r="T81" t="str">
        <f t="shared" si="24"/>
        <v/>
      </c>
      <c r="U81" t="str">
        <f t="shared" si="24"/>
        <v/>
      </c>
      <c r="V81" s="5" t="s">
        <v>36</v>
      </c>
      <c r="W81" t="str">
        <f t="shared" si="30"/>
        <v/>
      </c>
      <c r="X81" t="str">
        <f t="shared" si="30"/>
        <v/>
      </c>
      <c r="Y81" s="5" t="s">
        <v>36</v>
      </c>
      <c r="Z81" t="str">
        <f t="shared" si="31"/>
        <v/>
      </c>
      <c r="AA81" t="str">
        <f t="shared" si="39"/>
        <v/>
      </c>
      <c r="AB81" s="5" t="s">
        <v>36</v>
      </c>
      <c r="AH81">
        <f t="shared" si="41"/>
        <v>76</v>
      </c>
      <c r="AI81">
        <f t="shared" si="35"/>
        <v>0</v>
      </c>
      <c r="AJ81">
        <f t="shared" si="40"/>
        <v>5</v>
      </c>
    </row>
    <row r="82" spans="1:36" x14ac:dyDescent="0.25">
      <c r="A82" s="5" t="s">
        <v>39</v>
      </c>
      <c r="B82" s="5" t="s">
        <v>30</v>
      </c>
      <c r="C82" s="5" t="str">
        <f t="shared" si="25"/>
        <v>description,dailCompDescCoronus,</v>
      </c>
      <c r="D82" s="5" t="str">
        <f t="shared" si="26"/>
        <v>itemText,dailCompTextCoronus,</v>
      </c>
      <c r="E82" s="5" t="str">
        <f t="shared" si="36"/>
        <v>augmentSkillLevel1,5,</v>
      </c>
      <c r="F82" s="5" t="str">
        <f t="shared" si="37"/>
        <v>augmentSkillName1,records/skills,</v>
      </c>
      <c r="G82" s="7" t="str">
        <f t="shared" si="32"/>
        <v/>
      </c>
      <c r="H82" s="8" t="str">
        <f t="shared" si="33"/>
        <v>Coronus</v>
      </c>
      <c r="J82" s="8" t="str">
        <f t="shared" si="34"/>
        <v>class0009</v>
      </c>
      <c r="K82" s="8" t="str">
        <f t="shared" si="34"/>
        <v>dailoneskill0009</v>
      </c>
      <c r="L82" s="5" t="str">
        <f t="shared" si="27"/>
        <v>lootName,DAIL/items/materia/class0009/Coronus.dbr,</v>
      </c>
      <c r="M82" s="5" t="str">
        <f t="shared" si="28"/>
        <v>lootWeight,1,</v>
      </c>
      <c r="N82" t="str">
        <f t="shared" si="29"/>
        <v>5</v>
      </c>
      <c r="O82" t="str">
        <f t="shared" si="38"/>
        <v/>
      </c>
      <c r="P82" t="str">
        <f t="shared" si="24"/>
        <v/>
      </c>
      <c r="Q82" t="str">
        <f t="shared" si="24"/>
        <v/>
      </c>
      <c r="R82" t="str">
        <f t="shared" si="24"/>
        <v/>
      </c>
      <c r="S82" t="str">
        <f t="shared" si="24"/>
        <v/>
      </c>
      <c r="T82" t="str">
        <f t="shared" si="24"/>
        <v/>
      </c>
      <c r="U82" t="str">
        <f t="shared" si="24"/>
        <v/>
      </c>
      <c r="V82" s="5" t="s">
        <v>36</v>
      </c>
      <c r="W82" t="str">
        <f t="shared" si="30"/>
        <v/>
      </c>
      <c r="X82" t="str">
        <f t="shared" si="30"/>
        <v/>
      </c>
      <c r="Y82" s="5" t="s">
        <v>36</v>
      </c>
      <c r="Z82" t="str">
        <f t="shared" si="31"/>
        <v/>
      </c>
      <c r="AA82" t="str">
        <f t="shared" si="39"/>
        <v/>
      </c>
      <c r="AB82" s="5" t="s">
        <v>36</v>
      </c>
      <c r="AH82">
        <f t="shared" si="41"/>
        <v>77</v>
      </c>
      <c r="AI82">
        <f t="shared" si="35"/>
        <v>0</v>
      </c>
      <c r="AJ82">
        <f t="shared" si="40"/>
        <v>5</v>
      </c>
    </row>
    <row r="83" spans="1:36" x14ac:dyDescent="0.25">
      <c r="A83" s="5" t="s">
        <v>39</v>
      </c>
      <c r="B83" s="5" t="s">
        <v>30</v>
      </c>
      <c r="C83" s="5" t="str">
        <f t="shared" si="25"/>
        <v>description,dailCompDescCoronus,</v>
      </c>
      <c r="D83" s="5" t="str">
        <f t="shared" si="26"/>
        <v>itemText,dailCompTextCoronus,</v>
      </c>
      <c r="E83" s="5" t="str">
        <f t="shared" si="36"/>
        <v>augmentSkillLevel1,5,</v>
      </c>
      <c r="F83" s="5" t="str">
        <f t="shared" si="37"/>
        <v>augmentSkillName1,records/skills,</v>
      </c>
      <c r="G83" s="7" t="str">
        <f t="shared" si="32"/>
        <v/>
      </c>
      <c r="H83" s="8" t="str">
        <f t="shared" si="33"/>
        <v>Coronus</v>
      </c>
      <c r="J83" s="8" t="str">
        <f t="shared" si="34"/>
        <v>class0009</v>
      </c>
      <c r="K83" s="8" t="str">
        <f t="shared" si="34"/>
        <v>dailoneskill0009</v>
      </c>
      <c r="L83" s="5" t="str">
        <f t="shared" si="27"/>
        <v>lootName,DAIL/items/materia/class0009/Coronus.dbr,</v>
      </c>
      <c r="M83" s="5" t="str">
        <f t="shared" si="28"/>
        <v>lootWeight,1,</v>
      </c>
      <c r="N83" t="str">
        <f t="shared" si="29"/>
        <v>5</v>
      </c>
      <c r="O83" t="str">
        <f t="shared" si="38"/>
        <v/>
      </c>
      <c r="P83" t="str">
        <f t="shared" si="24"/>
        <v/>
      </c>
      <c r="Q83" t="str">
        <f t="shared" si="24"/>
        <v/>
      </c>
      <c r="R83" t="str">
        <f t="shared" si="24"/>
        <v/>
      </c>
      <c r="S83" t="str">
        <f t="shared" si="24"/>
        <v/>
      </c>
      <c r="T83" t="str">
        <f t="shared" si="24"/>
        <v/>
      </c>
      <c r="U83" t="str">
        <f t="shared" si="24"/>
        <v/>
      </c>
      <c r="V83" s="5" t="s">
        <v>36</v>
      </c>
      <c r="W83" t="str">
        <f t="shared" si="30"/>
        <v/>
      </c>
      <c r="X83" t="str">
        <f t="shared" si="30"/>
        <v/>
      </c>
      <c r="Y83" s="5" t="s">
        <v>36</v>
      </c>
      <c r="Z83" t="str">
        <f t="shared" si="31"/>
        <v/>
      </c>
      <c r="AA83" t="str">
        <f t="shared" si="39"/>
        <v/>
      </c>
      <c r="AB83" s="5" t="s">
        <v>36</v>
      </c>
      <c r="AH83">
        <f t="shared" si="41"/>
        <v>78</v>
      </c>
      <c r="AI83">
        <f t="shared" si="35"/>
        <v>0</v>
      </c>
      <c r="AJ83">
        <f t="shared" si="40"/>
        <v>5</v>
      </c>
    </row>
    <row r="84" spans="1:36" x14ac:dyDescent="0.25">
      <c r="A84" s="5" t="s">
        <v>39</v>
      </c>
      <c r="B84" s="5" t="s">
        <v>30</v>
      </c>
      <c r="C84" s="5" t="str">
        <f t="shared" si="25"/>
        <v>description,dailCompDescCoronus,</v>
      </c>
      <c r="D84" s="5" t="str">
        <f t="shared" si="26"/>
        <v>itemText,dailCompTextCoronus,</v>
      </c>
      <c r="E84" s="5" t="str">
        <f t="shared" si="36"/>
        <v>augmentSkillLevel1,5,</v>
      </c>
      <c r="F84" s="5" t="str">
        <f t="shared" si="37"/>
        <v>augmentSkillName1,records/skills,</v>
      </c>
      <c r="G84" s="7" t="str">
        <f t="shared" si="32"/>
        <v/>
      </c>
      <c r="H84" s="8" t="str">
        <f t="shared" si="33"/>
        <v>Coronus</v>
      </c>
      <c r="J84" s="8" t="str">
        <f t="shared" si="34"/>
        <v>class0009</v>
      </c>
      <c r="K84" s="8" t="str">
        <f t="shared" si="34"/>
        <v>dailoneskill0009</v>
      </c>
      <c r="L84" s="5" t="str">
        <f t="shared" si="27"/>
        <v>lootName,DAIL/items/materia/class0009/Coronus.dbr,</v>
      </c>
      <c r="M84" s="5" t="str">
        <f t="shared" si="28"/>
        <v>lootWeight,1,</v>
      </c>
      <c r="N84" t="str">
        <f t="shared" si="29"/>
        <v>5</v>
      </c>
      <c r="O84" t="str">
        <f t="shared" si="38"/>
        <v/>
      </c>
      <c r="P84" t="str">
        <f t="shared" si="24"/>
        <v/>
      </c>
      <c r="Q84" t="str">
        <f t="shared" si="24"/>
        <v/>
      </c>
      <c r="R84" t="str">
        <f t="shared" si="24"/>
        <v/>
      </c>
      <c r="S84" t="str">
        <f t="shared" si="24"/>
        <v/>
      </c>
      <c r="T84" t="str">
        <f t="shared" si="24"/>
        <v/>
      </c>
      <c r="U84" t="str">
        <f t="shared" si="24"/>
        <v/>
      </c>
      <c r="V84" s="5" t="s">
        <v>36</v>
      </c>
      <c r="W84" t="str">
        <f t="shared" si="30"/>
        <v/>
      </c>
      <c r="X84" t="str">
        <f t="shared" si="30"/>
        <v/>
      </c>
      <c r="Y84" s="5" t="s">
        <v>36</v>
      </c>
      <c r="Z84" t="str">
        <f t="shared" si="31"/>
        <v/>
      </c>
      <c r="AA84" t="str">
        <f t="shared" si="39"/>
        <v/>
      </c>
      <c r="AB84" s="5" t="s">
        <v>36</v>
      </c>
      <c r="AH84">
        <f t="shared" si="41"/>
        <v>79</v>
      </c>
      <c r="AI84">
        <f t="shared" si="35"/>
        <v>0</v>
      </c>
      <c r="AJ84">
        <f t="shared" si="40"/>
        <v>5</v>
      </c>
    </row>
    <row r="85" spans="1:36" x14ac:dyDescent="0.25">
      <c r="A85" s="5" t="s">
        <v>39</v>
      </c>
      <c r="B85" s="5" t="s">
        <v>30</v>
      </c>
      <c r="C85" s="5" t="str">
        <f t="shared" si="25"/>
        <v>description,dailCompDescCoronus,</v>
      </c>
      <c r="D85" s="5" t="str">
        <f t="shared" si="26"/>
        <v>itemText,dailCompTextCoronus,</v>
      </c>
      <c r="E85" s="5" t="str">
        <f t="shared" si="36"/>
        <v>augmentSkillLevel1,5,</v>
      </c>
      <c r="F85" s="5" t="str">
        <f t="shared" si="37"/>
        <v>augmentSkillName1,records/skills,</v>
      </c>
      <c r="G85" s="7" t="str">
        <f t="shared" si="32"/>
        <v/>
      </c>
      <c r="H85" s="8" t="str">
        <f t="shared" si="33"/>
        <v>Coronus</v>
      </c>
      <c r="J85" s="8" t="str">
        <f t="shared" ref="J85:K100" si="42">J84</f>
        <v>class0009</v>
      </c>
      <c r="K85" s="8" t="str">
        <f t="shared" si="42"/>
        <v>dailoneskill0009</v>
      </c>
      <c r="L85" s="5" t="str">
        <f t="shared" si="27"/>
        <v>lootName,DAIL/items/materia/class0009/Coronus.dbr,</v>
      </c>
      <c r="M85" s="5" t="str">
        <f t="shared" si="28"/>
        <v>lootWeight,1,</v>
      </c>
      <c r="N85" t="str">
        <f t="shared" si="29"/>
        <v>5</v>
      </c>
      <c r="O85" t="str">
        <f t="shared" si="38"/>
        <v/>
      </c>
      <c r="P85" t="str">
        <f t="shared" si="24"/>
        <v/>
      </c>
      <c r="Q85" t="str">
        <f t="shared" si="24"/>
        <v/>
      </c>
      <c r="R85" t="str">
        <f t="shared" si="24"/>
        <v/>
      </c>
      <c r="S85" t="str">
        <f t="shared" si="24"/>
        <v/>
      </c>
      <c r="T85" t="str">
        <f t="shared" si="24"/>
        <v/>
      </c>
      <c r="U85" t="str">
        <f t="shared" si="24"/>
        <v/>
      </c>
      <c r="V85" s="5" t="s">
        <v>36</v>
      </c>
      <c r="W85" t="str">
        <f t="shared" si="30"/>
        <v/>
      </c>
      <c r="X85" t="str">
        <f t="shared" si="30"/>
        <v/>
      </c>
      <c r="Y85" s="5" t="s">
        <v>36</v>
      </c>
      <c r="Z85" t="str">
        <f t="shared" si="31"/>
        <v/>
      </c>
      <c r="AA85" t="str">
        <f t="shared" si="39"/>
        <v/>
      </c>
      <c r="AB85" s="5" t="s">
        <v>36</v>
      </c>
      <c r="AH85">
        <f t="shared" si="41"/>
        <v>80</v>
      </c>
      <c r="AI85">
        <f t="shared" si="35"/>
        <v>0</v>
      </c>
      <c r="AJ85">
        <f t="shared" si="40"/>
        <v>5</v>
      </c>
    </row>
    <row r="86" spans="1:36" x14ac:dyDescent="0.25">
      <c r="A86" s="5" t="s">
        <v>39</v>
      </c>
      <c r="B86" s="5" t="s">
        <v>30</v>
      </c>
      <c r="C86" s="5" t="str">
        <f t="shared" si="25"/>
        <v>description,dailCompDescCoronus,</v>
      </c>
      <c r="D86" s="5" t="str">
        <f t="shared" si="26"/>
        <v>itemText,dailCompTextCoronus,</v>
      </c>
      <c r="E86" s="5" t="str">
        <f t="shared" si="36"/>
        <v>augmentSkillLevel1,5,</v>
      </c>
      <c r="F86" s="5" t="str">
        <f t="shared" si="37"/>
        <v>augmentSkillName1,records/skills,</v>
      </c>
      <c r="G86" s="7" t="str">
        <f t="shared" si="32"/>
        <v/>
      </c>
      <c r="H86" s="8" t="str">
        <f t="shared" si="33"/>
        <v>Coronus</v>
      </c>
      <c r="J86" s="8" t="str">
        <f t="shared" si="42"/>
        <v>class0009</v>
      </c>
      <c r="K86" s="8" t="str">
        <f t="shared" si="42"/>
        <v>dailoneskill0009</v>
      </c>
      <c r="L86" s="5" t="str">
        <f t="shared" si="27"/>
        <v>lootName,DAIL/items/materia/class0009/Coronus.dbr,</v>
      </c>
      <c r="M86" s="5" t="str">
        <f t="shared" si="28"/>
        <v>lootWeight,1,</v>
      </c>
      <c r="N86" t="str">
        <f t="shared" si="29"/>
        <v>5</v>
      </c>
      <c r="O86" t="str">
        <f t="shared" si="38"/>
        <v/>
      </c>
      <c r="P86" t="str">
        <f t="shared" si="24"/>
        <v/>
      </c>
      <c r="Q86" t="str">
        <f t="shared" si="24"/>
        <v/>
      </c>
      <c r="R86" t="str">
        <f t="shared" si="24"/>
        <v/>
      </c>
      <c r="S86" t="str">
        <f t="shared" si="24"/>
        <v/>
      </c>
      <c r="T86" t="str">
        <f t="shared" si="24"/>
        <v/>
      </c>
      <c r="U86" t="str">
        <f t="shared" si="24"/>
        <v/>
      </c>
      <c r="V86" s="5" t="s">
        <v>36</v>
      </c>
      <c r="W86" t="str">
        <f t="shared" si="30"/>
        <v/>
      </c>
      <c r="X86" t="str">
        <f t="shared" si="30"/>
        <v/>
      </c>
      <c r="Y86" s="5" t="s">
        <v>36</v>
      </c>
      <c r="Z86" t="str">
        <f t="shared" si="31"/>
        <v/>
      </c>
      <c r="AA86" t="str">
        <f t="shared" si="39"/>
        <v/>
      </c>
      <c r="AB86" s="5" t="s">
        <v>36</v>
      </c>
      <c r="AH86">
        <f t="shared" si="41"/>
        <v>81</v>
      </c>
      <c r="AI86">
        <f t="shared" si="35"/>
        <v>0</v>
      </c>
      <c r="AJ86">
        <f t="shared" si="40"/>
        <v>5</v>
      </c>
    </row>
    <row r="87" spans="1:36" x14ac:dyDescent="0.25">
      <c r="A87" s="5" t="s">
        <v>39</v>
      </c>
      <c r="B87" s="5" t="s">
        <v>30</v>
      </c>
      <c r="C87" s="5" t="str">
        <f t="shared" si="25"/>
        <v>description,dailCompDescCoronus,</v>
      </c>
      <c r="D87" s="5" t="str">
        <f t="shared" si="26"/>
        <v>itemText,dailCompTextCoronus,</v>
      </c>
      <c r="E87" s="5" t="str">
        <f t="shared" si="36"/>
        <v>augmentSkillLevel1,5,</v>
      </c>
      <c r="F87" s="5" t="str">
        <f t="shared" si="37"/>
        <v>augmentSkillName1,records/skills,</v>
      </c>
      <c r="G87" s="7" t="str">
        <f t="shared" si="32"/>
        <v/>
      </c>
      <c r="H87" s="8" t="str">
        <f t="shared" si="33"/>
        <v>Coronus</v>
      </c>
      <c r="J87" s="8" t="str">
        <f t="shared" si="42"/>
        <v>class0009</v>
      </c>
      <c r="K87" s="8" t="str">
        <f t="shared" si="42"/>
        <v>dailoneskill0009</v>
      </c>
      <c r="L87" s="5" t="str">
        <f t="shared" si="27"/>
        <v>lootName,DAIL/items/materia/class0009/Coronus.dbr,</v>
      </c>
      <c r="M87" s="5" t="str">
        <f t="shared" si="28"/>
        <v>lootWeight,1,</v>
      </c>
      <c r="N87" t="str">
        <f t="shared" si="29"/>
        <v>5</v>
      </c>
      <c r="O87" t="str">
        <f t="shared" si="38"/>
        <v/>
      </c>
      <c r="P87" t="str">
        <f t="shared" si="24"/>
        <v/>
      </c>
      <c r="Q87" t="str">
        <f t="shared" si="24"/>
        <v/>
      </c>
      <c r="R87" t="str">
        <f t="shared" si="24"/>
        <v/>
      </c>
      <c r="S87" t="str">
        <f t="shared" si="24"/>
        <v/>
      </c>
      <c r="T87" t="str">
        <f t="shared" si="24"/>
        <v/>
      </c>
      <c r="U87" t="str">
        <f t="shared" si="24"/>
        <v/>
      </c>
      <c r="V87" s="5" t="s">
        <v>36</v>
      </c>
      <c r="W87" t="str">
        <f t="shared" si="30"/>
        <v/>
      </c>
      <c r="X87" t="str">
        <f t="shared" si="30"/>
        <v/>
      </c>
      <c r="Y87" s="5" t="s">
        <v>36</v>
      </c>
      <c r="Z87" t="str">
        <f t="shared" si="31"/>
        <v/>
      </c>
      <c r="AA87" t="str">
        <f t="shared" si="39"/>
        <v/>
      </c>
      <c r="AB87" s="5" t="s">
        <v>36</v>
      </c>
      <c r="AH87">
        <f t="shared" si="41"/>
        <v>82</v>
      </c>
      <c r="AI87">
        <f t="shared" si="35"/>
        <v>0</v>
      </c>
      <c r="AJ87">
        <f t="shared" si="40"/>
        <v>5</v>
      </c>
    </row>
    <row r="88" spans="1:36" x14ac:dyDescent="0.25">
      <c r="A88" s="5" t="s">
        <v>39</v>
      </c>
      <c r="B88" s="5" t="s">
        <v>30</v>
      </c>
      <c r="C88" s="5" t="str">
        <f t="shared" si="25"/>
        <v>description,dailCompDescCoronus,</v>
      </c>
      <c r="D88" s="5" t="str">
        <f t="shared" si="26"/>
        <v>itemText,dailCompTextCoronus,</v>
      </c>
      <c r="E88" s="5" t="str">
        <f t="shared" si="36"/>
        <v>augmentSkillLevel1,5,</v>
      </c>
      <c r="F88" s="5" t="str">
        <f t="shared" si="37"/>
        <v>augmentSkillName1,records/skills,</v>
      </c>
      <c r="G88" s="7" t="str">
        <f t="shared" si="32"/>
        <v/>
      </c>
      <c r="H88" s="8" t="str">
        <f t="shared" si="33"/>
        <v>Coronus</v>
      </c>
      <c r="J88" s="8" t="str">
        <f t="shared" si="42"/>
        <v>class0009</v>
      </c>
      <c r="K88" s="8" t="str">
        <f t="shared" si="42"/>
        <v>dailoneskill0009</v>
      </c>
      <c r="L88" s="5" t="str">
        <f t="shared" si="27"/>
        <v>lootName,DAIL/items/materia/class0009/Coronus.dbr,</v>
      </c>
      <c r="M88" s="5" t="str">
        <f t="shared" si="28"/>
        <v>lootWeight,1,</v>
      </c>
      <c r="N88" t="str">
        <f t="shared" si="29"/>
        <v>5</v>
      </c>
      <c r="O88" t="str">
        <f t="shared" si="38"/>
        <v/>
      </c>
      <c r="P88" t="str">
        <f t="shared" si="24"/>
        <v/>
      </c>
      <c r="Q88" t="str">
        <f t="shared" si="24"/>
        <v/>
      </c>
      <c r="R88" t="str">
        <f t="shared" si="24"/>
        <v/>
      </c>
      <c r="S88" t="str">
        <f t="shared" si="24"/>
        <v/>
      </c>
      <c r="T88" t="str">
        <f t="shared" si="24"/>
        <v/>
      </c>
      <c r="U88" t="str">
        <f t="shared" si="24"/>
        <v/>
      </c>
      <c r="V88" s="5" t="s">
        <v>36</v>
      </c>
      <c r="W88" t="str">
        <f t="shared" si="30"/>
        <v/>
      </c>
      <c r="X88" t="str">
        <f t="shared" si="30"/>
        <v/>
      </c>
      <c r="Y88" s="5" t="s">
        <v>36</v>
      </c>
      <c r="Z88" t="str">
        <f t="shared" si="31"/>
        <v/>
      </c>
      <c r="AA88" t="str">
        <f t="shared" si="39"/>
        <v/>
      </c>
      <c r="AB88" s="5" t="s">
        <v>36</v>
      </c>
      <c r="AH88">
        <f t="shared" si="41"/>
        <v>83</v>
      </c>
      <c r="AI88">
        <f t="shared" si="35"/>
        <v>0</v>
      </c>
      <c r="AJ88">
        <f t="shared" si="40"/>
        <v>5</v>
      </c>
    </row>
    <row r="89" spans="1:36" x14ac:dyDescent="0.25">
      <c r="A89" s="5" t="s">
        <v>39</v>
      </c>
      <c r="B89" s="5" t="s">
        <v>30</v>
      </c>
      <c r="C89" s="5" t="str">
        <f t="shared" si="25"/>
        <v>description,dailCompDescCoronus,</v>
      </c>
      <c r="D89" s="5" t="str">
        <f t="shared" si="26"/>
        <v>itemText,dailCompTextCoronus,</v>
      </c>
      <c r="E89" s="5" t="str">
        <f t="shared" si="36"/>
        <v>augmentSkillLevel1,5,</v>
      </c>
      <c r="F89" s="5" t="str">
        <f t="shared" si="37"/>
        <v>augmentSkillName1,records/skills,</v>
      </c>
      <c r="G89" s="7" t="str">
        <f t="shared" si="32"/>
        <v/>
      </c>
      <c r="H89" s="8" t="str">
        <f t="shared" si="33"/>
        <v>Coronus</v>
      </c>
      <c r="J89" s="8" t="str">
        <f t="shared" si="42"/>
        <v>class0009</v>
      </c>
      <c r="K89" s="8" t="str">
        <f t="shared" si="42"/>
        <v>dailoneskill0009</v>
      </c>
      <c r="L89" s="5" t="str">
        <f t="shared" si="27"/>
        <v>lootName,DAIL/items/materia/class0009/Coronus.dbr,</v>
      </c>
      <c r="M89" s="5" t="str">
        <f t="shared" si="28"/>
        <v>lootWeight,1,</v>
      </c>
      <c r="N89" t="str">
        <f t="shared" si="29"/>
        <v>5</v>
      </c>
      <c r="O89" t="str">
        <f t="shared" si="38"/>
        <v/>
      </c>
      <c r="P89" t="str">
        <f t="shared" si="24"/>
        <v/>
      </c>
      <c r="Q89" t="str">
        <f t="shared" si="24"/>
        <v/>
      </c>
      <c r="R89" t="str">
        <f t="shared" si="24"/>
        <v/>
      </c>
      <c r="S89" t="str">
        <f t="shared" si="24"/>
        <v/>
      </c>
      <c r="T89" t="str">
        <f t="shared" si="24"/>
        <v/>
      </c>
      <c r="U89" t="str">
        <f t="shared" si="24"/>
        <v/>
      </c>
      <c r="V89" s="5" t="s">
        <v>36</v>
      </c>
      <c r="W89" t="str">
        <f t="shared" si="30"/>
        <v/>
      </c>
      <c r="X89" t="str">
        <f t="shared" si="30"/>
        <v/>
      </c>
      <c r="Y89" s="5" t="s">
        <v>36</v>
      </c>
      <c r="Z89" t="str">
        <f t="shared" si="31"/>
        <v/>
      </c>
      <c r="AA89" t="str">
        <f t="shared" si="39"/>
        <v/>
      </c>
      <c r="AB89" s="5" t="s">
        <v>36</v>
      </c>
      <c r="AH89">
        <f t="shared" si="41"/>
        <v>84</v>
      </c>
      <c r="AI89">
        <f t="shared" si="35"/>
        <v>0</v>
      </c>
      <c r="AJ89">
        <f t="shared" si="40"/>
        <v>5</v>
      </c>
    </row>
    <row r="90" spans="1:36" x14ac:dyDescent="0.25">
      <c r="A90" s="5" t="s">
        <v>39</v>
      </c>
      <c r="B90" s="5" t="s">
        <v>30</v>
      </c>
      <c r="C90" s="5" t="str">
        <f t="shared" si="25"/>
        <v>description,dailCompDescCoronus,</v>
      </c>
      <c r="D90" s="5" t="str">
        <f t="shared" si="26"/>
        <v>itemText,dailCompTextCoronus,</v>
      </c>
      <c r="E90" s="5" t="str">
        <f t="shared" si="36"/>
        <v>augmentSkillLevel1,5,</v>
      </c>
      <c r="F90" s="5" t="str">
        <f t="shared" si="37"/>
        <v>augmentSkillName1,records/skills,</v>
      </c>
      <c r="G90" s="7" t="str">
        <f t="shared" si="32"/>
        <v/>
      </c>
      <c r="H90" s="8" t="str">
        <f t="shared" si="33"/>
        <v>Coronus</v>
      </c>
      <c r="J90" s="8" t="str">
        <f t="shared" si="42"/>
        <v>class0009</v>
      </c>
      <c r="K90" s="8" t="str">
        <f t="shared" si="42"/>
        <v>dailoneskill0009</v>
      </c>
      <c r="L90" s="5" t="str">
        <f t="shared" si="27"/>
        <v>lootName,DAIL/items/materia/class0009/Coronus.dbr,</v>
      </c>
      <c r="M90" s="5" t="str">
        <f t="shared" si="28"/>
        <v>lootWeight,1,</v>
      </c>
      <c r="N90" t="str">
        <f t="shared" si="29"/>
        <v>5</v>
      </c>
      <c r="O90" t="str">
        <f t="shared" si="38"/>
        <v/>
      </c>
      <c r="P90" t="str">
        <f t="shared" si="24"/>
        <v/>
      </c>
      <c r="Q90" t="str">
        <f t="shared" si="24"/>
        <v/>
      </c>
      <c r="R90" t="str">
        <f t="shared" si="24"/>
        <v/>
      </c>
      <c r="S90" t="str">
        <f t="shared" si="24"/>
        <v/>
      </c>
      <c r="T90" t="str">
        <f t="shared" si="24"/>
        <v/>
      </c>
      <c r="U90" t="str">
        <f t="shared" si="24"/>
        <v/>
      </c>
      <c r="V90" s="5" t="s">
        <v>36</v>
      </c>
      <c r="W90" t="str">
        <f t="shared" si="30"/>
        <v/>
      </c>
      <c r="X90" t="str">
        <f t="shared" si="30"/>
        <v/>
      </c>
      <c r="Y90" s="5" t="s">
        <v>36</v>
      </c>
      <c r="Z90" t="str">
        <f t="shared" si="31"/>
        <v/>
      </c>
      <c r="AA90" t="str">
        <f t="shared" si="39"/>
        <v/>
      </c>
      <c r="AB90" s="5" t="s">
        <v>36</v>
      </c>
      <c r="AH90">
        <f t="shared" si="41"/>
        <v>85</v>
      </c>
      <c r="AI90">
        <f t="shared" si="35"/>
        <v>0</v>
      </c>
      <c r="AJ90">
        <f t="shared" si="40"/>
        <v>5</v>
      </c>
    </row>
    <row r="91" spans="1:36" x14ac:dyDescent="0.25">
      <c r="A91" s="5" t="s">
        <v>39</v>
      </c>
      <c r="B91" s="5" t="s">
        <v>30</v>
      </c>
      <c r="C91" s="5" t="str">
        <f t="shared" si="25"/>
        <v>description,dailCompDescCoronus,</v>
      </c>
      <c r="D91" s="5" t="str">
        <f t="shared" si="26"/>
        <v>itemText,dailCompTextCoronus,</v>
      </c>
      <c r="E91" s="5" t="str">
        <f t="shared" si="36"/>
        <v>augmentSkillLevel1,5,</v>
      </c>
      <c r="F91" s="5" t="str">
        <f t="shared" si="37"/>
        <v>augmentSkillName1,records/skills,</v>
      </c>
      <c r="G91" s="7" t="str">
        <f t="shared" si="32"/>
        <v/>
      </c>
      <c r="H91" s="8" t="str">
        <f t="shared" si="33"/>
        <v>Coronus</v>
      </c>
      <c r="J91" s="8" t="str">
        <f t="shared" si="42"/>
        <v>class0009</v>
      </c>
      <c r="K91" s="8" t="str">
        <f t="shared" si="42"/>
        <v>dailoneskill0009</v>
      </c>
      <c r="L91" s="5" t="str">
        <f t="shared" si="27"/>
        <v>lootName,DAIL/items/materia/class0009/Coronus.dbr,</v>
      </c>
      <c r="M91" s="5" t="str">
        <f t="shared" si="28"/>
        <v>lootWeight,1,</v>
      </c>
      <c r="N91" t="str">
        <f t="shared" si="29"/>
        <v>5</v>
      </c>
      <c r="O91" t="str">
        <f t="shared" si="38"/>
        <v/>
      </c>
      <c r="P91" t="str">
        <f t="shared" si="24"/>
        <v/>
      </c>
      <c r="Q91" t="str">
        <f t="shared" si="24"/>
        <v/>
      </c>
      <c r="R91" t="str">
        <f t="shared" si="24"/>
        <v/>
      </c>
      <c r="S91" t="str">
        <f t="shared" si="24"/>
        <v/>
      </c>
      <c r="T91" t="str">
        <f t="shared" si="24"/>
        <v/>
      </c>
      <c r="U91" t="str">
        <f t="shared" si="24"/>
        <v/>
      </c>
      <c r="V91" s="5" t="s">
        <v>36</v>
      </c>
      <c r="W91" t="str">
        <f t="shared" si="30"/>
        <v/>
      </c>
      <c r="X91" t="str">
        <f t="shared" si="30"/>
        <v/>
      </c>
      <c r="Y91" s="5" t="s">
        <v>36</v>
      </c>
      <c r="Z91" t="str">
        <f t="shared" si="31"/>
        <v/>
      </c>
      <c r="AA91" t="str">
        <f t="shared" si="39"/>
        <v/>
      </c>
      <c r="AB91" s="5" t="s">
        <v>36</v>
      </c>
      <c r="AH91">
        <f t="shared" si="41"/>
        <v>86</v>
      </c>
      <c r="AI91">
        <f t="shared" si="35"/>
        <v>0</v>
      </c>
      <c r="AJ91">
        <f t="shared" si="40"/>
        <v>5</v>
      </c>
    </row>
    <row r="92" spans="1:36" x14ac:dyDescent="0.25">
      <c r="A92" s="5" t="s">
        <v>39</v>
      </c>
      <c r="B92" s="5" t="s">
        <v>30</v>
      </c>
      <c r="C92" s="5" t="str">
        <f t="shared" si="25"/>
        <v>description,dailCompDescCoronus,</v>
      </c>
      <c r="D92" s="5" t="str">
        <f t="shared" si="26"/>
        <v>itemText,dailCompTextCoronus,</v>
      </c>
      <c r="E92" s="5" t="str">
        <f t="shared" si="36"/>
        <v>augmentSkillLevel1,5,</v>
      </c>
      <c r="F92" s="5" t="str">
        <f t="shared" si="37"/>
        <v>augmentSkillName1,records/skills,</v>
      </c>
      <c r="G92" s="7" t="str">
        <f t="shared" si="32"/>
        <v/>
      </c>
      <c r="H92" s="8" t="str">
        <f t="shared" si="33"/>
        <v>Coronus</v>
      </c>
      <c r="J92" s="8" t="str">
        <f t="shared" si="42"/>
        <v>class0009</v>
      </c>
      <c r="K92" s="8" t="str">
        <f t="shared" si="42"/>
        <v>dailoneskill0009</v>
      </c>
      <c r="L92" s="5" t="str">
        <f t="shared" si="27"/>
        <v>lootName,DAIL/items/materia/class0009/Coronus.dbr,</v>
      </c>
      <c r="M92" s="5" t="str">
        <f t="shared" si="28"/>
        <v>lootWeight,1,</v>
      </c>
      <c r="N92" t="str">
        <f t="shared" si="29"/>
        <v>5</v>
      </c>
      <c r="O92" t="str">
        <f t="shared" si="38"/>
        <v/>
      </c>
      <c r="P92" t="str">
        <f t="shared" si="24"/>
        <v/>
      </c>
      <c r="Q92" t="str">
        <f t="shared" si="24"/>
        <v/>
      </c>
      <c r="R92" t="str">
        <f t="shared" si="24"/>
        <v/>
      </c>
      <c r="S92" t="str">
        <f t="shared" si="24"/>
        <v/>
      </c>
      <c r="T92" t="str">
        <f t="shared" si="24"/>
        <v/>
      </c>
      <c r="U92" t="str">
        <f t="shared" si="24"/>
        <v/>
      </c>
      <c r="V92" s="5" t="s">
        <v>36</v>
      </c>
      <c r="W92" t="str">
        <f t="shared" si="30"/>
        <v/>
      </c>
      <c r="X92" t="str">
        <f t="shared" si="30"/>
        <v/>
      </c>
      <c r="Y92" s="5" t="s">
        <v>36</v>
      </c>
      <c r="Z92" t="str">
        <f t="shared" si="31"/>
        <v/>
      </c>
      <c r="AA92" t="str">
        <f t="shared" si="39"/>
        <v/>
      </c>
      <c r="AB92" s="5" t="s">
        <v>36</v>
      </c>
      <c r="AH92">
        <f t="shared" si="41"/>
        <v>87</v>
      </c>
      <c r="AI92">
        <f t="shared" si="35"/>
        <v>0</v>
      </c>
      <c r="AJ92">
        <f t="shared" si="40"/>
        <v>5</v>
      </c>
    </row>
    <row r="93" spans="1:36" x14ac:dyDescent="0.25">
      <c r="A93" s="5" t="s">
        <v>39</v>
      </c>
      <c r="B93" s="5" t="s">
        <v>30</v>
      </c>
      <c r="C93" s="5" t="str">
        <f t="shared" si="25"/>
        <v>description,dailCompDescCoronus,</v>
      </c>
      <c r="D93" s="5" t="str">
        <f t="shared" si="26"/>
        <v>itemText,dailCompTextCoronus,</v>
      </c>
      <c r="E93" s="5" t="str">
        <f t="shared" si="36"/>
        <v>augmentSkillLevel1,5,</v>
      </c>
      <c r="F93" s="5" t="str">
        <f t="shared" si="37"/>
        <v>augmentSkillName1,records/skills,</v>
      </c>
      <c r="G93" s="7" t="str">
        <f t="shared" si="32"/>
        <v/>
      </c>
      <c r="H93" s="8" t="str">
        <f t="shared" si="33"/>
        <v>Coronus</v>
      </c>
      <c r="J93" s="8" t="str">
        <f t="shared" si="42"/>
        <v>class0009</v>
      </c>
      <c r="K93" s="8" t="str">
        <f t="shared" si="42"/>
        <v>dailoneskill0009</v>
      </c>
      <c r="L93" s="5" t="str">
        <f t="shared" si="27"/>
        <v>lootName,DAIL/items/materia/class0009/Coronus.dbr,</v>
      </c>
      <c r="M93" s="5" t="str">
        <f t="shared" si="28"/>
        <v>lootWeight,1,</v>
      </c>
      <c r="N93" t="str">
        <f t="shared" si="29"/>
        <v>5</v>
      </c>
      <c r="O93" t="str">
        <f t="shared" si="38"/>
        <v/>
      </c>
      <c r="P93" t="str">
        <f t="shared" si="24"/>
        <v/>
      </c>
      <c r="Q93" t="str">
        <f t="shared" si="24"/>
        <v/>
      </c>
      <c r="R93" t="str">
        <f t="shared" si="24"/>
        <v/>
      </c>
      <c r="S93" t="str">
        <f t="shared" si="24"/>
        <v/>
      </c>
      <c r="T93" t="str">
        <f t="shared" si="24"/>
        <v/>
      </c>
      <c r="U93" t="str">
        <f t="shared" si="24"/>
        <v/>
      </c>
      <c r="V93" s="5" t="s">
        <v>36</v>
      </c>
      <c r="W93" t="str">
        <f t="shared" si="30"/>
        <v/>
      </c>
      <c r="X93" t="str">
        <f t="shared" si="30"/>
        <v/>
      </c>
      <c r="Y93" s="5" t="s">
        <v>36</v>
      </c>
      <c r="Z93" t="str">
        <f t="shared" si="31"/>
        <v/>
      </c>
      <c r="AA93" t="str">
        <f t="shared" si="39"/>
        <v/>
      </c>
      <c r="AB93" s="5" t="s">
        <v>36</v>
      </c>
      <c r="AH93">
        <f t="shared" si="41"/>
        <v>88</v>
      </c>
      <c r="AI93">
        <f t="shared" si="35"/>
        <v>0</v>
      </c>
      <c r="AJ93">
        <f t="shared" si="40"/>
        <v>5</v>
      </c>
    </row>
    <row r="94" spans="1:36" x14ac:dyDescent="0.25">
      <c r="A94" s="5" t="s">
        <v>39</v>
      </c>
      <c r="B94" s="5" t="s">
        <v>30</v>
      </c>
      <c r="C94" s="5" t="str">
        <f t="shared" si="25"/>
        <v>description,dailCompDescCoronus,</v>
      </c>
      <c r="D94" s="5" t="str">
        <f t="shared" si="26"/>
        <v>itemText,dailCompTextCoronus,</v>
      </c>
      <c r="E94" s="5" t="str">
        <f t="shared" si="36"/>
        <v>augmentSkillLevel1,5,</v>
      </c>
      <c r="F94" s="5" t="str">
        <f t="shared" si="37"/>
        <v>augmentSkillName1,records/skills,</v>
      </c>
      <c r="G94" s="7" t="str">
        <f t="shared" si="32"/>
        <v/>
      </c>
      <c r="H94" s="8" t="str">
        <f t="shared" si="33"/>
        <v>Coronus</v>
      </c>
      <c r="J94" s="8" t="str">
        <f t="shared" si="42"/>
        <v>class0009</v>
      </c>
      <c r="K94" s="8" t="str">
        <f t="shared" si="42"/>
        <v>dailoneskill0009</v>
      </c>
      <c r="L94" s="5" t="str">
        <f t="shared" si="27"/>
        <v>lootName,DAIL/items/materia/class0009/Coronus.dbr,</v>
      </c>
      <c r="M94" s="5" t="str">
        <f t="shared" si="28"/>
        <v>lootWeight,1,</v>
      </c>
      <c r="N94" t="str">
        <f t="shared" si="29"/>
        <v>5</v>
      </c>
      <c r="O94" t="str">
        <f t="shared" si="38"/>
        <v/>
      </c>
      <c r="P94" t="str">
        <f t="shared" si="24"/>
        <v/>
      </c>
      <c r="Q94" t="str">
        <f t="shared" si="24"/>
        <v/>
      </c>
      <c r="R94" t="str">
        <f t="shared" si="24"/>
        <v/>
      </c>
      <c r="S94" t="str">
        <f t="shared" si="24"/>
        <v/>
      </c>
      <c r="T94" t="str">
        <f t="shared" si="24"/>
        <v/>
      </c>
      <c r="U94" t="str">
        <f t="shared" si="24"/>
        <v/>
      </c>
      <c r="V94" s="5" t="s">
        <v>36</v>
      </c>
      <c r="W94" t="str">
        <f t="shared" si="30"/>
        <v/>
      </c>
      <c r="X94" t="str">
        <f t="shared" si="30"/>
        <v/>
      </c>
      <c r="Y94" s="5" t="s">
        <v>36</v>
      </c>
      <c r="Z94" t="str">
        <f t="shared" si="31"/>
        <v/>
      </c>
      <c r="AA94" t="str">
        <f t="shared" si="39"/>
        <v/>
      </c>
      <c r="AB94" s="5" t="s">
        <v>36</v>
      </c>
      <c r="AH94">
        <f t="shared" si="41"/>
        <v>89</v>
      </c>
      <c r="AI94">
        <f t="shared" si="35"/>
        <v>0</v>
      </c>
      <c r="AJ94">
        <f t="shared" si="40"/>
        <v>5</v>
      </c>
    </row>
    <row r="95" spans="1:36" x14ac:dyDescent="0.25">
      <c r="A95" s="5" t="s">
        <v>39</v>
      </c>
      <c r="B95" s="5" t="s">
        <v>30</v>
      </c>
      <c r="C95" s="5" t="str">
        <f t="shared" si="25"/>
        <v>description,dailCompDescCoronus,</v>
      </c>
      <c r="D95" s="5" t="str">
        <f t="shared" si="26"/>
        <v>itemText,dailCompTextCoronus,</v>
      </c>
      <c r="E95" s="5" t="str">
        <f t="shared" si="36"/>
        <v>augmentSkillLevel1,5,</v>
      </c>
      <c r="F95" s="5" t="str">
        <f t="shared" si="37"/>
        <v>augmentSkillName1,records/skills,</v>
      </c>
      <c r="G95" s="7" t="str">
        <f t="shared" si="32"/>
        <v/>
      </c>
      <c r="H95" s="8" t="str">
        <f t="shared" si="33"/>
        <v>Coronus</v>
      </c>
      <c r="J95" s="8" t="str">
        <f t="shared" si="42"/>
        <v>class0009</v>
      </c>
      <c r="K95" s="8" t="str">
        <f t="shared" si="42"/>
        <v>dailoneskill0009</v>
      </c>
      <c r="L95" s="5" t="str">
        <f t="shared" si="27"/>
        <v>lootName,DAIL/items/materia/class0009/Coronus.dbr,</v>
      </c>
      <c r="M95" s="5" t="str">
        <f t="shared" si="28"/>
        <v>lootWeight,1,</v>
      </c>
      <c r="N95" t="str">
        <f t="shared" si="29"/>
        <v>5</v>
      </c>
      <c r="O95" t="str">
        <f t="shared" si="38"/>
        <v/>
      </c>
      <c r="P95" t="str">
        <f t="shared" si="24"/>
        <v/>
      </c>
      <c r="Q95" t="str">
        <f t="shared" si="24"/>
        <v/>
      </c>
      <c r="R95" t="str">
        <f t="shared" si="24"/>
        <v/>
      </c>
      <c r="S95" t="str">
        <f t="shared" si="24"/>
        <v/>
      </c>
      <c r="T95" t="str">
        <f t="shared" si="24"/>
        <v/>
      </c>
      <c r="U95" t="str">
        <f t="shared" si="24"/>
        <v/>
      </c>
      <c r="V95" s="5" t="s">
        <v>36</v>
      </c>
      <c r="W95" t="str">
        <f t="shared" si="30"/>
        <v/>
      </c>
      <c r="X95" t="str">
        <f t="shared" si="30"/>
        <v/>
      </c>
      <c r="Y95" s="5" t="s">
        <v>36</v>
      </c>
      <c r="Z95" t="str">
        <f t="shared" si="31"/>
        <v/>
      </c>
      <c r="AA95" t="str">
        <f t="shared" si="39"/>
        <v/>
      </c>
      <c r="AB95" s="5" t="s">
        <v>36</v>
      </c>
      <c r="AH95">
        <f t="shared" si="41"/>
        <v>90</v>
      </c>
      <c r="AI95">
        <f t="shared" si="35"/>
        <v>0</v>
      </c>
      <c r="AJ95">
        <f t="shared" si="40"/>
        <v>5</v>
      </c>
    </row>
    <row r="96" spans="1:36" x14ac:dyDescent="0.25">
      <c r="A96" s="5" t="s">
        <v>39</v>
      </c>
      <c r="B96" s="5" t="s">
        <v>30</v>
      </c>
      <c r="C96" s="5" t="str">
        <f t="shared" si="25"/>
        <v>description,dailCompDescCoronus,</v>
      </c>
      <c r="D96" s="5" t="str">
        <f t="shared" si="26"/>
        <v>itemText,dailCompTextCoronus,</v>
      </c>
      <c r="E96" s="5" t="str">
        <f t="shared" si="36"/>
        <v>augmentSkillLevel1,5,</v>
      </c>
      <c r="F96" s="5" t="str">
        <f t="shared" si="37"/>
        <v>augmentSkillName1,records/skills,</v>
      </c>
      <c r="G96" s="7" t="str">
        <f t="shared" si="32"/>
        <v/>
      </c>
      <c r="H96" s="8" t="str">
        <f t="shared" si="33"/>
        <v>Coronus</v>
      </c>
      <c r="J96" s="8" t="str">
        <f t="shared" si="42"/>
        <v>class0009</v>
      </c>
      <c r="K96" s="8" t="str">
        <f t="shared" si="42"/>
        <v>dailoneskill0009</v>
      </c>
      <c r="L96" s="5" t="str">
        <f t="shared" si="27"/>
        <v>lootName,DAIL/items/materia/class0009/Coronus.dbr,</v>
      </c>
      <c r="M96" s="5" t="str">
        <f t="shared" si="28"/>
        <v>lootWeight,1,</v>
      </c>
      <c r="N96" t="str">
        <f t="shared" si="29"/>
        <v>5</v>
      </c>
      <c r="O96" t="str">
        <f t="shared" si="38"/>
        <v/>
      </c>
      <c r="P96" t="str">
        <f t="shared" si="24"/>
        <v/>
      </c>
      <c r="Q96" t="str">
        <f t="shared" si="24"/>
        <v/>
      </c>
      <c r="R96" t="str">
        <f t="shared" si="24"/>
        <v/>
      </c>
      <c r="S96" t="str">
        <f t="shared" si="24"/>
        <v/>
      </c>
      <c r="T96" t="str">
        <f t="shared" si="24"/>
        <v/>
      </c>
      <c r="U96" t="str">
        <f t="shared" si="24"/>
        <v/>
      </c>
      <c r="V96" s="5" t="s">
        <v>36</v>
      </c>
      <c r="W96" t="str">
        <f t="shared" si="30"/>
        <v/>
      </c>
      <c r="X96" t="str">
        <f t="shared" si="30"/>
        <v/>
      </c>
      <c r="Y96" s="5" t="s">
        <v>36</v>
      </c>
      <c r="Z96" t="str">
        <f t="shared" si="31"/>
        <v/>
      </c>
      <c r="AA96" t="str">
        <f t="shared" si="39"/>
        <v/>
      </c>
      <c r="AB96" s="5" t="s">
        <v>36</v>
      </c>
      <c r="AH96">
        <f t="shared" si="41"/>
        <v>91</v>
      </c>
      <c r="AI96">
        <f t="shared" si="35"/>
        <v>0</v>
      </c>
      <c r="AJ96">
        <f t="shared" si="40"/>
        <v>5</v>
      </c>
    </row>
    <row r="97" spans="1:36" x14ac:dyDescent="0.25">
      <c r="A97" s="5" t="s">
        <v>39</v>
      </c>
      <c r="B97" s="5" t="s">
        <v>30</v>
      </c>
      <c r="C97" s="5" t="str">
        <f t="shared" si="25"/>
        <v>description,dailCompDescCoronus,</v>
      </c>
      <c r="D97" s="5" t="str">
        <f t="shared" si="26"/>
        <v>itemText,dailCompTextCoronus,</v>
      </c>
      <c r="E97" s="5" t="str">
        <f t="shared" si="36"/>
        <v>augmentSkillLevel1,5,</v>
      </c>
      <c r="F97" s="5" t="str">
        <f t="shared" si="37"/>
        <v>augmentSkillName1,records/skills,</v>
      </c>
      <c r="G97" s="7" t="str">
        <f t="shared" si="32"/>
        <v/>
      </c>
      <c r="H97" s="8" t="str">
        <f t="shared" si="33"/>
        <v>Coronus</v>
      </c>
      <c r="J97" s="8" t="str">
        <f t="shared" si="42"/>
        <v>class0009</v>
      </c>
      <c r="K97" s="8" t="str">
        <f t="shared" si="42"/>
        <v>dailoneskill0009</v>
      </c>
      <c r="L97" s="5" t="str">
        <f t="shared" si="27"/>
        <v>lootName,DAIL/items/materia/class0009/Coronus.dbr,</v>
      </c>
      <c r="M97" s="5" t="str">
        <f t="shared" si="28"/>
        <v>lootWeight,1,</v>
      </c>
      <c r="N97" t="str">
        <f t="shared" si="29"/>
        <v>5</v>
      </c>
      <c r="O97" t="str">
        <f t="shared" si="38"/>
        <v/>
      </c>
      <c r="P97" t="str">
        <f t="shared" si="24"/>
        <v/>
      </c>
      <c r="Q97" t="str">
        <f t="shared" si="24"/>
        <v/>
      </c>
      <c r="R97" t="str">
        <f t="shared" si="24"/>
        <v/>
      </c>
      <c r="S97" t="str">
        <f t="shared" si="24"/>
        <v/>
      </c>
      <c r="T97" t="str">
        <f t="shared" si="24"/>
        <v/>
      </c>
      <c r="U97" t="str">
        <f t="shared" si="24"/>
        <v/>
      </c>
      <c r="V97" s="5" t="s">
        <v>36</v>
      </c>
      <c r="W97" t="str">
        <f t="shared" si="30"/>
        <v/>
      </c>
      <c r="X97" t="str">
        <f t="shared" si="30"/>
        <v/>
      </c>
      <c r="Y97" s="5" t="s">
        <v>36</v>
      </c>
      <c r="Z97" t="str">
        <f t="shared" si="31"/>
        <v/>
      </c>
      <c r="AA97" t="str">
        <f t="shared" si="39"/>
        <v/>
      </c>
      <c r="AB97" s="5" t="s">
        <v>36</v>
      </c>
      <c r="AH97">
        <f t="shared" si="41"/>
        <v>92</v>
      </c>
      <c r="AI97">
        <f t="shared" si="35"/>
        <v>0</v>
      </c>
      <c r="AJ97">
        <f t="shared" si="40"/>
        <v>5</v>
      </c>
    </row>
    <row r="98" spans="1:36" x14ac:dyDescent="0.25">
      <c r="A98" s="5" t="s">
        <v>39</v>
      </c>
      <c r="B98" s="5" t="s">
        <v>30</v>
      </c>
      <c r="C98" s="5" t="str">
        <f t="shared" si="25"/>
        <v>description,dailCompDescCoronus,</v>
      </c>
      <c r="D98" s="5" t="str">
        <f t="shared" si="26"/>
        <v>itemText,dailCompTextCoronus,</v>
      </c>
      <c r="E98" s="5" t="str">
        <f t="shared" si="36"/>
        <v>augmentSkillLevel1,5,</v>
      </c>
      <c r="F98" s="5" t="str">
        <f t="shared" si="37"/>
        <v>augmentSkillName1,records/skills,</v>
      </c>
      <c r="G98" s="7" t="str">
        <f t="shared" si="32"/>
        <v/>
      </c>
      <c r="H98" s="8" t="str">
        <f t="shared" si="33"/>
        <v>Coronus</v>
      </c>
      <c r="J98" s="8" t="str">
        <f t="shared" si="42"/>
        <v>class0009</v>
      </c>
      <c r="K98" s="8" t="str">
        <f t="shared" si="42"/>
        <v>dailoneskill0009</v>
      </c>
      <c r="L98" s="5" t="str">
        <f t="shared" si="27"/>
        <v>lootName,DAIL/items/materia/class0009/Coronus.dbr,</v>
      </c>
      <c r="M98" s="5" t="str">
        <f t="shared" si="28"/>
        <v>lootWeight,1,</v>
      </c>
      <c r="N98" t="str">
        <f t="shared" si="29"/>
        <v>5</v>
      </c>
      <c r="O98" t="str">
        <f t="shared" si="38"/>
        <v/>
      </c>
      <c r="P98" t="str">
        <f t="shared" si="24"/>
        <v/>
      </c>
      <c r="Q98" t="str">
        <f t="shared" si="24"/>
        <v/>
      </c>
      <c r="R98" t="str">
        <f t="shared" si="24"/>
        <v/>
      </c>
      <c r="S98" t="str">
        <f t="shared" si="24"/>
        <v/>
      </c>
      <c r="T98" t="str">
        <f t="shared" si="24"/>
        <v/>
      </c>
      <c r="U98" t="str">
        <f t="shared" si="24"/>
        <v/>
      </c>
      <c r="V98" s="5" t="s">
        <v>36</v>
      </c>
      <c r="W98" t="str">
        <f t="shared" si="30"/>
        <v/>
      </c>
      <c r="X98" t="str">
        <f t="shared" si="30"/>
        <v/>
      </c>
      <c r="Y98" s="5" t="s">
        <v>36</v>
      </c>
      <c r="Z98" t="str">
        <f t="shared" si="31"/>
        <v/>
      </c>
      <c r="AA98" t="str">
        <f t="shared" si="39"/>
        <v/>
      </c>
      <c r="AB98" s="5" t="s">
        <v>36</v>
      </c>
      <c r="AH98">
        <f t="shared" si="41"/>
        <v>93</v>
      </c>
      <c r="AI98">
        <f t="shared" si="35"/>
        <v>0</v>
      </c>
      <c r="AJ98">
        <f t="shared" si="40"/>
        <v>5</v>
      </c>
    </row>
    <row r="99" spans="1:36" x14ac:dyDescent="0.25">
      <c r="A99" s="5" t="s">
        <v>39</v>
      </c>
      <c r="B99" s="5" t="s">
        <v>30</v>
      </c>
      <c r="C99" s="5" t="str">
        <f t="shared" si="25"/>
        <v>description,dailCompDescCoronus,</v>
      </c>
      <c r="D99" s="5" t="str">
        <f t="shared" si="26"/>
        <v>itemText,dailCompTextCoronus,</v>
      </c>
      <c r="E99" s="5" t="str">
        <f t="shared" si="36"/>
        <v>augmentSkillLevel1,5,</v>
      </c>
      <c r="F99" s="5" t="str">
        <f t="shared" si="37"/>
        <v>augmentSkillName1,records/skills,</v>
      </c>
      <c r="G99" s="7" t="str">
        <f t="shared" si="32"/>
        <v/>
      </c>
      <c r="H99" s="8" t="str">
        <f t="shared" si="33"/>
        <v>Coronus</v>
      </c>
      <c r="J99" s="8" t="str">
        <f t="shared" si="42"/>
        <v>class0009</v>
      </c>
      <c r="K99" s="8" t="str">
        <f t="shared" si="42"/>
        <v>dailoneskill0009</v>
      </c>
      <c r="L99" s="5" t="str">
        <f t="shared" si="27"/>
        <v>lootName,DAIL/items/materia/class0009/Coronus.dbr,</v>
      </c>
      <c r="M99" s="5" t="str">
        <f t="shared" si="28"/>
        <v>lootWeight,1,</v>
      </c>
      <c r="N99" t="str">
        <f t="shared" si="29"/>
        <v>5</v>
      </c>
      <c r="O99" t="str">
        <f t="shared" si="38"/>
        <v/>
      </c>
      <c r="P99" t="str">
        <f t="shared" si="24"/>
        <v/>
      </c>
      <c r="Q99" t="str">
        <f t="shared" si="24"/>
        <v/>
      </c>
      <c r="R99" t="str">
        <f t="shared" si="24"/>
        <v/>
      </c>
      <c r="S99" t="str">
        <f t="shared" si="24"/>
        <v/>
      </c>
      <c r="T99" t="str">
        <f t="shared" si="24"/>
        <v/>
      </c>
      <c r="U99" t="str">
        <f t="shared" si="24"/>
        <v/>
      </c>
      <c r="V99" s="5" t="s">
        <v>36</v>
      </c>
      <c r="W99" t="str">
        <f t="shared" si="30"/>
        <v/>
      </c>
      <c r="X99" t="str">
        <f t="shared" si="30"/>
        <v/>
      </c>
      <c r="Y99" s="5" t="s">
        <v>36</v>
      </c>
      <c r="Z99" t="str">
        <f t="shared" si="31"/>
        <v/>
      </c>
      <c r="AA99" t="str">
        <f t="shared" si="39"/>
        <v/>
      </c>
      <c r="AB99" s="5" t="s">
        <v>36</v>
      </c>
      <c r="AH99">
        <f t="shared" si="41"/>
        <v>94</v>
      </c>
      <c r="AI99">
        <f t="shared" si="35"/>
        <v>0</v>
      </c>
      <c r="AJ99">
        <f t="shared" si="40"/>
        <v>5</v>
      </c>
    </row>
    <row r="100" spans="1:36" x14ac:dyDescent="0.25">
      <c r="A100" s="5" t="s">
        <v>39</v>
      </c>
      <c r="B100" s="5" t="s">
        <v>30</v>
      </c>
      <c r="C100" s="5" t="str">
        <f t="shared" si="25"/>
        <v>description,dailCompDescCoronus,</v>
      </c>
      <c r="D100" s="5" t="str">
        <f t="shared" si="26"/>
        <v>itemText,dailCompTextCoronus,</v>
      </c>
      <c r="E100" s="5" t="str">
        <f t="shared" si="36"/>
        <v>augmentSkillLevel1,5,</v>
      </c>
      <c r="F100" s="5" t="str">
        <f t="shared" si="37"/>
        <v>augmentSkillName1,records/skills,</v>
      </c>
      <c r="G100" s="7" t="str">
        <f t="shared" si="32"/>
        <v/>
      </c>
      <c r="H100" s="8" t="str">
        <f t="shared" si="33"/>
        <v>Coronus</v>
      </c>
      <c r="J100" s="8" t="str">
        <f t="shared" si="42"/>
        <v>class0009</v>
      </c>
      <c r="K100" s="8" t="str">
        <f t="shared" si="42"/>
        <v>dailoneskill0009</v>
      </c>
      <c r="L100" s="5" t="str">
        <f t="shared" si="27"/>
        <v>lootName,DAIL/items/materia/class0009/Coronus.dbr,</v>
      </c>
      <c r="M100" s="5" t="str">
        <f t="shared" si="28"/>
        <v>lootWeight,1,</v>
      </c>
      <c r="N100" t="str">
        <f t="shared" si="29"/>
        <v>5</v>
      </c>
      <c r="O100" t="str">
        <f t="shared" si="38"/>
        <v/>
      </c>
      <c r="P100" t="str">
        <f t="shared" si="24"/>
        <v/>
      </c>
      <c r="Q100" t="str">
        <f t="shared" si="24"/>
        <v/>
      </c>
      <c r="R100" t="str">
        <f t="shared" si="24"/>
        <v/>
      </c>
      <c r="S100" t="str">
        <f t="shared" si="24"/>
        <v/>
      </c>
      <c r="T100" t="str">
        <f t="shared" si="24"/>
        <v/>
      </c>
      <c r="U100" t="str">
        <f t="shared" si="24"/>
        <v/>
      </c>
      <c r="V100" s="5" t="s">
        <v>36</v>
      </c>
      <c r="W100" t="str">
        <f t="shared" si="30"/>
        <v/>
      </c>
      <c r="X100" t="str">
        <f t="shared" si="30"/>
        <v/>
      </c>
      <c r="Y100" s="5" t="s">
        <v>36</v>
      </c>
      <c r="Z100" t="str">
        <f t="shared" si="31"/>
        <v/>
      </c>
      <c r="AA100" t="str">
        <f t="shared" si="39"/>
        <v/>
      </c>
      <c r="AB100" s="5" t="s">
        <v>36</v>
      </c>
      <c r="AH100">
        <f t="shared" si="41"/>
        <v>95</v>
      </c>
      <c r="AI100">
        <f t="shared" si="35"/>
        <v>0</v>
      </c>
      <c r="AJ100">
        <f t="shared" si="40"/>
        <v>5</v>
      </c>
    </row>
    <row r="101" spans="1:36" x14ac:dyDescent="0.25">
      <c r="A101" s="5" t="s">
        <v>39</v>
      </c>
      <c r="B101" s="5" t="s">
        <v>30</v>
      </c>
      <c r="C101" s="5" t="str">
        <f t="shared" si="25"/>
        <v>description,dailCompDescCoronus,</v>
      </c>
      <c r="D101" s="5" t="str">
        <f t="shared" si="26"/>
        <v>itemText,dailCompTextCoronus,</v>
      </c>
      <c r="E101" s="5" t="str">
        <f t="shared" si="36"/>
        <v>augmentSkillLevel1,5,</v>
      </c>
      <c r="F101" s="5" t="str">
        <f t="shared" si="37"/>
        <v>augmentSkillName1,records/skills,</v>
      </c>
      <c r="G101" s="7" t="str">
        <f t="shared" si="32"/>
        <v/>
      </c>
      <c r="H101" s="8" t="str">
        <f t="shared" si="33"/>
        <v>Coronus</v>
      </c>
      <c r="J101" s="8" t="str">
        <f t="shared" ref="J101:K102" si="43">J100</f>
        <v>class0009</v>
      </c>
      <c r="K101" s="8" t="str">
        <f t="shared" si="43"/>
        <v>dailoneskill0009</v>
      </c>
      <c r="L101" s="5" t="str">
        <f t="shared" si="27"/>
        <v>lootName,DAIL/items/materia/class0009/Coronus.dbr,</v>
      </c>
      <c r="M101" s="5" t="str">
        <f t="shared" si="28"/>
        <v>lootWeight,1,</v>
      </c>
      <c r="N101" t="str">
        <f t="shared" si="29"/>
        <v>5</v>
      </c>
      <c r="O101" t="str">
        <f t="shared" si="38"/>
        <v/>
      </c>
      <c r="P101" t="str">
        <f t="shared" si="24"/>
        <v/>
      </c>
      <c r="Q101" t="str">
        <f t="shared" si="24"/>
        <v/>
      </c>
      <c r="R101" t="str">
        <f t="shared" si="24"/>
        <v/>
      </c>
      <c r="S101" t="str">
        <f t="shared" ref="S101:U102" si="44">IF($I101&lt;&gt;"","echo "&amp;D101&amp;" &gt;&gt; .\items\materia\"&amp;$J101&amp;"\"&amp;$H101&amp;$G101&amp;".dbr","")</f>
        <v/>
      </c>
      <c r="T101" t="str">
        <f t="shared" si="44"/>
        <v/>
      </c>
      <c r="U101" t="str">
        <f t="shared" si="44"/>
        <v/>
      </c>
      <c r="V101" s="5" t="s">
        <v>36</v>
      </c>
      <c r="W101" t="str">
        <f t="shared" si="30"/>
        <v/>
      </c>
      <c r="X101" t="str">
        <f t="shared" si="30"/>
        <v/>
      </c>
      <c r="Y101" s="5" t="s">
        <v>36</v>
      </c>
      <c r="Z101" t="str">
        <f t="shared" si="31"/>
        <v/>
      </c>
      <c r="AA101" t="str">
        <f t="shared" si="39"/>
        <v/>
      </c>
      <c r="AB101" s="5" t="s">
        <v>36</v>
      </c>
      <c r="AH101">
        <f t="shared" si="41"/>
        <v>96</v>
      </c>
      <c r="AI101">
        <f t="shared" si="35"/>
        <v>0</v>
      </c>
      <c r="AJ101">
        <f t="shared" si="40"/>
        <v>5</v>
      </c>
    </row>
    <row r="102" spans="1:36" x14ac:dyDescent="0.25">
      <c r="A102" s="5" t="s">
        <v>39</v>
      </c>
      <c r="B102" s="5" t="s">
        <v>30</v>
      </c>
      <c r="C102" s="5" t="str">
        <f t="shared" si="25"/>
        <v>description,dailCompDescCoronus,</v>
      </c>
      <c r="D102" s="5" t="str">
        <f t="shared" si="26"/>
        <v>itemText,dailCompTextCoronus,</v>
      </c>
      <c r="E102" s="5" t="str">
        <f t="shared" si="36"/>
        <v>augmentSkillLevel1,5,</v>
      </c>
      <c r="F102" s="5" t="str">
        <f t="shared" si="37"/>
        <v>augmentSkillName1,records/skills,</v>
      </c>
      <c r="G102" s="7" t="str">
        <f t="shared" si="32"/>
        <v/>
      </c>
      <c r="H102" s="8" t="str">
        <f t="shared" si="33"/>
        <v>Coronus</v>
      </c>
      <c r="J102" s="8" t="str">
        <f t="shared" si="43"/>
        <v>class0009</v>
      </c>
      <c r="K102" s="8" t="str">
        <f t="shared" si="43"/>
        <v>dailoneskill0009</v>
      </c>
      <c r="L102" s="5" t="str">
        <f t="shared" si="27"/>
        <v>lootName,DAIL/items/materia/class0009/Coronus.dbr,</v>
      </c>
      <c r="M102" s="5" t="str">
        <f t="shared" si="28"/>
        <v>lootWeight,1,</v>
      </c>
      <c r="N102" t="str">
        <f t="shared" si="29"/>
        <v>5</v>
      </c>
      <c r="O102" t="str">
        <f t="shared" si="38"/>
        <v/>
      </c>
      <c r="P102" t="str">
        <f t="shared" ref="P102:R102" si="45">IF($I102&lt;&gt;"","echo "&amp;A102&amp;" &gt;&gt; .\items\materia\"&amp;$J102&amp;"\"&amp;$H102&amp;$G102&amp;".dbr","")</f>
        <v/>
      </c>
      <c r="Q102" t="str">
        <f t="shared" si="45"/>
        <v/>
      </c>
      <c r="R102" t="str">
        <f t="shared" si="45"/>
        <v/>
      </c>
      <c r="S102" t="str">
        <f t="shared" si="44"/>
        <v/>
      </c>
      <c r="T102" t="str">
        <f t="shared" si="44"/>
        <v/>
      </c>
      <c r="U102" t="str">
        <f t="shared" si="44"/>
        <v/>
      </c>
      <c r="V102" s="5" t="s">
        <v>36</v>
      </c>
      <c r="W102" t="str">
        <f t="shared" si="30"/>
        <v/>
      </c>
      <c r="X102" t="str">
        <f t="shared" si="30"/>
        <v/>
      </c>
      <c r="Y102" s="5" t="s">
        <v>36</v>
      </c>
      <c r="Z102" t="str">
        <f t="shared" si="31"/>
        <v/>
      </c>
      <c r="AA102" t="str">
        <f t="shared" si="39"/>
        <v/>
      </c>
      <c r="AB102" s="5" t="s">
        <v>36</v>
      </c>
      <c r="AH102">
        <f t="shared" si="41"/>
        <v>97</v>
      </c>
      <c r="AI102">
        <f t="shared" si="35"/>
        <v>0</v>
      </c>
      <c r="AJ102">
        <f t="shared" si="40"/>
        <v>5</v>
      </c>
    </row>
  </sheetData>
  <mergeCells count="1">
    <mergeCell ref="O2:U2"/>
  </mergeCells>
  <pageMargins left="0.7" right="0.7" top="0.75" bottom="0.75" header="0.3" footer="0.3"/>
  <pageSetup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AL102"/>
  <sheetViews>
    <sheetView topLeftCell="M1" zoomScaleNormal="100" workbookViewId="0">
      <selection activeCell="U3" sqref="U3:U102"/>
    </sheetView>
  </sheetViews>
  <sheetFormatPr defaultRowHeight="15" x14ac:dyDescent="0.25"/>
  <cols>
    <col min="1" max="1" width="73.85546875" style="5" bestFit="1" customWidth="1"/>
    <col min="2" max="2" width="16.28515625" style="5" bestFit="1" customWidth="1"/>
    <col min="3" max="3" width="32.7109375" style="5" bestFit="1" customWidth="1"/>
    <col min="4" max="4" width="31.42578125" style="5" bestFit="1" customWidth="1"/>
    <col min="5" max="5" width="24.28515625" style="5" bestFit="1" customWidth="1"/>
    <col min="6" max="6" width="73.5703125" style="5" bestFit="1" customWidth="1"/>
    <col min="7" max="7" width="5.85546875" style="8" bestFit="1" customWidth="1"/>
    <col min="8" max="8" width="7.85546875" style="3" bestFit="1" customWidth="1"/>
    <col min="9" max="9" width="38.140625" style="3" bestFit="1" customWidth="1"/>
    <col min="10" max="10" width="9.140625" style="3" bestFit="1" customWidth="1"/>
    <col min="11" max="11" width="18.140625" style="3" customWidth="1"/>
    <col min="12" max="12" width="51.85546875" style="5" bestFit="1" customWidth="1"/>
    <col min="13" max="13" width="21.28515625" style="5" customWidth="1"/>
    <col min="15" max="15" width="10.5703125" customWidth="1"/>
    <col min="22" max="22" width="1.5703125" style="5" customWidth="1"/>
    <col min="23" max="23" width="9.5703125" customWidth="1"/>
    <col min="25" max="25" width="1.5703125" style="5" bestFit="1" customWidth="1"/>
    <col min="26" max="26" width="46.7109375" bestFit="1" customWidth="1"/>
    <col min="27" max="27" width="29.140625" customWidth="1"/>
    <col min="28" max="28" width="1.5703125" style="5" bestFit="1" customWidth="1"/>
    <col min="31" max="31" width="14.140625" bestFit="1" customWidth="1"/>
  </cols>
  <sheetData>
    <row r="1" spans="1:38" x14ac:dyDescent="0.25">
      <c r="G1" s="5"/>
      <c r="H1" s="5"/>
      <c r="I1" s="5"/>
      <c r="J1" s="5"/>
      <c r="K1" s="5"/>
      <c r="N1" s="5"/>
      <c r="O1" s="9"/>
      <c r="P1" s="9"/>
      <c r="Q1" s="9"/>
      <c r="R1" s="9"/>
      <c r="S1" s="9"/>
      <c r="T1" s="9"/>
      <c r="U1" s="9"/>
      <c r="W1" s="9"/>
      <c r="X1" s="9"/>
      <c r="Z1" s="9"/>
      <c r="AA1" s="9"/>
    </row>
    <row r="2" spans="1:38" x14ac:dyDescent="0.25">
      <c r="A2" s="4" t="s">
        <v>2</v>
      </c>
      <c r="B2" s="4" t="s">
        <v>3</v>
      </c>
      <c r="C2" s="4" t="s">
        <v>4</v>
      </c>
      <c r="D2" s="4" t="s">
        <v>5</v>
      </c>
      <c r="E2" s="4" t="s">
        <v>6</v>
      </c>
      <c r="F2" s="4" t="s">
        <v>7</v>
      </c>
      <c r="G2" s="6" t="s">
        <v>9</v>
      </c>
      <c r="H2" s="2" t="s">
        <v>26</v>
      </c>
      <c r="I2" s="2" t="s">
        <v>8</v>
      </c>
      <c r="J2" s="2" t="s">
        <v>33</v>
      </c>
      <c r="K2" s="2" t="s">
        <v>38</v>
      </c>
      <c r="L2" s="4" t="s">
        <v>31</v>
      </c>
      <c r="M2" s="4" t="s">
        <v>32</v>
      </c>
      <c r="O2" s="11" t="str">
        <f>"Copy from N to T Into the files named "&amp;H3&amp;G3&amp;" etc"</f>
        <v>Copy from N to T Into the files named Fangshi1 etc</v>
      </c>
      <c r="P2" s="11"/>
      <c r="Q2" s="11"/>
      <c r="R2" s="11"/>
      <c r="S2" s="11"/>
      <c r="T2" s="11"/>
      <c r="U2" s="11"/>
      <c r="W2" s="1" t="s">
        <v>35</v>
      </c>
      <c r="Z2" s="1" t="s">
        <v>40</v>
      </c>
      <c r="AD2" t="s">
        <v>44</v>
      </c>
    </row>
    <row r="3" spans="1:38" x14ac:dyDescent="0.25">
      <c r="A3" s="5" t="s">
        <v>39</v>
      </c>
      <c r="B3" s="5" t="s">
        <v>0</v>
      </c>
      <c r="C3" s="5" t="str">
        <f t="shared" ref="C3:C66" si="0">"description,dailCompDesc"&amp;H3&amp;G3&amp;","</f>
        <v>description,dailCompDescFangshi1,</v>
      </c>
      <c r="D3" s="5" t="str">
        <f>"itemText,dailCompText"&amp;H3&amp;G3&amp;","</f>
        <v>itemText,dailCompTextFangshi1,</v>
      </c>
      <c r="E3" s="5" t="s">
        <v>24</v>
      </c>
      <c r="F3" s="5" t="str">
        <f>"augmentMasteryName1,records/skills"&amp;I3&amp;","</f>
        <v>augmentMasteryName1,records/skills/playerclass10/_classtraining_class10.dbr,</v>
      </c>
      <c r="G3" s="7">
        <f>IF(I3&lt;&gt;"",1,"")</f>
        <v>1</v>
      </c>
      <c r="H3" s="3" t="s">
        <v>86</v>
      </c>
      <c r="I3" s="3" t="s">
        <v>176</v>
      </c>
      <c r="J3" s="3" t="s">
        <v>85</v>
      </c>
      <c r="K3" s="3" t="s">
        <v>84</v>
      </c>
      <c r="L3" s="5" t="str">
        <f>"lootName"&amp;G3&amp;",DAIL/items/materia/"&amp;J3&amp;"/"&amp;H3&amp;G3&amp;".dbr"&amp;","</f>
        <v>lootName1,DAIL/items/materia/class0010/Fangshi1.dbr,</v>
      </c>
      <c r="M3" s="5" t="str">
        <f>"lootWeight"&amp;G3&amp;",1,"</f>
        <v>lootWeight1,1,</v>
      </c>
      <c r="N3" t="str">
        <f>LEFT(RIGHT(E3,2),1)</f>
        <v>1</v>
      </c>
      <c r="O3" s="5" t="str">
        <f>IF(I3&lt;&gt;"","copy .\dail_base2.dbr .\items\materia\"&amp;J3&amp;"\"&amp;H3&amp;G3&amp;".dbr /y"&amp;"","")</f>
        <v>copy .\dail_base2.dbr .\items\materia\class0010\Fangshi1.dbr /y</v>
      </c>
      <c r="P3" t="str">
        <f>IF($I3&lt;&gt;"","echo "&amp;A3&amp;" &gt;&gt; .\items\materia\"&amp;$J3&amp;"\"&amp;$H3&amp;$G3&amp;".dbr","")</f>
        <v>echo relicBitmap,items/craftingparts/components/component_a52_bristlyfur_b.tex, &gt;&gt; .\items\materia\class0010\Fangshi1.dbr</v>
      </c>
      <c r="Q3" t="str">
        <f t="shared" ref="Q3:U18" si="1">IF($I3&lt;&gt;"","echo "&amp;B3&amp;" &gt;&gt; .\items\materia\"&amp;$J3&amp;"\"&amp;$H3&amp;$G3&amp;".dbr","")</f>
        <v>echo itemCost,100000, &gt;&gt; .\items\materia\class0010\Fangshi1.dbr</v>
      </c>
      <c r="R3" t="str">
        <f t="shared" si="1"/>
        <v>echo description,dailCompDescFangshi1, &gt;&gt; .\items\materia\class0010\Fangshi1.dbr</v>
      </c>
      <c r="S3" t="str">
        <f t="shared" si="1"/>
        <v>echo itemText,dailCompTextFangshi1, &gt;&gt; .\items\materia\class0010\Fangshi1.dbr</v>
      </c>
      <c r="T3" t="str">
        <f t="shared" si="1"/>
        <v>echo augmentMasteryLevel1,1, &gt;&gt; .\items\materia\class0010\Fangshi1.dbr</v>
      </c>
      <c r="U3" t="str">
        <f t="shared" si="1"/>
        <v>echo augmentMasteryName1,records/skills/playerclass10/_classtraining_class10.dbr, &gt;&gt; .\items\materia\class0010\Fangshi1.dbr</v>
      </c>
      <c r="V3" s="5" t="s">
        <v>36</v>
      </c>
      <c r="W3" t="str">
        <f>IF($I3&lt;&gt;"","echo "&amp;L3&amp;" &gt;&gt; .\items\loottables\"&amp;$K3&amp;".dbr","")</f>
        <v>echo lootName1,DAIL/items/materia/class0010/Fangshi1.dbr, &gt;&gt; .\items\loottables\dailoneskill0010.dbr</v>
      </c>
      <c r="X3" t="str">
        <f>IF($I3&lt;&gt;"","echo "&amp;M3&amp;" &gt;&gt; .\items\loottables\"&amp;$K3&amp;".dbr","")</f>
        <v>echo lootWeight1,1, &gt;&gt; .\items\loottables\dailoneskill0010.dbr</v>
      </c>
      <c r="Y3" s="5" t="s">
        <v>36</v>
      </c>
      <c r="Z3" s="10" t="str">
        <f>IF(I2&lt;&gt;""," dailCompDesc"&amp;H3&amp;G3&amp;"=^p"&amp;H3&amp;"'s Gift of DAIL","")</f>
        <v xml:space="preserve"> dailCompDescFangshi1=^pFangshi's Gift of DAIL</v>
      </c>
      <c r="AA3" s="10" t="str">
        <f>IF(I2&lt;&gt;"","dailCompText"&amp;H3&amp;G3&amp;"=^oThis feels warm to the touch, almost familiar ^w(This component fits into the amulet only)","")</f>
        <v>dailCompTextFangshi1=^oThis feels warm to the touch, almost familiar ^w(This component fits into the amulet only)</v>
      </c>
      <c r="AB3" s="5" t="s">
        <v>36</v>
      </c>
      <c r="AD3">
        <v>1</v>
      </c>
      <c r="AE3" t="s">
        <v>42</v>
      </c>
      <c r="AF3" t="s">
        <v>45</v>
      </c>
    </row>
    <row r="4" spans="1:38" x14ac:dyDescent="0.25">
      <c r="A4" s="5" t="s">
        <v>39</v>
      </c>
      <c r="B4" s="5" t="s">
        <v>28</v>
      </c>
      <c r="C4" s="5" t="str">
        <f t="shared" si="0"/>
        <v>description,dailCompDescFangshi2,</v>
      </c>
      <c r="D4" s="5" t="str">
        <f t="shared" ref="D4:D67" si="2">"itemText,dailCompText"&amp;H4&amp;G4&amp;","</f>
        <v>itemText,dailCompTextFangshi2,</v>
      </c>
      <c r="E4" s="5" t="s">
        <v>1</v>
      </c>
      <c r="F4" s="5" t="str">
        <f t="shared" ref="F4:F5" si="3">"augmentMasteryName1,records/skills"&amp;I4&amp;","</f>
        <v>augmentMasteryName1,records/skills/playerclass10/_classtraining_class10.dbr,</v>
      </c>
      <c r="G4" s="7">
        <f>IF(I4&lt;&gt;"",G3+1,"")</f>
        <v>2</v>
      </c>
      <c r="H4" s="8" t="str">
        <f>H3</f>
        <v>Fangshi</v>
      </c>
      <c r="I4" s="3" t="s">
        <v>176</v>
      </c>
      <c r="J4" s="8" t="str">
        <f>J3</f>
        <v>class0010</v>
      </c>
      <c r="K4" s="8" t="str">
        <f>K3</f>
        <v>dailoneskill0010</v>
      </c>
      <c r="L4" s="5" t="str">
        <f t="shared" ref="L4:L67" si="4">"lootName"&amp;G4&amp;",DAIL/items/materia/"&amp;J4&amp;"/"&amp;H4&amp;G4&amp;".dbr"&amp;","</f>
        <v>lootName2,DAIL/items/materia/class0010/Fangshi2.dbr,</v>
      </c>
      <c r="M4" s="5" t="str">
        <f t="shared" ref="M4:M67" si="5">"lootWeight"&amp;G4&amp;",1,"</f>
        <v>lootWeight2,1,</v>
      </c>
      <c r="N4" t="str">
        <f t="shared" ref="N4:N67" si="6">LEFT(RIGHT(E4,2),1)</f>
        <v>2</v>
      </c>
      <c r="O4" s="5" t="str">
        <f>IF(I4&lt;&gt;"","copy .\dail_base2.dbr .\items\materia\"&amp;J4&amp;"\"&amp;H4&amp;G4&amp;".dbr /y"&amp;"","")</f>
        <v>copy .\dail_base2.dbr .\items\materia\class0010\Fangshi2.dbr /y</v>
      </c>
      <c r="P4" t="str">
        <f t="shared" ref="P4:U58" si="7">IF($I4&lt;&gt;"","echo "&amp;A4&amp;" &gt;&gt; .\items\materia\"&amp;$J4&amp;"\"&amp;$H4&amp;$G4&amp;".dbr","")</f>
        <v>echo relicBitmap,items/craftingparts/components/component_a52_bristlyfur_b.tex, &gt;&gt; .\items\materia\class0010\Fangshi2.dbr</v>
      </c>
      <c r="Q4" t="str">
        <f t="shared" si="1"/>
        <v>echo itemCost,300000, &gt;&gt; .\items\materia\class0010\Fangshi2.dbr</v>
      </c>
      <c r="R4" t="str">
        <f t="shared" si="1"/>
        <v>echo description,dailCompDescFangshi2, &gt;&gt; .\items\materia\class0010\Fangshi2.dbr</v>
      </c>
      <c r="S4" t="str">
        <f t="shared" si="1"/>
        <v>echo itemText,dailCompTextFangshi2, &gt;&gt; .\items\materia\class0010\Fangshi2.dbr</v>
      </c>
      <c r="T4" t="str">
        <f t="shared" si="1"/>
        <v>echo augmentMasteryLevel1,2, &gt;&gt; .\items\materia\class0010\Fangshi2.dbr</v>
      </c>
      <c r="U4" t="str">
        <f t="shared" si="1"/>
        <v>echo augmentMasteryName1,records/skills/playerclass10/_classtraining_class10.dbr, &gt;&gt; .\items\materia\class0010\Fangshi2.dbr</v>
      </c>
      <c r="V4" s="5" t="s">
        <v>36</v>
      </c>
      <c r="W4" t="str">
        <f t="shared" ref="W4:X67" si="8">IF($I4&lt;&gt;"","echo "&amp;L4&amp;" &gt;&gt; .\items\loottables\"&amp;$K4&amp;".dbr","")</f>
        <v>echo lootName2,DAIL/items/materia/class0010/Fangshi2.dbr, &gt;&gt; .\items\loottables\dailoneskill0010.dbr</v>
      </c>
      <c r="X4" t="str">
        <f t="shared" si="8"/>
        <v>echo lootWeight2,1, &gt;&gt; .\items\loottables\dailoneskill0010.dbr</v>
      </c>
      <c r="Y4" s="5" t="s">
        <v>36</v>
      </c>
      <c r="Z4" s="10" t="str">
        <f t="shared" ref="Z4:Z67" si="9">IF(I3&lt;&gt;""," dailCompDesc"&amp;H4&amp;G4&amp;"=^p"&amp;H4&amp;"'s Gift of DAIL","")</f>
        <v xml:space="preserve"> dailCompDescFangshi2=^pFangshi's Gift of DAIL</v>
      </c>
      <c r="AA4" s="10" t="str">
        <f>IF(I3&lt;&gt;"","dailCompText"&amp;H4&amp;G4&amp;"=^oThis feels warm to the touch, almost familiar ^w(This component fits into the amulet only)","")</f>
        <v>dailCompTextFangshi2=^oThis feels warm to the touch, almost familiar ^w(This component fits into the amulet only)</v>
      </c>
      <c r="AB4" s="5" t="s">
        <v>36</v>
      </c>
      <c r="AD4">
        <v>3</v>
      </c>
      <c r="AE4" t="s">
        <v>43</v>
      </c>
      <c r="AF4" t="s">
        <v>46</v>
      </c>
    </row>
    <row r="5" spans="1:38" x14ac:dyDescent="0.25">
      <c r="A5" s="5" t="s">
        <v>39</v>
      </c>
      <c r="B5" s="5" t="s">
        <v>29</v>
      </c>
      <c r="C5" s="5" t="str">
        <f t="shared" si="0"/>
        <v>description,dailCompDescFangshi3,</v>
      </c>
      <c r="D5" s="5" t="str">
        <f t="shared" si="2"/>
        <v>itemText,dailCompTextFangshi3,</v>
      </c>
      <c r="E5" s="5" t="s">
        <v>25</v>
      </c>
      <c r="F5" s="5" t="str">
        <f t="shared" si="3"/>
        <v>augmentMasteryName1,records/skills/playerclass10/_classtraining_class10.dbr,</v>
      </c>
      <c r="G5" s="7">
        <f t="shared" ref="G5:G68" si="10">IF(I5&lt;&gt;"",G4+1,"")</f>
        <v>3</v>
      </c>
      <c r="H5" s="8" t="str">
        <f t="shared" ref="H5:H68" si="11">H4</f>
        <v>Fangshi</v>
      </c>
      <c r="I5" s="3" t="s">
        <v>176</v>
      </c>
      <c r="J5" s="8" t="str">
        <f t="shared" ref="J5:K20" si="12">J4</f>
        <v>class0010</v>
      </c>
      <c r="K5" s="8" t="str">
        <f t="shared" si="12"/>
        <v>dailoneskill0010</v>
      </c>
      <c r="L5" s="5" t="str">
        <f t="shared" si="4"/>
        <v>lootName3,DAIL/items/materia/class0010/Fangshi3.dbr,</v>
      </c>
      <c r="M5" s="5" t="str">
        <f t="shared" si="5"/>
        <v>lootWeight3,1,</v>
      </c>
      <c r="N5" t="str">
        <f t="shared" si="6"/>
        <v>3</v>
      </c>
      <c r="O5" s="5" t="str">
        <f>IF(I5&lt;&gt;"","copy .\dail_base2.dbr .\items\materia\"&amp;J5&amp;"\"&amp;H5&amp;G5&amp;".dbr /y"&amp;"","")</f>
        <v>copy .\dail_base2.dbr .\items\materia\class0010\Fangshi3.dbr /y</v>
      </c>
      <c r="P5" t="str">
        <f t="shared" si="7"/>
        <v>echo relicBitmap,items/craftingparts/components/component_a52_bristlyfur_b.tex, &gt;&gt; .\items\materia\class0010\Fangshi3.dbr</v>
      </c>
      <c r="Q5" t="str">
        <f t="shared" si="1"/>
        <v>echo itemCost,600000, &gt;&gt; .\items\materia\class0010\Fangshi3.dbr</v>
      </c>
      <c r="R5" t="str">
        <f t="shared" si="1"/>
        <v>echo description,dailCompDescFangshi3, &gt;&gt; .\items\materia\class0010\Fangshi3.dbr</v>
      </c>
      <c r="S5" t="str">
        <f t="shared" si="1"/>
        <v>echo itemText,dailCompTextFangshi3, &gt;&gt; .\items\materia\class0010\Fangshi3.dbr</v>
      </c>
      <c r="T5" t="str">
        <f t="shared" si="1"/>
        <v>echo augmentMasteryLevel1,3, &gt;&gt; .\items\materia\class0010\Fangshi3.dbr</v>
      </c>
      <c r="U5" t="str">
        <f t="shared" si="1"/>
        <v>echo augmentMasteryName1,records/skills/playerclass10/_classtraining_class10.dbr, &gt;&gt; .\items\materia\class0010\Fangshi3.dbr</v>
      </c>
      <c r="V5" s="5" t="s">
        <v>36</v>
      </c>
      <c r="W5" t="str">
        <f t="shared" si="8"/>
        <v>echo lootName3,DAIL/items/materia/class0010/Fangshi3.dbr, &gt;&gt; .\items\loottables\dailoneskill0010.dbr</v>
      </c>
      <c r="X5" t="str">
        <f t="shared" si="8"/>
        <v>echo lootWeight3,1, &gt;&gt; .\items\loottables\dailoneskill0010.dbr</v>
      </c>
      <c r="Y5" s="5" t="s">
        <v>36</v>
      </c>
      <c r="Z5" s="10" t="str">
        <f t="shared" si="9"/>
        <v xml:space="preserve"> dailCompDescFangshi3=^pFangshi's Gift of DAIL</v>
      </c>
      <c r="AA5" s="10" t="str">
        <f>IF(I4&lt;&gt;"","dailCompText"&amp;H5&amp;G5&amp;"=^oThis feels warm to the touch, almost familiar ^w(This component fits into the amulet only)","")</f>
        <v>dailCompTextFangshi3=^oThis feels warm to the touch, almost familiar ^w(This component fits into the amulet only)</v>
      </c>
      <c r="AB5" s="5" t="s">
        <v>36</v>
      </c>
      <c r="AD5">
        <v>5</v>
      </c>
      <c r="AE5" t="s">
        <v>43</v>
      </c>
      <c r="AF5" t="s">
        <v>46</v>
      </c>
      <c r="AI5" t="s">
        <v>61</v>
      </c>
    </row>
    <row r="6" spans="1:38" x14ac:dyDescent="0.25">
      <c r="A6" s="5" t="s">
        <v>39</v>
      </c>
      <c r="B6" s="5" t="s">
        <v>0</v>
      </c>
      <c r="C6" s="5" t="str">
        <f t="shared" si="0"/>
        <v>description,dailCompDescFangshi4,</v>
      </c>
      <c r="D6" s="5" t="str">
        <f t="shared" si="2"/>
        <v>itemText,dailCompTextFangshi4,</v>
      </c>
      <c r="E6" s="5" t="str">
        <f>"augmentSkillLevel1,"&amp;AJ6&amp;","</f>
        <v>augmentSkillLevel1,1,</v>
      </c>
      <c r="F6" s="5" t="str">
        <f>"augmentSkillName1,records/skills"&amp;I6&amp;","</f>
        <v>augmentSkillName1,records/skills/playerclass10/snow_rush_tra.dbr,</v>
      </c>
      <c r="G6" s="7">
        <f t="shared" si="10"/>
        <v>4</v>
      </c>
      <c r="H6" s="8" t="str">
        <f t="shared" si="11"/>
        <v>Fangshi</v>
      </c>
      <c r="I6" s="3" t="s">
        <v>417</v>
      </c>
      <c r="J6" s="8" t="str">
        <f t="shared" si="12"/>
        <v>class0010</v>
      </c>
      <c r="K6" s="8" t="str">
        <f t="shared" si="12"/>
        <v>dailoneskill0010</v>
      </c>
      <c r="L6" s="5" t="str">
        <f t="shared" si="4"/>
        <v>lootName4,DAIL/items/materia/class0010/Fangshi4.dbr,</v>
      </c>
      <c r="M6" s="5" t="str">
        <f t="shared" si="5"/>
        <v>lootWeight4,1,</v>
      </c>
      <c r="N6" t="str">
        <f t="shared" si="6"/>
        <v>1</v>
      </c>
      <c r="O6" t="str">
        <f>IF(I6&lt;&gt;"","copy .\"&amp;VLOOKUP(VALUE(N6),$AD$3:$AF$5,2,FALSE)&amp;" .\items\materia\"&amp;J6&amp;"\"&amp;H6&amp;G6&amp;".dbr /y"&amp;"","")</f>
        <v>copy .\dail_base.dbr .\items\materia\class0010\Fangshi4.dbr /y</v>
      </c>
      <c r="P6" t="str">
        <f t="shared" si="7"/>
        <v>echo relicBitmap,items/craftingparts/components/component_a52_bristlyfur_b.tex, &gt;&gt; .\items\materia\class0010\Fangshi4.dbr</v>
      </c>
      <c r="Q6" t="str">
        <f t="shared" si="1"/>
        <v>echo itemCost,100000, &gt;&gt; .\items\materia\class0010\Fangshi4.dbr</v>
      </c>
      <c r="R6" t="str">
        <f t="shared" si="1"/>
        <v>echo description,dailCompDescFangshi4, &gt;&gt; .\items\materia\class0010\Fangshi4.dbr</v>
      </c>
      <c r="S6" t="str">
        <f t="shared" si="1"/>
        <v>echo itemText,dailCompTextFangshi4, &gt;&gt; .\items\materia\class0010\Fangshi4.dbr</v>
      </c>
      <c r="T6" t="str">
        <f t="shared" si="1"/>
        <v>echo augmentSkillLevel1,1, &gt;&gt; .\items\materia\class0010\Fangshi4.dbr</v>
      </c>
      <c r="U6" t="str">
        <f t="shared" si="1"/>
        <v>echo augmentSkillName1,records/skills/playerclass10/snow_rush_tra.dbr, &gt;&gt; .\items\materia\class0010\Fangshi4.dbr</v>
      </c>
      <c r="V6" s="5" t="s">
        <v>36</v>
      </c>
      <c r="W6" t="str">
        <f t="shared" si="8"/>
        <v>echo lootName4,DAIL/items/materia/class0010/Fangshi4.dbr, &gt;&gt; .\items\loottables\dailoneskill0010.dbr</v>
      </c>
      <c r="X6" t="str">
        <f t="shared" si="8"/>
        <v>echo lootWeight4,1, &gt;&gt; .\items\loottables\dailoneskill0010.dbr</v>
      </c>
      <c r="Y6" s="5" t="s">
        <v>36</v>
      </c>
      <c r="Z6" t="str">
        <f t="shared" si="9"/>
        <v xml:space="preserve"> dailCompDescFangshi4=^pFangshi's Gift of DAIL</v>
      </c>
      <c r="AA6" t="str">
        <f>IF(I5&lt;&gt;"","dailCompText"&amp;H6&amp;G6&amp;"=^oThis feels warm to the touch, almost familiar ^w("&amp;VLOOKUP(VALUE(N6),$AD$3:$AF$5,3,FALSE)&amp;")","")</f>
        <v>dailCompTextFangshi4=^oThis feels warm to the touch, almost familiar ^w(This component fits into all Jewellery slots including the Belt And Shoulder)</v>
      </c>
      <c r="AB6" s="5" t="s">
        <v>36</v>
      </c>
      <c r="AH6">
        <v>1</v>
      </c>
      <c r="AI6">
        <f t="shared" ref="AI6:AI37" si="13">LEN(I6)</f>
        <v>32</v>
      </c>
      <c r="AJ6">
        <f>IF(AH6&lt;$AL$7,1,IF(AH6&lt;$AL$8,3,5))</f>
        <v>1</v>
      </c>
      <c r="AK6" s="1" t="s">
        <v>62</v>
      </c>
      <c r="AL6" s="1">
        <f>COUNTIF(AI:AI,"&gt;0")</f>
        <v>96</v>
      </c>
    </row>
    <row r="7" spans="1:38" x14ac:dyDescent="0.25">
      <c r="A7" s="5" t="s">
        <v>39</v>
      </c>
      <c r="B7" s="5" t="s">
        <v>0</v>
      </c>
      <c r="C7" s="5" t="str">
        <f t="shared" si="0"/>
        <v>description,dailCompDescFangshi5,</v>
      </c>
      <c r="D7" s="5" t="str">
        <f t="shared" si="2"/>
        <v>itemText,dailCompTextFangshi5,</v>
      </c>
      <c r="E7" s="5" t="str">
        <f t="shared" ref="E7:E70" si="14">"augmentSkillLevel1,"&amp;AJ7&amp;","</f>
        <v>augmentSkillLevel1,1,</v>
      </c>
      <c r="F7" s="5" t="str">
        <f t="shared" ref="F7:F70" si="15">"augmentSkillName1,records/skills"&amp;I7&amp;","</f>
        <v>augmentSkillName1,records/skills/playerclass10/snow_rush_mod1.dbr,</v>
      </c>
      <c r="G7" s="7">
        <f t="shared" si="10"/>
        <v>5</v>
      </c>
      <c r="H7" s="8" t="str">
        <f t="shared" si="11"/>
        <v>Fangshi</v>
      </c>
      <c r="I7" s="3" t="s">
        <v>418</v>
      </c>
      <c r="J7" s="8" t="str">
        <f t="shared" si="12"/>
        <v>class0010</v>
      </c>
      <c r="K7" s="8" t="str">
        <f t="shared" si="12"/>
        <v>dailoneskill0010</v>
      </c>
      <c r="L7" s="5" t="str">
        <f t="shared" si="4"/>
        <v>lootName5,DAIL/items/materia/class0010/Fangshi5.dbr,</v>
      </c>
      <c r="M7" s="5" t="str">
        <f t="shared" si="5"/>
        <v>lootWeight5,1,</v>
      </c>
      <c r="N7" t="str">
        <f t="shared" si="6"/>
        <v>1</v>
      </c>
      <c r="O7" t="str">
        <f t="shared" ref="O7:O70" si="16">IF(I7&lt;&gt;"","copy .\"&amp;VLOOKUP(VALUE(N7),$AD$3:$AF$5,2,FALSE)&amp;" .\items\materia\"&amp;J7&amp;"\"&amp;H7&amp;G7&amp;".dbr /y"&amp;"","")</f>
        <v>copy .\dail_base.dbr .\items\materia\class0010\Fangshi5.dbr /y</v>
      </c>
      <c r="P7" t="str">
        <f t="shared" si="7"/>
        <v>echo relicBitmap,items/craftingparts/components/component_a52_bristlyfur_b.tex, &gt;&gt; .\items\materia\class0010\Fangshi5.dbr</v>
      </c>
      <c r="Q7" t="str">
        <f t="shared" si="1"/>
        <v>echo itemCost,100000, &gt;&gt; .\items\materia\class0010\Fangshi5.dbr</v>
      </c>
      <c r="R7" t="str">
        <f t="shared" si="1"/>
        <v>echo description,dailCompDescFangshi5, &gt;&gt; .\items\materia\class0010\Fangshi5.dbr</v>
      </c>
      <c r="S7" t="str">
        <f t="shared" si="1"/>
        <v>echo itemText,dailCompTextFangshi5, &gt;&gt; .\items\materia\class0010\Fangshi5.dbr</v>
      </c>
      <c r="T7" t="str">
        <f t="shared" si="1"/>
        <v>echo augmentSkillLevel1,1, &gt;&gt; .\items\materia\class0010\Fangshi5.dbr</v>
      </c>
      <c r="U7" t="str">
        <f t="shared" si="1"/>
        <v>echo augmentSkillName1,records/skills/playerclass10/snow_rush_mod1.dbr, &gt;&gt; .\items\materia\class0010\Fangshi5.dbr</v>
      </c>
      <c r="V7" s="5" t="s">
        <v>36</v>
      </c>
      <c r="W7" t="str">
        <f t="shared" si="8"/>
        <v>echo lootName5,DAIL/items/materia/class0010/Fangshi5.dbr, &gt;&gt; .\items\loottables\dailoneskill0010.dbr</v>
      </c>
      <c r="X7" t="str">
        <f t="shared" si="8"/>
        <v>echo lootWeight5,1, &gt;&gt; .\items\loottables\dailoneskill0010.dbr</v>
      </c>
      <c r="Y7" s="5" t="s">
        <v>36</v>
      </c>
      <c r="Z7" t="str">
        <f t="shared" si="9"/>
        <v xml:space="preserve"> dailCompDescFangshi5=^pFangshi's Gift of DAIL</v>
      </c>
      <c r="AA7" t="str">
        <f t="shared" ref="AA7:AA70" si="17">IF(I6&lt;&gt;"","dailCompText"&amp;H7&amp;G7&amp;"=^oThis feels warm to the touch, almost familiar ^w("&amp;VLOOKUP(VALUE(N7),$AD$3:$AF$5,3,FALSE)&amp;")","")</f>
        <v>dailCompTextFangshi5=^oThis feels warm to the touch, almost familiar ^w(This component fits into all Jewellery slots including the Belt And Shoulder)</v>
      </c>
      <c r="AB7" s="5" t="s">
        <v>36</v>
      </c>
      <c r="AH7">
        <f>AH6+1</f>
        <v>2</v>
      </c>
      <c r="AI7">
        <f t="shared" si="13"/>
        <v>33</v>
      </c>
      <c r="AJ7">
        <f t="shared" ref="AJ7:AJ70" si="18">IF(AH7&lt;$AL$7,1,IF(AH7&lt;$AL$8,3,5))</f>
        <v>1</v>
      </c>
      <c r="AK7">
        <v>1</v>
      </c>
      <c r="AL7">
        <f>AL6/3</f>
        <v>32</v>
      </c>
    </row>
    <row r="8" spans="1:38" x14ac:dyDescent="0.25">
      <c r="A8" s="5" t="s">
        <v>39</v>
      </c>
      <c r="B8" s="5" t="s">
        <v>0</v>
      </c>
      <c r="C8" s="5" t="str">
        <f t="shared" si="0"/>
        <v>description,dailCompDescFangshi6,</v>
      </c>
      <c r="D8" s="5" t="str">
        <f t="shared" si="2"/>
        <v>itemText,dailCompTextFangshi6,</v>
      </c>
      <c r="E8" s="5" t="str">
        <f t="shared" si="14"/>
        <v>augmentSkillLevel1,1,</v>
      </c>
      <c r="F8" s="5" t="str">
        <f t="shared" si="15"/>
        <v>augmentSkillName1,records/skills/playerclass10/snow_rush_mod3.dbr,</v>
      </c>
      <c r="G8" s="7">
        <f t="shared" si="10"/>
        <v>6</v>
      </c>
      <c r="H8" s="8" t="str">
        <f t="shared" si="11"/>
        <v>Fangshi</v>
      </c>
      <c r="I8" s="3" t="s">
        <v>419</v>
      </c>
      <c r="J8" s="8" t="str">
        <f t="shared" si="12"/>
        <v>class0010</v>
      </c>
      <c r="K8" s="8" t="str">
        <f t="shared" si="12"/>
        <v>dailoneskill0010</v>
      </c>
      <c r="L8" s="5" t="str">
        <f t="shared" si="4"/>
        <v>lootName6,DAIL/items/materia/class0010/Fangshi6.dbr,</v>
      </c>
      <c r="M8" s="5" t="str">
        <f t="shared" si="5"/>
        <v>lootWeight6,1,</v>
      </c>
      <c r="N8" t="str">
        <f t="shared" si="6"/>
        <v>1</v>
      </c>
      <c r="O8" t="str">
        <f t="shared" si="16"/>
        <v>copy .\dail_base.dbr .\items\materia\class0010\Fangshi6.dbr /y</v>
      </c>
      <c r="P8" t="str">
        <f t="shared" si="7"/>
        <v>echo relicBitmap,items/craftingparts/components/component_a52_bristlyfur_b.tex, &gt;&gt; .\items\materia\class0010\Fangshi6.dbr</v>
      </c>
      <c r="Q8" t="str">
        <f t="shared" si="1"/>
        <v>echo itemCost,100000, &gt;&gt; .\items\materia\class0010\Fangshi6.dbr</v>
      </c>
      <c r="R8" t="str">
        <f t="shared" si="1"/>
        <v>echo description,dailCompDescFangshi6, &gt;&gt; .\items\materia\class0010\Fangshi6.dbr</v>
      </c>
      <c r="S8" t="str">
        <f t="shared" si="1"/>
        <v>echo itemText,dailCompTextFangshi6, &gt;&gt; .\items\materia\class0010\Fangshi6.dbr</v>
      </c>
      <c r="T8" t="str">
        <f t="shared" si="1"/>
        <v>echo augmentSkillLevel1,1, &gt;&gt; .\items\materia\class0010\Fangshi6.dbr</v>
      </c>
      <c r="U8" t="str">
        <f t="shared" si="1"/>
        <v>echo augmentSkillName1,records/skills/playerclass10/snow_rush_mod3.dbr, &gt;&gt; .\items\materia\class0010\Fangshi6.dbr</v>
      </c>
      <c r="V8" s="5" t="s">
        <v>36</v>
      </c>
      <c r="W8" t="str">
        <f t="shared" si="8"/>
        <v>echo lootName6,DAIL/items/materia/class0010/Fangshi6.dbr, &gt;&gt; .\items\loottables\dailoneskill0010.dbr</v>
      </c>
      <c r="X8" t="str">
        <f t="shared" si="8"/>
        <v>echo lootWeight6,1, &gt;&gt; .\items\loottables\dailoneskill0010.dbr</v>
      </c>
      <c r="Y8" s="5" t="s">
        <v>36</v>
      </c>
      <c r="Z8" t="str">
        <f t="shared" si="9"/>
        <v xml:space="preserve"> dailCompDescFangshi6=^pFangshi's Gift of DAIL</v>
      </c>
      <c r="AA8" t="str">
        <f t="shared" si="17"/>
        <v>dailCompTextFangshi6=^oThis feels warm to the touch, almost familiar ^w(This component fits into all Jewellery slots including the Belt And Shoulder)</v>
      </c>
      <c r="AB8" s="5" t="s">
        <v>36</v>
      </c>
      <c r="AH8">
        <f t="shared" ref="AH8:AH71" si="19">AH7+1</f>
        <v>3</v>
      </c>
      <c r="AI8">
        <f t="shared" si="13"/>
        <v>33</v>
      </c>
      <c r="AJ8">
        <f t="shared" si="18"/>
        <v>1</v>
      </c>
      <c r="AK8" s="1">
        <v>3</v>
      </c>
      <c r="AL8">
        <f>AL7*2</f>
        <v>64</v>
      </c>
    </row>
    <row r="9" spans="1:38" x14ac:dyDescent="0.25">
      <c r="A9" s="5" t="s">
        <v>39</v>
      </c>
      <c r="B9" s="5" t="s">
        <v>0</v>
      </c>
      <c r="C9" s="5" t="str">
        <f t="shared" si="0"/>
        <v>description,dailCompDescFangshi7,</v>
      </c>
      <c r="D9" s="5" t="str">
        <f t="shared" si="2"/>
        <v>itemText,dailCompTextFangshi7,</v>
      </c>
      <c r="E9" s="5" t="str">
        <f t="shared" si="14"/>
        <v>augmentSkillLevel1,1,</v>
      </c>
      <c r="F9" s="5" t="str">
        <f t="shared" si="15"/>
        <v>augmentSkillName1,records/skills/playerclass10/breathefire.dbr,</v>
      </c>
      <c r="G9" s="7">
        <f t="shared" si="10"/>
        <v>7</v>
      </c>
      <c r="H9" s="8" t="str">
        <f t="shared" si="11"/>
        <v>Fangshi</v>
      </c>
      <c r="I9" s="3" t="s">
        <v>177</v>
      </c>
      <c r="J9" s="8" t="str">
        <f t="shared" si="12"/>
        <v>class0010</v>
      </c>
      <c r="K9" s="8" t="str">
        <f t="shared" si="12"/>
        <v>dailoneskill0010</v>
      </c>
      <c r="L9" s="5" t="str">
        <f t="shared" si="4"/>
        <v>lootName7,DAIL/items/materia/class0010/Fangshi7.dbr,</v>
      </c>
      <c r="M9" s="5" t="str">
        <f t="shared" si="5"/>
        <v>lootWeight7,1,</v>
      </c>
      <c r="N9" t="str">
        <f t="shared" si="6"/>
        <v>1</v>
      </c>
      <c r="O9" t="str">
        <f t="shared" si="16"/>
        <v>copy .\dail_base.dbr .\items\materia\class0010\Fangshi7.dbr /y</v>
      </c>
      <c r="P9" t="str">
        <f t="shared" si="7"/>
        <v>echo relicBitmap,items/craftingparts/components/component_a52_bristlyfur_b.tex, &gt;&gt; .\items\materia\class0010\Fangshi7.dbr</v>
      </c>
      <c r="Q9" t="str">
        <f t="shared" si="1"/>
        <v>echo itemCost,100000, &gt;&gt; .\items\materia\class0010\Fangshi7.dbr</v>
      </c>
      <c r="R9" t="str">
        <f t="shared" si="1"/>
        <v>echo description,dailCompDescFangshi7, &gt;&gt; .\items\materia\class0010\Fangshi7.dbr</v>
      </c>
      <c r="S9" t="str">
        <f t="shared" si="1"/>
        <v>echo itemText,dailCompTextFangshi7, &gt;&gt; .\items\materia\class0010\Fangshi7.dbr</v>
      </c>
      <c r="T9" t="str">
        <f t="shared" si="1"/>
        <v>echo augmentSkillLevel1,1, &gt;&gt; .\items\materia\class0010\Fangshi7.dbr</v>
      </c>
      <c r="U9" t="str">
        <f t="shared" si="1"/>
        <v>echo augmentSkillName1,records/skills/playerclass10/breathefire.dbr, &gt;&gt; .\items\materia\class0010\Fangshi7.dbr</v>
      </c>
      <c r="V9" s="5" t="s">
        <v>36</v>
      </c>
      <c r="W9" t="str">
        <f t="shared" si="8"/>
        <v>echo lootName7,DAIL/items/materia/class0010/Fangshi7.dbr, &gt;&gt; .\items\loottables\dailoneskill0010.dbr</v>
      </c>
      <c r="X9" t="str">
        <f t="shared" si="8"/>
        <v>echo lootWeight7,1, &gt;&gt; .\items\loottables\dailoneskill0010.dbr</v>
      </c>
      <c r="Y9" s="5" t="s">
        <v>36</v>
      </c>
      <c r="Z9" t="str">
        <f t="shared" si="9"/>
        <v xml:space="preserve"> dailCompDescFangshi7=^pFangshi's Gift of DAIL</v>
      </c>
      <c r="AA9" t="str">
        <f t="shared" si="17"/>
        <v>dailCompTextFangshi7=^oThis feels warm to the touch, almost familiar ^w(This component fits into all Jewellery slots including the Belt And Shoulder)</v>
      </c>
      <c r="AB9" s="5" t="s">
        <v>36</v>
      </c>
      <c r="AH9">
        <f t="shared" si="19"/>
        <v>4</v>
      </c>
      <c r="AI9">
        <f t="shared" si="13"/>
        <v>30</v>
      </c>
      <c r="AJ9">
        <f t="shared" si="18"/>
        <v>1</v>
      </c>
      <c r="AK9" s="1">
        <v>5</v>
      </c>
      <c r="AL9">
        <f>AL6</f>
        <v>96</v>
      </c>
    </row>
    <row r="10" spans="1:38" x14ac:dyDescent="0.25">
      <c r="A10" s="5" t="s">
        <v>39</v>
      </c>
      <c r="B10" s="5" t="s">
        <v>0</v>
      </c>
      <c r="C10" s="5" t="str">
        <f t="shared" si="0"/>
        <v>description,dailCompDescFangshi8,</v>
      </c>
      <c r="D10" s="5" t="str">
        <f t="shared" si="2"/>
        <v>itemText,dailCompTextFangshi8,</v>
      </c>
      <c r="E10" s="5" t="str">
        <f t="shared" si="14"/>
        <v>augmentSkillLevel1,1,</v>
      </c>
      <c r="F10" s="5" t="str">
        <f t="shared" si="15"/>
        <v>augmentSkillName1,records/skills/playerclass10/rootglab.dbr,</v>
      </c>
      <c r="G10" s="7">
        <f t="shared" si="10"/>
        <v>8</v>
      </c>
      <c r="H10" s="8" t="str">
        <f t="shared" si="11"/>
        <v>Fangshi</v>
      </c>
      <c r="I10" s="3" t="s">
        <v>182</v>
      </c>
      <c r="J10" s="8" t="str">
        <f t="shared" si="12"/>
        <v>class0010</v>
      </c>
      <c r="K10" s="8" t="str">
        <f t="shared" si="12"/>
        <v>dailoneskill0010</v>
      </c>
      <c r="L10" s="5" t="str">
        <f t="shared" si="4"/>
        <v>lootName8,DAIL/items/materia/class0010/Fangshi8.dbr,</v>
      </c>
      <c r="M10" s="5" t="str">
        <f t="shared" si="5"/>
        <v>lootWeight8,1,</v>
      </c>
      <c r="N10" t="str">
        <f t="shared" si="6"/>
        <v>1</v>
      </c>
      <c r="O10" t="str">
        <f t="shared" si="16"/>
        <v>copy .\dail_base.dbr .\items\materia\class0010\Fangshi8.dbr /y</v>
      </c>
      <c r="P10" t="str">
        <f t="shared" si="7"/>
        <v>echo relicBitmap,items/craftingparts/components/component_a52_bristlyfur_b.tex, &gt;&gt; .\items\materia\class0010\Fangshi8.dbr</v>
      </c>
      <c r="Q10" t="str">
        <f t="shared" si="1"/>
        <v>echo itemCost,100000, &gt;&gt; .\items\materia\class0010\Fangshi8.dbr</v>
      </c>
      <c r="R10" t="str">
        <f t="shared" si="1"/>
        <v>echo description,dailCompDescFangshi8, &gt;&gt; .\items\materia\class0010\Fangshi8.dbr</v>
      </c>
      <c r="S10" t="str">
        <f t="shared" si="1"/>
        <v>echo itemText,dailCompTextFangshi8, &gt;&gt; .\items\materia\class0010\Fangshi8.dbr</v>
      </c>
      <c r="T10" t="str">
        <f t="shared" si="1"/>
        <v>echo augmentSkillLevel1,1, &gt;&gt; .\items\materia\class0010\Fangshi8.dbr</v>
      </c>
      <c r="U10" t="str">
        <f t="shared" si="1"/>
        <v>echo augmentSkillName1,records/skills/playerclass10/rootglab.dbr, &gt;&gt; .\items\materia\class0010\Fangshi8.dbr</v>
      </c>
      <c r="V10" s="5" t="s">
        <v>36</v>
      </c>
      <c r="W10" t="str">
        <f t="shared" si="8"/>
        <v>echo lootName8,DAIL/items/materia/class0010/Fangshi8.dbr, &gt;&gt; .\items\loottables\dailoneskill0010.dbr</v>
      </c>
      <c r="X10" t="str">
        <f t="shared" si="8"/>
        <v>echo lootWeight8,1, &gt;&gt; .\items\loottables\dailoneskill0010.dbr</v>
      </c>
      <c r="Y10" s="5" t="s">
        <v>36</v>
      </c>
      <c r="Z10" t="str">
        <f t="shared" si="9"/>
        <v xml:space="preserve"> dailCompDescFangshi8=^pFangshi's Gift of DAIL</v>
      </c>
      <c r="AA10" t="str">
        <f t="shared" si="17"/>
        <v>dailCompTextFangshi8=^oThis feels warm to the touch, almost familiar ^w(This component fits into all Jewellery slots including the Belt And Shoulder)</v>
      </c>
      <c r="AB10" s="5" t="s">
        <v>36</v>
      </c>
      <c r="AH10">
        <f t="shared" si="19"/>
        <v>5</v>
      </c>
      <c r="AI10">
        <f t="shared" si="13"/>
        <v>27</v>
      </c>
      <c r="AJ10">
        <f t="shared" si="18"/>
        <v>1</v>
      </c>
    </row>
    <row r="11" spans="1:38" x14ac:dyDescent="0.25">
      <c r="A11" s="5" t="s">
        <v>39</v>
      </c>
      <c r="B11" s="5" t="s">
        <v>0</v>
      </c>
      <c r="C11" s="5" t="str">
        <f t="shared" si="0"/>
        <v>description,dailCompDescFangshi9,</v>
      </c>
      <c r="D11" s="5" t="str">
        <f t="shared" si="2"/>
        <v>itemText,dailCompTextFangshi9,</v>
      </c>
      <c r="E11" s="5" t="str">
        <f t="shared" si="14"/>
        <v>augmentSkillLevel1,1,</v>
      </c>
      <c r="F11" s="5" t="str">
        <f t="shared" si="15"/>
        <v>augmentSkillName1,records/skills/playerclass10/rootglab_mod1.dbr,</v>
      </c>
      <c r="G11" s="7">
        <f t="shared" si="10"/>
        <v>9</v>
      </c>
      <c r="H11" s="8" t="str">
        <f t="shared" si="11"/>
        <v>Fangshi</v>
      </c>
      <c r="I11" s="3" t="s">
        <v>420</v>
      </c>
      <c r="J11" s="8" t="str">
        <f t="shared" si="12"/>
        <v>class0010</v>
      </c>
      <c r="K11" s="8" t="str">
        <f t="shared" si="12"/>
        <v>dailoneskill0010</v>
      </c>
      <c r="L11" s="5" t="str">
        <f t="shared" si="4"/>
        <v>lootName9,DAIL/items/materia/class0010/Fangshi9.dbr,</v>
      </c>
      <c r="M11" s="5" t="str">
        <f t="shared" si="5"/>
        <v>lootWeight9,1,</v>
      </c>
      <c r="N11" t="str">
        <f t="shared" si="6"/>
        <v>1</v>
      </c>
      <c r="O11" t="str">
        <f t="shared" si="16"/>
        <v>copy .\dail_base.dbr .\items\materia\class0010\Fangshi9.dbr /y</v>
      </c>
      <c r="P11" t="str">
        <f t="shared" si="7"/>
        <v>echo relicBitmap,items/craftingparts/components/component_a52_bristlyfur_b.tex, &gt;&gt; .\items\materia\class0010\Fangshi9.dbr</v>
      </c>
      <c r="Q11" t="str">
        <f t="shared" si="1"/>
        <v>echo itemCost,100000, &gt;&gt; .\items\materia\class0010\Fangshi9.dbr</v>
      </c>
      <c r="R11" t="str">
        <f t="shared" si="1"/>
        <v>echo description,dailCompDescFangshi9, &gt;&gt; .\items\materia\class0010\Fangshi9.dbr</v>
      </c>
      <c r="S11" t="str">
        <f t="shared" si="1"/>
        <v>echo itemText,dailCompTextFangshi9, &gt;&gt; .\items\materia\class0010\Fangshi9.dbr</v>
      </c>
      <c r="T11" t="str">
        <f t="shared" si="1"/>
        <v>echo augmentSkillLevel1,1, &gt;&gt; .\items\materia\class0010\Fangshi9.dbr</v>
      </c>
      <c r="U11" t="str">
        <f t="shared" si="1"/>
        <v>echo augmentSkillName1,records/skills/playerclass10/rootglab_mod1.dbr, &gt;&gt; .\items\materia\class0010\Fangshi9.dbr</v>
      </c>
      <c r="V11" s="5" t="s">
        <v>36</v>
      </c>
      <c r="W11" t="str">
        <f t="shared" si="8"/>
        <v>echo lootName9,DAIL/items/materia/class0010/Fangshi9.dbr, &gt;&gt; .\items\loottables\dailoneskill0010.dbr</v>
      </c>
      <c r="X11" t="str">
        <f t="shared" si="8"/>
        <v>echo lootWeight9,1, &gt;&gt; .\items\loottables\dailoneskill0010.dbr</v>
      </c>
      <c r="Y11" s="5" t="s">
        <v>36</v>
      </c>
      <c r="Z11" t="str">
        <f t="shared" si="9"/>
        <v xml:space="preserve"> dailCompDescFangshi9=^pFangshi's Gift of DAIL</v>
      </c>
      <c r="AA11" t="str">
        <f t="shared" si="17"/>
        <v>dailCompTextFangshi9=^oThis feels warm to the touch, almost familiar ^w(This component fits into all Jewellery slots including the Belt And Shoulder)</v>
      </c>
      <c r="AB11" s="5" t="s">
        <v>36</v>
      </c>
      <c r="AH11">
        <f t="shared" si="19"/>
        <v>6</v>
      </c>
      <c r="AI11">
        <f t="shared" si="13"/>
        <v>32</v>
      </c>
      <c r="AJ11">
        <f t="shared" si="18"/>
        <v>1</v>
      </c>
    </row>
    <row r="12" spans="1:38" x14ac:dyDescent="0.25">
      <c r="A12" s="5" t="s">
        <v>39</v>
      </c>
      <c r="B12" s="5" t="s">
        <v>0</v>
      </c>
      <c r="C12" s="5" t="str">
        <f t="shared" si="0"/>
        <v>description,dailCompDescFangshi10,</v>
      </c>
      <c r="D12" s="5" t="str">
        <f t="shared" si="2"/>
        <v>itemText,dailCompTextFangshi10,</v>
      </c>
      <c r="E12" s="5" t="str">
        <f t="shared" si="14"/>
        <v>augmentSkillLevel1,1,</v>
      </c>
      <c r="F12" s="5" t="str">
        <f t="shared" si="15"/>
        <v>augmentSkillName1,records/skills/playerclass10/rootglab_t.dbr,</v>
      </c>
      <c r="G12" s="7">
        <f t="shared" si="10"/>
        <v>10</v>
      </c>
      <c r="H12" s="8" t="str">
        <f t="shared" si="11"/>
        <v>Fangshi</v>
      </c>
      <c r="I12" s="3" t="s">
        <v>421</v>
      </c>
      <c r="J12" s="8" t="str">
        <f t="shared" si="12"/>
        <v>class0010</v>
      </c>
      <c r="K12" s="8" t="str">
        <f t="shared" si="12"/>
        <v>dailoneskill0010</v>
      </c>
      <c r="L12" s="5" t="str">
        <f t="shared" si="4"/>
        <v>lootName10,DAIL/items/materia/class0010/Fangshi10.dbr,</v>
      </c>
      <c r="M12" s="5" t="str">
        <f t="shared" si="5"/>
        <v>lootWeight10,1,</v>
      </c>
      <c r="N12" t="str">
        <f t="shared" si="6"/>
        <v>1</v>
      </c>
      <c r="O12" t="str">
        <f t="shared" si="16"/>
        <v>copy .\dail_base.dbr .\items\materia\class0010\Fangshi10.dbr /y</v>
      </c>
      <c r="P12" t="str">
        <f t="shared" si="7"/>
        <v>echo relicBitmap,items/craftingparts/components/component_a52_bristlyfur_b.tex, &gt;&gt; .\items\materia\class0010\Fangshi10.dbr</v>
      </c>
      <c r="Q12" t="str">
        <f t="shared" si="1"/>
        <v>echo itemCost,100000, &gt;&gt; .\items\materia\class0010\Fangshi10.dbr</v>
      </c>
      <c r="R12" t="str">
        <f t="shared" si="1"/>
        <v>echo description,dailCompDescFangshi10, &gt;&gt; .\items\materia\class0010\Fangshi10.dbr</v>
      </c>
      <c r="S12" t="str">
        <f t="shared" si="1"/>
        <v>echo itemText,dailCompTextFangshi10, &gt;&gt; .\items\materia\class0010\Fangshi10.dbr</v>
      </c>
      <c r="T12" t="str">
        <f t="shared" si="1"/>
        <v>echo augmentSkillLevel1,1, &gt;&gt; .\items\materia\class0010\Fangshi10.dbr</v>
      </c>
      <c r="U12" t="str">
        <f t="shared" si="1"/>
        <v>echo augmentSkillName1,records/skills/playerclass10/rootglab_t.dbr, &gt;&gt; .\items\materia\class0010\Fangshi10.dbr</v>
      </c>
      <c r="V12" s="5" t="s">
        <v>36</v>
      </c>
      <c r="W12" t="str">
        <f t="shared" si="8"/>
        <v>echo lootName10,DAIL/items/materia/class0010/Fangshi10.dbr, &gt;&gt; .\items\loottables\dailoneskill0010.dbr</v>
      </c>
      <c r="X12" t="str">
        <f t="shared" si="8"/>
        <v>echo lootWeight10,1, &gt;&gt; .\items\loottables\dailoneskill0010.dbr</v>
      </c>
      <c r="Y12" s="5" t="s">
        <v>36</v>
      </c>
      <c r="Z12" t="str">
        <f t="shared" si="9"/>
        <v xml:space="preserve"> dailCompDescFangshi10=^pFangshi's Gift of DAIL</v>
      </c>
      <c r="AA12" t="str">
        <f t="shared" si="17"/>
        <v>dailCompTextFangshi10=^oThis feels warm to the touch, almost familiar ^w(This component fits into all Jewellery slots including the Belt And Shoulder)</v>
      </c>
      <c r="AB12" s="5" t="s">
        <v>36</v>
      </c>
      <c r="AH12">
        <f t="shared" si="19"/>
        <v>7</v>
      </c>
      <c r="AI12">
        <f t="shared" si="13"/>
        <v>29</v>
      </c>
      <c r="AJ12">
        <f t="shared" si="18"/>
        <v>1</v>
      </c>
    </row>
    <row r="13" spans="1:38" x14ac:dyDescent="0.25">
      <c r="A13" s="5" t="s">
        <v>39</v>
      </c>
      <c r="B13" s="5" t="s">
        <v>0</v>
      </c>
      <c r="C13" s="5" t="str">
        <f t="shared" si="0"/>
        <v>description,dailCompDescFangshi11,</v>
      </c>
      <c r="D13" s="5" t="str">
        <f t="shared" si="2"/>
        <v>itemText,dailCompTextFangshi11,</v>
      </c>
      <c r="E13" s="5" t="str">
        <f t="shared" si="14"/>
        <v>augmentSkillLevel1,1,</v>
      </c>
      <c r="F13" s="5" t="str">
        <f t="shared" si="15"/>
        <v>augmentSkillName1,records/skills/playerclass10/rootglab_mod2.dbr,</v>
      </c>
      <c r="G13" s="7">
        <f t="shared" si="10"/>
        <v>11</v>
      </c>
      <c r="H13" s="8" t="str">
        <f t="shared" si="11"/>
        <v>Fangshi</v>
      </c>
      <c r="I13" s="3" t="s">
        <v>422</v>
      </c>
      <c r="J13" s="8" t="str">
        <f t="shared" si="12"/>
        <v>class0010</v>
      </c>
      <c r="K13" s="8" t="str">
        <f t="shared" si="12"/>
        <v>dailoneskill0010</v>
      </c>
      <c r="L13" s="5" t="str">
        <f t="shared" si="4"/>
        <v>lootName11,DAIL/items/materia/class0010/Fangshi11.dbr,</v>
      </c>
      <c r="M13" s="5" t="str">
        <f t="shared" si="5"/>
        <v>lootWeight11,1,</v>
      </c>
      <c r="N13" t="str">
        <f t="shared" si="6"/>
        <v>1</v>
      </c>
      <c r="O13" t="str">
        <f t="shared" si="16"/>
        <v>copy .\dail_base.dbr .\items\materia\class0010\Fangshi11.dbr /y</v>
      </c>
      <c r="P13" t="str">
        <f t="shared" si="7"/>
        <v>echo relicBitmap,items/craftingparts/components/component_a52_bristlyfur_b.tex, &gt;&gt; .\items\materia\class0010\Fangshi11.dbr</v>
      </c>
      <c r="Q13" t="str">
        <f t="shared" si="1"/>
        <v>echo itemCost,100000, &gt;&gt; .\items\materia\class0010\Fangshi11.dbr</v>
      </c>
      <c r="R13" t="str">
        <f t="shared" si="1"/>
        <v>echo description,dailCompDescFangshi11, &gt;&gt; .\items\materia\class0010\Fangshi11.dbr</v>
      </c>
      <c r="S13" t="str">
        <f t="shared" si="1"/>
        <v>echo itemText,dailCompTextFangshi11, &gt;&gt; .\items\materia\class0010\Fangshi11.dbr</v>
      </c>
      <c r="T13" t="str">
        <f t="shared" si="1"/>
        <v>echo augmentSkillLevel1,1, &gt;&gt; .\items\materia\class0010\Fangshi11.dbr</v>
      </c>
      <c r="U13" t="str">
        <f t="shared" si="1"/>
        <v>echo augmentSkillName1,records/skills/playerclass10/rootglab_mod2.dbr, &gt;&gt; .\items\materia\class0010\Fangshi11.dbr</v>
      </c>
      <c r="V13" s="5" t="s">
        <v>36</v>
      </c>
      <c r="W13" t="str">
        <f t="shared" si="8"/>
        <v>echo lootName11,DAIL/items/materia/class0010/Fangshi11.dbr, &gt;&gt; .\items\loottables\dailoneskill0010.dbr</v>
      </c>
      <c r="X13" t="str">
        <f t="shared" si="8"/>
        <v>echo lootWeight11,1, &gt;&gt; .\items\loottables\dailoneskill0010.dbr</v>
      </c>
      <c r="Y13" s="5" t="s">
        <v>36</v>
      </c>
      <c r="Z13" t="str">
        <f t="shared" si="9"/>
        <v xml:space="preserve"> dailCompDescFangshi11=^pFangshi's Gift of DAIL</v>
      </c>
      <c r="AA13" t="str">
        <f t="shared" si="17"/>
        <v>dailCompTextFangshi11=^oThis feels warm to the touch, almost familiar ^w(This component fits into all Jewellery slots including the Belt And Shoulder)</v>
      </c>
      <c r="AB13" s="5" t="s">
        <v>36</v>
      </c>
      <c r="AH13">
        <f t="shared" si="19"/>
        <v>8</v>
      </c>
      <c r="AI13">
        <f t="shared" si="13"/>
        <v>32</v>
      </c>
      <c r="AJ13">
        <f t="shared" si="18"/>
        <v>1</v>
      </c>
    </row>
    <row r="14" spans="1:38" x14ac:dyDescent="0.25">
      <c r="A14" s="5" t="s">
        <v>39</v>
      </c>
      <c r="B14" s="5" t="s">
        <v>0</v>
      </c>
      <c r="C14" s="5" t="str">
        <f t="shared" si="0"/>
        <v>description,dailCompDescFangshi12,</v>
      </c>
      <c r="D14" s="5" t="str">
        <f t="shared" si="2"/>
        <v>itemText,dailCompTextFangshi12,</v>
      </c>
      <c r="E14" s="5" t="str">
        <f t="shared" si="14"/>
        <v>augmentSkillLevel1,1,</v>
      </c>
      <c r="F14" s="5" t="str">
        <f t="shared" si="15"/>
        <v>augmentSkillName1,records/skills/playerclass10/sakura.dbr,</v>
      </c>
      <c r="G14" s="7">
        <f t="shared" si="10"/>
        <v>12</v>
      </c>
      <c r="H14" s="8" t="str">
        <f t="shared" si="11"/>
        <v>Fangshi</v>
      </c>
      <c r="I14" s="3" t="s">
        <v>183</v>
      </c>
      <c r="J14" s="8" t="str">
        <f t="shared" si="12"/>
        <v>class0010</v>
      </c>
      <c r="K14" s="8" t="str">
        <f t="shared" si="12"/>
        <v>dailoneskill0010</v>
      </c>
      <c r="L14" s="5" t="str">
        <f t="shared" si="4"/>
        <v>lootName12,DAIL/items/materia/class0010/Fangshi12.dbr,</v>
      </c>
      <c r="M14" s="5" t="str">
        <f t="shared" si="5"/>
        <v>lootWeight12,1,</v>
      </c>
      <c r="N14" t="str">
        <f t="shared" si="6"/>
        <v>1</v>
      </c>
      <c r="O14" t="str">
        <f t="shared" si="16"/>
        <v>copy .\dail_base.dbr .\items\materia\class0010\Fangshi12.dbr /y</v>
      </c>
      <c r="P14" t="str">
        <f t="shared" si="7"/>
        <v>echo relicBitmap,items/craftingparts/components/component_a52_bristlyfur_b.tex, &gt;&gt; .\items\materia\class0010\Fangshi12.dbr</v>
      </c>
      <c r="Q14" t="str">
        <f t="shared" si="1"/>
        <v>echo itemCost,100000, &gt;&gt; .\items\materia\class0010\Fangshi12.dbr</v>
      </c>
      <c r="R14" t="str">
        <f t="shared" si="1"/>
        <v>echo description,dailCompDescFangshi12, &gt;&gt; .\items\materia\class0010\Fangshi12.dbr</v>
      </c>
      <c r="S14" t="str">
        <f t="shared" si="1"/>
        <v>echo itemText,dailCompTextFangshi12, &gt;&gt; .\items\materia\class0010\Fangshi12.dbr</v>
      </c>
      <c r="T14" t="str">
        <f t="shared" si="1"/>
        <v>echo augmentSkillLevel1,1, &gt;&gt; .\items\materia\class0010\Fangshi12.dbr</v>
      </c>
      <c r="U14" t="str">
        <f t="shared" si="1"/>
        <v>echo augmentSkillName1,records/skills/playerclass10/sakura.dbr, &gt;&gt; .\items\materia\class0010\Fangshi12.dbr</v>
      </c>
      <c r="V14" s="5" t="s">
        <v>36</v>
      </c>
      <c r="W14" t="str">
        <f t="shared" si="8"/>
        <v>echo lootName12,DAIL/items/materia/class0010/Fangshi12.dbr, &gt;&gt; .\items\loottables\dailoneskill0010.dbr</v>
      </c>
      <c r="X14" t="str">
        <f t="shared" si="8"/>
        <v>echo lootWeight12,1, &gt;&gt; .\items\loottables\dailoneskill0010.dbr</v>
      </c>
      <c r="Y14" s="5" t="s">
        <v>36</v>
      </c>
      <c r="Z14" t="str">
        <f t="shared" si="9"/>
        <v xml:space="preserve"> dailCompDescFangshi12=^pFangshi's Gift of DAIL</v>
      </c>
      <c r="AA14" t="str">
        <f t="shared" si="17"/>
        <v>dailCompTextFangshi12=^oThis feels warm to the touch, almost familiar ^w(This component fits into all Jewellery slots including the Belt And Shoulder)</v>
      </c>
      <c r="AB14" s="5" t="s">
        <v>36</v>
      </c>
      <c r="AH14">
        <f t="shared" si="19"/>
        <v>9</v>
      </c>
      <c r="AI14">
        <f t="shared" si="13"/>
        <v>25</v>
      </c>
      <c r="AJ14">
        <f t="shared" si="18"/>
        <v>1</v>
      </c>
    </row>
    <row r="15" spans="1:38" x14ac:dyDescent="0.25">
      <c r="A15" s="5" t="s">
        <v>39</v>
      </c>
      <c r="B15" s="5" t="s">
        <v>0</v>
      </c>
      <c r="C15" s="5" t="str">
        <f t="shared" si="0"/>
        <v>description,dailCompDescFangshi13,</v>
      </c>
      <c r="D15" s="5" t="str">
        <f t="shared" si="2"/>
        <v>itemText,dailCompTextFangshi13,</v>
      </c>
      <c r="E15" s="5" t="str">
        <f t="shared" si="14"/>
        <v>augmentSkillLevel1,1,</v>
      </c>
      <c r="F15" s="5" t="str">
        <f t="shared" si="15"/>
        <v>augmentSkillName1,records/skills/playerclass10/sakura_mod1.dbr,</v>
      </c>
      <c r="G15" s="7">
        <f t="shared" si="10"/>
        <v>13</v>
      </c>
      <c r="H15" s="8" t="str">
        <f t="shared" si="11"/>
        <v>Fangshi</v>
      </c>
      <c r="I15" s="3" t="s">
        <v>423</v>
      </c>
      <c r="J15" s="8" t="str">
        <f t="shared" si="12"/>
        <v>class0010</v>
      </c>
      <c r="K15" s="8" t="str">
        <f t="shared" si="12"/>
        <v>dailoneskill0010</v>
      </c>
      <c r="L15" s="5" t="str">
        <f t="shared" si="4"/>
        <v>lootName13,DAIL/items/materia/class0010/Fangshi13.dbr,</v>
      </c>
      <c r="M15" s="5" t="str">
        <f t="shared" si="5"/>
        <v>lootWeight13,1,</v>
      </c>
      <c r="N15" t="str">
        <f t="shared" si="6"/>
        <v>1</v>
      </c>
      <c r="O15" t="str">
        <f t="shared" si="16"/>
        <v>copy .\dail_base.dbr .\items\materia\class0010\Fangshi13.dbr /y</v>
      </c>
      <c r="P15" t="str">
        <f t="shared" si="7"/>
        <v>echo relicBitmap,items/craftingparts/components/component_a52_bristlyfur_b.tex, &gt;&gt; .\items\materia\class0010\Fangshi13.dbr</v>
      </c>
      <c r="Q15" t="str">
        <f t="shared" si="1"/>
        <v>echo itemCost,100000, &gt;&gt; .\items\materia\class0010\Fangshi13.dbr</v>
      </c>
      <c r="R15" t="str">
        <f t="shared" si="1"/>
        <v>echo description,dailCompDescFangshi13, &gt;&gt; .\items\materia\class0010\Fangshi13.dbr</v>
      </c>
      <c r="S15" t="str">
        <f t="shared" si="1"/>
        <v>echo itemText,dailCompTextFangshi13, &gt;&gt; .\items\materia\class0010\Fangshi13.dbr</v>
      </c>
      <c r="T15" t="str">
        <f t="shared" si="1"/>
        <v>echo augmentSkillLevel1,1, &gt;&gt; .\items\materia\class0010\Fangshi13.dbr</v>
      </c>
      <c r="U15" t="str">
        <f t="shared" si="1"/>
        <v>echo augmentSkillName1,records/skills/playerclass10/sakura_mod1.dbr, &gt;&gt; .\items\materia\class0010\Fangshi13.dbr</v>
      </c>
      <c r="V15" s="5" t="s">
        <v>36</v>
      </c>
      <c r="W15" t="str">
        <f t="shared" si="8"/>
        <v>echo lootName13,DAIL/items/materia/class0010/Fangshi13.dbr, &gt;&gt; .\items\loottables\dailoneskill0010.dbr</v>
      </c>
      <c r="X15" t="str">
        <f t="shared" si="8"/>
        <v>echo lootWeight13,1, &gt;&gt; .\items\loottables\dailoneskill0010.dbr</v>
      </c>
      <c r="Y15" s="5" t="s">
        <v>36</v>
      </c>
      <c r="Z15" t="str">
        <f t="shared" si="9"/>
        <v xml:space="preserve"> dailCompDescFangshi13=^pFangshi's Gift of DAIL</v>
      </c>
      <c r="AA15" t="str">
        <f t="shared" si="17"/>
        <v>dailCompTextFangshi13=^oThis feels warm to the touch, almost familiar ^w(This component fits into all Jewellery slots including the Belt And Shoulder)</v>
      </c>
      <c r="AB15" s="5" t="s">
        <v>36</v>
      </c>
      <c r="AH15">
        <f t="shared" si="19"/>
        <v>10</v>
      </c>
      <c r="AI15">
        <f t="shared" si="13"/>
        <v>30</v>
      </c>
      <c r="AJ15">
        <f t="shared" si="18"/>
        <v>1</v>
      </c>
    </row>
    <row r="16" spans="1:38" x14ac:dyDescent="0.25">
      <c r="A16" s="5" t="s">
        <v>39</v>
      </c>
      <c r="B16" s="5" t="s">
        <v>0</v>
      </c>
      <c r="C16" s="5" t="str">
        <f t="shared" si="0"/>
        <v>description,dailCompDescFangshi14,</v>
      </c>
      <c r="D16" s="5" t="str">
        <f t="shared" si="2"/>
        <v>itemText,dailCompTextFangshi14,</v>
      </c>
      <c r="E16" s="5" t="str">
        <f t="shared" si="14"/>
        <v>augmentSkillLevel1,1,</v>
      </c>
      <c r="F16" s="5" t="str">
        <f t="shared" si="15"/>
        <v>augmentSkillName1,records/skills/playerclass10/sword_fall.dbr,</v>
      </c>
      <c r="G16" s="7">
        <f t="shared" si="10"/>
        <v>14</v>
      </c>
      <c r="H16" s="8" t="str">
        <f t="shared" si="11"/>
        <v>Fangshi</v>
      </c>
      <c r="I16" s="3" t="s">
        <v>186</v>
      </c>
      <c r="J16" s="8" t="str">
        <f t="shared" si="12"/>
        <v>class0010</v>
      </c>
      <c r="K16" s="8" t="str">
        <f t="shared" si="12"/>
        <v>dailoneskill0010</v>
      </c>
      <c r="L16" s="5" t="str">
        <f t="shared" si="4"/>
        <v>lootName14,DAIL/items/materia/class0010/Fangshi14.dbr,</v>
      </c>
      <c r="M16" s="5" t="str">
        <f t="shared" si="5"/>
        <v>lootWeight14,1,</v>
      </c>
      <c r="N16" t="str">
        <f t="shared" si="6"/>
        <v>1</v>
      </c>
      <c r="O16" t="str">
        <f t="shared" si="16"/>
        <v>copy .\dail_base.dbr .\items\materia\class0010\Fangshi14.dbr /y</v>
      </c>
      <c r="P16" t="str">
        <f t="shared" si="7"/>
        <v>echo relicBitmap,items/craftingparts/components/component_a52_bristlyfur_b.tex, &gt;&gt; .\items\materia\class0010\Fangshi14.dbr</v>
      </c>
      <c r="Q16" t="str">
        <f t="shared" si="1"/>
        <v>echo itemCost,100000, &gt;&gt; .\items\materia\class0010\Fangshi14.dbr</v>
      </c>
      <c r="R16" t="str">
        <f t="shared" si="1"/>
        <v>echo description,dailCompDescFangshi14, &gt;&gt; .\items\materia\class0010\Fangshi14.dbr</v>
      </c>
      <c r="S16" t="str">
        <f t="shared" si="1"/>
        <v>echo itemText,dailCompTextFangshi14, &gt;&gt; .\items\materia\class0010\Fangshi14.dbr</v>
      </c>
      <c r="T16" t="str">
        <f t="shared" si="1"/>
        <v>echo augmentSkillLevel1,1, &gt;&gt; .\items\materia\class0010\Fangshi14.dbr</v>
      </c>
      <c r="U16" t="str">
        <f t="shared" si="1"/>
        <v>echo augmentSkillName1,records/skills/playerclass10/sword_fall.dbr, &gt;&gt; .\items\materia\class0010\Fangshi14.dbr</v>
      </c>
      <c r="V16" s="5" t="s">
        <v>36</v>
      </c>
      <c r="W16" t="str">
        <f t="shared" si="8"/>
        <v>echo lootName14,DAIL/items/materia/class0010/Fangshi14.dbr, &gt;&gt; .\items\loottables\dailoneskill0010.dbr</v>
      </c>
      <c r="X16" t="str">
        <f t="shared" si="8"/>
        <v>echo lootWeight14,1, &gt;&gt; .\items\loottables\dailoneskill0010.dbr</v>
      </c>
      <c r="Y16" s="5" t="s">
        <v>36</v>
      </c>
      <c r="Z16" t="str">
        <f t="shared" si="9"/>
        <v xml:space="preserve"> dailCompDescFangshi14=^pFangshi's Gift of DAIL</v>
      </c>
      <c r="AA16" t="str">
        <f t="shared" si="17"/>
        <v>dailCompTextFangshi14=^oThis feels warm to the touch, almost familiar ^w(This component fits into all Jewellery slots including the Belt And Shoulder)</v>
      </c>
      <c r="AB16" s="5" t="s">
        <v>36</v>
      </c>
      <c r="AH16">
        <f t="shared" si="19"/>
        <v>11</v>
      </c>
      <c r="AI16">
        <f t="shared" si="13"/>
        <v>29</v>
      </c>
      <c r="AJ16">
        <f t="shared" si="18"/>
        <v>1</v>
      </c>
    </row>
    <row r="17" spans="1:36" x14ac:dyDescent="0.25">
      <c r="A17" s="5" t="s">
        <v>39</v>
      </c>
      <c r="B17" s="5" t="s">
        <v>0</v>
      </c>
      <c r="C17" s="5" t="str">
        <f t="shared" si="0"/>
        <v>description,dailCompDescFangshi15,</v>
      </c>
      <c r="D17" s="5" t="str">
        <f t="shared" si="2"/>
        <v>itemText,dailCompTextFangshi15,</v>
      </c>
      <c r="E17" s="5" t="str">
        <f t="shared" si="14"/>
        <v>augmentSkillLevel1,1,</v>
      </c>
      <c r="F17" s="5" t="str">
        <f t="shared" si="15"/>
        <v>augmentSkillName1,records/skills/playerclass10/burning.dbr,</v>
      </c>
      <c r="G17" s="7">
        <f t="shared" si="10"/>
        <v>15</v>
      </c>
      <c r="H17" s="8" t="str">
        <f t="shared" si="11"/>
        <v>Fangshi</v>
      </c>
      <c r="I17" s="3" t="s">
        <v>178</v>
      </c>
      <c r="J17" s="8" t="str">
        <f t="shared" si="12"/>
        <v>class0010</v>
      </c>
      <c r="K17" s="8" t="str">
        <f t="shared" si="12"/>
        <v>dailoneskill0010</v>
      </c>
      <c r="L17" s="5" t="str">
        <f t="shared" si="4"/>
        <v>lootName15,DAIL/items/materia/class0010/Fangshi15.dbr,</v>
      </c>
      <c r="M17" s="5" t="str">
        <f t="shared" si="5"/>
        <v>lootWeight15,1,</v>
      </c>
      <c r="N17" t="str">
        <f t="shared" si="6"/>
        <v>1</v>
      </c>
      <c r="O17" t="str">
        <f t="shared" si="16"/>
        <v>copy .\dail_base.dbr .\items\materia\class0010\Fangshi15.dbr /y</v>
      </c>
      <c r="P17" t="str">
        <f t="shared" si="7"/>
        <v>echo relicBitmap,items/craftingparts/components/component_a52_bristlyfur_b.tex, &gt;&gt; .\items\materia\class0010\Fangshi15.dbr</v>
      </c>
      <c r="Q17" t="str">
        <f t="shared" si="1"/>
        <v>echo itemCost,100000, &gt;&gt; .\items\materia\class0010\Fangshi15.dbr</v>
      </c>
      <c r="R17" t="str">
        <f t="shared" si="1"/>
        <v>echo description,dailCompDescFangshi15, &gt;&gt; .\items\materia\class0010\Fangshi15.dbr</v>
      </c>
      <c r="S17" t="str">
        <f t="shared" si="1"/>
        <v>echo itemText,dailCompTextFangshi15, &gt;&gt; .\items\materia\class0010\Fangshi15.dbr</v>
      </c>
      <c r="T17" t="str">
        <f t="shared" si="1"/>
        <v>echo augmentSkillLevel1,1, &gt;&gt; .\items\materia\class0010\Fangshi15.dbr</v>
      </c>
      <c r="U17" t="str">
        <f t="shared" si="1"/>
        <v>echo augmentSkillName1,records/skills/playerclass10/burning.dbr, &gt;&gt; .\items\materia\class0010\Fangshi15.dbr</v>
      </c>
      <c r="V17" s="5" t="s">
        <v>36</v>
      </c>
      <c r="W17" t="str">
        <f t="shared" si="8"/>
        <v>echo lootName15,DAIL/items/materia/class0010/Fangshi15.dbr, &gt;&gt; .\items\loottables\dailoneskill0010.dbr</v>
      </c>
      <c r="X17" t="str">
        <f t="shared" si="8"/>
        <v>echo lootWeight15,1, &gt;&gt; .\items\loottables\dailoneskill0010.dbr</v>
      </c>
      <c r="Y17" s="5" t="s">
        <v>36</v>
      </c>
      <c r="Z17" t="str">
        <f t="shared" si="9"/>
        <v xml:space="preserve"> dailCompDescFangshi15=^pFangshi's Gift of DAIL</v>
      </c>
      <c r="AA17" t="str">
        <f t="shared" si="17"/>
        <v>dailCompTextFangshi15=^oThis feels warm to the touch, almost familiar ^w(This component fits into all Jewellery slots including the Belt And Shoulder)</v>
      </c>
      <c r="AB17" s="5" t="s">
        <v>36</v>
      </c>
      <c r="AH17">
        <f t="shared" si="19"/>
        <v>12</v>
      </c>
      <c r="AI17">
        <f t="shared" si="13"/>
        <v>26</v>
      </c>
      <c r="AJ17">
        <f t="shared" si="18"/>
        <v>1</v>
      </c>
    </row>
    <row r="18" spans="1:36" x14ac:dyDescent="0.25">
      <c r="A18" s="5" t="s">
        <v>39</v>
      </c>
      <c r="B18" s="5" t="s">
        <v>0</v>
      </c>
      <c r="C18" s="5" t="str">
        <f t="shared" si="0"/>
        <v>description,dailCompDescFangshi16,</v>
      </c>
      <c r="D18" s="5" t="str">
        <f t="shared" si="2"/>
        <v>itemText,dailCompTextFangshi16,</v>
      </c>
      <c r="E18" s="5" t="str">
        <f t="shared" si="14"/>
        <v>augmentSkillLevel1,1,</v>
      </c>
      <c r="F18" s="5" t="str">
        <f t="shared" si="15"/>
        <v>augmentSkillName1,records/skills/playerclass10/burning_mod2.dbr,</v>
      </c>
      <c r="G18" s="7">
        <f t="shared" si="10"/>
        <v>16</v>
      </c>
      <c r="H18" s="8" t="str">
        <f t="shared" si="11"/>
        <v>Fangshi</v>
      </c>
      <c r="I18" s="3" t="s">
        <v>424</v>
      </c>
      <c r="J18" s="8" t="str">
        <f t="shared" si="12"/>
        <v>class0010</v>
      </c>
      <c r="K18" s="8" t="str">
        <f t="shared" si="12"/>
        <v>dailoneskill0010</v>
      </c>
      <c r="L18" s="5" t="str">
        <f t="shared" si="4"/>
        <v>lootName16,DAIL/items/materia/class0010/Fangshi16.dbr,</v>
      </c>
      <c r="M18" s="5" t="str">
        <f t="shared" si="5"/>
        <v>lootWeight16,1,</v>
      </c>
      <c r="N18" t="str">
        <f t="shared" si="6"/>
        <v>1</v>
      </c>
      <c r="O18" t="str">
        <f t="shared" si="16"/>
        <v>copy .\dail_base.dbr .\items\materia\class0010\Fangshi16.dbr /y</v>
      </c>
      <c r="P18" t="str">
        <f t="shared" si="7"/>
        <v>echo relicBitmap,items/craftingparts/components/component_a52_bristlyfur_b.tex, &gt;&gt; .\items\materia\class0010\Fangshi16.dbr</v>
      </c>
      <c r="Q18" t="str">
        <f t="shared" si="1"/>
        <v>echo itemCost,100000, &gt;&gt; .\items\materia\class0010\Fangshi16.dbr</v>
      </c>
      <c r="R18" t="str">
        <f t="shared" si="1"/>
        <v>echo description,dailCompDescFangshi16, &gt;&gt; .\items\materia\class0010\Fangshi16.dbr</v>
      </c>
      <c r="S18" t="str">
        <f t="shared" si="1"/>
        <v>echo itemText,dailCompTextFangshi16, &gt;&gt; .\items\materia\class0010\Fangshi16.dbr</v>
      </c>
      <c r="T18" t="str">
        <f t="shared" si="1"/>
        <v>echo augmentSkillLevel1,1, &gt;&gt; .\items\materia\class0010\Fangshi16.dbr</v>
      </c>
      <c r="U18" t="str">
        <f t="shared" si="1"/>
        <v>echo augmentSkillName1,records/skills/playerclass10/burning_mod2.dbr, &gt;&gt; .\items\materia\class0010\Fangshi16.dbr</v>
      </c>
      <c r="V18" s="5" t="s">
        <v>36</v>
      </c>
      <c r="W18" t="str">
        <f t="shared" si="8"/>
        <v>echo lootName16,DAIL/items/materia/class0010/Fangshi16.dbr, &gt;&gt; .\items\loottables\dailoneskill0010.dbr</v>
      </c>
      <c r="X18" t="str">
        <f t="shared" si="8"/>
        <v>echo lootWeight16,1, &gt;&gt; .\items\loottables\dailoneskill0010.dbr</v>
      </c>
      <c r="Y18" s="5" t="s">
        <v>36</v>
      </c>
      <c r="Z18" t="str">
        <f t="shared" si="9"/>
        <v xml:space="preserve"> dailCompDescFangshi16=^pFangshi's Gift of DAIL</v>
      </c>
      <c r="AA18" t="str">
        <f t="shared" si="17"/>
        <v>dailCompTextFangshi16=^oThis feels warm to the touch, almost familiar ^w(This component fits into all Jewellery slots including the Belt And Shoulder)</v>
      </c>
      <c r="AB18" s="5" t="s">
        <v>36</v>
      </c>
      <c r="AH18">
        <f t="shared" si="19"/>
        <v>13</v>
      </c>
      <c r="AI18">
        <f t="shared" si="13"/>
        <v>31</v>
      </c>
      <c r="AJ18">
        <f t="shared" si="18"/>
        <v>1</v>
      </c>
    </row>
    <row r="19" spans="1:36" x14ac:dyDescent="0.25">
      <c r="A19" s="5" t="s">
        <v>39</v>
      </c>
      <c r="B19" s="5" t="s">
        <v>28</v>
      </c>
      <c r="C19" s="5" t="str">
        <f t="shared" si="0"/>
        <v>description,dailCompDescFangshi17,</v>
      </c>
      <c r="D19" s="5" t="str">
        <f t="shared" si="2"/>
        <v>itemText,dailCompTextFangshi17,</v>
      </c>
      <c r="E19" s="5" t="str">
        <f t="shared" si="14"/>
        <v>augmentSkillLevel1,1,</v>
      </c>
      <c r="F19" s="5" t="str">
        <f t="shared" si="15"/>
        <v>augmentSkillName1,records/skills/playerclass10/burning_mod1.dbr,</v>
      </c>
      <c r="G19" s="7">
        <f t="shared" si="10"/>
        <v>17</v>
      </c>
      <c r="H19" s="8" t="str">
        <f t="shared" si="11"/>
        <v>Fangshi</v>
      </c>
      <c r="I19" s="3" t="s">
        <v>425</v>
      </c>
      <c r="J19" s="8" t="str">
        <f t="shared" si="12"/>
        <v>class0010</v>
      </c>
      <c r="K19" s="8" t="str">
        <f t="shared" si="12"/>
        <v>dailoneskill0010</v>
      </c>
      <c r="L19" s="5" t="str">
        <f t="shared" si="4"/>
        <v>lootName17,DAIL/items/materia/class0010/Fangshi17.dbr,</v>
      </c>
      <c r="M19" s="5" t="str">
        <f t="shared" si="5"/>
        <v>lootWeight17,1,</v>
      </c>
      <c r="N19" t="str">
        <f t="shared" si="6"/>
        <v>1</v>
      </c>
      <c r="O19" t="str">
        <f t="shared" si="16"/>
        <v>copy .\dail_base.dbr .\items\materia\class0010\Fangshi17.dbr /y</v>
      </c>
      <c r="P19" t="str">
        <f t="shared" si="7"/>
        <v>echo relicBitmap,items/craftingparts/components/component_a52_bristlyfur_b.tex, &gt;&gt; .\items\materia\class0010\Fangshi17.dbr</v>
      </c>
      <c r="Q19" t="str">
        <f t="shared" si="7"/>
        <v>echo itemCost,300000, &gt;&gt; .\items\materia\class0010\Fangshi17.dbr</v>
      </c>
      <c r="R19" t="str">
        <f t="shared" si="7"/>
        <v>echo description,dailCompDescFangshi17, &gt;&gt; .\items\materia\class0010\Fangshi17.dbr</v>
      </c>
      <c r="S19" t="str">
        <f t="shared" si="7"/>
        <v>echo itemText,dailCompTextFangshi17, &gt;&gt; .\items\materia\class0010\Fangshi17.dbr</v>
      </c>
      <c r="T19" t="str">
        <f t="shared" si="7"/>
        <v>echo augmentSkillLevel1,1, &gt;&gt; .\items\materia\class0010\Fangshi17.dbr</v>
      </c>
      <c r="U19" t="str">
        <f t="shared" si="7"/>
        <v>echo augmentSkillName1,records/skills/playerclass10/burning_mod1.dbr, &gt;&gt; .\items\materia\class0010\Fangshi17.dbr</v>
      </c>
      <c r="V19" s="5" t="s">
        <v>36</v>
      </c>
      <c r="W19" t="str">
        <f t="shared" si="8"/>
        <v>echo lootName17,DAIL/items/materia/class0010/Fangshi17.dbr, &gt;&gt; .\items\loottables\dailoneskill0010.dbr</v>
      </c>
      <c r="X19" t="str">
        <f t="shared" si="8"/>
        <v>echo lootWeight17,1, &gt;&gt; .\items\loottables\dailoneskill0010.dbr</v>
      </c>
      <c r="Y19" s="5" t="s">
        <v>36</v>
      </c>
      <c r="Z19" t="str">
        <f t="shared" si="9"/>
        <v xml:space="preserve"> dailCompDescFangshi17=^pFangshi's Gift of DAIL</v>
      </c>
      <c r="AA19" t="str">
        <f t="shared" si="17"/>
        <v>dailCompTextFangshi17=^oThis feels warm to the touch, almost familiar ^w(This component fits into all Jewellery slots including the Belt And Shoulder)</v>
      </c>
      <c r="AB19" s="5" t="s">
        <v>36</v>
      </c>
      <c r="AH19">
        <f t="shared" si="19"/>
        <v>14</v>
      </c>
      <c r="AI19">
        <f t="shared" si="13"/>
        <v>31</v>
      </c>
      <c r="AJ19">
        <f t="shared" si="18"/>
        <v>1</v>
      </c>
    </row>
    <row r="20" spans="1:36" x14ac:dyDescent="0.25">
      <c r="A20" s="5" t="s">
        <v>39</v>
      </c>
      <c r="B20" s="5" t="s">
        <v>28</v>
      </c>
      <c r="C20" s="5" t="str">
        <f t="shared" si="0"/>
        <v>description,dailCompDescFangshi18,</v>
      </c>
      <c r="D20" s="5" t="str">
        <f t="shared" si="2"/>
        <v>itemText,dailCompTextFangshi18,</v>
      </c>
      <c r="E20" s="5" t="str">
        <f t="shared" si="14"/>
        <v>augmentSkillLevel1,1,</v>
      </c>
      <c r="F20" s="5" t="str">
        <f t="shared" si="15"/>
        <v>augmentSkillName1,records/skills/playerclass10/burning_tra.dbr,</v>
      </c>
      <c r="G20" s="7">
        <f t="shared" si="10"/>
        <v>18</v>
      </c>
      <c r="H20" s="8" t="str">
        <f t="shared" si="11"/>
        <v>Fangshi</v>
      </c>
      <c r="I20" s="3" t="s">
        <v>426</v>
      </c>
      <c r="J20" s="8" t="str">
        <f t="shared" si="12"/>
        <v>class0010</v>
      </c>
      <c r="K20" s="8" t="str">
        <f t="shared" si="12"/>
        <v>dailoneskill0010</v>
      </c>
      <c r="L20" s="5" t="str">
        <f t="shared" si="4"/>
        <v>lootName18,DAIL/items/materia/class0010/Fangshi18.dbr,</v>
      </c>
      <c r="M20" s="5" t="str">
        <f t="shared" si="5"/>
        <v>lootWeight18,1,</v>
      </c>
      <c r="N20" t="str">
        <f t="shared" si="6"/>
        <v>1</v>
      </c>
      <c r="O20" t="str">
        <f t="shared" si="16"/>
        <v>copy .\dail_base.dbr .\items\materia\class0010\Fangshi18.dbr /y</v>
      </c>
      <c r="P20" t="str">
        <f t="shared" si="7"/>
        <v>echo relicBitmap,items/craftingparts/components/component_a52_bristlyfur_b.tex, &gt;&gt; .\items\materia\class0010\Fangshi18.dbr</v>
      </c>
      <c r="Q20" t="str">
        <f t="shared" si="7"/>
        <v>echo itemCost,300000, &gt;&gt; .\items\materia\class0010\Fangshi18.dbr</v>
      </c>
      <c r="R20" t="str">
        <f t="shared" si="7"/>
        <v>echo description,dailCompDescFangshi18, &gt;&gt; .\items\materia\class0010\Fangshi18.dbr</v>
      </c>
      <c r="S20" t="str">
        <f t="shared" si="7"/>
        <v>echo itemText,dailCompTextFangshi18, &gt;&gt; .\items\materia\class0010\Fangshi18.dbr</v>
      </c>
      <c r="T20" t="str">
        <f t="shared" si="7"/>
        <v>echo augmentSkillLevel1,1, &gt;&gt; .\items\materia\class0010\Fangshi18.dbr</v>
      </c>
      <c r="U20" t="str">
        <f t="shared" si="7"/>
        <v>echo augmentSkillName1,records/skills/playerclass10/burning_tra.dbr, &gt;&gt; .\items\materia\class0010\Fangshi18.dbr</v>
      </c>
      <c r="V20" s="5" t="s">
        <v>36</v>
      </c>
      <c r="W20" t="str">
        <f t="shared" si="8"/>
        <v>echo lootName18,DAIL/items/materia/class0010/Fangshi18.dbr, &gt;&gt; .\items\loottables\dailoneskill0010.dbr</v>
      </c>
      <c r="X20" t="str">
        <f t="shared" si="8"/>
        <v>echo lootWeight18,1, &gt;&gt; .\items\loottables\dailoneskill0010.dbr</v>
      </c>
      <c r="Y20" s="5" t="s">
        <v>36</v>
      </c>
      <c r="Z20" t="str">
        <f t="shared" si="9"/>
        <v xml:space="preserve"> dailCompDescFangshi18=^pFangshi's Gift of DAIL</v>
      </c>
      <c r="AA20" t="str">
        <f t="shared" si="17"/>
        <v>dailCompTextFangshi18=^oThis feels warm to the touch, almost familiar ^w(This component fits into all Jewellery slots including the Belt And Shoulder)</v>
      </c>
      <c r="AB20" s="5" t="s">
        <v>36</v>
      </c>
      <c r="AH20">
        <f t="shared" si="19"/>
        <v>15</v>
      </c>
      <c r="AI20">
        <f t="shared" si="13"/>
        <v>30</v>
      </c>
      <c r="AJ20">
        <f t="shared" si="18"/>
        <v>1</v>
      </c>
    </row>
    <row r="21" spans="1:36" x14ac:dyDescent="0.25">
      <c r="A21" s="5" t="s">
        <v>39</v>
      </c>
      <c r="B21" s="5" t="s">
        <v>28</v>
      </c>
      <c r="C21" s="5" t="str">
        <f t="shared" si="0"/>
        <v>description,dailCompDescFangshi19,</v>
      </c>
      <c r="D21" s="5" t="str">
        <f t="shared" si="2"/>
        <v>itemText,dailCompTextFangshi19,</v>
      </c>
      <c r="E21" s="5" t="str">
        <f t="shared" si="14"/>
        <v>augmentSkillLevel1,1,</v>
      </c>
      <c r="F21" s="5" t="str">
        <f t="shared" si="15"/>
        <v>augmentSkillName1,records/skills/playerclass10/ultgold.dbr,</v>
      </c>
      <c r="G21" s="7">
        <f t="shared" si="10"/>
        <v>19</v>
      </c>
      <c r="H21" s="8" t="str">
        <f t="shared" si="11"/>
        <v>Fangshi</v>
      </c>
      <c r="I21" s="3" t="s">
        <v>189</v>
      </c>
      <c r="J21" s="8" t="str">
        <f t="shared" ref="J21:K36" si="20">J20</f>
        <v>class0010</v>
      </c>
      <c r="K21" s="8" t="str">
        <f t="shared" si="20"/>
        <v>dailoneskill0010</v>
      </c>
      <c r="L21" s="5" t="str">
        <f t="shared" si="4"/>
        <v>lootName19,DAIL/items/materia/class0010/Fangshi19.dbr,</v>
      </c>
      <c r="M21" s="5" t="str">
        <f t="shared" si="5"/>
        <v>lootWeight19,1,</v>
      </c>
      <c r="N21" t="str">
        <f t="shared" si="6"/>
        <v>1</v>
      </c>
      <c r="O21" t="str">
        <f t="shared" si="16"/>
        <v>copy .\dail_base.dbr .\items\materia\class0010\Fangshi19.dbr /y</v>
      </c>
      <c r="P21" t="str">
        <f t="shared" si="7"/>
        <v>echo relicBitmap,items/craftingparts/components/component_a52_bristlyfur_b.tex, &gt;&gt; .\items\materia\class0010\Fangshi19.dbr</v>
      </c>
      <c r="Q21" t="str">
        <f t="shared" si="7"/>
        <v>echo itemCost,300000, &gt;&gt; .\items\materia\class0010\Fangshi19.dbr</v>
      </c>
      <c r="R21" t="str">
        <f t="shared" si="7"/>
        <v>echo description,dailCompDescFangshi19, &gt;&gt; .\items\materia\class0010\Fangshi19.dbr</v>
      </c>
      <c r="S21" t="str">
        <f t="shared" si="7"/>
        <v>echo itemText,dailCompTextFangshi19, &gt;&gt; .\items\materia\class0010\Fangshi19.dbr</v>
      </c>
      <c r="T21" t="str">
        <f t="shared" si="7"/>
        <v>echo augmentSkillLevel1,1, &gt;&gt; .\items\materia\class0010\Fangshi19.dbr</v>
      </c>
      <c r="U21" t="str">
        <f t="shared" si="7"/>
        <v>echo augmentSkillName1,records/skills/playerclass10/ultgold.dbr, &gt;&gt; .\items\materia\class0010\Fangshi19.dbr</v>
      </c>
      <c r="V21" s="5" t="s">
        <v>36</v>
      </c>
      <c r="W21" t="str">
        <f t="shared" si="8"/>
        <v>echo lootName19,DAIL/items/materia/class0010/Fangshi19.dbr, &gt;&gt; .\items\loottables\dailoneskill0010.dbr</v>
      </c>
      <c r="X21" t="str">
        <f t="shared" si="8"/>
        <v>echo lootWeight19,1, &gt;&gt; .\items\loottables\dailoneskill0010.dbr</v>
      </c>
      <c r="Y21" s="5" t="s">
        <v>36</v>
      </c>
      <c r="Z21" t="str">
        <f t="shared" si="9"/>
        <v xml:space="preserve"> dailCompDescFangshi19=^pFangshi's Gift of DAIL</v>
      </c>
      <c r="AA21" t="str">
        <f t="shared" si="17"/>
        <v>dailCompTextFangshi19=^oThis feels warm to the touch, almost familiar ^w(This component fits into all Jewellery slots including the Belt And Shoulder)</v>
      </c>
      <c r="AB21" s="5" t="s">
        <v>36</v>
      </c>
      <c r="AH21">
        <f t="shared" si="19"/>
        <v>16</v>
      </c>
      <c r="AI21">
        <f t="shared" si="13"/>
        <v>26</v>
      </c>
      <c r="AJ21">
        <f t="shared" si="18"/>
        <v>1</v>
      </c>
    </row>
    <row r="22" spans="1:36" x14ac:dyDescent="0.25">
      <c r="A22" s="5" t="s">
        <v>39</v>
      </c>
      <c r="B22" s="5" t="s">
        <v>28</v>
      </c>
      <c r="C22" s="5" t="str">
        <f t="shared" si="0"/>
        <v>description,dailCompDescFangshi20,</v>
      </c>
      <c r="D22" s="5" t="str">
        <f t="shared" si="2"/>
        <v>itemText,dailCompTextFangshi20,</v>
      </c>
      <c r="E22" s="5" t="str">
        <f t="shared" si="14"/>
        <v>augmentSkillLevel1,1,</v>
      </c>
      <c r="F22" s="5" t="str">
        <f t="shared" si="15"/>
        <v>augmentSkillName1,records/skills/playerclass10/ultwater.dbr,</v>
      </c>
      <c r="G22" s="7">
        <f t="shared" si="10"/>
        <v>20</v>
      </c>
      <c r="H22" s="8" t="str">
        <f t="shared" si="11"/>
        <v>Fangshi</v>
      </c>
      <c r="I22" s="3" t="s">
        <v>190</v>
      </c>
      <c r="J22" s="8" t="str">
        <f t="shared" si="20"/>
        <v>class0010</v>
      </c>
      <c r="K22" s="8" t="str">
        <f t="shared" si="20"/>
        <v>dailoneskill0010</v>
      </c>
      <c r="L22" s="5" t="str">
        <f t="shared" si="4"/>
        <v>lootName20,DAIL/items/materia/class0010/Fangshi20.dbr,</v>
      </c>
      <c r="M22" s="5" t="str">
        <f t="shared" si="5"/>
        <v>lootWeight20,1,</v>
      </c>
      <c r="N22" t="str">
        <f t="shared" si="6"/>
        <v>1</v>
      </c>
      <c r="O22" t="str">
        <f t="shared" si="16"/>
        <v>copy .\dail_base.dbr .\items\materia\class0010\Fangshi20.dbr /y</v>
      </c>
      <c r="P22" t="str">
        <f t="shared" si="7"/>
        <v>echo relicBitmap,items/craftingparts/components/component_a52_bristlyfur_b.tex, &gt;&gt; .\items\materia\class0010\Fangshi20.dbr</v>
      </c>
      <c r="Q22" t="str">
        <f t="shared" si="7"/>
        <v>echo itemCost,300000, &gt;&gt; .\items\materia\class0010\Fangshi20.dbr</v>
      </c>
      <c r="R22" t="str">
        <f t="shared" si="7"/>
        <v>echo description,dailCompDescFangshi20, &gt;&gt; .\items\materia\class0010\Fangshi20.dbr</v>
      </c>
      <c r="S22" t="str">
        <f t="shared" si="7"/>
        <v>echo itemText,dailCompTextFangshi20, &gt;&gt; .\items\materia\class0010\Fangshi20.dbr</v>
      </c>
      <c r="T22" t="str">
        <f t="shared" si="7"/>
        <v>echo augmentSkillLevel1,1, &gt;&gt; .\items\materia\class0010\Fangshi20.dbr</v>
      </c>
      <c r="U22" t="str">
        <f t="shared" si="7"/>
        <v>echo augmentSkillName1,records/skills/playerclass10/ultwater.dbr, &gt;&gt; .\items\materia\class0010\Fangshi20.dbr</v>
      </c>
      <c r="V22" s="5" t="s">
        <v>36</v>
      </c>
      <c r="W22" t="str">
        <f t="shared" si="8"/>
        <v>echo lootName20,DAIL/items/materia/class0010/Fangshi20.dbr, &gt;&gt; .\items\loottables\dailoneskill0010.dbr</v>
      </c>
      <c r="X22" t="str">
        <f t="shared" si="8"/>
        <v>echo lootWeight20,1, &gt;&gt; .\items\loottables\dailoneskill0010.dbr</v>
      </c>
      <c r="Y22" s="5" t="s">
        <v>36</v>
      </c>
      <c r="Z22" t="str">
        <f t="shared" si="9"/>
        <v xml:space="preserve"> dailCompDescFangshi20=^pFangshi's Gift of DAIL</v>
      </c>
      <c r="AA22" t="str">
        <f t="shared" si="17"/>
        <v>dailCompTextFangshi20=^oThis feels warm to the touch, almost familiar ^w(This component fits into all Jewellery slots including the Belt And Shoulder)</v>
      </c>
      <c r="AB22" s="5" t="s">
        <v>36</v>
      </c>
      <c r="AH22">
        <f t="shared" si="19"/>
        <v>17</v>
      </c>
      <c r="AI22">
        <f t="shared" si="13"/>
        <v>27</v>
      </c>
      <c r="AJ22">
        <f t="shared" si="18"/>
        <v>1</v>
      </c>
    </row>
    <row r="23" spans="1:36" x14ac:dyDescent="0.25">
      <c r="A23" s="5" t="s">
        <v>39</v>
      </c>
      <c r="B23" s="5" t="s">
        <v>28</v>
      </c>
      <c r="C23" s="5" t="str">
        <f t="shared" si="0"/>
        <v>description,dailCompDescFangshi21,</v>
      </c>
      <c r="D23" s="5" t="str">
        <f t="shared" si="2"/>
        <v>itemText,dailCompTextFangshi21,</v>
      </c>
      <c r="E23" s="5" t="str">
        <f t="shared" si="14"/>
        <v>augmentSkillLevel1,1,</v>
      </c>
      <c r="F23" s="5" t="str">
        <f t="shared" si="15"/>
        <v>augmentSkillName1,records/skills/playerclass10/ultwood.dbr,</v>
      </c>
      <c r="G23" s="7">
        <f t="shared" si="10"/>
        <v>21</v>
      </c>
      <c r="H23" s="8" t="str">
        <f t="shared" si="11"/>
        <v>Fangshi</v>
      </c>
      <c r="I23" s="3" t="s">
        <v>191</v>
      </c>
      <c r="J23" s="8" t="str">
        <f t="shared" si="20"/>
        <v>class0010</v>
      </c>
      <c r="K23" s="8" t="str">
        <f t="shared" si="20"/>
        <v>dailoneskill0010</v>
      </c>
      <c r="L23" s="5" t="str">
        <f t="shared" si="4"/>
        <v>lootName21,DAIL/items/materia/class0010/Fangshi21.dbr,</v>
      </c>
      <c r="M23" s="5" t="str">
        <f t="shared" si="5"/>
        <v>lootWeight21,1,</v>
      </c>
      <c r="N23" t="str">
        <f t="shared" si="6"/>
        <v>1</v>
      </c>
      <c r="O23" t="str">
        <f t="shared" si="16"/>
        <v>copy .\dail_base.dbr .\items\materia\class0010\Fangshi21.dbr /y</v>
      </c>
      <c r="P23" t="str">
        <f t="shared" si="7"/>
        <v>echo relicBitmap,items/craftingparts/components/component_a52_bristlyfur_b.tex, &gt;&gt; .\items\materia\class0010\Fangshi21.dbr</v>
      </c>
      <c r="Q23" t="str">
        <f t="shared" si="7"/>
        <v>echo itemCost,300000, &gt;&gt; .\items\materia\class0010\Fangshi21.dbr</v>
      </c>
      <c r="R23" t="str">
        <f t="shared" si="7"/>
        <v>echo description,dailCompDescFangshi21, &gt;&gt; .\items\materia\class0010\Fangshi21.dbr</v>
      </c>
      <c r="S23" t="str">
        <f t="shared" si="7"/>
        <v>echo itemText,dailCompTextFangshi21, &gt;&gt; .\items\materia\class0010\Fangshi21.dbr</v>
      </c>
      <c r="T23" t="str">
        <f t="shared" si="7"/>
        <v>echo augmentSkillLevel1,1, &gt;&gt; .\items\materia\class0010\Fangshi21.dbr</v>
      </c>
      <c r="U23" t="str">
        <f t="shared" si="7"/>
        <v>echo augmentSkillName1,records/skills/playerclass10/ultwood.dbr, &gt;&gt; .\items\materia\class0010\Fangshi21.dbr</v>
      </c>
      <c r="V23" s="5" t="s">
        <v>36</v>
      </c>
      <c r="W23" t="str">
        <f t="shared" si="8"/>
        <v>echo lootName21,DAIL/items/materia/class0010/Fangshi21.dbr, &gt;&gt; .\items\loottables\dailoneskill0010.dbr</v>
      </c>
      <c r="X23" t="str">
        <f t="shared" si="8"/>
        <v>echo lootWeight21,1, &gt;&gt; .\items\loottables\dailoneskill0010.dbr</v>
      </c>
      <c r="Y23" s="5" t="s">
        <v>36</v>
      </c>
      <c r="Z23" t="str">
        <f t="shared" si="9"/>
        <v xml:space="preserve"> dailCompDescFangshi21=^pFangshi's Gift of DAIL</v>
      </c>
      <c r="AA23" t="str">
        <f t="shared" si="17"/>
        <v>dailCompTextFangshi21=^oThis feels warm to the touch, almost familiar ^w(This component fits into all Jewellery slots including the Belt And Shoulder)</v>
      </c>
      <c r="AB23" s="5" t="s">
        <v>36</v>
      </c>
      <c r="AH23">
        <f t="shared" si="19"/>
        <v>18</v>
      </c>
      <c r="AI23">
        <f t="shared" si="13"/>
        <v>26</v>
      </c>
      <c r="AJ23">
        <f t="shared" si="18"/>
        <v>1</v>
      </c>
    </row>
    <row r="24" spans="1:36" x14ac:dyDescent="0.25">
      <c r="A24" s="5" t="s">
        <v>39</v>
      </c>
      <c r="B24" s="5" t="s">
        <v>28</v>
      </c>
      <c r="C24" s="5" t="str">
        <f t="shared" si="0"/>
        <v>description,dailCompDescFangshi22,</v>
      </c>
      <c r="D24" s="5" t="str">
        <f t="shared" si="2"/>
        <v>itemText,dailCompTextFangshi22,</v>
      </c>
      <c r="E24" s="5" t="str">
        <f t="shared" si="14"/>
        <v>augmentSkillLevel1,1,</v>
      </c>
      <c r="F24" s="5" t="str">
        <f t="shared" si="15"/>
        <v>augmentSkillName1,records/skills/playerclass10/ultfire.dbr,</v>
      </c>
      <c r="G24" s="7">
        <f t="shared" si="10"/>
        <v>22</v>
      </c>
      <c r="H24" s="8" t="str">
        <f t="shared" si="11"/>
        <v>Fangshi</v>
      </c>
      <c r="I24" s="3" t="s">
        <v>188</v>
      </c>
      <c r="J24" s="8" t="str">
        <f t="shared" si="20"/>
        <v>class0010</v>
      </c>
      <c r="K24" s="8" t="str">
        <f t="shared" si="20"/>
        <v>dailoneskill0010</v>
      </c>
      <c r="L24" s="5" t="str">
        <f t="shared" si="4"/>
        <v>lootName22,DAIL/items/materia/class0010/Fangshi22.dbr,</v>
      </c>
      <c r="M24" s="5" t="str">
        <f t="shared" si="5"/>
        <v>lootWeight22,1,</v>
      </c>
      <c r="N24" t="str">
        <f t="shared" si="6"/>
        <v>1</v>
      </c>
      <c r="O24" t="str">
        <f t="shared" si="16"/>
        <v>copy .\dail_base.dbr .\items\materia\class0010\Fangshi22.dbr /y</v>
      </c>
      <c r="P24" t="str">
        <f t="shared" si="7"/>
        <v>echo relicBitmap,items/craftingparts/components/component_a52_bristlyfur_b.tex, &gt;&gt; .\items\materia\class0010\Fangshi22.dbr</v>
      </c>
      <c r="Q24" t="str">
        <f t="shared" si="7"/>
        <v>echo itemCost,300000, &gt;&gt; .\items\materia\class0010\Fangshi22.dbr</v>
      </c>
      <c r="R24" t="str">
        <f t="shared" si="7"/>
        <v>echo description,dailCompDescFangshi22, &gt;&gt; .\items\materia\class0010\Fangshi22.dbr</v>
      </c>
      <c r="S24" t="str">
        <f t="shared" si="7"/>
        <v>echo itemText,dailCompTextFangshi22, &gt;&gt; .\items\materia\class0010\Fangshi22.dbr</v>
      </c>
      <c r="T24" t="str">
        <f t="shared" si="7"/>
        <v>echo augmentSkillLevel1,1, &gt;&gt; .\items\materia\class0010\Fangshi22.dbr</v>
      </c>
      <c r="U24" t="str">
        <f t="shared" si="7"/>
        <v>echo augmentSkillName1,records/skills/playerclass10/ultfire.dbr, &gt;&gt; .\items\materia\class0010\Fangshi22.dbr</v>
      </c>
      <c r="V24" s="5" t="s">
        <v>36</v>
      </c>
      <c r="W24" t="str">
        <f t="shared" si="8"/>
        <v>echo lootName22,DAIL/items/materia/class0010/Fangshi22.dbr, &gt;&gt; .\items\loottables\dailoneskill0010.dbr</v>
      </c>
      <c r="X24" t="str">
        <f t="shared" si="8"/>
        <v>echo lootWeight22,1, &gt;&gt; .\items\loottables\dailoneskill0010.dbr</v>
      </c>
      <c r="Y24" s="5" t="s">
        <v>36</v>
      </c>
      <c r="Z24" t="str">
        <f t="shared" si="9"/>
        <v xml:space="preserve"> dailCompDescFangshi22=^pFangshi's Gift of DAIL</v>
      </c>
      <c r="AA24" t="str">
        <f t="shared" si="17"/>
        <v>dailCompTextFangshi22=^oThis feels warm to the touch, almost familiar ^w(This component fits into all Jewellery slots including the Belt And Shoulder)</v>
      </c>
      <c r="AB24" s="5" t="s">
        <v>36</v>
      </c>
      <c r="AH24">
        <f t="shared" si="19"/>
        <v>19</v>
      </c>
      <c r="AI24">
        <f t="shared" si="13"/>
        <v>26</v>
      </c>
      <c r="AJ24">
        <f t="shared" si="18"/>
        <v>1</v>
      </c>
    </row>
    <row r="25" spans="1:36" x14ac:dyDescent="0.25">
      <c r="A25" s="5" t="s">
        <v>39</v>
      </c>
      <c r="B25" s="5" t="s">
        <v>28</v>
      </c>
      <c r="C25" s="5" t="str">
        <f t="shared" si="0"/>
        <v>description,dailCompDescFangshi23,</v>
      </c>
      <c r="D25" s="5" t="str">
        <f t="shared" si="2"/>
        <v>itemText,dailCompTextFangshi23,</v>
      </c>
      <c r="E25" s="5" t="str">
        <f t="shared" si="14"/>
        <v>augmentSkillLevel1,1,</v>
      </c>
      <c r="F25" s="5" t="str">
        <f t="shared" si="15"/>
        <v>augmentSkillName1,records/skills/playerclass10/ultearth.dbr,</v>
      </c>
      <c r="G25" s="7">
        <f t="shared" si="10"/>
        <v>23</v>
      </c>
      <c r="H25" s="8" t="str">
        <f t="shared" si="11"/>
        <v>Fangshi</v>
      </c>
      <c r="I25" s="3" t="s">
        <v>187</v>
      </c>
      <c r="J25" s="8" t="str">
        <f t="shared" si="20"/>
        <v>class0010</v>
      </c>
      <c r="K25" s="8" t="str">
        <f t="shared" si="20"/>
        <v>dailoneskill0010</v>
      </c>
      <c r="L25" s="5" t="str">
        <f t="shared" si="4"/>
        <v>lootName23,DAIL/items/materia/class0010/Fangshi23.dbr,</v>
      </c>
      <c r="M25" s="5" t="str">
        <f t="shared" si="5"/>
        <v>lootWeight23,1,</v>
      </c>
      <c r="N25" t="str">
        <f t="shared" si="6"/>
        <v>1</v>
      </c>
      <c r="O25" t="str">
        <f t="shared" si="16"/>
        <v>copy .\dail_base.dbr .\items\materia\class0010\Fangshi23.dbr /y</v>
      </c>
      <c r="P25" t="str">
        <f t="shared" si="7"/>
        <v>echo relicBitmap,items/craftingparts/components/component_a52_bristlyfur_b.tex, &gt;&gt; .\items\materia\class0010\Fangshi23.dbr</v>
      </c>
      <c r="Q25" t="str">
        <f t="shared" si="7"/>
        <v>echo itemCost,300000, &gt;&gt; .\items\materia\class0010\Fangshi23.dbr</v>
      </c>
      <c r="R25" t="str">
        <f t="shared" si="7"/>
        <v>echo description,dailCompDescFangshi23, &gt;&gt; .\items\materia\class0010\Fangshi23.dbr</v>
      </c>
      <c r="S25" t="str">
        <f t="shared" si="7"/>
        <v>echo itemText,dailCompTextFangshi23, &gt;&gt; .\items\materia\class0010\Fangshi23.dbr</v>
      </c>
      <c r="T25" t="str">
        <f t="shared" si="7"/>
        <v>echo augmentSkillLevel1,1, &gt;&gt; .\items\materia\class0010\Fangshi23.dbr</v>
      </c>
      <c r="U25" t="str">
        <f t="shared" si="7"/>
        <v>echo augmentSkillName1,records/skills/playerclass10/ultearth.dbr, &gt;&gt; .\items\materia\class0010\Fangshi23.dbr</v>
      </c>
      <c r="V25" s="5" t="s">
        <v>36</v>
      </c>
      <c r="W25" t="str">
        <f t="shared" si="8"/>
        <v>echo lootName23,DAIL/items/materia/class0010/Fangshi23.dbr, &gt;&gt; .\items\loottables\dailoneskill0010.dbr</v>
      </c>
      <c r="X25" t="str">
        <f t="shared" si="8"/>
        <v>echo lootWeight23,1, &gt;&gt; .\items\loottables\dailoneskill0010.dbr</v>
      </c>
      <c r="Y25" s="5" t="s">
        <v>36</v>
      </c>
      <c r="Z25" t="str">
        <f t="shared" si="9"/>
        <v xml:space="preserve"> dailCompDescFangshi23=^pFangshi's Gift of DAIL</v>
      </c>
      <c r="AA25" t="str">
        <f t="shared" si="17"/>
        <v>dailCompTextFangshi23=^oThis feels warm to the touch, almost familiar ^w(This component fits into all Jewellery slots including the Belt And Shoulder)</v>
      </c>
      <c r="AB25" s="5" t="s">
        <v>36</v>
      </c>
      <c r="AH25">
        <f t="shared" si="19"/>
        <v>20</v>
      </c>
      <c r="AI25">
        <f t="shared" si="13"/>
        <v>27</v>
      </c>
      <c r="AJ25">
        <f t="shared" si="18"/>
        <v>1</v>
      </c>
    </row>
    <row r="26" spans="1:36" x14ac:dyDescent="0.25">
      <c r="A26" s="5" t="s">
        <v>39</v>
      </c>
      <c r="B26" s="5" t="s">
        <v>28</v>
      </c>
      <c r="C26" s="5" t="str">
        <f t="shared" si="0"/>
        <v>description,dailCompDescFangshi24,</v>
      </c>
      <c r="D26" s="5" t="str">
        <f t="shared" si="2"/>
        <v>itemText,dailCompTextFangshi24,</v>
      </c>
      <c r="E26" s="5" t="str">
        <f t="shared" si="14"/>
        <v>augmentSkillLevel1,1,</v>
      </c>
      <c r="F26" s="5" t="str">
        <f t="shared" si="15"/>
        <v>augmentSkillName1,records/skills/playerclass10/earth_effect.dbr,</v>
      </c>
      <c r="G26" s="7">
        <f t="shared" si="10"/>
        <v>24</v>
      </c>
      <c r="H26" s="8" t="str">
        <f t="shared" si="11"/>
        <v>Fangshi</v>
      </c>
      <c r="I26" s="3" t="s">
        <v>179</v>
      </c>
      <c r="J26" s="8" t="str">
        <f t="shared" si="20"/>
        <v>class0010</v>
      </c>
      <c r="K26" s="8" t="str">
        <f t="shared" si="20"/>
        <v>dailoneskill0010</v>
      </c>
      <c r="L26" s="5" t="str">
        <f t="shared" si="4"/>
        <v>lootName24,DAIL/items/materia/class0010/Fangshi24.dbr,</v>
      </c>
      <c r="M26" s="5" t="str">
        <f t="shared" si="5"/>
        <v>lootWeight24,1,</v>
      </c>
      <c r="N26" t="str">
        <f t="shared" si="6"/>
        <v>1</v>
      </c>
      <c r="O26" t="str">
        <f t="shared" si="16"/>
        <v>copy .\dail_base.dbr .\items\materia\class0010\Fangshi24.dbr /y</v>
      </c>
      <c r="P26" t="str">
        <f t="shared" si="7"/>
        <v>echo relicBitmap,items/craftingparts/components/component_a52_bristlyfur_b.tex, &gt;&gt; .\items\materia\class0010\Fangshi24.dbr</v>
      </c>
      <c r="Q26" t="str">
        <f t="shared" si="7"/>
        <v>echo itemCost,300000, &gt;&gt; .\items\materia\class0010\Fangshi24.dbr</v>
      </c>
      <c r="R26" t="str">
        <f t="shared" si="7"/>
        <v>echo description,dailCompDescFangshi24, &gt;&gt; .\items\materia\class0010\Fangshi24.dbr</v>
      </c>
      <c r="S26" t="str">
        <f t="shared" si="7"/>
        <v>echo itemText,dailCompTextFangshi24, &gt;&gt; .\items\materia\class0010\Fangshi24.dbr</v>
      </c>
      <c r="T26" t="str">
        <f t="shared" si="7"/>
        <v>echo augmentSkillLevel1,1, &gt;&gt; .\items\materia\class0010\Fangshi24.dbr</v>
      </c>
      <c r="U26" t="str">
        <f t="shared" si="7"/>
        <v>echo augmentSkillName1,records/skills/playerclass10/earth_effect.dbr, &gt;&gt; .\items\materia\class0010\Fangshi24.dbr</v>
      </c>
      <c r="V26" s="5" t="s">
        <v>36</v>
      </c>
      <c r="W26" t="str">
        <f t="shared" si="8"/>
        <v>echo lootName24,DAIL/items/materia/class0010/Fangshi24.dbr, &gt;&gt; .\items\loottables\dailoneskill0010.dbr</v>
      </c>
      <c r="X26" t="str">
        <f t="shared" si="8"/>
        <v>echo lootWeight24,1, &gt;&gt; .\items\loottables\dailoneskill0010.dbr</v>
      </c>
      <c r="Y26" s="5" t="s">
        <v>36</v>
      </c>
      <c r="Z26" t="str">
        <f t="shared" si="9"/>
        <v xml:space="preserve"> dailCompDescFangshi24=^pFangshi's Gift of DAIL</v>
      </c>
      <c r="AA26" t="str">
        <f t="shared" si="17"/>
        <v>dailCompTextFangshi24=^oThis feels warm to the touch, almost familiar ^w(This component fits into all Jewellery slots including the Belt And Shoulder)</v>
      </c>
      <c r="AB26" s="5" t="s">
        <v>36</v>
      </c>
      <c r="AH26">
        <f t="shared" si="19"/>
        <v>21</v>
      </c>
      <c r="AI26">
        <f t="shared" si="13"/>
        <v>31</v>
      </c>
      <c r="AJ26">
        <f t="shared" si="18"/>
        <v>1</v>
      </c>
    </row>
    <row r="27" spans="1:36" x14ac:dyDescent="0.25">
      <c r="A27" s="5" t="s">
        <v>39</v>
      </c>
      <c r="B27" s="5" t="s">
        <v>28</v>
      </c>
      <c r="C27" s="5" t="str">
        <f t="shared" si="0"/>
        <v>description,dailCompDescFangshi25,</v>
      </c>
      <c r="D27" s="5" t="str">
        <f t="shared" si="2"/>
        <v>itemText,dailCompTextFangshi25,</v>
      </c>
      <c r="E27" s="5" t="str">
        <f t="shared" si="14"/>
        <v>augmentSkillLevel1,1,</v>
      </c>
      <c r="F27" s="5" t="str">
        <f t="shared" si="15"/>
        <v>augmentSkillName1,records/skills/playerclass10/sword_fall_tra.dbr,</v>
      </c>
      <c r="G27" s="7">
        <f t="shared" si="10"/>
        <v>25</v>
      </c>
      <c r="H27" s="8" t="str">
        <f t="shared" si="11"/>
        <v>Fangshi</v>
      </c>
      <c r="I27" s="3" t="s">
        <v>427</v>
      </c>
      <c r="J27" s="8" t="str">
        <f t="shared" si="20"/>
        <v>class0010</v>
      </c>
      <c r="K27" s="8" t="str">
        <f t="shared" si="20"/>
        <v>dailoneskill0010</v>
      </c>
      <c r="L27" s="5" t="str">
        <f t="shared" si="4"/>
        <v>lootName25,DAIL/items/materia/class0010/Fangshi25.dbr,</v>
      </c>
      <c r="M27" s="5" t="str">
        <f t="shared" si="5"/>
        <v>lootWeight25,1,</v>
      </c>
      <c r="N27" t="str">
        <f t="shared" si="6"/>
        <v>1</v>
      </c>
      <c r="O27" t="str">
        <f t="shared" si="16"/>
        <v>copy .\dail_base.dbr .\items\materia\class0010\Fangshi25.dbr /y</v>
      </c>
      <c r="P27" t="str">
        <f t="shared" si="7"/>
        <v>echo relicBitmap,items/craftingparts/components/component_a52_bristlyfur_b.tex, &gt;&gt; .\items\materia\class0010\Fangshi25.dbr</v>
      </c>
      <c r="Q27" t="str">
        <f t="shared" si="7"/>
        <v>echo itemCost,300000, &gt;&gt; .\items\materia\class0010\Fangshi25.dbr</v>
      </c>
      <c r="R27" t="str">
        <f t="shared" si="7"/>
        <v>echo description,dailCompDescFangshi25, &gt;&gt; .\items\materia\class0010\Fangshi25.dbr</v>
      </c>
      <c r="S27" t="str">
        <f t="shared" si="7"/>
        <v>echo itemText,dailCompTextFangshi25, &gt;&gt; .\items\materia\class0010\Fangshi25.dbr</v>
      </c>
      <c r="T27" t="str">
        <f t="shared" si="7"/>
        <v>echo augmentSkillLevel1,1, &gt;&gt; .\items\materia\class0010\Fangshi25.dbr</v>
      </c>
      <c r="U27" t="str">
        <f t="shared" si="7"/>
        <v>echo augmentSkillName1,records/skills/playerclass10/sword_fall_tra.dbr, &gt;&gt; .\items\materia\class0010\Fangshi25.dbr</v>
      </c>
      <c r="V27" s="5" t="s">
        <v>36</v>
      </c>
      <c r="W27" t="str">
        <f t="shared" si="8"/>
        <v>echo lootName25,DAIL/items/materia/class0010/Fangshi25.dbr, &gt;&gt; .\items\loottables\dailoneskill0010.dbr</v>
      </c>
      <c r="X27" t="str">
        <f t="shared" si="8"/>
        <v>echo lootWeight25,1, &gt;&gt; .\items\loottables\dailoneskill0010.dbr</v>
      </c>
      <c r="Y27" s="5" t="s">
        <v>36</v>
      </c>
      <c r="Z27" t="str">
        <f t="shared" si="9"/>
        <v xml:space="preserve"> dailCompDescFangshi25=^pFangshi's Gift of DAIL</v>
      </c>
      <c r="AA27" t="str">
        <f t="shared" si="17"/>
        <v>dailCompTextFangshi25=^oThis feels warm to the touch, almost familiar ^w(This component fits into all Jewellery slots including the Belt And Shoulder)</v>
      </c>
      <c r="AB27" s="5" t="s">
        <v>36</v>
      </c>
      <c r="AH27">
        <f t="shared" si="19"/>
        <v>22</v>
      </c>
      <c r="AI27">
        <f t="shared" si="13"/>
        <v>33</v>
      </c>
      <c r="AJ27">
        <f t="shared" si="18"/>
        <v>1</v>
      </c>
    </row>
    <row r="28" spans="1:36" x14ac:dyDescent="0.25">
      <c r="A28" s="5" t="s">
        <v>39</v>
      </c>
      <c r="B28" s="5" t="s">
        <v>28</v>
      </c>
      <c r="C28" s="5" t="str">
        <f t="shared" si="0"/>
        <v>description,dailCompDescFangshi26,</v>
      </c>
      <c r="D28" s="5" t="str">
        <f t="shared" si="2"/>
        <v>itemText,dailCompTextFangshi26,</v>
      </c>
      <c r="E28" s="5" t="str">
        <f t="shared" si="14"/>
        <v>augmentSkillLevel1,1,</v>
      </c>
      <c r="F28" s="5" t="str">
        <f t="shared" si="15"/>
        <v>augmentSkillName1,records/skills/playerclass10/earth_effect_tra.dbr,</v>
      </c>
      <c r="G28" s="7">
        <f t="shared" si="10"/>
        <v>26</v>
      </c>
      <c r="H28" s="8" t="str">
        <f t="shared" si="11"/>
        <v>Fangshi</v>
      </c>
      <c r="I28" s="3" t="s">
        <v>428</v>
      </c>
      <c r="J28" s="8" t="str">
        <f t="shared" si="20"/>
        <v>class0010</v>
      </c>
      <c r="K28" s="8" t="str">
        <f t="shared" si="20"/>
        <v>dailoneskill0010</v>
      </c>
      <c r="L28" s="5" t="str">
        <f t="shared" si="4"/>
        <v>lootName26,DAIL/items/materia/class0010/Fangshi26.dbr,</v>
      </c>
      <c r="M28" s="5" t="str">
        <f t="shared" si="5"/>
        <v>lootWeight26,1,</v>
      </c>
      <c r="N28" t="str">
        <f t="shared" si="6"/>
        <v>1</v>
      </c>
      <c r="O28" t="str">
        <f t="shared" si="16"/>
        <v>copy .\dail_base.dbr .\items\materia\class0010\Fangshi26.dbr /y</v>
      </c>
      <c r="P28" t="str">
        <f t="shared" si="7"/>
        <v>echo relicBitmap,items/craftingparts/components/component_a52_bristlyfur_b.tex, &gt;&gt; .\items\materia\class0010\Fangshi26.dbr</v>
      </c>
      <c r="Q28" t="str">
        <f t="shared" si="7"/>
        <v>echo itemCost,300000, &gt;&gt; .\items\materia\class0010\Fangshi26.dbr</v>
      </c>
      <c r="R28" t="str">
        <f t="shared" si="7"/>
        <v>echo description,dailCompDescFangshi26, &gt;&gt; .\items\materia\class0010\Fangshi26.dbr</v>
      </c>
      <c r="S28" t="str">
        <f t="shared" si="7"/>
        <v>echo itemText,dailCompTextFangshi26, &gt;&gt; .\items\materia\class0010\Fangshi26.dbr</v>
      </c>
      <c r="T28" t="str">
        <f t="shared" si="7"/>
        <v>echo augmentSkillLevel1,1, &gt;&gt; .\items\materia\class0010\Fangshi26.dbr</v>
      </c>
      <c r="U28" t="str">
        <f t="shared" si="7"/>
        <v>echo augmentSkillName1,records/skills/playerclass10/earth_effect_tra.dbr, &gt;&gt; .\items\materia\class0010\Fangshi26.dbr</v>
      </c>
      <c r="V28" s="5" t="s">
        <v>36</v>
      </c>
      <c r="W28" t="str">
        <f t="shared" si="8"/>
        <v>echo lootName26,DAIL/items/materia/class0010/Fangshi26.dbr, &gt;&gt; .\items\loottables\dailoneskill0010.dbr</v>
      </c>
      <c r="X28" t="str">
        <f t="shared" si="8"/>
        <v>echo lootWeight26,1, &gt;&gt; .\items\loottables\dailoneskill0010.dbr</v>
      </c>
      <c r="Y28" s="5" t="s">
        <v>36</v>
      </c>
      <c r="Z28" t="str">
        <f t="shared" si="9"/>
        <v xml:space="preserve"> dailCompDescFangshi26=^pFangshi's Gift of DAIL</v>
      </c>
      <c r="AA28" t="str">
        <f t="shared" si="17"/>
        <v>dailCompTextFangshi26=^oThis feels warm to the touch, almost familiar ^w(This component fits into all Jewellery slots including the Belt And Shoulder)</v>
      </c>
      <c r="AB28" s="5" t="s">
        <v>36</v>
      </c>
      <c r="AH28">
        <f t="shared" si="19"/>
        <v>23</v>
      </c>
      <c r="AI28">
        <f t="shared" si="13"/>
        <v>35</v>
      </c>
      <c r="AJ28">
        <f t="shared" si="18"/>
        <v>1</v>
      </c>
    </row>
    <row r="29" spans="1:36" x14ac:dyDescent="0.25">
      <c r="A29" s="5" t="s">
        <v>39</v>
      </c>
      <c r="B29" s="5" t="s">
        <v>28</v>
      </c>
      <c r="C29" s="5" t="str">
        <f t="shared" si="0"/>
        <v>description,dailCompDescFangshi27,</v>
      </c>
      <c r="D29" s="5" t="str">
        <f t="shared" si="2"/>
        <v>itemText,dailCompTextFangshi27,</v>
      </c>
      <c r="E29" s="5" t="str">
        <f t="shared" si="14"/>
        <v>augmentSkillLevel1,1,</v>
      </c>
      <c r="F29" s="5" t="str">
        <f t="shared" si="15"/>
        <v>augmentSkillName1,records/skills/playerclass10/earth_effect_mod.dbr,</v>
      </c>
      <c r="G29" s="7">
        <f t="shared" si="10"/>
        <v>27</v>
      </c>
      <c r="H29" s="8" t="str">
        <f t="shared" si="11"/>
        <v>Fangshi</v>
      </c>
      <c r="I29" s="3" t="s">
        <v>429</v>
      </c>
      <c r="J29" s="8" t="str">
        <f t="shared" si="20"/>
        <v>class0010</v>
      </c>
      <c r="K29" s="8" t="str">
        <f t="shared" si="20"/>
        <v>dailoneskill0010</v>
      </c>
      <c r="L29" s="5" t="str">
        <f t="shared" si="4"/>
        <v>lootName27,DAIL/items/materia/class0010/Fangshi27.dbr,</v>
      </c>
      <c r="M29" s="5" t="str">
        <f t="shared" si="5"/>
        <v>lootWeight27,1,</v>
      </c>
      <c r="N29" t="str">
        <f t="shared" si="6"/>
        <v>1</v>
      </c>
      <c r="O29" t="str">
        <f t="shared" si="16"/>
        <v>copy .\dail_base.dbr .\items\materia\class0010\Fangshi27.dbr /y</v>
      </c>
      <c r="P29" t="str">
        <f t="shared" si="7"/>
        <v>echo relicBitmap,items/craftingparts/components/component_a52_bristlyfur_b.tex, &gt;&gt; .\items\materia\class0010\Fangshi27.dbr</v>
      </c>
      <c r="Q29" t="str">
        <f t="shared" si="7"/>
        <v>echo itemCost,300000, &gt;&gt; .\items\materia\class0010\Fangshi27.dbr</v>
      </c>
      <c r="R29" t="str">
        <f t="shared" si="7"/>
        <v>echo description,dailCompDescFangshi27, &gt;&gt; .\items\materia\class0010\Fangshi27.dbr</v>
      </c>
      <c r="S29" t="str">
        <f t="shared" si="7"/>
        <v>echo itemText,dailCompTextFangshi27, &gt;&gt; .\items\materia\class0010\Fangshi27.dbr</v>
      </c>
      <c r="T29" t="str">
        <f t="shared" si="7"/>
        <v>echo augmentSkillLevel1,1, &gt;&gt; .\items\materia\class0010\Fangshi27.dbr</v>
      </c>
      <c r="U29" t="str">
        <f t="shared" si="7"/>
        <v>echo augmentSkillName1,records/skills/playerclass10/earth_effect_mod.dbr, &gt;&gt; .\items\materia\class0010\Fangshi27.dbr</v>
      </c>
      <c r="V29" s="5" t="s">
        <v>36</v>
      </c>
      <c r="W29" t="str">
        <f t="shared" si="8"/>
        <v>echo lootName27,DAIL/items/materia/class0010/Fangshi27.dbr, &gt;&gt; .\items\loottables\dailoneskill0010.dbr</v>
      </c>
      <c r="X29" t="str">
        <f t="shared" si="8"/>
        <v>echo lootWeight27,1, &gt;&gt; .\items\loottables\dailoneskill0010.dbr</v>
      </c>
      <c r="Y29" s="5" t="s">
        <v>36</v>
      </c>
      <c r="Z29" t="str">
        <f t="shared" si="9"/>
        <v xml:space="preserve"> dailCompDescFangshi27=^pFangshi's Gift of DAIL</v>
      </c>
      <c r="AA29" t="str">
        <f t="shared" si="17"/>
        <v>dailCompTextFangshi27=^oThis feels warm to the touch, almost familiar ^w(This component fits into all Jewellery slots including the Belt And Shoulder)</v>
      </c>
      <c r="AB29" s="5" t="s">
        <v>36</v>
      </c>
      <c r="AH29">
        <f t="shared" si="19"/>
        <v>24</v>
      </c>
      <c r="AI29">
        <f t="shared" si="13"/>
        <v>35</v>
      </c>
      <c r="AJ29">
        <f t="shared" si="18"/>
        <v>1</v>
      </c>
    </row>
    <row r="30" spans="1:36" x14ac:dyDescent="0.25">
      <c r="A30" s="5" t="s">
        <v>39</v>
      </c>
      <c r="B30" s="5" t="s">
        <v>28</v>
      </c>
      <c r="C30" s="5" t="str">
        <f t="shared" si="0"/>
        <v>description,dailCompDescFangshi28,</v>
      </c>
      <c r="D30" s="5" t="str">
        <f t="shared" si="2"/>
        <v>itemText,dailCompTextFangshi28,</v>
      </c>
      <c r="E30" s="5" t="str">
        <f t="shared" si="14"/>
        <v>augmentSkillLevel1,1,</v>
      </c>
      <c r="F30" s="5" t="str">
        <f t="shared" si="15"/>
        <v>augmentSkillName1,records/skills/playerclass10/passive.dbr,</v>
      </c>
      <c r="G30" s="7">
        <f t="shared" si="10"/>
        <v>28</v>
      </c>
      <c r="H30" s="8" t="str">
        <f t="shared" si="11"/>
        <v>Fangshi</v>
      </c>
      <c r="I30" s="3" t="s">
        <v>430</v>
      </c>
      <c r="J30" s="8" t="str">
        <f t="shared" si="20"/>
        <v>class0010</v>
      </c>
      <c r="K30" s="8" t="str">
        <f t="shared" si="20"/>
        <v>dailoneskill0010</v>
      </c>
      <c r="L30" s="5" t="str">
        <f t="shared" si="4"/>
        <v>lootName28,DAIL/items/materia/class0010/Fangshi28.dbr,</v>
      </c>
      <c r="M30" s="5" t="str">
        <f t="shared" si="5"/>
        <v>lootWeight28,1,</v>
      </c>
      <c r="N30" t="str">
        <f t="shared" si="6"/>
        <v>1</v>
      </c>
      <c r="O30" t="str">
        <f t="shared" si="16"/>
        <v>copy .\dail_base.dbr .\items\materia\class0010\Fangshi28.dbr /y</v>
      </c>
      <c r="P30" t="str">
        <f t="shared" si="7"/>
        <v>echo relicBitmap,items/craftingparts/components/component_a52_bristlyfur_b.tex, &gt;&gt; .\items\materia\class0010\Fangshi28.dbr</v>
      </c>
      <c r="Q30" t="str">
        <f t="shared" si="7"/>
        <v>echo itemCost,300000, &gt;&gt; .\items\materia\class0010\Fangshi28.dbr</v>
      </c>
      <c r="R30" t="str">
        <f t="shared" si="7"/>
        <v>echo description,dailCompDescFangshi28, &gt;&gt; .\items\materia\class0010\Fangshi28.dbr</v>
      </c>
      <c r="S30" t="str">
        <f t="shared" si="7"/>
        <v>echo itemText,dailCompTextFangshi28, &gt;&gt; .\items\materia\class0010\Fangshi28.dbr</v>
      </c>
      <c r="T30" t="str">
        <f t="shared" si="7"/>
        <v>echo augmentSkillLevel1,1, &gt;&gt; .\items\materia\class0010\Fangshi28.dbr</v>
      </c>
      <c r="U30" t="str">
        <f t="shared" si="7"/>
        <v>echo augmentSkillName1,records/skills/playerclass10/passive.dbr, &gt;&gt; .\items\materia\class0010\Fangshi28.dbr</v>
      </c>
      <c r="V30" s="5" t="s">
        <v>36</v>
      </c>
      <c r="W30" t="str">
        <f t="shared" si="8"/>
        <v>echo lootName28,DAIL/items/materia/class0010/Fangshi28.dbr, &gt;&gt; .\items\loottables\dailoneskill0010.dbr</v>
      </c>
      <c r="X30" t="str">
        <f t="shared" si="8"/>
        <v>echo lootWeight28,1, &gt;&gt; .\items\loottables\dailoneskill0010.dbr</v>
      </c>
      <c r="Y30" s="5" t="s">
        <v>36</v>
      </c>
      <c r="Z30" t="str">
        <f t="shared" si="9"/>
        <v xml:space="preserve"> dailCompDescFangshi28=^pFangshi's Gift of DAIL</v>
      </c>
      <c r="AA30" t="str">
        <f t="shared" si="17"/>
        <v>dailCompTextFangshi28=^oThis feels warm to the touch, almost familiar ^w(This component fits into all Jewellery slots including the Belt And Shoulder)</v>
      </c>
      <c r="AB30" s="5" t="s">
        <v>36</v>
      </c>
      <c r="AH30">
        <f t="shared" si="19"/>
        <v>25</v>
      </c>
      <c r="AI30">
        <f t="shared" si="13"/>
        <v>26</v>
      </c>
      <c r="AJ30">
        <f t="shared" si="18"/>
        <v>1</v>
      </c>
    </row>
    <row r="31" spans="1:36" x14ac:dyDescent="0.25">
      <c r="A31" s="5" t="s">
        <v>39</v>
      </c>
      <c r="B31" s="5" t="s">
        <v>28</v>
      </c>
      <c r="C31" s="5" t="str">
        <f t="shared" si="0"/>
        <v>description,dailCompDescFangshi29,</v>
      </c>
      <c r="D31" s="5" t="str">
        <f t="shared" si="2"/>
        <v>itemText,dailCompTextFangshi29,</v>
      </c>
      <c r="E31" s="5" t="str">
        <f t="shared" si="14"/>
        <v>augmentSkillLevel1,1,</v>
      </c>
      <c r="F31" s="5" t="str">
        <f t="shared" si="15"/>
        <v>augmentSkillName1,records/skills/playerclass10/mattack.dbr,</v>
      </c>
      <c r="G31" s="7">
        <f t="shared" si="10"/>
        <v>29</v>
      </c>
      <c r="H31" s="8" t="str">
        <f t="shared" si="11"/>
        <v>Fangshi</v>
      </c>
      <c r="I31" s="3" t="s">
        <v>181</v>
      </c>
      <c r="J31" s="8" t="str">
        <f t="shared" si="20"/>
        <v>class0010</v>
      </c>
      <c r="K31" s="8" t="str">
        <f t="shared" si="20"/>
        <v>dailoneskill0010</v>
      </c>
      <c r="L31" s="5" t="str">
        <f t="shared" si="4"/>
        <v>lootName29,DAIL/items/materia/class0010/Fangshi29.dbr,</v>
      </c>
      <c r="M31" s="5" t="str">
        <f t="shared" si="5"/>
        <v>lootWeight29,1,</v>
      </c>
      <c r="N31" t="str">
        <f t="shared" si="6"/>
        <v>1</v>
      </c>
      <c r="O31" t="str">
        <f t="shared" si="16"/>
        <v>copy .\dail_base.dbr .\items\materia\class0010\Fangshi29.dbr /y</v>
      </c>
      <c r="P31" t="str">
        <f t="shared" si="7"/>
        <v>echo relicBitmap,items/craftingparts/components/component_a52_bristlyfur_b.tex, &gt;&gt; .\items\materia\class0010\Fangshi29.dbr</v>
      </c>
      <c r="Q31" t="str">
        <f t="shared" si="7"/>
        <v>echo itemCost,300000, &gt;&gt; .\items\materia\class0010\Fangshi29.dbr</v>
      </c>
      <c r="R31" t="str">
        <f t="shared" si="7"/>
        <v>echo description,dailCompDescFangshi29, &gt;&gt; .\items\materia\class0010\Fangshi29.dbr</v>
      </c>
      <c r="S31" t="str">
        <f t="shared" si="7"/>
        <v>echo itemText,dailCompTextFangshi29, &gt;&gt; .\items\materia\class0010\Fangshi29.dbr</v>
      </c>
      <c r="T31" t="str">
        <f t="shared" si="7"/>
        <v>echo augmentSkillLevel1,1, &gt;&gt; .\items\materia\class0010\Fangshi29.dbr</v>
      </c>
      <c r="U31" t="str">
        <f t="shared" si="7"/>
        <v>echo augmentSkillName1,records/skills/playerclass10/mattack.dbr, &gt;&gt; .\items\materia\class0010\Fangshi29.dbr</v>
      </c>
      <c r="V31" s="5" t="s">
        <v>36</v>
      </c>
      <c r="W31" t="str">
        <f t="shared" si="8"/>
        <v>echo lootName29,DAIL/items/materia/class0010/Fangshi29.dbr, &gt;&gt; .\items\loottables\dailoneskill0010.dbr</v>
      </c>
      <c r="X31" t="str">
        <f t="shared" si="8"/>
        <v>echo lootWeight29,1, &gt;&gt; .\items\loottables\dailoneskill0010.dbr</v>
      </c>
      <c r="Y31" s="5" t="s">
        <v>36</v>
      </c>
      <c r="Z31" t="str">
        <f t="shared" si="9"/>
        <v xml:space="preserve"> dailCompDescFangshi29=^pFangshi's Gift of DAIL</v>
      </c>
      <c r="AA31" t="str">
        <f t="shared" si="17"/>
        <v>dailCompTextFangshi29=^oThis feels warm to the touch, almost familiar ^w(This component fits into all Jewellery slots including the Belt And Shoulder)</v>
      </c>
      <c r="AB31" s="5" t="s">
        <v>36</v>
      </c>
      <c r="AH31">
        <f t="shared" si="19"/>
        <v>26</v>
      </c>
      <c r="AI31">
        <f t="shared" si="13"/>
        <v>26</v>
      </c>
      <c r="AJ31">
        <f t="shared" si="18"/>
        <v>1</v>
      </c>
    </row>
    <row r="32" spans="1:36" x14ac:dyDescent="0.25">
      <c r="A32" s="5" t="s">
        <v>39</v>
      </c>
      <c r="B32" s="5" t="s">
        <v>30</v>
      </c>
      <c r="C32" s="5" t="str">
        <f t="shared" si="0"/>
        <v>description,dailCompDescFangshi30,</v>
      </c>
      <c r="D32" s="5" t="str">
        <f t="shared" si="2"/>
        <v>itemText,dailCompTextFangshi30,</v>
      </c>
      <c r="E32" s="5" t="str">
        <f t="shared" si="14"/>
        <v>augmentSkillLevel1,1,</v>
      </c>
      <c r="F32" s="5" t="str">
        <f t="shared" si="15"/>
        <v>augmentSkillName1,records/skills/playerclass10/sword_fall_mod2.dbr,</v>
      </c>
      <c r="G32" s="7">
        <f t="shared" si="10"/>
        <v>30</v>
      </c>
      <c r="H32" s="8" t="str">
        <f t="shared" si="11"/>
        <v>Fangshi</v>
      </c>
      <c r="I32" s="3" t="s">
        <v>431</v>
      </c>
      <c r="J32" s="8" t="str">
        <f t="shared" si="20"/>
        <v>class0010</v>
      </c>
      <c r="K32" s="8" t="str">
        <f t="shared" si="20"/>
        <v>dailoneskill0010</v>
      </c>
      <c r="L32" s="5" t="str">
        <f t="shared" si="4"/>
        <v>lootName30,DAIL/items/materia/class0010/Fangshi30.dbr,</v>
      </c>
      <c r="M32" s="5" t="str">
        <f t="shared" si="5"/>
        <v>lootWeight30,1,</v>
      </c>
      <c r="N32" t="str">
        <f t="shared" si="6"/>
        <v>1</v>
      </c>
      <c r="O32" t="str">
        <f t="shared" si="16"/>
        <v>copy .\dail_base.dbr .\items\materia\class0010\Fangshi30.dbr /y</v>
      </c>
      <c r="P32" t="str">
        <f t="shared" si="7"/>
        <v>echo relicBitmap,items/craftingparts/components/component_a52_bristlyfur_b.tex, &gt;&gt; .\items\materia\class0010\Fangshi30.dbr</v>
      </c>
      <c r="Q32" t="str">
        <f t="shared" si="7"/>
        <v>echo itemCost,500000, &gt;&gt; .\items\materia\class0010\Fangshi30.dbr</v>
      </c>
      <c r="R32" t="str">
        <f t="shared" si="7"/>
        <v>echo description,dailCompDescFangshi30, &gt;&gt; .\items\materia\class0010\Fangshi30.dbr</v>
      </c>
      <c r="S32" t="str">
        <f t="shared" si="7"/>
        <v>echo itemText,dailCompTextFangshi30, &gt;&gt; .\items\materia\class0010\Fangshi30.dbr</v>
      </c>
      <c r="T32" t="str">
        <f t="shared" si="7"/>
        <v>echo augmentSkillLevel1,1, &gt;&gt; .\items\materia\class0010\Fangshi30.dbr</v>
      </c>
      <c r="U32" t="str">
        <f t="shared" si="7"/>
        <v>echo augmentSkillName1,records/skills/playerclass10/sword_fall_mod2.dbr, &gt;&gt; .\items\materia\class0010\Fangshi30.dbr</v>
      </c>
      <c r="V32" s="5" t="s">
        <v>36</v>
      </c>
      <c r="W32" t="str">
        <f t="shared" si="8"/>
        <v>echo lootName30,DAIL/items/materia/class0010/Fangshi30.dbr, &gt;&gt; .\items\loottables\dailoneskill0010.dbr</v>
      </c>
      <c r="X32" t="str">
        <f t="shared" si="8"/>
        <v>echo lootWeight30,1, &gt;&gt; .\items\loottables\dailoneskill0010.dbr</v>
      </c>
      <c r="Y32" s="5" t="s">
        <v>36</v>
      </c>
      <c r="Z32" t="str">
        <f t="shared" si="9"/>
        <v xml:space="preserve"> dailCompDescFangshi30=^pFangshi's Gift of DAIL</v>
      </c>
      <c r="AA32" t="str">
        <f t="shared" si="17"/>
        <v>dailCompTextFangshi30=^oThis feels warm to the touch, almost familiar ^w(This component fits into all Jewellery slots including the Belt And Shoulder)</v>
      </c>
      <c r="AB32" s="5" t="s">
        <v>36</v>
      </c>
      <c r="AH32">
        <f t="shared" si="19"/>
        <v>27</v>
      </c>
      <c r="AI32">
        <f t="shared" si="13"/>
        <v>34</v>
      </c>
      <c r="AJ32">
        <f t="shared" si="18"/>
        <v>1</v>
      </c>
    </row>
    <row r="33" spans="1:36" x14ac:dyDescent="0.25">
      <c r="A33" s="5" t="s">
        <v>39</v>
      </c>
      <c r="B33" s="5" t="s">
        <v>30</v>
      </c>
      <c r="C33" s="5" t="str">
        <f t="shared" si="0"/>
        <v>description,dailCompDescFangshi31,</v>
      </c>
      <c r="D33" s="5" t="str">
        <f t="shared" si="2"/>
        <v>itemText,dailCompTextFangshi31,</v>
      </c>
      <c r="E33" s="5" t="str">
        <f t="shared" si="14"/>
        <v>augmentSkillLevel1,1,</v>
      </c>
      <c r="F33" s="5" t="str">
        <f t="shared" si="15"/>
        <v>augmentSkillName1,records/skills/playerclass10/sword_fall_mod.dbr,</v>
      </c>
      <c r="G33" s="7">
        <f t="shared" si="10"/>
        <v>31</v>
      </c>
      <c r="H33" s="8" t="str">
        <f t="shared" si="11"/>
        <v>Fangshi</v>
      </c>
      <c r="I33" s="3" t="s">
        <v>432</v>
      </c>
      <c r="J33" s="8" t="str">
        <f t="shared" si="20"/>
        <v>class0010</v>
      </c>
      <c r="K33" s="8" t="str">
        <f t="shared" si="20"/>
        <v>dailoneskill0010</v>
      </c>
      <c r="L33" s="5" t="str">
        <f t="shared" si="4"/>
        <v>lootName31,DAIL/items/materia/class0010/Fangshi31.dbr,</v>
      </c>
      <c r="M33" s="5" t="str">
        <f t="shared" si="5"/>
        <v>lootWeight31,1,</v>
      </c>
      <c r="N33" t="str">
        <f t="shared" si="6"/>
        <v>1</v>
      </c>
      <c r="O33" t="str">
        <f t="shared" si="16"/>
        <v>copy .\dail_base.dbr .\items\materia\class0010\Fangshi31.dbr /y</v>
      </c>
      <c r="P33" t="str">
        <f t="shared" si="7"/>
        <v>echo relicBitmap,items/craftingparts/components/component_a52_bristlyfur_b.tex, &gt;&gt; .\items\materia\class0010\Fangshi31.dbr</v>
      </c>
      <c r="Q33" t="str">
        <f t="shared" si="7"/>
        <v>echo itemCost,500000, &gt;&gt; .\items\materia\class0010\Fangshi31.dbr</v>
      </c>
      <c r="R33" t="str">
        <f t="shared" si="7"/>
        <v>echo description,dailCompDescFangshi31, &gt;&gt; .\items\materia\class0010\Fangshi31.dbr</v>
      </c>
      <c r="S33" t="str">
        <f t="shared" si="7"/>
        <v>echo itemText,dailCompTextFangshi31, &gt;&gt; .\items\materia\class0010\Fangshi31.dbr</v>
      </c>
      <c r="T33" t="str">
        <f t="shared" si="7"/>
        <v>echo augmentSkillLevel1,1, &gt;&gt; .\items\materia\class0010\Fangshi31.dbr</v>
      </c>
      <c r="U33" t="str">
        <f t="shared" si="7"/>
        <v>echo augmentSkillName1,records/skills/playerclass10/sword_fall_mod.dbr, &gt;&gt; .\items\materia\class0010\Fangshi31.dbr</v>
      </c>
      <c r="V33" s="5" t="s">
        <v>36</v>
      </c>
      <c r="W33" t="str">
        <f t="shared" si="8"/>
        <v>echo lootName31,DAIL/items/materia/class0010/Fangshi31.dbr, &gt;&gt; .\items\loottables\dailoneskill0010.dbr</v>
      </c>
      <c r="X33" t="str">
        <f t="shared" si="8"/>
        <v>echo lootWeight31,1, &gt;&gt; .\items\loottables\dailoneskill0010.dbr</v>
      </c>
      <c r="Y33" s="5" t="s">
        <v>36</v>
      </c>
      <c r="Z33" t="str">
        <f t="shared" si="9"/>
        <v xml:space="preserve"> dailCompDescFangshi31=^pFangshi's Gift of DAIL</v>
      </c>
      <c r="AA33" t="str">
        <f t="shared" si="17"/>
        <v>dailCompTextFangshi31=^oThis feels warm to the touch, almost familiar ^w(This component fits into all Jewellery slots including the Belt And Shoulder)</v>
      </c>
      <c r="AB33" s="5" t="s">
        <v>36</v>
      </c>
      <c r="AH33">
        <f t="shared" si="19"/>
        <v>28</v>
      </c>
      <c r="AI33">
        <f t="shared" si="13"/>
        <v>33</v>
      </c>
      <c r="AJ33">
        <f t="shared" si="18"/>
        <v>1</v>
      </c>
    </row>
    <row r="34" spans="1:36" x14ac:dyDescent="0.25">
      <c r="A34" s="5" t="s">
        <v>39</v>
      </c>
      <c r="B34" s="5" t="s">
        <v>30</v>
      </c>
      <c r="C34" s="5" t="str">
        <f t="shared" si="0"/>
        <v>description,dailCompDescFangshi32,</v>
      </c>
      <c r="D34" s="5" t="str">
        <f t="shared" si="2"/>
        <v>itemText,dailCompTextFangshi32,</v>
      </c>
      <c r="E34" s="5" t="str">
        <f t="shared" si="14"/>
        <v>augmentSkillLevel1,1,</v>
      </c>
      <c r="F34" s="5" t="str">
        <f t="shared" si="15"/>
        <v>augmentSkillName1,records/skills/playerclass10/summonsword.dbr,</v>
      </c>
      <c r="G34" s="7">
        <f t="shared" si="10"/>
        <v>32</v>
      </c>
      <c r="H34" s="8" t="str">
        <f t="shared" si="11"/>
        <v>Fangshi</v>
      </c>
      <c r="I34" s="3" t="s">
        <v>185</v>
      </c>
      <c r="J34" s="8" t="str">
        <f t="shared" si="20"/>
        <v>class0010</v>
      </c>
      <c r="K34" s="8" t="str">
        <f t="shared" si="20"/>
        <v>dailoneskill0010</v>
      </c>
      <c r="L34" s="5" t="str">
        <f t="shared" si="4"/>
        <v>lootName32,DAIL/items/materia/class0010/Fangshi32.dbr,</v>
      </c>
      <c r="M34" s="5" t="str">
        <f t="shared" si="5"/>
        <v>lootWeight32,1,</v>
      </c>
      <c r="N34" t="str">
        <f t="shared" si="6"/>
        <v>1</v>
      </c>
      <c r="O34" t="str">
        <f t="shared" si="16"/>
        <v>copy .\dail_base.dbr .\items\materia\class0010\Fangshi32.dbr /y</v>
      </c>
      <c r="P34" t="str">
        <f t="shared" si="7"/>
        <v>echo relicBitmap,items/craftingparts/components/component_a52_bristlyfur_b.tex, &gt;&gt; .\items\materia\class0010\Fangshi32.dbr</v>
      </c>
      <c r="Q34" t="str">
        <f t="shared" si="7"/>
        <v>echo itemCost,500000, &gt;&gt; .\items\materia\class0010\Fangshi32.dbr</v>
      </c>
      <c r="R34" t="str">
        <f t="shared" si="7"/>
        <v>echo description,dailCompDescFangshi32, &gt;&gt; .\items\materia\class0010\Fangshi32.dbr</v>
      </c>
      <c r="S34" t="str">
        <f t="shared" si="7"/>
        <v>echo itemText,dailCompTextFangshi32, &gt;&gt; .\items\materia\class0010\Fangshi32.dbr</v>
      </c>
      <c r="T34" t="str">
        <f t="shared" si="7"/>
        <v>echo augmentSkillLevel1,1, &gt;&gt; .\items\materia\class0010\Fangshi32.dbr</v>
      </c>
      <c r="U34" t="str">
        <f t="shared" si="7"/>
        <v>echo augmentSkillName1,records/skills/playerclass10/summonsword.dbr, &gt;&gt; .\items\materia\class0010\Fangshi32.dbr</v>
      </c>
      <c r="V34" s="5" t="s">
        <v>36</v>
      </c>
      <c r="W34" t="str">
        <f t="shared" si="8"/>
        <v>echo lootName32,DAIL/items/materia/class0010/Fangshi32.dbr, &gt;&gt; .\items\loottables\dailoneskill0010.dbr</v>
      </c>
      <c r="X34" t="str">
        <f t="shared" si="8"/>
        <v>echo lootWeight32,1, &gt;&gt; .\items\loottables\dailoneskill0010.dbr</v>
      </c>
      <c r="Y34" s="5" t="s">
        <v>36</v>
      </c>
      <c r="Z34" t="str">
        <f t="shared" si="9"/>
        <v xml:space="preserve"> dailCompDescFangshi32=^pFangshi's Gift of DAIL</v>
      </c>
      <c r="AA34" t="str">
        <f t="shared" si="17"/>
        <v>dailCompTextFangshi32=^oThis feels warm to the touch, almost familiar ^w(This component fits into all Jewellery slots including the Belt And Shoulder)</v>
      </c>
      <c r="AB34" s="5" t="s">
        <v>36</v>
      </c>
      <c r="AH34">
        <f t="shared" si="19"/>
        <v>29</v>
      </c>
      <c r="AI34">
        <f t="shared" si="13"/>
        <v>30</v>
      </c>
      <c r="AJ34">
        <f t="shared" si="18"/>
        <v>1</v>
      </c>
    </row>
    <row r="35" spans="1:36" x14ac:dyDescent="0.25">
      <c r="A35" s="5" t="s">
        <v>39</v>
      </c>
      <c r="B35" s="5" t="s">
        <v>30</v>
      </c>
      <c r="C35" s="5" t="str">
        <f t="shared" si="0"/>
        <v>description,dailCompDescFangshi33,</v>
      </c>
      <c r="D35" s="5" t="str">
        <f t="shared" si="2"/>
        <v>itemText,dailCompTextFangshi33,</v>
      </c>
      <c r="E35" s="5" t="str">
        <f t="shared" si="14"/>
        <v>augmentSkillLevel1,1,</v>
      </c>
      <c r="F35" s="5" t="str">
        <f t="shared" si="15"/>
        <v>augmentSkillName1,records/skills/playerclass10/icewall.dbr,</v>
      </c>
      <c r="G35" s="7">
        <f t="shared" si="10"/>
        <v>33</v>
      </c>
      <c r="H35" s="8" t="str">
        <f t="shared" si="11"/>
        <v>Fangshi</v>
      </c>
      <c r="I35" s="3" t="s">
        <v>180</v>
      </c>
      <c r="J35" s="8" t="str">
        <f t="shared" si="20"/>
        <v>class0010</v>
      </c>
      <c r="K35" s="8" t="str">
        <f t="shared" si="20"/>
        <v>dailoneskill0010</v>
      </c>
      <c r="L35" s="5" t="str">
        <f t="shared" si="4"/>
        <v>lootName33,DAIL/items/materia/class0010/Fangshi33.dbr,</v>
      </c>
      <c r="M35" s="5" t="str">
        <f t="shared" si="5"/>
        <v>lootWeight33,1,</v>
      </c>
      <c r="N35" t="str">
        <f t="shared" si="6"/>
        <v>1</v>
      </c>
      <c r="O35" t="str">
        <f t="shared" si="16"/>
        <v>copy .\dail_base.dbr .\items\materia\class0010\Fangshi33.dbr /y</v>
      </c>
      <c r="P35" t="str">
        <f t="shared" si="7"/>
        <v>echo relicBitmap,items/craftingparts/components/component_a52_bristlyfur_b.tex, &gt;&gt; .\items\materia\class0010\Fangshi33.dbr</v>
      </c>
      <c r="Q35" t="str">
        <f t="shared" si="7"/>
        <v>echo itemCost,500000, &gt;&gt; .\items\materia\class0010\Fangshi33.dbr</v>
      </c>
      <c r="R35" t="str">
        <f t="shared" si="7"/>
        <v>echo description,dailCompDescFangshi33, &gt;&gt; .\items\materia\class0010\Fangshi33.dbr</v>
      </c>
      <c r="S35" t="str">
        <f t="shared" si="7"/>
        <v>echo itemText,dailCompTextFangshi33, &gt;&gt; .\items\materia\class0010\Fangshi33.dbr</v>
      </c>
      <c r="T35" t="str">
        <f t="shared" si="7"/>
        <v>echo augmentSkillLevel1,1, &gt;&gt; .\items\materia\class0010\Fangshi33.dbr</v>
      </c>
      <c r="U35" t="str">
        <f t="shared" si="7"/>
        <v>echo augmentSkillName1,records/skills/playerclass10/icewall.dbr, &gt;&gt; .\items\materia\class0010\Fangshi33.dbr</v>
      </c>
      <c r="V35" s="5" t="s">
        <v>36</v>
      </c>
      <c r="W35" t="str">
        <f t="shared" si="8"/>
        <v>echo lootName33,DAIL/items/materia/class0010/Fangshi33.dbr, &gt;&gt; .\items\loottables\dailoneskill0010.dbr</v>
      </c>
      <c r="X35" t="str">
        <f t="shared" si="8"/>
        <v>echo lootWeight33,1, &gt;&gt; .\items\loottables\dailoneskill0010.dbr</v>
      </c>
      <c r="Y35" s="5" t="s">
        <v>36</v>
      </c>
      <c r="Z35" t="str">
        <f t="shared" si="9"/>
        <v xml:space="preserve"> dailCompDescFangshi33=^pFangshi's Gift of DAIL</v>
      </c>
      <c r="AA35" t="str">
        <f t="shared" si="17"/>
        <v>dailCompTextFangshi33=^oThis feels warm to the touch, almost familiar ^w(This component fits into all Jewellery slots including the Belt And Shoulder)</v>
      </c>
      <c r="AB35" s="5" t="s">
        <v>36</v>
      </c>
      <c r="AH35">
        <f t="shared" si="19"/>
        <v>30</v>
      </c>
      <c r="AI35">
        <f t="shared" si="13"/>
        <v>26</v>
      </c>
      <c r="AJ35">
        <f t="shared" si="18"/>
        <v>1</v>
      </c>
    </row>
    <row r="36" spans="1:36" x14ac:dyDescent="0.25">
      <c r="A36" s="5" t="s">
        <v>39</v>
      </c>
      <c r="B36" s="5" t="s">
        <v>30</v>
      </c>
      <c r="C36" s="5" t="str">
        <f t="shared" si="0"/>
        <v>description,dailCompDescFangshi34,</v>
      </c>
      <c r="D36" s="5" t="str">
        <f t="shared" si="2"/>
        <v>itemText,dailCompTextFangshi34,</v>
      </c>
      <c r="E36" s="5" t="str">
        <f t="shared" si="14"/>
        <v>augmentSkillLevel1,1,</v>
      </c>
      <c r="F36" s="5" t="str">
        <f t="shared" si="15"/>
        <v>augmentSkillName1,records/skills/playerclass10/icewall_tra_base.dbr,</v>
      </c>
      <c r="G36" s="7">
        <f t="shared" si="10"/>
        <v>34</v>
      </c>
      <c r="H36" s="8" t="str">
        <f t="shared" si="11"/>
        <v>Fangshi</v>
      </c>
      <c r="I36" s="3" t="s">
        <v>433</v>
      </c>
      <c r="J36" s="8" t="str">
        <f t="shared" si="20"/>
        <v>class0010</v>
      </c>
      <c r="K36" s="8" t="str">
        <f t="shared" si="20"/>
        <v>dailoneskill0010</v>
      </c>
      <c r="L36" s="5" t="str">
        <f t="shared" si="4"/>
        <v>lootName34,DAIL/items/materia/class0010/Fangshi34.dbr,</v>
      </c>
      <c r="M36" s="5" t="str">
        <f t="shared" si="5"/>
        <v>lootWeight34,1,</v>
      </c>
      <c r="N36" t="str">
        <f t="shared" si="6"/>
        <v>1</v>
      </c>
      <c r="O36" t="str">
        <f t="shared" si="16"/>
        <v>copy .\dail_base.dbr .\items\materia\class0010\Fangshi34.dbr /y</v>
      </c>
      <c r="P36" t="str">
        <f t="shared" si="7"/>
        <v>echo relicBitmap,items/craftingparts/components/component_a52_bristlyfur_b.tex, &gt;&gt; .\items\materia\class0010\Fangshi34.dbr</v>
      </c>
      <c r="Q36" t="str">
        <f t="shared" si="7"/>
        <v>echo itemCost,500000, &gt;&gt; .\items\materia\class0010\Fangshi34.dbr</v>
      </c>
      <c r="R36" t="str">
        <f t="shared" si="7"/>
        <v>echo description,dailCompDescFangshi34, &gt;&gt; .\items\materia\class0010\Fangshi34.dbr</v>
      </c>
      <c r="S36" t="str">
        <f t="shared" si="7"/>
        <v>echo itemText,dailCompTextFangshi34, &gt;&gt; .\items\materia\class0010\Fangshi34.dbr</v>
      </c>
      <c r="T36" t="str">
        <f t="shared" si="7"/>
        <v>echo augmentSkillLevel1,1, &gt;&gt; .\items\materia\class0010\Fangshi34.dbr</v>
      </c>
      <c r="U36" t="str">
        <f t="shared" si="7"/>
        <v>echo augmentSkillName1,records/skills/playerclass10/icewall_tra_base.dbr, &gt;&gt; .\items\materia\class0010\Fangshi34.dbr</v>
      </c>
      <c r="V36" s="5" t="s">
        <v>36</v>
      </c>
      <c r="W36" t="str">
        <f t="shared" si="8"/>
        <v>echo lootName34,DAIL/items/materia/class0010/Fangshi34.dbr, &gt;&gt; .\items\loottables\dailoneskill0010.dbr</v>
      </c>
      <c r="X36" t="str">
        <f t="shared" si="8"/>
        <v>echo lootWeight34,1, &gt;&gt; .\items\loottables\dailoneskill0010.dbr</v>
      </c>
      <c r="Y36" s="5" t="s">
        <v>36</v>
      </c>
      <c r="Z36" t="str">
        <f t="shared" si="9"/>
        <v xml:space="preserve"> dailCompDescFangshi34=^pFangshi's Gift of DAIL</v>
      </c>
      <c r="AA36" t="str">
        <f t="shared" si="17"/>
        <v>dailCompTextFangshi34=^oThis feels warm to the touch, almost familiar ^w(This component fits into all Jewellery slots including the Belt And Shoulder)</v>
      </c>
      <c r="AB36" s="5" t="s">
        <v>36</v>
      </c>
      <c r="AH36">
        <f t="shared" si="19"/>
        <v>31</v>
      </c>
      <c r="AI36">
        <f t="shared" si="13"/>
        <v>35</v>
      </c>
      <c r="AJ36">
        <f t="shared" si="18"/>
        <v>1</v>
      </c>
    </row>
    <row r="37" spans="1:36" x14ac:dyDescent="0.25">
      <c r="A37" s="5" t="s">
        <v>39</v>
      </c>
      <c r="B37" s="5" t="s">
        <v>30</v>
      </c>
      <c r="C37" s="5" t="str">
        <f t="shared" si="0"/>
        <v>description,dailCompDescFangshi35,</v>
      </c>
      <c r="D37" s="5" t="str">
        <f t="shared" si="2"/>
        <v>itemText,dailCompTextFangshi35,</v>
      </c>
      <c r="E37" s="5" t="str">
        <f t="shared" si="14"/>
        <v>augmentSkillLevel1,3,</v>
      </c>
      <c r="F37" s="5" t="str">
        <f t="shared" si="15"/>
        <v>augmentSkillName1,records/skills/playerclass10/snow_rush.dbr,</v>
      </c>
      <c r="G37" s="7">
        <f t="shared" si="10"/>
        <v>35</v>
      </c>
      <c r="H37" s="8" t="str">
        <f t="shared" si="11"/>
        <v>Fangshi</v>
      </c>
      <c r="I37" s="3" t="s">
        <v>184</v>
      </c>
      <c r="J37" s="8" t="str">
        <f t="shared" ref="J37:K52" si="21">J36</f>
        <v>class0010</v>
      </c>
      <c r="K37" s="8" t="str">
        <f t="shared" si="21"/>
        <v>dailoneskill0010</v>
      </c>
      <c r="L37" s="5" t="str">
        <f t="shared" si="4"/>
        <v>lootName35,DAIL/items/materia/class0010/Fangshi35.dbr,</v>
      </c>
      <c r="M37" s="5" t="str">
        <f t="shared" si="5"/>
        <v>lootWeight35,1,</v>
      </c>
      <c r="N37" t="str">
        <f t="shared" si="6"/>
        <v>3</v>
      </c>
      <c r="O37" t="str">
        <f t="shared" si="16"/>
        <v>copy .\dail_base3.dbr .\items\materia\class0010\Fangshi35.dbr /y</v>
      </c>
      <c r="P37" t="str">
        <f t="shared" si="7"/>
        <v>echo relicBitmap,items/craftingparts/components/component_a52_bristlyfur_b.tex, &gt;&gt; .\items\materia\class0010\Fangshi35.dbr</v>
      </c>
      <c r="Q37" t="str">
        <f t="shared" si="7"/>
        <v>echo itemCost,500000, &gt;&gt; .\items\materia\class0010\Fangshi35.dbr</v>
      </c>
      <c r="R37" t="str">
        <f t="shared" si="7"/>
        <v>echo description,dailCompDescFangshi35, &gt;&gt; .\items\materia\class0010\Fangshi35.dbr</v>
      </c>
      <c r="S37" t="str">
        <f t="shared" si="7"/>
        <v>echo itemText,dailCompTextFangshi35, &gt;&gt; .\items\materia\class0010\Fangshi35.dbr</v>
      </c>
      <c r="T37" t="str">
        <f t="shared" si="7"/>
        <v>echo augmentSkillLevel1,3, &gt;&gt; .\items\materia\class0010\Fangshi35.dbr</v>
      </c>
      <c r="U37" t="str">
        <f t="shared" si="7"/>
        <v>echo augmentSkillName1,records/skills/playerclass10/snow_rush.dbr, &gt;&gt; .\items\materia\class0010\Fangshi35.dbr</v>
      </c>
      <c r="V37" s="5" t="s">
        <v>36</v>
      </c>
      <c r="W37" t="str">
        <f t="shared" si="8"/>
        <v>echo lootName35,DAIL/items/materia/class0010/Fangshi35.dbr, &gt;&gt; .\items\loottables\dailoneskill0010.dbr</v>
      </c>
      <c r="X37" t="str">
        <f t="shared" si="8"/>
        <v>echo lootWeight35,1, &gt;&gt; .\items\loottables\dailoneskill0010.dbr</v>
      </c>
      <c r="Y37" s="5" t="s">
        <v>36</v>
      </c>
      <c r="Z37" t="str">
        <f t="shared" si="9"/>
        <v xml:space="preserve"> dailCompDescFangshi35=^pFangshi's Gift of DAIL</v>
      </c>
      <c r="AA37" t="str">
        <f t="shared" si="17"/>
        <v>dailCompTextFangshi35=^oThis feels warm to the touch, almost familiar ^w(This component only fits into the Medal Slot)</v>
      </c>
      <c r="AB37" s="5" t="s">
        <v>36</v>
      </c>
      <c r="AH37">
        <f t="shared" si="19"/>
        <v>32</v>
      </c>
      <c r="AI37">
        <f t="shared" si="13"/>
        <v>28</v>
      </c>
      <c r="AJ37">
        <f t="shared" si="18"/>
        <v>3</v>
      </c>
    </row>
    <row r="38" spans="1:36" x14ac:dyDescent="0.25">
      <c r="A38" s="5" t="s">
        <v>39</v>
      </c>
      <c r="B38" s="5" t="s">
        <v>30</v>
      </c>
      <c r="C38" s="5" t="str">
        <f t="shared" si="0"/>
        <v>description,dailCompDescFangshi36,</v>
      </c>
      <c r="D38" s="5" t="str">
        <f t="shared" si="2"/>
        <v>itemText,dailCompTextFangshi36,</v>
      </c>
      <c r="E38" s="5" t="str">
        <f t="shared" si="14"/>
        <v>augmentSkillLevel1,3,</v>
      </c>
      <c r="F38" s="5" t="str">
        <f t="shared" si="15"/>
        <v>augmentSkillName1,records/skills/playerclass10/snow_rush_tra.dbr,</v>
      </c>
      <c r="G38" s="7">
        <f t="shared" si="10"/>
        <v>36</v>
      </c>
      <c r="H38" s="8" t="str">
        <f t="shared" si="11"/>
        <v>Fangshi</v>
      </c>
      <c r="I38" s="3" t="s">
        <v>417</v>
      </c>
      <c r="J38" s="8" t="str">
        <f t="shared" si="21"/>
        <v>class0010</v>
      </c>
      <c r="K38" s="8" t="str">
        <f t="shared" si="21"/>
        <v>dailoneskill0010</v>
      </c>
      <c r="L38" s="5" t="str">
        <f t="shared" si="4"/>
        <v>lootName36,DAIL/items/materia/class0010/Fangshi36.dbr,</v>
      </c>
      <c r="M38" s="5" t="str">
        <f t="shared" si="5"/>
        <v>lootWeight36,1,</v>
      </c>
      <c r="N38" t="str">
        <f t="shared" si="6"/>
        <v>3</v>
      </c>
      <c r="O38" t="str">
        <f t="shared" si="16"/>
        <v>copy .\dail_base3.dbr .\items\materia\class0010\Fangshi36.dbr /y</v>
      </c>
      <c r="P38" t="str">
        <f t="shared" si="7"/>
        <v>echo relicBitmap,items/craftingparts/components/component_a52_bristlyfur_b.tex, &gt;&gt; .\items\materia\class0010\Fangshi36.dbr</v>
      </c>
      <c r="Q38" t="str">
        <f t="shared" si="7"/>
        <v>echo itemCost,500000, &gt;&gt; .\items\materia\class0010\Fangshi36.dbr</v>
      </c>
      <c r="R38" t="str">
        <f t="shared" si="7"/>
        <v>echo description,dailCompDescFangshi36, &gt;&gt; .\items\materia\class0010\Fangshi36.dbr</v>
      </c>
      <c r="S38" t="str">
        <f t="shared" si="7"/>
        <v>echo itemText,dailCompTextFangshi36, &gt;&gt; .\items\materia\class0010\Fangshi36.dbr</v>
      </c>
      <c r="T38" t="str">
        <f t="shared" si="7"/>
        <v>echo augmentSkillLevel1,3, &gt;&gt; .\items\materia\class0010\Fangshi36.dbr</v>
      </c>
      <c r="U38" t="str">
        <f t="shared" si="7"/>
        <v>echo augmentSkillName1,records/skills/playerclass10/snow_rush_tra.dbr, &gt;&gt; .\items\materia\class0010\Fangshi36.dbr</v>
      </c>
      <c r="V38" s="5" t="s">
        <v>36</v>
      </c>
      <c r="W38" t="str">
        <f t="shared" si="8"/>
        <v>echo lootName36,DAIL/items/materia/class0010/Fangshi36.dbr, &gt;&gt; .\items\loottables\dailoneskill0010.dbr</v>
      </c>
      <c r="X38" t="str">
        <f t="shared" si="8"/>
        <v>echo lootWeight36,1, &gt;&gt; .\items\loottables\dailoneskill0010.dbr</v>
      </c>
      <c r="Y38" s="5" t="s">
        <v>36</v>
      </c>
      <c r="Z38" t="str">
        <f t="shared" si="9"/>
        <v xml:space="preserve"> dailCompDescFangshi36=^pFangshi's Gift of DAIL</v>
      </c>
      <c r="AA38" t="str">
        <f t="shared" si="17"/>
        <v>dailCompTextFangshi36=^oThis feels warm to the touch, almost familiar ^w(This component only fits into the Medal Slot)</v>
      </c>
      <c r="AB38" s="5" t="s">
        <v>36</v>
      </c>
      <c r="AH38">
        <f t="shared" si="19"/>
        <v>33</v>
      </c>
      <c r="AI38">
        <f t="shared" ref="AI38:AI69" si="22">LEN(I38)</f>
        <v>32</v>
      </c>
      <c r="AJ38">
        <f t="shared" si="18"/>
        <v>3</v>
      </c>
    </row>
    <row r="39" spans="1:36" x14ac:dyDescent="0.25">
      <c r="A39" s="5" t="s">
        <v>39</v>
      </c>
      <c r="B39" s="5" t="s">
        <v>30</v>
      </c>
      <c r="C39" s="5" t="str">
        <f t="shared" si="0"/>
        <v>description,dailCompDescFangshi37,</v>
      </c>
      <c r="D39" s="5" t="str">
        <f t="shared" si="2"/>
        <v>itemText,dailCompTextFangshi37,</v>
      </c>
      <c r="E39" s="5" t="str">
        <f t="shared" si="14"/>
        <v>augmentSkillLevel1,3,</v>
      </c>
      <c r="F39" s="5" t="str">
        <f t="shared" si="15"/>
        <v>augmentSkillName1,records/skills/playerclass10/snow_rush_mod1.dbr,</v>
      </c>
      <c r="G39" s="7">
        <f t="shared" si="10"/>
        <v>37</v>
      </c>
      <c r="H39" s="8" t="str">
        <f t="shared" si="11"/>
        <v>Fangshi</v>
      </c>
      <c r="I39" s="3" t="s">
        <v>418</v>
      </c>
      <c r="J39" s="8" t="str">
        <f t="shared" si="21"/>
        <v>class0010</v>
      </c>
      <c r="K39" s="8" t="str">
        <f t="shared" si="21"/>
        <v>dailoneskill0010</v>
      </c>
      <c r="L39" s="5" t="str">
        <f t="shared" si="4"/>
        <v>lootName37,DAIL/items/materia/class0010/Fangshi37.dbr,</v>
      </c>
      <c r="M39" s="5" t="str">
        <f t="shared" si="5"/>
        <v>lootWeight37,1,</v>
      </c>
      <c r="N39" t="str">
        <f t="shared" si="6"/>
        <v>3</v>
      </c>
      <c r="O39" t="str">
        <f t="shared" si="16"/>
        <v>copy .\dail_base3.dbr .\items\materia\class0010\Fangshi37.dbr /y</v>
      </c>
      <c r="P39" t="str">
        <f t="shared" si="7"/>
        <v>echo relicBitmap,items/craftingparts/components/component_a52_bristlyfur_b.tex, &gt;&gt; .\items\materia\class0010\Fangshi37.dbr</v>
      </c>
      <c r="Q39" t="str">
        <f t="shared" si="7"/>
        <v>echo itemCost,500000, &gt;&gt; .\items\materia\class0010\Fangshi37.dbr</v>
      </c>
      <c r="R39" t="str">
        <f t="shared" si="7"/>
        <v>echo description,dailCompDescFangshi37, &gt;&gt; .\items\materia\class0010\Fangshi37.dbr</v>
      </c>
      <c r="S39" t="str">
        <f t="shared" si="7"/>
        <v>echo itemText,dailCompTextFangshi37, &gt;&gt; .\items\materia\class0010\Fangshi37.dbr</v>
      </c>
      <c r="T39" t="str">
        <f t="shared" si="7"/>
        <v>echo augmentSkillLevel1,3, &gt;&gt; .\items\materia\class0010\Fangshi37.dbr</v>
      </c>
      <c r="U39" t="str">
        <f t="shared" si="7"/>
        <v>echo augmentSkillName1,records/skills/playerclass10/snow_rush_mod1.dbr, &gt;&gt; .\items\materia\class0010\Fangshi37.dbr</v>
      </c>
      <c r="V39" s="5" t="s">
        <v>36</v>
      </c>
      <c r="W39" t="str">
        <f t="shared" si="8"/>
        <v>echo lootName37,DAIL/items/materia/class0010/Fangshi37.dbr, &gt;&gt; .\items\loottables\dailoneskill0010.dbr</v>
      </c>
      <c r="X39" t="str">
        <f t="shared" si="8"/>
        <v>echo lootWeight37,1, &gt;&gt; .\items\loottables\dailoneskill0010.dbr</v>
      </c>
      <c r="Y39" s="5" t="s">
        <v>36</v>
      </c>
      <c r="Z39" t="str">
        <f t="shared" si="9"/>
        <v xml:space="preserve"> dailCompDescFangshi37=^pFangshi's Gift of DAIL</v>
      </c>
      <c r="AA39" t="str">
        <f t="shared" si="17"/>
        <v>dailCompTextFangshi37=^oThis feels warm to the touch, almost familiar ^w(This component only fits into the Medal Slot)</v>
      </c>
      <c r="AB39" s="5" t="s">
        <v>36</v>
      </c>
      <c r="AH39">
        <f t="shared" si="19"/>
        <v>34</v>
      </c>
      <c r="AI39">
        <f t="shared" si="22"/>
        <v>33</v>
      </c>
      <c r="AJ39">
        <f t="shared" si="18"/>
        <v>3</v>
      </c>
    </row>
    <row r="40" spans="1:36" x14ac:dyDescent="0.25">
      <c r="A40" s="5" t="s">
        <v>39</v>
      </c>
      <c r="B40" s="5" t="s">
        <v>30</v>
      </c>
      <c r="C40" s="5" t="str">
        <f t="shared" si="0"/>
        <v>description,dailCompDescFangshi38,</v>
      </c>
      <c r="D40" s="5" t="str">
        <f t="shared" si="2"/>
        <v>itemText,dailCompTextFangshi38,</v>
      </c>
      <c r="E40" s="5" t="str">
        <f t="shared" si="14"/>
        <v>augmentSkillLevel1,3,</v>
      </c>
      <c r="F40" s="5" t="str">
        <f t="shared" si="15"/>
        <v>augmentSkillName1,records/skills/playerclass10/snow_rush_mod3.dbr,</v>
      </c>
      <c r="G40" s="7">
        <f t="shared" si="10"/>
        <v>38</v>
      </c>
      <c r="H40" s="8" t="str">
        <f t="shared" si="11"/>
        <v>Fangshi</v>
      </c>
      <c r="I40" s="3" t="s">
        <v>419</v>
      </c>
      <c r="J40" s="8" t="str">
        <f t="shared" si="21"/>
        <v>class0010</v>
      </c>
      <c r="K40" s="8" t="str">
        <f t="shared" si="21"/>
        <v>dailoneskill0010</v>
      </c>
      <c r="L40" s="5" t="str">
        <f t="shared" si="4"/>
        <v>lootName38,DAIL/items/materia/class0010/Fangshi38.dbr,</v>
      </c>
      <c r="M40" s="5" t="str">
        <f t="shared" si="5"/>
        <v>lootWeight38,1,</v>
      </c>
      <c r="N40" t="str">
        <f t="shared" si="6"/>
        <v>3</v>
      </c>
      <c r="O40" t="str">
        <f t="shared" si="16"/>
        <v>copy .\dail_base3.dbr .\items\materia\class0010\Fangshi38.dbr /y</v>
      </c>
      <c r="P40" t="str">
        <f t="shared" si="7"/>
        <v>echo relicBitmap,items/craftingparts/components/component_a52_bristlyfur_b.tex, &gt;&gt; .\items\materia\class0010\Fangshi38.dbr</v>
      </c>
      <c r="Q40" t="str">
        <f t="shared" si="7"/>
        <v>echo itemCost,500000, &gt;&gt; .\items\materia\class0010\Fangshi38.dbr</v>
      </c>
      <c r="R40" t="str">
        <f t="shared" si="7"/>
        <v>echo description,dailCompDescFangshi38, &gt;&gt; .\items\materia\class0010\Fangshi38.dbr</v>
      </c>
      <c r="S40" t="str">
        <f t="shared" si="7"/>
        <v>echo itemText,dailCompTextFangshi38, &gt;&gt; .\items\materia\class0010\Fangshi38.dbr</v>
      </c>
      <c r="T40" t="str">
        <f t="shared" si="7"/>
        <v>echo augmentSkillLevel1,3, &gt;&gt; .\items\materia\class0010\Fangshi38.dbr</v>
      </c>
      <c r="U40" t="str">
        <f t="shared" si="7"/>
        <v>echo augmentSkillName1,records/skills/playerclass10/snow_rush_mod3.dbr, &gt;&gt; .\items\materia\class0010\Fangshi38.dbr</v>
      </c>
      <c r="V40" s="5" t="s">
        <v>36</v>
      </c>
      <c r="W40" t="str">
        <f t="shared" si="8"/>
        <v>echo lootName38,DAIL/items/materia/class0010/Fangshi38.dbr, &gt;&gt; .\items\loottables\dailoneskill0010.dbr</v>
      </c>
      <c r="X40" t="str">
        <f t="shared" si="8"/>
        <v>echo lootWeight38,1, &gt;&gt; .\items\loottables\dailoneskill0010.dbr</v>
      </c>
      <c r="Y40" s="5" t="s">
        <v>36</v>
      </c>
      <c r="Z40" t="str">
        <f t="shared" si="9"/>
        <v xml:space="preserve"> dailCompDescFangshi38=^pFangshi's Gift of DAIL</v>
      </c>
      <c r="AA40" t="str">
        <f t="shared" si="17"/>
        <v>dailCompTextFangshi38=^oThis feels warm to the touch, almost familiar ^w(This component only fits into the Medal Slot)</v>
      </c>
      <c r="AB40" s="5" t="s">
        <v>36</v>
      </c>
      <c r="AH40">
        <f t="shared" si="19"/>
        <v>35</v>
      </c>
      <c r="AI40">
        <f t="shared" si="22"/>
        <v>33</v>
      </c>
      <c r="AJ40">
        <f t="shared" si="18"/>
        <v>3</v>
      </c>
    </row>
    <row r="41" spans="1:36" x14ac:dyDescent="0.25">
      <c r="A41" s="5" t="s">
        <v>39</v>
      </c>
      <c r="B41" s="5" t="s">
        <v>30</v>
      </c>
      <c r="C41" s="5" t="str">
        <f t="shared" si="0"/>
        <v>description,dailCompDescFangshi39,</v>
      </c>
      <c r="D41" s="5" t="str">
        <f t="shared" si="2"/>
        <v>itemText,dailCompTextFangshi39,</v>
      </c>
      <c r="E41" s="5" t="str">
        <f t="shared" si="14"/>
        <v>augmentSkillLevel1,3,</v>
      </c>
      <c r="F41" s="5" t="str">
        <f t="shared" si="15"/>
        <v>augmentSkillName1,records/skills/playerclass10/breathefire.dbr,</v>
      </c>
      <c r="G41" s="7">
        <f t="shared" si="10"/>
        <v>39</v>
      </c>
      <c r="H41" s="8" t="str">
        <f t="shared" si="11"/>
        <v>Fangshi</v>
      </c>
      <c r="I41" s="3" t="s">
        <v>177</v>
      </c>
      <c r="J41" s="8" t="str">
        <f t="shared" si="21"/>
        <v>class0010</v>
      </c>
      <c r="K41" s="8" t="str">
        <f t="shared" si="21"/>
        <v>dailoneskill0010</v>
      </c>
      <c r="L41" s="5" t="str">
        <f t="shared" si="4"/>
        <v>lootName39,DAIL/items/materia/class0010/Fangshi39.dbr,</v>
      </c>
      <c r="M41" s="5" t="str">
        <f t="shared" si="5"/>
        <v>lootWeight39,1,</v>
      </c>
      <c r="N41" t="str">
        <f t="shared" si="6"/>
        <v>3</v>
      </c>
      <c r="O41" t="str">
        <f t="shared" si="16"/>
        <v>copy .\dail_base3.dbr .\items\materia\class0010\Fangshi39.dbr /y</v>
      </c>
      <c r="P41" t="str">
        <f t="shared" si="7"/>
        <v>echo relicBitmap,items/craftingparts/components/component_a52_bristlyfur_b.tex, &gt;&gt; .\items\materia\class0010\Fangshi39.dbr</v>
      </c>
      <c r="Q41" t="str">
        <f t="shared" si="7"/>
        <v>echo itemCost,500000, &gt;&gt; .\items\materia\class0010\Fangshi39.dbr</v>
      </c>
      <c r="R41" t="str">
        <f t="shared" si="7"/>
        <v>echo description,dailCompDescFangshi39, &gt;&gt; .\items\materia\class0010\Fangshi39.dbr</v>
      </c>
      <c r="S41" t="str">
        <f t="shared" si="7"/>
        <v>echo itemText,dailCompTextFangshi39, &gt;&gt; .\items\materia\class0010\Fangshi39.dbr</v>
      </c>
      <c r="T41" t="str">
        <f t="shared" si="7"/>
        <v>echo augmentSkillLevel1,3, &gt;&gt; .\items\materia\class0010\Fangshi39.dbr</v>
      </c>
      <c r="U41" t="str">
        <f t="shared" si="7"/>
        <v>echo augmentSkillName1,records/skills/playerclass10/breathefire.dbr, &gt;&gt; .\items\materia\class0010\Fangshi39.dbr</v>
      </c>
      <c r="V41" s="5" t="s">
        <v>36</v>
      </c>
      <c r="W41" t="str">
        <f t="shared" si="8"/>
        <v>echo lootName39,DAIL/items/materia/class0010/Fangshi39.dbr, &gt;&gt; .\items\loottables\dailoneskill0010.dbr</v>
      </c>
      <c r="X41" t="str">
        <f t="shared" si="8"/>
        <v>echo lootWeight39,1, &gt;&gt; .\items\loottables\dailoneskill0010.dbr</v>
      </c>
      <c r="Y41" s="5" t="s">
        <v>36</v>
      </c>
      <c r="Z41" t="str">
        <f t="shared" si="9"/>
        <v xml:space="preserve"> dailCompDescFangshi39=^pFangshi's Gift of DAIL</v>
      </c>
      <c r="AA41" t="str">
        <f t="shared" si="17"/>
        <v>dailCompTextFangshi39=^oThis feels warm to the touch, almost familiar ^w(This component only fits into the Medal Slot)</v>
      </c>
      <c r="AB41" s="5" t="s">
        <v>36</v>
      </c>
      <c r="AH41">
        <f t="shared" si="19"/>
        <v>36</v>
      </c>
      <c r="AI41">
        <f t="shared" si="22"/>
        <v>30</v>
      </c>
      <c r="AJ41">
        <f t="shared" si="18"/>
        <v>3</v>
      </c>
    </row>
    <row r="42" spans="1:36" x14ac:dyDescent="0.25">
      <c r="A42" s="5" t="s">
        <v>39</v>
      </c>
      <c r="B42" s="5" t="s">
        <v>30</v>
      </c>
      <c r="C42" s="5" t="str">
        <f t="shared" si="0"/>
        <v>description,dailCompDescFangshi40,</v>
      </c>
      <c r="D42" s="5" t="str">
        <f t="shared" si="2"/>
        <v>itemText,dailCompTextFangshi40,</v>
      </c>
      <c r="E42" s="5" t="str">
        <f t="shared" si="14"/>
        <v>augmentSkillLevel1,3,</v>
      </c>
      <c r="F42" s="5" t="str">
        <f t="shared" si="15"/>
        <v>augmentSkillName1,records/skills/playerclass10/rootglab.dbr,</v>
      </c>
      <c r="G42" s="7">
        <f t="shared" si="10"/>
        <v>40</v>
      </c>
      <c r="H42" s="8" t="str">
        <f t="shared" si="11"/>
        <v>Fangshi</v>
      </c>
      <c r="I42" s="3" t="s">
        <v>182</v>
      </c>
      <c r="J42" s="8" t="str">
        <f t="shared" si="21"/>
        <v>class0010</v>
      </c>
      <c r="K42" s="8" t="str">
        <f t="shared" si="21"/>
        <v>dailoneskill0010</v>
      </c>
      <c r="L42" s="5" t="str">
        <f t="shared" si="4"/>
        <v>lootName40,DAIL/items/materia/class0010/Fangshi40.dbr,</v>
      </c>
      <c r="M42" s="5" t="str">
        <f t="shared" si="5"/>
        <v>lootWeight40,1,</v>
      </c>
      <c r="N42" t="str">
        <f t="shared" si="6"/>
        <v>3</v>
      </c>
      <c r="O42" t="str">
        <f t="shared" si="16"/>
        <v>copy .\dail_base3.dbr .\items\materia\class0010\Fangshi40.dbr /y</v>
      </c>
      <c r="P42" t="str">
        <f t="shared" si="7"/>
        <v>echo relicBitmap,items/craftingparts/components/component_a52_bristlyfur_b.tex, &gt;&gt; .\items\materia\class0010\Fangshi40.dbr</v>
      </c>
      <c r="Q42" t="str">
        <f t="shared" si="7"/>
        <v>echo itemCost,500000, &gt;&gt; .\items\materia\class0010\Fangshi40.dbr</v>
      </c>
      <c r="R42" t="str">
        <f t="shared" si="7"/>
        <v>echo description,dailCompDescFangshi40, &gt;&gt; .\items\materia\class0010\Fangshi40.dbr</v>
      </c>
      <c r="S42" t="str">
        <f t="shared" si="7"/>
        <v>echo itemText,dailCompTextFangshi40, &gt;&gt; .\items\materia\class0010\Fangshi40.dbr</v>
      </c>
      <c r="T42" t="str">
        <f t="shared" si="7"/>
        <v>echo augmentSkillLevel1,3, &gt;&gt; .\items\materia\class0010\Fangshi40.dbr</v>
      </c>
      <c r="U42" t="str">
        <f t="shared" si="7"/>
        <v>echo augmentSkillName1,records/skills/playerclass10/rootglab.dbr, &gt;&gt; .\items\materia\class0010\Fangshi40.dbr</v>
      </c>
      <c r="V42" s="5" t="s">
        <v>36</v>
      </c>
      <c r="W42" t="str">
        <f t="shared" si="8"/>
        <v>echo lootName40,DAIL/items/materia/class0010/Fangshi40.dbr, &gt;&gt; .\items\loottables\dailoneskill0010.dbr</v>
      </c>
      <c r="X42" t="str">
        <f t="shared" si="8"/>
        <v>echo lootWeight40,1, &gt;&gt; .\items\loottables\dailoneskill0010.dbr</v>
      </c>
      <c r="Y42" s="5" t="s">
        <v>36</v>
      </c>
      <c r="Z42" t="str">
        <f t="shared" si="9"/>
        <v xml:space="preserve"> dailCompDescFangshi40=^pFangshi's Gift of DAIL</v>
      </c>
      <c r="AA42" t="str">
        <f t="shared" si="17"/>
        <v>dailCompTextFangshi40=^oThis feels warm to the touch, almost familiar ^w(This component only fits into the Medal Slot)</v>
      </c>
      <c r="AB42" s="5" t="s">
        <v>36</v>
      </c>
      <c r="AH42">
        <f t="shared" si="19"/>
        <v>37</v>
      </c>
      <c r="AI42">
        <f t="shared" si="22"/>
        <v>27</v>
      </c>
      <c r="AJ42">
        <f t="shared" si="18"/>
        <v>3</v>
      </c>
    </row>
    <row r="43" spans="1:36" x14ac:dyDescent="0.25">
      <c r="A43" s="5" t="s">
        <v>39</v>
      </c>
      <c r="B43" s="5" t="s">
        <v>30</v>
      </c>
      <c r="C43" s="5" t="str">
        <f t="shared" si="0"/>
        <v>description,dailCompDescFangshi41,</v>
      </c>
      <c r="D43" s="5" t="str">
        <f t="shared" si="2"/>
        <v>itemText,dailCompTextFangshi41,</v>
      </c>
      <c r="E43" s="5" t="str">
        <f t="shared" si="14"/>
        <v>augmentSkillLevel1,3,</v>
      </c>
      <c r="F43" s="5" t="str">
        <f t="shared" si="15"/>
        <v>augmentSkillName1,records/skills/playerclass10/rootglab_mod1.dbr,</v>
      </c>
      <c r="G43" s="7">
        <f t="shared" si="10"/>
        <v>41</v>
      </c>
      <c r="H43" s="8" t="str">
        <f t="shared" si="11"/>
        <v>Fangshi</v>
      </c>
      <c r="I43" s="3" t="s">
        <v>420</v>
      </c>
      <c r="J43" s="8" t="str">
        <f t="shared" si="21"/>
        <v>class0010</v>
      </c>
      <c r="K43" s="8" t="str">
        <f t="shared" si="21"/>
        <v>dailoneskill0010</v>
      </c>
      <c r="L43" s="5" t="str">
        <f t="shared" si="4"/>
        <v>lootName41,DAIL/items/materia/class0010/Fangshi41.dbr,</v>
      </c>
      <c r="M43" s="5" t="str">
        <f t="shared" si="5"/>
        <v>lootWeight41,1,</v>
      </c>
      <c r="N43" t="str">
        <f t="shared" si="6"/>
        <v>3</v>
      </c>
      <c r="O43" t="str">
        <f t="shared" si="16"/>
        <v>copy .\dail_base3.dbr .\items\materia\class0010\Fangshi41.dbr /y</v>
      </c>
      <c r="P43" t="str">
        <f t="shared" si="7"/>
        <v>echo relicBitmap,items/craftingparts/components/component_a52_bristlyfur_b.tex, &gt;&gt; .\items\materia\class0010\Fangshi41.dbr</v>
      </c>
      <c r="Q43" t="str">
        <f t="shared" si="7"/>
        <v>echo itemCost,500000, &gt;&gt; .\items\materia\class0010\Fangshi41.dbr</v>
      </c>
      <c r="R43" t="str">
        <f t="shared" si="7"/>
        <v>echo description,dailCompDescFangshi41, &gt;&gt; .\items\materia\class0010\Fangshi41.dbr</v>
      </c>
      <c r="S43" t="str">
        <f t="shared" si="7"/>
        <v>echo itemText,dailCompTextFangshi41, &gt;&gt; .\items\materia\class0010\Fangshi41.dbr</v>
      </c>
      <c r="T43" t="str">
        <f t="shared" si="7"/>
        <v>echo augmentSkillLevel1,3, &gt;&gt; .\items\materia\class0010\Fangshi41.dbr</v>
      </c>
      <c r="U43" t="str">
        <f t="shared" si="7"/>
        <v>echo augmentSkillName1,records/skills/playerclass10/rootglab_mod1.dbr, &gt;&gt; .\items\materia\class0010\Fangshi41.dbr</v>
      </c>
      <c r="V43" s="5" t="s">
        <v>36</v>
      </c>
      <c r="W43" t="str">
        <f t="shared" si="8"/>
        <v>echo lootName41,DAIL/items/materia/class0010/Fangshi41.dbr, &gt;&gt; .\items\loottables\dailoneskill0010.dbr</v>
      </c>
      <c r="X43" t="str">
        <f t="shared" si="8"/>
        <v>echo lootWeight41,1, &gt;&gt; .\items\loottables\dailoneskill0010.dbr</v>
      </c>
      <c r="Y43" s="5" t="s">
        <v>36</v>
      </c>
      <c r="Z43" t="str">
        <f t="shared" si="9"/>
        <v xml:space="preserve"> dailCompDescFangshi41=^pFangshi's Gift of DAIL</v>
      </c>
      <c r="AA43" t="str">
        <f t="shared" si="17"/>
        <v>dailCompTextFangshi41=^oThis feels warm to the touch, almost familiar ^w(This component only fits into the Medal Slot)</v>
      </c>
      <c r="AB43" s="5" t="s">
        <v>36</v>
      </c>
      <c r="AH43">
        <f t="shared" si="19"/>
        <v>38</v>
      </c>
      <c r="AI43">
        <f t="shared" si="22"/>
        <v>32</v>
      </c>
      <c r="AJ43">
        <f t="shared" si="18"/>
        <v>3</v>
      </c>
    </row>
    <row r="44" spans="1:36" x14ac:dyDescent="0.25">
      <c r="A44" s="5" t="s">
        <v>39</v>
      </c>
      <c r="B44" s="5" t="s">
        <v>30</v>
      </c>
      <c r="C44" s="5" t="str">
        <f t="shared" si="0"/>
        <v>description,dailCompDescFangshi42,</v>
      </c>
      <c r="D44" s="5" t="str">
        <f t="shared" si="2"/>
        <v>itemText,dailCompTextFangshi42,</v>
      </c>
      <c r="E44" s="5" t="str">
        <f t="shared" si="14"/>
        <v>augmentSkillLevel1,3,</v>
      </c>
      <c r="F44" s="5" t="str">
        <f t="shared" si="15"/>
        <v>augmentSkillName1,records/skills/playerclass10/rootglab_t.dbr,</v>
      </c>
      <c r="G44" s="7">
        <f t="shared" si="10"/>
        <v>42</v>
      </c>
      <c r="H44" s="8" t="str">
        <f t="shared" si="11"/>
        <v>Fangshi</v>
      </c>
      <c r="I44" s="3" t="s">
        <v>421</v>
      </c>
      <c r="J44" s="8" t="str">
        <f t="shared" si="21"/>
        <v>class0010</v>
      </c>
      <c r="K44" s="8" t="str">
        <f t="shared" si="21"/>
        <v>dailoneskill0010</v>
      </c>
      <c r="L44" s="5" t="str">
        <f t="shared" si="4"/>
        <v>lootName42,DAIL/items/materia/class0010/Fangshi42.dbr,</v>
      </c>
      <c r="M44" s="5" t="str">
        <f t="shared" si="5"/>
        <v>lootWeight42,1,</v>
      </c>
      <c r="N44" t="str">
        <f t="shared" si="6"/>
        <v>3</v>
      </c>
      <c r="O44" t="str">
        <f t="shared" si="16"/>
        <v>copy .\dail_base3.dbr .\items\materia\class0010\Fangshi42.dbr /y</v>
      </c>
      <c r="P44" t="str">
        <f t="shared" si="7"/>
        <v>echo relicBitmap,items/craftingparts/components/component_a52_bristlyfur_b.tex, &gt;&gt; .\items\materia\class0010\Fangshi42.dbr</v>
      </c>
      <c r="Q44" t="str">
        <f t="shared" si="7"/>
        <v>echo itemCost,500000, &gt;&gt; .\items\materia\class0010\Fangshi42.dbr</v>
      </c>
      <c r="R44" t="str">
        <f t="shared" si="7"/>
        <v>echo description,dailCompDescFangshi42, &gt;&gt; .\items\materia\class0010\Fangshi42.dbr</v>
      </c>
      <c r="S44" t="str">
        <f t="shared" si="7"/>
        <v>echo itemText,dailCompTextFangshi42, &gt;&gt; .\items\materia\class0010\Fangshi42.dbr</v>
      </c>
      <c r="T44" t="str">
        <f t="shared" si="7"/>
        <v>echo augmentSkillLevel1,3, &gt;&gt; .\items\materia\class0010\Fangshi42.dbr</v>
      </c>
      <c r="U44" t="str">
        <f t="shared" si="7"/>
        <v>echo augmentSkillName1,records/skills/playerclass10/rootglab_t.dbr, &gt;&gt; .\items\materia\class0010\Fangshi42.dbr</v>
      </c>
      <c r="V44" s="5" t="s">
        <v>36</v>
      </c>
      <c r="W44" t="str">
        <f t="shared" si="8"/>
        <v>echo lootName42,DAIL/items/materia/class0010/Fangshi42.dbr, &gt;&gt; .\items\loottables\dailoneskill0010.dbr</v>
      </c>
      <c r="X44" t="str">
        <f t="shared" si="8"/>
        <v>echo lootWeight42,1, &gt;&gt; .\items\loottables\dailoneskill0010.dbr</v>
      </c>
      <c r="Y44" s="5" t="s">
        <v>36</v>
      </c>
      <c r="Z44" t="str">
        <f t="shared" si="9"/>
        <v xml:space="preserve"> dailCompDescFangshi42=^pFangshi's Gift of DAIL</v>
      </c>
      <c r="AA44" t="str">
        <f t="shared" si="17"/>
        <v>dailCompTextFangshi42=^oThis feels warm to the touch, almost familiar ^w(This component only fits into the Medal Slot)</v>
      </c>
      <c r="AB44" s="5" t="s">
        <v>36</v>
      </c>
      <c r="AH44">
        <f t="shared" si="19"/>
        <v>39</v>
      </c>
      <c r="AI44">
        <f t="shared" si="22"/>
        <v>29</v>
      </c>
      <c r="AJ44">
        <f t="shared" si="18"/>
        <v>3</v>
      </c>
    </row>
    <row r="45" spans="1:36" x14ac:dyDescent="0.25">
      <c r="A45" s="5" t="s">
        <v>39</v>
      </c>
      <c r="B45" s="5" t="s">
        <v>30</v>
      </c>
      <c r="C45" s="5" t="str">
        <f t="shared" si="0"/>
        <v>description,dailCompDescFangshi43,</v>
      </c>
      <c r="D45" s="5" t="str">
        <f t="shared" si="2"/>
        <v>itemText,dailCompTextFangshi43,</v>
      </c>
      <c r="E45" s="5" t="str">
        <f t="shared" si="14"/>
        <v>augmentSkillLevel1,3,</v>
      </c>
      <c r="F45" s="5" t="str">
        <f t="shared" si="15"/>
        <v>augmentSkillName1,records/skills/playerclass10/rootglab_mod2.dbr,</v>
      </c>
      <c r="G45" s="7">
        <f t="shared" si="10"/>
        <v>43</v>
      </c>
      <c r="H45" s="8" t="str">
        <f t="shared" si="11"/>
        <v>Fangshi</v>
      </c>
      <c r="I45" s="3" t="s">
        <v>422</v>
      </c>
      <c r="J45" s="8" t="str">
        <f t="shared" si="21"/>
        <v>class0010</v>
      </c>
      <c r="K45" s="8" t="str">
        <f t="shared" si="21"/>
        <v>dailoneskill0010</v>
      </c>
      <c r="L45" s="5" t="str">
        <f t="shared" si="4"/>
        <v>lootName43,DAIL/items/materia/class0010/Fangshi43.dbr,</v>
      </c>
      <c r="M45" s="5" t="str">
        <f t="shared" si="5"/>
        <v>lootWeight43,1,</v>
      </c>
      <c r="N45" t="str">
        <f t="shared" si="6"/>
        <v>3</v>
      </c>
      <c r="O45" t="str">
        <f t="shared" si="16"/>
        <v>copy .\dail_base3.dbr .\items\materia\class0010\Fangshi43.dbr /y</v>
      </c>
      <c r="P45" t="str">
        <f t="shared" si="7"/>
        <v>echo relicBitmap,items/craftingparts/components/component_a52_bristlyfur_b.tex, &gt;&gt; .\items\materia\class0010\Fangshi43.dbr</v>
      </c>
      <c r="Q45" t="str">
        <f t="shared" si="7"/>
        <v>echo itemCost,500000, &gt;&gt; .\items\materia\class0010\Fangshi43.dbr</v>
      </c>
      <c r="R45" t="str">
        <f t="shared" si="7"/>
        <v>echo description,dailCompDescFangshi43, &gt;&gt; .\items\materia\class0010\Fangshi43.dbr</v>
      </c>
      <c r="S45" t="str">
        <f t="shared" si="7"/>
        <v>echo itemText,dailCompTextFangshi43, &gt;&gt; .\items\materia\class0010\Fangshi43.dbr</v>
      </c>
      <c r="T45" t="str">
        <f t="shared" si="7"/>
        <v>echo augmentSkillLevel1,3, &gt;&gt; .\items\materia\class0010\Fangshi43.dbr</v>
      </c>
      <c r="U45" t="str">
        <f t="shared" si="7"/>
        <v>echo augmentSkillName1,records/skills/playerclass10/rootglab_mod2.dbr, &gt;&gt; .\items\materia\class0010\Fangshi43.dbr</v>
      </c>
      <c r="V45" s="5" t="s">
        <v>36</v>
      </c>
      <c r="W45" t="str">
        <f t="shared" si="8"/>
        <v>echo lootName43,DAIL/items/materia/class0010/Fangshi43.dbr, &gt;&gt; .\items\loottables\dailoneskill0010.dbr</v>
      </c>
      <c r="X45" t="str">
        <f t="shared" si="8"/>
        <v>echo lootWeight43,1, &gt;&gt; .\items\loottables\dailoneskill0010.dbr</v>
      </c>
      <c r="Y45" s="5" t="s">
        <v>36</v>
      </c>
      <c r="Z45" t="str">
        <f t="shared" si="9"/>
        <v xml:space="preserve"> dailCompDescFangshi43=^pFangshi's Gift of DAIL</v>
      </c>
      <c r="AA45" t="str">
        <f t="shared" si="17"/>
        <v>dailCompTextFangshi43=^oThis feels warm to the touch, almost familiar ^w(This component only fits into the Medal Slot)</v>
      </c>
      <c r="AB45" s="5" t="s">
        <v>36</v>
      </c>
      <c r="AH45">
        <f t="shared" si="19"/>
        <v>40</v>
      </c>
      <c r="AI45">
        <f t="shared" si="22"/>
        <v>32</v>
      </c>
      <c r="AJ45">
        <f t="shared" si="18"/>
        <v>3</v>
      </c>
    </row>
    <row r="46" spans="1:36" x14ac:dyDescent="0.25">
      <c r="A46" s="5" t="s">
        <v>39</v>
      </c>
      <c r="B46" s="5" t="s">
        <v>30</v>
      </c>
      <c r="C46" s="5" t="str">
        <f t="shared" si="0"/>
        <v>description,dailCompDescFangshi44,</v>
      </c>
      <c r="D46" s="5" t="str">
        <f t="shared" si="2"/>
        <v>itemText,dailCompTextFangshi44,</v>
      </c>
      <c r="E46" s="5" t="str">
        <f t="shared" si="14"/>
        <v>augmentSkillLevel1,3,</v>
      </c>
      <c r="F46" s="5" t="str">
        <f t="shared" si="15"/>
        <v>augmentSkillName1,records/skills/playerclass10/sakura.dbr,</v>
      </c>
      <c r="G46" s="7">
        <f t="shared" si="10"/>
        <v>44</v>
      </c>
      <c r="H46" s="8" t="str">
        <f t="shared" si="11"/>
        <v>Fangshi</v>
      </c>
      <c r="I46" s="3" t="s">
        <v>183</v>
      </c>
      <c r="J46" s="8" t="str">
        <f t="shared" si="21"/>
        <v>class0010</v>
      </c>
      <c r="K46" s="8" t="str">
        <f t="shared" si="21"/>
        <v>dailoneskill0010</v>
      </c>
      <c r="L46" s="5" t="str">
        <f t="shared" si="4"/>
        <v>lootName44,DAIL/items/materia/class0010/Fangshi44.dbr,</v>
      </c>
      <c r="M46" s="5" t="str">
        <f t="shared" si="5"/>
        <v>lootWeight44,1,</v>
      </c>
      <c r="N46" t="str">
        <f t="shared" si="6"/>
        <v>3</v>
      </c>
      <c r="O46" t="str">
        <f t="shared" si="16"/>
        <v>copy .\dail_base3.dbr .\items\materia\class0010\Fangshi44.dbr /y</v>
      </c>
      <c r="P46" t="str">
        <f t="shared" si="7"/>
        <v>echo relicBitmap,items/craftingparts/components/component_a52_bristlyfur_b.tex, &gt;&gt; .\items\materia\class0010\Fangshi44.dbr</v>
      </c>
      <c r="Q46" t="str">
        <f t="shared" si="7"/>
        <v>echo itemCost,500000, &gt;&gt; .\items\materia\class0010\Fangshi44.dbr</v>
      </c>
      <c r="R46" t="str">
        <f t="shared" si="7"/>
        <v>echo description,dailCompDescFangshi44, &gt;&gt; .\items\materia\class0010\Fangshi44.dbr</v>
      </c>
      <c r="S46" t="str">
        <f t="shared" si="7"/>
        <v>echo itemText,dailCompTextFangshi44, &gt;&gt; .\items\materia\class0010\Fangshi44.dbr</v>
      </c>
      <c r="T46" t="str">
        <f t="shared" si="7"/>
        <v>echo augmentSkillLevel1,3, &gt;&gt; .\items\materia\class0010\Fangshi44.dbr</v>
      </c>
      <c r="U46" t="str">
        <f t="shared" si="7"/>
        <v>echo augmentSkillName1,records/skills/playerclass10/sakura.dbr, &gt;&gt; .\items\materia\class0010\Fangshi44.dbr</v>
      </c>
      <c r="V46" s="5" t="s">
        <v>36</v>
      </c>
      <c r="W46" t="str">
        <f t="shared" si="8"/>
        <v>echo lootName44,DAIL/items/materia/class0010/Fangshi44.dbr, &gt;&gt; .\items\loottables\dailoneskill0010.dbr</v>
      </c>
      <c r="X46" t="str">
        <f t="shared" si="8"/>
        <v>echo lootWeight44,1, &gt;&gt; .\items\loottables\dailoneskill0010.dbr</v>
      </c>
      <c r="Y46" s="5" t="s">
        <v>36</v>
      </c>
      <c r="Z46" t="str">
        <f t="shared" si="9"/>
        <v xml:space="preserve"> dailCompDescFangshi44=^pFangshi's Gift of DAIL</v>
      </c>
      <c r="AA46" t="str">
        <f t="shared" si="17"/>
        <v>dailCompTextFangshi44=^oThis feels warm to the touch, almost familiar ^w(This component only fits into the Medal Slot)</v>
      </c>
      <c r="AB46" s="5" t="s">
        <v>36</v>
      </c>
      <c r="AH46">
        <f t="shared" si="19"/>
        <v>41</v>
      </c>
      <c r="AI46">
        <f t="shared" si="22"/>
        <v>25</v>
      </c>
      <c r="AJ46">
        <f t="shared" si="18"/>
        <v>3</v>
      </c>
    </row>
    <row r="47" spans="1:36" x14ac:dyDescent="0.25">
      <c r="A47" s="5" t="s">
        <v>39</v>
      </c>
      <c r="B47" s="5" t="s">
        <v>30</v>
      </c>
      <c r="C47" s="5" t="str">
        <f t="shared" si="0"/>
        <v>description,dailCompDescFangshi45,</v>
      </c>
      <c r="D47" s="5" t="str">
        <f t="shared" si="2"/>
        <v>itemText,dailCompTextFangshi45,</v>
      </c>
      <c r="E47" s="5" t="str">
        <f t="shared" si="14"/>
        <v>augmentSkillLevel1,3,</v>
      </c>
      <c r="F47" s="5" t="str">
        <f t="shared" si="15"/>
        <v>augmentSkillName1,records/skills/playerclass10/sakura_mod1.dbr,</v>
      </c>
      <c r="G47" s="7">
        <f t="shared" si="10"/>
        <v>45</v>
      </c>
      <c r="H47" s="8" t="str">
        <f t="shared" si="11"/>
        <v>Fangshi</v>
      </c>
      <c r="I47" s="3" t="s">
        <v>423</v>
      </c>
      <c r="J47" s="8" t="str">
        <f t="shared" si="21"/>
        <v>class0010</v>
      </c>
      <c r="K47" s="8" t="str">
        <f t="shared" si="21"/>
        <v>dailoneskill0010</v>
      </c>
      <c r="L47" s="5" t="str">
        <f t="shared" si="4"/>
        <v>lootName45,DAIL/items/materia/class0010/Fangshi45.dbr,</v>
      </c>
      <c r="M47" s="5" t="str">
        <f t="shared" si="5"/>
        <v>lootWeight45,1,</v>
      </c>
      <c r="N47" t="str">
        <f t="shared" si="6"/>
        <v>3</v>
      </c>
      <c r="O47" t="str">
        <f t="shared" si="16"/>
        <v>copy .\dail_base3.dbr .\items\materia\class0010\Fangshi45.dbr /y</v>
      </c>
      <c r="P47" t="str">
        <f t="shared" si="7"/>
        <v>echo relicBitmap,items/craftingparts/components/component_a52_bristlyfur_b.tex, &gt;&gt; .\items\materia\class0010\Fangshi45.dbr</v>
      </c>
      <c r="Q47" t="str">
        <f t="shared" si="7"/>
        <v>echo itemCost,500000, &gt;&gt; .\items\materia\class0010\Fangshi45.dbr</v>
      </c>
      <c r="R47" t="str">
        <f t="shared" si="7"/>
        <v>echo description,dailCompDescFangshi45, &gt;&gt; .\items\materia\class0010\Fangshi45.dbr</v>
      </c>
      <c r="S47" t="str">
        <f t="shared" si="7"/>
        <v>echo itemText,dailCompTextFangshi45, &gt;&gt; .\items\materia\class0010\Fangshi45.dbr</v>
      </c>
      <c r="T47" t="str">
        <f t="shared" si="7"/>
        <v>echo augmentSkillLevel1,3, &gt;&gt; .\items\materia\class0010\Fangshi45.dbr</v>
      </c>
      <c r="U47" t="str">
        <f t="shared" si="7"/>
        <v>echo augmentSkillName1,records/skills/playerclass10/sakura_mod1.dbr, &gt;&gt; .\items\materia\class0010\Fangshi45.dbr</v>
      </c>
      <c r="V47" s="5" t="s">
        <v>36</v>
      </c>
      <c r="W47" t="str">
        <f t="shared" si="8"/>
        <v>echo lootName45,DAIL/items/materia/class0010/Fangshi45.dbr, &gt;&gt; .\items\loottables\dailoneskill0010.dbr</v>
      </c>
      <c r="X47" t="str">
        <f t="shared" si="8"/>
        <v>echo lootWeight45,1, &gt;&gt; .\items\loottables\dailoneskill0010.dbr</v>
      </c>
      <c r="Y47" s="5" t="s">
        <v>36</v>
      </c>
      <c r="Z47" t="str">
        <f t="shared" si="9"/>
        <v xml:space="preserve"> dailCompDescFangshi45=^pFangshi's Gift of DAIL</v>
      </c>
      <c r="AA47" t="str">
        <f t="shared" si="17"/>
        <v>dailCompTextFangshi45=^oThis feels warm to the touch, almost familiar ^w(This component only fits into the Medal Slot)</v>
      </c>
      <c r="AB47" s="5" t="s">
        <v>36</v>
      </c>
      <c r="AH47">
        <f t="shared" si="19"/>
        <v>42</v>
      </c>
      <c r="AI47">
        <f t="shared" si="22"/>
        <v>30</v>
      </c>
      <c r="AJ47">
        <f t="shared" si="18"/>
        <v>3</v>
      </c>
    </row>
    <row r="48" spans="1:36" x14ac:dyDescent="0.25">
      <c r="A48" s="5" t="s">
        <v>39</v>
      </c>
      <c r="B48" s="5" t="s">
        <v>30</v>
      </c>
      <c r="C48" s="5" t="str">
        <f t="shared" si="0"/>
        <v>description,dailCompDescFangshi46,</v>
      </c>
      <c r="D48" s="5" t="str">
        <f t="shared" si="2"/>
        <v>itemText,dailCompTextFangshi46,</v>
      </c>
      <c r="E48" s="5" t="str">
        <f t="shared" si="14"/>
        <v>augmentSkillLevel1,3,</v>
      </c>
      <c r="F48" s="5" t="str">
        <f t="shared" si="15"/>
        <v>augmentSkillName1,records/skills/playerclass10/sword_fall.dbr,</v>
      </c>
      <c r="G48" s="7">
        <f t="shared" si="10"/>
        <v>46</v>
      </c>
      <c r="H48" s="8" t="str">
        <f t="shared" si="11"/>
        <v>Fangshi</v>
      </c>
      <c r="I48" s="3" t="s">
        <v>186</v>
      </c>
      <c r="J48" s="8" t="str">
        <f t="shared" si="21"/>
        <v>class0010</v>
      </c>
      <c r="K48" s="8" t="str">
        <f t="shared" si="21"/>
        <v>dailoneskill0010</v>
      </c>
      <c r="L48" s="5" t="str">
        <f t="shared" si="4"/>
        <v>lootName46,DAIL/items/materia/class0010/Fangshi46.dbr,</v>
      </c>
      <c r="M48" s="5" t="str">
        <f t="shared" si="5"/>
        <v>lootWeight46,1,</v>
      </c>
      <c r="N48" t="str">
        <f t="shared" si="6"/>
        <v>3</v>
      </c>
      <c r="O48" t="str">
        <f t="shared" si="16"/>
        <v>copy .\dail_base3.dbr .\items\materia\class0010\Fangshi46.dbr /y</v>
      </c>
      <c r="P48" t="str">
        <f t="shared" si="7"/>
        <v>echo relicBitmap,items/craftingparts/components/component_a52_bristlyfur_b.tex, &gt;&gt; .\items\materia\class0010\Fangshi46.dbr</v>
      </c>
      <c r="Q48" t="str">
        <f t="shared" si="7"/>
        <v>echo itemCost,500000, &gt;&gt; .\items\materia\class0010\Fangshi46.dbr</v>
      </c>
      <c r="R48" t="str">
        <f t="shared" si="7"/>
        <v>echo description,dailCompDescFangshi46, &gt;&gt; .\items\materia\class0010\Fangshi46.dbr</v>
      </c>
      <c r="S48" t="str">
        <f t="shared" si="7"/>
        <v>echo itemText,dailCompTextFangshi46, &gt;&gt; .\items\materia\class0010\Fangshi46.dbr</v>
      </c>
      <c r="T48" t="str">
        <f t="shared" si="7"/>
        <v>echo augmentSkillLevel1,3, &gt;&gt; .\items\materia\class0010\Fangshi46.dbr</v>
      </c>
      <c r="U48" t="str">
        <f t="shared" si="7"/>
        <v>echo augmentSkillName1,records/skills/playerclass10/sword_fall.dbr, &gt;&gt; .\items\materia\class0010\Fangshi46.dbr</v>
      </c>
      <c r="V48" s="5" t="s">
        <v>36</v>
      </c>
      <c r="W48" t="str">
        <f t="shared" si="8"/>
        <v>echo lootName46,DAIL/items/materia/class0010/Fangshi46.dbr, &gt;&gt; .\items\loottables\dailoneskill0010.dbr</v>
      </c>
      <c r="X48" t="str">
        <f t="shared" si="8"/>
        <v>echo lootWeight46,1, &gt;&gt; .\items\loottables\dailoneskill0010.dbr</v>
      </c>
      <c r="Y48" s="5" t="s">
        <v>36</v>
      </c>
      <c r="Z48" t="str">
        <f t="shared" si="9"/>
        <v xml:space="preserve"> dailCompDescFangshi46=^pFangshi's Gift of DAIL</v>
      </c>
      <c r="AA48" t="str">
        <f t="shared" si="17"/>
        <v>dailCompTextFangshi46=^oThis feels warm to the touch, almost familiar ^w(This component only fits into the Medal Slot)</v>
      </c>
      <c r="AB48" s="5" t="s">
        <v>36</v>
      </c>
      <c r="AH48">
        <f t="shared" si="19"/>
        <v>43</v>
      </c>
      <c r="AI48">
        <f t="shared" si="22"/>
        <v>29</v>
      </c>
      <c r="AJ48">
        <f t="shared" si="18"/>
        <v>3</v>
      </c>
    </row>
    <row r="49" spans="1:36" x14ac:dyDescent="0.25">
      <c r="A49" s="5" t="s">
        <v>39</v>
      </c>
      <c r="B49" s="5" t="s">
        <v>30</v>
      </c>
      <c r="C49" s="5" t="str">
        <f t="shared" si="0"/>
        <v>description,dailCompDescFangshi47,</v>
      </c>
      <c r="D49" s="5" t="str">
        <f t="shared" si="2"/>
        <v>itemText,dailCompTextFangshi47,</v>
      </c>
      <c r="E49" s="5" t="str">
        <f t="shared" si="14"/>
        <v>augmentSkillLevel1,3,</v>
      </c>
      <c r="F49" s="5" t="str">
        <f t="shared" si="15"/>
        <v>augmentSkillName1,records/skills/playerclass10/burning.dbr,</v>
      </c>
      <c r="G49" s="7">
        <f t="shared" si="10"/>
        <v>47</v>
      </c>
      <c r="H49" s="8" t="str">
        <f t="shared" si="11"/>
        <v>Fangshi</v>
      </c>
      <c r="I49" s="3" t="s">
        <v>178</v>
      </c>
      <c r="J49" s="8" t="str">
        <f t="shared" si="21"/>
        <v>class0010</v>
      </c>
      <c r="K49" s="8" t="str">
        <f t="shared" si="21"/>
        <v>dailoneskill0010</v>
      </c>
      <c r="L49" s="5" t="str">
        <f t="shared" si="4"/>
        <v>lootName47,DAIL/items/materia/class0010/Fangshi47.dbr,</v>
      </c>
      <c r="M49" s="5" t="str">
        <f t="shared" si="5"/>
        <v>lootWeight47,1,</v>
      </c>
      <c r="N49" t="str">
        <f t="shared" si="6"/>
        <v>3</v>
      </c>
      <c r="O49" t="str">
        <f t="shared" si="16"/>
        <v>copy .\dail_base3.dbr .\items\materia\class0010\Fangshi47.dbr /y</v>
      </c>
      <c r="P49" t="str">
        <f t="shared" si="7"/>
        <v>echo relicBitmap,items/craftingparts/components/component_a52_bristlyfur_b.tex, &gt;&gt; .\items\materia\class0010\Fangshi47.dbr</v>
      </c>
      <c r="Q49" t="str">
        <f t="shared" si="7"/>
        <v>echo itemCost,500000, &gt;&gt; .\items\materia\class0010\Fangshi47.dbr</v>
      </c>
      <c r="R49" t="str">
        <f t="shared" si="7"/>
        <v>echo description,dailCompDescFangshi47, &gt;&gt; .\items\materia\class0010\Fangshi47.dbr</v>
      </c>
      <c r="S49" t="str">
        <f t="shared" si="7"/>
        <v>echo itemText,dailCompTextFangshi47, &gt;&gt; .\items\materia\class0010\Fangshi47.dbr</v>
      </c>
      <c r="T49" t="str">
        <f t="shared" si="7"/>
        <v>echo augmentSkillLevel1,3, &gt;&gt; .\items\materia\class0010\Fangshi47.dbr</v>
      </c>
      <c r="U49" t="str">
        <f t="shared" si="7"/>
        <v>echo augmentSkillName1,records/skills/playerclass10/burning.dbr, &gt;&gt; .\items\materia\class0010\Fangshi47.dbr</v>
      </c>
      <c r="V49" s="5" t="s">
        <v>36</v>
      </c>
      <c r="W49" t="str">
        <f t="shared" si="8"/>
        <v>echo lootName47,DAIL/items/materia/class0010/Fangshi47.dbr, &gt;&gt; .\items\loottables\dailoneskill0010.dbr</v>
      </c>
      <c r="X49" t="str">
        <f t="shared" si="8"/>
        <v>echo lootWeight47,1, &gt;&gt; .\items\loottables\dailoneskill0010.dbr</v>
      </c>
      <c r="Y49" s="5" t="s">
        <v>36</v>
      </c>
      <c r="Z49" t="str">
        <f t="shared" si="9"/>
        <v xml:space="preserve"> dailCompDescFangshi47=^pFangshi's Gift of DAIL</v>
      </c>
      <c r="AA49" t="str">
        <f t="shared" si="17"/>
        <v>dailCompTextFangshi47=^oThis feels warm to the touch, almost familiar ^w(This component only fits into the Medal Slot)</v>
      </c>
      <c r="AB49" s="5" t="s">
        <v>36</v>
      </c>
      <c r="AH49">
        <f t="shared" si="19"/>
        <v>44</v>
      </c>
      <c r="AI49">
        <f t="shared" si="22"/>
        <v>26</v>
      </c>
      <c r="AJ49">
        <f t="shared" si="18"/>
        <v>3</v>
      </c>
    </row>
    <row r="50" spans="1:36" x14ac:dyDescent="0.25">
      <c r="A50" s="5" t="s">
        <v>39</v>
      </c>
      <c r="B50" s="5" t="s">
        <v>30</v>
      </c>
      <c r="C50" s="5" t="str">
        <f t="shared" si="0"/>
        <v>description,dailCompDescFangshi48,</v>
      </c>
      <c r="D50" s="5" t="str">
        <f t="shared" si="2"/>
        <v>itemText,dailCompTextFangshi48,</v>
      </c>
      <c r="E50" s="5" t="str">
        <f t="shared" si="14"/>
        <v>augmentSkillLevel1,3,</v>
      </c>
      <c r="F50" s="5" t="str">
        <f t="shared" si="15"/>
        <v>augmentSkillName1,records/skills/playerclass10/burning_mod2.dbr,</v>
      </c>
      <c r="G50" s="7">
        <f t="shared" si="10"/>
        <v>48</v>
      </c>
      <c r="H50" s="8" t="str">
        <f t="shared" si="11"/>
        <v>Fangshi</v>
      </c>
      <c r="I50" s="3" t="s">
        <v>424</v>
      </c>
      <c r="J50" s="8" t="str">
        <f t="shared" si="21"/>
        <v>class0010</v>
      </c>
      <c r="K50" s="8" t="str">
        <f t="shared" si="21"/>
        <v>dailoneskill0010</v>
      </c>
      <c r="L50" s="5" t="str">
        <f t="shared" si="4"/>
        <v>lootName48,DAIL/items/materia/class0010/Fangshi48.dbr,</v>
      </c>
      <c r="M50" s="5" t="str">
        <f t="shared" si="5"/>
        <v>lootWeight48,1,</v>
      </c>
      <c r="N50" t="str">
        <f t="shared" si="6"/>
        <v>3</v>
      </c>
      <c r="O50" t="str">
        <f t="shared" si="16"/>
        <v>copy .\dail_base3.dbr .\items\materia\class0010\Fangshi48.dbr /y</v>
      </c>
      <c r="P50" t="str">
        <f t="shared" si="7"/>
        <v>echo relicBitmap,items/craftingparts/components/component_a52_bristlyfur_b.tex, &gt;&gt; .\items\materia\class0010\Fangshi48.dbr</v>
      </c>
      <c r="Q50" t="str">
        <f t="shared" si="7"/>
        <v>echo itemCost,500000, &gt;&gt; .\items\materia\class0010\Fangshi48.dbr</v>
      </c>
      <c r="R50" t="str">
        <f t="shared" si="7"/>
        <v>echo description,dailCompDescFangshi48, &gt;&gt; .\items\materia\class0010\Fangshi48.dbr</v>
      </c>
      <c r="S50" t="str">
        <f t="shared" si="7"/>
        <v>echo itemText,dailCompTextFangshi48, &gt;&gt; .\items\materia\class0010\Fangshi48.dbr</v>
      </c>
      <c r="T50" t="str">
        <f t="shared" si="7"/>
        <v>echo augmentSkillLevel1,3, &gt;&gt; .\items\materia\class0010\Fangshi48.dbr</v>
      </c>
      <c r="U50" t="str">
        <f t="shared" si="7"/>
        <v>echo augmentSkillName1,records/skills/playerclass10/burning_mod2.dbr, &gt;&gt; .\items\materia\class0010\Fangshi48.dbr</v>
      </c>
      <c r="V50" s="5" t="s">
        <v>36</v>
      </c>
      <c r="W50" t="str">
        <f t="shared" si="8"/>
        <v>echo lootName48,DAIL/items/materia/class0010/Fangshi48.dbr, &gt;&gt; .\items\loottables\dailoneskill0010.dbr</v>
      </c>
      <c r="X50" t="str">
        <f t="shared" si="8"/>
        <v>echo lootWeight48,1, &gt;&gt; .\items\loottables\dailoneskill0010.dbr</v>
      </c>
      <c r="Y50" s="5" t="s">
        <v>36</v>
      </c>
      <c r="Z50" t="str">
        <f t="shared" si="9"/>
        <v xml:space="preserve"> dailCompDescFangshi48=^pFangshi's Gift of DAIL</v>
      </c>
      <c r="AA50" t="str">
        <f t="shared" si="17"/>
        <v>dailCompTextFangshi48=^oThis feels warm to the touch, almost familiar ^w(This component only fits into the Medal Slot)</v>
      </c>
      <c r="AB50" s="5" t="s">
        <v>36</v>
      </c>
      <c r="AH50">
        <f t="shared" si="19"/>
        <v>45</v>
      </c>
      <c r="AI50">
        <f t="shared" si="22"/>
        <v>31</v>
      </c>
      <c r="AJ50">
        <f t="shared" si="18"/>
        <v>3</v>
      </c>
    </row>
    <row r="51" spans="1:36" x14ac:dyDescent="0.25">
      <c r="A51" s="5" t="s">
        <v>39</v>
      </c>
      <c r="B51" s="5" t="s">
        <v>30</v>
      </c>
      <c r="C51" s="5" t="str">
        <f t="shared" si="0"/>
        <v>description,dailCompDescFangshi49,</v>
      </c>
      <c r="D51" s="5" t="str">
        <f t="shared" si="2"/>
        <v>itemText,dailCompTextFangshi49,</v>
      </c>
      <c r="E51" s="5" t="str">
        <f t="shared" si="14"/>
        <v>augmentSkillLevel1,3,</v>
      </c>
      <c r="F51" s="5" t="str">
        <f t="shared" si="15"/>
        <v>augmentSkillName1,records/skills/playerclass10/burning_mod1.dbr,</v>
      </c>
      <c r="G51" s="7">
        <f t="shared" si="10"/>
        <v>49</v>
      </c>
      <c r="H51" s="8" t="str">
        <f t="shared" si="11"/>
        <v>Fangshi</v>
      </c>
      <c r="I51" s="3" t="s">
        <v>425</v>
      </c>
      <c r="J51" s="8" t="str">
        <f t="shared" si="21"/>
        <v>class0010</v>
      </c>
      <c r="K51" s="8" t="str">
        <f t="shared" si="21"/>
        <v>dailoneskill0010</v>
      </c>
      <c r="L51" s="5" t="str">
        <f t="shared" si="4"/>
        <v>lootName49,DAIL/items/materia/class0010/Fangshi49.dbr,</v>
      </c>
      <c r="M51" s="5" t="str">
        <f t="shared" si="5"/>
        <v>lootWeight49,1,</v>
      </c>
      <c r="N51" t="str">
        <f t="shared" si="6"/>
        <v>3</v>
      </c>
      <c r="O51" t="str">
        <f t="shared" si="16"/>
        <v>copy .\dail_base3.dbr .\items\materia\class0010\Fangshi49.dbr /y</v>
      </c>
      <c r="P51" t="str">
        <f t="shared" si="7"/>
        <v>echo relicBitmap,items/craftingparts/components/component_a52_bristlyfur_b.tex, &gt;&gt; .\items\materia\class0010\Fangshi49.dbr</v>
      </c>
      <c r="Q51" t="str">
        <f t="shared" si="7"/>
        <v>echo itemCost,500000, &gt;&gt; .\items\materia\class0010\Fangshi49.dbr</v>
      </c>
      <c r="R51" t="str">
        <f t="shared" si="7"/>
        <v>echo description,dailCompDescFangshi49, &gt;&gt; .\items\materia\class0010\Fangshi49.dbr</v>
      </c>
      <c r="S51" t="str">
        <f t="shared" si="7"/>
        <v>echo itemText,dailCompTextFangshi49, &gt;&gt; .\items\materia\class0010\Fangshi49.dbr</v>
      </c>
      <c r="T51" t="str">
        <f t="shared" si="7"/>
        <v>echo augmentSkillLevel1,3, &gt;&gt; .\items\materia\class0010\Fangshi49.dbr</v>
      </c>
      <c r="U51" t="str">
        <f t="shared" si="7"/>
        <v>echo augmentSkillName1,records/skills/playerclass10/burning_mod1.dbr, &gt;&gt; .\items\materia\class0010\Fangshi49.dbr</v>
      </c>
      <c r="V51" s="5" t="s">
        <v>36</v>
      </c>
      <c r="W51" t="str">
        <f t="shared" si="8"/>
        <v>echo lootName49,DAIL/items/materia/class0010/Fangshi49.dbr, &gt;&gt; .\items\loottables\dailoneskill0010.dbr</v>
      </c>
      <c r="X51" t="str">
        <f t="shared" si="8"/>
        <v>echo lootWeight49,1, &gt;&gt; .\items\loottables\dailoneskill0010.dbr</v>
      </c>
      <c r="Y51" s="5" t="s">
        <v>36</v>
      </c>
      <c r="Z51" t="str">
        <f t="shared" si="9"/>
        <v xml:space="preserve"> dailCompDescFangshi49=^pFangshi's Gift of DAIL</v>
      </c>
      <c r="AA51" t="str">
        <f t="shared" si="17"/>
        <v>dailCompTextFangshi49=^oThis feels warm to the touch, almost familiar ^w(This component only fits into the Medal Slot)</v>
      </c>
      <c r="AB51" s="5" t="s">
        <v>36</v>
      </c>
      <c r="AH51">
        <f t="shared" si="19"/>
        <v>46</v>
      </c>
      <c r="AI51">
        <f t="shared" si="22"/>
        <v>31</v>
      </c>
      <c r="AJ51">
        <f t="shared" si="18"/>
        <v>3</v>
      </c>
    </row>
    <row r="52" spans="1:36" x14ac:dyDescent="0.25">
      <c r="A52" s="5" t="s">
        <v>39</v>
      </c>
      <c r="B52" s="5" t="s">
        <v>30</v>
      </c>
      <c r="C52" s="5" t="str">
        <f t="shared" si="0"/>
        <v>description,dailCompDescFangshi50,</v>
      </c>
      <c r="D52" s="5" t="str">
        <f t="shared" si="2"/>
        <v>itemText,dailCompTextFangshi50,</v>
      </c>
      <c r="E52" s="5" t="str">
        <f t="shared" si="14"/>
        <v>augmentSkillLevel1,3,</v>
      </c>
      <c r="F52" s="5" t="str">
        <f t="shared" si="15"/>
        <v>augmentSkillName1,records/skills/playerclass10/burning_tra.dbr,</v>
      </c>
      <c r="G52" s="7">
        <f t="shared" si="10"/>
        <v>50</v>
      </c>
      <c r="H52" s="8" t="str">
        <f t="shared" si="11"/>
        <v>Fangshi</v>
      </c>
      <c r="I52" s="3" t="s">
        <v>426</v>
      </c>
      <c r="J52" s="8" t="str">
        <f t="shared" si="21"/>
        <v>class0010</v>
      </c>
      <c r="K52" s="8" t="str">
        <f t="shared" si="21"/>
        <v>dailoneskill0010</v>
      </c>
      <c r="L52" s="5" t="str">
        <f t="shared" si="4"/>
        <v>lootName50,DAIL/items/materia/class0010/Fangshi50.dbr,</v>
      </c>
      <c r="M52" s="5" t="str">
        <f t="shared" si="5"/>
        <v>lootWeight50,1,</v>
      </c>
      <c r="N52" t="str">
        <f t="shared" si="6"/>
        <v>3</v>
      </c>
      <c r="O52" t="str">
        <f t="shared" si="16"/>
        <v>copy .\dail_base3.dbr .\items\materia\class0010\Fangshi50.dbr /y</v>
      </c>
      <c r="P52" t="str">
        <f t="shared" si="7"/>
        <v>echo relicBitmap,items/craftingparts/components/component_a52_bristlyfur_b.tex, &gt;&gt; .\items\materia\class0010\Fangshi50.dbr</v>
      </c>
      <c r="Q52" t="str">
        <f t="shared" si="7"/>
        <v>echo itemCost,500000, &gt;&gt; .\items\materia\class0010\Fangshi50.dbr</v>
      </c>
      <c r="R52" t="str">
        <f t="shared" si="7"/>
        <v>echo description,dailCompDescFangshi50, &gt;&gt; .\items\materia\class0010\Fangshi50.dbr</v>
      </c>
      <c r="S52" t="str">
        <f t="shared" si="7"/>
        <v>echo itemText,dailCompTextFangshi50, &gt;&gt; .\items\materia\class0010\Fangshi50.dbr</v>
      </c>
      <c r="T52" t="str">
        <f t="shared" si="7"/>
        <v>echo augmentSkillLevel1,3, &gt;&gt; .\items\materia\class0010\Fangshi50.dbr</v>
      </c>
      <c r="U52" t="str">
        <f t="shared" si="7"/>
        <v>echo augmentSkillName1,records/skills/playerclass10/burning_tra.dbr, &gt;&gt; .\items\materia\class0010\Fangshi50.dbr</v>
      </c>
      <c r="V52" s="5" t="s">
        <v>36</v>
      </c>
      <c r="W52" t="str">
        <f t="shared" si="8"/>
        <v>echo lootName50,DAIL/items/materia/class0010/Fangshi50.dbr, &gt;&gt; .\items\loottables\dailoneskill0010.dbr</v>
      </c>
      <c r="X52" t="str">
        <f t="shared" si="8"/>
        <v>echo lootWeight50,1, &gt;&gt; .\items\loottables\dailoneskill0010.dbr</v>
      </c>
      <c r="Y52" s="5" t="s">
        <v>36</v>
      </c>
      <c r="Z52" t="str">
        <f t="shared" si="9"/>
        <v xml:space="preserve"> dailCompDescFangshi50=^pFangshi's Gift of DAIL</v>
      </c>
      <c r="AA52" t="str">
        <f t="shared" si="17"/>
        <v>dailCompTextFangshi50=^oThis feels warm to the touch, almost familiar ^w(This component only fits into the Medal Slot)</v>
      </c>
      <c r="AB52" s="5" t="s">
        <v>36</v>
      </c>
      <c r="AH52">
        <f t="shared" si="19"/>
        <v>47</v>
      </c>
      <c r="AI52">
        <f t="shared" si="22"/>
        <v>30</v>
      </c>
      <c r="AJ52">
        <f t="shared" si="18"/>
        <v>3</v>
      </c>
    </row>
    <row r="53" spans="1:36" x14ac:dyDescent="0.25">
      <c r="A53" s="5" t="s">
        <v>39</v>
      </c>
      <c r="B53" s="5" t="s">
        <v>30</v>
      </c>
      <c r="C53" s="5" t="str">
        <f t="shared" si="0"/>
        <v>description,dailCompDescFangshi51,</v>
      </c>
      <c r="D53" s="5" t="str">
        <f t="shared" si="2"/>
        <v>itemText,dailCompTextFangshi51,</v>
      </c>
      <c r="E53" s="5" t="str">
        <f t="shared" si="14"/>
        <v>augmentSkillLevel1,3,</v>
      </c>
      <c r="F53" s="5" t="str">
        <f t="shared" si="15"/>
        <v>augmentSkillName1,records/skills/playerclass10/ultgold.dbr,</v>
      </c>
      <c r="G53" s="7">
        <f t="shared" si="10"/>
        <v>51</v>
      </c>
      <c r="H53" s="8" t="str">
        <f t="shared" si="11"/>
        <v>Fangshi</v>
      </c>
      <c r="I53" s="3" t="s">
        <v>189</v>
      </c>
      <c r="J53" s="8" t="str">
        <f t="shared" ref="J53:K68" si="23">J52</f>
        <v>class0010</v>
      </c>
      <c r="K53" s="8" t="str">
        <f t="shared" si="23"/>
        <v>dailoneskill0010</v>
      </c>
      <c r="L53" s="5" t="str">
        <f t="shared" si="4"/>
        <v>lootName51,DAIL/items/materia/class0010/Fangshi51.dbr,</v>
      </c>
      <c r="M53" s="5" t="str">
        <f t="shared" si="5"/>
        <v>lootWeight51,1,</v>
      </c>
      <c r="N53" t="str">
        <f t="shared" si="6"/>
        <v>3</v>
      </c>
      <c r="O53" t="str">
        <f t="shared" si="16"/>
        <v>copy .\dail_base3.dbr .\items\materia\class0010\Fangshi51.dbr /y</v>
      </c>
      <c r="P53" t="str">
        <f t="shared" si="7"/>
        <v>echo relicBitmap,items/craftingparts/components/component_a52_bristlyfur_b.tex, &gt;&gt; .\items\materia\class0010\Fangshi51.dbr</v>
      </c>
      <c r="Q53" t="str">
        <f t="shared" si="7"/>
        <v>echo itemCost,500000, &gt;&gt; .\items\materia\class0010\Fangshi51.dbr</v>
      </c>
      <c r="R53" t="str">
        <f t="shared" si="7"/>
        <v>echo description,dailCompDescFangshi51, &gt;&gt; .\items\materia\class0010\Fangshi51.dbr</v>
      </c>
      <c r="S53" t="str">
        <f t="shared" si="7"/>
        <v>echo itemText,dailCompTextFangshi51, &gt;&gt; .\items\materia\class0010\Fangshi51.dbr</v>
      </c>
      <c r="T53" t="str">
        <f t="shared" si="7"/>
        <v>echo augmentSkillLevel1,3, &gt;&gt; .\items\materia\class0010\Fangshi51.dbr</v>
      </c>
      <c r="U53" t="str">
        <f t="shared" si="7"/>
        <v>echo augmentSkillName1,records/skills/playerclass10/ultgold.dbr, &gt;&gt; .\items\materia\class0010\Fangshi51.dbr</v>
      </c>
      <c r="V53" s="5" t="s">
        <v>36</v>
      </c>
      <c r="W53" t="str">
        <f t="shared" si="8"/>
        <v>echo lootName51,DAIL/items/materia/class0010/Fangshi51.dbr, &gt;&gt; .\items\loottables\dailoneskill0010.dbr</v>
      </c>
      <c r="X53" t="str">
        <f t="shared" si="8"/>
        <v>echo lootWeight51,1, &gt;&gt; .\items\loottables\dailoneskill0010.dbr</v>
      </c>
      <c r="Y53" s="5" t="s">
        <v>36</v>
      </c>
      <c r="Z53" t="str">
        <f t="shared" si="9"/>
        <v xml:space="preserve"> dailCompDescFangshi51=^pFangshi's Gift of DAIL</v>
      </c>
      <c r="AA53" t="str">
        <f t="shared" si="17"/>
        <v>dailCompTextFangshi51=^oThis feels warm to the touch, almost familiar ^w(This component only fits into the Medal Slot)</v>
      </c>
      <c r="AB53" s="5" t="s">
        <v>36</v>
      </c>
      <c r="AH53">
        <f t="shared" si="19"/>
        <v>48</v>
      </c>
      <c r="AI53">
        <f t="shared" si="22"/>
        <v>26</v>
      </c>
      <c r="AJ53">
        <f t="shared" si="18"/>
        <v>3</v>
      </c>
    </row>
    <row r="54" spans="1:36" x14ac:dyDescent="0.25">
      <c r="A54" s="5" t="s">
        <v>39</v>
      </c>
      <c r="B54" s="5" t="s">
        <v>30</v>
      </c>
      <c r="C54" s="5" t="str">
        <f t="shared" si="0"/>
        <v>description,dailCompDescFangshi52,</v>
      </c>
      <c r="D54" s="5" t="str">
        <f t="shared" si="2"/>
        <v>itemText,dailCompTextFangshi52,</v>
      </c>
      <c r="E54" s="5" t="str">
        <f t="shared" si="14"/>
        <v>augmentSkillLevel1,3,</v>
      </c>
      <c r="F54" s="5" t="str">
        <f t="shared" si="15"/>
        <v>augmentSkillName1,records/skills/playerclass10/ultwater.dbr,</v>
      </c>
      <c r="G54" s="7">
        <f t="shared" si="10"/>
        <v>52</v>
      </c>
      <c r="H54" s="8" t="str">
        <f t="shared" si="11"/>
        <v>Fangshi</v>
      </c>
      <c r="I54" s="3" t="s">
        <v>190</v>
      </c>
      <c r="J54" s="8" t="str">
        <f t="shared" si="23"/>
        <v>class0010</v>
      </c>
      <c r="K54" s="8" t="str">
        <f t="shared" si="23"/>
        <v>dailoneskill0010</v>
      </c>
      <c r="L54" s="5" t="str">
        <f t="shared" si="4"/>
        <v>lootName52,DAIL/items/materia/class0010/Fangshi52.dbr,</v>
      </c>
      <c r="M54" s="5" t="str">
        <f t="shared" si="5"/>
        <v>lootWeight52,1,</v>
      </c>
      <c r="N54" t="str">
        <f t="shared" si="6"/>
        <v>3</v>
      </c>
      <c r="O54" t="str">
        <f t="shared" si="16"/>
        <v>copy .\dail_base3.dbr .\items\materia\class0010\Fangshi52.dbr /y</v>
      </c>
      <c r="P54" t="str">
        <f t="shared" si="7"/>
        <v>echo relicBitmap,items/craftingparts/components/component_a52_bristlyfur_b.tex, &gt;&gt; .\items\materia\class0010\Fangshi52.dbr</v>
      </c>
      <c r="Q54" t="str">
        <f t="shared" si="7"/>
        <v>echo itemCost,500000, &gt;&gt; .\items\materia\class0010\Fangshi52.dbr</v>
      </c>
      <c r="R54" t="str">
        <f t="shared" si="7"/>
        <v>echo description,dailCompDescFangshi52, &gt;&gt; .\items\materia\class0010\Fangshi52.dbr</v>
      </c>
      <c r="S54" t="str">
        <f t="shared" si="7"/>
        <v>echo itemText,dailCompTextFangshi52, &gt;&gt; .\items\materia\class0010\Fangshi52.dbr</v>
      </c>
      <c r="T54" t="str">
        <f t="shared" si="7"/>
        <v>echo augmentSkillLevel1,3, &gt;&gt; .\items\materia\class0010\Fangshi52.dbr</v>
      </c>
      <c r="U54" t="str">
        <f t="shared" si="7"/>
        <v>echo augmentSkillName1,records/skills/playerclass10/ultwater.dbr, &gt;&gt; .\items\materia\class0010\Fangshi52.dbr</v>
      </c>
      <c r="V54" s="5" t="s">
        <v>36</v>
      </c>
      <c r="W54" t="str">
        <f t="shared" si="8"/>
        <v>echo lootName52,DAIL/items/materia/class0010/Fangshi52.dbr, &gt;&gt; .\items\loottables\dailoneskill0010.dbr</v>
      </c>
      <c r="X54" t="str">
        <f t="shared" si="8"/>
        <v>echo lootWeight52,1, &gt;&gt; .\items\loottables\dailoneskill0010.dbr</v>
      </c>
      <c r="Y54" s="5" t="s">
        <v>36</v>
      </c>
      <c r="Z54" t="str">
        <f t="shared" si="9"/>
        <v xml:space="preserve"> dailCompDescFangshi52=^pFangshi's Gift of DAIL</v>
      </c>
      <c r="AA54" t="str">
        <f t="shared" si="17"/>
        <v>dailCompTextFangshi52=^oThis feels warm to the touch, almost familiar ^w(This component only fits into the Medal Slot)</v>
      </c>
      <c r="AB54" s="5" t="s">
        <v>36</v>
      </c>
      <c r="AH54">
        <f t="shared" si="19"/>
        <v>49</v>
      </c>
      <c r="AI54">
        <f t="shared" si="22"/>
        <v>27</v>
      </c>
      <c r="AJ54">
        <f t="shared" si="18"/>
        <v>3</v>
      </c>
    </row>
    <row r="55" spans="1:36" x14ac:dyDescent="0.25">
      <c r="A55" s="5" t="s">
        <v>39</v>
      </c>
      <c r="B55" s="5" t="s">
        <v>30</v>
      </c>
      <c r="C55" s="5" t="str">
        <f t="shared" si="0"/>
        <v>description,dailCompDescFangshi53,</v>
      </c>
      <c r="D55" s="5" t="str">
        <f t="shared" si="2"/>
        <v>itemText,dailCompTextFangshi53,</v>
      </c>
      <c r="E55" s="5" t="str">
        <f t="shared" si="14"/>
        <v>augmentSkillLevel1,3,</v>
      </c>
      <c r="F55" s="5" t="str">
        <f t="shared" si="15"/>
        <v>augmentSkillName1,records/skills/playerclass10/ultwood.dbr,</v>
      </c>
      <c r="G55" s="7">
        <f t="shared" si="10"/>
        <v>53</v>
      </c>
      <c r="H55" s="8" t="str">
        <f t="shared" si="11"/>
        <v>Fangshi</v>
      </c>
      <c r="I55" s="3" t="s">
        <v>191</v>
      </c>
      <c r="J55" s="8" t="str">
        <f t="shared" si="23"/>
        <v>class0010</v>
      </c>
      <c r="K55" s="8" t="str">
        <f t="shared" si="23"/>
        <v>dailoneskill0010</v>
      </c>
      <c r="L55" s="5" t="str">
        <f t="shared" si="4"/>
        <v>lootName53,DAIL/items/materia/class0010/Fangshi53.dbr,</v>
      </c>
      <c r="M55" s="5" t="str">
        <f t="shared" si="5"/>
        <v>lootWeight53,1,</v>
      </c>
      <c r="N55" t="str">
        <f t="shared" si="6"/>
        <v>3</v>
      </c>
      <c r="O55" t="str">
        <f t="shared" si="16"/>
        <v>copy .\dail_base3.dbr .\items\materia\class0010\Fangshi53.dbr /y</v>
      </c>
      <c r="P55" t="str">
        <f t="shared" si="7"/>
        <v>echo relicBitmap,items/craftingparts/components/component_a52_bristlyfur_b.tex, &gt;&gt; .\items\materia\class0010\Fangshi53.dbr</v>
      </c>
      <c r="Q55" t="str">
        <f t="shared" si="7"/>
        <v>echo itemCost,500000, &gt;&gt; .\items\materia\class0010\Fangshi53.dbr</v>
      </c>
      <c r="R55" t="str">
        <f t="shared" si="7"/>
        <v>echo description,dailCompDescFangshi53, &gt;&gt; .\items\materia\class0010\Fangshi53.dbr</v>
      </c>
      <c r="S55" t="str">
        <f t="shared" si="7"/>
        <v>echo itemText,dailCompTextFangshi53, &gt;&gt; .\items\materia\class0010\Fangshi53.dbr</v>
      </c>
      <c r="T55" t="str">
        <f t="shared" si="7"/>
        <v>echo augmentSkillLevel1,3, &gt;&gt; .\items\materia\class0010\Fangshi53.dbr</v>
      </c>
      <c r="U55" t="str">
        <f t="shared" si="7"/>
        <v>echo augmentSkillName1,records/skills/playerclass10/ultwood.dbr, &gt;&gt; .\items\materia\class0010\Fangshi53.dbr</v>
      </c>
      <c r="V55" s="5" t="s">
        <v>36</v>
      </c>
      <c r="W55" t="str">
        <f t="shared" si="8"/>
        <v>echo lootName53,DAIL/items/materia/class0010/Fangshi53.dbr, &gt;&gt; .\items\loottables\dailoneskill0010.dbr</v>
      </c>
      <c r="X55" t="str">
        <f t="shared" si="8"/>
        <v>echo lootWeight53,1, &gt;&gt; .\items\loottables\dailoneskill0010.dbr</v>
      </c>
      <c r="Y55" s="5" t="s">
        <v>36</v>
      </c>
      <c r="Z55" t="str">
        <f t="shared" si="9"/>
        <v xml:space="preserve"> dailCompDescFangshi53=^pFangshi's Gift of DAIL</v>
      </c>
      <c r="AA55" t="str">
        <f t="shared" si="17"/>
        <v>dailCompTextFangshi53=^oThis feels warm to the touch, almost familiar ^w(This component only fits into the Medal Slot)</v>
      </c>
      <c r="AB55" s="5" t="s">
        <v>36</v>
      </c>
      <c r="AH55">
        <f t="shared" si="19"/>
        <v>50</v>
      </c>
      <c r="AI55">
        <f t="shared" si="22"/>
        <v>26</v>
      </c>
      <c r="AJ55">
        <f t="shared" si="18"/>
        <v>3</v>
      </c>
    </row>
    <row r="56" spans="1:36" x14ac:dyDescent="0.25">
      <c r="A56" s="5" t="s">
        <v>39</v>
      </c>
      <c r="B56" s="5" t="s">
        <v>30</v>
      </c>
      <c r="C56" s="5" t="str">
        <f t="shared" si="0"/>
        <v>description,dailCompDescFangshi54,</v>
      </c>
      <c r="D56" s="5" t="str">
        <f t="shared" si="2"/>
        <v>itemText,dailCompTextFangshi54,</v>
      </c>
      <c r="E56" s="5" t="str">
        <f t="shared" si="14"/>
        <v>augmentSkillLevel1,3,</v>
      </c>
      <c r="F56" s="5" t="str">
        <f t="shared" si="15"/>
        <v>augmentSkillName1,records/skills/playerclass10/ultfire.dbr,</v>
      </c>
      <c r="G56" s="7">
        <f t="shared" si="10"/>
        <v>54</v>
      </c>
      <c r="H56" s="8" t="str">
        <f t="shared" si="11"/>
        <v>Fangshi</v>
      </c>
      <c r="I56" s="3" t="s">
        <v>188</v>
      </c>
      <c r="J56" s="8" t="str">
        <f t="shared" si="23"/>
        <v>class0010</v>
      </c>
      <c r="K56" s="8" t="str">
        <f t="shared" si="23"/>
        <v>dailoneskill0010</v>
      </c>
      <c r="L56" s="5" t="str">
        <f t="shared" si="4"/>
        <v>lootName54,DAIL/items/materia/class0010/Fangshi54.dbr,</v>
      </c>
      <c r="M56" s="5" t="str">
        <f t="shared" si="5"/>
        <v>lootWeight54,1,</v>
      </c>
      <c r="N56" t="str">
        <f t="shared" si="6"/>
        <v>3</v>
      </c>
      <c r="O56" t="str">
        <f t="shared" si="16"/>
        <v>copy .\dail_base3.dbr .\items\materia\class0010\Fangshi54.dbr /y</v>
      </c>
      <c r="P56" t="str">
        <f t="shared" si="7"/>
        <v>echo relicBitmap,items/craftingparts/components/component_a52_bristlyfur_b.tex, &gt;&gt; .\items\materia\class0010\Fangshi54.dbr</v>
      </c>
      <c r="Q56" t="str">
        <f t="shared" si="7"/>
        <v>echo itemCost,500000, &gt;&gt; .\items\materia\class0010\Fangshi54.dbr</v>
      </c>
      <c r="R56" t="str">
        <f t="shared" si="7"/>
        <v>echo description,dailCompDescFangshi54, &gt;&gt; .\items\materia\class0010\Fangshi54.dbr</v>
      </c>
      <c r="S56" t="str">
        <f t="shared" si="7"/>
        <v>echo itemText,dailCompTextFangshi54, &gt;&gt; .\items\materia\class0010\Fangshi54.dbr</v>
      </c>
      <c r="T56" t="str">
        <f t="shared" si="7"/>
        <v>echo augmentSkillLevel1,3, &gt;&gt; .\items\materia\class0010\Fangshi54.dbr</v>
      </c>
      <c r="U56" t="str">
        <f t="shared" si="7"/>
        <v>echo augmentSkillName1,records/skills/playerclass10/ultfire.dbr, &gt;&gt; .\items\materia\class0010\Fangshi54.dbr</v>
      </c>
      <c r="V56" s="5" t="s">
        <v>36</v>
      </c>
      <c r="W56" t="str">
        <f t="shared" si="8"/>
        <v>echo lootName54,DAIL/items/materia/class0010/Fangshi54.dbr, &gt;&gt; .\items\loottables\dailoneskill0010.dbr</v>
      </c>
      <c r="X56" t="str">
        <f t="shared" si="8"/>
        <v>echo lootWeight54,1, &gt;&gt; .\items\loottables\dailoneskill0010.dbr</v>
      </c>
      <c r="Y56" s="5" t="s">
        <v>36</v>
      </c>
      <c r="Z56" t="str">
        <f t="shared" si="9"/>
        <v xml:space="preserve"> dailCompDescFangshi54=^pFangshi's Gift of DAIL</v>
      </c>
      <c r="AA56" t="str">
        <f t="shared" si="17"/>
        <v>dailCompTextFangshi54=^oThis feels warm to the touch, almost familiar ^w(This component only fits into the Medal Slot)</v>
      </c>
      <c r="AB56" s="5" t="s">
        <v>36</v>
      </c>
      <c r="AH56">
        <f t="shared" si="19"/>
        <v>51</v>
      </c>
      <c r="AI56">
        <f t="shared" si="22"/>
        <v>26</v>
      </c>
      <c r="AJ56">
        <f t="shared" si="18"/>
        <v>3</v>
      </c>
    </row>
    <row r="57" spans="1:36" x14ac:dyDescent="0.25">
      <c r="A57" s="5" t="s">
        <v>39</v>
      </c>
      <c r="B57" s="5" t="s">
        <v>30</v>
      </c>
      <c r="C57" s="5" t="str">
        <f t="shared" si="0"/>
        <v>description,dailCompDescFangshi55,</v>
      </c>
      <c r="D57" s="5" t="str">
        <f t="shared" si="2"/>
        <v>itemText,dailCompTextFangshi55,</v>
      </c>
      <c r="E57" s="5" t="str">
        <f t="shared" si="14"/>
        <v>augmentSkillLevel1,3,</v>
      </c>
      <c r="F57" s="5" t="str">
        <f t="shared" si="15"/>
        <v>augmentSkillName1,records/skills/playerclass10/ultearth.dbr,</v>
      </c>
      <c r="G57" s="7">
        <f t="shared" si="10"/>
        <v>55</v>
      </c>
      <c r="H57" s="8" t="str">
        <f t="shared" si="11"/>
        <v>Fangshi</v>
      </c>
      <c r="I57" s="3" t="s">
        <v>187</v>
      </c>
      <c r="J57" s="8" t="str">
        <f t="shared" si="23"/>
        <v>class0010</v>
      </c>
      <c r="K57" s="8" t="str">
        <f t="shared" si="23"/>
        <v>dailoneskill0010</v>
      </c>
      <c r="L57" s="5" t="str">
        <f t="shared" si="4"/>
        <v>lootName55,DAIL/items/materia/class0010/Fangshi55.dbr,</v>
      </c>
      <c r="M57" s="5" t="str">
        <f t="shared" si="5"/>
        <v>lootWeight55,1,</v>
      </c>
      <c r="N57" t="str">
        <f t="shared" si="6"/>
        <v>3</v>
      </c>
      <c r="O57" t="str">
        <f t="shared" si="16"/>
        <v>copy .\dail_base3.dbr .\items\materia\class0010\Fangshi55.dbr /y</v>
      </c>
      <c r="P57" t="str">
        <f t="shared" si="7"/>
        <v>echo relicBitmap,items/craftingparts/components/component_a52_bristlyfur_b.tex, &gt;&gt; .\items\materia\class0010\Fangshi55.dbr</v>
      </c>
      <c r="Q57" t="str">
        <f t="shared" si="7"/>
        <v>echo itemCost,500000, &gt;&gt; .\items\materia\class0010\Fangshi55.dbr</v>
      </c>
      <c r="R57" t="str">
        <f t="shared" si="7"/>
        <v>echo description,dailCompDescFangshi55, &gt;&gt; .\items\materia\class0010\Fangshi55.dbr</v>
      </c>
      <c r="S57" t="str">
        <f t="shared" si="7"/>
        <v>echo itemText,dailCompTextFangshi55, &gt;&gt; .\items\materia\class0010\Fangshi55.dbr</v>
      </c>
      <c r="T57" t="str">
        <f t="shared" si="7"/>
        <v>echo augmentSkillLevel1,3, &gt;&gt; .\items\materia\class0010\Fangshi55.dbr</v>
      </c>
      <c r="U57" t="str">
        <f t="shared" si="7"/>
        <v>echo augmentSkillName1,records/skills/playerclass10/ultearth.dbr, &gt;&gt; .\items\materia\class0010\Fangshi55.dbr</v>
      </c>
      <c r="V57" s="5" t="s">
        <v>36</v>
      </c>
      <c r="W57" t="str">
        <f t="shared" si="8"/>
        <v>echo lootName55,DAIL/items/materia/class0010/Fangshi55.dbr, &gt;&gt; .\items\loottables\dailoneskill0010.dbr</v>
      </c>
      <c r="X57" t="str">
        <f t="shared" si="8"/>
        <v>echo lootWeight55,1, &gt;&gt; .\items\loottables\dailoneskill0010.dbr</v>
      </c>
      <c r="Y57" s="5" t="s">
        <v>36</v>
      </c>
      <c r="Z57" t="str">
        <f t="shared" si="9"/>
        <v xml:space="preserve"> dailCompDescFangshi55=^pFangshi's Gift of DAIL</v>
      </c>
      <c r="AA57" t="str">
        <f t="shared" si="17"/>
        <v>dailCompTextFangshi55=^oThis feels warm to the touch, almost familiar ^w(This component only fits into the Medal Slot)</v>
      </c>
      <c r="AB57" s="5" t="s">
        <v>36</v>
      </c>
      <c r="AH57">
        <f t="shared" si="19"/>
        <v>52</v>
      </c>
      <c r="AI57">
        <f t="shared" si="22"/>
        <v>27</v>
      </c>
      <c r="AJ57">
        <f t="shared" si="18"/>
        <v>3</v>
      </c>
    </row>
    <row r="58" spans="1:36" x14ac:dyDescent="0.25">
      <c r="A58" s="5" t="s">
        <v>39</v>
      </c>
      <c r="B58" s="5" t="s">
        <v>30</v>
      </c>
      <c r="C58" s="5" t="str">
        <f t="shared" si="0"/>
        <v>description,dailCompDescFangshi56,</v>
      </c>
      <c r="D58" s="5" t="str">
        <f t="shared" si="2"/>
        <v>itemText,dailCompTextFangshi56,</v>
      </c>
      <c r="E58" s="5" t="str">
        <f t="shared" si="14"/>
        <v>augmentSkillLevel1,3,</v>
      </c>
      <c r="F58" s="5" t="str">
        <f t="shared" si="15"/>
        <v>augmentSkillName1,records/skills/playerclass10/earth_effect.dbr,</v>
      </c>
      <c r="G58" s="7">
        <f t="shared" si="10"/>
        <v>56</v>
      </c>
      <c r="H58" s="8" t="str">
        <f t="shared" si="11"/>
        <v>Fangshi</v>
      </c>
      <c r="I58" s="3" t="s">
        <v>179</v>
      </c>
      <c r="J58" s="8" t="str">
        <f t="shared" si="23"/>
        <v>class0010</v>
      </c>
      <c r="K58" s="8" t="str">
        <f t="shared" si="23"/>
        <v>dailoneskill0010</v>
      </c>
      <c r="L58" s="5" t="str">
        <f t="shared" si="4"/>
        <v>lootName56,DAIL/items/materia/class0010/Fangshi56.dbr,</v>
      </c>
      <c r="M58" s="5" t="str">
        <f t="shared" si="5"/>
        <v>lootWeight56,1,</v>
      </c>
      <c r="N58" t="str">
        <f t="shared" si="6"/>
        <v>3</v>
      </c>
      <c r="O58" t="str">
        <f t="shared" si="16"/>
        <v>copy .\dail_base3.dbr .\items\materia\class0010\Fangshi56.dbr /y</v>
      </c>
      <c r="P58" t="str">
        <f t="shared" si="7"/>
        <v>echo relicBitmap,items/craftingparts/components/component_a52_bristlyfur_b.tex, &gt;&gt; .\items\materia\class0010\Fangshi56.dbr</v>
      </c>
      <c r="Q58" t="str">
        <f t="shared" si="7"/>
        <v>echo itemCost,500000, &gt;&gt; .\items\materia\class0010\Fangshi56.dbr</v>
      </c>
      <c r="R58" t="str">
        <f t="shared" si="7"/>
        <v>echo description,dailCompDescFangshi56, &gt;&gt; .\items\materia\class0010\Fangshi56.dbr</v>
      </c>
      <c r="S58" t="str">
        <f t="shared" si="7"/>
        <v>echo itemText,dailCompTextFangshi56, &gt;&gt; .\items\materia\class0010\Fangshi56.dbr</v>
      </c>
      <c r="T58" t="str">
        <f t="shared" si="7"/>
        <v>echo augmentSkillLevel1,3, &gt;&gt; .\items\materia\class0010\Fangshi56.dbr</v>
      </c>
      <c r="U58" t="str">
        <f t="shared" si="7"/>
        <v>echo augmentSkillName1,records/skills/playerclass10/earth_effect.dbr, &gt;&gt; .\items\materia\class0010\Fangshi56.dbr</v>
      </c>
      <c r="V58" s="5" t="s">
        <v>36</v>
      </c>
      <c r="W58" t="str">
        <f t="shared" si="8"/>
        <v>echo lootName56,DAIL/items/materia/class0010/Fangshi56.dbr, &gt;&gt; .\items\loottables\dailoneskill0010.dbr</v>
      </c>
      <c r="X58" t="str">
        <f t="shared" si="8"/>
        <v>echo lootWeight56,1, &gt;&gt; .\items\loottables\dailoneskill0010.dbr</v>
      </c>
      <c r="Y58" s="5" t="s">
        <v>36</v>
      </c>
      <c r="Z58" t="str">
        <f t="shared" si="9"/>
        <v xml:space="preserve"> dailCompDescFangshi56=^pFangshi's Gift of DAIL</v>
      </c>
      <c r="AA58" t="str">
        <f t="shared" si="17"/>
        <v>dailCompTextFangshi56=^oThis feels warm to the touch, almost familiar ^w(This component only fits into the Medal Slot)</v>
      </c>
      <c r="AB58" s="5" t="s">
        <v>36</v>
      </c>
      <c r="AH58">
        <f t="shared" si="19"/>
        <v>53</v>
      </c>
      <c r="AI58">
        <f t="shared" si="22"/>
        <v>31</v>
      </c>
      <c r="AJ58">
        <f t="shared" si="18"/>
        <v>3</v>
      </c>
    </row>
    <row r="59" spans="1:36" x14ac:dyDescent="0.25">
      <c r="A59" s="5" t="s">
        <v>39</v>
      </c>
      <c r="B59" s="5" t="s">
        <v>30</v>
      </c>
      <c r="C59" s="5" t="str">
        <f t="shared" si="0"/>
        <v>description,dailCompDescFangshi57,</v>
      </c>
      <c r="D59" s="5" t="str">
        <f t="shared" si="2"/>
        <v>itemText,dailCompTextFangshi57,</v>
      </c>
      <c r="E59" s="5" t="str">
        <f t="shared" si="14"/>
        <v>augmentSkillLevel1,3,</v>
      </c>
      <c r="F59" s="5" t="str">
        <f t="shared" si="15"/>
        <v>augmentSkillName1,records/skills/playerclass10/sword_fall_tra.dbr,</v>
      </c>
      <c r="G59" s="7">
        <f t="shared" si="10"/>
        <v>57</v>
      </c>
      <c r="H59" s="8" t="str">
        <f t="shared" si="11"/>
        <v>Fangshi</v>
      </c>
      <c r="I59" s="3" t="s">
        <v>427</v>
      </c>
      <c r="J59" s="8" t="str">
        <f t="shared" si="23"/>
        <v>class0010</v>
      </c>
      <c r="K59" s="8" t="str">
        <f t="shared" si="23"/>
        <v>dailoneskill0010</v>
      </c>
      <c r="L59" s="5" t="str">
        <f t="shared" si="4"/>
        <v>lootName57,DAIL/items/materia/class0010/Fangshi57.dbr,</v>
      </c>
      <c r="M59" s="5" t="str">
        <f t="shared" si="5"/>
        <v>lootWeight57,1,</v>
      </c>
      <c r="N59" t="str">
        <f t="shared" si="6"/>
        <v>3</v>
      </c>
      <c r="O59" t="str">
        <f t="shared" si="16"/>
        <v>copy .\dail_base3.dbr .\items\materia\class0010\Fangshi57.dbr /y</v>
      </c>
      <c r="P59" t="str">
        <f t="shared" ref="P59:U101" si="24">IF($I59&lt;&gt;"","echo "&amp;A59&amp;" &gt;&gt; .\items\materia\"&amp;$J59&amp;"\"&amp;$H59&amp;$G59&amp;".dbr","")</f>
        <v>echo relicBitmap,items/craftingparts/components/component_a52_bristlyfur_b.tex, &gt;&gt; .\items\materia\class0010\Fangshi57.dbr</v>
      </c>
      <c r="Q59" t="str">
        <f t="shared" si="24"/>
        <v>echo itemCost,500000, &gt;&gt; .\items\materia\class0010\Fangshi57.dbr</v>
      </c>
      <c r="R59" t="str">
        <f t="shared" si="24"/>
        <v>echo description,dailCompDescFangshi57, &gt;&gt; .\items\materia\class0010\Fangshi57.dbr</v>
      </c>
      <c r="S59" t="str">
        <f t="shared" si="24"/>
        <v>echo itemText,dailCompTextFangshi57, &gt;&gt; .\items\materia\class0010\Fangshi57.dbr</v>
      </c>
      <c r="T59" t="str">
        <f t="shared" si="24"/>
        <v>echo augmentSkillLevel1,3, &gt;&gt; .\items\materia\class0010\Fangshi57.dbr</v>
      </c>
      <c r="U59" t="str">
        <f t="shared" si="24"/>
        <v>echo augmentSkillName1,records/skills/playerclass10/sword_fall_tra.dbr, &gt;&gt; .\items\materia\class0010\Fangshi57.dbr</v>
      </c>
      <c r="V59" s="5" t="s">
        <v>36</v>
      </c>
      <c r="W59" t="str">
        <f t="shared" si="8"/>
        <v>echo lootName57,DAIL/items/materia/class0010/Fangshi57.dbr, &gt;&gt; .\items\loottables\dailoneskill0010.dbr</v>
      </c>
      <c r="X59" t="str">
        <f t="shared" si="8"/>
        <v>echo lootWeight57,1, &gt;&gt; .\items\loottables\dailoneskill0010.dbr</v>
      </c>
      <c r="Y59" s="5" t="s">
        <v>36</v>
      </c>
      <c r="Z59" t="str">
        <f t="shared" si="9"/>
        <v xml:space="preserve"> dailCompDescFangshi57=^pFangshi's Gift of DAIL</v>
      </c>
      <c r="AA59" t="str">
        <f t="shared" si="17"/>
        <v>dailCompTextFangshi57=^oThis feels warm to the touch, almost familiar ^w(This component only fits into the Medal Slot)</v>
      </c>
      <c r="AB59" s="5" t="s">
        <v>36</v>
      </c>
      <c r="AH59">
        <f t="shared" si="19"/>
        <v>54</v>
      </c>
      <c r="AI59">
        <f t="shared" si="22"/>
        <v>33</v>
      </c>
      <c r="AJ59">
        <f t="shared" si="18"/>
        <v>3</v>
      </c>
    </row>
    <row r="60" spans="1:36" x14ac:dyDescent="0.25">
      <c r="A60" s="5" t="s">
        <v>39</v>
      </c>
      <c r="B60" s="5" t="s">
        <v>30</v>
      </c>
      <c r="C60" s="5" t="str">
        <f t="shared" si="0"/>
        <v>description,dailCompDescFangshi58,</v>
      </c>
      <c r="D60" s="5" t="str">
        <f t="shared" si="2"/>
        <v>itemText,dailCompTextFangshi58,</v>
      </c>
      <c r="E60" s="5" t="str">
        <f t="shared" si="14"/>
        <v>augmentSkillLevel1,3,</v>
      </c>
      <c r="F60" s="5" t="str">
        <f t="shared" si="15"/>
        <v>augmentSkillName1,records/skills/playerclass10/earth_effect_tra.dbr,</v>
      </c>
      <c r="G60" s="7">
        <f t="shared" si="10"/>
        <v>58</v>
      </c>
      <c r="H60" s="8" t="str">
        <f t="shared" si="11"/>
        <v>Fangshi</v>
      </c>
      <c r="I60" s="3" t="s">
        <v>428</v>
      </c>
      <c r="J60" s="8" t="str">
        <f t="shared" si="23"/>
        <v>class0010</v>
      </c>
      <c r="K60" s="8" t="str">
        <f t="shared" si="23"/>
        <v>dailoneskill0010</v>
      </c>
      <c r="L60" s="5" t="str">
        <f t="shared" si="4"/>
        <v>lootName58,DAIL/items/materia/class0010/Fangshi58.dbr,</v>
      </c>
      <c r="M60" s="5" t="str">
        <f t="shared" si="5"/>
        <v>lootWeight58,1,</v>
      </c>
      <c r="N60" t="str">
        <f t="shared" si="6"/>
        <v>3</v>
      </c>
      <c r="O60" t="str">
        <f t="shared" si="16"/>
        <v>copy .\dail_base3.dbr .\items\materia\class0010\Fangshi58.dbr /y</v>
      </c>
      <c r="P60" t="str">
        <f t="shared" si="24"/>
        <v>echo relicBitmap,items/craftingparts/components/component_a52_bristlyfur_b.tex, &gt;&gt; .\items\materia\class0010\Fangshi58.dbr</v>
      </c>
      <c r="Q60" t="str">
        <f t="shared" si="24"/>
        <v>echo itemCost,500000, &gt;&gt; .\items\materia\class0010\Fangshi58.dbr</v>
      </c>
      <c r="R60" t="str">
        <f t="shared" si="24"/>
        <v>echo description,dailCompDescFangshi58, &gt;&gt; .\items\materia\class0010\Fangshi58.dbr</v>
      </c>
      <c r="S60" t="str">
        <f t="shared" si="24"/>
        <v>echo itemText,dailCompTextFangshi58, &gt;&gt; .\items\materia\class0010\Fangshi58.dbr</v>
      </c>
      <c r="T60" t="str">
        <f t="shared" si="24"/>
        <v>echo augmentSkillLevel1,3, &gt;&gt; .\items\materia\class0010\Fangshi58.dbr</v>
      </c>
      <c r="U60" t="str">
        <f t="shared" si="24"/>
        <v>echo augmentSkillName1,records/skills/playerclass10/earth_effect_tra.dbr, &gt;&gt; .\items\materia\class0010\Fangshi58.dbr</v>
      </c>
      <c r="V60" s="5" t="s">
        <v>36</v>
      </c>
      <c r="W60" t="str">
        <f t="shared" si="8"/>
        <v>echo lootName58,DAIL/items/materia/class0010/Fangshi58.dbr, &gt;&gt; .\items\loottables\dailoneskill0010.dbr</v>
      </c>
      <c r="X60" t="str">
        <f t="shared" si="8"/>
        <v>echo lootWeight58,1, &gt;&gt; .\items\loottables\dailoneskill0010.dbr</v>
      </c>
      <c r="Y60" s="5" t="s">
        <v>36</v>
      </c>
      <c r="Z60" t="str">
        <f t="shared" si="9"/>
        <v xml:space="preserve"> dailCompDescFangshi58=^pFangshi's Gift of DAIL</v>
      </c>
      <c r="AA60" t="str">
        <f t="shared" si="17"/>
        <v>dailCompTextFangshi58=^oThis feels warm to the touch, almost familiar ^w(This component only fits into the Medal Slot)</v>
      </c>
      <c r="AB60" s="5" t="s">
        <v>36</v>
      </c>
      <c r="AH60">
        <f t="shared" si="19"/>
        <v>55</v>
      </c>
      <c r="AI60">
        <f t="shared" si="22"/>
        <v>35</v>
      </c>
      <c r="AJ60">
        <f t="shared" si="18"/>
        <v>3</v>
      </c>
    </row>
    <row r="61" spans="1:36" x14ac:dyDescent="0.25">
      <c r="A61" s="5" t="s">
        <v>39</v>
      </c>
      <c r="B61" s="5" t="s">
        <v>30</v>
      </c>
      <c r="C61" s="5" t="str">
        <f t="shared" si="0"/>
        <v>description,dailCompDescFangshi59,</v>
      </c>
      <c r="D61" s="5" t="str">
        <f t="shared" si="2"/>
        <v>itemText,dailCompTextFangshi59,</v>
      </c>
      <c r="E61" s="5" t="str">
        <f t="shared" si="14"/>
        <v>augmentSkillLevel1,3,</v>
      </c>
      <c r="F61" s="5" t="str">
        <f t="shared" si="15"/>
        <v>augmentSkillName1,records/skills/playerclass10/earth_effect_mod.dbr,</v>
      </c>
      <c r="G61" s="7">
        <f t="shared" si="10"/>
        <v>59</v>
      </c>
      <c r="H61" s="8" t="str">
        <f t="shared" si="11"/>
        <v>Fangshi</v>
      </c>
      <c r="I61" s="3" t="s">
        <v>429</v>
      </c>
      <c r="J61" s="8" t="str">
        <f t="shared" si="23"/>
        <v>class0010</v>
      </c>
      <c r="K61" s="8" t="str">
        <f t="shared" si="23"/>
        <v>dailoneskill0010</v>
      </c>
      <c r="L61" s="5" t="str">
        <f t="shared" si="4"/>
        <v>lootName59,DAIL/items/materia/class0010/Fangshi59.dbr,</v>
      </c>
      <c r="M61" s="5" t="str">
        <f t="shared" si="5"/>
        <v>lootWeight59,1,</v>
      </c>
      <c r="N61" t="str">
        <f t="shared" si="6"/>
        <v>3</v>
      </c>
      <c r="O61" t="str">
        <f t="shared" si="16"/>
        <v>copy .\dail_base3.dbr .\items\materia\class0010\Fangshi59.dbr /y</v>
      </c>
      <c r="P61" t="str">
        <f t="shared" si="24"/>
        <v>echo relicBitmap,items/craftingparts/components/component_a52_bristlyfur_b.tex, &gt;&gt; .\items\materia\class0010\Fangshi59.dbr</v>
      </c>
      <c r="Q61" t="str">
        <f t="shared" si="24"/>
        <v>echo itemCost,500000, &gt;&gt; .\items\materia\class0010\Fangshi59.dbr</v>
      </c>
      <c r="R61" t="str">
        <f t="shared" si="24"/>
        <v>echo description,dailCompDescFangshi59, &gt;&gt; .\items\materia\class0010\Fangshi59.dbr</v>
      </c>
      <c r="S61" t="str">
        <f t="shared" si="24"/>
        <v>echo itemText,dailCompTextFangshi59, &gt;&gt; .\items\materia\class0010\Fangshi59.dbr</v>
      </c>
      <c r="T61" t="str">
        <f t="shared" si="24"/>
        <v>echo augmentSkillLevel1,3, &gt;&gt; .\items\materia\class0010\Fangshi59.dbr</v>
      </c>
      <c r="U61" t="str">
        <f t="shared" si="24"/>
        <v>echo augmentSkillName1,records/skills/playerclass10/earth_effect_mod.dbr, &gt;&gt; .\items\materia\class0010\Fangshi59.dbr</v>
      </c>
      <c r="V61" s="5" t="s">
        <v>36</v>
      </c>
      <c r="W61" t="str">
        <f t="shared" si="8"/>
        <v>echo lootName59,DAIL/items/materia/class0010/Fangshi59.dbr, &gt;&gt; .\items\loottables\dailoneskill0010.dbr</v>
      </c>
      <c r="X61" t="str">
        <f t="shared" si="8"/>
        <v>echo lootWeight59,1, &gt;&gt; .\items\loottables\dailoneskill0010.dbr</v>
      </c>
      <c r="Y61" s="5" t="s">
        <v>36</v>
      </c>
      <c r="Z61" t="str">
        <f t="shared" si="9"/>
        <v xml:space="preserve"> dailCompDescFangshi59=^pFangshi's Gift of DAIL</v>
      </c>
      <c r="AA61" t="str">
        <f t="shared" si="17"/>
        <v>dailCompTextFangshi59=^oThis feels warm to the touch, almost familiar ^w(This component only fits into the Medal Slot)</v>
      </c>
      <c r="AB61" s="5" t="s">
        <v>36</v>
      </c>
      <c r="AH61">
        <f t="shared" si="19"/>
        <v>56</v>
      </c>
      <c r="AI61">
        <f t="shared" si="22"/>
        <v>35</v>
      </c>
      <c r="AJ61">
        <f t="shared" si="18"/>
        <v>3</v>
      </c>
    </row>
    <row r="62" spans="1:36" x14ac:dyDescent="0.25">
      <c r="A62" s="5" t="s">
        <v>39</v>
      </c>
      <c r="B62" s="5" t="s">
        <v>30</v>
      </c>
      <c r="C62" s="5" t="str">
        <f t="shared" si="0"/>
        <v>description,dailCompDescFangshi60,</v>
      </c>
      <c r="D62" s="5" t="str">
        <f t="shared" si="2"/>
        <v>itemText,dailCompTextFangshi60,</v>
      </c>
      <c r="E62" s="5" t="str">
        <f t="shared" si="14"/>
        <v>augmentSkillLevel1,3,</v>
      </c>
      <c r="F62" s="5" t="str">
        <f t="shared" si="15"/>
        <v>augmentSkillName1,records/skills/playerclass10/passive.dbr,</v>
      </c>
      <c r="G62" s="7">
        <f t="shared" si="10"/>
        <v>60</v>
      </c>
      <c r="H62" s="8" t="str">
        <f t="shared" si="11"/>
        <v>Fangshi</v>
      </c>
      <c r="I62" s="3" t="s">
        <v>430</v>
      </c>
      <c r="J62" s="8" t="str">
        <f t="shared" si="23"/>
        <v>class0010</v>
      </c>
      <c r="K62" s="8" t="str">
        <f t="shared" si="23"/>
        <v>dailoneskill0010</v>
      </c>
      <c r="L62" s="5" t="str">
        <f t="shared" si="4"/>
        <v>lootName60,DAIL/items/materia/class0010/Fangshi60.dbr,</v>
      </c>
      <c r="M62" s="5" t="str">
        <f t="shared" si="5"/>
        <v>lootWeight60,1,</v>
      </c>
      <c r="N62" t="str">
        <f t="shared" si="6"/>
        <v>3</v>
      </c>
      <c r="O62" t="str">
        <f t="shared" si="16"/>
        <v>copy .\dail_base3.dbr .\items\materia\class0010\Fangshi60.dbr /y</v>
      </c>
      <c r="P62" t="str">
        <f t="shared" si="24"/>
        <v>echo relicBitmap,items/craftingparts/components/component_a52_bristlyfur_b.tex, &gt;&gt; .\items\materia\class0010\Fangshi60.dbr</v>
      </c>
      <c r="Q62" t="str">
        <f t="shared" si="24"/>
        <v>echo itemCost,500000, &gt;&gt; .\items\materia\class0010\Fangshi60.dbr</v>
      </c>
      <c r="R62" t="str">
        <f t="shared" si="24"/>
        <v>echo description,dailCompDescFangshi60, &gt;&gt; .\items\materia\class0010\Fangshi60.dbr</v>
      </c>
      <c r="S62" t="str">
        <f t="shared" si="24"/>
        <v>echo itemText,dailCompTextFangshi60, &gt;&gt; .\items\materia\class0010\Fangshi60.dbr</v>
      </c>
      <c r="T62" t="str">
        <f t="shared" si="24"/>
        <v>echo augmentSkillLevel1,3, &gt;&gt; .\items\materia\class0010\Fangshi60.dbr</v>
      </c>
      <c r="U62" t="str">
        <f t="shared" si="24"/>
        <v>echo augmentSkillName1,records/skills/playerclass10/passive.dbr, &gt;&gt; .\items\materia\class0010\Fangshi60.dbr</v>
      </c>
      <c r="V62" s="5" t="s">
        <v>36</v>
      </c>
      <c r="W62" t="str">
        <f t="shared" si="8"/>
        <v>echo lootName60,DAIL/items/materia/class0010/Fangshi60.dbr, &gt;&gt; .\items\loottables\dailoneskill0010.dbr</v>
      </c>
      <c r="X62" t="str">
        <f t="shared" si="8"/>
        <v>echo lootWeight60,1, &gt;&gt; .\items\loottables\dailoneskill0010.dbr</v>
      </c>
      <c r="Y62" s="5" t="s">
        <v>36</v>
      </c>
      <c r="Z62" t="str">
        <f t="shared" si="9"/>
        <v xml:space="preserve"> dailCompDescFangshi60=^pFangshi's Gift of DAIL</v>
      </c>
      <c r="AA62" t="str">
        <f t="shared" si="17"/>
        <v>dailCompTextFangshi60=^oThis feels warm to the touch, almost familiar ^w(This component only fits into the Medal Slot)</v>
      </c>
      <c r="AB62" s="5" t="s">
        <v>36</v>
      </c>
      <c r="AH62">
        <f t="shared" si="19"/>
        <v>57</v>
      </c>
      <c r="AI62">
        <f t="shared" si="22"/>
        <v>26</v>
      </c>
      <c r="AJ62">
        <f t="shared" si="18"/>
        <v>3</v>
      </c>
    </row>
    <row r="63" spans="1:36" x14ac:dyDescent="0.25">
      <c r="A63" s="5" t="s">
        <v>39</v>
      </c>
      <c r="B63" s="5" t="s">
        <v>30</v>
      </c>
      <c r="C63" s="5" t="str">
        <f t="shared" si="0"/>
        <v>description,dailCompDescFangshi61,</v>
      </c>
      <c r="D63" s="5" t="str">
        <f t="shared" si="2"/>
        <v>itemText,dailCompTextFangshi61,</v>
      </c>
      <c r="E63" s="5" t="str">
        <f t="shared" si="14"/>
        <v>augmentSkillLevel1,3,</v>
      </c>
      <c r="F63" s="5" t="str">
        <f t="shared" si="15"/>
        <v>augmentSkillName1,records/skills/playerclass10/mattack.dbr,</v>
      </c>
      <c r="G63" s="7">
        <f t="shared" si="10"/>
        <v>61</v>
      </c>
      <c r="H63" s="8" t="str">
        <f t="shared" si="11"/>
        <v>Fangshi</v>
      </c>
      <c r="I63" s="3" t="s">
        <v>181</v>
      </c>
      <c r="J63" s="8" t="str">
        <f t="shared" si="23"/>
        <v>class0010</v>
      </c>
      <c r="K63" s="8" t="str">
        <f t="shared" si="23"/>
        <v>dailoneskill0010</v>
      </c>
      <c r="L63" s="5" t="str">
        <f t="shared" si="4"/>
        <v>lootName61,DAIL/items/materia/class0010/Fangshi61.dbr,</v>
      </c>
      <c r="M63" s="5" t="str">
        <f t="shared" si="5"/>
        <v>lootWeight61,1,</v>
      </c>
      <c r="N63" t="str">
        <f t="shared" si="6"/>
        <v>3</v>
      </c>
      <c r="O63" t="str">
        <f t="shared" si="16"/>
        <v>copy .\dail_base3.dbr .\items\materia\class0010\Fangshi61.dbr /y</v>
      </c>
      <c r="P63" t="str">
        <f t="shared" si="24"/>
        <v>echo relicBitmap,items/craftingparts/components/component_a52_bristlyfur_b.tex, &gt;&gt; .\items\materia\class0010\Fangshi61.dbr</v>
      </c>
      <c r="Q63" t="str">
        <f t="shared" si="24"/>
        <v>echo itemCost,500000, &gt;&gt; .\items\materia\class0010\Fangshi61.dbr</v>
      </c>
      <c r="R63" t="str">
        <f t="shared" si="24"/>
        <v>echo description,dailCompDescFangshi61, &gt;&gt; .\items\materia\class0010\Fangshi61.dbr</v>
      </c>
      <c r="S63" t="str">
        <f t="shared" si="24"/>
        <v>echo itemText,dailCompTextFangshi61, &gt;&gt; .\items\materia\class0010\Fangshi61.dbr</v>
      </c>
      <c r="T63" t="str">
        <f t="shared" si="24"/>
        <v>echo augmentSkillLevel1,3, &gt;&gt; .\items\materia\class0010\Fangshi61.dbr</v>
      </c>
      <c r="U63" t="str">
        <f t="shared" si="24"/>
        <v>echo augmentSkillName1,records/skills/playerclass10/mattack.dbr, &gt;&gt; .\items\materia\class0010\Fangshi61.dbr</v>
      </c>
      <c r="V63" s="5" t="s">
        <v>36</v>
      </c>
      <c r="W63" t="str">
        <f t="shared" si="8"/>
        <v>echo lootName61,DAIL/items/materia/class0010/Fangshi61.dbr, &gt;&gt; .\items\loottables\dailoneskill0010.dbr</v>
      </c>
      <c r="X63" t="str">
        <f t="shared" si="8"/>
        <v>echo lootWeight61,1, &gt;&gt; .\items\loottables\dailoneskill0010.dbr</v>
      </c>
      <c r="Y63" s="5" t="s">
        <v>36</v>
      </c>
      <c r="Z63" t="str">
        <f t="shared" si="9"/>
        <v xml:space="preserve"> dailCompDescFangshi61=^pFangshi's Gift of DAIL</v>
      </c>
      <c r="AA63" t="str">
        <f t="shared" si="17"/>
        <v>dailCompTextFangshi61=^oThis feels warm to the touch, almost familiar ^w(This component only fits into the Medal Slot)</v>
      </c>
      <c r="AB63" s="5" t="s">
        <v>36</v>
      </c>
      <c r="AH63">
        <f t="shared" si="19"/>
        <v>58</v>
      </c>
      <c r="AI63">
        <f t="shared" si="22"/>
        <v>26</v>
      </c>
      <c r="AJ63">
        <f t="shared" si="18"/>
        <v>3</v>
      </c>
    </row>
    <row r="64" spans="1:36" x14ac:dyDescent="0.25">
      <c r="A64" s="5" t="s">
        <v>39</v>
      </c>
      <c r="B64" s="5" t="s">
        <v>30</v>
      </c>
      <c r="C64" s="5" t="str">
        <f t="shared" si="0"/>
        <v>description,dailCompDescFangshi62,</v>
      </c>
      <c r="D64" s="5" t="str">
        <f t="shared" si="2"/>
        <v>itemText,dailCompTextFangshi62,</v>
      </c>
      <c r="E64" s="5" t="str">
        <f t="shared" si="14"/>
        <v>augmentSkillLevel1,3,</v>
      </c>
      <c r="F64" s="5" t="str">
        <f t="shared" si="15"/>
        <v>augmentSkillName1,records/skills/playerclass10/sword_fall_mod2.dbr,</v>
      </c>
      <c r="G64" s="7">
        <f t="shared" si="10"/>
        <v>62</v>
      </c>
      <c r="H64" s="8" t="str">
        <f t="shared" si="11"/>
        <v>Fangshi</v>
      </c>
      <c r="I64" s="3" t="s">
        <v>431</v>
      </c>
      <c r="J64" s="8" t="str">
        <f t="shared" si="23"/>
        <v>class0010</v>
      </c>
      <c r="K64" s="8" t="str">
        <f t="shared" si="23"/>
        <v>dailoneskill0010</v>
      </c>
      <c r="L64" s="5" t="str">
        <f t="shared" si="4"/>
        <v>lootName62,DAIL/items/materia/class0010/Fangshi62.dbr,</v>
      </c>
      <c r="M64" s="5" t="str">
        <f t="shared" si="5"/>
        <v>lootWeight62,1,</v>
      </c>
      <c r="N64" t="str">
        <f t="shared" si="6"/>
        <v>3</v>
      </c>
      <c r="O64" t="str">
        <f t="shared" si="16"/>
        <v>copy .\dail_base3.dbr .\items\materia\class0010\Fangshi62.dbr /y</v>
      </c>
      <c r="P64" t="str">
        <f t="shared" si="24"/>
        <v>echo relicBitmap,items/craftingparts/components/component_a52_bristlyfur_b.tex, &gt;&gt; .\items\materia\class0010\Fangshi62.dbr</v>
      </c>
      <c r="Q64" t="str">
        <f t="shared" si="24"/>
        <v>echo itemCost,500000, &gt;&gt; .\items\materia\class0010\Fangshi62.dbr</v>
      </c>
      <c r="R64" t="str">
        <f t="shared" si="24"/>
        <v>echo description,dailCompDescFangshi62, &gt;&gt; .\items\materia\class0010\Fangshi62.dbr</v>
      </c>
      <c r="S64" t="str">
        <f t="shared" si="24"/>
        <v>echo itemText,dailCompTextFangshi62, &gt;&gt; .\items\materia\class0010\Fangshi62.dbr</v>
      </c>
      <c r="T64" t="str">
        <f t="shared" si="24"/>
        <v>echo augmentSkillLevel1,3, &gt;&gt; .\items\materia\class0010\Fangshi62.dbr</v>
      </c>
      <c r="U64" t="str">
        <f t="shared" si="24"/>
        <v>echo augmentSkillName1,records/skills/playerclass10/sword_fall_mod2.dbr, &gt;&gt; .\items\materia\class0010\Fangshi62.dbr</v>
      </c>
      <c r="V64" s="5" t="s">
        <v>36</v>
      </c>
      <c r="W64" t="str">
        <f t="shared" si="8"/>
        <v>echo lootName62,DAIL/items/materia/class0010/Fangshi62.dbr, &gt;&gt; .\items\loottables\dailoneskill0010.dbr</v>
      </c>
      <c r="X64" t="str">
        <f t="shared" si="8"/>
        <v>echo lootWeight62,1, &gt;&gt; .\items\loottables\dailoneskill0010.dbr</v>
      </c>
      <c r="Y64" s="5" t="s">
        <v>36</v>
      </c>
      <c r="Z64" t="str">
        <f t="shared" si="9"/>
        <v xml:space="preserve"> dailCompDescFangshi62=^pFangshi's Gift of DAIL</v>
      </c>
      <c r="AA64" t="str">
        <f t="shared" si="17"/>
        <v>dailCompTextFangshi62=^oThis feels warm to the touch, almost familiar ^w(This component only fits into the Medal Slot)</v>
      </c>
      <c r="AB64" s="5" t="s">
        <v>36</v>
      </c>
      <c r="AH64">
        <f t="shared" si="19"/>
        <v>59</v>
      </c>
      <c r="AI64">
        <f t="shared" si="22"/>
        <v>34</v>
      </c>
      <c r="AJ64">
        <f t="shared" si="18"/>
        <v>3</v>
      </c>
    </row>
    <row r="65" spans="1:36" x14ac:dyDescent="0.25">
      <c r="A65" s="5" t="s">
        <v>39</v>
      </c>
      <c r="B65" s="5" t="s">
        <v>30</v>
      </c>
      <c r="C65" s="5" t="str">
        <f t="shared" si="0"/>
        <v>description,dailCompDescFangshi63,</v>
      </c>
      <c r="D65" s="5" t="str">
        <f t="shared" si="2"/>
        <v>itemText,dailCompTextFangshi63,</v>
      </c>
      <c r="E65" s="5" t="str">
        <f t="shared" si="14"/>
        <v>augmentSkillLevel1,3,</v>
      </c>
      <c r="F65" s="5" t="str">
        <f t="shared" si="15"/>
        <v>augmentSkillName1,records/skills/playerclass10/sword_fall_mod.dbr,</v>
      </c>
      <c r="G65" s="7">
        <f t="shared" si="10"/>
        <v>63</v>
      </c>
      <c r="H65" s="8" t="str">
        <f t="shared" si="11"/>
        <v>Fangshi</v>
      </c>
      <c r="I65" s="3" t="s">
        <v>432</v>
      </c>
      <c r="J65" s="8" t="str">
        <f t="shared" si="23"/>
        <v>class0010</v>
      </c>
      <c r="K65" s="8" t="str">
        <f t="shared" si="23"/>
        <v>dailoneskill0010</v>
      </c>
      <c r="L65" s="5" t="str">
        <f t="shared" si="4"/>
        <v>lootName63,DAIL/items/materia/class0010/Fangshi63.dbr,</v>
      </c>
      <c r="M65" s="5" t="str">
        <f t="shared" si="5"/>
        <v>lootWeight63,1,</v>
      </c>
      <c r="N65" t="str">
        <f t="shared" si="6"/>
        <v>3</v>
      </c>
      <c r="O65" t="str">
        <f t="shared" si="16"/>
        <v>copy .\dail_base3.dbr .\items\materia\class0010\Fangshi63.dbr /y</v>
      </c>
      <c r="P65" t="str">
        <f t="shared" si="24"/>
        <v>echo relicBitmap,items/craftingparts/components/component_a52_bristlyfur_b.tex, &gt;&gt; .\items\materia\class0010\Fangshi63.dbr</v>
      </c>
      <c r="Q65" t="str">
        <f t="shared" si="24"/>
        <v>echo itemCost,500000, &gt;&gt; .\items\materia\class0010\Fangshi63.dbr</v>
      </c>
      <c r="R65" t="str">
        <f t="shared" si="24"/>
        <v>echo description,dailCompDescFangshi63, &gt;&gt; .\items\materia\class0010\Fangshi63.dbr</v>
      </c>
      <c r="S65" t="str">
        <f t="shared" si="24"/>
        <v>echo itemText,dailCompTextFangshi63, &gt;&gt; .\items\materia\class0010\Fangshi63.dbr</v>
      </c>
      <c r="T65" t="str">
        <f t="shared" si="24"/>
        <v>echo augmentSkillLevel1,3, &gt;&gt; .\items\materia\class0010\Fangshi63.dbr</v>
      </c>
      <c r="U65" t="str">
        <f t="shared" si="24"/>
        <v>echo augmentSkillName1,records/skills/playerclass10/sword_fall_mod.dbr, &gt;&gt; .\items\materia\class0010\Fangshi63.dbr</v>
      </c>
      <c r="V65" s="5" t="s">
        <v>36</v>
      </c>
      <c r="W65" t="str">
        <f t="shared" si="8"/>
        <v>echo lootName63,DAIL/items/materia/class0010/Fangshi63.dbr, &gt;&gt; .\items\loottables\dailoneskill0010.dbr</v>
      </c>
      <c r="X65" t="str">
        <f t="shared" si="8"/>
        <v>echo lootWeight63,1, &gt;&gt; .\items\loottables\dailoneskill0010.dbr</v>
      </c>
      <c r="Y65" s="5" t="s">
        <v>36</v>
      </c>
      <c r="Z65" t="str">
        <f t="shared" si="9"/>
        <v xml:space="preserve"> dailCompDescFangshi63=^pFangshi's Gift of DAIL</v>
      </c>
      <c r="AA65" t="str">
        <f t="shared" si="17"/>
        <v>dailCompTextFangshi63=^oThis feels warm to the touch, almost familiar ^w(This component only fits into the Medal Slot)</v>
      </c>
      <c r="AB65" s="5" t="s">
        <v>36</v>
      </c>
      <c r="AH65">
        <f t="shared" si="19"/>
        <v>60</v>
      </c>
      <c r="AI65">
        <f t="shared" si="22"/>
        <v>33</v>
      </c>
      <c r="AJ65">
        <f t="shared" si="18"/>
        <v>3</v>
      </c>
    </row>
    <row r="66" spans="1:36" x14ac:dyDescent="0.25">
      <c r="A66" s="5" t="s">
        <v>39</v>
      </c>
      <c r="B66" s="5" t="s">
        <v>30</v>
      </c>
      <c r="C66" s="5" t="str">
        <f t="shared" si="0"/>
        <v>description,dailCompDescFangshi64,</v>
      </c>
      <c r="D66" s="5" t="str">
        <f t="shared" si="2"/>
        <v>itemText,dailCompTextFangshi64,</v>
      </c>
      <c r="E66" s="5" t="str">
        <f t="shared" si="14"/>
        <v>augmentSkillLevel1,3,</v>
      </c>
      <c r="F66" s="5" t="str">
        <f t="shared" si="15"/>
        <v>augmentSkillName1,records/skills/playerclass10/summonsword.dbr,</v>
      </c>
      <c r="G66" s="7">
        <f t="shared" si="10"/>
        <v>64</v>
      </c>
      <c r="H66" s="8" t="str">
        <f t="shared" si="11"/>
        <v>Fangshi</v>
      </c>
      <c r="I66" s="3" t="s">
        <v>185</v>
      </c>
      <c r="J66" s="8" t="str">
        <f t="shared" si="23"/>
        <v>class0010</v>
      </c>
      <c r="K66" s="8" t="str">
        <f t="shared" si="23"/>
        <v>dailoneskill0010</v>
      </c>
      <c r="L66" s="5" t="str">
        <f t="shared" si="4"/>
        <v>lootName64,DAIL/items/materia/class0010/Fangshi64.dbr,</v>
      </c>
      <c r="M66" s="5" t="str">
        <f t="shared" si="5"/>
        <v>lootWeight64,1,</v>
      </c>
      <c r="N66" t="str">
        <f t="shared" si="6"/>
        <v>3</v>
      </c>
      <c r="O66" t="str">
        <f t="shared" si="16"/>
        <v>copy .\dail_base3.dbr .\items\materia\class0010\Fangshi64.dbr /y</v>
      </c>
      <c r="P66" t="str">
        <f t="shared" si="24"/>
        <v>echo relicBitmap,items/craftingparts/components/component_a52_bristlyfur_b.tex, &gt;&gt; .\items\materia\class0010\Fangshi64.dbr</v>
      </c>
      <c r="Q66" t="str">
        <f t="shared" si="24"/>
        <v>echo itemCost,500000, &gt;&gt; .\items\materia\class0010\Fangshi64.dbr</v>
      </c>
      <c r="R66" t="str">
        <f t="shared" si="24"/>
        <v>echo description,dailCompDescFangshi64, &gt;&gt; .\items\materia\class0010\Fangshi64.dbr</v>
      </c>
      <c r="S66" t="str">
        <f t="shared" si="24"/>
        <v>echo itemText,dailCompTextFangshi64, &gt;&gt; .\items\materia\class0010\Fangshi64.dbr</v>
      </c>
      <c r="T66" t="str">
        <f t="shared" si="24"/>
        <v>echo augmentSkillLevel1,3, &gt;&gt; .\items\materia\class0010\Fangshi64.dbr</v>
      </c>
      <c r="U66" t="str">
        <f t="shared" si="24"/>
        <v>echo augmentSkillName1,records/skills/playerclass10/summonsword.dbr, &gt;&gt; .\items\materia\class0010\Fangshi64.dbr</v>
      </c>
      <c r="V66" s="5" t="s">
        <v>36</v>
      </c>
      <c r="W66" t="str">
        <f t="shared" si="8"/>
        <v>echo lootName64,DAIL/items/materia/class0010/Fangshi64.dbr, &gt;&gt; .\items\loottables\dailoneskill0010.dbr</v>
      </c>
      <c r="X66" t="str">
        <f t="shared" si="8"/>
        <v>echo lootWeight64,1, &gt;&gt; .\items\loottables\dailoneskill0010.dbr</v>
      </c>
      <c r="Y66" s="5" t="s">
        <v>36</v>
      </c>
      <c r="Z66" t="str">
        <f t="shared" si="9"/>
        <v xml:space="preserve"> dailCompDescFangshi64=^pFangshi's Gift of DAIL</v>
      </c>
      <c r="AA66" t="str">
        <f t="shared" si="17"/>
        <v>dailCompTextFangshi64=^oThis feels warm to the touch, almost familiar ^w(This component only fits into the Medal Slot)</v>
      </c>
      <c r="AB66" s="5" t="s">
        <v>36</v>
      </c>
      <c r="AH66">
        <f t="shared" si="19"/>
        <v>61</v>
      </c>
      <c r="AI66">
        <f t="shared" si="22"/>
        <v>30</v>
      </c>
      <c r="AJ66">
        <f t="shared" si="18"/>
        <v>3</v>
      </c>
    </row>
    <row r="67" spans="1:36" x14ac:dyDescent="0.25">
      <c r="A67" s="5" t="s">
        <v>39</v>
      </c>
      <c r="B67" s="5" t="s">
        <v>30</v>
      </c>
      <c r="C67" s="5" t="str">
        <f t="shared" ref="C67:C102" si="25">"description,dailCompDesc"&amp;H67&amp;G67&amp;","</f>
        <v>description,dailCompDescFangshi65,</v>
      </c>
      <c r="D67" s="5" t="str">
        <f t="shared" si="2"/>
        <v>itemText,dailCompTextFangshi65,</v>
      </c>
      <c r="E67" s="5" t="str">
        <f t="shared" si="14"/>
        <v>augmentSkillLevel1,3,</v>
      </c>
      <c r="F67" s="5" t="str">
        <f t="shared" si="15"/>
        <v>augmentSkillName1,records/skills/playerclass10/icewall.dbr,</v>
      </c>
      <c r="G67" s="7">
        <f t="shared" si="10"/>
        <v>65</v>
      </c>
      <c r="H67" s="8" t="str">
        <f t="shared" si="11"/>
        <v>Fangshi</v>
      </c>
      <c r="I67" s="3" t="s">
        <v>180</v>
      </c>
      <c r="J67" s="8" t="str">
        <f t="shared" si="23"/>
        <v>class0010</v>
      </c>
      <c r="K67" s="8" t="str">
        <f t="shared" si="23"/>
        <v>dailoneskill0010</v>
      </c>
      <c r="L67" s="5" t="str">
        <f t="shared" si="4"/>
        <v>lootName65,DAIL/items/materia/class0010/Fangshi65.dbr,</v>
      </c>
      <c r="M67" s="5" t="str">
        <f t="shared" si="5"/>
        <v>lootWeight65,1,</v>
      </c>
      <c r="N67" t="str">
        <f t="shared" si="6"/>
        <v>3</v>
      </c>
      <c r="O67" t="str">
        <f t="shared" si="16"/>
        <v>copy .\dail_base3.dbr .\items\materia\class0010\Fangshi65.dbr /y</v>
      </c>
      <c r="P67" t="str">
        <f t="shared" si="24"/>
        <v>echo relicBitmap,items/craftingparts/components/component_a52_bristlyfur_b.tex, &gt;&gt; .\items\materia\class0010\Fangshi65.dbr</v>
      </c>
      <c r="Q67" t="str">
        <f t="shared" si="24"/>
        <v>echo itemCost,500000, &gt;&gt; .\items\materia\class0010\Fangshi65.dbr</v>
      </c>
      <c r="R67" t="str">
        <f t="shared" si="24"/>
        <v>echo description,dailCompDescFangshi65, &gt;&gt; .\items\materia\class0010\Fangshi65.dbr</v>
      </c>
      <c r="S67" t="str">
        <f t="shared" si="24"/>
        <v>echo itemText,dailCompTextFangshi65, &gt;&gt; .\items\materia\class0010\Fangshi65.dbr</v>
      </c>
      <c r="T67" t="str">
        <f t="shared" si="24"/>
        <v>echo augmentSkillLevel1,3, &gt;&gt; .\items\materia\class0010\Fangshi65.dbr</v>
      </c>
      <c r="U67" t="str">
        <f t="shared" si="24"/>
        <v>echo augmentSkillName1,records/skills/playerclass10/icewall.dbr, &gt;&gt; .\items\materia\class0010\Fangshi65.dbr</v>
      </c>
      <c r="V67" s="5" t="s">
        <v>36</v>
      </c>
      <c r="W67" t="str">
        <f t="shared" si="8"/>
        <v>echo lootName65,DAIL/items/materia/class0010/Fangshi65.dbr, &gt;&gt; .\items\loottables\dailoneskill0010.dbr</v>
      </c>
      <c r="X67" t="str">
        <f t="shared" si="8"/>
        <v>echo lootWeight65,1, &gt;&gt; .\items\loottables\dailoneskill0010.dbr</v>
      </c>
      <c r="Y67" s="5" t="s">
        <v>36</v>
      </c>
      <c r="Z67" t="str">
        <f t="shared" si="9"/>
        <v xml:space="preserve"> dailCompDescFangshi65=^pFangshi's Gift of DAIL</v>
      </c>
      <c r="AA67" t="str">
        <f t="shared" si="17"/>
        <v>dailCompTextFangshi65=^oThis feels warm to the touch, almost familiar ^w(This component only fits into the Medal Slot)</v>
      </c>
      <c r="AB67" s="5" t="s">
        <v>36</v>
      </c>
      <c r="AH67">
        <f t="shared" si="19"/>
        <v>62</v>
      </c>
      <c r="AI67">
        <f t="shared" si="22"/>
        <v>26</v>
      </c>
      <c r="AJ67">
        <f t="shared" si="18"/>
        <v>3</v>
      </c>
    </row>
    <row r="68" spans="1:36" x14ac:dyDescent="0.25">
      <c r="A68" s="5" t="s">
        <v>39</v>
      </c>
      <c r="B68" s="5" t="s">
        <v>30</v>
      </c>
      <c r="C68" s="5" t="str">
        <f t="shared" si="25"/>
        <v>description,dailCompDescFangshi66,</v>
      </c>
      <c r="D68" s="5" t="str">
        <f t="shared" ref="D68:D102" si="26">"itemText,dailCompText"&amp;H68&amp;G68&amp;","</f>
        <v>itemText,dailCompTextFangshi66,</v>
      </c>
      <c r="E68" s="5" t="str">
        <f t="shared" si="14"/>
        <v>augmentSkillLevel1,3,</v>
      </c>
      <c r="F68" s="5" t="str">
        <f t="shared" si="15"/>
        <v>augmentSkillName1,records/skills/playerclass10/icewall_tra_base.dbr,</v>
      </c>
      <c r="G68" s="7">
        <f t="shared" si="10"/>
        <v>66</v>
      </c>
      <c r="H68" s="8" t="str">
        <f t="shared" si="11"/>
        <v>Fangshi</v>
      </c>
      <c r="I68" s="3" t="s">
        <v>433</v>
      </c>
      <c r="J68" s="8" t="str">
        <f t="shared" si="23"/>
        <v>class0010</v>
      </c>
      <c r="K68" s="8" t="str">
        <f t="shared" si="23"/>
        <v>dailoneskill0010</v>
      </c>
      <c r="L68" s="5" t="str">
        <f t="shared" ref="L68:L102" si="27">"lootName"&amp;G68&amp;",DAIL/items/materia/"&amp;J68&amp;"/"&amp;H68&amp;G68&amp;".dbr"&amp;","</f>
        <v>lootName66,DAIL/items/materia/class0010/Fangshi66.dbr,</v>
      </c>
      <c r="M68" s="5" t="str">
        <f t="shared" ref="M68:M102" si="28">"lootWeight"&amp;G68&amp;",1,"</f>
        <v>lootWeight66,1,</v>
      </c>
      <c r="N68" t="str">
        <f t="shared" ref="N68:N102" si="29">LEFT(RIGHT(E68,2),1)</f>
        <v>3</v>
      </c>
      <c r="O68" t="str">
        <f t="shared" si="16"/>
        <v>copy .\dail_base3.dbr .\items\materia\class0010\Fangshi66.dbr /y</v>
      </c>
      <c r="P68" t="str">
        <f t="shared" si="24"/>
        <v>echo relicBitmap,items/craftingparts/components/component_a52_bristlyfur_b.tex, &gt;&gt; .\items\materia\class0010\Fangshi66.dbr</v>
      </c>
      <c r="Q68" t="str">
        <f t="shared" si="24"/>
        <v>echo itemCost,500000, &gt;&gt; .\items\materia\class0010\Fangshi66.dbr</v>
      </c>
      <c r="R68" t="str">
        <f t="shared" si="24"/>
        <v>echo description,dailCompDescFangshi66, &gt;&gt; .\items\materia\class0010\Fangshi66.dbr</v>
      </c>
      <c r="S68" t="str">
        <f t="shared" si="24"/>
        <v>echo itemText,dailCompTextFangshi66, &gt;&gt; .\items\materia\class0010\Fangshi66.dbr</v>
      </c>
      <c r="T68" t="str">
        <f t="shared" si="24"/>
        <v>echo augmentSkillLevel1,3, &gt;&gt; .\items\materia\class0010\Fangshi66.dbr</v>
      </c>
      <c r="U68" t="str">
        <f t="shared" si="24"/>
        <v>echo augmentSkillName1,records/skills/playerclass10/icewall_tra_base.dbr, &gt;&gt; .\items\materia\class0010\Fangshi66.dbr</v>
      </c>
      <c r="V68" s="5" t="s">
        <v>36</v>
      </c>
      <c r="W68" t="str">
        <f t="shared" ref="W68:X102" si="30">IF($I68&lt;&gt;"","echo "&amp;L68&amp;" &gt;&gt; .\items\loottables\"&amp;$K68&amp;".dbr","")</f>
        <v>echo lootName66,DAIL/items/materia/class0010/Fangshi66.dbr, &gt;&gt; .\items\loottables\dailoneskill0010.dbr</v>
      </c>
      <c r="X68" t="str">
        <f t="shared" si="30"/>
        <v>echo lootWeight66,1, &gt;&gt; .\items\loottables\dailoneskill0010.dbr</v>
      </c>
      <c r="Y68" s="5" t="s">
        <v>36</v>
      </c>
      <c r="Z68" t="str">
        <f t="shared" ref="Z68:Z102" si="31">IF(I67&lt;&gt;""," dailCompDesc"&amp;H68&amp;G68&amp;"=^p"&amp;H68&amp;"'s Gift of DAIL","")</f>
        <v xml:space="preserve"> dailCompDescFangshi66=^pFangshi's Gift of DAIL</v>
      </c>
      <c r="AA68" t="str">
        <f t="shared" si="17"/>
        <v>dailCompTextFangshi66=^oThis feels warm to the touch, almost familiar ^w(This component only fits into the Medal Slot)</v>
      </c>
      <c r="AB68" s="5" t="s">
        <v>36</v>
      </c>
      <c r="AH68">
        <f t="shared" si="19"/>
        <v>63</v>
      </c>
      <c r="AI68">
        <f t="shared" si="22"/>
        <v>35</v>
      </c>
      <c r="AJ68">
        <f t="shared" si="18"/>
        <v>3</v>
      </c>
    </row>
    <row r="69" spans="1:36" x14ac:dyDescent="0.25">
      <c r="A69" s="5" t="s">
        <v>39</v>
      </c>
      <c r="B69" s="5" t="s">
        <v>30</v>
      </c>
      <c r="C69" s="5" t="str">
        <f t="shared" si="25"/>
        <v>description,dailCompDescFangshi67,</v>
      </c>
      <c r="D69" s="5" t="str">
        <f t="shared" si="26"/>
        <v>itemText,dailCompTextFangshi67,</v>
      </c>
      <c r="E69" s="5" t="str">
        <f t="shared" si="14"/>
        <v>augmentSkillLevel1,5,</v>
      </c>
      <c r="F69" s="5" t="str">
        <f t="shared" si="15"/>
        <v>augmentSkillName1,records/skills/playerclass10/snow_rush.dbr,</v>
      </c>
      <c r="G69" s="7">
        <f t="shared" ref="G69:G102" si="32">IF(I69&lt;&gt;"",G68+1,"")</f>
        <v>67</v>
      </c>
      <c r="H69" s="8" t="str">
        <f t="shared" ref="H69:H102" si="33">H68</f>
        <v>Fangshi</v>
      </c>
      <c r="I69" s="3" t="s">
        <v>184</v>
      </c>
      <c r="J69" s="8" t="str">
        <f t="shared" ref="J69:K84" si="34">J68</f>
        <v>class0010</v>
      </c>
      <c r="K69" s="8" t="str">
        <f t="shared" si="34"/>
        <v>dailoneskill0010</v>
      </c>
      <c r="L69" s="5" t="str">
        <f t="shared" si="27"/>
        <v>lootName67,DAIL/items/materia/class0010/Fangshi67.dbr,</v>
      </c>
      <c r="M69" s="5" t="str">
        <f t="shared" si="28"/>
        <v>lootWeight67,1,</v>
      </c>
      <c r="N69" t="str">
        <f t="shared" si="29"/>
        <v>5</v>
      </c>
      <c r="O69" t="str">
        <f t="shared" si="16"/>
        <v>copy .\dail_base3.dbr .\items\materia\class0010\Fangshi67.dbr /y</v>
      </c>
      <c r="P69" t="str">
        <f t="shared" si="24"/>
        <v>echo relicBitmap,items/craftingparts/components/component_a52_bristlyfur_b.tex, &gt;&gt; .\items\materia\class0010\Fangshi67.dbr</v>
      </c>
      <c r="Q69" t="str">
        <f t="shared" si="24"/>
        <v>echo itemCost,500000, &gt;&gt; .\items\materia\class0010\Fangshi67.dbr</v>
      </c>
      <c r="R69" t="str">
        <f t="shared" si="24"/>
        <v>echo description,dailCompDescFangshi67, &gt;&gt; .\items\materia\class0010\Fangshi67.dbr</v>
      </c>
      <c r="S69" t="str">
        <f t="shared" si="24"/>
        <v>echo itemText,dailCompTextFangshi67, &gt;&gt; .\items\materia\class0010\Fangshi67.dbr</v>
      </c>
      <c r="T69" t="str">
        <f t="shared" si="24"/>
        <v>echo augmentSkillLevel1,5, &gt;&gt; .\items\materia\class0010\Fangshi67.dbr</v>
      </c>
      <c r="U69" t="str">
        <f t="shared" si="24"/>
        <v>echo augmentSkillName1,records/skills/playerclass10/snow_rush.dbr, &gt;&gt; .\items\materia\class0010\Fangshi67.dbr</v>
      </c>
      <c r="V69" s="5" t="s">
        <v>36</v>
      </c>
      <c r="W69" t="str">
        <f t="shared" si="30"/>
        <v>echo lootName67,DAIL/items/materia/class0010/Fangshi67.dbr, &gt;&gt; .\items\loottables\dailoneskill0010.dbr</v>
      </c>
      <c r="X69" t="str">
        <f t="shared" si="30"/>
        <v>echo lootWeight67,1, &gt;&gt; .\items\loottables\dailoneskill0010.dbr</v>
      </c>
      <c r="Y69" s="5" t="s">
        <v>36</v>
      </c>
      <c r="Z69" t="str">
        <f t="shared" si="31"/>
        <v xml:space="preserve"> dailCompDescFangshi67=^pFangshi's Gift of DAIL</v>
      </c>
      <c r="AA69" t="str">
        <f t="shared" si="17"/>
        <v>dailCompTextFangshi67=^oThis feels warm to the touch, almost familiar ^w(This component only fits into the Medal Slot)</v>
      </c>
      <c r="AB69" s="5" t="s">
        <v>36</v>
      </c>
      <c r="AH69">
        <f t="shared" si="19"/>
        <v>64</v>
      </c>
      <c r="AI69">
        <f t="shared" si="22"/>
        <v>28</v>
      </c>
      <c r="AJ69">
        <f t="shared" si="18"/>
        <v>5</v>
      </c>
    </row>
    <row r="70" spans="1:36" x14ac:dyDescent="0.25">
      <c r="A70" s="5" t="s">
        <v>39</v>
      </c>
      <c r="B70" s="5" t="s">
        <v>30</v>
      </c>
      <c r="C70" s="5" t="str">
        <f t="shared" si="25"/>
        <v>description,dailCompDescFangshi68,</v>
      </c>
      <c r="D70" s="5" t="str">
        <f t="shared" si="26"/>
        <v>itemText,dailCompTextFangshi68,</v>
      </c>
      <c r="E70" s="5" t="str">
        <f t="shared" si="14"/>
        <v>augmentSkillLevel1,5,</v>
      </c>
      <c r="F70" s="5" t="str">
        <f t="shared" si="15"/>
        <v>augmentSkillName1,records/skills/playerclass10/snow_rush_tra.dbr,</v>
      </c>
      <c r="G70" s="7">
        <f t="shared" si="32"/>
        <v>68</v>
      </c>
      <c r="H70" s="8" t="str">
        <f t="shared" si="33"/>
        <v>Fangshi</v>
      </c>
      <c r="I70" s="3" t="s">
        <v>417</v>
      </c>
      <c r="J70" s="8" t="str">
        <f t="shared" si="34"/>
        <v>class0010</v>
      </c>
      <c r="K70" s="8" t="str">
        <f t="shared" si="34"/>
        <v>dailoneskill0010</v>
      </c>
      <c r="L70" s="5" t="str">
        <f t="shared" si="27"/>
        <v>lootName68,DAIL/items/materia/class0010/Fangshi68.dbr,</v>
      </c>
      <c r="M70" s="5" t="str">
        <f t="shared" si="28"/>
        <v>lootWeight68,1,</v>
      </c>
      <c r="N70" t="str">
        <f t="shared" si="29"/>
        <v>5</v>
      </c>
      <c r="O70" t="str">
        <f t="shared" si="16"/>
        <v>copy .\dail_base3.dbr .\items\materia\class0010\Fangshi68.dbr /y</v>
      </c>
      <c r="P70" t="str">
        <f t="shared" si="24"/>
        <v>echo relicBitmap,items/craftingparts/components/component_a52_bristlyfur_b.tex, &gt;&gt; .\items\materia\class0010\Fangshi68.dbr</v>
      </c>
      <c r="Q70" t="str">
        <f t="shared" si="24"/>
        <v>echo itemCost,500000, &gt;&gt; .\items\materia\class0010\Fangshi68.dbr</v>
      </c>
      <c r="R70" t="str">
        <f t="shared" si="24"/>
        <v>echo description,dailCompDescFangshi68, &gt;&gt; .\items\materia\class0010\Fangshi68.dbr</v>
      </c>
      <c r="S70" t="str">
        <f t="shared" si="24"/>
        <v>echo itemText,dailCompTextFangshi68, &gt;&gt; .\items\materia\class0010\Fangshi68.dbr</v>
      </c>
      <c r="T70" t="str">
        <f t="shared" si="24"/>
        <v>echo augmentSkillLevel1,5, &gt;&gt; .\items\materia\class0010\Fangshi68.dbr</v>
      </c>
      <c r="U70" t="str">
        <f t="shared" si="24"/>
        <v>echo augmentSkillName1,records/skills/playerclass10/snow_rush_tra.dbr, &gt;&gt; .\items\materia\class0010\Fangshi68.dbr</v>
      </c>
      <c r="V70" s="5" t="s">
        <v>36</v>
      </c>
      <c r="W70" t="str">
        <f t="shared" si="30"/>
        <v>echo lootName68,DAIL/items/materia/class0010/Fangshi68.dbr, &gt;&gt; .\items\loottables\dailoneskill0010.dbr</v>
      </c>
      <c r="X70" t="str">
        <f t="shared" si="30"/>
        <v>echo lootWeight68,1, &gt;&gt; .\items\loottables\dailoneskill0010.dbr</v>
      </c>
      <c r="Y70" s="5" t="s">
        <v>36</v>
      </c>
      <c r="Z70" t="str">
        <f t="shared" si="31"/>
        <v xml:space="preserve"> dailCompDescFangshi68=^pFangshi's Gift of DAIL</v>
      </c>
      <c r="AA70" t="str">
        <f t="shared" si="17"/>
        <v>dailCompTextFangshi68=^oThis feels warm to the touch, almost familiar ^w(This component only fits into the Medal Slot)</v>
      </c>
      <c r="AB70" s="5" t="s">
        <v>36</v>
      </c>
      <c r="AH70">
        <f t="shared" si="19"/>
        <v>65</v>
      </c>
      <c r="AI70">
        <f t="shared" ref="AI70:AI102" si="35">LEN(I70)</f>
        <v>32</v>
      </c>
      <c r="AJ70">
        <f t="shared" si="18"/>
        <v>5</v>
      </c>
    </row>
    <row r="71" spans="1:36" x14ac:dyDescent="0.25">
      <c r="A71" s="5" t="s">
        <v>39</v>
      </c>
      <c r="B71" s="5" t="s">
        <v>30</v>
      </c>
      <c r="C71" s="5" t="str">
        <f t="shared" si="25"/>
        <v>description,dailCompDescFangshi69,</v>
      </c>
      <c r="D71" s="5" t="str">
        <f t="shared" si="26"/>
        <v>itemText,dailCompTextFangshi69,</v>
      </c>
      <c r="E71" s="5" t="str">
        <f t="shared" ref="E71:E102" si="36">"augmentSkillLevel1,"&amp;AJ71&amp;","</f>
        <v>augmentSkillLevel1,5,</v>
      </c>
      <c r="F71" s="5" t="str">
        <f t="shared" ref="F71:F102" si="37">"augmentSkillName1,records/skills"&amp;I71&amp;","</f>
        <v>augmentSkillName1,records/skills/playerclass10/snow_rush_mod1.dbr,</v>
      </c>
      <c r="G71" s="7">
        <f t="shared" si="32"/>
        <v>69</v>
      </c>
      <c r="H71" s="8" t="str">
        <f t="shared" si="33"/>
        <v>Fangshi</v>
      </c>
      <c r="I71" s="3" t="s">
        <v>418</v>
      </c>
      <c r="J71" s="8" t="str">
        <f t="shared" si="34"/>
        <v>class0010</v>
      </c>
      <c r="K71" s="8" t="str">
        <f t="shared" si="34"/>
        <v>dailoneskill0010</v>
      </c>
      <c r="L71" s="5" t="str">
        <f t="shared" si="27"/>
        <v>lootName69,DAIL/items/materia/class0010/Fangshi69.dbr,</v>
      </c>
      <c r="M71" s="5" t="str">
        <f t="shared" si="28"/>
        <v>lootWeight69,1,</v>
      </c>
      <c r="N71" t="str">
        <f t="shared" si="29"/>
        <v>5</v>
      </c>
      <c r="O71" t="str">
        <f t="shared" ref="O71:O102" si="38">IF(I71&lt;&gt;"","copy .\"&amp;VLOOKUP(VALUE(N71),$AD$3:$AF$5,2,FALSE)&amp;" .\items\materia\"&amp;J71&amp;"\"&amp;H71&amp;G71&amp;".dbr /y"&amp;"","")</f>
        <v>copy .\dail_base3.dbr .\items\materia\class0010\Fangshi69.dbr /y</v>
      </c>
      <c r="P71" t="str">
        <f t="shared" si="24"/>
        <v>echo relicBitmap,items/craftingparts/components/component_a52_bristlyfur_b.tex, &gt;&gt; .\items\materia\class0010\Fangshi69.dbr</v>
      </c>
      <c r="Q71" t="str">
        <f t="shared" si="24"/>
        <v>echo itemCost,500000, &gt;&gt; .\items\materia\class0010\Fangshi69.dbr</v>
      </c>
      <c r="R71" t="str">
        <f t="shared" si="24"/>
        <v>echo description,dailCompDescFangshi69, &gt;&gt; .\items\materia\class0010\Fangshi69.dbr</v>
      </c>
      <c r="S71" t="str">
        <f t="shared" si="24"/>
        <v>echo itemText,dailCompTextFangshi69, &gt;&gt; .\items\materia\class0010\Fangshi69.dbr</v>
      </c>
      <c r="T71" t="str">
        <f t="shared" si="24"/>
        <v>echo augmentSkillLevel1,5, &gt;&gt; .\items\materia\class0010\Fangshi69.dbr</v>
      </c>
      <c r="U71" t="str">
        <f t="shared" si="24"/>
        <v>echo augmentSkillName1,records/skills/playerclass10/snow_rush_mod1.dbr, &gt;&gt; .\items\materia\class0010\Fangshi69.dbr</v>
      </c>
      <c r="V71" s="5" t="s">
        <v>36</v>
      </c>
      <c r="W71" t="str">
        <f t="shared" si="30"/>
        <v>echo lootName69,DAIL/items/materia/class0010/Fangshi69.dbr, &gt;&gt; .\items\loottables\dailoneskill0010.dbr</v>
      </c>
      <c r="X71" t="str">
        <f t="shared" si="30"/>
        <v>echo lootWeight69,1, &gt;&gt; .\items\loottables\dailoneskill0010.dbr</v>
      </c>
      <c r="Y71" s="5" t="s">
        <v>36</v>
      </c>
      <c r="Z71" t="str">
        <f t="shared" si="31"/>
        <v xml:space="preserve"> dailCompDescFangshi69=^pFangshi's Gift of DAIL</v>
      </c>
      <c r="AA71" t="str">
        <f t="shared" ref="AA71:AA102" si="39">IF(I70&lt;&gt;"","dailCompText"&amp;H71&amp;G71&amp;"=^oThis feels warm to the touch, almost familiar ^w("&amp;VLOOKUP(VALUE(N71),$AD$3:$AF$5,3,FALSE)&amp;")","")</f>
        <v>dailCompTextFangshi69=^oThis feels warm to the touch, almost familiar ^w(This component only fits into the Medal Slot)</v>
      </c>
      <c r="AB71" s="5" t="s">
        <v>36</v>
      </c>
      <c r="AH71">
        <f t="shared" si="19"/>
        <v>66</v>
      </c>
      <c r="AI71">
        <f t="shared" si="35"/>
        <v>33</v>
      </c>
      <c r="AJ71">
        <f t="shared" ref="AJ71:AJ102" si="40">IF(AH71&lt;$AL$7,1,IF(AH71&lt;$AL$8,3,5))</f>
        <v>5</v>
      </c>
    </row>
    <row r="72" spans="1:36" x14ac:dyDescent="0.25">
      <c r="A72" s="5" t="s">
        <v>39</v>
      </c>
      <c r="B72" s="5" t="s">
        <v>30</v>
      </c>
      <c r="C72" s="5" t="str">
        <f t="shared" si="25"/>
        <v>description,dailCompDescFangshi70,</v>
      </c>
      <c r="D72" s="5" t="str">
        <f t="shared" si="26"/>
        <v>itemText,dailCompTextFangshi70,</v>
      </c>
      <c r="E72" s="5" t="str">
        <f t="shared" si="36"/>
        <v>augmentSkillLevel1,5,</v>
      </c>
      <c r="F72" s="5" t="str">
        <f t="shared" si="37"/>
        <v>augmentSkillName1,records/skills/playerclass10/snow_rush_mod3.dbr,</v>
      </c>
      <c r="G72" s="7">
        <f t="shared" si="32"/>
        <v>70</v>
      </c>
      <c r="H72" s="8" t="str">
        <f t="shared" si="33"/>
        <v>Fangshi</v>
      </c>
      <c r="I72" s="3" t="s">
        <v>419</v>
      </c>
      <c r="J72" s="8" t="str">
        <f t="shared" si="34"/>
        <v>class0010</v>
      </c>
      <c r="K72" s="8" t="str">
        <f t="shared" si="34"/>
        <v>dailoneskill0010</v>
      </c>
      <c r="L72" s="5" t="str">
        <f t="shared" si="27"/>
        <v>lootName70,DAIL/items/materia/class0010/Fangshi70.dbr,</v>
      </c>
      <c r="M72" s="5" t="str">
        <f t="shared" si="28"/>
        <v>lootWeight70,1,</v>
      </c>
      <c r="N72" t="str">
        <f t="shared" si="29"/>
        <v>5</v>
      </c>
      <c r="O72" t="str">
        <f t="shared" si="38"/>
        <v>copy .\dail_base3.dbr .\items\materia\class0010\Fangshi70.dbr /y</v>
      </c>
      <c r="P72" t="str">
        <f t="shared" si="24"/>
        <v>echo relicBitmap,items/craftingparts/components/component_a52_bristlyfur_b.tex, &gt;&gt; .\items\materia\class0010\Fangshi70.dbr</v>
      </c>
      <c r="Q72" t="str">
        <f t="shared" si="24"/>
        <v>echo itemCost,500000, &gt;&gt; .\items\materia\class0010\Fangshi70.dbr</v>
      </c>
      <c r="R72" t="str">
        <f t="shared" si="24"/>
        <v>echo description,dailCompDescFangshi70, &gt;&gt; .\items\materia\class0010\Fangshi70.dbr</v>
      </c>
      <c r="S72" t="str">
        <f t="shared" si="24"/>
        <v>echo itemText,dailCompTextFangshi70, &gt;&gt; .\items\materia\class0010\Fangshi70.dbr</v>
      </c>
      <c r="T72" t="str">
        <f t="shared" si="24"/>
        <v>echo augmentSkillLevel1,5, &gt;&gt; .\items\materia\class0010\Fangshi70.dbr</v>
      </c>
      <c r="U72" t="str">
        <f t="shared" si="24"/>
        <v>echo augmentSkillName1,records/skills/playerclass10/snow_rush_mod3.dbr, &gt;&gt; .\items\materia\class0010\Fangshi70.dbr</v>
      </c>
      <c r="V72" s="5" t="s">
        <v>36</v>
      </c>
      <c r="W72" t="str">
        <f t="shared" si="30"/>
        <v>echo lootName70,DAIL/items/materia/class0010/Fangshi70.dbr, &gt;&gt; .\items\loottables\dailoneskill0010.dbr</v>
      </c>
      <c r="X72" t="str">
        <f t="shared" si="30"/>
        <v>echo lootWeight70,1, &gt;&gt; .\items\loottables\dailoneskill0010.dbr</v>
      </c>
      <c r="Y72" s="5" t="s">
        <v>36</v>
      </c>
      <c r="Z72" t="str">
        <f t="shared" si="31"/>
        <v xml:space="preserve"> dailCompDescFangshi70=^pFangshi's Gift of DAIL</v>
      </c>
      <c r="AA72" t="str">
        <f t="shared" si="39"/>
        <v>dailCompTextFangshi70=^oThis feels warm to the touch, almost familiar ^w(This component only fits into the Medal Slot)</v>
      </c>
      <c r="AB72" s="5" t="s">
        <v>36</v>
      </c>
      <c r="AH72">
        <f t="shared" ref="AH72:AH102" si="41">AH71+1</f>
        <v>67</v>
      </c>
      <c r="AI72">
        <f t="shared" si="35"/>
        <v>33</v>
      </c>
      <c r="AJ72">
        <f t="shared" si="40"/>
        <v>5</v>
      </c>
    </row>
    <row r="73" spans="1:36" x14ac:dyDescent="0.25">
      <c r="A73" s="5" t="s">
        <v>39</v>
      </c>
      <c r="B73" s="5" t="s">
        <v>30</v>
      </c>
      <c r="C73" s="5" t="str">
        <f t="shared" si="25"/>
        <v>description,dailCompDescFangshi71,</v>
      </c>
      <c r="D73" s="5" t="str">
        <f t="shared" si="26"/>
        <v>itemText,dailCompTextFangshi71,</v>
      </c>
      <c r="E73" s="5" t="str">
        <f t="shared" si="36"/>
        <v>augmentSkillLevel1,5,</v>
      </c>
      <c r="F73" s="5" t="str">
        <f t="shared" si="37"/>
        <v>augmentSkillName1,records/skills/playerclass10/breathefire.dbr,</v>
      </c>
      <c r="G73" s="7">
        <f t="shared" si="32"/>
        <v>71</v>
      </c>
      <c r="H73" s="8" t="str">
        <f t="shared" si="33"/>
        <v>Fangshi</v>
      </c>
      <c r="I73" s="3" t="s">
        <v>177</v>
      </c>
      <c r="J73" s="8" t="str">
        <f t="shared" si="34"/>
        <v>class0010</v>
      </c>
      <c r="K73" s="8" t="str">
        <f t="shared" si="34"/>
        <v>dailoneskill0010</v>
      </c>
      <c r="L73" s="5" t="str">
        <f t="shared" si="27"/>
        <v>lootName71,DAIL/items/materia/class0010/Fangshi71.dbr,</v>
      </c>
      <c r="M73" s="5" t="str">
        <f t="shared" si="28"/>
        <v>lootWeight71,1,</v>
      </c>
      <c r="N73" t="str">
        <f t="shared" si="29"/>
        <v>5</v>
      </c>
      <c r="O73" t="str">
        <f t="shared" si="38"/>
        <v>copy .\dail_base3.dbr .\items\materia\class0010\Fangshi71.dbr /y</v>
      </c>
      <c r="P73" t="str">
        <f t="shared" si="24"/>
        <v>echo relicBitmap,items/craftingparts/components/component_a52_bristlyfur_b.tex, &gt;&gt; .\items\materia\class0010\Fangshi71.dbr</v>
      </c>
      <c r="Q73" t="str">
        <f t="shared" si="24"/>
        <v>echo itemCost,500000, &gt;&gt; .\items\materia\class0010\Fangshi71.dbr</v>
      </c>
      <c r="R73" t="str">
        <f t="shared" si="24"/>
        <v>echo description,dailCompDescFangshi71, &gt;&gt; .\items\materia\class0010\Fangshi71.dbr</v>
      </c>
      <c r="S73" t="str">
        <f t="shared" si="24"/>
        <v>echo itemText,dailCompTextFangshi71, &gt;&gt; .\items\materia\class0010\Fangshi71.dbr</v>
      </c>
      <c r="T73" t="str">
        <f t="shared" si="24"/>
        <v>echo augmentSkillLevel1,5, &gt;&gt; .\items\materia\class0010\Fangshi71.dbr</v>
      </c>
      <c r="U73" t="str">
        <f t="shared" si="24"/>
        <v>echo augmentSkillName1,records/skills/playerclass10/breathefire.dbr, &gt;&gt; .\items\materia\class0010\Fangshi71.dbr</v>
      </c>
      <c r="V73" s="5" t="s">
        <v>36</v>
      </c>
      <c r="W73" t="str">
        <f t="shared" si="30"/>
        <v>echo lootName71,DAIL/items/materia/class0010/Fangshi71.dbr, &gt;&gt; .\items\loottables\dailoneskill0010.dbr</v>
      </c>
      <c r="X73" t="str">
        <f t="shared" si="30"/>
        <v>echo lootWeight71,1, &gt;&gt; .\items\loottables\dailoneskill0010.dbr</v>
      </c>
      <c r="Y73" s="5" t="s">
        <v>36</v>
      </c>
      <c r="Z73" t="str">
        <f t="shared" si="31"/>
        <v xml:space="preserve"> dailCompDescFangshi71=^pFangshi's Gift of DAIL</v>
      </c>
      <c r="AA73" t="str">
        <f t="shared" si="39"/>
        <v>dailCompTextFangshi71=^oThis feels warm to the touch, almost familiar ^w(This component only fits into the Medal Slot)</v>
      </c>
      <c r="AB73" s="5" t="s">
        <v>36</v>
      </c>
      <c r="AH73">
        <f t="shared" si="41"/>
        <v>68</v>
      </c>
      <c r="AI73">
        <f t="shared" si="35"/>
        <v>30</v>
      </c>
      <c r="AJ73">
        <f t="shared" si="40"/>
        <v>5</v>
      </c>
    </row>
    <row r="74" spans="1:36" x14ac:dyDescent="0.25">
      <c r="A74" s="5" t="s">
        <v>39</v>
      </c>
      <c r="B74" s="5" t="s">
        <v>30</v>
      </c>
      <c r="C74" s="5" t="str">
        <f t="shared" si="25"/>
        <v>description,dailCompDescFangshi72,</v>
      </c>
      <c r="D74" s="5" t="str">
        <f t="shared" si="26"/>
        <v>itemText,dailCompTextFangshi72,</v>
      </c>
      <c r="E74" s="5" t="str">
        <f t="shared" si="36"/>
        <v>augmentSkillLevel1,5,</v>
      </c>
      <c r="F74" s="5" t="str">
        <f t="shared" si="37"/>
        <v>augmentSkillName1,records/skills/playerclass10/rootglab.dbr,</v>
      </c>
      <c r="G74" s="7">
        <f t="shared" si="32"/>
        <v>72</v>
      </c>
      <c r="H74" s="8" t="str">
        <f t="shared" si="33"/>
        <v>Fangshi</v>
      </c>
      <c r="I74" s="3" t="s">
        <v>182</v>
      </c>
      <c r="J74" s="8" t="str">
        <f t="shared" si="34"/>
        <v>class0010</v>
      </c>
      <c r="K74" s="8" t="str">
        <f t="shared" si="34"/>
        <v>dailoneskill0010</v>
      </c>
      <c r="L74" s="5" t="str">
        <f t="shared" si="27"/>
        <v>lootName72,DAIL/items/materia/class0010/Fangshi72.dbr,</v>
      </c>
      <c r="M74" s="5" t="str">
        <f t="shared" si="28"/>
        <v>lootWeight72,1,</v>
      </c>
      <c r="N74" t="str">
        <f t="shared" si="29"/>
        <v>5</v>
      </c>
      <c r="O74" t="str">
        <f t="shared" si="38"/>
        <v>copy .\dail_base3.dbr .\items\materia\class0010\Fangshi72.dbr /y</v>
      </c>
      <c r="P74" t="str">
        <f t="shared" si="24"/>
        <v>echo relicBitmap,items/craftingparts/components/component_a52_bristlyfur_b.tex, &gt;&gt; .\items\materia\class0010\Fangshi72.dbr</v>
      </c>
      <c r="Q74" t="str">
        <f t="shared" si="24"/>
        <v>echo itemCost,500000, &gt;&gt; .\items\materia\class0010\Fangshi72.dbr</v>
      </c>
      <c r="R74" t="str">
        <f t="shared" si="24"/>
        <v>echo description,dailCompDescFangshi72, &gt;&gt; .\items\materia\class0010\Fangshi72.dbr</v>
      </c>
      <c r="S74" t="str">
        <f t="shared" si="24"/>
        <v>echo itemText,dailCompTextFangshi72, &gt;&gt; .\items\materia\class0010\Fangshi72.dbr</v>
      </c>
      <c r="T74" t="str">
        <f t="shared" si="24"/>
        <v>echo augmentSkillLevel1,5, &gt;&gt; .\items\materia\class0010\Fangshi72.dbr</v>
      </c>
      <c r="U74" t="str">
        <f t="shared" si="24"/>
        <v>echo augmentSkillName1,records/skills/playerclass10/rootglab.dbr, &gt;&gt; .\items\materia\class0010\Fangshi72.dbr</v>
      </c>
      <c r="V74" s="5" t="s">
        <v>36</v>
      </c>
      <c r="W74" t="str">
        <f t="shared" si="30"/>
        <v>echo lootName72,DAIL/items/materia/class0010/Fangshi72.dbr, &gt;&gt; .\items\loottables\dailoneskill0010.dbr</v>
      </c>
      <c r="X74" t="str">
        <f t="shared" si="30"/>
        <v>echo lootWeight72,1, &gt;&gt; .\items\loottables\dailoneskill0010.dbr</v>
      </c>
      <c r="Y74" s="5" t="s">
        <v>36</v>
      </c>
      <c r="Z74" t="str">
        <f t="shared" si="31"/>
        <v xml:space="preserve"> dailCompDescFangshi72=^pFangshi's Gift of DAIL</v>
      </c>
      <c r="AA74" t="str">
        <f t="shared" si="39"/>
        <v>dailCompTextFangshi72=^oThis feels warm to the touch, almost familiar ^w(This component only fits into the Medal Slot)</v>
      </c>
      <c r="AB74" s="5" t="s">
        <v>36</v>
      </c>
      <c r="AH74">
        <f t="shared" si="41"/>
        <v>69</v>
      </c>
      <c r="AI74">
        <f t="shared" si="35"/>
        <v>27</v>
      </c>
      <c r="AJ74">
        <f t="shared" si="40"/>
        <v>5</v>
      </c>
    </row>
    <row r="75" spans="1:36" x14ac:dyDescent="0.25">
      <c r="A75" s="5" t="s">
        <v>39</v>
      </c>
      <c r="B75" s="5" t="s">
        <v>30</v>
      </c>
      <c r="C75" s="5" t="str">
        <f t="shared" si="25"/>
        <v>description,dailCompDescFangshi73,</v>
      </c>
      <c r="D75" s="5" t="str">
        <f t="shared" si="26"/>
        <v>itemText,dailCompTextFangshi73,</v>
      </c>
      <c r="E75" s="5" t="str">
        <f t="shared" si="36"/>
        <v>augmentSkillLevel1,5,</v>
      </c>
      <c r="F75" s="5" t="str">
        <f t="shared" si="37"/>
        <v>augmentSkillName1,records/skills/playerclass10/rootglab_mod1.dbr,</v>
      </c>
      <c r="G75" s="7">
        <f t="shared" si="32"/>
        <v>73</v>
      </c>
      <c r="H75" s="8" t="str">
        <f t="shared" si="33"/>
        <v>Fangshi</v>
      </c>
      <c r="I75" s="3" t="s">
        <v>420</v>
      </c>
      <c r="J75" s="8" t="str">
        <f t="shared" si="34"/>
        <v>class0010</v>
      </c>
      <c r="K75" s="8" t="str">
        <f t="shared" si="34"/>
        <v>dailoneskill0010</v>
      </c>
      <c r="L75" s="5" t="str">
        <f t="shared" si="27"/>
        <v>lootName73,DAIL/items/materia/class0010/Fangshi73.dbr,</v>
      </c>
      <c r="M75" s="5" t="str">
        <f t="shared" si="28"/>
        <v>lootWeight73,1,</v>
      </c>
      <c r="N75" t="str">
        <f t="shared" si="29"/>
        <v>5</v>
      </c>
      <c r="O75" t="str">
        <f t="shared" si="38"/>
        <v>copy .\dail_base3.dbr .\items\materia\class0010\Fangshi73.dbr /y</v>
      </c>
      <c r="P75" t="str">
        <f t="shared" si="24"/>
        <v>echo relicBitmap,items/craftingparts/components/component_a52_bristlyfur_b.tex, &gt;&gt; .\items\materia\class0010\Fangshi73.dbr</v>
      </c>
      <c r="Q75" t="str">
        <f t="shared" si="24"/>
        <v>echo itemCost,500000, &gt;&gt; .\items\materia\class0010\Fangshi73.dbr</v>
      </c>
      <c r="R75" t="str">
        <f t="shared" si="24"/>
        <v>echo description,dailCompDescFangshi73, &gt;&gt; .\items\materia\class0010\Fangshi73.dbr</v>
      </c>
      <c r="S75" t="str">
        <f t="shared" si="24"/>
        <v>echo itemText,dailCompTextFangshi73, &gt;&gt; .\items\materia\class0010\Fangshi73.dbr</v>
      </c>
      <c r="T75" t="str">
        <f t="shared" si="24"/>
        <v>echo augmentSkillLevel1,5, &gt;&gt; .\items\materia\class0010\Fangshi73.dbr</v>
      </c>
      <c r="U75" t="str">
        <f t="shared" si="24"/>
        <v>echo augmentSkillName1,records/skills/playerclass10/rootglab_mod1.dbr, &gt;&gt; .\items\materia\class0010\Fangshi73.dbr</v>
      </c>
      <c r="V75" s="5" t="s">
        <v>36</v>
      </c>
      <c r="W75" t="str">
        <f t="shared" si="30"/>
        <v>echo lootName73,DAIL/items/materia/class0010/Fangshi73.dbr, &gt;&gt; .\items\loottables\dailoneskill0010.dbr</v>
      </c>
      <c r="X75" t="str">
        <f t="shared" si="30"/>
        <v>echo lootWeight73,1, &gt;&gt; .\items\loottables\dailoneskill0010.dbr</v>
      </c>
      <c r="Y75" s="5" t="s">
        <v>36</v>
      </c>
      <c r="Z75" t="str">
        <f t="shared" si="31"/>
        <v xml:space="preserve"> dailCompDescFangshi73=^pFangshi's Gift of DAIL</v>
      </c>
      <c r="AA75" t="str">
        <f t="shared" si="39"/>
        <v>dailCompTextFangshi73=^oThis feels warm to the touch, almost familiar ^w(This component only fits into the Medal Slot)</v>
      </c>
      <c r="AB75" s="5" t="s">
        <v>36</v>
      </c>
      <c r="AH75">
        <f t="shared" si="41"/>
        <v>70</v>
      </c>
      <c r="AI75">
        <f t="shared" si="35"/>
        <v>32</v>
      </c>
      <c r="AJ75">
        <f t="shared" si="40"/>
        <v>5</v>
      </c>
    </row>
    <row r="76" spans="1:36" x14ac:dyDescent="0.25">
      <c r="A76" s="5" t="s">
        <v>39</v>
      </c>
      <c r="B76" s="5" t="s">
        <v>30</v>
      </c>
      <c r="C76" s="5" t="str">
        <f t="shared" si="25"/>
        <v>description,dailCompDescFangshi74,</v>
      </c>
      <c r="D76" s="5" t="str">
        <f t="shared" si="26"/>
        <v>itemText,dailCompTextFangshi74,</v>
      </c>
      <c r="E76" s="5" t="str">
        <f t="shared" si="36"/>
        <v>augmentSkillLevel1,5,</v>
      </c>
      <c r="F76" s="5" t="str">
        <f t="shared" si="37"/>
        <v>augmentSkillName1,records/skills/playerclass10/rootglab_t.dbr,</v>
      </c>
      <c r="G76" s="7">
        <f t="shared" si="32"/>
        <v>74</v>
      </c>
      <c r="H76" s="8" t="str">
        <f t="shared" si="33"/>
        <v>Fangshi</v>
      </c>
      <c r="I76" s="3" t="s">
        <v>421</v>
      </c>
      <c r="J76" s="8" t="str">
        <f t="shared" si="34"/>
        <v>class0010</v>
      </c>
      <c r="K76" s="8" t="str">
        <f t="shared" si="34"/>
        <v>dailoneskill0010</v>
      </c>
      <c r="L76" s="5" t="str">
        <f t="shared" si="27"/>
        <v>lootName74,DAIL/items/materia/class0010/Fangshi74.dbr,</v>
      </c>
      <c r="M76" s="5" t="str">
        <f t="shared" si="28"/>
        <v>lootWeight74,1,</v>
      </c>
      <c r="N76" t="str">
        <f t="shared" si="29"/>
        <v>5</v>
      </c>
      <c r="O76" t="str">
        <f t="shared" si="38"/>
        <v>copy .\dail_base3.dbr .\items\materia\class0010\Fangshi74.dbr /y</v>
      </c>
      <c r="P76" t="str">
        <f t="shared" si="24"/>
        <v>echo relicBitmap,items/craftingparts/components/component_a52_bristlyfur_b.tex, &gt;&gt; .\items\materia\class0010\Fangshi74.dbr</v>
      </c>
      <c r="Q76" t="str">
        <f t="shared" si="24"/>
        <v>echo itemCost,500000, &gt;&gt; .\items\materia\class0010\Fangshi74.dbr</v>
      </c>
      <c r="R76" t="str">
        <f t="shared" si="24"/>
        <v>echo description,dailCompDescFangshi74, &gt;&gt; .\items\materia\class0010\Fangshi74.dbr</v>
      </c>
      <c r="S76" t="str">
        <f t="shared" si="24"/>
        <v>echo itemText,dailCompTextFangshi74, &gt;&gt; .\items\materia\class0010\Fangshi74.dbr</v>
      </c>
      <c r="T76" t="str">
        <f t="shared" si="24"/>
        <v>echo augmentSkillLevel1,5, &gt;&gt; .\items\materia\class0010\Fangshi74.dbr</v>
      </c>
      <c r="U76" t="str">
        <f t="shared" si="24"/>
        <v>echo augmentSkillName1,records/skills/playerclass10/rootglab_t.dbr, &gt;&gt; .\items\materia\class0010\Fangshi74.dbr</v>
      </c>
      <c r="V76" s="5" t="s">
        <v>36</v>
      </c>
      <c r="W76" t="str">
        <f t="shared" si="30"/>
        <v>echo lootName74,DAIL/items/materia/class0010/Fangshi74.dbr, &gt;&gt; .\items\loottables\dailoneskill0010.dbr</v>
      </c>
      <c r="X76" t="str">
        <f t="shared" si="30"/>
        <v>echo lootWeight74,1, &gt;&gt; .\items\loottables\dailoneskill0010.dbr</v>
      </c>
      <c r="Y76" s="5" t="s">
        <v>36</v>
      </c>
      <c r="Z76" t="str">
        <f t="shared" si="31"/>
        <v xml:space="preserve"> dailCompDescFangshi74=^pFangshi's Gift of DAIL</v>
      </c>
      <c r="AA76" t="str">
        <f t="shared" si="39"/>
        <v>dailCompTextFangshi74=^oThis feels warm to the touch, almost familiar ^w(This component only fits into the Medal Slot)</v>
      </c>
      <c r="AB76" s="5" t="s">
        <v>36</v>
      </c>
      <c r="AH76">
        <f t="shared" si="41"/>
        <v>71</v>
      </c>
      <c r="AI76">
        <f t="shared" si="35"/>
        <v>29</v>
      </c>
      <c r="AJ76">
        <f t="shared" si="40"/>
        <v>5</v>
      </c>
    </row>
    <row r="77" spans="1:36" x14ac:dyDescent="0.25">
      <c r="A77" s="5" t="s">
        <v>39</v>
      </c>
      <c r="B77" s="5" t="s">
        <v>30</v>
      </c>
      <c r="C77" s="5" t="str">
        <f t="shared" si="25"/>
        <v>description,dailCompDescFangshi75,</v>
      </c>
      <c r="D77" s="5" t="str">
        <f t="shared" si="26"/>
        <v>itemText,dailCompTextFangshi75,</v>
      </c>
      <c r="E77" s="5" t="str">
        <f t="shared" si="36"/>
        <v>augmentSkillLevel1,5,</v>
      </c>
      <c r="F77" s="5" t="str">
        <f t="shared" si="37"/>
        <v>augmentSkillName1,records/skills/playerclass10/rootglab_mod2.dbr,</v>
      </c>
      <c r="G77" s="7">
        <f t="shared" si="32"/>
        <v>75</v>
      </c>
      <c r="H77" s="8" t="str">
        <f t="shared" si="33"/>
        <v>Fangshi</v>
      </c>
      <c r="I77" s="3" t="s">
        <v>422</v>
      </c>
      <c r="J77" s="8" t="str">
        <f t="shared" si="34"/>
        <v>class0010</v>
      </c>
      <c r="K77" s="8" t="str">
        <f t="shared" si="34"/>
        <v>dailoneskill0010</v>
      </c>
      <c r="L77" s="5" t="str">
        <f t="shared" si="27"/>
        <v>lootName75,DAIL/items/materia/class0010/Fangshi75.dbr,</v>
      </c>
      <c r="M77" s="5" t="str">
        <f t="shared" si="28"/>
        <v>lootWeight75,1,</v>
      </c>
      <c r="N77" t="str">
        <f t="shared" si="29"/>
        <v>5</v>
      </c>
      <c r="O77" t="str">
        <f t="shared" si="38"/>
        <v>copy .\dail_base3.dbr .\items\materia\class0010\Fangshi75.dbr /y</v>
      </c>
      <c r="P77" t="str">
        <f t="shared" si="24"/>
        <v>echo relicBitmap,items/craftingparts/components/component_a52_bristlyfur_b.tex, &gt;&gt; .\items\materia\class0010\Fangshi75.dbr</v>
      </c>
      <c r="Q77" t="str">
        <f t="shared" si="24"/>
        <v>echo itemCost,500000, &gt;&gt; .\items\materia\class0010\Fangshi75.dbr</v>
      </c>
      <c r="R77" t="str">
        <f t="shared" si="24"/>
        <v>echo description,dailCompDescFangshi75, &gt;&gt; .\items\materia\class0010\Fangshi75.dbr</v>
      </c>
      <c r="S77" t="str">
        <f t="shared" si="24"/>
        <v>echo itemText,dailCompTextFangshi75, &gt;&gt; .\items\materia\class0010\Fangshi75.dbr</v>
      </c>
      <c r="T77" t="str">
        <f t="shared" si="24"/>
        <v>echo augmentSkillLevel1,5, &gt;&gt; .\items\materia\class0010\Fangshi75.dbr</v>
      </c>
      <c r="U77" t="str">
        <f t="shared" si="24"/>
        <v>echo augmentSkillName1,records/skills/playerclass10/rootglab_mod2.dbr, &gt;&gt; .\items\materia\class0010\Fangshi75.dbr</v>
      </c>
      <c r="V77" s="5" t="s">
        <v>36</v>
      </c>
      <c r="W77" t="str">
        <f t="shared" si="30"/>
        <v>echo lootName75,DAIL/items/materia/class0010/Fangshi75.dbr, &gt;&gt; .\items\loottables\dailoneskill0010.dbr</v>
      </c>
      <c r="X77" t="str">
        <f t="shared" si="30"/>
        <v>echo lootWeight75,1, &gt;&gt; .\items\loottables\dailoneskill0010.dbr</v>
      </c>
      <c r="Y77" s="5" t="s">
        <v>36</v>
      </c>
      <c r="Z77" t="str">
        <f t="shared" si="31"/>
        <v xml:space="preserve"> dailCompDescFangshi75=^pFangshi's Gift of DAIL</v>
      </c>
      <c r="AA77" t="str">
        <f t="shared" si="39"/>
        <v>dailCompTextFangshi75=^oThis feels warm to the touch, almost familiar ^w(This component only fits into the Medal Slot)</v>
      </c>
      <c r="AB77" s="5" t="s">
        <v>36</v>
      </c>
      <c r="AH77">
        <f t="shared" si="41"/>
        <v>72</v>
      </c>
      <c r="AI77">
        <f t="shared" si="35"/>
        <v>32</v>
      </c>
      <c r="AJ77">
        <f t="shared" si="40"/>
        <v>5</v>
      </c>
    </row>
    <row r="78" spans="1:36" x14ac:dyDescent="0.25">
      <c r="A78" s="5" t="s">
        <v>39</v>
      </c>
      <c r="B78" s="5" t="s">
        <v>30</v>
      </c>
      <c r="C78" s="5" t="str">
        <f t="shared" si="25"/>
        <v>description,dailCompDescFangshi76,</v>
      </c>
      <c r="D78" s="5" t="str">
        <f t="shared" si="26"/>
        <v>itemText,dailCompTextFangshi76,</v>
      </c>
      <c r="E78" s="5" t="str">
        <f t="shared" si="36"/>
        <v>augmentSkillLevel1,5,</v>
      </c>
      <c r="F78" s="5" t="str">
        <f t="shared" si="37"/>
        <v>augmentSkillName1,records/skills/playerclass10/sakura.dbr,</v>
      </c>
      <c r="G78" s="7">
        <f t="shared" si="32"/>
        <v>76</v>
      </c>
      <c r="H78" s="8" t="str">
        <f t="shared" si="33"/>
        <v>Fangshi</v>
      </c>
      <c r="I78" s="3" t="s">
        <v>183</v>
      </c>
      <c r="J78" s="8" t="str">
        <f t="shared" si="34"/>
        <v>class0010</v>
      </c>
      <c r="K78" s="8" t="str">
        <f t="shared" si="34"/>
        <v>dailoneskill0010</v>
      </c>
      <c r="L78" s="5" t="str">
        <f t="shared" si="27"/>
        <v>lootName76,DAIL/items/materia/class0010/Fangshi76.dbr,</v>
      </c>
      <c r="M78" s="5" t="str">
        <f t="shared" si="28"/>
        <v>lootWeight76,1,</v>
      </c>
      <c r="N78" t="str">
        <f t="shared" si="29"/>
        <v>5</v>
      </c>
      <c r="O78" t="str">
        <f t="shared" si="38"/>
        <v>copy .\dail_base3.dbr .\items\materia\class0010\Fangshi76.dbr /y</v>
      </c>
      <c r="P78" t="str">
        <f t="shared" si="24"/>
        <v>echo relicBitmap,items/craftingparts/components/component_a52_bristlyfur_b.tex, &gt;&gt; .\items\materia\class0010\Fangshi76.dbr</v>
      </c>
      <c r="Q78" t="str">
        <f t="shared" si="24"/>
        <v>echo itemCost,500000, &gt;&gt; .\items\materia\class0010\Fangshi76.dbr</v>
      </c>
      <c r="R78" t="str">
        <f t="shared" si="24"/>
        <v>echo description,dailCompDescFangshi76, &gt;&gt; .\items\materia\class0010\Fangshi76.dbr</v>
      </c>
      <c r="S78" t="str">
        <f t="shared" si="24"/>
        <v>echo itemText,dailCompTextFangshi76, &gt;&gt; .\items\materia\class0010\Fangshi76.dbr</v>
      </c>
      <c r="T78" t="str">
        <f t="shared" si="24"/>
        <v>echo augmentSkillLevel1,5, &gt;&gt; .\items\materia\class0010\Fangshi76.dbr</v>
      </c>
      <c r="U78" t="str">
        <f t="shared" si="24"/>
        <v>echo augmentSkillName1,records/skills/playerclass10/sakura.dbr, &gt;&gt; .\items\materia\class0010\Fangshi76.dbr</v>
      </c>
      <c r="V78" s="5" t="s">
        <v>36</v>
      </c>
      <c r="W78" t="str">
        <f t="shared" si="30"/>
        <v>echo lootName76,DAIL/items/materia/class0010/Fangshi76.dbr, &gt;&gt; .\items\loottables\dailoneskill0010.dbr</v>
      </c>
      <c r="X78" t="str">
        <f t="shared" si="30"/>
        <v>echo lootWeight76,1, &gt;&gt; .\items\loottables\dailoneskill0010.dbr</v>
      </c>
      <c r="Y78" s="5" t="s">
        <v>36</v>
      </c>
      <c r="Z78" t="str">
        <f t="shared" si="31"/>
        <v xml:space="preserve"> dailCompDescFangshi76=^pFangshi's Gift of DAIL</v>
      </c>
      <c r="AA78" t="str">
        <f t="shared" si="39"/>
        <v>dailCompTextFangshi76=^oThis feels warm to the touch, almost familiar ^w(This component only fits into the Medal Slot)</v>
      </c>
      <c r="AB78" s="5" t="s">
        <v>36</v>
      </c>
      <c r="AH78">
        <f t="shared" si="41"/>
        <v>73</v>
      </c>
      <c r="AI78">
        <f t="shared" si="35"/>
        <v>25</v>
      </c>
      <c r="AJ78">
        <f t="shared" si="40"/>
        <v>5</v>
      </c>
    </row>
    <row r="79" spans="1:36" x14ac:dyDescent="0.25">
      <c r="A79" s="5" t="s">
        <v>39</v>
      </c>
      <c r="B79" s="5" t="s">
        <v>30</v>
      </c>
      <c r="C79" s="5" t="str">
        <f t="shared" si="25"/>
        <v>description,dailCompDescFangshi77,</v>
      </c>
      <c r="D79" s="5" t="str">
        <f t="shared" si="26"/>
        <v>itemText,dailCompTextFangshi77,</v>
      </c>
      <c r="E79" s="5" t="str">
        <f t="shared" si="36"/>
        <v>augmentSkillLevel1,5,</v>
      </c>
      <c r="F79" s="5" t="str">
        <f t="shared" si="37"/>
        <v>augmentSkillName1,records/skills/playerclass10/sakura_mod1.dbr,</v>
      </c>
      <c r="G79" s="7">
        <f t="shared" si="32"/>
        <v>77</v>
      </c>
      <c r="H79" s="8" t="str">
        <f t="shared" si="33"/>
        <v>Fangshi</v>
      </c>
      <c r="I79" s="3" t="s">
        <v>423</v>
      </c>
      <c r="J79" s="8" t="str">
        <f t="shared" si="34"/>
        <v>class0010</v>
      </c>
      <c r="K79" s="8" t="str">
        <f t="shared" si="34"/>
        <v>dailoneskill0010</v>
      </c>
      <c r="L79" s="5" t="str">
        <f t="shared" si="27"/>
        <v>lootName77,DAIL/items/materia/class0010/Fangshi77.dbr,</v>
      </c>
      <c r="M79" s="5" t="str">
        <f t="shared" si="28"/>
        <v>lootWeight77,1,</v>
      </c>
      <c r="N79" t="str">
        <f t="shared" si="29"/>
        <v>5</v>
      </c>
      <c r="O79" t="str">
        <f t="shared" si="38"/>
        <v>copy .\dail_base3.dbr .\items\materia\class0010\Fangshi77.dbr /y</v>
      </c>
      <c r="P79" t="str">
        <f t="shared" si="24"/>
        <v>echo relicBitmap,items/craftingparts/components/component_a52_bristlyfur_b.tex, &gt;&gt; .\items\materia\class0010\Fangshi77.dbr</v>
      </c>
      <c r="Q79" t="str">
        <f t="shared" si="24"/>
        <v>echo itemCost,500000, &gt;&gt; .\items\materia\class0010\Fangshi77.dbr</v>
      </c>
      <c r="R79" t="str">
        <f t="shared" si="24"/>
        <v>echo description,dailCompDescFangshi77, &gt;&gt; .\items\materia\class0010\Fangshi77.dbr</v>
      </c>
      <c r="S79" t="str">
        <f t="shared" si="24"/>
        <v>echo itemText,dailCompTextFangshi77, &gt;&gt; .\items\materia\class0010\Fangshi77.dbr</v>
      </c>
      <c r="T79" t="str">
        <f t="shared" si="24"/>
        <v>echo augmentSkillLevel1,5, &gt;&gt; .\items\materia\class0010\Fangshi77.dbr</v>
      </c>
      <c r="U79" t="str">
        <f t="shared" si="24"/>
        <v>echo augmentSkillName1,records/skills/playerclass10/sakura_mod1.dbr, &gt;&gt; .\items\materia\class0010\Fangshi77.dbr</v>
      </c>
      <c r="V79" s="5" t="s">
        <v>36</v>
      </c>
      <c r="W79" t="str">
        <f t="shared" si="30"/>
        <v>echo lootName77,DAIL/items/materia/class0010/Fangshi77.dbr, &gt;&gt; .\items\loottables\dailoneskill0010.dbr</v>
      </c>
      <c r="X79" t="str">
        <f t="shared" si="30"/>
        <v>echo lootWeight77,1, &gt;&gt; .\items\loottables\dailoneskill0010.dbr</v>
      </c>
      <c r="Y79" s="5" t="s">
        <v>36</v>
      </c>
      <c r="Z79" t="str">
        <f t="shared" si="31"/>
        <v xml:space="preserve"> dailCompDescFangshi77=^pFangshi's Gift of DAIL</v>
      </c>
      <c r="AA79" t="str">
        <f t="shared" si="39"/>
        <v>dailCompTextFangshi77=^oThis feels warm to the touch, almost familiar ^w(This component only fits into the Medal Slot)</v>
      </c>
      <c r="AB79" s="5" t="s">
        <v>36</v>
      </c>
      <c r="AH79">
        <f t="shared" si="41"/>
        <v>74</v>
      </c>
      <c r="AI79">
        <f t="shared" si="35"/>
        <v>30</v>
      </c>
      <c r="AJ79">
        <f t="shared" si="40"/>
        <v>5</v>
      </c>
    </row>
    <row r="80" spans="1:36" x14ac:dyDescent="0.25">
      <c r="A80" s="5" t="s">
        <v>39</v>
      </c>
      <c r="B80" s="5" t="s">
        <v>30</v>
      </c>
      <c r="C80" s="5" t="str">
        <f t="shared" si="25"/>
        <v>description,dailCompDescFangshi78,</v>
      </c>
      <c r="D80" s="5" t="str">
        <f t="shared" si="26"/>
        <v>itemText,dailCompTextFangshi78,</v>
      </c>
      <c r="E80" s="5" t="str">
        <f t="shared" si="36"/>
        <v>augmentSkillLevel1,5,</v>
      </c>
      <c r="F80" s="5" t="str">
        <f t="shared" si="37"/>
        <v>augmentSkillName1,records/skills/playerclass10/sword_fall.dbr,</v>
      </c>
      <c r="G80" s="7">
        <f t="shared" si="32"/>
        <v>78</v>
      </c>
      <c r="H80" s="8" t="str">
        <f t="shared" si="33"/>
        <v>Fangshi</v>
      </c>
      <c r="I80" s="3" t="s">
        <v>186</v>
      </c>
      <c r="J80" s="8" t="str">
        <f t="shared" si="34"/>
        <v>class0010</v>
      </c>
      <c r="K80" s="8" t="str">
        <f t="shared" si="34"/>
        <v>dailoneskill0010</v>
      </c>
      <c r="L80" s="5" t="str">
        <f t="shared" si="27"/>
        <v>lootName78,DAIL/items/materia/class0010/Fangshi78.dbr,</v>
      </c>
      <c r="M80" s="5" t="str">
        <f t="shared" si="28"/>
        <v>lootWeight78,1,</v>
      </c>
      <c r="N80" t="str">
        <f t="shared" si="29"/>
        <v>5</v>
      </c>
      <c r="O80" t="str">
        <f t="shared" si="38"/>
        <v>copy .\dail_base3.dbr .\items\materia\class0010\Fangshi78.dbr /y</v>
      </c>
      <c r="P80" t="str">
        <f t="shared" si="24"/>
        <v>echo relicBitmap,items/craftingparts/components/component_a52_bristlyfur_b.tex, &gt;&gt; .\items\materia\class0010\Fangshi78.dbr</v>
      </c>
      <c r="Q80" t="str">
        <f t="shared" si="24"/>
        <v>echo itemCost,500000, &gt;&gt; .\items\materia\class0010\Fangshi78.dbr</v>
      </c>
      <c r="R80" t="str">
        <f t="shared" si="24"/>
        <v>echo description,dailCompDescFangshi78, &gt;&gt; .\items\materia\class0010\Fangshi78.dbr</v>
      </c>
      <c r="S80" t="str">
        <f t="shared" si="24"/>
        <v>echo itemText,dailCompTextFangshi78, &gt;&gt; .\items\materia\class0010\Fangshi78.dbr</v>
      </c>
      <c r="T80" t="str">
        <f t="shared" si="24"/>
        <v>echo augmentSkillLevel1,5, &gt;&gt; .\items\materia\class0010\Fangshi78.dbr</v>
      </c>
      <c r="U80" t="str">
        <f t="shared" si="24"/>
        <v>echo augmentSkillName1,records/skills/playerclass10/sword_fall.dbr, &gt;&gt; .\items\materia\class0010\Fangshi78.dbr</v>
      </c>
      <c r="V80" s="5" t="s">
        <v>36</v>
      </c>
      <c r="W80" t="str">
        <f t="shared" si="30"/>
        <v>echo lootName78,DAIL/items/materia/class0010/Fangshi78.dbr, &gt;&gt; .\items\loottables\dailoneskill0010.dbr</v>
      </c>
      <c r="X80" t="str">
        <f t="shared" si="30"/>
        <v>echo lootWeight78,1, &gt;&gt; .\items\loottables\dailoneskill0010.dbr</v>
      </c>
      <c r="Y80" s="5" t="s">
        <v>36</v>
      </c>
      <c r="Z80" t="str">
        <f t="shared" si="31"/>
        <v xml:space="preserve"> dailCompDescFangshi78=^pFangshi's Gift of DAIL</v>
      </c>
      <c r="AA80" t="str">
        <f t="shared" si="39"/>
        <v>dailCompTextFangshi78=^oThis feels warm to the touch, almost familiar ^w(This component only fits into the Medal Slot)</v>
      </c>
      <c r="AB80" s="5" t="s">
        <v>36</v>
      </c>
      <c r="AH80">
        <f t="shared" si="41"/>
        <v>75</v>
      </c>
      <c r="AI80">
        <f t="shared" si="35"/>
        <v>29</v>
      </c>
      <c r="AJ80">
        <f t="shared" si="40"/>
        <v>5</v>
      </c>
    </row>
    <row r="81" spans="1:36" x14ac:dyDescent="0.25">
      <c r="A81" s="5" t="s">
        <v>39</v>
      </c>
      <c r="B81" s="5" t="s">
        <v>30</v>
      </c>
      <c r="C81" s="5" t="str">
        <f t="shared" si="25"/>
        <v>description,dailCompDescFangshi79,</v>
      </c>
      <c r="D81" s="5" t="str">
        <f t="shared" si="26"/>
        <v>itemText,dailCompTextFangshi79,</v>
      </c>
      <c r="E81" s="5" t="str">
        <f t="shared" si="36"/>
        <v>augmentSkillLevel1,5,</v>
      </c>
      <c r="F81" s="5" t="str">
        <f t="shared" si="37"/>
        <v>augmentSkillName1,records/skills/playerclass10/burning.dbr,</v>
      </c>
      <c r="G81" s="7">
        <f t="shared" si="32"/>
        <v>79</v>
      </c>
      <c r="H81" s="8" t="str">
        <f t="shared" si="33"/>
        <v>Fangshi</v>
      </c>
      <c r="I81" s="3" t="s">
        <v>178</v>
      </c>
      <c r="J81" s="8" t="str">
        <f t="shared" si="34"/>
        <v>class0010</v>
      </c>
      <c r="K81" s="8" t="str">
        <f t="shared" si="34"/>
        <v>dailoneskill0010</v>
      </c>
      <c r="L81" s="5" t="str">
        <f t="shared" si="27"/>
        <v>lootName79,DAIL/items/materia/class0010/Fangshi79.dbr,</v>
      </c>
      <c r="M81" s="5" t="str">
        <f t="shared" si="28"/>
        <v>lootWeight79,1,</v>
      </c>
      <c r="N81" t="str">
        <f t="shared" si="29"/>
        <v>5</v>
      </c>
      <c r="O81" t="str">
        <f t="shared" si="38"/>
        <v>copy .\dail_base3.dbr .\items\materia\class0010\Fangshi79.dbr /y</v>
      </c>
      <c r="P81" t="str">
        <f t="shared" si="24"/>
        <v>echo relicBitmap,items/craftingparts/components/component_a52_bristlyfur_b.tex, &gt;&gt; .\items\materia\class0010\Fangshi79.dbr</v>
      </c>
      <c r="Q81" t="str">
        <f t="shared" si="24"/>
        <v>echo itemCost,500000, &gt;&gt; .\items\materia\class0010\Fangshi79.dbr</v>
      </c>
      <c r="R81" t="str">
        <f t="shared" si="24"/>
        <v>echo description,dailCompDescFangshi79, &gt;&gt; .\items\materia\class0010\Fangshi79.dbr</v>
      </c>
      <c r="S81" t="str">
        <f t="shared" si="24"/>
        <v>echo itemText,dailCompTextFangshi79, &gt;&gt; .\items\materia\class0010\Fangshi79.dbr</v>
      </c>
      <c r="T81" t="str">
        <f t="shared" si="24"/>
        <v>echo augmentSkillLevel1,5, &gt;&gt; .\items\materia\class0010\Fangshi79.dbr</v>
      </c>
      <c r="U81" t="str">
        <f t="shared" si="24"/>
        <v>echo augmentSkillName1,records/skills/playerclass10/burning.dbr, &gt;&gt; .\items\materia\class0010\Fangshi79.dbr</v>
      </c>
      <c r="V81" s="5" t="s">
        <v>36</v>
      </c>
      <c r="W81" t="str">
        <f t="shared" si="30"/>
        <v>echo lootName79,DAIL/items/materia/class0010/Fangshi79.dbr, &gt;&gt; .\items\loottables\dailoneskill0010.dbr</v>
      </c>
      <c r="X81" t="str">
        <f t="shared" si="30"/>
        <v>echo lootWeight79,1, &gt;&gt; .\items\loottables\dailoneskill0010.dbr</v>
      </c>
      <c r="Y81" s="5" t="s">
        <v>36</v>
      </c>
      <c r="Z81" t="str">
        <f t="shared" si="31"/>
        <v xml:space="preserve"> dailCompDescFangshi79=^pFangshi's Gift of DAIL</v>
      </c>
      <c r="AA81" t="str">
        <f t="shared" si="39"/>
        <v>dailCompTextFangshi79=^oThis feels warm to the touch, almost familiar ^w(This component only fits into the Medal Slot)</v>
      </c>
      <c r="AB81" s="5" t="s">
        <v>36</v>
      </c>
      <c r="AH81">
        <f t="shared" si="41"/>
        <v>76</v>
      </c>
      <c r="AI81">
        <f t="shared" si="35"/>
        <v>26</v>
      </c>
      <c r="AJ81">
        <f t="shared" si="40"/>
        <v>5</v>
      </c>
    </row>
    <row r="82" spans="1:36" x14ac:dyDescent="0.25">
      <c r="A82" s="5" t="s">
        <v>39</v>
      </c>
      <c r="B82" s="5" t="s">
        <v>30</v>
      </c>
      <c r="C82" s="5" t="str">
        <f t="shared" si="25"/>
        <v>description,dailCompDescFangshi80,</v>
      </c>
      <c r="D82" s="5" t="str">
        <f t="shared" si="26"/>
        <v>itemText,dailCompTextFangshi80,</v>
      </c>
      <c r="E82" s="5" t="str">
        <f t="shared" si="36"/>
        <v>augmentSkillLevel1,5,</v>
      </c>
      <c r="F82" s="5" t="str">
        <f t="shared" si="37"/>
        <v>augmentSkillName1,records/skills/playerclass10/burning_mod2.dbr,</v>
      </c>
      <c r="G82" s="7">
        <f t="shared" si="32"/>
        <v>80</v>
      </c>
      <c r="H82" s="8" t="str">
        <f t="shared" si="33"/>
        <v>Fangshi</v>
      </c>
      <c r="I82" s="3" t="s">
        <v>424</v>
      </c>
      <c r="J82" s="8" t="str">
        <f t="shared" si="34"/>
        <v>class0010</v>
      </c>
      <c r="K82" s="8" t="str">
        <f t="shared" si="34"/>
        <v>dailoneskill0010</v>
      </c>
      <c r="L82" s="5" t="str">
        <f t="shared" si="27"/>
        <v>lootName80,DAIL/items/materia/class0010/Fangshi80.dbr,</v>
      </c>
      <c r="M82" s="5" t="str">
        <f t="shared" si="28"/>
        <v>lootWeight80,1,</v>
      </c>
      <c r="N82" t="str">
        <f t="shared" si="29"/>
        <v>5</v>
      </c>
      <c r="O82" t="str">
        <f t="shared" si="38"/>
        <v>copy .\dail_base3.dbr .\items\materia\class0010\Fangshi80.dbr /y</v>
      </c>
      <c r="P82" t="str">
        <f t="shared" si="24"/>
        <v>echo relicBitmap,items/craftingparts/components/component_a52_bristlyfur_b.tex, &gt;&gt; .\items\materia\class0010\Fangshi80.dbr</v>
      </c>
      <c r="Q82" t="str">
        <f t="shared" si="24"/>
        <v>echo itemCost,500000, &gt;&gt; .\items\materia\class0010\Fangshi80.dbr</v>
      </c>
      <c r="R82" t="str">
        <f t="shared" si="24"/>
        <v>echo description,dailCompDescFangshi80, &gt;&gt; .\items\materia\class0010\Fangshi80.dbr</v>
      </c>
      <c r="S82" t="str">
        <f t="shared" si="24"/>
        <v>echo itemText,dailCompTextFangshi80, &gt;&gt; .\items\materia\class0010\Fangshi80.dbr</v>
      </c>
      <c r="T82" t="str">
        <f t="shared" si="24"/>
        <v>echo augmentSkillLevel1,5, &gt;&gt; .\items\materia\class0010\Fangshi80.dbr</v>
      </c>
      <c r="U82" t="str">
        <f t="shared" si="24"/>
        <v>echo augmentSkillName1,records/skills/playerclass10/burning_mod2.dbr, &gt;&gt; .\items\materia\class0010\Fangshi80.dbr</v>
      </c>
      <c r="V82" s="5" t="s">
        <v>36</v>
      </c>
      <c r="W82" t="str">
        <f t="shared" si="30"/>
        <v>echo lootName80,DAIL/items/materia/class0010/Fangshi80.dbr, &gt;&gt; .\items\loottables\dailoneskill0010.dbr</v>
      </c>
      <c r="X82" t="str">
        <f t="shared" si="30"/>
        <v>echo lootWeight80,1, &gt;&gt; .\items\loottables\dailoneskill0010.dbr</v>
      </c>
      <c r="Y82" s="5" t="s">
        <v>36</v>
      </c>
      <c r="Z82" t="str">
        <f t="shared" si="31"/>
        <v xml:space="preserve"> dailCompDescFangshi80=^pFangshi's Gift of DAIL</v>
      </c>
      <c r="AA82" t="str">
        <f t="shared" si="39"/>
        <v>dailCompTextFangshi80=^oThis feels warm to the touch, almost familiar ^w(This component only fits into the Medal Slot)</v>
      </c>
      <c r="AB82" s="5" t="s">
        <v>36</v>
      </c>
      <c r="AH82">
        <f t="shared" si="41"/>
        <v>77</v>
      </c>
      <c r="AI82">
        <f t="shared" si="35"/>
        <v>31</v>
      </c>
      <c r="AJ82">
        <f t="shared" si="40"/>
        <v>5</v>
      </c>
    </row>
    <row r="83" spans="1:36" x14ac:dyDescent="0.25">
      <c r="A83" s="5" t="s">
        <v>39</v>
      </c>
      <c r="B83" s="5" t="s">
        <v>30</v>
      </c>
      <c r="C83" s="5" t="str">
        <f t="shared" si="25"/>
        <v>description,dailCompDescFangshi81,</v>
      </c>
      <c r="D83" s="5" t="str">
        <f t="shared" si="26"/>
        <v>itemText,dailCompTextFangshi81,</v>
      </c>
      <c r="E83" s="5" t="str">
        <f t="shared" si="36"/>
        <v>augmentSkillLevel1,5,</v>
      </c>
      <c r="F83" s="5" t="str">
        <f t="shared" si="37"/>
        <v>augmentSkillName1,records/skills/playerclass10/burning_mod1.dbr,</v>
      </c>
      <c r="G83" s="7">
        <f t="shared" si="32"/>
        <v>81</v>
      </c>
      <c r="H83" s="8" t="str">
        <f t="shared" si="33"/>
        <v>Fangshi</v>
      </c>
      <c r="I83" s="3" t="s">
        <v>425</v>
      </c>
      <c r="J83" s="8" t="str">
        <f t="shared" si="34"/>
        <v>class0010</v>
      </c>
      <c r="K83" s="8" t="str">
        <f t="shared" si="34"/>
        <v>dailoneskill0010</v>
      </c>
      <c r="L83" s="5" t="str">
        <f t="shared" si="27"/>
        <v>lootName81,DAIL/items/materia/class0010/Fangshi81.dbr,</v>
      </c>
      <c r="M83" s="5" t="str">
        <f t="shared" si="28"/>
        <v>lootWeight81,1,</v>
      </c>
      <c r="N83" t="str">
        <f t="shared" si="29"/>
        <v>5</v>
      </c>
      <c r="O83" t="str">
        <f t="shared" si="38"/>
        <v>copy .\dail_base3.dbr .\items\materia\class0010\Fangshi81.dbr /y</v>
      </c>
      <c r="P83" t="str">
        <f t="shared" si="24"/>
        <v>echo relicBitmap,items/craftingparts/components/component_a52_bristlyfur_b.tex, &gt;&gt; .\items\materia\class0010\Fangshi81.dbr</v>
      </c>
      <c r="Q83" t="str">
        <f t="shared" si="24"/>
        <v>echo itemCost,500000, &gt;&gt; .\items\materia\class0010\Fangshi81.dbr</v>
      </c>
      <c r="R83" t="str">
        <f t="shared" si="24"/>
        <v>echo description,dailCompDescFangshi81, &gt;&gt; .\items\materia\class0010\Fangshi81.dbr</v>
      </c>
      <c r="S83" t="str">
        <f t="shared" si="24"/>
        <v>echo itemText,dailCompTextFangshi81, &gt;&gt; .\items\materia\class0010\Fangshi81.dbr</v>
      </c>
      <c r="T83" t="str">
        <f t="shared" si="24"/>
        <v>echo augmentSkillLevel1,5, &gt;&gt; .\items\materia\class0010\Fangshi81.dbr</v>
      </c>
      <c r="U83" t="str">
        <f t="shared" si="24"/>
        <v>echo augmentSkillName1,records/skills/playerclass10/burning_mod1.dbr, &gt;&gt; .\items\materia\class0010\Fangshi81.dbr</v>
      </c>
      <c r="V83" s="5" t="s">
        <v>36</v>
      </c>
      <c r="W83" t="str">
        <f t="shared" si="30"/>
        <v>echo lootName81,DAIL/items/materia/class0010/Fangshi81.dbr, &gt;&gt; .\items\loottables\dailoneskill0010.dbr</v>
      </c>
      <c r="X83" t="str">
        <f t="shared" si="30"/>
        <v>echo lootWeight81,1, &gt;&gt; .\items\loottables\dailoneskill0010.dbr</v>
      </c>
      <c r="Y83" s="5" t="s">
        <v>36</v>
      </c>
      <c r="Z83" t="str">
        <f t="shared" si="31"/>
        <v xml:space="preserve"> dailCompDescFangshi81=^pFangshi's Gift of DAIL</v>
      </c>
      <c r="AA83" t="str">
        <f t="shared" si="39"/>
        <v>dailCompTextFangshi81=^oThis feels warm to the touch, almost familiar ^w(This component only fits into the Medal Slot)</v>
      </c>
      <c r="AB83" s="5" t="s">
        <v>36</v>
      </c>
      <c r="AH83">
        <f t="shared" si="41"/>
        <v>78</v>
      </c>
      <c r="AI83">
        <f t="shared" si="35"/>
        <v>31</v>
      </c>
      <c r="AJ83">
        <f t="shared" si="40"/>
        <v>5</v>
      </c>
    </row>
    <row r="84" spans="1:36" x14ac:dyDescent="0.25">
      <c r="A84" s="5" t="s">
        <v>39</v>
      </c>
      <c r="B84" s="5" t="s">
        <v>30</v>
      </c>
      <c r="C84" s="5" t="str">
        <f t="shared" si="25"/>
        <v>description,dailCompDescFangshi82,</v>
      </c>
      <c r="D84" s="5" t="str">
        <f t="shared" si="26"/>
        <v>itemText,dailCompTextFangshi82,</v>
      </c>
      <c r="E84" s="5" t="str">
        <f t="shared" si="36"/>
        <v>augmentSkillLevel1,5,</v>
      </c>
      <c r="F84" s="5" t="str">
        <f t="shared" si="37"/>
        <v>augmentSkillName1,records/skills/playerclass10/burning_tra.dbr,</v>
      </c>
      <c r="G84" s="7">
        <f t="shared" si="32"/>
        <v>82</v>
      </c>
      <c r="H84" s="8" t="str">
        <f t="shared" si="33"/>
        <v>Fangshi</v>
      </c>
      <c r="I84" s="3" t="s">
        <v>426</v>
      </c>
      <c r="J84" s="8" t="str">
        <f t="shared" si="34"/>
        <v>class0010</v>
      </c>
      <c r="K84" s="8" t="str">
        <f t="shared" si="34"/>
        <v>dailoneskill0010</v>
      </c>
      <c r="L84" s="5" t="str">
        <f t="shared" si="27"/>
        <v>lootName82,DAIL/items/materia/class0010/Fangshi82.dbr,</v>
      </c>
      <c r="M84" s="5" t="str">
        <f t="shared" si="28"/>
        <v>lootWeight82,1,</v>
      </c>
      <c r="N84" t="str">
        <f t="shared" si="29"/>
        <v>5</v>
      </c>
      <c r="O84" t="str">
        <f t="shared" si="38"/>
        <v>copy .\dail_base3.dbr .\items\materia\class0010\Fangshi82.dbr /y</v>
      </c>
      <c r="P84" t="str">
        <f t="shared" si="24"/>
        <v>echo relicBitmap,items/craftingparts/components/component_a52_bristlyfur_b.tex, &gt;&gt; .\items\materia\class0010\Fangshi82.dbr</v>
      </c>
      <c r="Q84" t="str">
        <f t="shared" si="24"/>
        <v>echo itemCost,500000, &gt;&gt; .\items\materia\class0010\Fangshi82.dbr</v>
      </c>
      <c r="R84" t="str">
        <f t="shared" si="24"/>
        <v>echo description,dailCompDescFangshi82, &gt;&gt; .\items\materia\class0010\Fangshi82.dbr</v>
      </c>
      <c r="S84" t="str">
        <f t="shared" si="24"/>
        <v>echo itemText,dailCompTextFangshi82, &gt;&gt; .\items\materia\class0010\Fangshi82.dbr</v>
      </c>
      <c r="T84" t="str">
        <f t="shared" si="24"/>
        <v>echo augmentSkillLevel1,5, &gt;&gt; .\items\materia\class0010\Fangshi82.dbr</v>
      </c>
      <c r="U84" t="str">
        <f t="shared" si="24"/>
        <v>echo augmentSkillName1,records/skills/playerclass10/burning_tra.dbr, &gt;&gt; .\items\materia\class0010\Fangshi82.dbr</v>
      </c>
      <c r="V84" s="5" t="s">
        <v>36</v>
      </c>
      <c r="W84" t="str">
        <f t="shared" si="30"/>
        <v>echo lootName82,DAIL/items/materia/class0010/Fangshi82.dbr, &gt;&gt; .\items\loottables\dailoneskill0010.dbr</v>
      </c>
      <c r="X84" t="str">
        <f t="shared" si="30"/>
        <v>echo lootWeight82,1, &gt;&gt; .\items\loottables\dailoneskill0010.dbr</v>
      </c>
      <c r="Y84" s="5" t="s">
        <v>36</v>
      </c>
      <c r="Z84" t="str">
        <f t="shared" si="31"/>
        <v xml:space="preserve"> dailCompDescFangshi82=^pFangshi's Gift of DAIL</v>
      </c>
      <c r="AA84" t="str">
        <f t="shared" si="39"/>
        <v>dailCompTextFangshi82=^oThis feels warm to the touch, almost familiar ^w(This component only fits into the Medal Slot)</v>
      </c>
      <c r="AB84" s="5" t="s">
        <v>36</v>
      </c>
      <c r="AH84">
        <f t="shared" si="41"/>
        <v>79</v>
      </c>
      <c r="AI84">
        <f t="shared" si="35"/>
        <v>30</v>
      </c>
      <c r="AJ84">
        <f t="shared" si="40"/>
        <v>5</v>
      </c>
    </row>
    <row r="85" spans="1:36" x14ac:dyDescent="0.25">
      <c r="A85" s="5" t="s">
        <v>39</v>
      </c>
      <c r="B85" s="5" t="s">
        <v>30</v>
      </c>
      <c r="C85" s="5" t="str">
        <f t="shared" si="25"/>
        <v>description,dailCompDescFangshi83,</v>
      </c>
      <c r="D85" s="5" t="str">
        <f t="shared" si="26"/>
        <v>itemText,dailCompTextFangshi83,</v>
      </c>
      <c r="E85" s="5" t="str">
        <f t="shared" si="36"/>
        <v>augmentSkillLevel1,5,</v>
      </c>
      <c r="F85" s="5" t="str">
        <f t="shared" si="37"/>
        <v>augmentSkillName1,records/skills/playerclass10/ultgold.dbr,</v>
      </c>
      <c r="G85" s="7">
        <f t="shared" si="32"/>
        <v>83</v>
      </c>
      <c r="H85" s="8" t="str">
        <f t="shared" si="33"/>
        <v>Fangshi</v>
      </c>
      <c r="I85" s="3" t="s">
        <v>189</v>
      </c>
      <c r="J85" s="8" t="str">
        <f t="shared" ref="J85:K100" si="42">J84</f>
        <v>class0010</v>
      </c>
      <c r="K85" s="8" t="str">
        <f t="shared" si="42"/>
        <v>dailoneskill0010</v>
      </c>
      <c r="L85" s="5" t="str">
        <f t="shared" si="27"/>
        <v>lootName83,DAIL/items/materia/class0010/Fangshi83.dbr,</v>
      </c>
      <c r="M85" s="5" t="str">
        <f t="shared" si="28"/>
        <v>lootWeight83,1,</v>
      </c>
      <c r="N85" t="str">
        <f t="shared" si="29"/>
        <v>5</v>
      </c>
      <c r="O85" t="str">
        <f t="shared" si="38"/>
        <v>copy .\dail_base3.dbr .\items\materia\class0010\Fangshi83.dbr /y</v>
      </c>
      <c r="P85" t="str">
        <f t="shared" si="24"/>
        <v>echo relicBitmap,items/craftingparts/components/component_a52_bristlyfur_b.tex, &gt;&gt; .\items\materia\class0010\Fangshi83.dbr</v>
      </c>
      <c r="Q85" t="str">
        <f t="shared" si="24"/>
        <v>echo itemCost,500000, &gt;&gt; .\items\materia\class0010\Fangshi83.dbr</v>
      </c>
      <c r="R85" t="str">
        <f t="shared" si="24"/>
        <v>echo description,dailCompDescFangshi83, &gt;&gt; .\items\materia\class0010\Fangshi83.dbr</v>
      </c>
      <c r="S85" t="str">
        <f t="shared" si="24"/>
        <v>echo itemText,dailCompTextFangshi83, &gt;&gt; .\items\materia\class0010\Fangshi83.dbr</v>
      </c>
      <c r="T85" t="str">
        <f t="shared" si="24"/>
        <v>echo augmentSkillLevel1,5, &gt;&gt; .\items\materia\class0010\Fangshi83.dbr</v>
      </c>
      <c r="U85" t="str">
        <f t="shared" si="24"/>
        <v>echo augmentSkillName1,records/skills/playerclass10/ultgold.dbr, &gt;&gt; .\items\materia\class0010\Fangshi83.dbr</v>
      </c>
      <c r="V85" s="5" t="s">
        <v>36</v>
      </c>
      <c r="W85" t="str">
        <f t="shared" si="30"/>
        <v>echo lootName83,DAIL/items/materia/class0010/Fangshi83.dbr, &gt;&gt; .\items\loottables\dailoneskill0010.dbr</v>
      </c>
      <c r="X85" t="str">
        <f t="shared" si="30"/>
        <v>echo lootWeight83,1, &gt;&gt; .\items\loottables\dailoneskill0010.dbr</v>
      </c>
      <c r="Y85" s="5" t="s">
        <v>36</v>
      </c>
      <c r="Z85" t="str">
        <f t="shared" si="31"/>
        <v xml:space="preserve"> dailCompDescFangshi83=^pFangshi's Gift of DAIL</v>
      </c>
      <c r="AA85" t="str">
        <f t="shared" si="39"/>
        <v>dailCompTextFangshi83=^oThis feels warm to the touch, almost familiar ^w(This component only fits into the Medal Slot)</v>
      </c>
      <c r="AB85" s="5" t="s">
        <v>36</v>
      </c>
      <c r="AH85">
        <f t="shared" si="41"/>
        <v>80</v>
      </c>
      <c r="AI85">
        <f t="shared" si="35"/>
        <v>26</v>
      </c>
      <c r="AJ85">
        <f t="shared" si="40"/>
        <v>5</v>
      </c>
    </row>
    <row r="86" spans="1:36" x14ac:dyDescent="0.25">
      <c r="A86" s="5" t="s">
        <v>39</v>
      </c>
      <c r="B86" s="5" t="s">
        <v>30</v>
      </c>
      <c r="C86" s="5" t="str">
        <f t="shared" si="25"/>
        <v>description,dailCompDescFangshi84,</v>
      </c>
      <c r="D86" s="5" t="str">
        <f t="shared" si="26"/>
        <v>itemText,dailCompTextFangshi84,</v>
      </c>
      <c r="E86" s="5" t="str">
        <f t="shared" si="36"/>
        <v>augmentSkillLevel1,5,</v>
      </c>
      <c r="F86" s="5" t="str">
        <f t="shared" si="37"/>
        <v>augmentSkillName1,records/skills/playerclass10/ultwater.dbr,</v>
      </c>
      <c r="G86" s="7">
        <f t="shared" si="32"/>
        <v>84</v>
      </c>
      <c r="H86" s="8" t="str">
        <f t="shared" si="33"/>
        <v>Fangshi</v>
      </c>
      <c r="I86" s="3" t="s">
        <v>190</v>
      </c>
      <c r="J86" s="8" t="str">
        <f t="shared" si="42"/>
        <v>class0010</v>
      </c>
      <c r="K86" s="8" t="str">
        <f t="shared" si="42"/>
        <v>dailoneskill0010</v>
      </c>
      <c r="L86" s="5" t="str">
        <f t="shared" si="27"/>
        <v>lootName84,DAIL/items/materia/class0010/Fangshi84.dbr,</v>
      </c>
      <c r="M86" s="5" t="str">
        <f t="shared" si="28"/>
        <v>lootWeight84,1,</v>
      </c>
      <c r="N86" t="str">
        <f t="shared" si="29"/>
        <v>5</v>
      </c>
      <c r="O86" t="str">
        <f t="shared" si="38"/>
        <v>copy .\dail_base3.dbr .\items\materia\class0010\Fangshi84.dbr /y</v>
      </c>
      <c r="P86" t="str">
        <f t="shared" si="24"/>
        <v>echo relicBitmap,items/craftingparts/components/component_a52_bristlyfur_b.tex, &gt;&gt; .\items\materia\class0010\Fangshi84.dbr</v>
      </c>
      <c r="Q86" t="str">
        <f t="shared" si="24"/>
        <v>echo itemCost,500000, &gt;&gt; .\items\materia\class0010\Fangshi84.dbr</v>
      </c>
      <c r="R86" t="str">
        <f t="shared" si="24"/>
        <v>echo description,dailCompDescFangshi84, &gt;&gt; .\items\materia\class0010\Fangshi84.dbr</v>
      </c>
      <c r="S86" t="str">
        <f t="shared" si="24"/>
        <v>echo itemText,dailCompTextFangshi84, &gt;&gt; .\items\materia\class0010\Fangshi84.dbr</v>
      </c>
      <c r="T86" t="str">
        <f t="shared" si="24"/>
        <v>echo augmentSkillLevel1,5, &gt;&gt; .\items\materia\class0010\Fangshi84.dbr</v>
      </c>
      <c r="U86" t="str">
        <f t="shared" si="24"/>
        <v>echo augmentSkillName1,records/skills/playerclass10/ultwater.dbr, &gt;&gt; .\items\materia\class0010\Fangshi84.dbr</v>
      </c>
      <c r="V86" s="5" t="s">
        <v>36</v>
      </c>
      <c r="W86" t="str">
        <f t="shared" si="30"/>
        <v>echo lootName84,DAIL/items/materia/class0010/Fangshi84.dbr, &gt;&gt; .\items\loottables\dailoneskill0010.dbr</v>
      </c>
      <c r="X86" t="str">
        <f t="shared" si="30"/>
        <v>echo lootWeight84,1, &gt;&gt; .\items\loottables\dailoneskill0010.dbr</v>
      </c>
      <c r="Y86" s="5" t="s">
        <v>36</v>
      </c>
      <c r="Z86" t="str">
        <f t="shared" si="31"/>
        <v xml:space="preserve"> dailCompDescFangshi84=^pFangshi's Gift of DAIL</v>
      </c>
      <c r="AA86" t="str">
        <f t="shared" si="39"/>
        <v>dailCompTextFangshi84=^oThis feels warm to the touch, almost familiar ^w(This component only fits into the Medal Slot)</v>
      </c>
      <c r="AB86" s="5" t="s">
        <v>36</v>
      </c>
      <c r="AH86">
        <f t="shared" si="41"/>
        <v>81</v>
      </c>
      <c r="AI86">
        <f t="shared" si="35"/>
        <v>27</v>
      </c>
      <c r="AJ86">
        <f t="shared" si="40"/>
        <v>5</v>
      </c>
    </row>
    <row r="87" spans="1:36" x14ac:dyDescent="0.25">
      <c r="A87" s="5" t="s">
        <v>39</v>
      </c>
      <c r="B87" s="5" t="s">
        <v>30</v>
      </c>
      <c r="C87" s="5" t="str">
        <f t="shared" si="25"/>
        <v>description,dailCompDescFangshi85,</v>
      </c>
      <c r="D87" s="5" t="str">
        <f t="shared" si="26"/>
        <v>itemText,dailCompTextFangshi85,</v>
      </c>
      <c r="E87" s="5" t="str">
        <f t="shared" si="36"/>
        <v>augmentSkillLevel1,5,</v>
      </c>
      <c r="F87" s="5" t="str">
        <f t="shared" si="37"/>
        <v>augmentSkillName1,records/skills/playerclass10/ultwood.dbr,</v>
      </c>
      <c r="G87" s="7">
        <f t="shared" si="32"/>
        <v>85</v>
      </c>
      <c r="H87" s="8" t="str">
        <f t="shared" si="33"/>
        <v>Fangshi</v>
      </c>
      <c r="I87" s="3" t="s">
        <v>191</v>
      </c>
      <c r="J87" s="8" t="str">
        <f t="shared" si="42"/>
        <v>class0010</v>
      </c>
      <c r="K87" s="8" t="str">
        <f t="shared" si="42"/>
        <v>dailoneskill0010</v>
      </c>
      <c r="L87" s="5" t="str">
        <f t="shared" si="27"/>
        <v>lootName85,DAIL/items/materia/class0010/Fangshi85.dbr,</v>
      </c>
      <c r="M87" s="5" t="str">
        <f t="shared" si="28"/>
        <v>lootWeight85,1,</v>
      </c>
      <c r="N87" t="str">
        <f t="shared" si="29"/>
        <v>5</v>
      </c>
      <c r="O87" t="str">
        <f t="shared" si="38"/>
        <v>copy .\dail_base3.dbr .\items\materia\class0010\Fangshi85.dbr /y</v>
      </c>
      <c r="P87" t="str">
        <f t="shared" si="24"/>
        <v>echo relicBitmap,items/craftingparts/components/component_a52_bristlyfur_b.tex, &gt;&gt; .\items\materia\class0010\Fangshi85.dbr</v>
      </c>
      <c r="Q87" t="str">
        <f t="shared" si="24"/>
        <v>echo itemCost,500000, &gt;&gt; .\items\materia\class0010\Fangshi85.dbr</v>
      </c>
      <c r="R87" t="str">
        <f t="shared" si="24"/>
        <v>echo description,dailCompDescFangshi85, &gt;&gt; .\items\materia\class0010\Fangshi85.dbr</v>
      </c>
      <c r="S87" t="str">
        <f t="shared" si="24"/>
        <v>echo itemText,dailCompTextFangshi85, &gt;&gt; .\items\materia\class0010\Fangshi85.dbr</v>
      </c>
      <c r="T87" t="str">
        <f t="shared" si="24"/>
        <v>echo augmentSkillLevel1,5, &gt;&gt; .\items\materia\class0010\Fangshi85.dbr</v>
      </c>
      <c r="U87" t="str">
        <f t="shared" si="24"/>
        <v>echo augmentSkillName1,records/skills/playerclass10/ultwood.dbr, &gt;&gt; .\items\materia\class0010\Fangshi85.dbr</v>
      </c>
      <c r="V87" s="5" t="s">
        <v>36</v>
      </c>
      <c r="W87" t="str">
        <f t="shared" si="30"/>
        <v>echo lootName85,DAIL/items/materia/class0010/Fangshi85.dbr, &gt;&gt; .\items\loottables\dailoneskill0010.dbr</v>
      </c>
      <c r="X87" t="str">
        <f t="shared" si="30"/>
        <v>echo lootWeight85,1, &gt;&gt; .\items\loottables\dailoneskill0010.dbr</v>
      </c>
      <c r="Y87" s="5" t="s">
        <v>36</v>
      </c>
      <c r="Z87" t="str">
        <f t="shared" si="31"/>
        <v xml:space="preserve"> dailCompDescFangshi85=^pFangshi's Gift of DAIL</v>
      </c>
      <c r="AA87" t="str">
        <f t="shared" si="39"/>
        <v>dailCompTextFangshi85=^oThis feels warm to the touch, almost familiar ^w(This component only fits into the Medal Slot)</v>
      </c>
      <c r="AB87" s="5" t="s">
        <v>36</v>
      </c>
      <c r="AH87">
        <f t="shared" si="41"/>
        <v>82</v>
      </c>
      <c r="AI87">
        <f t="shared" si="35"/>
        <v>26</v>
      </c>
      <c r="AJ87">
        <f t="shared" si="40"/>
        <v>5</v>
      </c>
    </row>
    <row r="88" spans="1:36" x14ac:dyDescent="0.25">
      <c r="A88" s="5" t="s">
        <v>39</v>
      </c>
      <c r="B88" s="5" t="s">
        <v>30</v>
      </c>
      <c r="C88" s="5" t="str">
        <f t="shared" si="25"/>
        <v>description,dailCompDescFangshi86,</v>
      </c>
      <c r="D88" s="5" t="str">
        <f t="shared" si="26"/>
        <v>itemText,dailCompTextFangshi86,</v>
      </c>
      <c r="E88" s="5" t="str">
        <f t="shared" si="36"/>
        <v>augmentSkillLevel1,5,</v>
      </c>
      <c r="F88" s="5" t="str">
        <f t="shared" si="37"/>
        <v>augmentSkillName1,records/skills/playerclass10/ultfire.dbr,</v>
      </c>
      <c r="G88" s="7">
        <f t="shared" si="32"/>
        <v>86</v>
      </c>
      <c r="H88" s="8" t="str">
        <f t="shared" si="33"/>
        <v>Fangshi</v>
      </c>
      <c r="I88" s="3" t="s">
        <v>188</v>
      </c>
      <c r="J88" s="8" t="str">
        <f t="shared" si="42"/>
        <v>class0010</v>
      </c>
      <c r="K88" s="8" t="str">
        <f t="shared" si="42"/>
        <v>dailoneskill0010</v>
      </c>
      <c r="L88" s="5" t="str">
        <f t="shared" si="27"/>
        <v>lootName86,DAIL/items/materia/class0010/Fangshi86.dbr,</v>
      </c>
      <c r="M88" s="5" t="str">
        <f t="shared" si="28"/>
        <v>lootWeight86,1,</v>
      </c>
      <c r="N88" t="str">
        <f t="shared" si="29"/>
        <v>5</v>
      </c>
      <c r="O88" t="str">
        <f t="shared" si="38"/>
        <v>copy .\dail_base3.dbr .\items\materia\class0010\Fangshi86.dbr /y</v>
      </c>
      <c r="P88" t="str">
        <f t="shared" si="24"/>
        <v>echo relicBitmap,items/craftingparts/components/component_a52_bristlyfur_b.tex, &gt;&gt; .\items\materia\class0010\Fangshi86.dbr</v>
      </c>
      <c r="Q88" t="str">
        <f t="shared" si="24"/>
        <v>echo itemCost,500000, &gt;&gt; .\items\materia\class0010\Fangshi86.dbr</v>
      </c>
      <c r="R88" t="str">
        <f t="shared" si="24"/>
        <v>echo description,dailCompDescFangshi86, &gt;&gt; .\items\materia\class0010\Fangshi86.dbr</v>
      </c>
      <c r="S88" t="str">
        <f t="shared" si="24"/>
        <v>echo itemText,dailCompTextFangshi86, &gt;&gt; .\items\materia\class0010\Fangshi86.dbr</v>
      </c>
      <c r="T88" t="str">
        <f t="shared" si="24"/>
        <v>echo augmentSkillLevel1,5, &gt;&gt; .\items\materia\class0010\Fangshi86.dbr</v>
      </c>
      <c r="U88" t="str">
        <f t="shared" si="24"/>
        <v>echo augmentSkillName1,records/skills/playerclass10/ultfire.dbr, &gt;&gt; .\items\materia\class0010\Fangshi86.dbr</v>
      </c>
      <c r="V88" s="5" t="s">
        <v>36</v>
      </c>
      <c r="W88" t="str">
        <f t="shared" si="30"/>
        <v>echo lootName86,DAIL/items/materia/class0010/Fangshi86.dbr, &gt;&gt; .\items\loottables\dailoneskill0010.dbr</v>
      </c>
      <c r="X88" t="str">
        <f t="shared" si="30"/>
        <v>echo lootWeight86,1, &gt;&gt; .\items\loottables\dailoneskill0010.dbr</v>
      </c>
      <c r="Y88" s="5" t="s">
        <v>36</v>
      </c>
      <c r="Z88" t="str">
        <f t="shared" si="31"/>
        <v xml:space="preserve"> dailCompDescFangshi86=^pFangshi's Gift of DAIL</v>
      </c>
      <c r="AA88" t="str">
        <f t="shared" si="39"/>
        <v>dailCompTextFangshi86=^oThis feels warm to the touch, almost familiar ^w(This component only fits into the Medal Slot)</v>
      </c>
      <c r="AB88" s="5" t="s">
        <v>36</v>
      </c>
      <c r="AH88">
        <f t="shared" si="41"/>
        <v>83</v>
      </c>
      <c r="AI88">
        <f t="shared" si="35"/>
        <v>26</v>
      </c>
      <c r="AJ88">
        <f t="shared" si="40"/>
        <v>5</v>
      </c>
    </row>
    <row r="89" spans="1:36" x14ac:dyDescent="0.25">
      <c r="A89" s="5" t="s">
        <v>39</v>
      </c>
      <c r="B89" s="5" t="s">
        <v>30</v>
      </c>
      <c r="C89" s="5" t="str">
        <f t="shared" si="25"/>
        <v>description,dailCompDescFangshi87,</v>
      </c>
      <c r="D89" s="5" t="str">
        <f t="shared" si="26"/>
        <v>itemText,dailCompTextFangshi87,</v>
      </c>
      <c r="E89" s="5" t="str">
        <f t="shared" si="36"/>
        <v>augmentSkillLevel1,5,</v>
      </c>
      <c r="F89" s="5" t="str">
        <f t="shared" si="37"/>
        <v>augmentSkillName1,records/skills/playerclass10/ultearth.dbr,</v>
      </c>
      <c r="G89" s="7">
        <f t="shared" si="32"/>
        <v>87</v>
      </c>
      <c r="H89" s="8" t="str">
        <f t="shared" si="33"/>
        <v>Fangshi</v>
      </c>
      <c r="I89" s="3" t="s">
        <v>187</v>
      </c>
      <c r="J89" s="8" t="str">
        <f t="shared" si="42"/>
        <v>class0010</v>
      </c>
      <c r="K89" s="8" t="str">
        <f t="shared" si="42"/>
        <v>dailoneskill0010</v>
      </c>
      <c r="L89" s="5" t="str">
        <f t="shared" si="27"/>
        <v>lootName87,DAIL/items/materia/class0010/Fangshi87.dbr,</v>
      </c>
      <c r="M89" s="5" t="str">
        <f t="shared" si="28"/>
        <v>lootWeight87,1,</v>
      </c>
      <c r="N89" t="str">
        <f t="shared" si="29"/>
        <v>5</v>
      </c>
      <c r="O89" t="str">
        <f t="shared" si="38"/>
        <v>copy .\dail_base3.dbr .\items\materia\class0010\Fangshi87.dbr /y</v>
      </c>
      <c r="P89" t="str">
        <f t="shared" si="24"/>
        <v>echo relicBitmap,items/craftingparts/components/component_a52_bristlyfur_b.tex, &gt;&gt; .\items\materia\class0010\Fangshi87.dbr</v>
      </c>
      <c r="Q89" t="str">
        <f t="shared" si="24"/>
        <v>echo itemCost,500000, &gt;&gt; .\items\materia\class0010\Fangshi87.dbr</v>
      </c>
      <c r="R89" t="str">
        <f t="shared" si="24"/>
        <v>echo description,dailCompDescFangshi87, &gt;&gt; .\items\materia\class0010\Fangshi87.dbr</v>
      </c>
      <c r="S89" t="str">
        <f t="shared" si="24"/>
        <v>echo itemText,dailCompTextFangshi87, &gt;&gt; .\items\materia\class0010\Fangshi87.dbr</v>
      </c>
      <c r="T89" t="str">
        <f t="shared" si="24"/>
        <v>echo augmentSkillLevel1,5, &gt;&gt; .\items\materia\class0010\Fangshi87.dbr</v>
      </c>
      <c r="U89" t="str">
        <f t="shared" si="24"/>
        <v>echo augmentSkillName1,records/skills/playerclass10/ultearth.dbr, &gt;&gt; .\items\materia\class0010\Fangshi87.dbr</v>
      </c>
      <c r="V89" s="5" t="s">
        <v>36</v>
      </c>
      <c r="W89" t="str">
        <f t="shared" si="30"/>
        <v>echo lootName87,DAIL/items/materia/class0010/Fangshi87.dbr, &gt;&gt; .\items\loottables\dailoneskill0010.dbr</v>
      </c>
      <c r="X89" t="str">
        <f t="shared" si="30"/>
        <v>echo lootWeight87,1, &gt;&gt; .\items\loottables\dailoneskill0010.dbr</v>
      </c>
      <c r="Y89" s="5" t="s">
        <v>36</v>
      </c>
      <c r="Z89" t="str">
        <f t="shared" si="31"/>
        <v xml:space="preserve"> dailCompDescFangshi87=^pFangshi's Gift of DAIL</v>
      </c>
      <c r="AA89" t="str">
        <f t="shared" si="39"/>
        <v>dailCompTextFangshi87=^oThis feels warm to the touch, almost familiar ^w(This component only fits into the Medal Slot)</v>
      </c>
      <c r="AB89" s="5" t="s">
        <v>36</v>
      </c>
      <c r="AH89">
        <f t="shared" si="41"/>
        <v>84</v>
      </c>
      <c r="AI89">
        <f t="shared" si="35"/>
        <v>27</v>
      </c>
      <c r="AJ89">
        <f t="shared" si="40"/>
        <v>5</v>
      </c>
    </row>
    <row r="90" spans="1:36" x14ac:dyDescent="0.25">
      <c r="A90" s="5" t="s">
        <v>39</v>
      </c>
      <c r="B90" s="5" t="s">
        <v>30</v>
      </c>
      <c r="C90" s="5" t="str">
        <f t="shared" si="25"/>
        <v>description,dailCompDescFangshi88,</v>
      </c>
      <c r="D90" s="5" t="str">
        <f t="shared" si="26"/>
        <v>itemText,dailCompTextFangshi88,</v>
      </c>
      <c r="E90" s="5" t="str">
        <f t="shared" si="36"/>
        <v>augmentSkillLevel1,5,</v>
      </c>
      <c r="F90" s="5" t="str">
        <f t="shared" si="37"/>
        <v>augmentSkillName1,records/skills/playerclass10/earth_effect.dbr,</v>
      </c>
      <c r="G90" s="7">
        <f t="shared" si="32"/>
        <v>88</v>
      </c>
      <c r="H90" s="8" t="str">
        <f t="shared" si="33"/>
        <v>Fangshi</v>
      </c>
      <c r="I90" s="3" t="s">
        <v>179</v>
      </c>
      <c r="J90" s="8" t="str">
        <f t="shared" si="42"/>
        <v>class0010</v>
      </c>
      <c r="K90" s="8" t="str">
        <f t="shared" si="42"/>
        <v>dailoneskill0010</v>
      </c>
      <c r="L90" s="5" t="str">
        <f t="shared" si="27"/>
        <v>lootName88,DAIL/items/materia/class0010/Fangshi88.dbr,</v>
      </c>
      <c r="M90" s="5" t="str">
        <f t="shared" si="28"/>
        <v>lootWeight88,1,</v>
      </c>
      <c r="N90" t="str">
        <f t="shared" si="29"/>
        <v>5</v>
      </c>
      <c r="O90" t="str">
        <f t="shared" si="38"/>
        <v>copy .\dail_base3.dbr .\items\materia\class0010\Fangshi88.dbr /y</v>
      </c>
      <c r="P90" t="str">
        <f t="shared" si="24"/>
        <v>echo relicBitmap,items/craftingparts/components/component_a52_bristlyfur_b.tex, &gt;&gt; .\items\materia\class0010\Fangshi88.dbr</v>
      </c>
      <c r="Q90" t="str">
        <f t="shared" si="24"/>
        <v>echo itemCost,500000, &gt;&gt; .\items\materia\class0010\Fangshi88.dbr</v>
      </c>
      <c r="R90" t="str">
        <f t="shared" si="24"/>
        <v>echo description,dailCompDescFangshi88, &gt;&gt; .\items\materia\class0010\Fangshi88.dbr</v>
      </c>
      <c r="S90" t="str">
        <f t="shared" si="24"/>
        <v>echo itemText,dailCompTextFangshi88, &gt;&gt; .\items\materia\class0010\Fangshi88.dbr</v>
      </c>
      <c r="T90" t="str">
        <f t="shared" si="24"/>
        <v>echo augmentSkillLevel1,5, &gt;&gt; .\items\materia\class0010\Fangshi88.dbr</v>
      </c>
      <c r="U90" t="str">
        <f t="shared" si="24"/>
        <v>echo augmentSkillName1,records/skills/playerclass10/earth_effect.dbr, &gt;&gt; .\items\materia\class0010\Fangshi88.dbr</v>
      </c>
      <c r="V90" s="5" t="s">
        <v>36</v>
      </c>
      <c r="W90" t="str">
        <f t="shared" si="30"/>
        <v>echo lootName88,DAIL/items/materia/class0010/Fangshi88.dbr, &gt;&gt; .\items\loottables\dailoneskill0010.dbr</v>
      </c>
      <c r="X90" t="str">
        <f t="shared" si="30"/>
        <v>echo lootWeight88,1, &gt;&gt; .\items\loottables\dailoneskill0010.dbr</v>
      </c>
      <c r="Y90" s="5" t="s">
        <v>36</v>
      </c>
      <c r="Z90" t="str">
        <f t="shared" si="31"/>
        <v xml:space="preserve"> dailCompDescFangshi88=^pFangshi's Gift of DAIL</v>
      </c>
      <c r="AA90" t="str">
        <f t="shared" si="39"/>
        <v>dailCompTextFangshi88=^oThis feels warm to the touch, almost familiar ^w(This component only fits into the Medal Slot)</v>
      </c>
      <c r="AB90" s="5" t="s">
        <v>36</v>
      </c>
      <c r="AH90">
        <f t="shared" si="41"/>
        <v>85</v>
      </c>
      <c r="AI90">
        <f t="shared" si="35"/>
        <v>31</v>
      </c>
      <c r="AJ90">
        <f t="shared" si="40"/>
        <v>5</v>
      </c>
    </row>
    <row r="91" spans="1:36" x14ac:dyDescent="0.25">
      <c r="A91" s="5" t="s">
        <v>39</v>
      </c>
      <c r="B91" s="5" t="s">
        <v>30</v>
      </c>
      <c r="C91" s="5" t="str">
        <f t="shared" si="25"/>
        <v>description,dailCompDescFangshi89,</v>
      </c>
      <c r="D91" s="5" t="str">
        <f t="shared" si="26"/>
        <v>itemText,dailCompTextFangshi89,</v>
      </c>
      <c r="E91" s="5" t="str">
        <f t="shared" si="36"/>
        <v>augmentSkillLevel1,5,</v>
      </c>
      <c r="F91" s="5" t="str">
        <f t="shared" si="37"/>
        <v>augmentSkillName1,records/skills/playerclass10/sword_fall_tra.dbr,</v>
      </c>
      <c r="G91" s="7">
        <f t="shared" si="32"/>
        <v>89</v>
      </c>
      <c r="H91" s="8" t="str">
        <f t="shared" si="33"/>
        <v>Fangshi</v>
      </c>
      <c r="I91" s="3" t="s">
        <v>427</v>
      </c>
      <c r="J91" s="8" t="str">
        <f t="shared" si="42"/>
        <v>class0010</v>
      </c>
      <c r="K91" s="8" t="str">
        <f t="shared" si="42"/>
        <v>dailoneskill0010</v>
      </c>
      <c r="L91" s="5" t="str">
        <f t="shared" si="27"/>
        <v>lootName89,DAIL/items/materia/class0010/Fangshi89.dbr,</v>
      </c>
      <c r="M91" s="5" t="str">
        <f t="shared" si="28"/>
        <v>lootWeight89,1,</v>
      </c>
      <c r="N91" t="str">
        <f t="shared" si="29"/>
        <v>5</v>
      </c>
      <c r="O91" t="str">
        <f t="shared" si="38"/>
        <v>copy .\dail_base3.dbr .\items\materia\class0010\Fangshi89.dbr /y</v>
      </c>
      <c r="P91" t="str">
        <f t="shared" si="24"/>
        <v>echo relicBitmap,items/craftingparts/components/component_a52_bristlyfur_b.tex, &gt;&gt; .\items\materia\class0010\Fangshi89.dbr</v>
      </c>
      <c r="Q91" t="str">
        <f t="shared" si="24"/>
        <v>echo itemCost,500000, &gt;&gt; .\items\materia\class0010\Fangshi89.dbr</v>
      </c>
      <c r="R91" t="str">
        <f t="shared" si="24"/>
        <v>echo description,dailCompDescFangshi89, &gt;&gt; .\items\materia\class0010\Fangshi89.dbr</v>
      </c>
      <c r="S91" t="str">
        <f t="shared" si="24"/>
        <v>echo itemText,dailCompTextFangshi89, &gt;&gt; .\items\materia\class0010\Fangshi89.dbr</v>
      </c>
      <c r="T91" t="str">
        <f t="shared" si="24"/>
        <v>echo augmentSkillLevel1,5, &gt;&gt; .\items\materia\class0010\Fangshi89.dbr</v>
      </c>
      <c r="U91" t="str">
        <f t="shared" si="24"/>
        <v>echo augmentSkillName1,records/skills/playerclass10/sword_fall_tra.dbr, &gt;&gt; .\items\materia\class0010\Fangshi89.dbr</v>
      </c>
      <c r="V91" s="5" t="s">
        <v>36</v>
      </c>
      <c r="W91" t="str">
        <f t="shared" si="30"/>
        <v>echo lootName89,DAIL/items/materia/class0010/Fangshi89.dbr, &gt;&gt; .\items\loottables\dailoneskill0010.dbr</v>
      </c>
      <c r="X91" t="str">
        <f t="shared" si="30"/>
        <v>echo lootWeight89,1, &gt;&gt; .\items\loottables\dailoneskill0010.dbr</v>
      </c>
      <c r="Y91" s="5" t="s">
        <v>36</v>
      </c>
      <c r="Z91" t="str">
        <f t="shared" si="31"/>
        <v xml:space="preserve"> dailCompDescFangshi89=^pFangshi's Gift of DAIL</v>
      </c>
      <c r="AA91" t="str">
        <f t="shared" si="39"/>
        <v>dailCompTextFangshi89=^oThis feels warm to the touch, almost familiar ^w(This component only fits into the Medal Slot)</v>
      </c>
      <c r="AB91" s="5" t="s">
        <v>36</v>
      </c>
      <c r="AH91">
        <f t="shared" si="41"/>
        <v>86</v>
      </c>
      <c r="AI91">
        <f t="shared" si="35"/>
        <v>33</v>
      </c>
      <c r="AJ91">
        <f t="shared" si="40"/>
        <v>5</v>
      </c>
    </row>
    <row r="92" spans="1:36" x14ac:dyDescent="0.25">
      <c r="A92" s="5" t="s">
        <v>39</v>
      </c>
      <c r="B92" s="5" t="s">
        <v>30</v>
      </c>
      <c r="C92" s="5" t="str">
        <f t="shared" si="25"/>
        <v>description,dailCompDescFangshi90,</v>
      </c>
      <c r="D92" s="5" t="str">
        <f t="shared" si="26"/>
        <v>itemText,dailCompTextFangshi90,</v>
      </c>
      <c r="E92" s="5" t="str">
        <f t="shared" si="36"/>
        <v>augmentSkillLevel1,5,</v>
      </c>
      <c r="F92" s="5" t="str">
        <f t="shared" si="37"/>
        <v>augmentSkillName1,records/skills/playerclass10/earth_effect_tra.dbr,</v>
      </c>
      <c r="G92" s="7">
        <f t="shared" si="32"/>
        <v>90</v>
      </c>
      <c r="H92" s="8" t="str">
        <f t="shared" si="33"/>
        <v>Fangshi</v>
      </c>
      <c r="I92" s="3" t="s">
        <v>428</v>
      </c>
      <c r="J92" s="8" t="str">
        <f t="shared" si="42"/>
        <v>class0010</v>
      </c>
      <c r="K92" s="8" t="str">
        <f t="shared" si="42"/>
        <v>dailoneskill0010</v>
      </c>
      <c r="L92" s="5" t="str">
        <f t="shared" si="27"/>
        <v>lootName90,DAIL/items/materia/class0010/Fangshi90.dbr,</v>
      </c>
      <c r="M92" s="5" t="str">
        <f t="shared" si="28"/>
        <v>lootWeight90,1,</v>
      </c>
      <c r="N92" t="str">
        <f t="shared" si="29"/>
        <v>5</v>
      </c>
      <c r="O92" t="str">
        <f t="shared" si="38"/>
        <v>copy .\dail_base3.dbr .\items\materia\class0010\Fangshi90.dbr /y</v>
      </c>
      <c r="P92" t="str">
        <f t="shared" si="24"/>
        <v>echo relicBitmap,items/craftingparts/components/component_a52_bristlyfur_b.tex, &gt;&gt; .\items\materia\class0010\Fangshi90.dbr</v>
      </c>
      <c r="Q92" t="str">
        <f t="shared" si="24"/>
        <v>echo itemCost,500000, &gt;&gt; .\items\materia\class0010\Fangshi90.dbr</v>
      </c>
      <c r="R92" t="str">
        <f t="shared" si="24"/>
        <v>echo description,dailCompDescFangshi90, &gt;&gt; .\items\materia\class0010\Fangshi90.dbr</v>
      </c>
      <c r="S92" t="str">
        <f t="shared" si="24"/>
        <v>echo itemText,dailCompTextFangshi90, &gt;&gt; .\items\materia\class0010\Fangshi90.dbr</v>
      </c>
      <c r="T92" t="str">
        <f t="shared" si="24"/>
        <v>echo augmentSkillLevel1,5, &gt;&gt; .\items\materia\class0010\Fangshi90.dbr</v>
      </c>
      <c r="U92" t="str">
        <f t="shared" si="24"/>
        <v>echo augmentSkillName1,records/skills/playerclass10/earth_effect_tra.dbr, &gt;&gt; .\items\materia\class0010\Fangshi90.dbr</v>
      </c>
      <c r="V92" s="5" t="s">
        <v>36</v>
      </c>
      <c r="W92" t="str">
        <f t="shared" si="30"/>
        <v>echo lootName90,DAIL/items/materia/class0010/Fangshi90.dbr, &gt;&gt; .\items\loottables\dailoneskill0010.dbr</v>
      </c>
      <c r="X92" t="str">
        <f t="shared" si="30"/>
        <v>echo lootWeight90,1, &gt;&gt; .\items\loottables\dailoneskill0010.dbr</v>
      </c>
      <c r="Y92" s="5" t="s">
        <v>36</v>
      </c>
      <c r="Z92" t="str">
        <f t="shared" si="31"/>
        <v xml:space="preserve"> dailCompDescFangshi90=^pFangshi's Gift of DAIL</v>
      </c>
      <c r="AA92" t="str">
        <f t="shared" si="39"/>
        <v>dailCompTextFangshi90=^oThis feels warm to the touch, almost familiar ^w(This component only fits into the Medal Slot)</v>
      </c>
      <c r="AB92" s="5" t="s">
        <v>36</v>
      </c>
      <c r="AH92">
        <f t="shared" si="41"/>
        <v>87</v>
      </c>
      <c r="AI92">
        <f t="shared" si="35"/>
        <v>35</v>
      </c>
      <c r="AJ92">
        <f t="shared" si="40"/>
        <v>5</v>
      </c>
    </row>
    <row r="93" spans="1:36" x14ac:dyDescent="0.25">
      <c r="A93" s="5" t="s">
        <v>39</v>
      </c>
      <c r="B93" s="5" t="s">
        <v>30</v>
      </c>
      <c r="C93" s="5" t="str">
        <f t="shared" si="25"/>
        <v>description,dailCompDescFangshi91,</v>
      </c>
      <c r="D93" s="5" t="str">
        <f t="shared" si="26"/>
        <v>itemText,dailCompTextFangshi91,</v>
      </c>
      <c r="E93" s="5" t="str">
        <f t="shared" si="36"/>
        <v>augmentSkillLevel1,5,</v>
      </c>
      <c r="F93" s="5" t="str">
        <f t="shared" si="37"/>
        <v>augmentSkillName1,records/skills/playerclass10/earth_effect_mod.dbr,</v>
      </c>
      <c r="G93" s="7">
        <f t="shared" si="32"/>
        <v>91</v>
      </c>
      <c r="H93" s="8" t="str">
        <f t="shared" si="33"/>
        <v>Fangshi</v>
      </c>
      <c r="I93" s="3" t="s">
        <v>429</v>
      </c>
      <c r="J93" s="8" t="str">
        <f t="shared" si="42"/>
        <v>class0010</v>
      </c>
      <c r="K93" s="8" t="str">
        <f t="shared" si="42"/>
        <v>dailoneskill0010</v>
      </c>
      <c r="L93" s="5" t="str">
        <f t="shared" si="27"/>
        <v>lootName91,DAIL/items/materia/class0010/Fangshi91.dbr,</v>
      </c>
      <c r="M93" s="5" t="str">
        <f t="shared" si="28"/>
        <v>lootWeight91,1,</v>
      </c>
      <c r="N93" t="str">
        <f t="shared" si="29"/>
        <v>5</v>
      </c>
      <c r="O93" t="str">
        <f t="shared" si="38"/>
        <v>copy .\dail_base3.dbr .\items\materia\class0010\Fangshi91.dbr /y</v>
      </c>
      <c r="P93" t="str">
        <f t="shared" si="24"/>
        <v>echo relicBitmap,items/craftingparts/components/component_a52_bristlyfur_b.tex, &gt;&gt; .\items\materia\class0010\Fangshi91.dbr</v>
      </c>
      <c r="Q93" t="str">
        <f t="shared" si="24"/>
        <v>echo itemCost,500000, &gt;&gt; .\items\materia\class0010\Fangshi91.dbr</v>
      </c>
      <c r="R93" t="str">
        <f t="shared" si="24"/>
        <v>echo description,dailCompDescFangshi91, &gt;&gt; .\items\materia\class0010\Fangshi91.dbr</v>
      </c>
      <c r="S93" t="str">
        <f t="shared" si="24"/>
        <v>echo itemText,dailCompTextFangshi91, &gt;&gt; .\items\materia\class0010\Fangshi91.dbr</v>
      </c>
      <c r="T93" t="str">
        <f t="shared" si="24"/>
        <v>echo augmentSkillLevel1,5, &gt;&gt; .\items\materia\class0010\Fangshi91.dbr</v>
      </c>
      <c r="U93" t="str">
        <f t="shared" si="24"/>
        <v>echo augmentSkillName1,records/skills/playerclass10/earth_effect_mod.dbr, &gt;&gt; .\items\materia\class0010\Fangshi91.dbr</v>
      </c>
      <c r="V93" s="5" t="s">
        <v>36</v>
      </c>
      <c r="W93" t="str">
        <f t="shared" si="30"/>
        <v>echo lootName91,DAIL/items/materia/class0010/Fangshi91.dbr, &gt;&gt; .\items\loottables\dailoneskill0010.dbr</v>
      </c>
      <c r="X93" t="str">
        <f t="shared" si="30"/>
        <v>echo lootWeight91,1, &gt;&gt; .\items\loottables\dailoneskill0010.dbr</v>
      </c>
      <c r="Y93" s="5" t="s">
        <v>36</v>
      </c>
      <c r="Z93" t="str">
        <f t="shared" si="31"/>
        <v xml:space="preserve"> dailCompDescFangshi91=^pFangshi's Gift of DAIL</v>
      </c>
      <c r="AA93" t="str">
        <f t="shared" si="39"/>
        <v>dailCompTextFangshi91=^oThis feels warm to the touch, almost familiar ^w(This component only fits into the Medal Slot)</v>
      </c>
      <c r="AB93" s="5" t="s">
        <v>36</v>
      </c>
      <c r="AH93">
        <f t="shared" si="41"/>
        <v>88</v>
      </c>
      <c r="AI93">
        <f t="shared" si="35"/>
        <v>35</v>
      </c>
      <c r="AJ93">
        <f t="shared" si="40"/>
        <v>5</v>
      </c>
    </row>
    <row r="94" spans="1:36" x14ac:dyDescent="0.25">
      <c r="A94" s="5" t="s">
        <v>39</v>
      </c>
      <c r="B94" s="5" t="s">
        <v>30</v>
      </c>
      <c r="C94" s="5" t="str">
        <f t="shared" si="25"/>
        <v>description,dailCompDescFangshi92,</v>
      </c>
      <c r="D94" s="5" t="str">
        <f t="shared" si="26"/>
        <v>itemText,dailCompTextFangshi92,</v>
      </c>
      <c r="E94" s="5" t="str">
        <f t="shared" si="36"/>
        <v>augmentSkillLevel1,5,</v>
      </c>
      <c r="F94" s="5" t="str">
        <f t="shared" si="37"/>
        <v>augmentSkillName1,records/skills/playerclass10/passive.dbr,</v>
      </c>
      <c r="G94" s="7">
        <f t="shared" si="32"/>
        <v>92</v>
      </c>
      <c r="H94" s="8" t="str">
        <f t="shared" si="33"/>
        <v>Fangshi</v>
      </c>
      <c r="I94" s="3" t="s">
        <v>430</v>
      </c>
      <c r="J94" s="8" t="str">
        <f t="shared" si="42"/>
        <v>class0010</v>
      </c>
      <c r="K94" s="8" t="str">
        <f t="shared" si="42"/>
        <v>dailoneskill0010</v>
      </c>
      <c r="L94" s="5" t="str">
        <f t="shared" si="27"/>
        <v>lootName92,DAIL/items/materia/class0010/Fangshi92.dbr,</v>
      </c>
      <c r="M94" s="5" t="str">
        <f t="shared" si="28"/>
        <v>lootWeight92,1,</v>
      </c>
      <c r="N94" t="str">
        <f t="shared" si="29"/>
        <v>5</v>
      </c>
      <c r="O94" t="str">
        <f t="shared" si="38"/>
        <v>copy .\dail_base3.dbr .\items\materia\class0010\Fangshi92.dbr /y</v>
      </c>
      <c r="P94" t="str">
        <f t="shared" si="24"/>
        <v>echo relicBitmap,items/craftingparts/components/component_a52_bristlyfur_b.tex, &gt;&gt; .\items\materia\class0010\Fangshi92.dbr</v>
      </c>
      <c r="Q94" t="str">
        <f t="shared" si="24"/>
        <v>echo itemCost,500000, &gt;&gt; .\items\materia\class0010\Fangshi92.dbr</v>
      </c>
      <c r="R94" t="str">
        <f t="shared" si="24"/>
        <v>echo description,dailCompDescFangshi92, &gt;&gt; .\items\materia\class0010\Fangshi92.dbr</v>
      </c>
      <c r="S94" t="str">
        <f t="shared" si="24"/>
        <v>echo itemText,dailCompTextFangshi92, &gt;&gt; .\items\materia\class0010\Fangshi92.dbr</v>
      </c>
      <c r="T94" t="str">
        <f t="shared" si="24"/>
        <v>echo augmentSkillLevel1,5, &gt;&gt; .\items\materia\class0010\Fangshi92.dbr</v>
      </c>
      <c r="U94" t="str">
        <f t="shared" si="24"/>
        <v>echo augmentSkillName1,records/skills/playerclass10/passive.dbr, &gt;&gt; .\items\materia\class0010\Fangshi92.dbr</v>
      </c>
      <c r="V94" s="5" t="s">
        <v>36</v>
      </c>
      <c r="W94" t="str">
        <f t="shared" si="30"/>
        <v>echo lootName92,DAIL/items/materia/class0010/Fangshi92.dbr, &gt;&gt; .\items\loottables\dailoneskill0010.dbr</v>
      </c>
      <c r="X94" t="str">
        <f t="shared" si="30"/>
        <v>echo lootWeight92,1, &gt;&gt; .\items\loottables\dailoneskill0010.dbr</v>
      </c>
      <c r="Y94" s="5" t="s">
        <v>36</v>
      </c>
      <c r="Z94" t="str">
        <f t="shared" si="31"/>
        <v xml:space="preserve"> dailCompDescFangshi92=^pFangshi's Gift of DAIL</v>
      </c>
      <c r="AA94" t="str">
        <f t="shared" si="39"/>
        <v>dailCompTextFangshi92=^oThis feels warm to the touch, almost familiar ^w(This component only fits into the Medal Slot)</v>
      </c>
      <c r="AB94" s="5" t="s">
        <v>36</v>
      </c>
      <c r="AH94">
        <f t="shared" si="41"/>
        <v>89</v>
      </c>
      <c r="AI94">
        <f t="shared" si="35"/>
        <v>26</v>
      </c>
      <c r="AJ94">
        <f t="shared" si="40"/>
        <v>5</v>
      </c>
    </row>
    <row r="95" spans="1:36" x14ac:dyDescent="0.25">
      <c r="A95" s="5" t="s">
        <v>39</v>
      </c>
      <c r="B95" s="5" t="s">
        <v>30</v>
      </c>
      <c r="C95" s="5" t="str">
        <f t="shared" si="25"/>
        <v>description,dailCompDescFangshi93,</v>
      </c>
      <c r="D95" s="5" t="str">
        <f t="shared" si="26"/>
        <v>itemText,dailCompTextFangshi93,</v>
      </c>
      <c r="E95" s="5" t="str">
        <f t="shared" si="36"/>
        <v>augmentSkillLevel1,5,</v>
      </c>
      <c r="F95" s="5" t="str">
        <f t="shared" si="37"/>
        <v>augmentSkillName1,records/skills/playerclass10/mattack.dbr,</v>
      </c>
      <c r="G95" s="7">
        <f t="shared" si="32"/>
        <v>93</v>
      </c>
      <c r="H95" s="8" t="str">
        <f t="shared" si="33"/>
        <v>Fangshi</v>
      </c>
      <c r="I95" s="3" t="s">
        <v>181</v>
      </c>
      <c r="J95" s="8" t="str">
        <f t="shared" si="42"/>
        <v>class0010</v>
      </c>
      <c r="K95" s="8" t="str">
        <f t="shared" si="42"/>
        <v>dailoneskill0010</v>
      </c>
      <c r="L95" s="5" t="str">
        <f t="shared" si="27"/>
        <v>lootName93,DAIL/items/materia/class0010/Fangshi93.dbr,</v>
      </c>
      <c r="M95" s="5" t="str">
        <f t="shared" si="28"/>
        <v>lootWeight93,1,</v>
      </c>
      <c r="N95" t="str">
        <f t="shared" si="29"/>
        <v>5</v>
      </c>
      <c r="O95" t="str">
        <f t="shared" si="38"/>
        <v>copy .\dail_base3.dbr .\items\materia\class0010\Fangshi93.dbr /y</v>
      </c>
      <c r="P95" t="str">
        <f t="shared" si="24"/>
        <v>echo relicBitmap,items/craftingparts/components/component_a52_bristlyfur_b.tex, &gt;&gt; .\items\materia\class0010\Fangshi93.dbr</v>
      </c>
      <c r="Q95" t="str">
        <f t="shared" si="24"/>
        <v>echo itemCost,500000, &gt;&gt; .\items\materia\class0010\Fangshi93.dbr</v>
      </c>
      <c r="R95" t="str">
        <f t="shared" si="24"/>
        <v>echo description,dailCompDescFangshi93, &gt;&gt; .\items\materia\class0010\Fangshi93.dbr</v>
      </c>
      <c r="S95" t="str">
        <f t="shared" si="24"/>
        <v>echo itemText,dailCompTextFangshi93, &gt;&gt; .\items\materia\class0010\Fangshi93.dbr</v>
      </c>
      <c r="T95" t="str">
        <f t="shared" si="24"/>
        <v>echo augmentSkillLevel1,5, &gt;&gt; .\items\materia\class0010\Fangshi93.dbr</v>
      </c>
      <c r="U95" t="str">
        <f t="shared" si="24"/>
        <v>echo augmentSkillName1,records/skills/playerclass10/mattack.dbr, &gt;&gt; .\items\materia\class0010\Fangshi93.dbr</v>
      </c>
      <c r="V95" s="5" t="s">
        <v>36</v>
      </c>
      <c r="W95" t="str">
        <f t="shared" si="30"/>
        <v>echo lootName93,DAIL/items/materia/class0010/Fangshi93.dbr, &gt;&gt; .\items\loottables\dailoneskill0010.dbr</v>
      </c>
      <c r="X95" t="str">
        <f t="shared" si="30"/>
        <v>echo lootWeight93,1, &gt;&gt; .\items\loottables\dailoneskill0010.dbr</v>
      </c>
      <c r="Y95" s="5" t="s">
        <v>36</v>
      </c>
      <c r="Z95" t="str">
        <f t="shared" si="31"/>
        <v xml:space="preserve"> dailCompDescFangshi93=^pFangshi's Gift of DAIL</v>
      </c>
      <c r="AA95" t="str">
        <f t="shared" si="39"/>
        <v>dailCompTextFangshi93=^oThis feels warm to the touch, almost familiar ^w(This component only fits into the Medal Slot)</v>
      </c>
      <c r="AB95" s="5" t="s">
        <v>36</v>
      </c>
      <c r="AH95">
        <f t="shared" si="41"/>
        <v>90</v>
      </c>
      <c r="AI95">
        <f t="shared" si="35"/>
        <v>26</v>
      </c>
      <c r="AJ95">
        <f t="shared" si="40"/>
        <v>5</v>
      </c>
    </row>
    <row r="96" spans="1:36" x14ac:dyDescent="0.25">
      <c r="A96" s="5" t="s">
        <v>39</v>
      </c>
      <c r="B96" s="5" t="s">
        <v>30</v>
      </c>
      <c r="C96" s="5" t="str">
        <f t="shared" si="25"/>
        <v>description,dailCompDescFangshi94,</v>
      </c>
      <c r="D96" s="5" t="str">
        <f t="shared" si="26"/>
        <v>itemText,dailCompTextFangshi94,</v>
      </c>
      <c r="E96" s="5" t="str">
        <f t="shared" si="36"/>
        <v>augmentSkillLevel1,5,</v>
      </c>
      <c r="F96" s="5" t="str">
        <f t="shared" si="37"/>
        <v>augmentSkillName1,records/skills/playerclass10/sword_fall_mod2.dbr,</v>
      </c>
      <c r="G96" s="7">
        <f t="shared" si="32"/>
        <v>94</v>
      </c>
      <c r="H96" s="8" t="str">
        <f t="shared" si="33"/>
        <v>Fangshi</v>
      </c>
      <c r="I96" s="3" t="s">
        <v>431</v>
      </c>
      <c r="J96" s="8" t="str">
        <f t="shared" si="42"/>
        <v>class0010</v>
      </c>
      <c r="K96" s="8" t="str">
        <f t="shared" si="42"/>
        <v>dailoneskill0010</v>
      </c>
      <c r="L96" s="5" t="str">
        <f t="shared" si="27"/>
        <v>lootName94,DAIL/items/materia/class0010/Fangshi94.dbr,</v>
      </c>
      <c r="M96" s="5" t="str">
        <f t="shared" si="28"/>
        <v>lootWeight94,1,</v>
      </c>
      <c r="N96" t="str">
        <f t="shared" si="29"/>
        <v>5</v>
      </c>
      <c r="O96" t="str">
        <f t="shared" si="38"/>
        <v>copy .\dail_base3.dbr .\items\materia\class0010\Fangshi94.dbr /y</v>
      </c>
      <c r="P96" t="str">
        <f t="shared" si="24"/>
        <v>echo relicBitmap,items/craftingparts/components/component_a52_bristlyfur_b.tex, &gt;&gt; .\items\materia\class0010\Fangshi94.dbr</v>
      </c>
      <c r="Q96" t="str">
        <f t="shared" si="24"/>
        <v>echo itemCost,500000, &gt;&gt; .\items\materia\class0010\Fangshi94.dbr</v>
      </c>
      <c r="R96" t="str">
        <f t="shared" si="24"/>
        <v>echo description,dailCompDescFangshi94, &gt;&gt; .\items\materia\class0010\Fangshi94.dbr</v>
      </c>
      <c r="S96" t="str">
        <f t="shared" si="24"/>
        <v>echo itemText,dailCompTextFangshi94, &gt;&gt; .\items\materia\class0010\Fangshi94.dbr</v>
      </c>
      <c r="T96" t="str">
        <f t="shared" si="24"/>
        <v>echo augmentSkillLevel1,5, &gt;&gt; .\items\materia\class0010\Fangshi94.dbr</v>
      </c>
      <c r="U96" t="str">
        <f t="shared" si="24"/>
        <v>echo augmentSkillName1,records/skills/playerclass10/sword_fall_mod2.dbr, &gt;&gt; .\items\materia\class0010\Fangshi94.dbr</v>
      </c>
      <c r="V96" s="5" t="s">
        <v>36</v>
      </c>
      <c r="W96" t="str">
        <f t="shared" si="30"/>
        <v>echo lootName94,DAIL/items/materia/class0010/Fangshi94.dbr, &gt;&gt; .\items\loottables\dailoneskill0010.dbr</v>
      </c>
      <c r="X96" t="str">
        <f t="shared" si="30"/>
        <v>echo lootWeight94,1, &gt;&gt; .\items\loottables\dailoneskill0010.dbr</v>
      </c>
      <c r="Y96" s="5" t="s">
        <v>36</v>
      </c>
      <c r="Z96" t="str">
        <f t="shared" si="31"/>
        <v xml:space="preserve"> dailCompDescFangshi94=^pFangshi's Gift of DAIL</v>
      </c>
      <c r="AA96" t="str">
        <f t="shared" si="39"/>
        <v>dailCompTextFangshi94=^oThis feels warm to the touch, almost familiar ^w(This component only fits into the Medal Slot)</v>
      </c>
      <c r="AB96" s="5" t="s">
        <v>36</v>
      </c>
      <c r="AH96">
        <f t="shared" si="41"/>
        <v>91</v>
      </c>
      <c r="AI96">
        <f t="shared" si="35"/>
        <v>34</v>
      </c>
      <c r="AJ96">
        <f t="shared" si="40"/>
        <v>5</v>
      </c>
    </row>
    <row r="97" spans="1:36" x14ac:dyDescent="0.25">
      <c r="A97" s="5" t="s">
        <v>39</v>
      </c>
      <c r="B97" s="5" t="s">
        <v>30</v>
      </c>
      <c r="C97" s="5" t="str">
        <f t="shared" si="25"/>
        <v>description,dailCompDescFangshi95,</v>
      </c>
      <c r="D97" s="5" t="str">
        <f t="shared" si="26"/>
        <v>itemText,dailCompTextFangshi95,</v>
      </c>
      <c r="E97" s="5" t="str">
        <f t="shared" si="36"/>
        <v>augmentSkillLevel1,5,</v>
      </c>
      <c r="F97" s="5" t="str">
        <f t="shared" si="37"/>
        <v>augmentSkillName1,records/skills/playerclass10/sword_fall_mod.dbr,</v>
      </c>
      <c r="G97" s="7">
        <f t="shared" si="32"/>
        <v>95</v>
      </c>
      <c r="H97" s="8" t="str">
        <f t="shared" si="33"/>
        <v>Fangshi</v>
      </c>
      <c r="I97" s="3" t="s">
        <v>432</v>
      </c>
      <c r="J97" s="8" t="str">
        <f t="shared" si="42"/>
        <v>class0010</v>
      </c>
      <c r="K97" s="8" t="str">
        <f t="shared" si="42"/>
        <v>dailoneskill0010</v>
      </c>
      <c r="L97" s="5" t="str">
        <f t="shared" si="27"/>
        <v>lootName95,DAIL/items/materia/class0010/Fangshi95.dbr,</v>
      </c>
      <c r="M97" s="5" t="str">
        <f t="shared" si="28"/>
        <v>lootWeight95,1,</v>
      </c>
      <c r="N97" t="str">
        <f t="shared" si="29"/>
        <v>5</v>
      </c>
      <c r="O97" t="str">
        <f t="shared" si="38"/>
        <v>copy .\dail_base3.dbr .\items\materia\class0010\Fangshi95.dbr /y</v>
      </c>
      <c r="P97" t="str">
        <f t="shared" si="24"/>
        <v>echo relicBitmap,items/craftingparts/components/component_a52_bristlyfur_b.tex, &gt;&gt; .\items\materia\class0010\Fangshi95.dbr</v>
      </c>
      <c r="Q97" t="str">
        <f t="shared" si="24"/>
        <v>echo itemCost,500000, &gt;&gt; .\items\materia\class0010\Fangshi95.dbr</v>
      </c>
      <c r="R97" t="str">
        <f t="shared" si="24"/>
        <v>echo description,dailCompDescFangshi95, &gt;&gt; .\items\materia\class0010\Fangshi95.dbr</v>
      </c>
      <c r="S97" t="str">
        <f t="shared" si="24"/>
        <v>echo itemText,dailCompTextFangshi95, &gt;&gt; .\items\materia\class0010\Fangshi95.dbr</v>
      </c>
      <c r="T97" t="str">
        <f t="shared" si="24"/>
        <v>echo augmentSkillLevel1,5, &gt;&gt; .\items\materia\class0010\Fangshi95.dbr</v>
      </c>
      <c r="U97" t="str">
        <f t="shared" si="24"/>
        <v>echo augmentSkillName1,records/skills/playerclass10/sword_fall_mod.dbr, &gt;&gt; .\items\materia\class0010\Fangshi95.dbr</v>
      </c>
      <c r="V97" s="5" t="s">
        <v>36</v>
      </c>
      <c r="W97" t="str">
        <f t="shared" si="30"/>
        <v>echo lootName95,DAIL/items/materia/class0010/Fangshi95.dbr, &gt;&gt; .\items\loottables\dailoneskill0010.dbr</v>
      </c>
      <c r="X97" t="str">
        <f t="shared" si="30"/>
        <v>echo lootWeight95,1, &gt;&gt; .\items\loottables\dailoneskill0010.dbr</v>
      </c>
      <c r="Y97" s="5" t="s">
        <v>36</v>
      </c>
      <c r="Z97" t="str">
        <f t="shared" si="31"/>
        <v xml:space="preserve"> dailCompDescFangshi95=^pFangshi's Gift of DAIL</v>
      </c>
      <c r="AA97" t="str">
        <f t="shared" si="39"/>
        <v>dailCompTextFangshi95=^oThis feels warm to the touch, almost familiar ^w(This component only fits into the Medal Slot)</v>
      </c>
      <c r="AB97" s="5" t="s">
        <v>36</v>
      </c>
      <c r="AH97">
        <f t="shared" si="41"/>
        <v>92</v>
      </c>
      <c r="AI97">
        <f t="shared" si="35"/>
        <v>33</v>
      </c>
      <c r="AJ97">
        <f t="shared" si="40"/>
        <v>5</v>
      </c>
    </row>
    <row r="98" spans="1:36" x14ac:dyDescent="0.25">
      <c r="A98" s="5" t="s">
        <v>39</v>
      </c>
      <c r="B98" s="5" t="s">
        <v>30</v>
      </c>
      <c r="C98" s="5" t="str">
        <f t="shared" si="25"/>
        <v>description,dailCompDescFangshi96,</v>
      </c>
      <c r="D98" s="5" t="str">
        <f t="shared" si="26"/>
        <v>itemText,dailCompTextFangshi96,</v>
      </c>
      <c r="E98" s="5" t="str">
        <f t="shared" si="36"/>
        <v>augmentSkillLevel1,5,</v>
      </c>
      <c r="F98" s="5" t="str">
        <f t="shared" si="37"/>
        <v>augmentSkillName1,records/skills/playerclass10/summonsword.dbr,</v>
      </c>
      <c r="G98" s="7">
        <f t="shared" si="32"/>
        <v>96</v>
      </c>
      <c r="H98" s="8" t="str">
        <f t="shared" si="33"/>
        <v>Fangshi</v>
      </c>
      <c r="I98" s="3" t="s">
        <v>185</v>
      </c>
      <c r="J98" s="8" t="str">
        <f t="shared" si="42"/>
        <v>class0010</v>
      </c>
      <c r="K98" s="8" t="str">
        <f t="shared" si="42"/>
        <v>dailoneskill0010</v>
      </c>
      <c r="L98" s="5" t="str">
        <f t="shared" si="27"/>
        <v>lootName96,DAIL/items/materia/class0010/Fangshi96.dbr,</v>
      </c>
      <c r="M98" s="5" t="str">
        <f t="shared" si="28"/>
        <v>lootWeight96,1,</v>
      </c>
      <c r="N98" t="str">
        <f t="shared" si="29"/>
        <v>5</v>
      </c>
      <c r="O98" t="str">
        <f t="shared" si="38"/>
        <v>copy .\dail_base3.dbr .\items\materia\class0010\Fangshi96.dbr /y</v>
      </c>
      <c r="P98" t="str">
        <f t="shared" si="24"/>
        <v>echo relicBitmap,items/craftingparts/components/component_a52_bristlyfur_b.tex, &gt;&gt; .\items\materia\class0010\Fangshi96.dbr</v>
      </c>
      <c r="Q98" t="str">
        <f t="shared" si="24"/>
        <v>echo itemCost,500000, &gt;&gt; .\items\materia\class0010\Fangshi96.dbr</v>
      </c>
      <c r="R98" t="str">
        <f t="shared" si="24"/>
        <v>echo description,dailCompDescFangshi96, &gt;&gt; .\items\materia\class0010\Fangshi96.dbr</v>
      </c>
      <c r="S98" t="str">
        <f t="shared" si="24"/>
        <v>echo itemText,dailCompTextFangshi96, &gt;&gt; .\items\materia\class0010\Fangshi96.dbr</v>
      </c>
      <c r="T98" t="str">
        <f t="shared" si="24"/>
        <v>echo augmentSkillLevel1,5, &gt;&gt; .\items\materia\class0010\Fangshi96.dbr</v>
      </c>
      <c r="U98" t="str">
        <f t="shared" si="24"/>
        <v>echo augmentSkillName1,records/skills/playerclass10/summonsword.dbr, &gt;&gt; .\items\materia\class0010\Fangshi96.dbr</v>
      </c>
      <c r="V98" s="5" t="s">
        <v>36</v>
      </c>
      <c r="W98" t="str">
        <f t="shared" si="30"/>
        <v>echo lootName96,DAIL/items/materia/class0010/Fangshi96.dbr, &gt;&gt; .\items\loottables\dailoneskill0010.dbr</v>
      </c>
      <c r="X98" t="str">
        <f t="shared" si="30"/>
        <v>echo lootWeight96,1, &gt;&gt; .\items\loottables\dailoneskill0010.dbr</v>
      </c>
      <c r="Y98" s="5" t="s">
        <v>36</v>
      </c>
      <c r="Z98" t="str">
        <f t="shared" si="31"/>
        <v xml:space="preserve"> dailCompDescFangshi96=^pFangshi's Gift of DAIL</v>
      </c>
      <c r="AA98" t="str">
        <f t="shared" si="39"/>
        <v>dailCompTextFangshi96=^oThis feels warm to the touch, almost familiar ^w(This component only fits into the Medal Slot)</v>
      </c>
      <c r="AB98" s="5" t="s">
        <v>36</v>
      </c>
      <c r="AH98">
        <f t="shared" si="41"/>
        <v>93</v>
      </c>
      <c r="AI98">
        <f t="shared" si="35"/>
        <v>30</v>
      </c>
      <c r="AJ98">
        <f t="shared" si="40"/>
        <v>5</v>
      </c>
    </row>
    <row r="99" spans="1:36" x14ac:dyDescent="0.25">
      <c r="A99" s="5" t="s">
        <v>39</v>
      </c>
      <c r="B99" s="5" t="s">
        <v>30</v>
      </c>
      <c r="C99" s="5" t="str">
        <f t="shared" si="25"/>
        <v>description,dailCompDescFangshi97,</v>
      </c>
      <c r="D99" s="5" t="str">
        <f t="shared" si="26"/>
        <v>itemText,dailCompTextFangshi97,</v>
      </c>
      <c r="E99" s="5" t="str">
        <f t="shared" si="36"/>
        <v>augmentSkillLevel1,5,</v>
      </c>
      <c r="F99" s="5" t="str">
        <f t="shared" si="37"/>
        <v>augmentSkillName1,records/skills/playerclass10/icewall.dbr,</v>
      </c>
      <c r="G99" s="7">
        <f t="shared" si="32"/>
        <v>97</v>
      </c>
      <c r="H99" s="8" t="str">
        <f t="shared" si="33"/>
        <v>Fangshi</v>
      </c>
      <c r="I99" s="3" t="s">
        <v>180</v>
      </c>
      <c r="J99" s="8" t="str">
        <f t="shared" si="42"/>
        <v>class0010</v>
      </c>
      <c r="K99" s="8" t="str">
        <f t="shared" si="42"/>
        <v>dailoneskill0010</v>
      </c>
      <c r="L99" s="5" t="str">
        <f t="shared" si="27"/>
        <v>lootName97,DAIL/items/materia/class0010/Fangshi97.dbr,</v>
      </c>
      <c r="M99" s="5" t="str">
        <f t="shared" si="28"/>
        <v>lootWeight97,1,</v>
      </c>
      <c r="N99" t="str">
        <f t="shared" si="29"/>
        <v>5</v>
      </c>
      <c r="O99" t="str">
        <f t="shared" si="38"/>
        <v>copy .\dail_base3.dbr .\items\materia\class0010\Fangshi97.dbr /y</v>
      </c>
      <c r="P99" t="str">
        <f t="shared" si="24"/>
        <v>echo relicBitmap,items/craftingparts/components/component_a52_bristlyfur_b.tex, &gt;&gt; .\items\materia\class0010\Fangshi97.dbr</v>
      </c>
      <c r="Q99" t="str">
        <f t="shared" si="24"/>
        <v>echo itemCost,500000, &gt;&gt; .\items\materia\class0010\Fangshi97.dbr</v>
      </c>
      <c r="R99" t="str">
        <f t="shared" si="24"/>
        <v>echo description,dailCompDescFangshi97, &gt;&gt; .\items\materia\class0010\Fangshi97.dbr</v>
      </c>
      <c r="S99" t="str">
        <f t="shared" si="24"/>
        <v>echo itemText,dailCompTextFangshi97, &gt;&gt; .\items\materia\class0010\Fangshi97.dbr</v>
      </c>
      <c r="T99" t="str">
        <f t="shared" si="24"/>
        <v>echo augmentSkillLevel1,5, &gt;&gt; .\items\materia\class0010\Fangshi97.dbr</v>
      </c>
      <c r="U99" t="str">
        <f t="shared" si="24"/>
        <v>echo augmentSkillName1,records/skills/playerclass10/icewall.dbr, &gt;&gt; .\items\materia\class0010\Fangshi97.dbr</v>
      </c>
      <c r="V99" s="5" t="s">
        <v>36</v>
      </c>
      <c r="W99" t="str">
        <f t="shared" si="30"/>
        <v>echo lootName97,DAIL/items/materia/class0010/Fangshi97.dbr, &gt;&gt; .\items\loottables\dailoneskill0010.dbr</v>
      </c>
      <c r="X99" t="str">
        <f t="shared" si="30"/>
        <v>echo lootWeight97,1, &gt;&gt; .\items\loottables\dailoneskill0010.dbr</v>
      </c>
      <c r="Y99" s="5" t="s">
        <v>36</v>
      </c>
      <c r="Z99" t="str">
        <f t="shared" si="31"/>
        <v xml:space="preserve"> dailCompDescFangshi97=^pFangshi's Gift of DAIL</v>
      </c>
      <c r="AA99" t="str">
        <f t="shared" si="39"/>
        <v>dailCompTextFangshi97=^oThis feels warm to the touch, almost familiar ^w(This component only fits into the Medal Slot)</v>
      </c>
      <c r="AB99" s="5" t="s">
        <v>36</v>
      </c>
      <c r="AH99">
        <f t="shared" si="41"/>
        <v>94</v>
      </c>
      <c r="AI99">
        <f t="shared" si="35"/>
        <v>26</v>
      </c>
      <c r="AJ99">
        <f t="shared" si="40"/>
        <v>5</v>
      </c>
    </row>
    <row r="100" spans="1:36" x14ac:dyDescent="0.25">
      <c r="A100" s="5" t="s">
        <v>39</v>
      </c>
      <c r="B100" s="5" t="s">
        <v>30</v>
      </c>
      <c r="C100" s="5" t="str">
        <f t="shared" si="25"/>
        <v>description,dailCompDescFangshi98,</v>
      </c>
      <c r="D100" s="5" t="str">
        <f t="shared" si="26"/>
        <v>itemText,dailCompTextFangshi98,</v>
      </c>
      <c r="E100" s="5" t="str">
        <f t="shared" si="36"/>
        <v>augmentSkillLevel1,5,</v>
      </c>
      <c r="F100" s="5" t="str">
        <f t="shared" si="37"/>
        <v>augmentSkillName1,records/skills/playerclass10/icewall_tra_base.dbr,</v>
      </c>
      <c r="G100" s="7">
        <f t="shared" si="32"/>
        <v>98</v>
      </c>
      <c r="H100" s="8" t="str">
        <f t="shared" si="33"/>
        <v>Fangshi</v>
      </c>
      <c r="I100" s="3" t="s">
        <v>433</v>
      </c>
      <c r="J100" s="8" t="str">
        <f t="shared" si="42"/>
        <v>class0010</v>
      </c>
      <c r="K100" s="8" t="str">
        <f t="shared" si="42"/>
        <v>dailoneskill0010</v>
      </c>
      <c r="L100" s="5" t="str">
        <f t="shared" si="27"/>
        <v>lootName98,DAIL/items/materia/class0010/Fangshi98.dbr,</v>
      </c>
      <c r="M100" s="5" t="str">
        <f t="shared" si="28"/>
        <v>lootWeight98,1,</v>
      </c>
      <c r="N100" t="str">
        <f t="shared" si="29"/>
        <v>5</v>
      </c>
      <c r="O100" t="str">
        <f t="shared" si="38"/>
        <v>copy .\dail_base3.dbr .\items\materia\class0010\Fangshi98.dbr /y</v>
      </c>
      <c r="P100" t="str">
        <f t="shared" si="24"/>
        <v>echo relicBitmap,items/craftingparts/components/component_a52_bristlyfur_b.tex, &gt;&gt; .\items\materia\class0010\Fangshi98.dbr</v>
      </c>
      <c r="Q100" t="str">
        <f t="shared" si="24"/>
        <v>echo itemCost,500000, &gt;&gt; .\items\materia\class0010\Fangshi98.dbr</v>
      </c>
      <c r="R100" t="str">
        <f t="shared" si="24"/>
        <v>echo description,dailCompDescFangshi98, &gt;&gt; .\items\materia\class0010\Fangshi98.dbr</v>
      </c>
      <c r="S100" t="str">
        <f t="shared" si="24"/>
        <v>echo itemText,dailCompTextFangshi98, &gt;&gt; .\items\materia\class0010\Fangshi98.dbr</v>
      </c>
      <c r="T100" t="str">
        <f t="shared" si="24"/>
        <v>echo augmentSkillLevel1,5, &gt;&gt; .\items\materia\class0010\Fangshi98.dbr</v>
      </c>
      <c r="U100" t="str">
        <f t="shared" si="24"/>
        <v>echo augmentSkillName1,records/skills/playerclass10/icewall_tra_base.dbr, &gt;&gt; .\items\materia\class0010\Fangshi98.dbr</v>
      </c>
      <c r="V100" s="5" t="s">
        <v>36</v>
      </c>
      <c r="W100" t="str">
        <f t="shared" si="30"/>
        <v>echo lootName98,DAIL/items/materia/class0010/Fangshi98.dbr, &gt;&gt; .\items\loottables\dailoneskill0010.dbr</v>
      </c>
      <c r="X100" t="str">
        <f t="shared" si="30"/>
        <v>echo lootWeight98,1, &gt;&gt; .\items\loottables\dailoneskill0010.dbr</v>
      </c>
      <c r="Y100" s="5" t="s">
        <v>36</v>
      </c>
      <c r="Z100" t="str">
        <f t="shared" si="31"/>
        <v xml:space="preserve"> dailCompDescFangshi98=^pFangshi's Gift of DAIL</v>
      </c>
      <c r="AA100" t="str">
        <f t="shared" si="39"/>
        <v>dailCompTextFangshi98=^oThis feels warm to the touch, almost familiar ^w(This component only fits into the Medal Slot)</v>
      </c>
      <c r="AB100" s="5" t="s">
        <v>36</v>
      </c>
      <c r="AH100">
        <f t="shared" si="41"/>
        <v>95</v>
      </c>
      <c r="AI100">
        <f t="shared" si="35"/>
        <v>35</v>
      </c>
      <c r="AJ100">
        <f t="shared" si="40"/>
        <v>5</v>
      </c>
    </row>
    <row r="101" spans="1:36" x14ac:dyDescent="0.25">
      <c r="A101" s="5" t="s">
        <v>39</v>
      </c>
      <c r="B101" s="5" t="s">
        <v>30</v>
      </c>
      <c r="C101" s="5" t="str">
        <f t="shared" si="25"/>
        <v>description,dailCompDescFangshi99,</v>
      </c>
      <c r="D101" s="5" t="str">
        <f t="shared" si="26"/>
        <v>itemText,dailCompTextFangshi99,</v>
      </c>
      <c r="E101" s="5" t="str">
        <f t="shared" si="36"/>
        <v>augmentSkillLevel1,5,</v>
      </c>
      <c r="F101" s="5" t="str">
        <f t="shared" si="37"/>
        <v>augmentSkillName1,records/skills/playerclass10/snow_rush.dbr,</v>
      </c>
      <c r="G101" s="7">
        <f t="shared" si="32"/>
        <v>99</v>
      </c>
      <c r="H101" s="8" t="str">
        <f t="shared" si="33"/>
        <v>Fangshi</v>
      </c>
      <c r="I101" s="3" t="s">
        <v>184</v>
      </c>
      <c r="J101" s="8" t="str">
        <f t="shared" ref="J101:K102" si="43">J100</f>
        <v>class0010</v>
      </c>
      <c r="K101" s="8" t="str">
        <f t="shared" si="43"/>
        <v>dailoneskill0010</v>
      </c>
      <c r="L101" s="5" t="str">
        <f t="shared" si="27"/>
        <v>lootName99,DAIL/items/materia/class0010/Fangshi99.dbr,</v>
      </c>
      <c r="M101" s="5" t="str">
        <f t="shared" si="28"/>
        <v>lootWeight99,1,</v>
      </c>
      <c r="N101" t="str">
        <f t="shared" si="29"/>
        <v>5</v>
      </c>
      <c r="O101" t="str">
        <f t="shared" si="38"/>
        <v>copy .\dail_base3.dbr .\items\materia\class0010\Fangshi99.dbr /y</v>
      </c>
      <c r="P101" t="str">
        <f t="shared" si="24"/>
        <v>echo relicBitmap,items/craftingparts/components/component_a52_bristlyfur_b.tex, &gt;&gt; .\items\materia\class0010\Fangshi99.dbr</v>
      </c>
      <c r="Q101" t="str">
        <f t="shared" si="24"/>
        <v>echo itemCost,500000, &gt;&gt; .\items\materia\class0010\Fangshi99.dbr</v>
      </c>
      <c r="R101" t="str">
        <f t="shared" si="24"/>
        <v>echo description,dailCompDescFangshi99, &gt;&gt; .\items\materia\class0010\Fangshi99.dbr</v>
      </c>
      <c r="S101" t="str">
        <f t="shared" ref="S101:U102" si="44">IF($I101&lt;&gt;"","echo "&amp;D101&amp;" &gt;&gt; .\items\materia\"&amp;$J101&amp;"\"&amp;$H101&amp;$G101&amp;".dbr","")</f>
        <v>echo itemText,dailCompTextFangshi99, &gt;&gt; .\items\materia\class0010\Fangshi99.dbr</v>
      </c>
      <c r="T101" t="str">
        <f t="shared" si="44"/>
        <v>echo augmentSkillLevel1,5, &gt;&gt; .\items\materia\class0010\Fangshi99.dbr</v>
      </c>
      <c r="U101" t="str">
        <f t="shared" si="44"/>
        <v>echo augmentSkillName1,records/skills/playerclass10/snow_rush.dbr, &gt;&gt; .\items\materia\class0010\Fangshi99.dbr</v>
      </c>
      <c r="V101" s="5" t="s">
        <v>36</v>
      </c>
      <c r="W101" t="str">
        <f t="shared" si="30"/>
        <v>echo lootName99,DAIL/items/materia/class0010/Fangshi99.dbr, &gt;&gt; .\items\loottables\dailoneskill0010.dbr</v>
      </c>
      <c r="X101" t="str">
        <f t="shared" si="30"/>
        <v>echo lootWeight99,1, &gt;&gt; .\items\loottables\dailoneskill0010.dbr</v>
      </c>
      <c r="Y101" s="5" t="s">
        <v>36</v>
      </c>
      <c r="Z101" t="str">
        <f t="shared" si="31"/>
        <v xml:space="preserve"> dailCompDescFangshi99=^pFangshi's Gift of DAIL</v>
      </c>
      <c r="AA101" t="str">
        <f t="shared" si="39"/>
        <v>dailCompTextFangshi99=^oThis feels warm to the touch, almost familiar ^w(This component only fits into the Medal Slot)</v>
      </c>
      <c r="AB101" s="5" t="s">
        <v>36</v>
      </c>
      <c r="AH101">
        <f t="shared" si="41"/>
        <v>96</v>
      </c>
      <c r="AI101">
        <f t="shared" si="35"/>
        <v>28</v>
      </c>
      <c r="AJ101">
        <f t="shared" si="40"/>
        <v>5</v>
      </c>
    </row>
    <row r="102" spans="1:36" x14ac:dyDescent="0.25">
      <c r="A102" s="5" t="s">
        <v>39</v>
      </c>
      <c r="B102" s="5" t="s">
        <v>30</v>
      </c>
      <c r="C102" s="5" t="str">
        <f t="shared" si="25"/>
        <v>description,dailCompDescFangshi,</v>
      </c>
      <c r="D102" s="5" t="str">
        <f t="shared" si="26"/>
        <v>itemText,dailCompTextFangshi,</v>
      </c>
      <c r="E102" s="5" t="str">
        <f t="shared" si="36"/>
        <v>augmentSkillLevel1,5,</v>
      </c>
      <c r="F102" s="5" t="str">
        <f t="shared" si="37"/>
        <v>augmentSkillName1,records/skills,</v>
      </c>
      <c r="G102" s="7" t="str">
        <f t="shared" si="32"/>
        <v/>
      </c>
      <c r="H102" s="8" t="str">
        <f t="shared" si="33"/>
        <v>Fangshi</v>
      </c>
      <c r="J102" s="8" t="str">
        <f t="shared" si="43"/>
        <v>class0010</v>
      </c>
      <c r="K102" s="8" t="str">
        <f t="shared" si="43"/>
        <v>dailoneskill0010</v>
      </c>
      <c r="L102" s="5" t="str">
        <f t="shared" si="27"/>
        <v>lootName,DAIL/items/materia/class0010/Fangshi.dbr,</v>
      </c>
      <c r="M102" s="5" t="str">
        <f t="shared" si="28"/>
        <v>lootWeight,1,</v>
      </c>
      <c r="N102" t="str">
        <f t="shared" si="29"/>
        <v>5</v>
      </c>
      <c r="O102" t="str">
        <f t="shared" si="38"/>
        <v/>
      </c>
      <c r="P102" t="str">
        <f t="shared" ref="P102:R102" si="45">IF($I102&lt;&gt;"","echo "&amp;A102&amp;" &gt;&gt; .\items\materia\"&amp;$J102&amp;"\"&amp;$H102&amp;$G102&amp;".dbr","")</f>
        <v/>
      </c>
      <c r="Q102" t="str">
        <f t="shared" si="45"/>
        <v/>
      </c>
      <c r="R102" t="str">
        <f t="shared" si="45"/>
        <v/>
      </c>
      <c r="S102" t="str">
        <f t="shared" si="44"/>
        <v/>
      </c>
      <c r="T102" t="str">
        <f t="shared" si="44"/>
        <v/>
      </c>
      <c r="U102" t="str">
        <f t="shared" si="44"/>
        <v/>
      </c>
      <c r="V102" s="5" t="s">
        <v>36</v>
      </c>
      <c r="W102" t="str">
        <f t="shared" si="30"/>
        <v/>
      </c>
      <c r="X102" t="str">
        <f t="shared" si="30"/>
        <v/>
      </c>
      <c r="Y102" s="5" t="s">
        <v>36</v>
      </c>
      <c r="Z102" t="str">
        <f t="shared" si="31"/>
        <v xml:space="preserve"> dailCompDescFangshi=^pFangshi's Gift of DAIL</v>
      </c>
      <c r="AA102" t="str">
        <f t="shared" si="39"/>
        <v>dailCompTextFangshi=^oThis feels warm to the touch, almost familiar ^w(This component only fits into the Medal Slot)</v>
      </c>
      <c r="AB102" s="5" t="s">
        <v>36</v>
      </c>
      <c r="AH102">
        <f t="shared" si="41"/>
        <v>97</v>
      </c>
      <c r="AI102">
        <f t="shared" si="35"/>
        <v>0</v>
      </c>
      <c r="AJ102">
        <f t="shared" si="40"/>
        <v>5</v>
      </c>
    </row>
  </sheetData>
  <mergeCells count="1">
    <mergeCell ref="O2:U2"/>
  </mergeCells>
  <pageMargins left="0.7" right="0.7" top="0.75" bottom="0.75" header="0.3" footer="0.3"/>
  <pageSetup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AL102"/>
  <sheetViews>
    <sheetView topLeftCell="M1" zoomScaleNormal="100" workbookViewId="0">
      <selection activeCell="U3" sqref="U3:U102"/>
    </sheetView>
  </sheetViews>
  <sheetFormatPr defaultRowHeight="15" x14ac:dyDescent="0.25"/>
  <cols>
    <col min="1" max="1" width="73.85546875" style="5" bestFit="1" customWidth="1"/>
    <col min="2" max="2" width="16.28515625" style="5" bestFit="1" customWidth="1"/>
    <col min="3" max="3" width="32.7109375" style="5" bestFit="1" customWidth="1"/>
    <col min="4" max="4" width="31.42578125" style="5" bestFit="1" customWidth="1"/>
    <col min="5" max="5" width="24.28515625" style="5" bestFit="1" customWidth="1"/>
    <col min="6" max="6" width="73.5703125" style="5" bestFit="1" customWidth="1"/>
    <col min="7" max="7" width="5.85546875" style="8" bestFit="1" customWidth="1"/>
    <col min="8" max="8" width="7.85546875" style="3" bestFit="1" customWidth="1"/>
    <col min="9" max="9" width="38.140625" style="3" bestFit="1" customWidth="1"/>
    <col min="10" max="10" width="9.140625" style="3" bestFit="1" customWidth="1"/>
    <col min="11" max="11" width="18.140625" style="3" customWidth="1"/>
    <col min="12" max="12" width="51.85546875" style="5" bestFit="1" customWidth="1"/>
    <col min="13" max="13" width="21.28515625" style="5" customWidth="1"/>
    <col min="15" max="15" width="10.5703125" customWidth="1"/>
    <col min="22" max="22" width="1.5703125" style="5" customWidth="1"/>
    <col min="23" max="23" width="9.5703125" customWidth="1"/>
    <col min="25" max="25" width="1.5703125" style="5" bestFit="1" customWidth="1"/>
    <col min="26" max="26" width="46.7109375" bestFit="1" customWidth="1"/>
    <col min="27" max="27" width="29.140625" customWidth="1"/>
    <col min="28" max="28" width="1.5703125" style="5" bestFit="1" customWidth="1"/>
    <col min="31" max="31" width="14.140625" bestFit="1" customWidth="1"/>
  </cols>
  <sheetData>
    <row r="1" spans="1:38" x14ac:dyDescent="0.25">
      <c r="G1" s="5"/>
      <c r="H1" s="5"/>
      <c r="I1" s="5"/>
      <c r="J1" s="5"/>
      <c r="K1" s="5"/>
      <c r="N1" s="5"/>
      <c r="O1" s="9"/>
      <c r="P1" s="9"/>
      <c r="Q1" s="9"/>
      <c r="R1" s="9"/>
      <c r="S1" s="9"/>
      <c r="T1" s="9"/>
      <c r="U1" s="9"/>
      <c r="W1" s="9"/>
      <c r="X1" s="9"/>
      <c r="Z1" s="9"/>
      <c r="AA1" s="9"/>
    </row>
    <row r="2" spans="1:38" x14ac:dyDescent="0.25">
      <c r="A2" s="4" t="s">
        <v>2</v>
      </c>
      <c r="B2" s="4" t="s">
        <v>3</v>
      </c>
      <c r="C2" s="4" t="s">
        <v>4</v>
      </c>
      <c r="D2" s="4" t="s">
        <v>5</v>
      </c>
      <c r="E2" s="4" t="s">
        <v>6</v>
      </c>
      <c r="F2" s="4" t="s">
        <v>7</v>
      </c>
      <c r="G2" s="6" t="s">
        <v>9</v>
      </c>
      <c r="H2" s="2" t="s">
        <v>26</v>
      </c>
      <c r="I2" s="2" t="s">
        <v>8</v>
      </c>
      <c r="J2" s="2" t="s">
        <v>33</v>
      </c>
      <c r="K2" s="2" t="s">
        <v>38</v>
      </c>
      <c r="L2" s="4" t="s">
        <v>31</v>
      </c>
      <c r="M2" s="4" t="s">
        <v>32</v>
      </c>
      <c r="O2" s="11" t="str">
        <f>"Copy from N to T Into the files named "&amp;H3&amp;G3&amp;" etc"</f>
        <v>Copy from N to T Into the files named FrostKnight1 etc</v>
      </c>
      <c r="P2" s="11"/>
      <c r="Q2" s="11"/>
      <c r="R2" s="11"/>
      <c r="S2" s="11"/>
      <c r="T2" s="11"/>
      <c r="U2" s="11"/>
      <c r="W2" s="1" t="s">
        <v>35</v>
      </c>
      <c r="Z2" s="1" t="s">
        <v>40</v>
      </c>
      <c r="AD2" t="s">
        <v>44</v>
      </c>
    </row>
    <row r="3" spans="1:38" x14ac:dyDescent="0.25">
      <c r="A3" s="5" t="s">
        <v>39</v>
      </c>
      <c r="B3" s="5" t="s">
        <v>0</v>
      </c>
      <c r="C3" s="5" t="str">
        <f t="shared" ref="C3:C66" si="0">"description,dailCompDesc"&amp;H3&amp;G3&amp;","</f>
        <v>description,dailCompDescFrostKnight1,</v>
      </c>
      <c r="D3" s="5" t="str">
        <f>"itemText,dailCompText"&amp;H3&amp;G3&amp;","</f>
        <v>itemText,dailCompTextFrostKnight1,</v>
      </c>
      <c r="E3" s="5" t="s">
        <v>24</v>
      </c>
      <c r="F3" s="5" t="str">
        <f>"augmentMasteryName1,records/skills"&amp;I3&amp;","</f>
        <v>augmentMasteryName1,records/skills/FrostKnightClass/_ClassTraining_FK.dbr,</v>
      </c>
      <c r="G3" s="7">
        <f>IF(I3&lt;&gt;"",1,"")</f>
        <v>1</v>
      </c>
      <c r="H3" s="3" t="s">
        <v>517</v>
      </c>
      <c r="I3" s="3" t="s">
        <v>192</v>
      </c>
      <c r="J3" s="3" t="s">
        <v>87</v>
      </c>
      <c r="K3" s="3" t="s">
        <v>88</v>
      </c>
      <c r="L3" s="5" t="str">
        <f>"lootName"&amp;G3&amp;",DAIL/items/materia/"&amp;J3&amp;"/"&amp;H3&amp;G3&amp;".dbr"&amp;","</f>
        <v>lootName1,DAIL/items/materia/class0011/FrostKnight1.dbr,</v>
      </c>
      <c r="M3" s="5" t="str">
        <f>"lootWeight"&amp;G3&amp;",1,"</f>
        <v>lootWeight1,1,</v>
      </c>
      <c r="N3" t="str">
        <f>LEFT(RIGHT(E3,2),1)</f>
        <v>1</v>
      </c>
      <c r="O3" s="5" t="str">
        <f>IF(I3&lt;&gt;"","copy .\dail_base2.dbr .\items\materia\"&amp;J3&amp;"\"&amp;H3&amp;G3&amp;".dbr /y"&amp;"","")</f>
        <v>copy .\dail_base2.dbr .\items\materia\class0011\FrostKnight1.dbr /y</v>
      </c>
      <c r="P3" t="str">
        <f>IF($I3&lt;&gt;"","echo "&amp;A3&amp;" &gt;&gt; .\items\materia\"&amp;$J3&amp;"\"&amp;$H3&amp;$G3&amp;".dbr","")</f>
        <v>echo relicBitmap,items/craftingparts/components/component_a52_bristlyfur_b.tex, &gt;&gt; .\items\materia\class0011\FrostKnight1.dbr</v>
      </c>
      <c r="Q3" t="str">
        <f t="shared" ref="Q3:U18" si="1">IF($I3&lt;&gt;"","echo "&amp;B3&amp;" &gt;&gt; .\items\materia\"&amp;$J3&amp;"\"&amp;$H3&amp;$G3&amp;".dbr","")</f>
        <v>echo itemCost,100000, &gt;&gt; .\items\materia\class0011\FrostKnight1.dbr</v>
      </c>
      <c r="R3" t="str">
        <f t="shared" si="1"/>
        <v>echo description,dailCompDescFrostKnight1, &gt;&gt; .\items\materia\class0011\FrostKnight1.dbr</v>
      </c>
      <c r="S3" t="str">
        <f t="shared" si="1"/>
        <v>echo itemText,dailCompTextFrostKnight1, &gt;&gt; .\items\materia\class0011\FrostKnight1.dbr</v>
      </c>
      <c r="T3" t="str">
        <f t="shared" si="1"/>
        <v>echo augmentMasteryLevel1,1, &gt;&gt; .\items\materia\class0011\FrostKnight1.dbr</v>
      </c>
      <c r="U3" t="str">
        <f t="shared" si="1"/>
        <v>echo augmentMasteryName1,records/skills/FrostKnightClass/_ClassTraining_FK.dbr, &gt;&gt; .\items\materia\class0011\FrostKnight1.dbr</v>
      </c>
      <c r="V3" s="5" t="s">
        <v>36</v>
      </c>
      <c r="W3" t="str">
        <f>IF($I3&lt;&gt;"","echo "&amp;L3&amp;" &gt;&gt; .\items\loottables\"&amp;$K3&amp;".dbr","")</f>
        <v>echo lootName1,DAIL/items/materia/class0011/FrostKnight1.dbr, &gt;&gt; .\items\loottables\dailoneskill0011.dbr</v>
      </c>
      <c r="X3" t="str">
        <f>IF($I3&lt;&gt;"","echo "&amp;M3&amp;" &gt;&gt; .\items\loottables\"&amp;$K3&amp;".dbr","")</f>
        <v>echo lootWeight1,1, &gt;&gt; .\items\loottables\dailoneskill0011.dbr</v>
      </c>
      <c r="Y3" s="5" t="s">
        <v>36</v>
      </c>
      <c r="Z3" s="10" t="str">
        <f>IF(I2&lt;&gt;""," dailCompDesc"&amp;H3&amp;G3&amp;"=^p"&amp;H3&amp;"'s Gift of DAIL","")</f>
        <v xml:space="preserve"> dailCompDescFrostKnight1=^pFrostKnight's Gift of DAIL</v>
      </c>
      <c r="AA3" s="10" t="str">
        <f>IF(I2&lt;&gt;"","dailCompText"&amp;H3&amp;G3&amp;"=^oThis feels warm to the touch, almost familiar ^w(This component fits into the amulet only)","")</f>
        <v>dailCompTextFrostKnight1=^oThis feels warm to the touch, almost familiar ^w(This component fits into the amulet only)</v>
      </c>
      <c r="AB3" s="5" t="s">
        <v>36</v>
      </c>
      <c r="AD3">
        <v>1</v>
      </c>
      <c r="AE3" t="s">
        <v>42</v>
      </c>
      <c r="AF3" t="s">
        <v>45</v>
      </c>
    </row>
    <row r="4" spans="1:38" x14ac:dyDescent="0.25">
      <c r="A4" s="5" t="s">
        <v>39</v>
      </c>
      <c r="B4" s="5" t="s">
        <v>28</v>
      </c>
      <c r="C4" s="5" t="str">
        <f t="shared" si="0"/>
        <v>description,dailCompDescFrostKnight2,</v>
      </c>
      <c r="D4" s="5" t="str">
        <f t="shared" ref="D4:D67" si="2">"itemText,dailCompText"&amp;H4&amp;G4&amp;","</f>
        <v>itemText,dailCompTextFrostKnight2,</v>
      </c>
      <c r="E4" s="5" t="s">
        <v>1</v>
      </c>
      <c r="F4" s="5" t="str">
        <f t="shared" ref="F4:F5" si="3">"augmentMasteryName1,records/skills"&amp;I4&amp;","</f>
        <v>augmentMasteryName1,records/skills/FrostKnightClass/_ClassTraining_FK.dbr,</v>
      </c>
      <c r="G4" s="7">
        <f>IF(I4&lt;&gt;"",G3+1,"")</f>
        <v>2</v>
      </c>
      <c r="H4" s="8" t="str">
        <f>H3</f>
        <v>FrostKnight</v>
      </c>
      <c r="I4" s="3" t="s">
        <v>192</v>
      </c>
      <c r="J4" s="8" t="str">
        <f>J3</f>
        <v>class0011</v>
      </c>
      <c r="K4" s="8" t="str">
        <f>K3</f>
        <v>dailoneskill0011</v>
      </c>
      <c r="L4" s="5" t="str">
        <f t="shared" ref="L4:L67" si="4">"lootName"&amp;G4&amp;",DAIL/items/materia/"&amp;J4&amp;"/"&amp;H4&amp;G4&amp;".dbr"&amp;","</f>
        <v>lootName2,DAIL/items/materia/class0011/FrostKnight2.dbr,</v>
      </c>
      <c r="M4" s="5" t="str">
        <f t="shared" ref="M4:M67" si="5">"lootWeight"&amp;G4&amp;",1,"</f>
        <v>lootWeight2,1,</v>
      </c>
      <c r="N4" t="str">
        <f t="shared" ref="N4:N67" si="6">LEFT(RIGHT(E4,2),1)</f>
        <v>2</v>
      </c>
      <c r="O4" s="5" t="str">
        <f>IF(I4&lt;&gt;"","copy .\dail_base2.dbr .\items\materia\"&amp;J4&amp;"\"&amp;H4&amp;G4&amp;".dbr /y"&amp;"","")</f>
        <v>copy .\dail_base2.dbr .\items\materia\class0011\FrostKnight2.dbr /y</v>
      </c>
      <c r="P4" t="str">
        <f t="shared" ref="P4:U58" si="7">IF($I4&lt;&gt;"","echo "&amp;A4&amp;" &gt;&gt; .\items\materia\"&amp;$J4&amp;"\"&amp;$H4&amp;$G4&amp;".dbr","")</f>
        <v>echo relicBitmap,items/craftingparts/components/component_a52_bristlyfur_b.tex, &gt;&gt; .\items\materia\class0011\FrostKnight2.dbr</v>
      </c>
      <c r="Q4" t="str">
        <f t="shared" si="1"/>
        <v>echo itemCost,300000, &gt;&gt; .\items\materia\class0011\FrostKnight2.dbr</v>
      </c>
      <c r="R4" t="str">
        <f t="shared" si="1"/>
        <v>echo description,dailCompDescFrostKnight2, &gt;&gt; .\items\materia\class0011\FrostKnight2.dbr</v>
      </c>
      <c r="S4" t="str">
        <f t="shared" si="1"/>
        <v>echo itemText,dailCompTextFrostKnight2, &gt;&gt; .\items\materia\class0011\FrostKnight2.dbr</v>
      </c>
      <c r="T4" t="str">
        <f t="shared" si="1"/>
        <v>echo augmentMasteryLevel1,2, &gt;&gt; .\items\materia\class0011\FrostKnight2.dbr</v>
      </c>
      <c r="U4" t="str">
        <f t="shared" si="1"/>
        <v>echo augmentMasteryName1,records/skills/FrostKnightClass/_ClassTraining_FK.dbr, &gt;&gt; .\items\materia\class0011\FrostKnight2.dbr</v>
      </c>
      <c r="V4" s="5" t="s">
        <v>36</v>
      </c>
      <c r="W4" t="str">
        <f t="shared" ref="W4:X67" si="8">IF($I4&lt;&gt;"","echo "&amp;L4&amp;" &gt;&gt; .\items\loottables\"&amp;$K4&amp;".dbr","")</f>
        <v>echo lootName2,DAIL/items/materia/class0011/FrostKnight2.dbr, &gt;&gt; .\items\loottables\dailoneskill0011.dbr</v>
      </c>
      <c r="X4" t="str">
        <f t="shared" si="8"/>
        <v>echo lootWeight2,1, &gt;&gt; .\items\loottables\dailoneskill0011.dbr</v>
      </c>
      <c r="Y4" s="5" t="s">
        <v>36</v>
      </c>
      <c r="Z4" s="10" t="str">
        <f t="shared" ref="Z4:Z67" si="9">IF(I3&lt;&gt;""," dailCompDesc"&amp;H4&amp;G4&amp;"=^p"&amp;H4&amp;"'s Gift of DAIL","")</f>
        <v xml:space="preserve"> dailCompDescFrostKnight2=^pFrostKnight's Gift of DAIL</v>
      </c>
      <c r="AA4" s="10" t="str">
        <f>IF(I3&lt;&gt;"","dailCompText"&amp;H4&amp;G4&amp;"=^oThis feels warm to the touch, almost familiar ^w(This component fits into the amulet only)","")</f>
        <v>dailCompTextFrostKnight2=^oThis feels warm to the touch, almost familiar ^w(This component fits into the amulet only)</v>
      </c>
      <c r="AB4" s="5" t="s">
        <v>36</v>
      </c>
      <c r="AD4">
        <v>3</v>
      </c>
      <c r="AE4" t="s">
        <v>43</v>
      </c>
      <c r="AF4" t="s">
        <v>46</v>
      </c>
    </row>
    <row r="5" spans="1:38" x14ac:dyDescent="0.25">
      <c r="A5" s="5" t="s">
        <v>39</v>
      </c>
      <c r="B5" s="5" t="s">
        <v>29</v>
      </c>
      <c r="C5" s="5" t="str">
        <f t="shared" si="0"/>
        <v>description,dailCompDescFrostKnight3,</v>
      </c>
      <c r="D5" s="5" t="str">
        <f t="shared" si="2"/>
        <v>itemText,dailCompTextFrostKnight3,</v>
      </c>
      <c r="E5" s="5" t="s">
        <v>25</v>
      </c>
      <c r="F5" s="5" t="str">
        <f t="shared" si="3"/>
        <v>augmentMasteryName1,records/skills/FrostKnightClass/_ClassTraining_FK.dbr,</v>
      </c>
      <c r="G5" s="7">
        <f t="shared" ref="G5:G68" si="10">IF(I5&lt;&gt;"",G4+1,"")</f>
        <v>3</v>
      </c>
      <c r="H5" s="8" t="str">
        <f t="shared" ref="H5:H68" si="11">H4</f>
        <v>FrostKnight</v>
      </c>
      <c r="I5" s="3" t="s">
        <v>192</v>
      </c>
      <c r="J5" s="8" t="str">
        <f t="shared" ref="J5:K20" si="12">J4</f>
        <v>class0011</v>
      </c>
      <c r="K5" s="8" t="str">
        <f t="shared" si="12"/>
        <v>dailoneskill0011</v>
      </c>
      <c r="L5" s="5" t="str">
        <f t="shared" si="4"/>
        <v>lootName3,DAIL/items/materia/class0011/FrostKnight3.dbr,</v>
      </c>
      <c r="M5" s="5" t="str">
        <f t="shared" si="5"/>
        <v>lootWeight3,1,</v>
      </c>
      <c r="N5" t="str">
        <f t="shared" si="6"/>
        <v>3</v>
      </c>
      <c r="O5" s="5" t="str">
        <f>IF(I5&lt;&gt;"","copy .\dail_base2.dbr .\items\materia\"&amp;J5&amp;"\"&amp;H5&amp;G5&amp;".dbr /y"&amp;"","")</f>
        <v>copy .\dail_base2.dbr .\items\materia\class0011\FrostKnight3.dbr /y</v>
      </c>
      <c r="P5" t="str">
        <f t="shared" si="7"/>
        <v>echo relicBitmap,items/craftingparts/components/component_a52_bristlyfur_b.tex, &gt;&gt; .\items\materia\class0011\FrostKnight3.dbr</v>
      </c>
      <c r="Q5" t="str">
        <f t="shared" si="1"/>
        <v>echo itemCost,600000, &gt;&gt; .\items\materia\class0011\FrostKnight3.dbr</v>
      </c>
      <c r="R5" t="str">
        <f t="shared" si="1"/>
        <v>echo description,dailCompDescFrostKnight3, &gt;&gt; .\items\materia\class0011\FrostKnight3.dbr</v>
      </c>
      <c r="S5" t="str">
        <f t="shared" si="1"/>
        <v>echo itemText,dailCompTextFrostKnight3, &gt;&gt; .\items\materia\class0011\FrostKnight3.dbr</v>
      </c>
      <c r="T5" t="str">
        <f t="shared" si="1"/>
        <v>echo augmentMasteryLevel1,3, &gt;&gt; .\items\materia\class0011\FrostKnight3.dbr</v>
      </c>
      <c r="U5" t="str">
        <f t="shared" si="1"/>
        <v>echo augmentMasteryName1,records/skills/FrostKnightClass/_ClassTraining_FK.dbr, &gt;&gt; .\items\materia\class0011\FrostKnight3.dbr</v>
      </c>
      <c r="V5" s="5" t="s">
        <v>36</v>
      </c>
      <c r="W5" t="str">
        <f t="shared" si="8"/>
        <v>echo lootName3,DAIL/items/materia/class0011/FrostKnight3.dbr, &gt;&gt; .\items\loottables\dailoneskill0011.dbr</v>
      </c>
      <c r="X5" t="str">
        <f t="shared" si="8"/>
        <v>echo lootWeight3,1, &gt;&gt; .\items\loottables\dailoneskill0011.dbr</v>
      </c>
      <c r="Y5" s="5" t="s">
        <v>36</v>
      </c>
      <c r="Z5" s="10" t="str">
        <f t="shared" si="9"/>
        <v xml:space="preserve"> dailCompDescFrostKnight3=^pFrostKnight's Gift of DAIL</v>
      </c>
      <c r="AA5" s="10" t="str">
        <f>IF(I4&lt;&gt;"","dailCompText"&amp;H5&amp;G5&amp;"=^oThis feels warm to the touch, almost familiar ^w(This component fits into the amulet only)","")</f>
        <v>dailCompTextFrostKnight3=^oThis feels warm to the touch, almost familiar ^w(This component fits into the amulet only)</v>
      </c>
      <c r="AB5" s="5" t="s">
        <v>36</v>
      </c>
      <c r="AD5">
        <v>5</v>
      </c>
      <c r="AE5" t="s">
        <v>43</v>
      </c>
      <c r="AF5" t="s">
        <v>46</v>
      </c>
      <c r="AI5" t="s">
        <v>61</v>
      </c>
    </row>
    <row r="6" spans="1:38" x14ac:dyDescent="0.25">
      <c r="A6" s="5" t="s">
        <v>39</v>
      </c>
      <c r="B6" s="5" t="s">
        <v>0</v>
      </c>
      <c r="C6" s="5" t="str">
        <f t="shared" si="0"/>
        <v>description,dailCompDescFrostKnight4,</v>
      </c>
      <c r="D6" s="5" t="str">
        <f t="shared" si="2"/>
        <v>itemText,dailCompTextFrostKnight4,</v>
      </c>
      <c r="E6" s="5" t="str">
        <f>"augmentSkillLevel1,"&amp;AJ6&amp;","</f>
        <v>augmentSkillLevel1,1,</v>
      </c>
      <c r="F6" s="5" t="str">
        <f>"augmentSkillName1,records/skills"&amp;I6&amp;","</f>
        <v>augmentSkillName1,records/skills/FrostKnightClass/froststrike.dbr,</v>
      </c>
      <c r="G6" s="7">
        <f t="shared" si="10"/>
        <v>4</v>
      </c>
      <c r="H6" s="8" t="str">
        <f t="shared" si="11"/>
        <v>FrostKnight</v>
      </c>
      <c r="I6" s="3" t="s">
        <v>491</v>
      </c>
      <c r="J6" s="8" t="str">
        <f t="shared" si="12"/>
        <v>class0011</v>
      </c>
      <c r="K6" s="8" t="str">
        <f t="shared" si="12"/>
        <v>dailoneskill0011</v>
      </c>
      <c r="L6" s="5" t="str">
        <f t="shared" si="4"/>
        <v>lootName4,DAIL/items/materia/class0011/FrostKnight4.dbr,</v>
      </c>
      <c r="M6" s="5" t="str">
        <f t="shared" si="5"/>
        <v>lootWeight4,1,</v>
      </c>
      <c r="N6" t="str">
        <f t="shared" si="6"/>
        <v>1</v>
      </c>
      <c r="O6" t="str">
        <f>IF(I6&lt;&gt;"","copy .\"&amp;VLOOKUP(VALUE(N6),$AD$3:$AF$5,2,FALSE)&amp;" .\items\materia\"&amp;J6&amp;"\"&amp;H6&amp;G6&amp;".dbr /y"&amp;"","")</f>
        <v>copy .\dail_base.dbr .\items\materia\class0011\FrostKnight4.dbr /y</v>
      </c>
      <c r="P6" t="str">
        <f t="shared" si="7"/>
        <v>echo relicBitmap,items/craftingparts/components/component_a52_bristlyfur_b.tex, &gt;&gt; .\items\materia\class0011\FrostKnight4.dbr</v>
      </c>
      <c r="Q6" t="str">
        <f t="shared" si="1"/>
        <v>echo itemCost,100000, &gt;&gt; .\items\materia\class0011\FrostKnight4.dbr</v>
      </c>
      <c r="R6" t="str">
        <f t="shared" si="1"/>
        <v>echo description,dailCompDescFrostKnight4, &gt;&gt; .\items\materia\class0011\FrostKnight4.dbr</v>
      </c>
      <c r="S6" t="str">
        <f t="shared" si="1"/>
        <v>echo itemText,dailCompTextFrostKnight4, &gt;&gt; .\items\materia\class0011\FrostKnight4.dbr</v>
      </c>
      <c r="T6" t="str">
        <f t="shared" si="1"/>
        <v>echo augmentSkillLevel1,1, &gt;&gt; .\items\materia\class0011\FrostKnight4.dbr</v>
      </c>
      <c r="U6" t="str">
        <f t="shared" si="1"/>
        <v>echo augmentSkillName1,records/skills/FrostKnightClass/froststrike.dbr, &gt;&gt; .\items\materia\class0011\FrostKnight4.dbr</v>
      </c>
      <c r="V6" s="5" t="s">
        <v>36</v>
      </c>
      <c r="W6" t="str">
        <f t="shared" si="8"/>
        <v>echo lootName4,DAIL/items/materia/class0011/FrostKnight4.dbr, &gt;&gt; .\items\loottables\dailoneskill0011.dbr</v>
      </c>
      <c r="X6" t="str">
        <f t="shared" si="8"/>
        <v>echo lootWeight4,1, &gt;&gt; .\items\loottables\dailoneskill0011.dbr</v>
      </c>
      <c r="Y6" s="5" t="s">
        <v>36</v>
      </c>
      <c r="Z6" t="str">
        <f t="shared" si="9"/>
        <v xml:space="preserve"> dailCompDescFrostKnight4=^pFrostKnight's Gift of DAIL</v>
      </c>
      <c r="AA6" t="str">
        <f>IF(I5&lt;&gt;"","dailCompText"&amp;H6&amp;G6&amp;"=^oThis feels warm to the touch, almost familiar ^w("&amp;VLOOKUP(VALUE(N6),$AD$3:$AF$5,3,FALSE)&amp;")","")</f>
        <v>dailCompTextFrostKnight4=^oThis feels warm to the touch, almost familiar ^w(This component fits into all Jewellery slots including the Belt And Shoulder)</v>
      </c>
      <c r="AB6" s="5" t="s">
        <v>36</v>
      </c>
      <c r="AH6">
        <v>1</v>
      </c>
      <c r="AI6">
        <f t="shared" ref="AI6:AI37" si="13">LEN(I6)</f>
        <v>33</v>
      </c>
      <c r="AJ6">
        <f>IF(AH6&lt;$AL$7,1,IF(AH6&lt;$AL$8,3,5))</f>
        <v>1</v>
      </c>
      <c r="AK6" s="1" t="s">
        <v>62</v>
      </c>
      <c r="AL6" s="1">
        <f>COUNTIF(AI:AI,"&gt;0")</f>
        <v>75</v>
      </c>
    </row>
    <row r="7" spans="1:38" x14ac:dyDescent="0.25">
      <c r="A7" s="5" t="s">
        <v>39</v>
      </c>
      <c r="B7" s="5" t="s">
        <v>0</v>
      </c>
      <c r="C7" s="5" t="str">
        <f t="shared" si="0"/>
        <v>description,dailCompDescFrostKnight5,</v>
      </c>
      <c r="D7" s="5" t="str">
        <f t="shared" si="2"/>
        <v>itemText,dailCompTextFrostKnight5,</v>
      </c>
      <c r="E7" s="5" t="str">
        <f t="shared" ref="E7:E70" si="14">"augmentSkillLevel1,"&amp;AJ7&amp;","</f>
        <v>augmentSkillLevel1,1,</v>
      </c>
      <c r="F7" s="5" t="str">
        <f t="shared" ref="F7:F70" si="15">"augmentSkillName1,records/skills"&amp;I7&amp;","</f>
        <v>augmentSkillName1,records/skills/FrostKnightClass/froststrike_transmuter01.dbr,</v>
      </c>
      <c r="G7" s="7">
        <f t="shared" si="10"/>
        <v>5</v>
      </c>
      <c r="H7" s="8" t="str">
        <f t="shared" si="11"/>
        <v>FrostKnight</v>
      </c>
      <c r="I7" s="3" t="s">
        <v>492</v>
      </c>
      <c r="J7" s="8" t="str">
        <f t="shared" si="12"/>
        <v>class0011</v>
      </c>
      <c r="K7" s="8" t="str">
        <f t="shared" si="12"/>
        <v>dailoneskill0011</v>
      </c>
      <c r="L7" s="5" t="str">
        <f t="shared" si="4"/>
        <v>lootName5,DAIL/items/materia/class0011/FrostKnight5.dbr,</v>
      </c>
      <c r="M7" s="5" t="str">
        <f t="shared" si="5"/>
        <v>lootWeight5,1,</v>
      </c>
      <c r="N7" t="str">
        <f t="shared" si="6"/>
        <v>1</v>
      </c>
      <c r="O7" t="str">
        <f t="shared" ref="O7:O70" si="16">IF(I7&lt;&gt;"","copy .\"&amp;VLOOKUP(VALUE(N7),$AD$3:$AF$5,2,FALSE)&amp;" .\items\materia\"&amp;J7&amp;"\"&amp;H7&amp;G7&amp;".dbr /y"&amp;"","")</f>
        <v>copy .\dail_base.dbr .\items\materia\class0011\FrostKnight5.dbr /y</v>
      </c>
      <c r="P7" t="str">
        <f t="shared" si="7"/>
        <v>echo relicBitmap,items/craftingparts/components/component_a52_bristlyfur_b.tex, &gt;&gt; .\items\materia\class0011\FrostKnight5.dbr</v>
      </c>
      <c r="Q7" t="str">
        <f t="shared" si="1"/>
        <v>echo itemCost,100000, &gt;&gt; .\items\materia\class0011\FrostKnight5.dbr</v>
      </c>
      <c r="R7" t="str">
        <f t="shared" si="1"/>
        <v>echo description,dailCompDescFrostKnight5, &gt;&gt; .\items\materia\class0011\FrostKnight5.dbr</v>
      </c>
      <c r="S7" t="str">
        <f t="shared" si="1"/>
        <v>echo itemText,dailCompTextFrostKnight5, &gt;&gt; .\items\materia\class0011\FrostKnight5.dbr</v>
      </c>
      <c r="T7" t="str">
        <f t="shared" si="1"/>
        <v>echo augmentSkillLevel1,1, &gt;&gt; .\items\materia\class0011\FrostKnight5.dbr</v>
      </c>
      <c r="U7" t="str">
        <f t="shared" si="1"/>
        <v>echo augmentSkillName1,records/skills/FrostKnightClass/froststrike_transmuter01.dbr, &gt;&gt; .\items\materia\class0011\FrostKnight5.dbr</v>
      </c>
      <c r="V7" s="5" t="s">
        <v>36</v>
      </c>
      <c r="W7" t="str">
        <f t="shared" si="8"/>
        <v>echo lootName5,DAIL/items/materia/class0011/FrostKnight5.dbr, &gt;&gt; .\items\loottables\dailoneskill0011.dbr</v>
      </c>
      <c r="X7" t="str">
        <f t="shared" si="8"/>
        <v>echo lootWeight5,1, &gt;&gt; .\items\loottables\dailoneskill0011.dbr</v>
      </c>
      <c r="Y7" s="5" t="s">
        <v>36</v>
      </c>
      <c r="Z7" t="str">
        <f t="shared" si="9"/>
        <v xml:space="preserve"> dailCompDescFrostKnight5=^pFrostKnight's Gift of DAIL</v>
      </c>
      <c r="AA7" t="str">
        <f t="shared" ref="AA7:AA70" si="17">IF(I6&lt;&gt;"","dailCompText"&amp;H7&amp;G7&amp;"=^oThis feels warm to the touch, almost familiar ^w("&amp;VLOOKUP(VALUE(N7),$AD$3:$AF$5,3,FALSE)&amp;")","")</f>
        <v>dailCompTextFrostKnight5=^oThis feels warm to the touch, almost familiar ^w(This component fits into all Jewellery slots including the Belt And Shoulder)</v>
      </c>
      <c r="AB7" s="5" t="s">
        <v>36</v>
      </c>
      <c r="AH7">
        <f>AH6+1</f>
        <v>2</v>
      </c>
      <c r="AI7">
        <f t="shared" si="13"/>
        <v>46</v>
      </c>
      <c r="AJ7">
        <f t="shared" ref="AJ7:AJ70" si="18">IF(AH7&lt;$AL$7,1,IF(AH7&lt;$AL$8,3,5))</f>
        <v>1</v>
      </c>
      <c r="AK7">
        <v>1</v>
      </c>
      <c r="AL7">
        <f>AL6/3</f>
        <v>25</v>
      </c>
    </row>
    <row r="8" spans="1:38" x14ac:dyDescent="0.25">
      <c r="A8" s="5" t="s">
        <v>39</v>
      </c>
      <c r="B8" s="5" t="s">
        <v>0</v>
      </c>
      <c r="C8" s="5" t="str">
        <f t="shared" si="0"/>
        <v>description,dailCompDescFrostKnight6,</v>
      </c>
      <c r="D8" s="5" t="str">
        <f t="shared" si="2"/>
        <v>itemText,dailCompTextFrostKnight6,</v>
      </c>
      <c r="E8" s="5" t="str">
        <f t="shared" si="14"/>
        <v>augmentSkillLevel1,1,</v>
      </c>
      <c r="F8" s="5" t="str">
        <f t="shared" si="15"/>
        <v>augmentSkillName1,records/skills/FrostKnightClass/froststrike_fever.dbr,</v>
      </c>
      <c r="G8" s="7">
        <f t="shared" si="10"/>
        <v>6</v>
      </c>
      <c r="H8" s="8" t="str">
        <f t="shared" si="11"/>
        <v>FrostKnight</v>
      </c>
      <c r="I8" s="3" t="s">
        <v>493</v>
      </c>
      <c r="J8" s="8" t="str">
        <f t="shared" si="12"/>
        <v>class0011</v>
      </c>
      <c r="K8" s="8" t="str">
        <f t="shared" si="12"/>
        <v>dailoneskill0011</v>
      </c>
      <c r="L8" s="5" t="str">
        <f t="shared" si="4"/>
        <v>lootName6,DAIL/items/materia/class0011/FrostKnight6.dbr,</v>
      </c>
      <c r="M8" s="5" t="str">
        <f t="shared" si="5"/>
        <v>lootWeight6,1,</v>
      </c>
      <c r="N8" t="str">
        <f t="shared" si="6"/>
        <v>1</v>
      </c>
      <c r="O8" t="str">
        <f t="shared" si="16"/>
        <v>copy .\dail_base.dbr .\items\materia\class0011\FrostKnight6.dbr /y</v>
      </c>
      <c r="P8" t="str">
        <f t="shared" si="7"/>
        <v>echo relicBitmap,items/craftingparts/components/component_a52_bristlyfur_b.tex, &gt;&gt; .\items\materia\class0011\FrostKnight6.dbr</v>
      </c>
      <c r="Q8" t="str">
        <f t="shared" si="1"/>
        <v>echo itemCost,100000, &gt;&gt; .\items\materia\class0011\FrostKnight6.dbr</v>
      </c>
      <c r="R8" t="str">
        <f t="shared" si="1"/>
        <v>echo description,dailCompDescFrostKnight6, &gt;&gt; .\items\materia\class0011\FrostKnight6.dbr</v>
      </c>
      <c r="S8" t="str">
        <f t="shared" si="1"/>
        <v>echo itemText,dailCompTextFrostKnight6, &gt;&gt; .\items\materia\class0011\FrostKnight6.dbr</v>
      </c>
      <c r="T8" t="str">
        <f t="shared" si="1"/>
        <v>echo augmentSkillLevel1,1, &gt;&gt; .\items\materia\class0011\FrostKnight6.dbr</v>
      </c>
      <c r="U8" t="str">
        <f t="shared" si="1"/>
        <v>echo augmentSkillName1,records/skills/FrostKnightClass/froststrike_fever.dbr, &gt;&gt; .\items\materia\class0011\FrostKnight6.dbr</v>
      </c>
      <c r="V8" s="5" t="s">
        <v>36</v>
      </c>
      <c r="W8" t="str">
        <f t="shared" si="8"/>
        <v>echo lootName6,DAIL/items/materia/class0011/FrostKnight6.dbr, &gt;&gt; .\items\loottables\dailoneskill0011.dbr</v>
      </c>
      <c r="X8" t="str">
        <f t="shared" si="8"/>
        <v>echo lootWeight6,1, &gt;&gt; .\items\loottables\dailoneskill0011.dbr</v>
      </c>
      <c r="Y8" s="5" t="s">
        <v>36</v>
      </c>
      <c r="Z8" t="str">
        <f t="shared" si="9"/>
        <v xml:space="preserve"> dailCompDescFrostKnight6=^pFrostKnight's Gift of DAIL</v>
      </c>
      <c r="AA8" t="str">
        <f t="shared" si="17"/>
        <v>dailCompTextFrostKnight6=^oThis feels warm to the touch, almost familiar ^w(This component fits into all Jewellery slots including the Belt And Shoulder)</v>
      </c>
      <c r="AB8" s="5" t="s">
        <v>36</v>
      </c>
      <c r="AH8">
        <f t="shared" ref="AH8:AH71" si="19">AH7+1</f>
        <v>3</v>
      </c>
      <c r="AI8">
        <f t="shared" si="13"/>
        <v>39</v>
      </c>
      <c r="AJ8">
        <f t="shared" si="18"/>
        <v>1</v>
      </c>
      <c r="AK8" s="1">
        <v>3</v>
      </c>
      <c r="AL8">
        <f>AL7*2</f>
        <v>50</v>
      </c>
    </row>
    <row r="9" spans="1:38" x14ac:dyDescent="0.25">
      <c r="A9" s="5" t="s">
        <v>39</v>
      </c>
      <c r="B9" s="5" t="s">
        <v>0</v>
      </c>
      <c r="C9" s="5" t="str">
        <f t="shared" si="0"/>
        <v>description,dailCompDescFrostKnight7,</v>
      </c>
      <c r="D9" s="5" t="str">
        <f t="shared" si="2"/>
        <v>itemText,dailCompTextFrostKnight7,</v>
      </c>
      <c r="E9" s="5" t="str">
        <f t="shared" si="14"/>
        <v>augmentSkillLevel1,1,</v>
      </c>
      <c r="F9" s="5" t="str">
        <f t="shared" si="15"/>
        <v>augmentSkillName1,records/skills/FrostKnightClass/froststrike_iceflows.dbr,</v>
      </c>
      <c r="G9" s="7">
        <f t="shared" si="10"/>
        <v>7</v>
      </c>
      <c r="H9" s="8" t="str">
        <f t="shared" si="11"/>
        <v>FrostKnight</v>
      </c>
      <c r="I9" s="3" t="s">
        <v>494</v>
      </c>
      <c r="J9" s="8" t="str">
        <f t="shared" si="12"/>
        <v>class0011</v>
      </c>
      <c r="K9" s="8" t="str">
        <f t="shared" si="12"/>
        <v>dailoneskill0011</v>
      </c>
      <c r="L9" s="5" t="str">
        <f t="shared" si="4"/>
        <v>lootName7,DAIL/items/materia/class0011/FrostKnight7.dbr,</v>
      </c>
      <c r="M9" s="5" t="str">
        <f t="shared" si="5"/>
        <v>lootWeight7,1,</v>
      </c>
      <c r="N9" t="str">
        <f t="shared" si="6"/>
        <v>1</v>
      </c>
      <c r="O9" t="str">
        <f t="shared" si="16"/>
        <v>copy .\dail_base.dbr .\items\materia\class0011\FrostKnight7.dbr /y</v>
      </c>
      <c r="P9" t="str">
        <f t="shared" si="7"/>
        <v>echo relicBitmap,items/craftingparts/components/component_a52_bristlyfur_b.tex, &gt;&gt; .\items\materia\class0011\FrostKnight7.dbr</v>
      </c>
      <c r="Q9" t="str">
        <f t="shared" si="1"/>
        <v>echo itemCost,100000, &gt;&gt; .\items\materia\class0011\FrostKnight7.dbr</v>
      </c>
      <c r="R9" t="str">
        <f t="shared" si="1"/>
        <v>echo description,dailCompDescFrostKnight7, &gt;&gt; .\items\materia\class0011\FrostKnight7.dbr</v>
      </c>
      <c r="S9" t="str">
        <f t="shared" si="1"/>
        <v>echo itemText,dailCompTextFrostKnight7, &gt;&gt; .\items\materia\class0011\FrostKnight7.dbr</v>
      </c>
      <c r="T9" t="str">
        <f t="shared" si="1"/>
        <v>echo augmentSkillLevel1,1, &gt;&gt; .\items\materia\class0011\FrostKnight7.dbr</v>
      </c>
      <c r="U9" t="str">
        <f t="shared" si="1"/>
        <v>echo augmentSkillName1,records/skills/FrostKnightClass/froststrike_iceflows.dbr, &gt;&gt; .\items\materia\class0011\FrostKnight7.dbr</v>
      </c>
      <c r="V9" s="5" t="s">
        <v>36</v>
      </c>
      <c r="W9" t="str">
        <f t="shared" si="8"/>
        <v>echo lootName7,DAIL/items/materia/class0011/FrostKnight7.dbr, &gt;&gt; .\items\loottables\dailoneskill0011.dbr</v>
      </c>
      <c r="X9" t="str">
        <f t="shared" si="8"/>
        <v>echo lootWeight7,1, &gt;&gt; .\items\loottables\dailoneskill0011.dbr</v>
      </c>
      <c r="Y9" s="5" t="s">
        <v>36</v>
      </c>
      <c r="Z9" t="str">
        <f t="shared" si="9"/>
        <v xml:space="preserve"> dailCompDescFrostKnight7=^pFrostKnight's Gift of DAIL</v>
      </c>
      <c r="AA9" t="str">
        <f t="shared" si="17"/>
        <v>dailCompTextFrostKnight7=^oThis feels warm to the touch, almost familiar ^w(This component fits into all Jewellery slots including the Belt And Shoulder)</v>
      </c>
      <c r="AB9" s="5" t="s">
        <v>36</v>
      </c>
      <c r="AH9">
        <f t="shared" si="19"/>
        <v>4</v>
      </c>
      <c r="AI9">
        <f t="shared" si="13"/>
        <v>42</v>
      </c>
      <c r="AJ9">
        <f t="shared" si="18"/>
        <v>1</v>
      </c>
      <c r="AK9" s="1">
        <v>5</v>
      </c>
      <c r="AL9">
        <f>AL6</f>
        <v>75</v>
      </c>
    </row>
    <row r="10" spans="1:38" x14ac:dyDescent="0.25">
      <c r="A10" s="5" t="s">
        <v>39</v>
      </c>
      <c r="B10" s="5" t="s">
        <v>0</v>
      </c>
      <c r="C10" s="5" t="str">
        <f t="shared" si="0"/>
        <v>description,dailCompDescFrostKnight8,</v>
      </c>
      <c r="D10" s="5" t="str">
        <f t="shared" si="2"/>
        <v>itemText,dailCompTextFrostKnight8,</v>
      </c>
      <c r="E10" s="5" t="str">
        <f t="shared" si="14"/>
        <v>augmentSkillLevel1,1,</v>
      </c>
      <c r="F10" s="5" t="str">
        <f t="shared" si="15"/>
        <v>augmentSkillName1,records/skills/FrostKnightClass/crushingwinds.dbr,</v>
      </c>
      <c r="G10" s="7">
        <f t="shared" si="10"/>
        <v>8</v>
      </c>
      <c r="H10" s="8" t="str">
        <f t="shared" si="11"/>
        <v>FrostKnight</v>
      </c>
      <c r="I10" s="3" t="s">
        <v>495</v>
      </c>
      <c r="J10" s="8" t="str">
        <f t="shared" si="12"/>
        <v>class0011</v>
      </c>
      <c r="K10" s="8" t="str">
        <f t="shared" si="12"/>
        <v>dailoneskill0011</v>
      </c>
      <c r="L10" s="5" t="str">
        <f t="shared" si="4"/>
        <v>lootName8,DAIL/items/materia/class0011/FrostKnight8.dbr,</v>
      </c>
      <c r="M10" s="5" t="str">
        <f t="shared" si="5"/>
        <v>lootWeight8,1,</v>
      </c>
      <c r="N10" t="str">
        <f t="shared" si="6"/>
        <v>1</v>
      </c>
      <c r="O10" t="str">
        <f t="shared" si="16"/>
        <v>copy .\dail_base.dbr .\items\materia\class0011\FrostKnight8.dbr /y</v>
      </c>
      <c r="P10" t="str">
        <f t="shared" si="7"/>
        <v>echo relicBitmap,items/craftingparts/components/component_a52_bristlyfur_b.tex, &gt;&gt; .\items\materia\class0011\FrostKnight8.dbr</v>
      </c>
      <c r="Q10" t="str">
        <f t="shared" si="1"/>
        <v>echo itemCost,100000, &gt;&gt; .\items\materia\class0011\FrostKnight8.dbr</v>
      </c>
      <c r="R10" t="str">
        <f t="shared" si="1"/>
        <v>echo description,dailCompDescFrostKnight8, &gt;&gt; .\items\materia\class0011\FrostKnight8.dbr</v>
      </c>
      <c r="S10" t="str">
        <f t="shared" si="1"/>
        <v>echo itemText,dailCompTextFrostKnight8, &gt;&gt; .\items\materia\class0011\FrostKnight8.dbr</v>
      </c>
      <c r="T10" t="str">
        <f t="shared" si="1"/>
        <v>echo augmentSkillLevel1,1, &gt;&gt; .\items\materia\class0011\FrostKnight8.dbr</v>
      </c>
      <c r="U10" t="str">
        <f t="shared" si="1"/>
        <v>echo augmentSkillName1,records/skills/FrostKnightClass/crushingwinds.dbr, &gt;&gt; .\items\materia\class0011\FrostKnight8.dbr</v>
      </c>
      <c r="V10" s="5" t="s">
        <v>36</v>
      </c>
      <c r="W10" t="str">
        <f t="shared" si="8"/>
        <v>echo lootName8,DAIL/items/materia/class0011/FrostKnight8.dbr, &gt;&gt; .\items\loottables\dailoneskill0011.dbr</v>
      </c>
      <c r="X10" t="str">
        <f t="shared" si="8"/>
        <v>echo lootWeight8,1, &gt;&gt; .\items\loottables\dailoneskill0011.dbr</v>
      </c>
      <c r="Y10" s="5" t="s">
        <v>36</v>
      </c>
      <c r="Z10" t="str">
        <f t="shared" si="9"/>
        <v xml:space="preserve"> dailCompDescFrostKnight8=^pFrostKnight's Gift of DAIL</v>
      </c>
      <c r="AA10" t="str">
        <f t="shared" si="17"/>
        <v>dailCompTextFrostKnight8=^oThis feels warm to the touch, almost familiar ^w(This component fits into all Jewellery slots including the Belt And Shoulder)</v>
      </c>
      <c r="AB10" s="5" t="s">
        <v>36</v>
      </c>
      <c r="AH10">
        <f t="shared" si="19"/>
        <v>5</v>
      </c>
      <c r="AI10">
        <f t="shared" si="13"/>
        <v>35</v>
      </c>
      <c r="AJ10">
        <f t="shared" si="18"/>
        <v>1</v>
      </c>
    </row>
    <row r="11" spans="1:38" x14ac:dyDescent="0.25">
      <c r="A11" s="5" t="s">
        <v>39</v>
      </c>
      <c r="B11" s="5" t="s">
        <v>0</v>
      </c>
      <c r="C11" s="5" t="str">
        <f t="shared" si="0"/>
        <v>description,dailCompDescFrostKnight9,</v>
      </c>
      <c r="D11" s="5" t="str">
        <f t="shared" si="2"/>
        <v>itemText,dailCompTextFrostKnight9,</v>
      </c>
      <c r="E11" s="5" t="str">
        <f t="shared" si="14"/>
        <v>augmentSkillLevel1,1,</v>
      </c>
      <c r="F11" s="5" t="str">
        <f t="shared" si="15"/>
        <v>augmentSkillName1,records/skills/FrostKnightClass/training.dbr,</v>
      </c>
      <c r="G11" s="7">
        <f t="shared" si="10"/>
        <v>9</v>
      </c>
      <c r="H11" s="8" t="str">
        <f t="shared" si="11"/>
        <v>FrostKnight</v>
      </c>
      <c r="I11" s="3" t="s">
        <v>496</v>
      </c>
      <c r="J11" s="8" t="str">
        <f t="shared" si="12"/>
        <v>class0011</v>
      </c>
      <c r="K11" s="8" t="str">
        <f t="shared" si="12"/>
        <v>dailoneskill0011</v>
      </c>
      <c r="L11" s="5" t="str">
        <f t="shared" si="4"/>
        <v>lootName9,DAIL/items/materia/class0011/FrostKnight9.dbr,</v>
      </c>
      <c r="M11" s="5" t="str">
        <f t="shared" si="5"/>
        <v>lootWeight9,1,</v>
      </c>
      <c r="N11" t="str">
        <f t="shared" si="6"/>
        <v>1</v>
      </c>
      <c r="O11" t="str">
        <f t="shared" si="16"/>
        <v>copy .\dail_base.dbr .\items\materia\class0011\FrostKnight9.dbr /y</v>
      </c>
      <c r="P11" t="str">
        <f t="shared" si="7"/>
        <v>echo relicBitmap,items/craftingparts/components/component_a52_bristlyfur_b.tex, &gt;&gt; .\items\materia\class0011\FrostKnight9.dbr</v>
      </c>
      <c r="Q11" t="str">
        <f t="shared" si="1"/>
        <v>echo itemCost,100000, &gt;&gt; .\items\materia\class0011\FrostKnight9.dbr</v>
      </c>
      <c r="R11" t="str">
        <f t="shared" si="1"/>
        <v>echo description,dailCompDescFrostKnight9, &gt;&gt; .\items\materia\class0011\FrostKnight9.dbr</v>
      </c>
      <c r="S11" t="str">
        <f t="shared" si="1"/>
        <v>echo itemText,dailCompTextFrostKnight9, &gt;&gt; .\items\materia\class0011\FrostKnight9.dbr</v>
      </c>
      <c r="T11" t="str">
        <f t="shared" si="1"/>
        <v>echo augmentSkillLevel1,1, &gt;&gt; .\items\materia\class0011\FrostKnight9.dbr</v>
      </c>
      <c r="U11" t="str">
        <f t="shared" si="1"/>
        <v>echo augmentSkillName1,records/skills/FrostKnightClass/training.dbr, &gt;&gt; .\items\materia\class0011\FrostKnight9.dbr</v>
      </c>
      <c r="V11" s="5" t="s">
        <v>36</v>
      </c>
      <c r="W11" t="str">
        <f t="shared" si="8"/>
        <v>echo lootName9,DAIL/items/materia/class0011/FrostKnight9.dbr, &gt;&gt; .\items\loottables\dailoneskill0011.dbr</v>
      </c>
      <c r="X11" t="str">
        <f t="shared" si="8"/>
        <v>echo lootWeight9,1, &gt;&gt; .\items\loottables\dailoneskill0011.dbr</v>
      </c>
      <c r="Y11" s="5" t="s">
        <v>36</v>
      </c>
      <c r="Z11" t="str">
        <f t="shared" si="9"/>
        <v xml:space="preserve"> dailCompDescFrostKnight9=^pFrostKnight's Gift of DAIL</v>
      </c>
      <c r="AA11" t="str">
        <f t="shared" si="17"/>
        <v>dailCompTextFrostKnight9=^oThis feels warm to the touch, almost familiar ^w(This component fits into all Jewellery slots including the Belt And Shoulder)</v>
      </c>
      <c r="AB11" s="5" t="s">
        <v>36</v>
      </c>
      <c r="AH11">
        <f t="shared" si="19"/>
        <v>6</v>
      </c>
      <c r="AI11">
        <f t="shared" si="13"/>
        <v>30</v>
      </c>
      <c r="AJ11">
        <f t="shared" si="18"/>
        <v>1</v>
      </c>
    </row>
    <row r="12" spans="1:38" x14ac:dyDescent="0.25">
      <c r="A12" s="5" t="s">
        <v>39</v>
      </c>
      <c r="B12" s="5" t="s">
        <v>0</v>
      </c>
      <c r="C12" s="5" t="str">
        <f t="shared" si="0"/>
        <v>description,dailCompDescFrostKnight10,</v>
      </c>
      <c r="D12" s="5" t="str">
        <f t="shared" si="2"/>
        <v>itemText,dailCompTextFrostKnight10,</v>
      </c>
      <c r="E12" s="5" t="str">
        <f t="shared" si="14"/>
        <v>augmentSkillLevel1,1,</v>
      </c>
      <c r="F12" s="5" t="str">
        <f t="shared" si="15"/>
        <v>augmentSkillName1,records/skills/FrostKnightClass/frostborn.dbr,</v>
      </c>
      <c r="G12" s="7">
        <f t="shared" si="10"/>
        <v>10</v>
      </c>
      <c r="H12" s="8" t="str">
        <f t="shared" si="11"/>
        <v>FrostKnight</v>
      </c>
      <c r="I12" s="3" t="s">
        <v>497</v>
      </c>
      <c r="J12" s="8" t="str">
        <f t="shared" si="12"/>
        <v>class0011</v>
      </c>
      <c r="K12" s="8" t="str">
        <f t="shared" si="12"/>
        <v>dailoneskill0011</v>
      </c>
      <c r="L12" s="5" t="str">
        <f t="shared" si="4"/>
        <v>lootName10,DAIL/items/materia/class0011/FrostKnight10.dbr,</v>
      </c>
      <c r="M12" s="5" t="str">
        <f t="shared" si="5"/>
        <v>lootWeight10,1,</v>
      </c>
      <c r="N12" t="str">
        <f t="shared" si="6"/>
        <v>1</v>
      </c>
      <c r="O12" t="str">
        <f t="shared" si="16"/>
        <v>copy .\dail_base.dbr .\items\materia\class0011\FrostKnight10.dbr /y</v>
      </c>
      <c r="P12" t="str">
        <f t="shared" si="7"/>
        <v>echo relicBitmap,items/craftingparts/components/component_a52_bristlyfur_b.tex, &gt;&gt; .\items\materia\class0011\FrostKnight10.dbr</v>
      </c>
      <c r="Q12" t="str">
        <f t="shared" si="1"/>
        <v>echo itemCost,100000, &gt;&gt; .\items\materia\class0011\FrostKnight10.dbr</v>
      </c>
      <c r="R12" t="str">
        <f t="shared" si="1"/>
        <v>echo description,dailCompDescFrostKnight10, &gt;&gt; .\items\materia\class0011\FrostKnight10.dbr</v>
      </c>
      <c r="S12" t="str">
        <f t="shared" si="1"/>
        <v>echo itemText,dailCompTextFrostKnight10, &gt;&gt; .\items\materia\class0011\FrostKnight10.dbr</v>
      </c>
      <c r="T12" t="str">
        <f t="shared" si="1"/>
        <v>echo augmentSkillLevel1,1, &gt;&gt; .\items\materia\class0011\FrostKnight10.dbr</v>
      </c>
      <c r="U12" t="str">
        <f t="shared" si="1"/>
        <v>echo augmentSkillName1,records/skills/FrostKnightClass/frostborn.dbr, &gt;&gt; .\items\materia\class0011\FrostKnight10.dbr</v>
      </c>
      <c r="V12" s="5" t="s">
        <v>36</v>
      </c>
      <c r="W12" t="str">
        <f t="shared" si="8"/>
        <v>echo lootName10,DAIL/items/materia/class0011/FrostKnight10.dbr, &gt;&gt; .\items\loottables\dailoneskill0011.dbr</v>
      </c>
      <c r="X12" t="str">
        <f t="shared" si="8"/>
        <v>echo lootWeight10,1, &gt;&gt; .\items\loottables\dailoneskill0011.dbr</v>
      </c>
      <c r="Y12" s="5" t="s">
        <v>36</v>
      </c>
      <c r="Z12" t="str">
        <f t="shared" si="9"/>
        <v xml:space="preserve"> dailCompDescFrostKnight10=^pFrostKnight's Gift of DAIL</v>
      </c>
      <c r="AA12" t="str">
        <f t="shared" si="17"/>
        <v>dailCompTextFrostKnight10=^oThis feels warm to the touch, almost familiar ^w(This component fits into all Jewellery slots including the Belt And Shoulder)</v>
      </c>
      <c r="AB12" s="5" t="s">
        <v>36</v>
      </c>
      <c r="AH12">
        <f t="shared" si="19"/>
        <v>7</v>
      </c>
      <c r="AI12">
        <f t="shared" si="13"/>
        <v>31</v>
      </c>
      <c r="AJ12">
        <f t="shared" si="18"/>
        <v>1</v>
      </c>
    </row>
    <row r="13" spans="1:38" x14ac:dyDescent="0.25">
      <c r="A13" s="5" t="s">
        <v>39</v>
      </c>
      <c r="B13" s="5" t="s">
        <v>0</v>
      </c>
      <c r="C13" s="5" t="str">
        <f t="shared" si="0"/>
        <v>description,dailCompDescFrostKnight11,</v>
      </c>
      <c r="D13" s="5" t="str">
        <f t="shared" si="2"/>
        <v>itemText,dailCompTextFrostKnight11,</v>
      </c>
      <c r="E13" s="5" t="str">
        <f t="shared" si="14"/>
        <v>augmentSkillLevel1,1,</v>
      </c>
      <c r="F13" s="5" t="str">
        <f t="shared" si="15"/>
        <v>augmentSkillName1,records/skills/FrostKnightClass/harbinger.dbr,</v>
      </c>
      <c r="G13" s="7">
        <f t="shared" si="10"/>
        <v>11</v>
      </c>
      <c r="H13" s="8" t="str">
        <f t="shared" si="11"/>
        <v>FrostKnight</v>
      </c>
      <c r="I13" s="3" t="s">
        <v>498</v>
      </c>
      <c r="J13" s="8" t="str">
        <f t="shared" si="12"/>
        <v>class0011</v>
      </c>
      <c r="K13" s="8" t="str">
        <f t="shared" si="12"/>
        <v>dailoneskill0011</v>
      </c>
      <c r="L13" s="5" t="str">
        <f t="shared" si="4"/>
        <v>lootName11,DAIL/items/materia/class0011/FrostKnight11.dbr,</v>
      </c>
      <c r="M13" s="5" t="str">
        <f t="shared" si="5"/>
        <v>lootWeight11,1,</v>
      </c>
      <c r="N13" t="str">
        <f t="shared" si="6"/>
        <v>1</v>
      </c>
      <c r="O13" t="str">
        <f t="shared" si="16"/>
        <v>copy .\dail_base.dbr .\items\materia\class0011\FrostKnight11.dbr /y</v>
      </c>
      <c r="P13" t="str">
        <f t="shared" si="7"/>
        <v>echo relicBitmap,items/craftingparts/components/component_a52_bristlyfur_b.tex, &gt;&gt; .\items\materia\class0011\FrostKnight11.dbr</v>
      </c>
      <c r="Q13" t="str">
        <f t="shared" si="1"/>
        <v>echo itemCost,100000, &gt;&gt; .\items\materia\class0011\FrostKnight11.dbr</v>
      </c>
      <c r="R13" t="str">
        <f t="shared" si="1"/>
        <v>echo description,dailCompDescFrostKnight11, &gt;&gt; .\items\materia\class0011\FrostKnight11.dbr</v>
      </c>
      <c r="S13" t="str">
        <f t="shared" si="1"/>
        <v>echo itemText,dailCompTextFrostKnight11, &gt;&gt; .\items\materia\class0011\FrostKnight11.dbr</v>
      </c>
      <c r="T13" t="str">
        <f t="shared" si="1"/>
        <v>echo augmentSkillLevel1,1, &gt;&gt; .\items\materia\class0011\FrostKnight11.dbr</v>
      </c>
      <c r="U13" t="str">
        <f t="shared" si="1"/>
        <v>echo augmentSkillName1,records/skills/FrostKnightClass/harbinger.dbr, &gt;&gt; .\items\materia\class0011\FrostKnight11.dbr</v>
      </c>
      <c r="V13" s="5" t="s">
        <v>36</v>
      </c>
      <c r="W13" t="str">
        <f t="shared" si="8"/>
        <v>echo lootName11,DAIL/items/materia/class0011/FrostKnight11.dbr, &gt;&gt; .\items\loottables\dailoneskill0011.dbr</v>
      </c>
      <c r="X13" t="str">
        <f t="shared" si="8"/>
        <v>echo lootWeight11,1, &gt;&gt; .\items\loottables\dailoneskill0011.dbr</v>
      </c>
      <c r="Y13" s="5" t="s">
        <v>36</v>
      </c>
      <c r="Z13" t="str">
        <f t="shared" si="9"/>
        <v xml:space="preserve"> dailCompDescFrostKnight11=^pFrostKnight's Gift of DAIL</v>
      </c>
      <c r="AA13" t="str">
        <f t="shared" si="17"/>
        <v>dailCompTextFrostKnight11=^oThis feels warm to the touch, almost familiar ^w(This component fits into all Jewellery slots including the Belt And Shoulder)</v>
      </c>
      <c r="AB13" s="5" t="s">
        <v>36</v>
      </c>
      <c r="AH13">
        <f t="shared" si="19"/>
        <v>8</v>
      </c>
      <c r="AI13">
        <f t="shared" si="13"/>
        <v>31</v>
      </c>
      <c r="AJ13">
        <f t="shared" si="18"/>
        <v>1</v>
      </c>
    </row>
    <row r="14" spans="1:38" x14ac:dyDescent="0.25">
      <c r="A14" s="5" t="s">
        <v>39</v>
      </c>
      <c r="B14" s="5" t="s">
        <v>0</v>
      </c>
      <c r="C14" s="5" t="str">
        <f t="shared" si="0"/>
        <v>description,dailCompDescFrostKnight12,</v>
      </c>
      <c r="D14" s="5" t="str">
        <f t="shared" si="2"/>
        <v>itemText,dailCompTextFrostKnight12,</v>
      </c>
      <c r="E14" s="5" t="str">
        <f t="shared" si="14"/>
        <v>augmentSkillLevel1,1,</v>
      </c>
      <c r="F14" s="5" t="str">
        <f t="shared" si="15"/>
        <v>augmentSkillName1,records/skills/FrostKnightClass/frostbreath.dbr,</v>
      </c>
      <c r="G14" s="7">
        <f t="shared" si="10"/>
        <v>12</v>
      </c>
      <c r="H14" s="8" t="str">
        <f t="shared" si="11"/>
        <v>FrostKnight</v>
      </c>
      <c r="I14" s="3" t="s">
        <v>499</v>
      </c>
      <c r="J14" s="8" t="str">
        <f t="shared" si="12"/>
        <v>class0011</v>
      </c>
      <c r="K14" s="8" t="str">
        <f t="shared" si="12"/>
        <v>dailoneskill0011</v>
      </c>
      <c r="L14" s="5" t="str">
        <f t="shared" si="4"/>
        <v>lootName12,DAIL/items/materia/class0011/FrostKnight12.dbr,</v>
      </c>
      <c r="M14" s="5" t="str">
        <f t="shared" si="5"/>
        <v>lootWeight12,1,</v>
      </c>
      <c r="N14" t="str">
        <f t="shared" si="6"/>
        <v>1</v>
      </c>
      <c r="O14" t="str">
        <f t="shared" si="16"/>
        <v>copy .\dail_base.dbr .\items\materia\class0011\FrostKnight12.dbr /y</v>
      </c>
      <c r="P14" t="str">
        <f t="shared" si="7"/>
        <v>echo relicBitmap,items/craftingparts/components/component_a52_bristlyfur_b.tex, &gt;&gt; .\items\materia\class0011\FrostKnight12.dbr</v>
      </c>
      <c r="Q14" t="str">
        <f t="shared" si="1"/>
        <v>echo itemCost,100000, &gt;&gt; .\items\materia\class0011\FrostKnight12.dbr</v>
      </c>
      <c r="R14" t="str">
        <f t="shared" si="1"/>
        <v>echo description,dailCompDescFrostKnight12, &gt;&gt; .\items\materia\class0011\FrostKnight12.dbr</v>
      </c>
      <c r="S14" t="str">
        <f t="shared" si="1"/>
        <v>echo itemText,dailCompTextFrostKnight12, &gt;&gt; .\items\materia\class0011\FrostKnight12.dbr</v>
      </c>
      <c r="T14" t="str">
        <f t="shared" si="1"/>
        <v>echo augmentSkillLevel1,1, &gt;&gt; .\items\materia\class0011\FrostKnight12.dbr</v>
      </c>
      <c r="U14" t="str">
        <f t="shared" si="1"/>
        <v>echo augmentSkillName1,records/skills/FrostKnightClass/frostbreath.dbr, &gt;&gt; .\items\materia\class0011\FrostKnight12.dbr</v>
      </c>
      <c r="V14" s="5" t="s">
        <v>36</v>
      </c>
      <c r="W14" t="str">
        <f t="shared" si="8"/>
        <v>echo lootName12,DAIL/items/materia/class0011/FrostKnight12.dbr, &gt;&gt; .\items\loottables\dailoneskill0011.dbr</v>
      </c>
      <c r="X14" t="str">
        <f t="shared" si="8"/>
        <v>echo lootWeight12,1, &gt;&gt; .\items\loottables\dailoneskill0011.dbr</v>
      </c>
      <c r="Y14" s="5" t="s">
        <v>36</v>
      </c>
      <c r="Z14" t="str">
        <f t="shared" si="9"/>
        <v xml:space="preserve"> dailCompDescFrostKnight12=^pFrostKnight's Gift of DAIL</v>
      </c>
      <c r="AA14" t="str">
        <f t="shared" si="17"/>
        <v>dailCompTextFrostKnight12=^oThis feels warm to the touch, almost familiar ^w(This component fits into all Jewellery slots including the Belt And Shoulder)</v>
      </c>
      <c r="AB14" s="5" t="s">
        <v>36</v>
      </c>
      <c r="AH14">
        <f t="shared" si="19"/>
        <v>9</v>
      </c>
      <c r="AI14">
        <f t="shared" si="13"/>
        <v>33</v>
      </c>
      <c r="AJ14">
        <f t="shared" si="18"/>
        <v>1</v>
      </c>
    </row>
    <row r="15" spans="1:38" x14ac:dyDescent="0.25">
      <c r="A15" s="5" t="s">
        <v>39</v>
      </c>
      <c r="B15" s="5" t="s">
        <v>0</v>
      </c>
      <c r="C15" s="5" t="str">
        <f t="shared" si="0"/>
        <v>description,dailCompDescFrostKnight13,</v>
      </c>
      <c r="D15" s="5" t="str">
        <f t="shared" si="2"/>
        <v>itemText,dailCompTextFrostKnight13,</v>
      </c>
      <c r="E15" s="5" t="str">
        <f t="shared" si="14"/>
        <v>augmentSkillLevel1,1,</v>
      </c>
      <c r="F15" s="5" t="str">
        <f t="shared" si="15"/>
        <v>augmentSkillName1,records/skills/FrostKnightClass/pathoffrost.dbr,</v>
      </c>
      <c r="G15" s="7">
        <f t="shared" si="10"/>
        <v>13</v>
      </c>
      <c r="H15" s="8" t="str">
        <f t="shared" si="11"/>
        <v>FrostKnight</v>
      </c>
      <c r="I15" s="3" t="s">
        <v>500</v>
      </c>
      <c r="J15" s="8" t="str">
        <f t="shared" si="12"/>
        <v>class0011</v>
      </c>
      <c r="K15" s="8" t="str">
        <f t="shared" si="12"/>
        <v>dailoneskill0011</v>
      </c>
      <c r="L15" s="5" t="str">
        <f t="shared" si="4"/>
        <v>lootName13,DAIL/items/materia/class0011/FrostKnight13.dbr,</v>
      </c>
      <c r="M15" s="5" t="str">
        <f t="shared" si="5"/>
        <v>lootWeight13,1,</v>
      </c>
      <c r="N15" t="str">
        <f t="shared" si="6"/>
        <v>1</v>
      </c>
      <c r="O15" t="str">
        <f t="shared" si="16"/>
        <v>copy .\dail_base.dbr .\items\materia\class0011\FrostKnight13.dbr /y</v>
      </c>
      <c r="P15" t="str">
        <f t="shared" si="7"/>
        <v>echo relicBitmap,items/craftingparts/components/component_a52_bristlyfur_b.tex, &gt;&gt; .\items\materia\class0011\FrostKnight13.dbr</v>
      </c>
      <c r="Q15" t="str">
        <f t="shared" si="1"/>
        <v>echo itemCost,100000, &gt;&gt; .\items\materia\class0011\FrostKnight13.dbr</v>
      </c>
      <c r="R15" t="str">
        <f t="shared" si="1"/>
        <v>echo description,dailCompDescFrostKnight13, &gt;&gt; .\items\materia\class0011\FrostKnight13.dbr</v>
      </c>
      <c r="S15" t="str">
        <f t="shared" si="1"/>
        <v>echo itemText,dailCompTextFrostKnight13, &gt;&gt; .\items\materia\class0011\FrostKnight13.dbr</v>
      </c>
      <c r="T15" t="str">
        <f t="shared" si="1"/>
        <v>echo augmentSkillLevel1,1, &gt;&gt; .\items\materia\class0011\FrostKnight13.dbr</v>
      </c>
      <c r="U15" t="str">
        <f t="shared" si="1"/>
        <v>echo augmentSkillName1,records/skills/FrostKnightClass/pathoffrost.dbr, &gt;&gt; .\items\materia\class0011\FrostKnight13.dbr</v>
      </c>
      <c r="V15" s="5" t="s">
        <v>36</v>
      </c>
      <c r="W15" t="str">
        <f t="shared" si="8"/>
        <v>echo lootName13,DAIL/items/materia/class0011/FrostKnight13.dbr, &gt;&gt; .\items\loottables\dailoneskill0011.dbr</v>
      </c>
      <c r="X15" t="str">
        <f t="shared" si="8"/>
        <v>echo lootWeight13,1, &gt;&gt; .\items\loottables\dailoneskill0011.dbr</v>
      </c>
      <c r="Y15" s="5" t="s">
        <v>36</v>
      </c>
      <c r="Z15" t="str">
        <f t="shared" si="9"/>
        <v xml:space="preserve"> dailCompDescFrostKnight13=^pFrostKnight's Gift of DAIL</v>
      </c>
      <c r="AA15" t="str">
        <f t="shared" si="17"/>
        <v>dailCompTextFrostKnight13=^oThis feels warm to the touch, almost familiar ^w(This component fits into all Jewellery slots including the Belt And Shoulder)</v>
      </c>
      <c r="AB15" s="5" t="s">
        <v>36</v>
      </c>
      <c r="AH15">
        <f t="shared" si="19"/>
        <v>10</v>
      </c>
      <c r="AI15">
        <f t="shared" si="13"/>
        <v>33</v>
      </c>
      <c r="AJ15">
        <f t="shared" si="18"/>
        <v>1</v>
      </c>
    </row>
    <row r="16" spans="1:38" x14ac:dyDescent="0.25">
      <c r="A16" s="5" t="s">
        <v>39</v>
      </c>
      <c r="B16" s="5" t="s">
        <v>0</v>
      </c>
      <c r="C16" s="5" t="str">
        <f t="shared" si="0"/>
        <v>description,dailCompDescFrostKnight14,</v>
      </c>
      <c r="D16" s="5" t="str">
        <f t="shared" si="2"/>
        <v>itemText,dailCompTextFrostKnight14,</v>
      </c>
      <c r="E16" s="5" t="str">
        <f t="shared" si="14"/>
        <v>augmentSkillLevel1,1,</v>
      </c>
      <c r="F16" s="5" t="str">
        <f t="shared" si="15"/>
        <v>augmentSkillName1,records/skills/FrostKnightClass/lethality.dbr,</v>
      </c>
      <c r="G16" s="7">
        <f t="shared" si="10"/>
        <v>14</v>
      </c>
      <c r="H16" s="8" t="str">
        <f t="shared" si="11"/>
        <v>FrostKnight</v>
      </c>
      <c r="I16" s="3" t="s">
        <v>501</v>
      </c>
      <c r="J16" s="8" t="str">
        <f t="shared" si="12"/>
        <v>class0011</v>
      </c>
      <c r="K16" s="8" t="str">
        <f t="shared" si="12"/>
        <v>dailoneskill0011</v>
      </c>
      <c r="L16" s="5" t="str">
        <f t="shared" si="4"/>
        <v>lootName14,DAIL/items/materia/class0011/FrostKnight14.dbr,</v>
      </c>
      <c r="M16" s="5" t="str">
        <f t="shared" si="5"/>
        <v>lootWeight14,1,</v>
      </c>
      <c r="N16" t="str">
        <f t="shared" si="6"/>
        <v>1</v>
      </c>
      <c r="O16" t="str">
        <f t="shared" si="16"/>
        <v>copy .\dail_base.dbr .\items\materia\class0011\FrostKnight14.dbr /y</v>
      </c>
      <c r="P16" t="str">
        <f t="shared" si="7"/>
        <v>echo relicBitmap,items/craftingparts/components/component_a52_bristlyfur_b.tex, &gt;&gt; .\items\materia\class0011\FrostKnight14.dbr</v>
      </c>
      <c r="Q16" t="str">
        <f t="shared" si="1"/>
        <v>echo itemCost,100000, &gt;&gt; .\items\materia\class0011\FrostKnight14.dbr</v>
      </c>
      <c r="R16" t="str">
        <f t="shared" si="1"/>
        <v>echo description,dailCompDescFrostKnight14, &gt;&gt; .\items\materia\class0011\FrostKnight14.dbr</v>
      </c>
      <c r="S16" t="str">
        <f t="shared" si="1"/>
        <v>echo itemText,dailCompTextFrostKnight14, &gt;&gt; .\items\materia\class0011\FrostKnight14.dbr</v>
      </c>
      <c r="T16" t="str">
        <f t="shared" si="1"/>
        <v>echo augmentSkillLevel1,1, &gt;&gt; .\items\materia\class0011\FrostKnight14.dbr</v>
      </c>
      <c r="U16" t="str">
        <f t="shared" si="1"/>
        <v>echo augmentSkillName1,records/skills/FrostKnightClass/lethality.dbr, &gt;&gt; .\items\materia\class0011\FrostKnight14.dbr</v>
      </c>
      <c r="V16" s="5" t="s">
        <v>36</v>
      </c>
      <c r="W16" t="str">
        <f t="shared" si="8"/>
        <v>echo lootName14,DAIL/items/materia/class0011/FrostKnight14.dbr, &gt;&gt; .\items\loottables\dailoneskill0011.dbr</v>
      </c>
      <c r="X16" t="str">
        <f t="shared" si="8"/>
        <v>echo lootWeight14,1, &gt;&gt; .\items\loottables\dailoneskill0011.dbr</v>
      </c>
      <c r="Y16" s="5" t="s">
        <v>36</v>
      </c>
      <c r="Z16" t="str">
        <f t="shared" si="9"/>
        <v xml:space="preserve"> dailCompDescFrostKnight14=^pFrostKnight's Gift of DAIL</v>
      </c>
      <c r="AA16" t="str">
        <f t="shared" si="17"/>
        <v>dailCompTextFrostKnight14=^oThis feels warm to the touch, almost familiar ^w(This component fits into all Jewellery slots including the Belt And Shoulder)</v>
      </c>
      <c r="AB16" s="5" t="s">
        <v>36</v>
      </c>
      <c r="AH16">
        <f t="shared" si="19"/>
        <v>11</v>
      </c>
      <c r="AI16">
        <f t="shared" si="13"/>
        <v>31</v>
      </c>
      <c r="AJ16">
        <f t="shared" si="18"/>
        <v>1</v>
      </c>
    </row>
    <row r="17" spans="1:36" x14ac:dyDescent="0.25">
      <c r="A17" s="5" t="s">
        <v>39</v>
      </c>
      <c r="B17" s="5" t="s">
        <v>0</v>
      </c>
      <c r="C17" s="5" t="str">
        <f t="shared" si="0"/>
        <v>description,dailCompDescFrostKnight15,</v>
      </c>
      <c r="D17" s="5" t="str">
        <f t="shared" si="2"/>
        <v>itemText,dailCompTextFrostKnight15,</v>
      </c>
      <c r="E17" s="5" t="str">
        <f t="shared" si="14"/>
        <v>augmentSkillLevel1,1,</v>
      </c>
      <c r="F17" s="5" t="str">
        <f t="shared" si="15"/>
        <v>augmentSkillName1,records/skills/FrostKnightClass/glaciationwp.dbr,</v>
      </c>
      <c r="G17" s="7">
        <f t="shared" si="10"/>
        <v>15</v>
      </c>
      <c r="H17" s="8" t="str">
        <f t="shared" si="11"/>
        <v>FrostKnight</v>
      </c>
      <c r="I17" s="3" t="s">
        <v>502</v>
      </c>
      <c r="J17" s="8" t="str">
        <f t="shared" si="12"/>
        <v>class0011</v>
      </c>
      <c r="K17" s="8" t="str">
        <f t="shared" si="12"/>
        <v>dailoneskill0011</v>
      </c>
      <c r="L17" s="5" t="str">
        <f t="shared" si="4"/>
        <v>lootName15,DAIL/items/materia/class0011/FrostKnight15.dbr,</v>
      </c>
      <c r="M17" s="5" t="str">
        <f t="shared" si="5"/>
        <v>lootWeight15,1,</v>
      </c>
      <c r="N17" t="str">
        <f t="shared" si="6"/>
        <v>1</v>
      </c>
      <c r="O17" t="str">
        <f t="shared" si="16"/>
        <v>copy .\dail_base.dbr .\items\materia\class0011\FrostKnight15.dbr /y</v>
      </c>
      <c r="P17" t="str">
        <f t="shared" si="7"/>
        <v>echo relicBitmap,items/craftingparts/components/component_a52_bristlyfur_b.tex, &gt;&gt; .\items\materia\class0011\FrostKnight15.dbr</v>
      </c>
      <c r="Q17" t="str">
        <f t="shared" si="1"/>
        <v>echo itemCost,100000, &gt;&gt; .\items\materia\class0011\FrostKnight15.dbr</v>
      </c>
      <c r="R17" t="str">
        <f t="shared" si="1"/>
        <v>echo description,dailCompDescFrostKnight15, &gt;&gt; .\items\materia\class0011\FrostKnight15.dbr</v>
      </c>
      <c r="S17" t="str">
        <f t="shared" si="1"/>
        <v>echo itemText,dailCompTextFrostKnight15, &gt;&gt; .\items\materia\class0011\FrostKnight15.dbr</v>
      </c>
      <c r="T17" t="str">
        <f t="shared" si="1"/>
        <v>echo augmentSkillLevel1,1, &gt;&gt; .\items\materia\class0011\FrostKnight15.dbr</v>
      </c>
      <c r="U17" t="str">
        <f t="shared" si="1"/>
        <v>echo augmentSkillName1,records/skills/FrostKnightClass/glaciationwp.dbr, &gt;&gt; .\items\materia\class0011\FrostKnight15.dbr</v>
      </c>
      <c r="V17" s="5" t="s">
        <v>36</v>
      </c>
      <c r="W17" t="str">
        <f t="shared" si="8"/>
        <v>echo lootName15,DAIL/items/materia/class0011/FrostKnight15.dbr, &gt;&gt; .\items\loottables\dailoneskill0011.dbr</v>
      </c>
      <c r="X17" t="str">
        <f t="shared" si="8"/>
        <v>echo lootWeight15,1, &gt;&gt; .\items\loottables\dailoneskill0011.dbr</v>
      </c>
      <c r="Y17" s="5" t="s">
        <v>36</v>
      </c>
      <c r="Z17" t="str">
        <f t="shared" si="9"/>
        <v xml:space="preserve"> dailCompDescFrostKnight15=^pFrostKnight's Gift of DAIL</v>
      </c>
      <c r="AA17" t="str">
        <f t="shared" si="17"/>
        <v>dailCompTextFrostKnight15=^oThis feels warm to the touch, almost familiar ^w(This component fits into all Jewellery slots including the Belt And Shoulder)</v>
      </c>
      <c r="AB17" s="5" t="s">
        <v>36</v>
      </c>
      <c r="AH17">
        <f t="shared" si="19"/>
        <v>12</v>
      </c>
      <c r="AI17">
        <f t="shared" si="13"/>
        <v>34</v>
      </c>
      <c r="AJ17">
        <f t="shared" si="18"/>
        <v>1</v>
      </c>
    </row>
    <row r="18" spans="1:36" x14ac:dyDescent="0.25">
      <c r="A18" s="5" t="s">
        <v>39</v>
      </c>
      <c r="B18" s="5" t="s">
        <v>0</v>
      </c>
      <c r="C18" s="5" t="str">
        <f t="shared" si="0"/>
        <v>description,dailCompDescFrostKnight16,</v>
      </c>
      <c r="D18" s="5" t="str">
        <f t="shared" si="2"/>
        <v>itemText,dailCompTextFrostKnight16,</v>
      </c>
      <c r="E18" s="5" t="str">
        <f t="shared" si="14"/>
        <v>augmentSkillLevel1,1,</v>
      </c>
      <c r="F18" s="5" t="str">
        <f t="shared" si="15"/>
        <v>augmentSkillName1,records/skills/FrostKnightClass/glaciation_mod.dbr,</v>
      </c>
      <c r="G18" s="7">
        <f t="shared" si="10"/>
        <v>16</v>
      </c>
      <c r="H18" s="8" t="str">
        <f t="shared" si="11"/>
        <v>FrostKnight</v>
      </c>
      <c r="I18" s="3" t="s">
        <v>503</v>
      </c>
      <c r="J18" s="8" t="str">
        <f t="shared" si="12"/>
        <v>class0011</v>
      </c>
      <c r="K18" s="8" t="str">
        <f t="shared" si="12"/>
        <v>dailoneskill0011</v>
      </c>
      <c r="L18" s="5" t="str">
        <f t="shared" si="4"/>
        <v>lootName16,DAIL/items/materia/class0011/FrostKnight16.dbr,</v>
      </c>
      <c r="M18" s="5" t="str">
        <f t="shared" si="5"/>
        <v>lootWeight16,1,</v>
      </c>
      <c r="N18" t="str">
        <f t="shared" si="6"/>
        <v>1</v>
      </c>
      <c r="O18" t="str">
        <f t="shared" si="16"/>
        <v>copy .\dail_base.dbr .\items\materia\class0011\FrostKnight16.dbr /y</v>
      </c>
      <c r="P18" t="str">
        <f t="shared" si="7"/>
        <v>echo relicBitmap,items/craftingparts/components/component_a52_bristlyfur_b.tex, &gt;&gt; .\items\materia\class0011\FrostKnight16.dbr</v>
      </c>
      <c r="Q18" t="str">
        <f t="shared" si="1"/>
        <v>echo itemCost,100000, &gt;&gt; .\items\materia\class0011\FrostKnight16.dbr</v>
      </c>
      <c r="R18" t="str">
        <f t="shared" si="1"/>
        <v>echo description,dailCompDescFrostKnight16, &gt;&gt; .\items\materia\class0011\FrostKnight16.dbr</v>
      </c>
      <c r="S18" t="str">
        <f t="shared" si="1"/>
        <v>echo itemText,dailCompTextFrostKnight16, &gt;&gt; .\items\materia\class0011\FrostKnight16.dbr</v>
      </c>
      <c r="T18" t="str">
        <f t="shared" si="1"/>
        <v>echo augmentSkillLevel1,1, &gt;&gt; .\items\materia\class0011\FrostKnight16.dbr</v>
      </c>
      <c r="U18" t="str">
        <f t="shared" si="1"/>
        <v>echo augmentSkillName1,records/skills/FrostKnightClass/glaciation_mod.dbr, &gt;&gt; .\items\materia\class0011\FrostKnight16.dbr</v>
      </c>
      <c r="V18" s="5" t="s">
        <v>36</v>
      </c>
      <c r="W18" t="str">
        <f t="shared" si="8"/>
        <v>echo lootName16,DAIL/items/materia/class0011/FrostKnight16.dbr, &gt;&gt; .\items\loottables\dailoneskill0011.dbr</v>
      </c>
      <c r="X18" t="str">
        <f t="shared" si="8"/>
        <v>echo lootWeight16,1, &gt;&gt; .\items\loottables\dailoneskill0011.dbr</v>
      </c>
      <c r="Y18" s="5" t="s">
        <v>36</v>
      </c>
      <c r="Z18" t="str">
        <f t="shared" si="9"/>
        <v xml:space="preserve"> dailCompDescFrostKnight16=^pFrostKnight's Gift of DAIL</v>
      </c>
      <c r="AA18" t="str">
        <f t="shared" si="17"/>
        <v>dailCompTextFrostKnight16=^oThis feels warm to the touch, almost familiar ^w(This component fits into all Jewellery slots including the Belt And Shoulder)</v>
      </c>
      <c r="AB18" s="5" t="s">
        <v>36</v>
      </c>
      <c r="AH18">
        <f t="shared" si="19"/>
        <v>13</v>
      </c>
      <c r="AI18">
        <f t="shared" si="13"/>
        <v>36</v>
      </c>
      <c r="AJ18">
        <f t="shared" si="18"/>
        <v>1</v>
      </c>
    </row>
    <row r="19" spans="1:36" x14ac:dyDescent="0.25">
      <c r="A19" s="5" t="s">
        <v>39</v>
      </c>
      <c r="B19" s="5" t="s">
        <v>28</v>
      </c>
      <c r="C19" s="5" t="str">
        <f t="shared" si="0"/>
        <v>description,dailCompDescFrostKnight17,</v>
      </c>
      <c r="D19" s="5" t="str">
        <f t="shared" si="2"/>
        <v>itemText,dailCompTextFrostKnight17,</v>
      </c>
      <c r="E19" s="5" t="str">
        <f t="shared" si="14"/>
        <v>augmentSkillLevel1,1,</v>
      </c>
      <c r="F19" s="5" t="str">
        <f t="shared" si="15"/>
        <v>augmentSkillName1,records/skills/FrostKnightClass/wintersgift.dbr,</v>
      </c>
      <c r="G19" s="7">
        <f t="shared" si="10"/>
        <v>17</v>
      </c>
      <c r="H19" s="8" t="str">
        <f t="shared" si="11"/>
        <v>FrostKnight</v>
      </c>
      <c r="I19" s="3" t="s">
        <v>504</v>
      </c>
      <c r="J19" s="8" t="str">
        <f t="shared" si="12"/>
        <v>class0011</v>
      </c>
      <c r="K19" s="8" t="str">
        <f t="shared" si="12"/>
        <v>dailoneskill0011</v>
      </c>
      <c r="L19" s="5" t="str">
        <f t="shared" si="4"/>
        <v>lootName17,DAIL/items/materia/class0011/FrostKnight17.dbr,</v>
      </c>
      <c r="M19" s="5" t="str">
        <f t="shared" si="5"/>
        <v>lootWeight17,1,</v>
      </c>
      <c r="N19" t="str">
        <f t="shared" si="6"/>
        <v>1</v>
      </c>
      <c r="O19" t="str">
        <f t="shared" si="16"/>
        <v>copy .\dail_base.dbr .\items\materia\class0011\FrostKnight17.dbr /y</v>
      </c>
      <c r="P19" t="str">
        <f t="shared" si="7"/>
        <v>echo relicBitmap,items/craftingparts/components/component_a52_bristlyfur_b.tex, &gt;&gt; .\items\materia\class0011\FrostKnight17.dbr</v>
      </c>
      <c r="Q19" t="str">
        <f t="shared" si="7"/>
        <v>echo itemCost,300000, &gt;&gt; .\items\materia\class0011\FrostKnight17.dbr</v>
      </c>
      <c r="R19" t="str">
        <f t="shared" si="7"/>
        <v>echo description,dailCompDescFrostKnight17, &gt;&gt; .\items\materia\class0011\FrostKnight17.dbr</v>
      </c>
      <c r="S19" t="str">
        <f t="shared" si="7"/>
        <v>echo itemText,dailCompTextFrostKnight17, &gt;&gt; .\items\materia\class0011\FrostKnight17.dbr</v>
      </c>
      <c r="T19" t="str">
        <f t="shared" si="7"/>
        <v>echo augmentSkillLevel1,1, &gt;&gt; .\items\materia\class0011\FrostKnight17.dbr</v>
      </c>
      <c r="U19" t="str">
        <f t="shared" si="7"/>
        <v>echo augmentSkillName1,records/skills/FrostKnightClass/wintersgift.dbr, &gt;&gt; .\items\materia\class0011\FrostKnight17.dbr</v>
      </c>
      <c r="V19" s="5" t="s">
        <v>36</v>
      </c>
      <c r="W19" t="str">
        <f t="shared" si="8"/>
        <v>echo lootName17,DAIL/items/materia/class0011/FrostKnight17.dbr, &gt;&gt; .\items\loottables\dailoneskill0011.dbr</v>
      </c>
      <c r="X19" t="str">
        <f t="shared" si="8"/>
        <v>echo lootWeight17,1, &gt;&gt; .\items\loottables\dailoneskill0011.dbr</v>
      </c>
      <c r="Y19" s="5" t="s">
        <v>36</v>
      </c>
      <c r="Z19" t="str">
        <f t="shared" si="9"/>
        <v xml:space="preserve"> dailCompDescFrostKnight17=^pFrostKnight's Gift of DAIL</v>
      </c>
      <c r="AA19" t="str">
        <f t="shared" si="17"/>
        <v>dailCompTextFrostKnight17=^oThis feels warm to the touch, almost familiar ^w(This component fits into all Jewellery slots including the Belt And Shoulder)</v>
      </c>
      <c r="AB19" s="5" t="s">
        <v>36</v>
      </c>
      <c r="AH19">
        <f t="shared" si="19"/>
        <v>14</v>
      </c>
      <c r="AI19">
        <f t="shared" si="13"/>
        <v>33</v>
      </c>
      <c r="AJ19">
        <f t="shared" si="18"/>
        <v>1</v>
      </c>
    </row>
    <row r="20" spans="1:36" x14ac:dyDescent="0.25">
      <c r="A20" s="5" t="s">
        <v>39</v>
      </c>
      <c r="B20" s="5" t="s">
        <v>28</v>
      </c>
      <c r="C20" s="5" t="str">
        <f t="shared" si="0"/>
        <v>description,dailCompDescFrostKnight18,</v>
      </c>
      <c r="D20" s="5" t="str">
        <f t="shared" si="2"/>
        <v>itemText,dailCompTextFrostKnight18,</v>
      </c>
      <c r="E20" s="5" t="str">
        <f t="shared" si="14"/>
        <v>augmentSkillLevel1,1,</v>
      </c>
      <c r="F20" s="5" t="str">
        <f t="shared" si="15"/>
        <v>augmentSkillName1,records/skills/FrostKnightClass/wintersgift_mod.dbr,</v>
      </c>
      <c r="G20" s="7">
        <f t="shared" si="10"/>
        <v>18</v>
      </c>
      <c r="H20" s="8" t="str">
        <f t="shared" si="11"/>
        <v>FrostKnight</v>
      </c>
      <c r="I20" s="3" t="s">
        <v>505</v>
      </c>
      <c r="J20" s="8" t="str">
        <f t="shared" si="12"/>
        <v>class0011</v>
      </c>
      <c r="K20" s="8" t="str">
        <f t="shared" si="12"/>
        <v>dailoneskill0011</v>
      </c>
      <c r="L20" s="5" t="str">
        <f t="shared" si="4"/>
        <v>lootName18,DAIL/items/materia/class0011/FrostKnight18.dbr,</v>
      </c>
      <c r="M20" s="5" t="str">
        <f t="shared" si="5"/>
        <v>lootWeight18,1,</v>
      </c>
      <c r="N20" t="str">
        <f t="shared" si="6"/>
        <v>1</v>
      </c>
      <c r="O20" t="str">
        <f t="shared" si="16"/>
        <v>copy .\dail_base.dbr .\items\materia\class0011\FrostKnight18.dbr /y</v>
      </c>
      <c r="P20" t="str">
        <f t="shared" si="7"/>
        <v>echo relicBitmap,items/craftingparts/components/component_a52_bristlyfur_b.tex, &gt;&gt; .\items\materia\class0011\FrostKnight18.dbr</v>
      </c>
      <c r="Q20" t="str">
        <f t="shared" si="7"/>
        <v>echo itemCost,300000, &gt;&gt; .\items\materia\class0011\FrostKnight18.dbr</v>
      </c>
      <c r="R20" t="str">
        <f t="shared" si="7"/>
        <v>echo description,dailCompDescFrostKnight18, &gt;&gt; .\items\materia\class0011\FrostKnight18.dbr</v>
      </c>
      <c r="S20" t="str">
        <f t="shared" si="7"/>
        <v>echo itemText,dailCompTextFrostKnight18, &gt;&gt; .\items\materia\class0011\FrostKnight18.dbr</v>
      </c>
      <c r="T20" t="str">
        <f t="shared" si="7"/>
        <v>echo augmentSkillLevel1,1, &gt;&gt; .\items\materia\class0011\FrostKnight18.dbr</v>
      </c>
      <c r="U20" t="str">
        <f t="shared" si="7"/>
        <v>echo augmentSkillName1,records/skills/FrostKnightClass/wintersgift_mod.dbr, &gt;&gt; .\items\materia\class0011\FrostKnight18.dbr</v>
      </c>
      <c r="V20" s="5" t="s">
        <v>36</v>
      </c>
      <c r="W20" t="str">
        <f t="shared" si="8"/>
        <v>echo lootName18,DAIL/items/materia/class0011/FrostKnight18.dbr, &gt;&gt; .\items\loottables\dailoneskill0011.dbr</v>
      </c>
      <c r="X20" t="str">
        <f t="shared" si="8"/>
        <v>echo lootWeight18,1, &gt;&gt; .\items\loottables\dailoneskill0011.dbr</v>
      </c>
      <c r="Y20" s="5" t="s">
        <v>36</v>
      </c>
      <c r="Z20" t="str">
        <f t="shared" si="9"/>
        <v xml:space="preserve"> dailCompDescFrostKnight18=^pFrostKnight's Gift of DAIL</v>
      </c>
      <c r="AA20" t="str">
        <f t="shared" si="17"/>
        <v>dailCompTextFrostKnight18=^oThis feels warm to the touch, almost familiar ^w(This component fits into all Jewellery slots including the Belt And Shoulder)</v>
      </c>
      <c r="AB20" s="5" t="s">
        <v>36</v>
      </c>
      <c r="AH20">
        <f t="shared" si="19"/>
        <v>15</v>
      </c>
      <c r="AI20">
        <f t="shared" si="13"/>
        <v>37</v>
      </c>
      <c r="AJ20">
        <f t="shared" si="18"/>
        <v>1</v>
      </c>
    </row>
    <row r="21" spans="1:36" x14ac:dyDescent="0.25">
      <c r="A21" s="5" t="s">
        <v>39</v>
      </c>
      <c r="B21" s="5" t="s">
        <v>28</v>
      </c>
      <c r="C21" s="5" t="str">
        <f t="shared" si="0"/>
        <v>description,dailCompDescFrostKnight19,</v>
      </c>
      <c r="D21" s="5" t="str">
        <f t="shared" si="2"/>
        <v>itemText,dailCompTextFrostKnight19,</v>
      </c>
      <c r="E21" s="5" t="str">
        <f t="shared" si="14"/>
        <v>augmentSkillLevel1,1,</v>
      </c>
      <c r="F21" s="5" t="str">
        <f t="shared" si="15"/>
        <v>augmentSkillName1,records/skills/FrostKnightClass/coldblood.dbr,</v>
      </c>
      <c r="G21" s="7">
        <f t="shared" si="10"/>
        <v>19</v>
      </c>
      <c r="H21" s="8" t="str">
        <f t="shared" si="11"/>
        <v>FrostKnight</v>
      </c>
      <c r="I21" s="3" t="s">
        <v>506</v>
      </c>
      <c r="J21" s="8" t="str">
        <f t="shared" ref="J21:K36" si="20">J20</f>
        <v>class0011</v>
      </c>
      <c r="K21" s="8" t="str">
        <f t="shared" si="20"/>
        <v>dailoneskill0011</v>
      </c>
      <c r="L21" s="5" t="str">
        <f t="shared" si="4"/>
        <v>lootName19,DAIL/items/materia/class0011/FrostKnight19.dbr,</v>
      </c>
      <c r="M21" s="5" t="str">
        <f t="shared" si="5"/>
        <v>lootWeight19,1,</v>
      </c>
      <c r="N21" t="str">
        <f t="shared" si="6"/>
        <v>1</v>
      </c>
      <c r="O21" t="str">
        <f t="shared" si="16"/>
        <v>copy .\dail_base.dbr .\items\materia\class0011\FrostKnight19.dbr /y</v>
      </c>
      <c r="P21" t="str">
        <f t="shared" si="7"/>
        <v>echo relicBitmap,items/craftingparts/components/component_a52_bristlyfur_b.tex, &gt;&gt; .\items\materia\class0011\FrostKnight19.dbr</v>
      </c>
      <c r="Q21" t="str">
        <f t="shared" si="7"/>
        <v>echo itemCost,300000, &gt;&gt; .\items\materia\class0011\FrostKnight19.dbr</v>
      </c>
      <c r="R21" t="str">
        <f t="shared" si="7"/>
        <v>echo description,dailCompDescFrostKnight19, &gt;&gt; .\items\materia\class0011\FrostKnight19.dbr</v>
      </c>
      <c r="S21" t="str">
        <f t="shared" si="7"/>
        <v>echo itemText,dailCompTextFrostKnight19, &gt;&gt; .\items\materia\class0011\FrostKnight19.dbr</v>
      </c>
      <c r="T21" t="str">
        <f t="shared" si="7"/>
        <v>echo augmentSkillLevel1,1, &gt;&gt; .\items\materia\class0011\FrostKnight19.dbr</v>
      </c>
      <c r="U21" t="str">
        <f t="shared" si="7"/>
        <v>echo augmentSkillName1,records/skills/FrostKnightClass/coldblood.dbr, &gt;&gt; .\items\materia\class0011\FrostKnight19.dbr</v>
      </c>
      <c r="V21" s="5" t="s">
        <v>36</v>
      </c>
      <c r="W21" t="str">
        <f t="shared" si="8"/>
        <v>echo lootName19,DAIL/items/materia/class0011/FrostKnight19.dbr, &gt;&gt; .\items\loottables\dailoneskill0011.dbr</v>
      </c>
      <c r="X21" t="str">
        <f t="shared" si="8"/>
        <v>echo lootWeight19,1, &gt;&gt; .\items\loottables\dailoneskill0011.dbr</v>
      </c>
      <c r="Y21" s="5" t="s">
        <v>36</v>
      </c>
      <c r="Z21" t="str">
        <f t="shared" si="9"/>
        <v xml:space="preserve"> dailCompDescFrostKnight19=^pFrostKnight's Gift of DAIL</v>
      </c>
      <c r="AA21" t="str">
        <f t="shared" si="17"/>
        <v>dailCompTextFrostKnight19=^oThis feels warm to the touch, almost familiar ^w(This component fits into all Jewellery slots including the Belt And Shoulder)</v>
      </c>
      <c r="AB21" s="5" t="s">
        <v>36</v>
      </c>
      <c r="AH21">
        <f t="shared" si="19"/>
        <v>16</v>
      </c>
      <c r="AI21">
        <f t="shared" si="13"/>
        <v>31</v>
      </c>
      <c r="AJ21">
        <f t="shared" si="18"/>
        <v>1</v>
      </c>
    </row>
    <row r="22" spans="1:36" x14ac:dyDescent="0.25">
      <c r="A22" s="5" t="s">
        <v>39</v>
      </c>
      <c r="B22" s="5" t="s">
        <v>28</v>
      </c>
      <c r="C22" s="5" t="str">
        <f t="shared" si="0"/>
        <v>description,dailCompDescFrostKnight20,</v>
      </c>
      <c r="D22" s="5" t="str">
        <f t="shared" si="2"/>
        <v>itemText,dailCompTextFrostKnight20,</v>
      </c>
      <c r="E22" s="5" t="str">
        <f t="shared" si="14"/>
        <v>augmentSkillLevel1,1,</v>
      </c>
      <c r="F22" s="5" t="str">
        <f t="shared" si="15"/>
        <v>augmentSkillName1,records/skills/FrostKnightClass/heartofice.dbr,</v>
      </c>
      <c r="G22" s="7">
        <f t="shared" si="10"/>
        <v>20</v>
      </c>
      <c r="H22" s="8" t="str">
        <f t="shared" si="11"/>
        <v>FrostKnight</v>
      </c>
      <c r="I22" s="3" t="s">
        <v>507</v>
      </c>
      <c r="J22" s="8" t="str">
        <f t="shared" si="20"/>
        <v>class0011</v>
      </c>
      <c r="K22" s="8" t="str">
        <f t="shared" si="20"/>
        <v>dailoneskill0011</v>
      </c>
      <c r="L22" s="5" t="str">
        <f t="shared" si="4"/>
        <v>lootName20,DAIL/items/materia/class0011/FrostKnight20.dbr,</v>
      </c>
      <c r="M22" s="5" t="str">
        <f t="shared" si="5"/>
        <v>lootWeight20,1,</v>
      </c>
      <c r="N22" t="str">
        <f t="shared" si="6"/>
        <v>1</v>
      </c>
      <c r="O22" t="str">
        <f t="shared" si="16"/>
        <v>copy .\dail_base.dbr .\items\materia\class0011\FrostKnight20.dbr /y</v>
      </c>
      <c r="P22" t="str">
        <f t="shared" si="7"/>
        <v>echo relicBitmap,items/craftingparts/components/component_a52_bristlyfur_b.tex, &gt;&gt; .\items\materia\class0011\FrostKnight20.dbr</v>
      </c>
      <c r="Q22" t="str">
        <f t="shared" si="7"/>
        <v>echo itemCost,300000, &gt;&gt; .\items\materia\class0011\FrostKnight20.dbr</v>
      </c>
      <c r="R22" t="str">
        <f t="shared" si="7"/>
        <v>echo description,dailCompDescFrostKnight20, &gt;&gt; .\items\materia\class0011\FrostKnight20.dbr</v>
      </c>
      <c r="S22" t="str">
        <f t="shared" si="7"/>
        <v>echo itemText,dailCompTextFrostKnight20, &gt;&gt; .\items\materia\class0011\FrostKnight20.dbr</v>
      </c>
      <c r="T22" t="str">
        <f t="shared" si="7"/>
        <v>echo augmentSkillLevel1,1, &gt;&gt; .\items\materia\class0011\FrostKnight20.dbr</v>
      </c>
      <c r="U22" t="str">
        <f t="shared" si="7"/>
        <v>echo augmentSkillName1,records/skills/FrostKnightClass/heartofice.dbr, &gt;&gt; .\items\materia\class0011\FrostKnight20.dbr</v>
      </c>
      <c r="V22" s="5" t="s">
        <v>36</v>
      </c>
      <c r="W22" t="str">
        <f t="shared" si="8"/>
        <v>echo lootName20,DAIL/items/materia/class0011/FrostKnight20.dbr, &gt;&gt; .\items\loottables\dailoneskill0011.dbr</v>
      </c>
      <c r="X22" t="str">
        <f t="shared" si="8"/>
        <v>echo lootWeight20,1, &gt;&gt; .\items\loottables\dailoneskill0011.dbr</v>
      </c>
      <c r="Y22" s="5" t="s">
        <v>36</v>
      </c>
      <c r="Z22" t="str">
        <f t="shared" si="9"/>
        <v xml:space="preserve"> dailCompDescFrostKnight20=^pFrostKnight's Gift of DAIL</v>
      </c>
      <c r="AA22" t="str">
        <f t="shared" si="17"/>
        <v>dailCompTextFrostKnight20=^oThis feels warm to the touch, almost familiar ^w(This component fits into all Jewellery slots including the Belt And Shoulder)</v>
      </c>
      <c r="AB22" s="5" t="s">
        <v>36</v>
      </c>
      <c r="AH22">
        <f t="shared" si="19"/>
        <v>17</v>
      </c>
      <c r="AI22">
        <f t="shared" si="13"/>
        <v>32</v>
      </c>
      <c r="AJ22">
        <f t="shared" si="18"/>
        <v>1</v>
      </c>
    </row>
    <row r="23" spans="1:36" x14ac:dyDescent="0.25">
      <c r="A23" s="5" t="s">
        <v>39</v>
      </c>
      <c r="B23" s="5" t="s">
        <v>28</v>
      </c>
      <c r="C23" s="5" t="str">
        <f t="shared" si="0"/>
        <v>description,dailCompDescFrostKnight21,</v>
      </c>
      <c r="D23" s="5" t="str">
        <f t="shared" si="2"/>
        <v>itemText,dailCompTextFrostKnight21,</v>
      </c>
      <c r="E23" s="5" t="str">
        <f t="shared" si="14"/>
        <v>augmentSkillLevel1,1,</v>
      </c>
      <c r="F23" s="5" t="str">
        <f t="shared" si="15"/>
        <v>augmentSkillName1,records/skills/FrostKnightClass/coldsnap.dbr,</v>
      </c>
      <c r="G23" s="7">
        <f t="shared" si="10"/>
        <v>21</v>
      </c>
      <c r="H23" s="8" t="str">
        <f t="shared" si="11"/>
        <v>FrostKnight</v>
      </c>
      <c r="I23" s="3" t="s">
        <v>508</v>
      </c>
      <c r="J23" s="8" t="str">
        <f t="shared" si="20"/>
        <v>class0011</v>
      </c>
      <c r="K23" s="8" t="str">
        <f t="shared" si="20"/>
        <v>dailoneskill0011</v>
      </c>
      <c r="L23" s="5" t="str">
        <f t="shared" si="4"/>
        <v>lootName21,DAIL/items/materia/class0011/FrostKnight21.dbr,</v>
      </c>
      <c r="M23" s="5" t="str">
        <f t="shared" si="5"/>
        <v>lootWeight21,1,</v>
      </c>
      <c r="N23" t="str">
        <f t="shared" si="6"/>
        <v>1</v>
      </c>
      <c r="O23" t="str">
        <f t="shared" si="16"/>
        <v>copy .\dail_base.dbr .\items\materia\class0011\FrostKnight21.dbr /y</v>
      </c>
      <c r="P23" t="str">
        <f t="shared" si="7"/>
        <v>echo relicBitmap,items/craftingparts/components/component_a52_bristlyfur_b.tex, &gt;&gt; .\items\materia\class0011\FrostKnight21.dbr</v>
      </c>
      <c r="Q23" t="str">
        <f t="shared" si="7"/>
        <v>echo itemCost,300000, &gt;&gt; .\items\materia\class0011\FrostKnight21.dbr</v>
      </c>
      <c r="R23" t="str">
        <f t="shared" si="7"/>
        <v>echo description,dailCompDescFrostKnight21, &gt;&gt; .\items\materia\class0011\FrostKnight21.dbr</v>
      </c>
      <c r="S23" t="str">
        <f t="shared" si="7"/>
        <v>echo itemText,dailCompTextFrostKnight21, &gt;&gt; .\items\materia\class0011\FrostKnight21.dbr</v>
      </c>
      <c r="T23" t="str">
        <f t="shared" si="7"/>
        <v>echo augmentSkillLevel1,1, &gt;&gt; .\items\materia\class0011\FrostKnight21.dbr</v>
      </c>
      <c r="U23" t="str">
        <f t="shared" si="7"/>
        <v>echo augmentSkillName1,records/skills/FrostKnightClass/coldsnap.dbr, &gt;&gt; .\items\materia\class0011\FrostKnight21.dbr</v>
      </c>
      <c r="V23" s="5" t="s">
        <v>36</v>
      </c>
      <c r="W23" t="str">
        <f t="shared" si="8"/>
        <v>echo lootName21,DAIL/items/materia/class0011/FrostKnight21.dbr, &gt;&gt; .\items\loottables\dailoneskill0011.dbr</v>
      </c>
      <c r="X23" t="str">
        <f t="shared" si="8"/>
        <v>echo lootWeight21,1, &gt;&gt; .\items\loottables\dailoneskill0011.dbr</v>
      </c>
      <c r="Y23" s="5" t="s">
        <v>36</v>
      </c>
      <c r="Z23" t="str">
        <f t="shared" si="9"/>
        <v xml:space="preserve"> dailCompDescFrostKnight21=^pFrostKnight's Gift of DAIL</v>
      </c>
      <c r="AA23" t="str">
        <f t="shared" si="17"/>
        <v>dailCompTextFrostKnight21=^oThis feels warm to the touch, almost familiar ^w(This component fits into all Jewellery slots including the Belt And Shoulder)</v>
      </c>
      <c r="AB23" s="5" t="s">
        <v>36</v>
      </c>
      <c r="AH23">
        <f t="shared" si="19"/>
        <v>18</v>
      </c>
      <c r="AI23">
        <f t="shared" si="13"/>
        <v>30</v>
      </c>
      <c r="AJ23">
        <f t="shared" si="18"/>
        <v>1</v>
      </c>
    </row>
    <row r="24" spans="1:36" x14ac:dyDescent="0.25">
      <c r="A24" s="5" t="s">
        <v>39</v>
      </c>
      <c r="B24" s="5" t="s">
        <v>28</v>
      </c>
      <c r="C24" s="5" t="str">
        <f t="shared" si="0"/>
        <v>description,dailCompDescFrostKnight22,</v>
      </c>
      <c r="D24" s="5" t="str">
        <f t="shared" si="2"/>
        <v>itemText,dailCompTextFrostKnight22,</v>
      </c>
      <c r="E24" s="5" t="str">
        <f t="shared" si="14"/>
        <v>augmentSkillLevel1,1,</v>
      </c>
      <c r="F24" s="5" t="str">
        <f t="shared" si="15"/>
        <v>augmentSkillName1,records/skills/FrostKnightClass/frostshell.dbr,</v>
      </c>
      <c r="G24" s="7">
        <f t="shared" si="10"/>
        <v>22</v>
      </c>
      <c r="H24" s="8" t="str">
        <f t="shared" si="11"/>
        <v>FrostKnight</v>
      </c>
      <c r="I24" s="3" t="s">
        <v>509</v>
      </c>
      <c r="J24" s="8" t="str">
        <f t="shared" si="20"/>
        <v>class0011</v>
      </c>
      <c r="K24" s="8" t="str">
        <f t="shared" si="20"/>
        <v>dailoneskill0011</v>
      </c>
      <c r="L24" s="5" t="str">
        <f t="shared" si="4"/>
        <v>lootName22,DAIL/items/materia/class0011/FrostKnight22.dbr,</v>
      </c>
      <c r="M24" s="5" t="str">
        <f t="shared" si="5"/>
        <v>lootWeight22,1,</v>
      </c>
      <c r="N24" t="str">
        <f t="shared" si="6"/>
        <v>1</v>
      </c>
      <c r="O24" t="str">
        <f t="shared" si="16"/>
        <v>copy .\dail_base.dbr .\items\materia\class0011\FrostKnight22.dbr /y</v>
      </c>
      <c r="P24" t="str">
        <f t="shared" si="7"/>
        <v>echo relicBitmap,items/craftingparts/components/component_a52_bristlyfur_b.tex, &gt;&gt; .\items\materia\class0011\FrostKnight22.dbr</v>
      </c>
      <c r="Q24" t="str">
        <f t="shared" si="7"/>
        <v>echo itemCost,300000, &gt;&gt; .\items\materia\class0011\FrostKnight22.dbr</v>
      </c>
      <c r="R24" t="str">
        <f t="shared" si="7"/>
        <v>echo description,dailCompDescFrostKnight22, &gt;&gt; .\items\materia\class0011\FrostKnight22.dbr</v>
      </c>
      <c r="S24" t="str">
        <f t="shared" si="7"/>
        <v>echo itemText,dailCompTextFrostKnight22, &gt;&gt; .\items\materia\class0011\FrostKnight22.dbr</v>
      </c>
      <c r="T24" t="str">
        <f t="shared" si="7"/>
        <v>echo augmentSkillLevel1,1, &gt;&gt; .\items\materia\class0011\FrostKnight22.dbr</v>
      </c>
      <c r="U24" t="str">
        <f t="shared" si="7"/>
        <v>echo augmentSkillName1,records/skills/FrostKnightClass/frostshell.dbr, &gt;&gt; .\items\materia\class0011\FrostKnight22.dbr</v>
      </c>
      <c r="V24" s="5" t="s">
        <v>36</v>
      </c>
      <c r="W24" t="str">
        <f t="shared" si="8"/>
        <v>echo lootName22,DAIL/items/materia/class0011/FrostKnight22.dbr, &gt;&gt; .\items\loottables\dailoneskill0011.dbr</v>
      </c>
      <c r="X24" t="str">
        <f t="shared" si="8"/>
        <v>echo lootWeight22,1, &gt;&gt; .\items\loottables\dailoneskill0011.dbr</v>
      </c>
      <c r="Y24" s="5" t="s">
        <v>36</v>
      </c>
      <c r="Z24" t="str">
        <f t="shared" si="9"/>
        <v xml:space="preserve"> dailCompDescFrostKnight22=^pFrostKnight's Gift of DAIL</v>
      </c>
      <c r="AA24" t="str">
        <f t="shared" si="17"/>
        <v>dailCompTextFrostKnight22=^oThis feels warm to the touch, almost familiar ^w(This component fits into all Jewellery slots including the Belt And Shoulder)</v>
      </c>
      <c r="AB24" s="5" t="s">
        <v>36</v>
      </c>
      <c r="AH24">
        <f t="shared" si="19"/>
        <v>19</v>
      </c>
      <c r="AI24">
        <f t="shared" si="13"/>
        <v>32</v>
      </c>
      <c r="AJ24">
        <f t="shared" si="18"/>
        <v>1</v>
      </c>
    </row>
    <row r="25" spans="1:36" x14ac:dyDescent="0.25">
      <c r="A25" s="5" t="s">
        <v>39</v>
      </c>
      <c r="B25" s="5" t="s">
        <v>28</v>
      </c>
      <c r="C25" s="5" t="str">
        <f t="shared" si="0"/>
        <v>description,dailCompDescFrostKnight23,</v>
      </c>
      <c r="D25" s="5" t="str">
        <f t="shared" si="2"/>
        <v>itemText,dailCompTextFrostKnight23,</v>
      </c>
      <c r="E25" s="5" t="str">
        <f t="shared" si="14"/>
        <v>augmentSkillLevel1,1,</v>
      </c>
      <c r="F25" s="5" t="str">
        <f t="shared" si="15"/>
        <v>augmentSkillName1,records/skills/FrostKnightClass/frostshell_mod.dbr,</v>
      </c>
      <c r="G25" s="7">
        <f t="shared" si="10"/>
        <v>23</v>
      </c>
      <c r="H25" s="8" t="str">
        <f t="shared" si="11"/>
        <v>FrostKnight</v>
      </c>
      <c r="I25" s="3" t="s">
        <v>510</v>
      </c>
      <c r="J25" s="8" t="str">
        <f t="shared" si="20"/>
        <v>class0011</v>
      </c>
      <c r="K25" s="8" t="str">
        <f t="shared" si="20"/>
        <v>dailoneskill0011</v>
      </c>
      <c r="L25" s="5" t="str">
        <f t="shared" si="4"/>
        <v>lootName23,DAIL/items/materia/class0011/FrostKnight23.dbr,</v>
      </c>
      <c r="M25" s="5" t="str">
        <f t="shared" si="5"/>
        <v>lootWeight23,1,</v>
      </c>
      <c r="N25" t="str">
        <f t="shared" si="6"/>
        <v>1</v>
      </c>
      <c r="O25" t="str">
        <f t="shared" si="16"/>
        <v>copy .\dail_base.dbr .\items\materia\class0011\FrostKnight23.dbr /y</v>
      </c>
      <c r="P25" t="str">
        <f t="shared" si="7"/>
        <v>echo relicBitmap,items/craftingparts/components/component_a52_bristlyfur_b.tex, &gt;&gt; .\items\materia\class0011\FrostKnight23.dbr</v>
      </c>
      <c r="Q25" t="str">
        <f t="shared" si="7"/>
        <v>echo itemCost,300000, &gt;&gt; .\items\materia\class0011\FrostKnight23.dbr</v>
      </c>
      <c r="R25" t="str">
        <f t="shared" si="7"/>
        <v>echo description,dailCompDescFrostKnight23, &gt;&gt; .\items\materia\class0011\FrostKnight23.dbr</v>
      </c>
      <c r="S25" t="str">
        <f t="shared" si="7"/>
        <v>echo itemText,dailCompTextFrostKnight23, &gt;&gt; .\items\materia\class0011\FrostKnight23.dbr</v>
      </c>
      <c r="T25" t="str">
        <f t="shared" si="7"/>
        <v>echo augmentSkillLevel1,1, &gt;&gt; .\items\materia\class0011\FrostKnight23.dbr</v>
      </c>
      <c r="U25" t="str">
        <f t="shared" si="7"/>
        <v>echo augmentSkillName1,records/skills/FrostKnightClass/frostshell_mod.dbr, &gt;&gt; .\items\materia\class0011\FrostKnight23.dbr</v>
      </c>
      <c r="V25" s="5" t="s">
        <v>36</v>
      </c>
      <c r="W25" t="str">
        <f t="shared" si="8"/>
        <v>echo lootName23,DAIL/items/materia/class0011/FrostKnight23.dbr, &gt;&gt; .\items\loottables\dailoneskill0011.dbr</v>
      </c>
      <c r="X25" t="str">
        <f t="shared" si="8"/>
        <v>echo lootWeight23,1, &gt;&gt; .\items\loottables\dailoneskill0011.dbr</v>
      </c>
      <c r="Y25" s="5" t="s">
        <v>36</v>
      </c>
      <c r="Z25" t="str">
        <f t="shared" si="9"/>
        <v xml:space="preserve"> dailCompDescFrostKnight23=^pFrostKnight's Gift of DAIL</v>
      </c>
      <c r="AA25" t="str">
        <f t="shared" si="17"/>
        <v>dailCompTextFrostKnight23=^oThis feels warm to the touch, almost familiar ^w(This component fits into all Jewellery slots including the Belt And Shoulder)</v>
      </c>
      <c r="AB25" s="5" t="s">
        <v>36</v>
      </c>
      <c r="AH25">
        <f t="shared" si="19"/>
        <v>20</v>
      </c>
      <c r="AI25">
        <f t="shared" si="13"/>
        <v>36</v>
      </c>
      <c r="AJ25">
        <f t="shared" si="18"/>
        <v>1</v>
      </c>
    </row>
    <row r="26" spans="1:36" x14ac:dyDescent="0.25">
      <c r="A26" s="5" t="s">
        <v>39</v>
      </c>
      <c r="B26" s="5" t="s">
        <v>28</v>
      </c>
      <c r="C26" s="5" t="str">
        <f t="shared" si="0"/>
        <v>description,dailCompDescFrostKnight24,</v>
      </c>
      <c r="D26" s="5" t="str">
        <f t="shared" si="2"/>
        <v>itemText,dailCompTextFrostKnight24,</v>
      </c>
      <c r="E26" s="5" t="str">
        <f t="shared" si="14"/>
        <v>augmentSkillLevel1,1,</v>
      </c>
      <c r="F26" s="5" t="str">
        <f t="shared" si="15"/>
        <v>augmentSkillName1,records/skills/FrostKnightClass/frostaura.dbr,</v>
      </c>
      <c r="G26" s="7">
        <f t="shared" si="10"/>
        <v>24</v>
      </c>
      <c r="H26" s="8" t="str">
        <f t="shared" si="11"/>
        <v>FrostKnight</v>
      </c>
      <c r="I26" s="3" t="s">
        <v>511</v>
      </c>
      <c r="J26" s="8" t="str">
        <f t="shared" si="20"/>
        <v>class0011</v>
      </c>
      <c r="K26" s="8" t="str">
        <f t="shared" si="20"/>
        <v>dailoneskill0011</v>
      </c>
      <c r="L26" s="5" t="str">
        <f t="shared" si="4"/>
        <v>lootName24,DAIL/items/materia/class0011/FrostKnight24.dbr,</v>
      </c>
      <c r="M26" s="5" t="str">
        <f t="shared" si="5"/>
        <v>lootWeight24,1,</v>
      </c>
      <c r="N26" t="str">
        <f t="shared" si="6"/>
        <v>1</v>
      </c>
      <c r="O26" t="str">
        <f t="shared" si="16"/>
        <v>copy .\dail_base.dbr .\items\materia\class0011\FrostKnight24.dbr /y</v>
      </c>
      <c r="P26" t="str">
        <f t="shared" si="7"/>
        <v>echo relicBitmap,items/craftingparts/components/component_a52_bristlyfur_b.tex, &gt;&gt; .\items\materia\class0011\FrostKnight24.dbr</v>
      </c>
      <c r="Q26" t="str">
        <f t="shared" si="7"/>
        <v>echo itemCost,300000, &gt;&gt; .\items\materia\class0011\FrostKnight24.dbr</v>
      </c>
      <c r="R26" t="str">
        <f t="shared" si="7"/>
        <v>echo description,dailCompDescFrostKnight24, &gt;&gt; .\items\materia\class0011\FrostKnight24.dbr</v>
      </c>
      <c r="S26" t="str">
        <f t="shared" si="7"/>
        <v>echo itemText,dailCompTextFrostKnight24, &gt;&gt; .\items\materia\class0011\FrostKnight24.dbr</v>
      </c>
      <c r="T26" t="str">
        <f t="shared" si="7"/>
        <v>echo augmentSkillLevel1,1, &gt;&gt; .\items\materia\class0011\FrostKnight24.dbr</v>
      </c>
      <c r="U26" t="str">
        <f t="shared" si="7"/>
        <v>echo augmentSkillName1,records/skills/FrostKnightClass/frostaura.dbr, &gt;&gt; .\items\materia\class0011\FrostKnight24.dbr</v>
      </c>
      <c r="V26" s="5" t="s">
        <v>36</v>
      </c>
      <c r="W26" t="str">
        <f t="shared" si="8"/>
        <v>echo lootName24,DAIL/items/materia/class0011/FrostKnight24.dbr, &gt;&gt; .\items\loottables\dailoneskill0011.dbr</v>
      </c>
      <c r="X26" t="str">
        <f t="shared" si="8"/>
        <v>echo lootWeight24,1, &gt;&gt; .\items\loottables\dailoneskill0011.dbr</v>
      </c>
      <c r="Y26" s="5" t="s">
        <v>36</v>
      </c>
      <c r="Z26" t="str">
        <f t="shared" si="9"/>
        <v xml:space="preserve"> dailCompDescFrostKnight24=^pFrostKnight's Gift of DAIL</v>
      </c>
      <c r="AA26" t="str">
        <f t="shared" si="17"/>
        <v>dailCompTextFrostKnight24=^oThis feels warm to the touch, almost familiar ^w(This component fits into all Jewellery slots including the Belt And Shoulder)</v>
      </c>
      <c r="AB26" s="5" t="s">
        <v>36</v>
      </c>
      <c r="AH26">
        <f t="shared" si="19"/>
        <v>21</v>
      </c>
      <c r="AI26">
        <f t="shared" si="13"/>
        <v>31</v>
      </c>
      <c r="AJ26">
        <f t="shared" si="18"/>
        <v>1</v>
      </c>
    </row>
    <row r="27" spans="1:36" x14ac:dyDescent="0.25">
      <c r="A27" s="5" t="s">
        <v>39</v>
      </c>
      <c r="B27" s="5" t="s">
        <v>28</v>
      </c>
      <c r="C27" s="5" t="str">
        <f t="shared" si="0"/>
        <v>description,dailCompDescFrostKnight25,</v>
      </c>
      <c r="D27" s="5" t="str">
        <f t="shared" si="2"/>
        <v>itemText,dailCompTextFrostKnight25,</v>
      </c>
      <c r="E27" s="5" t="str">
        <f t="shared" si="14"/>
        <v>augmentSkillLevel1,1,</v>
      </c>
      <c r="F27" s="5" t="str">
        <f t="shared" si="15"/>
        <v>augmentSkillName1,records/skills/FrostKnightClass/frostaura_mod.dbr,</v>
      </c>
      <c r="G27" s="7">
        <f t="shared" si="10"/>
        <v>25</v>
      </c>
      <c r="H27" s="8" t="str">
        <f t="shared" si="11"/>
        <v>FrostKnight</v>
      </c>
      <c r="I27" s="3" t="s">
        <v>512</v>
      </c>
      <c r="J27" s="8" t="str">
        <f t="shared" si="20"/>
        <v>class0011</v>
      </c>
      <c r="K27" s="8" t="str">
        <f t="shared" si="20"/>
        <v>dailoneskill0011</v>
      </c>
      <c r="L27" s="5" t="str">
        <f t="shared" si="4"/>
        <v>lootName25,DAIL/items/materia/class0011/FrostKnight25.dbr,</v>
      </c>
      <c r="M27" s="5" t="str">
        <f t="shared" si="5"/>
        <v>lootWeight25,1,</v>
      </c>
      <c r="N27" t="str">
        <f t="shared" si="6"/>
        <v>1</v>
      </c>
      <c r="O27" t="str">
        <f t="shared" si="16"/>
        <v>copy .\dail_base.dbr .\items\materia\class0011\FrostKnight25.dbr /y</v>
      </c>
      <c r="P27" t="str">
        <f t="shared" si="7"/>
        <v>echo relicBitmap,items/craftingparts/components/component_a52_bristlyfur_b.tex, &gt;&gt; .\items\materia\class0011\FrostKnight25.dbr</v>
      </c>
      <c r="Q27" t="str">
        <f t="shared" si="7"/>
        <v>echo itemCost,300000, &gt;&gt; .\items\materia\class0011\FrostKnight25.dbr</v>
      </c>
      <c r="R27" t="str">
        <f t="shared" si="7"/>
        <v>echo description,dailCompDescFrostKnight25, &gt;&gt; .\items\materia\class0011\FrostKnight25.dbr</v>
      </c>
      <c r="S27" t="str">
        <f t="shared" si="7"/>
        <v>echo itemText,dailCompTextFrostKnight25, &gt;&gt; .\items\materia\class0011\FrostKnight25.dbr</v>
      </c>
      <c r="T27" t="str">
        <f t="shared" si="7"/>
        <v>echo augmentSkillLevel1,1, &gt;&gt; .\items\materia\class0011\FrostKnight25.dbr</v>
      </c>
      <c r="U27" t="str">
        <f t="shared" si="7"/>
        <v>echo augmentSkillName1,records/skills/FrostKnightClass/frostaura_mod.dbr, &gt;&gt; .\items\materia\class0011\FrostKnight25.dbr</v>
      </c>
      <c r="V27" s="5" t="s">
        <v>36</v>
      </c>
      <c r="W27" t="str">
        <f t="shared" si="8"/>
        <v>echo lootName25,DAIL/items/materia/class0011/FrostKnight25.dbr, &gt;&gt; .\items\loottables\dailoneskill0011.dbr</v>
      </c>
      <c r="X27" t="str">
        <f t="shared" si="8"/>
        <v>echo lootWeight25,1, &gt;&gt; .\items\loottables\dailoneskill0011.dbr</v>
      </c>
      <c r="Y27" s="5" t="s">
        <v>36</v>
      </c>
      <c r="Z27" t="str">
        <f t="shared" si="9"/>
        <v xml:space="preserve"> dailCompDescFrostKnight25=^pFrostKnight's Gift of DAIL</v>
      </c>
      <c r="AA27" t="str">
        <f t="shared" si="17"/>
        <v>dailCompTextFrostKnight25=^oThis feels warm to the touch, almost familiar ^w(This component fits into all Jewellery slots including the Belt And Shoulder)</v>
      </c>
      <c r="AB27" s="5" t="s">
        <v>36</v>
      </c>
      <c r="AH27">
        <f t="shared" si="19"/>
        <v>22</v>
      </c>
      <c r="AI27">
        <f t="shared" si="13"/>
        <v>35</v>
      </c>
      <c r="AJ27">
        <f t="shared" si="18"/>
        <v>1</v>
      </c>
    </row>
    <row r="28" spans="1:36" x14ac:dyDescent="0.25">
      <c r="A28" s="5" t="s">
        <v>39</v>
      </c>
      <c r="B28" s="5" t="s">
        <v>28</v>
      </c>
      <c r="C28" s="5" t="str">
        <f t="shared" si="0"/>
        <v>description,dailCompDescFrostKnight26,</v>
      </c>
      <c r="D28" s="5" t="str">
        <f t="shared" si="2"/>
        <v>itemText,dailCompTextFrostKnight26,</v>
      </c>
      <c r="E28" s="5" t="str">
        <f t="shared" si="14"/>
        <v>augmentSkillLevel1,1,</v>
      </c>
      <c r="F28" s="5" t="str">
        <f t="shared" si="15"/>
        <v>augmentSkillName1,records/skills/FrostKnightClass/frostblast.dbr,</v>
      </c>
      <c r="G28" s="7">
        <f t="shared" si="10"/>
        <v>26</v>
      </c>
      <c r="H28" s="8" t="str">
        <f t="shared" si="11"/>
        <v>FrostKnight</v>
      </c>
      <c r="I28" s="3" t="s">
        <v>513</v>
      </c>
      <c r="J28" s="8" t="str">
        <f t="shared" si="20"/>
        <v>class0011</v>
      </c>
      <c r="K28" s="8" t="str">
        <f t="shared" si="20"/>
        <v>dailoneskill0011</v>
      </c>
      <c r="L28" s="5" t="str">
        <f t="shared" si="4"/>
        <v>lootName26,DAIL/items/materia/class0011/FrostKnight26.dbr,</v>
      </c>
      <c r="M28" s="5" t="str">
        <f t="shared" si="5"/>
        <v>lootWeight26,1,</v>
      </c>
      <c r="N28" t="str">
        <f t="shared" si="6"/>
        <v>1</v>
      </c>
      <c r="O28" t="str">
        <f t="shared" si="16"/>
        <v>copy .\dail_base.dbr .\items\materia\class0011\FrostKnight26.dbr /y</v>
      </c>
      <c r="P28" t="str">
        <f t="shared" si="7"/>
        <v>echo relicBitmap,items/craftingparts/components/component_a52_bristlyfur_b.tex, &gt;&gt; .\items\materia\class0011\FrostKnight26.dbr</v>
      </c>
      <c r="Q28" t="str">
        <f t="shared" si="7"/>
        <v>echo itemCost,300000, &gt;&gt; .\items\materia\class0011\FrostKnight26.dbr</v>
      </c>
      <c r="R28" t="str">
        <f t="shared" si="7"/>
        <v>echo description,dailCompDescFrostKnight26, &gt;&gt; .\items\materia\class0011\FrostKnight26.dbr</v>
      </c>
      <c r="S28" t="str">
        <f t="shared" si="7"/>
        <v>echo itemText,dailCompTextFrostKnight26, &gt;&gt; .\items\materia\class0011\FrostKnight26.dbr</v>
      </c>
      <c r="T28" t="str">
        <f t="shared" si="7"/>
        <v>echo augmentSkillLevel1,1, &gt;&gt; .\items\materia\class0011\FrostKnight26.dbr</v>
      </c>
      <c r="U28" t="str">
        <f t="shared" si="7"/>
        <v>echo augmentSkillName1,records/skills/FrostKnightClass/frostblast.dbr, &gt;&gt; .\items\materia\class0011\FrostKnight26.dbr</v>
      </c>
      <c r="V28" s="5" t="s">
        <v>36</v>
      </c>
      <c r="W28" t="str">
        <f t="shared" si="8"/>
        <v>echo lootName26,DAIL/items/materia/class0011/FrostKnight26.dbr, &gt;&gt; .\items\loottables\dailoneskill0011.dbr</v>
      </c>
      <c r="X28" t="str">
        <f t="shared" si="8"/>
        <v>echo lootWeight26,1, &gt;&gt; .\items\loottables\dailoneskill0011.dbr</v>
      </c>
      <c r="Y28" s="5" t="s">
        <v>36</v>
      </c>
      <c r="Z28" t="str">
        <f t="shared" si="9"/>
        <v xml:space="preserve"> dailCompDescFrostKnight26=^pFrostKnight's Gift of DAIL</v>
      </c>
      <c r="AA28" t="str">
        <f t="shared" si="17"/>
        <v>dailCompTextFrostKnight26=^oThis feels warm to the touch, almost familiar ^w(This component fits into all Jewellery slots including the Belt And Shoulder)</v>
      </c>
      <c r="AB28" s="5" t="s">
        <v>36</v>
      </c>
      <c r="AH28">
        <f t="shared" si="19"/>
        <v>23</v>
      </c>
      <c r="AI28">
        <f t="shared" si="13"/>
        <v>32</v>
      </c>
      <c r="AJ28">
        <f t="shared" si="18"/>
        <v>1</v>
      </c>
    </row>
    <row r="29" spans="1:36" x14ac:dyDescent="0.25">
      <c r="A29" s="5" t="s">
        <v>39</v>
      </c>
      <c r="B29" s="5" t="s">
        <v>28</v>
      </c>
      <c r="C29" s="5" t="str">
        <f t="shared" si="0"/>
        <v>description,dailCompDescFrostKnight27,</v>
      </c>
      <c r="D29" s="5" t="str">
        <f t="shared" si="2"/>
        <v>itemText,dailCompTextFrostKnight27,</v>
      </c>
      <c r="E29" s="5" t="str">
        <f t="shared" si="14"/>
        <v>augmentSkillLevel1,1,</v>
      </c>
      <c r="F29" s="5" t="str">
        <f t="shared" si="15"/>
        <v>augmentSkillName1,records/skills/FrostKnightClass/frostblast_transmuter.dbr,</v>
      </c>
      <c r="G29" s="7">
        <f t="shared" si="10"/>
        <v>27</v>
      </c>
      <c r="H29" s="8" t="str">
        <f t="shared" si="11"/>
        <v>FrostKnight</v>
      </c>
      <c r="I29" s="3" t="s">
        <v>514</v>
      </c>
      <c r="J29" s="8" t="str">
        <f t="shared" si="20"/>
        <v>class0011</v>
      </c>
      <c r="K29" s="8" t="str">
        <f t="shared" si="20"/>
        <v>dailoneskill0011</v>
      </c>
      <c r="L29" s="5" t="str">
        <f t="shared" si="4"/>
        <v>lootName27,DAIL/items/materia/class0011/FrostKnight27.dbr,</v>
      </c>
      <c r="M29" s="5" t="str">
        <f t="shared" si="5"/>
        <v>lootWeight27,1,</v>
      </c>
      <c r="N29" t="str">
        <f t="shared" si="6"/>
        <v>1</v>
      </c>
      <c r="O29" t="str">
        <f t="shared" si="16"/>
        <v>copy .\dail_base.dbr .\items\materia\class0011\FrostKnight27.dbr /y</v>
      </c>
      <c r="P29" t="str">
        <f t="shared" si="7"/>
        <v>echo relicBitmap,items/craftingparts/components/component_a52_bristlyfur_b.tex, &gt;&gt; .\items\materia\class0011\FrostKnight27.dbr</v>
      </c>
      <c r="Q29" t="str">
        <f t="shared" si="7"/>
        <v>echo itemCost,300000, &gt;&gt; .\items\materia\class0011\FrostKnight27.dbr</v>
      </c>
      <c r="R29" t="str">
        <f t="shared" si="7"/>
        <v>echo description,dailCompDescFrostKnight27, &gt;&gt; .\items\materia\class0011\FrostKnight27.dbr</v>
      </c>
      <c r="S29" t="str">
        <f t="shared" si="7"/>
        <v>echo itemText,dailCompTextFrostKnight27, &gt;&gt; .\items\materia\class0011\FrostKnight27.dbr</v>
      </c>
      <c r="T29" t="str">
        <f t="shared" si="7"/>
        <v>echo augmentSkillLevel1,1, &gt;&gt; .\items\materia\class0011\FrostKnight27.dbr</v>
      </c>
      <c r="U29" t="str">
        <f t="shared" si="7"/>
        <v>echo augmentSkillName1,records/skills/FrostKnightClass/frostblast_transmuter.dbr, &gt;&gt; .\items\materia\class0011\FrostKnight27.dbr</v>
      </c>
      <c r="V29" s="5" t="s">
        <v>36</v>
      </c>
      <c r="W29" t="str">
        <f t="shared" si="8"/>
        <v>echo lootName27,DAIL/items/materia/class0011/FrostKnight27.dbr, &gt;&gt; .\items\loottables\dailoneskill0011.dbr</v>
      </c>
      <c r="X29" t="str">
        <f t="shared" si="8"/>
        <v>echo lootWeight27,1, &gt;&gt; .\items\loottables\dailoneskill0011.dbr</v>
      </c>
      <c r="Y29" s="5" t="s">
        <v>36</v>
      </c>
      <c r="Z29" t="str">
        <f t="shared" si="9"/>
        <v xml:space="preserve"> dailCompDescFrostKnight27=^pFrostKnight's Gift of DAIL</v>
      </c>
      <c r="AA29" t="str">
        <f t="shared" si="17"/>
        <v>dailCompTextFrostKnight27=^oThis feels warm to the touch, almost familiar ^w(This component fits into all Jewellery slots including the Belt And Shoulder)</v>
      </c>
      <c r="AB29" s="5" t="s">
        <v>36</v>
      </c>
      <c r="AH29">
        <f t="shared" si="19"/>
        <v>24</v>
      </c>
      <c r="AI29">
        <f t="shared" si="13"/>
        <v>43</v>
      </c>
      <c r="AJ29">
        <f t="shared" si="18"/>
        <v>1</v>
      </c>
    </row>
    <row r="30" spans="1:36" x14ac:dyDescent="0.25">
      <c r="A30" s="5" t="s">
        <v>39</v>
      </c>
      <c r="B30" s="5" t="s">
        <v>28</v>
      </c>
      <c r="C30" s="5" t="str">
        <f t="shared" si="0"/>
        <v>description,dailCompDescFrostKnight28,</v>
      </c>
      <c r="D30" s="5" t="str">
        <f t="shared" si="2"/>
        <v>itemText,dailCompTextFrostKnight28,</v>
      </c>
      <c r="E30" s="5" t="str">
        <f t="shared" si="14"/>
        <v>augmentSkillLevel1,3,</v>
      </c>
      <c r="F30" s="5" t="str">
        <f t="shared" si="15"/>
        <v>augmentSkillName1,records/skills/FrostKnightClass/frostblast_mod.dbr,</v>
      </c>
      <c r="G30" s="7">
        <f t="shared" si="10"/>
        <v>28</v>
      </c>
      <c r="H30" s="8" t="str">
        <f t="shared" si="11"/>
        <v>FrostKnight</v>
      </c>
      <c r="I30" s="3" t="s">
        <v>515</v>
      </c>
      <c r="J30" s="8" t="str">
        <f t="shared" si="20"/>
        <v>class0011</v>
      </c>
      <c r="K30" s="8" t="str">
        <f t="shared" si="20"/>
        <v>dailoneskill0011</v>
      </c>
      <c r="L30" s="5" t="str">
        <f t="shared" si="4"/>
        <v>lootName28,DAIL/items/materia/class0011/FrostKnight28.dbr,</v>
      </c>
      <c r="M30" s="5" t="str">
        <f t="shared" si="5"/>
        <v>lootWeight28,1,</v>
      </c>
      <c r="N30" t="str">
        <f t="shared" si="6"/>
        <v>3</v>
      </c>
      <c r="O30" t="str">
        <f t="shared" si="16"/>
        <v>copy .\dail_base3.dbr .\items\materia\class0011\FrostKnight28.dbr /y</v>
      </c>
      <c r="P30" t="str">
        <f t="shared" si="7"/>
        <v>echo relicBitmap,items/craftingparts/components/component_a52_bristlyfur_b.tex, &gt;&gt; .\items\materia\class0011\FrostKnight28.dbr</v>
      </c>
      <c r="Q30" t="str">
        <f t="shared" si="7"/>
        <v>echo itemCost,300000, &gt;&gt; .\items\materia\class0011\FrostKnight28.dbr</v>
      </c>
      <c r="R30" t="str">
        <f t="shared" si="7"/>
        <v>echo description,dailCompDescFrostKnight28, &gt;&gt; .\items\materia\class0011\FrostKnight28.dbr</v>
      </c>
      <c r="S30" t="str">
        <f t="shared" si="7"/>
        <v>echo itemText,dailCompTextFrostKnight28, &gt;&gt; .\items\materia\class0011\FrostKnight28.dbr</v>
      </c>
      <c r="T30" t="str">
        <f t="shared" si="7"/>
        <v>echo augmentSkillLevel1,3, &gt;&gt; .\items\materia\class0011\FrostKnight28.dbr</v>
      </c>
      <c r="U30" t="str">
        <f t="shared" si="7"/>
        <v>echo augmentSkillName1,records/skills/FrostKnightClass/frostblast_mod.dbr, &gt;&gt; .\items\materia\class0011\FrostKnight28.dbr</v>
      </c>
      <c r="V30" s="5" t="s">
        <v>36</v>
      </c>
      <c r="W30" t="str">
        <f t="shared" si="8"/>
        <v>echo lootName28,DAIL/items/materia/class0011/FrostKnight28.dbr, &gt;&gt; .\items\loottables\dailoneskill0011.dbr</v>
      </c>
      <c r="X30" t="str">
        <f t="shared" si="8"/>
        <v>echo lootWeight28,1, &gt;&gt; .\items\loottables\dailoneskill0011.dbr</v>
      </c>
      <c r="Y30" s="5" t="s">
        <v>36</v>
      </c>
      <c r="Z30" t="str">
        <f t="shared" si="9"/>
        <v xml:space="preserve"> dailCompDescFrostKnight28=^pFrostKnight's Gift of DAIL</v>
      </c>
      <c r="AA30" t="str">
        <f t="shared" si="17"/>
        <v>dailCompTextFrostKnight28=^oThis feels warm to the touch, almost familiar ^w(This component only fits into the Medal Slot)</v>
      </c>
      <c r="AB30" s="5" t="s">
        <v>36</v>
      </c>
      <c r="AH30">
        <f t="shared" si="19"/>
        <v>25</v>
      </c>
      <c r="AI30">
        <f t="shared" si="13"/>
        <v>36</v>
      </c>
      <c r="AJ30">
        <f t="shared" si="18"/>
        <v>3</v>
      </c>
    </row>
    <row r="31" spans="1:36" x14ac:dyDescent="0.25">
      <c r="A31" s="5" t="s">
        <v>39</v>
      </c>
      <c r="B31" s="5" t="s">
        <v>28</v>
      </c>
      <c r="C31" s="5" t="str">
        <f t="shared" si="0"/>
        <v>description,dailCompDescFrostKnight29,</v>
      </c>
      <c r="D31" s="5" t="str">
        <f t="shared" si="2"/>
        <v>itemText,dailCompTextFrostKnight29,</v>
      </c>
      <c r="E31" s="5" t="str">
        <f t="shared" si="14"/>
        <v>augmentSkillLevel1,3,</v>
      </c>
      <c r="F31" s="5" t="str">
        <f t="shared" si="15"/>
        <v>augmentSkillName1,records/skills/FrostKnightClass/froststrike.dbr,</v>
      </c>
      <c r="G31" s="7">
        <f t="shared" si="10"/>
        <v>29</v>
      </c>
      <c r="H31" s="8" t="str">
        <f t="shared" si="11"/>
        <v>FrostKnight</v>
      </c>
      <c r="I31" s="3" t="s">
        <v>491</v>
      </c>
      <c r="J31" s="8" t="str">
        <f t="shared" si="20"/>
        <v>class0011</v>
      </c>
      <c r="K31" s="8" t="str">
        <f t="shared" si="20"/>
        <v>dailoneskill0011</v>
      </c>
      <c r="L31" s="5" t="str">
        <f t="shared" si="4"/>
        <v>lootName29,DAIL/items/materia/class0011/FrostKnight29.dbr,</v>
      </c>
      <c r="M31" s="5" t="str">
        <f t="shared" si="5"/>
        <v>lootWeight29,1,</v>
      </c>
      <c r="N31" t="str">
        <f t="shared" si="6"/>
        <v>3</v>
      </c>
      <c r="O31" t="str">
        <f t="shared" si="16"/>
        <v>copy .\dail_base3.dbr .\items\materia\class0011\FrostKnight29.dbr /y</v>
      </c>
      <c r="P31" t="str">
        <f t="shared" si="7"/>
        <v>echo relicBitmap,items/craftingparts/components/component_a52_bristlyfur_b.tex, &gt;&gt; .\items\materia\class0011\FrostKnight29.dbr</v>
      </c>
      <c r="Q31" t="str">
        <f t="shared" si="7"/>
        <v>echo itemCost,300000, &gt;&gt; .\items\materia\class0011\FrostKnight29.dbr</v>
      </c>
      <c r="R31" t="str">
        <f t="shared" si="7"/>
        <v>echo description,dailCompDescFrostKnight29, &gt;&gt; .\items\materia\class0011\FrostKnight29.dbr</v>
      </c>
      <c r="S31" t="str">
        <f t="shared" si="7"/>
        <v>echo itemText,dailCompTextFrostKnight29, &gt;&gt; .\items\materia\class0011\FrostKnight29.dbr</v>
      </c>
      <c r="T31" t="str">
        <f t="shared" si="7"/>
        <v>echo augmentSkillLevel1,3, &gt;&gt; .\items\materia\class0011\FrostKnight29.dbr</v>
      </c>
      <c r="U31" t="str">
        <f t="shared" si="7"/>
        <v>echo augmentSkillName1,records/skills/FrostKnightClass/froststrike.dbr, &gt;&gt; .\items\materia\class0011\FrostKnight29.dbr</v>
      </c>
      <c r="V31" s="5" t="s">
        <v>36</v>
      </c>
      <c r="W31" t="str">
        <f t="shared" si="8"/>
        <v>echo lootName29,DAIL/items/materia/class0011/FrostKnight29.dbr, &gt;&gt; .\items\loottables\dailoneskill0011.dbr</v>
      </c>
      <c r="X31" t="str">
        <f t="shared" si="8"/>
        <v>echo lootWeight29,1, &gt;&gt; .\items\loottables\dailoneskill0011.dbr</v>
      </c>
      <c r="Y31" s="5" t="s">
        <v>36</v>
      </c>
      <c r="Z31" t="str">
        <f t="shared" si="9"/>
        <v xml:space="preserve"> dailCompDescFrostKnight29=^pFrostKnight's Gift of DAIL</v>
      </c>
      <c r="AA31" t="str">
        <f t="shared" si="17"/>
        <v>dailCompTextFrostKnight29=^oThis feels warm to the touch, almost familiar ^w(This component only fits into the Medal Slot)</v>
      </c>
      <c r="AB31" s="5" t="s">
        <v>36</v>
      </c>
      <c r="AH31">
        <f t="shared" si="19"/>
        <v>26</v>
      </c>
      <c r="AI31">
        <f t="shared" si="13"/>
        <v>33</v>
      </c>
      <c r="AJ31">
        <f t="shared" si="18"/>
        <v>3</v>
      </c>
    </row>
    <row r="32" spans="1:36" x14ac:dyDescent="0.25">
      <c r="A32" s="5" t="s">
        <v>39</v>
      </c>
      <c r="B32" s="5" t="s">
        <v>30</v>
      </c>
      <c r="C32" s="5" t="str">
        <f t="shared" si="0"/>
        <v>description,dailCompDescFrostKnight30,</v>
      </c>
      <c r="D32" s="5" t="str">
        <f t="shared" si="2"/>
        <v>itemText,dailCompTextFrostKnight30,</v>
      </c>
      <c r="E32" s="5" t="str">
        <f t="shared" si="14"/>
        <v>augmentSkillLevel1,3,</v>
      </c>
      <c r="F32" s="5" t="str">
        <f t="shared" si="15"/>
        <v>augmentSkillName1,records/skills/FrostKnightClass/froststrike_transmuter01.dbr,</v>
      </c>
      <c r="G32" s="7">
        <f t="shared" si="10"/>
        <v>30</v>
      </c>
      <c r="H32" s="8" t="str">
        <f t="shared" si="11"/>
        <v>FrostKnight</v>
      </c>
      <c r="I32" s="3" t="s">
        <v>492</v>
      </c>
      <c r="J32" s="8" t="str">
        <f t="shared" si="20"/>
        <v>class0011</v>
      </c>
      <c r="K32" s="8" t="str">
        <f t="shared" si="20"/>
        <v>dailoneskill0011</v>
      </c>
      <c r="L32" s="5" t="str">
        <f t="shared" si="4"/>
        <v>lootName30,DAIL/items/materia/class0011/FrostKnight30.dbr,</v>
      </c>
      <c r="M32" s="5" t="str">
        <f t="shared" si="5"/>
        <v>lootWeight30,1,</v>
      </c>
      <c r="N32" t="str">
        <f t="shared" si="6"/>
        <v>3</v>
      </c>
      <c r="O32" t="str">
        <f t="shared" si="16"/>
        <v>copy .\dail_base3.dbr .\items\materia\class0011\FrostKnight30.dbr /y</v>
      </c>
      <c r="P32" t="str">
        <f t="shared" si="7"/>
        <v>echo relicBitmap,items/craftingparts/components/component_a52_bristlyfur_b.tex, &gt;&gt; .\items\materia\class0011\FrostKnight30.dbr</v>
      </c>
      <c r="Q32" t="str">
        <f t="shared" si="7"/>
        <v>echo itemCost,500000, &gt;&gt; .\items\materia\class0011\FrostKnight30.dbr</v>
      </c>
      <c r="R32" t="str">
        <f t="shared" si="7"/>
        <v>echo description,dailCompDescFrostKnight30, &gt;&gt; .\items\materia\class0011\FrostKnight30.dbr</v>
      </c>
      <c r="S32" t="str">
        <f t="shared" si="7"/>
        <v>echo itemText,dailCompTextFrostKnight30, &gt;&gt; .\items\materia\class0011\FrostKnight30.dbr</v>
      </c>
      <c r="T32" t="str">
        <f t="shared" si="7"/>
        <v>echo augmentSkillLevel1,3, &gt;&gt; .\items\materia\class0011\FrostKnight30.dbr</v>
      </c>
      <c r="U32" t="str">
        <f t="shared" si="7"/>
        <v>echo augmentSkillName1,records/skills/FrostKnightClass/froststrike_transmuter01.dbr, &gt;&gt; .\items\materia\class0011\FrostKnight30.dbr</v>
      </c>
      <c r="V32" s="5" t="s">
        <v>36</v>
      </c>
      <c r="W32" t="str">
        <f t="shared" si="8"/>
        <v>echo lootName30,DAIL/items/materia/class0011/FrostKnight30.dbr, &gt;&gt; .\items\loottables\dailoneskill0011.dbr</v>
      </c>
      <c r="X32" t="str">
        <f t="shared" si="8"/>
        <v>echo lootWeight30,1, &gt;&gt; .\items\loottables\dailoneskill0011.dbr</v>
      </c>
      <c r="Y32" s="5" t="s">
        <v>36</v>
      </c>
      <c r="Z32" t="str">
        <f t="shared" si="9"/>
        <v xml:space="preserve"> dailCompDescFrostKnight30=^pFrostKnight's Gift of DAIL</v>
      </c>
      <c r="AA32" t="str">
        <f t="shared" si="17"/>
        <v>dailCompTextFrostKnight30=^oThis feels warm to the touch, almost familiar ^w(This component only fits into the Medal Slot)</v>
      </c>
      <c r="AB32" s="5" t="s">
        <v>36</v>
      </c>
      <c r="AH32">
        <f t="shared" si="19"/>
        <v>27</v>
      </c>
      <c r="AI32">
        <f t="shared" si="13"/>
        <v>46</v>
      </c>
      <c r="AJ32">
        <f t="shared" si="18"/>
        <v>3</v>
      </c>
    </row>
    <row r="33" spans="1:36" x14ac:dyDescent="0.25">
      <c r="A33" s="5" t="s">
        <v>39</v>
      </c>
      <c r="B33" s="5" t="s">
        <v>30</v>
      </c>
      <c r="C33" s="5" t="str">
        <f t="shared" si="0"/>
        <v>description,dailCompDescFrostKnight31,</v>
      </c>
      <c r="D33" s="5" t="str">
        <f t="shared" si="2"/>
        <v>itemText,dailCompTextFrostKnight31,</v>
      </c>
      <c r="E33" s="5" t="str">
        <f t="shared" si="14"/>
        <v>augmentSkillLevel1,3,</v>
      </c>
      <c r="F33" s="5" t="str">
        <f t="shared" si="15"/>
        <v>augmentSkillName1,records/skills/FrostKnightClass/froststrike_fever.dbr,</v>
      </c>
      <c r="G33" s="7">
        <f t="shared" si="10"/>
        <v>31</v>
      </c>
      <c r="H33" s="8" t="str">
        <f t="shared" si="11"/>
        <v>FrostKnight</v>
      </c>
      <c r="I33" s="3" t="s">
        <v>493</v>
      </c>
      <c r="J33" s="8" t="str">
        <f t="shared" si="20"/>
        <v>class0011</v>
      </c>
      <c r="K33" s="8" t="str">
        <f t="shared" si="20"/>
        <v>dailoneskill0011</v>
      </c>
      <c r="L33" s="5" t="str">
        <f t="shared" si="4"/>
        <v>lootName31,DAIL/items/materia/class0011/FrostKnight31.dbr,</v>
      </c>
      <c r="M33" s="5" t="str">
        <f t="shared" si="5"/>
        <v>lootWeight31,1,</v>
      </c>
      <c r="N33" t="str">
        <f t="shared" si="6"/>
        <v>3</v>
      </c>
      <c r="O33" t="str">
        <f t="shared" si="16"/>
        <v>copy .\dail_base3.dbr .\items\materia\class0011\FrostKnight31.dbr /y</v>
      </c>
      <c r="P33" t="str">
        <f t="shared" si="7"/>
        <v>echo relicBitmap,items/craftingparts/components/component_a52_bristlyfur_b.tex, &gt;&gt; .\items\materia\class0011\FrostKnight31.dbr</v>
      </c>
      <c r="Q33" t="str">
        <f t="shared" si="7"/>
        <v>echo itemCost,500000, &gt;&gt; .\items\materia\class0011\FrostKnight31.dbr</v>
      </c>
      <c r="R33" t="str">
        <f t="shared" si="7"/>
        <v>echo description,dailCompDescFrostKnight31, &gt;&gt; .\items\materia\class0011\FrostKnight31.dbr</v>
      </c>
      <c r="S33" t="str">
        <f t="shared" si="7"/>
        <v>echo itemText,dailCompTextFrostKnight31, &gt;&gt; .\items\materia\class0011\FrostKnight31.dbr</v>
      </c>
      <c r="T33" t="str">
        <f t="shared" si="7"/>
        <v>echo augmentSkillLevel1,3, &gt;&gt; .\items\materia\class0011\FrostKnight31.dbr</v>
      </c>
      <c r="U33" t="str">
        <f t="shared" si="7"/>
        <v>echo augmentSkillName1,records/skills/FrostKnightClass/froststrike_fever.dbr, &gt;&gt; .\items\materia\class0011\FrostKnight31.dbr</v>
      </c>
      <c r="V33" s="5" t="s">
        <v>36</v>
      </c>
      <c r="W33" t="str">
        <f t="shared" si="8"/>
        <v>echo lootName31,DAIL/items/materia/class0011/FrostKnight31.dbr, &gt;&gt; .\items\loottables\dailoneskill0011.dbr</v>
      </c>
      <c r="X33" t="str">
        <f t="shared" si="8"/>
        <v>echo lootWeight31,1, &gt;&gt; .\items\loottables\dailoneskill0011.dbr</v>
      </c>
      <c r="Y33" s="5" t="s">
        <v>36</v>
      </c>
      <c r="Z33" t="str">
        <f t="shared" si="9"/>
        <v xml:space="preserve"> dailCompDescFrostKnight31=^pFrostKnight's Gift of DAIL</v>
      </c>
      <c r="AA33" t="str">
        <f t="shared" si="17"/>
        <v>dailCompTextFrostKnight31=^oThis feels warm to the touch, almost familiar ^w(This component only fits into the Medal Slot)</v>
      </c>
      <c r="AB33" s="5" t="s">
        <v>36</v>
      </c>
      <c r="AH33">
        <f t="shared" si="19"/>
        <v>28</v>
      </c>
      <c r="AI33">
        <f t="shared" si="13"/>
        <v>39</v>
      </c>
      <c r="AJ33">
        <f t="shared" si="18"/>
        <v>3</v>
      </c>
    </row>
    <row r="34" spans="1:36" x14ac:dyDescent="0.25">
      <c r="A34" s="5" t="s">
        <v>39</v>
      </c>
      <c r="B34" s="5" t="s">
        <v>30</v>
      </c>
      <c r="C34" s="5" t="str">
        <f t="shared" si="0"/>
        <v>description,dailCompDescFrostKnight32,</v>
      </c>
      <c r="D34" s="5" t="str">
        <f t="shared" si="2"/>
        <v>itemText,dailCompTextFrostKnight32,</v>
      </c>
      <c r="E34" s="5" t="str">
        <f t="shared" si="14"/>
        <v>augmentSkillLevel1,3,</v>
      </c>
      <c r="F34" s="5" t="str">
        <f t="shared" si="15"/>
        <v>augmentSkillName1,records/skills/FrostKnightClass/froststrike_iceflows.dbr,</v>
      </c>
      <c r="G34" s="7">
        <f t="shared" si="10"/>
        <v>32</v>
      </c>
      <c r="H34" s="8" t="str">
        <f t="shared" si="11"/>
        <v>FrostKnight</v>
      </c>
      <c r="I34" s="3" t="s">
        <v>494</v>
      </c>
      <c r="J34" s="8" t="str">
        <f t="shared" si="20"/>
        <v>class0011</v>
      </c>
      <c r="K34" s="8" t="str">
        <f t="shared" si="20"/>
        <v>dailoneskill0011</v>
      </c>
      <c r="L34" s="5" t="str">
        <f t="shared" si="4"/>
        <v>lootName32,DAIL/items/materia/class0011/FrostKnight32.dbr,</v>
      </c>
      <c r="M34" s="5" t="str">
        <f t="shared" si="5"/>
        <v>lootWeight32,1,</v>
      </c>
      <c r="N34" t="str">
        <f t="shared" si="6"/>
        <v>3</v>
      </c>
      <c r="O34" t="str">
        <f t="shared" si="16"/>
        <v>copy .\dail_base3.dbr .\items\materia\class0011\FrostKnight32.dbr /y</v>
      </c>
      <c r="P34" t="str">
        <f t="shared" si="7"/>
        <v>echo relicBitmap,items/craftingparts/components/component_a52_bristlyfur_b.tex, &gt;&gt; .\items\materia\class0011\FrostKnight32.dbr</v>
      </c>
      <c r="Q34" t="str">
        <f t="shared" si="7"/>
        <v>echo itemCost,500000, &gt;&gt; .\items\materia\class0011\FrostKnight32.dbr</v>
      </c>
      <c r="R34" t="str">
        <f t="shared" si="7"/>
        <v>echo description,dailCompDescFrostKnight32, &gt;&gt; .\items\materia\class0011\FrostKnight32.dbr</v>
      </c>
      <c r="S34" t="str">
        <f t="shared" si="7"/>
        <v>echo itemText,dailCompTextFrostKnight32, &gt;&gt; .\items\materia\class0011\FrostKnight32.dbr</v>
      </c>
      <c r="T34" t="str">
        <f t="shared" si="7"/>
        <v>echo augmentSkillLevel1,3, &gt;&gt; .\items\materia\class0011\FrostKnight32.dbr</v>
      </c>
      <c r="U34" t="str">
        <f t="shared" si="7"/>
        <v>echo augmentSkillName1,records/skills/FrostKnightClass/froststrike_iceflows.dbr, &gt;&gt; .\items\materia\class0011\FrostKnight32.dbr</v>
      </c>
      <c r="V34" s="5" t="s">
        <v>36</v>
      </c>
      <c r="W34" t="str">
        <f t="shared" si="8"/>
        <v>echo lootName32,DAIL/items/materia/class0011/FrostKnight32.dbr, &gt;&gt; .\items\loottables\dailoneskill0011.dbr</v>
      </c>
      <c r="X34" t="str">
        <f t="shared" si="8"/>
        <v>echo lootWeight32,1, &gt;&gt; .\items\loottables\dailoneskill0011.dbr</v>
      </c>
      <c r="Y34" s="5" t="s">
        <v>36</v>
      </c>
      <c r="Z34" t="str">
        <f t="shared" si="9"/>
        <v xml:space="preserve"> dailCompDescFrostKnight32=^pFrostKnight's Gift of DAIL</v>
      </c>
      <c r="AA34" t="str">
        <f t="shared" si="17"/>
        <v>dailCompTextFrostKnight32=^oThis feels warm to the touch, almost familiar ^w(This component only fits into the Medal Slot)</v>
      </c>
      <c r="AB34" s="5" t="s">
        <v>36</v>
      </c>
      <c r="AH34">
        <f t="shared" si="19"/>
        <v>29</v>
      </c>
      <c r="AI34">
        <f t="shared" si="13"/>
        <v>42</v>
      </c>
      <c r="AJ34">
        <f t="shared" si="18"/>
        <v>3</v>
      </c>
    </row>
    <row r="35" spans="1:36" x14ac:dyDescent="0.25">
      <c r="A35" s="5" t="s">
        <v>39</v>
      </c>
      <c r="B35" s="5" t="s">
        <v>30</v>
      </c>
      <c r="C35" s="5" t="str">
        <f t="shared" si="0"/>
        <v>description,dailCompDescFrostKnight33,</v>
      </c>
      <c r="D35" s="5" t="str">
        <f t="shared" si="2"/>
        <v>itemText,dailCompTextFrostKnight33,</v>
      </c>
      <c r="E35" s="5" t="str">
        <f t="shared" si="14"/>
        <v>augmentSkillLevel1,3,</v>
      </c>
      <c r="F35" s="5" t="str">
        <f t="shared" si="15"/>
        <v>augmentSkillName1,records/skills/FrostKnightClass/crushingwinds.dbr,</v>
      </c>
      <c r="G35" s="7">
        <f t="shared" si="10"/>
        <v>33</v>
      </c>
      <c r="H35" s="8" t="str">
        <f t="shared" si="11"/>
        <v>FrostKnight</v>
      </c>
      <c r="I35" s="3" t="s">
        <v>495</v>
      </c>
      <c r="J35" s="8" t="str">
        <f t="shared" si="20"/>
        <v>class0011</v>
      </c>
      <c r="K35" s="8" t="str">
        <f t="shared" si="20"/>
        <v>dailoneskill0011</v>
      </c>
      <c r="L35" s="5" t="str">
        <f t="shared" si="4"/>
        <v>lootName33,DAIL/items/materia/class0011/FrostKnight33.dbr,</v>
      </c>
      <c r="M35" s="5" t="str">
        <f t="shared" si="5"/>
        <v>lootWeight33,1,</v>
      </c>
      <c r="N35" t="str">
        <f t="shared" si="6"/>
        <v>3</v>
      </c>
      <c r="O35" t="str">
        <f t="shared" si="16"/>
        <v>copy .\dail_base3.dbr .\items\materia\class0011\FrostKnight33.dbr /y</v>
      </c>
      <c r="P35" t="str">
        <f t="shared" si="7"/>
        <v>echo relicBitmap,items/craftingparts/components/component_a52_bristlyfur_b.tex, &gt;&gt; .\items\materia\class0011\FrostKnight33.dbr</v>
      </c>
      <c r="Q35" t="str">
        <f t="shared" si="7"/>
        <v>echo itemCost,500000, &gt;&gt; .\items\materia\class0011\FrostKnight33.dbr</v>
      </c>
      <c r="R35" t="str">
        <f t="shared" si="7"/>
        <v>echo description,dailCompDescFrostKnight33, &gt;&gt; .\items\materia\class0011\FrostKnight33.dbr</v>
      </c>
      <c r="S35" t="str">
        <f t="shared" si="7"/>
        <v>echo itemText,dailCompTextFrostKnight33, &gt;&gt; .\items\materia\class0011\FrostKnight33.dbr</v>
      </c>
      <c r="T35" t="str">
        <f t="shared" si="7"/>
        <v>echo augmentSkillLevel1,3, &gt;&gt; .\items\materia\class0011\FrostKnight33.dbr</v>
      </c>
      <c r="U35" t="str">
        <f t="shared" si="7"/>
        <v>echo augmentSkillName1,records/skills/FrostKnightClass/crushingwinds.dbr, &gt;&gt; .\items\materia\class0011\FrostKnight33.dbr</v>
      </c>
      <c r="V35" s="5" t="s">
        <v>36</v>
      </c>
      <c r="W35" t="str">
        <f t="shared" si="8"/>
        <v>echo lootName33,DAIL/items/materia/class0011/FrostKnight33.dbr, &gt;&gt; .\items\loottables\dailoneskill0011.dbr</v>
      </c>
      <c r="X35" t="str">
        <f t="shared" si="8"/>
        <v>echo lootWeight33,1, &gt;&gt; .\items\loottables\dailoneskill0011.dbr</v>
      </c>
      <c r="Y35" s="5" t="s">
        <v>36</v>
      </c>
      <c r="Z35" t="str">
        <f t="shared" si="9"/>
        <v xml:space="preserve"> dailCompDescFrostKnight33=^pFrostKnight's Gift of DAIL</v>
      </c>
      <c r="AA35" t="str">
        <f t="shared" si="17"/>
        <v>dailCompTextFrostKnight33=^oThis feels warm to the touch, almost familiar ^w(This component only fits into the Medal Slot)</v>
      </c>
      <c r="AB35" s="5" t="s">
        <v>36</v>
      </c>
      <c r="AH35">
        <f t="shared" si="19"/>
        <v>30</v>
      </c>
      <c r="AI35">
        <f t="shared" si="13"/>
        <v>35</v>
      </c>
      <c r="AJ35">
        <f t="shared" si="18"/>
        <v>3</v>
      </c>
    </row>
    <row r="36" spans="1:36" x14ac:dyDescent="0.25">
      <c r="A36" s="5" t="s">
        <v>39</v>
      </c>
      <c r="B36" s="5" t="s">
        <v>30</v>
      </c>
      <c r="C36" s="5" t="str">
        <f t="shared" si="0"/>
        <v>description,dailCompDescFrostKnight34,</v>
      </c>
      <c r="D36" s="5" t="str">
        <f t="shared" si="2"/>
        <v>itemText,dailCompTextFrostKnight34,</v>
      </c>
      <c r="E36" s="5" t="str">
        <f t="shared" si="14"/>
        <v>augmentSkillLevel1,3,</v>
      </c>
      <c r="F36" s="5" t="str">
        <f t="shared" si="15"/>
        <v>augmentSkillName1,records/skills/FrostKnightClass/training.dbr,</v>
      </c>
      <c r="G36" s="7">
        <f t="shared" si="10"/>
        <v>34</v>
      </c>
      <c r="H36" s="8" t="str">
        <f t="shared" si="11"/>
        <v>FrostKnight</v>
      </c>
      <c r="I36" s="3" t="s">
        <v>496</v>
      </c>
      <c r="J36" s="8" t="str">
        <f t="shared" si="20"/>
        <v>class0011</v>
      </c>
      <c r="K36" s="8" t="str">
        <f t="shared" si="20"/>
        <v>dailoneskill0011</v>
      </c>
      <c r="L36" s="5" t="str">
        <f t="shared" si="4"/>
        <v>lootName34,DAIL/items/materia/class0011/FrostKnight34.dbr,</v>
      </c>
      <c r="M36" s="5" t="str">
        <f t="shared" si="5"/>
        <v>lootWeight34,1,</v>
      </c>
      <c r="N36" t="str">
        <f t="shared" si="6"/>
        <v>3</v>
      </c>
      <c r="O36" t="str">
        <f t="shared" si="16"/>
        <v>copy .\dail_base3.dbr .\items\materia\class0011\FrostKnight34.dbr /y</v>
      </c>
      <c r="P36" t="str">
        <f t="shared" si="7"/>
        <v>echo relicBitmap,items/craftingparts/components/component_a52_bristlyfur_b.tex, &gt;&gt; .\items\materia\class0011\FrostKnight34.dbr</v>
      </c>
      <c r="Q36" t="str">
        <f t="shared" si="7"/>
        <v>echo itemCost,500000, &gt;&gt; .\items\materia\class0011\FrostKnight34.dbr</v>
      </c>
      <c r="R36" t="str">
        <f t="shared" si="7"/>
        <v>echo description,dailCompDescFrostKnight34, &gt;&gt; .\items\materia\class0011\FrostKnight34.dbr</v>
      </c>
      <c r="S36" t="str">
        <f t="shared" si="7"/>
        <v>echo itemText,dailCompTextFrostKnight34, &gt;&gt; .\items\materia\class0011\FrostKnight34.dbr</v>
      </c>
      <c r="T36" t="str">
        <f t="shared" si="7"/>
        <v>echo augmentSkillLevel1,3, &gt;&gt; .\items\materia\class0011\FrostKnight34.dbr</v>
      </c>
      <c r="U36" t="str">
        <f t="shared" si="7"/>
        <v>echo augmentSkillName1,records/skills/FrostKnightClass/training.dbr, &gt;&gt; .\items\materia\class0011\FrostKnight34.dbr</v>
      </c>
      <c r="V36" s="5" t="s">
        <v>36</v>
      </c>
      <c r="W36" t="str">
        <f t="shared" si="8"/>
        <v>echo lootName34,DAIL/items/materia/class0011/FrostKnight34.dbr, &gt;&gt; .\items\loottables\dailoneskill0011.dbr</v>
      </c>
      <c r="X36" t="str">
        <f t="shared" si="8"/>
        <v>echo lootWeight34,1, &gt;&gt; .\items\loottables\dailoneskill0011.dbr</v>
      </c>
      <c r="Y36" s="5" t="s">
        <v>36</v>
      </c>
      <c r="Z36" t="str">
        <f t="shared" si="9"/>
        <v xml:space="preserve"> dailCompDescFrostKnight34=^pFrostKnight's Gift of DAIL</v>
      </c>
      <c r="AA36" t="str">
        <f t="shared" si="17"/>
        <v>dailCompTextFrostKnight34=^oThis feels warm to the touch, almost familiar ^w(This component only fits into the Medal Slot)</v>
      </c>
      <c r="AB36" s="5" t="s">
        <v>36</v>
      </c>
      <c r="AH36">
        <f t="shared" si="19"/>
        <v>31</v>
      </c>
      <c r="AI36">
        <f t="shared" si="13"/>
        <v>30</v>
      </c>
      <c r="AJ36">
        <f t="shared" si="18"/>
        <v>3</v>
      </c>
    </row>
    <row r="37" spans="1:36" x14ac:dyDescent="0.25">
      <c r="A37" s="5" t="s">
        <v>39</v>
      </c>
      <c r="B37" s="5" t="s">
        <v>30</v>
      </c>
      <c r="C37" s="5" t="str">
        <f t="shared" si="0"/>
        <v>description,dailCompDescFrostKnight35,</v>
      </c>
      <c r="D37" s="5" t="str">
        <f t="shared" si="2"/>
        <v>itemText,dailCompTextFrostKnight35,</v>
      </c>
      <c r="E37" s="5" t="str">
        <f t="shared" si="14"/>
        <v>augmentSkillLevel1,3,</v>
      </c>
      <c r="F37" s="5" t="str">
        <f t="shared" si="15"/>
        <v>augmentSkillName1,records/skills/FrostKnightClass/frostborn.dbr,</v>
      </c>
      <c r="G37" s="7">
        <f t="shared" si="10"/>
        <v>35</v>
      </c>
      <c r="H37" s="8" t="str">
        <f t="shared" si="11"/>
        <v>FrostKnight</v>
      </c>
      <c r="I37" s="3" t="s">
        <v>497</v>
      </c>
      <c r="J37" s="8" t="str">
        <f t="shared" ref="J37:K52" si="21">J36</f>
        <v>class0011</v>
      </c>
      <c r="K37" s="8" t="str">
        <f t="shared" si="21"/>
        <v>dailoneskill0011</v>
      </c>
      <c r="L37" s="5" t="str">
        <f t="shared" si="4"/>
        <v>lootName35,DAIL/items/materia/class0011/FrostKnight35.dbr,</v>
      </c>
      <c r="M37" s="5" t="str">
        <f t="shared" si="5"/>
        <v>lootWeight35,1,</v>
      </c>
      <c r="N37" t="str">
        <f t="shared" si="6"/>
        <v>3</v>
      </c>
      <c r="O37" t="str">
        <f t="shared" si="16"/>
        <v>copy .\dail_base3.dbr .\items\materia\class0011\FrostKnight35.dbr /y</v>
      </c>
      <c r="P37" t="str">
        <f t="shared" si="7"/>
        <v>echo relicBitmap,items/craftingparts/components/component_a52_bristlyfur_b.tex, &gt;&gt; .\items\materia\class0011\FrostKnight35.dbr</v>
      </c>
      <c r="Q37" t="str">
        <f t="shared" si="7"/>
        <v>echo itemCost,500000, &gt;&gt; .\items\materia\class0011\FrostKnight35.dbr</v>
      </c>
      <c r="R37" t="str">
        <f t="shared" si="7"/>
        <v>echo description,dailCompDescFrostKnight35, &gt;&gt; .\items\materia\class0011\FrostKnight35.dbr</v>
      </c>
      <c r="S37" t="str">
        <f t="shared" si="7"/>
        <v>echo itemText,dailCompTextFrostKnight35, &gt;&gt; .\items\materia\class0011\FrostKnight35.dbr</v>
      </c>
      <c r="T37" t="str">
        <f t="shared" si="7"/>
        <v>echo augmentSkillLevel1,3, &gt;&gt; .\items\materia\class0011\FrostKnight35.dbr</v>
      </c>
      <c r="U37" t="str">
        <f t="shared" si="7"/>
        <v>echo augmentSkillName1,records/skills/FrostKnightClass/frostborn.dbr, &gt;&gt; .\items\materia\class0011\FrostKnight35.dbr</v>
      </c>
      <c r="V37" s="5" t="s">
        <v>36</v>
      </c>
      <c r="W37" t="str">
        <f t="shared" si="8"/>
        <v>echo lootName35,DAIL/items/materia/class0011/FrostKnight35.dbr, &gt;&gt; .\items\loottables\dailoneskill0011.dbr</v>
      </c>
      <c r="X37" t="str">
        <f t="shared" si="8"/>
        <v>echo lootWeight35,1, &gt;&gt; .\items\loottables\dailoneskill0011.dbr</v>
      </c>
      <c r="Y37" s="5" t="s">
        <v>36</v>
      </c>
      <c r="Z37" t="str">
        <f t="shared" si="9"/>
        <v xml:space="preserve"> dailCompDescFrostKnight35=^pFrostKnight's Gift of DAIL</v>
      </c>
      <c r="AA37" t="str">
        <f t="shared" si="17"/>
        <v>dailCompTextFrostKnight35=^oThis feels warm to the touch, almost familiar ^w(This component only fits into the Medal Slot)</v>
      </c>
      <c r="AB37" s="5" t="s">
        <v>36</v>
      </c>
      <c r="AH37">
        <f t="shared" si="19"/>
        <v>32</v>
      </c>
      <c r="AI37">
        <f t="shared" si="13"/>
        <v>31</v>
      </c>
      <c r="AJ37">
        <f t="shared" si="18"/>
        <v>3</v>
      </c>
    </row>
    <row r="38" spans="1:36" x14ac:dyDescent="0.25">
      <c r="A38" s="5" t="s">
        <v>39</v>
      </c>
      <c r="B38" s="5" t="s">
        <v>30</v>
      </c>
      <c r="C38" s="5" t="str">
        <f t="shared" si="0"/>
        <v>description,dailCompDescFrostKnight36,</v>
      </c>
      <c r="D38" s="5" t="str">
        <f t="shared" si="2"/>
        <v>itemText,dailCompTextFrostKnight36,</v>
      </c>
      <c r="E38" s="5" t="str">
        <f t="shared" si="14"/>
        <v>augmentSkillLevel1,3,</v>
      </c>
      <c r="F38" s="5" t="str">
        <f t="shared" si="15"/>
        <v>augmentSkillName1,records/skills/FrostKnightClass/harbinger.dbr,</v>
      </c>
      <c r="G38" s="7">
        <f t="shared" si="10"/>
        <v>36</v>
      </c>
      <c r="H38" s="8" t="str">
        <f t="shared" si="11"/>
        <v>FrostKnight</v>
      </c>
      <c r="I38" s="3" t="s">
        <v>498</v>
      </c>
      <c r="J38" s="8" t="str">
        <f t="shared" si="21"/>
        <v>class0011</v>
      </c>
      <c r="K38" s="8" t="str">
        <f t="shared" si="21"/>
        <v>dailoneskill0011</v>
      </c>
      <c r="L38" s="5" t="str">
        <f t="shared" si="4"/>
        <v>lootName36,DAIL/items/materia/class0011/FrostKnight36.dbr,</v>
      </c>
      <c r="M38" s="5" t="str">
        <f t="shared" si="5"/>
        <v>lootWeight36,1,</v>
      </c>
      <c r="N38" t="str">
        <f t="shared" si="6"/>
        <v>3</v>
      </c>
      <c r="O38" t="str">
        <f t="shared" si="16"/>
        <v>copy .\dail_base3.dbr .\items\materia\class0011\FrostKnight36.dbr /y</v>
      </c>
      <c r="P38" t="str">
        <f t="shared" si="7"/>
        <v>echo relicBitmap,items/craftingparts/components/component_a52_bristlyfur_b.tex, &gt;&gt; .\items\materia\class0011\FrostKnight36.dbr</v>
      </c>
      <c r="Q38" t="str">
        <f t="shared" si="7"/>
        <v>echo itemCost,500000, &gt;&gt; .\items\materia\class0011\FrostKnight36.dbr</v>
      </c>
      <c r="R38" t="str">
        <f t="shared" si="7"/>
        <v>echo description,dailCompDescFrostKnight36, &gt;&gt; .\items\materia\class0011\FrostKnight36.dbr</v>
      </c>
      <c r="S38" t="str">
        <f t="shared" si="7"/>
        <v>echo itemText,dailCompTextFrostKnight36, &gt;&gt; .\items\materia\class0011\FrostKnight36.dbr</v>
      </c>
      <c r="T38" t="str">
        <f t="shared" si="7"/>
        <v>echo augmentSkillLevel1,3, &gt;&gt; .\items\materia\class0011\FrostKnight36.dbr</v>
      </c>
      <c r="U38" t="str">
        <f t="shared" si="7"/>
        <v>echo augmentSkillName1,records/skills/FrostKnightClass/harbinger.dbr, &gt;&gt; .\items\materia\class0011\FrostKnight36.dbr</v>
      </c>
      <c r="V38" s="5" t="s">
        <v>36</v>
      </c>
      <c r="W38" t="str">
        <f t="shared" si="8"/>
        <v>echo lootName36,DAIL/items/materia/class0011/FrostKnight36.dbr, &gt;&gt; .\items\loottables\dailoneskill0011.dbr</v>
      </c>
      <c r="X38" t="str">
        <f t="shared" si="8"/>
        <v>echo lootWeight36,1, &gt;&gt; .\items\loottables\dailoneskill0011.dbr</v>
      </c>
      <c r="Y38" s="5" t="s">
        <v>36</v>
      </c>
      <c r="Z38" t="str">
        <f t="shared" si="9"/>
        <v xml:space="preserve"> dailCompDescFrostKnight36=^pFrostKnight's Gift of DAIL</v>
      </c>
      <c r="AA38" t="str">
        <f t="shared" si="17"/>
        <v>dailCompTextFrostKnight36=^oThis feels warm to the touch, almost familiar ^w(This component only fits into the Medal Slot)</v>
      </c>
      <c r="AB38" s="5" t="s">
        <v>36</v>
      </c>
      <c r="AH38">
        <f t="shared" si="19"/>
        <v>33</v>
      </c>
      <c r="AI38">
        <f t="shared" ref="AI38:AI69" si="22">LEN(I38)</f>
        <v>31</v>
      </c>
      <c r="AJ38">
        <f t="shared" si="18"/>
        <v>3</v>
      </c>
    </row>
    <row r="39" spans="1:36" x14ac:dyDescent="0.25">
      <c r="A39" s="5" t="s">
        <v>39</v>
      </c>
      <c r="B39" s="5" t="s">
        <v>30</v>
      </c>
      <c r="C39" s="5" t="str">
        <f t="shared" si="0"/>
        <v>description,dailCompDescFrostKnight37,</v>
      </c>
      <c r="D39" s="5" t="str">
        <f t="shared" si="2"/>
        <v>itemText,dailCompTextFrostKnight37,</v>
      </c>
      <c r="E39" s="5" t="str">
        <f t="shared" si="14"/>
        <v>augmentSkillLevel1,3,</v>
      </c>
      <c r="F39" s="5" t="str">
        <f t="shared" si="15"/>
        <v>augmentSkillName1,records/skills/FrostKnightClass/frostbreath.dbr,</v>
      </c>
      <c r="G39" s="7">
        <f t="shared" si="10"/>
        <v>37</v>
      </c>
      <c r="H39" s="8" t="str">
        <f t="shared" si="11"/>
        <v>FrostKnight</v>
      </c>
      <c r="I39" s="3" t="s">
        <v>499</v>
      </c>
      <c r="J39" s="8" t="str">
        <f t="shared" si="21"/>
        <v>class0011</v>
      </c>
      <c r="K39" s="8" t="str">
        <f t="shared" si="21"/>
        <v>dailoneskill0011</v>
      </c>
      <c r="L39" s="5" t="str">
        <f t="shared" si="4"/>
        <v>lootName37,DAIL/items/materia/class0011/FrostKnight37.dbr,</v>
      </c>
      <c r="M39" s="5" t="str">
        <f t="shared" si="5"/>
        <v>lootWeight37,1,</v>
      </c>
      <c r="N39" t="str">
        <f t="shared" si="6"/>
        <v>3</v>
      </c>
      <c r="O39" t="str">
        <f t="shared" si="16"/>
        <v>copy .\dail_base3.dbr .\items\materia\class0011\FrostKnight37.dbr /y</v>
      </c>
      <c r="P39" t="str">
        <f t="shared" si="7"/>
        <v>echo relicBitmap,items/craftingparts/components/component_a52_bristlyfur_b.tex, &gt;&gt; .\items\materia\class0011\FrostKnight37.dbr</v>
      </c>
      <c r="Q39" t="str">
        <f t="shared" si="7"/>
        <v>echo itemCost,500000, &gt;&gt; .\items\materia\class0011\FrostKnight37.dbr</v>
      </c>
      <c r="R39" t="str">
        <f t="shared" si="7"/>
        <v>echo description,dailCompDescFrostKnight37, &gt;&gt; .\items\materia\class0011\FrostKnight37.dbr</v>
      </c>
      <c r="S39" t="str">
        <f t="shared" si="7"/>
        <v>echo itemText,dailCompTextFrostKnight37, &gt;&gt; .\items\materia\class0011\FrostKnight37.dbr</v>
      </c>
      <c r="T39" t="str">
        <f t="shared" si="7"/>
        <v>echo augmentSkillLevel1,3, &gt;&gt; .\items\materia\class0011\FrostKnight37.dbr</v>
      </c>
      <c r="U39" t="str">
        <f t="shared" si="7"/>
        <v>echo augmentSkillName1,records/skills/FrostKnightClass/frostbreath.dbr, &gt;&gt; .\items\materia\class0011\FrostKnight37.dbr</v>
      </c>
      <c r="V39" s="5" t="s">
        <v>36</v>
      </c>
      <c r="W39" t="str">
        <f t="shared" si="8"/>
        <v>echo lootName37,DAIL/items/materia/class0011/FrostKnight37.dbr, &gt;&gt; .\items\loottables\dailoneskill0011.dbr</v>
      </c>
      <c r="X39" t="str">
        <f t="shared" si="8"/>
        <v>echo lootWeight37,1, &gt;&gt; .\items\loottables\dailoneskill0011.dbr</v>
      </c>
      <c r="Y39" s="5" t="s">
        <v>36</v>
      </c>
      <c r="Z39" t="str">
        <f t="shared" si="9"/>
        <v xml:space="preserve"> dailCompDescFrostKnight37=^pFrostKnight's Gift of DAIL</v>
      </c>
      <c r="AA39" t="str">
        <f t="shared" si="17"/>
        <v>dailCompTextFrostKnight37=^oThis feels warm to the touch, almost familiar ^w(This component only fits into the Medal Slot)</v>
      </c>
      <c r="AB39" s="5" t="s">
        <v>36</v>
      </c>
      <c r="AH39">
        <f t="shared" si="19"/>
        <v>34</v>
      </c>
      <c r="AI39">
        <f t="shared" si="22"/>
        <v>33</v>
      </c>
      <c r="AJ39">
        <f t="shared" si="18"/>
        <v>3</v>
      </c>
    </row>
    <row r="40" spans="1:36" x14ac:dyDescent="0.25">
      <c r="A40" s="5" t="s">
        <v>39</v>
      </c>
      <c r="B40" s="5" t="s">
        <v>30</v>
      </c>
      <c r="C40" s="5" t="str">
        <f t="shared" si="0"/>
        <v>description,dailCompDescFrostKnight38,</v>
      </c>
      <c r="D40" s="5" t="str">
        <f t="shared" si="2"/>
        <v>itemText,dailCompTextFrostKnight38,</v>
      </c>
      <c r="E40" s="5" t="str">
        <f t="shared" si="14"/>
        <v>augmentSkillLevel1,3,</v>
      </c>
      <c r="F40" s="5" t="str">
        <f t="shared" si="15"/>
        <v>augmentSkillName1,records/skills/FrostKnightClass/pathoffrost.dbr,</v>
      </c>
      <c r="G40" s="7">
        <f t="shared" si="10"/>
        <v>38</v>
      </c>
      <c r="H40" s="8" t="str">
        <f t="shared" si="11"/>
        <v>FrostKnight</v>
      </c>
      <c r="I40" s="3" t="s">
        <v>500</v>
      </c>
      <c r="J40" s="8" t="str">
        <f t="shared" si="21"/>
        <v>class0011</v>
      </c>
      <c r="K40" s="8" t="str">
        <f t="shared" si="21"/>
        <v>dailoneskill0011</v>
      </c>
      <c r="L40" s="5" t="str">
        <f t="shared" si="4"/>
        <v>lootName38,DAIL/items/materia/class0011/FrostKnight38.dbr,</v>
      </c>
      <c r="M40" s="5" t="str">
        <f t="shared" si="5"/>
        <v>lootWeight38,1,</v>
      </c>
      <c r="N40" t="str">
        <f t="shared" si="6"/>
        <v>3</v>
      </c>
      <c r="O40" t="str">
        <f t="shared" si="16"/>
        <v>copy .\dail_base3.dbr .\items\materia\class0011\FrostKnight38.dbr /y</v>
      </c>
      <c r="P40" t="str">
        <f t="shared" si="7"/>
        <v>echo relicBitmap,items/craftingparts/components/component_a52_bristlyfur_b.tex, &gt;&gt; .\items\materia\class0011\FrostKnight38.dbr</v>
      </c>
      <c r="Q40" t="str">
        <f t="shared" si="7"/>
        <v>echo itemCost,500000, &gt;&gt; .\items\materia\class0011\FrostKnight38.dbr</v>
      </c>
      <c r="R40" t="str">
        <f t="shared" si="7"/>
        <v>echo description,dailCompDescFrostKnight38, &gt;&gt; .\items\materia\class0011\FrostKnight38.dbr</v>
      </c>
      <c r="S40" t="str">
        <f t="shared" si="7"/>
        <v>echo itemText,dailCompTextFrostKnight38, &gt;&gt; .\items\materia\class0011\FrostKnight38.dbr</v>
      </c>
      <c r="T40" t="str">
        <f t="shared" si="7"/>
        <v>echo augmentSkillLevel1,3, &gt;&gt; .\items\materia\class0011\FrostKnight38.dbr</v>
      </c>
      <c r="U40" t="str">
        <f t="shared" si="7"/>
        <v>echo augmentSkillName1,records/skills/FrostKnightClass/pathoffrost.dbr, &gt;&gt; .\items\materia\class0011\FrostKnight38.dbr</v>
      </c>
      <c r="V40" s="5" t="s">
        <v>36</v>
      </c>
      <c r="W40" t="str">
        <f t="shared" si="8"/>
        <v>echo lootName38,DAIL/items/materia/class0011/FrostKnight38.dbr, &gt;&gt; .\items\loottables\dailoneskill0011.dbr</v>
      </c>
      <c r="X40" t="str">
        <f t="shared" si="8"/>
        <v>echo lootWeight38,1, &gt;&gt; .\items\loottables\dailoneskill0011.dbr</v>
      </c>
      <c r="Y40" s="5" t="s">
        <v>36</v>
      </c>
      <c r="Z40" t="str">
        <f t="shared" si="9"/>
        <v xml:space="preserve"> dailCompDescFrostKnight38=^pFrostKnight's Gift of DAIL</v>
      </c>
      <c r="AA40" t="str">
        <f t="shared" si="17"/>
        <v>dailCompTextFrostKnight38=^oThis feels warm to the touch, almost familiar ^w(This component only fits into the Medal Slot)</v>
      </c>
      <c r="AB40" s="5" t="s">
        <v>36</v>
      </c>
      <c r="AH40">
        <f t="shared" si="19"/>
        <v>35</v>
      </c>
      <c r="AI40">
        <f t="shared" si="22"/>
        <v>33</v>
      </c>
      <c r="AJ40">
        <f t="shared" si="18"/>
        <v>3</v>
      </c>
    </row>
    <row r="41" spans="1:36" x14ac:dyDescent="0.25">
      <c r="A41" s="5" t="s">
        <v>39</v>
      </c>
      <c r="B41" s="5" t="s">
        <v>30</v>
      </c>
      <c r="C41" s="5" t="str">
        <f t="shared" si="0"/>
        <v>description,dailCompDescFrostKnight39,</v>
      </c>
      <c r="D41" s="5" t="str">
        <f t="shared" si="2"/>
        <v>itemText,dailCompTextFrostKnight39,</v>
      </c>
      <c r="E41" s="5" t="str">
        <f t="shared" si="14"/>
        <v>augmentSkillLevel1,3,</v>
      </c>
      <c r="F41" s="5" t="str">
        <f t="shared" si="15"/>
        <v>augmentSkillName1,records/skills/FrostKnightClass/lethality.dbr,</v>
      </c>
      <c r="G41" s="7">
        <f t="shared" si="10"/>
        <v>39</v>
      </c>
      <c r="H41" s="8" t="str">
        <f t="shared" si="11"/>
        <v>FrostKnight</v>
      </c>
      <c r="I41" s="3" t="s">
        <v>501</v>
      </c>
      <c r="J41" s="8" t="str">
        <f t="shared" si="21"/>
        <v>class0011</v>
      </c>
      <c r="K41" s="8" t="str">
        <f t="shared" si="21"/>
        <v>dailoneskill0011</v>
      </c>
      <c r="L41" s="5" t="str">
        <f t="shared" si="4"/>
        <v>lootName39,DAIL/items/materia/class0011/FrostKnight39.dbr,</v>
      </c>
      <c r="M41" s="5" t="str">
        <f t="shared" si="5"/>
        <v>lootWeight39,1,</v>
      </c>
      <c r="N41" t="str">
        <f t="shared" si="6"/>
        <v>3</v>
      </c>
      <c r="O41" t="str">
        <f t="shared" si="16"/>
        <v>copy .\dail_base3.dbr .\items\materia\class0011\FrostKnight39.dbr /y</v>
      </c>
      <c r="P41" t="str">
        <f t="shared" si="7"/>
        <v>echo relicBitmap,items/craftingparts/components/component_a52_bristlyfur_b.tex, &gt;&gt; .\items\materia\class0011\FrostKnight39.dbr</v>
      </c>
      <c r="Q41" t="str">
        <f t="shared" si="7"/>
        <v>echo itemCost,500000, &gt;&gt; .\items\materia\class0011\FrostKnight39.dbr</v>
      </c>
      <c r="R41" t="str">
        <f t="shared" si="7"/>
        <v>echo description,dailCompDescFrostKnight39, &gt;&gt; .\items\materia\class0011\FrostKnight39.dbr</v>
      </c>
      <c r="S41" t="str">
        <f t="shared" si="7"/>
        <v>echo itemText,dailCompTextFrostKnight39, &gt;&gt; .\items\materia\class0011\FrostKnight39.dbr</v>
      </c>
      <c r="T41" t="str">
        <f t="shared" si="7"/>
        <v>echo augmentSkillLevel1,3, &gt;&gt; .\items\materia\class0011\FrostKnight39.dbr</v>
      </c>
      <c r="U41" t="str">
        <f t="shared" si="7"/>
        <v>echo augmentSkillName1,records/skills/FrostKnightClass/lethality.dbr, &gt;&gt; .\items\materia\class0011\FrostKnight39.dbr</v>
      </c>
      <c r="V41" s="5" t="s">
        <v>36</v>
      </c>
      <c r="W41" t="str">
        <f t="shared" si="8"/>
        <v>echo lootName39,DAIL/items/materia/class0011/FrostKnight39.dbr, &gt;&gt; .\items\loottables\dailoneskill0011.dbr</v>
      </c>
      <c r="X41" t="str">
        <f t="shared" si="8"/>
        <v>echo lootWeight39,1, &gt;&gt; .\items\loottables\dailoneskill0011.dbr</v>
      </c>
      <c r="Y41" s="5" t="s">
        <v>36</v>
      </c>
      <c r="Z41" t="str">
        <f t="shared" si="9"/>
        <v xml:space="preserve"> dailCompDescFrostKnight39=^pFrostKnight's Gift of DAIL</v>
      </c>
      <c r="AA41" t="str">
        <f t="shared" si="17"/>
        <v>dailCompTextFrostKnight39=^oThis feels warm to the touch, almost familiar ^w(This component only fits into the Medal Slot)</v>
      </c>
      <c r="AB41" s="5" t="s">
        <v>36</v>
      </c>
      <c r="AH41">
        <f t="shared" si="19"/>
        <v>36</v>
      </c>
      <c r="AI41">
        <f t="shared" si="22"/>
        <v>31</v>
      </c>
      <c r="AJ41">
        <f t="shared" si="18"/>
        <v>3</v>
      </c>
    </row>
    <row r="42" spans="1:36" x14ac:dyDescent="0.25">
      <c r="A42" s="5" t="s">
        <v>39</v>
      </c>
      <c r="B42" s="5" t="s">
        <v>30</v>
      </c>
      <c r="C42" s="5" t="str">
        <f t="shared" si="0"/>
        <v>description,dailCompDescFrostKnight40,</v>
      </c>
      <c r="D42" s="5" t="str">
        <f t="shared" si="2"/>
        <v>itemText,dailCompTextFrostKnight40,</v>
      </c>
      <c r="E42" s="5" t="str">
        <f t="shared" si="14"/>
        <v>augmentSkillLevel1,3,</v>
      </c>
      <c r="F42" s="5" t="str">
        <f t="shared" si="15"/>
        <v>augmentSkillName1,records/skills/FrostKnightClass/glaciationwp.dbr,</v>
      </c>
      <c r="G42" s="7">
        <f t="shared" si="10"/>
        <v>40</v>
      </c>
      <c r="H42" s="8" t="str">
        <f t="shared" si="11"/>
        <v>FrostKnight</v>
      </c>
      <c r="I42" s="3" t="s">
        <v>502</v>
      </c>
      <c r="J42" s="8" t="str">
        <f t="shared" si="21"/>
        <v>class0011</v>
      </c>
      <c r="K42" s="8" t="str">
        <f t="shared" si="21"/>
        <v>dailoneskill0011</v>
      </c>
      <c r="L42" s="5" t="str">
        <f t="shared" si="4"/>
        <v>lootName40,DAIL/items/materia/class0011/FrostKnight40.dbr,</v>
      </c>
      <c r="M42" s="5" t="str">
        <f t="shared" si="5"/>
        <v>lootWeight40,1,</v>
      </c>
      <c r="N42" t="str">
        <f t="shared" si="6"/>
        <v>3</v>
      </c>
      <c r="O42" t="str">
        <f t="shared" si="16"/>
        <v>copy .\dail_base3.dbr .\items\materia\class0011\FrostKnight40.dbr /y</v>
      </c>
      <c r="P42" t="str">
        <f t="shared" si="7"/>
        <v>echo relicBitmap,items/craftingparts/components/component_a52_bristlyfur_b.tex, &gt;&gt; .\items\materia\class0011\FrostKnight40.dbr</v>
      </c>
      <c r="Q42" t="str">
        <f t="shared" si="7"/>
        <v>echo itemCost,500000, &gt;&gt; .\items\materia\class0011\FrostKnight40.dbr</v>
      </c>
      <c r="R42" t="str">
        <f t="shared" si="7"/>
        <v>echo description,dailCompDescFrostKnight40, &gt;&gt; .\items\materia\class0011\FrostKnight40.dbr</v>
      </c>
      <c r="S42" t="str">
        <f t="shared" si="7"/>
        <v>echo itemText,dailCompTextFrostKnight40, &gt;&gt; .\items\materia\class0011\FrostKnight40.dbr</v>
      </c>
      <c r="T42" t="str">
        <f t="shared" si="7"/>
        <v>echo augmentSkillLevel1,3, &gt;&gt; .\items\materia\class0011\FrostKnight40.dbr</v>
      </c>
      <c r="U42" t="str">
        <f t="shared" si="7"/>
        <v>echo augmentSkillName1,records/skills/FrostKnightClass/glaciationwp.dbr, &gt;&gt; .\items\materia\class0011\FrostKnight40.dbr</v>
      </c>
      <c r="V42" s="5" t="s">
        <v>36</v>
      </c>
      <c r="W42" t="str">
        <f t="shared" si="8"/>
        <v>echo lootName40,DAIL/items/materia/class0011/FrostKnight40.dbr, &gt;&gt; .\items\loottables\dailoneskill0011.dbr</v>
      </c>
      <c r="X42" t="str">
        <f t="shared" si="8"/>
        <v>echo lootWeight40,1, &gt;&gt; .\items\loottables\dailoneskill0011.dbr</v>
      </c>
      <c r="Y42" s="5" t="s">
        <v>36</v>
      </c>
      <c r="Z42" t="str">
        <f t="shared" si="9"/>
        <v xml:space="preserve"> dailCompDescFrostKnight40=^pFrostKnight's Gift of DAIL</v>
      </c>
      <c r="AA42" t="str">
        <f t="shared" si="17"/>
        <v>dailCompTextFrostKnight40=^oThis feels warm to the touch, almost familiar ^w(This component only fits into the Medal Slot)</v>
      </c>
      <c r="AB42" s="5" t="s">
        <v>36</v>
      </c>
      <c r="AH42">
        <f t="shared" si="19"/>
        <v>37</v>
      </c>
      <c r="AI42">
        <f t="shared" si="22"/>
        <v>34</v>
      </c>
      <c r="AJ42">
        <f t="shared" si="18"/>
        <v>3</v>
      </c>
    </row>
    <row r="43" spans="1:36" x14ac:dyDescent="0.25">
      <c r="A43" s="5" t="s">
        <v>39</v>
      </c>
      <c r="B43" s="5" t="s">
        <v>30</v>
      </c>
      <c r="C43" s="5" t="str">
        <f t="shared" si="0"/>
        <v>description,dailCompDescFrostKnight41,</v>
      </c>
      <c r="D43" s="5" t="str">
        <f t="shared" si="2"/>
        <v>itemText,dailCompTextFrostKnight41,</v>
      </c>
      <c r="E43" s="5" t="str">
        <f t="shared" si="14"/>
        <v>augmentSkillLevel1,3,</v>
      </c>
      <c r="F43" s="5" t="str">
        <f t="shared" si="15"/>
        <v>augmentSkillName1,records/skills/FrostKnightClass/glaciation_mod.dbr,</v>
      </c>
      <c r="G43" s="7">
        <f t="shared" si="10"/>
        <v>41</v>
      </c>
      <c r="H43" s="8" t="str">
        <f t="shared" si="11"/>
        <v>FrostKnight</v>
      </c>
      <c r="I43" s="3" t="s">
        <v>503</v>
      </c>
      <c r="J43" s="8" t="str">
        <f t="shared" si="21"/>
        <v>class0011</v>
      </c>
      <c r="K43" s="8" t="str">
        <f t="shared" si="21"/>
        <v>dailoneskill0011</v>
      </c>
      <c r="L43" s="5" t="str">
        <f t="shared" si="4"/>
        <v>lootName41,DAIL/items/materia/class0011/FrostKnight41.dbr,</v>
      </c>
      <c r="M43" s="5" t="str">
        <f t="shared" si="5"/>
        <v>lootWeight41,1,</v>
      </c>
      <c r="N43" t="str">
        <f t="shared" si="6"/>
        <v>3</v>
      </c>
      <c r="O43" t="str">
        <f t="shared" si="16"/>
        <v>copy .\dail_base3.dbr .\items\materia\class0011\FrostKnight41.dbr /y</v>
      </c>
      <c r="P43" t="str">
        <f t="shared" si="7"/>
        <v>echo relicBitmap,items/craftingparts/components/component_a52_bristlyfur_b.tex, &gt;&gt; .\items\materia\class0011\FrostKnight41.dbr</v>
      </c>
      <c r="Q43" t="str">
        <f t="shared" si="7"/>
        <v>echo itemCost,500000, &gt;&gt; .\items\materia\class0011\FrostKnight41.dbr</v>
      </c>
      <c r="R43" t="str">
        <f t="shared" si="7"/>
        <v>echo description,dailCompDescFrostKnight41, &gt;&gt; .\items\materia\class0011\FrostKnight41.dbr</v>
      </c>
      <c r="S43" t="str">
        <f t="shared" si="7"/>
        <v>echo itemText,dailCompTextFrostKnight41, &gt;&gt; .\items\materia\class0011\FrostKnight41.dbr</v>
      </c>
      <c r="T43" t="str">
        <f t="shared" si="7"/>
        <v>echo augmentSkillLevel1,3, &gt;&gt; .\items\materia\class0011\FrostKnight41.dbr</v>
      </c>
      <c r="U43" t="str">
        <f t="shared" si="7"/>
        <v>echo augmentSkillName1,records/skills/FrostKnightClass/glaciation_mod.dbr, &gt;&gt; .\items\materia\class0011\FrostKnight41.dbr</v>
      </c>
      <c r="V43" s="5" t="s">
        <v>36</v>
      </c>
      <c r="W43" t="str">
        <f t="shared" si="8"/>
        <v>echo lootName41,DAIL/items/materia/class0011/FrostKnight41.dbr, &gt;&gt; .\items\loottables\dailoneskill0011.dbr</v>
      </c>
      <c r="X43" t="str">
        <f t="shared" si="8"/>
        <v>echo lootWeight41,1, &gt;&gt; .\items\loottables\dailoneskill0011.dbr</v>
      </c>
      <c r="Y43" s="5" t="s">
        <v>36</v>
      </c>
      <c r="Z43" t="str">
        <f t="shared" si="9"/>
        <v xml:space="preserve"> dailCompDescFrostKnight41=^pFrostKnight's Gift of DAIL</v>
      </c>
      <c r="AA43" t="str">
        <f t="shared" si="17"/>
        <v>dailCompTextFrostKnight41=^oThis feels warm to the touch, almost familiar ^w(This component only fits into the Medal Slot)</v>
      </c>
      <c r="AB43" s="5" t="s">
        <v>36</v>
      </c>
      <c r="AH43">
        <f t="shared" si="19"/>
        <v>38</v>
      </c>
      <c r="AI43">
        <f t="shared" si="22"/>
        <v>36</v>
      </c>
      <c r="AJ43">
        <f t="shared" si="18"/>
        <v>3</v>
      </c>
    </row>
    <row r="44" spans="1:36" x14ac:dyDescent="0.25">
      <c r="A44" s="5" t="s">
        <v>39</v>
      </c>
      <c r="B44" s="5" t="s">
        <v>30</v>
      </c>
      <c r="C44" s="5" t="str">
        <f t="shared" si="0"/>
        <v>description,dailCompDescFrostKnight42,</v>
      </c>
      <c r="D44" s="5" t="str">
        <f t="shared" si="2"/>
        <v>itemText,dailCompTextFrostKnight42,</v>
      </c>
      <c r="E44" s="5" t="str">
        <f t="shared" si="14"/>
        <v>augmentSkillLevel1,3,</v>
      </c>
      <c r="F44" s="5" t="str">
        <f t="shared" si="15"/>
        <v>augmentSkillName1,records/skills/FrostKnightClass/wintersgift.dbr,</v>
      </c>
      <c r="G44" s="7">
        <f t="shared" si="10"/>
        <v>42</v>
      </c>
      <c r="H44" s="8" t="str">
        <f t="shared" si="11"/>
        <v>FrostKnight</v>
      </c>
      <c r="I44" s="3" t="s">
        <v>504</v>
      </c>
      <c r="J44" s="8" t="str">
        <f t="shared" si="21"/>
        <v>class0011</v>
      </c>
      <c r="K44" s="8" t="str">
        <f t="shared" si="21"/>
        <v>dailoneskill0011</v>
      </c>
      <c r="L44" s="5" t="str">
        <f t="shared" si="4"/>
        <v>lootName42,DAIL/items/materia/class0011/FrostKnight42.dbr,</v>
      </c>
      <c r="M44" s="5" t="str">
        <f t="shared" si="5"/>
        <v>lootWeight42,1,</v>
      </c>
      <c r="N44" t="str">
        <f t="shared" si="6"/>
        <v>3</v>
      </c>
      <c r="O44" t="str">
        <f t="shared" si="16"/>
        <v>copy .\dail_base3.dbr .\items\materia\class0011\FrostKnight42.dbr /y</v>
      </c>
      <c r="P44" t="str">
        <f t="shared" si="7"/>
        <v>echo relicBitmap,items/craftingparts/components/component_a52_bristlyfur_b.tex, &gt;&gt; .\items\materia\class0011\FrostKnight42.dbr</v>
      </c>
      <c r="Q44" t="str">
        <f t="shared" si="7"/>
        <v>echo itemCost,500000, &gt;&gt; .\items\materia\class0011\FrostKnight42.dbr</v>
      </c>
      <c r="R44" t="str">
        <f t="shared" si="7"/>
        <v>echo description,dailCompDescFrostKnight42, &gt;&gt; .\items\materia\class0011\FrostKnight42.dbr</v>
      </c>
      <c r="S44" t="str">
        <f t="shared" si="7"/>
        <v>echo itemText,dailCompTextFrostKnight42, &gt;&gt; .\items\materia\class0011\FrostKnight42.dbr</v>
      </c>
      <c r="T44" t="str">
        <f t="shared" si="7"/>
        <v>echo augmentSkillLevel1,3, &gt;&gt; .\items\materia\class0011\FrostKnight42.dbr</v>
      </c>
      <c r="U44" t="str">
        <f t="shared" si="7"/>
        <v>echo augmentSkillName1,records/skills/FrostKnightClass/wintersgift.dbr, &gt;&gt; .\items\materia\class0011\FrostKnight42.dbr</v>
      </c>
      <c r="V44" s="5" t="s">
        <v>36</v>
      </c>
      <c r="W44" t="str">
        <f t="shared" si="8"/>
        <v>echo lootName42,DAIL/items/materia/class0011/FrostKnight42.dbr, &gt;&gt; .\items\loottables\dailoneskill0011.dbr</v>
      </c>
      <c r="X44" t="str">
        <f t="shared" si="8"/>
        <v>echo lootWeight42,1, &gt;&gt; .\items\loottables\dailoneskill0011.dbr</v>
      </c>
      <c r="Y44" s="5" t="s">
        <v>36</v>
      </c>
      <c r="Z44" t="str">
        <f t="shared" si="9"/>
        <v xml:space="preserve"> dailCompDescFrostKnight42=^pFrostKnight's Gift of DAIL</v>
      </c>
      <c r="AA44" t="str">
        <f t="shared" si="17"/>
        <v>dailCompTextFrostKnight42=^oThis feels warm to the touch, almost familiar ^w(This component only fits into the Medal Slot)</v>
      </c>
      <c r="AB44" s="5" t="s">
        <v>36</v>
      </c>
      <c r="AH44">
        <f t="shared" si="19"/>
        <v>39</v>
      </c>
      <c r="AI44">
        <f t="shared" si="22"/>
        <v>33</v>
      </c>
      <c r="AJ44">
        <f t="shared" si="18"/>
        <v>3</v>
      </c>
    </row>
    <row r="45" spans="1:36" x14ac:dyDescent="0.25">
      <c r="A45" s="5" t="s">
        <v>39</v>
      </c>
      <c r="B45" s="5" t="s">
        <v>30</v>
      </c>
      <c r="C45" s="5" t="str">
        <f t="shared" si="0"/>
        <v>description,dailCompDescFrostKnight43,</v>
      </c>
      <c r="D45" s="5" t="str">
        <f t="shared" si="2"/>
        <v>itemText,dailCompTextFrostKnight43,</v>
      </c>
      <c r="E45" s="5" t="str">
        <f t="shared" si="14"/>
        <v>augmentSkillLevel1,3,</v>
      </c>
      <c r="F45" s="5" t="str">
        <f t="shared" si="15"/>
        <v>augmentSkillName1,records/skills/FrostKnightClass/wintersgift_mod.dbr,</v>
      </c>
      <c r="G45" s="7">
        <f t="shared" si="10"/>
        <v>43</v>
      </c>
      <c r="H45" s="8" t="str">
        <f t="shared" si="11"/>
        <v>FrostKnight</v>
      </c>
      <c r="I45" s="3" t="s">
        <v>505</v>
      </c>
      <c r="J45" s="8" t="str">
        <f t="shared" si="21"/>
        <v>class0011</v>
      </c>
      <c r="K45" s="8" t="str">
        <f t="shared" si="21"/>
        <v>dailoneskill0011</v>
      </c>
      <c r="L45" s="5" t="str">
        <f t="shared" si="4"/>
        <v>lootName43,DAIL/items/materia/class0011/FrostKnight43.dbr,</v>
      </c>
      <c r="M45" s="5" t="str">
        <f t="shared" si="5"/>
        <v>lootWeight43,1,</v>
      </c>
      <c r="N45" t="str">
        <f t="shared" si="6"/>
        <v>3</v>
      </c>
      <c r="O45" t="str">
        <f t="shared" si="16"/>
        <v>copy .\dail_base3.dbr .\items\materia\class0011\FrostKnight43.dbr /y</v>
      </c>
      <c r="P45" t="str">
        <f t="shared" si="7"/>
        <v>echo relicBitmap,items/craftingparts/components/component_a52_bristlyfur_b.tex, &gt;&gt; .\items\materia\class0011\FrostKnight43.dbr</v>
      </c>
      <c r="Q45" t="str">
        <f t="shared" si="7"/>
        <v>echo itemCost,500000, &gt;&gt; .\items\materia\class0011\FrostKnight43.dbr</v>
      </c>
      <c r="R45" t="str">
        <f t="shared" si="7"/>
        <v>echo description,dailCompDescFrostKnight43, &gt;&gt; .\items\materia\class0011\FrostKnight43.dbr</v>
      </c>
      <c r="S45" t="str">
        <f t="shared" si="7"/>
        <v>echo itemText,dailCompTextFrostKnight43, &gt;&gt; .\items\materia\class0011\FrostKnight43.dbr</v>
      </c>
      <c r="T45" t="str">
        <f t="shared" si="7"/>
        <v>echo augmentSkillLevel1,3, &gt;&gt; .\items\materia\class0011\FrostKnight43.dbr</v>
      </c>
      <c r="U45" t="str">
        <f t="shared" si="7"/>
        <v>echo augmentSkillName1,records/skills/FrostKnightClass/wintersgift_mod.dbr, &gt;&gt; .\items\materia\class0011\FrostKnight43.dbr</v>
      </c>
      <c r="V45" s="5" t="s">
        <v>36</v>
      </c>
      <c r="W45" t="str">
        <f t="shared" si="8"/>
        <v>echo lootName43,DAIL/items/materia/class0011/FrostKnight43.dbr, &gt;&gt; .\items\loottables\dailoneskill0011.dbr</v>
      </c>
      <c r="X45" t="str">
        <f t="shared" si="8"/>
        <v>echo lootWeight43,1, &gt;&gt; .\items\loottables\dailoneskill0011.dbr</v>
      </c>
      <c r="Y45" s="5" t="s">
        <v>36</v>
      </c>
      <c r="Z45" t="str">
        <f t="shared" si="9"/>
        <v xml:space="preserve"> dailCompDescFrostKnight43=^pFrostKnight's Gift of DAIL</v>
      </c>
      <c r="AA45" t="str">
        <f t="shared" si="17"/>
        <v>dailCompTextFrostKnight43=^oThis feels warm to the touch, almost familiar ^w(This component only fits into the Medal Slot)</v>
      </c>
      <c r="AB45" s="5" t="s">
        <v>36</v>
      </c>
      <c r="AH45">
        <f t="shared" si="19"/>
        <v>40</v>
      </c>
      <c r="AI45">
        <f t="shared" si="22"/>
        <v>37</v>
      </c>
      <c r="AJ45">
        <f t="shared" si="18"/>
        <v>3</v>
      </c>
    </row>
    <row r="46" spans="1:36" x14ac:dyDescent="0.25">
      <c r="A46" s="5" t="s">
        <v>39</v>
      </c>
      <c r="B46" s="5" t="s">
        <v>30</v>
      </c>
      <c r="C46" s="5" t="str">
        <f t="shared" si="0"/>
        <v>description,dailCompDescFrostKnight44,</v>
      </c>
      <c r="D46" s="5" t="str">
        <f t="shared" si="2"/>
        <v>itemText,dailCompTextFrostKnight44,</v>
      </c>
      <c r="E46" s="5" t="str">
        <f t="shared" si="14"/>
        <v>augmentSkillLevel1,3,</v>
      </c>
      <c r="F46" s="5" t="str">
        <f t="shared" si="15"/>
        <v>augmentSkillName1,records/skills/FrostKnightClass/coldblood.dbr,</v>
      </c>
      <c r="G46" s="7">
        <f t="shared" si="10"/>
        <v>44</v>
      </c>
      <c r="H46" s="8" t="str">
        <f t="shared" si="11"/>
        <v>FrostKnight</v>
      </c>
      <c r="I46" s="3" t="s">
        <v>506</v>
      </c>
      <c r="J46" s="8" t="str">
        <f t="shared" si="21"/>
        <v>class0011</v>
      </c>
      <c r="K46" s="8" t="str">
        <f t="shared" si="21"/>
        <v>dailoneskill0011</v>
      </c>
      <c r="L46" s="5" t="str">
        <f t="shared" si="4"/>
        <v>lootName44,DAIL/items/materia/class0011/FrostKnight44.dbr,</v>
      </c>
      <c r="M46" s="5" t="str">
        <f t="shared" si="5"/>
        <v>lootWeight44,1,</v>
      </c>
      <c r="N46" t="str">
        <f t="shared" si="6"/>
        <v>3</v>
      </c>
      <c r="O46" t="str">
        <f t="shared" si="16"/>
        <v>copy .\dail_base3.dbr .\items\materia\class0011\FrostKnight44.dbr /y</v>
      </c>
      <c r="P46" t="str">
        <f t="shared" si="7"/>
        <v>echo relicBitmap,items/craftingparts/components/component_a52_bristlyfur_b.tex, &gt;&gt; .\items\materia\class0011\FrostKnight44.dbr</v>
      </c>
      <c r="Q46" t="str">
        <f t="shared" si="7"/>
        <v>echo itemCost,500000, &gt;&gt; .\items\materia\class0011\FrostKnight44.dbr</v>
      </c>
      <c r="R46" t="str">
        <f t="shared" si="7"/>
        <v>echo description,dailCompDescFrostKnight44, &gt;&gt; .\items\materia\class0011\FrostKnight44.dbr</v>
      </c>
      <c r="S46" t="str">
        <f t="shared" si="7"/>
        <v>echo itemText,dailCompTextFrostKnight44, &gt;&gt; .\items\materia\class0011\FrostKnight44.dbr</v>
      </c>
      <c r="T46" t="str">
        <f t="shared" si="7"/>
        <v>echo augmentSkillLevel1,3, &gt;&gt; .\items\materia\class0011\FrostKnight44.dbr</v>
      </c>
      <c r="U46" t="str">
        <f t="shared" si="7"/>
        <v>echo augmentSkillName1,records/skills/FrostKnightClass/coldblood.dbr, &gt;&gt; .\items\materia\class0011\FrostKnight44.dbr</v>
      </c>
      <c r="V46" s="5" t="s">
        <v>36</v>
      </c>
      <c r="W46" t="str">
        <f t="shared" si="8"/>
        <v>echo lootName44,DAIL/items/materia/class0011/FrostKnight44.dbr, &gt;&gt; .\items\loottables\dailoneskill0011.dbr</v>
      </c>
      <c r="X46" t="str">
        <f t="shared" si="8"/>
        <v>echo lootWeight44,1, &gt;&gt; .\items\loottables\dailoneskill0011.dbr</v>
      </c>
      <c r="Y46" s="5" t="s">
        <v>36</v>
      </c>
      <c r="Z46" t="str">
        <f t="shared" si="9"/>
        <v xml:space="preserve"> dailCompDescFrostKnight44=^pFrostKnight's Gift of DAIL</v>
      </c>
      <c r="AA46" t="str">
        <f t="shared" si="17"/>
        <v>dailCompTextFrostKnight44=^oThis feels warm to the touch, almost familiar ^w(This component only fits into the Medal Slot)</v>
      </c>
      <c r="AB46" s="5" t="s">
        <v>36</v>
      </c>
      <c r="AH46">
        <f t="shared" si="19"/>
        <v>41</v>
      </c>
      <c r="AI46">
        <f t="shared" si="22"/>
        <v>31</v>
      </c>
      <c r="AJ46">
        <f t="shared" si="18"/>
        <v>3</v>
      </c>
    </row>
    <row r="47" spans="1:36" x14ac:dyDescent="0.25">
      <c r="A47" s="5" t="s">
        <v>39</v>
      </c>
      <c r="B47" s="5" t="s">
        <v>30</v>
      </c>
      <c r="C47" s="5" t="str">
        <f t="shared" si="0"/>
        <v>description,dailCompDescFrostKnight45,</v>
      </c>
      <c r="D47" s="5" t="str">
        <f t="shared" si="2"/>
        <v>itemText,dailCompTextFrostKnight45,</v>
      </c>
      <c r="E47" s="5" t="str">
        <f t="shared" si="14"/>
        <v>augmentSkillLevel1,3,</v>
      </c>
      <c r="F47" s="5" t="str">
        <f t="shared" si="15"/>
        <v>augmentSkillName1,records/skills/FrostKnightClass/heartofice.dbr,</v>
      </c>
      <c r="G47" s="7">
        <f t="shared" si="10"/>
        <v>45</v>
      </c>
      <c r="H47" s="8" t="str">
        <f t="shared" si="11"/>
        <v>FrostKnight</v>
      </c>
      <c r="I47" s="3" t="s">
        <v>507</v>
      </c>
      <c r="J47" s="8" t="str">
        <f t="shared" si="21"/>
        <v>class0011</v>
      </c>
      <c r="K47" s="8" t="str">
        <f t="shared" si="21"/>
        <v>dailoneskill0011</v>
      </c>
      <c r="L47" s="5" t="str">
        <f t="shared" si="4"/>
        <v>lootName45,DAIL/items/materia/class0011/FrostKnight45.dbr,</v>
      </c>
      <c r="M47" s="5" t="str">
        <f t="shared" si="5"/>
        <v>lootWeight45,1,</v>
      </c>
      <c r="N47" t="str">
        <f t="shared" si="6"/>
        <v>3</v>
      </c>
      <c r="O47" t="str">
        <f t="shared" si="16"/>
        <v>copy .\dail_base3.dbr .\items\materia\class0011\FrostKnight45.dbr /y</v>
      </c>
      <c r="P47" t="str">
        <f t="shared" si="7"/>
        <v>echo relicBitmap,items/craftingparts/components/component_a52_bristlyfur_b.tex, &gt;&gt; .\items\materia\class0011\FrostKnight45.dbr</v>
      </c>
      <c r="Q47" t="str">
        <f t="shared" si="7"/>
        <v>echo itemCost,500000, &gt;&gt; .\items\materia\class0011\FrostKnight45.dbr</v>
      </c>
      <c r="R47" t="str">
        <f t="shared" si="7"/>
        <v>echo description,dailCompDescFrostKnight45, &gt;&gt; .\items\materia\class0011\FrostKnight45.dbr</v>
      </c>
      <c r="S47" t="str">
        <f t="shared" si="7"/>
        <v>echo itemText,dailCompTextFrostKnight45, &gt;&gt; .\items\materia\class0011\FrostKnight45.dbr</v>
      </c>
      <c r="T47" t="str">
        <f t="shared" si="7"/>
        <v>echo augmentSkillLevel1,3, &gt;&gt; .\items\materia\class0011\FrostKnight45.dbr</v>
      </c>
      <c r="U47" t="str">
        <f t="shared" si="7"/>
        <v>echo augmentSkillName1,records/skills/FrostKnightClass/heartofice.dbr, &gt;&gt; .\items\materia\class0011\FrostKnight45.dbr</v>
      </c>
      <c r="V47" s="5" t="s">
        <v>36</v>
      </c>
      <c r="W47" t="str">
        <f t="shared" si="8"/>
        <v>echo lootName45,DAIL/items/materia/class0011/FrostKnight45.dbr, &gt;&gt; .\items\loottables\dailoneskill0011.dbr</v>
      </c>
      <c r="X47" t="str">
        <f t="shared" si="8"/>
        <v>echo lootWeight45,1, &gt;&gt; .\items\loottables\dailoneskill0011.dbr</v>
      </c>
      <c r="Y47" s="5" t="s">
        <v>36</v>
      </c>
      <c r="Z47" t="str">
        <f t="shared" si="9"/>
        <v xml:space="preserve"> dailCompDescFrostKnight45=^pFrostKnight's Gift of DAIL</v>
      </c>
      <c r="AA47" t="str">
        <f t="shared" si="17"/>
        <v>dailCompTextFrostKnight45=^oThis feels warm to the touch, almost familiar ^w(This component only fits into the Medal Slot)</v>
      </c>
      <c r="AB47" s="5" t="s">
        <v>36</v>
      </c>
      <c r="AH47">
        <f t="shared" si="19"/>
        <v>42</v>
      </c>
      <c r="AI47">
        <f t="shared" si="22"/>
        <v>32</v>
      </c>
      <c r="AJ47">
        <f t="shared" si="18"/>
        <v>3</v>
      </c>
    </row>
    <row r="48" spans="1:36" x14ac:dyDescent="0.25">
      <c r="A48" s="5" t="s">
        <v>39</v>
      </c>
      <c r="B48" s="5" t="s">
        <v>30</v>
      </c>
      <c r="C48" s="5" t="str">
        <f t="shared" si="0"/>
        <v>description,dailCompDescFrostKnight46,</v>
      </c>
      <c r="D48" s="5" t="str">
        <f t="shared" si="2"/>
        <v>itemText,dailCompTextFrostKnight46,</v>
      </c>
      <c r="E48" s="5" t="str">
        <f t="shared" si="14"/>
        <v>augmentSkillLevel1,3,</v>
      </c>
      <c r="F48" s="5" t="str">
        <f t="shared" si="15"/>
        <v>augmentSkillName1,records/skills/FrostKnightClass/coldsnap.dbr,</v>
      </c>
      <c r="G48" s="7">
        <f t="shared" si="10"/>
        <v>46</v>
      </c>
      <c r="H48" s="8" t="str">
        <f t="shared" si="11"/>
        <v>FrostKnight</v>
      </c>
      <c r="I48" s="3" t="s">
        <v>508</v>
      </c>
      <c r="J48" s="8" t="str">
        <f t="shared" si="21"/>
        <v>class0011</v>
      </c>
      <c r="K48" s="8" t="str">
        <f t="shared" si="21"/>
        <v>dailoneskill0011</v>
      </c>
      <c r="L48" s="5" t="str">
        <f t="shared" si="4"/>
        <v>lootName46,DAIL/items/materia/class0011/FrostKnight46.dbr,</v>
      </c>
      <c r="M48" s="5" t="str">
        <f t="shared" si="5"/>
        <v>lootWeight46,1,</v>
      </c>
      <c r="N48" t="str">
        <f t="shared" si="6"/>
        <v>3</v>
      </c>
      <c r="O48" t="str">
        <f t="shared" si="16"/>
        <v>copy .\dail_base3.dbr .\items\materia\class0011\FrostKnight46.dbr /y</v>
      </c>
      <c r="P48" t="str">
        <f t="shared" si="7"/>
        <v>echo relicBitmap,items/craftingparts/components/component_a52_bristlyfur_b.tex, &gt;&gt; .\items\materia\class0011\FrostKnight46.dbr</v>
      </c>
      <c r="Q48" t="str">
        <f t="shared" si="7"/>
        <v>echo itemCost,500000, &gt;&gt; .\items\materia\class0011\FrostKnight46.dbr</v>
      </c>
      <c r="R48" t="str">
        <f t="shared" si="7"/>
        <v>echo description,dailCompDescFrostKnight46, &gt;&gt; .\items\materia\class0011\FrostKnight46.dbr</v>
      </c>
      <c r="S48" t="str">
        <f t="shared" si="7"/>
        <v>echo itemText,dailCompTextFrostKnight46, &gt;&gt; .\items\materia\class0011\FrostKnight46.dbr</v>
      </c>
      <c r="T48" t="str">
        <f t="shared" si="7"/>
        <v>echo augmentSkillLevel1,3, &gt;&gt; .\items\materia\class0011\FrostKnight46.dbr</v>
      </c>
      <c r="U48" t="str">
        <f t="shared" si="7"/>
        <v>echo augmentSkillName1,records/skills/FrostKnightClass/coldsnap.dbr, &gt;&gt; .\items\materia\class0011\FrostKnight46.dbr</v>
      </c>
      <c r="V48" s="5" t="s">
        <v>36</v>
      </c>
      <c r="W48" t="str">
        <f t="shared" si="8"/>
        <v>echo lootName46,DAIL/items/materia/class0011/FrostKnight46.dbr, &gt;&gt; .\items\loottables\dailoneskill0011.dbr</v>
      </c>
      <c r="X48" t="str">
        <f t="shared" si="8"/>
        <v>echo lootWeight46,1, &gt;&gt; .\items\loottables\dailoneskill0011.dbr</v>
      </c>
      <c r="Y48" s="5" t="s">
        <v>36</v>
      </c>
      <c r="Z48" t="str">
        <f t="shared" si="9"/>
        <v xml:space="preserve"> dailCompDescFrostKnight46=^pFrostKnight's Gift of DAIL</v>
      </c>
      <c r="AA48" t="str">
        <f t="shared" si="17"/>
        <v>dailCompTextFrostKnight46=^oThis feels warm to the touch, almost familiar ^w(This component only fits into the Medal Slot)</v>
      </c>
      <c r="AB48" s="5" t="s">
        <v>36</v>
      </c>
      <c r="AH48">
        <f t="shared" si="19"/>
        <v>43</v>
      </c>
      <c r="AI48">
        <f t="shared" si="22"/>
        <v>30</v>
      </c>
      <c r="AJ48">
        <f t="shared" si="18"/>
        <v>3</v>
      </c>
    </row>
    <row r="49" spans="1:36" x14ac:dyDescent="0.25">
      <c r="A49" s="5" t="s">
        <v>39</v>
      </c>
      <c r="B49" s="5" t="s">
        <v>30</v>
      </c>
      <c r="C49" s="5" t="str">
        <f t="shared" si="0"/>
        <v>description,dailCompDescFrostKnight47,</v>
      </c>
      <c r="D49" s="5" t="str">
        <f t="shared" si="2"/>
        <v>itemText,dailCompTextFrostKnight47,</v>
      </c>
      <c r="E49" s="5" t="str">
        <f t="shared" si="14"/>
        <v>augmentSkillLevel1,3,</v>
      </c>
      <c r="F49" s="5" t="str">
        <f t="shared" si="15"/>
        <v>augmentSkillName1,records/skills/FrostKnightClass/frostshell.dbr,</v>
      </c>
      <c r="G49" s="7">
        <f t="shared" si="10"/>
        <v>47</v>
      </c>
      <c r="H49" s="8" t="str">
        <f t="shared" si="11"/>
        <v>FrostKnight</v>
      </c>
      <c r="I49" s="3" t="s">
        <v>509</v>
      </c>
      <c r="J49" s="8" t="str">
        <f t="shared" si="21"/>
        <v>class0011</v>
      </c>
      <c r="K49" s="8" t="str">
        <f t="shared" si="21"/>
        <v>dailoneskill0011</v>
      </c>
      <c r="L49" s="5" t="str">
        <f t="shared" si="4"/>
        <v>lootName47,DAIL/items/materia/class0011/FrostKnight47.dbr,</v>
      </c>
      <c r="M49" s="5" t="str">
        <f t="shared" si="5"/>
        <v>lootWeight47,1,</v>
      </c>
      <c r="N49" t="str">
        <f t="shared" si="6"/>
        <v>3</v>
      </c>
      <c r="O49" t="str">
        <f t="shared" si="16"/>
        <v>copy .\dail_base3.dbr .\items\materia\class0011\FrostKnight47.dbr /y</v>
      </c>
      <c r="P49" t="str">
        <f t="shared" si="7"/>
        <v>echo relicBitmap,items/craftingparts/components/component_a52_bristlyfur_b.tex, &gt;&gt; .\items\materia\class0011\FrostKnight47.dbr</v>
      </c>
      <c r="Q49" t="str">
        <f t="shared" si="7"/>
        <v>echo itemCost,500000, &gt;&gt; .\items\materia\class0011\FrostKnight47.dbr</v>
      </c>
      <c r="R49" t="str">
        <f t="shared" si="7"/>
        <v>echo description,dailCompDescFrostKnight47, &gt;&gt; .\items\materia\class0011\FrostKnight47.dbr</v>
      </c>
      <c r="S49" t="str">
        <f t="shared" si="7"/>
        <v>echo itemText,dailCompTextFrostKnight47, &gt;&gt; .\items\materia\class0011\FrostKnight47.dbr</v>
      </c>
      <c r="T49" t="str">
        <f t="shared" si="7"/>
        <v>echo augmentSkillLevel1,3, &gt;&gt; .\items\materia\class0011\FrostKnight47.dbr</v>
      </c>
      <c r="U49" t="str">
        <f t="shared" si="7"/>
        <v>echo augmentSkillName1,records/skills/FrostKnightClass/frostshell.dbr, &gt;&gt; .\items\materia\class0011\FrostKnight47.dbr</v>
      </c>
      <c r="V49" s="5" t="s">
        <v>36</v>
      </c>
      <c r="W49" t="str">
        <f t="shared" si="8"/>
        <v>echo lootName47,DAIL/items/materia/class0011/FrostKnight47.dbr, &gt;&gt; .\items\loottables\dailoneskill0011.dbr</v>
      </c>
      <c r="X49" t="str">
        <f t="shared" si="8"/>
        <v>echo lootWeight47,1, &gt;&gt; .\items\loottables\dailoneskill0011.dbr</v>
      </c>
      <c r="Y49" s="5" t="s">
        <v>36</v>
      </c>
      <c r="Z49" t="str">
        <f t="shared" si="9"/>
        <v xml:space="preserve"> dailCompDescFrostKnight47=^pFrostKnight's Gift of DAIL</v>
      </c>
      <c r="AA49" t="str">
        <f t="shared" si="17"/>
        <v>dailCompTextFrostKnight47=^oThis feels warm to the touch, almost familiar ^w(This component only fits into the Medal Slot)</v>
      </c>
      <c r="AB49" s="5" t="s">
        <v>36</v>
      </c>
      <c r="AH49">
        <f t="shared" si="19"/>
        <v>44</v>
      </c>
      <c r="AI49">
        <f t="shared" si="22"/>
        <v>32</v>
      </c>
      <c r="AJ49">
        <f t="shared" si="18"/>
        <v>3</v>
      </c>
    </row>
    <row r="50" spans="1:36" x14ac:dyDescent="0.25">
      <c r="A50" s="5" t="s">
        <v>39</v>
      </c>
      <c r="B50" s="5" t="s">
        <v>30</v>
      </c>
      <c r="C50" s="5" t="str">
        <f t="shared" si="0"/>
        <v>description,dailCompDescFrostKnight48,</v>
      </c>
      <c r="D50" s="5" t="str">
        <f t="shared" si="2"/>
        <v>itemText,dailCompTextFrostKnight48,</v>
      </c>
      <c r="E50" s="5" t="str">
        <f t="shared" si="14"/>
        <v>augmentSkillLevel1,3,</v>
      </c>
      <c r="F50" s="5" t="str">
        <f t="shared" si="15"/>
        <v>augmentSkillName1,records/skills/FrostKnightClass/frostshell_mod.dbr,</v>
      </c>
      <c r="G50" s="7">
        <f t="shared" si="10"/>
        <v>48</v>
      </c>
      <c r="H50" s="8" t="str">
        <f t="shared" si="11"/>
        <v>FrostKnight</v>
      </c>
      <c r="I50" s="3" t="s">
        <v>510</v>
      </c>
      <c r="J50" s="8" t="str">
        <f t="shared" si="21"/>
        <v>class0011</v>
      </c>
      <c r="K50" s="8" t="str">
        <f t="shared" si="21"/>
        <v>dailoneskill0011</v>
      </c>
      <c r="L50" s="5" t="str">
        <f t="shared" si="4"/>
        <v>lootName48,DAIL/items/materia/class0011/FrostKnight48.dbr,</v>
      </c>
      <c r="M50" s="5" t="str">
        <f t="shared" si="5"/>
        <v>lootWeight48,1,</v>
      </c>
      <c r="N50" t="str">
        <f t="shared" si="6"/>
        <v>3</v>
      </c>
      <c r="O50" t="str">
        <f t="shared" si="16"/>
        <v>copy .\dail_base3.dbr .\items\materia\class0011\FrostKnight48.dbr /y</v>
      </c>
      <c r="P50" t="str">
        <f t="shared" si="7"/>
        <v>echo relicBitmap,items/craftingparts/components/component_a52_bristlyfur_b.tex, &gt;&gt; .\items\materia\class0011\FrostKnight48.dbr</v>
      </c>
      <c r="Q50" t="str">
        <f t="shared" si="7"/>
        <v>echo itemCost,500000, &gt;&gt; .\items\materia\class0011\FrostKnight48.dbr</v>
      </c>
      <c r="R50" t="str">
        <f t="shared" si="7"/>
        <v>echo description,dailCompDescFrostKnight48, &gt;&gt; .\items\materia\class0011\FrostKnight48.dbr</v>
      </c>
      <c r="S50" t="str">
        <f t="shared" si="7"/>
        <v>echo itemText,dailCompTextFrostKnight48, &gt;&gt; .\items\materia\class0011\FrostKnight48.dbr</v>
      </c>
      <c r="T50" t="str">
        <f t="shared" si="7"/>
        <v>echo augmentSkillLevel1,3, &gt;&gt; .\items\materia\class0011\FrostKnight48.dbr</v>
      </c>
      <c r="U50" t="str">
        <f t="shared" si="7"/>
        <v>echo augmentSkillName1,records/skills/FrostKnightClass/frostshell_mod.dbr, &gt;&gt; .\items\materia\class0011\FrostKnight48.dbr</v>
      </c>
      <c r="V50" s="5" t="s">
        <v>36</v>
      </c>
      <c r="W50" t="str">
        <f t="shared" si="8"/>
        <v>echo lootName48,DAIL/items/materia/class0011/FrostKnight48.dbr, &gt;&gt; .\items\loottables\dailoneskill0011.dbr</v>
      </c>
      <c r="X50" t="str">
        <f t="shared" si="8"/>
        <v>echo lootWeight48,1, &gt;&gt; .\items\loottables\dailoneskill0011.dbr</v>
      </c>
      <c r="Y50" s="5" t="s">
        <v>36</v>
      </c>
      <c r="Z50" t="str">
        <f t="shared" si="9"/>
        <v xml:space="preserve"> dailCompDescFrostKnight48=^pFrostKnight's Gift of DAIL</v>
      </c>
      <c r="AA50" t="str">
        <f t="shared" si="17"/>
        <v>dailCompTextFrostKnight48=^oThis feels warm to the touch, almost familiar ^w(This component only fits into the Medal Slot)</v>
      </c>
      <c r="AB50" s="5" t="s">
        <v>36</v>
      </c>
      <c r="AH50">
        <f t="shared" si="19"/>
        <v>45</v>
      </c>
      <c r="AI50">
        <f t="shared" si="22"/>
        <v>36</v>
      </c>
      <c r="AJ50">
        <f t="shared" si="18"/>
        <v>3</v>
      </c>
    </row>
    <row r="51" spans="1:36" x14ac:dyDescent="0.25">
      <c r="A51" s="5" t="s">
        <v>39</v>
      </c>
      <c r="B51" s="5" t="s">
        <v>30</v>
      </c>
      <c r="C51" s="5" t="str">
        <f t="shared" si="0"/>
        <v>description,dailCompDescFrostKnight49,</v>
      </c>
      <c r="D51" s="5" t="str">
        <f t="shared" si="2"/>
        <v>itemText,dailCompTextFrostKnight49,</v>
      </c>
      <c r="E51" s="5" t="str">
        <f t="shared" si="14"/>
        <v>augmentSkillLevel1,3,</v>
      </c>
      <c r="F51" s="5" t="str">
        <f t="shared" si="15"/>
        <v>augmentSkillName1,records/skills/FrostKnightClass/frostaura.dbr,</v>
      </c>
      <c r="G51" s="7">
        <f t="shared" si="10"/>
        <v>49</v>
      </c>
      <c r="H51" s="8" t="str">
        <f t="shared" si="11"/>
        <v>FrostKnight</v>
      </c>
      <c r="I51" s="3" t="s">
        <v>511</v>
      </c>
      <c r="J51" s="8" t="str">
        <f t="shared" si="21"/>
        <v>class0011</v>
      </c>
      <c r="K51" s="8" t="str">
        <f t="shared" si="21"/>
        <v>dailoneskill0011</v>
      </c>
      <c r="L51" s="5" t="str">
        <f t="shared" si="4"/>
        <v>lootName49,DAIL/items/materia/class0011/FrostKnight49.dbr,</v>
      </c>
      <c r="M51" s="5" t="str">
        <f t="shared" si="5"/>
        <v>lootWeight49,1,</v>
      </c>
      <c r="N51" t="str">
        <f t="shared" si="6"/>
        <v>3</v>
      </c>
      <c r="O51" t="str">
        <f t="shared" si="16"/>
        <v>copy .\dail_base3.dbr .\items\materia\class0011\FrostKnight49.dbr /y</v>
      </c>
      <c r="P51" t="str">
        <f t="shared" si="7"/>
        <v>echo relicBitmap,items/craftingparts/components/component_a52_bristlyfur_b.tex, &gt;&gt; .\items\materia\class0011\FrostKnight49.dbr</v>
      </c>
      <c r="Q51" t="str">
        <f t="shared" si="7"/>
        <v>echo itemCost,500000, &gt;&gt; .\items\materia\class0011\FrostKnight49.dbr</v>
      </c>
      <c r="R51" t="str">
        <f t="shared" si="7"/>
        <v>echo description,dailCompDescFrostKnight49, &gt;&gt; .\items\materia\class0011\FrostKnight49.dbr</v>
      </c>
      <c r="S51" t="str">
        <f t="shared" si="7"/>
        <v>echo itemText,dailCompTextFrostKnight49, &gt;&gt; .\items\materia\class0011\FrostKnight49.dbr</v>
      </c>
      <c r="T51" t="str">
        <f t="shared" si="7"/>
        <v>echo augmentSkillLevel1,3, &gt;&gt; .\items\materia\class0011\FrostKnight49.dbr</v>
      </c>
      <c r="U51" t="str">
        <f t="shared" si="7"/>
        <v>echo augmentSkillName1,records/skills/FrostKnightClass/frostaura.dbr, &gt;&gt; .\items\materia\class0011\FrostKnight49.dbr</v>
      </c>
      <c r="V51" s="5" t="s">
        <v>36</v>
      </c>
      <c r="W51" t="str">
        <f t="shared" si="8"/>
        <v>echo lootName49,DAIL/items/materia/class0011/FrostKnight49.dbr, &gt;&gt; .\items\loottables\dailoneskill0011.dbr</v>
      </c>
      <c r="X51" t="str">
        <f t="shared" si="8"/>
        <v>echo lootWeight49,1, &gt;&gt; .\items\loottables\dailoneskill0011.dbr</v>
      </c>
      <c r="Y51" s="5" t="s">
        <v>36</v>
      </c>
      <c r="Z51" t="str">
        <f t="shared" si="9"/>
        <v xml:space="preserve"> dailCompDescFrostKnight49=^pFrostKnight's Gift of DAIL</v>
      </c>
      <c r="AA51" t="str">
        <f t="shared" si="17"/>
        <v>dailCompTextFrostKnight49=^oThis feels warm to the touch, almost familiar ^w(This component only fits into the Medal Slot)</v>
      </c>
      <c r="AB51" s="5" t="s">
        <v>36</v>
      </c>
      <c r="AH51">
        <f t="shared" si="19"/>
        <v>46</v>
      </c>
      <c r="AI51">
        <f t="shared" si="22"/>
        <v>31</v>
      </c>
      <c r="AJ51">
        <f t="shared" si="18"/>
        <v>3</v>
      </c>
    </row>
    <row r="52" spans="1:36" x14ac:dyDescent="0.25">
      <c r="A52" s="5" t="s">
        <v>39</v>
      </c>
      <c r="B52" s="5" t="s">
        <v>30</v>
      </c>
      <c r="C52" s="5" t="str">
        <f t="shared" si="0"/>
        <v>description,dailCompDescFrostKnight50,</v>
      </c>
      <c r="D52" s="5" t="str">
        <f t="shared" si="2"/>
        <v>itemText,dailCompTextFrostKnight50,</v>
      </c>
      <c r="E52" s="5" t="str">
        <f t="shared" si="14"/>
        <v>augmentSkillLevel1,3,</v>
      </c>
      <c r="F52" s="5" t="str">
        <f t="shared" si="15"/>
        <v>augmentSkillName1,records/skills/FrostKnightClass/frostaura_mod.dbr,</v>
      </c>
      <c r="G52" s="7">
        <f t="shared" si="10"/>
        <v>50</v>
      </c>
      <c r="H52" s="8" t="str">
        <f t="shared" si="11"/>
        <v>FrostKnight</v>
      </c>
      <c r="I52" s="3" t="s">
        <v>512</v>
      </c>
      <c r="J52" s="8" t="str">
        <f t="shared" si="21"/>
        <v>class0011</v>
      </c>
      <c r="K52" s="8" t="str">
        <f t="shared" si="21"/>
        <v>dailoneskill0011</v>
      </c>
      <c r="L52" s="5" t="str">
        <f t="shared" si="4"/>
        <v>lootName50,DAIL/items/materia/class0011/FrostKnight50.dbr,</v>
      </c>
      <c r="M52" s="5" t="str">
        <f t="shared" si="5"/>
        <v>lootWeight50,1,</v>
      </c>
      <c r="N52" t="str">
        <f t="shared" si="6"/>
        <v>3</v>
      </c>
      <c r="O52" t="str">
        <f t="shared" si="16"/>
        <v>copy .\dail_base3.dbr .\items\materia\class0011\FrostKnight50.dbr /y</v>
      </c>
      <c r="P52" t="str">
        <f t="shared" si="7"/>
        <v>echo relicBitmap,items/craftingparts/components/component_a52_bristlyfur_b.tex, &gt;&gt; .\items\materia\class0011\FrostKnight50.dbr</v>
      </c>
      <c r="Q52" t="str">
        <f t="shared" si="7"/>
        <v>echo itemCost,500000, &gt;&gt; .\items\materia\class0011\FrostKnight50.dbr</v>
      </c>
      <c r="R52" t="str">
        <f t="shared" si="7"/>
        <v>echo description,dailCompDescFrostKnight50, &gt;&gt; .\items\materia\class0011\FrostKnight50.dbr</v>
      </c>
      <c r="S52" t="str">
        <f t="shared" si="7"/>
        <v>echo itemText,dailCompTextFrostKnight50, &gt;&gt; .\items\materia\class0011\FrostKnight50.dbr</v>
      </c>
      <c r="T52" t="str">
        <f t="shared" si="7"/>
        <v>echo augmentSkillLevel1,3, &gt;&gt; .\items\materia\class0011\FrostKnight50.dbr</v>
      </c>
      <c r="U52" t="str">
        <f t="shared" si="7"/>
        <v>echo augmentSkillName1,records/skills/FrostKnightClass/frostaura_mod.dbr, &gt;&gt; .\items\materia\class0011\FrostKnight50.dbr</v>
      </c>
      <c r="V52" s="5" t="s">
        <v>36</v>
      </c>
      <c r="W52" t="str">
        <f t="shared" si="8"/>
        <v>echo lootName50,DAIL/items/materia/class0011/FrostKnight50.dbr, &gt;&gt; .\items\loottables\dailoneskill0011.dbr</v>
      </c>
      <c r="X52" t="str">
        <f t="shared" si="8"/>
        <v>echo lootWeight50,1, &gt;&gt; .\items\loottables\dailoneskill0011.dbr</v>
      </c>
      <c r="Y52" s="5" t="s">
        <v>36</v>
      </c>
      <c r="Z52" t="str">
        <f t="shared" si="9"/>
        <v xml:space="preserve"> dailCompDescFrostKnight50=^pFrostKnight's Gift of DAIL</v>
      </c>
      <c r="AA52" t="str">
        <f t="shared" si="17"/>
        <v>dailCompTextFrostKnight50=^oThis feels warm to the touch, almost familiar ^w(This component only fits into the Medal Slot)</v>
      </c>
      <c r="AB52" s="5" t="s">
        <v>36</v>
      </c>
      <c r="AH52">
        <f t="shared" si="19"/>
        <v>47</v>
      </c>
      <c r="AI52">
        <f t="shared" si="22"/>
        <v>35</v>
      </c>
      <c r="AJ52">
        <f t="shared" si="18"/>
        <v>3</v>
      </c>
    </row>
    <row r="53" spans="1:36" x14ac:dyDescent="0.25">
      <c r="A53" s="5" t="s">
        <v>39</v>
      </c>
      <c r="B53" s="5" t="s">
        <v>30</v>
      </c>
      <c r="C53" s="5" t="str">
        <f t="shared" si="0"/>
        <v>description,dailCompDescFrostKnight51,</v>
      </c>
      <c r="D53" s="5" t="str">
        <f t="shared" si="2"/>
        <v>itemText,dailCompTextFrostKnight51,</v>
      </c>
      <c r="E53" s="5" t="str">
        <f t="shared" si="14"/>
        <v>augmentSkillLevel1,3,</v>
      </c>
      <c r="F53" s="5" t="str">
        <f t="shared" si="15"/>
        <v>augmentSkillName1,records/skills/FrostKnightClass/frostblast.dbr,</v>
      </c>
      <c r="G53" s="7">
        <f t="shared" si="10"/>
        <v>51</v>
      </c>
      <c r="H53" s="8" t="str">
        <f t="shared" si="11"/>
        <v>FrostKnight</v>
      </c>
      <c r="I53" s="3" t="s">
        <v>513</v>
      </c>
      <c r="J53" s="8" t="str">
        <f t="shared" ref="J53:K68" si="23">J52</f>
        <v>class0011</v>
      </c>
      <c r="K53" s="8" t="str">
        <f t="shared" si="23"/>
        <v>dailoneskill0011</v>
      </c>
      <c r="L53" s="5" t="str">
        <f t="shared" si="4"/>
        <v>lootName51,DAIL/items/materia/class0011/FrostKnight51.dbr,</v>
      </c>
      <c r="M53" s="5" t="str">
        <f t="shared" si="5"/>
        <v>lootWeight51,1,</v>
      </c>
      <c r="N53" t="str">
        <f t="shared" si="6"/>
        <v>3</v>
      </c>
      <c r="O53" t="str">
        <f t="shared" si="16"/>
        <v>copy .\dail_base3.dbr .\items\materia\class0011\FrostKnight51.dbr /y</v>
      </c>
      <c r="P53" t="str">
        <f t="shared" si="7"/>
        <v>echo relicBitmap,items/craftingparts/components/component_a52_bristlyfur_b.tex, &gt;&gt; .\items\materia\class0011\FrostKnight51.dbr</v>
      </c>
      <c r="Q53" t="str">
        <f t="shared" si="7"/>
        <v>echo itemCost,500000, &gt;&gt; .\items\materia\class0011\FrostKnight51.dbr</v>
      </c>
      <c r="R53" t="str">
        <f t="shared" si="7"/>
        <v>echo description,dailCompDescFrostKnight51, &gt;&gt; .\items\materia\class0011\FrostKnight51.dbr</v>
      </c>
      <c r="S53" t="str">
        <f t="shared" si="7"/>
        <v>echo itemText,dailCompTextFrostKnight51, &gt;&gt; .\items\materia\class0011\FrostKnight51.dbr</v>
      </c>
      <c r="T53" t="str">
        <f t="shared" si="7"/>
        <v>echo augmentSkillLevel1,3, &gt;&gt; .\items\materia\class0011\FrostKnight51.dbr</v>
      </c>
      <c r="U53" t="str">
        <f t="shared" si="7"/>
        <v>echo augmentSkillName1,records/skills/FrostKnightClass/frostblast.dbr, &gt;&gt; .\items\materia\class0011\FrostKnight51.dbr</v>
      </c>
      <c r="V53" s="5" t="s">
        <v>36</v>
      </c>
      <c r="W53" t="str">
        <f t="shared" si="8"/>
        <v>echo lootName51,DAIL/items/materia/class0011/FrostKnight51.dbr, &gt;&gt; .\items\loottables\dailoneskill0011.dbr</v>
      </c>
      <c r="X53" t="str">
        <f t="shared" si="8"/>
        <v>echo lootWeight51,1, &gt;&gt; .\items\loottables\dailoneskill0011.dbr</v>
      </c>
      <c r="Y53" s="5" t="s">
        <v>36</v>
      </c>
      <c r="Z53" t="str">
        <f t="shared" si="9"/>
        <v xml:space="preserve"> dailCompDescFrostKnight51=^pFrostKnight's Gift of DAIL</v>
      </c>
      <c r="AA53" t="str">
        <f t="shared" si="17"/>
        <v>dailCompTextFrostKnight51=^oThis feels warm to the touch, almost familiar ^w(This component only fits into the Medal Slot)</v>
      </c>
      <c r="AB53" s="5" t="s">
        <v>36</v>
      </c>
      <c r="AH53">
        <f t="shared" si="19"/>
        <v>48</v>
      </c>
      <c r="AI53">
        <f t="shared" si="22"/>
        <v>32</v>
      </c>
      <c r="AJ53">
        <f t="shared" si="18"/>
        <v>3</v>
      </c>
    </row>
    <row r="54" spans="1:36" x14ac:dyDescent="0.25">
      <c r="A54" s="5" t="s">
        <v>39</v>
      </c>
      <c r="B54" s="5" t="s">
        <v>30</v>
      </c>
      <c r="C54" s="5" t="str">
        <f t="shared" si="0"/>
        <v>description,dailCompDescFrostKnight52,</v>
      </c>
      <c r="D54" s="5" t="str">
        <f t="shared" si="2"/>
        <v>itemText,dailCompTextFrostKnight52,</v>
      </c>
      <c r="E54" s="5" t="str">
        <f t="shared" si="14"/>
        <v>augmentSkillLevel1,3,</v>
      </c>
      <c r="F54" s="5" t="str">
        <f t="shared" si="15"/>
        <v>augmentSkillName1,records/skills/FrostKnightClass/frostblast_transmuter.dbr,</v>
      </c>
      <c r="G54" s="7">
        <f t="shared" si="10"/>
        <v>52</v>
      </c>
      <c r="H54" s="8" t="str">
        <f t="shared" si="11"/>
        <v>FrostKnight</v>
      </c>
      <c r="I54" s="3" t="s">
        <v>514</v>
      </c>
      <c r="J54" s="8" t="str">
        <f t="shared" si="23"/>
        <v>class0011</v>
      </c>
      <c r="K54" s="8" t="str">
        <f t="shared" si="23"/>
        <v>dailoneskill0011</v>
      </c>
      <c r="L54" s="5" t="str">
        <f t="shared" si="4"/>
        <v>lootName52,DAIL/items/materia/class0011/FrostKnight52.dbr,</v>
      </c>
      <c r="M54" s="5" t="str">
        <f t="shared" si="5"/>
        <v>lootWeight52,1,</v>
      </c>
      <c r="N54" t="str">
        <f t="shared" si="6"/>
        <v>3</v>
      </c>
      <c r="O54" t="str">
        <f t="shared" si="16"/>
        <v>copy .\dail_base3.dbr .\items\materia\class0011\FrostKnight52.dbr /y</v>
      </c>
      <c r="P54" t="str">
        <f t="shared" si="7"/>
        <v>echo relicBitmap,items/craftingparts/components/component_a52_bristlyfur_b.tex, &gt;&gt; .\items\materia\class0011\FrostKnight52.dbr</v>
      </c>
      <c r="Q54" t="str">
        <f t="shared" si="7"/>
        <v>echo itemCost,500000, &gt;&gt; .\items\materia\class0011\FrostKnight52.dbr</v>
      </c>
      <c r="R54" t="str">
        <f t="shared" si="7"/>
        <v>echo description,dailCompDescFrostKnight52, &gt;&gt; .\items\materia\class0011\FrostKnight52.dbr</v>
      </c>
      <c r="S54" t="str">
        <f t="shared" si="7"/>
        <v>echo itemText,dailCompTextFrostKnight52, &gt;&gt; .\items\materia\class0011\FrostKnight52.dbr</v>
      </c>
      <c r="T54" t="str">
        <f t="shared" si="7"/>
        <v>echo augmentSkillLevel1,3, &gt;&gt; .\items\materia\class0011\FrostKnight52.dbr</v>
      </c>
      <c r="U54" t="str">
        <f t="shared" si="7"/>
        <v>echo augmentSkillName1,records/skills/FrostKnightClass/frostblast_transmuter.dbr, &gt;&gt; .\items\materia\class0011\FrostKnight52.dbr</v>
      </c>
      <c r="V54" s="5" t="s">
        <v>36</v>
      </c>
      <c r="W54" t="str">
        <f t="shared" si="8"/>
        <v>echo lootName52,DAIL/items/materia/class0011/FrostKnight52.dbr, &gt;&gt; .\items\loottables\dailoneskill0011.dbr</v>
      </c>
      <c r="X54" t="str">
        <f t="shared" si="8"/>
        <v>echo lootWeight52,1, &gt;&gt; .\items\loottables\dailoneskill0011.dbr</v>
      </c>
      <c r="Y54" s="5" t="s">
        <v>36</v>
      </c>
      <c r="Z54" t="str">
        <f t="shared" si="9"/>
        <v xml:space="preserve"> dailCompDescFrostKnight52=^pFrostKnight's Gift of DAIL</v>
      </c>
      <c r="AA54" t="str">
        <f t="shared" si="17"/>
        <v>dailCompTextFrostKnight52=^oThis feels warm to the touch, almost familiar ^w(This component only fits into the Medal Slot)</v>
      </c>
      <c r="AB54" s="5" t="s">
        <v>36</v>
      </c>
      <c r="AH54">
        <f t="shared" si="19"/>
        <v>49</v>
      </c>
      <c r="AI54">
        <f t="shared" si="22"/>
        <v>43</v>
      </c>
      <c r="AJ54">
        <f t="shared" si="18"/>
        <v>3</v>
      </c>
    </row>
    <row r="55" spans="1:36" x14ac:dyDescent="0.25">
      <c r="A55" s="5" t="s">
        <v>39</v>
      </c>
      <c r="B55" s="5" t="s">
        <v>30</v>
      </c>
      <c r="C55" s="5" t="str">
        <f t="shared" si="0"/>
        <v>description,dailCompDescFrostKnight53,</v>
      </c>
      <c r="D55" s="5" t="str">
        <f t="shared" si="2"/>
        <v>itemText,dailCompTextFrostKnight53,</v>
      </c>
      <c r="E55" s="5" t="str">
        <f t="shared" si="14"/>
        <v>augmentSkillLevel1,5,</v>
      </c>
      <c r="F55" s="5" t="str">
        <f t="shared" si="15"/>
        <v>augmentSkillName1,records/skills/FrostKnightClass/frostblast_mod.dbr,</v>
      </c>
      <c r="G55" s="7">
        <f t="shared" si="10"/>
        <v>53</v>
      </c>
      <c r="H55" s="8" t="str">
        <f t="shared" si="11"/>
        <v>FrostKnight</v>
      </c>
      <c r="I55" s="3" t="s">
        <v>515</v>
      </c>
      <c r="J55" s="8" t="str">
        <f t="shared" si="23"/>
        <v>class0011</v>
      </c>
      <c r="K55" s="8" t="str">
        <f t="shared" si="23"/>
        <v>dailoneskill0011</v>
      </c>
      <c r="L55" s="5" t="str">
        <f t="shared" si="4"/>
        <v>lootName53,DAIL/items/materia/class0011/FrostKnight53.dbr,</v>
      </c>
      <c r="M55" s="5" t="str">
        <f t="shared" si="5"/>
        <v>lootWeight53,1,</v>
      </c>
      <c r="N55" t="str">
        <f t="shared" si="6"/>
        <v>5</v>
      </c>
      <c r="O55" t="str">
        <f t="shared" si="16"/>
        <v>copy .\dail_base3.dbr .\items\materia\class0011\FrostKnight53.dbr /y</v>
      </c>
      <c r="P55" t="str">
        <f t="shared" si="7"/>
        <v>echo relicBitmap,items/craftingparts/components/component_a52_bristlyfur_b.tex, &gt;&gt; .\items\materia\class0011\FrostKnight53.dbr</v>
      </c>
      <c r="Q55" t="str">
        <f t="shared" si="7"/>
        <v>echo itemCost,500000, &gt;&gt; .\items\materia\class0011\FrostKnight53.dbr</v>
      </c>
      <c r="R55" t="str">
        <f t="shared" si="7"/>
        <v>echo description,dailCompDescFrostKnight53, &gt;&gt; .\items\materia\class0011\FrostKnight53.dbr</v>
      </c>
      <c r="S55" t="str">
        <f t="shared" si="7"/>
        <v>echo itemText,dailCompTextFrostKnight53, &gt;&gt; .\items\materia\class0011\FrostKnight53.dbr</v>
      </c>
      <c r="T55" t="str">
        <f t="shared" si="7"/>
        <v>echo augmentSkillLevel1,5, &gt;&gt; .\items\materia\class0011\FrostKnight53.dbr</v>
      </c>
      <c r="U55" t="str">
        <f t="shared" si="7"/>
        <v>echo augmentSkillName1,records/skills/FrostKnightClass/frostblast_mod.dbr, &gt;&gt; .\items\materia\class0011\FrostKnight53.dbr</v>
      </c>
      <c r="V55" s="5" t="s">
        <v>36</v>
      </c>
      <c r="W55" t="str">
        <f t="shared" si="8"/>
        <v>echo lootName53,DAIL/items/materia/class0011/FrostKnight53.dbr, &gt;&gt; .\items\loottables\dailoneskill0011.dbr</v>
      </c>
      <c r="X55" t="str">
        <f t="shared" si="8"/>
        <v>echo lootWeight53,1, &gt;&gt; .\items\loottables\dailoneskill0011.dbr</v>
      </c>
      <c r="Y55" s="5" t="s">
        <v>36</v>
      </c>
      <c r="Z55" t="str">
        <f t="shared" si="9"/>
        <v xml:space="preserve"> dailCompDescFrostKnight53=^pFrostKnight's Gift of DAIL</v>
      </c>
      <c r="AA55" t="str">
        <f t="shared" si="17"/>
        <v>dailCompTextFrostKnight53=^oThis feels warm to the touch, almost familiar ^w(This component only fits into the Medal Slot)</v>
      </c>
      <c r="AB55" s="5" t="s">
        <v>36</v>
      </c>
      <c r="AH55">
        <f t="shared" si="19"/>
        <v>50</v>
      </c>
      <c r="AI55">
        <f t="shared" si="22"/>
        <v>36</v>
      </c>
      <c r="AJ55">
        <f t="shared" si="18"/>
        <v>5</v>
      </c>
    </row>
    <row r="56" spans="1:36" x14ac:dyDescent="0.25">
      <c r="A56" s="5" t="s">
        <v>39</v>
      </c>
      <c r="B56" s="5" t="s">
        <v>30</v>
      </c>
      <c r="C56" s="5" t="str">
        <f t="shared" si="0"/>
        <v>description,dailCompDescFrostKnight54,</v>
      </c>
      <c r="D56" s="5" t="str">
        <f t="shared" si="2"/>
        <v>itemText,dailCompTextFrostKnight54,</v>
      </c>
      <c r="E56" s="5" t="str">
        <f t="shared" si="14"/>
        <v>augmentSkillLevel1,5,</v>
      </c>
      <c r="F56" s="5" t="str">
        <f t="shared" si="15"/>
        <v>augmentSkillName1,records/skills/FrostKnightClass/froststrike.dbr,</v>
      </c>
      <c r="G56" s="7">
        <f t="shared" si="10"/>
        <v>54</v>
      </c>
      <c r="H56" s="8" t="str">
        <f t="shared" si="11"/>
        <v>FrostKnight</v>
      </c>
      <c r="I56" s="3" t="s">
        <v>491</v>
      </c>
      <c r="J56" s="8" t="str">
        <f t="shared" si="23"/>
        <v>class0011</v>
      </c>
      <c r="K56" s="8" t="str">
        <f t="shared" si="23"/>
        <v>dailoneskill0011</v>
      </c>
      <c r="L56" s="5" t="str">
        <f t="shared" si="4"/>
        <v>lootName54,DAIL/items/materia/class0011/FrostKnight54.dbr,</v>
      </c>
      <c r="M56" s="5" t="str">
        <f t="shared" si="5"/>
        <v>lootWeight54,1,</v>
      </c>
      <c r="N56" t="str">
        <f t="shared" si="6"/>
        <v>5</v>
      </c>
      <c r="O56" t="str">
        <f t="shared" si="16"/>
        <v>copy .\dail_base3.dbr .\items\materia\class0011\FrostKnight54.dbr /y</v>
      </c>
      <c r="P56" t="str">
        <f t="shared" si="7"/>
        <v>echo relicBitmap,items/craftingparts/components/component_a52_bristlyfur_b.tex, &gt;&gt; .\items\materia\class0011\FrostKnight54.dbr</v>
      </c>
      <c r="Q56" t="str">
        <f t="shared" si="7"/>
        <v>echo itemCost,500000, &gt;&gt; .\items\materia\class0011\FrostKnight54.dbr</v>
      </c>
      <c r="R56" t="str">
        <f t="shared" si="7"/>
        <v>echo description,dailCompDescFrostKnight54, &gt;&gt; .\items\materia\class0011\FrostKnight54.dbr</v>
      </c>
      <c r="S56" t="str">
        <f t="shared" si="7"/>
        <v>echo itemText,dailCompTextFrostKnight54, &gt;&gt; .\items\materia\class0011\FrostKnight54.dbr</v>
      </c>
      <c r="T56" t="str">
        <f t="shared" si="7"/>
        <v>echo augmentSkillLevel1,5, &gt;&gt; .\items\materia\class0011\FrostKnight54.dbr</v>
      </c>
      <c r="U56" t="str">
        <f t="shared" si="7"/>
        <v>echo augmentSkillName1,records/skills/FrostKnightClass/froststrike.dbr, &gt;&gt; .\items\materia\class0011\FrostKnight54.dbr</v>
      </c>
      <c r="V56" s="5" t="s">
        <v>36</v>
      </c>
      <c r="W56" t="str">
        <f t="shared" si="8"/>
        <v>echo lootName54,DAIL/items/materia/class0011/FrostKnight54.dbr, &gt;&gt; .\items\loottables\dailoneskill0011.dbr</v>
      </c>
      <c r="X56" t="str">
        <f t="shared" si="8"/>
        <v>echo lootWeight54,1, &gt;&gt; .\items\loottables\dailoneskill0011.dbr</v>
      </c>
      <c r="Y56" s="5" t="s">
        <v>36</v>
      </c>
      <c r="Z56" t="str">
        <f t="shared" si="9"/>
        <v xml:space="preserve"> dailCompDescFrostKnight54=^pFrostKnight's Gift of DAIL</v>
      </c>
      <c r="AA56" t="str">
        <f t="shared" si="17"/>
        <v>dailCompTextFrostKnight54=^oThis feels warm to the touch, almost familiar ^w(This component only fits into the Medal Slot)</v>
      </c>
      <c r="AB56" s="5" t="s">
        <v>36</v>
      </c>
      <c r="AH56">
        <f t="shared" si="19"/>
        <v>51</v>
      </c>
      <c r="AI56">
        <f t="shared" si="22"/>
        <v>33</v>
      </c>
      <c r="AJ56">
        <f t="shared" si="18"/>
        <v>5</v>
      </c>
    </row>
    <row r="57" spans="1:36" x14ac:dyDescent="0.25">
      <c r="A57" s="5" t="s">
        <v>39</v>
      </c>
      <c r="B57" s="5" t="s">
        <v>30</v>
      </c>
      <c r="C57" s="5" t="str">
        <f t="shared" si="0"/>
        <v>description,dailCompDescFrostKnight55,</v>
      </c>
      <c r="D57" s="5" t="str">
        <f t="shared" si="2"/>
        <v>itemText,dailCompTextFrostKnight55,</v>
      </c>
      <c r="E57" s="5" t="str">
        <f t="shared" si="14"/>
        <v>augmentSkillLevel1,5,</v>
      </c>
      <c r="F57" s="5" t="str">
        <f t="shared" si="15"/>
        <v>augmentSkillName1,records/skills/FrostKnightClass/froststrike_transmuter01.dbr,</v>
      </c>
      <c r="G57" s="7">
        <f t="shared" si="10"/>
        <v>55</v>
      </c>
      <c r="H57" s="8" t="str">
        <f t="shared" si="11"/>
        <v>FrostKnight</v>
      </c>
      <c r="I57" s="3" t="s">
        <v>492</v>
      </c>
      <c r="J57" s="8" t="str">
        <f t="shared" si="23"/>
        <v>class0011</v>
      </c>
      <c r="K57" s="8" t="str">
        <f t="shared" si="23"/>
        <v>dailoneskill0011</v>
      </c>
      <c r="L57" s="5" t="str">
        <f t="shared" si="4"/>
        <v>lootName55,DAIL/items/materia/class0011/FrostKnight55.dbr,</v>
      </c>
      <c r="M57" s="5" t="str">
        <f t="shared" si="5"/>
        <v>lootWeight55,1,</v>
      </c>
      <c r="N57" t="str">
        <f t="shared" si="6"/>
        <v>5</v>
      </c>
      <c r="O57" t="str">
        <f t="shared" si="16"/>
        <v>copy .\dail_base3.dbr .\items\materia\class0011\FrostKnight55.dbr /y</v>
      </c>
      <c r="P57" t="str">
        <f t="shared" si="7"/>
        <v>echo relicBitmap,items/craftingparts/components/component_a52_bristlyfur_b.tex, &gt;&gt; .\items\materia\class0011\FrostKnight55.dbr</v>
      </c>
      <c r="Q57" t="str">
        <f t="shared" si="7"/>
        <v>echo itemCost,500000, &gt;&gt; .\items\materia\class0011\FrostKnight55.dbr</v>
      </c>
      <c r="R57" t="str">
        <f t="shared" si="7"/>
        <v>echo description,dailCompDescFrostKnight55, &gt;&gt; .\items\materia\class0011\FrostKnight55.dbr</v>
      </c>
      <c r="S57" t="str">
        <f t="shared" si="7"/>
        <v>echo itemText,dailCompTextFrostKnight55, &gt;&gt; .\items\materia\class0011\FrostKnight55.dbr</v>
      </c>
      <c r="T57" t="str">
        <f t="shared" si="7"/>
        <v>echo augmentSkillLevel1,5, &gt;&gt; .\items\materia\class0011\FrostKnight55.dbr</v>
      </c>
      <c r="U57" t="str">
        <f t="shared" si="7"/>
        <v>echo augmentSkillName1,records/skills/FrostKnightClass/froststrike_transmuter01.dbr, &gt;&gt; .\items\materia\class0011\FrostKnight55.dbr</v>
      </c>
      <c r="V57" s="5" t="s">
        <v>36</v>
      </c>
      <c r="W57" t="str">
        <f t="shared" si="8"/>
        <v>echo lootName55,DAIL/items/materia/class0011/FrostKnight55.dbr, &gt;&gt; .\items\loottables\dailoneskill0011.dbr</v>
      </c>
      <c r="X57" t="str">
        <f t="shared" si="8"/>
        <v>echo lootWeight55,1, &gt;&gt; .\items\loottables\dailoneskill0011.dbr</v>
      </c>
      <c r="Y57" s="5" t="s">
        <v>36</v>
      </c>
      <c r="Z57" t="str">
        <f t="shared" si="9"/>
        <v xml:space="preserve"> dailCompDescFrostKnight55=^pFrostKnight's Gift of DAIL</v>
      </c>
      <c r="AA57" t="str">
        <f t="shared" si="17"/>
        <v>dailCompTextFrostKnight55=^oThis feels warm to the touch, almost familiar ^w(This component only fits into the Medal Slot)</v>
      </c>
      <c r="AB57" s="5" t="s">
        <v>36</v>
      </c>
      <c r="AH57">
        <f t="shared" si="19"/>
        <v>52</v>
      </c>
      <c r="AI57">
        <f t="shared" si="22"/>
        <v>46</v>
      </c>
      <c r="AJ57">
        <f t="shared" si="18"/>
        <v>5</v>
      </c>
    </row>
    <row r="58" spans="1:36" x14ac:dyDescent="0.25">
      <c r="A58" s="5" t="s">
        <v>39</v>
      </c>
      <c r="B58" s="5" t="s">
        <v>30</v>
      </c>
      <c r="C58" s="5" t="str">
        <f t="shared" si="0"/>
        <v>description,dailCompDescFrostKnight56,</v>
      </c>
      <c r="D58" s="5" t="str">
        <f t="shared" si="2"/>
        <v>itemText,dailCompTextFrostKnight56,</v>
      </c>
      <c r="E58" s="5" t="str">
        <f t="shared" si="14"/>
        <v>augmentSkillLevel1,5,</v>
      </c>
      <c r="F58" s="5" t="str">
        <f t="shared" si="15"/>
        <v>augmentSkillName1,records/skills/FrostKnightClass/froststrike_fever.dbr,</v>
      </c>
      <c r="G58" s="7">
        <f t="shared" si="10"/>
        <v>56</v>
      </c>
      <c r="H58" s="8" t="str">
        <f t="shared" si="11"/>
        <v>FrostKnight</v>
      </c>
      <c r="I58" s="3" t="s">
        <v>493</v>
      </c>
      <c r="J58" s="8" t="str">
        <f t="shared" si="23"/>
        <v>class0011</v>
      </c>
      <c r="K58" s="8" t="str">
        <f t="shared" si="23"/>
        <v>dailoneskill0011</v>
      </c>
      <c r="L58" s="5" t="str">
        <f t="shared" si="4"/>
        <v>lootName56,DAIL/items/materia/class0011/FrostKnight56.dbr,</v>
      </c>
      <c r="M58" s="5" t="str">
        <f t="shared" si="5"/>
        <v>lootWeight56,1,</v>
      </c>
      <c r="N58" t="str">
        <f t="shared" si="6"/>
        <v>5</v>
      </c>
      <c r="O58" t="str">
        <f t="shared" si="16"/>
        <v>copy .\dail_base3.dbr .\items\materia\class0011\FrostKnight56.dbr /y</v>
      </c>
      <c r="P58" t="str">
        <f t="shared" si="7"/>
        <v>echo relicBitmap,items/craftingparts/components/component_a52_bristlyfur_b.tex, &gt;&gt; .\items\materia\class0011\FrostKnight56.dbr</v>
      </c>
      <c r="Q58" t="str">
        <f t="shared" si="7"/>
        <v>echo itemCost,500000, &gt;&gt; .\items\materia\class0011\FrostKnight56.dbr</v>
      </c>
      <c r="R58" t="str">
        <f t="shared" si="7"/>
        <v>echo description,dailCompDescFrostKnight56, &gt;&gt; .\items\materia\class0011\FrostKnight56.dbr</v>
      </c>
      <c r="S58" t="str">
        <f t="shared" si="7"/>
        <v>echo itemText,dailCompTextFrostKnight56, &gt;&gt; .\items\materia\class0011\FrostKnight56.dbr</v>
      </c>
      <c r="T58" t="str">
        <f t="shared" si="7"/>
        <v>echo augmentSkillLevel1,5, &gt;&gt; .\items\materia\class0011\FrostKnight56.dbr</v>
      </c>
      <c r="U58" t="str">
        <f t="shared" si="7"/>
        <v>echo augmentSkillName1,records/skills/FrostKnightClass/froststrike_fever.dbr, &gt;&gt; .\items\materia\class0011\FrostKnight56.dbr</v>
      </c>
      <c r="V58" s="5" t="s">
        <v>36</v>
      </c>
      <c r="W58" t="str">
        <f t="shared" si="8"/>
        <v>echo lootName56,DAIL/items/materia/class0011/FrostKnight56.dbr, &gt;&gt; .\items\loottables\dailoneskill0011.dbr</v>
      </c>
      <c r="X58" t="str">
        <f t="shared" si="8"/>
        <v>echo lootWeight56,1, &gt;&gt; .\items\loottables\dailoneskill0011.dbr</v>
      </c>
      <c r="Y58" s="5" t="s">
        <v>36</v>
      </c>
      <c r="Z58" t="str">
        <f t="shared" si="9"/>
        <v xml:space="preserve"> dailCompDescFrostKnight56=^pFrostKnight's Gift of DAIL</v>
      </c>
      <c r="AA58" t="str">
        <f t="shared" si="17"/>
        <v>dailCompTextFrostKnight56=^oThis feels warm to the touch, almost familiar ^w(This component only fits into the Medal Slot)</v>
      </c>
      <c r="AB58" s="5" t="s">
        <v>36</v>
      </c>
      <c r="AH58">
        <f t="shared" si="19"/>
        <v>53</v>
      </c>
      <c r="AI58">
        <f t="shared" si="22"/>
        <v>39</v>
      </c>
      <c r="AJ58">
        <f t="shared" si="18"/>
        <v>5</v>
      </c>
    </row>
    <row r="59" spans="1:36" x14ac:dyDescent="0.25">
      <c r="A59" s="5" t="s">
        <v>39</v>
      </c>
      <c r="B59" s="5" t="s">
        <v>30</v>
      </c>
      <c r="C59" s="5" t="str">
        <f t="shared" si="0"/>
        <v>description,dailCompDescFrostKnight57,</v>
      </c>
      <c r="D59" s="5" t="str">
        <f t="shared" si="2"/>
        <v>itemText,dailCompTextFrostKnight57,</v>
      </c>
      <c r="E59" s="5" t="str">
        <f t="shared" si="14"/>
        <v>augmentSkillLevel1,5,</v>
      </c>
      <c r="F59" s="5" t="str">
        <f t="shared" si="15"/>
        <v>augmentSkillName1,records/skills/FrostKnightClass/froststrike_iceflows.dbr,</v>
      </c>
      <c r="G59" s="7">
        <f t="shared" si="10"/>
        <v>57</v>
      </c>
      <c r="H59" s="8" t="str">
        <f t="shared" si="11"/>
        <v>FrostKnight</v>
      </c>
      <c r="I59" s="3" t="s">
        <v>494</v>
      </c>
      <c r="J59" s="8" t="str">
        <f t="shared" si="23"/>
        <v>class0011</v>
      </c>
      <c r="K59" s="8" t="str">
        <f t="shared" si="23"/>
        <v>dailoneskill0011</v>
      </c>
      <c r="L59" s="5" t="str">
        <f t="shared" si="4"/>
        <v>lootName57,DAIL/items/materia/class0011/FrostKnight57.dbr,</v>
      </c>
      <c r="M59" s="5" t="str">
        <f t="shared" si="5"/>
        <v>lootWeight57,1,</v>
      </c>
      <c r="N59" t="str">
        <f t="shared" si="6"/>
        <v>5</v>
      </c>
      <c r="O59" t="str">
        <f t="shared" si="16"/>
        <v>copy .\dail_base3.dbr .\items\materia\class0011\FrostKnight57.dbr /y</v>
      </c>
      <c r="P59" t="str">
        <f t="shared" ref="P59:U101" si="24">IF($I59&lt;&gt;"","echo "&amp;A59&amp;" &gt;&gt; .\items\materia\"&amp;$J59&amp;"\"&amp;$H59&amp;$G59&amp;".dbr","")</f>
        <v>echo relicBitmap,items/craftingparts/components/component_a52_bristlyfur_b.tex, &gt;&gt; .\items\materia\class0011\FrostKnight57.dbr</v>
      </c>
      <c r="Q59" t="str">
        <f t="shared" si="24"/>
        <v>echo itemCost,500000, &gt;&gt; .\items\materia\class0011\FrostKnight57.dbr</v>
      </c>
      <c r="R59" t="str">
        <f t="shared" si="24"/>
        <v>echo description,dailCompDescFrostKnight57, &gt;&gt; .\items\materia\class0011\FrostKnight57.dbr</v>
      </c>
      <c r="S59" t="str">
        <f t="shared" si="24"/>
        <v>echo itemText,dailCompTextFrostKnight57, &gt;&gt; .\items\materia\class0011\FrostKnight57.dbr</v>
      </c>
      <c r="T59" t="str">
        <f t="shared" si="24"/>
        <v>echo augmentSkillLevel1,5, &gt;&gt; .\items\materia\class0011\FrostKnight57.dbr</v>
      </c>
      <c r="U59" t="str">
        <f t="shared" si="24"/>
        <v>echo augmentSkillName1,records/skills/FrostKnightClass/froststrike_iceflows.dbr, &gt;&gt; .\items\materia\class0011\FrostKnight57.dbr</v>
      </c>
      <c r="V59" s="5" t="s">
        <v>36</v>
      </c>
      <c r="W59" t="str">
        <f t="shared" si="8"/>
        <v>echo lootName57,DAIL/items/materia/class0011/FrostKnight57.dbr, &gt;&gt; .\items\loottables\dailoneskill0011.dbr</v>
      </c>
      <c r="X59" t="str">
        <f t="shared" si="8"/>
        <v>echo lootWeight57,1, &gt;&gt; .\items\loottables\dailoneskill0011.dbr</v>
      </c>
      <c r="Y59" s="5" t="s">
        <v>36</v>
      </c>
      <c r="Z59" t="str">
        <f t="shared" si="9"/>
        <v xml:space="preserve"> dailCompDescFrostKnight57=^pFrostKnight's Gift of DAIL</v>
      </c>
      <c r="AA59" t="str">
        <f t="shared" si="17"/>
        <v>dailCompTextFrostKnight57=^oThis feels warm to the touch, almost familiar ^w(This component only fits into the Medal Slot)</v>
      </c>
      <c r="AB59" s="5" t="s">
        <v>36</v>
      </c>
      <c r="AH59">
        <f t="shared" si="19"/>
        <v>54</v>
      </c>
      <c r="AI59">
        <f t="shared" si="22"/>
        <v>42</v>
      </c>
      <c r="AJ59">
        <f t="shared" si="18"/>
        <v>5</v>
      </c>
    </row>
    <row r="60" spans="1:36" x14ac:dyDescent="0.25">
      <c r="A60" s="5" t="s">
        <v>39</v>
      </c>
      <c r="B60" s="5" t="s">
        <v>30</v>
      </c>
      <c r="C60" s="5" t="str">
        <f t="shared" si="0"/>
        <v>description,dailCompDescFrostKnight58,</v>
      </c>
      <c r="D60" s="5" t="str">
        <f t="shared" si="2"/>
        <v>itemText,dailCompTextFrostKnight58,</v>
      </c>
      <c r="E60" s="5" t="str">
        <f t="shared" si="14"/>
        <v>augmentSkillLevel1,5,</v>
      </c>
      <c r="F60" s="5" t="str">
        <f t="shared" si="15"/>
        <v>augmentSkillName1,records/skills/FrostKnightClass/crushingwinds.dbr,</v>
      </c>
      <c r="G60" s="7">
        <f t="shared" si="10"/>
        <v>58</v>
      </c>
      <c r="H60" s="8" t="str">
        <f t="shared" si="11"/>
        <v>FrostKnight</v>
      </c>
      <c r="I60" s="3" t="s">
        <v>495</v>
      </c>
      <c r="J60" s="8" t="str">
        <f t="shared" si="23"/>
        <v>class0011</v>
      </c>
      <c r="K60" s="8" t="str">
        <f t="shared" si="23"/>
        <v>dailoneskill0011</v>
      </c>
      <c r="L60" s="5" t="str">
        <f t="shared" si="4"/>
        <v>lootName58,DAIL/items/materia/class0011/FrostKnight58.dbr,</v>
      </c>
      <c r="M60" s="5" t="str">
        <f t="shared" si="5"/>
        <v>lootWeight58,1,</v>
      </c>
      <c r="N60" t="str">
        <f t="shared" si="6"/>
        <v>5</v>
      </c>
      <c r="O60" t="str">
        <f t="shared" si="16"/>
        <v>copy .\dail_base3.dbr .\items\materia\class0011\FrostKnight58.dbr /y</v>
      </c>
      <c r="P60" t="str">
        <f t="shared" si="24"/>
        <v>echo relicBitmap,items/craftingparts/components/component_a52_bristlyfur_b.tex, &gt;&gt; .\items\materia\class0011\FrostKnight58.dbr</v>
      </c>
      <c r="Q60" t="str">
        <f t="shared" si="24"/>
        <v>echo itemCost,500000, &gt;&gt; .\items\materia\class0011\FrostKnight58.dbr</v>
      </c>
      <c r="R60" t="str">
        <f t="shared" si="24"/>
        <v>echo description,dailCompDescFrostKnight58, &gt;&gt; .\items\materia\class0011\FrostKnight58.dbr</v>
      </c>
      <c r="S60" t="str">
        <f t="shared" si="24"/>
        <v>echo itemText,dailCompTextFrostKnight58, &gt;&gt; .\items\materia\class0011\FrostKnight58.dbr</v>
      </c>
      <c r="T60" t="str">
        <f t="shared" si="24"/>
        <v>echo augmentSkillLevel1,5, &gt;&gt; .\items\materia\class0011\FrostKnight58.dbr</v>
      </c>
      <c r="U60" t="str">
        <f t="shared" si="24"/>
        <v>echo augmentSkillName1,records/skills/FrostKnightClass/crushingwinds.dbr, &gt;&gt; .\items\materia\class0011\FrostKnight58.dbr</v>
      </c>
      <c r="V60" s="5" t="s">
        <v>36</v>
      </c>
      <c r="W60" t="str">
        <f t="shared" si="8"/>
        <v>echo lootName58,DAIL/items/materia/class0011/FrostKnight58.dbr, &gt;&gt; .\items\loottables\dailoneskill0011.dbr</v>
      </c>
      <c r="X60" t="str">
        <f t="shared" si="8"/>
        <v>echo lootWeight58,1, &gt;&gt; .\items\loottables\dailoneskill0011.dbr</v>
      </c>
      <c r="Y60" s="5" t="s">
        <v>36</v>
      </c>
      <c r="Z60" t="str">
        <f t="shared" si="9"/>
        <v xml:space="preserve"> dailCompDescFrostKnight58=^pFrostKnight's Gift of DAIL</v>
      </c>
      <c r="AA60" t="str">
        <f t="shared" si="17"/>
        <v>dailCompTextFrostKnight58=^oThis feels warm to the touch, almost familiar ^w(This component only fits into the Medal Slot)</v>
      </c>
      <c r="AB60" s="5" t="s">
        <v>36</v>
      </c>
      <c r="AH60">
        <f t="shared" si="19"/>
        <v>55</v>
      </c>
      <c r="AI60">
        <f t="shared" si="22"/>
        <v>35</v>
      </c>
      <c r="AJ60">
        <f t="shared" si="18"/>
        <v>5</v>
      </c>
    </row>
    <row r="61" spans="1:36" x14ac:dyDescent="0.25">
      <c r="A61" s="5" t="s">
        <v>39</v>
      </c>
      <c r="B61" s="5" t="s">
        <v>30</v>
      </c>
      <c r="C61" s="5" t="str">
        <f t="shared" si="0"/>
        <v>description,dailCompDescFrostKnight59,</v>
      </c>
      <c r="D61" s="5" t="str">
        <f t="shared" si="2"/>
        <v>itemText,dailCompTextFrostKnight59,</v>
      </c>
      <c r="E61" s="5" t="str">
        <f t="shared" si="14"/>
        <v>augmentSkillLevel1,5,</v>
      </c>
      <c r="F61" s="5" t="str">
        <f t="shared" si="15"/>
        <v>augmentSkillName1,records/skills/FrostKnightClass/training.dbr,</v>
      </c>
      <c r="G61" s="7">
        <f t="shared" si="10"/>
        <v>59</v>
      </c>
      <c r="H61" s="8" t="str">
        <f t="shared" si="11"/>
        <v>FrostKnight</v>
      </c>
      <c r="I61" s="3" t="s">
        <v>496</v>
      </c>
      <c r="J61" s="8" t="str">
        <f t="shared" si="23"/>
        <v>class0011</v>
      </c>
      <c r="K61" s="8" t="str">
        <f t="shared" si="23"/>
        <v>dailoneskill0011</v>
      </c>
      <c r="L61" s="5" t="str">
        <f t="shared" si="4"/>
        <v>lootName59,DAIL/items/materia/class0011/FrostKnight59.dbr,</v>
      </c>
      <c r="M61" s="5" t="str">
        <f t="shared" si="5"/>
        <v>lootWeight59,1,</v>
      </c>
      <c r="N61" t="str">
        <f t="shared" si="6"/>
        <v>5</v>
      </c>
      <c r="O61" t="str">
        <f t="shared" si="16"/>
        <v>copy .\dail_base3.dbr .\items\materia\class0011\FrostKnight59.dbr /y</v>
      </c>
      <c r="P61" t="str">
        <f t="shared" si="24"/>
        <v>echo relicBitmap,items/craftingparts/components/component_a52_bristlyfur_b.tex, &gt;&gt; .\items\materia\class0011\FrostKnight59.dbr</v>
      </c>
      <c r="Q61" t="str">
        <f t="shared" si="24"/>
        <v>echo itemCost,500000, &gt;&gt; .\items\materia\class0011\FrostKnight59.dbr</v>
      </c>
      <c r="R61" t="str">
        <f t="shared" si="24"/>
        <v>echo description,dailCompDescFrostKnight59, &gt;&gt; .\items\materia\class0011\FrostKnight59.dbr</v>
      </c>
      <c r="S61" t="str">
        <f t="shared" si="24"/>
        <v>echo itemText,dailCompTextFrostKnight59, &gt;&gt; .\items\materia\class0011\FrostKnight59.dbr</v>
      </c>
      <c r="T61" t="str">
        <f t="shared" si="24"/>
        <v>echo augmentSkillLevel1,5, &gt;&gt; .\items\materia\class0011\FrostKnight59.dbr</v>
      </c>
      <c r="U61" t="str">
        <f t="shared" si="24"/>
        <v>echo augmentSkillName1,records/skills/FrostKnightClass/training.dbr, &gt;&gt; .\items\materia\class0011\FrostKnight59.dbr</v>
      </c>
      <c r="V61" s="5" t="s">
        <v>36</v>
      </c>
      <c r="W61" t="str">
        <f t="shared" si="8"/>
        <v>echo lootName59,DAIL/items/materia/class0011/FrostKnight59.dbr, &gt;&gt; .\items\loottables\dailoneskill0011.dbr</v>
      </c>
      <c r="X61" t="str">
        <f t="shared" si="8"/>
        <v>echo lootWeight59,1, &gt;&gt; .\items\loottables\dailoneskill0011.dbr</v>
      </c>
      <c r="Y61" s="5" t="s">
        <v>36</v>
      </c>
      <c r="Z61" t="str">
        <f t="shared" si="9"/>
        <v xml:space="preserve"> dailCompDescFrostKnight59=^pFrostKnight's Gift of DAIL</v>
      </c>
      <c r="AA61" t="str">
        <f t="shared" si="17"/>
        <v>dailCompTextFrostKnight59=^oThis feels warm to the touch, almost familiar ^w(This component only fits into the Medal Slot)</v>
      </c>
      <c r="AB61" s="5" t="s">
        <v>36</v>
      </c>
      <c r="AH61">
        <f t="shared" si="19"/>
        <v>56</v>
      </c>
      <c r="AI61">
        <f t="shared" si="22"/>
        <v>30</v>
      </c>
      <c r="AJ61">
        <f t="shared" si="18"/>
        <v>5</v>
      </c>
    </row>
    <row r="62" spans="1:36" x14ac:dyDescent="0.25">
      <c r="A62" s="5" t="s">
        <v>39</v>
      </c>
      <c r="B62" s="5" t="s">
        <v>30</v>
      </c>
      <c r="C62" s="5" t="str">
        <f t="shared" si="0"/>
        <v>description,dailCompDescFrostKnight60,</v>
      </c>
      <c r="D62" s="5" t="str">
        <f t="shared" si="2"/>
        <v>itemText,dailCompTextFrostKnight60,</v>
      </c>
      <c r="E62" s="5" t="str">
        <f t="shared" si="14"/>
        <v>augmentSkillLevel1,5,</v>
      </c>
      <c r="F62" s="5" t="str">
        <f t="shared" si="15"/>
        <v>augmentSkillName1,records/skills/FrostKnightClass/frostborn.dbr,</v>
      </c>
      <c r="G62" s="7">
        <f t="shared" si="10"/>
        <v>60</v>
      </c>
      <c r="H62" s="8" t="str">
        <f t="shared" si="11"/>
        <v>FrostKnight</v>
      </c>
      <c r="I62" s="3" t="s">
        <v>497</v>
      </c>
      <c r="J62" s="8" t="str">
        <f t="shared" si="23"/>
        <v>class0011</v>
      </c>
      <c r="K62" s="8" t="str">
        <f t="shared" si="23"/>
        <v>dailoneskill0011</v>
      </c>
      <c r="L62" s="5" t="str">
        <f t="shared" si="4"/>
        <v>lootName60,DAIL/items/materia/class0011/FrostKnight60.dbr,</v>
      </c>
      <c r="M62" s="5" t="str">
        <f t="shared" si="5"/>
        <v>lootWeight60,1,</v>
      </c>
      <c r="N62" t="str">
        <f t="shared" si="6"/>
        <v>5</v>
      </c>
      <c r="O62" t="str">
        <f t="shared" si="16"/>
        <v>copy .\dail_base3.dbr .\items\materia\class0011\FrostKnight60.dbr /y</v>
      </c>
      <c r="P62" t="str">
        <f t="shared" si="24"/>
        <v>echo relicBitmap,items/craftingparts/components/component_a52_bristlyfur_b.tex, &gt;&gt; .\items\materia\class0011\FrostKnight60.dbr</v>
      </c>
      <c r="Q62" t="str">
        <f t="shared" si="24"/>
        <v>echo itemCost,500000, &gt;&gt; .\items\materia\class0011\FrostKnight60.dbr</v>
      </c>
      <c r="R62" t="str">
        <f t="shared" si="24"/>
        <v>echo description,dailCompDescFrostKnight60, &gt;&gt; .\items\materia\class0011\FrostKnight60.dbr</v>
      </c>
      <c r="S62" t="str">
        <f t="shared" si="24"/>
        <v>echo itemText,dailCompTextFrostKnight60, &gt;&gt; .\items\materia\class0011\FrostKnight60.dbr</v>
      </c>
      <c r="T62" t="str">
        <f t="shared" si="24"/>
        <v>echo augmentSkillLevel1,5, &gt;&gt; .\items\materia\class0011\FrostKnight60.dbr</v>
      </c>
      <c r="U62" t="str">
        <f t="shared" si="24"/>
        <v>echo augmentSkillName1,records/skills/FrostKnightClass/frostborn.dbr, &gt;&gt; .\items\materia\class0011\FrostKnight60.dbr</v>
      </c>
      <c r="V62" s="5" t="s">
        <v>36</v>
      </c>
      <c r="W62" t="str">
        <f t="shared" si="8"/>
        <v>echo lootName60,DAIL/items/materia/class0011/FrostKnight60.dbr, &gt;&gt; .\items\loottables\dailoneskill0011.dbr</v>
      </c>
      <c r="X62" t="str">
        <f t="shared" si="8"/>
        <v>echo lootWeight60,1, &gt;&gt; .\items\loottables\dailoneskill0011.dbr</v>
      </c>
      <c r="Y62" s="5" t="s">
        <v>36</v>
      </c>
      <c r="Z62" t="str">
        <f t="shared" si="9"/>
        <v xml:space="preserve"> dailCompDescFrostKnight60=^pFrostKnight's Gift of DAIL</v>
      </c>
      <c r="AA62" t="str">
        <f t="shared" si="17"/>
        <v>dailCompTextFrostKnight60=^oThis feels warm to the touch, almost familiar ^w(This component only fits into the Medal Slot)</v>
      </c>
      <c r="AB62" s="5" t="s">
        <v>36</v>
      </c>
      <c r="AH62">
        <f t="shared" si="19"/>
        <v>57</v>
      </c>
      <c r="AI62">
        <f t="shared" si="22"/>
        <v>31</v>
      </c>
      <c r="AJ62">
        <f t="shared" si="18"/>
        <v>5</v>
      </c>
    </row>
    <row r="63" spans="1:36" x14ac:dyDescent="0.25">
      <c r="A63" s="5" t="s">
        <v>39</v>
      </c>
      <c r="B63" s="5" t="s">
        <v>30</v>
      </c>
      <c r="C63" s="5" t="str">
        <f t="shared" si="0"/>
        <v>description,dailCompDescFrostKnight61,</v>
      </c>
      <c r="D63" s="5" t="str">
        <f t="shared" si="2"/>
        <v>itemText,dailCompTextFrostKnight61,</v>
      </c>
      <c r="E63" s="5" t="str">
        <f t="shared" si="14"/>
        <v>augmentSkillLevel1,5,</v>
      </c>
      <c r="F63" s="5" t="str">
        <f t="shared" si="15"/>
        <v>augmentSkillName1,records/skills/FrostKnightClass/harbinger.dbr,</v>
      </c>
      <c r="G63" s="7">
        <f t="shared" si="10"/>
        <v>61</v>
      </c>
      <c r="H63" s="8" t="str">
        <f t="shared" si="11"/>
        <v>FrostKnight</v>
      </c>
      <c r="I63" s="3" t="s">
        <v>498</v>
      </c>
      <c r="J63" s="8" t="str">
        <f t="shared" si="23"/>
        <v>class0011</v>
      </c>
      <c r="K63" s="8" t="str">
        <f t="shared" si="23"/>
        <v>dailoneskill0011</v>
      </c>
      <c r="L63" s="5" t="str">
        <f t="shared" si="4"/>
        <v>lootName61,DAIL/items/materia/class0011/FrostKnight61.dbr,</v>
      </c>
      <c r="M63" s="5" t="str">
        <f t="shared" si="5"/>
        <v>lootWeight61,1,</v>
      </c>
      <c r="N63" t="str">
        <f t="shared" si="6"/>
        <v>5</v>
      </c>
      <c r="O63" t="str">
        <f t="shared" si="16"/>
        <v>copy .\dail_base3.dbr .\items\materia\class0011\FrostKnight61.dbr /y</v>
      </c>
      <c r="P63" t="str">
        <f t="shared" si="24"/>
        <v>echo relicBitmap,items/craftingparts/components/component_a52_bristlyfur_b.tex, &gt;&gt; .\items\materia\class0011\FrostKnight61.dbr</v>
      </c>
      <c r="Q63" t="str">
        <f t="shared" si="24"/>
        <v>echo itemCost,500000, &gt;&gt; .\items\materia\class0011\FrostKnight61.dbr</v>
      </c>
      <c r="R63" t="str">
        <f t="shared" si="24"/>
        <v>echo description,dailCompDescFrostKnight61, &gt;&gt; .\items\materia\class0011\FrostKnight61.dbr</v>
      </c>
      <c r="S63" t="str">
        <f t="shared" si="24"/>
        <v>echo itemText,dailCompTextFrostKnight61, &gt;&gt; .\items\materia\class0011\FrostKnight61.dbr</v>
      </c>
      <c r="T63" t="str">
        <f t="shared" si="24"/>
        <v>echo augmentSkillLevel1,5, &gt;&gt; .\items\materia\class0011\FrostKnight61.dbr</v>
      </c>
      <c r="U63" t="str">
        <f t="shared" si="24"/>
        <v>echo augmentSkillName1,records/skills/FrostKnightClass/harbinger.dbr, &gt;&gt; .\items\materia\class0011\FrostKnight61.dbr</v>
      </c>
      <c r="V63" s="5" t="s">
        <v>36</v>
      </c>
      <c r="W63" t="str">
        <f t="shared" si="8"/>
        <v>echo lootName61,DAIL/items/materia/class0011/FrostKnight61.dbr, &gt;&gt; .\items\loottables\dailoneskill0011.dbr</v>
      </c>
      <c r="X63" t="str">
        <f t="shared" si="8"/>
        <v>echo lootWeight61,1, &gt;&gt; .\items\loottables\dailoneskill0011.dbr</v>
      </c>
      <c r="Y63" s="5" t="s">
        <v>36</v>
      </c>
      <c r="Z63" t="str">
        <f t="shared" si="9"/>
        <v xml:space="preserve"> dailCompDescFrostKnight61=^pFrostKnight's Gift of DAIL</v>
      </c>
      <c r="AA63" t="str">
        <f t="shared" si="17"/>
        <v>dailCompTextFrostKnight61=^oThis feels warm to the touch, almost familiar ^w(This component only fits into the Medal Slot)</v>
      </c>
      <c r="AB63" s="5" t="s">
        <v>36</v>
      </c>
      <c r="AH63">
        <f t="shared" si="19"/>
        <v>58</v>
      </c>
      <c r="AI63">
        <f t="shared" si="22"/>
        <v>31</v>
      </c>
      <c r="AJ63">
        <f t="shared" si="18"/>
        <v>5</v>
      </c>
    </row>
    <row r="64" spans="1:36" x14ac:dyDescent="0.25">
      <c r="A64" s="5" t="s">
        <v>39</v>
      </c>
      <c r="B64" s="5" t="s">
        <v>30</v>
      </c>
      <c r="C64" s="5" t="str">
        <f t="shared" si="0"/>
        <v>description,dailCompDescFrostKnight62,</v>
      </c>
      <c r="D64" s="5" t="str">
        <f t="shared" si="2"/>
        <v>itemText,dailCompTextFrostKnight62,</v>
      </c>
      <c r="E64" s="5" t="str">
        <f t="shared" si="14"/>
        <v>augmentSkillLevel1,5,</v>
      </c>
      <c r="F64" s="5" t="str">
        <f t="shared" si="15"/>
        <v>augmentSkillName1,records/skills/FrostKnightClass/frostbreath.dbr,</v>
      </c>
      <c r="G64" s="7">
        <f t="shared" si="10"/>
        <v>62</v>
      </c>
      <c r="H64" s="8" t="str">
        <f t="shared" si="11"/>
        <v>FrostKnight</v>
      </c>
      <c r="I64" s="3" t="s">
        <v>499</v>
      </c>
      <c r="J64" s="8" t="str">
        <f t="shared" si="23"/>
        <v>class0011</v>
      </c>
      <c r="K64" s="8" t="str">
        <f t="shared" si="23"/>
        <v>dailoneskill0011</v>
      </c>
      <c r="L64" s="5" t="str">
        <f t="shared" si="4"/>
        <v>lootName62,DAIL/items/materia/class0011/FrostKnight62.dbr,</v>
      </c>
      <c r="M64" s="5" t="str">
        <f t="shared" si="5"/>
        <v>lootWeight62,1,</v>
      </c>
      <c r="N64" t="str">
        <f t="shared" si="6"/>
        <v>5</v>
      </c>
      <c r="O64" t="str">
        <f t="shared" si="16"/>
        <v>copy .\dail_base3.dbr .\items\materia\class0011\FrostKnight62.dbr /y</v>
      </c>
      <c r="P64" t="str">
        <f t="shared" si="24"/>
        <v>echo relicBitmap,items/craftingparts/components/component_a52_bristlyfur_b.tex, &gt;&gt; .\items\materia\class0011\FrostKnight62.dbr</v>
      </c>
      <c r="Q64" t="str">
        <f t="shared" si="24"/>
        <v>echo itemCost,500000, &gt;&gt; .\items\materia\class0011\FrostKnight62.dbr</v>
      </c>
      <c r="R64" t="str">
        <f t="shared" si="24"/>
        <v>echo description,dailCompDescFrostKnight62, &gt;&gt; .\items\materia\class0011\FrostKnight62.dbr</v>
      </c>
      <c r="S64" t="str">
        <f t="shared" si="24"/>
        <v>echo itemText,dailCompTextFrostKnight62, &gt;&gt; .\items\materia\class0011\FrostKnight62.dbr</v>
      </c>
      <c r="T64" t="str">
        <f t="shared" si="24"/>
        <v>echo augmentSkillLevel1,5, &gt;&gt; .\items\materia\class0011\FrostKnight62.dbr</v>
      </c>
      <c r="U64" t="str">
        <f t="shared" si="24"/>
        <v>echo augmentSkillName1,records/skills/FrostKnightClass/frostbreath.dbr, &gt;&gt; .\items\materia\class0011\FrostKnight62.dbr</v>
      </c>
      <c r="V64" s="5" t="s">
        <v>36</v>
      </c>
      <c r="W64" t="str">
        <f t="shared" si="8"/>
        <v>echo lootName62,DAIL/items/materia/class0011/FrostKnight62.dbr, &gt;&gt; .\items\loottables\dailoneskill0011.dbr</v>
      </c>
      <c r="X64" t="str">
        <f t="shared" si="8"/>
        <v>echo lootWeight62,1, &gt;&gt; .\items\loottables\dailoneskill0011.dbr</v>
      </c>
      <c r="Y64" s="5" t="s">
        <v>36</v>
      </c>
      <c r="Z64" t="str">
        <f t="shared" si="9"/>
        <v xml:space="preserve"> dailCompDescFrostKnight62=^pFrostKnight's Gift of DAIL</v>
      </c>
      <c r="AA64" t="str">
        <f t="shared" si="17"/>
        <v>dailCompTextFrostKnight62=^oThis feels warm to the touch, almost familiar ^w(This component only fits into the Medal Slot)</v>
      </c>
      <c r="AB64" s="5" t="s">
        <v>36</v>
      </c>
      <c r="AH64">
        <f t="shared" si="19"/>
        <v>59</v>
      </c>
      <c r="AI64">
        <f t="shared" si="22"/>
        <v>33</v>
      </c>
      <c r="AJ64">
        <f t="shared" si="18"/>
        <v>5</v>
      </c>
    </row>
    <row r="65" spans="1:36" x14ac:dyDescent="0.25">
      <c r="A65" s="5" t="s">
        <v>39</v>
      </c>
      <c r="B65" s="5" t="s">
        <v>30</v>
      </c>
      <c r="C65" s="5" t="str">
        <f t="shared" si="0"/>
        <v>description,dailCompDescFrostKnight63,</v>
      </c>
      <c r="D65" s="5" t="str">
        <f t="shared" si="2"/>
        <v>itemText,dailCompTextFrostKnight63,</v>
      </c>
      <c r="E65" s="5" t="str">
        <f t="shared" si="14"/>
        <v>augmentSkillLevel1,5,</v>
      </c>
      <c r="F65" s="5" t="str">
        <f t="shared" si="15"/>
        <v>augmentSkillName1,records/skills/FrostKnightClass/pathoffrost.dbr,</v>
      </c>
      <c r="G65" s="7">
        <f t="shared" si="10"/>
        <v>63</v>
      </c>
      <c r="H65" s="8" t="str">
        <f t="shared" si="11"/>
        <v>FrostKnight</v>
      </c>
      <c r="I65" s="3" t="s">
        <v>500</v>
      </c>
      <c r="J65" s="8" t="str">
        <f t="shared" si="23"/>
        <v>class0011</v>
      </c>
      <c r="K65" s="8" t="str">
        <f t="shared" si="23"/>
        <v>dailoneskill0011</v>
      </c>
      <c r="L65" s="5" t="str">
        <f t="shared" si="4"/>
        <v>lootName63,DAIL/items/materia/class0011/FrostKnight63.dbr,</v>
      </c>
      <c r="M65" s="5" t="str">
        <f t="shared" si="5"/>
        <v>lootWeight63,1,</v>
      </c>
      <c r="N65" t="str">
        <f t="shared" si="6"/>
        <v>5</v>
      </c>
      <c r="O65" t="str">
        <f t="shared" si="16"/>
        <v>copy .\dail_base3.dbr .\items\materia\class0011\FrostKnight63.dbr /y</v>
      </c>
      <c r="P65" t="str">
        <f t="shared" si="24"/>
        <v>echo relicBitmap,items/craftingparts/components/component_a52_bristlyfur_b.tex, &gt;&gt; .\items\materia\class0011\FrostKnight63.dbr</v>
      </c>
      <c r="Q65" t="str">
        <f t="shared" si="24"/>
        <v>echo itemCost,500000, &gt;&gt; .\items\materia\class0011\FrostKnight63.dbr</v>
      </c>
      <c r="R65" t="str">
        <f t="shared" si="24"/>
        <v>echo description,dailCompDescFrostKnight63, &gt;&gt; .\items\materia\class0011\FrostKnight63.dbr</v>
      </c>
      <c r="S65" t="str">
        <f t="shared" si="24"/>
        <v>echo itemText,dailCompTextFrostKnight63, &gt;&gt; .\items\materia\class0011\FrostKnight63.dbr</v>
      </c>
      <c r="T65" t="str">
        <f t="shared" si="24"/>
        <v>echo augmentSkillLevel1,5, &gt;&gt; .\items\materia\class0011\FrostKnight63.dbr</v>
      </c>
      <c r="U65" t="str">
        <f t="shared" si="24"/>
        <v>echo augmentSkillName1,records/skills/FrostKnightClass/pathoffrost.dbr, &gt;&gt; .\items\materia\class0011\FrostKnight63.dbr</v>
      </c>
      <c r="V65" s="5" t="s">
        <v>36</v>
      </c>
      <c r="W65" t="str">
        <f t="shared" si="8"/>
        <v>echo lootName63,DAIL/items/materia/class0011/FrostKnight63.dbr, &gt;&gt; .\items\loottables\dailoneskill0011.dbr</v>
      </c>
      <c r="X65" t="str">
        <f t="shared" si="8"/>
        <v>echo lootWeight63,1, &gt;&gt; .\items\loottables\dailoneskill0011.dbr</v>
      </c>
      <c r="Y65" s="5" t="s">
        <v>36</v>
      </c>
      <c r="Z65" t="str">
        <f t="shared" si="9"/>
        <v xml:space="preserve"> dailCompDescFrostKnight63=^pFrostKnight's Gift of DAIL</v>
      </c>
      <c r="AA65" t="str">
        <f t="shared" si="17"/>
        <v>dailCompTextFrostKnight63=^oThis feels warm to the touch, almost familiar ^w(This component only fits into the Medal Slot)</v>
      </c>
      <c r="AB65" s="5" t="s">
        <v>36</v>
      </c>
      <c r="AH65">
        <f t="shared" si="19"/>
        <v>60</v>
      </c>
      <c r="AI65">
        <f t="shared" si="22"/>
        <v>33</v>
      </c>
      <c r="AJ65">
        <f t="shared" si="18"/>
        <v>5</v>
      </c>
    </row>
    <row r="66" spans="1:36" x14ac:dyDescent="0.25">
      <c r="A66" s="5" t="s">
        <v>39</v>
      </c>
      <c r="B66" s="5" t="s">
        <v>30</v>
      </c>
      <c r="C66" s="5" t="str">
        <f t="shared" si="0"/>
        <v>description,dailCompDescFrostKnight64,</v>
      </c>
      <c r="D66" s="5" t="str">
        <f t="shared" si="2"/>
        <v>itemText,dailCompTextFrostKnight64,</v>
      </c>
      <c r="E66" s="5" t="str">
        <f t="shared" si="14"/>
        <v>augmentSkillLevel1,5,</v>
      </c>
      <c r="F66" s="5" t="str">
        <f t="shared" si="15"/>
        <v>augmentSkillName1,records/skills/FrostKnightClass/lethality.dbr,</v>
      </c>
      <c r="G66" s="7">
        <f t="shared" si="10"/>
        <v>64</v>
      </c>
      <c r="H66" s="8" t="str">
        <f t="shared" si="11"/>
        <v>FrostKnight</v>
      </c>
      <c r="I66" s="3" t="s">
        <v>501</v>
      </c>
      <c r="J66" s="8" t="str">
        <f t="shared" si="23"/>
        <v>class0011</v>
      </c>
      <c r="K66" s="8" t="str">
        <f t="shared" si="23"/>
        <v>dailoneskill0011</v>
      </c>
      <c r="L66" s="5" t="str">
        <f t="shared" si="4"/>
        <v>lootName64,DAIL/items/materia/class0011/FrostKnight64.dbr,</v>
      </c>
      <c r="M66" s="5" t="str">
        <f t="shared" si="5"/>
        <v>lootWeight64,1,</v>
      </c>
      <c r="N66" t="str">
        <f t="shared" si="6"/>
        <v>5</v>
      </c>
      <c r="O66" t="str">
        <f t="shared" si="16"/>
        <v>copy .\dail_base3.dbr .\items\materia\class0011\FrostKnight64.dbr /y</v>
      </c>
      <c r="P66" t="str">
        <f t="shared" si="24"/>
        <v>echo relicBitmap,items/craftingparts/components/component_a52_bristlyfur_b.tex, &gt;&gt; .\items\materia\class0011\FrostKnight64.dbr</v>
      </c>
      <c r="Q66" t="str">
        <f t="shared" si="24"/>
        <v>echo itemCost,500000, &gt;&gt; .\items\materia\class0011\FrostKnight64.dbr</v>
      </c>
      <c r="R66" t="str">
        <f t="shared" si="24"/>
        <v>echo description,dailCompDescFrostKnight64, &gt;&gt; .\items\materia\class0011\FrostKnight64.dbr</v>
      </c>
      <c r="S66" t="str">
        <f t="shared" si="24"/>
        <v>echo itemText,dailCompTextFrostKnight64, &gt;&gt; .\items\materia\class0011\FrostKnight64.dbr</v>
      </c>
      <c r="T66" t="str">
        <f t="shared" si="24"/>
        <v>echo augmentSkillLevel1,5, &gt;&gt; .\items\materia\class0011\FrostKnight64.dbr</v>
      </c>
      <c r="U66" t="str">
        <f t="shared" si="24"/>
        <v>echo augmentSkillName1,records/skills/FrostKnightClass/lethality.dbr, &gt;&gt; .\items\materia\class0011\FrostKnight64.dbr</v>
      </c>
      <c r="V66" s="5" t="s">
        <v>36</v>
      </c>
      <c r="W66" t="str">
        <f t="shared" si="8"/>
        <v>echo lootName64,DAIL/items/materia/class0011/FrostKnight64.dbr, &gt;&gt; .\items\loottables\dailoneskill0011.dbr</v>
      </c>
      <c r="X66" t="str">
        <f t="shared" si="8"/>
        <v>echo lootWeight64,1, &gt;&gt; .\items\loottables\dailoneskill0011.dbr</v>
      </c>
      <c r="Y66" s="5" t="s">
        <v>36</v>
      </c>
      <c r="Z66" t="str">
        <f t="shared" si="9"/>
        <v xml:space="preserve"> dailCompDescFrostKnight64=^pFrostKnight's Gift of DAIL</v>
      </c>
      <c r="AA66" t="str">
        <f t="shared" si="17"/>
        <v>dailCompTextFrostKnight64=^oThis feels warm to the touch, almost familiar ^w(This component only fits into the Medal Slot)</v>
      </c>
      <c r="AB66" s="5" t="s">
        <v>36</v>
      </c>
      <c r="AH66">
        <f t="shared" si="19"/>
        <v>61</v>
      </c>
      <c r="AI66">
        <f t="shared" si="22"/>
        <v>31</v>
      </c>
      <c r="AJ66">
        <f t="shared" si="18"/>
        <v>5</v>
      </c>
    </row>
    <row r="67" spans="1:36" x14ac:dyDescent="0.25">
      <c r="A67" s="5" t="s">
        <v>39</v>
      </c>
      <c r="B67" s="5" t="s">
        <v>30</v>
      </c>
      <c r="C67" s="5" t="str">
        <f t="shared" ref="C67:C102" si="25">"description,dailCompDesc"&amp;H67&amp;G67&amp;","</f>
        <v>description,dailCompDescFrostKnight65,</v>
      </c>
      <c r="D67" s="5" t="str">
        <f t="shared" si="2"/>
        <v>itemText,dailCompTextFrostKnight65,</v>
      </c>
      <c r="E67" s="5" t="str">
        <f t="shared" si="14"/>
        <v>augmentSkillLevel1,5,</v>
      </c>
      <c r="F67" s="5" t="str">
        <f t="shared" si="15"/>
        <v>augmentSkillName1,records/skills/FrostKnightClass/glaciationwp.dbr,</v>
      </c>
      <c r="G67" s="7">
        <f t="shared" si="10"/>
        <v>65</v>
      </c>
      <c r="H67" s="8" t="str">
        <f t="shared" si="11"/>
        <v>FrostKnight</v>
      </c>
      <c r="I67" s="3" t="s">
        <v>502</v>
      </c>
      <c r="J67" s="8" t="str">
        <f t="shared" si="23"/>
        <v>class0011</v>
      </c>
      <c r="K67" s="8" t="str">
        <f t="shared" si="23"/>
        <v>dailoneskill0011</v>
      </c>
      <c r="L67" s="5" t="str">
        <f t="shared" si="4"/>
        <v>lootName65,DAIL/items/materia/class0011/FrostKnight65.dbr,</v>
      </c>
      <c r="M67" s="5" t="str">
        <f t="shared" si="5"/>
        <v>lootWeight65,1,</v>
      </c>
      <c r="N67" t="str">
        <f t="shared" si="6"/>
        <v>5</v>
      </c>
      <c r="O67" t="str">
        <f t="shared" si="16"/>
        <v>copy .\dail_base3.dbr .\items\materia\class0011\FrostKnight65.dbr /y</v>
      </c>
      <c r="P67" t="str">
        <f t="shared" si="24"/>
        <v>echo relicBitmap,items/craftingparts/components/component_a52_bristlyfur_b.tex, &gt;&gt; .\items\materia\class0011\FrostKnight65.dbr</v>
      </c>
      <c r="Q67" t="str">
        <f t="shared" si="24"/>
        <v>echo itemCost,500000, &gt;&gt; .\items\materia\class0011\FrostKnight65.dbr</v>
      </c>
      <c r="R67" t="str">
        <f t="shared" si="24"/>
        <v>echo description,dailCompDescFrostKnight65, &gt;&gt; .\items\materia\class0011\FrostKnight65.dbr</v>
      </c>
      <c r="S67" t="str">
        <f t="shared" si="24"/>
        <v>echo itemText,dailCompTextFrostKnight65, &gt;&gt; .\items\materia\class0011\FrostKnight65.dbr</v>
      </c>
      <c r="T67" t="str">
        <f t="shared" si="24"/>
        <v>echo augmentSkillLevel1,5, &gt;&gt; .\items\materia\class0011\FrostKnight65.dbr</v>
      </c>
      <c r="U67" t="str">
        <f t="shared" si="24"/>
        <v>echo augmentSkillName1,records/skills/FrostKnightClass/glaciationwp.dbr, &gt;&gt; .\items\materia\class0011\FrostKnight65.dbr</v>
      </c>
      <c r="V67" s="5" t="s">
        <v>36</v>
      </c>
      <c r="W67" t="str">
        <f t="shared" si="8"/>
        <v>echo lootName65,DAIL/items/materia/class0011/FrostKnight65.dbr, &gt;&gt; .\items\loottables\dailoneskill0011.dbr</v>
      </c>
      <c r="X67" t="str">
        <f t="shared" si="8"/>
        <v>echo lootWeight65,1, &gt;&gt; .\items\loottables\dailoneskill0011.dbr</v>
      </c>
      <c r="Y67" s="5" t="s">
        <v>36</v>
      </c>
      <c r="Z67" t="str">
        <f t="shared" si="9"/>
        <v xml:space="preserve"> dailCompDescFrostKnight65=^pFrostKnight's Gift of DAIL</v>
      </c>
      <c r="AA67" t="str">
        <f t="shared" si="17"/>
        <v>dailCompTextFrostKnight65=^oThis feels warm to the touch, almost familiar ^w(This component only fits into the Medal Slot)</v>
      </c>
      <c r="AB67" s="5" t="s">
        <v>36</v>
      </c>
      <c r="AH67">
        <f t="shared" si="19"/>
        <v>62</v>
      </c>
      <c r="AI67">
        <f t="shared" si="22"/>
        <v>34</v>
      </c>
      <c r="AJ67">
        <f t="shared" si="18"/>
        <v>5</v>
      </c>
    </row>
    <row r="68" spans="1:36" x14ac:dyDescent="0.25">
      <c r="A68" s="5" t="s">
        <v>39</v>
      </c>
      <c r="B68" s="5" t="s">
        <v>30</v>
      </c>
      <c r="C68" s="5" t="str">
        <f t="shared" si="25"/>
        <v>description,dailCompDescFrostKnight66,</v>
      </c>
      <c r="D68" s="5" t="str">
        <f t="shared" ref="D68:D102" si="26">"itemText,dailCompText"&amp;H68&amp;G68&amp;","</f>
        <v>itemText,dailCompTextFrostKnight66,</v>
      </c>
      <c r="E68" s="5" t="str">
        <f t="shared" si="14"/>
        <v>augmentSkillLevel1,5,</v>
      </c>
      <c r="F68" s="5" t="str">
        <f t="shared" si="15"/>
        <v>augmentSkillName1,records/skills/FrostKnightClass/glaciation_mod.dbr,</v>
      </c>
      <c r="G68" s="7">
        <f t="shared" si="10"/>
        <v>66</v>
      </c>
      <c r="H68" s="8" t="str">
        <f t="shared" si="11"/>
        <v>FrostKnight</v>
      </c>
      <c r="I68" s="3" t="s">
        <v>503</v>
      </c>
      <c r="J68" s="8" t="str">
        <f t="shared" si="23"/>
        <v>class0011</v>
      </c>
      <c r="K68" s="8" t="str">
        <f t="shared" si="23"/>
        <v>dailoneskill0011</v>
      </c>
      <c r="L68" s="5" t="str">
        <f t="shared" ref="L68:L102" si="27">"lootName"&amp;G68&amp;",DAIL/items/materia/"&amp;J68&amp;"/"&amp;H68&amp;G68&amp;".dbr"&amp;","</f>
        <v>lootName66,DAIL/items/materia/class0011/FrostKnight66.dbr,</v>
      </c>
      <c r="M68" s="5" t="str">
        <f t="shared" ref="M68:M102" si="28">"lootWeight"&amp;G68&amp;",1,"</f>
        <v>lootWeight66,1,</v>
      </c>
      <c r="N68" t="str">
        <f t="shared" ref="N68:N102" si="29">LEFT(RIGHT(E68,2),1)</f>
        <v>5</v>
      </c>
      <c r="O68" t="str">
        <f t="shared" si="16"/>
        <v>copy .\dail_base3.dbr .\items\materia\class0011\FrostKnight66.dbr /y</v>
      </c>
      <c r="P68" t="str">
        <f t="shared" si="24"/>
        <v>echo relicBitmap,items/craftingparts/components/component_a52_bristlyfur_b.tex, &gt;&gt; .\items\materia\class0011\FrostKnight66.dbr</v>
      </c>
      <c r="Q68" t="str">
        <f t="shared" si="24"/>
        <v>echo itemCost,500000, &gt;&gt; .\items\materia\class0011\FrostKnight66.dbr</v>
      </c>
      <c r="R68" t="str">
        <f t="shared" si="24"/>
        <v>echo description,dailCompDescFrostKnight66, &gt;&gt; .\items\materia\class0011\FrostKnight66.dbr</v>
      </c>
      <c r="S68" t="str">
        <f t="shared" si="24"/>
        <v>echo itemText,dailCompTextFrostKnight66, &gt;&gt; .\items\materia\class0011\FrostKnight66.dbr</v>
      </c>
      <c r="T68" t="str">
        <f t="shared" si="24"/>
        <v>echo augmentSkillLevel1,5, &gt;&gt; .\items\materia\class0011\FrostKnight66.dbr</v>
      </c>
      <c r="U68" t="str">
        <f t="shared" si="24"/>
        <v>echo augmentSkillName1,records/skills/FrostKnightClass/glaciation_mod.dbr, &gt;&gt; .\items\materia\class0011\FrostKnight66.dbr</v>
      </c>
      <c r="V68" s="5" t="s">
        <v>36</v>
      </c>
      <c r="W68" t="str">
        <f t="shared" ref="W68:X102" si="30">IF($I68&lt;&gt;"","echo "&amp;L68&amp;" &gt;&gt; .\items\loottables\"&amp;$K68&amp;".dbr","")</f>
        <v>echo lootName66,DAIL/items/materia/class0011/FrostKnight66.dbr, &gt;&gt; .\items\loottables\dailoneskill0011.dbr</v>
      </c>
      <c r="X68" t="str">
        <f t="shared" si="30"/>
        <v>echo lootWeight66,1, &gt;&gt; .\items\loottables\dailoneskill0011.dbr</v>
      </c>
      <c r="Y68" s="5" t="s">
        <v>36</v>
      </c>
      <c r="Z68" t="str">
        <f t="shared" ref="Z68:Z102" si="31">IF(I67&lt;&gt;""," dailCompDesc"&amp;H68&amp;G68&amp;"=^p"&amp;H68&amp;"'s Gift of DAIL","")</f>
        <v xml:space="preserve"> dailCompDescFrostKnight66=^pFrostKnight's Gift of DAIL</v>
      </c>
      <c r="AA68" t="str">
        <f t="shared" si="17"/>
        <v>dailCompTextFrostKnight66=^oThis feels warm to the touch, almost familiar ^w(This component only fits into the Medal Slot)</v>
      </c>
      <c r="AB68" s="5" t="s">
        <v>36</v>
      </c>
      <c r="AH68">
        <f t="shared" si="19"/>
        <v>63</v>
      </c>
      <c r="AI68">
        <f t="shared" si="22"/>
        <v>36</v>
      </c>
      <c r="AJ68">
        <f t="shared" si="18"/>
        <v>5</v>
      </c>
    </row>
    <row r="69" spans="1:36" x14ac:dyDescent="0.25">
      <c r="A69" s="5" t="s">
        <v>39</v>
      </c>
      <c r="B69" s="5" t="s">
        <v>30</v>
      </c>
      <c r="C69" s="5" t="str">
        <f t="shared" si="25"/>
        <v>description,dailCompDescFrostKnight67,</v>
      </c>
      <c r="D69" s="5" t="str">
        <f t="shared" si="26"/>
        <v>itemText,dailCompTextFrostKnight67,</v>
      </c>
      <c r="E69" s="5" t="str">
        <f t="shared" si="14"/>
        <v>augmentSkillLevel1,5,</v>
      </c>
      <c r="F69" s="5" t="str">
        <f t="shared" si="15"/>
        <v>augmentSkillName1,records/skills/FrostKnightClass/wintersgift.dbr,</v>
      </c>
      <c r="G69" s="7">
        <f t="shared" ref="G69:G102" si="32">IF(I69&lt;&gt;"",G68+1,"")</f>
        <v>67</v>
      </c>
      <c r="H69" s="8" t="str">
        <f t="shared" ref="H69:H102" si="33">H68</f>
        <v>FrostKnight</v>
      </c>
      <c r="I69" s="3" t="s">
        <v>504</v>
      </c>
      <c r="J69" s="8" t="str">
        <f t="shared" ref="J69:K84" si="34">J68</f>
        <v>class0011</v>
      </c>
      <c r="K69" s="8" t="str">
        <f t="shared" si="34"/>
        <v>dailoneskill0011</v>
      </c>
      <c r="L69" s="5" t="str">
        <f t="shared" si="27"/>
        <v>lootName67,DAIL/items/materia/class0011/FrostKnight67.dbr,</v>
      </c>
      <c r="M69" s="5" t="str">
        <f t="shared" si="28"/>
        <v>lootWeight67,1,</v>
      </c>
      <c r="N69" t="str">
        <f t="shared" si="29"/>
        <v>5</v>
      </c>
      <c r="O69" t="str">
        <f t="shared" si="16"/>
        <v>copy .\dail_base3.dbr .\items\materia\class0011\FrostKnight67.dbr /y</v>
      </c>
      <c r="P69" t="str">
        <f t="shared" si="24"/>
        <v>echo relicBitmap,items/craftingparts/components/component_a52_bristlyfur_b.tex, &gt;&gt; .\items\materia\class0011\FrostKnight67.dbr</v>
      </c>
      <c r="Q69" t="str">
        <f t="shared" si="24"/>
        <v>echo itemCost,500000, &gt;&gt; .\items\materia\class0011\FrostKnight67.dbr</v>
      </c>
      <c r="R69" t="str">
        <f t="shared" si="24"/>
        <v>echo description,dailCompDescFrostKnight67, &gt;&gt; .\items\materia\class0011\FrostKnight67.dbr</v>
      </c>
      <c r="S69" t="str">
        <f t="shared" si="24"/>
        <v>echo itemText,dailCompTextFrostKnight67, &gt;&gt; .\items\materia\class0011\FrostKnight67.dbr</v>
      </c>
      <c r="T69" t="str">
        <f t="shared" si="24"/>
        <v>echo augmentSkillLevel1,5, &gt;&gt; .\items\materia\class0011\FrostKnight67.dbr</v>
      </c>
      <c r="U69" t="str">
        <f t="shared" si="24"/>
        <v>echo augmentSkillName1,records/skills/FrostKnightClass/wintersgift.dbr, &gt;&gt; .\items\materia\class0011\FrostKnight67.dbr</v>
      </c>
      <c r="V69" s="5" t="s">
        <v>36</v>
      </c>
      <c r="W69" t="str">
        <f t="shared" si="30"/>
        <v>echo lootName67,DAIL/items/materia/class0011/FrostKnight67.dbr, &gt;&gt; .\items\loottables\dailoneskill0011.dbr</v>
      </c>
      <c r="X69" t="str">
        <f t="shared" si="30"/>
        <v>echo lootWeight67,1, &gt;&gt; .\items\loottables\dailoneskill0011.dbr</v>
      </c>
      <c r="Y69" s="5" t="s">
        <v>36</v>
      </c>
      <c r="Z69" t="str">
        <f t="shared" si="31"/>
        <v xml:space="preserve"> dailCompDescFrostKnight67=^pFrostKnight's Gift of DAIL</v>
      </c>
      <c r="AA69" t="str">
        <f t="shared" si="17"/>
        <v>dailCompTextFrostKnight67=^oThis feels warm to the touch, almost familiar ^w(This component only fits into the Medal Slot)</v>
      </c>
      <c r="AB69" s="5" t="s">
        <v>36</v>
      </c>
      <c r="AH69">
        <f t="shared" si="19"/>
        <v>64</v>
      </c>
      <c r="AI69">
        <f t="shared" si="22"/>
        <v>33</v>
      </c>
      <c r="AJ69">
        <f t="shared" si="18"/>
        <v>5</v>
      </c>
    </row>
    <row r="70" spans="1:36" x14ac:dyDescent="0.25">
      <c r="A70" s="5" t="s">
        <v>39</v>
      </c>
      <c r="B70" s="5" t="s">
        <v>30</v>
      </c>
      <c r="C70" s="5" t="str">
        <f t="shared" si="25"/>
        <v>description,dailCompDescFrostKnight68,</v>
      </c>
      <c r="D70" s="5" t="str">
        <f t="shared" si="26"/>
        <v>itemText,dailCompTextFrostKnight68,</v>
      </c>
      <c r="E70" s="5" t="str">
        <f t="shared" si="14"/>
        <v>augmentSkillLevel1,5,</v>
      </c>
      <c r="F70" s="5" t="str">
        <f t="shared" si="15"/>
        <v>augmentSkillName1,records/skills/FrostKnightClass/wintersgift_mod.dbr,</v>
      </c>
      <c r="G70" s="7">
        <f t="shared" si="32"/>
        <v>68</v>
      </c>
      <c r="H70" s="8" t="str">
        <f t="shared" si="33"/>
        <v>FrostKnight</v>
      </c>
      <c r="I70" s="3" t="s">
        <v>505</v>
      </c>
      <c r="J70" s="8" t="str">
        <f t="shared" si="34"/>
        <v>class0011</v>
      </c>
      <c r="K70" s="8" t="str">
        <f t="shared" si="34"/>
        <v>dailoneskill0011</v>
      </c>
      <c r="L70" s="5" t="str">
        <f t="shared" si="27"/>
        <v>lootName68,DAIL/items/materia/class0011/FrostKnight68.dbr,</v>
      </c>
      <c r="M70" s="5" t="str">
        <f t="shared" si="28"/>
        <v>lootWeight68,1,</v>
      </c>
      <c r="N70" t="str">
        <f t="shared" si="29"/>
        <v>5</v>
      </c>
      <c r="O70" t="str">
        <f t="shared" si="16"/>
        <v>copy .\dail_base3.dbr .\items\materia\class0011\FrostKnight68.dbr /y</v>
      </c>
      <c r="P70" t="str">
        <f t="shared" si="24"/>
        <v>echo relicBitmap,items/craftingparts/components/component_a52_bristlyfur_b.tex, &gt;&gt; .\items\materia\class0011\FrostKnight68.dbr</v>
      </c>
      <c r="Q70" t="str">
        <f t="shared" si="24"/>
        <v>echo itemCost,500000, &gt;&gt; .\items\materia\class0011\FrostKnight68.dbr</v>
      </c>
      <c r="R70" t="str">
        <f t="shared" si="24"/>
        <v>echo description,dailCompDescFrostKnight68, &gt;&gt; .\items\materia\class0011\FrostKnight68.dbr</v>
      </c>
      <c r="S70" t="str">
        <f t="shared" si="24"/>
        <v>echo itemText,dailCompTextFrostKnight68, &gt;&gt; .\items\materia\class0011\FrostKnight68.dbr</v>
      </c>
      <c r="T70" t="str">
        <f t="shared" si="24"/>
        <v>echo augmentSkillLevel1,5, &gt;&gt; .\items\materia\class0011\FrostKnight68.dbr</v>
      </c>
      <c r="U70" t="str">
        <f t="shared" si="24"/>
        <v>echo augmentSkillName1,records/skills/FrostKnightClass/wintersgift_mod.dbr, &gt;&gt; .\items\materia\class0011\FrostKnight68.dbr</v>
      </c>
      <c r="V70" s="5" t="s">
        <v>36</v>
      </c>
      <c r="W70" t="str">
        <f t="shared" si="30"/>
        <v>echo lootName68,DAIL/items/materia/class0011/FrostKnight68.dbr, &gt;&gt; .\items\loottables\dailoneskill0011.dbr</v>
      </c>
      <c r="X70" t="str">
        <f t="shared" si="30"/>
        <v>echo lootWeight68,1, &gt;&gt; .\items\loottables\dailoneskill0011.dbr</v>
      </c>
      <c r="Y70" s="5" t="s">
        <v>36</v>
      </c>
      <c r="Z70" t="str">
        <f t="shared" si="31"/>
        <v xml:space="preserve"> dailCompDescFrostKnight68=^pFrostKnight's Gift of DAIL</v>
      </c>
      <c r="AA70" t="str">
        <f t="shared" si="17"/>
        <v>dailCompTextFrostKnight68=^oThis feels warm to the touch, almost familiar ^w(This component only fits into the Medal Slot)</v>
      </c>
      <c r="AB70" s="5" t="s">
        <v>36</v>
      </c>
      <c r="AH70">
        <f t="shared" si="19"/>
        <v>65</v>
      </c>
      <c r="AI70">
        <f t="shared" ref="AI70:AI102" si="35">LEN(I70)</f>
        <v>37</v>
      </c>
      <c r="AJ70">
        <f t="shared" si="18"/>
        <v>5</v>
      </c>
    </row>
    <row r="71" spans="1:36" x14ac:dyDescent="0.25">
      <c r="A71" s="5" t="s">
        <v>39</v>
      </c>
      <c r="B71" s="5" t="s">
        <v>30</v>
      </c>
      <c r="C71" s="5" t="str">
        <f t="shared" si="25"/>
        <v>description,dailCompDescFrostKnight69,</v>
      </c>
      <c r="D71" s="5" t="str">
        <f t="shared" si="26"/>
        <v>itemText,dailCompTextFrostKnight69,</v>
      </c>
      <c r="E71" s="5" t="str">
        <f t="shared" ref="E71:E102" si="36">"augmentSkillLevel1,"&amp;AJ71&amp;","</f>
        <v>augmentSkillLevel1,5,</v>
      </c>
      <c r="F71" s="5" t="str">
        <f t="shared" ref="F71:F102" si="37">"augmentSkillName1,records/skills"&amp;I71&amp;","</f>
        <v>augmentSkillName1,records/skills/FrostKnightClass/coldblood.dbr,</v>
      </c>
      <c r="G71" s="7">
        <f t="shared" si="32"/>
        <v>69</v>
      </c>
      <c r="H71" s="8" t="str">
        <f t="shared" si="33"/>
        <v>FrostKnight</v>
      </c>
      <c r="I71" s="3" t="s">
        <v>506</v>
      </c>
      <c r="J71" s="8" t="str">
        <f t="shared" si="34"/>
        <v>class0011</v>
      </c>
      <c r="K71" s="8" t="str">
        <f t="shared" si="34"/>
        <v>dailoneskill0011</v>
      </c>
      <c r="L71" s="5" t="str">
        <f t="shared" si="27"/>
        <v>lootName69,DAIL/items/materia/class0011/FrostKnight69.dbr,</v>
      </c>
      <c r="M71" s="5" t="str">
        <f t="shared" si="28"/>
        <v>lootWeight69,1,</v>
      </c>
      <c r="N71" t="str">
        <f t="shared" si="29"/>
        <v>5</v>
      </c>
      <c r="O71" t="str">
        <f t="shared" ref="O71:O102" si="38">IF(I71&lt;&gt;"","copy .\"&amp;VLOOKUP(VALUE(N71),$AD$3:$AF$5,2,FALSE)&amp;" .\items\materia\"&amp;J71&amp;"\"&amp;H71&amp;G71&amp;".dbr /y"&amp;"","")</f>
        <v>copy .\dail_base3.dbr .\items\materia\class0011\FrostKnight69.dbr /y</v>
      </c>
      <c r="P71" t="str">
        <f t="shared" si="24"/>
        <v>echo relicBitmap,items/craftingparts/components/component_a52_bristlyfur_b.tex, &gt;&gt; .\items\materia\class0011\FrostKnight69.dbr</v>
      </c>
      <c r="Q71" t="str">
        <f t="shared" si="24"/>
        <v>echo itemCost,500000, &gt;&gt; .\items\materia\class0011\FrostKnight69.dbr</v>
      </c>
      <c r="R71" t="str">
        <f t="shared" si="24"/>
        <v>echo description,dailCompDescFrostKnight69, &gt;&gt; .\items\materia\class0011\FrostKnight69.dbr</v>
      </c>
      <c r="S71" t="str">
        <f t="shared" si="24"/>
        <v>echo itemText,dailCompTextFrostKnight69, &gt;&gt; .\items\materia\class0011\FrostKnight69.dbr</v>
      </c>
      <c r="T71" t="str">
        <f t="shared" si="24"/>
        <v>echo augmentSkillLevel1,5, &gt;&gt; .\items\materia\class0011\FrostKnight69.dbr</v>
      </c>
      <c r="U71" t="str">
        <f t="shared" si="24"/>
        <v>echo augmentSkillName1,records/skills/FrostKnightClass/coldblood.dbr, &gt;&gt; .\items\materia\class0011\FrostKnight69.dbr</v>
      </c>
      <c r="V71" s="5" t="s">
        <v>36</v>
      </c>
      <c r="W71" t="str">
        <f t="shared" si="30"/>
        <v>echo lootName69,DAIL/items/materia/class0011/FrostKnight69.dbr, &gt;&gt; .\items\loottables\dailoneskill0011.dbr</v>
      </c>
      <c r="X71" t="str">
        <f t="shared" si="30"/>
        <v>echo lootWeight69,1, &gt;&gt; .\items\loottables\dailoneskill0011.dbr</v>
      </c>
      <c r="Y71" s="5" t="s">
        <v>36</v>
      </c>
      <c r="Z71" t="str">
        <f t="shared" si="31"/>
        <v xml:space="preserve"> dailCompDescFrostKnight69=^pFrostKnight's Gift of DAIL</v>
      </c>
      <c r="AA71" t="str">
        <f t="shared" ref="AA71:AA102" si="39">IF(I70&lt;&gt;"","dailCompText"&amp;H71&amp;G71&amp;"=^oThis feels warm to the touch, almost familiar ^w("&amp;VLOOKUP(VALUE(N71),$AD$3:$AF$5,3,FALSE)&amp;")","")</f>
        <v>dailCompTextFrostKnight69=^oThis feels warm to the touch, almost familiar ^w(This component only fits into the Medal Slot)</v>
      </c>
      <c r="AB71" s="5" t="s">
        <v>36</v>
      </c>
      <c r="AH71">
        <f t="shared" si="19"/>
        <v>66</v>
      </c>
      <c r="AI71">
        <f t="shared" si="35"/>
        <v>31</v>
      </c>
      <c r="AJ71">
        <f t="shared" ref="AJ71:AJ102" si="40">IF(AH71&lt;$AL$7,1,IF(AH71&lt;$AL$8,3,5))</f>
        <v>5</v>
      </c>
    </row>
    <row r="72" spans="1:36" x14ac:dyDescent="0.25">
      <c r="A72" s="5" t="s">
        <v>39</v>
      </c>
      <c r="B72" s="5" t="s">
        <v>30</v>
      </c>
      <c r="C72" s="5" t="str">
        <f t="shared" si="25"/>
        <v>description,dailCompDescFrostKnight70,</v>
      </c>
      <c r="D72" s="5" t="str">
        <f t="shared" si="26"/>
        <v>itemText,dailCompTextFrostKnight70,</v>
      </c>
      <c r="E72" s="5" t="str">
        <f t="shared" si="36"/>
        <v>augmentSkillLevel1,5,</v>
      </c>
      <c r="F72" s="5" t="str">
        <f t="shared" si="37"/>
        <v>augmentSkillName1,records/skills/FrostKnightClass/heartofice.dbr,</v>
      </c>
      <c r="G72" s="7">
        <f t="shared" si="32"/>
        <v>70</v>
      </c>
      <c r="H72" s="8" t="str">
        <f t="shared" si="33"/>
        <v>FrostKnight</v>
      </c>
      <c r="I72" s="3" t="s">
        <v>507</v>
      </c>
      <c r="J72" s="8" t="str">
        <f t="shared" si="34"/>
        <v>class0011</v>
      </c>
      <c r="K72" s="8" t="str">
        <f t="shared" si="34"/>
        <v>dailoneskill0011</v>
      </c>
      <c r="L72" s="5" t="str">
        <f t="shared" si="27"/>
        <v>lootName70,DAIL/items/materia/class0011/FrostKnight70.dbr,</v>
      </c>
      <c r="M72" s="5" t="str">
        <f t="shared" si="28"/>
        <v>lootWeight70,1,</v>
      </c>
      <c r="N72" t="str">
        <f t="shared" si="29"/>
        <v>5</v>
      </c>
      <c r="O72" t="str">
        <f t="shared" si="38"/>
        <v>copy .\dail_base3.dbr .\items\materia\class0011\FrostKnight70.dbr /y</v>
      </c>
      <c r="P72" t="str">
        <f t="shared" si="24"/>
        <v>echo relicBitmap,items/craftingparts/components/component_a52_bristlyfur_b.tex, &gt;&gt; .\items\materia\class0011\FrostKnight70.dbr</v>
      </c>
      <c r="Q72" t="str">
        <f t="shared" si="24"/>
        <v>echo itemCost,500000, &gt;&gt; .\items\materia\class0011\FrostKnight70.dbr</v>
      </c>
      <c r="R72" t="str">
        <f t="shared" si="24"/>
        <v>echo description,dailCompDescFrostKnight70, &gt;&gt; .\items\materia\class0011\FrostKnight70.dbr</v>
      </c>
      <c r="S72" t="str">
        <f t="shared" si="24"/>
        <v>echo itemText,dailCompTextFrostKnight70, &gt;&gt; .\items\materia\class0011\FrostKnight70.dbr</v>
      </c>
      <c r="T72" t="str">
        <f t="shared" si="24"/>
        <v>echo augmentSkillLevel1,5, &gt;&gt; .\items\materia\class0011\FrostKnight70.dbr</v>
      </c>
      <c r="U72" t="str">
        <f t="shared" si="24"/>
        <v>echo augmentSkillName1,records/skills/FrostKnightClass/heartofice.dbr, &gt;&gt; .\items\materia\class0011\FrostKnight70.dbr</v>
      </c>
      <c r="V72" s="5" t="s">
        <v>36</v>
      </c>
      <c r="W72" t="str">
        <f t="shared" si="30"/>
        <v>echo lootName70,DAIL/items/materia/class0011/FrostKnight70.dbr, &gt;&gt; .\items\loottables\dailoneskill0011.dbr</v>
      </c>
      <c r="X72" t="str">
        <f t="shared" si="30"/>
        <v>echo lootWeight70,1, &gt;&gt; .\items\loottables\dailoneskill0011.dbr</v>
      </c>
      <c r="Y72" s="5" t="s">
        <v>36</v>
      </c>
      <c r="Z72" t="str">
        <f t="shared" si="31"/>
        <v xml:space="preserve"> dailCompDescFrostKnight70=^pFrostKnight's Gift of DAIL</v>
      </c>
      <c r="AA72" t="str">
        <f t="shared" si="39"/>
        <v>dailCompTextFrostKnight70=^oThis feels warm to the touch, almost familiar ^w(This component only fits into the Medal Slot)</v>
      </c>
      <c r="AB72" s="5" t="s">
        <v>36</v>
      </c>
      <c r="AH72">
        <f t="shared" ref="AH72:AH102" si="41">AH71+1</f>
        <v>67</v>
      </c>
      <c r="AI72">
        <f t="shared" si="35"/>
        <v>32</v>
      </c>
      <c r="AJ72">
        <f t="shared" si="40"/>
        <v>5</v>
      </c>
    </row>
    <row r="73" spans="1:36" x14ac:dyDescent="0.25">
      <c r="A73" s="5" t="s">
        <v>39</v>
      </c>
      <c r="B73" s="5" t="s">
        <v>30</v>
      </c>
      <c r="C73" s="5" t="str">
        <f t="shared" si="25"/>
        <v>description,dailCompDescFrostKnight71,</v>
      </c>
      <c r="D73" s="5" t="str">
        <f t="shared" si="26"/>
        <v>itemText,dailCompTextFrostKnight71,</v>
      </c>
      <c r="E73" s="5" t="str">
        <f t="shared" si="36"/>
        <v>augmentSkillLevel1,5,</v>
      </c>
      <c r="F73" s="5" t="str">
        <f t="shared" si="37"/>
        <v>augmentSkillName1,records/skills/FrostKnightClass/coldsnap.dbr,</v>
      </c>
      <c r="G73" s="7">
        <f t="shared" si="32"/>
        <v>71</v>
      </c>
      <c r="H73" s="8" t="str">
        <f t="shared" si="33"/>
        <v>FrostKnight</v>
      </c>
      <c r="I73" s="3" t="s">
        <v>508</v>
      </c>
      <c r="J73" s="8" t="str">
        <f t="shared" si="34"/>
        <v>class0011</v>
      </c>
      <c r="K73" s="8" t="str">
        <f t="shared" si="34"/>
        <v>dailoneskill0011</v>
      </c>
      <c r="L73" s="5" t="str">
        <f t="shared" si="27"/>
        <v>lootName71,DAIL/items/materia/class0011/FrostKnight71.dbr,</v>
      </c>
      <c r="M73" s="5" t="str">
        <f t="shared" si="28"/>
        <v>lootWeight71,1,</v>
      </c>
      <c r="N73" t="str">
        <f t="shared" si="29"/>
        <v>5</v>
      </c>
      <c r="O73" t="str">
        <f t="shared" si="38"/>
        <v>copy .\dail_base3.dbr .\items\materia\class0011\FrostKnight71.dbr /y</v>
      </c>
      <c r="P73" t="str">
        <f t="shared" si="24"/>
        <v>echo relicBitmap,items/craftingparts/components/component_a52_bristlyfur_b.tex, &gt;&gt; .\items\materia\class0011\FrostKnight71.dbr</v>
      </c>
      <c r="Q73" t="str">
        <f t="shared" si="24"/>
        <v>echo itemCost,500000, &gt;&gt; .\items\materia\class0011\FrostKnight71.dbr</v>
      </c>
      <c r="R73" t="str">
        <f t="shared" si="24"/>
        <v>echo description,dailCompDescFrostKnight71, &gt;&gt; .\items\materia\class0011\FrostKnight71.dbr</v>
      </c>
      <c r="S73" t="str">
        <f t="shared" si="24"/>
        <v>echo itemText,dailCompTextFrostKnight71, &gt;&gt; .\items\materia\class0011\FrostKnight71.dbr</v>
      </c>
      <c r="T73" t="str">
        <f t="shared" si="24"/>
        <v>echo augmentSkillLevel1,5, &gt;&gt; .\items\materia\class0011\FrostKnight71.dbr</v>
      </c>
      <c r="U73" t="str">
        <f t="shared" si="24"/>
        <v>echo augmentSkillName1,records/skills/FrostKnightClass/coldsnap.dbr, &gt;&gt; .\items\materia\class0011\FrostKnight71.dbr</v>
      </c>
      <c r="V73" s="5" t="s">
        <v>36</v>
      </c>
      <c r="W73" t="str">
        <f t="shared" si="30"/>
        <v>echo lootName71,DAIL/items/materia/class0011/FrostKnight71.dbr, &gt;&gt; .\items\loottables\dailoneskill0011.dbr</v>
      </c>
      <c r="X73" t="str">
        <f t="shared" si="30"/>
        <v>echo lootWeight71,1, &gt;&gt; .\items\loottables\dailoneskill0011.dbr</v>
      </c>
      <c r="Y73" s="5" t="s">
        <v>36</v>
      </c>
      <c r="Z73" t="str">
        <f t="shared" si="31"/>
        <v xml:space="preserve"> dailCompDescFrostKnight71=^pFrostKnight's Gift of DAIL</v>
      </c>
      <c r="AA73" t="str">
        <f t="shared" si="39"/>
        <v>dailCompTextFrostKnight71=^oThis feels warm to the touch, almost familiar ^w(This component only fits into the Medal Slot)</v>
      </c>
      <c r="AB73" s="5" t="s">
        <v>36</v>
      </c>
      <c r="AH73">
        <f t="shared" si="41"/>
        <v>68</v>
      </c>
      <c r="AI73">
        <f t="shared" si="35"/>
        <v>30</v>
      </c>
      <c r="AJ73">
        <f t="shared" si="40"/>
        <v>5</v>
      </c>
    </row>
    <row r="74" spans="1:36" x14ac:dyDescent="0.25">
      <c r="A74" s="5" t="s">
        <v>39</v>
      </c>
      <c r="B74" s="5" t="s">
        <v>30</v>
      </c>
      <c r="C74" s="5" t="str">
        <f t="shared" si="25"/>
        <v>description,dailCompDescFrostKnight72,</v>
      </c>
      <c r="D74" s="5" t="str">
        <f t="shared" si="26"/>
        <v>itemText,dailCompTextFrostKnight72,</v>
      </c>
      <c r="E74" s="5" t="str">
        <f t="shared" si="36"/>
        <v>augmentSkillLevel1,5,</v>
      </c>
      <c r="F74" s="5" t="str">
        <f t="shared" si="37"/>
        <v>augmentSkillName1,records/skills/FrostKnightClass/frostshell.dbr,</v>
      </c>
      <c r="G74" s="7">
        <f t="shared" si="32"/>
        <v>72</v>
      </c>
      <c r="H74" s="8" t="str">
        <f t="shared" si="33"/>
        <v>FrostKnight</v>
      </c>
      <c r="I74" s="3" t="s">
        <v>509</v>
      </c>
      <c r="J74" s="8" t="str">
        <f t="shared" si="34"/>
        <v>class0011</v>
      </c>
      <c r="K74" s="8" t="str">
        <f t="shared" si="34"/>
        <v>dailoneskill0011</v>
      </c>
      <c r="L74" s="5" t="str">
        <f t="shared" si="27"/>
        <v>lootName72,DAIL/items/materia/class0011/FrostKnight72.dbr,</v>
      </c>
      <c r="M74" s="5" t="str">
        <f t="shared" si="28"/>
        <v>lootWeight72,1,</v>
      </c>
      <c r="N74" t="str">
        <f t="shared" si="29"/>
        <v>5</v>
      </c>
      <c r="O74" t="str">
        <f t="shared" si="38"/>
        <v>copy .\dail_base3.dbr .\items\materia\class0011\FrostKnight72.dbr /y</v>
      </c>
      <c r="P74" t="str">
        <f t="shared" si="24"/>
        <v>echo relicBitmap,items/craftingparts/components/component_a52_bristlyfur_b.tex, &gt;&gt; .\items\materia\class0011\FrostKnight72.dbr</v>
      </c>
      <c r="Q74" t="str">
        <f t="shared" si="24"/>
        <v>echo itemCost,500000, &gt;&gt; .\items\materia\class0011\FrostKnight72.dbr</v>
      </c>
      <c r="R74" t="str">
        <f t="shared" si="24"/>
        <v>echo description,dailCompDescFrostKnight72, &gt;&gt; .\items\materia\class0011\FrostKnight72.dbr</v>
      </c>
      <c r="S74" t="str">
        <f t="shared" si="24"/>
        <v>echo itemText,dailCompTextFrostKnight72, &gt;&gt; .\items\materia\class0011\FrostKnight72.dbr</v>
      </c>
      <c r="T74" t="str">
        <f t="shared" si="24"/>
        <v>echo augmentSkillLevel1,5, &gt;&gt; .\items\materia\class0011\FrostKnight72.dbr</v>
      </c>
      <c r="U74" t="str">
        <f t="shared" si="24"/>
        <v>echo augmentSkillName1,records/skills/FrostKnightClass/frostshell.dbr, &gt;&gt; .\items\materia\class0011\FrostKnight72.dbr</v>
      </c>
      <c r="V74" s="5" t="s">
        <v>36</v>
      </c>
      <c r="W74" t="str">
        <f t="shared" si="30"/>
        <v>echo lootName72,DAIL/items/materia/class0011/FrostKnight72.dbr, &gt;&gt; .\items\loottables\dailoneskill0011.dbr</v>
      </c>
      <c r="X74" t="str">
        <f t="shared" si="30"/>
        <v>echo lootWeight72,1, &gt;&gt; .\items\loottables\dailoneskill0011.dbr</v>
      </c>
      <c r="Y74" s="5" t="s">
        <v>36</v>
      </c>
      <c r="Z74" t="str">
        <f t="shared" si="31"/>
        <v xml:space="preserve"> dailCompDescFrostKnight72=^pFrostKnight's Gift of DAIL</v>
      </c>
      <c r="AA74" t="str">
        <f t="shared" si="39"/>
        <v>dailCompTextFrostKnight72=^oThis feels warm to the touch, almost familiar ^w(This component only fits into the Medal Slot)</v>
      </c>
      <c r="AB74" s="5" t="s">
        <v>36</v>
      </c>
      <c r="AH74">
        <f t="shared" si="41"/>
        <v>69</v>
      </c>
      <c r="AI74">
        <f t="shared" si="35"/>
        <v>32</v>
      </c>
      <c r="AJ74">
        <f t="shared" si="40"/>
        <v>5</v>
      </c>
    </row>
    <row r="75" spans="1:36" x14ac:dyDescent="0.25">
      <c r="A75" s="5" t="s">
        <v>39</v>
      </c>
      <c r="B75" s="5" t="s">
        <v>30</v>
      </c>
      <c r="C75" s="5" t="str">
        <f t="shared" si="25"/>
        <v>description,dailCompDescFrostKnight73,</v>
      </c>
      <c r="D75" s="5" t="str">
        <f t="shared" si="26"/>
        <v>itemText,dailCompTextFrostKnight73,</v>
      </c>
      <c r="E75" s="5" t="str">
        <f t="shared" si="36"/>
        <v>augmentSkillLevel1,5,</v>
      </c>
      <c r="F75" s="5" t="str">
        <f t="shared" si="37"/>
        <v>augmentSkillName1,records/skills/FrostKnightClass/frostshell_mod.dbr,</v>
      </c>
      <c r="G75" s="7">
        <f t="shared" si="32"/>
        <v>73</v>
      </c>
      <c r="H75" s="8" t="str">
        <f t="shared" si="33"/>
        <v>FrostKnight</v>
      </c>
      <c r="I75" s="3" t="s">
        <v>510</v>
      </c>
      <c r="J75" s="8" t="str">
        <f t="shared" si="34"/>
        <v>class0011</v>
      </c>
      <c r="K75" s="8" t="str">
        <f t="shared" si="34"/>
        <v>dailoneskill0011</v>
      </c>
      <c r="L75" s="5" t="str">
        <f t="shared" si="27"/>
        <v>lootName73,DAIL/items/materia/class0011/FrostKnight73.dbr,</v>
      </c>
      <c r="M75" s="5" t="str">
        <f t="shared" si="28"/>
        <v>lootWeight73,1,</v>
      </c>
      <c r="N75" t="str">
        <f t="shared" si="29"/>
        <v>5</v>
      </c>
      <c r="O75" t="str">
        <f t="shared" si="38"/>
        <v>copy .\dail_base3.dbr .\items\materia\class0011\FrostKnight73.dbr /y</v>
      </c>
      <c r="P75" t="str">
        <f t="shared" si="24"/>
        <v>echo relicBitmap,items/craftingparts/components/component_a52_bristlyfur_b.tex, &gt;&gt; .\items\materia\class0011\FrostKnight73.dbr</v>
      </c>
      <c r="Q75" t="str">
        <f t="shared" si="24"/>
        <v>echo itemCost,500000, &gt;&gt; .\items\materia\class0011\FrostKnight73.dbr</v>
      </c>
      <c r="R75" t="str">
        <f t="shared" si="24"/>
        <v>echo description,dailCompDescFrostKnight73, &gt;&gt; .\items\materia\class0011\FrostKnight73.dbr</v>
      </c>
      <c r="S75" t="str">
        <f t="shared" si="24"/>
        <v>echo itemText,dailCompTextFrostKnight73, &gt;&gt; .\items\materia\class0011\FrostKnight73.dbr</v>
      </c>
      <c r="T75" t="str">
        <f t="shared" si="24"/>
        <v>echo augmentSkillLevel1,5, &gt;&gt; .\items\materia\class0011\FrostKnight73.dbr</v>
      </c>
      <c r="U75" t="str">
        <f t="shared" si="24"/>
        <v>echo augmentSkillName1,records/skills/FrostKnightClass/frostshell_mod.dbr, &gt;&gt; .\items\materia\class0011\FrostKnight73.dbr</v>
      </c>
      <c r="V75" s="5" t="s">
        <v>36</v>
      </c>
      <c r="W75" t="str">
        <f t="shared" si="30"/>
        <v>echo lootName73,DAIL/items/materia/class0011/FrostKnight73.dbr, &gt;&gt; .\items\loottables\dailoneskill0011.dbr</v>
      </c>
      <c r="X75" t="str">
        <f t="shared" si="30"/>
        <v>echo lootWeight73,1, &gt;&gt; .\items\loottables\dailoneskill0011.dbr</v>
      </c>
      <c r="Y75" s="5" t="s">
        <v>36</v>
      </c>
      <c r="Z75" t="str">
        <f t="shared" si="31"/>
        <v xml:space="preserve"> dailCompDescFrostKnight73=^pFrostKnight's Gift of DAIL</v>
      </c>
      <c r="AA75" t="str">
        <f t="shared" si="39"/>
        <v>dailCompTextFrostKnight73=^oThis feels warm to the touch, almost familiar ^w(This component only fits into the Medal Slot)</v>
      </c>
      <c r="AB75" s="5" t="s">
        <v>36</v>
      </c>
      <c r="AH75">
        <f t="shared" si="41"/>
        <v>70</v>
      </c>
      <c r="AI75">
        <f t="shared" si="35"/>
        <v>36</v>
      </c>
      <c r="AJ75">
        <f t="shared" si="40"/>
        <v>5</v>
      </c>
    </row>
    <row r="76" spans="1:36" x14ac:dyDescent="0.25">
      <c r="A76" s="5" t="s">
        <v>39</v>
      </c>
      <c r="B76" s="5" t="s">
        <v>30</v>
      </c>
      <c r="C76" s="5" t="str">
        <f t="shared" si="25"/>
        <v>description,dailCompDescFrostKnight74,</v>
      </c>
      <c r="D76" s="5" t="str">
        <f t="shared" si="26"/>
        <v>itemText,dailCompTextFrostKnight74,</v>
      </c>
      <c r="E76" s="5" t="str">
        <f t="shared" si="36"/>
        <v>augmentSkillLevel1,5,</v>
      </c>
      <c r="F76" s="5" t="str">
        <f t="shared" si="37"/>
        <v>augmentSkillName1,records/skills/FrostKnightClass/frostaura.dbr,</v>
      </c>
      <c r="G76" s="7">
        <f t="shared" si="32"/>
        <v>74</v>
      </c>
      <c r="H76" s="8" t="str">
        <f t="shared" si="33"/>
        <v>FrostKnight</v>
      </c>
      <c r="I76" s="3" t="s">
        <v>511</v>
      </c>
      <c r="J76" s="8" t="str">
        <f t="shared" si="34"/>
        <v>class0011</v>
      </c>
      <c r="K76" s="8" t="str">
        <f t="shared" si="34"/>
        <v>dailoneskill0011</v>
      </c>
      <c r="L76" s="5" t="str">
        <f t="shared" si="27"/>
        <v>lootName74,DAIL/items/materia/class0011/FrostKnight74.dbr,</v>
      </c>
      <c r="M76" s="5" t="str">
        <f t="shared" si="28"/>
        <v>lootWeight74,1,</v>
      </c>
      <c r="N76" t="str">
        <f t="shared" si="29"/>
        <v>5</v>
      </c>
      <c r="O76" t="str">
        <f t="shared" si="38"/>
        <v>copy .\dail_base3.dbr .\items\materia\class0011\FrostKnight74.dbr /y</v>
      </c>
      <c r="P76" t="str">
        <f t="shared" si="24"/>
        <v>echo relicBitmap,items/craftingparts/components/component_a52_bristlyfur_b.tex, &gt;&gt; .\items\materia\class0011\FrostKnight74.dbr</v>
      </c>
      <c r="Q76" t="str">
        <f t="shared" si="24"/>
        <v>echo itemCost,500000, &gt;&gt; .\items\materia\class0011\FrostKnight74.dbr</v>
      </c>
      <c r="R76" t="str">
        <f t="shared" si="24"/>
        <v>echo description,dailCompDescFrostKnight74, &gt;&gt; .\items\materia\class0011\FrostKnight74.dbr</v>
      </c>
      <c r="S76" t="str">
        <f t="shared" si="24"/>
        <v>echo itemText,dailCompTextFrostKnight74, &gt;&gt; .\items\materia\class0011\FrostKnight74.dbr</v>
      </c>
      <c r="T76" t="str">
        <f t="shared" si="24"/>
        <v>echo augmentSkillLevel1,5, &gt;&gt; .\items\materia\class0011\FrostKnight74.dbr</v>
      </c>
      <c r="U76" t="str">
        <f t="shared" si="24"/>
        <v>echo augmentSkillName1,records/skills/FrostKnightClass/frostaura.dbr, &gt;&gt; .\items\materia\class0011\FrostKnight74.dbr</v>
      </c>
      <c r="V76" s="5" t="s">
        <v>36</v>
      </c>
      <c r="W76" t="str">
        <f t="shared" si="30"/>
        <v>echo lootName74,DAIL/items/materia/class0011/FrostKnight74.dbr, &gt;&gt; .\items\loottables\dailoneskill0011.dbr</v>
      </c>
      <c r="X76" t="str">
        <f t="shared" si="30"/>
        <v>echo lootWeight74,1, &gt;&gt; .\items\loottables\dailoneskill0011.dbr</v>
      </c>
      <c r="Y76" s="5" t="s">
        <v>36</v>
      </c>
      <c r="Z76" t="str">
        <f t="shared" si="31"/>
        <v xml:space="preserve"> dailCompDescFrostKnight74=^pFrostKnight's Gift of DAIL</v>
      </c>
      <c r="AA76" t="str">
        <f t="shared" si="39"/>
        <v>dailCompTextFrostKnight74=^oThis feels warm to the touch, almost familiar ^w(This component only fits into the Medal Slot)</v>
      </c>
      <c r="AB76" s="5" t="s">
        <v>36</v>
      </c>
      <c r="AH76">
        <f t="shared" si="41"/>
        <v>71</v>
      </c>
      <c r="AI76">
        <f t="shared" si="35"/>
        <v>31</v>
      </c>
      <c r="AJ76">
        <f t="shared" si="40"/>
        <v>5</v>
      </c>
    </row>
    <row r="77" spans="1:36" x14ac:dyDescent="0.25">
      <c r="A77" s="5" t="s">
        <v>39</v>
      </c>
      <c r="B77" s="5" t="s">
        <v>30</v>
      </c>
      <c r="C77" s="5" t="str">
        <f t="shared" si="25"/>
        <v>description,dailCompDescFrostKnight75,</v>
      </c>
      <c r="D77" s="5" t="str">
        <f t="shared" si="26"/>
        <v>itemText,dailCompTextFrostKnight75,</v>
      </c>
      <c r="E77" s="5" t="str">
        <f t="shared" si="36"/>
        <v>augmentSkillLevel1,5,</v>
      </c>
      <c r="F77" s="5" t="str">
        <f t="shared" si="37"/>
        <v>augmentSkillName1,records/skills/FrostKnightClass/frostaura_mod.dbr,</v>
      </c>
      <c r="G77" s="7">
        <f t="shared" si="32"/>
        <v>75</v>
      </c>
      <c r="H77" s="8" t="str">
        <f t="shared" si="33"/>
        <v>FrostKnight</v>
      </c>
      <c r="I77" s="3" t="s">
        <v>512</v>
      </c>
      <c r="J77" s="8" t="str">
        <f t="shared" si="34"/>
        <v>class0011</v>
      </c>
      <c r="K77" s="8" t="str">
        <f t="shared" si="34"/>
        <v>dailoneskill0011</v>
      </c>
      <c r="L77" s="5" t="str">
        <f t="shared" si="27"/>
        <v>lootName75,DAIL/items/materia/class0011/FrostKnight75.dbr,</v>
      </c>
      <c r="M77" s="5" t="str">
        <f t="shared" si="28"/>
        <v>lootWeight75,1,</v>
      </c>
      <c r="N77" t="str">
        <f t="shared" si="29"/>
        <v>5</v>
      </c>
      <c r="O77" t="str">
        <f t="shared" si="38"/>
        <v>copy .\dail_base3.dbr .\items\materia\class0011\FrostKnight75.dbr /y</v>
      </c>
      <c r="P77" t="str">
        <f t="shared" si="24"/>
        <v>echo relicBitmap,items/craftingparts/components/component_a52_bristlyfur_b.tex, &gt;&gt; .\items\materia\class0011\FrostKnight75.dbr</v>
      </c>
      <c r="Q77" t="str">
        <f t="shared" si="24"/>
        <v>echo itemCost,500000, &gt;&gt; .\items\materia\class0011\FrostKnight75.dbr</v>
      </c>
      <c r="R77" t="str">
        <f t="shared" si="24"/>
        <v>echo description,dailCompDescFrostKnight75, &gt;&gt; .\items\materia\class0011\FrostKnight75.dbr</v>
      </c>
      <c r="S77" t="str">
        <f t="shared" si="24"/>
        <v>echo itemText,dailCompTextFrostKnight75, &gt;&gt; .\items\materia\class0011\FrostKnight75.dbr</v>
      </c>
      <c r="T77" t="str">
        <f t="shared" si="24"/>
        <v>echo augmentSkillLevel1,5, &gt;&gt; .\items\materia\class0011\FrostKnight75.dbr</v>
      </c>
      <c r="U77" t="str">
        <f t="shared" si="24"/>
        <v>echo augmentSkillName1,records/skills/FrostKnightClass/frostaura_mod.dbr, &gt;&gt; .\items\materia\class0011\FrostKnight75.dbr</v>
      </c>
      <c r="V77" s="5" t="s">
        <v>36</v>
      </c>
      <c r="W77" t="str">
        <f t="shared" si="30"/>
        <v>echo lootName75,DAIL/items/materia/class0011/FrostKnight75.dbr, &gt;&gt; .\items\loottables\dailoneskill0011.dbr</v>
      </c>
      <c r="X77" t="str">
        <f t="shared" si="30"/>
        <v>echo lootWeight75,1, &gt;&gt; .\items\loottables\dailoneskill0011.dbr</v>
      </c>
      <c r="Y77" s="5" t="s">
        <v>36</v>
      </c>
      <c r="Z77" t="str">
        <f t="shared" si="31"/>
        <v xml:space="preserve"> dailCompDescFrostKnight75=^pFrostKnight's Gift of DAIL</v>
      </c>
      <c r="AA77" t="str">
        <f t="shared" si="39"/>
        <v>dailCompTextFrostKnight75=^oThis feels warm to the touch, almost familiar ^w(This component only fits into the Medal Slot)</v>
      </c>
      <c r="AB77" s="5" t="s">
        <v>36</v>
      </c>
      <c r="AH77">
        <f t="shared" si="41"/>
        <v>72</v>
      </c>
      <c r="AI77">
        <f t="shared" si="35"/>
        <v>35</v>
      </c>
      <c r="AJ77">
        <f t="shared" si="40"/>
        <v>5</v>
      </c>
    </row>
    <row r="78" spans="1:36" x14ac:dyDescent="0.25">
      <c r="A78" s="5" t="s">
        <v>39</v>
      </c>
      <c r="B78" s="5" t="s">
        <v>30</v>
      </c>
      <c r="C78" s="5" t="str">
        <f t="shared" si="25"/>
        <v>description,dailCompDescFrostKnight76,</v>
      </c>
      <c r="D78" s="5" t="str">
        <f t="shared" si="26"/>
        <v>itemText,dailCompTextFrostKnight76,</v>
      </c>
      <c r="E78" s="5" t="str">
        <f t="shared" si="36"/>
        <v>augmentSkillLevel1,5,</v>
      </c>
      <c r="F78" s="5" t="str">
        <f t="shared" si="37"/>
        <v>augmentSkillName1,records/skills/FrostKnightClass/frostblast.dbr,</v>
      </c>
      <c r="G78" s="7">
        <f t="shared" si="32"/>
        <v>76</v>
      </c>
      <c r="H78" s="8" t="str">
        <f t="shared" si="33"/>
        <v>FrostKnight</v>
      </c>
      <c r="I78" s="3" t="s">
        <v>513</v>
      </c>
      <c r="J78" s="8" t="str">
        <f t="shared" si="34"/>
        <v>class0011</v>
      </c>
      <c r="K78" s="8" t="str">
        <f t="shared" si="34"/>
        <v>dailoneskill0011</v>
      </c>
      <c r="L78" s="5" t="str">
        <f t="shared" si="27"/>
        <v>lootName76,DAIL/items/materia/class0011/FrostKnight76.dbr,</v>
      </c>
      <c r="M78" s="5" t="str">
        <f t="shared" si="28"/>
        <v>lootWeight76,1,</v>
      </c>
      <c r="N78" t="str">
        <f t="shared" si="29"/>
        <v>5</v>
      </c>
      <c r="O78" t="str">
        <f t="shared" si="38"/>
        <v>copy .\dail_base3.dbr .\items\materia\class0011\FrostKnight76.dbr /y</v>
      </c>
      <c r="P78" t="str">
        <f t="shared" si="24"/>
        <v>echo relicBitmap,items/craftingparts/components/component_a52_bristlyfur_b.tex, &gt;&gt; .\items\materia\class0011\FrostKnight76.dbr</v>
      </c>
      <c r="Q78" t="str">
        <f t="shared" si="24"/>
        <v>echo itemCost,500000, &gt;&gt; .\items\materia\class0011\FrostKnight76.dbr</v>
      </c>
      <c r="R78" t="str">
        <f t="shared" si="24"/>
        <v>echo description,dailCompDescFrostKnight76, &gt;&gt; .\items\materia\class0011\FrostKnight76.dbr</v>
      </c>
      <c r="S78" t="str">
        <f t="shared" si="24"/>
        <v>echo itemText,dailCompTextFrostKnight76, &gt;&gt; .\items\materia\class0011\FrostKnight76.dbr</v>
      </c>
      <c r="T78" t="str">
        <f t="shared" si="24"/>
        <v>echo augmentSkillLevel1,5, &gt;&gt; .\items\materia\class0011\FrostKnight76.dbr</v>
      </c>
      <c r="U78" t="str">
        <f t="shared" si="24"/>
        <v>echo augmentSkillName1,records/skills/FrostKnightClass/frostblast.dbr, &gt;&gt; .\items\materia\class0011\FrostKnight76.dbr</v>
      </c>
      <c r="V78" s="5" t="s">
        <v>36</v>
      </c>
      <c r="W78" t="str">
        <f t="shared" si="30"/>
        <v>echo lootName76,DAIL/items/materia/class0011/FrostKnight76.dbr, &gt;&gt; .\items\loottables\dailoneskill0011.dbr</v>
      </c>
      <c r="X78" t="str">
        <f t="shared" si="30"/>
        <v>echo lootWeight76,1, &gt;&gt; .\items\loottables\dailoneskill0011.dbr</v>
      </c>
      <c r="Y78" s="5" t="s">
        <v>36</v>
      </c>
      <c r="Z78" t="str">
        <f t="shared" si="31"/>
        <v xml:space="preserve"> dailCompDescFrostKnight76=^pFrostKnight's Gift of DAIL</v>
      </c>
      <c r="AA78" t="str">
        <f t="shared" si="39"/>
        <v>dailCompTextFrostKnight76=^oThis feels warm to the touch, almost familiar ^w(This component only fits into the Medal Slot)</v>
      </c>
      <c r="AB78" s="5" t="s">
        <v>36</v>
      </c>
      <c r="AH78">
        <f t="shared" si="41"/>
        <v>73</v>
      </c>
      <c r="AI78">
        <f t="shared" si="35"/>
        <v>32</v>
      </c>
      <c r="AJ78">
        <f t="shared" si="40"/>
        <v>5</v>
      </c>
    </row>
    <row r="79" spans="1:36" x14ac:dyDescent="0.25">
      <c r="A79" s="5" t="s">
        <v>39</v>
      </c>
      <c r="B79" s="5" t="s">
        <v>30</v>
      </c>
      <c r="C79" s="5" t="str">
        <f t="shared" si="25"/>
        <v>description,dailCompDescFrostKnight77,</v>
      </c>
      <c r="D79" s="5" t="str">
        <f t="shared" si="26"/>
        <v>itemText,dailCompTextFrostKnight77,</v>
      </c>
      <c r="E79" s="5" t="str">
        <f t="shared" si="36"/>
        <v>augmentSkillLevel1,5,</v>
      </c>
      <c r="F79" s="5" t="str">
        <f t="shared" si="37"/>
        <v>augmentSkillName1,records/skills/FrostKnightClass/frostblast_transmuter.dbr,</v>
      </c>
      <c r="G79" s="7">
        <f t="shared" si="32"/>
        <v>77</v>
      </c>
      <c r="H79" s="8" t="str">
        <f t="shared" si="33"/>
        <v>FrostKnight</v>
      </c>
      <c r="I79" s="3" t="s">
        <v>514</v>
      </c>
      <c r="J79" s="8" t="str">
        <f t="shared" si="34"/>
        <v>class0011</v>
      </c>
      <c r="K79" s="8" t="str">
        <f t="shared" si="34"/>
        <v>dailoneskill0011</v>
      </c>
      <c r="L79" s="5" t="str">
        <f t="shared" si="27"/>
        <v>lootName77,DAIL/items/materia/class0011/FrostKnight77.dbr,</v>
      </c>
      <c r="M79" s="5" t="str">
        <f t="shared" si="28"/>
        <v>lootWeight77,1,</v>
      </c>
      <c r="N79" t="str">
        <f t="shared" si="29"/>
        <v>5</v>
      </c>
      <c r="O79" t="str">
        <f t="shared" si="38"/>
        <v>copy .\dail_base3.dbr .\items\materia\class0011\FrostKnight77.dbr /y</v>
      </c>
      <c r="P79" t="str">
        <f t="shared" si="24"/>
        <v>echo relicBitmap,items/craftingparts/components/component_a52_bristlyfur_b.tex, &gt;&gt; .\items\materia\class0011\FrostKnight77.dbr</v>
      </c>
      <c r="Q79" t="str">
        <f t="shared" si="24"/>
        <v>echo itemCost,500000, &gt;&gt; .\items\materia\class0011\FrostKnight77.dbr</v>
      </c>
      <c r="R79" t="str">
        <f t="shared" si="24"/>
        <v>echo description,dailCompDescFrostKnight77, &gt;&gt; .\items\materia\class0011\FrostKnight77.dbr</v>
      </c>
      <c r="S79" t="str">
        <f t="shared" si="24"/>
        <v>echo itemText,dailCompTextFrostKnight77, &gt;&gt; .\items\materia\class0011\FrostKnight77.dbr</v>
      </c>
      <c r="T79" t="str">
        <f t="shared" si="24"/>
        <v>echo augmentSkillLevel1,5, &gt;&gt; .\items\materia\class0011\FrostKnight77.dbr</v>
      </c>
      <c r="U79" t="str">
        <f t="shared" si="24"/>
        <v>echo augmentSkillName1,records/skills/FrostKnightClass/frostblast_transmuter.dbr, &gt;&gt; .\items\materia\class0011\FrostKnight77.dbr</v>
      </c>
      <c r="V79" s="5" t="s">
        <v>36</v>
      </c>
      <c r="W79" t="str">
        <f t="shared" si="30"/>
        <v>echo lootName77,DAIL/items/materia/class0011/FrostKnight77.dbr, &gt;&gt; .\items\loottables\dailoneskill0011.dbr</v>
      </c>
      <c r="X79" t="str">
        <f t="shared" si="30"/>
        <v>echo lootWeight77,1, &gt;&gt; .\items\loottables\dailoneskill0011.dbr</v>
      </c>
      <c r="Y79" s="5" t="s">
        <v>36</v>
      </c>
      <c r="Z79" t="str">
        <f t="shared" si="31"/>
        <v xml:space="preserve"> dailCompDescFrostKnight77=^pFrostKnight's Gift of DAIL</v>
      </c>
      <c r="AA79" t="str">
        <f t="shared" si="39"/>
        <v>dailCompTextFrostKnight77=^oThis feels warm to the touch, almost familiar ^w(This component only fits into the Medal Slot)</v>
      </c>
      <c r="AB79" s="5" t="s">
        <v>36</v>
      </c>
      <c r="AH79">
        <f t="shared" si="41"/>
        <v>74</v>
      </c>
      <c r="AI79">
        <f t="shared" si="35"/>
        <v>43</v>
      </c>
      <c r="AJ79">
        <f t="shared" si="40"/>
        <v>5</v>
      </c>
    </row>
    <row r="80" spans="1:36" x14ac:dyDescent="0.25">
      <c r="A80" s="5" t="s">
        <v>39</v>
      </c>
      <c r="B80" s="5" t="s">
        <v>30</v>
      </c>
      <c r="C80" s="5" t="str">
        <f t="shared" si="25"/>
        <v>description,dailCompDescFrostKnight78,</v>
      </c>
      <c r="D80" s="5" t="str">
        <f t="shared" si="26"/>
        <v>itemText,dailCompTextFrostKnight78,</v>
      </c>
      <c r="E80" s="5" t="str">
        <f t="shared" si="36"/>
        <v>augmentSkillLevel1,5,</v>
      </c>
      <c r="F80" s="5" t="str">
        <f t="shared" si="37"/>
        <v>augmentSkillName1,records/skills/FrostKnightClass/frostblast_mod.dbr,</v>
      </c>
      <c r="G80" s="7">
        <f t="shared" si="32"/>
        <v>78</v>
      </c>
      <c r="H80" s="8" t="str">
        <f t="shared" si="33"/>
        <v>FrostKnight</v>
      </c>
      <c r="I80" s="3" t="s">
        <v>515</v>
      </c>
      <c r="J80" s="8" t="str">
        <f t="shared" si="34"/>
        <v>class0011</v>
      </c>
      <c r="K80" s="8" t="str">
        <f t="shared" si="34"/>
        <v>dailoneskill0011</v>
      </c>
      <c r="L80" s="5" t="str">
        <f t="shared" si="27"/>
        <v>lootName78,DAIL/items/materia/class0011/FrostKnight78.dbr,</v>
      </c>
      <c r="M80" s="5" t="str">
        <f t="shared" si="28"/>
        <v>lootWeight78,1,</v>
      </c>
      <c r="N80" t="str">
        <f t="shared" si="29"/>
        <v>5</v>
      </c>
      <c r="O80" t="str">
        <f t="shared" si="38"/>
        <v>copy .\dail_base3.dbr .\items\materia\class0011\FrostKnight78.dbr /y</v>
      </c>
      <c r="P80" t="str">
        <f t="shared" si="24"/>
        <v>echo relicBitmap,items/craftingparts/components/component_a52_bristlyfur_b.tex, &gt;&gt; .\items\materia\class0011\FrostKnight78.dbr</v>
      </c>
      <c r="Q80" t="str">
        <f t="shared" si="24"/>
        <v>echo itemCost,500000, &gt;&gt; .\items\materia\class0011\FrostKnight78.dbr</v>
      </c>
      <c r="R80" t="str">
        <f t="shared" si="24"/>
        <v>echo description,dailCompDescFrostKnight78, &gt;&gt; .\items\materia\class0011\FrostKnight78.dbr</v>
      </c>
      <c r="S80" t="str">
        <f t="shared" si="24"/>
        <v>echo itemText,dailCompTextFrostKnight78, &gt;&gt; .\items\materia\class0011\FrostKnight78.dbr</v>
      </c>
      <c r="T80" t="str">
        <f t="shared" si="24"/>
        <v>echo augmentSkillLevel1,5, &gt;&gt; .\items\materia\class0011\FrostKnight78.dbr</v>
      </c>
      <c r="U80" t="str">
        <f t="shared" si="24"/>
        <v>echo augmentSkillName1,records/skills/FrostKnightClass/frostblast_mod.dbr, &gt;&gt; .\items\materia\class0011\FrostKnight78.dbr</v>
      </c>
      <c r="V80" s="5" t="s">
        <v>36</v>
      </c>
      <c r="W80" t="str">
        <f t="shared" si="30"/>
        <v>echo lootName78,DAIL/items/materia/class0011/FrostKnight78.dbr, &gt;&gt; .\items\loottables\dailoneskill0011.dbr</v>
      </c>
      <c r="X80" t="str">
        <f t="shared" si="30"/>
        <v>echo lootWeight78,1, &gt;&gt; .\items\loottables\dailoneskill0011.dbr</v>
      </c>
      <c r="Y80" s="5" t="s">
        <v>36</v>
      </c>
      <c r="Z80" t="str">
        <f t="shared" si="31"/>
        <v xml:space="preserve"> dailCompDescFrostKnight78=^pFrostKnight's Gift of DAIL</v>
      </c>
      <c r="AA80" t="str">
        <f t="shared" si="39"/>
        <v>dailCompTextFrostKnight78=^oThis feels warm to the touch, almost familiar ^w(This component only fits into the Medal Slot)</v>
      </c>
      <c r="AB80" s="5" t="s">
        <v>36</v>
      </c>
      <c r="AH80">
        <f t="shared" si="41"/>
        <v>75</v>
      </c>
      <c r="AI80">
        <f t="shared" si="35"/>
        <v>36</v>
      </c>
      <c r="AJ80">
        <f t="shared" si="40"/>
        <v>5</v>
      </c>
    </row>
    <row r="81" spans="1:36" x14ac:dyDescent="0.25">
      <c r="A81" s="5" t="s">
        <v>39</v>
      </c>
      <c r="B81" s="5" t="s">
        <v>30</v>
      </c>
      <c r="C81" s="5" t="str">
        <f t="shared" si="25"/>
        <v>description,dailCompDescFrostKnight,</v>
      </c>
      <c r="D81" s="5" t="str">
        <f t="shared" si="26"/>
        <v>itemText,dailCompTextFrostKnight,</v>
      </c>
      <c r="E81" s="5" t="str">
        <f t="shared" si="36"/>
        <v>augmentSkillLevel1,5,</v>
      </c>
      <c r="F81" s="5" t="str">
        <f t="shared" si="37"/>
        <v>augmentSkillName1,records/skills,</v>
      </c>
      <c r="G81" s="7" t="str">
        <f t="shared" si="32"/>
        <v/>
      </c>
      <c r="H81" s="8" t="str">
        <f t="shared" si="33"/>
        <v>FrostKnight</v>
      </c>
      <c r="J81" s="8" t="str">
        <f t="shared" si="34"/>
        <v>class0011</v>
      </c>
      <c r="K81" s="8" t="str">
        <f t="shared" si="34"/>
        <v>dailoneskill0011</v>
      </c>
      <c r="L81" s="5" t="str">
        <f t="shared" si="27"/>
        <v>lootName,DAIL/items/materia/class0011/FrostKnight.dbr,</v>
      </c>
      <c r="M81" s="5" t="str">
        <f t="shared" si="28"/>
        <v>lootWeight,1,</v>
      </c>
      <c r="N81" t="str">
        <f t="shared" si="29"/>
        <v>5</v>
      </c>
      <c r="O81" t="str">
        <f t="shared" si="38"/>
        <v/>
      </c>
      <c r="P81" t="str">
        <f t="shared" si="24"/>
        <v/>
      </c>
      <c r="Q81" t="str">
        <f t="shared" si="24"/>
        <v/>
      </c>
      <c r="R81" t="str">
        <f t="shared" si="24"/>
        <v/>
      </c>
      <c r="S81" t="str">
        <f t="shared" si="24"/>
        <v/>
      </c>
      <c r="T81" t="str">
        <f t="shared" si="24"/>
        <v/>
      </c>
      <c r="U81" t="str">
        <f t="shared" si="24"/>
        <v/>
      </c>
      <c r="V81" s="5" t="s">
        <v>36</v>
      </c>
      <c r="W81" t="str">
        <f t="shared" si="30"/>
        <v/>
      </c>
      <c r="X81" t="str">
        <f t="shared" si="30"/>
        <v/>
      </c>
      <c r="Y81" s="5" t="s">
        <v>36</v>
      </c>
      <c r="Z81" t="str">
        <f t="shared" si="31"/>
        <v xml:space="preserve"> dailCompDescFrostKnight=^pFrostKnight's Gift of DAIL</v>
      </c>
      <c r="AA81" t="str">
        <f t="shared" si="39"/>
        <v>dailCompTextFrostKnight=^oThis feels warm to the touch, almost familiar ^w(This component only fits into the Medal Slot)</v>
      </c>
      <c r="AB81" s="5" t="s">
        <v>36</v>
      </c>
      <c r="AH81">
        <f t="shared" si="41"/>
        <v>76</v>
      </c>
      <c r="AI81">
        <f t="shared" si="35"/>
        <v>0</v>
      </c>
      <c r="AJ81">
        <f t="shared" si="40"/>
        <v>5</v>
      </c>
    </row>
    <row r="82" spans="1:36" x14ac:dyDescent="0.25">
      <c r="A82" s="5" t="s">
        <v>39</v>
      </c>
      <c r="B82" s="5" t="s">
        <v>30</v>
      </c>
      <c r="C82" s="5" t="str">
        <f t="shared" si="25"/>
        <v>description,dailCompDescFrostKnight,</v>
      </c>
      <c r="D82" s="5" t="str">
        <f t="shared" si="26"/>
        <v>itemText,dailCompTextFrostKnight,</v>
      </c>
      <c r="E82" s="5" t="str">
        <f t="shared" si="36"/>
        <v>augmentSkillLevel1,5,</v>
      </c>
      <c r="F82" s="5" t="str">
        <f t="shared" si="37"/>
        <v>augmentSkillName1,records/skills,</v>
      </c>
      <c r="G82" s="7" t="str">
        <f t="shared" si="32"/>
        <v/>
      </c>
      <c r="H82" s="8" t="str">
        <f t="shared" si="33"/>
        <v>FrostKnight</v>
      </c>
      <c r="J82" s="8" t="str">
        <f t="shared" si="34"/>
        <v>class0011</v>
      </c>
      <c r="K82" s="8" t="str">
        <f t="shared" si="34"/>
        <v>dailoneskill0011</v>
      </c>
      <c r="L82" s="5" t="str">
        <f t="shared" si="27"/>
        <v>lootName,DAIL/items/materia/class0011/FrostKnight.dbr,</v>
      </c>
      <c r="M82" s="5" t="str">
        <f t="shared" si="28"/>
        <v>lootWeight,1,</v>
      </c>
      <c r="N82" t="str">
        <f t="shared" si="29"/>
        <v>5</v>
      </c>
      <c r="O82" t="str">
        <f t="shared" si="38"/>
        <v/>
      </c>
      <c r="P82" t="str">
        <f t="shared" si="24"/>
        <v/>
      </c>
      <c r="Q82" t="str">
        <f t="shared" si="24"/>
        <v/>
      </c>
      <c r="R82" t="str">
        <f t="shared" si="24"/>
        <v/>
      </c>
      <c r="S82" t="str">
        <f t="shared" si="24"/>
        <v/>
      </c>
      <c r="T82" t="str">
        <f t="shared" si="24"/>
        <v/>
      </c>
      <c r="U82" t="str">
        <f t="shared" si="24"/>
        <v/>
      </c>
      <c r="V82" s="5" t="s">
        <v>36</v>
      </c>
      <c r="W82" t="str">
        <f t="shared" si="30"/>
        <v/>
      </c>
      <c r="X82" t="str">
        <f t="shared" si="30"/>
        <v/>
      </c>
      <c r="Y82" s="5" t="s">
        <v>36</v>
      </c>
      <c r="Z82" t="str">
        <f t="shared" si="31"/>
        <v/>
      </c>
      <c r="AA82" t="str">
        <f t="shared" si="39"/>
        <v/>
      </c>
      <c r="AB82" s="5" t="s">
        <v>36</v>
      </c>
      <c r="AH82">
        <f t="shared" si="41"/>
        <v>77</v>
      </c>
      <c r="AI82">
        <f t="shared" si="35"/>
        <v>0</v>
      </c>
      <c r="AJ82">
        <f t="shared" si="40"/>
        <v>5</v>
      </c>
    </row>
    <row r="83" spans="1:36" x14ac:dyDescent="0.25">
      <c r="A83" s="5" t="s">
        <v>39</v>
      </c>
      <c r="B83" s="5" t="s">
        <v>30</v>
      </c>
      <c r="C83" s="5" t="str">
        <f t="shared" si="25"/>
        <v>description,dailCompDescFrostKnight,</v>
      </c>
      <c r="D83" s="5" t="str">
        <f t="shared" si="26"/>
        <v>itemText,dailCompTextFrostKnight,</v>
      </c>
      <c r="E83" s="5" t="str">
        <f t="shared" si="36"/>
        <v>augmentSkillLevel1,5,</v>
      </c>
      <c r="F83" s="5" t="str">
        <f t="shared" si="37"/>
        <v>augmentSkillName1,records/skills,</v>
      </c>
      <c r="G83" s="7" t="str">
        <f t="shared" si="32"/>
        <v/>
      </c>
      <c r="H83" s="8" t="str">
        <f t="shared" si="33"/>
        <v>FrostKnight</v>
      </c>
      <c r="J83" s="8" t="str">
        <f t="shared" si="34"/>
        <v>class0011</v>
      </c>
      <c r="K83" s="8" t="str">
        <f t="shared" si="34"/>
        <v>dailoneskill0011</v>
      </c>
      <c r="L83" s="5" t="str">
        <f t="shared" si="27"/>
        <v>lootName,DAIL/items/materia/class0011/FrostKnight.dbr,</v>
      </c>
      <c r="M83" s="5" t="str">
        <f t="shared" si="28"/>
        <v>lootWeight,1,</v>
      </c>
      <c r="N83" t="str">
        <f t="shared" si="29"/>
        <v>5</v>
      </c>
      <c r="O83" t="str">
        <f t="shared" si="38"/>
        <v/>
      </c>
      <c r="P83" t="str">
        <f t="shared" si="24"/>
        <v/>
      </c>
      <c r="Q83" t="str">
        <f t="shared" si="24"/>
        <v/>
      </c>
      <c r="R83" t="str">
        <f t="shared" si="24"/>
        <v/>
      </c>
      <c r="S83" t="str">
        <f t="shared" si="24"/>
        <v/>
      </c>
      <c r="T83" t="str">
        <f t="shared" si="24"/>
        <v/>
      </c>
      <c r="U83" t="str">
        <f t="shared" si="24"/>
        <v/>
      </c>
      <c r="V83" s="5" t="s">
        <v>36</v>
      </c>
      <c r="W83" t="str">
        <f t="shared" si="30"/>
        <v/>
      </c>
      <c r="X83" t="str">
        <f t="shared" si="30"/>
        <v/>
      </c>
      <c r="Y83" s="5" t="s">
        <v>36</v>
      </c>
      <c r="Z83" t="str">
        <f t="shared" si="31"/>
        <v/>
      </c>
      <c r="AA83" t="str">
        <f t="shared" si="39"/>
        <v/>
      </c>
      <c r="AB83" s="5" t="s">
        <v>36</v>
      </c>
      <c r="AH83">
        <f t="shared" si="41"/>
        <v>78</v>
      </c>
      <c r="AI83">
        <f t="shared" si="35"/>
        <v>0</v>
      </c>
      <c r="AJ83">
        <f t="shared" si="40"/>
        <v>5</v>
      </c>
    </row>
    <row r="84" spans="1:36" x14ac:dyDescent="0.25">
      <c r="A84" s="5" t="s">
        <v>39</v>
      </c>
      <c r="B84" s="5" t="s">
        <v>30</v>
      </c>
      <c r="C84" s="5" t="str">
        <f t="shared" si="25"/>
        <v>description,dailCompDescFrostKnight,</v>
      </c>
      <c r="D84" s="5" t="str">
        <f t="shared" si="26"/>
        <v>itemText,dailCompTextFrostKnight,</v>
      </c>
      <c r="E84" s="5" t="str">
        <f t="shared" si="36"/>
        <v>augmentSkillLevel1,5,</v>
      </c>
      <c r="F84" s="5" t="str">
        <f t="shared" si="37"/>
        <v>augmentSkillName1,records/skills,</v>
      </c>
      <c r="G84" s="7" t="str">
        <f t="shared" si="32"/>
        <v/>
      </c>
      <c r="H84" s="8" t="str">
        <f t="shared" si="33"/>
        <v>FrostKnight</v>
      </c>
      <c r="J84" s="8" t="str">
        <f t="shared" si="34"/>
        <v>class0011</v>
      </c>
      <c r="K84" s="8" t="str">
        <f t="shared" si="34"/>
        <v>dailoneskill0011</v>
      </c>
      <c r="L84" s="5" t="str">
        <f t="shared" si="27"/>
        <v>lootName,DAIL/items/materia/class0011/FrostKnight.dbr,</v>
      </c>
      <c r="M84" s="5" t="str">
        <f t="shared" si="28"/>
        <v>lootWeight,1,</v>
      </c>
      <c r="N84" t="str">
        <f t="shared" si="29"/>
        <v>5</v>
      </c>
      <c r="O84" t="str">
        <f t="shared" si="38"/>
        <v/>
      </c>
      <c r="P84" t="str">
        <f t="shared" si="24"/>
        <v/>
      </c>
      <c r="Q84" t="str">
        <f t="shared" si="24"/>
        <v/>
      </c>
      <c r="R84" t="str">
        <f t="shared" si="24"/>
        <v/>
      </c>
      <c r="S84" t="str">
        <f t="shared" si="24"/>
        <v/>
      </c>
      <c r="T84" t="str">
        <f t="shared" si="24"/>
        <v/>
      </c>
      <c r="U84" t="str">
        <f t="shared" si="24"/>
        <v/>
      </c>
      <c r="V84" s="5" t="s">
        <v>36</v>
      </c>
      <c r="W84" t="str">
        <f t="shared" si="30"/>
        <v/>
      </c>
      <c r="X84" t="str">
        <f t="shared" si="30"/>
        <v/>
      </c>
      <c r="Y84" s="5" t="s">
        <v>36</v>
      </c>
      <c r="Z84" t="str">
        <f t="shared" si="31"/>
        <v/>
      </c>
      <c r="AA84" t="str">
        <f t="shared" si="39"/>
        <v/>
      </c>
      <c r="AB84" s="5" t="s">
        <v>36</v>
      </c>
      <c r="AH84">
        <f t="shared" si="41"/>
        <v>79</v>
      </c>
      <c r="AI84">
        <f t="shared" si="35"/>
        <v>0</v>
      </c>
      <c r="AJ84">
        <f t="shared" si="40"/>
        <v>5</v>
      </c>
    </row>
    <row r="85" spans="1:36" x14ac:dyDescent="0.25">
      <c r="A85" s="5" t="s">
        <v>39</v>
      </c>
      <c r="B85" s="5" t="s">
        <v>30</v>
      </c>
      <c r="C85" s="5" t="str">
        <f t="shared" si="25"/>
        <v>description,dailCompDescFrostKnight,</v>
      </c>
      <c r="D85" s="5" t="str">
        <f t="shared" si="26"/>
        <v>itemText,dailCompTextFrostKnight,</v>
      </c>
      <c r="E85" s="5" t="str">
        <f t="shared" si="36"/>
        <v>augmentSkillLevel1,5,</v>
      </c>
      <c r="F85" s="5" t="str">
        <f t="shared" si="37"/>
        <v>augmentSkillName1,records/skills,</v>
      </c>
      <c r="G85" s="7" t="str">
        <f t="shared" si="32"/>
        <v/>
      </c>
      <c r="H85" s="8" t="str">
        <f t="shared" si="33"/>
        <v>FrostKnight</v>
      </c>
      <c r="J85" s="8" t="str">
        <f t="shared" ref="J85:K100" si="42">J84</f>
        <v>class0011</v>
      </c>
      <c r="K85" s="8" t="str">
        <f t="shared" si="42"/>
        <v>dailoneskill0011</v>
      </c>
      <c r="L85" s="5" t="str">
        <f t="shared" si="27"/>
        <v>lootName,DAIL/items/materia/class0011/FrostKnight.dbr,</v>
      </c>
      <c r="M85" s="5" t="str">
        <f t="shared" si="28"/>
        <v>lootWeight,1,</v>
      </c>
      <c r="N85" t="str">
        <f t="shared" si="29"/>
        <v>5</v>
      </c>
      <c r="O85" t="str">
        <f t="shared" si="38"/>
        <v/>
      </c>
      <c r="P85" t="str">
        <f t="shared" si="24"/>
        <v/>
      </c>
      <c r="Q85" t="str">
        <f t="shared" si="24"/>
        <v/>
      </c>
      <c r="R85" t="str">
        <f t="shared" si="24"/>
        <v/>
      </c>
      <c r="S85" t="str">
        <f t="shared" si="24"/>
        <v/>
      </c>
      <c r="T85" t="str">
        <f t="shared" si="24"/>
        <v/>
      </c>
      <c r="U85" t="str">
        <f t="shared" si="24"/>
        <v/>
      </c>
      <c r="V85" s="5" t="s">
        <v>36</v>
      </c>
      <c r="W85" t="str">
        <f t="shared" si="30"/>
        <v/>
      </c>
      <c r="X85" t="str">
        <f t="shared" si="30"/>
        <v/>
      </c>
      <c r="Y85" s="5" t="s">
        <v>36</v>
      </c>
      <c r="Z85" t="str">
        <f t="shared" si="31"/>
        <v/>
      </c>
      <c r="AA85" t="str">
        <f t="shared" si="39"/>
        <v/>
      </c>
      <c r="AB85" s="5" t="s">
        <v>36</v>
      </c>
      <c r="AH85">
        <f t="shared" si="41"/>
        <v>80</v>
      </c>
      <c r="AI85">
        <f t="shared" si="35"/>
        <v>0</v>
      </c>
      <c r="AJ85">
        <f t="shared" si="40"/>
        <v>5</v>
      </c>
    </row>
    <row r="86" spans="1:36" x14ac:dyDescent="0.25">
      <c r="A86" s="5" t="s">
        <v>39</v>
      </c>
      <c r="B86" s="5" t="s">
        <v>30</v>
      </c>
      <c r="C86" s="5" t="str">
        <f t="shared" si="25"/>
        <v>description,dailCompDescFrostKnight,</v>
      </c>
      <c r="D86" s="5" t="str">
        <f t="shared" si="26"/>
        <v>itemText,dailCompTextFrostKnight,</v>
      </c>
      <c r="E86" s="5" t="str">
        <f t="shared" si="36"/>
        <v>augmentSkillLevel1,5,</v>
      </c>
      <c r="F86" s="5" t="str">
        <f t="shared" si="37"/>
        <v>augmentSkillName1,records/skills,</v>
      </c>
      <c r="G86" s="7" t="str">
        <f t="shared" si="32"/>
        <v/>
      </c>
      <c r="H86" s="8" t="str">
        <f t="shared" si="33"/>
        <v>FrostKnight</v>
      </c>
      <c r="J86" s="8" t="str">
        <f t="shared" si="42"/>
        <v>class0011</v>
      </c>
      <c r="K86" s="8" t="str">
        <f t="shared" si="42"/>
        <v>dailoneskill0011</v>
      </c>
      <c r="L86" s="5" t="str">
        <f t="shared" si="27"/>
        <v>lootName,DAIL/items/materia/class0011/FrostKnight.dbr,</v>
      </c>
      <c r="M86" s="5" t="str">
        <f t="shared" si="28"/>
        <v>lootWeight,1,</v>
      </c>
      <c r="N86" t="str">
        <f t="shared" si="29"/>
        <v>5</v>
      </c>
      <c r="O86" t="str">
        <f t="shared" si="38"/>
        <v/>
      </c>
      <c r="P86" t="str">
        <f t="shared" si="24"/>
        <v/>
      </c>
      <c r="Q86" t="str">
        <f t="shared" si="24"/>
        <v/>
      </c>
      <c r="R86" t="str">
        <f t="shared" si="24"/>
        <v/>
      </c>
      <c r="S86" t="str">
        <f t="shared" si="24"/>
        <v/>
      </c>
      <c r="T86" t="str">
        <f t="shared" si="24"/>
        <v/>
      </c>
      <c r="U86" t="str">
        <f t="shared" si="24"/>
        <v/>
      </c>
      <c r="V86" s="5" t="s">
        <v>36</v>
      </c>
      <c r="W86" t="str">
        <f t="shared" si="30"/>
        <v/>
      </c>
      <c r="X86" t="str">
        <f t="shared" si="30"/>
        <v/>
      </c>
      <c r="Y86" s="5" t="s">
        <v>36</v>
      </c>
      <c r="Z86" t="str">
        <f t="shared" si="31"/>
        <v/>
      </c>
      <c r="AA86" t="str">
        <f t="shared" si="39"/>
        <v/>
      </c>
      <c r="AB86" s="5" t="s">
        <v>36</v>
      </c>
      <c r="AH86">
        <f t="shared" si="41"/>
        <v>81</v>
      </c>
      <c r="AI86">
        <f t="shared" si="35"/>
        <v>0</v>
      </c>
      <c r="AJ86">
        <f t="shared" si="40"/>
        <v>5</v>
      </c>
    </row>
    <row r="87" spans="1:36" x14ac:dyDescent="0.25">
      <c r="A87" s="5" t="s">
        <v>39</v>
      </c>
      <c r="B87" s="5" t="s">
        <v>30</v>
      </c>
      <c r="C87" s="5" t="str">
        <f t="shared" si="25"/>
        <v>description,dailCompDescFrostKnight,</v>
      </c>
      <c r="D87" s="5" t="str">
        <f t="shared" si="26"/>
        <v>itemText,dailCompTextFrostKnight,</v>
      </c>
      <c r="E87" s="5" t="str">
        <f t="shared" si="36"/>
        <v>augmentSkillLevel1,5,</v>
      </c>
      <c r="F87" s="5" t="str">
        <f t="shared" si="37"/>
        <v>augmentSkillName1,records/skills,</v>
      </c>
      <c r="G87" s="7" t="str">
        <f t="shared" si="32"/>
        <v/>
      </c>
      <c r="H87" s="8" t="str">
        <f t="shared" si="33"/>
        <v>FrostKnight</v>
      </c>
      <c r="J87" s="8" t="str">
        <f t="shared" si="42"/>
        <v>class0011</v>
      </c>
      <c r="K87" s="8" t="str">
        <f t="shared" si="42"/>
        <v>dailoneskill0011</v>
      </c>
      <c r="L87" s="5" t="str">
        <f t="shared" si="27"/>
        <v>lootName,DAIL/items/materia/class0011/FrostKnight.dbr,</v>
      </c>
      <c r="M87" s="5" t="str">
        <f t="shared" si="28"/>
        <v>lootWeight,1,</v>
      </c>
      <c r="N87" t="str">
        <f t="shared" si="29"/>
        <v>5</v>
      </c>
      <c r="O87" t="str">
        <f t="shared" si="38"/>
        <v/>
      </c>
      <c r="P87" t="str">
        <f t="shared" si="24"/>
        <v/>
      </c>
      <c r="Q87" t="str">
        <f t="shared" si="24"/>
        <v/>
      </c>
      <c r="R87" t="str">
        <f t="shared" si="24"/>
        <v/>
      </c>
      <c r="S87" t="str">
        <f t="shared" si="24"/>
        <v/>
      </c>
      <c r="T87" t="str">
        <f t="shared" si="24"/>
        <v/>
      </c>
      <c r="U87" t="str">
        <f t="shared" si="24"/>
        <v/>
      </c>
      <c r="V87" s="5" t="s">
        <v>36</v>
      </c>
      <c r="W87" t="str">
        <f t="shared" si="30"/>
        <v/>
      </c>
      <c r="X87" t="str">
        <f t="shared" si="30"/>
        <v/>
      </c>
      <c r="Y87" s="5" t="s">
        <v>36</v>
      </c>
      <c r="Z87" t="str">
        <f t="shared" si="31"/>
        <v/>
      </c>
      <c r="AA87" t="str">
        <f t="shared" si="39"/>
        <v/>
      </c>
      <c r="AB87" s="5" t="s">
        <v>36</v>
      </c>
      <c r="AH87">
        <f t="shared" si="41"/>
        <v>82</v>
      </c>
      <c r="AI87">
        <f t="shared" si="35"/>
        <v>0</v>
      </c>
      <c r="AJ87">
        <f t="shared" si="40"/>
        <v>5</v>
      </c>
    </row>
    <row r="88" spans="1:36" x14ac:dyDescent="0.25">
      <c r="A88" s="5" t="s">
        <v>39</v>
      </c>
      <c r="B88" s="5" t="s">
        <v>30</v>
      </c>
      <c r="C88" s="5" t="str">
        <f t="shared" si="25"/>
        <v>description,dailCompDescFrostKnight,</v>
      </c>
      <c r="D88" s="5" t="str">
        <f t="shared" si="26"/>
        <v>itemText,dailCompTextFrostKnight,</v>
      </c>
      <c r="E88" s="5" t="str">
        <f t="shared" si="36"/>
        <v>augmentSkillLevel1,5,</v>
      </c>
      <c r="F88" s="5" t="str">
        <f t="shared" si="37"/>
        <v>augmentSkillName1,records/skills,</v>
      </c>
      <c r="G88" s="7" t="str">
        <f t="shared" si="32"/>
        <v/>
      </c>
      <c r="H88" s="8" t="str">
        <f t="shared" si="33"/>
        <v>FrostKnight</v>
      </c>
      <c r="J88" s="8" t="str">
        <f t="shared" si="42"/>
        <v>class0011</v>
      </c>
      <c r="K88" s="8" t="str">
        <f t="shared" si="42"/>
        <v>dailoneskill0011</v>
      </c>
      <c r="L88" s="5" t="str">
        <f t="shared" si="27"/>
        <v>lootName,DAIL/items/materia/class0011/FrostKnight.dbr,</v>
      </c>
      <c r="M88" s="5" t="str">
        <f t="shared" si="28"/>
        <v>lootWeight,1,</v>
      </c>
      <c r="N88" t="str">
        <f t="shared" si="29"/>
        <v>5</v>
      </c>
      <c r="O88" t="str">
        <f t="shared" si="38"/>
        <v/>
      </c>
      <c r="P88" t="str">
        <f t="shared" si="24"/>
        <v/>
      </c>
      <c r="Q88" t="str">
        <f t="shared" si="24"/>
        <v/>
      </c>
      <c r="R88" t="str">
        <f t="shared" si="24"/>
        <v/>
      </c>
      <c r="S88" t="str">
        <f t="shared" si="24"/>
        <v/>
      </c>
      <c r="T88" t="str">
        <f t="shared" si="24"/>
        <v/>
      </c>
      <c r="U88" t="str">
        <f t="shared" si="24"/>
        <v/>
      </c>
      <c r="V88" s="5" t="s">
        <v>36</v>
      </c>
      <c r="W88" t="str">
        <f t="shared" si="30"/>
        <v/>
      </c>
      <c r="X88" t="str">
        <f t="shared" si="30"/>
        <v/>
      </c>
      <c r="Y88" s="5" t="s">
        <v>36</v>
      </c>
      <c r="Z88" t="str">
        <f t="shared" si="31"/>
        <v/>
      </c>
      <c r="AA88" t="str">
        <f t="shared" si="39"/>
        <v/>
      </c>
      <c r="AB88" s="5" t="s">
        <v>36</v>
      </c>
      <c r="AH88">
        <f t="shared" si="41"/>
        <v>83</v>
      </c>
      <c r="AI88">
        <f t="shared" si="35"/>
        <v>0</v>
      </c>
      <c r="AJ88">
        <f t="shared" si="40"/>
        <v>5</v>
      </c>
    </row>
    <row r="89" spans="1:36" x14ac:dyDescent="0.25">
      <c r="A89" s="5" t="s">
        <v>39</v>
      </c>
      <c r="B89" s="5" t="s">
        <v>30</v>
      </c>
      <c r="C89" s="5" t="str">
        <f t="shared" si="25"/>
        <v>description,dailCompDescFrostKnight,</v>
      </c>
      <c r="D89" s="5" t="str">
        <f t="shared" si="26"/>
        <v>itemText,dailCompTextFrostKnight,</v>
      </c>
      <c r="E89" s="5" t="str">
        <f t="shared" si="36"/>
        <v>augmentSkillLevel1,5,</v>
      </c>
      <c r="F89" s="5" t="str">
        <f t="shared" si="37"/>
        <v>augmentSkillName1,records/skills,</v>
      </c>
      <c r="G89" s="7" t="str">
        <f t="shared" si="32"/>
        <v/>
      </c>
      <c r="H89" s="8" t="str">
        <f t="shared" si="33"/>
        <v>FrostKnight</v>
      </c>
      <c r="J89" s="8" t="str">
        <f t="shared" si="42"/>
        <v>class0011</v>
      </c>
      <c r="K89" s="8" t="str">
        <f t="shared" si="42"/>
        <v>dailoneskill0011</v>
      </c>
      <c r="L89" s="5" t="str">
        <f t="shared" si="27"/>
        <v>lootName,DAIL/items/materia/class0011/FrostKnight.dbr,</v>
      </c>
      <c r="M89" s="5" t="str">
        <f t="shared" si="28"/>
        <v>lootWeight,1,</v>
      </c>
      <c r="N89" t="str">
        <f t="shared" si="29"/>
        <v>5</v>
      </c>
      <c r="O89" t="str">
        <f t="shared" si="38"/>
        <v/>
      </c>
      <c r="P89" t="str">
        <f t="shared" si="24"/>
        <v/>
      </c>
      <c r="Q89" t="str">
        <f t="shared" si="24"/>
        <v/>
      </c>
      <c r="R89" t="str">
        <f t="shared" si="24"/>
        <v/>
      </c>
      <c r="S89" t="str">
        <f t="shared" si="24"/>
        <v/>
      </c>
      <c r="T89" t="str">
        <f t="shared" si="24"/>
        <v/>
      </c>
      <c r="U89" t="str">
        <f t="shared" si="24"/>
        <v/>
      </c>
      <c r="V89" s="5" t="s">
        <v>36</v>
      </c>
      <c r="W89" t="str">
        <f t="shared" si="30"/>
        <v/>
      </c>
      <c r="X89" t="str">
        <f t="shared" si="30"/>
        <v/>
      </c>
      <c r="Y89" s="5" t="s">
        <v>36</v>
      </c>
      <c r="Z89" t="str">
        <f t="shared" si="31"/>
        <v/>
      </c>
      <c r="AA89" t="str">
        <f t="shared" si="39"/>
        <v/>
      </c>
      <c r="AB89" s="5" t="s">
        <v>36</v>
      </c>
      <c r="AH89">
        <f t="shared" si="41"/>
        <v>84</v>
      </c>
      <c r="AI89">
        <f t="shared" si="35"/>
        <v>0</v>
      </c>
      <c r="AJ89">
        <f t="shared" si="40"/>
        <v>5</v>
      </c>
    </row>
    <row r="90" spans="1:36" x14ac:dyDescent="0.25">
      <c r="A90" s="5" t="s">
        <v>39</v>
      </c>
      <c r="B90" s="5" t="s">
        <v>30</v>
      </c>
      <c r="C90" s="5" t="str">
        <f t="shared" si="25"/>
        <v>description,dailCompDescFrostKnight,</v>
      </c>
      <c r="D90" s="5" t="str">
        <f t="shared" si="26"/>
        <v>itemText,dailCompTextFrostKnight,</v>
      </c>
      <c r="E90" s="5" t="str">
        <f t="shared" si="36"/>
        <v>augmentSkillLevel1,5,</v>
      </c>
      <c r="F90" s="5" t="str">
        <f t="shared" si="37"/>
        <v>augmentSkillName1,records/skills,</v>
      </c>
      <c r="G90" s="7" t="str">
        <f t="shared" si="32"/>
        <v/>
      </c>
      <c r="H90" s="8" t="str">
        <f t="shared" si="33"/>
        <v>FrostKnight</v>
      </c>
      <c r="J90" s="8" t="str">
        <f t="shared" si="42"/>
        <v>class0011</v>
      </c>
      <c r="K90" s="8" t="str">
        <f t="shared" si="42"/>
        <v>dailoneskill0011</v>
      </c>
      <c r="L90" s="5" t="str">
        <f t="shared" si="27"/>
        <v>lootName,DAIL/items/materia/class0011/FrostKnight.dbr,</v>
      </c>
      <c r="M90" s="5" t="str">
        <f t="shared" si="28"/>
        <v>lootWeight,1,</v>
      </c>
      <c r="N90" t="str">
        <f t="shared" si="29"/>
        <v>5</v>
      </c>
      <c r="O90" t="str">
        <f t="shared" si="38"/>
        <v/>
      </c>
      <c r="P90" t="str">
        <f t="shared" si="24"/>
        <v/>
      </c>
      <c r="Q90" t="str">
        <f t="shared" si="24"/>
        <v/>
      </c>
      <c r="R90" t="str">
        <f t="shared" si="24"/>
        <v/>
      </c>
      <c r="S90" t="str">
        <f t="shared" si="24"/>
        <v/>
      </c>
      <c r="T90" t="str">
        <f t="shared" si="24"/>
        <v/>
      </c>
      <c r="U90" t="str">
        <f t="shared" si="24"/>
        <v/>
      </c>
      <c r="V90" s="5" t="s">
        <v>36</v>
      </c>
      <c r="W90" t="str">
        <f t="shared" si="30"/>
        <v/>
      </c>
      <c r="X90" t="str">
        <f t="shared" si="30"/>
        <v/>
      </c>
      <c r="Y90" s="5" t="s">
        <v>36</v>
      </c>
      <c r="Z90" t="str">
        <f t="shared" si="31"/>
        <v/>
      </c>
      <c r="AA90" t="str">
        <f t="shared" si="39"/>
        <v/>
      </c>
      <c r="AB90" s="5" t="s">
        <v>36</v>
      </c>
      <c r="AH90">
        <f t="shared" si="41"/>
        <v>85</v>
      </c>
      <c r="AI90">
        <f t="shared" si="35"/>
        <v>0</v>
      </c>
      <c r="AJ90">
        <f t="shared" si="40"/>
        <v>5</v>
      </c>
    </row>
    <row r="91" spans="1:36" x14ac:dyDescent="0.25">
      <c r="A91" s="5" t="s">
        <v>39</v>
      </c>
      <c r="B91" s="5" t="s">
        <v>30</v>
      </c>
      <c r="C91" s="5" t="str">
        <f t="shared" si="25"/>
        <v>description,dailCompDescFrostKnight,</v>
      </c>
      <c r="D91" s="5" t="str">
        <f t="shared" si="26"/>
        <v>itemText,dailCompTextFrostKnight,</v>
      </c>
      <c r="E91" s="5" t="str">
        <f t="shared" si="36"/>
        <v>augmentSkillLevel1,5,</v>
      </c>
      <c r="F91" s="5" t="str">
        <f t="shared" si="37"/>
        <v>augmentSkillName1,records/skills,</v>
      </c>
      <c r="G91" s="7" t="str">
        <f t="shared" si="32"/>
        <v/>
      </c>
      <c r="H91" s="8" t="str">
        <f t="shared" si="33"/>
        <v>FrostKnight</v>
      </c>
      <c r="J91" s="8" t="str">
        <f t="shared" si="42"/>
        <v>class0011</v>
      </c>
      <c r="K91" s="8" t="str">
        <f t="shared" si="42"/>
        <v>dailoneskill0011</v>
      </c>
      <c r="L91" s="5" t="str">
        <f t="shared" si="27"/>
        <v>lootName,DAIL/items/materia/class0011/FrostKnight.dbr,</v>
      </c>
      <c r="M91" s="5" t="str">
        <f t="shared" si="28"/>
        <v>lootWeight,1,</v>
      </c>
      <c r="N91" t="str">
        <f t="shared" si="29"/>
        <v>5</v>
      </c>
      <c r="O91" t="str">
        <f t="shared" si="38"/>
        <v/>
      </c>
      <c r="P91" t="str">
        <f t="shared" si="24"/>
        <v/>
      </c>
      <c r="Q91" t="str">
        <f t="shared" si="24"/>
        <v/>
      </c>
      <c r="R91" t="str">
        <f t="shared" si="24"/>
        <v/>
      </c>
      <c r="S91" t="str">
        <f t="shared" si="24"/>
        <v/>
      </c>
      <c r="T91" t="str">
        <f t="shared" si="24"/>
        <v/>
      </c>
      <c r="U91" t="str">
        <f t="shared" si="24"/>
        <v/>
      </c>
      <c r="V91" s="5" t="s">
        <v>36</v>
      </c>
      <c r="W91" t="str">
        <f t="shared" si="30"/>
        <v/>
      </c>
      <c r="X91" t="str">
        <f t="shared" si="30"/>
        <v/>
      </c>
      <c r="Y91" s="5" t="s">
        <v>36</v>
      </c>
      <c r="Z91" t="str">
        <f t="shared" si="31"/>
        <v/>
      </c>
      <c r="AA91" t="str">
        <f t="shared" si="39"/>
        <v/>
      </c>
      <c r="AB91" s="5" t="s">
        <v>36</v>
      </c>
      <c r="AH91">
        <f t="shared" si="41"/>
        <v>86</v>
      </c>
      <c r="AI91">
        <f t="shared" si="35"/>
        <v>0</v>
      </c>
      <c r="AJ91">
        <f t="shared" si="40"/>
        <v>5</v>
      </c>
    </row>
    <row r="92" spans="1:36" x14ac:dyDescent="0.25">
      <c r="A92" s="5" t="s">
        <v>39</v>
      </c>
      <c r="B92" s="5" t="s">
        <v>30</v>
      </c>
      <c r="C92" s="5" t="str">
        <f t="shared" si="25"/>
        <v>description,dailCompDescFrostKnight,</v>
      </c>
      <c r="D92" s="5" t="str">
        <f t="shared" si="26"/>
        <v>itemText,dailCompTextFrostKnight,</v>
      </c>
      <c r="E92" s="5" t="str">
        <f t="shared" si="36"/>
        <v>augmentSkillLevel1,5,</v>
      </c>
      <c r="F92" s="5" t="str">
        <f t="shared" si="37"/>
        <v>augmentSkillName1,records/skills,</v>
      </c>
      <c r="G92" s="7" t="str">
        <f t="shared" si="32"/>
        <v/>
      </c>
      <c r="H92" s="8" t="str">
        <f t="shared" si="33"/>
        <v>FrostKnight</v>
      </c>
      <c r="J92" s="8" t="str">
        <f t="shared" si="42"/>
        <v>class0011</v>
      </c>
      <c r="K92" s="8" t="str">
        <f t="shared" si="42"/>
        <v>dailoneskill0011</v>
      </c>
      <c r="L92" s="5" t="str">
        <f t="shared" si="27"/>
        <v>lootName,DAIL/items/materia/class0011/FrostKnight.dbr,</v>
      </c>
      <c r="M92" s="5" t="str">
        <f t="shared" si="28"/>
        <v>lootWeight,1,</v>
      </c>
      <c r="N92" t="str">
        <f t="shared" si="29"/>
        <v>5</v>
      </c>
      <c r="O92" t="str">
        <f t="shared" si="38"/>
        <v/>
      </c>
      <c r="P92" t="str">
        <f t="shared" si="24"/>
        <v/>
      </c>
      <c r="Q92" t="str">
        <f t="shared" si="24"/>
        <v/>
      </c>
      <c r="R92" t="str">
        <f t="shared" si="24"/>
        <v/>
      </c>
      <c r="S92" t="str">
        <f t="shared" si="24"/>
        <v/>
      </c>
      <c r="T92" t="str">
        <f t="shared" si="24"/>
        <v/>
      </c>
      <c r="U92" t="str">
        <f t="shared" si="24"/>
        <v/>
      </c>
      <c r="V92" s="5" t="s">
        <v>36</v>
      </c>
      <c r="W92" t="str">
        <f t="shared" si="30"/>
        <v/>
      </c>
      <c r="X92" t="str">
        <f t="shared" si="30"/>
        <v/>
      </c>
      <c r="Y92" s="5" t="s">
        <v>36</v>
      </c>
      <c r="Z92" t="str">
        <f t="shared" si="31"/>
        <v/>
      </c>
      <c r="AA92" t="str">
        <f t="shared" si="39"/>
        <v/>
      </c>
      <c r="AB92" s="5" t="s">
        <v>36</v>
      </c>
      <c r="AH92">
        <f t="shared" si="41"/>
        <v>87</v>
      </c>
      <c r="AI92">
        <f t="shared" si="35"/>
        <v>0</v>
      </c>
      <c r="AJ92">
        <f t="shared" si="40"/>
        <v>5</v>
      </c>
    </row>
    <row r="93" spans="1:36" x14ac:dyDescent="0.25">
      <c r="A93" s="5" t="s">
        <v>39</v>
      </c>
      <c r="B93" s="5" t="s">
        <v>30</v>
      </c>
      <c r="C93" s="5" t="str">
        <f t="shared" si="25"/>
        <v>description,dailCompDescFrostKnight,</v>
      </c>
      <c r="D93" s="5" t="str">
        <f t="shared" si="26"/>
        <v>itemText,dailCompTextFrostKnight,</v>
      </c>
      <c r="E93" s="5" t="str">
        <f t="shared" si="36"/>
        <v>augmentSkillLevel1,5,</v>
      </c>
      <c r="F93" s="5" t="str">
        <f t="shared" si="37"/>
        <v>augmentSkillName1,records/skills,</v>
      </c>
      <c r="G93" s="7" t="str">
        <f t="shared" si="32"/>
        <v/>
      </c>
      <c r="H93" s="8" t="str">
        <f t="shared" si="33"/>
        <v>FrostKnight</v>
      </c>
      <c r="J93" s="8" t="str">
        <f t="shared" si="42"/>
        <v>class0011</v>
      </c>
      <c r="K93" s="8" t="str">
        <f t="shared" si="42"/>
        <v>dailoneskill0011</v>
      </c>
      <c r="L93" s="5" t="str">
        <f t="shared" si="27"/>
        <v>lootName,DAIL/items/materia/class0011/FrostKnight.dbr,</v>
      </c>
      <c r="M93" s="5" t="str">
        <f t="shared" si="28"/>
        <v>lootWeight,1,</v>
      </c>
      <c r="N93" t="str">
        <f t="shared" si="29"/>
        <v>5</v>
      </c>
      <c r="O93" t="str">
        <f t="shared" si="38"/>
        <v/>
      </c>
      <c r="P93" t="str">
        <f t="shared" si="24"/>
        <v/>
      </c>
      <c r="Q93" t="str">
        <f t="shared" si="24"/>
        <v/>
      </c>
      <c r="R93" t="str">
        <f t="shared" si="24"/>
        <v/>
      </c>
      <c r="S93" t="str">
        <f t="shared" si="24"/>
        <v/>
      </c>
      <c r="T93" t="str">
        <f t="shared" si="24"/>
        <v/>
      </c>
      <c r="U93" t="str">
        <f t="shared" si="24"/>
        <v/>
      </c>
      <c r="V93" s="5" t="s">
        <v>36</v>
      </c>
      <c r="W93" t="str">
        <f t="shared" si="30"/>
        <v/>
      </c>
      <c r="X93" t="str">
        <f t="shared" si="30"/>
        <v/>
      </c>
      <c r="Y93" s="5" t="s">
        <v>36</v>
      </c>
      <c r="Z93" t="str">
        <f t="shared" si="31"/>
        <v/>
      </c>
      <c r="AA93" t="str">
        <f t="shared" si="39"/>
        <v/>
      </c>
      <c r="AB93" s="5" t="s">
        <v>36</v>
      </c>
      <c r="AH93">
        <f t="shared" si="41"/>
        <v>88</v>
      </c>
      <c r="AI93">
        <f t="shared" si="35"/>
        <v>0</v>
      </c>
      <c r="AJ93">
        <f t="shared" si="40"/>
        <v>5</v>
      </c>
    </row>
    <row r="94" spans="1:36" x14ac:dyDescent="0.25">
      <c r="A94" s="5" t="s">
        <v>39</v>
      </c>
      <c r="B94" s="5" t="s">
        <v>30</v>
      </c>
      <c r="C94" s="5" t="str">
        <f t="shared" si="25"/>
        <v>description,dailCompDescFrostKnight,</v>
      </c>
      <c r="D94" s="5" t="str">
        <f t="shared" si="26"/>
        <v>itemText,dailCompTextFrostKnight,</v>
      </c>
      <c r="E94" s="5" t="str">
        <f t="shared" si="36"/>
        <v>augmentSkillLevel1,5,</v>
      </c>
      <c r="F94" s="5" t="str">
        <f t="shared" si="37"/>
        <v>augmentSkillName1,records/skills,</v>
      </c>
      <c r="G94" s="7" t="str">
        <f t="shared" si="32"/>
        <v/>
      </c>
      <c r="H94" s="8" t="str">
        <f t="shared" si="33"/>
        <v>FrostKnight</v>
      </c>
      <c r="J94" s="8" t="str">
        <f t="shared" si="42"/>
        <v>class0011</v>
      </c>
      <c r="K94" s="8" t="str">
        <f t="shared" si="42"/>
        <v>dailoneskill0011</v>
      </c>
      <c r="L94" s="5" t="str">
        <f t="shared" si="27"/>
        <v>lootName,DAIL/items/materia/class0011/FrostKnight.dbr,</v>
      </c>
      <c r="M94" s="5" t="str">
        <f t="shared" si="28"/>
        <v>lootWeight,1,</v>
      </c>
      <c r="N94" t="str">
        <f t="shared" si="29"/>
        <v>5</v>
      </c>
      <c r="O94" t="str">
        <f t="shared" si="38"/>
        <v/>
      </c>
      <c r="P94" t="str">
        <f t="shared" si="24"/>
        <v/>
      </c>
      <c r="Q94" t="str">
        <f t="shared" si="24"/>
        <v/>
      </c>
      <c r="R94" t="str">
        <f t="shared" si="24"/>
        <v/>
      </c>
      <c r="S94" t="str">
        <f t="shared" si="24"/>
        <v/>
      </c>
      <c r="T94" t="str">
        <f t="shared" si="24"/>
        <v/>
      </c>
      <c r="U94" t="str">
        <f t="shared" si="24"/>
        <v/>
      </c>
      <c r="V94" s="5" t="s">
        <v>36</v>
      </c>
      <c r="W94" t="str">
        <f t="shared" si="30"/>
        <v/>
      </c>
      <c r="X94" t="str">
        <f t="shared" si="30"/>
        <v/>
      </c>
      <c r="Y94" s="5" t="s">
        <v>36</v>
      </c>
      <c r="Z94" t="str">
        <f t="shared" si="31"/>
        <v/>
      </c>
      <c r="AA94" t="str">
        <f t="shared" si="39"/>
        <v/>
      </c>
      <c r="AB94" s="5" t="s">
        <v>36</v>
      </c>
      <c r="AH94">
        <f t="shared" si="41"/>
        <v>89</v>
      </c>
      <c r="AI94">
        <f t="shared" si="35"/>
        <v>0</v>
      </c>
      <c r="AJ94">
        <f t="shared" si="40"/>
        <v>5</v>
      </c>
    </row>
    <row r="95" spans="1:36" x14ac:dyDescent="0.25">
      <c r="A95" s="5" t="s">
        <v>39</v>
      </c>
      <c r="B95" s="5" t="s">
        <v>30</v>
      </c>
      <c r="C95" s="5" t="str">
        <f t="shared" si="25"/>
        <v>description,dailCompDescFrostKnight,</v>
      </c>
      <c r="D95" s="5" t="str">
        <f t="shared" si="26"/>
        <v>itemText,dailCompTextFrostKnight,</v>
      </c>
      <c r="E95" s="5" t="str">
        <f t="shared" si="36"/>
        <v>augmentSkillLevel1,5,</v>
      </c>
      <c r="F95" s="5" t="str">
        <f t="shared" si="37"/>
        <v>augmentSkillName1,records/skills,</v>
      </c>
      <c r="G95" s="7" t="str">
        <f t="shared" si="32"/>
        <v/>
      </c>
      <c r="H95" s="8" t="str">
        <f t="shared" si="33"/>
        <v>FrostKnight</v>
      </c>
      <c r="J95" s="8" t="str">
        <f t="shared" si="42"/>
        <v>class0011</v>
      </c>
      <c r="K95" s="8" t="str">
        <f t="shared" si="42"/>
        <v>dailoneskill0011</v>
      </c>
      <c r="L95" s="5" t="str">
        <f t="shared" si="27"/>
        <v>lootName,DAIL/items/materia/class0011/FrostKnight.dbr,</v>
      </c>
      <c r="M95" s="5" t="str">
        <f t="shared" si="28"/>
        <v>lootWeight,1,</v>
      </c>
      <c r="N95" t="str">
        <f t="shared" si="29"/>
        <v>5</v>
      </c>
      <c r="O95" t="str">
        <f t="shared" si="38"/>
        <v/>
      </c>
      <c r="P95" t="str">
        <f t="shared" si="24"/>
        <v/>
      </c>
      <c r="Q95" t="str">
        <f t="shared" si="24"/>
        <v/>
      </c>
      <c r="R95" t="str">
        <f t="shared" si="24"/>
        <v/>
      </c>
      <c r="S95" t="str">
        <f t="shared" si="24"/>
        <v/>
      </c>
      <c r="T95" t="str">
        <f t="shared" si="24"/>
        <v/>
      </c>
      <c r="U95" t="str">
        <f t="shared" si="24"/>
        <v/>
      </c>
      <c r="V95" s="5" t="s">
        <v>36</v>
      </c>
      <c r="W95" t="str">
        <f t="shared" si="30"/>
        <v/>
      </c>
      <c r="X95" t="str">
        <f t="shared" si="30"/>
        <v/>
      </c>
      <c r="Y95" s="5" t="s">
        <v>36</v>
      </c>
      <c r="Z95" t="str">
        <f t="shared" si="31"/>
        <v/>
      </c>
      <c r="AA95" t="str">
        <f t="shared" si="39"/>
        <v/>
      </c>
      <c r="AB95" s="5" t="s">
        <v>36</v>
      </c>
      <c r="AH95">
        <f t="shared" si="41"/>
        <v>90</v>
      </c>
      <c r="AI95">
        <f t="shared" si="35"/>
        <v>0</v>
      </c>
      <c r="AJ95">
        <f t="shared" si="40"/>
        <v>5</v>
      </c>
    </row>
    <row r="96" spans="1:36" x14ac:dyDescent="0.25">
      <c r="A96" s="5" t="s">
        <v>39</v>
      </c>
      <c r="B96" s="5" t="s">
        <v>30</v>
      </c>
      <c r="C96" s="5" t="str">
        <f t="shared" si="25"/>
        <v>description,dailCompDescFrostKnight,</v>
      </c>
      <c r="D96" s="5" t="str">
        <f t="shared" si="26"/>
        <v>itemText,dailCompTextFrostKnight,</v>
      </c>
      <c r="E96" s="5" t="str">
        <f t="shared" si="36"/>
        <v>augmentSkillLevel1,5,</v>
      </c>
      <c r="F96" s="5" t="str">
        <f t="shared" si="37"/>
        <v>augmentSkillName1,records/skills,</v>
      </c>
      <c r="G96" s="7" t="str">
        <f t="shared" si="32"/>
        <v/>
      </c>
      <c r="H96" s="8" t="str">
        <f t="shared" si="33"/>
        <v>FrostKnight</v>
      </c>
      <c r="J96" s="8" t="str">
        <f t="shared" si="42"/>
        <v>class0011</v>
      </c>
      <c r="K96" s="8" t="str">
        <f t="shared" si="42"/>
        <v>dailoneskill0011</v>
      </c>
      <c r="L96" s="5" t="str">
        <f t="shared" si="27"/>
        <v>lootName,DAIL/items/materia/class0011/FrostKnight.dbr,</v>
      </c>
      <c r="M96" s="5" t="str">
        <f t="shared" si="28"/>
        <v>lootWeight,1,</v>
      </c>
      <c r="N96" t="str">
        <f t="shared" si="29"/>
        <v>5</v>
      </c>
      <c r="O96" t="str">
        <f t="shared" si="38"/>
        <v/>
      </c>
      <c r="P96" t="str">
        <f t="shared" si="24"/>
        <v/>
      </c>
      <c r="Q96" t="str">
        <f t="shared" si="24"/>
        <v/>
      </c>
      <c r="R96" t="str">
        <f t="shared" si="24"/>
        <v/>
      </c>
      <c r="S96" t="str">
        <f t="shared" si="24"/>
        <v/>
      </c>
      <c r="T96" t="str">
        <f t="shared" si="24"/>
        <v/>
      </c>
      <c r="U96" t="str">
        <f t="shared" si="24"/>
        <v/>
      </c>
      <c r="V96" s="5" t="s">
        <v>36</v>
      </c>
      <c r="W96" t="str">
        <f t="shared" si="30"/>
        <v/>
      </c>
      <c r="X96" t="str">
        <f t="shared" si="30"/>
        <v/>
      </c>
      <c r="Y96" s="5" t="s">
        <v>36</v>
      </c>
      <c r="Z96" t="str">
        <f t="shared" si="31"/>
        <v/>
      </c>
      <c r="AA96" t="str">
        <f t="shared" si="39"/>
        <v/>
      </c>
      <c r="AB96" s="5" t="s">
        <v>36</v>
      </c>
      <c r="AH96">
        <f t="shared" si="41"/>
        <v>91</v>
      </c>
      <c r="AI96">
        <f t="shared" si="35"/>
        <v>0</v>
      </c>
      <c r="AJ96">
        <f t="shared" si="40"/>
        <v>5</v>
      </c>
    </row>
    <row r="97" spans="1:36" x14ac:dyDescent="0.25">
      <c r="A97" s="5" t="s">
        <v>39</v>
      </c>
      <c r="B97" s="5" t="s">
        <v>30</v>
      </c>
      <c r="C97" s="5" t="str">
        <f t="shared" si="25"/>
        <v>description,dailCompDescFrostKnight,</v>
      </c>
      <c r="D97" s="5" t="str">
        <f t="shared" si="26"/>
        <v>itemText,dailCompTextFrostKnight,</v>
      </c>
      <c r="E97" s="5" t="str">
        <f t="shared" si="36"/>
        <v>augmentSkillLevel1,5,</v>
      </c>
      <c r="F97" s="5" t="str">
        <f t="shared" si="37"/>
        <v>augmentSkillName1,records/skills,</v>
      </c>
      <c r="G97" s="7" t="str">
        <f t="shared" si="32"/>
        <v/>
      </c>
      <c r="H97" s="8" t="str">
        <f t="shared" si="33"/>
        <v>FrostKnight</v>
      </c>
      <c r="J97" s="8" t="str">
        <f t="shared" si="42"/>
        <v>class0011</v>
      </c>
      <c r="K97" s="8" t="str">
        <f t="shared" si="42"/>
        <v>dailoneskill0011</v>
      </c>
      <c r="L97" s="5" t="str">
        <f t="shared" si="27"/>
        <v>lootName,DAIL/items/materia/class0011/FrostKnight.dbr,</v>
      </c>
      <c r="M97" s="5" t="str">
        <f t="shared" si="28"/>
        <v>lootWeight,1,</v>
      </c>
      <c r="N97" t="str">
        <f t="shared" si="29"/>
        <v>5</v>
      </c>
      <c r="O97" t="str">
        <f t="shared" si="38"/>
        <v/>
      </c>
      <c r="P97" t="str">
        <f t="shared" si="24"/>
        <v/>
      </c>
      <c r="Q97" t="str">
        <f t="shared" si="24"/>
        <v/>
      </c>
      <c r="R97" t="str">
        <f t="shared" si="24"/>
        <v/>
      </c>
      <c r="S97" t="str">
        <f t="shared" si="24"/>
        <v/>
      </c>
      <c r="T97" t="str">
        <f t="shared" si="24"/>
        <v/>
      </c>
      <c r="U97" t="str">
        <f t="shared" si="24"/>
        <v/>
      </c>
      <c r="V97" s="5" t="s">
        <v>36</v>
      </c>
      <c r="W97" t="str">
        <f t="shared" si="30"/>
        <v/>
      </c>
      <c r="X97" t="str">
        <f t="shared" si="30"/>
        <v/>
      </c>
      <c r="Y97" s="5" t="s">
        <v>36</v>
      </c>
      <c r="Z97" t="str">
        <f t="shared" si="31"/>
        <v/>
      </c>
      <c r="AA97" t="str">
        <f t="shared" si="39"/>
        <v/>
      </c>
      <c r="AB97" s="5" t="s">
        <v>36</v>
      </c>
      <c r="AH97">
        <f t="shared" si="41"/>
        <v>92</v>
      </c>
      <c r="AI97">
        <f t="shared" si="35"/>
        <v>0</v>
      </c>
      <c r="AJ97">
        <f t="shared" si="40"/>
        <v>5</v>
      </c>
    </row>
    <row r="98" spans="1:36" x14ac:dyDescent="0.25">
      <c r="A98" s="5" t="s">
        <v>39</v>
      </c>
      <c r="B98" s="5" t="s">
        <v>30</v>
      </c>
      <c r="C98" s="5" t="str">
        <f t="shared" si="25"/>
        <v>description,dailCompDescFrostKnight,</v>
      </c>
      <c r="D98" s="5" t="str">
        <f t="shared" si="26"/>
        <v>itemText,dailCompTextFrostKnight,</v>
      </c>
      <c r="E98" s="5" t="str">
        <f t="shared" si="36"/>
        <v>augmentSkillLevel1,5,</v>
      </c>
      <c r="F98" s="5" t="str">
        <f t="shared" si="37"/>
        <v>augmentSkillName1,records/skills,</v>
      </c>
      <c r="G98" s="7" t="str">
        <f t="shared" si="32"/>
        <v/>
      </c>
      <c r="H98" s="8" t="str">
        <f t="shared" si="33"/>
        <v>FrostKnight</v>
      </c>
      <c r="J98" s="8" t="str">
        <f t="shared" si="42"/>
        <v>class0011</v>
      </c>
      <c r="K98" s="8" t="str">
        <f t="shared" si="42"/>
        <v>dailoneskill0011</v>
      </c>
      <c r="L98" s="5" t="str">
        <f t="shared" si="27"/>
        <v>lootName,DAIL/items/materia/class0011/FrostKnight.dbr,</v>
      </c>
      <c r="M98" s="5" t="str">
        <f t="shared" si="28"/>
        <v>lootWeight,1,</v>
      </c>
      <c r="N98" t="str">
        <f t="shared" si="29"/>
        <v>5</v>
      </c>
      <c r="O98" t="str">
        <f t="shared" si="38"/>
        <v/>
      </c>
      <c r="P98" t="str">
        <f t="shared" si="24"/>
        <v/>
      </c>
      <c r="Q98" t="str">
        <f t="shared" si="24"/>
        <v/>
      </c>
      <c r="R98" t="str">
        <f t="shared" si="24"/>
        <v/>
      </c>
      <c r="S98" t="str">
        <f t="shared" si="24"/>
        <v/>
      </c>
      <c r="T98" t="str">
        <f t="shared" si="24"/>
        <v/>
      </c>
      <c r="U98" t="str">
        <f t="shared" si="24"/>
        <v/>
      </c>
      <c r="V98" s="5" t="s">
        <v>36</v>
      </c>
      <c r="W98" t="str">
        <f t="shared" si="30"/>
        <v/>
      </c>
      <c r="X98" t="str">
        <f t="shared" si="30"/>
        <v/>
      </c>
      <c r="Y98" s="5" t="s">
        <v>36</v>
      </c>
      <c r="Z98" t="str">
        <f t="shared" si="31"/>
        <v/>
      </c>
      <c r="AA98" t="str">
        <f t="shared" si="39"/>
        <v/>
      </c>
      <c r="AB98" s="5" t="s">
        <v>36</v>
      </c>
      <c r="AH98">
        <f t="shared" si="41"/>
        <v>93</v>
      </c>
      <c r="AI98">
        <f t="shared" si="35"/>
        <v>0</v>
      </c>
      <c r="AJ98">
        <f t="shared" si="40"/>
        <v>5</v>
      </c>
    </row>
    <row r="99" spans="1:36" x14ac:dyDescent="0.25">
      <c r="A99" s="5" t="s">
        <v>39</v>
      </c>
      <c r="B99" s="5" t="s">
        <v>30</v>
      </c>
      <c r="C99" s="5" t="str">
        <f t="shared" si="25"/>
        <v>description,dailCompDescFrostKnight,</v>
      </c>
      <c r="D99" s="5" t="str">
        <f t="shared" si="26"/>
        <v>itemText,dailCompTextFrostKnight,</v>
      </c>
      <c r="E99" s="5" t="str">
        <f t="shared" si="36"/>
        <v>augmentSkillLevel1,5,</v>
      </c>
      <c r="F99" s="5" t="str">
        <f t="shared" si="37"/>
        <v>augmentSkillName1,records/skills,</v>
      </c>
      <c r="G99" s="7" t="str">
        <f t="shared" si="32"/>
        <v/>
      </c>
      <c r="H99" s="8" t="str">
        <f t="shared" si="33"/>
        <v>FrostKnight</v>
      </c>
      <c r="J99" s="8" t="str">
        <f t="shared" si="42"/>
        <v>class0011</v>
      </c>
      <c r="K99" s="8" t="str">
        <f t="shared" si="42"/>
        <v>dailoneskill0011</v>
      </c>
      <c r="L99" s="5" t="str">
        <f t="shared" si="27"/>
        <v>lootName,DAIL/items/materia/class0011/FrostKnight.dbr,</v>
      </c>
      <c r="M99" s="5" t="str">
        <f t="shared" si="28"/>
        <v>lootWeight,1,</v>
      </c>
      <c r="N99" t="str">
        <f t="shared" si="29"/>
        <v>5</v>
      </c>
      <c r="O99" t="str">
        <f t="shared" si="38"/>
        <v/>
      </c>
      <c r="P99" t="str">
        <f t="shared" si="24"/>
        <v/>
      </c>
      <c r="Q99" t="str">
        <f t="shared" si="24"/>
        <v/>
      </c>
      <c r="R99" t="str">
        <f t="shared" si="24"/>
        <v/>
      </c>
      <c r="S99" t="str">
        <f t="shared" si="24"/>
        <v/>
      </c>
      <c r="T99" t="str">
        <f t="shared" si="24"/>
        <v/>
      </c>
      <c r="U99" t="str">
        <f t="shared" si="24"/>
        <v/>
      </c>
      <c r="V99" s="5" t="s">
        <v>36</v>
      </c>
      <c r="W99" t="str">
        <f t="shared" si="30"/>
        <v/>
      </c>
      <c r="X99" t="str">
        <f t="shared" si="30"/>
        <v/>
      </c>
      <c r="Y99" s="5" t="s">
        <v>36</v>
      </c>
      <c r="Z99" t="str">
        <f t="shared" si="31"/>
        <v/>
      </c>
      <c r="AA99" t="str">
        <f t="shared" si="39"/>
        <v/>
      </c>
      <c r="AB99" s="5" t="s">
        <v>36</v>
      </c>
      <c r="AH99">
        <f t="shared" si="41"/>
        <v>94</v>
      </c>
      <c r="AI99">
        <f t="shared" si="35"/>
        <v>0</v>
      </c>
      <c r="AJ99">
        <f t="shared" si="40"/>
        <v>5</v>
      </c>
    </row>
    <row r="100" spans="1:36" x14ac:dyDescent="0.25">
      <c r="A100" s="5" t="s">
        <v>39</v>
      </c>
      <c r="B100" s="5" t="s">
        <v>30</v>
      </c>
      <c r="C100" s="5" t="str">
        <f t="shared" si="25"/>
        <v>description,dailCompDescFrostKnight,</v>
      </c>
      <c r="D100" s="5" t="str">
        <f t="shared" si="26"/>
        <v>itemText,dailCompTextFrostKnight,</v>
      </c>
      <c r="E100" s="5" t="str">
        <f t="shared" si="36"/>
        <v>augmentSkillLevel1,5,</v>
      </c>
      <c r="F100" s="5" t="str">
        <f t="shared" si="37"/>
        <v>augmentSkillName1,records/skills,</v>
      </c>
      <c r="G100" s="7" t="str">
        <f t="shared" si="32"/>
        <v/>
      </c>
      <c r="H100" s="8" t="str">
        <f t="shared" si="33"/>
        <v>FrostKnight</v>
      </c>
      <c r="J100" s="8" t="str">
        <f t="shared" si="42"/>
        <v>class0011</v>
      </c>
      <c r="K100" s="8" t="str">
        <f t="shared" si="42"/>
        <v>dailoneskill0011</v>
      </c>
      <c r="L100" s="5" t="str">
        <f t="shared" si="27"/>
        <v>lootName,DAIL/items/materia/class0011/FrostKnight.dbr,</v>
      </c>
      <c r="M100" s="5" t="str">
        <f t="shared" si="28"/>
        <v>lootWeight,1,</v>
      </c>
      <c r="N100" t="str">
        <f t="shared" si="29"/>
        <v>5</v>
      </c>
      <c r="O100" t="str">
        <f t="shared" si="38"/>
        <v/>
      </c>
      <c r="P100" t="str">
        <f t="shared" si="24"/>
        <v/>
      </c>
      <c r="Q100" t="str">
        <f t="shared" si="24"/>
        <v/>
      </c>
      <c r="R100" t="str">
        <f t="shared" si="24"/>
        <v/>
      </c>
      <c r="S100" t="str">
        <f t="shared" si="24"/>
        <v/>
      </c>
      <c r="T100" t="str">
        <f t="shared" si="24"/>
        <v/>
      </c>
      <c r="U100" t="str">
        <f t="shared" si="24"/>
        <v/>
      </c>
      <c r="V100" s="5" t="s">
        <v>36</v>
      </c>
      <c r="W100" t="str">
        <f t="shared" si="30"/>
        <v/>
      </c>
      <c r="X100" t="str">
        <f t="shared" si="30"/>
        <v/>
      </c>
      <c r="Y100" s="5" t="s">
        <v>36</v>
      </c>
      <c r="Z100" t="str">
        <f t="shared" si="31"/>
        <v/>
      </c>
      <c r="AA100" t="str">
        <f t="shared" si="39"/>
        <v/>
      </c>
      <c r="AB100" s="5" t="s">
        <v>36</v>
      </c>
      <c r="AH100">
        <f t="shared" si="41"/>
        <v>95</v>
      </c>
      <c r="AI100">
        <f t="shared" si="35"/>
        <v>0</v>
      </c>
      <c r="AJ100">
        <f t="shared" si="40"/>
        <v>5</v>
      </c>
    </row>
    <row r="101" spans="1:36" x14ac:dyDescent="0.25">
      <c r="A101" s="5" t="s">
        <v>39</v>
      </c>
      <c r="B101" s="5" t="s">
        <v>30</v>
      </c>
      <c r="C101" s="5" t="str">
        <f t="shared" si="25"/>
        <v>description,dailCompDescFrostKnight,</v>
      </c>
      <c r="D101" s="5" t="str">
        <f t="shared" si="26"/>
        <v>itemText,dailCompTextFrostKnight,</v>
      </c>
      <c r="E101" s="5" t="str">
        <f t="shared" si="36"/>
        <v>augmentSkillLevel1,5,</v>
      </c>
      <c r="F101" s="5" t="str">
        <f t="shared" si="37"/>
        <v>augmentSkillName1,records/skills,</v>
      </c>
      <c r="G101" s="7" t="str">
        <f t="shared" si="32"/>
        <v/>
      </c>
      <c r="H101" s="8" t="str">
        <f t="shared" si="33"/>
        <v>FrostKnight</v>
      </c>
      <c r="J101" s="8" t="str">
        <f t="shared" ref="J101:K102" si="43">J100</f>
        <v>class0011</v>
      </c>
      <c r="K101" s="8" t="str">
        <f t="shared" si="43"/>
        <v>dailoneskill0011</v>
      </c>
      <c r="L101" s="5" t="str">
        <f t="shared" si="27"/>
        <v>lootName,DAIL/items/materia/class0011/FrostKnight.dbr,</v>
      </c>
      <c r="M101" s="5" t="str">
        <f t="shared" si="28"/>
        <v>lootWeight,1,</v>
      </c>
      <c r="N101" t="str">
        <f t="shared" si="29"/>
        <v>5</v>
      </c>
      <c r="O101" t="str">
        <f t="shared" si="38"/>
        <v/>
      </c>
      <c r="P101" t="str">
        <f t="shared" si="24"/>
        <v/>
      </c>
      <c r="Q101" t="str">
        <f t="shared" si="24"/>
        <v/>
      </c>
      <c r="R101" t="str">
        <f t="shared" si="24"/>
        <v/>
      </c>
      <c r="S101" t="str">
        <f t="shared" ref="S101:U102" si="44">IF($I101&lt;&gt;"","echo "&amp;D101&amp;" &gt;&gt; .\items\materia\"&amp;$J101&amp;"\"&amp;$H101&amp;$G101&amp;".dbr","")</f>
        <v/>
      </c>
      <c r="T101" t="str">
        <f t="shared" si="44"/>
        <v/>
      </c>
      <c r="U101" t="str">
        <f t="shared" si="44"/>
        <v/>
      </c>
      <c r="V101" s="5" t="s">
        <v>36</v>
      </c>
      <c r="W101" t="str">
        <f t="shared" si="30"/>
        <v/>
      </c>
      <c r="X101" t="str">
        <f t="shared" si="30"/>
        <v/>
      </c>
      <c r="Y101" s="5" t="s">
        <v>36</v>
      </c>
      <c r="Z101" t="str">
        <f t="shared" si="31"/>
        <v/>
      </c>
      <c r="AA101" t="str">
        <f t="shared" si="39"/>
        <v/>
      </c>
      <c r="AB101" s="5" t="s">
        <v>36</v>
      </c>
      <c r="AH101">
        <f t="shared" si="41"/>
        <v>96</v>
      </c>
      <c r="AI101">
        <f t="shared" si="35"/>
        <v>0</v>
      </c>
      <c r="AJ101">
        <f t="shared" si="40"/>
        <v>5</v>
      </c>
    </row>
    <row r="102" spans="1:36" x14ac:dyDescent="0.25">
      <c r="A102" s="5" t="s">
        <v>39</v>
      </c>
      <c r="B102" s="5" t="s">
        <v>30</v>
      </c>
      <c r="C102" s="5" t="str">
        <f t="shared" si="25"/>
        <v>description,dailCompDescFrostKnight,</v>
      </c>
      <c r="D102" s="5" t="str">
        <f t="shared" si="26"/>
        <v>itemText,dailCompTextFrostKnight,</v>
      </c>
      <c r="E102" s="5" t="str">
        <f t="shared" si="36"/>
        <v>augmentSkillLevel1,5,</v>
      </c>
      <c r="F102" s="5" t="str">
        <f t="shared" si="37"/>
        <v>augmentSkillName1,records/skills,</v>
      </c>
      <c r="G102" s="7" t="str">
        <f t="shared" si="32"/>
        <v/>
      </c>
      <c r="H102" s="8" t="str">
        <f t="shared" si="33"/>
        <v>FrostKnight</v>
      </c>
      <c r="J102" s="8" t="str">
        <f t="shared" si="43"/>
        <v>class0011</v>
      </c>
      <c r="K102" s="8" t="str">
        <f t="shared" si="43"/>
        <v>dailoneskill0011</v>
      </c>
      <c r="L102" s="5" t="str">
        <f t="shared" si="27"/>
        <v>lootName,DAIL/items/materia/class0011/FrostKnight.dbr,</v>
      </c>
      <c r="M102" s="5" t="str">
        <f t="shared" si="28"/>
        <v>lootWeight,1,</v>
      </c>
      <c r="N102" t="str">
        <f t="shared" si="29"/>
        <v>5</v>
      </c>
      <c r="O102" t="str">
        <f t="shared" si="38"/>
        <v/>
      </c>
      <c r="P102" t="str">
        <f t="shared" ref="P102:R102" si="45">IF($I102&lt;&gt;"","echo "&amp;A102&amp;" &gt;&gt; .\items\materia\"&amp;$J102&amp;"\"&amp;$H102&amp;$G102&amp;".dbr","")</f>
        <v/>
      </c>
      <c r="Q102" t="str">
        <f t="shared" si="45"/>
        <v/>
      </c>
      <c r="R102" t="str">
        <f t="shared" si="45"/>
        <v/>
      </c>
      <c r="S102" t="str">
        <f t="shared" si="44"/>
        <v/>
      </c>
      <c r="T102" t="str">
        <f t="shared" si="44"/>
        <v/>
      </c>
      <c r="U102" t="str">
        <f t="shared" si="44"/>
        <v/>
      </c>
      <c r="V102" s="5" t="s">
        <v>36</v>
      </c>
      <c r="W102" t="str">
        <f t="shared" si="30"/>
        <v/>
      </c>
      <c r="X102" t="str">
        <f t="shared" si="30"/>
        <v/>
      </c>
      <c r="Y102" s="5" t="s">
        <v>36</v>
      </c>
      <c r="Z102" t="str">
        <f t="shared" si="31"/>
        <v/>
      </c>
      <c r="AA102" t="str">
        <f t="shared" si="39"/>
        <v/>
      </c>
      <c r="AB102" s="5" t="s">
        <v>36</v>
      </c>
      <c r="AH102">
        <f t="shared" si="41"/>
        <v>97</v>
      </c>
      <c r="AI102">
        <f t="shared" si="35"/>
        <v>0</v>
      </c>
      <c r="AJ102">
        <f t="shared" si="40"/>
        <v>5</v>
      </c>
    </row>
  </sheetData>
  <mergeCells count="1">
    <mergeCell ref="O2:U2"/>
  </mergeCells>
  <pageMargins left="0.7" right="0.7" top="0.75" bottom="0.75" header="0.3" footer="0.3"/>
  <pageSetup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AL102"/>
  <sheetViews>
    <sheetView topLeftCell="M1" zoomScaleNormal="100" workbookViewId="0">
      <selection activeCell="U3" sqref="U3:U102"/>
    </sheetView>
  </sheetViews>
  <sheetFormatPr defaultRowHeight="15" x14ac:dyDescent="0.25"/>
  <cols>
    <col min="1" max="1" width="73.85546875" style="5" bestFit="1" customWidth="1"/>
    <col min="2" max="2" width="16.28515625" style="5" bestFit="1" customWidth="1"/>
    <col min="3" max="3" width="32.7109375" style="5" bestFit="1" customWidth="1"/>
    <col min="4" max="4" width="31.42578125" style="5" bestFit="1" customWidth="1"/>
    <col min="5" max="5" width="24.28515625" style="5" bestFit="1" customWidth="1"/>
    <col min="6" max="6" width="73.5703125" style="5" bestFit="1" customWidth="1"/>
    <col min="7" max="7" width="5.85546875" style="8" bestFit="1" customWidth="1"/>
    <col min="8" max="8" width="7.85546875" style="3" bestFit="1" customWidth="1"/>
    <col min="9" max="9" width="38.140625" style="3" bestFit="1" customWidth="1"/>
    <col min="10" max="10" width="9.140625" style="3" bestFit="1" customWidth="1"/>
    <col min="11" max="11" width="18.140625" style="3" customWidth="1"/>
    <col min="12" max="12" width="51.85546875" style="5" bestFit="1" customWidth="1"/>
    <col min="13" max="13" width="21.28515625" style="5" customWidth="1"/>
    <col min="15" max="15" width="10.5703125" customWidth="1"/>
    <col min="22" max="22" width="1.5703125" style="5" customWidth="1"/>
    <col min="23" max="23" width="9.5703125" customWidth="1"/>
    <col min="25" max="25" width="1.5703125" style="5" bestFit="1" customWidth="1"/>
    <col min="26" max="26" width="46.7109375" bestFit="1" customWidth="1"/>
    <col min="27" max="27" width="29.140625" customWidth="1"/>
    <col min="28" max="28" width="1.5703125" style="5" bestFit="1" customWidth="1"/>
    <col min="31" max="31" width="14.140625" bestFit="1" customWidth="1"/>
  </cols>
  <sheetData>
    <row r="1" spans="1:38" x14ac:dyDescent="0.25">
      <c r="G1" s="5"/>
      <c r="H1" s="5"/>
      <c r="I1" s="5"/>
      <c r="J1" s="5"/>
      <c r="K1" s="5"/>
      <c r="N1" s="5"/>
      <c r="O1" s="9"/>
      <c r="P1" s="9"/>
      <c r="Q1" s="9"/>
      <c r="R1" s="9"/>
      <c r="S1" s="9"/>
      <c r="T1" s="9"/>
      <c r="U1" s="9"/>
      <c r="W1" s="9"/>
      <c r="X1" s="9"/>
      <c r="Z1" s="9"/>
      <c r="AA1" s="9"/>
    </row>
    <row r="2" spans="1:38" x14ac:dyDescent="0.25">
      <c r="A2" s="4" t="s">
        <v>2</v>
      </c>
      <c r="B2" s="4" t="s">
        <v>3</v>
      </c>
      <c r="C2" s="4" t="s">
        <v>4</v>
      </c>
      <c r="D2" s="4" t="s">
        <v>5</v>
      </c>
      <c r="E2" s="4" t="s">
        <v>6</v>
      </c>
      <c r="F2" s="4" t="s">
        <v>7</v>
      </c>
      <c r="G2" s="6" t="s">
        <v>9</v>
      </c>
      <c r="H2" s="2" t="s">
        <v>26</v>
      </c>
      <c r="I2" s="2" t="s">
        <v>8</v>
      </c>
      <c r="J2" s="2" t="s">
        <v>33</v>
      </c>
      <c r="K2" s="2" t="s">
        <v>38</v>
      </c>
      <c r="L2" s="4" t="s">
        <v>31</v>
      </c>
      <c r="M2" s="4" t="s">
        <v>32</v>
      </c>
      <c r="O2" s="11" t="str">
        <f>"Copy from N to T Into the files named "&amp;H3&amp;G3&amp;" etc"</f>
        <v>Copy from N to T Into the files named Elementalist1 etc</v>
      </c>
      <c r="P2" s="11"/>
      <c r="Q2" s="11"/>
      <c r="R2" s="11"/>
      <c r="S2" s="11"/>
      <c r="T2" s="11"/>
      <c r="U2" s="11"/>
      <c r="W2" s="1" t="s">
        <v>35</v>
      </c>
      <c r="Z2" s="1" t="s">
        <v>40</v>
      </c>
      <c r="AD2" t="s">
        <v>44</v>
      </c>
    </row>
    <row r="3" spans="1:38" x14ac:dyDescent="0.25">
      <c r="A3" s="5" t="s">
        <v>39</v>
      </c>
      <c r="B3" s="5" t="s">
        <v>0</v>
      </c>
      <c r="C3" s="5" t="str">
        <f t="shared" ref="C3:C66" si="0">"description,dailCompDesc"&amp;H3&amp;G3&amp;","</f>
        <v>description,dailCompDescElementalist1,</v>
      </c>
      <c r="D3" s="5" t="str">
        <f>"itemText,dailCompText"&amp;H3&amp;G3&amp;","</f>
        <v>itemText,dailCompTextElementalist1,</v>
      </c>
      <c r="E3" s="5" t="s">
        <v>24</v>
      </c>
      <c r="F3" s="5" t="str">
        <f>"augmentMasteryName1,records/skills"&amp;I3&amp;","</f>
        <v>augmentMasteryName1,records/skills/zenithclass02/_classtraining_class12.dbr,</v>
      </c>
      <c r="G3" s="7">
        <f>IF(I3&lt;&gt;"",1,"")</f>
        <v>1</v>
      </c>
      <c r="H3" s="3" t="s">
        <v>89</v>
      </c>
      <c r="I3" s="3" t="s">
        <v>193</v>
      </c>
      <c r="J3" s="3" t="s">
        <v>90</v>
      </c>
      <c r="K3" s="3" t="s">
        <v>91</v>
      </c>
      <c r="L3" s="5" t="str">
        <f>"lootName"&amp;G3&amp;",DAIL/items/materia/"&amp;J3&amp;"/"&amp;H3&amp;G3&amp;".dbr"&amp;","</f>
        <v>lootName1,DAIL/items/materia/class0012/Elementalist1.dbr,</v>
      </c>
      <c r="M3" s="5" t="str">
        <f>"lootWeight"&amp;G3&amp;",1,"</f>
        <v>lootWeight1,1,</v>
      </c>
      <c r="N3" t="str">
        <f>LEFT(RIGHT(E3,2),1)</f>
        <v>1</v>
      </c>
      <c r="O3" s="5" t="str">
        <f>IF(I3&lt;&gt;"","copy .\dail_base2.dbr .\items\materia\"&amp;J3&amp;"\"&amp;H3&amp;G3&amp;".dbr /y"&amp;"","")</f>
        <v>copy .\dail_base2.dbr .\items\materia\class0012\Elementalist1.dbr /y</v>
      </c>
      <c r="P3" t="str">
        <f>IF($I3&lt;&gt;"","echo "&amp;A3&amp;" &gt;&gt; .\items\materia\"&amp;$J3&amp;"\"&amp;$H3&amp;$G3&amp;".dbr","")</f>
        <v>echo relicBitmap,items/craftingparts/components/component_a52_bristlyfur_b.tex, &gt;&gt; .\items\materia\class0012\Elementalist1.dbr</v>
      </c>
      <c r="Q3" t="str">
        <f t="shared" ref="Q3:U18" si="1">IF($I3&lt;&gt;"","echo "&amp;B3&amp;" &gt;&gt; .\items\materia\"&amp;$J3&amp;"\"&amp;$H3&amp;$G3&amp;".dbr","")</f>
        <v>echo itemCost,100000, &gt;&gt; .\items\materia\class0012\Elementalist1.dbr</v>
      </c>
      <c r="R3" t="str">
        <f t="shared" si="1"/>
        <v>echo description,dailCompDescElementalist1, &gt;&gt; .\items\materia\class0012\Elementalist1.dbr</v>
      </c>
      <c r="S3" t="str">
        <f t="shared" si="1"/>
        <v>echo itemText,dailCompTextElementalist1, &gt;&gt; .\items\materia\class0012\Elementalist1.dbr</v>
      </c>
      <c r="T3" t="str">
        <f t="shared" si="1"/>
        <v>echo augmentMasteryLevel1,1, &gt;&gt; .\items\materia\class0012\Elementalist1.dbr</v>
      </c>
      <c r="U3" t="str">
        <f t="shared" si="1"/>
        <v>echo augmentMasteryName1,records/skills/zenithclass02/_classtraining_class12.dbr, &gt;&gt; .\items\materia\class0012\Elementalist1.dbr</v>
      </c>
      <c r="V3" s="5" t="s">
        <v>36</v>
      </c>
      <c r="W3" t="str">
        <f>IF($I3&lt;&gt;"","echo "&amp;L3&amp;" &gt;&gt; .\items\loottables\"&amp;$K3&amp;".dbr","")</f>
        <v>echo lootName1,DAIL/items/materia/class0012/Elementalist1.dbr, &gt;&gt; .\items\loottables\dailoneskill0012.dbr</v>
      </c>
      <c r="X3" t="str">
        <f>IF($I3&lt;&gt;"","echo "&amp;M3&amp;" &gt;&gt; .\items\loottables\"&amp;$K3&amp;".dbr","")</f>
        <v>echo lootWeight1,1, &gt;&gt; .\items\loottables\dailoneskill0012.dbr</v>
      </c>
      <c r="Y3" s="5" t="s">
        <v>36</v>
      </c>
      <c r="Z3" s="10" t="str">
        <f>IF(I2&lt;&gt;""," dailCompDesc"&amp;H3&amp;G3&amp;"=^p"&amp;H3&amp;"'s Gift of DAIL","")</f>
        <v xml:space="preserve"> dailCompDescElementalist1=^pElementalist's Gift of DAIL</v>
      </c>
      <c r="AA3" s="10" t="str">
        <f>IF(I2&lt;&gt;"","dailCompText"&amp;H3&amp;G3&amp;"=^oThis feels warm to the touch, almost familiar ^w(This component fits into the amulet only)","")</f>
        <v>dailCompTextElementalist1=^oThis feels warm to the touch, almost familiar ^w(This component fits into the amulet only)</v>
      </c>
      <c r="AB3" s="5" t="s">
        <v>36</v>
      </c>
      <c r="AD3">
        <v>1</v>
      </c>
      <c r="AE3" t="s">
        <v>42</v>
      </c>
      <c r="AF3" t="s">
        <v>45</v>
      </c>
    </row>
    <row r="4" spans="1:38" x14ac:dyDescent="0.25">
      <c r="A4" s="5" t="s">
        <v>39</v>
      </c>
      <c r="B4" s="5" t="s">
        <v>28</v>
      </c>
      <c r="C4" s="5" t="str">
        <f t="shared" si="0"/>
        <v>description,dailCompDescElementalist2,</v>
      </c>
      <c r="D4" s="5" t="str">
        <f t="shared" ref="D4:D67" si="2">"itemText,dailCompText"&amp;H4&amp;G4&amp;","</f>
        <v>itemText,dailCompTextElementalist2,</v>
      </c>
      <c r="E4" s="5" t="s">
        <v>1</v>
      </c>
      <c r="F4" s="5" t="str">
        <f t="shared" ref="F4:F5" si="3">"augmentMasteryName1,records/skills"&amp;I4&amp;","</f>
        <v>augmentMasteryName1,records/skills/zenithclass02/_classtraining_class12.dbr,</v>
      </c>
      <c r="G4" s="7">
        <f>IF(I4&lt;&gt;"",G3+1,"")</f>
        <v>2</v>
      </c>
      <c r="H4" s="8" t="str">
        <f>H3</f>
        <v>Elementalist</v>
      </c>
      <c r="I4" s="3" t="s">
        <v>193</v>
      </c>
      <c r="J4" s="8" t="str">
        <f>J3</f>
        <v>class0012</v>
      </c>
      <c r="K4" s="8" t="str">
        <f>K3</f>
        <v>dailoneskill0012</v>
      </c>
      <c r="L4" s="5" t="str">
        <f t="shared" ref="L4:L67" si="4">"lootName"&amp;G4&amp;",DAIL/items/materia/"&amp;J4&amp;"/"&amp;H4&amp;G4&amp;".dbr"&amp;","</f>
        <v>lootName2,DAIL/items/materia/class0012/Elementalist2.dbr,</v>
      </c>
      <c r="M4" s="5" t="str">
        <f t="shared" ref="M4:M67" si="5">"lootWeight"&amp;G4&amp;",1,"</f>
        <v>lootWeight2,1,</v>
      </c>
      <c r="N4" t="str">
        <f t="shared" ref="N4:N67" si="6">LEFT(RIGHT(E4,2),1)</f>
        <v>2</v>
      </c>
      <c r="O4" s="5" t="str">
        <f>IF(I4&lt;&gt;"","copy .\dail_base2.dbr .\items\materia\"&amp;J4&amp;"\"&amp;H4&amp;G4&amp;".dbr /y"&amp;"","")</f>
        <v>copy .\dail_base2.dbr .\items\materia\class0012\Elementalist2.dbr /y</v>
      </c>
      <c r="P4" t="str">
        <f t="shared" ref="P4:U58" si="7">IF($I4&lt;&gt;"","echo "&amp;A4&amp;" &gt;&gt; .\items\materia\"&amp;$J4&amp;"\"&amp;$H4&amp;$G4&amp;".dbr","")</f>
        <v>echo relicBitmap,items/craftingparts/components/component_a52_bristlyfur_b.tex, &gt;&gt; .\items\materia\class0012\Elementalist2.dbr</v>
      </c>
      <c r="Q4" t="str">
        <f t="shared" si="1"/>
        <v>echo itemCost,300000, &gt;&gt; .\items\materia\class0012\Elementalist2.dbr</v>
      </c>
      <c r="R4" t="str">
        <f t="shared" si="1"/>
        <v>echo description,dailCompDescElementalist2, &gt;&gt; .\items\materia\class0012\Elementalist2.dbr</v>
      </c>
      <c r="S4" t="str">
        <f t="shared" si="1"/>
        <v>echo itemText,dailCompTextElementalist2, &gt;&gt; .\items\materia\class0012\Elementalist2.dbr</v>
      </c>
      <c r="T4" t="str">
        <f t="shared" si="1"/>
        <v>echo augmentMasteryLevel1,2, &gt;&gt; .\items\materia\class0012\Elementalist2.dbr</v>
      </c>
      <c r="U4" t="str">
        <f t="shared" si="1"/>
        <v>echo augmentMasteryName1,records/skills/zenithclass02/_classtraining_class12.dbr, &gt;&gt; .\items\materia\class0012\Elementalist2.dbr</v>
      </c>
      <c r="V4" s="5" t="s">
        <v>36</v>
      </c>
      <c r="W4" t="str">
        <f t="shared" ref="W4:X67" si="8">IF($I4&lt;&gt;"","echo "&amp;L4&amp;" &gt;&gt; .\items\loottables\"&amp;$K4&amp;".dbr","")</f>
        <v>echo lootName2,DAIL/items/materia/class0012/Elementalist2.dbr, &gt;&gt; .\items\loottables\dailoneskill0012.dbr</v>
      </c>
      <c r="X4" t="str">
        <f t="shared" si="8"/>
        <v>echo lootWeight2,1, &gt;&gt; .\items\loottables\dailoneskill0012.dbr</v>
      </c>
      <c r="Y4" s="5" t="s">
        <v>36</v>
      </c>
      <c r="Z4" s="10" t="str">
        <f t="shared" ref="Z4:Z67" si="9">IF(I3&lt;&gt;""," dailCompDesc"&amp;H4&amp;G4&amp;"=^p"&amp;H4&amp;"'s Gift of DAIL","")</f>
        <v xml:space="preserve"> dailCompDescElementalist2=^pElementalist's Gift of DAIL</v>
      </c>
      <c r="AA4" s="10" t="str">
        <f>IF(I3&lt;&gt;"","dailCompText"&amp;H4&amp;G4&amp;"=^oThis feels warm to the touch, almost familiar ^w(This component fits into the amulet only)","")</f>
        <v>dailCompTextElementalist2=^oThis feels warm to the touch, almost familiar ^w(This component fits into the amulet only)</v>
      </c>
      <c r="AB4" s="5" t="s">
        <v>36</v>
      </c>
      <c r="AD4">
        <v>3</v>
      </c>
      <c r="AE4" t="s">
        <v>43</v>
      </c>
      <c r="AF4" t="s">
        <v>46</v>
      </c>
    </row>
    <row r="5" spans="1:38" x14ac:dyDescent="0.25">
      <c r="A5" s="5" t="s">
        <v>39</v>
      </c>
      <c r="B5" s="5" t="s">
        <v>29</v>
      </c>
      <c r="C5" s="5" t="str">
        <f t="shared" si="0"/>
        <v>description,dailCompDescElementalist3,</v>
      </c>
      <c r="D5" s="5" t="str">
        <f t="shared" si="2"/>
        <v>itemText,dailCompTextElementalist3,</v>
      </c>
      <c r="E5" s="5" t="s">
        <v>25</v>
      </c>
      <c r="F5" s="5" t="str">
        <f t="shared" si="3"/>
        <v>augmentMasteryName1,records/skills/zenithclass02/_classtraining_class12.dbr,</v>
      </c>
      <c r="G5" s="7">
        <f t="shared" ref="G5:G68" si="10">IF(I5&lt;&gt;"",G4+1,"")</f>
        <v>3</v>
      </c>
      <c r="H5" s="8" t="str">
        <f t="shared" ref="H5:H68" si="11">H4</f>
        <v>Elementalist</v>
      </c>
      <c r="I5" s="3" t="s">
        <v>193</v>
      </c>
      <c r="J5" s="8" t="str">
        <f t="shared" ref="J5:K20" si="12">J4</f>
        <v>class0012</v>
      </c>
      <c r="K5" s="8" t="str">
        <f t="shared" si="12"/>
        <v>dailoneskill0012</v>
      </c>
      <c r="L5" s="5" t="str">
        <f t="shared" si="4"/>
        <v>lootName3,DAIL/items/materia/class0012/Elementalist3.dbr,</v>
      </c>
      <c r="M5" s="5" t="str">
        <f t="shared" si="5"/>
        <v>lootWeight3,1,</v>
      </c>
      <c r="N5" t="str">
        <f t="shared" si="6"/>
        <v>3</v>
      </c>
      <c r="O5" s="5" t="str">
        <f>IF(I5&lt;&gt;"","copy .\dail_base2.dbr .\items\materia\"&amp;J5&amp;"\"&amp;H5&amp;G5&amp;".dbr /y"&amp;"","")</f>
        <v>copy .\dail_base2.dbr .\items\materia\class0012\Elementalist3.dbr /y</v>
      </c>
      <c r="P5" t="str">
        <f t="shared" si="7"/>
        <v>echo relicBitmap,items/craftingparts/components/component_a52_bristlyfur_b.tex, &gt;&gt; .\items\materia\class0012\Elementalist3.dbr</v>
      </c>
      <c r="Q5" t="str">
        <f t="shared" si="1"/>
        <v>echo itemCost,600000, &gt;&gt; .\items\materia\class0012\Elementalist3.dbr</v>
      </c>
      <c r="R5" t="str">
        <f t="shared" si="1"/>
        <v>echo description,dailCompDescElementalist3, &gt;&gt; .\items\materia\class0012\Elementalist3.dbr</v>
      </c>
      <c r="S5" t="str">
        <f t="shared" si="1"/>
        <v>echo itemText,dailCompTextElementalist3, &gt;&gt; .\items\materia\class0012\Elementalist3.dbr</v>
      </c>
      <c r="T5" t="str">
        <f t="shared" si="1"/>
        <v>echo augmentMasteryLevel1,3, &gt;&gt; .\items\materia\class0012\Elementalist3.dbr</v>
      </c>
      <c r="U5" t="str">
        <f t="shared" si="1"/>
        <v>echo augmentMasteryName1,records/skills/zenithclass02/_classtraining_class12.dbr, &gt;&gt; .\items\materia\class0012\Elementalist3.dbr</v>
      </c>
      <c r="V5" s="5" t="s">
        <v>36</v>
      </c>
      <c r="W5" t="str">
        <f t="shared" si="8"/>
        <v>echo lootName3,DAIL/items/materia/class0012/Elementalist3.dbr, &gt;&gt; .\items\loottables\dailoneskill0012.dbr</v>
      </c>
      <c r="X5" t="str">
        <f t="shared" si="8"/>
        <v>echo lootWeight3,1, &gt;&gt; .\items\loottables\dailoneskill0012.dbr</v>
      </c>
      <c r="Y5" s="5" t="s">
        <v>36</v>
      </c>
      <c r="Z5" s="10" t="str">
        <f t="shared" si="9"/>
        <v xml:space="preserve"> dailCompDescElementalist3=^pElementalist's Gift of DAIL</v>
      </c>
      <c r="AA5" s="10" t="str">
        <f>IF(I4&lt;&gt;"","dailCompText"&amp;H5&amp;G5&amp;"=^oThis feels warm to the touch, almost familiar ^w(This component fits into the amulet only)","")</f>
        <v>dailCompTextElementalist3=^oThis feels warm to the touch, almost familiar ^w(This component fits into the amulet only)</v>
      </c>
      <c r="AB5" s="5" t="s">
        <v>36</v>
      </c>
      <c r="AD5">
        <v>5</v>
      </c>
      <c r="AE5" t="s">
        <v>43</v>
      </c>
      <c r="AF5" t="s">
        <v>46</v>
      </c>
      <c r="AI5" t="s">
        <v>61</v>
      </c>
    </row>
    <row r="6" spans="1:38" x14ac:dyDescent="0.25">
      <c r="A6" s="5" t="s">
        <v>39</v>
      </c>
      <c r="B6" s="5" t="s">
        <v>0</v>
      </c>
      <c r="C6" s="5" t="str">
        <f t="shared" si="0"/>
        <v>description,dailCompDescElementalist4,</v>
      </c>
      <c r="D6" s="5" t="str">
        <f t="shared" si="2"/>
        <v>itemText,dailCompTextElementalist4,</v>
      </c>
      <c r="E6" s="5" t="str">
        <f>"augmentSkillLevel1,"&amp;AJ6&amp;","</f>
        <v>augmentSkillLevel1,1,</v>
      </c>
      <c r="F6" s="5" t="str">
        <f>"augmentSkillName1,records/skills"&amp;I6&amp;","</f>
        <v>augmentSkillName1,records/skills/zenithclass02/icewall1.dbr,</v>
      </c>
      <c r="G6" s="7">
        <f t="shared" si="10"/>
        <v>4</v>
      </c>
      <c r="H6" s="8" t="str">
        <f t="shared" si="11"/>
        <v>Elementalist</v>
      </c>
      <c r="I6" s="3" t="s">
        <v>206</v>
      </c>
      <c r="J6" s="8" t="str">
        <f t="shared" si="12"/>
        <v>class0012</v>
      </c>
      <c r="K6" s="8" t="str">
        <f t="shared" si="12"/>
        <v>dailoneskill0012</v>
      </c>
      <c r="L6" s="5" t="str">
        <f t="shared" si="4"/>
        <v>lootName4,DAIL/items/materia/class0012/Elementalist4.dbr,</v>
      </c>
      <c r="M6" s="5" t="str">
        <f t="shared" si="5"/>
        <v>lootWeight4,1,</v>
      </c>
      <c r="N6" t="str">
        <f t="shared" si="6"/>
        <v>1</v>
      </c>
      <c r="O6" t="str">
        <f>IF(I6&lt;&gt;"","copy .\"&amp;VLOOKUP(VALUE(N6),$AD$3:$AF$5,2,FALSE)&amp;" .\items\materia\"&amp;J6&amp;"\"&amp;H6&amp;G6&amp;".dbr /y"&amp;"","")</f>
        <v>copy .\dail_base.dbr .\items\materia\class0012\Elementalist4.dbr /y</v>
      </c>
      <c r="P6" t="str">
        <f t="shared" si="7"/>
        <v>echo relicBitmap,items/craftingparts/components/component_a52_bristlyfur_b.tex, &gt;&gt; .\items\materia\class0012\Elementalist4.dbr</v>
      </c>
      <c r="Q6" t="str">
        <f t="shared" si="1"/>
        <v>echo itemCost,100000, &gt;&gt; .\items\materia\class0012\Elementalist4.dbr</v>
      </c>
      <c r="R6" t="str">
        <f t="shared" si="1"/>
        <v>echo description,dailCompDescElementalist4, &gt;&gt; .\items\materia\class0012\Elementalist4.dbr</v>
      </c>
      <c r="S6" t="str">
        <f t="shared" si="1"/>
        <v>echo itemText,dailCompTextElementalist4, &gt;&gt; .\items\materia\class0012\Elementalist4.dbr</v>
      </c>
      <c r="T6" t="str">
        <f t="shared" si="1"/>
        <v>echo augmentSkillLevel1,1, &gt;&gt; .\items\materia\class0012\Elementalist4.dbr</v>
      </c>
      <c r="U6" t="str">
        <f t="shared" si="1"/>
        <v>echo augmentSkillName1,records/skills/zenithclass02/icewall1.dbr, &gt;&gt; .\items\materia\class0012\Elementalist4.dbr</v>
      </c>
      <c r="V6" s="5" t="s">
        <v>36</v>
      </c>
      <c r="W6" t="str">
        <f t="shared" si="8"/>
        <v>echo lootName4,DAIL/items/materia/class0012/Elementalist4.dbr, &gt;&gt; .\items\loottables\dailoneskill0012.dbr</v>
      </c>
      <c r="X6" t="str">
        <f t="shared" si="8"/>
        <v>echo lootWeight4,1, &gt;&gt; .\items\loottables\dailoneskill0012.dbr</v>
      </c>
      <c r="Y6" s="5" t="s">
        <v>36</v>
      </c>
      <c r="Z6" t="str">
        <f t="shared" si="9"/>
        <v xml:space="preserve"> dailCompDescElementalist4=^pElementalist's Gift of DAIL</v>
      </c>
      <c r="AA6" t="str">
        <f>IF(I5&lt;&gt;"","dailCompText"&amp;H6&amp;G6&amp;"=^oThis feels warm to the touch, almost familiar ^w("&amp;VLOOKUP(VALUE(N6),$AD$3:$AF$5,3,FALSE)&amp;")","")</f>
        <v>dailCompTextElementalist4=^oThis feels warm to the touch, almost familiar ^w(This component fits into all Jewellery slots including the Belt And Shoulder)</v>
      </c>
      <c r="AB6" s="5" t="s">
        <v>36</v>
      </c>
      <c r="AH6">
        <v>1</v>
      </c>
      <c r="AI6">
        <f t="shared" ref="AI6:AI37" si="13">LEN(I6)</f>
        <v>27</v>
      </c>
      <c r="AJ6">
        <f>IF(AH6&lt;$AL$7,1,IF(AH6&lt;$AL$8,3,5))</f>
        <v>1</v>
      </c>
      <c r="AK6" s="1" t="s">
        <v>62</v>
      </c>
      <c r="AL6" s="1">
        <f>COUNTIF(AI:AI,"&gt;0")</f>
        <v>72</v>
      </c>
    </row>
    <row r="7" spans="1:38" x14ac:dyDescent="0.25">
      <c r="A7" s="5" t="s">
        <v>39</v>
      </c>
      <c r="B7" s="5" t="s">
        <v>0</v>
      </c>
      <c r="C7" s="5" t="str">
        <f t="shared" si="0"/>
        <v>description,dailCompDescElementalist5,</v>
      </c>
      <c r="D7" s="5" t="str">
        <f t="shared" si="2"/>
        <v>itemText,dailCompTextElementalist5,</v>
      </c>
      <c r="E7" s="5" t="str">
        <f t="shared" ref="E7:E70" si="14">"augmentSkillLevel1,"&amp;AJ7&amp;","</f>
        <v>augmentSkillLevel1,1,</v>
      </c>
      <c r="F7" s="5" t="str">
        <f t="shared" ref="F7:F70" si="15">"augmentSkillName1,records/skills"&amp;I7&amp;","</f>
        <v>augmentSkillName1,records/skills/zenithclass02/firebolt1.dbr,</v>
      </c>
      <c r="G7" s="7">
        <f t="shared" si="10"/>
        <v>5</v>
      </c>
      <c r="H7" s="8" t="str">
        <f t="shared" si="11"/>
        <v>Elementalist</v>
      </c>
      <c r="I7" s="3" t="s">
        <v>200</v>
      </c>
      <c r="J7" s="8" t="str">
        <f t="shared" si="12"/>
        <v>class0012</v>
      </c>
      <c r="K7" s="8" t="str">
        <f t="shared" si="12"/>
        <v>dailoneskill0012</v>
      </c>
      <c r="L7" s="5" t="str">
        <f t="shared" si="4"/>
        <v>lootName5,DAIL/items/materia/class0012/Elementalist5.dbr,</v>
      </c>
      <c r="M7" s="5" t="str">
        <f t="shared" si="5"/>
        <v>lootWeight5,1,</v>
      </c>
      <c r="N7" t="str">
        <f t="shared" si="6"/>
        <v>1</v>
      </c>
      <c r="O7" t="str">
        <f t="shared" ref="O7:O70" si="16">IF(I7&lt;&gt;"","copy .\"&amp;VLOOKUP(VALUE(N7),$AD$3:$AF$5,2,FALSE)&amp;" .\items\materia\"&amp;J7&amp;"\"&amp;H7&amp;G7&amp;".dbr /y"&amp;"","")</f>
        <v>copy .\dail_base.dbr .\items\materia\class0012\Elementalist5.dbr /y</v>
      </c>
      <c r="P7" t="str">
        <f t="shared" si="7"/>
        <v>echo relicBitmap,items/craftingparts/components/component_a52_bristlyfur_b.tex, &gt;&gt; .\items\materia\class0012\Elementalist5.dbr</v>
      </c>
      <c r="Q7" t="str">
        <f t="shared" si="1"/>
        <v>echo itemCost,100000, &gt;&gt; .\items\materia\class0012\Elementalist5.dbr</v>
      </c>
      <c r="R7" t="str">
        <f t="shared" si="1"/>
        <v>echo description,dailCompDescElementalist5, &gt;&gt; .\items\materia\class0012\Elementalist5.dbr</v>
      </c>
      <c r="S7" t="str">
        <f t="shared" si="1"/>
        <v>echo itemText,dailCompTextElementalist5, &gt;&gt; .\items\materia\class0012\Elementalist5.dbr</v>
      </c>
      <c r="T7" t="str">
        <f t="shared" si="1"/>
        <v>echo augmentSkillLevel1,1, &gt;&gt; .\items\materia\class0012\Elementalist5.dbr</v>
      </c>
      <c r="U7" t="str">
        <f t="shared" si="1"/>
        <v>echo augmentSkillName1,records/skills/zenithclass02/firebolt1.dbr, &gt;&gt; .\items\materia\class0012\Elementalist5.dbr</v>
      </c>
      <c r="V7" s="5" t="s">
        <v>36</v>
      </c>
      <c r="W7" t="str">
        <f t="shared" si="8"/>
        <v>echo lootName5,DAIL/items/materia/class0012/Elementalist5.dbr, &gt;&gt; .\items\loottables\dailoneskill0012.dbr</v>
      </c>
      <c r="X7" t="str">
        <f t="shared" si="8"/>
        <v>echo lootWeight5,1, &gt;&gt; .\items\loottables\dailoneskill0012.dbr</v>
      </c>
      <c r="Y7" s="5" t="s">
        <v>36</v>
      </c>
      <c r="Z7" t="str">
        <f t="shared" si="9"/>
        <v xml:space="preserve"> dailCompDescElementalist5=^pElementalist's Gift of DAIL</v>
      </c>
      <c r="AA7" t="str">
        <f t="shared" ref="AA7:AA70" si="17">IF(I6&lt;&gt;"","dailCompText"&amp;H7&amp;G7&amp;"=^oThis feels warm to the touch, almost familiar ^w("&amp;VLOOKUP(VALUE(N7),$AD$3:$AF$5,3,FALSE)&amp;")","")</f>
        <v>dailCompTextElementalist5=^oThis feels warm to the touch, almost familiar ^w(This component fits into all Jewellery slots including the Belt And Shoulder)</v>
      </c>
      <c r="AB7" s="5" t="s">
        <v>36</v>
      </c>
      <c r="AH7">
        <f>AH6+1</f>
        <v>2</v>
      </c>
      <c r="AI7">
        <f t="shared" si="13"/>
        <v>28</v>
      </c>
      <c r="AJ7">
        <f t="shared" ref="AJ7:AJ70" si="18">IF(AH7&lt;$AL$7,1,IF(AH7&lt;$AL$8,3,5))</f>
        <v>1</v>
      </c>
      <c r="AK7">
        <v>1</v>
      </c>
      <c r="AL7">
        <f>AL6/3</f>
        <v>24</v>
      </c>
    </row>
    <row r="8" spans="1:38" x14ac:dyDescent="0.25">
      <c r="A8" s="5" t="s">
        <v>39</v>
      </c>
      <c r="B8" s="5" t="s">
        <v>0</v>
      </c>
      <c r="C8" s="5" t="str">
        <f t="shared" si="0"/>
        <v>description,dailCompDescElementalist6,</v>
      </c>
      <c r="D8" s="5" t="str">
        <f t="shared" si="2"/>
        <v>itemText,dailCompTextElementalist6,</v>
      </c>
      <c r="E8" s="5" t="str">
        <f t="shared" si="14"/>
        <v>augmentSkillLevel1,1,</v>
      </c>
      <c r="F8" s="5" t="str">
        <f t="shared" si="15"/>
        <v>augmentSkillName1,records/skills/zenithclass02/firebolt2.dbr,</v>
      </c>
      <c r="G8" s="7">
        <f t="shared" si="10"/>
        <v>6</v>
      </c>
      <c r="H8" s="8" t="str">
        <f t="shared" si="11"/>
        <v>Elementalist</v>
      </c>
      <c r="I8" s="3" t="s">
        <v>434</v>
      </c>
      <c r="J8" s="8" t="str">
        <f t="shared" si="12"/>
        <v>class0012</v>
      </c>
      <c r="K8" s="8" t="str">
        <f t="shared" si="12"/>
        <v>dailoneskill0012</v>
      </c>
      <c r="L8" s="5" t="str">
        <f t="shared" si="4"/>
        <v>lootName6,DAIL/items/materia/class0012/Elementalist6.dbr,</v>
      </c>
      <c r="M8" s="5" t="str">
        <f t="shared" si="5"/>
        <v>lootWeight6,1,</v>
      </c>
      <c r="N8" t="str">
        <f t="shared" si="6"/>
        <v>1</v>
      </c>
      <c r="O8" t="str">
        <f t="shared" si="16"/>
        <v>copy .\dail_base.dbr .\items\materia\class0012\Elementalist6.dbr /y</v>
      </c>
      <c r="P8" t="str">
        <f t="shared" si="7"/>
        <v>echo relicBitmap,items/craftingparts/components/component_a52_bristlyfur_b.tex, &gt;&gt; .\items\materia\class0012\Elementalist6.dbr</v>
      </c>
      <c r="Q8" t="str">
        <f t="shared" si="1"/>
        <v>echo itemCost,100000, &gt;&gt; .\items\materia\class0012\Elementalist6.dbr</v>
      </c>
      <c r="R8" t="str">
        <f t="shared" si="1"/>
        <v>echo description,dailCompDescElementalist6, &gt;&gt; .\items\materia\class0012\Elementalist6.dbr</v>
      </c>
      <c r="S8" t="str">
        <f t="shared" si="1"/>
        <v>echo itemText,dailCompTextElementalist6, &gt;&gt; .\items\materia\class0012\Elementalist6.dbr</v>
      </c>
      <c r="T8" t="str">
        <f t="shared" si="1"/>
        <v>echo augmentSkillLevel1,1, &gt;&gt; .\items\materia\class0012\Elementalist6.dbr</v>
      </c>
      <c r="U8" t="str">
        <f t="shared" si="1"/>
        <v>echo augmentSkillName1,records/skills/zenithclass02/firebolt2.dbr, &gt;&gt; .\items\materia\class0012\Elementalist6.dbr</v>
      </c>
      <c r="V8" s="5" t="s">
        <v>36</v>
      </c>
      <c r="W8" t="str">
        <f t="shared" si="8"/>
        <v>echo lootName6,DAIL/items/materia/class0012/Elementalist6.dbr, &gt;&gt; .\items\loottables\dailoneskill0012.dbr</v>
      </c>
      <c r="X8" t="str">
        <f t="shared" si="8"/>
        <v>echo lootWeight6,1, &gt;&gt; .\items\loottables\dailoneskill0012.dbr</v>
      </c>
      <c r="Y8" s="5" t="s">
        <v>36</v>
      </c>
      <c r="Z8" t="str">
        <f t="shared" si="9"/>
        <v xml:space="preserve"> dailCompDescElementalist6=^pElementalist's Gift of DAIL</v>
      </c>
      <c r="AA8" t="str">
        <f t="shared" si="17"/>
        <v>dailCompTextElementalist6=^oThis feels warm to the touch, almost familiar ^w(This component fits into all Jewellery slots including the Belt And Shoulder)</v>
      </c>
      <c r="AB8" s="5" t="s">
        <v>36</v>
      </c>
      <c r="AH8">
        <f t="shared" ref="AH8:AH71" si="19">AH7+1</f>
        <v>3</v>
      </c>
      <c r="AI8">
        <f t="shared" si="13"/>
        <v>28</v>
      </c>
      <c r="AJ8">
        <f t="shared" si="18"/>
        <v>1</v>
      </c>
      <c r="AK8" s="1">
        <v>3</v>
      </c>
      <c r="AL8">
        <f>AL7*2</f>
        <v>48</v>
      </c>
    </row>
    <row r="9" spans="1:38" x14ac:dyDescent="0.25">
      <c r="A9" s="5" t="s">
        <v>39</v>
      </c>
      <c r="B9" s="5" t="s">
        <v>0</v>
      </c>
      <c r="C9" s="5" t="str">
        <f t="shared" si="0"/>
        <v>description,dailCompDescElementalist7,</v>
      </c>
      <c r="D9" s="5" t="str">
        <f t="shared" si="2"/>
        <v>itemText,dailCompTextElementalist7,</v>
      </c>
      <c r="E9" s="5" t="str">
        <f t="shared" si="14"/>
        <v>augmentSkillLevel1,1,</v>
      </c>
      <c r="F9" s="5" t="str">
        <f t="shared" si="15"/>
        <v>augmentSkillName1,records/skills/zenithclass02/firebolt3.dbr,</v>
      </c>
      <c r="G9" s="7">
        <f t="shared" si="10"/>
        <v>7</v>
      </c>
      <c r="H9" s="8" t="str">
        <f t="shared" si="11"/>
        <v>Elementalist</v>
      </c>
      <c r="I9" s="3" t="s">
        <v>435</v>
      </c>
      <c r="J9" s="8" t="str">
        <f t="shared" si="12"/>
        <v>class0012</v>
      </c>
      <c r="K9" s="8" t="str">
        <f t="shared" si="12"/>
        <v>dailoneskill0012</v>
      </c>
      <c r="L9" s="5" t="str">
        <f t="shared" si="4"/>
        <v>lootName7,DAIL/items/materia/class0012/Elementalist7.dbr,</v>
      </c>
      <c r="M9" s="5" t="str">
        <f t="shared" si="5"/>
        <v>lootWeight7,1,</v>
      </c>
      <c r="N9" t="str">
        <f t="shared" si="6"/>
        <v>1</v>
      </c>
      <c r="O9" t="str">
        <f t="shared" si="16"/>
        <v>copy .\dail_base.dbr .\items\materia\class0012\Elementalist7.dbr /y</v>
      </c>
      <c r="P9" t="str">
        <f t="shared" si="7"/>
        <v>echo relicBitmap,items/craftingparts/components/component_a52_bristlyfur_b.tex, &gt;&gt; .\items\materia\class0012\Elementalist7.dbr</v>
      </c>
      <c r="Q9" t="str">
        <f t="shared" si="1"/>
        <v>echo itemCost,100000, &gt;&gt; .\items\materia\class0012\Elementalist7.dbr</v>
      </c>
      <c r="R9" t="str">
        <f t="shared" si="1"/>
        <v>echo description,dailCompDescElementalist7, &gt;&gt; .\items\materia\class0012\Elementalist7.dbr</v>
      </c>
      <c r="S9" t="str">
        <f t="shared" si="1"/>
        <v>echo itemText,dailCompTextElementalist7, &gt;&gt; .\items\materia\class0012\Elementalist7.dbr</v>
      </c>
      <c r="T9" t="str">
        <f t="shared" si="1"/>
        <v>echo augmentSkillLevel1,1, &gt;&gt; .\items\materia\class0012\Elementalist7.dbr</v>
      </c>
      <c r="U9" t="str">
        <f t="shared" si="1"/>
        <v>echo augmentSkillName1,records/skills/zenithclass02/firebolt3.dbr, &gt;&gt; .\items\materia\class0012\Elementalist7.dbr</v>
      </c>
      <c r="V9" s="5" t="s">
        <v>36</v>
      </c>
      <c r="W9" t="str">
        <f t="shared" si="8"/>
        <v>echo lootName7,DAIL/items/materia/class0012/Elementalist7.dbr, &gt;&gt; .\items\loottables\dailoneskill0012.dbr</v>
      </c>
      <c r="X9" t="str">
        <f t="shared" si="8"/>
        <v>echo lootWeight7,1, &gt;&gt; .\items\loottables\dailoneskill0012.dbr</v>
      </c>
      <c r="Y9" s="5" t="s">
        <v>36</v>
      </c>
      <c r="Z9" t="str">
        <f t="shared" si="9"/>
        <v xml:space="preserve"> dailCompDescElementalist7=^pElementalist's Gift of DAIL</v>
      </c>
      <c r="AA9" t="str">
        <f t="shared" si="17"/>
        <v>dailCompTextElementalist7=^oThis feels warm to the touch, almost familiar ^w(This component fits into all Jewellery slots including the Belt And Shoulder)</v>
      </c>
      <c r="AB9" s="5" t="s">
        <v>36</v>
      </c>
      <c r="AH9">
        <f t="shared" si="19"/>
        <v>4</v>
      </c>
      <c r="AI9">
        <f t="shared" si="13"/>
        <v>28</v>
      </c>
      <c r="AJ9">
        <f t="shared" si="18"/>
        <v>1</v>
      </c>
      <c r="AK9" s="1">
        <v>5</v>
      </c>
      <c r="AL9">
        <f>AL6</f>
        <v>72</v>
      </c>
    </row>
    <row r="10" spans="1:38" x14ac:dyDescent="0.25">
      <c r="A10" s="5" t="s">
        <v>39</v>
      </c>
      <c r="B10" s="5" t="s">
        <v>0</v>
      </c>
      <c r="C10" s="5" t="str">
        <f t="shared" si="0"/>
        <v>description,dailCompDescElementalist8,</v>
      </c>
      <c r="D10" s="5" t="str">
        <f t="shared" si="2"/>
        <v>itemText,dailCompTextElementalist8,</v>
      </c>
      <c r="E10" s="5" t="str">
        <f t="shared" si="14"/>
        <v>augmentSkillLevel1,1,</v>
      </c>
      <c r="F10" s="5" t="str">
        <f t="shared" si="15"/>
        <v>augmentSkillName1,records/skills/zenithclass02/chainlightning1.dbr,</v>
      </c>
      <c r="G10" s="7">
        <f t="shared" si="10"/>
        <v>8</v>
      </c>
      <c r="H10" s="8" t="str">
        <f t="shared" si="11"/>
        <v>Elementalist</v>
      </c>
      <c r="I10" s="3" t="s">
        <v>197</v>
      </c>
      <c r="J10" s="8" t="str">
        <f t="shared" si="12"/>
        <v>class0012</v>
      </c>
      <c r="K10" s="8" t="str">
        <f t="shared" si="12"/>
        <v>dailoneskill0012</v>
      </c>
      <c r="L10" s="5" t="str">
        <f t="shared" si="4"/>
        <v>lootName8,DAIL/items/materia/class0012/Elementalist8.dbr,</v>
      </c>
      <c r="M10" s="5" t="str">
        <f t="shared" si="5"/>
        <v>lootWeight8,1,</v>
      </c>
      <c r="N10" t="str">
        <f t="shared" si="6"/>
        <v>1</v>
      </c>
      <c r="O10" t="str">
        <f t="shared" si="16"/>
        <v>copy .\dail_base.dbr .\items\materia\class0012\Elementalist8.dbr /y</v>
      </c>
      <c r="P10" t="str">
        <f t="shared" si="7"/>
        <v>echo relicBitmap,items/craftingparts/components/component_a52_bristlyfur_b.tex, &gt;&gt; .\items\materia\class0012\Elementalist8.dbr</v>
      </c>
      <c r="Q10" t="str">
        <f t="shared" si="1"/>
        <v>echo itemCost,100000, &gt;&gt; .\items\materia\class0012\Elementalist8.dbr</v>
      </c>
      <c r="R10" t="str">
        <f t="shared" si="1"/>
        <v>echo description,dailCompDescElementalist8, &gt;&gt; .\items\materia\class0012\Elementalist8.dbr</v>
      </c>
      <c r="S10" t="str">
        <f t="shared" si="1"/>
        <v>echo itemText,dailCompTextElementalist8, &gt;&gt; .\items\materia\class0012\Elementalist8.dbr</v>
      </c>
      <c r="T10" t="str">
        <f t="shared" si="1"/>
        <v>echo augmentSkillLevel1,1, &gt;&gt; .\items\materia\class0012\Elementalist8.dbr</v>
      </c>
      <c r="U10" t="str">
        <f t="shared" si="1"/>
        <v>echo augmentSkillName1,records/skills/zenithclass02/chainlightning1.dbr, &gt;&gt; .\items\materia\class0012\Elementalist8.dbr</v>
      </c>
      <c r="V10" s="5" t="s">
        <v>36</v>
      </c>
      <c r="W10" t="str">
        <f t="shared" si="8"/>
        <v>echo lootName8,DAIL/items/materia/class0012/Elementalist8.dbr, &gt;&gt; .\items\loottables\dailoneskill0012.dbr</v>
      </c>
      <c r="X10" t="str">
        <f t="shared" si="8"/>
        <v>echo lootWeight8,1, &gt;&gt; .\items\loottables\dailoneskill0012.dbr</v>
      </c>
      <c r="Y10" s="5" t="s">
        <v>36</v>
      </c>
      <c r="Z10" t="str">
        <f t="shared" si="9"/>
        <v xml:space="preserve"> dailCompDescElementalist8=^pElementalist's Gift of DAIL</v>
      </c>
      <c r="AA10" t="str">
        <f t="shared" si="17"/>
        <v>dailCompTextElementalist8=^oThis feels warm to the touch, almost familiar ^w(This component fits into all Jewellery slots including the Belt And Shoulder)</v>
      </c>
      <c r="AB10" s="5" t="s">
        <v>36</v>
      </c>
      <c r="AH10">
        <f t="shared" si="19"/>
        <v>5</v>
      </c>
      <c r="AI10">
        <f t="shared" si="13"/>
        <v>34</v>
      </c>
      <c r="AJ10">
        <f t="shared" si="18"/>
        <v>1</v>
      </c>
    </row>
    <row r="11" spans="1:38" x14ac:dyDescent="0.25">
      <c r="A11" s="5" t="s">
        <v>39</v>
      </c>
      <c r="B11" s="5" t="s">
        <v>0</v>
      </c>
      <c r="C11" s="5" t="str">
        <f t="shared" si="0"/>
        <v>description,dailCompDescElementalist9,</v>
      </c>
      <c r="D11" s="5" t="str">
        <f t="shared" si="2"/>
        <v>itemText,dailCompTextElementalist9,</v>
      </c>
      <c r="E11" s="5" t="str">
        <f t="shared" si="14"/>
        <v>augmentSkillLevel1,1,</v>
      </c>
      <c r="F11" s="5" t="str">
        <f t="shared" si="15"/>
        <v>augmentSkillName1,records/skills/zenithclass02/chainlightning2.dbr,</v>
      </c>
      <c r="G11" s="7">
        <f t="shared" si="10"/>
        <v>9</v>
      </c>
      <c r="H11" s="8" t="str">
        <f t="shared" si="11"/>
        <v>Elementalist</v>
      </c>
      <c r="I11" s="3" t="s">
        <v>436</v>
      </c>
      <c r="J11" s="8" t="str">
        <f t="shared" si="12"/>
        <v>class0012</v>
      </c>
      <c r="K11" s="8" t="str">
        <f t="shared" si="12"/>
        <v>dailoneskill0012</v>
      </c>
      <c r="L11" s="5" t="str">
        <f t="shared" si="4"/>
        <v>lootName9,DAIL/items/materia/class0012/Elementalist9.dbr,</v>
      </c>
      <c r="M11" s="5" t="str">
        <f t="shared" si="5"/>
        <v>lootWeight9,1,</v>
      </c>
      <c r="N11" t="str">
        <f t="shared" si="6"/>
        <v>1</v>
      </c>
      <c r="O11" t="str">
        <f t="shared" si="16"/>
        <v>copy .\dail_base.dbr .\items\materia\class0012\Elementalist9.dbr /y</v>
      </c>
      <c r="P11" t="str">
        <f t="shared" si="7"/>
        <v>echo relicBitmap,items/craftingparts/components/component_a52_bristlyfur_b.tex, &gt;&gt; .\items\materia\class0012\Elementalist9.dbr</v>
      </c>
      <c r="Q11" t="str">
        <f t="shared" si="1"/>
        <v>echo itemCost,100000, &gt;&gt; .\items\materia\class0012\Elementalist9.dbr</v>
      </c>
      <c r="R11" t="str">
        <f t="shared" si="1"/>
        <v>echo description,dailCompDescElementalist9, &gt;&gt; .\items\materia\class0012\Elementalist9.dbr</v>
      </c>
      <c r="S11" t="str">
        <f t="shared" si="1"/>
        <v>echo itemText,dailCompTextElementalist9, &gt;&gt; .\items\materia\class0012\Elementalist9.dbr</v>
      </c>
      <c r="T11" t="str">
        <f t="shared" si="1"/>
        <v>echo augmentSkillLevel1,1, &gt;&gt; .\items\materia\class0012\Elementalist9.dbr</v>
      </c>
      <c r="U11" t="str">
        <f t="shared" si="1"/>
        <v>echo augmentSkillName1,records/skills/zenithclass02/chainlightning2.dbr, &gt;&gt; .\items\materia\class0012\Elementalist9.dbr</v>
      </c>
      <c r="V11" s="5" t="s">
        <v>36</v>
      </c>
      <c r="W11" t="str">
        <f t="shared" si="8"/>
        <v>echo lootName9,DAIL/items/materia/class0012/Elementalist9.dbr, &gt;&gt; .\items\loottables\dailoneskill0012.dbr</v>
      </c>
      <c r="X11" t="str">
        <f t="shared" si="8"/>
        <v>echo lootWeight9,1, &gt;&gt; .\items\loottables\dailoneskill0012.dbr</v>
      </c>
      <c r="Y11" s="5" t="s">
        <v>36</v>
      </c>
      <c r="Z11" t="str">
        <f t="shared" si="9"/>
        <v xml:space="preserve"> dailCompDescElementalist9=^pElementalist's Gift of DAIL</v>
      </c>
      <c r="AA11" t="str">
        <f t="shared" si="17"/>
        <v>dailCompTextElementalist9=^oThis feels warm to the touch, almost familiar ^w(This component fits into all Jewellery slots including the Belt And Shoulder)</v>
      </c>
      <c r="AB11" s="5" t="s">
        <v>36</v>
      </c>
      <c r="AH11">
        <f t="shared" si="19"/>
        <v>6</v>
      </c>
      <c r="AI11">
        <f t="shared" si="13"/>
        <v>34</v>
      </c>
      <c r="AJ11">
        <f t="shared" si="18"/>
        <v>1</v>
      </c>
    </row>
    <row r="12" spans="1:38" x14ac:dyDescent="0.25">
      <c r="A12" s="5" t="s">
        <v>39</v>
      </c>
      <c r="B12" s="5" t="s">
        <v>0</v>
      </c>
      <c r="C12" s="5" t="str">
        <f t="shared" si="0"/>
        <v>description,dailCompDescElementalist10,</v>
      </c>
      <c r="D12" s="5" t="str">
        <f t="shared" si="2"/>
        <v>itemText,dailCompTextElementalist10,</v>
      </c>
      <c r="E12" s="5" t="str">
        <f t="shared" si="14"/>
        <v>augmentSkillLevel1,1,</v>
      </c>
      <c r="F12" s="5" t="str">
        <f t="shared" si="15"/>
        <v>augmentSkillName1,records/skills/zenithclass02/elementalarmor.dbr,</v>
      </c>
      <c r="G12" s="7">
        <f t="shared" si="10"/>
        <v>10</v>
      </c>
      <c r="H12" s="8" t="str">
        <f t="shared" si="11"/>
        <v>Elementalist</v>
      </c>
      <c r="I12" s="3" t="s">
        <v>198</v>
      </c>
      <c r="J12" s="8" t="str">
        <f t="shared" si="12"/>
        <v>class0012</v>
      </c>
      <c r="K12" s="8" t="str">
        <f t="shared" si="12"/>
        <v>dailoneskill0012</v>
      </c>
      <c r="L12" s="5" t="str">
        <f t="shared" si="4"/>
        <v>lootName10,DAIL/items/materia/class0012/Elementalist10.dbr,</v>
      </c>
      <c r="M12" s="5" t="str">
        <f t="shared" si="5"/>
        <v>lootWeight10,1,</v>
      </c>
      <c r="N12" t="str">
        <f t="shared" si="6"/>
        <v>1</v>
      </c>
      <c r="O12" t="str">
        <f t="shared" si="16"/>
        <v>copy .\dail_base.dbr .\items\materia\class0012\Elementalist10.dbr /y</v>
      </c>
      <c r="P12" t="str">
        <f t="shared" si="7"/>
        <v>echo relicBitmap,items/craftingparts/components/component_a52_bristlyfur_b.tex, &gt;&gt; .\items\materia\class0012\Elementalist10.dbr</v>
      </c>
      <c r="Q12" t="str">
        <f t="shared" si="1"/>
        <v>echo itemCost,100000, &gt;&gt; .\items\materia\class0012\Elementalist10.dbr</v>
      </c>
      <c r="R12" t="str">
        <f t="shared" si="1"/>
        <v>echo description,dailCompDescElementalist10, &gt;&gt; .\items\materia\class0012\Elementalist10.dbr</v>
      </c>
      <c r="S12" t="str">
        <f t="shared" si="1"/>
        <v>echo itemText,dailCompTextElementalist10, &gt;&gt; .\items\materia\class0012\Elementalist10.dbr</v>
      </c>
      <c r="T12" t="str">
        <f t="shared" si="1"/>
        <v>echo augmentSkillLevel1,1, &gt;&gt; .\items\materia\class0012\Elementalist10.dbr</v>
      </c>
      <c r="U12" t="str">
        <f t="shared" si="1"/>
        <v>echo augmentSkillName1,records/skills/zenithclass02/elementalarmor.dbr, &gt;&gt; .\items\materia\class0012\Elementalist10.dbr</v>
      </c>
      <c r="V12" s="5" t="s">
        <v>36</v>
      </c>
      <c r="W12" t="str">
        <f t="shared" si="8"/>
        <v>echo lootName10,DAIL/items/materia/class0012/Elementalist10.dbr, &gt;&gt; .\items\loottables\dailoneskill0012.dbr</v>
      </c>
      <c r="X12" t="str">
        <f t="shared" si="8"/>
        <v>echo lootWeight10,1, &gt;&gt; .\items\loottables\dailoneskill0012.dbr</v>
      </c>
      <c r="Y12" s="5" t="s">
        <v>36</v>
      </c>
      <c r="Z12" t="str">
        <f t="shared" si="9"/>
        <v xml:space="preserve"> dailCompDescElementalist10=^pElementalist's Gift of DAIL</v>
      </c>
      <c r="AA12" t="str">
        <f t="shared" si="17"/>
        <v>dailCompTextElementalist10=^oThis feels warm to the touch, almost familiar ^w(This component fits into all Jewellery slots including the Belt And Shoulder)</v>
      </c>
      <c r="AB12" s="5" t="s">
        <v>36</v>
      </c>
      <c r="AH12">
        <f t="shared" si="19"/>
        <v>7</v>
      </c>
      <c r="AI12">
        <f t="shared" si="13"/>
        <v>33</v>
      </c>
      <c r="AJ12">
        <f t="shared" si="18"/>
        <v>1</v>
      </c>
    </row>
    <row r="13" spans="1:38" x14ac:dyDescent="0.25">
      <c r="A13" s="5" t="s">
        <v>39</v>
      </c>
      <c r="B13" s="5" t="s">
        <v>0</v>
      </c>
      <c r="C13" s="5" t="str">
        <f t="shared" si="0"/>
        <v>description,dailCompDescElementalist11,</v>
      </c>
      <c r="D13" s="5" t="str">
        <f t="shared" si="2"/>
        <v>itemText,dailCompTextElementalist11,</v>
      </c>
      <c r="E13" s="5" t="str">
        <f t="shared" si="14"/>
        <v>augmentSkillLevel1,1,</v>
      </c>
      <c r="F13" s="5" t="str">
        <f t="shared" si="15"/>
        <v>augmentSkillName1,records/skills/zenithclass02/stormrider1.dbr,</v>
      </c>
      <c r="G13" s="7">
        <f t="shared" si="10"/>
        <v>11</v>
      </c>
      <c r="H13" s="8" t="str">
        <f t="shared" si="11"/>
        <v>Elementalist</v>
      </c>
      <c r="I13" s="3" t="s">
        <v>210</v>
      </c>
      <c r="J13" s="8" t="str">
        <f t="shared" si="12"/>
        <v>class0012</v>
      </c>
      <c r="K13" s="8" t="str">
        <f t="shared" si="12"/>
        <v>dailoneskill0012</v>
      </c>
      <c r="L13" s="5" t="str">
        <f t="shared" si="4"/>
        <v>lootName11,DAIL/items/materia/class0012/Elementalist11.dbr,</v>
      </c>
      <c r="M13" s="5" t="str">
        <f t="shared" si="5"/>
        <v>lootWeight11,1,</v>
      </c>
      <c r="N13" t="str">
        <f t="shared" si="6"/>
        <v>1</v>
      </c>
      <c r="O13" t="str">
        <f t="shared" si="16"/>
        <v>copy .\dail_base.dbr .\items\materia\class0012\Elementalist11.dbr /y</v>
      </c>
      <c r="P13" t="str">
        <f t="shared" si="7"/>
        <v>echo relicBitmap,items/craftingparts/components/component_a52_bristlyfur_b.tex, &gt;&gt; .\items\materia\class0012\Elementalist11.dbr</v>
      </c>
      <c r="Q13" t="str">
        <f t="shared" si="1"/>
        <v>echo itemCost,100000, &gt;&gt; .\items\materia\class0012\Elementalist11.dbr</v>
      </c>
      <c r="R13" t="str">
        <f t="shared" si="1"/>
        <v>echo description,dailCompDescElementalist11, &gt;&gt; .\items\materia\class0012\Elementalist11.dbr</v>
      </c>
      <c r="S13" t="str">
        <f t="shared" si="1"/>
        <v>echo itemText,dailCompTextElementalist11, &gt;&gt; .\items\materia\class0012\Elementalist11.dbr</v>
      </c>
      <c r="T13" t="str">
        <f t="shared" si="1"/>
        <v>echo augmentSkillLevel1,1, &gt;&gt; .\items\materia\class0012\Elementalist11.dbr</v>
      </c>
      <c r="U13" t="str">
        <f t="shared" si="1"/>
        <v>echo augmentSkillName1,records/skills/zenithclass02/stormrider1.dbr, &gt;&gt; .\items\materia\class0012\Elementalist11.dbr</v>
      </c>
      <c r="V13" s="5" t="s">
        <v>36</v>
      </c>
      <c r="W13" t="str">
        <f t="shared" si="8"/>
        <v>echo lootName11,DAIL/items/materia/class0012/Elementalist11.dbr, &gt;&gt; .\items\loottables\dailoneskill0012.dbr</v>
      </c>
      <c r="X13" t="str">
        <f t="shared" si="8"/>
        <v>echo lootWeight11,1, &gt;&gt; .\items\loottables\dailoneskill0012.dbr</v>
      </c>
      <c r="Y13" s="5" t="s">
        <v>36</v>
      </c>
      <c r="Z13" t="str">
        <f t="shared" si="9"/>
        <v xml:space="preserve"> dailCompDescElementalist11=^pElementalist's Gift of DAIL</v>
      </c>
      <c r="AA13" t="str">
        <f t="shared" si="17"/>
        <v>dailCompTextElementalist11=^oThis feels warm to the touch, almost familiar ^w(This component fits into all Jewellery slots including the Belt And Shoulder)</v>
      </c>
      <c r="AB13" s="5" t="s">
        <v>36</v>
      </c>
      <c r="AH13">
        <f t="shared" si="19"/>
        <v>8</v>
      </c>
      <c r="AI13">
        <f t="shared" si="13"/>
        <v>30</v>
      </c>
      <c r="AJ13">
        <f t="shared" si="18"/>
        <v>1</v>
      </c>
    </row>
    <row r="14" spans="1:38" x14ac:dyDescent="0.25">
      <c r="A14" s="5" t="s">
        <v>39</v>
      </c>
      <c r="B14" s="5" t="s">
        <v>0</v>
      </c>
      <c r="C14" s="5" t="str">
        <f t="shared" si="0"/>
        <v>description,dailCompDescElementalist12,</v>
      </c>
      <c r="D14" s="5" t="str">
        <f t="shared" si="2"/>
        <v>itemText,dailCompTextElementalist12,</v>
      </c>
      <c r="E14" s="5" t="str">
        <f t="shared" si="14"/>
        <v>augmentSkillLevel1,1,</v>
      </c>
      <c r="F14" s="5" t="str">
        <f t="shared" si="15"/>
        <v>augmentSkillName1,records/skills/zenithclass02/iceray1.dbr,</v>
      </c>
      <c r="G14" s="7">
        <f t="shared" si="10"/>
        <v>12</v>
      </c>
      <c r="H14" s="8" t="str">
        <f t="shared" si="11"/>
        <v>Elementalist</v>
      </c>
      <c r="I14" s="3" t="s">
        <v>205</v>
      </c>
      <c r="J14" s="8" t="str">
        <f t="shared" si="12"/>
        <v>class0012</v>
      </c>
      <c r="K14" s="8" t="str">
        <f t="shared" si="12"/>
        <v>dailoneskill0012</v>
      </c>
      <c r="L14" s="5" t="str">
        <f t="shared" si="4"/>
        <v>lootName12,DAIL/items/materia/class0012/Elementalist12.dbr,</v>
      </c>
      <c r="M14" s="5" t="str">
        <f t="shared" si="5"/>
        <v>lootWeight12,1,</v>
      </c>
      <c r="N14" t="str">
        <f t="shared" si="6"/>
        <v>1</v>
      </c>
      <c r="O14" t="str">
        <f t="shared" si="16"/>
        <v>copy .\dail_base.dbr .\items\materia\class0012\Elementalist12.dbr /y</v>
      </c>
      <c r="P14" t="str">
        <f t="shared" si="7"/>
        <v>echo relicBitmap,items/craftingparts/components/component_a52_bristlyfur_b.tex, &gt;&gt; .\items\materia\class0012\Elementalist12.dbr</v>
      </c>
      <c r="Q14" t="str">
        <f t="shared" si="1"/>
        <v>echo itemCost,100000, &gt;&gt; .\items\materia\class0012\Elementalist12.dbr</v>
      </c>
      <c r="R14" t="str">
        <f t="shared" si="1"/>
        <v>echo description,dailCompDescElementalist12, &gt;&gt; .\items\materia\class0012\Elementalist12.dbr</v>
      </c>
      <c r="S14" t="str">
        <f t="shared" si="1"/>
        <v>echo itemText,dailCompTextElementalist12, &gt;&gt; .\items\materia\class0012\Elementalist12.dbr</v>
      </c>
      <c r="T14" t="str">
        <f t="shared" si="1"/>
        <v>echo augmentSkillLevel1,1, &gt;&gt; .\items\materia\class0012\Elementalist12.dbr</v>
      </c>
      <c r="U14" t="str">
        <f t="shared" si="1"/>
        <v>echo augmentSkillName1,records/skills/zenithclass02/iceray1.dbr, &gt;&gt; .\items\materia\class0012\Elementalist12.dbr</v>
      </c>
      <c r="V14" s="5" t="s">
        <v>36</v>
      </c>
      <c r="W14" t="str">
        <f t="shared" si="8"/>
        <v>echo lootName12,DAIL/items/materia/class0012/Elementalist12.dbr, &gt;&gt; .\items\loottables\dailoneskill0012.dbr</v>
      </c>
      <c r="X14" t="str">
        <f t="shared" si="8"/>
        <v>echo lootWeight12,1, &gt;&gt; .\items\loottables\dailoneskill0012.dbr</v>
      </c>
      <c r="Y14" s="5" t="s">
        <v>36</v>
      </c>
      <c r="Z14" t="str">
        <f t="shared" si="9"/>
        <v xml:space="preserve"> dailCompDescElementalist12=^pElementalist's Gift of DAIL</v>
      </c>
      <c r="AA14" t="str">
        <f t="shared" si="17"/>
        <v>dailCompTextElementalist12=^oThis feels warm to the touch, almost familiar ^w(This component fits into all Jewellery slots including the Belt And Shoulder)</v>
      </c>
      <c r="AB14" s="5" t="s">
        <v>36</v>
      </c>
      <c r="AH14">
        <f t="shared" si="19"/>
        <v>9</v>
      </c>
      <c r="AI14">
        <f t="shared" si="13"/>
        <v>26</v>
      </c>
      <c r="AJ14">
        <f t="shared" si="18"/>
        <v>1</v>
      </c>
    </row>
    <row r="15" spans="1:38" x14ac:dyDescent="0.25">
      <c r="A15" s="5" t="s">
        <v>39</v>
      </c>
      <c r="B15" s="5" t="s">
        <v>0</v>
      </c>
      <c r="C15" s="5" t="str">
        <f t="shared" si="0"/>
        <v>description,dailCompDescElementalist13,</v>
      </c>
      <c r="D15" s="5" t="str">
        <f t="shared" si="2"/>
        <v>itemText,dailCompTextElementalist13,</v>
      </c>
      <c r="E15" s="5" t="str">
        <f t="shared" si="14"/>
        <v>augmentSkillLevel1,1,</v>
      </c>
      <c r="F15" s="5" t="str">
        <f t="shared" si="15"/>
        <v>augmentSkillName1,records/skills/zenithclass02/iceray2.dbr,</v>
      </c>
      <c r="G15" s="7">
        <f t="shared" si="10"/>
        <v>13</v>
      </c>
      <c r="H15" s="8" t="str">
        <f t="shared" si="11"/>
        <v>Elementalist</v>
      </c>
      <c r="I15" s="3" t="s">
        <v>437</v>
      </c>
      <c r="J15" s="8" t="str">
        <f t="shared" si="12"/>
        <v>class0012</v>
      </c>
      <c r="K15" s="8" t="str">
        <f t="shared" si="12"/>
        <v>dailoneskill0012</v>
      </c>
      <c r="L15" s="5" t="str">
        <f t="shared" si="4"/>
        <v>lootName13,DAIL/items/materia/class0012/Elementalist13.dbr,</v>
      </c>
      <c r="M15" s="5" t="str">
        <f t="shared" si="5"/>
        <v>lootWeight13,1,</v>
      </c>
      <c r="N15" t="str">
        <f t="shared" si="6"/>
        <v>1</v>
      </c>
      <c r="O15" t="str">
        <f t="shared" si="16"/>
        <v>copy .\dail_base.dbr .\items\materia\class0012\Elementalist13.dbr /y</v>
      </c>
      <c r="P15" t="str">
        <f t="shared" si="7"/>
        <v>echo relicBitmap,items/craftingparts/components/component_a52_bristlyfur_b.tex, &gt;&gt; .\items\materia\class0012\Elementalist13.dbr</v>
      </c>
      <c r="Q15" t="str">
        <f t="shared" si="1"/>
        <v>echo itemCost,100000, &gt;&gt; .\items\materia\class0012\Elementalist13.dbr</v>
      </c>
      <c r="R15" t="str">
        <f t="shared" si="1"/>
        <v>echo description,dailCompDescElementalist13, &gt;&gt; .\items\materia\class0012\Elementalist13.dbr</v>
      </c>
      <c r="S15" t="str">
        <f t="shared" si="1"/>
        <v>echo itemText,dailCompTextElementalist13, &gt;&gt; .\items\materia\class0012\Elementalist13.dbr</v>
      </c>
      <c r="T15" t="str">
        <f t="shared" si="1"/>
        <v>echo augmentSkillLevel1,1, &gt;&gt; .\items\materia\class0012\Elementalist13.dbr</v>
      </c>
      <c r="U15" t="str">
        <f t="shared" si="1"/>
        <v>echo augmentSkillName1,records/skills/zenithclass02/iceray2.dbr, &gt;&gt; .\items\materia\class0012\Elementalist13.dbr</v>
      </c>
      <c r="V15" s="5" t="s">
        <v>36</v>
      </c>
      <c r="W15" t="str">
        <f t="shared" si="8"/>
        <v>echo lootName13,DAIL/items/materia/class0012/Elementalist13.dbr, &gt;&gt; .\items\loottables\dailoneskill0012.dbr</v>
      </c>
      <c r="X15" t="str">
        <f t="shared" si="8"/>
        <v>echo lootWeight13,1, &gt;&gt; .\items\loottables\dailoneskill0012.dbr</v>
      </c>
      <c r="Y15" s="5" t="s">
        <v>36</v>
      </c>
      <c r="Z15" t="str">
        <f t="shared" si="9"/>
        <v xml:space="preserve"> dailCompDescElementalist13=^pElementalist's Gift of DAIL</v>
      </c>
      <c r="AA15" t="str">
        <f t="shared" si="17"/>
        <v>dailCompTextElementalist13=^oThis feels warm to the touch, almost familiar ^w(This component fits into all Jewellery slots including the Belt And Shoulder)</v>
      </c>
      <c r="AB15" s="5" t="s">
        <v>36</v>
      </c>
      <c r="AH15">
        <f t="shared" si="19"/>
        <v>10</v>
      </c>
      <c r="AI15">
        <f t="shared" si="13"/>
        <v>26</v>
      </c>
      <c r="AJ15">
        <f t="shared" si="18"/>
        <v>1</v>
      </c>
    </row>
    <row r="16" spans="1:38" x14ac:dyDescent="0.25">
      <c r="A16" s="5" t="s">
        <v>39</v>
      </c>
      <c r="B16" s="5" t="s">
        <v>0</v>
      </c>
      <c r="C16" s="5" t="str">
        <f t="shared" si="0"/>
        <v>description,dailCompDescElementalist14,</v>
      </c>
      <c r="D16" s="5" t="str">
        <f t="shared" si="2"/>
        <v>itemText,dailCompTextElementalist14,</v>
      </c>
      <c r="E16" s="5" t="str">
        <f t="shared" si="14"/>
        <v>augmentSkillLevel1,1,</v>
      </c>
      <c r="F16" s="5" t="str">
        <f t="shared" si="15"/>
        <v>augmentSkillName1,records/skills/zenithclass02/frostarmor.dbr,</v>
      </c>
      <c r="G16" s="7">
        <f t="shared" si="10"/>
        <v>14</v>
      </c>
      <c r="H16" s="8" t="str">
        <f t="shared" si="11"/>
        <v>Elementalist</v>
      </c>
      <c r="I16" s="3" t="s">
        <v>203</v>
      </c>
      <c r="J16" s="8" t="str">
        <f t="shared" si="12"/>
        <v>class0012</v>
      </c>
      <c r="K16" s="8" t="str">
        <f t="shared" si="12"/>
        <v>dailoneskill0012</v>
      </c>
      <c r="L16" s="5" t="str">
        <f t="shared" si="4"/>
        <v>lootName14,DAIL/items/materia/class0012/Elementalist14.dbr,</v>
      </c>
      <c r="M16" s="5" t="str">
        <f t="shared" si="5"/>
        <v>lootWeight14,1,</v>
      </c>
      <c r="N16" t="str">
        <f t="shared" si="6"/>
        <v>1</v>
      </c>
      <c r="O16" t="str">
        <f t="shared" si="16"/>
        <v>copy .\dail_base.dbr .\items\materia\class0012\Elementalist14.dbr /y</v>
      </c>
      <c r="P16" t="str">
        <f t="shared" si="7"/>
        <v>echo relicBitmap,items/craftingparts/components/component_a52_bristlyfur_b.tex, &gt;&gt; .\items\materia\class0012\Elementalist14.dbr</v>
      </c>
      <c r="Q16" t="str">
        <f t="shared" si="1"/>
        <v>echo itemCost,100000, &gt;&gt; .\items\materia\class0012\Elementalist14.dbr</v>
      </c>
      <c r="R16" t="str">
        <f t="shared" si="1"/>
        <v>echo description,dailCompDescElementalist14, &gt;&gt; .\items\materia\class0012\Elementalist14.dbr</v>
      </c>
      <c r="S16" t="str">
        <f t="shared" si="1"/>
        <v>echo itemText,dailCompTextElementalist14, &gt;&gt; .\items\materia\class0012\Elementalist14.dbr</v>
      </c>
      <c r="T16" t="str">
        <f t="shared" si="1"/>
        <v>echo augmentSkillLevel1,1, &gt;&gt; .\items\materia\class0012\Elementalist14.dbr</v>
      </c>
      <c r="U16" t="str">
        <f t="shared" si="1"/>
        <v>echo augmentSkillName1,records/skills/zenithclass02/frostarmor.dbr, &gt;&gt; .\items\materia\class0012\Elementalist14.dbr</v>
      </c>
      <c r="V16" s="5" t="s">
        <v>36</v>
      </c>
      <c r="W16" t="str">
        <f t="shared" si="8"/>
        <v>echo lootName14,DAIL/items/materia/class0012/Elementalist14.dbr, &gt;&gt; .\items\loottables\dailoneskill0012.dbr</v>
      </c>
      <c r="X16" t="str">
        <f t="shared" si="8"/>
        <v>echo lootWeight14,1, &gt;&gt; .\items\loottables\dailoneskill0012.dbr</v>
      </c>
      <c r="Y16" s="5" t="s">
        <v>36</v>
      </c>
      <c r="Z16" t="str">
        <f t="shared" si="9"/>
        <v xml:space="preserve"> dailCompDescElementalist14=^pElementalist's Gift of DAIL</v>
      </c>
      <c r="AA16" t="str">
        <f t="shared" si="17"/>
        <v>dailCompTextElementalist14=^oThis feels warm to the touch, almost familiar ^w(This component fits into all Jewellery slots including the Belt And Shoulder)</v>
      </c>
      <c r="AB16" s="5" t="s">
        <v>36</v>
      </c>
      <c r="AH16">
        <f t="shared" si="19"/>
        <v>11</v>
      </c>
      <c r="AI16">
        <f t="shared" si="13"/>
        <v>29</v>
      </c>
      <c r="AJ16">
        <f t="shared" si="18"/>
        <v>1</v>
      </c>
    </row>
    <row r="17" spans="1:36" x14ac:dyDescent="0.25">
      <c r="A17" s="5" t="s">
        <v>39</v>
      </c>
      <c r="B17" s="5" t="s">
        <v>0</v>
      </c>
      <c r="C17" s="5" t="str">
        <f t="shared" si="0"/>
        <v>description,dailCompDescElementalist15,</v>
      </c>
      <c r="D17" s="5" t="str">
        <f t="shared" si="2"/>
        <v>itemText,dailCompTextElementalist15,</v>
      </c>
      <c r="E17" s="5" t="str">
        <f t="shared" si="14"/>
        <v>augmentSkillLevel1,1,</v>
      </c>
      <c r="F17" s="5" t="str">
        <f t="shared" si="15"/>
        <v>augmentSkillName1,records/skills/zenithclass02/flameenchant.dbr,</v>
      </c>
      <c r="G17" s="7">
        <f t="shared" si="10"/>
        <v>15</v>
      </c>
      <c r="H17" s="8" t="str">
        <f t="shared" si="11"/>
        <v>Elementalist</v>
      </c>
      <c r="I17" s="3" t="s">
        <v>202</v>
      </c>
      <c r="J17" s="8" t="str">
        <f t="shared" si="12"/>
        <v>class0012</v>
      </c>
      <c r="K17" s="8" t="str">
        <f t="shared" si="12"/>
        <v>dailoneskill0012</v>
      </c>
      <c r="L17" s="5" t="str">
        <f t="shared" si="4"/>
        <v>lootName15,DAIL/items/materia/class0012/Elementalist15.dbr,</v>
      </c>
      <c r="M17" s="5" t="str">
        <f t="shared" si="5"/>
        <v>lootWeight15,1,</v>
      </c>
      <c r="N17" t="str">
        <f t="shared" si="6"/>
        <v>1</v>
      </c>
      <c r="O17" t="str">
        <f t="shared" si="16"/>
        <v>copy .\dail_base.dbr .\items\materia\class0012\Elementalist15.dbr /y</v>
      </c>
      <c r="P17" t="str">
        <f t="shared" si="7"/>
        <v>echo relicBitmap,items/craftingparts/components/component_a52_bristlyfur_b.tex, &gt;&gt; .\items\materia\class0012\Elementalist15.dbr</v>
      </c>
      <c r="Q17" t="str">
        <f t="shared" si="1"/>
        <v>echo itemCost,100000, &gt;&gt; .\items\materia\class0012\Elementalist15.dbr</v>
      </c>
      <c r="R17" t="str">
        <f t="shared" si="1"/>
        <v>echo description,dailCompDescElementalist15, &gt;&gt; .\items\materia\class0012\Elementalist15.dbr</v>
      </c>
      <c r="S17" t="str">
        <f t="shared" si="1"/>
        <v>echo itemText,dailCompTextElementalist15, &gt;&gt; .\items\materia\class0012\Elementalist15.dbr</v>
      </c>
      <c r="T17" t="str">
        <f t="shared" si="1"/>
        <v>echo augmentSkillLevel1,1, &gt;&gt; .\items\materia\class0012\Elementalist15.dbr</v>
      </c>
      <c r="U17" t="str">
        <f t="shared" si="1"/>
        <v>echo augmentSkillName1,records/skills/zenithclass02/flameenchant.dbr, &gt;&gt; .\items\materia\class0012\Elementalist15.dbr</v>
      </c>
      <c r="V17" s="5" t="s">
        <v>36</v>
      </c>
      <c r="W17" t="str">
        <f t="shared" si="8"/>
        <v>echo lootName15,DAIL/items/materia/class0012/Elementalist15.dbr, &gt;&gt; .\items\loottables\dailoneskill0012.dbr</v>
      </c>
      <c r="X17" t="str">
        <f t="shared" si="8"/>
        <v>echo lootWeight15,1, &gt;&gt; .\items\loottables\dailoneskill0012.dbr</v>
      </c>
      <c r="Y17" s="5" t="s">
        <v>36</v>
      </c>
      <c r="Z17" t="str">
        <f t="shared" si="9"/>
        <v xml:space="preserve"> dailCompDescElementalist15=^pElementalist's Gift of DAIL</v>
      </c>
      <c r="AA17" t="str">
        <f t="shared" si="17"/>
        <v>dailCompTextElementalist15=^oThis feels warm to the touch, almost familiar ^w(This component fits into all Jewellery slots including the Belt And Shoulder)</v>
      </c>
      <c r="AB17" s="5" t="s">
        <v>36</v>
      </c>
      <c r="AH17">
        <f t="shared" si="19"/>
        <v>12</v>
      </c>
      <c r="AI17">
        <f t="shared" si="13"/>
        <v>31</v>
      </c>
      <c r="AJ17">
        <f t="shared" si="18"/>
        <v>1</v>
      </c>
    </row>
    <row r="18" spans="1:36" x14ac:dyDescent="0.25">
      <c r="A18" s="5" t="s">
        <v>39</v>
      </c>
      <c r="B18" s="5" t="s">
        <v>0</v>
      </c>
      <c r="C18" s="5" t="str">
        <f t="shared" si="0"/>
        <v>description,dailCompDescElementalist16,</v>
      </c>
      <c r="D18" s="5" t="str">
        <f t="shared" si="2"/>
        <v>itemText,dailCompTextElementalist16,</v>
      </c>
      <c r="E18" s="5" t="str">
        <f t="shared" si="14"/>
        <v>augmentSkillLevel1,1,</v>
      </c>
      <c r="F18" s="5" t="str">
        <f t="shared" si="15"/>
        <v>augmentSkillName1,records/skills/zenithclass02/breathefire1.dbr,</v>
      </c>
      <c r="G18" s="7">
        <f t="shared" si="10"/>
        <v>16</v>
      </c>
      <c r="H18" s="8" t="str">
        <f t="shared" si="11"/>
        <v>Elementalist</v>
      </c>
      <c r="I18" s="3" t="s">
        <v>196</v>
      </c>
      <c r="J18" s="8" t="str">
        <f t="shared" si="12"/>
        <v>class0012</v>
      </c>
      <c r="K18" s="8" t="str">
        <f t="shared" si="12"/>
        <v>dailoneskill0012</v>
      </c>
      <c r="L18" s="5" t="str">
        <f t="shared" si="4"/>
        <v>lootName16,DAIL/items/materia/class0012/Elementalist16.dbr,</v>
      </c>
      <c r="M18" s="5" t="str">
        <f t="shared" si="5"/>
        <v>lootWeight16,1,</v>
      </c>
      <c r="N18" t="str">
        <f t="shared" si="6"/>
        <v>1</v>
      </c>
      <c r="O18" t="str">
        <f t="shared" si="16"/>
        <v>copy .\dail_base.dbr .\items\materia\class0012\Elementalist16.dbr /y</v>
      </c>
      <c r="P18" t="str">
        <f t="shared" si="7"/>
        <v>echo relicBitmap,items/craftingparts/components/component_a52_bristlyfur_b.tex, &gt;&gt; .\items\materia\class0012\Elementalist16.dbr</v>
      </c>
      <c r="Q18" t="str">
        <f t="shared" si="1"/>
        <v>echo itemCost,100000, &gt;&gt; .\items\materia\class0012\Elementalist16.dbr</v>
      </c>
      <c r="R18" t="str">
        <f t="shared" si="1"/>
        <v>echo description,dailCompDescElementalist16, &gt;&gt; .\items\materia\class0012\Elementalist16.dbr</v>
      </c>
      <c r="S18" t="str">
        <f t="shared" si="1"/>
        <v>echo itemText,dailCompTextElementalist16, &gt;&gt; .\items\materia\class0012\Elementalist16.dbr</v>
      </c>
      <c r="T18" t="str">
        <f t="shared" si="1"/>
        <v>echo augmentSkillLevel1,1, &gt;&gt; .\items\materia\class0012\Elementalist16.dbr</v>
      </c>
      <c r="U18" t="str">
        <f t="shared" si="1"/>
        <v>echo augmentSkillName1,records/skills/zenithclass02/breathefire1.dbr, &gt;&gt; .\items\materia\class0012\Elementalist16.dbr</v>
      </c>
      <c r="V18" s="5" t="s">
        <v>36</v>
      </c>
      <c r="W18" t="str">
        <f t="shared" si="8"/>
        <v>echo lootName16,DAIL/items/materia/class0012/Elementalist16.dbr, &gt;&gt; .\items\loottables\dailoneskill0012.dbr</v>
      </c>
      <c r="X18" t="str">
        <f t="shared" si="8"/>
        <v>echo lootWeight16,1, &gt;&gt; .\items\loottables\dailoneskill0012.dbr</v>
      </c>
      <c r="Y18" s="5" t="s">
        <v>36</v>
      </c>
      <c r="Z18" t="str">
        <f t="shared" si="9"/>
        <v xml:space="preserve"> dailCompDescElementalist16=^pElementalist's Gift of DAIL</v>
      </c>
      <c r="AA18" t="str">
        <f t="shared" si="17"/>
        <v>dailCompTextElementalist16=^oThis feels warm to the touch, almost familiar ^w(This component fits into all Jewellery slots including the Belt And Shoulder)</v>
      </c>
      <c r="AB18" s="5" t="s">
        <v>36</v>
      </c>
      <c r="AH18">
        <f t="shared" si="19"/>
        <v>13</v>
      </c>
      <c r="AI18">
        <f t="shared" si="13"/>
        <v>31</v>
      </c>
      <c r="AJ18">
        <f t="shared" si="18"/>
        <v>1</v>
      </c>
    </row>
    <row r="19" spans="1:36" x14ac:dyDescent="0.25">
      <c r="A19" s="5" t="s">
        <v>39</v>
      </c>
      <c r="B19" s="5" t="s">
        <v>28</v>
      </c>
      <c r="C19" s="5" t="str">
        <f t="shared" si="0"/>
        <v>description,dailCompDescElementalist17,</v>
      </c>
      <c r="D19" s="5" t="str">
        <f t="shared" si="2"/>
        <v>itemText,dailCompTextElementalist17,</v>
      </c>
      <c r="E19" s="5" t="str">
        <f t="shared" si="14"/>
        <v>augmentSkillLevel1,1,</v>
      </c>
      <c r="F19" s="5" t="str">
        <f t="shared" si="15"/>
        <v>augmentSkillName1,records/skills/zenithclass02/breathefire2.dbr,</v>
      </c>
      <c r="G19" s="7">
        <f t="shared" si="10"/>
        <v>17</v>
      </c>
      <c r="H19" s="8" t="str">
        <f t="shared" si="11"/>
        <v>Elementalist</v>
      </c>
      <c r="I19" s="3" t="s">
        <v>438</v>
      </c>
      <c r="J19" s="8" t="str">
        <f t="shared" si="12"/>
        <v>class0012</v>
      </c>
      <c r="K19" s="8" t="str">
        <f t="shared" si="12"/>
        <v>dailoneskill0012</v>
      </c>
      <c r="L19" s="5" t="str">
        <f t="shared" si="4"/>
        <v>lootName17,DAIL/items/materia/class0012/Elementalist17.dbr,</v>
      </c>
      <c r="M19" s="5" t="str">
        <f t="shared" si="5"/>
        <v>lootWeight17,1,</v>
      </c>
      <c r="N19" t="str">
        <f t="shared" si="6"/>
        <v>1</v>
      </c>
      <c r="O19" t="str">
        <f t="shared" si="16"/>
        <v>copy .\dail_base.dbr .\items\materia\class0012\Elementalist17.dbr /y</v>
      </c>
      <c r="P19" t="str">
        <f t="shared" si="7"/>
        <v>echo relicBitmap,items/craftingparts/components/component_a52_bristlyfur_b.tex, &gt;&gt; .\items\materia\class0012\Elementalist17.dbr</v>
      </c>
      <c r="Q19" t="str">
        <f t="shared" si="7"/>
        <v>echo itemCost,300000, &gt;&gt; .\items\materia\class0012\Elementalist17.dbr</v>
      </c>
      <c r="R19" t="str">
        <f t="shared" si="7"/>
        <v>echo description,dailCompDescElementalist17, &gt;&gt; .\items\materia\class0012\Elementalist17.dbr</v>
      </c>
      <c r="S19" t="str">
        <f t="shared" si="7"/>
        <v>echo itemText,dailCompTextElementalist17, &gt;&gt; .\items\materia\class0012\Elementalist17.dbr</v>
      </c>
      <c r="T19" t="str">
        <f t="shared" si="7"/>
        <v>echo augmentSkillLevel1,1, &gt;&gt; .\items\materia\class0012\Elementalist17.dbr</v>
      </c>
      <c r="U19" t="str">
        <f t="shared" si="7"/>
        <v>echo augmentSkillName1,records/skills/zenithclass02/breathefire2.dbr, &gt;&gt; .\items\materia\class0012\Elementalist17.dbr</v>
      </c>
      <c r="V19" s="5" t="s">
        <v>36</v>
      </c>
      <c r="W19" t="str">
        <f t="shared" si="8"/>
        <v>echo lootName17,DAIL/items/materia/class0012/Elementalist17.dbr, &gt;&gt; .\items\loottables\dailoneskill0012.dbr</v>
      </c>
      <c r="X19" t="str">
        <f t="shared" si="8"/>
        <v>echo lootWeight17,1, &gt;&gt; .\items\loottables\dailoneskill0012.dbr</v>
      </c>
      <c r="Y19" s="5" t="s">
        <v>36</v>
      </c>
      <c r="Z19" t="str">
        <f t="shared" si="9"/>
        <v xml:space="preserve"> dailCompDescElementalist17=^pElementalist's Gift of DAIL</v>
      </c>
      <c r="AA19" t="str">
        <f t="shared" si="17"/>
        <v>dailCompTextElementalist17=^oThis feels warm to the touch, almost familiar ^w(This component fits into all Jewellery slots including the Belt And Shoulder)</v>
      </c>
      <c r="AB19" s="5" t="s">
        <v>36</v>
      </c>
      <c r="AH19">
        <f t="shared" si="19"/>
        <v>14</v>
      </c>
      <c r="AI19">
        <f t="shared" si="13"/>
        <v>31</v>
      </c>
      <c r="AJ19">
        <f t="shared" si="18"/>
        <v>1</v>
      </c>
    </row>
    <row r="20" spans="1:36" x14ac:dyDescent="0.25">
      <c r="A20" s="5" t="s">
        <v>39</v>
      </c>
      <c r="B20" s="5" t="s">
        <v>28</v>
      </c>
      <c r="C20" s="5" t="str">
        <f t="shared" si="0"/>
        <v>description,dailCompDescElementalist18,</v>
      </c>
      <c r="D20" s="5" t="str">
        <f t="shared" si="2"/>
        <v>itemText,dailCompTextElementalist18,</v>
      </c>
      <c r="E20" s="5" t="str">
        <f t="shared" si="14"/>
        <v>augmentSkillLevel1,1,</v>
      </c>
      <c r="F20" s="5" t="str">
        <f t="shared" si="15"/>
        <v>augmentSkillName1,records/skills/zenithclass02/stormcaller1.dbr,</v>
      </c>
      <c r="G20" s="7">
        <f t="shared" si="10"/>
        <v>18</v>
      </c>
      <c r="H20" s="8" t="str">
        <f t="shared" si="11"/>
        <v>Elementalist</v>
      </c>
      <c r="I20" s="3" t="s">
        <v>209</v>
      </c>
      <c r="J20" s="8" t="str">
        <f t="shared" si="12"/>
        <v>class0012</v>
      </c>
      <c r="K20" s="8" t="str">
        <f t="shared" si="12"/>
        <v>dailoneskill0012</v>
      </c>
      <c r="L20" s="5" t="str">
        <f t="shared" si="4"/>
        <v>lootName18,DAIL/items/materia/class0012/Elementalist18.dbr,</v>
      </c>
      <c r="M20" s="5" t="str">
        <f t="shared" si="5"/>
        <v>lootWeight18,1,</v>
      </c>
      <c r="N20" t="str">
        <f t="shared" si="6"/>
        <v>1</v>
      </c>
      <c r="O20" t="str">
        <f t="shared" si="16"/>
        <v>copy .\dail_base.dbr .\items\materia\class0012\Elementalist18.dbr /y</v>
      </c>
      <c r="P20" t="str">
        <f t="shared" si="7"/>
        <v>echo relicBitmap,items/craftingparts/components/component_a52_bristlyfur_b.tex, &gt;&gt; .\items\materia\class0012\Elementalist18.dbr</v>
      </c>
      <c r="Q20" t="str">
        <f t="shared" si="7"/>
        <v>echo itemCost,300000, &gt;&gt; .\items\materia\class0012\Elementalist18.dbr</v>
      </c>
      <c r="R20" t="str">
        <f t="shared" si="7"/>
        <v>echo description,dailCompDescElementalist18, &gt;&gt; .\items\materia\class0012\Elementalist18.dbr</v>
      </c>
      <c r="S20" t="str">
        <f t="shared" si="7"/>
        <v>echo itemText,dailCompTextElementalist18, &gt;&gt; .\items\materia\class0012\Elementalist18.dbr</v>
      </c>
      <c r="T20" t="str">
        <f t="shared" si="7"/>
        <v>echo augmentSkillLevel1,1, &gt;&gt; .\items\materia\class0012\Elementalist18.dbr</v>
      </c>
      <c r="U20" t="str">
        <f t="shared" si="7"/>
        <v>echo augmentSkillName1,records/skills/zenithclass02/stormcaller1.dbr, &gt;&gt; .\items\materia\class0012\Elementalist18.dbr</v>
      </c>
      <c r="V20" s="5" t="s">
        <v>36</v>
      </c>
      <c r="W20" t="str">
        <f t="shared" si="8"/>
        <v>echo lootName18,DAIL/items/materia/class0012/Elementalist18.dbr, &gt;&gt; .\items\loottables\dailoneskill0012.dbr</v>
      </c>
      <c r="X20" t="str">
        <f t="shared" si="8"/>
        <v>echo lootWeight18,1, &gt;&gt; .\items\loottables\dailoneskill0012.dbr</v>
      </c>
      <c r="Y20" s="5" t="s">
        <v>36</v>
      </c>
      <c r="Z20" t="str">
        <f t="shared" si="9"/>
        <v xml:space="preserve"> dailCompDescElementalist18=^pElementalist's Gift of DAIL</v>
      </c>
      <c r="AA20" t="str">
        <f t="shared" si="17"/>
        <v>dailCompTextElementalist18=^oThis feels warm to the touch, almost familiar ^w(This component fits into all Jewellery slots including the Belt And Shoulder)</v>
      </c>
      <c r="AB20" s="5" t="s">
        <v>36</v>
      </c>
      <c r="AH20">
        <f t="shared" si="19"/>
        <v>15</v>
      </c>
      <c r="AI20">
        <f t="shared" si="13"/>
        <v>31</v>
      </c>
      <c r="AJ20">
        <f t="shared" si="18"/>
        <v>1</v>
      </c>
    </row>
    <row r="21" spans="1:36" x14ac:dyDescent="0.25">
      <c r="A21" s="5" t="s">
        <v>39</v>
      </c>
      <c r="B21" s="5" t="s">
        <v>28</v>
      </c>
      <c r="C21" s="5" t="str">
        <f t="shared" si="0"/>
        <v>description,dailCompDescElementalist19,</v>
      </c>
      <c r="D21" s="5" t="str">
        <f t="shared" si="2"/>
        <v>itemText,dailCompTextElementalist19,</v>
      </c>
      <c r="E21" s="5" t="str">
        <f t="shared" si="14"/>
        <v>augmentSkillLevel1,1,</v>
      </c>
      <c r="F21" s="5" t="str">
        <f t="shared" si="15"/>
        <v>augmentSkillName1,records/skills/zenithclass02/stormcaller2.dbr,</v>
      </c>
      <c r="G21" s="7">
        <f t="shared" si="10"/>
        <v>19</v>
      </c>
      <c r="H21" s="8" t="str">
        <f t="shared" si="11"/>
        <v>Elementalist</v>
      </c>
      <c r="I21" s="3" t="s">
        <v>439</v>
      </c>
      <c r="J21" s="8" t="str">
        <f t="shared" ref="J21:K36" si="20">J20</f>
        <v>class0012</v>
      </c>
      <c r="K21" s="8" t="str">
        <f t="shared" si="20"/>
        <v>dailoneskill0012</v>
      </c>
      <c r="L21" s="5" t="str">
        <f t="shared" si="4"/>
        <v>lootName19,DAIL/items/materia/class0012/Elementalist19.dbr,</v>
      </c>
      <c r="M21" s="5" t="str">
        <f t="shared" si="5"/>
        <v>lootWeight19,1,</v>
      </c>
      <c r="N21" t="str">
        <f t="shared" si="6"/>
        <v>1</v>
      </c>
      <c r="O21" t="str">
        <f t="shared" si="16"/>
        <v>copy .\dail_base.dbr .\items\materia\class0012\Elementalist19.dbr /y</v>
      </c>
      <c r="P21" t="str">
        <f t="shared" si="7"/>
        <v>echo relicBitmap,items/craftingparts/components/component_a52_bristlyfur_b.tex, &gt;&gt; .\items\materia\class0012\Elementalist19.dbr</v>
      </c>
      <c r="Q21" t="str">
        <f t="shared" si="7"/>
        <v>echo itemCost,300000, &gt;&gt; .\items\materia\class0012\Elementalist19.dbr</v>
      </c>
      <c r="R21" t="str">
        <f t="shared" si="7"/>
        <v>echo description,dailCompDescElementalist19, &gt;&gt; .\items\materia\class0012\Elementalist19.dbr</v>
      </c>
      <c r="S21" t="str">
        <f t="shared" si="7"/>
        <v>echo itemText,dailCompTextElementalist19, &gt;&gt; .\items\materia\class0012\Elementalist19.dbr</v>
      </c>
      <c r="T21" t="str">
        <f t="shared" si="7"/>
        <v>echo augmentSkillLevel1,1, &gt;&gt; .\items\materia\class0012\Elementalist19.dbr</v>
      </c>
      <c r="U21" t="str">
        <f t="shared" si="7"/>
        <v>echo augmentSkillName1,records/skills/zenithclass02/stormcaller2.dbr, &gt;&gt; .\items\materia\class0012\Elementalist19.dbr</v>
      </c>
      <c r="V21" s="5" t="s">
        <v>36</v>
      </c>
      <c r="W21" t="str">
        <f t="shared" si="8"/>
        <v>echo lootName19,DAIL/items/materia/class0012/Elementalist19.dbr, &gt;&gt; .\items\loottables\dailoneskill0012.dbr</v>
      </c>
      <c r="X21" t="str">
        <f t="shared" si="8"/>
        <v>echo lootWeight19,1, &gt;&gt; .\items\loottables\dailoneskill0012.dbr</v>
      </c>
      <c r="Y21" s="5" t="s">
        <v>36</v>
      </c>
      <c r="Z21" t="str">
        <f t="shared" si="9"/>
        <v xml:space="preserve"> dailCompDescElementalist19=^pElementalist's Gift of DAIL</v>
      </c>
      <c r="AA21" t="str">
        <f t="shared" si="17"/>
        <v>dailCompTextElementalist19=^oThis feels warm to the touch, almost familiar ^w(This component fits into all Jewellery slots including the Belt And Shoulder)</v>
      </c>
      <c r="AB21" s="5" t="s">
        <v>36</v>
      </c>
      <c r="AH21">
        <f t="shared" si="19"/>
        <v>16</v>
      </c>
      <c r="AI21">
        <f t="shared" si="13"/>
        <v>31</v>
      </c>
      <c r="AJ21">
        <f t="shared" si="18"/>
        <v>1</v>
      </c>
    </row>
    <row r="22" spans="1:36" x14ac:dyDescent="0.25">
      <c r="A22" s="5" t="s">
        <v>39</v>
      </c>
      <c r="B22" s="5" t="s">
        <v>28</v>
      </c>
      <c r="C22" s="5" t="str">
        <f t="shared" si="0"/>
        <v>description,dailCompDescElementalist20,</v>
      </c>
      <c r="D22" s="5" t="str">
        <f t="shared" si="2"/>
        <v>itemText,dailCompTextElementalist20,</v>
      </c>
      <c r="E22" s="5" t="str">
        <f t="shared" si="14"/>
        <v>augmentSkillLevel1,1,</v>
      </c>
      <c r="F22" s="5" t="str">
        <f t="shared" si="15"/>
        <v>augmentSkillName1,records/skills/zenithclass02/redsprite.dbr,</v>
      </c>
      <c r="G22" s="7">
        <f t="shared" si="10"/>
        <v>20</v>
      </c>
      <c r="H22" s="8" t="str">
        <f t="shared" si="11"/>
        <v>Elementalist</v>
      </c>
      <c r="I22" s="3" t="s">
        <v>207</v>
      </c>
      <c r="J22" s="8" t="str">
        <f t="shared" si="20"/>
        <v>class0012</v>
      </c>
      <c r="K22" s="8" t="str">
        <f t="shared" si="20"/>
        <v>dailoneskill0012</v>
      </c>
      <c r="L22" s="5" t="str">
        <f t="shared" si="4"/>
        <v>lootName20,DAIL/items/materia/class0012/Elementalist20.dbr,</v>
      </c>
      <c r="M22" s="5" t="str">
        <f t="shared" si="5"/>
        <v>lootWeight20,1,</v>
      </c>
      <c r="N22" t="str">
        <f t="shared" si="6"/>
        <v>1</v>
      </c>
      <c r="O22" t="str">
        <f t="shared" si="16"/>
        <v>copy .\dail_base.dbr .\items\materia\class0012\Elementalist20.dbr /y</v>
      </c>
      <c r="P22" t="str">
        <f t="shared" si="7"/>
        <v>echo relicBitmap,items/craftingparts/components/component_a52_bristlyfur_b.tex, &gt;&gt; .\items\materia\class0012\Elementalist20.dbr</v>
      </c>
      <c r="Q22" t="str">
        <f t="shared" si="7"/>
        <v>echo itemCost,300000, &gt;&gt; .\items\materia\class0012\Elementalist20.dbr</v>
      </c>
      <c r="R22" t="str">
        <f t="shared" si="7"/>
        <v>echo description,dailCompDescElementalist20, &gt;&gt; .\items\materia\class0012\Elementalist20.dbr</v>
      </c>
      <c r="S22" t="str">
        <f t="shared" si="7"/>
        <v>echo itemText,dailCompTextElementalist20, &gt;&gt; .\items\materia\class0012\Elementalist20.dbr</v>
      </c>
      <c r="T22" t="str">
        <f t="shared" si="7"/>
        <v>echo augmentSkillLevel1,1, &gt;&gt; .\items\materia\class0012\Elementalist20.dbr</v>
      </c>
      <c r="U22" t="str">
        <f t="shared" si="7"/>
        <v>echo augmentSkillName1,records/skills/zenithclass02/redsprite.dbr, &gt;&gt; .\items\materia\class0012\Elementalist20.dbr</v>
      </c>
      <c r="V22" s="5" t="s">
        <v>36</v>
      </c>
      <c r="W22" t="str">
        <f t="shared" si="8"/>
        <v>echo lootName20,DAIL/items/materia/class0012/Elementalist20.dbr, &gt;&gt; .\items\loottables\dailoneskill0012.dbr</v>
      </c>
      <c r="X22" t="str">
        <f t="shared" si="8"/>
        <v>echo lootWeight20,1, &gt;&gt; .\items\loottables\dailoneskill0012.dbr</v>
      </c>
      <c r="Y22" s="5" t="s">
        <v>36</v>
      </c>
      <c r="Z22" t="str">
        <f t="shared" si="9"/>
        <v xml:space="preserve"> dailCompDescElementalist20=^pElementalist's Gift of DAIL</v>
      </c>
      <c r="AA22" t="str">
        <f t="shared" si="17"/>
        <v>dailCompTextElementalist20=^oThis feels warm to the touch, almost familiar ^w(This component fits into all Jewellery slots including the Belt And Shoulder)</v>
      </c>
      <c r="AB22" s="5" t="s">
        <v>36</v>
      </c>
      <c r="AH22">
        <f t="shared" si="19"/>
        <v>17</v>
      </c>
      <c r="AI22">
        <f t="shared" si="13"/>
        <v>28</v>
      </c>
      <c r="AJ22">
        <f t="shared" si="18"/>
        <v>1</v>
      </c>
    </row>
    <row r="23" spans="1:36" x14ac:dyDescent="0.25">
      <c r="A23" s="5" t="s">
        <v>39</v>
      </c>
      <c r="B23" s="5" t="s">
        <v>28</v>
      </c>
      <c r="C23" s="5" t="str">
        <f t="shared" si="0"/>
        <v>description,dailCompDescElementalist21,</v>
      </c>
      <c r="D23" s="5" t="str">
        <f t="shared" si="2"/>
        <v>itemText,dailCompTextElementalist21,</v>
      </c>
      <c r="E23" s="5" t="str">
        <f t="shared" si="14"/>
        <v>augmentSkillLevel1,1,</v>
      </c>
      <c r="F23" s="5" t="str">
        <f t="shared" si="15"/>
        <v>augmentSkillName1,records/skills/zenithclass02/firegeyser.dbr,</v>
      </c>
      <c r="G23" s="7">
        <f t="shared" si="10"/>
        <v>21</v>
      </c>
      <c r="H23" s="8" t="str">
        <f t="shared" si="11"/>
        <v>Elementalist</v>
      </c>
      <c r="I23" s="3" t="s">
        <v>201</v>
      </c>
      <c r="J23" s="8" t="str">
        <f t="shared" si="20"/>
        <v>class0012</v>
      </c>
      <c r="K23" s="8" t="str">
        <f t="shared" si="20"/>
        <v>dailoneskill0012</v>
      </c>
      <c r="L23" s="5" t="str">
        <f t="shared" si="4"/>
        <v>lootName21,DAIL/items/materia/class0012/Elementalist21.dbr,</v>
      </c>
      <c r="M23" s="5" t="str">
        <f t="shared" si="5"/>
        <v>lootWeight21,1,</v>
      </c>
      <c r="N23" t="str">
        <f t="shared" si="6"/>
        <v>1</v>
      </c>
      <c r="O23" t="str">
        <f t="shared" si="16"/>
        <v>copy .\dail_base.dbr .\items\materia\class0012\Elementalist21.dbr /y</v>
      </c>
      <c r="P23" t="str">
        <f t="shared" si="7"/>
        <v>echo relicBitmap,items/craftingparts/components/component_a52_bristlyfur_b.tex, &gt;&gt; .\items\materia\class0012\Elementalist21.dbr</v>
      </c>
      <c r="Q23" t="str">
        <f t="shared" si="7"/>
        <v>echo itemCost,300000, &gt;&gt; .\items\materia\class0012\Elementalist21.dbr</v>
      </c>
      <c r="R23" t="str">
        <f t="shared" si="7"/>
        <v>echo description,dailCompDescElementalist21, &gt;&gt; .\items\materia\class0012\Elementalist21.dbr</v>
      </c>
      <c r="S23" t="str">
        <f t="shared" si="7"/>
        <v>echo itemText,dailCompTextElementalist21, &gt;&gt; .\items\materia\class0012\Elementalist21.dbr</v>
      </c>
      <c r="T23" t="str">
        <f t="shared" si="7"/>
        <v>echo augmentSkillLevel1,1, &gt;&gt; .\items\materia\class0012\Elementalist21.dbr</v>
      </c>
      <c r="U23" t="str">
        <f t="shared" si="7"/>
        <v>echo augmentSkillName1,records/skills/zenithclass02/firegeyser.dbr, &gt;&gt; .\items\materia\class0012\Elementalist21.dbr</v>
      </c>
      <c r="V23" s="5" t="s">
        <v>36</v>
      </c>
      <c r="W23" t="str">
        <f t="shared" si="8"/>
        <v>echo lootName21,DAIL/items/materia/class0012/Elementalist21.dbr, &gt;&gt; .\items\loottables\dailoneskill0012.dbr</v>
      </c>
      <c r="X23" t="str">
        <f t="shared" si="8"/>
        <v>echo lootWeight21,1, &gt;&gt; .\items\loottables\dailoneskill0012.dbr</v>
      </c>
      <c r="Y23" s="5" t="s">
        <v>36</v>
      </c>
      <c r="Z23" t="str">
        <f t="shared" si="9"/>
        <v xml:space="preserve"> dailCompDescElementalist21=^pElementalist's Gift of DAIL</v>
      </c>
      <c r="AA23" t="str">
        <f t="shared" si="17"/>
        <v>dailCompTextElementalist21=^oThis feels warm to the touch, almost familiar ^w(This component fits into all Jewellery slots including the Belt And Shoulder)</v>
      </c>
      <c r="AB23" s="5" t="s">
        <v>36</v>
      </c>
      <c r="AH23">
        <f t="shared" si="19"/>
        <v>18</v>
      </c>
      <c r="AI23">
        <f t="shared" si="13"/>
        <v>29</v>
      </c>
      <c r="AJ23">
        <f t="shared" si="18"/>
        <v>1</v>
      </c>
    </row>
    <row r="24" spans="1:36" x14ac:dyDescent="0.25">
      <c r="A24" s="5" t="s">
        <v>39</v>
      </c>
      <c r="B24" s="5" t="s">
        <v>28</v>
      </c>
      <c r="C24" s="5" t="str">
        <f t="shared" si="0"/>
        <v>description,dailCompDescElementalist22,</v>
      </c>
      <c r="D24" s="5" t="str">
        <f t="shared" si="2"/>
        <v>itemText,dailCompTextElementalist22,</v>
      </c>
      <c r="E24" s="5" t="str">
        <f t="shared" si="14"/>
        <v>augmentSkillLevel1,1,</v>
      </c>
      <c r="F24" s="5" t="str">
        <f t="shared" si="15"/>
        <v>augmentSkillName1,records/skills/zenithclass02/icecitadel.dbr,</v>
      </c>
      <c r="G24" s="7">
        <f t="shared" si="10"/>
        <v>22</v>
      </c>
      <c r="H24" s="8" t="str">
        <f t="shared" si="11"/>
        <v>Elementalist</v>
      </c>
      <c r="I24" s="3" t="s">
        <v>204</v>
      </c>
      <c r="J24" s="8" t="str">
        <f t="shared" si="20"/>
        <v>class0012</v>
      </c>
      <c r="K24" s="8" t="str">
        <f t="shared" si="20"/>
        <v>dailoneskill0012</v>
      </c>
      <c r="L24" s="5" t="str">
        <f t="shared" si="4"/>
        <v>lootName22,DAIL/items/materia/class0012/Elementalist22.dbr,</v>
      </c>
      <c r="M24" s="5" t="str">
        <f t="shared" si="5"/>
        <v>lootWeight22,1,</v>
      </c>
      <c r="N24" t="str">
        <f t="shared" si="6"/>
        <v>1</v>
      </c>
      <c r="O24" t="str">
        <f t="shared" si="16"/>
        <v>copy .\dail_base.dbr .\items\materia\class0012\Elementalist22.dbr /y</v>
      </c>
      <c r="P24" t="str">
        <f t="shared" si="7"/>
        <v>echo relicBitmap,items/craftingparts/components/component_a52_bristlyfur_b.tex, &gt;&gt; .\items\materia\class0012\Elementalist22.dbr</v>
      </c>
      <c r="Q24" t="str">
        <f t="shared" si="7"/>
        <v>echo itemCost,300000, &gt;&gt; .\items\materia\class0012\Elementalist22.dbr</v>
      </c>
      <c r="R24" t="str">
        <f t="shared" si="7"/>
        <v>echo description,dailCompDescElementalist22, &gt;&gt; .\items\materia\class0012\Elementalist22.dbr</v>
      </c>
      <c r="S24" t="str">
        <f t="shared" si="7"/>
        <v>echo itemText,dailCompTextElementalist22, &gt;&gt; .\items\materia\class0012\Elementalist22.dbr</v>
      </c>
      <c r="T24" t="str">
        <f t="shared" si="7"/>
        <v>echo augmentSkillLevel1,1, &gt;&gt; .\items\materia\class0012\Elementalist22.dbr</v>
      </c>
      <c r="U24" t="str">
        <f t="shared" si="7"/>
        <v>echo augmentSkillName1,records/skills/zenithclass02/icecitadel.dbr, &gt;&gt; .\items\materia\class0012\Elementalist22.dbr</v>
      </c>
      <c r="V24" s="5" t="s">
        <v>36</v>
      </c>
      <c r="W24" t="str">
        <f t="shared" si="8"/>
        <v>echo lootName22,DAIL/items/materia/class0012/Elementalist22.dbr, &gt;&gt; .\items\loottables\dailoneskill0012.dbr</v>
      </c>
      <c r="X24" t="str">
        <f t="shared" si="8"/>
        <v>echo lootWeight22,1, &gt;&gt; .\items\loottables\dailoneskill0012.dbr</v>
      </c>
      <c r="Y24" s="5" t="s">
        <v>36</v>
      </c>
      <c r="Z24" t="str">
        <f t="shared" si="9"/>
        <v xml:space="preserve"> dailCompDescElementalist22=^pElementalist's Gift of DAIL</v>
      </c>
      <c r="AA24" t="str">
        <f t="shared" si="17"/>
        <v>dailCompTextElementalist22=^oThis feels warm to the touch, almost familiar ^w(This component fits into all Jewellery slots including the Belt And Shoulder)</v>
      </c>
      <c r="AB24" s="5" t="s">
        <v>36</v>
      </c>
      <c r="AH24">
        <f t="shared" si="19"/>
        <v>19</v>
      </c>
      <c r="AI24">
        <f t="shared" si="13"/>
        <v>29</v>
      </c>
      <c r="AJ24">
        <f t="shared" si="18"/>
        <v>1</v>
      </c>
    </row>
    <row r="25" spans="1:36" x14ac:dyDescent="0.25">
      <c r="A25" s="5" t="s">
        <v>39</v>
      </c>
      <c r="B25" s="5" t="s">
        <v>28</v>
      </c>
      <c r="C25" s="5" t="str">
        <f t="shared" si="0"/>
        <v>description,dailCompDescElementalist23,</v>
      </c>
      <c r="D25" s="5" t="str">
        <f t="shared" si="2"/>
        <v>itemText,dailCompTextElementalist23,</v>
      </c>
      <c r="E25" s="5" t="str">
        <f t="shared" si="14"/>
        <v>augmentSkillLevel1,1,</v>
      </c>
      <c r="F25" s="5" t="str">
        <f t="shared" si="15"/>
        <v>augmentSkillName1,records/skills/zenithclass02/affinity_fire.dbr,</v>
      </c>
      <c r="G25" s="7">
        <f t="shared" si="10"/>
        <v>23</v>
      </c>
      <c r="H25" s="8" t="str">
        <f t="shared" si="11"/>
        <v>Elementalist</v>
      </c>
      <c r="I25" s="3" t="s">
        <v>194</v>
      </c>
      <c r="J25" s="8" t="str">
        <f t="shared" si="20"/>
        <v>class0012</v>
      </c>
      <c r="K25" s="8" t="str">
        <f t="shared" si="20"/>
        <v>dailoneskill0012</v>
      </c>
      <c r="L25" s="5" t="str">
        <f t="shared" si="4"/>
        <v>lootName23,DAIL/items/materia/class0012/Elementalist23.dbr,</v>
      </c>
      <c r="M25" s="5" t="str">
        <f t="shared" si="5"/>
        <v>lootWeight23,1,</v>
      </c>
      <c r="N25" t="str">
        <f t="shared" si="6"/>
        <v>1</v>
      </c>
      <c r="O25" t="str">
        <f t="shared" si="16"/>
        <v>copy .\dail_base.dbr .\items\materia\class0012\Elementalist23.dbr /y</v>
      </c>
      <c r="P25" t="str">
        <f t="shared" si="7"/>
        <v>echo relicBitmap,items/craftingparts/components/component_a52_bristlyfur_b.tex, &gt;&gt; .\items\materia\class0012\Elementalist23.dbr</v>
      </c>
      <c r="Q25" t="str">
        <f t="shared" si="7"/>
        <v>echo itemCost,300000, &gt;&gt; .\items\materia\class0012\Elementalist23.dbr</v>
      </c>
      <c r="R25" t="str">
        <f t="shared" si="7"/>
        <v>echo description,dailCompDescElementalist23, &gt;&gt; .\items\materia\class0012\Elementalist23.dbr</v>
      </c>
      <c r="S25" t="str">
        <f t="shared" si="7"/>
        <v>echo itemText,dailCompTextElementalist23, &gt;&gt; .\items\materia\class0012\Elementalist23.dbr</v>
      </c>
      <c r="T25" t="str">
        <f t="shared" si="7"/>
        <v>echo augmentSkillLevel1,1, &gt;&gt; .\items\materia\class0012\Elementalist23.dbr</v>
      </c>
      <c r="U25" t="str">
        <f t="shared" si="7"/>
        <v>echo augmentSkillName1,records/skills/zenithclass02/affinity_fire.dbr, &gt;&gt; .\items\materia\class0012\Elementalist23.dbr</v>
      </c>
      <c r="V25" s="5" t="s">
        <v>36</v>
      </c>
      <c r="W25" t="str">
        <f t="shared" si="8"/>
        <v>echo lootName23,DAIL/items/materia/class0012/Elementalist23.dbr, &gt;&gt; .\items\loottables\dailoneskill0012.dbr</v>
      </c>
      <c r="X25" t="str">
        <f t="shared" si="8"/>
        <v>echo lootWeight23,1, &gt;&gt; .\items\loottables\dailoneskill0012.dbr</v>
      </c>
      <c r="Y25" s="5" t="s">
        <v>36</v>
      </c>
      <c r="Z25" t="str">
        <f t="shared" si="9"/>
        <v xml:space="preserve"> dailCompDescElementalist23=^pElementalist's Gift of DAIL</v>
      </c>
      <c r="AA25" t="str">
        <f t="shared" si="17"/>
        <v>dailCompTextElementalist23=^oThis feels warm to the touch, almost familiar ^w(This component fits into all Jewellery slots including the Belt And Shoulder)</v>
      </c>
      <c r="AB25" s="5" t="s">
        <v>36</v>
      </c>
      <c r="AH25">
        <f t="shared" si="19"/>
        <v>20</v>
      </c>
      <c r="AI25">
        <f t="shared" si="13"/>
        <v>32</v>
      </c>
      <c r="AJ25">
        <f t="shared" si="18"/>
        <v>1</v>
      </c>
    </row>
    <row r="26" spans="1:36" x14ac:dyDescent="0.25">
      <c r="A26" s="5" t="s">
        <v>39</v>
      </c>
      <c r="B26" s="5" t="s">
        <v>28</v>
      </c>
      <c r="C26" s="5" t="str">
        <f t="shared" si="0"/>
        <v>description,dailCompDescElementalist24,</v>
      </c>
      <c r="D26" s="5" t="str">
        <f t="shared" si="2"/>
        <v>itemText,dailCompTextElementalist24,</v>
      </c>
      <c r="E26" s="5" t="str">
        <f t="shared" si="14"/>
        <v>augmentSkillLevel1,1,</v>
      </c>
      <c r="F26" s="5" t="str">
        <f t="shared" si="15"/>
        <v>augmentSkillName1,records/skills/zenithclass02/affinity_cold.dbr,</v>
      </c>
      <c r="G26" s="7">
        <f t="shared" si="10"/>
        <v>24</v>
      </c>
      <c r="H26" s="8" t="str">
        <f t="shared" si="11"/>
        <v>Elementalist</v>
      </c>
      <c r="I26" s="3" t="s">
        <v>228</v>
      </c>
      <c r="J26" s="8" t="str">
        <f t="shared" si="20"/>
        <v>class0012</v>
      </c>
      <c r="K26" s="8" t="str">
        <f t="shared" si="20"/>
        <v>dailoneskill0012</v>
      </c>
      <c r="L26" s="5" t="str">
        <f t="shared" si="4"/>
        <v>lootName24,DAIL/items/materia/class0012/Elementalist24.dbr,</v>
      </c>
      <c r="M26" s="5" t="str">
        <f t="shared" si="5"/>
        <v>lootWeight24,1,</v>
      </c>
      <c r="N26" t="str">
        <f t="shared" si="6"/>
        <v>1</v>
      </c>
      <c r="O26" t="str">
        <f t="shared" si="16"/>
        <v>copy .\dail_base.dbr .\items\materia\class0012\Elementalist24.dbr /y</v>
      </c>
      <c r="P26" t="str">
        <f t="shared" si="7"/>
        <v>echo relicBitmap,items/craftingparts/components/component_a52_bristlyfur_b.tex, &gt;&gt; .\items\materia\class0012\Elementalist24.dbr</v>
      </c>
      <c r="Q26" t="str">
        <f t="shared" si="7"/>
        <v>echo itemCost,300000, &gt;&gt; .\items\materia\class0012\Elementalist24.dbr</v>
      </c>
      <c r="R26" t="str">
        <f t="shared" si="7"/>
        <v>echo description,dailCompDescElementalist24, &gt;&gt; .\items\materia\class0012\Elementalist24.dbr</v>
      </c>
      <c r="S26" t="str">
        <f t="shared" si="7"/>
        <v>echo itemText,dailCompTextElementalist24, &gt;&gt; .\items\materia\class0012\Elementalist24.dbr</v>
      </c>
      <c r="T26" t="str">
        <f t="shared" si="7"/>
        <v>echo augmentSkillLevel1,1, &gt;&gt; .\items\materia\class0012\Elementalist24.dbr</v>
      </c>
      <c r="U26" t="str">
        <f t="shared" si="7"/>
        <v>echo augmentSkillName1,records/skills/zenithclass02/affinity_cold.dbr, &gt;&gt; .\items\materia\class0012\Elementalist24.dbr</v>
      </c>
      <c r="V26" s="5" t="s">
        <v>36</v>
      </c>
      <c r="W26" t="str">
        <f t="shared" si="8"/>
        <v>echo lootName24,DAIL/items/materia/class0012/Elementalist24.dbr, &gt;&gt; .\items\loottables\dailoneskill0012.dbr</v>
      </c>
      <c r="X26" t="str">
        <f t="shared" si="8"/>
        <v>echo lootWeight24,1, &gt;&gt; .\items\loottables\dailoneskill0012.dbr</v>
      </c>
      <c r="Y26" s="5" t="s">
        <v>36</v>
      </c>
      <c r="Z26" t="str">
        <f t="shared" si="9"/>
        <v xml:space="preserve"> dailCompDescElementalist24=^pElementalist's Gift of DAIL</v>
      </c>
      <c r="AA26" t="str">
        <f t="shared" si="17"/>
        <v>dailCompTextElementalist24=^oThis feels warm to the touch, almost familiar ^w(This component fits into all Jewellery slots including the Belt And Shoulder)</v>
      </c>
      <c r="AB26" s="5" t="s">
        <v>36</v>
      </c>
      <c r="AH26">
        <f t="shared" si="19"/>
        <v>21</v>
      </c>
      <c r="AI26">
        <f t="shared" si="13"/>
        <v>32</v>
      </c>
      <c r="AJ26">
        <f t="shared" si="18"/>
        <v>1</v>
      </c>
    </row>
    <row r="27" spans="1:36" x14ac:dyDescent="0.25">
      <c r="A27" s="5" t="s">
        <v>39</v>
      </c>
      <c r="B27" s="5" t="s">
        <v>28</v>
      </c>
      <c r="C27" s="5" t="str">
        <f t="shared" si="0"/>
        <v>description,dailCompDescElementalist25,</v>
      </c>
      <c r="D27" s="5" t="str">
        <f t="shared" si="2"/>
        <v>itemText,dailCompTextElementalist25,</v>
      </c>
      <c r="E27" s="5" t="str">
        <f t="shared" si="14"/>
        <v>augmentSkillLevel1,1,</v>
      </c>
      <c r="F27" s="5" t="str">
        <f t="shared" si="15"/>
        <v>augmentSkillName1,records/skills/zenithclass02/affinity_lightning.dbr,</v>
      </c>
      <c r="G27" s="7">
        <f t="shared" si="10"/>
        <v>25</v>
      </c>
      <c r="H27" s="8" t="str">
        <f t="shared" si="11"/>
        <v>Elementalist</v>
      </c>
      <c r="I27" s="3" t="s">
        <v>195</v>
      </c>
      <c r="J27" s="8" t="str">
        <f t="shared" si="20"/>
        <v>class0012</v>
      </c>
      <c r="K27" s="8" t="str">
        <f t="shared" si="20"/>
        <v>dailoneskill0012</v>
      </c>
      <c r="L27" s="5" t="str">
        <f t="shared" si="4"/>
        <v>lootName25,DAIL/items/materia/class0012/Elementalist25.dbr,</v>
      </c>
      <c r="M27" s="5" t="str">
        <f t="shared" si="5"/>
        <v>lootWeight25,1,</v>
      </c>
      <c r="N27" t="str">
        <f t="shared" si="6"/>
        <v>1</v>
      </c>
      <c r="O27" t="str">
        <f t="shared" si="16"/>
        <v>copy .\dail_base.dbr .\items\materia\class0012\Elementalist25.dbr /y</v>
      </c>
      <c r="P27" t="str">
        <f t="shared" si="7"/>
        <v>echo relicBitmap,items/craftingparts/components/component_a52_bristlyfur_b.tex, &gt;&gt; .\items\materia\class0012\Elementalist25.dbr</v>
      </c>
      <c r="Q27" t="str">
        <f t="shared" si="7"/>
        <v>echo itemCost,300000, &gt;&gt; .\items\materia\class0012\Elementalist25.dbr</v>
      </c>
      <c r="R27" t="str">
        <f t="shared" si="7"/>
        <v>echo description,dailCompDescElementalist25, &gt;&gt; .\items\materia\class0012\Elementalist25.dbr</v>
      </c>
      <c r="S27" t="str">
        <f t="shared" si="7"/>
        <v>echo itemText,dailCompTextElementalist25, &gt;&gt; .\items\materia\class0012\Elementalist25.dbr</v>
      </c>
      <c r="T27" t="str">
        <f t="shared" si="7"/>
        <v>echo augmentSkillLevel1,1, &gt;&gt; .\items\materia\class0012\Elementalist25.dbr</v>
      </c>
      <c r="U27" t="str">
        <f t="shared" si="7"/>
        <v>echo augmentSkillName1,records/skills/zenithclass02/affinity_lightning.dbr, &gt;&gt; .\items\materia\class0012\Elementalist25.dbr</v>
      </c>
      <c r="V27" s="5" t="s">
        <v>36</v>
      </c>
      <c r="W27" t="str">
        <f t="shared" si="8"/>
        <v>echo lootName25,DAIL/items/materia/class0012/Elementalist25.dbr, &gt;&gt; .\items\loottables\dailoneskill0012.dbr</v>
      </c>
      <c r="X27" t="str">
        <f t="shared" si="8"/>
        <v>echo lootWeight25,1, &gt;&gt; .\items\loottables\dailoneskill0012.dbr</v>
      </c>
      <c r="Y27" s="5" t="s">
        <v>36</v>
      </c>
      <c r="Z27" t="str">
        <f t="shared" si="9"/>
        <v xml:space="preserve"> dailCompDescElementalist25=^pElementalist's Gift of DAIL</v>
      </c>
      <c r="AA27" t="str">
        <f t="shared" si="17"/>
        <v>dailCompTextElementalist25=^oThis feels warm to the touch, almost familiar ^w(This component fits into all Jewellery slots including the Belt And Shoulder)</v>
      </c>
      <c r="AB27" s="5" t="s">
        <v>36</v>
      </c>
      <c r="AH27">
        <f t="shared" si="19"/>
        <v>22</v>
      </c>
      <c r="AI27">
        <f t="shared" si="13"/>
        <v>37</v>
      </c>
      <c r="AJ27">
        <f t="shared" si="18"/>
        <v>1</v>
      </c>
    </row>
    <row r="28" spans="1:36" x14ac:dyDescent="0.25">
      <c r="A28" s="5" t="s">
        <v>39</v>
      </c>
      <c r="B28" s="5" t="s">
        <v>28</v>
      </c>
      <c r="C28" s="5" t="str">
        <f t="shared" si="0"/>
        <v>description,dailCompDescElementalist26,</v>
      </c>
      <c r="D28" s="5" t="str">
        <f t="shared" si="2"/>
        <v>itemText,dailCompTextElementalist26,</v>
      </c>
      <c r="E28" s="5" t="str">
        <f t="shared" si="14"/>
        <v>augmentSkillLevel1,1,</v>
      </c>
      <c r="F28" s="5" t="str">
        <f t="shared" si="15"/>
        <v>augmentSkillName1,records/skills/zenithclass02/refuel.dbr,</v>
      </c>
      <c r="G28" s="7">
        <f t="shared" si="10"/>
        <v>26</v>
      </c>
      <c r="H28" s="8" t="str">
        <f t="shared" si="11"/>
        <v>Elementalist</v>
      </c>
      <c r="I28" s="3" t="s">
        <v>208</v>
      </c>
      <c r="J28" s="8" t="str">
        <f t="shared" si="20"/>
        <v>class0012</v>
      </c>
      <c r="K28" s="8" t="str">
        <f t="shared" si="20"/>
        <v>dailoneskill0012</v>
      </c>
      <c r="L28" s="5" t="str">
        <f t="shared" si="4"/>
        <v>lootName26,DAIL/items/materia/class0012/Elementalist26.dbr,</v>
      </c>
      <c r="M28" s="5" t="str">
        <f t="shared" si="5"/>
        <v>lootWeight26,1,</v>
      </c>
      <c r="N28" t="str">
        <f t="shared" si="6"/>
        <v>1</v>
      </c>
      <c r="O28" t="str">
        <f t="shared" si="16"/>
        <v>copy .\dail_base.dbr .\items\materia\class0012\Elementalist26.dbr /y</v>
      </c>
      <c r="P28" t="str">
        <f t="shared" si="7"/>
        <v>echo relicBitmap,items/craftingparts/components/component_a52_bristlyfur_b.tex, &gt;&gt; .\items\materia\class0012\Elementalist26.dbr</v>
      </c>
      <c r="Q28" t="str">
        <f t="shared" si="7"/>
        <v>echo itemCost,300000, &gt;&gt; .\items\materia\class0012\Elementalist26.dbr</v>
      </c>
      <c r="R28" t="str">
        <f t="shared" si="7"/>
        <v>echo description,dailCompDescElementalist26, &gt;&gt; .\items\materia\class0012\Elementalist26.dbr</v>
      </c>
      <c r="S28" t="str">
        <f t="shared" si="7"/>
        <v>echo itemText,dailCompTextElementalist26, &gt;&gt; .\items\materia\class0012\Elementalist26.dbr</v>
      </c>
      <c r="T28" t="str">
        <f t="shared" si="7"/>
        <v>echo augmentSkillLevel1,1, &gt;&gt; .\items\materia\class0012\Elementalist26.dbr</v>
      </c>
      <c r="U28" t="str">
        <f t="shared" si="7"/>
        <v>echo augmentSkillName1,records/skills/zenithclass02/refuel.dbr, &gt;&gt; .\items\materia\class0012\Elementalist26.dbr</v>
      </c>
      <c r="V28" s="5" t="s">
        <v>36</v>
      </c>
      <c r="W28" t="str">
        <f t="shared" si="8"/>
        <v>echo lootName26,DAIL/items/materia/class0012/Elementalist26.dbr, &gt;&gt; .\items\loottables\dailoneskill0012.dbr</v>
      </c>
      <c r="X28" t="str">
        <f t="shared" si="8"/>
        <v>echo lootWeight26,1, &gt;&gt; .\items\loottables\dailoneskill0012.dbr</v>
      </c>
      <c r="Y28" s="5" t="s">
        <v>36</v>
      </c>
      <c r="Z28" t="str">
        <f t="shared" si="9"/>
        <v xml:space="preserve"> dailCompDescElementalist26=^pElementalist's Gift of DAIL</v>
      </c>
      <c r="AA28" t="str">
        <f t="shared" si="17"/>
        <v>dailCompTextElementalist26=^oThis feels warm to the touch, almost familiar ^w(This component fits into all Jewellery slots including the Belt And Shoulder)</v>
      </c>
      <c r="AB28" s="5" t="s">
        <v>36</v>
      </c>
      <c r="AH28">
        <f t="shared" si="19"/>
        <v>23</v>
      </c>
      <c r="AI28">
        <f t="shared" si="13"/>
        <v>25</v>
      </c>
      <c r="AJ28">
        <f t="shared" si="18"/>
        <v>1</v>
      </c>
    </row>
    <row r="29" spans="1:36" x14ac:dyDescent="0.25">
      <c r="A29" s="5" t="s">
        <v>39</v>
      </c>
      <c r="B29" s="5" t="s">
        <v>28</v>
      </c>
      <c r="C29" s="5" t="str">
        <f t="shared" si="0"/>
        <v>description,dailCompDescElementalist27,</v>
      </c>
      <c r="D29" s="5" t="str">
        <f t="shared" si="2"/>
        <v>itemText,dailCompTextElementalist27,</v>
      </c>
      <c r="E29" s="5" t="str">
        <f t="shared" si="14"/>
        <v>augmentSkillLevel1,3,</v>
      </c>
      <c r="F29" s="5" t="str">
        <f t="shared" si="15"/>
        <v>augmentSkillName1,records/skills/zenithclass02/elemental_flow.dbr,</v>
      </c>
      <c r="G29" s="7">
        <f t="shared" si="10"/>
        <v>27</v>
      </c>
      <c r="H29" s="8" t="str">
        <f t="shared" si="11"/>
        <v>Elementalist</v>
      </c>
      <c r="I29" s="3" t="s">
        <v>199</v>
      </c>
      <c r="J29" s="8" t="str">
        <f t="shared" si="20"/>
        <v>class0012</v>
      </c>
      <c r="K29" s="8" t="str">
        <f t="shared" si="20"/>
        <v>dailoneskill0012</v>
      </c>
      <c r="L29" s="5" t="str">
        <f t="shared" si="4"/>
        <v>lootName27,DAIL/items/materia/class0012/Elementalist27.dbr,</v>
      </c>
      <c r="M29" s="5" t="str">
        <f t="shared" si="5"/>
        <v>lootWeight27,1,</v>
      </c>
      <c r="N29" t="str">
        <f t="shared" si="6"/>
        <v>3</v>
      </c>
      <c r="O29" t="str">
        <f t="shared" si="16"/>
        <v>copy .\dail_base3.dbr .\items\materia\class0012\Elementalist27.dbr /y</v>
      </c>
      <c r="P29" t="str">
        <f t="shared" si="7"/>
        <v>echo relicBitmap,items/craftingparts/components/component_a52_bristlyfur_b.tex, &gt;&gt; .\items\materia\class0012\Elementalist27.dbr</v>
      </c>
      <c r="Q29" t="str">
        <f t="shared" si="7"/>
        <v>echo itemCost,300000, &gt;&gt; .\items\materia\class0012\Elementalist27.dbr</v>
      </c>
      <c r="R29" t="str">
        <f t="shared" si="7"/>
        <v>echo description,dailCompDescElementalist27, &gt;&gt; .\items\materia\class0012\Elementalist27.dbr</v>
      </c>
      <c r="S29" t="str">
        <f t="shared" si="7"/>
        <v>echo itemText,dailCompTextElementalist27, &gt;&gt; .\items\materia\class0012\Elementalist27.dbr</v>
      </c>
      <c r="T29" t="str">
        <f t="shared" si="7"/>
        <v>echo augmentSkillLevel1,3, &gt;&gt; .\items\materia\class0012\Elementalist27.dbr</v>
      </c>
      <c r="U29" t="str">
        <f t="shared" si="7"/>
        <v>echo augmentSkillName1,records/skills/zenithclass02/elemental_flow.dbr, &gt;&gt; .\items\materia\class0012\Elementalist27.dbr</v>
      </c>
      <c r="V29" s="5" t="s">
        <v>36</v>
      </c>
      <c r="W29" t="str">
        <f t="shared" si="8"/>
        <v>echo lootName27,DAIL/items/materia/class0012/Elementalist27.dbr, &gt;&gt; .\items\loottables\dailoneskill0012.dbr</v>
      </c>
      <c r="X29" t="str">
        <f t="shared" si="8"/>
        <v>echo lootWeight27,1, &gt;&gt; .\items\loottables\dailoneskill0012.dbr</v>
      </c>
      <c r="Y29" s="5" t="s">
        <v>36</v>
      </c>
      <c r="Z29" t="str">
        <f t="shared" si="9"/>
        <v xml:space="preserve"> dailCompDescElementalist27=^pElementalist's Gift of DAIL</v>
      </c>
      <c r="AA29" t="str">
        <f t="shared" si="17"/>
        <v>dailCompTextElementalist27=^oThis feels warm to the touch, almost familiar ^w(This component only fits into the Medal Slot)</v>
      </c>
      <c r="AB29" s="5" t="s">
        <v>36</v>
      </c>
      <c r="AH29">
        <f t="shared" si="19"/>
        <v>24</v>
      </c>
      <c r="AI29">
        <f t="shared" si="13"/>
        <v>33</v>
      </c>
      <c r="AJ29">
        <f t="shared" si="18"/>
        <v>3</v>
      </c>
    </row>
    <row r="30" spans="1:36" x14ac:dyDescent="0.25">
      <c r="A30" s="5" t="s">
        <v>39</v>
      </c>
      <c r="B30" s="5" t="s">
        <v>28</v>
      </c>
      <c r="C30" s="5" t="str">
        <f t="shared" si="0"/>
        <v>description,dailCompDescElementalist28,</v>
      </c>
      <c r="D30" s="5" t="str">
        <f t="shared" si="2"/>
        <v>itemText,dailCompTextElementalist28,</v>
      </c>
      <c r="E30" s="5" t="str">
        <f t="shared" si="14"/>
        <v>augmentSkillLevel1,3,</v>
      </c>
      <c r="F30" s="5" t="str">
        <f t="shared" si="15"/>
        <v>augmentSkillName1,records/skills/zenithclass02/icewall1.dbr,</v>
      </c>
      <c r="G30" s="7">
        <f t="shared" si="10"/>
        <v>28</v>
      </c>
      <c r="H30" s="8" t="str">
        <f t="shared" si="11"/>
        <v>Elementalist</v>
      </c>
      <c r="I30" s="3" t="s">
        <v>206</v>
      </c>
      <c r="J30" s="8" t="str">
        <f t="shared" si="20"/>
        <v>class0012</v>
      </c>
      <c r="K30" s="8" t="str">
        <f t="shared" si="20"/>
        <v>dailoneskill0012</v>
      </c>
      <c r="L30" s="5" t="str">
        <f t="shared" si="4"/>
        <v>lootName28,DAIL/items/materia/class0012/Elementalist28.dbr,</v>
      </c>
      <c r="M30" s="5" t="str">
        <f t="shared" si="5"/>
        <v>lootWeight28,1,</v>
      </c>
      <c r="N30" t="str">
        <f t="shared" si="6"/>
        <v>3</v>
      </c>
      <c r="O30" t="str">
        <f t="shared" si="16"/>
        <v>copy .\dail_base3.dbr .\items\materia\class0012\Elementalist28.dbr /y</v>
      </c>
      <c r="P30" t="str">
        <f t="shared" si="7"/>
        <v>echo relicBitmap,items/craftingparts/components/component_a52_bristlyfur_b.tex, &gt;&gt; .\items\materia\class0012\Elementalist28.dbr</v>
      </c>
      <c r="Q30" t="str">
        <f t="shared" si="7"/>
        <v>echo itemCost,300000, &gt;&gt; .\items\materia\class0012\Elementalist28.dbr</v>
      </c>
      <c r="R30" t="str">
        <f t="shared" si="7"/>
        <v>echo description,dailCompDescElementalist28, &gt;&gt; .\items\materia\class0012\Elementalist28.dbr</v>
      </c>
      <c r="S30" t="str">
        <f t="shared" si="7"/>
        <v>echo itemText,dailCompTextElementalist28, &gt;&gt; .\items\materia\class0012\Elementalist28.dbr</v>
      </c>
      <c r="T30" t="str">
        <f t="shared" si="7"/>
        <v>echo augmentSkillLevel1,3, &gt;&gt; .\items\materia\class0012\Elementalist28.dbr</v>
      </c>
      <c r="U30" t="str">
        <f t="shared" si="7"/>
        <v>echo augmentSkillName1,records/skills/zenithclass02/icewall1.dbr, &gt;&gt; .\items\materia\class0012\Elementalist28.dbr</v>
      </c>
      <c r="V30" s="5" t="s">
        <v>36</v>
      </c>
      <c r="W30" t="str">
        <f t="shared" si="8"/>
        <v>echo lootName28,DAIL/items/materia/class0012/Elementalist28.dbr, &gt;&gt; .\items\loottables\dailoneskill0012.dbr</v>
      </c>
      <c r="X30" t="str">
        <f t="shared" si="8"/>
        <v>echo lootWeight28,1, &gt;&gt; .\items\loottables\dailoneskill0012.dbr</v>
      </c>
      <c r="Y30" s="5" t="s">
        <v>36</v>
      </c>
      <c r="Z30" t="str">
        <f t="shared" si="9"/>
        <v xml:space="preserve"> dailCompDescElementalist28=^pElementalist's Gift of DAIL</v>
      </c>
      <c r="AA30" t="str">
        <f t="shared" si="17"/>
        <v>dailCompTextElementalist28=^oThis feels warm to the touch, almost familiar ^w(This component only fits into the Medal Slot)</v>
      </c>
      <c r="AB30" s="5" t="s">
        <v>36</v>
      </c>
      <c r="AH30">
        <f t="shared" si="19"/>
        <v>25</v>
      </c>
      <c r="AI30">
        <f t="shared" si="13"/>
        <v>27</v>
      </c>
      <c r="AJ30">
        <f t="shared" si="18"/>
        <v>3</v>
      </c>
    </row>
    <row r="31" spans="1:36" x14ac:dyDescent="0.25">
      <c r="A31" s="5" t="s">
        <v>39</v>
      </c>
      <c r="B31" s="5" t="s">
        <v>28</v>
      </c>
      <c r="C31" s="5" t="str">
        <f t="shared" si="0"/>
        <v>description,dailCompDescElementalist29,</v>
      </c>
      <c r="D31" s="5" t="str">
        <f t="shared" si="2"/>
        <v>itemText,dailCompTextElementalist29,</v>
      </c>
      <c r="E31" s="5" t="str">
        <f t="shared" si="14"/>
        <v>augmentSkillLevel1,3,</v>
      </c>
      <c r="F31" s="5" t="str">
        <f t="shared" si="15"/>
        <v>augmentSkillName1,records/skills/zenithclass02/firebolt1.dbr,</v>
      </c>
      <c r="G31" s="7">
        <f t="shared" si="10"/>
        <v>29</v>
      </c>
      <c r="H31" s="8" t="str">
        <f t="shared" si="11"/>
        <v>Elementalist</v>
      </c>
      <c r="I31" s="3" t="s">
        <v>200</v>
      </c>
      <c r="J31" s="8" t="str">
        <f t="shared" si="20"/>
        <v>class0012</v>
      </c>
      <c r="K31" s="8" t="str">
        <f t="shared" si="20"/>
        <v>dailoneskill0012</v>
      </c>
      <c r="L31" s="5" t="str">
        <f t="shared" si="4"/>
        <v>lootName29,DAIL/items/materia/class0012/Elementalist29.dbr,</v>
      </c>
      <c r="M31" s="5" t="str">
        <f t="shared" si="5"/>
        <v>lootWeight29,1,</v>
      </c>
      <c r="N31" t="str">
        <f t="shared" si="6"/>
        <v>3</v>
      </c>
      <c r="O31" t="str">
        <f t="shared" si="16"/>
        <v>copy .\dail_base3.dbr .\items\materia\class0012\Elementalist29.dbr /y</v>
      </c>
      <c r="P31" t="str">
        <f t="shared" si="7"/>
        <v>echo relicBitmap,items/craftingparts/components/component_a52_bristlyfur_b.tex, &gt;&gt; .\items\materia\class0012\Elementalist29.dbr</v>
      </c>
      <c r="Q31" t="str">
        <f t="shared" si="7"/>
        <v>echo itemCost,300000, &gt;&gt; .\items\materia\class0012\Elementalist29.dbr</v>
      </c>
      <c r="R31" t="str">
        <f t="shared" si="7"/>
        <v>echo description,dailCompDescElementalist29, &gt;&gt; .\items\materia\class0012\Elementalist29.dbr</v>
      </c>
      <c r="S31" t="str">
        <f t="shared" si="7"/>
        <v>echo itemText,dailCompTextElementalist29, &gt;&gt; .\items\materia\class0012\Elementalist29.dbr</v>
      </c>
      <c r="T31" t="str">
        <f t="shared" si="7"/>
        <v>echo augmentSkillLevel1,3, &gt;&gt; .\items\materia\class0012\Elementalist29.dbr</v>
      </c>
      <c r="U31" t="str">
        <f t="shared" si="7"/>
        <v>echo augmentSkillName1,records/skills/zenithclass02/firebolt1.dbr, &gt;&gt; .\items\materia\class0012\Elementalist29.dbr</v>
      </c>
      <c r="V31" s="5" t="s">
        <v>36</v>
      </c>
      <c r="W31" t="str">
        <f t="shared" si="8"/>
        <v>echo lootName29,DAIL/items/materia/class0012/Elementalist29.dbr, &gt;&gt; .\items\loottables\dailoneskill0012.dbr</v>
      </c>
      <c r="X31" t="str">
        <f t="shared" si="8"/>
        <v>echo lootWeight29,1, &gt;&gt; .\items\loottables\dailoneskill0012.dbr</v>
      </c>
      <c r="Y31" s="5" t="s">
        <v>36</v>
      </c>
      <c r="Z31" t="str">
        <f t="shared" si="9"/>
        <v xml:space="preserve"> dailCompDescElementalist29=^pElementalist's Gift of DAIL</v>
      </c>
      <c r="AA31" t="str">
        <f t="shared" si="17"/>
        <v>dailCompTextElementalist29=^oThis feels warm to the touch, almost familiar ^w(This component only fits into the Medal Slot)</v>
      </c>
      <c r="AB31" s="5" t="s">
        <v>36</v>
      </c>
      <c r="AH31">
        <f t="shared" si="19"/>
        <v>26</v>
      </c>
      <c r="AI31">
        <f t="shared" si="13"/>
        <v>28</v>
      </c>
      <c r="AJ31">
        <f t="shared" si="18"/>
        <v>3</v>
      </c>
    </row>
    <row r="32" spans="1:36" x14ac:dyDescent="0.25">
      <c r="A32" s="5" t="s">
        <v>39</v>
      </c>
      <c r="B32" s="5" t="s">
        <v>30</v>
      </c>
      <c r="C32" s="5" t="str">
        <f t="shared" si="0"/>
        <v>description,dailCompDescElementalist30,</v>
      </c>
      <c r="D32" s="5" t="str">
        <f t="shared" si="2"/>
        <v>itemText,dailCompTextElementalist30,</v>
      </c>
      <c r="E32" s="5" t="str">
        <f t="shared" si="14"/>
        <v>augmentSkillLevel1,3,</v>
      </c>
      <c r="F32" s="5" t="str">
        <f t="shared" si="15"/>
        <v>augmentSkillName1,records/skills/zenithclass02/firebolt2.dbr,</v>
      </c>
      <c r="G32" s="7">
        <f t="shared" si="10"/>
        <v>30</v>
      </c>
      <c r="H32" s="8" t="str">
        <f t="shared" si="11"/>
        <v>Elementalist</v>
      </c>
      <c r="I32" s="3" t="s">
        <v>434</v>
      </c>
      <c r="J32" s="8" t="str">
        <f t="shared" si="20"/>
        <v>class0012</v>
      </c>
      <c r="K32" s="8" t="str">
        <f t="shared" si="20"/>
        <v>dailoneskill0012</v>
      </c>
      <c r="L32" s="5" t="str">
        <f t="shared" si="4"/>
        <v>lootName30,DAIL/items/materia/class0012/Elementalist30.dbr,</v>
      </c>
      <c r="M32" s="5" t="str">
        <f t="shared" si="5"/>
        <v>lootWeight30,1,</v>
      </c>
      <c r="N32" t="str">
        <f t="shared" si="6"/>
        <v>3</v>
      </c>
      <c r="O32" t="str">
        <f t="shared" si="16"/>
        <v>copy .\dail_base3.dbr .\items\materia\class0012\Elementalist30.dbr /y</v>
      </c>
      <c r="P32" t="str">
        <f t="shared" si="7"/>
        <v>echo relicBitmap,items/craftingparts/components/component_a52_bristlyfur_b.tex, &gt;&gt; .\items\materia\class0012\Elementalist30.dbr</v>
      </c>
      <c r="Q32" t="str">
        <f t="shared" si="7"/>
        <v>echo itemCost,500000, &gt;&gt; .\items\materia\class0012\Elementalist30.dbr</v>
      </c>
      <c r="R32" t="str">
        <f t="shared" si="7"/>
        <v>echo description,dailCompDescElementalist30, &gt;&gt; .\items\materia\class0012\Elementalist30.dbr</v>
      </c>
      <c r="S32" t="str">
        <f t="shared" si="7"/>
        <v>echo itemText,dailCompTextElementalist30, &gt;&gt; .\items\materia\class0012\Elementalist30.dbr</v>
      </c>
      <c r="T32" t="str">
        <f t="shared" si="7"/>
        <v>echo augmentSkillLevel1,3, &gt;&gt; .\items\materia\class0012\Elementalist30.dbr</v>
      </c>
      <c r="U32" t="str">
        <f t="shared" si="7"/>
        <v>echo augmentSkillName1,records/skills/zenithclass02/firebolt2.dbr, &gt;&gt; .\items\materia\class0012\Elementalist30.dbr</v>
      </c>
      <c r="V32" s="5" t="s">
        <v>36</v>
      </c>
      <c r="W32" t="str">
        <f t="shared" si="8"/>
        <v>echo lootName30,DAIL/items/materia/class0012/Elementalist30.dbr, &gt;&gt; .\items\loottables\dailoneskill0012.dbr</v>
      </c>
      <c r="X32" t="str">
        <f t="shared" si="8"/>
        <v>echo lootWeight30,1, &gt;&gt; .\items\loottables\dailoneskill0012.dbr</v>
      </c>
      <c r="Y32" s="5" t="s">
        <v>36</v>
      </c>
      <c r="Z32" t="str">
        <f t="shared" si="9"/>
        <v xml:space="preserve"> dailCompDescElementalist30=^pElementalist's Gift of DAIL</v>
      </c>
      <c r="AA32" t="str">
        <f t="shared" si="17"/>
        <v>dailCompTextElementalist30=^oThis feels warm to the touch, almost familiar ^w(This component only fits into the Medal Slot)</v>
      </c>
      <c r="AB32" s="5" t="s">
        <v>36</v>
      </c>
      <c r="AH32">
        <f t="shared" si="19"/>
        <v>27</v>
      </c>
      <c r="AI32">
        <f t="shared" si="13"/>
        <v>28</v>
      </c>
      <c r="AJ32">
        <f t="shared" si="18"/>
        <v>3</v>
      </c>
    </row>
    <row r="33" spans="1:36" x14ac:dyDescent="0.25">
      <c r="A33" s="5" t="s">
        <v>39</v>
      </c>
      <c r="B33" s="5" t="s">
        <v>30</v>
      </c>
      <c r="C33" s="5" t="str">
        <f t="shared" si="0"/>
        <v>description,dailCompDescElementalist31,</v>
      </c>
      <c r="D33" s="5" t="str">
        <f t="shared" si="2"/>
        <v>itemText,dailCompTextElementalist31,</v>
      </c>
      <c r="E33" s="5" t="str">
        <f t="shared" si="14"/>
        <v>augmentSkillLevel1,3,</v>
      </c>
      <c r="F33" s="5" t="str">
        <f t="shared" si="15"/>
        <v>augmentSkillName1,records/skills/zenithclass02/firebolt3.dbr,</v>
      </c>
      <c r="G33" s="7">
        <f t="shared" si="10"/>
        <v>31</v>
      </c>
      <c r="H33" s="8" t="str">
        <f t="shared" si="11"/>
        <v>Elementalist</v>
      </c>
      <c r="I33" s="3" t="s">
        <v>435</v>
      </c>
      <c r="J33" s="8" t="str">
        <f t="shared" si="20"/>
        <v>class0012</v>
      </c>
      <c r="K33" s="8" t="str">
        <f t="shared" si="20"/>
        <v>dailoneskill0012</v>
      </c>
      <c r="L33" s="5" t="str">
        <f t="shared" si="4"/>
        <v>lootName31,DAIL/items/materia/class0012/Elementalist31.dbr,</v>
      </c>
      <c r="M33" s="5" t="str">
        <f t="shared" si="5"/>
        <v>lootWeight31,1,</v>
      </c>
      <c r="N33" t="str">
        <f t="shared" si="6"/>
        <v>3</v>
      </c>
      <c r="O33" t="str">
        <f t="shared" si="16"/>
        <v>copy .\dail_base3.dbr .\items\materia\class0012\Elementalist31.dbr /y</v>
      </c>
      <c r="P33" t="str">
        <f t="shared" si="7"/>
        <v>echo relicBitmap,items/craftingparts/components/component_a52_bristlyfur_b.tex, &gt;&gt; .\items\materia\class0012\Elementalist31.dbr</v>
      </c>
      <c r="Q33" t="str">
        <f t="shared" si="7"/>
        <v>echo itemCost,500000, &gt;&gt; .\items\materia\class0012\Elementalist31.dbr</v>
      </c>
      <c r="R33" t="str">
        <f t="shared" si="7"/>
        <v>echo description,dailCompDescElementalist31, &gt;&gt; .\items\materia\class0012\Elementalist31.dbr</v>
      </c>
      <c r="S33" t="str">
        <f t="shared" si="7"/>
        <v>echo itemText,dailCompTextElementalist31, &gt;&gt; .\items\materia\class0012\Elementalist31.dbr</v>
      </c>
      <c r="T33" t="str">
        <f t="shared" si="7"/>
        <v>echo augmentSkillLevel1,3, &gt;&gt; .\items\materia\class0012\Elementalist31.dbr</v>
      </c>
      <c r="U33" t="str">
        <f t="shared" si="7"/>
        <v>echo augmentSkillName1,records/skills/zenithclass02/firebolt3.dbr, &gt;&gt; .\items\materia\class0012\Elementalist31.dbr</v>
      </c>
      <c r="V33" s="5" t="s">
        <v>36</v>
      </c>
      <c r="W33" t="str">
        <f t="shared" si="8"/>
        <v>echo lootName31,DAIL/items/materia/class0012/Elementalist31.dbr, &gt;&gt; .\items\loottables\dailoneskill0012.dbr</v>
      </c>
      <c r="X33" t="str">
        <f t="shared" si="8"/>
        <v>echo lootWeight31,1, &gt;&gt; .\items\loottables\dailoneskill0012.dbr</v>
      </c>
      <c r="Y33" s="5" t="s">
        <v>36</v>
      </c>
      <c r="Z33" t="str">
        <f t="shared" si="9"/>
        <v xml:space="preserve"> dailCompDescElementalist31=^pElementalist's Gift of DAIL</v>
      </c>
      <c r="AA33" t="str">
        <f t="shared" si="17"/>
        <v>dailCompTextElementalist31=^oThis feels warm to the touch, almost familiar ^w(This component only fits into the Medal Slot)</v>
      </c>
      <c r="AB33" s="5" t="s">
        <v>36</v>
      </c>
      <c r="AH33">
        <f t="shared" si="19"/>
        <v>28</v>
      </c>
      <c r="AI33">
        <f t="shared" si="13"/>
        <v>28</v>
      </c>
      <c r="AJ33">
        <f t="shared" si="18"/>
        <v>3</v>
      </c>
    </row>
    <row r="34" spans="1:36" x14ac:dyDescent="0.25">
      <c r="A34" s="5" t="s">
        <v>39</v>
      </c>
      <c r="B34" s="5" t="s">
        <v>30</v>
      </c>
      <c r="C34" s="5" t="str">
        <f t="shared" si="0"/>
        <v>description,dailCompDescElementalist32,</v>
      </c>
      <c r="D34" s="5" t="str">
        <f t="shared" si="2"/>
        <v>itemText,dailCompTextElementalist32,</v>
      </c>
      <c r="E34" s="5" t="str">
        <f t="shared" si="14"/>
        <v>augmentSkillLevel1,3,</v>
      </c>
      <c r="F34" s="5" t="str">
        <f t="shared" si="15"/>
        <v>augmentSkillName1,records/skills/zenithclass02/chainlightning1.dbr,</v>
      </c>
      <c r="G34" s="7">
        <f t="shared" si="10"/>
        <v>32</v>
      </c>
      <c r="H34" s="8" t="str">
        <f t="shared" si="11"/>
        <v>Elementalist</v>
      </c>
      <c r="I34" s="3" t="s">
        <v>197</v>
      </c>
      <c r="J34" s="8" t="str">
        <f t="shared" si="20"/>
        <v>class0012</v>
      </c>
      <c r="K34" s="8" t="str">
        <f t="shared" si="20"/>
        <v>dailoneskill0012</v>
      </c>
      <c r="L34" s="5" t="str">
        <f t="shared" si="4"/>
        <v>lootName32,DAIL/items/materia/class0012/Elementalist32.dbr,</v>
      </c>
      <c r="M34" s="5" t="str">
        <f t="shared" si="5"/>
        <v>lootWeight32,1,</v>
      </c>
      <c r="N34" t="str">
        <f t="shared" si="6"/>
        <v>3</v>
      </c>
      <c r="O34" t="str">
        <f t="shared" si="16"/>
        <v>copy .\dail_base3.dbr .\items\materia\class0012\Elementalist32.dbr /y</v>
      </c>
      <c r="P34" t="str">
        <f t="shared" si="7"/>
        <v>echo relicBitmap,items/craftingparts/components/component_a52_bristlyfur_b.tex, &gt;&gt; .\items\materia\class0012\Elementalist32.dbr</v>
      </c>
      <c r="Q34" t="str">
        <f t="shared" si="7"/>
        <v>echo itemCost,500000, &gt;&gt; .\items\materia\class0012\Elementalist32.dbr</v>
      </c>
      <c r="R34" t="str">
        <f t="shared" si="7"/>
        <v>echo description,dailCompDescElementalist32, &gt;&gt; .\items\materia\class0012\Elementalist32.dbr</v>
      </c>
      <c r="S34" t="str">
        <f t="shared" si="7"/>
        <v>echo itemText,dailCompTextElementalist32, &gt;&gt; .\items\materia\class0012\Elementalist32.dbr</v>
      </c>
      <c r="T34" t="str">
        <f t="shared" si="7"/>
        <v>echo augmentSkillLevel1,3, &gt;&gt; .\items\materia\class0012\Elementalist32.dbr</v>
      </c>
      <c r="U34" t="str">
        <f t="shared" si="7"/>
        <v>echo augmentSkillName1,records/skills/zenithclass02/chainlightning1.dbr, &gt;&gt; .\items\materia\class0012\Elementalist32.dbr</v>
      </c>
      <c r="V34" s="5" t="s">
        <v>36</v>
      </c>
      <c r="W34" t="str">
        <f t="shared" si="8"/>
        <v>echo lootName32,DAIL/items/materia/class0012/Elementalist32.dbr, &gt;&gt; .\items\loottables\dailoneskill0012.dbr</v>
      </c>
      <c r="X34" t="str">
        <f t="shared" si="8"/>
        <v>echo lootWeight32,1, &gt;&gt; .\items\loottables\dailoneskill0012.dbr</v>
      </c>
      <c r="Y34" s="5" t="s">
        <v>36</v>
      </c>
      <c r="Z34" t="str">
        <f t="shared" si="9"/>
        <v xml:space="preserve"> dailCompDescElementalist32=^pElementalist's Gift of DAIL</v>
      </c>
      <c r="AA34" t="str">
        <f t="shared" si="17"/>
        <v>dailCompTextElementalist32=^oThis feels warm to the touch, almost familiar ^w(This component only fits into the Medal Slot)</v>
      </c>
      <c r="AB34" s="5" t="s">
        <v>36</v>
      </c>
      <c r="AH34">
        <f t="shared" si="19"/>
        <v>29</v>
      </c>
      <c r="AI34">
        <f t="shared" si="13"/>
        <v>34</v>
      </c>
      <c r="AJ34">
        <f t="shared" si="18"/>
        <v>3</v>
      </c>
    </row>
    <row r="35" spans="1:36" x14ac:dyDescent="0.25">
      <c r="A35" s="5" t="s">
        <v>39</v>
      </c>
      <c r="B35" s="5" t="s">
        <v>30</v>
      </c>
      <c r="C35" s="5" t="str">
        <f t="shared" si="0"/>
        <v>description,dailCompDescElementalist33,</v>
      </c>
      <c r="D35" s="5" t="str">
        <f t="shared" si="2"/>
        <v>itemText,dailCompTextElementalist33,</v>
      </c>
      <c r="E35" s="5" t="str">
        <f t="shared" si="14"/>
        <v>augmentSkillLevel1,3,</v>
      </c>
      <c r="F35" s="5" t="str">
        <f t="shared" si="15"/>
        <v>augmentSkillName1,records/skills/zenithclass02/chainlightning2.dbr,</v>
      </c>
      <c r="G35" s="7">
        <f t="shared" si="10"/>
        <v>33</v>
      </c>
      <c r="H35" s="8" t="str">
        <f t="shared" si="11"/>
        <v>Elementalist</v>
      </c>
      <c r="I35" s="3" t="s">
        <v>436</v>
      </c>
      <c r="J35" s="8" t="str">
        <f t="shared" si="20"/>
        <v>class0012</v>
      </c>
      <c r="K35" s="8" t="str">
        <f t="shared" si="20"/>
        <v>dailoneskill0012</v>
      </c>
      <c r="L35" s="5" t="str">
        <f t="shared" si="4"/>
        <v>lootName33,DAIL/items/materia/class0012/Elementalist33.dbr,</v>
      </c>
      <c r="M35" s="5" t="str">
        <f t="shared" si="5"/>
        <v>lootWeight33,1,</v>
      </c>
      <c r="N35" t="str">
        <f t="shared" si="6"/>
        <v>3</v>
      </c>
      <c r="O35" t="str">
        <f t="shared" si="16"/>
        <v>copy .\dail_base3.dbr .\items\materia\class0012\Elementalist33.dbr /y</v>
      </c>
      <c r="P35" t="str">
        <f t="shared" si="7"/>
        <v>echo relicBitmap,items/craftingparts/components/component_a52_bristlyfur_b.tex, &gt;&gt; .\items\materia\class0012\Elementalist33.dbr</v>
      </c>
      <c r="Q35" t="str">
        <f t="shared" si="7"/>
        <v>echo itemCost,500000, &gt;&gt; .\items\materia\class0012\Elementalist33.dbr</v>
      </c>
      <c r="R35" t="str">
        <f t="shared" si="7"/>
        <v>echo description,dailCompDescElementalist33, &gt;&gt; .\items\materia\class0012\Elementalist33.dbr</v>
      </c>
      <c r="S35" t="str">
        <f t="shared" si="7"/>
        <v>echo itemText,dailCompTextElementalist33, &gt;&gt; .\items\materia\class0012\Elementalist33.dbr</v>
      </c>
      <c r="T35" t="str">
        <f t="shared" si="7"/>
        <v>echo augmentSkillLevel1,3, &gt;&gt; .\items\materia\class0012\Elementalist33.dbr</v>
      </c>
      <c r="U35" t="str">
        <f t="shared" si="7"/>
        <v>echo augmentSkillName1,records/skills/zenithclass02/chainlightning2.dbr, &gt;&gt; .\items\materia\class0012\Elementalist33.dbr</v>
      </c>
      <c r="V35" s="5" t="s">
        <v>36</v>
      </c>
      <c r="W35" t="str">
        <f t="shared" si="8"/>
        <v>echo lootName33,DAIL/items/materia/class0012/Elementalist33.dbr, &gt;&gt; .\items\loottables\dailoneskill0012.dbr</v>
      </c>
      <c r="X35" t="str">
        <f t="shared" si="8"/>
        <v>echo lootWeight33,1, &gt;&gt; .\items\loottables\dailoneskill0012.dbr</v>
      </c>
      <c r="Y35" s="5" t="s">
        <v>36</v>
      </c>
      <c r="Z35" t="str">
        <f t="shared" si="9"/>
        <v xml:space="preserve"> dailCompDescElementalist33=^pElementalist's Gift of DAIL</v>
      </c>
      <c r="AA35" t="str">
        <f t="shared" si="17"/>
        <v>dailCompTextElementalist33=^oThis feels warm to the touch, almost familiar ^w(This component only fits into the Medal Slot)</v>
      </c>
      <c r="AB35" s="5" t="s">
        <v>36</v>
      </c>
      <c r="AH35">
        <f t="shared" si="19"/>
        <v>30</v>
      </c>
      <c r="AI35">
        <f t="shared" si="13"/>
        <v>34</v>
      </c>
      <c r="AJ35">
        <f t="shared" si="18"/>
        <v>3</v>
      </c>
    </row>
    <row r="36" spans="1:36" x14ac:dyDescent="0.25">
      <c r="A36" s="5" t="s">
        <v>39</v>
      </c>
      <c r="B36" s="5" t="s">
        <v>30</v>
      </c>
      <c r="C36" s="5" t="str">
        <f t="shared" si="0"/>
        <v>description,dailCompDescElementalist34,</v>
      </c>
      <c r="D36" s="5" t="str">
        <f t="shared" si="2"/>
        <v>itemText,dailCompTextElementalist34,</v>
      </c>
      <c r="E36" s="5" t="str">
        <f t="shared" si="14"/>
        <v>augmentSkillLevel1,3,</v>
      </c>
      <c r="F36" s="5" t="str">
        <f t="shared" si="15"/>
        <v>augmentSkillName1,records/skills/zenithclass02/elementalarmor.dbr,</v>
      </c>
      <c r="G36" s="7">
        <f t="shared" si="10"/>
        <v>34</v>
      </c>
      <c r="H36" s="8" t="str">
        <f t="shared" si="11"/>
        <v>Elementalist</v>
      </c>
      <c r="I36" s="3" t="s">
        <v>198</v>
      </c>
      <c r="J36" s="8" t="str">
        <f t="shared" si="20"/>
        <v>class0012</v>
      </c>
      <c r="K36" s="8" t="str">
        <f t="shared" si="20"/>
        <v>dailoneskill0012</v>
      </c>
      <c r="L36" s="5" t="str">
        <f t="shared" si="4"/>
        <v>lootName34,DAIL/items/materia/class0012/Elementalist34.dbr,</v>
      </c>
      <c r="M36" s="5" t="str">
        <f t="shared" si="5"/>
        <v>lootWeight34,1,</v>
      </c>
      <c r="N36" t="str">
        <f t="shared" si="6"/>
        <v>3</v>
      </c>
      <c r="O36" t="str">
        <f t="shared" si="16"/>
        <v>copy .\dail_base3.dbr .\items\materia\class0012\Elementalist34.dbr /y</v>
      </c>
      <c r="P36" t="str">
        <f t="shared" si="7"/>
        <v>echo relicBitmap,items/craftingparts/components/component_a52_bristlyfur_b.tex, &gt;&gt; .\items\materia\class0012\Elementalist34.dbr</v>
      </c>
      <c r="Q36" t="str">
        <f t="shared" si="7"/>
        <v>echo itemCost,500000, &gt;&gt; .\items\materia\class0012\Elementalist34.dbr</v>
      </c>
      <c r="R36" t="str">
        <f t="shared" si="7"/>
        <v>echo description,dailCompDescElementalist34, &gt;&gt; .\items\materia\class0012\Elementalist34.dbr</v>
      </c>
      <c r="S36" t="str">
        <f t="shared" si="7"/>
        <v>echo itemText,dailCompTextElementalist34, &gt;&gt; .\items\materia\class0012\Elementalist34.dbr</v>
      </c>
      <c r="T36" t="str">
        <f t="shared" si="7"/>
        <v>echo augmentSkillLevel1,3, &gt;&gt; .\items\materia\class0012\Elementalist34.dbr</v>
      </c>
      <c r="U36" t="str">
        <f t="shared" si="7"/>
        <v>echo augmentSkillName1,records/skills/zenithclass02/elementalarmor.dbr, &gt;&gt; .\items\materia\class0012\Elementalist34.dbr</v>
      </c>
      <c r="V36" s="5" t="s">
        <v>36</v>
      </c>
      <c r="W36" t="str">
        <f t="shared" si="8"/>
        <v>echo lootName34,DAIL/items/materia/class0012/Elementalist34.dbr, &gt;&gt; .\items\loottables\dailoneskill0012.dbr</v>
      </c>
      <c r="X36" t="str">
        <f t="shared" si="8"/>
        <v>echo lootWeight34,1, &gt;&gt; .\items\loottables\dailoneskill0012.dbr</v>
      </c>
      <c r="Y36" s="5" t="s">
        <v>36</v>
      </c>
      <c r="Z36" t="str">
        <f t="shared" si="9"/>
        <v xml:space="preserve"> dailCompDescElementalist34=^pElementalist's Gift of DAIL</v>
      </c>
      <c r="AA36" t="str">
        <f t="shared" si="17"/>
        <v>dailCompTextElementalist34=^oThis feels warm to the touch, almost familiar ^w(This component only fits into the Medal Slot)</v>
      </c>
      <c r="AB36" s="5" t="s">
        <v>36</v>
      </c>
      <c r="AH36">
        <f t="shared" si="19"/>
        <v>31</v>
      </c>
      <c r="AI36">
        <f t="shared" si="13"/>
        <v>33</v>
      </c>
      <c r="AJ36">
        <f t="shared" si="18"/>
        <v>3</v>
      </c>
    </row>
    <row r="37" spans="1:36" x14ac:dyDescent="0.25">
      <c r="A37" s="5" t="s">
        <v>39</v>
      </c>
      <c r="B37" s="5" t="s">
        <v>30</v>
      </c>
      <c r="C37" s="5" t="str">
        <f t="shared" si="0"/>
        <v>description,dailCompDescElementalist35,</v>
      </c>
      <c r="D37" s="5" t="str">
        <f t="shared" si="2"/>
        <v>itemText,dailCompTextElementalist35,</v>
      </c>
      <c r="E37" s="5" t="str">
        <f t="shared" si="14"/>
        <v>augmentSkillLevel1,3,</v>
      </c>
      <c r="F37" s="5" t="str">
        <f t="shared" si="15"/>
        <v>augmentSkillName1,records/skills/zenithclass02/stormrider1.dbr,</v>
      </c>
      <c r="G37" s="7">
        <f t="shared" si="10"/>
        <v>35</v>
      </c>
      <c r="H37" s="8" t="str">
        <f t="shared" si="11"/>
        <v>Elementalist</v>
      </c>
      <c r="I37" s="3" t="s">
        <v>210</v>
      </c>
      <c r="J37" s="8" t="str">
        <f t="shared" ref="J37:K52" si="21">J36</f>
        <v>class0012</v>
      </c>
      <c r="K37" s="8" t="str">
        <f t="shared" si="21"/>
        <v>dailoneskill0012</v>
      </c>
      <c r="L37" s="5" t="str">
        <f t="shared" si="4"/>
        <v>lootName35,DAIL/items/materia/class0012/Elementalist35.dbr,</v>
      </c>
      <c r="M37" s="5" t="str">
        <f t="shared" si="5"/>
        <v>lootWeight35,1,</v>
      </c>
      <c r="N37" t="str">
        <f t="shared" si="6"/>
        <v>3</v>
      </c>
      <c r="O37" t="str">
        <f t="shared" si="16"/>
        <v>copy .\dail_base3.dbr .\items\materia\class0012\Elementalist35.dbr /y</v>
      </c>
      <c r="P37" t="str">
        <f t="shared" si="7"/>
        <v>echo relicBitmap,items/craftingparts/components/component_a52_bristlyfur_b.tex, &gt;&gt; .\items\materia\class0012\Elementalist35.dbr</v>
      </c>
      <c r="Q37" t="str">
        <f t="shared" si="7"/>
        <v>echo itemCost,500000, &gt;&gt; .\items\materia\class0012\Elementalist35.dbr</v>
      </c>
      <c r="R37" t="str">
        <f t="shared" si="7"/>
        <v>echo description,dailCompDescElementalist35, &gt;&gt; .\items\materia\class0012\Elementalist35.dbr</v>
      </c>
      <c r="S37" t="str">
        <f t="shared" si="7"/>
        <v>echo itemText,dailCompTextElementalist35, &gt;&gt; .\items\materia\class0012\Elementalist35.dbr</v>
      </c>
      <c r="T37" t="str">
        <f t="shared" si="7"/>
        <v>echo augmentSkillLevel1,3, &gt;&gt; .\items\materia\class0012\Elementalist35.dbr</v>
      </c>
      <c r="U37" t="str">
        <f t="shared" si="7"/>
        <v>echo augmentSkillName1,records/skills/zenithclass02/stormrider1.dbr, &gt;&gt; .\items\materia\class0012\Elementalist35.dbr</v>
      </c>
      <c r="V37" s="5" t="s">
        <v>36</v>
      </c>
      <c r="W37" t="str">
        <f t="shared" si="8"/>
        <v>echo lootName35,DAIL/items/materia/class0012/Elementalist35.dbr, &gt;&gt; .\items\loottables\dailoneskill0012.dbr</v>
      </c>
      <c r="X37" t="str">
        <f t="shared" si="8"/>
        <v>echo lootWeight35,1, &gt;&gt; .\items\loottables\dailoneskill0012.dbr</v>
      </c>
      <c r="Y37" s="5" t="s">
        <v>36</v>
      </c>
      <c r="Z37" t="str">
        <f t="shared" si="9"/>
        <v xml:space="preserve"> dailCompDescElementalist35=^pElementalist's Gift of DAIL</v>
      </c>
      <c r="AA37" t="str">
        <f t="shared" si="17"/>
        <v>dailCompTextElementalist35=^oThis feels warm to the touch, almost familiar ^w(This component only fits into the Medal Slot)</v>
      </c>
      <c r="AB37" s="5" t="s">
        <v>36</v>
      </c>
      <c r="AH37">
        <f t="shared" si="19"/>
        <v>32</v>
      </c>
      <c r="AI37">
        <f t="shared" si="13"/>
        <v>30</v>
      </c>
      <c r="AJ37">
        <f t="shared" si="18"/>
        <v>3</v>
      </c>
    </row>
    <row r="38" spans="1:36" x14ac:dyDescent="0.25">
      <c r="A38" s="5" t="s">
        <v>39</v>
      </c>
      <c r="B38" s="5" t="s">
        <v>30</v>
      </c>
      <c r="C38" s="5" t="str">
        <f t="shared" si="0"/>
        <v>description,dailCompDescElementalist36,</v>
      </c>
      <c r="D38" s="5" t="str">
        <f t="shared" si="2"/>
        <v>itemText,dailCompTextElementalist36,</v>
      </c>
      <c r="E38" s="5" t="str">
        <f t="shared" si="14"/>
        <v>augmentSkillLevel1,3,</v>
      </c>
      <c r="F38" s="5" t="str">
        <f t="shared" si="15"/>
        <v>augmentSkillName1,records/skills/zenithclass02/iceray1.dbr,</v>
      </c>
      <c r="G38" s="7">
        <f t="shared" si="10"/>
        <v>36</v>
      </c>
      <c r="H38" s="8" t="str">
        <f t="shared" si="11"/>
        <v>Elementalist</v>
      </c>
      <c r="I38" s="3" t="s">
        <v>205</v>
      </c>
      <c r="J38" s="8" t="str">
        <f t="shared" si="21"/>
        <v>class0012</v>
      </c>
      <c r="K38" s="8" t="str">
        <f t="shared" si="21"/>
        <v>dailoneskill0012</v>
      </c>
      <c r="L38" s="5" t="str">
        <f t="shared" si="4"/>
        <v>lootName36,DAIL/items/materia/class0012/Elementalist36.dbr,</v>
      </c>
      <c r="M38" s="5" t="str">
        <f t="shared" si="5"/>
        <v>lootWeight36,1,</v>
      </c>
      <c r="N38" t="str">
        <f t="shared" si="6"/>
        <v>3</v>
      </c>
      <c r="O38" t="str">
        <f t="shared" si="16"/>
        <v>copy .\dail_base3.dbr .\items\materia\class0012\Elementalist36.dbr /y</v>
      </c>
      <c r="P38" t="str">
        <f t="shared" si="7"/>
        <v>echo relicBitmap,items/craftingparts/components/component_a52_bristlyfur_b.tex, &gt;&gt; .\items\materia\class0012\Elementalist36.dbr</v>
      </c>
      <c r="Q38" t="str">
        <f t="shared" si="7"/>
        <v>echo itemCost,500000, &gt;&gt; .\items\materia\class0012\Elementalist36.dbr</v>
      </c>
      <c r="R38" t="str">
        <f t="shared" si="7"/>
        <v>echo description,dailCompDescElementalist36, &gt;&gt; .\items\materia\class0012\Elementalist36.dbr</v>
      </c>
      <c r="S38" t="str">
        <f t="shared" si="7"/>
        <v>echo itemText,dailCompTextElementalist36, &gt;&gt; .\items\materia\class0012\Elementalist36.dbr</v>
      </c>
      <c r="T38" t="str">
        <f t="shared" si="7"/>
        <v>echo augmentSkillLevel1,3, &gt;&gt; .\items\materia\class0012\Elementalist36.dbr</v>
      </c>
      <c r="U38" t="str">
        <f t="shared" si="7"/>
        <v>echo augmentSkillName1,records/skills/zenithclass02/iceray1.dbr, &gt;&gt; .\items\materia\class0012\Elementalist36.dbr</v>
      </c>
      <c r="V38" s="5" t="s">
        <v>36</v>
      </c>
      <c r="W38" t="str">
        <f t="shared" si="8"/>
        <v>echo lootName36,DAIL/items/materia/class0012/Elementalist36.dbr, &gt;&gt; .\items\loottables\dailoneskill0012.dbr</v>
      </c>
      <c r="X38" t="str">
        <f t="shared" si="8"/>
        <v>echo lootWeight36,1, &gt;&gt; .\items\loottables\dailoneskill0012.dbr</v>
      </c>
      <c r="Y38" s="5" t="s">
        <v>36</v>
      </c>
      <c r="Z38" t="str">
        <f t="shared" si="9"/>
        <v xml:space="preserve"> dailCompDescElementalist36=^pElementalist's Gift of DAIL</v>
      </c>
      <c r="AA38" t="str">
        <f t="shared" si="17"/>
        <v>dailCompTextElementalist36=^oThis feels warm to the touch, almost familiar ^w(This component only fits into the Medal Slot)</v>
      </c>
      <c r="AB38" s="5" t="s">
        <v>36</v>
      </c>
      <c r="AH38">
        <f t="shared" si="19"/>
        <v>33</v>
      </c>
      <c r="AI38">
        <f t="shared" ref="AI38:AI69" si="22">LEN(I38)</f>
        <v>26</v>
      </c>
      <c r="AJ38">
        <f t="shared" si="18"/>
        <v>3</v>
      </c>
    </row>
    <row r="39" spans="1:36" x14ac:dyDescent="0.25">
      <c r="A39" s="5" t="s">
        <v>39</v>
      </c>
      <c r="B39" s="5" t="s">
        <v>30</v>
      </c>
      <c r="C39" s="5" t="str">
        <f t="shared" si="0"/>
        <v>description,dailCompDescElementalist37,</v>
      </c>
      <c r="D39" s="5" t="str">
        <f t="shared" si="2"/>
        <v>itemText,dailCompTextElementalist37,</v>
      </c>
      <c r="E39" s="5" t="str">
        <f t="shared" si="14"/>
        <v>augmentSkillLevel1,3,</v>
      </c>
      <c r="F39" s="5" t="str">
        <f t="shared" si="15"/>
        <v>augmentSkillName1,records/skills/zenithclass02/iceray2.dbr,</v>
      </c>
      <c r="G39" s="7">
        <f t="shared" si="10"/>
        <v>37</v>
      </c>
      <c r="H39" s="8" t="str">
        <f t="shared" si="11"/>
        <v>Elementalist</v>
      </c>
      <c r="I39" s="3" t="s">
        <v>437</v>
      </c>
      <c r="J39" s="8" t="str">
        <f t="shared" si="21"/>
        <v>class0012</v>
      </c>
      <c r="K39" s="8" t="str">
        <f t="shared" si="21"/>
        <v>dailoneskill0012</v>
      </c>
      <c r="L39" s="5" t="str">
        <f t="shared" si="4"/>
        <v>lootName37,DAIL/items/materia/class0012/Elementalist37.dbr,</v>
      </c>
      <c r="M39" s="5" t="str">
        <f t="shared" si="5"/>
        <v>lootWeight37,1,</v>
      </c>
      <c r="N39" t="str">
        <f t="shared" si="6"/>
        <v>3</v>
      </c>
      <c r="O39" t="str">
        <f t="shared" si="16"/>
        <v>copy .\dail_base3.dbr .\items\materia\class0012\Elementalist37.dbr /y</v>
      </c>
      <c r="P39" t="str">
        <f t="shared" si="7"/>
        <v>echo relicBitmap,items/craftingparts/components/component_a52_bristlyfur_b.tex, &gt;&gt; .\items\materia\class0012\Elementalist37.dbr</v>
      </c>
      <c r="Q39" t="str">
        <f t="shared" si="7"/>
        <v>echo itemCost,500000, &gt;&gt; .\items\materia\class0012\Elementalist37.dbr</v>
      </c>
      <c r="R39" t="str">
        <f t="shared" si="7"/>
        <v>echo description,dailCompDescElementalist37, &gt;&gt; .\items\materia\class0012\Elementalist37.dbr</v>
      </c>
      <c r="S39" t="str">
        <f t="shared" si="7"/>
        <v>echo itemText,dailCompTextElementalist37, &gt;&gt; .\items\materia\class0012\Elementalist37.dbr</v>
      </c>
      <c r="T39" t="str">
        <f t="shared" si="7"/>
        <v>echo augmentSkillLevel1,3, &gt;&gt; .\items\materia\class0012\Elementalist37.dbr</v>
      </c>
      <c r="U39" t="str">
        <f t="shared" si="7"/>
        <v>echo augmentSkillName1,records/skills/zenithclass02/iceray2.dbr, &gt;&gt; .\items\materia\class0012\Elementalist37.dbr</v>
      </c>
      <c r="V39" s="5" t="s">
        <v>36</v>
      </c>
      <c r="W39" t="str">
        <f t="shared" si="8"/>
        <v>echo lootName37,DAIL/items/materia/class0012/Elementalist37.dbr, &gt;&gt; .\items\loottables\dailoneskill0012.dbr</v>
      </c>
      <c r="X39" t="str">
        <f t="shared" si="8"/>
        <v>echo lootWeight37,1, &gt;&gt; .\items\loottables\dailoneskill0012.dbr</v>
      </c>
      <c r="Y39" s="5" t="s">
        <v>36</v>
      </c>
      <c r="Z39" t="str">
        <f t="shared" si="9"/>
        <v xml:space="preserve"> dailCompDescElementalist37=^pElementalist's Gift of DAIL</v>
      </c>
      <c r="AA39" t="str">
        <f t="shared" si="17"/>
        <v>dailCompTextElementalist37=^oThis feels warm to the touch, almost familiar ^w(This component only fits into the Medal Slot)</v>
      </c>
      <c r="AB39" s="5" t="s">
        <v>36</v>
      </c>
      <c r="AH39">
        <f t="shared" si="19"/>
        <v>34</v>
      </c>
      <c r="AI39">
        <f t="shared" si="22"/>
        <v>26</v>
      </c>
      <c r="AJ39">
        <f t="shared" si="18"/>
        <v>3</v>
      </c>
    </row>
    <row r="40" spans="1:36" x14ac:dyDescent="0.25">
      <c r="A40" s="5" t="s">
        <v>39</v>
      </c>
      <c r="B40" s="5" t="s">
        <v>30</v>
      </c>
      <c r="C40" s="5" t="str">
        <f t="shared" si="0"/>
        <v>description,dailCompDescElementalist38,</v>
      </c>
      <c r="D40" s="5" t="str">
        <f t="shared" si="2"/>
        <v>itemText,dailCompTextElementalist38,</v>
      </c>
      <c r="E40" s="5" t="str">
        <f t="shared" si="14"/>
        <v>augmentSkillLevel1,3,</v>
      </c>
      <c r="F40" s="5" t="str">
        <f t="shared" si="15"/>
        <v>augmentSkillName1,records/skills/zenithclass02/frostarmor.dbr,</v>
      </c>
      <c r="G40" s="7">
        <f t="shared" si="10"/>
        <v>38</v>
      </c>
      <c r="H40" s="8" t="str">
        <f t="shared" si="11"/>
        <v>Elementalist</v>
      </c>
      <c r="I40" s="3" t="s">
        <v>203</v>
      </c>
      <c r="J40" s="8" t="str">
        <f t="shared" si="21"/>
        <v>class0012</v>
      </c>
      <c r="K40" s="8" t="str">
        <f t="shared" si="21"/>
        <v>dailoneskill0012</v>
      </c>
      <c r="L40" s="5" t="str">
        <f t="shared" si="4"/>
        <v>lootName38,DAIL/items/materia/class0012/Elementalist38.dbr,</v>
      </c>
      <c r="M40" s="5" t="str">
        <f t="shared" si="5"/>
        <v>lootWeight38,1,</v>
      </c>
      <c r="N40" t="str">
        <f t="shared" si="6"/>
        <v>3</v>
      </c>
      <c r="O40" t="str">
        <f t="shared" si="16"/>
        <v>copy .\dail_base3.dbr .\items\materia\class0012\Elementalist38.dbr /y</v>
      </c>
      <c r="P40" t="str">
        <f t="shared" si="7"/>
        <v>echo relicBitmap,items/craftingparts/components/component_a52_bristlyfur_b.tex, &gt;&gt; .\items\materia\class0012\Elementalist38.dbr</v>
      </c>
      <c r="Q40" t="str">
        <f t="shared" si="7"/>
        <v>echo itemCost,500000, &gt;&gt; .\items\materia\class0012\Elementalist38.dbr</v>
      </c>
      <c r="R40" t="str">
        <f t="shared" si="7"/>
        <v>echo description,dailCompDescElementalist38, &gt;&gt; .\items\materia\class0012\Elementalist38.dbr</v>
      </c>
      <c r="S40" t="str">
        <f t="shared" si="7"/>
        <v>echo itemText,dailCompTextElementalist38, &gt;&gt; .\items\materia\class0012\Elementalist38.dbr</v>
      </c>
      <c r="T40" t="str">
        <f t="shared" si="7"/>
        <v>echo augmentSkillLevel1,3, &gt;&gt; .\items\materia\class0012\Elementalist38.dbr</v>
      </c>
      <c r="U40" t="str">
        <f t="shared" si="7"/>
        <v>echo augmentSkillName1,records/skills/zenithclass02/frostarmor.dbr, &gt;&gt; .\items\materia\class0012\Elementalist38.dbr</v>
      </c>
      <c r="V40" s="5" t="s">
        <v>36</v>
      </c>
      <c r="W40" t="str">
        <f t="shared" si="8"/>
        <v>echo lootName38,DAIL/items/materia/class0012/Elementalist38.dbr, &gt;&gt; .\items\loottables\dailoneskill0012.dbr</v>
      </c>
      <c r="X40" t="str">
        <f t="shared" si="8"/>
        <v>echo lootWeight38,1, &gt;&gt; .\items\loottables\dailoneskill0012.dbr</v>
      </c>
      <c r="Y40" s="5" t="s">
        <v>36</v>
      </c>
      <c r="Z40" t="str">
        <f t="shared" si="9"/>
        <v xml:space="preserve"> dailCompDescElementalist38=^pElementalist's Gift of DAIL</v>
      </c>
      <c r="AA40" t="str">
        <f t="shared" si="17"/>
        <v>dailCompTextElementalist38=^oThis feels warm to the touch, almost familiar ^w(This component only fits into the Medal Slot)</v>
      </c>
      <c r="AB40" s="5" t="s">
        <v>36</v>
      </c>
      <c r="AH40">
        <f t="shared" si="19"/>
        <v>35</v>
      </c>
      <c r="AI40">
        <f t="shared" si="22"/>
        <v>29</v>
      </c>
      <c r="AJ40">
        <f t="shared" si="18"/>
        <v>3</v>
      </c>
    </row>
    <row r="41" spans="1:36" x14ac:dyDescent="0.25">
      <c r="A41" s="5" t="s">
        <v>39</v>
      </c>
      <c r="B41" s="5" t="s">
        <v>30</v>
      </c>
      <c r="C41" s="5" t="str">
        <f t="shared" si="0"/>
        <v>description,dailCompDescElementalist39,</v>
      </c>
      <c r="D41" s="5" t="str">
        <f t="shared" si="2"/>
        <v>itemText,dailCompTextElementalist39,</v>
      </c>
      <c r="E41" s="5" t="str">
        <f t="shared" si="14"/>
        <v>augmentSkillLevel1,3,</v>
      </c>
      <c r="F41" s="5" t="str">
        <f t="shared" si="15"/>
        <v>augmentSkillName1,records/skills/zenithclass02/flameenchant.dbr,</v>
      </c>
      <c r="G41" s="7">
        <f t="shared" si="10"/>
        <v>39</v>
      </c>
      <c r="H41" s="8" t="str">
        <f t="shared" si="11"/>
        <v>Elementalist</v>
      </c>
      <c r="I41" s="3" t="s">
        <v>202</v>
      </c>
      <c r="J41" s="8" t="str">
        <f t="shared" si="21"/>
        <v>class0012</v>
      </c>
      <c r="K41" s="8" t="str">
        <f t="shared" si="21"/>
        <v>dailoneskill0012</v>
      </c>
      <c r="L41" s="5" t="str">
        <f t="shared" si="4"/>
        <v>lootName39,DAIL/items/materia/class0012/Elementalist39.dbr,</v>
      </c>
      <c r="M41" s="5" t="str">
        <f t="shared" si="5"/>
        <v>lootWeight39,1,</v>
      </c>
      <c r="N41" t="str">
        <f t="shared" si="6"/>
        <v>3</v>
      </c>
      <c r="O41" t="str">
        <f t="shared" si="16"/>
        <v>copy .\dail_base3.dbr .\items\materia\class0012\Elementalist39.dbr /y</v>
      </c>
      <c r="P41" t="str">
        <f t="shared" si="7"/>
        <v>echo relicBitmap,items/craftingparts/components/component_a52_bristlyfur_b.tex, &gt;&gt; .\items\materia\class0012\Elementalist39.dbr</v>
      </c>
      <c r="Q41" t="str">
        <f t="shared" si="7"/>
        <v>echo itemCost,500000, &gt;&gt; .\items\materia\class0012\Elementalist39.dbr</v>
      </c>
      <c r="R41" t="str">
        <f t="shared" si="7"/>
        <v>echo description,dailCompDescElementalist39, &gt;&gt; .\items\materia\class0012\Elementalist39.dbr</v>
      </c>
      <c r="S41" t="str">
        <f t="shared" si="7"/>
        <v>echo itemText,dailCompTextElementalist39, &gt;&gt; .\items\materia\class0012\Elementalist39.dbr</v>
      </c>
      <c r="T41" t="str">
        <f t="shared" si="7"/>
        <v>echo augmentSkillLevel1,3, &gt;&gt; .\items\materia\class0012\Elementalist39.dbr</v>
      </c>
      <c r="U41" t="str">
        <f t="shared" si="7"/>
        <v>echo augmentSkillName1,records/skills/zenithclass02/flameenchant.dbr, &gt;&gt; .\items\materia\class0012\Elementalist39.dbr</v>
      </c>
      <c r="V41" s="5" t="s">
        <v>36</v>
      </c>
      <c r="W41" t="str">
        <f t="shared" si="8"/>
        <v>echo lootName39,DAIL/items/materia/class0012/Elementalist39.dbr, &gt;&gt; .\items\loottables\dailoneskill0012.dbr</v>
      </c>
      <c r="X41" t="str">
        <f t="shared" si="8"/>
        <v>echo lootWeight39,1, &gt;&gt; .\items\loottables\dailoneskill0012.dbr</v>
      </c>
      <c r="Y41" s="5" t="s">
        <v>36</v>
      </c>
      <c r="Z41" t="str">
        <f t="shared" si="9"/>
        <v xml:space="preserve"> dailCompDescElementalist39=^pElementalist's Gift of DAIL</v>
      </c>
      <c r="AA41" t="str">
        <f t="shared" si="17"/>
        <v>dailCompTextElementalist39=^oThis feels warm to the touch, almost familiar ^w(This component only fits into the Medal Slot)</v>
      </c>
      <c r="AB41" s="5" t="s">
        <v>36</v>
      </c>
      <c r="AH41">
        <f t="shared" si="19"/>
        <v>36</v>
      </c>
      <c r="AI41">
        <f t="shared" si="22"/>
        <v>31</v>
      </c>
      <c r="AJ41">
        <f t="shared" si="18"/>
        <v>3</v>
      </c>
    </row>
    <row r="42" spans="1:36" x14ac:dyDescent="0.25">
      <c r="A42" s="5" t="s">
        <v>39</v>
      </c>
      <c r="B42" s="5" t="s">
        <v>30</v>
      </c>
      <c r="C42" s="5" t="str">
        <f t="shared" si="0"/>
        <v>description,dailCompDescElementalist40,</v>
      </c>
      <c r="D42" s="5" t="str">
        <f t="shared" si="2"/>
        <v>itemText,dailCompTextElementalist40,</v>
      </c>
      <c r="E42" s="5" t="str">
        <f t="shared" si="14"/>
        <v>augmentSkillLevel1,3,</v>
      </c>
      <c r="F42" s="5" t="str">
        <f t="shared" si="15"/>
        <v>augmentSkillName1,records/skills/zenithclass02/breathefire1.dbr,</v>
      </c>
      <c r="G42" s="7">
        <f t="shared" si="10"/>
        <v>40</v>
      </c>
      <c r="H42" s="8" t="str">
        <f t="shared" si="11"/>
        <v>Elementalist</v>
      </c>
      <c r="I42" s="3" t="s">
        <v>196</v>
      </c>
      <c r="J42" s="8" t="str">
        <f t="shared" si="21"/>
        <v>class0012</v>
      </c>
      <c r="K42" s="8" t="str">
        <f t="shared" si="21"/>
        <v>dailoneskill0012</v>
      </c>
      <c r="L42" s="5" t="str">
        <f t="shared" si="4"/>
        <v>lootName40,DAIL/items/materia/class0012/Elementalist40.dbr,</v>
      </c>
      <c r="M42" s="5" t="str">
        <f t="shared" si="5"/>
        <v>lootWeight40,1,</v>
      </c>
      <c r="N42" t="str">
        <f t="shared" si="6"/>
        <v>3</v>
      </c>
      <c r="O42" t="str">
        <f t="shared" si="16"/>
        <v>copy .\dail_base3.dbr .\items\materia\class0012\Elementalist40.dbr /y</v>
      </c>
      <c r="P42" t="str">
        <f t="shared" si="7"/>
        <v>echo relicBitmap,items/craftingparts/components/component_a52_bristlyfur_b.tex, &gt;&gt; .\items\materia\class0012\Elementalist40.dbr</v>
      </c>
      <c r="Q42" t="str">
        <f t="shared" si="7"/>
        <v>echo itemCost,500000, &gt;&gt; .\items\materia\class0012\Elementalist40.dbr</v>
      </c>
      <c r="R42" t="str">
        <f t="shared" si="7"/>
        <v>echo description,dailCompDescElementalist40, &gt;&gt; .\items\materia\class0012\Elementalist40.dbr</v>
      </c>
      <c r="S42" t="str">
        <f t="shared" si="7"/>
        <v>echo itemText,dailCompTextElementalist40, &gt;&gt; .\items\materia\class0012\Elementalist40.dbr</v>
      </c>
      <c r="T42" t="str">
        <f t="shared" si="7"/>
        <v>echo augmentSkillLevel1,3, &gt;&gt; .\items\materia\class0012\Elementalist40.dbr</v>
      </c>
      <c r="U42" t="str">
        <f t="shared" si="7"/>
        <v>echo augmentSkillName1,records/skills/zenithclass02/breathefire1.dbr, &gt;&gt; .\items\materia\class0012\Elementalist40.dbr</v>
      </c>
      <c r="V42" s="5" t="s">
        <v>36</v>
      </c>
      <c r="W42" t="str">
        <f t="shared" si="8"/>
        <v>echo lootName40,DAIL/items/materia/class0012/Elementalist40.dbr, &gt;&gt; .\items\loottables\dailoneskill0012.dbr</v>
      </c>
      <c r="X42" t="str">
        <f t="shared" si="8"/>
        <v>echo lootWeight40,1, &gt;&gt; .\items\loottables\dailoneskill0012.dbr</v>
      </c>
      <c r="Y42" s="5" t="s">
        <v>36</v>
      </c>
      <c r="Z42" t="str">
        <f t="shared" si="9"/>
        <v xml:space="preserve"> dailCompDescElementalist40=^pElementalist's Gift of DAIL</v>
      </c>
      <c r="AA42" t="str">
        <f t="shared" si="17"/>
        <v>dailCompTextElementalist40=^oThis feels warm to the touch, almost familiar ^w(This component only fits into the Medal Slot)</v>
      </c>
      <c r="AB42" s="5" t="s">
        <v>36</v>
      </c>
      <c r="AH42">
        <f t="shared" si="19"/>
        <v>37</v>
      </c>
      <c r="AI42">
        <f t="shared" si="22"/>
        <v>31</v>
      </c>
      <c r="AJ42">
        <f t="shared" si="18"/>
        <v>3</v>
      </c>
    </row>
    <row r="43" spans="1:36" x14ac:dyDescent="0.25">
      <c r="A43" s="5" t="s">
        <v>39</v>
      </c>
      <c r="B43" s="5" t="s">
        <v>30</v>
      </c>
      <c r="C43" s="5" t="str">
        <f t="shared" si="0"/>
        <v>description,dailCompDescElementalist41,</v>
      </c>
      <c r="D43" s="5" t="str">
        <f t="shared" si="2"/>
        <v>itemText,dailCompTextElementalist41,</v>
      </c>
      <c r="E43" s="5" t="str">
        <f t="shared" si="14"/>
        <v>augmentSkillLevel1,3,</v>
      </c>
      <c r="F43" s="5" t="str">
        <f t="shared" si="15"/>
        <v>augmentSkillName1,records/skills/zenithclass02/breathefire2.dbr,</v>
      </c>
      <c r="G43" s="7">
        <f t="shared" si="10"/>
        <v>41</v>
      </c>
      <c r="H43" s="8" t="str">
        <f t="shared" si="11"/>
        <v>Elementalist</v>
      </c>
      <c r="I43" s="3" t="s">
        <v>438</v>
      </c>
      <c r="J43" s="8" t="str">
        <f t="shared" si="21"/>
        <v>class0012</v>
      </c>
      <c r="K43" s="8" t="str">
        <f t="shared" si="21"/>
        <v>dailoneskill0012</v>
      </c>
      <c r="L43" s="5" t="str">
        <f t="shared" si="4"/>
        <v>lootName41,DAIL/items/materia/class0012/Elementalist41.dbr,</v>
      </c>
      <c r="M43" s="5" t="str">
        <f t="shared" si="5"/>
        <v>lootWeight41,1,</v>
      </c>
      <c r="N43" t="str">
        <f t="shared" si="6"/>
        <v>3</v>
      </c>
      <c r="O43" t="str">
        <f t="shared" si="16"/>
        <v>copy .\dail_base3.dbr .\items\materia\class0012\Elementalist41.dbr /y</v>
      </c>
      <c r="P43" t="str">
        <f t="shared" si="7"/>
        <v>echo relicBitmap,items/craftingparts/components/component_a52_bristlyfur_b.tex, &gt;&gt; .\items\materia\class0012\Elementalist41.dbr</v>
      </c>
      <c r="Q43" t="str">
        <f t="shared" si="7"/>
        <v>echo itemCost,500000, &gt;&gt; .\items\materia\class0012\Elementalist41.dbr</v>
      </c>
      <c r="R43" t="str">
        <f t="shared" si="7"/>
        <v>echo description,dailCompDescElementalist41, &gt;&gt; .\items\materia\class0012\Elementalist41.dbr</v>
      </c>
      <c r="S43" t="str">
        <f t="shared" si="7"/>
        <v>echo itemText,dailCompTextElementalist41, &gt;&gt; .\items\materia\class0012\Elementalist41.dbr</v>
      </c>
      <c r="T43" t="str">
        <f t="shared" si="7"/>
        <v>echo augmentSkillLevel1,3, &gt;&gt; .\items\materia\class0012\Elementalist41.dbr</v>
      </c>
      <c r="U43" t="str">
        <f t="shared" si="7"/>
        <v>echo augmentSkillName1,records/skills/zenithclass02/breathefire2.dbr, &gt;&gt; .\items\materia\class0012\Elementalist41.dbr</v>
      </c>
      <c r="V43" s="5" t="s">
        <v>36</v>
      </c>
      <c r="W43" t="str">
        <f t="shared" si="8"/>
        <v>echo lootName41,DAIL/items/materia/class0012/Elementalist41.dbr, &gt;&gt; .\items\loottables\dailoneskill0012.dbr</v>
      </c>
      <c r="X43" t="str">
        <f t="shared" si="8"/>
        <v>echo lootWeight41,1, &gt;&gt; .\items\loottables\dailoneskill0012.dbr</v>
      </c>
      <c r="Y43" s="5" t="s">
        <v>36</v>
      </c>
      <c r="Z43" t="str">
        <f t="shared" si="9"/>
        <v xml:space="preserve"> dailCompDescElementalist41=^pElementalist's Gift of DAIL</v>
      </c>
      <c r="AA43" t="str">
        <f t="shared" si="17"/>
        <v>dailCompTextElementalist41=^oThis feels warm to the touch, almost familiar ^w(This component only fits into the Medal Slot)</v>
      </c>
      <c r="AB43" s="5" t="s">
        <v>36</v>
      </c>
      <c r="AH43">
        <f t="shared" si="19"/>
        <v>38</v>
      </c>
      <c r="AI43">
        <f t="shared" si="22"/>
        <v>31</v>
      </c>
      <c r="AJ43">
        <f t="shared" si="18"/>
        <v>3</v>
      </c>
    </row>
    <row r="44" spans="1:36" x14ac:dyDescent="0.25">
      <c r="A44" s="5" t="s">
        <v>39</v>
      </c>
      <c r="B44" s="5" t="s">
        <v>30</v>
      </c>
      <c r="C44" s="5" t="str">
        <f t="shared" si="0"/>
        <v>description,dailCompDescElementalist42,</v>
      </c>
      <c r="D44" s="5" t="str">
        <f t="shared" si="2"/>
        <v>itemText,dailCompTextElementalist42,</v>
      </c>
      <c r="E44" s="5" t="str">
        <f t="shared" si="14"/>
        <v>augmentSkillLevel1,3,</v>
      </c>
      <c r="F44" s="5" t="str">
        <f t="shared" si="15"/>
        <v>augmentSkillName1,records/skills/zenithclass02/stormcaller1.dbr,</v>
      </c>
      <c r="G44" s="7">
        <f t="shared" si="10"/>
        <v>42</v>
      </c>
      <c r="H44" s="8" t="str">
        <f t="shared" si="11"/>
        <v>Elementalist</v>
      </c>
      <c r="I44" s="3" t="s">
        <v>209</v>
      </c>
      <c r="J44" s="8" t="str">
        <f t="shared" si="21"/>
        <v>class0012</v>
      </c>
      <c r="K44" s="8" t="str">
        <f t="shared" si="21"/>
        <v>dailoneskill0012</v>
      </c>
      <c r="L44" s="5" t="str">
        <f t="shared" si="4"/>
        <v>lootName42,DAIL/items/materia/class0012/Elementalist42.dbr,</v>
      </c>
      <c r="M44" s="5" t="str">
        <f t="shared" si="5"/>
        <v>lootWeight42,1,</v>
      </c>
      <c r="N44" t="str">
        <f t="shared" si="6"/>
        <v>3</v>
      </c>
      <c r="O44" t="str">
        <f t="shared" si="16"/>
        <v>copy .\dail_base3.dbr .\items\materia\class0012\Elementalist42.dbr /y</v>
      </c>
      <c r="P44" t="str">
        <f t="shared" si="7"/>
        <v>echo relicBitmap,items/craftingparts/components/component_a52_bristlyfur_b.tex, &gt;&gt; .\items\materia\class0012\Elementalist42.dbr</v>
      </c>
      <c r="Q44" t="str">
        <f t="shared" si="7"/>
        <v>echo itemCost,500000, &gt;&gt; .\items\materia\class0012\Elementalist42.dbr</v>
      </c>
      <c r="R44" t="str">
        <f t="shared" si="7"/>
        <v>echo description,dailCompDescElementalist42, &gt;&gt; .\items\materia\class0012\Elementalist42.dbr</v>
      </c>
      <c r="S44" t="str">
        <f t="shared" si="7"/>
        <v>echo itemText,dailCompTextElementalist42, &gt;&gt; .\items\materia\class0012\Elementalist42.dbr</v>
      </c>
      <c r="T44" t="str">
        <f t="shared" si="7"/>
        <v>echo augmentSkillLevel1,3, &gt;&gt; .\items\materia\class0012\Elementalist42.dbr</v>
      </c>
      <c r="U44" t="str">
        <f t="shared" si="7"/>
        <v>echo augmentSkillName1,records/skills/zenithclass02/stormcaller1.dbr, &gt;&gt; .\items\materia\class0012\Elementalist42.dbr</v>
      </c>
      <c r="V44" s="5" t="s">
        <v>36</v>
      </c>
      <c r="W44" t="str">
        <f t="shared" si="8"/>
        <v>echo lootName42,DAIL/items/materia/class0012/Elementalist42.dbr, &gt;&gt; .\items\loottables\dailoneskill0012.dbr</v>
      </c>
      <c r="X44" t="str">
        <f t="shared" si="8"/>
        <v>echo lootWeight42,1, &gt;&gt; .\items\loottables\dailoneskill0012.dbr</v>
      </c>
      <c r="Y44" s="5" t="s">
        <v>36</v>
      </c>
      <c r="Z44" t="str">
        <f t="shared" si="9"/>
        <v xml:space="preserve"> dailCompDescElementalist42=^pElementalist's Gift of DAIL</v>
      </c>
      <c r="AA44" t="str">
        <f t="shared" si="17"/>
        <v>dailCompTextElementalist42=^oThis feels warm to the touch, almost familiar ^w(This component only fits into the Medal Slot)</v>
      </c>
      <c r="AB44" s="5" t="s">
        <v>36</v>
      </c>
      <c r="AH44">
        <f t="shared" si="19"/>
        <v>39</v>
      </c>
      <c r="AI44">
        <f t="shared" si="22"/>
        <v>31</v>
      </c>
      <c r="AJ44">
        <f t="shared" si="18"/>
        <v>3</v>
      </c>
    </row>
    <row r="45" spans="1:36" x14ac:dyDescent="0.25">
      <c r="A45" s="5" t="s">
        <v>39</v>
      </c>
      <c r="B45" s="5" t="s">
        <v>30</v>
      </c>
      <c r="C45" s="5" t="str">
        <f t="shared" si="0"/>
        <v>description,dailCompDescElementalist43,</v>
      </c>
      <c r="D45" s="5" t="str">
        <f t="shared" si="2"/>
        <v>itemText,dailCompTextElementalist43,</v>
      </c>
      <c r="E45" s="5" t="str">
        <f t="shared" si="14"/>
        <v>augmentSkillLevel1,3,</v>
      </c>
      <c r="F45" s="5" t="str">
        <f t="shared" si="15"/>
        <v>augmentSkillName1,records/skills/zenithclass02/stormcaller2.dbr,</v>
      </c>
      <c r="G45" s="7">
        <f t="shared" si="10"/>
        <v>43</v>
      </c>
      <c r="H45" s="8" t="str">
        <f t="shared" si="11"/>
        <v>Elementalist</v>
      </c>
      <c r="I45" s="3" t="s">
        <v>439</v>
      </c>
      <c r="J45" s="8" t="str">
        <f t="shared" si="21"/>
        <v>class0012</v>
      </c>
      <c r="K45" s="8" t="str">
        <f t="shared" si="21"/>
        <v>dailoneskill0012</v>
      </c>
      <c r="L45" s="5" t="str">
        <f t="shared" si="4"/>
        <v>lootName43,DAIL/items/materia/class0012/Elementalist43.dbr,</v>
      </c>
      <c r="M45" s="5" t="str">
        <f t="shared" si="5"/>
        <v>lootWeight43,1,</v>
      </c>
      <c r="N45" t="str">
        <f t="shared" si="6"/>
        <v>3</v>
      </c>
      <c r="O45" t="str">
        <f t="shared" si="16"/>
        <v>copy .\dail_base3.dbr .\items\materia\class0012\Elementalist43.dbr /y</v>
      </c>
      <c r="P45" t="str">
        <f t="shared" si="7"/>
        <v>echo relicBitmap,items/craftingparts/components/component_a52_bristlyfur_b.tex, &gt;&gt; .\items\materia\class0012\Elementalist43.dbr</v>
      </c>
      <c r="Q45" t="str">
        <f t="shared" si="7"/>
        <v>echo itemCost,500000, &gt;&gt; .\items\materia\class0012\Elementalist43.dbr</v>
      </c>
      <c r="R45" t="str">
        <f t="shared" si="7"/>
        <v>echo description,dailCompDescElementalist43, &gt;&gt; .\items\materia\class0012\Elementalist43.dbr</v>
      </c>
      <c r="S45" t="str">
        <f t="shared" si="7"/>
        <v>echo itemText,dailCompTextElementalist43, &gt;&gt; .\items\materia\class0012\Elementalist43.dbr</v>
      </c>
      <c r="T45" t="str">
        <f t="shared" si="7"/>
        <v>echo augmentSkillLevel1,3, &gt;&gt; .\items\materia\class0012\Elementalist43.dbr</v>
      </c>
      <c r="U45" t="str">
        <f t="shared" si="7"/>
        <v>echo augmentSkillName1,records/skills/zenithclass02/stormcaller2.dbr, &gt;&gt; .\items\materia\class0012\Elementalist43.dbr</v>
      </c>
      <c r="V45" s="5" t="s">
        <v>36</v>
      </c>
      <c r="W45" t="str">
        <f t="shared" si="8"/>
        <v>echo lootName43,DAIL/items/materia/class0012/Elementalist43.dbr, &gt;&gt; .\items\loottables\dailoneskill0012.dbr</v>
      </c>
      <c r="X45" t="str">
        <f t="shared" si="8"/>
        <v>echo lootWeight43,1, &gt;&gt; .\items\loottables\dailoneskill0012.dbr</v>
      </c>
      <c r="Y45" s="5" t="s">
        <v>36</v>
      </c>
      <c r="Z45" t="str">
        <f t="shared" si="9"/>
        <v xml:space="preserve"> dailCompDescElementalist43=^pElementalist's Gift of DAIL</v>
      </c>
      <c r="AA45" t="str">
        <f t="shared" si="17"/>
        <v>dailCompTextElementalist43=^oThis feels warm to the touch, almost familiar ^w(This component only fits into the Medal Slot)</v>
      </c>
      <c r="AB45" s="5" t="s">
        <v>36</v>
      </c>
      <c r="AH45">
        <f t="shared" si="19"/>
        <v>40</v>
      </c>
      <c r="AI45">
        <f t="shared" si="22"/>
        <v>31</v>
      </c>
      <c r="AJ45">
        <f t="shared" si="18"/>
        <v>3</v>
      </c>
    </row>
    <row r="46" spans="1:36" x14ac:dyDescent="0.25">
      <c r="A46" s="5" t="s">
        <v>39</v>
      </c>
      <c r="B46" s="5" t="s">
        <v>30</v>
      </c>
      <c r="C46" s="5" t="str">
        <f t="shared" si="0"/>
        <v>description,dailCompDescElementalist44,</v>
      </c>
      <c r="D46" s="5" t="str">
        <f t="shared" si="2"/>
        <v>itemText,dailCompTextElementalist44,</v>
      </c>
      <c r="E46" s="5" t="str">
        <f t="shared" si="14"/>
        <v>augmentSkillLevel1,3,</v>
      </c>
      <c r="F46" s="5" t="str">
        <f t="shared" si="15"/>
        <v>augmentSkillName1,records/skills/zenithclass02/redsprite.dbr,</v>
      </c>
      <c r="G46" s="7">
        <f t="shared" si="10"/>
        <v>44</v>
      </c>
      <c r="H46" s="8" t="str">
        <f t="shared" si="11"/>
        <v>Elementalist</v>
      </c>
      <c r="I46" s="3" t="s">
        <v>207</v>
      </c>
      <c r="J46" s="8" t="str">
        <f t="shared" si="21"/>
        <v>class0012</v>
      </c>
      <c r="K46" s="8" t="str">
        <f t="shared" si="21"/>
        <v>dailoneskill0012</v>
      </c>
      <c r="L46" s="5" t="str">
        <f t="shared" si="4"/>
        <v>lootName44,DAIL/items/materia/class0012/Elementalist44.dbr,</v>
      </c>
      <c r="M46" s="5" t="str">
        <f t="shared" si="5"/>
        <v>lootWeight44,1,</v>
      </c>
      <c r="N46" t="str">
        <f t="shared" si="6"/>
        <v>3</v>
      </c>
      <c r="O46" t="str">
        <f t="shared" si="16"/>
        <v>copy .\dail_base3.dbr .\items\materia\class0012\Elementalist44.dbr /y</v>
      </c>
      <c r="P46" t="str">
        <f t="shared" si="7"/>
        <v>echo relicBitmap,items/craftingparts/components/component_a52_bristlyfur_b.tex, &gt;&gt; .\items\materia\class0012\Elementalist44.dbr</v>
      </c>
      <c r="Q46" t="str">
        <f t="shared" si="7"/>
        <v>echo itemCost,500000, &gt;&gt; .\items\materia\class0012\Elementalist44.dbr</v>
      </c>
      <c r="R46" t="str">
        <f t="shared" si="7"/>
        <v>echo description,dailCompDescElementalist44, &gt;&gt; .\items\materia\class0012\Elementalist44.dbr</v>
      </c>
      <c r="S46" t="str">
        <f t="shared" si="7"/>
        <v>echo itemText,dailCompTextElementalist44, &gt;&gt; .\items\materia\class0012\Elementalist44.dbr</v>
      </c>
      <c r="T46" t="str">
        <f t="shared" si="7"/>
        <v>echo augmentSkillLevel1,3, &gt;&gt; .\items\materia\class0012\Elementalist44.dbr</v>
      </c>
      <c r="U46" t="str">
        <f t="shared" si="7"/>
        <v>echo augmentSkillName1,records/skills/zenithclass02/redsprite.dbr, &gt;&gt; .\items\materia\class0012\Elementalist44.dbr</v>
      </c>
      <c r="V46" s="5" t="s">
        <v>36</v>
      </c>
      <c r="W46" t="str">
        <f t="shared" si="8"/>
        <v>echo lootName44,DAIL/items/materia/class0012/Elementalist44.dbr, &gt;&gt; .\items\loottables\dailoneskill0012.dbr</v>
      </c>
      <c r="X46" t="str">
        <f t="shared" si="8"/>
        <v>echo lootWeight44,1, &gt;&gt; .\items\loottables\dailoneskill0012.dbr</v>
      </c>
      <c r="Y46" s="5" t="s">
        <v>36</v>
      </c>
      <c r="Z46" t="str">
        <f t="shared" si="9"/>
        <v xml:space="preserve"> dailCompDescElementalist44=^pElementalist's Gift of DAIL</v>
      </c>
      <c r="AA46" t="str">
        <f t="shared" si="17"/>
        <v>dailCompTextElementalist44=^oThis feels warm to the touch, almost familiar ^w(This component only fits into the Medal Slot)</v>
      </c>
      <c r="AB46" s="5" t="s">
        <v>36</v>
      </c>
      <c r="AH46">
        <f t="shared" si="19"/>
        <v>41</v>
      </c>
      <c r="AI46">
        <f t="shared" si="22"/>
        <v>28</v>
      </c>
      <c r="AJ46">
        <f t="shared" si="18"/>
        <v>3</v>
      </c>
    </row>
    <row r="47" spans="1:36" x14ac:dyDescent="0.25">
      <c r="A47" s="5" t="s">
        <v>39</v>
      </c>
      <c r="B47" s="5" t="s">
        <v>30</v>
      </c>
      <c r="C47" s="5" t="str">
        <f t="shared" si="0"/>
        <v>description,dailCompDescElementalist45,</v>
      </c>
      <c r="D47" s="5" t="str">
        <f t="shared" si="2"/>
        <v>itemText,dailCompTextElementalist45,</v>
      </c>
      <c r="E47" s="5" t="str">
        <f t="shared" si="14"/>
        <v>augmentSkillLevel1,3,</v>
      </c>
      <c r="F47" s="5" t="str">
        <f t="shared" si="15"/>
        <v>augmentSkillName1,records/skills/zenithclass02/firegeyser.dbr,</v>
      </c>
      <c r="G47" s="7">
        <f t="shared" si="10"/>
        <v>45</v>
      </c>
      <c r="H47" s="8" t="str">
        <f t="shared" si="11"/>
        <v>Elementalist</v>
      </c>
      <c r="I47" s="3" t="s">
        <v>201</v>
      </c>
      <c r="J47" s="8" t="str">
        <f t="shared" si="21"/>
        <v>class0012</v>
      </c>
      <c r="K47" s="8" t="str">
        <f t="shared" si="21"/>
        <v>dailoneskill0012</v>
      </c>
      <c r="L47" s="5" t="str">
        <f t="shared" si="4"/>
        <v>lootName45,DAIL/items/materia/class0012/Elementalist45.dbr,</v>
      </c>
      <c r="M47" s="5" t="str">
        <f t="shared" si="5"/>
        <v>lootWeight45,1,</v>
      </c>
      <c r="N47" t="str">
        <f t="shared" si="6"/>
        <v>3</v>
      </c>
      <c r="O47" t="str">
        <f t="shared" si="16"/>
        <v>copy .\dail_base3.dbr .\items\materia\class0012\Elementalist45.dbr /y</v>
      </c>
      <c r="P47" t="str">
        <f t="shared" si="7"/>
        <v>echo relicBitmap,items/craftingparts/components/component_a52_bristlyfur_b.tex, &gt;&gt; .\items\materia\class0012\Elementalist45.dbr</v>
      </c>
      <c r="Q47" t="str">
        <f t="shared" si="7"/>
        <v>echo itemCost,500000, &gt;&gt; .\items\materia\class0012\Elementalist45.dbr</v>
      </c>
      <c r="R47" t="str">
        <f t="shared" si="7"/>
        <v>echo description,dailCompDescElementalist45, &gt;&gt; .\items\materia\class0012\Elementalist45.dbr</v>
      </c>
      <c r="S47" t="str">
        <f t="shared" si="7"/>
        <v>echo itemText,dailCompTextElementalist45, &gt;&gt; .\items\materia\class0012\Elementalist45.dbr</v>
      </c>
      <c r="T47" t="str">
        <f t="shared" si="7"/>
        <v>echo augmentSkillLevel1,3, &gt;&gt; .\items\materia\class0012\Elementalist45.dbr</v>
      </c>
      <c r="U47" t="str">
        <f t="shared" si="7"/>
        <v>echo augmentSkillName1,records/skills/zenithclass02/firegeyser.dbr, &gt;&gt; .\items\materia\class0012\Elementalist45.dbr</v>
      </c>
      <c r="V47" s="5" t="s">
        <v>36</v>
      </c>
      <c r="W47" t="str">
        <f t="shared" si="8"/>
        <v>echo lootName45,DAIL/items/materia/class0012/Elementalist45.dbr, &gt;&gt; .\items\loottables\dailoneskill0012.dbr</v>
      </c>
      <c r="X47" t="str">
        <f t="shared" si="8"/>
        <v>echo lootWeight45,1, &gt;&gt; .\items\loottables\dailoneskill0012.dbr</v>
      </c>
      <c r="Y47" s="5" t="s">
        <v>36</v>
      </c>
      <c r="Z47" t="str">
        <f t="shared" si="9"/>
        <v xml:space="preserve"> dailCompDescElementalist45=^pElementalist's Gift of DAIL</v>
      </c>
      <c r="AA47" t="str">
        <f t="shared" si="17"/>
        <v>dailCompTextElementalist45=^oThis feels warm to the touch, almost familiar ^w(This component only fits into the Medal Slot)</v>
      </c>
      <c r="AB47" s="5" t="s">
        <v>36</v>
      </c>
      <c r="AH47">
        <f t="shared" si="19"/>
        <v>42</v>
      </c>
      <c r="AI47">
        <f t="shared" si="22"/>
        <v>29</v>
      </c>
      <c r="AJ47">
        <f t="shared" si="18"/>
        <v>3</v>
      </c>
    </row>
    <row r="48" spans="1:36" x14ac:dyDescent="0.25">
      <c r="A48" s="5" t="s">
        <v>39</v>
      </c>
      <c r="B48" s="5" t="s">
        <v>30</v>
      </c>
      <c r="C48" s="5" t="str">
        <f t="shared" si="0"/>
        <v>description,dailCompDescElementalist46,</v>
      </c>
      <c r="D48" s="5" t="str">
        <f t="shared" si="2"/>
        <v>itemText,dailCompTextElementalist46,</v>
      </c>
      <c r="E48" s="5" t="str">
        <f t="shared" si="14"/>
        <v>augmentSkillLevel1,3,</v>
      </c>
      <c r="F48" s="5" t="str">
        <f t="shared" si="15"/>
        <v>augmentSkillName1,records/skills/zenithclass02/icecitadel.dbr,</v>
      </c>
      <c r="G48" s="7">
        <f t="shared" si="10"/>
        <v>46</v>
      </c>
      <c r="H48" s="8" t="str">
        <f t="shared" si="11"/>
        <v>Elementalist</v>
      </c>
      <c r="I48" s="3" t="s">
        <v>204</v>
      </c>
      <c r="J48" s="8" t="str">
        <f t="shared" si="21"/>
        <v>class0012</v>
      </c>
      <c r="K48" s="8" t="str">
        <f t="shared" si="21"/>
        <v>dailoneskill0012</v>
      </c>
      <c r="L48" s="5" t="str">
        <f t="shared" si="4"/>
        <v>lootName46,DAIL/items/materia/class0012/Elementalist46.dbr,</v>
      </c>
      <c r="M48" s="5" t="str">
        <f t="shared" si="5"/>
        <v>lootWeight46,1,</v>
      </c>
      <c r="N48" t="str">
        <f t="shared" si="6"/>
        <v>3</v>
      </c>
      <c r="O48" t="str">
        <f t="shared" si="16"/>
        <v>copy .\dail_base3.dbr .\items\materia\class0012\Elementalist46.dbr /y</v>
      </c>
      <c r="P48" t="str">
        <f t="shared" si="7"/>
        <v>echo relicBitmap,items/craftingparts/components/component_a52_bristlyfur_b.tex, &gt;&gt; .\items\materia\class0012\Elementalist46.dbr</v>
      </c>
      <c r="Q48" t="str">
        <f t="shared" si="7"/>
        <v>echo itemCost,500000, &gt;&gt; .\items\materia\class0012\Elementalist46.dbr</v>
      </c>
      <c r="R48" t="str">
        <f t="shared" si="7"/>
        <v>echo description,dailCompDescElementalist46, &gt;&gt; .\items\materia\class0012\Elementalist46.dbr</v>
      </c>
      <c r="S48" t="str">
        <f t="shared" si="7"/>
        <v>echo itemText,dailCompTextElementalist46, &gt;&gt; .\items\materia\class0012\Elementalist46.dbr</v>
      </c>
      <c r="T48" t="str">
        <f t="shared" si="7"/>
        <v>echo augmentSkillLevel1,3, &gt;&gt; .\items\materia\class0012\Elementalist46.dbr</v>
      </c>
      <c r="U48" t="str">
        <f t="shared" si="7"/>
        <v>echo augmentSkillName1,records/skills/zenithclass02/icecitadel.dbr, &gt;&gt; .\items\materia\class0012\Elementalist46.dbr</v>
      </c>
      <c r="V48" s="5" t="s">
        <v>36</v>
      </c>
      <c r="W48" t="str">
        <f t="shared" si="8"/>
        <v>echo lootName46,DAIL/items/materia/class0012/Elementalist46.dbr, &gt;&gt; .\items\loottables\dailoneskill0012.dbr</v>
      </c>
      <c r="X48" t="str">
        <f t="shared" si="8"/>
        <v>echo lootWeight46,1, &gt;&gt; .\items\loottables\dailoneskill0012.dbr</v>
      </c>
      <c r="Y48" s="5" t="s">
        <v>36</v>
      </c>
      <c r="Z48" t="str">
        <f t="shared" si="9"/>
        <v xml:space="preserve"> dailCompDescElementalist46=^pElementalist's Gift of DAIL</v>
      </c>
      <c r="AA48" t="str">
        <f t="shared" si="17"/>
        <v>dailCompTextElementalist46=^oThis feels warm to the touch, almost familiar ^w(This component only fits into the Medal Slot)</v>
      </c>
      <c r="AB48" s="5" t="s">
        <v>36</v>
      </c>
      <c r="AH48">
        <f t="shared" si="19"/>
        <v>43</v>
      </c>
      <c r="AI48">
        <f t="shared" si="22"/>
        <v>29</v>
      </c>
      <c r="AJ48">
        <f t="shared" si="18"/>
        <v>3</v>
      </c>
    </row>
    <row r="49" spans="1:36" x14ac:dyDescent="0.25">
      <c r="A49" s="5" t="s">
        <v>39</v>
      </c>
      <c r="B49" s="5" t="s">
        <v>30</v>
      </c>
      <c r="C49" s="5" t="str">
        <f t="shared" si="0"/>
        <v>description,dailCompDescElementalist47,</v>
      </c>
      <c r="D49" s="5" t="str">
        <f t="shared" si="2"/>
        <v>itemText,dailCompTextElementalist47,</v>
      </c>
      <c r="E49" s="5" t="str">
        <f t="shared" si="14"/>
        <v>augmentSkillLevel1,3,</v>
      </c>
      <c r="F49" s="5" t="str">
        <f t="shared" si="15"/>
        <v>augmentSkillName1,records/skills/zenithclass02/affinity_fire.dbr,</v>
      </c>
      <c r="G49" s="7">
        <f t="shared" si="10"/>
        <v>47</v>
      </c>
      <c r="H49" s="8" t="str">
        <f t="shared" si="11"/>
        <v>Elementalist</v>
      </c>
      <c r="I49" s="3" t="s">
        <v>194</v>
      </c>
      <c r="J49" s="8" t="str">
        <f t="shared" si="21"/>
        <v>class0012</v>
      </c>
      <c r="K49" s="8" t="str">
        <f t="shared" si="21"/>
        <v>dailoneskill0012</v>
      </c>
      <c r="L49" s="5" t="str">
        <f t="shared" si="4"/>
        <v>lootName47,DAIL/items/materia/class0012/Elementalist47.dbr,</v>
      </c>
      <c r="M49" s="5" t="str">
        <f t="shared" si="5"/>
        <v>lootWeight47,1,</v>
      </c>
      <c r="N49" t="str">
        <f t="shared" si="6"/>
        <v>3</v>
      </c>
      <c r="O49" t="str">
        <f t="shared" si="16"/>
        <v>copy .\dail_base3.dbr .\items\materia\class0012\Elementalist47.dbr /y</v>
      </c>
      <c r="P49" t="str">
        <f t="shared" si="7"/>
        <v>echo relicBitmap,items/craftingparts/components/component_a52_bristlyfur_b.tex, &gt;&gt; .\items\materia\class0012\Elementalist47.dbr</v>
      </c>
      <c r="Q49" t="str">
        <f t="shared" si="7"/>
        <v>echo itemCost,500000, &gt;&gt; .\items\materia\class0012\Elementalist47.dbr</v>
      </c>
      <c r="R49" t="str">
        <f t="shared" si="7"/>
        <v>echo description,dailCompDescElementalist47, &gt;&gt; .\items\materia\class0012\Elementalist47.dbr</v>
      </c>
      <c r="S49" t="str">
        <f t="shared" si="7"/>
        <v>echo itemText,dailCompTextElementalist47, &gt;&gt; .\items\materia\class0012\Elementalist47.dbr</v>
      </c>
      <c r="T49" t="str">
        <f t="shared" si="7"/>
        <v>echo augmentSkillLevel1,3, &gt;&gt; .\items\materia\class0012\Elementalist47.dbr</v>
      </c>
      <c r="U49" t="str">
        <f t="shared" si="7"/>
        <v>echo augmentSkillName1,records/skills/zenithclass02/affinity_fire.dbr, &gt;&gt; .\items\materia\class0012\Elementalist47.dbr</v>
      </c>
      <c r="V49" s="5" t="s">
        <v>36</v>
      </c>
      <c r="W49" t="str">
        <f t="shared" si="8"/>
        <v>echo lootName47,DAIL/items/materia/class0012/Elementalist47.dbr, &gt;&gt; .\items\loottables\dailoneskill0012.dbr</v>
      </c>
      <c r="X49" t="str">
        <f t="shared" si="8"/>
        <v>echo lootWeight47,1, &gt;&gt; .\items\loottables\dailoneskill0012.dbr</v>
      </c>
      <c r="Y49" s="5" t="s">
        <v>36</v>
      </c>
      <c r="Z49" t="str">
        <f t="shared" si="9"/>
        <v xml:space="preserve"> dailCompDescElementalist47=^pElementalist's Gift of DAIL</v>
      </c>
      <c r="AA49" t="str">
        <f t="shared" si="17"/>
        <v>dailCompTextElementalist47=^oThis feels warm to the touch, almost familiar ^w(This component only fits into the Medal Slot)</v>
      </c>
      <c r="AB49" s="5" t="s">
        <v>36</v>
      </c>
      <c r="AH49">
        <f t="shared" si="19"/>
        <v>44</v>
      </c>
      <c r="AI49">
        <f t="shared" si="22"/>
        <v>32</v>
      </c>
      <c r="AJ49">
        <f t="shared" si="18"/>
        <v>3</v>
      </c>
    </row>
    <row r="50" spans="1:36" x14ac:dyDescent="0.25">
      <c r="A50" s="5" t="s">
        <v>39</v>
      </c>
      <c r="B50" s="5" t="s">
        <v>30</v>
      </c>
      <c r="C50" s="5" t="str">
        <f t="shared" si="0"/>
        <v>description,dailCompDescElementalist48,</v>
      </c>
      <c r="D50" s="5" t="str">
        <f t="shared" si="2"/>
        <v>itemText,dailCompTextElementalist48,</v>
      </c>
      <c r="E50" s="5" t="str">
        <f t="shared" si="14"/>
        <v>augmentSkillLevel1,3,</v>
      </c>
      <c r="F50" s="5" t="str">
        <f t="shared" si="15"/>
        <v>augmentSkillName1,records/skills/zenithclass02/affinity_cold.dbr,</v>
      </c>
      <c r="G50" s="7">
        <f t="shared" si="10"/>
        <v>48</v>
      </c>
      <c r="H50" s="8" t="str">
        <f t="shared" si="11"/>
        <v>Elementalist</v>
      </c>
      <c r="I50" s="3" t="s">
        <v>228</v>
      </c>
      <c r="J50" s="8" t="str">
        <f t="shared" si="21"/>
        <v>class0012</v>
      </c>
      <c r="K50" s="8" t="str">
        <f t="shared" si="21"/>
        <v>dailoneskill0012</v>
      </c>
      <c r="L50" s="5" t="str">
        <f t="shared" si="4"/>
        <v>lootName48,DAIL/items/materia/class0012/Elementalist48.dbr,</v>
      </c>
      <c r="M50" s="5" t="str">
        <f t="shared" si="5"/>
        <v>lootWeight48,1,</v>
      </c>
      <c r="N50" t="str">
        <f t="shared" si="6"/>
        <v>3</v>
      </c>
      <c r="O50" t="str">
        <f t="shared" si="16"/>
        <v>copy .\dail_base3.dbr .\items\materia\class0012\Elementalist48.dbr /y</v>
      </c>
      <c r="P50" t="str">
        <f t="shared" si="7"/>
        <v>echo relicBitmap,items/craftingparts/components/component_a52_bristlyfur_b.tex, &gt;&gt; .\items\materia\class0012\Elementalist48.dbr</v>
      </c>
      <c r="Q50" t="str">
        <f t="shared" si="7"/>
        <v>echo itemCost,500000, &gt;&gt; .\items\materia\class0012\Elementalist48.dbr</v>
      </c>
      <c r="R50" t="str">
        <f t="shared" si="7"/>
        <v>echo description,dailCompDescElementalist48, &gt;&gt; .\items\materia\class0012\Elementalist48.dbr</v>
      </c>
      <c r="S50" t="str">
        <f t="shared" si="7"/>
        <v>echo itemText,dailCompTextElementalist48, &gt;&gt; .\items\materia\class0012\Elementalist48.dbr</v>
      </c>
      <c r="T50" t="str">
        <f t="shared" si="7"/>
        <v>echo augmentSkillLevel1,3, &gt;&gt; .\items\materia\class0012\Elementalist48.dbr</v>
      </c>
      <c r="U50" t="str">
        <f t="shared" si="7"/>
        <v>echo augmentSkillName1,records/skills/zenithclass02/affinity_cold.dbr, &gt;&gt; .\items\materia\class0012\Elementalist48.dbr</v>
      </c>
      <c r="V50" s="5" t="s">
        <v>36</v>
      </c>
      <c r="W50" t="str">
        <f t="shared" si="8"/>
        <v>echo lootName48,DAIL/items/materia/class0012/Elementalist48.dbr, &gt;&gt; .\items\loottables\dailoneskill0012.dbr</v>
      </c>
      <c r="X50" t="str">
        <f t="shared" si="8"/>
        <v>echo lootWeight48,1, &gt;&gt; .\items\loottables\dailoneskill0012.dbr</v>
      </c>
      <c r="Y50" s="5" t="s">
        <v>36</v>
      </c>
      <c r="Z50" t="str">
        <f t="shared" si="9"/>
        <v xml:space="preserve"> dailCompDescElementalist48=^pElementalist's Gift of DAIL</v>
      </c>
      <c r="AA50" t="str">
        <f t="shared" si="17"/>
        <v>dailCompTextElementalist48=^oThis feels warm to the touch, almost familiar ^w(This component only fits into the Medal Slot)</v>
      </c>
      <c r="AB50" s="5" t="s">
        <v>36</v>
      </c>
      <c r="AH50">
        <f t="shared" si="19"/>
        <v>45</v>
      </c>
      <c r="AI50">
        <f t="shared" si="22"/>
        <v>32</v>
      </c>
      <c r="AJ50">
        <f t="shared" si="18"/>
        <v>3</v>
      </c>
    </row>
    <row r="51" spans="1:36" x14ac:dyDescent="0.25">
      <c r="A51" s="5" t="s">
        <v>39</v>
      </c>
      <c r="B51" s="5" t="s">
        <v>30</v>
      </c>
      <c r="C51" s="5" t="str">
        <f t="shared" si="0"/>
        <v>description,dailCompDescElementalist49,</v>
      </c>
      <c r="D51" s="5" t="str">
        <f t="shared" si="2"/>
        <v>itemText,dailCompTextElementalist49,</v>
      </c>
      <c r="E51" s="5" t="str">
        <f t="shared" si="14"/>
        <v>augmentSkillLevel1,3,</v>
      </c>
      <c r="F51" s="5" t="str">
        <f t="shared" si="15"/>
        <v>augmentSkillName1,records/skills/zenithclass02/affinity_lightning.dbr,</v>
      </c>
      <c r="G51" s="7">
        <f t="shared" si="10"/>
        <v>49</v>
      </c>
      <c r="H51" s="8" t="str">
        <f t="shared" si="11"/>
        <v>Elementalist</v>
      </c>
      <c r="I51" s="3" t="s">
        <v>195</v>
      </c>
      <c r="J51" s="8" t="str">
        <f t="shared" si="21"/>
        <v>class0012</v>
      </c>
      <c r="K51" s="8" t="str">
        <f t="shared" si="21"/>
        <v>dailoneskill0012</v>
      </c>
      <c r="L51" s="5" t="str">
        <f t="shared" si="4"/>
        <v>lootName49,DAIL/items/materia/class0012/Elementalist49.dbr,</v>
      </c>
      <c r="M51" s="5" t="str">
        <f t="shared" si="5"/>
        <v>lootWeight49,1,</v>
      </c>
      <c r="N51" t="str">
        <f t="shared" si="6"/>
        <v>3</v>
      </c>
      <c r="O51" t="str">
        <f t="shared" si="16"/>
        <v>copy .\dail_base3.dbr .\items\materia\class0012\Elementalist49.dbr /y</v>
      </c>
      <c r="P51" t="str">
        <f t="shared" si="7"/>
        <v>echo relicBitmap,items/craftingparts/components/component_a52_bristlyfur_b.tex, &gt;&gt; .\items\materia\class0012\Elementalist49.dbr</v>
      </c>
      <c r="Q51" t="str">
        <f t="shared" si="7"/>
        <v>echo itemCost,500000, &gt;&gt; .\items\materia\class0012\Elementalist49.dbr</v>
      </c>
      <c r="R51" t="str">
        <f t="shared" si="7"/>
        <v>echo description,dailCompDescElementalist49, &gt;&gt; .\items\materia\class0012\Elementalist49.dbr</v>
      </c>
      <c r="S51" t="str">
        <f t="shared" si="7"/>
        <v>echo itemText,dailCompTextElementalist49, &gt;&gt; .\items\materia\class0012\Elementalist49.dbr</v>
      </c>
      <c r="T51" t="str">
        <f t="shared" si="7"/>
        <v>echo augmentSkillLevel1,3, &gt;&gt; .\items\materia\class0012\Elementalist49.dbr</v>
      </c>
      <c r="U51" t="str">
        <f t="shared" si="7"/>
        <v>echo augmentSkillName1,records/skills/zenithclass02/affinity_lightning.dbr, &gt;&gt; .\items\materia\class0012\Elementalist49.dbr</v>
      </c>
      <c r="V51" s="5" t="s">
        <v>36</v>
      </c>
      <c r="W51" t="str">
        <f t="shared" si="8"/>
        <v>echo lootName49,DAIL/items/materia/class0012/Elementalist49.dbr, &gt;&gt; .\items\loottables\dailoneskill0012.dbr</v>
      </c>
      <c r="X51" t="str">
        <f t="shared" si="8"/>
        <v>echo lootWeight49,1, &gt;&gt; .\items\loottables\dailoneskill0012.dbr</v>
      </c>
      <c r="Y51" s="5" t="s">
        <v>36</v>
      </c>
      <c r="Z51" t="str">
        <f t="shared" si="9"/>
        <v xml:space="preserve"> dailCompDescElementalist49=^pElementalist's Gift of DAIL</v>
      </c>
      <c r="AA51" t="str">
        <f t="shared" si="17"/>
        <v>dailCompTextElementalist49=^oThis feels warm to the touch, almost familiar ^w(This component only fits into the Medal Slot)</v>
      </c>
      <c r="AB51" s="5" t="s">
        <v>36</v>
      </c>
      <c r="AH51">
        <f t="shared" si="19"/>
        <v>46</v>
      </c>
      <c r="AI51">
        <f t="shared" si="22"/>
        <v>37</v>
      </c>
      <c r="AJ51">
        <f t="shared" si="18"/>
        <v>3</v>
      </c>
    </row>
    <row r="52" spans="1:36" x14ac:dyDescent="0.25">
      <c r="A52" s="5" t="s">
        <v>39</v>
      </c>
      <c r="B52" s="5" t="s">
        <v>30</v>
      </c>
      <c r="C52" s="5" t="str">
        <f t="shared" si="0"/>
        <v>description,dailCompDescElementalist50,</v>
      </c>
      <c r="D52" s="5" t="str">
        <f t="shared" si="2"/>
        <v>itemText,dailCompTextElementalist50,</v>
      </c>
      <c r="E52" s="5" t="str">
        <f t="shared" si="14"/>
        <v>augmentSkillLevel1,3,</v>
      </c>
      <c r="F52" s="5" t="str">
        <f t="shared" si="15"/>
        <v>augmentSkillName1,records/skills/zenithclass02/refuel.dbr,</v>
      </c>
      <c r="G52" s="7">
        <f t="shared" si="10"/>
        <v>50</v>
      </c>
      <c r="H52" s="8" t="str">
        <f t="shared" si="11"/>
        <v>Elementalist</v>
      </c>
      <c r="I52" s="3" t="s">
        <v>208</v>
      </c>
      <c r="J52" s="8" t="str">
        <f t="shared" si="21"/>
        <v>class0012</v>
      </c>
      <c r="K52" s="8" t="str">
        <f t="shared" si="21"/>
        <v>dailoneskill0012</v>
      </c>
      <c r="L52" s="5" t="str">
        <f t="shared" si="4"/>
        <v>lootName50,DAIL/items/materia/class0012/Elementalist50.dbr,</v>
      </c>
      <c r="M52" s="5" t="str">
        <f t="shared" si="5"/>
        <v>lootWeight50,1,</v>
      </c>
      <c r="N52" t="str">
        <f t="shared" si="6"/>
        <v>3</v>
      </c>
      <c r="O52" t="str">
        <f t="shared" si="16"/>
        <v>copy .\dail_base3.dbr .\items\materia\class0012\Elementalist50.dbr /y</v>
      </c>
      <c r="P52" t="str">
        <f t="shared" si="7"/>
        <v>echo relicBitmap,items/craftingparts/components/component_a52_bristlyfur_b.tex, &gt;&gt; .\items\materia\class0012\Elementalist50.dbr</v>
      </c>
      <c r="Q52" t="str">
        <f t="shared" si="7"/>
        <v>echo itemCost,500000, &gt;&gt; .\items\materia\class0012\Elementalist50.dbr</v>
      </c>
      <c r="R52" t="str">
        <f t="shared" si="7"/>
        <v>echo description,dailCompDescElementalist50, &gt;&gt; .\items\materia\class0012\Elementalist50.dbr</v>
      </c>
      <c r="S52" t="str">
        <f t="shared" si="7"/>
        <v>echo itemText,dailCompTextElementalist50, &gt;&gt; .\items\materia\class0012\Elementalist50.dbr</v>
      </c>
      <c r="T52" t="str">
        <f t="shared" si="7"/>
        <v>echo augmentSkillLevel1,3, &gt;&gt; .\items\materia\class0012\Elementalist50.dbr</v>
      </c>
      <c r="U52" t="str">
        <f t="shared" si="7"/>
        <v>echo augmentSkillName1,records/skills/zenithclass02/refuel.dbr, &gt;&gt; .\items\materia\class0012\Elementalist50.dbr</v>
      </c>
      <c r="V52" s="5" t="s">
        <v>36</v>
      </c>
      <c r="W52" t="str">
        <f t="shared" si="8"/>
        <v>echo lootName50,DAIL/items/materia/class0012/Elementalist50.dbr, &gt;&gt; .\items\loottables\dailoneskill0012.dbr</v>
      </c>
      <c r="X52" t="str">
        <f t="shared" si="8"/>
        <v>echo lootWeight50,1, &gt;&gt; .\items\loottables\dailoneskill0012.dbr</v>
      </c>
      <c r="Y52" s="5" t="s">
        <v>36</v>
      </c>
      <c r="Z52" t="str">
        <f t="shared" si="9"/>
        <v xml:space="preserve"> dailCompDescElementalist50=^pElementalist's Gift of DAIL</v>
      </c>
      <c r="AA52" t="str">
        <f t="shared" si="17"/>
        <v>dailCompTextElementalist50=^oThis feels warm to the touch, almost familiar ^w(This component only fits into the Medal Slot)</v>
      </c>
      <c r="AB52" s="5" t="s">
        <v>36</v>
      </c>
      <c r="AH52">
        <f t="shared" si="19"/>
        <v>47</v>
      </c>
      <c r="AI52">
        <f t="shared" si="22"/>
        <v>25</v>
      </c>
      <c r="AJ52">
        <f t="shared" si="18"/>
        <v>3</v>
      </c>
    </row>
    <row r="53" spans="1:36" x14ac:dyDescent="0.25">
      <c r="A53" s="5" t="s">
        <v>39</v>
      </c>
      <c r="B53" s="5" t="s">
        <v>30</v>
      </c>
      <c r="C53" s="5" t="str">
        <f t="shared" si="0"/>
        <v>description,dailCompDescElementalist51,</v>
      </c>
      <c r="D53" s="5" t="str">
        <f t="shared" si="2"/>
        <v>itemText,dailCompTextElementalist51,</v>
      </c>
      <c r="E53" s="5" t="str">
        <f t="shared" si="14"/>
        <v>augmentSkillLevel1,5,</v>
      </c>
      <c r="F53" s="5" t="str">
        <f t="shared" si="15"/>
        <v>augmentSkillName1,records/skills/zenithclass02/elemental_flow.dbr,</v>
      </c>
      <c r="G53" s="7">
        <f t="shared" si="10"/>
        <v>51</v>
      </c>
      <c r="H53" s="8" t="str">
        <f t="shared" si="11"/>
        <v>Elementalist</v>
      </c>
      <c r="I53" s="3" t="s">
        <v>199</v>
      </c>
      <c r="J53" s="8" t="str">
        <f t="shared" ref="J53:K68" si="23">J52</f>
        <v>class0012</v>
      </c>
      <c r="K53" s="8" t="str">
        <f t="shared" si="23"/>
        <v>dailoneskill0012</v>
      </c>
      <c r="L53" s="5" t="str">
        <f t="shared" si="4"/>
        <v>lootName51,DAIL/items/materia/class0012/Elementalist51.dbr,</v>
      </c>
      <c r="M53" s="5" t="str">
        <f t="shared" si="5"/>
        <v>lootWeight51,1,</v>
      </c>
      <c r="N53" t="str">
        <f t="shared" si="6"/>
        <v>5</v>
      </c>
      <c r="O53" t="str">
        <f t="shared" si="16"/>
        <v>copy .\dail_base3.dbr .\items\materia\class0012\Elementalist51.dbr /y</v>
      </c>
      <c r="P53" t="str">
        <f t="shared" si="7"/>
        <v>echo relicBitmap,items/craftingparts/components/component_a52_bristlyfur_b.tex, &gt;&gt; .\items\materia\class0012\Elementalist51.dbr</v>
      </c>
      <c r="Q53" t="str">
        <f t="shared" si="7"/>
        <v>echo itemCost,500000, &gt;&gt; .\items\materia\class0012\Elementalist51.dbr</v>
      </c>
      <c r="R53" t="str">
        <f t="shared" si="7"/>
        <v>echo description,dailCompDescElementalist51, &gt;&gt; .\items\materia\class0012\Elementalist51.dbr</v>
      </c>
      <c r="S53" t="str">
        <f t="shared" si="7"/>
        <v>echo itemText,dailCompTextElementalist51, &gt;&gt; .\items\materia\class0012\Elementalist51.dbr</v>
      </c>
      <c r="T53" t="str">
        <f t="shared" si="7"/>
        <v>echo augmentSkillLevel1,5, &gt;&gt; .\items\materia\class0012\Elementalist51.dbr</v>
      </c>
      <c r="U53" t="str">
        <f t="shared" si="7"/>
        <v>echo augmentSkillName1,records/skills/zenithclass02/elemental_flow.dbr, &gt;&gt; .\items\materia\class0012\Elementalist51.dbr</v>
      </c>
      <c r="V53" s="5" t="s">
        <v>36</v>
      </c>
      <c r="W53" t="str">
        <f t="shared" si="8"/>
        <v>echo lootName51,DAIL/items/materia/class0012/Elementalist51.dbr, &gt;&gt; .\items\loottables\dailoneskill0012.dbr</v>
      </c>
      <c r="X53" t="str">
        <f t="shared" si="8"/>
        <v>echo lootWeight51,1, &gt;&gt; .\items\loottables\dailoneskill0012.dbr</v>
      </c>
      <c r="Y53" s="5" t="s">
        <v>36</v>
      </c>
      <c r="Z53" t="str">
        <f t="shared" si="9"/>
        <v xml:space="preserve"> dailCompDescElementalist51=^pElementalist's Gift of DAIL</v>
      </c>
      <c r="AA53" t="str">
        <f t="shared" si="17"/>
        <v>dailCompTextElementalist51=^oThis feels warm to the touch, almost familiar ^w(This component only fits into the Medal Slot)</v>
      </c>
      <c r="AB53" s="5" t="s">
        <v>36</v>
      </c>
      <c r="AH53">
        <f t="shared" si="19"/>
        <v>48</v>
      </c>
      <c r="AI53">
        <f t="shared" si="22"/>
        <v>33</v>
      </c>
      <c r="AJ53">
        <f t="shared" si="18"/>
        <v>5</v>
      </c>
    </row>
    <row r="54" spans="1:36" x14ac:dyDescent="0.25">
      <c r="A54" s="5" t="s">
        <v>39</v>
      </c>
      <c r="B54" s="5" t="s">
        <v>30</v>
      </c>
      <c r="C54" s="5" t="str">
        <f t="shared" si="0"/>
        <v>description,dailCompDescElementalist52,</v>
      </c>
      <c r="D54" s="5" t="str">
        <f t="shared" si="2"/>
        <v>itemText,dailCompTextElementalist52,</v>
      </c>
      <c r="E54" s="5" t="str">
        <f t="shared" si="14"/>
        <v>augmentSkillLevel1,5,</v>
      </c>
      <c r="F54" s="5" t="str">
        <f t="shared" si="15"/>
        <v>augmentSkillName1,records/skills/zenithclass02/icewall1.dbr,</v>
      </c>
      <c r="G54" s="7">
        <f t="shared" si="10"/>
        <v>52</v>
      </c>
      <c r="H54" s="8" t="str">
        <f t="shared" si="11"/>
        <v>Elementalist</v>
      </c>
      <c r="I54" s="3" t="s">
        <v>206</v>
      </c>
      <c r="J54" s="8" t="str">
        <f t="shared" si="23"/>
        <v>class0012</v>
      </c>
      <c r="K54" s="8" t="str">
        <f t="shared" si="23"/>
        <v>dailoneskill0012</v>
      </c>
      <c r="L54" s="5" t="str">
        <f t="shared" si="4"/>
        <v>lootName52,DAIL/items/materia/class0012/Elementalist52.dbr,</v>
      </c>
      <c r="M54" s="5" t="str">
        <f t="shared" si="5"/>
        <v>lootWeight52,1,</v>
      </c>
      <c r="N54" t="str">
        <f t="shared" si="6"/>
        <v>5</v>
      </c>
      <c r="O54" t="str">
        <f t="shared" si="16"/>
        <v>copy .\dail_base3.dbr .\items\materia\class0012\Elementalist52.dbr /y</v>
      </c>
      <c r="P54" t="str">
        <f t="shared" si="7"/>
        <v>echo relicBitmap,items/craftingparts/components/component_a52_bristlyfur_b.tex, &gt;&gt; .\items\materia\class0012\Elementalist52.dbr</v>
      </c>
      <c r="Q54" t="str">
        <f t="shared" si="7"/>
        <v>echo itemCost,500000, &gt;&gt; .\items\materia\class0012\Elementalist52.dbr</v>
      </c>
      <c r="R54" t="str">
        <f t="shared" si="7"/>
        <v>echo description,dailCompDescElementalist52, &gt;&gt; .\items\materia\class0012\Elementalist52.dbr</v>
      </c>
      <c r="S54" t="str">
        <f t="shared" si="7"/>
        <v>echo itemText,dailCompTextElementalist52, &gt;&gt; .\items\materia\class0012\Elementalist52.dbr</v>
      </c>
      <c r="T54" t="str">
        <f t="shared" si="7"/>
        <v>echo augmentSkillLevel1,5, &gt;&gt; .\items\materia\class0012\Elementalist52.dbr</v>
      </c>
      <c r="U54" t="str">
        <f t="shared" si="7"/>
        <v>echo augmentSkillName1,records/skills/zenithclass02/icewall1.dbr, &gt;&gt; .\items\materia\class0012\Elementalist52.dbr</v>
      </c>
      <c r="V54" s="5" t="s">
        <v>36</v>
      </c>
      <c r="W54" t="str">
        <f t="shared" si="8"/>
        <v>echo lootName52,DAIL/items/materia/class0012/Elementalist52.dbr, &gt;&gt; .\items\loottables\dailoneskill0012.dbr</v>
      </c>
      <c r="X54" t="str">
        <f t="shared" si="8"/>
        <v>echo lootWeight52,1, &gt;&gt; .\items\loottables\dailoneskill0012.dbr</v>
      </c>
      <c r="Y54" s="5" t="s">
        <v>36</v>
      </c>
      <c r="Z54" t="str">
        <f t="shared" si="9"/>
        <v xml:space="preserve"> dailCompDescElementalist52=^pElementalist's Gift of DAIL</v>
      </c>
      <c r="AA54" t="str">
        <f t="shared" si="17"/>
        <v>dailCompTextElementalist52=^oThis feels warm to the touch, almost familiar ^w(This component only fits into the Medal Slot)</v>
      </c>
      <c r="AB54" s="5" t="s">
        <v>36</v>
      </c>
      <c r="AH54">
        <f t="shared" si="19"/>
        <v>49</v>
      </c>
      <c r="AI54">
        <f t="shared" si="22"/>
        <v>27</v>
      </c>
      <c r="AJ54">
        <f t="shared" si="18"/>
        <v>5</v>
      </c>
    </row>
    <row r="55" spans="1:36" x14ac:dyDescent="0.25">
      <c r="A55" s="5" t="s">
        <v>39</v>
      </c>
      <c r="B55" s="5" t="s">
        <v>30</v>
      </c>
      <c r="C55" s="5" t="str">
        <f t="shared" si="0"/>
        <v>description,dailCompDescElementalist53,</v>
      </c>
      <c r="D55" s="5" t="str">
        <f t="shared" si="2"/>
        <v>itemText,dailCompTextElementalist53,</v>
      </c>
      <c r="E55" s="5" t="str">
        <f t="shared" si="14"/>
        <v>augmentSkillLevel1,5,</v>
      </c>
      <c r="F55" s="5" t="str">
        <f t="shared" si="15"/>
        <v>augmentSkillName1,records/skills/zenithclass02/firebolt1.dbr,</v>
      </c>
      <c r="G55" s="7">
        <f t="shared" si="10"/>
        <v>53</v>
      </c>
      <c r="H55" s="8" t="str">
        <f t="shared" si="11"/>
        <v>Elementalist</v>
      </c>
      <c r="I55" s="3" t="s">
        <v>200</v>
      </c>
      <c r="J55" s="8" t="str">
        <f t="shared" si="23"/>
        <v>class0012</v>
      </c>
      <c r="K55" s="8" t="str">
        <f t="shared" si="23"/>
        <v>dailoneskill0012</v>
      </c>
      <c r="L55" s="5" t="str">
        <f t="shared" si="4"/>
        <v>lootName53,DAIL/items/materia/class0012/Elementalist53.dbr,</v>
      </c>
      <c r="M55" s="5" t="str">
        <f t="shared" si="5"/>
        <v>lootWeight53,1,</v>
      </c>
      <c r="N55" t="str">
        <f t="shared" si="6"/>
        <v>5</v>
      </c>
      <c r="O55" t="str">
        <f t="shared" si="16"/>
        <v>copy .\dail_base3.dbr .\items\materia\class0012\Elementalist53.dbr /y</v>
      </c>
      <c r="P55" t="str">
        <f t="shared" si="7"/>
        <v>echo relicBitmap,items/craftingparts/components/component_a52_bristlyfur_b.tex, &gt;&gt; .\items\materia\class0012\Elementalist53.dbr</v>
      </c>
      <c r="Q55" t="str">
        <f t="shared" si="7"/>
        <v>echo itemCost,500000, &gt;&gt; .\items\materia\class0012\Elementalist53.dbr</v>
      </c>
      <c r="R55" t="str">
        <f t="shared" si="7"/>
        <v>echo description,dailCompDescElementalist53, &gt;&gt; .\items\materia\class0012\Elementalist53.dbr</v>
      </c>
      <c r="S55" t="str">
        <f t="shared" si="7"/>
        <v>echo itemText,dailCompTextElementalist53, &gt;&gt; .\items\materia\class0012\Elementalist53.dbr</v>
      </c>
      <c r="T55" t="str">
        <f t="shared" si="7"/>
        <v>echo augmentSkillLevel1,5, &gt;&gt; .\items\materia\class0012\Elementalist53.dbr</v>
      </c>
      <c r="U55" t="str">
        <f t="shared" si="7"/>
        <v>echo augmentSkillName1,records/skills/zenithclass02/firebolt1.dbr, &gt;&gt; .\items\materia\class0012\Elementalist53.dbr</v>
      </c>
      <c r="V55" s="5" t="s">
        <v>36</v>
      </c>
      <c r="W55" t="str">
        <f t="shared" si="8"/>
        <v>echo lootName53,DAIL/items/materia/class0012/Elementalist53.dbr, &gt;&gt; .\items\loottables\dailoneskill0012.dbr</v>
      </c>
      <c r="X55" t="str">
        <f t="shared" si="8"/>
        <v>echo lootWeight53,1, &gt;&gt; .\items\loottables\dailoneskill0012.dbr</v>
      </c>
      <c r="Y55" s="5" t="s">
        <v>36</v>
      </c>
      <c r="Z55" t="str">
        <f t="shared" si="9"/>
        <v xml:space="preserve"> dailCompDescElementalist53=^pElementalist's Gift of DAIL</v>
      </c>
      <c r="AA55" t="str">
        <f t="shared" si="17"/>
        <v>dailCompTextElementalist53=^oThis feels warm to the touch, almost familiar ^w(This component only fits into the Medal Slot)</v>
      </c>
      <c r="AB55" s="5" t="s">
        <v>36</v>
      </c>
      <c r="AH55">
        <f t="shared" si="19"/>
        <v>50</v>
      </c>
      <c r="AI55">
        <f t="shared" si="22"/>
        <v>28</v>
      </c>
      <c r="AJ55">
        <f t="shared" si="18"/>
        <v>5</v>
      </c>
    </row>
    <row r="56" spans="1:36" x14ac:dyDescent="0.25">
      <c r="A56" s="5" t="s">
        <v>39</v>
      </c>
      <c r="B56" s="5" t="s">
        <v>30</v>
      </c>
      <c r="C56" s="5" t="str">
        <f t="shared" si="0"/>
        <v>description,dailCompDescElementalist54,</v>
      </c>
      <c r="D56" s="5" t="str">
        <f t="shared" si="2"/>
        <v>itemText,dailCompTextElementalist54,</v>
      </c>
      <c r="E56" s="5" t="str">
        <f t="shared" si="14"/>
        <v>augmentSkillLevel1,5,</v>
      </c>
      <c r="F56" s="5" t="str">
        <f t="shared" si="15"/>
        <v>augmentSkillName1,records/skills/zenithclass02/firebolt2.dbr,</v>
      </c>
      <c r="G56" s="7">
        <f t="shared" si="10"/>
        <v>54</v>
      </c>
      <c r="H56" s="8" t="str">
        <f t="shared" si="11"/>
        <v>Elementalist</v>
      </c>
      <c r="I56" s="3" t="s">
        <v>434</v>
      </c>
      <c r="J56" s="8" t="str">
        <f t="shared" si="23"/>
        <v>class0012</v>
      </c>
      <c r="K56" s="8" t="str">
        <f t="shared" si="23"/>
        <v>dailoneskill0012</v>
      </c>
      <c r="L56" s="5" t="str">
        <f t="shared" si="4"/>
        <v>lootName54,DAIL/items/materia/class0012/Elementalist54.dbr,</v>
      </c>
      <c r="M56" s="5" t="str">
        <f t="shared" si="5"/>
        <v>lootWeight54,1,</v>
      </c>
      <c r="N56" t="str">
        <f t="shared" si="6"/>
        <v>5</v>
      </c>
      <c r="O56" t="str">
        <f t="shared" si="16"/>
        <v>copy .\dail_base3.dbr .\items\materia\class0012\Elementalist54.dbr /y</v>
      </c>
      <c r="P56" t="str">
        <f t="shared" si="7"/>
        <v>echo relicBitmap,items/craftingparts/components/component_a52_bristlyfur_b.tex, &gt;&gt; .\items\materia\class0012\Elementalist54.dbr</v>
      </c>
      <c r="Q56" t="str">
        <f t="shared" si="7"/>
        <v>echo itemCost,500000, &gt;&gt; .\items\materia\class0012\Elementalist54.dbr</v>
      </c>
      <c r="R56" t="str">
        <f t="shared" si="7"/>
        <v>echo description,dailCompDescElementalist54, &gt;&gt; .\items\materia\class0012\Elementalist54.dbr</v>
      </c>
      <c r="S56" t="str">
        <f t="shared" si="7"/>
        <v>echo itemText,dailCompTextElementalist54, &gt;&gt; .\items\materia\class0012\Elementalist54.dbr</v>
      </c>
      <c r="T56" t="str">
        <f t="shared" si="7"/>
        <v>echo augmentSkillLevel1,5, &gt;&gt; .\items\materia\class0012\Elementalist54.dbr</v>
      </c>
      <c r="U56" t="str">
        <f t="shared" si="7"/>
        <v>echo augmentSkillName1,records/skills/zenithclass02/firebolt2.dbr, &gt;&gt; .\items\materia\class0012\Elementalist54.dbr</v>
      </c>
      <c r="V56" s="5" t="s">
        <v>36</v>
      </c>
      <c r="W56" t="str">
        <f t="shared" si="8"/>
        <v>echo lootName54,DAIL/items/materia/class0012/Elementalist54.dbr, &gt;&gt; .\items\loottables\dailoneskill0012.dbr</v>
      </c>
      <c r="X56" t="str">
        <f t="shared" si="8"/>
        <v>echo lootWeight54,1, &gt;&gt; .\items\loottables\dailoneskill0012.dbr</v>
      </c>
      <c r="Y56" s="5" t="s">
        <v>36</v>
      </c>
      <c r="Z56" t="str">
        <f t="shared" si="9"/>
        <v xml:space="preserve"> dailCompDescElementalist54=^pElementalist's Gift of DAIL</v>
      </c>
      <c r="AA56" t="str">
        <f t="shared" si="17"/>
        <v>dailCompTextElementalist54=^oThis feels warm to the touch, almost familiar ^w(This component only fits into the Medal Slot)</v>
      </c>
      <c r="AB56" s="5" t="s">
        <v>36</v>
      </c>
      <c r="AH56">
        <f t="shared" si="19"/>
        <v>51</v>
      </c>
      <c r="AI56">
        <f t="shared" si="22"/>
        <v>28</v>
      </c>
      <c r="AJ56">
        <f t="shared" si="18"/>
        <v>5</v>
      </c>
    </row>
    <row r="57" spans="1:36" x14ac:dyDescent="0.25">
      <c r="A57" s="5" t="s">
        <v>39</v>
      </c>
      <c r="B57" s="5" t="s">
        <v>30</v>
      </c>
      <c r="C57" s="5" t="str">
        <f t="shared" si="0"/>
        <v>description,dailCompDescElementalist55,</v>
      </c>
      <c r="D57" s="5" t="str">
        <f t="shared" si="2"/>
        <v>itemText,dailCompTextElementalist55,</v>
      </c>
      <c r="E57" s="5" t="str">
        <f t="shared" si="14"/>
        <v>augmentSkillLevel1,5,</v>
      </c>
      <c r="F57" s="5" t="str">
        <f t="shared" si="15"/>
        <v>augmentSkillName1,records/skills/zenithclass02/firebolt3.dbr,</v>
      </c>
      <c r="G57" s="7">
        <f t="shared" si="10"/>
        <v>55</v>
      </c>
      <c r="H57" s="8" t="str">
        <f t="shared" si="11"/>
        <v>Elementalist</v>
      </c>
      <c r="I57" s="3" t="s">
        <v>435</v>
      </c>
      <c r="J57" s="8" t="str">
        <f t="shared" si="23"/>
        <v>class0012</v>
      </c>
      <c r="K57" s="8" t="str">
        <f t="shared" si="23"/>
        <v>dailoneskill0012</v>
      </c>
      <c r="L57" s="5" t="str">
        <f t="shared" si="4"/>
        <v>lootName55,DAIL/items/materia/class0012/Elementalist55.dbr,</v>
      </c>
      <c r="M57" s="5" t="str">
        <f t="shared" si="5"/>
        <v>lootWeight55,1,</v>
      </c>
      <c r="N57" t="str">
        <f t="shared" si="6"/>
        <v>5</v>
      </c>
      <c r="O57" t="str">
        <f t="shared" si="16"/>
        <v>copy .\dail_base3.dbr .\items\materia\class0012\Elementalist55.dbr /y</v>
      </c>
      <c r="P57" t="str">
        <f t="shared" si="7"/>
        <v>echo relicBitmap,items/craftingparts/components/component_a52_bristlyfur_b.tex, &gt;&gt; .\items\materia\class0012\Elementalist55.dbr</v>
      </c>
      <c r="Q57" t="str">
        <f t="shared" si="7"/>
        <v>echo itemCost,500000, &gt;&gt; .\items\materia\class0012\Elementalist55.dbr</v>
      </c>
      <c r="R57" t="str">
        <f t="shared" si="7"/>
        <v>echo description,dailCompDescElementalist55, &gt;&gt; .\items\materia\class0012\Elementalist55.dbr</v>
      </c>
      <c r="S57" t="str">
        <f t="shared" si="7"/>
        <v>echo itemText,dailCompTextElementalist55, &gt;&gt; .\items\materia\class0012\Elementalist55.dbr</v>
      </c>
      <c r="T57" t="str">
        <f t="shared" si="7"/>
        <v>echo augmentSkillLevel1,5, &gt;&gt; .\items\materia\class0012\Elementalist55.dbr</v>
      </c>
      <c r="U57" t="str">
        <f t="shared" si="7"/>
        <v>echo augmentSkillName1,records/skills/zenithclass02/firebolt3.dbr, &gt;&gt; .\items\materia\class0012\Elementalist55.dbr</v>
      </c>
      <c r="V57" s="5" t="s">
        <v>36</v>
      </c>
      <c r="W57" t="str">
        <f t="shared" si="8"/>
        <v>echo lootName55,DAIL/items/materia/class0012/Elementalist55.dbr, &gt;&gt; .\items\loottables\dailoneskill0012.dbr</v>
      </c>
      <c r="X57" t="str">
        <f t="shared" si="8"/>
        <v>echo lootWeight55,1, &gt;&gt; .\items\loottables\dailoneskill0012.dbr</v>
      </c>
      <c r="Y57" s="5" t="s">
        <v>36</v>
      </c>
      <c r="Z57" t="str">
        <f t="shared" si="9"/>
        <v xml:space="preserve"> dailCompDescElementalist55=^pElementalist's Gift of DAIL</v>
      </c>
      <c r="AA57" t="str">
        <f t="shared" si="17"/>
        <v>dailCompTextElementalist55=^oThis feels warm to the touch, almost familiar ^w(This component only fits into the Medal Slot)</v>
      </c>
      <c r="AB57" s="5" t="s">
        <v>36</v>
      </c>
      <c r="AH57">
        <f t="shared" si="19"/>
        <v>52</v>
      </c>
      <c r="AI57">
        <f t="shared" si="22"/>
        <v>28</v>
      </c>
      <c r="AJ57">
        <f t="shared" si="18"/>
        <v>5</v>
      </c>
    </row>
    <row r="58" spans="1:36" x14ac:dyDescent="0.25">
      <c r="A58" s="5" t="s">
        <v>39</v>
      </c>
      <c r="B58" s="5" t="s">
        <v>30</v>
      </c>
      <c r="C58" s="5" t="str">
        <f t="shared" si="0"/>
        <v>description,dailCompDescElementalist56,</v>
      </c>
      <c r="D58" s="5" t="str">
        <f t="shared" si="2"/>
        <v>itemText,dailCompTextElementalist56,</v>
      </c>
      <c r="E58" s="5" t="str">
        <f t="shared" si="14"/>
        <v>augmentSkillLevel1,5,</v>
      </c>
      <c r="F58" s="5" t="str">
        <f t="shared" si="15"/>
        <v>augmentSkillName1,records/skills/zenithclass02/chainlightning1.dbr,</v>
      </c>
      <c r="G58" s="7">
        <f t="shared" si="10"/>
        <v>56</v>
      </c>
      <c r="H58" s="8" t="str">
        <f t="shared" si="11"/>
        <v>Elementalist</v>
      </c>
      <c r="I58" s="3" t="s">
        <v>197</v>
      </c>
      <c r="J58" s="8" t="str">
        <f t="shared" si="23"/>
        <v>class0012</v>
      </c>
      <c r="K58" s="8" t="str">
        <f t="shared" si="23"/>
        <v>dailoneskill0012</v>
      </c>
      <c r="L58" s="5" t="str">
        <f t="shared" si="4"/>
        <v>lootName56,DAIL/items/materia/class0012/Elementalist56.dbr,</v>
      </c>
      <c r="M58" s="5" t="str">
        <f t="shared" si="5"/>
        <v>lootWeight56,1,</v>
      </c>
      <c r="N58" t="str">
        <f t="shared" si="6"/>
        <v>5</v>
      </c>
      <c r="O58" t="str">
        <f t="shared" si="16"/>
        <v>copy .\dail_base3.dbr .\items\materia\class0012\Elementalist56.dbr /y</v>
      </c>
      <c r="P58" t="str">
        <f t="shared" si="7"/>
        <v>echo relicBitmap,items/craftingparts/components/component_a52_bristlyfur_b.tex, &gt;&gt; .\items\materia\class0012\Elementalist56.dbr</v>
      </c>
      <c r="Q58" t="str">
        <f t="shared" si="7"/>
        <v>echo itemCost,500000, &gt;&gt; .\items\materia\class0012\Elementalist56.dbr</v>
      </c>
      <c r="R58" t="str">
        <f t="shared" si="7"/>
        <v>echo description,dailCompDescElementalist56, &gt;&gt; .\items\materia\class0012\Elementalist56.dbr</v>
      </c>
      <c r="S58" t="str">
        <f t="shared" si="7"/>
        <v>echo itemText,dailCompTextElementalist56, &gt;&gt; .\items\materia\class0012\Elementalist56.dbr</v>
      </c>
      <c r="T58" t="str">
        <f t="shared" si="7"/>
        <v>echo augmentSkillLevel1,5, &gt;&gt; .\items\materia\class0012\Elementalist56.dbr</v>
      </c>
      <c r="U58" t="str">
        <f t="shared" si="7"/>
        <v>echo augmentSkillName1,records/skills/zenithclass02/chainlightning1.dbr, &gt;&gt; .\items\materia\class0012\Elementalist56.dbr</v>
      </c>
      <c r="V58" s="5" t="s">
        <v>36</v>
      </c>
      <c r="W58" t="str">
        <f t="shared" si="8"/>
        <v>echo lootName56,DAIL/items/materia/class0012/Elementalist56.dbr, &gt;&gt; .\items\loottables\dailoneskill0012.dbr</v>
      </c>
      <c r="X58" t="str">
        <f t="shared" si="8"/>
        <v>echo lootWeight56,1, &gt;&gt; .\items\loottables\dailoneskill0012.dbr</v>
      </c>
      <c r="Y58" s="5" t="s">
        <v>36</v>
      </c>
      <c r="Z58" t="str">
        <f t="shared" si="9"/>
        <v xml:space="preserve"> dailCompDescElementalist56=^pElementalist's Gift of DAIL</v>
      </c>
      <c r="AA58" t="str">
        <f t="shared" si="17"/>
        <v>dailCompTextElementalist56=^oThis feels warm to the touch, almost familiar ^w(This component only fits into the Medal Slot)</v>
      </c>
      <c r="AB58" s="5" t="s">
        <v>36</v>
      </c>
      <c r="AH58">
        <f t="shared" si="19"/>
        <v>53</v>
      </c>
      <c r="AI58">
        <f t="shared" si="22"/>
        <v>34</v>
      </c>
      <c r="AJ58">
        <f t="shared" si="18"/>
        <v>5</v>
      </c>
    </row>
    <row r="59" spans="1:36" x14ac:dyDescent="0.25">
      <c r="A59" s="5" t="s">
        <v>39</v>
      </c>
      <c r="B59" s="5" t="s">
        <v>30</v>
      </c>
      <c r="C59" s="5" t="str">
        <f t="shared" si="0"/>
        <v>description,dailCompDescElementalist57,</v>
      </c>
      <c r="D59" s="5" t="str">
        <f t="shared" si="2"/>
        <v>itemText,dailCompTextElementalist57,</v>
      </c>
      <c r="E59" s="5" t="str">
        <f t="shared" si="14"/>
        <v>augmentSkillLevel1,5,</v>
      </c>
      <c r="F59" s="5" t="str">
        <f t="shared" si="15"/>
        <v>augmentSkillName1,records/skills/zenithclass02/chainlightning2.dbr,</v>
      </c>
      <c r="G59" s="7">
        <f t="shared" si="10"/>
        <v>57</v>
      </c>
      <c r="H59" s="8" t="str">
        <f t="shared" si="11"/>
        <v>Elementalist</v>
      </c>
      <c r="I59" s="3" t="s">
        <v>436</v>
      </c>
      <c r="J59" s="8" t="str">
        <f t="shared" si="23"/>
        <v>class0012</v>
      </c>
      <c r="K59" s="8" t="str">
        <f t="shared" si="23"/>
        <v>dailoneskill0012</v>
      </c>
      <c r="L59" s="5" t="str">
        <f t="shared" si="4"/>
        <v>lootName57,DAIL/items/materia/class0012/Elementalist57.dbr,</v>
      </c>
      <c r="M59" s="5" t="str">
        <f t="shared" si="5"/>
        <v>lootWeight57,1,</v>
      </c>
      <c r="N59" t="str">
        <f t="shared" si="6"/>
        <v>5</v>
      </c>
      <c r="O59" t="str">
        <f t="shared" si="16"/>
        <v>copy .\dail_base3.dbr .\items\materia\class0012\Elementalist57.dbr /y</v>
      </c>
      <c r="P59" t="str">
        <f t="shared" ref="P59:U101" si="24">IF($I59&lt;&gt;"","echo "&amp;A59&amp;" &gt;&gt; .\items\materia\"&amp;$J59&amp;"\"&amp;$H59&amp;$G59&amp;".dbr","")</f>
        <v>echo relicBitmap,items/craftingparts/components/component_a52_bristlyfur_b.tex, &gt;&gt; .\items\materia\class0012\Elementalist57.dbr</v>
      </c>
      <c r="Q59" t="str">
        <f t="shared" si="24"/>
        <v>echo itemCost,500000, &gt;&gt; .\items\materia\class0012\Elementalist57.dbr</v>
      </c>
      <c r="R59" t="str">
        <f t="shared" si="24"/>
        <v>echo description,dailCompDescElementalist57, &gt;&gt; .\items\materia\class0012\Elementalist57.dbr</v>
      </c>
      <c r="S59" t="str">
        <f t="shared" si="24"/>
        <v>echo itemText,dailCompTextElementalist57, &gt;&gt; .\items\materia\class0012\Elementalist57.dbr</v>
      </c>
      <c r="T59" t="str">
        <f t="shared" si="24"/>
        <v>echo augmentSkillLevel1,5, &gt;&gt; .\items\materia\class0012\Elementalist57.dbr</v>
      </c>
      <c r="U59" t="str">
        <f t="shared" si="24"/>
        <v>echo augmentSkillName1,records/skills/zenithclass02/chainlightning2.dbr, &gt;&gt; .\items\materia\class0012\Elementalist57.dbr</v>
      </c>
      <c r="V59" s="5" t="s">
        <v>36</v>
      </c>
      <c r="W59" t="str">
        <f t="shared" si="8"/>
        <v>echo lootName57,DAIL/items/materia/class0012/Elementalist57.dbr, &gt;&gt; .\items\loottables\dailoneskill0012.dbr</v>
      </c>
      <c r="X59" t="str">
        <f t="shared" si="8"/>
        <v>echo lootWeight57,1, &gt;&gt; .\items\loottables\dailoneskill0012.dbr</v>
      </c>
      <c r="Y59" s="5" t="s">
        <v>36</v>
      </c>
      <c r="Z59" t="str">
        <f t="shared" si="9"/>
        <v xml:space="preserve"> dailCompDescElementalist57=^pElementalist's Gift of DAIL</v>
      </c>
      <c r="AA59" t="str">
        <f t="shared" si="17"/>
        <v>dailCompTextElementalist57=^oThis feels warm to the touch, almost familiar ^w(This component only fits into the Medal Slot)</v>
      </c>
      <c r="AB59" s="5" t="s">
        <v>36</v>
      </c>
      <c r="AH59">
        <f t="shared" si="19"/>
        <v>54</v>
      </c>
      <c r="AI59">
        <f t="shared" si="22"/>
        <v>34</v>
      </c>
      <c r="AJ59">
        <f t="shared" si="18"/>
        <v>5</v>
      </c>
    </row>
    <row r="60" spans="1:36" x14ac:dyDescent="0.25">
      <c r="A60" s="5" t="s">
        <v>39</v>
      </c>
      <c r="B60" s="5" t="s">
        <v>30</v>
      </c>
      <c r="C60" s="5" t="str">
        <f t="shared" si="0"/>
        <v>description,dailCompDescElementalist58,</v>
      </c>
      <c r="D60" s="5" t="str">
        <f t="shared" si="2"/>
        <v>itemText,dailCompTextElementalist58,</v>
      </c>
      <c r="E60" s="5" t="str">
        <f t="shared" si="14"/>
        <v>augmentSkillLevel1,5,</v>
      </c>
      <c r="F60" s="5" t="str">
        <f t="shared" si="15"/>
        <v>augmentSkillName1,records/skills/zenithclass02/elementalarmor.dbr,</v>
      </c>
      <c r="G60" s="7">
        <f t="shared" si="10"/>
        <v>58</v>
      </c>
      <c r="H60" s="8" t="str">
        <f t="shared" si="11"/>
        <v>Elementalist</v>
      </c>
      <c r="I60" s="3" t="s">
        <v>198</v>
      </c>
      <c r="J60" s="8" t="str">
        <f t="shared" si="23"/>
        <v>class0012</v>
      </c>
      <c r="K60" s="8" t="str">
        <f t="shared" si="23"/>
        <v>dailoneskill0012</v>
      </c>
      <c r="L60" s="5" t="str">
        <f t="shared" si="4"/>
        <v>lootName58,DAIL/items/materia/class0012/Elementalist58.dbr,</v>
      </c>
      <c r="M60" s="5" t="str">
        <f t="shared" si="5"/>
        <v>lootWeight58,1,</v>
      </c>
      <c r="N60" t="str">
        <f t="shared" si="6"/>
        <v>5</v>
      </c>
      <c r="O60" t="str">
        <f t="shared" si="16"/>
        <v>copy .\dail_base3.dbr .\items\materia\class0012\Elementalist58.dbr /y</v>
      </c>
      <c r="P60" t="str">
        <f t="shared" si="24"/>
        <v>echo relicBitmap,items/craftingparts/components/component_a52_bristlyfur_b.tex, &gt;&gt; .\items\materia\class0012\Elementalist58.dbr</v>
      </c>
      <c r="Q60" t="str">
        <f t="shared" si="24"/>
        <v>echo itemCost,500000, &gt;&gt; .\items\materia\class0012\Elementalist58.dbr</v>
      </c>
      <c r="R60" t="str">
        <f t="shared" si="24"/>
        <v>echo description,dailCompDescElementalist58, &gt;&gt; .\items\materia\class0012\Elementalist58.dbr</v>
      </c>
      <c r="S60" t="str">
        <f t="shared" si="24"/>
        <v>echo itemText,dailCompTextElementalist58, &gt;&gt; .\items\materia\class0012\Elementalist58.dbr</v>
      </c>
      <c r="T60" t="str">
        <f t="shared" si="24"/>
        <v>echo augmentSkillLevel1,5, &gt;&gt; .\items\materia\class0012\Elementalist58.dbr</v>
      </c>
      <c r="U60" t="str">
        <f t="shared" si="24"/>
        <v>echo augmentSkillName1,records/skills/zenithclass02/elementalarmor.dbr, &gt;&gt; .\items\materia\class0012\Elementalist58.dbr</v>
      </c>
      <c r="V60" s="5" t="s">
        <v>36</v>
      </c>
      <c r="W60" t="str">
        <f t="shared" si="8"/>
        <v>echo lootName58,DAIL/items/materia/class0012/Elementalist58.dbr, &gt;&gt; .\items\loottables\dailoneskill0012.dbr</v>
      </c>
      <c r="X60" t="str">
        <f t="shared" si="8"/>
        <v>echo lootWeight58,1, &gt;&gt; .\items\loottables\dailoneskill0012.dbr</v>
      </c>
      <c r="Y60" s="5" t="s">
        <v>36</v>
      </c>
      <c r="Z60" t="str">
        <f t="shared" si="9"/>
        <v xml:space="preserve"> dailCompDescElementalist58=^pElementalist's Gift of DAIL</v>
      </c>
      <c r="AA60" t="str">
        <f t="shared" si="17"/>
        <v>dailCompTextElementalist58=^oThis feels warm to the touch, almost familiar ^w(This component only fits into the Medal Slot)</v>
      </c>
      <c r="AB60" s="5" t="s">
        <v>36</v>
      </c>
      <c r="AH60">
        <f t="shared" si="19"/>
        <v>55</v>
      </c>
      <c r="AI60">
        <f t="shared" si="22"/>
        <v>33</v>
      </c>
      <c r="AJ60">
        <f t="shared" si="18"/>
        <v>5</v>
      </c>
    </row>
    <row r="61" spans="1:36" x14ac:dyDescent="0.25">
      <c r="A61" s="5" t="s">
        <v>39</v>
      </c>
      <c r="B61" s="5" t="s">
        <v>30</v>
      </c>
      <c r="C61" s="5" t="str">
        <f t="shared" si="0"/>
        <v>description,dailCompDescElementalist59,</v>
      </c>
      <c r="D61" s="5" t="str">
        <f t="shared" si="2"/>
        <v>itemText,dailCompTextElementalist59,</v>
      </c>
      <c r="E61" s="5" t="str">
        <f t="shared" si="14"/>
        <v>augmentSkillLevel1,5,</v>
      </c>
      <c r="F61" s="5" t="str">
        <f t="shared" si="15"/>
        <v>augmentSkillName1,records/skills/zenithclass02/stormrider1.dbr,</v>
      </c>
      <c r="G61" s="7">
        <f t="shared" si="10"/>
        <v>59</v>
      </c>
      <c r="H61" s="8" t="str">
        <f t="shared" si="11"/>
        <v>Elementalist</v>
      </c>
      <c r="I61" s="3" t="s">
        <v>210</v>
      </c>
      <c r="J61" s="8" t="str">
        <f t="shared" si="23"/>
        <v>class0012</v>
      </c>
      <c r="K61" s="8" t="str">
        <f t="shared" si="23"/>
        <v>dailoneskill0012</v>
      </c>
      <c r="L61" s="5" t="str">
        <f t="shared" si="4"/>
        <v>lootName59,DAIL/items/materia/class0012/Elementalist59.dbr,</v>
      </c>
      <c r="M61" s="5" t="str">
        <f t="shared" si="5"/>
        <v>lootWeight59,1,</v>
      </c>
      <c r="N61" t="str">
        <f t="shared" si="6"/>
        <v>5</v>
      </c>
      <c r="O61" t="str">
        <f t="shared" si="16"/>
        <v>copy .\dail_base3.dbr .\items\materia\class0012\Elementalist59.dbr /y</v>
      </c>
      <c r="P61" t="str">
        <f t="shared" si="24"/>
        <v>echo relicBitmap,items/craftingparts/components/component_a52_bristlyfur_b.tex, &gt;&gt; .\items\materia\class0012\Elementalist59.dbr</v>
      </c>
      <c r="Q61" t="str">
        <f t="shared" si="24"/>
        <v>echo itemCost,500000, &gt;&gt; .\items\materia\class0012\Elementalist59.dbr</v>
      </c>
      <c r="R61" t="str">
        <f t="shared" si="24"/>
        <v>echo description,dailCompDescElementalist59, &gt;&gt; .\items\materia\class0012\Elementalist59.dbr</v>
      </c>
      <c r="S61" t="str">
        <f t="shared" si="24"/>
        <v>echo itemText,dailCompTextElementalist59, &gt;&gt; .\items\materia\class0012\Elementalist59.dbr</v>
      </c>
      <c r="T61" t="str">
        <f t="shared" si="24"/>
        <v>echo augmentSkillLevel1,5, &gt;&gt; .\items\materia\class0012\Elementalist59.dbr</v>
      </c>
      <c r="U61" t="str">
        <f t="shared" si="24"/>
        <v>echo augmentSkillName1,records/skills/zenithclass02/stormrider1.dbr, &gt;&gt; .\items\materia\class0012\Elementalist59.dbr</v>
      </c>
      <c r="V61" s="5" t="s">
        <v>36</v>
      </c>
      <c r="W61" t="str">
        <f t="shared" si="8"/>
        <v>echo lootName59,DAIL/items/materia/class0012/Elementalist59.dbr, &gt;&gt; .\items\loottables\dailoneskill0012.dbr</v>
      </c>
      <c r="X61" t="str">
        <f t="shared" si="8"/>
        <v>echo lootWeight59,1, &gt;&gt; .\items\loottables\dailoneskill0012.dbr</v>
      </c>
      <c r="Y61" s="5" t="s">
        <v>36</v>
      </c>
      <c r="Z61" t="str">
        <f t="shared" si="9"/>
        <v xml:space="preserve"> dailCompDescElementalist59=^pElementalist's Gift of DAIL</v>
      </c>
      <c r="AA61" t="str">
        <f t="shared" si="17"/>
        <v>dailCompTextElementalist59=^oThis feels warm to the touch, almost familiar ^w(This component only fits into the Medal Slot)</v>
      </c>
      <c r="AB61" s="5" t="s">
        <v>36</v>
      </c>
      <c r="AH61">
        <f t="shared" si="19"/>
        <v>56</v>
      </c>
      <c r="AI61">
        <f t="shared" si="22"/>
        <v>30</v>
      </c>
      <c r="AJ61">
        <f t="shared" si="18"/>
        <v>5</v>
      </c>
    </row>
    <row r="62" spans="1:36" x14ac:dyDescent="0.25">
      <c r="A62" s="5" t="s">
        <v>39</v>
      </c>
      <c r="B62" s="5" t="s">
        <v>30</v>
      </c>
      <c r="C62" s="5" t="str">
        <f t="shared" si="0"/>
        <v>description,dailCompDescElementalist60,</v>
      </c>
      <c r="D62" s="5" t="str">
        <f t="shared" si="2"/>
        <v>itemText,dailCompTextElementalist60,</v>
      </c>
      <c r="E62" s="5" t="str">
        <f t="shared" si="14"/>
        <v>augmentSkillLevel1,5,</v>
      </c>
      <c r="F62" s="5" t="str">
        <f t="shared" si="15"/>
        <v>augmentSkillName1,records/skills/zenithclass02/iceray1.dbr,</v>
      </c>
      <c r="G62" s="7">
        <f t="shared" si="10"/>
        <v>60</v>
      </c>
      <c r="H62" s="8" t="str">
        <f t="shared" si="11"/>
        <v>Elementalist</v>
      </c>
      <c r="I62" s="3" t="s">
        <v>205</v>
      </c>
      <c r="J62" s="8" t="str">
        <f t="shared" si="23"/>
        <v>class0012</v>
      </c>
      <c r="K62" s="8" t="str">
        <f t="shared" si="23"/>
        <v>dailoneskill0012</v>
      </c>
      <c r="L62" s="5" t="str">
        <f t="shared" si="4"/>
        <v>lootName60,DAIL/items/materia/class0012/Elementalist60.dbr,</v>
      </c>
      <c r="M62" s="5" t="str">
        <f t="shared" si="5"/>
        <v>lootWeight60,1,</v>
      </c>
      <c r="N62" t="str">
        <f t="shared" si="6"/>
        <v>5</v>
      </c>
      <c r="O62" t="str">
        <f t="shared" si="16"/>
        <v>copy .\dail_base3.dbr .\items\materia\class0012\Elementalist60.dbr /y</v>
      </c>
      <c r="P62" t="str">
        <f t="shared" si="24"/>
        <v>echo relicBitmap,items/craftingparts/components/component_a52_bristlyfur_b.tex, &gt;&gt; .\items\materia\class0012\Elementalist60.dbr</v>
      </c>
      <c r="Q62" t="str">
        <f t="shared" si="24"/>
        <v>echo itemCost,500000, &gt;&gt; .\items\materia\class0012\Elementalist60.dbr</v>
      </c>
      <c r="R62" t="str">
        <f t="shared" si="24"/>
        <v>echo description,dailCompDescElementalist60, &gt;&gt; .\items\materia\class0012\Elementalist60.dbr</v>
      </c>
      <c r="S62" t="str">
        <f t="shared" si="24"/>
        <v>echo itemText,dailCompTextElementalist60, &gt;&gt; .\items\materia\class0012\Elementalist60.dbr</v>
      </c>
      <c r="T62" t="str">
        <f t="shared" si="24"/>
        <v>echo augmentSkillLevel1,5, &gt;&gt; .\items\materia\class0012\Elementalist60.dbr</v>
      </c>
      <c r="U62" t="str">
        <f t="shared" si="24"/>
        <v>echo augmentSkillName1,records/skills/zenithclass02/iceray1.dbr, &gt;&gt; .\items\materia\class0012\Elementalist60.dbr</v>
      </c>
      <c r="V62" s="5" t="s">
        <v>36</v>
      </c>
      <c r="W62" t="str">
        <f t="shared" si="8"/>
        <v>echo lootName60,DAIL/items/materia/class0012/Elementalist60.dbr, &gt;&gt; .\items\loottables\dailoneskill0012.dbr</v>
      </c>
      <c r="X62" t="str">
        <f t="shared" si="8"/>
        <v>echo lootWeight60,1, &gt;&gt; .\items\loottables\dailoneskill0012.dbr</v>
      </c>
      <c r="Y62" s="5" t="s">
        <v>36</v>
      </c>
      <c r="Z62" t="str">
        <f t="shared" si="9"/>
        <v xml:space="preserve"> dailCompDescElementalist60=^pElementalist's Gift of DAIL</v>
      </c>
      <c r="AA62" t="str">
        <f t="shared" si="17"/>
        <v>dailCompTextElementalist60=^oThis feels warm to the touch, almost familiar ^w(This component only fits into the Medal Slot)</v>
      </c>
      <c r="AB62" s="5" t="s">
        <v>36</v>
      </c>
      <c r="AH62">
        <f t="shared" si="19"/>
        <v>57</v>
      </c>
      <c r="AI62">
        <f t="shared" si="22"/>
        <v>26</v>
      </c>
      <c r="AJ62">
        <f t="shared" si="18"/>
        <v>5</v>
      </c>
    </row>
    <row r="63" spans="1:36" x14ac:dyDescent="0.25">
      <c r="A63" s="5" t="s">
        <v>39</v>
      </c>
      <c r="B63" s="5" t="s">
        <v>30</v>
      </c>
      <c r="C63" s="5" t="str">
        <f t="shared" si="0"/>
        <v>description,dailCompDescElementalist61,</v>
      </c>
      <c r="D63" s="5" t="str">
        <f t="shared" si="2"/>
        <v>itemText,dailCompTextElementalist61,</v>
      </c>
      <c r="E63" s="5" t="str">
        <f t="shared" si="14"/>
        <v>augmentSkillLevel1,5,</v>
      </c>
      <c r="F63" s="5" t="str">
        <f t="shared" si="15"/>
        <v>augmentSkillName1,records/skills/zenithclass02/iceray2.dbr,</v>
      </c>
      <c r="G63" s="7">
        <f t="shared" si="10"/>
        <v>61</v>
      </c>
      <c r="H63" s="8" t="str">
        <f t="shared" si="11"/>
        <v>Elementalist</v>
      </c>
      <c r="I63" s="3" t="s">
        <v>437</v>
      </c>
      <c r="J63" s="8" t="str">
        <f t="shared" si="23"/>
        <v>class0012</v>
      </c>
      <c r="K63" s="8" t="str">
        <f t="shared" si="23"/>
        <v>dailoneskill0012</v>
      </c>
      <c r="L63" s="5" t="str">
        <f t="shared" si="4"/>
        <v>lootName61,DAIL/items/materia/class0012/Elementalist61.dbr,</v>
      </c>
      <c r="M63" s="5" t="str">
        <f t="shared" si="5"/>
        <v>lootWeight61,1,</v>
      </c>
      <c r="N63" t="str">
        <f t="shared" si="6"/>
        <v>5</v>
      </c>
      <c r="O63" t="str">
        <f t="shared" si="16"/>
        <v>copy .\dail_base3.dbr .\items\materia\class0012\Elementalist61.dbr /y</v>
      </c>
      <c r="P63" t="str">
        <f t="shared" si="24"/>
        <v>echo relicBitmap,items/craftingparts/components/component_a52_bristlyfur_b.tex, &gt;&gt; .\items\materia\class0012\Elementalist61.dbr</v>
      </c>
      <c r="Q63" t="str">
        <f t="shared" si="24"/>
        <v>echo itemCost,500000, &gt;&gt; .\items\materia\class0012\Elementalist61.dbr</v>
      </c>
      <c r="R63" t="str">
        <f t="shared" si="24"/>
        <v>echo description,dailCompDescElementalist61, &gt;&gt; .\items\materia\class0012\Elementalist61.dbr</v>
      </c>
      <c r="S63" t="str">
        <f t="shared" si="24"/>
        <v>echo itemText,dailCompTextElementalist61, &gt;&gt; .\items\materia\class0012\Elementalist61.dbr</v>
      </c>
      <c r="T63" t="str">
        <f t="shared" si="24"/>
        <v>echo augmentSkillLevel1,5, &gt;&gt; .\items\materia\class0012\Elementalist61.dbr</v>
      </c>
      <c r="U63" t="str">
        <f t="shared" si="24"/>
        <v>echo augmentSkillName1,records/skills/zenithclass02/iceray2.dbr, &gt;&gt; .\items\materia\class0012\Elementalist61.dbr</v>
      </c>
      <c r="V63" s="5" t="s">
        <v>36</v>
      </c>
      <c r="W63" t="str">
        <f t="shared" si="8"/>
        <v>echo lootName61,DAIL/items/materia/class0012/Elementalist61.dbr, &gt;&gt; .\items\loottables\dailoneskill0012.dbr</v>
      </c>
      <c r="X63" t="str">
        <f t="shared" si="8"/>
        <v>echo lootWeight61,1, &gt;&gt; .\items\loottables\dailoneskill0012.dbr</v>
      </c>
      <c r="Y63" s="5" t="s">
        <v>36</v>
      </c>
      <c r="Z63" t="str">
        <f t="shared" si="9"/>
        <v xml:space="preserve"> dailCompDescElementalist61=^pElementalist's Gift of DAIL</v>
      </c>
      <c r="AA63" t="str">
        <f t="shared" si="17"/>
        <v>dailCompTextElementalist61=^oThis feels warm to the touch, almost familiar ^w(This component only fits into the Medal Slot)</v>
      </c>
      <c r="AB63" s="5" t="s">
        <v>36</v>
      </c>
      <c r="AH63">
        <f t="shared" si="19"/>
        <v>58</v>
      </c>
      <c r="AI63">
        <f t="shared" si="22"/>
        <v>26</v>
      </c>
      <c r="AJ63">
        <f t="shared" si="18"/>
        <v>5</v>
      </c>
    </row>
    <row r="64" spans="1:36" x14ac:dyDescent="0.25">
      <c r="A64" s="5" t="s">
        <v>39</v>
      </c>
      <c r="B64" s="5" t="s">
        <v>30</v>
      </c>
      <c r="C64" s="5" t="str">
        <f t="shared" si="0"/>
        <v>description,dailCompDescElementalist62,</v>
      </c>
      <c r="D64" s="5" t="str">
        <f t="shared" si="2"/>
        <v>itemText,dailCompTextElementalist62,</v>
      </c>
      <c r="E64" s="5" t="str">
        <f t="shared" si="14"/>
        <v>augmentSkillLevel1,5,</v>
      </c>
      <c r="F64" s="5" t="str">
        <f t="shared" si="15"/>
        <v>augmentSkillName1,records/skills/zenithclass02/frostarmor.dbr,</v>
      </c>
      <c r="G64" s="7">
        <f t="shared" si="10"/>
        <v>62</v>
      </c>
      <c r="H64" s="8" t="str">
        <f t="shared" si="11"/>
        <v>Elementalist</v>
      </c>
      <c r="I64" s="3" t="s">
        <v>203</v>
      </c>
      <c r="J64" s="8" t="str">
        <f t="shared" si="23"/>
        <v>class0012</v>
      </c>
      <c r="K64" s="8" t="str">
        <f t="shared" si="23"/>
        <v>dailoneskill0012</v>
      </c>
      <c r="L64" s="5" t="str">
        <f t="shared" si="4"/>
        <v>lootName62,DAIL/items/materia/class0012/Elementalist62.dbr,</v>
      </c>
      <c r="M64" s="5" t="str">
        <f t="shared" si="5"/>
        <v>lootWeight62,1,</v>
      </c>
      <c r="N64" t="str">
        <f t="shared" si="6"/>
        <v>5</v>
      </c>
      <c r="O64" t="str">
        <f t="shared" si="16"/>
        <v>copy .\dail_base3.dbr .\items\materia\class0012\Elementalist62.dbr /y</v>
      </c>
      <c r="P64" t="str">
        <f t="shared" si="24"/>
        <v>echo relicBitmap,items/craftingparts/components/component_a52_bristlyfur_b.tex, &gt;&gt; .\items\materia\class0012\Elementalist62.dbr</v>
      </c>
      <c r="Q64" t="str">
        <f t="shared" si="24"/>
        <v>echo itemCost,500000, &gt;&gt; .\items\materia\class0012\Elementalist62.dbr</v>
      </c>
      <c r="R64" t="str">
        <f t="shared" si="24"/>
        <v>echo description,dailCompDescElementalist62, &gt;&gt; .\items\materia\class0012\Elementalist62.dbr</v>
      </c>
      <c r="S64" t="str">
        <f t="shared" si="24"/>
        <v>echo itemText,dailCompTextElementalist62, &gt;&gt; .\items\materia\class0012\Elementalist62.dbr</v>
      </c>
      <c r="T64" t="str">
        <f t="shared" si="24"/>
        <v>echo augmentSkillLevel1,5, &gt;&gt; .\items\materia\class0012\Elementalist62.dbr</v>
      </c>
      <c r="U64" t="str">
        <f t="shared" si="24"/>
        <v>echo augmentSkillName1,records/skills/zenithclass02/frostarmor.dbr, &gt;&gt; .\items\materia\class0012\Elementalist62.dbr</v>
      </c>
      <c r="V64" s="5" t="s">
        <v>36</v>
      </c>
      <c r="W64" t="str">
        <f t="shared" si="8"/>
        <v>echo lootName62,DAIL/items/materia/class0012/Elementalist62.dbr, &gt;&gt; .\items\loottables\dailoneskill0012.dbr</v>
      </c>
      <c r="X64" t="str">
        <f t="shared" si="8"/>
        <v>echo lootWeight62,1, &gt;&gt; .\items\loottables\dailoneskill0012.dbr</v>
      </c>
      <c r="Y64" s="5" t="s">
        <v>36</v>
      </c>
      <c r="Z64" t="str">
        <f t="shared" si="9"/>
        <v xml:space="preserve"> dailCompDescElementalist62=^pElementalist's Gift of DAIL</v>
      </c>
      <c r="AA64" t="str">
        <f t="shared" si="17"/>
        <v>dailCompTextElementalist62=^oThis feels warm to the touch, almost familiar ^w(This component only fits into the Medal Slot)</v>
      </c>
      <c r="AB64" s="5" t="s">
        <v>36</v>
      </c>
      <c r="AH64">
        <f t="shared" si="19"/>
        <v>59</v>
      </c>
      <c r="AI64">
        <f t="shared" si="22"/>
        <v>29</v>
      </c>
      <c r="AJ64">
        <f t="shared" si="18"/>
        <v>5</v>
      </c>
    </row>
    <row r="65" spans="1:36" x14ac:dyDescent="0.25">
      <c r="A65" s="5" t="s">
        <v>39</v>
      </c>
      <c r="B65" s="5" t="s">
        <v>30</v>
      </c>
      <c r="C65" s="5" t="str">
        <f t="shared" si="0"/>
        <v>description,dailCompDescElementalist63,</v>
      </c>
      <c r="D65" s="5" t="str">
        <f t="shared" si="2"/>
        <v>itemText,dailCompTextElementalist63,</v>
      </c>
      <c r="E65" s="5" t="str">
        <f t="shared" si="14"/>
        <v>augmentSkillLevel1,5,</v>
      </c>
      <c r="F65" s="5" t="str">
        <f t="shared" si="15"/>
        <v>augmentSkillName1,records/skills/zenithclass02/flameenchant.dbr,</v>
      </c>
      <c r="G65" s="7">
        <f t="shared" si="10"/>
        <v>63</v>
      </c>
      <c r="H65" s="8" t="str">
        <f t="shared" si="11"/>
        <v>Elementalist</v>
      </c>
      <c r="I65" s="3" t="s">
        <v>202</v>
      </c>
      <c r="J65" s="8" t="str">
        <f t="shared" si="23"/>
        <v>class0012</v>
      </c>
      <c r="K65" s="8" t="str">
        <f t="shared" si="23"/>
        <v>dailoneskill0012</v>
      </c>
      <c r="L65" s="5" t="str">
        <f t="shared" si="4"/>
        <v>lootName63,DAIL/items/materia/class0012/Elementalist63.dbr,</v>
      </c>
      <c r="M65" s="5" t="str">
        <f t="shared" si="5"/>
        <v>lootWeight63,1,</v>
      </c>
      <c r="N65" t="str">
        <f t="shared" si="6"/>
        <v>5</v>
      </c>
      <c r="O65" t="str">
        <f t="shared" si="16"/>
        <v>copy .\dail_base3.dbr .\items\materia\class0012\Elementalist63.dbr /y</v>
      </c>
      <c r="P65" t="str">
        <f t="shared" si="24"/>
        <v>echo relicBitmap,items/craftingparts/components/component_a52_bristlyfur_b.tex, &gt;&gt; .\items\materia\class0012\Elementalist63.dbr</v>
      </c>
      <c r="Q65" t="str">
        <f t="shared" si="24"/>
        <v>echo itemCost,500000, &gt;&gt; .\items\materia\class0012\Elementalist63.dbr</v>
      </c>
      <c r="R65" t="str">
        <f t="shared" si="24"/>
        <v>echo description,dailCompDescElementalist63, &gt;&gt; .\items\materia\class0012\Elementalist63.dbr</v>
      </c>
      <c r="S65" t="str">
        <f t="shared" si="24"/>
        <v>echo itemText,dailCompTextElementalist63, &gt;&gt; .\items\materia\class0012\Elementalist63.dbr</v>
      </c>
      <c r="T65" t="str">
        <f t="shared" si="24"/>
        <v>echo augmentSkillLevel1,5, &gt;&gt; .\items\materia\class0012\Elementalist63.dbr</v>
      </c>
      <c r="U65" t="str">
        <f t="shared" si="24"/>
        <v>echo augmentSkillName1,records/skills/zenithclass02/flameenchant.dbr, &gt;&gt; .\items\materia\class0012\Elementalist63.dbr</v>
      </c>
      <c r="V65" s="5" t="s">
        <v>36</v>
      </c>
      <c r="W65" t="str">
        <f t="shared" si="8"/>
        <v>echo lootName63,DAIL/items/materia/class0012/Elementalist63.dbr, &gt;&gt; .\items\loottables\dailoneskill0012.dbr</v>
      </c>
      <c r="X65" t="str">
        <f t="shared" si="8"/>
        <v>echo lootWeight63,1, &gt;&gt; .\items\loottables\dailoneskill0012.dbr</v>
      </c>
      <c r="Y65" s="5" t="s">
        <v>36</v>
      </c>
      <c r="Z65" t="str">
        <f t="shared" si="9"/>
        <v xml:space="preserve"> dailCompDescElementalist63=^pElementalist's Gift of DAIL</v>
      </c>
      <c r="AA65" t="str">
        <f t="shared" si="17"/>
        <v>dailCompTextElementalist63=^oThis feels warm to the touch, almost familiar ^w(This component only fits into the Medal Slot)</v>
      </c>
      <c r="AB65" s="5" t="s">
        <v>36</v>
      </c>
      <c r="AH65">
        <f t="shared" si="19"/>
        <v>60</v>
      </c>
      <c r="AI65">
        <f t="shared" si="22"/>
        <v>31</v>
      </c>
      <c r="AJ65">
        <f t="shared" si="18"/>
        <v>5</v>
      </c>
    </row>
    <row r="66" spans="1:36" x14ac:dyDescent="0.25">
      <c r="A66" s="5" t="s">
        <v>39</v>
      </c>
      <c r="B66" s="5" t="s">
        <v>30</v>
      </c>
      <c r="C66" s="5" t="str">
        <f t="shared" si="0"/>
        <v>description,dailCompDescElementalist64,</v>
      </c>
      <c r="D66" s="5" t="str">
        <f t="shared" si="2"/>
        <v>itemText,dailCompTextElementalist64,</v>
      </c>
      <c r="E66" s="5" t="str">
        <f t="shared" si="14"/>
        <v>augmentSkillLevel1,5,</v>
      </c>
      <c r="F66" s="5" t="str">
        <f t="shared" si="15"/>
        <v>augmentSkillName1,records/skills/zenithclass02/breathefire1.dbr,</v>
      </c>
      <c r="G66" s="7">
        <f t="shared" si="10"/>
        <v>64</v>
      </c>
      <c r="H66" s="8" t="str">
        <f t="shared" si="11"/>
        <v>Elementalist</v>
      </c>
      <c r="I66" s="3" t="s">
        <v>196</v>
      </c>
      <c r="J66" s="8" t="str">
        <f t="shared" si="23"/>
        <v>class0012</v>
      </c>
      <c r="K66" s="8" t="str">
        <f t="shared" si="23"/>
        <v>dailoneskill0012</v>
      </c>
      <c r="L66" s="5" t="str">
        <f t="shared" si="4"/>
        <v>lootName64,DAIL/items/materia/class0012/Elementalist64.dbr,</v>
      </c>
      <c r="M66" s="5" t="str">
        <f t="shared" si="5"/>
        <v>lootWeight64,1,</v>
      </c>
      <c r="N66" t="str">
        <f t="shared" si="6"/>
        <v>5</v>
      </c>
      <c r="O66" t="str">
        <f t="shared" si="16"/>
        <v>copy .\dail_base3.dbr .\items\materia\class0012\Elementalist64.dbr /y</v>
      </c>
      <c r="P66" t="str">
        <f t="shared" si="24"/>
        <v>echo relicBitmap,items/craftingparts/components/component_a52_bristlyfur_b.tex, &gt;&gt; .\items\materia\class0012\Elementalist64.dbr</v>
      </c>
      <c r="Q66" t="str">
        <f t="shared" si="24"/>
        <v>echo itemCost,500000, &gt;&gt; .\items\materia\class0012\Elementalist64.dbr</v>
      </c>
      <c r="R66" t="str">
        <f t="shared" si="24"/>
        <v>echo description,dailCompDescElementalist64, &gt;&gt; .\items\materia\class0012\Elementalist64.dbr</v>
      </c>
      <c r="S66" t="str">
        <f t="shared" si="24"/>
        <v>echo itemText,dailCompTextElementalist64, &gt;&gt; .\items\materia\class0012\Elementalist64.dbr</v>
      </c>
      <c r="T66" t="str">
        <f t="shared" si="24"/>
        <v>echo augmentSkillLevel1,5, &gt;&gt; .\items\materia\class0012\Elementalist64.dbr</v>
      </c>
      <c r="U66" t="str">
        <f t="shared" si="24"/>
        <v>echo augmentSkillName1,records/skills/zenithclass02/breathefire1.dbr, &gt;&gt; .\items\materia\class0012\Elementalist64.dbr</v>
      </c>
      <c r="V66" s="5" t="s">
        <v>36</v>
      </c>
      <c r="W66" t="str">
        <f t="shared" si="8"/>
        <v>echo lootName64,DAIL/items/materia/class0012/Elementalist64.dbr, &gt;&gt; .\items\loottables\dailoneskill0012.dbr</v>
      </c>
      <c r="X66" t="str">
        <f t="shared" si="8"/>
        <v>echo lootWeight64,1, &gt;&gt; .\items\loottables\dailoneskill0012.dbr</v>
      </c>
      <c r="Y66" s="5" t="s">
        <v>36</v>
      </c>
      <c r="Z66" t="str">
        <f t="shared" si="9"/>
        <v xml:space="preserve"> dailCompDescElementalist64=^pElementalist's Gift of DAIL</v>
      </c>
      <c r="AA66" t="str">
        <f t="shared" si="17"/>
        <v>dailCompTextElementalist64=^oThis feels warm to the touch, almost familiar ^w(This component only fits into the Medal Slot)</v>
      </c>
      <c r="AB66" s="5" t="s">
        <v>36</v>
      </c>
      <c r="AH66">
        <f t="shared" si="19"/>
        <v>61</v>
      </c>
      <c r="AI66">
        <f t="shared" si="22"/>
        <v>31</v>
      </c>
      <c r="AJ66">
        <f t="shared" si="18"/>
        <v>5</v>
      </c>
    </row>
    <row r="67" spans="1:36" x14ac:dyDescent="0.25">
      <c r="A67" s="5" t="s">
        <v>39</v>
      </c>
      <c r="B67" s="5" t="s">
        <v>30</v>
      </c>
      <c r="C67" s="5" t="str">
        <f t="shared" ref="C67:C102" si="25">"description,dailCompDesc"&amp;H67&amp;G67&amp;","</f>
        <v>description,dailCompDescElementalist65,</v>
      </c>
      <c r="D67" s="5" t="str">
        <f t="shared" si="2"/>
        <v>itemText,dailCompTextElementalist65,</v>
      </c>
      <c r="E67" s="5" t="str">
        <f t="shared" si="14"/>
        <v>augmentSkillLevel1,5,</v>
      </c>
      <c r="F67" s="5" t="str">
        <f t="shared" si="15"/>
        <v>augmentSkillName1,records/skills/zenithclass02/breathefire2.dbr,</v>
      </c>
      <c r="G67" s="7">
        <f t="shared" si="10"/>
        <v>65</v>
      </c>
      <c r="H67" s="8" t="str">
        <f t="shared" si="11"/>
        <v>Elementalist</v>
      </c>
      <c r="I67" s="3" t="s">
        <v>438</v>
      </c>
      <c r="J67" s="8" t="str">
        <f t="shared" si="23"/>
        <v>class0012</v>
      </c>
      <c r="K67" s="8" t="str">
        <f t="shared" si="23"/>
        <v>dailoneskill0012</v>
      </c>
      <c r="L67" s="5" t="str">
        <f t="shared" si="4"/>
        <v>lootName65,DAIL/items/materia/class0012/Elementalist65.dbr,</v>
      </c>
      <c r="M67" s="5" t="str">
        <f t="shared" si="5"/>
        <v>lootWeight65,1,</v>
      </c>
      <c r="N67" t="str">
        <f t="shared" si="6"/>
        <v>5</v>
      </c>
      <c r="O67" t="str">
        <f t="shared" si="16"/>
        <v>copy .\dail_base3.dbr .\items\materia\class0012\Elementalist65.dbr /y</v>
      </c>
      <c r="P67" t="str">
        <f t="shared" si="24"/>
        <v>echo relicBitmap,items/craftingparts/components/component_a52_bristlyfur_b.tex, &gt;&gt; .\items\materia\class0012\Elementalist65.dbr</v>
      </c>
      <c r="Q67" t="str">
        <f t="shared" si="24"/>
        <v>echo itemCost,500000, &gt;&gt; .\items\materia\class0012\Elementalist65.dbr</v>
      </c>
      <c r="R67" t="str">
        <f t="shared" si="24"/>
        <v>echo description,dailCompDescElementalist65, &gt;&gt; .\items\materia\class0012\Elementalist65.dbr</v>
      </c>
      <c r="S67" t="str">
        <f t="shared" si="24"/>
        <v>echo itemText,dailCompTextElementalist65, &gt;&gt; .\items\materia\class0012\Elementalist65.dbr</v>
      </c>
      <c r="T67" t="str">
        <f t="shared" si="24"/>
        <v>echo augmentSkillLevel1,5, &gt;&gt; .\items\materia\class0012\Elementalist65.dbr</v>
      </c>
      <c r="U67" t="str">
        <f t="shared" si="24"/>
        <v>echo augmentSkillName1,records/skills/zenithclass02/breathefire2.dbr, &gt;&gt; .\items\materia\class0012\Elementalist65.dbr</v>
      </c>
      <c r="V67" s="5" t="s">
        <v>36</v>
      </c>
      <c r="W67" t="str">
        <f t="shared" si="8"/>
        <v>echo lootName65,DAIL/items/materia/class0012/Elementalist65.dbr, &gt;&gt; .\items\loottables\dailoneskill0012.dbr</v>
      </c>
      <c r="X67" t="str">
        <f t="shared" si="8"/>
        <v>echo lootWeight65,1, &gt;&gt; .\items\loottables\dailoneskill0012.dbr</v>
      </c>
      <c r="Y67" s="5" t="s">
        <v>36</v>
      </c>
      <c r="Z67" t="str">
        <f t="shared" si="9"/>
        <v xml:space="preserve"> dailCompDescElementalist65=^pElementalist's Gift of DAIL</v>
      </c>
      <c r="AA67" t="str">
        <f t="shared" si="17"/>
        <v>dailCompTextElementalist65=^oThis feels warm to the touch, almost familiar ^w(This component only fits into the Medal Slot)</v>
      </c>
      <c r="AB67" s="5" t="s">
        <v>36</v>
      </c>
      <c r="AH67">
        <f t="shared" si="19"/>
        <v>62</v>
      </c>
      <c r="AI67">
        <f t="shared" si="22"/>
        <v>31</v>
      </c>
      <c r="AJ67">
        <f t="shared" si="18"/>
        <v>5</v>
      </c>
    </row>
    <row r="68" spans="1:36" x14ac:dyDescent="0.25">
      <c r="A68" s="5" t="s">
        <v>39</v>
      </c>
      <c r="B68" s="5" t="s">
        <v>30</v>
      </c>
      <c r="C68" s="5" t="str">
        <f t="shared" si="25"/>
        <v>description,dailCompDescElementalist66,</v>
      </c>
      <c r="D68" s="5" t="str">
        <f t="shared" ref="D68:D102" si="26">"itemText,dailCompText"&amp;H68&amp;G68&amp;","</f>
        <v>itemText,dailCompTextElementalist66,</v>
      </c>
      <c r="E68" s="5" t="str">
        <f t="shared" si="14"/>
        <v>augmentSkillLevel1,5,</v>
      </c>
      <c r="F68" s="5" t="str">
        <f t="shared" si="15"/>
        <v>augmentSkillName1,records/skills/zenithclass02/stormcaller1.dbr,</v>
      </c>
      <c r="G68" s="7">
        <f t="shared" si="10"/>
        <v>66</v>
      </c>
      <c r="H68" s="8" t="str">
        <f t="shared" si="11"/>
        <v>Elementalist</v>
      </c>
      <c r="I68" s="3" t="s">
        <v>209</v>
      </c>
      <c r="J68" s="8" t="str">
        <f t="shared" si="23"/>
        <v>class0012</v>
      </c>
      <c r="K68" s="8" t="str">
        <f t="shared" si="23"/>
        <v>dailoneskill0012</v>
      </c>
      <c r="L68" s="5" t="str">
        <f t="shared" ref="L68:L102" si="27">"lootName"&amp;G68&amp;",DAIL/items/materia/"&amp;J68&amp;"/"&amp;H68&amp;G68&amp;".dbr"&amp;","</f>
        <v>lootName66,DAIL/items/materia/class0012/Elementalist66.dbr,</v>
      </c>
      <c r="M68" s="5" t="str">
        <f t="shared" ref="M68:M102" si="28">"lootWeight"&amp;G68&amp;",1,"</f>
        <v>lootWeight66,1,</v>
      </c>
      <c r="N68" t="str">
        <f t="shared" ref="N68:N102" si="29">LEFT(RIGHT(E68,2),1)</f>
        <v>5</v>
      </c>
      <c r="O68" t="str">
        <f t="shared" si="16"/>
        <v>copy .\dail_base3.dbr .\items\materia\class0012\Elementalist66.dbr /y</v>
      </c>
      <c r="P68" t="str">
        <f t="shared" si="24"/>
        <v>echo relicBitmap,items/craftingparts/components/component_a52_bristlyfur_b.tex, &gt;&gt; .\items\materia\class0012\Elementalist66.dbr</v>
      </c>
      <c r="Q68" t="str">
        <f t="shared" si="24"/>
        <v>echo itemCost,500000, &gt;&gt; .\items\materia\class0012\Elementalist66.dbr</v>
      </c>
      <c r="R68" t="str">
        <f t="shared" si="24"/>
        <v>echo description,dailCompDescElementalist66, &gt;&gt; .\items\materia\class0012\Elementalist66.dbr</v>
      </c>
      <c r="S68" t="str">
        <f t="shared" si="24"/>
        <v>echo itemText,dailCompTextElementalist66, &gt;&gt; .\items\materia\class0012\Elementalist66.dbr</v>
      </c>
      <c r="T68" t="str">
        <f t="shared" si="24"/>
        <v>echo augmentSkillLevel1,5, &gt;&gt; .\items\materia\class0012\Elementalist66.dbr</v>
      </c>
      <c r="U68" t="str">
        <f t="shared" si="24"/>
        <v>echo augmentSkillName1,records/skills/zenithclass02/stormcaller1.dbr, &gt;&gt; .\items\materia\class0012\Elementalist66.dbr</v>
      </c>
      <c r="V68" s="5" t="s">
        <v>36</v>
      </c>
      <c r="W68" t="str">
        <f t="shared" ref="W68:X102" si="30">IF($I68&lt;&gt;"","echo "&amp;L68&amp;" &gt;&gt; .\items\loottables\"&amp;$K68&amp;".dbr","")</f>
        <v>echo lootName66,DAIL/items/materia/class0012/Elementalist66.dbr, &gt;&gt; .\items\loottables\dailoneskill0012.dbr</v>
      </c>
      <c r="X68" t="str">
        <f t="shared" si="30"/>
        <v>echo lootWeight66,1, &gt;&gt; .\items\loottables\dailoneskill0012.dbr</v>
      </c>
      <c r="Y68" s="5" t="s">
        <v>36</v>
      </c>
      <c r="Z68" t="str">
        <f t="shared" ref="Z68:Z102" si="31">IF(I67&lt;&gt;""," dailCompDesc"&amp;H68&amp;G68&amp;"=^p"&amp;H68&amp;"'s Gift of DAIL","")</f>
        <v xml:space="preserve"> dailCompDescElementalist66=^pElementalist's Gift of DAIL</v>
      </c>
      <c r="AA68" t="str">
        <f t="shared" si="17"/>
        <v>dailCompTextElementalist66=^oThis feels warm to the touch, almost familiar ^w(This component only fits into the Medal Slot)</v>
      </c>
      <c r="AB68" s="5" t="s">
        <v>36</v>
      </c>
      <c r="AH68">
        <f t="shared" si="19"/>
        <v>63</v>
      </c>
      <c r="AI68">
        <f t="shared" si="22"/>
        <v>31</v>
      </c>
      <c r="AJ68">
        <f t="shared" si="18"/>
        <v>5</v>
      </c>
    </row>
    <row r="69" spans="1:36" x14ac:dyDescent="0.25">
      <c r="A69" s="5" t="s">
        <v>39</v>
      </c>
      <c r="B69" s="5" t="s">
        <v>30</v>
      </c>
      <c r="C69" s="5" t="str">
        <f t="shared" si="25"/>
        <v>description,dailCompDescElementalist67,</v>
      </c>
      <c r="D69" s="5" t="str">
        <f t="shared" si="26"/>
        <v>itemText,dailCompTextElementalist67,</v>
      </c>
      <c r="E69" s="5" t="str">
        <f t="shared" si="14"/>
        <v>augmentSkillLevel1,5,</v>
      </c>
      <c r="F69" s="5" t="str">
        <f t="shared" si="15"/>
        <v>augmentSkillName1,records/skills/zenithclass02/stormcaller2.dbr,</v>
      </c>
      <c r="G69" s="7">
        <f t="shared" ref="G69:G102" si="32">IF(I69&lt;&gt;"",G68+1,"")</f>
        <v>67</v>
      </c>
      <c r="H69" s="8" t="str">
        <f t="shared" ref="H69:H102" si="33">H68</f>
        <v>Elementalist</v>
      </c>
      <c r="I69" s="3" t="s">
        <v>439</v>
      </c>
      <c r="J69" s="8" t="str">
        <f t="shared" ref="J69:K84" si="34">J68</f>
        <v>class0012</v>
      </c>
      <c r="K69" s="8" t="str">
        <f t="shared" si="34"/>
        <v>dailoneskill0012</v>
      </c>
      <c r="L69" s="5" t="str">
        <f t="shared" si="27"/>
        <v>lootName67,DAIL/items/materia/class0012/Elementalist67.dbr,</v>
      </c>
      <c r="M69" s="5" t="str">
        <f t="shared" si="28"/>
        <v>lootWeight67,1,</v>
      </c>
      <c r="N69" t="str">
        <f t="shared" si="29"/>
        <v>5</v>
      </c>
      <c r="O69" t="str">
        <f t="shared" si="16"/>
        <v>copy .\dail_base3.dbr .\items\materia\class0012\Elementalist67.dbr /y</v>
      </c>
      <c r="P69" t="str">
        <f t="shared" si="24"/>
        <v>echo relicBitmap,items/craftingparts/components/component_a52_bristlyfur_b.tex, &gt;&gt; .\items\materia\class0012\Elementalist67.dbr</v>
      </c>
      <c r="Q69" t="str">
        <f t="shared" si="24"/>
        <v>echo itemCost,500000, &gt;&gt; .\items\materia\class0012\Elementalist67.dbr</v>
      </c>
      <c r="R69" t="str">
        <f t="shared" si="24"/>
        <v>echo description,dailCompDescElementalist67, &gt;&gt; .\items\materia\class0012\Elementalist67.dbr</v>
      </c>
      <c r="S69" t="str">
        <f t="shared" si="24"/>
        <v>echo itemText,dailCompTextElementalist67, &gt;&gt; .\items\materia\class0012\Elementalist67.dbr</v>
      </c>
      <c r="T69" t="str">
        <f t="shared" si="24"/>
        <v>echo augmentSkillLevel1,5, &gt;&gt; .\items\materia\class0012\Elementalist67.dbr</v>
      </c>
      <c r="U69" t="str">
        <f t="shared" si="24"/>
        <v>echo augmentSkillName1,records/skills/zenithclass02/stormcaller2.dbr, &gt;&gt; .\items\materia\class0012\Elementalist67.dbr</v>
      </c>
      <c r="V69" s="5" t="s">
        <v>36</v>
      </c>
      <c r="W69" t="str">
        <f t="shared" si="30"/>
        <v>echo lootName67,DAIL/items/materia/class0012/Elementalist67.dbr, &gt;&gt; .\items\loottables\dailoneskill0012.dbr</v>
      </c>
      <c r="X69" t="str">
        <f t="shared" si="30"/>
        <v>echo lootWeight67,1, &gt;&gt; .\items\loottables\dailoneskill0012.dbr</v>
      </c>
      <c r="Y69" s="5" t="s">
        <v>36</v>
      </c>
      <c r="Z69" t="str">
        <f t="shared" si="31"/>
        <v xml:space="preserve"> dailCompDescElementalist67=^pElementalist's Gift of DAIL</v>
      </c>
      <c r="AA69" t="str">
        <f t="shared" si="17"/>
        <v>dailCompTextElementalist67=^oThis feels warm to the touch, almost familiar ^w(This component only fits into the Medal Slot)</v>
      </c>
      <c r="AB69" s="5" t="s">
        <v>36</v>
      </c>
      <c r="AH69">
        <f t="shared" si="19"/>
        <v>64</v>
      </c>
      <c r="AI69">
        <f t="shared" si="22"/>
        <v>31</v>
      </c>
      <c r="AJ69">
        <f t="shared" si="18"/>
        <v>5</v>
      </c>
    </row>
    <row r="70" spans="1:36" x14ac:dyDescent="0.25">
      <c r="A70" s="5" t="s">
        <v>39</v>
      </c>
      <c r="B70" s="5" t="s">
        <v>30</v>
      </c>
      <c r="C70" s="5" t="str">
        <f t="shared" si="25"/>
        <v>description,dailCompDescElementalist68,</v>
      </c>
      <c r="D70" s="5" t="str">
        <f t="shared" si="26"/>
        <v>itemText,dailCompTextElementalist68,</v>
      </c>
      <c r="E70" s="5" t="str">
        <f t="shared" si="14"/>
        <v>augmentSkillLevel1,5,</v>
      </c>
      <c r="F70" s="5" t="str">
        <f t="shared" si="15"/>
        <v>augmentSkillName1,records/skills/zenithclass02/redsprite.dbr,</v>
      </c>
      <c r="G70" s="7">
        <f t="shared" si="32"/>
        <v>68</v>
      </c>
      <c r="H70" s="8" t="str">
        <f t="shared" si="33"/>
        <v>Elementalist</v>
      </c>
      <c r="I70" s="3" t="s">
        <v>207</v>
      </c>
      <c r="J70" s="8" t="str">
        <f t="shared" si="34"/>
        <v>class0012</v>
      </c>
      <c r="K70" s="8" t="str">
        <f t="shared" si="34"/>
        <v>dailoneskill0012</v>
      </c>
      <c r="L70" s="5" t="str">
        <f t="shared" si="27"/>
        <v>lootName68,DAIL/items/materia/class0012/Elementalist68.dbr,</v>
      </c>
      <c r="M70" s="5" t="str">
        <f t="shared" si="28"/>
        <v>lootWeight68,1,</v>
      </c>
      <c r="N70" t="str">
        <f t="shared" si="29"/>
        <v>5</v>
      </c>
      <c r="O70" t="str">
        <f t="shared" si="16"/>
        <v>copy .\dail_base3.dbr .\items\materia\class0012\Elementalist68.dbr /y</v>
      </c>
      <c r="P70" t="str">
        <f t="shared" si="24"/>
        <v>echo relicBitmap,items/craftingparts/components/component_a52_bristlyfur_b.tex, &gt;&gt; .\items\materia\class0012\Elementalist68.dbr</v>
      </c>
      <c r="Q70" t="str">
        <f t="shared" si="24"/>
        <v>echo itemCost,500000, &gt;&gt; .\items\materia\class0012\Elementalist68.dbr</v>
      </c>
      <c r="R70" t="str">
        <f t="shared" si="24"/>
        <v>echo description,dailCompDescElementalist68, &gt;&gt; .\items\materia\class0012\Elementalist68.dbr</v>
      </c>
      <c r="S70" t="str">
        <f t="shared" si="24"/>
        <v>echo itemText,dailCompTextElementalist68, &gt;&gt; .\items\materia\class0012\Elementalist68.dbr</v>
      </c>
      <c r="T70" t="str">
        <f t="shared" si="24"/>
        <v>echo augmentSkillLevel1,5, &gt;&gt; .\items\materia\class0012\Elementalist68.dbr</v>
      </c>
      <c r="U70" t="str">
        <f t="shared" si="24"/>
        <v>echo augmentSkillName1,records/skills/zenithclass02/redsprite.dbr, &gt;&gt; .\items\materia\class0012\Elementalist68.dbr</v>
      </c>
      <c r="V70" s="5" t="s">
        <v>36</v>
      </c>
      <c r="W70" t="str">
        <f t="shared" si="30"/>
        <v>echo lootName68,DAIL/items/materia/class0012/Elementalist68.dbr, &gt;&gt; .\items\loottables\dailoneskill0012.dbr</v>
      </c>
      <c r="X70" t="str">
        <f t="shared" si="30"/>
        <v>echo lootWeight68,1, &gt;&gt; .\items\loottables\dailoneskill0012.dbr</v>
      </c>
      <c r="Y70" s="5" t="s">
        <v>36</v>
      </c>
      <c r="Z70" t="str">
        <f t="shared" si="31"/>
        <v xml:space="preserve"> dailCompDescElementalist68=^pElementalist's Gift of DAIL</v>
      </c>
      <c r="AA70" t="str">
        <f t="shared" si="17"/>
        <v>dailCompTextElementalist68=^oThis feels warm to the touch, almost familiar ^w(This component only fits into the Medal Slot)</v>
      </c>
      <c r="AB70" s="5" t="s">
        <v>36</v>
      </c>
      <c r="AH70">
        <f t="shared" si="19"/>
        <v>65</v>
      </c>
      <c r="AI70">
        <f t="shared" ref="AI70:AI102" si="35">LEN(I70)</f>
        <v>28</v>
      </c>
      <c r="AJ70">
        <f t="shared" si="18"/>
        <v>5</v>
      </c>
    </row>
    <row r="71" spans="1:36" x14ac:dyDescent="0.25">
      <c r="A71" s="5" t="s">
        <v>39</v>
      </c>
      <c r="B71" s="5" t="s">
        <v>30</v>
      </c>
      <c r="C71" s="5" t="str">
        <f t="shared" si="25"/>
        <v>description,dailCompDescElementalist69,</v>
      </c>
      <c r="D71" s="5" t="str">
        <f t="shared" si="26"/>
        <v>itemText,dailCompTextElementalist69,</v>
      </c>
      <c r="E71" s="5" t="str">
        <f t="shared" ref="E71:E102" si="36">"augmentSkillLevel1,"&amp;AJ71&amp;","</f>
        <v>augmentSkillLevel1,5,</v>
      </c>
      <c r="F71" s="5" t="str">
        <f t="shared" ref="F71:F102" si="37">"augmentSkillName1,records/skills"&amp;I71&amp;","</f>
        <v>augmentSkillName1,records/skills/zenithclass02/firegeyser.dbr,</v>
      </c>
      <c r="G71" s="7">
        <f t="shared" si="32"/>
        <v>69</v>
      </c>
      <c r="H71" s="8" t="str">
        <f t="shared" si="33"/>
        <v>Elementalist</v>
      </c>
      <c r="I71" s="3" t="s">
        <v>201</v>
      </c>
      <c r="J71" s="8" t="str">
        <f t="shared" si="34"/>
        <v>class0012</v>
      </c>
      <c r="K71" s="8" t="str">
        <f t="shared" si="34"/>
        <v>dailoneskill0012</v>
      </c>
      <c r="L71" s="5" t="str">
        <f t="shared" si="27"/>
        <v>lootName69,DAIL/items/materia/class0012/Elementalist69.dbr,</v>
      </c>
      <c r="M71" s="5" t="str">
        <f t="shared" si="28"/>
        <v>lootWeight69,1,</v>
      </c>
      <c r="N71" t="str">
        <f t="shared" si="29"/>
        <v>5</v>
      </c>
      <c r="O71" t="str">
        <f t="shared" ref="O71:O102" si="38">IF(I71&lt;&gt;"","copy .\"&amp;VLOOKUP(VALUE(N71),$AD$3:$AF$5,2,FALSE)&amp;" .\items\materia\"&amp;J71&amp;"\"&amp;H71&amp;G71&amp;".dbr /y"&amp;"","")</f>
        <v>copy .\dail_base3.dbr .\items\materia\class0012\Elementalist69.dbr /y</v>
      </c>
      <c r="P71" t="str">
        <f t="shared" si="24"/>
        <v>echo relicBitmap,items/craftingparts/components/component_a52_bristlyfur_b.tex, &gt;&gt; .\items\materia\class0012\Elementalist69.dbr</v>
      </c>
      <c r="Q71" t="str">
        <f t="shared" si="24"/>
        <v>echo itemCost,500000, &gt;&gt; .\items\materia\class0012\Elementalist69.dbr</v>
      </c>
      <c r="R71" t="str">
        <f t="shared" si="24"/>
        <v>echo description,dailCompDescElementalist69, &gt;&gt; .\items\materia\class0012\Elementalist69.dbr</v>
      </c>
      <c r="S71" t="str">
        <f t="shared" si="24"/>
        <v>echo itemText,dailCompTextElementalist69, &gt;&gt; .\items\materia\class0012\Elementalist69.dbr</v>
      </c>
      <c r="T71" t="str">
        <f t="shared" si="24"/>
        <v>echo augmentSkillLevel1,5, &gt;&gt; .\items\materia\class0012\Elementalist69.dbr</v>
      </c>
      <c r="U71" t="str">
        <f t="shared" si="24"/>
        <v>echo augmentSkillName1,records/skills/zenithclass02/firegeyser.dbr, &gt;&gt; .\items\materia\class0012\Elementalist69.dbr</v>
      </c>
      <c r="V71" s="5" t="s">
        <v>36</v>
      </c>
      <c r="W71" t="str">
        <f t="shared" si="30"/>
        <v>echo lootName69,DAIL/items/materia/class0012/Elementalist69.dbr, &gt;&gt; .\items\loottables\dailoneskill0012.dbr</v>
      </c>
      <c r="X71" t="str">
        <f t="shared" si="30"/>
        <v>echo lootWeight69,1, &gt;&gt; .\items\loottables\dailoneskill0012.dbr</v>
      </c>
      <c r="Y71" s="5" t="s">
        <v>36</v>
      </c>
      <c r="Z71" t="str">
        <f t="shared" si="31"/>
        <v xml:space="preserve"> dailCompDescElementalist69=^pElementalist's Gift of DAIL</v>
      </c>
      <c r="AA71" t="str">
        <f t="shared" ref="AA71:AA102" si="39">IF(I70&lt;&gt;"","dailCompText"&amp;H71&amp;G71&amp;"=^oThis feels warm to the touch, almost familiar ^w("&amp;VLOOKUP(VALUE(N71),$AD$3:$AF$5,3,FALSE)&amp;")","")</f>
        <v>dailCompTextElementalist69=^oThis feels warm to the touch, almost familiar ^w(This component only fits into the Medal Slot)</v>
      </c>
      <c r="AB71" s="5" t="s">
        <v>36</v>
      </c>
      <c r="AH71">
        <f t="shared" si="19"/>
        <v>66</v>
      </c>
      <c r="AI71">
        <f t="shared" si="35"/>
        <v>29</v>
      </c>
      <c r="AJ71">
        <f t="shared" ref="AJ71:AJ102" si="40">IF(AH71&lt;$AL$7,1,IF(AH71&lt;$AL$8,3,5))</f>
        <v>5</v>
      </c>
    </row>
    <row r="72" spans="1:36" x14ac:dyDescent="0.25">
      <c r="A72" s="5" t="s">
        <v>39</v>
      </c>
      <c r="B72" s="5" t="s">
        <v>30</v>
      </c>
      <c r="C72" s="5" t="str">
        <f t="shared" si="25"/>
        <v>description,dailCompDescElementalist70,</v>
      </c>
      <c r="D72" s="5" t="str">
        <f t="shared" si="26"/>
        <v>itemText,dailCompTextElementalist70,</v>
      </c>
      <c r="E72" s="5" t="str">
        <f t="shared" si="36"/>
        <v>augmentSkillLevel1,5,</v>
      </c>
      <c r="F72" s="5" t="str">
        <f t="shared" si="37"/>
        <v>augmentSkillName1,records/skills/zenithclass02/icecitadel.dbr,</v>
      </c>
      <c r="G72" s="7">
        <f t="shared" si="32"/>
        <v>70</v>
      </c>
      <c r="H72" s="8" t="str">
        <f t="shared" si="33"/>
        <v>Elementalist</v>
      </c>
      <c r="I72" s="3" t="s">
        <v>204</v>
      </c>
      <c r="J72" s="8" t="str">
        <f t="shared" si="34"/>
        <v>class0012</v>
      </c>
      <c r="K72" s="8" t="str">
        <f t="shared" si="34"/>
        <v>dailoneskill0012</v>
      </c>
      <c r="L72" s="5" t="str">
        <f t="shared" si="27"/>
        <v>lootName70,DAIL/items/materia/class0012/Elementalist70.dbr,</v>
      </c>
      <c r="M72" s="5" t="str">
        <f t="shared" si="28"/>
        <v>lootWeight70,1,</v>
      </c>
      <c r="N72" t="str">
        <f t="shared" si="29"/>
        <v>5</v>
      </c>
      <c r="O72" t="str">
        <f t="shared" si="38"/>
        <v>copy .\dail_base3.dbr .\items\materia\class0012\Elementalist70.dbr /y</v>
      </c>
      <c r="P72" t="str">
        <f t="shared" si="24"/>
        <v>echo relicBitmap,items/craftingparts/components/component_a52_bristlyfur_b.tex, &gt;&gt; .\items\materia\class0012\Elementalist70.dbr</v>
      </c>
      <c r="Q72" t="str">
        <f t="shared" si="24"/>
        <v>echo itemCost,500000, &gt;&gt; .\items\materia\class0012\Elementalist70.dbr</v>
      </c>
      <c r="R72" t="str">
        <f t="shared" si="24"/>
        <v>echo description,dailCompDescElementalist70, &gt;&gt; .\items\materia\class0012\Elementalist70.dbr</v>
      </c>
      <c r="S72" t="str">
        <f t="shared" si="24"/>
        <v>echo itemText,dailCompTextElementalist70, &gt;&gt; .\items\materia\class0012\Elementalist70.dbr</v>
      </c>
      <c r="T72" t="str">
        <f t="shared" si="24"/>
        <v>echo augmentSkillLevel1,5, &gt;&gt; .\items\materia\class0012\Elementalist70.dbr</v>
      </c>
      <c r="U72" t="str">
        <f t="shared" si="24"/>
        <v>echo augmentSkillName1,records/skills/zenithclass02/icecitadel.dbr, &gt;&gt; .\items\materia\class0012\Elementalist70.dbr</v>
      </c>
      <c r="V72" s="5" t="s">
        <v>36</v>
      </c>
      <c r="W72" t="str">
        <f t="shared" si="30"/>
        <v>echo lootName70,DAIL/items/materia/class0012/Elementalist70.dbr, &gt;&gt; .\items\loottables\dailoneskill0012.dbr</v>
      </c>
      <c r="X72" t="str">
        <f t="shared" si="30"/>
        <v>echo lootWeight70,1, &gt;&gt; .\items\loottables\dailoneskill0012.dbr</v>
      </c>
      <c r="Y72" s="5" t="s">
        <v>36</v>
      </c>
      <c r="Z72" t="str">
        <f t="shared" si="31"/>
        <v xml:space="preserve"> dailCompDescElementalist70=^pElementalist's Gift of DAIL</v>
      </c>
      <c r="AA72" t="str">
        <f t="shared" si="39"/>
        <v>dailCompTextElementalist70=^oThis feels warm to the touch, almost familiar ^w(This component only fits into the Medal Slot)</v>
      </c>
      <c r="AB72" s="5" t="s">
        <v>36</v>
      </c>
      <c r="AH72">
        <f t="shared" ref="AH72:AH102" si="41">AH71+1</f>
        <v>67</v>
      </c>
      <c r="AI72">
        <f t="shared" si="35"/>
        <v>29</v>
      </c>
      <c r="AJ72">
        <f t="shared" si="40"/>
        <v>5</v>
      </c>
    </row>
    <row r="73" spans="1:36" x14ac:dyDescent="0.25">
      <c r="A73" s="5" t="s">
        <v>39</v>
      </c>
      <c r="B73" s="5" t="s">
        <v>30</v>
      </c>
      <c r="C73" s="5" t="str">
        <f t="shared" si="25"/>
        <v>description,dailCompDescElementalist71,</v>
      </c>
      <c r="D73" s="5" t="str">
        <f t="shared" si="26"/>
        <v>itemText,dailCompTextElementalist71,</v>
      </c>
      <c r="E73" s="5" t="str">
        <f t="shared" si="36"/>
        <v>augmentSkillLevel1,5,</v>
      </c>
      <c r="F73" s="5" t="str">
        <f t="shared" si="37"/>
        <v>augmentSkillName1,records/skills/zenithclass02/affinity_fire.dbr,</v>
      </c>
      <c r="G73" s="7">
        <f t="shared" si="32"/>
        <v>71</v>
      </c>
      <c r="H73" s="8" t="str">
        <f t="shared" si="33"/>
        <v>Elementalist</v>
      </c>
      <c r="I73" s="3" t="s">
        <v>194</v>
      </c>
      <c r="J73" s="8" t="str">
        <f t="shared" si="34"/>
        <v>class0012</v>
      </c>
      <c r="K73" s="8" t="str">
        <f t="shared" si="34"/>
        <v>dailoneskill0012</v>
      </c>
      <c r="L73" s="5" t="str">
        <f t="shared" si="27"/>
        <v>lootName71,DAIL/items/materia/class0012/Elementalist71.dbr,</v>
      </c>
      <c r="M73" s="5" t="str">
        <f t="shared" si="28"/>
        <v>lootWeight71,1,</v>
      </c>
      <c r="N73" t="str">
        <f t="shared" si="29"/>
        <v>5</v>
      </c>
      <c r="O73" t="str">
        <f t="shared" si="38"/>
        <v>copy .\dail_base3.dbr .\items\materia\class0012\Elementalist71.dbr /y</v>
      </c>
      <c r="P73" t="str">
        <f t="shared" si="24"/>
        <v>echo relicBitmap,items/craftingparts/components/component_a52_bristlyfur_b.tex, &gt;&gt; .\items\materia\class0012\Elementalist71.dbr</v>
      </c>
      <c r="Q73" t="str">
        <f t="shared" si="24"/>
        <v>echo itemCost,500000, &gt;&gt; .\items\materia\class0012\Elementalist71.dbr</v>
      </c>
      <c r="R73" t="str">
        <f t="shared" si="24"/>
        <v>echo description,dailCompDescElementalist71, &gt;&gt; .\items\materia\class0012\Elementalist71.dbr</v>
      </c>
      <c r="S73" t="str">
        <f t="shared" si="24"/>
        <v>echo itemText,dailCompTextElementalist71, &gt;&gt; .\items\materia\class0012\Elementalist71.dbr</v>
      </c>
      <c r="T73" t="str">
        <f t="shared" si="24"/>
        <v>echo augmentSkillLevel1,5, &gt;&gt; .\items\materia\class0012\Elementalist71.dbr</v>
      </c>
      <c r="U73" t="str">
        <f t="shared" si="24"/>
        <v>echo augmentSkillName1,records/skills/zenithclass02/affinity_fire.dbr, &gt;&gt; .\items\materia\class0012\Elementalist71.dbr</v>
      </c>
      <c r="V73" s="5" t="s">
        <v>36</v>
      </c>
      <c r="W73" t="str">
        <f t="shared" si="30"/>
        <v>echo lootName71,DAIL/items/materia/class0012/Elementalist71.dbr, &gt;&gt; .\items\loottables\dailoneskill0012.dbr</v>
      </c>
      <c r="X73" t="str">
        <f t="shared" si="30"/>
        <v>echo lootWeight71,1, &gt;&gt; .\items\loottables\dailoneskill0012.dbr</v>
      </c>
      <c r="Y73" s="5" t="s">
        <v>36</v>
      </c>
      <c r="Z73" t="str">
        <f t="shared" si="31"/>
        <v xml:space="preserve"> dailCompDescElementalist71=^pElementalist's Gift of DAIL</v>
      </c>
      <c r="AA73" t="str">
        <f t="shared" si="39"/>
        <v>dailCompTextElementalist71=^oThis feels warm to the touch, almost familiar ^w(This component only fits into the Medal Slot)</v>
      </c>
      <c r="AB73" s="5" t="s">
        <v>36</v>
      </c>
      <c r="AH73">
        <f t="shared" si="41"/>
        <v>68</v>
      </c>
      <c r="AI73">
        <f t="shared" si="35"/>
        <v>32</v>
      </c>
      <c r="AJ73">
        <f t="shared" si="40"/>
        <v>5</v>
      </c>
    </row>
    <row r="74" spans="1:36" x14ac:dyDescent="0.25">
      <c r="A74" s="5" t="s">
        <v>39</v>
      </c>
      <c r="B74" s="5" t="s">
        <v>30</v>
      </c>
      <c r="C74" s="5" t="str">
        <f t="shared" si="25"/>
        <v>description,dailCompDescElementalist72,</v>
      </c>
      <c r="D74" s="5" t="str">
        <f t="shared" si="26"/>
        <v>itemText,dailCompTextElementalist72,</v>
      </c>
      <c r="E74" s="5" t="str">
        <f t="shared" si="36"/>
        <v>augmentSkillLevel1,5,</v>
      </c>
      <c r="F74" s="5" t="str">
        <f t="shared" si="37"/>
        <v>augmentSkillName1,records/skills/zenithclass02/affinity_cold.dbr,</v>
      </c>
      <c r="G74" s="7">
        <f t="shared" si="32"/>
        <v>72</v>
      </c>
      <c r="H74" s="8" t="str">
        <f t="shared" si="33"/>
        <v>Elementalist</v>
      </c>
      <c r="I74" s="3" t="s">
        <v>228</v>
      </c>
      <c r="J74" s="8" t="str">
        <f t="shared" si="34"/>
        <v>class0012</v>
      </c>
      <c r="K74" s="8" t="str">
        <f t="shared" si="34"/>
        <v>dailoneskill0012</v>
      </c>
      <c r="L74" s="5" t="str">
        <f t="shared" si="27"/>
        <v>lootName72,DAIL/items/materia/class0012/Elementalist72.dbr,</v>
      </c>
      <c r="M74" s="5" t="str">
        <f t="shared" si="28"/>
        <v>lootWeight72,1,</v>
      </c>
      <c r="N74" t="str">
        <f t="shared" si="29"/>
        <v>5</v>
      </c>
      <c r="O74" t="str">
        <f t="shared" si="38"/>
        <v>copy .\dail_base3.dbr .\items\materia\class0012\Elementalist72.dbr /y</v>
      </c>
      <c r="P74" t="str">
        <f t="shared" si="24"/>
        <v>echo relicBitmap,items/craftingparts/components/component_a52_bristlyfur_b.tex, &gt;&gt; .\items\materia\class0012\Elementalist72.dbr</v>
      </c>
      <c r="Q74" t="str">
        <f t="shared" si="24"/>
        <v>echo itemCost,500000, &gt;&gt; .\items\materia\class0012\Elementalist72.dbr</v>
      </c>
      <c r="R74" t="str">
        <f t="shared" si="24"/>
        <v>echo description,dailCompDescElementalist72, &gt;&gt; .\items\materia\class0012\Elementalist72.dbr</v>
      </c>
      <c r="S74" t="str">
        <f t="shared" si="24"/>
        <v>echo itemText,dailCompTextElementalist72, &gt;&gt; .\items\materia\class0012\Elementalist72.dbr</v>
      </c>
      <c r="T74" t="str">
        <f t="shared" si="24"/>
        <v>echo augmentSkillLevel1,5, &gt;&gt; .\items\materia\class0012\Elementalist72.dbr</v>
      </c>
      <c r="U74" t="str">
        <f t="shared" si="24"/>
        <v>echo augmentSkillName1,records/skills/zenithclass02/affinity_cold.dbr, &gt;&gt; .\items\materia\class0012\Elementalist72.dbr</v>
      </c>
      <c r="V74" s="5" t="s">
        <v>36</v>
      </c>
      <c r="W74" t="str">
        <f t="shared" si="30"/>
        <v>echo lootName72,DAIL/items/materia/class0012/Elementalist72.dbr, &gt;&gt; .\items\loottables\dailoneskill0012.dbr</v>
      </c>
      <c r="X74" t="str">
        <f t="shared" si="30"/>
        <v>echo lootWeight72,1, &gt;&gt; .\items\loottables\dailoneskill0012.dbr</v>
      </c>
      <c r="Y74" s="5" t="s">
        <v>36</v>
      </c>
      <c r="Z74" t="str">
        <f t="shared" si="31"/>
        <v xml:space="preserve"> dailCompDescElementalist72=^pElementalist's Gift of DAIL</v>
      </c>
      <c r="AA74" t="str">
        <f t="shared" si="39"/>
        <v>dailCompTextElementalist72=^oThis feels warm to the touch, almost familiar ^w(This component only fits into the Medal Slot)</v>
      </c>
      <c r="AB74" s="5" t="s">
        <v>36</v>
      </c>
      <c r="AH74">
        <f t="shared" si="41"/>
        <v>69</v>
      </c>
      <c r="AI74">
        <f t="shared" si="35"/>
        <v>32</v>
      </c>
      <c r="AJ74">
        <f t="shared" si="40"/>
        <v>5</v>
      </c>
    </row>
    <row r="75" spans="1:36" x14ac:dyDescent="0.25">
      <c r="A75" s="5" t="s">
        <v>39</v>
      </c>
      <c r="B75" s="5" t="s">
        <v>30</v>
      </c>
      <c r="C75" s="5" t="str">
        <f t="shared" si="25"/>
        <v>description,dailCompDescElementalist73,</v>
      </c>
      <c r="D75" s="5" t="str">
        <f t="shared" si="26"/>
        <v>itemText,dailCompTextElementalist73,</v>
      </c>
      <c r="E75" s="5" t="str">
        <f t="shared" si="36"/>
        <v>augmentSkillLevel1,5,</v>
      </c>
      <c r="F75" s="5" t="str">
        <f t="shared" si="37"/>
        <v>augmentSkillName1,records/skills/zenithclass02/affinity_lightning.dbr,</v>
      </c>
      <c r="G75" s="7">
        <f t="shared" si="32"/>
        <v>73</v>
      </c>
      <c r="H75" s="8" t="str">
        <f t="shared" si="33"/>
        <v>Elementalist</v>
      </c>
      <c r="I75" s="3" t="s">
        <v>195</v>
      </c>
      <c r="J75" s="8" t="str">
        <f t="shared" si="34"/>
        <v>class0012</v>
      </c>
      <c r="K75" s="8" t="str">
        <f t="shared" si="34"/>
        <v>dailoneskill0012</v>
      </c>
      <c r="L75" s="5" t="str">
        <f t="shared" si="27"/>
        <v>lootName73,DAIL/items/materia/class0012/Elementalist73.dbr,</v>
      </c>
      <c r="M75" s="5" t="str">
        <f t="shared" si="28"/>
        <v>lootWeight73,1,</v>
      </c>
      <c r="N75" t="str">
        <f t="shared" si="29"/>
        <v>5</v>
      </c>
      <c r="O75" t="str">
        <f t="shared" si="38"/>
        <v>copy .\dail_base3.dbr .\items\materia\class0012\Elementalist73.dbr /y</v>
      </c>
      <c r="P75" t="str">
        <f t="shared" si="24"/>
        <v>echo relicBitmap,items/craftingparts/components/component_a52_bristlyfur_b.tex, &gt;&gt; .\items\materia\class0012\Elementalist73.dbr</v>
      </c>
      <c r="Q75" t="str">
        <f t="shared" si="24"/>
        <v>echo itemCost,500000, &gt;&gt; .\items\materia\class0012\Elementalist73.dbr</v>
      </c>
      <c r="R75" t="str">
        <f t="shared" si="24"/>
        <v>echo description,dailCompDescElementalist73, &gt;&gt; .\items\materia\class0012\Elementalist73.dbr</v>
      </c>
      <c r="S75" t="str">
        <f t="shared" si="24"/>
        <v>echo itemText,dailCompTextElementalist73, &gt;&gt; .\items\materia\class0012\Elementalist73.dbr</v>
      </c>
      <c r="T75" t="str">
        <f t="shared" si="24"/>
        <v>echo augmentSkillLevel1,5, &gt;&gt; .\items\materia\class0012\Elementalist73.dbr</v>
      </c>
      <c r="U75" t="str">
        <f t="shared" si="24"/>
        <v>echo augmentSkillName1,records/skills/zenithclass02/affinity_lightning.dbr, &gt;&gt; .\items\materia\class0012\Elementalist73.dbr</v>
      </c>
      <c r="V75" s="5" t="s">
        <v>36</v>
      </c>
      <c r="W75" t="str">
        <f t="shared" si="30"/>
        <v>echo lootName73,DAIL/items/materia/class0012/Elementalist73.dbr, &gt;&gt; .\items\loottables\dailoneskill0012.dbr</v>
      </c>
      <c r="X75" t="str">
        <f t="shared" si="30"/>
        <v>echo lootWeight73,1, &gt;&gt; .\items\loottables\dailoneskill0012.dbr</v>
      </c>
      <c r="Y75" s="5" t="s">
        <v>36</v>
      </c>
      <c r="Z75" t="str">
        <f t="shared" si="31"/>
        <v xml:space="preserve"> dailCompDescElementalist73=^pElementalist's Gift of DAIL</v>
      </c>
      <c r="AA75" t="str">
        <f t="shared" si="39"/>
        <v>dailCompTextElementalist73=^oThis feels warm to the touch, almost familiar ^w(This component only fits into the Medal Slot)</v>
      </c>
      <c r="AB75" s="5" t="s">
        <v>36</v>
      </c>
      <c r="AH75">
        <f t="shared" si="41"/>
        <v>70</v>
      </c>
      <c r="AI75">
        <f t="shared" si="35"/>
        <v>37</v>
      </c>
      <c r="AJ75">
        <f t="shared" si="40"/>
        <v>5</v>
      </c>
    </row>
    <row r="76" spans="1:36" x14ac:dyDescent="0.25">
      <c r="A76" s="5" t="s">
        <v>39</v>
      </c>
      <c r="B76" s="5" t="s">
        <v>30</v>
      </c>
      <c r="C76" s="5" t="str">
        <f t="shared" si="25"/>
        <v>description,dailCompDescElementalist74,</v>
      </c>
      <c r="D76" s="5" t="str">
        <f t="shared" si="26"/>
        <v>itemText,dailCompTextElementalist74,</v>
      </c>
      <c r="E76" s="5" t="str">
        <f t="shared" si="36"/>
        <v>augmentSkillLevel1,5,</v>
      </c>
      <c r="F76" s="5" t="str">
        <f t="shared" si="37"/>
        <v>augmentSkillName1,records/skills/zenithclass02/refuel.dbr,</v>
      </c>
      <c r="G76" s="7">
        <f t="shared" si="32"/>
        <v>74</v>
      </c>
      <c r="H76" s="8" t="str">
        <f t="shared" si="33"/>
        <v>Elementalist</v>
      </c>
      <c r="I76" s="3" t="s">
        <v>208</v>
      </c>
      <c r="J76" s="8" t="str">
        <f t="shared" si="34"/>
        <v>class0012</v>
      </c>
      <c r="K76" s="8" t="str">
        <f t="shared" si="34"/>
        <v>dailoneskill0012</v>
      </c>
      <c r="L76" s="5" t="str">
        <f t="shared" si="27"/>
        <v>lootName74,DAIL/items/materia/class0012/Elementalist74.dbr,</v>
      </c>
      <c r="M76" s="5" t="str">
        <f t="shared" si="28"/>
        <v>lootWeight74,1,</v>
      </c>
      <c r="N76" t="str">
        <f t="shared" si="29"/>
        <v>5</v>
      </c>
      <c r="O76" t="str">
        <f t="shared" si="38"/>
        <v>copy .\dail_base3.dbr .\items\materia\class0012\Elementalist74.dbr /y</v>
      </c>
      <c r="P76" t="str">
        <f t="shared" si="24"/>
        <v>echo relicBitmap,items/craftingparts/components/component_a52_bristlyfur_b.tex, &gt;&gt; .\items\materia\class0012\Elementalist74.dbr</v>
      </c>
      <c r="Q76" t="str">
        <f t="shared" si="24"/>
        <v>echo itemCost,500000, &gt;&gt; .\items\materia\class0012\Elementalist74.dbr</v>
      </c>
      <c r="R76" t="str">
        <f t="shared" si="24"/>
        <v>echo description,dailCompDescElementalist74, &gt;&gt; .\items\materia\class0012\Elementalist74.dbr</v>
      </c>
      <c r="S76" t="str">
        <f t="shared" si="24"/>
        <v>echo itemText,dailCompTextElementalist74, &gt;&gt; .\items\materia\class0012\Elementalist74.dbr</v>
      </c>
      <c r="T76" t="str">
        <f t="shared" si="24"/>
        <v>echo augmentSkillLevel1,5, &gt;&gt; .\items\materia\class0012\Elementalist74.dbr</v>
      </c>
      <c r="U76" t="str">
        <f t="shared" si="24"/>
        <v>echo augmentSkillName1,records/skills/zenithclass02/refuel.dbr, &gt;&gt; .\items\materia\class0012\Elementalist74.dbr</v>
      </c>
      <c r="V76" s="5" t="s">
        <v>36</v>
      </c>
      <c r="W76" t="str">
        <f t="shared" si="30"/>
        <v>echo lootName74,DAIL/items/materia/class0012/Elementalist74.dbr, &gt;&gt; .\items\loottables\dailoneskill0012.dbr</v>
      </c>
      <c r="X76" t="str">
        <f t="shared" si="30"/>
        <v>echo lootWeight74,1, &gt;&gt; .\items\loottables\dailoneskill0012.dbr</v>
      </c>
      <c r="Y76" s="5" t="s">
        <v>36</v>
      </c>
      <c r="Z76" t="str">
        <f t="shared" si="31"/>
        <v xml:space="preserve"> dailCompDescElementalist74=^pElementalist's Gift of DAIL</v>
      </c>
      <c r="AA76" t="str">
        <f t="shared" si="39"/>
        <v>dailCompTextElementalist74=^oThis feels warm to the touch, almost familiar ^w(This component only fits into the Medal Slot)</v>
      </c>
      <c r="AB76" s="5" t="s">
        <v>36</v>
      </c>
      <c r="AH76">
        <f t="shared" si="41"/>
        <v>71</v>
      </c>
      <c r="AI76">
        <f t="shared" si="35"/>
        <v>25</v>
      </c>
      <c r="AJ76">
        <f t="shared" si="40"/>
        <v>5</v>
      </c>
    </row>
    <row r="77" spans="1:36" x14ac:dyDescent="0.25">
      <c r="A77" s="5" t="s">
        <v>39</v>
      </c>
      <c r="B77" s="5" t="s">
        <v>30</v>
      </c>
      <c r="C77" s="5" t="str">
        <f t="shared" si="25"/>
        <v>description,dailCompDescElementalist75,</v>
      </c>
      <c r="D77" s="5" t="str">
        <f t="shared" si="26"/>
        <v>itemText,dailCompTextElementalist75,</v>
      </c>
      <c r="E77" s="5" t="str">
        <f t="shared" si="36"/>
        <v>augmentSkillLevel1,5,</v>
      </c>
      <c r="F77" s="5" t="str">
        <f t="shared" si="37"/>
        <v>augmentSkillName1,records/skills/zenithclass02/elemental_flow.dbr,</v>
      </c>
      <c r="G77" s="7">
        <f t="shared" si="32"/>
        <v>75</v>
      </c>
      <c r="H77" s="8" t="str">
        <f t="shared" si="33"/>
        <v>Elementalist</v>
      </c>
      <c r="I77" s="3" t="s">
        <v>199</v>
      </c>
      <c r="J77" s="8" t="str">
        <f t="shared" si="34"/>
        <v>class0012</v>
      </c>
      <c r="K77" s="8" t="str">
        <f t="shared" si="34"/>
        <v>dailoneskill0012</v>
      </c>
      <c r="L77" s="5" t="str">
        <f t="shared" si="27"/>
        <v>lootName75,DAIL/items/materia/class0012/Elementalist75.dbr,</v>
      </c>
      <c r="M77" s="5" t="str">
        <f t="shared" si="28"/>
        <v>lootWeight75,1,</v>
      </c>
      <c r="N77" t="str">
        <f t="shared" si="29"/>
        <v>5</v>
      </c>
      <c r="O77" t="str">
        <f t="shared" si="38"/>
        <v>copy .\dail_base3.dbr .\items\materia\class0012\Elementalist75.dbr /y</v>
      </c>
      <c r="P77" t="str">
        <f t="shared" si="24"/>
        <v>echo relicBitmap,items/craftingparts/components/component_a52_bristlyfur_b.tex, &gt;&gt; .\items\materia\class0012\Elementalist75.dbr</v>
      </c>
      <c r="Q77" t="str">
        <f t="shared" si="24"/>
        <v>echo itemCost,500000, &gt;&gt; .\items\materia\class0012\Elementalist75.dbr</v>
      </c>
      <c r="R77" t="str">
        <f t="shared" si="24"/>
        <v>echo description,dailCompDescElementalist75, &gt;&gt; .\items\materia\class0012\Elementalist75.dbr</v>
      </c>
      <c r="S77" t="str">
        <f t="shared" si="24"/>
        <v>echo itemText,dailCompTextElementalist75, &gt;&gt; .\items\materia\class0012\Elementalist75.dbr</v>
      </c>
      <c r="T77" t="str">
        <f t="shared" si="24"/>
        <v>echo augmentSkillLevel1,5, &gt;&gt; .\items\materia\class0012\Elementalist75.dbr</v>
      </c>
      <c r="U77" t="str">
        <f t="shared" si="24"/>
        <v>echo augmentSkillName1,records/skills/zenithclass02/elemental_flow.dbr, &gt;&gt; .\items\materia\class0012\Elementalist75.dbr</v>
      </c>
      <c r="V77" s="5" t="s">
        <v>36</v>
      </c>
      <c r="W77" t="str">
        <f t="shared" si="30"/>
        <v>echo lootName75,DAIL/items/materia/class0012/Elementalist75.dbr, &gt;&gt; .\items\loottables\dailoneskill0012.dbr</v>
      </c>
      <c r="X77" t="str">
        <f t="shared" si="30"/>
        <v>echo lootWeight75,1, &gt;&gt; .\items\loottables\dailoneskill0012.dbr</v>
      </c>
      <c r="Y77" s="5" t="s">
        <v>36</v>
      </c>
      <c r="Z77" t="str">
        <f t="shared" si="31"/>
        <v xml:space="preserve"> dailCompDescElementalist75=^pElementalist's Gift of DAIL</v>
      </c>
      <c r="AA77" t="str">
        <f t="shared" si="39"/>
        <v>dailCompTextElementalist75=^oThis feels warm to the touch, almost familiar ^w(This component only fits into the Medal Slot)</v>
      </c>
      <c r="AB77" s="5" t="s">
        <v>36</v>
      </c>
      <c r="AH77">
        <f t="shared" si="41"/>
        <v>72</v>
      </c>
      <c r="AI77">
        <f t="shared" si="35"/>
        <v>33</v>
      </c>
      <c r="AJ77">
        <f t="shared" si="40"/>
        <v>5</v>
      </c>
    </row>
    <row r="78" spans="1:36" x14ac:dyDescent="0.25">
      <c r="A78" s="5" t="s">
        <v>39</v>
      </c>
      <c r="B78" s="5" t="s">
        <v>30</v>
      </c>
      <c r="C78" s="5" t="str">
        <f t="shared" si="25"/>
        <v>description,dailCompDescElementalist,</v>
      </c>
      <c r="D78" s="5" t="str">
        <f t="shared" si="26"/>
        <v>itemText,dailCompTextElementalist,</v>
      </c>
      <c r="E78" s="5" t="str">
        <f t="shared" si="36"/>
        <v>augmentSkillLevel1,5,</v>
      </c>
      <c r="F78" s="5" t="str">
        <f t="shared" si="37"/>
        <v>augmentSkillName1,records/skills,</v>
      </c>
      <c r="G78" s="7" t="str">
        <f t="shared" si="32"/>
        <v/>
      </c>
      <c r="H78" s="8" t="str">
        <f t="shared" si="33"/>
        <v>Elementalist</v>
      </c>
      <c r="J78" s="8" t="str">
        <f t="shared" si="34"/>
        <v>class0012</v>
      </c>
      <c r="K78" s="8" t="str">
        <f t="shared" si="34"/>
        <v>dailoneskill0012</v>
      </c>
      <c r="L78" s="5" t="str">
        <f t="shared" si="27"/>
        <v>lootName,DAIL/items/materia/class0012/Elementalist.dbr,</v>
      </c>
      <c r="M78" s="5" t="str">
        <f t="shared" si="28"/>
        <v>lootWeight,1,</v>
      </c>
      <c r="N78" t="str">
        <f t="shared" si="29"/>
        <v>5</v>
      </c>
      <c r="O78" t="str">
        <f t="shared" si="38"/>
        <v/>
      </c>
      <c r="P78" t="str">
        <f t="shared" si="24"/>
        <v/>
      </c>
      <c r="Q78" t="str">
        <f t="shared" si="24"/>
        <v/>
      </c>
      <c r="R78" t="str">
        <f t="shared" si="24"/>
        <v/>
      </c>
      <c r="S78" t="str">
        <f t="shared" si="24"/>
        <v/>
      </c>
      <c r="T78" t="str">
        <f t="shared" si="24"/>
        <v/>
      </c>
      <c r="U78" t="str">
        <f t="shared" si="24"/>
        <v/>
      </c>
      <c r="V78" s="5" t="s">
        <v>36</v>
      </c>
      <c r="W78" t="str">
        <f t="shared" si="30"/>
        <v/>
      </c>
      <c r="X78" t="str">
        <f t="shared" si="30"/>
        <v/>
      </c>
      <c r="Y78" s="5" t="s">
        <v>36</v>
      </c>
      <c r="Z78" t="str">
        <f t="shared" si="31"/>
        <v xml:space="preserve"> dailCompDescElementalist=^pElementalist's Gift of DAIL</v>
      </c>
      <c r="AA78" t="str">
        <f t="shared" si="39"/>
        <v>dailCompTextElementalist=^oThis feels warm to the touch, almost familiar ^w(This component only fits into the Medal Slot)</v>
      </c>
      <c r="AB78" s="5" t="s">
        <v>36</v>
      </c>
      <c r="AH78">
        <f t="shared" si="41"/>
        <v>73</v>
      </c>
      <c r="AI78">
        <f t="shared" si="35"/>
        <v>0</v>
      </c>
      <c r="AJ78">
        <f t="shared" si="40"/>
        <v>5</v>
      </c>
    </row>
    <row r="79" spans="1:36" x14ac:dyDescent="0.25">
      <c r="A79" s="5" t="s">
        <v>39</v>
      </c>
      <c r="B79" s="5" t="s">
        <v>30</v>
      </c>
      <c r="C79" s="5" t="str">
        <f t="shared" si="25"/>
        <v>description,dailCompDescElementalist,</v>
      </c>
      <c r="D79" s="5" t="str">
        <f t="shared" si="26"/>
        <v>itemText,dailCompTextElementalist,</v>
      </c>
      <c r="E79" s="5" t="str">
        <f t="shared" si="36"/>
        <v>augmentSkillLevel1,5,</v>
      </c>
      <c r="F79" s="5" t="str">
        <f t="shared" si="37"/>
        <v>augmentSkillName1,records/skills,</v>
      </c>
      <c r="G79" s="7" t="str">
        <f t="shared" si="32"/>
        <v/>
      </c>
      <c r="H79" s="8" t="str">
        <f t="shared" si="33"/>
        <v>Elementalist</v>
      </c>
      <c r="J79" s="8" t="str">
        <f t="shared" si="34"/>
        <v>class0012</v>
      </c>
      <c r="K79" s="8" t="str">
        <f t="shared" si="34"/>
        <v>dailoneskill0012</v>
      </c>
      <c r="L79" s="5" t="str">
        <f t="shared" si="27"/>
        <v>lootName,DAIL/items/materia/class0012/Elementalist.dbr,</v>
      </c>
      <c r="M79" s="5" t="str">
        <f t="shared" si="28"/>
        <v>lootWeight,1,</v>
      </c>
      <c r="N79" t="str">
        <f t="shared" si="29"/>
        <v>5</v>
      </c>
      <c r="O79" t="str">
        <f t="shared" si="38"/>
        <v/>
      </c>
      <c r="P79" t="str">
        <f t="shared" si="24"/>
        <v/>
      </c>
      <c r="Q79" t="str">
        <f t="shared" si="24"/>
        <v/>
      </c>
      <c r="R79" t="str">
        <f t="shared" si="24"/>
        <v/>
      </c>
      <c r="S79" t="str">
        <f t="shared" si="24"/>
        <v/>
      </c>
      <c r="T79" t="str">
        <f t="shared" si="24"/>
        <v/>
      </c>
      <c r="U79" t="str">
        <f t="shared" si="24"/>
        <v/>
      </c>
      <c r="V79" s="5" t="s">
        <v>36</v>
      </c>
      <c r="W79" t="str">
        <f t="shared" si="30"/>
        <v/>
      </c>
      <c r="X79" t="str">
        <f t="shared" si="30"/>
        <v/>
      </c>
      <c r="Y79" s="5" t="s">
        <v>36</v>
      </c>
      <c r="Z79" t="str">
        <f t="shared" si="31"/>
        <v/>
      </c>
      <c r="AA79" t="str">
        <f t="shared" si="39"/>
        <v/>
      </c>
      <c r="AB79" s="5" t="s">
        <v>36</v>
      </c>
      <c r="AH79">
        <f t="shared" si="41"/>
        <v>74</v>
      </c>
      <c r="AI79">
        <f t="shared" si="35"/>
        <v>0</v>
      </c>
      <c r="AJ79">
        <f t="shared" si="40"/>
        <v>5</v>
      </c>
    </row>
    <row r="80" spans="1:36" x14ac:dyDescent="0.25">
      <c r="A80" s="5" t="s">
        <v>39</v>
      </c>
      <c r="B80" s="5" t="s">
        <v>30</v>
      </c>
      <c r="C80" s="5" t="str">
        <f t="shared" si="25"/>
        <v>description,dailCompDescElementalist,</v>
      </c>
      <c r="D80" s="5" t="str">
        <f t="shared" si="26"/>
        <v>itemText,dailCompTextElementalist,</v>
      </c>
      <c r="E80" s="5" t="str">
        <f t="shared" si="36"/>
        <v>augmentSkillLevel1,5,</v>
      </c>
      <c r="F80" s="5" t="str">
        <f t="shared" si="37"/>
        <v>augmentSkillName1,records/skills,</v>
      </c>
      <c r="G80" s="7" t="str">
        <f t="shared" si="32"/>
        <v/>
      </c>
      <c r="H80" s="8" t="str">
        <f t="shared" si="33"/>
        <v>Elementalist</v>
      </c>
      <c r="J80" s="8" t="str">
        <f t="shared" si="34"/>
        <v>class0012</v>
      </c>
      <c r="K80" s="8" t="str">
        <f t="shared" si="34"/>
        <v>dailoneskill0012</v>
      </c>
      <c r="L80" s="5" t="str">
        <f t="shared" si="27"/>
        <v>lootName,DAIL/items/materia/class0012/Elementalist.dbr,</v>
      </c>
      <c r="M80" s="5" t="str">
        <f t="shared" si="28"/>
        <v>lootWeight,1,</v>
      </c>
      <c r="N80" t="str">
        <f t="shared" si="29"/>
        <v>5</v>
      </c>
      <c r="O80" t="str">
        <f t="shared" si="38"/>
        <v/>
      </c>
      <c r="P80" t="str">
        <f t="shared" si="24"/>
        <v/>
      </c>
      <c r="Q80" t="str">
        <f t="shared" si="24"/>
        <v/>
      </c>
      <c r="R80" t="str">
        <f t="shared" si="24"/>
        <v/>
      </c>
      <c r="S80" t="str">
        <f t="shared" si="24"/>
        <v/>
      </c>
      <c r="T80" t="str">
        <f t="shared" si="24"/>
        <v/>
      </c>
      <c r="U80" t="str">
        <f t="shared" si="24"/>
        <v/>
      </c>
      <c r="V80" s="5" t="s">
        <v>36</v>
      </c>
      <c r="W80" t="str">
        <f t="shared" si="30"/>
        <v/>
      </c>
      <c r="X80" t="str">
        <f t="shared" si="30"/>
        <v/>
      </c>
      <c r="Y80" s="5" t="s">
        <v>36</v>
      </c>
      <c r="Z80" t="str">
        <f t="shared" si="31"/>
        <v/>
      </c>
      <c r="AA80" t="str">
        <f t="shared" si="39"/>
        <v/>
      </c>
      <c r="AB80" s="5" t="s">
        <v>36</v>
      </c>
      <c r="AH80">
        <f t="shared" si="41"/>
        <v>75</v>
      </c>
      <c r="AI80">
        <f t="shared" si="35"/>
        <v>0</v>
      </c>
      <c r="AJ80">
        <f t="shared" si="40"/>
        <v>5</v>
      </c>
    </row>
    <row r="81" spans="1:36" x14ac:dyDescent="0.25">
      <c r="A81" s="5" t="s">
        <v>39</v>
      </c>
      <c r="B81" s="5" t="s">
        <v>30</v>
      </c>
      <c r="C81" s="5" t="str">
        <f t="shared" si="25"/>
        <v>description,dailCompDescElementalist,</v>
      </c>
      <c r="D81" s="5" t="str">
        <f t="shared" si="26"/>
        <v>itemText,dailCompTextElementalist,</v>
      </c>
      <c r="E81" s="5" t="str">
        <f t="shared" si="36"/>
        <v>augmentSkillLevel1,5,</v>
      </c>
      <c r="F81" s="5" t="str">
        <f t="shared" si="37"/>
        <v>augmentSkillName1,records/skills,</v>
      </c>
      <c r="G81" s="7" t="str">
        <f t="shared" si="32"/>
        <v/>
      </c>
      <c r="H81" s="8" t="str">
        <f t="shared" si="33"/>
        <v>Elementalist</v>
      </c>
      <c r="J81" s="8" t="str">
        <f t="shared" si="34"/>
        <v>class0012</v>
      </c>
      <c r="K81" s="8" t="str">
        <f t="shared" si="34"/>
        <v>dailoneskill0012</v>
      </c>
      <c r="L81" s="5" t="str">
        <f t="shared" si="27"/>
        <v>lootName,DAIL/items/materia/class0012/Elementalist.dbr,</v>
      </c>
      <c r="M81" s="5" t="str">
        <f t="shared" si="28"/>
        <v>lootWeight,1,</v>
      </c>
      <c r="N81" t="str">
        <f t="shared" si="29"/>
        <v>5</v>
      </c>
      <c r="O81" t="str">
        <f t="shared" si="38"/>
        <v/>
      </c>
      <c r="P81" t="str">
        <f t="shared" si="24"/>
        <v/>
      </c>
      <c r="Q81" t="str">
        <f t="shared" si="24"/>
        <v/>
      </c>
      <c r="R81" t="str">
        <f t="shared" si="24"/>
        <v/>
      </c>
      <c r="S81" t="str">
        <f t="shared" si="24"/>
        <v/>
      </c>
      <c r="T81" t="str">
        <f t="shared" si="24"/>
        <v/>
      </c>
      <c r="U81" t="str">
        <f t="shared" si="24"/>
        <v/>
      </c>
      <c r="V81" s="5" t="s">
        <v>36</v>
      </c>
      <c r="W81" t="str">
        <f t="shared" si="30"/>
        <v/>
      </c>
      <c r="X81" t="str">
        <f t="shared" si="30"/>
        <v/>
      </c>
      <c r="Y81" s="5" t="s">
        <v>36</v>
      </c>
      <c r="Z81" t="str">
        <f t="shared" si="31"/>
        <v/>
      </c>
      <c r="AA81" t="str">
        <f t="shared" si="39"/>
        <v/>
      </c>
      <c r="AB81" s="5" t="s">
        <v>36</v>
      </c>
      <c r="AH81">
        <f t="shared" si="41"/>
        <v>76</v>
      </c>
      <c r="AI81">
        <f t="shared" si="35"/>
        <v>0</v>
      </c>
      <c r="AJ81">
        <f t="shared" si="40"/>
        <v>5</v>
      </c>
    </row>
    <row r="82" spans="1:36" x14ac:dyDescent="0.25">
      <c r="A82" s="5" t="s">
        <v>39</v>
      </c>
      <c r="B82" s="5" t="s">
        <v>30</v>
      </c>
      <c r="C82" s="5" t="str">
        <f t="shared" si="25"/>
        <v>description,dailCompDescElementalist,</v>
      </c>
      <c r="D82" s="5" t="str">
        <f t="shared" si="26"/>
        <v>itemText,dailCompTextElementalist,</v>
      </c>
      <c r="E82" s="5" t="str">
        <f t="shared" si="36"/>
        <v>augmentSkillLevel1,5,</v>
      </c>
      <c r="F82" s="5" t="str">
        <f t="shared" si="37"/>
        <v>augmentSkillName1,records/skills,</v>
      </c>
      <c r="G82" s="7" t="str">
        <f t="shared" si="32"/>
        <v/>
      </c>
      <c r="H82" s="8" t="str">
        <f t="shared" si="33"/>
        <v>Elementalist</v>
      </c>
      <c r="J82" s="8" t="str">
        <f t="shared" si="34"/>
        <v>class0012</v>
      </c>
      <c r="K82" s="8" t="str">
        <f t="shared" si="34"/>
        <v>dailoneskill0012</v>
      </c>
      <c r="L82" s="5" t="str">
        <f t="shared" si="27"/>
        <v>lootName,DAIL/items/materia/class0012/Elementalist.dbr,</v>
      </c>
      <c r="M82" s="5" t="str">
        <f t="shared" si="28"/>
        <v>lootWeight,1,</v>
      </c>
      <c r="N82" t="str">
        <f t="shared" si="29"/>
        <v>5</v>
      </c>
      <c r="O82" t="str">
        <f t="shared" si="38"/>
        <v/>
      </c>
      <c r="P82" t="str">
        <f t="shared" si="24"/>
        <v/>
      </c>
      <c r="Q82" t="str">
        <f t="shared" si="24"/>
        <v/>
      </c>
      <c r="R82" t="str">
        <f t="shared" si="24"/>
        <v/>
      </c>
      <c r="S82" t="str">
        <f t="shared" si="24"/>
        <v/>
      </c>
      <c r="T82" t="str">
        <f t="shared" si="24"/>
        <v/>
      </c>
      <c r="U82" t="str">
        <f t="shared" si="24"/>
        <v/>
      </c>
      <c r="V82" s="5" t="s">
        <v>36</v>
      </c>
      <c r="W82" t="str">
        <f t="shared" si="30"/>
        <v/>
      </c>
      <c r="X82" t="str">
        <f t="shared" si="30"/>
        <v/>
      </c>
      <c r="Y82" s="5" t="s">
        <v>36</v>
      </c>
      <c r="Z82" t="str">
        <f t="shared" si="31"/>
        <v/>
      </c>
      <c r="AA82" t="str">
        <f t="shared" si="39"/>
        <v/>
      </c>
      <c r="AB82" s="5" t="s">
        <v>36</v>
      </c>
      <c r="AH82">
        <f t="shared" si="41"/>
        <v>77</v>
      </c>
      <c r="AI82">
        <f t="shared" si="35"/>
        <v>0</v>
      </c>
      <c r="AJ82">
        <f t="shared" si="40"/>
        <v>5</v>
      </c>
    </row>
    <row r="83" spans="1:36" x14ac:dyDescent="0.25">
      <c r="A83" s="5" t="s">
        <v>39</v>
      </c>
      <c r="B83" s="5" t="s">
        <v>30</v>
      </c>
      <c r="C83" s="5" t="str">
        <f t="shared" si="25"/>
        <v>description,dailCompDescElementalist,</v>
      </c>
      <c r="D83" s="5" t="str">
        <f t="shared" si="26"/>
        <v>itemText,dailCompTextElementalist,</v>
      </c>
      <c r="E83" s="5" t="str">
        <f t="shared" si="36"/>
        <v>augmentSkillLevel1,5,</v>
      </c>
      <c r="F83" s="5" t="str">
        <f t="shared" si="37"/>
        <v>augmentSkillName1,records/skills,</v>
      </c>
      <c r="G83" s="7" t="str">
        <f t="shared" si="32"/>
        <v/>
      </c>
      <c r="H83" s="8" t="str">
        <f t="shared" si="33"/>
        <v>Elementalist</v>
      </c>
      <c r="J83" s="8" t="str">
        <f t="shared" si="34"/>
        <v>class0012</v>
      </c>
      <c r="K83" s="8" t="str">
        <f t="shared" si="34"/>
        <v>dailoneskill0012</v>
      </c>
      <c r="L83" s="5" t="str">
        <f t="shared" si="27"/>
        <v>lootName,DAIL/items/materia/class0012/Elementalist.dbr,</v>
      </c>
      <c r="M83" s="5" t="str">
        <f t="shared" si="28"/>
        <v>lootWeight,1,</v>
      </c>
      <c r="N83" t="str">
        <f t="shared" si="29"/>
        <v>5</v>
      </c>
      <c r="O83" t="str">
        <f t="shared" si="38"/>
        <v/>
      </c>
      <c r="P83" t="str">
        <f t="shared" si="24"/>
        <v/>
      </c>
      <c r="Q83" t="str">
        <f t="shared" si="24"/>
        <v/>
      </c>
      <c r="R83" t="str">
        <f t="shared" si="24"/>
        <v/>
      </c>
      <c r="S83" t="str">
        <f t="shared" si="24"/>
        <v/>
      </c>
      <c r="T83" t="str">
        <f t="shared" si="24"/>
        <v/>
      </c>
      <c r="U83" t="str">
        <f t="shared" si="24"/>
        <v/>
      </c>
      <c r="V83" s="5" t="s">
        <v>36</v>
      </c>
      <c r="W83" t="str">
        <f t="shared" si="30"/>
        <v/>
      </c>
      <c r="X83" t="str">
        <f t="shared" si="30"/>
        <v/>
      </c>
      <c r="Y83" s="5" t="s">
        <v>36</v>
      </c>
      <c r="Z83" t="str">
        <f t="shared" si="31"/>
        <v/>
      </c>
      <c r="AA83" t="str">
        <f t="shared" si="39"/>
        <v/>
      </c>
      <c r="AB83" s="5" t="s">
        <v>36</v>
      </c>
      <c r="AH83">
        <f t="shared" si="41"/>
        <v>78</v>
      </c>
      <c r="AI83">
        <f t="shared" si="35"/>
        <v>0</v>
      </c>
      <c r="AJ83">
        <f t="shared" si="40"/>
        <v>5</v>
      </c>
    </row>
    <row r="84" spans="1:36" x14ac:dyDescent="0.25">
      <c r="A84" s="5" t="s">
        <v>39</v>
      </c>
      <c r="B84" s="5" t="s">
        <v>30</v>
      </c>
      <c r="C84" s="5" t="str">
        <f t="shared" si="25"/>
        <v>description,dailCompDescElementalist,</v>
      </c>
      <c r="D84" s="5" t="str">
        <f t="shared" si="26"/>
        <v>itemText,dailCompTextElementalist,</v>
      </c>
      <c r="E84" s="5" t="str">
        <f t="shared" si="36"/>
        <v>augmentSkillLevel1,5,</v>
      </c>
      <c r="F84" s="5" t="str">
        <f t="shared" si="37"/>
        <v>augmentSkillName1,records/skills,</v>
      </c>
      <c r="G84" s="7" t="str">
        <f t="shared" si="32"/>
        <v/>
      </c>
      <c r="H84" s="8" t="str">
        <f t="shared" si="33"/>
        <v>Elementalist</v>
      </c>
      <c r="J84" s="8" t="str">
        <f t="shared" si="34"/>
        <v>class0012</v>
      </c>
      <c r="K84" s="8" t="str">
        <f t="shared" si="34"/>
        <v>dailoneskill0012</v>
      </c>
      <c r="L84" s="5" t="str">
        <f t="shared" si="27"/>
        <v>lootName,DAIL/items/materia/class0012/Elementalist.dbr,</v>
      </c>
      <c r="M84" s="5" t="str">
        <f t="shared" si="28"/>
        <v>lootWeight,1,</v>
      </c>
      <c r="N84" t="str">
        <f t="shared" si="29"/>
        <v>5</v>
      </c>
      <c r="O84" t="str">
        <f t="shared" si="38"/>
        <v/>
      </c>
      <c r="P84" t="str">
        <f t="shared" si="24"/>
        <v/>
      </c>
      <c r="Q84" t="str">
        <f t="shared" si="24"/>
        <v/>
      </c>
      <c r="R84" t="str">
        <f t="shared" si="24"/>
        <v/>
      </c>
      <c r="S84" t="str">
        <f t="shared" si="24"/>
        <v/>
      </c>
      <c r="T84" t="str">
        <f t="shared" si="24"/>
        <v/>
      </c>
      <c r="U84" t="str">
        <f t="shared" si="24"/>
        <v/>
      </c>
      <c r="V84" s="5" t="s">
        <v>36</v>
      </c>
      <c r="W84" t="str">
        <f t="shared" si="30"/>
        <v/>
      </c>
      <c r="X84" t="str">
        <f t="shared" si="30"/>
        <v/>
      </c>
      <c r="Y84" s="5" t="s">
        <v>36</v>
      </c>
      <c r="Z84" t="str">
        <f t="shared" si="31"/>
        <v/>
      </c>
      <c r="AA84" t="str">
        <f t="shared" si="39"/>
        <v/>
      </c>
      <c r="AB84" s="5" t="s">
        <v>36</v>
      </c>
      <c r="AH84">
        <f t="shared" si="41"/>
        <v>79</v>
      </c>
      <c r="AI84">
        <f t="shared" si="35"/>
        <v>0</v>
      </c>
      <c r="AJ84">
        <f t="shared" si="40"/>
        <v>5</v>
      </c>
    </row>
    <row r="85" spans="1:36" x14ac:dyDescent="0.25">
      <c r="A85" s="5" t="s">
        <v>39</v>
      </c>
      <c r="B85" s="5" t="s">
        <v>30</v>
      </c>
      <c r="C85" s="5" t="str">
        <f t="shared" si="25"/>
        <v>description,dailCompDescElementalist,</v>
      </c>
      <c r="D85" s="5" t="str">
        <f t="shared" si="26"/>
        <v>itemText,dailCompTextElementalist,</v>
      </c>
      <c r="E85" s="5" t="str">
        <f t="shared" si="36"/>
        <v>augmentSkillLevel1,5,</v>
      </c>
      <c r="F85" s="5" t="str">
        <f t="shared" si="37"/>
        <v>augmentSkillName1,records/skills,</v>
      </c>
      <c r="G85" s="7" t="str">
        <f t="shared" si="32"/>
        <v/>
      </c>
      <c r="H85" s="8" t="str">
        <f t="shared" si="33"/>
        <v>Elementalist</v>
      </c>
      <c r="J85" s="8" t="str">
        <f t="shared" ref="J85:K100" si="42">J84</f>
        <v>class0012</v>
      </c>
      <c r="K85" s="8" t="str">
        <f t="shared" si="42"/>
        <v>dailoneskill0012</v>
      </c>
      <c r="L85" s="5" t="str">
        <f t="shared" si="27"/>
        <v>lootName,DAIL/items/materia/class0012/Elementalist.dbr,</v>
      </c>
      <c r="M85" s="5" t="str">
        <f t="shared" si="28"/>
        <v>lootWeight,1,</v>
      </c>
      <c r="N85" t="str">
        <f t="shared" si="29"/>
        <v>5</v>
      </c>
      <c r="O85" t="str">
        <f t="shared" si="38"/>
        <v/>
      </c>
      <c r="P85" t="str">
        <f t="shared" si="24"/>
        <v/>
      </c>
      <c r="Q85" t="str">
        <f t="shared" si="24"/>
        <v/>
      </c>
      <c r="R85" t="str">
        <f t="shared" si="24"/>
        <v/>
      </c>
      <c r="S85" t="str">
        <f t="shared" si="24"/>
        <v/>
      </c>
      <c r="T85" t="str">
        <f t="shared" si="24"/>
        <v/>
      </c>
      <c r="U85" t="str">
        <f t="shared" si="24"/>
        <v/>
      </c>
      <c r="V85" s="5" t="s">
        <v>36</v>
      </c>
      <c r="W85" t="str">
        <f t="shared" si="30"/>
        <v/>
      </c>
      <c r="X85" t="str">
        <f t="shared" si="30"/>
        <v/>
      </c>
      <c r="Y85" s="5" t="s">
        <v>36</v>
      </c>
      <c r="Z85" t="str">
        <f t="shared" si="31"/>
        <v/>
      </c>
      <c r="AA85" t="str">
        <f t="shared" si="39"/>
        <v/>
      </c>
      <c r="AB85" s="5" t="s">
        <v>36</v>
      </c>
      <c r="AH85">
        <f t="shared" si="41"/>
        <v>80</v>
      </c>
      <c r="AI85">
        <f t="shared" si="35"/>
        <v>0</v>
      </c>
      <c r="AJ85">
        <f t="shared" si="40"/>
        <v>5</v>
      </c>
    </row>
    <row r="86" spans="1:36" x14ac:dyDescent="0.25">
      <c r="A86" s="5" t="s">
        <v>39</v>
      </c>
      <c r="B86" s="5" t="s">
        <v>30</v>
      </c>
      <c r="C86" s="5" t="str">
        <f t="shared" si="25"/>
        <v>description,dailCompDescElementalist,</v>
      </c>
      <c r="D86" s="5" t="str">
        <f t="shared" si="26"/>
        <v>itemText,dailCompTextElementalist,</v>
      </c>
      <c r="E86" s="5" t="str">
        <f t="shared" si="36"/>
        <v>augmentSkillLevel1,5,</v>
      </c>
      <c r="F86" s="5" t="str">
        <f t="shared" si="37"/>
        <v>augmentSkillName1,records/skills,</v>
      </c>
      <c r="G86" s="7" t="str">
        <f t="shared" si="32"/>
        <v/>
      </c>
      <c r="H86" s="8" t="str">
        <f t="shared" si="33"/>
        <v>Elementalist</v>
      </c>
      <c r="J86" s="8" t="str">
        <f t="shared" si="42"/>
        <v>class0012</v>
      </c>
      <c r="K86" s="8" t="str">
        <f t="shared" si="42"/>
        <v>dailoneskill0012</v>
      </c>
      <c r="L86" s="5" t="str">
        <f t="shared" si="27"/>
        <v>lootName,DAIL/items/materia/class0012/Elementalist.dbr,</v>
      </c>
      <c r="M86" s="5" t="str">
        <f t="shared" si="28"/>
        <v>lootWeight,1,</v>
      </c>
      <c r="N86" t="str">
        <f t="shared" si="29"/>
        <v>5</v>
      </c>
      <c r="O86" t="str">
        <f t="shared" si="38"/>
        <v/>
      </c>
      <c r="P86" t="str">
        <f t="shared" si="24"/>
        <v/>
      </c>
      <c r="Q86" t="str">
        <f t="shared" si="24"/>
        <v/>
      </c>
      <c r="R86" t="str">
        <f t="shared" si="24"/>
        <v/>
      </c>
      <c r="S86" t="str">
        <f t="shared" si="24"/>
        <v/>
      </c>
      <c r="T86" t="str">
        <f t="shared" si="24"/>
        <v/>
      </c>
      <c r="U86" t="str">
        <f t="shared" si="24"/>
        <v/>
      </c>
      <c r="V86" s="5" t="s">
        <v>36</v>
      </c>
      <c r="W86" t="str">
        <f t="shared" si="30"/>
        <v/>
      </c>
      <c r="X86" t="str">
        <f t="shared" si="30"/>
        <v/>
      </c>
      <c r="Y86" s="5" t="s">
        <v>36</v>
      </c>
      <c r="Z86" t="str">
        <f t="shared" si="31"/>
        <v/>
      </c>
      <c r="AA86" t="str">
        <f t="shared" si="39"/>
        <v/>
      </c>
      <c r="AB86" s="5" t="s">
        <v>36</v>
      </c>
      <c r="AH86">
        <f t="shared" si="41"/>
        <v>81</v>
      </c>
      <c r="AI86">
        <f t="shared" si="35"/>
        <v>0</v>
      </c>
      <c r="AJ86">
        <f t="shared" si="40"/>
        <v>5</v>
      </c>
    </row>
    <row r="87" spans="1:36" x14ac:dyDescent="0.25">
      <c r="A87" s="5" t="s">
        <v>39</v>
      </c>
      <c r="B87" s="5" t="s">
        <v>30</v>
      </c>
      <c r="C87" s="5" t="str">
        <f t="shared" si="25"/>
        <v>description,dailCompDescElementalist,</v>
      </c>
      <c r="D87" s="5" t="str">
        <f t="shared" si="26"/>
        <v>itemText,dailCompTextElementalist,</v>
      </c>
      <c r="E87" s="5" t="str">
        <f t="shared" si="36"/>
        <v>augmentSkillLevel1,5,</v>
      </c>
      <c r="F87" s="5" t="str">
        <f t="shared" si="37"/>
        <v>augmentSkillName1,records/skills,</v>
      </c>
      <c r="G87" s="7" t="str">
        <f t="shared" si="32"/>
        <v/>
      </c>
      <c r="H87" s="8" t="str">
        <f t="shared" si="33"/>
        <v>Elementalist</v>
      </c>
      <c r="J87" s="8" t="str">
        <f t="shared" si="42"/>
        <v>class0012</v>
      </c>
      <c r="K87" s="8" t="str">
        <f t="shared" si="42"/>
        <v>dailoneskill0012</v>
      </c>
      <c r="L87" s="5" t="str">
        <f t="shared" si="27"/>
        <v>lootName,DAIL/items/materia/class0012/Elementalist.dbr,</v>
      </c>
      <c r="M87" s="5" t="str">
        <f t="shared" si="28"/>
        <v>lootWeight,1,</v>
      </c>
      <c r="N87" t="str">
        <f t="shared" si="29"/>
        <v>5</v>
      </c>
      <c r="O87" t="str">
        <f t="shared" si="38"/>
        <v/>
      </c>
      <c r="P87" t="str">
        <f t="shared" si="24"/>
        <v/>
      </c>
      <c r="Q87" t="str">
        <f t="shared" si="24"/>
        <v/>
      </c>
      <c r="R87" t="str">
        <f t="shared" si="24"/>
        <v/>
      </c>
      <c r="S87" t="str">
        <f t="shared" si="24"/>
        <v/>
      </c>
      <c r="T87" t="str">
        <f t="shared" si="24"/>
        <v/>
      </c>
      <c r="U87" t="str">
        <f t="shared" si="24"/>
        <v/>
      </c>
      <c r="V87" s="5" t="s">
        <v>36</v>
      </c>
      <c r="W87" t="str">
        <f t="shared" si="30"/>
        <v/>
      </c>
      <c r="X87" t="str">
        <f t="shared" si="30"/>
        <v/>
      </c>
      <c r="Y87" s="5" t="s">
        <v>36</v>
      </c>
      <c r="Z87" t="str">
        <f t="shared" si="31"/>
        <v/>
      </c>
      <c r="AA87" t="str">
        <f t="shared" si="39"/>
        <v/>
      </c>
      <c r="AB87" s="5" t="s">
        <v>36</v>
      </c>
      <c r="AH87">
        <f t="shared" si="41"/>
        <v>82</v>
      </c>
      <c r="AI87">
        <f t="shared" si="35"/>
        <v>0</v>
      </c>
      <c r="AJ87">
        <f t="shared" si="40"/>
        <v>5</v>
      </c>
    </row>
    <row r="88" spans="1:36" x14ac:dyDescent="0.25">
      <c r="A88" s="5" t="s">
        <v>39</v>
      </c>
      <c r="B88" s="5" t="s">
        <v>30</v>
      </c>
      <c r="C88" s="5" t="str">
        <f t="shared" si="25"/>
        <v>description,dailCompDescElementalist,</v>
      </c>
      <c r="D88" s="5" t="str">
        <f t="shared" si="26"/>
        <v>itemText,dailCompTextElementalist,</v>
      </c>
      <c r="E88" s="5" t="str">
        <f t="shared" si="36"/>
        <v>augmentSkillLevel1,5,</v>
      </c>
      <c r="F88" s="5" t="str">
        <f t="shared" si="37"/>
        <v>augmentSkillName1,records/skills,</v>
      </c>
      <c r="G88" s="7" t="str">
        <f t="shared" si="32"/>
        <v/>
      </c>
      <c r="H88" s="8" t="str">
        <f t="shared" si="33"/>
        <v>Elementalist</v>
      </c>
      <c r="J88" s="8" t="str">
        <f t="shared" si="42"/>
        <v>class0012</v>
      </c>
      <c r="K88" s="8" t="str">
        <f t="shared" si="42"/>
        <v>dailoneskill0012</v>
      </c>
      <c r="L88" s="5" t="str">
        <f t="shared" si="27"/>
        <v>lootName,DAIL/items/materia/class0012/Elementalist.dbr,</v>
      </c>
      <c r="M88" s="5" t="str">
        <f t="shared" si="28"/>
        <v>lootWeight,1,</v>
      </c>
      <c r="N88" t="str">
        <f t="shared" si="29"/>
        <v>5</v>
      </c>
      <c r="O88" t="str">
        <f t="shared" si="38"/>
        <v/>
      </c>
      <c r="P88" t="str">
        <f t="shared" si="24"/>
        <v/>
      </c>
      <c r="Q88" t="str">
        <f t="shared" si="24"/>
        <v/>
      </c>
      <c r="R88" t="str">
        <f t="shared" si="24"/>
        <v/>
      </c>
      <c r="S88" t="str">
        <f t="shared" si="24"/>
        <v/>
      </c>
      <c r="T88" t="str">
        <f t="shared" si="24"/>
        <v/>
      </c>
      <c r="U88" t="str">
        <f t="shared" si="24"/>
        <v/>
      </c>
      <c r="V88" s="5" t="s">
        <v>36</v>
      </c>
      <c r="W88" t="str">
        <f t="shared" si="30"/>
        <v/>
      </c>
      <c r="X88" t="str">
        <f t="shared" si="30"/>
        <v/>
      </c>
      <c r="Y88" s="5" t="s">
        <v>36</v>
      </c>
      <c r="Z88" t="str">
        <f t="shared" si="31"/>
        <v/>
      </c>
      <c r="AA88" t="str">
        <f t="shared" si="39"/>
        <v/>
      </c>
      <c r="AB88" s="5" t="s">
        <v>36</v>
      </c>
      <c r="AH88">
        <f t="shared" si="41"/>
        <v>83</v>
      </c>
      <c r="AI88">
        <f t="shared" si="35"/>
        <v>0</v>
      </c>
      <c r="AJ88">
        <f t="shared" si="40"/>
        <v>5</v>
      </c>
    </row>
    <row r="89" spans="1:36" x14ac:dyDescent="0.25">
      <c r="A89" s="5" t="s">
        <v>39</v>
      </c>
      <c r="B89" s="5" t="s">
        <v>30</v>
      </c>
      <c r="C89" s="5" t="str">
        <f t="shared" si="25"/>
        <v>description,dailCompDescElementalist,</v>
      </c>
      <c r="D89" s="5" t="str">
        <f t="shared" si="26"/>
        <v>itemText,dailCompTextElementalist,</v>
      </c>
      <c r="E89" s="5" t="str">
        <f t="shared" si="36"/>
        <v>augmentSkillLevel1,5,</v>
      </c>
      <c r="F89" s="5" t="str">
        <f t="shared" si="37"/>
        <v>augmentSkillName1,records/skills,</v>
      </c>
      <c r="G89" s="7" t="str">
        <f t="shared" si="32"/>
        <v/>
      </c>
      <c r="H89" s="8" t="str">
        <f t="shared" si="33"/>
        <v>Elementalist</v>
      </c>
      <c r="J89" s="8" t="str">
        <f t="shared" si="42"/>
        <v>class0012</v>
      </c>
      <c r="K89" s="8" t="str">
        <f t="shared" si="42"/>
        <v>dailoneskill0012</v>
      </c>
      <c r="L89" s="5" t="str">
        <f t="shared" si="27"/>
        <v>lootName,DAIL/items/materia/class0012/Elementalist.dbr,</v>
      </c>
      <c r="M89" s="5" t="str">
        <f t="shared" si="28"/>
        <v>lootWeight,1,</v>
      </c>
      <c r="N89" t="str">
        <f t="shared" si="29"/>
        <v>5</v>
      </c>
      <c r="O89" t="str">
        <f t="shared" si="38"/>
        <v/>
      </c>
      <c r="P89" t="str">
        <f t="shared" si="24"/>
        <v/>
      </c>
      <c r="Q89" t="str">
        <f t="shared" si="24"/>
        <v/>
      </c>
      <c r="R89" t="str">
        <f t="shared" si="24"/>
        <v/>
      </c>
      <c r="S89" t="str">
        <f t="shared" si="24"/>
        <v/>
      </c>
      <c r="T89" t="str">
        <f t="shared" si="24"/>
        <v/>
      </c>
      <c r="U89" t="str">
        <f t="shared" si="24"/>
        <v/>
      </c>
      <c r="V89" s="5" t="s">
        <v>36</v>
      </c>
      <c r="W89" t="str">
        <f t="shared" si="30"/>
        <v/>
      </c>
      <c r="X89" t="str">
        <f t="shared" si="30"/>
        <v/>
      </c>
      <c r="Y89" s="5" t="s">
        <v>36</v>
      </c>
      <c r="Z89" t="str">
        <f t="shared" si="31"/>
        <v/>
      </c>
      <c r="AA89" t="str">
        <f t="shared" si="39"/>
        <v/>
      </c>
      <c r="AB89" s="5" t="s">
        <v>36</v>
      </c>
      <c r="AH89">
        <f t="shared" si="41"/>
        <v>84</v>
      </c>
      <c r="AI89">
        <f t="shared" si="35"/>
        <v>0</v>
      </c>
      <c r="AJ89">
        <f t="shared" si="40"/>
        <v>5</v>
      </c>
    </row>
    <row r="90" spans="1:36" x14ac:dyDescent="0.25">
      <c r="A90" s="5" t="s">
        <v>39</v>
      </c>
      <c r="B90" s="5" t="s">
        <v>30</v>
      </c>
      <c r="C90" s="5" t="str">
        <f t="shared" si="25"/>
        <v>description,dailCompDescElementalist,</v>
      </c>
      <c r="D90" s="5" t="str">
        <f t="shared" si="26"/>
        <v>itemText,dailCompTextElementalist,</v>
      </c>
      <c r="E90" s="5" t="str">
        <f t="shared" si="36"/>
        <v>augmentSkillLevel1,5,</v>
      </c>
      <c r="F90" s="5" t="str">
        <f t="shared" si="37"/>
        <v>augmentSkillName1,records/skills,</v>
      </c>
      <c r="G90" s="7" t="str">
        <f t="shared" si="32"/>
        <v/>
      </c>
      <c r="H90" s="8" t="str">
        <f t="shared" si="33"/>
        <v>Elementalist</v>
      </c>
      <c r="J90" s="8" t="str">
        <f t="shared" si="42"/>
        <v>class0012</v>
      </c>
      <c r="K90" s="8" t="str">
        <f t="shared" si="42"/>
        <v>dailoneskill0012</v>
      </c>
      <c r="L90" s="5" t="str">
        <f t="shared" si="27"/>
        <v>lootName,DAIL/items/materia/class0012/Elementalist.dbr,</v>
      </c>
      <c r="M90" s="5" t="str">
        <f t="shared" si="28"/>
        <v>lootWeight,1,</v>
      </c>
      <c r="N90" t="str">
        <f t="shared" si="29"/>
        <v>5</v>
      </c>
      <c r="O90" t="str">
        <f t="shared" si="38"/>
        <v/>
      </c>
      <c r="P90" t="str">
        <f t="shared" si="24"/>
        <v/>
      </c>
      <c r="Q90" t="str">
        <f t="shared" si="24"/>
        <v/>
      </c>
      <c r="R90" t="str">
        <f t="shared" si="24"/>
        <v/>
      </c>
      <c r="S90" t="str">
        <f t="shared" si="24"/>
        <v/>
      </c>
      <c r="T90" t="str">
        <f t="shared" si="24"/>
        <v/>
      </c>
      <c r="U90" t="str">
        <f t="shared" si="24"/>
        <v/>
      </c>
      <c r="V90" s="5" t="s">
        <v>36</v>
      </c>
      <c r="W90" t="str">
        <f t="shared" si="30"/>
        <v/>
      </c>
      <c r="X90" t="str">
        <f t="shared" si="30"/>
        <v/>
      </c>
      <c r="Y90" s="5" t="s">
        <v>36</v>
      </c>
      <c r="Z90" t="str">
        <f t="shared" si="31"/>
        <v/>
      </c>
      <c r="AA90" t="str">
        <f t="shared" si="39"/>
        <v/>
      </c>
      <c r="AB90" s="5" t="s">
        <v>36</v>
      </c>
      <c r="AH90">
        <f t="shared" si="41"/>
        <v>85</v>
      </c>
      <c r="AI90">
        <f t="shared" si="35"/>
        <v>0</v>
      </c>
      <c r="AJ90">
        <f t="shared" si="40"/>
        <v>5</v>
      </c>
    </row>
    <row r="91" spans="1:36" x14ac:dyDescent="0.25">
      <c r="A91" s="5" t="s">
        <v>39</v>
      </c>
      <c r="B91" s="5" t="s">
        <v>30</v>
      </c>
      <c r="C91" s="5" t="str">
        <f t="shared" si="25"/>
        <v>description,dailCompDescElementalist,</v>
      </c>
      <c r="D91" s="5" t="str">
        <f t="shared" si="26"/>
        <v>itemText,dailCompTextElementalist,</v>
      </c>
      <c r="E91" s="5" t="str">
        <f t="shared" si="36"/>
        <v>augmentSkillLevel1,5,</v>
      </c>
      <c r="F91" s="5" t="str">
        <f t="shared" si="37"/>
        <v>augmentSkillName1,records/skills,</v>
      </c>
      <c r="G91" s="7" t="str">
        <f t="shared" si="32"/>
        <v/>
      </c>
      <c r="H91" s="8" t="str">
        <f t="shared" si="33"/>
        <v>Elementalist</v>
      </c>
      <c r="J91" s="8" t="str">
        <f t="shared" si="42"/>
        <v>class0012</v>
      </c>
      <c r="K91" s="8" t="str">
        <f t="shared" si="42"/>
        <v>dailoneskill0012</v>
      </c>
      <c r="L91" s="5" t="str">
        <f t="shared" si="27"/>
        <v>lootName,DAIL/items/materia/class0012/Elementalist.dbr,</v>
      </c>
      <c r="M91" s="5" t="str">
        <f t="shared" si="28"/>
        <v>lootWeight,1,</v>
      </c>
      <c r="N91" t="str">
        <f t="shared" si="29"/>
        <v>5</v>
      </c>
      <c r="O91" t="str">
        <f t="shared" si="38"/>
        <v/>
      </c>
      <c r="P91" t="str">
        <f t="shared" si="24"/>
        <v/>
      </c>
      <c r="Q91" t="str">
        <f t="shared" si="24"/>
        <v/>
      </c>
      <c r="R91" t="str">
        <f t="shared" si="24"/>
        <v/>
      </c>
      <c r="S91" t="str">
        <f t="shared" si="24"/>
        <v/>
      </c>
      <c r="T91" t="str">
        <f t="shared" si="24"/>
        <v/>
      </c>
      <c r="U91" t="str">
        <f t="shared" si="24"/>
        <v/>
      </c>
      <c r="V91" s="5" t="s">
        <v>36</v>
      </c>
      <c r="W91" t="str">
        <f t="shared" si="30"/>
        <v/>
      </c>
      <c r="X91" t="str">
        <f t="shared" si="30"/>
        <v/>
      </c>
      <c r="Y91" s="5" t="s">
        <v>36</v>
      </c>
      <c r="Z91" t="str">
        <f t="shared" si="31"/>
        <v/>
      </c>
      <c r="AA91" t="str">
        <f t="shared" si="39"/>
        <v/>
      </c>
      <c r="AB91" s="5" t="s">
        <v>36</v>
      </c>
      <c r="AH91">
        <f t="shared" si="41"/>
        <v>86</v>
      </c>
      <c r="AI91">
        <f t="shared" si="35"/>
        <v>0</v>
      </c>
      <c r="AJ91">
        <f t="shared" si="40"/>
        <v>5</v>
      </c>
    </row>
    <row r="92" spans="1:36" x14ac:dyDescent="0.25">
      <c r="A92" s="5" t="s">
        <v>39</v>
      </c>
      <c r="B92" s="5" t="s">
        <v>30</v>
      </c>
      <c r="C92" s="5" t="str">
        <f t="shared" si="25"/>
        <v>description,dailCompDescElementalist,</v>
      </c>
      <c r="D92" s="5" t="str">
        <f t="shared" si="26"/>
        <v>itemText,dailCompTextElementalist,</v>
      </c>
      <c r="E92" s="5" t="str">
        <f t="shared" si="36"/>
        <v>augmentSkillLevel1,5,</v>
      </c>
      <c r="F92" s="5" t="str">
        <f t="shared" si="37"/>
        <v>augmentSkillName1,records/skills,</v>
      </c>
      <c r="G92" s="7" t="str">
        <f t="shared" si="32"/>
        <v/>
      </c>
      <c r="H92" s="8" t="str">
        <f t="shared" si="33"/>
        <v>Elementalist</v>
      </c>
      <c r="J92" s="8" t="str">
        <f t="shared" si="42"/>
        <v>class0012</v>
      </c>
      <c r="K92" s="8" t="str">
        <f t="shared" si="42"/>
        <v>dailoneskill0012</v>
      </c>
      <c r="L92" s="5" t="str">
        <f t="shared" si="27"/>
        <v>lootName,DAIL/items/materia/class0012/Elementalist.dbr,</v>
      </c>
      <c r="M92" s="5" t="str">
        <f t="shared" si="28"/>
        <v>lootWeight,1,</v>
      </c>
      <c r="N92" t="str">
        <f t="shared" si="29"/>
        <v>5</v>
      </c>
      <c r="O92" t="str">
        <f t="shared" si="38"/>
        <v/>
      </c>
      <c r="P92" t="str">
        <f t="shared" si="24"/>
        <v/>
      </c>
      <c r="Q92" t="str">
        <f t="shared" si="24"/>
        <v/>
      </c>
      <c r="R92" t="str">
        <f t="shared" si="24"/>
        <v/>
      </c>
      <c r="S92" t="str">
        <f t="shared" si="24"/>
        <v/>
      </c>
      <c r="T92" t="str">
        <f t="shared" si="24"/>
        <v/>
      </c>
      <c r="U92" t="str">
        <f t="shared" si="24"/>
        <v/>
      </c>
      <c r="V92" s="5" t="s">
        <v>36</v>
      </c>
      <c r="W92" t="str">
        <f t="shared" si="30"/>
        <v/>
      </c>
      <c r="X92" t="str">
        <f t="shared" si="30"/>
        <v/>
      </c>
      <c r="Y92" s="5" t="s">
        <v>36</v>
      </c>
      <c r="Z92" t="str">
        <f t="shared" si="31"/>
        <v/>
      </c>
      <c r="AA92" t="str">
        <f t="shared" si="39"/>
        <v/>
      </c>
      <c r="AB92" s="5" t="s">
        <v>36</v>
      </c>
      <c r="AH92">
        <f t="shared" si="41"/>
        <v>87</v>
      </c>
      <c r="AI92">
        <f t="shared" si="35"/>
        <v>0</v>
      </c>
      <c r="AJ92">
        <f t="shared" si="40"/>
        <v>5</v>
      </c>
    </row>
    <row r="93" spans="1:36" x14ac:dyDescent="0.25">
      <c r="A93" s="5" t="s">
        <v>39</v>
      </c>
      <c r="B93" s="5" t="s">
        <v>30</v>
      </c>
      <c r="C93" s="5" t="str">
        <f t="shared" si="25"/>
        <v>description,dailCompDescElementalist,</v>
      </c>
      <c r="D93" s="5" t="str">
        <f t="shared" si="26"/>
        <v>itemText,dailCompTextElementalist,</v>
      </c>
      <c r="E93" s="5" t="str">
        <f t="shared" si="36"/>
        <v>augmentSkillLevel1,5,</v>
      </c>
      <c r="F93" s="5" t="str">
        <f t="shared" si="37"/>
        <v>augmentSkillName1,records/skills,</v>
      </c>
      <c r="G93" s="7" t="str">
        <f t="shared" si="32"/>
        <v/>
      </c>
      <c r="H93" s="8" t="str">
        <f t="shared" si="33"/>
        <v>Elementalist</v>
      </c>
      <c r="J93" s="8" t="str">
        <f t="shared" si="42"/>
        <v>class0012</v>
      </c>
      <c r="K93" s="8" t="str">
        <f t="shared" si="42"/>
        <v>dailoneskill0012</v>
      </c>
      <c r="L93" s="5" t="str">
        <f t="shared" si="27"/>
        <v>lootName,DAIL/items/materia/class0012/Elementalist.dbr,</v>
      </c>
      <c r="M93" s="5" t="str">
        <f t="shared" si="28"/>
        <v>lootWeight,1,</v>
      </c>
      <c r="N93" t="str">
        <f t="shared" si="29"/>
        <v>5</v>
      </c>
      <c r="O93" t="str">
        <f t="shared" si="38"/>
        <v/>
      </c>
      <c r="P93" t="str">
        <f t="shared" si="24"/>
        <v/>
      </c>
      <c r="Q93" t="str">
        <f t="shared" si="24"/>
        <v/>
      </c>
      <c r="R93" t="str">
        <f t="shared" si="24"/>
        <v/>
      </c>
      <c r="S93" t="str">
        <f t="shared" si="24"/>
        <v/>
      </c>
      <c r="T93" t="str">
        <f t="shared" si="24"/>
        <v/>
      </c>
      <c r="U93" t="str">
        <f t="shared" si="24"/>
        <v/>
      </c>
      <c r="V93" s="5" t="s">
        <v>36</v>
      </c>
      <c r="W93" t="str">
        <f t="shared" si="30"/>
        <v/>
      </c>
      <c r="X93" t="str">
        <f t="shared" si="30"/>
        <v/>
      </c>
      <c r="Y93" s="5" t="s">
        <v>36</v>
      </c>
      <c r="Z93" t="str">
        <f t="shared" si="31"/>
        <v/>
      </c>
      <c r="AA93" t="str">
        <f t="shared" si="39"/>
        <v/>
      </c>
      <c r="AB93" s="5" t="s">
        <v>36</v>
      </c>
      <c r="AH93">
        <f t="shared" si="41"/>
        <v>88</v>
      </c>
      <c r="AI93">
        <f t="shared" si="35"/>
        <v>0</v>
      </c>
      <c r="AJ93">
        <f t="shared" si="40"/>
        <v>5</v>
      </c>
    </row>
    <row r="94" spans="1:36" x14ac:dyDescent="0.25">
      <c r="A94" s="5" t="s">
        <v>39</v>
      </c>
      <c r="B94" s="5" t="s">
        <v>30</v>
      </c>
      <c r="C94" s="5" t="str">
        <f t="shared" si="25"/>
        <v>description,dailCompDescElementalist,</v>
      </c>
      <c r="D94" s="5" t="str">
        <f t="shared" si="26"/>
        <v>itemText,dailCompTextElementalist,</v>
      </c>
      <c r="E94" s="5" t="str">
        <f t="shared" si="36"/>
        <v>augmentSkillLevel1,5,</v>
      </c>
      <c r="F94" s="5" t="str">
        <f t="shared" si="37"/>
        <v>augmentSkillName1,records/skills,</v>
      </c>
      <c r="G94" s="7" t="str">
        <f t="shared" si="32"/>
        <v/>
      </c>
      <c r="H94" s="8" t="str">
        <f t="shared" si="33"/>
        <v>Elementalist</v>
      </c>
      <c r="J94" s="8" t="str">
        <f t="shared" si="42"/>
        <v>class0012</v>
      </c>
      <c r="K94" s="8" t="str">
        <f t="shared" si="42"/>
        <v>dailoneskill0012</v>
      </c>
      <c r="L94" s="5" t="str">
        <f t="shared" si="27"/>
        <v>lootName,DAIL/items/materia/class0012/Elementalist.dbr,</v>
      </c>
      <c r="M94" s="5" t="str">
        <f t="shared" si="28"/>
        <v>lootWeight,1,</v>
      </c>
      <c r="N94" t="str">
        <f t="shared" si="29"/>
        <v>5</v>
      </c>
      <c r="O94" t="str">
        <f t="shared" si="38"/>
        <v/>
      </c>
      <c r="P94" t="str">
        <f t="shared" si="24"/>
        <v/>
      </c>
      <c r="Q94" t="str">
        <f t="shared" si="24"/>
        <v/>
      </c>
      <c r="R94" t="str">
        <f t="shared" si="24"/>
        <v/>
      </c>
      <c r="S94" t="str">
        <f t="shared" si="24"/>
        <v/>
      </c>
      <c r="T94" t="str">
        <f t="shared" si="24"/>
        <v/>
      </c>
      <c r="U94" t="str">
        <f t="shared" si="24"/>
        <v/>
      </c>
      <c r="V94" s="5" t="s">
        <v>36</v>
      </c>
      <c r="W94" t="str">
        <f t="shared" si="30"/>
        <v/>
      </c>
      <c r="X94" t="str">
        <f t="shared" si="30"/>
        <v/>
      </c>
      <c r="Y94" s="5" t="s">
        <v>36</v>
      </c>
      <c r="Z94" t="str">
        <f t="shared" si="31"/>
        <v/>
      </c>
      <c r="AA94" t="str">
        <f t="shared" si="39"/>
        <v/>
      </c>
      <c r="AB94" s="5" t="s">
        <v>36</v>
      </c>
      <c r="AH94">
        <f t="shared" si="41"/>
        <v>89</v>
      </c>
      <c r="AI94">
        <f t="shared" si="35"/>
        <v>0</v>
      </c>
      <c r="AJ94">
        <f t="shared" si="40"/>
        <v>5</v>
      </c>
    </row>
    <row r="95" spans="1:36" x14ac:dyDescent="0.25">
      <c r="A95" s="5" t="s">
        <v>39</v>
      </c>
      <c r="B95" s="5" t="s">
        <v>30</v>
      </c>
      <c r="C95" s="5" t="str">
        <f t="shared" si="25"/>
        <v>description,dailCompDescElementalist,</v>
      </c>
      <c r="D95" s="5" t="str">
        <f t="shared" si="26"/>
        <v>itemText,dailCompTextElementalist,</v>
      </c>
      <c r="E95" s="5" t="str">
        <f t="shared" si="36"/>
        <v>augmentSkillLevel1,5,</v>
      </c>
      <c r="F95" s="5" t="str">
        <f t="shared" si="37"/>
        <v>augmentSkillName1,records/skills,</v>
      </c>
      <c r="G95" s="7" t="str">
        <f t="shared" si="32"/>
        <v/>
      </c>
      <c r="H95" s="8" t="str">
        <f t="shared" si="33"/>
        <v>Elementalist</v>
      </c>
      <c r="J95" s="8" t="str">
        <f t="shared" si="42"/>
        <v>class0012</v>
      </c>
      <c r="K95" s="8" t="str">
        <f t="shared" si="42"/>
        <v>dailoneskill0012</v>
      </c>
      <c r="L95" s="5" t="str">
        <f t="shared" si="27"/>
        <v>lootName,DAIL/items/materia/class0012/Elementalist.dbr,</v>
      </c>
      <c r="M95" s="5" t="str">
        <f t="shared" si="28"/>
        <v>lootWeight,1,</v>
      </c>
      <c r="N95" t="str">
        <f t="shared" si="29"/>
        <v>5</v>
      </c>
      <c r="O95" t="str">
        <f t="shared" si="38"/>
        <v/>
      </c>
      <c r="P95" t="str">
        <f t="shared" si="24"/>
        <v/>
      </c>
      <c r="Q95" t="str">
        <f t="shared" si="24"/>
        <v/>
      </c>
      <c r="R95" t="str">
        <f t="shared" si="24"/>
        <v/>
      </c>
      <c r="S95" t="str">
        <f t="shared" si="24"/>
        <v/>
      </c>
      <c r="T95" t="str">
        <f t="shared" si="24"/>
        <v/>
      </c>
      <c r="U95" t="str">
        <f t="shared" si="24"/>
        <v/>
      </c>
      <c r="V95" s="5" t="s">
        <v>36</v>
      </c>
      <c r="W95" t="str">
        <f t="shared" si="30"/>
        <v/>
      </c>
      <c r="X95" t="str">
        <f t="shared" si="30"/>
        <v/>
      </c>
      <c r="Y95" s="5" t="s">
        <v>36</v>
      </c>
      <c r="Z95" t="str">
        <f t="shared" si="31"/>
        <v/>
      </c>
      <c r="AA95" t="str">
        <f t="shared" si="39"/>
        <v/>
      </c>
      <c r="AB95" s="5" t="s">
        <v>36</v>
      </c>
      <c r="AH95">
        <f t="shared" si="41"/>
        <v>90</v>
      </c>
      <c r="AI95">
        <f t="shared" si="35"/>
        <v>0</v>
      </c>
      <c r="AJ95">
        <f t="shared" si="40"/>
        <v>5</v>
      </c>
    </row>
    <row r="96" spans="1:36" x14ac:dyDescent="0.25">
      <c r="A96" s="5" t="s">
        <v>39</v>
      </c>
      <c r="B96" s="5" t="s">
        <v>30</v>
      </c>
      <c r="C96" s="5" t="str">
        <f t="shared" si="25"/>
        <v>description,dailCompDescElementalist,</v>
      </c>
      <c r="D96" s="5" t="str">
        <f t="shared" si="26"/>
        <v>itemText,dailCompTextElementalist,</v>
      </c>
      <c r="E96" s="5" t="str">
        <f t="shared" si="36"/>
        <v>augmentSkillLevel1,5,</v>
      </c>
      <c r="F96" s="5" t="str">
        <f t="shared" si="37"/>
        <v>augmentSkillName1,records/skills,</v>
      </c>
      <c r="G96" s="7" t="str">
        <f t="shared" si="32"/>
        <v/>
      </c>
      <c r="H96" s="8" t="str">
        <f t="shared" si="33"/>
        <v>Elementalist</v>
      </c>
      <c r="J96" s="8" t="str">
        <f t="shared" si="42"/>
        <v>class0012</v>
      </c>
      <c r="K96" s="8" t="str">
        <f t="shared" si="42"/>
        <v>dailoneskill0012</v>
      </c>
      <c r="L96" s="5" t="str">
        <f t="shared" si="27"/>
        <v>lootName,DAIL/items/materia/class0012/Elementalist.dbr,</v>
      </c>
      <c r="M96" s="5" t="str">
        <f t="shared" si="28"/>
        <v>lootWeight,1,</v>
      </c>
      <c r="N96" t="str">
        <f t="shared" si="29"/>
        <v>5</v>
      </c>
      <c r="O96" t="str">
        <f t="shared" si="38"/>
        <v/>
      </c>
      <c r="P96" t="str">
        <f t="shared" si="24"/>
        <v/>
      </c>
      <c r="Q96" t="str">
        <f t="shared" si="24"/>
        <v/>
      </c>
      <c r="R96" t="str">
        <f t="shared" si="24"/>
        <v/>
      </c>
      <c r="S96" t="str">
        <f t="shared" si="24"/>
        <v/>
      </c>
      <c r="T96" t="str">
        <f t="shared" si="24"/>
        <v/>
      </c>
      <c r="U96" t="str">
        <f t="shared" si="24"/>
        <v/>
      </c>
      <c r="V96" s="5" t="s">
        <v>36</v>
      </c>
      <c r="W96" t="str">
        <f t="shared" si="30"/>
        <v/>
      </c>
      <c r="X96" t="str">
        <f t="shared" si="30"/>
        <v/>
      </c>
      <c r="Y96" s="5" t="s">
        <v>36</v>
      </c>
      <c r="Z96" t="str">
        <f t="shared" si="31"/>
        <v/>
      </c>
      <c r="AA96" t="str">
        <f t="shared" si="39"/>
        <v/>
      </c>
      <c r="AB96" s="5" t="s">
        <v>36</v>
      </c>
      <c r="AH96">
        <f t="shared" si="41"/>
        <v>91</v>
      </c>
      <c r="AI96">
        <f t="shared" si="35"/>
        <v>0</v>
      </c>
      <c r="AJ96">
        <f t="shared" si="40"/>
        <v>5</v>
      </c>
    </row>
    <row r="97" spans="1:36" x14ac:dyDescent="0.25">
      <c r="A97" s="5" t="s">
        <v>39</v>
      </c>
      <c r="B97" s="5" t="s">
        <v>30</v>
      </c>
      <c r="C97" s="5" t="str">
        <f t="shared" si="25"/>
        <v>description,dailCompDescElementalist,</v>
      </c>
      <c r="D97" s="5" t="str">
        <f t="shared" si="26"/>
        <v>itemText,dailCompTextElementalist,</v>
      </c>
      <c r="E97" s="5" t="str">
        <f t="shared" si="36"/>
        <v>augmentSkillLevel1,5,</v>
      </c>
      <c r="F97" s="5" t="str">
        <f t="shared" si="37"/>
        <v>augmentSkillName1,records/skills,</v>
      </c>
      <c r="G97" s="7" t="str">
        <f t="shared" si="32"/>
        <v/>
      </c>
      <c r="H97" s="8" t="str">
        <f t="shared" si="33"/>
        <v>Elementalist</v>
      </c>
      <c r="J97" s="8" t="str">
        <f t="shared" si="42"/>
        <v>class0012</v>
      </c>
      <c r="K97" s="8" t="str">
        <f t="shared" si="42"/>
        <v>dailoneskill0012</v>
      </c>
      <c r="L97" s="5" t="str">
        <f t="shared" si="27"/>
        <v>lootName,DAIL/items/materia/class0012/Elementalist.dbr,</v>
      </c>
      <c r="M97" s="5" t="str">
        <f t="shared" si="28"/>
        <v>lootWeight,1,</v>
      </c>
      <c r="N97" t="str">
        <f t="shared" si="29"/>
        <v>5</v>
      </c>
      <c r="O97" t="str">
        <f t="shared" si="38"/>
        <v/>
      </c>
      <c r="P97" t="str">
        <f t="shared" si="24"/>
        <v/>
      </c>
      <c r="Q97" t="str">
        <f t="shared" si="24"/>
        <v/>
      </c>
      <c r="R97" t="str">
        <f t="shared" si="24"/>
        <v/>
      </c>
      <c r="S97" t="str">
        <f t="shared" si="24"/>
        <v/>
      </c>
      <c r="T97" t="str">
        <f t="shared" si="24"/>
        <v/>
      </c>
      <c r="U97" t="str">
        <f t="shared" si="24"/>
        <v/>
      </c>
      <c r="V97" s="5" t="s">
        <v>36</v>
      </c>
      <c r="W97" t="str">
        <f t="shared" si="30"/>
        <v/>
      </c>
      <c r="X97" t="str">
        <f t="shared" si="30"/>
        <v/>
      </c>
      <c r="Y97" s="5" t="s">
        <v>36</v>
      </c>
      <c r="Z97" t="str">
        <f t="shared" si="31"/>
        <v/>
      </c>
      <c r="AA97" t="str">
        <f t="shared" si="39"/>
        <v/>
      </c>
      <c r="AB97" s="5" t="s">
        <v>36</v>
      </c>
      <c r="AH97">
        <f t="shared" si="41"/>
        <v>92</v>
      </c>
      <c r="AI97">
        <f t="shared" si="35"/>
        <v>0</v>
      </c>
      <c r="AJ97">
        <f t="shared" si="40"/>
        <v>5</v>
      </c>
    </row>
    <row r="98" spans="1:36" x14ac:dyDescent="0.25">
      <c r="A98" s="5" t="s">
        <v>39</v>
      </c>
      <c r="B98" s="5" t="s">
        <v>30</v>
      </c>
      <c r="C98" s="5" t="str">
        <f t="shared" si="25"/>
        <v>description,dailCompDescElementalist,</v>
      </c>
      <c r="D98" s="5" t="str">
        <f t="shared" si="26"/>
        <v>itemText,dailCompTextElementalist,</v>
      </c>
      <c r="E98" s="5" t="str">
        <f t="shared" si="36"/>
        <v>augmentSkillLevel1,5,</v>
      </c>
      <c r="F98" s="5" t="str">
        <f t="shared" si="37"/>
        <v>augmentSkillName1,records/skills,</v>
      </c>
      <c r="G98" s="7" t="str">
        <f t="shared" si="32"/>
        <v/>
      </c>
      <c r="H98" s="8" t="str">
        <f t="shared" si="33"/>
        <v>Elementalist</v>
      </c>
      <c r="J98" s="8" t="str">
        <f t="shared" si="42"/>
        <v>class0012</v>
      </c>
      <c r="K98" s="8" t="str">
        <f t="shared" si="42"/>
        <v>dailoneskill0012</v>
      </c>
      <c r="L98" s="5" t="str">
        <f t="shared" si="27"/>
        <v>lootName,DAIL/items/materia/class0012/Elementalist.dbr,</v>
      </c>
      <c r="M98" s="5" t="str">
        <f t="shared" si="28"/>
        <v>lootWeight,1,</v>
      </c>
      <c r="N98" t="str">
        <f t="shared" si="29"/>
        <v>5</v>
      </c>
      <c r="O98" t="str">
        <f t="shared" si="38"/>
        <v/>
      </c>
      <c r="P98" t="str">
        <f t="shared" si="24"/>
        <v/>
      </c>
      <c r="Q98" t="str">
        <f t="shared" si="24"/>
        <v/>
      </c>
      <c r="R98" t="str">
        <f t="shared" si="24"/>
        <v/>
      </c>
      <c r="S98" t="str">
        <f t="shared" si="24"/>
        <v/>
      </c>
      <c r="T98" t="str">
        <f t="shared" si="24"/>
        <v/>
      </c>
      <c r="U98" t="str">
        <f t="shared" si="24"/>
        <v/>
      </c>
      <c r="V98" s="5" t="s">
        <v>36</v>
      </c>
      <c r="W98" t="str">
        <f t="shared" si="30"/>
        <v/>
      </c>
      <c r="X98" t="str">
        <f t="shared" si="30"/>
        <v/>
      </c>
      <c r="Y98" s="5" t="s">
        <v>36</v>
      </c>
      <c r="Z98" t="str">
        <f t="shared" si="31"/>
        <v/>
      </c>
      <c r="AA98" t="str">
        <f t="shared" si="39"/>
        <v/>
      </c>
      <c r="AB98" s="5" t="s">
        <v>36</v>
      </c>
      <c r="AH98">
        <f t="shared" si="41"/>
        <v>93</v>
      </c>
      <c r="AI98">
        <f t="shared" si="35"/>
        <v>0</v>
      </c>
      <c r="AJ98">
        <f t="shared" si="40"/>
        <v>5</v>
      </c>
    </row>
    <row r="99" spans="1:36" x14ac:dyDescent="0.25">
      <c r="A99" s="5" t="s">
        <v>39</v>
      </c>
      <c r="B99" s="5" t="s">
        <v>30</v>
      </c>
      <c r="C99" s="5" t="str">
        <f t="shared" si="25"/>
        <v>description,dailCompDescElementalist,</v>
      </c>
      <c r="D99" s="5" t="str">
        <f t="shared" si="26"/>
        <v>itemText,dailCompTextElementalist,</v>
      </c>
      <c r="E99" s="5" t="str">
        <f t="shared" si="36"/>
        <v>augmentSkillLevel1,5,</v>
      </c>
      <c r="F99" s="5" t="str">
        <f t="shared" si="37"/>
        <v>augmentSkillName1,records/skills,</v>
      </c>
      <c r="G99" s="7" t="str">
        <f t="shared" si="32"/>
        <v/>
      </c>
      <c r="H99" s="8" t="str">
        <f t="shared" si="33"/>
        <v>Elementalist</v>
      </c>
      <c r="J99" s="8" t="str">
        <f t="shared" si="42"/>
        <v>class0012</v>
      </c>
      <c r="K99" s="8" t="str">
        <f t="shared" si="42"/>
        <v>dailoneskill0012</v>
      </c>
      <c r="L99" s="5" t="str">
        <f t="shared" si="27"/>
        <v>lootName,DAIL/items/materia/class0012/Elementalist.dbr,</v>
      </c>
      <c r="M99" s="5" t="str">
        <f t="shared" si="28"/>
        <v>lootWeight,1,</v>
      </c>
      <c r="N99" t="str">
        <f t="shared" si="29"/>
        <v>5</v>
      </c>
      <c r="O99" t="str">
        <f t="shared" si="38"/>
        <v/>
      </c>
      <c r="P99" t="str">
        <f t="shared" si="24"/>
        <v/>
      </c>
      <c r="Q99" t="str">
        <f t="shared" si="24"/>
        <v/>
      </c>
      <c r="R99" t="str">
        <f t="shared" si="24"/>
        <v/>
      </c>
      <c r="S99" t="str">
        <f t="shared" si="24"/>
        <v/>
      </c>
      <c r="T99" t="str">
        <f t="shared" si="24"/>
        <v/>
      </c>
      <c r="U99" t="str">
        <f t="shared" si="24"/>
        <v/>
      </c>
      <c r="V99" s="5" t="s">
        <v>36</v>
      </c>
      <c r="W99" t="str">
        <f t="shared" si="30"/>
        <v/>
      </c>
      <c r="X99" t="str">
        <f t="shared" si="30"/>
        <v/>
      </c>
      <c r="Y99" s="5" t="s">
        <v>36</v>
      </c>
      <c r="Z99" t="str">
        <f t="shared" si="31"/>
        <v/>
      </c>
      <c r="AA99" t="str">
        <f t="shared" si="39"/>
        <v/>
      </c>
      <c r="AB99" s="5" t="s">
        <v>36</v>
      </c>
      <c r="AH99">
        <f t="shared" si="41"/>
        <v>94</v>
      </c>
      <c r="AI99">
        <f t="shared" si="35"/>
        <v>0</v>
      </c>
      <c r="AJ99">
        <f t="shared" si="40"/>
        <v>5</v>
      </c>
    </row>
    <row r="100" spans="1:36" x14ac:dyDescent="0.25">
      <c r="A100" s="5" t="s">
        <v>39</v>
      </c>
      <c r="B100" s="5" t="s">
        <v>30</v>
      </c>
      <c r="C100" s="5" t="str">
        <f t="shared" si="25"/>
        <v>description,dailCompDescElementalist,</v>
      </c>
      <c r="D100" s="5" t="str">
        <f t="shared" si="26"/>
        <v>itemText,dailCompTextElementalist,</v>
      </c>
      <c r="E100" s="5" t="str">
        <f t="shared" si="36"/>
        <v>augmentSkillLevel1,5,</v>
      </c>
      <c r="F100" s="5" t="str">
        <f t="shared" si="37"/>
        <v>augmentSkillName1,records/skills,</v>
      </c>
      <c r="G100" s="7" t="str">
        <f t="shared" si="32"/>
        <v/>
      </c>
      <c r="H100" s="8" t="str">
        <f t="shared" si="33"/>
        <v>Elementalist</v>
      </c>
      <c r="J100" s="8" t="str">
        <f t="shared" si="42"/>
        <v>class0012</v>
      </c>
      <c r="K100" s="8" t="str">
        <f t="shared" si="42"/>
        <v>dailoneskill0012</v>
      </c>
      <c r="L100" s="5" t="str">
        <f t="shared" si="27"/>
        <v>lootName,DAIL/items/materia/class0012/Elementalist.dbr,</v>
      </c>
      <c r="M100" s="5" t="str">
        <f t="shared" si="28"/>
        <v>lootWeight,1,</v>
      </c>
      <c r="N100" t="str">
        <f t="shared" si="29"/>
        <v>5</v>
      </c>
      <c r="O100" t="str">
        <f t="shared" si="38"/>
        <v/>
      </c>
      <c r="P100" t="str">
        <f t="shared" si="24"/>
        <v/>
      </c>
      <c r="Q100" t="str">
        <f t="shared" si="24"/>
        <v/>
      </c>
      <c r="R100" t="str">
        <f t="shared" si="24"/>
        <v/>
      </c>
      <c r="S100" t="str">
        <f t="shared" si="24"/>
        <v/>
      </c>
      <c r="T100" t="str">
        <f t="shared" si="24"/>
        <v/>
      </c>
      <c r="U100" t="str">
        <f t="shared" si="24"/>
        <v/>
      </c>
      <c r="V100" s="5" t="s">
        <v>36</v>
      </c>
      <c r="W100" t="str">
        <f t="shared" si="30"/>
        <v/>
      </c>
      <c r="X100" t="str">
        <f t="shared" si="30"/>
        <v/>
      </c>
      <c r="Y100" s="5" t="s">
        <v>36</v>
      </c>
      <c r="Z100" t="str">
        <f t="shared" si="31"/>
        <v/>
      </c>
      <c r="AA100" t="str">
        <f t="shared" si="39"/>
        <v/>
      </c>
      <c r="AB100" s="5" t="s">
        <v>36</v>
      </c>
      <c r="AH100">
        <f t="shared" si="41"/>
        <v>95</v>
      </c>
      <c r="AI100">
        <f t="shared" si="35"/>
        <v>0</v>
      </c>
      <c r="AJ100">
        <f t="shared" si="40"/>
        <v>5</v>
      </c>
    </row>
    <row r="101" spans="1:36" x14ac:dyDescent="0.25">
      <c r="A101" s="5" t="s">
        <v>39</v>
      </c>
      <c r="B101" s="5" t="s">
        <v>30</v>
      </c>
      <c r="C101" s="5" t="str">
        <f t="shared" si="25"/>
        <v>description,dailCompDescElementalist,</v>
      </c>
      <c r="D101" s="5" t="str">
        <f t="shared" si="26"/>
        <v>itemText,dailCompTextElementalist,</v>
      </c>
      <c r="E101" s="5" t="str">
        <f t="shared" si="36"/>
        <v>augmentSkillLevel1,5,</v>
      </c>
      <c r="F101" s="5" t="str">
        <f t="shared" si="37"/>
        <v>augmentSkillName1,records/skills,</v>
      </c>
      <c r="G101" s="7" t="str">
        <f t="shared" si="32"/>
        <v/>
      </c>
      <c r="H101" s="8" t="str">
        <f t="shared" si="33"/>
        <v>Elementalist</v>
      </c>
      <c r="J101" s="8" t="str">
        <f t="shared" ref="J101:K102" si="43">J100</f>
        <v>class0012</v>
      </c>
      <c r="K101" s="8" t="str">
        <f t="shared" si="43"/>
        <v>dailoneskill0012</v>
      </c>
      <c r="L101" s="5" t="str">
        <f t="shared" si="27"/>
        <v>lootName,DAIL/items/materia/class0012/Elementalist.dbr,</v>
      </c>
      <c r="M101" s="5" t="str">
        <f t="shared" si="28"/>
        <v>lootWeight,1,</v>
      </c>
      <c r="N101" t="str">
        <f t="shared" si="29"/>
        <v>5</v>
      </c>
      <c r="O101" t="str">
        <f t="shared" si="38"/>
        <v/>
      </c>
      <c r="P101" t="str">
        <f t="shared" si="24"/>
        <v/>
      </c>
      <c r="Q101" t="str">
        <f t="shared" si="24"/>
        <v/>
      </c>
      <c r="R101" t="str">
        <f t="shared" si="24"/>
        <v/>
      </c>
      <c r="S101" t="str">
        <f t="shared" ref="S101:U102" si="44">IF($I101&lt;&gt;"","echo "&amp;D101&amp;" &gt;&gt; .\items\materia\"&amp;$J101&amp;"\"&amp;$H101&amp;$G101&amp;".dbr","")</f>
        <v/>
      </c>
      <c r="T101" t="str">
        <f t="shared" si="44"/>
        <v/>
      </c>
      <c r="U101" t="str">
        <f t="shared" si="44"/>
        <v/>
      </c>
      <c r="V101" s="5" t="s">
        <v>36</v>
      </c>
      <c r="W101" t="str">
        <f t="shared" si="30"/>
        <v/>
      </c>
      <c r="X101" t="str">
        <f t="shared" si="30"/>
        <v/>
      </c>
      <c r="Y101" s="5" t="s">
        <v>36</v>
      </c>
      <c r="Z101" t="str">
        <f t="shared" si="31"/>
        <v/>
      </c>
      <c r="AA101" t="str">
        <f t="shared" si="39"/>
        <v/>
      </c>
      <c r="AB101" s="5" t="s">
        <v>36</v>
      </c>
      <c r="AH101">
        <f t="shared" si="41"/>
        <v>96</v>
      </c>
      <c r="AI101">
        <f t="shared" si="35"/>
        <v>0</v>
      </c>
      <c r="AJ101">
        <f t="shared" si="40"/>
        <v>5</v>
      </c>
    </row>
    <row r="102" spans="1:36" x14ac:dyDescent="0.25">
      <c r="A102" s="5" t="s">
        <v>39</v>
      </c>
      <c r="B102" s="5" t="s">
        <v>30</v>
      </c>
      <c r="C102" s="5" t="str">
        <f t="shared" si="25"/>
        <v>description,dailCompDescElementalist,</v>
      </c>
      <c r="D102" s="5" t="str">
        <f t="shared" si="26"/>
        <v>itemText,dailCompTextElementalist,</v>
      </c>
      <c r="E102" s="5" t="str">
        <f t="shared" si="36"/>
        <v>augmentSkillLevel1,5,</v>
      </c>
      <c r="F102" s="5" t="str">
        <f t="shared" si="37"/>
        <v>augmentSkillName1,records/skills,</v>
      </c>
      <c r="G102" s="7" t="str">
        <f t="shared" si="32"/>
        <v/>
      </c>
      <c r="H102" s="8" t="str">
        <f t="shared" si="33"/>
        <v>Elementalist</v>
      </c>
      <c r="J102" s="8" t="str">
        <f t="shared" si="43"/>
        <v>class0012</v>
      </c>
      <c r="K102" s="8" t="str">
        <f t="shared" si="43"/>
        <v>dailoneskill0012</v>
      </c>
      <c r="L102" s="5" t="str">
        <f t="shared" si="27"/>
        <v>lootName,DAIL/items/materia/class0012/Elementalist.dbr,</v>
      </c>
      <c r="M102" s="5" t="str">
        <f t="shared" si="28"/>
        <v>lootWeight,1,</v>
      </c>
      <c r="N102" t="str">
        <f t="shared" si="29"/>
        <v>5</v>
      </c>
      <c r="O102" t="str">
        <f t="shared" si="38"/>
        <v/>
      </c>
      <c r="P102" t="str">
        <f t="shared" ref="P102:R102" si="45">IF($I102&lt;&gt;"","echo "&amp;A102&amp;" &gt;&gt; .\items\materia\"&amp;$J102&amp;"\"&amp;$H102&amp;$G102&amp;".dbr","")</f>
        <v/>
      </c>
      <c r="Q102" t="str">
        <f t="shared" si="45"/>
        <v/>
      </c>
      <c r="R102" t="str">
        <f t="shared" si="45"/>
        <v/>
      </c>
      <c r="S102" t="str">
        <f t="shared" si="44"/>
        <v/>
      </c>
      <c r="T102" t="str">
        <f t="shared" si="44"/>
        <v/>
      </c>
      <c r="U102" t="str">
        <f t="shared" si="44"/>
        <v/>
      </c>
      <c r="V102" s="5" t="s">
        <v>36</v>
      </c>
      <c r="W102" t="str">
        <f t="shared" si="30"/>
        <v/>
      </c>
      <c r="X102" t="str">
        <f t="shared" si="30"/>
        <v/>
      </c>
      <c r="Y102" s="5" t="s">
        <v>36</v>
      </c>
      <c r="Z102" t="str">
        <f t="shared" si="31"/>
        <v/>
      </c>
      <c r="AA102" t="str">
        <f t="shared" si="39"/>
        <v/>
      </c>
      <c r="AB102" s="5" t="s">
        <v>36</v>
      </c>
      <c r="AH102">
        <f t="shared" si="41"/>
        <v>97</v>
      </c>
      <c r="AI102">
        <f t="shared" si="35"/>
        <v>0</v>
      </c>
      <c r="AJ102">
        <f t="shared" si="40"/>
        <v>5</v>
      </c>
    </row>
  </sheetData>
  <mergeCells count="1">
    <mergeCell ref="O2:U2"/>
  </mergeCells>
  <pageMargins left="0.7" right="0.7" top="0.75" bottom="0.75" header="0.3" footer="0.3"/>
  <pageSetup orientation="portrait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AL102"/>
  <sheetViews>
    <sheetView topLeftCell="M1" zoomScaleNormal="100" workbookViewId="0">
      <selection activeCell="U3" sqref="U3:U102"/>
    </sheetView>
  </sheetViews>
  <sheetFormatPr defaultRowHeight="15" x14ac:dyDescent="0.25"/>
  <cols>
    <col min="1" max="1" width="73.85546875" style="5" bestFit="1" customWidth="1"/>
    <col min="2" max="2" width="16.28515625" style="5" bestFit="1" customWidth="1"/>
    <col min="3" max="3" width="32.7109375" style="5" bestFit="1" customWidth="1"/>
    <col min="4" max="4" width="31.42578125" style="5" bestFit="1" customWidth="1"/>
    <col min="5" max="5" width="24.28515625" style="5" bestFit="1" customWidth="1"/>
    <col min="6" max="6" width="73.5703125" style="5" bestFit="1" customWidth="1"/>
    <col min="7" max="7" width="5.85546875" style="8" bestFit="1" customWidth="1"/>
    <col min="8" max="8" width="7.85546875" style="3" bestFit="1" customWidth="1"/>
    <col min="9" max="9" width="38.140625" style="3" bestFit="1" customWidth="1"/>
    <col min="10" max="10" width="9.140625" style="3" bestFit="1" customWidth="1"/>
    <col min="11" max="11" width="18.140625" style="3" customWidth="1"/>
    <col min="12" max="12" width="51.85546875" style="5" bestFit="1" customWidth="1"/>
    <col min="13" max="13" width="21.28515625" style="5" customWidth="1"/>
    <col min="15" max="15" width="10.5703125" customWidth="1"/>
    <col min="22" max="22" width="1.5703125" style="5" customWidth="1"/>
    <col min="23" max="23" width="9.5703125" customWidth="1"/>
    <col min="25" max="25" width="1.5703125" style="5" bestFit="1" customWidth="1"/>
    <col min="26" max="26" width="46.7109375" bestFit="1" customWidth="1"/>
    <col min="27" max="27" width="29.140625" customWidth="1"/>
    <col min="28" max="28" width="1.5703125" style="5" bestFit="1" customWidth="1"/>
    <col min="31" max="31" width="14.140625" bestFit="1" customWidth="1"/>
  </cols>
  <sheetData>
    <row r="1" spans="1:38" x14ac:dyDescent="0.25">
      <c r="G1" s="5"/>
      <c r="H1" s="5"/>
      <c r="I1" s="5"/>
      <c r="J1" s="5"/>
      <c r="K1" s="5"/>
      <c r="N1" s="5"/>
      <c r="O1" s="9"/>
      <c r="P1" s="9"/>
      <c r="Q1" s="9"/>
      <c r="R1" s="9"/>
      <c r="S1" s="9"/>
      <c r="T1" s="9"/>
      <c r="U1" s="9"/>
      <c r="W1" s="9"/>
      <c r="X1" s="9"/>
      <c r="Z1" s="9"/>
      <c r="AA1" s="9"/>
    </row>
    <row r="2" spans="1:38" x14ac:dyDescent="0.25">
      <c r="A2" s="4" t="s">
        <v>2</v>
      </c>
      <c r="B2" s="4" t="s">
        <v>3</v>
      </c>
      <c r="C2" s="4" t="s">
        <v>4</v>
      </c>
      <c r="D2" s="4" t="s">
        <v>5</v>
      </c>
      <c r="E2" s="4" t="s">
        <v>6</v>
      </c>
      <c r="F2" s="4" t="s">
        <v>7</v>
      </c>
      <c r="G2" s="6" t="s">
        <v>9</v>
      </c>
      <c r="H2" s="2" t="s">
        <v>26</v>
      </c>
      <c r="I2" s="2" t="s">
        <v>8</v>
      </c>
      <c r="J2" s="2" t="s">
        <v>33</v>
      </c>
      <c r="K2" s="2" t="s">
        <v>38</v>
      </c>
      <c r="L2" s="4" t="s">
        <v>31</v>
      </c>
      <c r="M2" s="4" t="s">
        <v>32</v>
      </c>
      <c r="O2" s="11" t="str">
        <f>"Copy from N to T Into the files named "&amp;H3&amp;G3&amp;" etc"</f>
        <v>Copy from N to T Into the files named TerrorKnight1 etc</v>
      </c>
      <c r="P2" s="11"/>
      <c r="Q2" s="11"/>
      <c r="R2" s="11"/>
      <c r="S2" s="11"/>
      <c r="T2" s="11"/>
      <c r="U2" s="11"/>
      <c r="W2" s="1" t="s">
        <v>35</v>
      </c>
      <c r="Z2" s="1" t="s">
        <v>40</v>
      </c>
      <c r="AD2" t="s">
        <v>44</v>
      </c>
    </row>
    <row r="3" spans="1:38" x14ac:dyDescent="0.25">
      <c r="A3" s="5" t="s">
        <v>39</v>
      </c>
      <c r="B3" s="5" t="s">
        <v>0</v>
      </c>
      <c r="C3" s="5" t="str">
        <f t="shared" ref="C3:C66" si="0">"description,dailCompDesc"&amp;H3&amp;G3&amp;","</f>
        <v>description,dailCompDescTerrorKnight1,</v>
      </c>
      <c r="D3" s="5" t="str">
        <f>"itemText,dailCompText"&amp;H3&amp;G3&amp;","</f>
        <v>itemText,dailCompTextTerrorKnight1,</v>
      </c>
      <c r="E3" s="5" t="s">
        <v>24</v>
      </c>
      <c r="F3" s="5" t="str">
        <f>"augmentMasteryName1,records/skills"&amp;I3&amp;","</f>
        <v>augmentMasteryName1,records/skills/zenithclass01/_classtraining_class13.dbr,</v>
      </c>
      <c r="G3" s="7">
        <f>IF(I3&lt;&gt;"",1,"")</f>
        <v>1</v>
      </c>
      <c r="H3" s="3" t="s">
        <v>516</v>
      </c>
      <c r="I3" s="3" t="s">
        <v>211</v>
      </c>
      <c r="J3" s="3" t="s">
        <v>92</v>
      </c>
      <c r="K3" s="3" t="s">
        <v>93</v>
      </c>
      <c r="L3" s="5" t="str">
        <f>"lootName"&amp;G3&amp;",DAIL/items/materia/"&amp;J3&amp;"/"&amp;H3&amp;G3&amp;".dbr"&amp;","</f>
        <v>lootName1,DAIL/items/materia/class0013/TerrorKnight1.dbr,</v>
      </c>
      <c r="M3" s="5" t="str">
        <f>"lootWeight"&amp;G3&amp;",1,"</f>
        <v>lootWeight1,1,</v>
      </c>
      <c r="N3" t="str">
        <f>LEFT(RIGHT(E3,2),1)</f>
        <v>1</v>
      </c>
      <c r="O3" s="5" t="str">
        <f>IF(I3&lt;&gt;"","copy .\dail_base2.dbr .\items\materia\"&amp;J3&amp;"\"&amp;H3&amp;G3&amp;".dbr /y"&amp;"","")</f>
        <v>copy .\dail_base2.dbr .\items\materia\class0013\TerrorKnight1.dbr /y</v>
      </c>
      <c r="P3" t="str">
        <f>IF($I3&lt;&gt;"","echo "&amp;A3&amp;" &gt;&gt; .\items\materia\"&amp;$J3&amp;"\"&amp;$H3&amp;$G3&amp;".dbr","")</f>
        <v>echo relicBitmap,items/craftingparts/components/component_a52_bristlyfur_b.tex, &gt;&gt; .\items\materia\class0013\TerrorKnight1.dbr</v>
      </c>
      <c r="Q3" t="str">
        <f t="shared" ref="Q3:U18" si="1">IF($I3&lt;&gt;"","echo "&amp;B3&amp;" &gt;&gt; .\items\materia\"&amp;$J3&amp;"\"&amp;$H3&amp;$G3&amp;".dbr","")</f>
        <v>echo itemCost,100000, &gt;&gt; .\items\materia\class0013\TerrorKnight1.dbr</v>
      </c>
      <c r="R3" t="str">
        <f t="shared" si="1"/>
        <v>echo description,dailCompDescTerrorKnight1, &gt;&gt; .\items\materia\class0013\TerrorKnight1.dbr</v>
      </c>
      <c r="S3" t="str">
        <f t="shared" si="1"/>
        <v>echo itemText,dailCompTextTerrorKnight1, &gt;&gt; .\items\materia\class0013\TerrorKnight1.dbr</v>
      </c>
      <c r="T3" t="str">
        <f t="shared" si="1"/>
        <v>echo augmentMasteryLevel1,1, &gt;&gt; .\items\materia\class0013\TerrorKnight1.dbr</v>
      </c>
      <c r="U3" t="str">
        <f t="shared" si="1"/>
        <v>echo augmentMasteryName1,records/skills/zenithclass01/_classtraining_class13.dbr, &gt;&gt; .\items\materia\class0013\TerrorKnight1.dbr</v>
      </c>
      <c r="V3" s="5" t="s">
        <v>36</v>
      </c>
      <c r="W3" t="str">
        <f>IF($I3&lt;&gt;"","echo "&amp;L3&amp;" &gt;&gt; .\items\loottables\"&amp;$K3&amp;".dbr","")</f>
        <v>echo lootName1,DAIL/items/materia/class0013/TerrorKnight1.dbr, &gt;&gt; .\items\loottables\dailoneskill0013.dbr</v>
      </c>
      <c r="X3" t="str">
        <f>IF($I3&lt;&gt;"","echo "&amp;M3&amp;" &gt;&gt; .\items\loottables\"&amp;$K3&amp;".dbr","")</f>
        <v>echo lootWeight1,1, &gt;&gt; .\items\loottables\dailoneskill0013.dbr</v>
      </c>
      <c r="Y3" s="5" t="s">
        <v>36</v>
      </c>
      <c r="Z3" s="10" t="str">
        <f>IF(I2&lt;&gt;""," dailCompDesc"&amp;H3&amp;G3&amp;"=^p"&amp;H3&amp;"'s Gift of DAIL","")</f>
        <v xml:space="preserve"> dailCompDescTerrorKnight1=^pTerrorKnight's Gift of DAIL</v>
      </c>
      <c r="AA3" s="10" t="str">
        <f>IF(I2&lt;&gt;"","dailCompText"&amp;H3&amp;G3&amp;"=^oThis feels warm to the touch, almost familiar ^w(This component fits into the amulet only)","")</f>
        <v>dailCompTextTerrorKnight1=^oThis feels warm to the touch, almost familiar ^w(This component fits into the amulet only)</v>
      </c>
      <c r="AB3" s="5" t="s">
        <v>36</v>
      </c>
      <c r="AD3">
        <v>1</v>
      </c>
      <c r="AE3" t="s">
        <v>42</v>
      </c>
      <c r="AF3" t="s">
        <v>45</v>
      </c>
    </row>
    <row r="4" spans="1:38" x14ac:dyDescent="0.25">
      <c r="A4" s="5" t="s">
        <v>39</v>
      </c>
      <c r="B4" s="5" t="s">
        <v>28</v>
      </c>
      <c r="C4" s="5" t="str">
        <f t="shared" si="0"/>
        <v>description,dailCompDescTerrorKnight2,</v>
      </c>
      <c r="D4" s="5" t="str">
        <f t="shared" ref="D4:D67" si="2">"itemText,dailCompText"&amp;H4&amp;G4&amp;","</f>
        <v>itemText,dailCompTextTerrorKnight2,</v>
      </c>
      <c r="E4" s="5" t="s">
        <v>1</v>
      </c>
      <c r="F4" s="5" t="str">
        <f t="shared" ref="F4:F5" si="3">"augmentMasteryName1,records/skills"&amp;I4&amp;","</f>
        <v>augmentMasteryName1,records/skills/zenithclass01/_classtraining_class13.dbr,</v>
      </c>
      <c r="G4" s="7">
        <f>IF(I4&lt;&gt;"",G3+1,"")</f>
        <v>2</v>
      </c>
      <c r="H4" s="8" t="str">
        <f>H3</f>
        <v>TerrorKnight</v>
      </c>
      <c r="I4" s="3" t="s">
        <v>211</v>
      </c>
      <c r="J4" s="8" t="str">
        <f>J3</f>
        <v>class0013</v>
      </c>
      <c r="K4" s="8" t="str">
        <f>K3</f>
        <v>dailoneskill0013</v>
      </c>
      <c r="L4" s="5" t="str">
        <f t="shared" ref="L4:L67" si="4">"lootName"&amp;G4&amp;",DAIL/items/materia/"&amp;J4&amp;"/"&amp;H4&amp;G4&amp;".dbr"&amp;","</f>
        <v>lootName2,DAIL/items/materia/class0013/TerrorKnight2.dbr,</v>
      </c>
      <c r="M4" s="5" t="str">
        <f t="shared" ref="M4:M67" si="5">"lootWeight"&amp;G4&amp;",1,"</f>
        <v>lootWeight2,1,</v>
      </c>
      <c r="N4" t="str">
        <f t="shared" ref="N4:N67" si="6">LEFT(RIGHT(E4,2),1)</f>
        <v>2</v>
      </c>
      <c r="O4" s="5" t="str">
        <f>IF(I4&lt;&gt;"","copy .\dail_base2.dbr .\items\materia\"&amp;J4&amp;"\"&amp;H4&amp;G4&amp;".dbr /y"&amp;"","")</f>
        <v>copy .\dail_base2.dbr .\items\materia\class0013\TerrorKnight2.dbr /y</v>
      </c>
      <c r="P4" t="str">
        <f t="shared" ref="P4:U58" si="7">IF($I4&lt;&gt;"","echo "&amp;A4&amp;" &gt;&gt; .\items\materia\"&amp;$J4&amp;"\"&amp;$H4&amp;$G4&amp;".dbr","")</f>
        <v>echo relicBitmap,items/craftingparts/components/component_a52_bristlyfur_b.tex, &gt;&gt; .\items\materia\class0013\TerrorKnight2.dbr</v>
      </c>
      <c r="Q4" t="str">
        <f t="shared" si="1"/>
        <v>echo itemCost,300000, &gt;&gt; .\items\materia\class0013\TerrorKnight2.dbr</v>
      </c>
      <c r="R4" t="str">
        <f t="shared" si="1"/>
        <v>echo description,dailCompDescTerrorKnight2, &gt;&gt; .\items\materia\class0013\TerrorKnight2.dbr</v>
      </c>
      <c r="S4" t="str">
        <f t="shared" si="1"/>
        <v>echo itemText,dailCompTextTerrorKnight2, &gt;&gt; .\items\materia\class0013\TerrorKnight2.dbr</v>
      </c>
      <c r="T4" t="str">
        <f t="shared" si="1"/>
        <v>echo augmentMasteryLevel1,2, &gt;&gt; .\items\materia\class0013\TerrorKnight2.dbr</v>
      </c>
      <c r="U4" t="str">
        <f t="shared" si="1"/>
        <v>echo augmentMasteryName1,records/skills/zenithclass01/_classtraining_class13.dbr, &gt;&gt; .\items\materia\class0013\TerrorKnight2.dbr</v>
      </c>
      <c r="V4" s="5" t="s">
        <v>36</v>
      </c>
      <c r="W4" t="str">
        <f t="shared" ref="W4:X67" si="8">IF($I4&lt;&gt;"","echo "&amp;L4&amp;" &gt;&gt; .\items\loottables\"&amp;$K4&amp;".dbr","")</f>
        <v>echo lootName2,DAIL/items/materia/class0013/TerrorKnight2.dbr, &gt;&gt; .\items\loottables\dailoneskill0013.dbr</v>
      </c>
      <c r="X4" t="str">
        <f t="shared" si="8"/>
        <v>echo lootWeight2,1, &gt;&gt; .\items\loottables\dailoneskill0013.dbr</v>
      </c>
      <c r="Y4" s="5" t="s">
        <v>36</v>
      </c>
      <c r="Z4" s="10" t="str">
        <f t="shared" ref="Z4:Z67" si="9">IF(I3&lt;&gt;""," dailCompDesc"&amp;H4&amp;G4&amp;"=^p"&amp;H4&amp;"'s Gift of DAIL","")</f>
        <v xml:space="preserve"> dailCompDescTerrorKnight2=^pTerrorKnight's Gift of DAIL</v>
      </c>
      <c r="AA4" s="10" t="str">
        <f>IF(I3&lt;&gt;"","dailCompText"&amp;H4&amp;G4&amp;"=^oThis feels warm to the touch, almost familiar ^w(This component fits into the amulet only)","")</f>
        <v>dailCompTextTerrorKnight2=^oThis feels warm to the touch, almost familiar ^w(This component fits into the amulet only)</v>
      </c>
      <c r="AB4" s="5" t="s">
        <v>36</v>
      </c>
      <c r="AD4">
        <v>3</v>
      </c>
      <c r="AE4" t="s">
        <v>43</v>
      </c>
      <c r="AF4" t="s">
        <v>46</v>
      </c>
    </row>
    <row r="5" spans="1:38" x14ac:dyDescent="0.25">
      <c r="A5" s="5" t="s">
        <v>39</v>
      </c>
      <c r="B5" s="5" t="s">
        <v>29</v>
      </c>
      <c r="C5" s="5" t="str">
        <f t="shared" si="0"/>
        <v>description,dailCompDescTerrorKnight3,</v>
      </c>
      <c r="D5" s="5" t="str">
        <f t="shared" si="2"/>
        <v>itemText,dailCompTextTerrorKnight3,</v>
      </c>
      <c r="E5" s="5" t="s">
        <v>25</v>
      </c>
      <c r="F5" s="5" t="str">
        <f t="shared" si="3"/>
        <v>augmentMasteryName1,records/skills/zenithclass01/_classtraining_class13.dbr,</v>
      </c>
      <c r="G5" s="7">
        <f t="shared" ref="G5:G68" si="10">IF(I5&lt;&gt;"",G4+1,"")</f>
        <v>3</v>
      </c>
      <c r="H5" s="8" t="str">
        <f t="shared" ref="H5:H68" si="11">H4</f>
        <v>TerrorKnight</v>
      </c>
      <c r="I5" s="3" t="s">
        <v>211</v>
      </c>
      <c r="J5" s="8" t="str">
        <f t="shared" ref="J5:K20" si="12">J4</f>
        <v>class0013</v>
      </c>
      <c r="K5" s="8" t="str">
        <f t="shared" si="12"/>
        <v>dailoneskill0013</v>
      </c>
      <c r="L5" s="5" t="str">
        <f t="shared" si="4"/>
        <v>lootName3,DAIL/items/materia/class0013/TerrorKnight3.dbr,</v>
      </c>
      <c r="M5" s="5" t="str">
        <f t="shared" si="5"/>
        <v>lootWeight3,1,</v>
      </c>
      <c r="N5" t="str">
        <f t="shared" si="6"/>
        <v>3</v>
      </c>
      <c r="O5" s="5" t="str">
        <f>IF(I5&lt;&gt;"","copy .\dail_base2.dbr .\items\materia\"&amp;J5&amp;"\"&amp;H5&amp;G5&amp;".dbr /y"&amp;"","")</f>
        <v>copy .\dail_base2.dbr .\items\materia\class0013\TerrorKnight3.dbr /y</v>
      </c>
      <c r="P5" t="str">
        <f t="shared" si="7"/>
        <v>echo relicBitmap,items/craftingparts/components/component_a52_bristlyfur_b.tex, &gt;&gt; .\items\materia\class0013\TerrorKnight3.dbr</v>
      </c>
      <c r="Q5" t="str">
        <f t="shared" si="1"/>
        <v>echo itemCost,600000, &gt;&gt; .\items\materia\class0013\TerrorKnight3.dbr</v>
      </c>
      <c r="R5" t="str">
        <f t="shared" si="1"/>
        <v>echo description,dailCompDescTerrorKnight3, &gt;&gt; .\items\materia\class0013\TerrorKnight3.dbr</v>
      </c>
      <c r="S5" t="str">
        <f t="shared" si="1"/>
        <v>echo itemText,dailCompTextTerrorKnight3, &gt;&gt; .\items\materia\class0013\TerrorKnight3.dbr</v>
      </c>
      <c r="T5" t="str">
        <f t="shared" si="1"/>
        <v>echo augmentMasteryLevel1,3, &gt;&gt; .\items\materia\class0013\TerrorKnight3.dbr</v>
      </c>
      <c r="U5" t="str">
        <f t="shared" si="1"/>
        <v>echo augmentMasteryName1,records/skills/zenithclass01/_classtraining_class13.dbr, &gt;&gt; .\items\materia\class0013\TerrorKnight3.dbr</v>
      </c>
      <c r="V5" s="5" t="s">
        <v>36</v>
      </c>
      <c r="W5" t="str">
        <f t="shared" si="8"/>
        <v>echo lootName3,DAIL/items/materia/class0013/TerrorKnight3.dbr, &gt;&gt; .\items\loottables\dailoneskill0013.dbr</v>
      </c>
      <c r="X5" t="str">
        <f t="shared" si="8"/>
        <v>echo lootWeight3,1, &gt;&gt; .\items\loottables\dailoneskill0013.dbr</v>
      </c>
      <c r="Y5" s="5" t="s">
        <v>36</v>
      </c>
      <c r="Z5" s="10" t="str">
        <f t="shared" si="9"/>
        <v xml:space="preserve"> dailCompDescTerrorKnight3=^pTerrorKnight's Gift of DAIL</v>
      </c>
      <c r="AA5" s="10" t="str">
        <f>IF(I4&lt;&gt;"","dailCompText"&amp;H5&amp;G5&amp;"=^oThis feels warm to the touch, almost familiar ^w(This component fits into the amulet only)","")</f>
        <v>dailCompTextTerrorKnight3=^oThis feels warm to the touch, almost familiar ^w(This component fits into the amulet only)</v>
      </c>
      <c r="AB5" s="5" t="s">
        <v>36</v>
      </c>
      <c r="AD5">
        <v>5</v>
      </c>
      <c r="AE5" t="s">
        <v>43</v>
      </c>
      <c r="AF5" t="s">
        <v>46</v>
      </c>
      <c r="AI5" t="s">
        <v>61</v>
      </c>
    </row>
    <row r="6" spans="1:38" x14ac:dyDescent="0.25">
      <c r="A6" s="5" t="s">
        <v>39</v>
      </c>
      <c r="B6" s="5" t="s">
        <v>0</v>
      </c>
      <c r="C6" s="5" t="str">
        <f t="shared" si="0"/>
        <v>description,dailCompDescTerrorKnight4,</v>
      </c>
      <c r="D6" s="5" t="str">
        <f t="shared" si="2"/>
        <v>itemText,dailCompTextTerrorKnight4,</v>
      </c>
      <c r="E6" s="5" t="str">
        <f>"augmentSkillLevel1,"&amp;AJ6&amp;","</f>
        <v>augmentSkillLevel1,1,</v>
      </c>
      <c r="F6" s="5" t="str">
        <f>"augmentSkillName1,records/skills"&amp;I6&amp;","</f>
        <v>augmentSkillName1,records/skills/zenithclass01/banish1.dbr,</v>
      </c>
      <c r="G6" s="7">
        <f t="shared" si="10"/>
        <v>4</v>
      </c>
      <c r="H6" s="8" t="str">
        <f t="shared" si="11"/>
        <v>TerrorKnight</v>
      </c>
      <c r="I6" s="3" t="s">
        <v>212</v>
      </c>
      <c r="J6" s="8" t="str">
        <f t="shared" si="12"/>
        <v>class0013</v>
      </c>
      <c r="K6" s="8" t="str">
        <f t="shared" si="12"/>
        <v>dailoneskill0013</v>
      </c>
      <c r="L6" s="5" t="str">
        <f t="shared" si="4"/>
        <v>lootName4,DAIL/items/materia/class0013/TerrorKnight4.dbr,</v>
      </c>
      <c r="M6" s="5" t="str">
        <f t="shared" si="5"/>
        <v>lootWeight4,1,</v>
      </c>
      <c r="N6" t="str">
        <f t="shared" si="6"/>
        <v>1</v>
      </c>
      <c r="O6" t="str">
        <f>IF(I6&lt;&gt;"","copy .\"&amp;VLOOKUP(VALUE(N6),$AD$3:$AF$5,2,FALSE)&amp;" .\items\materia\"&amp;J6&amp;"\"&amp;H6&amp;G6&amp;".dbr /y"&amp;"","")</f>
        <v>copy .\dail_base.dbr .\items\materia\class0013\TerrorKnight4.dbr /y</v>
      </c>
      <c r="P6" t="str">
        <f t="shared" si="7"/>
        <v>echo relicBitmap,items/craftingparts/components/component_a52_bristlyfur_b.tex, &gt;&gt; .\items\materia\class0013\TerrorKnight4.dbr</v>
      </c>
      <c r="Q6" t="str">
        <f t="shared" si="1"/>
        <v>echo itemCost,100000, &gt;&gt; .\items\materia\class0013\TerrorKnight4.dbr</v>
      </c>
      <c r="R6" t="str">
        <f t="shared" si="1"/>
        <v>echo description,dailCompDescTerrorKnight4, &gt;&gt; .\items\materia\class0013\TerrorKnight4.dbr</v>
      </c>
      <c r="S6" t="str">
        <f t="shared" si="1"/>
        <v>echo itemText,dailCompTextTerrorKnight4, &gt;&gt; .\items\materia\class0013\TerrorKnight4.dbr</v>
      </c>
      <c r="T6" t="str">
        <f t="shared" si="1"/>
        <v>echo augmentSkillLevel1,1, &gt;&gt; .\items\materia\class0013\TerrorKnight4.dbr</v>
      </c>
      <c r="U6" t="str">
        <f t="shared" si="1"/>
        <v>echo augmentSkillName1,records/skills/zenithclass01/banish1.dbr, &gt;&gt; .\items\materia\class0013\TerrorKnight4.dbr</v>
      </c>
      <c r="V6" s="5" t="s">
        <v>36</v>
      </c>
      <c r="W6" t="str">
        <f t="shared" si="8"/>
        <v>echo lootName4,DAIL/items/materia/class0013/TerrorKnight4.dbr, &gt;&gt; .\items\loottables\dailoneskill0013.dbr</v>
      </c>
      <c r="X6" t="str">
        <f t="shared" si="8"/>
        <v>echo lootWeight4,1, &gt;&gt; .\items\loottables\dailoneskill0013.dbr</v>
      </c>
      <c r="Y6" s="5" t="s">
        <v>36</v>
      </c>
      <c r="Z6" t="str">
        <f t="shared" si="9"/>
        <v xml:space="preserve"> dailCompDescTerrorKnight4=^pTerrorKnight's Gift of DAIL</v>
      </c>
      <c r="AA6" t="str">
        <f>IF(I5&lt;&gt;"","dailCompText"&amp;H6&amp;G6&amp;"=^oThis feels warm to the touch, almost familiar ^w("&amp;VLOOKUP(VALUE(N6),$AD$3:$AF$5,3,FALSE)&amp;")","")</f>
        <v>dailCompTextTerrorKnight4=^oThis feels warm to the touch, almost familiar ^w(This component fits into all Jewellery slots including the Belt And Shoulder)</v>
      </c>
      <c r="AB6" s="5" t="s">
        <v>36</v>
      </c>
      <c r="AH6">
        <v>1</v>
      </c>
      <c r="AI6">
        <f t="shared" ref="AI6:AI37" si="13">LEN(I6)</f>
        <v>26</v>
      </c>
      <c r="AJ6">
        <f>IF(AH6&lt;$AL$7,1,IF(AH6&lt;$AL$8,3,5))</f>
        <v>1</v>
      </c>
      <c r="AK6" s="1" t="s">
        <v>62</v>
      </c>
      <c r="AL6" s="1">
        <f>COUNTIF(AI:AI,"&gt;0")</f>
        <v>69</v>
      </c>
    </row>
    <row r="7" spans="1:38" x14ac:dyDescent="0.25">
      <c r="A7" s="5" t="s">
        <v>39</v>
      </c>
      <c r="B7" s="5" t="s">
        <v>0</v>
      </c>
      <c r="C7" s="5" t="str">
        <f t="shared" si="0"/>
        <v>description,dailCompDescTerrorKnight5,</v>
      </c>
      <c r="D7" s="5" t="str">
        <f t="shared" si="2"/>
        <v>itemText,dailCompTextTerrorKnight5,</v>
      </c>
      <c r="E7" s="5" t="str">
        <f t="shared" ref="E7:E70" si="14">"augmentSkillLevel1,"&amp;AJ7&amp;","</f>
        <v>augmentSkillLevel1,1,</v>
      </c>
      <c r="F7" s="5" t="str">
        <f t="shared" ref="F7:F70" si="15">"augmentSkillName1,records/skills"&amp;I7&amp;","</f>
        <v>augmentSkillName1,records/skills/zenithclass01/banish2.dbr,</v>
      </c>
      <c r="G7" s="7">
        <f t="shared" si="10"/>
        <v>5</v>
      </c>
      <c r="H7" s="8" t="str">
        <f t="shared" si="11"/>
        <v>TerrorKnight</v>
      </c>
      <c r="I7" s="3" t="s">
        <v>440</v>
      </c>
      <c r="J7" s="8" t="str">
        <f t="shared" si="12"/>
        <v>class0013</v>
      </c>
      <c r="K7" s="8" t="str">
        <f t="shared" si="12"/>
        <v>dailoneskill0013</v>
      </c>
      <c r="L7" s="5" t="str">
        <f t="shared" si="4"/>
        <v>lootName5,DAIL/items/materia/class0013/TerrorKnight5.dbr,</v>
      </c>
      <c r="M7" s="5" t="str">
        <f t="shared" si="5"/>
        <v>lootWeight5,1,</v>
      </c>
      <c r="N7" t="str">
        <f t="shared" si="6"/>
        <v>1</v>
      </c>
      <c r="O7" t="str">
        <f t="shared" ref="O7:O70" si="16">IF(I7&lt;&gt;"","copy .\"&amp;VLOOKUP(VALUE(N7),$AD$3:$AF$5,2,FALSE)&amp;" .\items\materia\"&amp;J7&amp;"\"&amp;H7&amp;G7&amp;".dbr /y"&amp;"","")</f>
        <v>copy .\dail_base.dbr .\items\materia\class0013\TerrorKnight5.dbr /y</v>
      </c>
      <c r="P7" t="str">
        <f t="shared" si="7"/>
        <v>echo relicBitmap,items/craftingparts/components/component_a52_bristlyfur_b.tex, &gt;&gt; .\items\materia\class0013\TerrorKnight5.dbr</v>
      </c>
      <c r="Q7" t="str">
        <f t="shared" si="1"/>
        <v>echo itemCost,100000, &gt;&gt; .\items\materia\class0013\TerrorKnight5.dbr</v>
      </c>
      <c r="R7" t="str">
        <f t="shared" si="1"/>
        <v>echo description,dailCompDescTerrorKnight5, &gt;&gt; .\items\materia\class0013\TerrorKnight5.dbr</v>
      </c>
      <c r="S7" t="str">
        <f t="shared" si="1"/>
        <v>echo itemText,dailCompTextTerrorKnight5, &gt;&gt; .\items\materia\class0013\TerrorKnight5.dbr</v>
      </c>
      <c r="T7" t="str">
        <f t="shared" si="1"/>
        <v>echo augmentSkillLevel1,1, &gt;&gt; .\items\materia\class0013\TerrorKnight5.dbr</v>
      </c>
      <c r="U7" t="str">
        <f t="shared" si="1"/>
        <v>echo augmentSkillName1,records/skills/zenithclass01/banish2.dbr, &gt;&gt; .\items\materia\class0013\TerrorKnight5.dbr</v>
      </c>
      <c r="V7" s="5" t="s">
        <v>36</v>
      </c>
      <c r="W7" t="str">
        <f t="shared" si="8"/>
        <v>echo lootName5,DAIL/items/materia/class0013/TerrorKnight5.dbr, &gt;&gt; .\items\loottables\dailoneskill0013.dbr</v>
      </c>
      <c r="X7" t="str">
        <f t="shared" si="8"/>
        <v>echo lootWeight5,1, &gt;&gt; .\items\loottables\dailoneskill0013.dbr</v>
      </c>
      <c r="Y7" s="5" t="s">
        <v>36</v>
      </c>
      <c r="Z7" t="str">
        <f t="shared" si="9"/>
        <v xml:space="preserve"> dailCompDescTerrorKnight5=^pTerrorKnight's Gift of DAIL</v>
      </c>
      <c r="AA7" t="str">
        <f t="shared" ref="AA7:AA70" si="17">IF(I6&lt;&gt;"","dailCompText"&amp;H7&amp;G7&amp;"=^oThis feels warm to the touch, almost familiar ^w("&amp;VLOOKUP(VALUE(N7),$AD$3:$AF$5,3,FALSE)&amp;")","")</f>
        <v>dailCompTextTerrorKnight5=^oThis feels warm to the touch, almost familiar ^w(This component fits into all Jewellery slots including the Belt And Shoulder)</v>
      </c>
      <c r="AB7" s="5" t="s">
        <v>36</v>
      </c>
      <c r="AH7">
        <f>AH6+1</f>
        <v>2</v>
      </c>
      <c r="AI7">
        <f t="shared" si="13"/>
        <v>26</v>
      </c>
      <c r="AJ7">
        <f t="shared" ref="AJ7:AJ70" si="18">IF(AH7&lt;$AL$7,1,IF(AH7&lt;$AL$8,3,5))</f>
        <v>1</v>
      </c>
      <c r="AK7">
        <v>1</v>
      </c>
      <c r="AL7">
        <f>AL6/3</f>
        <v>23</v>
      </c>
    </row>
    <row r="8" spans="1:38" x14ac:dyDescent="0.25">
      <c r="A8" s="5" t="s">
        <v>39</v>
      </c>
      <c r="B8" s="5" t="s">
        <v>0</v>
      </c>
      <c r="C8" s="5" t="str">
        <f t="shared" si="0"/>
        <v>description,dailCompDescTerrorKnight6,</v>
      </c>
      <c r="D8" s="5" t="str">
        <f t="shared" si="2"/>
        <v>itemText,dailCompTextTerrorKnight6,</v>
      </c>
      <c r="E8" s="5" t="str">
        <f t="shared" si="14"/>
        <v>augmentSkillLevel1,1,</v>
      </c>
      <c r="F8" s="5" t="str">
        <f t="shared" si="15"/>
        <v>augmentSkillName1,records/skills/zenithclass01/banish3.dbr,</v>
      </c>
      <c r="G8" s="7">
        <f t="shared" si="10"/>
        <v>6</v>
      </c>
      <c r="H8" s="8" t="str">
        <f t="shared" si="11"/>
        <v>TerrorKnight</v>
      </c>
      <c r="I8" s="3" t="s">
        <v>441</v>
      </c>
      <c r="J8" s="8" t="str">
        <f t="shared" si="12"/>
        <v>class0013</v>
      </c>
      <c r="K8" s="8" t="str">
        <f t="shared" si="12"/>
        <v>dailoneskill0013</v>
      </c>
      <c r="L8" s="5" t="str">
        <f t="shared" si="4"/>
        <v>lootName6,DAIL/items/materia/class0013/TerrorKnight6.dbr,</v>
      </c>
      <c r="M8" s="5" t="str">
        <f t="shared" si="5"/>
        <v>lootWeight6,1,</v>
      </c>
      <c r="N8" t="str">
        <f t="shared" si="6"/>
        <v>1</v>
      </c>
      <c r="O8" t="str">
        <f t="shared" si="16"/>
        <v>copy .\dail_base.dbr .\items\materia\class0013\TerrorKnight6.dbr /y</v>
      </c>
      <c r="P8" t="str">
        <f t="shared" si="7"/>
        <v>echo relicBitmap,items/craftingparts/components/component_a52_bristlyfur_b.tex, &gt;&gt; .\items\materia\class0013\TerrorKnight6.dbr</v>
      </c>
      <c r="Q8" t="str">
        <f t="shared" si="1"/>
        <v>echo itemCost,100000, &gt;&gt; .\items\materia\class0013\TerrorKnight6.dbr</v>
      </c>
      <c r="R8" t="str">
        <f t="shared" si="1"/>
        <v>echo description,dailCompDescTerrorKnight6, &gt;&gt; .\items\materia\class0013\TerrorKnight6.dbr</v>
      </c>
      <c r="S8" t="str">
        <f t="shared" si="1"/>
        <v>echo itemText,dailCompTextTerrorKnight6, &gt;&gt; .\items\materia\class0013\TerrorKnight6.dbr</v>
      </c>
      <c r="T8" t="str">
        <f t="shared" si="1"/>
        <v>echo augmentSkillLevel1,1, &gt;&gt; .\items\materia\class0013\TerrorKnight6.dbr</v>
      </c>
      <c r="U8" t="str">
        <f t="shared" si="1"/>
        <v>echo augmentSkillName1,records/skills/zenithclass01/banish3.dbr, &gt;&gt; .\items\materia\class0013\TerrorKnight6.dbr</v>
      </c>
      <c r="V8" s="5" t="s">
        <v>36</v>
      </c>
      <c r="W8" t="str">
        <f t="shared" si="8"/>
        <v>echo lootName6,DAIL/items/materia/class0013/TerrorKnight6.dbr, &gt;&gt; .\items\loottables\dailoneskill0013.dbr</v>
      </c>
      <c r="X8" t="str">
        <f t="shared" si="8"/>
        <v>echo lootWeight6,1, &gt;&gt; .\items\loottables\dailoneskill0013.dbr</v>
      </c>
      <c r="Y8" s="5" t="s">
        <v>36</v>
      </c>
      <c r="Z8" t="str">
        <f t="shared" si="9"/>
        <v xml:space="preserve"> dailCompDescTerrorKnight6=^pTerrorKnight's Gift of DAIL</v>
      </c>
      <c r="AA8" t="str">
        <f t="shared" si="17"/>
        <v>dailCompTextTerrorKnight6=^oThis feels warm to the touch, almost familiar ^w(This component fits into all Jewellery slots including the Belt And Shoulder)</v>
      </c>
      <c r="AB8" s="5" t="s">
        <v>36</v>
      </c>
      <c r="AH8">
        <f t="shared" ref="AH8:AH71" si="19">AH7+1</f>
        <v>3</v>
      </c>
      <c r="AI8">
        <f t="shared" si="13"/>
        <v>26</v>
      </c>
      <c r="AJ8">
        <f t="shared" si="18"/>
        <v>1</v>
      </c>
      <c r="AK8" s="1">
        <v>3</v>
      </c>
      <c r="AL8">
        <f>AL7*2</f>
        <v>46</v>
      </c>
    </row>
    <row r="9" spans="1:38" x14ac:dyDescent="0.25">
      <c r="A9" s="5" t="s">
        <v>39</v>
      </c>
      <c r="B9" s="5" t="s">
        <v>0</v>
      </c>
      <c r="C9" s="5" t="str">
        <f t="shared" si="0"/>
        <v>description,dailCompDescTerrorKnight7,</v>
      </c>
      <c r="D9" s="5" t="str">
        <f t="shared" si="2"/>
        <v>itemText,dailCompTextTerrorKnight7,</v>
      </c>
      <c r="E9" s="5" t="str">
        <f t="shared" si="14"/>
        <v>augmentSkillLevel1,1,</v>
      </c>
      <c r="F9" s="5" t="str">
        <f t="shared" si="15"/>
        <v>augmentSkillName1,records/skills/zenithclass01/suitup.dbr,</v>
      </c>
      <c r="G9" s="7">
        <f t="shared" si="10"/>
        <v>7</v>
      </c>
      <c r="H9" s="8" t="str">
        <f t="shared" si="11"/>
        <v>TerrorKnight</v>
      </c>
      <c r="I9" s="3" t="s">
        <v>223</v>
      </c>
      <c r="J9" s="8" t="str">
        <f t="shared" si="12"/>
        <v>class0013</v>
      </c>
      <c r="K9" s="8" t="str">
        <f t="shared" si="12"/>
        <v>dailoneskill0013</v>
      </c>
      <c r="L9" s="5" t="str">
        <f t="shared" si="4"/>
        <v>lootName7,DAIL/items/materia/class0013/TerrorKnight7.dbr,</v>
      </c>
      <c r="M9" s="5" t="str">
        <f t="shared" si="5"/>
        <v>lootWeight7,1,</v>
      </c>
      <c r="N9" t="str">
        <f t="shared" si="6"/>
        <v>1</v>
      </c>
      <c r="O9" t="str">
        <f t="shared" si="16"/>
        <v>copy .\dail_base.dbr .\items\materia\class0013\TerrorKnight7.dbr /y</v>
      </c>
      <c r="P9" t="str">
        <f t="shared" si="7"/>
        <v>echo relicBitmap,items/craftingparts/components/component_a52_bristlyfur_b.tex, &gt;&gt; .\items\materia\class0013\TerrorKnight7.dbr</v>
      </c>
      <c r="Q9" t="str">
        <f t="shared" si="1"/>
        <v>echo itemCost,100000, &gt;&gt; .\items\materia\class0013\TerrorKnight7.dbr</v>
      </c>
      <c r="R9" t="str">
        <f t="shared" si="1"/>
        <v>echo description,dailCompDescTerrorKnight7, &gt;&gt; .\items\materia\class0013\TerrorKnight7.dbr</v>
      </c>
      <c r="S9" t="str">
        <f t="shared" si="1"/>
        <v>echo itemText,dailCompTextTerrorKnight7, &gt;&gt; .\items\materia\class0013\TerrorKnight7.dbr</v>
      </c>
      <c r="T9" t="str">
        <f t="shared" si="1"/>
        <v>echo augmentSkillLevel1,1, &gt;&gt; .\items\materia\class0013\TerrorKnight7.dbr</v>
      </c>
      <c r="U9" t="str">
        <f t="shared" si="1"/>
        <v>echo augmentSkillName1,records/skills/zenithclass01/suitup.dbr, &gt;&gt; .\items\materia\class0013\TerrorKnight7.dbr</v>
      </c>
      <c r="V9" s="5" t="s">
        <v>36</v>
      </c>
      <c r="W9" t="str">
        <f t="shared" si="8"/>
        <v>echo lootName7,DAIL/items/materia/class0013/TerrorKnight7.dbr, &gt;&gt; .\items\loottables\dailoneskill0013.dbr</v>
      </c>
      <c r="X9" t="str">
        <f t="shared" si="8"/>
        <v>echo lootWeight7,1, &gt;&gt; .\items\loottables\dailoneskill0013.dbr</v>
      </c>
      <c r="Y9" s="5" t="s">
        <v>36</v>
      </c>
      <c r="Z9" t="str">
        <f t="shared" si="9"/>
        <v xml:space="preserve"> dailCompDescTerrorKnight7=^pTerrorKnight's Gift of DAIL</v>
      </c>
      <c r="AA9" t="str">
        <f t="shared" si="17"/>
        <v>dailCompTextTerrorKnight7=^oThis feels warm to the touch, almost familiar ^w(This component fits into all Jewellery slots including the Belt And Shoulder)</v>
      </c>
      <c r="AB9" s="5" t="s">
        <v>36</v>
      </c>
      <c r="AH9">
        <f t="shared" si="19"/>
        <v>4</v>
      </c>
      <c r="AI9">
        <f t="shared" si="13"/>
        <v>25</v>
      </c>
      <c r="AJ9">
        <f t="shared" si="18"/>
        <v>1</v>
      </c>
      <c r="AK9" s="1">
        <v>5</v>
      </c>
      <c r="AL9">
        <f>AL6</f>
        <v>69</v>
      </c>
    </row>
    <row r="10" spans="1:38" x14ac:dyDescent="0.25">
      <c r="A10" s="5" t="s">
        <v>39</v>
      </c>
      <c r="B10" s="5" t="s">
        <v>0</v>
      </c>
      <c r="C10" s="5" t="str">
        <f t="shared" si="0"/>
        <v>description,dailCompDescTerrorKnight8,</v>
      </c>
      <c r="D10" s="5" t="str">
        <f t="shared" si="2"/>
        <v>itemText,dailCompTextTerrorKnight8,</v>
      </c>
      <c r="E10" s="5" t="str">
        <f t="shared" si="14"/>
        <v>augmentSkillLevel1,1,</v>
      </c>
      <c r="F10" s="5" t="str">
        <f t="shared" si="15"/>
        <v>augmentSkillName1,records/skills/zenithclass01/hands.dbr,</v>
      </c>
      <c r="G10" s="7">
        <f t="shared" si="10"/>
        <v>8</v>
      </c>
      <c r="H10" s="8" t="str">
        <f t="shared" si="11"/>
        <v>TerrorKnight</v>
      </c>
      <c r="I10" s="3" t="s">
        <v>218</v>
      </c>
      <c r="J10" s="8" t="str">
        <f t="shared" si="12"/>
        <v>class0013</v>
      </c>
      <c r="K10" s="8" t="str">
        <f t="shared" si="12"/>
        <v>dailoneskill0013</v>
      </c>
      <c r="L10" s="5" t="str">
        <f t="shared" si="4"/>
        <v>lootName8,DAIL/items/materia/class0013/TerrorKnight8.dbr,</v>
      </c>
      <c r="M10" s="5" t="str">
        <f t="shared" si="5"/>
        <v>lootWeight8,1,</v>
      </c>
      <c r="N10" t="str">
        <f t="shared" si="6"/>
        <v>1</v>
      </c>
      <c r="O10" t="str">
        <f t="shared" si="16"/>
        <v>copy .\dail_base.dbr .\items\materia\class0013\TerrorKnight8.dbr /y</v>
      </c>
      <c r="P10" t="str">
        <f t="shared" si="7"/>
        <v>echo relicBitmap,items/craftingparts/components/component_a52_bristlyfur_b.tex, &gt;&gt; .\items\materia\class0013\TerrorKnight8.dbr</v>
      </c>
      <c r="Q10" t="str">
        <f t="shared" si="1"/>
        <v>echo itemCost,100000, &gt;&gt; .\items\materia\class0013\TerrorKnight8.dbr</v>
      </c>
      <c r="R10" t="str">
        <f t="shared" si="1"/>
        <v>echo description,dailCompDescTerrorKnight8, &gt;&gt; .\items\materia\class0013\TerrorKnight8.dbr</v>
      </c>
      <c r="S10" t="str">
        <f t="shared" si="1"/>
        <v>echo itemText,dailCompTextTerrorKnight8, &gt;&gt; .\items\materia\class0013\TerrorKnight8.dbr</v>
      </c>
      <c r="T10" t="str">
        <f t="shared" si="1"/>
        <v>echo augmentSkillLevel1,1, &gt;&gt; .\items\materia\class0013\TerrorKnight8.dbr</v>
      </c>
      <c r="U10" t="str">
        <f t="shared" si="1"/>
        <v>echo augmentSkillName1,records/skills/zenithclass01/hands.dbr, &gt;&gt; .\items\materia\class0013\TerrorKnight8.dbr</v>
      </c>
      <c r="V10" s="5" t="s">
        <v>36</v>
      </c>
      <c r="W10" t="str">
        <f t="shared" si="8"/>
        <v>echo lootName8,DAIL/items/materia/class0013/TerrorKnight8.dbr, &gt;&gt; .\items\loottables\dailoneskill0013.dbr</v>
      </c>
      <c r="X10" t="str">
        <f t="shared" si="8"/>
        <v>echo lootWeight8,1, &gt;&gt; .\items\loottables\dailoneskill0013.dbr</v>
      </c>
      <c r="Y10" s="5" t="s">
        <v>36</v>
      </c>
      <c r="Z10" t="str">
        <f t="shared" si="9"/>
        <v xml:space="preserve"> dailCompDescTerrorKnight8=^pTerrorKnight's Gift of DAIL</v>
      </c>
      <c r="AA10" t="str">
        <f t="shared" si="17"/>
        <v>dailCompTextTerrorKnight8=^oThis feels warm to the touch, almost familiar ^w(This component fits into all Jewellery slots including the Belt And Shoulder)</v>
      </c>
      <c r="AB10" s="5" t="s">
        <v>36</v>
      </c>
      <c r="AH10">
        <f t="shared" si="19"/>
        <v>5</v>
      </c>
      <c r="AI10">
        <f t="shared" si="13"/>
        <v>24</v>
      </c>
      <c r="AJ10">
        <f t="shared" si="18"/>
        <v>1</v>
      </c>
    </row>
    <row r="11" spans="1:38" x14ac:dyDescent="0.25">
      <c r="A11" s="5" t="s">
        <v>39</v>
      </c>
      <c r="B11" s="5" t="s">
        <v>0</v>
      </c>
      <c r="C11" s="5" t="str">
        <f t="shared" si="0"/>
        <v>description,dailCompDescTerrorKnight9,</v>
      </c>
      <c r="D11" s="5" t="str">
        <f t="shared" si="2"/>
        <v>itemText,dailCompTextTerrorKnight9,</v>
      </c>
      <c r="E11" s="5" t="str">
        <f t="shared" si="14"/>
        <v>augmentSkillLevel1,1,</v>
      </c>
      <c r="F11" s="5" t="str">
        <f t="shared" si="15"/>
        <v>augmentSkillName1,records/skills/zenithclass01/legs.dbr,</v>
      </c>
      <c r="G11" s="7">
        <f t="shared" si="10"/>
        <v>9</v>
      </c>
      <c r="H11" s="8" t="str">
        <f t="shared" si="11"/>
        <v>TerrorKnight</v>
      </c>
      <c r="I11" s="3" t="s">
        <v>220</v>
      </c>
      <c r="J11" s="8" t="str">
        <f t="shared" si="12"/>
        <v>class0013</v>
      </c>
      <c r="K11" s="8" t="str">
        <f t="shared" si="12"/>
        <v>dailoneskill0013</v>
      </c>
      <c r="L11" s="5" t="str">
        <f t="shared" si="4"/>
        <v>lootName9,DAIL/items/materia/class0013/TerrorKnight9.dbr,</v>
      </c>
      <c r="M11" s="5" t="str">
        <f t="shared" si="5"/>
        <v>lootWeight9,1,</v>
      </c>
      <c r="N11" t="str">
        <f t="shared" si="6"/>
        <v>1</v>
      </c>
      <c r="O11" t="str">
        <f t="shared" si="16"/>
        <v>copy .\dail_base.dbr .\items\materia\class0013\TerrorKnight9.dbr /y</v>
      </c>
      <c r="P11" t="str">
        <f t="shared" si="7"/>
        <v>echo relicBitmap,items/craftingparts/components/component_a52_bristlyfur_b.tex, &gt;&gt; .\items\materia\class0013\TerrorKnight9.dbr</v>
      </c>
      <c r="Q11" t="str">
        <f t="shared" si="1"/>
        <v>echo itemCost,100000, &gt;&gt; .\items\materia\class0013\TerrorKnight9.dbr</v>
      </c>
      <c r="R11" t="str">
        <f t="shared" si="1"/>
        <v>echo description,dailCompDescTerrorKnight9, &gt;&gt; .\items\materia\class0013\TerrorKnight9.dbr</v>
      </c>
      <c r="S11" t="str">
        <f t="shared" si="1"/>
        <v>echo itemText,dailCompTextTerrorKnight9, &gt;&gt; .\items\materia\class0013\TerrorKnight9.dbr</v>
      </c>
      <c r="T11" t="str">
        <f t="shared" si="1"/>
        <v>echo augmentSkillLevel1,1, &gt;&gt; .\items\materia\class0013\TerrorKnight9.dbr</v>
      </c>
      <c r="U11" t="str">
        <f t="shared" si="1"/>
        <v>echo augmentSkillName1,records/skills/zenithclass01/legs.dbr, &gt;&gt; .\items\materia\class0013\TerrorKnight9.dbr</v>
      </c>
      <c r="V11" s="5" t="s">
        <v>36</v>
      </c>
      <c r="W11" t="str">
        <f t="shared" si="8"/>
        <v>echo lootName9,DAIL/items/materia/class0013/TerrorKnight9.dbr, &gt;&gt; .\items\loottables\dailoneskill0013.dbr</v>
      </c>
      <c r="X11" t="str">
        <f t="shared" si="8"/>
        <v>echo lootWeight9,1, &gt;&gt; .\items\loottables\dailoneskill0013.dbr</v>
      </c>
      <c r="Y11" s="5" t="s">
        <v>36</v>
      </c>
      <c r="Z11" t="str">
        <f t="shared" si="9"/>
        <v xml:space="preserve"> dailCompDescTerrorKnight9=^pTerrorKnight's Gift of DAIL</v>
      </c>
      <c r="AA11" t="str">
        <f t="shared" si="17"/>
        <v>dailCompTextTerrorKnight9=^oThis feels warm to the touch, almost familiar ^w(This component fits into all Jewellery slots including the Belt And Shoulder)</v>
      </c>
      <c r="AB11" s="5" t="s">
        <v>36</v>
      </c>
      <c r="AH11">
        <f t="shared" si="19"/>
        <v>6</v>
      </c>
      <c r="AI11">
        <f t="shared" si="13"/>
        <v>23</v>
      </c>
      <c r="AJ11">
        <f t="shared" si="18"/>
        <v>1</v>
      </c>
    </row>
    <row r="12" spans="1:38" x14ac:dyDescent="0.25">
      <c r="A12" s="5" t="s">
        <v>39</v>
      </c>
      <c r="B12" s="5" t="s">
        <v>0</v>
      </c>
      <c r="C12" s="5" t="str">
        <f t="shared" si="0"/>
        <v>description,dailCompDescTerrorKnight10,</v>
      </c>
      <c r="D12" s="5" t="str">
        <f t="shared" si="2"/>
        <v>itemText,dailCompTextTerrorKnight10,</v>
      </c>
      <c r="E12" s="5" t="str">
        <f t="shared" si="14"/>
        <v>augmentSkillLevel1,1,</v>
      </c>
      <c r="F12" s="5" t="str">
        <f t="shared" si="15"/>
        <v>augmentSkillName1,records/skills/zenithclass01/torso.dbr,</v>
      </c>
      <c r="G12" s="7">
        <f t="shared" si="10"/>
        <v>10</v>
      </c>
      <c r="H12" s="8" t="str">
        <f t="shared" si="11"/>
        <v>TerrorKnight</v>
      </c>
      <c r="I12" s="3" t="s">
        <v>224</v>
      </c>
      <c r="J12" s="8" t="str">
        <f t="shared" si="12"/>
        <v>class0013</v>
      </c>
      <c r="K12" s="8" t="str">
        <f t="shared" si="12"/>
        <v>dailoneskill0013</v>
      </c>
      <c r="L12" s="5" t="str">
        <f t="shared" si="4"/>
        <v>lootName10,DAIL/items/materia/class0013/TerrorKnight10.dbr,</v>
      </c>
      <c r="M12" s="5" t="str">
        <f t="shared" si="5"/>
        <v>lootWeight10,1,</v>
      </c>
      <c r="N12" t="str">
        <f t="shared" si="6"/>
        <v>1</v>
      </c>
      <c r="O12" t="str">
        <f t="shared" si="16"/>
        <v>copy .\dail_base.dbr .\items\materia\class0013\TerrorKnight10.dbr /y</v>
      </c>
      <c r="P12" t="str">
        <f t="shared" si="7"/>
        <v>echo relicBitmap,items/craftingparts/components/component_a52_bristlyfur_b.tex, &gt;&gt; .\items\materia\class0013\TerrorKnight10.dbr</v>
      </c>
      <c r="Q12" t="str">
        <f t="shared" si="1"/>
        <v>echo itemCost,100000, &gt;&gt; .\items\materia\class0013\TerrorKnight10.dbr</v>
      </c>
      <c r="R12" t="str">
        <f t="shared" si="1"/>
        <v>echo description,dailCompDescTerrorKnight10, &gt;&gt; .\items\materia\class0013\TerrorKnight10.dbr</v>
      </c>
      <c r="S12" t="str">
        <f t="shared" si="1"/>
        <v>echo itemText,dailCompTextTerrorKnight10, &gt;&gt; .\items\materia\class0013\TerrorKnight10.dbr</v>
      </c>
      <c r="T12" t="str">
        <f t="shared" si="1"/>
        <v>echo augmentSkillLevel1,1, &gt;&gt; .\items\materia\class0013\TerrorKnight10.dbr</v>
      </c>
      <c r="U12" t="str">
        <f t="shared" si="1"/>
        <v>echo augmentSkillName1,records/skills/zenithclass01/torso.dbr, &gt;&gt; .\items\materia\class0013\TerrorKnight10.dbr</v>
      </c>
      <c r="V12" s="5" t="s">
        <v>36</v>
      </c>
      <c r="W12" t="str">
        <f t="shared" si="8"/>
        <v>echo lootName10,DAIL/items/materia/class0013/TerrorKnight10.dbr, &gt;&gt; .\items\loottables\dailoneskill0013.dbr</v>
      </c>
      <c r="X12" t="str">
        <f t="shared" si="8"/>
        <v>echo lootWeight10,1, &gt;&gt; .\items\loottables\dailoneskill0013.dbr</v>
      </c>
      <c r="Y12" s="5" t="s">
        <v>36</v>
      </c>
      <c r="Z12" t="str">
        <f t="shared" si="9"/>
        <v xml:space="preserve"> dailCompDescTerrorKnight10=^pTerrorKnight's Gift of DAIL</v>
      </c>
      <c r="AA12" t="str">
        <f t="shared" si="17"/>
        <v>dailCompTextTerrorKnight10=^oThis feels warm to the touch, almost familiar ^w(This component fits into all Jewellery slots including the Belt And Shoulder)</v>
      </c>
      <c r="AB12" s="5" t="s">
        <v>36</v>
      </c>
      <c r="AH12">
        <f t="shared" si="19"/>
        <v>7</v>
      </c>
      <c r="AI12">
        <f t="shared" si="13"/>
        <v>24</v>
      </c>
      <c r="AJ12">
        <f t="shared" si="18"/>
        <v>1</v>
      </c>
    </row>
    <row r="13" spans="1:38" x14ac:dyDescent="0.25">
      <c r="A13" s="5" t="s">
        <v>39</v>
      </c>
      <c r="B13" s="5" t="s">
        <v>0</v>
      </c>
      <c r="C13" s="5" t="str">
        <f t="shared" si="0"/>
        <v>description,dailCompDescTerrorKnight11,</v>
      </c>
      <c r="D13" s="5" t="str">
        <f t="shared" si="2"/>
        <v>itemText,dailCompTextTerrorKnight11,</v>
      </c>
      <c r="E13" s="5" t="str">
        <f t="shared" si="14"/>
        <v>augmentSkillLevel1,1,</v>
      </c>
      <c r="F13" s="5" t="str">
        <f t="shared" si="15"/>
        <v>augmentSkillName1,records/skills/zenithclass01/head.dbr,</v>
      </c>
      <c r="G13" s="7">
        <f t="shared" si="10"/>
        <v>11</v>
      </c>
      <c r="H13" s="8" t="str">
        <f t="shared" si="11"/>
        <v>TerrorKnight</v>
      </c>
      <c r="I13" s="3" t="s">
        <v>219</v>
      </c>
      <c r="J13" s="8" t="str">
        <f t="shared" si="12"/>
        <v>class0013</v>
      </c>
      <c r="K13" s="8" t="str">
        <f t="shared" si="12"/>
        <v>dailoneskill0013</v>
      </c>
      <c r="L13" s="5" t="str">
        <f t="shared" si="4"/>
        <v>lootName11,DAIL/items/materia/class0013/TerrorKnight11.dbr,</v>
      </c>
      <c r="M13" s="5" t="str">
        <f t="shared" si="5"/>
        <v>lootWeight11,1,</v>
      </c>
      <c r="N13" t="str">
        <f t="shared" si="6"/>
        <v>1</v>
      </c>
      <c r="O13" t="str">
        <f t="shared" si="16"/>
        <v>copy .\dail_base.dbr .\items\materia\class0013\TerrorKnight11.dbr /y</v>
      </c>
      <c r="P13" t="str">
        <f t="shared" si="7"/>
        <v>echo relicBitmap,items/craftingparts/components/component_a52_bristlyfur_b.tex, &gt;&gt; .\items\materia\class0013\TerrorKnight11.dbr</v>
      </c>
      <c r="Q13" t="str">
        <f t="shared" si="1"/>
        <v>echo itemCost,100000, &gt;&gt; .\items\materia\class0013\TerrorKnight11.dbr</v>
      </c>
      <c r="R13" t="str">
        <f t="shared" si="1"/>
        <v>echo description,dailCompDescTerrorKnight11, &gt;&gt; .\items\materia\class0013\TerrorKnight11.dbr</v>
      </c>
      <c r="S13" t="str">
        <f t="shared" si="1"/>
        <v>echo itemText,dailCompTextTerrorKnight11, &gt;&gt; .\items\materia\class0013\TerrorKnight11.dbr</v>
      </c>
      <c r="T13" t="str">
        <f t="shared" si="1"/>
        <v>echo augmentSkillLevel1,1, &gt;&gt; .\items\materia\class0013\TerrorKnight11.dbr</v>
      </c>
      <c r="U13" t="str">
        <f t="shared" si="1"/>
        <v>echo augmentSkillName1,records/skills/zenithclass01/head.dbr, &gt;&gt; .\items\materia\class0013\TerrorKnight11.dbr</v>
      </c>
      <c r="V13" s="5" t="s">
        <v>36</v>
      </c>
      <c r="W13" t="str">
        <f t="shared" si="8"/>
        <v>echo lootName11,DAIL/items/materia/class0013/TerrorKnight11.dbr, &gt;&gt; .\items\loottables\dailoneskill0013.dbr</v>
      </c>
      <c r="X13" t="str">
        <f t="shared" si="8"/>
        <v>echo lootWeight11,1, &gt;&gt; .\items\loottables\dailoneskill0013.dbr</v>
      </c>
      <c r="Y13" s="5" t="s">
        <v>36</v>
      </c>
      <c r="Z13" t="str">
        <f t="shared" si="9"/>
        <v xml:space="preserve"> dailCompDescTerrorKnight11=^pTerrorKnight's Gift of DAIL</v>
      </c>
      <c r="AA13" t="str">
        <f t="shared" si="17"/>
        <v>dailCompTextTerrorKnight11=^oThis feels warm to the touch, almost familiar ^w(This component fits into all Jewellery slots including the Belt And Shoulder)</v>
      </c>
      <c r="AB13" s="5" t="s">
        <v>36</v>
      </c>
      <c r="AH13">
        <f t="shared" si="19"/>
        <v>8</v>
      </c>
      <c r="AI13">
        <f t="shared" si="13"/>
        <v>23</v>
      </c>
      <c r="AJ13">
        <f t="shared" si="18"/>
        <v>1</v>
      </c>
    </row>
    <row r="14" spans="1:38" x14ac:dyDescent="0.25">
      <c r="A14" s="5" t="s">
        <v>39</v>
      </c>
      <c r="B14" s="5" t="s">
        <v>0</v>
      </c>
      <c r="C14" s="5" t="str">
        <f t="shared" si="0"/>
        <v>description,dailCompDescTerrorKnight12,</v>
      </c>
      <c r="D14" s="5" t="str">
        <f t="shared" si="2"/>
        <v>itemText,dailCompTextTerrorKnight12,</v>
      </c>
      <c r="E14" s="5" t="str">
        <f t="shared" si="14"/>
        <v>augmentSkillLevel1,1,</v>
      </c>
      <c r="F14" s="5" t="str">
        <f t="shared" si="15"/>
        <v>augmentSkillName1,records/skills/zenithclass01/conquer1.dbr,</v>
      </c>
      <c r="G14" s="7">
        <f t="shared" si="10"/>
        <v>12</v>
      </c>
      <c r="H14" s="8" t="str">
        <f t="shared" si="11"/>
        <v>TerrorKnight</v>
      </c>
      <c r="I14" s="3" t="s">
        <v>215</v>
      </c>
      <c r="J14" s="8" t="str">
        <f t="shared" si="12"/>
        <v>class0013</v>
      </c>
      <c r="K14" s="8" t="str">
        <f t="shared" si="12"/>
        <v>dailoneskill0013</v>
      </c>
      <c r="L14" s="5" t="str">
        <f t="shared" si="4"/>
        <v>lootName12,DAIL/items/materia/class0013/TerrorKnight12.dbr,</v>
      </c>
      <c r="M14" s="5" t="str">
        <f t="shared" si="5"/>
        <v>lootWeight12,1,</v>
      </c>
      <c r="N14" t="str">
        <f t="shared" si="6"/>
        <v>1</v>
      </c>
      <c r="O14" t="str">
        <f t="shared" si="16"/>
        <v>copy .\dail_base.dbr .\items\materia\class0013\TerrorKnight12.dbr /y</v>
      </c>
      <c r="P14" t="str">
        <f t="shared" si="7"/>
        <v>echo relicBitmap,items/craftingparts/components/component_a52_bristlyfur_b.tex, &gt;&gt; .\items\materia\class0013\TerrorKnight12.dbr</v>
      </c>
      <c r="Q14" t="str">
        <f t="shared" si="1"/>
        <v>echo itemCost,100000, &gt;&gt; .\items\materia\class0013\TerrorKnight12.dbr</v>
      </c>
      <c r="R14" t="str">
        <f t="shared" si="1"/>
        <v>echo description,dailCompDescTerrorKnight12, &gt;&gt; .\items\materia\class0013\TerrorKnight12.dbr</v>
      </c>
      <c r="S14" t="str">
        <f t="shared" si="1"/>
        <v>echo itemText,dailCompTextTerrorKnight12, &gt;&gt; .\items\materia\class0013\TerrorKnight12.dbr</v>
      </c>
      <c r="T14" t="str">
        <f t="shared" si="1"/>
        <v>echo augmentSkillLevel1,1, &gt;&gt; .\items\materia\class0013\TerrorKnight12.dbr</v>
      </c>
      <c r="U14" t="str">
        <f t="shared" si="1"/>
        <v>echo augmentSkillName1,records/skills/zenithclass01/conquer1.dbr, &gt;&gt; .\items\materia\class0013\TerrorKnight12.dbr</v>
      </c>
      <c r="V14" s="5" t="s">
        <v>36</v>
      </c>
      <c r="W14" t="str">
        <f t="shared" si="8"/>
        <v>echo lootName12,DAIL/items/materia/class0013/TerrorKnight12.dbr, &gt;&gt; .\items\loottables\dailoneskill0013.dbr</v>
      </c>
      <c r="X14" t="str">
        <f t="shared" si="8"/>
        <v>echo lootWeight12,1, &gt;&gt; .\items\loottables\dailoneskill0013.dbr</v>
      </c>
      <c r="Y14" s="5" t="s">
        <v>36</v>
      </c>
      <c r="Z14" t="str">
        <f t="shared" si="9"/>
        <v xml:space="preserve"> dailCompDescTerrorKnight12=^pTerrorKnight's Gift of DAIL</v>
      </c>
      <c r="AA14" t="str">
        <f t="shared" si="17"/>
        <v>dailCompTextTerrorKnight12=^oThis feels warm to the touch, almost familiar ^w(This component fits into all Jewellery slots including the Belt And Shoulder)</v>
      </c>
      <c r="AB14" s="5" t="s">
        <v>36</v>
      </c>
      <c r="AH14">
        <f t="shared" si="19"/>
        <v>9</v>
      </c>
      <c r="AI14">
        <f t="shared" si="13"/>
        <v>27</v>
      </c>
      <c r="AJ14">
        <f t="shared" si="18"/>
        <v>1</v>
      </c>
    </row>
    <row r="15" spans="1:38" x14ac:dyDescent="0.25">
      <c r="A15" s="5" t="s">
        <v>39</v>
      </c>
      <c r="B15" s="5" t="s">
        <v>0</v>
      </c>
      <c r="C15" s="5" t="str">
        <f t="shared" si="0"/>
        <v>description,dailCompDescTerrorKnight13,</v>
      </c>
      <c r="D15" s="5" t="str">
        <f t="shared" si="2"/>
        <v>itemText,dailCompTextTerrorKnight13,</v>
      </c>
      <c r="E15" s="5" t="str">
        <f t="shared" si="14"/>
        <v>augmentSkillLevel1,1,</v>
      </c>
      <c r="F15" s="5" t="str">
        <f t="shared" si="15"/>
        <v>augmentSkillName1,records/skills/zenithclass01/conquer2.dbr,</v>
      </c>
      <c r="G15" s="7">
        <f t="shared" si="10"/>
        <v>13</v>
      </c>
      <c r="H15" s="8" t="str">
        <f t="shared" si="11"/>
        <v>TerrorKnight</v>
      </c>
      <c r="I15" s="3" t="s">
        <v>442</v>
      </c>
      <c r="J15" s="8" t="str">
        <f t="shared" si="12"/>
        <v>class0013</v>
      </c>
      <c r="K15" s="8" t="str">
        <f t="shared" si="12"/>
        <v>dailoneskill0013</v>
      </c>
      <c r="L15" s="5" t="str">
        <f t="shared" si="4"/>
        <v>lootName13,DAIL/items/materia/class0013/TerrorKnight13.dbr,</v>
      </c>
      <c r="M15" s="5" t="str">
        <f t="shared" si="5"/>
        <v>lootWeight13,1,</v>
      </c>
      <c r="N15" t="str">
        <f t="shared" si="6"/>
        <v>1</v>
      </c>
      <c r="O15" t="str">
        <f t="shared" si="16"/>
        <v>copy .\dail_base.dbr .\items\materia\class0013\TerrorKnight13.dbr /y</v>
      </c>
      <c r="P15" t="str">
        <f t="shared" si="7"/>
        <v>echo relicBitmap,items/craftingparts/components/component_a52_bristlyfur_b.tex, &gt;&gt; .\items\materia\class0013\TerrorKnight13.dbr</v>
      </c>
      <c r="Q15" t="str">
        <f t="shared" si="1"/>
        <v>echo itemCost,100000, &gt;&gt; .\items\materia\class0013\TerrorKnight13.dbr</v>
      </c>
      <c r="R15" t="str">
        <f t="shared" si="1"/>
        <v>echo description,dailCompDescTerrorKnight13, &gt;&gt; .\items\materia\class0013\TerrorKnight13.dbr</v>
      </c>
      <c r="S15" t="str">
        <f t="shared" si="1"/>
        <v>echo itemText,dailCompTextTerrorKnight13, &gt;&gt; .\items\materia\class0013\TerrorKnight13.dbr</v>
      </c>
      <c r="T15" t="str">
        <f t="shared" si="1"/>
        <v>echo augmentSkillLevel1,1, &gt;&gt; .\items\materia\class0013\TerrorKnight13.dbr</v>
      </c>
      <c r="U15" t="str">
        <f t="shared" si="1"/>
        <v>echo augmentSkillName1,records/skills/zenithclass01/conquer2.dbr, &gt;&gt; .\items\materia\class0013\TerrorKnight13.dbr</v>
      </c>
      <c r="V15" s="5" t="s">
        <v>36</v>
      </c>
      <c r="W15" t="str">
        <f t="shared" si="8"/>
        <v>echo lootName13,DAIL/items/materia/class0013/TerrorKnight13.dbr, &gt;&gt; .\items\loottables\dailoneskill0013.dbr</v>
      </c>
      <c r="X15" t="str">
        <f t="shared" si="8"/>
        <v>echo lootWeight13,1, &gt;&gt; .\items\loottables\dailoneskill0013.dbr</v>
      </c>
      <c r="Y15" s="5" t="s">
        <v>36</v>
      </c>
      <c r="Z15" t="str">
        <f t="shared" si="9"/>
        <v xml:space="preserve"> dailCompDescTerrorKnight13=^pTerrorKnight's Gift of DAIL</v>
      </c>
      <c r="AA15" t="str">
        <f t="shared" si="17"/>
        <v>dailCompTextTerrorKnight13=^oThis feels warm to the touch, almost familiar ^w(This component fits into all Jewellery slots including the Belt And Shoulder)</v>
      </c>
      <c r="AB15" s="5" t="s">
        <v>36</v>
      </c>
      <c r="AH15">
        <f t="shared" si="19"/>
        <v>10</v>
      </c>
      <c r="AI15">
        <f t="shared" si="13"/>
        <v>27</v>
      </c>
      <c r="AJ15">
        <f t="shared" si="18"/>
        <v>1</v>
      </c>
    </row>
    <row r="16" spans="1:38" x14ac:dyDescent="0.25">
      <c r="A16" s="5" t="s">
        <v>39</v>
      </c>
      <c r="B16" s="5" t="s">
        <v>0</v>
      </c>
      <c r="C16" s="5" t="str">
        <f t="shared" si="0"/>
        <v>description,dailCompDescTerrorKnight14,</v>
      </c>
      <c r="D16" s="5" t="str">
        <f t="shared" si="2"/>
        <v>itemText,dailCompTextTerrorKnight14,</v>
      </c>
      <c r="E16" s="5" t="str">
        <f t="shared" si="14"/>
        <v>augmentSkillLevel1,1,</v>
      </c>
      <c r="F16" s="5" t="str">
        <f t="shared" si="15"/>
        <v>augmentSkillName1,records/skills/zenithclass01/charge1.dbr,</v>
      </c>
      <c r="G16" s="7">
        <f t="shared" si="10"/>
        <v>14</v>
      </c>
      <c r="H16" s="8" t="str">
        <f t="shared" si="11"/>
        <v>TerrorKnight</v>
      </c>
      <c r="I16" s="3" t="s">
        <v>214</v>
      </c>
      <c r="J16" s="8" t="str">
        <f t="shared" si="12"/>
        <v>class0013</v>
      </c>
      <c r="K16" s="8" t="str">
        <f t="shared" si="12"/>
        <v>dailoneskill0013</v>
      </c>
      <c r="L16" s="5" t="str">
        <f t="shared" si="4"/>
        <v>lootName14,DAIL/items/materia/class0013/TerrorKnight14.dbr,</v>
      </c>
      <c r="M16" s="5" t="str">
        <f t="shared" si="5"/>
        <v>lootWeight14,1,</v>
      </c>
      <c r="N16" t="str">
        <f t="shared" si="6"/>
        <v>1</v>
      </c>
      <c r="O16" t="str">
        <f t="shared" si="16"/>
        <v>copy .\dail_base.dbr .\items\materia\class0013\TerrorKnight14.dbr /y</v>
      </c>
      <c r="P16" t="str">
        <f t="shared" si="7"/>
        <v>echo relicBitmap,items/craftingparts/components/component_a52_bristlyfur_b.tex, &gt;&gt; .\items\materia\class0013\TerrorKnight14.dbr</v>
      </c>
      <c r="Q16" t="str">
        <f t="shared" si="1"/>
        <v>echo itemCost,100000, &gt;&gt; .\items\materia\class0013\TerrorKnight14.dbr</v>
      </c>
      <c r="R16" t="str">
        <f t="shared" si="1"/>
        <v>echo description,dailCompDescTerrorKnight14, &gt;&gt; .\items\materia\class0013\TerrorKnight14.dbr</v>
      </c>
      <c r="S16" t="str">
        <f t="shared" si="1"/>
        <v>echo itemText,dailCompTextTerrorKnight14, &gt;&gt; .\items\materia\class0013\TerrorKnight14.dbr</v>
      </c>
      <c r="T16" t="str">
        <f t="shared" si="1"/>
        <v>echo augmentSkillLevel1,1, &gt;&gt; .\items\materia\class0013\TerrorKnight14.dbr</v>
      </c>
      <c r="U16" t="str">
        <f t="shared" si="1"/>
        <v>echo augmentSkillName1,records/skills/zenithclass01/charge1.dbr, &gt;&gt; .\items\materia\class0013\TerrorKnight14.dbr</v>
      </c>
      <c r="V16" s="5" t="s">
        <v>36</v>
      </c>
      <c r="W16" t="str">
        <f t="shared" si="8"/>
        <v>echo lootName14,DAIL/items/materia/class0013/TerrorKnight14.dbr, &gt;&gt; .\items\loottables\dailoneskill0013.dbr</v>
      </c>
      <c r="X16" t="str">
        <f t="shared" si="8"/>
        <v>echo lootWeight14,1, &gt;&gt; .\items\loottables\dailoneskill0013.dbr</v>
      </c>
      <c r="Y16" s="5" t="s">
        <v>36</v>
      </c>
      <c r="Z16" t="str">
        <f t="shared" si="9"/>
        <v xml:space="preserve"> dailCompDescTerrorKnight14=^pTerrorKnight's Gift of DAIL</v>
      </c>
      <c r="AA16" t="str">
        <f t="shared" si="17"/>
        <v>dailCompTextTerrorKnight14=^oThis feels warm to the touch, almost familiar ^w(This component fits into all Jewellery slots including the Belt And Shoulder)</v>
      </c>
      <c r="AB16" s="5" t="s">
        <v>36</v>
      </c>
      <c r="AH16">
        <f t="shared" si="19"/>
        <v>11</v>
      </c>
      <c r="AI16">
        <f t="shared" si="13"/>
        <v>26</v>
      </c>
      <c r="AJ16">
        <f t="shared" si="18"/>
        <v>1</v>
      </c>
    </row>
    <row r="17" spans="1:36" x14ac:dyDescent="0.25">
      <c r="A17" s="5" t="s">
        <v>39</v>
      </c>
      <c r="B17" s="5" t="s">
        <v>0</v>
      </c>
      <c r="C17" s="5" t="str">
        <f t="shared" si="0"/>
        <v>description,dailCompDescTerrorKnight15,</v>
      </c>
      <c r="D17" s="5" t="str">
        <f t="shared" si="2"/>
        <v>itemText,dailCompTextTerrorKnight15,</v>
      </c>
      <c r="E17" s="5" t="str">
        <f t="shared" si="14"/>
        <v>augmentSkillLevel1,1,</v>
      </c>
      <c r="F17" s="5" t="str">
        <f t="shared" si="15"/>
        <v>augmentSkillName1,records/skills/zenithclass01/charge2.dbr,</v>
      </c>
      <c r="G17" s="7">
        <f t="shared" si="10"/>
        <v>15</v>
      </c>
      <c r="H17" s="8" t="str">
        <f t="shared" si="11"/>
        <v>TerrorKnight</v>
      </c>
      <c r="I17" s="3" t="s">
        <v>443</v>
      </c>
      <c r="J17" s="8" t="str">
        <f t="shared" si="12"/>
        <v>class0013</v>
      </c>
      <c r="K17" s="8" t="str">
        <f t="shared" si="12"/>
        <v>dailoneskill0013</v>
      </c>
      <c r="L17" s="5" t="str">
        <f t="shared" si="4"/>
        <v>lootName15,DAIL/items/materia/class0013/TerrorKnight15.dbr,</v>
      </c>
      <c r="M17" s="5" t="str">
        <f t="shared" si="5"/>
        <v>lootWeight15,1,</v>
      </c>
      <c r="N17" t="str">
        <f t="shared" si="6"/>
        <v>1</v>
      </c>
      <c r="O17" t="str">
        <f t="shared" si="16"/>
        <v>copy .\dail_base.dbr .\items\materia\class0013\TerrorKnight15.dbr /y</v>
      </c>
      <c r="P17" t="str">
        <f t="shared" si="7"/>
        <v>echo relicBitmap,items/craftingparts/components/component_a52_bristlyfur_b.tex, &gt;&gt; .\items\materia\class0013\TerrorKnight15.dbr</v>
      </c>
      <c r="Q17" t="str">
        <f t="shared" si="1"/>
        <v>echo itemCost,100000, &gt;&gt; .\items\materia\class0013\TerrorKnight15.dbr</v>
      </c>
      <c r="R17" t="str">
        <f t="shared" si="1"/>
        <v>echo description,dailCompDescTerrorKnight15, &gt;&gt; .\items\materia\class0013\TerrorKnight15.dbr</v>
      </c>
      <c r="S17" t="str">
        <f t="shared" si="1"/>
        <v>echo itemText,dailCompTextTerrorKnight15, &gt;&gt; .\items\materia\class0013\TerrorKnight15.dbr</v>
      </c>
      <c r="T17" t="str">
        <f t="shared" si="1"/>
        <v>echo augmentSkillLevel1,1, &gt;&gt; .\items\materia\class0013\TerrorKnight15.dbr</v>
      </c>
      <c r="U17" t="str">
        <f t="shared" si="1"/>
        <v>echo augmentSkillName1,records/skills/zenithclass01/charge2.dbr, &gt;&gt; .\items\materia\class0013\TerrorKnight15.dbr</v>
      </c>
      <c r="V17" s="5" t="s">
        <v>36</v>
      </c>
      <c r="W17" t="str">
        <f t="shared" si="8"/>
        <v>echo lootName15,DAIL/items/materia/class0013/TerrorKnight15.dbr, &gt;&gt; .\items\loottables\dailoneskill0013.dbr</v>
      </c>
      <c r="X17" t="str">
        <f t="shared" si="8"/>
        <v>echo lootWeight15,1, &gt;&gt; .\items\loottables\dailoneskill0013.dbr</v>
      </c>
      <c r="Y17" s="5" t="s">
        <v>36</v>
      </c>
      <c r="Z17" t="str">
        <f t="shared" si="9"/>
        <v xml:space="preserve"> dailCompDescTerrorKnight15=^pTerrorKnight's Gift of DAIL</v>
      </c>
      <c r="AA17" t="str">
        <f t="shared" si="17"/>
        <v>dailCompTextTerrorKnight15=^oThis feels warm to the touch, almost familiar ^w(This component fits into all Jewellery slots including the Belt And Shoulder)</v>
      </c>
      <c r="AB17" s="5" t="s">
        <v>36</v>
      </c>
      <c r="AH17">
        <f t="shared" si="19"/>
        <v>12</v>
      </c>
      <c r="AI17">
        <f t="shared" si="13"/>
        <v>26</v>
      </c>
      <c r="AJ17">
        <f t="shared" si="18"/>
        <v>1</v>
      </c>
    </row>
    <row r="18" spans="1:36" x14ac:dyDescent="0.25">
      <c r="A18" s="5" t="s">
        <v>39</v>
      </c>
      <c r="B18" s="5" t="s">
        <v>0</v>
      </c>
      <c r="C18" s="5" t="str">
        <f t="shared" si="0"/>
        <v>description,dailCompDescTerrorKnight16,</v>
      </c>
      <c r="D18" s="5" t="str">
        <f t="shared" si="2"/>
        <v>itemText,dailCompTextTerrorKnight16,</v>
      </c>
      <c r="E18" s="5" t="str">
        <f t="shared" si="14"/>
        <v>augmentSkillLevel1,1,</v>
      </c>
      <c r="F18" s="5" t="str">
        <f t="shared" si="15"/>
        <v>augmentSkillName1,records/skills/zenithclass01/charge3.dbr,</v>
      </c>
      <c r="G18" s="7">
        <f t="shared" si="10"/>
        <v>16</v>
      </c>
      <c r="H18" s="8" t="str">
        <f t="shared" si="11"/>
        <v>TerrorKnight</v>
      </c>
      <c r="I18" s="3" t="s">
        <v>444</v>
      </c>
      <c r="J18" s="8" t="str">
        <f t="shared" si="12"/>
        <v>class0013</v>
      </c>
      <c r="K18" s="8" t="str">
        <f t="shared" si="12"/>
        <v>dailoneskill0013</v>
      </c>
      <c r="L18" s="5" t="str">
        <f t="shared" si="4"/>
        <v>lootName16,DAIL/items/materia/class0013/TerrorKnight16.dbr,</v>
      </c>
      <c r="M18" s="5" t="str">
        <f t="shared" si="5"/>
        <v>lootWeight16,1,</v>
      </c>
      <c r="N18" t="str">
        <f t="shared" si="6"/>
        <v>1</v>
      </c>
      <c r="O18" t="str">
        <f t="shared" si="16"/>
        <v>copy .\dail_base.dbr .\items\materia\class0013\TerrorKnight16.dbr /y</v>
      </c>
      <c r="P18" t="str">
        <f t="shared" si="7"/>
        <v>echo relicBitmap,items/craftingparts/components/component_a52_bristlyfur_b.tex, &gt;&gt; .\items\materia\class0013\TerrorKnight16.dbr</v>
      </c>
      <c r="Q18" t="str">
        <f t="shared" si="1"/>
        <v>echo itemCost,100000, &gt;&gt; .\items\materia\class0013\TerrorKnight16.dbr</v>
      </c>
      <c r="R18" t="str">
        <f t="shared" si="1"/>
        <v>echo description,dailCompDescTerrorKnight16, &gt;&gt; .\items\materia\class0013\TerrorKnight16.dbr</v>
      </c>
      <c r="S18" t="str">
        <f t="shared" si="1"/>
        <v>echo itemText,dailCompTextTerrorKnight16, &gt;&gt; .\items\materia\class0013\TerrorKnight16.dbr</v>
      </c>
      <c r="T18" t="str">
        <f t="shared" si="1"/>
        <v>echo augmentSkillLevel1,1, &gt;&gt; .\items\materia\class0013\TerrorKnight16.dbr</v>
      </c>
      <c r="U18" t="str">
        <f t="shared" si="1"/>
        <v>echo augmentSkillName1,records/skills/zenithclass01/charge3.dbr, &gt;&gt; .\items\materia\class0013\TerrorKnight16.dbr</v>
      </c>
      <c r="V18" s="5" t="s">
        <v>36</v>
      </c>
      <c r="W18" t="str">
        <f t="shared" si="8"/>
        <v>echo lootName16,DAIL/items/materia/class0013/TerrorKnight16.dbr, &gt;&gt; .\items\loottables\dailoneskill0013.dbr</v>
      </c>
      <c r="X18" t="str">
        <f t="shared" si="8"/>
        <v>echo lootWeight16,1, &gt;&gt; .\items\loottables\dailoneskill0013.dbr</v>
      </c>
      <c r="Y18" s="5" t="s">
        <v>36</v>
      </c>
      <c r="Z18" t="str">
        <f t="shared" si="9"/>
        <v xml:space="preserve"> dailCompDescTerrorKnight16=^pTerrorKnight's Gift of DAIL</v>
      </c>
      <c r="AA18" t="str">
        <f t="shared" si="17"/>
        <v>dailCompTextTerrorKnight16=^oThis feels warm to the touch, almost familiar ^w(This component fits into all Jewellery slots including the Belt And Shoulder)</v>
      </c>
      <c r="AB18" s="5" t="s">
        <v>36</v>
      </c>
      <c r="AH18">
        <f t="shared" si="19"/>
        <v>13</v>
      </c>
      <c r="AI18">
        <f t="shared" si="13"/>
        <v>26</v>
      </c>
      <c r="AJ18">
        <f t="shared" si="18"/>
        <v>1</v>
      </c>
    </row>
    <row r="19" spans="1:36" x14ac:dyDescent="0.25">
      <c r="A19" s="5" t="s">
        <v>39</v>
      </c>
      <c r="B19" s="5" t="s">
        <v>28</v>
      </c>
      <c r="C19" s="5" t="str">
        <f t="shared" si="0"/>
        <v>description,dailCompDescTerrorKnight17,</v>
      </c>
      <c r="D19" s="5" t="str">
        <f t="shared" si="2"/>
        <v>itemText,dailCompTextTerrorKnight17,</v>
      </c>
      <c r="E19" s="5" t="str">
        <f t="shared" si="14"/>
        <v>augmentSkillLevel1,1,</v>
      </c>
      <c r="F19" s="5" t="str">
        <f t="shared" si="15"/>
        <v>augmentSkillName1,records/skills/zenithclass01/wp1.dbr,</v>
      </c>
      <c r="G19" s="7">
        <f t="shared" si="10"/>
        <v>17</v>
      </c>
      <c r="H19" s="8" t="str">
        <f t="shared" si="11"/>
        <v>TerrorKnight</v>
      </c>
      <c r="I19" s="3" t="s">
        <v>225</v>
      </c>
      <c r="J19" s="8" t="str">
        <f t="shared" si="12"/>
        <v>class0013</v>
      </c>
      <c r="K19" s="8" t="str">
        <f t="shared" si="12"/>
        <v>dailoneskill0013</v>
      </c>
      <c r="L19" s="5" t="str">
        <f t="shared" si="4"/>
        <v>lootName17,DAIL/items/materia/class0013/TerrorKnight17.dbr,</v>
      </c>
      <c r="M19" s="5" t="str">
        <f t="shared" si="5"/>
        <v>lootWeight17,1,</v>
      </c>
      <c r="N19" t="str">
        <f t="shared" si="6"/>
        <v>1</v>
      </c>
      <c r="O19" t="str">
        <f t="shared" si="16"/>
        <v>copy .\dail_base.dbr .\items\materia\class0013\TerrorKnight17.dbr /y</v>
      </c>
      <c r="P19" t="str">
        <f t="shared" si="7"/>
        <v>echo relicBitmap,items/craftingparts/components/component_a52_bristlyfur_b.tex, &gt;&gt; .\items\materia\class0013\TerrorKnight17.dbr</v>
      </c>
      <c r="Q19" t="str">
        <f t="shared" si="7"/>
        <v>echo itemCost,300000, &gt;&gt; .\items\materia\class0013\TerrorKnight17.dbr</v>
      </c>
      <c r="R19" t="str">
        <f t="shared" si="7"/>
        <v>echo description,dailCompDescTerrorKnight17, &gt;&gt; .\items\materia\class0013\TerrorKnight17.dbr</v>
      </c>
      <c r="S19" t="str">
        <f t="shared" si="7"/>
        <v>echo itemText,dailCompTextTerrorKnight17, &gt;&gt; .\items\materia\class0013\TerrorKnight17.dbr</v>
      </c>
      <c r="T19" t="str">
        <f t="shared" si="7"/>
        <v>echo augmentSkillLevel1,1, &gt;&gt; .\items\materia\class0013\TerrorKnight17.dbr</v>
      </c>
      <c r="U19" t="str">
        <f t="shared" si="7"/>
        <v>echo augmentSkillName1,records/skills/zenithclass01/wp1.dbr, &gt;&gt; .\items\materia\class0013\TerrorKnight17.dbr</v>
      </c>
      <c r="V19" s="5" t="s">
        <v>36</v>
      </c>
      <c r="W19" t="str">
        <f t="shared" si="8"/>
        <v>echo lootName17,DAIL/items/materia/class0013/TerrorKnight17.dbr, &gt;&gt; .\items\loottables\dailoneskill0013.dbr</v>
      </c>
      <c r="X19" t="str">
        <f t="shared" si="8"/>
        <v>echo lootWeight17,1, &gt;&gt; .\items\loottables\dailoneskill0013.dbr</v>
      </c>
      <c r="Y19" s="5" t="s">
        <v>36</v>
      </c>
      <c r="Z19" t="str">
        <f t="shared" si="9"/>
        <v xml:space="preserve"> dailCompDescTerrorKnight17=^pTerrorKnight's Gift of DAIL</v>
      </c>
      <c r="AA19" t="str">
        <f t="shared" si="17"/>
        <v>dailCompTextTerrorKnight17=^oThis feels warm to the touch, almost familiar ^w(This component fits into all Jewellery slots including the Belt And Shoulder)</v>
      </c>
      <c r="AB19" s="5" t="s">
        <v>36</v>
      </c>
      <c r="AH19">
        <f t="shared" si="19"/>
        <v>14</v>
      </c>
      <c r="AI19">
        <f t="shared" si="13"/>
        <v>22</v>
      </c>
      <c r="AJ19">
        <f t="shared" si="18"/>
        <v>1</v>
      </c>
    </row>
    <row r="20" spans="1:36" x14ac:dyDescent="0.25">
      <c r="A20" s="5" t="s">
        <v>39</v>
      </c>
      <c r="B20" s="5" t="s">
        <v>28</v>
      </c>
      <c r="C20" s="5" t="str">
        <f t="shared" si="0"/>
        <v>description,dailCompDescTerrorKnight18,</v>
      </c>
      <c r="D20" s="5" t="str">
        <f t="shared" si="2"/>
        <v>itemText,dailCompTextTerrorKnight18,</v>
      </c>
      <c r="E20" s="5" t="str">
        <f t="shared" si="14"/>
        <v>augmentSkillLevel1,1,</v>
      </c>
      <c r="F20" s="5" t="str">
        <f t="shared" si="15"/>
        <v>augmentSkillName1,records/skills/zenithclass01/bloodsiphon1.dbr,</v>
      </c>
      <c r="G20" s="7">
        <f t="shared" si="10"/>
        <v>18</v>
      </c>
      <c r="H20" s="8" t="str">
        <f t="shared" si="11"/>
        <v>TerrorKnight</v>
      </c>
      <c r="I20" s="3" t="s">
        <v>213</v>
      </c>
      <c r="J20" s="8" t="str">
        <f t="shared" si="12"/>
        <v>class0013</v>
      </c>
      <c r="K20" s="8" t="str">
        <f t="shared" si="12"/>
        <v>dailoneskill0013</v>
      </c>
      <c r="L20" s="5" t="str">
        <f t="shared" si="4"/>
        <v>lootName18,DAIL/items/materia/class0013/TerrorKnight18.dbr,</v>
      </c>
      <c r="M20" s="5" t="str">
        <f t="shared" si="5"/>
        <v>lootWeight18,1,</v>
      </c>
      <c r="N20" t="str">
        <f t="shared" si="6"/>
        <v>1</v>
      </c>
      <c r="O20" t="str">
        <f t="shared" si="16"/>
        <v>copy .\dail_base.dbr .\items\materia\class0013\TerrorKnight18.dbr /y</v>
      </c>
      <c r="P20" t="str">
        <f t="shared" si="7"/>
        <v>echo relicBitmap,items/craftingparts/components/component_a52_bristlyfur_b.tex, &gt;&gt; .\items\materia\class0013\TerrorKnight18.dbr</v>
      </c>
      <c r="Q20" t="str">
        <f t="shared" si="7"/>
        <v>echo itemCost,300000, &gt;&gt; .\items\materia\class0013\TerrorKnight18.dbr</v>
      </c>
      <c r="R20" t="str">
        <f t="shared" si="7"/>
        <v>echo description,dailCompDescTerrorKnight18, &gt;&gt; .\items\materia\class0013\TerrorKnight18.dbr</v>
      </c>
      <c r="S20" t="str">
        <f t="shared" si="7"/>
        <v>echo itemText,dailCompTextTerrorKnight18, &gt;&gt; .\items\materia\class0013\TerrorKnight18.dbr</v>
      </c>
      <c r="T20" t="str">
        <f t="shared" si="7"/>
        <v>echo augmentSkillLevel1,1, &gt;&gt; .\items\materia\class0013\TerrorKnight18.dbr</v>
      </c>
      <c r="U20" t="str">
        <f t="shared" si="7"/>
        <v>echo augmentSkillName1,records/skills/zenithclass01/bloodsiphon1.dbr, &gt;&gt; .\items\materia\class0013\TerrorKnight18.dbr</v>
      </c>
      <c r="V20" s="5" t="s">
        <v>36</v>
      </c>
      <c r="W20" t="str">
        <f t="shared" si="8"/>
        <v>echo lootName18,DAIL/items/materia/class0013/TerrorKnight18.dbr, &gt;&gt; .\items\loottables\dailoneskill0013.dbr</v>
      </c>
      <c r="X20" t="str">
        <f t="shared" si="8"/>
        <v>echo lootWeight18,1, &gt;&gt; .\items\loottables\dailoneskill0013.dbr</v>
      </c>
      <c r="Y20" s="5" t="s">
        <v>36</v>
      </c>
      <c r="Z20" t="str">
        <f t="shared" si="9"/>
        <v xml:space="preserve"> dailCompDescTerrorKnight18=^pTerrorKnight's Gift of DAIL</v>
      </c>
      <c r="AA20" t="str">
        <f t="shared" si="17"/>
        <v>dailCompTextTerrorKnight18=^oThis feels warm to the touch, almost familiar ^w(This component fits into all Jewellery slots including the Belt And Shoulder)</v>
      </c>
      <c r="AB20" s="5" t="s">
        <v>36</v>
      </c>
      <c r="AH20">
        <f t="shared" si="19"/>
        <v>15</v>
      </c>
      <c r="AI20">
        <f t="shared" si="13"/>
        <v>31</v>
      </c>
      <c r="AJ20">
        <f t="shared" si="18"/>
        <v>1</v>
      </c>
    </row>
    <row r="21" spans="1:36" x14ac:dyDescent="0.25">
      <c r="A21" s="5" t="s">
        <v>39</v>
      </c>
      <c r="B21" s="5" t="s">
        <v>28</v>
      </c>
      <c r="C21" s="5" t="str">
        <f t="shared" si="0"/>
        <v>description,dailCompDescTerrorKnight19,</v>
      </c>
      <c r="D21" s="5" t="str">
        <f t="shared" si="2"/>
        <v>itemText,dailCompTextTerrorKnight19,</v>
      </c>
      <c r="E21" s="5" t="str">
        <f t="shared" si="14"/>
        <v>augmentSkillLevel1,1,</v>
      </c>
      <c r="F21" s="5" t="str">
        <f t="shared" si="15"/>
        <v>augmentSkillName1,records/skills/zenithclass01/bloodsiphon2.dbr,</v>
      </c>
      <c r="G21" s="7">
        <f t="shared" si="10"/>
        <v>19</v>
      </c>
      <c r="H21" s="8" t="str">
        <f t="shared" si="11"/>
        <v>TerrorKnight</v>
      </c>
      <c r="I21" s="3" t="s">
        <v>445</v>
      </c>
      <c r="J21" s="8" t="str">
        <f t="shared" ref="J21:K36" si="20">J20</f>
        <v>class0013</v>
      </c>
      <c r="K21" s="8" t="str">
        <f t="shared" si="20"/>
        <v>dailoneskill0013</v>
      </c>
      <c r="L21" s="5" t="str">
        <f t="shared" si="4"/>
        <v>lootName19,DAIL/items/materia/class0013/TerrorKnight19.dbr,</v>
      </c>
      <c r="M21" s="5" t="str">
        <f t="shared" si="5"/>
        <v>lootWeight19,1,</v>
      </c>
      <c r="N21" t="str">
        <f t="shared" si="6"/>
        <v>1</v>
      </c>
      <c r="O21" t="str">
        <f t="shared" si="16"/>
        <v>copy .\dail_base.dbr .\items\materia\class0013\TerrorKnight19.dbr /y</v>
      </c>
      <c r="P21" t="str">
        <f t="shared" si="7"/>
        <v>echo relicBitmap,items/craftingparts/components/component_a52_bristlyfur_b.tex, &gt;&gt; .\items\materia\class0013\TerrorKnight19.dbr</v>
      </c>
      <c r="Q21" t="str">
        <f t="shared" si="7"/>
        <v>echo itemCost,300000, &gt;&gt; .\items\materia\class0013\TerrorKnight19.dbr</v>
      </c>
      <c r="R21" t="str">
        <f t="shared" si="7"/>
        <v>echo description,dailCompDescTerrorKnight19, &gt;&gt; .\items\materia\class0013\TerrorKnight19.dbr</v>
      </c>
      <c r="S21" t="str">
        <f t="shared" si="7"/>
        <v>echo itemText,dailCompTextTerrorKnight19, &gt;&gt; .\items\materia\class0013\TerrorKnight19.dbr</v>
      </c>
      <c r="T21" t="str">
        <f t="shared" si="7"/>
        <v>echo augmentSkillLevel1,1, &gt;&gt; .\items\materia\class0013\TerrorKnight19.dbr</v>
      </c>
      <c r="U21" t="str">
        <f t="shared" si="7"/>
        <v>echo augmentSkillName1,records/skills/zenithclass01/bloodsiphon2.dbr, &gt;&gt; .\items\materia\class0013\TerrorKnight19.dbr</v>
      </c>
      <c r="V21" s="5" t="s">
        <v>36</v>
      </c>
      <c r="W21" t="str">
        <f t="shared" si="8"/>
        <v>echo lootName19,DAIL/items/materia/class0013/TerrorKnight19.dbr, &gt;&gt; .\items\loottables\dailoneskill0013.dbr</v>
      </c>
      <c r="X21" t="str">
        <f t="shared" si="8"/>
        <v>echo lootWeight19,1, &gt;&gt; .\items\loottables\dailoneskill0013.dbr</v>
      </c>
      <c r="Y21" s="5" t="s">
        <v>36</v>
      </c>
      <c r="Z21" t="str">
        <f t="shared" si="9"/>
        <v xml:space="preserve"> dailCompDescTerrorKnight19=^pTerrorKnight's Gift of DAIL</v>
      </c>
      <c r="AA21" t="str">
        <f t="shared" si="17"/>
        <v>dailCompTextTerrorKnight19=^oThis feels warm to the touch, almost familiar ^w(This component fits into all Jewellery slots including the Belt And Shoulder)</v>
      </c>
      <c r="AB21" s="5" t="s">
        <v>36</v>
      </c>
      <c r="AH21">
        <f t="shared" si="19"/>
        <v>16</v>
      </c>
      <c r="AI21">
        <f t="shared" si="13"/>
        <v>31</v>
      </c>
      <c r="AJ21">
        <f t="shared" si="18"/>
        <v>1</v>
      </c>
    </row>
    <row r="22" spans="1:36" x14ac:dyDescent="0.25">
      <c r="A22" s="5" t="s">
        <v>39</v>
      </c>
      <c r="B22" s="5" t="s">
        <v>28</v>
      </c>
      <c r="C22" s="5" t="str">
        <f t="shared" si="0"/>
        <v>description,dailCompDescTerrorKnight20,</v>
      </c>
      <c r="D22" s="5" t="str">
        <f t="shared" si="2"/>
        <v>itemText,dailCompTextTerrorKnight20,</v>
      </c>
      <c r="E22" s="5" t="str">
        <f t="shared" si="14"/>
        <v>augmentSkillLevel1,1,</v>
      </c>
      <c r="F22" s="5" t="str">
        <f t="shared" si="15"/>
        <v>augmentSkillName1,records/skills/zenithclass01/fearpool1.dbr,</v>
      </c>
      <c r="G22" s="7">
        <f t="shared" si="10"/>
        <v>20</v>
      </c>
      <c r="H22" s="8" t="str">
        <f t="shared" si="11"/>
        <v>TerrorKnight</v>
      </c>
      <c r="I22" s="3" t="s">
        <v>217</v>
      </c>
      <c r="J22" s="8" t="str">
        <f t="shared" si="20"/>
        <v>class0013</v>
      </c>
      <c r="K22" s="8" t="str">
        <f t="shared" si="20"/>
        <v>dailoneskill0013</v>
      </c>
      <c r="L22" s="5" t="str">
        <f t="shared" si="4"/>
        <v>lootName20,DAIL/items/materia/class0013/TerrorKnight20.dbr,</v>
      </c>
      <c r="M22" s="5" t="str">
        <f t="shared" si="5"/>
        <v>lootWeight20,1,</v>
      </c>
      <c r="N22" t="str">
        <f t="shared" si="6"/>
        <v>1</v>
      </c>
      <c r="O22" t="str">
        <f t="shared" si="16"/>
        <v>copy .\dail_base.dbr .\items\materia\class0013\TerrorKnight20.dbr /y</v>
      </c>
      <c r="P22" t="str">
        <f t="shared" si="7"/>
        <v>echo relicBitmap,items/craftingparts/components/component_a52_bristlyfur_b.tex, &gt;&gt; .\items\materia\class0013\TerrorKnight20.dbr</v>
      </c>
      <c r="Q22" t="str">
        <f t="shared" si="7"/>
        <v>echo itemCost,300000, &gt;&gt; .\items\materia\class0013\TerrorKnight20.dbr</v>
      </c>
      <c r="R22" t="str">
        <f t="shared" si="7"/>
        <v>echo description,dailCompDescTerrorKnight20, &gt;&gt; .\items\materia\class0013\TerrorKnight20.dbr</v>
      </c>
      <c r="S22" t="str">
        <f t="shared" si="7"/>
        <v>echo itemText,dailCompTextTerrorKnight20, &gt;&gt; .\items\materia\class0013\TerrorKnight20.dbr</v>
      </c>
      <c r="T22" t="str">
        <f t="shared" si="7"/>
        <v>echo augmentSkillLevel1,1, &gt;&gt; .\items\materia\class0013\TerrorKnight20.dbr</v>
      </c>
      <c r="U22" t="str">
        <f t="shared" si="7"/>
        <v>echo augmentSkillName1,records/skills/zenithclass01/fearpool1.dbr, &gt;&gt; .\items\materia\class0013\TerrorKnight20.dbr</v>
      </c>
      <c r="V22" s="5" t="s">
        <v>36</v>
      </c>
      <c r="W22" t="str">
        <f t="shared" si="8"/>
        <v>echo lootName20,DAIL/items/materia/class0013/TerrorKnight20.dbr, &gt;&gt; .\items\loottables\dailoneskill0013.dbr</v>
      </c>
      <c r="X22" t="str">
        <f t="shared" si="8"/>
        <v>echo lootWeight20,1, &gt;&gt; .\items\loottables\dailoneskill0013.dbr</v>
      </c>
      <c r="Y22" s="5" t="s">
        <v>36</v>
      </c>
      <c r="Z22" t="str">
        <f t="shared" si="9"/>
        <v xml:space="preserve"> dailCompDescTerrorKnight20=^pTerrorKnight's Gift of DAIL</v>
      </c>
      <c r="AA22" t="str">
        <f t="shared" si="17"/>
        <v>dailCompTextTerrorKnight20=^oThis feels warm to the touch, almost familiar ^w(This component fits into all Jewellery slots including the Belt And Shoulder)</v>
      </c>
      <c r="AB22" s="5" t="s">
        <v>36</v>
      </c>
      <c r="AH22">
        <f t="shared" si="19"/>
        <v>17</v>
      </c>
      <c r="AI22">
        <f t="shared" si="13"/>
        <v>28</v>
      </c>
      <c r="AJ22">
        <f t="shared" si="18"/>
        <v>1</v>
      </c>
    </row>
    <row r="23" spans="1:36" x14ac:dyDescent="0.25">
      <c r="A23" s="5" t="s">
        <v>39</v>
      </c>
      <c r="B23" s="5" t="s">
        <v>28</v>
      </c>
      <c r="C23" s="5" t="str">
        <f t="shared" si="0"/>
        <v>description,dailCompDescTerrorKnight21,</v>
      </c>
      <c r="D23" s="5" t="str">
        <f t="shared" si="2"/>
        <v>itemText,dailCompTextTerrorKnight21,</v>
      </c>
      <c r="E23" s="5" t="str">
        <f t="shared" si="14"/>
        <v>augmentSkillLevel1,1,</v>
      </c>
      <c r="F23" s="5" t="str">
        <f t="shared" si="15"/>
        <v>augmentSkillName1,records/skills/zenithclass01/fearpool2.dbr,</v>
      </c>
      <c r="G23" s="7">
        <f t="shared" si="10"/>
        <v>21</v>
      </c>
      <c r="H23" s="8" t="str">
        <f t="shared" si="11"/>
        <v>TerrorKnight</v>
      </c>
      <c r="I23" s="3" t="s">
        <v>446</v>
      </c>
      <c r="J23" s="8" t="str">
        <f t="shared" si="20"/>
        <v>class0013</v>
      </c>
      <c r="K23" s="8" t="str">
        <f t="shared" si="20"/>
        <v>dailoneskill0013</v>
      </c>
      <c r="L23" s="5" t="str">
        <f t="shared" si="4"/>
        <v>lootName21,DAIL/items/materia/class0013/TerrorKnight21.dbr,</v>
      </c>
      <c r="M23" s="5" t="str">
        <f t="shared" si="5"/>
        <v>lootWeight21,1,</v>
      </c>
      <c r="N23" t="str">
        <f t="shared" si="6"/>
        <v>1</v>
      </c>
      <c r="O23" t="str">
        <f t="shared" si="16"/>
        <v>copy .\dail_base.dbr .\items\materia\class0013\TerrorKnight21.dbr /y</v>
      </c>
      <c r="P23" t="str">
        <f t="shared" si="7"/>
        <v>echo relicBitmap,items/craftingparts/components/component_a52_bristlyfur_b.tex, &gt;&gt; .\items\materia\class0013\TerrorKnight21.dbr</v>
      </c>
      <c r="Q23" t="str">
        <f t="shared" si="7"/>
        <v>echo itemCost,300000, &gt;&gt; .\items\materia\class0013\TerrorKnight21.dbr</v>
      </c>
      <c r="R23" t="str">
        <f t="shared" si="7"/>
        <v>echo description,dailCompDescTerrorKnight21, &gt;&gt; .\items\materia\class0013\TerrorKnight21.dbr</v>
      </c>
      <c r="S23" t="str">
        <f t="shared" si="7"/>
        <v>echo itemText,dailCompTextTerrorKnight21, &gt;&gt; .\items\materia\class0013\TerrorKnight21.dbr</v>
      </c>
      <c r="T23" t="str">
        <f t="shared" si="7"/>
        <v>echo augmentSkillLevel1,1, &gt;&gt; .\items\materia\class0013\TerrorKnight21.dbr</v>
      </c>
      <c r="U23" t="str">
        <f t="shared" si="7"/>
        <v>echo augmentSkillName1,records/skills/zenithclass01/fearpool2.dbr, &gt;&gt; .\items\materia\class0013\TerrorKnight21.dbr</v>
      </c>
      <c r="V23" s="5" t="s">
        <v>36</v>
      </c>
      <c r="W23" t="str">
        <f t="shared" si="8"/>
        <v>echo lootName21,DAIL/items/materia/class0013/TerrorKnight21.dbr, &gt;&gt; .\items\loottables\dailoneskill0013.dbr</v>
      </c>
      <c r="X23" t="str">
        <f t="shared" si="8"/>
        <v>echo lootWeight21,1, &gt;&gt; .\items\loottables\dailoneskill0013.dbr</v>
      </c>
      <c r="Y23" s="5" t="s">
        <v>36</v>
      </c>
      <c r="Z23" t="str">
        <f t="shared" si="9"/>
        <v xml:space="preserve"> dailCompDescTerrorKnight21=^pTerrorKnight's Gift of DAIL</v>
      </c>
      <c r="AA23" t="str">
        <f t="shared" si="17"/>
        <v>dailCompTextTerrorKnight21=^oThis feels warm to the touch, almost familiar ^w(This component fits into all Jewellery slots including the Belt And Shoulder)</v>
      </c>
      <c r="AB23" s="5" t="s">
        <v>36</v>
      </c>
      <c r="AH23">
        <f t="shared" si="19"/>
        <v>18</v>
      </c>
      <c r="AI23">
        <f t="shared" si="13"/>
        <v>28</v>
      </c>
      <c r="AJ23">
        <f t="shared" si="18"/>
        <v>1</v>
      </c>
    </row>
    <row r="24" spans="1:36" x14ac:dyDescent="0.25">
      <c r="A24" s="5" t="s">
        <v>39</v>
      </c>
      <c r="B24" s="5" t="s">
        <v>28</v>
      </c>
      <c r="C24" s="5" t="str">
        <f t="shared" si="0"/>
        <v>description,dailCompDescTerrorKnight22,</v>
      </c>
      <c r="D24" s="5" t="str">
        <f t="shared" si="2"/>
        <v>itemText,dailCompTextTerrorKnight22,</v>
      </c>
      <c r="E24" s="5" t="str">
        <f t="shared" si="14"/>
        <v>augmentSkillLevel1,1,</v>
      </c>
      <c r="F24" s="5" t="str">
        <f t="shared" si="15"/>
        <v>augmentSkillName1,records/skills/zenithclass01/wp2.dbr,</v>
      </c>
      <c r="G24" s="7">
        <f t="shared" si="10"/>
        <v>22</v>
      </c>
      <c r="H24" s="8" t="str">
        <f t="shared" si="11"/>
        <v>TerrorKnight</v>
      </c>
      <c r="I24" s="3" t="s">
        <v>226</v>
      </c>
      <c r="J24" s="8" t="str">
        <f t="shared" si="20"/>
        <v>class0013</v>
      </c>
      <c r="K24" s="8" t="str">
        <f t="shared" si="20"/>
        <v>dailoneskill0013</v>
      </c>
      <c r="L24" s="5" t="str">
        <f t="shared" si="4"/>
        <v>lootName22,DAIL/items/materia/class0013/TerrorKnight22.dbr,</v>
      </c>
      <c r="M24" s="5" t="str">
        <f t="shared" si="5"/>
        <v>lootWeight22,1,</v>
      </c>
      <c r="N24" t="str">
        <f t="shared" si="6"/>
        <v>1</v>
      </c>
      <c r="O24" t="str">
        <f t="shared" si="16"/>
        <v>copy .\dail_base.dbr .\items\materia\class0013\TerrorKnight22.dbr /y</v>
      </c>
      <c r="P24" t="str">
        <f t="shared" si="7"/>
        <v>echo relicBitmap,items/craftingparts/components/component_a52_bristlyfur_b.tex, &gt;&gt; .\items\materia\class0013\TerrorKnight22.dbr</v>
      </c>
      <c r="Q24" t="str">
        <f t="shared" si="7"/>
        <v>echo itemCost,300000, &gt;&gt; .\items\materia\class0013\TerrorKnight22.dbr</v>
      </c>
      <c r="R24" t="str">
        <f t="shared" si="7"/>
        <v>echo description,dailCompDescTerrorKnight22, &gt;&gt; .\items\materia\class0013\TerrorKnight22.dbr</v>
      </c>
      <c r="S24" t="str">
        <f t="shared" si="7"/>
        <v>echo itemText,dailCompTextTerrorKnight22, &gt;&gt; .\items\materia\class0013\TerrorKnight22.dbr</v>
      </c>
      <c r="T24" t="str">
        <f t="shared" si="7"/>
        <v>echo augmentSkillLevel1,1, &gt;&gt; .\items\materia\class0013\TerrorKnight22.dbr</v>
      </c>
      <c r="U24" t="str">
        <f t="shared" si="7"/>
        <v>echo augmentSkillName1,records/skills/zenithclass01/wp2.dbr, &gt;&gt; .\items\materia\class0013\TerrorKnight22.dbr</v>
      </c>
      <c r="V24" s="5" t="s">
        <v>36</v>
      </c>
      <c r="W24" t="str">
        <f t="shared" si="8"/>
        <v>echo lootName22,DAIL/items/materia/class0013/TerrorKnight22.dbr, &gt;&gt; .\items\loottables\dailoneskill0013.dbr</v>
      </c>
      <c r="X24" t="str">
        <f t="shared" si="8"/>
        <v>echo lootWeight22,1, &gt;&gt; .\items\loottables\dailoneskill0013.dbr</v>
      </c>
      <c r="Y24" s="5" t="s">
        <v>36</v>
      </c>
      <c r="Z24" t="str">
        <f t="shared" si="9"/>
        <v xml:space="preserve"> dailCompDescTerrorKnight22=^pTerrorKnight's Gift of DAIL</v>
      </c>
      <c r="AA24" t="str">
        <f t="shared" si="17"/>
        <v>dailCompTextTerrorKnight22=^oThis feels warm to the touch, almost familiar ^w(This component fits into all Jewellery slots including the Belt And Shoulder)</v>
      </c>
      <c r="AB24" s="5" t="s">
        <v>36</v>
      </c>
      <c r="AH24">
        <f t="shared" si="19"/>
        <v>19</v>
      </c>
      <c r="AI24">
        <f t="shared" si="13"/>
        <v>22</v>
      </c>
      <c r="AJ24">
        <f t="shared" si="18"/>
        <v>1</v>
      </c>
    </row>
    <row r="25" spans="1:36" x14ac:dyDescent="0.25">
      <c r="A25" s="5" t="s">
        <v>39</v>
      </c>
      <c r="B25" s="5" t="s">
        <v>28</v>
      </c>
      <c r="C25" s="5" t="str">
        <f t="shared" si="0"/>
        <v>description,dailCompDescTerrorKnight23,</v>
      </c>
      <c r="D25" s="5" t="str">
        <f t="shared" si="2"/>
        <v>itemText,dailCompTextTerrorKnight23,</v>
      </c>
      <c r="E25" s="5" t="str">
        <f t="shared" si="14"/>
        <v>augmentSkillLevel1,1,</v>
      </c>
      <c r="F25" s="5" t="str">
        <f t="shared" si="15"/>
        <v>augmentSkillName1,records/skills/zenithclass01/madsoldier.dbr,</v>
      </c>
      <c r="G25" s="7">
        <f t="shared" si="10"/>
        <v>23</v>
      </c>
      <c r="H25" s="8" t="str">
        <f t="shared" si="11"/>
        <v>TerrorKnight</v>
      </c>
      <c r="I25" s="3" t="s">
        <v>221</v>
      </c>
      <c r="J25" s="8" t="str">
        <f t="shared" si="20"/>
        <v>class0013</v>
      </c>
      <c r="K25" s="8" t="str">
        <f t="shared" si="20"/>
        <v>dailoneskill0013</v>
      </c>
      <c r="L25" s="5" t="str">
        <f t="shared" si="4"/>
        <v>lootName23,DAIL/items/materia/class0013/TerrorKnight23.dbr,</v>
      </c>
      <c r="M25" s="5" t="str">
        <f t="shared" si="5"/>
        <v>lootWeight23,1,</v>
      </c>
      <c r="N25" t="str">
        <f t="shared" si="6"/>
        <v>1</v>
      </c>
      <c r="O25" t="str">
        <f t="shared" si="16"/>
        <v>copy .\dail_base.dbr .\items\materia\class0013\TerrorKnight23.dbr /y</v>
      </c>
      <c r="P25" t="str">
        <f t="shared" si="7"/>
        <v>echo relicBitmap,items/craftingparts/components/component_a52_bristlyfur_b.tex, &gt;&gt; .\items\materia\class0013\TerrorKnight23.dbr</v>
      </c>
      <c r="Q25" t="str">
        <f t="shared" si="7"/>
        <v>echo itemCost,300000, &gt;&gt; .\items\materia\class0013\TerrorKnight23.dbr</v>
      </c>
      <c r="R25" t="str">
        <f t="shared" si="7"/>
        <v>echo description,dailCompDescTerrorKnight23, &gt;&gt; .\items\materia\class0013\TerrorKnight23.dbr</v>
      </c>
      <c r="S25" t="str">
        <f t="shared" si="7"/>
        <v>echo itemText,dailCompTextTerrorKnight23, &gt;&gt; .\items\materia\class0013\TerrorKnight23.dbr</v>
      </c>
      <c r="T25" t="str">
        <f t="shared" si="7"/>
        <v>echo augmentSkillLevel1,1, &gt;&gt; .\items\materia\class0013\TerrorKnight23.dbr</v>
      </c>
      <c r="U25" t="str">
        <f t="shared" si="7"/>
        <v>echo augmentSkillName1,records/skills/zenithclass01/madsoldier.dbr, &gt;&gt; .\items\materia\class0013\TerrorKnight23.dbr</v>
      </c>
      <c r="V25" s="5" t="s">
        <v>36</v>
      </c>
      <c r="W25" t="str">
        <f t="shared" si="8"/>
        <v>echo lootName23,DAIL/items/materia/class0013/TerrorKnight23.dbr, &gt;&gt; .\items\loottables\dailoneskill0013.dbr</v>
      </c>
      <c r="X25" t="str">
        <f t="shared" si="8"/>
        <v>echo lootWeight23,1, &gt;&gt; .\items\loottables\dailoneskill0013.dbr</v>
      </c>
      <c r="Y25" s="5" t="s">
        <v>36</v>
      </c>
      <c r="Z25" t="str">
        <f t="shared" si="9"/>
        <v xml:space="preserve"> dailCompDescTerrorKnight23=^pTerrorKnight's Gift of DAIL</v>
      </c>
      <c r="AA25" t="str">
        <f t="shared" si="17"/>
        <v>dailCompTextTerrorKnight23=^oThis feels warm to the touch, almost familiar ^w(This component fits into all Jewellery slots including the Belt And Shoulder)</v>
      </c>
      <c r="AB25" s="5" t="s">
        <v>36</v>
      </c>
      <c r="AH25">
        <f t="shared" si="19"/>
        <v>20</v>
      </c>
      <c r="AI25">
        <f t="shared" si="13"/>
        <v>29</v>
      </c>
      <c r="AJ25">
        <f t="shared" si="18"/>
        <v>1</v>
      </c>
    </row>
    <row r="26" spans="1:36" x14ac:dyDescent="0.25">
      <c r="A26" s="5" t="s">
        <v>39</v>
      </c>
      <c r="B26" s="5" t="s">
        <v>28</v>
      </c>
      <c r="C26" s="5" t="str">
        <f t="shared" si="0"/>
        <v>description,dailCompDescTerrorKnight24,</v>
      </c>
      <c r="D26" s="5" t="str">
        <f t="shared" si="2"/>
        <v>itemText,dailCompTextTerrorKnight24,</v>
      </c>
      <c r="E26" s="5" t="str">
        <f t="shared" si="14"/>
        <v>augmentSkillLevel1,1,</v>
      </c>
      <c r="F26" s="5" t="str">
        <f t="shared" si="15"/>
        <v>augmentSkillName1,records/skills/zenithclass01/wp3.dbr,</v>
      </c>
      <c r="G26" s="7">
        <f t="shared" si="10"/>
        <v>24</v>
      </c>
      <c r="H26" s="8" t="str">
        <f t="shared" si="11"/>
        <v>TerrorKnight</v>
      </c>
      <c r="I26" s="3" t="s">
        <v>227</v>
      </c>
      <c r="J26" s="8" t="str">
        <f t="shared" si="20"/>
        <v>class0013</v>
      </c>
      <c r="K26" s="8" t="str">
        <f t="shared" si="20"/>
        <v>dailoneskill0013</v>
      </c>
      <c r="L26" s="5" t="str">
        <f t="shared" si="4"/>
        <v>lootName24,DAIL/items/materia/class0013/TerrorKnight24.dbr,</v>
      </c>
      <c r="M26" s="5" t="str">
        <f t="shared" si="5"/>
        <v>lootWeight24,1,</v>
      </c>
      <c r="N26" t="str">
        <f t="shared" si="6"/>
        <v>1</v>
      </c>
      <c r="O26" t="str">
        <f t="shared" si="16"/>
        <v>copy .\dail_base.dbr .\items\materia\class0013\TerrorKnight24.dbr /y</v>
      </c>
      <c r="P26" t="str">
        <f t="shared" si="7"/>
        <v>echo relicBitmap,items/craftingparts/components/component_a52_bristlyfur_b.tex, &gt;&gt; .\items\materia\class0013\TerrorKnight24.dbr</v>
      </c>
      <c r="Q26" t="str">
        <f t="shared" si="7"/>
        <v>echo itemCost,300000, &gt;&gt; .\items\materia\class0013\TerrorKnight24.dbr</v>
      </c>
      <c r="R26" t="str">
        <f t="shared" si="7"/>
        <v>echo description,dailCompDescTerrorKnight24, &gt;&gt; .\items\materia\class0013\TerrorKnight24.dbr</v>
      </c>
      <c r="S26" t="str">
        <f t="shared" si="7"/>
        <v>echo itemText,dailCompTextTerrorKnight24, &gt;&gt; .\items\materia\class0013\TerrorKnight24.dbr</v>
      </c>
      <c r="T26" t="str">
        <f t="shared" si="7"/>
        <v>echo augmentSkillLevel1,1, &gt;&gt; .\items\materia\class0013\TerrorKnight24.dbr</v>
      </c>
      <c r="U26" t="str">
        <f t="shared" si="7"/>
        <v>echo augmentSkillName1,records/skills/zenithclass01/wp3.dbr, &gt;&gt; .\items\materia\class0013\TerrorKnight24.dbr</v>
      </c>
      <c r="V26" s="5" t="s">
        <v>36</v>
      </c>
      <c r="W26" t="str">
        <f t="shared" si="8"/>
        <v>echo lootName24,DAIL/items/materia/class0013/TerrorKnight24.dbr, &gt;&gt; .\items\loottables\dailoneskill0013.dbr</v>
      </c>
      <c r="X26" t="str">
        <f t="shared" si="8"/>
        <v>echo lootWeight24,1, &gt;&gt; .\items\loottables\dailoneskill0013.dbr</v>
      </c>
      <c r="Y26" s="5" t="s">
        <v>36</v>
      </c>
      <c r="Z26" t="str">
        <f t="shared" si="9"/>
        <v xml:space="preserve"> dailCompDescTerrorKnight24=^pTerrorKnight's Gift of DAIL</v>
      </c>
      <c r="AA26" t="str">
        <f t="shared" si="17"/>
        <v>dailCompTextTerrorKnight24=^oThis feels warm to the touch, almost familiar ^w(This component fits into all Jewellery slots including the Belt And Shoulder)</v>
      </c>
      <c r="AB26" s="5" t="s">
        <v>36</v>
      </c>
      <c r="AH26">
        <f t="shared" si="19"/>
        <v>21</v>
      </c>
      <c r="AI26">
        <f t="shared" si="13"/>
        <v>22</v>
      </c>
      <c r="AJ26">
        <f t="shared" si="18"/>
        <v>1</v>
      </c>
    </row>
    <row r="27" spans="1:36" x14ac:dyDescent="0.25">
      <c r="A27" s="5" t="s">
        <v>39</v>
      </c>
      <c r="B27" s="5" t="s">
        <v>28</v>
      </c>
      <c r="C27" s="5" t="str">
        <f t="shared" si="0"/>
        <v>description,dailCompDescTerrorKnight25,</v>
      </c>
      <c r="D27" s="5" t="str">
        <f t="shared" si="2"/>
        <v>itemText,dailCompTextTerrorKnight25,</v>
      </c>
      <c r="E27" s="5" t="str">
        <f t="shared" si="14"/>
        <v>augmentSkillLevel1,1,</v>
      </c>
      <c r="F27" s="5" t="str">
        <f t="shared" si="15"/>
        <v>augmentSkillName1,records/skills/zenithclass01/evocation.dbr,</v>
      </c>
      <c r="G27" s="7">
        <f t="shared" si="10"/>
        <v>25</v>
      </c>
      <c r="H27" s="8" t="str">
        <f t="shared" si="11"/>
        <v>TerrorKnight</v>
      </c>
      <c r="I27" s="3" t="s">
        <v>216</v>
      </c>
      <c r="J27" s="8" t="str">
        <f t="shared" si="20"/>
        <v>class0013</v>
      </c>
      <c r="K27" s="8" t="str">
        <f t="shared" si="20"/>
        <v>dailoneskill0013</v>
      </c>
      <c r="L27" s="5" t="str">
        <f t="shared" si="4"/>
        <v>lootName25,DAIL/items/materia/class0013/TerrorKnight25.dbr,</v>
      </c>
      <c r="M27" s="5" t="str">
        <f t="shared" si="5"/>
        <v>lootWeight25,1,</v>
      </c>
      <c r="N27" t="str">
        <f t="shared" si="6"/>
        <v>1</v>
      </c>
      <c r="O27" t="str">
        <f t="shared" si="16"/>
        <v>copy .\dail_base.dbr .\items\materia\class0013\TerrorKnight25.dbr /y</v>
      </c>
      <c r="P27" t="str">
        <f t="shared" si="7"/>
        <v>echo relicBitmap,items/craftingparts/components/component_a52_bristlyfur_b.tex, &gt;&gt; .\items\materia\class0013\TerrorKnight25.dbr</v>
      </c>
      <c r="Q27" t="str">
        <f t="shared" si="7"/>
        <v>echo itemCost,300000, &gt;&gt; .\items\materia\class0013\TerrorKnight25.dbr</v>
      </c>
      <c r="R27" t="str">
        <f t="shared" si="7"/>
        <v>echo description,dailCompDescTerrorKnight25, &gt;&gt; .\items\materia\class0013\TerrorKnight25.dbr</v>
      </c>
      <c r="S27" t="str">
        <f t="shared" si="7"/>
        <v>echo itemText,dailCompTextTerrorKnight25, &gt;&gt; .\items\materia\class0013\TerrorKnight25.dbr</v>
      </c>
      <c r="T27" t="str">
        <f t="shared" si="7"/>
        <v>echo augmentSkillLevel1,1, &gt;&gt; .\items\materia\class0013\TerrorKnight25.dbr</v>
      </c>
      <c r="U27" t="str">
        <f t="shared" si="7"/>
        <v>echo augmentSkillName1,records/skills/zenithclass01/evocation.dbr, &gt;&gt; .\items\materia\class0013\TerrorKnight25.dbr</v>
      </c>
      <c r="V27" s="5" t="s">
        <v>36</v>
      </c>
      <c r="W27" t="str">
        <f t="shared" si="8"/>
        <v>echo lootName25,DAIL/items/materia/class0013/TerrorKnight25.dbr, &gt;&gt; .\items\loottables\dailoneskill0013.dbr</v>
      </c>
      <c r="X27" t="str">
        <f t="shared" si="8"/>
        <v>echo lootWeight25,1, &gt;&gt; .\items\loottables\dailoneskill0013.dbr</v>
      </c>
      <c r="Y27" s="5" t="s">
        <v>36</v>
      </c>
      <c r="Z27" t="str">
        <f t="shared" si="9"/>
        <v xml:space="preserve"> dailCompDescTerrorKnight25=^pTerrorKnight's Gift of DAIL</v>
      </c>
      <c r="AA27" t="str">
        <f t="shared" si="17"/>
        <v>dailCompTextTerrorKnight25=^oThis feels warm to the touch, almost familiar ^w(This component fits into all Jewellery slots including the Belt And Shoulder)</v>
      </c>
      <c r="AB27" s="5" t="s">
        <v>36</v>
      </c>
      <c r="AH27">
        <f t="shared" si="19"/>
        <v>22</v>
      </c>
      <c r="AI27">
        <f t="shared" si="13"/>
        <v>28</v>
      </c>
      <c r="AJ27">
        <f t="shared" si="18"/>
        <v>1</v>
      </c>
    </row>
    <row r="28" spans="1:36" x14ac:dyDescent="0.25">
      <c r="A28" s="5" t="s">
        <v>39</v>
      </c>
      <c r="B28" s="5" t="s">
        <v>28</v>
      </c>
      <c r="C28" s="5" t="str">
        <f t="shared" si="0"/>
        <v>description,dailCompDescTerrorKnight26,</v>
      </c>
      <c r="D28" s="5" t="str">
        <f t="shared" si="2"/>
        <v>itemText,dailCompTextTerrorKnight26,</v>
      </c>
      <c r="E28" s="5" t="str">
        <f t="shared" si="14"/>
        <v>augmentSkillLevel1,3,</v>
      </c>
      <c r="F28" s="5" t="str">
        <f t="shared" si="15"/>
        <v>augmentSkillName1,records/skills/zenithclass01/mania_buff.dbr,</v>
      </c>
      <c r="G28" s="7">
        <f t="shared" si="10"/>
        <v>26</v>
      </c>
      <c r="H28" s="8" t="str">
        <f t="shared" si="11"/>
        <v>TerrorKnight</v>
      </c>
      <c r="I28" s="3" t="s">
        <v>222</v>
      </c>
      <c r="J28" s="8" t="str">
        <f t="shared" si="20"/>
        <v>class0013</v>
      </c>
      <c r="K28" s="8" t="str">
        <f t="shared" si="20"/>
        <v>dailoneskill0013</v>
      </c>
      <c r="L28" s="5" t="str">
        <f t="shared" si="4"/>
        <v>lootName26,DAIL/items/materia/class0013/TerrorKnight26.dbr,</v>
      </c>
      <c r="M28" s="5" t="str">
        <f t="shared" si="5"/>
        <v>lootWeight26,1,</v>
      </c>
      <c r="N28" t="str">
        <f t="shared" si="6"/>
        <v>3</v>
      </c>
      <c r="O28" t="str">
        <f t="shared" si="16"/>
        <v>copy .\dail_base3.dbr .\items\materia\class0013\TerrorKnight26.dbr /y</v>
      </c>
      <c r="P28" t="str">
        <f t="shared" si="7"/>
        <v>echo relicBitmap,items/craftingparts/components/component_a52_bristlyfur_b.tex, &gt;&gt; .\items\materia\class0013\TerrorKnight26.dbr</v>
      </c>
      <c r="Q28" t="str">
        <f t="shared" si="7"/>
        <v>echo itemCost,300000, &gt;&gt; .\items\materia\class0013\TerrorKnight26.dbr</v>
      </c>
      <c r="R28" t="str">
        <f t="shared" si="7"/>
        <v>echo description,dailCompDescTerrorKnight26, &gt;&gt; .\items\materia\class0013\TerrorKnight26.dbr</v>
      </c>
      <c r="S28" t="str">
        <f t="shared" si="7"/>
        <v>echo itemText,dailCompTextTerrorKnight26, &gt;&gt; .\items\materia\class0013\TerrorKnight26.dbr</v>
      </c>
      <c r="T28" t="str">
        <f t="shared" si="7"/>
        <v>echo augmentSkillLevel1,3, &gt;&gt; .\items\materia\class0013\TerrorKnight26.dbr</v>
      </c>
      <c r="U28" t="str">
        <f t="shared" si="7"/>
        <v>echo augmentSkillName1,records/skills/zenithclass01/mania_buff.dbr, &gt;&gt; .\items\materia\class0013\TerrorKnight26.dbr</v>
      </c>
      <c r="V28" s="5" t="s">
        <v>36</v>
      </c>
      <c r="W28" t="str">
        <f t="shared" si="8"/>
        <v>echo lootName26,DAIL/items/materia/class0013/TerrorKnight26.dbr, &gt;&gt; .\items\loottables\dailoneskill0013.dbr</v>
      </c>
      <c r="X28" t="str">
        <f t="shared" si="8"/>
        <v>echo lootWeight26,1, &gt;&gt; .\items\loottables\dailoneskill0013.dbr</v>
      </c>
      <c r="Y28" s="5" t="s">
        <v>36</v>
      </c>
      <c r="Z28" t="str">
        <f t="shared" si="9"/>
        <v xml:space="preserve"> dailCompDescTerrorKnight26=^pTerrorKnight's Gift of DAIL</v>
      </c>
      <c r="AA28" t="str">
        <f t="shared" si="17"/>
        <v>dailCompTextTerrorKnight26=^oThis feels warm to the touch, almost familiar ^w(This component only fits into the Medal Slot)</v>
      </c>
      <c r="AB28" s="5" t="s">
        <v>36</v>
      </c>
      <c r="AH28">
        <f t="shared" si="19"/>
        <v>23</v>
      </c>
      <c r="AI28">
        <f t="shared" si="13"/>
        <v>29</v>
      </c>
      <c r="AJ28">
        <f t="shared" si="18"/>
        <v>3</v>
      </c>
    </row>
    <row r="29" spans="1:36" x14ac:dyDescent="0.25">
      <c r="A29" s="5" t="s">
        <v>39</v>
      </c>
      <c r="B29" s="5" t="s">
        <v>28</v>
      </c>
      <c r="C29" s="5" t="str">
        <f t="shared" si="0"/>
        <v>description,dailCompDescTerrorKnight27,</v>
      </c>
      <c r="D29" s="5" t="str">
        <f t="shared" si="2"/>
        <v>itemText,dailCompTextTerrorKnight27,</v>
      </c>
      <c r="E29" s="5" t="str">
        <f t="shared" si="14"/>
        <v>augmentSkillLevel1,3,</v>
      </c>
      <c r="F29" s="5" t="str">
        <f t="shared" si="15"/>
        <v>augmentSkillName1,records/skills/zenithclass01/banish1.dbr,</v>
      </c>
      <c r="G29" s="7">
        <f t="shared" si="10"/>
        <v>27</v>
      </c>
      <c r="H29" s="8" t="str">
        <f t="shared" si="11"/>
        <v>TerrorKnight</v>
      </c>
      <c r="I29" s="3" t="s">
        <v>212</v>
      </c>
      <c r="J29" s="8" t="str">
        <f t="shared" si="20"/>
        <v>class0013</v>
      </c>
      <c r="K29" s="8" t="str">
        <f t="shared" si="20"/>
        <v>dailoneskill0013</v>
      </c>
      <c r="L29" s="5" t="str">
        <f t="shared" si="4"/>
        <v>lootName27,DAIL/items/materia/class0013/TerrorKnight27.dbr,</v>
      </c>
      <c r="M29" s="5" t="str">
        <f t="shared" si="5"/>
        <v>lootWeight27,1,</v>
      </c>
      <c r="N29" t="str">
        <f t="shared" si="6"/>
        <v>3</v>
      </c>
      <c r="O29" t="str">
        <f t="shared" si="16"/>
        <v>copy .\dail_base3.dbr .\items\materia\class0013\TerrorKnight27.dbr /y</v>
      </c>
      <c r="P29" t="str">
        <f t="shared" si="7"/>
        <v>echo relicBitmap,items/craftingparts/components/component_a52_bristlyfur_b.tex, &gt;&gt; .\items\materia\class0013\TerrorKnight27.dbr</v>
      </c>
      <c r="Q29" t="str">
        <f t="shared" si="7"/>
        <v>echo itemCost,300000, &gt;&gt; .\items\materia\class0013\TerrorKnight27.dbr</v>
      </c>
      <c r="R29" t="str">
        <f t="shared" si="7"/>
        <v>echo description,dailCompDescTerrorKnight27, &gt;&gt; .\items\materia\class0013\TerrorKnight27.dbr</v>
      </c>
      <c r="S29" t="str">
        <f t="shared" si="7"/>
        <v>echo itemText,dailCompTextTerrorKnight27, &gt;&gt; .\items\materia\class0013\TerrorKnight27.dbr</v>
      </c>
      <c r="T29" t="str">
        <f t="shared" si="7"/>
        <v>echo augmentSkillLevel1,3, &gt;&gt; .\items\materia\class0013\TerrorKnight27.dbr</v>
      </c>
      <c r="U29" t="str">
        <f t="shared" si="7"/>
        <v>echo augmentSkillName1,records/skills/zenithclass01/banish1.dbr, &gt;&gt; .\items\materia\class0013\TerrorKnight27.dbr</v>
      </c>
      <c r="V29" s="5" t="s">
        <v>36</v>
      </c>
      <c r="W29" t="str">
        <f t="shared" si="8"/>
        <v>echo lootName27,DAIL/items/materia/class0013/TerrorKnight27.dbr, &gt;&gt; .\items\loottables\dailoneskill0013.dbr</v>
      </c>
      <c r="X29" t="str">
        <f t="shared" si="8"/>
        <v>echo lootWeight27,1, &gt;&gt; .\items\loottables\dailoneskill0013.dbr</v>
      </c>
      <c r="Y29" s="5" t="s">
        <v>36</v>
      </c>
      <c r="Z29" t="str">
        <f t="shared" si="9"/>
        <v xml:space="preserve"> dailCompDescTerrorKnight27=^pTerrorKnight's Gift of DAIL</v>
      </c>
      <c r="AA29" t="str">
        <f t="shared" si="17"/>
        <v>dailCompTextTerrorKnight27=^oThis feels warm to the touch, almost familiar ^w(This component only fits into the Medal Slot)</v>
      </c>
      <c r="AB29" s="5" t="s">
        <v>36</v>
      </c>
      <c r="AH29">
        <f t="shared" si="19"/>
        <v>24</v>
      </c>
      <c r="AI29">
        <f t="shared" si="13"/>
        <v>26</v>
      </c>
      <c r="AJ29">
        <f t="shared" si="18"/>
        <v>3</v>
      </c>
    </row>
    <row r="30" spans="1:36" x14ac:dyDescent="0.25">
      <c r="A30" s="5" t="s">
        <v>39</v>
      </c>
      <c r="B30" s="5" t="s">
        <v>28</v>
      </c>
      <c r="C30" s="5" t="str">
        <f t="shared" si="0"/>
        <v>description,dailCompDescTerrorKnight28,</v>
      </c>
      <c r="D30" s="5" t="str">
        <f t="shared" si="2"/>
        <v>itemText,dailCompTextTerrorKnight28,</v>
      </c>
      <c r="E30" s="5" t="str">
        <f t="shared" si="14"/>
        <v>augmentSkillLevel1,3,</v>
      </c>
      <c r="F30" s="5" t="str">
        <f t="shared" si="15"/>
        <v>augmentSkillName1,records/skills/zenithclass01/banish2.dbr,</v>
      </c>
      <c r="G30" s="7">
        <f t="shared" si="10"/>
        <v>28</v>
      </c>
      <c r="H30" s="8" t="str">
        <f t="shared" si="11"/>
        <v>TerrorKnight</v>
      </c>
      <c r="I30" s="3" t="s">
        <v>440</v>
      </c>
      <c r="J30" s="8" t="str">
        <f t="shared" si="20"/>
        <v>class0013</v>
      </c>
      <c r="K30" s="8" t="str">
        <f t="shared" si="20"/>
        <v>dailoneskill0013</v>
      </c>
      <c r="L30" s="5" t="str">
        <f t="shared" si="4"/>
        <v>lootName28,DAIL/items/materia/class0013/TerrorKnight28.dbr,</v>
      </c>
      <c r="M30" s="5" t="str">
        <f t="shared" si="5"/>
        <v>lootWeight28,1,</v>
      </c>
      <c r="N30" t="str">
        <f t="shared" si="6"/>
        <v>3</v>
      </c>
      <c r="O30" t="str">
        <f t="shared" si="16"/>
        <v>copy .\dail_base3.dbr .\items\materia\class0013\TerrorKnight28.dbr /y</v>
      </c>
      <c r="P30" t="str">
        <f t="shared" si="7"/>
        <v>echo relicBitmap,items/craftingparts/components/component_a52_bristlyfur_b.tex, &gt;&gt; .\items\materia\class0013\TerrorKnight28.dbr</v>
      </c>
      <c r="Q30" t="str">
        <f t="shared" si="7"/>
        <v>echo itemCost,300000, &gt;&gt; .\items\materia\class0013\TerrorKnight28.dbr</v>
      </c>
      <c r="R30" t="str">
        <f t="shared" si="7"/>
        <v>echo description,dailCompDescTerrorKnight28, &gt;&gt; .\items\materia\class0013\TerrorKnight28.dbr</v>
      </c>
      <c r="S30" t="str">
        <f t="shared" si="7"/>
        <v>echo itemText,dailCompTextTerrorKnight28, &gt;&gt; .\items\materia\class0013\TerrorKnight28.dbr</v>
      </c>
      <c r="T30" t="str">
        <f t="shared" si="7"/>
        <v>echo augmentSkillLevel1,3, &gt;&gt; .\items\materia\class0013\TerrorKnight28.dbr</v>
      </c>
      <c r="U30" t="str">
        <f t="shared" si="7"/>
        <v>echo augmentSkillName1,records/skills/zenithclass01/banish2.dbr, &gt;&gt; .\items\materia\class0013\TerrorKnight28.dbr</v>
      </c>
      <c r="V30" s="5" t="s">
        <v>36</v>
      </c>
      <c r="W30" t="str">
        <f t="shared" si="8"/>
        <v>echo lootName28,DAIL/items/materia/class0013/TerrorKnight28.dbr, &gt;&gt; .\items\loottables\dailoneskill0013.dbr</v>
      </c>
      <c r="X30" t="str">
        <f t="shared" si="8"/>
        <v>echo lootWeight28,1, &gt;&gt; .\items\loottables\dailoneskill0013.dbr</v>
      </c>
      <c r="Y30" s="5" t="s">
        <v>36</v>
      </c>
      <c r="Z30" t="str">
        <f t="shared" si="9"/>
        <v xml:space="preserve"> dailCompDescTerrorKnight28=^pTerrorKnight's Gift of DAIL</v>
      </c>
      <c r="AA30" t="str">
        <f t="shared" si="17"/>
        <v>dailCompTextTerrorKnight28=^oThis feels warm to the touch, almost familiar ^w(This component only fits into the Medal Slot)</v>
      </c>
      <c r="AB30" s="5" t="s">
        <v>36</v>
      </c>
      <c r="AH30">
        <f t="shared" si="19"/>
        <v>25</v>
      </c>
      <c r="AI30">
        <f t="shared" si="13"/>
        <v>26</v>
      </c>
      <c r="AJ30">
        <f t="shared" si="18"/>
        <v>3</v>
      </c>
    </row>
    <row r="31" spans="1:36" x14ac:dyDescent="0.25">
      <c r="A31" s="5" t="s">
        <v>39</v>
      </c>
      <c r="B31" s="5" t="s">
        <v>28</v>
      </c>
      <c r="C31" s="5" t="str">
        <f t="shared" si="0"/>
        <v>description,dailCompDescTerrorKnight29,</v>
      </c>
      <c r="D31" s="5" t="str">
        <f t="shared" si="2"/>
        <v>itemText,dailCompTextTerrorKnight29,</v>
      </c>
      <c r="E31" s="5" t="str">
        <f t="shared" si="14"/>
        <v>augmentSkillLevel1,3,</v>
      </c>
      <c r="F31" s="5" t="str">
        <f t="shared" si="15"/>
        <v>augmentSkillName1,records/skills/zenithclass01/banish3.dbr,</v>
      </c>
      <c r="G31" s="7">
        <f t="shared" si="10"/>
        <v>29</v>
      </c>
      <c r="H31" s="8" t="str">
        <f t="shared" si="11"/>
        <v>TerrorKnight</v>
      </c>
      <c r="I31" s="3" t="s">
        <v>441</v>
      </c>
      <c r="J31" s="8" t="str">
        <f t="shared" si="20"/>
        <v>class0013</v>
      </c>
      <c r="K31" s="8" t="str">
        <f t="shared" si="20"/>
        <v>dailoneskill0013</v>
      </c>
      <c r="L31" s="5" t="str">
        <f t="shared" si="4"/>
        <v>lootName29,DAIL/items/materia/class0013/TerrorKnight29.dbr,</v>
      </c>
      <c r="M31" s="5" t="str">
        <f t="shared" si="5"/>
        <v>lootWeight29,1,</v>
      </c>
      <c r="N31" t="str">
        <f t="shared" si="6"/>
        <v>3</v>
      </c>
      <c r="O31" t="str">
        <f t="shared" si="16"/>
        <v>copy .\dail_base3.dbr .\items\materia\class0013\TerrorKnight29.dbr /y</v>
      </c>
      <c r="P31" t="str">
        <f t="shared" si="7"/>
        <v>echo relicBitmap,items/craftingparts/components/component_a52_bristlyfur_b.tex, &gt;&gt; .\items\materia\class0013\TerrorKnight29.dbr</v>
      </c>
      <c r="Q31" t="str">
        <f t="shared" si="7"/>
        <v>echo itemCost,300000, &gt;&gt; .\items\materia\class0013\TerrorKnight29.dbr</v>
      </c>
      <c r="R31" t="str">
        <f t="shared" si="7"/>
        <v>echo description,dailCompDescTerrorKnight29, &gt;&gt; .\items\materia\class0013\TerrorKnight29.dbr</v>
      </c>
      <c r="S31" t="str">
        <f t="shared" si="7"/>
        <v>echo itemText,dailCompTextTerrorKnight29, &gt;&gt; .\items\materia\class0013\TerrorKnight29.dbr</v>
      </c>
      <c r="T31" t="str">
        <f t="shared" si="7"/>
        <v>echo augmentSkillLevel1,3, &gt;&gt; .\items\materia\class0013\TerrorKnight29.dbr</v>
      </c>
      <c r="U31" t="str">
        <f t="shared" si="7"/>
        <v>echo augmentSkillName1,records/skills/zenithclass01/banish3.dbr, &gt;&gt; .\items\materia\class0013\TerrorKnight29.dbr</v>
      </c>
      <c r="V31" s="5" t="s">
        <v>36</v>
      </c>
      <c r="W31" t="str">
        <f t="shared" si="8"/>
        <v>echo lootName29,DAIL/items/materia/class0013/TerrorKnight29.dbr, &gt;&gt; .\items\loottables\dailoneskill0013.dbr</v>
      </c>
      <c r="X31" t="str">
        <f t="shared" si="8"/>
        <v>echo lootWeight29,1, &gt;&gt; .\items\loottables\dailoneskill0013.dbr</v>
      </c>
      <c r="Y31" s="5" t="s">
        <v>36</v>
      </c>
      <c r="Z31" t="str">
        <f t="shared" si="9"/>
        <v xml:space="preserve"> dailCompDescTerrorKnight29=^pTerrorKnight's Gift of DAIL</v>
      </c>
      <c r="AA31" t="str">
        <f t="shared" si="17"/>
        <v>dailCompTextTerrorKnight29=^oThis feels warm to the touch, almost familiar ^w(This component only fits into the Medal Slot)</v>
      </c>
      <c r="AB31" s="5" t="s">
        <v>36</v>
      </c>
      <c r="AH31">
        <f t="shared" si="19"/>
        <v>26</v>
      </c>
      <c r="AI31">
        <f t="shared" si="13"/>
        <v>26</v>
      </c>
      <c r="AJ31">
        <f t="shared" si="18"/>
        <v>3</v>
      </c>
    </row>
    <row r="32" spans="1:36" x14ac:dyDescent="0.25">
      <c r="A32" s="5" t="s">
        <v>39</v>
      </c>
      <c r="B32" s="5" t="s">
        <v>30</v>
      </c>
      <c r="C32" s="5" t="str">
        <f t="shared" si="0"/>
        <v>description,dailCompDescTerrorKnight30,</v>
      </c>
      <c r="D32" s="5" t="str">
        <f t="shared" si="2"/>
        <v>itemText,dailCompTextTerrorKnight30,</v>
      </c>
      <c r="E32" s="5" t="str">
        <f t="shared" si="14"/>
        <v>augmentSkillLevel1,3,</v>
      </c>
      <c r="F32" s="5" t="str">
        <f t="shared" si="15"/>
        <v>augmentSkillName1,records/skills/zenithclass01/suitup.dbr,</v>
      </c>
      <c r="G32" s="7">
        <f t="shared" si="10"/>
        <v>30</v>
      </c>
      <c r="H32" s="8" t="str">
        <f t="shared" si="11"/>
        <v>TerrorKnight</v>
      </c>
      <c r="I32" s="3" t="s">
        <v>223</v>
      </c>
      <c r="J32" s="8" t="str">
        <f t="shared" si="20"/>
        <v>class0013</v>
      </c>
      <c r="K32" s="8" t="str">
        <f t="shared" si="20"/>
        <v>dailoneskill0013</v>
      </c>
      <c r="L32" s="5" t="str">
        <f t="shared" si="4"/>
        <v>lootName30,DAIL/items/materia/class0013/TerrorKnight30.dbr,</v>
      </c>
      <c r="M32" s="5" t="str">
        <f t="shared" si="5"/>
        <v>lootWeight30,1,</v>
      </c>
      <c r="N32" t="str">
        <f t="shared" si="6"/>
        <v>3</v>
      </c>
      <c r="O32" t="str">
        <f t="shared" si="16"/>
        <v>copy .\dail_base3.dbr .\items\materia\class0013\TerrorKnight30.dbr /y</v>
      </c>
      <c r="P32" t="str">
        <f t="shared" si="7"/>
        <v>echo relicBitmap,items/craftingparts/components/component_a52_bristlyfur_b.tex, &gt;&gt; .\items\materia\class0013\TerrorKnight30.dbr</v>
      </c>
      <c r="Q32" t="str">
        <f t="shared" si="7"/>
        <v>echo itemCost,500000, &gt;&gt; .\items\materia\class0013\TerrorKnight30.dbr</v>
      </c>
      <c r="R32" t="str">
        <f t="shared" si="7"/>
        <v>echo description,dailCompDescTerrorKnight30, &gt;&gt; .\items\materia\class0013\TerrorKnight30.dbr</v>
      </c>
      <c r="S32" t="str">
        <f t="shared" si="7"/>
        <v>echo itemText,dailCompTextTerrorKnight30, &gt;&gt; .\items\materia\class0013\TerrorKnight30.dbr</v>
      </c>
      <c r="T32" t="str">
        <f t="shared" si="7"/>
        <v>echo augmentSkillLevel1,3, &gt;&gt; .\items\materia\class0013\TerrorKnight30.dbr</v>
      </c>
      <c r="U32" t="str">
        <f t="shared" si="7"/>
        <v>echo augmentSkillName1,records/skills/zenithclass01/suitup.dbr, &gt;&gt; .\items\materia\class0013\TerrorKnight30.dbr</v>
      </c>
      <c r="V32" s="5" t="s">
        <v>36</v>
      </c>
      <c r="W32" t="str">
        <f t="shared" si="8"/>
        <v>echo lootName30,DAIL/items/materia/class0013/TerrorKnight30.dbr, &gt;&gt; .\items\loottables\dailoneskill0013.dbr</v>
      </c>
      <c r="X32" t="str">
        <f t="shared" si="8"/>
        <v>echo lootWeight30,1, &gt;&gt; .\items\loottables\dailoneskill0013.dbr</v>
      </c>
      <c r="Y32" s="5" t="s">
        <v>36</v>
      </c>
      <c r="Z32" t="str">
        <f t="shared" si="9"/>
        <v xml:space="preserve"> dailCompDescTerrorKnight30=^pTerrorKnight's Gift of DAIL</v>
      </c>
      <c r="AA32" t="str">
        <f t="shared" si="17"/>
        <v>dailCompTextTerrorKnight30=^oThis feels warm to the touch, almost familiar ^w(This component only fits into the Medal Slot)</v>
      </c>
      <c r="AB32" s="5" t="s">
        <v>36</v>
      </c>
      <c r="AH32">
        <f t="shared" si="19"/>
        <v>27</v>
      </c>
      <c r="AI32">
        <f t="shared" si="13"/>
        <v>25</v>
      </c>
      <c r="AJ32">
        <f t="shared" si="18"/>
        <v>3</v>
      </c>
    </row>
    <row r="33" spans="1:36" x14ac:dyDescent="0.25">
      <c r="A33" s="5" t="s">
        <v>39</v>
      </c>
      <c r="B33" s="5" t="s">
        <v>30</v>
      </c>
      <c r="C33" s="5" t="str">
        <f t="shared" si="0"/>
        <v>description,dailCompDescTerrorKnight31,</v>
      </c>
      <c r="D33" s="5" t="str">
        <f t="shared" si="2"/>
        <v>itemText,dailCompTextTerrorKnight31,</v>
      </c>
      <c r="E33" s="5" t="str">
        <f t="shared" si="14"/>
        <v>augmentSkillLevel1,3,</v>
      </c>
      <c r="F33" s="5" t="str">
        <f t="shared" si="15"/>
        <v>augmentSkillName1,records/skills/zenithclass01/hands.dbr,</v>
      </c>
      <c r="G33" s="7">
        <f t="shared" si="10"/>
        <v>31</v>
      </c>
      <c r="H33" s="8" t="str">
        <f t="shared" si="11"/>
        <v>TerrorKnight</v>
      </c>
      <c r="I33" s="3" t="s">
        <v>218</v>
      </c>
      <c r="J33" s="8" t="str">
        <f t="shared" si="20"/>
        <v>class0013</v>
      </c>
      <c r="K33" s="8" t="str">
        <f t="shared" si="20"/>
        <v>dailoneskill0013</v>
      </c>
      <c r="L33" s="5" t="str">
        <f t="shared" si="4"/>
        <v>lootName31,DAIL/items/materia/class0013/TerrorKnight31.dbr,</v>
      </c>
      <c r="M33" s="5" t="str">
        <f t="shared" si="5"/>
        <v>lootWeight31,1,</v>
      </c>
      <c r="N33" t="str">
        <f t="shared" si="6"/>
        <v>3</v>
      </c>
      <c r="O33" t="str">
        <f t="shared" si="16"/>
        <v>copy .\dail_base3.dbr .\items\materia\class0013\TerrorKnight31.dbr /y</v>
      </c>
      <c r="P33" t="str">
        <f t="shared" si="7"/>
        <v>echo relicBitmap,items/craftingparts/components/component_a52_bristlyfur_b.tex, &gt;&gt; .\items\materia\class0013\TerrorKnight31.dbr</v>
      </c>
      <c r="Q33" t="str">
        <f t="shared" si="7"/>
        <v>echo itemCost,500000, &gt;&gt; .\items\materia\class0013\TerrorKnight31.dbr</v>
      </c>
      <c r="R33" t="str">
        <f t="shared" si="7"/>
        <v>echo description,dailCompDescTerrorKnight31, &gt;&gt; .\items\materia\class0013\TerrorKnight31.dbr</v>
      </c>
      <c r="S33" t="str">
        <f t="shared" si="7"/>
        <v>echo itemText,dailCompTextTerrorKnight31, &gt;&gt; .\items\materia\class0013\TerrorKnight31.dbr</v>
      </c>
      <c r="T33" t="str">
        <f t="shared" si="7"/>
        <v>echo augmentSkillLevel1,3, &gt;&gt; .\items\materia\class0013\TerrorKnight31.dbr</v>
      </c>
      <c r="U33" t="str">
        <f t="shared" si="7"/>
        <v>echo augmentSkillName1,records/skills/zenithclass01/hands.dbr, &gt;&gt; .\items\materia\class0013\TerrorKnight31.dbr</v>
      </c>
      <c r="V33" s="5" t="s">
        <v>36</v>
      </c>
      <c r="W33" t="str">
        <f t="shared" si="8"/>
        <v>echo lootName31,DAIL/items/materia/class0013/TerrorKnight31.dbr, &gt;&gt; .\items\loottables\dailoneskill0013.dbr</v>
      </c>
      <c r="X33" t="str">
        <f t="shared" si="8"/>
        <v>echo lootWeight31,1, &gt;&gt; .\items\loottables\dailoneskill0013.dbr</v>
      </c>
      <c r="Y33" s="5" t="s">
        <v>36</v>
      </c>
      <c r="Z33" t="str">
        <f t="shared" si="9"/>
        <v xml:space="preserve"> dailCompDescTerrorKnight31=^pTerrorKnight's Gift of DAIL</v>
      </c>
      <c r="AA33" t="str">
        <f t="shared" si="17"/>
        <v>dailCompTextTerrorKnight31=^oThis feels warm to the touch, almost familiar ^w(This component only fits into the Medal Slot)</v>
      </c>
      <c r="AB33" s="5" t="s">
        <v>36</v>
      </c>
      <c r="AH33">
        <f t="shared" si="19"/>
        <v>28</v>
      </c>
      <c r="AI33">
        <f t="shared" si="13"/>
        <v>24</v>
      </c>
      <c r="AJ33">
        <f t="shared" si="18"/>
        <v>3</v>
      </c>
    </row>
    <row r="34" spans="1:36" x14ac:dyDescent="0.25">
      <c r="A34" s="5" t="s">
        <v>39</v>
      </c>
      <c r="B34" s="5" t="s">
        <v>30</v>
      </c>
      <c r="C34" s="5" t="str">
        <f t="shared" si="0"/>
        <v>description,dailCompDescTerrorKnight32,</v>
      </c>
      <c r="D34" s="5" t="str">
        <f t="shared" si="2"/>
        <v>itemText,dailCompTextTerrorKnight32,</v>
      </c>
      <c r="E34" s="5" t="str">
        <f t="shared" si="14"/>
        <v>augmentSkillLevel1,3,</v>
      </c>
      <c r="F34" s="5" t="str">
        <f t="shared" si="15"/>
        <v>augmentSkillName1,records/skills/zenithclass01/legs.dbr,</v>
      </c>
      <c r="G34" s="7">
        <f t="shared" si="10"/>
        <v>32</v>
      </c>
      <c r="H34" s="8" t="str">
        <f t="shared" si="11"/>
        <v>TerrorKnight</v>
      </c>
      <c r="I34" s="3" t="s">
        <v>220</v>
      </c>
      <c r="J34" s="8" t="str">
        <f t="shared" si="20"/>
        <v>class0013</v>
      </c>
      <c r="K34" s="8" t="str">
        <f t="shared" si="20"/>
        <v>dailoneskill0013</v>
      </c>
      <c r="L34" s="5" t="str">
        <f t="shared" si="4"/>
        <v>lootName32,DAIL/items/materia/class0013/TerrorKnight32.dbr,</v>
      </c>
      <c r="M34" s="5" t="str">
        <f t="shared" si="5"/>
        <v>lootWeight32,1,</v>
      </c>
      <c r="N34" t="str">
        <f t="shared" si="6"/>
        <v>3</v>
      </c>
      <c r="O34" t="str">
        <f t="shared" si="16"/>
        <v>copy .\dail_base3.dbr .\items\materia\class0013\TerrorKnight32.dbr /y</v>
      </c>
      <c r="P34" t="str">
        <f t="shared" si="7"/>
        <v>echo relicBitmap,items/craftingparts/components/component_a52_bristlyfur_b.tex, &gt;&gt; .\items\materia\class0013\TerrorKnight32.dbr</v>
      </c>
      <c r="Q34" t="str">
        <f t="shared" si="7"/>
        <v>echo itemCost,500000, &gt;&gt; .\items\materia\class0013\TerrorKnight32.dbr</v>
      </c>
      <c r="R34" t="str">
        <f t="shared" si="7"/>
        <v>echo description,dailCompDescTerrorKnight32, &gt;&gt; .\items\materia\class0013\TerrorKnight32.dbr</v>
      </c>
      <c r="S34" t="str">
        <f t="shared" si="7"/>
        <v>echo itemText,dailCompTextTerrorKnight32, &gt;&gt; .\items\materia\class0013\TerrorKnight32.dbr</v>
      </c>
      <c r="T34" t="str">
        <f t="shared" si="7"/>
        <v>echo augmentSkillLevel1,3, &gt;&gt; .\items\materia\class0013\TerrorKnight32.dbr</v>
      </c>
      <c r="U34" t="str">
        <f t="shared" si="7"/>
        <v>echo augmentSkillName1,records/skills/zenithclass01/legs.dbr, &gt;&gt; .\items\materia\class0013\TerrorKnight32.dbr</v>
      </c>
      <c r="V34" s="5" t="s">
        <v>36</v>
      </c>
      <c r="W34" t="str">
        <f t="shared" si="8"/>
        <v>echo lootName32,DAIL/items/materia/class0013/TerrorKnight32.dbr, &gt;&gt; .\items\loottables\dailoneskill0013.dbr</v>
      </c>
      <c r="X34" t="str">
        <f t="shared" si="8"/>
        <v>echo lootWeight32,1, &gt;&gt; .\items\loottables\dailoneskill0013.dbr</v>
      </c>
      <c r="Y34" s="5" t="s">
        <v>36</v>
      </c>
      <c r="Z34" t="str">
        <f t="shared" si="9"/>
        <v xml:space="preserve"> dailCompDescTerrorKnight32=^pTerrorKnight's Gift of DAIL</v>
      </c>
      <c r="AA34" t="str">
        <f t="shared" si="17"/>
        <v>dailCompTextTerrorKnight32=^oThis feels warm to the touch, almost familiar ^w(This component only fits into the Medal Slot)</v>
      </c>
      <c r="AB34" s="5" t="s">
        <v>36</v>
      </c>
      <c r="AH34">
        <f t="shared" si="19"/>
        <v>29</v>
      </c>
      <c r="AI34">
        <f t="shared" si="13"/>
        <v>23</v>
      </c>
      <c r="AJ34">
        <f t="shared" si="18"/>
        <v>3</v>
      </c>
    </row>
    <row r="35" spans="1:36" x14ac:dyDescent="0.25">
      <c r="A35" s="5" t="s">
        <v>39</v>
      </c>
      <c r="B35" s="5" t="s">
        <v>30</v>
      </c>
      <c r="C35" s="5" t="str">
        <f t="shared" si="0"/>
        <v>description,dailCompDescTerrorKnight33,</v>
      </c>
      <c r="D35" s="5" t="str">
        <f t="shared" si="2"/>
        <v>itemText,dailCompTextTerrorKnight33,</v>
      </c>
      <c r="E35" s="5" t="str">
        <f t="shared" si="14"/>
        <v>augmentSkillLevel1,3,</v>
      </c>
      <c r="F35" s="5" t="str">
        <f t="shared" si="15"/>
        <v>augmentSkillName1,records/skills/zenithclass01/torso.dbr,</v>
      </c>
      <c r="G35" s="7">
        <f t="shared" si="10"/>
        <v>33</v>
      </c>
      <c r="H35" s="8" t="str">
        <f t="shared" si="11"/>
        <v>TerrorKnight</v>
      </c>
      <c r="I35" s="3" t="s">
        <v>224</v>
      </c>
      <c r="J35" s="8" t="str">
        <f t="shared" si="20"/>
        <v>class0013</v>
      </c>
      <c r="K35" s="8" t="str">
        <f t="shared" si="20"/>
        <v>dailoneskill0013</v>
      </c>
      <c r="L35" s="5" t="str">
        <f t="shared" si="4"/>
        <v>lootName33,DAIL/items/materia/class0013/TerrorKnight33.dbr,</v>
      </c>
      <c r="M35" s="5" t="str">
        <f t="shared" si="5"/>
        <v>lootWeight33,1,</v>
      </c>
      <c r="N35" t="str">
        <f t="shared" si="6"/>
        <v>3</v>
      </c>
      <c r="O35" t="str">
        <f t="shared" si="16"/>
        <v>copy .\dail_base3.dbr .\items\materia\class0013\TerrorKnight33.dbr /y</v>
      </c>
      <c r="P35" t="str">
        <f t="shared" si="7"/>
        <v>echo relicBitmap,items/craftingparts/components/component_a52_bristlyfur_b.tex, &gt;&gt; .\items\materia\class0013\TerrorKnight33.dbr</v>
      </c>
      <c r="Q35" t="str">
        <f t="shared" si="7"/>
        <v>echo itemCost,500000, &gt;&gt; .\items\materia\class0013\TerrorKnight33.dbr</v>
      </c>
      <c r="R35" t="str">
        <f t="shared" si="7"/>
        <v>echo description,dailCompDescTerrorKnight33, &gt;&gt; .\items\materia\class0013\TerrorKnight33.dbr</v>
      </c>
      <c r="S35" t="str">
        <f t="shared" si="7"/>
        <v>echo itemText,dailCompTextTerrorKnight33, &gt;&gt; .\items\materia\class0013\TerrorKnight33.dbr</v>
      </c>
      <c r="T35" t="str">
        <f t="shared" si="7"/>
        <v>echo augmentSkillLevel1,3, &gt;&gt; .\items\materia\class0013\TerrorKnight33.dbr</v>
      </c>
      <c r="U35" t="str">
        <f t="shared" si="7"/>
        <v>echo augmentSkillName1,records/skills/zenithclass01/torso.dbr, &gt;&gt; .\items\materia\class0013\TerrorKnight33.dbr</v>
      </c>
      <c r="V35" s="5" t="s">
        <v>36</v>
      </c>
      <c r="W35" t="str">
        <f t="shared" si="8"/>
        <v>echo lootName33,DAIL/items/materia/class0013/TerrorKnight33.dbr, &gt;&gt; .\items\loottables\dailoneskill0013.dbr</v>
      </c>
      <c r="X35" t="str">
        <f t="shared" si="8"/>
        <v>echo lootWeight33,1, &gt;&gt; .\items\loottables\dailoneskill0013.dbr</v>
      </c>
      <c r="Y35" s="5" t="s">
        <v>36</v>
      </c>
      <c r="Z35" t="str">
        <f t="shared" si="9"/>
        <v xml:space="preserve"> dailCompDescTerrorKnight33=^pTerrorKnight's Gift of DAIL</v>
      </c>
      <c r="AA35" t="str">
        <f t="shared" si="17"/>
        <v>dailCompTextTerrorKnight33=^oThis feels warm to the touch, almost familiar ^w(This component only fits into the Medal Slot)</v>
      </c>
      <c r="AB35" s="5" t="s">
        <v>36</v>
      </c>
      <c r="AH35">
        <f t="shared" si="19"/>
        <v>30</v>
      </c>
      <c r="AI35">
        <f t="shared" si="13"/>
        <v>24</v>
      </c>
      <c r="AJ35">
        <f t="shared" si="18"/>
        <v>3</v>
      </c>
    </row>
    <row r="36" spans="1:36" x14ac:dyDescent="0.25">
      <c r="A36" s="5" t="s">
        <v>39</v>
      </c>
      <c r="B36" s="5" t="s">
        <v>30</v>
      </c>
      <c r="C36" s="5" t="str">
        <f t="shared" si="0"/>
        <v>description,dailCompDescTerrorKnight34,</v>
      </c>
      <c r="D36" s="5" t="str">
        <f t="shared" si="2"/>
        <v>itemText,dailCompTextTerrorKnight34,</v>
      </c>
      <c r="E36" s="5" t="str">
        <f t="shared" si="14"/>
        <v>augmentSkillLevel1,3,</v>
      </c>
      <c r="F36" s="5" t="str">
        <f t="shared" si="15"/>
        <v>augmentSkillName1,records/skills/zenithclass01/head.dbr,</v>
      </c>
      <c r="G36" s="7">
        <f t="shared" si="10"/>
        <v>34</v>
      </c>
      <c r="H36" s="8" t="str">
        <f t="shared" si="11"/>
        <v>TerrorKnight</v>
      </c>
      <c r="I36" s="3" t="s">
        <v>219</v>
      </c>
      <c r="J36" s="8" t="str">
        <f t="shared" si="20"/>
        <v>class0013</v>
      </c>
      <c r="K36" s="8" t="str">
        <f t="shared" si="20"/>
        <v>dailoneskill0013</v>
      </c>
      <c r="L36" s="5" t="str">
        <f t="shared" si="4"/>
        <v>lootName34,DAIL/items/materia/class0013/TerrorKnight34.dbr,</v>
      </c>
      <c r="M36" s="5" t="str">
        <f t="shared" si="5"/>
        <v>lootWeight34,1,</v>
      </c>
      <c r="N36" t="str">
        <f t="shared" si="6"/>
        <v>3</v>
      </c>
      <c r="O36" t="str">
        <f t="shared" si="16"/>
        <v>copy .\dail_base3.dbr .\items\materia\class0013\TerrorKnight34.dbr /y</v>
      </c>
      <c r="P36" t="str">
        <f t="shared" si="7"/>
        <v>echo relicBitmap,items/craftingparts/components/component_a52_bristlyfur_b.tex, &gt;&gt; .\items\materia\class0013\TerrorKnight34.dbr</v>
      </c>
      <c r="Q36" t="str">
        <f t="shared" si="7"/>
        <v>echo itemCost,500000, &gt;&gt; .\items\materia\class0013\TerrorKnight34.dbr</v>
      </c>
      <c r="R36" t="str">
        <f t="shared" si="7"/>
        <v>echo description,dailCompDescTerrorKnight34, &gt;&gt; .\items\materia\class0013\TerrorKnight34.dbr</v>
      </c>
      <c r="S36" t="str">
        <f t="shared" si="7"/>
        <v>echo itemText,dailCompTextTerrorKnight34, &gt;&gt; .\items\materia\class0013\TerrorKnight34.dbr</v>
      </c>
      <c r="T36" t="str">
        <f t="shared" si="7"/>
        <v>echo augmentSkillLevel1,3, &gt;&gt; .\items\materia\class0013\TerrorKnight34.dbr</v>
      </c>
      <c r="U36" t="str">
        <f t="shared" si="7"/>
        <v>echo augmentSkillName1,records/skills/zenithclass01/head.dbr, &gt;&gt; .\items\materia\class0013\TerrorKnight34.dbr</v>
      </c>
      <c r="V36" s="5" t="s">
        <v>36</v>
      </c>
      <c r="W36" t="str">
        <f t="shared" si="8"/>
        <v>echo lootName34,DAIL/items/materia/class0013/TerrorKnight34.dbr, &gt;&gt; .\items\loottables\dailoneskill0013.dbr</v>
      </c>
      <c r="X36" t="str">
        <f t="shared" si="8"/>
        <v>echo lootWeight34,1, &gt;&gt; .\items\loottables\dailoneskill0013.dbr</v>
      </c>
      <c r="Y36" s="5" t="s">
        <v>36</v>
      </c>
      <c r="Z36" t="str">
        <f t="shared" si="9"/>
        <v xml:space="preserve"> dailCompDescTerrorKnight34=^pTerrorKnight's Gift of DAIL</v>
      </c>
      <c r="AA36" t="str">
        <f t="shared" si="17"/>
        <v>dailCompTextTerrorKnight34=^oThis feels warm to the touch, almost familiar ^w(This component only fits into the Medal Slot)</v>
      </c>
      <c r="AB36" s="5" t="s">
        <v>36</v>
      </c>
      <c r="AH36">
        <f t="shared" si="19"/>
        <v>31</v>
      </c>
      <c r="AI36">
        <f t="shared" si="13"/>
        <v>23</v>
      </c>
      <c r="AJ36">
        <f t="shared" si="18"/>
        <v>3</v>
      </c>
    </row>
    <row r="37" spans="1:36" x14ac:dyDescent="0.25">
      <c r="A37" s="5" t="s">
        <v>39</v>
      </c>
      <c r="B37" s="5" t="s">
        <v>30</v>
      </c>
      <c r="C37" s="5" t="str">
        <f t="shared" si="0"/>
        <v>description,dailCompDescTerrorKnight35,</v>
      </c>
      <c r="D37" s="5" t="str">
        <f t="shared" si="2"/>
        <v>itemText,dailCompTextTerrorKnight35,</v>
      </c>
      <c r="E37" s="5" t="str">
        <f t="shared" si="14"/>
        <v>augmentSkillLevel1,3,</v>
      </c>
      <c r="F37" s="5" t="str">
        <f t="shared" si="15"/>
        <v>augmentSkillName1,records/skills/zenithclass01/conquer1.dbr,</v>
      </c>
      <c r="G37" s="7">
        <f t="shared" si="10"/>
        <v>35</v>
      </c>
      <c r="H37" s="8" t="str">
        <f t="shared" si="11"/>
        <v>TerrorKnight</v>
      </c>
      <c r="I37" s="3" t="s">
        <v>215</v>
      </c>
      <c r="J37" s="8" t="str">
        <f t="shared" ref="J37:K52" si="21">J36</f>
        <v>class0013</v>
      </c>
      <c r="K37" s="8" t="str">
        <f t="shared" si="21"/>
        <v>dailoneskill0013</v>
      </c>
      <c r="L37" s="5" t="str">
        <f t="shared" si="4"/>
        <v>lootName35,DAIL/items/materia/class0013/TerrorKnight35.dbr,</v>
      </c>
      <c r="M37" s="5" t="str">
        <f t="shared" si="5"/>
        <v>lootWeight35,1,</v>
      </c>
      <c r="N37" t="str">
        <f t="shared" si="6"/>
        <v>3</v>
      </c>
      <c r="O37" t="str">
        <f t="shared" si="16"/>
        <v>copy .\dail_base3.dbr .\items\materia\class0013\TerrorKnight35.dbr /y</v>
      </c>
      <c r="P37" t="str">
        <f t="shared" si="7"/>
        <v>echo relicBitmap,items/craftingparts/components/component_a52_bristlyfur_b.tex, &gt;&gt; .\items\materia\class0013\TerrorKnight35.dbr</v>
      </c>
      <c r="Q37" t="str">
        <f t="shared" si="7"/>
        <v>echo itemCost,500000, &gt;&gt; .\items\materia\class0013\TerrorKnight35.dbr</v>
      </c>
      <c r="R37" t="str">
        <f t="shared" si="7"/>
        <v>echo description,dailCompDescTerrorKnight35, &gt;&gt; .\items\materia\class0013\TerrorKnight35.dbr</v>
      </c>
      <c r="S37" t="str">
        <f t="shared" si="7"/>
        <v>echo itemText,dailCompTextTerrorKnight35, &gt;&gt; .\items\materia\class0013\TerrorKnight35.dbr</v>
      </c>
      <c r="T37" t="str">
        <f t="shared" si="7"/>
        <v>echo augmentSkillLevel1,3, &gt;&gt; .\items\materia\class0013\TerrorKnight35.dbr</v>
      </c>
      <c r="U37" t="str">
        <f t="shared" si="7"/>
        <v>echo augmentSkillName1,records/skills/zenithclass01/conquer1.dbr, &gt;&gt; .\items\materia\class0013\TerrorKnight35.dbr</v>
      </c>
      <c r="V37" s="5" t="s">
        <v>36</v>
      </c>
      <c r="W37" t="str">
        <f t="shared" si="8"/>
        <v>echo lootName35,DAIL/items/materia/class0013/TerrorKnight35.dbr, &gt;&gt; .\items\loottables\dailoneskill0013.dbr</v>
      </c>
      <c r="X37" t="str">
        <f t="shared" si="8"/>
        <v>echo lootWeight35,1, &gt;&gt; .\items\loottables\dailoneskill0013.dbr</v>
      </c>
      <c r="Y37" s="5" t="s">
        <v>36</v>
      </c>
      <c r="Z37" t="str">
        <f t="shared" si="9"/>
        <v xml:space="preserve"> dailCompDescTerrorKnight35=^pTerrorKnight's Gift of DAIL</v>
      </c>
      <c r="AA37" t="str">
        <f t="shared" si="17"/>
        <v>dailCompTextTerrorKnight35=^oThis feels warm to the touch, almost familiar ^w(This component only fits into the Medal Slot)</v>
      </c>
      <c r="AB37" s="5" t="s">
        <v>36</v>
      </c>
      <c r="AH37">
        <f t="shared" si="19"/>
        <v>32</v>
      </c>
      <c r="AI37">
        <f t="shared" si="13"/>
        <v>27</v>
      </c>
      <c r="AJ37">
        <f t="shared" si="18"/>
        <v>3</v>
      </c>
    </row>
    <row r="38" spans="1:36" x14ac:dyDescent="0.25">
      <c r="A38" s="5" t="s">
        <v>39</v>
      </c>
      <c r="B38" s="5" t="s">
        <v>30</v>
      </c>
      <c r="C38" s="5" t="str">
        <f t="shared" si="0"/>
        <v>description,dailCompDescTerrorKnight36,</v>
      </c>
      <c r="D38" s="5" t="str">
        <f t="shared" si="2"/>
        <v>itemText,dailCompTextTerrorKnight36,</v>
      </c>
      <c r="E38" s="5" t="str">
        <f t="shared" si="14"/>
        <v>augmentSkillLevel1,3,</v>
      </c>
      <c r="F38" s="5" t="str">
        <f t="shared" si="15"/>
        <v>augmentSkillName1,records/skills/zenithclass01/conquer2.dbr,</v>
      </c>
      <c r="G38" s="7">
        <f t="shared" si="10"/>
        <v>36</v>
      </c>
      <c r="H38" s="8" t="str">
        <f t="shared" si="11"/>
        <v>TerrorKnight</v>
      </c>
      <c r="I38" s="3" t="s">
        <v>442</v>
      </c>
      <c r="J38" s="8" t="str">
        <f t="shared" si="21"/>
        <v>class0013</v>
      </c>
      <c r="K38" s="8" t="str">
        <f t="shared" si="21"/>
        <v>dailoneskill0013</v>
      </c>
      <c r="L38" s="5" t="str">
        <f t="shared" si="4"/>
        <v>lootName36,DAIL/items/materia/class0013/TerrorKnight36.dbr,</v>
      </c>
      <c r="M38" s="5" t="str">
        <f t="shared" si="5"/>
        <v>lootWeight36,1,</v>
      </c>
      <c r="N38" t="str">
        <f t="shared" si="6"/>
        <v>3</v>
      </c>
      <c r="O38" t="str">
        <f t="shared" si="16"/>
        <v>copy .\dail_base3.dbr .\items\materia\class0013\TerrorKnight36.dbr /y</v>
      </c>
      <c r="P38" t="str">
        <f t="shared" si="7"/>
        <v>echo relicBitmap,items/craftingparts/components/component_a52_bristlyfur_b.tex, &gt;&gt; .\items\materia\class0013\TerrorKnight36.dbr</v>
      </c>
      <c r="Q38" t="str">
        <f t="shared" si="7"/>
        <v>echo itemCost,500000, &gt;&gt; .\items\materia\class0013\TerrorKnight36.dbr</v>
      </c>
      <c r="R38" t="str">
        <f t="shared" si="7"/>
        <v>echo description,dailCompDescTerrorKnight36, &gt;&gt; .\items\materia\class0013\TerrorKnight36.dbr</v>
      </c>
      <c r="S38" t="str">
        <f t="shared" si="7"/>
        <v>echo itemText,dailCompTextTerrorKnight36, &gt;&gt; .\items\materia\class0013\TerrorKnight36.dbr</v>
      </c>
      <c r="T38" t="str">
        <f t="shared" si="7"/>
        <v>echo augmentSkillLevel1,3, &gt;&gt; .\items\materia\class0013\TerrorKnight36.dbr</v>
      </c>
      <c r="U38" t="str">
        <f t="shared" si="7"/>
        <v>echo augmentSkillName1,records/skills/zenithclass01/conquer2.dbr, &gt;&gt; .\items\materia\class0013\TerrorKnight36.dbr</v>
      </c>
      <c r="V38" s="5" t="s">
        <v>36</v>
      </c>
      <c r="W38" t="str">
        <f t="shared" si="8"/>
        <v>echo lootName36,DAIL/items/materia/class0013/TerrorKnight36.dbr, &gt;&gt; .\items\loottables\dailoneskill0013.dbr</v>
      </c>
      <c r="X38" t="str">
        <f t="shared" si="8"/>
        <v>echo lootWeight36,1, &gt;&gt; .\items\loottables\dailoneskill0013.dbr</v>
      </c>
      <c r="Y38" s="5" t="s">
        <v>36</v>
      </c>
      <c r="Z38" t="str">
        <f t="shared" si="9"/>
        <v xml:space="preserve"> dailCompDescTerrorKnight36=^pTerrorKnight's Gift of DAIL</v>
      </c>
      <c r="AA38" t="str">
        <f t="shared" si="17"/>
        <v>dailCompTextTerrorKnight36=^oThis feels warm to the touch, almost familiar ^w(This component only fits into the Medal Slot)</v>
      </c>
      <c r="AB38" s="5" t="s">
        <v>36</v>
      </c>
      <c r="AH38">
        <f t="shared" si="19"/>
        <v>33</v>
      </c>
      <c r="AI38">
        <f t="shared" ref="AI38:AI69" si="22">LEN(I38)</f>
        <v>27</v>
      </c>
      <c r="AJ38">
        <f t="shared" si="18"/>
        <v>3</v>
      </c>
    </row>
    <row r="39" spans="1:36" x14ac:dyDescent="0.25">
      <c r="A39" s="5" t="s">
        <v>39</v>
      </c>
      <c r="B39" s="5" t="s">
        <v>30</v>
      </c>
      <c r="C39" s="5" t="str">
        <f t="shared" si="0"/>
        <v>description,dailCompDescTerrorKnight37,</v>
      </c>
      <c r="D39" s="5" t="str">
        <f t="shared" si="2"/>
        <v>itemText,dailCompTextTerrorKnight37,</v>
      </c>
      <c r="E39" s="5" t="str">
        <f t="shared" si="14"/>
        <v>augmentSkillLevel1,3,</v>
      </c>
      <c r="F39" s="5" t="str">
        <f t="shared" si="15"/>
        <v>augmentSkillName1,records/skills/zenithclass01/charge1.dbr,</v>
      </c>
      <c r="G39" s="7">
        <f t="shared" si="10"/>
        <v>37</v>
      </c>
      <c r="H39" s="8" t="str">
        <f t="shared" si="11"/>
        <v>TerrorKnight</v>
      </c>
      <c r="I39" s="3" t="s">
        <v>214</v>
      </c>
      <c r="J39" s="8" t="str">
        <f t="shared" si="21"/>
        <v>class0013</v>
      </c>
      <c r="K39" s="8" t="str">
        <f t="shared" si="21"/>
        <v>dailoneskill0013</v>
      </c>
      <c r="L39" s="5" t="str">
        <f t="shared" si="4"/>
        <v>lootName37,DAIL/items/materia/class0013/TerrorKnight37.dbr,</v>
      </c>
      <c r="M39" s="5" t="str">
        <f t="shared" si="5"/>
        <v>lootWeight37,1,</v>
      </c>
      <c r="N39" t="str">
        <f t="shared" si="6"/>
        <v>3</v>
      </c>
      <c r="O39" t="str">
        <f t="shared" si="16"/>
        <v>copy .\dail_base3.dbr .\items\materia\class0013\TerrorKnight37.dbr /y</v>
      </c>
      <c r="P39" t="str">
        <f t="shared" si="7"/>
        <v>echo relicBitmap,items/craftingparts/components/component_a52_bristlyfur_b.tex, &gt;&gt; .\items\materia\class0013\TerrorKnight37.dbr</v>
      </c>
      <c r="Q39" t="str">
        <f t="shared" si="7"/>
        <v>echo itemCost,500000, &gt;&gt; .\items\materia\class0013\TerrorKnight37.dbr</v>
      </c>
      <c r="R39" t="str">
        <f t="shared" si="7"/>
        <v>echo description,dailCompDescTerrorKnight37, &gt;&gt; .\items\materia\class0013\TerrorKnight37.dbr</v>
      </c>
      <c r="S39" t="str">
        <f t="shared" si="7"/>
        <v>echo itemText,dailCompTextTerrorKnight37, &gt;&gt; .\items\materia\class0013\TerrorKnight37.dbr</v>
      </c>
      <c r="T39" t="str">
        <f t="shared" si="7"/>
        <v>echo augmentSkillLevel1,3, &gt;&gt; .\items\materia\class0013\TerrorKnight37.dbr</v>
      </c>
      <c r="U39" t="str">
        <f t="shared" si="7"/>
        <v>echo augmentSkillName1,records/skills/zenithclass01/charge1.dbr, &gt;&gt; .\items\materia\class0013\TerrorKnight37.dbr</v>
      </c>
      <c r="V39" s="5" t="s">
        <v>36</v>
      </c>
      <c r="W39" t="str">
        <f t="shared" si="8"/>
        <v>echo lootName37,DAIL/items/materia/class0013/TerrorKnight37.dbr, &gt;&gt; .\items\loottables\dailoneskill0013.dbr</v>
      </c>
      <c r="X39" t="str">
        <f t="shared" si="8"/>
        <v>echo lootWeight37,1, &gt;&gt; .\items\loottables\dailoneskill0013.dbr</v>
      </c>
      <c r="Y39" s="5" t="s">
        <v>36</v>
      </c>
      <c r="Z39" t="str">
        <f t="shared" si="9"/>
        <v xml:space="preserve"> dailCompDescTerrorKnight37=^pTerrorKnight's Gift of DAIL</v>
      </c>
      <c r="AA39" t="str">
        <f t="shared" si="17"/>
        <v>dailCompTextTerrorKnight37=^oThis feels warm to the touch, almost familiar ^w(This component only fits into the Medal Slot)</v>
      </c>
      <c r="AB39" s="5" t="s">
        <v>36</v>
      </c>
      <c r="AH39">
        <f t="shared" si="19"/>
        <v>34</v>
      </c>
      <c r="AI39">
        <f t="shared" si="22"/>
        <v>26</v>
      </c>
      <c r="AJ39">
        <f t="shared" si="18"/>
        <v>3</v>
      </c>
    </row>
    <row r="40" spans="1:36" x14ac:dyDescent="0.25">
      <c r="A40" s="5" t="s">
        <v>39</v>
      </c>
      <c r="B40" s="5" t="s">
        <v>30</v>
      </c>
      <c r="C40" s="5" t="str">
        <f t="shared" si="0"/>
        <v>description,dailCompDescTerrorKnight38,</v>
      </c>
      <c r="D40" s="5" t="str">
        <f t="shared" si="2"/>
        <v>itemText,dailCompTextTerrorKnight38,</v>
      </c>
      <c r="E40" s="5" t="str">
        <f t="shared" si="14"/>
        <v>augmentSkillLevel1,3,</v>
      </c>
      <c r="F40" s="5" t="str">
        <f t="shared" si="15"/>
        <v>augmentSkillName1,records/skills/zenithclass01/charge2.dbr,</v>
      </c>
      <c r="G40" s="7">
        <f t="shared" si="10"/>
        <v>38</v>
      </c>
      <c r="H40" s="8" t="str">
        <f t="shared" si="11"/>
        <v>TerrorKnight</v>
      </c>
      <c r="I40" s="3" t="s">
        <v>443</v>
      </c>
      <c r="J40" s="8" t="str">
        <f t="shared" si="21"/>
        <v>class0013</v>
      </c>
      <c r="K40" s="8" t="str">
        <f t="shared" si="21"/>
        <v>dailoneskill0013</v>
      </c>
      <c r="L40" s="5" t="str">
        <f t="shared" si="4"/>
        <v>lootName38,DAIL/items/materia/class0013/TerrorKnight38.dbr,</v>
      </c>
      <c r="M40" s="5" t="str">
        <f t="shared" si="5"/>
        <v>lootWeight38,1,</v>
      </c>
      <c r="N40" t="str">
        <f t="shared" si="6"/>
        <v>3</v>
      </c>
      <c r="O40" t="str">
        <f t="shared" si="16"/>
        <v>copy .\dail_base3.dbr .\items\materia\class0013\TerrorKnight38.dbr /y</v>
      </c>
      <c r="P40" t="str">
        <f t="shared" si="7"/>
        <v>echo relicBitmap,items/craftingparts/components/component_a52_bristlyfur_b.tex, &gt;&gt; .\items\materia\class0013\TerrorKnight38.dbr</v>
      </c>
      <c r="Q40" t="str">
        <f t="shared" si="7"/>
        <v>echo itemCost,500000, &gt;&gt; .\items\materia\class0013\TerrorKnight38.dbr</v>
      </c>
      <c r="R40" t="str">
        <f t="shared" si="7"/>
        <v>echo description,dailCompDescTerrorKnight38, &gt;&gt; .\items\materia\class0013\TerrorKnight38.dbr</v>
      </c>
      <c r="S40" t="str">
        <f t="shared" si="7"/>
        <v>echo itemText,dailCompTextTerrorKnight38, &gt;&gt; .\items\materia\class0013\TerrorKnight38.dbr</v>
      </c>
      <c r="T40" t="str">
        <f t="shared" si="7"/>
        <v>echo augmentSkillLevel1,3, &gt;&gt; .\items\materia\class0013\TerrorKnight38.dbr</v>
      </c>
      <c r="U40" t="str">
        <f t="shared" si="7"/>
        <v>echo augmentSkillName1,records/skills/zenithclass01/charge2.dbr, &gt;&gt; .\items\materia\class0013\TerrorKnight38.dbr</v>
      </c>
      <c r="V40" s="5" t="s">
        <v>36</v>
      </c>
      <c r="W40" t="str">
        <f t="shared" si="8"/>
        <v>echo lootName38,DAIL/items/materia/class0013/TerrorKnight38.dbr, &gt;&gt; .\items\loottables\dailoneskill0013.dbr</v>
      </c>
      <c r="X40" t="str">
        <f t="shared" si="8"/>
        <v>echo lootWeight38,1, &gt;&gt; .\items\loottables\dailoneskill0013.dbr</v>
      </c>
      <c r="Y40" s="5" t="s">
        <v>36</v>
      </c>
      <c r="Z40" t="str">
        <f t="shared" si="9"/>
        <v xml:space="preserve"> dailCompDescTerrorKnight38=^pTerrorKnight's Gift of DAIL</v>
      </c>
      <c r="AA40" t="str">
        <f t="shared" si="17"/>
        <v>dailCompTextTerrorKnight38=^oThis feels warm to the touch, almost familiar ^w(This component only fits into the Medal Slot)</v>
      </c>
      <c r="AB40" s="5" t="s">
        <v>36</v>
      </c>
      <c r="AH40">
        <f t="shared" si="19"/>
        <v>35</v>
      </c>
      <c r="AI40">
        <f t="shared" si="22"/>
        <v>26</v>
      </c>
      <c r="AJ40">
        <f t="shared" si="18"/>
        <v>3</v>
      </c>
    </row>
    <row r="41" spans="1:36" x14ac:dyDescent="0.25">
      <c r="A41" s="5" t="s">
        <v>39</v>
      </c>
      <c r="B41" s="5" t="s">
        <v>30</v>
      </c>
      <c r="C41" s="5" t="str">
        <f t="shared" si="0"/>
        <v>description,dailCompDescTerrorKnight39,</v>
      </c>
      <c r="D41" s="5" t="str">
        <f t="shared" si="2"/>
        <v>itemText,dailCompTextTerrorKnight39,</v>
      </c>
      <c r="E41" s="5" t="str">
        <f t="shared" si="14"/>
        <v>augmentSkillLevel1,3,</v>
      </c>
      <c r="F41" s="5" t="str">
        <f t="shared" si="15"/>
        <v>augmentSkillName1,records/skills/zenithclass01/charge3.dbr,</v>
      </c>
      <c r="G41" s="7">
        <f t="shared" si="10"/>
        <v>39</v>
      </c>
      <c r="H41" s="8" t="str">
        <f t="shared" si="11"/>
        <v>TerrorKnight</v>
      </c>
      <c r="I41" s="3" t="s">
        <v>444</v>
      </c>
      <c r="J41" s="8" t="str">
        <f t="shared" si="21"/>
        <v>class0013</v>
      </c>
      <c r="K41" s="8" t="str">
        <f t="shared" si="21"/>
        <v>dailoneskill0013</v>
      </c>
      <c r="L41" s="5" t="str">
        <f t="shared" si="4"/>
        <v>lootName39,DAIL/items/materia/class0013/TerrorKnight39.dbr,</v>
      </c>
      <c r="M41" s="5" t="str">
        <f t="shared" si="5"/>
        <v>lootWeight39,1,</v>
      </c>
      <c r="N41" t="str">
        <f t="shared" si="6"/>
        <v>3</v>
      </c>
      <c r="O41" t="str">
        <f t="shared" si="16"/>
        <v>copy .\dail_base3.dbr .\items\materia\class0013\TerrorKnight39.dbr /y</v>
      </c>
      <c r="P41" t="str">
        <f t="shared" si="7"/>
        <v>echo relicBitmap,items/craftingparts/components/component_a52_bristlyfur_b.tex, &gt;&gt; .\items\materia\class0013\TerrorKnight39.dbr</v>
      </c>
      <c r="Q41" t="str">
        <f t="shared" si="7"/>
        <v>echo itemCost,500000, &gt;&gt; .\items\materia\class0013\TerrorKnight39.dbr</v>
      </c>
      <c r="R41" t="str">
        <f t="shared" si="7"/>
        <v>echo description,dailCompDescTerrorKnight39, &gt;&gt; .\items\materia\class0013\TerrorKnight39.dbr</v>
      </c>
      <c r="S41" t="str">
        <f t="shared" si="7"/>
        <v>echo itemText,dailCompTextTerrorKnight39, &gt;&gt; .\items\materia\class0013\TerrorKnight39.dbr</v>
      </c>
      <c r="T41" t="str">
        <f t="shared" si="7"/>
        <v>echo augmentSkillLevel1,3, &gt;&gt; .\items\materia\class0013\TerrorKnight39.dbr</v>
      </c>
      <c r="U41" t="str">
        <f t="shared" si="7"/>
        <v>echo augmentSkillName1,records/skills/zenithclass01/charge3.dbr, &gt;&gt; .\items\materia\class0013\TerrorKnight39.dbr</v>
      </c>
      <c r="V41" s="5" t="s">
        <v>36</v>
      </c>
      <c r="W41" t="str">
        <f t="shared" si="8"/>
        <v>echo lootName39,DAIL/items/materia/class0013/TerrorKnight39.dbr, &gt;&gt; .\items\loottables\dailoneskill0013.dbr</v>
      </c>
      <c r="X41" t="str">
        <f t="shared" si="8"/>
        <v>echo lootWeight39,1, &gt;&gt; .\items\loottables\dailoneskill0013.dbr</v>
      </c>
      <c r="Y41" s="5" t="s">
        <v>36</v>
      </c>
      <c r="Z41" t="str">
        <f t="shared" si="9"/>
        <v xml:space="preserve"> dailCompDescTerrorKnight39=^pTerrorKnight's Gift of DAIL</v>
      </c>
      <c r="AA41" t="str">
        <f t="shared" si="17"/>
        <v>dailCompTextTerrorKnight39=^oThis feels warm to the touch, almost familiar ^w(This component only fits into the Medal Slot)</v>
      </c>
      <c r="AB41" s="5" t="s">
        <v>36</v>
      </c>
      <c r="AH41">
        <f t="shared" si="19"/>
        <v>36</v>
      </c>
      <c r="AI41">
        <f t="shared" si="22"/>
        <v>26</v>
      </c>
      <c r="AJ41">
        <f t="shared" si="18"/>
        <v>3</v>
      </c>
    </row>
    <row r="42" spans="1:36" x14ac:dyDescent="0.25">
      <c r="A42" s="5" t="s">
        <v>39</v>
      </c>
      <c r="B42" s="5" t="s">
        <v>30</v>
      </c>
      <c r="C42" s="5" t="str">
        <f t="shared" si="0"/>
        <v>description,dailCompDescTerrorKnight40,</v>
      </c>
      <c r="D42" s="5" t="str">
        <f t="shared" si="2"/>
        <v>itemText,dailCompTextTerrorKnight40,</v>
      </c>
      <c r="E42" s="5" t="str">
        <f t="shared" si="14"/>
        <v>augmentSkillLevel1,3,</v>
      </c>
      <c r="F42" s="5" t="str">
        <f t="shared" si="15"/>
        <v>augmentSkillName1,records/skills/zenithclass01/wp1.dbr,</v>
      </c>
      <c r="G42" s="7">
        <f t="shared" si="10"/>
        <v>40</v>
      </c>
      <c r="H42" s="8" t="str">
        <f t="shared" si="11"/>
        <v>TerrorKnight</v>
      </c>
      <c r="I42" s="3" t="s">
        <v>225</v>
      </c>
      <c r="J42" s="8" t="str">
        <f t="shared" si="21"/>
        <v>class0013</v>
      </c>
      <c r="K42" s="8" t="str">
        <f t="shared" si="21"/>
        <v>dailoneskill0013</v>
      </c>
      <c r="L42" s="5" t="str">
        <f t="shared" si="4"/>
        <v>lootName40,DAIL/items/materia/class0013/TerrorKnight40.dbr,</v>
      </c>
      <c r="M42" s="5" t="str">
        <f t="shared" si="5"/>
        <v>lootWeight40,1,</v>
      </c>
      <c r="N42" t="str">
        <f t="shared" si="6"/>
        <v>3</v>
      </c>
      <c r="O42" t="str">
        <f t="shared" si="16"/>
        <v>copy .\dail_base3.dbr .\items\materia\class0013\TerrorKnight40.dbr /y</v>
      </c>
      <c r="P42" t="str">
        <f t="shared" si="7"/>
        <v>echo relicBitmap,items/craftingparts/components/component_a52_bristlyfur_b.tex, &gt;&gt; .\items\materia\class0013\TerrorKnight40.dbr</v>
      </c>
      <c r="Q42" t="str">
        <f t="shared" si="7"/>
        <v>echo itemCost,500000, &gt;&gt; .\items\materia\class0013\TerrorKnight40.dbr</v>
      </c>
      <c r="R42" t="str">
        <f t="shared" si="7"/>
        <v>echo description,dailCompDescTerrorKnight40, &gt;&gt; .\items\materia\class0013\TerrorKnight40.dbr</v>
      </c>
      <c r="S42" t="str">
        <f t="shared" si="7"/>
        <v>echo itemText,dailCompTextTerrorKnight40, &gt;&gt; .\items\materia\class0013\TerrorKnight40.dbr</v>
      </c>
      <c r="T42" t="str">
        <f t="shared" si="7"/>
        <v>echo augmentSkillLevel1,3, &gt;&gt; .\items\materia\class0013\TerrorKnight40.dbr</v>
      </c>
      <c r="U42" t="str">
        <f t="shared" si="7"/>
        <v>echo augmentSkillName1,records/skills/zenithclass01/wp1.dbr, &gt;&gt; .\items\materia\class0013\TerrorKnight40.dbr</v>
      </c>
      <c r="V42" s="5" t="s">
        <v>36</v>
      </c>
      <c r="W42" t="str">
        <f t="shared" si="8"/>
        <v>echo lootName40,DAIL/items/materia/class0013/TerrorKnight40.dbr, &gt;&gt; .\items\loottables\dailoneskill0013.dbr</v>
      </c>
      <c r="X42" t="str">
        <f t="shared" si="8"/>
        <v>echo lootWeight40,1, &gt;&gt; .\items\loottables\dailoneskill0013.dbr</v>
      </c>
      <c r="Y42" s="5" t="s">
        <v>36</v>
      </c>
      <c r="Z42" t="str">
        <f t="shared" si="9"/>
        <v xml:space="preserve"> dailCompDescTerrorKnight40=^pTerrorKnight's Gift of DAIL</v>
      </c>
      <c r="AA42" t="str">
        <f t="shared" si="17"/>
        <v>dailCompTextTerrorKnight40=^oThis feels warm to the touch, almost familiar ^w(This component only fits into the Medal Slot)</v>
      </c>
      <c r="AB42" s="5" t="s">
        <v>36</v>
      </c>
      <c r="AH42">
        <f t="shared" si="19"/>
        <v>37</v>
      </c>
      <c r="AI42">
        <f t="shared" si="22"/>
        <v>22</v>
      </c>
      <c r="AJ42">
        <f t="shared" si="18"/>
        <v>3</v>
      </c>
    </row>
    <row r="43" spans="1:36" x14ac:dyDescent="0.25">
      <c r="A43" s="5" t="s">
        <v>39</v>
      </c>
      <c r="B43" s="5" t="s">
        <v>30</v>
      </c>
      <c r="C43" s="5" t="str">
        <f t="shared" si="0"/>
        <v>description,dailCompDescTerrorKnight41,</v>
      </c>
      <c r="D43" s="5" t="str">
        <f t="shared" si="2"/>
        <v>itemText,dailCompTextTerrorKnight41,</v>
      </c>
      <c r="E43" s="5" t="str">
        <f t="shared" si="14"/>
        <v>augmentSkillLevel1,3,</v>
      </c>
      <c r="F43" s="5" t="str">
        <f t="shared" si="15"/>
        <v>augmentSkillName1,records/skills/zenithclass01/bloodsiphon1.dbr,</v>
      </c>
      <c r="G43" s="7">
        <f t="shared" si="10"/>
        <v>41</v>
      </c>
      <c r="H43" s="8" t="str">
        <f t="shared" si="11"/>
        <v>TerrorKnight</v>
      </c>
      <c r="I43" s="3" t="s">
        <v>213</v>
      </c>
      <c r="J43" s="8" t="str">
        <f t="shared" si="21"/>
        <v>class0013</v>
      </c>
      <c r="K43" s="8" t="str">
        <f t="shared" si="21"/>
        <v>dailoneskill0013</v>
      </c>
      <c r="L43" s="5" t="str">
        <f t="shared" si="4"/>
        <v>lootName41,DAIL/items/materia/class0013/TerrorKnight41.dbr,</v>
      </c>
      <c r="M43" s="5" t="str">
        <f t="shared" si="5"/>
        <v>lootWeight41,1,</v>
      </c>
      <c r="N43" t="str">
        <f t="shared" si="6"/>
        <v>3</v>
      </c>
      <c r="O43" t="str">
        <f t="shared" si="16"/>
        <v>copy .\dail_base3.dbr .\items\materia\class0013\TerrorKnight41.dbr /y</v>
      </c>
      <c r="P43" t="str">
        <f t="shared" si="7"/>
        <v>echo relicBitmap,items/craftingparts/components/component_a52_bristlyfur_b.tex, &gt;&gt; .\items\materia\class0013\TerrorKnight41.dbr</v>
      </c>
      <c r="Q43" t="str">
        <f t="shared" si="7"/>
        <v>echo itemCost,500000, &gt;&gt; .\items\materia\class0013\TerrorKnight41.dbr</v>
      </c>
      <c r="R43" t="str">
        <f t="shared" si="7"/>
        <v>echo description,dailCompDescTerrorKnight41, &gt;&gt; .\items\materia\class0013\TerrorKnight41.dbr</v>
      </c>
      <c r="S43" t="str">
        <f t="shared" si="7"/>
        <v>echo itemText,dailCompTextTerrorKnight41, &gt;&gt; .\items\materia\class0013\TerrorKnight41.dbr</v>
      </c>
      <c r="T43" t="str">
        <f t="shared" si="7"/>
        <v>echo augmentSkillLevel1,3, &gt;&gt; .\items\materia\class0013\TerrorKnight41.dbr</v>
      </c>
      <c r="U43" t="str">
        <f t="shared" si="7"/>
        <v>echo augmentSkillName1,records/skills/zenithclass01/bloodsiphon1.dbr, &gt;&gt; .\items\materia\class0013\TerrorKnight41.dbr</v>
      </c>
      <c r="V43" s="5" t="s">
        <v>36</v>
      </c>
      <c r="W43" t="str">
        <f t="shared" si="8"/>
        <v>echo lootName41,DAIL/items/materia/class0013/TerrorKnight41.dbr, &gt;&gt; .\items\loottables\dailoneskill0013.dbr</v>
      </c>
      <c r="X43" t="str">
        <f t="shared" si="8"/>
        <v>echo lootWeight41,1, &gt;&gt; .\items\loottables\dailoneskill0013.dbr</v>
      </c>
      <c r="Y43" s="5" t="s">
        <v>36</v>
      </c>
      <c r="Z43" t="str">
        <f t="shared" si="9"/>
        <v xml:space="preserve"> dailCompDescTerrorKnight41=^pTerrorKnight's Gift of DAIL</v>
      </c>
      <c r="AA43" t="str">
        <f t="shared" si="17"/>
        <v>dailCompTextTerrorKnight41=^oThis feels warm to the touch, almost familiar ^w(This component only fits into the Medal Slot)</v>
      </c>
      <c r="AB43" s="5" t="s">
        <v>36</v>
      </c>
      <c r="AH43">
        <f t="shared" si="19"/>
        <v>38</v>
      </c>
      <c r="AI43">
        <f t="shared" si="22"/>
        <v>31</v>
      </c>
      <c r="AJ43">
        <f t="shared" si="18"/>
        <v>3</v>
      </c>
    </row>
    <row r="44" spans="1:36" x14ac:dyDescent="0.25">
      <c r="A44" s="5" t="s">
        <v>39</v>
      </c>
      <c r="B44" s="5" t="s">
        <v>30</v>
      </c>
      <c r="C44" s="5" t="str">
        <f t="shared" si="0"/>
        <v>description,dailCompDescTerrorKnight42,</v>
      </c>
      <c r="D44" s="5" t="str">
        <f t="shared" si="2"/>
        <v>itemText,dailCompTextTerrorKnight42,</v>
      </c>
      <c r="E44" s="5" t="str">
        <f t="shared" si="14"/>
        <v>augmentSkillLevel1,3,</v>
      </c>
      <c r="F44" s="5" t="str">
        <f t="shared" si="15"/>
        <v>augmentSkillName1,records/skills/zenithclass01/bloodsiphon2.dbr,</v>
      </c>
      <c r="G44" s="7">
        <f t="shared" si="10"/>
        <v>42</v>
      </c>
      <c r="H44" s="8" t="str">
        <f t="shared" si="11"/>
        <v>TerrorKnight</v>
      </c>
      <c r="I44" s="3" t="s">
        <v>445</v>
      </c>
      <c r="J44" s="8" t="str">
        <f t="shared" si="21"/>
        <v>class0013</v>
      </c>
      <c r="K44" s="8" t="str">
        <f t="shared" si="21"/>
        <v>dailoneskill0013</v>
      </c>
      <c r="L44" s="5" t="str">
        <f t="shared" si="4"/>
        <v>lootName42,DAIL/items/materia/class0013/TerrorKnight42.dbr,</v>
      </c>
      <c r="M44" s="5" t="str">
        <f t="shared" si="5"/>
        <v>lootWeight42,1,</v>
      </c>
      <c r="N44" t="str">
        <f t="shared" si="6"/>
        <v>3</v>
      </c>
      <c r="O44" t="str">
        <f t="shared" si="16"/>
        <v>copy .\dail_base3.dbr .\items\materia\class0013\TerrorKnight42.dbr /y</v>
      </c>
      <c r="P44" t="str">
        <f t="shared" si="7"/>
        <v>echo relicBitmap,items/craftingparts/components/component_a52_bristlyfur_b.tex, &gt;&gt; .\items\materia\class0013\TerrorKnight42.dbr</v>
      </c>
      <c r="Q44" t="str">
        <f t="shared" si="7"/>
        <v>echo itemCost,500000, &gt;&gt; .\items\materia\class0013\TerrorKnight42.dbr</v>
      </c>
      <c r="R44" t="str">
        <f t="shared" si="7"/>
        <v>echo description,dailCompDescTerrorKnight42, &gt;&gt; .\items\materia\class0013\TerrorKnight42.dbr</v>
      </c>
      <c r="S44" t="str">
        <f t="shared" si="7"/>
        <v>echo itemText,dailCompTextTerrorKnight42, &gt;&gt; .\items\materia\class0013\TerrorKnight42.dbr</v>
      </c>
      <c r="T44" t="str">
        <f t="shared" si="7"/>
        <v>echo augmentSkillLevel1,3, &gt;&gt; .\items\materia\class0013\TerrorKnight42.dbr</v>
      </c>
      <c r="U44" t="str">
        <f t="shared" si="7"/>
        <v>echo augmentSkillName1,records/skills/zenithclass01/bloodsiphon2.dbr, &gt;&gt; .\items\materia\class0013\TerrorKnight42.dbr</v>
      </c>
      <c r="V44" s="5" t="s">
        <v>36</v>
      </c>
      <c r="W44" t="str">
        <f t="shared" si="8"/>
        <v>echo lootName42,DAIL/items/materia/class0013/TerrorKnight42.dbr, &gt;&gt; .\items\loottables\dailoneskill0013.dbr</v>
      </c>
      <c r="X44" t="str">
        <f t="shared" si="8"/>
        <v>echo lootWeight42,1, &gt;&gt; .\items\loottables\dailoneskill0013.dbr</v>
      </c>
      <c r="Y44" s="5" t="s">
        <v>36</v>
      </c>
      <c r="Z44" t="str">
        <f t="shared" si="9"/>
        <v xml:space="preserve"> dailCompDescTerrorKnight42=^pTerrorKnight's Gift of DAIL</v>
      </c>
      <c r="AA44" t="str">
        <f t="shared" si="17"/>
        <v>dailCompTextTerrorKnight42=^oThis feels warm to the touch, almost familiar ^w(This component only fits into the Medal Slot)</v>
      </c>
      <c r="AB44" s="5" t="s">
        <v>36</v>
      </c>
      <c r="AH44">
        <f t="shared" si="19"/>
        <v>39</v>
      </c>
      <c r="AI44">
        <f t="shared" si="22"/>
        <v>31</v>
      </c>
      <c r="AJ44">
        <f t="shared" si="18"/>
        <v>3</v>
      </c>
    </row>
    <row r="45" spans="1:36" x14ac:dyDescent="0.25">
      <c r="A45" s="5" t="s">
        <v>39</v>
      </c>
      <c r="B45" s="5" t="s">
        <v>30</v>
      </c>
      <c r="C45" s="5" t="str">
        <f t="shared" si="0"/>
        <v>description,dailCompDescTerrorKnight43,</v>
      </c>
      <c r="D45" s="5" t="str">
        <f t="shared" si="2"/>
        <v>itemText,dailCompTextTerrorKnight43,</v>
      </c>
      <c r="E45" s="5" t="str">
        <f t="shared" si="14"/>
        <v>augmentSkillLevel1,3,</v>
      </c>
      <c r="F45" s="5" t="str">
        <f t="shared" si="15"/>
        <v>augmentSkillName1,records/skills/zenithclass01/fearpool1.dbr,</v>
      </c>
      <c r="G45" s="7">
        <f t="shared" si="10"/>
        <v>43</v>
      </c>
      <c r="H45" s="8" t="str">
        <f t="shared" si="11"/>
        <v>TerrorKnight</v>
      </c>
      <c r="I45" s="3" t="s">
        <v>217</v>
      </c>
      <c r="J45" s="8" t="str">
        <f t="shared" si="21"/>
        <v>class0013</v>
      </c>
      <c r="K45" s="8" t="str">
        <f t="shared" si="21"/>
        <v>dailoneskill0013</v>
      </c>
      <c r="L45" s="5" t="str">
        <f t="shared" si="4"/>
        <v>lootName43,DAIL/items/materia/class0013/TerrorKnight43.dbr,</v>
      </c>
      <c r="M45" s="5" t="str">
        <f t="shared" si="5"/>
        <v>lootWeight43,1,</v>
      </c>
      <c r="N45" t="str">
        <f t="shared" si="6"/>
        <v>3</v>
      </c>
      <c r="O45" t="str">
        <f t="shared" si="16"/>
        <v>copy .\dail_base3.dbr .\items\materia\class0013\TerrorKnight43.dbr /y</v>
      </c>
      <c r="P45" t="str">
        <f t="shared" si="7"/>
        <v>echo relicBitmap,items/craftingparts/components/component_a52_bristlyfur_b.tex, &gt;&gt; .\items\materia\class0013\TerrorKnight43.dbr</v>
      </c>
      <c r="Q45" t="str">
        <f t="shared" si="7"/>
        <v>echo itemCost,500000, &gt;&gt; .\items\materia\class0013\TerrorKnight43.dbr</v>
      </c>
      <c r="R45" t="str">
        <f t="shared" si="7"/>
        <v>echo description,dailCompDescTerrorKnight43, &gt;&gt; .\items\materia\class0013\TerrorKnight43.dbr</v>
      </c>
      <c r="S45" t="str">
        <f t="shared" si="7"/>
        <v>echo itemText,dailCompTextTerrorKnight43, &gt;&gt; .\items\materia\class0013\TerrorKnight43.dbr</v>
      </c>
      <c r="T45" t="str">
        <f t="shared" si="7"/>
        <v>echo augmentSkillLevel1,3, &gt;&gt; .\items\materia\class0013\TerrorKnight43.dbr</v>
      </c>
      <c r="U45" t="str">
        <f t="shared" si="7"/>
        <v>echo augmentSkillName1,records/skills/zenithclass01/fearpool1.dbr, &gt;&gt; .\items\materia\class0013\TerrorKnight43.dbr</v>
      </c>
      <c r="V45" s="5" t="s">
        <v>36</v>
      </c>
      <c r="W45" t="str">
        <f t="shared" si="8"/>
        <v>echo lootName43,DAIL/items/materia/class0013/TerrorKnight43.dbr, &gt;&gt; .\items\loottables\dailoneskill0013.dbr</v>
      </c>
      <c r="X45" t="str">
        <f t="shared" si="8"/>
        <v>echo lootWeight43,1, &gt;&gt; .\items\loottables\dailoneskill0013.dbr</v>
      </c>
      <c r="Y45" s="5" t="s">
        <v>36</v>
      </c>
      <c r="Z45" t="str">
        <f t="shared" si="9"/>
        <v xml:space="preserve"> dailCompDescTerrorKnight43=^pTerrorKnight's Gift of DAIL</v>
      </c>
      <c r="AA45" t="str">
        <f t="shared" si="17"/>
        <v>dailCompTextTerrorKnight43=^oThis feels warm to the touch, almost familiar ^w(This component only fits into the Medal Slot)</v>
      </c>
      <c r="AB45" s="5" t="s">
        <v>36</v>
      </c>
      <c r="AH45">
        <f t="shared" si="19"/>
        <v>40</v>
      </c>
      <c r="AI45">
        <f t="shared" si="22"/>
        <v>28</v>
      </c>
      <c r="AJ45">
        <f t="shared" si="18"/>
        <v>3</v>
      </c>
    </row>
    <row r="46" spans="1:36" x14ac:dyDescent="0.25">
      <c r="A46" s="5" t="s">
        <v>39</v>
      </c>
      <c r="B46" s="5" t="s">
        <v>30</v>
      </c>
      <c r="C46" s="5" t="str">
        <f t="shared" si="0"/>
        <v>description,dailCompDescTerrorKnight44,</v>
      </c>
      <c r="D46" s="5" t="str">
        <f t="shared" si="2"/>
        <v>itemText,dailCompTextTerrorKnight44,</v>
      </c>
      <c r="E46" s="5" t="str">
        <f t="shared" si="14"/>
        <v>augmentSkillLevel1,3,</v>
      </c>
      <c r="F46" s="5" t="str">
        <f t="shared" si="15"/>
        <v>augmentSkillName1,records/skills/zenithclass01/fearpool2.dbr,</v>
      </c>
      <c r="G46" s="7">
        <f t="shared" si="10"/>
        <v>44</v>
      </c>
      <c r="H46" s="8" t="str">
        <f t="shared" si="11"/>
        <v>TerrorKnight</v>
      </c>
      <c r="I46" s="3" t="s">
        <v>446</v>
      </c>
      <c r="J46" s="8" t="str">
        <f t="shared" si="21"/>
        <v>class0013</v>
      </c>
      <c r="K46" s="8" t="str">
        <f t="shared" si="21"/>
        <v>dailoneskill0013</v>
      </c>
      <c r="L46" s="5" t="str">
        <f t="shared" si="4"/>
        <v>lootName44,DAIL/items/materia/class0013/TerrorKnight44.dbr,</v>
      </c>
      <c r="M46" s="5" t="str">
        <f t="shared" si="5"/>
        <v>lootWeight44,1,</v>
      </c>
      <c r="N46" t="str">
        <f t="shared" si="6"/>
        <v>3</v>
      </c>
      <c r="O46" t="str">
        <f t="shared" si="16"/>
        <v>copy .\dail_base3.dbr .\items\materia\class0013\TerrorKnight44.dbr /y</v>
      </c>
      <c r="P46" t="str">
        <f t="shared" si="7"/>
        <v>echo relicBitmap,items/craftingparts/components/component_a52_bristlyfur_b.tex, &gt;&gt; .\items\materia\class0013\TerrorKnight44.dbr</v>
      </c>
      <c r="Q46" t="str">
        <f t="shared" si="7"/>
        <v>echo itemCost,500000, &gt;&gt; .\items\materia\class0013\TerrorKnight44.dbr</v>
      </c>
      <c r="R46" t="str">
        <f t="shared" si="7"/>
        <v>echo description,dailCompDescTerrorKnight44, &gt;&gt; .\items\materia\class0013\TerrorKnight44.dbr</v>
      </c>
      <c r="S46" t="str">
        <f t="shared" si="7"/>
        <v>echo itemText,dailCompTextTerrorKnight44, &gt;&gt; .\items\materia\class0013\TerrorKnight44.dbr</v>
      </c>
      <c r="T46" t="str">
        <f t="shared" si="7"/>
        <v>echo augmentSkillLevel1,3, &gt;&gt; .\items\materia\class0013\TerrorKnight44.dbr</v>
      </c>
      <c r="U46" t="str">
        <f t="shared" si="7"/>
        <v>echo augmentSkillName1,records/skills/zenithclass01/fearpool2.dbr, &gt;&gt; .\items\materia\class0013\TerrorKnight44.dbr</v>
      </c>
      <c r="V46" s="5" t="s">
        <v>36</v>
      </c>
      <c r="W46" t="str">
        <f t="shared" si="8"/>
        <v>echo lootName44,DAIL/items/materia/class0013/TerrorKnight44.dbr, &gt;&gt; .\items\loottables\dailoneskill0013.dbr</v>
      </c>
      <c r="X46" t="str">
        <f t="shared" si="8"/>
        <v>echo lootWeight44,1, &gt;&gt; .\items\loottables\dailoneskill0013.dbr</v>
      </c>
      <c r="Y46" s="5" t="s">
        <v>36</v>
      </c>
      <c r="Z46" t="str">
        <f t="shared" si="9"/>
        <v xml:space="preserve"> dailCompDescTerrorKnight44=^pTerrorKnight's Gift of DAIL</v>
      </c>
      <c r="AA46" t="str">
        <f t="shared" si="17"/>
        <v>dailCompTextTerrorKnight44=^oThis feels warm to the touch, almost familiar ^w(This component only fits into the Medal Slot)</v>
      </c>
      <c r="AB46" s="5" t="s">
        <v>36</v>
      </c>
      <c r="AH46">
        <f t="shared" si="19"/>
        <v>41</v>
      </c>
      <c r="AI46">
        <f t="shared" si="22"/>
        <v>28</v>
      </c>
      <c r="AJ46">
        <f t="shared" si="18"/>
        <v>3</v>
      </c>
    </row>
    <row r="47" spans="1:36" x14ac:dyDescent="0.25">
      <c r="A47" s="5" t="s">
        <v>39</v>
      </c>
      <c r="B47" s="5" t="s">
        <v>30</v>
      </c>
      <c r="C47" s="5" t="str">
        <f t="shared" si="0"/>
        <v>description,dailCompDescTerrorKnight45,</v>
      </c>
      <c r="D47" s="5" t="str">
        <f t="shared" si="2"/>
        <v>itemText,dailCompTextTerrorKnight45,</v>
      </c>
      <c r="E47" s="5" t="str">
        <f t="shared" si="14"/>
        <v>augmentSkillLevel1,3,</v>
      </c>
      <c r="F47" s="5" t="str">
        <f t="shared" si="15"/>
        <v>augmentSkillName1,records/skills/zenithclass01/wp2.dbr,</v>
      </c>
      <c r="G47" s="7">
        <f t="shared" si="10"/>
        <v>45</v>
      </c>
      <c r="H47" s="8" t="str">
        <f t="shared" si="11"/>
        <v>TerrorKnight</v>
      </c>
      <c r="I47" s="3" t="s">
        <v>226</v>
      </c>
      <c r="J47" s="8" t="str">
        <f t="shared" si="21"/>
        <v>class0013</v>
      </c>
      <c r="K47" s="8" t="str">
        <f t="shared" si="21"/>
        <v>dailoneskill0013</v>
      </c>
      <c r="L47" s="5" t="str">
        <f t="shared" si="4"/>
        <v>lootName45,DAIL/items/materia/class0013/TerrorKnight45.dbr,</v>
      </c>
      <c r="M47" s="5" t="str">
        <f t="shared" si="5"/>
        <v>lootWeight45,1,</v>
      </c>
      <c r="N47" t="str">
        <f t="shared" si="6"/>
        <v>3</v>
      </c>
      <c r="O47" t="str">
        <f t="shared" si="16"/>
        <v>copy .\dail_base3.dbr .\items\materia\class0013\TerrorKnight45.dbr /y</v>
      </c>
      <c r="P47" t="str">
        <f t="shared" si="7"/>
        <v>echo relicBitmap,items/craftingparts/components/component_a52_bristlyfur_b.tex, &gt;&gt; .\items\materia\class0013\TerrorKnight45.dbr</v>
      </c>
      <c r="Q47" t="str">
        <f t="shared" si="7"/>
        <v>echo itemCost,500000, &gt;&gt; .\items\materia\class0013\TerrorKnight45.dbr</v>
      </c>
      <c r="R47" t="str">
        <f t="shared" si="7"/>
        <v>echo description,dailCompDescTerrorKnight45, &gt;&gt; .\items\materia\class0013\TerrorKnight45.dbr</v>
      </c>
      <c r="S47" t="str">
        <f t="shared" si="7"/>
        <v>echo itemText,dailCompTextTerrorKnight45, &gt;&gt; .\items\materia\class0013\TerrorKnight45.dbr</v>
      </c>
      <c r="T47" t="str">
        <f t="shared" si="7"/>
        <v>echo augmentSkillLevel1,3, &gt;&gt; .\items\materia\class0013\TerrorKnight45.dbr</v>
      </c>
      <c r="U47" t="str">
        <f t="shared" si="7"/>
        <v>echo augmentSkillName1,records/skills/zenithclass01/wp2.dbr, &gt;&gt; .\items\materia\class0013\TerrorKnight45.dbr</v>
      </c>
      <c r="V47" s="5" t="s">
        <v>36</v>
      </c>
      <c r="W47" t="str">
        <f t="shared" si="8"/>
        <v>echo lootName45,DAIL/items/materia/class0013/TerrorKnight45.dbr, &gt;&gt; .\items\loottables\dailoneskill0013.dbr</v>
      </c>
      <c r="X47" t="str">
        <f t="shared" si="8"/>
        <v>echo lootWeight45,1, &gt;&gt; .\items\loottables\dailoneskill0013.dbr</v>
      </c>
      <c r="Y47" s="5" t="s">
        <v>36</v>
      </c>
      <c r="Z47" t="str">
        <f t="shared" si="9"/>
        <v xml:space="preserve"> dailCompDescTerrorKnight45=^pTerrorKnight's Gift of DAIL</v>
      </c>
      <c r="AA47" t="str">
        <f t="shared" si="17"/>
        <v>dailCompTextTerrorKnight45=^oThis feels warm to the touch, almost familiar ^w(This component only fits into the Medal Slot)</v>
      </c>
      <c r="AB47" s="5" t="s">
        <v>36</v>
      </c>
      <c r="AH47">
        <f t="shared" si="19"/>
        <v>42</v>
      </c>
      <c r="AI47">
        <f t="shared" si="22"/>
        <v>22</v>
      </c>
      <c r="AJ47">
        <f t="shared" si="18"/>
        <v>3</v>
      </c>
    </row>
    <row r="48" spans="1:36" x14ac:dyDescent="0.25">
      <c r="A48" s="5" t="s">
        <v>39</v>
      </c>
      <c r="B48" s="5" t="s">
        <v>30</v>
      </c>
      <c r="C48" s="5" t="str">
        <f t="shared" si="0"/>
        <v>description,dailCompDescTerrorKnight46,</v>
      </c>
      <c r="D48" s="5" t="str">
        <f t="shared" si="2"/>
        <v>itemText,dailCompTextTerrorKnight46,</v>
      </c>
      <c r="E48" s="5" t="str">
        <f t="shared" si="14"/>
        <v>augmentSkillLevel1,3,</v>
      </c>
      <c r="F48" s="5" t="str">
        <f t="shared" si="15"/>
        <v>augmentSkillName1,records/skills/zenithclass01/madsoldier.dbr,</v>
      </c>
      <c r="G48" s="7">
        <f t="shared" si="10"/>
        <v>46</v>
      </c>
      <c r="H48" s="8" t="str">
        <f t="shared" si="11"/>
        <v>TerrorKnight</v>
      </c>
      <c r="I48" s="3" t="s">
        <v>221</v>
      </c>
      <c r="J48" s="8" t="str">
        <f t="shared" si="21"/>
        <v>class0013</v>
      </c>
      <c r="K48" s="8" t="str">
        <f t="shared" si="21"/>
        <v>dailoneskill0013</v>
      </c>
      <c r="L48" s="5" t="str">
        <f t="shared" si="4"/>
        <v>lootName46,DAIL/items/materia/class0013/TerrorKnight46.dbr,</v>
      </c>
      <c r="M48" s="5" t="str">
        <f t="shared" si="5"/>
        <v>lootWeight46,1,</v>
      </c>
      <c r="N48" t="str">
        <f t="shared" si="6"/>
        <v>3</v>
      </c>
      <c r="O48" t="str">
        <f t="shared" si="16"/>
        <v>copy .\dail_base3.dbr .\items\materia\class0013\TerrorKnight46.dbr /y</v>
      </c>
      <c r="P48" t="str">
        <f t="shared" si="7"/>
        <v>echo relicBitmap,items/craftingparts/components/component_a52_bristlyfur_b.tex, &gt;&gt; .\items\materia\class0013\TerrorKnight46.dbr</v>
      </c>
      <c r="Q48" t="str">
        <f t="shared" si="7"/>
        <v>echo itemCost,500000, &gt;&gt; .\items\materia\class0013\TerrorKnight46.dbr</v>
      </c>
      <c r="R48" t="str">
        <f t="shared" si="7"/>
        <v>echo description,dailCompDescTerrorKnight46, &gt;&gt; .\items\materia\class0013\TerrorKnight46.dbr</v>
      </c>
      <c r="S48" t="str">
        <f t="shared" si="7"/>
        <v>echo itemText,dailCompTextTerrorKnight46, &gt;&gt; .\items\materia\class0013\TerrorKnight46.dbr</v>
      </c>
      <c r="T48" t="str">
        <f t="shared" si="7"/>
        <v>echo augmentSkillLevel1,3, &gt;&gt; .\items\materia\class0013\TerrorKnight46.dbr</v>
      </c>
      <c r="U48" t="str">
        <f t="shared" si="7"/>
        <v>echo augmentSkillName1,records/skills/zenithclass01/madsoldier.dbr, &gt;&gt; .\items\materia\class0013\TerrorKnight46.dbr</v>
      </c>
      <c r="V48" s="5" t="s">
        <v>36</v>
      </c>
      <c r="W48" t="str">
        <f t="shared" si="8"/>
        <v>echo lootName46,DAIL/items/materia/class0013/TerrorKnight46.dbr, &gt;&gt; .\items\loottables\dailoneskill0013.dbr</v>
      </c>
      <c r="X48" t="str">
        <f t="shared" si="8"/>
        <v>echo lootWeight46,1, &gt;&gt; .\items\loottables\dailoneskill0013.dbr</v>
      </c>
      <c r="Y48" s="5" t="s">
        <v>36</v>
      </c>
      <c r="Z48" t="str">
        <f t="shared" si="9"/>
        <v xml:space="preserve"> dailCompDescTerrorKnight46=^pTerrorKnight's Gift of DAIL</v>
      </c>
      <c r="AA48" t="str">
        <f t="shared" si="17"/>
        <v>dailCompTextTerrorKnight46=^oThis feels warm to the touch, almost familiar ^w(This component only fits into the Medal Slot)</v>
      </c>
      <c r="AB48" s="5" t="s">
        <v>36</v>
      </c>
      <c r="AH48">
        <f t="shared" si="19"/>
        <v>43</v>
      </c>
      <c r="AI48">
        <f t="shared" si="22"/>
        <v>29</v>
      </c>
      <c r="AJ48">
        <f t="shared" si="18"/>
        <v>3</v>
      </c>
    </row>
    <row r="49" spans="1:36" x14ac:dyDescent="0.25">
      <c r="A49" s="5" t="s">
        <v>39</v>
      </c>
      <c r="B49" s="5" t="s">
        <v>30</v>
      </c>
      <c r="C49" s="5" t="str">
        <f t="shared" si="0"/>
        <v>description,dailCompDescTerrorKnight47,</v>
      </c>
      <c r="D49" s="5" t="str">
        <f t="shared" si="2"/>
        <v>itemText,dailCompTextTerrorKnight47,</v>
      </c>
      <c r="E49" s="5" t="str">
        <f t="shared" si="14"/>
        <v>augmentSkillLevel1,3,</v>
      </c>
      <c r="F49" s="5" t="str">
        <f t="shared" si="15"/>
        <v>augmentSkillName1,records/skills/zenithclass01/wp3.dbr,</v>
      </c>
      <c r="G49" s="7">
        <f t="shared" si="10"/>
        <v>47</v>
      </c>
      <c r="H49" s="8" t="str">
        <f t="shared" si="11"/>
        <v>TerrorKnight</v>
      </c>
      <c r="I49" s="3" t="s">
        <v>227</v>
      </c>
      <c r="J49" s="8" t="str">
        <f t="shared" si="21"/>
        <v>class0013</v>
      </c>
      <c r="K49" s="8" t="str">
        <f t="shared" si="21"/>
        <v>dailoneskill0013</v>
      </c>
      <c r="L49" s="5" t="str">
        <f t="shared" si="4"/>
        <v>lootName47,DAIL/items/materia/class0013/TerrorKnight47.dbr,</v>
      </c>
      <c r="M49" s="5" t="str">
        <f t="shared" si="5"/>
        <v>lootWeight47,1,</v>
      </c>
      <c r="N49" t="str">
        <f t="shared" si="6"/>
        <v>3</v>
      </c>
      <c r="O49" t="str">
        <f t="shared" si="16"/>
        <v>copy .\dail_base3.dbr .\items\materia\class0013\TerrorKnight47.dbr /y</v>
      </c>
      <c r="P49" t="str">
        <f t="shared" si="7"/>
        <v>echo relicBitmap,items/craftingparts/components/component_a52_bristlyfur_b.tex, &gt;&gt; .\items\materia\class0013\TerrorKnight47.dbr</v>
      </c>
      <c r="Q49" t="str">
        <f t="shared" si="7"/>
        <v>echo itemCost,500000, &gt;&gt; .\items\materia\class0013\TerrorKnight47.dbr</v>
      </c>
      <c r="R49" t="str">
        <f t="shared" si="7"/>
        <v>echo description,dailCompDescTerrorKnight47, &gt;&gt; .\items\materia\class0013\TerrorKnight47.dbr</v>
      </c>
      <c r="S49" t="str">
        <f t="shared" si="7"/>
        <v>echo itemText,dailCompTextTerrorKnight47, &gt;&gt; .\items\materia\class0013\TerrorKnight47.dbr</v>
      </c>
      <c r="T49" t="str">
        <f t="shared" si="7"/>
        <v>echo augmentSkillLevel1,3, &gt;&gt; .\items\materia\class0013\TerrorKnight47.dbr</v>
      </c>
      <c r="U49" t="str">
        <f t="shared" si="7"/>
        <v>echo augmentSkillName1,records/skills/zenithclass01/wp3.dbr, &gt;&gt; .\items\materia\class0013\TerrorKnight47.dbr</v>
      </c>
      <c r="V49" s="5" t="s">
        <v>36</v>
      </c>
      <c r="W49" t="str">
        <f t="shared" si="8"/>
        <v>echo lootName47,DAIL/items/materia/class0013/TerrorKnight47.dbr, &gt;&gt; .\items\loottables\dailoneskill0013.dbr</v>
      </c>
      <c r="X49" t="str">
        <f t="shared" si="8"/>
        <v>echo lootWeight47,1, &gt;&gt; .\items\loottables\dailoneskill0013.dbr</v>
      </c>
      <c r="Y49" s="5" t="s">
        <v>36</v>
      </c>
      <c r="Z49" t="str">
        <f t="shared" si="9"/>
        <v xml:space="preserve"> dailCompDescTerrorKnight47=^pTerrorKnight's Gift of DAIL</v>
      </c>
      <c r="AA49" t="str">
        <f t="shared" si="17"/>
        <v>dailCompTextTerrorKnight47=^oThis feels warm to the touch, almost familiar ^w(This component only fits into the Medal Slot)</v>
      </c>
      <c r="AB49" s="5" t="s">
        <v>36</v>
      </c>
      <c r="AH49">
        <f t="shared" si="19"/>
        <v>44</v>
      </c>
      <c r="AI49">
        <f t="shared" si="22"/>
        <v>22</v>
      </c>
      <c r="AJ49">
        <f t="shared" si="18"/>
        <v>3</v>
      </c>
    </row>
    <row r="50" spans="1:36" x14ac:dyDescent="0.25">
      <c r="A50" s="5" t="s">
        <v>39</v>
      </c>
      <c r="B50" s="5" t="s">
        <v>30</v>
      </c>
      <c r="C50" s="5" t="str">
        <f t="shared" si="0"/>
        <v>description,dailCompDescTerrorKnight48,</v>
      </c>
      <c r="D50" s="5" t="str">
        <f t="shared" si="2"/>
        <v>itemText,dailCompTextTerrorKnight48,</v>
      </c>
      <c r="E50" s="5" t="str">
        <f t="shared" si="14"/>
        <v>augmentSkillLevel1,3,</v>
      </c>
      <c r="F50" s="5" t="str">
        <f t="shared" si="15"/>
        <v>augmentSkillName1,records/skills/zenithclass01/evocation.dbr,</v>
      </c>
      <c r="G50" s="7">
        <f t="shared" si="10"/>
        <v>48</v>
      </c>
      <c r="H50" s="8" t="str">
        <f t="shared" si="11"/>
        <v>TerrorKnight</v>
      </c>
      <c r="I50" s="3" t="s">
        <v>216</v>
      </c>
      <c r="J50" s="8" t="str">
        <f t="shared" si="21"/>
        <v>class0013</v>
      </c>
      <c r="K50" s="8" t="str">
        <f t="shared" si="21"/>
        <v>dailoneskill0013</v>
      </c>
      <c r="L50" s="5" t="str">
        <f t="shared" si="4"/>
        <v>lootName48,DAIL/items/materia/class0013/TerrorKnight48.dbr,</v>
      </c>
      <c r="M50" s="5" t="str">
        <f t="shared" si="5"/>
        <v>lootWeight48,1,</v>
      </c>
      <c r="N50" t="str">
        <f t="shared" si="6"/>
        <v>3</v>
      </c>
      <c r="O50" t="str">
        <f t="shared" si="16"/>
        <v>copy .\dail_base3.dbr .\items\materia\class0013\TerrorKnight48.dbr /y</v>
      </c>
      <c r="P50" t="str">
        <f t="shared" si="7"/>
        <v>echo relicBitmap,items/craftingparts/components/component_a52_bristlyfur_b.tex, &gt;&gt; .\items\materia\class0013\TerrorKnight48.dbr</v>
      </c>
      <c r="Q50" t="str">
        <f t="shared" si="7"/>
        <v>echo itemCost,500000, &gt;&gt; .\items\materia\class0013\TerrorKnight48.dbr</v>
      </c>
      <c r="R50" t="str">
        <f t="shared" si="7"/>
        <v>echo description,dailCompDescTerrorKnight48, &gt;&gt; .\items\materia\class0013\TerrorKnight48.dbr</v>
      </c>
      <c r="S50" t="str">
        <f t="shared" si="7"/>
        <v>echo itemText,dailCompTextTerrorKnight48, &gt;&gt; .\items\materia\class0013\TerrorKnight48.dbr</v>
      </c>
      <c r="T50" t="str">
        <f t="shared" si="7"/>
        <v>echo augmentSkillLevel1,3, &gt;&gt; .\items\materia\class0013\TerrorKnight48.dbr</v>
      </c>
      <c r="U50" t="str">
        <f t="shared" si="7"/>
        <v>echo augmentSkillName1,records/skills/zenithclass01/evocation.dbr, &gt;&gt; .\items\materia\class0013\TerrorKnight48.dbr</v>
      </c>
      <c r="V50" s="5" t="s">
        <v>36</v>
      </c>
      <c r="W50" t="str">
        <f t="shared" si="8"/>
        <v>echo lootName48,DAIL/items/materia/class0013/TerrorKnight48.dbr, &gt;&gt; .\items\loottables\dailoneskill0013.dbr</v>
      </c>
      <c r="X50" t="str">
        <f t="shared" si="8"/>
        <v>echo lootWeight48,1, &gt;&gt; .\items\loottables\dailoneskill0013.dbr</v>
      </c>
      <c r="Y50" s="5" t="s">
        <v>36</v>
      </c>
      <c r="Z50" t="str">
        <f t="shared" si="9"/>
        <v xml:space="preserve"> dailCompDescTerrorKnight48=^pTerrorKnight's Gift of DAIL</v>
      </c>
      <c r="AA50" t="str">
        <f t="shared" si="17"/>
        <v>dailCompTextTerrorKnight48=^oThis feels warm to the touch, almost familiar ^w(This component only fits into the Medal Slot)</v>
      </c>
      <c r="AB50" s="5" t="s">
        <v>36</v>
      </c>
      <c r="AH50">
        <f t="shared" si="19"/>
        <v>45</v>
      </c>
      <c r="AI50">
        <f t="shared" si="22"/>
        <v>28</v>
      </c>
      <c r="AJ50">
        <f t="shared" si="18"/>
        <v>3</v>
      </c>
    </row>
    <row r="51" spans="1:36" x14ac:dyDescent="0.25">
      <c r="A51" s="5" t="s">
        <v>39</v>
      </c>
      <c r="B51" s="5" t="s">
        <v>30</v>
      </c>
      <c r="C51" s="5" t="str">
        <f t="shared" si="0"/>
        <v>description,dailCompDescTerrorKnight49,</v>
      </c>
      <c r="D51" s="5" t="str">
        <f t="shared" si="2"/>
        <v>itemText,dailCompTextTerrorKnight49,</v>
      </c>
      <c r="E51" s="5" t="str">
        <f t="shared" si="14"/>
        <v>augmentSkillLevel1,5,</v>
      </c>
      <c r="F51" s="5" t="str">
        <f t="shared" si="15"/>
        <v>augmentSkillName1,records/skills/zenithclass01/mania_buff.dbr,</v>
      </c>
      <c r="G51" s="7">
        <f t="shared" si="10"/>
        <v>49</v>
      </c>
      <c r="H51" s="8" t="str">
        <f t="shared" si="11"/>
        <v>TerrorKnight</v>
      </c>
      <c r="I51" s="3" t="s">
        <v>222</v>
      </c>
      <c r="J51" s="8" t="str">
        <f t="shared" si="21"/>
        <v>class0013</v>
      </c>
      <c r="K51" s="8" t="str">
        <f t="shared" si="21"/>
        <v>dailoneskill0013</v>
      </c>
      <c r="L51" s="5" t="str">
        <f t="shared" si="4"/>
        <v>lootName49,DAIL/items/materia/class0013/TerrorKnight49.dbr,</v>
      </c>
      <c r="M51" s="5" t="str">
        <f t="shared" si="5"/>
        <v>lootWeight49,1,</v>
      </c>
      <c r="N51" t="str">
        <f t="shared" si="6"/>
        <v>5</v>
      </c>
      <c r="O51" t="str">
        <f t="shared" si="16"/>
        <v>copy .\dail_base3.dbr .\items\materia\class0013\TerrorKnight49.dbr /y</v>
      </c>
      <c r="P51" t="str">
        <f t="shared" si="7"/>
        <v>echo relicBitmap,items/craftingparts/components/component_a52_bristlyfur_b.tex, &gt;&gt; .\items\materia\class0013\TerrorKnight49.dbr</v>
      </c>
      <c r="Q51" t="str">
        <f t="shared" si="7"/>
        <v>echo itemCost,500000, &gt;&gt; .\items\materia\class0013\TerrorKnight49.dbr</v>
      </c>
      <c r="R51" t="str">
        <f t="shared" si="7"/>
        <v>echo description,dailCompDescTerrorKnight49, &gt;&gt; .\items\materia\class0013\TerrorKnight49.dbr</v>
      </c>
      <c r="S51" t="str">
        <f t="shared" si="7"/>
        <v>echo itemText,dailCompTextTerrorKnight49, &gt;&gt; .\items\materia\class0013\TerrorKnight49.dbr</v>
      </c>
      <c r="T51" t="str">
        <f t="shared" si="7"/>
        <v>echo augmentSkillLevel1,5, &gt;&gt; .\items\materia\class0013\TerrorKnight49.dbr</v>
      </c>
      <c r="U51" t="str">
        <f t="shared" si="7"/>
        <v>echo augmentSkillName1,records/skills/zenithclass01/mania_buff.dbr, &gt;&gt; .\items\materia\class0013\TerrorKnight49.dbr</v>
      </c>
      <c r="V51" s="5" t="s">
        <v>36</v>
      </c>
      <c r="W51" t="str">
        <f t="shared" si="8"/>
        <v>echo lootName49,DAIL/items/materia/class0013/TerrorKnight49.dbr, &gt;&gt; .\items\loottables\dailoneskill0013.dbr</v>
      </c>
      <c r="X51" t="str">
        <f t="shared" si="8"/>
        <v>echo lootWeight49,1, &gt;&gt; .\items\loottables\dailoneskill0013.dbr</v>
      </c>
      <c r="Y51" s="5" t="s">
        <v>36</v>
      </c>
      <c r="Z51" t="str">
        <f t="shared" si="9"/>
        <v xml:space="preserve"> dailCompDescTerrorKnight49=^pTerrorKnight's Gift of DAIL</v>
      </c>
      <c r="AA51" t="str">
        <f t="shared" si="17"/>
        <v>dailCompTextTerrorKnight49=^oThis feels warm to the touch, almost familiar ^w(This component only fits into the Medal Slot)</v>
      </c>
      <c r="AB51" s="5" t="s">
        <v>36</v>
      </c>
      <c r="AH51">
        <f t="shared" si="19"/>
        <v>46</v>
      </c>
      <c r="AI51">
        <f t="shared" si="22"/>
        <v>29</v>
      </c>
      <c r="AJ51">
        <f t="shared" si="18"/>
        <v>5</v>
      </c>
    </row>
    <row r="52" spans="1:36" x14ac:dyDescent="0.25">
      <c r="A52" s="5" t="s">
        <v>39</v>
      </c>
      <c r="B52" s="5" t="s">
        <v>30</v>
      </c>
      <c r="C52" s="5" t="str">
        <f t="shared" si="0"/>
        <v>description,dailCompDescTerrorKnight50,</v>
      </c>
      <c r="D52" s="5" t="str">
        <f t="shared" si="2"/>
        <v>itemText,dailCompTextTerrorKnight50,</v>
      </c>
      <c r="E52" s="5" t="str">
        <f t="shared" si="14"/>
        <v>augmentSkillLevel1,5,</v>
      </c>
      <c r="F52" s="5" t="str">
        <f t="shared" si="15"/>
        <v>augmentSkillName1,records/skills/zenithclass01/banish1.dbr,</v>
      </c>
      <c r="G52" s="7">
        <f t="shared" si="10"/>
        <v>50</v>
      </c>
      <c r="H52" s="8" t="str">
        <f t="shared" si="11"/>
        <v>TerrorKnight</v>
      </c>
      <c r="I52" s="3" t="s">
        <v>212</v>
      </c>
      <c r="J52" s="8" t="str">
        <f t="shared" si="21"/>
        <v>class0013</v>
      </c>
      <c r="K52" s="8" t="str">
        <f t="shared" si="21"/>
        <v>dailoneskill0013</v>
      </c>
      <c r="L52" s="5" t="str">
        <f t="shared" si="4"/>
        <v>lootName50,DAIL/items/materia/class0013/TerrorKnight50.dbr,</v>
      </c>
      <c r="M52" s="5" t="str">
        <f t="shared" si="5"/>
        <v>lootWeight50,1,</v>
      </c>
      <c r="N52" t="str">
        <f t="shared" si="6"/>
        <v>5</v>
      </c>
      <c r="O52" t="str">
        <f t="shared" si="16"/>
        <v>copy .\dail_base3.dbr .\items\materia\class0013\TerrorKnight50.dbr /y</v>
      </c>
      <c r="P52" t="str">
        <f t="shared" si="7"/>
        <v>echo relicBitmap,items/craftingparts/components/component_a52_bristlyfur_b.tex, &gt;&gt; .\items\materia\class0013\TerrorKnight50.dbr</v>
      </c>
      <c r="Q52" t="str">
        <f t="shared" si="7"/>
        <v>echo itemCost,500000, &gt;&gt; .\items\materia\class0013\TerrorKnight50.dbr</v>
      </c>
      <c r="R52" t="str">
        <f t="shared" si="7"/>
        <v>echo description,dailCompDescTerrorKnight50, &gt;&gt; .\items\materia\class0013\TerrorKnight50.dbr</v>
      </c>
      <c r="S52" t="str">
        <f t="shared" si="7"/>
        <v>echo itemText,dailCompTextTerrorKnight50, &gt;&gt; .\items\materia\class0013\TerrorKnight50.dbr</v>
      </c>
      <c r="T52" t="str">
        <f t="shared" si="7"/>
        <v>echo augmentSkillLevel1,5, &gt;&gt; .\items\materia\class0013\TerrorKnight50.dbr</v>
      </c>
      <c r="U52" t="str">
        <f t="shared" si="7"/>
        <v>echo augmentSkillName1,records/skills/zenithclass01/banish1.dbr, &gt;&gt; .\items\materia\class0013\TerrorKnight50.dbr</v>
      </c>
      <c r="V52" s="5" t="s">
        <v>36</v>
      </c>
      <c r="W52" t="str">
        <f t="shared" si="8"/>
        <v>echo lootName50,DAIL/items/materia/class0013/TerrorKnight50.dbr, &gt;&gt; .\items\loottables\dailoneskill0013.dbr</v>
      </c>
      <c r="X52" t="str">
        <f t="shared" si="8"/>
        <v>echo lootWeight50,1, &gt;&gt; .\items\loottables\dailoneskill0013.dbr</v>
      </c>
      <c r="Y52" s="5" t="s">
        <v>36</v>
      </c>
      <c r="Z52" t="str">
        <f t="shared" si="9"/>
        <v xml:space="preserve"> dailCompDescTerrorKnight50=^pTerrorKnight's Gift of DAIL</v>
      </c>
      <c r="AA52" t="str">
        <f t="shared" si="17"/>
        <v>dailCompTextTerrorKnight50=^oThis feels warm to the touch, almost familiar ^w(This component only fits into the Medal Slot)</v>
      </c>
      <c r="AB52" s="5" t="s">
        <v>36</v>
      </c>
      <c r="AH52">
        <f t="shared" si="19"/>
        <v>47</v>
      </c>
      <c r="AI52">
        <f t="shared" si="22"/>
        <v>26</v>
      </c>
      <c r="AJ52">
        <f t="shared" si="18"/>
        <v>5</v>
      </c>
    </row>
    <row r="53" spans="1:36" x14ac:dyDescent="0.25">
      <c r="A53" s="5" t="s">
        <v>39</v>
      </c>
      <c r="B53" s="5" t="s">
        <v>30</v>
      </c>
      <c r="C53" s="5" t="str">
        <f t="shared" si="0"/>
        <v>description,dailCompDescTerrorKnight51,</v>
      </c>
      <c r="D53" s="5" t="str">
        <f t="shared" si="2"/>
        <v>itemText,dailCompTextTerrorKnight51,</v>
      </c>
      <c r="E53" s="5" t="str">
        <f t="shared" si="14"/>
        <v>augmentSkillLevel1,5,</v>
      </c>
      <c r="F53" s="5" t="str">
        <f t="shared" si="15"/>
        <v>augmentSkillName1,records/skills/zenithclass01/banish2.dbr,</v>
      </c>
      <c r="G53" s="7">
        <f t="shared" si="10"/>
        <v>51</v>
      </c>
      <c r="H53" s="8" t="str">
        <f t="shared" si="11"/>
        <v>TerrorKnight</v>
      </c>
      <c r="I53" s="3" t="s">
        <v>440</v>
      </c>
      <c r="J53" s="8" t="str">
        <f t="shared" ref="J53:K68" si="23">J52</f>
        <v>class0013</v>
      </c>
      <c r="K53" s="8" t="str">
        <f t="shared" si="23"/>
        <v>dailoneskill0013</v>
      </c>
      <c r="L53" s="5" t="str">
        <f t="shared" si="4"/>
        <v>lootName51,DAIL/items/materia/class0013/TerrorKnight51.dbr,</v>
      </c>
      <c r="M53" s="5" t="str">
        <f t="shared" si="5"/>
        <v>lootWeight51,1,</v>
      </c>
      <c r="N53" t="str">
        <f t="shared" si="6"/>
        <v>5</v>
      </c>
      <c r="O53" t="str">
        <f t="shared" si="16"/>
        <v>copy .\dail_base3.dbr .\items\materia\class0013\TerrorKnight51.dbr /y</v>
      </c>
      <c r="P53" t="str">
        <f t="shared" si="7"/>
        <v>echo relicBitmap,items/craftingparts/components/component_a52_bristlyfur_b.tex, &gt;&gt; .\items\materia\class0013\TerrorKnight51.dbr</v>
      </c>
      <c r="Q53" t="str">
        <f t="shared" si="7"/>
        <v>echo itemCost,500000, &gt;&gt; .\items\materia\class0013\TerrorKnight51.dbr</v>
      </c>
      <c r="R53" t="str">
        <f t="shared" si="7"/>
        <v>echo description,dailCompDescTerrorKnight51, &gt;&gt; .\items\materia\class0013\TerrorKnight51.dbr</v>
      </c>
      <c r="S53" t="str">
        <f t="shared" si="7"/>
        <v>echo itemText,dailCompTextTerrorKnight51, &gt;&gt; .\items\materia\class0013\TerrorKnight51.dbr</v>
      </c>
      <c r="T53" t="str">
        <f t="shared" si="7"/>
        <v>echo augmentSkillLevel1,5, &gt;&gt; .\items\materia\class0013\TerrorKnight51.dbr</v>
      </c>
      <c r="U53" t="str">
        <f t="shared" si="7"/>
        <v>echo augmentSkillName1,records/skills/zenithclass01/banish2.dbr, &gt;&gt; .\items\materia\class0013\TerrorKnight51.dbr</v>
      </c>
      <c r="V53" s="5" t="s">
        <v>36</v>
      </c>
      <c r="W53" t="str">
        <f t="shared" si="8"/>
        <v>echo lootName51,DAIL/items/materia/class0013/TerrorKnight51.dbr, &gt;&gt; .\items\loottables\dailoneskill0013.dbr</v>
      </c>
      <c r="X53" t="str">
        <f t="shared" si="8"/>
        <v>echo lootWeight51,1, &gt;&gt; .\items\loottables\dailoneskill0013.dbr</v>
      </c>
      <c r="Y53" s="5" t="s">
        <v>36</v>
      </c>
      <c r="Z53" t="str">
        <f t="shared" si="9"/>
        <v xml:space="preserve"> dailCompDescTerrorKnight51=^pTerrorKnight's Gift of DAIL</v>
      </c>
      <c r="AA53" t="str">
        <f t="shared" si="17"/>
        <v>dailCompTextTerrorKnight51=^oThis feels warm to the touch, almost familiar ^w(This component only fits into the Medal Slot)</v>
      </c>
      <c r="AB53" s="5" t="s">
        <v>36</v>
      </c>
      <c r="AH53">
        <f t="shared" si="19"/>
        <v>48</v>
      </c>
      <c r="AI53">
        <f t="shared" si="22"/>
        <v>26</v>
      </c>
      <c r="AJ53">
        <f t="shared" si="18"/>
        <v>5</v>
      </c>
    </row>
    <row r="54" spans="1:36" x14ac:dyDescent="0.25">
      <c r="A54" s="5" t="s">
        <v>39</v>
      </c>
      <c r="B54" s="5" t="s">
        <v>30</v>
      </c>
      <c r="C54" s="5" t="str">
        <f t="shared" si="0"/>
        <v>description,dailCompDescTerrorKnight52,</v>
      </c>
      <c r="D54" s="5" t="str">
        <f t="shared" si="2"/>
        <v>itemText,dailCompTextTerrorKnight52,</v>
      </c>
      <c r="E54" s="5" t="str">
        <f t="shared" si="14"/>
        <v>augmentSkillLevel1,5,</v>
      </c>
      <c r="F54" s="5" t="str">
        <f t="shared" si="15"/>
        <v>augmentSkillName1,records/skills/zenithclass01/banish3.dbr,</v>
      </c>
      <c r="G54" s="7">
        <f t="shared" si="10"/>
        <v>52</v>
      </c>
      <c r="H54" s="8" t="str">
        <f t="shared" si="11"/>
        <v>TerrorKnight</v>
      </c>
      <c r="I54" s="3" t="s">
        <v>441</v>
      </c>
      <c r="J54" s="8" t="str">
        <f t="shared" si="23"/>
        <v>class0013</v>
      </c>
      <c r="K54" s="8" t="str">
        <f t="shared" si="23"/>
        <v>dailoneskill0013</v>
      </c>
      <c r="L54" s="5" t="str">
        <f t="shared" si="4"/>
        <v>lootName52,DAIL/items/materia/class0013/TerrorKnight52.dbr,</v>
      </c>
      <c r="M54" s="5" t="str">
        <f t="shared" si="5"/>
        <v>lootWeight52,1,</v>
      </c>
      <c r="N54" t="str">
        <f t="shared" si="6"/>
        <v>5</v>
      </c>
      <c r="O54" t="str">
        <f t="shared" si="16"/>
        <v>copy .\dail_base3.dbr .\items\materia\class0013\TerrorKnight52.dbr /y</v>
      </c>
      <c r="P54" t="str">
        <f t="shared" si="7"/>
        <v>echo relicBitmap,items/craftingparts/components/component_a52_bristlyfur_b.tex, &gt;&gt; .\items\materia\class0013\TerrorKnight52.dbr</v>
      </c>
      <c r="Q54" t="str">
        <f t="shared" si="7"/>
        <v>echo itemCost,500000, &gt;&gt; .\items\materia\class0013\TerrorKnight52.dbr</v>
      </c>
      <c r="R54" t="str">
        <f t="shared" si="7"/>
        <v>echo description,dailCompDescTerrorKnight52, &gt;&gt; .\items\materia\class0013\TerrorKnight52.dbr</v>
      </c>
      <c r="S54" t="str">
        <f t="shared" si="7"/>
        <v>echo itemText,dailCompTextTerrorKnight52, &gt;&gt; .\items\materia\class0013\TerrorKnight52.dbr</v>
      </c>
      <c r="T54" t="str">
        <f t="shared" si="7"/>
        <v>echo augmentSkillLevel1,5, &gt;&gt; .\items\materia\class0013\TerrorKnight52.dbr</v>
      </c>
      <c r="U54" t="str">
        <f t="shared" si="7"/>
        <v>echo augmentSkillName1,records/skills/zenithclass01/banish3.dbr, &gt;&gt; .\items\materia\class0013\TerrorKnight52.dbr</v>
      </c>
      <c r="V54" s="5" t="s">
        <v>36</v>
      </c>
      <c r="W54" t="str">
        <f t="shared" si="8"/>
        <v>echo lootName52,DAIL/items/materia/class0013/TerrorKnight52.dbr, &gt;&gt; .\items\loottables\dailoneskill0013.dbr</v>
      </c>
      <c r="X54" t="str">
        <f t="shared" si="8"/>
        <v>echo lootWeight52,1, &gt;&gt; .\items\loottables\dailoneskill0013.dbr</v>
      </c>
      <c r="Y54" s="5" t="s">
        <v>36</v>
      </c>
      <c r="Z54" t="str">
        <f t="shared" si="9"/>
        <v xml:space="preserve"> dailCompDescTerrorKnight52=^pTerrorKnight's Gift of DAIL</v>
      </c>
      <c r="AA54" t="str">
        <f t="shared" si="17"/>
        <v>dailCompTextTerrorKnight52=^oThis feels warm to the touch, almost familiar ^w(This component only fits into the Medal Slot)</v>
      </c>
      <c r="AB54" s="5" t="s">
        <v>36</v>
      </c>
      <c r="AH54">
        <f t="shared" si="19"/>
        <v>49</v>
      </c>
      <c r="AI54">
        <f t="shared" si="22"/>
        <v>26</v>
      </c>
      <c r="AJ54">
        <f t="shared" si="18"/>
        <v>5</v>
      </c>
    </row>
    <row r="55" spans="1:36" x14ac:dyDescent="0.25">
      <c r="A55" s="5" t="s">
        <v>39</v>
      </c>
      <c r="B55" s="5" t="s">
        <v>30</v>
      </c>
      <c r="C55" s="5" t="str">
        <f t="shared" si="0"/>
        <v>description,dailCompDescTerrorKnight53,</v>
      </c>
      <c r="D55" s="5" t="str">
        <f t="shared" si="2"/>
        <v>itemText,dailCompTextTerrorKnight53,</v>
      </c>
      <c r="E55" s="5" t="str">
        <f t="shared" si="14"/>
        <v>augmentSkillLevel1,5,</v>
      </c>
      <c r="F55" s="5" t="str">
        <f t="shared" si="15"/>
        <v>augmentSkillName1,records/skills/zenithclass01/suitup.dbr,</v>
      </c>
      <c r="G55" s="7">
        <f t="shared" si="10"/>
        <v>53</v>
      </c>
      <c r="H55" s="8" t="str">
        <f t="shared" si="11"/>
        <v>TerrorKnight</v>
      </c>
      <c r="I55" s="3" t="s">
        <v>223</v>
      </c>
      <c r="J55" s="8" t="str">
        <f t="shared" si="23"/>
        <v>class0013</v>
      </c>
      <c r="K55" s="8" t="str">
        <f t="shared" si="23"/>
        <v>dailoneskill0013</v>
      </c>
      <c r="L55" s="5" t="str">
        <f t="shared" si="4"/>
        <v>lootName53,DAIL/items/materia/class0013/TerrorKnight53.dbr,</v>
      </c>
      <c r="M55" s="5" t="str">
        <f t="shared" si="5"/>
        <v>lootWeight53,1,</v>
      </c>
      <c r="N55" t="str">
        <f t="shared" si="6"/>
        <v>5</v>
      </c>
      <c r="O55" t="str">
        <f t="shared" si="16"/>
        <v>copy .\dail_base3.dbr .\items\materia\class0013\TerrorKnight53.dbr /y</v>
      </c>
      <c r="P55" t="str">
        <f t="shared" si="7"/>
        <v>echo relicBitmap,items/craftingparts/components/component_a52_bristlyfur_b.tex, &gt;&gt; .\items\materia\class0013\TerrorKnight53.dbr</v>
      </c>
      <c r="Q55" t="str">
        <f t="shared" si="7"/>
        <v>echo itemCost,500000, &gt;&gt; .\items\materia\class0013\TerrorKnight53.dbr</v>
      </c>
      <c r="R55" t="str">
        <f t="shared" si="7"/>
        <v>echo description,dailCompDescTerrorKnight53, &gt;&gt; .\items\materia\class0013\TerrorKnight53.dbr</v>
      </c>
      <c r="S55" t="str">
        <f t="shared" si="7"/>
        <v>echo itemText,dailCompTextTerrorKnight53, &gt;&gt; .\items\materia\class0013\TerrorKnight53.dbr</v>
      </c>
      <c r="T55" t="str">
        <f t="shared" si="7"/>
        <v>echo augmentSkillLevel1,5, &gt;&gt; .\items\materia\class0013\TerrorKnight53.dbr</v>
      </c>
      <c r="U55" t="str">
        <f t="shared" si="7"/>
        <v>echo augmentSkillName1,records/skills/zenithclass01/suitup.dbr, &gt;&gt; .\items\materia\class0013\TerrorKnight53.dbr</v>
      </c>
      <c r="V55" s="5" t="s">
        <v>36</v>
      </c>
      <c r="W55" t="str">
        <f t="shared" si="8"/>
        <v>echo lootName53,DAIL/items/materia/class0013/TerrorKnight53.dbr, &gt;&gt; .\items\loottables\dailoneskill0013.dbr</v>
      </c>
      <c r="X55" t="str">
        <f t="shared" si="8"/>
        <v>echo lootWeight53,1, &gt;&gt; .\items\loottables\dailoneskill0013.dbr</v>
      </c>
      <c r="Y55" s="5" t="s">
        <v>36</v>
      </c>
      <c r="Z55" t="str">
        <f t="shared" si="9"/>
        <v xml:space="preserve"> dailCompDescTerrorKnight53=^pTerrorKnight's Gift of DAIL</v>
      </c>
      <c r="AA55" t="str">
        <f t="shared" si="17"/>
        <v>dailCompTextTerrorKnight53=^oThis feels warm to the touch, almost familiar ^w(This component only fits into the Medal Slot)</v>
      </c>
      <c r="AB55" s="5" t="s">
        <v>36</v>
      </c>
      <c r="AH55">
        <f t="shared" si="19"/>
        <v>50</v>
      </c>
      <c r="AI55">
        <f t="shared" si="22"/>
        <v>25</v>
      </c>
      <c r="AJ55">
        <f t="shared" si="18"/>
        <v>5</v>
      </c>
    </row>
    <row r="56" spans="1:36" x14ac:dyDescent="0.25">
      <c r="A56" s="5" t="s">
        <v>39</v>
      </c>
      <c r="B56" s="5" t="s">
        <v>30</v>
      </c>
      <c r="C56" s="5" t="str">
        <f t="shared" si="0"/>
        <v>description,dailCompDescTerrorKnight54,</v>
      </c>
      <c r="D56" s="5" t="str">
        <f t="shared" si="2"/>
        <v>itemText,dailCompTextTerrorKnight54,</v>
      </c>
      <c r="E56" s="5" t="str">
        <f t="shared" si="14"/>
        <v>augmentSkillLevel1,5,</v>
      </c>
      <c r="F56" s="5" t="str">
        <f t="shared" si="15"/>
        <v>augmentSkillName1,records/skills/zenithclass01/hands.dbr,</v>
      </c>
      <c r="G56" s="7">
        <f t="shared" si="10"/>
        <v>54</v>
      </c>
      <c r="H56" s="8" t="str">
        <f t="shared" si="11"/>
        <v>TerrorKnight</v>
      </c>
      <c r="I56" s="3" t="s">
        <v>218</v>
      </c>
      <c r="J56" s="8" t="str">
        <f t="shared" si="23"/>
        <v>class0013</v>
      </c>
      <c r="K56" s="8" t="str">
        <f t="shared" si="23"/>
        <v>dailoneskill0013</v>
      </c>
      <c r="L56" s="5" t="str">
        <f t="shared" si="4"/>
        <v>lootName54,DAIL/items/materia/class0013/TerrorKnight54.dbr,</v>
      </c>
      <c r="M56" s="5" t="str">
        <f t="shared" si="5"/>
        <v>lootWeight54,1,</v>
      </c>
      <c r="N56" t="str">
        <f t="shared" si="6"/>
        <v>5</v>
      </c>
      <c r="O56" t="str">
        <f t="shared" si="16"/>
        <v>copy .\dail_base3.dbr .\items\materia\class0013\TerrorKnight54.dbr /y</v>
      </c>
      <c r="P56" t="str">
        <f t="shared" si="7"/>
        <v>echo relicBitmap,items/craftingparts/components/component_a52_bristlyfur_b.tex, &gt;&gt; .\items\materia\class0013\TerrorKnight54.dbr</v>
      </c>
      <c r="Q56" t="str">
        <f t="shared" si="7"/>
        <v>echo itemCost,500000, &gt;&gt; .\items\materia\class0013\TerrorKnight54.dbr</v>
      </c>
      <c r="R56" t="str">
        <f t="shared" si="7"/>
        <v>echo description,dailCompDescTerrorKnight54, &gt;&gt; .\items\materia\class0013\TerrorKnight54.dbr</v>
      </c>
      <c r="S56" t="str">
        <f t="shared" si="7"/>
        <v>echo itemText,dailCompTextTerrorKnight54, &gt;&gt; .\items\materia\class0013\TerrorKnight54.dbr</v>
      </c>
      <c r="T56" t="str">
        <f t="shared" si="7"/>
        <v>echo augmentSkillLevel1,5, &gt;&gt; .\items\materia\class0013\TerrorKnight54.dbr</v>
      </c>
      <c r="U56" t="str">
        <f t="shared" si="7"/>
        <v>echo augmentSkillName1,records/skills/zenithclass01/hands.dbr, &gt;&gt; .\items\materia\class0013\TerrorKnight54.dbr</v>
      </c>
      <c r="V56" s="5" t="s">
        <v>36</v>
      </c>
      <c r="W56" t="str">
        <f t="shared" si="8"/>
        <v>echo lootName54,DAIL/items/materia/class0013/TerrorKnight54.dbr, &gt;&gt; .\items\loottables\dailoneskill0013.dbr</v>
      </c>
      <c r="X56" t="str">
        <f t="shared" si="8"/>
        <v>echo lootWeight54,1, &gt;&gt; .\items\loottables\dailoneskill0013.dbr</v>
      </c>
      <c r="Y56" s="5" t="s">
        <v>36</v>
      </c>
      <c r="Z56" t="str">
        <f t="shared" si="9"/>
        <v xml:space="preserve"> dailCompDescTerrorKnight54=^pTerrorKnight's Gift of DAIL</v>
      </c>
      <c r="AA56" t="str">
        <f t="shared" si="17"/>
        <v>dailCompTextTerrorKnight54=^oThis feels warm to the touch, almost familiar ^w(This component only fits into the Medal Slot)</v>
      </c>
      <c r="AB56" s="5" t="s">
        <v>36</v>
      </c>
      <c r="AH56">
        <f t="shared" si="19"/>
        <v>51</v>
      </c>
      <c r="AI56">
        <f t="shared" si="22"/>
        <v>24</v>
      </c>
      <c r="AJ56">
        <f t="shared" si="18"/>
        <v>5</v>
      </c>
    </row>
    <row r="57" spans="1:36" x14ac:dyDescent="0.25">
      <c r="A57" s="5" t="s">
        <v>39</v>
      </c>
      <c r="B57" s="5" t="s">
        <v>30</v>
      </c>
      <c r="C57" s="5" t="str">
        <f t="shared" si="0"/>
        <v>description,dailCompDescTerrorKnight55,</v>
      </c>
      <c r="D57" s="5" t="str">
        <f t="shared" si="2"/>
        <v>itemText,dailCompTextTerrorKnight55,</v>
      </c>
      <c r="E57" s="5" t="str">
        <f t="shared" si="14"/>
        <v>augmentSkillLevel1,5,</v>
      </c>
      <c r="F57" s="5" t="str">
        <f t="shared" si="15"/>
        <v>augmentSkillName1,records/skills/zenithclass01/legs.dbr,</v>
      </c>
      <c r="G57" s="7">
        <f t="shared" si="10"/>
        <v>55</v>
      </c>
      <c r="H57" s="8" t="str">
        <f t="shared" si="11"/>
        <v>TerrorKnight</v>
      </c>
      <c r="I57" s="3" t="s">
        <v>220</v>
      </c>
      <c r="J57" s="8" t="str">
        <f t="shared" si="23"/>
        <v>class0013</v>
      </c>
      <c r="K57" s="8" t="str">
        <f t="shared" si="23"/>
        <v>dailoneskill0013</v>
      </c>
      <c r="L57" s="5" t="str">
        <f t="shared" si="4"/>
        <v>lootName55,DAIL/items/materia/class0013/TerrorKnight55.dbr,</v>
      </c>
      <c r="M57" s="5" t="str">
        <f t="shared" si="5"/>
        <v>lootWeight55,1,</v>
      </c>
      <c r="N57" t="str">
        <f t="shared" si="6"/>
        <v>5</v>
      </c>
      <c r="O57" t="str">
        <f t="shared" si="16"/>
        <v>copy .\dail_base3.dbr .\items\materia\class0013\TerrorKnight55.dbr /y</v>
      </c>
      <c r="P57" t="str">
        <f t="shared" si="7"/>
        <v>echo relicBitmap,items/craftingparts/components/component_a52_bristlyfur_b.tex, &gt;&gt; .\items\materia\class0013\TerrorKnight55.dbr</v>
      </c>
      <c r="Q57" t="str">
        <f t="shared" si="7"/>
        <v>echo itemCost,500000, &gt;&gt; .\items\materia\class0013\TerrorKnight55.dbr</v>
      </c>
      <c r="R57" t="str">
        <f t="shared" si="7"/>
        <v>echo description,dailCompDescTerrorKnight55, &gt;&gt; .\items\materia\class0013\TerrorKnight55.dbr</v>
      </c>
      <c r="S57" t="str">
        <f t="shared" si="7"/>
        <v>echo itemText,dailCompTextTerrorKnight55, &gt;&gt; .\items\materia\class0013\TerrorKnight55.dbr</v>
      </c>
      <c r="T57" t="str">
        <f t="shared" si="7"/>
        <v>echo augmentSkillLevel1,5, &gt;&gt; .\items\materia\class0013\TerrorKnight55.dbr</v>
      </c>
      <c r="U57" t="str">
        <f t="shared" si="7"/>
        <v>echo augmentSkillName1,records/skills/zenithclass01/legs.dbr, &gt;&gt; .\items\materia\class0013\TerrorKnight55.dbr</v>
      </c>
      <c r="V57" s="5" t="s">
        <v>36</v>
      </c>
      <c r="W57" t="str">
        <f t="shared" si="8"/>
        <v>echo lootName55,DAIL/items/materia/class0013/TerrorKnight55.dbr, &gt;&gt; .\items\loottables\dailoneskill0013.dbr</v>
      </c>
      <c r="X57" t="str">
        <f t="shared" si="8"/>
        <v>echo lootWeight55,1, &gt;&gt; .\items\loottables\dailoneskill0013.dbr</v>
      </c>
      <c r="Y57" s="5" t="s">
        <v>36</v>
      </c>
      <c r="Z57" t="str">
        <f t="shared" si="9"/>
        <v xml:space="preserve"> dailCompDescTerrorKnight55=^pTerrorKnight's Gift of DAIL</v>
      </c>
      <c r="AA57" t="str">
        <f t="shared" si="17"/>
        <v>dailCompTextTerrorKnight55=^oThis feels warm to the touch, almost familiar ^w(This component only fits into the Medal Slot)</v>
      </c>
      <c r="AB57" s="5" t="s">
        <v>36</v>
      </c>
      <c r="AH57">
        <f t="shared" si="19"/>
        <v>52</v>
      </c>
      <c r="AI57">
        <f t="shared" si="22"/>
        <v>23</v>
      </c>
      <c r="AJ57">
        <f t="shared" si="18"/>
        <v>5</v>
      </c>
    </row>
    <row r="58" spans="1:36" x14ac:dyDescent="0.25">
      <c r="A58" s="5" t="s">
        <v>39</v>
      </c>
      <c r="B58" s="5" t="s">
        <v>30</v>
      </c>
      <c r="C58" s="5" t="str">
        <f t="shared" si="0"/>
        <v>description,dailCompDescTerrorKnight56,</v>
      </c>
      <c r="D58" s="5" t="str">
        <f t="shared" si="2"/>
        <v>itemText,dailCompTextTerrorKnight56,</v>
      </c>
      <c r="E58" s="5" t="str">
        <f t="shared" si="14"/>
        <v>augmentSkillLevel1,5,</v>
      </c>
      <c r="F58" s="5" t="str">
        <f t="shared" si="15"/>
        <v>augmentSkillName1,records/skills/zenithclass01/torso.dbr,</v>
      </c>
      <c r="G58" s="7">
        <f t="shared" si="10"/>
        <v>56</v>
      </c>
      <c r="H58" s="8" t="str">
        <f t="shared" si="11"/>
        <v>TerrorKnight</v>
      </c>
      <c r="I58" s="3" t="s">
        <v>224</v>
      </c>
      <c r="J58" s="8" t="str">
        <f t="shared" si="23"/>
        <v>class0013</v>
      </c>
      <c r="K58" s="8" t="str">
        <f t="shared" si="23"/>
        <v>dailoneskill0013</v>
      </c>
      <c r="L58" s="5" t="str">
        <f t="shared" si="4"/>
        <v>lootName56,DAIL/items/materia/class0013/TerrorKnight56.dbr,</v>
      </c>
      <c r="M58" s="5" t="str">
        <f t="shared" si="5"/>
        <v>lootWeight56,1,</v>
      </c>
      <c r="N58" t="str">
        <f t="shared" si="6"/>
        <v>5</v>
      </c>
      <c r="O58" t="str">
        <f t="shared" si="16"/>
        <v>copy .\dail_base3.dbr .\items\materia\class0013\TerrorKnight56.dbr /y</v>
      </c>
      <c r="P58" t="str">
        <f t="shared" si="7"/>
        <v>echo relicBitmap,items/craftingparts/components/component_a52_bristlyfur_b.tex, &gt;&gt; .\items\materia\class0013\TerrorKnight56.dbr</v>
      </c>
      <c r="Q58" t="str">
        <f t="shared" si="7"/>
        <v>echo itemCost,500000, &gt;&gt; .\items\materia\class0013\TerrorKnight56.dbr</v>
      </c>
      <c r="R58" t="str">
        <f t="shared" si="7"/>
        <v>echo description,dailCompDescTerrorKnight56, &gt;&gt; .\items\materia\class0013\TerrorKnight56.dbr</v>
      </c>
      <c r="S58" t="str">
        <f t="shared" si="7"/>
        <v>echo itemText,dailCompTextTerrorKnight56, &gt;&gt; .\items\materia\class0013\TerrorKnight56.dbr</v>
      </c>
      <c r="T58" t="str">
        <f t="shared" si="7"/>
        <v>echo augmentSkillLevel1,5, &gt;&gt; .\items\materia\class0013\TerrorKnight56.dbr</v>
      </c>
      <c r="U58" t="str">
        <f t="shared" si="7"/>
        <v>echo augmentSkillName1,records/skills/zenithclass01/torso.dbr, &gt;&gt; .\items\materia\class0013\TerrorKnight56.dbr</v>
      </c>
      <c r="V58" s="5" t="s">
        <v>36</v>
      </c>
      <c r="W58" t="str">
        <f t="shared" si="8"/>
        <v>echo lootName56,DAIL/items/materia/class0013/TerrorKnight56.dbr, &gt;&gt; .\items\loottables\dailoneskill0013.dbr</v>
      </c>
      <c r="X58" t="str">
        <f t="shared" si="8"/>
        <v>echo lootWeight56,1, &gt;&gt; .\items\loottables\dailoneskill0013.dbr</v>
      </c>
      <c r="Y58" s="5" t="s">
        <v>36</v>
      </c>
      <c r="Z58" t="str">
        <f t="shared" si="9"/>
        <v xml:space="preserve"> dailCompDescTerrorKnight56=^pTerrorKnight's Gift of DAIL</v>
      </c>
      <c r="AA58" t="str">
        <f t="shared" si="17"/>
        <v>dailCompTextTerrorKnight56=^oThis feels warm to the touch, almost familiar ^w(This component only fits into the Medal Slot)</v>
      </c>
      <c r="AB58" s="5" t="s">
        <v>36</v>
      </c>
      <c r="AH58">
        <f t="shared" si="19"/>
        <v>53</v>
      </c>
      <c r="AI58">
        <f t="shared" si="22"/>
        <v>24</v>
      </c>
      <c r="AJ58">
        <f t="shared" si="18"/>
        <v>5</v>
      </c>
    </row>
    <row r="59" spans="1:36" x14ac:dyDescent="0.25">
      <c r="A59" s="5" t="s">
        <v>39</v>
      </c>
      <c r="B59" s="5" t="s">
        <v>30</v>
      </c>
      <c r="C59" s="5" t="str">
        <f t="shared" si="0"/>
        <v>description,dailCompDescTerrorKnight57,</v>
      </c>
      <c r="D59" s="5" t="str">
        <f t="shared" si="2"/>
        <v>itemText,dailCompTextTerrorKnight57,</v>
      </c>
      <c r="E59" s="5" t="str">
        <f t="shared" si="14"/>
        <v>augmentSkillLevel1,5,</v>
      </c>
      <c r="F59" s="5" t="str">
        <f t="shared" si="15"/>
        <v>augmentSkillName1,records/skills/zenithclass01/head.dbr,</v>
      </c>
      <c r="G59" s="7">
        <f t="shared" si="10"/>
        <v>57</v>
      </c>
      <c r="H59" s="8" t="str">
        <f t="shared" si="11"/>
        <v>TerrorKnight</v>
      </c>
      <c r="I59" s="3" t="s">
        <v>219</v>
      </c>
      <c r="J59" s="8" t="str">
        <f t="shared" si="23"/>
        <v>class0013</v>
      </c>
      <c r="K59" s="8" t="str">
        <f t="shared" si="23"/>
        <v>dailoneskill0013</v>
      </c>
      <c r="L59" s="5" t="str">
        <f t="shared" si="4"/>
        <v>lootName57,DAIL/items/materia/class0013/TerrorKnight57.dbr,</v>
      </c>
      <c r="M59" s="5" t="str">
        <f t="shared" si="5"/>
        <v>lootWeight57,1,</v>
      </c>
      <c r="N59" t="str">
        <f t="shared" si="6"/>
        <v>5</v>
      </c>
      <c r="O59" t="str">
        <f t="shared" si="16"/>
        <v>copy .\dail_base3.dbr .\items\materia\class0013\TerrorKnight57.dbr /y</v>
      </c>
      <c r="P59" t="str">
        <f t="shared" ref="P59:U101" si="24">IF($I59&lt;&gt;"","echo "&amp;A59&amp;" &gt;&gt; .\items\materia\"&amp;$J59&amp;"\"&amp;$H59&amp;$G59&amp;".dbr","")</f>
        <v>echo relicBitmap,items/craftingparts/components/component_a52_bristlyfur_b.tex, &gt;&gt; .\items\materia\class0013\TerrorKnight57.dbr</v>
      </c>
      <c r="Q59" t="str">
        <f t="shared" si="24"/>
        <v>echo itemCost,500000, &gt;&gt; .\items\materia\class0013\TerrorKnight57.dbr</v>
      </c>
      <c r="R59" t="str">
        <f t="shared" si="24"/>
        <v>echo description,dailCompDescTerrorKnight57, &gt;&gt; .\items\materia\class0013\TerrorKnight57.dbr</v>
      </c>
      <c r="S59" t="str">
        <f t="shared" si="24"/>
        <v>echo itemText,dailCompTextTerrorKnight57, &gt;&gt; .\items\materia\class0013\TerrorKnight57.dbr</v>
      </c>
      <c r="T59" t="str">
        <f t="shared" si="24"/>
        <v>echo augmentSkillLevel1,5, &gt;&gt; .\items\materia\class0013\TerrorKnight57.dbr</v>
      </c>
      <c r="U59" t="str">
        <f t="shared" si="24"/>
        <v>echo augmentSkillName1,records/skills/zenithclass01/head.dbr, &gt;&gt; .\items\materia\class0013\TerrorKnight57.dbr</v>
      </c>
      <c r="V59" s="5" t="s">
        <v>36</v>
      </c>
      <c r="W59" t="str">
        <f t="shared" si="8"/>
        <v>echo lootName57,DAIL/items/materia/class0013/TerrorKnight57.dbr, &gt;&gt; .\items\loottables\dailoneskill0013.dbr</v>
      </c>
      <c r="X59" t="str">
        <f t="shared" si="8"/>
        <v>echo lootWeight57,1, &gt;&gt; .\items\loottables\dailoneskill0013.dbr</v>
      </c>
      <c r="Y59" s="5" t="s">
        <v>36</v>
      </c>
      <c r="Z59" t="str">
        <f t="shared" si="9"/>
        <v xml:space="preserve"> dailCompDescTerrorKnight57=^pTerrorKnight's Gift of DAIL</v>
      </c>
      <c r="AA59" t="str">
        <f t="shared" si="17"/>
        <v>dailCompTextTerrorKnight57=^oThis feels warm to the touch, almost familiar ^w(This component only fits into the Medal Slot)</v>
      </c>
      <c r="AB59" s="5" t="s">
        <v>36</v>
      </c>
      <c r="AH59">
        <f t="shared" si="19"/>
        <v>54</v>
      </c>
      <c r="AI59">
        <f t="shared" si="22"/>
        <v>23</v>
      </c>
      <c r="AJ59">
        <f t="shared" si="18"/>
        <v>5</v>
      </c>
    </row>
    <row r="60" spans="1:36" x14ac:dyDescent="0.25">
      <c r="A60" s="5" t="s">
        <v>39</v>
      </c>
      <c r="B60" s="5" t="s">
        <v>30</v>
      </c>
      <c r="C60" s="5" t="str">
        <f t="shared" si="0"/>
        <v>description,dailCompDescTerrorKnight58,</v>
      </c>
      <c r="D60" s="5" t="str">
        <f t="shared" si="2"/>
        <v>itemText,dailCompTextTerrorKnight58,</v>
      </c>
      <c r="E60" s="5" t="str">
        <f t="shared" si="14"/>
        <v>augmentSkillLevel1,5,</v>
      </c>
      <c r="F60" s="5" t="str">
        <f t="shared" si="15"/>
        <v>augmentSkillName1,records/skills/zenithclass01/conquer1.dbr,</v>
      </c>
      <c r="G60" s="7">
        <f t="shared" si="10"/>
        <v>58</v>
      </c>
      <c r="H60" s="8" t="str">
        <f t="shared" si="11"/>
        <v>TerrorKnight</v>
      </c>
      <c r="I60" s="3" t="s">
        <v>215</v>
      </c>
      <c r="J60" s="8" t="str">
        <f t="shared" si="23"/>
        <v>class0013</v>
      </c>
      <c r="K60" s="8" t="str">
        <f t="shared" si="23"/>
        <v>dailoneskill0013</v>
      </c>
      <c r="L60" s="5" t="str">
        <f t="shared" si="4"/>
        <v>lootName58,DAIL/items/materia/class0013/TerrorKnight58.dbr,</v>
      </c>
      <c r="M60" s="5" t="str">
        <f t="shared" si="5"/>
        <v>lootWeight58,1,</v>
      </c>
      <c r="N60" t="str">
        <f t="shared" si="6"/>
        <v>5</v>
      </c>
      <c r="O60" t="str">
        <f t="shared" si="16"/>
        <v>copy .\dail_base3.dbr .\items\materia\class0013\TerrorKnight58.dbr /y</v>
      </c>
      <c r="P60" t="str">
        <f t="shared" si="24"/>
        <v>echo relicBitmap,items/craftingparts/components/component_a52_bristlyfur_b.tex, &gt;&gt; .\items\materia\class0013\TerrorKnight58.dbr</v>
      </c>
      <c r="Q60" t="str">
        <f t="shared" si="24"/>
        <v>echo itemCost,500000, &gt;&gt; .\items\materia\class0013\TerrorKnight58.dbr</v>
      </c>
      <c r="R60" t="str">
        <f t="shared" si="24"/>
        <v>echo description,dailCompDescTerrorKnight58, &gt;&gt; .\items\materia\class0013\TerrorKnight58.dbr</v>
      </c>
      <c r="S60" t="str">
        <f t="shared" si="24"/>
        <v>echo itemText,dailCompTextTerrorKnight58, &gt;&gt; .\items\materia\class0013\TerrorKnight58.dbr</v>
      </c>
      <c r="T60" t="str">
        <f t="shared" si="24"/>
        <v>echo augmentSkillLevel1,5, &gt;&gt; .\items\materia\class0013\TerrorKnight58.dbr</v>
      </c>
      <c r="U60" t="str">
        <f t="shared" si="24"/>
        <v>echo augmentSkillName1,records/skills/zenithclass01/conquer1.dbr, &gt;&gt; .\items\materia\class0013\TerrorKnight58.dbr</v>
      </c>
      <c r="V60" s="5" t="s">
        <v>36</v>
      </c>
      <c r="W60" t="str">
        <f t="shared" si="8"/>
        <v>echo lootName58,DAIL/items/materia/class0013/TerrorKnight58.dbr, &gt;&gt; .\items\loottables\dailoneskill0013.dbr</v>
      </c>
      <c r="X60" t="str">
        <f t="shared" si="8"/>
        <v>echo lootWeight58,1, &gt;&gt; .\items\loottables\dailoneskill0013.dbr</v>
      </c>
      <c r="Y60" s="5" t="s">
        <v>36</v>
      </c>
      <c r="Z60" t="str">
        <f t="shared" si="9"/>
        <v xml:space="preserve"> dailCompDescTerrorKnight58=^pTerrorKnight's Gift of DAIL</v>
      </c>
      <c r="AA60" t="str">
        <f t="shared" si="17"/>
        <v>dailCompTextTerrorKnight58=^oThis feels warm to the touch, almost familiar ^w(This component only fits into the Medal Slot)</v>
      </c>
      <c r="AB60" s="5" t="s">
        <v>36</v>
      </c>
      <c r="AH60">
        <f t="shared" si="19"/>
        <v>55</v>
      </c>
      <c r="AI60">
        <f t="shared" si="22"/>
        <v>27</v>
      </c>
      <c r="AJ60">
        <f t="shared" si="18"/>
        <v>5</v>
      </c>
    </row>
    <row r="61" spans="1:36" x14ac:dyDescent="0.25">
      <c r="A61" s="5" t="s">
        <v>39</v>
      </c>
      <c r="B61" s="5" t="s">
        <v>30</v>
      </c>
      <c r="C61" s="5" t="str">
        <f t="shared" si="0"/>
        <v>description,dailCompDescTerrorKnight59,</v>
      </c>
      <c r="D61" s="5" t="str">
        <f t="shared" si="2"/>
        <v>itemText,dailCompTextTerrorKnight59,</v>
      </c>
      <c r="E61" s="5" t="str">
        <f t="shared" si="14"/>
        <v>augmentSkillLevel1,5,</v>
      </c>
      <c r="F61" s="5" t="str">
        <f t="shared" si="15"/>
        <v>augmentSkillName1,records/skills/zenithclass01/conquer2.dbr,</v>
      </c>
      <c r="G61" s="7">
        <f t="shared" si="10"/>
        <v>59</v>
      </c>
      <c r="H61" s="8" t="str">
        <f t="shared" si="11"/>
        <v>TerrorKnight</v>
      </c>
      <c r="I61" s="3" t="s">
        <v>442</v>
      </c>
      <c r="J61" s="8" t="str">
        <f t="shared" si="23"/>
        <v>class0013</v>
      </c>
      <c r="K61" s="8" t="str">
        <f t="shared" si="23"/>
        <v>dailoneskill0013</v>
      </c>
      <c r="L61" s="5" t="str">
        <f t="shared" si="4"/>
        <v>lootName59,DAIL/items/materia/class0013/TerrorKnight59.dbr,</v>
      </c>
      <c r="M61" s="5" t="str">
        <f t="shared" si="5"/>
        <v>lootWeight59,1,</v>
      </c>
      <c r="N61" t="str">
        <f t="shared" si="6"/>
        <v>5</v>
      </c>
      <c r="O61" t="str">
        <f t="shared" si="16"/>
        <v>copy .\dail_base3.dbr .\items\materia\class0013\TerrorKnight59.dbr /y</v>
      </c>
      <c r="P61" t="str">
        <f t="shared" si="24"/>
        <v>echo relicBitmap,items/craftingparts/components/component_a52_bristlyfur_b.tex, &gt;&gt; .\items\materia\class0013\TerrorKnight59.dbr</v>
      </c>
      <c r="Q61" t="str">
        <f t="shared" si="24"/>
        <v>echo itemCost,500000, &gt;&gt; .\items\materia\class0013\TerrorKnight59.dbr</v>
      </c>
      <c r="R61" t="str">
        <f t="shared" si="24"/>
        <v>echo description,dailCompDescTerrorKnight59, &gt;&gt; .\items\materia\class0013\TerrorKnight59.dbr</v>
      </c>
      <c r="S61" t="str">
        <f t="shared" si="24"/>
        <v>echo itemText,dailCompTextTerrorKnight59, &gt;&gt; .\items\materia\class0013\TerrorKnight59.dbr</v>
      </c>
      <c r="T61" t="str">
        <f t="shared" si="24"/>
        <v>echo augmentSkillLevel1,5, &gt;&gt; .\items\materia\class0013\TerrorKnight59.dbr</v>
      </c>
      <c r="U61" t="str">
        <f t="shared" si="24"/>
        <v>echo augmentSkillName1,records/skills/zenithclass01/conquer2.dbr, &gt;&gt; .\items\materia\class0013\TerrorKnight59.dbr</v>
      </c>
      <c r="V61" s="5" t="s">
        <v>36</v>
      </c>
      <c r="W61" t="str">
        <f t="shared" si="8"/>
        <v>echo lootName59,DAIL/items/materia/class0013/TerrorKnight59.dbr, &gt;&gt; .\items\loottables\dailoneskill0013.dbr</v>
      </c>
      <c r="X61" t="str">
        <f t="shared" si="8"/>
        <v>echo lootWeight59,1, &gt;&gt; .\items\loottables\dailoneskill0013.dbr</v>
      </c>
      <c r="Y61" s="5" t="s">
        <v>36</v>
      </c>
      <c r="Z61" t="str">
        <f t="shared" si="9"/>
        <v xml:space="preserve"> dailCompDescTerrorKnight59=^pTerrorKnight's Gift of DAIL</v>
      </c>
      <c r="AA61" t="str">
        <f t="shared" si="17"/>
        <v>dailCompTextTerrorKnight59=^oThis feels warm to the touch, almost familiar ^w(This component only fits into the Medal Slot)</v>
      </c>
      <c r="AB61" s="5" t="s">
        <v>36</v>
      </c>
      <c r="AH61">
        <f t="shared" si="19"/>
        <v>56</v>
      </c>
      <c r="AI61">
        <f t="shared" si="22"/>
        <v>27</v>
      </c>
      <c r="AJ61">
        <f t="shared" si="18"/>
        <v>5</v>
      </c>
    </row>
    <row r="62" spans="1:36" x14ac:dyDescent="0.25">
      <c r="A62" s="5" t="s">
        <v>39</v>
      </c>
      <c r="B62" s="5" t="s">
        <v>30</v>
      </c>
      <c r="C62" s="5" t="str">
        <f t="shared" si="0"/>
        <v>description,dailCompDescTerrorKnight60,</v>
      </c>
      <c r="D62" s="5" t="str">
        <f t="shared" si="2"/>
        <v>itemText,dailCompTextTerrorKnight60,</v>
      </c>
      <c r="E62" s="5" t="str">
        <f t="shared" si="14"/>
        <v>augmentSkillLevel1,5,</v>
      </c>
      <c r="F62" s="5" t="str">
        <f t="shared" si="15"/>
        <v>augmentSkillName1,records/skills/zenithclass01/charge1.dbr,</v>
      </c>
      <c r="G62" s="7">
        <f t="shared" si="10"/>
        <v>60</v>
      </c>
      <c r="H62" s="8" t="str">
        <f t="shared" si="11"/>
        <v>TerrorKnight</v>
      </c>
      <c r="I62" s="3" t="s">
        <v>214</v>
      </c>
      <c r="J62" s="8" t="str">
        <f t="shared" si="23"/>
        <v>class0013</v>
      </c>
      <c r="K62" s="8" t="str">
        <f t="shared" si="23"/>
        <v>dailoneskill0013</v>
      </c>
      <c r="L62" s="5" t="str">
        <f t="shared" si="4"/>
        <v>lootName60,DAIL/items/materia/class0013/TerrorKnight60.dbr,</v>
      </c>
      <c r="M62" s="5" t="str">
        <f t="shared" si="5"/>
        <v>lootWeight60,1,</v>
      </c>
      <c r="N62" t="str">
        <f t="shared" si="6"/>
        <v>5</v>
      </c>
      <c r="O62" t="str">
        <f t="shared" si="16"/>
        <v>copy .\dail_base3.dbr .\items\materia\class0013\TerrorKnight60.dbr /y</v>
      </c>
      <c r="P62" t="str">
        <f t="shared" si="24"/>
        <v>echo relicBitmap,items/craftingparts/components/component_a52_bristlyfur_b.tex, &gt;&gt; .\items\materia\class0013\TerrorKnight60.dbr</v>
      </c>
      <c r="Q62" t="str">
        <f t="shared" si="24"/>
        <v>echo itemCost,500000, &gt;&gt; .\items\materia\class0013\TerrorKnight60.dbr</v>
      </c>
      <c r="R62" t="str">
        <f t="shared" si="24"/>
        <v>echo description,dailCompDescTerrorKnight60, &gt;&gt; .\items\materia\class0013\TerrorKnight60.dbr</v>
      </c>
      <c r="S62" t="str">
        <f t="shared" si="24"/>
        <v>echo itemText,dailCompTextTerrorKnight60, &gt;&gt; .\items\materia\class0013\TerrorKnight60.dbr</v>
      </c>
      <c r="T62" t="str">
        <f t="shared" si="24"/>
        <v>echo augmentSkillLevel1,5, &gt;&gt; .\items\materia\class0013\TerrorKnight60.dbr</v>
      </c>
      <c r="U62" t="str">
        <f t="shared" si="24"/>
        <v>echo augmentSkillName1,records/skills/zenithclass01/charge1.dbr, &gt;&gt; .\items\materia\class0013\TerrorKnight60.dbr</v>
      </c>
      <c r="V62" s="5" t="s">
        <v>36</v>
      </c>
      <c r="W62" t="str">
        <f t="shared" si="8"/>
        <v>echo lootName60,DAIL/items/materia/class0013/TerrorKnight60.dbr, &gt;&gt; .\items\loottables\dailoneskill0013.dbr</v>
      </c>
      <c r="X62" t="str">
        <f t="shared" si="8"/>
        <v>echo lootWeight60,1, &gt;&gt; .\items\loottables\dailoneskill0013.dbr</v>
      </c>
      <c r="Y62" s="5" t="s">
        <v>36</v>
      </c>
      <c r="Z62" t="str">
        <f t="shared" si="9"/>
        <v xml:space="preserve"> dailCompDescTerrorKnight60=^pTerrorKnight's Gift of DAIL</v>
      </c>
      <c r="AA62" t="str">
        <f t="shared" si="17"/>
        <v>dailCompTextTerrorKnight60=^oThis feels warm to the touch, almost familiar ^w(This component only fits into the Medal Slot)</v>
      </c>
      <c r="AB62" s="5" t="s">
        <v>36</v>
      </c>
      <c r="AH62">
        <f t="shared" si="19"/>
        <v>57</v>
      </c>
      <c r="AI62">
        <f t="shared" si="22"/>
        <v>26</v>
      </c>
      <c r="AJ62">
        <f t="shared" si="18"/>
        <v>5</v>
      </c>
    </row>
    <row r="63" spans="1:36" x14ac:dyDescent="0.25">
      <c r="A63" s="5" t="s">
        <v>39</v>
      </c>
      <c r="B63" s="5" t="s">
        <v>30</v>
      </c>
      <c r="C63" s="5" t="str">
        <f t="shared" si="0"/>
        <v>description,dailCompDescTerrorKnight61,</v>
      </c>
      <c r="D63" s="5" t="str">
        <f t="shared" si="2"/>
        <v>itemText,dailCompTextTerrorKnight61,</v>
      </c>
      <c r="E63" s="5" t="str">
        <f t="shared" si="14"/>
        <v>augmentSkillLevel1,5,</v>
      </c>
      <c r="F63" s="5" t="str">
        <f t="shared" si="15"/>
        <v>augmentSkillName1,records/skills/zenithclass01/charge2.dbr,</v>
      </c>
      <c r="G63" s="7">
        <f t="shared" si="10"/>
        <v>61</v>
      </c>
      <c r="H63" s="8" t="str">
        <f t="shared" si="11"/>
        <v>TerrorKnight</v>
      </c>
      <c r="I63" s="3" t="s">
        <v>443</v>
      </c>
      <c r="J63" s="8" t="str">
        <f t="shared" si="23"/>
        <v>class0013</v>
      </c>
      <c r="K63" s="8" t="str">
        <f t="shared" si="23"/>
        <v>dailoneskill0013</v>
      </c>
      <c r="L63" s="5" t="str">
        <f t="shared" si="4"/>
        <v>lootName61,DAIL/items/materia/class0013/TerrorKnight61.dbr,</v>
      </c>
      <c r="M63" s="5" t="str">
        <f t="shared" si="5"/>
        <v>lootWeight61,1,</v>
      </c>
      <c r="N63" t="str">
        <f t="shared" si="6"/>
        <v>5</v>
      </c>
      <c r="O63" t="str">
        <f t="shared" si="16"/>
        <v>copy .\dail_base3.dbr .\items\materia\class0013\TerrorKnight61.dbr /y</v>
      </c>
      <c r="P63" t="str">
        <f t="shared" si="24"/>
        <v>echo relicBitmap,items/craftingparts/components/component_a52_bristlyfur_b.tex, &gt;&gt; .\items\materia\class0013\TerrorKnight61.dbr</v>
      </c>
      <c r="Q63" t="str">
        <f t="shared" si="24"/>
        <v>echo itemCost,500000, &gt;&gt; .\items\materia\class0013\TerrorKnight61.dbr</v>
      </c>
      <c r="R63" t="str">
        <f t="shared" si="24"/>
        <v>echo description,dailCompDescTerrorKnight61, &gt;&gt; .\items\materia\class0013\TerrorKnight61.dbr</v>
      </c>
      <c r="S63" t="str">
        <f t="shared" si="24"/>
        <v>echo itemText,dailCompTextTerrorKnight61, &gt;&gt; .\items\materia\class0013\TerrorKnight61.dbr</v>
      </c>
      <c r="T63" t="str">
        <f t="shared" si="24"/>
        <v>echo augmentSkillLevel1,5, &gt;&gt; .\items\materia\class0013\TerrorKnight61.dbr</v>
      </c>
      <c r="U63" t="str">
        <f t="shared" si="24"/>
        <v>echo augmentSkillName1,records/skills/zenithclass01/charge2.dbr, &gt;&gt; .\items\materia\class0013\TerrorKnight61.dbr</v>
      </c>
      <c r="V63" s="5" t="s">
        <v>36</v>
      </c>
      <c r="W63" t="str">
        <f t="shared" si="8"/>
        <v>echo lootName61,DAIL/items/materia/class0013/TerrorKnight61.dbr, &gt;&gt; .\items\loottables\dailoneskill0013.dbr</v>
      </c>
      <c r="X63" t="str">
        <f t="shared" si="8"/>
        <v>echo lootWeight61,1, &gt;&gt; .\items\loottables\dailoneskill0013.dbr</v>
      </c>
      <c r="Y63" s="5" t="s">
        <v>36</v>
      </c>
      <c r="Z63" t="str">
        <f t="shared" si="9"/>
        <v xml:space="preserve"> dailCompDescTerrorKnight61=^pTerrorKnight's Gift of DAIL</v>
      </c>
      <c r="AA63" t="str">
        <f t="shared" si="17"/>
        <v>dailCompTextTerrorKnight61=^oThis feels warm to the touch, almost familiar ^w(This component only fits into the Medal Slot)</v>
      </c>
      <c r="AB63" s="5" t="s">
        <v>36</v>
      </c>
      <c r="AH63">
        <f t="shared" si="19"/>
        <v>58</v>
      </c>
      <c r="AI63">
        <f t="shared" si="22"/>
        <v>26</v>
      </c>
      <c r="AJ63">
        <f t="shared" si="18"/>
        <v>5</v>
      </c>
    </row>
    <row r="64" spans="1:36" x14ac:dyDescent="0.25">
      <c r="A64" s="5" t="s">
        <v>39</v>
      </c>
      <c r="B64" s="5" t="s">
        <v>30</v>
      </c>
      <c r="C64" s="5" t="str">
        <f t="shared" si="0"/>
        <v>description,dailCompDescTerrorKnight62,</v>
      </c>
      <c r="D64" s="5" t="str">
        <f t="shared" si="2"/>
        <v>itemText,dailCompTextTerrorKnight62,</v>
      </c>
      <c r="E64" s="5" t="str">
        <f t="shared" si="14"/>
        <v>augmentSkillLevel1,5,</v>
      </c>
      <c r="F64" s="5" t="str">
        <f t="shared" si="15"/>
        <v>augmentSkillName1,records/skills/zenithclass01/charge3.dbr,</v>
      </c>
      <c r="G64" s="7">
        <f t="shared" si="10"/>
        <v>62</v>
      </c>
      <c r="H64" s="8" t="str">
        <f t="shared" si="11"/>
        <v>TerrorKnight</v>
      </c>
      <c r="I64" s="3" t="s">
        <v>444</v>
      </c>
      <c r="J64" s="8" t="str">
        <f t="shared" si="23"/>
        <v>class0013</v>
      </c>
      <c r="K64" s="8" t="str">
        <f t="shared" si="23"/>
        <v>dailoneskill0013</v>
      </c>
      <c r="L64" s="5" t="str">
        <f t="shared" si="4"/>
        <v>lootName62,DAIL/items/materia/class0013/TerrorKnight62.dbr,</v>
      </c>
      <c r="M64" s="5" t="str">
        <f t="shared" si="5"/>
        <v>lootWeight62,1,</v>
      </c>
      <c r="N64" t="str">
        <f t="shared" si="6"/>
        <v>5</v>
      </c>
      <c r="O64" t="str">
        <f t="shared" si="16"/>
        <v>copy .\dail_base3.dbr .\items\materia\class0013\TerrorKnight62.dbr /y</v>
      </c>
      <c r="P64" t="str">
        <f t="shared" si="24"/>
        <v>echo relicBitmap,items/craftingparts/components/component_a52_bristlyfur_b.tex, &gt;&gt; .\items\materia\class0013\TerrorKnight62.dbr</v>
      </c>
      <c r="Q64" t="str">
        <f t="shared" si="24"/>
        <v>echo itemCost,500000, &gt;&gt; .\items\materia\class0013\TerrorKnight62.dbr</v>
      </c>
      <c r="R64" t="str">
        <f t="shared" si="24"/>
        <v>echo description,dailCompDescTerrorKnight62, &gt;&gt; .\items\materia\class0013\TerrorKnight62.dbr</v>
      </c>
      <c r="S64" t="str">
        <f t="shared" si="24"/>
        <v>echo itemText,dailCompTextTerrorKnight62, &gt;&gt; .\items\materia\class0013\TerrorKnight62.dbr</v>
      </c>
      <c r="T64" t="str">
        <f t="shared" si="24"/>
        <v>echo augmentSkillLevel1,5, &gt;&gt; .\items\materia\class0013\TerrorKnight62.dbr</v>
      </c>
      <c r="U64" t="str">
        <f t="shared" si="24"/>
        <v>echo augmentSkillName1,records/skills/zenithclass01/charge3.dbr, &gt;&gt; .\items\materia\class0013\TerrorKnight62.dbr</v>
      </c>
      <c r="V64" s="5" t="s">
        <v>36</v>
      </c>
      <c r="W64" t="str">
        <f t="shared" si="8"/>
        <v>echo lootName62,DAIL/items/materia/class0013/TerrorKnight62.dbr, &gt;&gt; .\items\loottables\dailoneskill0013.dbr</v>
      </c>
      <c r="X64" t="str">
        <f t="shared" si="8"/>
        <v>echo lootWeight62,1, &gt;&gt; .\items\loottables\dailoneskill0013.dbr</v>
      </c>
      <c r="Y64" s="5" t="s">
        <v>36</v>
      </c>
      <c r="Z64" t="str">
        <f t="shared" si="9"/>
        <v xml:space="preserve"> dailCompDescTerrorKnight62=^pTerrorKnight's Gift of DAIL</v>
      </c>
      <c r="AA64" t="str">
        <f t="shared" si="17"/>
        <v>dailCompTextTerrorKnight62=^oThis feels warm to the touch, almost familiar ^w(This component only fits into the Medal Slot)</v>
      </c>
      <c r="AB64" s="5" t="s">
        <v>36</v>
      </c>
      <c r="AH64">
        <f t="shared" si="19"/>
        <v>59</v>
      </c>
      <c r="AI64">
        <f t="shared" si="22"/>
        <v>26</v>
      </c>
      <c r="AJ64">
        <f t="shared" si="18"/>
        <v>5</v>
      </c>
    </row>
    <row r="65" spans="1:36" x14ac:dyDescent="0.25">
      <c r="A65" s="5" t="s">
        <v>39</v>
      </c>
      <c r="B65" s="5" t="s">
        <v>30</v>
      </c>
      <c r="C65" s="5" t="str">
        <f t="shared" si="0"/>
        <v>description,dailCompDescTerrorKnight63,</v>
      </c>
      <c r="D65" s="5" t="str">
        <f t="shared" si="2"/>
        <v>itemText,dailCompTextTerrorKnight63,</v>
      </c>
      <c r="E65" s="5" t="str">
        <f t="shared" si="14"/>
        <v>augmentSkillLevel1,5,</v>
      </c>
      <c r="F65" s="5" t="str">
        <f t="shared" si="15"/>
        <v>augmentSkillName1,records/skills/zenithclass01/wp1.dbr,</v>
      </c>
      <c r="G65" s="7">
        <f t="shared" si="10"/>
        <v>63</v>
      </c>
      <c r="H65" s="8" t="str">
        <f t="shared" si="11"/>
        <v>TerrorKnight</v>
      </c>
      <c r="I65" s="3" t="s">
        <v>225</v>
      </c>
      <c r="J65" s="8" t="str">
        <f t="shared" si="23"/>
        <v>class0013</v>
      </c>
      <c r="K65" s="8" t="str">
        <f t="shared" si="23"/>
        <v>dailoneskill0013</v>
      </c>
      <c r="L65" s="5" t="str">
        <f t="shared" si="4"/>
        <v>lootName63,DAIL/items/materia/class0013/TerrorKnight63.dbr,</v>
      </c>
      <c r="M65" s="5" t="str">
        <f t="shared" si="5"/>
        <v>lootWeight63,1,</v>
      </c>
      <c r="N65" t="str">
        <f t="shared" si="6"/>
        <v>5</v>
      </c>
      <c r="O65" t="str">
        <f t="shared" si="16"/>
        <v>copy .\dail_base3.dbr .\items\materia\class0013\TerrorKnight63.dbr /y</v>
      </c>
      <c r="P65" t="str">
        <f t="shared" si="24"/>
        <v>echo relicBitmap,items/craftingparts/components/component_a52_bristlyfur_b.tex, &gt;&gt; .\items\materia\class0013\TerrorKnight63.dbr</v>
      </c>
      <c r="Q65" t="str">
        <f t="shared" si="24"/>
        <v>echo itemCost,500000, &gt;&gt; .\items\materia\class0013\TerrorKnight63.dbr</v>
      </c>
      <c r="R65" t="str">
        <f t="shared" si="24"/>
        <v>echo description,dailCompDescTerrorKnight63, &gt;&gt; .\items\materia\class0013\TerrorKnight63.dbr</v>
      </c>
      <c r="S65" t="str">
        <f t="shared" si="24"/>
        <v>echo itemText,dailCompTextTerrorKnight63, &gt;&gt; .\items\materia\class0013\TerrorKnight63.dbr</v>
      </c>
      <c r="T65" t="str">
        <f t="shared" si="24"/>
        <v>echo augmentSkillLevel1,5, &gt;&gt; .\items\materia\class0013\TerrorKnight63.dbr</v>
      </c>
      <c r="U65" t="str">
        <f t="shared" si="24"/>
        <v>echo augmentSkillName1,records/skills/zenithclass01/wp1.dbr, &gt;&gt; .\items\materia\class0013\TerrorKnight63.dbr</v>
      </c>
      <c r="V65" s="5" t="s">
        <v>36</v>
      </c>
      <c r="W65" t="str">
        <f t="shared" si="8"/>
        <v>echo lootName63,DAIL/items/materia/class0013/TerrorKnight63.dbr, &gt;&gt; .\items\loottables\dailoneskill0013.dbr</v>
      </c>
      <c r="X65" t="str">
        <f t="shared" si="8"/>
        <v>echo lootWeight63,1, &gt;&gt; .\items\loottables\dailoneskill0013.dbr</v>
      </c>
      <c r="Y65" s="5" t="s">
        <v>36</v>
      </c>
      <c r="Z65" t="str">
        <f t="shared" si="9"/>
        <v xml:space="preserve"> dailCompDescTerrorKnight63=^pTerrorKnight's Gift of DAIL</v>
      </c>
      <c r="AA65" t="str">
        <f t="shared" si="17"/>
        <v>dailCompTextTerrorKnight63=^oThis feels warm to the touch, almost familiar ^w(This component only fits into the Medal Slot)</v>
      </c>
      <c r="AB65" s="5" t="s">
        <v>36</v>
      </c>
      <c r="AH65">
        <f t="shared" si="19"/>
        <v>60</v>
      </c>
      <c r="AI65">
        <f t="shared" si="22"/>
        <v>22</v>
      </c>
      <c r="AJ65">
        <f t="shared" si="18"/>
        <v>5</v>
      </c>
    </row>
    <row r="66" spans="1:36" x14ac:dyDescent="0.25">
      <c r="A66" s="5" t="s">
        <v>39</v>
      </c>
      <c r="B66" s="5" t="s">
        <v>30</v>
      </c>
      <c r="C66" s="5" t="str">
        <f t="shared" si="0"/>
        <v>description,dailCompDescTerrorKnight64,</v>
      </c>
      <c r="D66" s="5" t="str">
        <f t="shared" si="2"/>
        <v>itemText,dailCompTextTerrorKnight64,</v>
      </c>
      <c r="E66" s="5" t="str">
        <f t="shared" si="14"/>
        <v>augmentSkillLevel1,5,</v>
      </c>
      <c r="F66" s="5" t="str">
        <f t="shared" si="15"/>
        <v>augmentSkillName1,records/skills/zenithclass01/bloodsiphon1.dbr,</v>
      </c>
      <c r="G66" s="7">
        <f t="shared" si="10"/>
        <v>64</v>
      </c>
      <c r="H66" s="8" t="str">
        <f t="shared" si="11"/>
        <v>TerrorKnight</v>
      </c>
      <c r="I66" s="3" t="s">
        <v>213</v>
      </c>
      <c r="J66" s="8" t="str">
        <f t="shared" si="23"/>
        <v>class0013</v>
      </c>
      <c r="K66" s="8" t="str">
        <f t="shared" si="23"/>
        <v>dailoneskill0013</v>
      </c>
      <c r="L66" s="5" t="str">
        <f t="shared" si="4"/>
        <v>lootName64,DAIL/items/materia/class0013/TerrorKnight64.dbr,</v>
      </c>
      <c r="M66" s="5" t="str">
        <f t="shared" si="5"/>
        <v>lootWeight64,1,</v>
      </c>
      <c r="N66" t="str">
        <f t="shared" si="6"/>
        <v>5</v>
      </c>
      <c r="O66" t="str">
        <f t="shared" si="16"/>
        <v>copy .\dail_base3.dbr .\items\materia\class0013\TerrorKnight64.dbr /y</v>
      </c>
      <c r="P66" t="str">
        <f t="shared" si="24"/>
        <v>echo relicBitmap,items/craftingparts/components/component_a52_bristlyfur_b.tex, &gt;&gt; .\items\materia\class0013\TerrorKnight64.dbr</v>
      </c>
      <c r="Q66" t="str">
        <f t="shared" si="24"/>
        <v>echo itemCost,500000, &gt;&gt; .\items\materia\class0013\TerrorKnight64.dbr</v>
      </c>
      <c r="R66" t="str">
        <f t="shared" si="24"/>
        <v>echo description,dailCompDescTerrorKnight64, &gt;&gt; .\items\materia\class0013\TerrorKnight64.dbr</v>
      </c>
      <c r="S66" t="str">
        <f t="shared" si="24"/>
        <v>echo itemText,dailCompTextTerrorKnight64, &gt;&gt; .\items\materia\class0013\TerrorKnight64.dbr</v>
      </c>
      <c r="T66" t="str">
        <f t="shared" si="24"/>
        <v>echo augmentSkillLevel1,5, &gt;&gt; .\items\materia\class0013\TerrorKnight64.dbr</v>
      </c>
      <c r="U66" t="str">
        <f t="shared" si="24"/>
        <v>echo augmentSkillName1,records/skills/zenithclass01/bloodsiphon1.dbr, &gt;&gt; .\items\materia\class0013\TerrorKnight64.dbr</v>
      </c>
      <c r="V66" s="5" t="s">
        <v>36</v>
      </c>
      <c r="W66" t="str">
        <f t="shared" si="8"/>
        <v>echo lootName64,DAIL/items/materia/class0013/TerrorKnight64.dbr, &gt;&gt; .\items\loottables\dailoneskill0013.dbr</v>
      </c>
      <c r="X66" t="str">
        <f t="shared" si="8"/>
        <v>echo lootWeight64,1, &gt;&gt; .\items\loottables\dailoneskill0013.dbr</v>
      </c>
      <c r="Y66" s="5" t="s">
        <v>36</v>
      </c>
      <c r="Z66" t="str">
        <f t="shared" si="9"/>
        <v xml:space="preserve"> dailCompDescTerrorKnight64=^pTerrorKnight's Gift of DAIL</v>
      </c>
      <c r="AA66" t="str">
        <f t="shared" si="17"/>
        <v>dailCompTextTerrorKnight64=^oThis feels warm to the touch, almost familiar ^w(This component only fits into the Medal Slot)</v>
      </c>
      <c r="AB66" s="5" t="s">
        <v>36</v>
      </c>
      <c r="AH66">
        <f t="shared" si="19"/>
        <v>61</v>
      </c>
      <c r="AI66">
        <f t="shared" si="22"/>
        <v>31</v>
      </c>
      <c r="AJ66">
        <f t="shared" si="18"/>
        <v>5</v>
      </c>
    </row>
    <row r="67" spans="1:36" x14ac:dyDescent="0.25">
      <c r="A67" s="5" t="s">
        <v>39</v>
      </c>
      <c r="B67" s="5" t="s">
        <v>30</v>
      </c>
      <c r="C67" s="5" t="str">
        <f t="shared" ref="C67:C102" si="25">"description,dailCompDesc"&amp;H67&amp;G67&amp;","</f>
        <v>description,dailCompDescTerrorKnight65,</v>
      </c>
      <c r="D67" s="5" t="str">
        <f t="shared" si="2"/>
        <v>itemText,dailCompTextTerrorKnight65,</v>
      </c>
      <c r="E67" s="5" t="str">
        <f t="shared" si="14"/>
        <v>augmentSkillLevel1,5,</v>
      </c>
      <c r="F67" s="5" t="str">
        <f t="shared" si="15"/>
        <v>augmentSkillName1,records/skills/zenithclass01/bloodsiphon2.dbr,</v>
      </c>
      <c r="G67" s="7">
        <f t="shared" si="10"/>
        <v>65</v>
      </c>
      <c r="H67" s="8" t="str">
        <f t="shared" si="11"/>
        <v>TerrorKnight</v>
      </c>
      <c r="I67" s="3" t="s">
        <v>445</v>
      </c>
      <c r="J67" s="8" t="str">
        <f t="shared" si="23"/>
        <v>class0013</v>
      </c>
      <c r="K67" s="8" t="str">
        <f t="shared" si="23"/>
        <v>dailoneskill0013</v>
      </c>
      <c r="L67" s="5" t="str">
        <f t="shared" si="4"/>
        <v>lootName65,DAIL/items/materia/class0013/TerrorKnight65.dbr,</v>
      </c>
      <c r="M67" s="5" t="str">
        <f t="shared" si="5"/>
        <v>lootWeight65,1,</v>
      </c>
      <c r="N67" t="str">
        <f t="shared" si="6"/>
        <v>5</v>
      </c>
      <c r="O67" t="str">
        <f t="shared" si="16"/>
        <v>copy .\dail_base3.dbr .\items\materia\class0013\TerrorKnight65.dbr /y</v>
      </c>
      <c r="P67" t="str">
        <f t="shared" si="24"/>
        <v>echo relicBitmap,items/craftingparts/components/component_a52_bristlyfur_b.tex, &gt;&gt; .\items\materia\class0013\TerrorKnight65.dbr</v>
      </c>
      <c r="Q67" t="str">
        <f t="shared" si="24"/>
        <v>echo itemCost,500000, &gt;&gt; .\items\materia\class0013\TerrorKnight65.dbr</v>
      </c>
      <c r="R67" t="str">
        <f t="shared" si="24"/>
        <v>echo description,dailCompDescTerrorKnight65, &gt;&gt; .\items\materia\class0013\TerrorKnight65.dbr</v>
      </c>
      <c r="S67" t="str">
        <f t="shared" si="24"/>
        <v>echo itemText,dailCompTextTerrorKnight65, &gt;&gt; .\items\materia\class0013\TerrorKnight65.dbr</v>
      </c>
      <c r="T67" t="str">
        <f t="shared" si="24"/>
        <v>echo augmentSkillLevel1,5, &gt;&gt; .\items\materia\class0013\TerrorKnight65.dbr</v>
      </c>
      <c r="U67" t="str">
        <f t="shared" si="24"/>
        <v>echo augmentSkillName1,records/skills/zenithclass01/bloodsiphon2.dbr, &gt;&gt; .\items\materia\class0013\TerrorKnight65.dbr</v>
      </c>
      <c r="V67" s="5" t="s">
        <v>36</v>
      </c>
      <c r="W67" t="str">
        <f t="shared" si="8"/>
        <v>echo lootName65,DAIL/items/materia/class0013/TerrorKnight65.dbr, &gt;&gt; .\items\loottables\dailoneskill0013.dbr</v>
      </c>
      <c r="X67" t="str">
        <f t="shared" si="8"/>
        <v>echo lootWeight65,1, &gt;&gt; .\items\loottables\dailoneskill0013.dbr</v>
      </c>
      <c r="Y67" s="5" t="s">
        <v>36</v>
      </c>
      <c r="Z67" t="str">
        <f t="shared" si="9"/>
        <v xml:space="preserve"> dailCompDescTerrorKnight65=^pTerrorKnight's Gift of DAIL</v>
      </c>
      <c r="AA67" t="str">
        <f t="shared" si="17"/>
        <v>dailCompTextTerrorKnight65=^oThis feels warm to the touch, almost familiar ^w(This component only fits into the Medal Slot)</v>
      </c>
      <c r="AB67" s="5" t="s">
        <v>36</v>
      </c>
      <c r="AH67">
        <f t="shared" si="19"/>
        <v>62</v>
      </c>
      <c r="AI67">
        <f t="shared" si="22"/>
        <v>31</v>
      </c>
      <c r="AJ67">
        <f t="shared" si="18"/>
        <v>5</v>
      </c>
    </row>
    <row r="68" spans="1:36" x14ac:dyDescent="0.25">
      <c r="A68" s="5" t="s">
        <v>39</v>
      </c>
      <c r="B68" s="5" t="s">
        <v>30</v>
      </c>
      <c r="C68" s="5" t="str">
        <f t="shared" si="25"/>
        <v>description,dailCompDescTerrorKnight66,</v>
      </c>
      <c r="D68" s="5" t="str">
        <f t="shared" ref="D68:D102" si="26">"itemText,dailCompText"&amp;H68&amp;G68&amp;","</f>
        <v>itemText,dailCompTextTerrorKnight66,</v>
      </c>
      <c r="E68" s="5" t="str">
        <f t="shared" si="14"/>
        <v>augmentSkillLevel1,5,</v>
      </c>
      <c r="F68" s="5" t="str">
        <f t="shared" si="15"/>
        <v>augmentSkillName1,records/skills/zenithclass01/fearpool1.dbr,</v>
      </c>
      <c r="G68" s="7">
        <f t="shared" si="10"/>
        <v>66</v>
      </c>
      <c r="H68" s="8" t="str">
        <f t="shared" si="11"/>
        <v>TerrorKnight</v>
      </c>
      <c r="I68" s="3" t="s">
        <v>217</v>
      </c>
      <c r="J68" s="8" t="str">
        <f t="shared" si="23"/>
        <v>class0013</v>
      </c>
      <c r="K68" s="8" t="str">
        <f t="shared" si="23"/>
        <v>dailoneskill0013</v>
      </c>
      <c r="L68" s="5" t="str">
        <f t="shared" ref="L68:L102" si="27">"lootName"&amp;G68&amp;",DAIL/items/materia/"&amp;J68&amp;"/"&amp;H68&amp;G68&amp;".dbr"&amp;","</f>
        <v>lootName66,DAIL/items/materia/class0013/TerrorKnight66.dbr,</v>
      </c>
      <c r="M68" s="5" t="str">
        <f t="shared" ref="M68:M102" si="28">"lootWeight"&amp;G68&amp;",1,"</f>
        <v>lootWeight66,1,</v>
      </c>
      <c r="N68" t="str">
        <f t="shared" ref="N68:N102" si="29">LEFT(RIGHT(E68,2),1)</f>
        <v>5</v>
      </c>
      <c r="O68" t="str">
        <f t="shared" si="16"/>
        <v>copy .\dail_base3.dbr .\items\materia\class0013\TerrorKnight66.dbr /y</v>
      </c>
      <c r="P68" t="str">
        <f t="shared" si="24"/>
        <v>echo relicBitmap,items/craftingparts/components/component_a52_bristlyfur_b.tex, &gt;&gt; .\items\materia\class0013\TerrorKnight66.dbr</v>
      </c>
      <c r="Q68" t="str">
        <f t="shared" si="24"/>
        <v>echo itemCost,500000, &gt;&gt; .\items\materia\class0013\TerrorKnight66.dbr</v>
      </c>
      <c r="R68" t="str">
        <f t="shared" si="24"/>
        <v>echo description,dailCompDescTerrorKnight66, &gt;&gt; .\items\materia\class0013\TerrorKnight66.dbr</v>
      </c>
      <c r="S68" t="str">
        <f t="shared" si="24"/>
        <v>echo itemText,dailCompTextTerrorKnight66, &gt;&gt; .\items\materia\class0013\TerrorKnight66.dbr</v>
      </c>
      <c r="T68" t="str">
        <f t="shared" si="24"/>
        <v>echo augmentSkillLevel1,5, &gt;&gt; .\items\materia\class0013\TerrorKnight66.dbr</v>
      </c>
      <c r="U68" t="str">
        <f t="shared" si="24"/>
        <v>echo augmentSkillName1,records/skills/zenithclass01/fearpool1.dbr, &gt;&gt; .\items\materia\class0013\TerrorKnight66.dbr</v>
      </c>
      <c r="V68" s="5" t="s">
        <v>36</v>
      </c>
      <c r="W68" t="str">
        <f t="shared" ref="W68:X102" si="30">IF($I68&lt;&gt;"","echo "&amp;L68&amp;" &gt;&gt; .\items\loottables\"&amp;$K68&amp;".dbr","")</f>
        <v>echo lootName66,DAIL/items/materia/class0013/TerrorKnight66.dbr, &gt;&gt; .\items\loottables\dailoneskill0013.dbr</v>
      </c>
      <c r="X68" t="str">
        <f t="shared" si="30"/>
        <v>echo lootWeight66,1, &gt;&gt; .\items\loottables\dailoneskill0013.dbr</v>
      </c>
      <c r="Y68" s="5" t="s">
        <v>36</v>
      </c>
      <c r="Z68" t="str">
        <f t="shared" ref="Z68:Z102" si="31">IF(I67&lt;&gt;""," dailCompDesc"&amp;H68&amp;G68&amp;"=^p"&amp;H68&amp;"'s Gift of DAIL","")</f>
        <v xml:space="preserve"> dailCompDescTerrorKnight66=^pTerrorKnight's Gift of DAIL</v>
      </c>
      <c r="AA68" t="str">
        <f t="shared" si="17"/>
        <v>dailCompTextTerrorKnight66=^oThis feels warm to the touch, almost familiar ^w(This component only fits into the Medal Slot)</v>
      </c>
      <c r="AB68" s="5" t="s">
        <v>36</v>
      </c>
      <c r="AH68">
        <f t="shared" si="19"/>
        <v>63</v>
      </c>
      <c r="AI68">
        <f t="shared" si="22"/>
        <v>28</v>
      </c>
      <c r="AJ68">
        <f t="shared" si="18"/>
        <v>5</v>
      </c>
    </row>
    <row r="69" spans="1:36" x14ac:dyDescent="0.25">
      <c r="A69" s="5" t="s">
        <v>39</v>
      </c>
      <c r="B69" s="5" t="s">
        <v>30</v>
      </c>
      <c r="C69" s="5" t="str">
        <f t="shared" si="25"/>
        <v>description,dailCompDescTerrorKnight67,</v>
      </c>
      <c r="D69" s="5" t="str">
        <f t="shared" si="26"/>
        <v>itemText,dailCompTextTerrorKnight67,</v>
      </c>
      <c r="E69" s="5" t="str">
        <f t="shared" si="14"/>
        <v>augmentSkillLevel1,5,</v>
      </c>
      <c r="F69" s="5" t="str">
        <f t="shared" si="15"/>
        <v>augmentSkillName1,records/skills/zenithclass01/fearpool2.dbr,</v>
      </c>
      <c r="G69" s="7">
        <f t="shared" ref="G69:G102" si="32">IF(I69&lt;&gt;"",G68+1,"")</f>
        <v>67</v>
      </c>
      <c r="H69" s="8" t="str">
        <f t="shared" ref="H69:H102" si="33">H68</f>
        <v>TerrorKnight</v>
      </c>
      <c r="I69" s="3" t="s">
        <v>446</v>
      </c>
      <c r="J69" s="8" t="str">
        <f t="shared" ref="J69:K84" si="34">J68</f>
        <v>class0013</v>
      </c>
      <c r="K69" s="8" t="str">
        <f t="shared" si="34"/>
        <v>dailoneskill0013</v>
      </c>
      <c r="L69" s="5" t="str">
        <f t="shared" si="27"/>
        <v>lootName67,DAIL/items/materia/class0013/TerrorKnight67.dbr,</v>
      </c>
      <c r="M69" s="5" t="str">
        <f t="shared" si="28"/>
        <v>lootWeight67,1,</v>
      </c>
      <c r="N69" t="str">
        <f t="shared" si="29"/>
        <v>5</v>
      </c>
      <c r="O69" t="str">
        <f t="shared" si="16"/>
        <v>copy .\dail_base3.dbr .\items\materia\class0013\TerrorKnight67.dbr /y</v>
      </c>
      <c r="P69" t="str">
        <f t="shared" si="24"/>
        <v>echo relicBitmap,items/craftingparts/components/component_a52_bristlyfur_b.tex, &gt;&gt; .\items\materia\class0013\TerrorKnight67.dbr</v>
      </c>
      <c r="Q69" t="str">
        <f t="shared" si="24"/>
        <v>echo itemCost,500000, &gt;&gt; .\items\materia\class0013\TerrorKnight67.dbr</v>
      </c>
      <c r="R69" t="str">
        <f t="shared" si="24"/>
        <v>echo description,dailCompDescTerrorKnight67, &gt;&gt; .\items\materia\class0013\TerrorKnight67.dbr</v>
      </c>
      <c r="S69" t="str">
        <f t="shared" si="24"/>
        <v>echo itemText,dailCompTextTerrorKnight67, &gt;&gt; .\items\materia\class0013\TerrorKnight67.dbr</v>
      </c>
      <c r="T69" t="str">
        <f t="shared" si="24"/>
        <v>echo augmentSkillLevel1,5, &gt;&gt; .\items\materia\class0013\TerrorKnight67.dbr</v>
      </c>
      <c r="U69" t="str">
        <f t="shared" si="24"/>
        <v>echo augmentSkillName1,records/skills/zenithclass01/fearpool2.dbr, &gt;&gt; .\items\materia\class0013\TerrorKnight67.dbr</v>
      </c>
      <c r="V69" s="5" t="s">
        <v>36</v>
      </c>
      <c r="W69" t="str">
        <f t="shared" si="30"/>
        <v>echo lootName67,DAIL/items/materia/class0013/TerrorKnight67.dbr, &gt;&gt; .\items\loottables\dailoneskill0013.dbr</v>
      </c>
      <c r="X69" t="str">
        <f t="shared" si="30"/>
        <v>echo lootWeight67,1, &gt;&gt; .\items\loottables\dailoneskill0013.dbr</v>
      </c>
      <c r="Y69" s="5" t="s">
        <v>36</v>
      </c>
      <c r="Z69" t="str">
        <f t="shared" si="31"/>
        <v xml:space="preserve"> dailCompDescTerrorKnight67=^pTerrorKnight's Gift of DAIL</v>
      </c>
      <c r="AA69" t="str">
        <f t="shared" si="17"/>
        <v>dailCompTextTerrorKnight67=^oThis feels warm to the touch, almost familiar ^w(This component only fits into the Medal Slot)</v>
      </c>
      <c r="AB69" s="5" t="s">
        <v>36</v>
      </c>
      <c r="AH69">
        <f t="shared" si="19"/>
        <v>64</v>
      </c>
      <c r="AI69">
        <f t="shared" si="22"/>
        <v>28</v>
      </c>
      <c r="AJ69">
        <f t="shared" si="18"/>
        <v>5</v>
      </c>
    </row>
    <row r="70" spans="1:36" x14ac:dyDescent="0.25">
      <c r="A70" s="5" t="s">
        <v>39</v>
      </c>
      <c r="B70" s="5" t="s">
        <v>30</v>
      </c>
      <c r="C70" s="5" t="str">
        <f t="shared" si="25"/>
        <v>description,dailCompDescTerrorKnight68,</v>
      </c>
      <c r="D70" s="5" t="str">
        <f t="shared" si="26"/>
        <v>itemText,dailCompTextTerrorKnight68,</v>
      </c>
      <c r="E70" s="5" t="str">
        <f t="shared" si="14"/>
        <v>augmentSkillLevel1,5,</v>
      </c>
      <c r="F70" s="5" t="str">
        <f t="shared" si="15"/>
        <v>augmentSkillName1,records/skills/zenithclass01/wp2.dbr,</v>
      </c>
      <c r="G70" s="7">
        <f t="shared" si="32"/>
        <v>68</v>
      </c>
      <c r="H70" s="8" t="str">
        <f t="shared" si="33"/>
        <v>TerrorKnight</v>
      </c>
      <c r="I70" s="3" t="s">
        <v>226</v>
      </c>
      <c r="J70" s="8" t="str">
        <f t="shared" si="34"/>
        <v>class0013</v>
      </c>
      <c r="K70" s="8" t="str">
        <f t="shared" si="34"/>
        <v>dailoneskill0013</v>
      </c>
      <c r="L70" s="5" t="str">
        <f t="shared" si="27"/>
        <v>lootName68,DAIL/items/materia/class0013/TerrorKnight68.dbr,</v>
      </c>
      <c r="M70" s="5" t="str">
        <f t="shared" si="28"/>
        <v>lootWeight68,1,</v>
      </c>
      <c r="N70" t="str">
        <f t="shared" si="29"/>
        <v>5</v>
      </c>
      <c r="O70" t="str">
        <f t="shared" si="16"/>
        <v>copy .\dail_base3.dbr .\items\materia\class0013\TerrorKnight68.dbr /y</v>
      </c>
      <c r="P70" t="str">
        <f t="shared" si="24"/>
        <v>echo relicBitmap,items/craftingparts/components/component_a52_bristlyfur_b.tex, &gt;&gt; .\items\materia\class0013\TerrorKnight68.dbr</v>
      </c>
      <c r="Q70" t="str">
        <f t="shared" si="24"/>
        <v>echo itemCost,500000, &gt;&gt; .\items\materia\class0013\TerrorKnight68.dbr</v>
      </c>
      <c r="R70" t="str">
        <f t="shared" si="24"/>
        <v>echo description,dailCompDescTerrorKnight68, &gt;&gt; .\items\materia\class0013\TerrorKnight68.dbr</v>
      </c>
      <c r="S70" t="str">
        <f t="shared" si="24"/>
        <v>echo itemText,dailCompTextTerrorKnight68, &gt;&gt; .\items\materia\class0013\TerrorKnight68.dbr</v>
      </c>
      <c r="T70" t="str">
        <f t="shared" si="24"/>
        <v>echo augmentSkillLevel1,5, &gt;&gt; .\items\materia\class0013\TerrorKnight68.dbr</v>
      </c>
      <c r="U70" t="str">
        <f t="shared" si="24"/>
        <v>echo augmentSkillName1,records/skills/zenithclass01/wp2.dbr, &gt;&gt; .\items\materia\class0013\TerrorKnight68.dbr</v>
      </c>
      <c r="V70" s="5" t="s">
        <v>36</v>
      </c>
      <c r="W70" t="str">
        <f t="shared" si="30"/>
        <v>echo lootName68,DAIL/items/materia/class0013/TerrorKnight68.dbr, &gt;&gt; .\items\loottables\dailoneskill0013.dbr</v>
      </c>
      <c r="X70" t="str">
        <f t="shared" si="30"/>
        <v>echo lootWeight68,1, &gt;&gt; .\items\loottables\dailoneskill0013.dbr</v>
      </c>
      <c r="Y70" s="5" t="s">
        <v>36</v>
      </c>
      <c r="Z70" t="str">
        <f t="shared" si="31"/>
        <v xml:space="preserve"> dailCompDescTerrorKnight68=^pTerrorKnight's Gift of DAIL</v>
      </c>
      <c r="AA70" t="str">
        <f t="shared" si="17"/>
        <v>dailCompTextTerrorKnight68=^oThis feels warm to the touch, almost familiar ^w(This component only fits into the Medal Slot)</v>
      </c>
      <c r="AB70" s="5" t="s">
        <v>36</v>
      </c>
      <c r="AH70">
        <f t="shared" si="19"/>
        <v>65</v>
      </c>
      <c r="AI70">
        <f t="shared" ref="AI70:AI102" si="35">LEN(I70)</f>
        <v>22</v>
      </c>
      <c r="AJ70">
        <f t="shared" si="18"/>
        <v>5</v>
      </c>
    </row>
    <row r="71" spans="1:36" x14ac:dyDescent="0.25">
      <c r="A71" s="5" t="s">
        <v>39</v>
      </c>
      <c r="B71" s="5" t="s">
        <v>30</v>
      </c>
      <c r="C71" s="5" t="str">
        <f t="shared" si="25"/>
        <v>description,dailCompDescTerrorKnight69,</v>
      </c>
      <c r="D71" s="5" t="str">
        <f t="shared" si="26"/>
        <v>itemText,dailCompTextTerrorKnight69,</v>
      </c>
      <c r="E71" s="5" t="str">
        <f t="shared" ref="E71:E102" si="36">"augmentSkillLevel1,"&amp;AJ71&amp;","</f>
        <v>augmentSkillLevel1,5,</v>
      </c>
      <c r="F71" s="5" t="str">
        <f t="shared" ref="F71:F102" si="37">"augmentSkillName1,records/skills"&amp;I71&amp;","</f>
        <v>augmentSkillName1,records/skills/zenithclass01/madsoldier.dbr,</v>
      </c>
      <c r="G71" s="7">
        <f t="shared" si="32"/>
        <v>69</v>
      </c>
      <c r="H71" s="8" t="str">
        <f t="shared" si="33"/>
        <v>TerrorKnight</v>
      </c>
      <c r="I71" s="3" t="s">
        <v>221</v>
      </c>
      <c r="J71" s="8" t="str">
        <f t="shared" si="34"/>
        <v>class0013</v>
      </c>
      <c r="K71" s="8" t="str">
        <f t="shared" si="34"/>
        <v>dailoneskill0013</v>
      </c>
      <c r="L71" s="5" t="str">
        <f t="shared" si="27"/>
        <v>lootName69,DAIL/items/materia/class0013/TerrorKnight69.dbr,</v>
      </c>
      <c r="M71" s="5" t="str">
        <f t="shared" si="28"/>
        <v>lootWeight69,1,</v>
      </c>
      <c r="N71" t="str">
        <f t="shared" si="29"/>
        <v>5</v>
      </c>
      <c r="O71" t="str">
        <f t="shared" ref="O71:O102" si="38">IF(I71&lt;&gt;"","copy .\"&amp;VLOOKUP(VALUE(N71),$AD$3:$AF$5,2,FALSE)&amp;" .\items\materia\"&amp;J71&amp;"\"&amp;H71&amp;G71&amp;".dbr /y"&amp;"","")</f>
        <v>copy .\dail_base3.dbr .\items\materia\class0013\TerrorKnight69.dbr /y</v>
      </c>
      <c r="P71" t="str">
        <f t="shared" si="24"/>
        <v>echo relicBitmap,items/craftingparts/components/component_a52_bristlyfur_b.tex, &gt;&gt; .\items\materia\class0013\TerrorKnight69.dbr</v>
      </c>
      <c r="Q71" t="str">
        <f t="shared" si="24"/>
        <v>echo itemCost,500000, &gt;&gt; .\items\materia\class0013\TerrorKnight69.dbr</v>
      </c>
      <c r="R71" t="str">
        <f t="shared" si="24"/>
        <v>echo description,dailCompDescTerrorKnight69, &gt;&gt; .\items\materia\class0013\TerrorKnight69.dbr</v>
      </c>
      <c r="S71" t="str">
        <f t="shared" si="24"/>
        <v>echo itemText,dailCompTextTerrorKnight69, &gt;&gt; .\items\materia\class0013\TerrorKnight69.dbr</v>
      </c>
      <c r="T71" t="str">
        <f t="shared" si="24"/>
        <v>echo augmentSkillLevel1,5, &gt;&gt; .\items\materia\class0013\TerrorKnight69.dbr</v>
      </c>
      <c r="U71" t="str">
        <f t="shared" si="24"/>
        <v>echo augmentSkillName1,records/skills/zenithclass01/madsoldier.dbr, &gt;&gt; .\items\materia\class0013\TerrorKnight69.dbr</v>
      </c>
      <c r="V71" s="5" t="s">
        <v>36</v>
      </c>
      <c r="W71" t="str">
        <f t="shared" si="30"/>
        <v>echo lootName69,DAIL/items/materia/class0013/TerrorKnight69.dbr, &gt;&gt; .\items\loottables\dailoneskill0013.dbr</v>
      </c>
      <c r="X71" t="str">
        <f t="shared" si="30"/>
        <v>echo lootWeight69,1, &gt;&gt; .\items\loottables\dailoneskill0013.dbr</v>
      </c>
      <c r="Y71" s="5" t="s">
        <v>36</v>
      </c>
      <c r="Z71" t="str">
        <f t="shared" si="31"/>
        <v xml:space="preserve"> dailCompDescTerrorKnight69=^pTerrorKnight's Gift of DAIL</v>
      </c>
      <c r="AA71" t="str">
        <f t="shared" ref="AA71:AA102" si="39">IF(I70&lt;&gt;"","dailCompText"&amp;H71&amp;G71&amp;"=^oThis feels warm to the touch, almost familiar ^w("&amp;VLOOKUP(VALUE(N71),$AD$3:$AF$5,3,FALSE)&amp;")","")</f>
        <v>dailCompTextTerrorKnight69=^oThis feels warm to the touch, almost familiar ^w(This component only fits into the Medal Slot)</v>
      </c>
      <c r="AB71" s="5" t="s">
        <v>36</v>
      </c>
      <c r="AH71">
        <f t="shared" si="19"/>
        <v>66</v>
      </c>
      <c r="AI71">
        <f t="shared" si="35"/>
        <v>29</v>
      </c>
      <c r="AJ71">
        <f t="shared" ref="AJ71:AJ102" si="40">IF(AH71&lt;$AL$7,1,IF(AH71&lt;$AL$8,3,5))</f>
        <v>5</v>
      </c>
    </row>
    <row r="72" spans="1:36" x14ac:dyDescent="0.25">
      <c r="A72" s="5" t="s">
        <v>39</v>
      </c>
      <c r="B72" s="5" t="s">
        <v>30</v>
      </c>
      <c r="C72" s="5" t="str">
        <f t="shared" si="25"/>
        <v>description,dailCompDescTerrorKnight70,</v>
      </c>
      <c r="D72" s="5" t="str">
        <f t="shared" si="26"/>
        <v>itemText,dailCompTextTerrorKnight70,</v>
      </c>
      <c r="E72" s="5" t="str">
        <f t="shared" si="36"/>
        <v>augmentSkillLevel1,5,</v>
      </c>
      <c r="F72" s="5" t="str">
        <f t="shared" si="37"/>
        <v>augmentSkillName1,records/skills/zenithclass01/wp3.dbr,</v>
      </c>
      <c r="G72" s="7">
        <f t="shared" si="32"/>
        <v>70</v>
      </c>
      <c r="H72" s="8" t="str">
        <f t="shared" si="33"/>
        <v>TerrorKnight</v>
      </c>
      <c r="I72" s="3" t="s">
        <v>227</v>
      </c>
      <c r="J72" s="8" t="str">
        <f t="shared" si="34"/>
        <v>class0013</v>
      </c>
      <c r="K72" s="8" t="str">
        <f t="shared" si="34"/>
        <v>dailoneskill0013</v>
      </c>
      <c r="L72" s="5" t="str">
        <f t="shared" si="27"/>
        <v>lootName70,DAIL/items/materia/class0013/TerrorKnight70.dbr,</v>
      </c>
      <c r="M72" s="5" t="str">
        <f t="shared" si="28"/>
        <v>lootWeight70,1,</v>
      </c>
      <c r="N72" t="str">
        <f t="shared" si="29"/>
        <v>5</v>
      </c>
      <c r="O72" t="str">
        <f t="shared" si="38"/>
        <v>copy .\dail_base3.dbr .\items\materia\class0013\TerrorKnight70.dbr /y</v>
      </c>
      <c r="P72" t="str">
        <f t="shared" si="24"/>
        <v>echo relicBitmap,items/craftingparts/components/component_a52_bristlyfur_b.tex, &gt;&gt; .\items\materia\class0013\TerrorKnight70.dbr</v>
      </c>
      <c r="Q72" t="str">
        <f t="shared" si="24"/>
        <v>echo itemCost,500000, &gt;&gt; .\items\materia\class0013\TerrorKnight70.dbr</v>
      </c>
      <c r="R72" t="str">
        <f t="shared" si="24"/>
        <v>echo description,dailCompDescTerrorKnight70, &gt;&gt; .\items\materia\class0013\TerrorKnight70.dbr</v>
      </c>
      <c r="S72" t="str">
        <f t="shared" si="24"/>
        <v>echo itemText,dailCompTextTerrorKnight70, &gt;&gt; .\items\materia\class0013\TerrorKnight70.dbr</v>
      </c>
      <c r="T72" t="str">
        <f t="shared" si="24"/>
        <v>echo augmentSkillLevel1,5, &gt;&gt; .\items\materia\class0013\TerrorKnight70.dbr</v>
      </c>
      <c r="U72" t="str">
        <f t="shared" si="24"/>
        <v>echo augmentSkillName1,records/skills/zenithclass01/wp3.dbr, &gt;&gt; .\items\materia\class0013\TerrorKnight70.dbr</v>
      </c>
      <c r="V72" s="5" t="s">
        <v>36</v>
      </c>
      <c r="W72" t="str">
        <f t="shared" si="30"/>
        <v>echo lootName70,DAIL/items/materia/class0013/TerrorKnight70.dbr, &gt;&gt; .\items\loottables\dailoneskill0013.dbr</v>
      </c>
      <c r="X72" t="str">
        <f t="shared" si="30"/>
        <v>echo lootWeight70,1, &gt;&gt; .\items\loottables\dailoneskill0013.dbr</v>
      </c>
      <c r="Y72" s="5" t="s">
        <v>36</v>
      </c>
      <c r="Z72" t="str">
        <f t="shared" si="31"/>
        <v xml:space="preserve"> dailCompDescTerrorKnight70=^pTerrorKnight's Gift of DAIL</v>
      </c>
      <c r="AA72" t="str">
        <f t="shared" si="39"/>
        <v>dailCompTextTerrorKnight70=^oThis feels warm to the touch, almost familiar ^w(This component only fits into the Medal Slot)</v>
      </c>
      <c r="AB72" s="5" t="s">
        <v>36</v>
      </c>
      <c r="AH72">
        <f t="shared" ref="AH72:AH102" si="41">AH71+1</f>
        <v>67</v>
      </c>
      <c r="AI72">
        <f t="shared" si="35"/>
        <v>22</v>
      </c>
      <c r="AJ72">
        <f t="shared" si="40"/>
        <v>5</v>
      </c>
    </row>
    <row r="73" spans="1:36" x14ac:dyDescent="0.25">
      <c r="A73" s="5" t="s">
        <v>39</v>
      </c>
      <c r="B73" s="5" t="s">
        <v>30</v>
      </c>
      <c r="C73" s="5" t="str">
        <f t="shared" si="25"/>
        <v>description,dailCompDescTerrorKnight71,</v>
      </c>
      <c r="D73" s="5" t="str">
        <f t="shared" si="26"/>
        <v>itemText,dailCompTextTerrorKnight71,</v>
      </c>
      <c r="E73" s="5" t="str">
        <f t="shared" si="36"/>
        <v>augmentSkillLevel1,5,</v>
      </c>
      <c r="F73" s="5" t="str">
        <f t="shared" si="37"/>
        <v>augmentSkillName1,records/skills/zenithclass01/evocation.dbr,</v>
      </c>
      <c r="G73" s="7">
        <f t="shared" si="32"/>
        <v>71</v>
      </c>
      <c r="H73" s="8" t="str">
        <f t="shared" si="33"/>
        <v>TerrorKnight</v>
      </c>
      <c r="I73" s="3" t="s">
        <v>216</v>
      </c>
      <c r="J73" s="8" t="str">
        <f t="shared" si="34"/>
        <v>class0013</v>
      </c>
      <c r="K73" s="8" t="str">
        <f t="shared" si="34"/>
        <v>dailoneskill0013</v>
      </c>
      <c r="L73" s="5" t="str">
        <f t="shared" si="27"/>
        <v>lootName71,DAIL/items/materia/class0013/TerrorKnight71.dbr,</v>
      </c>
      <c r="M73" s="5" t="str">
        <f t="shared" si="28"/>
        <v>lootWeight71,1,</v>
      </c>
      <c r="N73" t="str">
        <f t="shared" si="29"/>
        <v>5</v>
      </c>
      <c r="O73" t="str">
        <f t="shared" si="38"/>
        <v>copy .\dail_base3.dbr .\items\materia\class0013\TerrorKnight71.dbr /y</v>
      </c>
      <c r="P73" t="str">
        <f t="shared" si="24"/>
        <v>echo relicBitmap,items/craftingparts/components/component_a52_bristlyfur_b.tex, &gt;&gt; .\items\materia\class0013\TerrorKnight71.dbr</v>
      </c>
      <c r="Q73" t="str">
        <f t="shared" si="24"/>
        <v>echo itemCost,500000, &gt;&gt; .\items\materia\class0013\TerrorKnight71.dbr</v>
      </c>
      <c r="R73" t="str">
        <f t="shared" si="24"/>
        <v>echo description,dailCompDescTerrorKnight71, &gt;&gt; .\items\materia\class0013\TerrorKnight71.dbr</v>
      </c>
      <c r="S73" t="str">
        <f t="shared" si="24"/>
        <v>echo itemText,dailCompTextTerrorKnight71, &gt;&gt; .\items\materia\class0013\TerrorKnight71.dbr</v>
      </c>
      <c r="T73" t="str">
        <f t="shared" si="24"/>
        <v>echo augmentSkillLevel1,5, &gt;&gt; .\items\materia\class0013\TerrorKnight71.dbr</v>
      </c>
      <c r="U73" t="str">
        <f t="shared" si="24"/>
        <v>echo augmentSkillName1,records/skills/zenithclass01/evocation.dbr, &gt;&gt; .\items\materia\class0013\TerrorKnight71.dbr</v>
      </c>
      <c r="V73" s="5" t="s">
        <v>36</v>
      </c>
      <c r="W73" t="str">
        <f t="shared" si="30"/>
        <v>echo lootName71,DAIL/items/materia/class0013/TerrorKnight71.dbr, &gt;&gt; .\items\loottables\dailoneskill0013.dbr</v>
      </c>
      <c r="X73" t="str">
        <f t="shared" si="30"/>
        <v>echo lootWeight71,1, &gt;&gt; .\items\loottables\dailoneskill0013.dbr</v>
      </c>
      <c r="Y73" s="5" t="s">
        <v>36</v>
      </c>
      <c r="Z73" t="str">
        <f t="shared" si="31"/>
        <v xml:space="preserve"> dailCompDescTerrorKnight71=^pTerrorKnight's Gift of DAIL</v>
      </c>
      <c r="AA73" t="str">
        <f t="shared" si="39"/>
        <v>dailCompTextTerrorKnight71=^oThis feels warm to the touch, almost familiar ^w(This component only fits into the Medal Slot)</v>
      </c>
      <c r="AB73" s="5" t="s">
        <v>36</v>
      </c>
      <c r="AH73">
        <f t="shared" si="41"/>
        <v>68</v>
      </c>
      <c r="AI73">
        <f t="shared" si="35"/>
        <v>28</v>
      </c>
      <c r="AJ73">
        <f t="shared" si="40"/>
        <v>5</v>
      </c>
    </row>
    <row r="74" spans="1:36" x14ac:dyDescent="0.25">
      <c r="A74" s="5" t="s">
        <v>39</v>
      </c>
      <c r="B74" s="5" t="s">
        <v>30</v>
      </c>
      <c r="C74" s="5" t="str">
        <f t="shared" si="25"/>
        <v>description,dailCompDescTerrorKnight72,</v>
      </c>
      <c r="D74" s="5" t="str">
        <f t="shared" si="26"/>
        <v>itemText,dailCompTextTerrorKnight72,</v>
      </c>
      <c r="E74" s="5" t="str">
        <f t="shared" si="36"/>
        <v>augmentSkillLevel1,5,</v>
      </c>
      <c r="F74" s="5" t="str">
        <f t="shared" si="37"/>
        <v>augmentSkillName1,records/skills/zenithclass01/mania_buff.dbr,</v>
      </c>
      <c r="G74" s="7">
        <f t="shared" si="32"/>
        <v>72</v>
      </c>
      <c r="H74" s="8" t="str">
        <f t="shared" si="33"/>
        <v>TerrorKnight</v>
      </c>
      <c r="I74" s="3" t="s">
        <v>222</v>
      </c>
      <c r="J74" s="8" t="str">
        <f t="shared" si="34"/>
        <v>class0013</v>
      </c>
      <c r="K74" s="8" t="str">
        <f t="shared" si="34"/>
        <v>dailoneskill0013</v>
      </c>
      <c r="L74" s="5" t="str">
        <f t="shared" si="27"/>
        <v>lootName72,DAIL/items/materia/class0013/TerrorKnight72.dbr,</v>
      </c>
      <c r="M74" s="5" t="str">
        <f t="shared" si="28"/>
        <v>lootWeight72,1,</v>
      </c>
      <c r="N74" t="str">
        <f t="shared" si="29"/>
        <v>5</v>
      </c>
      <c r="O74" t="str">
        <f t="shared" si="38"/>
        <v>copy .\dail_base3.dbr .\items\materia\class0013\TerrorKnight72.dbr /y</v>
      </c>
      <c r="P74" t="str">
        <f t="shared" si="24"/>
        <v>echo relicBitmap,items/craftingparts/components/component_a52_bristlyfur_b.tex, &gt;&gt; .\items\materia\class0013\TerrorKnight72.dbr</v>
      </c>
      <c r="Q74" t="str">
        <f t="shared" si="24"/>
        <v>echo itemCost,500000, &gt;&gt; .\items\materia\class0013\TerrorKnight72.dbr</v>
      </c>
      <c r="R74" t="str">
        <f t="shared" si="24"/>
        <v>echo description,dailCompDescTerrorKnight72, &gt;&gt; .\items\materia\class0013\TerrorKnight72.dbr</v>
      </c>
      <c r="S74" t="str">
        <f t="shared" si="24"/>
        <v>echo itemText,dailCompTextTerrorKnight72, &gt;&gt; .\items\materia\class0013\TerrorKnight72.dbr</v>
      </c>
      <c r="T74" t="str">
        <f t="shared" si="24"/>
        <v>echo augmentSkillLevel1,5, &gt;&gt; .\items\materia\class0013\TerrorKnight72.dbr</v>
      </c>
      <c r="U74" t="str">
        <f t="shared" si="24"/>
        <v>echo augmentSkillName1,records/skills/zenithclass01/mania_buff.dbr, &gt;&gt; .\items\materia\class0013\TerrorKnight72.dbr</v>
      </c>
      <c r="V74" s="5" t="s">
        <v>36</v>
      </c>
      <c r="W74" t="str">
        <f t="shared" si="30"/>
        <v>echo lootName72,DAIL/items/materia/class0013/TerrorKnight72.dbr, &gt;&gt; .\items\loottables\dailoneskill0013.dbr</v>
      </c>
      <c r="X74" t="str">
        <f t="shared" si="30"/>
        <v>echo lootWeight72,1, &gt;&gt; .\items\loottables\dailoneskill0013.dbr</v>
      </c>
      <c r="Y74" s="5" t="s">
        <v>36</v>
      </c>
      <c r="Z74" t="str">
        <f t="shared" si="31"/>
        <v xml:space="preserve"> dailCompDescTerrorKnight72=^pTerrorKnight's Gift of DAIL</v>
      </c>
      <c r="AA74" t="str">
        <f t="shared" si="39"/>
        <v>dailCompTextTerrorKnight72=^oThis feels warm to the touch, almost familiar ^w(This component only fits into the Medal Slot)</v>
      </c>
      <c r="AB74" s="5" t="s">
        <v>36</v>
      </c>
      <c r="AH74">
        <f t="shared" si="41"/>
        <v>69</v>
      </c>
      <c r="AI74">
        <f t="shared" si="35"/>
        <v>29</v>
      </c>
      <c r="AJ74">
        <f t="shared" si="40"/>
        <v>5</v>
      </c>
    </row>
    <row r="75" spans="1:36" x14ac:dyDescent="0.25">
      <c r="A75" s="5" t="s">
        <v>39</v>
      </c>
      <c r="B75" s="5" t="s">
        <v>30</v>
      </c>
      <c r="C75" s="5" t="str">
        <f t="shared" si="25"/>
        <v>description,dailCompDescTerrorKnight,</v>
      </c>
      <c r="D75" s="5" t="str">
        <f t="shared" si="26"/>
        <v>itemText,dailCompTextTerrorKnight,</v>
      </c>
      <c r="E75" s="5" t="str">
        <f t="shared" si="36"/>
        <v>augmentSkillLevel1,5,</v>
      </c>
      <c r="F75" s="5" t="str">
        <f t="shared" si="37"/>
        <v>augmentSkillName1,records/skills,</v>
      </c>
      <c r="G75" s="7" t="str">
        <f t="shared" si="32"/>
        <v/>
      </c>
      <c r="H75" s="8" t="str">
        <f t="shared" si="33"/>
        <v>TerrorKnight</v>
      </c>
      <c r="J75" s="8" t="str">
        <f t="shared" si="34"/>
        <v>class0013</v>
      </c>
      <c r="K75" s="8" t="str">
        <f t="shared" si="34"/>
        <v>dailoneskill0013</v>
      </c>
      <c r="L75" s="5" t="str">
        <f t="shared" si="27"/>
        <v>lootName,DAIL/items/materia/class0013/TerrorKnight.dbr,</v>
      </c>
      <c r="M75" s="5" t="str">
        <f t="shared" si="28"/>
        <v>lootWeight,1,</v>
      </c>
      <c r="N75" t="str">
        <f t="shared" si="29"/>
        <v>5</v>
      </c>
      <c r="O75" t="str">
        <f t="shared" si="38"/>
        <v/>
      </c>
      <c r="P75" t="str">
        <f t="shared" si="24"/>
        <v/>
      </c>
      <c r="Q75" t="str">
        <f t="shared" si="24"/>
        <v/>
      </c>
      <c r="R75" t="str">
        <f t="shared" si="24"/>
        <v/>
      </c>
      <c r="S75" t="str">
        <f t="shared" si="24"/>
        <v/>
      </c>
      <c r="T75" t="str">
        <f t="shared" si="24"/>
        <v/>
      </c>
      <c r="U75" t="str">
        <f t="shared" si="24"/>
        <v/>
      </c>
      <c r="V75" s="5" t="s">
        <v>36</v>
      </c>
      <c r="W75" t="str">
        <f t="shared" si="30"/>
        <v/>
      </c>
      <c r="X75" t="str">
        <f t="shared" si="30"/>
        <v/>
      </c>
      <c r="Y75" s="5" t="s">
        <v>36</v>
      </c>
      <c r="Z75" t="str">
        <f t="shared" si="31"/>
        <v xml:space="preserve"> dailCompDescTerrorKnight=^pTerrorKnight's Gift of DAIL</v>
      </c>
      <c r="AA75" t="str">
        <f t="shared" si="39"/>
        <v>dailCompTextTerrorKnight=^oThis feels warm to the touch, almost familiar ^w(This component only fits into the Medal Slot)</v>
      </c>
      <c r="AB75" s="5" t="s">
        <v>36</v>
      </c>
      <c r="AH75">
        <f t="shared" si="41"/>
        <v>70</v>
      </c>
      <c r="AI75">
        <f t="shared" si="35"/>
        <v>0</v>
      </c>
      <c r="AJ75">
        <f t="shared" si="40"/>
        <v>5</v>
      </c>
    </row>
    <row r="76" spans="1:36" x14ac:dyDescent="0.25">
      <c r="A76" s="5" t="s">
        <v>39</v>
      </c>
      <c r="B76" s="5" t="s">
        <v>30</v>
      </c>
      <c r="C76" s="5" t="str">
        <f t="shared" si="25"/>
        <v>description,dailCompDescTerrorKnight,</v>
      </c>
      <c r="D76" s="5" t="str">
        <f t="shared" si="26"/>
        <v>itemText,dailCompTextTerrorKnight,</v>
      </c>
      <c r="E76" s="5" t="str">
        <f t="shared" si="36"/>
        <v>augmentSkillLevel1,5,</v>
      </c>
      <c r="F76" s="5" t="str">
        <f t="shared" si="37"/>
        <v>augmentSkillName1,records/skills,</v>
      </c>
      <c r="G76" s="7" t="str">
        <f t="shared" si="32"/>
        <v/>
      </c>
      <c r="H76" s="8" t="str">
        <f t="shared" si="33"/>
        <v>TerrorKnight</v>
      </c>
      <c r="J76" s="8" t="str">
        <f t="shared" si="34"/>
        <v>class0013</v>
      </c>
      <c r="K76" s="8" t="str">
        <f t="shared" si="34"/>
        <v>dailoneskill0013</v>
      </c>
      <c r="L76" s="5" t="str">
        <f t="shared" si="27"/>
        <v>lootName,DAIL/items/materia/class0013/TerrorKnight.dbr,</v>
      </c>
      <c r="M76" s="5" t="str">
        <f t="shared" si="28"/>
        <v>lootWeight,1,</v>
      </c>
      <c r="N76" t="str">
        <f t="shared" si="29"/>
        <v>5</v>
      </c>
      <c r="O76" t="str">
        <f t="shared" si="38"/>
        <v/>
      </c>
      <c r="P76" t="str">
        <f t="shared" si="24"/>
        <v/>
      </c>
      <c r="Q76" t="str">
        <f t="shared" si="24"/>
        <v/>
      </c>
      <c r="R76" t="str">
        <f t="shared" si="24"/>
        <v/>
      </c>
      <c r="S76" t="str">
        <f t="shared" si="24"/>
        <v/>
      </c>
      <c r="T76" t="str">
        <f t="shared" si="24"/>
        <v/>
      </c>
      <c r="U76" t="str">
        <f t="shared" si="24"/>
        <v/>
      </c>
      <c r="V76" s="5" t="s">
        <v>36</v>
      </c>
      <c r="W76" t="str">
        <f t="shared" si="30"/>
        <v/>
      </c>
      <c r="X76" t="str">
        <f t="shared" si="30"/>
        <v/>
      </c>
      <c r="Y76" s="5" t="s">
        <v>36</v>
      </c>
      <c r="Z76" t="str">
        <f t="shared" si="31"/>
        <v/>
      </c>
      <c r="AA76" t="str">
        <f t="shared" si="39"/>
        <v/>
      </c>
      <c r="AB76" s="5" t="s">
        <v>36</v>
      </c>
      <c r="AH76">
        <f t="shared" si="41"/>
        <v>71</v>
      </c>
      <c r="AI76">
        <f t="shared" si="35"/>
        <v>0</v>
      </c>
      <c r="AJ76">
        <f t="shared" si="40"/>
        <v>5</v>
      </c>
    </row>
    <row r="77" spans="1:36" x14ac:dyDescent="0.25">
      <c r="A77" s="5" t="s">
        <v>39</v>
      </c>
      <c r="B77" s="5" t="s">
        <v>30</v>
      </c>
      <c r="C77" s="5" t="str">
        <f t="shared" si="25"/>
        <v>description,dailCompDescTerrorKnight,</v>
      </c>
      <c r="D77" s="5" t="str">
        <f t="shared" si="26"/>
        <v>itemText,dailCompTextTerrorKnight,</v>
      </c>
      <c r="E77" s="5" t="str">
        <f t="shared" si="36"/>
        <v>augmentSkillLevel1,5,</v>
      </c>
      <c r="F77" s="5" t="str">
        <f t="shared" si="37"/>
        <v>augmentSkillName1,records/skills,</v>
      </c>
      <c r="G77" s="7" t="str">
        <f t="shared" si="32"/>
        <v/>
      </c>
      <c r="H77" s="8" t="str">
        <f t="shared" si="33"/>
        <v>TerrorKnight</v>
      </c>
      <c r="J77" s="8" t="str">
        <f t="shared" si="34"/>
        <v>class0013</v>
      </c>
      <c r="K77" s="8" t="str">
        <f t="shared" si="34"/>
        <v>dailoneskill0013</v>
      </c>
      <c r="L77" s="5" t="str">
        <f t="shared" si="27"/>
        <v>lootName,DAIL/items/materia/class0013/TerrorKnight.dbr,</v>
      </c>
      <c r="M77" s="5" t="str">
        <f t="shared" si="28"/>
        <v>lootWeight,1,</v>
      </c>
      <c r="N77" t="str">
        <f t="shared" si="29"/>
        <v>5</v>
      </c>
      <c r="O77" t="str">
        <f t="shared" si="38"/>
        <v/>
      </c>
      <c r="P77" t="str">
        <f t="shared" si="24"/>
        <v/>
      </c>
      <c r="Q77" t="str">
        <f t="shared" si="24"/>
        <v/>
      </c>
      <c r="R77" t="str">
        <f t="shared" si="24"/>
        <v/>
      </c>
      <c r="S77" t="str">
        <f t="shared" si="24"/>
        <v/>
      </c>
      <c r="T77" t="str">
        <f t="shared" si="24"/>
        <v/>
      </c>
      <c r="U77" t="str">
        <f t="shared" si="24"/>
        <v/>
      </c>
      <c r="V77" s="5" t="s">
        <v>36</v>
      </c>
      <c r="W77" t="str">
        <f t="shared" si="30"/>
        <v/>
      </c>
      <c r="X77" t="str">
        <f t="shared" si="30"/>
        <v/>
      </c>
      <c r="Y77" s="5" t="s">
        <v>36</v>
      </c>
      <c r="Z77" t="str">
        <f t="shared" si="31"/>
        <v/>
      </c>
      <c r="AA77" t="str">
        <f t="shared" si="39"/>
        <v/>
      </c>
      <c r="AB77" s="5" t="s">
        <v>36</v>
      </c>
      <c r="AH77">
        <f t="shared" si="41"/>
        <v>72</v>
      </c>
      <c r="AI77">
        <f t="shared" si="35"/>
        <v>0</v>
      </c>
      <c r="AJ77">
        <f t="shared" si="40"/>
        <v>5</v>
      </c>
    </row>
    <row r="78" spans="1:36" x14ac:dyDescent="0.25">
      <c r="A78" s="5" t="s">
        <v>39</v>
      </c>
      <c r="B78" s="5" t="s">
        <v>30</v>
      </c>
      <c r="C78" s="5" t="str">
        <f t="shared" si="25"/>
        <v>description,dailCompDescTerrorKnight,</v>
      </c>
      <c r="D78" s="5" t="str">
        <f t="shared" si="26"/>
        <v>itemText,dailCompTextTerrorKnight,</v>
      </c>
      <c r="E78" s="5" t="str">
        <f t="shared" si="36"/>
        <v>augmentSkillLevel1,5,</v>
      </c>
      <c r="F78" s="5" t="str">
        <f t="shared" si="37"/>
        <v>augmentSkillName1,records/skills,</v>
      </c>
      <c r="G78" s="7" t="str">
        <f t="shared" si="32"/>
        <v/>
      </c>
      <c r="H78" s="8" t="str">
        <f t="shared" si="33"/>
        <v>TerrorKnight</v>
      </c>
      <c r="J78" s="8" t="str">
        <f t="shared" si="34"/>
        <v>class0013</v>
      </c>
      <c r="K78" s="8" t="str">
        <f t="shared" si="34"/>
        <v>dailoneskill0013</v>
      </c>
      <c r="L78" s="5" t="str">
        <f t="shared" si="27"/>
        <v>lootName,DAIL/items/materia/class0013/TerrorKnight.dbr,</v>
      </c>
      <c r="M78" s="5" t="str">
        <f t="shared" si="28"/>
        <v>lootWeight,1,</v>
      </c>
      <c r="N78" t="str">
        <f t="shared" si="29"/>
        <v>5</v>
      </c>
      <c r="O78" t="str">
        <f t="shared" si="38"/>
        <v/>
      </c>
      <c r="P78" t="str">
        <f t="shared" si="24"/>
        <v/>
      </c>
      <c r="Q78" t="str">
        <f t="shared" si="24"/>
        <v/>
      </c>
      <c r="R78" t="str">
        <f t="shared" si="24"/>
        <v/>
      </c>
      <c r="S78" t="str">
        <f t="shared" si="24"/>
        <v/>
      </c>
      <c r="T78" t="str">
        <f t="shared" si="24"/>
        <v/>
      </c>
      <c r="U78" t="str">
        <f t="shared" si="24"/>
        <v/>
      </c>
      <c r="V78" s="5" t="s">
        <v>36</v>
      </c>
      <c r="W78" t="str">
        <f t="shared" si="30"/>
        <v/>
      </c>
      <c r="X78" t="str">
        <f t="shared" si="30"/>
        <v/>
      </c>
      <c r="Y78" s="5" t="s">
        <v>36</v>
      </c>
      <c r="Z78" t="str">
        <f t="shared" si="31"/>
        <v/>
      </c>
      <c r="AA78" t="str">
        <f t="shared" si="39"/>
        <v/>
      </c>
      <c r="AB78" s="5" t="s">
        <v>36</v>
      </c>
      <c r="AH78">
        <f t="shared" si="41"/>
        <v>73</v>
      </c>
      <c r="AI78">
        <f t="shared" si="35"/>
        <v>0</v>
      </c>
      <c r="AJ78">
        <f t="shared" si="40"/>
        <v>5</v>
      </c>
    </row>
    <row r="79" spans="1:36" x14ac:dyDescent="0.25">
      <c r="A79" s="5" t="s">
        <v>39</v>
      </c>
      <c r="B79" s="5" t="s">
        <v>30</v>
      </c>
      <c r="C79" s="5" t="str">
        <f t="shared" si="25"/>
        <v>description,dailCompDescTerrorKnight,</v>
      </c>
      <c r="D79" s="5" t="str">
        <f t="shared" si="26"/>
        <v>itemText,dailCompTextTerrorKnight,</v>
      </c>
      <c r="E79" s="5" t="str">
        <f t="shared" si="36"/>
        <v>augmentSkillLevel1,5,</v>
      </c>
      <c r="F79" s="5" t="str">
        <f t="shared" si="37"/>
        <v>augmentSkillName1,records/skills,</v>
      </c>
      <c r="G79" s="7" t="str">
        <f t="shared" si="32"/>
        <v/>
      </c>
      <c r="H79" s="8" t="str">
        <f t="shared" si="33"/>
        <v>TerrorKnight</v>
      </c>
      <c r="J79" s="8" t="str">
        <f t="shared" si="34"/>
        <v>class0013</v>
      </c>
      <c r="K79" s="8" t="str">
        <f t="shared" si="34"/>
        <v>dailoneskill0013</v>
      </c>
      <c r="L79" s="5" t="str">
        <f t="shared" si="27"/>
        <v>lootName,DAIL/items/materia/class0013/TerrorKnight.dbr,</v>
      </c>
      <c r="M79" s="5" t="str">
        <f t="shared" si="28"/>
        <v>lootWeight,1,</v>
      </c>
      <c r="N79" t="str">
        <f t="shared" si="29"/>
        <v>5</v>
      </c>
      <c r="O79" t="str">
        <f t="shared" si="38"/>
        <v/>
      </c>
      <c r="P79" t="str">
        <f t="shared" si="24"/>
        <v/>
      </c>
      <c r="Q79" t="str">
        <f t="shared" si="24"/>
        <v/>
      </c>
      <c r="R79" t="str">
        <f t="shared" si="24"/>
        <v/>
      </c>
      <c r="S79" t="str">
        <f t="shared" si="24"/>
        <v/>
      </c>
      <c r="T79" t="str">
        <f t="shared" si="24"/>
        <v/>
      </c>
      <c r="U79" t="str">
        <f t="shared" si="24"/>
        <v/>
      </c>
      <c r="V79" s="5" t="s">
        <v>36</v>
      </c>
      <c r="W79" t="str">
        <f t="shared" si="30"/>
        <v/>
      </c>
      <c r="X79" t="str">
        <f t="shared" si="30"/>
        <v/>
      </c>
      <c r="Y79" s="5" t="s">
        <v>36</v>
      </c>
      <c r="Z79" t="str">
        <f t="shared" si="31"/>
        <v/>
      </c>
      <c r="AA79" t="str">
        <f t="shared" si="39"/>
        <v/>
      </c>
      <c r="AB79" s="5" t="s">
        <v>36</v>
      </c>
      <c r="AH79">
        <f t="shared" si="41"/>
        <v>74</v>
      </c>
      <c r="AI79">
        <f t="shared" si="35"/>
        <v>0</v>
      </c>
      <c r="AJ79">
        <f t="shared" si="40"/>
        <v>5</v>
      </c>
    </row>
    <row r="80" spans="1:36" x14ac:dyDescent="0.25">
      <c r="A80" s="5" t="s">
        <v>39</v>
      </c>
      <c r="B80" s="5" t="s">
        <v>30</v>
      </c>
      <c r="C80" s="5" t="str">
        <f t="shared" si="25"/>
        <v>description,dailCompDescTerrorKnight,</v>
      </c>
      <c r="D80" s="5" t="str">
        <f t="shared" si="26"/>
        <v>itemText,dailCompTextTerrorKnight,</v>
      </c>
      <c r="E80" s="5" t="str">
        <f t="shared" si="36"/>
        <v>augmentSkillLevel1,5,</v>
      </c>
      <c r="F80" s="5" t="str">
        <f t="shared" si="37"/>
        <v>augmentSkillName1,records/skills,</v>
      </c>
      <c r="G80" s="7" t="str">
        <f t="shared" si="32"/>
        <v/>
      </c>
      <c r="H80" s="8" t="str">
        <f t="shared" si="33"/>
        <v>TerrorKnight</v>
      </c>
      <c r="J80" s="8" t="str">
        <f t="shared" si="34"/>
        <v>class0013</v>
      </c>
      <c r="K80" s="8" t="str">
        <f t="shared" si="34"/>
        <v>dailoneskill0013</v>
      </c>
      <c r="L80" s="5" t="str">
        <f t="shared" si="27"/>
        <v>lootName,DAIL/items/materia/class0013/TerrorKnight.dbr,</v>
      </c>
      <c r="M80" s="5" t="str">
        <f t="shared" si="28"/>
        <v>lootWeight,1,</v>
      </c>
      <c r="N80" t="str">
        <f t="shared" si="29"/>
        <v>5</v>
      </c>
      <c r="O80" t="str">
        <f t="shared" si="38"/>
        <v/>
      </c>
      <c r="P80" t="str">
        <f t="shared" si="24"/>
        <v/>
      </c>
      <c r="Q80" t="str">
        <f t="shared" si="24"/>
        <v/>
      </c>
      <c r="R80" t="str">
        <f t="shared" si="24"/>
        <v/>
      </c>
      <c r="S80" t="str">
        <f t="shared" si="24"/>
        <v/>
      </c>
      <c r="T80" t="str">
        <f t="shared" si="24"/>
        <v/>
      </c>
      <c r="U80" t="str">
        <f t="shared" si="24"/>
        <v/>
      </c>
      <c r="V80" s="5" t="s">
        <v>36</v>
      </c>
      <c r="W80" t="str">
        <f t="shared" si="30"/>
        <v/>
      </c>
      <c r="X80" t="str">
        <f t="shared" si="30"/>
        <v/>
      </c>
      <c r="Y80" s="5" t="s">
        <v>36</v>
      </c>
      <c r="Z80" t="str">
        <f t="shared" si="31"/>
        <v/>
      </c>
      <c r="AA80" t="str">
        <f t="shared" si="39"/>
        <v/>
      </c>
      <c r="AB80" s="5" t="s">
        <v>36</v>
      </c>
      <c r="AH80">
        <f t="shared" si="41"/>
        <v>75</v>
      </c>
      <c r="AI80">
        <f t="shared" si="35"/>
        <v>0</v>
      </c>
      <c r="AJ80">
        <f t="shared" si="40"/>
        <v>5</v>
      </c>
    </row>
    <row r="81" spans="1:36" x14ac:dyDescent="0.25">
      <c r="A81" s="5" t="s">
        <v>39</v>
      </c>
      <c r="B81" s="5" t="s">
        <v>30</v>
      </c>
      <c r="C81" s="5" t="str">
        <f t="shared" si="25"/>
        <v>description,dailCompDescTerrorKnight,</v>
      </c>
      <c r="D81" s="5" t="str">
        <f t="shared" si="26"/>
        <v>itemText,dailCompTextTerrorKnight,</v>
      </c>
      <c r="E81" s="5" t="str">
        <f t="shared" si="36"/>
        <v>augmentSkillLevel1,5,</v>
      </c>
      <c r="F81" s="5" t="str">
        <f t="shared" si="37"/>
        <v>augmentSkillName1,records/skills,</v>
      </c>
      <c r="G81" s="7" t="str">
        <f t="shared" si="32"/>
        <v/>
      </c>
      <c r="H81" s="8" t="str">
        <f t="shared" si="33"/>
        <v>TerrorKnight</v>
      </c>
      <c r="J81" s="8" t="str">
        <f t="shared" si="34"/>
        <v>class0013</v>
      </c>
      <c r="K81" s="8" t="str">
        <f t="shared" si="34"/>
        <v>dailoneskill0013</v>
      </c>
      <c r="L81" s="5" t="str">
        <f t="shared" si="27"/>
        <v>lootName,DAIL/items/materia/class0013/TerrorKnight.dbr,</v>
      </c>
      <c r="M81" s="5" t="str">
        <f t="shared" si="28"/>
        <v>lootWeight,1,</v>
      </c>
      <c r="N81" t="str">
        <f t="shared" si="29"/>
        <v>5</v>
      </c>
      <c r="O81" t="str">
        <f t="shared" si="38"/>
        <v/>
      </c>
      <c r="P81" t="str">
        <f t="shared" si="24"/>
        <v/>
      </c>
      <c r="Q81" t="str">
        <f t="shared" si="24"/>
        <v/>
      </c>
      <c r="R81" t="str">
        <f t="shared" si="24"/>
        <v/>
      </c>
      <c r="S81" t="str">
        <f t="shared" si="24"/>
        <v/>
      </c>
      <c r="T81" t="str">
        <f t="shared" si="24"/>
        <v/>
      </c>
      <c r="U81" t="str">
        <f t="shared" si="24"/>
        <v/>
      </c>
      <c r="V81" s="5" t="s">
        <v>36</v>
      </c>
      <c r="W81" t="str">
        <f t="shared" si="30"/>
        <v/>
      </c>
      <c r="X81" t="str">
        <f t="shared" si="30"/>
        <v/>
      </c>
      <c r="Y81" s="5" t="s">
        <v>36</v>
      </c>
      <c r="Z81" t="str">
        <f t="shared" si="31"/>
        <v/>
      </c>
      <c r="AA81" t="str">
        <f t="shared" si="39"/>
        <v/>
      </c>
      <c r="AB81" s="5" t="s">
        <v>36</v>
      </c>
      <c r="AH81">
        <f t="shared" si="41"/>
        <v>76</v>
      </c>
      <c r="AI81">
        <f t="shared" si="35"/>
        <v>0</v>
      </c>
      <c r="AJ81">
        <f t="shared" si="40"/>
        <v>5</v>
      </c>
    </row>
    <row r="82" spans="1:36" x14ac:dyDescent="0.25">
      <c r="A82" s="5" t="s">
        <v>39</v>
      </c>
      <c r="B82" s="5" t="s">
        <v>30</v>
      </c>
      <c r="C82" s="5" t="str">
        <f t="shared" si="25"/>
        <v>description,dailCompDescTerrorKnight,</v>
      </c>
      <c r="D82" s="5" t="str">
        <f t="shared" si="26"/>
        <v>itemText,dailCompTextTerrorKnight,</v>
      </c>
      <c r="E82" s="5" t="str">
        <f t="shared" si="36"/>
        <v>augmentSkillLevel1,5,</v>
      </c>
      <c r="F82" s="5" t="str">
        <f t="shared" si="37"/>
        <v>augmentSkillName1,records/skills,</v>
      </c>
      <c r="G82" s="7" t="str">
        <f t="shared" si="32"/>
        <v/>
      </c>
      <c r="H82" s="8" t="str">
        <f t="shared" si="33"/>
        <v>TerrorKnight</v>
      </c>
      <c r="J82" s="8" t="str">
        <f t="shared" si="34"/>
        <v>class0013</v>
      </c>
      <c r="K82" s="8" t="str">
        <f t="shared" si="34"/>
        <v>dailoneskill0013</v>
      </c>
      <c r="L82" s="5" t="str">
        <f t="shared" si="27"/>
        <v>lootName,DAIL/items/materia/class0013/TerrorKnight.dbr,</v>
      </c>
      <c r="M82" s="5" t="str">
        <f t="shared" si="28"/>
        <v>lootWeight,1,</v>
      </c>
      <c r="N82" t="str">
        <f t="shared" si="29"/>
        <v>5</v>
      </c>
      <c r="O82" t="str">
        <f t="shared" si="38"/>
        <v/>
      </c>
      <c r="P82" t="str">
        <f t="shared" si="24"/>
        <v/>
      </c>
      <c r="Q82" t="str">
        <f t="shared" si="24"/>
        <v/>
      </c>
      <c r="R82" t="str">
        <f t="shared" si="24"/>
        <v/>
      </c>
      <c r="S82" t="str">
        <f t="shared" si="24"/>
        <v/>
      </c>
      <c r="T82" t="str">
        <f t="shared" si="24"/>
        <v/>
      </c>
      <c r="U82" t="str">
        <f t="shared" si="24"/>
        <v/>
      </c>
      <c r="V82" s="5" t="s">
        <v>36</v>
      </c>
      <c r="W82" t="str">
        <f t="shared" si="30"/>
        <v/>
      </c>
      <c r="X82" t="str">
        <f t="shared" si="30"/>
        <v/>
      </c>
      <c r="Y82" s="5" t="s">
        <v>36</v>
      </c>
      <c r="Z82" t="str">
        <f t="shared" si="31"/>
        <v/>
      </c>
      <c r="AA82" t="str">
        <f t="shared" si="39"/>
        <v/>
      </c>
      <c r="AB82" s="5" t="s">
        <v>36</v>
      </c>
      <c r="AH82">
        <f t="shared" si="41"/>
        <v>77</v>
      </c>
      <c r="AI82">
        <f t="shared" si="35"/>
        <v>0</v>
      </c>
      <c r="AJ82">
        <f t="shared" si="40"/>
        <v>5</v>
      </c>
    </row>
    <row r="83" spans="1:36" x14ac:dyDescent="0.25">
      <c r="A83" s="5" t="s">
        <v>39</v>
      </c>
      <c r="B83" s="5" t="s">
        <v>30</v>
      </c>
      <c r="C83" s="5" t="str">
        <f t="shared" si="25"/>
        <v>description,dailCompDescTerrorKnight,</v>
      </c>
      <c r="D83" s="5" t="str">
        <f t="shared" si="26"/>
        <v>itemText,dailCompTextTerrorKnight,</v>
      </c>
      <c r="E83" s="5" t="str">
        <f t="shared" si="36"/>
        <v>augmentSkillLevel1,5,</v>
      </c>
      <c r="F83" s="5" t="str">
        <f t="shared" si="37"/>
        <v>augmentSkillName1,records/skills,</v>
      </c>
      <c r="G83" s="7" t="str">
        <f t="shared" si="32"/>
        <v/>
      </c>
      <c r="H83" s="8" t="str">
        <f t="shared" si="33"/>
        <v>TerrorKnight</v>
      </c>
      <c r="J83" s="8" t="str">
        <f t="shared" si="34"/>
        <v>class0013</v>
      </c>
      <c r="K83" s="8" t="str">
        <f t="shared" si="34"/>
        <v>dailoneskill0013</v>
      </c>
      <c r="L83" s="5" t="str">
        <f t="shared" si="27"/>
        <v>lootName,DAIL/items/materia/class0013/TerrorKnight.dbr,</v>
      </c>
      <c r="M83" s="5" t="str">
        <f t="shared" si="28"/>
        <v>lootWeight,1,</v>
      </c>
      <c r="N83" t="str">
        <f t="shared" si="29"/>
        <v>5</v>
      </c>
      <c r="O83" t="str">
        <f t="shared" si="38"/>
        <v/>
      </c>
      <c r="P83" t="str">
        <f t="shared" si="24"/>
        <v/>
      </c>
      <c r="Q83" t="str">
        <f t="shared" si="24"/>
        <v/>
      </c>
      <c r="R83" t="str">
        <f t="shared" si="24"/>
        <v/>
      </c>
      <c r="S83" t="str">
        <f t="shared" si="24"/>
        <v/>
      </c>
      <c r="T83" t="str">
        <f t="shared" si="24"/>
        <v/>
      </c>
      <c r="U83" t="str">
        <f t="shared" si="24"/>
        <v/>
      </c>
      <c r="V83" s="5" t="s">
        <v>36</v>
      </c>
      <c r="W83" t="str">
        <f t="shared" si="30"/>
        <v/>
      </c>
      <c r="X83" t="str">
        <f t="shared" si="30"/>
        <v/>
      </c>
      <c r="Y83" s="5" t="s">
        <v>36</v>
      </c>
      <c r="Z83" t="str">
        <f t="shared" si="31"/>
        <v/>
      </c>
      <c r="AA83" t="str">
        <f t="shared" si="39"/>
        <v/>
      </c>
      <c r="AB83" s="5" t="s">
        <v>36</v>
      </c>
      <c r="AH83">
        <f t="shared" si="41"/>
        <v>78</v>
      </c>
      <c r="AI83">
        <f t="shared" si="35"/>
        <v>0</v>
      </c>
      <c r="AJ83">
        <f t="shared" si="40"/>
        <v>5</v>
      </c>
    </row>
    <row r="84" spans="1:36" x14ac:dyDescent="0.25">
      <c r="A84" s="5" t="s">
        <v>39</v>
      </c>
      <c r="B84" s="5" t="s">
        <v>30</v>
      </c>
      <c r="C84" s="5" t="str">
        <f t="shared" si="25"/>
        <v>description,dailCompDescTerrorKnight,</v>
      </c>
      <c r="D84" s="5" t="str">
        <f t="shared" si="26"/>
        <v>itemText,dailCompTextTerrorKnight,</v>
      </c>
      <c r="E84" s="5" t="str">
        <f t="shared" si="36"/>
        <v>augmentSkillLevel1,5,</v>
      </c>
      <c r="F84" s="5" t="str">
        <f t="shared" si="37"/>
        <v>augmentSkillName1,records/skills,</v>
      </c>
      <c r="G84" s="7" t="str">
        <f t="shared" si="32"/>
        <v/>
      </c>
      <c r="H84" s="8" t="str">
        <f t="shared" si="33"/>
        <v>TerrorKnight</v>
      </c>
      <c r="J84" s="8" t="str">
        <f t="shared" si="34"/>
        <v>class0013</v>
      </c>
      <c r="K84" s="8" t="str">
        <f t="shared" si="34"/>
        <v>dailoneskill0013</v>
      </c>
      <c r="L84" s="5" t="str">
        <f t="shared" si="27"/>
        <v>lootName,DAIL/items/materia/class0013/TerrorKnight.dbr,</v>
      </c>
      <c r="M84" s="5" t="str">
        <f t="shared" si="28"/>
        <v>lootWeight,1,</v>
      </c>
      <c r="N84" t="str">
        <f t="shared" si="29"/>
        <v>5</v>
      </c>
      <c r="O84" t="str">
        <f t="shared" si="38"/>
        <v/>
      </c>
      <c r="P84" t="str">
        <f t="shared" si="24"/>
        <v/>
      </c>
      <c r="Q84" t="str">
        <f t="shared" si="24"/>
        <v/>
      </c>
      <c r="R84" t="str">
        <f t="shared" si="24"/>
        <v/>
      </c>
      <c r="S84" t="str">
        <f t="shared" si="24"/>
        <v/>
      </c>
      <c r="T84" t="str">
        <f t="shared" si="24"/>
        <v/>
      </c>
      <c r="U84" t="str">
        <f t="shared" si="24"/>
        <v/>
      </c>
      <c r="V84" s="5" t="s">
        <v>36</v>
      </c>
      <c r="W84" t="str">
        <f t="shared" si="30"/>
        <v/>
      </c>
      <c r="X84" t="str">
        <f t="shared" si="30"/>
        <v/>
      </c>
      <c r="Y84" s="5" t="s">
        <v>36</v>
      </c>
      <c r="Z84" t="str">
        <f t="shared" si="31"/>
        <v/>
      </c>
      <c r="AA84" t="str">
        <f t="shared" si="39"/>
        <v/>
      </c>
      <c r="AB84" s="5" t="s">
        <v>36</v>
      </c>
      <c r="AH84">
        <f t="shared" si="41"/>
        <v>79</v>
      </c>
      <c r="AI84">
        <f t="shared" si="35"/>
        <v>0</v>
      </c>
      <c r="AJ84">
        <f t="shared" si="40"/>
        <v>5</v>
      </c>
    </row>
    <row r="85" spans="1:36" x14ac:dyDescent="0.25">
      <c r="A85" s="5" t="s">
        <v>39</v>
      </c>
      <c r="B85" s="5" t="s">
        <v>30</v>
      </c>
      <c r="C85" s="5" t="str">
        <f t="shared" si="25"/>
        <v>description,dailCompDescTerrorKnight,</v>
      </c>
      <c r="D85" s="5" t="str">
        <f t="shared" si="26"/>
        <v>itemText,dailCompTextTerrorKnight,</v>
      </c>
      <c r="E85" s="5" t="str">
        <f t="shared" si="36"/>
        <v>augmentSkillLevel1,5,</v>
      </c>
      <c r="F85" s="5" t="str">
        <f t="shared" si="37"/>
        <v>augmentSkillName1,records/skills,</v>
      </c>
      <c r="G85" s="7" t="str">
        <f t="shared" si="32"/>
        <v/>
      </c>
      <c r="H85" s="8" t="str">
        <f t="shared" si="33"/>
        <v>TerrorKnight</v>
      </c>
      <c r="J85" s="8" t="str">
        <f t="shared" ref="J85:K100" si="42">J84</f>
        <v>class0013</v>
      </c>
      <c r="K85" s="8" t="str">
        <f t="shared" si="42"/>
        <v>dailoneskill0013</v>
      </c>
      <c r="L85" s="5" t="str">
        <f t="shared" si="27"/>
        <v>lootName,DAIL/items/materia/class0013/TerrorKnight.dbr,</v>
      </c>
      <c r="M85" s="5" t="str">
        <f t="shared" si="28"/>
        <v>lootWeight,1,</v>
      </c>
      <c r="N85" t="str">
        <f t="shared" si="29"/>
        <v>5</v>
      </c>
      <c r="O85" t="str">
        <f t="shared" si="38"/>
        <v/>
      </c>
      <c r="P85" t="str">
        <f t="shared" si="24"/>
        <v/>
      </c>
      <c r="Q85" t="str">
        <f t="shared" si="24"/>
        <v/>
      </c>
      <c r="R85" t="str">
        <f t="shared" si="24"/>
        <v/>
      </c>
      <c r="S85" t="str">
        <f t="shared" si="24"/>
        <v/>
      </c>
      <c r="T85" t="str">
        <f t="shared" si="24"/>
        <v/>
      </c>
      <c r="U85" t="str">
        <f t="shared" si="24"/>
        <v/>
      </c>
      <c r="V85" s="5" t="s">
        <v>36</v>
      </c>
      <c r="W85" t="str">
        <f t="shared" si="30"/>
        <v/>
      </c>
      <c r="X85" t="str">
        <f t="shared" si="30"/>
        <v/>
      </c>
      <c r="Y85" s="5" t="s">
        <v>36</v>
      </c>
      <c r="Z85" t="str">
        <f t="shared" si="31"/>
        <v/>
      </c>
      <c r="AA85" t="str">
        <f t="shared" si="39"/>
        <v/>
      </c>
      <c r="AB85" s="5" t="s">
        <v>36</v>
      </c>
      <c r="AH85">
        <f t="shared" si="41"/>
        <v>80</v>
      </c>
      <c r="AI85">
        <f t="shared" si="35"/>
        <v>0</v>
      </c>
      <c r="AJ85">
        <f t="shared" si="40"/>
        <v>5</v>
      </c>
    </row>
    <row r="86" spans="1:36" x14ac:dyDescent="0.25">
      <c r="A86" s="5" t="s">
        <v>39</v>
      </c>
      <c r="B86" s="5" t="s">
        <v>30</v>
      </c>
      <c r="C86" s="5" t="str">
        <f t="shared" si="25"/>
        <v>description,dailCompDescTerrorKnight,</v>
      </c>
      <c r="D86" s="5" t="str">
        <f t="shared" si="26"/>
        <v>itemText,dailCompTextTerrorKnight,</v>
      </c>
      <c r="E86" s="5" t="str">
        <f t="shared" si="36"/>
        <v>augmentSkillLevel1,5,</v>
      </c>
      <c r="F86" s="5" t="str">
        <f t="shared" si="37"/>
        <v>augmentSkillName1,records/skills,</v>
      </c>
      <c r="G86" s="7" t="str">
        <f t="shared" si="32"/>
        <v/>
      </c>
      <c r="H86" s="8" t="str">
        <f t="shared" si="33"/>
        <v>TerrorKnight</v>
      </c>
      <c r="J86" s="8" t="str">
        <f t="shared" si="42"/>
        <v>class0013</v>
      </c>
      <c r="K86" s="8" t="str">
        <f t="shared" si="42"/>
        <v>dailoneskill0013</v>
      </c>
      <c r="L86" s="5" t="str">
        <f t="shared" si="27"/>
        <v>lootName,DAIL/items/materia/class0013/TerrorKnight.dbr,</v>
      </c>
      <c r="M86" s="5" t="str">
        <f t="shared" si="28"/>
        <v>lootWeight,1,</v>
      </c>
      <c r="N86" t="str">
        <f t="shared" si="29"/>
        <v>5</v>
      </c>
      <c r="O86" t="str">
        <f t="shared" si="38"/>
        <v/>
      </c>
      <c r="P86" t="str">
        <f t="shared" si="24"/>
        <v/>
      </c>
      <c r="Q86" t="str">
        <f t="shared" si="24"/>
        <v/>
      </c>
      <c r="R86" t="str">
        <f t="shared" si="24"/>
        <v/>
      </c>
      <c r="S86" t="str">
        <f t="shared" si="24"/>
        <v/>
      </c>
      <c r="T86" t="str">
        <f t="shared" si="24"/>
        <v/>
      </c>
      <c r="U86" t="str">
        <f t="shared" si="24"/>
        <v/>
      </c>
      <c r="V86" s="5" t="s">
        <v>36</v>
      </c>
      <c r="W86" t="str">
        <f t="shared" si="30"/>
        <v/>
      </c>
      <c r="X86" t="str">
        <f t="shared" si="30"/>
        <v/>
      </c>
      <c r="Y86" s="5" t="s">
        <v>36</v>
      </c>
      <c r="Z86" t="str">
        <f t="shared" si="31"/>
        <v/>
      </c>
      <c r="AA86" t="str">
        <f t="shared" si="39"/>
        <v/>
      </c>
      <c r="AB86" s="5" t="s">
        <v>36</v>
      </c>
      <c r="AH86">
        <f t="shared" si="41"/>
        <v>81</v>
      </c>
      <c r="AI86">
        <f t="shared" si="35"/>
        <v>0</v>
      </c>
      <c r="AJ86">
        <f t="shared" si="40"/>
        <v>5</v>
      </c>
    </row>
    <row r="87" spans="1:36" x14ac:dyDescent="0.25">
      <c r="A87" s="5" t="s">
        <v>39</v>
      </c>
      <c r="B87" s="5" t="s">
        <v>30</v>
      </c>
      <c r="C87" s="5" t="str">
        <f t="shared" si="25"/>
        <v>description,dailCompDescTerrorKnight,</v>
      </c>
      <c r="D87" s="5" t="str">
        <f t="shared" si="26"/>
        <v>itemText,dailCompTextTerrorKnight,</v>
      </c>
      <c r="E87" s="5" t="str">
        <f t="shared" si="36"/>
        <v>augmentSkillLevel1,5,</v>
      </c>
      <c r="F87" s="5" t="str">
        <f t="shared" si="37"/>
        <v>augmentSkillName1,records/skills,</v>
      </c>
      <c r="G87" s="7" t="str">
        <f t="shared" si="32"/>
        <v/>
      </c>
      <c r="H87" s="8" t="str">
        <f t="shared" si="33"/>
        <v>TerrorKnight</v>
      </c>
      <c r="J87" s="8" t="str">
        <f t="shared" si="42"/>
        <v>class0013</v>
      </c>
      <c r="K87" s="8" t="str">
        <f t="shared" si="42"/>
        <v>dailoneskill0013</v>
      </c>
      <c r="L87" s="5" t="str">
        <f t="shared" si="27"/>
        <v>lootName,DAIL/items/materia/class0013/TerrorKnight.dbr,</v>
      </c>
      <c r="M87" s="5" t="str">
        <f t="shared" si="28"/>
        <v>lootWeight,1,</v>
      </c>
      <c r="N87" t="str">
        <f t="shared" si="29"/>
        <v>5</v>
      </c>
      <c r="O87" t="str">
        <f t="shared" si="38"/>
        <v/>
      </c>
      <c r="P87" t="str">
        <f t="shared" si="24"/>
        <v/>
      </c>
      <c r="Q87" t="str">
        <f t="shared" si="24"/>
        <v/>
      </c>
      <c r="R87" t="str">
        <f t="shared" si="24"/>
        <v/>
      </c>
      <c r="S87" t="str">
        <f t="shared" si="24"/>
        <v/>
      </c>
      <c r="T87" t="str">
        <f t="shared" si="24"/>
        <v/>
      </c>
      <c r="U87" t="str">
        <f t="shared" si="24"/>
        <v/>
      </c>
      <c r="V87" s="5" t="s">
        <v>36</v>
      </c>
      <c r="W87" t="str">
        <f t="shared" si="30"/>
        <v/>
      </c>
      <c r="X87" t="str">
        <f t="shared" si="30"/>
        <v/>
      </c>
      <c r="Y87" s="5" t="s">
        <v>36</v>
      </c>
      <c r="Z87" t="str">
        <f t="shared" si="31"/>
        <v/>
      </c>
      <c r="AA87" t="str">
        <f t="shared" si="39"/>
        <v/>
      </c>
      <c r="AB87" s="5" t="s">
        <v>36</v>
      </c>
      <c r="AH87">
        <f t="shared" si="41"/>
        <v>82</v>
      </c>
      <c r="AI87">
        <f t="shared" si="35"/>
        <v>0</v>
      </c>
      <c r="AJ87">
        <f t="shared" si="40"/>
        <v>5</v>
      </c>
    </row>
    <row r="88" spans="1:36" x14ac:dyDescent="0.25">
      <c r="A88" s="5" t="s">
        <v>39</v>
      </c>
      <c r="B88" s="5" t="s">
        <v>30</v>
      </c>
      <c r="C88" s="5" t="str">
        <f t="shared" si="25"/>
        <v>description,dailCompDescTerrorKnight,</v>
      </c>
      <c r="D88" s="5" t="str">
        <f t="shared" si="26"/>
        <v>itemText,dailCompTextTerrorKnight,</v>
      </c>
      <c r="E88" s="5" t="str">
        <f t="shared" si="36"/>
        <v>augmentSkillLevel1,5,</v>
      </c>
      <c r="F88" s="5" t="str">
        <f t="shared" si="37"/>
        <v>augmentSkillName1,records/skills,</v>
      </c>
      <c r="G88" s="7" t="str">
        <f t="shared" si="32"/>
        <v/>
      </c>
      <c r="H88" s="8" t="str">
        <f t="shared" si="33"/>
        <v>TerrorKnight</v>
      </c>
      <c r="J88" s="8" t="str">
        <f t="shared" si="42"/>
        <v>class0013</v>
      </c>
      <c r="K88" s="8" t="str">
        <f t="shared" si="42"/>
        <v>dailoneskill0013</v>
      </c>
      <c r="L88" s="5" t="str">
        <f t="shared" si="27"/>
        <v>lootName,DAIL/items/materia/class0013/TerrorKnight.dbr,</v>
      </c>
      <c r="M88" s="5" t="str">
        <f t="shared" si="28"/>
        <v>lootWeight,1,</v>
      </c>
      <c r="N88" t="str">
        <f t="shared" si="29"/>
        <v>5</v>
      </c>
      <c r="O88" t="str">
        <f t="shared" si="38"/>
        <v/>
      </c>
      <c r="P88" t="str">
        <f t="shared" si="24"/>
        <v/>
      </c>
      <c r="Q88" t="str">
        <f t="shared" si="24"/>
        <v/>
      </c>
      <c r="R88" t="str">
        <f t="shared" si="24"/>
        <v/>
      </c>
      <c r="S88" t="str">
        <f t="shared" si="24"/>
        <v/>
      </c>
      <c r="T88" t="str">
        <f t="shared" si="24"/>
        <v/>
      </c>
      <c r="U88" t="str">
        <f t="shared" si="24"/>
        <v/>
      </c>
      <c r="V88" s="5" t="s">
        <v>36</v>
      </c>
      <c r="W88" t="str">
        <f t="shared" si="30"/>
        <v/>
      </c>
      <c r="X88" t="str">
        <f t="shared" si="30"/>
        <v/>
      </c>
      <c r="Y88" s="5" t="s">
        <v>36</v>
      </c>
      <c r="Z88" t="str">
        <f t="shared" si="31"/>
        <v/>
      </c>
      <c r="AA88" t="str">
        <f t="shared" si="39"/>
        <v/>
      </c>
      <c r="AB88" s="5" t="s">
        <v>36</v>
      </c>
      <c r="AH88">
        <f t="shared" si="41"/>
        <v>83</v>
      </c>
      <c r="AI88">
        <f t="shared" si="35"/>
        <v>0</v>
      </c>
      <c r="AJ88">
        <f t="shared" si="40"/>
        <v>5</v>
      </c>
    </row>
    <row r="89" spans="1:36" x14ac:dyDescent="0.25">
      <c r="A89" s="5" t="s">
        <v>39</v>
      </c>
      <c r="B89" s="5" t="s">
        <v>30</v>
      </c>
      <c r="C89" s="5" t="str">
        <f t="shared" si="25"/>
        <v>description,dailCompDescTerrorKnight,</v>
      </c>
      <c r="D89" s="5" t="str">
        <f t="shared" si="26"/>
        <v>itemText,dailCompTextTerrorKnight,</v>
      </c>
      <c r="E89" s="5" t="str">
        <f t="shared" si="36"/>
        <v>augmentSkillLevel1,5,</v>
      </c>
      <c r="F89" s="5" t="str">
        <f t="shared" si="37"/>
        <v>augmentSkillName1,records/skills,</v>
      </c>
      <c r="G89" s="7" t="str">
        <f t="shared" si="32"/>
        <v/>
      </c>
      <c r="H89" s="8" t="str">
        <f t="shared" si="33"/>
        <v>TerrorKnight</v>
      </c>
      <c r="J89" s="8" t="str">
        <f t="shared" si="42"/>
        <v>class0013</v>
      </c>
      <c r="K89" s="8" t="str">
        <f t="shared" si="42"/>
        <v>dailoneskill0013</v>
      </c>
      <c r="L89" s="5" t="str">
        <f t="shared" si="27"/>
        <v>lootName,DAIL/items/materia/class0013/TerrorKnight.dbr,</v>
      </c>
      <c r="M89" s="5" t="str">
        <f t="shared" si="28"/>
        <v>lootWeight,1,</v>
      </c>
      <c r="N89" t="str">
        <f t="shared" si="29"/>
        <v>5</v>
      </c>
      <c r="O89" t="str">
        <f t="shared" si="38"/>
        <v/>
      </c>
      <c r="P89" t="str">
        <f t="shared" si="24"/>
        <v/>
      </c>
      <c r="Q89" t="str">
        <f t="shared" si="24"/>
        <v/>
      </c>
      <c r="R89" t="str">
        <f t="shared" si="24"/>
        <v/>
      </c>
      <c r="S89" t="str">
        <f t="shared" si="24"/>
        <v/>
      </c>
      <c r="T89" t="str">
        <f t="shared" si="24"/>
        <v/>
      </c>
      <c r="U89" t="str">
        <f t="shared" si="24"/>
        <v/>
      </c>
      <c r="V89" s="5" t="s">
        <v>36</v>
      </c>
      <c r="W89" t="str">
        <f t="shared" si="30"/>
        <v/>
      </c>
      <c r="X89" t="str">
        <f t="shared" si="30"/>
        <v/>
      </c>
      <c r="Y89" s="5" t="s">
        <v>36</v>
      </c>
      <c r="Z89" t="str">
        <f t="shared" si="31"/>
        <v/>
      </c>
      <c r="AA89" t="str">
        <f t="shared" si="39"/>
        <v/>
      </c>
      <c r="AB89" s="5" t="s">
        <v>36</v>
      </c>
      <c r="AH89">
        <f t="shared" si="41"/>
        <v>84</v>
      </c>
      <c r="AI89">
        <f t="shared" si="35"/>
        <v>0</v>
      </c>
      <c r="AJ89">
        <f t="shared" si="40"/>
        <v>5</v>
      </c>
    </row>
    <row r="90" spans="1:36" x14ac:dyDescent="0.25">
      <c r="A90" s="5" t="s">
        <v>39</v>
      </c>
      <c r="B90" s="5" t="s">
        <v>30</v>
      </c>
      <c r="C90" s="5" t="str">
        <f t="shared" si="25"/>
        <v>description,dailCompDescTerrorKnight,</v>
      </c>
      <c r="D90" s="5" t="str">
        <f t="shared" si="26"/>
        <v>itemText,dailCompTextTerrorKnight,</v>
      </c>
      <c r="E90" s="5" t="str">
        <f t="shared" si="36"/>
        <v>augmentSkillLevel1,5,</v>
      </c>
      <c r="F90" s="5" t="str">
        <f t="shared" si="37"/>
        <v>augmentSkillName1,records/skills,</v>
      </c>
      <c r="G90" s="7" t="str">
        <f t="shared" si="32"/>
        <v/>
      </c>
      <c r="H90" s="8" t="str">
        <f t="shared" si="33"/>
        <v>TerrorKnight</v>
      </c>
      <c r="J90" s="8" t="str">
        <f t="shared" si="42"/>
        <v>class0013</v>
      </c>
      <c r="K90" s="8" t="str">
        <f t="shared" si="42"/>
        <v>dailoneskill0013</v>
      </c>
      <c r="L90" s="5" t="str">
        <f t="shared" si="27"/>
        <v>lootName,DAIL/items/materia/class0013/TerrorKnight.dbr,</v>
      </c>
      <c r="M90" s="5" t="str">
        <f t="shared" si="28"/>
        <v>lootWeight,1,</v>
      </c>
      <c r="N90" t="str">
        <f t="shared" si="29"/>
        <v>5</v>
      </c>
      <c r="O90" t="str">
        <f t="shared" si="38"/>
        <v/>
      </c>
      <c r="P90" t="str">
        <f t="shared" si="24"/>
        <v/>
      </c>
      <c r="Q90" t="str">
        <f t="shared" si="24"/>
        <v/>
      </c>
      <c r="R90" t="str">
        <f t="shared" si="24"/>
        <v/>
      </c>
      <c r="S90" t="str">
        <f t="shared" si="24"/>
        <v/>
      </c>
      <c r="T90" t="str">
        <f t="shared" si="24"/>
        <v/>
      </c>
      <c r="U90" t="str">
        <f t="shared" si="24"/>
        <v/>
      </c>
      <c r="V90" s="5" t="s">
        <v>36</v>
      </c>
      <c r="W90" t="str">
        <f t="shared" si="30"/>
        <v/>
      </c>
      <c r="X90" t="str">
        <f t="shared" si="30"/>
        <v/>
      </c>
      <c r="Y90" s="5" t="s">
        <v>36</v>
      </c>
      <c r="Z90" t="str">
        <f t="shared" si="31"/>
        <v/>
      </c>
      <c r="AA90" t="str">
        <f t="shared" si="39"/>
        <v/>
      </c>
      <c r="AB90" s="5" t="s">
        <v>36</v>
      </c>
      <c r="AH90">
        <f t="shared" si="41"/>
        <v>85</v>
      </c>
      <c r="AI90">
        <f t="shared" si="35"/>
        <v>0</v>
      </c>
      <c r="AJ90">
        <f t="shared" si="40"/>
        <v>5</v>
      </c>
    </row>
    <row r="91" spans="1:36" x14ac:dyDescent="0.25">
      <c r="A91" s="5" t="s">
        <v>39</v>
      </c>
      <c r="B91" s="5" t="s">
        <v>30</v>
      </c>
      <c r="C91" s="5" t="str">
        <f t="shared" si="25"/>
        <v>description,dailCompDescTerrorKnight,</v>
      </c>
      <c r="D91" s="5" t="str">
        <f t="shared" si="26"/>
        <v>itemText,dailCompTextTerrorKnight,</v>
      </c>
      <c r="E91" s="5" t="str">
        <f t="shared" si="36"/>
        <v>augmentSkillLevel1,5,</v>
      </c>
      <c r="F91" s="5" t="str">
        <f t="shared" si="37"/>
        <v>augmentSkillName1,records/skills,</v>
      </c>
      <c r="G91" s="7" t="str">
        <f t="shared" si="32"/>
        <v/>
      </c>
      <c r="H91" s="8" t="str">
        <f t="shared" si="33"/>
        <v>TerrorKnight</v>
      </c>
      <c r="J91" s="8" t="str">
        <f t="shared" si="42"/>
        <v>class0013</v>
      </c>
      <c r="K91" s="8" t="str">
        <f t="shared" si="42"/>
        <v>dailoneskill0013</v>
      </c>
      <c r="L91" s="5" t="str">
        <f t="shared" si="27"/>
        <v>lootName,DAIL/items/materia/class0013/TerrorKnight.dbr,</v>
      </c>
      <c r="M91" s="5" t="str">
        <f t="shared" si="28"/>
        <v>lootWeight,1,</v>
      </c>
      <c r="N91" t="str">
        <f t="shared" si="29"/>
        <v>5</v>
      </c>
      <c r="O91" t="str">
        <f t="shared" si="38"/>
        <v/>
      </c>
      <c r="P91" t="str">
        <f t="shared" si="24"/>
        <v/>
      </c>
      <c r="Q91" t="str">
        <f t="shared" si="24"/>
        <v/>
      </c>
      <c r="R91" t="str">
        <f t="shared" si="24"/>
        <v/>
      </c>
      <c r="S91" t="str">
        <f t="shared" si="24"/>
        <v/>
      </c>
      <c r="T91" t="str">
        <f t="shared" si="24"/>
        <v/>
      </c>
      <c r="U91" t="str">
        <f t="shared" si="24"/>
        <v/>
      </c>
      <c r="V91" s="5" t="s">
        <v>36</v>
      </c>
      <c r="W91" t="str">
        <f t="shared" si="30"/>
        <v/>
      </c>
      <c r="X91" t="str">
        <f t="shared" si="30"/>
        <v/>
      </c>
      <c r="Y91" s="5" t="s">
        <v>36</v>
      </c>
      <c r="Z91" t="str">
        <f t="shared" si="31"/>
        <v/>
      </c>
      <c r="AA91" t="str">
        <f t="shared" si="39"/>
        <v/>
      </c>
      <c r="AB91" s="5" t="s">
        <v>36</v>
      </c>
      <c r="AH91">
        <f t="shared" si="41"/>
        <v>86</v>
      </c>
      <c r="AI91">
        <f t="shared" si="35"/>
        <v>0</v>
      </c>
      <c r="AJ91">
        <f t="shared" si="40"/>
        <v>5</v>
      </c>
    </row>
    <row r="92" spans="1:36" x14ac:dyDescent="0.25">
      <c r="A92" s="5" t="s">
        <v>39</v>
      </c>
      <c r="B92" s="5" t="s">
        <v>30</v>
      </c>
      <c r="C92" s="5" t="str">
        <f t="shared" si="25"/>
        <v>description,dailCompDescTerrorKnight,</v>
      </c>
      <c r="D92" s="5" t="str">
        <f t="shared" si="26"/>
        <v>itemText,dailCompTextTerrorKnight,</v>
      </c>
      <c r="E92" s="5" t="str">
        <f t="shared" si="36"/>
        <v>augmentSkillLevel1,5,</v>
      </c>
      <c r="F92" s="5" t="str">
        <f t="shared" si="37"/>
        <v>augmentSkillName1,records/skills,</v>
      </c>
      <c r="G92" s="7" t="str">
        <f t="shared" si="32"/>
        <v/>
      </c>
      <c r="H92" s="8" t="str">
        <f t="shared" si="33"/>
        <v>TerrorKnight</v>
      </c>
      <c r="J92" s="8" t="str">
        <f t="shared" si="42"/>
        <v>class0013</v>
      </c>
      <c r="K92" s="8" t="str">
        <f t="shared" si="42"/>
        <v>dailoneskill0013</v>
      </c>
      <c r="L92" s="5" t="str">
        <f t="shared" si="27"/>
        <v>lootName,DAIL/items/materia/class0013/TerrorKnight.dbr,</v>
      </c>
      <c r="M92" s="5" t="str">
        <f t="shared" si="28"/>
        <v>lootWeight,1,</v>
      </c>
      <c r="N92" t="str">
        <f t="shared" si="29"/>
        <v>5</v>
      </c>
      <c r="O92" t="str">
        <f t="shared" si="38"/>
        <v/>
      </c>
      <c r="P92" t="str">
        <f t="shared" si="24"/>
        <v/>
      </c>
      <c r="Q92" t="str">
        <f t="shared" si="24"/>
        <v/>
      </c>
      <c r="R92" t="str">
        <f t="shared" si="24"/>
        <v/>
      </c>
      <c r="S92" t="str">
        <f t="shared" si="24"/>
        <v/>
      </c>
      <c r="T92" t="str">
        <f t="shared" si="24"/>
        <v/>
      </c>
      <c r="U92" t="str">
        <f t="shared" si="24"/>
        <v/>
      </c>
      <c r="V92" s="5" t="s">
        <v>36</v>
      </c>
      <c r="W92" t="str">
        <f t="shared" si="30"/>
        <v/>
      </c>
      <c r="X92" t="str">
        <f t="shared" si="30"/>
        <v/>
      </c>
      <c r="Y92" s="5" t="s">
        <v>36</v>
      </c>
      <c r="Z92" t="str">
        <f t="shared" si="31"/>
        <v/>
      </c>
      <c r="AA92" t="str">
        <f t="shared" si="39"/>
        <v/>
      </c>
      <c r="AB92" s="5" t="s">
        <v>36</v>
      </c>
      <c r="AH92">
        <f t="shared" si="41"/>
        <v>87</v>
      </c>
      <c r="AI92">
        <f t="shared" si="35"/>
        <v>0</v>
      </c>
      <c r="AJ92">
        <f t="shared" si="40"/>
        <v>5</v>
      </c>
    </row>
    <row r="93" spans="1:36" x14ac:dyDescent="0.25">
      <c r="A93" s="5" t="s">
        <v>39</v>
      </c>
      <c r="B93" s="5" t="s">
        <v>30</v>
      </c>
      <c r="C93" s="5" t="str">
        <f t="shared" si="25"/>
        <v>description,dailCompDescTerrorKnight,</v>
      </c>
      <c r="D93" s="5" t="str">
        <f t="shared" si="26"/>
        <v>itemText,dailCompTextTerrorKnight,</v>
      </c>
      <c r="E93" s="5" t="str">
        <f t="shared" si="36"/>
        <v>augmentSkillLevel1,5,</v>
      </c>
      <c r="F93" s="5" t="str">
        <f t="shared" si="37"/>
        <v>augmentSkillName1,records/skills,</v>
      </c>
      <c r="G93" s="7" t="str">
        <f t="shared" si="32"/>
        <v/>
      </c>
      <c r="H93" s="8" t="str">
        <f t="shared" si="33"/>
        <v>TerrorKnight</v>
      </c>
      <c r="J93" s="8" t="str">
        <f t="shared" si="42"/>
        <v>class0013</v>
      </c>
      <c r="K93" s="8" t="str">
        <f t="shared" si="42"/>
        <v>dailoneskill0013</v>
      </c>
      <c r="L93" s="5" t="str">
        <f t="shared" si="27"/>
        <v>lootName,DAIL/items/materia/class0013/TerrorKnight.dbr,</v>
      </c>
      <c r="M93" s="5" t="str">
        <f t="shared" si="28"/>
        <v>lootWeight,1,</v>
      </c>
      <c r="N93" t="str">
        <f t="shared" si="29"/>
        <v>5</v>
      </c>
      <c r="O93" t="str">
        <f t="shared" si="38"/>
        <v/>
      </c>
      <c r="P93" t="str">
        <f t="shared" si="24"/>
        <v/>
      </c>
      <c r="Q93" t="str">
        <f t="shared" si="24"/>
        <v/>
      </c>
      <c r="R93" t="str">
        <f t="shared" si="24"/>
        <v/>
      </c>
      <c r="S93" t="str">
        <f t="shared" si="24"/>
        <v/>
      </c>
      <c r="T93" t="str">
        <f t="shared" si="24"/>
        <v/>
      </c>
      <c r="U93" t="str">
        <f t="shared" si="24"/>
        <v/>
      </c>
      <c r="V93" s="5" t="s">
        <v>36</v>
      </c>
      <c r="W93" t="str">
        <f t="shared" si="30"/>
        <v/>
      </c>
      <c r="X93" t="str">
        <f t="shared" si="30"/>
        <v/>
      </c>
      <c r="Y93" s="5" t="s">
        <v>36</v>
      </c>
      <c r="Z93" t="str">
        <f t="shared" si="31"/>
        <v/>
      </c>
      <c r="AA93" t="str">
        <f t="shared" si="39"/>
        <v/>
      </c>
      <c r="AB93" s="5" t="s">
        <v>36</v>
      </c>
      <c r="AH93">
        <f t="shared" si="41"/>
        <v>88</v>
      </c>
      <c r="AI93">
        <f t="shared" si="35"/>
        <v>0</v>
      </c>
      <c r="AJ93">
        <f t="shared" si="40"/>
        <v>5</v>
      </c>
    </row>
    <row r="94" spans="1:36" x14ac:dyDescent="0.25">
      <c r="A94" s="5" t="s">
        <v>39</v>
      </c>
      <c r="B94" s="5" t="s">
        <v>30</v>
      </c>
      <c r="C94" s="5" t="str">
        <f t="shared" si="25"/>
        <v>description,dailCompDescTerrorKnight,</v>
      </c>
      <c r="D94" s="5" t="str">
        <f t="shared" si="26"/>
        <v>itemText,dailCompTextTerrorKnight,</v>
      </c>
      <c r="E94" s="5" t="str">
        <f t="shared" si="36"/>
        <v>augmentSkillLevel1,5,</v>
      </c>
      <c r="F94" s="5" t="str">
        <f t="shared" si="37"/>
        <v>augmentSkillName1,records/skills,</v>
      </c>
      <c r="G94" s="7" t="str">
        <f t="shared" si="32"/>
        <v/>
      </c>
      <c r="H94" s="8" t="str">
        <f t="shared" si="33"/>
        <v>TerrorKnight</v>
      </c>
      <c r="J94" s="8" t="str">
        <f t="shared" si="42"/>
        <v>class0013</v>
      </c>
      <c r="K94" s="8" t="str">
        <f t="shared" si="42"/>
        <v>dailoneskill0013</v>
      </c>
      <c r="L94" s="5" t="str">
        <f t="shared" si="27"/>
        <v>lootName,DAIL/items/materia/class0013/TerrorKnight.dbr,</v>
      </c>
      <c r="M94" s="5" t="str">
        <f t="shared" si="28"/>
        <v>lootWeight,1,</v>
      </c>
      <c r="N94" t="str">
        <f t="shared" si="29"/>
        <v>5</v>
      </c>
      <c r="O94" t="str">
        <f t="shared" si="38"/>
        <v/>
      </c>
      <c r="P94" t="str">
        <f t="shared" si="24"/>
        <v/>
      </c>
      <c r="Q94" t="str">
        <f t="shared" si="24"/>
        <v/>
      </c>
      <c r="R94" t="str">
        <f t="shared" si="24"/>
        <v/>
      </c>
      <c r="S94" t="str">
        <f t="shared" si="24"/>
        <v/>
      </c>
      <c r="T94" t="str">
        <f t="shared" si="24"/>
        <v/>
      </c>
      <c r="U94" t="str">
        <f t="shared" si="24"/>
        <v/>
      </c>
      <c r="V94" s="5" t="s">
        <v>36</v>
      </c>
      <c r="W94" t="str">
        <f t="shared" si="30"/>
        <v/>
      </c>
      <c r="X94" t="str">
        <f t="shared" si="30"/>
        <v/>
      </c>
      <c r="Y94" s="5" t="s">
        <v>36</v>
      </c>
      <c r="Z94" t="str">
        <f t="shared" si="31"/>
        <v/>
      </c>
      <c r="AA94" t="str">
        <f t="shared" si="39"/>
        <v/>
      </c>
      <c r="AB94" s="5" t="s">
        <v>36</v>
      </c>
      <c r="AH94">
        <f t="shared" si="41"/>
        <v>89</v>
      </c>
      <c r="AI94">
        <f t="shared" si="35"/>
        <v>0</v>
      </c>
      <c r="AJ94">
        <f t="shared" si="40"/>
        <v>5</v>
      </c>
    </row>
    <row r="95" spans="1:36" x14ac:dyDescent="0.25">
      <c r="A95" s="5" t="s">
        <v>39</v>
      </c>
      <c r="B95" s="5" t="s">
        <v>30</v>
      </c>
      <c r="C95" s="5" t="str">
        <f t="shared" si="25"/>
        <v>description,dailCompDescTerrorKnight,</v>
      </c>
      <c r="D95" s="5" t="str">
        <f t="shared" si="26"/>
        <v>itemText,dailCompTextTerrorKnight,</v>
      </c>
      <c r="E95" s="5" t="str">
        <f t="shared" si="36"/>
        <v>augmentSkillLevel1,5,</v>
      </c>
      <c r="F95" s="5" t="str">
        <f t="shared" si="37"/>
        <v>augmentSkillName1,records/skills,</v>
      </c>
      <c r="G95" s="7" t="str">
        <f t="shared" si="32"/>
        <v/>
      </c>
      <c r="H95" s="8" t="str">
        <f t="shared" si="33"/>
        <v>TerrorKnight</v>
      </c>
      <c r="J95" s="8" t="str">
        <f t="shared" si="42"/>
        <v>class0013</v>
      </c>
      <c r="K95" s="8" t="str">
        <f t="shared" si="42"/>
        <v>dailoneskill0013</v>
      </c>
      <c r="L95" s="5" t="str">
        <f t="shared" si="27"/>
        <v>lootName,DAIL/items/materia/class0013/TerrorKnight.dbr,</v>
      </c>
      <c r="M95" s="5" t="str">
        <f t="shared" si="28"/>
        <v>lootWeight,1,</v>
      </c>
      <c r="N95" t="str">
        <f t="shared" si="29"/>
        <v>5</v>
      </c>
      <c r="O95" t="str">
        <f t="shared" si="38"/>
        <v/>
      </c>
      <c r="P95" t="str">
        <f t="shared" si="24"/>
        <v/>
      </c>
      <c r="Q95" t="str">
        <f t="shared" si="24"/>
        <v/>
      </c>
      <c r="R95" t="str">
        <f t="shared" si="24"/>
        <v/>
      </c>
      <c r="S95" t="str">
        <f t="shared" si="24"/>
        <v/>
      </c>
      <c r="T95" t="str">
        <f t="shared" si="24"/>
        <v/>
      </c>
      <c r="U95" t="str">
        <f t="shared" si="24"/>
        <v/>
      </c>
      <c r="V95" s="5" t="s">
        <v>36</v>
      </c>
      <c r="W95" t="str">
        <f t="shared" si="30"/>
        <v/>
      </c>
      <c r="X95" t="str">
        <f t="shared" si="30"/>
        <v/>
      </c>
      <c r="Y95" s="5" t="s">
        <v>36</v>
      </c>
      <c r="Z95" t="str">
        <f t="shared" si="31"/>
        <v/>
      </c>
      <c r="AA95" t="str">
        <f t="shared" si="39"/>
        <v/>
      </c>
      <c r="AB95" s="5" t="s">
        <v>36</v>
      </c>
      <c r="AH95">
        <f t="shared" si="41"/>
        <v>90</v>
      </c>
      <c r="AI95">
        <f t="shared" si="35"/>
        <v>0</v>
      </c>
      <c r="AJ95">
        <f t="shared" si="40"/>
        <v>5</v>
      </c>
    </row>
    <row r="96" spans="1:36" x14ac:dyDescent="0.25">
      <c r="A96" s="5" t="s">
        <v>39</v>
      </c>
      <c r="B96" s="5" t="s">
        <v>30</v>
      </c>
      <c r="C96" s="5" t="str">
        <f t="shared" si="25"/>
        <v>description,dailCompDescTerrorKnight,</v>
      </c>
      <c r="D96" s="5" t="str">
        <f t="shared" si="26"/>
        <v>itemText,dailCompTextTerrorKnight,</v>
      </c>
      <c r="E96" s="5" t="str">
        <f t="shared" si="36"/>
        <v>augmentSkillLevel1,5,</v>
      </c>
      <c r="F96" s="5" t="str">
        <f t="shared" si="37"/>
        <v>augmentSkillName1,records/skills,</v>
      </c>
      <c r="G96" s="7" t="str">
        <f t="shared" si="32"/>
        <v/>
      </c>
      <c r="H96" s="8" t="str">
        <f t="shared" si="33"/>
        <v>TerrorKnight</v>
      </c>
      <c r="J96" s="8" t="str">
        <f t="shared" si="42"/>
        <v>class0013</v>
      </c>
      <c r="K96" s="8" t="str">
        <f t="shared" si="42"/>
        <v>dailoneskill0013</v>
      </c>
      <c r="L96" s="5" t="str">
        <f t="shared" si="27"/>
        <v>lootName,DAIL/items/materia/class0013/TerrorKnight.dbr,</v>
      </c>
      <c r="M96" s="5" t="str">
        <f t="shared" si="28"/>
        <v>lootWeight,1,</v>
      </c>
      <c r="N96" t="str">
        <f t="shared" si="29"/>
        <v>5</v>
      </c>
      <c r="O96" t="str">
        <f t="shared" si="38"/>
        <v/>
      </c>
      <c r="P96" t="str">
        <f t="shared" si="24"/>
        <v/>
      </c>
      <c r="Q96" t="str">
        <f t="shared" si="24"/>
        <v/>
      </c>
      <c r="R96" t="str">
        <f t="shared" si="24"/>
        <v/>
      </c>
      <c r="S96" t="str">
        <f t="shared" si="24"/>
        <v/>
      </c>
      <c r="T96" t="str">
        <f t="shared" si="24"/>
        <v/>
      </c>
      <c r="U96" t="str">
        <f t="shared" si="24"/>
        <v/>
      </c>
      <c r="V96" s="5" t="s">
        <v>36</v>
      </c>
      <c r="W96" t="str">
        <f t="shared" si="30"/>
        <v/>
      </c>
      <c r="X96" t="str">
        <f t="shared" si="30"/>
        <v/>
      </c>
      <c r="Y96" s="5" t="s">
        <v>36</v>
      </c>
      <c r="Z96" t="str">
        <f t="shared" si="31"/>
        <v/>
      </c>
      <c r="AA96" t="str">
        <f t="shared" si="39"/>
        <v/>
      </c>
      <c r="AB96" s="5" t="s">
        <v>36</v>
      </c>
      <c r="AH96">
        <f t="shared" si="41"/>
        <v>91</v>
      </c>
      <c r="AI96">
        <f t="shared" si="35"/>
        <v>0</v>
      </c>
      <c r="AJ96">
        <f t="shared" si="40"/>
        <v>5</v>
      </c>
    </row>
    <row r="97" spans="1:36" x14ac:dyDescent="0.25">
      <c r="A97" s="5" t="s">
        <v>39</v>
      </c>
      <c r="B97" s="5" t="s">
        <v>30</v>
      </c>
      <c r="C97" s="5" t="str">
        <f t="shared" si="25"/>
        <v>description,dailCompDescTerrorKnight,</v>
      </c>
      <c r="D97" s="5" t="str">
        <f t="shared" si="26"/>
        <v>itemText,dailCompTextTerrorKnight,</v>
      </c>
      <c r="E97" s="5" t="str">
        <f t="shared" si="36"/>
        <v>augmentSkillLevel1,5,</v>
      </c>
      <c r="F97" s="5" t="str">
        <f t="shared" si="37"/>
        <v>augmentSkillName1,records/skills,</v>
      </c>
      <c r="G97" s="7" t="str">
        <f t="shared" si="32"/>
        <v/>
      </c>
      <c r="H97" s="8" t="str">
        <f t="shared" si="33"/>
        <v>TerrorKnight</v>
      </c>
      <c r="J97" s="8" t="str">
        <f t="shared" si="42"/>
        <v>class0013</v>
      </c>
      <c r="K97" s="8" t="str">
        <f t="shared" si="42"/>
        <v>dailoneskill0013</v>
      </c>
      <c r="L97" s="5" t="str">
        <f t="shared" si="27"/>
        <v>lootName,DAIL/items/materia/class0013/TerrorKnight.dbr,</v>
      </c>
      <c r="M97" s="5" t="str">
        <f t="shared" si="28"/>
        <v>lootWeight,1,</v>
      </c>
      <c r="N97" t="str">
        <f t="shared" si="29"/>
        <v>5</v>
      </c>
      <c r="O97" t="str">
        <f t="shared" si="38"/>
        <v/>
      </c>
      <c r="P97" t="str">
        <f t="shared" si="24"/>
        <v/>
      </c>
      <c r="Q97" t="str">
        <f t="shared" si="24"/>
        <v/>
      </c>
      <c r="R97" t="str">
        <f t="shared" si="24"/>
        <v/>
      </c>
      <c r="S97" t="str">
        <f t="shared" si="24"/>
        <v/>
      </c>
      <c r="T97" t="str">
        <f t="shared" si="24"/>
        <v/>
      </c>
      <c r="U97" t="str">
        <f t="shared" si="24"/>
        <v/>
      </c>
      <c r="V97" s="5" t="s">
        <v>36</v>
      </c>
      <c r="W97" t="str">
        <f t="shared" si="30"/>
        <v/>
      </c>
      <c r="X97" t="str">
        <f t="shared" si="30"/>
        <v/>
      </c>
      <c r="Y97" s="5" t="s">
        <v>36</v>
      </c>
      <c r="Z97" t="str">
        <f t="shared" si="31"/>
        <v/>
      </c>
      <c r="AA97" t="str">
        <f t="shared" si="39"/>
        <v/>
      </c>
      <c r="AB97" s="5" t="s">
        <v>36</v>
      </c>
      <c r="AH97">
        <f t="shared" si="41"/>
        <v>92</v>
      </c>
      <c r="AI97">
        <f t="shared" si="35"/>
        <v>0</v>
      </c>
      <c r="AJ97">
        <f t="shared" si="40"/>
        <v>5</v>
      </c>
    </row>
    <row r="98" spans="1:36" x14ac:dyDescent="0.25">
      <c r="A98" s="5" t="s">
        <v>39</v>
      </c>
      <c r="B98" s="5" t="s">
        <v>30</v>
      </c>
      <c r="C98" s="5" t="str">
        <f t="shared" si="25"/>
        <v>description,dailCompDescTerrorKnight,</v>
      </c>
      <c r="D98" s="5" t="str">
        <f t="shared" si="26"/>
        <v>itemText,dailCompTextTerrorKnight,</v>
      </c>
      <c r="E98" s="5" t="str">
        <f t="shared" si="36"/>
        <v>augmentSkillLevel1,5,</v>
      </c>
      <c r="F98" s="5" t="str">
        <f t="shared" si="37"/>
        <v>augmentSkillName1,records/skills,</v>
      </c>
      <c r="G98" s="7" t="str">
        <f t="shared" si="32"/>
        <v/>
      </c>
      <c r="H98" s="8" t="str">
        <f t="shared" si="33"/>
        <v>TerrorKnight</v>
      </c>
      <c r="J98" s="8" t="str">
        <f t="shared" si="42"/>
        <v>class0013</v>
      </c>
      <c r="K98" s="8" t="str">
        <f t="shared" si="42"/>
        <v>dailoneskill0013</v>
      </c>
      <c r="L98" s="5" t="str">
        <f t="shared" si="27"/>
        <v>lootName,DAIL/items/materia/class0013/TerrorKnight.dbr,</v>
      </c>
      <c r="M98" s="5" t="str">
        <f t="shared" si="28"/>
        <v>lootWeight,1,</v>
      </c>
      <c r="N98" t="str">
        <f t="shared" si="29"/>
        <v>5</v>
      </c>
      <c r="O98" t="str">
        <f t="shared" si="38"/>
        <v/>
      </c>
      <c r="P98" t="str">
        <f t="shared" si="24"/>
        <v/>
      </c>
      <c r="Q98" t="str">
        <f t="shared" si="24"/>
        <v/>
      </c>
      <c r="R98" t="str">
        <f t="shared" si="24"/>
        <v/>
      </c>
      <c r="S98" t="str">
        <f t="shared" si="24"/>
        <v/>
      </c>
      <c r="T98" t="str">
        <f t="shared" si="24"/>
        <v/>
      </c>
      <c r="U98" t="str">
        <f t="shared" si="24"/>
        <v/>
      </c>
      <c r="V98" s="5" t="s">
        <v>36</v>
      </c>
      <c r="W98" t="str">
        <f t="shared" si="30"/>
        <v/>
      </c>
      <c r="X98" t="str">
        <f t="shared" si="30"/>
        <v/>
      </c>
      <c r="Y98" s="5" t="s">
        <v>36</v>
      </c>
      <c r="Z98" t="str">
        <f t="shared" si="31"/>
        <v/>
      </c>
      <c r="AA98" t="str">
        <f t="shared" si="39"/>
        <v/>
      </c>
      <c r="AB98" s="5" t="s">
        <v>36</v>
      </c>
      <c r="AH98">
        <f t="shared" si="41"/>
        <v>93</v>
      </c>
      <c r="AI98">
        <f t="shared" si="35"/>
        <v>0</v>
      </c>
      <c r="AJ98">
        <f t="shared" si="40"/>
        <v>5</v>
      </c>
    </row>
    <row r="99" spans="1:36" x14ac:dyDescent="0.25">
      <c r="A99" s="5" t="s">
        <v>39</v>
      </c>
      <c r="B99" s="5" t="s">
        <v>30</v>
      </c>
      <c r="C99" s="5" t="str">
        <f t="shared" si="25"/>
        <v>description,dailCompDescTerrorKnight,</v>
      </c>
      <c r="D99" s="5" t="str">
        <f t="shared" si="26"/>
        <v>itemText,dailCompTextTerrorKnight,</v>
      </c>
      <c r="E99" s="5" t="str">
        <f t="shared" si="36"/>
        <v>augmentSkillLevel1,5,</v>
      </c>
      <c r="F99" s="5" t="str">
        <f t="shared" si="37"/>
        <v>augmentSkillName1,records/skills,</v>
      </c>
      <c r="G99" s="7" t="str">
        <f t="shared" si="32"/>
        <v/>
      </c>
      <c r="H99" s="8" t="str">
        <f t="shared" si="33"/>
        <v>TerrorKnight</v>
      </c>
      <c r="J99" s="8" t="str">
        <f t="shared" si="42"/>
        <v>class0013</v>
      </c>
      <c r="K99" s="8" t="str">
        <f t="shared" si="42"/>
        <v>dailoneskill0013</v>
      </c>
      <c r="L99" s="5" t="str">
        <f t="shared" si="27"/>
        <v>lootName,DAIL/items/materia/class0013/TerrorKnight.dbr,</v>
      </c>
      <c r="M99" s="5" t="str">
        <f t="shared" si="28"/>
        <v>lootWeight,1,</v>
      </c>
      <c r="N99" t="str">
        <f t="shared" si="29"/>
        <v>5</v>
      </c>
      <c r="O99" t="str">
        <f t="shared" si="38"/>
        <v/>
      </c>
      <c r="P99" t="str">
        <f t="shared" si="24"/>
        <v/>
      </c>
      <c r="Q99" t="str">
        <f t="shared" si="24"/>
        <v/>
      </c>
      <c r="R99" t="str">
        <f t="shared" si="24"/>
        <v/>
      </c>
      <c r="S99" t="str">
        <f t="shared" si="24"/>
        <v/>
      </c>
      <c r="T99" t="str">
        <f t="shared" si="24"/>
        <v/>
      </c>
      <c r="U99" t="str">
        <f t="shared" si="24"/>
        <v/>
      </c>
      <c r="V99" s="5" t="s">
        <v>36</v>
      </c>
      <c r="W99" t="str">
        <f t="shared" si="30"/>
        <v/>
      </c>
      <c r="X99" t="str">
        <f t="shared" si="30"/>
        <v/>
      </c>
      <c r="Y99" s="5" t="s">
        <v>36</v>
      </c>
      <c r="Z99" t="str">
        <f t="shared" si="31"/>
        <v/>
      </c>
      <c r="AA99" t="str">
        <f t="shared" si="39"/>
        <v/>
      </c>
      <c r="AB99" s="5" t="s">
        <v>36</v>
      </c>
      <c r="AH99">
        <f t="shared" si="41"/>
        <v>94</v>
      </c>
      <c r="AI99">
        <f t="shared" si="35"/>
        <v>0</v>
      </c>
      <c r="AJ99">
        <f t="shared" si="40"/>
        <v>5</v>
      </c>
    </row>
    <row r="100" spans="1:36" x14ac:dyDescent="0.25">
      <c r="A100" s="5" t="s">
        <v>39</v>
      </c>
      <c r="B100" s="5" t="s">
        <v>30</v>
      </c>
      <c r="C100" s="5" t="str">
        <f t="shared" si="25"/>
        <v>description,dailCompDescTerrorKnight,</v>
      </c>
      <c r="D100" s="5" t="str">
        <f t="shared" si="26"/>
        <v>itemText,dailCompTextTerrorKnight,</v>
      </c>
      <c r="E100" s="5" t="str">
        <f t="shared" si="36"/>
        <v>augmentSkillLevel1,5,</v>
      </c>
      <c r="F100" s="5" t="str">
        <f t="shared" si="37"/>
        <v>augmentSkillName1,records/skills,</v>
      </c>
      <c r="G100" s="7" t="str">
        <f t="shared" si="32"/>
        <v/>
      </c>
      <c r="H100" s="8" t="str">
        <f t="shared" si="33"/>
        <v>TerrorKnight</v>
      </c>
      <c r="J100" s="8" t="str">
        <f t="shared" si="42"/>
        <v>class0013</v>
      </c>
      <c r="K100" s="8" t="str">
        <f t="shared" si="42"/>
        <v>dailoneskill0013</v>
      </c>
      <c r="L100" s="5" t="str">
        <f t="shared" si="27"/>
        <v>lootName,DAIL/items/materia/class0013/TerrorKnight.dbr,</v>
      </c>
      <c r="M100" s="5" t="str">
        <f t="shared" si="28"/>
        <v>lootWeight,1,</v>
      </c>
      <c r="N100" t="str">
        <f t="shared" si="29"/>
        <v>5</v>
      </c>
      <c r="O100" t="str">
        <f t="shared" si="38"/>
        <v/>
      </c>
      <c r="P100" t="str">
        <f t="shared" si="24"/>
        <v/>
      </c>
      <c r="Q100" t="str">
        <f t="shared" si="24"/>
        <v/>
      </c>
      <c r="R100" t="str">
        <f t="shared" si="24"/>
        <v/>
      </c>
      <c r="S100" t="str">
        <f t="shared" si="24"/>
        <v/>
      </c>
      <c r="T100" t="str">
        <f t="shared" si="24"/>
        <v/>
      </c>
      <c r="U100" t="str">
        <f t="shared" si="24"/>
        <v/>
      </c>
      <c r="V100" s="5" t="s">
        <v>36</v>
      </c>
      <c r="W100" t="str">
        <f t="shared" si="30"/>
        <v/>
      </c>
      <c r="X100" t="str">
        <f t="shared" si="30"/>
        <v/>
      </c>
      <c r="Y100" s="5" t="s">
        <v>36</v>
      </c>
      <c r="Z100" t="str">
        <f t="shared" si="31"/>
        <v/>
      </c>
      <c r="AA100" t="str">
        <f t="shared" si="39"/>
        <v/>
      </c>
      <c r="AB100" s="5" t="s">
        <v>36</v>
      </c>
      <c r="AH100">
        <f t="shared" si="41"/>
        <v>95</v>
      </c>
      <c r="AI100">
        <f t="shared" si="35"/>
        <v>0</v>
      </c>
      <c r="AJ100">
        <f t="shared" si="40"/>
        <v>5</v>
      </c>
    </row>
    <row r="101" spans="1:36" x14ac:dyDescent="0.25">
      <c r="A101" s="5" t="s">
        <v>39</v>
      </c>
      <c r="B101" s="5" t="s">
        <v>30</v>
      </c>
      <c r="C101" s="5" t="str">
        <f t="shared" si="25"/>
        <v>description,dailCompDescTerrorKnight,</v>
      </c>
      <c r="D101" s="5" t="str">
        <f t="shared" si="26"/>
        <v>itemText,dailCompTextTerrorKnight,</v>
      </c>
      <c r="E101" s="5" t="str">
        <f t="shared" si="36"/>
        <v>augmentSkillLevel1,5,</v>
      </c>
      <c r="F101" s="5" t="str">
        <f t="shared" si="37"/>
        <v>augmentSkillName1,records/skills,</v>
      </c>
      <c r="G101" s="7" t="str">
        <f t="shared" si="32"/>
        <v/>
      </c>
      <c r="H101" s="8" t="str">
        <f t="shared" si="33"/>
        <v>TerrorKnight</v>
      </c>
      <c r="J101" s="8" t="str">
        <f t="shared" ref="J101:K102" si="43">J100</f>
        <v>class0013</v>
      </c>
      <c r="K101" s="8" t="str">
        <f t="shared" si="43"/>
        <v>dailoneskill0013</v>
      </c>
      <c r="L101" s="5" t="str">
        <f t="shared" si="27"/>
        <v>lootName,DAIL/items/materia/class0013/TerrorKnight.dbr,</v>
      </c>
      <c r="M101" s="5" t="str">
        <f t="shared" si="28"/>
        <v>lootWeight,1,</v>
      </c>
      <c r="N101" t="str">
        <f t="shared" si="29"/>
        <v>5</v>
      </c>
      <c r="O101" t="str">
        <f t="shared" si="38"/>
        <v/>
      </c>
      <c r="P101" t="str">
        <f t="shared" si="24"/>
        <v/>
      </c>
      <c r="Q101" t="str">
        <f t="shared" si="24"/>
        <v/>
      </c>
      <c r="R101" t="str">
        <f t="shared" si="24"/>
        <v/>
      </c>
      <c r="S101" t="str">
        <f t="shared" ref="S101:U102" si="44">IF($I101&lt;&gt;"","echo "&amp;D101&amp;" &gt;&gt; .\items\materia\"&amp;$J101&amp;"\"&amp;$H101&amp;$G101&amp;".dbr","")</f>
        <v/>
      </c>
      <c r="T101" t="str">
        <f t="shared" si="44"/>
        <v/>
      </c>
      <c r="U101" t="str">
        <f t="shared" si="44"/>
        <v/>
      </c>
      <c r="V101" s="5" t="s">
        <v>36</v>
      </c>
      <c r="W101" t="str">
        <f t="shared" si="30"/>
        <v/>
      </c>
      <c r="X101" t="str">
        <f t="shared" si="30"/>
        <v/>
      </c>
      <c r="Y101" s="5" t="s">
        <v>36</v>
      </c>
      <c r="Z101" t="str">
        <f t="shared" si="31"/>
        <v/>
      </c>
      <c r="AA101" t="str">
        <f t="shared" si="39"/>
        <v/>
      </c>
      <c r="AB101" s="5" t="s">
        <v>36</v>
      </c>
      <c r="AH101">
        <f t="shared" si="41"/>
        <v>96</v>
      </c>
      <c r="AI101">
        <f t="shared" si="35"/>
        <v>0</v>
      </c>
      <c r="AJ101">
        <f t="shared" si="40"/>
        <v>5</v>
      </c>
    </row>
    <row r="102" spans="1:36" x14ac:dyDescent="0.25">
      <c r="A102" s="5" t="s">
        <v>39</v>
      </c>
      <c r="B102" s="5" t="s">
        <v>30</v>
      </c>
      <c r="C102" s="5" t="str">
        <f t="shared" si="25"/>
        <v>description,dailCompDescTerrorKnight,</v>
      </c>
      <c r="D102" s="5" t="str">
        <f t="shared" si="26"/>
        <v>itemText,dailCompTextTerrorKnight,</v>
      </c>
      <c r="E102" s="5" t="str">
        <f t="shared" si="36"/>
        <v>augmentSkillLevel1,5,</v>
      </c>
      <c r="F102" s="5" t="str">
        <f t="shared" si="37"/>
        <v>augmentSkillName1,records/skills,</v>
      </c>
      <c r="G102" s="7" t="str">
        <f t="shared" si="32"/>
        <v/>
      </c>
      <c r="H102" s="8" t="str">
        <f t="shared" si="33"/>
        <v>TerrorKnight</v>
      </c>
      <c r="J102" s="8" t="str">
        <f t="shared" si="43"/>
        <v>class0013</v>
      </c>
      <c r="K102" s="8" t="str">
        <f t="shared" si="43"/>
        <v>dailoneskill0013</v>
      </c>
      <c r="L102" s="5" t="str">
        <f t="shared" si="27"/>
        <v>lootName,DAIL/items/materia/class0013/TerrorKnight.dbr,</v>
      </c>
      <c r="M102" s="5" t="str">
        <f t="shared" si="28"/>
        <v>lootWeight,1,</v>
      </c>
      <c r="N102" t="str">
        <f t="shared" si="29"/>
        <v>5</v>
      </c>
      <c r="O102" t="str">
        <f t="shared" si="38"/>
        <v/>
      </c>
      <c r="P102" t="str">
        <f t="shared" ref="P102:R102" si="45">IF($I102&lt;&gt;"","echo "&amp;A102&amp;" &gt;&gt; .\items\materia\"&amp;$J102&amp;"\"&amp;$H102&amp;$G102&amp;".dbr","")</f>
        <v/>
      </c>
      <c r="Q102" t="str">
        <f t="shared" si="45"/>
        <v/>
      </c>
      <c r="R102" t="str">
        <f t="shared" si="45"/>
        <v/>
      </c>
      <c r="S102" t="str">
        <f t="shared" si="44"/>
        <v/>
      </c>
      <c r="T102" t="str">
        <f t="shared" si="44"/>
        <v/>
      </c>
      <c r="U102" t="str">
        <f t="shared" si="44"/>
        <v/>
      </c>
      <c r="V102" s="5" t="s">
        <v>36</v>
      </c>
      <c r="W102" t="str">
        <f t="shared" si="30"/>
        <v/>
      </c>
      <c r="X102" t="str">
        <f t="shared" si="30"/>
        <v/>
      </c>
      <c r="Y102" s="5" t="s">
        <v>36</v>
      </c>
      <c r="Z102" t="str">
        <f t="shared" si="31"/>
        <v/>
      </c>
      <c r="AA102" t="str">
        <f t="shared" si="39"/>
        <v/>
      </c>
      <c r="AB102" s="5" t="s">
        <v>36</v>
      </c>
      <c r="AH102">
        <f t="shared" si="41"/>
        <v>97</v>
      </c>
      <c r="AI102">
        <f t="shared" si="35"/>
        <v>0</v>
      </c>
      <c r="AJ102">
        <f t="shared" si="40"/>
        <v>5</v>
      </c>
    </row>
  </sheetData>
  <mergeCells count="1">
    <mergeCell ref="O2:U2"/>
  </mergeCells>
  <pageMargins left="0.7" right="0.7" top="0.75" bottom="0.75" header="0.3" footer="0.3"/>
  <pageSetup orientation="portrait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:AL102"/>
  <sheetViews>
    <sheetView topLeftCell="M1" zoomScaleNormal="100" workbookViewId="0">
      <selection activeCell="U3" sqref="U3:U102"/>
    </sheetView>
  </sheetViews>
  <sheetFormatPr defaultRowHeight="15" x14ac:dyDescent="0.25"/>
  <cols>
    <col min="1" max="1" width="73.85546875" style="5" bestFit="1" customWidth="1"/>
    <col min="2" max="2" width="16.28515625" style="5" bestFit="1" customWidth="1"/>
    <col min="3" max="3" width="32.7109375" style="5" bestFit="1" customWidth="1"/>
    <col min="4" max="4" width="31.42578125" style="5" bestFit="1" customWidth="1"/>
    <col min="5" max="5" width="24.28515625" style="5" bestFit="1" customWidth="1"/>
    <col min="6" max="6" width="73.5703125" style="5" bestFit="1" customWidth="1"/>
    <col min="7" max="7" width="5.85546875" style="8" bestFit="1" customWidth="1"/>
    <col min="8" max="8" width="7.85546875" style="3" bestFit="1" customWidth="1"/>
    <col min="9" max="9" width="38.140625" style="3" bestFit="1" customWidth="1"/>
    <col min="10" max="10" width="9.140625" style="3" bestFit="1" customWidth="1"/>
    <col min="11" max="11" width="18.140625" style="3" customWidth="1"/>
    <col min="12" max="12" width="51.85546875" style="5" bestFit="1" customWidth="1"/>
    <col min="13" max="13" width="21.28515625" style="5" customWidth="1"/>
    <col min="15" max="15" width="10.5703125" customWidth="1"/>
    <col min="22" max="22" width="1.5703125" style="5" customWidth="1"/>
    <col min="23" max="23" width="9.5703125" customWidth="1"/>
    <col min="25" max="25" width="1.5703125" style="5" bestFit="1" customWidth="1"/>
    <col min="26" max="26" width="46.7109375" bestFit="1" customWidth="1"/>
    <col min="27" max="27" width="29.140625" customWidth="1"/>
    <col min="28" max="28" width="1.5703125" style="5" bestFit="1" customWidth="1"/>
    <col min="31" max="31" width="14.140625" bestFit="1" customWidth="1"/>
  </cols>
  <sheetData>
    <row r="1" spans="1:38" x14ac:dyDescent="0.25">
      <c r="G1" s="5"/>
      <c r="H1" s="5"/>
      <c r="I1" s="5"/>
      <c r="J1" s="5"/>
      <c r="K1" s="5"/>
      <c r="N1" s="5"/>
      <c r="O1" s="9"/>
      <c r="P1" s="9"/>
      <c r="Q1" s="9"/>
      <c r="R1" s="9"/>
      <c r="S1" s="9"/>
      <c r="T1" s="9"/>
      <c r="U1" s="9"/>
      <c r="W1" s="9"/>
      <c r="X1" s="9"/>
      <c r="Z1" s="9"/>
      <c r="AA1" s="9"/>
    </row>
    <row r="2" spans="1:38" x14ac:dyDescent="0.25">
      <c r="A2" s="4" t="s">
        <v>2</v>
      </c>
      <c r="B2" s="4" t="s">
        <v>3</v>
      </c>
      <c r="C2" s="4" t="s">
        <v>4</v>
      </c>
      <c r="D2" s="4" t="s">
        <v>5</v>
      </c>
      <c r="E2" s="4" t="s">
        <v>6</v>
      </c>
      <c r="F2" s="4" t="s">
        <v>7</v>
      </c>
      <c r="G2" s="6" t="s">
        <v>9</v>
      </c>
      <c r="H2" s="2" t="s">
        <v>26</v>
      </c>
      <c r="I2" s="2" t="s">
        <v>8</v>
      </c>
      <c r="J2" s="2" t="s">
        <v>33</v>
      </c>
      <c r="K2" s="2" t="s">
        <v>38</v>
      </c>
      <c r="L2" s="4" t="s">
        <v>31</v>
      </c>
      <c r="M2" s="4" t="s">
        <v>32</v>
      </c>
      <c r="O2" s="11" t="str">
        <f>"Copy from N to T Into the files named "&amp;H3&amp;G3&amp;" etc"</f>
        <v>Copy from N to T Into the files named Defense1 etc</v>
      </c>
      <c r="P2" s="11"/>
      <c r="Q2" s="11"/>
      <c r="R2" s="11"/>
      <c r="S2" s="11"/>
      <c r="T2" s="11"/>
      <c r="U2" s="11"/>
      <c r="W2" s="1" t="s">
        <v>35</v>
      </c>
      <c r="Z2" s="1" t="s">
        <v>40</v>
      </c>
      <c r="AD2" t="s">
        <v>44</v>
      </c>
    </row>
    <row r="3" spans="1:38" x14ac:dyDescent="0.25">
      <c r="A3" s="5" t="s">
        <v>39</v>
      </c>
      <c r="B3" s="5" t="s">
        <v>0</v>
      </c>
      <c r="C3" s="5" t="str">
        <f t="shared" ref="C3:C66" si="0">"description,dailCompDesc"&amp;H3&amp;G3&amp;","</f>
        <v>description,dailCompDescDefense1,</v>
      </c>
      <c r="D3" s="5" t="str">
        <f>"itemText,dailCompText"&amp;H3&amp;G3&amp;","</f>
        <v>itemText,dailCompTextDefense1,</v>
      </c>
      <c r="E3" s="5" t="s">
        <v>24</v>
      </c>
      <c r="F3" s="5" t="str">
        <f>"augmentMasteryName1,records/skills"&amp;I3&amp;","</f>
        <v>augmentMasteryName1,records/skillsdefense/defensivemastery.dbr,,</v>
      </c>
      <c r="G3" s="7">
        <f>IF(I3&lt;&gt;"",1,"")</f>
        <v>1</v>
      </c>
      <c r="H3" s="3" t="s">
        <v>573</v>
      </c>
      <c r="I3" s="3" t="s">
        <v>572</v>
      </c>
      <c r="J3" s="3" t="s">
        <v>553</v>
      </c>
      <c r="K3" s="3" t="s">
        <v>554</v>
      </c>
      <c r="L3" s="5" t="str">
        <f>"lootName"&amp;G3&amp;",DAIL/items/materia/"&amp;J3&amp;"/"&amp;H3&amp;G3&amp;".dbr"&amp;","</f>
        <v>lootName1,DAIL/items/materia/class0016/Defense1.dbr,</v>
      </c>
      <c r="M3" s="5" t="str">
        <f>"lootWeight"&amp;G3&amp;",1,"</f>
        <v>lootWeight1,1,</v>
      </c>
      <c r="N3" t="str">
        <f>LEFT(RIGHT(E3,2),1)</f>
        <v>1</v>
      </c>
      <c r="O3" s="5" t="str">
        <f>IF(I3&lt;&gt;"","copy .\dail_base2.dbr .\items\materia\"&amp;J3&amp;"\"&amp;H3&amp;G3&amp;".dbr /y"&amp;"","")</f>
        <v>copy .\dail_base2.dbr .\items\materia\class0016\Defense1.dbr /y</v>
      </c>
      <c r="P3" t="str">
        <f>IF($I3&lt;&gt;"","echo "&amp;A3&amp;" &gt;&gt; .\items\materia\"&amp;$J3&amp;"\"&amp;$H3&amp;$G3&amp;".dbr","")</f>
        <v>echo relicBitmap,items/craftingparts/components/component_a52_bristlyfur_b.tex, &gt;&gt; .\items\materia\class0016\Defense1.dbr</v>
      </c>
      <c r="Q3" t="str">
        <f t="shared" ref="Q3:U18" si="1">IF($I3&lt;&gt;"","echo "&amp;B3&amp;" &gt;&gt; .\items\materia\"&amp;$J3&amp;"\"&amp;$H3&amp;$G3&amp;".dbr","")</f>
        <v>echo itemCost,100000, &gt;&gt; .\items\materia\class0016\Defense1.dbr</v>
      </c>
      <c r="R3" t="str">
        <f t="shared" si="1"/>
        <v>echo description,dailCompDescDefense1, &gt;&gt; .\items\materia\class0016\Defense1.dbr</v>
      </c>
      <c r="S3" t="str">
        <f t="shared" si="1"/>
        <v>echo itemText,dailCompTextDefense1, &gt;&gt; .\items\materia\class0016\Defense1.dbr</v>
      </c>
      <c r="T3" t="str">
        <f t="shared" si="1"/>
        <v>echo augmentMasteryLevel1,1, &gt;&gt; .\items\materia\class0016\Defense1.dbr</v>
      </c>
      <c r="U3" t="str">
        <f t="shared" si="1"/>
        <v>echo augmentMasteryName1,records/skillsdefense/defensivemastery.dbr,, &gt;&gt; .\items\materia\class0016\Defense1.dbr</v>
      </c>
      <c r="V3" s="5" t="s">
        <v>36</v>
      </c>
      <c r="W3" t="str">
        <f>IF($I3&lt;&gt;"","echo "&amp;L3&amp;" &gt;&gt; .\items\loottables\"&amp;$K3&amp;".dbr","")</f>
        <v>echo lootName1,DAIL/items/materia/class0016/Defense1.dbr, &gt;&gt; .\items\loottables\dailoneskill0016.dbr</v>
      </c>
      <c r="X3" t="str">
        <f>IF($I3&lt;&gt;"","echo "&amp;M3&amp;" &gt;&gt; .\items\loottables\"&amp;$K3&amp;".dbr","")</f>
        <v>echo lootWeight1,1, &gt;&gt; .\items\loottables\dailoneskill0016.dbr</v>
      </c>
      <c r="Y3" s="5" t="s">
        <v>36</v>
      </c>
      <c r="Z3" s="10" t="str">
        <f>IF(I2&lt;&gt;""," dailCompDesc"&amp;H3&amp;G3&amp;"=^p"&amp;H3&amp;"'s Gift of DAIL","")</f>
        <v xml:space="preserve"> dailCompDescDefense1=^pDefense's Gift of DAIL</v>
      </c>
      <c r="AA3" s="10" t="str">
        <f>IF(I2&lt;&gt;"","dailCompText"&amp;H3&amp;G3&amp;"=^oThis feels warm to the touch, almost familiar ^w(This component fits into the amulet only)","")</f>
        <v>dailCompTextDefense1=^oThis feels warm to the touch, almost familiar ^w(This component fits into the amulet only)</v>
      </c>
      <c r="AB3" s="5" t="s">
        <v>36</v>
      </c>
      <c r="AD3">
        <v>1</v>
      </c>
      <c r="AE3" t="s">
        <v>42</v>
      </c>
      <c r="AF3" t="s">
        <v>45</v>
      </c>
    </row>
    <row r="4" spans="1:38" x14ac:dyDescent="0.25">
      <c r="A4" s="5" t="s">
        <v>39</v>
      </c>
      <c r="B4" s="5" t="s">
        <v>28</v>
      </c>
      <c r="C4" s="5" t="str">
        <f t="shared" si="0"/>
        <v>description,dailCompDescDefense2,</v>
      </c>
      <c r="D4" s="5" t="str">
        <f t="shared" ref="D4:D67" si="2">"itemText,dailCompText"&amp;H4&amp;G4&amp;","</f>
        <v>itemText,dailCompTextDefense2,</v>
      </c>
      <c r="E4" s="5" t="s">
        <v>1</v>
      </c>
      <c r="F4" s="5" t="str">
        <f t="shared" ref="F4:F5" si="3">"augmentMasteryName1,records/skills"&amp;I4&amp;","</f>
        <v>augmentMasteryName1,records/skillsdefense/defensivemastery.dbr,,</v>
      </c>
      <c r="G4" s="7">
        <f>IF(I4&lt;&gt;"",G3+1,"")</f>
        <v>2</v>
      </c>
      <c r="H4" s="8" t="str">
        <f>H3</f>
        <v>Defense</v>
      </c>
      <c r="I4" s="3" t="s">
        <v>572</v>
      </c>
      <c r="J4" s="8" t="str">
        <f>J3</f>
        <v>class0016</v>
      </c>
      <c r="K4" s="8" t="str">
        <f>K3</f>
        <v>dailoneskill0016</v>
      </c>
      <c r="L4" s="5" t="str">
        <f t="shared" ref="L4:L67" si="4">"lootName"&amp;G4&amp;",DAIL/items/materia/"&amp;J4&amp;"/"&amp;H4&amp;G4&amp;".dbr"&amp;","</f>
        <v>lootName2,DAIL/items/materia/class0016/Defense2.dbr,</v>
      </c>
      <c r="M4" s="5" t="str">
        <f t="shared" ref="M4:M67" si="5">"lootWeight"&amp;G4&amp;",1,"</f>
        <v>lootWeight2,1,</v>
      </c>
      <c r="N4" t="str">
        <f t="shared" ref="N4:N67" si="6">LEFT(RIGHT(E4,2),1)</f>
        <v>2</v>
      </c>
      <c r="O4" s="5" t="str">
        <f>IF(I4&lt;&gt;"","copy .\dail_base2.dbr .\items\materia\"&amp;J4&amp;"\"&amp;H4&amp;G4&amp;".dbr /y"&amp;"","")</f>
        <v>copy .\dail_base2.dbr .\items\materia\class0016\Defense2.dbr /y</v>
      </c>
      <c r="P4" t="str">
        <f t="shared" ref="P4:U58" si="7">IF($I4&lt;&gt;"","echo "&amp;A4&amp;" &gt;&gt; .\items\materia\"&amp;$J4&amp;"\"&amp;$H4&amp;$G4&amp;".dbr","")</f>
        <v>echo relicBitmap,items/craftingparts/components/component_a52_bristlyfur_b.tex, &gt;&gt; .\items\materia\class0016\Defense2.dbr</v>
      </c>
      <c r="Q4" t="str">
        <f t="shared" si="1"/>
        <v>echo itemCost,300000, &gt;&gt; .\items\materia\class0016\Defense2.dbr</v>
      </c>
      <c r="R4" t="str">
        <f t="shared" si="1"/>
        <v>echo description,dailCompDescDefense2, &gt;&gt; .\items\materia\class0016\Defense2.dbr</v>
      </c>
      <c r="S4" t="str">
        <f t="shared" si="1"/>
        <v>echo itemText,dailCompTextDefense2, &gt;&gt; .\items\materia\class0016\Defense2.dbr</v>
      </c>
      <c r="T4" t="str">
        <f t="shared" si="1"/>
        <v>echo augmentMasteryLevel1,2, &gt;&gt; .\items\materia\class0016\Defense2.dbr</v>
      </c>
      <c r="U4" t="str">
        <f t="shared" si="1"/>
        <v>echo augmentMasteryName1,records/skillsdefense/defensivemastery.dbr,, &gt;&gt; .\items\materia\class0016\Defense2.dbr</v>
      </c>
      <c r="V4" s="5" t="s">
        <v>36</v>
      </c>
      <c r="W4" t="str">
        <f t="shared" ref="W4:X67" si="8">IF($I4&lt;&gt;"","echo "&amp;L4&amp;" &gt;&gt; .\items\loottables\"&amp;$K4&amp;".dbr","")</f>
        <v>echo lootName2,DAIL/items/materia/class0016/Defense2.dbr, &gt;&gt; .\items\loottables\dailoneskill0016.dbr</v>
      </c>
      <c r="X4" t="str">
        <f t="shared" si="8"/>
        <v>echo lootWeight2,1, &gt;&gt; .\items\loottables\dailoneskill0016.dbr</v>
      </c>
      <c r="Y4" s="5" t="s">
        <v>36</v>
      </c>
      <c r="Z4" s="10" t="str">
        <f t="shared" ref="Z4:Z67" si="9">IF(I3&lt;&gt;""," dailCompDesc"&amp;H4&amp;G4&amp;"=^p"&amp;H4&amp;"'s Gift of DAIL","")</f>
        <v xml:space="preserve"> dailCompDescDefense2=^pDefense's Gift of DAIL</v>
      </c>
      <c r="AA4" s="10" t="str">
        <f>IF(I3&lt;&gt;"","dailCompText"&amp;H4&amp;G4&amp;"=^oThis feels warm to the touch, almost familiar ^w(This component fits into the amulet only)","")</f>
        <v>dailCompTextDefense2=^oThis feels warm to the touch, almost familiar ^w(This component fits into the amulet only)</v>
      </c>
      <c r="AB4" s="5" t="s">
        <v>36</v>
      </c>
      <c r="AD4">
        <v>3</v>
      </c>
      <c r="AE4" t="s">
        <v>43</v>
      </c>
      <c r="AF4" t="s">
        <v>46</v>
      </c>
    </row>
    <row r="5" spans="1:38" x14ac:dyDescent="0.25">
      <c r="A5" s="5" t="s">
        <v>39</v>
      </c>
      <c r="B5" s="5" t="s">
        <v>29</v>
      </c>
      <c r="C5" s="5" t="str">
        <f t="shared" si="0"/>
        <v>description,dailCompDescDefense3,</v>
      </c>
      <c r="D5" s="5" t="str">
        <f t="shared" si="2"/>
        <v>itemText,dailCompTextDefense3,</v>
      </c>
      <c r="E5" s="5" t="s">
        <v>25</v>
      </c>
      <c r="F5" s="5" t="str">
        <f t="shared" si="3"/>
        <v>augmentMasteryName1,records/skillsdefense/defensivemastery.dbr,,</v>
      </c>
      <c r="G5" s="7">
        <f t="shared" ref="G5:G68" si="10">IF(I5&lt;&gt;"",G4+1,"")</f>
        <v>3</v>
      </c>
      <c r="H5" s="8" t="str">
        <f t="shared" ref="H5:H68" si="11">H4</f>
        <v>Defense</v>
      </c>
      <c r="I5" s="3" t="s">
        <v>572</v>
      </c>
      <c r="J5" s="8" t="str">
        <f t="shared" ref="J5:K20" si="12">J4</f>
        <v>class0016</v>
      </c>
      <c r="K5" s="8" t="str">
        <f t="shared" si="12"/>
        <v>dailoneskill0016</v>
      </c>
      <c r="L5" s="5" t="str">
        <f t="shared" si="4"/>
        <v>lootName3,DAIL/items/materia/class0016/Defense3.dbr,</v>
      </c>
      <c r="M5" s="5" t="str">
        <f t="shared" si="5"/>
        <v>lootWeight3,1,</v>
      </c>
      <c r="N5" t="str">
        <f t="shared" si="6"/>
        <v>3</v>
      </c>
      <c r="O5" s="5" t="str">
        <f>IF(I5&lt;&gt;"","copy .\dail_base2.dbr .\items\materia\"&amp;J5&amp;"\"&amp;H5&amp;G5&amp;".dbr /y"&amp;"","")</f>
        <v>copy .\dail_base2.dbr .\items\materia\class0016\Defense3.dbr /y</v>
      </c>
      <c r="P5" t="str">
        <f t="shared" si="7"/>
        <v>echo relicBitmap,items/craftingparts/components/component_a52_bristlyfur_b.tex, &gt;&gt; .\items\materia\class0016\Defense3.dbr</v>
      </c>
      <c r="Q5" t="str">
        <f t="shared" si="1"/>
        <v>echo itemCost,600000, &gt;&gt; .\items\materia\class0016\Defense3.dbr</v>
      </c>
      <c r="R5" t="str">
        <f t="shared" si="1"/>
        <v>echo description,dailCompDescDefense3, &gt;&gt; .\items\materia\class0016\Defense3.dbr</v>
      </c>
      <c r="S5" t="str">
        <f t="shared" si="1"/>
        <v>echo itemText,dailCompTextDefense3, &gt;&gt; .\items\materia\class0016\Defense3.dbr</v>
      </c>
      <c r="T5" t="str">
        <f t="shared" si="1"/>
        <v>echo augmentMasteryLevel1,3, &gt;&gt; .\items\materia\class0016\Defense3.dbr</v>
      </c>
      <c r="U5" t="str">
        <f t="shared" si="1"/>
        <v>echo augmentMasteryName1,records/skillsdefense/defensivemastery.dbr,, &gt;&gt; .\items\materia\class0016\Defense3.dbr</v>
      </c>
      <c r="V5" s="5" t="s">
        <v>36</v>
      </c>
      <c r="W5" t="str">
        <f t="shared" si="8"/>
        <v>echo lootName3,DAIL/items/materia/class0016/Defense3.dbr, &gt;&gt; .\items\loottables\dailoneskill0016.dbr</v>
      </c>
      <c r="X5" t="str">
        <f t="shared" si="8"/>
        <v>echo lootWeight3,1, &gt;&gt; .\items\loottables\dailoneskill0016.dbr</v>
      </c>
      <c r="Y5" s="5" t="s">
        <v>36</v>
      </c>
      <c r="Z5" s="10" t="str">
        <f t="shared" si="9"/>
        <v xml:space="preserve"> dailCompDescDefense3=^pDefense's Gift of DAIL</v>
      </c>
      <c r="AA5" s="10" t="str">
        <f>IF(I4&lt;&gt;"","dailCompText"&amp;H5&amp;G5&amp;"=^oThis feels warm to the touch, almost familiar ^w(This component fits into the amulet only)","")</f>
        <v>dailCompTextDefense3=^oThis feels warm to the touch, almost familiar ^w(This component fits into the amulet only)</v>
      </c>
      <c r="AB5" s="5" t="s">
        <v>36</v>
      </c>
      <c r="AD5">
        <v>5</v>
      </c>
      <c r="AE5" t="s">
        <v>43</v>
      </c>
      <c r="AF5" t="s">
        <v>46</v>
      </c>
      <c r="AI5" t="s">
        <v>61</v>
      </c>
    </row>
    <row r="6" spans="1:38" x14ac:dyDescent="0.25">
      <c r="A6" s="5" t="s">
        <v>39</v>
      </c>
      <c r="B6" s="5" t="s">
        <v>0</v>
      </c>
      <c r="C6" s="5" t="str">
        <f t="shared" si="0"/>
        <v>description,dailCompDescDefense4,</v>
      </c>
      <c r="D6" s="5" t="str">
        <f t="shared" si="2"/>
        <v>itemText,dailCompTextDefense4,</v>
      </c>
      <c r="E6" s="5" t="str">
        <f>"augmentSkillLevel1,"&amp;AJ6&amp;","</f>
        <v>augmentSkillLevel1,1,</v>
      </c>
      <c r="F6" s="5" t="str">
        <f>"augmentSkillName1,records/skills"&amp;I6&amp;","</f>
        <v>augmentSkillName1,records/skillsdefense/armorhandling.dbr,,</v>
      </c>
      <c r="G6" s="7">
        <f t="shared" si="10"/>
        <v>4</v>
      </c>
      <c r="H6" s="8" t="str">
        <f t="shared" si="11"/>
        <v>Defense</v>
      </c>
      <c r="I6" s="3" t="s">
        <v>574</v>
      </c>
      <c r="J6" s="8" t="str">
        <f t="shared" si="12"/>
        <v>class0016</v>
      </c>
      <c r="K6" s="8" t="str">
        <f t="shared" si="12"/>
        <v>dailoneskill0016</v>
      </c>
      <c r="L6" s="5" t="str">
        <f t="shared" si="4"/>
        <v>lootName4,DAIL/items/materia/class0016/Defense4.dbr,</v>
      </c>
      <c r="M6" s="5" t="str">
        <f t="shared" si="5"/>
        <v>lootWeight4,1,</v>
      </c>
      <c r="N6" t="str">
        <f t="shared" si="6"/>
        <v>1</v>
      </c>
      <c r="O6" t="str">
        <f>IF(I6&lt;&gt;"","copy .\"&amp;VLOOKUP(VALUE(N6),$AD$3:$AF$5,2,FALSE)&amp;" .\items\materia\"&amp;J6&amp;"\"&amp;H6&amp;G6&amp;".dbr /y"&amp;"","")</f>
        <v>copy .\dail_base.dbr .\items\materia\class0016\Defense4.dbr /y</v>
      </c>
      <c r="P6" t="str">
        <f t="shared" si="7"/>
        <v>echo relicBitmap,items/craftingparts/components/component_a52_bristlyfur_b.tex, &gt;&gt; .\items\materia\class0016\Defense4.dbr</v>
      </c>
      <c r="Q6" t="str">
        <f t="shared" si="1"/>
        <v>echo itemCost,100000, &gt;&gt; .\items\materia\class0016\Defense4.dbr</v>
      </c>
      <c r="R6" t="str">
        <f t="shared" si="1"/>
        <v>echo description,dailCompDescDefense4, &gt;&gt; .\items\materia\class0016\Defense4.dbr</v>
      </c>
      <c r="S6" t="str">
        <f t="shared" si="1"/>
        <v>echo itemText,dailCompTextDefense4, &gt;&gt; .\items\materia\class0016\Defense4.dbr</v>
      </c>
      <c r="T6" t="str">
        <f t="shared" si="1"/>
        <v>echo augmentSkillLevel1,1, &gt;&gt; .\items\materia\class0016\Defense4.dbr</v>
      </c>
      <c r="U6" t="str">
        <f t="shared" si="1"/>
        <v>echo augmentSkillName1,records/skillsdefense/armorhandling.dbr,, &gt;&gt; .\items\materia\class0016\Defense4.dbr</v>
      </c>
      <c r="V6" s="5" t="s">
        <v>36</v>
      </c>
      <c r="W6" t="str">
        <f t="shared" si="8"/>
        <v>echo lootName4,DAIL/items/materia/class0016/Defense4.dbr, &gt;&gt; .\items\loottables\dailoneskill0016.dbr</v>
      </c>
      <c r="X6" t="str">
        <f t="shared" si="8"/>
        <v>echo lootWeight4,1, &gt;&gt; .\items\loottables\dailoneskill0016.dbr</v>
      </c>
      <c r="Y6" s="5" t="s">
        <v>36</v>
      </c>
      <c r="Z6" t="str">
        <f t="shared" si="9"/>
        <v xml:space="preserve"> dailCompDescDefense4=^pDefense's Gift of DAIL</v>
      </c>
      <c r="AA6" t="str">
        <f>IF(I5&lt;&gt;"","dailCompText"&amp;H6&amp;G6&amp;"=^oThis feels warm to the touch, almost familiar ^w("&amp;VLOOKUP(VALUE(N6),$AD$3:$AF$5,3,FALSE)&amp;")","")</f>
        <v>dailCompTextDefense4=^oThis feels warm to the touch, almost familiar ^w(This component fits into all Jewellery slots including the Belt And Shoulder)</v>
      </c>
      <c r="AB6" s="5" t="s">
        <v>36</v>
      </c>
      <c r="AH6">
        <v>1</v>
      </c>
      <c r="AI6">
        <f t="shared" ref="AI6:AI69" si="13">LEN(I6)</f>
        <v>26</v>
      </c>
      <c r="AJ6">
        <f>IF(AH6&lt;$AL$7,1,IF(AH6&lt;$AL$8,3,5))</f>
        <v>1</v>
      </c>
      <c r="AK6" s="1" t="s">
        <v>62</v>
      </c>
      <c r="AL6" s="1">
        <f>COUNTIF(AI:AI,"&gt;0")</f>
        <v>60</v>
      </c>
    </row>
    <row r="7" spans="1:38" x14ac:dyDescent="0.25">
      <c r="A7" s="5" t="s">
        <v>39</v>
      </c>
      <c r="B7" s="5" t="s">
        <v>0</v>
      </c>
      <c r="C7" s="5" t="str">
        <f t="shared" si="0"/>
        <v>description,dailCompDescDefense5,</v>
      </c>
      <c r="D7" s="5" t="str">
        <f t="shared" si="2"/>
        <v>itemText,dailCompTextDefense5,</v>
      </c>
      <c r="E7" s="5" t="str">
        <f t="shared" ref="E7:E70" si="14">"augmentSkillLevel1,"&amp;AJ7&amp;","</f>
        <v>augmentSkillLevel1,1,</v>
      </c>
      <c r="F7" s="5" t="str">
        <f t="shared" ref="F7:F70" si="15">"augmentSkillName1,records/skills"&amp;I7&amp;","</f>
        <v>augmentSkillName1,records/skillsdefense/adrenaline.dbr,,</v>
      </c>
      <c r="G7" s="7">
        <f t="shared" si="10"/>
        <v>5</v>
      </c>
      <c r="H7" s="8" t="str">
        <f t="shared" si="11"/>
        <v>Defense</v>
      </c>
      <c r="I7" s="3" t="s">
        <v>575</v>
      </c>
      <c r="J7" s="8" t="str">
        <f t="shared" si="12"/>
        <v>class0016</v>
      </c>
      <c r="K7" s="8" t="str">
        <f t="shared" si="12"/>
        <v>dailoneskill0016</v>
      </c>
      <c r="L7" s="5" t="str">
        <f t="shared" si="4"/>
        <v>lootName5,DAIL/items/materia/class0016/Defense5.dbr,</v>
      </c>
      <c r="M7" s="5" t="str">
        <f t="shared" si="5"/>
        <v>lootWeight5,1,</v>
      </c>
      <c r="N7" t="str">
        <f t="shared" si="6"/>
        <v>1</v>
      </c>
      <c r="O7" t="str">
        <f t="shared" ref="O7:O70" si="16">IF(I7&lt;&gt;"","copy .\"&amp;VLOOKUP(VALUE(N7),$AD$3:$AF$5,2,FALSE)&amp;" .\items\materia\"&amp;J7&amp;"\"&amp;H7&amp;G7&amp;".dbr /y"&amp;"","")</f>
        <v>copy .\dail_base.dbr .\items\materia\class0016\Defense5.dbr /y</v>
      </c>
      <c r="P7" t="str">
        <f t="shared" si="7"/>
        <v>echo relicBitmap,items/craftingparts/components/component_a52_bristlyfur_b.tex, &gt;&gt; .\items\materia\class0016\Defense5.dbr</v>
      </c>
      <c r="Q7" t="str">
        <f t="shared" si="1"/>
        <v>echo itemCost,100000, &gt;&gt; .\items\materia\class0016\Defense5.dbr</v>
      </c>
      <c r="R7" t="str">
        <f t="shared" si="1"/>
        <v>echo description,dailCompDescDefense5, &gt;&gt; .\items\materia\class0016\Defense5.dbr</v>
      </c>
      <c r="S7" t="str">
        <f t="shared" si="1"/>
        <v>echo itemText,dailCompTextDefense5, &gt;&gt; .\items\materia\class0016\Defense5.dbr</v>
      </c>
      <c r="T7" t="str">
        <f t="shared" si="1"/>
        <v>echo augmentSkillLevel1,1, &gt;&gt; .\items\materia\class0016\Defense5.dbr</v>
      </c>
      <c r="U7" t="str">
        <f t="shared" si="1"/>
        <v>echo augmentSkillName1,records/skillsdefense/adrenaline.dbr,, &gt;&gt; .\items\materia\class0016\Defense5.dbr</v>
      </c>
      <c r="V7" s="5" t="s">
        <v>36</v>
      </c>
      <c r="W7" t="str">
        <f t="shared" si="8"/>
        <v>echo lootName5,DAIL/items/materia/class0016/Defense5.dbr, &gt;&gt; .\items\loottables\dailoneskill0016.dbr</v>
      </c>
      <c r="X7" t="str">
        <f t="shared" si="8"/>
        <v>echo lootWeight5,1, &gt;&gt; .\items\loottables\dailoneskill0016.dbr</v>
      </c>
      <c r="Y7" s="5" t="s">
        <v>36</v>
      </c>
      <c r="Z7" t="str">
        <f t="shared" si="9"/>
        <v xml:space="preserve"> dailCompDescDefense5=^pDefense's Gift of DAIL</v>
      </c>
      <c r="AA7" t="str">
        <f t="shared" ref="AA7:AA70" si="17">IF(I6&lt;&gt;"","dailCompText"&amp;H7&amp;G7&amp;"=^oThis feels warm to the touch, almost familiar ^w("&amp;VLOOKUP(VALUE(N7),$AD$3:$AF$5,3,FALSE)&amp;")","")</f>
        <v>dailCompTextDefense5=^oThis feels warm to the touch, almost familiar ^w(This component fits into all Jewellery slots including the Belt And Shoulder)</v>
      </c>
      <c r="AB7" s="5" t="s">
        <v>36</v>
      </c>
      <c r="AH7">
        <f>AH6+1</f>
        <v>2</v>
      </c>
      <c r="AI7">
        <f t="shared" si="13"/>
        <v>23</v>
      </c>
      <c r="AJ7">
        <f t="shared" ref="AJ7:AJ70" si="18">IF(AH7&lt;$AL$7,1,IF(AH7&lt;$AL$8,3,5))</f>
        <v>1</v>
      </c>
      <c r="AK7">
        <v>1</v>
      </c>
      <c r="AL7">
        <f>AL6/3</f>
        <v>20</v>
      </c>
    </row>
    <row r="8" spans="1:38" x14ac:dyDescent="0.25">
      <c r="A8" s="5" t="s">
        <v>39</v>
      </c>
      <c r="B8" s="5" t="s">
        <v>0</v>
      </c>
      <c r="C8" s="5" t="str">
        <f t="shared" si="0"/>
        <v>description,dailCompDescDefense6,</v>
      </c>
      <c r="D8" s="5" t="str">
        <f t="shared" si="2"/>
        <v>itemText,dailCompTextDefense6,</v>
      </c>
      <c r="E8" s="5" t="str">
        <f t="shared" si="14"/>
        <v>augmentSkillLevel1,1,</v>
      </c>
      <c r="F8" s="5" t="str">
        <f t="shared" si="15"/>
        <v>augmentSkillName1,records/skillsdefense/adrenaline_resilience.dbr,,</v>
      </c>
      <c r="G8" s="7">
        <f t="shared" si="10"/>
        <v>6</v>
      </c>
      <c r="H8" s="8" t="str">
        <f t="shared" si="11"/>
        <v>Defense</v>
      </c>
      <c r="I8" s="3" t="s">
        <v>576</v>
      </c>
      <c r="J8" s="8" t="str">
        <f t="shared" si="12"/>
        <v>class0016</v>
      </c>
      <c r="K8" s="8" t="str">
        <f t="shared" si="12"/>
        <v>dailoneskill0016</v>
      </c>
      <c r="L8" s="5" t="str">
        <f t="shared" si="4"/>
        <v>lootName6,DAIL/items/materia/class0016/Defense6.dbr,</v>
      </c>
      <c r="M8" s="5" t="str">
        <f t="shared" si="5"/>
        <v>lootWeight6,1,</v>
      </c>
      <c r="N8" t="str">
        <f t="shared" si="6"/>
        <v>1</v>
      </c>
      <c r="O8" t="str">
        <f t="shared" si="16"/>
        <v>copy .\dail_base.dbr .\items\materia\class0016\Defense6.dbr /y</v>
      </c>
      <c r="P8" t="str">
        <f t="shared" si="7"/>
        <v>echo relicBitmap,items/craftingparts/components/component_a52_bristlyfur_b.tex, &gt;&gt; .\items\materia\class0016\Defense6.dbr</v>
      </c>
      <c r="Q8" t="str">
        <f t="shared" si="1"/>
        <v>echo itemCost,100000, &gt;&gt; .\items\materia\class0016\Defense6.dbr</v>
      </c>
      <c r="R8" t="str">
        <f t="shared" si="1"/>
        <v>echo description,dailCompDescDefense6, &gt;&gt; .\items\materia\class0016\Defense6.dbr</v>
      </c>
      <c r="S8" t="str">
        <f t="shared" si="1"/>
        <v>echo itemText,dailCompTextDefense6, &gt;&gt; .\items\materia\class0016\Defense6.dbr</v>
      </c>
      <c r="T8" t="str">
        <f t="shared" si="1"/>
        <v>echo augmentSkillLevel1,1, &gt;&gt; .\items\materia\class0016\Defense6.dbr</v>
      </c>
      <c r="U8" t="str">
        <f t="shared" si="1"/>
        <v>echo augmentSkillName1,records/skillsdefense/adrenaline_resilience.dbr,, &gt;&gt; .\items\materia\class0016\Defense6.dbr</v>
      </c>
      <c r="V8" s="5" t="s">
        <v>36</v>
      </c>
      <c r="W8" t="str">
        <f t="shared" si="8"/>
        <v>echo lootName6,DAIL/items/materia/class0016/Defense6.dbr, &gt;&gt; .\items\loottables\dailoneskill0016.dbr</v>
      </c>
      <c r="X8" t="str">
        <f t="shared" si="8"/>
        <v>echo lootWeight6,1, &gt;&gt; .\items\loottables\dailoneskill0016.dbr</v>
      </c>
      <c r="Y8" s="5" t="s">
        <v>36</v>
      </c>
      <c r="Z8" t="str">
        <f t="shared" si="9"/>
        <v xml:space="preserve"> dailCompDescDefense6=^pDefense's Gift of DAIL</v>
      </c>
      <c r="AA8" t="str">
        <f t="shared" si="17"/>
        <v>dailCompTextDefense6=^oThis feels warm to the touch, almost familiar ^w(This component fits into all Jewellery slots including the Belt And Shoulder)</v>
      </c>
      <c r="AB8" s="5" t="s">
        <v>36</v>
      </c>
      <c r="AH8">
        <f t="shared" ref="AH8:AH71" si="19">AH7+1</f>
        <v>3</v>
      </c>
      <c r="AI8">
        <f t="shared" si="13"/>
        <v>34</v>
      </c>
      <c r="AJ8">
        <f t="shared" si="18"/>
        <v>1</v>
      </c>
      <c r="AK8" s="1">
        <v>3</v>
      </c>
      <c r="AL8">
        <f>AL7*2</f>
        <v>40</v>
      </c>
    </row>
    <row r="9" spans="1:38" x14ac:dyDescent="0.25">
      <c r="A9" s="5" t="s">
        <v>39</v>
      </c>
      <c r="B9" s="5" t="s">
        <v>0</v>
      </c>
      <c r="C9" s="5" t="str">
        <f t="shared" si="0"/>
        <v>description,dailCompDescDefense7,</v>
      </c>
      <c r="D9" s="5" t="str">
        <f t="shared" si="2"/>
        <v>itemText,dailCompTextDefense7,</v>
      </c>
      <c r="E9" s="5" t="str">
        <f t="shared" si="14"/>
        <v>augmentSkillLevel1,1,</v>
      </c>
      <c r="F9" s="5" t="str">
        <f t="shared" si="15"/>
        <v>augmentSkillName1,records/skillsdefense/adrenaline_defensivereaction.dbr,,</v>
      </c>
      <c r="G9" s="7">
        <f t="shared" si="10"/>
        <v>7</v>
      </c>
      <c r="H9" s="8" t="str">
        <f t="shared" si="11"/>
        <v>Defense</v>
      </c>
      <c r="I9" s="3" t="s">
        <v>577</v>
      </c>
      <c r="J9" s="8" t="str">
        <f t="shared" si="12"/>
        <v>class0016</v>
      </c>
      <c r="K9" s="8" t="str">
        <f t="shared" si="12"/>
        <v>dailoneskill0016</v>
      </c>
      <c r="L9" s="5" t="str">
        <f t="shared" si="4"/>
        <v>lootName7,DAIL/items/materia/class0016/Defense7.dbr,</v>
      </c>
      <c r="M9" s="5" t="str">
        <f t="shared" si="5"/>
        <v>lootWeight7,1,</v>
      </c>
      <c r="N9" t="str">
        <f t="shared" si="6"/>
        <v>1</v>
      </c>
      <c r="O9" t="str">
        <f t="shared" si="16"/>
        <v>copy .\dail_base.dbr .\items\materia\class0016\Defense7.dbr /y</v>
      </c>
      <c r="P9" t="str">
        <f t="shared" si="7"/>
        <v>echo relicBitmap,items/craftingparts/components/component_a52_bristlyfur_b.tex, &gt;&gt; .\items\materia\class0016\Defense7.dbr</v>
      </c>
      <c r="Q9" t="str">
        <f t="shared" si="1"/>
        <v>echo itemCost,100000, &gt;&gt; .\items\materia\class0016\Defense7.dbr</v>
      </c>
      <c r="R9" t="str">
        <f t="shared" si="1"/>
        <v>echo description,dailCompDescDefense7, &gt;&gt; .\items\materia\class0016\Defense7.dbr</v>
      </c>
      <c r="S9" t="str">
        <f t="shared" si="1"/>
        <v>echo itemText,dailCompTextDefense7, &gt;&gt; .\items\materia\class0016\Defense7.dbr</v>
      </c>
      <c r="T9" t="str">
        <f t="shared" si="1"/>
        <v>echo augmentSkillLevel1,1, &gt;&gt; .\items\materia\class0016\Defense7.dbr</v>
      </c>
      <c r="U9" t="str">
        <f t="shared" si="1"/>
        <v>echo augmentSkillName1,records/skillsdefense/adrenaline_defensivereaction.dbr,, &gt;&gt; .\items\materia\class0016\Defense7.dbr</v>
      </c>
      <c r="V9" s="5" t="s">
        <v>36</v>
      </c>
      <c r="W9" t="str">
        <f t="shared" si="8"/>
        <v>echo lootName7,DAIL/items/materia/class0016/Defense7.dbr, &gt;&gt; .\items\loottables\dailoneskill0016.dbr</v>
      </c>
      <c r="X9" t="str">
        <f t="shared" si="8"/>
        <v>echo lootWeight7,1, &gt;&gt; .\items\loottables\dailoneskill0016.dbr</v>
      </c>
      <c r="Y9" s="5" t="s">
        <v>36</v>
      </c>
      <c r="Z9" t="str">
        <f t="shared" si="9"/>
        <v xml:space="preserve"> dailCompDescDefense7=^pDefense's Gift of DAIL</v>
      </c>
      <c r="AA9" t="str">
        <f t="shared" si="17"/>
        <v>dailCompTextDefense7=^oThis feels warm to the touch, almost familiar ^w(This component fits into all Jewellery slots including the Belt And Shoulder)</v>
      </c>
      <c r="AB9" s="5" t="s">
        <v>36</v>
      </c>
      <c r="AH9">
        <f t="shared" si="19"/>
        <v>4</v>
      </c>
      <c r="AI9">
        <f t="shared" si="13"/>
        <v>41</v>
      </c>
      <c r="AJ9">
        <f t="shared" si="18"/>
        <v>1</v>
      </c>
      <c r="AK9" s="1">
        <v>5</v>
      </c>
      <c r="AL9">
        <f>AL6</f>
        <v>60</v>
      </c>
    </row>
    <row r="10" spans="1:38" x14ac:dyDescent="0.25">
      <c r="A10" s="5" t="s">
        <v>39</v>
      </c>
      <c r="B10" s="5" t="s">
        <v>0</v>
      </c>
      <c r="C10" s="5" t="str">
        <f t="shared" si="0"/>
        <v>description,dailCompDescDefense8,</v>
      </c>
      <c r="D10" s="5" t="str">
        <f t="shared" si="2"/>
        <v>itemText,dailCompTextDefense8,</v>
      </c>
      <c r="E10" s="5" t="str">
        <f t="shared" si="14"/>
        <v>augmentSkillLevel1,1,</v>
      </c>
      <c r="F10" s="5" t="str">
        <f t="shared" si="15"/>
        <v>augmentSkillName1,records/skillsdefense/rally.dbr,,</v>
      </c>
      <c r="G10" s="7">
        <f t="shared" si="10"/>
        <v>8</v>
      </c>
      <c r="H10" s="8" t="str">
        <f t="shared" si="11"/>
        <v>Defense</v>
      </c>
      <c r="I10" s="3" t="s">
        <v>578</v>
      </c>
      <c r="J10" s="8" t="str">
        <f t="shared" si="12"/>
        <v>class0016</v>
      </c>
      <c r="K10" s="8" t="str">
        <f t="shared" si="12"/>
        <v>dailoneskill0016</v>
      </c>
      <c r="L10" s="5" t="str">
        <f t="shared" si="4"/>
        <v>lootName8,DAIL/items/materia/class0016/Defense8.dbr,</v>
      </c>
      <c r="M10" s="5" t="str">
        <f t="shared" si="5"/>
        <v>lootWeight8,1,</v>
      </c>
      <c r="N10" t="str">
        <f t="shared" si="6"/>
        <v>1</v>
      </c>
      <c r="O10" t="str">
        <f t="shared" si="16"/>
        <v>copy .\dail_base.dbr .\items\materia\class0016\Defense8.dbr /y</v>
      </c>
      <c r="P10" t="str">
        <f t="shared" si="7"/>
        <v>echo relicBitmap,items/craftingparts/components/component_a52_bristlyfur_b.tex, &gt;&gt; .\items\materia\class0016\Defense8.dbr</v>
      </c>
      <c r="Q10" t="str">
        <f t="shared" si="1"/>
        <v>echo itemCost,100000, &gt;&gt; .\items\materia\class0016\Defense8.dbr</v>
      </c>
      <c r="R10" t="str">
        <f t="shared" si="1"/>
        <v>echo description,dailCompDescDefense8, &gt;&gt; .\items\materia\class0016\Defense8.dbr</v>
      </c>
      <c r="S10" t="str">
        <f t="shared" si="1"/>
        <v>echo itemText,dailCompTextDefense8, &gt;&gt; .\items\materia\class0016\Defense8.dbr</v>
      </c>
      <c r="T10" t="str">
        <f t="shared" si="1"/>
        <v>echo augmentSkillLevel1,1, &gt;&gt; .\items\materia\class0016\Defense8.dbr</v>
      </c>
      <c r="U10" t="str">
        <f t="shared" si="1"/>
        <v>echo augmentSkillName1,records/skillsdefense/rally.dbr,, &gt;&gt; .\items\materia\class0016\Defense8.dbr</v>
      </c>
      <c r="V10" s="5" t="s">
        <v>36</v>
      </c>
      <c r="W10" t="str">
        <f t="shared" si="8"/>
        <v>echo lootName8,DAIL/items/materia/class0016/Defense8.dbr, &gt;&gt; .\items\loottables\dailoneskill0016.dbr</v>
      </c>
      <c r="X10" t="str">
        <f t="shared" si="8"/>
        <v>echo lootWeight8,1, &gt;&gt; .\items\loottables\dailoneskill0016.dbr</v>
      </c>
      <c r="Y10" s="5" t="s">
        <v>36</v>
      </c>
      <c r="Z10" t="str">
        <f t="shared" si="9"/>
        <v xml:space="preserve"> dailCompDescDefense8=^pDefense's Gift of DAIL</v>
      </c>
      <c r="AA10" t="str">
        <f t="shared" si="17"/>
        <v>dailCompTextDefense8=^oThis feels warm to the touch, almost familiar ^w(This component fits into all Jewellery slots including the Belt And Shoulder)</v>
      </c>
      <c r="AB10" s="5" t="s">
        <v>36</v>
      </c>
      <c r="AH10">
        <f t="shared" si="19"/>
        <v>5</v>
      </c>
      <c r="AI10">
        <f t="shared" si="13"/>
        <v>18</v>
      </c>
      <c r="AJ10">
        <f t="shared" si="18"/>
        <v>1</v>
      </c>
    </row>
    <row r="11" spans="1:38" x14ac:dyDescent="0.25">
      <c r="A11" s="5" t="s">
        <v>39</v>
      </c>
      <c r="B11" s="5" t="s">
        <v>0</v>
      </c>
      <c r="C11" s="5" t="str">
        <f t="shared" si="0"/>
        <v>description,dailCompDescDefense9,</v>
      </c>
      <c r="D11" s="5" t="str">
        <f t="shared" si="2"/>
        <v>itemText,dailCompTextDefense9,</v>
      </c>
      <c r="E11" s="5" t="str">
        <f t="shared" si="14"/>
        <v>augmentSkillLevel1,1,</v>
      </c>
      <c r="F11" s="5" t="str">
        <f t="shared" si="15"/>
        <v>augmentSkillName1,records/skillsdefense/rally_inspiration.dbr,,</v>
      </c>
      <c r="G11" s="7">
        <f t="shared" si="10"/>
        <v>9</v>
      </c>
      <c r="H11" s="8" t="str">
        <f t="shared" si="11"/>
        <v>Defense</v>
      </c>
      <c r="I11" s="3" t="s">
        <v>579</v>
      </c>
      <c r="J11" s="8" t="str">
        <f t="shared" si="12"/>
        <v>class0016</v>
      </c>
      <c r="K11" s="8" t="str">
        <f t="shared" si="12"/>
        <v>dailoneskill0016</v>
      </c>
      <c r="L11" s="5" t="str">
        <f t="shared" si="4"/>
        <v>lootName9,DAIL/items/materia/class0016/Defense9.dbr,</v>
      </c>
      <c r="M11" s="5" t="str">
        <f t="shared" si="5"/>
        <v>lootWeight9,1,</v>
      </c>
      <c r="N11" t="str">
        <f t="shared" si="6"/>
        <v>1</v>
      </c>
      <c r="O11" t="str">
        <f t="shared" si="16"/>
        <v>copy .\dail_base.dbr .\items\materia\class0016\Defense9.dbr /y</v>
      </c>
      <c r="P11" t="str">
        <f t="shared" si="7"/>
        <v>echo relicBitmap,items/craftingparts/components/component_a52_bristlyfur_b.tex, &gt;&gt; .\items\materia\class0016\Defense9.dbr</v>
      </c>
      <c r="Q11" t="str">
        <f t="shared" si="1"/>
        <v>echo itemCost,100000, &gt;&gt; .\items\materia\class0016\Defense9.dbr</v>
      </c>
      <c r="R11" t="str">
        <f t="shared" si="1"/>
        <v>echo description,dailCompDescDefense9, &gt;&gt; .\items\materia\class0016\Defense9.dbr</v>
      </c>
      <c r="S11" t="str">
        <f t="shared" si="1"/>
        <v>echo itemText,dailCompTextDefense9, &gt;&gt; .\items\materia\class0016\Defense9.dbr</v>
      </c>
      <c r="T11" t="str">
        <f t="shared" si="1"/>
        <v>echo augmentSkillLevel1,1, &gt;&gt; .\items\materia\class0016\Defense9.dbr</v>
      </c>
      <c r="U11" t="str">
        <f t="shared" si="1"/>
        <v>echo augmentSkillName1,records/skillsdefense/rally_inspiration.dbr,, &gt;&gt; .\items\materia\class0016\Defense9.dbr</v>
      </c>
      <c r="V11" s="5" t="s">
        <v>36</v>
      </c>
      <c r="W11" t="str">
        <f t="shared" si="8"/>
        <v>echo lootName9,DAIL/items/materia/class0016/Defense9.dbr, &gt;&gt; .\items\loottables\dailoneskill0016.dbr</v>
      </c>
      <c r="X11" t="str">
        <f t="shared" si="8"/>
        <v>echo lootWeight9,1, &gt;&gt; .\items\loottables\dailoneskill0016.dbr</v>
      </c>
      <c r="Y11" s="5" t="s">
        <v>36</v>
      </c>
      <c r="Z11" t="str">
        <f t="shared" si="9"/>
        <v xml:space="preserve"> dailCompDescDefense9=^pDefense's Gift of DAIL</v>
      </c>
      <c r="AA11" t="str">
        <f t="shared" si="17"/>
        <v>dailCompTextDefense9=^oThis feels warm to the touch, almost familiar ^w(This component fits into all Jewellery slots including the Belt And Shoulder)</v>
      </c>
      <c r="AB11" s="5" t="s">
        <v>36</v>
      </c>
      <c r="AH11">
        <f t="shared" si="19"/>
        <v>6</v>
      </c>
      <c r="AI11">
        <f t="shared" si="13"/>
        <v>30</v>
      </c>
      <c r="AJ11">
        <f t="shared" si="18"/>
        <v>1</v>
      </c>
    </row>
    <row r="12" spans="1:38" x14ac:dyDescent="0.25">
      <c r="A12" s="5" t="s">
        <v>39</v>
      </c>
      <c r="B12" s="5" t="s">
        <v>0</v>
      </c>
      <c r="C12" s="5" t="str">
        <f t="shared" si="0"/>
        <v>description,dailCompDescDefense10,</v>
      </c>
      <c r="D12" s="5" t="str">
        <f t="shared" si="2"/>
        <v>itemText,dailCompTextDefense10,</v>
      </c>
      <c r="E12" s="5" t="str">
        <f t="shared" si="14"/>
        <v>augmentSkillLevel1,1,</v>
      </c>
      <c r="F12" s="5" t="str">
        <f t="shared" si="15"/>
        <v>augmentSkillName1,records/skillsdefense/rally_defiance.dbr,,</v>
      </c>
      <c r="G12" s="7">
        <f t="shared" si="10"/>
        <v>10</v>
      </c>
      <c r="H12" s="8" t="str">
        <f t="shared" si="11"/>
        <v>Defense</v>
      </c>
      <c r="I12" s="3" t="s">
        <v>580</v>
      </c>
      <c r="J12" s="8" t="str">
        <f t="shared" si="12"/>
        <v>class0016</v>
      </c>
      <c r="K12" s="8" t="str">
        <f t="shared" si="12"/>
        <v>dailoneskill0016</v>
      </c>
      <c r="L12" s="5" t="str">
        <f t="shared" si="4"/>
        <v>lootName10,DAIL/items/materia/class0016/Defense10.dbr,</v>
      </c>
      <c r="M12" s="5" t="str">
        <f t="shared" si="5"/>
        <v>lootWeight10,1,</v>
      </c>
      <c r="N12" t="str">
        <f t="shared" si="6"/>
        <v>1</v>
      </c>
      <c r="O12" t="str">
        <f t="shared" si="16"/>
        <v>copy .\dail_base.dbr .\items\materia\class0016\Defense10.dbr /y</v>
      </c>
      <c r="P12" t="str">
        <f t="shared" si="7"/>
        <v>echo relicBitmap,items/craftingparts/components/component_a52_bristlyfur_b.tex, &gt;&gt; .\items\materia\class0016\Defense10.dbr</v>
      </c>
      <c r="Q12" t="str">
        <f t="shared" si="1"/>
        <v>echo itemCost,100000, &gt;&gt; .\items\materia\class0016\Defense10.dbr</v>
      </c>
      <c r="R12" t="str">
        <f t="shared" si="1"/>
        <v>echo description,dailCompDescDefense10, &gt;&gt; .\items\materia\class0016\Defense10.dbr</v>
      </c>
      <c r="S12" t="str">
        <f t="shared" si="1"/>
        <v>echo itemText,dailCompTextDefense10, &gt;&gt; .\items\materia\class0016\Defense10.dbr</v>
      </c>
      <c r="T12" t="str">
        <f t="shared" si="1"/>
        <v>echo augmentSkillLevel1,1, &gt;&gt; .\items\materia\class0016\Defense10.dbr</v>
      </c>
      <c r="U12" t="str">
        <f t="shared" si="1"/>
        <v>echo augmentSkillName1,records/skillsdefense/rally_defiance.dbr,, &gt;&gt; .\items\materia\class0016\Defense10.dbr</v>
      </c>
      <c r="V12" s="5" t="s">
        <v>36</v>
      </c>
      <c r="W12" t="str">
        <f t="shared" si="8"/>
        <v>echo lootName10,DAIL/items/materia/class0016/Defense10.dbr, &gt;&gt; .\items\loottables\dailoneskill0016.dbr</v>
      </c>
      <c r="X12" t="str">
        <f t="shared" si="8"/>
        <v>echo lootWeight10,1, &gt;&gt; .\items\loottables\dailoneskill0016.dbr</v>
      </c>
      <c r="Y12" s="5" t="s">
        <v>36</v>
      </c>
      <c r="Z12" t="str">
        <f t="shared" si="9"/>
        <v xml:space="preserve"> dailCompDescDefense10=^pDefense's Gift of DAIL</v>
      </c>
      <c r="AA12" t="str">
        <f t="shared" si="17"/>
        <v>dailCompTextDefense10=^oThis feels warm to the touch, almost familiar ^w(This component fits into all Jewellery slots including the Belt And Shoulder)</v>
      </c>
      <c r="AB12" s="5" t="s">
        <v>36</v>
      </c>
      <c r="AH12">
        <f t="shared" si="19"/>
        <v>7</v>
      </c>
      <c r="AI12">
        <f t="shared" si="13"/>
        <v>27</v>
      </c>
      <c r="AJ12">
        <f t="shared" si="18"/>
        <v>1</v>
      </c>
    </row>
    <row r="13" spans="1:38" x14ac:dyDescent="0.25">
      <c r="A13" s="5" t="s">
        <v>39</v>
      </c>
      <c r="B13" s="5" t="s">
        <v>0</v>
      </c>
      <c r="C13" s="5" t="str">
        <f t="shared" si="0"/>
        <v>description,dailCompDescDefense11,</v>
      </c>
      <c r="D13" s="5" t="str">
        <f t="shared" si="2"/>
        <v>itemText,dailCompTextDefense11,</v>
      </c>
      <c r="E13" s="5" t="str">
        <f t="shared" si="14"/>
        <v>augmentSkillLevel1,1,</v>
      </c>
      <c r="F13" s="5" t="str">
        <f t="shared" si="15"/>
        <v>augmentSkillName1,records/skillsdefense/colossusform.dbr,,</v>
      </c>
      <c r="G13" s="7">
        <f t="shared" si="10"/>
        <v>11</v>
      </c>
      <c r="H13" s="8" t="str">
        <f t="shared" si="11"/>
        <v>Defense</v>
      </c>
      <c r="I13" s="3" t="s">
        <v>581</v>
      </c>
      <c r="J13" s="8" t="str">
        <f t="shared" si="12"/>
        <v>class0016</v>
      </c>
      <c r="K13" s="8" t="str">
        <f t="shared" si="12"/>
        <v>dailoneskill0016</v>
      </c>
      <c r="L13" s="5" t="str">
        <f t="shared" si="4"/>
        <v>lootName11,DAIL/items/materia/class0016/Defense11.dbr,</v>
      </c>
      <c r="M13" s="5" t="str">
        <f t="shared" si="5"/>
        <v>lootWeight11,1,</v>
      </c>
      <c r="N13" t="str">
        <f t="shared" si="6"/>
        <v>1</v>
      </c>
      <c r="O13" t="str">
        <f t="shared" si="16"/>
        <v>copy .\dail_base.dbr .\items\materia\class0016\Defense11.dbr /y</v>
      </c>
      <c r="P13" t="str">
        <f t="shared" si="7"/>
        <v>echo relicBitmap,items/craftingparts/components/component_a52_bristlyfur_b.tex, &gt;&gt; .\items\materia\class0016\Defense11.dbr</v>
      </c>
      <c r="Q13" t="str">
        <f t="shared" si="1"/>
        <v>echo itemCost,100000, &gt;&gt; .\items\materia\class0016\Defense11.dbr</v>
      </c>
      <c r="R13" t="str">
        <f t="shared" si="1"/>
        <v>echo description,dailCompDescDefense11, &gt;&gt; .\items\materia\class0016\Defense11.dbr</v>
      </c>
      <c r="S13" t="str">
        <f t="shared" si="1"/>
        <v>echo itemText,dailCompTextDefense11, &gt;&gt; .\items\materia\class0016\Defense11.dbr</v>
      </c>
      <c r="T13" t="str">
        <f t="shared" si="1"/>
        <v>echo augmentSkillLevel1,1, &gt;&gt; .\items\materia\class0016\Defense11.dbr</v>
      </c>
      <c r="U13" t="str">
        <f t="shared" si="1"/>
        <v>echo augmentSkillName1,records/skillsdefense/colossusform.dbr,, &gt;&gt; .\items\materia\class0016\Defense11.dbr</v>
      </c>
      <c r="V13" s="5" t="s">
        <v>36</v>
      </c>
      <c r="W13" t="str">
        <f t="shared" si="8"/>
        <v>echo lootName11,DAIL/items/materia/class0016/Defense11.dbr, &gt;&gt; .\items\loottables\dailoneskill0016.dbr</v>
      </c>
      <c r="X13" t="str">
        <f t="shared" si="8"/>
        <v>echo lootWeight11,1, &gt;&gt; .\items\loottables\dailoneskill0016.dbr</v>
      </c>
      <c r="Y13" s="5" t="s">
        <v>36</v>
      </c>
      <c r="Z13" t="str">
        <f t="shared" si="9"/>
        <v xml:space="preserve"> dailCompDescDefense11=^pDefense's Gift of DAIL</v>
      </c>
      <c r="AA13" t="str">
        <f t="shared" si="17"/>
        <v>dailCompTextDefense11=^oThis feels warm to the touch, almost familiar ^w(This component fits into all Jewellery slots including the Belt And Shoulder)</v>
      </c>
      <c r="AB13" s="5" t="s">
        <v>36</v>
      </c>
      <c r="AH13">
        <f t="shared" si="19"/>
        <v>8</v>
      </c>
      <c r="AI13">
        <f t="shared" si="13"/>
        <v>25</v>
      </c>
      <c r="AJ13">
        <f t="shared" si="18"/>
        <v>1</v>
      </c>
    </row>
    <row r="14" spans="1:38" x14ac:dyDescent="0.25">
      <c r="A14" s="5" t="s">
        <v>39</v>
      </c>
      <c r="B14" s="5" t="s">
        <v>0</v>
      </c>
      <c r="C14" s="5" t="str">
        <f t="shared" si="0"/>
        <v>description,dailCompDescDefense12,</v>
      </c>
      <c r="D14" s="5" t="str">
        <f t="shared" si="2"/>
        <v>itemText,dailCompTextDefense12,</v>
      </c>
      <c r="E14" s="5" t="str">
        <f t="shared" si="14"/>
        <v>augmentSkillLevel1,1,</v>
      </c>
      <c r="F14" s="5" t="str">
        <f t="shared" si="15"/>
        <v>augmentSkillName1,records/skillsdefense/weaponpool_shieldsmash.dbr,,</v>
      </c>
      <c r="G14" s="7">
        <f t="shared" si="10"/>
        <v>12</v>
      </c>
      <c r="H14" s="8" t="str">
        <f t="shared" si="11"/>
        <v>Defense</v>
      </c>
      <c r="I14" s="3" t="s">
        <v>582</v>
      </c>
      <c r="J14" s="8" t="str">
        <f t="shared" si="12"/>
        <v>class0016</v>
      </c>
      <c r="K14" s="8" t="str">
        <f t="shared" si="12"/>
        <v>dailoneskill0016</v>
      </c>
      <c r="L14" s="5" t="str">
        <f t="shared" si="4"/>
        <v>lootName12,DAIL/items/materia/class0016/Defense12.dbr,</v>
      </c>
      <c r="M14" s="5" t="str">
        <f t="shared" si="5"/>
        <v>lootWeight12,1,</v>
      </c>
      <c r="N14" t="str">
        <f t="shared" si="6"/>
        <v>1</v>
      </c>
      <c r="O14" t="str">
        <f t="shared" si="16"/>
        <v>copy .\dail_base.dbr .\items\materia\class0016\Defense12.dbr /y</v>
      </c>
      <c r="P14" t="str">
        <f t="shared" si="7"/>
        <v>echo relicBitmap,items/craftingparts/components/component_a52_bristlyfur_b.tex, &gt;&gt; .\items\materia\class0016\Defense12.dbr</v>
      </c>
      <c r="Q14" t="str">
        <f t="shared" si="1"/>
        <v>echo itemCost,100000, &gt;&gt; .\items\materia\class0016\Defense12.dbr</v>
      </c>
      <c r="R14" t="str">
        <f t="shared" si="1"/>
        <v>echo description,dailCompDescDefense12, &gt;&gt; .\items\materia\class0016\Defense12.dbr</v>
      </c>
      <c r="S14" t="str">
        <f t="shared" si="1"/>
        <v>echo itemText,dailCompTextDefense12, &gt;&gt; .\items\materia\class0016\Defense12.dbr</v>
      </c>
      <c r="T14" t="str">
        <f t="shared" si="1"/>
        <v>echo augmentSkillLevel1,1, &gt;&gt; .\items\materia\class0016\Defense12.dbr</v>
      </c>
      <c r="U14" t="str">
        <f t="shared" si="1"/>
        <v>echo augmentSkillName1,records/skillsdefense/weaponpool_shieldsmash.dbr,, &gt;&gt; .\items\materia\class0016\Defense12.dbr</v>
      </c>
      <c r="V14" s="5" t="s">
        <v>36</v>
      </c>
      <c r="W14" t="str">
        <f t="shared" si="8"/>
        <v>echo lootName12,DAIL/items/materia/class0016/Defense12.dbr, &gt;&gt; .\items\loottables\dailoneskill0016.dbr</v>
      </c>
      <c r="X14" t="str">
        <f t="shared" si="8"/>
        <v>echo lootWeight12,1, &gt;&gt; .\items\loottables\dailoneskill0016.dbr</v>
      </c>
      <c r="Y14" s="5" t="s">
        <v>36</v>
      </c>
      <c r="Z14" t="str">
        <f t="shared" si="9"/>
        <v xml:space="preserve"> dailCompDescDefense12=^pDefense's Gift of DAIL</v>
      </c>
      <c r="AA14" t="str">
        <f t="shared" si="17"/>
        <v>dailCompTextDefense12=^oThis feels warm to the touch, almost familiar ^w(This component fits into all Jewellery slots including the Belt And Shoulder)</v>
      </c>
      <c r="AB14" s="5" t="s">
        <v>36</v>
      </c>
      <c r="AH14">
        <f t="shared" si="19"/>
        <v>9</v>
      </c>
      <c r="AI14">
        <f t="shared" si="13"/>
        <v>35</v>
      </c>
      <c r="AJ14">
        <f t="shared" si="18"/>
        <v>1</v>
      </c>
    </row>
    <row r="15" spans="1:38" x14ac:dyDescent="0.25">
      <c r="A15" s="5" t="s">
        <v>39</v>
      </c>
      <c r="B15" s="5" t="s">
        <v>0</v>
      </c>
      <c r="C15" s="5" t="str">
        <f t="shared" si="0"/>
        <v>description,dailCompDescDefense13,</v>
      </c>
      <c r="D15" s="5" t="str">
        <f t="shared" si="2"/>
        <v>itemText,dailCompTextDefense13,</v>
      </c>
      <c r="E15" s="5" t="str">
        <f t="shared" si="14"/>
        <v>augmentSkillLevel1,1,</v>
      </c>
      <c r="F15" s="5" t="str">
        <f t="shared" si="15"/>
        <v>augmentSkillName1,records/skillsdefense/weaponpool_disable.dbr,,</v>
      </c>
      <c r="G15" s="7">
        <f t="shared" si="10"/>
        <v>13</v>
      </c>
      <c r="H15" s="8" t="str">
        <f t="shared" si="11"/>
        <v>Defense</v>
      </c>
      <c r="I15" s="3" t="s">
        <v>583</v>
      </c>
      <c r="J15" s="8" t="str">
        <f t="shared" si="12"/>
        <v>class0016</v>
      </c>
      <c r="K15" s="8" t="str">
        <f t="shared" si="12"/>
        <v>dailoneskill0016</v>
      </c>
      <c r="L15" s="5" t="str">
        <f t="shared" si="4"/>
        <v>lootName13,DAIL/items/materia/class0016/Defense13.dbr,</v>
      </c>
      <c r="M15" s="5" t="str">
        <f t="shared" si="5"/>
        <v>lootWeight13,1,</v>
      </c>
      <c r="N15" t="str">
        <f t="shared" si="6"/>
        <v>1</v>
      </c>
      <c r="O15" t="str">
        <f t="shared" si="16"/>
        <v>copy .\dail_base.dbr .\items\materia\class0016\Defense13.dbr /y</v>
      </c>
      <c r="P15" t="str">
        <f t="shared" si="7"/>
        <v>echo relicBitmap,items/craftingparts/components/component_a52_bristlyfur_b.tex, &gt;&gt; .\items\materia\class0016\Defense13.dbr</v>
      </c>
      <c r="Q15" t="str">
        <f t="shared" si="1"/>
        <v>echo itemCost,100000, &gt;&gt; .\items\materia\class0016\Defense13.dbr</v>
      </c>
      <c r="R15" t="str">
        <f t="shared" si="1"/>
        <v>echo description,dailCompDescDefense13, &gt;&gt; .\items\materia\class0016\Defense13.dbr</v>
      </c>
      <c r="S15" t="str">
        <f t="shared" si="1"/>
        <v>echo itemText,dailCompTextDefense13, &gt;&gt; .\items\materia\class0016\Defense13.dbr</v>
      </c>
      <c r="T15" t="str">
        <f t="shared" si="1"/>
        <v>echo augmentSkillLevel1,1, &gt;&gt; .\items\materia\class0016\Defense13.dbr</v>
      </c>
      <c r="U15" t="str">
        <f t="shared" si="1"/>
        <v>echo augmentSkillName1,records/skillsdefense/weaponpool_disable.dbr,, &gt;&gt; .\items\materia\class0016\Defense13.dbr</v>
      </c>
      <c r="V15" s="5" t="s">
        <v>36</v>
      </c>
      <c r="W15" t="str">
        <f t="shared" si="8"/>
        <v>echo lootName13,DAIL/items/materia/class0016/Defense13.dbr, &gt;&gt; .\items\loottables\dailoneskill0016.dbr</v>
      </c>
      <c r="X15" t="str">
        <f t="shared" si="8"/>
        <v>echo lootWeight13,1, &gt;&gt; .\items\loottables\dailoneskill0016.dbr</v>
      </c>
      <c r="Y15" s="5" t="s">
        <v>36</v>
      </c>
      <c r="Z15" t="str">
        <f t="shared" si="9"/>
        <v xml:space="preserve"> dailCompDescDefense13=^pDefense's Gift of DAIL</v>
      </c>
      <c r="AA15" t="str">
        <f t="shared" si="17"/>
        <v>dailCompTextDefense13=^oThis feels warm to the touch, almost familiar ^w(This component fits into all Jewellery slots including the Belt And Shoulder)</v>
      </c>
      <c r="AB15" s="5" t="s">
        <v>36</v>
      </c>
      <c r="AH15">
        <f t="shared" si="19"/>
        <v>10</v>
      </c>
      <c r="AI15">
        <f t="shared" si="13"/>
        <v>31</v>
      </c>
      <c r="AJ15">
        <f t="shared" si="18"/>
        <v>1</v>
      </c>
    </row>
    <row r="16" spans="1:38" x14ac:dyDescent="0.25">
      <c r="A16" s="5" t="s">
        <v>39</v>
      </c>
      <c r="B16" s="5" t="s">
        <v>0</v>
      </c>
      <c r="C16" s="5" t="str">
        <f t="shared" si="0"/>
        <v>description,dailCompDescDefense14,</v>
      </c>
      <c r="D16" s="5" t="str">
        <f t="shared" si="2"/>
        <v>itemText,dailCompTextDefense14,</v>
      </c>
      <c r="E16" s="5" t="str">
        <f t="shared" si="14"/>
        <v>augmentSkillLevel1,1,</v>
      </c>
      <c r="F16" s="5" t="str">
        <f t="shared" si="15"/>
        <v>augmentSkillName1,records/skillsdefense/weaponpool_pulverize.dbr,,</v>
      </c>
      <c r="G16" s="7">
        <f t="shared" si="10"/>
        <v>14</v>
      </c>
      <c r="H16" s="8" t="str">
        <f t="shared" si="11"/>
        <v>Defense</v>
      </c>
      <c r="I16" s="3" t="s">
        <v>584</v>
      </c>
      <c r="J16" s="8" t="str">
        <f t="shared" si="12"/>
        <v>class0016</v>
      </c>
      <c r="K16" s="8" t="str">
        <f t="shared" si="12"/>
        <v>dailoneskill0016</v>
      </c>
      <c r="L16" s="5" t="str">
        <f t="shared" si="4"/>
        <v>lootName14,DAIL/items/materia/class0016/Defense14.dbr,</v>
      </c>
      <c r="M16" s="5" t="str">
        <f t="shared" si="5"/>
        <v>lootWeight14,1,</v>
      </c>
      <c r="N16" t="str">
        <f t="shared" si="6"/>
        <v>1</v>
      </c>
      <c r="O16" t="str">
        <f t="shared" si="16"/>
        <v>copy .\dail_base.dbr .\items\materia\class0016\Defense14.dbr /y</v>
      </c>
      <c r="P16" t="str">
        <f t="shared" si="7"/>
        <v>echo relicBitmap,items/craftingparts/components/component_a52_bristlyfur_b.tex, &gt;&gt; .\items\materia\class0016\Defense14.dbr</v>
      </c>
      <c r="Q16" t="str">
        <f t="shared" si="1"/>
        <v>echo itemCost,100000, &gt;&gt; .\items\materia\class0016\Defense14.dbr</v>
      </c>
      <c r="R16" t="str">
        <f t="shared" si="1"/>
        <v>echo description,dailCompDescDefense14, &gt;&gt; .\items\materia\class0016\Defense14.dbr</v>
      </c>
      <c r="S16" t="str">
        <f t="shared" si="1"/>
        <v>echo itemText,dailCompTextDefense14, &gt;&gt; .\items\materia\class0016\Defense14.dbr</v>
      </c>
      <c r="T16" t="str">
        <f t="shared" si="1"/>
        <v>echo augmentSkillLevel1,1, &gt;&gt; .\items\materia\class0016\Defense14.dbr</v>
      </c>
      <c r="U16" t="str">
        <f t="shared" si="1"/>
        <v>echo augmentSkillName1,records/skillsdefense/weaponpool_pulverize.dbr,, &gt;&gt; .\items\materia\class0016\Defense14.dbr</v>
      </c>
      <c r="V16" s="5" t="s">
        <v>36</v>
      </c>
      <c r="W16" t="str">
        <f t="shared" si="8"/>
        <v>echo lootName14,DAIL/items/materia/class0016/Defense14.dbr, &gt;&gt; .\items\loottables\dailoneskill0016.dbr</v>
      </c>
      <c r="X16" t="str">
        <f t="shared" si="8"/>
        <v>echo lootWeight14,1, &gt;&gt; .\items\loottables\dailoneskill0016.dbr</v>
      </c>
      <c r="Y16" s="5" t="s">
        <v>36</v>
      </c>
      <c r="Z16" t="str">
        <f t="shared" si="9"/>
        <v xml:space="preserve"> dailCompDescDefense14=^pDefense's Gift of DAIL</v>
      </c>
      <c r="AA16" t="str">
        <f t="shared" si="17"/>
        <v>dailCompTextDefense14=^oThis feels warm to the touch, almost familiar ^w(This component fits into all Jewellery slots including the Belt And Shoulder)</v>
      </c>
      <c r="AB16" s="5" t="s">
        <v>36</v>
      </c>
      <c r="AH16">
        <f t="shared" si="19"/>
        <v>11</v>
      </c>
      <c r="AI16">
        <f t="shared" si="13"/>
        <v>33</v>
      </c>
      <c r="AJ16">
        <f t="shared" si="18"/>
        <v>1</v>
      </c>
    </row>
    <row r="17" spans="1:36" x14ac:dyDescent="0.25">
      <c r="A17" s="5" t="s">
        <v>39</v>
      </c>
      <c r="B17" s="5" t="s">
        <v>0</v>
      </c>
      <c r="C17" s="5" t="str">
        <f t="shared" si="0"/>
        <v>description,dailCompDescDefense15,</v>
      </c>
      <c r="D17" s="5" t="str">
        <f t="shared" si="2"/>
        <v>itemText,dailCompTextDefense15,</v>
      </c>
      <c r="E17" s="5" t="str">
        <f t="shared" si="14"/>
        <v>augmentSkillLevel1,1,</v>
      </c>
      <c r="F17" s="5" t="str">
        <f t="shared" si="15"/>
        <v>augmentSkillName1,records/skillsdefense/battleawareness.dbr,,</v>
      </c>
      <c r="G17" s="7">
        <f t="shared" si="10"/>
        <v>15</v>
      </c>
      <c r="H17" s="8" t="str">
        <f t="shared" si="11"/>
        <v>Defense</v>
      </c>
      <c r="I17" s="3" t="s">
        <v>585</v>
      </c>
      <c r="J17" s="8" t="str">
        <f t="shared" si="12"/>
        <v>class0016</v>
      </c>
      <c r="K17" s="8" t="str">
        <f t="shared" si="12"/>
        <v>dailoneskill0016</v>
      </c>
      <c r="L17" s="5" t="str">
        <f t="shared" si="4"/>
        <v>lootName15,DAIL/items/materia/class0016/Defense15.dbr,</v>
      </c>
      <c r="M17" s="5" t="str">
        <f t="shared" si="5"/>
        <v>lootWeight15,1,</v>
      </c>
      <c r="N17" t="str">
        <f t="shared" si="6"/>
        <v>1</v>
      </c>
      <c r="O17" t="str">
        <f t="shared" si="16"/>
        <v>copy .\dail_base.dbr .\items\materia\class0016\Defense15.dbr /y</v>
      </c>
      <c r="P17" t="str">
        <f t="shared" si="7"/>
        <v>echo relicBitmap,items/craftingparts/components/component_a52_bristlyfur_b.tex, &gt;&gt; .\items\materia\class0016\Defense15.dbr</v>
      </c>
      <c r="Q17" t="str">
        <f t="shared" si="1"/>
        <v>echo itemCost,100000, &gt;&gt; .\items\materia\class0016\Defense15.dbr</v>
      </c>
      <c r="R17" t="str">
        <f t="shared" si="1"/>
        <v>echo description,dailCompDescDefense15, &gt;&gt; .\items\materia\class0016\Defense15.dbr</v>
      </c>
      <c r="S17" t="str">
        <f t="shared" si="1"/>
        <v>echo itemText,dailCompTextDefense15, &gt;&gt; .\items\materia\class0016\Defense15.dbr</v>
      </c>
      <c r="T17" t="str">
        <f t="shared" si="1"/>
        <v>echo augmentSkillLevel1,1, &gt;&gt; .\items\materia\class0016\Defense15.dbr</v>
      </c>
      <c r="U17" t="str">
        <f t="shared" si="1"/>
        <v>echo augmentSkillName1,records/skillsdefense/battleawareness.dbr,, &gt;&gt; .\items\materia\class0016\Defense15.dbr</v>
      </c>
      <c r="V17" s="5" t="s">
        <v>36</v>
      </c>
      <c r="W17" t="str">
        <f t="shared" si="8"/>
        <v>echo lootName15,DAIL/items/materia/class0016/Defense15.dbr, &gt;&gt; .\items\loottables\dailoneskill0016.dbr</v>
      </c>
      <c r="X17" t="str">
        <f t="shared" si="8"/>
        <v>echo lootWeight15,1, &gt;&gt; .\items\loottables\dailoneskill0016.dbr</v>
      </c>
      <c r="Y17" s="5" t="s">
        <v>36</v>
      </c>
      <c r="Z17" t="str">
        <f t="shared" si="9"/>
        <v xml:space="preserve"> dailCompDescDefense15=^pDefense's Gift of DAIL</v>
      </c>
      <c r="AA17" t="str">
        <f t="shared" si="17"/>
        <v>dailCompTextDefense15=^oThis feels warm to the touch, almost familiar ^w(This component fits into all Jewellery slots including the Belt And Shoulder)</v>
      </c>
      <c r="AB17" s="5" t="s">
        <v>36</v>
      </c>
      <c r="AH17">
        <f t="shared" si="19"/>
        <v>12</v>
      </c>
      <c r="AI17">
        <f t="shared" si="13"/>
        <v>28</v>
      </c>
      <c r="AJ17">
        <f t="shared" si="18"/>
        <v>1</v>
      </c>
    </row>
    <row r="18" spans="1:36" x14ac:dyDescent="0.25">
      <c r="A18" s="5" t="s">
        <v>39</v>
      </c>
      <c r="B18" s="5" t="s">
        <v>0</v>
      </c>
      <c r="C18" s="5" t="str">
        <f t="shared" si="0"/>
        <v>description,dailCompDescDefense16,</v>
      </c>
      <c r="D18" s="5" t="str">
        <f t="shared" si="2"/>
        <v>itemText,dailCompTextDefense16,</v>
      </c>
      <c r="E18" s="5" t="str">
        <f t="shared" si="14"/>
        <v>augmentSkillLevel1,1,</v>
      </c>
      <c r="F18" s="5" t="str">
        <f t="shared" si="15"/>
        <v>augmentSkillName1,records/skillsdefense/battleawareness_focus.dbr,,</v>
      </c>
      <c r="G18" s="7">
        <f t="shared" si="10"/>
        <v>16</v>
      </c>
      <c r="H18" s="8" t="str">
        <f t="shared" si="11"/>
        <v>Defense</v>
      </c>
      <c r="I18" s="3" t="s">
        <v>586</v>
      </c>
      <c r="J18" s="8" t="str">
        <f t="shared" si="12"/>
        <v>class0016</v>
      </c>
      <c r="K18" s="8" t="str">
        <f t="shared" si="12"/>
        <v>dailoneskill0016</v>
      </c>
      <c r="L18" s="5" t="str">
        <f t="shared" si="4"/>
        <v>lootName16,DAIL/items/materia/class0016/Defense16.dbr,</v>
      </c>
      <c r="M18" s="5" t="str">
        <f t="shared" si="5"/>
        <v>lootWeight16,1,</v>
      </c>
      <c r="N18" t="str">
        <f t="shared" si="6"/>
        <v>1</v>
      </c>
      <c r="O18" t="str">
        <f t="shared" si="16"/>
        <v>copy .\dail_base.dbr .\items\materia\class0016\Defense16.dbr /y</v>
      </c>
      <c r="P18" t="str">
        <f t="shared" si="7"/>
        <v>echo relicBitmap,items/craftingparts/components/component_a52_bristlyfur_b.tex, &gt;&gt; .\items\materia\class0016\Defense16.dbr</v>
      </c>
      <c r="Q18" t="str">
        <f t="shared" si="1"/>
        <v>echo itemCost,100000, &gt;&gt; .\items\materia\class0016\Defense16.dbr</v>
      </c>
      <c r="R18" t="str">
        <f t="shared" si="1"/>
        <v>echo description,dailCompDescDefense16, &gt;&gt; .\items\materia\class0016\Defense16.dbr</v>
      </c>
      <c r="S18" t="str">
        <f t="shared" si="1"/>
        <v>echo itemText,dailCompTextDefense16, &gt;&gt; .\items\materia\class0016\Defense16.dbr</v>
      </c>
      <c r="T18" t="str">
        <f t="shared" si="1"/>
        <v>echo augmentSkillLevel1,1, &gt;&gt; .\items\materia\class0016\Defense16.dbr</v>
      </c>
      <c r="U18" t="str">
        <f t="shared" si="1"/>
        <v>echo augmentSkillName1,records/skillsdefense/battleawareness_focus.dbr,, &gt;&gt; .\items\materia\class0016\Defense16.dbr</v>
      </c>
      <c r="V18" s="5" t="s">
        <v>36</v>
      </c>
      <c r="W18" t="str">
        <f t="shared" si="8"/>
        <v>echo lootName16,DAIL/items/materia/class0016/Defense16.dbr, &gt;&gt; .\items\loottables\dailoneskill0016.dbr</v>
      </c>
      <c r="X18" t="str">
        <f t="shared" si="8"/>
        <v>echo lootWeight16,1, &gt;&gt; .\items\loottables\dailoneskill0016.dbr</v>
      </c>
      <c r="Y18" s="5" t="s">
        <v>36</v>
      </c>
      <c r="Z18" t="str">
        <f t="shared" si="9"/>
        <v xml:space="preserve"> dailCompDescDefense16=^pDefense's Gift of DAIL</v>
      </c>
      <c r="AA18" t="str">
        <f t="shared" si="17"/>
        <v>dailCompTextDefense16=^oThis feels warm to the touch, almost familiar ^w(This component fits into all Jewellery slots including the Belt And Shoulder)</v>
      </c>
      <c r="AB18" s="5" t="s">
        <v>36</v>
      </c>
      <c r="AH18">
        <f t="shared" si="19"/>
        <v>13</v>
      </c>
      <c r="AI18">
        <f t="shared" si="13"/>
        <v>34</v>
      </c>
      <c r="AJ18">
        <f t="shared" si="18"/>
        <v>1</v>
      </c>
    </row>
    <row r="19" spans="1:36" x14ac:dyDescent="0.25">
      <c r="A19" s="5" t="s">
        <v>39</v>
      </c>
      <c r="B19" s="5" t="s">
        <v>28</v>
      </c>
      <c r="C19" s="5" t="str">
        <f t="shared" si="0"/>
        <v>description,dailCompDescDefense17,</v>
      </c>
      <c r="D19" s="5" t="str">
        <f t="shared" si="2"/>
        <v>itemText,dailCompTextDefense17,</v>
      </c>
      <c r="E19" s="5" t="str">
        <f t="shared" si="14"/>
        <v>augmentSkillLevel1,1,</v>
      </c>
      <c r="F19" s="5" t="str">
        <f t="shared" si="15"/>
        <v>augmentSkillName1,records/skillsdefense/battleawareness_ironwill.dbr,,</v>
      </c>
      <c r="G19" s="7">
        <f t="shared" si="10"/>
        <v>17</v>
      </c>
      <c r="H19" s="8" t="str">
        <f t="shared" si="11"/>
        <v>Defense</v>
      </c>
      <c r="I19" s="3" t="s">
        <v>587</v>
      </c>
      <c r="J19" s="8" t="str">
        <f t="shared" si="12"/>
        <v>class0016</v>
      </c>
      <c r="K19" s="8" t="str">
        <f t="shared" si="12"/>
        <v>dailoneskill0016</v>
      </c>
      <c r="L19" s="5" t="str">
        <f t="shared" si="4"/>
        <v>lootName17,DAIL/items/materia/class0016/Defense17.dbr,</v>
      </c>
      <c r="M19" s="5" t="str">
        <f t="shared" si="5"/>
        <v>lootWeight17,1,</v>
      </c>
      <c r="N19" t="str">
        <f t="shared" si="6"/>
        <v>1</v>
      </c>
      <c r="O19" t="str">
        <f t="shared" si="16"/>
        <v>copy .\dail_base.dbr .\items\materia\class0016\Defense17.dbr /y</v>
      </c>
      <c r="P19" t="str">
        <f t="shared" si="7"/>
        <v>echo relicBitmap,items/craftingparts/components/component_a52_bristlyfur_b.tex, &gt;&gt; .\items\materia\class0016\Defense17.dbr</v>
      </c>
      <c r="Q19" t="str">
        <f t="shared" si="7"/>
        <v>echo itemCost,300000, &gt;&gt; .\items\materia\class0016\Defense17.dbr</v>
      </c>
      <c r="R19" t="str">
        <f t="shared" si="7"/>
        <v>echo description,dailCompDescDefense17, &gt;&gt; .\items\materia\class0016\Defense17.dbr</v>
      </c>
      <c r="S19" t="str">
        <f t="shared" si="7"/>
        <v>echo itemText,dailCompTextDefense17, &gt;&gt; .\items\materia\class0016\Defense17.dbr</v>
      </c>
      <c r="T19" t="str">
        <f t="shared" si="7"/>
        <v>echo augmentSkillLevel1,1, &gt;&gt; .\items\materia\class0016\Defense17.dbr</v>
      </c>
      <c r="U19" t="str">
        <f t="shared" si="7"/>
        <v>echo augmentSkillName1,records/skillsdefense/battleawareness_ironwill.dbr,, &gt;&gt; .\items\materia\class0016\Defense17.dbr</v>
      </c>
      <c r="V19" s="5" t="s">
        <v>36</v>
      </c>
      <c r="W19" t="str">
        <f t="shared" si="8"/>
        <v>echo lootName17,DAIL/items/materia/class0016/Defense17.dbr, &gt;&gt; .\items\loottables\dailoneskill0016.dbr</v>
      </c>
      <c r="X19" t="str">
        <f t="shared" si="8"/>
        <v>echo lootWeight17,1, &gt;&gt; .\items\loottables\dailoneskill0016.dbr</v>
      </c>
      <c r="Y19" s="5" t="s">
        <v>36</v>
      </c>
      <c r="Z19" t="str">
        <f t="shared" si="9"/>
        <v xml:space="preserve"> dailCompDescDefense17=^pDefense's Gift of DAIL</v>
      </c>
      <c r="AA19" t="str">
        <f t="shared" si="17"/>
        <v>dailCompTextDefense17=^oThis feels warm to the touch, almost familiar ^w(This component fits into all Jewellery slots including the Belt And Shoulder)</v>
      </c>
      <c r="AB19" s="5" t="s">
        <v>36</v>
      </c>
      <c r="AH19">
        <f t="shared" si="19"/>
        <v>14</v>
      </c>
      <c r="AI19">
        <f t="shared" si="13"/>
        <v>37</v>
      </c>
      <c r="AJ19">
        <f t="shared" si="18"/>
        <v>1</v>
      </c>
    </row>
    <row r="20" spans="1:36" x14ac:dyDescent="0.25">
      <c r="A20" s="5" t="s">
        <v>39</v>
      </c>
      <c r="B20" s="5" t="s">
        <v>28</v>
      </c>
      <c r="C20" s="5" t="str">
        <f t="shared" si="0"/>
        <v>description,dailCompDescDefense18,</v>
      </c>
      <c r="D20" s="5" t="str">
        <f t="shared" si="2"/>
        <v>itemText,dailCompTextDefense18,</v>
      </c>
      <c r="E20" s="5" t="str">
        <f t="shared" si="14"/>
        <v>augmentSkillLevel1,1,</v>
      </c>
      <c r="F20" s="5" t="str">
        <f t="shared" si="15"/>
        <v>augmentSkillName1,records/skillsdefense/quickrecovery.dbr,,</v>
      </c>
      <c r="G20" s="7">
        <f t="shared" si="10"/>
        <v>18</v>
      </c>
      <c r="H20" s="8" t="str">
        <f t="shared" si="11"/>
        <v>Defense</v>
      </c>
      <c r="I20" s="3" t="s">
        <v>588</v>
      </c>
      <c r="J20" s="8" t="str">
        <f t="shared" si="12"/>
        <v>class0016</v>
      </c>
      <c r="K20" s="8" t="str">
        <f t="shared" si="12"/>
        <v>dailoneskill0016</v>
      </c>
      <c r="L20" s="5" t="str">
        <f t="shared" si="4"/>
        <v>lootName18,DAIL/items/materia/class0016/Defense18.dbr,</v>
      </c>
      <c r="M20" s="5" t="str">
        <f t="shared" si="5"/>
        <v>lootWeight18,1,</v>
      </c>
      <c r="N20" t="str">
        <f t="shared" si="6"/>
        <v>1</v>
      </c>
      <c r="O20" t="str">
        <f t="shared" si="16"/>
        <v>copy .\dail_base.dbr .\items\materia\class0016\Defense18.dbr /y</v>
      </c>
      <c r="P20" t="str">
        <f t="shared" si="7"/>
        <v>echo relicBitmap,items/craftingparts/components/component_a52_bristlyfur_b.tex, &gt;&gt; .\items\materia\class0016\Defense18.dbr</v>
      </c>
      <c r="Q20" t="str">
        <f t="shared" si="7"/>
        <v>echo itemCost,300000, &gt;&gt; .\items\materia\class0016\Defense18.dbr</v>
      </c>
      <c r="R20" t="str">
        <f t="shared" si="7"/>
        <v>echo description,dailCompDescDefense18, &gt;&gt; .\items\materia\class0016\Defense18.dbr</v>
      </c>
      <c r="S20" t="str">
        <f t="shared" si="7"/>
        <v>echo itemText,dailCompTextDefense18, &gt;&gt; .\items\materia\class0016\Defense18.dbr</v>
      </c>
      <c r="T20" t="str">
        <f t="shared" si="7"/>
        <v>echo augmentSkillLevel1,1, &gt;&gt; .\items\materia\class0016\Defense18.dbr</v>
      </c>
      <c r="U20" t="str">
        <f t="shared" si="7"/>
        <v>echo augmentSkillName1,records/skillsdefense/quickrecovery.dbr,, &gt;&gt; .\items\materia\class0016\Defense18.dbr</v>
      </c>
      <c r="V20" s="5" t="s">
        <v>36</v>
      </c>
      <c r="W20" t="str">
        <f t="shared" si="8"/>
        <v>echo lootName18,DAIL/items/materia/class0016/Defense18.dbr, &gt;&gt; .\items\loottables\dailoneskill0016.dbr</v>
      </c>
      <c r="X20" t="str">
        <f t="shared" si="8"/>
        <v>echo lootWeight18,1, &gt;&gt; .\items\loottables\dailoneskill0016.dbr</v>
      </c>
      <c r="Y20" s="5" t="s">
        <v>36</v>
      </c>
      <c r="Z20" t="str">
        <f t="shared" si="9"/>
        <v xml:space="preserve"> dailCompDescDefense18=^pDefense's Gift of DAIL</v>
      </c>
      <c r="AA20" t="str">
        <f t="shared" si="17"/>
        <v>dailCompTextDefense18=^oThis feels warm to the touch, almost familiar ^w(This component fits into all Jewellery slots including the Belt And Shoulder)</v>
      </c>
      <c r="AB20" s="5" t="s">
        <v>36</v>
      </c>
      <c r="AH20">
        <f t="shared" si="19"/>
        <v>15</v>
      </c>
      <c r="AI20">
        <f t="shared" si="13"/>
        <v>26</v>
      </c>
      <c r="AJ20">
        <f t="shared" si="18"/>
        <v>1</v>
      </c>
    </row>
    <row r="21" spans="1:36" x14ac:dyDescent="0.25">
      <c r="A21" s="5" t="s">
        <v>39</v>
      </c>
      <c r="B21" s="5" t="s">
        <v>28</v>
      </c>
      <c r="C21" s="5" t="str">
        <f t="shared" si="0"/>
        <v>description,dailCompDescDefense19,</v>
      </c>
      <c r="D21" s="5" t="str">
        <f t="shared" si="2"/>
        <v>itemText,dailCompTextDefense19,</v>
      </c>
      <c r="E21" s="5" t="str">
        <f t="shared" si="14"/>
        <v>augmentSkillLevel1,1,</v>
      </c>
      <c r="F21" s="5" t="str">
        <f t="shared" si="15"/>
        <v>augmentSkillName1,records/skillsdefense/batter.dbr,,</v>
      </c>
      <c r="G21" s="7">
        <f t="shared" si="10"/>
        <v>19</v>
      </c>
      <c r="H21" s="8" t="str">
        <f t="shared" si="11"/>
        <v>Defense</v>
      </c>
      <c r="I21" s="3" t="s">
        <v>589</v>
      </c>
      <c r="J21" s="8" t="str">
        <f t="shared" ref="J21:K36" si="20">J20</f>
        <v>class0016</v>
      </c>
      <c r="K21" s="8" t="str">
        <f t="shared" si="20"/>
        <v>dailoneskill0016</v>
      </c>
      <c r="L21" s="5" t="str">
        <f t="shared" si="4"/>
        <v>lootName19,DAIL/items/materia/class0016/Defense19.dbr,</v>
      </c>
      <c r="M21" s="5" t="str">
        <f t="shared" si="5"/>
        <v>lootWeight19,1,</v>
      </c>
      <c r="N21" t="str">
        <f t="shared" si="6"/>
        <v>1</v>
      </c>
      <c r="O21" t="str">
        <f t="shared" si="16"/>
        <v>copy .\dail_base.dbr .\items\materia\class0016\Defense19.dbr /y</v>
      </c>
      <c r="P21" t="str">
        <f t="shared" si="7"/>
        <v>echo relicBitmap,items/craftingparts/components/component_a52_bristlyfur_b.tex, &gt;&gt; .\items\materia\class0016\Defense19.dbr</v>
      </c>
      <c r="Q21" t="str">
        <f t="shared" si="7"/>
        <v>echo itemCost,300000, &gt;&gt; .\items\materia\class0016\Defense19.dbr</v>
      </c>
      <c r="R21" t="str">
        <f t="shared" si="7"/>
        <v>echo description,dailCompDescDefense19, &gt;&gt; .\items\materia\class0016\Defense19.dbr</v>
      </c>
      <c r="S21" t="str">
        <f t="shared" si="7"/>
        <v>echo itemText,dailCompTextDefense19, &gt;&gt; .\items\materia\class0016\Defense19.dbr</v>
      </c>
      <c r="T21" t="str">
        <f t="shared" si="7"/>
        <v>echo augmentSkillLevel1,1, &gt;&gt; .\items\materia\class0016\Defense19.dbr</v>
      </c>
      <c r="U21" t="str">
        <f t="shared" si="7"/>
        <v>echo augmentSkillName1,records/skillsdefense/batter.dbr,, &gt;&gt; .\items\materia\class0016\Defense19.dbr</v>
      </c>
      <c r="V21" s="5" t="s">
        <v>36</v>
      </c>
      <c r="W21" t="str">
        <f t="shared" si="8"/>
        <v>echo lootName19,DAIL/items/materia/class0016/Defense19.dbr, &gt;&gt; .\items\loottables\dailoneskill0016.dbr</v>
      </c>
      <c r="X21" t="str">
        <f t="shared" si="8"/>
        <v>echo lootWeight19,1, &gt;&gt; .\items\loottables\dailoneskill0016.dbr</v>
      </c>
      <c r="Y21" s="5" t="s">
        <v>36</v>
      </c>
      <c r="Z21" t="str">
        <f t="shared" si="9"/>
        <v xml:space="preserve"> dailCompDescDefense19=^pDefense's Gift of DAIL</v>
      </c>
      <c r="AA21" t="str">
        <f t="shared" si="17"/>
        <v>dailCompTextDefense19=^oThis feels warm to the touch, almost familiar ^w(This component fits into all Jewellery slots including the Belt And Shoulder)</v>
      </c>
      <c r="AB21" s="5" t="s">
        <v>36</v>
      </c>
      <c r="AH21">
        <f t="shared" si="19"/>
        <v>16</v>
      </c>
      <c r="AI21">
        <f t="shared" si="13"/>
        <v>19</v>
      </c>
      <c r="AJ21">
        <f t="shared" si="18"/>
        <v>1</v>
      </c>
    </row>
    <row r="22" spans="1:36" x14ac:dyDescent="0.25">
      <c r="A22" s="5" t="s">
        <v>39</v>
      </c>
      <c r="B22" s="5" t="s">
        <v>28</v>
      </c>
      <c r="C22" s="5" t="str">
        <f t="shared" si="0"/>
        <v>description,dailCompDescDefense20,</v>
      </c>
      <c r="D22" s="5" t="str">
        <f t="shared" si="2"/>
        <v>itemText,dailCompTextDefense20,</v>
      </c>
      <c r="E22" s="5" t="str">
        <f t="shared" si="14"/>
        <v>augmentSkillLevel1,1,</v>
      </c>
      <c r="F22" s="5" t="str">
        <f t="shared" si="15"/>
        <v>augmentSkillName1,records/skillsdefense/batter_rendarmor.dbr,,</v>
      </c>
      <c r="G22" s="7">
        <f t="shared" si="10"/>
        <v>20</v>
      </c>
      <c r="H22" s="8" t="str">
        <f t="shared" si="11"/>
        <v>Defense</v>
      </c>
      <c r="I22" s="3" t="s">
        <v>590</v>
      </c>
      <c r="J22" s="8" t="str">
        <f t="shared" si="20"/>
        <v>class0016</v>
      </c>
      <c r="K22" s="8" t="str">
        <f t="shared" si="20"/>
        <v>dailoneskill0016</v>
      </c>
      <c r="L22" s="5" t="str">
        <f t="shared" si="4"/>
        <v>lootName20,DAIL/items/materia/class0016/Defense20.dbr,</v>
      </c>
      <c r="M22" s="5" t="str">
        <f t="shared" si="5"/>
        <v>lootWeight20,1,</v>
      </c>
      <c r="N22" t="str">
        <f t="shared" si="6"/>
        <v>1</v>
      </c>
      <c r="O22" t="str">
        <f t="shared" si="16"/>
        <v>copy .\dail_base.dbr .\items\materia\class0016\Defense20.dbr /y</v>
      </c>
      <c r="P22" t="str">
        <f t="shared" si="7"/>
        <v>echo relicBitmap,items/craftingparts/components/component_a52_bristlyfur_b.tex, &gt;&gt; .\items\materia\class0016\Defense20.dbr</v>
      </c>
      <c r="Q22" t="str">
        <f t="shared" si="7"/>
        <v>echo itemCost,300000, &gt;&gt; .\items\materia\class0016\Defense20.dbr</v>
      </c>
      <c r="R22" t="str">
        <f t="shared" si="7"/>
        <v>echo description,dailCompDescDefense20, &gt;&gt; .\items\materia\class0016\Defense20.dbr</v>
      </c>
      <c r="S22" t="str">
        <f t="shared" si="7"/>
        <v>echo itemText,dailCompTextDefense20, &gt;&gt; .\items\materia\class0016\Defense20.dbr</v>
      </c>
      <c r="T22" t="str">
        <f t="shared" si="7"/>
        <v>echo augmentSkillLevel1,1, &gt;&gt; .\items\materia\class0016\Defense20.dbr</v>
      </c>
      <c r="U22" t="str">
        <f t="shared" si="7"/>
        <v>echo augmentSkillName1,records/skillsdefense/batter_rendarmor.dbr,, &gt;&gt; .\items\materia\class0016\Defense20.dbr</v>
      </c>
      <c r="V22" s="5" t="s">
        <v>36</v>
      </c>
      <c r="W22" t="str">
        <f t="shared" si="8"/>
        <v>echo lootName20,DAIL/items/materia/class0016/Defense20.dbr, &gt;&gt; .\items\loottables\dailoneskill0016.dbr</v>
      </c>
      <c r="X22" t="str">
        <f t="shared" si="8"/>
        <v>echo lootWeight20,1, &gt;&gt; .\items\loottables\dailoneskill0016.dbr</v>
      </c>
      <c r="Y22" s="5" t="s">
        <v>36</v>
      </c>
      <c r="Z22" t="str">
        <f t="shared" si="9"/>
        <v xml:space="preserve"> dailCompDescDefense20=^pDefense's Gift of DAIL</v>
      </c>
      <c r="AA22" t="str">
        <f t="shared" si="17"/>
        <v>dailCompTextDefense20=^oThis feels warm to the touch, almost familiar ^w(This component fits into all Jewellery slots including the Belt And Shoulder)</v>
      </c>
      <c r="AB22" s="5" t="s">
        <v>36</v>
      </c>
      <c r="AH22">
        <f t="shared" si="19"/>
        <v>17</v>
      </c>
      <c r="AI22">
        <f t="shared" si="13"/>
        <v>29</v>
      </c>
      <c r="AJ22">
        <f t="shared" si="18"/>
        <v>1</v>
      </c>
    </row>
    <row r="23" spans="1:36" x14ac:dyDescent="0.25">
      <c r="A23" s="5" t="s">
        <v>39</v>
      </c>
      <c r="B23" s="5" t="s">
        <v>28</v>
      </c>
      <c r="C23" s="5" t="str">
        <f t="shared" si="0"/>
        <v>description,dailCompDescDefense21,</v>
      </c>
      <c r="D23" s="5" t="str">
        <f t="shared" si="2"/>
        <v>itemText,dailCompTextDefense21,</v>
      </c>
      <c r="E23" s="5" t="str">
        <f t="shared" si="14"/>
        <v>augmentSkillLevel1,1,</v>
      </c>
      <c r="F23" s="5" t="str">
        <f t="shared" si="15"/>
        <v>augmentSkillName1,records/skillsdefense/shieldcharge.dbr,,</v>
      </c>
      <c r="G23" s="7">
        <f t="shared" si="10"/>
        <v>21</v>
      </c>
      <c r="H23" s="8" t="str">
        <f t="shared" si="11"/>
        <v>Defense</v>
      </c>
      <c r="I23" s="3" t="s">
        <v>591</v>
      </c>
      <c r="J23" s="8" t="str">
        <f t="shared" si="20"/>
        <v>class0016</v>
      </c>
      <c r="K23" s="8" t="str">
        <f t="shared" si="20"/>
        <v>dailoneskill0016</v>
      </c>
      <c r="L23" s="5" t="str">
        <f t="shared" si="4"/>
        <v>lootName21,DAIL/items/materia/class0016/Defense21.dbr,</v>
      </c>
      <c r="M23" s="5" t="str">
        <f t="shared" si="5"/>
        <v>lootWeight21,1,</v>
      </c>
      <c r="N23" t="str">
        <f t="shared" si="6"/>
        <v>1</v>
      </c>
      <c r="O23" t="str">
        <f t="shared" si="16"/>
        <v>copy .\dail_base.dbr .\items\materia\class0016\Defense21.dbr /y</v>
      </c>
      <c r="P23" t="str">
        <f t="shared" si="7"/>
        <v>echo relicBitmap,items/craftingparts/components/component_a52_bristlyfur_b.tex, &gt;&gt; .\items\materia\class0016\Defense21.dbr</v>
      </c>
      <c r="Q23" t="str">
        <f t="shared" si="7"/>
        <v>echo itemCost,300000, &gt;&gt; .\items\materia\class0016\Defense21.dbr</v>
      </c>
      <c r="R23" t="str">
        <f t="shared" si="7"/>
        <v>echo description,dailCompDescDefense21, &gt;&gt; .\items\materia\class0016\Defense21.dbr</v>
      </c>
      <c r="S23" t="str">
        <f t="shared" si="7"/>
        <v>echo itemText,dailCompTextDefense21, &gt;&gt; .\items\materia\class0016\Defense21.dbr</v>
      </c>
      <c r="T23" t="str">
        <f t="shared" si="7"/>
        <v>echo augmentSkillLevel1,1, &gt;&gt; .\items\materia\class0016\Defense21.dbr</v>
      </c>
      <c r="U23" t="str">
        <f t="shared" si="7"/>
        <v>echo augmentSkillName1,records/skillsdefense/shieldcharge.dbr,, &gt;&gt; .\items\materia\class0016\Defense21.dbr</v>
      </c>
      <c r="V23" s="5" t="s">
        <v>36</v>
      </c>
      <c r="W23" t="str">
        <f t="shared" si="8"/>
        <v>echo lootName21,DAIL/items/materia/class0016/Defense21.dbr, &gt;&gt; .\items\loottables\dailoneskill0016.dbr</v>
      </c>
      <c r="X23" t="str">
        <f t="shared" si="8"/>
        <v>echo lootWeight21,1, &gt;&gt; .\items\loottables\dailoneskill0016.dbr</v>
      </c>
      <c r="Y23" s="5" t="s">
        <v>36</v>
      </c>
      <c r="Z23" t="str">
        <f t="shared" si="9"/>
        <v xml:space="preserve"> dailCompDescDefense21=^pDefense's Gift of DAIL</v>
      </c>
      <c r="AA23" t="str">
        <f t="shared" si="17"/>
        <v>dailCompTextDefense21=^oThis feels warm to the touch, almost familiar ^w(This component fits into all Jewellery slots including the Belt And Shoulder)</v>
      </c>
      <c r="AB23" s="5" t="s">
        <v>36</v>
      </c>
      <c r="AH23">
        <f t="shared" si="19"/>
        <v>18</v>
      </c>
      <c r="AI23">
        <f t="shared" si="13"/>
        <v>25</v>
      </c>
      <c r="AJ23">
        <f t="shared" si="18"/>
        <v>1</v>
      </c>
    </row>
    <row r="24" spans="1:36" x14ac:dyDescent="0.25">
      <c r="A24" s="5" t="s">
        <v>39</v>
      </c>
      <c r="B24" s="5" t="s">
        <v>28</v>
      </c>
      <c r="C24" s="5" t="str">
        <f t="shared" si="0"/>
        <v>description,dailCompDescDefense22,</v>
      </c>
      <c r="D24" s="5" t="str">
        <f t="shared" si="2"/>
        <v>itemText,dailCompTextDefense22,</v>
      </c>
      <c r="E24" s="5" t="str">
        <f t="shared" si="14"/>
        <v>augmentSkillLevel1,1,</v>
      </c>
      <c r="F24" s="5" t="str">
        <f t="shared" si="15"/>
        <v>augmentSkillName1,records/skillsdefense/shieldcharge_disruption.dbr,,</v>
      </c>
      <c r="G24" s="7">
        <f t="shared" si="10"/>
        <v>22</v>
      </c>
      <c r="H24" s="8" t="str">
        <f t="shared" si="11"/>
        <v>Defense</v>
      </c>
      <c r="I24" s="3" t="s">
        <v>592</v>
      </c>
      <c r="J24" s="8" t="str">
        <f t="shared" si="20"/>
        <v>class0016</v>
      </c>
      <c r="K24" s="8" t="str">
        <f t="shared" si="20"/>
        <v>dailoneskill0016</v>
      </c>
      <c r="L24" s="5" t="str">
        <f t="shared" si="4"/>
        <v>lootName22,DAIL/items/materia/class0016/Defense22.dbr,</v>
      </c>
      <c r="M24" s="5" t="str">
        <f t="shared" si="5"/>
        <v>lootWeight22,1,</v>
      </c>
      <c r="N24" t="str">
        <f t="shared" si="6"/>
        <v>1</v>
      </c>
      <c r="O24" t="str">
        <f t="shared" si="16"/>
        <v>copy .\dail_base.dbr .\items\materia\class0016\Defense22.dbr /y</v>
      </c>
      <c r="P24" t="str">
        <f t="shared" si="7"/>
        <v>echo relicBitmap,items/craftingparts/components/component_a52_bristlyfur_b.tex, &gt;&gt; .\items\materia\class0016\Defense22.dbr</v>
      </c>
      <c r="Q24" t="str">
        <f t="shared" si="7"/>
        <v>echo itemCost,300000, &gt;&gt; .\items\materia\class0016\Defense22.dbr</v>
      </c>
      <c r="R24" t="str">
        <f t="shared" si="7"/>
        <v>echo description,dailCompDescDefense22, &gt;&gt; .\items\materia\class0016\Defense22.dbr</v>
      </c>
      <c r="S24" t="str">
        <f t="shared" si="7"/>
        <v>echo itemText,dailCompTextDefense22, &gt;&gt; .\items\materia\class0016\Defense22.dbr</v>
      </c>
      <c r="T24" t="str">
        <f t="shared" si="7"/>
        <v>echo augmentSkillLevel1,1, &gt;&gt; .\items\materia\class0016\Defense22.dbr</v>
      </c>
      <c r="U24" t="str">
        <f t="shared" si="7"/>
        <v>echo augmentSkillName1,records/skillsdefense/shieldcharge_disruption.dbr,, &gt;&gt; .\items\materia\class0016\Defense22.dbr</v>
      </c>
      <c r="V24" s="5" t="s">
        <v>36</v>
      </c>
      <c r="W24" t="str">
        <f t="shared" si="8"/>
        <v>echo lootName22,DAIL/items/materia/class0016/Defense22.dbr, &gt;&gt; .\items\loottables\dailoneskill0016.dbr</v>
      </c>
      <c r="X24" t="str">
        <f t="shared" si="8"/>
        <v>echo lootWeight22,1, &gt;&gt; .\items\loottables\dailoneskill0016.dbr</v>
      </c>
      <c r="Y24" s="5" t="s">
        <v>36</v>
      </c>
      <c r="Z24" t="str">
        <f t="shared" si="9"/>
        <v xml:space="preserve"> dailCompDescDefense22=^pDefense's Gift of DAIL</v>
      </c>
      <c r="AA24" t="str">
        <f t="shared" si="17"/>
        <v>dailCompTextDefense22=^oThis feels warm to the touch, almost familiar ^w(This component fits into all Jewellery slots including the Belt And Shoulder)</v>
      </c>
      <c r="AB24" s="5" t="s">
        <v>36</v>
      </c>
      <c r="AH24">
        <f t="shared" si="19"/>
        <v>19</v>
      </c>
      <c r="AI24">
        <f t="shared" si="13"/>
        <v>36</v>
      </c>
      <c r="AJ24">
        <f t="shared" si="18"/>
        <v>1</v>
      </c>
    </row>
    <row r="25" spans="1:36" x14ac:dyDescent="0.25">
      <c r="A25" s="5" t="s">
        <v>39</v>
      </c>
      <c r="B25" s="5" t="s">
        <v>28</v>
      </c>
      <c r="C25" s="5" t="str">
        <f t="shared" si="0"/>
        <v>description,dailCompDescDefense23,</v>
      </c>
      <c r="D25" s="5" t="str">
        <f t="shared" si="2"/>
        <v>itemText,dailCompTextDefense23,</v>
      </c>
      <c r="E25" s="5" t="str">
        <f t="shared" si="14"/>
        <v>augmentSkillLevel1,3,</v>
      </c>
      <c r="F25" s="5" t="str">
        <f t="shared" si="15"/>
        <v>augmentSkillName1,records/skillsdefense/concussiveblow.dbr,,</v>
      </c>
      <c r="G25" s="7">
        <f t="shared" si="10"/>
        <v>23</v>
      </c>
      <c r="H25" s="8" t="str">
        <f t="shared" si="11"/>
        <v>Defense</v>
      </c>
      <c r="I25" s="3" t="s">
        <v>593</v>
      </c>
      <c r="J25" s="8" t="str">
        <f t="shared" si="20"/>
        <v>class0016</v>
      </c>
      <c r="K25" s="8" t="str">
        <f t="shared" si="20"/>
        <v>dailoneskill0016</v>
      </c>
      <c r="L25" s="5" t="str">
        <f t="shared" si="4"/>
        <v>lootName23,DAIL/items/materia/class0016/Defense23.dbr,</v>
      </c>
      <c r="M25" s="5" t="str">
        <f t="shared" si="5"/>
        <v>lootWeight23,1,</v>
      </c>
      <c r="N25" t="str">
        <f t="shared" si="6"/>
        <v>3</v>
      </c>
      <c r="O25" t="str">
        <f t="shared" si="16"/>
        <v>copy .\dail_base3.dbr .\items\materia\class0016\Defense23.dbr /y</v>
      </c>
      <c r="P25" t="str">
        <f t="shared" si="7"/>
        <v>echo relicBitmap,items/craftingparts/components/component_a52_bristlyfur_b.tex, &gt;&gt; .\items\materia\class0016\Defense23.dbr</v>
      </c>
      <c r="Q25" t="str">
        <f t="shared" si="7"/>
        <v>echo itemCost,300000, &gt;&gt; .\items\materia\class0016\Defense23.dbr</v>
      </c>
      <c r="R25" t="str">
        <f t="shared" si="7"/>
        <v>echo description,dailCompDescDefense23, &gt;&gt; .\items\materia\class0016\Defense23.dbr</v>
      </c>
      <c r="S25" t="str">
        <f t="shared" si="7"/>
        <v>echo itemText,dailCompTextDefense23, &gt;&gt; .\items\materia\class0016\Defense23.dbr</v>
      </c>
      <c r="T25" t="str">
        <f t="shared" si="7"/>
        <v>echo augmentSkillLevel1,3, &gt;&gt; .\items\materia\class0016\Defense23.dbr</v>
      </c>
      <c r="U25" t="str">
        <f t="shared" si="7"/>
        <v>echo augmentSkillName1,records/skillsdefense/concussiveblow.dbr,, &gt;&gt; .\items\materia\class0016\Defense23.dbr</v>
      </c>
      <c r="V25" s="5" t="s">
        <v>36</v>
      </c>
      <c r="W25" t="str">
        <f t="shared" si="8"/>
        <v>echo lootName23,DAIL/items/materia/class0016/Defense23.dbr, &gt;&gt; .\items\loottables\dailoneskill0016.dbr</v>
      </c>
      <c r="X25" t="str">
        <f t="shared" si="8"/>
        <v>echo lootWeight23,1, &gt;&gt; .\items\loottables\dailoneskill0016.dbr</v>
      </c>
      <c r="Y25" s="5" t="s">
        <v>36</v>
      </c>
      <c r="Z25" t="str">
        <f t="shared" si="9"/>
        <v xml:space="preserve"> dailCompDescDefense23=^pDefense's Gift of DAIL</v>
      </c>
      <c r="AA25" t="str">
        <f t="shared" si="17"/>
        <v>dailCompTextDefense23=^oThis feels warm to the touch, almost familiar ^w(This component only fits into the Medal Slot)</v>
      </c>
      <c r="AB25" s="5" t="s">
        <v>36</v>
      </c>
      <c r="AH25">
        <f t="shared" si="19"/>
        <v>20</v>
      </c>
      <c r="AI25">
        <f t="shared" si="13"/>
        <v>27</v>
      </c>
      <c r="AJ25">
        <f t="shared" si="18"/>
        <v>3</v>
      </c>
    </row>
    <row r="26" spans="1:36" x14ac:dyDescent="0.25">
      <c r="A26" s="5" t="s">
        <v>39</v>
      </c>
      <c r="B26" s="5" t="s">
        <v>28</v>
      </c>
      <c r="C26" s="5" t="str">
        <f t="shared" si="0"/>
        <v>description,dailCompDescDefense24,</v>
      </c>
      <c r="D26" s="5" t="str">
        <f t="shared" si="2"/>
        <v>itemText,dailCompTextDefense24,</v>
      </c>
      <c r="E26" s="5" t="str">
        <f t="shared" si="14"/>
        <v>augmentSkillLevel1,3,</v>
      </c>
      <c r="F26" s="5" t="str">
        <f t="shared" si="15"/>
        <v>augmentSkillName1,records/skillsdefense/armorhandling.dbr,,</v>
      </c>
      <c r="G26" s="7">
        <f t="shared" si="10"/>
        <v>24</v>
      </c>
      <c r="H26" s="8" t="str">
        <f t="shared" si="11"/>
        <v>Defense</v>
      </c>
      <c r="I26" s="3" t="s">
        <v>574</v>
      </c>
      <c r="J26" s="8" t="str">
        <f t="shared" si="20"/>
        <v>class0016</v>
      </c>
      <c r="K26" s="8" t="str">
        <f t="shared" si="20"/>
        <v>dailoneskill0016</v>
      </c>
      <c r="L26" s="5" t="str">
        <f t="shared" si="4"/>
        <v>lootName24,DAIL/items/materia/class0016/Defense24.dbr,</v>
      </c>
      <c r="M26" s="5" t="str">
        <f t="shared" si="5"/>
        <v>lootWeight24,1,</v>
      </c>
      <c r="N26" t="str">
        <f t="shared" si="6"/>
        <v>3</v>
      </c>
      <c r="O26" t="str">
        <f t="shared" si="16"/>
        <v>copy .\dail_base3.dbr .\items\materia\class0016\Defense24.dbr /y</v>
      </c>
      <c r="P26" t="str">
        <f t="shared" si="7"/>
        <v>echo relicBitmap,items/craftingparts/components/component_a52_bristlyfur_b.tex, &gt;&gt; .\items\materia\class0016\Defense24.dbr</v>
      </c>
      <c r="Q26" t="str">
        <f t="shared" si="7"/>
        <v>echo itemCost,300000, &gt;&gt; .\items\materia\class0016\Defense24.dbr</v>
      </c>
      <c r="R26" t="str">
        <f t="shared" si="7"/>
        <v>echo description,dailCompDescDefense24, &gt;&gt; .\items\materia\class0016\Defense24.dbr</v>
      </c>
      <c r="S26" t="str">
        <f t="shared" si="7"/>
        <v>echo itemText,dailCompTextDefense24, &gt;&gt; .\items\materia\class0016\Defense24.dbr</v>
      </c>
      <c r="T26" t="str">
        <f t="shared" si="7"/>
        <v>echo augmentSkillLevel1,3, &gt;&gt; .\items\materia\class0016\Defense24.dbr</v>
      </c>
      <c r="U26" t="str">
        <f t="shared" si="7"/>
        <v>echo augmentSkillName1,records/skillsdefense/armorhandling.dbr,, &gt;&gt; .\items\materia\class0016\Defense24.dbr</v>
      </c>
      <c r="V26" s="5" t="s">
        <v>36</v>
      </c>
      <c r="W26" t="str">
        <f t="shared" si="8"/>
        <v>echo lootName24,DAIL/items/materia/class0016/Defense24.dbr, &gt;&gt; .\items\loottables\dailoneskill0016.dbr</v>
      </c>
      <c r="X26" t="str">
        <f t="shared" si="8"/>
        <v>echo lootWeight24,1, &gt;&gt; .\items\loottables\dailoneskill0016.dbr</v>
      </c>
      <c r="Y26" s="5" t="s">
        <v>36</v>
      </c>
      <c r="Z26" t="str">
        <f t="shared" si="9"/>
        <v xml:space="preserve"> dailCompDescDefense24=^pDefense's Gift of DAIL</v>
      </c>
      <c r="AA26" t="str">
        <f t="shared" si="17"/>
        <v>dailCompTextDefense24=^oThis feels warm to the touch, almost familiar ^w(This component only fits into the Medal Slot)</v>
      </c>
      <c r="AB26" s="5" t="s">
        <v>36</v>
      </c>
      <c r="AH26">
        <f t="shared" si="19"/>
        <v>21</v>
      </c>
      <c r="AI26">
        <f t="shared" si="13"/>
        <v>26</v>
      </c>
      <c r="AJ26">
        <f t="shared" si="18"/>
        <v>3</v>
      </c>
    </row>
    <row r="27" spans="1:36" x14ac:dyDescent="0.25">
      <c r="A27" s="5" t="s">
        <v>39</v>
      </c>
      <c r="B27" s="5" t="s">
        <v>28</v>
      </c>
      <c r="C27" s="5" t="str">
        <f t="shared" si="0"/>
        <v>description,dailCompDescDefense25,</v>
      </c>
      <c r="D27" s="5" t="str">
        <f t="shared" si="2"/>
        <v>itemText,dailCompTextDefense25,</v>
      </c>
      <c r="E27" s="5" t="str">
        <f t="shared" si="14"/>
        <v>augmentSkillLevel1,3,</v>
      </c>
      <c r="F27" s="5" t="str">
        <f t="shared" si="15"/>
        <v>augmentSkillName1,records/skillsdefense/adrenaline.dbr,,</v>
      </c>
      <c r="G27" s="7">
        <f t="shared" si="10"/>
        <v>25</v>
      </c>
      <c r="H27" s="8" t="str">
        <f t="shared" si="11"/>
        <v>Defense</v>
      </c>
      <c r="I27" s="3" t="s">
        <v>575</v>
      </c>
      <c r="J27" s="8" t="str">
        <f t="shared" si="20"/>
        <v>class0016</v>
      </c>
      <c r="K27" s="8" t="str">
        <f t="shared" si="20"/>
        <v>dailoneskill0016</v>
      </c>
      <c r="L27" s="5" t="str">
        <f t="shared" si="4"/>
        <v>lootName25,DAIL/items/materia/class0016/Defense25.dbr,</v>
      </c>
      <c r="M27" s="5" t="str">
        <f t="shared" si="5"/>
        <v>lootWeight25,1,</v>
      </c>
      <c r="N27" t="str">
        <f t="shared" si="6"/>
        <v>3</v>
      </c>
      <c r="O27" t="str">
        <f t="shared" si="16"/>
        <v>copy .\dail_base3.dbr .\items\materia\class0016\Defense25.dbr /y</v>
      </c>
      <c r="P27" t="str">
        <f t="shared" si="7"/>
        <v>echo relicBitmap,items/craftingparts/components/component_a52_bristlyfur_b.tex, &gt;&gt; .\items\materia\class0016\Defense25.dbr</v>
      </c>
      <c r="Q27" t="str">
        <f t="shared" si="7"/>
        <v>echo itemCost,300000, &gt;&gt; .\items\materia\class0016\Defense25.dbr</v>
      </c>
      <c r="R27" t="str">
        <f t="shared" si="7"/>
        <v>echo description,dailCompDescDefense25, &gt;&gt; .\items\materia\class0016\Defense25.dbr</v>
      </c>
      <c r="S27" t="str">
        <f t="shared" si="7"/>
        <v>echo itemText,dailCompTextDefense25, &gt;&gt; .\items\materia\class0016\Defense25.dbr</v>
      </c>
      <c r="T27" t="str">
        <f t="shared" si="7"/>
        <v>echo augmentSkillLevel1,3, &gt;&gt; .\items\materia\class0016\Defense25.dbr</v>
      </c>
      <c r="U27" t="str">
        <f t="shared" si="7"/>
        <v>echo augmentSkillName1,records/skillsdefense/adrenaline.dbr,, &gt;&gt; .\items\materia\class0016\Defense25.dbr</v>
      </c>
      <c r="V27" s="5" t="s">
        <v>36</v>
      </c>
      <c r="W27" t="str">
        <f t="shared" si="8"/>
        <v>echo lootName25,DAIL/items/materia/class0016/Defense25.dbr, &gt;&gt; .\items\loottables\dailoneskill0016.dbr</v>
      </c>
      <c r="X27" t="str">
        <f t="shared" si="8"/>
        <v>echo lootWeight25,1, &gt;&gt; .\items\loottables\dailoneskill0016.dbr</v>
      </c>
      <c r="Y27" s="5" t="s">
        <v>36</v>
      </c>
      <c r="Z27" t="str">
        <f t="shared" si="9"/>
        <v xml:space="preserve"> dailCompDescDefense25=^pDefense's Gift of DAIL</v>
      </c>
      <c r="AA27" t="str">
        <f t="shared" si="17"/>
        <v>dailCompTextDefense25=^oThis feels warm to the touch, almost familiar ^w(This component only fits into the Medal Slot)</v>
      </c>
      <c r="AB27" s="5" t="s">
        <v>36</v>
      </c>
      <c r="AH27">
        <f t="shared" si="19"/>
        <v>22</v>
      </c>
      <c r="AI27">
        <f t="shared" si="13"/>
        <v>23</v>
      </c>
      <c r="AJ27">
        <f t="shared" si="18"/>
        <v>3</v>
      </c>
    </row>
    <row r="28" spans="1:36" x14ac:dyDescent="0.25">
      <c r="A28" s="5" t="s">
        <v>39</v>
      </c>
      <c r="B28" s="5" t="s">
        <v>28</v>
      </c>
      <c r="C28" s="5" t="str">
        <f t="shared" si="0"/>
        <v>description,dailCompDescDefense26,</v>
      </c>
      <c r="D28" s="5" t="str">
        <f t="shared" si="2"/>
        <v>itemText,dailCompTextDefense26,</v>
      </c>
      <c r="E28" s="5" t="str">
        <f t="shared" si="14"/>
        <v>augmentSkillLevel1,3,</v>
      </c>
      <c r="F28" s="5" t="str">
        <f t="shared" si="15"/>
        <v>augmentSkillName1,records/skillsdefense/adrenaline_resilience.dbr,,</v>
      </c>
      <c r="G28" s="7">
        <f t="shared" si="10"/>
        <v>26</v>
      </c>
      <c r="H28" s="8" t="str">
        <f t="shared" si="11"/>
        <v>Defense</v>
      </c>
      <c r="I28" s="3" t="s">
        <v>576</v>
      </c>
      <c r="J28" s="8" t="str">
        <f t="shared" si="20"/>
        <v>class0016</v>
      </c>
      <c r="K28" s="8" t="str">
        <f t="shared" si="20"/>
        <v>dailoneskill0016</v>
      </c>
      <c r="L28" s="5" t="str">
        <f t="shared" si="4"/>
        <v>lootName26,DAIL/items/materia/class0016/Defense26.dbr,</v>
      </c>
      <c r="M28" s="5" t="str">
        <f t="shared" si="5"/>
        <v>lootWeight26,1,</v>
      </c>
      <c r="N28" t="str">
        <f t="shared" si="6"/>
        <v>3</v>
      </c>
      <c r="O28" t="str">
        <f t="shared" si="16"/>
        <v>copy .\dail_base3.dbr .\items\materia\class0016\Defense26.dbr /y</v>
      </c>
      <c r="P28" t="str">
        <f t="shared" si="7"/>
        <v>echo relicBitmap,items/craftingparts/components/component_a52_bristlyfur_b.tex, &gt;&gt; .\items\materia\class0016\Defense26.dbr</v>
      </c>
      <c r="Q28" t="str">
        <f t="shared" si="7"/>
        <v>echo itemCost,300000, &gt;&gt; .\items\materia\class0016\Defense26.dbr</v>
      </c>
      <c r="R28" t="str">
        <f t="shared" si="7"/>
        <v>echo description,dailCompDescDefense26, &gt;&gt; .\items\materia\class0016\Defense26.dbr</v>
      </c>
      <c r="S28" t="str">
        <f t="shared" si="7"/>
        <v>echo itemText,dailCompTextDefense26, &gt;&gt; .\items\materia\class0016\Defense26.dbr</v>
      </c>
      <c r="T28" t="str">
        <f t="shared" si="7"/>
        <v>echo augmentSkillLevel1,3, &gt;&gt; .\items\materia\class0016\Defense26.dbr</v>
      </c>
      <c r="U28" t="str">
        <f t="shared" si="7"/>
        <v>echo augmentSkillName1,records/skillsdefense/adrenaline_resilience.dbr,, &gt;&gt; .\items\materia\class0016\Defense26.dbr</v>
      </c>
      <c r="V28" s="5" t="s">
        <v>36</v>
      </c>
      <c r="W28" t="str">
        <f t="shared" si="8"/>
        <v>echo lootName26,DAIL/items/materia/class0016/Defense26.dbr, &gt;&gt; .\items\loottables\dailoneskill0016.dbr</v>
      </c>
      <c r="X28" t="str">
        <f t="shared" si="8"/>
        <v>echo lootWeight26,1, &gt;&gt; .\items\loottables\dailoneskill0016.dbr</v>
      </c>
      <c r="Y28" s="5" t="s">
        <v>36</v>
      </c>
      <c r="Z28" t="str">
        <f t="shared" si="9"/>
        <v xml:space="preserve"> dailCompDescDefense26=^pDefense's Gift of DAIL</v>
      </c>
      <c r="AA28" t="str">
        <f t="shared" si="17"/>
        <v>dailCompTextDefense26=^oThis feels warm to the touch, almost familiar ^w(This component only fits into the Medal Slot)</v>
      </c>
      <c r="AB28" s="5" t="s">
        <v>36</v>
      </c>
      <c r="AH28">
        <f t="shared" si="19"/>
        <v>23</v>
      </c>
      <c r="AI28">
        <f t="shared" si="13"/>
        <v>34</v>
      </c>
      <c r="AJ28">
        <f t="shared" si="18"/>
        <v>3</v>
      </c>
    </row>
    <row r="29" spans="1:36" x14ac:dyDescent="0.25">
      <c r="A29" s="5" t="s">
        <v>39</v>
      </c>
      <c r="B29" s="5" t="s">
        <v>28</v>
      </c>
      <c r="C29" s="5" t="str">
        <f t="shared" si="0"/>
        <v>description,dailCompDescDefense27,</v>
      </c>
      <c r="D29" s="5" t="str">
        <f t="shared" si="2"/>
        <v>itemText,dailCompTextDefense27,</v>
      </c>
      <c r="E29" s="5" t="str">
        <f t="shared" si="14"/>
        <v>augmentSkillLevel1,3,</v>
      </c>
      <c r="F29" s="5" t="str">
        <f t="shared" si="15"/>
        <v>augmentSkillName1,records/skillsdefense/adrenaline_defensivereaction.dbr,,</v>
      </c>
      <c r="G29" s="7">
        <f t="shared" si="10"/>
        <v>27</v>
      </c>
      <c r="H29" s="8" t="str">
        <f t="shared" si="11"/>
        <v>Defense</v>
      </c>
      <c r="I29" s="3" t="s">
        <v>577</v>
      </c>
      <c r="J29" s="8" t="str">
        <f t="shared" si="20"/>
        <v>class0016</v>
      </c>
      <c r="K29" s="8" t="str">
        <f t="shared" si="20"/>
        <v>dailoneskill0016</v>
      </c>
      <c r="L29" s="5" t="str">
        <f t="shared" si="4"/>
        <v>lootName27,DAIL/items/materia/class0016/Defense27.dbr,</v>
      </c>
      <c r="M29" s="5" t="str">
        <f t="shared" si="5"/>
        <v>lootWeight27,1,</v>
      </c>
      <c r="N29" t="str">
        <f t="shared" si="6"/>
        <v>3</v>
      </c>
      <c r="O29" t="str">
        <f t="shared" si="16"/>
        <v>copy .\dail_base3.dbr .\items\materia\class0016\Defense27.dbr /y</v>
      </c>
      <c r="P29" t="str">
        <f t="shared" si="7"/>
        <v>echo relicBitmap,items/craftingparts/components/component_a52_bristlyfur_b.tex, &gt;&gt; .\items\materia\class0016\Defense27.dbr</v>
      </c>
      <c r="Q29" t="str">
        <f t="shared" si="7"/>
        <v>echo itemCost,300000, &gt;&gt; .\items\materia\class0016\Defense27.dbr</v>
      </c>
      <c r="R29" t="str">
        <f t="shared" si="7"/>
        <v>echo description,dailCompDescDefense27, &gt;&gt; .\items\materia\class0016\Defense27.dbr</v>
      </c>
      <c r="S29" t="str">
        <f t="shared" si="7"/>
        <v>echo itemText,dailCompTextDefense27, &gt;&gt; .\items\materia\class0016\Defense27.dbr</v>
      </c>
      <c r="T29" t="str">
        <f t="shared" si="7"/>
        <v>echo augmentSkillLevel1,3, &gt;&gt; .\items\materia\class0016\Defense27.dbr</v>
      </c>
      <c r="U29" t="str">
        <f t="shared" si="7"/>
        <v>echo augmentSkillName1,records/skillsdefense/adrenaline_defensivereaction.dbr,, &gt;&gt; .\items\materia\class0016\Defense27.dbr</v>
      </c>
      <c r="V29" s="5" t="s">
        <v>36</v>
      </c>
      <c r="W29" t="str">
        <f t="shared" si="8"/>
        <v>echo lootName27,DAIL/items/materia/class0016/Defense27.dbr, &gt;&gt; .\items\loottables\dailoneskill0016.dbr</v>
      </c>
      <c r="X29" t="str">
        <f t="shared" si="8"/>
        <v>echo lootWeight27,1, &gt;&gt; .\items\loottables\dailoneskill0016.dbr</v>
      </c>
      <c r="Y29" s="5" t="s">
        <v>36</v>
      </c>
      <c r="Z29" t="str">
        <f t="shared" si="9"/>
        <v xml:space="preserve"> dailCompDescDefense27=^pDefense's Gift of DAIL</v>
      </c>
      <c r="AA29" t="str">
        <f t="shared" si="17"/>
        <v>dailCompTextDefense27=^oThis feels warm to the touch, almost familiar ^w(This component only fits into the Medal Slot)</v>
      </c>
      <c r="AB29" s="5" t="s">
        <v>36</v>
      </c>
      <c r="AH29">
        <f t="shared" si="19"/>
        <v>24</v>
      </c>
      <c r="AI29">
        <f t="shared" si="13"/>
        <v>41</v>
      </c>
      <c r="AJ29">
        <f t="shared" si="18"/>
        <v>3</v>
      </c>
    </row>
    <row r="30" spans="1:36" x14ac:dyDescent="0.25">
      <c r="A30" s="5" t="s">
        <v>39</v>
      </c>
      <c r="B30" s="5" t="s">
        <v>28</v>
      </c>
      <c r="C30" s="5" t="str">
        <f t="shared" si="0"/>
        <v>description,dailCompDescDefense28,</v>
      </c>
      <c r="D30" s="5" t="str">
        <f t="shared" si="2"/>
        <v>itemText,dailCompTextDefense28,</v>
      </c>
      <c r="E30" s="5" t="str">
        <f t="shared" si="14"/>
        <v>augmentSkillLevel1,3,</v>
      </c>
      <c r="F30" s="5" t="str">
        <f t="shared" si="15"/>
        <v>augmentSkillName1,records/skillsdefense/rally.dbr,,</v>
      </c>
      <c r="G30" s="7">
        <f t="shared" si="10"/>
        <v>28</v>
      </c>
      <c r="H30" s="8" t="str">
        <f t="shared" si="11"/>
        <v>Defense</v>
      </c>
      <c r="I30" s="3" t="s">
        <v>578</v>
      </c>
      <c r="J30" s="8" t="str">
        <f t="shared" si="20"/>
        <v>class0016</v>
      </c>
      <c r="K30" s="8" t="str">
        <f t="shared" si="20"/>
        <v>dailoneskill0016</v>
      </c>
      <c r="L30" s="5" t="str">
        <f t="shared" si="4"/>
        <v>lootName28,DAIL/items/materia/class0016/Defense28.dbr,</v>
      </c>
      <c r="M30" s="5" t="str">
        <f t="shared" si="5"/>
        <v>lootWeight28,1,</v>
      </c>
      <c r="N30" t="str">
        <f t="shared" si="6"/>
        <v>3</v>
      </c>
      <c r="O30" t="str">
        <f t="shared" si="16"/>
        <v>copy .\dail_base3.dbr .\items\materia\class0016\Defense28.dbr /y</v>
      </c>
      <c r="P30" t="str">
        <f t="shared" si="7"/>
        <v>echo relicBitmap,items/craftingparts/components/component_a52_bristlyfur_b.tex, &gt;&gt; .\items\materia\class0016\Defense28.dbr</v>
      </c>
      <c r="Q30" t="str">
        <f t="shared" si="7"/>
        <v>echo itemCost,300000, &gt;&gt; .\items\materia\class0016\Defense28.dbr</v>
      </c>
      <c r="R30" t="str">
        <f t="shared" si="7"/>
        <v>echo description,dailCompDescDefense28, &gt;&gt; .\items\materia\class0016\Defense28.dbr</v>
      </c>
      <c r="S30" t="str">
        <f t="shared" si="7"/>
        <v>echo itemText,dailCompTextDefense28, &gt;&gt; .\items\materia\class0016\Defense28.dbr</v>
      </c>
      <c r="T30" t="str">
        <f t="shared" si="7"/>
        <v>echo augmentSkillLevel1,3, &gt;&gt; .\items\materia\class0016\Defense28.dbr</v>
      </c>
      <c r="U30" t="str">
        <f t="shared" si="7"/>
        <v>echo augmentSkillName1,records/skillsdefense/rally.dbr,, &gt;&gt; .\items\materia\class0016\Defense28.dbr</v>
      </c>
      <c r="V30" s="5" t="s">
        <v>36</v>
      </c>
      <c r="W30" t="str">
        <f t="shared" si="8"/>
        <v>echo lootName28,DAIL/items/materia/class0016/Defense28.dbr, &gt;&gt; .\items\loottables\dailoneskill0016.dbr</v>
      </c>
      <c r="X30" t="str">
        <f t="shared" si="8"/>
        <v>echo lootWeight28,1, &gt;&gt; .\items\loottables\dailoneskill0016.dbr</v>
      </c>
      <c r="Y30" s="5" t="s">
        <v>36</v>
      </c>
      <c r="Z30" t="str">
        <f t="shared" si="9"/>
        <v xml:space="preserve"> dailCompDescDefense28=^pDefense's Gift of DAIL</v>
      </c>
      <c r="AA30" t="str">
        <f t="shared" si="17"/>
        <v>dailCompTextDefense28=^oThis feels warm to the touch, almost familiar ^w(This component only fits into the Medal Slot)</v>
      </c>
      <c r="AB30" s="5" t="s">
        <v>36</v>
      </c>
      <c r="AH30">
        <f t="shared" si="19"/>
        <v>25</v>
      </c>
      <c r="AI30">
        <f t="shared" si="13"/>
        <v>18</v>
      </c>
      <c r="AJ30">
        <f t="shared" si="18"/>
        <v>3</v>
      </c>
    </row>
    <row r="31" spans="1:36" x14ac:dyDescent="0.25">
      <c r="A31" s="5" t="s">
        <v>39</v>
      </c>
      <c r="B31" s="5" t="s">
        <v>28</v>
      </c>
      <c r="C31" s="5" t="str">
        <f t="shared" si="0"/>
        <v>description,dailCompDescDefense29,</v>
      </c>
      <c r="D31" s="5" t="str">
        <f t="shared" si="2"/>
        <v>itemText,dailCompTextDefense29,</v>
      </c>
      <c r="E31" s="5" t="str">
        <f t="shared" si="14"/>
        <v>augmentSkillLevel1,3,</v>
      </c>
      <c r="F31" s="5" t="str">
        <f t="shared" si="15"/>
        <v>augmentSkillName1,records/skillsdefense/rally_inspiration.dbr,,</v>
      </c>
      <c r="G31" s="7">
        <f t="shared" si="10"/>
        <v>29</v>
      </c>
      <c r="H31" s="8" t="str">
        <f t="shared" si="11"/>
        <v>Defense</v>
      </c>
      <c r="I31" s="3" t="s">
        <v>579</v>
      </c>
      <c r="J31" s="8" t="str">
        <f t="shared" si="20"/>
        <v>class0016</v>
      </c>
      <c r="K31" s="8" t="str">
        <f t="shared" si="20"/>
        <v>dailoneskill0016</v>
      </c>
      <c r="L31" s="5" t="str">
        <f t="shared" si="4"/>
        <v>lootName29,DAIL/items/materia/class0016/Defense29.dbr,</v>
      </c>
      <c r="M31" s="5" t="str">
        <f t="shared" si="5"/>
        <v>lootWeight29,1,</v>
      </c>
      <c r="N31" t="str">
        <f t="shared" si="6"/>
        <v>3</v>
      </c>
      <c r="O31" t="str">
        <f t="shared" si="16"/>
        <v>copy .\dail_base3.dbr .\items\materia\class0016\Defense29.dbr /y</v>
      </c>
      <c r="P31" t="str">
        <f t="shared" si="7"/>
        <v>echo relicBitmap,items/craftingparts/components/component_a52_bristlyfur_b.tex, &gt;&gt; .\items\materia\class0016\Defense29.dbr</v>
      </c>
      <c r="Q31" t="str">
        <f t="shared" si="7"/>
        <v>echo itemCost,300000, &gt;&gt; .\items\materia\class0016\Defense29.dbr</v>
      </c>
      <c r="R31" t="str">
        <f t="shared" si="7"/>
        <v>echo description,dailCompDescDefense29, &gt;&gt; .\items\materia\class0016\Defense29.dbr</v>
      </c>
      <c r="S31" t="str">
        <f t="shared" si="7"/>
        <v>echo itemText,dailCompTextDefense29, &gt;&gt; .\items\materia\class0016\Defense29.dbr</v>
      </c>
      <c r="T31" t="str">
        <f t="shared" si="7"/>
        <v>echo augmentSkillLevel1,3, &gt;&gt; .\items\materia\class0016\Defense29.dbr</v>
      </c>
      <c r="U31" t="str">
        <f t="shared" si="7"/>
        <v>echo augmentSkillName1,records/skillsdefense/rally_inspiration.dbr,, &gt;&gt; .\items\materia\class0016\Defense29.dbr</v>
      </c>
      <c r="V31" s="5" t="s">
        <v>36</v>
      </c>
      <c r="W31" t="str">
        <f t="shared" si="8"/>
        <v>echo lootName29,DAIL/items/materia/class0016/Defense29.dbr, &gt;&gt; .\items\loottables\dailoneskill0016.dbr</v>
      </c>
      <c r="X31" t="str">
        <f t="shared" si="8"/>
        <v>echo lootWeight29,1, &gt;&gt; .\items\loottables\dailoneskill0016.dbr</v>
      </c>
      <c r="Y31" s="5" t="s">
        <v>36</v>
      </c>
      <c r="Z31" t="str">
        <f t="shared" si="9"/>
        <v xml:space="preserve"> dailCompDescDefense29=^pDefense's Gift of DAIL</v>
      </c>
      <c r="AA31" t="str">
        <f t="shared" si="17"/>
        <v>dailCompTextDefense29=^oThis feels warm to the touch, almost familiar ^w(This component only fits into the Medal Slot)</v>
      </c>
      <c r="AB31" s="5" t="s">
        <v>36</v>
      </c>
      <c r="AH31">
        <f t="shared" si="19"/>
        <v>26</v>
      </c>
      <c r="AI31">
        <f t="shared" si="13"/>
        <v>30</v>
      </c>
      <c r="AJ31">
        <f t="shared" si="18"/>
        <v>3</v>
      </c>
    </row>
    <row r="32" spans="1:36" x14ac:dyDescent="0.25">
      <c r="A32" s="5" t="s">
        <v>39</v>
      </c>
      <c r="B32" s="5" t="s">
        <v>30</v>
      </c>
      <c r="C32" s="5" t="str">
        <f t="shared" si="0"/>
        <v>description,dailCompDescDefense30,</v>
      </c>
      <c r="D32" s="5" t="str">
        <f t="shared" si="2"/>
        <v>itemText,dailCompTextDefense30,</v>
      </c>
      <c r="E32" s="5" t="str">
        <f t="shared" si="14"/>
        <v>augmentSkillLevel1,3,</v>
      </c>
      <c r="F32" s="5" t="str">
        <f t="shared" si="15"/>
        <v>augmentSkillName1,records/skillsdefense/rally_defiance.dbr,,</v>
      </c>
      <c r="G32" s="7">
        <f t="shared" si="10"/>
        <v>30</v>
      </c>
      <c r="H32" s="8" t="str">
        <f t="shared" si="11"/>
        <v>Defense</v>
      </c>
      <c r="I32" s="3" t="s">
        <v>580</v>
      </c>
      <c r="J32" s="8" t="str">
        <f t="shared" si="20"/>
        <v>class0016</v>
      </c>
      <c r="K32" s="8" t="str">
        <f t="shared" si="20"/>
        <v>dailoneskill0016</v>
      </c>
      <c r="L32" s="5" t="str">
        <f t="shared" si="4"/>
        <v>lootName30,DAIL/items/materia/class0016/Defense30.dbr,</v>
      </c>
      <c r="M32" s="5" t="str">
        <f t="shared" si="5"/>
        <v>lootWeight30,1,</v>
      </c>
      <c r="N32" t="str">
        <f t="shared" si="6"/>
        <v>3</v>
      </c>
      <c r="O32" t="str">
        <f t="shared" si="16"/>
        <v>copy .\dail_base3.dbr .\items\materia\class0016\Defense30.dbr /y</v>
      </c>
      <c r="P32" t="str">
        <f t="shared" si="7"/>
        <v>echo relicBitmap,items/craftingparts/components/component_a52_bristlyfur_b.tex, &gt;&gt; .\items\materia\class0016\Defense30.dbr</v>
      </c>
      <c r="Q32" t="str">
        <f t="shared" si="7"/>
        <v>echo itemCost,500000, &gt;&gt; .\items\materia\class0016\Defense30.dbr</v>
      </c>
      <c r="R32" t="str">
        <f t="shared" si="7"/>
        <v>echo description,dailCompDescDefense30, &gt;&gt; .\items\materia\class0016\Defense30.dbr</v>
      </c>
      <c r="S32" t="str">
        <f t="shared" si="7"/>
        <v>echo itemText,dailCompTextDefense30, &gt;&gt; .\items\materia\class0016\Defense30.dbr</v>
      </c>
      <c r="T32" t="str">
        <f t="shared" si="7"/>
        <v>echo augmentSkillLevel1,3, &gt;&gt; .\items\materia\class0016\Defense30.dbr</v>
      </c>
      <c r="U32" t="str">
        <f t="shared" si="7"/>
        <v>echo augmentSkillName1,records/skillsdefense/rally_defiance.dbr,, &gt;&gt; .\items\materia\class0016\Defense30.dbr</v>
      </c>
      <c r="V32" s="5" t="s">
        <v>36</v>
      </c>
      <c r="W32" t="str">
        <f t="shared" si="8"/>
        <v>echo lootName30,DAIL/items/materia/class0016/Defense30.dbr, &gt;&gt; .\items\loottables\dailoneskill0016.dbr</v>
      </c>
      <c r="X32" t="str">
        <f t="shared" si="8"/>
        <v>echo lootWeight30,1, &gt;&gt; .\items\loottables\dailoneskill0016.dbr</v>
      </c>
      <c r="Y32" s="5" t="s">
        <v>36</v>
      </c>
      <c r="Z32" t="str">
        <f t="shared" si="9"/>
        <v xml:space="preserve"> dailCompDescDefense30=^pDefense's Gift of DAIL</v>
      </c>
      <c r="AA32" t="str">
        <f t="shared" si="17"/>
        <v>dailCompTextDefense30=^oThis feels warm to the touch, almost familiar ^w(This component only fits into the Medal Slot)</v>
      </c>
      <c r="AB32" s="5" t="s">
        <v>36</v>
      </c>
      <c r="AH32">
        <f t="shared" si="19"/>
        <v>27</v>
      </c>
      <c r="AI32">
        <f t="shared" si="13"/>
        <v>27</v>
      </c>
      <c r="AJ32">
        <f t="shared" si="18"/>
        <v>3</v>
      </c>
    </row>
    <row r="33" spans="1:36" x14ac:dyDescent="0.25">
      <c r="A33" s="5" t="s">
        <v>39</v>
      </c>
      <c r="B33" s="5" t="s">
        <v>30</v>
      </c>
      <c r="C33" s="5" t="str">
        <f t="shared" si="0"/>
        <v>description,dailCompDescDefense31,</v>
      </c>
      <c r="D33" s="5" t="str">
        <f t="shared" si="2"/>
        <v>itemText,dailCompTextDefense31,</v>
      </c>
      <c r="E33" s="5" t="str">
        <f t="shared" si="14"/>
        <v>augmentSkillLevel1,3,</v>
      </c>
      <c r="F33" s="5" t="str">
        <f t="shared" si="15"/>
        <v>augmentSkillName1,records/skillsdefense/colossusform.dbr,,</v>
      </c>
      <c r="G33" s="7">
        <f t="shared" si="10"/>
        <v>31</v>
      </c>
      <c r="H33" s="8" t="str">
        <f t="shared" si="11"/>
        <v>Defense</v>
      </c>
      <c r="I33" s="3" t="s">
        <v>581</v>
      </c>
      <c r="J33" s="8" t="str">
        <f t="shared" si="20"/>
        <v>class0016</v>
      </c>
      <c r="K33" s="8" t="str">
        <f t="shared" si="20"/>
        <v>dailoneskill0016</v>
      </c>
      <c r="L33" s="5" t="str">
        <f t="shared" si="4"/>
        <v>lootName31,DAIL/items/materia/class0016/Defense31.dbr,</v>
      </c>
      <c r="M33" s="5" t="str">
        <f t="shared" si="5"/>
        <v>lootWeight31,1,</v>
      </c>
      <c r="N33" t="str">
        <f t="shared" si="6"/>
        <v>3</v>
      </c>
      <c r="O33" t="str">
        <f t="shared" si="16"/>
        <v>copy .\dail_base3.dbr .\items\materia\class0016\Defense31.dbr /y</v>
      </c>
      <c r="P33" t="str">
        <f t="shared" si="7"/>
        <v>echo relicBitmap,items/craftingparts/components/component_a52_bristlyfur_b.tex, &gt;&gt; .\items\materia\class0016\Defense31.dbr</v>
      </c>
      <c r="Q33" t="str">
        <f t="shared" si="7"/>
        <v>echo itemCost,500000, &gt;&gt; .\items\materia\class0016\Defense31.dbr</v>
      </c>
      <c r="R33" t="str">
        <f t="shared" si="7"/>
        <v>echo description,dailCompDescDefense31, &gt;&gt; .\items\materia\class0016\Defense31.dbr</v>
      </c>
      <c r="S33" t="str">
        <f t="shared" si="7"/>
        <v>echo itemText,dailCompTextDefense31, &gt;&gt; .\items\materia\class0016\Defense31.dbr</v>
      </c>
      <c r="T33" t="str">
        <f t="shared" si="7"/>
        <v>echo augmentSkillLevel1,3, &gt;&gt; .\items\materia\class0016\Defense31.dbr</v>
      </c>
      <c r="U33" t="str">
        <f t="shared" si="7"/>
        <v>echo augmentSkillName1,records/skillsdefense/colossusform.dbr,, &gt;&gt; .\items\materia\class0016\Defense31.dbr</v>
      </c>
      <c r="V33" s="5" t="s">
        <v>36</v>
      </c>
      <c r="W33" t="str">
        <f t="shared" si="8"/>
        <v>echo lootName31,DAIL/items/materia/class0016/Defense31.dbr, &gt;&gt; .\items\loottables\dailoneskill0016.dbr</v>
      </c>
      <c r="X33" t="str">
        <f t="shared" si="8"/>
        <v>echo lootWeight31,1, &gt;&gt; .\items\loottables\dailoneskill0016.dbr</v>
      </c>
      <c r="Y33" s="5" t="s">
        <v>36</v>
      </c>
      <c r="Z33" t="str">
        <f t="shared" si="9"/>
        <v xml:space="preserve"> dailCompDescDefense31=^pDefense's Gift of DAIL</v>
      </c>
      <c r="AA33" t="str">
        <f t="shared" si="17"/>
        <v>dailCompTextDefense31=^oThis feels warm to the touch, almost familiar ^w(This component only fits into the Medal Slot)</v>
      </c>
      <c r="AB33" s="5" t="s">
        <v>36</v>
      </c>
      <c r="AH33">
        <f t="shared" si="19"/>
        <v>28</v>
      </c>
      <c r="AI33">
        <f t="shared" si="13"/>
        <v>25</v>
      </c>
      <c r="AJ33">
        <f t="shared" si="18"/>
        <v>3</v>
      </c>
    </row>
    <row r="34" spans="1:36" x14ac:dyDescent="0.25">
      <c r="A34" s="5" t="s">
        <v>39</v>
      </c>
      <c r="B34" s="5" t="s">
        <v>30</v>
      </c>
      <c r="C34" s="5" t="str">
        <f t="shared" si="0"/>
        <v>description,dailCompDescDefense32,</v>
      </c>
      <c r="D34" s="5" t="str">
        <f t="shared" si="2"/>
        <v>itemText,dailCompTextDefense32,</v>
      </c>
      <c r="E34" s="5" t="str">
        <f t="shared" si="14"/>
        <v>augmentSkillLevel1,3,</v>
      </c>
      <c r="F34" s="5" t="str">
        <f t="shared" si="15"/>
        <v>augmentSkillName1,records/skillsdefense/weaponpool_shieldsmash.dbr,,</v>
      </c>
      <c r="G34" s="7">
        <f t="shared" si="10"/>
        <v>32</v>
      </c>
      <c r="H34" s="8" t="str">
        <f t="shared" si="11"/>
        <v>Defense</v>
      </c>
      <c r="I34" s="3" t="s">
        <v>582</v>
      </c>
      <c r="J34" s="8" t="str">
        <f t="shared" si="20"/>
        <v>class0016</v>
      </c>
      <c r="K34" s="8" t="str">
        <f t="shared" si="20"/>
        <v>dailoneskill0016</v>
      </c>
      <c r="L34" s="5" t="str">
        <f t="shared" si="4"/>
        <v>lootName32,DAIL/items/materia/class0016/Defense32.dbr,</v>
      </c>
      <c r="M34" s="5" t="str">
        <f t="shared" si="5"/>
        <v>lootWeight32,1,</v>
      </c>
      <c r="N34" t="str">
        <f t="shared" si="6"/>
        <v>3</v>
      </c>
      <c r="O34" t="str">
        <f t="shared" si="16"/>
        <v>copy .\dail_base3.dbr .\items\materia\class0016\Defense32.dbr /y</v>
      </c>
      <c r="P34" t="str">
        <f t="shared" si="7"/>
        <v>echo relicBitmap,items/craftingparts/components/component_a52_bristlyfur_b.tex, &gt;&gt; .\items\materia\class0016\Defense32.dbr</v>
      </c>
      <c r="Q34" t="str">
        <f t="shared" si="7"/>
        <v>echo itemCost,500000, &gt;&gt; .\items\materia\class0016\Defense32.dbr</v>
      </c>
      <c r="R34" t="str">
        <f t="shared" si="7"/>
        <v>echo description,dailCompDescDefense32, &gt;&gt; .\items\materia\class0016\Defense32.dbr</v>
      </c>
      <c r="S34" t="str">
        <f t="shared" si="7"/>
        <v>echo itemText,dailCompTextDefense32, &gt;&gt; .\items\materia\class0016\Defense32.dbr</v>
      </c>
      <c r="T34" t="str">
        <f t="shared" si="7"/>
        <v>echo augmentSkillLevel1,3, &gt;&gt; .\items\materia\class0016\Defense32.dbr</v>
      </c>
      <c r="U34" t="str">
        <f t="shared" si="7"/>
        <v>echo augmentSkillName1,records/skillsdefense/weaponpool_shieldsmash.dbr,, &gt;&gt; .\items\materia\class0016\Defense32.dbr</v>
      </c>
      <c r="V34" s="5" t="s">
        <v>36</v>
      </c>
      <c r="W34" t="str">
        <f t="shared" si="8"/>
        <v>echo lootName32,DAIL/items/materia/class0016/Defense32.dbr, &gt;&gt; .\items\loottables\dailoneskill0016.dbr</v>
      </c>
      <c r="X34" t="str">
        <f t="shared" si="8"/>
        <v>echo lootWeight32,1, &gt;&gt; .\items\loottables\dailoneskill0016.dbr</v>
      </c>
      <c r="Y34" s="5" t="s">
        <v>36</v>
      </c>
      <c r="Z34" t="str">
        <f t="shared" si="9"/>
        <v xml:space="preserve"> dailCompDescDefense32=^pDefense's Gift of DAIL</v>
      </c>
      <c r="AA34" t="str">
        <f t="shared" si="17"/>
        <v>dailCompTextDefense32=^oThis feels warm to the touch, almost familiar ^w(This component only fits into the Medal Slot)</v>
      </c>
      <c r="AB34" s="5" t="s">
        <v>36</v>
      </c>
      <c r="AH34">
        <f t="shared" si="19"/>
        <v>29</v>
      </c>
      <c r="AI34">
        <f t="shared" si="13"/>
        <v>35</v>
      </c>
      <c r="AJ34">
        <f t="shared" si="18"/>
        <v>3</v>
      </c>
    </row>
    <row r="35" spans="1:36" x14ac:dyDescent="0.25">
      <c r="A35" s="5" t="s">
        <v>39</v>
      </c>
      <c r="B35" s="5" t="s">
        <v>30</v>
      </c>
      <c r="C35" s="5" t="str">
        <f t="shared" si="0"/>
        <v>description,dailCompDescDefense33,</v>
      </c>
      <c r="D35" s="5" t="str">
        <f t="shared" si="2"/>
        <v>itemText,dailCompTextDefense33,</v>
      </c>
      <c r="E35" s="5" t="str">
        <f t="shared" si="14"/>
        <v>augmentSkillLevel1,3,</v>
      </c>
      <c r="F35" s="5" t="str">
        <f t="shared" si="15"/>
        <v>augmentSkillName1,records/skillsdefense/weaponpool_disable.dbr,,</v>
      </c>
      <c r="G35" s="7">
        <f t="shared" si="10"/>
        <v>33</v>
      </c>
      <c r="H35" s="8" t="str">
        <f t="shared" si="11"/>
        <v>Defense</v>
      </c>
      <c r="I35" s="3" t="s">
        <v>583</v>
      </c>
      <c r="J35" s="8" t="str">
        <f t="shared" si="20"/>
        <v>class0016</v>
      </c>
      <c r="K35" s="8" t="str">
        <f t="shared" si="20"/>
        <v>dailoneskill0016</v>
      </c>
      <c r="L35" s="5" t="str">
        <f t="shared" si="4"/>
        <v>lootName33,DAIL/items/materia/class0016/Defense33.dbr,</v>
      </c>
      <c r="M35" s="5" t="str">
        <f t="shared" si="5"/>
        <v>lootWeight33,1,</v>
      </c>
      <c r="N35" t="str">
        <f t="shared" si="6"/>
        <v>3</v>
      </c>
      <c r="O35" t="str">
        <f t="shared" si="16"/>
        <v>copy .\dail_base3.dbr .\items\materia\class0016\Defense33.dbr /y</v>
      </c>
      <c r="P35" t="str">
        <f t="shared" si="7"/>
        <v>echo relicBitmap,items/craftingparts/components/component_a52_bristlyfur_b.tex, &gt;&gt; .\items\materia\class0016\Defense33.dbr</v>
      </c>
      <c r="Q35" t="str">
        <f t="shared" si="7"/>
        <v>echo itemCost,500000, &gt;&gt; .\items\materia\class0016\Defense33.dbr</v>
      </c>
      <c r="R35" t="str">
        <f t="shared" si="7"/>
        <v>echo description,dailCompDescDefense33, &gt;&gt; .\items\materia\class0016\Defense33.dbr</v>
      </c>
      <c r="S35" t="str">
        <f t="shared" si="7"/>
        <v>echo itemText,dailCompTextDefense33, &gt;&gt; .\items\materia\class0016\Defense33.dbr</v>
      </c>
      <c r="T35" t="str">
        <f t="shared" si="7"/>
        <v>echo augmentSkillLevel1,3, &gt;&gt; .\items\materia\class0016\Defense33.dbr</v>
      </c>
      <c r="U35" t="str">
        <f t="shared" si="7"/>
        <v>echo augmentSkillName1,records/skillsdefense/weaponpool_disable.dbr,, &gt;&gt; .\items\materia\class0016\Defense33.dbr</v>
      </c>
      <c r="V35" s="5" t="s">
        <v>36</v>
      </c>
      <c r="W35" t="str">
        <f t="shared" si="8"/>
        <v>echo lootName33,DAIL/items/materia/class0016/Defense33.dbr, &gt;&gt; .\items\loottables\dailoneskill0016.dbr</v>
      </c>
      <c r="X35" t="str">
        <f t="shared" si="8"/>
        <v>echo lootWeight33,1, &gt;&gt; .\items\loottables\dailoneskill0016.dbr</v>
      </c>
      <c r="Y35" s="5" t="s">
        <v>36</v>
      </c>
      <c r="Z35" t="str">
        <f t="shared" si="9"/>
        <v xml:space="preserve"> dailCompDescDefense33=^pDefense's Gift of DAIL</v>
      </c>
      <c r="AA35" t="str">
        <f t="shared" si="17"/>
        <v>dailCompTextDefense33=^oThis feels warm to the touch, almost familiar ^w(This component only fits into the Medal Slot)</v>
      </c>
      <c r="AB35" s="5" t="s">
        <v>36</v>
      </c>
      <c r="AH35">
        <f t="shared" si="19"/>
        <v>30</v>
      </c>
      <c r="AI35">
        <f t="shared" si="13"/>
        <v>31</v>
      </c>
      <c r="AJ35">
        <f t="shared" si="18"/>
        <v>3</v>
      </c>
    </row>
    <row r="36" spans="1:36" x14ac:dyDescent="0.25">
      <c r="A36" s="5" t="s">
        <v>39</v>
      </c>
      <c r="B36" s="5" t="s">
        <v>30</v>
      </c>
      <c r="C36" s="5" t="str">
        <f t="shared" si="0"/>
        <v>description,dailCompDescDefense34,</v>
      </c>
      <c r="D36" s="5" t="str">
        <f t="shared" si="2"/>
        <v>itemText,dailCompTextDefense34,</v>
      </c>
      <c r="E36" s="5" t="str">
        <f t="shared" si="14"/>
        <v>augmentSkillLevel1,3,</v>
      </c>
      <c r="F36" s="5" t="str">
        <f t="shared" si="15"/>
        <v>augmentSkillName1,records/skillsdefense/weaponpool_pulverize.dbr,,</v>
      </c>
      <c r="G36" s="7">
        <f t="shared" si="10"/>
        <v>34</v>
      </c>
      <c r="H36" s="8" t="str">
        <f t="shared" si="11"/>
        <v>Defense</v>
      </c>
      <c r="I36" s="3" t="s">
        <v>584</v>
      </c>
      <c r="J36" s="8" t="str">
        <f t="shared" si="20"/>
        <v>class0016</v>
      </c>
      <c r="K36" s="8" t="str">
        <f t="shared" si="20"/>
        <v>dailoneskill0016</v>
      </c>
      <c r="L36" s="5" t="str">
        <f t="shared" si="4"/>
        <v>lootName34,DAIL/items/materia/class0016/Defense34.dbr,</v>
      </c>
      <c r="M36" s="5" t="str">
        <f t="shared" si="5"/>
        <v>lootWeight34,1,</v>
      </c>
      <c r="N36" t="str">
        <f t="shared" si="6"/>
        <v>3</v>
      </c>
      <c r="O36" t="str">
        <f t="shared" si="16"/>
        <v>copy .\dail_base3.dbr .\items\materia\class0016\Defense34.dbr /y</v>
      </c>
      <c r="P36" t="str">
        <f t="shared" si="7"/>
        <v>echo relicBitmap,items/craftingparts/components/component_a52_bristlyfur_b.tex, &gt;&gt; .\items\materia\class0016\Defense34.dbr</v>
      </c>
      <c r="Q36" t="str">
        <f t="shared" si="7"/>
        <v>echo itemCost,500000, &gt;&gt; .\items\materia\class0016\Defense34.dbr</v>
      </c>
      <c r="R36" t="str">
        <f t="shared" si="7"/>
        <v>echo description,dailCompDescDefense34, &gt;&gt; .\items\materia\class0016\Defense34.dbr</v>
      </c>
      <c r="S36" t="str">
        <f t="shared" si="7"/>
        <v>echo itemText,dailCompTextDefense34, &gt;&gt; .\items\materia\class0016\Defense34.dbr</v>
      </c>
      <c r="T36" t="str">
        <f t="shared" si="7"/>
        <v>echo augmentSkillLevel1,3, &gt;&gt; .\items\materia\class0016\Defense34.dbr</v>
      </c>
      <c r="U36" t="str">
        <f t="shared" si="7"/>
        <v>echo augmentSkillName1,records/skillsdefense/weaponpool_pulverize.dbr,, &gt;&gt; .\items\materia\class0016\Defense34.dbr</v>
      </c>
      <c r="V36" s="5" t="s">
        <v>36</v>
      </c>
      <c r="W36" t="str">
        <f t="shared" si="8"/>
        <v>echo lootName34,DAIL/items/materia/class0016/Defense34.dbr, &gt;&gt; .\items\loottables\dailoneskill0016.dbr</v>
      </c>
      <c r="X36" t="str">
        <f t="shared" si="8"/>
        <v>echo lootWeight34,1, &gt;&gt; .\items\loottables\dailoneskill0016.dbr</v>
      </c>
      <c r="Y36" s="5" t="s">
        <v>36</v>
      </c>
      <c r="Z36" t="str">
        <f t="shared" si="9"/>
        <v xml:space="preserve"> dailCompDescDefense34=^pDefense's Gift of DAIL</v>
      </c>
      <c r="AA36" t="str">
        <f t="shared" si="17"/>
        <v>dailCompTextDefense34=^oThis feels warm to the touch, almost familiar ^w(This component only fits into the Medal Slot)</v>
      </c>
      <c r="AB36" s="5" t="s">
        <v>36</v>
      </c>
      <c r="AH36">
        <f t="shared" si="19"/>
        <v>31</v>
      </c>
      <c r="AI36">
        <f t="shared" si="13"/>
        <v>33</v>
      </c>
      <c r="AJ36">
        <f t="shared" si="18"/>
        <v>3</v>
      </c>
    </row>
    <row r="37" spans="1:36" x14ac:dyDescent="0.25">
      <c r="A37" s="5" t="s">
        <v>39</v>
      </c>
      <c r="B37" s="5" t="s">
        <v>30</v>
      </c>
      <c r="C37" s="5" t="str">
        <f t="shared" si="0"/>
        <v>description,dailCompDescDefense35,</v>
      </c>
      <c r="D37" s="5" t="str">
        <f t="shared" si="2"/>
        <v>itemText,dailCompTextDefense35,</v>
      </c>
      <c r="E37" s="5" t="str">
        <f t="shared" si="14"/>
        <v>augmentSkillLevel1,3,</v>
      </c>
      <c r="F37" s="5" t="str">
        <f t="shared" si="15"/>
        <v>augmentSkillName1,records/skillsdefense/battleawareness.dbr,,</v>
      </c>
      <c r="G37" s="7">
        <f t="shared" si="10"/>
        <v>35</v>
      </c>
      <c r="H37" s="8" t="str">
        <f t="shared" si="11"/>
        <v>Defense</v>
      </c>
      <c r="I37" s="3" t="s">
        <v>585</v>
      </c>
      <c r="J37" s="8" t="str">
        <f t="shared" ref="J37:K52" si="21">J36</f>
        <v>class0016</v>
      </c>
      <c r="K37" s="8" t="str">
        <f t="shared" si="21"/>
        <v>dailoneskill0016</v>
      </c>
      <c r="L37" s="5" t="str">
        <f t="shared" si="4"/>
        <v>lootName35,DAIL/items/materia/class0016/Defense35.dbr,</v>
      </c>
      <c r="M37" s="5" t="str">
        <f t="shared" si="5"/>
        <v>lootWeight35,1,</v>
      </c>
      <c r="N37" t="str">
        <f t="shared" si="6"/>
        <v>3</v>
      </c>
      <c r="O37" t="str">
        <f t="shared" si="16"/>
        <v>copy .\dail_base3.dbr .\items\materia\class0016\Defense35.dbr /y</v>
      </c>
      <c r="P37" t="str">
        <f t="shared" si="7"/>
        <v>echo relicBitmap,items/craftingparts/components/component_a52_bristlyfur_b.tex, &gt;&gt; .\items\materia\class0016\Defense35.dbr</v>
      </c>
      <c r="Q37" t="str">
        <f t="shared" si="7"/>
        <v>echo itemCost,500000, &gt;&gt; .\items\materia\class0016\Defense35.dbr</v>
      </c>
      <c r="R37" t="str">
        <f t="shared" si="7"/>
        <v>echo description,dailCompDescDefense35, &gt;&gt; .\items\materia\class0016\Defense35.dbr</v>
      </c>
      <c r="S37" t="str">
        <f t="shared" si="7"/>
        <v>echo itemText,dailCompTextDefense35, &gt;&gt; .\items\materia\class0016\Defense35.dbr</v>
      </c>
      <c r="T37" t="str">
        <f t="shared" si="7"/>
        <v>echo augmentSkillLevel1,3, &gt;&gt; .\items\materia\class0016\Defense35.dbr</v>
      </c>
      <c r="U37" t="str">
        <f t="shared" si="7"/>
        <v>echo augmentSkillName1,records/skillsdefense/battleawareness.dbr,, &gt;&gt; .\items\materia\class0016\Defense35.dbr</v>
      </c>
      <c r="V37" s="5" t="s">
        <v>36</v>
      </c>
      <c r="W37" t="str">
        <f t="shared" si="8"/>
        <v>echo lootName35,DAIL/items/materia/class0016/Defense35.dbr, &gt;&gt; .\items\loottables\dailoneskill0016.dbr</v>
      </c>
      <c r="X37" t="str">
        <f t="shared" si="8"/>
        <v>echo lootWeight35,1, &gt;&gt; .\items\loottables\dailoneskill0016.dbr</v>
      </c>
      <c r="Y37" s="5" t="s">
        <v>36</v>
      </c>
      <c r="Z37" t="str">
        <f t="shared" si="9"/>
        <v xml:space="preserve"> dailCompDescDefense35=^pDefense's Gift of DAIL</v>
      </c>
      <c r="AA37" t="str">
        <f t="shared" si="17"/>
        <v>dailCompTextDefense35=^oThis feels warm to the touch, almost familiar ^w(This component only fits into the Medal Slot)</v>
      </c>
      <c r="AB37" s="5" t="s">
        <v>36</v>
      </c>
      <c r="AH37">
        <f t="shared" si="19"/>
        <v>32</v>
      </c>
      <c r="AI37">
        <f t="shared" si="13"/>
        <v>28</v>
      </c>
      <c r="AJ37">
        <f t="shared" si="18"/>
        <v>3</v>
      </c>
    </row>
    <row r="38" spans="1:36" x14ac:dyDescent="0.25">
      <c r="A38" s="5" t="s">
        <v>39</v>
      </c>
      <c r="B38" s="5" t="s">
        <v>30</v>
      </c>
      <c r="C38" s="5" t="str">
        <f t="shared" si="0"/>
        <v>description,dailCompDescDefense36,</v>
      </c>
      <c r="D38" s="5" t="str">
        <f t="shared" si="2"/>
        <v>itemText,dailCompTextDefense36,</v>
      </c>
      <c r="E38" s="5" t="str">
        <f t="shared" si="14"/>
        <v>augmentSkillLevel1,3,</v>
      </c>
      <c r="F38" s="5" t="str">
        <f t="shared" si="15"/>
        <v>augmentSkillName1,records/skillsdefense/battleawareness_focus.dbr,,</v>
      </c>
      <c r="G38" s="7">
        <f t="shared" si="10"/>
        <v>36</v>
      </c>
      <c r="H38" s="8" t="str">
        <f t="shared" si="11"/>
        <v>Defense</v>
      </c>
      <c r="I38" s="3" t="s">
        <v>586</v>
      </c>
      <c r="J38" s="8" t="str">
        <f t="shared" si="21"/>
        <v>class0016</v>
      </c>
      <c r="K38" s="8" t="str">
        <f t="shared" si="21"/>
        <v>dailoneskill0016</v>
      </c>
      <c r="L38" s="5" t="str">
        <f t="shared" si="4"/>
        <v>lootName36,DAIL/items/materia/class0016/Defense36.dbr,</v>
      </c>
      <c r="M38" s="5" t="str">
        <f t="shared" si="5"/>
        <v>lootWeight36,1,</v>
      </c>
      <c r="N38" t="str">
        <f t="shared" si="6"/>
        <v>3</v>
      </c>
      <c r="O38" t="str">
        <f t="shared" si="16"/>
        <v>copy .\dail_base3.dbr .\items\materia\class0016\Defense36.dbr /y</v>
      </c>
      <c r="P38" t="str">
        <f t="shared" si="7"/>
        <v>echo relicBitmap,items/craftingparts/components/component_a52_bristlyfur_b.tex, &gt;&gt; .\items\materia\class0016\Defense36.dbr</v>
      </c>
      <c r="Q38" t="str">
        <f t="shared" si="7"/>
        <v>echo itemCost,500000, &gt;&gt; .\items\materia\class0016\Defense36.dbr</v>
      </c>
      <c r="R38" t="str">
        <f t="shared" si="7"/>
        <v>echo description,dailCompDescDefense36, &gt;&gt; .\items\materia\class0016\Defense36.dbr</v>
      </c>
      <c r="S38" t="str">
        <f t="shared" si="7"/>
        <v>echo itemText,dailCompTextDefense36, &gt;&gt; .\items\materia\class0016\Defense36.dbr</v>
      </c>
      <c r="T38" t="str">
        <f t="shared" si="7"/>
        <v>echo augmentSkillLevel1,3, &gt;&gt; .\items\materia\class0016\Defense36.dbr</v>
      </c>
      <c r="U38" t="str">
        <f t="shared" si="7"/>
        <v>echo augmentSkillName1,records/skillsdefense/battleawareness_focus.dbr,, &gt;&gt; .\items\materia\class0016\Defense36.dbr</v>
      </c>
      <c r="V38" s="5" t="s">
        <v>36</v>
      </c>
      <c r="W38" t="str">
        <f t="shared" si="8"/>
        <v>echo lootName36,DAIL/items/materia/class0016/Defense36.dbr, &gt;&gt; .\items\loottables\dailoneskill0016.dbr</v>
      </c>
      <c r="X38" t="str">
        <f t="shared" si="8"/>
        <v>echo lootWeight36,1, &gt;&gt; .\items\loottables\dailoneskill0016.dbr</v>
      </c>
      <c r="Y38" s="5" t="s">
        <v>36</v>
      </c>
      <c r="Z38" t="str">
        <f t="shared" si="9"/>
        <v xml:space="preserve"> dailCompDescDefense36=^pDefense's Gift of DAIL</v>
      </c>
      <c r="AA38" t="str">
        <f t="shared" si="17"/>
        <v>dailCompTextDefense36=^oThis feels warm to the touch, almost familiar ^w(This component only fits into the Medal Slot)</v>
      </c>
      <c r="AB38" s="5" t="s">
        <v>36</v>
      </c>
      <c r="AH38">
        <f t="shared" si="19"/>
        <v>33</v>
      </c>
      <c r="AI38">
        <f t="shared" si="13"/>
        <v>34</v>
      </c>
      <c r="AJ38">
        <f t="shared" si="18"/>
        <v>3</v>
      </c>
    </row>
    <row r="39" spans="1:36" x14ac:dyDescent="0.25">
      <c r="A39" s="5" t="s">
        <v>39</v>
      </c>
      <c r="B39" s="5" t="s">
        <v>30</v>
      </c>
      <c r="C39" s="5" t="str">
        <f t="shared" si="0"/>
        <v>description,dailCompDescDefense37,</v>
      </c>
      <c r="D39" s="5" t="str">
        <f t="shared" si="2"/>
        <v>itemText,dailCompTextDefense37,</v>
      </c>
      <c r="E39" s="5" t="str">
        <f t="shared" si="14"/>
        <v>augmentSkillLevel1,3,</v>
      </c>
      <c r="F39" s="5" t="str">
        <f t="shared" si="15"/>
        <v>augmentSkillName1,records/skillsdefense/battleawareness_ironwill.dbr,,</v>
      </c>
      <c r="G39" s="7">
        <f t="shared" si="10"/>
        <v>37</v>
      </c>
      <c r="H39" s="8" t="str">
        <f t="shared" si="11"/>
        <v>Defense</v>
      </c>
      <c r="I39" s="3" t="s">
        <v>587</v>
      </c>
      <c r="J39" s="8" t="str">
        <f t="shared" si="21"/>
        <v>class0016</v>
      </c>
      <c r="K39" s="8" t="str">
        <f t="shared" si="21"/>
        <v>dailoneskill0016</v>
      </c>
      <c r="L39" s="5" t="str">
        <f t="shared" si="4"/>
        <v>lootName37,DAIL/items/materia/class0016/Defense37.dbr,</v>
      </c>
      <c r="M39" s="5" t="str">
        <f t="shared" si="5"/>
        <v>lootWeight37,1,</v>
      </c>
      <c r="N39" t="str">
        <f t="shared" si="6"/>
        <v>3</v>
      </c>
      <c r="O39" t="str">
        <f t="shared" si="16"/>
        <v>copy .\dail_base3.dbr .\items\materia\class0016\Defense37.dbr /y</v>
      </c>
      <c r="P39" t="str">
        <f t="shared" si="7"/>
        <v>echo relicBitmap,items/craftingparts/components/component_a52_bristlyfur_b.tex, &gt;&gt; .\items\materia\class0016\Defense37.dbr</v>
      </c>
      <c r="Q39" t="str">
        <f t="shared" si="7"/>
        <v>echo itemCost,500000, &gt;&gt; .\items\materia\class0016\Defense37.dbr</v>
      </c>
      <c r="R39" t="str">
        <f t="shared" si="7"/>
        <v>echo description,dailCompDescDefense37, &gt;&gt; .\items\materia\class0016\Defense37.dbr</v>
      </c>
      <c r="S39" t="str">
        <f t="shared" si="7"/>
        <v>echo itemText,dailCompTextDefense37, &gt;&gt; .\items\materia\class0016\Defense37.dbr</v>
      </c>
      <c r="T39" t="str">
        <f t="shared" si="7"/>
        <v>echo augmentSkillLevel1,3, &gt;&gt; .\items\materia\class0016\Defense37.dbr</v>
      </c>
      <c r="U39" t="str">
        <f t="shared" si="7"/>
        <v>echo augmentSkillName1,records/skillsdefense/battleawareness_ironwill.dbr,, &gt;&gt; .\items\materia\class0016\Defense37.dbr</v>
      </c>
      <c r="V39" s="5" t="s">
        <v>36</v>
      </c>
      <c r="W39" t="str">
        <f t="shared" si="8"/>
        <v>echo lootName37,DAIL/items/materia/class0016/Defense37.dbr, &gt;&gt; .\items\loottables\dailoneskill0016.dbr</v>
      </c>
      <c r="X39" t="str">
        <f t="shared" si="8"/>
        <v>echo lootWeight37,1, &gt;&gt; .\items\loottables\dailoneskill0016.dbr</v>
      </c>
      <c r="Y39" s="5" t="s">
        <v>36</v>
      </c>
      <c r="Z39" t="str">
        <f t="shared" si="9"/>
        <v xml:space="preserve"> dailCompDescDefense37=^pDefense's Gift of DAIL</v>
      </c>
      <c r="AA39" t="str">
        <f t="shared" si="17"/>
        <v>dailCompTextDefense37=^oThis feels warm to the touch, almost familiar ^w(This component only fits into the Medal Slot)</v>
      </c>
      <c r="AB39" s="5" t="s">
        <v>36</v>
      </c>
      <c r="AH39">
        <f t="shared" si="19"/>
        <v>34</v>
      </c>
      <c r="AI39">
        <f t="shared" si="13"/>
        <v>37</v>
      </c>
      <c r="AJ39">
        <f t="shared" si="18"/>
        <v>3</v>
      </c>
    </row>
    <row r="40" spans="1:36" x14ac:dyDescent="0.25">
      <c r="A40" s="5" t="s">
        <v>39</v>
      </c>
      <c r="B40" s="5" t="s">
        <v>30</v>
      </c>
      <c r="C40" s="5" t="str">
        <f t="shared" si="0"/>
        <v>description,dailCompDescDefense38,</v>
      </c>
      <c r="D40" s="5" t="str">
        <f t="shared" si="2"/>
        <v>itemText,dailCompTextDefense38,</v>
      </c>
      <c r="E40" s="5" t="str">
        <f t="shared" si="14"/>
        <v>augmentSkillLevel1,3,</v>
      </c>
      <c r="F40" s="5" t="str">
        <f t="shared" si="15"/>
        <v>augmentSkillName1,records/skillsdefense/quickrecovery.dbr,,</v>
      </c>
      <c r="G40" s="7">
        <f t="shared" si="10"/>
        <v>38</v>
      </c>
      <c r="H40" s="8" t="str">
        <f t="shared" si="11"/>
        <v>Defense</v>
      </c>
      <c r="I40" s="3" t="s">
        <v>588</v>
      </c>
      <c r="J40" s="8" t="str">
        <f t="shared" si="21"/>
        <v>class0016</v>
      </c>
      <c r="K40" s="8" t="str">
        <f t="shared" si="21"/>
        <v>dailoneskill0016</v>
      </c>
      <c r="L40" s="5" t="str">
        <f t="shared" si="4"/>
        <v>lootName38,DAIL/items/materia/class0016/Defense38.dbr,</v>
      </c>
      <c r="M40" s="5" t="str">
        <f t="shared" si="5"/>
        <v>lootWeight38,1,</v>
      </c>
      <c r="N40" t="str">
        <f t="shared" si="6"/>
        <v>3</v>
      </c>
      <c r="O40" t="str">
        <f t="shared" si="16"/>
        <v>copy .\dail_base3.dbr .\items\materia\class0016\Defense38.dbr /y</v>
      </c>
      <c r="P40" t="str">
        <f t="shared" si="7"/>
        <v>echo relicBitmap,items/craftingparts/components/component_a52_bristlyfur_b.tex, &gt;&gt; .\items\materia\class0016\Defense38.dbr</v>
      </c>
      <c r="Q40" t="str">
        <f t="shared" si="7"/>
        <v>echo itemCost,500000, &gt;&gt; .\items\materia\class0016\Defense38.dbr</v>
      </c>
      <c r="R40" t="str">
        <f t="shared" si="7"/>
        <v>echo description,dailCompDescDefense38, &gt;&gt; .\items\materia\class0016\Defense38.dbr</v>
      </c>
      <c r="S40" t="str">
        <f t="shared" si="7"/>
        <v>echo itemText,dailCompTextDefense38, &gt;&gt; .\items\materia\class0016\Defense38.dbr</v>
      </c>
      <c r="T40" t="str">
        <f t="shared" si="7"/>
        <v>echo augmentSkillLevel1,3, &gt;&gt; .\items\materia\class0016\Defense38.dbr</v>
      </c>
      <c r="U40" t="str">
        <f t="shared" si="7"/>
        <v>echo augmentSkillName1,records/skillsdefense/quickrecovery.dbr,, &gt;&gt; .\items\materia\class0016\Defense38.dbr</v>
      </c>
      <c r="V40" s="5" t="s">
        <v>36</v>
      </c>
      <c r="W40" t="str">
        <f t="shared" si="8"/>
        <v>echo lootName38,DAIL/items/materia/class0016/Defense38.dbr, &gt;&gt; .\items\loottables\dailoneskill0016.dbr</v>
      </c>
      <c r="X40" t="str">
        <f t="shared" si="8"/>
        <v>echo lootWeight38,1, &gt;&gt; .\items\loottables\dailoneskill0016.dbr</v>
      </c>
      <c r="Y40" s="5" t="s">
        <v>36</v>
      </c>
      <c r="Z40" t="str">
        <f t="shared" si="9"/>
        <v xml:space="preserve"> dailCompDescDefense38=^pDefense's Gift of DAIL</v>
      </c>
      <c r="AA40" t="str">
        <f t="shared" si="17"/>
        <v>dailCompTextDefense38=^oThis feels warm to the touch, almost familiar ^w(This component only fits into the Medal Slot)</v>
      </c>
      <c r="AB40" s="5" t="s">
        <v>36</v>
      </c>
      <c r="AH40">
        <f t="shared" si="19"/>
        <v>35</v>
      </c>
      <c r="AI40">
        <f t="shared" si="13"/>
        <v>26</v>
      </c>
      <c r="AJ40">
        <f t="shared" si="18"/>
        <v>3</v>
      </c>
    </row>
    <row r="41" spans="1:36" x14ac:dyDescent="0.25">
      <c r="A41" s="5" t="s">
        <v>39</v>
      </c>
      <c r="B41" s="5" t="s">
        <v>30</v>
      </c>
      <c r="C41" s="5" t="str">
        <f t="shared" si="0"/>
        <v>description,dailCompDescDefense39,</v>
      </c>
      <c r="D41" s="5" t="str">
        <f t="shared" si="2"/>
        <v>itemText,dailCompTextDefense39,</v>
      </c>
      <c r="E41" s="5" t="str">
        <f t="shared" si="14"/>
        <v>augmentSkillLevel1,3,</v>
      </c>
      <c r="F41" s="5" t="str">
        <f t="shared" si="15"/>
        <v>augmentSkillName1,records/skillsdefense/batter.dbr,,</v>
      </c>
      <c r="G41" s="7">
        <f t="shared" si="10"/>
        <v>39</v>
      </c>
      <c r="H41" s="8" t="str">
        <f t="shared" si="11"/>
        <v>Defense</v>
      </c>
      <c r="I41" s="3" t="s">
        <v>589</v>
      </c>
      <c r="J41" s="8" t="str">
        <f t="shared" si="21"/>
        <v>class0016</v>
      </c>
      <c r="K41" s="8" t="str">
        <f t="shared" si="21"/>
        <v>dailoneskill0016</v>
      </c>
      <c r="L41" s="5" t="str">
        <f t="shared" si="4"/>
        <v>lootName39,DAIL/items/materia/class0016/Defense39.dbr,</v>
      </c>
      <c r="M41" s="5" t="str">
        <f t="shared" si="5"/>
        <v>lootWeight39,1,</v>
      </c>
      <c r="N41" t="str">
        <f t="shared" si="6"/>
        <v>3</v>
      </c>
      <c r="O41" t="str">
        <f t="shared" si="16"/>
        <v>copy .\dail_base3.dbr .\items\materia\class0016\Defense39.dbr /y</v>
      </c>
      <c r="P41" t="str">
        <f t="shared" si="7"/>
        <v>echo relicBitmap,items/craftingparts/components/component_a52_bristlyfur_b.tex, &gt;&gt; .\items\materia\class0016\Defense39.dbr</v>
      </c>
      <c r="Q41" t="str">
        <f t="shared" si="7"/>
        <v>echo itemCost,500000, &gt;&gt; .\items\materia\class0016\Defense39.dbr</v>
      </c>
      <c r="R41" t="str">
        <f t="shared" si="7"/>
        <v>echo description,dailCompDescDefense39, &gt;&gt; .\items\materia\class0016\Defense39.dbr</v>
      </c>
      <c r="S41" t="str">
        <f t="shared" si="7"/>
        <v>echo itemText,dailCompTextDefense39, &gt;&gt; .\items\materia\class0016\Defense39.dbr</v>
      </c>
      <c r="T41" t="str">
        <f t="shared" si="7"/>
        <v>echo augmentSkillLevel1,3, &gt;&gt; .\items\materia\class0016\Defense39.dbr</v>
      </c>
      <c r="U41" t="str">
        <f t="shared" si="7"/>
        <v>echo augmentSkillName1,records/skillsdefense/batter.dbr,, &gt;&gt; .\items\materia\class0016\Defense39.dbr</v>
      </c>
      <c r="V41" s="5" t="s">
        <v>36</v>
      </c>
      <c r="W41" t="str">
        <f t="shared" si="8"/>
        <v>echo lootName39,DAIL/items/materia/class0016/Defense39.dbr, &gt;&gt; .\items\loottables\dailoneskill0016.dbr</v>
      </c>
      <c r="X41" t="str">
        <f t="shared" si="8"/>
        <v>echo lootWeight39,1, &gt;&gt; .\items\loottables\dailoneskill0016.dbr</v>
      </c>
      <c r="Y41" s="5" t="s">
        <v>36</v>
      </c>
      <c r="Z41" t="str">
        <f t="shared" si="9"/>
        <v xml:space="preserve"> dailCompDescDefense39=^pDefense's Gift of DAIL</v>
      </c>
      <c r="AA41" t="str">
        <f t="shared" si="17"/>
        <v>dailCompTextDefense39=^oThis feels warm to the touch, almost familiar ^w(This component only fits into the Medal Slot)</v>
      </c>
      <c r="AB41" s="5" t="s">
        <v>36</v>
      </c>
      <c r="AH41">
        <f t="shared" si="19"/>
        <v>36</v>
      </c>
      <c r="AI41">
        <f t="shared" si="13"/>
        <v>19</v>
      </c>
      <c r="AJ41">
        <f t="shared" si="18"/>
        <v>3</v>
      </c>
    </row>
    <row r="42" spans="1:36" x14ac:dyDescent="0.25">
      <c r="A42" s="5" t="s">
        <v>39</v>
      </c>
      <c r="B42" s="5" t="s">
        <v>30</v>
      </c>
      <c r="C42" s="5" t="str">
        <f t="shared" si="0"/>
        <v>description,dailCompDescDefense40,</v>
      </c>
      <c r="D42" s="5" t="str">
        <f t="shared" si="2"/>
        <v>itemText,dailCompTextDefense40,</v>
      </c>
      <c r="E42" s="5" t="str">
        <f t="shared" si="14"/>
        <v>augmentSkillLevel1,3,</v>
      </c>
      <c r="F42" s="5" t="str">
        <f t="shared" si="15"/>
        <v>augmentSkillName1,records/skillsdefense/batter_rendarmor.dbr,,</v>
      </c>
      <c r="G42" s="7">
        <f t="shared" si="10"/>
        <v>40</v>
      </c>
      <c r="H42" s="8" t="str">
        <f t="shared" si="11"/>
        <v>Defense</v>
      </c>
      <c r="I42" s="3" t="s">
        <v>590</v>
      </c>
      <c r="J42" s="8" t="str">
        <f t="shared" si="21"/>
        <v>class0016</v>
      </c>
      <c r="K42" s="8" t="str">
        <f t="shared" si="21"/>
        <v>dailoneskill0016</v>
      </c>
      <c r="L42" s="5" t="str">
        <f t="shared" si="4"/>
        <v>lootName40,DAIL/items/materia/class0016/Defense40.dbr,</v>
      </c>
      <c r="M42" s="5" t="str">
        <f t="shared" si="5"/>
        <v>lootWeight40,1,</v>
      </c>
      <c r="N42" t="str">
        <f t="shared" si="6"/>
        <v>3</v>
      </c>
      <c r="O42" t="str">
        <f t="shared" si="16"/>
        <v>copy .\dail_base3.dbr .\items\materia\class0016\Defense40.dbr /y</v>
      </c>
      <c r="P42" t="str">
        <f t="shared" si="7"/>
        <v>echo relicBitmap,items/craftingparts/components/component_a52_bristlyfur_b.tex, &gt;&gt; .\items\materia\class0016\Defense40.dbr</v>
      </c>
      <c r="Q42" t="str">
        <f t="shared" si="7"/>
        <v>echo itemCost,500000, &gt;&gt; .\items\materia\class0016\Defense40.dbr</v>
      </c>
      <c r="R42" t="str">
        <f t="shared" si="7"/>
        <v>echo description,dailCompDescDefense40, &gt;&gt; .\items\materia\class0016\Defense40.dbr</v>
      </c>
      <c r="S42" t="str">
        <f t="shared" si="7"/>
        <v>echo itemText,dailCompTextDefense40, &gt;&gt; .\items\materia\class0016\Defense40.dbr</v>
      </c>
      <c r="T42" t="str">
        <f t="shared" si="7"/>
        <v>echo augmentSkillLevel1,3, &gt;&gt; .\items\materia\class0016\Defense40.dbr</v>
      </c>
      <c r="U42" t="str">
        <f t="shared" si="7"/>
        <v>echo augmentSkillName1,records/skillsdefense/batter_rendarmor.dbr,, &gt;&gt; .\items\materia\class0016\Defense40.dbr</v>
      </c>
      <c r="V42" s="5" t="s">
        <v>36</v>
      </c>
      <c r="W42" t="str">
        <f t="shared" si="8"/>
        <v>echo lootName40,DAIL/items/materia/class0016/Defense40.dbr, &gt;&gt; .\items\loottables\dailoneskill0016.dbr</v>
      </c>
      <c r="X42" t="str">
        <f t="shared" si="8"/>
        <v>echo lootWeight40,1, &gt;&gt; .\items\loottables\dailoneskill0016.dbr</v>
      </c>
      <c r="Y42" s="5" t="s">
        <v>36</v>
      </c>
      <c r="Z42" t="str">
        <f t="shared" si="9"/>
        <v xml:space="preserve"> dailCompDescDefense40=^pDefense's Gift of DAIL</v>
      </c>
      <c r="AA42" t="str">
        <f t="shared" si="17"/>
        <v>dailCompTextDefense40=^oThis feels warm to the touch, almost familiar ^w(This component only fits into the Medal Slot)</v>
      </c>
      <c r="AB42" s="5" t="s">
        <v>36</v>
      </c>
      <c r="AH42">
        <f t="shared" si="19"/>
        <v>37</v>
      </c>
      <c r="AI42">
        <f t="shared" si="13"/>
        <v>29</v>
      </c>
      <c r="AJ42">
        <f t="shared" si="18"/>
        <v>3</v>
      </c>
    </row>
    <row r="43" spans="1:36" x14ac:dyDescent="0.25">
      <c r="A43" s="5" t="s">
        <v>39</v>
      </c>
      <c r="B43" s="5" t="s">
        <v>30</v>
      </c>
      <c r="C43" s="5" t="str">
        <f t="shared" si="0"/>
        <v>description,dailCompDescDefense41,</v>
      </c>
      <c r="D43" s="5" t="str">
        <f t="shared" si="2"/>
        <v>itemText,dailCompTextDefense41,</v>
      </c>
      <c r="E43" s="5" t="str">
        <f t="shared" si="14"/>
        <v>augmentSkillLevel1,3,</v>
      </c>
      <c r="F43" s="5" t="str">
        <f t="shared" si="15"/>
        <v>augmentSkillName1,records/skillsdefense/shieldcharge.dbr,,</v>
      </c>
      <c r="G43" s="7">
        <f t="shared" si="10"/>
        <v>41</v>
      </c>
      <c r="H43" s="8" t="str">
        <f t="shared" si="11"/>
        <v>Defense</v>
      </c>
      <c r="I43" s="3" t="s">
        <v>591</v>
      </c>
      <c r="J43" s="8" t="str">
        <f t="shared" si="21"/>
        <v>class0016</v>
      </c>
      <c r="K43" s="8" t="str">
        <f t="shared" si="21"/>
        <v>dailoneskill0016</v>
      </c>
      <c r="L43" s="5" t="str">
        <f t="shared" si="4"/>
        <v>lootName41,DAIL/items/materia/class0016/Defense41.dbr,</v>
      </c>
      <c r="M43" s="5" t="str">
        <f t="shared" si="5"/>
        <v>lootWeight41,1,</v>
      </c>
      <c r="N43" t="str">
        <f t="shared" si="6"/>
        <v>3</v>
      </c>
      <c r="O43" t="str">
        <f t="shared" si="16"/>
        <v>copy .\dail_base3.dbr .\items\materia\class0016\Defense41.dbr /y</v>
      </c>
      <c r="P43" t="str">
        <f t="shared" si="7"/>
        <v>echo relicBitmap,items/craftingparts/components/component_a52_bristlyfur_b.tex, &gt;&gt; .\items\materia\class0016\Defense41.dbr</v>
      </c>
      <c r="Q43" t="str">
        <f t="shared" si="7"/>
        <v>echo itemCost,500000, &gt;&gt; .\items\materia\class0016\Defense41.dbr</v>
      </c>
      <c r="R43" t="str">
        <f t="shared" si="7"/>
        <v>echo description,dailCompDescDefense41, &gt;&gt; .\items\materia\class0016\Defense41.dbr</v>
      </c>
      <c r="S43" t="str">
        <f t="shared" si="7"/>
        <v>echo itemText,dailCompTextDefense41, &gt;&gt; .\items\materia\class0016\Defense41.dbr</v>
      </c>
      <c r="T43" t="str">
        <f t="shared" si="7"/>
        <v>echo augmentSkillLevel1,3, &gt;&gt; .\items\materia\class0016\Defense41.dbr</v>
      </c>
      <c r="U43" t="str">
        <f t="shared" si="7"/>
        <v>echo augmentSkillName1,records/skillsdefense/shieldcharge.dbr,, &gt;&gt; .\items\materia\class0016\Defense41.dbr</v>
      </c>
      <c r="V43" s="5" t="s">
        <v>36</v>
      </c>
      <c r="W43" t="str">
        <f t="shared" si="8"/>
        <v>echo lootName41,DAIL/items/materia/class0016/Defense41.dbr, &gt;&gt; .\items\loottables\dailoneskill0016.dbr</v>
      </c>
      <c r="X43" t="str">
        <f t="shared" si="8"/>
        <v>echo lootWeight41,1, &gt;&gt; .\items\loottables\dailoneskill0016.dbr</v>
      </c>
      <c r="Y43" s="5" t="s">
        <v>36</v>
      </c>
      <c r="Z43" t="str">
        <f t="shared" si="9"/>
        <v xml:space="preserve"> dailCompDescDefense41=^pDefense's Gift of DAIL</v>
      </c>
      <c r="AA43" t="str">
        <f t="shared" si="17"/>
        <v>dailCompTextDefense41=^oThis feels warm to the touch, almost familiar ^w(This component only fits into the Medal Slot)</v>
      </c>
      <c r="AB43" s="5" t="s">
        <v>36</v>
      </c>
      <c r="AH43">
        <f t="shared" si="19"/>
        <v>38</v>
      </c>
      <c r="AI43">
        <f t="shared" si="13"/>
        <v>25</v>
      </c>
      <c r="AJ43">
        <f t="shared" si="18"/>
        <v>3</v>
      </c>
    </row>
    <row r="44" spans="1:36" x14ac:dyDescent="0.25">
      <c r="A44" s="5" t="s">
        <v>39</v>
      </c>
      <c r="B44" s="5" t="s">
        <v>30</v>
      </c>
      <c r="C44" s="5" t="str">
        <f t="shared" si="0"/>
        <v>description,dailCompDescDefense42,</v>
      </c>
      <c r="D44" s="5" t="str">
        <f t="shared" si="2"/>
        <v>itemText,dailCompTextDefense42,</v>
      </c>
      <c r="E44" s="5" t="str">
        <f t="shared" si="14"/>
        <v>augmentSkillLevel1,3,</v>
      </c>
      <c r="F44" s="5" t="str">
        <f t="shared" si="15"/>
        <v>augmentSkillName1,records/skillsdefense/shieldcharge_disruption.dbr,,</v>
      </c>
      <c r="G44" s="7">
        <f t="shared" si="10"/>
        <v>42</v>
      </c>
      <c r="H44" s="8" t="str">
        <f t="shared" si="11"/>
        <v>Defense</v>
      </c>
      <c r="I44" s="3" t="s">
        <v>592</v>
      </c>
      <c r="J44" s="8" t="str">
        <f t="shared" si="21"/>
        <v>class0016</v>
      </c>
      <c r="K44" s="8" t="str">
        <f t="shared" si="21"/>
        <v>dailoneskill0016</v>
      </c>
      <c r="L44" s="5" t="str">
        <f t="shared" si="4"/>
        <v>lootName42,DAIL/items/materia/class0016/Defense42.dbr,</v>
      </c>
      <c r="M44" s="5" t="str">
        <f t="shared" si="5"/>
        <v>lootWeight42,1,</v>
      </c>
      <c r="N44" t="str">
        <f t="shared" si="6"/>
        <v>3</v>
      </c>
      <c r="O44" t="str">
        <f t="shared" si="16"/>
        <v>copy .\dail_base3.dbr .\items\materia\class0016\Defense42.dbr /y</v>
      </c>
      <c r="P44" t="str">
        <f t="shared" si="7"/>
        <v>echo relicBitmap,items/craftingparts/components/component_a52_bristlyfur_b.tex, &gt;&gt; .\items\materia\class0016\Defense42.dbr</v>
      </c>
      <c r="Q44" t="str">
        <f t="shared" si="7"/>
        <v>echo itemCost,500000, &gt;&gt; .\items\materia\class0016\Defense42.dbr</v>
      </c>
      <c r="R44" t="str">
        <f t="shared" si="7"/>
        <v>echo description,dailCompDescDefense42, &gt;&gt; .\items\materia\class0016\Defense42.dbr</v>
      </c>
      <c r="S44" t="str">
        <f t="shared" si="7"/>
        <v>echo itemText,dailCompTextDefense42, &gt;&gt; .\items\materia\class0016\Defense42.dbr</v>
      </c>
      <c r="T44" t="str">
        <f t="shared" si="7"/>
        <v>echo augmentSkillLevel1,3, &gt;&gt; .\items\materia\class0016\Defense42.dbr</v>
      </c>
      <c r="U44" t="str">
        <f t="shared" si="7"/>
        <v>echo augmentSkillName1,records/skillsdefense/shieldcharge_disruption.dbr,, &gt;&gt; .\items\materia\class0016\Defense42.dbr</v>
      </c>
      <c r="V44" s="5" t="s">
        <v>36</v>
      </c>
      <c r="W44" t="str">
        <f t="shared" si="8"/>
        <v>echo lootName42,DAIL/items/materia/class0016/Defense42.dbr, &gt;&gt; .\items\loottables\dailoneskill0016.dbr</v>
      </c>
      <c r="X44" t="str">
        <f t="shared" si="8"/>
        <v>echo lootWeight42,1, &gt;&gt; .\items\loottables\dailoneskill0016.dbr</v>
      </c>
      <c r="Y44" s="5" t="s">
        <v>36</v>
      </c>
      <c r="Z44" t="str">
        <f t="shared" si="9"/>
        <v xml:space="preserve"> dailCompDescDefense42=^pDefense's Gift of DAIL</v>
      </c>
      <c r="AA44" t="str">
        <f t="shared" si="17"/>
        <v>dailCompTextDefense42=^oThis feels warm to the touch, almost familiar ^w(This component only fits into the Medal Slot)</v>
      </c>
      <c r="AB44" s="5" t="s">
        <v>36</v>
      </c>
      <c r="AH44">
        <f t="shared" si="19"/>
        <v>39</v>
      </c>
      <c r="AI44">
        <f t="shared" si="13"/>
        <v>36</v>
      </c>
      <c r="AJ44">
        <f t="shared" si="18"/>
        <v>3</v>
      </c>
    </row>
    <row r="45" spans="1:36" x14ac:dyDescent="0.25">
      <c r="A45" s="5" t="s">
        <v>39</v>
      </c>
      <c r="B45" s="5" t="s">
        <v>30</v>
      </c>
      <c r="C45" s="5" t="str">
        <f t="shared" si="0"/>
        <v>description,dailCompDescDefense43,</v>
      </c>
      <c r="D45" s="5" t="str">
        <f t="shared" si="2"/>
        <v>itemText,dailCompTextDefense43,</v>
      </c>
      <c r="E45" s="5" t="str">
        <f t="shared" si="14"/>
        <v>augmentSkillLevel1,5,</v>
      </c>
      <c r="F45" s="5" t="str">
        <f t="shared" si="15"/>
        <v>augmentSkillName1,records/skillsdefense/concussiveblow.dbr,,</v>
      </c>
      <c r="G45" s="7">
        <f t="shared" si="10"/>
        <v>43</v>
      </c>
      <c r="H45" s="8" t="str">
        <f t="shared" si="11"/>
        <v>Defense</v>
      </c>
      <c r="I45" s="3" t="s">
        <v>593</v>
      </c>
      <c r="J45" s="8" t="str">
        <f t="shared" si="21"/>
        <v>class0016</v>
      </c>
      <c r="K45" s="8" t="str">
        <f t="shared" si="21"/>
        <v>dailoneskill0016</v>
      </c>
      <c r="L45" s="5" t="str">
        <f t="shared" si="4"/>
        <v>lootName43,DAIL/items/materia/class0016/Defense43.dbr,</v>
      </c>
      <c r="M45" s="5" t="str">
        <f t="shared" si="5"/>
        <v>lootWeight43,1,</v>
      </c>
      <c r="N45" t="str">
        <f t="shared" si="6"/>
        <v>5</v>
      </c>
      <c r="O45" t="str">
        <f t="shared" si="16"/>
        <v>copy .\dail_base3.dbr .\items\materia\class0016\Defense43.dbr /y</v>
      </c>
      <c r="P45" t="str">
        <f t="shared" si="7"/>
        <v>echo relicBitmap,items/craftingparts/components/component_a52_bristlyfur_b.tex, &gt;&gt; .\items\materia\class0016\Defense43.dbr</v>
      </c>
      <c r="Q45" t="str">
        <f t="shared" si="7"/>
        <v>echo itemCost,500000, &gt;&gt; .\items\materia\class0016\Defense43.dbr</v>
      </c>
      <c r="R45" t="str">
        <f t="shared" si="7"/>
        <v>echo description,dailCompDescDefense43, &gt;&gt; .\items\materia\class0016\Defense43.dbr</v>
      </c>
      <c r="S45" t="str">
        <f t="shared" si="7"/>
        <v>echo itemText,dailCompTextDefense43, &gt;&gt; .\items\materia\class0016\Defense43.dbr</v>
      </c>
      <c r="T45" t="str">
        <f t="shared" si="7"/>
        <v>echo augmentSkillLevel1,5, &gt;&gt; .\items\materia\class0016\Defense43.dbr</v>
      </c>
      <c r="U45" t="str">
        <f t="shared" si="7"/>
        <v>echo augmentSkillName1,records/skillsdefense/concussiveblow.dbr,, &gt;&gt; .\items\materia\class0016\Defense43.dbr</v>
      </c>
      <c r="V45" s="5" t="s">
        <v>36</v>
      </c>
      <c r="W45" t="str">
        <f t="shared" si="8"/>
        <v>echo lootName43,DAIL/items/materia/class0016/Defense43.dbr, &gt;&gt; .\items\loottables\dailoneskill0016.dbr</v>
      </c>
      <c r="X45" t="str">
        <f t="shared" si="8"/>
        <v>echo lootWeight43,1, &gt;&gt; .\items\loottables\dailoneskill0016.dbr</v>
      </c>
      <c r="Y45" s="5" t="s">
        <v>36</v>
      </c>
      <c r="Z45" t="str">
        <f t="shared" si="9"/>
        <v xml:space="preserve"> dailCompDescDefense43=^pDefense's Gift of DAIL</v>
      </c>
      <c r="AA45" t="str">
        <f t="shared" si="17"/>
        <v>dailCompTextDefense43=^oThis feels warm to the touch, almost familiar ^w(This component only fits into the Medal Slot)</v>
      </c>
      <c r="AB45" s="5" t="s">
        <v>36</v>
      </c>
      <c r="AH45">
        <f t="shared" si="19"/>
        <v>40</v>
      </c>
      <c r="AI45">
        <f t="shared" si="13"/>
        <v>27</v>
      </c>
      <c r="AJ45">
        <f t="shared" si="18"/>
        <v>5</v>
      </c>
    </row>
    <row r="46" spans="1:36" x14ac:dyDescent="0.25">
      <c r="A46" s="5" t="s">
        <v>39</v>
      </c>
      <c r="B46" s="5" t="s">
        <v>30</v>
      </c>
      <c r="C46" s="5" t="str">
        <f t="shared" si="0"/>
        <v>description,dailCompDescDefense44,</v>
      </c>
      <c r="D46" s="5" t="str">
        <f t="shared" si="2"/>
        <v>itemText,dailCompTextDefense44,</v>
      </c>
      <c r="E46" s="5" t="str">
        <f t="shared" si="14"/>
        <v>augmentSkillLevel1,5,</v>
      </c>
      <c r="F46" s="5" t="str">
        <f t="shared" si="15"/>
        <v>augmentSkillName1,records/skillsdefense/armorhandling.dbr,,</v>
      </c>
      <c r="G46" s="7">
        <f t="shared" si="10"/>
        <v>44</v>
      </c>
      <c r="H46" s="8" t="str">
        <f t="shared" si="11"/>
        <v>Defense</v>
      </c>
      <c r="I46" s="3" t="s">
        <v>574</v>
      </c>
      <c r="J46" s="8" t="str">
        <f t="shared" si="21"/>
        <v>class0016</v>
      </c>
      <c r="K46" s="8" t="str">
        <f t="shared" si="21"/>
        <v>dailoneskill0016</v>
      </c>
      <c r="L46" s="5" t="str">
        <f t="shared" si="4"/>
        <v>lootName44,DAIL/items/materia/class0016/Defense44.dbr,</v>
      </c>
      <c r="M46" s="5" t="str">
        <f t="shared" si="5"/>
        <v>lootWeight44,1,</v>
      </c>
      <c r="N46" t="str">
        <f t="shared" si="6"/>
        <v>5</v>
      </c>
      <c r="O46" t="str">
        <f t="shared" si="16"/>
        <v>copy .\dail_base3.dbr .\items\materia\class0016\Defense44.dbr /y</v>
      </c>
      <c r="P46" t="str">
        <f t="shared" si="7"/>
        <v>echo relicBitmap,items/craftingparts/components/component_a52_bristlyfur_b.tex, &gt;&gt; .\items\materia\class0016\Defense44.dbr</v>
      </c>
      <c r="Q46" t="str">
        <f t="shared" si="7"/>
        <v>echo itemCost,500000, &gt;&gt; .\items\materia\class0016\Defense44.dbr</v>
      </c>
      <c r="R46" t="str">
        <f t="shared" si="7"/>
        <v>echo description,dailCompDescDefense44, &gt;&gt; .\items\materia\class0016\Defense44.dbr</v>
      </c>
      <c r="S46" t="str">
        <f t="shared" si="7"/>
        <v>echo itemText,dailCompTextDefense44, &gt;&gt; .\items\materia\class0016\Defense44.dbr</v>
      </c>
      <c r="T46" t="str">
        <f t="shared" si="7"/>
        <v>echo augmentSkillLevel1,5, &gt;&gt; .\items\materia\class0016\Defense44.dbr</v>
      </c>
      <c r="U46" t="str">
        <f t="shared" si="7"/>
        <v>echo augmentSkillName1,records/skillsdefense/armorhandling.dbr,, &gt;&gt; .\items\materia\class0016\Defense44.dbr</v>
      </c>
      <c r="V46" s="5" t="s">
        <v>36</v>
      </c>
      <c r="W46" t="str">
        <f t="shared" si="8"/>
        <v>echo lootName44,DAIL/items/materia/class0016/Defense44.dbr, &gt;&gt; .\items\loottables\dailoneskill0016.dbr</v>
      </c>
      <c r="X46" t="str">
        <f t="shared" si="8"/>
        <v>echo lootWeight44,1, &gt;&gt; .\items\loottables\dailoneskill0016.dbr</v>
      </c>
      <c r="Y46" s="5" t="s">
        <v>36</v>
      </c>
      <c r="Z46" t="str">
        <f t="shared" si="9"/>
        <v xml:space="preserve"> dailCompDescDefense44=^pDefense's Gift of DAIL</v>
      </c>
      <c r="AA46" t="str">
        <f t="shared" si="17"/>
        <v>dailCompTextDefense44=^oThis feels warm to the touch, almost familiar ^w(This component only fits into the Medal Slot)</v>
      </c>
      <c r="AB46" s="5" t="s">
        <v>36</v>
      </c>
      <c r="AH46">
        <f t="shared" si="19"/>
        <v>41</v>
      </c>
      <c r="AI46">
        <f t="shared" si="13"/>
        <v>26</v>
      </c>
      <c r="AJ46">
        <f t="shared" si="18"/>
        <v>5</v>
      </c>
    </row>
    <row r="47" spans="1:36" x14ac:dyDescent="0.25">
      <c r="A47" s="5" t="s">
        <v>39</v>
      </c>
      <c r="B47" s="5" t="s">
        <v>30</v>
      </c>
      <c r="C47" s="5" t="str">
        <f t="shared" si="0"/>
        <v>description,dailCompDescDefense45,</v>
      </c>
      <c r="D47" s="5" t="str">
        <f t="shared" si="2"/>
        <v>itemText,dailCompTextDefense45,</v>
      </c>
      <c r="E47" s="5" t="str">
        <f t="shared" si="14"/>
        <v>augmentSkillLevel1,5,</v>
      </c>
      <c r="F47" s="5" t="str">
        <f t="shared" si="15"/>
        <v>augmentSkillName1,records/skillsdefense/adrenaline.dbr,,</v>
      </c>
      <c r="G47" s="7">
        <f t="shared" si="10"/>
        <v>45</v>
      </c>
      <c r="H47" s="8" t="str">
        <f t="shared" si="11"/>
        <v>Defense</v>
      </c>
      <c r="I47" s="3" t="s">
        <v>575</v>
      </c>
      <c r="J47" s="8" t="str">
        <f t="shared" si="21"/>
        <v>class0016</v>
      </c>
      <c r="K47" s="8" t="str">
        <f t="shared" si="21"/>
        <v>dailoneskill0016</v>
      </c>
      <c r="L47" s="5" t="str">
        <f t="shared" si="4"/>
        <v>lootName45,DAIL/items/materia/class0016/Defense45.dbr,</v>
      </c>
      <c r="M47" s="5" t="str">
        <f t="shared" si="5"/>
        <v>lootWeight45,1,</v>
      </c>
      <c r="N47" t="str">
        <f t="shared" si="6"/>
        <v>5</v>
      </c>
      <c r="O47" t="str">
        <f t="shared" si="16"/>
        <v>copy .\dail_base3.dbr .\items\materia\class0016\Defense45.dbr /y</v>
      </c>
      <c r="P47" t="str">
        <f t="shared" si="7"/>
        <v>echo relicBitmap,items/craftingparts/components/component_a52_bristlyfur_b.tex, &gt;&gt; .\items\materia\class0016\Defense45.dbr</v>
      </c>
      <c r="Q47" t="str">
        <f t="shared" si="7"/>
        <v>echo itemCost,500000, &gt;&gt; .\items\materia\class0016\Defense45.dbr</v>
      </c>
      <c r="R47" t="str">
        <f t="shared" si="7"/>
        <v>echo description,dailCompDescDefense45, &gt;&gt; .\items\materia\class0016\Defense45.dbr</v>
      </c>
      <c r="S47" t="str">
        <f t="shared" si="7"/>
        <v>echo itemText,dailCompTextDefense45, &gt;&gt; .\items\materia\class0016\Defense45.dbr</v>
      </c>
      <c r="T47" t="str">
        <f t="shared" si="7"/>
        <v>echo augmentSkillLevel1,5, &gt;&gt; .\items\materia\class0016\Defense45.dbr</v>
      </c>
      <c r="U47" t="str">
        <f t="shared" si="7"/>
        <v>echo augmentSkillName1,records/skillsdefense/adrenaline.dbr,, &gt;&gt; .\items\materia\class0016\Defense45.dbr</v>
      </c>
      <c r="V47" s="5" t="s">
        <v>36</v>
      </c>
      <c r="W47" t="str">
        <f t="shared" si="8"/>
        <v>echo lootName45,DAIL/items/materia/class0016/Defense45.dbr, &gt;&gt; .\items\loottables\dailoneskill0016.dbr</v>
      </c>
      <c r="X47" t="str">
        <f t="shared" si="8"/>
        <v>echo lootWeight45,1, &gt;&gt; .\items\loottables\dailoneskill0016.dbr</v>
      </c>
      <c r="Y47" s="5" t="s">
        <v>36</v>
      </c>
      <c r="Z47" t="str">
        <f t="shared" si="9"/>
        <v xml:space="preserve"> dailCompDescDefense45=^pDefense's Gift of DAIL</v>
      </c>
      <c r="AA47" t="str">
        <f t="shared" si="17"/>
        <v>dailCompTextDefense45=^oThis feels warm to the touch, almost familiar ^w(This component only fits into the Medal Slot)</v>
      </c>
      <c r="AB47" s="5" t="s">
        <v>36</v>
      </c>
      <c r="AH47">
        <f t="shared" si="19"/>
        <v>42</v>
      </c>
      <c r="AI47">
        <f t="shared" si="13"/>
        <v>23</v>
      </c>
      <c r="AJ47">
        <f t="shared" si="18"/>
        <v>5</v>
      </c>
    </row>
    <row r="48" spans="1:36" x14ac:dyDescent="0.25">
      <c r="A48" s="5" t="s">
        <v>39</v>
      </c>
      <c r="B48" s="5" t="s">
        <v>30</v>
      </c>
      <c r="C48" s="5" t="str">
        <f t="shared" si="0"/>
        <v>description,dailCompDescDefense46,</v>
      </c>
      <c r="D48" s="5" t="str">
        <f t="shared" si="2"/>
        <v>itemText,dailCompTextDefense46,</v>
      </c>
      <c r="E48" s="5" t="str">
        <f t="shared" si="14"/>
        <v>augmentSkillLevel1,5,</v>
      </c>
      <c r="F48" s="5" t="str">
        <f t="shared" si="15"/>
        <v>augmentSkillName1,records/skillsdefense/adrenaline_resilience.dbr,,</v>
      </c>
      <c r="G48" s="7">
        <f t="shared" si="10"/>
        <v>46</v>
      </c>
      <c r="H48" s="8" t="str">
        <f t="shared" si="11"/>
        <v>Defense</v>
      </c>
      <c r="I48" s="3" t="s">
        <v>576</v>
      </c>
      <c r="J48" s="8" t="str">
        <f t="shared" si="21"/>
        <v>class0016</v>
      </c>
      <c r="K48" s="8" t="str">
        <f t="shared" si="21"/>
        <v>dailoneskill0016</v>
      </c>
      <c r="L48" s="5" t="str">
        <f t="shared" si="4"/>
        <v>lootName46,DAIL/items/materia/class0016/Defense46.dbr,</v>
      </c>
      <c r="M48" s="5" t="str">
        <f t="shared" si="5"/>
        <v>lootWeight46,1,</v>
      </c>
      <c r="N48" t="str">
        <f t="shared" si="6"/>
        <v>5</v>
      </c>
      <c r="O48" t="str">
        <f t="shared" si="16"/>
        <v>copy .\dail_base3.dbr .\items\materia\class0016\Defense46.dbr /y</v>
      </c>
      <c r="P48" t="str">
        <f t="shared" si="7"/>
        <v>echo relicBitmap,items/craftingparts/components/component_a52_bristlyfur_b.tex, &gt;&gt; .\items\materia\class0016\Defense46.dbr</v>
      </c>
      <c r="Q48" t="str">
        <f t="shared" si="7"/>
        <v>echo itemCost,500000, &gt;&gt; .\items\materia\class0016\Defense46.dbr</v>
      </c>
      <c r="R48" t="str">
        <f t="shared" si="7"/>
        <v>echo description,dailCompDescDefense46, &gt;&gt; .\items\materia\class0016\Defense46.dbr</v>
      </c>
      <c r="S48" t="str">
        <f t="shared" si="7"/>
        <v>echo itemText,dailCompTextDefense46, &gt;&gt; .\items\materia\class0016\Defense46.dbr</v>
      </c>
      <c r="T48" t="str">
        <f t="shared" si="7"/>
        <v>echo augmentSkillLevel1,5, &gt;&gt; .\items\materia\class0016\Defense46.dbr</v>
      </c>
      <c r="U48" t="str">
        <f t="shared" si="7"/>
        <v>echo augmentSkillName1,records/skillsdefense/adrenaline_resilience.dbr,, &gt;&gt; .\items\materia\class0016\Defense46.dbr</v>
      </c>
      <c r="V48" s="5" t="s">
        <v>36</v>
      </c>
      <c r="W48" t="str">
        <f t="shared" si="8"/>
        <v>echo lootName46,DAIL/items/materia/class0016/Defense46.dbr, &gt;&gt; .\items\loottables\dailoneskill0016.dbr</v>
      </c>
      <c r="X48" t="str">
        <f t="shared" si="8"/>
        <v>echo lootWeight46,1, &gt;&gt; .\items\loottables\dailoneskill0016.dbr</v>
      </c>
      <c r="Y48" s="5" t="s">
        <v>36</v>
      </c>
      <c r="Z48" t="str">
        <f t="shared" si="9"/>
        <v xml:space="preserve"> dailCompDescDefense46=^pDefense's Gift of DAIL</v>
      </c>
      <c r="AA48" t="str">
        <f t="shared" si="17"/>
        <v>dailCompTextDefense46=^oThis feels warm to the touch, almost familiar ^w(This component only fits into the Medal Slot)</v>
      </c>
      <c r="AB48" s="5" t="s">
        <v>36</v>
      </c>
      <c r="AH48">
        <f t="shared" si="19"/>
        <v>43</v>
      </c>
      <c r="AI48">
        <f t="shared" si="13"/>
        <v>34</v>
      </c>
      <c r="AJ48">
        <f t="shared" si="18"/>
        <v>5</v>
      </c>
    </row>
    <row r="49" spans="1:36" x14ac:dyDescent="0.25">
      <c r="A49" s="5" t="s">
        <v>39</v>
      </c>
      <c r="B49" s="5" t="s">
        <v>30</v>
      </c>
      <c r="C49" s="5" t="str">
        <f t="shared" si="0"/>
        <v>description,dailCompDescDefense47,</v>
      </c>
      <c r="D49" s="5" t="str">
        <f t="shared" si="2"/>
        <v>itemText,dailCompTextDefense47,</v>
      </c>
      <c r="E49" s="5" t="str">
        <f t="shared" si="14"/>
        <v>augmentSkillLevel1,5,</v>
      </c>
      <c r="F49" s="5" t="str">
        <f t="shared" si="15"/>
        <v>augmentSkillName1,records/skillsdefense/adrenaline_defensivereaction.dbr,,</v>
      </c>
      <c r="G49" s="7">
        <f t="shared" si="10"/>
        <v>47</v>
      </c>
      <c r="H49" s="8" t="str">
        <f t="shared" si="11"/>
        <v>Defense</v>
      </c>
      <c r="I49" s="3" t="s">
        <v>577</v>
      </c>
      <c r="J49" s="8" t="str">
        <f t="shared" si="21"/>
        <v>class0016</v>
      </c>
      <c r="K49" s="8" t="str">
        <f t="shared" si="21"/>
        <v>dailoneskill0016</v>
      </c>
      <c r="L49" s="5" t="str">
        <f t="shared" si="4"/>
        <v>lootName47,DAIL/items/materia/class0016/Defense47.dbr,</v>
      </c>
      <c r="M49" s="5" t="str">
        <f t="shared" si="5"/>
        <v>lootWeight47,1,</v>
      </c>
      <c r="N49" t="str">
        <f t="shared" si="6"/>
        <v>5</v>
      </c>
      <c r="O49" t="str">
        <f t="shared" si="16"/>
        <v>copy .\dail_base3.dbr .\items\materia\class0016\Defense47.dbr /y</v>
      </c>
      <c r="P49" t="str">
        <f t="shared" si="7"/>
        <v>echo relicBitmap,items/craftingparts/components/component_a52_bristlyfur_b.tex, &gt;&gt; .\items\materia\class0016\Defense47.dbr</v>
      </c>
      <c r="Q49" t="str">
        <f t="shared" si="7"/>
        <v>echo itemCost,500000, &gt;&gt; .\items\materia\class0016\Defense47.dbr</v>
      </c>
      <c r="R49" t="str">
        <f t="shared" si="7"/>
        <v>echo description,dailCompDescDefense47, &gt;&gt; .\items\materia\class0016\Defense47.dbr</v>
      </c>
      <c r="S49" t="str">
        <f t="shared" si="7"/>
        <v>echo itemText,dailCompTextDefense47, &gt;&gt; .\items\materia\class0016\Defense47.dbr</v>
      </c>
      <c r="T49" t="str">
        <f t="shared" si="7"/>
        <v>echo augmentSkillLevel1,5, &gt;&gt; .\items\materia\class0016\Defense47.dbr</v>
      </c>
      <c r="U49" t="str">
        <f t="shared" si="7"/>
        <v>echo augmentSkillName1,records/skillsdefense/adrenaline_defensivereaction.dbr,, &gt;&gt; .\items\materia\class0016\Defense47.dbr</v>
      </c>
      <c r="V49" s="5" t="s">
        <v>36</v>
      </c>
      <c r="W49" t="str">
        <f t="shared" si="8"/>
        <v>echo lootName47,DAIL/items/materia/class0016/Defense47.dbr, &gt;&gt; .\items\loottables\dailoneskill0016.dbr</v>
      </c>
      <c r="X49" t="str">
        <f t="shared" si="8"/>
        <v>echo lootWeight47,1, &gt;&gt; .\items\loottables\dailoneskill0016.dbr</v>
      </c>
      <c r="Y49" s="5" t="s">
        <v>36</v>
      </c>
      <c r="Z49" t="str">
        <f t="shared" si="9"/>
        <v xml:space="preserve"> dailCompDescDefense47=^pDefense's Gift of DAIL</v>
      </c>
      <c r="AA49" t="str">
        <f t="shared" si="17"/>
        <v>dailCompTextDefense47=^oThis feels warm to the touch, almost familiar ^w(This component only fits into the Medal Slot)</v>
      </c>
      <c r="AB49" s="5" t="s">
        <v>36</v>
      </c>
      <c r="AH49">
        <f t="shared" si="19"/>
        <v>44</v>
      </c>
      <c r="AI49">
        <f t="shared" si="13"/>
        <v>41</v>
      </c>
      <c r="AJ49">
        <f t="shared" si="18"/>
        <v>5</v>
      </c>
    </row>
    <row r="50" spans="1:36" x14ac:dyDescent="0.25">
      <c r="A50" s="5" t="s">
        <v>39</v>
      </c>
      <c r="B50" s="5" t="s">
        <v>30</v>
      </c>
      <c r="C50" s="5" t="str">
        <f t="shared" si="0"/>
        <v>description,dailCompDescDefense48,</v>
      </c>
      <c r="D50" s="5" t="str">
        <f t="shared" si="2"/>
        <v>itemText,dailCompTextDefense48,</v>
      </c>
      <c r="E50" s="5" t="str">
        <f t="shared" si="14"/>
        <v>augmentSkillLevel1,5,</v>
      </c>
      <c r="F50" s="5" t="str">
        <f t="shared" si="15"/>
        <v>augmentSkillName1,records/skillsdefense/rally.dbr,,</v>
      </c>
      <c r="G50" s="7">
        <f t="shared" si="10"/>
        <v>48</v>
      </c>
      <c r="H50" s="8" t="str">
        <f t="shared" si="11"/>
        <v>Defense</v>
      </c>
      <c r="I50" s="3" t="s">
        <v>578</v>
      </c>
      <c r="J50" s="8" t="str">
        <f t="shared" si="21"/>
        <v>class0016</v>
      </c>
      <c r="K50" s="8" t="str">
        <f t="shared" si="21"/>
        <v>dailoneskill0016</v>
      </c>
      <c r="L50" s="5" t="str">
        <f t="shared" si="4"/>
        <v>lootName48,DAIL/items/materia/class0016/Defense48.dbr,</v>
      </c>
      <c r="M50" s="5" t="str">
        <f t="shared" si="5"/>
        <v>lootWeight48,1,</v>
      </c>
      <c r="N50" t="str">
        <f t="shared" si="6"/>
        <v>5</v>
      </c>
      <c r="O50" t="str">
        <f t="shared" si="16"/>
        <v>copy .\dail_base3.dbr .\items\materia\class0016\Defense48.dbr /y</v>
      </c>
      <c r="P50" t="str">
        <f t="shared" si="7"/>
        <v>echo relicBitmap,items/craftingparts/components/component_a52_bristlyfur_b.tex, &gt;&gt; .\items\materia\class0016\Defense48.dbr</v>
      </c>
      <c r="Q50" t="str">
        <f t="shared" si="7"/>
        <v>echo itemCost,500000, &gt;&gt; .\items\materia\class0016\Defense48.dbr</v>
      </c>
      <c r="R50" t="str">
        <f t="shared" si="7"/>
        <v>echo description,dailCompDescDefense48, &gt;&gt; .\items\materia\class0016\Defense48.dbr</v>
      </c>
      <c r="S50" t="str">
        <f t="shared" si="7"/>
        <v>echo itemText,dailCompTextDefense48, &gt;&gt; .\items\materia\class0016\Defense48.dbr</v>
      </c>
      <c r="T50" t="str">
        <f t="shared" si="7"/>
        <v>echo augmentSkillLevel1,5, &gt;&gt; .\items\materia\class0016\Defense48.dbr</v>
      </c>
      <c r="U50" t="str">
        <f t="shared" si="7"/>
        <v>echo augmentSkillName1,records/skillsdefense/rally.dbr,, &gt;&gt; .\items\materia\class0016\Defense48.dbr</v>
      </c>
      <c r="V50" s="5" t="s">
        <v>36</v>
      </c>
      <c r="W50" t="str">
        <f t="shared" si="8"/>
        <v>echo lootName48,DAIL/items/materia/class0016/Defense48.dbr, &gt;&gt; .\items\loottables\dailoneskill0016.dbr</v>
      </c>
      <c r="X50" t="str">
        <f t="shared" si="8"/>
        <v>echo lootWeight48,1, &gt;&gt; .\items\loottables\dailoneskill0016.dbr</v>
      </c>
      <c r="Y50" s="5" t="s">
        <v>36</v>
      </c>
      <c r="Z50" t="str">
        <f t="shared" si="9"/>
        <v xml:space="preserve"> dailCompDescDefense48=^pDefense's Gift of DAIL</v>
      </c>
      <c r="AA50" t="str">
        <f t="shared" si="17"/>
        <v>dailCompTextDefense48=^oThis feels warm to the touch, almost familiar ^w(This component only fits into the Medal Slot)</v>
      </c>
      <c r="AB50" s="5" t="s">
        <v>36</v>
      </c>
      <c r="AH50">
        <f t="shared" si="19"/>
        <v>45</v>
      </c>
      <c r="AI50">
        <f t="shared" si="13"/>
        <v>18</v>
      </c>
      <c r="AJ50">
        <f t="shared" si="18"/>
        <v>5</v>
      </c>
    </row>
    <row r="51" spans="1:36" x14ac:dyDescent="0.25">
      <c r="A51" s="5" t="s">
        <v>39</v>
      </c>
      <c r="B51" s="5" t="s">
        <v>30</v>
      </c>
      <c r="C51" s="5" t="str">
        <f t="shared" si="0"/>
        <v>description,dailCompDescDefense49,</v>
      </c>
      <c r="D51" s="5" t="str">
        <f t="shared" si="2"/>
        <v>itemText,dailCompTextDefense49,</v>
      </c>
      <c r="E51" s="5" t="str">
        <f t="shared" si="14"/>
        <v>augmentSkillLevel1,5,</v>
      </c>
      <c r="F51" s="5" t="str">
        <f t="shared" si="15"/>
        <v>augmentSkillName1,records/skillsdefense/rally_inspiration.dbr,,</v>
      </c>
      <c r="G51" s="7">
        <f t="shared" si="10"/>
        <v>49</v>
      </c>
      <c r="H51" s="8" t="str">
        <f t="shared" si="11"/>
        <v>Defense</v>
      </c>
      <c r="I51" s="3" t="s">
        <v>579</v>
      </c>
      <c r="J51" s="8" t="str">
        <f t="shared" si="21"/>
        <v>class0016</v>
      </c>
      <c r="K51" s="8" t="str">
        <f t="shared" si="21"/>
        <v>dailoneskill0016</v>
      </c>
      <c r="L51" s="5" t="str">
        <f t="shared" si="4"/>
        <v>lootName49,DAIL/items/materia/class0016/Defense49.dbr,</v>
      </c>
      <c r="M51" s="5" t="str">
        <f t="shared" si="5"/>
        <v>lootWeight49,1,</v>
      </c>
      <c r="N51" t="str">
        <f t="shared" si="6"/>
        <v>5</v>
      </c>
      <c r="O51" t="str">
        <f t="shared" si="16"/>
        <v>copy .\dail_base3.dbr .\items\materia\class0016\Defense49.dbr /y</v>
      </c>
      <c r="P51" t="str">
        <f t="shared" si="7"/>
        <v>echo relicBitmap,items/craftingparts/components/component_a52_bristlyfur_b.tex, &gt;&gt; .\items\materia\class0016\Defense49.dbr</v>
      </c>
      <c r="Q51" t="str">
        <f t="shared" si="7"/>
        <v>echo itemCost,500000, &gt;&gt; .\items\materia\class0016\Defense49.dbr</v>
      </c>
      <c r="R51" t="str">
        <f t="shared" si="7"/>
        <v>echo description,dailCompDescDefense49, &gt;&gt; .\items\materia\class0016\Defense49.dbr</v>
      </c>
      <c r="S51" t="str">
        <f t="shared" si="7"/>
        <v>echo itemText,dailCompTextDefense49, &gt;&gt; .\items\materia\class0016\Defense49.dbr</v>
      </c>
      <c r="T51" t="str">
        <f t="shared" si="7"/>
        <v>echo augmentSkillLevel1,5, &gt;&gt; .\items\materia\class0016\Defense49.dbr</v>
      </c>
      <c r="U51" t="str">
        <f t="shared" si="7"/>
        <v>echo augmentSkillName1,records/skillsdefense/rally_inspiration.dbr,, &gt;&gt; .\items\materia\class0016\Defense49.dbr</v>
      </c>
      <c r="V51" s="5" t="s">
        <v>36</v>
      </c>
      <c r="W51" t="str">
        <f t="shared" si="8"/>
        <v>echo lootName49,DAIL/items/materia/class0016/Defense49.dbr, &gt;&gt; .\items\loottables\dailoneskill0016.dbr</v>
      </c>
      <c r="X51" t="str">
        <f t="shared" si="8"/>
        <v>echo lootWeight49,1, &gt;&gt; .\items\loottables\dailoneskill0016.dbr</v>
      </c>
      <c r="Y51" s="5" t="s">
        <v>36</v>
      </c>
      <c r="Z51" t="str">
        <f t="shared" si="9"/>
        <v xml:space="preserve"> dailCompDescDefense49=^pDefense's Gift of DAIL</v>
      </c>
      <c r="AA51" t="str">
        <f t="shared" si="17"/>
        <v>dailCompTextDefense49=^oThis feels warm to the touch, almost familiar ^w(This component only fits into the Medal Slot)</v>
      </c>
      <c r="AB51" s="5" t="s">
        <v>36</v>
      </c>
      <c r="AH51">
        <f t="shared" si="19"/>
        <v>46</v>
      </c>
      <c r="AI51">
        <f t="shared" si="13"/>
        <v>30</v>
      </c>
      <c r="AJ51">
        <f t="shared" si="18"/>
        <v>5</v>
      </c>
    </row>
    <row r="52" spans="1:36" x14ac:dyDescent="0.25">
      <c r="A52" s="5" t="s">
        <v>39</v>
      </c>
      <c r="B52" s="5" t="s">
        <v>30</v>
      </c>
      <c r="C52" s="5" t="str">
        <f t="shared" si="0"/>
        <v>description,dailCompDescDefense50,</v>
      </c>
      <c r="D52" s="5" t="str">
        <f t="shared" si="2"/>
        <v>itemText,dailCompTextDefense50,</v>
      </c>
      <c r="E52" s="5" t="str">
        <f t="shared" si="14"/>
        <v>augmentSkillLevel1,5,</v>
      </c>
      <c r="F52" s="5" t="str">
        <f t="shared" si="15"/>
        <v>augmentSkillName1,records/skillsdefense/rally_defiance.dbr,,</v>
      </c>
      <c r="G52" s="7">
        <f t="shared" si="10"/>
        <v>50</v>
      </c>
      <c r="H52" s="8" t="str">
        <f t="shared" si="11"/>
        <v>Defense</v>
      </c>
      <c r="I52" s="3" t="s">
        <v>580</v>
      </c>
      <c r="J52" s="8" t="str">
        <f t="shared" si="21"/>
        <v>class0016</v>
      </c>
      <c r="K52" s="8" t="str">
        <f t="shared" si="21"/>
        <v>dailoneskill0016</v>
      </c>
      <c r="L52" s="5" t="str">
        <f t="shared" si="4"/>
        <v>lootName50,DAIL/items/materia/class0016/Defense50.dbr,</v>
      </c>
      <c r="M52" s="5" t="str">
        <f t="shared" si="5"/>
        <v>lootWeight50,1,</v>
      </c>
      <c r="N52" t="str">
        <f t="shared" si="6"/>
        <v>5</v>
      </c>
      <c r="O52" t="str">
        <f t="shared" si="16"/>
        <v>copy .\dail_base3.dbr .\items\materia\class0016\Defense50.dbr /y</v>
      </c>
      <c r="P52" t="str">
        <f t="shared" si="7"/>
        <v>echo relicBitmap,items/craftingparts/components/component_a52_bristlyfur_b.tex, &gt;&gt; .\items\materia\class0016\Defense50.dbr</v>
      </c>
      <c r="Q52" t="str">
        <f t="shared" si="7"/>
        <v>echo itemCost,500000, &gt;&gt; .\items\materia\class0016\Defense50.dbr</v>
      </c>
      <c r="R52" t="str">
        <f t="shared" si="7"/>
        <v>echo description,dailCompDescDefense50, &gt;&gt; .\items\materia\class0016\Defense50.dbr</v>
      </c>
      <c r="S52" t="str">
        <f t="shared" si="7"/>
        <v>echo itemText,dailCompTextDefense50, &gt;&gt; .\items\materia\class0016\Defense50.dbr</v>
      </c>
      <c r="T52" t="str">
        <f t="shared" si="7"/>
        <v>echo augmentSkillLevel1,5, &gt;&gt; .\items\materia\class0016\Defense50.dbr</v>
      </c>
      <c r="U52" t="str">
        <f t="shared" si="7"/>
        <v>echo augmentSkillName1,records/skillsdefense/rally_defiance.dbr,, &gt;&gt; .\items\materia\class0016\Defense50.dbr</v>
      </c>
      <c r="V52" s="5" t="s">
        <v>36</v>
      </c>
      <c r="W52" t="str">
        <f t="shared" si="8"/>
        <v>echo lootName50,DAIL/items/materia/class0016/Defense50.dbr, &gt;&gt; .\items\loottables\dailoneskill0016.dbr</v>
      </c>
      <c r="X52" t="str">
        <f t="shared" si="8"/>
        <v>echo lootWeight50,1, &gt;&gt; .\items\loottables\dailoneskill0016.dbr</v>
      </c>
      <c r="Y52" s="5" t="s">
        <v>36</v>
      </c>
      <c r="Z52" t="str">
        <f t="shared" si="9"/>
        <v xml:space="preserve"> dailCompDescDefense50=^pDefense's Gift of DAIL</v>
      </c>
      <c r="AA52" t="str">
        <f t="shared" si="17"/>
        <v>dailCompTextDefense50=^oThis feels warm to the touch, almost familiar ^w(This component only fits into the Medal Slot)</v>
      </c>
      <c r="AB52" s="5" t="s">
        <v>36</v>
      </c>
      <c r="AH52">
        <f t="shared" si="19"/>
        <v>47</v>
      </c>
      <c r="AI52">
        <f t="shared" si="13"/>
        <v>27</v>
      </c>
      <c r="AJ52">
        <f t="shared" si="18"/>
        <v>5</v>
      </c>
    </row>
    <row r="53" spans="1:36" x14ac:dyDescent="0.25">
      <c r="A53" s="5" t="s">
        <v>39</v>
      </c>
      <c r="B53" s="5" t="s">
        <v>30</v>
      </c>
      <c r="C53" s="5" t="str">
        <f t="shared" si="0"/>
        <v>description,dailCompDescDefense51,</v>
      </c>
      <c r="D53" s="5" t="str">
        <f t="shared" si="2"/>
        <v>itemText,dailCompTextDefense51,</v>
      </c>
      <c r="E53" s="5" t="str">
        <f t="shared" si="14"/>
        <v>augmentSkillLevel1,5,</v>
      </c>
      <c r="F53" s="5" t="str">
        <f t="shared" si="15"/>
        <v>augmentSkillName1,records/skillsdefense/colossusform.dbr,,</v>
      </c>
      <c r="G53" s="7">
        <f t="shared" si="10"/>
        <v>51</v>
      </c>
      <c r="H53" s="8" t="str">
        <f t="shared" si="11"/>
        <v>Defense</v>
      </c>
      <c r="I53" s="3" t="s">
        <v>581</v>
      </c>
      <c r="J53" s="8" t="str">
        <f t="shared" ref="J53:K68" si="22">J52</f>
        <v>class0016</v>
      </c>
      <c r="K53" s="8" t="str">
        <f t="shared" si="22"/>
        <v>dailoneskill0016</v>
      </c>
      <c r="L53" s="5" t="str">
        <f t="shared" si="4"/>
        <v>lootName51,DAIL/items/materia/class0016/Defense51.dbr,</v>
      </c>
      <c r="M53" s="5" t="str">
        <f t="shared" si="5"/>
        <v>lootWeight51,1,</v>
      </c>
      <c r="N53" t="str">
        <f t="shared" si="6"/>
        <v>5</v>
      </c>
      <c r="O53" t="str">
        <f t="shared" si="16"/>
        <v>copy .\dail_base3.dbr .\items\materia\class0016\Defense51.dbr /y</v>
      </c>
      <c r="P53" t="str">
        <f t="shared" si="7"/>
        <v>echo relicBitmap,items/craftingparts/components/component_a52_bristlyfur_b.tex, &gt;&gt; .\items\materia\class0016\Defense51.dbr</v>
      </c>
      <c r="Q53" t="str">
        <f t="shared" si="7"/>
        <v>echo itemCost,500000, &gt;&gt; .\items\materia\class0016\Defense51.dbr</v>
      </c>
      <c r="R53" t="str">
        <f t="shared" si="7"/>
        <v>echo description,dailCompDescDefense51, &gt;&gt; .\items\materia\class0016\Defense51.dbr</v>
      </c>
      <c r="S53" t="str">
        <f t="shared" si="7"/>
        <v>echo itemText,dailCompTextDefense51, &gt;&gt; .\items\materia\class0016\Defense51.dbr</v>
      </c>
      <c r="T53" t="str">
        <f t="shared" si="7"/>
        <v>echo augmentSkillLevel1,5, &gt;&gt; .\items\materia\class0016\Defense51.dbr</v>
      </c>
      <c r="U53" t="str">
        <f t="shared" si="7"/>
        <v>echo augmentSkillName1,records/skillsdefense/colossusform.dbr,, &gt;&gt; .\items\materia\class0016\Defense51.dbr</v>
      </c>
      <c r="V53" s="5" t="s">
        <v>36</v>
      </c>
      <c r="W53" t="str">
        <f t="shared" si="8"/>
        <v>echo lootName51,DAIL/items/materia/class0016/Defense51.dbr, &gt;&gt; .\items\loottables\dailoneskill0016.dbr</v>
      </c>
      <c r="X53" t="str">
        <f t="shared" si="8"/>
        <v>echo lootWeight51,1, &gt;&gt; .\items\loottables\dailoneskill0016.dbr</v>
      </c>
      <c r="Y53" s="5" t="s">
        <v>36</v>
      </c>
      <c r="Z53" t="str">
        <f t="shared" si="9"/>
        <v xml:space="preserve"> dailCompDescDefense51=^pDefense's Gift of DAIL</v>
      </c>
      <c r="AA53" t="str">
        <f t="shared" si="17"/>
        <v>dailCompTextDefense51=^oThis feels warm to the touch, almost familiar ^w(This component only fits into the Medal Slot)</v>
      </c>
      <c r="AB53" s="5" t="s">
        <v>36</v>
      </c>
      <c r="AH53">
        <f t="shared" si="19"/>
        <v>48</v>
      </c>
      <c r="AI53">
        <f t="shared" si="13"/>
        <v>25</v>
      </c>
      <c r="AJ53">
        <f t="shared" si="18"/>
        <v>5</v>
      </c>
    </row>
    <row r="54" spans="1:36" x14ac:dyDescent="0.25">
      <c r="A54" s="5" t="s">
        <v>39</v>
      </c>
      <c r="B54" s="5" t="s">
        <v>30</v>
      </c>
      <c r="C54" s="5" t="str">
        <f t="shared" si="0"/>
        <v>description,dailCompDescDefense52,</v>
      </c>
      <c r="D54" s="5" t="str">
        <f t="shared" si="2"/>
        <v>itemText,dailCompTextDefense52,</v>
      </c>
      <c r="E54" s="5" t="str">
        <f t="shared" si="14"/>
        <v>augmentSkillLevel1,5,</v>
      </c>
      <c r="F54" s="5" t="str">
        <f t="shared" si="15"/>
        <v>augmentSkillName1,records/skillsdefense/weaponpool_shieldsmash.dbr,,</v>
      </c>
      <c r="G54" s="7">
        <f t="shared" si="10"/>
        <v>52</v>
      </c>
      <c r="H54" s="8" t="str">
        <f t="shared" si="11"/>
        <v>Defense</v>
      </c>
      <c r="I54" s="3" t="s">
        <v>582</v>
      </c>
      <c r="J54" s="8" t="str">
        <f t="shared" si="22"/>
        <v>class0016</v>
      </c>
      <c r="K54" s="8" t="str">
        <f t="shared" si="22"/>
        <v>dailoneskill0016</v>
      </c>
      <c r="L54" s="5" t="str">
        <f t="shared" si="4"/>
        <v>lootName52,DAIL/items/materia/class0016/Defense52.dbr,</v>
      </c>
      <c r="M54" s="5" t="str">
        <f t="shared" si="5"/>
        <v>lootWeight52,1,</v>
      </c>
      <c r="N54" t="str">
        <f t="shared" si="6"/>
        <v>5</v>
      </c>
      <c r="O54" t="str">
        <f t="shared" si="16"/>
        <v>copy .\dail_base3.dbr .\items\materia\class0016\Defense52.dbr /y</v>
      </c>
      <c r="P54" t="str">
        <f t="shared" si="7"/>
        <v>echo relicBitmap,items/craftingparts/components/component_a52_bristlyfur_b.tex, &gt;&gt; .\items\materia\class0016\Defense52.dbr</v>
      </c>
      <c r="Q54" t="str">
        <f t="shared" si="7"/>
        <v>echo itemCost,500000, &gt;&gt; .\items\materia\class0016\Defense52.dbr</v>
      </c>
      <c r="R54" t="str">
        <f t="shared" si="7"/>
        <v>echo description,dailCompDescDefense52, &gt;&gt; .\items\materia\class0016\Defense52.dbr</v>
      </c>
      <c r="S54" t="str">
        <f t="shared" si="7"/>
        <v>echo itemText,dailCompTextDefense52, &gt;&gt; .\items\materia\class0016\Defense52.dbr</v>
      </c>
      <c r="T54" t="str">
        <f t="shared" si="7"/>
        <v>echo augmentSkillLevel1,5, &gt;&gt; .\items\materia\class0016\Defense52.dbr</v>
      </c>
      <c r="U54" t="str">
        <f t="shared" si="7"/>
        <v>echo augmentSkillName1,records/skillsdefense/weaponpool_shieldsmash.dbr,, &gt;&gt; .\items\materia\class0016\Defense52.dbr</v>
      </c>
      <c r="V54" s="5" t="s">
        <v>36</v>
      </c>
      <c r="W54" t="str">
        <f t="shared" si="8"/>
        <v>echo lootName52,DAIL/items/materia/class0016/Defense52.dbr, &gt;&gt; .\items\loottables\dailoneskill0016.dbr</v>
      </c>
      <c r="X54" t="str">
        <f t="shared" si="8"/>
        <v>echo lootWeight52,1, &gt;&gt; .\items\loottables\dailoneskill0016.dbr</v>
      </c>
      <c r="Y54" s="5" t="s">
        <v>36</v>
      </c>
      <c r="Z54" t="str">
        <f t="shared" si="9"/>
        <v xml:space="preserve"> dailCompDescDefense52=^pDefense's Gift of DAIL</v>
      </c>
      <c r="AA54" t="str">
        <f t="shared" si="17"/>
        <v>dailCompTextDefense52=^oThis feels warm to the touch, almost familiar ^w(This component only fits into the Medal Slot)</v>
      </c>
      <c r="AB54" s="5" t="s">
        <v>36</v>
      </c>
      <c r="AH54">
        <f t="shared" si="19"/>
        <v>49</v>
      </c>
      <c r="AI54">
        <f t="shared" si="13"/>
        <v>35</v>
      </c>
      <c r="AJ54">
        <f t="shared" si="18"/>
        <v>5</v>
      </c>
    </row>
    <row r="55" spans="1:36" x14ac:dyDescent="0.25">
      <c r="A55" s="5" t="s">
        <v>39</v>
      </c>
      <c r="B55" s="5" t="s">
        <v>30</v>
      </c>
      <c r="C55" s="5" t="str">
        <f t="shared" si="0"/>
        <v>description,dailCompDescDefense53,</v>
      </c>
      <c r="D55" s="5" t="str">
        <f t="shared" si="2"/>
        <v>itemText,dailCompTextDefense53,</v>
      </c>
      <c r="E55" s="5" t="str">
        <f t="shared" si="14"/>
        <v>augmentSkillLevel1,5,</v>
      </c>
      <c r="F55" s="5" t="str">
        <f t="shared" si="15"/>
        <v>augmentSkillName1,records/skillsdefense/weaponpool_disable.dbr,,</v>
      </c>
      <c r="G55" s="7">
        <f t="shared" si="10"/>
        <v>53</v>
      </c>
      <c r="H55" s="8" t="str">
        <f t="shared" si="11"/>
        <v>Defense</v>
      </c>
      <c r="I55" s="3" t="s">
        <v>583</v>
      </c>
      <c r="J55" s="8" t="str">
        <f t="shared" si="22"/>
        <v>class0016</v>
      </c>
      <c r="K55" s="8" t="str">
        <f t="shared" si="22"/>
        <v>dailoneskill0016</v>
      </c>
      <c r="L55" s="5" t="str">
        <f t="shared" si="4"/>
        <v>lootName53,DAIL/items/materia/class0016/Defense53.dbr,</v>
      </c>
      <c r="M55" s="5" t="str">
        <f t="shared" si="5"/>
        <v>lootWeight53,1,</v>
      </c>
      <c r="N55" t="str">
        <f t="shared" si="6"/>
        <v>5</v>
      </c>
      <c r="O55" t="str">
        <f t="shared" si="16"/>
        <v>copy .\dail_base3.dbr .\items\materia\class0016\Defense53.dbr /y</v>
      </c>
      <c r="P55" t="str">
        <f t="shared" si="7"/>
        <v>echo relicBitmap,items/craftingparts/components/component_a52_bristlyfur_b.tex, &gt;&gt; .\items\materia\class0016\Defense53.dbr</v>
      </c>
      <c r="Q55" t="str">
        <f t="shared" si="7"/>
        <v>echo itemCost,500000, &gt;&gt; .\items\materia\class0016\Defense53.dbr</v>
      </c>
      <c r="R55" t="str">
        <f t="shared" si="7"/>
        <v>echo description,dailCompDescDefense53, &gt;&gt; .\items\materia\class0016\Defense53.dbr</v>
      </c>
      <c r="S55" t="str">
        <f t="shared" si="7"/>
        <v>echo itemText,dailCompTextDefense53, &gt;&gt; .\items\materia\class0016\Defense53.dbr</v>
      </c>
      <c r="T55" t="str">
        <f t="shared" si="7"/>
        <v>echo augmentSkillLevel1,5, &gt;&gt; .\items\materia\class0016\Defense53.dbr</v>
      </c>
      <c r="U55" t="str">
        <f t="shared" si="7"/>
        <v>echo augmentSkillName1,records/skillsdefense/weaponpool_disable.dbr,, &gt;&gt; .\items\materia\class0016\Defense53.dbr</v>
      </c>
      <c r="V55" s="5" t="s">
        <v>36</v>
      </c>
      <c r="W55" t="str">
        <f t="shared" si="8"/>
        <v>echo lootName53,DAIL/items/materia/class0016/Defense53.dbr, &gt;&gt; .\items\loottables\dailoneskill0016.dbr</v>
      </c>
      <c r="X55" t="str">
        <f t="shared" si="8"/>
        <v>echo lootWeight53,1, &gt;&gt; .\items\loottables\dailoneskill0016.dbr</v>
      </c>
      <c r="Y55" s="5" t="s">
        <v>36</v>
      </c>
      <c r="Z55" t="str">
        <f t="shared" si="9"/>
        <v xml:space="preserve"> dailCompDescDefense53=^pDefense's Gift of DAIL</v>
      </c>
      <c r="AA55" t="str">
        <f t="shared" si="17"/>
        <v>dailCompTextDefense53=^oThis feels warm to the touch, almost familiar ^w(This component only fits into the Medal Slot)</v>
      </c>
      <c r="AB55" s="5" t="s">
        <v>36</v>
      </c>
      <c r="AH55">
        <f t="shared" si="19"/>
        <v>50</v>
      </c>
      <c r="AI55">
        <f t="shared" si="13"/>
        <v>31</v>
      </c>
      <c r="AJ55">
        <f t="shared" si="18"/>
        <v>5</v>
      </c>
    </row>
    <row r="56" spans="1:36" x14ac:dyDescent="0.25">
      <c r="A56" s="5" t="s">
        <v>39</v>
      </c>
      <c r="B56" s="5" t="s">
        <v>30</v>
      </c>
      <c r="C56" s="5" t="str">
        <f t="shared" si="0"/>
        <v>description,dailCompDescDefense54,</v>
      </c>
      <c r="D56" s="5" t="str">
        <f t="shared" si="2"/>
        <v>itemText,dailCompTextDefense54,</v>
      </c>
      <c r="E56" s="5" t="str">
        <f t="shared" si="14"/>
        <v>augmentSkillLevel1,5,</v>
      </c>
      <c r="F56" s="5" t="str">
        <f t="shared" si="15"/>
        <v>augmentSkillName1,records/skillsdefense/weaponpool_pulverize.dbr,,</v>
      </c>
      <c r="G56" s="7">
        <f t="shared" si="10"/>
        <v>54</v>
      </c>
      <c r="H56" s="8" t="str">
        <f t="shared" si="11"/>
        <v>Defense</v>
      </c>
      <c r="I56" s="3" t="s">
        <v>584</v>
      </c>
      <c r="J56" s="8" t="str">
        <f t="shared" si="22"/>
        <v>class0016</v>
      </c>
      <c r="K56" s="8" t="str">
        <f t="shared" si="22"/>
        <v>dailoneskill0016</v>
      </c>
      <c r="L56" s="5" t="str">
        <f t="shared" si="4"/>
        <v>lootName54,DAIL/items/materia/class0016/Defense54.dbr,</v>
      </c>
      <c r="M56" s="5" t="str">
        <f t="shared" si="5"/>
        <v>lootWeight54,1,</v>
      </c>
      <c r="N56" t="str">
        <f t="shared" si="6"/>
        <v>5</v>
      </c>
      <c r="O56" t="str">
        <f t="shared" si="16"/>
        <v>copy .\dail_base3.dbr .\items\materia\class0016\Defense54.dbr /y</v>
      </c>
      <c r="P56" t="str">
        <f t="shared" si="7"/>
        <v>echo relicBitmap,items/craftingparts/components/component_a52_bristlyfur_b.tex, &gt;&gt; .\items\materia\class0016\Defense54.dbr</v>
      </c>
      <c r="Q56" t="str">
        <f t="shared" si="7"/>
        <v>echo itemCost,500000, &gt;&gt; .\items\materia\class0016\Defense54.dbr</v>
      </c>
      <c r="R56" t="str">
        <f t="shared" si="7"/>
        <v>echo description,dailCompDescDefense54, &gt;&gt; .\items\materia\class0016\Defense54.dbr</v>
      </c>
      <c r="S56" t="str">
        <f t="shared" si="7"/>
        <v>echo itemText,dailCompTextDefense54, &gt;&gt; .\items\materia\class0016\Defense54.dbr</v>
      </c>
      <c r="T56" t="str">
        <f t="shared" si="7"/>
        <v>echo augmentSkillLevel1,5, &gt;&gt; .\items\materia\class0016\Defense54.dbr</v>
      </c>
      <c r="U56" t="str">
        <f t="shared" si="7"/>
        <v>echo augmentSkillName1,records/skillsdefense/weaponpool_pulverize.dbr,, &gt;&gt; .\items\materia\class0016\Defense54.dbr</v>
      </c>
      <c r="V56" s="5" t="s">
        <v>36</v>
      </c>
      <c r="W56" t="str">
        <f t="shared" si="8"/>
        <v>echo lootName54,DAIL/items/materia/class0016/Defense54.dbr, &gt;&gt; .\items\loottables\dailoneskill0016.dbr</v>
      </c>
      <c r="X56" t="str">
        <f t="shared" si="8"/>
        <v>echo lootWeight54,1, &gt;&gt; .\items\loottables\dailoneskill0016.dbr</v>
      </c>
      <c r="Y56" s="5" t="s">
        <v>36</v>
      </c>
      <c r="Z56" t="str">
        <f t="shared" si="9"/>
        <v xml:space="preserve"> dailCompDescDefense54=^pDefense's Gift of DAIL</v>
      </c>
      <c r="AA56" t="str">
        <f t="shared" si="17"/>
        <v>dailCompTextDefense54=^oThis feels warm to the touch, almost familiar ^w(This component only fits into the Medal Slot)</v>
      </c>
      <c r="AB56" s="5" t="s">
        <v>36</v>
      </c>
      <c r="AH56">
        <f t="shared" si="19"/>
        <v>51</v>
      </c>
      <c r="AI56">
        <f t="shared" si="13"/>
        <v>33</v>
      </c>
      <c r="AJ56">
        <f t="shared" si="18"/>
        <v>5</v>
      </c>
    </row>
    <row r="57" spans="1:36" x14ac:dyDescent="0.25">
      <c r="A57" s="5" t="s">
        <v>39</v>
      </c>
      <c r="B57" s="5" t="s">
        <v>30</v>
      </c>
      <c r="C57" s="5" t="str">
        <f t="shared" si="0"/>
        <v>description,dailCompDescDefense55,</v>
      </c>
      <c r="D57" s="5" t="str">
        <f t="shared" si="2"/>
        <v>itemText,dailCompTextDefense55,</v>
      </c>
      <c r="E57" s="5" t="str">
        <f t="shared" si="14"/>
        <v>augmentSkillLevel1,5,</v>
      </c>
      <c r="F57" s="5" t="str">
        <f t="shared" si="15"/>
        <v>augmentSkillName1,records/skillsdefense/battleawareness.dbr,,</v>
      </c>
      <c r="G57" s="7">
        <f t="shared" si="10"/>
        <v>55</v>
      </c>
      <c r="H57" s="8" t="str">
        <f t="shared" si="11"/>
        <v>Defense</v>
      </c>
      <c r="I57" s="3" t="s">
        <v>585</v>
      </c>
      <c r="J57" s="8" t="str">
        <f t="shared" si="22"/>
        <v>class0016</v>
      </c>
      <c r="K57" s="8" t="str">
        <f t="shared" si="22"/>
        <v>dailoneskill0016</v>
      </c>
      <c r="L57" s="5" t="str">
        <f t="shared" si="4"/>
        <v>lootName55,DAIL/items/materia/class0016/Defense55.dbr,</v>
      </c>
      <c r="M57" s="5" t="str">
        <f t="shared" si="5"/>
        <v>lootWeight55,1,</v>
      </c>
      <c r="N57" t="str">
        <f t="shared" si="6"/>
        <v>5</v>
      </c>
      <c r="O57" t="str">
        <f t="shared" si="16"/>
        <v>copy .\dail_base3.dbr .\items\materia\class0016\Defense55.dbr /y</v>
      </c>
      <c r="P57" t="str">
        <f t="shared" si="7"/>
        <v>echo relicBitmap,items/craftingparts/components/component_a52_bristlyfur_b.tex, &gt;&gt; .\items\materia\class0016\Defense55.dbr</v>
      </c>
      <c r="Q57" t="str">
        <f t="shared" si="7"/>
        <v>echo itemCost,500000, &gt;&gt; .\items\materia\class0016\Defense55.dbr</v>
      </c>
      <c r="R57" t="str">
        <f t="shared" si="7"/>
        <v>echo description,dailCompDescDefense55, &gt;&gt; .\items\materia\class0016\Defense55.dbr</v>
      </c>
      <c r="S57" t="str">
        <f t="shared" si="7"/>
        <v>echo itemText,dailCompTextDefense55, &gt;&gt; .\items\materia\class0016\Defense55.dbr</v>
      </c>
      <c r="T57" t="str">
        <f t="shared" si="7"/>
        <v>echo augmentSkillLevel1,5, &gt;&gt; .\items\materia\class0016\Defense55.dbr</v>
      </c>
      <c r="U57" t="str">
        <f t="shared" si="7"/>
        <v>echo augmentSkillName1,records/skillsdefense/battleawareness.dbr,, &gt;&gt; .\items\materia\class0016\Defense55.dbr</v>
      </c>
      <c r="V57" s="5" t="s">
        <v>36</v>
      </c>
      <c r="W57" t="str">
        <f t="shared" si="8"/>
        <v>echo lootName55,DAIL/items/materia/class0016/Defense55.dbr, &gt;&gt; .\items\loottables\dailoneskill0016.dbr</v>
      </c>
      <c r="X57" t="str">
        <f t="shared" si="8"/>
        <v>echo lootWeight55,1, &gt;&gt; .\items\loottables\dailoneskill0016.dbr</v>
      </c>
      <c r="Y57" s="5" t="s">
        <v>36</v>
      </c>
      <c r="Z57" t="str">
        <f t="shared" si="9"/>
        <v xml:space="preserve"> dailCompDescDefense55=^pDefense's Gift of DAIL</v>
      </c>
      <c r="AA57" t="str">
        <f t="shared" si="17"/>
        <v>dailCompTextDefense55=^oThis feels warm to the touch, almost familiar ^w(This component only fits into the Medal Slot)</v>
      </c>
      <c r="AB57" s="5" t="s">
        <v>36</v>
      </c>
      <c r="AH57">
        <f t="shared" si="19"/>
        <v>52</v>
      </c>
      <c r="AI57">
        <f t="shared" si="13"/>
        <v>28</v>
      </c>
      <c r="AJ57">
        <f t="shared" si="18"/>
        <v>5</v>
      </c>
    </row>
    <row r="58" spans="1:36" x14ac:dyDescent="0.25">
      <c r="A58" s="5" t="s">
        <v>39</v>
      </c>
      <c r="B58" s="5" t="s">
        <v>30</v>
      </c>
      <c r="C58" s="5" t="str">
        <f t="shared" si="0"/>
        <v>description,dailCompDescDefense56,</v>
      </c>
      <c r="D58" s="5" t="str">
        <f t="shared" si="2"/>
        <v>itemText,dailCompTextDefense56,</v>
      </c>
      <c r="E58" s="5" t="str">
        <f t="shared" si="14"/>
        <v>augmentSkillLevel1,5,</v>
      </c>
      <c r="F58" s="5" t="str">
        <f t="shared" si="15"/>
        <v>augmentSkillName1,records/skillsdefense/battleawareness_focus.dbr,,</v>
      </c>
      <c r="G58" s="7">
        <f t="shared" si="10"/>
        <v>56</v>
      </c>
      <c r="H58" s="8" t="str">
        <f t="shared" si="11"/>
        <v>Defense</v>
      </c>
      <c r="I58" s="3" t="s">
        <v>586</v>
      </c>
      <c r="J58" s="8" t="str">
        <f t="shared" si="22"/>
        <v>class0016</v>
      </c>
      <c r="K58" s="8" t="str">
        <f t="shared" si="22"/>
        <v>dailoneskill0016</v>
      </c>
      <c r="L58" s="5" t="str">
        <f t="shared" si="4"/>
        <v>lootName56,DAIL/items/materia/class0016/Defense56.dbr,</v>
      </c>
      <c r="M58" s="5" t="str">
        <f t="shared" si="5"/>
        <v>lootWeight56,1,</v>
      </c>
      <c r="N58" t="str">
        <f t="shared" si="6"/>
        <v>5</v>
      </c>
      <c r="O58" t="str">
        <f t="shared" si="16"/>
        <v>copy .\dail_base3.dbr .\items\materia\class0016\Defense56.dbr /y</v>
      </c>
      <c r="P58" t="str">
        <f t="shared" si="7"/>
        <v>echo relicBitmap,items/craftingparts/components/component_a52_bristlyfur_b.tex, &gt;&gt; .\items\materia\class0016\Defense56.dbr</v>
      </c>
      <c r="Q58" t="str">
        <f t="shared" si="7"/>
        <v>echo itemCost,500000, &gt;&gt; .\items\materia\class0016\Defense56.dbr</v>
      </c>
      <c r="R58" t="str">
        <f t="shared" si="7"/>
        <v>echo description,dailCompDescDefense56, &gt;&gt; .\items\materia\class0016\Defense56.dbr</v>
      </c>
      <c r="S58" t="str">
        <f t="shared" si="7"/>
        <v>echo itemText,dailCompTextDefense56, &gt;&gt; .\items\materia\class0016\Defense56.dbr</v>
      </c>
      <c r="T58" t="str">
        <f t="shared" si="7"/>
        <v>echo augmentSkillLevel1,5, &gt;&gt; .\items\materia\class0016\Defense56.dbr</v>
      </c>
      <c r="U58" t="str">
        <f t="shared" si="7"/>
        <v>echo augmentSkillName1,records/skillsdefense/battleawareness_focus.dbr,, &gt;&gt; .\items\materia\class0016\Defense56.dbr</v>
      </c>
      <c r="V58" s="5" t="s">
        <v>36</v>
      </c>
      <c r="W58" t="str">
        <f t="shared" si="8"/>
        <v>echo lootName56,DAIL/items/materia/class0016/Defense56.dbr, &gt;&gt; .\items\loottables\dailoneskill0016.dbr</v>
      </c>
      <c r="X58" t="str">
        <f t="shared" si="8"/>
        <v>echo lootWeight56,1, &gt;&gt; .\items\loottables\dailoneskill0016.dbr</v>
      </c>
      <c r="Y58" s="5" t="s">
        <v>36</v>
      </c>
      <c r="Z58" t="str">
        <f t="shared" si="9"/>
        <v xml:space="preserve"> dailCompDescDefense56=^pDefense's Gift of DAIL</v>
      </c>
      <c r="AA58" t="str">
        <f t="shared" si="17"/>
        <v>dailCompTextDefense56=^oThis feels warm to the touch, almost familiar ^w(This component only fits into the Medal Slot)</v>
      </c>
      <c r="AB58" s="5" t="s">
        <v>36</v>
      </c>
      <c r="AH58">
        <f t="shared" si="19"/>
        <v>53</v>
      </c>
      <c r="AI58">
        <f t="shared" si="13"/>
        <v>34</v>
      </c>
      <c r="AJ58">
        <f t="shared" si="18"/>
        <v>5</v>
      </c>
    </row>
    <row r="59" spans="1:36" x14ac:dyDescent="0.25">
      <c r="A59" s="5" t="s">
        <v>39</v>
      </c>
      <c r="B59" s="5" t="s">
        <v>30</v>
      </c>
      <c r="C59" s="5" t="str">
        <f t="shared" si="0"/>
        <v>description,dailCompDescDefense57,</v>
      </c>
      <c r="D59" s="5" t="str">
        <f t="shared" si="2"/>
        <v>itemText,dailCompTextDefense57,</v>
      </c>
      <c r="E59" s="5" t="str">
        <f t="shared" si="14"/>
        <v>augmentSkillLevel1,5,</v>
      </c>
      <c r="F59" s="5" t="str">
        <f t="shared" si="15"/>
        <v>augmentSkillName1,records/skillsdefense/battleawareness_ironwill.dbr,,</v>
      </c>
      <c r="G59" s="7">
        <f t="shared" si="10"/>
        <v>57</v>
      </c>
      <c r="H59" s="8" t="str">
        <f t="shared" si="11"/>
        <v>Defense</v>
      </c>
      <c r="I59" s="3" t="s">
        <v>587</v>
      </c>
      <c r="J59" s="8" t="str">
        <f t="shared" si="22"/>
        <v>class0016</v>
      </c>
      <c r="K59" s="8" t="str">
        <f t="shared" si="22"/>
        <v>dailoneskill0016</v>
      </c>
      <c r="L59" s="5" t="str">
        <f t="shared" si="4"/>
        <v>lootName57,DAIL/items/materia/class0016/Defense57.dbr,</v>
      </c>
      <c r="M59" s="5" t="str">
        <f t="shared" si="5"/>
        <v>lootWeight57,1,</v>
      </c>
      <c r="N59" t="str">
        <f t="shared" si="6"/>
        <v>5</v>
      </c>
      <c r="O59" t="str">
        <f t="shared" si="16"/>
        <v>copy .\dail_base3.dbr .\items\materia\class0016\Defense57.dbr /y</v>
      </c>
      <c r="P59" t="str">
        <f t="shared" ref="P59:U101" si="23">IF($I59&lt;&gt;"","echo "&amp;A59&amp;" &gt;&gt; .\items\materia\"&amp;$J59&amp;"\"&amp;$H59&amp;$G59&amp;".dbr","")</f>
        <v>echo relicBitmap,items/craftingparts/components/component_a52_bristlyfur_b.tex, &gt;&gt; .\items\materia\class0016\Defense57.dbr</v>
      </c>
      <c r="Q59" t="str">
        <f t="shared" si="23"/>
        <v>echo itemCost,500000, &gt;&gt; .\items\materia\class0016\Defense57.dbr</v>
      </c>
      <c r="R59" t="str">
        <f t="shared" si="23"/>
        <v>echo description,dailCompDescDefense57, &gt;&gt; .\items\materia\class0016\Defense57.dbr</v>
      </c>
      <c r="S59" t="str">
        <f t="shared" si="23"/>
        <v>echo itemText,dailCompTextDefense57, &gt;&gt; .\items\materia\class0016\Defense57.dbr</v>
      </c>
      <c r="T59" t="str">
        <f t="shared" si="23"/>
        <v>echo augmentSkillLevel1,5, &gt;&gt; .\items\materia\class0016\Defense57.dbr</v>
      </c>
      <c r="U59" t="str">
        <f t="shared" si="23"/>
        <v>echo augmentSkillName1,records/skillsdefense/battleawareness_ironwill.dbr,, &gt;&gt; .\items\materia\class0016\Defense57.dbr</v>
      </c>
      <c r="V59" s="5" t="s">
        <v>36</v>
      </c>
      <c r="W59" t="str">
        <f t="shared" si="8"/>
        <v>echo lootName57,DAIL/items/materia/class0016/Defense57.dbr, &gt;&gt; .\items\loottables\dailoneskill0016.dbr</v>
      </c>
      <c r="X59" t="str">
        <f t="shared" si="8"/>
        <v>echo lootWeight57,1, &gt;&gt; .\items\loottables\dailoneskill0016.dbr</v>
      </c>
      <c r="Y59" s="5" t="s">
        <v>36</v>
      </c>
      <c r="Z59" t="str">
        <f t="shared" si="9"/>
        <v xml:space="preserve"> dailCompDescDefense57=^pDefense's Gift of DAIL</v>
      </c>
      <c r="AA59" t="str">
        <f t="shared" si="17"/>
        <v>dailCompTextDefense57=^oThis feels warm to the touch, almost familiar ^w(This component only fits into the Medal Slot)</v>
      </c>
      <c r="AB59" s="5" t="s">
        <v>36</v>
      </c>
      <c r="AH59">
        <f t="shared" si="19"/>
        <v>54</v>
      </c>
      <c r="AI59">
        <f t="shared" si="13"/>
        <v>37</v>
      </c>
      <c r="AJ59">
        <f t="shared" si="18"/>
        <v>5</v>
      </c>
    </row>
    <row r="60" spans="1:36" x14ac:dyDescent="0.25">
      <c r="A60" s="5" t="s">
        <v>39</v>
      </c>
      <c r="B60" s="5" t="s">
        <v>30</v>
      </c>
      <c r="C60" s="5" t="str">
        <f t="shared" si="0"/>
        <v>description,dailCompDescDefense58,</v>
      </c>
      <c r="D60" s="5" t="str">
        <f t="shared" si="2"/>
        <v>itemText,dailCompTextDefense58,</v>
      </c>
      <c r="E60" s="5" t="str">
        <f t="shared" si="14"/>
        <v>augmentSkillLevel1,5,</v>
      </c>
      <c r="F60" s="5" t="str">
        <f t="shared" si="15"/>
        <v>augmentSkillName1,records/skillsdefense/quickrecovery.dbr,,</v>
      </c>
      <c r="G60" s="7">
        <f t="shared" si="10"/>
        <v>58</v>
      </c>
      <c r="H60" s="8" t="str">
        <f t="shared" si="11"/>
        <v>Defense</v>
      </c>
      <c r="I60" s="3" t="s">
        <v>588</v>
      </c>
      <c r="J60" s="8" t="str">
        <f t="shared" si="22"/>
        <v>class0016</v>
      </c>
      <c r="K60" s="8" t="str">
        <f t="shared" si="22"/>
        <v>dailoneskill0016</v>
      </c>
      <c r="L60" s="5" t="str">
        <f t="shared" si="4"/>
        <v>lootName58,DAIL/items/materia/class0016/Defense58.dbr,</v>
      </c>
      <c r="M60" s="5" t="str">
        <f t="shared" si="5"/>
        <v>lootWeight58,1,</v>
      </c>
      <c r="N60" t="str">
        <f t="shared" si="6"/>
        <v>5</v>
      </c>
      <c r="O60" t="str">
        <f t="shared" si="16"/>
        <v>copy .\dail_base3.dbr .\items\materia\class0016\Defense58.dbr /y</v>
      </c>
      <c r="P60" t="str">
        <f t="shared" si="23"/>
        <v>echo relicBitmap,items/craftingparts/components/component_a52_bristlyfur_b.tex, &gt;&gt; .\items\materia\class0016\Defense58.dbr</v>
      </c>
      <c r="Q60" t="str">
        <f t="shared" si="23"/>
        <v>echo itemCost,500000, &gt;&gt; .\items\materia\class0016\Defense58.dbr</v>
      </c>
      <c r="R60" t="str">
        <f t="shared" si="23"/>
        <v>echo description,dailCompDescDefense58, &gt;&gt; .\items\materia\class0016\Defense58.dbr</v>
      </c>
      <c r="S60" t="str">
        <f t="shared" si="23"/>
        <v>echo itemText,dailCompTextDefense58, &gt;&gt; .\items\materia\class0016\Defense58.dbr</v>
      </c>
      <c r="T60" t="str">
        <f t="shared" si="23"/>
        <v>echo augmentSkillLevel1,5, &gt;&gt; .\items\materia\class0016\Defense58.dbr</v>
      </c>
      <c r="U60" t="str">
        <f t="shared" si="23"/>
        <v>echo augmentSkillName1,records/skillsdefense/quickrecovery.dbr,, &gt;&gt; .\items\materia\class0016\Defense58.dbr</v>
      </c>
      <c r="V60" s="5" t="s">
        <v>36</v>
      </c>
      <c r="W60" t="str">
        <f t="shared" si="8"/>
        <v>echo lootName58,DAIL/items/materia/class0016/Defense58.dbr, &gt;&gt; .\items\loottables\dailoneskill0016.dbr</v>
      </c>
      <c r="X60" t="str">
        <f t="shared" si="8"/>
        <v>echo lootWeight58,1, &gt;&gt; .\items\loottables\dailoneskill0016.dbr</v>
      </c>
      <c r="Y60" s="5" t="s">
        <v>36</v>
      </c>
      <c r="Z60" t="str">
        <f t="shared" si="9"/>
        <v xml:space="preserve"> dailCompDescDefense58=^pDefense's Gift of DAIL</v>
      </c>
      <c r="AA60" t="str">
        <f t="shared" si="17"/>
        <v>dailCompTextDefense58=^oThis feels warm to the touch, almost familiar ^w(This component only fits into the Medal Slot)</v>
      </c>
      <c r="AB60" s="5" t="s">
        <v>36</v>
      </c>
      <c r="AH60">
        <f t="shared" si="19"/>
        <v>55</v>
      </c>
      <c r="AI60">
        <f t="shared" si="13"/>
        <v>26</v>
      </c>
      <c r="AJ60">
        <f t="shared" si="18"/>
        <v>5</v>
      </c>
    </row>
    <row r="61" spans="1:36" x14ac:dyDescent="0.25">
      <c r="A61" s="5" t="s">
        <v>39</v>
      </c>
      <c r="B61" s="5" t="s">
        <v>30</v>
      </c>
      <c r="C61" s="5" t="str">
        <f t="shared" si="0"/>
        <v>description,dailCompDescDefense59,</v>
      </c>
      <c r="D61" s="5" t="str">
        <f t="shared" si="2"/>
        <v>itemText,dailCompTextDefense59,</v>
      </c>
      <c r="E61" s="5" t="str">
        <f t="shared" si="14"/>
        <v>augmentSkillLevel1,5,</v>
      </c>
      <c r="F61" s="5" t="str">
        <f t="shared" si="15"/>
        <v>augmentSkillName1,records/skillsdefense/batter.dbr,,</v>
      </c>
      <c r="G61" s="7">
        <f t="shared" si="10"/>
        <v>59</v>
      </c>
      <c r="H61" s="8" t="str">
        <f t="shared" si="11"/>
        <v>Defense</v>
      </c>
      <c r="I61" s="3" t="s">
        <v>589</v>
      </c>
      <c r="J61" s="8" t="str">
        <f t="shared" si="22"/>
        <v>class0016</v>
      </c>
      <c r="K61" s="8" t="str">
        <f t="shared" si="22"/>
        <v>dailoneskill0016</v>
      </c>
      <c r="L61" s="5" t="str">
        <f t="shared" si="4"/>
        <v>lootName59,DAIL/items/materia/class0016/Defense59.dbr,</v>
      </c>
      <c r="M61" s="5" t="str">
        <f t="shared" si="5"/>
        <v>lootWeight59,1,</v>
      </c>
      <c r="N61" t="str">
        <f t="shared" si="6"/>
        <v>5</v>
      </c>
      <c r="O61" t="str">
        <f t="shared" si="16"/>
        <v>copy .\dail_base3.dbr .\items\materia\class0016\Defense59.dbr /y</v>
      </c>
      <c r="P61" t="str">
        <f t="shared" si="23"/>
        <v>echo relicBitmap,items/craftingparts/components/component_a52_bristlyfur_b.tex, &gt;&gt; .\items\materia\class0016\Defense59.dbr</v>
      </c>
      <c r="Q61" t="str">
        <f t="shared" si="23"/>
        <v>echo itemCost,500000, &gt;&gt; .\items\materia\class0016\Defense59.dbr</v>
      </c>
      <c r="R61" t="str">
        <f t="shared" si="23"/>
        <v>echo description,dailCompDescDefense59, &gt;&gt; .\items\materia\class0016\Defense59.dbr</v>
      </c>
      <c r="S61" t="str">
        <f t="shared" si="23"/>
        <v>echo itemText,dailCompTextDefense59, &gt;&gt; .\items\materia\class0016\Defense59.dbr</v>
      </c>
      <c r="T61" t="str">
        <f t="shared" si="23"/>
        <v>echo augmentSkillLevel1,5, &gt;&gt; .\items\materia\class0016\Defense59.dbr</v>
      </c>
      <c r="U61" t="str">
        <f t="shared" si="23"/>
        <v>echo augmentSkillName1,records/skillsdefense/batter.dbr,, &gt;&gt; .\items\materia\class0016\Defense59.dbr</v>
      </c>
      <c r="V61" s="5" t="s">
        <v>36</v>
      </c>
      <c r="W61" t="str">
        <f t="shared" si="8"/>
        <v>echo lootName59,DAIL/items/materia/class0016/Defense59.dbr, &gt;&gt; .\items\loottables\dailoneskill0016.dbr</v>
      </c>
      <c r="X61" t="str">
        <f t="shared" si="8"/>
        <v>echo lootWeight59,1, &gt;&gt; .\items\loottables\dailoneskill0016.dbr</v>
      </c>
      <c r="Y61" s="5" t="s">
        <v>36</v>
      </c>
      <c r="Z61" t="str">
        <f t="shared" si="9"/>
        <v xml:space="preserve"> dailCompDescDefense59=^pDefense's Gift of DAIL</v>
      </c>
      <c r="AA61" t="str">
        <f t="shared" si="17"/>
        <v>dailCompTextDefense59=^oThis feels warm to the touch, almost familiar ^w(This component only fits into the Medal Slot)</v>
      </c>
      <c r="AB61" s="5" t="s">
        <v>36</v>
      </c>
      <c r="AH61">
        <f t="shared" si="19"/>
        <v>56</v>
      </c>
      <c r="AI61">
        <f t="shared" si="13"/>
        <v>19</v>
      </c>
      <c r="AJ61">
        <f t="shared" si="18"/>
        <v>5</v>
      </c>
    </row>
    <row r="62" spans="1:36" x14ac:dyDescent="0.25">
      <c r="A62" s="5" t="s">
        <v>39</v>
      </c>
      <c r="B62" s="5" t="s">
        <v>30</v>
      </c>
      <c r="C62" s="5" t="str">
        <f t="shared" si="0"/>
        <v>description,dailCompDescDefense60,</v>
      </c>
      <c r="D62" s="5" t="str">
        <f t="shared" si="2"/>
        <v>itemText,dailCompTextDefense60,</v>
      </c>
      <c r="E62" s="5" t="str">
        <f t="shared" si="14"/>
        <v>augmentSkillLevel1,5,</v>
      </c>
      <c r="F62" s="5" t="str">
        <f t="shared" si="15"/>
        <v>augmentSkillName1,records/skillsdefense/batter_rendarmor.dbr,,</v>
      </c>
      <c r="G62" s="7">
        <f t="shared" si="10"/>
        <v>60</v>
      </c>
      <c r="H62" s="8" t="str">
        <f t="shared" si="11"/>
        <v>Defense</v>
      </c>
      <c r="I62" s="3" t="s">
        <v>590</v>
      </c>
      <c r="J62" s="8" t="str">
        <f t="shared" si="22"/>
        <v>class0016</v>
      </c>
      <c r="K62" s="8" t="str">
        <f t="shared" si="22"/>
        <v>dailoneskill0016</v>
      </c>
      <c r="L62" s="5" t="str">
        <f t="shared" si="4"/>
        <v>lootName60,DAIL/items/materia/class0016/Defense60.dbr,</v>
      </c>
      <c r="M62" s="5" t="str">
        <f t="shared" si="5"/>
        <v>lootWeight60,1,</v>
      </c>
      <c r="N62" t="str">
        <f t="shared" si="6"/>
        <v>5</v>
      </c>
      <c r="O62" t="str">
        <f t="shared" si="16"/>
        <v>copy .\dail_base3.dbr .\items\materia\class0016\Defense60.dbr /y</v>
      </c>
      <c r="P62" t="str">
        <f t="shared" si="23"/>
        <v>echo relicBitmap,items/craftingparts/components/component_a52_bristlyfur_b.tex, &gt;&gt; .\items\materia\class0016\Defense60.dbr</v>
      </c>
      <c r="Q62" t="str">
        <f t="shared" si="23"/>
        <v>echo itemCost,500000, &gt;&gt; .\items\materia\class0016\Defense60.dbr</v>
      </c>
      <c r="R62" t="str">
        <f t="shared" si="23"/>
        <v>echo description,dailCompDescDefense60, &gt;&gt; .\items\materia\class0016\Defense60.dbr</v>
      </c>
      <c r="S62" t="str">
        <f t="shared" si="23"/>
        <v>echo itemText,dailCompTextDefense60, &gt;&gt; .\items\materia\class0016\Defense60.dbr</v>
      </c>
      <c r="T62" t="str">
        <f t="shared" si="23"/>
        <v>echo augmentSkillLevel1,5, &gt;&gt; .\items\materia\class0016\Defense60.dbr</v>
      </c>
      <c r="U62" t="str">
        <f t="shared" si="23"/>
        <v>echo augmentSkillName1,records/skillsdefense/batter_rendarmor.dbr,, &gt;&gt; .\items\materia\class0016\Defense60.dbr</v>
      </c>
      <c r="V62" s="5" t="s">
        <v>36</v>
      </c>
      <c r="W62" t="str">
        <f t="shared" si="8"/>
        <v>echo lootName60,DAIL/items/materia/class0016/Defense60.dbr, &gt;&gt; .\items\loottables\dailoneskill0016.dbr</v>
      </c>
      <c r="X62" t="str">
        <f t="shared" si="8"/>
        <v>echo lootWeight60,1, &gt;&gt; .\items\loottables\dailoneskill0016.dbr</v>
      </c>
      <c r="Y62" s="5" t="s">
        <v>36</v>
      </c>
      <c r="Z62" t="str">
        <f t="shared" si="9"/>
        <v xml:space="preserve"> dailCompDescDefense60=^pDefense's Gift of DAIL</v>
      </c>
      <c r="AA62" t="str">
        <f t="shared" si="17"/>
        <v>dailCompTextDefense60=^oThis feels warm to the touch, almost familiar ^w(This component only fits into the Medal Slot)</v>
      </c>
      <c r="AB62" s="5" t="s">
        <v>36</v>
      </c>
      <c r="AH62">
        <f t="shared" si="19"/>
        <v>57</v>
      </c>
      <c r="AI62">
        <f t="shared" si="13"/>
        <v>29</v>
      </c>
      <c r="AJ62">
        <f t="shared" si="18"/>
        <v>5</v>
      </c>
    </row>
    <row r="63" spans="1:36" x14ac:dyDescent="0.25">
      <c r="A63" s="5" t="s">
        <v>39</v>
      </c>
      <c r="B63" s="5" t="s">
        <v>30</v>
      </c>
      <c r="C63" s="5" t="str">
        <f t="shared" si="0"/>
        <v>description,dailCompDescDefense61,</v>
      </c>
      <c r="D63" s="5" t="str">
        <f t="shared" si="2"/>
        <v>itemText,dailCompTextDefense61,</v>
      </c>
      <c r="E63" s="5" t="str">
        <f t="shared" si="14"/>
        <v>augmentSkillLevel1,5,</v>
      </c>
      <c r="F63" s="5" t="str">
        <f t="shared" si="15"/>
        <v>augmentSkillName1,records/skillsdefense/shieldcharge.dbr,,</v>
      </c>
      <c r="G63" s="7">
        <f t="shared" si="10"/>
        <v>61</v>
      </c>
      <c r="H63" s="8" t="str">
        <f t="shared" si="11"/>
        <v>Defense</v>
      </c>
      <c r="I63" s="3" t="s">
        <v>591</v>
      </c>
      <c r="J63" s="8" t="str">
        <f t="shared" si="22"/>
        <v>class0016</v>
      </c>
      <c r="K63" s="8" t="str">
        <f t="shared" si="22"/>
        <v>dailoneskill0016</v>
      </c>
      <c r="L63" s="5" t="str">
        <f t="shared" si="4"/>
        <v>lootName61,DAIL/items/materia/class0016/Defense61.dbr,</v>
      </c>
      <c r="M63" s="5" t="str">
        <f t="shared" si="5"/>
        <v>lootWeight61,1,</v>
      </c>
      <c r="N63" t="str">
        <f t="shared" si="6"/>
        <v>5</v>
      </c>
      <c r="O63" t="str">
        <f t="shared" si="16"/>
        <v>copy .\dail_base3.dbr .\items\materia\class0016\Defense61.dbr /y</v>
      </c>
      <c r="P63" t="str">
        <f t="shared" si="23"/>
        <v>echo relicBitmap,items/craftingparts/components/component_a52_bristlyfur_b.tex, &gt;&gt; .\items\materia\class0016\Defense61.dbr</v>
      </c>
      <c r="Q63" t="str">
        <f t="shared" si="23"/>
        <v>echo itemCost,500000, &gt;&gt; .\items\materia\class0016\Defense61.dbr</v>
      </c>
      <c r="R63" t="str">
        <f t="shared" si="23"/>
        <v>echo description,dailCompDescDefense61, &gt;&gt; .\items\materia\class0016\Defense61.dbr</v>
      </c>
      <c r="S63" t="str">
        <f t="shared" si="23"/>
        <v>echo itemText,dailCompTextDefense61, &gt;&gt; .\items\materia\class0016\Defense61.dbr</v>
      </c>
      <c r="T63" t="str">
        <f t="shared" si="23"/>
        <v>echo augmentSkillLevel1,5, &gt;&gt; .\items\materia\class0016\Defense61.dbr</v>
      </c>
      <c r="U63" t="str">
        <f t="shared" si="23"/>
        <v>echo augmentSkillName1,records/skillsdefense/shieldcharge.dbr,, &gt;&gt; .\items\materia\class0016\Defense61.dbr</v>
      </c>
      <c r="V63" s="5" t="s">
        <v>36</v>
      </c>
      <c r="W63" t="str">
        <f t="shared" si="8"/>
        <v>echo lootName61,DAIL/items/materia/class0016/Defense61.dbr, &gt;&gt; .\items\loottables\dailoneskill0016.dbr</v>
      </c>
      <c r="X63" t="str">
        <f t="shared" si="8"/>
        <v>echo lootWeight61,1, &gt;&gt; .\items\loottables\dailoneskill0016.dbr</v>
      </c>
      <c r="Y63" s="5" t="s">
        <v>36</v>
      </c>
      <c r="Z63" t="str">
        <f t="shared" si="9"/>
        <v xml:space="preserve"> dailCompDescDefense61=^pDefense's Gift of DAIL</v>
      </c>
      <c r="AA63" t="str">
        <f t="shared" si="17"/>
        <v>dailCompTextDefense61=^oThis feels warm to the touch, almost familiar ^w(This component only fits into the Medal Slot)</v>
      </c>
      <c r="AB63" s="5" t="s">
        <v>36</v>
      </c>
      <c r="AH63">
        <f t="shared" si="19"/>
        <v>58</v>
      </c>
      <c r="AI63">
        <f t="shared" si="13"/>
        <v>25</v>
      </c>
      <c r="AJ63">
        <f t="shared" si="18"/>
        <v>5</v>
      </c>
    </row>
    <row r="64" spans="1:36" x14ac:dyDescent="0.25">
      <c r="A64" s="5" t="s">
        <v>39</v>
      </c>
      <c r="B64" s="5" t="s">
        <v>30</v>
      </c>
      <c r="C64" s="5" t="str">
        <f t="shared" si="0"/>
        <v>description,dailCompDescDefense62,</v>
      </c>
      <c r="D64" s="5" t="str">
        <f t="shared" si="2"/>
        <v>itemText,dailCompTextDefense62,</v>
      </c>
      <c r="E64" s="5" t="str">
        <f t="shared" si="14"/>
        <v>augmentSkillLevel1,5,</v>
      </c>
      <c r="F64" s="5" t="str">
        <f t="shared" si="15"/>
        <v>augmentSkillName1,records/skillsdefense/shieldcharge_disruption.dbr,,</v>
      </c>
      <c r="G64" s="7">
        <f t="shared" si="10"/>
        <v>62</v>
      </c>
      <c r="H64" s="8" t="str">
        <f t="shared" si="11"/>
        <v>Defense</v>
      </c>
      <c r="I64" s="3" t="s">
        <v>592</v>
      </c>
      <c r="J64" s="8" t="str">
        <f t="shared" si="22"/>
        <v>class0016</v>
      </c>
      <c r="K64" s="8" t="str">
        <f t="shared" si="22"/>
        <v>dailoneskill0016</v>
      </c>
      <c r="L64" s="5" t="str">
        <f t="shared" si="4"/>
        <v>lootName62,DAIL/items/materia/class0016/Defense62.dbr,</v>
      </c>
      <c r="M64" s="5" t="str">
        <f t="shared" si="5"/>
        <v>lootWeight62,1,</v>
      </c>
      <c r="N64" t="str">
        <f t="shared" si="6"/>
        <v>5</v>
      </c>
      <c r="O64" t="str">
        <f t="shared" si="16"/>
        <v>copy .\dail_base3.dbr .\items\materia\class0016\Defense62.dbr /y</v>
      </c>
      <c r="P64" t="str">
        <f t="shared" si="23"/>
        <v>echo relicBitmap,items/craftingparts/components/component_a52_bristlyfur_b.tex, &gt;&gt; .\items\materia\class0016\Defense62.dbr</v>
      </c>
      <c r="Q64" t="str">
        <f t="shared" si="23"/>
        <v>echo itemCost,500000, &gt;&gt; .\items\materia\class0016\Defense62.dbr</v>
      </c>
      <c r="R64" t="str">
        <f t="shared" si="23"/>
        <v>echo description,dailCompDescDefense62, &gt;&gt; .\items\materia\class0016\Defense62.dbr</v>
      </c>
      <c r="S64" t="str">
        <f t="shared" si="23"/>
        <v>echo itemText,dailCompTextDefense62, &gt;&gt; .\items\materia\class0016\Defense62.dbr</v>
      </c>
      <c r="T64" t="str">
        <f t="shared" si="23"/>
        <v>echo augmentSkillLevel1,5, &gt;&gt; .\items\materia\class0016\Defense62.dbr</v>
      </c>
      <c r="U64" t="str">
        <f t="shared" si="23"/>
        <v>echo augmentSkillName1,records/skillsdefense/shieldcharge_disruption.dbr,, &gt;&gt; .\items\materia\class0016\Defense62.dbr</v>
      </c>
      <c r="V64" s="5" t="s">
        <v>36</v>
      </c>
      <c r="W64" t="str">
        <f t="shared" si="8"/>
        <v>echo lootName62,DAIL/items/materia/class0016/Defense62.dbr, &gt;&gt; .\items\loottables\dailoneskill0016.dbr</v>
      </c>
      <c r="X64" t="str">
        <f t="shared" si="8"/>
        <v>echo lootWeight62,1, &gt;&gt; .\items\loottables\dailoneskill0016.dbr</v>
      </c>
      <c r="Y64" s="5" t="s">
        <v>36</v>
      </c>
      <c r="Z64" t="str">
        <f t="shared" si="9"/>
        <v xml:space="preserve"> dailCompDescDefense62=^pDefense's Gift of DAIL</v>
      </c>
      <c r="AA64" t="str">
        <f t="shared" si="17"/>
        <v>dailCompTextDefense62=^oThis feels warm to the touch, almost familiar ^w(This component only fits into the Medal Slot)</v>
      </c>
      <c r="AB64" s="5" t="s">
        <v>36</v>
      </c>
      <c r="AH64">
        <f t="shared" si="19"/>
        <v>59</v>
      </c>
      <c r="AI64">
        <f t="shared" si="13"/>
        <v>36</v>
      </c>
      <c r="AJ64">
        <f t="shared" si="18"/>
        <v>5</v>
      </c>
    </row>
    <row r="65" spans="1:36" x14ac:dyDescent="0.25">
      <c r="A65" s="5" t="s">
        <v>39</v>
      </c>
      <c r="B65" s="5" t="s">
        <v>30</v>
      </c>
      <c r="C65" s="5" t="str">
        <f t="shared" si="0"/>
        <v>description,dailCompDescDefense63,</v>
      </c>
      <c r="D65" s="5" t="str">
        <f t="shared" si="2"/>
        <v>itemText,dailCompTextDefense63,</v>
      </c>
      <c r="E65" s="5" t="str">
        <f t="shared" si="14"/>
        <v>augmentSkillLevel1,5,</v>
      </c>
      <c r="F65" s="5" t="str">
        <f t="shared" si="15"/>
        <v>augmentSkillName1,records/skillsdefense/concussiveblow.dbr,,</v>
      </c>
      <c r="G65" s="7">
        <f t="shared" si="10"/>
        <v>63</v>
      </c>
      <c r="H65" s="8" t="str">
        <f t="shared" si="11"/>
        <v>Defense</v>
      </c>
      <c r="I65" s="3" t="s">
        <v>593</v>
      </c>
      <c r="J65" s="8" t="str">
        <f t="shared" si="22"/>
        <v>class0016</v>
      </c>
      <c r="K65" s="8" t="str">
        <f t="shared" si="22"/>
        <v>dailoneskill0016</v>
      </c>
      <c r="L65" s="5" t="str">
        <f t="shared" si="4"/>
        <v>lootName63,DAIL/items/materia/class0016/Defense63.dbr,</v>
      </c>
      <c r="M65" s="5" t="str">
        <f t="shared" si="5"/>
        <v>lootWeight63,1,</v>
      </c>
      <c r="N65" t="str">
        <f t="shared" si="6"/>
        <v>5</v>
      </c>
      <c r="O65" t="str">
        <f t="shared" si="16"/>
        <v>copy .\dail_base3.dbr .\items\materia\class0016\Defense63.dbr /y</v>
      </c>
      <c r="P65" t="str">
        <f t="shared" si="23"/>
        <v>echo relicBitmap,items/craftingparts/components/component_a52_bristlyfur_b.tex, &gt;&gt; .\items\materia\class0016\Defense63.dbr</v>
      </c>
      <c r="Q65" t="str">
        <f t="shared" si="23"/>
        <v>echo itemCost,500000, &gt;&gt; .\items\materia\class0016\Defense63.dbr</v>
      </c>
      <c r="R65" t="str">
        <f t="shared" si="23"/>
        <v>echo description,dailCompDescDefense63, &gt;&gt; .\items\materia\class0016\Defense63.dbr</v>
      </c>
      <c r="S65" t="str">
        <f t="shared" si="23"/>
        <v>echo itemText,dailCompTextDefense63, &gt;&gt; .\items\materia\class0016\Defense63.dbr</v>
      </c>
      <c r="T65" t="str">
        <f t="shared" si="23"/>
        <v>echo augmentSkillLevel1,5, &gt;&gt; .\items\materia\class0016\Defense63.dbr</v>
      </c>
      <c r="U65" t="str">
        <f t="shared" si="23"/>
        <v>echo augmentSkillName1,records/skillsdefense/concussiveblow.dbr,, &gt;&gt; .\items\materia\class0016\Defense63.dbr</v>
      </c>
      <c r="V65" s="5" t="s">
        <v>36</v>
      </c>
      <c r="W65" t="str">
        <f t="shared" si="8"/>
        <v>echo lootName63,DAIL/items/materia/class0016/Defense63.dbr, &gt;&gt; .\items\loottables\dailoneskill0016.dbr</v>
      </c>
      <c r="X65" t="str">
        <f t="shared" si="8"/>
        <v>echo lootWeight63,1, &gt;&gt; .\items\loottables\dailoneskill0016.dbr</v>
      </c>
      <c r="Y65" s="5" t="s">
        <v>36</v>
      </c>
      <c r="Z65" t="str">
        <f t="shared" si="9"/>
        <v xml:space="preserve"> dailCompDescDefense63=^pDefense's Gift of DAIL</v>
      </c>
      <c r="AA65" t="str">
        <f t="shared" si="17"/>
        <v>dailCompTextDefense63=^oThis feels warm to the touch, almost familiar ^w(This component only fits into the Medal Slot)</v>
      </c>
      <c r="AB65" s="5" t="s">
        <v>36</v>
      </c>
      <c r="AH65">
        <f t="shared" si="19"/>
        <v>60</v>
      </c>
      <c r="AI65">
        <f t="shared" si="13"/>
        <v>27</v>
      </c>
      <c r="AJ65">
        <f t="shared" si="18"/>
        <v>5</v>
      </c>
    </row>
    <row r="66" spans="1:36" x14ac:dyDescent="0.25">
      <c r="A66" s="5" t="s">
        <v>39</v>
      </c>
      <c r="B66" s="5" t="s">
        <v>30</v>
      </c>
      <c r="C66" s="5" t="str">
        <f t="shared" si="0"/>
        <v>description,dailCompDescDefense,</v>
      </c>
      <c r="D66" s="5" t="str">
        <f t="shared" si="2"/>
        <v>itemText,dailCompTextDefense,</v>
      </c>
      <c r="E66" s="5" t="str">
        <f t="shared" si="14"/>
        <v>augmentSkillLevel1,5,</v>
      </c>
      <c r="F66" s="5" t="str">
        <f t="shared" si="15"/>
        <v>augmentSkillName1,records/skills,</v>
      </c>
      <c r="G66" s="7" t="str">
        <f t="shared" si="10"/>
        <v/>
      </c>
      <c r="H66" s="8" t="str">
        <f t="shared" si="11"/>
        <v>Defense</v>
      </c>
      <c r="J66" s="8" t="str">
        <f t="shared" si="22"/>
        <v>class0016</v>
      </c>
      <c r="K66" s="8" t="str">
        <f t="shared" si="22"/>
        <v>dailoneskill0016</v>
      </c>
      <c r="L66" s="5" t="str">
        <f t="shared" si="4"/>
        <v>lootName,DAIL/items/materia/class0016/Defense.dbr,</v>
      </c>
      <c r="M66" s="5" t="str">
        <f t="shared" si="5"/>
        <v>lootWeight,1,</v>
      </c>
      <c r="N66" t="str">
        <f t="shared" si="6"/>
        <v>5</v>
      </c>
      <c r="O66" t="str">
        <f t="shared" si="16"/>
        <v/>
      </c>
      <c r="P66" t="str">
        <f t="shared" si="23"/>
        <v/>
      </c>
      <c r="Q66" t="str">
        <f t="shared" si="23"/>
        <v/>
      </c>
      <c r="R66" t="str">
        <f t="shared" si="23"/>
        <v/>
      </c>
      <c r="S66" t="str">
        <f t="shared" si="23"/>
        <v/>
      </c>
      <c r="T66" t="str">
        <f t="shared" si="23"/>
        <v/>
      </c>
      <c r="U66" t="str">
        <f t="shared" si="23"/>
        <v/>
      </c>
      <c r="V66" s="5" t="s">
        <v>36</v>
      </c>
      <c r="W66" t="str">
        <f t="shared" si="8"/>
        <v/>
      </c>
      <c r="X66" t="str">
        <f t="shared" si="8"/>
        <v/>
      </c>
      <c r="Y66" s="5" t="s">
        <v>36</v>
      </c>
      <c r="Z66" t="str">
        <f t="shared" si="9"/>
        <v xml:space="preserve"> dailCompDescDefense=^pDefense's Gift of DAIL</v>
      </c>
      <c r="AA66" t="str">
        <f t="shared" si="17"/>
        <v>dailCompTextDefense=^oThis feels warm to the touch, almost familiar ^w(This component only fits into the Medal Slot)</v>
      </c>
      <c r="AB66" s="5" t="s">
        <v>36</v>
      </c>
      <c r="AH66">
        <f t="shared" si="19"/>
        <v>61</v>
      </c>
      <c r="AI66">
        <f t="shared" si="13"/>
        <v>0</v>
      </c>
      <c r="AJ66">
        <f t="shared" si="18"/>
        <v>5</v>
      </c>
    </row>
    <row r="67" spans="1:36" x14ac:dyDescent="0.25">
      <c r="A67" s="5" t="s">
        <v>39</v>
      </c>
      <c r="B67" s="5" t="s">
        <v>30</v>
      </c>
      <c r="C67" s="5" t="str">
        <f t="shared" ref="C67:C102" si="24">"description,dailCompDesc"&amp;H67&amp;G67&amp;","</f>
        <v>description,dailCompDescDefense,</v>
      </c>
      <c r="D67" s="5" t="str">
        <f t="shared" si="2"/>
        <v>itemText,dailCompTextDefense,</v>
      </c>
      <c r="E67" s="5" t="str">
        <f t="shared" si="14"/>
        <v>augmentSkillLevel1,5,</v>
      </c>
      <c r="F67" s="5" t="str">
        <f t="shared" si="15"/>
        <v>augmentSkillName1,records/skills,</v>
      </c>
      <c r="G67" s="7" t="str">
        <f t="shared" si="10"/>
        <v/>
      </c>
      <c r="H67" s="8" t="str">
        <f t="shared" si="11"/>
        <v>Defense</v>
      </c>
      <c r="J67" s="8" t="str">
        <f t="shared" si="22"/>
        <v>class0016</v>
      </c>
      <c r="K67" s="8" t="str">
        <f t="shared" si="22"/>
        <v>dailoneskill0016</v>
      </c>
      <c r="L67" s="5" t="str">
        <f t="shared" si="4"/>
        <v>lootName,DAIL/items/materia/class0016/Defense.dbr,</v>
      </c>
      <c r="M67" s="5" t="str">
        <f t="shared" si="5"/>
        <v>lootWeight,1,</v>
      </c>
      <c r="N67" t="str">
        <f t="shared" si="6"/>
        <v>5</v>
      </c>
      <c r="O67" t="str">
        <f t="shared" si="16"/>
        <v/>
      </c>
      <c r="P67" t="str">
        <f t="shared" si="23"/>
        <v/>
      </c>
      <c r="Q67" t="str">
        <f t="shared" si="23"/>
        <v/>
      </c>
      <c r="R67" t="str">
        <f t="shared" si="23"/>
        <v/>
      </c>
      <c r="S67" t="str">
        <f t="shared" si="23"/>
        <v/>
      </c>
      <c r="T67" t="str">
        <f t="shared" si="23"/>
        <v/>
      </c>
      <c r="U67" t="str">
        <f t="shared" si="23"/>
        <v/>
      </c>
      <c r="V67" s="5" t="s">
        <v>36</v>
      </c>
      <c r="W67" t="str">
        <f t="shared" si="8"/>
        <v/>
      </c>
      <c r="X67" t="str">
        <f t="shared" si="8"/>
        <v/>
      </c>
      <c r="Y67" s="5" t="s">
        <v>36</v>
      </c>
      <c r="Z67" t="str">
        <f t="shared" si="9"/>
        <v/>
      </c>
      <c r="AA67" t="str">
        <f t="shared" si="17"/>
        <v/>
      </c>
      <c r="AB67" s="5" t="s">
        <v>36</v>
      </c>
      <c r="AH67">
        <f t="shared" si="19"/>
        <v>62</v>
      </c>
      <c r="AI67">
        <f t="shared" si="13"/>
        <v>0</v>
      </c>
      <c r="AJ67">
        <f t="shared" si="18"/>
        <v>5</v>
      </c>
    </row>
    <row r="68" spans="1:36" x14ac:dyDescent="0.25">
      <c r="A68" s="5" t="s">
        <v>39</v>
      </c>
      <c r="B68" s="5" t="s">
        <v>30</v>
      </c>
      <c r="C68" s="5" t="str">
        <f t="shared" si="24"/>
        <v>description,dailCompDescDefense,</v>
      </c>
      <c r="D68" s="5" t="str">
        <f t="shared" ref="D68:D102" si="25">"itemText,dailCompText"&amp;H68&amp;G68&amp;","</f>
        <v>itemText,dailCompTextDefense,</v>
      </c>
      <c r="E68" s="5" t="str">
        <f t="shared" si="14"/>
        <v>augmentSkillLevel1,5,</v>
      </c>
      <c r="F68" s="5" t="str">
        <f t="shared" si="15"/>
        <v>augmentSkillName1,records/skills,</v>
      </c>
      <c r="G68" s="7" t="str">
        <f t="shared" si="10"/>
        <v/>
      </c>
      <c r="H68" s="8" t="str">
        <f t="shared" si="11"/>
        <v>Defense</v>
      </c>
      <c r="J68" s="8" t="str">
        <f t="shared" si="22"/>
        <v>class0016</v>
      </c>
      <c r="K68" s="8" t="str">
        <f t="shared" si="22"/>
        <v>dailoneskill0016</v>
      </c>
      <c r="L68" s="5" t="str">
        <f t="shared" ref="L68:L102" si="26">"lootName"&amp;G68&amp;",DAIL/items/materia/"&amp;J68&amp;"/"&amp;H68&amp;G68&amp;".dbr"&amp;","</f>
        <v>lootName,DAIL/items/materia/class0016/Defense.dbr,</v>
      </c>
      <c r="M68" s="5" t="str">
        <f t="shared" ref="M68:M102" si="27">"lootWeight"&amp;G68&amp;",1,"</f>
        <v>lootWeight,1,</v>
      </c>
      <c r="N68" t="str">
        <f t="shared" ref="N68:N102" si="28">LEFT(RIGHT(E68,2),1)</f>
        <v>5</v>
      </c>
      <c r="O68" t="str">
        <f t="shared" si="16"/>
        <v/>
      </c>
      <c r="P68" t="str">
        <f t="shared" si="23"/>
        <v/>
      </c>
      <c r="Q68" t="str">
        <f t="shared" si="23"/>
        <v/>
      </c>
      <c r="R68" t="str">
        <f t="shared" si="23"/>
        <v/>
      </c>
      <c r="S68" t="str">
        <f t="shared" si="23"/>
        <v/>
      </c>
      <c r="T68" t="str">
        <f t="shared" si="23"/>
        <v/>
      </c>
      <c r="U68" t="str">
        <f t="shared" si="23"/>
        <v/>
      </c>
      <c r="V68" s="5" t="s">
        <v>36</v>
      </c>
      <c r="W68" t="str">
        <f t="shared" ref="W68:X102" si="29">IF($I68&lt;&gt;"","echo "&amp;L68&amp;" &gt;&gt; .\items\loottables\"&amp;$K68&amp;".dbr","")</f>
        <v/>
      </c>
      <c r="X68" t="str">
        <f t="shared" si="29"/>
        <v/>
      </c>
      <c r="Y68" s="5" t="s">
        <v>36</v>
      </c>
      <c r="Z68" t="str">
        <f t="shared" ref="Z68:Z102" si="30">IF(I67&lt;&gt;""," dailCompDesc"&amp;H68&amp;G68&amp;"=^p"&amp;H68&amp;"'s Gift of DAIL","")</f>
        <v/>
      </c>
      <c r="AA68" t="str">
        <f t="shared" si="17"/>
        <v/>
      </c>
      <c r="AB68" s="5" t="s">
        <v>36</v>
      </c>
      <c r="AH68">
        <f t="shared" si="19"/>
        <v>63</v>
      </c>
      <c r="AI68">
        <f t="shared" si="13"/>
        <v>0</v>
      </c>
      <c r="AJ68">
        <f t="shared" si="18"/>
        <v>5</v>
      </c>
    </row>
    <row r="69" spans="1:36" x14ac:dyDescent="0.25">
      <c r="A69" s="5" t="s">
        <v>39</v>
      </c>
      <c r="B69" s="5" t="s">
        <v>30</v>
      </c>
      <c r="C69" s="5" t="str">
        <f t="shared" si="24"/>
        <v>description,dailCompDescDefense,</v>
      </c>
      <c r="D69" s="5" t="str">
        <f t="shared" si="25"/>
        <v>itemText,dailCompTextDefense,</v>
      </c>
      <c r="E69" s="5" t="str">
        <f t="shared" si="14"/>
        <v>augmentSkillLevel1,5,</v>
      </c>
      <c r="F69" s="5" t="str">
        <f t="shared" si="15"/>
        <v>augmentSkillName1,records/skills,</v>
      </c>
      <c r="G69" s="7" t="str">
        <f t="shared" ref="G69:G102" si="31">IF(I69&lt;&gt;"",G68+1,"")</f>
        <v/>
      </c>
      <c r="H69" s="8" t="str">
        <f t="shared" ref="H69:H102" si="32">H68</f>
        <v>Defense</v>
      </c>
      <c r="J69" s="8" t="str">
        <f t="shared" ref="J69:K84" si="33">J68</f>
        <v>class0016</v>
      </c>
      <c r="K69" s="8" t="str">
        <f t="shared" si="33"/>
        <v>dailoneskill0016</v>
      </c>
      <c r="L69" s="5" t="str">
        <f t="shared" si="26"/>
        <v>lootName,DAIL/items/materia/class0016/Defense.dbr,</v>
      </c>
      <c r="M69" s="5" t="str">
        <f t="shared" si="27"/>
        <v>lootWeight,1,</v>
      </c>
      <c r="N69" t="str">
        <f t="shared" si="28"/>
        <v>5</v>
      </c>
      <c r="O69" t="str">
        <f t="shared" si="16"/>
        <v/>
      </c>
      <c r="P69" t="str">
        <f t="shared" si="23"/>
        <v/>
      </c>
      <c r="Q69" t="str">
        <f t="shared" si="23"/>
        <v/>
      </c>
      <c r="R69" t="str">
        <f t="shared" si="23"/>
        <v/>
      </c>
      <c r="S69" t="str">
        <f t="shared" si="23"/>
        <v/>
      </c>
      <c r="T69" t="str">
        <f t="shared" si="23"/>
        <v/>
      </c>
      <c r="U69" t="str">
        <f t="shared" si="23"/>
        <v/>
      </c>
      <c r="V69" s="5" t="s">
        <v>36</v>
      </c>
      <c r="W69" t="str">
        <f t="shared" si="29"/>
        <v/>
      </c>
      <c r="X69" t="str">
        <f t="shared" si="29"/>
        <v/>
      </c>
      <c r="Y69" s="5" t="s">
        <v>36</v>
      </c>
      <c r="Z69" t="str">
        <f t="shared" si="30"/>
        <v/>
      </c>
      <c r="AA69" t="str">
        <f t="shared" si="17"/>
        <v/>
      </c>
      <c r="AB69" s="5" t="s">
        <v>36</v>
      </c>
      <c r="AH69">
        <f t="shared" si="19"/>
        <v>64</v>
      </c>
      <c r="AI69">
        <f t="shared" si="13"/>
        <v>0</v>
      </c>
      <c r="AJ69">
        <f t="shared" si="18"/>
        <v>5</v>
      </c>
    </row>
    <row r="70" spans="1:36" x14ac:dyDescent="0.25">
      <c r="A70" s="5" t="s">
        <v>39</v>
      </c>
      <c r="B70" s="5" t="s">
        <v>30</v>
      </c>
      <c r="C70" s="5" t="str">
        <f t="shared" si="24"/>
        <v>description,dailCompDescDefense,</v>
      </c>
      <c r="D70" s="5" t="str">
        <f t="shared" si="25"/>
        <v>itemText,dailCompTextDefense,</v>
      </c>
      <c r="E70" s="5" t="str">
        <f t="shared" si="14"/>
        <v>augmentSkillLevel1,5,</v>
      </c>
      <c r="F70" s="5" t="str">
        <f t="shared" si="15"/>
        <v>augmentSkillName1,records/skills,</v>
      </c>
      <c r="G70" s="7" t="str">
        <f t="shared" si="31"/>
        <v/>
      </c>
      <c r="H70" s="8" t="str">
        <f t="shared" si="32"/>
        <v>Defense</v>
      </c>
      <c r="J70" s="8" t="str">
        <f t="shared" si="33"/>
        <v>class0016</v>
      </c>
      <c r="K70" s="8" t="str">
        <f t="shared" si="33"/>
        <v>dailoneskill0016</v>
      </c>
      <c r="L70" s="5" t="str">
        <f t="shared" si="26"/>
        <v>lootName,DAIL/items/materia/class0016/Defense.dbr,</v>
      </c>
      <c r="M70" s="5" t="str">
        <f t="shared" si="27"/>
        <v>lootWeight,1,</v>
      </c>
      <c r="N70" t="str">
        <f t="shared" si="28"/>
        <v>5</v>
      </c>
      <c r="O70" t="str">
        <f t="shared" si="16"/>
        <v/>
      </c>
      <c r="P70" t="str">
        <f t="shared" si="23"/>
        <v/>
      </c>
      <c r="Q70" t="str">
        <f t="shared" si="23"/>
        <v/>
      </c>
      <c r="R70" t="str">
        <f t="shared" si="23"/>
        <v/>
      </c>
      <c r="S70" t="str">
        <f t="shared" si="23"/>
        <v/>
      </c>
      <c r="T70" t="str">
        <f t="shared" si="23"/>
        <v/>
      </c>
      <c r="U70" t="str">
        <f t="shared" si="23"/>
        <v/>
      </c>
      <c r="V70" s="5" t="s">
        <v>36</v>
      </c>
      <c r="W70" t="str">
        <f t="shared" si="29"/>
        <v/>
      </c>
      <c r="X70" t="str">
        <f t="shared" si="29"/>
        <v/>
      </c>
      <c r="Y70" s="5" t="s">
        <v>36</v>
      </c>
      <c r="Z70" t="str">
        <f t="shared" si="30"/>
        <v/>
      </c>
      <c r="AA70" t="str">
        <f t="shared" si="17"/>
        <v/>
      </c>
      <c r="AB70" s="5" t="s">
        <v>36</v>
      </c>
      <c r="AH70">
        <f t="shared" si="19"/>
        <v>65</v>
      </c>
      <c r="AI70">
        <f t="shared" ref="AI70:AI102" si="34">LEN(I70)</f>
        <v>0</v>
      </c>
      <c r="AJ70">
        <f t="shared" si="18"/>
        <v>5</v>
      </c>
    </row>
    <row r="71" spans="1:36" x14ac:dyDescent="0.25">
      <c r="A71" s="5" t="s">
        <v>39</v>
      </c>
      <c r="B71" s="5" t="s">
        <v>30</v>
      </c>
      <c r="C71" s="5" t="str">
        <f t="shared" si="24"/>
        <v>description,dailCompDescDefense,</v>
      </c>
      <c r="D71" s="5" t="str">
        <f t="shared" si="25"/>
        <v>itemText,dailCompTextDefense,</v>
      </c>
      <c r="E71" s="5" t="str">
        <f t="shared" ref="E71:E102" si="35">"augmentSkillLevel1,"&amp;AJ71&amp;","</f>
        <v>augmentSkillLevel1,5,</v>
      </c>
      <c r="F71" s="5" t="str">
        <f t="shared" ref="F71:F102" si="36">"augmentSkillName1,records/skills"&amp;I71&amp;","</f>
        <v>augmentSkillName1,records/skills,</v>
      </c>
      <c r="G71" s="7" t="str">
        <f t="shared" si="31"/>
        <v/>
      </c>
      <c r="H71" s="8" t="str">
        <f t="shared" si="32"/>
        <v>Defense</v>
      </c>
      <c r="J71" s="8" t="str">
        <f t="shared" si="33"/>
        <v>class0016</v>
      </c>
      <c r="K71" s="8" t="str">
        <f t="shared" si="33"/>
        <v>dailoneskill0016</v>
      </c>
      <c r="L71" s="5" t="str">
        <f t="shared" si="26"/>
        <v>lootName,DAIL/items/materia/class0016/Defense.dbr,</v>
      </c>
      <c r="M71" s="5" t="str">
        <f t="shared" si="27"/>
        <v>lootWeight,1,</v>
      </c>
      <c r="N71" t="str">
        <f t="shared" si="28"/>
        <v>5</v>
      </c>
      <c r="O71" t="str">
        <f t="shared" ref="O71:O102" si="37">IF(I71&lt;&gt;"","copy .\"&amp;VLOOKUP(VALUE(N71),$AD$3:$AF$5,2,FALSE)&amp;" .\items\materia\"&amp;J71&amp;"\"&amp;H71&amp;G71&amp;".dbr /y"&amp;"","")</f>
        <v/>
      </c>
      <c r="P71" t="str">
        <f t="shared" si="23"/>
        <v/>
      </c>
      <c r="Q71" t="str">
        <f t="shared" si="23"/>
        <v/>
      </c>
      <c r="R71" t="str">
        <f t="shared" si="23"/>
        <v/>
      </c>
      <c r="S71" t="str">
        <f t="shared" si="23"/>
        <v/>
      </c>
      <c r="T71" t="str">
        <f t="shared" si="23"/>
        <v/>
      </c>
      <c r="U71" t="str">
        <f t="shared" si="23"/>
        <v/>
      </c>
      <c r="V71" s="5" t="s">
        <v>36</v>
      </c>
      <c r="W71" t="str">
        <f t="shared" si="29"/>
        <v/>
      </c>
      <c r="X71" t="str">
        <f t="shared" si="29"/>
        <v/>
      </c>
      <c r="Y71" s="5" t="s">
        <v>36</v>
      </c>
      <c r="Z71" t="str">
        <f t="shared" si="30"/>
        <v/>
      </c>
      <c r="AA71" t="str">
        <f t="shared" ref="AA71:AA102" si="38">IF(I70&lt;&gt;"","dailCompText"&amp;H71&amp;G71&amp;"=^oThis feels warm to the touch, almost familiar ^w("&amp;VLOOKUP(VALUE(N71),$AD$3:$AF$5,3,FALSE)&amp;")","")</f>
        <v/>
      </c>
      <c r="AB71" s="5" t="s">
        <v>36</v>
      </c>
      <c r="AH71">
        <f t="shared" si="19"/>
        <v>66</v>
      </c>
      <c r="AI71">
        <f t="shared" si="34"/>
        <v>0</v>
      </c>
      <c r="AJ71">
        <f t="shared" ref="AJ71:AJ102" si="39">IF(AH71&lt;$AL$7,1,IF(AH71&lt;$AL$8,3,5))</f>
        <v>5</v>
      </c>
    </row>
    <row r="72" spans="1:36" x14ac:dyDescent="0.25">
      <c r="A72" s="5" t="s">
        <v>39</v>
      </c>
      <c r="B72" s="5" t="s">
        <v>30</v>
      </c>
      <c r="C72" s="5" t="str">
        <f t="shared" si="24"/>
        <v>description,dailCompDescDefense,</v>
      </c>
      <c r="D72" s="5" t="str">
        <f t="shared" si="25"/>
        <v>itemText,dailCompTextDefense,</v>
      </c>
      <c r="E72" s="5" t="str">
        <f t="shared" si="35"/>
        <v>augmentSkillLevel1,5,</v>
      </c>
      <c r="F72" s="5" t="str">
        <f t="shared" si="36"/>
        <v>augmentSkillName1,records/skills,</v>
      </c>
      <c r="G72" s="7" t="str">
        <f t="shared" si="31"/>
        <v/>
      </c>
      <c r="H72" s="8" t="str">
        <f t="shared" si="32"/>
        <v>Defense</v>
      </c>
      <c r="J72" s="8" t="str">
        <f t="shared" si="33"/>
        <v>class0016</v>
      </c>
      <c r="K72" s="8" t="str">
        <f t="shared" si="33"/>
        <v>dailoneskill0016</v>
      </c>
      <c r="L72" s="5" t="str">
        <f t="shared" si="26"/>
        <v>lootName,DAIL/items/materia/class0016/Defense.dbr,</v>
      </c>
      <c r="M72" s="5" t="str">
        <f t="shared" si="27"/>
        <v>lootWeight,1,</v>
      </c>
      <c r="N72" t="str">
        <f t="shared" si="28"/>
        <v>5</v>
      </c>
      <c r="O72" t="str">
        <f t="shared" si="37"/>
        <v/>
      </c>
      <c r="P72" t="str">
        <f t="shared" si="23"/>
        <v/>
      </c>
      <c r="Q72" t="str">
        <f t="shared" si="23"/>
        <v/>
      </c>
      <c r="R72" t="str">
        <f t="shared" si="23"/>
        <v/>
      </c>
      <c r="S72" t="str">
        <f t="shared" si="23"/>
        <v/>
      </c>
      <c r="T72" t="str">
        <f t="shared" si="23"/>
        <v/>
      </c>
      <c r="U72" t="str">
        <f t="shared" si="23"/>
        <v/>
      </c>
      <c r="V72" s="5" t="s">
        <v>36</v>
      </c>
      <c r="W72" t="str">
        <f t="shared" si="29"/>
        <v/>
      </c>
      <c r="X72" t="str">
        <f t="shared" si="29"/>
        <v/>
      </c>
      <c r="Y72" s="5" t="s">
        <v>36</v>
      </c>
      <c r="Z72" t="str">
        <f t="shared" si="30"/>
        <v/>
      </c>
      <c r="AA72" t="str">
        <f t="shared" si="38"/>
        <v/>
      </c>
      <c r="AB72" s="5" t="s">
        <v>36</v>
      </c>
      <c r="AH72">
        <f t="shared" ref="AH72:AH102" si="40">AH71+1</f>
        <v>67</v>
      </c>
      <c r="AI72">
        <f t="shared" si="34"/>
        <v>0</v>
      </c>
      <c r="AJ72">
        <f t="shared" si="39"/>
        <v>5</v>
      </c>
    </row>
    <row r="73" spans="1:36" x14ac:dyDescent="0.25">
      <c r="A73" s="5" t="s">
        <v>39</v>
      </c>
      <c r="B73" s="5" t="s">
        <v>30</v>
      </c>
      <c r="C73" s="5" t="str">
        <f t="shared" si="24"/>
        <v>description,dailCompDescDefense,</v>
      </c>
      <c r="D73" s="5" t="str">
        <f t="shared" si="25"/>
        <v>itemText,dailCompTextDefense,</v>
      </c>
      <c r="E73" s="5" t="str">
        <f t="shared" si="35"/>
        <v>augmentSkillLevel1,5,</v>
      </c>
      <c r="F73" s="5" t="str">
        <f t="shared" si="36"/>
        <v>augmentSkillName1,records/skills,</v>
      </c>
      <c r="G73" s="7" t="str">
        <f t="shared" si="31"/>
        <v/>
      </c>
      <c r="H73" s="8" t="str">
        <f t="shared" si="32"/>
        <v>Defense</v>
      </c>
      <c r="J73" s="8" t="str">
        <f t="shared" si="33"/>
        <v>class0016</v>
      </c>
      <c r="K73" s="8" t="str">
        <f t="shared" si="33"/>
        <v>dailoneskill0016</v>
      </c>
      <c r="L73" s="5" t="str">
        <f t="shared" si="26"/>
        <v>lootName,DAIL/items/materia/class0016/Defense.dbr,</v>
      </c>
      <c r="M73" s="5" t="str">
        <f t="shared" si="27"/>
        <v>lootWeight,1,</v>
      </c>
      <c r="N73" t="str">
        <f t="shared" si="28"/>
        <v>5</v>
      </c>
      <c r="O73" t="str">
        <f t="shared" si="37"/>
        <v/>
      </c>
      <c r="P73" t="str">
        <f t="shared" si="23"/>
        <v/>
      </c>
      <c r="Q73" t="str">
        <f t="shared" si="23"/>
        <v/>
      </c>
      <c r="R73" t="str">
        <f t="shared" si="23"/>
        <v/>
      </c>
      <c r="S73" t="str">
        <f t="shared" si="23"/>
        <v/>
      </c>
      <c r="T73" t="str">
        <f t="shared" si="23"/>
        <v/>
      </c>
      <c r="U73" t="str">
        <f t="shared" si="23"/>
        <v/>
      </c>
      <c r="V73" s="5" t="s">
        <v>36</v>
      </c>
      <c r="W73" t="str">
        <f t="shared" si="29"/>
        <v/>
      </c>
      <c r="X73" t="str">
        <f t="shared" si="29"/>
        <v/>
      </c>
      <c r="Y73" s="5" t="s">
        <v>36</v>
      </c>
      <c r="Z73" t="str">
        <f t="shared" si="30"/>
        <v/>
      </c>
      <c r="AA73" t="str">
        <f t="shared" si="38"/>
        <v/>
      </c>
      <c r="AB73" s="5" t="s">
        <v>36</v>
      </c>
      <c r="AH73">
        <f t="shared" si="40"/>
        <v>68</v>
      </c>
      <c r="AI73">
        <f t="shared" si="34"/>
        <v>0</v>
      </c>
      <c r="AJ73">
        <f t="shared" si="39"/>
        <v>5</v>
      </c>
    </row>
    <row r="74" spans="1:36" x14ac:dyDescent="0.25">
      <c r="A74" s="5" t="s">
        <v>39</v>
      </c>
      <c r="B74" s="5" t="s">
        <v>30</v>
      </c>
      <c r="C74" s="5" t="str">
        <f t="shared" si="24"/>
        <v>description,dailCompDescDefense,</v>
      </c>
      <c r="D74" s="5" t="str">
        <f t="shared" si="25"/>
        <v>itemText,dailCompTextDefense,</v>
      </c>
      <c r="E74" s="5" t="str">
        <f t="shared" si="35"/>
        <v>augmentSkillLevel1,5,</v>
      </c>
      <c r="F74" s="5" t="str">
        <f t="shared" si="36"/>
        <v>augmentSkillName1,records/skills,</v>
      </c>
      <c r="G74" s="7" t="str">
        <f t="shared" si="31"/>
        <v/>
      </c>
      <c r="H74" s="8" t="str">
        <f t="shared" si="32"/>
        <v>Defense</v>
      </c>
      <c r="J74" s="8" t="str">
        <f t="shared" si="33"/>
        <v>class0016</v>
      </c>
      <c r="K74" s="8" t="str">
        <f t="shared" si="33"/>
        <v>dailoneskill0016</v>
      </c>
      <c r="L74" s="5" t="str">
        <f t="shared" si="26"/>
        <v>lootName,DAIL/items/materia/class0016/Defense.dbr,</v>
      </c>
      <c r="M74" s="5" t="str">
        <f t="shared" si="27"/>
        <v>lootWeight,1,</v>
      </c>
      <c r="N74" t="str">
        <f t="shared" si="28"/>
        <v>5</v>
      </c>
      <c r="O74" t="str">
        <f t="shared" si="37"/>
        <v/>
      </c>
      <c r="P74" t="str">
        <f t="shared" si="23"/>
        <v/>
      </c>
      <c r="Q74" t="str">
        <f t="shared" si="23"/>
        <v/>
      </c>
      <c r="R74" t="str">
        <f t="shared" si="23"/>
        <v/>
      </c>
      <c r="S74" t="str">
        <f t="shared" si="23"/>
        <v/>
      </c>
      <c r="T74" t="str">
        <f t="shared" si="23"/>
        <v/>
      </c>
      <c r="U74" t="str">
        <f t="shared" si="23"/>
        <v/>
      </c>
      <c r="V74" s="5" t="s">
        <v>36</v>
      </c>
      <c r="W74" t="str">
        <f t="shared" si="29"/>
        <v/>
      </c>
      <c r="X74" t="str">
        <f t="shared" si="29"/>
        <v/>
      </c>
      <c r="Y74" s="5" t="s">
        <v>36</v>
      </c>
      <c r="Z74" t="str">
        <f t="shared" si="30"/>
        <v/>
      </c>
      <c r="AA74" t="str">
        <f t="shared" si="38"/>
        <v/>
      </c>
      <c r="AB74" s="5" t="s">
        <v>36</v>
      </c>
      <c r="AH74">
        <f t="shared" si="40"/>
        <v>69</v>
      </c>
      <c r="AI74">
        <f t="shared" si="34"/>
        <v>0</v>
      </c>
      <c r="AJ74">
        <f t="shared" si="39"/>
        <v>5</v>
      </c>
    </row>
    <row r="75" spans="1:36" x14ac:dyDescent="0.25">
      <c r="A75" s="5" t="s">
        <v>39</v>
      </c>
      <c r="B75" s="5" t="s">
        <v>30</v>
      </c>
      <c r="C75" s="5" t="str">
        <f t="shared" si="24"/>
        <v>description,dailCompDescDefense,</v>
      </c>
      <c r="D75" s="5" t="str">
        <f t="shared" si="25"/>
        <v>itemText,dailCompTextDefense,</v>
      </c>
      <c r="E75" s="5" t="str">
        <f t="shared" si="35"/>
        <v>augmentSkillLevel1,5,</v>
      </c>
      <c r="F75" s="5" t="str">
        <f t="shared" si="36"/>
        <v>augmentSkillName1,records/skills,</v>
      </c>
      <c r="G75" s="7" t="str">
        <f t="shared" si="31"/>
        <v/>
      </c>
      <c r="H75" s="8" t="str">
        <f t="shared" si="32"/>
        <v>Defense</v>
      </c>
      <c r="J75" s="8" t="str">
        <f t="shared" si="33"/>
        <v>class0016</v>
      </c>
      <c r="K75" s="8" t="str">
        <f t="shared" si="33"/>
        <v>dailoneskill0016</v>
      </c>
      <c r="L75" s="5" t="str">
        <f t="shared" si="26"/>
        <v>lootName,DAIL/items/materia/class0016/Defense.dbr,</v>
      </c>
      <c r="M75" s="5" t="str">
        <f t="shared" si="27"/>
        <v>lootWeight,1,</v>
      </c>
      <c r="N75" t="str">
        <f t="shared" si="28"/>
        <v>5</v>
      </c>
      <c r="O75" t="str">
        <f t="shared" si="37"/>
        <v/>
      </c>
      <c r="P75" t="str">
        <f t="shared" si="23"/>
        <v/>
      </c>
      <c r="Q75" t="str">
        <f t="shared" si="23"/>
        <v/>
      </c>
      <c r="R75" t="str">
        <f t="shared" si="23"/>
        <v/>
      </c>
      <c r="S75" t="str">
        <f t="shared" si="23"/>
        <v/>
      </c>
      <c r="T75" t="str">
        <f t="shared" si="23"/>
        <v/>
      </c>
      <c r="U75" t="str">
        <f t="shared" si="23"/>
        <v/>
      </c>
      <c r="V75" s="5" t="s">
        <v>36</v>
      </c>
      <c r="W75" t="str">
        <f t="shared" si="29"/>
        <v/>
      </c>
      <c r="X75" t="str">
        <f t="shared" si="29"/>
        <v/>
      </c>
      <c r="Y75" s="5" t="s">
        <v>36</v>
      </c>
      <c r="Z75" t="str">
        <f t="shared" si="30"/>
        <v/>
      </c>
      <c r="AA75" t="str">
        <f t="shared" si="38"/>
        <v/>
      </c>
      <c r="AB75" s="5" t="s">
        <v>36</v>
      </c>
      <c r="AH75">
        <f t="shared" si="40"/>
        <v>70</v>
      </c>
      <c r="AI75">
        <f t="shared" si="34"/>
        <v>0</v>
      </c>
      <c r="AJ75">
        <f t="shared" si="39"/>
        <v>5</v>
      </c>
    </row>
    <row r="76" spans="1:36" x14ac:dyDescent="0.25">
      <c r="A76" s="5" t="s">
        <v>39</v>
      </c>
      <c r="B76" s="5" t="s">
        <v>30</v>
      </c>
      <c r="C76" s="5" t="str">
        <f t="shared" si="24"/>
        <v>description,dailCompDescDefense,</v>
      </c>
      <c r="D76" s="5" t="str">
        <f t="shared" si="25"/>
        <v>itemText,dailCompTextDefense,</v>
      </c>
      <c r="E76" s="5" t="str">
        <f t="shared" si="35"/>
        <v>augmentSkillLevel1,5,</v>
      </c>
      <c r="F76" s="5" t="str">
        <f t="shared" si="36"/>
        <v>augmentSkillName1,records/skills,</v>
      </c>
      <c r="G76" s="7" t="str">
        <f t="shared" si="31"/>
        <v/>
      </c>
      <c r="H76" s="8" t="str">
        <f t="shared" si="32"/>
        <v>Defense</v>
      </c>
      <c r="J76" s="8" t="str">
        <f t="shared" si="33"/>
        <v>class0016</v>
      </c>
      <c r="K76" s="8" t="str">
        <f t="shared" si="33"/>
        <v>dailoneskill0016</v>
      </c>
      <c r="L76" s="5" t="str">
        <f t="shared" si="26"/>
        <v>lootName,DAIL/items/materia/class0016/Defense.dbr,</v>
      </c>
      <c r="M76" s="5" t="str">
        <f t="shared" si="27"/>
        <v>lootWeight,1,</v>
      </c>
      <c r="N76" t="str">
        <f t="shared" si="28"/>
        <v>5</v>
      </c>
      <c r="O76" t="str">
        <f t="shared" si="37"/>
        <v/>
      </c>
      <c r="P76" t="str">
        <f t="shared" si="23"/>
        <v/>
      </c>
      <c r="Q76" t="str">
        <f t="shared" si="23"/>
        <v/>
      </c>
      <c r="R76" t="str">
        <f t="shared" si="23"/>
        <v/>
      </c>
      <c r="S76" t="str">
        <f t="shared" si="23"/>
        <v/>
      </c>
      <c r="T76" t="str">
        <f t="shared" si="23"/>
        <v/>
      </c>
      <c r="U76" t="str">
        <f t="shared" si="23"/>
        <v/>
      </c>
      <c r="V76" s="5" t="s">
        <v>36</v>
      </c>
      <c r="W76" t="str">
        <f t="shared" si="29"/>
        <v/>
      </c>
      <c r="X76" t="str">
        <f t="shared" si="29"/>
        <v/>
      </c>
      <c r="Y76" s="5" t="s">
        <v>36</v>
      </c>
      <c r="Z76" t="str">
        <f t="shared" si="30"/>
        <v/>
      </c>
      <c r="AA76" t="str">
        <f t="shared" si="38"/>
        <v/>
      </c>
      <c r="AB76" s="5" t="s">
        <v>36</v>
      </c>
      <c r="AH76">
        <f t="shared" si="40"/>
        <v>71</v>
      </c>
      <c r="AI76">
        <f t="shared" si="34"/>
        <v>0</v>
      </c>
      <c r="AJ76">
        <f t="shared" si="39"/>
        <v>5</v>
      </c>
    </row>
    <row r="77" spans="1:36" x14ac:dyDescent="0.25">
      <c r="A77" s="5" t="s">
        <v>39</v>
      </c>
      <c r="B77" s="5" t="s">
        <v>30</v>
      </c>
      <c r="C77" s="5" t="str">
        <f t="shared" si="24"/>
        <v>description,dailCompDescDefense,</v>
      </c>
      <c r="D77" s="5" t="str">
        <f t="shared" si="25"/>
        <v>itemText,dailCompTextDefense,</v>
      </c>
      <c r="E77" s="5" t="str">
        <f t="shared" si="35"/>
        <v>augmentSkillLevel1,5,</v>
      </c>
      <c r="F77" s="5" t="str">
        <f t="shared" si="36"/>
        <v>augmentSkillName1,records/skills,</v>
      </c>
      <c r="G77" s="7" t="str">
        <f t="shared" si="31"/>
        <v/>
      </c>
      <c r="H77" s="8" t="str">
        <f t="shared" si="32"/>
        <v>Defense</v>
      </c>
      <c r="J77" s="8" t="str">
        <f t="shared" si="33"/>
        <v>class0016</v>
      </c>
      <c r="K77" s="8" t="str">
        <f t="shared" si="33"/>
        <v>dailoneskill0016</v>
      </c>
      <c r="L77" s="5" t="str">
        <f t="shared" si="26"/>
        <v>lootName,DAIL/items/materia/class0016/Defense.dbr,</v>
      </c>
      <c r="M77" s="5" t="str">
        <f t="shared" si="27"/>
        <v>lootWeight,1,</v>
      </c>
      <c r="N77" t="str">
        <f t="shared" si="28"/>
        <v>5</v>
      </c>
      <c r="O77" t="str">
        <f t="shared" si="37"/>
        <v/>
      </c>
      <c r="P77" t="str">
        <f t="shared" si="23"/>
        <v/>
      </c>
      <c r="Q77" t="str">
        <f t="shared" si="23"/>
        <v/>
      </c>
      <c r="R77" t="str">
        <f t="shared" si="23"/>
        <v/>
      </c>
      <c r="S77" t="str">
        <f t="shared" si="23"/>
        <v/>
      </c>
      <c r="T77" t="str">
        <f t="shared" si="23"/>
        <v/>
      </c>
      <c r="U77" t="str">
        <f t="shared" si="23"/>
        <v/>
      </c>
      <c r="V77" s="5" t="s">
        <v>36</v>
      </c>
      <c r="W77" t="str">
        <f t="shared" si="29"/>
        <v/>
      </c>
      <c r="X77" t="str">
        <f t="shared" si="29"/>
        <v/>
      </c>
      <c r="Y77" s="5" t="s">
        <v>36</v>
      </c>
      <c r="Z77" t="str">
        <f t="shared" si="30"/>
        <v/>
      </c>
      <c r="AA77" t="str">
        <f t="shared" si="38"/>
        <v/>
      </c>
      <c r="AB77" s="5" t="s">
        <v>36</v>
      </c>
      <c r="AH77">
        <f t="shared" si="40"/>
        <v>72</v>
      </c>
      <c r="AI77">
        <f t="shared" si="34"/>
        <v>0</v>
      </c>
      <c r="AJ77">
        <f t="shared" si="39"/>
        <v>5</v>
      </c>
    </row>
    <row r="78" spans="1:36" x14ac:dyDescent="0.25">
      <c r="A78" s="5" t="s">
        <v>39</v>
      </c>
      <c r="B78" s="5" t="s">
        <v>30</v>
      </c>
      <c r="C78" s="5" t="str">
        <f t="shared" si="24"/>
        <v>description,dailCompDescDefense,</v>
      </c>
      <c r="D78" s="5" t="str">
        <f t="shared" si="25"/>
        <v>itemText,dailCompTextDefense,</v>
      </c>
      <c r="E78" s="5" t="str">
        <f t="shared" si="35"/>
        <v>augmentSkillLevel1,5,</v>
      </c>
      <c r="F78" s="5" t="str">
        <f t="shared" si="36"/>
        <v>augmentSkillName1,records/skills,</v>
      </c>
      <c r="G78" s="7" t="str">
        <f t="shared" si="31"/>
        <v/>
      </c>
      <c r="H78" s="8" t="str">
        <f t="shared" si="32"/>
        <v>Defense</v>
      </c>
      <c r="J78" s="8" t="str">
        <f t="shared" si="33"/>
        <v>class0016</v>
      </c>
      <c r="K78" s="8" t="str">
        <f t="shared" si="33"/>
        <v>dailoneskill0016</v>
      </c>
      <c r="L78" s="5" t="str">
        <f t="shared" si="26"/>
        <v>lootName,DAIL/items/materia/class0016/Defense.dbr,</v>
      </c>
      <c r="M78" s="5" t="str">
        <f t="shared" si="27"/>
        <v>lootWeight,1,</v>
      </c>
      <c r="N78" t="str">
        <f t="shared" si="28"/>
        <v>5</v>
      </c>
      <c r="O78" t="str">
        <f t="shared" si="37"/>
        <v/>
      </c>
      <c r="P78" t="str">
        <f t="shared" si="23"/>
        <v/>
      </c>
      <c r="Q78" t="str">
        <f t="shared" si="23"/>
        <v/>
      </c>
      <c r="R78" t="str">
        <f t="shared" si="23"/>
        <v/>
      </c>
      <c r="S78" t="str">
        <f t="shared" si="23"/>
        <v/>
      </c>
      <c r="T78" t="str">
        <f t="shared" si="23"/>
        <v/>
      </c>
      <c r="U78" t="str">
        <f t="shared" si="23"/>
        <v/>
      </c>
      <c r="V78" s="5" t="s">
        <v>36</v>
      </c>
      <c r="W78" t="str">
        <f t="shared" si="29"/>
        <v/>
      </c>
      <c r="X78" t="str">
        <f t="shared" si="29"/>
        <v/>
      </c>
      <c r="Y78" s="5" t="s">
        <v>36</v>
      </c>
      <c r="Z78" t="str">
        <f t="shared" si="30"/>
        <v/>
      </c>
      <c r="AA78" t="str">
        <f t="shared" si="38"/>
        <v/>
      </c>
      <c r="AB78" s="5" t="s">
        <v>36</v>
      </c>
      <c r="AH78">
        <f t="shared" si="40"/>
        <v>73</v>
      </c>
      <c r="AI78">
        <f t="shared" si="34"/>
        <v>0</v>
      </c>
      <c r="AJ78">
        <f t="shared" si="39"/>
        <v>5</v>
      </c>
    </row>
    <row r="79" spans="1:36" x14ac:dyDescent="0.25">
      <c r="A79" s="5" t="s">
        <v>39</v>
      </c>
      <c r="B79" s="5" t="s">
        <v>30</v>
      </c>
      <c r="C79" s="5" t="str">
        <f t="shared" si="24"/>
        <v>description,dailCompDescDefense,</v>
      </c>
      <c r="D79" s="5" t="str">
        <f t="shared" si="25"/>
        <v>itemText,dailCompTextDefense,</v>
      </c>
      <c r="E79" s="5" t="str">
        <f t="shared" si="35"/>
        <v>augmentSkillLevel1,5,</v>
      </c>
      <c r="F79" s="5" t="str">
        <f t="shared" si="36"/>
        <v>augmentSkillName1,records/skills,</v>
      </c>
      <c r="G79" s="7" t="str">
        <f t="shared" si="31"/>
        <v/>
      </c>
      <c r="H79" s="8" t="str">
        <f t="shared" si="32"/>
        <v>Defense</v>
      </c>
      <c r="J79" s="8" t="str">
        <f t="shared" si="33"/>
        <v>class0016</v>
      </c>
      <c r="K79" s="8" t="str">
        <f t="shared" si="33"/>
        <v>dailoneskill0016</v>
      </c>
      <c r="L79" s="5" t="str">
        <f t="shared" si="26"/>
        <v>lootName,DAIL/items/materia/class0016/Defense.dbr,</v>
      </c>
      <c r="M79" s="5" t="str">
        <f t="shared" si="27"/>
        <v>lootWeight,1,</v>
      </c>
      <c r="N79" t="str">
        <f t="shared" si="28"/>
        <v>5</v>
      </c>
      <c r="O79" t="str">
        <f t="shared" si="37"/>
        <v/>
      </c>
      <c r="P79" t="str">
        <f t="shared" si="23"/>
        <v/>
      </c>
      <c r="Q79" t="str">
        <f t="shared" si="23"/>
        <v/>
      </c>
      <c r="R79" t="str">
        <f t="shared" si="23"/>
        <v/>
      </c>
      <c r="S79" t="str">
        <f t="shared" si="23"/>
        <v/>
      </c>
      <c r="T79" t="str">
        <f t="shared" si="23"/>
        <v/>
      </c>
      <c r="U79" t="str">
        <f t="shared" si="23"/>
        <v/>
      </c>
      <c r="V79" s="5" t="s">
        <v>36</v>
      </c>
      <c r="W79" t="str">
        <f t="shared" si="29"/>
        <v/>
      </c>
      <c r="X79" t="str">
        <f t="shared" si="29"/>
        <v/>
      </c>
      <c r="Y79" s="5" t="s">
        <v>36</v>
      </c>
      <c r="Z79" t="str">
        <f t="shared" si="30"/>
        <v/>
      </c>
      <c r="AA79" t="str">
        <f t="shared" si="38"/>
        <v/>
      </c>
      <c r="AB79" s="5" t="s">
        <v>36</v>
      </c>
      <c r="AH79">
        <f t="shared" si="40"/>
        <v>74</v>
      </c>
      <c r="AI79">
        <f t="shared" si="34"/>
        <v>0</v>
      </c>
      <c r="AJ79">
        <f t="shared" si="39"/>
        <v>5</v>
      </c>
    </row>
    <row r="80" spans="1:36" x14ac:dyDescent="0.25">
      <c r="A80" s="5" t="s">
        <v>39</v>
      </c>
      <c r="B80" s="5" t="s">
        <v>30</v>
      </c>
      <c r="C80" s="5" t="str">
        <f t="shared" si="24"/>
        <v>description,dailCompDescDefense,</v>
      </c>
      <c r="D80" s="5" t="str">
        <f t="shared" si="25"/>
        <v>itemText,dailCompTextDefense,</v>
      </c>
      <c r="E80" s="5" t="str">
        <f t="shared" si="35"/>
        <v>augmentSkillLevel1,5,</v>
      </c>
      <c r="F80" s="5" t="str">
        <f t="shared" si="36"/>
        <v>augmentSkillName1,records/skills,</v>
      </c>
      <c r="G80" s="7" t="str">
        <f t="shared" si="31"/>
        <v/>
      </c>
      <c r="H80" s="8" t="str">
        <f t="shared" si="32"/>
        <v>Defense</v>
      </c>
      <c r="J80" s="8" t="str">
        <f t="shared" si="33"/>
        <v>class0016</v>
      </c>
      <c r="K80" s="8" t="str">
        <f t="shared" si="33"/>
        <v>dailoneskill0016</v>
      </c>
      <c r="L80" s="5" t="str">
        <f t="shared" si="26"/>
        <v>lootName,DAIL/items/materia/class0016/Defense.dbr,</v>
      </c>
      <c r="M80" s="5" t="str">
        <f t="shared" si="27"/>
        <v>lootWeight,1,</v>
      </c>
      <c r="N80" t="str">
        <f t="shared" si="28"/>
        <v>5</v>
      </c>
      <c r="O80" t="str">
        <f t="shared" si="37"/>
        <v/>
      </c>
      <c r="P80" t="str">
        <f t="shared" si="23"/>
        <v/>
      </c>
      <c r="Q80" t="str">
        <f t="shared" si="23"/>
        <v/>
      </c>
      <c r="R80" t="str">
        <f t="shared" si="23"/>
        <v/>
      </c>
      <c r="S80" t="str">
        <f t="shared" si="23"/>
        <v/>
      </c>
      <c r="T80" t="str">
        <f t="shared" si="23"/>
        <v/>
      </c>
      <c r="U80" t="str">
        <f t="shared" si="23"/>
        <v/>
      </c>
      <c r="V80" s="5" t="s">
        <v>36</v>
      </c>
      <c r="W80" t="str">
        <f t="shared" si="29"/>
        <v/>
      </c>
      <c r="X80" t="str">
        <f t="shared" si="29"/>
        <v/>
      </c>
      <c r="Y80" s="5" t="s">
        <v>36</v>
      </c>
      <c r="Z80" t="str">
        <f t="shared" si="30"/>
        <v/>
      </c>
      <c r="AA80" t="str">
        <f t="shared" si="38"/>
        <v/>
      </c>
      <c r="AB80" s="5" t="s">
        <v>36</v>
      </c>
      <c r="AH80">
        <f t="shared" si="40"/>
        <v>75</v>
      </c>
      <c r="AI80">
        <f t="shared" si="34"/>
        <v>0</v>
      </c>
      <c r="AJ80">
        <f t="shared" si="39"/>
        <v>5</v>
      </c>
    </row>
    <row r="81" spans="1:36" x14ac:dyDescent="0.25">
      <c r="A81" s="5" t="s">
        <v>39</v>
      </c>
      <c r="B81" s="5" t="s">
        <v>30</v>
      </c>
      <c r="C81" s="5" t="str">
        <f t="shared" si="24"/>
        <v>description,dailCompDescDefense,</v>
      </c>
      <c r="D81" s="5" t="str">
        <f t="shared" si="25"/>
        <v>itemText,dailCompTextDefense,</v>
      </c>
      <c r="E81" s="5" t="str">
        <f t="shared" si="35"/>
        <v>augmentSkillLevel1,5,</v>
      </c>
      <c r="F81" s="5" t="str">
        <f t="shared" si="36"/>
        <v>augmentSkillName1,records/skills,</v>
      </c>
      <c r="G81" s="7" t="str">
        <f t="shared" si="31"/>
        <v/>
      </c>
      <c r="H81" s="8" t="str">
        <f t="shared" si="32"/>
        <v>Defense</v>
      </c>
      <c r="J81" s="8" t="str">
        <f t="shared" si="33"/>
        <v>class0016</v>
      </c>
      <c r="K81" s="8" t="str">
        <f t="shared" si="33"/>
        <v>dailoneskill0016</v>
      </c>
      <c r="L81" s="5" t="str">
        <f t="shared" si="26"/>
        <v>lootName,DAIL/items/materia/class0016/Defense.dbr,</v>
      </c>
      <c r="M81" s="5" t="str">
        <f t="shared" si="27"/>
        <v>lootWeight,1,</v>
      </c>
      <c r="N81" t="str">
        <f t="shared" si="28"/>
        <v>5</v>
      </c>
      <c r="O81" t="str">
        <f t="shared" si="37"/>
        <v/>
      </c>
      <c r="P81" t="str">
        <f t="shared" si="23"/>
        <v/>
      </c>
      <c r="Q81" t="str">
        <f t="shared" si="23"/>
        <v/>
      </c>
      <c r="R81" t="str">
        <f t="shared" si="23"/>
        <v/>
      </c>
      <c r="S81" t="str">
        <f t="shared" si="23"/>
        <v/>
      </c>
      <c r="T81" t="str">
        <f t="shared" si="23"/>
        <v/>
      </c>
      <c r="U81" t="str">
        <f t="shared" si="23"/>
        <v/>
      </c>
      <c r="V81" s="5" t="s">
        <v>36</v>
      </c>
      <c r="W81" t="str">
        <f t="shared" si="29"/>
        <v/>
      </c>
      <c r="X81" t="str">
        <f t="shared" si="29"/>
        <v/>
      </c>
      <c r="Y81" s="5" t="s">
        <v>36</v>
      </c>
      <c r="Z81" t="str">
        <f t="shared" si="30"/>
        <v/>
      </c>
      <c r="AA81" t="str">
        <f t="shared" si="38"/>
        <v/>
      </c>
      <c r="AB81" s="5" t="s">
        <v>36</v>
      </c>
      <c r="AH81">
        <f t="shared" si="40"/>
        <v>76</v>
      </c>
      <c r="AI81">
        <f t="shared" si="34"/>
        <v>0</v>
      </c>
      <c r="AJ81">
        <f t="shared" si="39"/>
        <v>5</v>
      </c>
    </row>
    <row r="82" spans="1:36" x14ac:dyDescent="0.25">
      <c r="A82" s="5" t="s">
        <v>39</v>
      </c>
      <c r="B82" s="5" t="s">
        <v>30</v>
      </c>
      <c r="C82" s="5" t="str">
        <f t="shared" si="24"/>
        <v>description,dailCompDescDefense,</v>
      </c>
      <c r="D82" s="5" t="str">
        <f t="shared" si="25"/>
        <v>itemText,dailCompTextDefense,</v>
      </c>
      <c r="E82" s="5" t="str">
        <f t="shared" si="35"/>
        <v>augmentSkillLevel1,5,</v>
      </c>
      <c r="F82" s="5" t="str">
        <f t="shared" si="36"/>
        <v>augmentSkillName1,records/skills,</v>
      </c>
      <c r="G82" s="7" t="str">
        <f t="shared" si="31"/>
        <v/>
      </c>
      <c r="H82" s="8" t="str">
        <f t="shared" si="32"/>
        <v>Defense</v>
      </c>
      <c r="J82" s="8" t="str">
        <f t="shared" si="33"/>
        <v>class0016</v>
      </c>
      <c r="K82" s="8" t="str">
        <f t="shared" si="33"/>
        <v>dailoneskill0016</v>
      </c>
      <c r="L82" s="5" t="str">
        <f t="shared" si="26"/>
        <v>lootName,DAIL/items/materia/class0016/Defense.dbr,</v>
      </c>
      <c r="M82" s="5" t="str">
        <f t="shared" si="27"/>
        <v>lootWeight,1,</v>
      </c>
      <c r="N82" t="str">
        <f t="shared" si="28"/>
        <v>5</v>
      </c>
      <c r="O82" t="str">
        <f t="shared" si="37"/>
        <v/>
      </c>
      <c r="P82" t="str">
        <f t="shared" si="23"/>
        <v/>
      </c>
      <c r="Q82" t="str">
        <f t="shared" si="23"/>
        <v/>
      </c>
      <c r="R82" t="str">
        <f t="shared" si="23"/>
        <v/>
      </c>
      <c r="S82" t="str">
        <f t="shared" si="23"/>
        <v/>
      </c>
      <c r="T82" t="str">
        <f t="shared" si="23"/>
        <v/>
      </c>
      <c r="U82" t="str">
        <f t="shared" si="23"/>
        <v/>
      </c>
      <c r="V82" s="5" t="s">
        <v>36</v>
      </c>
      <c r="W82" t="str">
        <f t="shared" si="29"/>
        <v/>
      </c>
      <c r="X82" t="str">
        <f t="shared" si="29"/>
        <v/>
      </c>
      <c r="Y82" s="5" t="s">
        <v>36</v>
      </c>
      <c r="Z82" t="str">
        <f t="shared" si="30"/>
        <v/>
      </c>
      <c r="AA82" t="str">
        <f t="shared" si="38"/>
        <v/>
      </c>
      <c r="AB82" s="5" t="s">
        <v>36</v>
      </c>
      <c r="AH82">
        <f t="shared" si="40"/>
        <v>77</v>
      </c>
      <c r="AI82">
        <f t="shared" si="34"/>
        <v>0</v>
      </c>
      <c r="AJ82">
        <f t="shared" si="39"/>
        <v>5</v>
      </c>
    </row>
    <row r="83" spans="1:36" x14ac:dyDescent="0.25">
      <c r="A83" s="5" t="s">
        <v>39</v>
      </c>
      <c r="B83" s="5" t="s">
        <v>30</v>
      </c>
      <c r="C83" s="5" t="str">
        <f t="shared" si="24"/>
        <v>description,dailCompDescDefense,</v>
      </c>
      <c r="D83" s="5" t="str">
        <f t="shared" si="25"/>
        <v>itemText,dailCompTextDefense,</v>
      </c>
      <c r="E83" s="5" t="str">
        <f t="shared" si="35"/>
        <v>augmentSkillLevel1,5,</v>
      </c>
      <c r="F83" s="5" t="str">
        <f t="shared" si="36"/>
        <v>augmentSkillName1,records/skills,</v>
      </c>
      <c r="G83" s="7" t="str">
        <f t="shared" si="31"/>
        <v/>
      </c>
      <c r="H83" s="8" t="str">
        <f t="shared" si="32"/>
        <v>Defense</v>
      </c>
      <c r="J83" s="8" t="str">
        <f t="shared" si="33"/>
        <v>class0016</v>
      </c>
      <c r="K83" s="8" t="str">
        <f t="shared" si="33"/>
        <v>dailoneskill0016</v>
      </c>
      <c r="L83" s="5" t="str">
        <f t="shared" si="26"/>
        <v>lootName,DAIL/items/materia/class0016/Defense.dbr,</v>
      </c>
      <c r="M83" s="5" t="str">
        <f t="shared" si="27"/>
        <v>lootWeight,1,</v>
      </c>
      <c r="N83" t="str">
        <f t="shared" si="28"/>
        <v>5</v>
      </c>
      <c r="O83" t="str">
        <f t="shared" si="37"/>
        <v/>
      </c>
      <c r="P83" t="str">
        <f t="shared" si="23"/>
        <v/>
      </c>
      <c r="Q83" t="str">
        <f t="shared" si="23"/>
        <v/>
      </c>
      <c r="R83" t="str">
        <f t="shared" si="23"/>
        <v/>
      </c>
      <c r="S83" t="str">
        <f t="shared" si="23"/>
        <v/>
      </c>
      <c r="T83" t="str">
        <f t="shared" si="23"/>
        <v/>
      </c>
      <c r="U83" t="str">
        <f t="shared" si="23"/>
        <v/>
      </c>
      <c r="V83" s="5" t="s">
        <v>36</v>
      </c>
      <c r="W83" t="str">
        <f t="shared" si="29"/>
        <v/>
      </c>
      <c r="X83" t="str">
        <f t="shared" si="29"/>
        <v/>
      </c>
      <c r="Y83" s="5" t="s">
        <v>36</v>
      </c>
      <c r="Z83" t="str">
        <f t="shared" si="30"/>
        <v/>
      </c>
      <c r="AA83" t="str">
        <f t="shared" si="38"/>
        <v/>
      </c>
      <c r="AB83" s="5" t="s">
        <v>36</v>
      </c>
      <c r="AH83">
        <f t="shared" si="40"/>
        <v>78</v>
      </c>
      <c r="AI83">
        <f t="shared" si="34"/>
        <v>0</v>
      </c>
      <c r="AJ83">
        <f t="shared" si="39"/>
        <v>5</v>
      </c>
    </row>
    <row r="84" spans="1:36" x14ac:dyDescent="0.25">
      <c r="A84" s="5" t="s">
        <v>39</v>
      </c>
      <c r="B84" s="5" t="s">
        <v>30</v>
      </c>
      <c r="C84" s="5" t="str">
        <f t="shared" si="24"/>
        <v>description,dailCompDescDefense,</v>
      </c>
      <c r="D84" s="5" t="str">
        <f t="shared" si="25"/>
        <v>itemText,dailCompTextDefense,</v>
      </c>
      <c r="E84" s="5" t="str">
        <f t="shared" si="35"/>
        <v>augmentSkillLevel1,5,</v>
      </c>
      <c r="F84" s="5" t="str">
        <f t="shared" si="36"/>
        <v>augmentSkillName1,records/skills,</v>
      </c>
      <c r="G84" s="7" t="str">
        <f t="shared" si="31"/>
        <v/>
      </c>
      <c r="H84" s="8" t="str">
        <f t="shared" si="32"/>
        <v>Defense</v>
      </c>
      <c r="J84" s="8" t="str">
        <f t="shared" si="33"/>
        <v>class0016</v>
      </c>
      <c r="K84" s="8" t="str">
        <f t="shared" si="33"/>
        <v>dailoneskill0016</v>
      </c>
      <c r="L84" s="5" t="str">
        <f t="shared" si="26"/>
        <v>lootName,DAIL/items/materia/class0016/Defense.dbr,</v>
      </c>
      <c r="M84" s="5" t="str">
        <f t="shared" si="27"/>
        <v>lootWeight,1,</v>
      </c>
      <c r="N84" t="str">
        <f t="shared" si="28"/>
        <v>5</v>
      </c>
      <c r="O84" t="str">
        <f t="shared" si="37"/>
        <v/>
      </c>
      <c r="P84" t="str">
        <f t="shared" si="23"/>
        <v/>
      </c>
      <c r="Q84" t="str">
        <f t="shared" si="23"/>
        <v/>
      </c>
      <c r="R84" t="str">
        <f t="shared" si="23"/>
        <v/>
      </c>
      <c r="S84" t="str">
        <f t="shared" si="23"/>
        <v/>
      </c>
      <c r="T84" t="str">
        <f t="shared" si="23"/>
        <v/>
      </c>
      <c r="U84" t="str">
        <f t="shared" si="23"/>
        <v/>
      </c>
      <c r="V84" s="5" t="s">
        <v>36</v>
      </c>
      <c r="W84" t="str">
        <f t="shared" si="29"/>
        <v/>
      </c>
      <c r="X84" t="str">
        <f t="shared" si="29"/>
        <v/>
      </c>
      <c r="Y84" s="5" t="s">
        <v>36</v>
      </c>
      <c r="Z84" t="str">
        <f t="shared" si="30"/>
        <v/>
      </c>
      <c r="AA84" t="str">
        <f t="shared" si="38"/>
        <v/>
      </c>
      <c r="AB84" s="5" t="s">
        <v>36</v>
      </c>
      <c r="AH84">
        <f t="shared" si="40"/>
        <v>79</v>
      </c>
      <c r="AI84">
        <f t="shared" si="34"/>
        <v>0</v>
      </c>
      <c r="AJ84">
        <f t="shared" si="39"/>
        <v>5</v>
      </c>
    </row>
    <row r="85" spans="1:36" x14ac:dyDescent="0.25">
      <c r="A85" s="5" t="s">
        <v>39</v>
      </c>
      <c r="B85" s="5" t="s">
        <v>30</v>
      </c>
      <c r="C85" s="5" t="str">
        <f t="shared" si="24"/>
        <v>description,dailCompDescDefense,</v>
      </c>
      <c r="D85" s="5" t="str">
        <f t="shared" si="25"/>
        <v>itemText,dailCompTextDefense,</v>
      </c>
      <c r="E85" s="5" t="str">
        <f t="shared" si="35"/>
        <v>augmentSkillLevel1,5,</v>
      </c>
      <c r="F85" s="5" t="str">
        <f t="shared" si="36"/>
        <v>augmentSkillName1,records/skills,</v>
      </c>
      <c r="G85" s="7" t="str">
        <f t="shared" si="31"/>
        <v/>
      </c>
      <c r="H85" s="8" t="str">
        <f t="shared" si="32"/>
        <v>Defense</v>
      </c>
      <c r="J85" s="8" t="str">
        <f t="shared" ref="J85:K100" si="41">J84</f>
        <v>class0016</v>
      </c>
      <c r="K85" s="8" t="str">
        <f t="shared" si="41"/>
        <v>dailoneskill0016</v>
      </c>
      <c r="L85" s="5" t="str">
        <f t="shared" si="26"/>
        <v>lootName,DAIL/items/materia/class0016/Defense.dbr,</v>
      </c>
      <c r="M85" s="5" t="str">
        <f t="shared" si="27"/>
        <v>lootWeight,1,</v>
      </c>
      <c r="N85" t="str">
        <f t="shared" si="28"/>
        <v>5</v>
      </c>
      <c r="O85" t="str">
        <f t="shared" si="37"/>
        <v/>
      </c>
      <c r="P85" t="str">
        <f t="shared" si="23"/>
        <v/>
      </c>
      <c r="Q85" t="str">
        <f t="shared" si="23"/>
        <v/>
      </c>
      <c r="R85" t="str">
        <f t="shared" si="23"/>
        <v/>
      </c>
      <c r="S85" t="str">
        <f t="shared" si="23"/>
        <v/>
      </c>
      <c r="T85" t="str">
        <f t="shared" si="23"/>
        <v/>
      </c>
      <c r="U85" t="str">
        <f t="shared" si="23"/>
        <v/>
      </c>
      <c r="V85" s="5" t="s">
        <v>36</v>
      </c>
      <c r="W85" t="str">
        <f t="shared" si="29"/>
        <v/>
      </c>
      <c r="X85" t="str">
        <f t="shared" si="29"/>
        <v/>
      </c>
      <c r="Y85" s="5" t="s">
        <v>36</v>
      </c>
      <c r="Z85" t="str">
        <f t="shared" si="30"/>
        <v/>
      </c>
      <c r="AA85" t="str">
        <f t="shared" si="38"/>
        <v/>
      </c>
      <c r="AB85" s="5" t="s">
        <v>36</v>
      </c>
      <c r="AH85">
        <f t="shared" si="40"/>
        <v>80</v>
      </c>
      <c r="AI85">
        <f t="shared" si="34"/>
        <v>0</v>
      </c>
      <c r="AJ85">
        <f t="shared" si="39"/>
        <v>5</v>
      </c>
    </row>
    <row r="86" spans="1:36" x14ac:dyDescent="0.25">
      <c r="A86" s="5" t="s">
        <v>39</v>
      </c>
      <c r="B86" s="5" t="s">
        <v>30</v>
      </c>
      <c r="C86" s="5" t="str">
        <f t="shared" si="24"/>
        <v>description,dailCompDescDefense,</v>
      </c>
      <c r="D86" s="5" t="str">
        <f t="shared" si="25"/>
        <v>itemText,dailCompTextDefense,</v>
      </c>
      <c r="E86" s="5" t="str">
        <f t="shared" si="35"/>
        <v>augmentSkillLevel1,5,</v>
      </c>
      <c r="F86" s="5" t="str">
        <f t="shared" si="36"/>
        <v>augmentSkillName1,records/skills,</v>
      </c>
      <c r="G86" s="7" t="str">
        <f t="shared" si="31"/>
        <v/>
      </c>
      <c r="H86" s="8" t="str">
        <f t="shared" si="32"/>
        <v>Defense</v>
      </c>
      <c r="J86" s="8" t="str">
        <f t="shared" si="41"/>
        <v>class0016</v>
      </c>
      <c r="K86" s="8" t="str">
        <f t="shared" si="41"/>
        <v>dailoneskill0016</v>
      </c>
      <c r="L86" s="5" t="str">
        <f t="shared" si="26"/>
        <v>lootName,DAIL/items/materia/class0016/Defense.dbr,</v>
      </c>
      <c r="M86" s="5" t="str">
        <f t="shared" si="27"/>
        <v>lootWeight,1,</v>
      </c>
      <c r="N86" t="str">
        <f t="shared" si="28"/>
        <v>5</v>
      </c>
      <c r="O86" t="str">
        <f t="shared" si="37"/>
        <v/>
      </c>
      <c r="P86" t="str">
        <f t="shared" si="23"/>
        <v/>
      </c>
      <c r="Q86" t="str">
        <f t="shared" si="23"/>
        <v/>
      </c>
      <c r="R86" t="str">
        <f t="shared" si="23"/>
        <v/>
      </c>
      <c r="S86" t="str">
        <f t="shared" si="23"/>
        <v/>
      </c>
      <c r="T86" t="str">
        <f t="shared" si="23"/>
        <v/>
      </c>
      <c r="U86" t="str">
        <f t="shared" si="23"/>
        <v/>
      </c>
      <c r="V86" s="5" t="s">
        <v>36</v>
      </c>
      <c r="W86" t="str">
        <f t="shared" si="29"/>
        <v/>
      </c>
      <c r="X86" t="str">
        <f t="shared" si="29"/>
        <v/>
      </c>
      <c r="Y86" s="5" t="s">
        <v>36</v>
      </c>
      <c r="Z86" t="str">
        <f t="shared" si="30"/>
        <v/>
      </c>
      <c r="AA86" t="str">
        <f t="shared" si="38"/>
        <v/>
      </c>
      <c r="AB86" s="5" t="s">
        <v>36</v>
      </c>
      <c r="AH86">
        <f t="shared" si="40"/>
        <v>81</v>
      </c>
      <c r="AI86">
        <f t="shared" si="34"/>
        <v>0</v>
      </c>
      <c r="AJ86">
        <f t="shared" si="39"/>
        <v>5</v>
      </c>
    </row>
    <row r="87" spans="1:36" x14ac:dyDescent="0.25">
      <c r="A87" s="5" t="s">
        <v>39</v>
      </c>
      <c r="B87" s="5" t="s">
        <v>30</v>
      </c>
      <c r="C87" s="5" t="str">
        <f t="shared" si="24"/>
        <v>description,dailCompDescDefense,</v>
      </c>
      <c r="D87" s="5" t="str">
        <f t="shared" si="25"/>
        <v>itemText,dailCompTextDefense,</v>
      </c>
      <c r="E87" s="5" t="str">
        <f t="shared" si="35"/>
        <v>augmentSkillLevel1,5,</v>
      </c>
      <c r="F87" s="5" t="str">
        <f t="shared" si="36"/>
        <v>augmentSkillName1,records/skills,</v>
      </c>
      <c r="G87" s="7" t="str">
        <f t="shared" si="31"/>
        <v/>
      </c>
      <c r="H87" s="8" t="str">
        <f t="shared" si="32"/>
        <v>Defense</v>
      </c>
      <c r="J87" s="8" t="str">
        <f t="shared" si="41"/>
        <v>class0016</v>
      </c>
      <c r="K87" s="8" t="str">
        <f t="shared" si="41"/>
        <v>dailoneskill0016</v>
      </c>
      <c r="L87" s="5" t="str">
        <f t="shared" si="26"/>
        <v>lootName,DAIL/items/materia/class0016/Defense.dbr,</v>
      </c>
      <c r="M87" s="5" t="str">
        <f t="shared" si="27"/>
        <v>lootWeight,1,</v>
      </c>
      <c r="N87" t="str">
        <f t="shared" si="28"/>
        <v>5</v>
      </c>
      <c r="O87" t="str">
        <f t="shared" si="37"/>
        <v/>
      </c>
      <c r="P87" t="str">
        <f t="shared" si="23"/>
        <v/>
      </c>
      <c r="Q87" t="str">
        <f t="shared" si="23"/>
        <v/>
      </c>
      <c r="R87" t="str">
        <f t="shared" si="23"/>
        <v/>
      </c>
      <c r="S87" t="str">
        <f t="shared" si="23"/>
        <v/>
      </c>
      <c r="T87" t="str">
        <f t="shared" si="23"/>
        <v/>
      </c>
      <c r="U87" t="str">
        <f t="shared" si="23"/>
        <v/>
      </c>
      <c r="V87" s="5" t="s">
        <v>36</v>
      </c>
      <c r="W87" t="str">
        <f t="shared" si="29"/>
        <v/>
      </c>
      <c r="X87" t="str">
        <f t="shared" si="29"/>
        <v/>
      </c>
      <c r="Y87" s="5" t="s">
        <v>36</v>
      </c>
      <c r="Z87" t="str">
        <f t="shared" si="30"/>
        <v/>
      </c>
      <c r="AA87" t="str">
        <f t="shared" si="38"/>
        <v/>
      </c>
      <c r="AB87" s="5" t="s">
        <v>36</v>
      </c>
      <c r="AH87">
        <f t="shared" si="40"/>
        <v>82</v>
      </c>
      <c r="AI87">
        <f t="shared" si="34"/>
        <v>0</v>
      </c>
      <c r="AJ87">
        <f t="shared" si="39"/>
        <v>5</v>
      </c>
    </row>
    <row r="88" spans="1:36" x14ac:dyDescent="0.25">
      <c r="A88" s="5" t="s">
        <v>39</v>
      </c>
      <c r="B88" s="5" t="s">
        <v>30</v>
      </c>
      <c r="C88" s="5" t="str">
        <f t="shared" si="24"/>
        <v>description,dailCompDescDefense,</v>
      </c>
      <c r="D88" s="5" t="str">
        <f t="shared" si="25"/>
        <v>itemText,dailCompTextDefense,</v>
      </c>
      <c r="E88" s="5" t="str">
        <f t="shared" si="35"/>
        <v>augmentSkillLevel1,5,</v>
      </c>
      <c r="F88" s="5" t="str">
        <f t="shared" si="36"/>
        <v>augmentSkillName1,records/skills,</v>
      </c>
      <c r="G88" s="7" t="str">
        <f t="shared" si="31"/>
        <v/>
      </c>
      <c r="H88" s="8" t="str">
        <f t="shared" si="32"/>
        <v>Defense</v>
      </c>
      <c r="J88" s="8" t="str">
        <f t="shared" si="41"/>
        <v>class0016</v>
      </c>
      <c r="K88" s="8" t="str">
        <f t="shared" si="41"/>
        <v>dailoneskill0016</v>
      </c>
      <c r="L88" s="5" t="str">
        <f t="shared" si="26"/>
        <v>lootName,DAIL/items/materia/class0016/Defense.dbr,</v>
      </c>
      <c r="M88" s="5" t="str">
        <f t="shared" si="27"/>
        <v>lootWeight,1,</v>
      </c>
      <c r="N88" t="str">
        <f t="shared" si="28"/>
        <v>5</v>
      </c>
      <c r="O88" t="str">
        <f t="shared" si="37"/>
        <v/>
      </c>
      <c r="P88" t="str">
        <f t="shared" si="23"/>
        <v/>
      </c>
      <c r="Q88" t="str">
        <f t="shared" si="23"/>
        <v/>
      </c>
      <c r="R88" t="str">
        <f t="shared" si="23"/>
        <v/>
      </c>
      <c r="S88" t="str">
        <f t="shared" si="23"/>
        <v/>
      </c>
      <c r="T88" t="str">
        <f t="shared" si="23"/>
        <v/>
      </c>
      <c r="U88" t="str">
        <f t="shared" si="23"/>
        <v/>
      </c>
      <c r="V88" s="5" t="s">
        <v>36</v>
      </c>
      <c r="W88" t="str">
        <f t="shared" si="29"/>
        <v/>
      </c>
      <c r="X88" t="str">
        <f t="shared" si="29"/>
        <v/>
      </c>
      <c r="Y88" s="5" t="s">
        <v>36</v>
      </c>
      <c r="Z88" t="str">
        <f t="shared" si="30"/>
        <v/>
      </c>
      <c r="AA88" t="str">
        <f t="shared" si="38"/>
        <v/>
      </c>
      <c r="AB88" s="5" t="s">
        <v>36</v>
      </c>
      <c r="AH88">
        <f t="shared" si="40"/>
        <v>83</v>
      </c>
      <c r="AI88">
        <f t="shared" si="34"/>
        <v>0</v>
      </c>
      <c r="AJ88">
        <f t="shared" si="39"/>
        <v>5</v>
      </c>
    </row>
    <row r="89" spans="1:36" x14ac:dyDescent="0.25">
      <c r="A89" s="5" t="s">
        <v>39</v>
      </c>
      <c r="B89" s="5" t="s">
        <v>30</v>
      </c>
      <c r="C89" s="5" t="str">
        <f t="shared" si="24"/>
        <v>description,dailCompDescDefense,</v>
      </c>
      <c r="D89" s="5" t="str">
        <f t="shared" si="25"/>
        <v>itemText,dailCompTextDefense,</v>
      </c>
      <c r="E89" s="5" t="str">
        <f t="shared" si="35"/>
        <v>augmentSkillLevel1,5,</v>
      </c>
      <c r="F89" s="5" t="str">
        <f t="shared" si="36"/>
        <v>augmentSkillName1,records/skills,</v>
      </c>
      <c r="G89" s="7" t="str">
        <f t="shared" si="31"/>
        <v/>
      </c>
      <c r="H89" s="8" t="str">
        <f t="shared" si="32"/>
        <v>Defense</v>
      </c>
      <c r="J89" s="8" t="str">
        <f t="shared" si="41"/>
        <v>class0016</v>
      </c>
      <c r="K89" s="8" t="str">
        <f t="shared" si="41"/>
        <v>dailoneskill0016</v>
      </c>
      <c r="L89" s="5" t="str">
        <f t="shared" si="26"/>
        <v>lootName,DAIL/items/materia/class0016/Defense.dbr,</v>
      </c>
      <c r="M89" s="5" t="str">
        <f t="shared" si="27"/>
        <v>lootWeight,1,</v>
      </c>
      <c r="N89" t="str">
        <f t="shared" si="28"/>
        <v>5</v>
      </c>
      <c r="O89" t="str">
        <f t="shared" si="37"/>
        <v/>
      </c>
      <c r="P89" t="str">
        <f t="shared" si="23"/>
        <v/>
      </c>
      <c r="Q89" t="str">
        <f t="shared" si="23"/>
        <v/>
      </c>
      <c r="R89" t="str">
        <f t="shared" si="23"/>
        <v/>
      </c>
      <c r="S89" t="str">
        <f t="shared" si="23"/>
        <v/>
      </c>
      <c r="T89" t="str">
        <f t="shared" si="23"/>
        <v/>
      </c>
      <c r="U89" t="str">
        <f t="shared" si="23"/>
        <v/>
      </c>
      <c r="V89" s="5" t="s">
        <v>36</v>
      </c>
      <c r="W89" t="str">
        <f t="shared" si="29"/>
        <v/>
      </c>
      <c r="X89" t="str">
        <f t="shared" si="29"/>
        <v/>
      </c>
      <c r="Y89" s="5" t="s">
        <v>36</v>
      </c>
      <c r="Z89" t="str">
        <f t="shared" si="30"/>
        <v/>
      </c>
      <c r="AA89" t="str">
        <f t="shared" si="38"/>
        <v/>
      </c>
      <c r="AB89" s="5" t="s">
        <v>36</v>
      </c>
      <c r="AH89">
        <f t="shared" si="40"/>
        <v>84</v>
      </c>
      <c r="AI89">
        <f t="shared" si="34"/>
        <v>0</v>
      </c>
      <c r="AJ89">
        <f t="shared" si="39"/>
        <v>5</v>
      </c>
    </row>
    <row r="90" spans="1:36" x14ac:dyDescent="0.25">
      <c r="A90" s="5" t="s">
        <v>39</v>
      </c>
      <c r="B90" s="5" t="s">
        <v>30</v>
      </c>
      <c r="C90" s="5" t="str">
        <f t="shared" si="24"/>
        <v>description,dailCompDescDefense,</v>
      </c>
      <c r="D90" s="5" t="str">
        <f t="shared" si="25"/>
        <v>itemText,dailCompTextDefense,</v>
      </c>
      <c r="E90" s="5" t="str">
        <f t="shared" si="35"/>
        <v>augmentSkillLevel1,5,</v>
      </c>
      <c r="F90" s="5" t="str">
        <f t="shared" si="36"/>
        <v>augmentSkillName1,records/skills,</v>
      </c>
      <c r="G90" s="7" t="str">
        <f t="shared" si="31"/>
        <v/>
      </c>
      <c r="H90" s="8" t="str">
        <f t="shared" si="32"/>
        <v>Defense</v>
      </c>
      <c r="J90" s="8" t="str">
        <f t="shared" si="41"/>
        <v>class0016</v>
      </c>
      <c r="K90" s="8" t="str">
        <f t="shared" si="41"/>
        <v>dailoneskill0016</v>
      </c>
      <c r="L90" s="5" t="str">
        <f t="shared" si="26"/>
        <v>lootName,DAIL/items/materia/class0016/Defense.dbr,</v>
      </c>
      <c r="M90" s="5" t="str">
        <f t="shared" si="27"/>
        <v>lootWeight,1,</v>
      </c>
      <c r="N90" t="str">
        <f t="shared" si="28"/>
        <v>5</v>
      </c>
      <c r="O90" t="str">
        <f t="shared" si="37"/>
        <v/>
      </c>
      <c r="P90" t="str">
        <f t="shared" si="23"/>
        <v/>
      </c>
      <c r="Q90" t="str">
        <f t="shared" si="23"/>
        <v/>
      </c>
      <c r="R90" t="str">
        <f t="shared" si="23"/>
        <v/>
      </c>
      <c r="S90" t="str">
        <f t="shared" si="23"/>
        <v/>
      </c>
      <c r="T90" t="str">
        <f t="shared" si="23"/>
        <v/>
      </c>
      <c r="U90" t="str">
        <f t="shared" si="23"/>
        <v/>
      </c>
      <c r="V90" s="5" t="s">
        <v>36</v>
      </c>
      <c r="W90" t="str">
        <f t="shared" si="29"/>
        <v/>
      </c>
      <c r="X90" t="str">
        <f t="shared" si="29"/>
        <v/>
      </c>
      <c r="Y90" s="5" t="s">
        <v>36</v>
      </c>
      <c r="Z90" t="str">
        <f t="shared" si="30"/>
        <v/>
      </c>
      <c r="AA90" t="str">
        <f t="shared" si="38"/>
        <v/>
      </c>
      <c r="AB90" s="5" t="s">
        <v>36</v>
      </c>
      <c r="AH90">
        <f t="shared" si="40"/>
        <v>85</v>
      </c>
      <c r="AI90">
        <f t="shared" si="34"/>
        <v>0</v>
      </c>
      <c r="AJ90">
        <f t="shared" si="39"/>
        <v>5</v>
      </c>
    </row>
    <row r="91" spans="1:36" x14ac:dyDescent="0.25">
      <c r="A91" s="5" t="s">
        <v>39</v>
      </c>
      <c r="B91" s="5" t="s">
        <v>30</v>
      </c>
      <c r="C91" s="5" t="str">
        <f t="shared" si="24"/>
        <v>description,dailCompDescDefense,</v>
      </c>
      <c r="D91" s="5" t="str">
        <f t="shared" si="25"/>
        <v>itemText,dailCompTextDefense,</v>
      </c>
      <c r="E91" s="5" t="str">
        <f t="shared" si="35"/>
        <v>augmentSkillLevel1,5,</v>
      </c>
      <c r="F91" s="5" t="str">
        <f t="shared" si="36"/>
        <v>augmentSkillName1,records/skills,</v>
      </c>
      <c r="G91" s="7" t="str">
        <f t="shared" si="31"/>
        <v/>
      </c>
      <c r="H91" s="8" t="str">
        <f t="shared" si="32"/>
        <v>Defense</v>
      </c>
      <c r="J91" s="8" t="str">
        <f t="shared" si="41"/>
        <v>class0016</v>
      </c>
      <c r="K91" s="8" t="str">
        <f t="shared" si="41"/>
        <v>dailoneskill0016</v>
      </c>
      <c r="L91" s="5" t="str">
        <f t="shared" si="26"/>
        <v>lootName,DAIL/items/materia/class0016/Defense.dbr,</v>
      </c>
      <c r="M91" s="5" t="str">
        <f t="shared" si="27"/>
        <v>lootWeight,1,</v>
      </c>
      <c r="N91" t="str">
        <f t="shared" si="28"/>
        <v>5</v>
      </c>
      <c r="O91" t="str">
        <f t="shared" si="37"/>
        <v/>
      </c>
      <c r="P91" t="str">
        <f t="shared" si="23"/>
        <v/>
      </c>
      <c r="Q91" t="str">
        <f t="shared" si="23"/>
        <v/>
      </c>
      <c r="R91" t="str">
        <f t="shared" si="23"/>
        <v/>
      </c>
      <c r="S91" t="str">
        <f t="shared" si="23"/>
        <v/>
      </c>
      <c r="T91" t="str">
        <f t="shared" si="23"/>
        <v/>
      </c>
      <c r="U91" t="str">
        <f t="shared" si="23"/>
        <v/>
      </c>
      <c r="V91" s="5" t="s">
        <v>36</v>
      </c>
      <c r="W91" t="str">
        <f t="shared" si="29"/>
        <v/>
      </c>
      <c r="X91" t="str">
        <f t="shared" si="29"/>
        <v/>
      </c>
      <c r="Y91" s="5" t="s">
        <v>36</v>
      </c>
      <c r="Z91" t="str">
        <f t="shared" si="30"/>
        <v/>
      </c>
      <c r="AA91" t="str">
        <f t="shared" si="38"/>
        <v/>
      </c>
      <c r="AB91" s="5" t="s">
        <v>36</v>
      </c>
      <c r="AH91">
        <f t="shared" si="40"/>
        <v>86</v>
      </c>
      <c r="AI91">
        <f t="shared" si="34"/>
        <v>0</v>
      </c>
      <c r="AJ91">
        <f t="shared" si="39"/>
        <v>5</v>
      </c>
    </row>
    <row r="92" spans="1:36" x14ac:dyDescent="0.25">
      <c r="A92" s="5" t="s">
        <v>39</v>
      </c>
      <c r="B92" s="5" t="s">
        <v>30</v>
      </c>
      <c r="C92" s="5" t="str">
        <f t="shared" si="24"/>
        <v>description,dailCompDescDefense,</v>
      </c>
      <c r="D92" s="5" t="str">
        <f t="shared" si="25"/>
        <v>itemText,dailCompTextDefense,</v>
      </c>
      <c r="E92" s="5" t="str">
        <f t="shared" si="35"/>
        <v>augmentSkillLevel1,5,</v>
      </c>
      <c r="F92" s="5" t="str">
        <f t="shared" si="36"/>
        <v>augmentSkillName1,records/skills,</v>
      </c>
      <c r="G92" s="7" t="str">
        <f t="shared" si="31"/>
        <v/>
      </c>
      <c r="H92" s="8" t="str">
        <f t="shared" si="32"/>
        <v>Defense</v>
      </c>
      <c r="J92" s="8" t="str">
        <f t="shared" si="41"/>
        <v>class0016</v>
      </c>
      <c r="K92" s="8" t="str">
        <f t="shared" si="41"/>
        <v>dailoneskill0016</v>
      </c>
      <c r="L92" s="5" t="str">
        <f t="shared" si="26"/>
        <v>lootName,DAIL/items/materia/class0016/Defense.dbr,</v>
      </c>
      <c r="M92" s="5" t="str">
        <f t="shared" si="27"/>
        <v>lootWeight,1,</v>
      </c>
      <c r="N92" t="str">
        <f t="shared" si="28"/>
        <v>5</v>
      </c>
      <c r="O92" t="str">
        <f t="shared" si="37"/>
        <v/>
      </c>
      <c r="P92" t="str">
        <f t="shared" si="23"/>
        <v/>
      </c>
      <c r="Q92" t="str">
        <f t="shared" si="23"/>
        <v/>
      </c>
      <c r="R92" t="str">
        <f t="shared" si="23"/>
        <v/>
      </c>
      <c r="S92" t="str">
        <f t="shared" si="23"/>
        <v/>
      </c>
      <c r="T92" t="str">
        <f t="shared" si="23"/>
        <v/>
      </c>
      <c r="U92" t="str">
        <f t="shared" si="23"/>
        <v/>
      </c>
      <c r="V92" s="5" t="s">
        <v>36</v>
      </c>
      <c r="W92" t="str">
        <f t="shared" si="29"/>
        <v/>
      </c>
      <c r="X92" t="str">
        <f t="shared" si="29"/>
        <v/>
      </c>
      <c r="Y92" s="5" t="s">
        <v>36</v>
      </c>
      <c r="Z92" t="str">
        <f t="shared" si="30"/>
        <v/>
      </c>
      <c r="AA92" t="str">
        <f t="shared" si="38"/>
        <v/>
      </c>
      <c r="AB92" s="5" t="s">
        <v>36</v>
      </c>
      <c r="AH92">
        <f t="shared" si="40"/>
        <v>87</v>
      </c>
      <c r="AI92">
        <f t="shared" si="34"/>
        <v>0</v>
      </c>
      <c r="AJ92">
        <f t="shared" si="39"/>
        <v>5</v>
      </c>
    </row>
    <row r="93" spans="1:36" x14ac:dyDescent="0.25">
      <c r="A93" s="5" t="s">
        <v>39</v>
      </c>
      <c r="B93" s="5" t="s">
        <v>30</v>
      </c>
      <c r="C93" s="5" t="str">
        <f t="shared" si="24"/>
        <v>description,dailCompDescDefense,</v>
      </c>
      <c r="D93" s="5" t="str">
        <f t="shared" si="25"/>
        <v>itemText,dailCompTextDefense,</v>
      </c>
      <c r="E93" s="5" t="str">
        <f t="shared" si="35"/>
        <v>augmentSkillLevel1,5,</v>
      </c>
      <c r="F93" s="5" t="str">
        <f t="shared" si="36"/>
        <v>augmentSkillName1,records/skills,</v>
      </c>
      <c r="G93" s="7" t="str">
        <f t="shared" si="31"/>
        <v/>
      </c>
      <c r="H93" s="8" t="str">
        <f t="shared" si="32"/>
        <v>Defense</v>
      </c>
      <c r="J93" s="8" t="str">
        <f t="shared" si="41"/>
        <v>class0016</v>
      </c>
      <c r="K93" s="8" t="str">
        <f t="shared" si="41"/>
        <v>dailoneskill0016</v>
      </c>
      <c r="L93" s="5" t="str">
        <f t="shared" si="26"/>
        <v>lootName,DAIL/items/materia/class0016/Defense.dbr,</v>
      </c>
      <c r="M93" s="5" t="str">
        <f t="shared" si="27"/>
        <v>lootWeight,1,</v>
      </c>
      <c r="N93" t="str">
        <f t="shared" si="28"/>
        <v>5</v>
      </c>
      <c r="O93" t="str">
        <f t="shared" si="37"/>
        <v/>
      </c>
      <c r="P93" t="str">
        <f t="shared" si="23"/>
        <v/>
      </c>
      <c r="Q93" t="str">
        <f t="shared" si="23"/>
        <v/>
      </c>
      <c r="R93" t="str">
        <f t="shared" si="23"/>
        <v/>
      </c>
      <c r="S93" t="str">
        <f t="shared" si="23"/>
        <v/>
      </c>
      <c r="T93" t="str">
        <f t="shared" si="23"/>
        <v/>
      </c>
      <c r="U93" t="str">
        <f t="shared" si="23"/>
        <v/>
      </c>
      <c r="V93" s="5" t="s">
        <v>36</v>
      </c>
      <c r="W93" t="str">
        <f t="shared" si="29"/>
        <v/>
      </c>
      <c r="X93" t="str">
        <f t="shared" si="29"/>
        <v/>
      </c>
      <c r="Y93" s="5" t="s">
        <v>36</v>
      </c>
      <c r="Z93" t="str">
        <f t="shared" si="30"/>
        <v/>
      </c>
      <c r="AA93" t="str">
        <f t="shared" si="38"/>
        <v/>
      </c>
      <c r="AB93" s="5" t="s">
        <v>36</v>
      </c>
      <c r="AH93">
        <f t="shared" si="40"/>
        <v>88</v>
      </c>
      <c r="AI93">
        <f t="shared" si="34"/>
        <v>0</v>
      </c>
      <c r="AJ93">
        <f t="shared" si="39"/>
        <v>5</v>
      </c>
    </row>
    <row r="94" spans="1:36" x14ac:dyDescent="0.25">
      <c r="A94" s="5" t="s">
        <v>39</v>
      </c>
      <c r="B94" s="5" t="s">
        <v>30</v>
      </c>
      <c r="C94" s="5" t="str">
        <f t="shared" si="24"/>
        <v>description,dailCompDescDefense,</v>
      </c>
      <c r="D94" s="5" t="str">
        <f t="shared" si="25"/>
        <v>itemText,dailCompTextDefense,</v>
      </c>
      <c r="E94" s="5" t="str">
        <f t="shared" si="35"/>
        <v>augmentSkillLevel1,5,</v>
      </c>
      <c r="F94" s="5" t="str">
        <f t="shared" si="36"/>
        <v>augmentSkillName1,records/skills,</v>
      </c>
      <c r="G94" s="7" t="str">
        <f t="shared" si="31"/>
        <v/>
      </c>
      <c r="H94" s="8" t="str">
        <f t="shared" si="32"/>
        <v>Defense</v>
      </c>
      <c r="J94" s="8" t="str">
        <f t="shared" si="41"/>
        <v>class0016</v>
      </c>
      <c r="K94" s="8" t="str">
        <f t="shared" si="41"/>
        <v>dailoneskill0016</v>
      </c>
      <c r="L94" s="5" t="str">
        <f t="shared" si="26"/>
        <v>lootName,DAIL/items/materia/class0016/Defense.dbr,</v>
      </c>
      <c r="M94" s="5" t="str">
        <f t="shared" si="27"/>
        <v>lootWeight,1,</v>
      </c>
      <c r="N94" t="str">
        <f t="shared" si="28"/>
        <v>5</v>
      </c>
      <c r="O94" t="str">
        <f t="shared" si="37"/>
        <v/>
      </c>
      <c r="P94" t="str">
        <f t="shared" si="23"/>
        <v/>
      </c>
      <c r="Q94" t="str">
        <f t="shared" si="23"/>
        <v/>
      </c>
      <c r="R94" t="str">
        <f t="shared" si="23"/>
        <v/>
      </c>
      <c r="S94" t="str">
        <f t="shared" si="23"/>
        <v/>
      </c>
      <c r="T94" t="str">
        <f t="shared" si="23"/>
        <v/>
      </c>
      <c r="U94" t="str">
        <f t="shared" si="23"/>
        <v/>
      </c>
      <c r="V94" s="5" t="s">
        <v>36</v>
      </c>
      <c r="W94" t="str">
        <f t="shared" si="29"/>
        <v/>
      </c>
      <c r="X94" t="str">
        <f t="shared" si="29"/>
        <v/>
      </c>
      <c r="Y94" s="5" t="s">
        <v>36</v>
      </c>
      <c r="Z94" t="str">
        <f t="shared" si="30"/>
        <v/>
      </c>
      <c r="AA94" t="str">
        <f t="shared" si="38"/>
        <v/>
      </c>
      <c r="AB94" s="5" t="s">
        <v>36</v>
      </c>
      <c r="AH94">
        <f t="shared" si="40"/>
        <v>89</v>
      </c>
      <c r="AI94">
        <f t="shared" si="34"/>
        <v>0</v>
      </c>
      <c r="AJ94">
        <f t="shared" si="39"/>
        <v>5</v>
      </c>
    </row>
    <row r="95" spans="1:36" x14ac:dyDescent="0.25">
      <c r="A95" s="5" t="s">
        <v>39</v>
      </c>
      <c r="B95" s="5" t="s">
        <v>30</v>
      </c>
      <c r="C95" s="5" t="str">
        <f t="shared" si="24"/>
        <v>description,dailCompDescDefense,</v>
      </c>
      <c r="D95" s="5" t="str">
        <f t="shared" si="25"/>
        <v>itemText,dailCompTextDefense,</v>
      </c>
      <c r="E95" s="5" t="str">
        <f t="shared" si="35"/>
        <v>augmentSkillLevel1,5,</v>
      </c>
      <c r="F95" s="5" t="str">
        <f t="shared" si="36"/>
        <v>augmentSkillName1,records/skills,</v>
      </c>
      <c r="G95" s="7" t="str">
        <f t="shared" si="31"/>
        <v/>
      </c>
      <c r="H95" s="8" t="str">
        <f t="shared" si="32"/>
        <v>Defense</v>
      </c>
      <c r="J95" s="8" t="str">
        <f t="shared" si="41"/>
        <v>class0016</v>
      </c>
      <c r="K95" s="8" t="str">
        <f t="shared" si="41"/>
        <v>dailoneskill0016</v>
      </c>
      <c r="L95" s="5" t="str">
        <f t="shared" si="26"/>
        <v>lootName,DAIL/items/materia/class0016/Defense.dbr,</v>
      </c>
      <c r="M95" s="5" t="str">
        <f t="shared" si="27"/>
        <v>lootWeight,1,</v>
      </c>
      <c r="N95" t="str">
        <f t="shared" si="28"/>
        <v>5</v>
      </c>
      <c r="O95" t="str">
        <f t="shared" si="37"/>
        <v/>
      </c>
      <c r="P95" t="str">
        <f t="shared" si="23"/>
        <v/>
      </c>
      <c r="Q95" t="str">
        <f t="shared" si="23"/>
        <v/>
      </c>
      <c r="R95" t="str">
        <f t="shared" si="23"/>
        <v/>
      </c>
      <c r="S95" t="str">
        <f t="shared" si="23"/>
        <v/>
      </c>
      <c r="T95" t="str">
        <f t="shared" si="23"/>
        <v/>
      </c>
      <c r="U95" t="str">
        <f t="shared" si="23"/>
        <v/>
      </c>
      <c r="V95" s="5" t="s">
        <v>36</v>
      </c>
      <c r="W95" t="str">
        <f t="shared" si="29"/>
        <v/>
      </c>
      <c r="X95" t="str">
        <f t="shared" si="29"/>
        <v/>
      </c>
      <c r="Y95" s="5" t="s">
        <v>36</v>
      </c>
      <c r="Z95" t="str">
        <f t="shared" si="30"/>
        <v/>
      </c>
      <c r="AA95" t="str">
        <f t="shared" si="38"/>
        <v/>
      </c>
      <c r="AB95" s="5" t="s">
        <v>36</v>
      </c>
      <c r="AH95">
        <f t="shared" si="40"/>
        <v>90</v>
      </c>
      <c r="AI95">
        <f t="shared" si="34"/>
        <v>0</v>
      </c>
      <c r="AJ95">
        <f t="shared" si="39"/>
        <v>5</v>
      </c>
    </row>
    <row r="96" spans="1:36" x14ac:dyDescent="0.25">
      <c r="A96" s="5" t="s">
        <v>39</v>
      </c>
      <c r="B96" s="5" t="s">
        <v>30</v>
      </c>
      <c r="C96" s="5" t="str">
        <f t="shared" si="24"/>
        <v>description,dailCompDescDefense,</v>
      </c>
      <c r="D96" s="5" t="str">
        <f t="shared" si="25"/>
        <v>itemText,dailCompTextDefense,</v>
      </c>
      <c r="E96" s="5" t="str">
        <f t="shared" si="35"/>
        <v>augmentSkillLevel1,5,</v>
      </c>
      <c r="F96" s="5" t="str">
        <f t="shared" si="36"/>
        <v>augmentSkillName1,records/skills,</v>
      </c>
      <c r="G96" s="7" t="str">
        <f t="shared" si="31"/>
        <v/>
      </c>
      <c r="H96" s="8" t="str">
        <f t="shared" si="32"/>
        <v>Defense</v>
      </c>
      <c r="J96" s="8" t="str">
        <f t="shared" si="41"/>
        <v>class0016</v>
      </c>
      <c r="K96" s="8" t="str">
        <f t="shared" si="41"/>
        <v>dailoneskill0016</v>
      </c>
      <c r="L96" s="5" t="str">
        <f t="shared" si="26"/>
        <v>lootName,DAIL/items/materia/class0016/Defense.dbr,</v>
      </c>
      <c r="M96" s="5" t="str">
        <f t="shared" si="27"/>
        <v>lootWeight,1,</v>
      </c>
      <c r="N96" t="str">
        <f t="shared" si="28"/>
        <v>5</v>
      </c>
      <c r="O96" t="str">
        <f t="shared" si="37"/>
        <v/>
      </c>
      <c r="P96" t="str">
        <f t="shared" si="23"/>
        <v/>
      </c>
      <c r="Q96" t="str">
        <f t="shared" si="23"/>
        <v/>
      </c>
      <c r="R96" t="str">
        <f t="shared" si="23"/>
        <v/>
      </c>
      <c r="S96" t="str">
        <f t="shared" si="23"/>
        <v/>
      </c>
      <c r="T96" t="str">
        <f t="shared" si="23"/>
        <v/>
      </c>
      <c r="U96" t="str">
        <f t="shared" si="23"/>
        <v/>
      </c>
      <c r="V96" s="5" t="s">
        <v>36</v>
      </c>
      <c r="W96" t="str">
        <f t="shared" si="29"/>
        <v/>
      </c>
      <c r="X96" t="str">
        <f t="shared" si="29"/>
        <v/>
      </c>
      <c r="Y96" s="5" t="s">
        <v>36</v>
      </c>
      <c r="Z96" t="str">
        <f t="shared" si="30"/>
        <v/>
      </c>
      <c r="AA96" t="str">
        <f t="shared" si="38"/>
        <v/>
      </c>
      <c r="AB96" s="5" t="s">
        <v>36</v>
      </c>
      <c r="AH96">
        <f t="shared" si="40"/>
        <v>91</v>
      </c>
      <c r="AI96">
        <f t="shared" si="34"/>
        <v>0</v>
      </c>
      <c r="AJ96">
        <f t="shared" si="39"/>
        <v>5</v>
      </c>
    </row>
    <row r="97" spans="1:36" x14ac:dyDescent="0.25">
      <c r="A97" s="5" t="s">
        <v>39</v>
      </c>
      <c r="B97" s="5" t="s">
        <v>30</v>
      </c>
      <c r="C97" s="5" t="str">
        <f t="shared" si="24"/>
        <v>description,dailCompDescDefense,</v>
      </c>
      <c r="D97" s="5" t="str">
        <f t="shared" si="25"/>
        <v>itemText,dailCompTextDefense,</v>
      </c>
      <c r="E97" s="5" t="str">
        <f t="shared" si="35"/>
        <v>augmentSkillLevel1,5,</v>
      </c>
      <c r="F97" s="5" t="str">
        <f t="shared" si="36"/>
        <v>augmentSkillName1,records/skills,</v>
      </c>
      <c r="G97" s="7" t="str">
        <f t="shared" si="31"/>
        <v/>
      </c>
      <c r="H97" s="8" t="str">
        <f t="shared" si="32"/>
        <v>Defense</v>
      </c>
      <c r="J97" s="8" t="str">
        <f t="shared" si="41"/>
        <v>class0016</v>
      </c>
      <c r="K97" s="8" t="str">
        <f t="shared" si="41"/>
        <v>dailoneskill0016</v>
      </c>
      <c r="L97" s="5" t="str">
        <f t="shared" si="26"/>
        <v>lootName,DAIL/items/materia/class0016/Defense.dbr,</v>
      </c>
      <c r="M97" s="5" t="str">
        <f t="shared" si="27"/>
        <v>lootWeight,1,</v>
      </c>
      <c r="N97" t="str">
        <f t="shared" si="28"/>
        <v>5</v>
      </c>
      <c r="O97" t="str">
        <f t="shared" si="37"/>
        <v/>
      </c>
      <c r="P97" t="str">
        <f t="shared" si="23"/>
        <v/>
      </c>
      <c r="Q97" t="str">
        <f t="shared" si="23"/>
        <v/>
      </c>
      <c r="R97" t="str">
        <f t="shared" si="23"/>
        <v/>
      </c>
      <c r="S97" t="str">
        <f t="shared" si="23"/>
        <v/>
      </c>
      <c r="T97" t="str">
        <f t="shared" si="23"/>
        <v/>
      </c>
      <c r="U97" t="str">
        <f t="shared" si="23"/>
        <v/>
      </c>
      <c r="V97" s="5" t="s">
        <v>36</v>
      </c>
      <c r="W97" t="str">
        <f t="shared" si="29"/>
        <v/>
      </c>
      <c r="X97" t="str">
        <f t="shared" si="29"/>
        <v/>
      </c>
      <c r="Y97" s="5" t="s">
        <v>36</v>
      </c>
      <c r="Z97" t="str">
        <f t="shared" si="30"/>
        <v/>
      </c>
      <c r="AA97" t="str">
        <f t="shared" si="38"/>
        <v/>
      </c>
      <c r="AB97" s="5" t="s">
        <v>36</v>
      </c>
      <c r="AH97">
        <f t="shared" si="40"/>
        <v>92</v>
      </c>
      <c r="AI97">
        <f t="shared" si="34"/>
        <v>0</v>
      </c>
      <c r="AJ97">
        <f t="shared" si="39"/>
        <v>5</v>
      </c>
    </row>
    <row r="98" spans="1:36" x14ac:dyDescent="0.25">
      <c r="A98" s="5" t="s">
        <v>39</v>
      </c>
      <c r="B98" s="5" t="s">
        <v>30</v>
      </c>
      <c r="C98" s="5" t="str">
        <f t="shared" si="24"/>
        <v>description,dailCompDescDefense,</v>
      </c>
      <c r="D98" s="5" t="str">
        <f t="shared" si="25"/>
        <v>itemText,dailCompTextDefense,</v>
      </c>
      <c r="E98" s="5" t="str">
        <f t="shared" si="35"/>
        <v>augmentSkillLevel1,5,</v>
      </c>
      <c r="F98" s="5" t="str">
        <f t="shared" si="36"/>
        <v>augmentSkillName1,records/skills,</v>
      </c>
      <c r="G98" s="7" t="str">
        <f t="shared" si="31"/>
        <v/>
      </c>
      <c r="H98" s="8" t="str">
        <f t="shared" si="32"/>
        <v>Defense</v>
      </c>
      <c r="J98" s="8" t="str">
        <f t="shared" si="41"/>
        <v>class0016</v>
      </c>
      <c r="K98" s="8" t="str">
        <f t="shared" si="41"/>
        <v>dailoneskill0016</v>
      </c>
      <c r="L98" s="5" t="str">
        <f t="shared" si="26"/>
        <v>lootName,DAIL/items/materia/class0016/Defense.dbr,</v>
      </c>
      <c r="M98" s="5" t="str">
        <f t="shared" si="27"/>
        <v>lootWeight,1,</v>
      </c>
      <c r="N98" t="str">
        <f t="shared" si="28"/>
        <v>5</v>
      </c>
      <c r="O98" t="str">
        <f t="shared" si="37"/>
        <v/>
      </c>
      <c r="P98" t="str">
        <f t="shared" si="23"/>
        <v/>
      </c>
      <c r="Q98" t="str">
        <f t="shared" si="23"/>
        <v/>
      </c>
      <c r="R98" t="str">
        <f t="shared" si="23"/>
        <v/>
      </c>
      <c r="S98" t="str">
        <f t="shared" si="23"/>
        <v/>
      </c>
      <c r="T98" t="str">
        <f t="shared" si="23"/>
        <v/>
      </c>
      <c r="U98" t="str">
        <f t="shared" si="23"/>
        <v/>
      </c>
      <c r="V98" s="5" t="s">
        <v>36</v>
      </c>
      <c r="W98" t="str">
        <f t="shared" si="29"/>
        <v/>
      </c>
      <c r="X98" t="str">
        <f t="shared" si="29"/>
        <v/>
      </c>
      <c r="Y98" s="5" t="s">
        <v>36</v>
      </c>
      <c r="Z98" t="str">
        <f t="shared" si="30"/>
        <v/>
      </c>
      <c r="AA98" t="str">
        <f t="shared" si="38"/>
        <v/>
      </c>
      <c r="AB98" s="5" t="s">
        <v>36</v>
      </c>
      <c r="AH98">
        <f t="shared" si="40"/>
        <v>93</v>
      </c>
      <c r="AI98">
        <f t="shared" si="34"/>
        <v>0</v>
      </c>
      <c r="AJ98">
        <f t="shared" si="39"/>
        <v>5</v>
      </c>
    </row>
    <row r="99" spans="1:36" x14ac:dyDescent="0.25">
      <c r="A99" s="5" t="s">
        <v>39</v>
      </c>
      <c r="B99" s="5" t="s">
        <v>30</v>
      </c>
      <c r="C99" s="5" t="str">
        <f t="shared" si="24"/>
        <v>description,dailCompDescDefense,</v>
      </c>
      <c r="D99" s="5" t="str">
        <f t="shared" si="25"/>
        <v>itemText,dailCompTextDefense,</v>
      </c>
      <c r="E99" s="5" t="str">
        <f t="shared" si="35"/>
        <v>augmentSkillLevel1,5,</v>
      </c>
      <c r="F99" s="5" t="str">
        <f t="shared" si="36"/>
        <v>augmentSkillName1,records/skills,</v>
      </c>
      <c r="G99" s="7" t="str">
        <f t="shared" si="31"/>
        <v/>
      </c>
      <c r="H99" s="8" t="str">
        <f t="shared" si="32"/>
        <v>Defense</v>
      </c>
      <c r="J99" s="8" t="str">
        <f t="shared" si="41"/>
        <v>class0016</v>
      </c>
      <c r="K99" s="8" t="str">
        <f t="shared" si="41"/>
        <v>dailoneskill0016</v>
      </c>
      <c r="L99" s="5" t="str">
        <f t="shared" si="26"/>
        <v>lootName,DAIL/items/materia/class0016/Defense.dbr,</v>
      </c>
      <c r="M99" s="5" t="str">
        <f t="shared" si="27"/>
        <v>lootWeight,1,</v>
      </c>
      <c r="N99" t="str">
        <f t="shared" si="28"/>
        <v>5</v>
      </c>
      <c r="O99" t="str">
        <f t="shared" si="37"/>
        <v/>
      </c>
      <c r="P99" t="str">
        <f t="shared" si="23"/>
        <v/>
      </c>
      <c r="Q99" t="str">
        <f t="shared" si="23"/>
        <v/>
      </c>
      <c r="R99" t="str">
        <f t="shared" si="23"/>
        <v/>
      </c>
      <c r="S99" t="str">
        <f t="shared" si="23"/>
        <v/>
      </c>
      <c r="T99" t="str">
        <f t="shared" si="23"/>
        <v/>
      </c>
      <c r="U99" t="str">
        <f t="shared" si="23"/>
        <v/>
      </c>
      <c r="V99" s="5" t="s">
        <v>36</v>
      </c>
      <c r="W99" t="str">
        <f t="shared" si="29"/>
        <v/>
      </c>
      <c r="X99" t="str">
        <f t="shared" si="29"/>
        <v/>
      </c>
      <c r="Y99" s="5" t="s">
        <v>36</v>
      </c>
      <c r="Z99" t="str">
        <f t="shared" si="30"/>
        <v/>
      </c>
      <c r="AA99" t="str">
        <f t="shared" si="38"/>
        <v/>
      </c>
      <c r="AB99" s="5" t="s">
        <v>36</v>
      </c>
      <c r="AH99">
        <f t="shared" si="40"/>
        <v>94</v>
      </c>
      <c r="AI99">
        <f t="shared" si="34"/>
        <v>0</v>
      </c>
      <c r="AJ99">
        <f t="shared" si="39"/>
        <v>5</v>
      </c>
    </row>
    <row r="100" spans="1:36" x14ac:dyDescent="0.25">
      <c r="A100" s="5" t="s">
        <v>39</v>
      </c>
      <c r="B100" s="5" t="s">
        <v>30</v>
      </c>
      <c r="C100" s="5" t="str">
        <f t="shared" si="24"/>
        <v>description,dailCompDescDefense,</v>
      </c>
      <c r="D100" s="5" t="str">
        <f t="shared" si="25"/>
        <v>itemText,dailCompTextDefense,</v>
      </c>
      <c r="E100" s="5" t="str">
        <f t="shared" si="35"/>
        <v>augmentSkillLevel1,5,</v>
      </c>
      <c r="F100" s="5" t="str">
        <f t="shared" si="36"/>
        <v>augmentSkillName1,records/skills,</v>
      </c>
      <c r="G100" s="7" t="str">
        <f t="shared" si="31"/>
        <v/>
      </c>
      <c r="H100" s="8" t="str">
        <f t="shared" si="32"/>
        <v>Defense</v>
      </c>
      <c r="J100" s="8" t="str">
        <f t="shared" si="41"/>
        <v>class0016</v>
      </c>
      <c r="K100" s="8" t="str">
        <f t="shared" si="41"/>
        <v>dailoneskill0016</v>
      </c>
      <c r="L100" s="5" t="str">
        <f t="shared" si="26"/>
        <v>lootName,DAIL/items/materia/class0016/Defense.dbr,</v>
      </c>
      <c r="M100" s="5" t="str">
        <f t="shared" si="27"/>
        <v>lootWeight,1,</v>
      </c>
      <c r="N100" t="str">
        <f t="shared" si="28"/>
        <v>5</v>
      </c>
      <c r="O100" t="str">
        <f t="shared" si="37"/>
        <v/>
      </c>
      <c r="P100" t="str">
        <f t="shared" si="23"/>
        <v/>
      </c>
      <c r="Q100" t="str">
        <f t="shared" si="23"/>
        <v/>
      </c>
      <c r="R100" t="str">
        <f t="shared" si="23"/>
        <v/>
      </c>
      <c r="S100" t="str">
        <f t="shared" si="23"/>
        <v/>
      </c>
      <c r="T100" t="str">
        <f t="shared" si="23"/>
        <v/>
      </c>
      <c r="U100" t="str">
        <f t="shared" si="23"/>
        <v/>
      </c>
      <c r="V100" s="5" t="s">
        <v>36</v>
      </c>
      <c r="W100" t="str">
        <f t="shared" si="29"/>
        <v/>
      </c>
      <c r="X100" t="str">
        <f t="shared" si="29"/>
        <v/>
      </c>
      <c r="Y100" s="5" t="s">
        <v>36</v>
      </c>
      <c r="Z100" t="str">
        <f t="shared" si="30"/>
        <v/>
      </c>
      <c r="AA100" t="str">
        <f t="shared" si="38"/>
        <v/>
      </c>
      <c r="AB100" s="5" t="s">
        <v>36</v>
      </c>
      <c r="AH100">
        <f t="shared" si="40"/>
        <v>95</v>
      </c>
      <c r="AI100">
        <f t="shared" si="34"/>
        <v>0</v>
      </c>
      <c r="AJ100">
        <f t="shared" si="39"/>
        <v>5</v>
      </c>
    </row>
    <row r="101" spans="1:36" x14ac:dyDescent="0.25">
      <c r="A101" s="5" t="s">
        <v>39</v>
      </c>
      <c r="B101" s="5" t="s">
        <v>30</v>
      </c>
      <c r="C101" s="5" t="str">
        <f t="shared" si="24"/>
        <v>description,dailCompDescDefense,</v>
      </c>
      <c r="D101" s="5" t="str">
        <f t="shared" si="25"/>
        <v>itemText,dailCompTextDefense,</v>
      </c>
      <c r="E101" s="5" t="str">
        <f t="shared" si="35"/>
        <v>augmentSkillLevel1,5,</v>
      </c>
      <c r="F101" s="5" t="str">
        <f t="shared" si="36"/>
        <v>augmentSkillName1,records/skills,</v>
      </c>
      <c r="G101" s="7" t="str">
        <f t="shared" si="31"/>
        <v/>
      </c>
      <c r="H101" s="8" t="str">
        <f t="shared" si="32"/>
        <v>Defense</v>
      </c>
      <c r="J101" s="8" t="str">
        <f t="shared" ref="J101:K102" si="42">J100</f>
        <v>class0016</v>
      </c>
      <c r="K101" s="8" t="str">
        <f t="shared" si="42"/>
        <v>dailoneskill0016</v>
      </c>
      <c r="L101" s="5" t="str">
        <f t="shared" si="26"/>
        <v>lootName,DAIL/items/materia/class0016/Defense.dbr,</v>
      </c>
      <c r="M101" s="5" t="str">
        <f t="shared" si="27"/>
        <v>lootWeight,1,</v>
      </c>
      <c r="N101" t="str">
        <f t="shared" si="28"/>
        <v>5</v>
      </c>
      <c r="O101" t="str">
        <f t="shared" si="37"/>
        <v/>
      </c>
      <c r="P101" t="str">
        <f t="shared" si="23"/>
        <v/>
      </c>
      <c r="Q101" t="str">
        <f t="shared" si="23"/>
        <v/>
      </c>
      <c r="R101" t="str">
        <f t="shared" si="23"/>
        <v/>
      </c>
      <c r="S101" t="str">
        <f t="shared" ref="S101:U102" si="43">IF($I101&lt;&gt;"","echo "&amp;D101&amp;" &gt;&gt; .\items\materia\"&amp;$J101&amp;"\"&amp;$H101&amp;$G101&amp;".dbr","")</f>
        <v/>
      </c>
      <c r="T101" t="str">
        <f t="shared" si="43"/>
        <v/>
      </c>
      <c r="U101" t="str">
        <f t="shared" si="43"/>
        <v/>
      </c>
      <c r="V101" s="5" t="s">
        <v>36</v>
      </c>
      <c r="W101" t="str">
        <f t="shared" si="29"/>
        <v/>
      </c>
      <c r="X101" t="str">
        <f t="shared" si="29"/>
        <v/>
      </c>
      <c r="Y101" s="5" t="s">
        <v>36</v>
      </c>
      <c r="Z101" t="str">
        <f t="shared" si="30"/>
        <v/>
      </c>
      <c r="AA101" t="str">
        <f t="shared" si="38"/>
        <v/>
      </c>
      <c r="AB101" s="5" t="s">
        <v>36</v>
      </c>
      <c r="AH101">
        <f t="shared" si="40"/>
        <v>96</v>
      </c>
      <c r="AI101">
        <f t="shared" si="34"/>
        <v>0</v>
      </c>
      <c r="AJ101">
        <f t="shared" si="39"/>
        <v>5</v>
      </c>
    </row>
    <row r="102" spans="1:36" x14ac:dyDescent="0.25">
      <c r="A102" s="5" t="s">
        <v>39</v>
      </c>
      <c r="B102" s="5" t="s">
        <v>30</v>
      </c>
      <c r="C102" s="5" t="str">
        <f t="shared" si="24"/>
        <v>description,dailCompDescDefense,</v>
      </c>
      <c r="D102" s="5" t="str">
        <f t="shared" si="25"/>
        <v>itemText,dailCompTextDefense,</v>
      </c>
      <c r="E102" s="5" t="str">
        <f t="shared" si="35"/>
        <v>augmentSkillLevel1,5,</v>
      </c>
      <c r="F102" s="5" t="str">
        <f t="shared" si="36"/>
        <v>augmentSkillName1,records/skills,</v>
      </c>
      <c r="G102" s="7" t="str">
        <f t="shared" si="31"/>
        <v/>
      </c>
      <c r="H102" s="8" t="str">
        <f t="shared" si="32"/>
        <v>Defense</v>
      </c>
      <c r="J102" s="8" t="str">
        <f t="shared" si="42"/>
        <v>class0016</v>
      </c>
      <c r="K102" s="8" t="str">
        <f t="shared" si="42"/>
        <v>dailoneskill0016</v>
      </c>
      <c r="L102" s="5" t="str">
        <f t="shared" si="26"/>
        <v>lootName,DAIL/items/materia/class0016/Defense.dbr,</v>
      </c>
      <c r="M102" s="5" t="str">
        <f t="shared" si="27"/>
        <v>lootWeight,1,</v>
      </c>
      <c r="N102" t="str">
        <f t="shared" si="28"/>
        <v>5</v>
      </c>
      <c r="O102" t="str">
        <f t="shared" si="37"/>
        <v/>
      </c>
      <c r="P102" t="str">
        <f t="shared" ref="P102:R102" si="44">IF($I102&lt;&gt;"","echo "&amp;A102&amp;" &gt;&gt; .\items\materia\"&amp;$J102&amp;"\"&amp;$H102&amp;$G102&amp;".dbr","")</f>
        <v/>
      </c>
      <c r="Q102" t="str">
        <f t="shared" si="44"/>
        <v/>
      </c>
      <c r="R102" t="str">
        <f t="shared" si="44"/>
        <v/>
      </c>
      <c r="S102" t="str">
        <f t="shared" si="43"/>
        <v/>
      </c>
      <c r="T102" t="str">
        <f t="shared" si="43"/>
        <v/>
      </c>
      <c r="U102" t="str">
        <f t="shared" si="43"/>
        <v/>
      </c>
      <c r="V102" s="5" t="s">
        <v>36</v>
      </c>
      <c r="W102" t="str">
        <f t="shared" si="29"/>
        <v/>
      </c>
      <c r="X102" t="str">
        <f t="shared" si="29"/>
        <v/>
      </c>
      <c r="Y102" s="5" t="s">
        <v>36</v>
      </c>
      <c r="Z102" t="str">
        <f t="shared" si="30"/>
        <v/>
      </c>
      <c r="AA102" t="str">
        <f t="shared" si="38"/>
        <v/>
      </c>
      <c r="AB102" s="5" t="s">
        <v>36</v>
      </c>
      <c r="AH102">
        <f t="shared" si="40"/>
        <v>97</v>
      </c>
      <c r="AI102">
        <f t="shared" si="34"/>
        <v>0</v>
      </c>
      <c r="AJ102">
        <f t="shared" si="39"/>
        <v>5</v>
      </c>
    </row>
  </sheetData>
  <mergeCells count="1">
    <mergeCell ref="O2:U2"/>
  </mergeCells>
  <pageMargins left="0.7" right="0.7" top="0.75" bottom="0.75" header="0.3" footer="0.3"/>
  <pageSetup orientation="portrait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:AL102"/>
  <sheetViews>
    <sheetView topLeftCell="M1" zoomScaleNormal="100" workbookViewId="0">
      <selection activeCell="U3" sqref="U3:U102"/>
    </sheetView>
  </sheetViews>
  <sheetFormatPr defaultRowHeight="15" x14ac:dyDescent="0.25"/>
  <cols>
    <col min="1" max="1" width="73.85546875" style="5" bestFit="1" customWidth="1"/>
    <col min="2" max="2" width="16.28515625" style="5" bestFit="1" customWidth="1"/>
    <col min="3" max="3" width="32.7109375" style="5" bestFit="1" customWidth="1"/>
    <col min="4" max="4" width="31.42578125" style="5" bestFit="1" customWidth="1"/>
    <col min="5" max="5" width="24.28515625" style="5" bestFit="1" customWidth="1"/>
    <col min="6" max="6" width="73.5703125" style="5" bestFit="1" customWidth="1"/>
    <col min="7" max="7" width="5.85546875" style="8" bestFit="1" customWidth="1"/>
    <col min="8" max="8" width="7.85546875" style="3" bestFit="1" customWidth="1"/>
    <col min="9" max="9" width="38.140625" style="3" bestFit="1" customWidth="1"/>
    <col min="10" max="10" width="9.140625" style="3" bestFit="1" customWidth="1"/>
    <col min="11" max="11" width="18.140625" style="3" customWidth="1"/>
    <col min="12" max="12" width="51.85546875" style="5" bestFit="1" customWidth="1"/>
    <col min="13" max="13" width="21.28515625" style="5" customWidth="1"/>
    <col min="15" max="15" width="10.5703125" customWidth="1"/>
    <col min="22" max="22" width="1.5703125" style="5" customWidth="1"/>
    <col min="23" max="23" width="9.5703125" customWidth="1"/>
    <col min="25" max="25" width="1.5703125" style="5" bestFit="1" customWidth="1"/>
    <col min="26" max="26" width="46.7109375" bestFit="1" customWidth="1"/>
    <col min="27" max="27" width="29.140625" customWidth="1"/>
    <col min="28" max="28" width="1.5703125" style="5" bestFit="1" customWidth="1"/>
    <col min="31" max="31" width="14.140625" bestFit="1" customWidth="1"/>
  </cols>
  <sheetData>
    <row r="1" spans="1:38" x14ac:dyDescent="0.25">
      <c r="G1" s="5"/>
      <c r="H1" s="5"/>
      <c r="I1" s="5"/>
      <c r="J1" s="5"/>
      <c r="K1" s="5"/>
      <c r="N1" s="5"/>
      <c r="O1" s="9"/>
      <c r="P1" s="9"/>
      <c r="Q1" s="9"/>
      <c r="R1" s="9"/>
      <c r="S1" s="9"/>
      <c r="T1" s="9"/>
      <c r="U1" s="9"/>
      <c r="W1" s="9"/>
      <c r="X1" s="9"/>
      <c r="Z1" s="9"/>
      <c r="AA1" s="9"/>
    </row>
    <row r="2" spans="1:38" x14ac:dyDescent="0.25">
      <c r="A2" s="4" t="s">
        <v>2</v>
      </c>
      <c r="B2" s="4" t="s">
        <v>3</v>
      </c>
      <c r="C2" s="4" t="s">
        <v>4</v>
      </c>
      <c r="D2" s="4" t="s">
        <v>5</v>
      </c>
      <c r="E2" s="4" t="s">
        <v>6</v>
      </c>
      <c r="F2" s="4" t="s">
        <v>7</v>
      </c>
      <c r="G2" s="6" t="s">
        <v>9</v>
      </c>
      <c r="H2" s="2" t="s">
        <v>26</v>
      </c>
      <c r="I2" s="2" t="s">
        <v>8</v>
      </c>
      <c r="J2" s="2" t="s">
        <v>33</v>
      </c>
      <c r="K2" s="2" t="s">
        <v>38</v>
      </c>
      <c r="L2" s="4" t="s">
        <v>31</v>
      </c>
      <c r="M2" s="4" t="s">
        <v>32</v>
      </c>
      <c r="O2" s="11" t="str">
        <f>"Copy from N to T Into the files named "&amp;H3&amp;G3&amp;" etc"</f>
        <v>Copy from N to T Into the files named Hunting1 etc</v>
      </c>
      <c r="P2" s="11"/>
      <c r="Q2" s="11"/>
      <c r="R2" s="11"/>
      <c r="S2" s="11"/>
      <c r="T2" s="11"/>
      <c r="U2" s="11"/>
      <c r="W2" s="1" t="s">
        <v>35</v>
      </c>
      <c r="Z2" s="1" t="s">
        <v>40</v>
      </c>
      <c r="AD2" t="s">
        <v>44</v>
      </c>
    </row>
    <row r="3" spans="1:38" x14ac:dyDescent="0.25">
      <c r="A3" s="5" t="s">
        <v>39</v>
      </c>
      <c r="B3" s="5" t="s">
        <v>0</v>
      </c>
      <c r="C3" s="5" t="str">
        <f t="shared" ref="C3:C66" si="0">"description,dailCompDesc"&amp;H3&amp;G3&amp;","</f>
        <v>description,dailCompDescHunting1,</v>
      </c>
      <c r="D3" s="5" t="str">
        <f>"itemText,dailCompText"&amp;H3&amp;G3&amp;","</f>
        <v>itemText,dailCompTextHunting1,</v>
      </c>
      <c r="E3" s="5" t="s">
        <v>24</v>
      </c>
      <c r="F3" s="5" t="str">
        <f>"augmentMasteryName1,records/skills"&amp;I3&amp;","</f>
        <v>augmentMasteryName1,records/skillshunting/huntingmastery.dbr,,</v>
      </c>
      <c r="G3" s="7">
        <f>IF(I3&lt;&gt;"",1,"")</f>
        <v>1</v>
      </c>
      <c r="H3" s="3" t="s">
        <v>595</v>
      </c>
      <c r="I3" s="3" t="s">
        <v>594</v>
      </c>
      <c r="J3" s="3" t="s">
        <v>556</v>
      </c>
      <c r="K3" s="3" t="s">
        <v>557</v>
      </c>
      <c r="L3" s="5" t="str">
        <f>"lootName"&amp;G3&amp;",DAIL/items/materia/"&amp;J3&amp;"/"&amp;H3&amp;G3&amp;".dbr"&amp;","</f>
        <v>lootName1,DAIL/items/materia/class0017/Hunting1.dbr,</v>
      </c>
      <c r="M3" s="5" t="str">
        <f>"lootWeight"&amp;G3&amp;",1,"</f>
        <v>lootWeight1,1,</v>
      </c>
      <c r="N3" t="str">
        <f>LEFT(RIGHT(E3,2),1)</f>
        <v>1</v>
      </c>
      <c r="O3" s="5" t="str">
        <f>IF(I3&lt;&gt;"","copy .\dail_base2.dbr .\items\materia\"&amp;J3&amp;"\"&amp;H3&amp;G3&amp;".dbr /y"&amp;"","")</f>
        <v>copy .\dail_base2.dbr .\items\materia\class0017\Hunting1.dbr /y</v>
      </c>
      <c r="P3" t="str">
        <f>IF($I3&lt;&gt;"","echo "&amp;A3&amp;" &gt;&gt; .\items\materia\"&amp;$J3&amp;"\"&amp;$H3&amp;$G3&amp;".dbr","")</f>
        <v>echo relicBitmap,items/craftingparts/components/component_a52_bristlyfur_b.tex, &gt;&gt; .\items\materia\class0017\Hunting1.dbr</v>
      </c>
      <c r="Q3" t="str">
        <f t="shared" ref="Q3:U18" si="1">IF($I3&lt;&gt;"","echo "&amp;B3&amp;" &gt;&gt; .\items\materia\"&amp;$J3&amp;"\"&amp;$H3&amp;$G3&amp;".dbr","")</f>
        <v>echo itemCost,100000, &gt;&gt; .\items\materia\class0017\Hunting1.dbr</v>
      </c>
      <c r="R3" t="str">
        <f t="shared" si="1"/>
        <v>echo description,dailCompDescHunting1, &gt;&gt; .\items\materia\class0017\Hunting1.dbr</v>
      </c>
      <c r="S3" t="str">
        <f t="shared" si="1"/>
        <v>echo itemText,dailCompTextHunting1, &gt;&gt; .\items\materia\class0017\Hunting1.dbr</v>
      </c>
      <c r="T3" t="str">
        <f t="shared" si="1"/>
        <v>echo augmentMasteryLevel1,1, &gt;&gt; .\items\materia\class0017\Hunting1.dbr</v>
      </c>
      <c r="U3" t="str">
        <f t="shared" si="1"/>
        <v>echo augmentMasteryName1,records/skillshunting/huntingmastery.dbr,, &gt;&gt; .\items\materia\class0017\Hunting1.dbr</v>
      </c>
      <c r="V3" s="5" t="s">
        <v>36</v>
      </c>
      <c r="W3" t="str">
        <f>IF($I3&lt;&gt;"","echo "&amp;L3&amp;" &gt;&gt; .\items\loottables\"&amp;$K3&amp;".dbr","")</f>
        <v>echo lootName1,DAIL/items/materia/class0017/Hunting1.dbr, &gt;&gt; .\items\loottables\dailoneskill0017.dbr</v>
      </c>
      <c r="X3" t="str">
        <f>IF($I3&lt;&gt;"","echo "&amp;M3&amp;" &gt;&gt; .\items\loottables\"&amp;$K3&amp;".dbr","")</f>
        <v>echo lootWeight1,1, &gt;&gt; .\items\loottables\dailoneskill0017.dbr</v>
      </c>
      <c r="Y3" s="5" t="s">
        <v>36</v>
      </c>
      <c r="Z3" s="10" t="str">
        <f>IF(I2&lt;&gt;""," dailCompDesc"&amp;H3&amp;G3&amp;"=^p"&amp;H3&amp;"'s Gift of DAIL","")</f>
        <v xml:space="preserve"> dailCompDescHunting1=^pHunting's Gift of DAIL</v>
      </c>
      <c r="AA3" s="10" t="str">
        <f>IF(I2&lt;&gt;"","dailCompText"&amp;H3&amp;G3&amp;"=^oThis feels warm to the touch, almost familiar ^w(This component fits into the amulet only)","")</f>
        <v>dailCompTextHunting1=^oThis feels warm to the touch, almost familiar ^w(This component fits into the amulet only)</v>
      </c>
      <c r="AB3" s="5" t="s">
        <v>36</v>
      </c>
      <c r="AD3">
        <v>1</v>
      </c>
      <c r="AE3" t="s">
        <v>42</v>
      </c>
      <c r="AF3" t="s">
        <v>45</v>
      </c>
    </row>
    <row r="4" spans="1:38" x14ac:dyDescent="0.25">
      <c r="A4" s="5" t="s">
        <v>39</v>
      </c>
      <c r="B4" s="5" t="s">
        <v>28</v>
      </c>
      <c r="C4" s="5" t="str">
        <f t="shared" si="0"/>
        <v>description,dailCompDescHunting2,</v>
      </c>
      <c r="D4" s="5" t="str">
        <f t="shared" ref="D4:D67" si="2">"itemText,dailCompText"&amp;H4&amp;G4&amp;","</f>
        <v>itemText,dailCompTextHunting2,</v>
      </c>
      <c r="E4" s="5" t="s">
        <v>1</v>
      </c>
      <c r="F4" s="5" t="str">
        <f t="shared" ref="F4:F5" si="3">"augmentMasteryName1,records/skills"&amp;I4&amp;","</f>
        <v>augmentMasteryName1,records/skillshunting/huntingmastery.dbr,,</v>
      </c>
      <c r="G4" s="7">
        <f>IF(I4&lt;&gt;"",G3+1,"")</f>
        <v>2</v>
      </c>
      <c r="H4" s="8" t="str">
        <f>H3</f>
        <v>Hunting</v>
      </c>
      <c r="I4" s="3" t="s">
        <v>594</v>
      </c>
      <c r="J4" s="8" t="str">
        <f>J3</f>
        <v>class0017</v>
      </c>
      <c r="K4" s="8" t="str">
        <f>K3</f>
        <v>dailoneskill0017</v>
      </c>
      <c r="L4" s="5" t="str">
        <f t="shared" ref="L4:L67" si="4">"lootName"&amp;G4&amp;",DAIL/items/materia/"&amp;J4&amp;"/"&amp;H4&amp;G4&amp;".dbr"&amp;","</f>
        <v>lootName2,DAIL/items/materia/class0017/Hunting2.dbr,</v>
      </c>
      <c r="M4" s="5" t="str">
        <f t="shared" ref="M4:M67" si="5">"lootWeight"&amp;G4&amp;",1,"</f>
        <v>lootWeight2,1,</v>
      </c>
      <c r="N4" t="str">
        <f t="shared" ref="N4:N67" si="6">LEFT(RIGHT(E4,2),1)</f>
        <v>2</v>
      </c>
      <c r="O4" s="5" t="str">
        <f>IF(I4&lt;&gt;"","copy .\dail_base2.dbr .\items\materia\"&amp;J4&amp;"\"&amp;H4&amp;G4&amp;".dbr /y"&amp;"","")</f>
        <v>copy .\dail_base2.dbr .\items\materia\class0017\Hunting2.dbr /y</v>
      </c>
      <c r="P4" t="str">
        <f t="shared" ref="P4:U58" si="7">IF($I4&lt;&gt;"","echo "&amp;A4&amp;" &gt;&gt; .\items\materia\"&amp;$J4&amp;"\"&amp;$H4&amp;$G4&amp;".dbr","")</f>
        <v>echo relicBitmap,items/craftingparts/components/component_a52_bristlyfur_b.tex, &gt;&gt; .\items\materia\class0017\Hunting2.dbr</v>
      </c>
      <c r="Q4" t="str">
        <f t="shared" si="1"/>
        <v>echo itemCost,300000, &gt;&gt; .\items\materia\class0017\Hunting2.dbr</v>
      </c>
      <c r="R4" t="str">
        <f t="shared" si="1"/>
        <v>echo description,dailCompDescHunting2, &gt;&gt; .\items\materia\class0017\Hunting2.dbr</v>
      </c>
      <c r="S4" t="str">
        <f t="shared" si="1"/>
        <v>echo itemText,dailCompTextHunting2, &gt;&gt; .\items\materia\class0017\Hunting2.dbr</v>
      </c>
      <c r="T4" t="str">
        <f t="shared" si="1"/>
        <v>echo augmentMasteryLevel1,2, &gt;&gt; .\items\materia\class0017\Hunting2.dbr</v>
      </c>
      <c r="U4" t="str">
        <f t="shared" si="1"/>
        <v>echo augmentMasteryName1,records/skillshunting/huntingmastery.dbr,, &gt;&gt; .\items\materia\class0017\Hunting2.dbr</v>
      </c>
      <c r="V4" s="5" t="s">
        <v>36</v>
      </c>
      <c r="W4" t="str">
        <f t="shared" ref="W4:X67" si="8">IF($I4&lt;&gt;"","echo "&amp;L4&amp;" &gt;&gt; .\items\loottables\"&amp;$K4&amp;".dbr","")</f>
        <v>echo lootName2,DAIL/items/materia/class0017/Hunting2.dbr, &gt;&gt; .\items\loottables\dailoneskill0017.dbr</v>
      </c>
      <c r="X4" t="str">
        <f t="shared" si="8"/>
        <v>echo lootWeight2,1, &gt;&gt; .\items\loottables\dailoneskill0017.dbr</v>
      </c>
      <c r="Y4" s="5" t="s">
        <v>36</v>
      </c>
      <c r="Z4" s="10" t="str">
        <f t="shared" ref="Z4:Z67" si="9">IF(I3&lt;&gt;""," dailCompDesc"&amp;H4&amp;G4&amp;"=^p"&amp;H4&amp;"'s Gift of DAIL","")</f>
        <v xml:space="preserve"> dailCompDescHunting2=^pHunting's Gift of DAIL</v>
      </c>
      <c r="AA4" s="10" t="str">
        <f>IF(I3&lt;&gt;"","dailCompText"&amp;H4&amp;G4&amp;"=^oThis feels warm to the touch, almost familiar ^w(This component fits into the amulet only)","")</f>
        <v>dailCompTextHunting2=^oThis feels warm to the touch, almost familiar ^w(This component fits into the amulet only)</v>
      </c>
      <c r="AB4" s="5" t="s">
        <v>36</v>
      </c>
      <c r="AD4">
        <v>3</v>
      </c>
      <c r="AE4" t="s">
        <v>43</v>
      </c>
      <c r="AF4" t="s">
        <v>46</v>
      </c>
    </row>
    <row r="5" spans="1:38" x14ac:dyDescent="0.25">
      <c r="A5" s="5" t="s">
        <v>39</v>
      </c>
      <c r="B5" s="5" t="s">
        <v>29</v>
      </c>
      <c r="C5" s="5" t="str">
        <f t="shared" si="0"/>
        <v>description,dailCompDescHunting3,</v>
      </c>
      <c r="D5" s="5" t="str">
        <f t="shared" si="2"/>
        <v>itemText,dailCompTextHunting3,</v>
      </c>
      <c r="E5" s="5" t="s">
        <v>25</v>
      </c>
      <c r="F5" s="5" t="str">
        <f t="shared" si="3"/>
        <v>augmentMasteryName1,records/skillshunting/huntingmastery.dbr,,</v>
      </c>
      <c r="G5" s="7">
        <f t="shared" ref="G5:G68" si="10">IF(I5&lt;&gt;"",G4+1,"")</f>
        <v>3</v>
      </c>
      <c r="H5" s="8" t="str">
        <f t="shared" ref="H5:H68" si="11">H4</f>
        <v>Hunting</v>
      </c>
      <c r="I5" s="3" t="s">
        <v>594</v>
      </c>
      <c r="J5" s="8" t="str">
        <f t="shared" ref="J5:K20" si="12">J4</f>
        <v>class0017</v>
      </c>
      <c r="K5" s="8" t="str">
        <f t="shared" si="12"/>
        <v>dailoneskill0017</v>
      </c>
      <c r="L5" s="5" t="str">
        <f t="shared" si="4"/>
        <v>lootName3,DAIL/items/materia/class0017/Hunting3.dbr,</v>
      </c>
      <c r="M5" s="5" t="str">
        <f t="shared" si="5"/>
        <v>lootWeight3,1,</v>
      </c>
      <c r="N5" t="str">
        <f t="shared" si="6"/>
        <v>3</v>
      </c>
      <c r="O5" s="5" t="str">
        <f>IF(I5&lt;&gt;"","copy .\dail_base2.dbr .\items\materia\"&amp;J5&amp;"\"&amp;H5&amp;G5&amp;".dbr /y"&amp;"","")</f>
        <v>copy .\dail_base2.dbr .\items\materia\class0017\Hunting3.dbr /y</v>
      </c>
      <c r="P5" t="str">
        <f t="shared" si="7"/>
        <v>echo relicBitmap,items/craftingparts/components/component_a52_bristlyfur_b.tex, &gt;&gt; .\items\materia\class0017\Hunting3.dbr</v>
      </c>
      <c r="Q5" t="str">
        <f t="shared" si="1"/>
        <v>echo itemCost,600000, &gt;&gt; .\items\materia\class0017\Hunting3.dbr</v>
      </c>
      <c r="R5" t="str">
        <f t="shared" si="1"/>
        <v>echo description,dailCompDescHunting3, &gt;&gt; .\items\materia\class0017\Hunting3.dbr</v>
      </c>
      <c r="S5" t="str">
        <f t="shared" si="1"/>
        <v>echo itemText,dailCompTextHunting3, &gt;&gt; .\items\materia\class0017\Hunting3.dbr</v>
      </c>
      <c r="T5" t="str">
        <f t="shared" si="1"/>
        <v>echo augmentMasteryLevel1,3, &gt;&gt; .\items\materia\class0017\Hunting3.dbr</v>
      </c>
      <c r="U5" t="str">
        <f t="shared" si="1"/>
        <v>echo augmentMasteryName1,records/skillshunting/huntingmastery.dbr,, &gt;&gt; .\items\materia\class0017\Hunting3.dbr</v>
      </c>
      <c r="V5" s="5" t="s">
        <v>36</v>
      </c>
      <c r="W5" t="str">
        <f t="shared" si="8"/>
        <v>echo lootName3,DAIL/items/materia/class0017/Hunting3.dbr, &gt;&gt; .\items\loottables\dailoneskill0017.dbr</v>
      </c>
      <c r="X5" t="str">
        <f t="shared" si="8"/>
        <v>echo lootWeight3,1, &gt;&gt; .\items\loottables\dailoneskill0017.dbr</v>
      </c>
      <c r="Y5" s="5" t="s">
        <v>36</v>
      </c>
      <c r="Z5" s="10" t="str">
        <f t="shared" si="9"/>
        <v xml:space="preserve"> dailCompDescHunting3=^pHunting's Gift of DAIL</v>
      </c>
      <c r="AA5" s="10" t="str">
        <f>IF(I4&lt;&gt;"","dailCompText"&amp;H5&amp;G5&amp;"=^oThis feels warm to the touch, almost familiar ^w(This component fits into the amulet only)","")</f>
        <v>dailCompTextHunting3=^oThis feels warm to the touch, almost familiar ^w(This component fits into the amulet only)</v>
      </c>
      <c r="AB5" s="5" t="s">
        <v>36</v>
      </c>
      <c r="AD5">
        <v>5</v>
      </c>
      <c r="AE5" t="s">
        <v>43</v>
      </c>
      <c r="AF5" t="s">
        <v>46</v>
      </c>
      <c r="AI5" t="s">
        <v>61</v>
      </c>
    </row>
    <row r="6" spans="1:38" x14ac:dyDescent="0.25">
      <c r="A6" s="5" t="s">
        <v>39</v>
      </c>
      <c r="B6" s="5" t="s">
        <v>0</v>
      </c>
      <c r="C6" s="5" t="str">
        <f t="shared" si="0"/>
        <v>description,dailCompDescHunting4,</v>
      </c>
      <c r="D6" s="5" t="str">
        <f t="shared" si="2"/>
        <v>itemText,dailCompTextHunting4,</v>
      </c>
      <c r="E6" s="5" t="str">
        <f>"augmentSkillLevel1,"&amp;AJ6&amp;","</f>
        <v>augmentSkillLevel1,1,</v>
      </c>
      <c r="F6" s="5" t="str">
        <f>"augmentSkillName1,records/skills"&amp;I6&amp;","</f>
        <v>augmentSkillName1,records/skillshunting/woodlore.dbr,,</v>
      </c>
      <c r="G6" s="7">
        <f t="shared" si="10"/>
        <v>4</v>
      </c>
      <c r="H6" s="8" t="str">
        <f t="shared" si="11"/>
        <v>Hunting</v>
      </c>
      <c r="I6" s="3" t="s">
        <v>596</v>
      </c>
      <c r="J6" s="8" t="str">
        <f t="shared" si="12"/>
        <v>class0017</v>
      </c>
      <c r="K6" s="8" t="str">
        <f t="shared" si="12"/>
        <v>dailoneskill0017</v>
      </c>
      <c r="L6" s="5" t="str">
        <f t="shared" si="4"/>
        <v>lootName4,DAIL/items/materia/class0017/Hunting4.dbr,</v>
      </c>
      <c r="M6" s="5" t="str">
        <f t="shared" si="5"/>
        <v>lootWeight4,1,</v>
      </c>
      <c r="N6" t="str">
        <f t="shared" si="6"/>
        <v>1</v>
      </c>
      <c r="O6" t="str">
        <f>IF(I6&lt;&gt;"","copy .\"&amp;VLOOKUP(VALUE(N6),$AD$3:$AF$5,2,FALSE)&amp;" .\items\materia\"&amp;J6&amp;"\"&amp;H6&amp;G6&amp;".dbr /y"&amp;"","")</f>
        <v>copy .\dail_base.dbr .\items\materia\class0017\Hunting4.dbr /y</v>
      </c>
      <c r="P6" t="str">
        <f t="shared" si="7"/>
        <v>echo relicBitmap,items/craftingparts/components/component_a52_bristlyfur_b.tex, &gt;&gt; .\items\materia\class0017\Hunting4.dbr</v>
      </c>
      <c r="Q6" t="str">
        <f t="shared" si="1"/>
        <v>echo itemCost,100000, &gt;&gt; .\items\materia\class0017\Hunting4.dbr</v>
      </c>
      <c r="R6" t="str">
        <f t="shared" si="1"/>
        <v>echo description,dailCompDescHunting4, &gt;&gt; .\items\materia\class0017\Hunting4.dbr</v>
      </c>
      <c r="S6" t="str">
        <f t="shared" si="1"/>
        <v>echo itemText,dailCompTextHunting4, &gt;&gt; .\items\materia\class0017\Hunting4.dbr</v>
      </c>
      <c r="T6" t="str">
        <f t="shared" si="1"/>
        <v>echo augmentSkillLevel1,1, &gt;&gt; .\items\materia\class0017\Hunting4.dbr</v>
      </c>
      <c r="U6" t="str">
        <f t="shared" si="1"/>
        <v>echo augmentSkillName1,records/skillshunting/woodlore.dbr,, &gt;&gt; .\items\materia\class0017\Hunting4.dbr</v>
      </c>
      <c r="V6" s="5" t="s">
        <v>36</v>
      </c>
      <c r="W6" t="str">
        <f t="shared" si="8"/>
        <v>echo lootName4,DAIL/items/materia/class0017/Hunting4.dbr, &gt;&gt; .\items\loottables\dailoneskill0017.dbr</v>
      </c>
      <c r="X6" t="str">
        <f t="shared" si="8"/>
        <v>echo lootWeight4,1, &gt;&gt; .\items\loottables\dailoneskill0017.dbr</v>
      </c>
      <c r="Y6" s="5" t="s">
        <v>36</v>
      </c>
      <c r="Z6" t="str">
        <f t="shared" si="9"/>
        <v xml:space="preserve"> dailCompDescHunting4=^pHunting's Gift of DAIL</v>
      </c>
      <c r="AA6" t="str">
        <f>IF(I5&lt;&gt;"","dailCompText"&amp;H6&amp;G6&amp;"=^oThis feels warm to the touch, almost familiar ^w("&amp;VLOOKUP(VALUE(N6),$AD$3:$AF$5,3,FALSE)&amp;")","")</f>
        <v>dailCompTextHunting4=^oThis feels warm to the touch, almost familiar ^w(This component fits into all Jewellery slots including the Belt And Shoulder)</v>
      </c>
      <c r="AB6" s="5" t="s">
        <v>36</v>
      </c>
      <c r="AH6">
        <v>1</v>
      </c>
      <c r="AI6">
        <f t="shared" ref="AI6:AI69" si="13">LEN(I6)</f>
        <v>21</v>
      </c>
      <c r="AJ6">
        <f>IF(AH6&lt;$AL$7,1,IF(AH6&lt;$AL$8,3,5))</f>
        <v>1</v>
      </c>
      <c r="AK6" s="1" t="s">
        <v>62</v>
      </c>
      <c r="AL6" s="1">
        <f>COUNTIF(AI:AI,"&gt;0")</f>
        <v>60</v>
      </c>
    </row>
    <row r="7" spans="1:38" x14ac:dyDescent="0.25">
      <c r="A7" s="5" t="s">
        <v>39</v>
      </c>
      <c r="B7" s="5" t="s">
        <v>0</v>
      </c>
      <c r="C7" s="5" t="str">
        <f t="shared" si="0"/>
        <v>description,dailCompDescHunting5,</v>
      </c>
      <c r="D7" s="5" t="str">
        <f t="shared" si="2"/>
        <v>itemText,dailCompTextHunting5,</v>
      </c>
      <c r="E7" s="5" t="str">
        <f t="shared" ref="E7:E70" si="14">"augmentSkillLevel1,"&amp;AJ7&amp;","</f>
        <v>augmentSkillLevel1,1,</v>
      </c>
      <c r="F7" s="5" t="str">
        <f t="shared" ref="F7:F70" si="15">"augmentSkillName1,records/skills"&amp;I7&amp;","</f>
        <v>augmentSkillName1,records/skillshunting/artofthehunt.dbr,,</v>
      </c>
      <c r="G7" s="7">
        <f t="shared" si="10"/>
        <v>5</v>
      </c>
      <c r="H7" s="8" t="str">
        <f t="shared" si="11"/>
        <v>Hunting</v>
      </c>
      <c r="I7" s="3" t="s">
        <v>597</v>
      </c>
      <c r="J7" s="8" t="str">
        <f t="shared" si="12"/>
        <v>class0017</v>
      </c>
      <c r="K7" s="8" t="str">
        <f t="shared" si="12"/>
        <v>dailoneskill0017</v>
      </c>
      <c r="L7" s="5" t="str">
        <f t="shared" si="4"/>
        <v>lootName5,DAIL/items/materia/class0017/Hunting5.dbr,</v>
      </c>
      <c r="M7" s="5" t="str">
        <f t="shared" si="5"/>
        <v>lootWeight5,1,</v>
      </c>
      <c r="N7" t="str">
        <f t="shared" si="6"/>
        <v>1</v>
      </c>
      <c r="O7" t="str">
        <f t="shared" ref="O7:O70" si="16">IF(I7&lt;&gt;"","copy .\"&amp;VLOOKUP(VALUE(N7),$AD$3:$AF$5,2,FALSE)&amp;" .\items\materia\"&amp;J7&amp;"\"&amp;H7&amp;G7&amp;".dbr /y"&amp;"","")</f>
        <v>copy .\dail_base.dbr .\items\materia\class0017\Hunting5.dbr /y</v>
      </c>
      <c r="P7" t="str">
        <f t="shared" si="7"/>
        <v>echo relicBitmap,items/craftingparts/components/component_a52_bristlyfur_b.tex, &gt;&gt; .\items\materia\class0017\Hunting5.dbr</v>
      </c>
      <c r="Q7" t="str">
        <f t="shared" si="1"/>
        <v>echo itemCost,100000, &gt;&gt; .\items\materia\class0017\Hunting5.dbr</v>
      </c>
      <c r="R7" t="str">
        <f t="shared" si="1"/>
        <v>echo description,dailCompDescHunting5, &gt;&gt; .\items\materia\class0017\Hunting5.dbr</v>
      </c>
      <c r="S7" t="str">
        <f t="shared" si="1"/>
        <v>echo itemText,dailCompTextHunting5, &gt;&gt; .\items\materia\class0017\Hunting5.dbr</v>
      </c>
      <c r="T7" t="str">
        <f t="shared" si="1"/>
        <v>echo augmentSkillLevel1,1, &gt;&gt; .\items\materia\class0017\Hunting5.dbr</v>
      </c>
      <c r="U7" t="str">
        <f t="shared" si="1"/>
        <v>echo augmentSkillName1,records/skillshunting/artofthehunt.dbr,, &gt;&gt; .\items\materia\class0017\Hunting5.dbr</v>
      </c>
      <c r="V7" s="5" t="s">
        <v>36</v>
      </c>
      <c r="W7" t="str">
        <f t="shared" si="8"/>
        <v>echo lootName5,DAIL/items/materia/class0017/Hunting5.dbr, &gt;&gt; .\items\loottables\dailoneskill0017.dbr</v>
      </c>
      <c r="X7" t="str">
        <f t="shared" si="8"/>
        <v>echo lootWeight5,1, &gt;&gt; .\items\loottables\dailoneskill0017.dbr</v>
      </c>
      <c r="Y7" s="5" t="s">
        <v>36</v>
      </c>
      <c r="Z7" t="str">
        <f t="shared" si="9"/>
        <v xml:space="preserve"> dailCompDescHunting5=^pHunting's Gift of DAIL</v>
      </c>
      <c r="AA7" t="str">
        <f t="shared" ref="AA7:AA70" si="17">IF(I6&lt;&gt;"","dailCompText"&amp;H7&amp;G7&amp;"=^oThis feels warm to the touch, almost familiar ^w("&amp;VLOOKUP(VALUE(N7),$AD$3:$AF$5,3,FALSE)&amp;")","")</f>
        <v>dailCompTextHunting5=^oThis feels warm to the touch, almost familiar ^w(This component fits into all Jewellery slots including the Belt And Shoulder)</v>
      </c>
      <c r="AB7" s="5" t="s">
        <v>36</v>
      </c>
      <c r="AH7">
        <f>AH6+1</f>
        <v>2</v>
      </c>
      <c r="AI7">
        <f t="shared" si="13"/>
        <v>25</v>
      </c>
      <c r="AJ7">
        <f t="shared" ref="AJ7:AJ70" si="18">IF(AH7&lt;$AL$7,1,IF(AH7&lt;$AL$8,3,5))</f>
        <v>1</v>
      </c>
      <c r="AK7">
        <v>1</v>
      </c>
      <c r="AL7">
        <f>AL6/3</f>
        <v>20</v>
      </c>
    </row>
    <row r="8" spans="1:38" x14ac:dyDescent="0.25">
      <c r="A8" s="5" t="s">
        <v>39</v>
      </c>
      <c r="B8" s="5" t="s">
        <v>0</v>
      </c>
      <c r="C8" s="5" t="str">
        <f t="shared" si="0"/>
        <v>description,dailCompDescHunting6,</v>
      </c>
      <c r="D8" s="5" t="str">
        <f t="shared" si="2"/>
        <v>itemText,dailCompTextHunting6,</v>
      </c>
      <c r="E8" s="5" t="str">
        <f t="shared" si="14"/>
        <v>augmentSkillLevel1,1,</v>
      </c>
      <c r="F8" s="5" t="str">
        <f t="shared" si="15"/>
        <v>augmentSkillName1,records/skillshunting/artofthehunt_findcover.dbr,,</v>
      </c>
      <c r="G8" s="7">
        <f t="shared" si="10"/>
        <v>6</v>
      </c>
      <c r="H8" s="8" t="str">
        <f t="shared" si="11"/>
        <v>Hunting</v>
      </c>
      <c r="I8" s="3" t="s">
        <v>598</v>
      </c>
      <c r="J8" s="8" t="str">
        <f t="shared" si="12"/>
        <v>class0017</v>
      </c>
      <c r="K8" s="8" t="str">
        <f t="shared" si="12"/>
        <v>dailoneskill0017</v>
      </c>
      <c r="L8" s="5" t="str">
        <f t="shared" si="4"/>
        <v>lootName6,DAIL/items/materia/class0017/Hunting6.dbr,</v>
      </c>
      <c r="M8" s="5" t="str">
        <f t="shared" si="5"/>
        <v>lootWeight6,1,</v>
      </c>
      <c r="N8" t="str">
        <f t="shared" si="6"/>
        <v>1</v>
      </c>
      <c r="O8" t="str">
        <f t="shared" si="16"/>
        <v>copy .\dail_base.dbr .\items\materia\class0017\Hunting6.dbr /y</v>
      </c>
      <c r="P8" t="str">
        <f t="shared" si="7"/>
        <v>echo relicBitmap,items/craftingparts/components/component_a52_bristlyfur_b.tex, &gt;&gt; .\items\materia\class0017\Hunting6.dbr</v>
      </c>
      <c r="Q8" t="str">
        <f t="shared" si="1"/>
        <v>echo itemCost,100000, &gt;&gt; .\items\materia\class0017\Hunting6.dbr</v>
      </c>
      <c r="R8" t="str">
        <f t="shared" si="1"/>
        <v>echo description,dailCompDescHunting6, &gt;&gt; .\items\materia\class0017\Hunting6.dbr</v>
      </c>
      <c r="S8" t="str">
        <f t="shared" si="1"/>
        <v>echo itemText,dailCompTextHunting6, &gt;&gt; .\items\materia\class0017\Hunting6.dbr</v>
      </c>
      <c r="T8" t="str">
        <f t="shared" si="1"/>
        <v>echo augmentSkillLevel1,1, &gt;&gt; .\items\materia\class0017\Hunting6.dbr</v>
      </c>
      <c r="U8" t="str">
        <f t="shared" si="1"/>
        <v>echo augmentSkillName1,records/skillshunting/artofthehunt_findcover.dbr,, &gt;&gt; .\items\materia\class0017\Hunting6.dbr</v>
      </c>
      <c r="V8" s="5" t="s">
        <v>36</v>
      </c>
      <c r="W8" t="str">
        <f t="shared" si="8"/>
        <v>echo lootName6,DAIL/items/materia/class0017/Hunting6.dbr, &gt;&gt; .\items\loottables\dailoneskill0017.dbr</v>
      </c>
      <c r="X8" t="str">
        <f t="shared" si="8"/>
        <v>echo lootWeight6,1, &gt;&gt; .\items\loottables\dailoneskill0017.dbr</v>
      </c>
      <c r="Y8" s="5" t="s">
        <v>36</v>
      </c>
      <c r="Z8" t="str">
        <f t="shared" si="9"/>
        <v xml:space="preserve"> dailCompDescHunting6=^pHunting's Gift of DAIL</v>
      </c>
      <c r="AA8" t="str">
        <f t="shared" si="17"/>
        <v>dailCompTextHunting6=^oThis feels warm to the touch, almost familiar ^w(This component fits into all Jewellery slots including the Belt And Shoulder)</v>
      </c>
      <c r="AB8" s="5" t="s">
        <v>36</v>
      </c>
      <c r="AH8">
        <f t="shared" ref="AH8:AH71" si="19">AH7+1</f>
        <v>3</v>
      </c>
      <c r="AI8">
        <f t="shared" si="13"/>
        <v>35</v>
      </c>
      <c r="AJ8">
        <f t="shared" si="18"/>
        <v>1</v>
      </c>
      <c r="AK8" s="1">
        <v>3</v>
      </c>
      <c r="AL8">
        <f>AL7*2</f>
        <v>40</v>
      </c>
    </row>
    <row r="9" spans="1:38" x14ac:dyDescent="0.25">
      <c r="A9" s="5" t="s">
        <v>39</v>
      </c>
      <c r="B9" s="5" t="s">
        <v>0</v>
      </c>
      <c r="C9" s="5" t="str">
        <f t="shared" si="0"/>
        <v>description,dailCompDescHunting7,</v>
      </c>
      <c r="D9" s="5" t="str">
        <f t="shared" si="2"/>
        <v>itemText,dailCompTextHunting7,</v>
      </c>
      <c r="E9" s="5" t="str">
        <f t="shared" si="14"/>
        <v>augmentSkillLevel1,1,</v>
      </c>
      <c r="F9" s="5" t="str">
        <f t="shared" si="15"/>
        <v>augmentSkillName1,records/skillshunting/artofthehunt_trailblazing.dbr,,</v>
      </c>
      <c r="G9" s="7">
        <f t="shared" si="10"/>
        <v>7</v>
      </c>
      <c r="H9" s="8" t="str">
        <f t="shared" si="11"/>
        <v>Hunting</v>
      </c>
      <c r="I9" s="3" t="s">
        <v>599</v>
      </c>
      <c r="J9" s="8" t="str">
        <f t="shared" si="12"/>
        <v>class0017</v>
      </c>
      <c r="K9" s="8" t="str">
        <f t="shared" si="12"/>
        <v>dailoneskill0017</v>
      </c>
      <c r="L9" s="5" t="str">
        <f t="shared" si="4"/>
        <v>lootName7,DAIL/items/materia/class0017/Hunting7.dbr,</v>
      </c>
      <c r="M9" s="5" t="str">
        <f t="shared" si="5"/>
        <v>lootWeight7,1,</v>
      </c>
      <c r="N9" t="str">
        <f t="shared" si="6"/>
        <v>1</v>
      </c>
      <c r="O9" t="str">
        <f t="shared" si="16"/>
        <v>copy .\dail_base.dbr .\items\materia\class0017\Hunting7.dbr /y</v>
      </c>
      <c r="P9" t="str">
        <f t="shared" si="7"/>
        <v>echo relicBitmap,items/craftingparts/components/component_a52_bristlyfur_b.tex, &gt;&gt; .\items\materia\class0017\Hunting7.dbr</v>
      </c>
      <c r="Q9" t="str">
        <f t="shared" si="1"/>
        <v>echo itemCost,100000, &gt;&gt; .\items\materia\class0017\Hunting7.dbr</v>
      </c>
      <c r="R9" t="str">
        <f t="shared" si="1"/>
        <v>echo description,dailCompDescHunting7, &gt;&gt; .\items\materia\class0017\Hunting7.dbr</v>
      </c>
      <c r="S9" t="str">
        <f t="shared" si="1"/>
        <v>echo itemText,dailCompTextHunting7, &gt;&gt; .\items\materia\class0017\Hunting7.dbr</v>
      </c>
      <c r="T9" t="str">
        <f t="shared" si="1"/>
        <v>echo augmentSkillLevel1,1, &gt;&gt; .\items\materia\class0017\Hunting7.dbr</v>
      </c>
      <c r="U9" t="str">
        <f t="shared" si="1"/>
        <v>echo augmentSkillName1,records/skillshunting/artofthehunt_trailblazing.dbr,, &gt;&gt; .\items\materia\class0017\Hunting7.dbr</v>
      </c>
      <c r="V9" s="5" t="s">
        <v>36</v>
      </c>
      <c r="W9" t="str">
        <f t="shared" si="8"/>
        <v>echo lootName7,DAIL/items/materia/class0017/Hunting7.dbr, &gt;&gt; .\items\loottables\dailoneskill0017.dbr</v>
      </c>
      <c r="X9" t="str">
        <f t="shared" si="8"/>
        <v>echo lootWeight7,1, &gt;&gt; .\items\loottables\dailoneskill0017.dbr</v>
      </c>
      <c r="Y9" s="5" t="s">
        <v>36</v>
      </c>
      <c r="Z9" t="str">
        <f t="shared" si="9"/>
        <v xml:space="preserve"> dailCompDescHunting7=^pHunting's Gift of DAIL</v>
      </c>
      <c r="AA9" t="str">
        <f t="shared" si="17"/>
        <v>dailCompTextHunting7=^oThis feels warm to the touch, almost familiar ^w(This component fits into all Jewellery slots including the Belt And Shoulder)</v>
      </c>
      <c r="AB9" s="5" t="s">
        <v>36</v>
      </c>
      <c r="AH9">
        <f t="shared" si="19"/>
        <v>4</v>
      </c>
      <c r="AI9">
        <f t="shared" si="13"/>
        <v>38</v>
      </c>
      <c r="AJ9">
        <f t="shared" si="18"/>
        <v>1</v>
      </c>
      <c r="AK9" s="1">
        <v>5</v>
      </c>
      <c r="AL9">
        <f>AL6</f>
        <v>60</v>
      </c>
    </row>
    <row r="10" spans="1:38" x14ac:dyDescent="0.25">
      <c r="A10" s="5" t="s">
        <v>39</v>
      </c>
      <c r="B10" s="5" t="s">
        <v>0</v>
      </c>
      <c r="C10" s="5" t="str">
        <f t="shared" si="0"/>
        <v>description,dailCompDescHunting8,</v>
      </c>
      <c r="D10" s="5" t="str">
        <f t="shared" si="2"/>
        <v>itemText,dailCompTextHunting8,</v>
      </c>
      <c r="E10" s="5" t="str">
        <f t="shared" si="14"/>
        <v>augmentSkillLevel1,1,</v>
      </c>
      <c r="F10" s="5" t="str">
        <f t="shared" si="15"/>
        <v>augmentSkillName1,records/skillshunting/ensnare.dbr,,</v>
      </c>
      <c r="G10" s="7">
        <f t="shared" si="10"/>
        <v>8</v>
      </c>
      <c r="H10" s="8" t="str">
        <f t="shared" si="11"/>
        <v>Hunting</v>
      </c>
      <c r="I10" s="3" t="s">
        <v>600</v>
      </c>
      <c r="J10" s="8" t="str">
        <f t="shared" si="12"/>
        <v>class0017</v>
      </c>
      <c r="K10" s="8" t="str">
        <f t="shared" si="12"/>
        <v>dailoneskill0017</v>
      </c>
      <c r="L10" s="5" t="str">
        <f t="shared" si="4"/>
        <v>lootName8,DAIL/items/materia/class0017/Hunting8.dbr,</v>
      </c>
      <c r="M10" s="5" t="str">
        <f t="shared" si="5"/>
        <v>lootWeight8,1,</v>
      </c>
      <c r="N10" t="str">
        <f t="shared" si="6"/>
        <v>1</v>
      </c>
      <c r="O10" t="str">
        <f t="shared" si="16"/>
        <v>copy .\dail_base.dbr .\items\materia\class0017\Hunting8.dbr /y</v>
      </c>
      <c r="P10" t="str">
        <f t="shared" si="7"/>
        <v>echo relicBitmap,items/craftingparts/components/component_a52_bristlyfur_b.tex, &gt;&gt; .\items\materia\class0017\Hunting8.dbr</v>
      </c>
      <c r="Q10" t="str">
        <f t="shared" si="1"/>
        <v>echo itemCost,100000, &gt;&gt; .\items\materia\class0017\Hunting8.dbr</v>
      </c>
      <c r="R10" t="str">
        <f t="shared" si="1"/>
        <v>echo description,dailCompDescHunting8, &gt;&gt; .\items\materia\class0017\Hunting8.dbr</v>
      </c>
      <c r="S10" t="str">
        <f t="shared" si="1"/>
        <v>echo itemText,dailCompTextHunting8, &gt;&gt; .\items\materia\class0017\Hunting8.dbr</v>
      </c>
      <c r="T10" t="str">
        <f t="shared" si="1"/>
        <v>echo augmentSkillLevel1,1, &gt;&gt; .\items\materia\class0017\Hunting8.dbr</v>
      </c>
      <c r="U10" t="str">
        <f t="shared" si="1"/>
        <v>echo augmentSkillName1,records/skillshunting/ensnare.dbr,, &gt;&gt; .\items\materia\class0017\Hunting8.dbr</v>
      </c>
      <c r="V10" s="5" t="s">
        <v>36</v>
      </c>
      <c r="W10" t="str">
        <f t="shared" si="8"/>
        <v>echo lootName8,DAIL/items/materia/class0017/Hunting8.dbr, &gt;&gt; .\items\loottables\dailoneskill0017.dbr</v>
      </c>
      <c r="X10" t="str">
        <f t="shared" si="8"/>
        <v>echo lootWeight8,1, &gt;&gt; .\items\loottables\dailoneskill0017.dbr</v>
      </c>
      <c r="Y10" s="5" t="s">
        <v>36</v>
      </c>
      <c r="Z10" t="str">
        <f t="shared" si="9"/>
        <v xml:space="preserve"> dailCompDescHunting8=^pHunting's Gift of DAIL</v>
      </c>
      <c r="AA10" t="str">
        <f t="shared" si="17"/>
        <v>dailCompTextHunting8=^oThis feels warm to the touch, almost familiar ^w(This component fits into all Jewellery slots including the Belt And Shoulder)</v>
      </c>
      <c r="AB10" s="5" t="s">
        <v>36</v>
      </c>
      <c r="AH10">
        <f t="shared" si="19"/>
        <v>5</v>
      </c>
      <c r="AI10">
        <f t="shared" si="13"/>
        <v>20</v>
      </c>
      <c r="AJ10">
        <f t="shared" si="18"/>
        <v>1</v>
      </c>
    </row>
    <row r="11" spans="1:38" x14ac:dyDescent="0.25">
      <c r="A11" s="5" t="s">
        <v>39</v>
      </c>
      <c r="B11" s="5" t="s">
        <v>0</v>
      </c>
      <c r="C11" s="5" t="str">
        <f t="shared" si="0"/>
        <v>description,dailCompDescHunting9,</v>
      </c>
      <c r="D11" s="5" t="str">
        <f t="shared" si="2"/>
        <v>itemText,dailCompTextHunting9,</v>
      </c>
      <c r="E11" s="5" t="str">
        <f t="shared" si="14"/>
        <v>augmentSkillLevel1,1,</v>
      </c>
      <c r="F11" s="5" t="str">
        <f t="shared" si="15"/>
        <v>augmentSkillName1,records/skillshunting/ensnare_barbednetting.dbr,,</v>
      </c>
      <c r="G11" s="7">
        <f t="shared" si="10"/>
        <v>9</v>
      </c>
      <c r="H11" s="8" t="str">
        <f t="shared" si="11"/>
        <v>Hunting</v>
      </c>
      <c r="I11" s="3" t="s">
        <v>601</v>
      </c>
      <c r="J11" s="8" t="str">
        <f t="shared" si="12"/>
        <v>class0017</v>
      </c>
      <c r="K11" s="8" t="str">
        <f t="shared" si="12"/>
        <v>dailoneskill0017</v>
      </c>
      <c r="L11" s="5" t="str">
        <f t="shared" si="4"/>
        <v>lootName9,DAIL/items/materia/class0017/Hunting9.dbr,</v>
      </c>
      <c r="M11" s="5" t="str">
        <f t="shared" si="5"/>
        <v>lootWeight9,1,</v>
      </c>
      <c r="N11" t="str">
        <f t="shared" si="6"/>
        <v>1</v>
      </c>
      <c r="O11" t="str">
        <f t="shared" si="16"/>
        <v>copy .\dail_base.dbr .\items\materia\class0017\Hunting9.dbr /y</v>
      </c>
      <c r="P11" t="str">
        <f t="shared" si="7"/>
        <v>echo relicBitmap,items/craftingparts/components/component_a52_bristlyfur_b.tex, &gt;&gt; .\items\materia\class0017\Hunting9.dbr</v>
      </c>
      <c r="Q11" t="str">
        <f t="shared" si="1"/>
        <v>echo itemCost,100000, &gt;&gt; .\items\materia\class0017\Hunting9.dbr</v>
      </c>
      <c r="R11" t="str">
        <f t="shared" si="1"/>
        <v>echo description,dailCompDescHunting9, &gt;&gt; .\items\materia\class0017\Hunting9.dbr</v>
      </c>
      <c r="S11" t="str">
        <f t="shared" si="1"/>
        <v>echo itemText,dailCompTextHunting9, &gt;&gt; .\items\materia\class0017\Hunting9.dbr</v>
      </c>
      <c r="T11" t="str">
        <f t="shared" si="1"/>
        <v>echo augmentSkillLevel1,1, &gt;&gt; .\items\materia\class0017\Hunting9.dbr</v>
      </c>
      <c r="U11" t="str">
        <f t="shared" si="1"/>
        <v>echo augmentSkillName1,records/skillshunting/ensnare_barbednetting.dbr,, &gt;&gt; .\items\materia\class0017\Hunting9.dbr</v>
      </c>
      <c r="V11" s="5" t="s">
        <v>36</v>
      </c>
      <c r="W11" t="str">
        <f t="shared" si="8"/>
        <v>echo lootName9,DAIL/items/materia/class0017/Hunting9.dbr, &gt;&gt; .\items\loottables\dailoneskill0017.dbr</v>
      </c>
      <c r="X11" t="str">
        <f t="shared" si="8"/>
        <v>echo lootWeight9,1, &gt;&gt; .\items\loottables\dailoneskill0017.dbr</v>
      </c>
      <c r="Y11" s="5" t="s">
        <v>36</v>
      </c>
      <c r="Z11" t="str">
        <f t="shared" si="9"/>
        <v xml:space="preserve"> dailCompDescHunting9=^pHunting's Gift of DAIL</v>
      </c>
      <c r="AA11" t="str">
        <f t="shared" si="17"/>
        <v>dailCompTextHunting9=^oThis feels warm to the touch, almost familiar ^w(This component fits into all Jewellery slots including the Belt And Shoulder)</v>
      </c>
      <c r="AB11" s="5" t="s">
        <v>36</v>
      </c>
      <c r="AH11">
        <f t="shared" si="19"/>
        <v>6</v>
      </c>
      <c r="AI11">
        <f t="shared" si="13"/>
        <v>34</v>
      </c>
      <c r="AJ11">
        <f t="shared" si="18"/>
        <v>1</v>
      </c>
    </row>
    <row r="12" spans="1:38" x14ac:dyDescent="0.25">
      <c r="A12" s="5" t="s">
        <v>39</v>
      </c>
      <c r="B12" s="5" t="s">
        <v>0</v>
      </c>
      <c r="C12" s="5" t="str">
        <f t="shared" si="0"/>
        <v>description,dailCompDescHunting10,</v>
      </c>
      <c r="D12" s="5" t="str">
        <f t="shared" si="2"/>
        <v>itemText,dailCompTextHunting10,</v>
      </c>
      <c r="E12" s="5" t="str">
        <f t="shared" si="14"/>
        <v>augmentSkillLevel1,1,</v>
      </c>
      <c r="F12" s="5" t="str">
        <f t="shared" si="15"/>
        <v>augmentSkillName1,records/skillshunting/callofthehunt.dbr,,</v>
      </c>
      <c r="G12" s="7">
        <f t="shared" si="10"/>
        <v>10</v>
      </c>
      <c r="H12" s="8" t="str">
        <f t="shared" si="11"/>
        <v>Hunting</v>
      </c>
      <c r="I12" s="3" t="s">
        <v>602</v>
      </c>
      <c r="J12" s="8" t="str">
        <f t="shared" si="12"/>
        <v>class0017</v>
      </c>
      <c r="K12" s="8" t="str">
        <f t="shared" si="12"/>
        <v>dailoneskill0017</v>
      </c>
      <c r="L12" s="5" t="str">
        <f t="shared" si="4"/>
        <v>lootName10,DAIL/items/materia/class0017/Hunting10.dbr,</v>
      </c>
      <c r="M12" s="5" t="str">
        <f t="shared" si="5"/>
        <v>lootWeight10,1,</v>
      </c>
      <c r="N12" t="str">
        <f t="shared" si="6"/>
        <v>1</v>
      </c>
      <c r="O12" t="str">
        <f t="shared" si="16"/>
        <v>copy .\dail_base.dbr .\items\materia\class0017\Hunting10.dbr /y</v>
      </c>
      <c r="P12" t="str">
        <f t="shared" si="7"/>
        <v>echo relicBitmap,items/craftingparts/components/component_a52_bristlyfur_b.tex, &gt;&gt; .\items\materia\class0017\Hunting10.dbr</v>
      </c>
      <c r="Q12" t="str">
        <f t="shared" si="1"/>
        <v>echo itemCost,100000, &gt;&gt; .\items\materia\class0017\Hunting10.dbr</v>
      </c>
      <c r="R12" t="str">
        <f t="shared" si="1"/>
        <v>echo description,dailCompDescHunting10, &gt;&gt; .\items\materia\class0017\Hunting10.dbr</v>
      </c>
      <c r="S12" t="str">
        <f t="shared" si="1"/>
        <v>echo itemText,dailCompTextHunting10, &gt;&gt; .\items\materia\class0017\Hunting10.dbr</v>
      </c>
      <c r="T12" t="str">
        <f t="shared" si="1"/>
        <v>echo augmentSkillLevel1,1, &gt;&gt; .\items\materia\class0017\Hunting10.dbr</v>
      </c>
      <c r="U12" t="str">
        <f t="shared" si="1"/>
        <v>echo augmentSkillName1,records/skillshunting/callofthehunt.dbr,, &gt;&gt; .\items\materia\class0017\Hunting10.dbr</v>
      </c>
      <c r="V12" s="5" t="s">
        <v>36</v>
      </c>
      <c r="W12" t="str">
        <f t="shared" si="8"/>
        <v>echo lootName10,DAIL/items/materia/class0017/Hunting10.dbr, &gt;&gt; .\items\loottables\dailoneskill0017.dbr</v>
      </c>
      <c r="X12" t="str">
        <f t="shared" si="8"/>
        <v>echo lootWeight10,1, &gt;&gt; .\items\loottables\dailoneskill0017.dbr</v>
      </c>
      <c r="Y12" s="5" t="s">
        <v>36</v>
      </c>
      <c r="Z12" t="str">
        <f t="shared" si="9"/>
        <v xml:space="preserve"> dailCompDescHunting10=^pHunting's Gift of DAIL</v>
      </c>
      <c r="AA12" t="str">
        <f t="shared" si="17"/>
        <v>dailCompTextHunting10=^oThis feels warm to the touch, almost familiar ^w(This component fits into all Jewellery slots including the Belt And Shoulder)</v>
      </c>
      <c r="AB12" s="5" t="s">
        <v>36</v>
      </c>
      <c r="AH12">
        <f t="shared" si="19"/>
        <v>7</v>
      </c>
      <c r="AI12">
        <f t="shared" si="13"/>
        <v>26</v>
      </c>
      <c r="AJ12">
        <f t="shared" si="18"/>
        <v>1</v>
      </c>
    </row>
    <row r="13" spans="1:38" x14ac:dyDescent="0.25">
      <c r="A13" s="5" t="s">
        <v>39</v>
      </c>
      <c r="B13" s="5" t="s">
        <v>0</v>
      </c>
      <c r="C13" s="5" t="str">
        <f t="shared" si="0"/>
        <v>description,dailCompDescHunting11,</v>
      </c>
      <c r="D13" s="5" t="str">
        <f t="shared" si="2"/>
        <v>itemText,dailCompTextHunting11,</v>
      </c>
      <c r="E13" s="5" t="str">
        <f t="shared" si="14"/>
        <v>augmentSkillLevel1,1,</v>
      </c>
      <c r="F13" s="5" t="str">
        <f t="shared" si="15"/>
        <v>augmentSkillName1,records/skillshunting/callofthehunt_cunning.dbr,,</v>
      </c>
      <c r="G13" s="7">
        <f t="shared" si="10"/>
        <v>11</v>
      </c>
      <c r="H13" s="8" t="str">
        <f t="shared" si="11"/>
        <v>Hunting</v>
      </c>
      <c r="I13" s="3" t="s">
        <v>603</v>
      </c>
      <c r="J13" s="8" t="str">
        <f t="shared" si="12"/>
        <v>class0017</v>
      </c>
      <c r="K13" s="8" t="str">
        <f t="shared" si="12"/>
        <v>dailoneskill0017</v>
      </c>
      <c r="L13" s="5" t="str">
        <f t="shared" si="4"/>
        <v>lootName11,DAIL/items/materia/class0017/Hunting11.dbr,</v>
      </c>
      <c r="M13" s="5" t="str">
        <f t="shared" si="5"/>
        <v>lootWeight11,1,</v>
      </c>
      <c r="N13" t="str">
        <f t="shared" si="6"/>
        <v>1</v>
      </c>
      <c r="O13" t="str">
        <f t="shared" si="16"/>
        <v>copy .\dail_base.dbr .\items\materia\class0017\Hunting11.dbr /y</v>
      </c>
      <c r="P13" t="str">
        <f t="shared" si="7"/>
        <v>echo relicBitmap,items/craftingparts/components/component_a52_bristlyfur_b.tex, &gt;&gt; .\items\materia\class0017\Hunting11.dbr</v>
      </c>
      <c r="Q13" t="str">
        <f t="shared" si="1"/>
        <v>echo itemCost,100000, &gt;&gt; .\items\materia\class0017\Hunting11.dbr</v>
      </c>
      <c r="R13" t="str">
        <f t="shared" si="1"/>
        <v>echo description,dailCompDescHunting11, &gt;&gt; .\items\materia\class0017\Hunting11.dbr</v>
      </c>
      <c r="S13" t="str">
        <f t="shared" si="1"/>
        <v>echo itemText,dailCompTextHunting11, &gt;&gt; .\items\materia\class0017\Hunting11.dbr</v>
      </c>
      <c r="T13" t="str">
        <f t="shared" si="1"/>
        <v>echo augmentSkillLevel1,1, &gt;&gt; .\items\materia\class0017\Hunting11.dbr</v>
      </c>
      <c r="U13" t="str">
        <f t="shared" si="1"/>
        <v>echo augmentSkillName1,records/skillshunting/callofthehunt_cunning.dbr,, &gt;&gt; .\items\materia\class0017\Hunting11.dbr</v>
      </c>
      <c r="V13" s="5" t="s">
        <v>36</v>
      </c>
      <c r="W13" t="str">
        <f t="shared" si="8"/>
        <v>echo lootName11,DAIL/items/materia/class0017/Hunting11.dbr, &gt;&gt; .\items\loottables\dailoneskill0017.dbr</v>
      </c>
      <c r="X13" t="str">
        <f t="shared" si="8"/>
        <v>echo lootWeight11,1, &gt;&gt; .\items\loottables\dailoneskill0017.dbr</v>
      </c>
      <c r="Y13" s="5" t="s">
        <v>36</v>
      </c>
      <c r="Z13" t="str">
        <f t="shared" si="9"/>
        <v xml:space="preserve"> dailCompDescHunting11=^pHunting's Gift of DAIL</v>
      </c>
      <c r="AA13" t="str">
        <f t="shared" si="17"/>
        <v>dailCompTextHunting11=^oThis feels warm to the touch, almost familiar ^w(This component fits into all Jewellery slots including the Belt And Shoulder)</v>
      </c>
      <c r="AB13" s="5" t="s">
        <v>36</v>
      </c>
      <c r="AH13">
        <f t="shared" si="19"/>
        <v>8</v>
      </c>
      <c r="AI13">
        <f t="shared" si="13"/>
        <v>34</v>
      </c>
      <c r="AJ13">
        <f t="shared" si="18"/>
        <v>1</v>
      </c>
    </row>
    <row r="14" spans="1:38" x14ac:dyDescent="0.25">
      <c r="A14" s="5" t="s">
        <v>39</v>
      </c>
      <c r="B14" s="5" t="s">
        <v>0</v>
      </c>
      <c r="C14" s="5" t="str">
        <f t="shared" si="0"/>
        <v>description,dailCompDescHunting12,</v>
      </c>
      <c r="D14" s="5" t="str">
        <f t="shared" si="2"/>
        <v>itemText,dailCompTextHunting12,</v>
      </c>
      <c r="E14" s="5" t="str">
        <f t="shared" si="14"/>
        <v>augmentSkillLevel1,1,</v>
      </c>
      <c r="F14" s="5" t="str">
        <f t="shared" si="15"/>
        <v>augmentSkillName1,records/skillshunting/herbalism.dbr,,</v>
      </c>
      <c r="G14" s="7">
        <f t="shared" si="10"/>
        <v>12</v>
      </c>
      <c r="H14" s="8" t="str">
        <f t="shared" si="11"/>
        <v>Hunting</v>
      </c>
      <c r="I14" s="3" t="s">
        <v>604</v>
      </c>
      <c r="J14" s="8" t="str">
        <f t="shared" si="12"/>
        <v>class0017</v>
      </c>
      <c r="K14" s="8" t="str">
        <f t="shared" si="12"/>
        <v>dailoneskill0017</v>
      </c>
      <c r="L14" s="5" t="str">
        <f t="shared" si="4"/>
        <v>lootName12,DAIL/items/materia/class0017/Hunting12.dbr,</v>
      </c>
      <c r="M14" s="5" t="str">
        <f t="shared" si="5"/>
        <v>lootWeight12,1,</v>
      </c>
      <c r="N14" t="str">
        <f t="shared" si="6"/>
        <v>1</v>
      </c>
      <c r="O14" t="str">
        <f t="shared" si="16"/>
        <v>copy .\dail_base.dbr .\items\materia\class0017\Hunting12.dbr /y</v>
      </c>
      <c r="P14" t="str">
        <f t="shared" si="7"/>
        <v>echo relicBitmap,items/craftingparts/components/component_a52_bristlyfur_b.tex, &gt;&gt; .\items\materia\class0017\Hunting12.dbr</v>
      </c>
      <c r="Q14" t="str">
        <f t="shared" si="1"/>
        <v>echo itemCost,100000, &gt;&gt; .\items\materia\class0017\Hunting12.dbr</v>
      </c>
      <c r="R14" t="str">
        <f t="shared" si="1"/>
        <v>echo description,dailCompDescHunting12, &gt;&gt; .\items\materia\class0017\Hunting12.dbr</v>
      </c>
      <c r="S14" t="str">
        <f t="shared" si="1"/>
        <v>echo itemText,dailCompTextHunting12, &gt;&gt; .\items\materia\class0017\Hunting12.dbr</v>
      </c>
      <c r="T14" t="str">
        <f t="shared" si="1"/>
        <v>echo augmentSkillLevel1,1, &gt;&gt; .\items\materia\class0017\Hunting12.dbr</v>
      </c>
      <c r="U14" t="str">
        <f t="shared" si="1"/>
        <v>echo augmentSkillName1,records/skillshunting/herbalism.dbr,, &gt;&gt; .\items\materia\class0017\Hunting12.dbr</v>
      </c>
      <c r="V14" s="5" t="s">
        <v>36</v>
      </c>
      <c r="W14" t="str">
        <f t="shared" si="8"/>
        <v>echo lootName12,DAIL/items/materia/class0017/Hunting12.dbr, &gt;&gt; .\items\loottables\dailoneskill0017.dbr</v>
      </c>
      <c r="X14" t="str">
        <f t="shared" si="8"/>
        <v>echo lootWeight12,1, &gt;&gt; .\items\loottables\dailoneskill0017.dbr</v>
      </c>
      <c r="Y14" s="5" t="s">
        <v>36</v>
      </c>
      <c r="Z14" t="str">
        <f t="shared" si="9"/>
        <v xml:space="preserve"> dailCompDescHunting12=^pHunting's Gift of DAIL</v>
      </c>
      <c r="AA14" t="str">
        <f t="shared" si="17"/>
        <v>dailCompTextHunting12=^oThis feels warm to the touch, almost familiar ^w(This component fits into all Jewellery slots including the Belt And Shoulder)</v>
      </c>
      <c r="AB14" s="5" t="s">
        <v>36</v>
      </c>
      <c r="AH14">
        <f t="shared" si="19"/>
        <v>9</v>
      </c>
      <c r="AI14">
        <f t="shared" si="13"/>
        <v>22</v>
      </c>
      <c r="AJ14">
        <f t="shared" si="18"/>
        <v>1</v>
      </c>
    </row>
    <row r="15" spans="1:38" x14ac:dyDescent="0.25">
      <c r="A15" s="5" t="s">
        <v>39</v>
      </c>
      <c r="B15" s="5" t="s">
        <v>0</v>
      </c>
      <c r="C15" s="5" t="str">
        <f t="shared" si="0"/>
        <v>description,dailCompDescHunting13,</v>
      </c>
      <c r="D15" s="5" t="str">
        <f t="shared" si="2"/>
        <v>itemText,dailCompTextHunting13,</v>
      </c>
      <c r="E15" s="5" t="str">
        <f t="shared" si="14"/>
        <v>augmentSkillLevel1,1,</v>
      </c>
      <c r="F15" s="5" t="str">
        <f t="shared" si="15"/>
        <v>augmentSkillName1,records/skillshunting/studyprey.dbr,,</v>
      </c>
      <c r="G15" s="7">
        <f t="shared" si="10"/>
        <v>13</v>
      </c>
      <c r="H15" s="8" t="str">
        <f t="shared" si="11"/>
        <v>Hunting</v>
      </c>
      <c r="I15" s="3" t="s">
        <v>605</v>
      </c>
      <c r="J15" s="8" t="str">
        <f t="shared" si="12"/>
        <v>class0017</v>
      </c>
      <c r="K15" s="8" t="str">
        <f t="shared" si="12"/>
        <v>dailoneskill0017</v>
      </c>
      <c r="L15" s="5" t="str">
        <f t="shared" si="4"/>
        <v>lootName13,DAIL/items/materia/class0017/Hunting13.dbr,</v>
      </c>
      <c r="M15" s="5" t="str">
        <f t="shared" si="5"/>
        <v>lootWeight13,1,</v>
      </c>
      <c r="N15" t="str">
        <f t="shared" si="6"/>
        <v>1</v>
      </c>
      <c r="O15" t="str">
        <f t="shared" si="16"/>
        <v>copy .\dail_base.dbr .\items\materia\class0017\Hunting13.dbr /y</v>
      </c>
      <c r="P15" t="str">
        <f t="shared" si="7"/>
        <v>echo relicBitmap,items/craftingparts/components/component_a52_bristlyfur_b.tex, &gt;&gt; .\items\materia\class0017\Hunting13.dbr</v>
      </c>
      <c r="Q15" t="str">
        <f t="shared" si="1"/>
        <v>echo itemCost,100000, &gt;&gt; .\items\materia\class0017\Hunting13.dbr</v>
      </c>
      <c r="R15" t="str">
        <f t="shared" si="1"/>
        <v>echo description,dailCompDescHunting13, &gt;&gt; .\items\materia\class0017\Hunting13.dbr</v>
      </c>
      <c r="S15" t="str">
        <f t="shared" si="1"/>
        <v>echo itemText,dailCompTextHunting13, &gt;&gt; .\items\materia\class0017\Hunting13.dbr</v>
      </c>
      <c r="T15" t="str">
        <f t="shared" si="1"/>
        <v>echo augmentSkillLevel1,1, &gt;&gt; .\items\materia\class0017\Hunting13.dbr</v>
      </c>
      <c r="U15" t="str">
        <f t="shared" si="1"/>
        <v>echo augmentSkillName1,records/skillshunting/studyprey.dbr,, &gt;&gt; .\items\materia\class0017\Hunting13.dbr</v>
      </c>
      <c r="V15" s="5" t="s">
        <v>36</v>
      </c>
      <c r="W15" t="str">
        <f t="shared" si="8"/>
        <v>echo lootName13,DAIL/items/materia/class0017/Hunting13.dbr, &gt;&gt; .\items\loottables\dailoneskill0017.dbr</v>
      </c>
      <c r="X15" t="str">
        <f t="shared" si="8"/>
        <v>echo lootWeight13,1, &gt;&gt; .\items\loottables\dailoneskill0017.dbr</v>
      </c>
      <c r="Y15" s="5" t="s">
        <v>36</v>
      </c>
      <c r="Z15" t="str">
        <f t="shared" si="9"/>
        <v xml:space="preserve"> dailCompDescHunting13=^pHunting's Gift of DAIL</v>
      </c>
      <c r="AA15" t="str">
        <f t="shared" si="17"/>
        <v>dailCompTextHunting13=^oThis feels warm to the touch, almost familiar ^w(This component fits into all Jewellery slots including the Belt And Shoulder)</v>
      </c>
      <c r="AB15" s="5" t="s">
        <v>36</v>
      </c>
      <c r="AH15">
        <f t="shared" si="19"/>
        <v>10</v>
      </c>
      <c r="AI15">
        <f t="shared" si="13"/>
        <v>22</v>
      </c>
      <c r="AJ15">
        <f t="shared" si="18"/>
        <v>1</v>
      </c>
    </row>
    <row r="16" spans="1:38" x14ac:dyDescent="0.25">
      <c r="A16" s="5" t="s">
        <v>39</v>
      </c>
      <c r="B16" s="5" t="s">
        <v>0</v>
      </c>
      <c r="C16" s="5" t="str">
        <f t="shared" si="0"/>
        <v>description,dailCompDescHunting14,</v>
      </c>
      <c r="D16" s="5" t="str">
        <f t="shared" si="2"/>
        <v>itemText,dailCompTextHunting14,</v>
      </c>
      <c r="E16" s="5" t="str">
        <f t="shared" si="14"/>
        <v>augmentSkillLevel1,1,</v>
      </c>
      <c r="F16" s="5" t="str">
        <f t="shared" si="15"/>
        <v>augmentSkillName1,records/skillshunting/studyprey_flushout.dbr,,</v>
      </c>
      <c r="G16" s="7">
        <f t="shared" si="10"/>
        <v>14</v>
      </c>
      <c r="H16" s="8" t="str">
        <f t="shared" si="11"/>
        <v>Hunting</v>
      </c>
      <c r="I16" s="3" t="s">
        <v>606</v>
      </c>
      <c r="J16" s="8" t="str">
        <f t="shared" si="12"/>
        <v>class0017</v>
      </c>
      <c r="K16" s="8" t="str">
        <f t="shared" si="12"/>
        <v>dailoneskill0017</v>
      </c>
      <c r="L16" s="5" t="str">
        <f t="shared" si="4"/>
        <v>lootName14,DAIL/items/materia/class0017/Hunting14.dbr,</v>
      </c>
      <c r="M16" s="5" t="str">
        <f t="shared" si="5"/>
        <v>lootWeight14,1,</v>
      </c>
      <c r="N16" t="str">
        <f t="shared" si="6"/>
        <v>1</v>
      </c>
      <c r="O16" t="str">
        <f t="shared" si="16"/>
        <v>copy .\dail_base.dbr .\items\materia\class0017\Hunting14.dbr /y</v>
      </c>
      <c r="P16" t="str">
        <f t="shared" si="7"/>
        <v>echo relicBitmap,items/craftingparts/components/component_a52_bristlyfur_b.tex, &gt;&gt; .\items\materia\class0017\Hunting14.dbr</v>
      </c>
      <c r="Q16" t="str">
        <f t="shared" si="1"/>
        <v>echo itemCost,100000, &gt;&gt; .\items\materia\class0017\Hunting14.dbr</v>
      </c>
      <c r="R16" t="str">
        <f t="shared" si="1"/>
        <v>echo description,dailCompDescHunting14, &gt;&gt; .\items\materia\class0017\Hunting14.dbr</v>
      </c>
      <c r="S16" t="str">
        <f t="shared" si="1"/>
        <v>echo itemText,dailCompTextHunting14, &gt;&gt; .\items\materia\class0017\Hunting14.dbr</v>
      </c>
      <c r="T16" t="str">
        <f t="shared" si="1"/>
        <v>echo augmentSkillLevel1,1, &gt;&gt; .\items\materia\class0017\Hunting14.dbr</v>
      </c>
      <c r="U16" t="str">
        <f t="shared" si="1"/>
        <v>echo augmentSkillName1,records/skillshunting/studyprey_flushout.dbr,, &gt;&gt; .\items\materia\class0017\Hunting14.dbr</v>
      </c>
      <c r="V16" s="5" t="s">
        <v>36</v>
      </c>
      <c r="W16" t="str">
        <f t="shared" si="8"/>
        <v>echo lootName14,DAIL/items/materia/class0017/Hunting14.dbr, &gt;&gt; .\items\loottables\dailoneskill0017.dbr</v>
      </c>
      <c r="X16" t="str">
        <f t="shared" si="8"/>
        <v>echo lootWeight14,1, &gt;&gt; .\items\loottables\dailoneskill0017.dbr</v>
      </c>
      <c r="Y16" s="5" t="s">
        <v>36</v>
      </c>
      <c r="Z16" t="str">
        <f t="shared" si="9"/>
        <v xml:space="preserve"> dailCompDescHunting14=^pHunting's Gift of DAIL</v>
      </c>
      <c r="AA16" t="str">
        <f t="shared" si="17"/>
        <v>dailCompTextHunting14=^oThis feels warm to the touch, almost familiar ^w(This component fits into all Jewellery slots including the Belt And Shoulder)</v>
      </c>
      <c r="AB16" s="5" t="s">
        <v>36</v>
      </c>
      <c r="AH16">
        <f t="shared" si="19"/>
        <v>11</v>
      </c>
      <c r="AI16">
        <f t="shared" si="13"/>
        <v>31</v>
      </c>
      <c r="AJ16">
        <f t="shared" si="18"/>
        <v>1</v>
      </c>
    </row>
    <row r="17" spans="1:36" x14ac:dyDescent="0.25">
      <c r="A17" s="5" t="s">
        <v>39</v>
      </c>
      <c r="B17" s="5" t="s">
        <v>0</v>
      </c>
      <c r="C17" s="5" t="str">
        <f t="shared" si="0"/>
        <v>description,dailCompDescHunting15,</v>
      </c>
      <c r="D17" s="5" t="str">
        <f t="shared" si="2"/>
        <v>itemText,dailCompTextHunting15,</v>
      </c>
      <c r="E17" s="5" t="str">
        <f t="shared" si="14"/>
        <v>augmentSkillLevel1,1,</v>
      </c>
      <c r="F17" s="5" t="str">
        <f t="shared" si="15"/>
        <v>augmentSkillName1,records/skillshunting/marksmanship.dbr,,</v>
      </c>
      <c r="G17" s="7">
        <f t="shared" si="10"/>
        <v>15</v>
      </c>
      <c r="H17" s="8" t="str">
        <f t="shared" si="11"/>
        <v>Hunting</v>
      </c>
      <c r="I17" s="3" t="s">
        <v>607</v>
      </c>
      <c r="J17" s="8" t="str">
        <f t="shared" si="12"/>
        <v>class0017</v>
      </c>
      <c r="K17" s="8" t="str">
        <f t="shared" si="12"/>
        <v>dailoneskill0017</v>
      </c>
      <c r="L17" s="5" t="str">
        <f t="shared" si="4"/>
        <v>lootName15,DAIL/items/materia/class0017/Hunting15.dbr,</v>
      </c>
      <c r="M17" s="5" t="str">
        <f t="shared" si="5"/>
        <v>lootWeight15,1,</v>
      </c>
      <c r="N17" t="str">
        <f t="shared" si="6"/>
        <v>1</v>
      </c>
      <c r="O17" t="str">
        <f t="shared" si="16"/>
        <v>copy .\dail_base.dbr .\items\materia\class0017\Hunting15.dbr /y</v>
      </c>
      <c r="P17" t="str">
        <f t="shared" si="7"/>
        <v>echo relicBitmap,items/craftingparts/components/component_a52_bristlyfur_b.tex, &gt;&gt; .\items\materia\class0017\Hunting15.dbr</v>
      </c>
      <c r="Q17" t="str">
        <f t="shared" si="1"/>
        <v>echo itemCost,100000, &gt;&gt; .\items\materia\class0017\Hunting15.dbr</v>
      </c>
      <c r="R17" t="str">
        <f t="shared" si="1"/>
        <v>echo description,dailCompDescHunting15, &gt;&gt; .\items\materia\class0017\Hunting15.dbr</v>
      </c>
      <c r="S17" t="str">
        <f t="shared" si="1"/>
        <v>echo itemText,dailCompTextHunting15, &gt;&gt; .\items\materia\class0017\Hunting15.dbr</v>
      </c>
      <c r="T17" t="str">
        <f t="shared" si="1"/>
        <v>echo augmentSkillLevel1,1, &gt;&gt; .\items\materia\class0017\Hunting15.dbr</v>
      </c>
      <c r="U17" t="str">
        <f t="shared" si="1"/>
        <v>echo augmentSkillName1,records/skillshunting/marksmanship.dbr,, &gt;&gt; .\items\materia\class0017\Hunting15.dbr</v>
      </c>
      <c r="V17" s="5" t="s">
        <v>36</v>
      </c>
      <c r="W17" t="str">
        <f t="shared" si="8"/>
        <v>echo lootName15,DAIL/items/materia/class0017/Hunting15.dbr, &gt;&gt; .\items\loottables\dailoneskill0017.dbr</v>
      </c>
      <c r="X17" t="str">
        <f t="shared" si="8"/>
        <v>echo lootWeight15,1, &gt;&gt; .\items\loottables\dailoneskill0017.dbr</v>
      </c>
      <c r="Y17" s="5" t="s">
        <v>36</v>
      </c>
      <c r="Z17" t="str">
        <f t="shared" si="9"/>
        <v xml:space="preserve"> dailCompDescHunting15=^pHunting's Gift of DAIL</v>
      </c>
      <c r="AA17" t="str">
        <f t="shared" si="17"/>
        <v>dailCompTextHunting15=^oThis feels warm to the touch, almost familiar ^w(This component fits into all Jewellery slots including the Belt And Shoulder)</v>
      </c>
      <c r="AB17" s="5" t="s">
        <v>36</v>
      </c>
      <c r="AH17">
        <f t="shared" si="19"/>
        <v>12</v>
      </c>
      <c r="AI17">
        <f t="shared" si="13"/>
        <v>25</v>
      </c>
      <c r="AJ17">
        <f t="shared" si="18"/>
        <v>1</v>
      </c>
    </row>
    <row r="18" spans="1:36" x14ac:dyDescent="0.25">
      <c r="A18" s="5" t="s">
        <v>39</v>
      </c>
      <c r="B18" s="5" t="s">
        <v>0</v>
      </c>
      <c r="C18" s="5" t="str">
        <f t="shared" si="0"/>
        <v>description,dailCompDescHunting16,</v>
      </c>
      <c r="D18" s="5" t="str">
        <f t="shared" si="2"/>
        <v>itemText,dailCompTextHunting16,</v>
      </c>
      <c r="E18" s="5" t="str">
        <f t="shared" si="14"/>
        <v>augmentSkillLevel1,1,</v>
      </c>
      <c r="F18" s="5" t="str">
        <f t="shared" si="15"/>
        <v>augmentSkillName1,records/skillshunting/marksmanship_punctureshotarrows.dbr,,</v>
      </c>
      <c r="G18" s="7">
        <f t="shared" si="10"/>
        <v>16</v>
      </c>
      <c r="H18" s="8" t="str">
        <f t="shared" si="11"/>
        <v>Hunting</v>
      </c>
      <c r="I18" s="3" t="s">
        <v>608</v>
      </c>
      <c r="J18" s="8" t="str">
        <f t="shared" si="12"/>
        <v>class0017</v>
      </c>
      <c r="K18" s="8" t="str">
        <f t="shared" si="12"/>
        <v>dailoneskill0017</v>
      </c>
      <c r="L18" s="5" t="str">
        <f t="shared" si="4"/>
        <v>lootName16,DAIL/items/materia/class0017/Hunting16.dbr,</v>
      </c>
      <c r="M18" s="5" t="str">
        <f t="shared" si="5"/>
        <v>lootWeight16,1,</v>
      </c>
      <c r="N18" t="str">
        <f t="shared" si="6"/>
        <v>1</v>
      </c>
      <c r="O18" t="str">
        <f t="shared" si="16"/>
        <v>copy .\dail_base.dbr .\items\materia\class0017\Hunting16.dbr /y</v>
      </c>
      <c r="P18" t="str">
        <f t="shared" si="7"/>
        <v>echo relicBitmap,items/craftingparts/components/component_a52_bristlyfur_b.tex, &gt;&gt; .\items\materia\class0017\Hunting16.dbr</v>
      </c>
      <c r="Q18" t="str">
        <f t="shared" si="1"/>
        <v>echo itemCost,100000, &gt;&gt; .\items\materia\class0017\Hunting16.dbr</v>
      </c>
      <c r="R18" t="str">
        <f t="shared" si="1"/>
        <v>echo description,dailCompDescHunting16, &gt;&gt; .\items\materia\class0017\Hunting16.dbr</v>
      </c>
      <c r="S18" t="str">
        <f t="shared" si="1"/>
        <v>echo itemText,dailCompTextHunting16, &gt;&gt; .\items\materia\class0017\Hunting16.dbr</v>
      </c>
      <c r="T18" t="str">
        <f t="shared" si="1"/>
        <v>echo augmentSkillLevel1,1, &gt;&gt; .\items\materia\class0017\Hunting16.dbr</v>
      </c>
      <c r="U18" t="str">
        <f t="shared" si="1"/>
        <v>echo augmentSkillName1,records/skillshunting/marksmanship_punctureshotarrows.dbr,, &gt;&gt; .\items\materia\class0017\Hunting16.dbr</v>
      </c>
      <c r="V18" s="5" t="s">
        <v>36</v>
      </c>
      <c r="W18" t="str">
        <f t="shared" si="8"/>
        <v>echo lootName16,DAIL/items/materia/class0017/Hunting16.dbr, &gt;&gt; .\items\loottables\dailoneskill0017.dbr</v>
      </c>
      <c r="X18" t="str">
        <f t="shared" si="8"/>
        <v>echo lootWeight16,1, &gt;&gt; .\items\loottables\dailoneskill0017.dbr</v>
      </c>
      <c r="Y18" s="5" t="s">
        <v>36</v>
      </c>
      <c r="Z18" t="str">
        <f t="shared" si="9"/>
        <v xml:space="preserve"> dailCompDescHunting16=^pHunting's Gift of DAIL</v>
      </c>
      <c r="AA18" t="str">
        <f t="shared" si="17"/>
        <v>dailCompTextHunting16=^oThis feels warm to the touch, almost familiar ^w(This component fits into all Jewellery slots including the Belt And Shoulder)</v>
      </c>
      <c r="AB18" s="5" t="s">
        <v>36</v>
      </c>
      <c r="AH18">
        <f t="shared" si="19"/>
        <v>13</v>
      </c>
      <c r="AI18">
        <f t="shared" si="13"/>
        <v>44</v>
      </c>
      <c r="AJ18">
        <f t="shared" si="18"/>
        <v>1</v>
      </c>
    </row>
    <row r="19" spans="1:36" x14ac:dyDescent="0.25">
      <c r="A19" s="5" t="s">
        <v>39</v>
      </c>
      <c r="B19" s="5" t="s">
        <v>28</v>
      </c>
      <c r="C19" s="5" t="str">
        <f t="shared" si="0"/>
        <v>description,dailCompDescHunting17,</v>
      </c>
      <c r="D19" s="5" t="str">
        <f t="shared" si="2"/>
        <v>itemText,dailCompTextHunting17,</v>
      </c>
      <c r="E19" s="5" t="str">
        <f t="shared" si="14"/>
        <v>augmentSkillLevel1,1,</v>
      </c>
      <c r="F19" s="5" t="str">
        <f t="shared" si="15"/>
        <v>augmentSkillName1,records/skillshunting/marksmanship_scattershotarrows.dbr,,</v>
      </c>
      <c r="G19" s="7">
        <f t="shared" si="10"/>
        <v>17</v>
      </c>
      <c r="H19" s="8" t="str">
        <f t="shared" si="11"/>
        <v>Hunting</v>
      </c>
      <c r="I19" s="3" t="s">
        <v>609</v>
      </c>
      <c r="J19" s="8" t="str">
        <f t="shared" si="12"/>
        <v>class0017</v>
      </c>
      <c r="K19" s="8" t="str">
        <f t="shared" si="12"/>
        <v>dailoneskill0017</v>
      </c>
      <c r="L19" s="5" t="str">
        <f t="shared" si="4"/>
        <v>lootName17,DAIL/items/materia/class0017/Hunting17.dbr,</v>
      </c>
      <c r="M19" s="5" t="str">
        <f t="shared" si="5"/>
        <v>lootWeight17,1,</v>
      </c>
      <c r="N19" t="str">
        <f t="shared" si="6"/>
        <v>1</v>
      </c>
      <c r="O19" t="str">
        <f t="shared" si="16"/>
        <v>copy .\dail_base.dbr .\items\materia\class0017\Hunting17.dbr /y</v>
      </c>
      <c r="P19" t="str">
        <f t="shared" si="7"/>
        <v>echo relicBitmap,items/craftingparts/components/component_a52_bristlyfur_b.tex, &gt;&gt; .\items\materia\class0017\Hunting17.dbr</v>
      </c>
      <c r="Q19" t="str">
        <f t="shared" si="7"/>
        <v>echo itemCost,300000, &gt;&gt; .\items\materia\class0017\Hunting17.dbr</v>
      </c>
      <c r="R19" t="str">
        <f t="shared" si="7"/>
        <v>echo description,dailCompDescHunting17, &gt;&gt; .\items\materia\class0017\Hunting17.dbr</v>
      </c>
      <c r="S19" t="str">
        <f t="shared" si="7"/>
        <v>echo itemText,dailCompTextHunting17, &gt;&gt; .\items\materia\class0017\Hunting17.dbr</v>
      </c>
      <c r="T19" t="str">
        <f t="shared" si="7"/>
        <v>echo augmentSkillLevel1,1, &gt;&gt; .\items\materia\class0017\Hunting17.dbr</v>
      </c>
      <c r="U19" t="str">
        <f t="shared" si="7"/>
        <v>echo augmentSkillName1,records/skillshunting/marksmanship_scattershotarrows.dbr,, &gt;&gt; .\items\materia\class0017\Hunting17.dbr</v>
      </c>
      <c r="V19" s="5" t="s">
        <v>36</v>
      </c>
      <c r="W19" t="str">
        <f t="shared" si="8"/>
        <v>echo lootName17,DAIL/items/materia/class0017/Hunting17.dbr, &gt;&gt; .\items\loottables\dailoneskill0017.dbr</v>
      </c>
      <c r="X19" t="str">
        <f t="shared" si="8"/>
        <v>echo lootWeight17,1, &gt;&gt; .\items\loottables\dailoneskill0017.dbr</v>
      </c>
      <c r="Y19" s="5" t="s">
        <v>36</v>
      </c>
      <c r="Z19" t="str">
        <f t="shared" si="9"/>
        <v xml:space="preserve"> dailCompDescHunting17=^pHunting's Gift of DAIL</v>
      </c>
      <c r="AA19" t="str">
        <f t="shared" si="17"/>
        <v>dailCompTextHunting17=^oThis feels warm to the touch, almost familiar ^w(This component fits into all Jewellery slots including the Belt And Shoulder)</v>
      </c>
      <c r="AB19" s="5" t="s">
        <v>36</v>
      </c>
      <c r="AH19">
        <f t="shared" si="19"/>
        <v>14</v>
      </c>
      <c r="AI19">
        <f t="shared" si="13"/>
        <v>43</v>
      </c>
      <c r="AJ19">
        <f t="shared" si="18"/>
        <v>1</v>
      </c>
    </row>
    <row r="20" spans="1:36" x14ac:dyDescent="0.25">
      <c r="A20" s="5" t="s">
        <v>39</v>
      </c>
      <c r="B20" s="5" t="s">
        <v>28</v>
      </c>
      <c r="C20" s="5" t="str">
        <f t="shared" si="0"/>
        <v>description,dailCompDescHunting18,</v>
      </c>
      <c r="D20" s="5" t="str">
        <f t="shared" si="2"/>
        <v>itemText,dailCompTextHunting18,</v>
      </c>
      <c r="E20" s="5" t="str">
        <f t="shared" si="14"/>
        <v>augmentSkillLevel1,1,</v>
      </c>
      <c r="F20" s="5" t="str">
        <f t="shared" si="15"/>
        <v>augmentSkillName1,records/skillshunting/weaponskill_gouge.dbr,,</v>
      </c>
      <c r="G20" s="7">
        <f t="shared" si="10"/>
        <v>18</v>
      </c>
      <c r="H20" s="8" t="str">
        <f t="shared" si="11"/>
        <v>Hunting</v>
      </c>
      <c r="I20" s="3" t="s">
        <v>610</v>
      </c>
      <c r="J20" s="8" t="str">
        <f t="shared" si="12"/>
        <v>class0017</v>
      </c>
      <c r="K20" s="8" t="str">
        <f t="shared" si="12"/>
        <v>dailoneskill0017</v>
      </c>
      <c r="L20" s="5" t="str">
        <f t="shared" si="4"/>
        <v>lootName18,DAIL/items/materia/class0017/Hunting18.dbr,</v>
      </c>
      <c r="M20" s="5" t="str">
        <f t="shared" si="5"/>
        <v>lootWeight18,1,</v>
      </c>
      <c r="N20" t="str">
        <f t="shared" si="6"/>
        <v>1</v>
      </c>
      <c r="O20" t="str">
        <f t="shared" si="16"/>
        <v>copy .\dail_base.dbr .\items\materia\class0017\Hunting18.dbr /y</v>
      </c>
      <c r="P20" t="str">
        <f t="shared" si="7"/>
        <v>echo relicBitmap,items/craftingparts/components/component_a52_bristlyfur_b.tex, &gt;&gt; .\items\materia\class0017\Hunting18.dbr</v>
      </c>
      <c r="Q20" t="str">
        <f t="shared" si="7"/>
        <v>echo itemCost,300000, &gt;&gt; .\items\materia\class0017\Hunting18.dbr</v>
      </c>
      <c r="R20" t="str">
        <f t="shared" si="7"/>
        <v>echo description,dailCompDescHunting18, &gt;&gt; .\items\materia\class0017\Hunting18.dbr</v>
      </c>
      <c r="S20" t="str">
        <f t="shared" si="7"/>
        <v>echo itemText,dailCompTextHunting18, &gt;&gt; .\items\materia\class0017\Hunting18.dbr</v>
      </c>
      <c r="T20" t="str">
        <f t="shared" si="7"/>
        <v>echo augmentSkillLevel1,1, &gt;&gt; .\items\materia\class0017\Hunting18.dbr</v>
      </c>
      <c r="U20" t="str">
        <f t="shared" si="7"/>
        <v>echo augmentSkillName1,records/skillshunting/weaponskill_gouge.dbr,, &gt;&gt; .\items\materia\class0017\Hunting18.dbr</v>
      </c>
      <c r="V20" s="5" t="s">
        <v>36</v>
      </c>
      <c r="W20" t="str">
        <f t="shared" si="8"/>
        <v>echo lootName18,DAIL/items/materia/class0017/Hunting18.dbr, &gt;&gt; .\items\loottables\dailoneskill0017.dbr</v>
      </c>
      <c r="X20" t="str">
        <f t="shared" si="8"/>
        <v>echo lootWeight18,1, &gt;&gt; .\items\loottables\dailoneskill0017.dbr</v>
      </c>
      <c r="Y20" s="5" t="s">
        <v>36</v>
      </c>
      <c r="Z20" t="str">
        <f t="shared" si="9"/>
        <v xml:space="preserve"> dailCompDescHunting18=^pHunting's Gift of DAIL</v>
      </c>
      <c r="AA20" t="str">
        <f t="shared" si="17"/>
        <v>dailCompTextHunting18=^oThis feels warm to the touch, almost familiar ^w(This component fits into all Jewellery slots including the Belt And Shoulder)</v>
      </c>
      <c r="AB20" s="5" t="s">
        <v>36</v>
      </c>
      <c r="AH20">
        <f t="shared" si="19"/>
        <v>15</v>
      </c>
      <c r="AI20">
        <f t="shared" si="13"/>
        <v>30</v>
      </c>
      <c r="AJ20">
        <f t="shared" si="18"/>
        <v>1</v>
      </c>
    </row>
    <row r="21" spans="1:36" x14ac:dyDescent="0.25">
      <c r="A21" s="5" t="s">
        <v>39</v>
      </c>
      <c r="B21" s="5" t="s">
        <v>28</v>
      </c>
      <c r="C21" s="5" t="str">
        <f t="shared" si="0"/>
        <v>description,dailCompDescHunting19,</v>
      </c>
      <c r="D21" s="5" t="str">
        <f t="shared" si="2"/>
        <v>itemText,dailCompTextHunting19,</v>
      </c>
      <c r="E21" s="5" t="str">
        <f t="shared" si="14"/>
        <v>augmentSkillLevel1,1,</v>
      </c>
      <c r="F21" s="5" t="str">
        <f t="shared" si="15"/>
        <v>augmentSkillName1,records/skillshunting/weaponskill_volley.dbr,,</v>
      </c>
      <c r="G21" s="7">
        <f t="shared" si="10"/>
        <v>19</v>
      </c>
      <c r="H21" s="8" t="str">
        <f t="shared" si="11"/>
        <v>Hunting</v>
      </c>
      <c r="I21" s="3" t="s">
        <v>611</v>
      </c>
      <c r="J21" s="8" t="str">
        <f t="shared" ref="J21:K36" si="20">J20</f>
        <v>class0017</v>
      </c>
      <c r="K21" s="8" t="str">
        <f t="shared" si="20"/>
        <v>dailoneskill0017</v>
      </c>
      <c r="L21" s="5" t="str">
        <f t="shared" si="4"/>
        <v>lootName19,DAIL/items/materia/class0017/Hunting19.dbr,</v>
      </c>
      <c r="M21" s="5" t="str">
        <f t="shared" si="5"/>
        <v>lootWeight19,1,</v>
      </c>
      <c r="N21" t="str">
        <f t="shared" si="6"/>
        <v>1</v>
      </c>
      <c r="O21" t="str">
        <f t="shared" si="16"/>
        <v>copy .\dail_base.dbr .\items\materia\class0017\Hunting19.dbr /y</v>
      </c>
      <c r="P21" t="str">
        <f t="shared" si="7"/>
        <v>echo relicBitmap,items/craftingparts/components/component_a52_bristlyfur_b.tex, &gt;&gt; .\items\materia\class0017\Hunting19.dbr</v>
      </c>
      <c r="Q21" t="str">
        <f t="shared" si="7"/>
        <v>echo itemCost,300000, &gt;&gt; .\items\materia\class0017\Hunting19.dbr</v>
      </c>
      <c r="R21" t="str">
        <f t="shared" si="7"/>
        <v>echo description,dailCompDescHunting19, &gt;&gt; .\items\materia\class0017\Hunting19.dbr</v>
      </c>
      <c r="S21" t="str">
        <f t="shared" si="7"/>
        <v>echo itemText,dailCompTextHunting19, &gt;&gt; .\items\materia\class0017\Hunting19.dbr</v>
      </c>
      <c r="T21" t="str">
        <f t="shared" si="7"/>
        <v>echo augmentSkillLevel1,1, &gt;&gt; .\items\materia\class0017\Hunting19.dbr</v>
      </c>
      <c r="U21" t="str">
        <f t="shared" si="7"/>
        <v>echo augmentSkillName1,records/skillshunting/weaponskill_volley.dbr,, &gt;&gt; .\items\materia\class0017\Hunting19.dbr</v>
      </c>
      <c r="V21" s="5" t="s">
        <v>36</v>
      </c>
      <c r="W21" t="str">
        <f t="shared" si="8"/>
        <v>echo lootName19,DAIL/items/materia/class0017/Hunting19.dbr, &gt;&gt; .\items\loottables\dailoneskill0017.dbr</v>
      </c>
      <c r="X21" t="str">
        <f t="shared" si="8"/>
        <v>echo lootWeight19,1, &gt;&gt; .\items\loottables\dailoneskill0017.dbr</v>
      </c>
      <c r="Y21" s="5" t="s">
        <v>36</v>
      </c>
      <c r="Z21" t="str">
        <f t="shared" si="9"/>
        <v xml:space="preserve"> dailCompDescHunting19=^pHunting's Gift of DAIL</v>
      </c>
      <c r="AA21" t="str">
        <f t="shared" si="17"/>
        <v>dailCompTextHunting19=^oThis feels warm to the touch, almost familiar ^w(This component fits into all Jewellery slots including the Belt And Shoulder)</v>
      </c>
      <c r="AB21" s="5" t="s">
        <v>36</v>
      </c>
      <c r="AH21">
        <f t="shared" si="19"/>
        <v>16</v>
      </c>
      <c r="AI21">
        <f t="shared" si="13"/>
        <v>31</v>
      </c>
      <c r="AJ21">
        <f t="shared" si="18"/>
        <v>1</v>
      </c>
    </row>
    <row r="22" spans="1:36" x14ac:dyDescent="0.25">
      <c r="A22" s="5" t="s">
        <v>39</v>
      </c>
      <c r="B22" s="5" t="s">
        <v>28</v>
      </c>
      <c r="C22" s="5" t="str">
        <f t="shared" si="0"/>
        <v>description,dailCompDescHunting20,</v>
      </c>
      <c r="D22" s="5" t="str">
        <f t="shared" si="2"/>
        <v>itemText,dailCompTextHunting20,</v>
      </c>
      <c r="E22" s="5" t="str">
        <f t="shared" si="14"/>
        <v>augmentSkillLevel1,1,</v>
      </c>
      <c r="F22" s="5" t="str">
        <f t="shared" si="15"/>
        <v>augmentSkillName1,records/skillshunting/takedown.dbr,,</v>
      </c>
      <c r="G22" s="7">
        <f t="shared" si="10"/>
        <v>20</v>
      </c>
      <c r="H22" s="8" t="str">
        <f t="shared" si="11"/>
        <v>Hunting</v>
      </c>
      <c r="I22" s="3" t="s">
        <v>612</v>
      </c>
      <c r="J22" s="8" t="str">
        <f t="shared" si="20"/>
        <v>class0017</v>
      </c>
      <c r="K22" s="8" t="str">
        <f t="shared" si="20"/>
        <v>dailoneskill0017</v>
      </c>
      <c r="L22" s="5" t="str">
        <f t="shared" si="4"/>
        <v>lootName20,DAIL/items/materia/class0017/Hunting20.dbr,</v>
      </c>
      <c r="M22" s="5" t="str">
        <f t="shared" si="5"/>
        <v>lootWeight20,1,</v>
      </c>
      <c r="N22" t="str">
        <f t="shared" si="6"/>
        <v>1</v>
      </c>
      <c r="O22" t="str">
        <f t="shared" si="16"/>
        <v>copy .\dail_base.dbr .\items\materia\class0017\Hunting20.dbr /y</v>
      </c>
      <c r="P22" t="str">
        <f t="shared" si="7"/>
        <v>echo relicBitmap,items/craftingparts/components/component_a52_bristlyfur_b.tex, &gt;&gt; .\items\materia\class0017\Hunting20.dbr</v>
      </c>
      <c r="Q22" t="str">
        <f t="shared" si="7"/>
        <v>echo itemCost,300000, &gt;&gt; .\items\materia\class0017\Hunting20.dbr</v>
      </c>
      <c r="R22" t="str">
        <f t="shared" si="7"/>
        <v>echo description,dailCompDescHunting20, &gt;&gt; .\items\materia\class0017\Hunting20.dbr</v>
      </c>
      <c r="S22" t="str">
        <f t="shared" si="7"/>
        <v>echo itemText,dailCompTextHunting20, &gt;&gt; .\items\materia\class0017\Hunting20.dbr</v>
      </c>
      <c r="T22" t="str">
        <f t="shared" si="7"/>
        <v>echo augmentSkillLevel1,1, &gt;&gt; .\items\materia\class0017\Hunting20.dbr</v>
      </c>
      <c r="U22" t="str">
        <f t="shared" si="7"/>
        <v>echo augmentSkillName1,records/skillshunting/takedown.dbr,, &gt;&gt; .\items\materia\class0017\Hunting20.dbr</v>
      </c>
      <c r="V22" s="5" t="s">
        <v>36</v>
      </c>
      <c r="W22" t="str">
        <f t="shared" si="8"/>
        <v>echo lootName20,DAIL/items/materia/class0017/Hunting20.dbr, &gt;&gt; .\items\loottables\dailoneskill0017.dbr</v>
      </c>
      <c r="X22" t="str">
        <f t="shared" si="8"/>
        <v>echo lootWeight20,1, &gt;&gt; .\items\loottables\dailoneskill0017.dbr</v>
      </c>
      <c r="Y22" s="5" t="s">
        <v>36</v>
      </c>
      <c r="Z22" t="str">
        <f t="shared" si="9"/>
        <v xml:space="preserve"> dailCompDescHunting20=^pHunting's Gift of DAIL</v>
      </c>
      <c r="AA22" t="str">
        <f t="shared" si="17"/>
        <v>dailCompTextHunting20=^oThis feels warm to the touch, almost familiar ^w(This component fits into all Jewellery slots including the Belt And Shoulder)</v>
      </c>
      <c r="AB22" s="5" t="s">
        <v>36</v>
      </c>
      <c r="AH22">
        <f t="shared" si="19"/>
        <v>17</v>
      </c>
      <c r="AI22">
        <f t="shared" si="13"/>
        <v>21</v>
      </c>
      <c r="AJ22">
        <f t="shared" si="18"/>
        <v>1</v>
      </c>
    </row>
    <row r="23" spans="1:36" x14ac:dyDescent="0.25">
      <c r="A23" s="5" t="s">
        <v>39</v>
      </c>
      <c r="B23" s="5" t="s">
        <v>28</v>
      </c>
      <c r="C23" s="5" t="str">
        <f t="shared" si="0"/>
        <v>description,dailCompDescHunting21,</v>
      </c>
      <c r="D23" s="5" t="str">
        <f t="shared" si="2"/>
        <v>itemText,dailCompTextHunting21,</v>
      </c>
      <c r="E23" s="5" t="str">
        <f t="shared" si="14"/>
        <v>augmentSkillLevel1,1,</v>
      </c>
      <c r="F23" s="5" t="str">
        <f t="shared" si="15"/>
        <v>augmentSkillName1,records/skillshunting/takedown_eviscerate.dbr,,</v>
      </c>
      <c r="G23" s="7">
        <f t="shared" si="10"/>
        <v>21</v>
      </c>
      <c r="H23" s="8" t="str">
        <f t="shared" si="11"/>
        <v>Hunting</v>
      </c>
      <c r="I23" s="3" t="s">
        <v>613</v>
      </c>
      <c r="J23" s="8" t="str">
        <f t="shared" si="20"/>
        <v>class0017</v>
      </c>
      <c r="K23" s="8" t="str">
        <f t="shared" si="20"/>
        <v>dailoneskill0017</v>
      </c>
      <c r="L23" s="5" t="str">
        <f t="shared" si="4"/>
        <v>lootName21,DAIL/items/materia/class0017/Hunting21.dbr,</v>
      </c>
      <c r="M23" s="5" t="str">
        <f t="shared" si="5"/>
        <v>lootWeight21,1,</v>
      </c>
      <c r="N23" t="str">
        <f t="shared" si="6"/>
        <v>1</v>
      </c>
      <c r="O23" t="str">
        <f t="shared" si="16"/>
        <v>copy .\dail_base.dbr .\items\materia\class0017\Hunting21.dbr /y</v>
      </c>
      <c r="P23" t="str">
        <f t="shared" si="7"/>
        <v>echo relicBitmap,items/craftingparts/components/component_a52_bristlyfur_b.tex, &gt;&gt; .\items\materia\class0017\Hunting21.dbr</v>
      </c>
      <c r="Q23" t="str">
        <f t="shared" si="7"/>
        <v>echo itemCost,300000, &gt;&gt; .\items\materia\class0017\Hunting21.dbr</v>
      </c>
      <c r="R23" t="str">
        <f t="shared" si="7"/>
        <v>echo description,dailCompDescHunting21, &gt;&gt; .\items\materia\class0017\Hunting21.dbr</v>
      </c>
      <c r="S23" t="str">
        <f t="shared" si="7"/>
        <v>echo itemText,dailCompTextHunting21, &gt;&gt; .\items\materia\class0017\Hunting21.dbr</v>
      </c>
      <c r="T23" t="str">
        <f t="shared" si="7"/>
        <v>echo augmentSkillLevel1,1, &gt;&gt; .\items\materia\class0017\Hunting21.dbr</v>
      </c>
      <c r="U23" t="str">
        <f t="shared" si="7"/>
        <v>echo augmentSkillName1,records/skillshunting/takedown_eviscerate.dbr,, &gt;&gt; .\items\materia\class0017\Hunting21.dbr</v>
      </c>
      <c r="V23" s="5" t="s">
        <v>36</v>
      </c>
      <c r="W23" t="str">
        <f t="shared" si="8"/>
        <v>echo lootName21,DAIL/items/materia/class0017/Hunting21.dbr, &gt;&gt; .\items\loottables\dailoneskill0017.dbr</v>
      </c>
      <c r="X23" t="str">
        <f t="shared" si="8"/>
        <v>echo lootWeight21,1, &gt;&gt; .\items\loottables\dailoneskill0017.dbr</v>
      </c>
      <c r="Y23" s="5" t="s">
        <v>36</v>
      </c>
      <c r="Z23" t="str">
        <f t="shared" si="9"/>
        <v xml:space="preserve"> dailCompDescHunting21=^pHunting's Gift of DAIL</v>
      </c>
      <c r="AA23" t="str">
        <f t="shared" si="17"/>
        <v>dailCompTextHunting21=^oThis feels warm to the touch, almost familiar ^w(This component fits into all Jewellery slots including the Belt And Shoulder)</v>
      </c>
      <c r="AB23" s="5" t="s">
        <v>36</v>
      </c>
      <c r="AH23">
        <f t="shared" si="19"/>
        <v>18</v>
      </c>
      <c r="AI23">
        <f t="shared" si="13"/>
        <v>32</v>
      </c>
      <c r="AJ23">
        <f t="shared" si="18"/>
        <v>1</v>
      </c>
    </row>
    <row r="24" spans="1:36" x14ac:dyDescent="0.25">
      <c r="A24" s="5" t="s">
        <v>39</v>
      </c>
      <c r="B24" s="5" t="s">
        <v>28</v>
      </c>
      <c r="C24" s="5" t="str">
        <f t="shared" si="0"/>
        <v>description,dailCompDescHunting22,</v>
      </c>
      <c r="D24" s="5" t="str">
        <f t="shared" si="2"/>
        <v>itemText,dailCompTextHunting22,</v>
      </c>
      <c r="E24" s="5" t="str">
        <f t="shared" si="14"/>
        <v>augmentSkillLevel1,1,</v>
      </c>
      <c r="F24" s="5" t="str">
        <f t="shared" si="15"/>
        <v>augmentSkillName1,records/skillshunting/monsterlure.dbr,,</v>
      </c>
      <c r="G24" s="7">
        <f t="shared" si="10"/>
        <v>22</v>
      </c>
      <c r="H24" s="8" t="str">
        <f t="shared" si="11"/>
        <v>Hunting</v>
      </c>
      <c r="I24" s="3" t="s">
        <v>614</v>
      </c>
      <c r="J24" s="8" t="str">
        <f t="shared" si="20"/>
        <v>class0017</v>
      </c>
      <c r="K24" s="8" t="str">
        <f t="shared" si="20"/>
        <v>dailoneskill0017</v>
      </c>
      <c r="L24" s="5" t="str">
        <f t="shared" si="4"/>
        <v>lootName22,DAIL/items/materia/class0017/Hunting22.dbr,</v>
      </c>
      <c r="M24" s="5" t="str">
        <f t="shared" si="5"/>
        <v>lootWeight22,1,</v>
      </c>
      <c r="N24" t="str">
        <f t="shared" si="6"/>
        <v>1</v>
      </c>
      <c r="O24" t="str">
        <f t="shared" si="16"/>
        <v>copy .\dail_base.dbr .\items\materia\class0017\Hunting22.dbr /y</v>
      </c>
      <c r="P24" t="str">
        <f t="shared" si="7"/>
        <v>echo relicBitmap,items/craftingparts/components/component_a52_bristlyfur_b.tex, &gt;&gt; .\items\materia\class0017\Hunting22.dbr</v>
      </c>
      <c r="Q24" t="str">
        <f t="shared" si="7"/>
        <v>echo itemCost,300000, &gt;&gt; .\items\materia\class0017\Hunting22.dbr</v>
      </c>
      <c r="R24" t="str">
        <f t="shared" si="7"/>
        <v>echo description,dailCompDescHunting22, &gt;&gt; .\items\materia\class0017\Hunting22.dbr</v>
      </c>
      <c r="S24" t="str">
        <f t="shared" si="7"/>
        <v>echo itemText,dailCompTextHunting22, &gt;&gt; .\items\materia\class0017\Hunting22.dbr</v>
      </c>
      <c r="T24" t="str">
        <f t="shared" si="7"/>
        <v>echo augmentSkillLevel1,1, &gt;&gt; .\items\materia\class0017\Hunting22.dbr</v>
      </c>
      <c r="U24" t="str">
        <f t="shared" si="7"/>
        <v>echo augmentSkillName1,records/skillshunting/monsterlure.dbr,, &gt;&gt; .\items\materia\class0017\Hunting22.dbr</v>
      </c>
      <c r="V24" s="5" t="s">
        <v>36</v>
      </c>
      <c r="W24" t="str">
        <f t="shared" si="8"/>
        <v>echo lootName22,DAIL/items/materia/class0017/Hunting22.dbr, &gt;&gt; .\items\loottables\dailoneskill0017.dbr</v>
      </c>
      <c r="X24" t="str">
        <f t="shared" si="8"/>
        <v>echo lootWeight22,1, &gt;&gt; .\items\loottables\dailoneskill0017.dbr</v>
      </c>
      <c r="Y24" s="5" t="s">
        <v>36</v>
      </c>
      <c r="Z24" t="str">
        <f t="shared" si="9"/>
        <v xml:space="preserve"> dailCompDescHunting22=^pHunting's Gift of DAIL</v>
      </c>
      <c r="AA24" t="str">
        <f t="shared" si="17"/>
        <v>dailCompTextHunting22=^oThis feels warm to the touch, almost familiar ^w(This component fits into all Jewellery slots including the Belt And Shoulder)</v>
      </c>
      <c r="AB24" s="5" t="s">
        <v>36</v>
      </c>
      <c r="AH24">
        <f t="shared" si="19"/>
        <v>19</v>
      </c>
      <c r="AI24">
        <f t="shared" si="13"/>
        <v>24</v>
      </c>
      <c r="AJ24">
        <f t="shared" si="18"/>
        <v>1</v>
      </c>
    </row>
    <row r="25" spans="1:36" x14ac:dyDescent="0.25">
      <c r="A25" s="5" t="s">
        <v>39</v>
      </c>
      <c r="B25" s="5" t="s">
        <v>28</v>
      </c>
      <c r="C25" s="5" t="str">
        <f t="shared" si="0"/>
        <v>description,dailCompDescHunting23,</v>
      </c>
      <c r="D25" s="5" t="str">
        <f t="shared" si="2"/>
        <v>itemText,dailCompTextHunting23,</v>
      </c>
      <c r="E25" s="5" t="str">
        <f t="shared" si="14"/>
        <v>augmentSkillLevel1,3,</v>
      </c>
      <c r="F25" s="5" t="str">
        <f t="shared" si="15"/>
        <v>augmentSkillName1,records/skillshunting/monsterlure_petmodifier_detonate.dbr,,</v>
      </c>
      <c r="G25" s="7">
        <f t="shared" si="10"/>
        <v>23</v>
      </c>
      <c r="H25" s="8" t="str">
        <f t="shared" si="11"/>
        <v>Hunting</v>
      </c>
      <c r="I25" s="3" t="s">
        <v>615</v>
      </c>
      <c r="J25" s="8" t="str">
        <f t="shared" si="20"/>
        <v>class0017</v>
      </c>
      <c r="K25" s="8" t="str">
        <f t="shared" si="20"/>
        <v>dailoneskill0017</v>
      </c>
      <c r="L25" s="5" t="str">
        <f t="shared" si="4"/>
        <v>lootName23,DAIL/items/materia/class0017/Hunting23.dbr,</v>
      </c>
      <c r="M25" s="5" t="str">
        <f t="shared" si="5"/>
        <v>lootWeight23,1,</v>
      </c>
      <c r="N25" t="str">
        <f t="shared" si="6"/>
        <v>3</v>
      </c>
      <c r="O25" t="str">
        <f t="shared" si="16"/>
        <v>copy .\dail_base3.dbr .\items\materia\class0017\Hunting23.dbr /y</v>
      </c>
      <c r="P25" t="str">
        <f t="shared" si="7"/>
        <v>echo relicBitmap,items/craftingparts/components/component_a52_bristlyfur_b.tex, &gt;&gt; .\items\materia\class0017\Hunting23.dbr</v>
      </c>
      <c r="Q25" t="str">
        <f t="shared" si="7"/>
        <v>echo itemCost,300000, &gt;&gt; .\items\materia\class0017\Hunting23.dbr</v>
      </c>
      <c r="R25" t="str">
        <f t="shared" si="7"/>
        <v>echo description,dailCompDescHunting23, &gt;&gt; .\items\materia\class0017\Hunting23.dbr</v>
      </c>
      <c r="S25" t="str">
        <f t="shared" si="7"/>
        <v>echo itemText,dailCompTextHunting23, &gt;&gt; .\items\materia\class0017\Hunting23.dbr</v>
      </c>
      <c r="T25" t="str">
        <f t="shared" si="7"/>
        <v>echo augmentSkillLevel1,3, &gt;&gt; .\items\materia\class0017\Hunting23.dbr</v>
      </c>
      <c r="U25" t="str">
        <f t="shared" si="7"/>
        <v>echo augmentSkillName1,records/skillshunting/monsterlure_petmodifier_detonate.dbr,, &gt;&gt; .\items\materia\class0017\Hunting23.dbr</v>
      </c>
      <c r="V25" s="5" t="s">
        <v>36</v>
      </c>
      <c r="W25" t="str">
        <f t="shared" si="8"/>
        <v>echo lootName23,DAIL/items/materia/class0017/Hunting23.dbr, &gt;&gt; .\items\loottables\dailoneskill0017.dbr</v>
      </c>
      <c r="X25" t="str">
        <f t="shared" si="8"/>
        <v>echo lootWeight23,1, &gt;&gt; .\items\loottables\dailoneskill0017.dbr</v>
      </c>
      <c r="Y25" s="5" t="s">
        <v>36</v>
      </c>
      <c r="Z25" t="str">
        <f t="shared" si="9"/>
        <v xml:space="preserve"> dailCompDescHunting23=^pHunting's Gift of DAIL</v>
      </c>
      <c r="AA25" t="str">
        <f t="shared" si="17"/>
        <v>dailCompTextHunting23=^oThis feels warm to the touch, almost familiar ^w(This component only fits into the Medal Slot)</v>
      </c>
      <c r="AB25" s="5" t="s">
        <v>36</v>
      </c>
      <c r="AH25">
        <f t="shared" si="19"/>
        <v>20</v>
      </c>
      <c r="AI25">
        <f t="shared" si="13"/>
        <v>45</v>
      </c>
      <c r="AJ25">
        <f t="shared" si="18"/>
        <v>3</v>
      </c>
    </row>
    <row r="26" spans="1:36" x14ac:dyDescent="0.25">
      <c r="A26" s="5" t="s">
        <v>39</v>
      </c>
      <c r="B26" s="5" t="s">
        <v>28</v>
      </c>
      <c r="C26" s="5" t="str">
        <f t="shared" si="0"/>
        <v>description,dailCompDescHunting24,</v>
      </c>
      <c r="D26" s="5" t="str">
        <f t="shared" si="2"/>
        <v>itemText,dailCompTextHunting24,</v>
      </c>
      <c r="E26" s="5" t="str">
        <f t="shared" si="14"/>
        <v>augmentSkillLevel1,3,</v>
      </c>
      <c r="F26" s="5" t="str">
        <f t="shared" si="15"/>
        <v>augmentSkillName1,records/skillshunting/woodlore.dbr,,</v>
      </c>
      <c r="G26" s="7">
        <f t="shared" si="10"/>
        <v>24</v>
      </c>
      <c r="H26" s="8" t="str">
        <f t="shared" si="11"/>
        <v>Hunting</v>
      </c>
      <c r="I26" s="3" t="s">
        <v>596</v>
      </c>
      <c r="J26" s="8" t="str">
        <f t="shared" si="20"/>
        <v>class0017</v>
      </c>
      <c r="K26" s="8" t="str">
        <f t="shared" si="20"/>
        <v>dailoneskill0017</v>
      </c>
      <c r="L26" s="5" t="str">
        <f t="shared" si="4"/>
        <v>lootName24,DAIL/items/materia/class0017/Hunting24.dbr,</v>
      </c>
      <c r="M26" s="5" t="str">
        <f t="shared" si="5"/>
        <v>lootWeight24,1,</v>
      </c>
      <c r="N26" t="str">
        <f t="shared" si="6"/>
        <v>3</v>
      </c>
      <c r="O26" t="str">
        <f t="shared" si="16"/>
        <v>copy .\dail_base3.dbr .\items\materia\class0017\Hunting24.dbr /y</v>
      </c>
      <c r="P26" t="str">
        <f t="shared" si="7"/>
        <v>echo relicBitmap,items/craftingparts/components/component_a52_bristlyfur_b.tex, &gt;&gt; .\items\materia\class0017\Hunting24.dbr</v>
      </c>
      <c r="Q26" t="str">
        <f t="shared" si="7"/>
        <v>echo itemCost,300000, &gt;&gt; .\items\materia\class0017\Hunting24.dbr</v>
      </c>
      <c r="R26" t="str">
        <f t="shared" si="7"/>
        <v>echo description,dailCompDescHunting24, &gt;&gt; .\items\materia\class0017\Hunting24.dbr</v>
      </c>
      <c r="S26" t="str">
        <f t="shared" si="7"/>
        <v>echo itemText,dailCompTextHunting24, &gt;&gt; .\items\materia\class0017\Hunting24.dbr</v>
      </c>
      <c r="T26" t="str">
        <f t="shared" si="7"/>
        <v>echo augmentSkillLevel1,3, &gt;&gt; .\items\materia\class0017\Hunting24.dbr</v>
      </c>
      <c r="U26" t="str">
        <f t="shared" si="7"/>
        <v>echo augmentSkillName1,records/skillshunting/woodlore.dbr,, &gt;&gt; .\items\materia\class0017\Hunting24.dbr</v>
      </c>
      <c r="V26" s="5" t="s">
        <v>36</v>
      </c>
      <c r="W26" t="str">
        <f t="shared" si="8"/>
        <v>echo lootName24,DAIL/items/materia/class0017/Hunting24.dbr, &gt;&gt; .\items\loottables\dailoneskill0017.dbr</v>
      </c>
      <c r="X26" t="str">
        <f t="shared" si="8"/>
        <v>echo lootWeight24,1, &gt;&gt; .\items\loottables\dailoneskill0017.dbr</v>
      </c>
      <c r="Y26" s="5" t="s">
        <v>36</v>
      </c>
      <c r="Z26" t="str">
        <f t="shared" si="9"/>
        <v xml:space="preserve"> dailCompDescHunting24=^pHunting's Gift of DAIL</v>
      </c>
      <c r="AA26" t="str">
        <f t="shared" si="17"/>
        <v>dailCompTextHunting24=^oThis feels warm to the touch, almost familiar ^w(This component only fits into the Medal Slot)</v>
      </c>
      <c r="AB26" s="5" t="s">
        <v>36</v>
      </c>
      <c r="AH26">
        <f t="shared" si="19"/>
        <v>21</v>
      </c>
      <c r="AI26">
        <f t="shared" si="13"/>
        <v>21</v>
      </c>
      <c r="AJ26">
        <f t="shared" si="18"/>
        <v>3</v>
      </c>
    </row>
    <row r="27" spans="1:36" x14ac:dyDescent="0.25">
      <c r="A27" s="5" t="s">
        <v>39</v>
      </c>
      <c r="B27" s="5" t="s">
        <v>28</v>
      </c>
      <c r="C27" s="5" t="str">
        <f t="shared" si="0"/>
        <v>description,dailCompDescHunting25,</v>
      </c>
      <c r="D27" s="5" t="str">
        <f t="shared" si="2"/>
        <v>itemText,dailCompTextHunting25,</v>
      </c>
      <c r="E27" s="5" t="str">
        <f t="shared" si="14"/>
        <v>augmentSkillLevel1,3,</v>
      </c>
      <c r="F27" s="5" t="str">
        <f t="shared" si="15"/>
        <v>augmentSkillName1,records/skillshunting/artofthehunt.dbr,,</v>
      </c>
      <c r="G27" s="7">
        <f t="shared" si="10"/>
        <v>25</v>
      </c>
      <c r="H27" s="8" t="str">
        <f t="shared" si="11"/>
        <v>Hunting</v>
      </c>
      <c r="I27" s="3" t="s">
        <v>597</v>
      </c>
      <c r="J27" s="8" t="str">
        <f t="shared" si="20"/>
        <v>class0017</v>
      </c>
      <c r="K27" s="8" t="str">
        <f t="shared" si="20"/>
        <v>dailoneskill0017</v>
      </c>
      <c r="L27" s="5" t="str">
        <f t="shared" si="4"/>
        <v>lootName25,DAIL/items/materia/class0017/Hunting25.dbr,</v>
      </c>
      <c r="M27" s="5" t="str">
        <f t="shared" si="5"/>
        <v>lootWeight25,1,</v>
      </c>
      <c r="N27" t="str">
        <f t="shared" si="6"/>
        <v>3</v>
      </c>
      <c r="O27" t="str">
        <f t="shared" si="16"/>
        <v>copy .\dail_base3.dbr .\items\materia\class0017\Hunting25.dbr /y</v>
      </c>
      <c r="P27" t="str">
        <f t="shared" si="7"/>
        <v>echo relicBitmap,items/craftingparts/components/component_a52_bristlyfur_b.tex, &gt;&gt; .\items\materia\class0017\Hunting25.dbr</v>
      </c>
      <c r="Q27" t="str">
        <f t="shared" si="7"/>
        <v>echo itemCost,300000, &gt;&gt; .\items\materia\class0017\Hunting25.dbr</v>
      </c>
      <c r="R27" t="str">
        <f t="shared" si="7"/>
        <v>echo description,dailCompDescHunting25, &gt;&gt; .\items\materia\class0017\Hunting25.dbr</v>
      </c>
      <c r="S27" t="str">
        <f t="shared" si="7"/>
        <v>echo itemText,dailCompTextHunting25, &gt;&gt; .\items\materia\class0017\Hunting25.dbr</v>
      </c>
      <c r="T27" t="str">
        <f t="shared" si="7"/>
        <v>echo augmentSkillLevel1,3, &gt;&gt; .\items\materia\class0017\Hunting25.dbr</v>
      </c>
      <c r="U27" t="str">
        <f t="shared" si="7"/>
        <v>echo augmentSkillName1,records/skillshunting/artofthehunt.dbr,, &gt;&gt; .\items\materia\class0017\Hunting25.dbr</v>
      </c>
      <c r="V27" s="5" t="s">
        <v>36</v>
      </c>
      <c r="W27" t="str">
        <f t="shared" si="8"/>
        <v>echo lootName25,DAIL/items/materia/class0017/Hunting25.dbr, &gt;&gt; .\items\loottables\dailoneskill0017.dbr</v>
      </c>
      <c r="X27" t="str">
        <f t="shared" si="8"/>
        <v>echo lootWeight25,1, &gt;&gt; .\items\loottables\dailoneskill0017.dbr</v>
      </c>
      <c r="Y27" s="5" t="s">
        <v>36</v>
      </c>
      <c r="Z27" t="str">
        <f t="shared" si="9"/>
        <v xml:space="preserve"> dailCompDescHunting25=^pHunting's Gift of DAIL</v>
      </c>
      <c r="AA27" t="str">
        <f t="shared" si="17"/>
        <v>dailCompTextHunting25=^oThis feels warm to the touch, almost familiar ^w(This component only fits into the Medal Slot)</v>
      </c>
      <c r="AB27" s="5" t="s">
        <v>36</v>
      </c>
      <c r="AH27">
        <f t="shared" si="19"/>
        <v>22</v>
      </c>
      <c r="AI27">
        <f t="shared" si="13"/>
        <v>25</v>
      </c>
      <c r="AJ27">
        <f t="shared" si="18"/>
        <v>3</v>
      </c>
    </row>
    <row r="28" spans="1:36" x14ac:dyDescent="0.25">
      <c r="A28" s="5" t="s">
        <v>39</v>
      </c>
      <c r="B28" s="5" t="s">
        <v>28</v>
      </c>
      <c r="C28" s="5" t="str">
        <f t="shared" si="0"/>
        <v>description,dailCompDescHunting26,</v>
      </c>
      <c r="D28" s="5" t="str">
        <f t="shared" si="2"/>
        <v>itemText,dailCompTextHunting26,</v>
      </c>
      <c r="E28" s="5" t="str">
        <f t="shared" si="14"/>
        <v>augmentSkillLevel1,3,</v>
      </c>
      <c r="F28" s="5" t="str">
        <f t="shared" si="15"/>
        <v>augmentSkillName1,records/skillshunting/artofthehunt_findcover.dbr,,</v>
      </c>
      <c r="G28" s="7">
        <f t="shared" si="10"/>
        <v>26</v>
      </c>
      <c r="H28" s="8" t="str">
        <f t="shared" si="11"/>
        <v>Hunting</v>
      </c>
      <c r="I28" s="3" t="s">
        <v>598</v>
      </c>
      <c r="J28" s="8" t="str">
        <f t="shared" si="20"/>
        <v>class0017</v>
      </c>
      <c r="K28" s="8" t="str">
        <f t="shared" si="20"/>
        <v>dailoneskill0017</v>
      </c>
      <c r="L28" s="5" t="str">
        <f t="shared" si="4"/>
        <v>lootName26,DAIL/items/materia/class0017/Hunting26.dbr,</v>
      </c>
      <c r="M28" s="5" t="str">
        <f t="shared" si="5"/>
        <v>lootWeight26,1,</v>
      </c>
      <c r="N28" t="str">
        <f t="shared" si="6"/>
        <v>3</v>
      </c>
      <c r="O28" t="str">
        <f t="shared" si="16"/>
        <v>copy .\dail_base3.dbr .\items\materia\class0017\Hunting26.dbr /y</v>
      </c>
      <c r="P28" t="str">
        <f t="shared" si="7"/>
        <v>echo relicBitmap,items/craftingparts/components/component_a52_bristlyfur_b.tex, &gt;&gt; .\items\materia\class0017\Hunting26.dbr</v>
      </c>
      <c r="Q28" t="str">
        <f t="shared" si="7"/>
        <v>echo itemCost,300000, &gt;&gt; .\items\materia\class0017\Hunting26.dbr</v>
      </c>
      <c r="R28" t="str">
        <f t="shared" si="7"/>
        <v>echo description,dailCompDescHunting26, &gt;&gt; .\items\materia\class0017\Hunting26.dbr</v>
      </c>
      <c r="S28" t="str">
        <f t="shared" si="7"/>
        <v>echo itemText,dailCompTextHunting26, &gt;&gt; .\items\materia\class0017\Hunting26.dbr</v>
      </c>
      <c r="T28" t="str">
        <f t="shared" si="7"/>
        <v>echo augmentSkillLevel1,3, &gt;&gt; .\items\materia\class0017\Hunting26.dbr</v>
      </c>
      <c r="U28" t="str">
        <f t="shared" si="7"/>
        <v>echo augmentSkillName1,records/skillshunting/artofthehunt_findcover.dbr,, &gt;&gt; .\items\materia\class0017\Hunting26.dbr</v>
      </c>
      <c r="V28" s="5" t="s">
        <v>36</v>
      </c>
      <c r="W28" t="str">
        <f t="shared" si="8"/>
        <v>echo lootName26,DAIL/items/materia/class0017/Hunting26.dbr, &gt;&gt; .\items\loottables\dailoneskill0017.dbr</v>
      </c>
      <c r="X28" t="str">
        <f t="shared" si="8"/>
        <v>echo lootWeight26,1, &gt;&gt; .\items\loottables\dailoneskill0017.dbr</v>
      </c>
      <c r="Y28" s="5" t="s">
        <v>36</v>
      </c>
      <c r="Z28" t="str">
        <f t="shared" si="9"/>
        <v xml:space="preserve"> dailCompDescHunting26=^pHunting's Gift of DAIL</v>
      </c>
      <c r="AA28" t="str">
        <f t="shared" si="17"/>
        <v>dailCompTextHunting26=^oThis feels warm to the touch, almost familiar ^w(This component only fits into the Medal Slot)</v>
      </c>
      <c r="AB28" s="5" t="s">
        <v>36</v>
      </c>
      <c r="AH28">
        <f t="shared" si="19"/>
        <v>23</v>
      </c>
      <c r="AI28">
        <f t="shared" si="13"/>
        <v>35</v>
      </c>
      <c r="AJ28">
        <f t="shared" si="18"/>
        <v>3</v>
      </c>
    </row>
    <row r="29" spans="1:36" x14ac:dyDescent="0.25">
      <c r="A29" s="5" t="s">
        <v>39</v>
      </c>
      <c r="B29" s="5" t="s">
        <v>28</v>
      </c>
      <c r="C29" s="5" t="str">
        <f t="shared" si="0"/>
        <v>description,dailCompDescHunting27,</v>
      </c>
      <c r="D29" s="5" t="str">
        <f t="shared" si="2"/>
        <v>itemText,dailCompTextHunting27,</v>
      </c>
      <c r="E29" s="5" t="str">
        <f t="shared" si="14"/>
        <v>augmentSkillLevel1,3,</v>
      </c>
      <c r="F29" s="5" t="str">
        <f t="shared" si="15"/>
        <v>augmentSkillName1,records/skillshunting/artofthehunt_trailblazing.dbr,,</v>
      </c>
      <c r="G29" s="7">
        <f t="shared" si="10"/>
        <v>27</v>
      </c>
      <c r="H29" s="8" t="str">
        <f t="shared" si="11"/>
        <v>Hunting</v>
      </c>
      <c r="I29" s="3" t="s">
        <v>599</v>
      </c>
      <c r="J29" s="8" t="str">
        <f t="shared" si="20"/>
        <v>class0017</v>
      </c>
      <c r="K29" s="8" t="str">
        <f t="shared" si="20"/>
        <v>dailoneskill0017</v>
      </c>
      <c r="L29" s="5" t="str">
        <f t="shared" si="4"/>
        <v>lootName27,DAIL/items/materia/class0017/Hunting27.dbr,</v>
      </c>
      <c r="M29" s="5" t="str">
        <f t="shared" si="5"/>
        <v>lootWeight27,1,</v>
      </c>
      <c r="N29" t="str">
        <f t="shared" si="6"/>
        <v>3</v>
      </c>
      <c r="O29" t="str">
        <f t="shared" si="16"/>
        <v>copy .\dail_base3.dbr .\items\materia\class0017\Hunting27.dbr /y</v>
      </c>
      <c r="P29" t="str">
        <f t="shared" si="7"/>
        <v>echo relicBitmap,items/craftingparts/components/component_a52_bristlyfur_b.tex, &gt;&gt; .\items\materia\class0017\Hunting27.dbr</v>
      </c>
      <c r="Q29" t="str">
        <f t="shared" si="7"/>
        <v>echo itemCost,300000, &gt;&gt; .\items\materia\class0017\Hunting27.dbr</v>
      </c>
      <c r="R29" t="str">
        <f t="shared" si="7"/>
        <v>echo description,dailCompDescHunting27, &gt;&gt; .\items\materia\class0017\Hunting27.dbr</v>
      </c>
      <c r="S29" t="str">
        <f t="shared" si="7"/>
        <v>echo itemText,dailCompTextHunting27, &gt;&gt; .\items\materia\class0017\Hunting27.dbr</v>
      </c>
      <c r="T29" t="str">
        <f t="shared" si="7"/>
        <v>echo augmentSkillLevel1,3, &gt;&gt; .\items\materia\class0017\Hunting27.dbr</v>
      </c>
      <c r="U29" t="str">
        <f t="shared" si="7"/>
        <v>echo augmentSkillName1,records/skillshunting/artofthehunt_trailblazing.dbr,, &gt;&gt; .\items\materia\class0017\Hunting27.dbr</v>
      </c>
      <c r="V29" s="5" t="s">
        <v>36</v>
      </c>
      <c r="W29" t="str">
        <f t="shared" si="8"/>
        <v>echo lootName27,DAIL/items/materia/class0017/Hunting27.dbr, &gt;&gt; .\items\loottables\dailoneskill0017.dbr</v>
      </c>
      <c r="X29" t="str">
        <f t="shared" si="8"/>
        <v>echo lootWeight27,1, &gt;&gt; .\items\loottables\dailoneskill0017.dbr</v>
      </c>
      <c r="Y29" s="5" t="s">
        <v>36</v>
      </c>
      <c r="Z29" t="str">
        <f t="shared" si="9"/>
        <v xml:space="preserve"> dailCompDescHunting27=^pHunting's Gift of DAIL</v>
      </c>
      <c r="AA29" t="str">
        <f t="shared" si="17"/>
        <v>dailCompTextHunting27=^oThis feels warm to the touch, almost familiar ^w(This component only fits into the Medal Slot)</v>
      </c>
      <c r="AB29" s="5" t="s">
        <v>36</v>
      </c>
      <c r="AH29">
        <f t="shared" si="19"/>
        <v>24</v>
      </c>
      <c r="AI29">
        <f t="shared" si="13"/>
        <v>38</v>
      </c>
      <c r="AJ29">
        <f t="shared" si="18"/>
        <v>3</v>
      </c>
    </row>
    <row r="30" spans="1:36" x14ac:dyDescent="0.25">
      <c r="A30" s="5" t="s">
        <v>39</v>
      </c>
      <c r="B30" s="5" t="s">
        <v>28</v>
      </c>
      <c r="C30" s="5" t="str">
        <f t="shared" si="0"/>
        <v>description,dailCompDescHunting28,</v>
      </c>
      <c r="D30" s="5" t="str">
        <f t="shared" si="2"/>
        <v>itemText,dailCompTextHunting28,</v>
      </c>
      <c r="E30" s="5" t="str">
        <f t="shared" si="14"/>
        <v>augmentSkillLevel1,3,</v>
      </c>
      <c r="F30" s="5" t="str">
        <f t="shared" si="15"/>
        <v>augmentSkillName1,records/skillshunting/ensnare.dbr,,</v>
      </c>
      <c r="G30" s="7">
        <f t="shared" si="10"/>
        <v>28</v>
      </c>
      <c r="H30" s="8" t="str">
        <f t="shared" si="11"/>
        <v>Hunting</v>
      </c>
      <c r="I30" s="3" t="s">
        <v>600</v>
      </c>
      <c r="J30" s="8" t="str">
        <f t="shared" si="20"/>
        <v>class0017</v>
      </c>
      <c r="K30" s="8" t="str">
        <f t="shared" si="20"/>
        <v>dailoneskill0017</v>
      </c>
      <c r="L30" s="5" t="str">
        <f t="shared" si="4"/>
        <v>lootName28,DAIL/items/materia/class0017/Hunting28.dbr,</v>
      </c>
      <c r="M30" s="5" t="str">
        <f t="shared" si="5"/>
        <v>lootWeight28,1,</v>
      </c>
      <c r="N30" t="str">
        <f t="shared" si="6"/>
        <v>3</v>
      </c>
      <c r="O30" t="str">
        <f t="shared" si="16"/>
        <v>copy .\dail_base3.dbr .\items\materia\class0017\Hunting28.dbr /y</v>
      </c>
      <c r="P30" t="str">
        <f t="shared" si="7"/>
        <v>echo relicBitmap,items/craftingparts/components/component_a52_bristlyfur_b.tex, &gt;&gt; .\items\materia\class0017\Hunting28.dbr</v>
      </c>
      <c r="Q30" t="str">
        <f t="shared" si="7"/>
        <v>echo itemCost,300000, &gt;&gt; .\items\materia\class0017\Hunting28.dbr</v>
      </c>
      <c r="R30" t="str">
        <f t="shared" si="7"/>
        <v>echo description,dailCompDescHunting28, &gt;&gt; .\items\materia\class0017\Hunting28.dbr</v>
      </c>
      <c r="S30" t="str">
        <f t="shared" si="7"/>
        <v>echo itemText,dailCompTextHunting28, &gt;&gt; .\items\materia\class0017\Hunting28.dbr</v>
      </c>
      <c r="T30" t="str">
        <f t="shared" si="7"/>
        <v>echo augmentSkillLevel1,3, &gt;&gt; .\items\materia\class0017\Hunting28.dbr</v>
      </c>
      <c r="U30" t="str">
        <f t="shared" si="7"/>
        <v>echo augmentSkillName1,records/skillshunting/ensnare.dbr,, &gt;&gt; .\items\materia\class0017\Hunting28.dbr</v>
      </c>
      <c r="V30" s="5" t="s">
        <v>36</v>
      </c>
      <c r="W30" t="str">
        <f t="shared" si="8"/>
        <v>echo lootName28,DAIL/items/materia/class0017/Hunting28.dbr, &gt;&gt; .\items\loottables\dailoneskill0017.dbr</v>
      </c>
      <c r="X30" t="str">
        <f t="shared" si="8"/>
        <v>echo lootWeight28,1, &gt;&gt; .\items\loottables\dailoneskill0017.dbr</v>
      </c>
      <c r="Y30" s="5" t="s">
        <v>36</v>
      </c>
      <c r="Z30" t="str">
        <f t="shared" si="9"/>
        <v xml:space="preserve"> dailCompDescHunting28=^pHunting's Gift of DAIL</v>
      </c>
      <c r="AA30" t="str">
        <f t="shared" si="17"/>
        <v>dailCompTextHunting28=^oThis feels warm to the touch, almost familiar ^w(This component only fits into the Medal Slot)</v>
      </c>
      <c r="AB30" s="5" t="s">
        <v>36</v>
      </c>
      <c r="AH30">
        <f t="shared" si="19"/>
        <v>25</v>
      </c>
      <c r="AI30">
        <f t="shared" si="13"/>
        <v>20</v>
      </c>
      <c r="AJ30">
        <f t="shared" si="18"/>
        <v>3</v>
      </c>
    </row>
    <row r="31" spans="1:36" x14ac:dyDescent="0.25">
      <c r="A31" s="5" t="s">
        <v>39</v>
      </c>
      <c r="B31" s="5" t="s">
        <v>28</v>
      </c>
      <c r="C31" s="5" t="str">
        <f t="shared" si="0"/>
        <v>description,dailCompDescHunting29,</v>
      </c>
      <c r="D31" s="5" t="str">
        <f t="shared" si="2"/>
        <v>itemText,dailCompTextHunting29,</v>
      </c>
      <c r="E31" s="5" t="str">
        <f t="shared" si="14"/>
        <v>augmentSkillLevel1,3,</v>
      </c>
      <c r="F31" s="5" t="str">
        <f t="shared" si="15"/>
        <v>augmentSkillName1,records/skillshunting/ensnare_barbednetting.dbr,,</v>
      </c>
      <c r="G31" s="7">
        <f t="shared" si="10"/>
        <v>29</v>
      </c>
      <c r="H31" s="8" t="str">
        <f t="shared" si="11"/>
        <v>Hunting</v>
      </c>
      <c r="I31" s="3" t="s">
        <v>601</v>
      </c>
      <c r="J31" s="8" t="str">
        <f t="shared" si="20"/>
        <v>class0017</v>
      </c>
      <c r="K31" s="8" t="str">
        <f t="shared" si="20"/>
        <v>dailoneskill0017</v>
      </c>
      <c r="L31" s="5" t="str">
        <f t="shared" si="4"/>
        <v>lootName29,DAIL/items/materia/class0017/Hunting29.dbr,</v>
      </c>
      <c r="M31" s="5" t="str">
        <f t="shared" si="5"/>
        <v>lootWeight29,1,</v>
      </c>
      <c r="N31" t="str">
        <f t="shared" si="6"/>
        <v>3</v>
      </c>
      <c r="O31" t="str">
        <f t="shared" si="16"/>
        <v>copy .\dail_base3.dbr .\items\materia\class0017\Hunting29.dbr /y</v>
      </c>
      <c r="P31" t="str">
        <f t="shared" si="7"/>
        <v>echo relicBitmap,items/craftingparts/components/component_a52_bristlyfur_b.tex, &gt;&gt; .\items\materia\class0017\Hunting29.dbr</v>
      </c>
      <c r="Q31" t="str">
        <f t="shared" si="7"/>
        <v>echo itemCost,300000, &gt;&gt; .\items\materia\class0017\Hunting29.dbr</v>
      </c>
      <c r="R31" t="str">
        <f t="shared" si="7"/>
        <v>echo description,dailCompDescHunting29, &gt;&gt; .\items\materia\class0017\Hunting29.dbr</v>
      </c>
      <c r="S31" t="str">
        <f t="shared" si="7"/>
        <v>echo itemText,dailCompTextHunting29, &gt;&gt; .\items\materia\class0017\Hunting29.dbr</v>
      </c>
      <c r="T31" t="str">
        <f t="shared" si="7"/>
        <v>echo augmentSkillLevel1,3, &gt;&gt; .\items\materia\class0017\Hunting29.dbr</v>
      </c>
      <c r="U31" t="str">
        <f t="shared" si="7"/>
        <v>echo augmentSkillName1,records/skillshunting/ensnare_barbednetting.dbr,, &gt;&gt; .\items\materia\class0017\Hunting29.dbr</v>
      </c>
      <c r="V31" s="5" t="s">
        <v>36</v>
      </c>
      <c r="W31" t="str">
        <f t="shared" si="8"/>
        <v>echo lootName29,DAIL/items/materia/class0017/Hunting29.dbr, &gt;&gt; .\items\loottables\dailoneskill0017.dbr</v>
      </c>
      <c r="X31" t="str">
        <f t="shared" si="8"/>
        <v>echo lootWeight29,1, &gt;&gt; .\items\loottables\dailoneskill0017.dbr</v>
      </c>
      <c r="Y31" s="5" t="s">
        <v>36</v>
      </c>
      <c r="Z31" t="str">
        <f t="shared" si="9"/>
        <v xml:space="preserve"> dailCompDescHunting29=^pHunting's Gift of DAIL</v>
      </c>
      <c r="AA31" t="str">
        <f t="shared" si="17"/>
        <v>dailCompTextHunting29=^oThis feels warm to the touch, almost familiar ^w(This component only fits into the Medal Slot)</v>
      </c>
      <c r="AB31" s="5" t="s">
        <v>36</v>
      </c>
      <c r="AH31">
        <f t="shared" si="19"/>
        <v>26</v>
      </c>
      <c r="AI31">
        <f t="shared" si="13"/>
        <v>34</v>
      </c>
      <c r="AJ31">
        <f t="shared" si="18"/>
        <v>3</v>
      </c>
    </row>
    <row r="32" spans="1:36" x14ac:dyDescent="0.25">
      <c r="A32" s="5" t="s">
        <v>39</v>
      </c>
      <c r="B32" s="5" t="s">
        <v>30</v>
      </c>
      <c r="C32" s="5" t="str">
        <f t="shared" si="0"/>
        <v>description,dailCompDescHunting30,</v>
      </c>
      <c r="D32" s="5" t="str">
        <f t="shared" si="2"/>
        <v>itemText,dailCompTextHunting30,</v>
      </c>
      <c r="E32" s="5" t="str">
        <f t="shared" si="14"/>
        <v>augmentSkillLevel1,3,</v>
      </c>
      <c r="F32" s="5" t="str">
        <f t="shared" si="15"/>
        <v>augmentSkillName1,records/skillshunting/callofthehunt.dbr,,</v>
      </c>
      <c r="G32" s="7">
        <f t="shared" si="10"/>
        <v>30</v>
      </c>
      <c r="H32" s="8" t="str">
        <f t="shared" si="11"/>
        <v>Hunting</v>
      </c>
      <c r="I32" s="3" t="s">
        <v>602</v>
      </c>
      <c r="J32" s="8" t="str">
        <f t="shared" si="20"/>
        <v>class0017</v>
      </c>
      <c r="K32" s="8" t="str">
        <f t="shared" si="20"/>
        <v>dailoneskill0017</v>
      </c>
      <c r="L32" s="5" t="str">
        <f t="shared" si="4"/>
        <v>lootName30,DAIL/items/materia/class0017/Hunting30.dbr,</v>
      </c>
      <c r="M32" s="5" t="str">
        <f t="shared" si="5"/>
        <v>lootWeight30,1,</v>
      </c>
      <c r="N32" t="str">
        <f t="shared" si="6"/>
        <v>3</v>
      </c>
      <c r="O32" t="str">
        <f t="shared" si="16"/>
        <v>copy .\dail_base3.dbr .\items\materia\class0017\Hunting30.dbr /y</v>
      </c>
      <c r="P32" t="str">
        <f t="shared" si="7"/>
        <v>echo relicBitmap,items/craftingparts/components/component_a52_bristlyfur_b.tex, &gt;&gt; .\items\materia\class0017\Hunting30.dbr</v>
      </c>
      <c r="Q32" t="str">
        <f t="shared" si="7"/>
        <v>echo itemCost,500000, &gt;&gt; .\items\materia\class0017\Hunting30.dbr</v>
      </c>
      <c r="R32" t="str">
        <f t="shared" si="7"/>
        <v>echo description,dailCompDescHunting30, &gt;&gt; .\items\materia\class0017\Hunting30.dbr</v>
      </c>
      <c r="S32" t="str">
        <f t="shared" si="7"/>
        <v>echo itemText,dailCompTextHunting30, &gt;&gt; .\items\materia\class0017\Hunting30.dbr</v>
      </c>
      <c r="T32" t="str">
        <f t="shared" si="7"/>
        <v>echo augmentSkillLevel1,3, &gt;&gt; .\items\materia\class0017\Hunting30.dbr</v>
      </c>
      <c r="U32" t="str">
        <f t="shared" si="7"/>
        <v>echo augmentSkillName1,records/skillshunting/callofthehunt.dbr,, &gt;&gt; .\items\materia\class0017\Hunting30.dbr</v>
      </c>
      <c r="V32" s="5" t="s">
        <v>36</v>
      </c>
      <c r="W32" t="str">
        <f t="shared" si="8"/>
        <v>echo lootName30,DAIL/items/materia/class0017/Hunting30.dbr, &gt;&gt; .\items\loottables\dailoneskill0017.dbr</v>
      </c>
      <c r="X32" t="str">
        <f t="shared" si="8"/>
        <v>echo lootWeight30,1, &gt;&gt; .\items\loottables\dailoneskill0017.dbr</v>
      </c>
      <c r="Y32" s="5" t="s">
        <v>36</v>
      </c>
      <c r="Z32" t="str">
        <f t="shared" si="9"/>
        <v xml:space="preserve"> dailCompDescHunting30=^pHunting's Gift of DAIL</v>
      </c>
      <c r="AA32" t="str">
        <f t="shared" si="17"/>
        <v>dailCompTextHunting30=^oThis feels warm to the touch, almost familiar ^w(This component only fits into the Medal Slot)</v>
      </c>
      <c r="AB32" s="5" t="s">
        <v>36</v>
      </c>
      <c r="AH32">
        <f t="shared" si="19"/>
        <v>27</v>
      </c>
      <c r="AI32">
        <f t="shared" si="13"/>
        <v>26</v>
      </c>
      <c r="AJ32">
        <f t="shared" si="18"/>
        <v>3</v>
      </c>
    </row>
    <row r="33" spans="1:36" x14ac:dyDescent="0.25">
      <c r="A33" s="5" t="s">
        <v>39</v>
      </c>
      <c r="B33" s="5" t="s">
        <v>30</v>
      </c>
      <c r="C33" s="5" t="str">
        <f t="shared" si="0"/>
        <v>description,dailCompDescHunting31,</v>
      </c>
      <c r="D33" s="5" t="str">
        <f t="shared" si="2"/>
        <v>itemText,dailCompTextHunting31,</v>
      </c>
      <c r="E33" s="5" t="str">
        <f t="shared" si="14"/>
        <v>augmentSkillLevel1,3,</v>
      </c>
      <c r="F33" s="5" t="str">
        <f t="shared" si="15"/>
        <v>augmentSkillName1,records/skillshunting/callofthehunt_cunning.dbr,,</v>
      </c>
      <c r="G33" s="7">
        <f t="shared" si="10"/>
        <v>31</v>
      </c>
      <c r="H33" s="8" t="str">
        <f t="shared" si="11"/>
        <v>Hunting</v>
      </c>
      <c r="I33" s="3" t="s">
        <v>603</v>
      </c>
      <c r="J33" s="8" t="str">
        <f t="shared" si="20"/>
        <v>class0017</v>
      </c>
      <c r="K33" s="8" t="str">
        <f t="shared" si="20"/>
        <v>dailoneskill0017</v>
      </c>
      <c r="L33" s="5" t="str">
        <f t="shared" si="4"/>
        <v>lootName31,DAIL/items/materia/class0017/Hunting31.dbr,</v>
      </c>
      <c r="M33" s="5" t="str">
        <f t="shared" si="5"/>
        <v>lootWeight31,1,</v>
      </c>
      <c r="N33" t="str">
        <f t="shared" si="6"/>
        <v>3</v>
      </c>
      <c r="O33" t="str">
        <f t="shared" si="16"/>
        <v>copy .\dail_base3.dbr .\items\materia\class0017\Hunting31.dbr /y</v>
      </c>
      <c r="P33" t="str">
        <f t="shared" si="7"/>
        <v>echo relicBitmap,items/craftingparts/components/component_a52_bristlyfur_b.tex, &gt;&gt; .\items\materia\class0017\Hunting31.dbr</v>
      </c>
      <c r="Q33" t="str">
        <f t="shared" si="7"/>
        <v>echo itemCost,500000, &gt;&gt; .\items\materia\class0017\Hunting31.dbr</v>
      </c>
      <c r="R33" t="str">
        <f t="shared" si="7"/>
        <v>echo description,dailCompDescHunting31, &gt;&gt; .\items\materia\class0017\Hunting31.dbr</v>
      </c>
      <c r="S33" t="str">
        <f t="shared" si="7"/>
        <v>echo itemText,dailCompTextHunting31, &gt;&gt; .\items\materia\class0017\Hunting31.dbr</v>
      </c>
      <c r="T33" t="str">
        <f t="shared" si="7"/>
        <v>echo augmentSkillLevel1,3, &gt;&gt; .\items\materia\class0017\Hunting31.dbr</v>
      </c>
      <c r="U33" t="str">
        <f t="shared" si="7"/>
        <v>echo augmentSkillName1,records/skillshunting/callofthehunt_cunning.dbr,, &gt;&gt; .\items\materia\class0017\Hunting31.dbr</v>
      </c>
      <c r="V33" s="5" t="s">
        <v>36</v>
      </c>
      <c r="W33" t="str">
        <f t="shared" si="8"/>
        <v>echo lootName31,DAIL/items/materia/class0017/Hunting31.dbr, &gt;&gt; .\items\loottables\dailoneskill0017.dbr</v>
      </c>
      <c r="X33" t="str">
        <f t="shared" si="8"/>
        <v>echo lootWeight31,1, &gt;&gt; .\items\loottables\dailoneskill0017.dbr</v>
      </c>
      <c r="Y33" s="5" t="s">
        <v>36</v>
      </c>
      <c r="Z33" t="str">
        <f t="shared" si="9"/>
        <v xml:space="preserve"> dailCompDescHunting31=^pHunting's Gift of DAIL</v>
      </c>
      <c r="AA33" t="str">
        <f t="shared" si="17"/>
        <v>dailCompTextHunting31=^oThis feels warm to the touch, almost familiar ^w(This component only fits into the Medal Slot)</v>
      </c>
      <c r="AB33" s="5" t="s">
        <v>36</v>
      </c>
      <c r="AH33">
        <f t="shared" si="19"/>
        <v>28</v>
      </c>
      <c r="AI33">
        <f t="shared" si="13"/>
        <v>34</v>
      </c>
      <c r="AJ33">
        <f t="shared" si="18"/>
        <v>3</v>
      </c>
    </row>
    <row r="34" spans="1:36" x14ac:dyDescent="0.25">
      <c r="A34" s="5" t="s">
        <v>39</v>
      </c>
      <c r="B34" s="5" t="s">
        <v>30</v>
      </c>
      <c r="C34" s="5" t="str">
        <f t="shared" si="0"/>
        <v>description,dailCompDescHunting32,</v>
      </c>
      <c r="D34" s="5" t="str">
        <f t="shared" si="2"/>
        <v>itemText,dailCompTextHunting32,</v>
      </c>
      <c r="E34" s="5" t="str">
        <f t="shared" si="14"/>
        <v>augmentSkillLevel1,3,</v>
      </c>
      <c r="F34" s="5" t="str">
        <f t="shared" si="15"/>
        <v>augmentSkillName1,records/skillshunting/herbalism.dbr,,</v>
      </c>
      <c r="G34" s="7">
        <f t="shared" si="10"/>
        <v>32</v>
      </c>
      <c r="H34" s="8" t="str">
        <f t="shared" si="11"/>
        <v>Hunting</v>
      </c>
      <c r="I34" s="3" t="s">
        <v>604</v>
      </c>
      <c r="J34" s="8" t="str">
        <f t="shared" si="20"/>
        <v>class0017</v>
      </c>
      <c r="K34" s="8" t="str">
        <f t="shared" si="20"/>
        <v>dailoneskill0017</v>
      </c>
      <c r="L34" s="5" t="str">
        <f t="shared" si="4"/>
        <v>lootName32,DAIL/items/materia/class0017/Hunting32.dbr,</v>
      </c>
      <c r="M34" s="5" t="str">
        <f t="shared" si="5"/>
        <v>lootWeight32,1,</v>
      </c>
      <c r="N34" t="str">
        <f t="shared" si="6"/>
        <v>3</v>
      </c>
      <c r="O34" t="str">
        <f t="shared" si="16"/>
        <v>copy .\dail_base3.dbr .\items\materia\class0017\Hunting32.dbr /y</v>
      </c>
      <c r="P34" t="str">
        <f t="shared" si="7"/>
        <v>echo relicBitmap,items/craftingparts/components/component_a52_bristlyfur_b.tex, &gt;&gt; .\items\materia\class0017\Hunting32.dbr</v>
      </c>
      <c r="Q34" t="str">
        <f t="shared" si="7"/>
        <v>echo itemCost,500000, &gt;&gt; .\items\materia\class0017\Hunting32.dbr</v>
      </c>
      <c r="R34" t="str">
        <f t="shared" si="7"/>
        <v>echo description,dailCompDescHunting32, &gt;&gt; .\items\materia\class0017\Hunting32.dbr</v>
      </c>
      <c r="S34" t="str">
        <f t="shared" si="7"/>
        <v>echo itemText,dailCompTextHunting32, &gt;&gt; .\items\materia\class0017\Hunting32.dbr</v>
      </c>
      <c r="T34" t="str">
        <f t="shared" si="7"/>
        <v>echo augmentSkillLevel1,3, &gt;&gt; .\items\materia\class0017\Hunting32.dbr</v>
      </c>
      <c r="U34" t="str">
        <f t="shared" si="7"/>
        <v>echo augmentSkillName1,records/skillshunting/herbalism.dbr,, &gt;&gt; .\items\materia\class0017\Hunting32.dbr</v>
      </c>
      <c r="V34" s="5" t="s">
        <v>36</v>
      </c>
      <c r="W34" t="str">
        <f t="shared" si="8"/>
        <v>echo lootName32,DAIL/items/materia/class0017/Hunting32.dbr, &gt;&gt; .\items\loottables\dailoneskill0017.dbr</v>
      </c>
      <c r="X34" t="str">
        <f t="shared" si="8"/>
        <v>echo lootWeight32,1, &gt;&gt; .\items\loottables\dailoneskill0017.dbr</v>
      </c>
      <c r="Y34" s="5" t="s">
        <v>36</v>
      </c>
      <c r="Z34" t="str">
        <f t="shared" si="9"/>
        <v xml:space="preserve"> dailCompDescHunting32=^pHunting's Gift of DAIL</v>
      </c>
      <c r="AA34" t="str">
        <f t="shared" si="17"/>
        <v>dailCompTextHunting32=^oThis feels warm to the touch, almost familiar ^w(This component only fits into the Medal Slot)</v>
      </c>
      <c r="AB34" s="5" t="s">
        <v>36</v>
      </c>
      <c r="AH34">
        <f t="shared" si="19"/>
        <v>29</v>
      </c>
      <c r="AI34">
        <f t="shared" si="13"/>
        <v>22</v>
      </c>
      <c r="AJ34">
        <f t="shared" si="18"/>
        <v>3</v>
      </c>
    </row>
    <row r="35" spans="1:36" x14ac:dyDescent="0.25">
      <c r="A35" s="5" t="s">
        <v>39</v>
      </c>
      <c r="B35" s="5" t="s">
        <v>30</v>
      </c>
      <c r="C35" s="5" t="str">
        <f t="shared" si="0"/>
        <v>description,dailCompDescHunting33,</v>
      </c>
      <c r="D35" s="5" t="str">
        <f t="shared" si="2"/>
        <v>itemText,dailCompTextHunting33,</v>
      </c>
      <c r="E35" s="5" t="str">
        <f t="shared" si="14"/>
        <v>augmentSkillLevel1,3,</v>
      </c>
      <c r="F35" s="5" t="str">
        <f t="shared" si="15"/>
        <v>augmentSkillName1,records/skillshunting/studyprey.dbr,,</v>
      </c>
      <c r="G35" s="7">
        <f t="shared" si="10"/>
        <v>33</v>
      </c>
      <c r="H35" s="8" t="str">
        <f t="shared" si="11"/>
        <v>Hunting</v>
      </c>
      <c r="I35" s="3" t="s">
        <v>605</v>
      </c>
      <c r="J35" s="8" t="str">
        <f t="shared" si="20"/>
        <v>class0017</v>
      </c>
      <c r="K35" s="8" t="str">
        <f t="shared" si="20"/>
        <v>dailoneskill0017</v>
      </c>
      <c r="L35" s="5" t="str">
        <f t="shared" si="4"/>
        <v>lootName33,DAIL/items/materia/class0017/Hunting33.dbr,</v>
      </c>
      <c r="M35" s="5" t="str">
        <f t="shared" si="5"/>
        <v>lootWeight33,1,</v>
      </c>
      <c r="N35" t="str">
        <f t="shared" si="6"/>
        <v>3</v>
      </c>
      <c r="O35" t="str">
        <f t="shared" si="16"/>
        <v>copy .\dail_base3.dbr .\items\materia\class0017\Hunting33.dbr /y</v>
      </c>
      <c r="P35" t="str">
        <f t="shared" si="7"/>
        <v>echo relicBitmap,items/craftingparts/components/component_a52_bristlyfur_b.tex, &gt;&gt; .\items\materia\class0017\Hunting33.dbr</v>
      </c>
      <c r="Q35" t="str">
        <f t="shared" si="7"/>
        <v>echo itemCost,500000, &gt;&gt; .\items\materia\class0017\Hunting33.dbr</v>
      </c>
      <c r="R35" t="str">
        <f t="shared" si="7"/>
        <v>echo description,dailCompDescHunting33, &gt;&gt; .\items\materia\class0017\Hunting33.dbr</v>
      </c>
      <c r="S35" t="str">
        <f t="shared" si="7"/>
        <v>echo itemText,dailCompTextHunting33, &gt;&gt; .\items\materia\class0017\Hunting33.dbr</v>
      </c>
      <c r="T35" t="str">
        <f t="shared" si="7"/>
        <v>echo augmentSkillLevel1,3, &gt;&gt; .\items\materia\class0017\Hunting33.dbr</v>
      </c>
      <c r="U35" t="str">
        <f t="shared" si="7"/>
        <v>echo augmentSkillName1,records/skillshunting/studyprey.dbr,, &gt;&gt; .\items\materia\class0017\Hunting33.dbr</v>
      </c>
      <c r="V35" s="5" t="s">
        <v>36</v>
      </c>
      <c r="W35" t="str">
        <f t="shared" si="8"/>
        <v>echo lootName33,DAIL/items/materia/class0017/Hunting33.dbr, &gt;&gt; .\items\loottables\dailoneskill0017.dbr</v>
      </c>
      <c r="X35" t="str">
        <f t="shared" si="8"/>
        <v>echo lootWeight33,1, &gt;&gt; .\items\loottables\dailoneskill0017.dbr</v>
      </c>
      <c r="Y35" s="5" t="s">
        <v>36</v>
      </c>
      <c r="Z35" t="str">
        <f t="shared" si="9"/>
        <v xml:space="preserve"> dailCompDescHunting33=^pHunting's Gift of DAIL</v>
      </c>
      <c r="AA35" t="str">
        <f t="shared" si="17"/>
        <v>dailCompTextHunting33=^oThis feels warm to the touch, almost familiar ^w(This component only fits into the Medal Slot)</v>
      </c>
      <c r="AB35" s="5" t="s">
        <v>36</v>
      </c>
      <c r="AH35">
        <f t="shared" si="19"/>
        <v>30</v>
      </c>
      <c r="AI35">
        <f t="shared" si="13"/>
        <v>22</v>
      </c>
      <c r="AJ35">
        <f t="shared" si="18"/>
        <v>3</v>
      </c>
    </row>
    <row r="36" spans="1:36" x14ac:dyDescent="0.25">
      <c r="A36" s="5" t="s">
        <v>39</v>
      </c>
      <c r="B36" s="5" t="s">
        <v>30</v>
      </c>
      <c r="C36" s="5" t="str">
        <f t="shared" si="0"/>
        <v>description,dailCompDescHunting34,</v>
      </c>
      <c r="D36" s="5" t="str">
        <f t="shared" si="2"/>
        <v>itemText,dailCompTextHunting34,</v>
      </c>
      <c r="E36" s="5" t="str">
        <f t="shared" si="14"/>
        <v>augmentSkillLevel1,3,</v>
      </c>
      <c r="F36" s="5" t="str">
        <f t="shared" si="15"/>
        <v>augmentSkillName1,records/skillshunting/studyprey_flushout.dbr,,</v>
      </c>
      <c r="G36" s="7">
        <f t="shared" si="10"/>
        <v>34</v>
      </c>
      <c r="H36" s="8" t="str">
        <f t="shared" si="11"/>
        <v>Hunting</v>
      </c>
      <c r="I36" s="3" t="s">
        <v>606</v>
      </c>
      <c r="J36" s="8" t="str">
        <f t="shared" si="20"/>
        <v>class0017</v>
      </c>
      <c r="K36" s="8" t="str">
        <f t="shared" si="20"/>
        <v>dailoneskill0017</v>
      </c>
      <c r="L36" s="5" t="str">
        <f t="shared" si="4"/>
        <v>lootName34,DAIL/items/materia/class0017/Hunting34.dbr,</v>
      </c>
      <c r="M36" s="5" t="str">
        <f t="shared" si="5"/>
        <v>lootWeight34,1,</v>
      </c>
      <c r="N36" t="str">
        <f t="shared" si="6"/>
        <v>3</v>
      </c>
      <c r="O36" t="str">
        <f t="shared" si="16"/>
        <v>copy .\dail_base3.dbr .\items\materia\class0017\Hunting34.dbr /y</v>
      </c>
      <c r="P36" t="str">
        <f t="shared" si="7"/>
        <v>echo relicBitmap,items/craftingparts/components/component_a52_bristlyfur_b.tex, &gt;&gt; .\items\materia\class0017\Hunting34.dbr</v>
      </c>
      <c r="Q36" t="str">
        <f t="shared" si="7"/>
        <v>echo itemCost,500000, &gt;&gt; .\items\materia\class0017\Hunting34.dbr</v>
      </c>
      <c r="R36" t="str">
        <f t="shared" si="7"/>
        <v>echo description,dailCompDescHunting34, &gt;&gt; .\items\materia\class0017\Hunting34.dbr</v>
      </c>
      <c r="S36" t="str">
        <f t="shared" si="7"/>
        <v>echo itemText,dailCompTextHunting34, &gt;&gt; .\items\materia\class0017\Hunting34.dbr</v>
      </c>
      <c r="T36" t="str">
        <f t="shared" si="7"/>
        <v>echo augmentSkillLevel1,3, &gt;&gt; .\items\materia\class0017\Hunting34.dbr</v>
      </c>
      <c r="U36" t="str">
        <f t="shared" si="7"/>
        <v>echo augmentSkillName1,records/skillshunting/studyprey_flushout.dbr,, &gt;&gt; .\items\materia\class0017\Hunting34.dbr</v>
      </c>
      <c r="V36" s="5" t="s">
        <v>36</v>
      </c>
      <c r="W36" t="str">
        <f t="shared" si="8"/>
        <v>echo lootName34,DAIL/items/materia/class0017/Hunting34.dbr, &gt;&gt; .\items\loottables\dailoneskill0017.dbr</v>
      </c>
      <c r="X36" t="str">
        <f t="shared" si="8"/>
        <v>echo lootWeight34,1, &gt;&gt; .\items\loottables\dailoneskill0017.dbr</v>
      </c>
      <c r="Y36" s="5" t="s">
        <v>36</v>
      </c>
      <c r="Z36" t="str">
        <f t="shared" si="9"/>
        <v xml:space="preserve"> dailCompDescHunting34=^pHunting's Gift of DAIL</v>
      </c>
      <c r="AA36" t="str">
        <f t="shared" si="17"/>
        <v>dailCompTextHunting34=^oThis feels warm to the touch, almost familiar ^w(This component only fits into the Medal Slot)</v>
      </c>
      <c r="AB36" s="5" t="s">
        <v>36</v>
      </c>
      <c r="AH36">
        <f t="shared" si="19"/>
        <v>31</v>
      </c>
      <c r="AI36">
        <f t="shared" si="13"/>
        <v>31</v>
      </c>
      <c r="AJ36">
        <f t="shared" si="18"/>
        <v>3</v>
      </c>
    </row>
    <row r="37" spans="1:36" x14ac:dyDescent="0.25">
      <c r="A37" s="5" t="s">
        <v>39</v>
      </c>
      <c r="B37" s="5" t="s">
        <v>30</v>
      </c>
      <c r="C37" s="5" t="str">
        <f t="shared" si="0"/>
        <v>description,dailCompDescHunting35,</v>
      </c>
      <c r="D37" s="5" t="str">
        <f t="shared" si="2"/>
        <v>itemText,dailCompTextHunting35,</v>
      </c>
      <c r="E37" s="5" t="str">
        <f t="shared" si="14"/>
        <v>augmentSkillLevel1,3,</v>
      </c>
      <c r="F37" s="5" t="str">
        <f t="shared" si="15"/>
        <v>augmentSkillName1,records/skillshunting/marksmanship.dbr,,</v>
      </c>
      <c r="G37" s="7">
        <f t="shared" si="10"/>
        <v>35</v>
      </c>
      <c r="H37" s="8" t="str">
        <f t="shared" si="11"/>
        <v>Hunting</v>
      </c>
      <c r="I37" s="3" t="s">
        <v>607</v>
      </c>
      <c r="J37" s="8" t="str">
        <f t="shared" ref="J37:K52" si="21">J36</f>
        <v>class0017</v>
      </c>
      <c r="K37" s="8" t="str">
        <f t="shared" si="21"/>
        <v>dailoneskill0017</v>
      </c>
      <c r="L37" s="5" t="str">
        <f t="shared" si="4"/>
        <v>lootName35,DAIL/items/materia/class0017/Hunting35.dbr,</v>
      </c>
      <c r="M37" s="5" t="str">
        <f t="shared" si="5"/>
        <v>lootWeight35,1,</v>
      </c>
      <c r="N37" t="str">
        <f t="shared" si="6"/>
        <v>3</v>
      </c>
      <c r="O37" t="str">
        <f t="shared" si="16"/>
        <v>copy .\dail_base3.dbr .\items\materia\class0017\Hunting35.dbr /y</v>
      </c>
      <c r="P37" t="str">
        <f t="shared" si="7"/>
        <v>echo relicBitmap,items/craftingparts/components/component_a52_bristlyfur_b.tex, &gt;&gt; .\items\materia\class0017\Hunting35.dbr</v>
      </c>
      <c r="Q37" t="str">
        <f t="shared" si="7"/>
        <v>echo itemCost,500000, &gt;&gt; .\items\materia\class0017\Hunting35.dbr</v>
      </c>
      <c r="R37" t="str">
        <f t="shared" si="7"/>
        <v>echo description,dailCompDescHunting35, &gt;&gt; .\items\materia\class0017\Hunting35.dbr</v>
      </c>
      <c r="S37" t="str">
        <f t="shared" si="7"/>
        <v>echo itemText,dailCompTextHunting35, &gt;&gt; .\items\materia\class0017\Hunting35.dbr</v>
      </c>
      <c r="T37" t="str">
        <f t="shared" si="7"/>
        <v>echo augmentSkillLevel1,3, &gt;&gt; .\items\materia\class0017\Hunting35.dbr</v>
      </c>
      <c r="U37" t="str">
        <f t="shared" si="7"/>
        <v>echo augmentSkillName1,records/skillshunting/marksmanship.dbr,, &gt;&gt; .\items\materia\class0017\Hunting35.dbr</v>
      </c>
      <c r="V37" s="5" t="s">
        <v>36</v>
      </c>
      <c r="W37" t="str">
        <f t="shared" si="8"/>
        <v>echo lootName35,DAIL/items/materia/class0017/Hunting35.dbr, &gt;&gt; .\items\loottables\dailoneskill0017.dbr</v>
      </c>
      <c r="X37" t="str">
        <f t="shared" si="8"/>
        <v>echo lootWeight35,1, &gt;&gt; .\items\loottables\dailoneskill0017.dbr</v>
      </c>
      <c r="Y37" s="5" t="s">
        <v>36</v>
      </c>
      <c r="Z37" t="str">
        <f t="shared" si="9"/>
        <v xml:space="preserve"> dailCompDescHunting35=^pHunting's Gift of DAIL</v>
      </c>
      <c r="AA37" t="str">
        <f t="shared" si="17"/>
        <v>dailCompTextHunting35=^oThis feels warm to the touch, almost familiar ^w(This component only fits into the Medal Slot)</v>
      </c>
      <c r="AB37" s="5" t="s">
        <v>36</v>
      </c>
      <c r="AH37">
        <f t="shared" si="19"/>
        <v>32</v>
      </c>
      <c r="AI37">
        <f t="shared" si="13"/>
        <v>25</v>
      </c>
      <c r="AJ37">
        <f t="shared" si="18"/>
        <v>3</v>
      </c>
    </row>
    <row r="38" spans="1:36" x14ac:dyDescent="0.25">
      <c r="A38" s="5" t="s">
        <v>39</v>
      </c>
      <c r="B38" s="5" t="s">
        <v>30</v>
      </c>
      <c r="C38" s="5" t="str">
        <f t="shared" si="0"/>
        <v>description,dailCompDescHunting36,</v>
      </c>
      <c r="D38" s="5" t="str">
        <f t="shared" si="2"/>
        <v>itemText,dailCompTextHunting36,</v>
      </c>
      <c r="E38" s="5" t="str">
        <f t="shared" si="14"/>
        <v>augmentSkillLevel1,3,</v>
      </c>
      <c r="F38" s="5" t="str">
        <f t="shared" si="15"/>
        <v>augmentSkillName1,records/skillshunting/marksmanship_punctureshotarrows.dbr,,</v>
      </c>
      <c r="G38" s="7">
        <f t="shared" si="10"/>
        <v>36</v>
      </c>
      <c r="H38" s="8" t="str">
        <f t="shared" si="11"/>
        <v>Hunting</v>
      </c>
      <c r="I38" s="3" t="s">
        <v>608</v>
      </c>
      <c r="J38" s="8" t="str">
        <f t="shared" si="21"/>
        <v>class0017</v>
      </c>
      <c r="K38" s="8" t="str">
        <f t="shared" si="21"/>
        <v>dailoneskill0017</v>
      </c>
      <c r="L38" s="5" t="str">
        <f t="shared" si="4"/>
        <v>lootName36,DAIL/items/materia/class0017/Hunting36.dbr,</v>
      </c>
      <c r="M38" s="5" t="str">
        <f t="shared" si="5"/>
        <v>lootWeight36,1,</v>
      </c>
      <c r="N38" t="str">
        <f t="shared" si="6"/>
        <v>3</v>
      </c>
      <c r="O38" t="str">
        <f t="shared" si="16"/>
        <v>copy .\dail_base3.dbr .\items\materia\class0017\Hunting36.dbr /y</v>
      </c>
      <c r="P38" t="str">
        <f t="shared" si="7"/>
        <v>echo relicBitmap,items/craftingparts/components/component_a52_bristlyfur_b.tex, &gt;&gt; .\items\materia\class0017\Hunting36.dbr</v>
      </c>
      <c r="Q38" t="str">
        <f t="shared" si="7"/>
        <v>echo itemCost,500000, &gt;&gt; .\items\materia\class0017\Hunting36.dbr</v>
      </c>
      <c r="R38" t="str">
        <f t="shared" si="7"/>
        <v>echo description,dailCompDescHunting36, &gt;&gt; .\items\materia\class0017\Hunting36.dbr</v>
      </c>
      <c r="S38" t="str">
        <f t="shared" si="7"/>
        <v>echo itemText,dailCompTextHunting36, &gt;&gt; .\items\materia\class0017\Hunting36.dbr</v>
      </c>
      <c r="T38" t="str">
        <f t="shared" si="7"/>
        <v>echo augmentSkillLevel1,3, &gt;&gt; .\items\materia\class0017\Hunting36.dbr</v>
      </c>
      <c r="U38" t="str">
        <f t="shared" si="7"/>
        <v>echo augmentSkillName1,records/skillshunting/marksmanship_punctureshotarrows.dbr,, &gt;&gt; .\items\materia\class0017\Hunting36.dbr</v>
      </c>
      <c r="V38" s="5" t="s">
        <v>36</v>
      </c>
      <c r="W38" t="str">
        <f t="shared" si="8"/>
        <v>echo lootName36,DAIL/items/materia/class0017/Hunting36.dbr, &gt;&gt; .\items\loottables\dailoneskill0017.dbr</v>
      </c>
      <c r="X38" t="str">
        <f t="shared" si="8"/>
        <v>echo lootWeight36,1, &gt;&gt; .\items\loottables\dailoneskill0017.dbr</v>
      </c>
      <c r="Y38" s="5" t="s">
        <v>36</v>
      </c>
      <c r="Z38" t="str">
        <f t="shared" si="9"/>
        <v xml:space="preserve"> dailCompDescHunting36=^pHunting's Gift of DAIL</v>
      </c>
      <c r="AA38" t="str">
        <f t="shared" si="17"/>
        <v>dailCompTextHunting36=^oThis feels warm to the touch, almost familiar ^w(This component only fits into the Medal Slot)</v>
      </c>
      <c r="AB38" s="5" t="s">
        <v>36</v>
      </c>
      <c r="AH38">
        <f t="shared" si="19"/>
        <v>33</v>
      </c>
      <c r="AI38">
        <f t="shared" si="13"/>
        <v>44</v>
      </c>
      <c r="AJ38">
        <f t="shared" si="18"/>
        <v>3</v>
      </c>
    </row>
    <row r="39" spans="1:36" x14ac:dyDescent="0.25">
      <c r="A39" s="5" t="s">
        <v>39</v>
      </c>
      <c r="B39" s="5" t="s">
        <v>30</v>
      </c>
      <c r="C39" s="5" t="str">
        <f t="shared" si="0"/>
        <v>description,dailCompDescHunting37,</v>
      </c>
      <c r="D39" s="5" t="str">
        <f t="shared" si="2"/>
        <v>itemText,dailCompTextHunting37,</v>
      </c>
      <c r="E39" s="5" t="str">
        <f t="shared" si="14"/>
        <v>augmentSkillLevel1,3,</v>
      </c>
      <c r="F39" s="5" t="str">
        <f t="shared" si="15"/>
        <v>augmentSkillName1,records/skillshunting/marksmanship_scattershotarrows.dbr,,</v>
      </c>
      <c r="G39" s="7">
        <f t="shared" si="10"/>
        <v>37</v>
      </c>
      <c r="H39" s="8" t="str">
        <f t="shared" si="11"/>
        <v>Hunting</v>
      </c>
      <c r="I39" s="3" t="s">
        <v>609</v>
      </c>
      <c r="J39" s="8" t="str">
        <f t="shared" si="21"/>
        <v>class0017</v>
      </c>
      <c r="K39" s="8" t="str">
        <f t="shared" si="21"/>
        <v>dailoneskill0017</v>
      </c>
      <c r="L39" s="5" t="str">
        <f t="shared" si="4"/>
        <v>lootName37,DAIL/items/materia/class0017/Hunting37.dbr,</v>
      </c>
      <c r="M39" s="5" t="str">
        <f t="shared" si="5"/>
        <v>lootWeight37,1,</v>
      </c>
      <c r="N39" t="str">
        <f t="shared" si="6"/>
        <v>3</v>
      </c>
      <c r="O39" t="str">
        <f t="shared" si="16"/>
        <v>copy .\dail_base3.dbr .\items\materia\class0017\Hunting37.dbr /y</v>
      </c>
      <c r="P39" t="str">
        <f t="shared" si="7"/>
        <v>echo relicBitmap,items/craftingparts/components/component_a52_bristlyfur_b.tex, &gt;&gt; .\items\materia\class0017\Hunting37.dbr</v>
      </c>
      <c r="Q39" t="str">
        <f t="shared" si="7"/>
        <v>echo itemCost,500000, &gt;&gt; .\items\materia\class0017\Hunting37.dbr</v>
      </c>
      <c r="R39" t="str">
        <f t="shared" si="7"/>
        <v>echo description,dailCompDescHunting37, &gt;&gt; .\items\materia\class0017\Hunting37.dbr</v>
      </c>
      <c r="S39" t="str">
        <f t="shared" si="7"/>
        <v>echo itemText,dailCompTextHunting37, &gt;&gt; .\items\materia\class0017\Hunting37.dbr</v>
      </c>
      <c r="T39" t="str">
        <f t="shared" si="7"/>
        <v>echo augmentSkillLevel1,3, &gt;&gt; .\items\materia\class0017\Hunting37.dbr</v>
      </c>
      <c r="U39" t="str">
        <f t="shared" si="7"/>
        <v>echo augmentSkillName1,records/skillshunting/marksmanship_scattershotarrows.dbr,, &gt;&gt; .\items\materia\class0017\Hunting37.dbr</v>
      </c>
      <c r="V39" s="5" t="s">
        <v>36</v>
      </c>
      <c r="W39" t="str">
        <f t="shared" si="8"/>
        <v>echo lootName37,DAIL/items/materia/class0017/Hunting37.dbr, &gt;&gt; .\items\loottables\dailoneskill0017.dbr</v>
      </c>
      <c r="X39" t="str">
        <f t="shared" si="8"/>
        <v>echo lootWeight37,1, &gt;&gt; .\items\loottables\dailoneskill0017.dbr</v>
      </c>
      <c r="Y39" s="5" t="s">
        <v>36</v>
      </c>
      <c r="Z39" t="str">
        <f t="shared" si="9"/>
        <v xml:space="preserve"> dailCompDescHunting37=^pHunting's Gift of DAIL</v>
      </c>
      <c r="AA39" t="str">
        <f t="shared" si="17"/>
        <v>dailCompTextHunting37=^oThis feels warm to the touch, almost familiar ^w(This component only fits into the Medal Slot)</v>
      </c>
      <c r="AB39" s="5" t="s">
        <v>36</v>
      </c>
      <c r="AH39">
        <f t="shared" si="19"/>
        <v>34</v>
      </c>
      <c r="AI39">
        <f t="shared" si="13"/>
        <v>43</v>
      </c>
      <c r="AJ39">
        <f t="shared" si="18"/>
        <v>3</v>
      </c>
    </row>
    <row r="40" spans="1:36" x14ac:dyDescent="0.25">
      <c r="A40" s="5" t="s">
        <v>39</v>
      </c>
      <c r="B40" s="5" t="s">
        <v>30</v>
      </c>
      <c r="C40" s="5" t="str">
        <f t="shared" si="0"/>
        <v>description,dailCompDescHunting38,</v>
      </c>
      <c r="D40" s="5" t="str">
        <f t="shared" si="2"/>
        <v>itemText,dailCompTextHunting38,</v>
      </c>
      <c r="E40" s="5" t="str">
        <f t="shared" si="14"/>
        <v>augmentSkillLevel1,3,</v>
      </c>
      <c r="F40" s="5" t="str">
        <f t="shared" si="15"/>
        <v>augmentSkillName1,records/skillshunting/weaponskill_gouge.dbr,,</v>
      </c>
      <c r="G40" s="7">
        <f t="shared" si="10"/>
        <v>38</v>
      </c>
      <c r="H40" s="8" t="str">
        <f t="shared" si="11"/>
        <v>Hunting</v>
      </c>
      <c r="I40" s="3" t="s">
        <v>610</v>
      </c>
      <c r="J40" s="8" t="str">
        <f t="shared" si="21"/>
        <v>class0017</v>
      </c>
      <c r="K40" s="8" t="str">
        <f t="shared" si="21"/>
        <v>dailoneskill0017</v>
      </c>
      <c r="L40" s="5" t="str">
        <f t="shared" si="4"/>
        <v>lootName38,DAIL/items/materia/class0017/Hunting38.dbr,</v>
      </c>
      <c r="M40" s="5" t="str">
        <f t="shared" si="5"/>
        <v>lootWeight38,1,</v>
      </c>
      <c r="N40" t="str">
        <f t="shared" si="6"/>
        <v>3</v>
      </c>
      <c r="O40" t="str">
        <f t="shared" si="16"/>
        <v>copy .\dail_base3.dbr .\items\materia\class0017\Hunting38.dbr /y</v>
      </c>
      <c r="P40" t="str">
        <f t="shared" si="7"/>
        <v>echo relicBitmap,items/craftingparts/components/component_a52_bristlyfur_b.tex, &gt;&gt; .\items\materia\class0017\Hunting38.dbr</v>
      </c>
      <c r="Q40" t="str">
        <f t="shared" si="7"/>
        <v>echo itemCost,500000, &gt;&gt; .\items\materia\class0017\Hunting38.dbr</v>
      </c>
      <c r="R40" t="str">
        <f t="shared" si="7"/>
        <v>echo description,dailCompDescHunting38, &gt;&gt; .\items\materia\class0017\Hunting38.dbr</v>
      </c>
      <c r="S40" t="str">
        <f t="shared" si="7"/>
        <v>echo itemText,dailCompTextHunting38, &gt;&gt; .\items\materia\class0017\Hunting38.dbr</v>
      </c>
      <c r="T40" t="str">
        <f t="shared" si="7"/>
        <v>echo augmentSkillLevel1,3, &gt;&gt; .\items\materia\class0017\Hunting38.dbr</v>
      </c>
      <c r="U40" t="str">
        <f t="shared" si="7"/>
        <v>echo augmentSkillName1,records/skillshunting/weaponskill_gouge.dbr,, &gt;&gt; .\items\materia\class0017\Hunting38.dbr</v>
      </c>
      <c r="V40" s="5" t="s">
        <v>36</v>
      </c>
      <c r="W40" t="str">
        <f t="shared" si="8"/>
        <v>echo lootName38,DAIL/items/materia/class0017/Hunting38.dbr, &gt;&gt; .\items\loottables\dailoneskill0017.dbr</v>
      </c>
      <c r="X40" t="str">
        <f t="shared" si="8"/>
        <v>echo lootWeight38,1, &gt;&gt; .\items\loottables\dailoneskill0017.dbr</v>
      </c>
      <c r="Y40" s="5" t="s">
        <v>36</v>
      </c>
      <c r="Z40" t="str">
        <f t="shared" si="9"/>
        <v xml:space="preserve"> dailCompDescHunting38=^pHunting's Gift of DAIL</v>
      </c>
      <c r="AA40" t="str">
        <f t="shared" si="17"/>
        <v>dailCompTextHunting38=^oThis feels warm to the touch, almost familiar ^w(This component only fits into the Medal Slot)</v>
      </c>
      <c r="AB40" s="5" t="s">
        <v>36</v>
      </c>
      <c r="AH40">
        <f t="shared" si="19"/>
        <v>35</v>
      </c>
      <c r="AI40">
        <f t="shared" si="13"/>
        <v>30</v>
      </c>
      <c r="AJ40">
        <f t="shared" si="18"/>
        <v>3</v>
      </c>
    </row>
    <row r="41" spans="1:36" x14ac:dyDescent="0.25">
      <c r="A41" s="5" t="s">
        <v>39</v>
      </c>
      <c r="B41" s="5" t="s">
        <v>30</v>
      </c>
      <c r="C41" s="5" t="str">
        <f t="shared" si="0"/>
        <v>description,dailCompDescHunting39,</v>
      </c>
      <c r="D41" s="5" t="str">
        <f t="shared" si="2"/>
        <v>itemText,dailCompTextHunting39,</v>
      </c>
      <c r="E41" s="5" t="str">
        <f t="shared" si="14"/>
        <v>augmentSkillLevel1,3,</v>
      </c>
      <c r="F41" s="5" t="str">
        <f t="shared" si="15"/>
        <v>augmentSkillName1,records/skillshunting/weaponskill_volley.dbr,,</v>
      </c>
      <c r="G41" s="7">
        <f t="shared" si="10"/>
        <v>39</v>
      </c>
      <c r="H41" s="8" t="str">
        <f t="shared" si="11"/>
        <v>Hunting</v>
      </c>
      <c r="I41" s="3" t="s">
        <v>611</v>
      </c>
      <c r="J41" s="8" t="str">
        <f t="shared" si="21"/>
        <v>class0017</v>
      </c>
      <c r="K41" s="8" t="str">
        <f t="shared" si="21"/>
        <v>dailoneskill0017</v>
      </c>
      <c r="L41" s="5" t="str">
        <f t="shared" si="4"/>
        <v>lootName39,DAIL/items/materia/class0017/Hunting39.dbr,</v>
      </c>
      <c r="M41" s="5" t="str">
        <f t="shared" si="5"/>
        <v>lootWeight39,1,</v>
      </c>
      <c r="N41" t="str">
        <f t="shared" si="6"/>
        <v>3</v>
      </c>
      <c r="O41" t="str">
        <f t="shared" si="16"/>
        <v>copy .\dail_base3.dbr .\items\materia\class0017\Hunting39.dbr /y</v>
      </c>
      <c r="P41" t="str">
        <f t="shared" si="7"/>
        <v>echo relicBitmap,items/craftingparts/components/component_a52_bristlyfur_b.tex, &gt;&gt; .\items\materia\class0017\Hunting39.dbr</v>
      </c>
      <c r="Q41" t="str">
        <f t="shared" si="7"/>
        <v>echo itemCost,500000, &gt;&gt; .\items\materia\class0017\Hunting39.dbr</v>
      </c>
      <c r="R41" t="str">
        <f t="shared" si="7"/>
        <v>echo description,dailCompDescHunting39, &gt;&gt; .\items\materia\class0017\Hunting39.dbr</v>
      </c>
      <c r="S41" t="str">
        <f t="shared" si="7"/>
        <v>echo itemText,dailCompTextHunting39, &gt;&gt; .\items\materia\class0017\Hunting39.dbr</v>
      </c>
      <c r="T41" t="str">
        <f t="shared" si="7"/>
        <v>echo augmentSkillLevel1,3, &gt;&gt; .\items\materia\class0017\Hunting39.dbr</v>
      </c>
      <c r="U41" t="str">
        <f t="shared" si="7"/>
        <v>echo augmentSkillName1,records/skillshunting/weaponskill_volley.dbr,, &gt;&gt; .\items\materia\class0017\Hunting39.dbr</v>
      </c>
      <c r="V41" s="5" t="s">
        <v>36</v>
      </c>
      <c r="W41" t="str">
        <f t="shared" si="8"/>
        <v>echo lootName39,DAIL/items/materia/class0017/Hunting39.dbr, &gt;&gt; .\items\loottables\dailoneskill0017.dbr</v>
      </c>
      <c r="X41" t="str">
        <f t="shared" si="8"/>
        <v>echo lootWeight39,1, &gt;&gt; .\items\loottables\dailoneskill0017.dbr</v>
      </c>
      <c r="Y41" s="5" t="s">
        <v>36</v>
      </c>
      <c r="Z41" t="str">
        <f t="shared" si="9"/>
        <v xml:space="preserve"> dailCompDescHunting39=^pHunting's Gift of DAIL</v>
      </c>
      <c r="AA41" t="str">
        <f t="shared" si="17"/>
        <v>dailCompTextHunting39=^oThis feels warm to the touch, almost familiar ^w(This component only fits into the Medal Slot)</v>
      </c>
      <c r="AB41" s="5" t="s">
        <v>36</v>
      </c>
      <c r="AH41">
        <f t="shared" si="19"/>
        <v>36</v>
      </c>
      <c r="AI41">
        <f t="shared" si="13"/>
        <v>31</v>
      </c>
      <c r="AJ41">
        <f t="shared" si="18"/>
        <v>3</v>
      </c>
    </row>
    <row r="42" spans="1:36" x14ac:dyDescent="0.25">
      <c r="A42" s="5" t="s">
        <v>39</v>
      </c>
      <c r="B42" s="5" t="s">
        <v>30</v>
      </c>
      <c r="C42" s="5" t="str">
        <f t="shared" si="0"/>
        <v>description,dailCompDescHunting40,</v>
      </c>
      <c r="D42" s="5" t="str">
        <f t="shared" si="2"/>
        <v>itemText,dailCompTextHunting40,</v>
      </c>
      <c r="E42" s="5" t="str">
        <f t="shared" si="14"/>
        <v>augmentSkillLevel1,3,</v>
      </c>
      <c r="F42" s="5" t="str">
        <f t="shared" si="15"/>
        <v>augmentSkillName1,records/skillshunting/takedown.dbr,,</v>
      </c>
      <c r="G42" s="7">
        <f t="shared" si="10"/>
        <v>40</v>
      </c>
      <c r="H42" s="8" t="str">
        <f t="shared" si="11"/>
        <v>Hunting</v>
      </c>
      <c r="I42" s="3" t="s">
        <v>612</v>
      </c>
      <c r="J42" s="8" t="str">
        <f t="shared" si="21"/>
        <v>class0017</v>
      </c>
      <c r="K42" s="8" t="str">
        <f t="shared" si="21"/>
        <v>dailoneskill0017</v>
      </c>
      <c r="L42" s="5" t="str">
        <f t="shared" si="4"/>
        <v>lootName40,DAIL/items/materia/class0017/Hunting40.dbr,</v>
      </c>
      <c r="M42" s="5" t="str">
        <f t="shared" si="5"/>
        <v>lootWeight40,1,</v>
      </c>
      <c r="N42" t="str">
        <f t="shared" si="6"/>
        <v>3</v>
      </c>
      <c r="O42" t="str">
        <f t="shared" si="16"/>
        <v>copy .\dail_base3.dbr .\items\materia\class0017\Hunting40.dbr /y</v>
      </c>
      <c r="P42" t="str">
        <f t="shared" si="7"/>
        <v>echo relicBitmap,items/craftingparts/components/component_a52_bristlyfur_b.tex, &gt;&gt; .\items\materia\class0017\Hunting40.dbr</v>
      </c>
      <c r="Q42" t="str">
        <f t="shared" si="7"/>
        <v>echo itemCost,500000, &gt;&gt; .\items\materia\class0017\Hunting40.dbr</v>
      </c>
      <c r="R42" t="str">
        <f t="shared" si="7"/>
        <v>echo description,dailCompDescHunting40, &gt;&gt; .\items\materia\class0017\Hunting40.dbr</v>
      </c>
      <c r="S42" t="str">
        <f t="shared" si="7"/>
        <v>echo itemText,dailCompTextHunting40, &gt;&gt; .\items\materia\class0017\Hunting40.dbr</v>
      </c>
      <c r="T42" t="str">
        <f t="shared" si="7"/>
        <v>echo augmentSkillLevel1,3, &gt;&gt; .\items\materia\class0017\Hunting40.dbr</v>
      </c>
      <c r="U42" t="str">
        <f t="shared" si="7"/>
        <v>echo augmentSkillName1,records/skillshunting/takedown.dbr,, &gt;&gt; .\items\materia\class0017\Hunting40.dbr</v>
      </c>
      <c r="V42" s="5" t="s">
        <v>36</v>
      </c>
      <c r="W42" t="str">
        <f t="shared" si="8"/>
        <v>echo lootName40,DAIL/items/materia/class0017/Hunting40.dbr, &gt;&gt; .\items\loottables\dailoneskill0017.dbr</v>
      </c>
      <c r="X42" t="str">
        <f t="shared" si="8"/>
        <v>echo lootWeight40,1, &gt;&gt; .\items\loottables\dailoneskill0017.dbr</v>
      </c>
      <c r="Y42" s="5" t="s">
        <v>36</v>
      </c>
      <c r="Z42" t="str">
        <f t="shared" si="9"/>
        <v xml:space="preserve"> dailCompDescHunting40=^pHunting's Gift of DAIL</v>
      </c>
      <c r="AA42" t="str">
        <f t="shared" si="17"/>
        <v>dailCompTextHunting40=^oThis feels warm to the touch, almost familiar ^w(This component only fits into the Medal Slot)</v>
      </c>
      <c r="AB42" s="5" t="s">
        <v>36</v>
      </c>
      <c r="AH42">
        <f t="shared" si="19"/>
        <v>37</v>
      </c>
      <c r="AI42">
        <f t="shared" si="13"/>
        <v>21</v>
      </c>
      <c r="AJ42">
        <f t="shared" si="18"/>
        <v>3</v>
      </c>
    </row>
    <row r="43" spans="1:36" x14ac:dyDescent="0.25">
      <c r="A43" s="5" t="s">
        <v>39</v>
      </c>
      <c r="B43" s="5" t="s">
        <v>30</v>
      </c>
      <c r="C43" s="5" t="str">
        <f t="shared" si="0"/>
        <v>description,dailCompDescHunting41,</v>
      </c>
      <c r="D43" s="5" t="str">
        <f t="shared" si="2"/>
        <v>itemText,dailCompTextHunting41,</v>
      </c>
      <c r="E43" s="5" t="str">
        <f t="shared" si="14"/>
        <v>augmentSkillLevel1,3,</v>
      </c>
      <c r="F43" s="5" t="str">
        <f t="shared" si="15"/>
        <v>augmentSkillName1,records/skillshunting/takedown_eviscerate.dbr,,</v>
      </c>
      <c r="G43" s="7">
        <f t="shared" si="10"/>
        <v>41</v>
      </c>
      <c r="H43" s="8" t="str">
        <f t="shared" si="11"/>
        <v>Hunting</v>
      </c>
      <c r="I43" s="3" t="s">
        <v>613</v>
      </c>
      <c r="J43" s="8" t="str">
        <f t="shared" si="21"/>
        <v>class0017</v>
      </c>
      <c r="K43" s="8" t="str">
        <f t="shared" si="21"/>
        <v>dailoneskill0017</v>
      </c>
      <c r="L43" s="5" t="str">
        <f t="shared" si="4"/>
        <v>lootName41,DAIL/items/materia/class0017/Hunting41.dbr,</v>
      </c>
      <c r="M43" s="5" t="str">
        <f t="shared" si="5"/>
        <v>lootWeight41,1,</v>
      </c>
      <c r="N43" t="str">
        <f t="shared" si="6"/>
        <v>3</v>
      </c>
      <c r="O43" t="str">
        <f t="shared" si="16"/>
        <v>copy .\dail_base3.dbr .\items\materia\class0017\Hunting41.dbr /y</v>
      </c>
      <c r="P43" t="str">
        <f t="shared" si="7"/>
        <v>echo relicBitmap,items/craftingparts/components/component_a52_bristlyfur_b.tex, &gt;&gt; .\items\materia\class0017\Hunting41.dbr</v>
      </c>
      <c r="Q43" t="str">
        <f t="shared" si="7"/>
        <v>echo itemCost,500000, &gt;&gt; .\items\materia\class0017\Hunting41.dbr</v>
      </c>
      <c r="R43" t="str">
        <f t="shared" si="7"/>
        <v>echo description,dailCompDescHunting41, &gt;&gt; .\items\materia\class0017\Hunting41.dbr</v>
      </c>
      <c r="S43" t="str">
        <f t="shared" si="7"/>
        <v>echo itemText,dailCompTextHunting41, &gt;&gt; .\items\materia\class0017\Hunting41.dbr</v>
      </c>
      <c r="T43" t="str">
        <f t="shared" si="7"/>
        <v>echo augmentSkillLevel1,3, &gt;&gt; .\items\materia\class0017\Hunting41.dbr</v>
      </c>
      <c r="U43" t="str">
        <f t="shared" si="7"/>
        <v>echo augmentSkillName1,records/skillshunting/takedown_eviscerate.dbr,, &gt;&gt; .\items\materia\class0017\Hunting41.dbr</v>
      </c>
      <c r="V43" s="5" t="s">
        <v>36</v>
      </c>
      <c r="W43" t="str">
        <f t="shared" si="8"/>
        <v>echo lootName41,DAIL/items/materia/class0017/Hunting41.dbr, &gt;&gt; .\items\loottables\dailoneskill0017.dbr</v>
      </c>
      <c r="X43" t="str">
        <f t="shared" si="8"/>
        <v>echo lootWeight41,1, &gt;&gt; .\items\loottables\dailoneskill0017.dbr</v>
      </c>
      <c r="Y43" s="5" t="s">
        <v>36</v>
      </c>
      <c r="Z43" t="str">
        <f t="shared" si="9"/>
        <v xml:space="preserve"> dailCompDescHunting41=^pHunting's Gift of DAIL</v>
      </c>
      <c r="AA43" t="str">
        <f t="shared" si="17"/>
        <v>dailCompTextHunting41=^oThis feels warm to the touch, almost familiar ^w(This component only fits into the Medal Slot)</v>
      </c>
      <c r="AB43" s="5" t="s">
        <v>36</v>
      </c>
      <c r="AH43">
        <f t="shared" si="19"/>
        <v>38</v>
      </c>
      <c r="AI43">
        <f t="shared" si="13"/>
        <v>32</v>
      </c>
      <c r="AJ43">
        <f t="shared" si="18"/>
        <v>3</v>
      </c>
    </row>
    <row r="44" spans="1:36" x14ac:dyDescent="0.25">
      <c r="A44" s="5" t="s">
        <v>39</v>
      </c>
      <c r="B44" s="5" t="s">
        <v>30</v>
      </c>
      <c r="C44" s="5" t="str">
        <f t="shared" si="0"/>
        <v>description,dailCompDescHunting42,</v>
      </c>
      <c r="D44" s="5" t="str">
        <f t="shared" si="2"/>
        <v>itemText,dailCompTextHunting42,</v>
      </c>
      <c r="E44" s="5" t="str">
        <f t="shared" si="14"/>
        <v>augmentSkillLevel1,3,</v>
      </c>
      <c r="F44" s="5" t="str">
        <f t="shared" si="15"/>
        <v>augmentSkillName1,records/skillshunting/monsterlure.dbr,,</v>
      </c>
      <c r="G44" s="7">
        <f t="shared" si="10"/>
        <v>42</v>
      </c>
      <c r="H44" s="8" t="str">
        <f t="shared" si="11"/>
        <v>Hunting</v>
      </c>
      <c r="I44" s="3" t="s">
        <v>614</v>
      </c>
      <c r="J44" s="8" t="str">
        <f t="shared" si="21"/>
        <v>class0017</v>
      </c>
      <c r="K44" s="8" t="str">
        <f t="shared" si="21"/>
        <v>dailoneskill0017</v>
      </c>
      <c r="L44" s="5" t="str">
        <f t="shared" si="4"/>
        <v>lootName42,DAIL/items/materia/class0017/Hunting42.dbr,</v>
      </c>
      <c r="M44" s="5" t="str">
        <f t="shared" si="5"/>
        <v>lootWeight42,1,</v>
      </c>
      <c r="N44" t="str">
        <f t="shared" si="6"/>
        <v>3</v>
      </c>
      <c r="O44" t="str">
        <f t="shared" si="16"/>
        <v>copy .\dail_base3.dbr .\items\materia\class0017\Hunting42.dbr /y</v>
      </c>
      <c r="P44" t="str">
        <f t="shared" si="7"/>
        <v>echo relicBitmap,items/craftingparts/components/component_a52_bristlyfur_b.tex, &gt;&gt; .\items\materia\class0017\Hunting42.dbr</v>
      </c>
      <c r="Q44" t="str">
        <f t="shared" si="7"/>
        <v>echo itemCost,500000, &gt;&gt; .\items\materia\class0017\Hunting42.dbr</v>
      </c>
      <c r="R44" t="str">
        <f t="shared" si="7"/>
        <v>echo description,dailCompDescHunting42, &gt;&gt; .\items\materia\class0017\Hunting42.dbr</v>
      </c>
      <c r="S44" t="str">
        <f t="shared" si="7"/>
        <v>echo itemText,dailCompTextHunting42, &gt;&gt; .\items\materia\class0017\Hunting42.dbr</v>
      </c>
      <c r="T44" t="str">
        <f t="shared" si="7"/>
        <v>echo augmentSkillLevel1,3, &gt;&gt; .\items\materia\class0017\Hunting42.dbr</v>
      </c>
      <c r="U44" t="str">
        <f t="shared" si="7"/>
        <v>echo augmentSkillName1,records/skillshunting/monsterlure.dbr,, &gt;&gt; .\items\materia\class0017\Hunting42.dbr</v>
      </c>
      <c r="V44" s="5" t="s">
        <v>36</v>
      </c>
      <c r="W44" t="str">
        <f t="shared" si="8"/>
        <v>echo lootName42,DAIL/items/materia/class0017/Hunting42.dbr, &gt;&gt; .\items\loottables\dailoneskill0017.dbr</v>
      </c>
      <c r="X44" t="str">
        <f t="shared" si="8"/>
        <v>echo lootWeight42,1, &gt;&gt; .\items\loottables\dailoneskill0017.dbr</v>
      </c>
      <c r="Y44" s="5" t="s">
        <v>36</v>
      </c>
      <c r="Z44" t="str">
        <f t="shared" si="9"/>
        <v xml:space="preserve"> dailCompDescHunting42=^pHunting's Gift of DAIL</v>
      </c>
      <c r="AA44" t="str">
        <f t="shared" si="17"/>
        <v>dailCompTextHunting42=^oThis feels warm to the touch, almost familiar ^w(This component only fits into the Medal Slot)</v>
      </c>
      <c r="AB44" s="5" t="s">
        <v>36</v>
      </c>
      <c r="AH44">
        <f t="shared" si="19"/>
        <v>39</v>
      </c>
      <c r="AI44">
        <f t="shared" si="13"/>
        <v>24</v>
      </c>
      <c r="AJ44">
        <f t="shared" si="18"/>
        <v>3</v>
      </c>
    </row>
    <row r="45" spans="1:36" x14ac:dyDescent="0.25">
      <c r="A45" s="5" t="s">
        <v>39</v>
      </c>
      <c r="B45" s="5" t="s">
        <v>30</v>
      </c>
      <c r="C45" s="5" t="str">
        <f t="shared" si="0"/>
        <v>description,dailCompDescHunting43,</v>
      </c>
      <c r="D45" s="5" t="str">
        <f t="shared" si="2"/>
        <v>itemText,dailCompTextHunting43,</v>
      </c>
      <c r="E45" s="5" t="str">
        <f t="shared" si="14"/>
        <v>augmentSkillLevel1,5,</v>
      </c>
      <c r="F45" s="5" t="str">
        <f t="shared" si="15"/>
        <v>augmentSkillName1,records/skillshunting/monsterlure_petmodifier_detonate.dbr,,</v>
      </c>
      <c r="G45" s="7">
        <f t="shared" si="10"/>
        <v>43</v>
      </c>
      <c r="H45" s="8" t="str">
        <f t="shared" si="11"/>
        <v>Hunting</v>
      </c>
      <c r="I45" s="3" t="s">
        <v>615</v>
      </c>
      <c r="J45" s="8" t="str">
        <f t="shared" si="21"/>
        <v>class0017</v>
      </c>
      <c r="K45" s="8" t="str">
        <f t="shared" si="21"/>
        <v>dailoneskill0017</v>
      </c>
      <c r="L45" s="5" t="str">
        <f t="shared" si="4"/>
        <v>lootName43,DAIL/items/materia/class0017/Hunting43.dbr,</v>
      </c>
      <c r="M45" s="5" t="str">
        <f t="shared" si="5"/>
        <v>lootWeight43,1,</v>
      </c>
      <c r="N45" t="str">
        <f t="shared" si="6"/>
        <v>5</v>
      </c>
      <c r="O45" t="str">
        <f t="shared" si="16"/>
        <v>copy .\dail_base3.dbr .\items\materia\class0017\Hunting43.dbr /y</v>
      </c>
      <c r="P45" t="str">
        <f t="shared" si="7"/>
        <v>echo relicBitmap,items/craftingparts/components/component_a52_bristlyfur_b.tex, &gt;&gt; .\items\materia\class0017\Hunting43.dbr</v>
      </c>
      <c r="Q45" t="str">
        <f t="shared" si="7"/>
        <v>echo itemCost,500000, &gt;&gt; .\items\materia\class0017\Hunting43.dbr</v>
      </c>
      <c r="R45" t="str">
        <f t="shared" si="7"/>
        <v>echo description,dailCompDescHunting43, &gt;&gt; .\items\materia\class0017\Hunting43.dbr</v>
      </c>
      <c r="S45" t="str">
        <f t="shared" si="7"/>
        <v>echo itemText,dailCompTextHunting43, &gt;&gt; .\items\materia\class0017\Hunting43.dbr</v>
      </c>
      <c r="T45" t="str">
        <f t="shared" si="7"/>
        <v>echo augmentSkillLevel1,5, &gt;&gt; .\items\materia\class0017\Hunting43.dbr</v>
      </c>
      <c r="U45" t="str">
        <f t="shared" si="7"/>
        <v>echo augmentSkillName1,records/skillshunting/monsterlure_petmodifier_detonate.dbr,, &gt;&gt; .\items\materia\class0017\Hunting43.dbr</v>
      </c>
      <c r="V45" s="5" t="s">
        <v>36</v>
      </c>
      <c r="W45" t="str">
        <f t="shared" si="8"/>
        <v>echo lootName43,DAIL/items/materia/class0017/Hunting43.dbr, &gt;&gt; .\items\loottables\dailoneskill0017.dbr</v>
      </c>
      <c r="X45" t="str">
        <f t="shared" si="8"/>
        <v>echo lootWeight43,1, &gt;&gt; .\items\loottables\dailoneskill0017.dbr</v>
      </c>
      <c r="Y45" s="5" t="s">
        <v>36</v>
      </c>
      <c r="Z45" t="str">
        <f t="shared" si="9"/>
        <v xml:space="preserve"> dailCompDescHunting43=^pHunting's Gift of DAIL</v>
      </c>
      <c r="AA45" t="str">
        <f t="shared" si="17"/>
        <v>dailCompTextHunting43=^oThis feels warm to the touch, almost familiar ^w(This component only fits into the Medal Slot)</v>
      </c>
      <c r="AB45" s="5" t="s">
        <v>36</v>
      </c>
      <c r="AH45">
        <f t="shared" si="19"/>
        <v>40</v>
      </c>
      <c r="AI45">
        <f t="shared" si="13"/>
        <v>45</v>
      </c>
      <c r="AJ45">
        <f t="shared" si="18"/>
        <v>5</v>
      </c>
    </row>
    <row r="46" spans="1:36" x14ac:dyDescent="0.25">
      <c r="A46" s="5" t="s">
        <v>39</v>
      </c>
      <c r="B46" s="5" t="s">
        <v>30</v>
      </c>
      <c r="C46" s="5" t="str">
        <f t="shared" si="0"/>
        <v>description,dailCompDescHunting44,</v>
      </c>
      <c r="D46" s="5" t="str">
        <f t="shared" si="2"/>
        <v>itemText,dailCompTextHunting44,</v>
      </c>
      <c r="E46" s="5" t="str">
        <f t="shared" si="14"/>
        <v>augmentSkillLevel1,5,</v>
      </c>
      <c r="F46" s="5" t="str">
        <f t="shared" si="15"/>
        <v>augmentSkillName1,records/skillshunting/woodlore.dbr,,</v>
      </c>
      <c r="G46" s="7">
        <f t="shared" si="10"/>
        <v>44</v>
      </c>
      <c r="H46" s="8" t="str">
        <f t="shared" si="11"/>
        <v>Hunting</v>
      </c>
      <c r="I46" s="3" t="s">
        <v>596</v>
      </c>
      <c r="J46" s="8" t="str">
        <f t="shared" si="21"/>
        <v>class0017</v>
      </c>
      <c r="K46" s="8" t="str">
        <f t="shared" si="21"/>
        <v>dailoneskill0017</v>
      </c>
      <c r="L46" s="5" t="str">
        <f t="shared" si="4"/>
        <v>lootName44,DAIL/items/materia/class0017/Hunting44.dbr,</v>
      </c>
      <c r="M46" s="5" t="str">
        <f t="shared" si="5"/>
        <v>lootWeight44,1,</v>
      </c>
      <c r="N46" t="str">
        <f t="shared" si="6"/>
        <v>5</v>
      </c>
      <c r="O46" t="str">
        <f t="shared" si="16"/>
        <v>copy .\dail_base3.dbr .\items\materia\class0017\Hunting44.dbr /y</v>
      </c>
      <c r="P46" t="str">
        <f t="shared" si="7"/>
        <v>echo relicBitmap,items/craftingparts/components/component_a52_bristlyfur_b.tex, &gt;&gt; .\items\materia\class0017\Hunting44.dbr</v>
      </c>
      <c r="Q46" t="str">
        <f t="shared" si="7"/>
        <v>echo itemCost,500000, &gt;&gt; .\items\materia\class0017\Hunting44.dbr</v>
      </c>
      <c r="R46" t="str">
        <f t="shared" si="7"/>
        <v>echo description,dailCompDescHunting44, &gt;&gt; .\items\materia\class0017\Hunting44.dbr</v>
      </c>
      <c r="S46" t="str">
        <f t="shared" si="7"/>
        <v>echo itemText,dailCompTextHunting44, &gt;&gt; .\items\materia\class0017\Hunting44.dbr</v>
      </c>
      <c r="T46" t="str">
        <f t="shared" si="7"/>
        <v>echo augmentSkillLevel1,5, &gt;&gt; .\items\materia\class0017\Hunting44.dbr</v>
      </c>
      <c r="U46" t="str">
        <f t="shared" si="7"/>
        <v>echo augmentSkillName1,records/skillshunting/woodlore.dbr,, &gt;&gt; .\items\materia\class0017\Hunting44.dbr</v>
      </c>
      <c r="V46" s="5" t="s">
        <v>36</v>
      </c>
      <c r="W46" t="str">
        <f t="shared" si="8"/>
        <v>echo lootName44,DAIL/items/materia/class0017/Hunting44.dbr, &gt;&gt; .\items\loottables\dailoneskill0017.dbr</v>
      </c>
      <c r="X46" t="str">
        <f t="shared" si="8"/>
        <v>echo lootWeight44,1, &gt;&gt; .\items\loottables\dailoneskill0017.dbr</v>
      </c>
      <c r="Y46" s="5" t="s">
        <v>36</v>
      </c>
      <c r="Z46" t="str">
        <f t="shared" si="9"/>
        <v xml:space="preserve"> dailCompDescHunting44=^pHunting's Gift of DAIL</v>
      </c>
      <c r="AA46" t="str">
        <f t="shared" si="17"/>
        <v>dailCompTextHunting44=^oThis feels warm to the touch, almost familiar ^w(This component only fits into the Medal Slot)</v>
      </c>
      <c r="AB46" s="5" t="s">
        <v>36</v>
      </c>
      <c r="AH46">
        <f t="shared" si="19"/>
        <v>41</v>
      </c>
      <c r="AI46">
        <f t="shared" si="13"/>
        <v>21</v>
      </c>
      <c r="AJ46">
        <f t="shared" si="18"/>
        <v>5</v>
      </c>
    </row>
    <row r="47" spans="1:36" x14ac:dyDescent="0.25">
      <c r="A47" s="5" t="s">
        <v>39</v>
      </c>
      <c r="B47" s="5" t="s">
        <v>30</v>
      </c>
      <c r="C47" s="5" t="str">
        <f t="shared" si="0"/>
        <v>description,dailCompDescHunting45,</v>
      </c>
      <c r="D47" s="5" t="str">
        <f t="shared" si="2"/>
        <v>itemText,dailCompTextHunting45,</v>
      </c>
      <c r="E47" s="5" t="str">
        <f t="shared" si="14"/>
        <v>augmentSkillLevel1,5,</v>
      </c>
      <c r="F47" s="5" t="str">
        <f t="shared" si="15"/>
        <v>augmentSkillName1,records/skillshunting/artofthehunt.dbr,,</v>
      </c>
      <c r="G47" s="7">
        <f t="shared" si="10"/>
        <v>45</v>
      </c>
      <c r="H47" s="8" t="str">
        <f t="shared" si="11"/>
        <v>Hunting</v>
      </c>
      <c r="I47" s="3" t="s">
        <v>597</v>
      </c>
      <c r="J47" s="8" t="str">
        <f t="shared" si="21"/>
        <v>class0017</v>
      </c>
      <c r="K47" s="8" t="str">
        <f t="shared" si="21"/>
        <v>dailoneskill0017</v>
      </c>
      <c r="L47" s="5" t="str">
        <f t="shared" si="4"/>
        <v>lootName45,DAIL/items/materia/class0017/Hunting45.dbr,</v>
      </c>
      <c r="M47" s="5" t="str">
        <f t="shared" si="5"/>
        <v>lootWeight45,1,</v>
      </c>
      <c r="N47" t="str">
        <f t="shared" si="6"/>
        <v>5</v>
      </c>
      <c r="O47" t="str">
        <f t="shared" si="16"/>
        <v>copy .\dail_base3.dbr .\items\materia\class0017\Hunting45.dbr /y</v>
      </c>
      <c r="P47" t="str">
        <f t="shared" si="7"/>
        <v>echo relicBitmap,items/craftingparts/components/component_a52_bristlyfur_b.tex, &gt;&gt; .\items\materia\class0017\Hunting45.dbr</v>
      </c>
      <c r="Q47" t="str">
        <f t="shared" si="7"/>
        <v>echo itemCost,500000, &gt;&gt; .\items\materia\class0017\Hunting45.dbr</v>
      </c>
      <c r="R47" t="str">
        <f t="shared" si="7"/>
        <v>echo description,dailCompDescHunting45, &gt;&gt; .\items\materia\class0017\Hunting45.dbr</v>
      </c>
      <c r="S47" t="str">
        <f t="shared" si="7"/>
        <v>echo itemText,dailCompTextHunting45, &gt;&gt; .\items\materia\class0017\Hunting45.dbr</v>
      </c>
      <c r="T47" t="str">
        <f t="shared" si="7"/>
        <v>echo augmentSkillLevel1,5, &gt;&gt; .\items\materia\class0017\Hunting45.dbr</v>
      </c>
      <c r="U47" t="str">
        <f t="shared" si="7"/>
        <v>echo augmentSkillName1,records/skillshunting/artofthehunt.dbr,, &gt;&gt; .\items\materia\class0017\Hunting45.dbr</v>
      </c>
      <c r="V47" s="5" t="s">
        <v>36</v>
      </c>
      <c r="W47" t="str">
        <f t="shared" si="8"/>
        <v>echo lootName45,DAIL/items/materia/class0017/Hunting45.dbr, &gt;&gt; .\items\loottables\dailoneskill0017.dbr</v>
      </c>
      <c r="X47" t="str">
        <f t="shared" si="8"/>
        <v>echo lootWeight45,1, &gt;&gt; .\items\loottables\dailoneskill0017.dbr</v>
      </c>
      <c r="Y47" s="5" t="s">
        <v>36</v>
      </c>
      <c r="Z47" t="str">
        <f t="shared" si="9"/>
        <v xml:space="preserve"> dailCompDescHunting45=^pHunting's Gift of DAIL</v>
      </c>
      <c r="AA47" t="str">
        <f t="shared" si="17"/>
        <v>dailCompTextHunting45=^oThis feels warm to the touch, almost familiar ^w(This component only fits into the Medal Slot)</v>
      </c>
      <c r="AB47" s="5" t="s">
        <v>36</v>
      </c>
      <c r="AH47">
        <f t="shared" si="19"/>
        <v>42</v>
      </c>
      <c r="AI47">
        <f t="shared" si="13"/>
        <v>25</v>
      </c>
      <c r="AJ47">
        <f t="shared" si="18"/>
        <v>5</v>
      </c>
    </row>
    <row r="48" spans="1:36" x14ac:dyDescent="0.25">
      <c r="A48" s="5" t="s">
        <v>39</v>
      </c>
      <c r="B48" s="5" t="s">
        <v>30</v>
      </c>
      <c r="C48" s="5" t="str">
        <f t="shared" si="0"/>
        <v>description,dailCompDescHunting46,</v>
      </c>
      <c r="D48" s="5" t="str">
        <f t="shared" si="2"/>
        <v>itemText,dailCompTextHunting46,</v>
      </c>
      <c r="E48" s="5" t="str">
        <f t="shared" si="14"/>
        <v>augmentSkillLevel1,5,</v>
      </c>
      <c r="F48" s="5" t="str">
        <f t="shared" si="15"/>
        <v>augmentSkillName1,records/skillshunting/artofthehunt_findcover.dbr,,</v>
      </c>
      <c r="G48" s="7">
        <f t="shared" si="10"/>
        <v>46</v>
      </c>
      <c r="H48" s="8" t="str">
        <f t="shared" si="11"/>
        <v>Hunting</v>
      </c>
      <c r="I48" s="3" t="s">
        <v>598</v>
      </c>
      <c r="J48" s="8" t="str">
        <f t="shared" si="21"/>
        <v>class0017</v>
      </c>
      <c r="K48" s="8" t="str">
        <f t="shared" si="21"/>
        <v>dailoneskill0017</v>
      </c>
      <c r="L48" s="5" t="str">
        <f t="shared" si="4"/>
        <v>lootName46,DAIL/items/materia/class0017/Hunting46.dbr,</v>
      </c>
      <c r="M48" s="5" t="str">
        <f t="shared" si="5"/>
        <v>lootWeight46,1,</v>
      </c>
      <c r="N48" t="str">
        <f t="shared" si="6"/>
        <v>5</v>
      </c>
      <c r="O48" t="str">
        <f t="shared" si="16"/>
        <v>copy .\dail_base3.dbr .\items\materia\class0017\Hunting46.dbr /y</v>
      </c>
      <c r="P48" t="str">
        <f t="shared" si="7"/>
        <v>echo relicBitmap,items/craftingparts/components/component_a52_bristlyfur_b.tex, &gt;&gt; .\items\materia\class0017\Hunting46.dbr</v>
      </c>
      <c r="Q48" t="str">
        <f t="shared" si="7"/>
        <v>echo itemCost,500000, &gt;&gt; .\items\materia\class0017\Hunting46.dbr</v>
      </c>
      <c r="R48" t="str">
        <f t="shared" si="7"/>
        <v>echo description,dailCompDescHunting46, &gt;&gt; .\items\materia\class0017\Hunting46.dbr</v>
      </c>
      <c r="S48" t="str">
        <f t="shared" si="7"/>
        <v>echo itemText,dailCompTextHunting46, &gt;&gt; .\items\materia\class0017\Hunting46.dbr</v>
      </c>
      <c r="T48" t="str">
        <f t="shared" si="7"/>
        <v>echo augmentSkillLevel1,5, &gt;&gt; .\items\materia\class0017\Hunting46.dbr</v>
      </c>
      <c r="U48" t="str">
        <f t="shared" si="7"/>
        <v>echo augmentSkillName1,records/skillshunting/artofthehunt_findcover.dbr,, &gt;&gt; .\items\materia\class0017\Hunting46.dbr</v>
      </c>
      <c r="V48" s="5" t="s">
        <v>36</v>
      </c>
      <c r="W48" t="str">
        <f t="shared" si="8"/>
        <v>echo lootName46,DAIL/items/materia/class0017/Hunting46.dbr, &gt;&gt; .\items\loottables\dailoneskill0017.dbr</v>
      </c>
      <c r="X48" t="str">
        <f t="shared" si="8"/>
        <v>echo lootWeight46,1, &gt;&gt; .\items\loottables\dailoneskill0017.dbr</v>
      </c>
      <c r="Y48" s="5" t="s">
        <v>36</v>
      </c>
      <c r="Z48" t="str">
        <f t="shared" si="9"/>
        <v xml:space="preserve"> dailCompDescHunting46=^pHunting's Gift of DAIL</v>
      </c>
      <c r="AA48" t="str">
        <f t="shared" si="17"/>
        <v>dailCompTextHunting46=^oThis feels warm to the touch, almost familiar ^w(This component only fits into the Medal Slot)</v>
      </c>
      <c r="AB48" s="5" t="s">
        <v>36</v>
      </c>
      <c r="AH48">
        <f t="shared" si="19"/>
        <v>43</v>
      </c>
      <c r="AI48">
        <f t="shared" si="13"/>
        <v>35</v>
      </c>
      <c r="AJ48">
        <f t="shared" si="18"/>
        <v>5</v>
      </c>
    </row>
    <row r="49" spans="1:36" x14ac:dyDescent="0.25">
      <c r="A49" s="5" t="s">
        <v>39</v>
      </c>
      <c r="B49" s="5" t="s">
        <v>30</v>
      </c>
      <c r="C49" s="5" t="str">
        <f t="shared" si="0"/>
        <v>description,dailCompDescHunting47,</v>
      </c>
      <c r="D49" s="5" t="str">
        <f t="shared" si="2"/>
        <v>itemText,dailCompTextHunting47,</v>
      </c>
      <c r="E49" s="5" t="str">
        <f t="shared" si="14"/>
        <v>augmentSkillLevel1,5,</v>
      </c>
      <c r="F49" s="5" t="str">
        <f t="shared" si="15"/>
        <v>augmentSkillName1,records/skillshunting/artofthehunt_trailblazing.dbr,,</v>
      </c>
      <c r="G49" s="7">
        <f t="shared" si="10"/>
        <v>47</v>
      </c>
      <c r="H49" s="8" t="str">
        <f t="shared" si="11"/>
        <v>Hunting</v>
      </c>
      <c r="I49" s="3" t="s">
        <v>599</v>
      </c>
      <c r="J49" s="8" t="str">
        <f t="shared" si="21"/>
        <v>class0017</v>
      </c>
      <c r="K49" s="8" t="str">
        <f t="shared" si="21"/>
        <v>dailoneskill0017</v>
      </c>
      <c r="L49" s="5" t="str">
        <f t="shared" si="4"/>
        <v>lootName47,DAIL/items/materia/class0017/Hunting47.dbr,</v>
      </c>
      <c r="M49" s="5" t="str">
        <f t="shared" si="5"/>
        <v>lootWeight47,1,</v>
      </c>
      <c r="N49" t="str">
        <f t="shared" si="6"/>
        <v>5</v>
      </c>
      <c r="O49" t="str">
        <f t="shared" si="16"/>
        <v>copy .\dail_base3.dbr .\items\materia\class0017\Hunting47.dbr /y</v>
      </c>
      <c r="P49" t="str">
        <f t="shared" si="7"/>
        <v>echo relicBitmap,items/craftingparts/components/component_a52_bristlyfur_b.tex, &gt;&gt; .\items\materia\class0017\Hunting47.dbr</v>
      </c>
      <c r="Q49" t="str">
        <f t="shared" si="7"/>
        <v>echo itemCost,500000, &gt;&gt; .\items\materia\class0017\Hunting47.dbr</v>
      </c>
      <c r="R49" t="str">
        <f t="shared" si="7"/>
        <v>echo description,dailCompDescHunting47, &gt;&gt; .\items\materia\class0017\Hunting47.dbr</v>
      </c>
      <c r="S49" t="str">
        <f t="shared" si="7"/>
        <v>echo itemText,dailCompTextHunting47, &gt;&gt; .\items\materia\class0017\Hunting47.dbr</v>
      </c>
      <c r="T49" t="str">
        <f t="shared" si="7"/>
        <v>echo augmentSkillLevel1,5, &gt;&gt; .\items\materia\class0017\Hunting47.dbr</v>
      </c>
      <c r="U49" t="str">
        <f t="shared" si="7"/>
        <v>echo augmentSkillName1,records/skillshunting/artofthehunt_trailblazing.dbr,, &gt;&gt; .\items\materia\class0017\Hunting47.dbr</v>
      </c>
      <c r="V49" s="5" t="s">
        <v>36</v>
      </c>
      <c r="W49" t="str">
        <f t="shared" si="8"/>
        <v>echo lootName47,DAIL/items/materia/class0017/Hunting47.dbr, &gt;&gt; .\items\loottables\dailoneskill0017.dbr</v>
      </c>
      <c r="X49" t="str">
        <f t="shared" si="8"/>
        <v>echo lootWeight47,1, &gt;&gt; .\items\loottables\dailoneskill0017.dbr</v>
      </c>
      <c r="Y49" s="5" t="s">
        <v>36</v>
      </c>
      <c r="Z49" t="str">
        <f t="shared" si="9"/>
        <v xml:space="preserve"> dailCompDescHunting47=^pHunting's Gift of DAIL</v>
      </c>
      <c r="AA49" t="str">
        <f t="shared" si="17"/>
        <v>dailCompTextHunting47=^oThis feels warm to the touch, almost familiar ^w(This component only fits into the Medal Slot)</v>
      </c>
      <c r="AB49" s="5" t="s">
        <v>36</v>
      </c>
      <c r="AH49">
        <f t="shared" si="19"/>
        <v>44</v>
      </c>
      <c r="AI49">
        <f t="shared" si="13"/>
        <v>38</v>
      </c>
      <c r="AJ49">
        <f t="shared" si="18"/>
        <v>5</v>
      </c>
    </row>
    <row r="50" spans="1:36" x14ac:dyDescent="0.25">
      <c r="A50" s="5" t="s">
        <v>39</v>
      </c>
      <c r="B50" s="5" t="s">
        <v>30</v>
      </c>
      <c r="C50" s="5" t="str">
        <f t="shared" si="0"/>
        <v>description,dailCompDescHunting48,</v>
      </c>
      <c r="D50" s="5" t="str">
        <f t="shared" si="2"/>
        <v>itemText,dailCompTextHunting48,</v>
      </c>
      <c r="E50" s="5" t="str">
        <f t="shared" si="14"/>
        <v>augmentSkillLevel1,5,</v>
      </c>
      <c r="F50" s="5" t="str">
        <f t="shared" si="15"/>
        <v>augmentSkillName1,records/skillshunting/ensnare.dbr,,</v>
      </c>
      <c r="G50" s="7">
        <f t="shared" si="10"/>
        <v>48</v>
      </c>
      <c r="H50" s="8" t="str">
        <f t="shared" si="11"/>
        <v>Hunting</v>
      </c>
      <c r="I50" s="3" t="s">
        <v>600</v>
      </c>
      <c r="J50" s="8" t="str">
        <f t="shared" si="21"/>
        <v>class0017</v>
      </c>
      <c r="K50" s="8" t="str">
        <f t="shared" si="21"/>
        <v>dailoneskill0017</v>
      </c>
      <c r="L50" s="5" t="str">
        <f t="shared" si="4"/>
        <v>lootName48,DAIL/items/materia/class0017/Hunting48.dbr,</v>
      </c>
      <c r="M50" s="5" t="str">
        <f t="shared" si="5"/>
        <v>lootWeight48,1,</v>
      </c>
      <c r="N50" t="str">
        <f t="shared" si="6"/>
        <v>5</v>
      </c>
      <c r="O50" t="str">
        <f t="shared" si="16"/>
        <v>copy .\dail_base3.dbr .\items\materia\class0017\Hunting48.dbr /y</v>
      </c>
      <c r="P50" t="str">
        <f t="shared" si="7"/>
        <v>echo relicBitmap,items/craftingparts/components/component_a52_bristlyfur_b.tex, &gt;&gt; .\items\materia\class0017\Hunting48.dbr</v>
      </c>
      <c r="Q50" t="str">
        <f t="shared" si="7"/>
        <v>echo itemCost,500000, &gt;&gt; .\items\materia\class0017\Hunting48.dbr</v>
      </c>
      <c r="R50" t="str">
        <f t="shared" si="7"/>
        <v>echo description,dailCompDescHunting48, &gt;&gt; .\items\materia\class0017\Hunting48.dbr</v>
      </c>
      <c r="S50" t="str">
        <f t="shared" si="7"/>
        <v>echo itemText,dailCompTextHunting48, &gt;&gt; .\items\materia\class0017\Hunting48.dbr</v>
      </c>
      <c r="T50" t="str">
        <f t="shared" si="7"/>
        <v>echo augmentSkillLevel1,5, &gt;&gt; .\items\materia\class0017\Hunting48.dbr</v>
      </c>
      <c r="U50" t="str">
        <f t="shared" si="7"/>
        <v>echo augmentSkillName1,records/skillshunting/ensnare.dbr,, &gt;&gt; .\items\materia\class0017\Hunting48.dbr</v>
      </c>
      <c r="V50" s="5" t="s">
        <v>36</v>
      </c>
      <c r="W50" t="str">
        <f t="shared" si="8"/>
        <v>echo lootName48,DAIL/items/materia/class0017/Hunting48.dbr, &gt;&gt; .\items\loottables\dailoneskill0017.dbr</v>
      </c>
      <c r="X50" t="str">
        <f t="shared" si="8"/>
        <v>echo lootWeight48,1, &gt;&gt; .\items\loottables\dailoneskill0017.dbr</v>
      </c>
      <c r="Y50" s="5" t="s">
        <v>36</v>
      </c>
      <c r="Z50" t="str">
        <f t="shared" si="9"/>
        <v xml:space="preserve"> dailCompDescHunting48=^pHunting's Gift of DAIL</v>
      </c>
      <c r="AA50" t="str">
        <f t="shared" si="17"/>
        <v>dailCompTextHunting48=^oThis feels warm to the touch, almost familiar ^w(This component only fits into the Medal Slot)</v>
      </c>
      <c r="AB50" s="5" t="s">
        <v>36</v>
      </c>
      <c r="AH50">
        <f t="shared" si="19"/>
        <v>45</v>
      </c>
      <c r="AI50">
        <f t="shared" si="13"/>
        <v>20</v>
      </c>
      <c r="AJ50">
        <f t="shared" si="18"/>
        <v>5</v>
      </c>
    </row>
    <row r="51" spans="1:36" x14ac:dyDescent="0.25">
      <c r="A51" s="5" t="s">
        <v>39</v>
      </c>
      <c r="B51" s="5" t="s">
        <v>30</v>
      </c>
      <c r="C51" s="5" t="str">
        <f t="shared" si="0"/>
        <v>description,dailCompDescHunting49,</v>
      </c>
      <c r="D51" s="5" t="str">
        <f t="shared" si="2"/>
        <v>itemText,dailCompTextHunting49,</v>
      </c>
      <c r="E51" s="5" t="str">
        <f t="shared" si="14"/>
        <v>augmentSkillLevel1,5,</v>
      </c>
      <c r="F51" s="5" t="str">
        <f t="shared" si="15"/>
        <v>augmentSkillName1,records/skillshunting/ensnare_barbednetting.dbr,,</v>
      </c>
      <c r="G51" s="7">
        <f t="shared" si="10"/>
        <v>49</v>
      </c>
      <c r="H51" s="8" t="str">
        <f t="shared" si="11"/>
        <v>Hunting</v>
      </c>
      <c r="I51" s="3" t="s">
        <v>601</v>
      </c>
      <c r="J51" s="8" t="str">
        <f t="shared" si="21"/>
        <v>class0017</v>
      </c>
      <c r="K51" s="8" t="str">
        <f t="shared" si="21"/>
        <v>dailoneskill0017</v>
      </c>
      <c r="L51" s="5" t="str">
        <f t="shared" si="4"/>
        <v>lootName49,DAIL/items/materia/class0017/Hunting49.dbr,</v>
      </c>
      <c r="M51" s="5" t="str">
        <f t="shared" si="5"/>
        <v>lootWeight49,1,</v>
      </c>
      <c r="N51" t="str">
        <f t="shared" si="6"/>
        <v>5</v>
      </c>
      <c r="O51" t="str">
        <f t="shared" si="16"/>
        <v>copy .\dail_base3.dbr .\items\materia\class0017\Hunting49.dbr /y</v>
      </c>
      <c r="P51" t="str">
        <f t="shared" si="7"/>
        <v>echo relicBitmap,items/craftingparts/components/component_a52_bristlyfur_b.tex, &gt;&gt; .\items\materia\class0017\Hunting49.dbr</v>
      </c>
      <c r="Q51" t="str">
        <f t="shared" si="7"/>
        <v>echo itemCost,500000, &gt;&gt; .\items\materia\class0017\Hunting49.dbr</v>
      </c>
      <c r="R51" t="str">
        <f t="shared" si="7"/>
        <v>echo description,dailCompDescHunting49, &gt;&gt; .\items\materia\class0017\Hunting49.dbr</v>
      </c>
      <c r="S51" t="str">
        <f t="shared" si="7"/>
        <v>echo itemText,dailCompTextHunting49, &gt;&gt; .\items\materia\class0017\Hunting49.dbr</v>
      </c>
      <c r="T51" t="str">
        <f t="shared" si="7"/>
        <v>echo augmentSkillLevel1,5, &gt;&gt; .\items\materia\class0017\Hunting49.dbr</v>
      </c>
      <c r="U51" t="str">
        <f t="shared" si="7"/>
        <v>echo augmentSkillName1,records/skillshunting/ensnare_barbednetting.dbr,, &gt;&gt; .\items\materia\class0017\Hunting49.dbr</v>
      </c>
      <c r="V51" s="5" t="s">
        <v>36</v>
      </c>
      <c r="W51" t="str">
        <f t="shared" si="8"/>
        <v>echo lootName49,DAIL/items/materia/class0017/Hunting49.dbr, &gt;&gt; .\items\loottables\dailoneskill0017.dbr</v>
      </c>
      <c r="X51" t="str">
        <f t="shared" si="8"/>
        <v>echo lootWeight49,1, &gt;&gt; .\items\loottables\dailoneskill0017.dbr</v>
      </c>
      <c r="Y51" s="5" t="s">
        <v>36</v>
      </c>
      <c r="Z51" t="str">
        <f t="shared" si="9"/>
        <v xml:space="preserve"> dailCompDescHunting49=^pHunting's Gift of DAIL</v>
      </c>
      <c r="AA51" t="str">
        <f t="shared" si="17"/>
        <v>dailCompTextHunting49=^oThis feels warm to the touch, almost familiar ^w(This component only fits into the Medal Slot)</v>
      </c>
      <c r="AB51" s="5" t="s">
        <v>36</v>
      </c>
      <c r="AH51">
        <f t="shared" si="19"/>
        <v>46</v>
      </c>
      <c r="AI51">
        <f t="shared" si="13"/>
        <v>34</v>
      </c>
      <c r="AJ51">
        <f t="shared" si="18"/>
        <v>5</v>
      </c>
    </row>
    <row r="52" spans="1:36" x14ac:dyDescent="0.25">
      <c r="A52" s="5" t="s">
        <v>39</v>
      </c>
      <c r="B52" s="5" t="s">
        <v>30</v>
      </c>
      <c r="C52" s="5" t="str">
        <f t="shared" si="0"/>
        <v>description,dailCompDescHunting50,</v>
      </c>
      <c r="D52" s="5" t="str">
        <f t="shared" si="2"/>
        <v>itemText,dailCompTextHunting50,</v>
      </c>
      <c r="E52" s="5" t="str">
        <f t="shared" si="14"/>
        <v>augmentSkillLevel1,5,</v>
      </c>
      <c r="F52" s="5" t="str">
        <f t="shared" si="15"/>
        <v>augmentSkillName1,records/skillshunting/callofthehunt.dbr,,</v>
      </c>
      <c r="G52" s="7">
        <f t="shared" si="10"/>
        <v>50</v>
      </c>
      <c r="H52" s="8" t="str">
        <f t="shared" si="11"/>
        <v>Hunting</v>
      </c>
      <c r="I52" s="3" t="s">
        <v>602</v>
      </c>
      <c r="J52" s="8" t="str">
        <f t="shared" si="21"/>
        <v>class0017</v>
      </c>
      <c r="K52" s="8" t="str">
        <f t="shared" si="21"/>
        <v>dailoneskill0017</v>
      </c>
      <c r="L52" s="5" t="str">
        <f t="shared" si="4"/>
        <v>lootName50,DAIL/items/materia/class0017/Hunting50.dbr,</v>
      </c>
      <c r="M52" s="5" t="str">
        <f t="shared" si="5"/>
        <v>lootWeight50,1,</v>
      </c>
      <c r="N52" t="str">
        <f t="shared" si="6"/>
        <v>5</v>
      </c>
      <c r="O52" t="str">
        <f t="shared" si="16"/>
        <v>copy .\dail_base3.dbr .\items\materia\class0017\Hunting50.dbr /y</v>
      </c>
      <c r="P52" t="str">
        <f t="shared" si="7"/>
        <v>echo relicBitmap,items/craftingparts/components/component_a52_bristlyfur_b.tex, &gt;&gt; .\items\materia\class0017\Hunting50.dbr</v>
      </c>
      <c r="Q52" t="str">
        <f t="shared" si="7"/>
        <v>echo itemCost,500000, &gt;&gt; .\items\materia\class0017\Hunting50.dbr</v>
      </c>
      <c r="R52" t="str">
        <f t="shared" si="7"/>
        <v>echo description,dailCompDescHunting50, &gt;&gt; .\items\materia\class0017\Hunting50.dbr</v>
      </c>
      <c r="S52" t="str">
        <f t="shared" si="7"/>
        <v>echo itemText,dailCompTextHunting50, &gt;&gt; .\items\materia\class0017\Hunting50.dbr</v>
      </c>
      <c r="T52" t="str">
        <f t="shared" si="7"/>
        <v>echo augmentSkillLevel1,5, &gt;&gt; .\items\materia\class0017\Hunting50.dbr</v>
      </c>
      <c r="U52" t="str">
        <f t="shared" si="7"/>
        <v>echo augmentSkillName1,records/skillshunting/callofthehunt.dbr,, &gt;&gt; .\items\materia\class0017\Hunting50.dbr</v>
      </c>
      <c r="V52" s="5" t="s">
        <v>36</v>
      </c>
      <c r="W52" t="str">
        <f t="shared" si="8"/>
        <v>echo lootName50,DAIL/items/materia/class0017/Hunting50.dbr, &gt;&gt; .\items\loottables\dailoneskill0017.dbr</v>
      </c>
      <c r="X52" t="str">
        <f t="shared" si="8"/>
        <v>echo lootWeight50,1, &gt;&gt; .\items\loottables\dailoneskill0017.dbr</v>
      </c>
      <c r="Y52" s="5" t="s">
        <v>36</v>
      </c>
      <c r="Z52" t="str">
        <f t="shared" si="9"/>
        <v xml:space="preserve"> dailCompDescHunting50=^pHunting's Gift of DAIL</v>
      </c>
      <c r="AA52" t="str">
        <f t="shared" si="17"/>
        <v>dailCompTextHunting50=^oThis feels warm to the touch, almost familiar ^w(This component only fits into the Medal Slot)</v>
      </c>
      <c r="AB52" s="5" t="s">
        <v>36</v>
      </c>
      <c r="AH52">
        <f t="shared" si="19"/>
        <v>47</v>
      </c>
      <c r="AI52">
        <f t="shared" si="13"/>
        <v>26</v>
      </c>
      <c r="AJ52">
        <f t="shared" si="18"/>
        <v>5</v>
      </c>
    </row>
    <row r="53" spans="1:36" x14ac:dyDescent="0.25">
      <c r="A53" s="5" t="s">
        <v>39</v>
      </c>
      <c r="B53" s="5" t="s">
        <v>30</v>
      </c>
      <c r="C53" s="5" t="str">
        <f t="shared" si="0"/>
        <v>description,dailCompDescHunting51,</v>
      </c>
      <c r="D53" s="5" t="str">
        <f t="shared" si="2"/>
        <v>itemText,dailCompTextHunting51,</v>
      </c>
      <c r="E53" s="5" t="str">
        <f t="shared" si="14"/>
        <v>augmentSkillLevel1,5,</v>
      </c>
      <c r="F53" s="5" t="str">
        <f t="shared" si="15"/>
        <v>augmentSkillName1,records/skillshunting/callofthehunt_cunning.dbr,,</v>
      </c>
      <c r="G53" s="7">
        <f t="shared" si="10"/>
        <v>51</v>
      </c>
      <c r="H53" s="8" t="str">
        <f t="shared" si="11"/>
        <v>Hunting</v>
      </c>
      <c r="I53" s="3" t="s">
        <v>603</v>
      </c>
      <c r="J53" s="8" t="str">
        <f t="shared" ref="J53:K68" si="22">J52</f>
        <v>class0017</v>
      </c>
      <c r="K53" s="8" t="str">
        <f t="shared" si="22"/>
        <v>dailoneskill0017</v>
      </c>
      <c r="L53" s="5" t="str">
        <f t="shared" si="4"/>
        <v>lootName51,DAIL/items/materia/class0017/Hunting51.dbr,</v>
      </c>
      <c r="M53" s="5" t="str">
        <f t="shared" si="5"/>
        <v>lootWeight51,1,</v>
      </c>
      <c r="N53" t="str">
        <f t="shared" si="6"/>
        <v>5</v>
      </c>
      <c r="O53" t="str">
        <f t="shared" si="16"/>
        <v>copy .\dail_base3.dbr .\items\materia\class0017\Hunting51.dbr /y</v>
      </c>
      <c r="P53" t="str">
        <f t="shared" si="7"/>
        <v>echo relicBitmap,items/craftingparts/components/component_a52_bristlyfur_b.tex, &gt;&gt; .\items\materia\class0017\Hunting51.dbr</v>
      </c>
      <c r="Q53" t="str">
        <f t="shared" si="7"/>
        <v>echo itemCost,500000, &gt;&gt; .\items\materia\class0017\Hunting51.dbr</v>
      </c>
      <c r="R53" t="str">
        <f t="shared" si="7"/>
        <v>echo description,dailCompDescHunting51, &gt;&gt; .\items\materia\class0017\Hunting51.dbr</v>
      </c>
      <c r="S53" t="str">
        <f t="shared" si="7"/>
        <v>echo itemText,dailCompTextHunting51, &gt;&gt; .\items\materia\class0017\Hunting51.dbr</v>
      </c>
      <c r="T53" t="str">
        <f t="shared" si="7"/>
        <v>echo augmentSkillLevel1,5, &gt;&gt; .\items\materia\class0017\Hunting51.dbr</v>
      </c>
      <c r="U53" t="str">
        <f t="shared" si="7"/>
        <v>echo augmentSkillName1,records/skillshunting/callofthehunt_cunning.dbr,, &gt;&gt; .\items\materia\class0017\Hunting51.dbr</v>
      </c>
      <c r="V53" s="5" t="s">
        <v>36</v>
      </c>
      <c r="W53" t="str">
        <f t="shared" si="8"/>
        <v>echo lootName51,DAIL/items/materia/class0017/Hunting51.dbr, &gt;&gt; .\items\loottables\dailoneskill0017.dbr</v>
      </c>
      <c r="X53" t="str">
        <f t="shared" si="8"/>
        <v>echo lootWeight51,1, &gt;&gt; .\items\loottables\dailoneskill0017.dbr</v>
      </c>
      <c r="Y53" s="5" t="s">
        <v>36</v>
      </c>
      <c r="Z53" t="str">
        <f t="shared" si="9"/>
        <v xml:space="preserve"> dailCompDescHunting51=^pHunting's Gift of DAIL</v>
      </c>
      <c r="AA53" t="str">
        <f t="shared" si="17"/>
        <v>dailCompTextHunting51=^oThis feels warm to the touch, almost familiar ^w(This component only fits into the Medal Slot)</v>
      </c>
      <c r="AB53" s="5" t="s">
        <v>36</v>
      </c>
      <c r="AH53">
        <f t="shared" si="19"/>
        <v>48</v>
      </c>
      <c r="AI53">
        <f t="shared" si="13"/>
        <v>34</v>
      </c>
      <c r="AJ53">
        <f t="shared" si="18"/>
        <v>5</v>
      </c>
    </row>
    <row r="54" spans="1:36" x14ac:dyDescent="0.25">
      <c r="A54" s="5" t="s">
        <v>39</v>
      </c>
      <c r="B54" s="5" t="s">
        <v>30</v>
      </c>
      <c r="C54" s="5" t="str">
        <f t="shared" si="0"/>
        <v>description,dailCompDescHunting52,</v>
      </c>
      <c r="D54" s="5" t="str">
        <f t="shared" si="2"/>
        <v>itemText,dailCompTextHunting52,</v>
      </c>
      <c r="E54" s="5" t="str">
        <f t="shared" si="14"/>
        <v>augmentSkillLevel1,5,</v>
      </c>
      <c r="F54" s="5" t="str">
        <f t="shared" si="15"/>
        <v>augmentSkillName1,records/skillshunting/herbalism.dbr,,</v>
      </c>
      <c r="G54" s="7">
        <f t="shared" si="10"/>
        <v>52</v>
      </c>
      <c r="H54" s="8" t="str">
        <f t="shared" si="11"/>
        <v>Hunting</v>
      </c>
      <c r="I54" s="3" t="s">
        <v>604</v>
      </c>
      <c r="J54" s="8" t="str">
        <f t="shared" si="22"/>
        <v>class0017</v>
      </c>
      <c r="K54" s="8" t="str">
        <f t="shared" si="22"/>
        <v>dailoneskill0017</v>
      </c>
      <c r="L54" s="5" t="str">
        <f t="shared" si="4"/>
        <v>lootName52,DAIL/items/materia/class0017/Hunting52.dbr,</v>
      </c>
      <c r="M54" s="5" t="str">
        <f t="shared" si="5"/>
        <v>lootWeight52,1,</v>
      </c>
      <c r="N54" t="str">
        <f t="shared" si="6"/>
        <v>5</v>
      </c>
      <c r="O54" t="str">
        <f t="shared" si="16"/>
        <v>copy .\dail_base3.dbr .\items\materia\class0017\Hunting52.dbr /y</v>
      </c>
      <c r="P54" t="str">
        <f t="shared" si="7"/>
        <v>echo relicBitmap,items/craftingparts/components/component_a52_bristlyfur_b.tex, &gt;&gt; .\items\materia\class0017\Hunting52.dbr</v>
      </c>
      <c r="Q54" t="str">
        <f t="shared" si="7"/>
        <v>echo itemCost,500000, &gt;&gt; .\items\materia\class0017\Hunting52.dbr</v>
      </c>
      <c r="R54" t="str">
        <f t="shared" si="7"/>
        <v>echo description,dailCompDescHunting52, &gt;&gt; .\items\materia\class0017\Hunting52.dbr</v>
      </c>
      <c r="S54" t="str">
        <f t="shared" si="7"/>
        <v>echo itemText,dailCompTextHunting52, &gt;&gt; .\items\materia\class0017\Hunting52.dbr</v>
      </c>
      <c r="T54" t="str">
        <f t="shared" si="7"/>
        <v>echo augmentSkillLevel1,5, &gt;&gt; .\items\materia\class0017\Hunting52.dbr</v>
      </c>
      <c r="U54" t="str">
        <f t="shared" si="7"/>
        <v>echo augmentSkillName1,records/skillshunting/herbalism.dbr,, &gt;&gt; .\items\materia\class0017\Hunting52.dbr</v>
      </c>
      <c r="V54" s="5" t="s">
        <v>36</v>
      </c>
      <c r="W54" t="str">
        <f t="shared" si="8"/>
        <v>echo lootName52,DAIL/items/materia/class0017/Hunting52.dbr, &gt;&gt; .\items\loottables\dailoneskill0017.dbr</v>
      </c>
      <c r="X54" t="str">
        <f t="shared" si="8"/>
        <v>echo lootWeight52,1, &gt;&gt; .\items\loottables\dailoneskill0017.dbr</v>
      </c>
      <c r="Y54" s="5" t="s">
        <v>36</v>
      </c>
      <c r="Z54" t="str">
        <f t="shared" si="9"/>
        <v xml:space="preserve"> dailCompDescHunting52=^pHunting's Gift of DAIL</v>
      </c>
      <c r="AA54" t="str">
        <f t="shared" si="17"/>
        <v>dailCompTextHunting52=^oThis feels warm to the touch, almost familiar ^w(This component only fits into the Medal Slot)</v>
      </c>
      <c r="AB54" s="5" t="s">
        <v>36</v>
      </c>
      <c r="AH54">
        <f t="shared" si="19"/>
        <v>49</v>
      </c>
      <c r="AI54">
        <f t="shared" si="13"/>
        <v>22</v>
      </c>
      <c r="AJ54">
        <f t="shared" si="18"/>
        <v>5</v>
      </c>
    </row>
    <row r="55" spans="1:36" x14ac:dyDescent="0.25">
      <c r="A55" s="5" t="s">
        <v>39</v>
      </c>
      <c r="B55" s="5" t="s">
        <v>30</v>
      </c>
      <c r="C55" s="5" t="str">
        <f t="shared" si="0"/>
        <v>description,dailCompDescHunting53,</v>
      </c>
      <c r="D55" s="5" t="str">
        <f t="shared" si="2"/>
        <v>itemText,dailCompTextHunting53,</v>
      </c>
      <c r="E55" s="5" t="str">
        <f t="shared" si="14"/>
        <v>augmentSkillLevel1,5,</v>
      </c>
      <c r="F55" s="5" t="str">
        <f t="shared" si="15"/>
        <v>augmentSkillName1,records/skillshunting/studyprey.dbr,,</v>
      </c>
      <c r="G55" s="7">
        <f t="shared" si="10"/>
        <v>53</v>
      </c>
      <c r="H55" s="8" t="str">
        <f t="shared" si="11"/>
        <v>Hunting</v>
      </c>
      <c r="I55" s="3" t="s">
        <v>605</v>
      </c>
      <c r="J55" s="8" t="str">
        <f t="shared" si="22"/>
        <v>class0017</v>
      </c>
      <c r="K55" s="8" t="str">
        <f t="shared" si="22"/>
        <v>dailoneskill0017</v>
      </c>
      <c r="L55" s="5" t="str">
        <f t="shared" si="4"/>
        <v>lootName53,DAIL/items/materia/class0017/Hunting53.dbr,</v>
      </c>
      <c r="M55" s="5" t="str">
        <f t="shared" si="5"/>
        <v>lootWeight53,1,</v>
      </c>
      <c r="N55" t="str">
        <f t="shared" si="6"/>
        <v>5</v>
      </c>
      <c r="O55" t="str">
        <f t="shared" si="16"/>
        <v>copy .\dail_base3.dbr .\items\materia\class0017\Hunting53.dbr /y</v>
      </c>
      <c r="P55" t="str">
        <f t="shared" si="7"/>
        <v>echo relicBitmap,items/craftingparts/components/component_a52_bristlyfur_b.tex, &gt;&gt; .\items\materia\class0017\Hunting53.dbr</v>
      </c>
      <c r="Q55" t="str">
        <f t="shared" si="7"/>
        <v>echo itemCost,500000, &gt;&gt; .\items\materia\class0017\Hunting53.dbr</v>
      </c>
      <c r="R55" t="str">
        <f t="shared" si="7"/>
        <v>echo description,dailCompDescHunting53, &gt;&gt; .\items\materia\class0017\Hunting53.dbr</v>
      </c>
      <c r="S55" t="str">
        <f t="shared" si="7"/>
        <v>echo itemText,dailCompTextHunting53, &gt;&gt; .\items\materia\class0017\Hunting53.dbr</v>
      </c>
      <c r="T55" t="str">
        <f t="shared" si="7"/>
        <v>echo augmentSkillLevel1,5, &gt;&gt; .\items\materia\class0017\Hunting53.dbr</v>
      </c>
      <c r="U55" t="str">
        <f t="shared" si="7"/>
        <v>echo augmentSkillName1,records/skillshunting/studyprey.dbr,, &gt;&gt; .\items\materia\class0017\Hunting53.dbr</v>
      </c>
      <c r="V55" s="5" t="s">
        <v>36</v>
      </c>
      <c r="W55" t="str">
        <f t="shared" si="8"/>
        <v>echo lootName53,DAIL/items/materia/class0017/Hunting53.dbr, &gt;&gt; .\items\loottables\dailoneskill0017.dbr</v>
      </c>
      <c r="X55" t="str">
        <f t="shared" si="8"/>
        <v>echo lootWeight53,1, &gt;&gt; .\items\loottables\dailoneskill0017.dbr</v>
      </c>
      <c r="Y55" s="5" t="s">
        <v>36</v>
      </c>
      <c r="Z55" t="str">
        <f t="shared" si="9"/>
        <v xml:space="preserve"> dailCompDescHunting53=^pHunting's Gift of DAIL</v>
      </c>
      <c r="AA55" t="str">
        <f t="shared" si="17"/>
        <v>dailCompTextHunting53=^oThis feels warm to the touch, almost familiar ^w(This component only fits into the Medal Slot)</v>
      </c>
      <c r="AB55" s="5" t="s">
        <v>36</v>
      </c>
      <c r="AH55">
        <f t="shared" si="19"/>
        <v>50</v>
      </c>
      <c r="AI55">
        <f t="shared" si="13"/>
        <v>22</v>
      </c>
      <c r="AJ55">
        <f t="shared" si="18"/>
        <v>5</v>
      </c>
    </row>
    <row r="56" spans="1:36" x14ac:dyDescent="0.25">
      <c r="A56" s="5" t="s">
        <v>39</v>
      </c>
      <c r="B56" s="5" t="s">
        <v>30</v>
      </c>
      <c r="C56" s="5" t="str">
        <f t="shared" si="0"/>
        <v>description,dailCompDescHunting54,</v>
      </c>
      <c r="D56" s="5" t="str">
        <f t="shared" si="2"/>
        <v>itemText,dailCompTextHunting54,</v>
      </c>
      <c r="E56" s="5" t="str">
        <f t="shared" si="14"/>
        <v>augmentSkillLevel1,5,</v>
      </c>
      <c r="F56" s="5" t="str">
        <f t="shared" si="15"/>
        <v>augmentSkillName1,records/skillshunting/studyprey_flushout.dbr,,</v>
      </c>
      <c r="G56" s="7">
        <f t="shared" si="10"/>
        <v>54</v>
      </c>
      <c r="H56" s="8" t="str">
        <f t="shared" si="11"/>
        <v>Hunting</v>
      </c>
      <c r="I56" s="3" t="s">
        <v>606</v>
      </c>
      <c r="J56" s="8" t="str">
        <f t="shared" si="22"/>
        <v>class0017</v>
      </c>
      <c r="K56" s="8" t="str">
        <f t="shared" si="22"/>
        <v>dailoneskill0017</v>
      </c>
      <c r="L56" s="5" t="str">
        <f t="shared" si="4"/>
        <v>lootName54,DAIL/items/materia/class0017/Hunting54.dbr,</v>
      </c>
      <c r="M56" s="5" t="str">
        <f t="shared" si="5"/>
        <v>lootWeight54,1,</v>
      </c>
      <c r="N56" t="str">
        <f t="shared" si="6"/>
        <v>5</v>
      </c>
      <c r="O56" t="str">
        <f t="shared" si="16"/>
        <v>copy .\dail_base3.dbr .\items\materia\class0017\Hunting54.dbr /y</v>
      </c>
      <c r="P56" t="str">
        <f t="shared" si="7"/>
        <v>echo relicBitmap,items/craftingparts/components/component_a52_bristlyfur_b.tex, &gt;&gt; .\items\materia\class0017\Hunting54.dbr</v>
      </c>
      <c r="Q56" t="str">
        <f t="shared" si="7"/>
        <v>echo itemCost,500000, &gt;&gt; .\items\materia\class0017\Hunting54.dbr</v>
      </c>
      <c r="R56" t="str">
        <f t="shared" si="7"/>
        <v>echo description,dailCompDescHunting54, &gt;&gt; .\items\materia\class0017\Hunting54.dbr</v>
      </c>
      <c r="S56" t="str">
        <f t="shared" si="7"/>
        <v>echo itemText,dailCompTextHunting54, &gt;&gt; .\items\materia\class0017\Hunting54.dbr</v>
      </c>
      <c r="T56" t="str">
        <f t="shared" si="7"/>
        <v>echo augmentSkillLevel1,5, &gt;&gt; .\items\materia\class0017\Hunting54.dbr</v>
      </c>
      <c r="U56" t="str">
        <f t="shared" si="7"/>
        <v>echo augmentSkillName1,records/skillshunting/studyprey_flushout.dbr,, &gt;&gt; .\items\materia\class0017\Hunting54.dbr</v>
      </c>
      <c r="V56" s="5" t="s">
        <v>36</v>
      </c>
      <c r="W56" t="str">
        <f t="shared" si="8"/>
        <v>echo lootName54,DAIL/items/materia/class0017/Hunting54.dbr, &gt;&gt; .\items\loottables\dailoneskill0017.dbr</v>
      </c>
      <c r="X56" t="str">
        <f t="shared" si="8"/>
        <v>echo lootWeight54,1, &gt;&gt; .\items\loottables\dailoneskill0017.dbr</v>
      </c>
      <c r="Y56" s="5" t="s">
        <v>36</v>
      </c>
      <c r="Z56" t="str">
        <f t="shared" si="9"/>
        <v xml:space="preserve"> dailCompDescHunting54=^pHunting's Gift of DAIL</v>
      </c>
      <c r="AA56" t="str">
        <f t="shared" si="17"/>
        <v>dailCompTextHunting54=^oThis feels warm to the touch, almost familiar ^w(This component only fits into the Medal Slot)</v>
      </c>
      <c r="AB56" s="5" t="s">
        <v>36</v>
      </c>
      <c r="AH56">
        <f t="shared" si="19"/>
        <v>51</v>
      </c>
      <c r="AI56">
        <f t="shared" si="13"/>
        <v>31</v>
      </c>
      <c r="AJ56">
        <f t="shared" si="18"/>
        <v>5</v>
      </c>
    </row>
    <row r="57" spans="1:36" x14ac:dyDescent="0.25">
      <c r="A57" s="5" t="s">
        <v>39</v>
      </c>
      <c r="B57" s="5" t="s">
        <v>30</v>
      </c>
      <c r="C57" s="5" t="str">
        <f t="shared" si="0"/>
        <v>description,dailCompDescHunting55,</v>
      </c>
      <c r="D57" s="5" t="str">
        <f t="shared" si="2"/>
        <v>itemText,dailCompTextHunting55,</v>
      </c>
      <c r="E57" s="5" t="str">
        <f t="shared" si="14"/>
        <v>augmentSkillLevel1,5,</v>
      </c>
      <c r="F57" s="5" t="str">
        <f t="shared" si="15"/>
        <v>augmentSkillName1,records/skillshunting/marksmanship.dbr,,</v>
      </c>
      <c r="G57" s="7">
        <f t="shared" si="10"/>
        <v>55</v>
      </c>
      <c r="H57" s="8" t="str">
        <f t="shared" si="11"/>
        <v>Hunting</v>
      </c>
      <c r="I57" s="3" t="s">
        <v>607</v>
      </c>
      <c r="J57" s="8" t="str">
        <f t="shared" si="22"/>
        <v>class0017</v>
      </c>
      <c r="K57" s="8" t="str">
        <f t="shared" si="22"/>
        <v>dailoneskill0017</v>
      </c>
      <c r="L57" s="5" t="str">
        <f t="shared" si="4"/>
        <v>lootName55,DAIL/items/materia/class0017/Hunting55.dbr,</v>
      </c>
      <c r="M57" s="5" t="str">
        <f t="shared" si="5"/>
        <v>lootWeight55,1,</v>
      </c>
      <c r="N57" t="str">
        <f t="shared" si="6"/>
        <v>5</v>
      </c>
      <c r="O57" t="str">
        <f t="shared" si="16"/>
        <v>copy .\dail_base3.dbr .\items\materia\class0017\Hunting55.dbr /y</v>
      </c>
      <c r="P57" t="str">
        <f t="shared" si="7"/>
        <v>echo relicBitmap,items/craftingparts/components/component_a52_bristlyfur_b.tex, &gt;&gt; .\items\materia\class0017\Hunting55.dbr</v>
      </c>
      <c r="Q57" t="str">
        <f t="shared" si="7"/>
        <v>echo itemCost,500000, &gt;&gt; .\items\materia\class0017\Hunting55.dbr</v>
      </c>
      <c r="R57" t="str">
        <f t="shared" si="7"/>
        <v>echo description,dailCompDescHunting55, &gt;&gt; .\items\materia\class0017\Hunting55.dbr</v>
      </c>
      <c r="S57" t="str">
        <f t="shared" si="7"/>
        <v>echo itemText,dailCompTextHunting55, &gt;&gt; .\items\materia\class0017\Hunting55.dbr</v>
      </c>
      <c r="T57" t="str">
        <f t="shared" si="7"/>
        <v>echo augmentSkillLevel1,5, &gt;&gt; .\items\materia\class0017\Hunting55.dbr</v>
      </c>
      <c r="U57" t="str">
        <f t="shared" si="7"/>
        <v>echo augmentSkillName1,records/skillshunting/marksmanship.dbr,, &gt;&gt; .\items\materia\class0017\Hunting55.dbr</v>
      </c>
      <c r="V57" s="5" t="s">
        <v>36</v>
      </c>
      <c r="W57" t="str">
        <f t="shared" si="8"/>
        <v>echo lootName55,DAIL/items/materia/class0017/Hunting55.dbr, &gt;&gt; .\items\loottables\dailoneskill0017.dbr</v>
      </c>
      <c r="X57" t="str">
        <f t="shared" si="8"/>
        <v>echo lootWeight55,1, &gt;&gt; .\items\loottables\dailoneskill0017.dbr</v>
      </c>
      <c r="Y57" s="5" t="s">
        <v>36</v>
      </c>
      <c r="Z57" t="str">
        <f t="shared" si="9"/>
        <v xml:space="preserve"> dailCompDescHunting55=^pHunting's Gift of DAIL</v>
      </c>
      <c r="AA57" t="str">
        <f t="shared" si="17"/>
        <v>dailCompTextHunting55=^oThis feels warm to the touch, almost familiar ^w(This component only fits into the Medal Slot)</v>
      </c>
      <c r="AB57" s="5" t="s">
        <v>36</v>
      </c>
      <c r="AH57">
        <f t="shared" si="19"/>
        <v>52</v>
      </c>
      <c r="AI57">
        <f t="shared" si="13"/>
        <v>25</v>
      </c>
      <c r="AJ57">
        <f t="shared" si="18"/>
        <v>5</v>
      </c>
    </row>
    <row r="58" spans="1:36" x14ac:dyDescent="0.25">
      <c r="A58" s="5" t="s">
        <v>39</v>
      </c>
      <c r="B58" s="5" t="s">
        <v>30</v>
      </c>
      <c r="C58" s="5" t="str">
        <f t="shared" si="0"/>
        <v>description,dailCompDescHunting56,</v>
      </c>
      <c r="D58" s="5" t="str">
        <f t="shared" si="2"/>
        <v>itemText,dailCompTextHunting56,</v>
      </c>
      <c r="E58" s="5" t="str">
        <f t="shared" si="14"/>
        <v>augmentSkillLevel1,5,</v>
      </c>
      <c r="F58" s="5" t="str">
        <f t="shared" si="15"/>
        <v>augmentSkillName1,records/skillshunting/marksmanship_punctureshotarrows.dbr,,</v>
      </c>
      <c r="G58" s="7">
        <f t="shared" si="10"/>
        <v>56</v>
      </c>
      <c r="H58" s="8" t="str">
        <f t="shared" si="11"/>
        <v>Hunting</v>
      </c>
      <c r="I58" s="3" t="s">
        <v>608</v>
      </c>
      <c r="J58" s="8" t="str">
        <f t="shared" si="22"/>
        <v>class0017</v>
      </c>
      <c r="K58" s="8" t="str">
        <f t="shared" si="22"/>
        <v>dailoneskill0017</v>
      </c>
      <c r="L58" s="5" t="str">
        <f t="shared" si="4"/>
        <v>lootName56,DAIL/items/materia/class0017/Hunting56.dbr,</v>
      </c>
      <c r="M58" s="5" t="str">
        <f t="shared" si="5"/>
        <v>lootWeight56,1,</v>
      </c>
      <c r="N58" t="str">
        <f t="shared" si="6"/>
        <v>5</v>
      </c>
      <c r="O58" t="str">
        <f t="shared" si="16"/>
        <v>copy .\dail_base3.dbr .\items\materia\class0017\Hunting56.dbr /y</v>
      </c>
      <c r="P58" t="str">
        <f t="shared" si="7"/>
        <v>echo relicBitmap,items/craftingparts/components/component_a52_bristlyfur_b.tex, &gt;&gt; .\items\materia\class0017\Hunting56.dbr</v>
      </c>
      <c r="Q58" t="str">
        <f t="shared" si="7"/>
        <v>echo itemCost,500000, &gt;&gt; .\items\materia\class0017\Hunting56.dbr</v>
      </c>
      <c r="R58" t="str">
        <f t="shared" si="7"/>
        <v>echo description,dailCompDescHunting56, &gt;&gt; .\items\materia\class0017\Hunting56.dbr</v>
      </c>
      <c r="S58" t="str">
        <f t="shared" si="7"/>
        <v>echo itemText,dailCompTextHunting56, &gt;&gt; .\items\materia\class0017\Hunting56.dbr</v>
      </c>
      <c r="T58" t="str">
        <f t="shared" si="7"/>
        <v>echo augmentSkillLevel1,5, &gt;&gt; .\items\materia\class0017\Hunting56.dbr</v>
      </c>
      <c r="U58" t="str">
        <f t="shared" si="7"/>
        <v>echo augmentSkillName1,records/skillshunting/marksmanship_punctureshotarrows.dbr,, &gt;&gt; .\items\materia\class0017\Hunting56.dbr</v>
      </c>
      <c r="V58" s="5" t="s">
        <v>36</v>
      </c>
      <c r="W58" t="str">
        <f t="shared" si="8"/>
        <v>echo lootName56,DAIL/items/materia/class0017/Hunting56.dbr, &gt;&gt; .\items\loottables\dailoneskill0017.dbr</v>
      </c>
      <c r="X58" t="str">
        <f t="shared" si="8"/>
        <v>echo lootWeight56,1, &gt;&gt; .\items\loottables\dailoneskill0017.dbr</v>
      </c>
      <c r="Y58" s="5" t="s">
        <v>36</v>
      </c>
      <c r="Z58" t="str">
        <f t="shared" si="9"/>
        <v xml:space="preserve"> dailCompDescHunting56=^pHunting's Gift of DAIL</v>
      </c>
      <c r="AA58" t="str">
        <f t="shared" si="17"/>
        <v>dailCompTextHunting56=^oThis feels warm to the touch, almost familiar ^w(This component only fits into the Medal Slot)</v>
      </c>
      <c r="AB58" s="5" t="s">
        <v>36</v>
      </c>
      <c r="AH58">
        <f t="shared" si="19"/>
        <v>53</v>
      </c>
      <c r="AI58">
        <f t="shared" si="13"/>
        <v>44</v>
      </c>
      <c r="AJ58">
        <f t="shared" si="18"/>
        <v>5</v>
      </c>
    </row>
    <row r="59" spans="1:36" x14ac:dyDescent="0.25">
      <c r="A59" s="5" t="s">
        <v>39</v>
      </c>
      <c r="B59" s="5" t="s">
        <v>30</v>
      </c>
      <c r="C59" s="5" t="str">
        <f t="shared" si="0"/>
        <v>description,dailCompDescHunting57,</v>
      </c>
      <c r="D59" s="5" t="str">
        <f t="shared" si="2"/>
        <v>itemText,dailCompTextHunting57,</v>
      </c>
      <c r="E59" s="5" t="str">
        <f t="shared" si="14"/>
        <v>augmentSkillLevel1,5,</v>
      </c>
      <c r="F59" s="5" t="str">
        <f t="shared" si="15"/>
        <v>augmentSkillName1,records/skillshunting/marksmanship_scattershotarrows.dbr,,</v>
      </c>
      <c r="G59" s="7">
        <f t="shared" si="10"/>
        <v>57</v>
      </c>
      <c r="H59" s="8" t="str">
        <f t="shared" si="11"/>
        <v>Hunting</v>
      </c>
      <c r="I59" s="3" t="s">
        <v>609</v>
      </c>
      <c r="J59" s="8" t="str">
        <f t="shared" si="22"/>
        <v>class0017</v>
      </c>
      <c r="K59" s="8" t="str">
        <f t="shared" si="22"/>
        <v>dailoneskill0017</v>
      </c>
      <c r="L59" s="5" t="str">
        <f t="shared" si="4"/>
        <v>lootName57,DAIL/items/materia/class0017/Hunting57.dbr,</v>
      </c>
      <c r="M59" s="5" t="str">
        <f t="shared" si="5"/>
        <v>lootWeight57,1,</v>
      </c>
      <c r="N59" t="str">
        <f t="shared" si="6"/>
        <v>5</v>
      </c>
      <c r="O59" t="str">
        <f t="shared" si="16"/>
        <v>copy .\dail_base3.dbr .\items\materia\class0017\Hunting57.dbr /y</v>
      </c>
      <c r="P59" t="str">
        <f t="shared" ref="P59:U101" si="23">IF($I59&lt;&gt;"","echo "&amp;A59&amp;" &gt;&gt; .\items\materia\"&amp;$J59&amp;"\"&amp;$H59&amp;$G59&amp;".dbr","")</f>
        <v>echo relicBitmap,items/craftingparts/components/component_a52_bristlyfur_b.tex, &gt;&gt; .\items\materia\class0017\Hunting57.dbr</v>
      </c>
      <c r="Q59" t="str">
        <f t="shared" si="23"/>
        <v>echo itemCost,500000, &gt;&gt; .\items\materia\class0017\Hunting57.dbr</v>
      </c>
      <c r="R59" t="str">
        <f t="shared" si="23"/>
        <v>echo description,dailCompDescHunting57, &gt;&gt; .\items\materia\class0017\Hunting57.dbr</v>
      </c>
      <c r="S59" t="str">
        <f t="shared" si="23"/>
        <v>echo itemText,dailCompTextHunting57, &gt;&gt; .\items\materia\class0017\Hunting57.dbr</v>
      </c>
      <c r="T59" t="str">
        <f t="shared" si="23"/>
        <v>echo augmentSkillLevel1,5, &gt;&gt; .\items\materia\class0017\Hunting57.dbr</v>
      </c>
      <c r="U59" t="str">
        <f t="shared" si="23"/>
        <v>echo augmentSkillName1,records/skillshunting/marksmanship_scattershotarrows.dbr,, &gt;&gt; .\items\materia\class0017\Hunting57.dbr</v>
      </c>
      <c r="V59" s="5" t="s">
        <v>36</v>
      </c>
      <c r="W59" t="str">
        <f t="shared" si="8"/>
        <v>echo lootName57,DAIL/items/materia/class0017/Hunting57.dbr, &gt;&gt; .\items\loottables\dailoneskill0017.dbr</v>
      </c>
      <c r="X59" t="str">
        <f t="shared" si="8"/>
        <v>echo lootWeight57,1, &gt;&gt; .\items\loottables\dailoneskill0017.dbr</v>
      </c>
      <c r="Y59" s="5" t="s">
        <v>36</v>
      </c>
      <c r="Z59" t="str">
        <f t="shared" si="9"/>
        <v xml:space="preserve"> dailCompDescHunting57=^pHunting's Gift of DAIL</v>
      </c>
      <c r="AA59" t="str">
        <f t="shared" si="17"/>
        <v>dailCompTextHunting57=^oThis feels warm to the touch, almost familiar ^w(This component only fits into the Medal Slot)</v>
      </c>
      <c r="AB59" s="5" t="s">
        <v>36</v>
      </c>
      <c r="AH59">
        <f t="shared" si="19"/>
        <v>54</v>
      </c>
      <c r="AI59">
        <f t="shared" si="13"/>
        <v>43</v>
      </c>
      <c r="AJ59">
        <f t="shared" si="18"/>
        <v>5</v>
      </c>
    </row>
    <row r="60" spans="1:36" x14ac:dyDescent="0.25">
      <c r="A60" s="5" t="s">
        <v>39</v>
      </c>
      <c r="B60" s="5" t="s">
        <v>30</v>
      </c>
      <c r="C60" s="5" t="str">
        <f t="shared" si="0"/>
        <v>description,dailCompDescHunting58,</v>
      </c>
      <c r="D60" s="5" t="str">
        <f t="shared" si="2"/>
        <v>itemText,dailCompTextHunting58,</v>
      </c>
      <c r="E60" s="5" t="str">
        <f t="shared" si="14"/>
        <v>augmentSkillLevel1,5,</v>
      </c>
      <c r="F60" s="5" t="str">
        <f t="shared" si="15"/>
        <v>augmentSkillName1,records/skillshunting/weaponskill_gouge.dbr,,</v>
      </c>
      <c r="G60" s="7">
        <f t="shared" si="10"/>
        <v>58</v>
      </c>
      <c r="H60" s="8" t="str">
        <f t="shared" si="11"/>
        <v>Hunting</v>
      </c>
      <c r="I60" s="3" t="s">
        <v>610</v>
      </c>
      <c r="J60" s="8" t="str">
        <f t="shared" si="22"/>
        <v>class0017</v>
      </c>
      <c r="K60" s="8" t="str">
        <f t="shared" si="22"/>
        <v>dailoneskill0017</v>
      </c>
      <c r="L60" s="5" t="str">
        <f t="shared" si="4"/>
        <v>lootName58,DAIL/items/materia/class0017/Hunting58.dbr,</v>
      </c>
      <c r="M60" s="5" t="str">
        <f t="shared" si="5"/>
        <v>lootWeight58,1,</v>
      </c>
      <c r="N60" t="str">
        <f t="shared" si="6"/>
        <v>5</v>
      </c>
      <c r="O60" t="str">
        <f t="shared" si="16"/>
        <v>copy .\dail_base3.dbr .\items\materia\class0017\Hunting58.dbr /y</v>
      </c>
      <c r="P60" t="str">
        <f t="shared" si="23"/>
        <v>echo relicBitmap,items/craftingparts/components/component_a52_bristlyfur_b.tex, &gt;&gt; .\items\materia\class0017\Hunting58.dbr</v>
      </c>
      <c r="Q60" t="str">
        <f t="shared" si="23"/>
        <v>echo itemCost,500000, &gt;&gt; .\items\materia\class0017\Hunting58.dbr</v>
      </c>
      <c r="R60" t="str">
        <f t="shared" si="23"/>
        <v>echo description,dailCompDescHunting58, &gt;&gt; .\items\materia\class0017\Hunting58.dbr</v>
      </c>
      <c r="S60" t="str">
        <f t="shared" si="23"/>
        <v>echo itemText,dailCompTextHunting58, &gt;&gt; .\items\materia\class0017\Hunting58.dbr</v>
      </c>
      <c r="T60" t="str">
        <f t="shared" si="23"/>
        <v>echo augmentSkillLevel1,5, &gt;&gt; .\items\materia\class0017\Hunting58.dbr</v>
      </c>
      <c r="U60" t="str">
        <f t="shared" si="23"/>
        <v>echo augmentSkillName1,records/skillshunting/weaponskill_gouge.dbr,, &gt;&gt; .\items\materia\class0017\Hunting58.dbr</v>
      </c>
      <c r="V60" s="5" t="s">
        <v>36</v>
      </c>
      <c r="W60" t="str">
        <f t="shared" si="8"/>
        <v>echo lootName58,DAIL/items/materia/class0017/Hunting58.dbr, &gt;&gt; .\items\loottables\dailoneskill0017.dbr</v>
      </c>
      <c r="X60" t="str">
        <f t="shared" si="8"/>
        <v>echo lootWeight58,1, &gt;&gt; .\items\loottables\dailoneskill0017.dbr</v>
      </c>
      <c r="Y60" s="5" t="s">
        <v>36</v>
      </c>
      <c r="Z60" t="str">
        <f t="shared" si="9"/>
        <v xml:space="preserve"> dailCompDescHunting58=^pHunting's Gift of DAIL</v>
      </c>
      <c r="AA60" t="str">
        <f t="shared" si="17"/>
        <v>dailCompTextHunting58=^oThis feels warm to the touch, almost familiar ^w(This component only fits into the Medal Slot)</v>
      </c>
      <c r="AB60" s="5" t="s">
        <v>36</v>
      </c>
      <c r="AH60">
        <f t="shared" si="19"/>
        <v>55</v>
      </c>
      <c r="AI60">
        <f t="shared" si="13"/>
        <v>30</v>
      </c>
      <c r="AJ60">
        <f t="shared" si="18"/>
        <v>5</v>
      </c>
    </row>
    <row r="61" spans="1:36" x14ac:dyDescent="0.25">
      <c r="A61" s="5" t="s">
        <v>39</v>
      </c>
      <c r="B61" s="5" t="s">
        <v>30</v>
      </c>
      <c r="C61" s="5" t="str">
        <f t="shared" si="0"/>
        <v>description,dailCompDescHunting59,</v>
      </c>
      <c r="D61" s="5" t="str">
        <f t="shared" si="2"/>
        <v>itemText,dailCompTextHunting59,</v>
      </c>
      <c r="E61" s="5" t="str">
        <f t="shared" si="14"/>
        <v>augmentSkillLevel1,5,</v>
      </c>
      <c r="F61" s="5" t="str">
        <f t="shared" si="15"/>
        <v>augmentSkillName1,records/skillshunting/weaponskill_volley.dbr,,</v>
      </c>
      <c r="G61" s="7">
        <f t="shared" si="10"/>
        <v>59</v>
      </c>
      <c r="H61" s="8" t="str">
        <f t="shared" si="11"/>
        <v>Hunting</v>
      </c>
      <c r="I61" s="3" t="s">
        <v>611</v>
      </c>
      <c r="J61" s="8" t="str">
        <f t="shared" si="22"/>
        <v>class0017</v>
      </c>
      <c r="K61" s="8" t="str">
        <f t="shared" si="22"/>
        <v>dailoneskill0017</v>
      </c>
      <c r="L61" s="5" t="str">
        <f t="shared" si="4"/>
        <v>lootName59,DAIL/items/materia/class0017/Hunting59.dbr,</v>
      </c>
      <c r="M61" s="5" t="str">
        <f t="shared" si="5"/>
        <v>lootWeight59,1,</v>
      </c>
      <c r="N61" t="str">
        <f t="shared" si="6"/>
        <v>5</v>
      </c>
      <c r="O61" t="str">
        <f t="shared" si="16"/>
        <v>copy .\dail_base3.dbr .\items\materia\class0017\Hunting59.dbr /y</v>
      </c>
      <c r="P61" t="str">
        <f t="shared" si="23"/>
        <v>echo relicBitmap,items/craftingparts/components/component_a52_bristlyfur_b.tex, &gt;&gt; .\items\materia\class0017\Hunting59.dbr</v>
      </c>
      <c r="Q61" t="str">
        <f t="shared" si="23"/>
        <v>echo itemCost,500000, &gt;&gt; .\items\materia\class0017\Hunting59.dbr</v>
      </c>
      <c r="R61" t="str">
        <f t="shared" si="23"/>
        <v>echo description,dailCompDescHunting59, &gt;&gt; .\items\materia\class0017\Hunting59.dbr</v>
      </c>
      <c r="S61" t="str">
        <f t="shared" si="23"/>
        <v>echo itemText,dailCompTextHunting59, &gt;&gt; .\items\materia\class0017\Hunting59.dbr</v>
      </c>
      <c r="T61" t="str">
        <f t="shared" si="23"/>
        <v>echo augmentSkillLevel1,5, &gt;&gt; .\items\materia\class0017\Hunting59.dbr</v>
      </c>
      <c r="U61" t="str">
        <f t="shared" si="23"/>
        <v>echo augmentSkillName1,records/skillshunting/weaponskill_volley.dbr,, &gt;&gt; .\items\materia\class0017\Hunting59.dbr</v>
      </c>
      <c r="V61" s="5" t="s">
        <v>36</v>
      </c>
      <c r="W61" t="str">
        <f t="shared" si="8"/>
        <v>echo lootName59,DAIL/items/materia/class0017/Hunting59.dbr, &gt;&gt; .\items\loottables\dailoneskill0017.dbr</v>
      </c>
      <c r="X61" t="str">
        <f t="shared" si="8"/>
        <v>echo lootWeight59,1, &gt;&gt; .\items\loottables\dailoneskill0017.dbr</v>
      </c>
      <c r="Y61" s="5" t="s">
        <v>36</v>
      </c>
      <c r="Z61" t="str">
        <f t="shared" si="9"/>
        <v xml:space="preserve"> dailCompDescHunting59=^pHunting's Gift of DAIL</v>
      </c>
      <c r="AA61" t="str">
        <f t="shared" si="17"/>
        <v>dailCompTextHunting59=^oThis feels warm to the touch, almost familiar ^w(This component only fits into the Medal Slot)</v>
      </c>
      <c r="AB61" s="5" t="s">
        <v>36</v>
      </c>
      <c r="AH61">
        <f t="shared" si="19"/>
        <v>56</v>
      </c>
      <c r="AI61">
        <f t="shared" si="13"/>
        <v>31</v>
      </c>
      <c r="AJ61">
        <f t="shared" si="18"/>
        <v>5</v>
      </c>
    </row>
    <row r="62" spans="1:36" x14ac:dyDescent="0.25">
      <c r="A62" s="5" t="s">
        <v>39</v>
      </c>
      <c r="B62" s="5" t="s">
        <v>30</v>
      </c>
      <c r="C62" s="5" t="str">
        <f t="shared" si="0"/>
        <v>description,dailCompDescHunting60,</v>
      </c>
      <c r="D62" s="5" t="str">
        <f t="shared" si="2"/>
        <v>itemText,dailCompTextHunting60,</v>
      </c>
      <c r="E62" s="5" t="str">
        <f t="shared" si="14"/>
        <v>augmentSkillLevel1,5,</v>
      </c>
      <c r="F62" s="5" t="str">
        <f t="shared" si="15"/>
        <v>augmentSkillName1,records/skillshunting/takedown.dbr,,</v>
      </c>
      <c r="G62" s="7">
        <f t="shared" si="10"/>
        <v>60</v>
      </c>
      <c r="H62" s="8" t="str">
        <f t="shared" si="11"/>
        <v>Hunting</v>
      </c>
      <c r="I62" s="3" t="s">
        <v>612</v>
      </c>
      <c r="J62" s="8" t="str">
        <f t="shared" si="22"/>
        <v>class0017</v>
      </c>
      <c r="K62" s="8" t="str">
        <f t="shared" si="22"/>
        <v>dailoneskill0017</v>
      </c>
      <c r="L62" s="5" t="str">
        <f t="shared" si="4"/>
        <v>lootName60,DAIL/items/materia/class0017/Hunting60.dbr,</v>
      </c>
      <c r="M62" s="5" t="str">
        <f t="shared" si="5"/>
        <v>lootWeight60,1,</v>
      </c>
      <c r="N62" t="str">
        <f t="shared" si="6"/>
        <v>5</v>
      </c>
      <c r="O62" t="str">
        <f t="shared" si="16"/>
        <v>copy .\dail_base3.dbr .\items\materia\class0017\Hunting60.dbr /y</v>
      </c>
      <c r="P62" t="str">
        <f t="shared" si="23"/>
        <v>echo relicBitmap,items/craftingparts/components/component_a52_bristlyfur_b.tex, &gt;&gt; .\items\materia\class0017\Hunting60.dbr</v>
      </c>
      <c r="Q62" t="str">
        <f t="shared" si="23"/>
        <v>echo itemCost,500000, &gt;&gt; .\items\materia\class0017\Hunting60.dbr</v>
      </c>
      <c r="R62" t="str">
        <f t="shared" si="23"/>
        <v>echo description,dailCompDescHunting60, &gt;&gt; .\items\materia\class0017\Hunting60.dbr</v>
      </c>
      <c r="S62" t="str">
        <f t="shared" si="23"/>
        <v>echo itemText,dailCompTextHunting60, &gt;&gt; .\items\materia\class0017\Hunting60.dbr</v>
      </c>
      <c r="T62" t="str">
        <f t="shared" si="23"/>
        <v>echo augmentSkillLevel1,5, &gt;&gt; .\items\materia\class0017\Hunting60.dbr</v>
      </c>
      <c r="U62" t="str">
        <f t="shared" si="23"/>
        <v>echo augmentSkillName1,records/skillshunting/takedown.dbr,, &gt;&gt; .\items\materia\class0017\Hunting60.dbr</v>
      </c>
      <c r="V62" s="5" t="s">
        <v>36</v>
      </c>
      <c r="W62" t="str">
        <f t="shared" si="8"/>
        <v>echo lootName60,DAIL/items/materia/class0017/Hunting60.dbr, &gt;&gt; .\items\loottables\dailoneskill0017.dbr</v>
      </c>
      <c r="X62" t="str">
        <f t="shared" si="8"/>
        <v>echo lootWeight60,1, &gt;&gt; .\items\loottables\dailoneskill0017.dbr</v>
      </c>
      <c r="Y62" s="5" t="s">
        <v>36</v>
      </c>
      <c r="Z62" t="str">
        <f t="shared" si="9"/>
        <v xml:space="preserve"> dailCompDescHunting60=^pHunting's Gift of DAIL</v>
      </c>
      <c r="AA62" t="str">
        <f t="shared" si="17"/>
        <v>dailCompTextHunting60=^oThis feels warm to the touch, almost familiar ^w(This component only fits into the Medal Slot)</v>
      </c>
      <c r="AB62" s="5" t="s">
        <v>36</v>
      </c>
      <c r="AH62">
        <f t="shared" si="19"/>
        <v>57</v>
      </c>
      <c r="AI62">
        <f t="shared" si="13"/>
        <v>21</v>
      </c>
      <c r="AJ62">
        <f t="shared" si="18"/>
        <v>5</v>
      </c>
    </row>
    <row r="63" spans="1:36" x14ac:dyDescent="0.25">
      <c r="A63" s="5" t="s">
        <v>39</v>
      </c>
      <c r="B63" s="5" t="s">
        <v>30</v>
      </c>
      <c r="C63" s="5" t="str">
        <f t="shared" si="0"/>
        <v>description,dailCompDescHunting61,</v>
      </c>
      <c r="D63" s="5" t="str">
        <f t="shared" si="2"/>
        <v>itemText,dailCompTextHunting61,</v>
      </c>
      <c r="E63" s="5" t="str">
        <f t="shared" si="14"/>
        <v>augmentSkillLevel1,5,</v>
      </c>
      <c r="F63" s="5" t="str">
        <f t="shared" si="15"/>
        <v>augmentSkillName1,records/skillshunting/takedown_eviscerate.dbr,,</v>
      </c>
      <c r="G63" s="7">
        <f t="shared" si="10"/>
        <v>61</v>
      </c>
      <c r="H63" s="8" t="str">
        <f t="shared" si="11"/>
        <v>Hunting</v>
      </c>
      <c r="I63" s="3" t="s">
        <v>613</v>
      </c>
      <c r="J63" s="8" t="str">
        <f t="shared" si="22"/>
        <v>class0017</v>
      </c>
      <c r="K63" s="8" t="str">
        <f t="shared" si="22"/>
        <v>dailoneskill0017</v>
      </c>
      <c r="L63" s="5" t="str">
        <f t="shared" si="4"/>
        <v>lootName61,DAIL/items/materia/class0017/Hunting61.dbr,</v>
      </c>
      <c r="M63" s="5" t="str">
        <f t="shared" si="5"/>
        <v>lootWeight61,1,</v>
      </c>
      <c r="N63" t="str">
        <f t="shared" si="6"/>
        <v>5</v>
      </c>
      <c r="O63" t="str">
        <f t="shared" si="16"/>
        <v>copy .\dail_base3.dbr .\items\materia\class0017\Hunting61.dbr /y</v>
      </c>
      <c r="P63" t="str">
        <f t="shared" si="23"/>
        <v>echo relicBitmap,items/craftingparts/components/component_a52_bristlyfur_b.tex, &gt;&gt; .\items\materia\class0017\Hunting61.dbr</v>
      </c>
      <c r="Q63" t="str">
        <f t="shared" si="23"/>
        <v>echo itemCost,500000, &gt;&gt; .\items\materia\class0017\Hunting61.dbr</v>
      </c>
      <c r="R63" t="str">
        <f t="shared" si="23"/>
        <v>echo description,dailCompDescHunting61, &gt;&gt; .\items\materia\class0017\Hunting61.dbr</v>
      </c>
      <c r="S63" t="str">
        <f t="shared" si="23"/>
        <v>echo itemText,dailCompTextHunting61, &gt;&gt; .\items\materia\class0017\Hunting61.dbr</v>
      </c>
      <c r="T63" t="str">
        <f t="shared" si="23"/>
        <v>echo augmentSkillLevel1,5, &gt;&gt; .\items\materia\class0017\Hunting61.dbr</v>
      </c>
      <c r="U63" t="str">
        <f t="shared" si="23"/>
        <v>echo augmentSkillName1,records/skillshunting/takedown_eviscerate.dbr,, &gt;&gt; .\items\materia\class0017\Hunting61.dbr</v>
      </c>
      <c r="V63" s="5" t="s">
        <v>36</v>
      </c>
      <c r="W63" t="str">
        <f t="shared" si="8"/>
        <v>echo lootName61,DAIL/items/materia/class0017/Hunting61.dbr, &gt;&gt; .\items\loottables\dailoneskill0017.dbr</v>
      </c>
      <c r="X63" t="str">
        <f t="shared" si="8"/>
        <v>echo lootWeight61,1, &gt;&gt; .\items\loottables\dailoneskill0017.dbr</v>
      </c>
      <c r="Y63" s="5" t="s">
        <v>36</v>
      </c>
      <c r="Z63" t="str">
        <f t="shared" si="9"/>
        <v xml:space="preserve"> dailCompDescHunting61=^pHunting's Gift of DAIL</v>
      </c>
      <c r="AA63" t="str">
        <f t="shared" si="17"/>
        <v>dailCompTextHunting61=^oThis feels warm to the touch, almost familiar ^w(This component only fits into the Medal Slot)</v>
      </c>
      <c r="AB63" s="5" t="s">
        <v>36</v>
      </c>
      <c r="AH63">
        <f t="shared" si="19"/>
        <v>58</v>
      </c>
      <c r="AI63">
        <f t="shared" si="13"/>
        <v>32</v>
      </c>
      <c r="AJ63">
        <f t="shared" si="18"/>
        <v>5</v>
      </c>
    </row>
    <row r="64" spans="1:36" x14ac:dyDescent="0.25">
      <c r="A64" s="5" t="s">
        <v>39</v>
      </c>
      <c r="B64" s="5" t="s">
        <v>30</v>
      </c>
      <c r="C64" s="5" t="str">
        <f t="shared" si="0"/>
        <v>description,dailCompDescHunting62,</v>
      </c>
      <c r="D64" s="5" t="str">
        <f t="shared" si="2"/>
        <v>itemText,dailCompTextHunting62,</v>
      </c>
      <c r="E64" s="5" t="str">
        <f t="shared" si="14"/>
        <v>augmentSkillLevel1,5,</v>
      </c>
      <c r="F64" s="5" t="str">
        <f t="shared" si="15"/>
        <v>augmentSkillName1,records/skillshunting/monsterlure.dbr,,</v>
      </c>
      <c r="G64" s="7">
        <f t="shared" si="10"/>
        <v>62</v>
      </c>
      <c r="H64" s="8" t="str">
        <f t="shared" si="11"/>
        <v>Hunting</v>
      </c>
      <c r="I64" s="3" t="s">
        <v>614</v>
      </c>
      <c r="J64" s="8" t="str">
        <f t="shared" si="22"/>
        <v>class0017</v>
      </c>
      <c r="K64" s="8" t="str">
        <f t="shared" si="22"/>
        <v>dailoneskill0017</v>
      </c>
      <c r="L64" s="5" t="str">
        <f t="shared" si="4"/>
        <v>lootName62,DAIL/items/materia/class0017/Hunting62.dbr,</v>
      </c>
      <c r="M64" s="5" t="str">
        <f t="shared" si="5"/>
        <v>lootWeight62,1,</v>
      </c>
      <c r="N64" t="str">
        <f t="shared" si="6"/>
        <v>5</v>
      </c>
      <c r="O64" t="str">
        <f t="shared" si="16"/>
        <v>copy .\dail_base3.dbr .\items\materia\class0017\Hunting62.dbr /y</v>
      </c>
      <c r="P64" t="str">
        <f t="shared" si="23"/>
        <v>echo relicBitmap,items/craftingparts/components/component_a52_bristlyfur_b.tex, &gt;&gt; .\items\materia\class0017\Hunting62.dbr</v>
      </c>
      <c r="Q64" t="str">
        <f t="shared" si="23"/>
        <v>echo itemCost,500000, &gt;&gt; .\items\materia\class0017\Hunting62.dbr</v>
      </c>
      <c r="R64" t="str">
        <f t="shared" si="23"/>
        <v>echo description,dailCompDescHunting62, &gt;&gt; .\items\materia\class0017\Hunting62.dbr</v>
      </c>
      <c r="S64" t="str">
        <f t="shared" si="23"/>
        <v>echo itemText,dailCompTextHunting62, &gt;&gt; .\items\materia\class0017\Hunting62.dbr</v>
      </c>
      <c r="T64" t="str">
        <f t="shared" si="23"/>
        <v>echo augmentSkillLevel1,5, &gt;&gt; .\items\materia\class0017\Hunting62.dbr</v>
      </c>
      <c r="U64" t="str">
        <f t="shared" si="23"/>
        <v>echo augmentSkillName1,records/skillshunting/monsterlure.dbr,, &gt;&gt; .\items\materia\class0017\Hunting62.dbr</v>
      </c>
      <c r="V64" s="5" t="s">
        <v>36</v>
      </c>
      <c r="W64" t="str">
        <f t="shared" si="8"/>
        <v>echo lootName62,DAIL/items/materia/class0017/Hunting62.dbr, &gt;&gt; .\items\loottables\dailoneskill0017.dbr</v>
      </c>
      <c r="X64" t="str">
        <f t="shared" si="8"/>
        <v>echo lootWeight62,1, &gt;&gt; .\items\loottables\dailoneskill0017.dbr</v>
      </c>
      <c r="Y64" s="5" t="s">
        <v>36</v>
      </c>
      <c r="Z64" t="str">
        <f t="shared" si="9"/>
        <v xml:space="preserve"> dailCompDescHunting62=^pHunting's Gift of DAIL</v>
      </c>
      <c r="AA64" t="str">
        <f t="shared" si="17"/>
        <v>dailCompTextHunting62=^oThis feels warm to the touch, almost familiar ^w(This component only fits into the Medal Slot)</v>
      </c>
      <c r="AB64" s="5" t="s">
        <v>36</v>
      </c>
      <c r="AH64">
        <f t="shared" si="19"/>
        <v>59</v>
      </c>
      <c r="AI64">
        <f t="shared" si="13"/>
        <v>24</v>
      </c>
      <c r="AJ64">
        <f t="shared" si="18"/>
        <v>5</v>
      </c>
    </row>
    <row r="65" spans="1:36" x14ac:dyDescent="0.25">
      <c r="A65" s="5" t="s">
        <v>39</v>
      </c>
      <c r="B65" s="5" t="s">
        <v>30</v>
      </c>
      <c r="C65" s="5" t="str">
        <f t="shared" si="0"/>
        <v>description,dailCompDescHunting63,</v>
      </c>
      <c r="D65" s="5" t="str">
        <f t="shared" si="2"/>
        <v>itemText,dailCompTextHunting63,</v>
      </c>
      <c r="E65" s="5" t="str">
        <f t="shared" si="14"/>
        <v>augmentSkillLevel1,5,</v>
      </c>
      <c r="F65" s="5" t="str">
        <f t="shared" si="15"/>
        <v>augmentSkillName1,records/skillshunting/monsterlure_petmodifier_detonate.dbr,,</v>
      </c>
      <c r="G65" s="7">
        <f t="shared" si="10"/>
        <v>63</v>
      </c>
      <c r="H65" s="8" t="str">
        <f t="shared" si="11"/>
        <v>Hunting</v>
      </c>
      <c r="I65" s="3" t="s">
        <v>615</v>
      </c>
      <c r="J65" s="8" t="str">
        <f t="shared" si="22"/>
        <v>class0017</v>
      </c>
      <c r="K65" s="8" t="str">
        <f t="shared" si="22"/>
        <v>dailoneskill0017</v>
      </c>
      <c r="L65" s="5" t="str">
        <f t="shared" si="4"/>
        <v>lootName63,DAIL/items/materia/class0017/Hunting63.dbr,</v>
      </c>
      <c r="M65" s="5" t="str">
        <f t="shared" si="5"/>
        <v>lootWeight63,1,</v>
      </c>
      <c r="N65" t="str">
        <f t="shared" si="6"/>
        <v>5</v>
      </c>
      <c r="O65" t="str">
        <f t="shared" si="16"/>
        <v>copy .\dail_base3.dbr .\items\materia\class0017\Hunting63.dbr /y</v>
      </c>
      <c r="P65" t="str">
        <f t="shared" si="23"/>
        <v>echo relicBitmap,items/craftingparts/components/component_a52_bristlyfur_b.tex, &gt;&gt; .\items\materia\class0017\Hunting63.dbr</v>
      </c>
      <c r="Q65" t="str">
        <f t="shared" si="23"/>
        <v>echo itemCost,500000, &gt;&gt; .\items\materia\class0017\Hunting63.dbr</v>
      </c>
      <c r="R65" t="str">
        <f t="shared" si="23"/>
        <v>echo description,dailCompDescHunting63, &gt;&gt; .\items\materia\class0017\Hunting63.dbr</v>
      </c>
      <c r="S65" t="str">
        <f t="shared" si="23"/>
        <v>echo itemText,dailCompTextHunting63, &gt;&gt; .\items\materia\class0017\Hunting63.dbr</v>
      </c>
      <c r="T65" t="str">
        <f t="shared" si="23"/>
        <v>echo augmentSkillLevel1,5, &gt;&gt; .\items\materia\class0017\Hunting63.dbr</v>
      </c>
      <c r="U65" t="str">
        <f t="shared" si="23"/>
        <v>echo augmentSkillName1,records/skillshunting/monsterlure_petmodifier_detonate.dbr,, &gt;&gt; .\items\materia\class0017\Hunting63.dbr</v>
      </c>
      <c r="V65" s="5" t="s">
        <v>36</v>
      </c>
      <c r="W65" t="str">
        <f t="shared" si="8"/>
        <v>echo lootName63,DAIL/items/materia/class0017/Hunting63.dbr, &gt;&gt; .\items\loottables\dailoneskill0017.dbr</v>
      </c>
      <c r="X65" t="str">
        <f t="shared" si="8"/>
        <v>echo lootWeight63,1, &gt;&gt; .\items\loottables\dailoneskill0017.dbr</v>
      </c>
      <c r="Y65" s="5" t="s">
        <v>36</v>
      </c>
      <c r="Z65" t="str">
        <f t="shared" si="9"/>
        <v xml:space="preserve"> dailCompDescHunting63=^pHunting's Gift of DAIL</v>
      </c>
      <c r="AA65" t="str">
        <f t="shared" si="17"/>
        <v>dailCompTextHunting63=^oThis feels warm to the touch, almost familiar ^w(This component only fits into the Medal Slot)</v>
      </c>
      <c r="AB65" s="5" t="s">
        <v>36</v>
      </c>
      <c r="AH65">
        <f t="shared" si="19"/>
        <v>60</v>
      </c>
      <c r="AI65">
        <f t="shared" si="13"/>
        <v>45</v>
      </c>
      <c r="AJ65">
        <f t="shared" si="18"/>
        <v>5</v>
      </c>
    </row>
    <row r="66" spans="1:36" x14ac:dyDescent="0.25">
      <c r="A66" s="5" t="s">
        <v>39</v>
      </c>
      <c r="B66" s="5" t="s">
        <v>30</v>
      </c>
      <c r="C66" s="5" t="str">
        <f t="shared" si="0"/>
        <v>description,dailCompDescHunting,</v>
      </c>
      <c r="D66" s="5" t="str">
        <f t="shared" si="2"/>
        <v>itemText,dailCompTextHunting,</v>
      </c>
      <c r="E66" s="5" t="str">
        <f t="shared" si="14"/>
        <v>augmentSkillLevel1,5,</v>
      </c>
      <c r="F66" s="5" t="str">
        <f t="shared" si="15"/>
        <v>augmentSkillName1,records/skills,</v>
      </c>
      <c r="G66" s="7" t="str">
        <f t="shared" si="10"/>
        <v/>
      </c>
      <c r="H66" s="8" t="str">
        <f t="shared" si="11"/>
        <v>Hunting</v>
      </c>
      <c r="J66" s="8" t="str">
        <f t="shared" si="22"/>
        <v>class0017</v>
      </c>
      <c r="K66" s="8" t="str">
        <f t="shared" si="22"/>
        <v>dailoneskill0017</v>
      </c>
      <c r="L66" s="5" t="str">
        <f t="shared" si="4"/>
        <v>lootName,DAIL/items/materia/class0017/Hunting.dbr,</v>
      </c>
      <c r="M66" s="5" t="str">
        <f t="shared" si="5"/>
        <v>lootWeight,1,</v>
      </c>
      <c r="N66" t="str">
        <f t="shared" si="6"/>
        <v>5</v>
      </c>
      <c r="O66" t="str">
        <f t="shared" si="16"/>
        <v/>
      </c>
      <c r="P66" t="str">
        <f t="shared" si="23"/>
        <v/>
      </c>
      <c r="Q66" t="str">
        <f t="shared" si="23"/>
        <v/>
      </c>
      <c r="R66" t="str">
        <f t="shared" si="23"/>
        <v/>
      </c>
      <c r="S66" t="str">
        <f t="shared" si="23"/>
        <v/>
      </c>
      <c r="T66" t="str">
        <f t="shared" si="23"/>
        <v/>
      </c>
      <c r="U66" t="str">
        <f t="shared" si="23"/>
        <v/>
      </c>
      <c r="V66" s="5" t="s">
        <v>36</v>
      </c>
      <c r="W66" t="str">
        <f t="shared" si="8"/>
        <v/>
      </c>
      <c r="X66" t="str">
        <f t="shared" si="8"/>
        <v/>
      </c>
      <c r="Y66" s="5" t="s">
        <v>36</v>
      </c>
      <c r="Z66" t="str">
        <f t="shared" si="9"/>
        <v xml:space="preserve"> dailCompDescHunting=^pHunting's Gift of DAIL</v>
      </c>
      <c r="AA66" t="str">
        <f t="shared" si="17"/>
        <v>dailCompTextHunting=^oThis feels warm to the touch, almost familiar ^w(This component only fits into the Medal Slot)</v>
      </c>
      <c r="AB66" s="5" t="s">
        <v>36</v>
      </c>
      <c r="AH66">
        <f t="shared" si="19"/>
        <v>61</v>
      </c>
      <c r="AI66">
        <f t="shared" si="13"/>
        <v>0</v>
      </c>
      <c r="AJ66">
        <f t="shared" si="18"/>
        <v>5</v>
      </c>
    </row>
    <row r="67" spans="1:36" x14ac:dyDescent="0.25">
      <c r="A67" s="5" t="s">
        <v>39</v>
      </c>
      <c r="B67" s="5" t="s">
        <v>30</v>
      </c>
      <c r="C67" s="5" t="str">
        <f t="shared" ref="C67:C102" si="24">"description,dailCompDesc"&amp;H67&amp;G67&amp;","</f>
        <v>description,dailCompDescHunting,</v>
      </c>
      <c r="D67" s="5" t="str">
        <f t="shared" si="2"/>
        <v>itemText,dailCompTextHunting,</v>
      </c>
      <c r="E67" s="5" t="str">
        <f t="shared" si="14"/>
        <v>augmentSkillLevel1,5,</v>
      </c>
      <c r="F67" s="5" t="str">
        <f t="shared" si="15"/>
        <v>augmentSkillName1,records/skills,</v>
      </c>
      <c r="G67" s="7" t="str">
        <f t="shared" si="10"/>
        <v/>
      </c>
      <c r="H67" s="8" t="str">
        <f t="shared" si="11"/>
        <v>Hunting</v>
      </c>
      <c r="J67" s="8" t="str">
        <f t="shared" si="22"/>
        <v>class0017</v>
      </c>
      <c r="K67" s="8" t="str">
        <f t="shared" si="22"/>
        <v>dailoneskill0017</v>
      </c>
      <c r="L67" s="5" t="str">
        <f t="shared" si="4"/>
        <v>lootName,DAIL/items/materia/class0017/Hunting.dbr,</v>
      </c>
      <c r="M67" s="5" t="str">
        <f t="shared" si="5"/>
        <v>lootWeight,1,</v>
      </c>
      <c r="N67" t="str">
        <f t="shared" si="6"/>
        <v>5</v>
      </c>
      <c r="O67" t="str">
        <f t="shared" si="16"/>
        <v/>
      </c>
      <c r="P67" t="str">
        <f t="shared" si="23"/>
        <v/>
      </c>
      <c r="Q67" t="str">
        <f t="shared" si="23"/>
        <v/>
      </c>
      <c r="R67" t="str">
        <f t="shared" si="23"/>
        <v/>
      </c>
      <c r="S67" t="str">
        <f t="shared" si="23"/>
        <v/>
      </c>
      <c r="T67" t="str">
        <f t="shared" si="23"/>
        <v/>
      </c>
      <c r="U67" t="str">
        <f t="shared" si="23"/>
        <v/>
      </c>
      <c r="V67" s="5" t="s">
        <v>36</v>
      </c>
      <c r="W67" t="str">
        <f t="shared" si="8"/>
        <v/>
      </c>
      <c r="X67" t="str">
        <f t="shared" si="8"/>
        <v/>
      </c>
      <c r="Y67" s="5" t="s">
        <v>36</v>
      </c>
      <c r="Z67" t="str">
        <f t="shared" si="9"/>
        <v/>
      </c>
      <c r="AA67" t="str">
        <f t="shared" si="17"/>
        <v/>
      </c>
      <c r="AB67" s="5" t="s">
        <v>36</v>
      </c>
      <c r="AH67">
        <f t="shared" si="19"/>
        <v>62</v>
      </c>
      <c r="AI67">
        <f t="shared" si="13"/>
        <v>0</v>
      </c>
      <c r="AJ67">
        <f t="shared" si="18"/>
        <v>5</v>
      </c>
    </row>
    <row r="68" spans="1:36" x14ac:dyDescent="0.25">
      <c r="A68" s="5" t="s">
        <v>39</v>
      </c>
      <c r="B68" s="5" t="s">
        <v>30</v>
      </c>
      <c r="C68" s="5" t="str">
        <f t="shared" si="24"/>
        <v>description,dailCompDescHunting,</v>
      </c>
      <c r="D68" s="5" t="str">
        <f t="shared" ref="D68:D102" si="25">"itemText,dailCompText"&amp;H68&amp;G68&amp;","</f>
        <v>itemText,dailCompTextHunting,</v>
      </c>
      <c r="E68" s="5" t="str">
        <f t="shared" si="14"/>
        <v>augmentSkillLevel1,5,</v>
      </c>
      <c r="F68" s="5" t="str">
        <f t="shared" si="15"/>
        <v>augmentSkillName1,records/skills,</v>
      </c>
      <c r="G68" s="7" t="str">
        <f t="shared" si="10"/>
        <v/>
      </c>
      <c r="H68" s="8" t="str">
        <f t="shared" si="11"/>
        <v>Hunting</v>
      </c>
      <c r="J68" s="8" t="str">
        <f t="shared" si="22"/>
        <v>class0017</v>
      </c>
      <c r="K68" s="8" t="str">
        <f t="shared" si="22"/>
        <v>dailoneskill0017</v>
      </c>
      <c r="L68" s="5" t="str">
        <f t="shared" ref="L68:L102" si="26">"lootName"&amp;G68&amp;",DAIL/items/materia/"&amp;J68&amp;"/"&amp;H68&amp;G68&amp;".dbr"&amp;","</f>
        <v>lootName,DAIL/items/materia/class0017/Hunting.dbr,</v>
      </c>
      <c r="M68" s="5" t="str">
        <f t="shared" ref="M68:M102" si="27">"lootWeight"&amp;G68&amp;",1,"</f>
        <v>lootWeight,1,</v>
      </c>
      <c r="N68" t="str">
        <f t="shared" ref="N68:N102" si="28">LEFT(RIGHT(E68,2),1)</f>
        <v>5</v>
      </c>
      <c r="O68" t="str">
        <f t="shared" si="16"/>
        <v/>
      </c>
      <c r="P68" t="str">
        <f t="shared" si="23"/>
        <v/>
      </c>
      <c r="Q68" t="str">
        <f t="shared" si="23"/>
        <v/>
      </c>
      <c r="R68" t="str">
        <f t="shared" si="23"/>
        <v/>
      </c>
      <c r="S68" t="str">
        <f t="shared" si="23"/>
        <v/>
      </c>
      <c r="T68" t="str">
        <f t="shared" si="23"/>
        <v/>
      </c>
      <c r="U68" t="str">
        <f t="shared" si="23"/>
        <v/>
      </c>
      <c r="V68" s="5" t="s">
        <v>36</v>
      </c>
      <c r="W68" t="str">
        <f t="shared" ref="W68:X102" si="29">IF($I68&lt;&gt;"","echo "&amp;L68&amp;" &gt;&gt; .\items\loottables\"&amp;$K68&amp;".dbr","")</f>
        <v/>
      </c>
      <c r="X68" t="str">
        <f t="shared" si="29"/>
        <v/>
      </c>
      <c r="Y68" s="5" t="s">
        <v>36</v>
      </c>
      <c r="Z68" t="str">
        <f t="shared" ref="Z68:Z102" si="30">IF(I67&lt;&gt;""," dailCompDesc"&amp;H68&amp;G68&amp;"=^p"&amp;H68&amp;"'s Gift of DAIL","")</f>
        <v/>
      </c>
      <c r="AA68" t="str">
        <f t="shared" si="17"/>
        <v/>
      </c>
      <c r="AB68" s="5" t="s">
        <v>36</v>
      </c>
      <c r="AH68">
        <f t="shared" si="19"/>
        <v>63</v>
      </c>
      <c r="AI68">
        <f t="shared" si="13"/>
        <v>0</v>
      </c>
      <c r="AJ68">
        <f t="shared" si="18"/>
        <v>5</v>
      </c>
    </row>
    <row r="69" spans="1:36" x14ac:dyDescent="0.25">
      <c r="A69" s="5" t="s">
        <v>39</v>
      </c>
      <c r="B69" s="5" t="s">
        <v>30</v>
      </c>
      <c r="C69" s="5" t="str">
        <f t="shared" si="24"/>
        <v>description,dailCompDescHunting,</v>
      </c>
      <c r="D69" s="5" t="str">
        <f t="shared" si="25"/>
        <v>itemText,dailCompTextHunting,</v>
      </c>
      <c r="E69" s="5" t="str">
        <f t="shared" si="14"/>
        <v>augmentSkillLevel1,5,</v>
      </c>
      <c r="F69" s="5" t="str">
        <f t="shared" si="15"/>
        <v>augmentSkillName1,records/skills,</v>
      </c>
      <c r="G69" s="7" t="str">
        <f t="shared" ref="G69:G102" si="31">IF(I69&lt;&gt;"",G68+1,"")</f>
        <v/>
      </c>
      <c r="H69" s="8" t="str">
        <f t="shared" ref="H69:H102" si="32">H68</f>
        <v>Hunting</v>
      </c>
      <c r="J69" s="8" t="str">
        <f t="shared" ref="J69:K84" si="33">J68</f>
        <v>class0017</v>
      </c>
      <c r="K69" s="8" t="str">
        <f t="shared" si="33"/>
        <v>dailoneskill0017</v>
      </c>
      <c r="L69" s="5" t="str">
        <f t="shared" si="26"/>
        <v>lootName,DAIL/items/materia/class0017/Hunting.dbr,</v>
      </c>
      <c r="M69" s="5" t="str">
        <f t="shared" si="27"/>
        <v>lootWeight,1,</v>
      </c>
      <c r="N69" t="str">
        <f t="shared" si="28"/>
        <v>5</v>
      </c>
      <c r="O69" t="str">
        <f t="shared" si="16"/>
        <v/>
      </c>
      <c r="P69" t="str">
        <f t="shared" si="23"/>
        <v/>
      </c>
      <c r="Q69" t="str">
        <f t="shared" si="23"/>
        <v/>
      </c>
      <c r="R69" t="str">
        <f t="shared" si="23"/>
        <v/>
      </c>
      <c r="S69" t="str">
        <f t="shared" si="23"/>
        <v/>
      </c>
      <c r="T69" t="str">
        <f t="shared" si="23"/>
        <v/>
      </c>
      <c r="U69" t="str">
        <f t="shared" si="23"/>
        <v/>
      </c>
      <c r="V69" s="5" t="s">
        <v>36</v>
      </c>
      <c r="W69" t="str">
        <f t="shared" si="29"/>
        <v/>
      </c>
      <c r="X69" t="str">
        <f t="shared" si="29"/>
        <v/>
      </c>
      <c r="Y69" s="5" t="s">
        <v>36</v>
      </c>
      <c r="Z69" t="str">
        <f t="shared" si="30"/>
        <v/>
      </c>
      <c r="AA69" t="str">
        <f t="shared" si="17"/>
        <v/>
      </c>
      <c r="AB69" s="5" t="s">
        <v>36</v>
      </c>
      <c r="AH69">
        <f t="shared" si="19"/>
        <v>64</v>
      </c>
      <c r="AI69">
        <f t="shared" si="13"/>
        <v>0</v>
      </c>
      <c r="AJ69">
        <f t="shared" si="18"/>
        <v>5</v>
      </c>
    </row>
    <row r="70" spans="1:36" x14ac:dyDescent="0.25">
      <c r="A70" s="5" t="s">
        <v>39</v>
      </c>
      <c r="B70" s="5" t="s">
        <v>30</v>
      </c>
      <c r="C70" s="5" t="str">
        <f t="shared" si="24"/>
        <v>description,dailCompDescHunting,</v>
      </c>
      <c r="D70" s="5" t="str">
        <f t="shared" si="25"/>
        <v>itemText,dailCompTextHunting,</v>
      </c>
      <c r="E70" s="5" t="str">
        <f t="shared" si="14"/>
        <v>augmentSkillLevel1,5,</v>
      </c>
      <c r="F70" s="5" t="str">
        <f t="shared" si="15"/>
        <v>augmentSkillName1,records/skills,</v>
      </c>
      <c r="G70" s="7" t="str">
        <f t="shared" si="31"/>
        <v/>
      </c>
      <c r="H70" s="8" t="str">
        <f t="shared" si="32"/>
        <v>Hunting</v>
      </c>
      <c r="J70" s="8" t="str">
        <f t="shared" si="33"/>
        <v>class0017</v>
      </c>
      <c r="K70" s="8" t="str">
        <f t="shared" si="33"/>
        <v>dailoneskill0017</v>
      </c>
      <c r="L70" s="5" t="str">
        <f t="shared" si="26"/>
        <v>lootName,DAIL/items/materia/class0017/Hunting.dbr,</v>
      </c>
      <c r="M70" s="5" t="str">
        <f t="shared" si="27"/>
        <v>lootWeight,1,</v>
      </c>
      <c r="N70" t="str">
        <f t="shared" si="28"/>
        <v>5</v>
      </c>
      <c r="O70" t="str">
        <f t="shared" si="16"/>
        <v/>
      </c>
      <c r="P70" t="str">
        <f t="shared" si="23"/>
        <v/>
      </c>
      <c r="Q70" t="str">
        <f t="shared" si="23"/>
        <v/>
      </c>
      <c r="R70" t="str">
        <f t="shared" si="23"/>
        <v/>
      </c>
      <c r="S70" t="str">
        <f t="shared" si="23"/>
        <v/>
      </c>
      <c r="T70" t="str">
        <f t="shared" si="23"/>
        <v/>
      </c>
      <c r="U70" t="str">
        <f t="shared" si="23"/>
        <v/>
      </c>
      <c r="V70" s="5" t="s">
        <v>36</v>
      </c>
      <c r="W70" t="str">
        <f t="shared" si="29"/>
        <v/>
      </c>
      <c r="X70" t="str">
        <f t="shared" si="29"/>
        <v/>
      </c>
      <c r="Y70" s="5" t="s">
        <v>36</v>
      </c>
      <c r="Z70" t="str">
        <f t="shared" si="30"/>
        <v/>
      </c>
      <c r="AA70" t="str">
        <f t="shared" si="17"/>
        <v/>
      </c>
      <c r="AB70" s="5" t="s">
        <v>36</v>
      </c>
      <c r="AH70">
        <f t="shared" si="19"/>
        <v>65</v>
      </c>
      <c r="AI70">
        <f t="shared" ref="AI70:AI102" si="34">LEN(I70)</f>
        <v>0</v>
      </c>
      <c r="AJ70">
        <f t="shared" si="18"/>
        <v>5</v>
      </c>
    </row>
    <row r="71" spans="1:36" x14ac:dyDescent="0.25">
      <c r="A71" s="5" t="s">
        <v>39</v>
      </c>
      <c r="B71" s="5" t="s">
        <v>30</v>
      </c>
      <c r="C71" s="5" t="str">
        <f t="shared" si="24"/>
        <v>description,dailCompDescHunting,</v>
      </c>
      <c r="D71" s="5" t="str">
        <f t="shared" si="25"/>
        <v>itemText,dailCompTextHunting,</v>
      </c>
      <c r="E71" s="5" t="str">
        <f t="shared" ref="E71:E102" si="35">"augmentSkillLevel1,"&amp;AJ71&amp;","</f>
        <v>augmentSkillLevel1,5,</v>
      </c>
      <c r="F71" s="5" t="str">
        <f t="shared" ref="F71:F102" si="36">"augmentSkillName1,records/skills"&amp;I71&amp;","</f>
        <v>augmentSkillName1,records/skills,</v>
      </c>
      <c r="G71" s="7" t="str">
        <f t="shared" si="31"/>
        <v/>
      </c>
      <c r="H71" s="8" t="str">
        <f t="shared" si="32"/>
        <v>Hunting</v>
      </c>
      <c r="J71" s="8" t="str">
        <f t="shared" si="33"/>
        <v>class0017</v>
      </c>
      <c r="K71" s="8" t="str">
        <f t="shared" si="33"/>
        <v>dailoneskill0017</v>
      </c>
      <c r="L71" s="5" t="str">
        <f t="shared" si="26"/>
        <v>lootName,DAIL/items/materia/class0017/Hunting.dbr,</v>
      </c>
      <c r="M71" s="5" t="str">
        <f t="shared" si="27"/>
        <v>lootWeight,1,</v>
      </c>
      <c r="N71" t="str">
        <f t="shared" si="28"/>
        <v>5</v>
      </c>
      <c r="O71" t="str">
        <f t="shared" ref="O71:O102" si="37">IF(I71&lt;&gt;"","copy .\"&amp;VLOOKUP(VALUE(N71),$AD$3:$AF$5,2,FALSE)&amp;" .\items\materia\"&amp;J71&amp;"\"&amp;H71&amp;G71&amp;".dbr /y"&amp;"","")</f>
        <v/>
      </c>
      <c r="P71" t="str">
        <f t="shared" si="23"/>
        <v/>
      </c>
      <c r="Q71" t="str">
        <f t="shared" si="23"/>
        <v/>
      </c>
      <c r="R71" t="str">
        <f t="shared" si="23"/>
        <v/>
      </c>
      <c r="S71" t="str">
        <f t="shared" si="23"/>
        <v/>
      </c>
      <c r="T71" t="str">
        <f t="shared" si="23"/>
        <v/>
      </c>
      <c r="U71" t="str">
        <f t="shared" si="23"/>
        <v/>
      </c>
      <c r="V71" s="5" t="s">
        <v>36</v>
      </c>
      <c r="W71" t="str">
        <f t="shared" si="29"/>
        <v/>
      </c>
      <c r="X71" t="str">
        <f t="shared" si="29"/>
        <v/>
      </c>
      <c r="Y71" s="5" t="s">
        <v>36</v>
      </c>
      <c r="Z71" t="str">
        <f t="shared" si="30"/>
        <v/>
      </c>
      <c r="AA71" t="str">
        <f t="shared" ref="AA71:AA102" si="38">IF(I70&lt;&gt;"","dailCompText"&amp;H71&amp;G71&amp;"=^oThis feels warm to the touch, almost familiar ^w("&amp;VLOOKUP(VALUE(N71),$AD$3:$AF$5,3,FALSE)&amp;")","")</f>
        <v/>
      </c>
      <c r="AB71" s="5" t="s">
        <v>36</v>
      </c>
      <c r="AH71">
        <f t="shared" si="19"/>
        <v>66</v>
      </c>
      <c r="AI71">
        <f t="shared" si="34"/>
        <v>0</v>
      </c>
      <c r="AJ71">
        <f t="shared" ref="AJ71:AJ102" si="39">IF(AH71&lt;$AL$7,1,IF(AH71&lt;$AL$8,3,5))</f>
        <v>5</v>
      </c>
    </row>
    <row r="72" spans="1:36" x14ac:dyDescent="0.25">
      <c r="A72" s="5" t="s">
        <v>39</v>
      </c>
      <c r="B72" s="5" t="s">
        <v>30</v>
      </c>
      <c r="C72" s="5" t="str">
        <f t="shared" si="24"/>
        <v>description,dailCompDescHunting,</v>
      </c>
      <c r="D72" s="5" t="str">
        <f t="shared" si="25"/>
        <v>itemText,dailCompTextHunting,</v>
      </c>
      <c r="E72" s="5" t="str">
        <f t="shared" si="35"/>
        <v>augmentSkillLevel1,5,</v>
      </c>
      <c r="F72" s="5" t="str">
        <f t="shared" si="36"/>
        <v>augmentSkillName1,records/skills,</v>
      </c>
      <c r="G72" s="7" t="str">
        <f t="shared" si="31"/>
        <v/>
      </c>
      <c r="H72" s="8" t="str">
        <f t="shared" si="32"/>
        <v>Hunting</v>
      </c>
      <c r="J72" s="8" t="str">
        <f t="shared" si="33"/>
        <v>class0017</v>
      </c>
      <c r="K72" s="8" t="str">
        <f t="shared" si="33"/>
        <v>dailoneskill0017</v>
      </c>
      <c r="L72" s="5" t="str">
        <f t="shared" si="26"/>
        <v>lootName,DAIL/items/materia/class0017/Hunting.dbr,</v>
      </c>
      <c r="M72" s="5" t="str">
        <f t="shared" si="27"/>
        <v>lootWeight,1,</v>
      </c>
      <c r="N72" t="str">
        <f t="shared" si="28"/>
        <v>5</v>
      </c>
      <c r="O72" t="str">
        <f t="shared" si="37"/>
        <v/>
      </c>
      <c r="P72" t="str">
        <f t="shared" si="23"/>
        <v/>
      </c>
      <c r="Q72" t="str">
        <f t="shared" si="23"/>
        <v/>
      </c>
      <c r="R72" t="str">
        <f t="shared" si="23"/>
        <v/>
      </c>
      <c r="S72" t="str">
        <f t="shared" si="23"/>
        <v/>
      </c>
      <c r="T72" t="str">
        <f t="shared" si="23"/>
        <v/>
      </c>
      <c r="U72" t="str">
        <f t="shared" si="23"/>
        <v/>
      </c>
      <c r="V72" s="5" t="s">
        <v>36</v>
      </c>
      <c r="W72" t="str">
        <f t="shared" si="29"/>
        <v/>
      </c>
      <c r="X72" t="str">
        <f t="shared" si="29"/>
        <v/>
      </c>
      <c r="Y72" s="5" t="s">
        <v>36</v>
      </c>
      <c r="Z72" t="str">
        <f t="shared" si="30"/>
        <v/>
      </c>
      <c r="AA72" t="str">
        <f t="shared" si="38"/>
        <v/>
      </c>
      <c r="AB72" s="5" t="s">
        <v>36</v>
      </c>
      <c r="AH72">
        <f t="shared" ref="AH72:AH102" si="40">AH71+1</f>
        <v>67</v>
      </c>
      <c r="AI72">
        <f t="shared" si="34"/>
        <v>0</v>
      </c>
      <c r="AJ72">
        <f t="shared" si="39"/>
        <v>5</v>
      </c>
    </row>
    <row r="73" spans="1:36" x14ac:dyDescent="0.25">
      <c r="A73" s="5" t="s">
        <v>39</v>
      </c>
      <c r="B73" s="5" t="s">
        <v>30</v>
      </c>
      <c r="C73" s="5" t="str">
        <f t="shared" si="24"/>
        <v>description,dailCompDescHunting,</v>
      </c>
      <c r="D73" s="5" t="str">
        <f t="shared" si="25"/>
        <v>itemText,dailCompTextHunting,</v>
      </c>
      <c r="E73" s="5" t="str">
        <f t="shared" si="35"/>
        <v>augmentSkillLevel1,5,</v>
      </c>
      <c r="F73" s="5" t="str">
        <f t="shared" si="36"/>
        <v>augmentSkillName1,records/skills,</v>
      </c>
      <c r="G73" s="7" t="str">
        <f t="shared" si="31"/>
        <v/>
      </c>
      <c r="H73" s="8" t="str">
        <f t="shared" si="32"/>
        <v>Hunting</v>
      </c>
      <c r="J73" s="8" t="str">
        <f t="shared" si="33"/>
        <v>class0017</v>
      </c>
      <c r="K73" s="8" t="str">
        <f t="shared" si="33"/>
        <v>dailoneskill0017</v>
      </c>
      <c r="L73" s="5" t="str">
        <f t="shared" si="26"/>
        <v>lootName,DAIL/items/materia/class0017/Hunting.dbr,</v>
      </c>
      <c r="M73" s="5" t="str">
        <f t="shared" si="27"/>
        <v>lootWeight,1,</v>
      </c>
      <c r="N73" t="str">
        <f t="shared" si="28"/>
        <v>5</v>
      </c>
      <c r="O73" t="str">
        <f t="shared" si="37"/>
        <v/>
      </c>
      <c r="P73" t="str">
        <f t="shared" si="23"/>
        <v/>
      </c>
      <c r="Q73" t="str">
        <f t="shared" si="23"/>
        <v/>
      </c>
      <c r="R73" t="str">
        <f t="shared" si="23"/>
        <v/>
      </c>
      <c r="S73" t="str">
        <f t="shared" si="23"/>
        <v/>
      </c>
      <c r="T73" t="str">
        <f t="shared" si="23"/>
        <v/>
      </c>
      <c r="U73" t="str">
        <f t="shared" si="23"/>
        <v/>
      </c>
      <c r="V73" s="5" t="s">
        <v>36</v>
      </c>
      <c r="W73" t="str">
        <f t="shared" si="29"/>
        <v/>
      </c>
      <c r="X73" t="str">
        <f t="shared" si="29"/>
        <v/>
      </c>
      <c r="Y73" s="5" t="s">
        <v>36</v>
      </c>
      <c r="Z73" t="str">
        <f t="shared" si="30"/>
        <v/>
      </c>
      <c r="AA73" t="str">
        <f t="shared" si="38"/>
        <v/>
      </c>
      <c r="AB73" s="5" t="s">
        <v>36</v>
      </c>
      <c r="AH73">
        <f t="shared" si="40"/>
        <v>68</v>
      </c>
      <c r="AI73">
        <f t="shared" si="34"/>
        <v>0</v>
      </c>
      <c r="AJ73">
        <f t="shared" si="39"/>
        <v>5</v>
      </c>
    </row>
    <row r="74" spans="1:36" x14ac:dyDescent="0.25">
      <c r="A74" s="5" t="s">
        <v>39</v>
      </c>
      <c r="B74" s="5" t="s">
        <v>30</v>
      </c>
      <c r="C74" s="5" t="str">
        <f t="shared" si="24"/>
        <v>description,dailCompDescHunting,</v>
      </c>
      <c r="D74" s="5" t="str">
        <f t="shared" si="25"/>
        <v>itemText,dailCompTextHunting,</v>
      </c>
      <c r="E74" s="5" t="str">
        <f t="shared" si="35"/>
        <v>augmentSkillLevel1,5,</v>
      </c>
      <c r="F74" s="5" t="str">
        <f t="shared" si="36"/>
        <v>augmentSkillName1,records/skills,</v>
      </c>
      <c r="G74" s="7" t="str">
        <f t="shared" si="31"/>
        <v/>
      </c>
      <c r="H74" s="8" t="str">
        <f t="shared" si="32"/>
        <v>Hunting</v>
      </c>
      <c r="J74" s="8" t="str">
        <f t="shared" si="33"/>
        <v>class0017</v>
      </c>
      <c r="K74" s="8" t="str">
        <f t="shared" si="33"/>
        <v>dailoneskill0017</v>
      </c>
      <c r="L74" s="5" t="str">
        <f t="shared" si="26"/>
        <v>lootName,DAIL/items/materia/class0017/Hunting.dbr,</v>
      </c>
      <c r="M74" s="5" t="str">
        <f t="shared" si="27"/>
        <v>lootWeight,1,</v>
      </c>
      <c r="N74" t="str">
        <f t="shared" si="28"/>
        <v>5</v>
      </c>
      <c r="O74" t="str">
        <f t="shared" si="37"/>
        <v/>
      </c>
      <c r="P74" t="str">
        <f t="shared" si="23"/>
        <v/>
      </c>
      <c r="Q74" t="str">
        <f t="shared" si="23"/>
        <v/>
      </c>
      <c r="R74" t="str">
        <f t="shared" si="23"/>
        <v/>
      </c>
      <c r="S74" t="str">
        <f t="shared" si="23"/>
        <v/>
      </c>
      <c r="T74" t="str">
        <f t="shared" si="23"/>
        <v/>
      </c>
      <c r="U74" t="str">
        <f t="shared" si="23"/>
        <v/>
      </c>
      <c r="V74" s="5" t="s">
        <v>36</v>
      </c>
      <c r="W74" t="str">
        <f t="shared" si="29"/>
        <v/>
      </c>
      <c r="X74" t="str">
        <f t="shared" si="29"/>
        <v/>
      </c>
      <c r="Y74" s="5" t="s">
        <v>36</v>
      </c>
      <c r="Z74" t="str">
        <f t="shared" si="30"/>
        <v/>
      </c>
      <c r="AA74" t="str">
        <f t="shared" si="38"/>
        <v/>
      </c>
      <c r="AB74" s="5" t="s">
        <v>36</v>
      </c>
      <c r="AH74">
        <f t="shared" si="40"/>
        <v>69</v>
      </c>
      <c r="AI74">
        <f t="shared" si="34"/>
        <v>0</v>
      </c>
      <c r="AJ74">
        <f t="shared" si="39"/>
        <v>5</v>
      </c>
    </row>
    <row r="75" spans="1:36" x14ac:dyDescent="0.25">
      <c r="A75" s="5" t="s">
        <v>39</v>
      </c>
      <c r="B75" s="5" t="s">
        <v>30</v>
      </c>
      <c r="C75" s="5" t="str">
        <f t="shared" si="24"/>
        <v>description,dailCompDescHunting,</v>
      </c>
      <c r="D75" s="5" t="str">
        <f t="shared" si="25"/>
        <v>itemText,dailCompTextHunting,</v>
      </c>
      <c r="E75" s="5" t="str">
        <f t="shared" si="35"/>
        <v>augmentSkillLevel1,5,</v>
      </c>
      <c r="F75" s="5" t="str">
        <f t="shared" si="36"/>
        <v>augmentSkillName1,records/skills,</v>
      </c>
      <c r="G75" s="7" t="str">
        <f t="shared" si="31"/>
        <v/>
      </c>
      <c r="H75" s="8" t="str">
        <f t="shared" si="32"/>
        <v>Hunting</v>
      </c>
      <c r="J75" s="8" t="str">
        <f t="shared" si="33"/>
        <v>class0017</v>
      </c>
      <c r="K75" s="8" t="str">
        <f t="shared" si="33"/>
        <v>dailoneskill0017</v>
      </c>
      <c r="L75" s="5" t="str">
        <f t="shared" si="26"/>
        <v>lootName,DAIL/items/materia/class0017/Hunting.dbr,</v>
      </c>
      <c r="M75" s="5" t="str">
        <f t="shared" si="27"/>
        <v>lootWeight,1,</v>
      </c>
      <c r="N75" t="str">
        <f t="shared" si="28"/>
        <v>5</v>
      </c>
      <c r="O75" t="str">
        <f t="shared" si="37"/>
        <v/>
      </c>
      <c r="P75" t="str">
        <f t="shared" si="23"/>
        <v/>
      </c>
      <c r="Q75" t="str">
        <f t="shared" si="23"/>
        <v/>
      </c>
      <c r="R75" t="str">
        <f t="shared" si="23"/>
        <v/>
      </c>
      <c r="S75" t="str">
        <f t="shared" si="23"/>
        <v/>
      </c>
      <c r="T75" t="str">
        <f t="shared" si="23"/>
        <v/>
      </c>
      <c r="U75" t="str">
        <f t="shared" si="23"/>
        <v/>
      </c>
      <c r="V75" s="5" t="s">
        <v>36</v>
      </c>
      <c r="W75" t="str">
        <f t="shared" si="29"/>
        <v/>
      </c>
      <c r="X75" t="str">
        <f t="shared" si="29"/>
        <v/>
      </c>
      <c r="Y75" s="5" t="s">
        <v>36</v>
      </c>
      <c r="Z75" t="str">
        <f t="shared" si="30"/>
        <v/>
      </c>
      <c r="AA75" t="str">
        <f t="shared" si="38"/>
        <v/>
      </c>
      <c r="AB75" s="5" t="s">
        <v>36</v>
      </c>
      <c r="AH75">
        <f t="shared" si="40"/>
        <v>70</v>
      </c>
      <c r="AI75">
        <f t="shared" si="34"/>
        <v>0</v>
      </c>
      <c r="AJ75">
        <f t="shared" si="39"/>
        <v>5</v>
      </c>
    </row>
    <row r="76" spans="1:36" x14ac:dyDescent="0.25">
      <c r="A76" s="5" t="s">
        <v>39</v>
      </c>
      <c r="B76" s="5" t="s">
        <v>30</v>
      </c>
      <c r="C76" s="5" t="str">
        <f t="shared" si="24"/>
        <v>description,dailCompDescHunting,</v>
      </c>
      <c r="D76" s="5" t="str">
        <f t="shared" si="25"/>
        <v>itemText,dailCompTextHunting,</v>
      </c>
      <c r="E76" s="5" t="str">
        <f t="shared" si="35"/>
        <v>augmentSkillLevel1,5,</v>
      </c>
      <c r="F76" s="5" t="str">
        <f t="shared" si="36"/>
        <v>augmentSkillName1,records/skills,</v>
      </c>
      <c r="G76" s="7" t="str">
        <f t="shared" si="31"/>
        <v/>
      </c>
      <c r="H76" s="8" t="str">
        <f t="shared" si="32"/>
        <v>Hunting</v>
      </c>
      <c r="J76" s="8" t="str">
        <f t="shared" si="33"/>
        <v>class0017</v>
      </c>
      <c r="K76" s="8" t="str">
        <f t="shared" si="33"/>
        <v>dailoneskill0017</v>
      </c>
      <c r="L76" s="5" t="str">
        <f t="shared" si="26"/>
        <v>lootName,DAIL/items/materia/class0017/Hunting.dbr,</v>
      </c>
      <c r="M76" s="5" t="str">
        <f t="shared" si="27"/>
        <v>lootWeight,1,</v>
      </c>
      <c r="N76" t="str">
        <f t="shared" si="28"/>
        <v>5</v>
      </c>
      <c r="O76" t="str">
        <f t="shared" si="37"/>
        <v/>
      </c>
      <c r="P76" t="str">
        <f t="shared" si="23"/>
        <v/>
      </c>
      <c r="Q76" t="str">
        <f t="shared" si="23"/>
        <v/>
      </c>
      <c r="R76" t="str">
        <f t="shared" si="23"/>
        <v/>
      </c>
      <c r="S76" t="str">
        <f t="shared" si="23"/>
        <v/>
      </c>
      <c r="T76" t="str">
        <f t="shared" si="23"/>
        <v/>
      </c>
      <c r="U76" t="str">
        <f t="shared" si="23"/>
        <v/>
      </c>
      <c r="V76" s="5" t="s">
        <v>36</v>
      </c>
      <c r="W76" t="str">
        <f t="shared" si="29"/>
        <v/>
      </c>
      <c r="X76" t="str">
        <f t="shared" si="29"/>
        <v/>
      </c>
      <c r="Y76" s="5" t="s">
        <v>36</v>
      </c>
      <c r="Z76" t="str">
        <f t="shared" si="30"/>
        <v/>
      </c>
      <c r="AA76" t="str">
        <f t="shared" si="38"/>
        <v/>
      </c>
      <c r="AB76" s="5" t="s">
        <v>36</v>
      </c>
      <c r="AH76">
        <f t="shared" si="40"/>
        <v>71</v>
      </c>
      <c r="AI76">
        <f t="shared" si="34"/>
        <v>0</v>
      </c>
      <c r="AJ76">
        <f t="shared" si="39"/>
        <v>5</v>
      </c>
    </row>
    <row r="77" spans="1:36" x14ac:dyDescent="0.25">
      <c r="A77" s="5" t="s">
        <v>39</v>
      </c>
      <c r="B77" s="5" t="s">
        <v>30</v>
      </c>
      <c r="C77" s="5" t="str">
        <f t="shared" si="24"/>
        <v>description,dailCompDescHunting,</v>
      </c>
      <c r="D77" s="5" t="str">
        <f t="shared" si="25"/>
        <v>itemText,dailCompTextHunting,</v>
      </c>
      <c r="E77" s="5" t="str">
        <f t="shared" si="35"/>
        <v>augmentSkillLevel1,5,</v>
      </c>
      <c r="F77" s="5" t="str">
        <f t="shared" si="36"/>
        <v>augmentSkillName1,records/skills,</v>
      </c>
      <c r="G77" s="7" t="str">
        <f t="shared" si="31"/>
        <v/>
      </c>
      <c r="H77" s="8" t="str">
        <f t="shared" si="32"/>
        <v>Hunting</v>
      </c>
      <c r="J77" s="8" t="str">
        <f t="shared" si="33"/>
        <v>class0017</v>
      </c>
      <c r="K77" s="8" t="str">
        <f t="shared" si="33"/>
        <v>dailoneskill0017</v>
      </c>
      <c r="L77" s="5" t="str">
        <f t="shared" si="26"/>
        <v>lootName,DAIL/items/materia/class0017/Hunting.dbr,</v>
      </c>
      <c r="M77" s="5" t="str">
        <f t="shared" si="27"/>
        <v>lootWeight,1,</v>
      </c>
      <c r="N77" t="str">
        <f t="shared" si="28"/>
        <v>5</v>
      </c>
      <c r="O77" t="str">
        <f t="shared" si="37"/>
        <v/>
      </c>
      <c r="P77" t="str">
        <f t="shared" si="23"/>
        <v/>
      </c>
      <c r="Q77" t="str">
        <f t="shared" si="23"/>
        <v/>
      </c>
      <c r="R77" t="str">
        <f t="shared" si="23"/>
        <v/>
      </c>
      <c r="S77" t="str">
        <f t="shared" si="23"/>
        <v/>
      </c>
      <c r="T77" t="str">
        <f t="shared" si="23"/>
        <v/>
      </c>
      <c r="U77" t="str">
        <f t="shared" si="23"/>
        <v/>
      </c>
      <c r="V77" s="5" t="s">
        <v>36</v>
      </c>
      <c r="W77" t="str">
        <f t="shared" si="29"/>
        <v/>
      </c>
      <c r="X77" t="str">
        <f t="shared" si="29"/>
        <v/>
      </c>
      <c r="Y77" s="5" t="s">
        <v>36</v>
      </c>
      <c r="Z77" t="str">
        <f t="shared" si="30"/>
        <v/>
      </c>
      <c r="AA77" t="str">
        <f t="shared" si="38"/>
        <v/>
      </c>
      <c r="AB77" s="5" t="s">
        <v>36</v>
      </c>
      <c r="AH77">
        <f t="shared" si="40"/>
        <v>72</v>
      </c>
      <c r="AI77">
        <f t="shared" si="34"/>
        <v>0</v>
      </c>
      <c r="AJ77">
        <f t="shared" si="39"/>
        <v>5</v>
      </c>
    </row>
    <row r="78" spans="1:36" x14ac:dyDescent="0.25">
      <c r="A78" s="5" t="s">
        <v>39</v>
      </c>
      <c r="B78" s="5" t="s">
        <v>30</v>
      </c>
      <c r="C78" s="5" t="str">
        <f t="shared" si="24"/>
        <v>description,dailCompDescHunting,</v>
      </c>
      <c r="D78" s="5" t="str">
        <f t="shared" si="25"/>
        <v>itemText,dailCompTextHunting,</v>
      </c>
      <c r="E78" s="5" t="str">
        <f t="shared" si="35"/>
        <v>augmentSkillLevel1,5,</v>
      </c>
      <c r="F78" s="5" t="str">
        <f t="shared" si="36"/>
        <v>augmentSkillName1,records/skills,</v>
      </c>
      <c r="G78" s="7" t="str">
        <f t="shared" si="31"/>
        <v/>
      </c>
      <c r="H78" s="8" t="str">
        <f t="shared" si="32"/>
        <v>Hunting</v>
      </c>
      <c r="J78" s="8" t="str">
        <f t="shared" si="33"/>
        <v>class0017</v>
      </c>
      <c r="K78" s="8" t="str">
        <f t="shared" si="33"/>
        <v>dailoneskill0017</v>
      </c>
      <c r="L78" s="5" t="str">
        <f t="shared" si="26"/>
        <v>lootName,DAIL/items/materia/class0017/Hunting.dbr,</v>
      </c>
      <c r="M78" s="5" t="str">
        <f t="shared" si="27"/>
        <v>lootWeight,1,</v>
      </c>
      <c r="N78" t="str">
        <f t="shared" si="28"/>
        <v>5</v>
      </c>
      <c r="O78" t="str">
        <f t="shared" si="37"/>
        <v/>
      </c>
      <c r="P78" t="str">
        <f t="shared" si="23"/>
        <v/>
      </c>
      <c r="Q78" t="str">
        <f t="shared" si="23"/>
        <v/>
      </c>
      <c r="R78" t="str">
        <f t="shared" si="23"/>
        <v/>
      </c>
      <c r="S78" t="str">
        <f t="shared" si="23"/>
        <v/>
      </c>
      <c r="T78" t="str">
        <f t="shared" si="23"/>
        <v/>
      </c>
      <c r="U78" t="str">
        <f t="shared" si="23"/>
        <v/>
      </c>
      <c r="V78" s="5" t="s">
        <v>36</v>
      </c>
      <c r="W78" t="str">
        <f t="shared" si="29"/>
        <v/>
      </c>
      <c r="X78" t="str">
        <f t="shared" si="29"/>
        <v/>
      </c>
      <c r="Y78" s="5" t="s">
        <v>36</v>
      </c>
      <c r="Z78" t="str">
        <f t="shared" si="30"/>
        <v/>
      </c>
      <c r="AA78" t="str">
        <f t="shared" si="38"/>
        <v/>
      </c>
      <c r="AB78" s="5" t="s">
        <v>36</v>
      </c>
      <c r="AH78">
        <f t="shared" si="40"/>
        <v>73</v>
      </c>
      <c r="AI78">
        <f t="shared" si="34"/>
        <v>0</v>
      </c>
      <c r="AJ78">
        <f t="shared" si="39"/>
        <v>5</v>
      </c>
    </row>
    <row r="79" spans="1:36" x14ac:dyDescent="0.25">
      <c r="A79" s="5" t="s">
        <v>39</v>
      </c>
      <c r="B79" s="5" t="s">
        <v>30</v>
      </c>
      <c r="C79" s="5" t="str">
        <f t="shared" si="24"/>
        <v>description,dailCompDescHunting,</v>
      </c>
      <c r="D79" s="5" t="str">
        <f t="shared" si="25"/>
        <v>itemText,dailCompTextHunting,</v>
      </c>
      <c r="E79" s="5" t="str">
        <f t="shared" si="35"/>
        <v>augmentSkillLevel1,5,</v>
      </c>
      <c r="F79" s="5" t="str">
        <f t="shared" si="36"/>
        <v>augmentSkillName1,records/skills,</v>
      </c>
      <c r="G79" s="7" t="str">
        <f t="shared" si="31"/>
        <v/>
      </c>
      <c r="H79" s="8" t="str">
        <f t="shared" si="32"/>
        <v>Hunting</v>
      </c>
      <c r="J79" s="8" t="str">
        <f t="shared" si="33"/>
        <v>class0017</v>
      </c>
      <c r="K79" s="8" t="str">
        <f t="shared" si="33"/>
        <v>dailoneskill0017</v>
      </c>
      <c r="L79" s="5" t="str">
        <f t="shared" si="26"/>
        <v>lootName,DAIL/items/materia/class0017/Hunting.dbr,</v>
      </c>
      <c r="M79" s="5" t="str">
        <f t="shared" si="27"/>
        <v>lootWeight,1,</v>
      </c>
      <c r="N79" t="str">
        <f t="shared" si="28"/>
        <v>5</v>
      </c>
      <c r="O79" t="str">
        <f t="shared" si="37"/>
        <v/>
      </c>
      <c r="P79" t="str">
        <f t="shared" si="23"/>
        <v/>
      </c>
      <c r="Q79" t="str">
        <f t="shared" si="23"/>
        <v/>
      </c>
      <c r="R79" t="str">
        <f t="shared" si="23"/>
        <v/>
      </c>
      <c r="S79" t="str">
        <f t="shared" si="23"/>
        <v/>
      </c>
      <c r="T79" t="str">
        <f t="shared" si="23"/>
        <v/>
      </c>
      <c r="U79" t="str">
        <f t="shared" si="23"/>
        <v/>
      </c>
      <c r="V79" s="5" t="s">
        <v>36</v>
      </c>
      <c r="W79" t="str">
        <f t="shared" si="29"/>
        <v/>
      </c>
      <c r="X79" t="str">
        <f t="shared" si="29"/>
        <v/>
      </c>
      <c r="Y79" s="5" t="s">
        <v>36</v>
      </c>
      <c r="Z79" t="str">
        <f t="shared" si="30"/>
        <v/>
      </c>
      <c r="AA79" t="str">
        <f t="shared" si="38"/>
        <v/>
      </c>
      <c r="AB79" s="5" t="s">
        <v>36</v>
      </c>
      <c r="AH79">
        <f t="shared" si="40"/>
        <v>74</v>
      </c>
      <c r="AI79">
        <f t="shared" si="34"/>
        <v>0</v>
      </c>
      <c r="AJ79">
        <f t="shared" si="39"/>
        <v>5</v>
      </c>
    </row>
    <row r="80" spans="1:36" x14ac:dyDescent="0.25">
      <c r="A80" s="5" t="s">
        <v>39</v>
      </c>
      <c r="B80" s="5" t="s">
        <v>30</v>
      </c>
      <c r="C80" s="5" t="str">
        <f t="shared" si="24"/>
        <v>description,dailCompDescHunting,</v>
      </c>
      <c r="D80" s="5" t="str">
        <f t="shared" si="25"/>
        <v>itemText,dailCompTextHunting,</v>
      </c>
      <c r="E80" s="5" t="str">
        <f t="shared" si="35"/>
        <v>augmentSkillLevel1,5,</v>
      </c>
      <c r="F80" s="5" t="str">
        <f t="shared" si="36"/>
        <v>augmentSkillName1,records/skills,</v>
      </c>
      <c r="G80" s="7" t="str">
        <f t="shared" si="31"/>
        <v/>
      </c>
      <c r="H80" s="8" t="str">
        <f t="shared" si="32"/>
        <v>Hunting</v>
      </c>
      <c r="J80" s="8" t="str">
        <f t="shared" si="33"/>
        <v>class0017</v>
      </c>
      <c r="K80" s="8" t="str">
        <f t="shared" si="33"/>
        <v>dailoneskill0017</v>
      </c>
      <c r="L80" s="5" t="str">
        <f t="shared" si="26"/>
        <v>lootName,DAIL/items/materia/class0017/Hunting.dbr,</v>
      </c>
      <c r="M80" s="5" t="str">
        <f t="shared" si="27"/>
        <v>lootWeight,1,</v>
      </c>
      <c r="N80" t="str">
        <f t="shared" si="28"/>
        <v>5</v>
      </c>
      <c r="O80" t="str">
        <f t="shared" si="37"/>
        <v/>
      </c>
      <c r="P80" t="str">
        <f t="shared" si="23"/>
        <v/>
      </c>
      <c r="Q80" t="str">
        <f t="shared" si="23"/>
        <v/>
      </c>
      <c r="R80" t="str">
        <f t="shared" si="23"/>
        <v/>
      </c>
      <c r="S80" t="str">
        <f t="shared" si="23"/>
        <v/>
      </c>
      <c r="T80" t="str">
        <f t="shared" si="23"/>
        <v/>
      </c>
      <c r="U80" t="str">
        <f t="shared" si="23"/>
        <v/>
      </c>
      <c r="V80" s="5" t="s">
        <v>36</v>
      </c>
      <c r="W80" t="str">
        <f t="shared" si="29"/>
        <v/>
      </c>
      <c r="X80" t="str">
        <f t="shared" si="29"/>
        <v/>
      </c>
      <c r="Y80" s="5" t="s">
        <v>36</v>
      </c>
      <c r="Z80" t="str">
        <f t="shared" si="30"/>
        <v/>
      </c>
      <c r="AA80" t="str">
        <f t="shared" si="38"/>
        <v/>
      </c>
      <c r="AB80" s="5" t="s">
        <v>36</v>
      </c>
      <c r="AH80">
        <f t="shared" si="40"/>
        <v>75</v>
      </c>
      <c r="AI80">
        <f t="shared" si="34"/>
        <v>0</v>
      </c>
      <c r="AJ80">
        <f t="shared" si="39"/>
        <v>5</v>
      </c>
    </row>
    <row r="81" spans="1:36" x14ac:dyDescent="0.25">
      <c r="A81" s="5" t="s">
        <v>39</v>
      </c>
      <c r="B81" s="5" t="s">
        <v>30</v>
      </c>
      <c r="C81" s="5" t="str">
        <f t="shared" si="24"/>
        <v>description,dailCompDescHunting,</v>
      </c>
      <c r="D81" s="5" t="str">
        <f t="shared" si="25"/>
        <v>itemText,dailCompTextHunting,</v>
      </c>
      <c r="E81" s="5" t="str">
        <f t="shared" si="35"/>
        <v>augmentSkillLevel1,5,</v>
      </c>
      <c r="F81" s="5" t="str">
        <f t="shared" si="36"/>
        <v>augmentSkillName1,records/skills,</v>
      </c>
      <c r="G81" s="7" t="str">
        <f t="shared" si="31"/>
        <v/>
      </c>
      <c r="H81" s="8" t="str">
        <f t="shared" si="32"/>
        <v>Hunting</v>
      </c>
      <c r="J81" s="8" t="str">
        <f t="shared" si="33"/>
        <v>class0017</v>
      </c>
      <c r="K81" s="8" t="str">
        <f t="shared" si="33"/>
        <v>dailoneskill0017</v>
      </c>
      <c r="L81" s="5" t="str">
        <f t="shared" si="26"/>
        <v>lootName,DAIL/items/materia/class0017/Hunting.dbr,</v>
      </c>
      <c r="M81" s="5" t="str">
        <f t="shared" si="27"/>
        <v>lootWeight,1,</v>
      </c>
      <c r="N81" t="str">
        <f t="shared" si="28"/>
        <v>5</v>
      </c>
      <c r="O81" t="str">
        <f t="shared" si="37"/>
        <v/>
      </c>
      <c r="P81" t="str">
        <f t="shared" si="23"/>
        <v/>
      </c>
      <c r="Q81" t="str">
        <f t="shared" si="23"/>
        <v/>
      </c>
      <c r="R81" t="str">
        <f t="shared" si="23"/>
        <v/>
      </c>
      <c r="S81" t="str">
        <f t="shared" si="23"/>
        <v/>
      </c>
      <c r="T81" t="str">
        <f t="shared" si="23"/>
        <v/>
      </c>
      <c r="U81" t="str">
        <f t="shared" si="23"/>
        <v/>
      </c>
      <c r="V81" s="5" t="s">
        <v>36</v>
      </c>
      <c r="W81" t="str">
        <f t="shared" si="29"/>
        <v/>
      </c>
      <c r="X81" t="str">
        <f t="shared" si="29"/>
        <v/>
      </c>
      <c r="Y81" s="5" t="s">
        <v>36</v>
      </c>
      <c r="Z81" t="str">
        <f t="shared" si="30"/>
        <v/>
      </c>
      <c r="AA81" t="str">
        <f t="shared" si="38"/>
        <v/>
      </c>
      <c r="AB81" s="5" t="s">
        <v>36</v>
      </c>
      <c r="AH81">
        <f t="shared" si="40"/>
        <v>76</v>
      </c>
      <c r="AI81">
        <f t="shared" si="34"/>
        <v>0</v>
      </c>
      <c r="AJ81">
        <f t="shared" si="39"/>
        <v>5</v>
      </c>
    </row>
    <row r="82" spans="1:36" x14ac:dyDescent="0.25">
      <c r="A82" s="5" t="s">
        <v>39</v>
      </c>
      <c r="B82" s="5" t="s">
        <v>30</v>
      </c>
      <c r="C82" s="5" t="str">
        <f t="shared" si="24"/>
        <v>description,dailCompDescHunting,</v>
      </c>
      <c r="D82" s="5" t="str">
        <f t="shared" si="25"/>
        <v>itemText,dailCompTextHunting,</v>
      </c>
      <c r="E82" s="5" t="str">
        <f t="shared" si="35"/>
        <v>augmentSkillLevel1,5,</v>
      </c>
      <c r="F82" s="5" t="str">
        <f t="shared" si="36"/>
        <v>augmentSkillName1,records/skills,</v>
      </c>
      <c r="G82" s="7" t="str">
        <f t="shared" si="31"/>
        <v/>
      </c>
      <c r="H82" s="8" t="str">
        <f t="shared" si="32"/>
        <v>Hunting</v>
      </c>
      <c r="J82" s="8" t="str">
        <f t="shared" si="33"/>
        <v>class0017</v>
      </c>
      <c r="K82" s="8" t="str">
        <f t="shared" si="33"/>
        <v>dailoneskill0017</v>
      </c>
      <c r="L82" s="5" t="str">
        <f t="shared" si="26"/>
        <v>lootName,DAIL/items/materia/class0017/Hunting.dbr,</v>
      </c>
      <c r="M82" s="5" t="str">
        <f t="shared" si="27"/>
        <v>lootWeight,1,</v>
      </c>
      <c r="N82" t="str">
        <f t="shared" si="28"/>
        <v>5</v>
      </c>
      <c r="O82" t="str">
        <f t="shared" si="37"/>
        <v/>
      </c>
      <c r="P82" t="str">
        <f t="shared" si="23"/>
        <v/>
      </c>
      <c r="Q82" t="str">
        <f t="shared" si="23"/>
        <v/>
      </c>
      <c r="R82" t="str">
        <f t="shared" si="23"/>
        <v/>
      </c>
      <c r="S82" t="str">
        <f t="shared" si="23"/>
        <v/>
      </c>
      <c r="T82" t="str">
        <f t="shared" si="23"/>
        <v/>
      </c>
      <c r="U82" t="str">
        <f t="shared" si="23"/>
        <v/>
      </c>
      <c r="V82" s="5" t="s">
        <v>36</v>
      </c>
      <c r="W82" t="str">
        <f t="shared" si="29"/>
        <v/>
      </c>
      <c r="X82" t="str">
        <f t="shared" si="29"/>
        <v/>
      </c>
      <c r="Y82" s="5" t="s">
        <v>36</v>
      </c>
      <c r="Z82" t="str">
        <f t="shared" si="30"/>
        <v/>
      </c>
      <c r="AA82" t="str">
        <f t="shared" si="38"/>
        <v/>
      </c>
      <c r="AB82" s="5" t="s">
        <v>36</v>
      </c>
      <c r="AH82">
        <f t="shared" si="40"/>
        <v>77</v>
      </c>
      <c r="AI82">
        <f t="shared" si="34"/>
        <v>0</v>
      </c>
      <c r="AJ82">
        <f t="shared" si="39"/>
        <v>5</v>
      </c>
    </row>
    <row r="83" spans="1:36" x14ac:dyDescent="0.25">
      <c r="A83" s="5" t="s">
        <v>39</v>
      </c>
      <c r="B83" s="5" t="s">
        <v>30</v>
      </c>
      <c r="C83" s="5" t="str">
        <f t="shared" si="24"/>
        <v>description,dailCompDescHunting,</v>
      </c>
      <c r="D83" s="5" t="str">
        <f t="shared" si="25"/>
        <v>itemText,dailCompTextHunting,</v>
      </c>
      <c r="E83" s="5" t="str">
        <f t="shared" si="35"/>
        <v>augmentSkillLevel1,5,</v>
      </c>
      <c r="F83" s="5" t="str">
        <f t="shared" si="36"/>
        <v>augmentSkillName1,records/skills,</v>
      </c>
      <c r="G83" s="7" t="str">
        <f t="shared" si="31"/>
        <v/>
      </c>
      <c r="H83" s="8" t="str">
        <f t="shared" si="32"/>
        <v>Hunting</v>
      </c>
      <c r="J83" s="8" t="str">
        <f t="shared" si="33"/>
        <v>class0017</v>
      </c>
      <c r="K83" s="8" t="str">
        <f t="shared" si="33"/>
        <v>dailoneskill0017</v>
      </c>
      <c r="L83" s="5" t="str">
        <f t="shared" si="26"/>
        <v>lootName,DAIL/items/materia/class0017/Hunting.dbr,</v>
      </c>
      <c r="M83" s="5" t="str">
        <f t="shared" si="27"/>
        <v>lootWeight,1,</v>
      </c>
      <c r="N83" t="str">
        <f t="shared" si="28"/>
        <v>5</v>
      </c>
      <c r="O83" t="str">
        <f t="shared" si="37"/>
        <v/>
      </c>
      <c r="P83" t="str">
        <f t="shared" si="23"/>
        <v/>
      </c>
      <c r="Q83" t="str">
        <f t="shared" si="23"/>
        <v/>
      </c>
      <c r="R83" t="str">
        <f t="shared" si="23"/>
        <v/>
      </c>
      <c r="S83" t="str">
        <f t="shared" si="23"/>
        <v/>
      </c>
      <c r="T83" t="str">
        <f t="shared" si="23"/>
        <v/>
      </c>
      <c r="U83" t="str">
        <f t="shared" si="23"/>
        <v/>
      </c>
      <c r="V83" s="5" t="s">
        <v>36</v>
      </c>
      <c r="W83" t="str">
        <f t="shared" si="29"/>
        <v/>
      </c>
      <c r="X83" t="str">
        <f t="shared" si="29"/>
        <v/>
      </c>
      <c r="Y83" s="5" t="s">
        <v>36</v>
      </c>
      <c r="Z83" t="str">
        <f t="shared" si="30"/>
        <v/>
      </c>
      <c r="AA83" t="str">
        <f t="shared" si="38"/>
        <v/>
      </c>
      <c r="AB83" s="5" t="s">
        <v>36</v>
      </c>
      <c r="AH83">
        <f t="shared" si="40"/>
        <v>78</v>
      </c>
      <c r="AI83">
        <f t="shared" si="34"/>
        <v>0</v>
      </c>
      <c r="AJ83">
        <f t="shared" si="39"/>
        <v>5</v>
      </c>
    </row>
    <row r="84" spans="1:36" x14ac:dyDescent="0.25">
      <c r="A84" s="5" t="s">
        <v>39</v>
      </c>
      <c r="B84" s="5" t="s">
        <v>30</v>
      </c>
      <c r="C84" s="5" t="str">
        <f t="shared" si="24"/>
        <v>description,dailCompDescHunting,</v>
      </c>
      <c r="D84" s="5" t="str">
        <f t="shared" si="25"/>
        <v>itemText,dailCompTextHunting,</v>
      </c>
      <c r="E84" s="5" t="str">
        <f t="shared" si="35"/>
        <v>augmentSkillLevel1,5,</v>
      </c>
      <c r="F84" s="5" t="str">
        <f t="shared" si="36"/>
        <v>augmentSkillName1,records/skills,</v>
      </c>
      <c r="G84" s="7" t="str">
        <f t="shared" si="31"/>
        <v/>
      </c>
      <c r="H84" s="8" t="str">
        <f t="shared" si="32"/>
        <v>Hunting</v>
      </c>
      <c r="J84" s="8" t="str">
        <f t="shared" si="33"/>
        <v>class0017</v>
      </c>
      <c r="K84" s="8" t="str">
        <f t="shared" si="33"/>
        <v>dailoneskill0017</v>
      </c>
      <c r="L84" s="5" t="str">
        <f t="shared" si="26"/>
        <v>lootName,DAIL/items/materia/class0017/Hunting.dbr,</v>
      </c>
      <c r="M84" s="5" t="str">
        <f t="shared" si="27"/>
        <v>lootWeight,1,</v>
      </c>
      <c r="N84" t="str">
        <f t="shared" si="28"/>
        <v>5</v>
      </c>
      <c r="O84" t="str">
        <f t="shared" si="37"/>
        <v/>
      </c>
      <c r="P84" t="str">
        <f t="shared" si="23"/>
        <v/>
      </c>
      <c r="Q84" t="str">
        <f t="shared" si="23"/>
        <v/>
      </c>
      <c r="R84" t="str">
        <f t="shared" si="23"/>
        <v/>
      </c>
      <c r="S84" t="str">
        <f t="shared" si="23"/>
        <v/>
      </c>
      <c r="T84" t="str">
        <f t="shared" si="23"/>
        <v/>
      </c>
      <c r="U84" t="str">
        <f t="shared" si="23"/>
        <v/>
      </c>
      <c r="V84" s="5" t="s">
        <v>36</v>
      </c>
      <c r="W84" t="str">
        <f t="shared" si="29"/>
        <v/>
      </c>
      <c r="X84" t="str">
        <f t="shared" si="29"/>
        <v/>
      </c>
      <c r="Y84" s="5" t="s">
        <v>36</v>
      </c>
      <c r="Z84" t="str">
        <f t="shared" si="30"/>
        <v/>
      </c>
      <c r="AA84" t="str">
        <f t="shared" si="38"/>
        <v/>
      </c>
      <c r="AB84" s="5" t="s">
        <v>36</v>
      </c>
      <c r="AH84">
        <f t="shared" si="40"/>
        <v>79</v>
      </c>
      <c r="AI84">
        <f t="shared" si="34"/>
        <v>0</v>
      </c>
      <c r="AJ84">
        <f t="shared" si="39"/>
        <v>5</v>
      </c>
    </row>
    <row r="85" spans="1:36" x14ac:dyDescent="0.25">
      <c r="A85" s="5" t="s">
        <v>39</v>
      </c>
      <c r="B85" s="5" t="s">
        <v>30</v>
      </c>
      <c r="C85" s="5" t="str">
        <f t="shared" si="24"/>
        <v>description,dailCompDescHunting,</v>
      </c>
      <c r="D85" s="5" t="str">
        <f t="shared" si="25"/>
        <v>itemText,dailCompTextHunting,</v>
      </c>
      <c r="E85" s="5" t="str">
        <f t="shared" si="35"/>
        <v>augmentSkillLevel1,5,</v>
      </c>
      <c r="F85" s="5" t="str">
        <f t="shared" si="36"/>
        <v>augmentSkillName1,records/skills,</v>
      </c>
      <c r="G85" s="7" t="str">
        <f t="shared" si="31"/>
        <v/>
      </c>
      <c r="H85" s="8" t="str">
        <f t="shared" si="32"/>
        <v>Hunting</v>
      </c>
      <c r="J85" s="8" t="str">
        <f t="shared" ref="J85:K100" si="41">J84</f>
        <v>class0017</v>
      </c>
      <c r="K85" s="8" t="str">
        <f t="shared" si="41"/>
        <v>dailoneskill0017</v>
      </c>
      <c r="L85" s="5" t="str">
        <f t="shared" si="26"/>
        <v>lootName,DAIL/items/materia/class0017/Hunting.dbr,</v>
      </c>
      <c r="M85" s="5" t="str">
        <f t="shared" si="27"/>
        <v>lootWeight,1,</v>
      </c>
      <c r="N85" t="str">
        <f t="shared" si="28"/>
        <v>5</v>
      </c>
      <c r="O85" t="str">
        <f t="shared" si="37"/>
        <v/>
      </c>
      <c r="P85" t="str">
        <f t="shared" si="23"/>
        <v/>
      </c>
      <c r="Q85" t="str">
        <f t="shared" si="23"/>
        <v/>
      </c>
      <c r="R85" t="str">
        <f t="shared" si="23"/>
        <v/>
      </c>
      <c r="S85" t="str">
        <f t="shared" si="23"/>
        <v/>
      </c>
      <c r="T85" t="str">
        <f t="shared" si="23"/>
        <v/>
      </c>
      <c r="U85" t="str">
        <f t="shared" si="23"/>
        <v/>
      </c>
      <c r="V85" s="5" t="s">
        <v>36</v>
      </c>
      <c r="W85" t="str">
        <f t="shared" si="29"/>
        <v/>
      </c>
      <c r="X85" t="str">
        <f t="shared" si="29"/>
        <v/>
      </c>
      <c r="Y85" s="5" t="s">
        <v>36</v>
      </c>
      <c r="Z85" t="str">
        <f t="shared" si="30"/>
        <v/>
      </c>
      <c r="AA85" t="str">
        <f t="shared" si="38"/>
        <v/>
      </c>
      <c r="AB85" s="5" t="s">
        <v>36</v>
      </c>
      <c r="AH85">
        <f t="shared" si="40"/>
        <v>80</v>
      </c>
      <c r="AI85">
        <f t="shared" si="34"/>
        <v>0</v>
      </c>
      <c r="AJ85">
        <f t="shared" si="39"/>
        <v>5</v>
      </c>
    </row>
    <row r="86" spans="1:36" x14ac:dyDescent="0.25">
      <c r="A86" s="5" t="s">
        <v>39</v>
      </c>
      <c r="B86" s="5" t="s">
        <v>30</v>
      </c>
      <c r="C86" s="5" t="str">
        <f t="shared" si="24"/>
        <v>description,dailCompDescHunting,</v>
      </c>
      <c r="D86" s="5" t="str">
        <f t="shared" si="25"/>
        <v>itemText,dailCompTextHunting,</v>
      </c>
      <c r="E86" s="5" t="str">
        <f t="shared" si="35"/>
        <v>augmentSkillLevel1,5,</v>
      </c>
      <c r="F86" s="5" t="str">
        <f t="shared" si="36"/>
        <v>augmentSkillName1,records/skills,</v>
      </c>
      <c r="G86" s="7" t="str">
        <f t="shared" si="31"/>
        <v/>
      </c>
      <c r="H86" s="8" t="str">
        <f t="shared" si="32"/>
        <v>Hunting</v>
      </c>
      <c r="J86" s="8" t="str">
        <f t="shared" si="41"/>
        <v>class0017</v>
      </c>
      <c r="K86" s="8" t="str">
        <f t="shared" si="41"/>
        <v>dailoneskill0017</v>
      </c>
      <c r="L86" s="5" t="str">
        <f t="shared" si="26"/>
        <v>lootName,DAIL/items/materia/class0017/Hunting.dbr,</v>
      </c>
      <c r="M86" s="5" t="str">
        <f t="shared" si="27"/>
        <v>lootWeight,1,</v>
      </c>
      <c r="N86" t="str">
        <f t="shared" si="28"/>
        <v>5</v>
      </c>
      <c r="O86" t="str">
        <f t="shared" si="37"/>
        <v/>
      </c>
      <c r="P86" t="str">
        <f t="shared" si="23"/>
        <v/>
      </c>
      <c r="Q86" t="str">
        <f t="shared" si="23"/>
        <v/>
      </c>
      <c r="R86" t="str">
        <f t="shared" si="23"/>
        <v/>
      </c>
      <c r="S86" t="str">
        <f t="shared" si="23"/>
        <v/>
      </c>
      <c r="T86" t="str">
        <f t="shared" si="23"/>
        <v/>
      </c>
      <c r="U86" t="str">
        <f t="shared" si="23"/>
        <v/>
      </c>
      <c r="V86" s="5" t="s">
        <v>36</v>
      </c>
      <c r="W86" t="str">
        <f t="shared" si="29"/>
        <v/>
      </c>
      <c r="X86" t="str">
        <f t="shared" si="29"/>
        <v/>
      </c>
      <c r="Y86" s="5" t="s">
        <v>36</v>
      </c>
      <c r="Z86" t="str">
        <f t="shared" si="30"/>
        <v/>
      </c>
      <c r="AA86" t="str">
        <f t="shared" si="38"/>
        <v/>
      </c>
      <c r="AB86" s="5" t="s">
        <v>36</v>
      </c>
      <c r="AH86">
        <f t="shared" si="40"/>
        <v>81</v>
      </c>
      <c r="AI86">
        <f t="shared" si="34"/>
        <v>0</v>
      </c>
      <c r="AJ86">
        <f t="shared" si="39"/>
        <v>5</v>
      </c>
    </row>
    <row r="87" spans="1:36" x14ac:dyDescent="0.25">
      <c r="A87" s="5" t="s">
        <v>39</v>
      </c>
      <c r="B87" s="5" t="s">
        <v>30</v>
      </c>
      <c r="C87" s="5" t="str">
        <f t="shared" si="24"/>
        <v>description,dailCompDescHunting,</v>
      </c>
      <c r="D87" s="5" t="str">
        <f t="shared" si="25"/>
        <v>itemText,dailCompTextHunting,</v>
      </c>
      <c r="E87" s="5" t="str">
        <f t="shared" si="35"/>
        <v>augmentSkillLevel1,5,</v>
      </c>
      <c r="F87" s="5" t="str">
        <f t="shared" si="36"/>
        <v>augmentSkillName1,records/skills,</v>
      </c>
      <c r="G87" s="7" t="str">
        <f t="shared" si="31"/>
        <v/>
      </c>
      <c r="H87" s="8" t="str">
        <f t="shared" si="32"/>
        <v>Hunting</v>
      </c>
      <c r="J87" s="8" t="str">
        <f t="shared" si="41"/>
        <v>class0017</v>
      </c>
      <c r="K87" s="8" t="str">
        <f t="shared" si="41"/>
        <v>dailoneskill0017</v>
      </c>
      <c r="L87" s="5" t="str">
        <f t="shared" si="26"/>
        <v>lootName,DAIL/items/materia/class0017/Hunting.dbr,</v>
      </c>
      <c r="M87" s="5" t="str">
        <f t="shared" si="27"/>
        <v>lootWeight,1,</v>
      </c>
      <c r="N87" t="str">
        <f t="shared" si="28"/>
        <v>5</v>
      </c>
      <c r="O87" t="str">
        <f t="shared" si="37"/>
        <v/>
      </c>
      <c r="P87" t="str">
        <f t="shared" si="23"/>
        <v/>
      </c>
      <c r="Q87" t="str">
        <f t="shared" si="23"/>
        <v/>
      </c>
      <c r="R87" t="str">
        <f t="shared" si="23"/>
        <v/>
      </c>
      <c r="S87" t="str">
        <f t="shared" si="23"/>
        <v/>
      </c>
      <c r="T87" t="str">
        <f t="shared" si="23"/>
        <v/>
      </c>
      <c r="U87" t="str">
        <f t="shared" si="23"/>
        <v/>
      </c>
      <c r="V87" s="5" t="s">
        <v>36</v>
      </c>
      <c r="W87" t="str">
        <f t="shared" si="29"/>
        <v/>
      </c>
      <c r="X87" t="str">
        <f t="shared" si="29"/>
        <v/>
      </c>
      <c r="Y87" s="5" t="s">
        <v>36</v>
      </c>
      <c r="Z87" t="str">
        <f t="shared" si="30"/>
        <v/>
      </c>
      <c r="AA87" t="str">
        <f t="shared" si="38"/>
        <v/>
      </c>
      <c r="AB87" s="5" t="s">
        <v>36</v>
      </c>
      <c r="AH87">
        <f t="shared" si="40"/>
        <v>82</v>
      </c>
      <c r="AI87">
        <f t="shared" si="34"/>
        <v>0</v>
      </c>
      <c r="AJ87">
        <f t="shared" si="39"/>
        <v>5</v>
      </c>
    </row>
    <row r="88" spans="1:36" x14ac:dyDescent="0.25">
      <c r="A88" s="5" t="s">
        <v>39</v>
      </c>
      <c r="B88" s="5" t="s">
        <v>30</v>
      </c>
      <c r="C88" s="5" t="str">
        <f t="shared" si="24"/>
        <v>description,dailCompDescHunting,</v>
      </c>
      <c r="D88" s="5" t="str">
        <f t="shared" si="25"/>
        <v>itemText,dailCompTextHunting,</v>
      </c>
      <c r="E88" s="5" t="str">
        <f t="shared" si="35"/>
        <v>augmentSkillLevel1,5,</v>
      </c>
      <c r="F88" s="5" t="str">
        <f t="shared" si="36"/>
        <v>augmentSkillName1,records/skills,</v>
      </c>
      <c r="G88" s="7" t="str">
        <f t="shared" si="31"/>
        <v/>
      </c>
      <c r="H88" s="8" t="str">
        <f t="shared" si="32"/>
        <v>Hunting</v>
      </c>
      <c r="J88" s="8" t="str">
        <f t="shared" si="41"/>
        <v>class0017</v>
      </c>
      <c r="K88" s="8" t="str">
        <f t="shared" si="41"/>
        <v>dailoneskill0017</v>
      </c>
      <c r="L88" s="5" t="str">
        <f t="shared" si="26"/>
        <v>lootName,DAIL/items/materia/class0017/Hunting.dbr,</v>
      </c>
      <c r="M88" s="5" t="str">
        <f t="shared" si="27"/>
        <v>lootWeight,1,</v>
      </c>
      <c r="N88" t="str">
        <f t="shared" si="28"/>
        <v>5</v>
      </c>
      <c r="O88" t="str">
        <f t="shared" si="37"/>
        <v/>
      </c>
      <c r="P88" t="str">
        <f t="shared" si="23"/>
        <v/>
      </c>
      <c r="Q88" t="str">
        <f t="shared" si="23"/>
        <v/>
      </c>
      <c r="R88" t="str">
        <f t="shared" si="23"/>
        <v/>
      </c>
      <c r="S88" t="str">
        <f t="shared" si="23"/>
        <v/>
      </c>
      <c r="T88" t="str">
        <f t="shared" si="23"/>
        <v/>
      </c>
      <c r="U88" t="str">
        <f t="shared" si="23"/>
        <v/>
      </c>
      <c r="V88" s="5" t="s">
        <v>36</v>
      </c>
      <c r="W88" t="str">
        <f t="shared" si="29"/>
        <v/>
      </c>
      <c r="X88" t="str">
        <f t="shared" si="29"/>
        <v/>
      </c>
      <c r="Y88" s="5" t="s">
        <v>36</v>
      </c>
      <c r="Z88" t="str">
        <f t="shared" si="30"/>
        <v/>
      </c>
      <c r="AA88" t="str">
        <f t="shared" si="38"/>
        <v/>
      </c>
      <c r="AB88" s="5" t="s">
        <v>36</v>
      </c>
      <c r="AH88">
        <f t="shared" si="40"/>
        <v>83</v>
      </c>
      <c r="AI88">
        <f t="shared" si="34"/>
        <v>0</v>
      </c>
      <c r="AJ88">
        <f t="shared" si="39"/>
        <v>5</v>
      </c>
    </row>
    <row r="89" spans="1:36" x14ac:dyDescent="0.25">
      <c r="A89" s="5" t="s">
        <v>39</v>
      </c>
      <c r="B89" s="5" t="s">
        <v>30</v>
      </c>
      <c r="C89" s="5" t="str">
        <f t="shared" si="24"/>
        <v>description,dailCompDescHunting,</v>
      </c>
      <c r="D89" s="5" t="str">
        <f t="shared" si="25"/>
        <v>itemText,dailCompTextHunting,</v>
      </c>
      <c r="E89" s="5" t="str">
        <f t="shared" si="35"/>
        <v>augmentSkillLevel1,5,</v>
      </c>
      <c r="F89" s="5" t="str">
        <f t="shared" si="36"/>
        <v>augmentSkillName1,records/skills,</v>
      </c>
      <c r="G89" s="7" t="str">
        <f t="shared" si="31"/>
        <v/>
      </c>
      <c r="H89" s="8" t="str">
        <f t="shared" si="32"/>
        <v>Hunting</v>
      </c>
      <c r="J89" s="8" t="str">
        <f t="shared" si="41"/>
        <v>class0017</v>
      </c>
      <c r="K89" s="8" t="str">
        <f t="shared" si="41"/>
        <v>dailoneskill0017</v>
      </c>
      <c r="L89" s="5" t="str">
        <f t="shared" si="26"/>
        <v>lootName,DAIL/items/materia/class0017/Hunting.dbr,</v>
      </c>
      <c r="M89" s="5" t="str">
        <f t="shared" si="27"/>
        <v>lootWeight,1,</v>
      </c>
      <c r="N89" t="str">
        <f t="shared" si="28"/>
        <v>5</v>
      </c>
      <c r="O89" t="str">
        <f t="shared" si="37"/>
        <v/>
      </c>
      <c r="P89" t="str">
        <f t="shared" si="23"/>
        <v/>
      </c>
      <c r="Q89" t="str">
        <f t="shared" si="23"/>
        <v/>
      </c>
      <c r="R89" t="str">
        <f t="shared" si="23"/>
        <v/>
      </c>
      <c r="S89" t="str">
        <f t="shared" si="23"/>
        <v/>
      </c>
      <c r="T89" t="str">
        <f t="shared" si="23"/>
        <v/>
      </c>
      <c r="U89" t="str">
        <f t="shared" si="23"/>
        <v/>
      </c>
      <c r="V89" s="5" t="s">
        <v>36</v>
      </c>
      <c r="W89" t="str">
        <f t="shared" si="29"/>
        <v/>
      </c>
      <c r="X89" t="str">
        <f t="shared" si="29"/>
        <v/>
      </c>
      <c r="Y89" s="5" t="s">
        <v>36</v>
      </c>
      <c r="Z89" t="str">
        <f t="shared" si="30"/>
        <v/>
      </c>
      <c r="AA89" t="str">
        <f t="shared" si="38"/>
        <v/>
      </c>
      <c r="AB89" s="5" t="s">
        <v>36</v>
      </c>
      <c r="AH89">
        <f t="shared" si="40"/>
        <v>84</v>
      </c>
      <c r="AI89">
        <f t="shared" si="34"/>
        <v>0</v>
      </c>
      <c r="AJ89">
        <f t="shared" si="39"/>
        <v>5</v>
      </c>
    </row>
    <row r="90" spans="1:36" x14ac:dyDescent="0.25">
      <c r="A90" s="5" t="s">
        <v>39</v>
      </c>
      <c r="B90" s="5" t="s">
        <v>30</v>
      </c>
      <c r="C90" s="5" t="str">
        <f t="shared" si="24"/>
        <v>description,dailCompDescHunting,</v>
      </c>
      <c r="D90" s="5" t="str">
        <f t="shared" si="25"/>
        <v>itemText,dailCompTextHunting,</v>
      </c>
      <c r="E90" s="5" t="str">
        <f t="shared" si="35"/>
        <v>augmentSkillLevel1,5,</v>
      </c>
      <c r="F90" s="5" t="str">
        <f t="shared" si="36"/>
        <v>augmentSkillName1,records/skills,</v>
      </c>
      <c r="G90" s="7" t="str">
        <f t="shared" si="31"/>
        <v/>
      </c>
      <c r="H90" s="8" t="str">
        <f t="shared" si="32"/>
        <v>Hunting</v>
      </c>
      <c r="J90" s="8" t="str">
        <f t="shared" si="41"/>
        <v>class0017</v>
      </c>
      <c r="K90" s="8" t="str">
        <f t="shared" si="41"/>
        <v>dailoneskill0017</v>
      </c>
      <c r="L90" s="5" t="str">
        <f t="shared" si="26"/>
        <v>lootName,DAIL/items/materia/class0017/Hunting.dbr,</v>
      </c>
      <c r="M90" s="5" t="str">
        <f t="shared" si="27"/>
        <v>lootWeight,1,</v>
      </c>
      <c r="N90" t="str">
        <f t="shared" si="28"/>
        <v>5</v>
      </c>
      <c r="O90" t="str">
        <f t="shared" si="37"/>
        <v/>
      </c>
      <c r="P90" t="str">
        <f t="shared" si="23"/>
        <v/>
      </c>
      <c r="Q90" t="str">
        <f t="shared" si="23"/>
        <v/>
      </c>
      <c r="R90" t="str">
        <f t="shared" si="23"/>
        <v/>
      </c>
      <c r="S90" t="str">
        <f t="shared" si="23"/>
        <v/>
      </c>
      <c r="T90" t="str">
        <f t="shared" si="23"/>
        <v/>
      </c>
      <c r="U90" t="str">
        <f t="shared" si="23"/>
        <v/>
      </c>
      <c r="V90" s="5" t="s">
        <v>36</v>
      </c>
      <c r="W90" t="str">
        <f t="shared" si="29"/>
        <v/>
      </c>
      <c r="X90" t="str">
        <f t="shared" si="29"/>
        <v/>
      </c>
      <c r="Y90" s="5" t="s">
        <v>36</v>
      </c>
      <c r="Z90" t="str">
        <f t="shared" si="30"/>
        <v/>
      </c>
      <c r="AA90" t="str">
        <f t="shared" si="38"/>
        <v/>
      </c>
      <c r="AB90" s="5" t="s">
        <v>36</v>
      </c>
      <c r="AH90">
        <f t="shared" si="40"/>
        <v>85</v>
      </c>
      <c r="AI90">
        <f t="shared" si="34"/>
        <v>0</v>
      </c>
      <c r="AJ90">
        <f t="shared" si="39"/>
        <v>5</v>
      </c>
    </row>
    <row r="91" spans="1:36" x14ac:dyDescent="0.25">
      <c r="A91" s="5" t="s">
        <v>39</v>
      </c>
      <c r="B91" s="5" t="s">
        <v>30</v>
      </c>
      <c r="C91" s="5" t="str">
        <f t="shared" si="24"/>
        <v>description,dailCompDescHunting,</v>
      </c>
      <c r="D91" s="5" t="str">
        <f t="shared" si="25"/>
        <v>itemText,dailCompTextHunting,</v>
      </c>
      <c r="E91" s="5" t="str">
        <f t="shared" si="35"/>
        <v>augmentSkillLevel1,5,</v>
      </c>
      <c r="F91" s="5" t="str">
        <f t="shared" si="36"/>
        <v>augmentSkillName1,records/skills,</v>
      </c>
      <c r="G91" s="7" t="str">
        <f t="shared" si="31"/>
        <v/>
      </c>
      <c r="H91" s="8" t="str">
        <f t="shared" si="32"/>
        <v>Hunting</v>
      </c>
      <c r="J91" s="8" t="str">
        <f t="shared" si="41"/>
        <v>class0017</v>
      </c>
      <c r="K91" s="8" t="str">
        <f t="shared" si="41"/>
        <v>dailoneskill0017</v>
      </c>
      <c r="L91" s="5" t="str">
        <f t="shared" si="26"/>
        <v>lootName,DAIL/items/materia/class0017/Hunting.dbr,</v>
      </c>
      <c r="M91" s="5" t="str">
        <f t="shared" si="27"/>
        <v>lootWeight,1,</v>
      </c>
      <c r="N91" t="str">
        <f t="shared" si="28"/>
        <v>5</v>
      </c>
      <c r="O91" t="str">
        <f t="shared" si="37"/>
        <v/>
      </c>
      <c r="P91" t="str">
        <f t="shared" si="23"/>
        <v/>
      </c>
      <c r="Q91" t="str">
        <f t="shared" si="23"/>
        <v/>
      </c>
      <c r="R91" t="str">
        <f t="shared" si="23"/>
        <v/>
      </c>
      <c r="S91" t="str">
        <f t="shared" si="23"/>
        <v/>
      </c>
      <c r="T91" t="str">
        <f t="shared" si="23"/>
        <v/>
      </c>
      <c r="U91" t="str">
        <f t="shared" si="23"/>
        <v/>
      </c>
      <c r="V91" s="5" t="s">
        <v>36</v>
      </c>
      <c r="W91" t="str">
        <f t="shared" si="29"/>
        <v/>
      </c>
      <c r="X91" t="str">
        <f t="shared" si="29"/>
        <v/>
      </c>
      <c r="Y91" s="5" t="s">
        <v>36</v>
      </c>
      <c r="Z91" t="str">
        <f t="shared" si="30"/>
        <v/>
      </c>
      <c r="AA91" t="str">
        <f t="shared" si="38"/>
        <v/>
      </c>
      <c r="AB91" s="5" t="s">
        <v>36</v>
      </c>
      <c r="AH91">
        <f t="shared" si="40"/>
        <v>86</v>
      </c>
      <c r="AI91">
        <f t="shared" si="34"/>
        <v>0</v>
      </c>
      <c r="AJ91">
        <f t="shared" si="39"/>
        <v>5</v>
      </c>
    </row>
    <row r="92" spans="1:36" x14ac:dyDescent="0.25">
      <c r="A92" s="5" t="s">
        <v>39</v>
      </c>
      <c r="B92" s="5" t="s">
        <v>30</v>
      </c>
      <c r="C92" s="5" t="str">
        <f t="shared" si="24"/>
        <v>description,dailCompDescHunting,</v>
      </c>
      <c r="D92" s="5" t="str">
        <f t="shared" si="25"/>
        <v>itemText,dailCompTextHunting,</v>
      </c>
      <c r="E92" s="5" t="str">
        <f t="shared" si="35"/>
        <v>augmentSkillLevel1,5,</v>
      </c>
      <c r="F92" s="5" t="str">
        <f t="shared" si="36"/>
        <v>augmentSkillName1,records/skills,</v>
      </c>
      <c r="G92" s="7" t="str">
        <f t="shared" si="31"/>
        <v/>
      </c>
      <c r="H92" s="8" t="str">
        <f t="shared" si="32"/>
        <v>Hunting</v>
      </c>
      <c r="J92" s="8" t="str">
        <f t="shared" si="41"/>
        <v>class0017</v>
      </c>
      <c r="K92" s="8" t="str">
        <f t="shared" si="41"/>
        <v>dailoneskill0017</v>
      </c>
      <c r="L92" s="5" t="str">
        <f t="shared" si="26"/>
        <v>lootName,DAIL/items/materia/class0017/Hunting.dbr,</v>
      </c>
      <c r="M92" s="5" t="str">
        <f t="shared" si="27"/>
        <v>lootWeight,1,</v>
      </c>
      <c r="N92" t="str">
        <f t="shared" si="28"/>
        <v>5</v>
      </c>
      <c r="O92" t="str">
        <f t="shared" si="37"/>
        <v/>
      </c>
      <c r="P92" t="str">
        <f t="shared" si="23"/>
        <v/>
      </c>
      <c r="Q92" t="str">
        <f t="shared" si="23"/>
        <v/>
      </c>
      <c r="R92" t="str">
        <f t="shared" si="23"/>
        <v/>
      </c>
      <c r="S92" t="str">
        <f t="shared" si="23"/>
        <v/>
      </c>
      <c r="T92" t="str">
        <f t="shared" si="23"/>
        <v/>
      </c>
      <c r="U92" t="str">
        <f t="shared" si="23"/>
        <v/>
      </c>
      <c r="V92" s="5" t="s">
        <v>36</v>
      </c>
      <c r="W92" t="str">
        <f t="shared" si="29"/>
        <v/>
      </c>
      <c r="X92" t="str">
        <f t="shared" si="29"/>
        <v/>
      </c>
      <c r="Y92" s="5" t="s">
        <v>36</v>
      </c>
      <c r="Z92" t="str">
        <f t="shared" si="30"/>
        <v/>
      </c>
      <c r="AA92" t="str">
        <f t="shared" si="38"/>
        <v/>
      </c>
      <c r="AB92" s="5" t="s">
        <v>36</v>
      </c>
      <c r="AH92">
        <f t="shared" si="40"/>
        <v>87</v>
      </c>
      <c r="AI92">
        <f t="shared" si="34"/>
        <v>0</v>
      </c>
      <c r="AJ92">
        <f t="shared" si="39"/>
        <v>5</v>
      </c>
    </row>
    <row r="93" spans="1:36" x14ac:dyDescent="0.25">
      <c r="A93" s="5" t="s">
        <v>39</v>
      </c>
      <c r="B93" s="5" t="s">
        <v>30</v>
      </c>
      <c r="C93" s="5" t="str">
        <f t="shared" si="24"/>
        <v>description,dailCompDescHunting,</v>
      </c>
      <c r="D93" s="5" t="str">
        <f t="shared" si="25"/>
        <v>itemText,dailCompTextHunting,</v>
      </c>
      <c r="E93" s="5" t="str">
        <f t="shared" si="35"/>
        <v>augmentSkillLevel1,5,</v>
      </c>
      <c r="F93" s="5" t="str">
        <f t="shared" si="36"/>
        <v>augmentSkillName1,records/skills,</v>
      </c>
      <c r="G93" s="7" t="str">
        <f t="shared" si="31"/>
        <v/>
      </c>
      <c r="H93" s="8" t="str">
        <f t="shared" si="32"/>
        <v>Hunting</v>
      </c>
      <c r="J93" s="8" t="str">
        <f t="shared" si="41"/>
        <v>class0017</v>
      </c>
      <c r="K93" s="8" t="str">
        <f t="shared" si="41"/>
        <v>dailoneskill0017</v>
      </c>
      <c r="L93" s="5" t="str">
        <f t="shared" si="26"/>
        <v>lootName,DAIL/items/materia/class0017/Hunting.dbr,</v>
      </c>
      <c r="M93" s="5" t="str">
        <f t="shared" si="27"/>
        <v>lootWeight,1,</v>
      </c>
      <c r="N93" t="str">
        <f t="shared" si="28"/>
        <v>5</v>
      </c>
      <c r="O93" t="str">
        <f t="shared" si="37"/>
        <v/>
      </c>
      <c r="P93" t="str">
        <f t="shared" si="23"/>
        <v/>
      </c>
      <c r="Q93" t="str">
        <f t="shared" si="23"/>
        <v/>
      </c>
      <c r="R93" t="str">
        <f t="shared" si="23"/>
        <v/>
      </c>
      <c r="S93" t="str">
        <f t="shared" si="23"/>
        <v/>
      </c>
      <c r="T93" t="str">
        <f t="shared" si="23"/>
        <v/>
      </c>
      <c r="U93" t="str">
        <f t="shared" si="23"/>
        <v/>
      </c>
      <c r="V93" s="5" t="s">
        <v>36</v>
      </c>
      <c r="W93" t="str">
        <f t="shared" si="29"/>
        <v/>
      </c>
      <c r="X93" t="str">
        <f t="shared" si="29"/>
        <v/>
      </c>
      <c r="Y93" s="5" t="s">
        <v>36</v>
      </c>
      <c r="Z93" t="str">
        <f t="shared" si="30"/>
        <v/>
      </c>
      <c r="AA93" t="str">
        <f t="shared" si="38"/>
        <v/>
      </c>
      <c r="AB93" s="5" t="s">
        <v>36</v>
      </c>
      <c r="AH93">
        <f t="shared" si="40"/>
        <v>88</v>
      </c>
      <c r="AI93">
        <f t="shared" si="34"/>
        <v>0</v>
      </c>
      <c r="AJ93">
        <f t="shared" si="39"/>
        <v>5</v>
      </c>
    </row>
    <row r="94" spans="1:36" x14ac:dyDescent="0.25">
      <c r="A94" s="5" t="s">
        <v>39</v>
      </c>
      <c r="B94" s="5" t="s">
        <v>30</v>
      </c>
      <c r="C94" s="5" t="str">
        <f t="shared" si="24"/>
        <v>description,dailCompDescHunting,</v>
      </c>
      <c r="D94" s="5" t="str">
        <f t="shared" si="25"/>
        <v>itemText,dailCompTextHunting,</v>
      </c>
      <c r="E94" s="5" t="str">
        <f t="shared" si="35"/>
        <v>augmentSkillLevel1,5,</v>
      </c>
      <c r="F94" s="5" t="str">
        <f t="shared" si="36"/>
        <v>augmentSkillName1,records/skills,</v>
      </c>
      <c r="G94" s="7" t="str">
        <f t="shared" si="31"/>
        <v/>
      </c>
      <c r="H94" s="8" t="str">
        <f t="shared" si="32"/>
        <v>Hunting</v>
      </c>
      <c r="J94" s="8" t="str">
        <f t="shared" si="41"/>
        <v>class0017</v>
      </c>
      <c r="K94" s="8" t="str">
        <f t="shared" si="41"/>
        <v>dailoneskill0017</v>
      </c>
      <c r="L94" s="5" t="str">
        <f t="shared" si="26"/>
        <v>lootName,DAIL/items/materia/class0017/Hunting.dbr,</v>
      </c>
      <c r="M94" s="5" t="str">
        <f t="shared" si="27"/>
        <v>lootWeight,1,</v>
      </c>
      <c r="N94" t="str">
        <f t="shared" si="28"/>
        <v>5</v>
      </c>
      <c r="O94" t="str">
        <f t="shared" si="37"/>
        <v/>
      </c>
      <c r="P94" t="str">
        <f t="shared" si="23"/>
        <v/>
      </c>
      <c r="Q94" t="str">
        <f t="shared" si="23"/>
        <v/>
      </c>
      <c r="R94" t="str">
        <f t="shared" si="23"/>
        <v/>
      </c>
      <c r="S94" t="str">
        <f t="shared" si="23"/>
        <v/>
      </c>
      <c r="T94" t="str">
        <f t="shared" si="23"/>
        <v/>
      </c>
      <c r="U94" t="str">
        <f t="shared" si="23"/>
        <v/>
      </c>
      <c r="V94" s="5" t="s">
        <v>36</v>
      </c>
      <c r="W94" t="str">
        <f t="shared" si="29"/>
        <v/>
      </c>
      <c r="X94" t="str">
        <f t="shared" si="29"/>
        <v/>
      </c>
      <c r="Y94" s="5" t="s">
        <v>36</v>
      </c>
      <c r="Z94" t="str">
        <f t="shared" si="30"/>
        <v/>
      </c>
      <c r="AA94" t="str">
        <f t="shared" si="38"/>
        <v/>
      </c>
      <c r="AB94" s="5" t="s">
        <v>36</v>
      </c>
      <c r="AH94">
        <f t="shared" si="40"/>
        <v>89</v>
      </c>
      <c r="AI94">
        <f t="shared" si="34"/>
        <v>0</v>
      </c>
      <c r="AJ94">
        <f t="shared" si="39"/>
        <v>5</v>
      </c>
    </row>
    <row r="95" spans="1:36" x14ac:dyDescent="0.25">
      <c r="A95" s="5" t="s">
        <v>39</v>
      </c>
      <c r="B95" s="5" t="s">
        <v>30</v>
      </c>
      <c r="C95" s="5" t="str">
        <f t="shared" si="24"/>
        <v>description,dailCompDescHunting,</v>
      </c>
      <c r="D95" s="5" t="str">
        <f t="shared" si="25"/>
        <v>itemText,dailCompTextHunting,</v>
      </c>
      <c r="E95" s="5" t="str">
        <f t="shared" si="35"/>
        <v>augmentSkillLevel1,5,</v>
      </c>
      <c r="F95" s="5" t="str">
        <f t="shared" si="36"/>
        <v>augmentSkillName1,records/skills,</v>
      </c>
      <c r="G95" s="7" t="str">
        <f t="shared" si="31"/>
        <v/>
      </c>
      <c r="H95" s="8" t="str">
        <f t="shared" si="32"/>
        <v>Hunting</v>
      </c>
      <c r="J95" s="8" t="str">
        <f t="shared" si="41"/>
        <v>class0017</v>
      </c>
      <c r="K95" s="8" t="str">
        <f t="shared" si="41"/>
        <v>dailoneskill0017</v>
      </c>
      <c r="L95" s="5" t="str">
        <f t="shared" si="26"/>
        <v>lootName,DAIL/items/materia/class0017/Hunting.dbr,</v>
      </c>
      <c r="M95" s="5" t="str">
        <f t="shared" si="27"/>
        <v>lootWeight,1,</v>
      </c>
      <c r="N95" t="str">
        <f t="shared" si="28"/>
        <v>5</v>
      </c>
      <c r="O95" t="str">
        <f t="shared" si="37"/>
        <v/>
      </c>
      <c r="P95" t="str">
        <f t="shared" si="23"/>
        <v/>
      </c>
      <c r="Q95" t="str">
        <f t="shared" si="23"/>
        <v/>
      </c>
      <c r="R95" t="str">
        <f t="shared" si="23"/>
        <v/>
      </c>
      <c r="S95" t="str">
        <f t="shared" si="23"/>
        <v/>
      </c>
      <c r="T95" t="str">
        <f t="shared" si="23"/>
        <v/>
      </c>
      <c r="U95" t="str">
        <f t="shared" si="23"/>
        <v/>
      </c>
      <c r="V95" s="5" t="s">
        <v>36</v>
      </c>
      <c r="W95" t="str">
        <f t="shared" si="29"/>
        <v/>
      </c>
      <c r="X95" t="str">
        <f t="shared" si="29"/>
        <v/>
      </c>
      <c r="Y95" s="5" t="s">
        <v>36</v>
      </c>
      <c r="Z95" t="str">
        <f t="shared" si="30"/>
        <v/>
      </c>
      <c r="AA95" t="str">
        <f t="shared" si="38"/>
        <v/>
      </c>
      <c r="AB95" s="5" t="s">
        <v>36</v>
      </c>
      <c r="AH95">
        <f t="shared" si="40"/>
        <v>90</v>
      </c>
      <c r="AI95">
        <f t="shared" si="34"/>
        <v>0</v>
      </c>
      <c r="AJ95">
        <f t="shared" si="39"/>
        <v>5</v>
      </c>
    </row>
    <row r="96" spans="1:36" x14ac:dyDescent="0.25">
      <c r="A96" s="5" t="s">
        <v>39</v>
      </c>
      <c r="B96" s="5" t="s">
        <v>30</v>
      </c>
      <c r="C96" s="5" t="str">
        <f t="shared" si="24"/>
        <v>description,dailCompDescHunting,</v>
      </c>
      <c r="D96" s="5" t="str">
        <f t="shared" si="25"/>
        <v>itemText,dailCompTextHunting,</v>
      </c>
      <c r="E96" s="5" t="str">
        <f t="shared" si="35"/>
        <v>augmentSkillLevel1,5,</v>
      </c>
      <c r="F96" s="5" t="str">
        <f t="shared" si="36"/>
        <v>augmentSkillName1,records/skills,</v>
      </c>
      <c r="G96" s="7" t="str">
        <f t="shared" si="31"/>
        <v/>
      </c>
      <c r="H96" s="8" t="str">
        <f t="shared" si="32"/>
        <v>Hunting</v>
      </c>
      <c r="J96" s="8" t="str">
        <f t="shared" si="41"/>
        <v>class0017</v>
      </c>
      <c r="K96" s="8" t="str">
        <f t="shared" si="41"/>
        <v>dailoneskill0017</v>
      </c>
      <c r="L96" s="5" t="str">
        <f t="shared" si="26"/>
        <v>lootName,DAIL/items/materia/class0017/Hunting.dbr,</v>
      </c>
      <c r="M96" s="5" t="str">
        <f t="shared" si="27"/>
        <v>lootWeight,1,</v>
      </c>
      <c r="N96" t="str">
        <f t="shared" si="28"/>
        <v>5</v>
      </c>
      <c r="O96" t="str">
        <f t="shared" si="37"/>
        <v/>
      </c>
      <c r="P96" t="str">
        <f t="shared" si="23"/>
        <v/>
      </c>
      <c r="Q96" t="str">
        <f t="shared" si="23"/>
        <v/>
      </c>
      <c r="R96" t="str">
        <f t="shared" si="23"/>
        <v/>
      </c>
      <c r="S96" t="str">
        <f t="shared" si="23"/>
        <v/>
      </c>
      <c r="T96" t="str">
        <f t="shared" si="23"/>
        <v/>
      </c>
      <c r="U96" t="str">
        <f t="shared" si="23"/>
        <v/>
      </c>
      <c r="V96" s="5" t="s">
        <v>36</v>
      </c>
      <c r="W96" t="str">
        <f t="shared" si="29"/>
        <v/>
      </c>
      <c r="X96" t="str">
        <f t="shared" si="29"/>
        <v/>
      </c>
      <c r="Y96" s="5" t="s">
        <v>36</v>
      </c>
      <c r="Z96" t="str">
        <f t="shared" si="30"/>
        <v/>
      </c>
      <c r="AA96" t="str">
        <f t="shared" si="38"/>
        <v/>
      </c>
      <c r="AB96" s="5" t="s">
        <v>36</v>
      </c>
      <c r="AH96">
        <f t="shared" si="40"/>
        <v>91</v>
      </c>
      <c r="AI96">
        <f t="shared" si="34"/>
        <v>0</v>
      </c>
      <c r="AJ96">
        <f t="shared" si="39"/>
        <v>5</v>
      </c>
    </row>
    <row r="97" spans="1:36" x14ac:dyDescent="0.25">
      <c r="A97" s="5" t="s">
        <v>39</v>
      </c>
      <c r="B97" s="5" t="s">
        <v>30</v>
      </c>
      <c r="C97" s="5" t="str">
        <f t="shared" si="24"/>
        <v>description,dailCompDescHunting,</v>
      </c>
      <c r="D97" s="5" t="str">
        <f t="shared" si="25"/>
        <v>itemText,dailCompTextHunting,</v>
      </c>
      <c r="E97" s="5" t="str">
        <f t="shared" si="35"/>
        <v>augmentSkillLevel1,5,</v>
      </c>
      <c r="F97" s="5" t="str">
        <f t="shared" si="36"/>
        <v>augmentSkillName1,records/skills,</v>
      </c>
      <c r="G97" s="7" t="str">
        <f t="shared" si="31"/>
        <v/>
      </c>
      <c r="H97" s="8" t="str">
        <f t="shared" si="32"/>
        <v>Hunting</v>
      </c>
      <c r="J97" s="8" t="str">
        <f t="shared" si="41"/>
        <v>class0017</v>
      </c>
      <c r="K97" s="8" t="str">
        <f t="shared" si="41"/>
        <v>dailoneskill0017</v>
      </c>
      <c r="L97" s="5" t="str">
        <f t="shared" si="26"/>
        <v>lootName,DAIL/items/materia/class0017/Hunting.dbr,</v>
      </c>
      <c r="M97" s="5" t="str">
        <f t="shared" si="27"/>
        <v>lootWeight,1,</v>
      </c>
      <c r="N97" t="str">
        <f t="shared" si="28"/>
        <v>5</v>
      </c>
      <c r="O97" t="str">
        <f t="shared" si="37"/>
        <v/>
      </c>
      <c r="P97" t="str">
        <f t="shared" si="23"/>
        <v/>
      </c>
      <c r="Q97" t="str">
        <f t="shared" si="23"/>
        <v/>
      </c>
      <c r="R97" t="str">
        <f t="shared" si="23"/>
        <v/>
      </c>
      <c r="S97" t="str">
        <f t="shared" si="23"/>
        <v/>
      </c>
      <c r="T97" t="str">
        <f t="shared" si="23"/>
        <v/>
      </c>
      <c r="U97" t="str">
        <f t="shared" si="23"/>
        <v/>
      </c>
      <c r="V97" s="5" t="s">
        <v>36</v>
      </c>
      <c r="W97" t="str">
        <f t="shared" si="29"/>
        <v/>
      </c>
      <c r="X97" t="str">
        <f t="shared" si="29"/>
        <v/>
      </c>
      <c r="Y97" s="5" t="s">
        <v>36</v>
      </c>
      <c r="Z97" t="str">
        <f t="shared" si="30"/>
        <v/>
      </c>
      <c r="AA97" t="str">
        <f t="shared" si="38"/>
        <v/>
      </c>
      <c r="AB97" s="5" t="s">
        <v>36</v>
      </c>
      <c r="AH97">
        <f t="shared" si="40"/>
        <v>92</v>
      </c>
      <c r="AI97">
        <f t="shared" si="34"/>
        <v>0</v>
      </c>
      <c r="AJ97">
        <f t="shared" si="39"/>
        <v>5</v>
      </c>
    </row>
    <row r="98" spans="1:36" x14ac:dyDescent="0.25">
      <c r="A98" s="5" t="s">
        <v>39</v>
      </c>
      <c r="B98" s="5" t="s">
        <v>30</v>
      </c>
      <c r="C98" s="5" t="str">
        <f t="shared" si="24"/>
        <v>description,dailCompDescHunting,</v>
      </c>
      <c r="D98" s="5" t="str">
        <f t="shared" si="25"/>
        <v>itemText,dailCompTextHunting,</v>
      </c>
      <c r="E98" s="5" t="str">
        <f t="shared" si="35"/>
        <v>augmentSkillLevel1,5,</v>
      </c>
      <c r="F98" s="5" t="str">
        <f t="shared" si="36"/>
        <v>augmentSkillName1,records/skills,</v>
      </c>
      <c r="G98" s="7" t="str">
        <f t="shared" si="31"/>
        <v/>
      </c>
      <c r="H98" s="8" t="str">
        <f t="shared" si="32"/>
        <v>Hunting</v>
      </c>
      <c r="J98" s="8" t="str">
        <f t="shared" si="41"/>
        <v>class0017</v>
      </c>
      <c r="K98" s="8" t="str">
        <f t="shared" si="41"/>
        <v>dailoneskill0017</v>
      </c>
      <c r="L98" s="5" t="str">
        <f t="shared" si="26"/>
        <v>lootName,DAIL/items/materia/class0017/Hunting.dbr,</v>
      </c>
      <c r="M98" s="5" t="str">
        <f t="shared" si="27"/>
        <v>lootWeight,1,</v>
      </c>
      <c r="N98" t="str">
        <f t="shared" si="28"/>
        <v>5</v>
      </c>
      <c r="O98" t="str">
        <f t="shared" si="37"/>
        <v/>
      </c>
      <c r="P98" t="str">
        <f t="shared" si="23"/>
        <v/>
      </c>
      <c r="Q98" t="str">
        <f t="shared" si="23"/>
        <v/>
      </c>
      <c r="R98" t="str">
        <f t="shared" si="23"/>
        <v/>
      </c>
      <c r="S98" t="str">
        <f t="shared" si="23"/>
        <v/>
      </c>
      <c r="T98" t="str">
        <f t="shared" si="23"/>
        <v/>
      </c>
      <c r="U98" t="str">
        <f t="shared" si="23"/>
        <v/>
      </c>
      <c r="V98" s="5" t="s">
        <v>36</v>
      </c>
      <c r="W98" t="str">
        <f t="shared" si="29"/>
        <v/>
      </c>
      <c r="X98" t="str">
        <f t="shared" si="29"/>
        <v/>
      </c>
      <c r="Y98" s="5" t="s">
        <v>36</v>
      </c>
      <c r="Z98" t="str">
        <f t="shared" si="30"/>
        <v/>
      </c>
      <c r="AA98" t="str">
        <f t="shared" si="38"/>
        <v/>
      </c>
      <c r="AB98" s="5" t="s">
        <v>36</v>
      </c>
      <c r="AH98">
        <f t="shared" si="40"/>
        <v>93</v>
      </c>
      <c r="AI98">
        <f t="shared" si="34"/>
        <v>0</v>
      </c>
      <c r="AJ98">
        <f t="shared" si="39"/>
        <v>5</v>
      </c>
    </row>
    <row r="99" spans="1:36" x14ac:dyDescent="0.25">
      <c r="A99" s="5" t="s">
        <v>39</v>
      </c>
      <c r="B99" s="5" t="s">
        <v>30</v>
      </c>
      <c r="C99" s="5" t="str">
        <f t="shared" si="24"/>
        <v>description,dailCompDescHunting,</v>
      </c>
      <c r="D99" s="5" t="str">
        <f t="shared" si="25"/>
        <v>itemText,dailCompTextHunting,</v>
      </c>
      <c r="E99" s="5" t="str">
        <f t="shared" si="35"/>
        <v>augmentSkillLevel1,5,</v>
      </c>
      <c r="F99" s="5" t="str">
        <f t="shared" si="36"/>
        <v>augmentSkillName1,records/skills,</v>
      </c>
      <c r="G99" s="7" t="str">
        <f t="shared" si="31"/>
        <v/>
      </c>
      <c r="H99" s="8" t="str">
        <f t="shared" si="32"/>
        <v>Hunting</v>
      </c>
      <c r="J99" s="8" t="str">
        <f t="shared" si="41"/>
        <v>class0017</v>
      </c>
      <c r="K99" s="8" t="str">
        <f t="shared" si="41"/>
        <v>dailoneskill0017</v>
      </c>
      <c r="L99" s="5" t="str">
        <f t="shared" si="26"/>
        <v>lootName,DAIL/items/materia/class0017/Hunting.dbr,</v>
      </c>
      <c r="M99" s="5" t="str">
        <f t="shared" si="27"/>
        <v>lootWeight,1,</v>
      </c>
      <c r="N99" t="str">
        <f t="shared" si="28"/>
        <v>5</v>
      </c>
      <c r="O99" t="str">
        <f t="shared" si="37"/>
        <v/>
      </c>
      <c r="P99" t="str">
        <f t="shared" si="23"/>
        <v/>
      </c>
      <c r="Q99" t="str">
        <f t="shared" si="23"/>
        <v/>
      </c>
      <c r="R99" t="str">
        <f t="shared" si="23"/>
        <v/>
      </c>
      <c r="S99" t="str">
        <f t="shared" si="23"/>
        <v/>
      </c>
      <c r="T99" t="str">
        <f t="shared" si="23"/>
        <v/>
      </c>
      <c r="U99" t="str">
        <f t="shared" si="23"/>
        <v/>
      </c>
      <c r="V99" s="5" t="s">
        <v>36</v>
      </c>
      <c r="W99" t="str">
        <f t="shared" si="29"/>
        <v/>
      </c>
      <c r="X99" t="str">
        <f t="shared" si="29"/>
        <v/>
      </c>
      <c r="Y99" s="5" t="s">
        <v>36</v>
      </c>
      <c r="Z99" t="str">
        <f t="shared" si="30"/>
        <v/>
      </c>
      <c r="AA99" t="str">
        <f t="shared" si="38"/>
        <v/>
      </c>
      <c r="AB99" s="5" t="s">
        <v>36</v>
      </c>
      <c r="AH99">
        <f t="shared" si="40"/>
        <v>94</v>
      </c>
      <c r="AI99">
        <f t="shared" si="34"/>
        <v>0</v>
      </c>
      <c r="AJ99">
        <f t="shared" si="39"/>
        <v>5</v>
      </c>
    </row>
    <row r="100" spans="1:36" x14ac:dyDescent="0.25">
      <c r="A100" s="5" t="s">
        <v>39</v>
      </c>
      <c r="B100" s="5" t="s">
        <v>30</v>
      </c>
      <c r="C100" s="5" t="str">
        <f t="shared" si="24"/>
        <v>description,dailCompDescHunting,</v>
      </c>
      <c r="D100" s="5" t="str">
        <f t="shared" si="25"/>
        <v>itemText,dailCompTextHunting,</v>
      </c>
      <c r="E100" s="5" t="str">
        <f t="shared" si="35"/>
        <v>augmentSkillLevel1,5,</v>
      </c>
      <c r="F100" s="5" t="str">
        <f t="shared" si="36"/>
        <v>augmentSkillName1,records/skills,</v>
      </c>
      <c r="G100" s="7" t="str">
        <f t="shared" si="31"/>
        <v/>
      </c>
      <c r="H100" s="8" t="str">
        <f t="shared" si="32"/>
        <v>Hunting</v>
      </c>
      <c r="J100" s="8" t="str">
        <f t="shared" si="41"/>
        <v>class0017</v>
      </c>
      <c r="K100" s="8" t="str">
        <f t="shared" si="41"/>
        <v>dailoneskill0017</v>
      </c>
      <c r="L100" s="5" t="str">
        <f t="shared" si="26"/>
        <v>lootName,DAIL/items/materia/class0017/Hunting.dbr,</v>
      </c>
      <c r="M100" s="5" t="str">
        <f t="shared" si="27"/>
        <v>lootWeight,1,</v>
      </c>
      <c r="N100" t="str">
        <f t="shared" si="28"/>
        <v>5</v>
      </c>
      <c r="O100" t="str">
        <f t="shared" si="37"/>
        <v/>
      </c>
      <c r="P100" t="str">
        <f t="shared" si="23"/>
        <v/>
      </c>
      <c r="Q100" t="str">
        <f t="shared" si="23"/>
        <v/>
      </c>
      <c r="R100" t="str">
        <f t="shared" si="23"/>
        <v/>
      </c>
      <c r="S100" t="str">
        <f t="shared" si="23"/>
        <v/>
      </c>
      <c r="T100" t="str">
        <f t="shared" si="23"/>
        <v/>
      </c>
      <c r="U100" t="str">
        <f t="shared" si="23"/>
        <v/>
      </c>
      <c r="V100" s="5" t="s">
        <v>36</v>
      </c>
      <c r="W100" t="str">
        <f t="shared" si="29"/>
        <v/>
      </c>
      <c r="X100" t="str">
        <f t="shared" si="29"/>
        <v/>
      </c>
      <c r="Y100" s="5" t="s">
        <v>36</v>
      </c>
      <c r="Z100" t="str">
        <f t="shared" si="30"/>
        <v/>
      </c>
      <c r="AA100" t="str">
        <f t="shared" si="38"/>
        <v/>
      </c>
      <c r="AB100" s="5" t="s">
        <v>36</v>
      </c>
      <c r="AH100">
        <f t="shared" si="40"/>
        <v>95</v>
      </c>
      <c r="AI100">
        <f t="shared" si="34"/>
        <v>0</v>
      </c>
      <c r="AJ100">
        <f t="shared" si="39"/>
        <v>5</v>
      </c>
    </row>
    <row r="101" spans="1:36" x14ac:dyDescent="0.25">
      <c r="A101" s="5" t="s">
        <v>39</v>
      </c>
      <c r="B101" s="5" t="s">
        <v>30</v>
      </c>
      <c r="C101" s="5" t="str">
        <f t="shared" si="24"/>
        <v>description,dailCompDescHunting,</v>
      </c>
      <c r="D101" s="5" t="str">
        <f t="shared" si="25"/>
        <v>itemText,dailCompTextHunting,</v>
      </c>
      <c r="E101" s="5" t="str">
        <f t="shared" si="35"/>
        <v>augmentSkillLevel1,5,</v>
      </c>
      <c r="F101" s="5" t="str">
        <f t="shared" si="36"/>
        <v>augmentSkillName1,records/skills,</v>
      </c>
      <c r="G101" s="7" t="str">
        <f t="shared" si="31"/>
        <v/>
      </c>
      <c r="H101" s="8" t="str">
        <f t="shared" si="32"/>
        <v>Hunting</v>
      </c>
      <c r="J101" s="8" t="str">
        <f t="shared" ref="J101:K102" si="42">J100</f>
        <v>class0017</v>
      </c>
      <c r="K101" s="8" t="str">
        <f t="shared" si="42"/>
        <v>dailoneskill0017</v>
      </c>
      <c r="L101" s="5" t="str">
        <f t="shared" si="26"/>
        <v>lootName,DAIL/items/materia/class0017/Hunting.dbr,</v>
      </c>
      <c r="M101" s="5" t="str">
        <f t="shared" si="27"/>
        <v>lootWeight,1,</v>
      </c>
      <c r="N101" t="str">
        <f t="shared" si="28"/>
        <v>5</v>
      </c>
      <c r="O101" t="str">
        <f t="shared" si="37"/>
        <v/>
      </c>
      <c r="P101" t="str">
        <f t="shared" si="23"/>
        <v/>
      </c>
      <c r="Q101" t="str">
        <f t="shared" si="23"/>
        <v/>
      </c>
      <c r="R101" t="str">
        <f t="shared" si="23"/>
        <v/>
      </c>
      <c r="S101" t="str">
        <f t="shared" ref="S101:U102" si="43">IF($I101&lt;&gt;"","echo "&amp;D101&amp;" &gt;&gt; .\items\materia\"&amp;$J101&amp;"\"&amp;$H101&amp;$G101&amp;".dbr","")</f>
        <v/>
      </c>
      <c r="T101" t="str">
        <f t="shared" si="43"/>
        <v/>
      </c>
      <c r="U101" t="str">
        <f t="shared" si="43"/>
        <v/>
      </c>
      <c r="V101" s="5" t="s">
        <v>36</v>
      </c>
      <c r="W101" t="str">
        <f t="shared" si="29"/>
        <v/>
      </c>
      <c r="X101" t="str">
        <f t="shared" si="29"/>
        <v/>
      </c>
      <c r="Y101" s="5" t="s">
        <v>36</v>
      </c>
      <c r="Z101" t="str">
        <f t="shared" si="30"/>
        <v/>
      </c>
      <c r="AA101" t="str">
        <f t="shared" si="38"/>
        <v/>
      </c>
      <c r="AB101" s="5" t="s">
        <v>36</v>
      </c>
      <c r="AH101">
        <f t="shared" si="40"/>
        <v>96</v>
      </c>
      <c r="AI101">
        <f t="shared" si="34"/>
        <v>0</v>
      </c>
      <c r="AJ101">
        <f t="shared" si="39"/>
        <v>5</v>
      </c>
    </row>
    <row r="102" spans="1:36" x14ac:dyDescent="0.25">
      <c r="A102" s="5" t="s">
        <v>39</v>
      </c>
      <c r="B102" s="5" t="s">
        <v>30</v>
      </c>
      <c r="C102" s="5" t="str">
        <f t="shared" si="24"/>
        <v>description,dailCompDescHunting,</v>
      </c>
      <c r="D102" s="5" t="str">
        <f t="shared" si="25"/>
        <v>itemText,dailCompTextHunting,</v>
      </c>
      <c r="E102" s="5" t="str">
        <f t="shared" si="35"/>
        <v>augmentSkillLevel1,5,</v>
      </c>
      <c r="F102" s="5" t="str">
        <f t="shared" si="36"/>
        <v>augmentSkillName1,records/skills,</v>
      </c>
      <c r="G102" s="7" t="str">
        <f t="shared" si="31"/>
        <v/>
      </c>
      <c r="H102" s="8" t="str">
        <f t="shared" si="32"/>
        <v>Hunting</v>
      </c>
      <c r="J102" s="8" t="str">
        <f t="shared" si="42"/>
        <v>class0017</v>
      </c>
      <c r="K102" s="8" t="str">
        <f t="shared" si="42"/>
        <v>dailoneskill0017</v>
      </c>
      <c r="L102" s="5" t="str">
        <f t="shared" si="26"/>
        <v>lootName,DAIL/items/materia/class0017/Hunting.dbr,</v>
      </c>
      <c r="M102" s="5" t="str">
        <f t="shared" si="27"/>
        <v>lootWeight,1,</v>
      </c>
      <c r="N102" t="str">
        <f t="shared" si="28"/>
        <v>5</v>
      </c>
      <c r="O102" t="str">
        <f t="shared" si="37"/>
        <v/>
      </c>
      <c r="P102" t="str">
        <f t="shared" ref="P102:R102" si="44">IF($I102&lt;&gt;"","echo "&amp;A102&amp;" &gt;&gt; .\items\materia\"&amp;$J102&amp;"\"&amp;$H102&amp;$G102&amp;".dbr","")</f>
        <v/>
      </c>
      <c r="Q102" t="str">
        <f t="shared" si="44"/>
        <v/>
      </c>
      <c r="R102" t="str">
        <f t="shared" si="44"/>
        <v/>
      </c>
      <c r="S102" t="str">
        <f t="shared" si="43"/>
        <v/>
      </c>
      <c r="T102" t="str">
        <f t="shared" si="43"/>
        <v/>
      </c>
      <c r="U102" t="str">
        <f t="shared" si="43"/>
        <v/>
      </c>
      <c r="V102" s="5" t="s">
        <v>36</v>
      </c>
      <c r="W102" t="str">
        <f t="shared" si="29"/>
        <v/>
      </c>
      <c r="X102" t="str">
        <f t="shared" si="29"/>
        <v/>
      </c>
      <c r="Y102" s="5" t="s">
        <v>36</v>
      </c>
      <c r="Z102" t="str">
        <f t="shared" si="30"/>
        <v/>
      </c>
      <c r="AA102" t="str">
        <f t="shared" si="38"/>
        <v/>
      </c>
      <c r="AB102" s="5" t="s">
        <v>36</v>
      </c>
      <c r="AH102">
        <f t="shared" si="40"/>
        <v>97</v>
      </c>
      <c r="AI102">
        <f t="shared" si="34"/>
        <v>0</v>
      </c>
      <c r="AJ102">
        <f t="shared" si="39"/>
        <v>5</v>
      </c>
    </row>
  </sheetData>
  <mergeCells count="1">
    <mergeCell ref="O2:U2"/>
  </mergeCells>
  <pageMargins left="0.7" right="0.7" top="0.75" bottom="0.75" header="0.3" footer="0.3"/>
  <pageSetup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:AL102"/>
  <sheetViews>
    <sheetView topLeftCell="M1" zoomScaleNormal="100" workbookViewId="0">
      <selection activeCell="U3" sqref="U3:U102"/>
    </sheetView>
  </sheetViews>
  <sheetFormatPr defaultRowHeight="15" x14ac:dyDescent="0.25"/>
  <cols>
    <col min="1" max="1" width="73.85546875" style="5" bestFit="1" customWidth="1"/>
    <col min="2" max="2" width="16.28515625" style="5" bestFit="1" customWidth="1"/>
    <col min="3" max="3" width="32.7109375" style="5" bestFit="1" customWidth="1"/>
    <col min="4" max="4" width="31.42578125" style="5" bestFit="1" customWidth="1"/>
    <col min="5" max="5" width="24.28515625" style="5" bestFit="1" customWidth="1"/>
    <col min="6" max="6" width="73.5703125" style="5" bestFit="1" customWidth="1"/>
    <col min="7" max="7" width="5.85546875" style="8" bestFit="1" customWidth="1"/>
    <col min="8" max="8" width="7.85546875" style="3" bestFit="1" customWidth="1"/>
    <col min="9" max="9" width="38.140625" style="3" bestFit="1" customWidth="1"/>
    <col min="10" max="10" width="9.140625" style="3" bestFit="1" customWidth="1"/>
    <col min="11" max="11" width="18.140625" style="3" customWidth="1"/>
    <col min="12" max="12" width="51.85546875" style="5" bestFit="1" customWidth="1"/>
    <col min="13" max="13" width="21.28515625" style="5" customWidth="1"/>
    <col min="15" max="15" width="10.5703125" customWidth="1"/>
    <col min="22" max="22" width="1.5703125" style="5" customWidth="1"/>
    <col min="23" max="23" width="9.5703125" customWidth="1"/>
    <col min="25" max="25" width="1.5703125" style="5" bestFit="1" customWidth="1"/>
    <col min="26" max="26" width="46.7109375" bestFit="1" customWidth="1"/>
    <col min="27" max="27" width="29.140625" customWidth="1"/>
    <col min="28" max="28" width="1.5703125" style="5" bestFit="1" customWidth="1"/>
    <col min="31" max="31" width="14.140625" bestFit="1" customWidth="1"/>
  </cols>
  <sheetData>
    <row r="1" spans="1:38" x14ac:dyDescent="0.25">
      <c r="G1" s="5"/>
      <c r="H1" s="5"/>
      <c r="I1" s="5"/>
      <c r="J1" s="5"/>
      <c r="K1" s="5"/>
      <c r="N1" s="5"/>
      <c r="O1" s="9"/>
      <c r="P1" s="9"/>
      <c r="Q1" s="9"/>
      <c r="R1" s="9"/>
      <c r="S1" s="9"/>
      <c r="T1" s="9"/>
      <c r="U1" s="9"/>
      <c r="W1" s="9"/>
      <c r="X1" s="9"/>
      <c r="Z1" s="9"/>
      <c r="AA1" s="9"/>
    </row>
    <row r="2" spans="1:38" x14ac:dyDescent="0.25">
      <c r="A2" s="4" t="s">
        <v>2</v>
      </c>
      <c r="B2" s="4" t="s">
        <v>3</v>
      </c>
      <c r="C2" s="4" t="s">
        <v>4</v>
      </c>
      <c r="D2" s="4" t="s">
        <v>5</v>
      </c>
      <c r="E2" s="4" t="s">
        <v>6</v>
      </c>
      <c r="F2" s="4" t="s">
        <v>7</v>
      </c>
      <c r="G2" s="6" t="s">
        <v>9</v>
      </c>
      <c r="H2" s="2" t="s">
        <v>26</v>
      </c>
      <c r="I2" s="2" t="s">
        <v>8</v>
      </c>
      <c r="J2" s="2" t="s">
        <v>33</v>
      </c>
      <c r="K2" s="2" t="s">
        <v>38</v>
      </c>
      <c r="L2" s="4" t="s">
        <v>31</v>
      </c>
      <c r="M2" s="4" t="s">
        <v>32</v>
      </c>
      <c r="O2" s="11" t="str">
        <f>"Copy from N to T Into the files named "&amp;H3&amp;G3&amp;" etc"</f>
        <v>Copy from N to T Into the files named Spirit1 etc</v>
      </c>
      <c r="P2" s="11"/>
      <c r="Q2" s="11"/>
      <c r="R2" s="11"/>
      <c r="S2" s="11"/>
      <c r="T2" s="11"/>
      <c r="U2" s="11"/>
      <c r="W2" s="1" t="s">
        <v>35</v>
      </c>
      <c r="Z2" s="1" t="s">
        <v>40</v>
      </c>
      <c r="AD2" t="s">
        <v>44</v>
      </c>
    </row>
    <row r="3" spans="1:38" x14ac:dyDescent="0.25">
      <c r="A3" s="5" t="s">
        <v>39</v>
      </c>
      <c r="B3" s="5" t="s">
        <v>0</v>
      </c>
      <c r="C3" s="5" t="str">
        <f t="shared" ref="C3:C66" si="0">"description,dailCompDesc"&amp;H3&amp;G3&amp;","</f>
        <v>description,dailCompDescSpirit1,</v>
      </c>
      <c r="D3" s="5" t="str">
        <f>"itemText,dailCompText"&amp;H3&amp;G3&amp;","</f>
        <v>itemText,dailCompTextSpirit1,</v>
      </c>
      <c r="E3" s="5" t="s">
        <v>24</v>
      </c>
      <c r="F3" s="5" t="str">
        <f>"augmentMasteryName1,records/skills"&amp;I3&amp;","</f>
        <v>augmentMasteryName1,records/skillsspirit/spiritmastery.dbr,,</v>
      </c>
      <c r="G3" s="7">
        <f>IF(I3&lt;&gt;"",1,"")</f>
        <v>1</v>
      </c>
      <c r="H3" s="3" t="s">
        <v>617</v>
      </c>
      <c r="I3" s="3" t="s">
        <v>616</v>
      </c>
      <c r="J3" s="3" t="s">
        <v>558</v>
      </c>
      <c r="K3" s="3" t="s">
        <v>559</v>
      </c>
      <c r="L3" s="5" t="str">
        <f>"lootName"&amp;G3&amp;",DAIL/items/materia/"&amp;J3&amp;"/"&amp;H3&amp;G3&amp;".dbr"&amp;","</f>
        <v>lootName1,DAIL/items/materia/class0018/Spirit1.dbr,</v>
      </c>
      <c r="M3" s="5" t="str">
        <f>"lootWeight"&amp;G3&amp;",1,"</f>
        <v>lootWeight1,1,</v>
      </c>
      <c r="N3" t="str">
        <f>LEFT(RIGHT(E3,2),1)</f>
        <v>1</v>
      </c>
      <c r="O3" s="5" t="str">
        <f>IF(I3&lt;&gt;"","copy .\dail_base2.dbr .\items\materia\"&amp;J3&amp;"\"&amp;H3&amp;G3&amp;".dbr /y"&amp;"","")</f>
        <v>copy .\dail_base2.dbr .\items\materia\class0018\Spirit1.dbr /y</v>
      </c>
      <c r="P3" t="str">
        <f>IF($I3&lt;&gt;"","echo "&amp;A3&amp;" &gt;&gt; .\items\materia\"&amp;$J3&amp;"\"&amp;$H3&amp;$G3&amp;".dbr","")</f>
        <v>echo relicBitmap,items/craftingparts/components/component_a52_bristlyfur_b.tex, &gt;&gt; .\items\materia\class0018\Spirit1.dbr</v>
      </c>
      <c r="Q3" t="str">
        <f t="shared" ref="Q3:U18" si="1">IF($I3&lt;&gt;"","echo "&amp;B3&amp;" &gt;&gt; .\items\materia\"&amp;$J3&amp;"\"&amp;$H3&amp;$G3&amp;".dbr","")</f>
        <v>echo itemCost,100000, &gt;&gt; .\items\materia\class0018\Spirit1.dbr</v>
      </c>
      <c r="R3" t="str">
        <f t="shared" si="1"/>
        <v>echo description,dailCompDescSpirit1, &gt;&gt; .\items\materia\class0018\Spirit1.dbr</v>
      </c>
      <c r="S3" t="str">
        <f t="shared" si="1"/>
        <v>echo itemText,dailCompTextSpirit1, &gt;&gt; .\items\materia\class0018\Spirit1.dbr</v>
      </c>
      <c r="T3" t="str">
        <f t="shared" si="1"/>
        <v>echo augmentMasteryLevel1,1, &gt;&gt; .\items\materia\class0018\Spirit1.dbr</v>
      </c>
      <c r="U3" t="str">
        <f t="shared" si="1"/>
        <v>echo augmentMasteryName1,records/skillsspirit/spiritmastery.dbr,, &gt;&gt; .\items\materia\class0018\Spirit1.dbr</v>
      </c>
      <c r="V3" s="5" t="s">
        <v>36</v>
      </c>
      <c r="W3" t="str">
        <f>IF($I3&lt;&gt;"","echo "&amp;L3&amp;" &gt;&gt; .\items\loottables\"&amp;$K3&amp;".dbr","")</f>
        <v>echo lootName1,DAIL/items/materia/class0018/Spirit1.dbr, &gt;&gt; .\items\loottables\dailoneskill0018.dbr</v>
      </c>
      <c r="X3" t="str">
        <f>IF($I3&lt;&gt;"","echo "&amp;M3&amp;" &gt;&gt; .\items\loottables\"&amp;$K3&amp;".dbr","")</f>
        <v>echo lootWeight1,1, &gt;&gt; .\items\loottables\dailoneskill0018.dbr</v>
      </c>
      <c r="Y3" s="5" t="s">
        <v>36</v>
      </c>
      <c r="Z3" s="10" t="str">
        <f>IF(I2&lt;&gt;""," dailCompDesc"&amp;H3&amp;G3&amp;"=^p"&amp;H3&amp;"'s Gift of DAIL","")</f>
        <v xml:space="preserve"> dailCompDescSpirit1=^pSpirit's Gift of DAIL</v>
      </c>
      <c r="AA3" s="10" t="str">
        <f>IF(I2&lt;&gt;"","dailCompText"&amp;H3&amp;G3&amp;"=^oThis feels warm to the touch, almost familiar ^w(This component fits into the amulet only)","")</f>
        <v>dailCompTextSpirit1=^oThis feels warm to the touch, almost familiar ^w(This component fits into the amulet only)</v>
      </c>
      <c r="AB3" s="5" t="s">
        <v>36</v>
      </c>
      <c r="AD3">
        <v>1</v>
      </c>
      <c r="AE3" t="s">
        <v>42</v>
      </c>
      <c r="AF3" t="s">
        <v>45</v>
      </c>
    </row>
    <row r="4" spans="1:38" x14ac:dyDescent="0.25">
      <c r="A4" s="5" t="s">
        <v>39</v>
      </c>
      <c r="B4" s="5" t="s">
        <v>28</v>
      </c>
      <c r="C4" s="5" t="str">
        <f t="shared" si="0"/>
        <v>description,dailCompDescSpirit2,</v>
      </c>
      <c r="D4" s="5" t="str">
        <f t="shared" ref="D4:D67" si="2">"itemText,dailCompText"&amp;H4&amp;G4&amp;","</f>
        <v>itemText,dailCompTextSpirit2,</v>
      </c>
      <c r="E4" s="5" t="s">
        <v>1</v>
      </c>
      <c r="F4" s="5" t="str">
        <f t="shared" ref="F4:F5" si="3">"augmentMasteryName1,records/skills"&amp;I4&amp;","</f>
        <v>augmentMasteryName1,records/skillsspirit/spiritmastery.dbr,,</v>
      </c>
      <c r="G4" s="7">
        <f>IF(I4&lt;&gt;"",G3+1,"")</f>
        <v>2</v>
      </c>
      <c r="H4" s="8" t="str">
        <f>H3</f>
        <v>Spirit</v>
      </c>
      <c r="I4" s="3" t="s">
        <v>616</v>
      </c>
      <c r="J4" s="8" t="str">
        <f>J3</f>
        <v>class0018</v>
      </c>
      <c r="K4" s="8" t="str">
        <f>K3</f>
        <v>dailoneskill0018</v>
      </c>
      <c r="L4" s="5" t="str">
        <f t="shared" ref="L4:L67" si="4">"lootName"&amp;G4&amp;",DAIL/items/materia/"&amp;J4&amp;"/"&amp;H4&amp;G4&amp;".dbr"&amp;","</f>
        <v>lootName2,DAIL/items/materia/class0018/Spirit2.dbr,</v>
      </c>
      <c r="M4" s="5" t="str">
        <f t="shared" ref="M4:M67" si="5">"lootWeight"&amp;G4&amp;",1,"</f>
        <v>lootWeight2,1,</v>
      </c>
      <c r="N4" t="str">
        <f t="shared" ref="N4:N67" si="6">LEFT(RIGHT(E4,2),1)</f>
        <v>2</v>
      </c>
      <c r="O4" s="5" t="str">
        <f>IF(I4&lt;&gt;"","copy .\dail_base2.dbr .\items\materia\"&amp;J4&amp;"\"&amp;H4&amp;G4&amp;".dbr /y"&amp;"","")</f>
        <v>copy .\dail_base2.dbr .\items\materia\class0018\Spirit2.dbr /y</v>
      </c>
      <c r="P4" t="str">
        <f t="shared" ref="P4:U58" si="7">IF($I4&lt;&gt;"","echo "&amp;A4&amp;" &gt;&gt; .\items\materia\"&amp;$J4&amp;"\"&amp;$H4&amp;$G4&amp;".dbr","")</f>
        <v>echo relicBitmap,items/craftingparts/components/component_a52_bristlyfur_b.tex, &gt;&gt; .\items\materia\class0018\Spirit2.dbr</v>
      </c>
      <c r="Q4" t="str">
        <f t="shared" si="1"/>
        <v>echo itemCost,300000, &gt;&gt; .\items\materia\class0018\Spirit2.dbr</v>
      </c>
      <c r="R4" t="str">
        <f t="shared" si="1"/>
        <v>echo description,dailCompDescSpirit2, &gt;&gt; .\items\materia\class0018\Spirit2.dbr</v>
      </c>
      <c r="S4" t="str">
        <f t="shared" si="1"/>
        <v>echo itemText,dailCompTextSpirit2, &gt;&gt; .\items\materia\class0018\Spirit2.dbr</v>
      </c>
      <c r="T4" t="str">
        <f t="shared" si="1"/>
        <v>echo augmentMasteryLevel1,2, &gt;&gt; .\items\materia\class0018\Spirit2.dbr</v>
      </c>
      <c r="U4" t="str">
        <f t="shared" si="1"/>
        <v>echo augmentMasteryName1,records/skillsspirit/spiritmastery.dbr,, &gt;&gt; .\items\materia\class0018\Spirit2.dbr</v>
      </c>
      <c r="V4" s="5" t="s">
        <v>36</v>
      </c>
      <c r="W4" t="str">
        <f t="shared" ref="W4:X67" si="8">IF($I4&lt;&gt;"","echo "&amp;L4&amp;" &gt;&gt; .\items\loottables\"&amp;$K4&amp;".dbr","")</f>
        <v>echo lootName2,DAIL/items/materia/class0018/Spirit2.dbr, &gt;&gt; .\items\loottables\dailoneskill0018.dbr</v>
      </c>
      <c r="X4" t="str">
        <f t="shared" si="8"/>
        <v>echo lootWeight2,1, &gt;&gt; .\items\loottables\dailoneskill0018.dbr</v>
      </c>
      <c r="Y4" s="5" t="s">
        <v>36</v>
      </c>
      <c r="Z4" s="10" t="str">
        <f t="shared" ref="Z4:Z67" si="9">IF(I3&lt;&gt;""," dailCompDesc"&amp;H4&amp;G4&amp;"=^p"&amp;H4&amp;"'s Gift of DAIL","")</f>
        <v xml:space="preserve"> dailCompDescSpirit2=^pSpirit's Gift of DAIL</v>
      </c>
      <c r="AA4" s="10" t="str">
        <f>IF(I3&lt;&gt;"","dailCompText"&amp;H4&amp;G4&amp;"=^oThis feels warm to the touch, almost familiar ^w(This component fits into the amulet only)","")</f>
        <v>dailCompTextSpirit2=^oThis feels warm to the touch, almost familiar ^w(This component fits into the amulet only)</v>
      </c>
      <c r="AB4" s="5" t="s">
        <v>36</v>
      </c>
      <c r="AD4">
        <v>3</v>
      </c>
      <c r="AE4" t="s">
        <v>43</v>
      </c>
      <c r="AF4" t="s">
        <v>46</v>
      </c>
    </row>
    <row r="5" spans="1:38" x14ac:dyDescent="0.25">
      <c r="A5" s="5" t="s">
        <v>39</v>
      </c>
      <c r="B5" s="5" t="s">
        <v>29</v>
      </c>
      <c r="C5" s="5" t="str">
        <f t="shared" si="0"/>
        <v>description,dailCompDescSpirit3,</v>
      </c>
      <c r="D5" s="5" t="str">
        <f t="shared" si="2"/>
        <v>itemText,dailCompTextSpirit3,</v>
      </c>
      <c r="E5" s="5" t="s">
        <v>25</v>
      </c>
      <c r="F5" s="5" t="str">
        <f t="shared" si="3"/>
        <v>augmentMasteryName1,records/skillsspirit/spiritmastery.dbr,,</v>
      </c>
      <c r="G5" s="7">
        <f t="shared" ref="G5:G68" si="10">IF(I5&lt;&gt;"",G4+1,"")</f>
        <v>3</v>
      </c>
      <c r="H5" s="8" t="str">
        <f t="shared" ref="H5:H68" si="11">H4</f>
        <v>Spirit</v>
      </c>
      <c r="I5" s="3" t="s">
        <v>616</v>
      </c>
      <c r="J5" s="8" t="str">
        <f t="shared" ref="J5:K20" si="12">J4</f>
        <v>class0018</v>
      </c>
      <c r="K5" s="8" t="str">
        <f t="shared" si="12"/>
        <v>dailoneskill0018</v>
      </c>
      <c r="L5" s="5" t="str">
        <f t="shared" si="4"/>
        <v>lootName3,DAIL/items/materia/class0018/Spirit3.dbr,</v>
      </c>
      <c r="M5" s="5" t="str">
        <f t="shared" si="5"/>
        <v>lootWeight3,1,</v>
      </c>
      <c r="N5" t="str">
        <f t="shared" si="6"/>
        <v>3</v>
      </c>
      <c r="O5" s="5" t="str">
        <f>IF(I5&lt;&gt;"","copy .\dail_base2.dbr .\items\materia\"&amp;J5&amp;"\"&amp;H5&amp;G5&amp;".dbr /y"&amp;"","")</f>
        <v>copy .\dail_base2.dbr .\items\materia\class0018\Spirit3.dbr /y</v>
      </c>
      <c r="P5" t="str">
        <f t="shared" si="7"/>
        <v>echo relicBitmap,items/craftingparts/components/component_a52_bristlyfur_b.tex, &gt;&gt; .\items\materia\class0018\Spirit3.dbr</v>
      </c>
      <c r="Q5" t="str">
        <f t="shared" si="1"/>
        <v>echo itemCost,600000, &gt;&gt; .\items\materia\class0018\Spirit3.dbr</v>
      </c>
      <c r="R5" t="str">
        <f t="shared" si="1"/>
        <v>echo description,dailCompDescSpirit3, &gt;&gt; .\items\materia\class0018\Spirit3.dbr</v>
      </c>
      <c r="S5" t="str">
        <f t="shared" si="1"/>
        <v>echo itemText,dailCompTextSpirit3, &gt;&gt; .\items\materia\class0018\Spirit3.dbr</v>
      </c>
      <c r="T5" t="str">
        <f t="shared" si="1"/>
        <v>echo augmentMasteryLevel1,3, &gt;&gt; .\items\materia\class0018\Spirit3.dbr</v>
      </c>
      <c r="U5" t="str">
        <f t="shared" si="1"/>
        <v>echo augmentMasteryName1,records/skillsspirit/spiritmastery.dbr,, &gt;&gt; .\items\materia\class0018\Spirit3.dbr</v>
      </c>
      <c r="V5" s="5" t="s">
        <v>36</v>
      </c>
      <c r="W5" t="str">
        <f t="shared" si="8"/>
        <v>echo lootName3,DAIL/items/materia/class0018/Spirit3.dbr, &gt;&gt; .\items\loottables\dailoneskill0018.dbr</v>
      </c>
      <c r="X5" t="str">
        <f t="shared" si="8"/>
        <v>echo lootWeight3,1, &gt;&gt; .\items\loottables\dailoneskill0018.dbr</v>
      </c>
      <c r="Y5" s="5" t="s">
        <v>36</v>
      </c>
      <c r="Z5" s="10" t="str">
        <f t="shared" si="9"/>
        <v xml:space="preserve"> dailCompDescSpirit3=^pSpirit's Gift of DAIL</v>
      </c>
      <c r="AA5" s="10" t="str">
        <f>IF(I4&lt;&gt;"","dailCompText"&amp;H5&amp;G5&amp;"=^oThis feels warm to the touch, almost familiar ^w(This component fits into the amulet only)","")</f>
        <v>dailCompTextSpirit3=^oThis feels warm to the touch, almost familiar ^w(This component fits into the amulet only)</v>
      </c>
      <c r="AB5" s="5" t="s">
        <v>36</v>
      </c>
      <c r="AD5">
        <v>5</v>
      </c>
      <c r="AE5" t="s">
        <v>43</v>
      </c>
      <c r="AF5" t="s">
        <v>46</v>
      </c>
      <c r="AI5" t="s">
        <v>61</v>
      </c>
    </row>
    <row r="6" spans="1:38" x14ac:dyDescent="0.25">
      <c r="A6" s="5" t="s">
        <v>39</v>
      </c>
      <c r="B6" s="5" t="s">
        <v>0</v>
      </c>
      <c r="C6" s="5" t="str">
        <f t="shared" si="0"/>
        <v>description,dailCompDescSpirit4,</v>
      </c>
      <c r="D6" s="5" t="str">
        <f t="shared" si="2"/>
        <v>itemText,dailCompTextSpirit4,</v>
      </c>
      <c r="E6" s="5" t="str">
        <f>"augmentSkillLevel1,"&amp;AJ6&amp;","</f>
        <v>augmentSkillLevel1,1,</v>
      </c>
      <c r="F6" s="5" t="str">
        <f>"augmentSkillName1,records/skills"&amp;I6&amp;","</f>
        <v>augmentSkillName1,records/skillsspirit/visionofdeath.dbr,,</v>
      </c>
      <c r="G6" s="7">
        <f t="shared" si="10"/>
        <v>4</v>
      </c>
      <c r="H6" s="8" t="str">
        <f t="shared" si="11"/>
        <v>Spirit</v>
      </c>
      <c r="I6" s="3" t="s">
        <v>618</v>
      </c>
      <c r="J6" s="8" t="str">
        <f t="shared" si="12"/>
        <v>class0018</v>
      </c>
      <c r="K6" s="8" t="str">
        <f t="shared" si="12"/>
        <v>dailoneskill0018</v>
      </c>
      <c r="L6" s="5" t="str">
        <f t="shared" si="4"/>
        <v>lootName4,DAIL/items/materia/class0018/Spirit4.dbr,</v>
      </c>
      <c r="M6" s="5" t="str">
        <f t="shared" si="5"/>
        <v>lootWeight4,1,</v>
      </c>
      <c r="N6" t="str">
        <f t="shared" si="6"/>
        <v>1</v>
      </c>
      <c r="O6" t="str">
        <f>IF(I6&lt;&gt;"","copy .\"&amp;VLOOKUP(VALUE(N6),$AD$3:$AF$5,2,FALSE)&amp;" .\items\materia\"&amp;J6&amp;"\"&amp;H6&amp;G6&amp;".dbr /y"&amp;"","")</f>
        <v>copy .\dail_base.dbr .\items\materia\class0018\Spirit4.dbr /y</v>
      </c>
      <c r="P6" t="str">
        <f t="shared" si="7"/>
        <v>echo relicBitmap,items/craftingparts/components/component_a52_bristlyfur_b.tex, &gt;&gt; .\items\materia\class0018\Spirit4.dbr</v>
      </c>
      <c r="Q6" t="str">
        <f t="shared" si="1"/>
        <v>echo itemCost,100000, &gt;&gt; .\items\materia\class0018\Spirit4.dbr</v>
      </c>
      <c r="R6" t="str">
        <f t="shared" si="1"/>
        <v>echo description,dailCompDescSpirit4, &gt;&gt; .\items\materia\class0018\Spirit4.dbr</v>
      </c>
      <c r="S6" t="str">
        <f t="shared" si="1"/>
        <v>echo itemText,dailCompTextSpirit4, &gt;&gt; .\items\materia\class0018\Spirit4.dbr</v>
      </c>
      <c r="T6" t="str">
        <f t="shared" si="1"/>
        <v>echo augmentSkillLevel1,1, &gt;&gt; .\items\materia\class0018\Spirit4.dbr</v>
      </c>
      <c r="U6" t="str">
        <f t="shared" si="1"/>
        <v>echo augmentSkillName1,records/skillsspirit/visionofdeath.dbr,, &gt;&gt; .\items\materia\class0018\Spirit4.dbr</v>
      </c>
      <c r="V6" s="5" t="s">
        <v>36</v>
      </c>
      <c r="W6" t="str">
        <f t="shared" si="8"/>
        <v>echo lootName4,DAIL/items/materia/class0018/Spirit4.dbr, &gt;&gt; .\items\loottables\dailoneskill0018.dbr</v>
      </c>
      <c r="X6" t="str">
        <f t="shared" si="8"/>
        <v>echo lootWeight4,1, &gt;&gt; .\items\loottables\dailoneskill0018.dbr</v>
      </c>
      <c r="Y6" s="5" t="s">
        <v>36</v>
      </c>
      <c r="Z6" t="str">
        <f t="shared" si="9"/>
        <v xml:space="preserve"> dailCompDescSpirit4=^pSpirit's Gift of DAIL</v>
      </c>
      <c r="AA6" t="str">
        <f>IF(I5&lt;&gt;"","dailCompText"&amp;H6&amp;G6&amp;"=^oThis feels warm to the touch, almost familiar ^w("&amp;VLOOKUP(VALUE(N6),$AD$3:$AF$5,3,FALSE)&amp;")","")</f>
        <v>dailCompTextSpirit4=^oThis feels warm to the touch, almost familiar ^w(This component fits into all Jewellery slots including the Belt And Shoulder)</v>
      </c>
      <c r="AB6" s="5" t="s">
        <v>36</v>
      </c>
      <c r="AH6">
        <v>1</v>
      </c>
      <c r="AI6">
        <f t="shared" ref="AI6:AI69" si="13">LEN(I6)</f>
        <v>25</v>
      </c>
      <c r="AJ6">
        <f>IF(AH6&lt;$AL$7,1,IF(AH6&lt;$AL$8,3,5))</f>
        <v>1</v>
      </c>
      <c r="AK6" s="1" t="s">
        <v>62</v>
      </c>
      <c r="AL6" s="1">
        <f>COUNTIF(AI:AI,"&gt;0")</f>
        <v>60</v>
      </c>
    </row>
    <row r="7" spans="1:38" x14ac:dyDescent="0.25">
      <c r="A7" s="5" t="s">
        <v>39</v>
      </c>
      <c r="B7" s="5" t="s">
        <v>0</v>
      </c>
      <c r="C7" s="5" t="str">
        <f t="shared" si="0"/>
        <v>description,dailCompDescSpirit5,</v>
      </c>
      <c r="D7" s="5" t="str">
        <f t="shared" si="2"/>
        <v>itemText,dailCompTextSpirit5,</v>
      </c>
      <c r="E7" s="5" t="str">
        <f t="shared" ref="E7:E70" si="14">"augmentSkillLevel1,"&amp;AJ7&amp;","</f>
        <v>augmentSkillLevel1,1,</v>
      </c>
      <c r="F7" s="5" t="str">
        <f t="shared" ref="F7:F70" si="15">"augmentSkillName1,records/skills"&amp;I7&amp;","</f>
        <v>augmentSkillName1,records/skillsspirit/deathward.dbr,,</v>
      </c>
      <c r="G7" s="7">
        <f t="shared" si="10"/>
        <v>5</v>
      </c>
      <c r="H7" s="8" t="str">
        <f t="shared" si="11"/>
        <v>Spirit</v>
      </c>
      <c r="I7" s="3" t="s">
        <v>619</v>
      </c>
      <c r="J7" s="8" t="str">
        <f t="shared" si="12"/>
        <v>class0018</v>
      </c>
      <c r="K7" s="8" t="str">
        <f t="shared" si="12"/>
        <v>dailoneskill0018</v>
      </c>
      <c r="L7" s="5" t="str">
        <f t="shared" si="4"/>
        <v>lootName5,DAIL/items/materia/class0018/Spirit5.dbr,</v>
      </c>
      <c r="M7" s="5" t="str">
        <f t="shared" si="5"/>
        <v>lootWeight5,1,</v>
      </c>
      <c r="N7" t="str">
        <f t="shared" si="6"/>
        <v>1</v>
      </c>
      <c r="O7" t="str">
        <f t="shared" ref="O7:O70" si="16">IF(I7&lt;&gt;"","copy .\"&amp;VLOOKUP(VALUE(N7),$AD$3:$AF$5,2,FALSE)&amp;" .\items\materia\"&amp;J7&amp;"\"&amp;H7&amp;G7&amp;".dbr /y"&amp;"","")</f>
        <v>copy .\dail_base.dbr .\items\materia\class0018\Spirit5.dbr /y</v>
      </c>
      <c r="P7" t="str">
        <f t="shared" si="7"/>
        <v>echo relicBitmap,items/craftingparts/components/component_a52_bristlyfur_b.tex, &gt;&gt; .\items\materia\class0018\Spirit5.dbr</v>
      </c>
      <c r="Q7" t="str">
        <f t="shared" si="1"/>
        <v>echo itemCost,100000, &gt;&gt; .\items\materia\class0018\Spirit5.dbr</v>
      </c>
      <c r="R7" t="str">
        <f t="shared" si="1"/>
        <v>echo description,dailCompDescSpirit5, &gt;&gt; .\items\materia\class0018\Spirit5.dbr</v>
      </c>
      <c r="S7" t="str">
        <f t="shared" si="1"/>
        <v>echo itemText,dailCompTextSpirit5, &gt;&gt; .\items\materia\class0018\Spirit5.dbr</v>
      </c>
      <c r="T7" t="str">
        <f t="shared" si="1"/>
        <v>echo augmentSkillLevel1,1, &gt;&gt; .\items\materia\class0018\Spirit5.dbr</v>
      </c>
      <c r="U7" t="str">
        <f t="shared" si="1"/>
        <v>echo augmentSkillName1,records/skillsspirit/deathward.dbr,, &gt;&gt; .\items\materia\class0018\Spirit5.dbr</v>
      </c>
      <c r="V7" s="5" t="s">
        <v>36</v>
      </c>
      <c r="W7" t="str">
        <f t="shared" si="8"/>
        <v>echo lootName5,DAIL/items/materia/class0018/Spirit5.dbr, &gt;&gt; .\items\loottables\dailoneskill0018.dbr</v>
      </c>
      <c r="X7" t="str">
        <f t="shared" si="8"/>
        <v>echo lootWeight5,1, &gt;&gt; .\items\loottables\dailoneskill0018.dbr</v>
      </c>
      <c r="Y7" s="5" t="s">
        <v>36</v>
      </c>
      <c r="Z7" t="str">
        <f t="shared" si="9"/>
        <v xml:space="preserve"> dailCompDescSpirit5=^pSpirit's Gift of DAIL</v>
      </c>
      <c r="AA7" t="str">
        <f t="shared" ref="AA7:AA70" si="17">IF(I6&lt;&gt;"","dailCompText"&amp;H7&amp;G7&amp;"=^oThis feels warm to the touch, almost familiar ^w("&amp;VLOOKUP(VALUE(N7),$AD$3:$AF$5,3,FALSE)&amp;")","")</f>
        <v>dailCompTextSpirit5=^oThis feels warm to the touch, almost familiar ^w(This component fits into all Jewellery slots including the Belt And Shoulder)</v>
      </c>
      <c r="AB7" s="5" t="s">
        <v>36</v>
      </c>
      <c r="AH7">
        <f>AH6+1</f>
        <v>2</v>
      </c>
      <c r="AI7">
        <f t="shared" si="13"/>
        <v>21</v>
      </c>
      <c r="AJ7">
        <f t="shared" ref="AJ7:AJ70" si="18">IF(AH7&lt;$AL$7,1,IF(AH7&lt;$AL$8,3,5))</f>
        <v>1</v>
      </c>
      <c r="AK7">
        <v>1</v>
      </c>
      <c r="AL7">
        <f>AL6/3</f>
        <v>20</v>
      </c>
    </row>
    <row r="8" spans="1:38" x14ac:dyDescent="0.25">
      <c r="A8" s="5" t="s">
        <v>39</v>
      </c>
      <c r="B8" s="5" t="s">
        <v>0</v>
      </c>
      <c r="C8" s="5" t="str">
        <f t="shared" si="0"/>
        <v>description,dailCompDescSpirit6,</v>
      </c>
      <c r="D8" s="5" t="str">
        <f t="shared" si="2"/>
        <v>itemText,dailCompTextSpirit6,</v>
      </c>
      <c r="E8" s="5" t="str">
        <f t="shared" si="14"/>
        <v>augmentSkillLevel1,1,</v>
      </c>
      <c r="F8" s="5" t="str">
        <f t="shared" si="15"/>
        <v>augmentSkillName1,records/skillsspirit/deathchillaura.dbr,,</v>
      </c>
      <c r="G8" s="7">
        <f t="shared" si="10"/>
        <v>6</v>
      </c>
      <c r="H8" s="8" t="str">
        <f t="shared" si="11"/>
        <v>Spirit</v>
      </c>
      <c r="I8" s="3" t="s">
        <v>620</v>
      </c>
      <c r="J8" s="8" t="str">
        <f t="shared" si="12"/>
        <v>class0018</v>
      </c>
      <c r="K8" s="8" t="str">
        <f t="shared" si="12"/>
        <v>dailoneskill0018</v>
      </c>
      <c r="L8" s="5" t="str">
        <f t="shared" si="4"/>
        <v>lootName6,DAIL/items/materia/class0018/Spirit6.dbr,</v>
      </c>
      <c r="M8" s="5" t="str">
        <f t="shared" si="5"/>
        <v>lootWeight6,1,</v>
      </c>
      <c r="N8" t="str">
        <f t="shared" si="6"/>
        <v>1</v>
      </c>
      <c r="O8" t="str">
        <f t="shared" si="16"/>
        <v>copy .\dail_base.dbr .\items\materia\class0018\Spirit6.dbr /y</v>
      </c>
      <c r="P8" t="str">
        <f t="shared" si="7"/>
        <v>echo relicBitmap,items/craftingparts/components/component_a52_bristlyfur_b.tex, &gt;&gt; .\items\materia\class0018\Spirit6.dbr</v>
      </c>
      <c r="Q8" t="str">
        <f t="shared" si="1"/>
        <v>echo itemCost,100000, &gt;&gt; .\items\materia\class0018\Spirit6.dbr</v>
      </c>
      <c r="R8" t="str">
        <f t="shared" si="1"/>
        <v>echo description,dailCompDescSpirit6, &gt;&gt; .\items\materia\class0018\Spirit6.dbr</v>
      </c>
      <c r="S8" t="str">
        <f t="shared" si="1"/>
        <v>echo itemText,dailCompTextSpirit6, &gt;&gt; .\items\materia\class0018\Spirit6.dbr</v>
      </c>
      <c r="T8" t="str">
        <f t="shared" si="1"/>
        <v>echo augmentSkillLevel1,1, &gt;&gt; .\items\materia\class0018\Spirit6.dbr</v>
      </c>
      <c r="U8" t="str">
        <f t="shared" si="1"/>
        <v>echo augmentSkillName1,records/skillsspirit/deathchillaura.dbr,, &gt;&gt; .\items\materia\class0018\Spirit6.dbr</v>
      </c>
      <c r="V8" s="5" t="s">
        <v>36</v>
      </c>
      <c r="W8" t="str">
        <f t="shared" si="8"/>
        <v>echo lootName6,DAIL/items/materia/class0018/Spirit6.dbr, &gt;&gt; .\items\loottables\dailoneskill0018.dbr</v>
      </c>
      <c r="X8" t="str">
        <f t="shared" si="8"/>
        <v>echo lootWeight6,1, &gt;&gt; .\items\loottables\dailoneskill0018.dbr</v>
      </c>
      <c r="Y8" s="5" t="s">
        <v>36</v>
      </c>
      <c r="Z8" t="str">
        <f t="shared" si="9"/>
        <v xml:space="preserve"> dailCompDescSpirit6=^pSpirit's Gift of DAIL</v>
      </c>
      <c r="AA8" t="str">
        <f t="shared" si="17"/>
        <v>dailCompTextSpirit6=^oThis feels warm to the touch, almost familiar ^w(This component fits into all Jewellery slots including the Belt And Shoulder)</v>
      </c>
      <c r="AB8" s="5" t="s">
        <v>36</v>
      </c>
      <c r="AH8">
        <f t="shared" ref="AH8:AH71" si="19">AH7+1</f>
        <v>3</v>
      </c>
      <c r="AI8">
        <f t="shared" si="13"/>
        <v>26</v>
      </c>
      <c r="AJ8">
        <f t="shared" si="18"/>
        <v>1</v>
      </c>
      <c r="AK8" s="1">
        <v>3</v>
      </c>
      <c r="AL8">
        <f>AL7*2</f>
        <v>40</v>
      </c>
    </row>
    <row r="9" spans="1:38" x14ac:dyDescent="0.25">
      <c r="A9" s="5" t="s">
        <v>39</v>
      </c>
      <c r="B9" s="5" t="s">
        <v>0</v>
      </c>
      <c r="C9" s="5" t="str">
        <f t="shared" si="0"/>
        <v>description,dailCompDescSpirit7,</v>
      </c>
      <c r="D9" s="5" t="str">
        <f t="shared" si="2"/>
        <v>itemText,dailCompTextSpirit7,</v>
      </c>
      <c r="E9" s="5" t="str">
        <f t="shared" si="14"/>
        <v>augmentSkillLevel1,1,</v>
      </c>
      <c r="F9" s="5" t="str">
        <f t="shared" si="15"/>
        <v>augmentSkillName1,records/skillsspirit/deathchillaura_ravagesoftime.dbr,,</v>
      </c>
      <c r="G9" s="7">
        <f t="shared" si="10"/>
        <v>7</v>
      </c>
      <c r="H9" s="8" t="str">
        <f t="shared" si="11"/>
        <v>Spirit</v>
      </c>
      <c r="I9" s="3" t="s">
        <v>621</v>
      </c>
      <c r="J9" s="8" t="str">
        <f t="shared" si="12"/>
        <v>class0018</v>
      </c>
      <c r="K9" s="8" t="str">
        <f t="shared" si="12"/>
        <v>dailoneskill0018</v>
      </c>
      <c r="L9" s="5" t="str">
        <f t="shared" si="4"/>
        <v>lootName7,DAIL/items/materia/class0018/Spirit7.dbr,</v>
      </c>
      <c r="M9" s="5" t="str">
        <f t="shared" si="5"/>
        <v>lootWeight7,1,</v>
      </c>
      <c r="N9" t="str">
        <f t="shared" si="6"/>
        <v>1</v>
      </c>
      <c r="O9" t="str">
        <f t="shared" si="16"/>
        <v>copy .\dail_base.dbr .\items\materia\class0018\Spirit7.dbr /y</v>
      </c>
      <c r="P9" t="str">
        <f t="shared" si="7"/>
        <v>echo relicBitmap,items/craftingparts/components/component_a52_bristlyfur_b.tex, &gt;&gt; .\items\materia\class0018\Spirit7.dbr</v>
      </c>
      <c r="Q9" t="str">
        <f t="shared" si="1"/>
        <v>echo itemCost,100000, &gt;&gt; .\items\materia\class0018\Spirit7.dbr</v>
      </c>
      <c r="R9" t="str">
        <f t="shared" si="1"/>
        <v>echo description,dailCompDescSpirit7, &gt;&gt; .\items\materia\class0018\Spirit7.dbr</v>
      </c>
      <c r="S9" t="str">
        <f t="shared" si="1"/>
        <v>echo itemText,dailCompTextSpirit7, &gt;&gt; .\items\materia\class0018\Spirit7.dbr</v>
      </c>
      <c r="T9" t="str">
        <f t="shared" si="1"/>
        <v>echo augmentSkillLevel1,1, &gt;&gt; .\items\materia\class0018\Spirit7.dbr</v>
      </c>
      <c r="U9" t="str">
        <f t="shared" si="1"/>
        <v>echo augmentSkillName1,records/skillsspirit/deathchillaura_ravagesoftime.dbr,, &gt;&gt; .\items\materia\class0018\Spirit7.dbr</v>
      </c>
      <c r="V9" s="5" t="s">
        <v>36</v>
      </c>
      <c r="W9" t="str">
        <f t="shared" si="8"/>
        <v>echo lootName7,DAIL/items/materia/class0018/Spirit7.dbr, &gt;&gt; .\items\loottables\dailoneskill0018.dbr</v>
      </c>
      <c r="X9" t="str">
        <f t="shared" si="8"/>
        <v>echo lootWeight7,1, &gt;&gt; .\items\loottables\dailoneskill0018.dbr</v>
      </c>
      <c r="Y9" s="5" t="s">
        <v>36</v>
      </c>
      <c r="Z9" t="str">
        <f t="shared" si="9"/>
        <v xml:space="preserve"> dailCompDescSpirit7=^pSpirit's Gift of DAIL</v>
      </c>
      <c r="AA9" t="str">
        <f t="shared" si="17"/>
        <v>dailCompTextSpirit7=^oThis feels warm to the touch, almost familiar ^w(This component fits into all Jewellery slots including the Belt And Shoulder)</v>
      </c>
      <c r="AB9" s="5" t="s">
        <v>36</v>
      </c>
      <c r="AH9">
        <f t="shared" si="19"/>
        <v>4</v>
      </c>
      <c r="AI9">
        <f t="shared" si="13"/>
        <v>40</v>
      </c>
      <c r="AJ9">
        <f t="shared" si="18"/>
        <v>1</v>
      </c>
      <c r="AK9" s="1">
        <v>5</v>
      </c>
      <c r="AL9">
        <f>AL6</f>
        <v>60</v>
      </c>
    </row>
    <row r="10" spans="1:38" x14ac:dyDescent="0.25">
      <c r="A10" s="5" t="s">
        <v>39</v>
      </c>
      <c r="B10" s="5" t="s">
        <v>0</v>
      </c>
      <c r="C10" s="5" t="str">
        <f t="shared" si="0"/>
        <v>description,dailCompDescSpirit8,</v>
      </c>
      <c r="D10" s="5" t="str">
        <f t="shared" si="2"/>
        <v>itemText,dailCompTextSpirit8,</v>
      </c>
      <c r="E10" s="5" t="str">
        <f t="shared" si="14"/>
        <v>augmentSkillLevel1,1,</v>
      </c>
      <c r="F10" s="5" t="str">
        <f t="shared" si="15"/>
        <v>augmentSkillName1,records/skillsspirit/deathchillaura_necrosis.dbr,,</v>
      </c>
      <c r="G10" s="7">
        <f t="shared" si="10"/>
        <v>8</v>
      </c>
      <c r="H10" s="8" t="str">
        <f t="shared" si="11"/>
        <v>Spirit</v>
      </c>
      <c r="I10" s="3" t="s">
        <v>622</v>
      </c>
      <c r="J10" s="8" t="str">
        <f t="shared" si="12"/>
        <v>class0018</v>
      </c>
      <c r="K10" s="8" t="str">
        <f t="shared" si="12"/>
        <v>dailoneskill0018</v>
      </c>
      <c r="L10" s="5" t="str">
        <f t="shared" si="4"/>
        <v>lootName8,DAIL/items/materia/class0018/Spirit8.dbr,</v>
      </c>
      <c r="M10" s="5" t="str">
        <f t="shared" si="5"/>
        <v>lootWeight8,1,</v>
      </c>
      <c r="N10" t="str">
        <f t="shared" si="6"/>
        <v>1</v>
      </c>
      <c r="O10" t="str">
        <f t="shared" si="16"/>
        <v>copy .\dail_base.dbr .\items\materia\class0018\Spirit8.dbr /y</v>
      </c>
      <c r="P10" t="str">
        <f t="shared" si="7"/>
        <v>echo relicBitmap,items/craftingparts/components/component_a52_bristlyfur_b.tex, &gt;&gt; .\items\materia\class0018\Spirit8.dbr</v>
      </c>
      <c r="Q10" t="str">
        <f t="shared" si="1"/>
        <v>echo itemCost,100000, &gt;&gt; .\items\materia\class0018\Spirit8.dbr</v>
      </c>
      <c r="R10" t="str">
        <f t="shared" si="1"/>
        <v>echo description,dailCompDescSpirit8, &gt;&gt; .\items\materia\class0018\Spirit8.dbr</v>
      </c>
      <c r="S10" t="str">
        <f t="shared" si="1"/>
        <v>echo itemText,dailCompTextSpirit8, &gt;&gt; .\items\materia\class0018\Spirit8.dbr</v>
      </c>
      <c r="T10" t="str">
        <f t="shared" si="1"/>
        <v>echo augmentSkillLevel1,1, &gt;&gt; .\items\materia\class0018\Spirit8.dbr</v>
      </c>
      <c r="U10" t="str">
        <f t="shared" si="1"/>
        <v>echo augmentSkillName1,records/skillsspirit/deathchillaura_necrosis.dbr,, &gt;&gt; .\items\materia\class0018\Spirit8.dbr</v>
      </c>
      <c r="V10" s="5" t="s">
        <v>36</v>
      </c>
      <c r="W10" t="str">
        <f t="shared" si="8"/>
        <v>echo lootName8,DAIL/items/materia/class0018/Spirit8.dbr, &gt;&gt; .\items\loottables\dailoneskill0018.dbr</v>
      </c>
      <c r="X10" t="str">
        <f t="shared" si="8"/>
        <v>echo lootWeight8,1, &gt;&gt; .\items\loottables\dailoneskill0018.dbr</v>
      </c>
      <c r="Y10" s="5" t="s">
        <v>36</v>
      </c>
      <c r="Z10" t="str">
        <f t="shared" si="9"/>
        <v xml:space="preserve"> dailCompDescSpirit8=^pSpirit's Gift of DAIL</v>
      </c>
      <c r="AA10" t="str">
        <f t="shared" si="17"/>
        <v>dailCompTextSpirit8=^oThis feels warm to the touch, almost familiar ^w(This component fits into all Jewellery slots including the Belt And Shoulder)</v>
      </c>
      <c r="AB10" s="5" t="s">
        <v>36</v>
      </c>
      <c r="AH10">
        <f t="shared" si="19"/>
        <v>5</v>
      </c>
      <c r="AI10">
        <f t="shared" si="13"/>
        <v>35</v>
      </c>
      <c r="AJ10">
        <f t="shared" si="18"/>
        <v>1</v>
      </c>
    </row>
    <row r="11" spans="1:38" x14ac:dyDescent="0.25">
      <c r="A11" s="5" t="s">
        <v>39</v>
      </c>
      <c r="B11" s="5" t="s">
        <v>0</v>
      </c>
      <c r="C11" s="5" t="str">
        <f t="shared" si="0"/>
        <v>description,dailCompDescSpirit9,</v>
      </c>
      <c r="D11" s="5" t="str">
        <f t="shared" si="2"/>
        <v>itemText,dailCompTextSpirit9,</v>
      </c>
      <c r="E11" s="5" t="str">
        <f t="shared" si="14"/>
        <v>augmentSkillLevel1,1,</v>
      </c>
      <c r="F11" s="5" t="str">
        <f t="shared" si="15"/>
        <v>augmentSkillName1,records/skillsspirit/circleofpower.dbr,,</v>
      </c>
      <c r="G11" s="7">
        <f t="shared" si="10"/>
        <v>9</v>
      </c>
      <c r="H11" s="8" t="str">
        <f t="shared" si="11"/>
        <v>Spirit</v>
      </c>
      <c r="I11" s="3" t="s">
        <v>623</v>
      </c>
      <c r="J11" s="8" t="str">
        <f t="shared" si="12"/>
        <v>class0018</v>
      </c>
      <c r="K11" s="8" t="str">
        <f t="shared" si="12"/>
        <v>dailoneskill0018</v>
      </c>
      <c r="L11" s="5" t="str">
        <f t="shared" si="4"/>
        <v>lootName9,DAIL/items/materia/class0018/Spirit9.dbr,</v>
      </c>
      <c r="M11" s="5" t="str">
        <f t="shared" si="5"/>
        <v>lootWeight9,1,</v>
      </c>
      <c r="N11" t="str">
        <f t="shared" si="6"/>
        <v>1</v>
      </c>
      <c r="O11" t="str">
        <f t="shared" si="16"/>
        <v>copy .\dail_base.dbr .\items\materia\class0018\Spirit9.dbr /y</v>
      </c>
      <c r="P11" t="str">
        <f t="shared" si="7"/>
        <v>echo relicBitmap,items/craftingparts/components/component_a52_bristlyfur_b.tex, &gt;&gt; .\items\materia\class0018\Spirit9.dbr</v>
      </c>
      <c r="Q11" t="str">
        <f t="shared" si="1"/>
        <v>echo itemCost,100000, &gt;&gt; .\items\materia\class0018\Spirit9.dbr</v>
      </c>
      <c r="R11" t="str">
        <f t="shared" si="1"/>
        <v>echo description,dailCompDescSpirit9, &gt;&gt; .\items\materia\class0018\Spirit9.dbr</v>
      </c>
      <c r="S11" t="str">
        <f t="shared" si="1"/>
        <v>echo itemText,dailCompTextSpirit9, &gt;&gt; .\items\materia\class0018\Spirit9.dbr</v>
      </c>
      <c r="T11" t="str">
        <f t="shared" si="1"/>
        <v>echo augmentSkillLevel1,1, &gt;&gt; .\items\materia\class0018\Spirit9.dbr</v>
      </c>
      <c r="U11" t="str">
        <f t="shared" si="1"/>
        <v>echo augmentSkillName1,records/skillsspirit/circleofpower.dbr,, &gt;&gt; .\items\materia\class0018\Spirit9.dbr</v>
      </c>
      <c r="V11" s="5" t="s">
        <v>36</v>
      </c>
      <c r="W11" t="str">
        <f t="shared" si="8"/>
        <v>echo lootName9,DAIL/items/materia/class0018/Spirit9.dbr, &gt;&gt; .\items\loottables\dailoneskill0018.dbr</v>
      </c>
      <c r="X11" t="str">
        <f t="shared" si="8"/>
        <v>echo lootWeight9,1, &gt;&gt; .\items\loottables\dailoneskill0018.dbr</v>
      </c>
      <c r="Y11" s="5" t="s">
        <v>36</v>
      </c>
      <c r="Z11" t="str">
        <f t="shared" si="9"/>
        <v xml:space="preserve"> dailCompDescSpirit9=^pSpirit's Gift of DAIL</v>
      </c>
      <c r="AA11" t="str">
        <f t="shared" si="17"/>
        <v>dailCompTextSpirit9=^oThis feels warm to the touch, almost familiar ^w(This component fits into all Jewellery slots including the Belt And Shoulder)</v>
      </c>
      <c r="AB11" s="5" t="s">
        <v>36</v>
      </c>
      <c r="AH11">
        <f t="shared" si="19"/>
        <v>6</v>
      </c>
      <c r="AI11">
        <f t="shared" si="13"/>
        <v>25</v>
      </c>
      <c r="AJ11">
        <f t="shared" si="18"/>
        <v>1</v>
      </c>
    </row>
    <row r="12" spans="1:38" x14ac:dyDescent="0.25">
      <c r="A12" s="5" t="s">
        <v>39</v>
      </c>
      <c r="B12" s="5" t="s">
        <v>0</v>
      </c>
      <c r="C12" s="5" t="str">
        <f t="shared" si="0"/>
        <v>description,dailCompDescSpirit10,</v>
      </c>
      <c r="D12" s="5" t="str">
        <f t="shared" si="2"/>
        <v>itemText,dailCompTextSpirit10,</v>
      </c>
      <c r="E12" s="5" t="str">
        <f t="shared" si="14"/>
        <v>augmentSkillLevel1,1,</v>
      </c>
      <c r="F12" s="5" t="str">
        <f t="shared" si="15"/>
        <v>augmentSkillName1,records/skillsspirit/darkcovenant.dbr,,</v>
      </c>
      <c r="G12" s="7">
        <f t="shared" si="10"/>
        <v>10</v>
      </c>
      <c r="H12" s="8" t="str">
        <f t="shared" si="11"/>
        <v>Spirit</v>
      </c>
      <c r="I12" s="3" t="s">
        <v>624</v>
      </c>
      <c r="J12" s="8" t="str">
        <f t="shared" si="12"/>
        <v>class0018</v>
      </c>
      <c r="K12" s="8" t="str">
        <f t="shared" si="12"/>
        <v>dailoneskill0018</v>
      </c>
      <c r="L12" s="5" t="str">
        <f t="shared" si="4"/>
        <v>lootName10,DAIL/items/materia/class0018/Spirit10.dbr,</v>
      </c>
      <c r="M12" s="5" t="str">
        <f t="shared" si="5"/>
        <v>lootWeight10,1,</v>
      </c>
      <c r="N12" t="str">
        <f t="shared" si="6"/>
        <v>1</v>
      </c>
      <c r="O12" t="str">
        <f t="shared" si="16"/>
        <v>copy .\dail_base.dbr .\items\materia\class0018\Spirit10.dbr /y</v>
      </c>
      <c r="P12" t="str">
        <f t="shared" si="7"/>
        <v>echo relicBitmap,items/craftingparts/components/component_a52_bristlyfur_b.tex, &gt;&gt; .\items\materia\class0018\Spirit10.dbr</v>
      </c>
      <c r="Q12" t="str">
        <f t="shared" si="1"/>
        <v>echo itemCost,100000, &gt;&gt; .\items\materia\class0018\Spirit10.dbr</v>
      </c>
      <c r="R12" t="str">
        <f t="shared" si="1"/>
        <v>echo description,dailCompDescSpirit10, &gt;&gt; .\items\materia\class0018\Spirit10.dbr</v>
      </c>
      <c r="S12" t="str">
        <f t="shared" si="1"/>
        <v>echo itemText,dailCompTextSpirit10, &gt;&gt; .\items\materia\class0018\Spirit10.dbr</v>
      </c>
      <c r="T12" t="str">
        <f t="shared" si="1"/>
        <v>echo augmentSkillLevel1,1, &gt;&gt; .\items\materia\class0018\Spirit10.dbr</v>
      </c>
      <c r="U12" t="str">
        <f t="shared" si="1"/>
        <v>echo augmentSkillName1,records/skillsspirit/darkcovenant.dbr,, &gt;&gt; .\items\materia\class0018\Spirit10.dbr</v>
      </c>
      <c r="V12" s="5" t="s">
        <v>36</v>
      </c>
      <c r="W12" t="str">
        <f t="shared" si="8"/>
        <v>echo lootName10,DAIL/items/materia/class0018/Spirit10.dbr, &gt;&gt; .\items\loottables\dailoneskill0018.dbr</v>
      </c>
      <c r="X12" t="str">
        <f t="shared" si="8"/>
        <v>echo lootWeight10,1, &gt;&gt; .\items\loottables\dailoneskill0018.dbr</v>
      </c>
      <c r="Y12" s="5" t="s">
        <v>36</v>
      </c>
      <c r="Z12" t="str">
        <f t="shared" si="9"/>
        <v xml:space="preserve"> dailCompDescSpirit10=^pSpirit's Gift of DAIL</v>
      </c>
      <c r="AA12" t="str">
        <f t="shared" si="17"/>
        <v>dailCompTextSpirit10=^oThis feels warm to the touch, almost familiar ^w(This component fits into all Jewellery slots including the Belt And Shoulder)</v>
      </c>
      <c r="AB12" s="5" t="s">
        <v>36</v>
      </c>
      <c r="AH12">
        <f t="shared" si="19"/>
        <v>7</v>
      </c>
      <c r="AI12">
        <f t="shared" si="13"/>
        <v>24</v>
      </c>
      <c r="AJ12">
        <f t="shared" si="18"/>
        <v>1</v>
      </c>
    </row>
    <row r="13" spans="1:38" x14ac:dyDescent="0.25">
      <c r="A13" s="5" t="s">
        <v>39</v>
      </c>
      <c r="B13" s="5" t="s">
        <v>0</v>
      </c>
      <c r="C13" s="5" t="str">
        <f t="shared" si="0"/>
        <v>description,dailCompDescSpirit11,</v>
      </c>
      <c r="D13" s="5" t="str">
        <f t="shared" si="2"/>
        <v>itemText,dailCompTextSpirit11,</v>
      </c>
      <c r="E13" s="5" t="str">
        <f t="shared" si="14"/>
        <v>augmentSkillLevel1,1,</v>
      </c>
      <c r="F13" s="5" t="str">
        <f t="shared" si="15"/>
        <v>augmentSkillName1,records/skillsspirit/darkcovenant_unearthlypower.dbr,,</v>
      </c>
      <c r="G13" s="7">
        <f t="shared" si="10"/>
        <v>11</v>
      </c>
      <c r="H13" s="8" t="str">
        <f t="shared" si="11"/>
        <v>Spirit</v>
      </c>
      <c r="I13" s="3" t="s">
        <v>625</v>
      </c>
      <c r="J13" s="8" t="str">
        <f t="shared" si="12"/>
        <v>class0018</v>
      </c>
      <c r="K13" s="8" t="str">
        <f t="shared" si="12"/>
        <v>dailoneskill0018</v>
      </c>
      <c r="L13" s="5" t="str">
        <f t="shared" si="4"/>
        <v>lootName11,DAIL/items/materia/class0018/Spirit11.dbr,</v>
      </c>
      <c r="M13" s="5" t="str">
        <f t="shared" si="5"/>
        <v>lootWeight11,1,</v>
      </c>
      <c r="N13" t="str">
        <f t="shared" si="6"/>
        <v>1</v>
      </c>
      <c r="O13" t="str">
        <f t="shared" si="16"/>
        <v>copy .\dail_base.dbr .\items\materia\class0018\Spirit11.dbr /y</v>
      </c>
      <c r="P13" t="str">
        <f t="shared" si="7"/>
        <v>echo relicBitmap,items/craftingparts/components/component_a52_bristlyfur_b.tex, &gt;&gt; .\items\materia\class0018\Spirit11.dbr</v>
      </c>
      <c r="Q13" t="str">
        <f t="shared" si="1"/>
        <v>echo itemCost,100000, &gt;&gt; .\items\materia\class0018\Spirit11.dbr</v>
      </c>
      <c r="R13" t="str">
        <f t="shared" si="1"/>
        <v>echo description,dailCompDescSpirit11, &gt;&gt; .\items\materia\class0018\Spirit11.dbr</v>
      </c>
      <c r="S13" t="str">
        <f t="shared" si="1"/>
        <v>echo itemText,dailCompTextSpirit11, &gt;&gt; .\items\materia\class0018\Spirit11.dbr</v>
      </c>
      <c r="T13" t="str">
        <f t="shared" si="1"/>
        <v>echo augmentSkillLevel1,1, &gt;&gt; .\items\materia\class0018\Spirit11.dbr</v>
      </c>
      <c r="U13" t="str">
        <f t="shared" si="1"/>
        <v>echo augmentSkillName1,records/skillsspirit/darkcovenant_unearthlypower.dbr,, &gt;&gt; .\items\materia\class0018\Spirit11.dbr</v>
      </c>
      <c r="V13" s="5" t="s">
        <v>36</v>
      </c>
      <c r="W13" t="str">
        <f t="shared" si="8"/>
        <v>echo lootName11,DAIL/items/materia/class0018/Spirit11.dbr, &gt;&gt; .\items\loottables\dailoneskill0018.dbr</v>
      </c>
      <c r="X13" t="str">
        <f t="shared" si="8"/>
        <v>echo lootWeight11,1, &gt;&gt; .\items\loottables\dailoneskill0018.dbr</v>
      </c>
      <c r="Y13" s="5" t="s">
        <v>36</v>
      </c>
      <c r="Z13" t="str">
        <f t="shared" si="9"/>
        <v xml:space="preserve"> dailCompDescSpirit11=^pSpirit's Gift of DAIL</v>
      </c>
      <c r="AA13" t="str">
        <f t="shared" si="17"/>
        <v>dailCompTextSpirit11=^oThis feels warm to the touch, almost familiar ^w(This component fits into all Jewellery slots including the Belt And Shoulder)</v>
      </c>
      <c r="AB13" s="5" t="s">
        <v>36</v>
      </c>
      <c r="AH13">
        <f t="shared" si="19"/>
        <v>8</v>
      </c>
      <c r="AI13">
        <f t="shared" si="13"/>
        <v>39</v>
      </c>
      <c r="AJ13">
        <f t="shared" si="18"/>
        <v>1</v>
      </c>
    </row>
    <row r="14" spans="1:38" x14ac:dyDescent="0.25">
      <c r="A14" s="5" t="s">
        <v>39</v>
      </c>
      <c r="B14" s="5" t="s">
        <v>0</v>
      </c>
      <c r="C14" s="5" t="str">
        <f t="shared" si="0"/>
        <v>description,dailCompDescSpirit12,</v>
      </c>
      <c r="D14" s="5" t="str">
        <f t="shared" si="2"/>
        <v>itemText,dailCompTextSpirit12,</v>
      </c>
      <c r="E14" s="5" t="str">
        <f t="shared" si="14"/>
        <v>augmentSkillLevel1,1,</v>
      </c>
      <c r="F14" s="5" t="str">
        <f t="shared" si="15"/>
        <v>augmentSkillName1,records/skillsspirit/lifedrain.dbr,,</v>
      </c>
      <c r="G14" s="7">
        <f t="shared" si="10"/>
        <v>12</v>
      </c>
      <c r="H14" s="8" t="str">
        <f t="shared" si="11"/>
        <v>Spirit</v>
      </c>
      <c r="I14" s="3" t="s">
        <v>626</v>
      </c>
      <c r="J14" s="8" t="str">
        <f t="shared" si="12"/>
        <v>class0018</v>
      </c>
      <c r="K14" s="8" t="str">
        <f t="shared" si="12"/>
        <v>dailoneskill0018</v>
      </c>
      <c r="L14" s="5" t="str">
        <f t="shared" si="4"/>
        <v>lootName12,DAIL/items/materia/class0018/Spirit12.dbr,</v>
      </c>
      <c r="M14" s="5" t="str">
        <f t="shared" si="5"/>
        <v>lootWeight12,1,</v>
      </c>
      <c r="N14" t="str">
        <f t="shared" si="6"/>
        <v>1</v>
      </c>
      <c r="O14" t="str">
        <f t="shared" si="16"/>
        <v>copy .\dail_base.dbr .\items\materia\class0018\Spirit12.dbr /y</v>
      </c>
      <c r="P14" t="str">
        <f t="shared" si="7"/>
        <v>echo relicBitmap,items/craftingparts/components/component_a52_bristlyfur_b.tex, &gt;&gt; .\items\materia\class0018\Spirit12.dbr</v>
      </c>
      <c r="Q14" t="str">
        <f t="shared" si="1"/>
        <v>echo itemCost,100000, &gt;&gt; .\items\materia\class0018\Spirit12.dbr</v>
      </c>
      <c r="R14" t="str">
        <f t="shared" si="1"/>
        <v>echo description,dailCompDescSpirit12, &gt;&gt; .\items\materia\class0018\Spirit12.dbr</v>
      </c>
      <c r="S14" t="str">
        <f t="shared" si="1"/>
        <v>echo itemText,dailCompTextSpirit12, &gt;&gt; .\items\materia\class0018\Spirit12.dbr</v>
      </c>
      <c r="T14" t="str">
        <f t="shared" si="1"/>
        <v>echo augmentSkillLevel1,1, &gt;&gt; .\items\materia\class0018\Spirit12.dbr</v>
      </c>
      <c r="U14" t="str">
        <f t="shared" si="1"/>
        <v>echo augmentSkillName1,records/skillsspirit/lifedrain.dbr,, &gt;&gt; .\items\materia\class0018\Spirit12.dbr</v>
      </c>
      <c r="V14" s="5" t="s">
        <v>36</v>
      </c>
      <c r="W14" t="str">
        <f t="shared" si="8"/>
        <v>echo lootName12,DAIL/items/materia/class0018/Spirit12.dbr, &gt;&gt; .\items\loottables\dailoneskill0018.dbr</v>
      </c>
      <c r="X14" t="str">
        <f t="shared" si="8"/>
        <v>echo lootWeight12,1, &gt;&gt; .\items\loottables\dailoneskill0018.dbr</v>
      </c>
      <c r="Y14" s="5" t="s">
        <v>36</v>
      </c>
      <c r="Z14" t="str">
        <f t="shared" si="9"/>
        <v xml:space="preserve"> dailCompDescSpirit12=^pSpirit's Gift of DAIL</v>
      </c>
      <c r="AA14" t="str">
        <f t="shared" si="17"/>
        <v>dailCompTextSpirit12=^oThis feels warm to the touch, almost familiar ^w(This component fits into all Jewellery slots including the Belt And Shoulder)</v>
      </c>
      <c r="AB14" s="5" t="s">
        <v>36</v>
      </c>
      <c r="AH14">
        <f t="shared" si="19"/>
        <v>9</v>
      </c>
      <c r="AI14">
        <f t="shared" si="13"/>
        <v>21</v>
      </c>
      <c r="AJ14">
        <f t="shared" si="18"/>
        <v>1</v>
      </c>
    </row>
    <row r="15" spans="1:38" x14ac:dyDescent="0.25">
      <c r="A15" s="5" t="s">
        <v>39</v>
      </c>
      <c r="B15" s="5" t="s">
        <v>0</v>
      </c>
      <c r="C15" s="5" t="str">
        <f t="shared" si="0"/>
        <v>description,dailCompDescSpirit13,</v>
      </c>
      <c r="D15" s="5" t="str">
        <f t="shared" si="2"/>
        <v>itemText,dailCompTextSpirit13,</v>
      </c>
      <c r="E15" s="5" t="str">
        <f t="shared" si="14"/>
        <v>augmentSkillLevel1,1,</v>
      </c>
      <c r="F15" s="5" t="str">
        <f t="shared" si="15"/>
        <v>augmentSkillName1,records/skillsspirit/lifedrain_cascade.dbr,,</v>
      </c>
      <c r="G15" s="7">
        <f t="shared" si="10"/>
        <v>13</v>
      </c>
      <c r="H15" s="8" t="str">
        <f t="shared" si="11"/>
        <v>Spirit</v>
      </c>
      <c r="I15" s="3" t="s">
        <v>627</v>
      </c>
      <c r="J15" s="8" t="str">
        <f t="shared" si="12"/>
        <v>class0018</v>
      </c>
      <c r="K15" s="8" t="str">
        <f t="shared" si="12"/>
        <v>dailoneskill0018</v>
      </c>
      <c r="L15" s="5" t="str">
        <f t="shared" si="4"/>
        <v>lootName13,DAIL/items/materia/class0018/Spirit13.dbr,</v>
      </c>
      <c r="M15" s="5" t="str">
        <f t="shared" si="5"/>
        <v>lootWeight13,1,</v>
      </c>
      <c r="N15" t="str">
        <f t="shared" si="6"/>
        <v>1</v>
      </c>
      <c r="O15" t="str">
        <f t="shared" si="16"/>
        <v>copy .\dail_base.dbr .\items\materia\class0018\Spirit13.dbr /y</v>
      </c>
      <c r="P15" t="str">
        <f t="shared" si="7"/>
        <v>echo relicBitmap,items/craftingparts/components/component_a52_bristlyfur_b.tex, &gt;&gt; .\items\materia\class0018\Spirit13.dbr</v>
      </c>
      <c r="Q15" t="str">
        <f t="shared" si="1"/>
        <v>echo itemCost,100000, &gt;&gt; .\items\materia\class0018\Spirit13.dbr</v>
      </c>
      <c r="R15" t="str">
        <f t="shared" si="1"/>
        <v>echo description,dailCompDescSpirit13, &gt;&gt; .\items\materia\class0018\Spirit13.dbr</v>
      </c>
      <c r="S15" t="str">
        <f t="shared" si="1"/>
        <v>echo itemText,dailCompTextSpirit13, &gt;&gt; .\items\materia\class0018\Spirit13.dbr</v>
      </c>
      <c r="T15" t="str">
        <f t="shared" si="1"/>
        <v>echo augmentSkillLevel1,1, &gt;&gt; .\items\materia\class0018\Spirit13.dbr</v>
      </c>
      <c r="U15" t="str">
        <f t="shared" si="1"/>
        <v>echo augmentSkillName1,records/skillsspirit/lifedrain_cascade.dbr,, &gt;&gt; .\items\materia\class0018\Spirit13.dbr</v>
      </c>
      <c r="V15" s="5" t="s">
        <v>36</v>
      </c>
      <c r="W15" t="str">
        <f t="shared" si="8"/>
        <v>echo lootName13,DAIL/items/materia/class0018/Spirit13.dbr, &gt;&gt; .\items\loottables\dailoneskill0018.dbr</v>
      </c>
      <c r="X15" t="str">
        <f t="shared" si="8"/>
        <v>echo lootWeight13,1, &gt;&gt; .\items\loottables\dailoneskill0018.dbr</v>
      </c>
      <c r="Y15" s="5" t="s">
        <v>36</v>
      </c>
      <c r="Z15" t="str">
        <f t="shared" si="9"/>
        <v xml:space="preserve"> dailCompDescSpirit13=^pSpirit's Gift of DAIL</v>
      </c>
      <c r="AA15" t="str">
        <f t="shared" si="17"/>
        <v>dailCompTextSpirit13=^oThis feels warm to the touch, almost familiar ^w(This component fits into all Jewellery slots including the Belt And Shoulder)</v>
      </c>
      <c r="AB15" s="5" t="s">
        <v>36</v>
      </c>
      <c r="AH15">
        <f t="shared" si="19"/>
        <v>10</v>
      </c>
      <c r="AI15">
        <f t="shared" si="13"/>
        <v>29</v>
      </c>
      <c r="AJ15">
        <f t="shared" si="18"/>
        <v>1</v>
      </c>
    </row>
    <row r="16" spans="1:38" x14ac:dyDescent="0.25">
      <c r="A16" s="5" t="s">
        <v>39</v>
      </c>
      <c r="B16" s="5" t="s">
        <v>0</v>
      </c>
      <c r="C16" s="5" t="str">
        <f t="shared" si="0"/>
        <v>description,dailCompDescSpirit14,</v>
      </c>
      <c r="D16" s="5" t="str">
        <f t="shared" si="2"/>
        <v>itemText,dailCompTextSpirit14,</v>
      </c>
      <c r="E16" s="5" t="str">
        <f t="shared" si="14"/>
        <v>augmentSkillLevel1,1,</v>
      </c>
      <c r="F16" s="5" t="str">
        <f t="shared" si="15"/>
        <v>augmentSkillName1,records/skillsspirit/outsidersummons.dbr,,</v>
      </c>
      <c r="G16" s="7">
        <f t="shared" si="10"/>
        <v>14</v>
      </c>
      <c r="H16" s="8" t="str">
        <f t="shared" si="11"/>
        <v>Spirit</v>
      </c>
      <c r="I16" s="3" t="s">
        <v>628</v>
      </c>
      <c r="J16" s="8" t="str">
        <f t="shared" si="12"/>
        <v>class0018</v>
      </c>
      <c r="K16" s="8" t="str">
        <f t="shared" si="12"/>
        <v>dailoneskill0018</v>
      </c>
      <c r="L16" s="5" t="str">
        <f t="shared" si="4"/>
        <v>lootName14,DAIL/items/materia/class0018/Spirit14.dbr,</v>
      </c>
      <c r="M16" s="5" t="str">
        <f t="shared" si="5"/>
        <v>lootWeight14,1,</v>
      </c>
      <c r="N16" t="str">
        <f t="shared" si="6"/>
        <v>1</v>
      </c>
      <c r="O16" t="str">
        <f t="shared" si="16"/>
        <v>copy .\dail_base.dbr .\items\materia\class0018\Spirit14.dbr /y</v>
      </c>
      <c r="P16" t="str">
        <f t="shared" si="7"/>
        <v>echo relicBitmap,items/craftingparts/components/component_a52_bristlyfur_b.tex, &gt;&gt; .\items\materia\class0018\Spirit14.dbr</v>
      </c>
      <c r="Q16" t="str">
        <f t="shared" si="1"/>
        <v>echo itemCost,100000, &gt;&gt; .\items\materia\class0018\Spirit14.dbr</v>
      </c>
      <c r="R16" t="str">
        <f t="shared" si="1"/>
        <v>echo description,dailCompDescSpirit14, &gt;&gt; .\items\materia\class0018\Spirit14.dbr</v>
      </c>
      <c r="S16" t="str">
        <f t="shared" si="1"/>
        <v>echo itemText,dailCompTextSpirit14, &gt;&gt; .\items\materia\class0018\Spirit14.dbr</v>
      </c>
      <c r="T16" t="str">
        <f t="shared" si="1"/>
        <v>echo augmentSkillLevel1,1, &gt;&gt; .\items\materia\class0018\Spirit14.dbr</v>
      </c>
      <c r="U16" t="str">
        <f t="shared" si="1"/>
        <v>echo augmentSkillName1,records/skillsspirit/outsidersummons.dbr,, &gt;&gt; .\items\materia\class0018\Spirit14.dbr</v>
      </c>
      <c r="V16" s="5" t="s">
        <v>36</v>
      </c>
      <c r="W16" t="str">
        <f t="shared" si="8"/>
        <v>echo lootName14,DAIL/items/materia/class0018/Spirit14.dbr, &gt;&gt; .\items\loottables\dailoneskill0018.dbr</v>
      </c>
      <c r="X16" t="str">
        <f t="shared" si="8"/>
        <v>echo lootWeight14,1, &gt;&gt; .\items\loottables\dailoneskill0018.dbr</v>
      </c>
      <c r="Y16" s="5" t="s">
        <v>36</v>
      </c>
      <c r="Z16" t="str">
        <f t="shared" si="9"/>
        <v xml:space="preserve"> dailCompDescSpirit14=^pSpirit's Gift of DAIL</v>
      </c>
      <c r="AA16" t="str">
        <f t="shared" si="17"/>
        <v>dailCompTextSpirit14=^oThis feels warm to the touch, almost familiar ^w(This component fits into all Jewellery slots including the Belt And Shoulder)</v>
      </c>
      <c r="AB16" s="5" t="s">
        <v>36</v>
      </c>
      <c r="AH16">
        <f t="shared" si="19"/>
        <v>11</v>
      </c>
      <c r="AI16">
        <f t="shared" si="13"/>
        <v>27</v>
      </c>
      <c r="AJ16">
        <f t="shared" si="18"/>
        <v>1</v>
      </c>
    </row>
    <row r="17" spans="1:36" x14ac:dyDescent="0.25">
      <c r="A17" s="5" t="s">
        <v>39</v>
      </c>
      <c r="B17" s="5" t="s">
        <v>0</v>
      </c>
      <c r="C17" s="5" t="str">
        <f t="shared" si="0"/>
        <v>description,dailCompDescSpirit15,</v>
      </c>
      <c r="D17" s="5" t="str">
        <f t="shared" si="2"/>
        <v>itemText,dailCompTextSpirit15,</v>
      </c>
      <c r="E17" s="5" t="str">
        <f t="shared" si="14"/>
        <v>augmentSkillLevel1,1,</v>
      </c>
      <c r="F17" s="5" t="str">
        <f t="shared" si="15"/>
        <v>augmentSkillName1,records/skillsspirit/ternion.dbr,,</v>
      </c>
      <c r="G17" s="7">
        <f t="shared" si="10"/>
        <v>15</v>
      </c>
      <c r="H17" s="8" t="str">
        <f t="shared" si="11"/>
        <v>Spirit</v>
      </c>
      <c r="I17" s="3" t="s">
        <v>629</v>
      </c>
      <c r="J17" s="8" t="str">
        <f t="shared" si="12"/>
        <v>class0018</v>
      </c>
      <c r="K17" s="8" t="str">
        <f t="shared" si="12"/>
        <v>dailoneskill0018</v>
      </c>
      <c r="L17" s="5" t="str">
        <f t="shared" si="4"/>
        <v>lootName15,DAIL/items/materia/class0018/Spirit15.dbr,</v>
      </c>
      <c r="M17" s="5" t="str">
        <f t="shared" si="5"/>
        <v>lootWeight15,1,</v>
      </c>
      <c r="N17" t="str">
        <f t="shared" si="6"/>
        <v>1</v>
      </c>
      <c r="O17" t="str">
        <f t="shared" si="16"/>
        <v>copy .\dail_base.dbr .\items\materia\class0018\Spirit15.dbr /y</v>
      </c>
      <c r="P17" t="str">
        <f t="shared" si="7"/>
        <v>echo relicBitmap,items/craftingparts/components/component_a52_bristlyfur_b.tex, &gt;&gt; .\items\materia\class0018\Spirit15.dbr</v>
      </c>
      <c r="Q17" t="str">
        <f t="shared" si="1"/>
        <v>echo itemCost,100000, &gt;&gt; .\items\materia\class0018\Spirit15.dbr</v>
      </c>
      <c r="R17" t="str">
        <f t="shared" si="1"/>
        <v>echo description,dailCompDescSpirit15, &gt;&gt; .\items\materia\class0018\Spirit15.dbr</v>
      </c>
      <c r="S17" t="str">
        <f t="shared" si="1"/>
        <v>echo itemText,dailCompTextSpirit15, &gt;&gt; .\items\materia\class0018\Spirit15.dbr</v>
      </c>
      <c r="T17" t="str">
        <f t="shared" si="1"/>
        <v>echo augmentSkillLevel1,1, &gt;&gt; .\items\materia\class0018\Spirit15.dbr</v>
      </c>
      <c r="U17" t="str">
        <f t="shared" si="1"/>
        <v>echo augmentSkillName1,records/skillsspirit/ternion.dbr,, &gt;&gt; .\items\materia\class0018\Spirit15.dbr</v>
      </c>
      <c r="V17" s="5" t="s">
        <v>36</v>
      </c>
      <c r="W17" t="str">
        <f t="shared" si="8"/>
        <v>echo lootName15,DAIL/items/materia/class0018/Spirit15.dbr, &gt;&gt; .\items\loottables\dailoneskill0018.dbr</v>
      </c>
      <c r="X17" t="str">
        <f t="shared" si="8"/>
        <v>echo lootWeight15,1, &gt;&gt; .\items\loottables\dailoneskill0018.dbr</v>
      </c>
      <c r="Y17" s="5" t="s">
        <v>36</v>
      </c>
      <c r="Z17" t="str">
        <f t="shared" si="9"/>
        <v xml:space="preserve"> dailCompDescSpirit15=^pSpirit's Gift of DAIL</v>
      </c>
      <c r="AA17" t="str">
        <f t="shared" si="17"/>
        <v>dailCompTextSpirit15=^oThis feels warm to the touch, almost familiar ^w(This component fits into all Jewellery slots including the Belt And Shoulder)</v>
      </c>
      <c r="AB17" s="5" t="s">
        <v>36</v>
      </c>
      <c r="AH17">
        <f t="shared" si="19"/>
        <v>12</v>
      </c>
      <c r="AI17">
        <f t="shared" si="13"/>
        <v>19</v>
      </c>
      <c r="AJ17">
        <f t="shared" si="18"/>
        <v>1</v>
      </c>
    </row>
    <row r="18" spans="1:36" x14ac:dyDescent="0.25">
      <c r="A18" s="5" t="s">
        <v>39</v>
      </c>
      <c r="B18" s="5" t="s">
        <v>0</v>
      </c>
      <c r="C18" s="5" t="str">
        <f t="shared" si="0"/>
        <v>description,dailCompDescSpirit16,</v>
      </c>
      <c r="D18" s="5" t="str">
        <f t="shared" si="2"/>
        <v>itemText,dailCompTextSpirit16,</v>
      </c>
      <c r="E18" s="5" t="str">
        <f t="shared" si="14"/>
        <v>augmentSkillLevel1,1,</v>
      </c>
      <c r="F18" s="5" t="str">
        <f t="shared" si="15"/>
        <v>augmentSkillName1,records/skillsspirit/ternion_arcanelore.dbr,,</v>
      </c>
      <c r="G18" s="7">
        <f t="shared" si="10"/>
        <v>16</v>
      </c>
      <c r="H18" s="8" t="str">
        <f t="shared" si="11"/>
        <v>Spirit</v>
      </c>
      <c r="I18" s="3" t="s">
        <v>630</v>
      </c>
      <c r="J18" s="8" t="str">
        <f t="shared" si="12"/>
        <v>class0018</v>
      </c>
      <c r="K18" s="8" t="str">
        <f t="shared" si="12"/>
        <v>dailoneskill0018</v>
      </c>
      <c r="L18" s="5" t="str">
        <f t="shared" si="4"/>
        <v>lootName16,DAIL/items/materia/class0018/Spirit16.dbr,</v>
      </c>
      <c r="M18" s="5" t="str">
        <f t="shared" si="5"/>
        <v>lootWeight16,1,</v>
      </c>
      <c r="N18" t="str">
        <f t="shared" si="6"/>
        <v>1</v>
      </c>
      <c r="O18" t="str">
        <f t="shared" si="16"/>
        <v>copy .\dail_base.dbr .\items\materia\class0018\Spirit16.dbr /y</v>
      </c>
      <c r="P18" t="str">
        <f t="shared" si="7"/>
        <v>echo relicBitmap,items/craftingparts/components/component_a52_bristlyfur_b.tex, &gt;&gt; .\items\materia\class0018\Spirit16.dbr</v>
      </c>
      <c r="Q18" t="str">
        <f t="shared" si="1"/>
        <v>echo itemCost,100000, &gt;&gt; .\items\materia\class0018\Spirit16.dbr</v>
      </c>
      <c r="R18" t="str">
        <f t="shared" si="1"/>
        <v>echo description,dailCompDescSpirit16, &gt;&gt; .\items\materia\class0018\Spirit16.dbr</v>
      </c>
      <c r="S18" t="str">
        <f t="shared" si="1"/>
        <v>echo itemText,dailCompTextSpirit16, &gt;&gt; .\items\materia\class0018\Spirit16.dbr</v>
      </c>
      <c r="T18" t="str">
        <f t="shared" si="1"/>
        <v>echo augmentSkillLevel1,1, &gt;&gt; .\items\materia\class0018\Spirit16.dbr</v>
      </c>
      <c r="U18" t="str">
        <f t="shared" si="1"/>
        <v>echo augmentSkillName1,records/skillsspirit/ternion_arcanelore.dbr,, &gt;&gt; .\items\materia\class0018\Spirit16.dbr</v>
      </c>
      <c r="V18" s="5" t="s">
        <v>36</v>
      </c>
      <c r="W18" t="str">
        <f t="shared" si="8"/>
        <v>echo lootName16,DAIL/items/materia/class0018/Spirit16.dbr, &gt;&gt; .\items\loottables\dailoneskill0018.dbr</v>
      </c>
      <c r="X18" t="str">
        <f t="shared" si="8"/>
        <v>echo lootWeight16,1, &gt;&gt; .\items\loottables\dailoneskill0018.dbr</v>
      </c>
      <c r="Y18" s="5" t="s">
        <v>36</v>
      </c>
      <c r="Z18" t="str">
        <f t="shared" si="9"/>
        <v xml:space="preserve"> dailCompDescSpirit16=^pSpirit's Gift of DAIL</v>
      </c>
      <c r="AA18" t="str">
        <f t="shared" si="17"/>
        <v>dailCompTextSpirit16=^oThis feels warm to the touch, almost familiar ^w(This component fits into all Jewellery slots including the Belt And Shoulder)</v>
      </c>
      <c r="AB18" s="5" t="s">
        <v>36</v>
      </c>
      <c r="AH18">
        <f t="shared" si="19"/>
        <v>13</v>
      </c>
      <c r="AI18">
        <f t="shared" si="13"/>
        <v>30</v>
      </c>
      <c r="AJ18">
        <f t="shared" si="18"/>
        <v>1</v>
      </c>
    </row>
    <row r="19" spans="1:36" x14ac:dyDescent="0.25">
      <c r="A19" s="5" t="s">
        <v>39</v>
      </c>
      <c r="B19" s="5" t="s">
        <v>28</v>
      </c>
      <c r="C19" s="5" t="str">
        <f t="shared" si="0"/>
        <v>description,dailCompDescSpirit17,</v>
      </c>
      <c r="D19" s="5" t="str">
        <f t="shared" si="2"/>
        <v>itemText,dailCompTextSpirit17,</v>
      </c>
      <c r="E19" s="5" t="str">
        <f t="shared" si="14"/>
        <v>augmentSkillLevel1,1,</v>
      </c>
      <c r="F19" s="5" t="str">
        <f t="shared" si="15"/>
        <v>augmentSkillName1,records/skillsspirit/spiritward.dbr,,</v>
      </c>
      <c r="G19" s="7">
        <f t="shared" si="10"/>
        <v>17</v>
      </c>
      <c r="H19" s="8" t="str">
        <f t="shared" si="11"/>
        <v>Spirit</v>
      </c>
      <c r="I19" s="3" t="s">
        <v>631</v>
      </c>
      <c r="J19" s="8" t="str">
        <f t="shared" si="12"/>
        <v>class0018</v>
      </c>
      <c r="K19" s="8" t="str">
        <f t="shared" si="12"/>
        <v>dailoneskill0018</v>
      </c>
      <c r="L19" s="5" t="str">
        <f t="shared" si="4"/>
        <v>lootName17,DAIL/items/materia/class0018/Spirit17.dbr,</v>
      </c>
      <c r="M19" s="5" t="str">
        <f t="shared" si="5"/>
        <v>lootWeight17,1,</v>
      </c>
      <c r="N19" t="str">
        <f t="shared" si="6"/>
        <v>1</v>
      </c>
      <c r="O19" t="str">
        <f t="shared" si="16"/>
        <v>copy .\dail_base.dbr .\items\materia\class0018\Spirit17.dbr /y</v>
      </c>
      <c r="P19" t="str">
        <f t="shared" si="7"/>
        <v>echo relicBitmap,items/craftingparts/components/component_a52_bristlyfur_b.tex, &gt;&gt; .\items\materia\class0018\Spirit17.dbr</v>
      </c>
      <c r="Q19" t="str">
        <f t="shared" si="7"/>
        <v>echo itemCost,300000, &gt;&gt; .\items\materia\class0018\Spirit17.dbr</v>
      </c>
      <c r="R19" t="str">
        <f t="shared" si="7"/>
        <v>echo description,dailCompDescSpirit17, &gt;&gt; .\items\materia\class0018\Spirit17.dbr</v>
      </c>
      <c r="S19" t="str">
        <f t="shared" si="7"/>
        <v>echo itemText,dailCompTextSpirit17, &gt;&gt; .\items\materia\class0018\Spirit17.dbr</v>
      </c>
      <c r="T19" t="str">
        <f t="shared" si="7"/>
        <v>echo augmentSkillLevel1,1, &gt;&gt; .\items\materia\class0018\Spirit17.dbr</v>
      </c>
      <c r="U19" t="str">
        <f t="shared" si="7"/>
        <v>echo augmentSkillName1,records/skillsspirit/spiritward.dbr,, &gt;&gt; .\items\materia\class0018\Spirit17.dbr</v>
      </c>
      <c r="V19" s="5" t="s">
        <v>36</v>
      </c>
      <c r="W19" t="str">
        <f t="shared" si="8"/>
        <v>echo lootName17,DAIL/items/materia/class0018/Spirit17.dbr, &gt;&gt; .\items\loottables\dailoneskill0018.dbr</v>
      </c>
      <c r="X19" t="str">
        <f t="shared" si="8"/>
        <v>echo lootWeight17,1, &gt;&gt; .\items\loottables\dailoneskill0018.dbr</v>
      </c>
      <c r="Y19" s="5" t="s">
        <v>36</v>
      </c>
      <c r="Z19" t="str">
        <f t="shared" si="9"/>
        <v xml:space="preserve"> dailCompDescSpirit17=^pSpirit's Gift of DAIL</v>
      </c>
      <c r="AA19" t="str">
        <f t="shared" si="17"/>
        <v>dailCompTextSpirit17=^oThis feels warm to the touch, almost familiar ^w(This component fits into all Jewellery slots including the Belt And Shoulder)</v>
      </c>
      <c r="AB19" s="5" t="s">
        <v>36</v>
      </c>
      <c r="AH19">
        <f t="shared" si="19"/>
        <v>14</v>
      </c>
      <c r="AI19">
        <f t="shared" si="13"/>
        <v>22</v>
      </c>
      <c r="AJ19">
        <f t="shared" si="18"/>
        <v>1</v>
      </c>
    </row>
    <row r="20" spans="1:36" x14ac:dyDescent="0.25">
      <c r="A20" s="5" t="s">
        <v>39</v>
      </c>
      <c r="B20" s="5" t="s">
        <v>28</v>
      </c>
      <c r="C20" s="5" t="str">
        <f t="shared" si="0"/>
        <v>description,dailCompDescSpirit18,</v>
      </c>
      <c r="D20" s="5" t="str">
        <f t="shared" si="2"/>
        <v>itemText,dailCompTextSpirit18,</v>
      </c>
      <c r="E20" s="5" t="str">
        <f t="shared" si="14"/>
        <v>augmentSkillLevel1,1,</v>
      </c>
      <c r="F20" s="5" t="str">
        <f t="shared" si="15"/>
        <v>augmentSkillName1,records/skillsspirit/spiritward_spiritbane.dbr,,</v>
      </c>
      <c r="G20" s="7">
        <f t="shared" si="10"/>
        <v>18</v>
      </c>
      <c r="H20" s="8" t="str">
        <f t="shared" si="11"/>
        <v>Spirit</v>
      </c>
      <c r="I20" s="3" t="s">
        <v>632</v>
      </c>
      <c r="J20" s="8" t="str">
        <f t="shared" si="12"/>
        <v>class0018</v>
      </c>
      <c r="K20" s="8" t="str">
        <f t="shared" si="12"/>
        <v>dailoneskill0018</v>
      </c>
      <c r="L20" s="5" t="str">
        <f t="shared" si="4"/>
        <v>lootName18,DAIL/items/materia/class0018/Spirit18.dbr,</v>
      </c>
      <c r="M20" s="5" t="str">
        <f t="shared" si="5"/>
        <v>lootWeight18,1,</v>
      </c>
      <c r="N20" t="str">
        <f t="shared" si="6"/>
        <v>1</v>
      </c>
      <c r="O20" t="str">
        <f t="shared" si="16"/>
        <v>copy .\dail_base.dbr .\items\materia\class0018\Spirit18.dbr /y</v>
      </c>
      <c r="P20" t="str">
        <f t="shared" si="7"/>
        <v>echo relicBitmap,items/craftingparts/components/component_a52_bristlyfur_b.tex, &gt;&gt; .\items\materia\class0018\Spirit18.dbr</v>
      </c>
      <c r="Q20" t="str">
        <f t="shared" si="7"/>
        <v>echo itemCost,300000, &gt;&gt; .\items\materia\class0018\Spirit18.dbr</v>
      </c>
      <c r="R20" t="str">
        <f t="shared" si="7"/>
        <v>echo description,dailCompDescSpirit18, &gt;&gt; .\items\materia\class0018\Spirit18.dbr</v>
      </c>
      <c r="S20" t="str">
        <f t="shared" si="7"/>
        <v>echo itemText,dailCompTextSpirit18, &gt;&gt; .\items\materia\class0018\Spirit18.dbr</v>
      </c>
      <c r="T20" t="str">
        <f t="shared" si="7"/>
        <v>echo augmentSkillLevel1,1, &gt;&gt; .\items\materia\class0018\Spirit18.dbr</v>
      </c>
      <c r="U20" t="str">
        <f t="shared" si="7"/>
        <v>echo augmentSkillName1,records/skillsspirit/spiritward_spiritbane.dbr,, &gt;&gt; .\items\materia\class0018\Spirit18.dbr</v>
      </c>
      <c r="V20" s="5" t="s">
        <v>36</v>
      </c>
      <c r="W20" t="str">
        <f t="shared" si="8"/>
        <v>echo lootName18,DAIL/items/materia/class0018/Spirit18.dbr, &gt;&gt; .\items\loottables\dailoneskill0018.dbr</v>
      </c>
      <c r="X20" t="str">
        <f t="shared" si="8"/>
        <v>echo lootWeight18,1, &gt;&gt; .\items\loottables\dailoneskill0018.dbr</v>
      </c>
      <c r="Y20" s="5" t="s">
        <v>36</v>
      </c>
      <c r="Z20" t="str">
        <f t="shared" si="9"/>
        <v xml:space="preserve"> dailCompDescSpirit18=^pSpirit's Gift of DAIL</v>
      </c>
      <c r="AA20" t="str">
        <f t="shared" si="17"/>
        <v>dailCompTextSpirit18=^oThis feels warm to the touch, almost familiar ^w(This component fits into all Jewellery slots including the Belt And Shoulder)</v>
      </c>
      <c r="AB20" s="5" t="s">
        <v>36</v>
      </c>
      <c r="AH20">
        <f t="shared" si="19"/>
        <v>15</v>
      </c>
      <c r="AI20">
        <f t="shared" si="13"/>
        <v>33</v>
      </c>
      <c r="AJ20">
        <f t="shared" si="18"/>
        <v>1</v>
      </c>
    </row>
    <row r="21" spans="1:36" x14ac:dyDescent="0.25">
      <c r="A21" s="5" t="s">
        <v>39</v>
      </c>
      <c r="B21" s="5" t="s">
        <v>28</v>
      </c>
      <c r="C21" s="5" t="str">
        <f t="shared" si="0"/>
        <v>description,dailCompDescSpirit19,</v>
      </c>
      <c r="D21" s="5" t="str">
        <f t="shared" si="2"/>
        <v>itemText,dailCompTextSpirit19,</v>
      </c>
      <c r="E21" s="5" t="str">
        <f t="shared" si="14"/>
        <v>augmentSkillLevel1,1,</v>
      </c>
      <c r="F21" s="5" t="str">
        <f t="shared" si="15"/>
        <v>augmentSkillName1,records/skillsspirit/enslavespirit.dbr,,</v>
      </c>
      <c r="G21" s="7">
        <f t="shared" si="10"/>
        <v>19</v>
      </c>
      <c r="H21" s="8" t="str">
        <f t="shared" si="11"/>
        <v>Spirit</v>
      </c>
      <c r="I21" s="3" t="s">
        <v>633</v>
      </c>
      <c r="J21" s="8" t="str">
        <f t="shared" ref="J21:K36" si="20">J20</f>
        <v>class0018</v>
      </c>
      <c r="K21" s="8" t="str">
        <f t="shared" si="20"/>
        <v>dailoneskill0018</v>
      </c>
      <c r="L21" s="5" t="str">
        <f t="shared" si="4"/>
        <v>lootName19,DAIL/items/materia/class0018/Spirit19.dbr,</v>
      </c>
      <c r="M21" s="5" t="str">
        <f t="shared" si="5"/>
        <v>lootWeight19,1,</v>
      </c>
      <c r="N21" t="str">
        <f t="shared" si="6"/>
        <v>1</v>
      </c>
      <c r="O21" t="str">
        <f t="shared" si="16"/>
        <v>copy .\dail_base.dbr .\items\materia\class0018\Spirit19.dbr /y</v>
      </c>
      <c r="P21" t="str">
        <f t="shared" si="7"/>
        <v>echo relicBitmap,items/craftingparts/components/component_a52_bristlyfur_b.tex, &gt;&gt; .\items\materia\class0018\Spirit19.dbr</v>
      </c>
      <c r="Q21" t="str">
        <f t="shared" si="7"/>
        <v>echo itemCost,300000, &gt;&gt; .\items\materia\class0018\Spirit19.dbr</v>
      </c>
      <c r="R21" t="str">
        <f t="shared" si="7"/>
        <v>echo description,dailCompDescSpirit19, &gt;&gt; .\items\materia\class0018\Spirit19.dbr</v>
      </c>
      <c r="S21" t="str">
        <f t="shared" si="7"/>
        <v>echo itemText,dailCompTextSpirit19, &gt;&gt; .\items\materia\class0018\Spirit19.dbr</v>
      </c>
      <c r="T21" t="str">
        <f t="shared" si="7"/>
        <v>echo augmentSkillLevel1,1, &gt;&gt; .\items\materia\class0018\Spirit19.dbr</v>
      </c>
      <c r="U21" t="str">
        <f t="shared" si="7"/>
        <v>echo augmentSkillName1,records/skillsspirit/enslavespirit.dbr,, &gt;&gt; .\items\materia\class0018\Spirit19.dbr</v>
      </c>
      <c r="V21" s="5" t="s">
        <v>36</v>
      </c>
      <c r="W21" t="str">
        <f t="shared" si="8"/>
        <v>echo lootName19,DAIL/items/materia/class0018/Spirit19.dbr, &gt;&gt; .\items\loottables\dailoneskill0018.dbr</v>
      </c>
      <c r="X21" t="str">
        <f t="shared" si="8"/>
        <v>echo lootWeight19,1, &gt;&gt; .\items\loottables\dailoneskill0018.dbr</v>
      </c>
      <c r="Y21" s="5" t="s">
        <v>36</v>
      </c>
      <c r="Z21" t="str">
        <f t="shared" si="9"/>
        <v xml:space="preserve"> dailCompDescSpirit19=^pSpirit's Gift of DAIL</v>
      </c>
      <c r="AA21" t="str">
        <f t="shared" si="17"/>
        <v>dailCompTextSpirit19=^oThis feels warm to the touch, almost familiar ^w(This component fits into all Jewellery slots including the Belt And Shoulder)</v>
      </c>
      <c r="AB21" s="5" t="s">
        <v>36</v>
      </c>
      <c r="AH21">
        <f t="shared" si="19"/>
        <v>16</v>
      </c>
      <c r="AI21">
        <f t="shared" si="13"/>
        <v>25</v>
      </c>
      <c r="AJ21">
        <f t="shared" si="18"/>
        <v>1</v>
      </c>
    </row>
    <row r="22" spans="1:36" x14ac:dyDescent="0.25">
      <c r="A22" s="5" t="s">
        <v>39</v>
      </c>
      <c r="B22" s="5" t="s">
        <v>28</v>
      </c>
      <c r="C22" s="5" t="str">
        <f t="shared" si="0"/>
        <v>description,dailCompDescSpirit20,</v>
      </c>
      <c r="D22" s="5" t="str">
        <f t="shared" si="2"/>
        <v>itemText,dailCompTextSpirit20,</v>
      </c>
      <c r="E22" s="5" t="str">
        <f t="shared" si="14"/>
        <v>augmentSkillLevel1,1,</v>
      </c>
      <c r="F22" s="5" t="str">
        <f t="shared" si="15"/>
        <v>augmentSkillName1,records/skillsspirit/wraithlordsummons.dbr,,</v>
      </c>
      <c r="G22" s="7">
        <f t="shared" si="10"/>
        <v>20</v>
      </c>
      <c r="H22" s="8" t="str">
        <f t="shared" si="11"/>
        <v>Spirit</v>
      </c>
      <c r="I22" s="3" t="s">
        <v>634</v>
      </c>
      <c r="J22" s="8" t="str">
        <f t="shared" si="20"/>
        <v>class0018</v>
      </c>
      <c r="K22" s="8" t="str">
        <f t="shared" si="20"/>
        <v>dailoneskill0018</v>
      </c>
      <c r="L22" s="5" t="str">
        <f t="shared" si="4"/>
        <v>lootName20,DAIL/items/materia/class0018/Spirit20.dbr,</v>
      </c>
      <c r="M22" s="5" t="str">
        <f t="shared" si="5"/>
        <v>lootWeight20,1,</v>
      </c>
      <c r="N22" t="str">
        <f t="shared" si="6"/>
        <v>1</v>
      </c>
      <c r="O22" t="str">
        <f t="shared" si="16"/>
        <v>copy .\dail_base.dbr .\items\materia\class0018\Spirit20.dbr /y</v>
      </c>
      <c r="P22" t="str">
        <f t="shared" si="7"/>
        <v>echo relicBitmap,items/craftingparts/components/component_a52_bristlyfur_b.tex, &gt;&gt; .\items\materia\class0018\Spirit20.dbr</v>
      </c>
      <c r="Q22" t="str">
        <f t="shared" si="7"/>
        <v>echo itemCost,300000, &gt;&gt; .\items\materia\class0018\Spirit20.dbr</v>
      </c>
      <c r="R22" t="str">
        <f t="shared" si="7"/>
        <v>echo description,dailCompDescSpirit20, &gt;&gt; .\items\materia\class0018\Spirit20.dbr</v>
      </c>
      <c r="S22" t="str">
        <f t="shared" si="7"/>
        <v>echo itemText,dailCompTextSpirit20, &gt;&gt; .\items\materia\class0018\Spirit20.dbr</v>
      </c>
      <c r="T22" t="str">
        <f t="shared" si="7"/>
        <v>echo augmentSkillLevel1,1, &gt;&gt; .\items\materia\class0018\Spirit20.dbr</v>
      </c>
      <c r="U22" t="str">
        <f t="shared" si="7"/>
        <v>echo augmentSkillName1,records/skillsspirit/wraithlordsummons.dbr,, &gt;&gt; .\items\materia\class0018\Spirit20.dbr</v>
      </c>
      <c r="V22" s="5" t="s">
        <v>36</v>
      </c>
      <c r="W22" t="str">
        <f t="shared" si="8"/>
        <v>echo lootName20,DAIL/items/materia/class0018/Spirit20.dbr, &gt;&gt; .\items\loottables\dailoneskill0018.dbr</v>
      </c>
      <c r="X22" t="str">
        <f t="shared" si="8"/>
        <v>echo lootWeight20,1, &gt;&gt; .\items\loottables\dailoneskill0018.dbr</v>
      </c>
      <c r="Y22" s="5" t="s">
        <v>36</v>
      </c>
      <c r="Z22" t="str">
        <f t="shared" si="9"/>
        <v xml:space="preserve"> dailCompDescSpirit20=^pSpirit's Gift of DAIL</v>
      </c>
      <c r="AA22" t="str">
        <f t="shared" si="17"/>
        <v>dailCompTextSpirit20=^oThis feels warm to the touch, almost familiar ^w(This component fits into all Jewellery slots including the Belt And Shoulder)</v>
      </c>
      <c r="AB22" s="5" t="s">
        <v>36</v>
      </c>
      <c r="AH22">
        <f t="shared" si="19"/>
        <v>17</v>
      </c>
      <c r="AI22">
        <f t="shared" si="13"/>
        <v>29</v>
      </c>
      <c r="AJ22">
        <f t="shared" si="18"/>
        <v>1</v>
      </c>
    </row>
    <row r="23" spans="1:36" x14ac:dyDescent="0.25">
      <c r="A23" s="5" t="s">
        <v>39</v>
      </c>
      <c r="B23" s="5" t="s">
        <v>28</v>
      </c>
      <c r="C23" s="5" t="str">
        <f t="shared" si="0"/>
        <v>description,dailCompDescSpirit21,</v>
      </c>
      <c r="D23" s="5" t="str">
        <f t="shared" si="2"/>
        <v>itemText,dailCompTextSpirit21,</v>
      </c>
      <c r="E23" s="5" t="str">
        <f t="shared" si="14"/>
        <v>augmentSkillLevel1,1,</v>
      </c>
      <c r="F23" s="5" t="str">
        <f t="shared" si="15"/>
        <v>augmentSkillName1,records/skillsspirit/wraithlord_petmodifier_deathnova.dbr,,</v>
      </c>
      <c r="G23" s="7">
        <f t="shared" si="10"/>
        <v>21</v>
      </c>
      <c r="H23" s="8" t="str">
        <f t="shared" si="11"/>
        <v>Spirit</v>
      </c>
      <c r="I23" s="3" t="s">
        <v>635</v>
      </c>
      <c r="J23" s="8" t="str">
        <f t="shared" si="20"/>
        <v>class0018</v>
      </c>
      <c r="K23" s="8" t="str">
        <f t="shared" si="20"/>
        <v>dailoneskill0018</v>
      </c>
      <c r="L23" s="5" t="str">
        <f t="shared" si="4"/>
        <v>lootName21,DAIL/items/materia/class0018/Spirit21.dbr,</v>
      </c>
      <c r="M23" s="5" t="str">
        <f t="shared" si="5"/>
        <v>lootWeight21,1,</v>
      </c>
      <c r="N23" t="str">
        <f t="shared" si="6"/>
        <v>1</v>
      </c>
      <c r="O23" t="str">
        <f t="shared" si="16"/>
        <v>copy .\dail_base.dbr .\items\materia\class0018\Spirit21.dbr /y</v>
      </c>
      <c r="P23" t="str">
        <f t="shared" si="7"/>
        <v>echo relicBitmap,items/craftingparts/components/component_a52_bristlyfur_b.tex, &gt;&gt; .\items\materia\class0018\Spirit21.dbr</v>
      </c>
      <c r="Q23" t="str">
        <f t="shared" si="7"/>
        <v>echo itemCost,300000, &gt;&gt; .\items\materia\class0018\Spirit21.dbr</v>
      </c>
      <c r="R23" t="str">
        <f t="shared" si="7"/>
        <v>echo description,dailCompDescSpirit21, &gt;&gt; .\items\materia\class0018\Spirit21.dbr</v>
      </c>
      <c r="S23" t="str">
        <f t="shared" si="7"/>
        <v>echo itemText,dailCompTextSpirit21, &gt;&gt; .\items\materia\class0018\Spirit21.dbr</v>
      </c>
      <c r="T23" t="str">
        <f t="shared" si="7"/>
        <v>echo augmentSkillLevel1,1, &gt;&gt; .\items\materia\class0018\Spirit21.dbr</v>
      </c>
      <c r="U23" t="str">
        <f t="shared" si="7"/>
        <v>echo augmentSkillName1,records/skillsspirit/wraithlord_petmodifier_deathnova.dbr,, &gt;&gt; .\items\materia\class0018\Spirit21.dbr</v>
      </c>
      <c r="V23" s="5" t="s">
        <v>36</v>
      </c>
      <c r="W23" t="str">
        <f t="shared" si="8"/>
        <v>echo lootName21,DAIL/items/materia/class0018/Spirit21.dbr, &gt;&gt; .\items\loottables\dailoneskill0018.dbr</v>
      </c>
      <c r="X23" t="str">
        <f t="shared" si="8"/>
        <v>echo lootWeight21,1, &gt;&gt; .\items\loottables\dailoneskill0018.dbr</v>
      </c>
      <c r="Y23" s="5" t="s">
        <v>36</v>
      </c>
      <c r="Z23" t="str">
        <f t="shared" si="9"/>
        <v xml:space="preserve"> dailCompDescSpirit21=^pSpirit's Gift of DAIL</v>
      </c>
      <c r="AA23" t="str">
        <f t="shared" si="17"/>
        <v>dailCompTextSpirit21=^oThis feels warm to the touch, almost familiar ^w(This component fits into all Jewellery slots including the Belt And Shoulder)</v>
      </c>
      <c r="AB23" s="5" t="s">
        <v>36</v>
      </c>
      <c r="AH23">
        <f t="shared" si="19"/>
        <v>18</v>
      </c>
      <c r="AI23">
        <f t="shared" si="13"/>
        <v>44</v>
      </c>
      <c r="AJ23">
        <f t="shared" si="18"/>
        <v>1</v>
      </c>
    </row>
    <row r="24" spans="1:36" x14ac:dyDescent="0.25">
      <c r="A24" s="5" t="s">
        <v>39</v>
      </c>
      <c r="B24" s="5" t="s">
        <v>28</v>
      </c>
      <c r="C24" s="5" t="str">
        <f t="shared" si="0"/>
        <v>description,dailCompDescSpirit22,</v>
      </c>
      <c r="D24" s="5" t="str">
        <f t="shared" si="2"/>
        <v>itemText,dailCompTextSpirit22,</v>
      </c>
      <c r="E24" s="5" t="str">
        <f t="shared" si="14"/>
        <v>augmentSkillLevel1,1,</v>
      </c>
      <c r="F24" s="5" t="str">
        <f t="shared" si="15"/>
        <v>augmentSkillName1,records/skillsspirit/wraithlord_petmodifier_wraithshell.dbr,,</v>
      </c>
      <c r="G24" s="7">
        <f t="shared" si="10"/>
        <v>22</v>
      </c>
      <c r="H24" s="8" t="str">
        <f t="shared" si="11"/>
        <v>Spirit</v>
      </c>
      <c r="I24" s="3" t="s">
        <v>636</v>
      </c>
      <c r="J24" s="8" t="str">
        <f t="shared" si="20"/>
        <v>class0018</v>
      </c>
      <c r="K24" s="8" t="str">
        <f t="shared" si="20"/>
        <v>dailoneskill0018</v>
      </c>
      <c r="L24" s="5" t="str">
        <f t="shared" si="4"/>
        <v>lootName22,DAIL/items/materia/class0018/Spirit22.dbr,</v>
      </c>
      <c r="M24" s="5" t="str">
        <f t="shared" si="5"/>
        <v>lootWeight22,1,</v>
      </c>
      <c r="N24" t="str">
        <f t="shared" si="6"/>
        <v>1</v>
      </c>
      <c r="O24" t="str">
        <f t="shared" si="16"/>
        <v>copy .\dail_base.dbr .\items\materia\class0018\Spirit22.dbr /y</v>
      </c>
      <c r="P24" t="str">
        <f t="shared" si="7"/>
        <v>echo relicBitmap,items/craftingparts/components/component_a52_bristlyfur_b.tex, &gt;&gt; .\items\materia\class0018\Spirit22.dbr</v>
      </c>
      <c r="Q24" t="str">
        <f t="shared" si="7"/>
        <v>echo itemCost,300000, &gt;&gt; .\items\materia\class0018\Spirit22.dbr</v>
      </c>
      <c r="R24" t="str">
        <f t="shared" si="7"/>
        <v>echo description,dailCompDescSpirit22, &gt;&gt; .\items\materia\class0018\Spirit22.dbr</v>
      </c>
      <c r="S24" t="str">
        <f t="shared" si="7"/>
        <v>echo itemText,dailCompTextSpirit22, &gt;&gt; .\items\materia\class0018\Spirit22.dbr</v>
      </c>
      <c r="T24" t="str">
        <f t="shared" si="7"/>
        <v>echo augmentSkillLevel1,1, &gt;&gt; .\items\materia\class0018\Spirit22.dbr</v>
      </c>
      <c r="U24" t="str">
        <f t="shared" si="7"/>
        <v>echo augmentSkillName1,records/skillsspirit/wraithlord_petmodifier_wraithshell.dbr,, &gt;&gt; .\items\materia\class0018\Spirit22.dbr</v>
      </c>
      <c r="V24" s="5" t="s">
        <v>36</v>
      </c>
      <c r="W24" t="str">
        <f t="shared" si="8"/>
        <v>echo lootName22,DAIL/items/materia/class0018/Spirit22.dbr, &gt;&gt; .\items\loottables\dailoneskill0018.dbr</v>
      </c>
      <c r="X24" t="str">
        <f t="shared" si="8"/>
        <v>echo lootWeight22,1, &gt;&gt; .\items\loottables\dailoneskill0018.dbr</v>
      </c>
      <c r="Y24" s="5" t="s">
        <v>36</v>
      </c>
      <c r="Z24" t="str">
        <f t="shared" si="9"/>
        <v xml:space="preserve"> dailCompDescSpirit22=^pSpirit's Gift of DAIL</v>
      </c>
      <c r="AA24" t="str">
        <f t="shared" si="17"/>
        <v>dailCompTextSpirit22=^oThis feels warm to the touch, almost familiar ^w(This component fits into all Jewellery slots including the Belt And Shoulder)</v>
      </c>
      <c r="AB24" s="5" t="s">
        <v>36</v>
      </c>
      <c r="AH24">
        <f t="shared" si="19"/>
        <v>19</v>
      </c>
      <c r="AI24">
        <f t="shared" si="13"/>
        <v>46</v>
      </c>
      <c r="AJ24">
        <f t="shared" si="18"/>
        <v>1</v>
      </c>
    </row>
    <row r="25" spans="1:36" x14ac:dyDescent="0.25">
      <c r="A25" s="5" t="s">
        <v>39</v>
      </c>
      <c r="B25" s="5" t="s">
        <v>28</v>
      </c>
      <c r="C25" s="5" t="str">
        <f t="shared" si="0"/>
        <v>description,dailCompDescSpirit23,</v>
      </c>
      <c r="D25" s="5" t="str">
        <f t="shared" si="2"/>
        <v>itemText,dailCompTextSpirit23,</v>
      </c>
      <c r="E25" s="5" t="str">
        <f t="shared" si="14"/>
        <v>augmentSkillLevel1,3,</v>
      </c>
      <c r="F25" s="5" t="str">
        <f t="shared" si="15"/>
        <v>augmentSkillName1,records/skillsspirit/wraithlord_petmodifier_arcaneblast.dbr,,</v>
      </c>
      <c r="G25" s="7">
        <f t="shared" si="10"/>
        <v>23</v>
      </c>
      <c r="H25" s="8" t="str">
        <f t="shared" si="11"/>
        <v>Spirit</v>
      </c>
      <c r="I25" s="3" t="s">
        <v>637</v>
      </c>
      <c r="J25" s="8" t="str">
        <f t="shared" si="20"/>
        <v>class0018</v>
      </c>
      <c r="K25" s="8" t="str">
        <f t="shared" si="20"/>
        <v>dailoneskill0018</v>
      </c>
      <c r="L25" s="5" t="str">
        <f t="shared" si="4"/>
        <v>lootName23,DAIL/items/materia/class0018/Spirit23.dbr,</v>
      </c>
      <c r="M25" s="5" t="str">
        <f t="shared" si="5"/>
        <v>lootWeight23,1,</v>
      </c>
      <c r="N25" t="str">
        <f t="shared" si="6"/>
        <v>3</v>
      </c>
      <c r="O25" t="str">
        <f t="shared" si="16"/>
        <v>copy .\dail_base3.dbr .\items\materia\class0018\Spirit23.dbr /y</v>
      </c>
      <c r="P25" t="str">
        <f t="shared" si="7"/>
        <v>echo relicBitmap,items/craftingparts/components/component_a52_bristlyfur_b.tex, &gt;&gt; .\items\materia\class0018\Spirit23.dbr</v>
      </c>
      <c r="Q25" t="str">
        <f t="shared" si="7"/>
        <v>echo itemCost,300000, &gt;&gt; .\items\materia\class0018\Spirit23.dbr</v>
      </c>
      <c r="R25" t="str">
        <f t="shared" si="7"/>
        <v>echo description,dailCompDescSpirit23, &gt;&gt; .\items\materia\class0018\Spirit23.dbr</v>
      </c>
      <c r="S25" t="str">
        <f t="shared" si="7"/>
        <v>echo itemText,dailCompTextSpirit23, &gt;&gt; .\items\materia\class0018\Spirit23.dbr</v>
      </c>
      <c r="T25" t="str">
        <f t="shared" si="7"/>
        <v>echo augmentSkillLevel1,3, &gt;&gt; .\items\materia\class0018\Spirit23.dbr</v>
      </c>
      <c r="U25" t="str">
        <f t="shared" si="7"/>
        <v>echo augmentSkillName1,records/skillsspirit/wraithlord_petmodifier_arcaneblast.dbr,, &gt;&gt; .\items\materia\class0018\Spirit23.dbr</v>
      </c>
      <c r="V25" s="5" t="s">
        <v>36</v>
      </c>
      <c r="W25" t="str">
        <f t="shared" si="8"/>
        <v>echo lootName23,DAIL/items/materia/class0018/Spirit23.dbr, &gt;&gt; .\items\loottables\dailoneskill0018.dbr</v>
      </c>
      <c r="X25" t="str">
        <f t="shared" si="8"/>
        <v>echo lootWeight23,1, &gt;&gt; .\items\loottables\dailoneskill0018.dbr</v>
      </c>
      <c r="Y25" s="5" t="s">
        <v>36</v>
      </c>
      <c r="Z25" t="str">
        <f t="shared" si="9"/>
        <v xml:space="preserve"> dailCompDescSpirit23=^pSpirit's Gift of DAIL</v>
      </c>
      <c r="AA25" t="str">
        <f t="shared" si="17"/>
        <v>dailCompTextSpirit23=^oThis feels warm to the touch, almost familiar ^w(This component only fits into the Medal Slot)</v>
      </c>
      <c r="AB25" s="5" t="s">
        <v>36</v>
      </c>
      <c r="AH25">
        <f t="shared" si="19"/>
        <v>20</v>
      </c>
      <c r="AI25">
        <f t="shared" si="13"/>
        <v>46</v>
      </c>
      <c r="AJ25">
        <f t="shared" si="18"/>
        <v>3</v>
      </c>
    </row>
    <row r="26" spans="1:36" x14ac:dyDescent="0.25">
      <c r="A26" s="5" t="s">
        <v>39</v>
      </c>
      <c r="B26" s="5" t="s">
        <v>28</v>
      </c>
      <c r="C26" s="5" t="str">
        <f t="shared" si="0"/>
        <v>description,dailCompDescSpirit24,</v>
      </c>
      <c r="D26" s="5" t="str">
        <f t="shared" si="2"/>
        <v>itemText,dailCompTextSpirit24,</v>
      </c>
      <c r="E26" s="5" t="str">
        <f t="shared" si="14"/>
        <v>augmentSkillLevel1,3,</v>
      </c>
      <c r="F26" s="5" t="str">
        <f t="shared" si="15"/>
        <v>augmentSkillName1,records/skillsspirit/visionofdeath.dbr,,</v>
      </c>
      <c r="G26" s="7">
        <f t="shared" si="10"/>
        <v>24</v>
      </c>
      <c r="H26" s="8" t="str">
        <f t="shared" si="11"/>
        <v>Spirit</v>
      </c>
      <c r="I26" s="3" t="s">
        <v>618</v>
      </c>
      <c r="J26" s="8" t="str">
        <f t="shared" si="20"/>
        <v>class0018</v>
      </c>
      <c r="K26" s="8" t="str">
        <f t="shared" si="20"/>
        <v>dailoneskill0018</v>
      </c>
      <c r="L26" s="5" t="str">
        <f t="shared" si="4"/>
        <v>lootName24,DAIL/items/materia/class0018/Spirit24.dbr,</v>
      </c>
      <c r="M26" s="5" t="str">
        <f t="shared" si="5"/>
        <v>lootWeight24,1,</v>
      </c>
      <c r="N26" t="str">
        <f t="shared" si="6"/>
        <v>3</v>
      </c>
      <c r="O26" t="str">
        <f t="shared" si="16"/>
        <v>copy .\dail_base3.dbr .\items\materia\class0018\Spirit24.dbr /y</v>
      </c>
      <c r="P26" t="str">
        <f t="shared" si="7"/>
        <v>echo relicBitmap,items/craftingparts/components/component_a52_bristlyfur_b.tex, &gt;&gt; .\items\materia\class0018\Spirit24.dbr</v>
      </c>
      <c r="Q26" t="str">
        <f t="shared" si="7"/>
        <v>echo itemCost,300000, &gt;&gt; .\items\materia\class0018\Spirit24.dbr</v>
      </c>
      <c r="R26" t="str">
        <f t="shared" si="7"/>
        <v>echo description,dailCompDescSpirit24, &gt;&gt; .\items\materia\class0018\Spirit24.dbr</v>
      </c>
      <c r="S26" t="str">
        <f t="shared" si="7"/>
        <v>echo itemText,dailCompTextSpirit24, &gt;&gt; .\items\materia\class0018\Spirit24.dbr</v>
      </c>
      <c r="T26" t="str">
        <f t="shared" si="7"/>
        <v>echo augmentSkillLevel1,3, &gt;&gt; .\items\materia\class0018\Spirit24.dbr</v>
      </c>
      <c r="U26" t="str">
        <f t="shared" si="7"/>
        <v>echo augmentSkillName1,records/skillsspirit/visionofdeath.dbr,, &gt;&gt; .\items\materia\class0018\Spirit24.dbr</v>
      </c>
      <c r="V26" s="5" t="s">
        <v>36</v>
      </c>
      <c r="W26" t="str">
        <f t="shared" si="8"/>
        <v>echo lootName24,DAIL/items/materia/class0018/Spirit24.dbr, &gt;&gt; .\items\loottables\dailoneskill0018.dbr</v>
      </c>
      <c r="X26" t="str">
        <f t="shared" si="8"/>
        <v>echo lootWeight24,1, &gt;&gt; .\items\loottables\dailoneskill0018.dbr</v>
      </c>
      <c r="Y26" s="5" t="s">
        <v>36</v>
      </c>
      <c r="Z26" t="str">
        <f t="shared" si="9"/>
        <v xml:space="preserve"> dailCompDescSpirit24=^pSpirit's Gift of DAIL</v>
      </c>
      <c r="AA26" t="str">
        <f t="shared" si="17"/>
        <v>dailCompTextSpirit24=^oThis feels warm to the touch, almost familiar ^w(This component only fits into the Medal Slot)</v>
      </c>
      <c r="AB26" s="5" t="s">
        <v>36</v>
      </c>
      <c r="AH26">
        <f t="shared" si="19"/>
        <v>21</v>
      </c>
      <c r="AI26">
        <f t="shared" si="13"/>
        <v>25</v>
      </c>
      <c r="AJ26">
        <f t="shared" si="18"/>
        <v>3</v>
      </c>
    </row>
    <row r="27" spans="1:36" x14ac:dyDescent="0.25">
      <c r="A27" s="5" t="s">
        <v>39</v>
      </c>
      <c r="B27" s="5" t="s">
        <v>28</v>
      </c>
      <c r="C27" s="5" t="str">
        <f t="shared" si="0"/>
        <v>description,dailCompDescSpirit25,</v>
      </c>
      <c r="D27" s="5" t="str">
        <f t="shared" si="2"/>
        <v>itemText,dailCompTextSpirit25,</v>
      </c>
      <c r="E27" s="5" t="str">
        <f t="shared" si="14"/>
        <v>augmentSkillLevel1,3,</v>
      </c>
      <c r="F27" s="5" t="str">
        <f t="shared" si="15"/>
        <v>augmentSkillName1,records/skillsspirit/deathward.dbr,,</v>
      </c>
      <c r="G27" s="7">
        <f t="shared" si="10"/>
        <v>25</v>
      </c>
      <c r="H27" s="8" t="str">
        <f t="shared" si="11"/>
        <v>Spirit</v>
      </c>
      <c r="I27" s="3" t="s">
        <v>619</v>
      </c>
      <c r="J27" s="8" t="str">
        <f t="shared" si="20"/>
        <v>class0018</v>
      </c>
      <c r="K27" s="8" t="str">
        <f t="shared" si="20"/>
        <v>dailoneskill0018</v>
      </c>
      <c r="L27" s="5" t="str">
        <f t="shared" si="4"/>
        <v>lootName25,DAIL/items/materia/class0018/Spirit25.dbr,</v>
      </c>
      <c r="M27" s="5" t="str">
        <f t="shared" si="5"/>
        <v>lootWeight25,1,</v>
      </c>
      <c r="N27" t="str">
        <f t="shared" si="6"/>
        <v>3</v>
      </c>
      <c r="O27" t="str">
        <f t="shared" si="16"/>
        <v>copy .\dail_base3.dbr .\items\materia\class0018\Spirit25.dbr /y</v>
      </c>
      <c r="P27" t="str">
        <f t="shared" si="7"/>
        <v>echo relicBitmap,items/craftingparts/components/component_a52_bristlyfur_b.tex, &gt;&gt; .\items\materia\class0018\Spirit25.dbr</v>
      </c>
      <c r="Q27" t="str">
        <f t="shared" si="7"/>
        <v>echo itemCost,300000, &gt;&gt; .\items\materia\class0018\Spirit25.dbr</v>
      </c>
      <c r="R27" t="str">
        <f t="shared" si="7"/>
        <v>echo description,dailCompDescSpirit25, &gt;&gt; .\items\materia\class0018\Spirit25.dbr</v>
      </c>
      <c r="S27" t="str">
        <f t="shared" si="7"/>
        <v>echo itemText,dailCompTextSpirit25, &gt;&gt; .\items\materia\class0018\Spirit25.dbr</v>
      </c>
      <c r="T27" t="str">
        <f t="shared" si="7"/>
        <v>echo augmentSkillLevel1,3, &gt;&gt; .\items\materia\class0018\Spirit25.dbr</v>
      </c>
      <c r="U27" t="str">
        <f t="shared" si="7"/>
        <v>echo augmentSkillName1,records/skillsspirit/deathward.dbr,, &gt;&gt; .\items\materia\class0018\Spirit25.dbr</v>
      </c>
      <c r="V27" s="5" t="s">
        <v>36</v>
      </c>
      <c r="W27" t="str">
        <f t="shared" si="8"/>
        <v>echo lootName25,DAIL/items/materia/class0018/Spirit25.dbr, &gt;&gt; .\items\loottables\dailoneskill0018.dbr</v>
      </c>
      <c r="X27" t="str">
        <f t="shared" si="8"/>
        <v>echo lootWeight25,1, &gt;&gt; .\items\loottables\dailoneskill0018.dbr</v>
      </c>
      <c r="Y27" s="5" t="s">
        <v>36</v>
      </c>
      <c r="Z27" t="str">
        <f t="shared" si="9"/>
        <v xml:space="preserve"> dailCompDescSpirit25=^pSpirit's Gift of DAIL</v>
      </c>
      <c r="AA27" t="str">
        <f t="shared" si="17"/>
        <v>dailCompTextSpirit25=^oThis feels warm to the touch, almost familiar ^w(This component only fits into the Medal Slot)</v>
      </c>
      <c r="AB27" s="5" t="s">
        <v>36</v>
      </c>
      <c r="AH27">
        <f t="shared" si="19"/>
        <v>22</v>
      </c>
      <c r="AI27">
        <f t="shared" si="13"/>
        <v>21</v>
      </c>
      <c r="AJ27">
        <f t="shared" si="18"/>
        <v>3</v>
      </c>
    </row>
    <row r="28" spans="1:36" x14ac:dyDescent="0.25">
      <c r="A28" s="5" t="s">
        <v>39</v>
      </c>
      <c r="B28" s="5" t="s">
        <v>28</v>
      </c>
      <c r="C28" s="5" t="str">
        <f t="shared" si="0"/>
        <v>description,dailCompDescSpirit26,</v>
      </c>
      <c r="D28" s="5" t="str">
        <f t="shared" si="2"/>
        <v>itemText,dailCompTextSpirit26,</v>
      </c>
      <c r="E28" s="5" t="str">
        <f t="shared" si="14"/>
        <v>augmentSkillLevel1,3,</v>
      </c>
      <c r="F28" s="5" t="str">
        <f t="shared" si="15"/>
        <v>augmentSkillName1,records/skillsspirit/deathchillaura.dbr,,</v>
      </c>
      <c r="G28" s="7">
        <f t="shared" si="10"/>
        <v>26</v>
      </c>
      <c r="H28" s="8" t="str">
        <f t="shared" si="11"/>
        <v>Spirit</v>
      </c>
      <c r="I28" s="3" t="s">
        <v>620</v>
      </c>
      <c r="J28" s="8" t="str">
        <f t="shared" si="20"/>
        <v>class0018</v>
      </c>
      <c r="K28" s="8" t="str">
        <f t="shared" si="20"/>
        <v>dailoneskill0018</v>
      </c>
      <c r="L28" s="5" t="str">
        <f t="shared" si="4"/>
        <v>lootName26,DAIL/items/materia/class0018/Spirit26.dbr,</v>
      </c>
      <c r="M28" s="5" t="str">
        <f t="shared" si="5"/>
        <v>lootWeight26,1,</v>
      </c>
      <c r="N28" t="str">
        <f t="shared" si="6"/>
        <v>3</v>
      </c>
      <c r="O28" t="str">
        <f t="shared" si="16"/>
        <v>copy .\dail_base3.dbr .\items\materia\class0018\Spirit26.dbr /y</v>
      </c>
      <c r="P28" t="str">
        <f t="shared" si="7"/>
        <v>echo relicBitmap,items/craftingparts/components/component_a52_bristlyfur_b.tex, &gt;&gt; .\items\materia\class0018\Spirit26.dbr</v>
      </c>
      <c r="Q28" t="str">
        <f t="shared" si="7"/>
        <v>echo itemCost,300000, &gt;&gt; .\items\materia\class0018\Spirit26.dbr</v>
      </c>
      <c r="R28" t="str">
        <f t="shared" si="7"/>
        <v>echo description,dailCompDescSpirit26, &gt;&gt; .\items\materia\class0018\Spirit26.dbr</v>
      </c>
      <c r="S28" t="str">
        <f t="shared" si="7"/>
        <v>echo itemText,dailCompTextSpirit26, &gt;&gt; .\items\materia\class0018\Spirit26.dbr</v>
      </c>
      <c r="T28" t="str">
        <f t="shared" si="7"/>
        <v>echo augmentSkillLevel1,3, &gt;&gt; .\items\materia\class0018\Spirit26.dbr</v>
      </c>
      <c r="U28" t="str">
        <f t="shared" si="7"/>
        <v>echo augmentSkillName1,records/skillsspirit/deathchillaura.dbr,, &gt;&gt; .\items\materia\class0018\Spirit26.dbr</v>
      </c>
      <c r="V28" s="5" t="s">
        <v>36</v>
      </c>
      <c r="W28" t="str">
        <f t="shared" si="8"/>
        <v>echo lootName26,DAIL/items/materia/class0018/Spirit26.dbr, &gt;&gt; .\items\loottables\dailoneskill0018.dbr</v>
      </c>
      <c r="X28" t="str">
        <f t="shared" si="8"/>
        <v>echo lootWeight26,1, &gt;&gt; .\items\loottables\dailoneskill0018.dbr</v>
      </c>
      <c r="Y28" s="5" t="s">
        <v>36</v>
      </c>
      <c r="Z28" t="str">
        <f t="shared" si="9"/>
        <v xml:space="preserve"> dailCompDescSpirit26=^pSpirit's Gift of DAIL</v>
      </c>
      <c r="AA28" t="str">
        <f t="shared" si="17"/>
        <v>dailCompTextSpirit26=^oThis feels warm to the touch, almost familiar ^w(This component only fits into the Medal Slot)</v>
      </c>
      <c r="AB28" s="5" t="s">
        <v>36</v>
      </c>
      <c r="AH28">
        <f t="shared" si="19"/>
        <v>23</v>
      </c>
      <c r="AI28">
        <f t="shared" si="13"/>
        <v>26</v>
      </c>
      <c r="AJ28">
        <f t="shared" si="18"/>
        <v>3</v>
      </c>
    </row>
    <row r="29" spans="1:36" x14ac:dyDescent="0.25">
      <c r="A29" s="5" t="s">
        <v>39</v>
      </c>
      <c r="B29" s="5" t="s">
        <v>28</v>
      </c>
      <c r="C29" s="5" t="str">
        <f t="shared" si="0"/>
        <v>description,dailCompDescSpirit27,</v>
      </c>
      <c r="D29" s="5" t="str">
        <f t="shared" si="2"/>
        <v>itemText,dailCompTextSpirit27,</v>
      </c>
      <c r="E29" s="5" t="str">
        <f t="shared" si="14"/>
        <v>augmentSkillLevel1,3,</v>
      </c>
      <c r="F29" s="5" t="str">
        <f t="shared" si="15"/>
        <v>augmentSkillName1,records/skillsspirit/deathchillaura_ravagesoftime.dbr,,</v>
      </c>
      <c r="G29" s="7">
        <f t="shared" si="10"/>
        <v>27</v>
      </c>
      <c r="H29" s="8" t="str">
        <f t="shared" si="11"/>
        <v>Spirit</v>
      </c>
      <c r="I29" s="3" t="s">
        <v>621</v>
      </c>
      <c r="J29" s="8" t="str">
        <f t="shared" si="20"/>
        <v>class0018</v>
      </c>
      <c r="K29" s="8" t="str">
        <f t="shared" si="20"/>
        <v>dailoneskill0018</v>
      </c>
      <c r="L29" s="5" t="str">
        <f t="shared" si="4"/>
        <v>lootName27,DAIL/items/materia/class0018/Spirit27.dbr,</v>
      </c>
      <c r="M29" s="5" t="str">
        <f t="shared" si="5"/>
        <v>lootWeight27,1,</v>
      </c>
      <c r="N29" t="str">
        <f t="shared" si="6"/>
        <v>3</v>
      </c>
      <c r="O29" t="str">
        <f t="shared" si="16"/>
        <v>copy .\dail_base3.dbr .\items\materia\class0018\Spirit27.dbr /y</v>
      </c>
      <c r="P29" t="str">
        <f t="shared" si="7"/>
        <v>echo relicBitmap,items/craftingparts/components/component_a52_bristlyfur_b.tex, &gt;&gt; .\items\materia\class0018\Spirit27.dbr</v>
      </c>
      <c r="Q29" t="str">
        <f t="shared" si="7"/>
        <v>echo itemCost,300000, &gt;&gt; .\items\materia\class0018\Spirit27.dbr</v>
      </c>
      <c r="R29" t="str">
        <f t="shared" si="7"/>
        <v>echo description,dailCompDescSpirit27, &gt;&gt; .\items\materia\class0018\Spirit27.dbr</v>
      </c>
      <c r="S29" t="str">
        <f t="shared" si="7"/>
        <v>echo itemText,dailCompTextSpirit27, &gt;&gt; .\items\materia\class0018\Spirit27.dbr</v>
      </c>
      <c r="T29" t="str">
        <f t="shared" si="7"/>
        <v>echo augmentSkillLevel1,3, &gt;&gt; .\items\materia\class0018\Spirit27.dbr</v>
      </c>
      <c r="U29" t="str">
        <f t="shared" si="7"/>
        <v>echo augmentSkillName1,records/skillsspirit/deathchillaura_ravagesoftime.dbr,, &gt;&gt; .\items\materia\class0018\Spirit27.dbr</v>
      </c>
      <c r="V29" s="5" t="s">
        <v>36</v>
      </c>
      <c r="W29" t="str">
        <f t="shared" si="8"/>
        <v>echo lootName27,DAIL/items/materia/class0018/Spirit27.dbr, &gt;&gt; .\items\loottables\dailoneskill0018.dbr</v>
      </c>
      <c r="X29" t="str">
        <f t="shared" si="8"/>
        <v>echo lootWeight27,1, &gt;&gt; .\items\loottables\dailoneskill0018.dbr</v>
      </c>
      <c r="Y29" s="5" t="s">
        <v>36</v>
      </c>
      <c r="Z29" t="str">
        <f t="shared" si="9"/>
        <v xml:space="preserve"> dailCompDescSpirit27=^pSpirit's Gift of DAIL</v>
      </c>
      <c r="AA29" t="str">
        <f t="shared" si="17"/>
        <v>dailCompTextSpirit27=^oThis feels warm to the touch, almost familiar ^w(This component only fits into the Medal Slot)</v>
      </c>
      <c r="AB29" s="5" t="s">
        <v>36</v>
      </c>
      <c r="AH29">
        <f t="shared" si="19"/>
        <v>24</v>
      </c>
      <c r="AI29">
        <f t="shared" si="13"/>
        <v>40</v>
      </c>
      <c r="AJ29">
        <f t="shared" si="18"/>
        <v>3</v>
      </c>
    </row>
    <row r="30" spans="1:36" x14ac:dyDescent="0.25">
      <c r="A30" s="5" t="s">
        <v>39</v>
      </c>
      <c r="B30" s="5" t="s">
        <v>28</v>
      </c>
      <c r="C30" s="5" t="str">
        <f t="shared" si="0"/>
        <v>description,dailCompDescSpirit28,</v>
      </c>
      <c r="D30" s="5" t="str">
        <f t="shared" si="2"/>
        <v>itemText,dailCompTextSpirit28,</v>
      </c>
      <c r="E30" s="5" t="str">
        <f t="shared" si="14"/>
        <v>augmentSkillLevel1,3,</v>
      </c>
      <c r="F30" s="5" t="str">
        <f t="shared" si="15"/>
        <v>augmentSkillName1,records/skillsspirit/deathchillaura_necrosis.dbr,,</v>
      </c>
      <c r="G30" s="7">
        <f t="shared" si="10"/>
        <v>28</v>
      </c>
      <c r="H30" s="8" t="str">
        <f t="shared" si="11"/>
        <v>Spirit</v>
      </c>
      <c r="I30" s="3" t="s">
        <v>622</v>
      </c>
      <c r="J30" s="8" t="str">
        <f t="shared" si="20"/>
        <v>class0018</v>
      </c>
      <c r="K30" s="8" t="str">
        <f t="shared" si="20"/>
        <v>dailoneskill0018</v>
      </c>
      <c r="L30" s="5" t="str">
        <f t="shared" si="4"/>
        <v>lootName28,DAIL/items/materia/class0018/Spirit28.dbr,</v>
      </c>
      <c r="M30" s="5" t="str">
        <f t="shared" si="5"/>
        <v>lootWeight28,1,</v>
      </c>
      <c r="N30" t="str">
        <f t="shared" si="6"/>
        <v>3</v>
      </c>
      <c r="O30" t="str">
        <f t="shared" si="16"/>
        <v>copy .\dail_base3.dbr .\items\materia\class0018\Spirit28.dbr /y</v>
      </c>
      <c r="P30" t="str">
        <f t="shared" si="7"/>
        <v>echo relicBitmap,items/craftingparts/components/component_a52_bristlyfur_b.tex, &gt;&gt; .\items\materia\class0018\Spirit28.dbr</v>
      </c>
      <c r="Q30" t="str">
        <f t="shared" si="7"/>
        <v>echo itemCost,300000, &gt;&gt; .\items\materia\class0018\Spirit28.dbr</v>
      </c>
      <c r="R30" t="str">
        <f t="shared" si="7"/>
        <v>echo description,dailCompDescSpirit28, &gt;&gt; .\items\materia\class0018\Spirit28.dbr</v>
      </c>
      <c r="S30" t="str">
        <f t="shared" si="7"/>
        <v>echo itemText,dailCompTextSpirit28, &gt;&gt; .\items\materia\class0018\Spirit28.dbr</v>
      </c>
      <c r="T30" t="str">
        <f t="shared" si="7"/>
        <v>echo augmentSkillLevel1,3, &gt;&gt; .\items\materia\class0018\Spirit28.dbr</v>
      </c>
      <c r="U30" t="str">
        <f t="shared" si="7"/>
        <v>echo augmentSkillName1,records/skillsspirit/deathchillaura_necrosis.dbr,, &gt;&gt; .\items\materia\class0018\Spirit28.dbr</v>
      </c>
      <c r="V30" s="5" t="s">
        <v>36</v>
      </c>
      <c r="W30" t="str">
        <f t="shared" si="8"/>
        <v>echo lootName28,DAIL/items/materia/class0018/Spirit28.dbr, &gt;&gt; .\items\loottables\dailoneskill0018.dbr</v>
      </c>
      <c r="X30" t="str">
        <f t="shared" si="8"/>
        <v>echo lootWeight28,1, &gt;&gt; .\items\loottables\dailoneskill0018.dbr</v>
      </c>
      <c r="Y30" s="5" t="s">
        <v>36</v>
      </c>
      <c r="Z30" t="str">
        <f t="shared" si="9"/>
        <v xml:space="preserve"> dailCompDescSpirit28=^pSpirit's Gift of DAIL</v>
      </c>
      <c r="AA30" t="str">
        <f t="shared" si="17"/>
        <v>dailCompTextSpirit28=^oThis feels warm to the touch, almost familiar ^w(This component only fits into the Medal Slot)</v>
      </c>
      <c r="AB30" s="5" t="s">
        <v>36</v>
      </c>
      <c r="AH30">
        <f t="shared" si="19"/>
        <v>25</v>
      </c>
      <c r="AI30">
        <f t="shared" si="13"/>
        <v>35</v>
      </c>
      <c r="AJ30">
        <f t="shared" si="18"/>
        <v>3</v>
      </c>
    </row>
    <row r="31" spans="1:36" x14ac:dyDescent="0.25">
      <c r="A31" s="5" t="s">
        <v>39</v>
      </c>
      <c r="B31" s="5" t="s">
        <v>28</v>
      </c>
      <c r="C31" s="5" t="str">
        <f t="shared" si="0"/>
        <v>description,dailCompDescSpirit29,</v>
      </c>
      <c r="D31" s="5" t="str">
        <f t="shared" si="2"/>
        <v>itemText,dailCompTextSpirit29,</v>
      </c>
      <c r="E31" s="5" t="str">
        <f t="shared" si="14"/>
        <v>augmentSkillLevel1,3,</v>
      </c>
      <c r="F31" s="5" t="str">
        <f t="shared" si="15"/>
        <v>augmentSkillName1,records/skillsspirit/circleofpower.dbr,,</v>
      </c>
      <c r="G31" s="7">
        <f t="shared" si="10"/>
        <v>29</v>
      </c>
      <c r="H31" s="8" t="str">
        <f t="shared" si="11"/>
        <v>Spirit</v>
      </c>
      <c r="I31" s="3" t="s">
        <v>623</v>
      </c>
      <c r="J31" s="8" t="str">
        <f t="shared" si="20"/>
        <v>class0018</v>
      </c>
      <c r="K31" s="8" t="str">
        <f t="shared" si="20"/>
        <v>dailoneskill0018</v>
      </c>
      <c r="L31" s="5" t="str">
        <f t="shared" si="4"/>
        <v>lootName29,DAIL/items/materia/class0018/Spirit29.dbr,</v>
      </c>
      <c r="M31" s="5" t="str">
        <f t="shared" si="5"/>
        <v>lootWeight29,1,</v>
      </c>
      <c r="N31" t="str">
        <f t="shared" si="6"/>
        <v>3</v>
      </c>
      <c r="O31" t="str">
        <f t="shared" si="16"/>
        <v>copy .\dail_base3.dbr .\items\materia\class0018\Spirit29.dbr /y</v>
      </c>
      <c r="P31" t="str">
        <f t="shared" si="7"/>
        <v>echo relicBitmap,items/craftingparts/components/component_a52_bristlyfur_b.tex, &gt;&gt; .\items\materia\class0018\Spirit29.dbr</v>
      </c>
      <c r="Q31" t="str">
        <f t="shared" si="7"/>
        <v>echo itemCost,300000, &gt;&gt; .\items\materia\class0018\Spirit29.dbr</v>
      </c>
      <c r="R31" t="str">
        <f t="shared" si="7"/>
        <v>echo description,dailCompDescSpirit29, &gt;&gt; .\items\materia\class0018\Spirit29.dbr</v>
      </c>
      <c r="S31" t="str">
        <f t="shared" si="7"/>
        <v>echo itemText,dailCompTextSpirit29, &gt;&gt; .\items\materia\class0018\Spirit29.dbr</v>
      </c>
      <c r="T31" t="str">
        <f t="shared" si="7"/>
        <v>echo augmentSkillLevel1,3, &gt;&gt; .\items\materia\class0018\Spirit29.dbr</v>
      </c>
      <c r="U31" t="str">
        <f t="shared" si="7"/>
        <v>echo augmentSkillName1,records/skillsspirit/circleofpower.dbr,, &gt;&gt; .\items\materia\class0018\Spirit29.dbr</v>
      </c>
      <c r="V31" s="5" t="s">
        <v>36</v>
      </c>
      <c r="W31" t="str">
        <f t="shared" si="8"/>
        <v>echo lootName29,DAIL/items/materia/class0018/Spirit29.dbr, &gt;&gt; .\items\loottables\dailoneskill0018.dbr</v>
      </c>
      <c r="X31" t="str">
        <f t="shared" si="8"/>
        <v>echo lootWeight29,1, &gt;&gt; .\items\loottables\dailoneskill0018.dbr</v>
      </c>
      <c r="Y31" s="5" t="s">
        <v>36</v>
      </c>
      <c r="Z31" t="str">
        <f t="shared" si="9"/>
        <v xml:space="preserve"> dailCompDescSpirit29=^pSpirit's Gift of DAIL</v>
      </c>
      <c r="AA31" t="str">
        <f t="shared" si="17"/>
        <v>dailCompTextSpirit29=^oThis feels warm to the touch, almost familiar ^w(This component only fits into the Medal Slot)</v>
      </c>
      <c r="AB31" s="5" t="s">
        <v>36</v>
      </c>
      <c r="AH31">
        <f t="shared" si="19"/>
        <v>26</v>
      </c>
      <c r="AI31">
        <f t="shared" si="13"/>
        <v>25</v>
      </c>
      <c r="AJ31">
        <f t="shared" si="18"/>
        <v>3</v>
      </c>
    </row>
    <row r="32" spans="1:36" x14ac:dyDescent="0.25">
      <c r="A32" s="5" t="s">
        <v>39</v>
      </c>
      <c r="B32" s="5" t="s">
        <v>30</v>
      </c>
      <c r="C32" s="5" t="str">
        <f t="shared" si="0"/>
        <v>description,dailCompDescSpirit30,</v>
      </c>
      <c r="D32" s="5" t="str">
        <f t="shared" si="2"/>
        <v>itemText,dailCompTextSpirit30,</v>
      </c>
      <c r="E32" s="5" t="str">
        <f t="shared" si="14"/>
        <v>augmentSkillLevel1,3,</v>
      </c>
      <c r="F32" s="5" t="str">
        <f t="shared" si="15"/>
        <v>augmentSkillName1,records/skillsspirit/darkcovenant.dbr,,</v>
      </c>
      <c r="G32" s="7">
        <f t="shared" si="10"/>
        <v>30</v>
      </c>
      <c r="H32" s="8" t="str">
        <f t="shared" si="11"/>
        <v>Spirit</v>
      </c>
      <c r="I32" s="3" t="s">
        <v>624</v>
      </c>
      <c r="J32" s="8" t="str">
        <f t="shared" si="20"/>
        <v>class0018</v>
      </c>
      <c r="K32" s="8" t="str">
        <f t="shared" si="20"/>
        <v>dailoneskill0018</v>
      </c>
      <c r="L32" s="5" t="str">
        <f t="shared" si="4"/>
        <v>lootName30,DAIL/items/materia/class0018/Spirit30.dbr,</v>
      </c>
      <c r="M32" s="5" t="str">
        <f t="shared" si="5"/>
        <v>lootWeight30,1,</v>
      </c>
      <c r="N32" t="str">
        <f t="shared" si="6"/>
        <v>3</v>
      </c>
      <c r="O32" t="str">
        <f t="shared" si="16"/>
        <v>copy .\dail_base3.dbr .\items\materia\class0018\Spirit30.dbr /y</v>
      </c>
      <c r="P32" t="str">
        <f t="shared" si="7"/>
        <v>echo relicBitmap,items/craftingparts/components/component_a52_bristlyfur_b.tex, &gt;&gt; .\items\materia\class0018\Spirit30.dbr</v>
      </c>
      <c r="Q32" t="str">
        <f t="shared" si="7"/>
        <v>echo itemCost,500000, &gt;&gt; .\items\materia\class0018\Spirit30.dbr</v>
      </c>
      <c r="R32" t="str">
        <f t="shared" si="7"/>
        <v>echo description,dailCompDescSpirit30, &gt;&gt; .\items\materia\class0018\Spirit30.dbr</v>
      </c>
      <c r="S32" t="str">
        <f t="shared" si="7"/>
        <v>echo itemText,dailCompTextSpirit30, &gt;&gt; .\items\materia\class0018\Spirit30.dbr</v>
      </c>
      <c r="T32" t="str">
        <f t="shared" si="7"/>
        <v>echo augmentSkillLevel1,3, &gt;&gt; .\items\materia\class0018\Spirit30.dbr</v>
      </c>
      <c r="U32" t="str">
        <f t="shared" si="7"/>
        <v>echo augmentSkillName1,records/skillsspirit/darkcovenant.dbr,, &gt;&gt; .\items\materia\class0018\Spirit30.dbr</v>
      </c>
      <c r="V32" s="5" t="s">
        <v>36</v>
      </c>
      <c r="W32" t="str">
        <f t="shared" si="8"/>
        <v>echo lootName30,DAIL/items/materia/class0018/Spirit30.dbr, &gt;&gt; .\items\loottables\dailoneskill0018.dbr</v>
      </c>
      <c r="X32" t="str">
        <f t="shared" si="8"/>
        <v>echo lootWeight30,1, &gt;&gt; .\items\loottables\dailoneskill0018.dbr</v>
      </c>
      <c r="Y32" s="5" t="s">
        <v>36</v>
      </c>
      <c r="Z32" t="str">
        <f t="shared" si="9"/>
        <v xml:space="preserve"> dailCompDescSpirit30=^pSpirit's Gift of DAIL</v>
      </c>
      <c r="AA32" t="str">
        <f t="shared" si="17"/>
        <v>dailCompTextSpirit30=^oThis feels warm to the touch, almost familiar ^w(This component only fits into the Medal Slot)</v>
      </c>
      <c r="AB32" s="5" t="s">
        <v>36</v>
      </c>
      <c r="AH32">
        <f t="shared" si="19"/>
        <v>27</v>
      </c>
      <c r="AI32">
        <f t="shared" si="13"/>
        <v>24</v>
      </c>
      <c r="AJ32">
        <f t="shared" si="18"/>
        <v>3</v>
      </c>
    </row>
    <row r="33" spans="1:36" x14ac:dyDescent="0.25">
      <c r="A33" s="5" t="s">
        <v>39</v>
      </c>
      <c r="B33" s="5" t="s">
        <v>30</v>
      </c>
      <c r="C33" s="5" t="str">
        <f t="shared" si="0"/>
        <v>description,dailCompDescSpirit31,</v>
      </c>
      <c r="D33" s="5" t="str">
        <f t="shared" si="2"/>
        <v>itemText,dailCompTextSpirit31,</v>
      </c>
      <c r="E33" s="5" t="str">
        <f t="shared" si="14"/>
        <v>augmentSkillLevel1,3,</v>
      </c>
      <c r="F33" s="5" t="str">
        <f t="shared" si="15"/>
        <v>augmentSkillName1,records/skillsspirit/darkcovenant_unearthlypower.dbr,,</v>
      </c>
      <c r="G33" s="7">
        <f t="shared" si="10"/>
        <v>31</v>
      </c>
      <c r="H33" s="8" t="str">
        <f t="shared" si="11"/>
        <v>Spirit</v>
      </c>
      <c r="I33" s="3" t="s">
        <v>625</v>
      </c>
      <c r="J33" s="8" t="str">
        <f t="shared" si="20"/>
        <v>class0018</v>
      </c>
      <c r="K33" s="8" t="str">
        <f t="shared" si="20"/>
        <v>dailoneskill0018</v>
      </c>
      <c r="L33" s="5" t="str">
        <f t="shared" si="4"/>
        <v>lootName31,DAIL/items/materia/class0018/Spirit31.dbr,</v>
      </c>
      <c r="M33" s="5" t="str">
        <f t="shared" si="5"/>
        <v>lootWeight31,1,</v>
      </c>
      <c r="N33" t="str">
        <f t="shared" si="6"/>
        <v>3</v>
      </c>
      <c r="O33" t="str">
        <f t="shared" si="16"/>
        <v>copy .\dail_base3.dbr .\items\materia\class0018\Spirit31.dbr /y</v>
      </c>
      <c r="P33" t="str">
        <f t="shared" si="7"/>
        <v>echo relicBitmap,items/craftingparts/components/component_a52_bristlyfur_b.tex, &gt;&gt; .\items\materia\class0018\Spirit31.dbr</v>
      </c>
      <c r="Q33" t="str">
        <f t="shared" si="7"/>
        <v>echo itemCost,500000, &gt;&gt; .\items\materia\class0018\Spirit31.dbr</v>
      </c>
      <c r="R33" t="str">
        <f t="shared" si="7"/>
        <v>echo description,dailCompDescSpirit31, &gt;&gt; .\items\materia\class0018\Spirit31.dbr</v>
      </c>
      <c r="S33" t="str">
        <f t="shared" si="7"/>
        <v>echo itemText,dailCompTextSpirit31, &gt;&gt; .\items\materia\class0018\Spirit31.dbr</v>
      </c>
      <c r="T33" t="str">
        <f t="shared" si="7"/>
        <v>echo augmentSkillLevel1,3, &gt;&gt; .\items\materia\class0018\Spirit31.dbr</v>
      </c>
      <c r="U33" t="str">
        <f t="shared" si="7"/>
        <v>echo augmentSkillName1,records/skillsspirit/darkcovenant_unearthlypower.dbr,, &gt;&gt; .\items\materia\class0018\Spirit31.dbr</v>
      </c>
      <c r="V33" s="5" t="s">
        <v>36</v>
      </c>
      <c r="W33" t="str">
        <f t="shared" si="8"/>
        <v>echo lootName31,DAIL/items/materia/class0018/Spirit31.dbr, &gt;&gt; .\items\loottables\dailoneskill0018.dbr</v>
      </c>
      <c r="X33" t="str">
        <f t="shared" si="8"/>
        <v>echo lootWeight31,1, &gt;&gt; .\items\loottables\dailoneskill0018.dbr</v>
      </c>
      <c r="Y33" s="5" t="s">
        <v>36</v>
      </c>
      <c r="Z33" t="str">
        <f t="shared" si="9"/>
        <v xml:space="preserve"> dailCompDescSpirit31=^pSpirit's Gift of DAIL</v>
      </c>
      <c r="AA33" t="str">
        <f t="shared" si="17"/>
        <v>dailCompTextSpirit31=^oThis feels warm to the touch, almost familiar ^w(This component only fits into the Medal Slot)</v>
      </c>
      <c r="AB33" s="5" t="s">
        <v>36</v>
      </c>
      <c r="AH33">
        <f t="shared" si="19"/>
        <v>28</v>
      </c>
      <c r="AI33">
        <f t="shared" si="13"/>
        <v>39</v>
      </c>
      <c r="AJ33">
        <f t="shared" si="18"/>
        <v>3</v>
      </c>
    </row>
    <row r="34" spans="1:36" x14ac:dyDescent="0.25">
      <c r="A34" s="5" t="s">
        <v>39</v>
      </c>
      <c r="B34" s="5" t="s">
        <v>30</v>
      </c>
      <c r="C34" s="5" t="str">
        <f t="shared" si="0"/>
        <v>description,dailCompDescSpirit32,</v>
      </c>
      <c r="D34" s="5" t="str">
        <f t="shared" si="2"/>
        <v>itemText,dailCompTextSpirit32,</v>
      </c>
      <c r="E34" s="5" t="str">
        <f t="shared" si="14"/>
        <v>augmentSkillLevel1,3,</v>
      </c>
      <c r="F34" s="5" t="str">
        <f t="shared" si="15"/>
        <v>augmentSkillName1,records/skillsspirit/lifedrain.dbr,,</v>
      </c>
      <c r="G34" s="7">
        <f t="shared" si="10"/>
        <v>32</v>
      </c>
      <c r="H34" s="8" t="str">
        <f t="shared" si="11"/>
        <v>Spirit</v>
      </c>
      <c r="I34" s="3" t="s">
        <v>626</v>
      </c>
      <c r="J34" s="8" t="str">
        <f t="shared" si="20"/>
        <v>class0018</v>
      </c>
      <c r="K34" s="8" t="str">
        <f t="shared" si="20"/>
        <v>dailoneskill0018</v>
      </c>
      <c r="L34" s="5" t="str">
        <f t="shared" si="4"/>
        <v>lootName32,DAIL/items/materia/class0018/Spirit32.dbr,</v>
      </c>
      <c r="M34" s="5" t="str">
        <f t="shared" si="5"/>
        <v>lootWeight32,1,</v>
      </c>
      <c r="N34" t="str">
        <f t="shared" si="6"/>
        <v>3</v>
      </c>
      <c r="O34" t="str">
        <f t="shared" si="16"/>
        <v>copy .\dail_base3.dbr .\items\materia\class0018\Spirit32.dbr /y</v>
      </c>
      <c r="P34" t="str">
        <f t="shared" si="7"/>
        <v>echo relicBitmap,items/craftingparts/components/component_a52_bristlyfur_b.tex, &gt;&gt; .\items\materia\class0018\Spirit32.dbr</v>
      </c>
      <c r="Q34" t="str">
        <f t="shared" si="7"/>
        <v>echo itemCost,500000, &gt;&gt; .\items\materia\class0018\Spirit32.dbr</v>
      </c>
      <c r="R34" t="str">
        <f t="shared" si="7"/>
        <v>echo description,dailCompDescSpirit32, &gt;&gt; .\items\materia\class0018\Spirit32.dbr</v>
      </c>
      <c r="S34" t="str">
        <f t="shared" si="7"/>
        <v>echo itemText,dailCompTextSpirit32, &gt;&gt; .\items\materia\class0018\Spirit32.dbr</v>
      </c>
      <c r="T34" t="str">
        <f t="shared" si="7"/>
        <v>echo augmentSkillLevel1,3, &gt;&gt; .\items\materia\class0018\Spirit32.dbr</v>
      </c>
      <c r="U34" t="str">
        <f t="shared" si="7"/>
        <v>echo augmentSkillName1,records/skillsspirit/lifedrain.dbr,, &gt;&gt; .\items\materia\class0018\Spirit32.dbr</v>
      </c>
      <c r="V34" s="5" t="s">
        <v>36</v>
      </c>
      <c r="W34" t="str">
        <f t="shared" si="8"/>
        <v>echo lootName32,DAIL/items/materia/class0018/Spirit32.dbr, &gt;&gt; .\items\loottables\dailoneskill0018.dbr</v>
      </c>
      <c r="X34" t="str">
        <f t="shared" si="8"/>
        <v>echo lootWeight32,1, &gt;&gt; .\items\loottables\dailoneskill0018.dbr</v>
      </c>
      <c r="Y34" s="5" t="s">
        <v>36</v>
      </c>
      <c r="Z34" t="str">
        <f t="shared" si="9"/>
        <v xml:space="preserve"> dailCompDescSpirit32=^pSpirit's Gift of DAIL</v>
      </c>
      <c r="AA34" t="str">
        <f t="shared" si="17"/>
        <v>dailCompTextSpirit32=^oThis feels warm to the touch, almost familiar ^w(This component only fits into the Medal Slot)</v>
      </c>
      <c r="AB34" s="5" t="s">
        <v>36</v>
      </c>
      <c r="AH34">
        <f t="shared" si="19"/>
        <v>29</v>
      </c>
      <c r="AI34">
        <f t="shared" si="13"/>
        <v>21</v>
      </c>
      <c r="AJ34">
        <f t="shared" si="18"/>
        <v>3</v>
      </c>
    </row>
    <row r="35" spans="1:36" x14ac:dyDescent="0.25">
      <c r="A35" s="5" t="s">
        <v>39</v>
      </c>
      <c r="B35" s="5" t="s">
        <v>30</v>
      </c>
      <c r="C35" s="5" t="str">
        <f t="shared" si="0"/>
        <v>description,dailCompDescSpirit33,</v>
      </c>
      <c r="D35" s="5" t="str">
        <f t="shared" si="2"/>
        <v>itemText,dailCompTextSpirit33,</v>
      </c>
      <c r="E35" s="5" t="str">
        <f t="shared" si="14"/>
        <v>augmentSkillLevel1,3,</v>
      </c>
      <c r="F35" s="5" t="str">
        <f t="shared" si="15"/>
        <v>augmentSkillName1,records/skillsspirit/lifedrain_cascade.dbr,,</v>
      </c>
      <c r="G35" s="7">
        <f t="shared" si="10"/>
        <v>33</v>
      </c>
      <c r="H35" s="8" t="str">
        <f t="shared" si="11"/>
        <v>Spirit</v>
      </c>
      <c r="I35" s="3" t="s">
        <v>627</v>
      </c>
      <c r="J35" s="8" t="str">
        <f t="shared" si="20"/>
        <v>class0018</v>
      </c>
      <c r="K35" s="8" t="str">
        <f t="shared" si="20"/>
        <v>dailoneskill0018</v>
      </c>
      <c r="L35" s="5" t="str">
        <f t="shared" si="4"/>
        <v>lootName33,DAIL/items/materia/class0018/Spirit33.dbr,</v>
      </c>
      <c r="M35" s="5" t="str">
        <f t="shared" si="5"/>
        <v>lootWeight33,1,</v>
      </c>
      <c r="N35" t="str">
        <f t="shared" si="6"/>
        <v>3</v>
      </c>
      <c r="O35" t="str">
        <f t="shared" si="16"/>
        <v>copy .\dail_base3.dbr .\items\materia\class0018\Spirit33.dbr /y</v>
      </c>
      <c r="P35" t="str">
        <f t="shared" si="7"/>
        <v>echo relicBitmap,items/craftingparts/components/component_a52_bristlyfur_b.tex, &gt;&gt; .\items\materia\class0018\Spirit33.dbr</v>
      </c>
      <c r="Q35" t="str">
        <f t="shared" si="7"/>
        <v>echo itemCost,500000, &gt;&gt; .\items\materia\class0018\Spirit33.dbr</v>
      </c>
      <c r="R35" t="str">
        <f t="shared" si="7"/>
        <v>echo description,dailCompDescSpirit33, &gt;&gt; .\items\materia\class0018\Spirit33.dbr</v>
      </c>
      <c r="S35" t="str">
        <f t="shared" si="7"/>
        <v>echo itemText,dailCompTextSpirit33, &gt;&gt; .\items\materia\class0018\Spirit33.dbr</v>
      </c>
      <c r="T35" t="str">
        <f t="shared" si="7"/>
        <v>echo augmentSkillLevel1,3, &gt;&gt; .\items\materia\class0018\Spirit33.dbr</v>
      </c>
      <c r="U35" t="str">
        <f t="shared" si="7"/>
        <v>echo augmentSkillName1,records/skillsspirit/lifedrain_cascade.dbr,, &gt;&gt; .\items\materia\class0018\Spirit33.dbr</v>
      </c>
      <c r="V35" s="5" t="s">
        <v>36</v>
      </c>
      <c r="W35" t="str">
        <f t="shared" si="8"/>
        <v>echo lootName33,DAIL/items/materia/class0018/Spirit33.dbr, &gt;&gt; .\items\loottables\dailoneskill0018.dbr</v>
      </c>
      <c r="X35" t="str">
        <f t="shared" si="8"/>
        <v>echo lootWeight33,1, &gt;&gt; .\items\loottables\dailoneskill0018.dbr</v>
      </c>
      <c r="Y35" s="5" t="s">
        <v>36</v>
      </c>
      <c r="Z35" t="str">
        <f t="shared" si="9"/>
        <v xml:space="preserve"> dailCompDescSpirit33=^pSpirit's Gift of DAIL</v>
      </c>
      <c r="AA35" t="str">
        <f t="shared" si="17"/>
        <v>dailCompTextSpirit33=^oThis feels warm to the touch, almost familiar ^w(This component only fits into the Medal Slot)</v>
      </c>
      <c r="AB35" s="5" t="s">
        <v>36</v>
      </c>
      <c r="AH35">
        <f t="shared" si="19"/>
        <v>30</v>
      </c>
      <c r="AI35">
        <f t="shared" si="13"/>
        <v>29</v>
      </c>
      <c r="AJ35">
        <f t="shared" si="18"/>
        <v>3</v>
      </c>
    </row>
    <row r="36" spans="1:36" x14ac:dyDescent="0.25">
      <c r="A36" s="5" t="s">
        <v>39</v>
      </c>
      <c r="B36" s="5" t="s">
        <v>30</v>
      </c>
      <c r="C36" s="5" t="str">
        <f t="shared" si="0"/>
        <v>description,dailCompDescSpirit34,</v>
      </c>
      <c r="D36" s="5" t="str">
        <f t="shared" si="2"/>
        <v>itemText,dailCompTextSpirit34,</v>
      </c>
      <c r="E36" s="5" t="str">
        <f t="shared" si="14"/>
        <v>augmentSkillLevel1,3,</v>
      </c>
      <c r="F36" s="5" t="str">
        <f t="shared" si="15"/>
        <v>augmentSkillName1,records/skillsspirit/outsidersummons.dbr,,</v>
      </c>
      <c r="G36" s="7">
        <f t="shared" si="10"/>
        <v>34</v>
      </c>
      <c r="H36" s="8" t="str">
        <f t="shared" si="11"/>
        <v>Spirit</v>
      </c>
      <c r="I36" s="3" t="s">
        <v>628</v>
      </c>
      <c r="J36" s="8" t="str">
        <f t="shared" si="20"/>
        <v>class0018</v>
      </c>
      <c r="K36" s="8" t="str">
        <f t="shared" si="20"/>
        <v>dailoneskill0018</v>
      </c>
      <c r="L36" s="5" t="str">
        <f t="shared" si="4"/>
        <v>lootName34,DAIL/items/materia/class0018/Spirit34.dbr,</v>
      </c>
      <c r="M36" s="5" t="str">
        <f t="shared" si="5"/>
        <v>lootWeight34,1,</v>
      </c>
      <c r="N36" t="str">
        <f t="shared" si="6"/>
        <v>3</v>
      </c>
      <c r="O36" t="str">
        <f t="shared" si="16"/>
        <v>copy .\dail_base3.dbr .\items\materia\class0018\Spirit34.dbr /y</v>
      </c>
      <c r="P36" t="str">
        <f t="shared" si="7"/>
        <v>echo relicBitmap,items/craftingparts/components/component_a52_bristlyfur_b.tex, &gt;&gt; .\items\materia\class0018\Spirit34.dbr</v>
      </c>
      <c r="Q36" t="str">
        <f t="shared" si="7"/>
        <v>echo itemCost,500000, &gt;&gt; .\items\materia\class0018\Spirit34.dbr</v>
      </c>
      <c r="R36" t="str">
        <f t="shared" si="7"/>
        <v>echo description,dailCompDescSpirit34, &gt;&gt; .\items\materia\class0018\Spirit34.dbr</v>
      </c>
      <c r="S36" t="str">
        <f t="shared" si="7"/>
        <v>echo itemText,dailCompTextSpirit34, &gt;&gt; .\items\materia\class0018\Spirit34.dbr</v>
      </c>
      <c r="T36" t="str">
        <f t="shared" si="7"/>
        <v>echo augmentSkillLevel1,3, &gt;&gt; .\items\materia\class0018\Spirit34.dbr</v>
      </c>
      <c r="U36" t="str">
        <f t="shared" si="7"/>
        <v>echo augmentSkillName1,records/skillsspirit/outsidersummons.dbr,, &gt;&gt; .\items\materia\class0018\Spirit34.dbr</v>
      </c>
      <c r="V36" s="5" t="s">
        <v>36</v>
      </c>
      <c r="W36" t="str">
        <f t="shared" si="8"/>
        <v>echo lootName34,DAIL/items/materia/class0018/Spirit34.dbr, &gt;&gt; .\items\loottables\dailoneskill0018.dbr</v>
      </c>
      <c r="X36" t="str">
        <f t="shared" si="8"/>
        <v>echo lootWeight34,1, &gt;&gt; .\items\loottables\dailoneskill0018.dbr</v>
      </c>
      <c r="Y36" s="5" t="s">
        <v>36</v>
      </c>
      <c r="Z36" t="str">
        <f t="shared" si="9"/>
        <v xml:space="preserve"> dailCompDescSpirit34=^pSpirit's Gift of DAIL</v>
      </c>
      <c r="AA36" t="str">
        <f t="shared" si="17"/>
        <v>dailCompTextSpirit34=^oThis feels warm to the touch, almost familiar ^w(This component only fits into the Medal Slot)</v>
      </c>
      <c r="AB36" s="5" t="s">
        <v>36</v>
      </c>
      <c r="AH36">
        <f t="shared" si="19"/>
        <v>31</v>
      </c>
      <c r="AI36">
        <f t="shared" si="13"/>
        <v>27</v>
      </c>
      <c r="AJ36">
        <f t="shared" si="18"/>
        <v>3</v>
      </c>
    </row>
    <row r="37" spans="1:36" x14ac:dyDescent="0.25">
      <c r="A37" s="5" t="s">
        <v>39</v>
      </c>
      <c r="B37" s="5" t="s">
        <v>30</v>
      </c>
      <c r="C37" s="5" t="str">
        <f t="shared" si="0"/>
        <v>description,dailCompDescSpirit35,</v>
      </c>
      <c r="D37" s="5" t="str">
        <f t="shared" si="2"/>
        <v>itemText,dailCompTextSpirit35,</v>
      </c>
      <c r="E37" s="5" t="str">
        <f t="shared" si="14"/>
        <v>augmentSkillLevel1,3,</v>
      </c>
      <c r="F37" s="5" t="str">
        <f t="shared" si="15"/>
        <v>augmentSkillName1,records/skillsspirit/ternion.dbr,,</v>
      </c>
      <c r="G37" s="7">
        <f t="shared" si="10"/>
        <v>35</v>
      </c>
      <c r="H37" s="8" t="str">
        <f t="shared" si="11"/>
        <v>Spirit</v>
      </c>
      <c r="I37" s="3" t="s">
        <v>629</v>
      </c>
      <c r="J37" s="8" t="str">
        <f t="shared" ref="J37:K52" si="21">J36</f>
        <v>class0018</v>
      </c>
      <c r="K37" s="8" t="str">
        <f t="shared" si="21"/>
        <v>dailoneskill0018</v>
      </c>
      <c r="L37" s="5" t="str">
        <f t="shared" si="4"/>
        <v>lootName35,DAIL/items/materia/class0018/Spirit35.dbr,</v>
      </c>
      <c r="M37" s="5" t="str">
        <f t="shared" si="5"/>
        <v>lootWeight35,1,</v>
      </c>
      <c r="N37" t="str">
        <f t="shared" si="6"/>
        <v>3</v>
      </c>
      <c r="O37" t="str">
        <f t="shared" si="16"/>
        <v>copy .\dail_base3.dbr .\items\materia\class0018\Spirit35.dbr /y</v>
      </c>
      <c r="P37" t="str">
        <f t="shared" si="7"/>
        <v>echo relicBitmap,items/craftingparts/components/component_a52_bristlyfur_b.tex, &gt;&gt; .\items\materia\class0018\Spirit35.dbr</v>
      </c>
      <c r="Q37" t="str">
        <f t="shared" si="7"/>
        <v>echo itemCost,500000, &gt;&gt; .\items\materia\class0018\Spirit35.dbr</v>
      </c>
      <c r="R37" t="str">
        <f t="shared" si="7"/>
        <v>echo description,dailCompDescSpirit35, &gt;&gt; .\items\materia\class0018\Spirit35.dbr</v>
      </c>
      <c r="S37" t="str">
        <f t="shared" si="7"/>
        <v>echo itemText,dailCompTextSpirit35, &gt;&gt; .\items\materia\class0018\Spirit35.dbr</v>
      </c>
      <c r="T37" t="str">
        <f t="shared" si="7"/>
        <v>echo augmentSkillLevel1,3, &gt;&gt; .\items\materia\class0018\Spirit35.dbr</v>
      </c>
      <c r="U37" t="str">
        <f t="shared" si="7"/>
        <v>echo augmentSkillName1,records/skillsspirit/ternion.dbr,, &gt;&gt; .\items\materia\class0018\Spirit35.dbr</v>
      </c>
      <c r="V37" s="5" t="s">
        <v>36</v>
      </c>
      <c r="W37" t="str">
        <f t="shared" si="8"/>
        <v>echo lootName35,DAIL/items/materia/class0018/Spirit35.dbr, &gt;&gt; .\items\loottables\dailoneskill0018.dbr</v>
      </c>
      <c r="X37" t="str">
        <f t="shared" si="8"/>
        <v>echo lootWeight35,1, &gt;&gt; .\items\loottables\dailoneskill0018.dbr</v>
      </c>
      <c r="Y37" s="5" t="s">
        <v>36</v>
      </c>
      <c r="Z37" t="str">
        <f t="shared" si="9"/>
        <v xml:space="preserve"> dailCompDescSpirit35=^pSpirit's Gift of DAIL</v>
      </c>
      <c r="AA37" t="str">
        <f t="shared" si="17"/>
        <v>dailCompTextSpirit35=^oThis feels warm to the touch, almost familiar ^w(This component only fits into the Medal Slot)</v>
      </c>
      <c r="AB37" s="5" t="s">
        <v>36</v>
      </c>
      <c r="AH37">
        <f t="shared" si="19"/>
        <v>32</v>
      </c>
      <c r="AI37">
        <f t="shared" si="13"/>
        <v>19</v>
      </c>
      <c r="AJ37">
        <f t="shared" si="18"/>
        <v>3</v>
      </c>
    </row>
    <row r="38" spans="1:36" x14ac:dyDescent="0.25">
      <c r="A38" s="5" t="s">
        <v>39</v>
      </c>
      <c r="B38" s="5" t="s">
        <v>30</v>
      </c>
      <c r="C38" s="5" t="str">
        <f t="shared" si="0"/>
        <v>description,dailCompDescSpirit36,</v>
      </c>
      <c r="D38" s="5" t="str">
        <f t="shared" si="2"/>
        <v>itemText,dailCompTextSpirit36,</v>
      </c>
      <c r="E38" s="5" t="str">
        <f t="shared" si="14"/>
        <v>augmentSkillLevel1,3,</v>
      </c>
      <c r="F38" s="5" t="str">
        <f t="shared" si="15"/>
        <v>augmentSkillName1,records/skillsspirit/ternion_arcanelore.dbr,,</v>
      </c>
      <c r="G38" s="7">
        <f t="shared" si="10"/>
        <v>36</v>
      </c>
      <c r="H38" s="8" t="str">
        <f t="shared" si="11"/>
        <v>Spirit</v>
      </c>
      <c r="I38" s="3" t="s">
        <v>630</v>
      </c>
      <c r="J38" s="8" t="str">
        <f t="shared" si="21"/>
        <v>class0018</v>
      </c>
      <c r="K38" s="8" t="str">
        <f t="shared" si="21"/>
        <v>dailoneskill0018</v>
      </c>
      <c r="L38" s="5" t="str">
        <f t="shared" si="4"/>
        <v>lootName36,DAIL/items/materia/class0018/Spirit36.dbr,</v>
      </c>
      <c r="M38" s="5" t="str">
        <f t="shared" si="5"/>
        <v>lootWeight36,1,</v>
      </c>
      <c r="N38" t="str">
        <f t="shared" si="6"/>
        <v>3</v>
      </c>
      <c r="O38" t="str">
        <f t="shared" si="16"/>
        <v>copy .\dail_base3.dbr .\items\materia\class0018\Spirit36.dbr /y</v>
      </c>
      <c r="P38" t="str">
        <f t="shared" si="7"/>
        <v>echo relicBitmap,items/craftingparts/components/component_a52_bristlyfur_b.tex, &gt;&gt; .\items\materia\class0018\Spirit36.dbr</v>
      </c>
      <c r="Q38" t="str">
        <f t="shared" si="7"/>
        <v>echo itemCost,500000, &gt;&gt; .\items\materia\class0018\Spirit36.dbr</v>
      </c>
      <c r="R38" t="str">
        <f t="shared" si="7"/>
        <v>echo description,dailCompDescSpirit36, &gt;&gt; .\items\materia\class0018\Spirit36.dbr</v>
      </c>
      <c r="S38" t="str">
        <f t="shared" si="7"/>
        <v>echo itemText,dailCompTextSpirit36, &gt;&gt; .\items\materia\class0018\Spirit36.dbr</v>
      </c>
      <c r="T38" t="str">
        <f t="shared" si="7"/>
        <v>echo augmentSkillLevel1,3, &gt;&gt; .\items\materia\class0018\Spirit36.dbr</v>
      </c>
      <c r="U38" t="str">
        <f t="shared" si="7"/>
        <v>echo augmentSkillName1,records/skillsspirit/ternion_arcanelore.dbr,, &gt;&gt; .\items\materia\class0018\Spirit36.dbr</v>
      </c>
      <c r="V38" s="5" t="s">
        <v>36</v>
      </c>
      <c r="W38" t="str">
        <f t="shared" si="8"/>
        <v>echo lootName36,DAIL/items/materia/class0018/Spirit36.dbr, &gt;&gt; .\items\loottables\dailoneskill0018.dbr</v>
      </c>
      <c r="X38" t="str">
        <f t="shared" si="8"/>
        <v>echo lootWeight36,1, &gt;&gt; .\items\loottables\dailoneskill0018.dbr</v>
      </c>
      <c r="Y38" s="5" t="s">
        <v>36</v>
      </c>
      <c r="Z38" t="str">
        <f t="shared" si="9"/>
        <v xml:space="preserve"> dailCompDescSpirit36=^pSpirit's Gift of DAIL</v>
      </c>
      <c r="AA38" t="str">
        <f t="shared" si="17"/>
        <v>dailCompTextSpirit36=^oThis feels warm to the touch, almost familiar ^w(This component only fits into the Medal Slot)</v>
      </c>
      <c r="AB38" s="5" t="s">
        <v>36</v>
      </c>
      <c r="AH38">
        <f t="shared" si="19"/>
        <v>33</v>
      </c>
      <c r="AI38">
        <f t="shared" si="13"/>
        <v>30</v>
      </c>
      <c r="AJ38">
        <f t="shared" si="18"/>
        <v>3</v>
      </c>
    </row>
    <row r="39" spans="1:36" x14ac:dyDescent="0.25">
      <c r="A39" s="5" t="s">
        <v>39</v>
      </c>
      <c r="B39" s="5" t="s">
        <v>30</v>
      </c>
      <c r="C39" s="5" t="str">
        <f t="shared" si="0"/>
        <v>description,dailCompDescSpirit37,</v>
      </c>
      <c r="D39" s="5" t="str">
        <f t="shared" si="2"/>
        <v>itemText,dailCompTextSpirit37,</v>
      </c>
      <c r="E39" s="5" t="str">
        <f t="shared" si="14"/>
        <v>augmentSkillLevel1,3,</v>
      </c>
      <c r="F39" s="5" t="str">
        <f t="shared" si="15"/>
        <v>augmentSkillName1,records/skillsspirit/spiritward.dbr,,</v>
      </c>
      <c r="G39" s="7">
        <f t="shared" si="10"/>
        <v>37</v>
      </c>
      <c r="H39" s="8" t="str">
        <f t="shared" si="11"/>
        <v>Spirit</v>
      </c>
      <c r="I39" s="3" t="s">
        <v>631</v>
      </c>
      <c r="J39" s="8" t="str">
        <f t="shared" si="21"/>
        <v>class0018</v>
      </c>
      <c r="K39" s="8" t="str">
        <f t="shared" si="21"/>
        <v>dailoneskill0018</v>
      </c>
      <c r="L39" s="5" t="str">
        <f t="shared" si="4"/>
        <v>lootName37,DAIL/items/materia/class0018/Spirit37.dbr,</v>
      </c>
      <c r="M39" s="5" t="str">
        <f t="shared" si="5"/>
        <v>lootWeight37,1,</v>
      </c>
      <c r="N39" t="str">
        <f t="shared" si="6"/>
        <v>3</v>
      </c>
      <c r="O39" t="str">
        <f t="shared" si="16"/>
        <v>copy .\dail_base3.dbr .\items\materia\class0018\Spirit37.dbr /y</v>
      </c>
      <c r="P39" t="str">
        <f t="shared" si="7"/>
        <v>echo relicBitmap,items/craftingparts/components/component_a52_bristlyfur_b.tex, &gt;&gt; .\items\materia\class0018\Spirit37.dbr</v>
      </c>
      <c r="Q39" t="str">
        <f t="shared" si="7"/>
        <v>echo itemCost,500000, &gt;&gt; .\items\materia\class0018\Spirit37.dbr</v>
      </c>
      <c r="R39" t="str">
        <f t="shared" si="7"/>
        <v>echo description,dailCompDescSpirit37, &gt;&gt; .\items\materia\class0018\Spirit37.dbr</v>
      </c>
      <c r="S39" t="str">
        <f t="shared" si="7"/>
        <v>echo itemText,dailCompTextSpirit37, &gt;&gt; .\items\materia\class0018\Spirit37.dbr</v>
      </c>
      <c r="T39" t="str">
        <f t="shared" si="7"/>
        <v>echo augmentSkillLevel1,3, &gt;&gt; .\items\materia\class0018\Spirit37.dbr</v>
      </c>
      <c r="U39" t="str">
        <f t="shared" si="7"/>
        <v>echo augmentSkillName1,records/skillsspirit/spiritward.dbr,, &gt;&gt; .\items\materia\class0018\Spirit37.dbr</v>
      </c>
      <c r="V39" s="5" t="s">
        <v>36</v>
      </c>
      <c r="W39" t="str">
        <f t="shared" si="8"/>
        <v>echo lootName37,DAIL/items/materia/class0018/Spirit37.dbr, &gt;&gt; .\items\loottables\dailoneskill0018.dbr</v>
      </c>
      <c r="X39" t="str">
        <f t="shared" si="8"/>
        <v>echo lootWeight37,1, &gt;&gt; .\items\loottables\dailoneskill0018.dbr</v>
      </c>
      <c r="Y39" s="5" t="s">
        <v>36</v>
      </c>
      <c r="Z39" t="str">
        <f t="shared" si="9"/>
        <v xml:space="preserve"> dailCompDescSpirit37=^pSpirit's Gift of DAIL</v>
      </c>
      <c r="AA39" t="str">
        <f t="shared" si="17"/>
        <v>dailCompTextSpirit37=^oThis feels warm to the touch, almost familiar ^w(This component only fits into the Medal Slot)</v>
      </c>
      <c r="AB39" s="5" t="s">
        <v>36</v>
      </c>
      <c r="AH39">
        <f t="shared" si="19"/>
        <v>34</v>
      </c>
      <c r="AI39">
        <f t="shared" si="13"/>
        <v>22</v>
      </c>
      <c r="AJ39">
        <f t="shared" si="18"/>
        <v>3</v>
      </c>
    </row>
    <row r="40" spans="1:36" x14ac:dyDescent="0.25">
      <c r="A40" s="5" t="s">
        <v>39</v>
      </c>
      <c r="B40" s="5" t="s">
        <v>30</v>
      </c>
      <c r="C40" s="5" t="str">
        <f t="shared" si="0"/>
        <v>description,dailCompDescSpirit38,</v>
      </c>
      <c r="D40" s="5" t="str">
        <f t="shared" si="2"/>
        <v>itemText,dailCompTextSpirit38,</v>
      </c>
      <c r="E40" s="5" t="str">
        <f t="shared" si="14"/>
        <v>augmentSkillLevel1,3,</v>
      </c>
      <c r="F40" s="5" t="str">
        <f t="shared" si="15"/>
        <v>augmentSkillName1,records/skillsspirit/spiritward_spiritbane.dbr,,</v>
      </c>
      <c r="G40" s="7">
        <f t="shared" si="10"/>
        <v>38</v>
      </c>
      <c r="H40" s="8" t="str">
        <f t="shared" si="11"/>
        <v>Spirit</v>
      </c>
      <c r="I40" s="3" t="s">
        <v>632</v>
      </c>
      <c r="J40" s="8" t="str">
        <f t="shared" si="21"/>
        <v>class0018</v>
      </c>
      <c r="K40" s="8" t="str">
        <f t="shared" si="21"/>
        <v>dailoneskill0018</v>
      </c>
      <c r="L40" s="5" t="str">
        <f t="shared" si="4"/>
        <v>lootName38,DAIL/items/materia/class0018/Spirit38.dbr,</v>
      </c>
      <c r="M40" s="5" t="str">
        <f t="shared" si="5"/>
        <v>lootWeight38,1,</v>
      </c>
      <c r="N40" t="str">
        <f t="shared" si="6"/>
        <v>3</v>
      </c>
      <c r="O40" t="str">
        <f t="shared" si="16"/>
        <v>copy .\dail_base3.dbr .\items\materia\class0018\Spirit38.dbr /y</v>
      </c>
      <c r="P40" t="str">
        <f t="shared" si="7"/>
        <v>echo relicBitmap,items/craftingparts/components/component_a52_bristlyfur_b.tex, &gt;&gt; .\items\materia\class0018\Spirit38.dbr</v>
      </c>
      <c r="Q40" t="str">
        <f t="shared" si="7"/>
        <v>echo itemCost,500000, &gt;&gt; .\items\materia\class0018\Spirit38.dbr</v>
      </c>
      <c r="R40" t="str">
        <f t="shared" si="7"/>
        <v>echo description,dailCompDescSpirit38, &gt;&gt; .\items\materia\class0018\Spirit38.dbr</v>
      </c>
      <c r="S40" t="str">
        <f t="shared" si="7"/>
        <v>echo itemText,dailCompTextSpirit38, &gt;&gt; .\items\materia\class0018\Spirit38.dbr</v>
      </c>
      <c r="T40" t="str">
        <f t="shared" si="7"/>
        <v>echo augmentSkillLevel1,3, &gt;&gt; .\items\materia\class0018\Spirit38.dbr</v>
      </c>
      <c r="U40" t="str">
        <f t="shared" si="7"/>
        <v>echo augmentSkillName1,records/skillsspirit/spiritward_spiritbane.dbr,, &gt;&gt; .\items\materia\class0018\Spirit38.dbr</v>
      </c>
      <c r="V40" s="5" t="s">
        <v>36</v>
      </c>
      <c r="W40" t="str">
        <f t="shared" si="8"/>
        <v>echo lootName38,DAIL/items/materia/class0018/Spirit38.dbr, &gt;&gt; .\items\loottables\dailoneskill0018.dbr</v>
      </c>
      <c r="X40" t="str">
        <f t="shared" si="8"/>
        <v>echo lootWeight38,1, &gt;&gt; .\items\loottables\dailoneskill0018.dbr</v>
      </c>
      <c r="Y40" s="5" t="s">
        <v>36</v>
      </c>
      <c r="Z40" t="str">
        <f t="shared" si="9"/>
        <v xml:space="preserve"> dailCompDescSpirit38=^pSpirit's Gift of DAIL</v>
      </c>
      <c r="AA40" t="str">
        <f t="shared" si="17"/>
        <v>dailCompTextSpirit38=^oThis feels warm to the touch, almost familiar ^w(This component only fits into the Medal Slot)</v>
      </c>
      <c r="AB40" s="5" t="s">
        <v>36</v>
      </c>
      <c r="AH40">
        <f t="shared" si="19"/>
        <v>35</v>
      </c>
      <c r="AI40">
        <f t="shared" si="13"/>
        <v>33</v>
      </c>
      <c r="AJ40">
        <f t="shared" si="18"/>
        <v>3</v>
      </c>
    </row>
    <row r="41" spans="1:36" x14ac:dyDescent="0.25">
      <c r="A41" s="5" t="s">
        <v>39</v>
      </c>
      <c r="B41" s="5" t="s">
        <v>30</v>
      </c>
      <c r="C41" s="5" t="str">
        <f t="shared" si="0"/>
        <v>description,dailCompDescSpirit39,</v>
      </c>
      <c r="D41" s="5" t="str">
        <f t="shared" si="2"/>
        <v>itemText,dailCompTextSpirit39,</v>
      </c>
      <c r="E41" s="5" t="str">
        <f t="shared" si="14"/>
        <v>augmentSkillLevel1,3,</v>
      </c>
      <c r="F41" s="5" t="str">
        <f t="shared" si="15"/>
        <v>augmentSkillName1,records/skillsspirit/enslavespirit.dbr,,</v>
      </c>
      <c r="G41" s="7">
        <f t="shared" si="10"/>
        <v>39</v>
      </c>
      <c r="H41" s="8" t="str">
        <f t="shared" si="11"/>
        <v>Spirit</v>
      </c>
      <c r="I41" s="3" t="s">
        <v>633</v>
      </c>
      <c r="J41" s="8" t="str">
        <f t="shared" si="21"/>
        <v>class0018</v>
      </c>
      <c r="K41" s="8" t="str">
        <f t="shared" si="21"/>
        <v>dailoneskill0018</v>
      </c>
      <c r="L41" s="5" t="str">
        <f t="shared" si="4"/>
        <v>lootName39,DAIL/items/materia/class0018/Spirit39.dbr,</v>
      </c>
      <c r="M41" s="5" t="str">
        <f t="shared" si="5"/>
        <v>lootWeight39,1,</v>
      </c>
      <c r="N41" t="str">
        <f t="shared" si="6"/>
        <v>3</v>
      </c>
      <c r="O41" t="str">
        <f t="shared" si="16"/>
        <v>copy .\dail_base3.dbr .\items\materia\class0018\Spirit39.dbr /y</v>
      </c>
      <c r="P41" t="str">
        <f t="shared" si="7"/>
        <v>echo relicBitmap,items/craftingparts/components/component_a52_bristlyfur_b.tex, &gt;&gt; .\items\materia\class0018\Spirit39.dbr</v>
      </c>
      <c r="Q41" t="str">
        <f t="shared" si="7"/>
        <v>echo itemCost,500000, &gt;&gt; .\items\materia\class0018\Spirit39.dbr</v>
      </c>
      <c r="R41" t="str">
        <f t="shared" si="7"/>
        <v>echo description,dailCompDescSpirit39, &gt;&gt; .\items\materia\class0018\Spirit39.dbr</v>
      </c>
      <c r="S41" t="str">
        <f t="shared" si="7"/>
        <v>echo itemText,dailCompTextSpirit39, &gt;&gt; .\items\materia\class0018\Spirit39.dbr</v>
      </c>
      <c r="T41" t="str">
        <f t="shared" si="7"/>
        <v>echo augmentSkillLevel1,3, &gt;&gt; .\items\materia\class0018\Spirit39.dbr</v>
      </c>
      <c r="U41" t="str">
        <f t="shared" si="7"/>
        <v>echo augmentSkillName1,records/skillsspirit/enslavespirit.dbr,, &gt;&gt; .\items\materia\class0018\Spirit39.dbr</v>
      </c>
      <c r="V41" s="5" t="s">
        <v>36</v>
      </c>
      <c r="W41" t="str">
        <f t="shared" si="8"/>
        <v>echo lootName39,DAIL/items/materia/class0018/Spirit39.dbr, &gt;&gt; .\items\loottables\dailoneskill0018.dbr</v>
      </c>
      <c r="X41" t="str">
        <f t="shared" si="8"/>
        <v>echo lootWeight39,1, &gt;&gt; .\items\loottables\dailoneskill0018.dbr</v>
      </c>
      <c r="Y41" s="5" t="s">
        <v>36</v>
      </c>
      <c r="Z41" t="str">
        <f t="shared" si="9"/>
        <v xml:space="preserve"> dailCompDescSpirit39=^pSpirit's Gift of DAIL</v>
      </c>
      <c r="AA41" t="str">
        <f t="shared" si="17"/>
        <v>dailCompTextSpirit39=^oThis feels warm to the touch, almost familiar ^w(This component only fits into the Medal Slot)</v>
      </c>
      <c r="AB41" s="5" t="s">
        <v>36</v>
      </c>
      <c r="AH41">
        <f t="shared" si="19"/>
        <v>36</v>
      </c>
      <c r="AI41">
        <f t="shared" si="13"/>
        <v>25</v>
      </c>
      <c r="AJ41">
        <f t="shared" si="18"/>
        <v>3</v>
      </c>
    </row>
    <row r="42" spans="1:36" x14ac:dyDescent="0.25">
      <c r="A42" s="5" t="s">
        <v>39</v>
      </c>
      <c r="B42" s="5" t="s">
        <v>30</v>
      </c>
      <c r="C42" s="5" t="str">
        <f t="shared" si="0"/>
        <v>description,dailCompDescSpirit40,</v>
      </c>
      <c r="D42" s="5" t="str">
        <f t="shared" si="2"/>
        <v>itemText,dailCompTextSpirit40,</v>
      </c>
      <c r="E42" s="5" t="str">
        <f t="shared" si="14"/>
        <v>augmentSkillLevel1,3,</v>
      </c>
      <c r="F42" s="5" t="str">
        <f t="shared" si="15"/>
        <v>augmentSkillName1,records/skillsspirit/wraithlordsummons.dbr,,</v>
      </c>
      <c r="G42" s="7">
        <f t="shared" si="10"/>
        <v>40</v>
      </c>
      <c r="H42" s="8" t="str">
        <f t="shared" si="11"/>
        <v>Spirit</v>
      </c>
      <c r="I42" s="3" t="s">
        <v>634</v>
      </c>
      <c r="J42" s="8" t="str">
        <f t="shared" si="21"/>
        <v>class0018</v>
      </c>
      <c r="K42" s="8" t="str">
        <f t="shared" si="21"/>
        <v>dailoneskill0018</v>
      </c>
      <c r="L42" s="5" t="str">
        <f t="shared" si="4"/>
        <v>lootName40,DAIL/items/materia/class0018/Spirit40.dbr,</v>
      </c>
      <c r="M42" s="5" t="str">
        <f t="shared" si="5"/>
        <v>lootWeight40,1,</v>
      </c>
      <c r="N42" t="str">
        <f t="shared" si="6"/>
        <v>3</v>
      </c>
      <c r="O42" t="str">
        <f t="shared" si="16"/>
        <v>copy .\dail_base3.dbr .\items\materia\class0018\Spirit40.dbr /y</v>
      </c>
      <c r="P42" t="str">
        <f t="shared" si="7"/>
        <v>echo relicBitmap,items/craftingparts/components/component_a52_bristlyfur_b.tex, &gt;&gt; .\items\materia\class0018\Spirit40.dbr</v>
      </c>
      <c r="Q42" t="str">
        <f t="shared" si="7"/>
        <v>echo itemCost,500000, &gt;&gt; .\items\materia\class0018\Spirit40.dbr</v>
      </c>
      <c r="R42" t="str">
        <f t="shared" si="7"/>
        <v>echo description,dailCompDescSpirit40, &gt;&gt; .\items\materia\class0018\Spirit40.dbr</v>
      </c>
      <c r="S42" t="str">
        <f t="shared" si="7"/>
        <v>echo itemText,dailCompTextSpirit40, &gt;&gt; .\items\materia\class0018\Spirit40.dbr</v>
      </c>
      <c r="T42" t="str">
        <f t="shared" si="7"/>
        <v>echo augmentSkillLevel1,3, &gt;&gt; .\items\materia\class0018\Spirit40.dbr</v>
      </c>
      <c r="U42" t="str">
        <f t="shared" si="7"/>
        <v>echo augmentSkillName1,records/skillsspirit/wraithlordsummons.dbr,, &gt;&gt; .\items\materia\class0018\Spirit40.dbr</v>
      </c>
      <c r="V42" s="5" t="s">
        <v>36</v>
      </c>
      <c r="W42" t="str">
        <f t="shared" si="8"/>
        <v>echo lootName40,DAIL/items/materia/class0018/Spirit40.dbr, &gt;&gt; .\items\loottables\dailoneskill0018.dbr</v>
      </c>
      <c r="X42" t="str">
        <f t="shared" si="8"/>
        <v>echo lootWeight40,1, &gt;&gt; .\items\loottables\dailoneskill0018.dbr</v>
      </c>
      <c r="Y42" s="5" t="s">
        <v>36</v>
      </c>
      <c r="Z42" t="str">
        <f t="shared" si="9"/>
        <v xml:space="preserve"> dailCompDescSpirit40=^pSpirit's Gift of DAIL</v>
      </c>
      <c r="AA42" t="str">
        <f t="shared" si="17"/>
        <v>dailCompTextSpirit40=^oThis feels warm to the touch, almost familiar ^w(This component only fits into the Medal Slot)</v>
      </c>
      <c r="AB42" s="5" t="s">
        <v>36</v>
      </c>
      <c r="AH42">
        <f t="shared" si="19"/>
        <v>37</v>
      </c>
      <c r="AI42">
        <f t="shared" si="13"/>
        <v>29</v>
      </c>
      <c r="AJ42">
        <f t="shared" si="18"/>
        <v>3</v>
      </c>
    </row>
    <row r="43" spans="1:36" x14ac:dyDescent="0.25">
      <c r="A43" s="5" t="s">
        <v>39</v>
      </c>
      <c r="B43" s="5" t="s">
        <v>30</v>
      </c>
      <c r="C43" s="5" t="str">
        <f t="shared" si="0"/>
        <v>description,dailCompDescSpirit41,</v>
      </c>
      <c r="D43" s="5" t="str">
        <f t="shared" si="2"/>
        <v>itemText,dailCompTextSpirit41,</v>
      </c>
      <c r="E43" s="5" t="str">
        <f t="shared" si="14"/>
        <v>augmentSkillLevel1,3,</v>
      </c>
      <c r="F43" s="5" t="str">
        <f t="shared" si="15"/>
        <v>augmentSkillName1,records/skillsspirit/wraithlord_petmodifier_deathnova.dbr,,</v>
      </c>
      <c r="G43" s="7">
        <f t="shared" si="10"/>
        <v>41</v>
      </c>
      <c r="H43" s="8" t="str">
        <f t="shared" si="11"/>
        <v>Spirit</v>
      </c>
      <c r="I43" s="3" t="s">
        <v>635</v>
      </c>
      <c r="J43" s="8" t="str">
        <f t="shared" si="21"/>
        <v>class0018</v>
      </c>
      <c r="K43" s="8" t="str">
        <f t="shared" si="21"/>
        <v>dailoneskill0018</v>
      </c>
      <c r="L43" s="5" t="str">
        <f t="shared" si="4"/>
        <v>lootName41,DAIL/items/materia/class0018/Spirit41.dbr,</v>
      </c>
      <c r="M43" s="5" t="str">
        <f t="shared" si="5"/>
        <v>lootWeight41,1,</v>
      </c>
      <c r="N43" t="str">
        <f t="shared" si="6"/>
        <v>3</v>
      </c>
      <c r="O43" t="str">
        <f t="shared" si="16"/>
        <v>copy .\dail_base3.dbr .\items\materia\class0018\Spirit41.dbr /y</v>
      </c>
      <c r="P43" t="str">
        <f t="shared" si="7"/>
        <v>echo relicBitmap,items/craftingparts/components/component_a52_bristlyfur_b.tex, &gt;&gt; .\items\materia\class0018\Spirit41.dbr</v>
      </c>
      <c r="Q43" t="str">
        <f t="shared" si="7"/>
        <v>echo itemCost,500000, &gt;&gt; .\items\materia\class0018\Spirit41.dbr</v>
      </c>
      <c r="R43" t="str">
        <f t="shared" si="7"/>
        <v>echo description,dailCompDescSpirit41, &gt;&gt; .\items\materia\class0018\Spirit41.dbr</v>
      </c>
      <c r="S43" t="str">
        <f t="shared" si="7"/>
        <v>echo itemText,dailCompTextSpirit41, &gt;&gt; .\items\materia\class0018\Spirit41.dbr</v>
      </c>
      <c r="T43" t="str">
        <f t="shared" si="7"/>
        <v>echo augmentSkillLevel1,3, &gt;&gt; .\items\materia\class0018\Spirit41.dbr</v>
      </c>
      <c r="U43" t="str">
        <f t="shared" si="7"/>
        <v>echo augmentSkillName1,records/skillsspirit/wraithlord_petmodifier_deathnova.dbr,, &gt;&gt; .\items\materia\class0018\Spirit41.dbr</v>
      </c>
      <c r="V43" s="5" t="s">
        <v>36</v>
      </c>
      <c r="W43" t="str">
        <f t="shared" si="8"/>
        <v>echo lootName41,DAIL/items/materia/class0018/Spirit41.dbr, &gt;&gt; .\items\loottables\dailoneskill0018.dbr</v>
      </c>
      <c r="X43" t="str">
        <f t="shared" si="8"/>
        <v>echo lootWeight41,1, &gt;&gt; .\items\loottables\dailoneskill0018.dbr</v>
      </c>
      <c r="Y43" s="5" t="s">
        <v>36</v>
      </c>
      <c r="Z43" t="str">
        <f t="shared" si="9"/>
        <v xml:space="preserve"> dailCompDescSpirit41=^pSpirit's Gift of DAIL</v>
      </c>
      <c r="AA43" t="str">
        <f t="shared" si="17"/>
        <v>dailCompTextSpirit41=^oThis feels warm to the touch, almost familiar ^w(This component only fits into the Medal Slot)</v>
      </c>
      <c r="AB43" s="5" t="s">
        <v>36</v>
      </c>
      <c r="AH43">
        <f t="shared" si="19"/>
        <v>38</v>
      </c>
      <c r="AI43">
        <f t="shared" si="13"/>
        <v>44</v>
      </c>
      <c r="AJ43">
        <f t="shared" si="18"/>
        <v>3</v>
      </c>
    </row>
    <row r="44" spans="1:36" x14ac:dyDescent="0.25">
      <c r="A44" s="5" t="s">
        <v>39</v>
      </c>
      <c r="B44" s="5" t="s">
        <v>30</v>
      </c>
      <c r="C44" s="5" t="str">
        <f t="shared" si="0"/>
        <v>description,dailCompDescSpirit42,</v>
      </c>
      <c r="D44" s="5" t="str">
        <f t="shared" si="2"/>
        <v>itemText,dailCompTextSpirit42,</v>
      </c>
      <c r="E44" s="5" t="str">
        <f t="shared" si="14"/>
        <v>augmentSkillLevel1,3,</v>
      </c>
      <c r="F44" s="5" t="str">
        <f t="shared" si="15"/>
        <v>augmentSkillName1,records/skillsspirit/wraithlord_petmodifier_wraithshell.dbr,,</v>
      </c>
      <c r="G44" s="7">
        <f t="shared" si="10"/>
        <v>42</v>
      </c>
      <c r="H44" s="8" t="str">
        <f t="shared" si="11"/>
        <v>Spirit</v>
      </c>
      <c r="I44" s="3" t="s">
        <v>636</v>
      </c>
      <c r="J44" s="8" t="str">
        <f t="shared" si="21"/>
        <v>class0018</v>
      </c>
      <c r="K44" s="8" t="str">
        <f t="shared" si="21"/>
        <v>dailoneskill0018</v>
      </c>
      <c r="L44" s="5" t="str">
        <f t="shared" si="4"/>
        <v>lootName42,DAIL/items/materia/class0018/Spirit42.dbr,</v>
      </c>
      <c r="M44" s="5" t="str">
        <f t="shared" si="5"/>
        <v>lootWeight42,1,</v>
      </c>
      <c r="N44" t="str">
        <f t="shared" si="6"/>
        <v>3</v>
      </c>
      <c r="O44" t="str">
        <f t="shared" si="16"/>
        <v>copy .\dail_base3.dbr .\items\materia\class0018\Spirit42.dbr /y</v>
      </c>
      <c r="P44" t="str">
        <f t="shared" si="7"/>
        <v>echo relicBitmap,items/craftingparts/components/component_a52_bristlyfur_b.tex, &gt;&gt; .\items\materia\class0018\Spirit42.dbr</v>
      </c>
      <c r="Q44" t="str">
        <f t="shared" si="7"/>
        <v>echo itemCost,500000, &gt;&gt; .\items\materia\class0018\Spirit42.dbr</v>
      </c>
      <c r="R44" t="str">
        <f t="shared" si="7"/>
        <v>echo description,dailCompDescSpirit42, &gt;&gt; .\items\materia\class0018\Spirit42.dbr</v>
      </c>
      <c r="S44" t="str">
        <f t="shared" si="7"/>
        <v>echo itemText,dailCompTextSpirit42, &gt;&gt; .\items\materia\class0018\Spirit42.dbr</v>
      </c>
      <c r="T44" t="str">
        <f t="shared" si="7"/>
        <v>echo augmentSkillLevel1,3, &gt;&gt; .\items\materia\class0018\Spirit42.dbr</v>
      </c>
      <c r="U44" t="str">
        <f t="shared" si="7"/>
        <v>echo augmentSkillName1,records/skillsspirit/wraithlord_petmodifier_wraithshell.dbr,, &gt;&gt; .\items\materia\class0018\Spirit42.dbr</v>
      </c>
      <c r="V44" s="5" t="s">
        <v>36</v>
      </c>
      <c r="W44" t="str">
        <f t="shared" si="8"/>
        <v>echo lootName42,DAIL/items/materia/class0018/Spirit42.dbr, &gt;&gt; .\items\loottables\dailoneskill0018.dbr</v>
      </c>
      <c r="X44" t="str">
        <f t="shared" si="8"/>
        <v>echo lootWeight42,1, &gt;&gt; .\items\loottables\dailoneskill0018.dbr</v>
      </c>
      <c r="Y44" s="5" t="s">
        <v>36</v>
      </c>
      <c r="Z44" t="str">
        <f t="shared" si="9"/>
        <v xml:space="preserve"> dailCompDescSpirit42=^pSpirit's Gift of DAIL</v>
      </c>
      <c r="AA44" t="str">
        <f t="shared" si="17"/>
        <v>dailCompTextSpirit42=^oThis feels warm to the touch, almost familiar ^w(This component only fits into the Medal Slot)</v>
      </c>
      <c r="AB44" s="5" t="s">
        <v>36</v>
      </c>
      <c r="AH44">
        <f t="shared" si="19"/>
        <v>39</v>
      </c>
      <c r="AI44">
        <f t="shared" si="13"/>
        <v>46</v>
      </c>
      <c r="AJ44">
        <f t="shared" si="18"/>
        <v>3</v>
      </c>
    </row>
    <row r="45" spans="1:36" x14ac:dyDescent="0.25">
      <c r="A45" s="5" t="s">
        <v>39</v>
      </c>
      <c r="B45" s="5" t="s">
        <v>30</v>
      </c>
      <c r="C45" s="5" t="str">
        <f t="shared" si="0"/>
        <v>description,dailCompDescSpirit43,</v>
      </c>
      <c r="D45" s="5" t="str">
        <f t="shared" si="2"/>
        <v>itemText,dailCompTextSpirit43,</v>
      </c>
      <c r="E45" s="5" t="str">
        <f t="shared" si="14"/>
        <v>augmentSkillLevel1,5,</v>
      </c>
      <c r="F45" s="5" t="str">
        <f t="shared" si="15"/>
        <v>augmentSkillName1,records/skillsspirit/wraithlord_petmodifier_arcaneblast.dbr,,</v>
      </c>
      <c r="G45" s="7">
        <f t="shared" si="10"/>
        <v>43</v>
      </c>
      <c r="H45" s="8" t="str">
        <f t="shared" si="11"/>
        <v>Spirit</v>
      </c>
      <c r="I45" s="3" t="s">
        <v>637</v>
      </c>
      <c r="J45" s="8" t="str">
        <f t="shared" si="21"/>
        <v>class0018</v>
      </c>
      <c r="K45" s="8" t="str">
        <f t="shared" si="21"/>
        <v>dailoneskill0018</v>
      </c>
      <c r="L45" s="5" t="str">
        <f t="shared" si="4"/>
        <v>lootName43,DAIL/items/materia/class0018/Spirit43.dbr,</v>
      </c>
      <c r="M45" s="5" t="str">
        <f t="shared" si="5"/>
        <v>lootWeight43,1,</v>
      </c>
      <c r="N45" t="str">
        <f t="shared" si="6"/>
        <v>5</v>
      </c>
      <c r="O45" t="str">
        <f t="shared" si="16"/>
        <v>copy .\dail_base3.dbr .\items\materia\class0018\Spirit43.dbr /y</v>
      </c>
      <c r="P45" t="str">
        <f t="shared" si="7"/>
        <v>echo relicBitmap,items/craftingparts/components/component_a52_bristlyfur_b.tex, &gt;&gt; .\items\materia\class0018\Spirit43.dbr</v>
      </c>
      <c r="Q45" t="str">
        <f t="shared" si="7"/>
        <v>echo itemCost,500000, &gt;&gt; .\items\materia\class0018\Spirit43.dbr</v>
      </c>
      <c r="R45" t="str">
        <f t="shared" si="7"/>
        <v>echo description,dailCompDescSpirit43, &gt;&gt; .\items\materia\class0018\Spirit43.dbr</v>
      </c>
      <c r="S45" t="str">
        <f t="shared" si="7"/>
        <v>echo itemText,dailCompTextSpirit43, &gt;&gt; .\items\materia\class0018\Spirit43.dbr</v>
      </c>
      <c r="T45" t="str">
        <f t="shared" si="7"/>
        <v>echo augmentSkillLevel1,5, &gt;&gt; .\items\materia\class0018\Spirit43.dbr</v>
      </c>
      <c r="U45" t="str">
        <f t="shared" si="7"/>
        <v>echo augmentSkillName1,records/skillsspirit/wraithlord_petmodifier_arcaneblast.dbr,, &gt;&gt; .\items\materia\class0018\Spirit43.dbr</v>
      </c>
      <c r="V45" s="5" t="s">
        <v>36</v>
      </c>
      <c r="W45" t="str">
        <f t="shared" si="8"/>
        <v>echo lootName43,DAIL/items/materia/class0018/Spirit43.dbr, &gt;&gt; .\items\loottables\dailoneskill0018.dbr</v>
      </c>
      <c r="X45" t="str">
        <f t="shared" si="8"/>
        <v>echo lootWeight43,1, &gt;&gt; .\items\loottables\dailoneskill0018.dbr</v>
      </c>
      <c r="Y45" s="5" t="s">
        <v>36</v>
      </c>
      <c r="Z45" t="str">
        <f t="shared" si="9"/>
        <v xml:space="preserve"> dailCompDescSpirit43=^pSpirit's Gift of DAIL</v>
      </c>
      <c r="AA45" t="str">
        <f t="shared" si="17"/>
        <v>dailCompTextSpirit43=^oThis feels warm to the touch, almost familiar ^w(This component only fits into the Medal Slot)</v>
      </c>
      <c r="AB45" s="5" t="s">
        <v>36</v>
      </c>
      <c r="AH45">
        <f t="shared" si="19"/>
        <v>40</v>
      </c>
      <c r="AI45">
        <f t="shared" si="13"/>
        <v>46</v>
      </c>
      <c r="AJ45">
        <f t="shared" si="18"/>
        <v>5</v>
      </c>
    </row>
    <row r="46" spans="1:36" x14ac:dyDescent="0.25">
      <c r="A46" s="5" t="s">
        <v>39</v>
      </c>
      <c r="B46" s="5" t="s">
        <v>30</v>
      </c>
      <c r="C46" s="5" t="str">
        <f t="shared" si="0"/>
        <v>description,dailCompDescSpirit44,</v>
      </c>
      <c r="D46" s="5" t="str">
        <f t="shared" si="2"/>
        <v>itemText,dailCompTextSpirit44,</v>
      </c>
      <c r="E46" s="5" t="str">
        <f t="shared" si="14"/>
        <v>augmentSkillLevel1,5,</v>
      </c>
      <c r="F46" s="5" t="str">
        <f t="shared" si="15"/>
        <v>augmentSkillName1,records/skillsspirit/visionofdeath.dbr,,</v>
      </c>
      <c r="G46" s="7">
        <f t="shared" si="10"/>
        <v>44</v>
      </c>
      <c r="H46" s="8" t="str">
        <f t="shared" si="11"/>
        <v>Spirit</v>
      </c>
      <c r="I46" s="3" t="s">
        <v>618</v>
      </c>
      <c r="J46" s="8" t="str">
        <f t="shared" si="21"/>
        <v>class0018</v>
      </c>
      <c r="K46" s="8" t="str">
        <f t="shared" si="21"/>
        <v>dailoneskill0018</v>
      </c>
      <c r="L46" s="5" t="str">
        <f t="shared" si="4"/>
        <v>lootName44,DAIL/items/materia/class0018/Spirit44.dbr,</v>
      </c>
      <c r="M46" s="5" t="str">
        <f t="shared" si="5"/>
        <v>lootWeight44,1,</v>
      </c>
      <c r="N46" t="str">
        <f t="shared" si="6"/>
        <v>5</v>
      </c>
      <c r="O46" t="str">
        <f t="shared" si="16"/>
        <v>copy .\dail_base3.dbr .\items\materia\class0018\Spirit44.dbr /y</v>
      </c>
      <c r="P46" t="str">
        <f t="shared" si="7"/>
        <v>echo relicBitmap,items/craftingparts/components/component_a52_bristlyfur_b.tex, &gt;&gt; .\items\materia\class0018\Spirit44.dbr</v>
      </c>
      <c r="Q46" t="str">
        <f t="shared" si="7"/>
        <v>echo itemCost,500000, &gt;&gt; .\items\materia\class0018\Spirit44.dbr</v>
      </c>
      <c r="R46" t="str">
        <f t="shared" si="7"/>
        <v>echo description,dailCompDescSpirit44, &gt;&gt; .\items\materia\class0018\Spirit44.dbr</v>
      </c>
      <c r="S46" t="str">
        <f t="shared" si="7"/>
        <v>echo itemText,dailCompTextSpirit44, &gt;&gt; .\items\materia\class0018\Spirit44.dbr</v>
      </c>
      <c r="T46" t="str">
        <f t="shared" si="7"/>
        <v>echo augmentSkillLevel1,5, &gt;&gt; .\items\materia\class0018\Spirit44.dbr</v>
      </c>
      <c r="U46" t="str">
        <f t="shared" si="7"/>
        <v>echo augmentSkillName1,records/skillsspirit/visionofdeath.dbr,, &gt;&gt; .\items\materia\class0018\Spirit44.dbr</v>
      </c>
      <c r="V46" s="5" t="s">
        <v>36</v>
      </c>
      <c r="W46" t="str">
        <f t="shared" si="8"/>
        <v>echo lootName44,DAIL/items/materia/class0018/Spirit44.dbr, &gt;&gt; .\items\loottables\dailoneskill0018.dbr</v>
      </c>
      <c r="X46" t="str">
        <f t="shared" si="8"/>
        <v>echo lootWeight44,1, &gt;&gt; .\items\loottables\dailoneskill0018.dbr</v>
      </c>
      <c r="Y46" s="5" t="s">
        <v>36</v>
      </c>
      <c r="Z46" t="str">
        <f t="shared" si="9"/>
        <v xml:space="preserve"> dailCompDescSpirit44=^pSpirit's Gift of DAIL</v>
      </c>
      <c r="AA46" t="str">
        <f t="shared" si="17"/>
        <v>dailCompTextSpirit44=^oThis feels warm to the touch, almost familiar ^w(This component only fits into the Medal Slot)</v>
      </c>
      <c r="AB46" s="5" t="s">
        <v>36</v>
      </c>
      <c r="AH46">
        <f t="shared" si="19"/>
        <v>41</v>
      </c>
      <c r="AI46">
        <f t="shared" si="13"/>
        <v>25</v>
      </c>
      <c r="AJ46">
        <f t="shared" si="18"/>
        <v>5</v>
      </c>
    </row>
    <row r="47" spans="1:36" x14ac:dyDescent="0.25">
      <c r="A47" s="5" t="s">
        <v>39</v>
      </c>
      <c r="B47" s="5" t="s">
        <v>30</v>
      </c>
      <c r="C47" s="5" t="str">
        <f t="shared" si="0"/>
        <v>description,dailCompDescSpirit45,</v>
      </c>
      <c r="D47" s="5" t="str">
        <f t="shared" si="2"/>
        <v>itemText,dailCompTextSpirit45,</v>
      </c>
      <c r="E47" s="5" t="str">
        <f t="shared" si="14"/>
        <v>augmentSkillLevel1,5,</v>
      </c>
      <c r="F47" s="5" t="str">
        <f t="shared" si="15"/>
        <v>augmentSkillName1,records/skillsspirit/deathward.dbr,,</v>
      </c>
      <c r="G47" s="7">
        <f t="shared" si="10"/>
        <v>45</v>
      </c>
      <c r="H47" s="8" t="str">
        <f t="shared" si="11"/>
        <v>Spirit</v>
      </c>
      <c r="I47" s="3" t="s">
        <v>619</v>
      </c>
      <c r="J47" s="8" t="str">
        <f t="shared" si="21"/>
        <v>class0018</v>
      </c>
      <c r="K47" s="8" t="str">
        <f t="shared" si="21"/>
        <v>dailoneskill0018</v>
      </c>
      <c r="L47" s="5" t="str">
        <f t="shared" si="4"/>
        <v>lootName45,DAIL/items/materia/class0018/Spirit45.dbr,</v>
      </c>
      <c r="M47" s="5" t="str">
        <f t="shared" si="5"/>
        <v>lootWeight45,1,</v>
      </c>
      <c r="N47" t="str">
        <f t="shared" si="6"/>
        <v>5</v>
      </c>
      <c r="O47" t="str">
        <f t="shared" si="16"/>
        <v>copy .\dail_base3.dbr .\items\materia\class0018\Spirit45.dbr /y</v>
      </c>
      <c r="P47" t="str">
        <f t="shared" si="7"/>
        <v>echo relicBitmap,items/craftingparts/components/component_a52_bristlyfur_b.tex, &gt;&gt; .\items\materia\class0018\Spirit45.dbr</v>
      </c>
      <c r="Q47" t="str">
        <f t="shared" si="7"/>
        <v>echo itemCost,500000, &gt;&gt; .\items\materia\class0018\Spirit45.dbr</v>
      </c>
      <c r="R47" t="str">
        <f t="shared" si="7"/>
        <v>echo description,dailCompDescSpirit45, &gt;&gt; .\items\materia\class0018\Spirit45.dbr</v>
      </c>
      <c r="S47" t="str">
        <f t="shared" si="7"/>
        <v>echo itemText,dailCompTextSpirit45, &gt;&gt; .\items\materia\class0018\Spirit45.dbr</v>
      </c>
      <c r="T47" t="str">
        <f t="shared" si="7"/>
        <v>echo augmentSkillLevel1,5, &gt;&gt; .\items\materia\class0018\Spirit45.dbr</v>
      </c>
      <c r="U47" t="str">
        <f t="shared" si="7"/>
        <v>echo augmentSkillName1,records/skillsspirit/deathward.dbr,, &gt;&gt; .\items\materia\class0018\Spirit45.dbr</v>
      </c>
      <c r="V47" s="5" t="s">
        <v>36</v>
      </c>
      <c r="W47" t="str">
        <f t="shared" si="8"/>
        <v>echo lootName45,DAIL/items/materia/class0018/Spirit45.dbr, &gt;&gt; .\items\loottables\dailoneskill0018.dbr</v>
      </c>
      <c r="X47" t="str">
        <f t="shared" si="8"/>
        <v>echo lootWeight45,1, &gt;&gt; .\items\loottables\dailoneskill0018.dbr</v>
      </c>
      <c r="Y47" s="5" t="s">
        <v>36</v>
      </c>
      <c r="Z47" t="str">
        <f t="shared" si="9"/>
        <v xml:space="preserve"> dailCompDescSpirit45=^pSpirit's Gift of DAIL</v>
      </c>
      <c r="AA47" t="str">
        <f t="shared" si="17"/>
        <v>dailCompTextSpirit45=^oThis feels warm to the touch, almost familiar ^w(This component only fits into the Medal Slot)</v>
      </c>
      <c r="AB47" s="5" t="s">
        <v>36</v>
      </c>
      <c r="AH47">
        <f t="shared" si="19"/>
        <v>42</v>
      </c>
      <c r="AI47">
        <f t="shared" si="13"/>
        <v>21</v>
      </c>
      <c r="AJ47">
        <f t="shared" si="18"/>
        <v>5</v>
      </c>
    </row>
    <row r="48" spans="1:36" x14ac:dyDescent="0.25">
      <c r="A48" s="5" t="s">
        <v>39</v>
      </c>
      <c r="B48" s="5" t="s">
        <v>30</v>
      </c>
      <c r="C48" s="5" t="str">
        <f t="shared" si="0"/>
        <v>description,dailCompDescSpirit46,</v>
      </c>
      <c r="D48" s="5" t="str">
        <f t="shared" si="2"/>
        <v>itemText,dailCompTextSpirit46,</v>
      </c>
      <c r="E48" s="5" t="str">
        <f t="shared" si="14"/>
        <v>augmentSkillLevel1,5,</v>
      </c>
      <c r="F48" s="5" t="str">
        <f t="shared" si="15"/>
        <v>augmentSkillName1,records/skillsspirit/deathchillaura.dbr,,</v>
      </c>
      <c r="G48" s="7">
        <f t="shared" si="10"/>
        <v>46</v>
      </c>
      <c r="H48" s="8" t="str">
        <f t="shared" si="11"/>
        <v>Spirit</v>
      </c>
      <c r="I48" s="3" t="s">
        <v>620</v>
      </c>
      <c r="J48" s="8" t="str">
        <f t="shared" si="21"/>
        <v>class0018</v>
      </c>
      <c r="K48" s="8" t="str">
        <f t="shared" si="21"/>
        <v>dailoneskill0018</v>
      </c>
      <c r="L48" s="5" t="str">
        <f t="shared" si="4"/>
        <v>lootName46,DAIL/items/materia/class0018/Spirit46.dbr,</v>
      </c>
      <c r="M48" s="5" t="str">
        <f t="shared" si="5"/>
        <v>lootWeight46,1,</v>
      </c>
      <c r="N48" t="str">
        <f t="shared" si="6"/>
        <v>5</v>
      </c>
      <c r="O48" t="str">
        <f t="shared" si="16"/>
        <v>copy .\dail_base3.dbr .\items\materia\class0018\Spirit46.dbr /y</v>
      </c>
      <c r="P48" t="str">
        <f t="shared" si="7"/>
        <v>echo relicBitmap,items/craftingparts/components/component_a52_bristlyfur_b.tex, &gt;&gt; .\items\materia\class0018\Spirit46.dbr</v>
      </c>
      <c r="Q48" t="str">
        <f t="shared" si="7"/>
        <v>echo itemCost,500000, &gt;&gt; .\items\materia\class0018\Spirit46.dbr</v>
      </c>
      <c r="R48" t="str">
        <f t="shared" si="7"/>
        <v>echo description,dailCompDescSpirit46, &gt;&gt; .\items\materia\class0018\Spirit46.dbr</v>
      </c>
      <c r="S48" t="str">
        <f t="shared" si="7"/>
        <v>echo itemText,dailCompTextSpirit46, &gt;&gt; .\items\materia\class0018\Spirit46.dbr</v>
      </c>
      <c r="T48" t="str">
        <f t="shared" si="7"/>
        <v>echo augmentSkillLevel1,5, &gt;&gt; .\items\materia\class0018\Spirit46.dbr</v>
      </c>
      <c r="U48" t="str">
        <f t="shared" si="7"/>
        <v>echo augmentSkillName1,records/skillsspirit/deathchillaura.dbr,, &gt;&gt; .\items\materia\class0018\Spirit46.dbr</v>
      </c>
      <c r="V48" s="5" t="s">
        <v>36</v>
      </c>
      <c r="W48" t="str">
        <f t="shared" si="8"/>
        <v>echo lootName46,DAIL/items/materia/class0018/Spirit46.dbr, &gt;&gt; .\items\loottables\dailoneskill0018.dbr</v>
      </c>
      <c r="X48" t="str">
        <f t="shared" si="8"/>
        <v>echo lootWeight46,1, &gt;&gt; .\items\loottables\dailoneskill0018.dbr</v>
      </c>
      <c r="Y48" s="5" t="s">
        <v>36</v>
      </c>
      <c r="Z48" t="str">
        <f t="shared" si="9"/>
        <v xml:space="preserve"> dailCompDescSpirit46=^pSpirit's Gift of DAIL</v>
      </c>
      <c r="AA48" t="str">
        <f t="shared" si="17"/>
        <v>dailCompTextSpirit46=^oThis feels warm to the touch, almost familiar ^w(This component only fits into the Medal Slot)</v>
      </c>
      <c r="AB48" s="5" t="s">
        <v>36</v>
      </c>
      <c r="AH48">
        <f t="shared" si="19"/>
        <v>43</v>
      </c>
      <c r="AI48">
        <f t="shared" si="13"/>
        <v>26</v>
      </c>
      <c r="AJ48">
        <f t="shared" si="18"/>
        <v>5</v>
      </c>
    </row>
    <row r="49" spans="1:36" x14ac:dyDescent="0.25">
      <c r="A49" s="5" t="s">
        <v>39</v>
      </c>
      <c r="B49" s="5" t="s">
        <v>30</v>
      </c>
      <c r="C49" s="5" t="str">
        <f t="shared" si="0"/>
        <v>description,dailCompDescSpirit47,</v>
      </c>
      <c r="D49" s="5" t="str">
        <f t="shared" si="2"/>
        <v>itemText,dailCompTextSpirit47,</v>
      </c>
      <c r="E49" s="5" t="str">
        <f t="shared" si="14"/>
        <v>augmentSkillLevel1,5,</v>
      </c>
      <c r="F49" s="5" t="str">
        <f t="shared" si="15"/>
        <v>augmentSkillName1,records/skillsspirit/deathchillaura_ravagesoftime.dbr,,</v>
      </c>
      <c r="G49" s="7">
        <f t="shared" si="10"/>
        <v>47</v>
      </c>
      <c r="H49" s="8" t="str">
        <f t="shared" si="11"/>
        <v>Spirit</v>
      </c>
      <c r="I49" s="3" t="s">
        <v>621</v>
      </c>
      <c r="J49" s="8" t="str">
        <f t="shared" si="21"/>
        <v>class0018</v>
      </c>
      <c r="K49" s="8" t="str">
        <f t="shared" si="21"/>
        <v>dailoneskill0018</v>
      </c>
      <c r="L49" s="5" t="str">
        <f t="shared" si="4"/>
        <v>lootName47,DAIL/items/materia/class0018/Spirit47.dbr,</v>
      </c>
      <c r="M49" s="5" t="str">
        <f t="shared" si="5"/>
        <v>lootWeight47,1,</v>
      </c>
      <c r="N49" t="str">
        <f t="shared" si="6"/>
        <v>5</v>
      </c>
      <c r="O49" t="str">
        <f t="shared" si="16"/>
        <v>copy .\dail_base3.dbr .\items\materia\class0018\Spirit47.dbr /y</v>
      </c>
      <c r="P49" t="str">
        <f t="shared" si="7"/>
        <v>echo relicBitmap,items/craftingparts/components/component_a52_bristlyfur_b.tex, &gt;&gt; .\items\materia\class0018\Spirit47.dbr</v>
      </c>
      <c r="Q49" t="str">
        <f t="shared" si="7"/>
        <v>echo itemCost,500000, &gt;&gt; .\items\materia\class0018\Spirit47.dbr</v>
      </c>
      <c r="R49" t="str">
        <f t="shared" si="7"/>
        <v>echo description,dailCompDescSpirit47, &gt;&gt; .\items\materia\class0018\Spirit47.dbr</v>
      </c>
      <c r="S49" t="str">
        <f t="shared" si="7"/>
        <v>echo itemText,dailCompTextSpirit47, &gt;&gt; .\items\materia\class0018\Spirit47.dbr</v>
      </c>
      <c r="T49" t="str">
        <f t="shared" si="7"/>
        <v>echo augmentSkillLevel1,5, &gt;&gt; .\items\materia\class0018\Spirit47.dbr</v>
      </c>
      <c r="U49" t="str">
        <f t="shared" si="7"/>
        <v>echo augmentSkillName1,records/skillsspirit/deathchillaura_ravagesoftime.dbr,, &gt;&gt; .\items\materia\class0018\Spirit47.dbr</v>
      </c>
      <c r="V49" s="5" t="s">
        <v>36</v>
      </c>
      <c r="W49" t="str">
        <f t="shared" si="8"/>
        <v>echo lootName47,DAIL/items/materia/class0018/Spirit47.dbr, &gt;&gt; .\items\loottables\dailoneskill0018.dbr</v>
      </c>
      <c r="X49" t="str">
        <f t="shared" si="8"/>
        <v>echo lootWeight47,1, &gt;&gt; .\items\loottables\dailoneskill0018.dbr</v>
      </c>
      <c r="Y49" s="5" t="s">
        <v>36</v>
      </c>
      <c r="Z49" t="str">
        <f t="shared" si="9"/>
        <v xml:space="preserve"> dailCompDescSpirit47=^pSpirit's Gift of DAIL</v>
      </c>
      <c r="AA49" t="str">
        <f t="shared" si="17"/>
        <v>dailCompTextSpirit47=^oThis feels warm to the touch, almost familiar ^w(This component only fits into the Medal Slot)</v>
      </c>
      <c r="AB49" s="5" t="s">
        <v>36</v>
      </c>
      <c r="AH49">
        <f t="shared" si="19"/>
        <v>44</v>
      </c>
      <c r="AI49">
        <f t="shared" si="13"/>
        <v>40</v>
      </c>
      <c r="AJ49">
        <f t="shared" si="18"/>
        <v>5</v>
      </c>
    </row>
    <row r="50" spans="1:36" x14ac:dyDescent="0.25">
      <c r="A50" s="5" t="s">
        <v>39</v>
      </c>
      <c r="B50" s="5" t="s">
        <v>30</v>
      </c>
      <c r="C50" s="5" t="str">
        <f t="shared" si="0"/>
        <v>description,dailCompDescSpirit48,</v>
      </c>
      <c r="D50" s="5" t="str">
        <f t="shared" si="2"/>
        <v>itemText,dailCompTextSpirit48,</v>
      </c>
      <c r="E50" s="5" t="str">
        <f t="shared" si="14"/>
        <v>augmentSkillLevel1,5,</v>
      </c>
      <c r="F50" s="5" t="str">
        <f t="shared" si="15"/>
        <v>augmentSkillName1,records/skillsspirit/deathchillaura_necrosis.dbr,,</v>
      </c>
      <c r="G50" s="7">
        <f t="shared" si="10"/>
        <v>48</v>
      </c>
      <c r="H50" s="8" t="str">
        <f t="shared" si="11"/>
        <v>Spirit</v>
      </c>
      <c r="I50" s="3" t="s">
        <v>622</v>
      </c>
      <c r="J50" s="8" t="str">
        <f t="shared" si="21"/>
        <v>class0018</v>
      </c>
      <c r="K50" s="8" t="str">
        <f t="shared" si="21"/>
        <v>dailoneskill0018</v>
      </c>
      <c r="L50" s="5" t="str">
        <f t="shared" si="4"/>
        <v>lootName48,DAIL/items/materia/class0018/Spirit48.dbr,</v>
      </c>
      <c r="M50" s="5" t="str">
        <f t="shared" si="5"/>
        <v>lootWeight48,1,</v>
      </c>
      <c r="N50" t="str">
        <f t="shared" si="6"/>
        <v>5</v>
      </c>
      <c r="O50" t="str">
        <f t="shared" si="16"/>
        <v>copy .\dail_base3.dbr .\items\materia\class0018\Spirit48.dbr /y</v>
      </c>
      <c r="P50" t="str">
        <f t="shared" si="7"/>
        <v>echo relicBitmap,items/craftingparts/components/component_a52_bristlyfur_b.tex, &gt;&gt; .\items\materia\class0018\Spirit48.dbr</v>
      </c>
      <c r="Q50" t="str">
        <f t="shared" si="7"/>
        <v>echo itemCost,500000, &gt;&gt; .\items\materia\class0018\Spirit48.dbr</v>
      </c>
      <c r="R50" t="str">
        <f t="shared" si="7"/>
        <v>echo description,dailCompDescSpirit48, &gt;&gt; .\items\materia\class0018\Spirit48.dbr</v>
      </c>
      <c r="S50" t="str">
        <f t="shared" si="7"/>
        <v>echo itemText,dailCompTextSpirit48, &gt;&gt; .\items\materia\class0018\Spirit48.dbr</v>
      </c>
      <c r="T50" t="str">
        <f t="shared" si="7"/>
        <v>echo augmentSkillLevel1,5, &gt;&gt; .\items\materia\class0018\Spirit48.dbr</v>
      </c>
      <c r="U50" t="str">
        <f t="shared" si="7"/>
        <v>echo augmentSkillName1,records/skillsspirit/deathchillaura_necrosis.dbr,, &gt;&gt; .\items\materia\class0018\Spirit48.dbr</v>
      </c>
      <c r="V50" s="5" t="s">
        <v>36</v>
      </c>
      <c r="W50" t="str">
        <f t="shared" si="8"/>
        <v>echo lootName48,DAIL/items/materia/class0018/Spirit48.dbr, &gt;&gt; .\items\loottables\dailoneskill0018.dbr</v>
      </c>
      <c r="X50" t="str">
        <f t="shared" si="8"/>
        <v>echo lootWeight48,1, &gt;&gt; .\items\loottables\dailoneskill0018.dbr</v>
      </c>
      <c r="Y50" s="5" t="s">
        <v>36</v>
      </c>
      <c r="Z50" t="str">
        <f t="shared" si="9"/>
        <v xml:space="preserve"> dailCompDescSpirit48=^pSpirit's Gift of DAIL</v>
      </c>
      <c r="AA50" t="str">
        <f t="shared" si="17"/>
        <v>dailCompTextSpirit48=^oThis feels warm to the touch, almost familiar ^w(This component only fits into the Medal Slot)</v>
      </c>
      <c r="AB50" s="5" t="s">
        <v>36</v>
      </c>
      <c r="AH50">
        <f t="shared" si="19"/>
        <v>45</v>
      </c>
      <c r="AI50">
        <f t="shared" si="13"/>
        <v>35</v>
      </c>
      <c r="AJ50">
        <f t="shared" si="18"/>
        <v>5</v>
      </c>
    </row>
    <row r="51" spans="1:36" x14ac:dyDescent="0.25">
      <c r="A51" s="5" t="s">
        <v>39</v>
      </c>
      <c r="B51" s="5" t="s">
        <v>30</v>
      </c>
      <c r="C51" s="5" t="str">
        <f t="shared" si="0"/>
        <v>description,dailCompDescSpirit49,</v>
      </c>
      <c r="D51" s="5" t="str">
        <f t="shared" si="2"/>
        <v>itemText,dailCompTextSpirit49,</v>
      </c>
      <c r="E51" s="5" t="str">
        <f t="shared" si="14"/>
        <v>augmentSkillLevel1,5,</v>
      </c>
      <c r="F51" s="5" t="str">
        <f t="shared" si="15"/>
        <v>augmentSkillName1,records/skillsspirit/circleofpower.dbr,,</v>
      </c>
      <c r="G51" s="7">
        <f t="shared" si="10"/>
        <v>49</v>
      </c>
      <c r="H51" s="8" t="str">
        <f t="shared" si="11"/>
        <v>Spirit</v>
      </c>
      <c r="I51" s="3" t="s">
        <v>623</v>
      </c>
      <c r="J51" s="8" t="str">
        <f t="shared" si="21"/>
        <v>class0018</v>
      </c>
      <c r="K51" s="8" t="str">
        <f t="shared" si="21"/>
        <v>dailoneskill0018</v>
      </c>
      <c r="L51" s="5" t="str">
        <f t="shared" si="4"/>
        <v>lootName49,DAIL/items/materia/class0018/Spirit49.dbr,</v>
      </c>
      <c r="M51" s="5" t="str">
        <f t="shared" si="5"/>
        <v>lootWeight49,1,</v>
      </c>
      <c r="N51" t="str">
        <f t="shared" si="6"/>
        <v>5</v>
      </c>
      <c r="O51" t="str">
        <f t="shared" si="16"/>
        <v>copy .\dail_base3.dbr .\items\materia\class0018\Spirit49.dbr /y</v>
      </c>
      <c r="P51" t="str">
        <f t="shared" si="7"/>
        <v>echo relicBitmap,items/craftingparts/components/component_a52_bristlyfur_b.tex, &gt;&gt; .\items\materia\class0018\Spirit49.dbr</v>
      </c>
      <c r="Q51" t="str">
        <f t="shared" si="7"/>
        <v>echo itemCost,500000, &gt;&gt; .\items\materia\class0018\Spirit49.dbr</v>
      </c>
      <c r="R51" t="str">
        <f t="shared" si="7"/>
        <v>echo description,dailCompDescSpirit49, &gt;&gt; .\items\materia\class0018\Spirit49.dbr</v>
      </c>
      <c r="S51" t="str">
        <f t="shared" si="7"/>
        <v>echo itemText,dailCompTextSpirit49, &gt;&gt; .\items\materia\class0018\Spirit49.dbr</v>
      </c>
      <c r="T51" t="str">
        <f t="shared" si="7"/>
        <v>echo augmentSkillLevel1,5, &gt;&gt; .\items\materia\class0018\Spirit49.dbr</v>
      </c>
      <c r="U51" t="str">
        <f t="shared" si="7"/>
        <v>echo augmentSkillName1,records/skillsspirit/circleofpower.dbr,, &gt;&gt; .\items\materia\class0018\Spirit49.dbr</v>
      </c>
      <c r="V51" s="5" t="s">
        <v>36</v>
      </c>
      <c r="W51" t="str">
        <f t="shared" si="8"/>
        <v>echo lootName49,DAIL/items/materia/class0018/Spirit49.dbr, &gt;&gt; .\items\loottables\dailoneskill0018.dbr</v>
      </c>
      <c r="X51" t="str">
        <f t="shared" si="8"/>
        <v>echo lootWeight49,1, &gt;&gt; .\items\loottables\dailoneskill0018.dbr</v>
      </c>
      <c r="Y51" s="5" t="s">
        <v>36</v>
      </c>
      <c r="Z51" t="str">
        <f t="shared" si="9"/>
        <v xml:space="preserve"> dailCompDescSpirit49=^pSpirit's Gift of DAIL</v>
      </c>
      <c r="AA51" t="str">
        <f t="shared" si="17"/>
        <v>dailCompTextSpirit49=^oThis feels warm to the touch, almost familiar ^w(This component only fits into the Medal Slot)</v>
      </c>
      <c r="AB51" s="5" t="s">
        <v>36</v>
      </c>
      <c r="AH51">
        <f t="shared" si="19"/>
        <v>46</v>
      </c>
      <c r="AI51">
        <f t="shared" si="13"/>
        <v>25</v>
      </c>
      <c r="AJ51">
        <f t="shared" si="18"/>
        <v>5</v>
      </c>
    </row>
    <row r="52" spans="1:36" x14ac:dyDescent="0.25">
      <c r="A52" s="5" t="s">
        <v>39</v>
      </c>
      <c r="B52" s="5" t="s">
        <v>30</v>
      </c>
      <c r="C52" s="5" t="str">
        <f t="shared" si="0"/>
        <v>description,dailCompDescSpirit50,</v>
      </c>
      <c r="D52" s="5" t="str">
        <f t="shared" si="2"/>
        <v>itemText,dailCompTextSpirit50,</v>
      </c>
      <c r="E52" s="5" t="str">
        <f t="shared" si="14"/>
        <v>augmentSkillLevel1,5,</v>
      </c>
      <c r="F52" s="5" t="str">
        <f t="shared" si="15"/>
        <v>augmentSkillName1,records/skillsspirit/darkcovenant.dbr,,</v>
      </c>
      <c r="G52" s="7">
        <f t="shared" si="10"/>
        <v>50</v>
      </c>
      <c r="H52" s="8" t="str">
        <f t="shared" si="11"/>
        <v>Spirit</v>
      </c>
      <c r="I52" s="3" t="s">
        <v>624</v>
      </c>
      <c r="J52" s="8" t="str">
        <f t="shared" si="21"/>
        <v>class0018</v>
      </c>
      <c r="K52" s="8" t="str">
        <f t="shared" si="21"/>
        <v>dailoneskill0018</v>
      </c>
      <c r="L52" s="5" t="str">
        <f t="shared" si="4"/>
        <v>lootName50,DAIL/items/materia/class0018/Spirit50.dbr,</v>
      </c>
      <c r="M52" s="5" t="str">
        <f t="shared" si="5"/>
        <v>lootWeight50,1,</v>
      </c>
      <c r="N52" t="str">
        <f t="shared" si="6"/>
        <v>5</v>
      </c>
      <c r="O52" t="str">
        <f t="shared" si="16"/>
        <v>copy .\dail_base3.dbr .\items\materia\class0018\Spirit50.dbr /y</v>
      </c>
      <c r="P52" t="str">
        <f t="shared" si="7"/>
        <v>echo relicBitmap,items/craftingparts/components/component_a52_bristlyfur_b.tex, &gt;&gt; .\items\materia\class0018\Spirit50.dbr</v>
      </c>
      <c r="Q52" t="str">
        <f t="shared" si="7"/>
        <v>echo itemCost,500000, &gt;&gt; .\items\materia\class0018\Spirit50.dbr</v>
      </c>
      <c r="R52" t="str">
        <f t="shared" si="7"/>
        <v>echo description,dailCompDescSpirit50, &gt;&gt; .\items\materia\class0018\Spirit50.dbr</v>
      </c>
      <c r="S52" t="str">
        <f t="shared" si="7"/>
        <v>echo itemText,dailCompTextSpirit50, &gt;&gt; .\items\materia\class0018\Spirit50.dbr</v>
      </c>
      <c r="T52" t="str">
        <f t="shared" si="7"/>
        <v>echo augmentSkillLevel1,5, &gt;&gt; .\items\materia\class0018\Spirit50.dbr</v>
      </c>
      <c r="U52" t="str">
        <f t="shared" si="7"/>
        <v>echo augmentSkillName1,records/skillsspirit/darkcovenant.dbr,, &gt;&gt; .\items\materia\class0018\Spirit50.dbr</v>
      </c>
      <c r="V52" s="5" t="s">
        <v>36</v>
      </c>
      <c r="W52" t="str">
        <f t="shared" si="8"/>
        <v>echo lootName50,DAIL/items/materia/class0018/Spirit50.dbr, &gt;&gt; .\items\loottables\dailoneskill0018.dbr</v>
      </c>
      <c r="X52" t="str">
        <f t="shared" si="8"/>
        <v>echo lootWeight50,1, &gt;&gt; .\items\loottables\dailoneskill0018.dbr</v>
      </c>
      <c r="Y52" s="5" t="s">
        <v>36</v>
      </c>
      <c r="Z52" t="str">
        <f t="shared" si="9"/>
        <v xml:space="preserve"> dailCompDescSpirit50=^pSpirit's Gift of DAIL</v>
      </c>
      <c r="AA52" t="str">
        <f t="shared" si="17"/>
        <v>dailCompTextSpirit50=^oThis feels warm to the touch, almost familiar ^w(This component only fits into the Medal Slot)</v>
      </c>
      <c r="AB52" s="5" t="s">
        <v>36</v>
      </c>
      <c r="AH52">
        <f t="shared" si="19"/>
        <v>47</v>
      </c>
      <c r="AI52">
        <f t="shared" si="13"/>
        <v>24</v>
      </c>
      <c r="AJ52">
        <f t="shared" si="18"/>
        <v>5</v>
      </c>
    </row>
    <row r="53" spans="1:36" x14ac:dyDescent="0.25">
      <c r="A53" s="5" t="s">
        <v>39</v>
      </c>
      <c r="B53" s="5" t="s">
        <v>30</v>
      </c>
      <c r="C53" s="5" t="str">
        <f t="shared" si="0"/>
        <v>description,dailCompDescSpirit51,</v>
      </c>
      <c r="D53" s="5" t="str">
        <f t="shared" si="2"/>
        <v>itemText,dailCompTextSpirit51,</v>
      </c>
      <c r="E53" s="5" t="str">
        <f t="shared" si="14"/>
        <v>augmentSkillLevel1,5,</v>
      </c>
      <c r="F53" s="5" t="str">
        <f t="shared" si="15"/>
        <v>augmentSkillName1,records/skillsspirit/darkcovenant_unearthlypower.dbr,,</v>
      </c>
      <c r="G53" s="7">
        <f t="shared" si="10"/>
        <v>51</v>
      </c>
      <c r="H53" s="8" t="str">
        <f t="shared" si="11"/>
        <v>Spirit</v>
      </c>
      <c r="I53" s="3" t="s">
        <v>625</v>
      </c>
      <c r="J53" s="8" t="str">
        <f t="shared" ref="J53:K68" si="22">J52</f>
        <v>class0018</v>
      </c>
      <c r="K53" s="8" t="str">
        <f t="shared" si="22"/>
        <v>dailoneskill0018</v>
      </c>
      <c r="L53" s="5" t="str">
        <f t="shared" si="4"/>
        <v>lootName51,DAIL/items/materia/class0018/Spirit51.dbr,</v>
      </c>
      <c r="M53" s="5" t="str">
        <f t="shared" si="5"/>
        <v>lootWeight51,1,</v>
      </c>
      <c r="N53" t="str">
        <f t="shared" si="6"/>
        <v>5</v>
      </c>
      <c r="O53" t="str">
        <f t="shared" si="16"/>
        <v>copy .\dail_base3.dbr .\items\materia\class0018\Spirit51.dbr /y</v>
      </c>
      <c r="P53" t="str">
        <f t="shared" si="7"/>
        <v>echo relicBitmap,items/craftingparts/components/component_a52_bristlyfur_b.tex, &gt;&gt; .\items\materia\class0018\Spirit51.dbr</v>
      </c>
      <c r="Q53" t="str">
        <f t="shared" si="7"/>
        <v>echo itemCost,500000, &gt;&gt; .\items\materia\class0018\Spirit51.dbr</v>
      </c>
      <c r="R53" t="str">
        <f t="shared" si="7"/>
        <v>echo description,dailCompDescSpirit51, &gt;&gt; .\items\materia\class0018\Spirit51.dbr</v>
      </c>
      <c r="S53" t="str">
        <f t="shared" si="7"/>
        <v>echo itemText,dailCompTextSpirit51, &gt;&gt; .\items\materia\class0018\Spirit51.dbr</v>
      </c>
      <c r="T53" t="str">
        <f t="shared" si="7"/>
        <v>echo augmentSkillLevel1,5, &gt;&gt; .\items\materia\class0018\Spirit51.dbr</v>
      </c>
      <c r="U53" t="str">
        <f t="shared" si="7"/>
        <v>echo augmentSkillName1,records/skillsspirit/darkcovenant_unearthlypower.dbr,, &gt;&gt; .\items\materia\class0018\Spirit51.dbr</v>
      </c>
      <c r="V53" s="5" t="s">
        <v>36</v>
      </c>
      <c r="W53" t="str">
        <f t="shared" si="8"/>
        <v>echo lootName51,DAIL/items/materia/class0018/Spirit51.dbr, &gt;&gt; .\items\loottables\dailoneskill0018.dbr</v>
      </c>
      <c r="X53" t="str">
        <f t="shared" si="8"/>
        <v>echo lootWeight51,1, &gt;&gt; .\items\loottables\dailoneskill0018.dbr</v>
      </c>
      <c r="Y53" s="5" t="s">
        <v>36</v>
      </c>
      <c r="Z53" t="str">
        <f t="shared" si="9"/>
        <v xml:space="preserve"> dailCompDescSpirit51=^pSpirit's Gift of DAIL</v>
      </c>
      <c r="AA53" t="str">
        <f t="shared" si="17"/>
        <v>dailCompTextSpirit51=^oThis feels warm to the touch, almost familiar ^w(This component only fits into the Medal Slot)</v>
      </c>
      <c r="AB53" s="5" t="s">
        <v>36</v>
      </c>
      <c r="AH53">
        <f t="shared" si="19"/>
        <v>48</v>
      </c>
      <c r="AI53">
        <f t="shared" si="13"/>
        <v>39</v>
      </c>
      <c r="AJ53">
        <f t="shared" si="18"/>
        <v>5</v>
      </c>
    </row>
    <row r="54" spans="1:36" x14ac:dyDescent="0.25">
      <c r="A54" s="5" t="s">
        <v>39</v>
      </c>
      <c r="B54" s="5" t="s">
        <v>30</v>
      </c>
      <c r="C54" s="5" t="str">
        <f t="shared" si="0"/>
        <v>description,dailCompDescSpirit52,</v>
      </c>
      <c r="D54" s="5" t="str">
        <f t="shared" si="2"/>
        <v>itemText,dailCompTextSpirit52,</v>
      </c>
      <c r="E54" s="5" t="str">
        <f t="shared" si="14"/>
        <v>augmentSkillLevel1,5,</v>
      </c>
      <c r="F54" s="5" t="str">
        <f t="shared" si="15"/>
        <v>augmentSkillName1,records/skillsspirit/lifedrain.dbr,,</v>
      </c>
      <c r="G54" s="7">
        <f t="shared" si="10"/>
        <v>52</v>
      </c>
      <c r="H54" s="8" t="str">
        <f t="shared" si="11"/>
        <v>Spirit</v>
      </c>
      <c r="I54" s="3" t="s">
        <v>626</v>
      </c>
      <c r="J54" s="8" t="str">
        <f t="shared" si="22"/>
        <v>class0018</v>
      </c>
      <c r="K54" s="8" t="str">
        <f t="shared" si="22"/>
        <v>dailoneskill0018</v>
      </c>
      <c r="L54" s="5" t="str">
        <f t="shared" si="4"/>
        <v>lootName52,DAIL/items/materia/class0018/Spirit52.dbr,</v>
      </c>
      <c r="M54" s="5" t="str">
        <f t="shared" si="5"/>
        <v>lootWeight52,1,</v>
      </c>
      <c r="N54" t="str">
        <f t="shared" si="6"/>
        <v>5</v>
      </c>
      <c r="O54" t="str">
        <f t="shared" si="16"/>
        <v>copy .\dail_base3.dbr .\items\materia\class0018\Spirit52.dbr /y</v>
      </c>
      <c r="P54" t="str">
        <f t="shared" si="7"/>
        <v>echo relicBitmap,items/craftingparts/components/component_a52_bristlyfur_b.tex, &gt;&gt; .\items\materia\class0018\Spirit52.dbr</v>
      </c>
      <c r="Q54" t="str">
        <f t="shared" si="7"/>
        <v>echo itemCost,500000, &gt;&gt; .\items\materia\class0018\Spirit52.dbr</v>
      </c>
      <c r="R54" t="str">
        <f t="shared" si="7"/>
        <v>echo description,dailCompDescSpirit52, &gt;&gt; .\items\materia\class0018\Spirit52.dbr</v>
      </c>
      <c r="S54" t="str">
        <f t="shared" si="7"/>
        <v>echo itemText,dailCompTextSpirit52, &gt;&gt; .\items\materia\class0018\Spirit52.dbr</v>
      </c>
      <c r="T54" t="str">
        <f t="shared" si="7"/>
        <v>echo augmentSkillLevel1,5, &gt;&gt; .\items\materia\class0018\Spirit52.dbr</v>
      </c>
      <c r="U54" t="str">
        <f t="shared" si="7"/>
        <v>echo augmentSkillName1,records/skillsspirit/lifedrain.dbr,, &gt;&gt; .\items\materia\class0018\Spirit52.dbr</v>
      </c>
      <c r="V54" s="5" t="s">
        <v>36</v>
      </c>
      <c r="W54" t="str">
        <f t="shared" si="8"/>
        <v>echo lootName52,DAIL/items/materia/class0018/Spirit52.dbr, &gt;&gt; .\items\loottables\dailoneskill0018.dbr</v>
      </c>
      <c r="X54" t="str">
        <f t="shared" si="8"/>
        <v>echo lootWeight52,1, &gt;&gt; .\items\loottables\dailoneskill0018.dbr</v>
      </c>
      <c r="Y54" s="5" t="s">
        <v>36</v>
      </c>
      <c r="Z54" t="str">
        <f t="shared" si="9"/>
        <v xml:space="preserve"> dailCompDescSpirit52=^pSpirit's Gift of DAIL</v>
      </c>
      <c r="AA54" t="str">
        <f t="shared" si="17"/>
        <v>dailCompTextSpirit52=^oThis feels warm to the touch, almost familiar ^w(This component only fits into the Medal Slot)</v>
      </c>
      <c r="AB54" s="5" t="s">
        <v>36</v>
      </c>
      <c r="AH54">
        <f t="shared" si="19"/>
        <v>49</v>
      </c>
      <c r="AI54">
        <f t="shared" si="13"/>
        <v>21</v>
      </c>
      <c r="AJ54">
        <f t="shared" si="18"/>
        <v>5</v>
      </c>
    </row>
    <row r="55" spans="1:36" x14ac:dyDescent="0.25">
      <c r="A55" s="5" t="s">
        <v>39</v>
      </c>
      <c r="B55" s="5" t="s">
        <v>30</v>
      </c>
      <c r="C55" s="5" t="str">
        <f t="shared" si="0"/>
        <v>description,dailCompDescSpirit53,</v>
      </c>
      <c r="D55" s="5" t="str">
        <f t="shared" si="2"/>
        <v>itemText,dailCompTextSpirit53,</v>
      </c>
      <c r="E55" s="5" t="str">
        <f t="shared" si="14"/>
        <v>augmentSkillLevel1,5,</v>
      </c>
      <c r="F55" s="5" t="str">
        <f t="shared" si="15"/>
        <v>augmentSkillName1,records/skillsspirit/lifedrain_cascade.dbr,,</v>
      </c>
      <c r="G55" s="7">
        <f t="shared" si="10"/>
        <v>53</v>
      </c>
      <c r="H55" s="8" t="str">
        <f t="shared" si="11"/>
        <v>Spirit</v>
      </c>
      <c r="I55" s="3" t="s">
        <v>627</v>
      </c>
      <c r="J55" s="8" t="str">
        <f t="shared" si="22"/>
        <v>class0018</v>
      </c>
      <c r="K55" s="8" t="str">
        <f t="shared" si="22"/>
        <v>dailoneskill0018</v>
      </c>
      <c r="L55" s="5" t="str">
        <f t="shared" si="4"/>
        <v>lootName53,DAIL/items/materia/class0018/Spirit53.dbr,</v>
      </c>
      <c r="M55" s="5" t="str">
        <f t="shared" si="5"/>
        <v>lootWeight53,1,</v>
      </c>
      <c r="N55" t="str">
        <f t="shared" si="6"/>
        <v>5</v>
      </c>
      <c r="O55" t="str">
        <f t="shared" si="16"/>
        <v>copy .\dail_base3.dbr .\items\materia\class0018\Spirit53.dbr /y</v>
      </c>
      <c r="P55" t="str">
        <f t="shared" si="7"/>
        <v>echo relicBitmap,items/craftingparts/components/component_a52_bristlyfur_b.tex, &gt;&gt; .\items\materia\class0018\Spirit53.dbr</v>
      </c>
      <c r="Q55" t="str">
        <f t="shared" si="7"/>
        <v>echo itemCost,500000, &gt;&gt; .\items\materia\class0018\Spirit53.dbr</v>
      </c>
      <c r="R55" t="str">
        <f t="shared" si="7"/>
        <v>echo description,dailCompDescSpirit53, &gt;&gt; .\items\materia\class0018\Spirit53.dbr</v>
      </c>
      <c r="S55" t="str">
        <f t="shared" si="7"/>
        <v>echo itemText,dailCompTextSpirit53, &gt;&gt; .\items\materia\class0018\Spirit53.dbr</v>
      </c>
      <c r="T55" t="str">
        <f t="shared" si="7"/>
        <v>echo augmentSkillLevel1,5, &gt;&gt; .\items\materia\class0018\Spirit53.dbr</v>
      </c>
      <c r="U55" t="str">
        <f t="shared" si="7"/>
        <v>echo augmentSkillName1,records/skillsspirit/lifedrain_cascade.dbr,, &gt;&gt; .\items\materia\class0018\Spirit53.dbr</v>
      </c>
      <c r="V55" s="5" t="s">
        <v>36</v>
      </c>
      <c r="W55" t="str">
        <f t="shared" si="8"/>
        <v>echo lootName53,DAIL/items/materia/class0018/Spirit53.dbr, &gt;&gt; .\items\loottables\dailoneskill0018.dbr</v>
      </c>
      <c r="X55" t="str">
        <f t="shared" si="8"/>
        <v>echo lootWeight53,1, &gt;&gt; .\items\loottables\dailoneskill0018.dbr</v>
      </c>
      <c r="Y55" s="5" t="s">
        <v>36</v>
      </c>
      <c r="Z55" t="str">
        <f t="shared" si="9"/>
        <v xml:space="preserve"> dailCompDescSpirit53=^pSpirit's Gift of DAIL</v>
      </c>
      <c r="AA55" t="str">
        <f t="shared" si="17"/>
        <v>dailCompTextSpirit53=^oThis feels warm to the touch, almost familiar ^w(This component only fits into the Medal Slot)</v>
      </c>
      <c r="AB55" s="5" t="s">
        <v>36</v>
      </c>
      <c r="AH55">
        <f t="shared" si="19"/>
        <v>50</v>
      </c>
      <c r="AI55">
        <f t="shared" si="13"/>
        <v>29</v>
      </c>
      <c r="AJ55">
        <f t="shared" si="18"/>
        <v>5</v>
      </c>
    </row>
    <row r="56" spans="1:36" x14ac:dyDescent="0.25">
      <c r="A56" s="5" t="s">
        <v>39</v>
      </c>
      <c r="B56" s="5" t="s">
        <v>30</v>
      </c>
      <c r="C56" s="5" t="str">
        <f t="shared" si="0"/>
        <v>description,dailCompDescSpirit54,</v>
      </c>
      <c r="D56" s="5" t="str">
        <f t="shared" si="2"/>
        <v>itemText,dailCompTextSpirit54,</v>
      </c>
      <c r="E56" s="5" t="str">
        <f t="shared" si="14"/>
        <v>augmentSkillLevel1,5,</v>
      </c>
      <c r="F56" s="5" t="str">
        <f t="shared" si="15"/>
        <v>augmentSkillName1,records/skillsspirit/outsidersummons.dbr,,</v>
      </c>
      <c r="G56" s="7">
        <f t="shared" si="10"/>
        <v>54</v>
      </c>
      <c r="H56" s="8" t="str">
        <f t="shared" si="11"/>
        <v>Spirit</v>
      </c>
      <c r="I56" s="3" t="s">
        <v>628</v>
      </c>
      <c r="J56" s="8" t="str">
        <f t="shared" si="22"/>
        <v>class0018</v>
      </c>
      <c r="K56" s="8" t="str">
        <f t="shared" si="22"/>
        <v>dailoneskill0018</v>
      </c>
      <c r="L56" s="5" t="str">
        <f t="shared" si="4"/>
        <v>lootName54,DAIL/items/materia/class0018/Spirit54.dbr,</v>
      </c>
      <c r="M56" s="5" t="str">
        <f t="shared" si="5"/>
        <v>lootWeight54,1,</v>
      </c>
      <c r="N56" t="str">
        <f t="shared" si="6"/>
        <v>5</v>
      </c>
      <c r="O56" t="str">
        <f t="shared" si="16"/>
        <v>copy .\dail_base3.dbr .\items\materia\class0018\Spirit54.dbr /y</v>
      </c>
      <c r="P56" t="str">
        <f t="shared" si="7"/>
        <v>echo relicBitmap,items/craftingparts/components/component_a52_bristlyfur_b.tex, &gt;&gt; .\items\materia\class0018\Spirit54.dbr</v>
      </c>
      <c r="Q56" t="str">
        <f t="shared" si="7"/>
        <v>echo itemCost,500000, &gt;&gt; .\items\materia\class0018\Spirit54.dbr</v>
      </c>
      <c r="R56" t="str">
        <f t="shared" si="7"/>
        <v>echo description,dailCompDescSpirit54, &gt;&gt; .\items\materia\class0018\Spirit54.dbr</v>
      </c>
      <c r="S56" t="str">
        <f t="shared" si="7"/>
        <v>echo itemText,dailCompTextSpirit54, &gt;&gt; .\items\materia\class0018\Spirit54.dbr</v>
      </c>
      <c r="T56" t="str">
        <f t="shared" si="7"/>
        <v>echo augmentSkillLevel1,5, &gt;&gt; .\items\materia\class0018\Spirit54.dbr</v>
      </c>
      <c r="U56" t="str">
        <f t="shared" si="7"/>
        <v>echo augmentSkillName1,records/skillsspirit/outsidersummons.dbr,, &gt;&gt; .\items\materia\class0018\Spirit54.dbr</v>
      </c>
      <c r="V56" s="5" t="s">
        <v>36</v>
      </c>
      <c r="W56" t="str">
        <f t="shared" si="8"/>
        <v>echo lootName54,DAIL/items/materia/class0018/Spirit54.dbr, &gt;&gt; .\items\loottables\dailoneskill0018.dbr</v>
      </c>
      <c r="X56" t="str">
        <f t="shared" si="8"/>
        <v>echo lootWeight54,1, &gt;&gt; .\items\loottables\dailoneskill0018.dbr</v>
      </c>
      <c r="Y56" s="5" t="s">
        <v>36</v>
      </c>
      <c r="Z56" t="str">
        <f t="shared" si="9"/>
        <v xml:space="preserve"> dailCompDescSpirit54=^pSpirit's Gift of DAIL</v>
      </c>
      <c r="AA56" t="str">
        <f t="shared" si="17"/>
        <v>dailCompTextSpirit54=^oThis feels warm to the touch, almost familiar ^w(This component only fits into the Medal Slot)</v>
      </c>
      <c r="AB56" s="5" t="s">
        <v>36</v>
      </c>
      <c r="AH56">
        <f t="shared" si="19"/>
        <v>51</v>
      </c>
      <c r="AI56">
        <f t="shared" si="13"/>
        <v>27</v>
      </c>
      <c r="AJ56">
        <f t="shared" si="18"/>
        <v>5</v>
      </c>
    </row>
    <row r="57" spans="1:36" x14ac:dyDescent="0.25">
      <c r="A57" s="5" t="s">
        <v>39</v>
      </c>
      <c r="B57" s="5" t="s">
        <v>30</v>
      </c>
      <c r="C57" s="5" t="str">
        <f t="shared" si="0"/>
        <v>description,dailCompDescSpirit55,</v>
      </c>
      <c r="D57" s="5" t="str">
        <f t="shared" si="2"/>
        <v>itemText,dailCompTextSpirit55,</v>
      </c>
      <c r="E57" s="5" t="str">
        <f t="shared" si="14"/>
        <v>augmentSkillLevel1,5,</v>
      </c>
      <c r="F57" s="5" t="str">
        <f t="shared" si="15"/>
        <v>augmentSkillName1,records/skillsspirit/ternion.dbr,,</v>
      </c>
      <c r="G57" s="7">
        <f t="shared" si="10"/>
        <v>55</v>
      </c>
      <c r="H57" s="8" t="str">
        <f t="shared" si="11"/>
        <v>Spirit</v>
      </c>
      <c r="I57" s="3" t="s">
        <v>629</v>
      </c>
      <c r="J57" s="8" t="str">
        <f t="shared" si="22"/>
        <v>class0018</v>
      </c>
      <c r="K57" s="8" t="str">
        <f t="shared" si="22"/>
        <v>dailoneskill0018</v>
      </c>
      <c r="L57" s="5" t="str">
        <f t="shared" si="4"/>
        <v>lootName55,DAIL/items/materia/class0018/Spirit55.dbr,</v>
      </c>
      <c r="M57" s="5" t="str">
        <f t="shared" si="5"/>
        <v>lootWeight55,1,</v>
      </c>
      <c r="N57" t="str">
        <f t="shared" si="6"/>
        <v>5</v>
      </c>
      <c r="O57" t="str">
        <f t="shared" si="16"/>
        <v>copy .\dail_base3.dbr .\items\materia\class0018\Spirit55.dbr /y</v>
      </c>
      <c r="P57" t="str">
        <f t="shared" si="7"/>
        <v>echo relicBitmap,items/craftingparts/components/component_a52_bristlyfur_b.tex, &gt;&gt; .\items\materia\class0018\Spirit55.dbr</v>
      </c>
      <c r="Q57" t="str">
        <f t="shared" si="7"/>
        <v>echo itemCost,500000, &gt;&gt; .\items\materia\class0018\Spirit55.dbr</v>
      </c>
      <c r="R57" t="str">
        <f t="shared" si="7"/>
        <v>echo description,dailCompDescSpirit55, &gt;&gt; .\items\materia\class0018\Spirit55.dbr</v>
      </c>
      <c r="S57" t="str">
        <f t="shared" si="7"/>
        <v>echo itemText,dailCompTextSpirit55, &gt;&gt; .\items\materia\class0018\Spirit55.dbr</v>
      </c>
      <c r="T57" t="str">
        <f t="shared" si="7"/>
        <v>echo augmentSkillLevel1,5, &gt;&gt; .\items\materia\class0018\Spirit55.dbr</v>
      </c>
      <c r="U57" t="str">
        <f t="shared" si="7"/>
        <v>echo augmentSkillName1,records/skillsspirit/ternion.dbr,, &gt;&gt; .\items\materia\class0018\Spirit55.dbr</v>
      </c>
      <c r="V57" s="5" t="s">
        <v>36</v>
      </c>
      <c r="W57" t="str">
        <f t="shared" si="8"/>
        <v>echo lootName55,DAIL/items/materia/class0018/Spirit55.dbr, &gt;&gt; .\items\loottables\dailoneskill0018.dbr</v>
      </c>
      <c r="X57" t="str">
        <f t="shared" si="8"/>
        <v>echo lootWeight55,1, &gt;&gt; .\items\loottables\dailoneskill0018.dbr</v>
      </c>
      <c r="Y57" s="5" t="s">
        <v>36</v>
      </c>
      <c r="Z57" t="str">
        <f t="shared" si="9"/>
        <v xml:space="preserve"> dailCompDescSpirit55=^pSpirit's Gift of DAIL</v>
      </c>
      <c r="AA57" t="str">
        <f t="shared" si="17"/>
        <v>dailCompTextSpirit55=^oThis feels warm to the touch, almost familiar ^w(This component only fits into the Medal Slot)</v>
      </c>
      <c r="AB57" s="5" t="s">
        <v>36</v>
      </c>
      <c r="AH57">
        <f t="shared" si="19"/>
        <v>52</v>
      </c>
      <c r="AI57">
        <f t="shared" si="13"/>
        <v>19</v>
      </c>
      <c r="AJ57">
        <f t="shared" si="18"/>
        <v>5</v>
      </c>
    </row>
    <row r="58" spans="1:36" x14ac:dyDescent="0.25">
      <c r="A58" s="5" t="s">
        <v>39</v>
      </c>
      <c r="B58" s="5" t="s">
        <v>30</v>
      </c>
      <c r="C58" s="5" t="str">
        <f t="shared" si="0"/>
        <v>description,dailCompDescSpirit56,</v>
      </c>
      <c r="D58" s="5" t="str">
        <f t="shared" si="2"/>
        <v>itemText,dailCompTextSpirit56,</v>
      </c>
      <c r="E58" s="5" t="str">
        <f t="shared" si="14"/>
        <v>augmentSkillLevel1,5,</v>
      </c>
      <c r="F58" s="5" t="str">
        <f t="shared" si="15"/>
        <v>augmentSkillName1,records/skillsspirit/ternion_arcanelore.dbr,,</v>
      </c>
      <c r="G58" s="7">
        <f t="shared" si="10"/>
        <v>56</v>
      </c>
      <c r="H58" s="8" t="str">
        <f t="shared" si="11"/>
        <v>Spirit</v>
      </c>
      <c r="I58" s="3" t="s">
        <v>630</v>
      </c>
      <c r="J58" s="8" t="str">
        <f t="shared" si="22"/>
        <v>class0018</v>
      </c>
      <c r="K58" s="8" t="str">
        <f t="shared" si="22"/>
        <v>dailoneskill0018</v>
      </c>
      <c r="L58" s="5" t="str">
        <f t="shared" si="4"/>
        <v>lootName56,DAIL/items/materia/class0018/Spirit56.dbr,</v>
      </c>
      <c r="M58" s="5" t="str">
        <f t="shared" si="5"/>
        <v>lootWeight56,1,</v>
      </c>
      <c r="N58" t="str">
        <f t="shared" si="6"/>
        <v>5</v>
      </c>
      <c r="O58" t="str">
        <f t="shared" si="16"/>
        <v>copy .\dail_base3.dbr .\items\materia\class0018\Spirit56.dbr /y</v>
      </c>
      <c r="P58" t="str">
        <f t="shared" si="7"/>
        <v>echo relicBitmap,items/craftingparts/components/component_a52_bristlyfur_b.tex, &gt;&gt; .\items\materia\class0018\Spirit56.dbr</v>
      </c>
      <c r="Q58" t="str">
        <f t="shared" si="7"/>
        <v>echo itemCost,500000, &gt;&gt; .\items\materia\class0018\Spirit56.dbr</v>
      </c>
      <c r="R58" t="str">
        <f t="shared" si="7"/>
        <v>echo description,dailCompDescSpirit56, &gt;&gt; .\items\materia\class0018\Spirit56.dbr</v>
      </c>
      <c r="S58" t="str">
        <f t="shared" si="7"/>
        <v>echo itemText,dailCompTextSpirit56, &gt;&gt; .\items\materia\class0018\Spirit56.dbr</v>
      </c>
      <c r="T58" t="str">
        <f t="shared" si="7"/>
        <v>echo augmentSkillLevel1,5, &gt;&gt; .\items\materia\class0018\Spirit56.dbr</v>
      </c>
      <c r="U58" t="str">
        <f t="shared" si="7"/>
        <v>echo augmentSkillName1,records/skillsspirit/ternion_arcanelore.dbr,, &gt;&gt; .\items\materia\class0018\Spirit56.dbr</v>
      </c>
      <c r="V58" s="5" t="s">
        <v>36</v>
      </c>
      <c r="W58" t="str">
        <f t="shared" si="8"/>
        <v>echo lootName56,DAIL/items/materia/class0018/Spirit56.dbr, &gt;&gt; .\items\loottables\dailoneskill0018.dbr</v>
      </c>
      <c r="X58" t="str">
        <f t="shared" si="8"/>
        <v>echo lootWeight56,1, &gt;&gt; .\items\loottables\dailoneskill0018.dbr</v>
      </c>
      <c r="Y58" s="5" t="s">
        <v>36</v>
      </c>
      <c r="Z58" t="str">
        <f t="shared" si="9"/>
        <v xml:space="preserve"> dailCompDescSpirit56=^pSpirit's Gift of DAIL</v>
      </c>
      <c r="AA58" t="str">
        <f t="shared" si="17"/>
        <v>dailCompTextSpirit56=^oThis feels warm to the touch, almost familiar ^w(This component only fits into the Medal Slot)</v>
      </c>
      <c r="AB58" s="5" t="s">
        <v>36</v>
      </c>
      <c r="AH58">
        <f t="shared" si="19"/>
        <v>53</v>
      </c>
      <c r="AI58">
        <f t="shared" si="13"/>
        <v>30</v>
      </c>
      <c r="AJ58">
        <f t="shared" si="18"/>
        <v>5</v>
      </c>
    </row>
    <row r="59" spans="1:36" x14ac:dyDescent="0.25">
      <c r="A59" s="5" t="s">
        <v>39</v>
      </c>
      <c r="B59" s="5" t="s">
        <v>30</v>
      </c>
      <c r="C59" s="5" t="str">
        <f t="shared" si="0"/>
        <v>description,dailCompDescSpirit57,</v>
      </c>
      <c r="D59" s="5" t="str">
        <f t="shared" si="2"/>
        <v>itemText,dailCompTextSpirit57,</v>
      </c>
      <c r="E59" s="5" t="str">
        <f t="shared" si="14"/>
        <v>augmentSkillLevel1,5,</v>
      </c>
      <c r="F59" s="5" t="str">
        <f t="shared" si="15"/>
        <v>augmentSkillName1,records/skillsspirit/spiritward.dbr,,</v>
      </c>
      <c r="G59" s="7">
        <f t="shared" si="10"/>
        <v>57</v>
      </c>
      <c r="H59" s="8" t="str">
        <f t="shared" si="11"/>
        <v>Spirit</v>
      </c>
      <c r="I59" s="3" t="s">
        <v>631</v>
      </c>
      <c r="J59" s="8" t="str">
        <f t="shared" si="22"/>
        <v>class0018</v>
      </c>
      <c r="K59" s="8" t="str">
        <f t="shared" si="22"/>
        <v>dailoneskill0018</v>
      </c>
      <c r="L59" s="5" t="str">
        <f t="shared" si="4"/>
        <v>lootName57,DAIL/items/materia/class0018/Spirit57.dbr,</v>
      </c>
      <c r="M59" s="5" t="str">
        <f t="shared" si="5"/>
        <v>lootWeight57,1,</v>
      </c>
      <c r="N59" t="str">
        <f t="shared" si="6"/>
        <v>5</v>
      </c>
      <c r="O59" t="str">
        <f t="shared" si="16"/>
        <v>copy .\dail_base3.dbr .\items\materia\class0018\Spirit57.dbr /y</v>
      </c>
      <c r="P59" t="str">
        <f t="shared" ref="P59:U101" si="23">IF($I59&lt;&gt;"","echo "&amp;A59&amp;" &gt;&gt; .\items\materia\"&amp;$J59&amp;"\"&amp;$H59&amp;$G59&amp;".dbr","")</f>
        <v>echo relicBitmap,items/craftingparts/components/component_a52_bristlyfur_b.tex, &gt;&gt; .\items\materia\class0018\Spirit57.dbr</v>
      </c>
      <c r="Q59" t="str">
        <f t="shared" si="23"/>
        <v>echo itemCost,500000, &gt;&gt; .\items\materia\class0018\Spirit57.dbr</v>
      </c>
      <c r="R59" t="str">
        <f t="shared" si="23"/>
        <v>echo description,dailCompDescSpirit57, &gt;&gt; .\items\materia\class0018\Spirit57.dbr</v>
      </c>
      <c r="S59" t="str">
        <f t="shared" si="23"/>
        <v>echo itemText,dailCompTextSpirit57, &gt;&gt; .\items\materia\class0018\Spirit57.dbr</v>
      </c>
      <c r="T59" t="str">
        <f t="shared" si="23"/>
        <v>echo augmentSkillLevel1,5, &gt;&gt; .\items\materia\class0018\Spirit57.dbr</v>
      </c>
      <c r="U59" t="str">
        <f t="shared" si="23"/>
        <v>echo augmentSkillName1,records/skillsspirit/spiritward.dbr,, &gt;&gt; .\items\materia\class0018\Spirit57.dbr</v>
      </c>
      <c r="V59" s="5" t="s">
        <v>36</v>
      </c>
      <c r="W59" t="str">
        <f t="shared" si="8"/>
        <v>echo lootName57,DAIL/items/materia/class0018/Spirit57.dbr, &gt;&gt; .\items\loottables\dailoneskill0018.dbr</v>
      </c>
      <c r="X59" t="str">
        <f t="shared" si="8"/>
        <v>echo lootWeight57,1, &gt;&gt; .\items\loottables\dailoneskill0018.dbr</v>
      </c>
      <c r="Y59" s="5" t="s">
        <v>36</v>
      </c>
      <c r="Z59" t="str">
        <f t="shared" si="9"/>
        <v xml:space="preserve"> dailCompDescSpirit57=^pSpirit's Gift of DAIL</v>
      </c>
      <c r="AA59" t="str">
        <f t="shared" si="17"/>
        <v>dailCompTextSpirit57=^oThis feels warm to the touch, almost familiar ^w(This component only fits into the Medal Slot)</v>
      </c>
      <c r="AB59" s="5" t="s">
        <v>36</v>
      </c>
      <c r="AH59">
        <f t="shared" si="19"/>
        <v>54</v>
      </c>
      <c r="AI59">
        <f t="shared" si="13"/>
        <v>22</v>
      </c>
      <c r="AJ59">
        <f t="shared" si="18"/>
        <v>5</v>
      </c>
    </row>
    <row r="60" spans="1:36" x14ac:dyDescent="0.25">
      <c r="A60" s="5" t="s">
        <v>39</v>
      </c>
      <c r="B60" s="5" t="s">
        <v>30</v>
      </c>
      <c r="C60" s="5" t="str">
        <f t="shared" si="0"/>
        <v>description,dailCompDescSpirit58,</v>
      </c>
      <c r="D60" s="5" t="str">
        <f t="shared" si="2"/>
        <v>itemText,dailCompTextSpirit58,</v>
      </c>
      <c r="E60" s="5" t="str">
        <f t="shared" si="14"/>
        <v>augmentSkillLevel1,5,</v>
      </c>
      <c r="F60" s="5" t="str">
        <f t="shared" si="15"/>
        <v>augmentSkillName1,records/skillsspirit/spiritward_spiritbane.dbr,,</v>
      </c>
      <c r="G60" s="7">
        <f t="shared" si="10"/>
        <v>58</v>
      </c>
      <c r="H60" s="8" t="str">
        <f t="shared" si="11"/>
        <v>Spirit</v>
      </c>
      <c r="I60" s="3" t="s">
        <v>632</v>
      </c>
      <c r="J60" s="8" t="str">
        <f t="shared" si="22"/>
        <v>class0018</v>
      </c>
      <c r="K60" s="8" t="str">
        <f t="shared" si="22"/>
        <v>dailoneskill0018</v>
      </c>
      <c r="L60" s="5" t="str">
        <f t="shared" si="4"/>
        <v>lootName58,DAIL/items/materia/class0018/Spirit58.dbr,</v>
      </c>
      <c r="M60" s="5" t="str">
        <f t="shared" si="5"/>
        <v>lootWeight58,1,</v>
      </c>
      <c r="N60" t="str">
        <f t="shared" si="6"/>
        <v>5</v>
      </c>
      <c r="O60" t="str">
        <f t="shared" si="16"/>
        <v>copy .\dail_base3.dbr .\items\materia\class0018\Spirit58.dbr /y</v>
      </c>
      <c r="P60" t="str">
        <f t="shared" si="23"/>
        <v>echo relicBitmap,items/craftingparts/components/component_a52_bristlyfur_b.tex, &gt;&gt; .\items\materia\class0018\Spirit58.dbr</v>
      </c>
      <c r="Q60" t="str">
        <f t="shared" si="23"/>
        <v>echo itemCost,500000, &gt;&gt; .\items\materia\class0018\Spirit58.dbr</v>
      </c>
      <c r="R60" t="str">
        <f t="shared" si="23"/>
        <v>echo description,dailCompDescSpirit58, &gt;&gt; .\items\materia\class0018\Spirit58.dbr</v>
      </c>
      <c r="S60" t="str">
        <f t="shared" si="23"/>
        <v>echo itemText,dailCompTextSpirit58, &gt;&gt; .\items\materia\class0018\Spirit58.dbr</v>
      </c>
      <c r="T60" t="str">
        <f t="shared" si="23"/>
        <v>echo augmentSkillLevel1,5, &gt;&gt; .\items\materia\class0018\Spirit58.dbr</v>
      </c>
      <c r="U60" t="str">
        <f t="shared" si="23"/>
        <v>echo augmentSkillName1,records/skillsspirit/spiritward_spiritbane.dbr,, &gt;&gt; .\items\materia\class0018\Spirit58.dbr</v>
      </c>
      <c r="V60" s="5" t="s">
        <v>36</v>
      </c>
      <c r="W60" t="str">
        <f t="shared" si="8"/>
        <v>echo lootName58,DAIL/items/materia/class0018/Spirit58.dbr, &gt;&gt; .\items\loottables\dailoneskill0018.dbr</v>
      </c>
      <c r="X60" t="str">
        <f t="shared" si="8"/>
        <v>echo lootWeight58,1, &gt;&gt; .\items\loottables\dailoneskill0018.dbr</v>
      </c>
      <c r="Y60" s="5" t="s">
        <v>36</v>
      </c>
      <c r="Z60" t="str">
        <f t="shared" si="9"/>
        <v xml:space="preserve"> dailCompDescSpirit58=^pSpirit's Gift of DAIL</v>
      </c>
      <c r="AA60" t="str">
        <f t="shared" si="17"/>
        <v>dailCompTextSpirit58=^oThis feels warm to the touch, almost familiar ^w(This component only fits into the Medal Slot)</v>
      </c>
      <c r="AB60" s="5" t="s">
        <v>36</v>
      </c>
      <c r="AH60">
        <f t="shared" si="19"/>
        <v>55</v>
      </c>
      <c r="AI60">
        <f t="shared" si="13"/>
        <v>33</v>
      </c>
      <c r="AJ60">
        <f t="shared" si="18"/>
        <v>5</v>
      </c>
    </row>
    <row r="61" spans="1:36" x14ac:dyDescent="0.25">
      <c r="A61" s="5" t="s">
        <v>39</v>
      </c>
      <c r="B61" s="5" t="s">
        <v>30</v>
      </c>
      <c r="C61" s="5" t="str">
        <f t="shared" si="0"/>
        <v>description,dailCompDescSpirit59,</v>
      </c>
      <c r="D61" s="5" t="str">
        <f t="shared" si="2"/>
        <v>itemText,dailCompTextSpirit59,</v>
      </c>
      <c r="E61" s="5" t="str">
        <f t="shared" si="14"/>
        <v>augmentSkillLevel1,5,</v>
      </c>
      <c r="F61" s="5" t="str">
        <f t="shared" si="15"/>
        <v>augmentSkillName1,records/skillsspirit/enslavespirit.dbr,,</v>
      </c>
      <c r="G61" s="7">
        <f t="shared" si="10"/>
        <v>59</v>
      </c>
      <c r="H61" s="8" t="str">
        <f t="shared" si="11"/>
        <v>Spirit</v>
      </c>
      <c r="I61" s="3" t="s">
        <v>633</v>
      </c>
      <c r="J61" s="8" t="str">
        <f t="shared" si="22"/>
        <v>class0018</v>
      </c>
      <c r="K61" s="8" t="str">
        <f t="shared" si="22"/>
        <v>dailoneskill0018</v>
      </c>
      <c r="L61" s="5" t="str">
        <f t="shared" si="4"/>
        <v>lootName59,DAIL/items/materia/class0018/Spirit59.dbr,</v>
      </c>
      <c r="M61" s="5" t="str">
        <f t="shared" si="5"/>
        <v>lootWeight59,1,</v>
      </c>
      <c r="N61" t="str">
        <f t="shared" si="6"/>
        <v>5</v>
      </c>
      <c r="O61" t="str">
        <f t="shared" si="16"/>
        <v>copy .\dail_base3.dbr .\items\materia\class0018\Spirit59.dbr /y</v>
      </c>
      <c r="P61" t="str">
        <f t="shared" si="23"/>
        <v>echo relicBitmap,items/craftingparts/components/component_a52_bristlyfur_b.tex, &gt;&gt; .\items\materia\class0018\Spirit59.dbr</v>
      </c>
      <c r="Q61" t="str">
        <f t="shared" si="23"/>
        <v>echo itemCost,500000, &gt;&gt; .\items\materia\class0018\Spirit59.dbr</v>
      </c>
      <c r="R61" t="str">
        <f t="shared" si="23"/>
        <v>echo description,dailCompDescSpirit59, &gt;&gt; .\items\materia\class0018\Spirit59.dbr</v>
      </c>
      <c r="S61" t="str">
        <f t="shared" si="23"/>
        <v>echo itemText,dailCompTextSpirit59, &gt;&gt; .\items\materia\class0018\Spirit59.dbr</v>
      </c>
      <c r="T61" t="str">
        <f t="shared" si="23"/>
        <v>echo augmentSkillLevel1,5, &gt;&gt; .\items\materia\class0018\Spirit59.dbr</v>
      </c>
      <c r="U61" t="str">
        <f t="shared" si="23"/>
        <v>echo augmentSkillName1,records/skillsspirit/enslavespirit.dbr,, &gt;&gt; .\items\materia\class0018\Spirit59.dbr</v>
      </c>
      <c r="V61" s="5" t="s">
        <v>36</v>
      </c>
      <c r="W61" t="str">
        <f t="shared" si="8"/>
        <v>echo lootName59,DAIL/items/materia/class0018/Spirit59.dbr, &gt;&gt; .\items\loottables\dailoneskill0018.dbr</v>
      </c>
      <c r="X61" t="str">
        <f t="shared" si="8"/>
        <v>echo lootWeight59,1, &gt;&gt; .\items\loottables\dailoneskill0018.dbr</v>
      </c>
      <c r="Y61" s="5" t="s">
        <v>36</v>
      </c>
      <c r="Z61" t="str">
        <f t="shared" si="9"/>
        <v xml:space="preserve"> dailCompDescSpirit59=^pSpirit's Gift of DAIL</v>
      </c>
      <c r="AA61" t="str">
        <f t="shared" si="17"/>
        <v>dailCompTextSpirit59=^oThis feels warm to the touch, almost familiar ^w(This component only fits into the Medal Slot)</v>
      </c>
      <c r="AB61" s="5" t="s">
        <v>36</v>
      </c>
      <c r="AH61">
        <f t="shared" si="19"/>
        <v>56</v>
      </c>
      <c r="AI61">
        <f t="shared" si="13"/>
        <v>25</v>
      </c>
      <c r="AJ61">
        <f t="shared" si="18"/>
        <v>5</v>
      </c>
    </row>
    <row r="62" spans="1:36" x14ac:dyDescent="0.25">
      <c r="A62" s="5" t="s">
        <v>39</v>
      </c>
      <c r="B62" s="5" t="s">
        <v>30</v>
      </c>
      <c r="C62" s="5" t="str">
        <f t="shared" si="0"/>
        <v>description,dailCompDescSpirit60,</v>
      </c>
      <c r="D62" s="5" t="str">
        <f t="shared" si="2"/>
        <v>itemText,dailCompTextSpirit60,</v>
      </c>
      <c r="E62" s="5" t="str">
        <f t="shared" si="14"/>
        <v>augmentSkillLevel1,5,</v>
      </c>
      <c r="F62" s="5" t="str">
        <f t="shared" si="15"/>
        <v>augmentSkillName1,records/skillsspirit/wraithlordsummons.dbr,,</v>
      </c>
      <c r="G62" s="7">
        <f t="shared" si="10"/>
        <v>60</v>
      </c>
      <c r="H62" s="8" t="str">
        <f t="shared" si="11"/>
        <v>Spirit</v>
      </c>
      <c r="I62" s="3" t="s">
        <v>634</v>
      </c>
      <c r="J62" s="8" t="str">
        <f t="shared" si="22"/>
        <v>class0018</v>
      </c>
      <c r="K62" s="8" t="str">
        <f t="shared" si="22"/>
        <v>dailoneskill0018</v>
      </c>
      <c r="L62" s="5" t="str">
        <f t="shared" si="4"/>
        <v>lootName60,DAIL/items/materia/class0018/Spirit60.dbr,</v>
      </c>
      <c r="M62" s="5" t="str">
        <f t="shared" si="5"/>
        <v>lootWeight60,1,</v>
      </c>
      <c r="N62" t="str">
        <f t="shared" si="6"/>
        <v>5</v>
      </c>
      <c r="O62" t="str">
        <f t="shared" si="16"/>
        <v>copy .\dail_base3.dbr .\items\materia\class0018\Spirit60.dbr /y</v>
      </c>
      <c r="P62" t="str">
        <f t="shared" si="23"/>
        <v>echo relicBitmap,items/craftingparts/components/component_a52_bristlyfur_b.tex, &gt;&gt; .\items\materia\class0018\Spirit60.dbr</v>
      </c>
      <c r="Q62" t="str">
        <f t="shared" si="23"/>
        <v>echo itemCost,500000, &gt;&gt; .\items\materia\class0018\Spirit60.dbr</v>
      </c>
      <c r="R62" t="str">
        <f t="shared" si="23"/>
        <v>echo description,dailCompDescSpirit60, &gt;&gt; .\items\materia\class0018\Spirit60.dbr</v>
      </c>
      <c r="S62" t="str">
        <f t="shared" si="23"/>
        <v>echo itemText,dailCompTextSpirit60, &gt;&gt; .\items\materia\class0018\Spirit60.dbr</v>
      </c>
      <c r="T62" t="str">
        <f t="shared" si="23"/>
        <v>echo augmentSkillLevel1,5, &gt;&gt; .\items\materia\class0018\Spirit60.dbr</v>
      </c>
      <c r="U62" t="str">
        <f t="shared" si="23"/>
        <v>echo augmentSkillName1,records/skillsspirit/wraithlordsummons.dbr,, &gt;&gt; .\items\materia\class0018\Spirit60.dbr</v>
      </c>
      <c r="V62" s="5" t="s">
        <v>36</v>
      </c>
      <c r="W62" t="str">
        <f t="shared" si="8"/>
        <v>echo lootName60,DAIL/items/materia/class0018/Spirit60.dbr, &gt;&gt; .\items\loottables\dailoneskill0018.dbr</v>
      </c>
      <c r="X62" t="str">
        <f t="shared" si="8"/>
        <v>echo lootWeight60,1, &gt;&gt; .\items\loottables\dailoneskill0018.dbr</v>
      </c>
      <c r="Y62" s="5" t="s">
        <v>36</v>
      </c>
      <c r="Z62" t="str">
        <f t="shared" si="9"/>
        <v xml:space="preserve"> dailCompDescSpirit60=^pSpirit's Gift of DAIL</v>
      </c>
      <c r="AA62" t="str">
        <f t="shared" si="17"/>
        <v>dailCompTextSpirit60=^oThis feels warm to the touch, almost familiar ^w(This component only fits into the Medal Slot)</v>
      </c>
      <c r="AB62" s="5" t="s">
        <v>36</v>
      </c>
      <c r="AH62">
        <f t="shared" si="19"/>
        <v>57</v>
      </c>
      <c r="AI62">
        <f t="shared" si="13"/>
        <v>29</v>
      </c>
      <c r="AJ62">
        <f t="shared" si="18"/>
        <v>5</v>
      </c>
    </row>
    <row r="63" spans="1:36" x14ac:dyDescent="0.25">
      <c r="A63" s="5" t="s">
        <v>39</v>
      </c>
      <c r="B63" s="5" t="s">
        <v>30</v>
      </c>
      <c r="C63" s="5" t="str">
        <f t="shared" si="0"/>
        <v>description,dailCompDescSpirit61,</v>
      </c>
      <c r="D63" s="5" t="str">
        <f t="shared" si="2"/>
        <v>itemText,dailCompTextSpirit61,</v>
      </c>
      <c r="E63" s="5" t="str">
        <f t="shared" si="14"/>
        <v>augmentSkillLevel1,5,</v>
      </c>
      <c r="F63" s="5" t="str">
        <f t="shared" si="15"/>
        <v>augmentSkillName1,records/skillsspirit/wraithlord_petmodifier_deathnova.dbr,,</v>
      </c>
      <c r="G63" s="7">
        <f t="shared" si="10"/>
        <v>61</v>
      </c>
      <c r="H63" s="8" t="str">
        <f t="shared" si="11"/>
        <v>Spirit</v>
      </c>
      <c r="I63" s="3" t="s">
        <v>635</v>
      </c>
      <c r="J63" s="8" t="str">
        <f t="shared" si="22"/>
        <v>class0018</v>
      </c>
      <c r="K63" s="8" t="str">
        <f t="shared" si="22"/>
        <v>dailoneskill0018</v>
      </c>
      <c r="L63" s="5" t="str">
        <f t="shared" si="4"/>
        <v>lootName61,DAIL/items/materia/class0018/Spirit61.dbr,</v>
      </c>
      <c r="M63" s="5" t="str">
        <f t="shared" si="5"/>
        <v>lootWeight61,1,</v>
      </c>
      <c r="N63" t="str">
        <f t="shared" si="6"/>
        <v>5</v>
      </c>
      <c r="O63" t="str">
        <f t="shared" si="16"/>
        <v>copy .\dail_base3.dbr .\items\materia\class0018\Spirit61.dbr /y</v>
      </c>
      <c r="P63" t="str">
        <f t="shared" si="23"/>
        <v>echo relicBitmap,items/craftingparts/components/component_a52_bristlyfur_b.tex, &gt;&gt; .\items\materia\class0018\Spirit61.dbr</v>
      </c>
      <c r="Q63" t="str">
        <f t="shared" si="23"/>
        <v>echo itemCost,500000, &gt;&gt; .\items\materia\class0018\Spirit61.dbr</v>
      </c>
      <c r="R63" t="str">
        <f t="shared" si="23"/>
        <v>echo description,dailCompDescSpirit61, &gt;&gt; .\items\materia\class0018\Spirit61.dbr</v>
      </c>
      <c r="S63" t="str">
        <f t="shared" si="23"/>
        <v>echo itemText,dailCompTextSpirit61, &gt;&gt; .\items\materia\class0018\Spirit61.dbr</v>
      </c>
      <c r="T63" t="str">
        <f t="shared" si="23"/>
        <v>echo augmentSkillLevel1,5, &gt;&gt; .\items\materia\class0018\Spirit61.dbr</v>
      </c>
      <c r="U63" t="str">
        <f t="shared" si="23"/>
        <v>echo augmentSkillName1,records/skillsspirit/wraithlord_petmodifier_deathnova.dbr,, &gt;&gt; .\items\materia\class0018\Spirit61.dbr</v>
      </c>
      <c r="V63" s="5" t="s">
        <v>36</v>
      </c>
      <c r="W63" t="str">
        <f t="shared" si="8"/>
        <v>echo lootName61,DAIL/items/materia/class0018/Spirit61.dbr, &gt;&gt; .\items\loottables\dailoneskill0018.dbr</v>
      </c>
      <c r="X63" t="str">
        <f t="shared" si="8"/>
        <v>echo lootWeight61,1, &gt;&gt; .\items\loottables\dailoneskill0018.dbr</v>
      </c>
      <c r="Y63" s="5" t="s">
        <v>36</v>
      </c>
      <c r="Z63" t="str">
        <f t="shared" si="9"/>
        <v xml:space="preserve"> dailCompDescSpirit61=^pSpirit's Gift of DAIL</v>
      </c>
      <c r="AA63" t="str">
        <f t="shared" si="17"/>
        <v>dailCompTextSpirit61=^oThis feels warm to the touch, almost familiar ^w(This component only fits into the Medal Slot)</v>
      </c>
      <c r="AB63" s="5" t="s">
        <v>36</v>
      </c>
      <c r="AH63">
        <f t="shared" si="19"/>
        <v>58</v>
      </c>
      <c r="AI63">
        <f t="shared" si="13"/>
        <v>44</v>
      </c>
      <c r="AJ63">
        <f t="shared" si="18"/>
        <v>5</v>
      </c>
    </row>
    <row r="64" spans="1:36" x14ac:dyDescent="0.25">
      <c r="A64" s="5" t="s">
        <v>39</v>
      </c>
      <c r="B64" s="5" t="s">
        <v>30</v>
      </c>
      <c r="C64" s="5" t="str">
        <f t="shared" si="0"/>
        <v>description,dailCompDescSpirit62,</v>
      </c>
      <c r="D64" s="5" t="str">
        <f t="shared" si="2"/>
        <v>itemText,dailCompTextSpirit62,</v>
      </c>
      <c r="E64" s="5" t="str">
        <f t="shared" si="14"/>
        <v>augmentSkillLevel1,5,</v>
      </c>
      <c r="F64" s="5" t="str">
        <f t="shared" si="15"/>
        <v>augmentSkillName1,records/skillsspirit/wraithlord_petmodifier_wraithshell.dbr,,</v>
      </c>
      <c r="G64" s="7">
        <f t="shared" si="10"/>
        <v>62</v>
      </c>
      <c r="H64" s="8" t="str">
        <f t="shared" si="11"/>
        <v>Spirit</v>
      </c>
      <c r="I64" s="3" t="s">
        <v>636</v>
      </c>
      <c r="J64" s="8" t="str">
        <f t="shared" si="22"/>
        <v>class0018</v>
      </c>
      <c r="K64" s="8" t="str">
        <f t="shared" si="22"/>
        <v>dailoneskill0018</v>
      </c>
      <c r="L64" s="5" t="str">
        <f t="shared" si="4"/>
        <v>lootName62,DAIL/items/materia/class0018/Spirit62.dbr,</v>
      </c>
      <c r="M64" s="5" t="str">
        <f t="shared" si="5"/>
        <v>lootWeight62,1,</v>
      </c>
      <c r="N64" t="str">
        <f t="shared" si="6"/>
        <v>5</v>
      </c>
      <c r="O64" t="str">
        <f t="shared" si="16"/>
        <v>copy .\dail_base3.dbr .\items\materia\class0018\Spirit62.dbr /y</v>
      </c>
      <c r="P64" t="str">
        <f t="shared" si="23"/>
        <v>echo relicBitmap,items/craftingparts/components/component_a52_bristlyfur_b.tex, &gt;&gt; .\items\materia\class0018\Spirit62.dbr</v>
      </c>
      <c r="Q64" t="str">
        <f t="shared" si="23"/>
        <v>echo itemCost,500000, &gt;&gt; .\items\materia\class0018\Spirit62.dbr</v>
      </c>
      <c r="R64" t="str">
        <f t="shared" si="23"/>
        <v>echo description,dailCompDescSpirit62, &gt;&gt; .\items\materia\class0018\Spirit62.dbr</v>
      </c>
      <c r="S64" t="str">
        <f t="shared" si="23"/>
        <v>echo itemText,dailCompTextSpirit62, &gt;&gt; .\items\materia\class0018\Spirit62.dbr</v>
      </c>
      <c r="T64" t="str">
        <f t="shared" si="23"/>
        <v>echo augmentSkillLevel1,5, &gt;&gt; .\items\materia\class0018\Spirit62.dbr</v>
      </c>
      <c r="U64" t="str">
        <f t="shared" si="23"/>
        <v>echo augmentSkillName1,records/skillsspirit/wraithlord_petmodifier_wraithshell.dbr,, &gt;&gt; .\items\materia\class0018\Spirit62.dbr</v>
      </c>
      <c r="V64" s="5" t="s">
        <v>36</v>
      </c>
      <c r="W64" t="str">
        <f t="shared" si="8"/>
        <v>echo lootName62,DAIL/items/materia/class0018/Spirit62.dbr, &gt;&gt; .\items\loottables\dailoneskill0018.dbr</v>
      </c>
      <c r="X64" t="str">
        <f t="shared" si="8"/>
        <v>echo lootWeight62,1, &gt;&gt; .\items\loottables\dailoneskill0018.dbr</v>
      </c>
      <c r="Y64" s="5" t="s">
        <v>36</v>
      </c>
      <c r="Z64" t="str">
        <f t="shared" si="9"/>
        <v xml:space="preserve"> dailCompDescSpirit62=^pSpirit's Gift of DAIL</v>
      </c>
      <c r="AA64" t="str">
        <f t="shared" si="17"/>
        <v>dailCompTextSpirit62=^oThis feels warm to the touch, almost familiar ^w(This component only fits into the Medal Slot)</v>
      </c>
      <c r="AB64" s="5" t="s">
        <v>36</v>
      </c>
      <c r="AH64">
        <f t="shared" si="19"/>
        <v>59</v>
      </c>
      <c r="AI64">
        <f t="shared" si="13"/>
        <v>46</v>
      </c>
      <c r="AJ64">
        <f t="shared" si="18"/>
        <v>5</v>
      </c>
    </row>
    <row r="65" spans="1:36" x14ac:dyDescent="0.25">
      <c r="A65" s="5" t="s">
        <v>39</v>
      </c>
      <c r="B65" s="5" t="s">
        <v>30</v>
      </c>
      <c r="C65" s="5" t="str">
        <f t="shared" si="0"/>
        <v>description,dailCompDescSpirit63,</v>
      </c>
      <c r="D65" s="5" t="str">
        <f t="shared" si="2"/>
        <v>itemText,dailCompTextSpirit63,</v>
      </c>
      <c r="E65" s="5" t="str">
        <f t="shared" si="14"/>
        <v>augmentSkillLevel1,5,</v>
      </c>
      <c r="F65" s="5" t="str">
        <f t="shared" si="15"/>
        <v>augmentSkillName1,records/skillsspirit/wraithlord_petmodifier_arcaneblast.dbr,,</v>
      </c>
      <c r="G65" s="7">
        <f t="shared" si="10"/>
        <v>63</v>
      </c>
      <c r="H65" s="8" t="str">
        <f t="shared" si="11"/>
        <v>Spirit</v>
      </c>
      <c r="I65" s="3" t="s">
        <v>637</v>
      </c>
      <c r="J65" s="8" t="str">
        <f t="shared" si="22"/>
        <v>class0018</v>
      </c>
      <c r="K65" s="8" t="str">
        <f t="shared" si="22"/>
        <v>dailoneskill0018</v>
      </c>
      <c r="L65" s="5" t="str">
        <f t="shared" si="4"/>
        <v>lootName63,DAIL/items/materia/class0018/Spirit63.dbr,</v>
      </c>
      <c r="M65" s="5" t="str">
        <f t="shared" si="5"/>
        <v>lootWeight63,1,</v>
      </c>
      <c r="N65" t="str">
        <f t="shared" si="6"/>
        <v>5</v>
      </c>
      <c r="O65" t="str">
        <f t="shared" si="16"/>
        <v>copy .\dail_base3.dbr .\items\materia\class0018\Spirit63.dbr /y</v>
      </c>
      <c r="P65" t="str">
        <f t="shared" si="23"/>
        <v>echo relicBitmap,items/craftingparts/components/component_a52_bristlyfur_b.tex, &gt;&gt; .\items\materia\class0018\Spirit63.dbr</v>
      </c>
      <c r="Q65" t="str">
        <f t="shared" si="23"/>
        <v>echo itemCost,500000, &gt;&gt; .\items\materia\class0018\Spirit63.dbr</v>
      </c>
      <c r="R65" t="str">
        <f t="shared" si="23"/>
        <v>echo description,dailCompDescSpirit63, &gt;&gt; .\items\materia\class0018\Spirit63.dbr</v>
      </c>
      <c r="S65" t="str">
        <f t="shared" si="23"/>
        <v>echo itemText,dailCompTextSpirit63, &gt;&gt; .\items\materia\class0018\Spirit63.dbr</v>
      </c>
      <c r="T65" t="str">
        <f t="shared" si="23"/>
        <v>echo augmentSkillLevel1,5, &gt;&gt; .\items\materia\class0018\Spirit63.dbr</v>
      </c>
      <c r="U65" t="str">
        <f t="shared" si="23"/>
        <v>echo augmentSkillName1,records/skillsspirit/wraithlord_petmodifier_arcaneblast.dbr,, &gt;&gt; .\items\materia\class0018\Spirit63.dbr</v>
      </c>
      <c r="V65" s="5" t="s">
        <v>36</v>
      </c>
      <c r="W65" t="str">
        <f t="shared" si="8"/>
        <v>echo lootName63,DAIL/items/materia/class0018/Spirit63.dbr, &gt;&gt; .\items\loottables\dailoneskill0018.dbr</v>
      </c>
      <c r="X65" t="str">
        <f t="shared" si="8"/>
        <v>echo lootWeight63,1, &gt;&gt; .\items\loottables\dailoneskill0018.dbr</v>
      </c>
      <c r="Y65" s="5" t="s">
        <v>36</v>
      </c>
      <c r="Z65" t="str">
        <f t="shared" si="9"/>
        <v xml:space="preserve"> dailCompDescSpirit63=^pSpirit's Gift of DAIL</v>
      </c>
      <c r="AA65" t="str">
        <f t="shared" si="17"/>
        <v>dailCompTextSpirit63=^oThis feels warm to the touch, almost familiar ^w(This component only fits into the Medal Slot)</v>
      </c>
      <c r="AB65" s="5" t="s">
        <v>36</v>
      </c>
      <c r="AH65">
        <f t="shared" si="19"/>
        <v>60</v>
      </c>
      <c r="AI65">
        <f t="shared" si="13"/>
        <v>46</v>
      </c>
      <c r="AJ65">
        <f t="shared" si="18"/>
        <v>5</v>
      </c>
    </row>
    <row r="66" spans="1:36" x14ac:dyDescent="0.25">
      <c r="A66" s="5" t="s">
        <v>39</v>
      </c>
      <c r="B66" s="5" t="s">
        <v>30</v>
      </c>
      <c r="C66" s="5" t="str">
        <f t="shared" si="0"/>
        <v>description,dailCompDescSpirit,</v>
      </c>
      <c r="D66" s="5" t="str">
        <f t="shared" si="2"/>
        <v>itemText,dailCompTextSpirit,</v>
      </c>
      <c r="E66" s="5" t="str">
        <f t="shared" si="14"/>
        <v>augmentSkillLevel1,5,</v>
      </c>
      <c r="F66" s="5" t="str">
        <f t="shared" si="15"/>
        <v>augmentSkillName1,records/skills,</v>
      </c>
      <c r="G66" s="7" t="str">
        <f t="shared" si="10"/>
        <v/>
      </c>
      <c r="H66" s="8" t="str">
        <f t="shared" si="11"/>
        <v>Spirit</v>
      </c>
      <c r="J66" s="8" t="str">
        <f t="shared" si="22"/>
        <v>class0018</v>
      </c>
      <c r="K66" s="8" t="str">
        <f t="shared" si="22"/>
        <v>dailoneskill0018</v>
      </c>
      <c r="L66" s="5" t="str">
        <f t="shared" si="4"/>
        <v>lootName,DAIL/items/materia/class0018/Spirit.dbr,</v>
      </c>
      <c r="M66" s="5" t="str">
        <f t="shared" si="5"/>
        <v>lootWeight,1,</v>
      </c>
      <c r="N66" t="str">
        <f t="shared" si="6"/>
        <v>5</v>
      </c>
      <c r="O66" t="str">
        <f t="shared" si="16"/>
        <v/>
      </c>
      <c r="P66" t="str">
        <f t="shared" si="23"/>
        <v/>
      </c>
      <c r="Q66" t="str">
        <f t="shared" si="23"/>
        <v/>
      </c>
      <c r="R66" t="str">
        <f t="shared" si="23"/>
        <v/>
      </c>
      <c r="S66" t="str">
        <f t="shared" si="23"/>
        <v/>
      </c>
      <c r="T66" t="str">
        <f t="shared" si="23"/>
        <v/>
      </c>
      <c r="U66" t="str">
        <f t="shared" si="23"/>
        <v/>
      </c>
      <c r="V66" s="5" t="s">
        <v>36</v>
      </c>
      <c r="W66" t="str">
        <f t="shared" si="8"/>
        <v/>
      </c>
      <c r="X66" t="str">
        <f t="shared" si="8"/>
        <v/>
      </c>
      <c r="Y66" s="5" t="s">
        <v>36</v>
      </c>
      <c r="Z66" t="str">
        <f t="shared" si="9"/>
        <v xml:space="preserve"> dailCompDescSpirit=^pSpirit's Gift of DAIL</v>
      </c>
      <c r="AA66" t="str">
        <f t="shared" si="17"/>
        <v>dailCompTextSpirit=^oThis feels warm to the touch, almost familiar ^w(This component only fits into the Medal Slot)</v>
      </c>
      <c r="AB66" s="5" t="s">
        <v>36</v>
      </c>
      <c r="AH66">
        <f t="shared" si="19"/>
        <v>61</v>
      </c>
      <c r="AI66">
        <f t="shared" si="13"/>
        <v>0</v>
      </c>
      <c r="AJ66">
        <f t="shared" si="18"/>
        <v>5</v>
      </c>
    </row>
    <row r="67" spans="1:36" x14ac:dyDescent="0.25">
      <c r="A67" s="5" t="s">
        <v>39</v>
      </c>
      <c r="B67" s="5" t="s">
        <v>30</v>
      </c>
      <c r="C67" s="5" t="str">
        <f t="shared" ref="C67:C102" si="24">"description,dailCompDesc"&amp;H67&amp;G67&amp;","</f>
        <v>description,dailCompDescSpirit,</v>
      </c>
      <c r="D67" s="5" t="str">
        <f t="shared" si="2"/>
        <v>itemText,dailCompTextSpirit,</v>
      </c>
      <c r="E67" s="5" t="str">
        <f t="shared" si="14"/>
        <v>augmentSkillLevel1,5,</v>
      </c>
      <c r="F67" s="5" t="str">
        <f t="shared" si="15"/>
        <v>augmentSkillName1,records/skills,</v>
      </c>
      <c r="G67" s="7" t="str">
        <f t="shared" si="10"/>
        <v/>
      </c>
      <c r="H67" s="8" t="str">
        <f t="shared" si="11"/>
        <v>Spirit</v>
      </c>
      <c r="J67" s="8" t="str">
        <f t="shared" si="22"/>
        <v>class0018</v>
      </c>
      <c r="K67" s="8" t="str">
        <f t="shared" si="22"/>
        <v>dailoneskill0018</v>
      </c>
      <c r="L67" s="5" t="str">
        <f t="shared" si="4"/>
        <v>lootName,DAIL/items/materia/class0018/Spirit.dbr,</v>
      </c>
      <c r="M67" s="5" t="str">
        <f t="shared" si="5"/>
        <v>lootWeight,1,</v>
      </c>
      <c r="N67" t="str">
        <f t="shared" si="6"/>
        <v>5</v>
      </c>
      <c r="O67" t="str">
        <f t="shared" si="16"/>
        <v/>
      </c>
      <c r="P67" t="str">
        <f t="shared" si="23"/>
        <v/>
      </c>
      <c r="Q67" t="str">
        <f t="shared" si="23"/>
        <v/>
      </c>
      <c r="R67" t="str">
        <f t="shared" si="23"/>
        <v/>
      </c>
      <c r="S67" t="str">
        <f t="shared" si="23"/>
        <v/>
      </c>
      <c r="T67" t="str">
        <f t="shared" si="23"/>
        <v/>
      </c>
      <c r="U67" t="str">
        <f t="shared" si="23"/>
        <v/>
      </c>
      <c r="V67" s="5" t="s">
        <v>36</v>
      </c>
      <c r="W67" t="str">
        <f t="shared" si="8"/>
        <v/>
      </c>
      <c r="X67" t="str">
        <f t="shared" si="8"/>
        <v/>
      </c>
      <c r="Y67" s="5" t="s">
        <v>36</v>
      </c>
      <c r="Z67" t="str">
        <f t="shared" si="9"/>
        <v/>
      </c>
      <c r="AA67" t="str">
        <f t="shared" si="17"/>
        <v/>
      </c>
      <c r="AB67" s="5" t="s">
        <v>36</v>
      </c>
      <c r="AH67">
        <f t="shared" si="19"/>
        <v>62</v>
      </c>
      <c r="AI67">
        <f t="shared" si="13"/>
        <v>0</v>
      </c>
      <c r="AJ67">
        <f t="shared" si="18"/>
        <v>5</v>
      </c>
    </row>
    <row r="68" spans="1:36" x14ac:dyDescent="0.25">
      <c r="A68" s="5" t="s">
        <v>39</v>
      </c>
      <c r="B68" s="5" t="s">
        <v>30</v>
      </c>
      <c r="C68" s="5" t="str">
        <f t="shared" si="24"/>
        <v>description,dailCompDescSpirit,</v>
      </c>
      <c r="D68" s="5" t="str">
        <f t="shared" ref="D68:D102" si="25">"itemText,dailCompText"&amp;H68&amp;G68&amp;","</f>
        <v>itemText,dailCompTextSpirit,</v>
      </c>
      <c r="E68" s="5" t="str">
        <f t="shared" si="14"/>
        <v>augmentSkillLevel1,5,</v>
      </c>
      <c r="F68" s="5" t="str">
        <f t="shared" si="15"/>
        <v>augmentSkillName1,records/skills,</v>
      </c>
      <c r="G68" s="7" t="str">
        <f t="shared" si="10"/>
        <v/>
      </c>
      <c r="H68" s="8" t="str">
        <f t="shared" si="11"/>
        <v>Spirit</v>
      </c>
      <c r="J68" s="8" t="str">
        <f t="shared" si="22"/>
        <v>class0018</v>
      </c>
      <c r="K68" s="8" t="str">
        <f t="shared" si="22"/>
        <v>dailoneskill0018</v>
      </c>
      <c r="L68" s="5" t="str">
        <f t="shared" ref="L68:L102" si="26">"lootName"&amp;G68&amp;",DAIL/items/materia/"&amp;J68&amp;"/"&amp;H68&amp;G68&amp;".dbr"&amp;","</f>
        <v>lootName,DAIL/items/materia/class0018/Spirit.dbr,</v>
      </c>
      <c r="M68" s="5" t="str">
        <f t="shared" ref="M68:M102" si="27">"lootWeight"&amp;G68&amp;",1,"</f>
        <v>lootWeight,1,</v>
      </c>
      <c r="N68" t="str">
        <f t="shared" ref="N68:N102" si="28">LEFT(RIGHT(E68,2),1)</f>
        <v>5</v>
      </c>
      <c r="O68" t="str">
        <f t="shared" si="16"/>
        <v/>
      </c>
      <c r="P68" t="str">
        <f t="shared" si="23"/>
        <v/>
      </c>
      <c r="Q68" t="str">
        <f t="shared" si="23"/>
        <v/>
      </c>
      <c r="R68" t="str">
        <f t="shared" si="23"/>
        <v/>
      </c>
      <c r="S68" t="str">
        <f t="shared" si="23"/>
        <v/>
      </c>
      <c r="T68" t="str">
        <f t="shared" si="23"/>
        <v/>
      </c>
      <c r="U68" t="str">
        <f t="shared" si="23"/>
        <v/>
      </c>
      <c r="V68" s="5" t="s">
        <v>36</v>
      </c>
      <c r="W68" t="str">
        <f t="shared" ref="W68:X102" si="29">IF($I68&lt;&gt;"","echo "&amp;L68&amp;" &gt;&gt; .\items\loottables\"&amp;$K68&amp;".dbr","")</f>
        <v/>
      </c>
      <c r="X68" t="str">
        <f t="shared" si="29"/>
        <v/>
      </c>
      <c r="Y68" s="5" t="s">
        <v>36</v>
      </c>
      <c r="Z68" t="str">
        <f t="shared" ref="Z68:Z102" si="30">IF(I67&lt;&gt;""," dailCompDesc"&amp;H68&amp;G68&amp;"=^p"&amp;H68&amp;"'s Gift of DAIL","")</f>
        <v/>
      </c>
      <c r="AA68" t="str">
        <f t="shared" si="17"/>
        <v/>
      </c>
      <c r="AB68" s="5" t="s">
        <v>36</v>
      </c>
      <c r="AH68">
        <f t="shared" si="19"/>
        <v>63</v>
      </c>
      <c r="AI68">
        <f t="shared" si="13"/>
        <v>0</v>
      </c>
      <c r="AJ68">
        <f t="shared" si="18"/>
        <v>5</v>
      </c>
    </row>
    <row r="69" spans="1:36" x14ac:dyDescent="0.25">
      <c r="A69" s="5" t="s">
        <v>39</v>
      </c>
      <c r="B69" s="5" t="s">
        <v>30</v>
      </c>
      <c r="C69" s="5" t="str">
        <f t="shared" si="24"/>
        <v>description,dailCompDescSpirit,</v>
      </c>
      <c r="D69" s="5" t="str">
        <f t="shared" si="25"/>
        <v>itemText,dailCompTextSpirit,</v>
      </c>
      <c r="E69" s="5" t="str">
        <f t="shared" si="14"/>
        <v>augmentSkillLevel1,5,</v>
      </c>
      <c r="F69" s="5" t="str">
        <f t="shared" si="15"/>
        <v>augmentSkillName1,records/skills,</v>
      </c>
      <c r="G69" s="7" t="str">
        <f t="shared" ref="G69:G102" si="31">IF(I69&lt;&gt;"",G68+1,"")</f>
        <v/>
      </c>
      <c r="H69" s="8" t="str">
        <f t="shared" ref="H69:H102" si="32">H68</f>
        <v>Spirit</v>
      </c>
      <c r="J69" s="8" t="str">
        <f t="shared" ref="J69:K84" si="33">J68</f>
        <v>class0018</v>
      </c>
      <c r="K69" s="8" t="str">
        <f t="shared" si="33"/>
        <v>dailoneskill0018</v>
      </c>
      <c r="L69" s="5" t="str">
        <f t="shared" si="26"/>
        <v>lootName,DAIL/items/materia/class0018/Spirit.dbr,</v>
      </c>
      <c r="M69" s="5" t="str">
        <f t="shared" si="27"/>
        <v>lootWeight,1,</v>
      </c>
      <c r="N69" t="str">
        <f t="shared" si="28"/>
        <v>5</v>
      </c>
      <c r="O69" t="str">
        <f t="shared" si="16"/>
        <v/>
      </c>
      <c r="P69" t="str">
        <f t="shared" si="23"/>
        <v/>
      </c>
      <c r="Q69" t="str">
        <f t="shared" si="23"/>
        <v/>
      </c>
      <c r="R69" t="str">
        <f t="shared" si="23"/>
        <v/>
      </c>
      <c r="S69" t="str">
        <f t="shared" si="23"/>
        <v/>
      </c>
      <c r="T69" t="str">
        <f t="shared" si="23"/>
        <v/>
      </c>
      <c r="U69" t="str">
        <f t="shared" si="23"/>
        <v/>
      </c>
      <c r="V69" s="5" t="s">
        <v>36</v>
      </c>
      <c r="W69" t="str">
        <f t="shared" si="29"/>
        <v/>
      </c>
      <c r="X69" t="str">
        <f t="shared" si="29"/>
        <v/>
      </c>
      <c r="Y69" s="5" t="s">
        <v>36</v>
      </c>
      <c r="Z69" t="str">
        <f t="shared" si="30"/>
        <v/>
      </c>
      <c r="AA69" t="str">
        <f t="shared" si="17"/>
        <v/>
      </c>
      <c r="AB69" s="5" t="s">
        <v>36</v>
      </c>
      <c r="AH69">
        <f t="shared" si="19"/>
        <v>64</v>
      </c>
      <c r="AI69">
        <f t="shared" si="13"/>
        <v>0</v>
      </c>
      <c r="AJ69">
        <f t="shared" si="18"/>
        <v>5</v>
      </c>
    </row>
    <row r="70" spans="1:36" x14ac:dyDescent="0.25">
      <c r="A70" s="5" t="s">
        <v>39</v>
      </c>
      <c r="B70" s="5" t="s">
        <v>30</v>
      </c>
      <c r="C70" s="5" t="str">
        <f t="shared" si="24"/>
        <v>description,dailCompDescSpirit,</v>
      </c>
      <c r="D70" s="5" t="str">
        <f t="shared" si="25"/>
        <v>itemText,dailCompTextSpirit,</v>
      </c>
      <c r="E70" s="5" t="str">
        <f t="shared" si="14"/>
        <v>augmentSkillLevel1,5,</v>
      </c>
      <c r="F70" s="5" t="str">
        <f t="shared" si="15"/>
        <v>augmentSkillName1,records/skills,</v>
      </c>
      <c r="G70" s="7" t="str">
        <f t="shared" si="31"/>
        <v/>
      </c>
      <c r="H70" s="8" t="str">
        <f t="shared" si="32"/>
        <v>Spirit</v>
      </c>
      <c r="J70" s="8" t="str">
        <f t="shared" si="33"/>
        <v>class0018</v>
      </c>
      <c r="K70" s="8" t="str">
        <f t="shared" si="33"/>
        <v>dailoneskill0018</v>
      </c>
      <c r="L70" s="5" t="str">
        <f t="shared" si="26"/>
        <v>lootName,DAIL/items/materia/class0018/Spirit.dbr,</v>
      </c>
      <c r="M70" s="5" t="str">
        <f t="shared" si="27"/>
        <v>lootWeight,1,</v>
      </c>
      <c r="N70" t="str">
        <f t="shared" si="28"/>
        <v>5</v>
      </c>
      <c r="O70" t="str">
        <f t="shared" si="16"/>
        <v/>
      </c>
      <c r="P70" t="str">
        <f t="shared" si="23"/>
        <v/>
      </c>
      <c r="Q70" t="str">
        <f t="shared" si="23"/>
        <v/>
      </c>
      <c r="R70" t="str">
        <f t="shared" si="23"/>
        <v/>
      </c>
      <c r="S70" t="str">
        <f t="shared" si="23"/>
        <v/>
      </c>
      <c r="T70" t="str">
        <f t="shared" si="23"/>
        <v/>
      </c>
      <c r="U70" t="str">
        <f t="shared" si="23"/>
        <v/>
      </c>
      <c r="V70" s="5" t="s">
        <v>36</v>
      </c>
      <c r="W70" t="str">
        <f t="shared" si="29"/>
        <v/>
      </c>
      <c r="X70" t="str">
        <f t="shared" si="29"/>
        <v/>
      </c>
      <c r="Y70" s="5" t="s">
        <v>36</v>
      </c>
      <c r="Z70" t="str">
        <f t="shared" si="30"/>
        <v/>
      </c>
      <c r="AA70" t="str">
        <f t="shared" si="17"/>
        <v/>
      </c>
      <c r="AB70" s="5" t="s">
        <v>36</v>
      </c>
      <c r="AH70">
        <f t="shared" si="19"/>
        <v>65</v>
      </c>
      <c r="AI70">
        <f t="shared" ref="AI70:AI102" si="34">LEN(I70)</f>
        <v>0</v>
      </c>
      <c r="AJ70">
        <f t="shared" si="18"/>
        <v>5</v>
      </c>
    </row>
    <row r="71" spans="1:36" x14ac:dyDescent="0.25">
      <c r="A71" s="5" t="s">
        <v>39</v>
      </c>
      <c r="B71" s="5" t="s">
        <v>30</v>
      </c>
      <c r="C71" s="5" t="str">
        <f t="shared" si="24"/>
        <v>description,dailCompDescSpirit,</v>
      </c>
      <c r="D71" s="5" t="str">
        <f t="shared" si="25"/>
        <v>itemText,dailCompTextSpirit,</v>
      </c>
      <c r="E71" s="5" t="str">
        <f t="shared" ref="E71:E102" si="35">"augmentSkillLevel1,"&amp;AJ71&amp;","</f>
        <v>augmentSkillLevel1,5,</v>
      </c>
      <c r="F71" s="5" t="str">
        <f t="shared" ref="F71:F102" si="36">"augmentSkillName1,records/skills"&amp;I71&amp;","</f>
        <v>augmentSkillName1,records/skills,</v>
      </c>
      <c r="G71" s="7" t="str">
        <f t="shared" si="31"/>
        <v/>
      </c>
      <c r="H71" s="8" t="str">
        <f t="shared" si="32"/>
        <v>Spirit</v>
      </c>
      <c r="J71" s="8" t="str">
        <f t="shared" si="33"/>
        <v>class0018</v>
      </c>
      <c r="K71" s="8" t="str">
        <f t="shared" si="33"/>
        <v>dailoneskill0018</v>
      </c>
      <c r="L71" s="5" t="str">
        <f t="shared" si="26"/>
        <v>lootName,DAIL/items/materia/class0018/Spirit.dbr,</v>
      </c>
      <c r="M71" s="5" t="str">
        <f t="shared" si="27"/>
        <v>lootWeight,1,</v>
      </c>
      <c r="N71" t="str">
        <f t="shared" si="28"/>
        <v>5</v>
      </c>
      <c r="O71" t="str">
        <f t="shared" ref="O71:O102" si="37">IF(I71&lt;&gt;"","copy .\"&amp;VLOOKUP(VALUE(N71),$AD$3:$AF$5,2,FALSE)&amp;" .\items\materia\"&amp;J71&amp;"\"&amp;H71&amp;G71&amp;".dbr /y"&amp;"","")</f>
        <v/>
      </c>
      <c r="P71" t="str">
        <f t="shared" si="23"/>
        <v/>
      </c>
      <c r="Q71" t="str">
        <f t="shared" si="23"/>
        <v/>
      </c>
      <c r="R71" t="str">
        <f t="shared" si="23"/>
        <v/>
      </c>
      <c r="S71" t="str">
        <f t="shared" si="23"/>
        <v/>
      </c>
      <c r="T71" t="str">
        <f t="shared" si="23"/>
        <v/>
      </c>
      <c r="U71" t="str">
        <f t="shared" si="23"/>
        <v/>
      </c>
      <c r="V71" s="5" t="s">
        <v>36</v>
      </c>
      <c r="W71" t="str">
        <f t="shared" si="29"/>
        <v/>
      </c>
      <c r="X71" t="str">
        <f t="shared" si="29"/>
        <v/>
      </c>
      <c r="Y71" s="5" t="s">
        <v>36</v>
      </c>
      <c r="Z71" t="str">
        <f t="shared" si="30"/>
        <v/>
      </c>
      <c r="AA71" t="str">
        <f t="shared" ref="AA71:AA102" si="38">IF(I70&lt;&gt;"","dailCompText"&amp;H71&amp;G71&amp;"=^oThis feels warm to the touch, almost familiar ^w("&amp;VLOOKUP(VALUE(N71),$AD$3:$AF$5,3,FALSE)&amp;")","")</f>
        <v/>
      </c>
      <c r="AB71" s="5" t="s">
        <v>36</v>
      </c>
      <c r="AH71">
        <f t="shared" si="19"/>
        <v>66</v>
      </c>
      <c r="AI71">
        <f t="shared" si="34"/>
        <v>0</v>
      </c>
      <c r="AJ71">
        <f t="shared" ref="AJ71:AJ102" si="39">IF(AH71&lt;$AL$7,1,IF(AH71&lt;$AL$8,3,5))</f>
        <v>5</v>
      </c>
    </row>
    <row r="72" spans="1:36" x14ac:dyDescent="0.25">
      <c r="A72" s="5" t="s">
        <v>39</v>
      </c>
      <c r="B72" s="5" t="s">
        <v>30</v>
      </c>
      <c r="C72" s="5" t="str">
        <f t="shared" si="24"/>
        <v>description,dailCompDescSpirit,</v>
      </c>
      <c r="D72" s="5" t="str">
        <f t="shared" si="25"/>
        <v>itemText,dailCompTextSpirit,</v>
      </c>
      <c r="E72" s="5" t="str">
        <f t="shared" si="35"/>
        <v>augmentSkillLevel1,5,</v>
      </c>
      <c r="F72" s="5" t="str">
        <f t="shared" si="36"/>
        <v>augmentSkillName1,records/skills,</v>
      </c>
      <c r="G72" s="7" t="str">
        <f t="shared" si="31"/>
        <v/>
      </c>
      <c r="H72" s="8" t="str">
        <f t="shared" si="32"/>
        <v>Spirit</v>
      </c>
      <c r="J72" s="8" t="str">
        <f t="shared" si="33"/>
        <v>class0018</v>
      </c>
      <c r="K72" s="8" t="str">
        <f t="shared" si="33"/>
        <v>dailoneskill0018</v>
      </c>
      <c r="L72" s="5" t="str">
        <f t="shared" si="26"/>
        <v>lootName,DAIL/items/materia/class0018/Spirit.dbr,</v>
      </c>
      <c r="M72" s="5" t="str">
        <f t="shared" si="27"/>
        <v>lootWeight,1,</v>
      </c>
      <c r="N72" t="str">
        <f t="shared" si="28"/>
        <v>5</v>
      </c>
      <c r="O72" t="str">
        <f t="shared" si="37"/>
        <v/>
      </c>
      <c r="P72" t="str">
        <f t="shared" si="23"/>
        <v/>
      </c>
      <c r="Q72" t="str">
        <f t="shared" si="23"/>
        <v/>
      </c>
      <c r="R72" t="str">
        <f t="shared" si="23"/>
        <v/>
      </c>
      <c r="S72" t="str">
        <f t="shared" si="23"/>
        <v/>
      </c>
      <c r="T72" t="str">
        <f t="shared" si="23"/>
        <v/>
      </c>
      <c r="U72" t="str">
        <f t="shared" si="23"/>
        <v/>
      </c>
      <c r="V72" s="5" t="s">
        <v>36</v>
      </c>
      <c r="W72" t="str">
        <f t="shared" si="29"/>
        <v/>
      </c>
      <c r="X72" t="str">
        <f t="shared" si="29"/>
        <v/>
      </c>
      <c r="Y72" s="5" t="s">
        <v>36</v>
      </c>
      <c r="Z72" t="str">
        <f t="shared" si="30"/>
        <v/>
      </c>
      <c r="AA72" t="str">
        <f t="shared" si="38"/>
        <v/>
      </c>
      <c r="AB72" s="5" t="s">
        <v>36</v>
      </c>
      <c r="AH72">
        <f t="shared" ref="AH72:AH102" si="40">AH71+1</f>
        <v>67</v>
      </c>
      <c r="AI72">
        <f t="shared" si="34"/>
        <v>0</v>
      </c>
      <c r="AJ72">
        <f t="shared" si="39"/>
        <v>5</v>
      </c>
    </row>
    <row r="73" spans="1:36" x14ac:dyDescent="0.25">
      <c r="A73" s="5" t="s">
        <v>39</v>
      </c>
      <c r="B73" s="5" t="s">
        <v>30</v>
      </c>
      <c r="C73" s="5" t="str">
        <f t="shared" si="24"/>
        <v>description,dailCompDescSpirit,</v>
      </c>
      <c r="D73" s="5" t="str">
        <f t="shared" si="25"/>
        <v>itemText,dailCompTextSpirit,</v>
      </c>
      <c r="E73" s="5" t="str">
        <f t="shared" si="35"/>
        <v>augmentSkillLevel1,5,</v>
      </c>
      <c r="F73" s="5" t="str">
        <f t="shared" si="36"/>
        <v>augmentSkillName1,records/skills,</v>
      </c>
      <c r="G73" s="7" t="str">
        <f t="shared" si="31"/>
        <v/>
      </c>
      <c r="H73" s="8" t="str">
        <f t="shared" si="32"/>
        <v>Spirit</v>
      </c>
      <c r="J73" s="8" t="str">
        <f t="shared" si="33"/>
        <v>class0018</v>
      </c>
      <c r="K73" s="8" t="str">
        <f t="shared" si="33"/>
        <v>dailoneskill0018</v>
      </c>
      <c r="L73" s="5" t="str">
        <f t="shared" si="26"/>
        <v>lootName,DAIL/items/materia/class0018/Spirit.dbr,</v>
      </c>
      <c r="M73" s="5" t="str">
        <f t="shared" si="27"/>
        <v>lootWeight,1,</v>
      </c>
      <c r="N73" t="str">
        <f t="shared" si="28"/>
        <v>5</v>
      </c>
      <c r="O73" t="str">
        <f t="shared" si="37"/>
        <v/>
      </c>
      <c r="P73" t="str">
        <f t="shared" si="23"/>
        <v/>
      </c>
      <c r="Q73" t="str">
        <f t="shared" si="23"/>
        <v/>
      </c>
      <c r="R73" t="str">
        <f t="shared" si="23"/>
        <v/>
      </c>
      <c r="S73" t="str">
        <f t="shared" si="23"/>
        <v/>
      </c>
      <c r="T73" t="str">
        <f t="shared" si="23"/>
        <v/>
      </c>
      <c r="U73" t="str">
        <f t="shared" si="23"/>
        <v/>
      </c>
      <c r="V73" s="5" t="s">
        <v>36</v>
      </c>
      <c r="W73" t="str">
        <f t="shared" si="29"/>
        <v/>
      </c>
      <c r="X73" t="str">
        <f t="shared" si="29"/>
        <v/>
      </c>
      <c r="Y73" s="5" t="s">
        <v>36</v>
      </c>
      <c r="Z73" t="str">
        <f t="shared" si="30"/>
        <v/>
      </c>
      <c r="AA73" t="str">
        <f t="shared" si="38"/>
        <v/>
      </c>
      <c r="AB73" s="5" t="s">
        <v>36</v>
      </c>
      <c r="AH73">
        <f t="shared" si="40"/>
        <v>68</v>
      </c>
      <c r="AI73">
        <f t="shared" si="34"/>
        <v>0</v>
      </c>
      <c r="AJ73">
        <f t="shared" si="39"/>
        <v>5</v>
      </c>
    </row>
    <row r="74" spans="1:36" x14ac:dyDescent="0.25">
      <c r="A74" s="5" t="s">
        <v>39</v>
      </c>
      <c r="B74" s="5" t="s">
        <v>30</v>
      </c>
      <c r="C74" s="5" t="str">
        <f t="shared" si="24"/>
        <v>description,dailCompDescSpirit,</v>
      </c>
      <c r="D74" s="5" t="str">
        <f t="shared" si="25"/>
        <v>itemText,dailCompTextSpirit,</v>
      </c>
      <c r="E74" s="5" t="str">
        <f t="shared" si="35"/>
        <v>augmentSkillLevel1,5,</v>
      </c>
      <c r="F74" s="5" t="str">
        <f t="shared" si="36"/>
        <v>augmentSkillName1,records/skills,</v>
      </c>
      <c r="G74" s="7" t="str">
        <f t="shared" si="31"/>
        <v/>
      </c>
      <c r="H74" s="8" t="str">
        <f t="shared" si="32"/>
        <v>Spirit</v>
      </c>
      <c r="J74" s="8" t="str">
        <f t="shared" si="33"/>
        <v>class0018</v>
      </c>
      <c r="K74" s="8" t="str">
        <f t="shared" si="33"/>
        <v>dailoneskill0018</v>
      </c>
      <c r="L74" s="5" t="str">
        <f t="shared" si="26"/>
        <v>lootName,DAIL/items/materia/class0018/Spirit.dbr,</v>
      </c>
      <c r="M74" s="5" t="str">
        <f t="shared" si="27"/>
        <v>lootWeight,1,</v>
      </c>
      <c r="N74" t="str">
        <f t="shared" si="28"/>
        <v>5</v>
      </c>
      <c r="O74" t="str">
        <f t="shared" si="37"/>
        <v/>
      </c>
      <c r="P74" t="str">
        <f t="shared" si="23"/>
        <v/>
      </c>
      <c r="Q74" t="str">
        <f t="shared" si="23"/>
        <v/>
      </c>
      <c r="R74" t="str">
        <f t="shared" si="23"/>
        <v/>
      </c>
      <c r="S74" t="str">
        <f t="shared" si="23"/>
        <v/>
      </c>
      <c r="T74" t="str">
        <f t="shared" si="23"/>
        <v/>
      </c>
      <c r="U74" t="str">
        <f t="shared" si="23"/>
        <v/>
      </c>
      <c r="V74" s="5" t="s">
        <v>36</v>
      </c>
      <c r="W74" t="str">
        <f t="shared" si="29"/>
        <v/>
      </c>
      <c r="X74" t="str">
        <f t="shared" si="29"/>
        <v/>
      </c>
      <c r="Y74" s="5" t="s">
        <v>36</v>
      </c>
      <c r="Z74" t="str">
        <f t="shared" si="30"/>
        <v/>
      </c>
      <c r="AA74" t="str">
        <f t="shared" si="38"/>
        <v/>
      </c>
      <c r="AB74" s="5" t="s">
        <v>36</v>
      </c>
      <c r="AH74">
        <f t="shared" si="40"/>
        <v>69</v>
      </c>
      <c r="AI74">
        <f t="shared" si="34"/>
        <v>0</v>
      </c>
      <c r="AJ74">
        <f t="shared" si="39"/>
        <v>5</v>
      </c>
    </row>
    <row r="75" spans="1:36" x14ac:dyDescent="0.25">
      <c r="A75" s="5" t="s">
        <v>39</v>
      </c>
      <c r="B75" s="5" t="s">
        <v>30</v>
      </c>
      <c r="C75" s="5" t="str">
        <f t="shared" si="24"/>
        <v>description,dailCompDescSpirit,</v>
      </c>
      <c r="D75" s="5" t="str">
        <f t="shared" si="25"/>
        <v>itemText,dailCompTextSpirit,</v>
      </c>
      <c r="E75" s="5" t="str">
        <f t="shared" si="35"/>
        <v>augmentSkillLevel1,5,</v>
      </c>
      <c r="F75" s="5" t="str">
        <f t="shared" si="36"/>
        <v>augmentSkillName1,records/skills,</v>
      </c>
      <c r="G75" s="7" t="str">
        <f t="shared" si="31"/>
        <v/>
      </c>
      <c r="H75" s="8" t="str">
        <f t="shared" si="32"/>
        <v>Spirit</v>
      </c>
      <c r="J75" s="8" t="str">
        <f t="shared" si="33"/>
        <v>class0018</v>
      </c>
      <c r="K75" s="8" t="str">
        <f t="shared" si="33"/>
        <v>dailoneskill0018</v>
      </c>
      <c r="L75" s="5" t="str">
        <f t="shared" si="26"/>
        <v>lootName,DAIL/items/materia/class0018/Spirit.dbr,</v>
      </c>
      <c r="M75" s="5" t="str">
        <f t="shared" si="27"/>
        <v>lootWeight,1,</v>
      </c>
      <c r="N75" t="str">
        <f t="shared" si="28"/>
        <v>5</v>
      </c>
      <c r="O75" t="str">
        <f t="shared" si="37"/>
        <v/>
      </c>
      <c r="P75" t="str">
        <f t="shared" si="23"/>
        <v/>
      </c>
      <c r="Q75" t="str">
        <f t="shared" si="23"/>
        <v/>
      </c>
      <c r="R75" t="str">
        <f t="shared" si="23"/>
        <v/>
      </c>
      <c r="S75" t="str">
        <f t="shared" si="23"/>
        <v/>
      </c>
      <c r="T75" t="str">
        <f t="shared" si="23"/>
        <v/>
      </c>
      <c r="U75" t="str">
        <f t="shared" si="23"/>
        <v/>
      </c>
      <c r="V75" s="5" t="s">
        <v>36</v>
      </c>
      <c r="W75" t="str">
        <f t="shared" si="29"/>
        <v/>
      </c>
      <c r="X75" t="str">
        <f t="shared" si="29"/>
        <v/>
      </c>
      <c r="Y75" s="5" t="s">
        <v>36</v>
      </c>
      <c r="Z75" t="str">
        <f t="shared" si="30"/>
        <v/>
      </c>
      <c r="AA75" t="str">
        <f t="shared" si="38"/>
        <v/>
      </c>
      <c r="AB75" s="5" t="s">
        <v>36</v>
      </c>
      <c r="AH75">
        <f t="shared" si="40"/>
        <v>70</v>
      </c>
      <c r="AI75">
        <f t="shared" si="34"/>
        <v>0</v>
      </c>
      <c r="AJ75">
        <f t="shared" si="39"/>
        <v>5</v>
      </c>
    </row>
    <row r="76" spans="1:36" x14ac:dyDescent="0.25">
      <c r="A76" s="5" t="s">
        <v>39</v>
      </c>
      <c r="B76" s="5" t="s">
        <v>30</v>
      </c>
      <c r="C76" s="5" t="str">
        <f t="shared" si="24"/>
        <v>description,dailCompDescSpirit,</v>
      </c>
      <c r="D76" s="5" t="str">
        <f t="shared" si="25"/>
        <v>itemText,dailCompTextSpirit,</v>
      </c>
      <c r="E76" s="5" t="str">
        <f t="shared" si="35"/>
        <v>augmentSkillLevel1,5,</v>
      </c>
      <c r="F76" s="5" t="str">
        <f t="shared" si="36"/>
        <v>augmentSkillName1,records/skills,</v>
      </c>
      <c r="G76" s="7" t="str">
        <f t="shared" si="31"/>
        <v/>
      </c>
      <c r="H76" s="8" t="str">
        <f t="shared" si="32"/>
        <v>Spirit</v>
      </c>
      <c r="J76" s="8" t="str">
        <f t="shared" si="33"/>
        <v>class0018</v>
      </c>
      <c r="K76" s="8" t="str">
        <f t="shared" si="33"/>
        <v>dailoneskill0018</v>
      </c>
      <c r="L76" s="5" t="str">
        <f t="shared" si="26"/>
        <v>lootName,DAIL/items/materia/class0018/Spirit.dbr,</v>
      </c>
      <c r="M76" s="5" t="str">
        <f t="shared" si="27"/>
        <v>lootWeight,1,</v>
      </c>
      <c r="N76" t="str">
        <f t="shared" si="28"/>
        <v>5</v>
      </c>
      <c r="O76" t="str">
        <f t="shared" si="37"/>
        <v/>
      </c>
      <c r="P76" t="str">
        <f t="shared" si="23"/>
        <v/>
      </c>
      <c r="Q76" t="str">
        <f t="shared" si="23"/>
        <v/>
      </c>
      <c r="R76" t="str">
        <f t="shared" si="23"/>
        <v/>
      </c>
      <c r="S76" t="str">
        <f t="shared" si="23"/>
        <v/>
      </c>
      <c r="T76" t="str">
        <f t="shared" si="23"/>
        <v/>
      </c>
      <c r="U76" t="str">
        <f t="shared" si="23"/>
        <v/>
      </c>
      <c r="V76" s="5" t="s">
        <v>36</v>
      </c>
      <c r="W76" t="str">
        <f t="shared" si="29"/>
        <v/>
      </c>
      <c r="X76" t="str">
        <f t="shared" si="29"/>
        <v/>
      </c>
      <c r="Y76" s="5" t="s">
        <v>36</v>
      </c>
      <c r="Z76" t="str">
        <f t="shared" si="30"/>
        <v/>
      </c>
      <c r="AA76" t="str">
        <f t="shared" si="38"/>
        <v/>
      </c>
      <c r="AB76" s="5" t="s">
        <v>36</v>
      </c>
      <c r="AH76">
        <f t="shared" si="40"/>
        <v>71</v>
      </c>
      <c r="AI76">
        <f t="shared" si="34"/>
        <v>0</v>
      </c>
      <c r="AJ76">
        <f t="shared" si="39"/>
        <v>5</v>
      </c>
    </row>
    <row r="77" spans="1:36" x14ac:dyDescent="0.25">
      <c r="A77" s="5" t="s">
        <v>39</v>
      </c>
      <c r="B77" s="5" t="s">
        <v>30</v>
      </c>
      <c r="C77" s="5" t="str">
        <f t="shared" si="24"/>
        <v>description,dailCompDescSpirit,</v>
      </c>
      <c r="D77" s="5" t="str">
        <f t="shared" si="25"/>
        <v>itemText,dailCompTextSpirit,</v>
      </c>
      <c r="E77" s="5" t="str">
        <f t="shared" si="35"/>
        <v>augmentSkillLevel1,5,</v>
      </c>
      <c r="F77" s="5" t="str">
        <f t="shared" si="36"/>
        <v>augmentSkillName1,records/skills,</v>
      </c>
      <c r="G77" s="7" t="str">
        <f t="shared" si="31"/>
        <v/>
      </c>
      <c r="H77" s="8" t="str">
        <f t="shared" si="32"/>
        <v>Spirit</v>
      </c>
      <c r="J77" s="8" t="str">
        <f t="shared" si="33"/>
        <v>class0018</v>
      </c>
      <c r="K77" s="8" t="str">
        <f t="shared" si="33"/>
        <v>dailoneskill0018</v>
      </c>
      <c r="L77" s="5" t="str">
        <f t="shared" si="26"/>
        <v>lootName,DAIL/items/materia/class0018/Spirit.dbr,</v>
      </c>
      <c r="M77" s="5" t="str">
        <f t="shared" si="27"/>
        <v>lootWeight,1,</v>
      </c>
      <c r="N77" t="str">
        <f t="shared" si="28"/>
        <v>5</v>
      </c>
      <c r="O77" t="str">
        <f t="shared" si="37"/>
        <v/>
      </c>
      <c r="P77" t="str">
        <f t="shared" si="23"/>
        <v/>
      </c>
      <c r="Q77" t="str">
        <f t="shared" si="23"/>
        <v/>
      </c>
      <c r="R77" t="str">
        <f t="shared" si="23"/>
        <v/>
      </c>
      <c r="S77" t="str">
        <f t="shared" si="23"/>
        <v/>
      </c>
      <c r="T77" t="str">
        <f t="shared" si="23"/>
        <v/>
      </c>
      <c r="U77" t="str">
        <f t="shared" si="23"/>
        <v/>
      </c>
      <c r="V77" s="5" t="s">
        <v>36</v>
      </c>
      <c r="W77" t="str">
        <f t="shared" si="29"/>
        <v/>
      </c>
      <c r="X77" t="str">
        <f t="shared" si="29"/>
        <v/>
      </c>
      <c r="Y77" s="5" t="s">
        <v>36</v>
      </c>
      <c r="Z77" t="str">
        <f t="shared" si="30"/>
        <v/>
      </c>
      <c r="AA77" t="str">
        <f t="shared" si="38"/>
        <v/>
      </c>
      <c r="AB77" s="5" t="s">
        <v>36</v>
      </c>
      <c r="AH77">
        <f t="shared" si="40"/>
        <v>72</v>
      </c>
      <c r="AI77">
        <f t="shared" si="34"/>
        <v>0</v>
      </c>
      <c r="AJ77">
        <f t="shared" si="39"/>
        <v>5</v>
      </c>
    </row>
    <row r="78" spans="1:36" x14ac:dyDescent="0.25">
      <c r="A78" s="5" t="s">
        <v>39</v>
      </c>
      <c r="B78" s="5" t="s">
        <v>30</v>
      </c>
      <c r="C78" s="5" t="str">
        <f t="shared" si="24"/>
        <v>description,dailCompDescSpirit,</v>
      </c>
      <c r="D78" s="5" t="str">
        <f t="shared" si="25"/>
        <v>itemText,dailCompTextSpirit,</v>
      </c>
      <c r="E78" s="5" t="str">
        <f t="shared" si="35"/>
        <v>augmentSkillLevel1,5,</v>
      </c>
      <c r="F78" s="5" t="str">
        <f t="shared" si="36"/>
        <v>augmentSkillName1,records/skills,</v>
      </c>
      <c r="G78" s="7" t="str">
        <f t="shared" si="31"/>
        <v/>
      </c>
      <c r="H78" s="8" t="str">
        <f t="shared" si="32"/>
        <v>Spirit</v>
      </c>
      <c r="J78" s="8" t="str">
        <f t="shared" si="33"/>
        <v>class0018</v>
      </c>
      <c r="K78" s="8" t="str">
        <f t="shared" si="33"/>
        <v>dailoneskill0018</v>
      </c>
      <c r="L78" s="5" t="str">
        <f t="shared" si="26"/>
        <v>lootName,DAIL/items/materia/class0018/Spirit.dbr,</v>
      </c>
      <c r="M78" s="5" t="str">
        <f t="shared" si="27"/>
        <v>lootWeight,1,</v>
      </c>
      <c r="N78" t="str">
        <f t="shared" si="28"/>
        <v>5</v>
      </c>
      <c r="O78" t="str">
        <f t="shared" si="37"/>
        <v/>
      </c>
      <c r="P78" t="str">
        <f t="shared" si="23"/>
        <v/>
      </c>
      <c r="Q78" t="str">
        <f t="shared" si="23"/>
        <v/>
      </c>
      <c r="R78" t="str">
        <f t="shared" si="23"/>
        <v/>
      </c>
      <c r="S78" t="str">
        <f t="shared" si="23"/>
        <v/>
      </c>
      <c r="T78" t="str">
        <f t="shared" si="23"/>
        <v/>
      </c>
      <c r="U78" t="str">
        <f t="shared" si="23"/>
        <v/>
      </c>
      <c r="V78" s="5" t="s">
        <v>36</v>
      </c>
      <c r="W78" t="str">
        <f t="shared" si="29"/>
        <v/>
      </c>
      <c r="X78" t="str">
        <f t="shared" si="29"/>
        <v/>
      </c>
      <c r="Y78" s="5" t="s">
        <v>36</v>
      </c>
      <c r="Z78" t="str">
        <f t="shared" si="30"/>
        <v/>
      </c>
      <c r="AA78" t="str">
        <f t="shared" si="38"/>
        <v/>
      </c>
      <c r="AB78" s="5" t="s">
        <v>36</v>
      </c>
      <c r="AH78">
        <f t="shared" si="40"/>
        <v>73</v>
      </c>
      <c r="AI78">
        <f t="shared" si="34"/>
        <v>0</v>
      </c>
      <c r="AJ78">
        <f t="shared" si="39"/>
        <v>5</v>
      </c>
    </row>
    <row r="79" spans="1:36" x14ac:dyDescent="0.25">
      <c r="A79" s="5" t="s">
        <v>39</v>
      </c>
      <c r="B79" s="5" t="s">
        <v>30</v>
      </c>
      <c r="C79" s="5" t="str">
        <f t="shared" si="24"/>
        <v>description,dailCompDescSpirit,</v>
      </c>
      <c r="D79" s="5" t="str">
        <f t="shared" si="25"/>
        <v>itemText,dailCompTextSpirit,</v>
      </c>
      <c r="E79" s="5" t="str">
        <f t="shared" si="35"/>
        <v>augmentSkillLevel1,5,</v>
      </c>
      <c r="F79" s="5" t="str">
        <f t="shared" si="36"/>
        <v>augmentSkillName1,records/skills,</v>
      </c>
      <c r="G79" s="7" t="str">
        <f t="shared" si="31"/>
        <v/>
      </c>
      <c r="H79" s="8" t="str">
        <f t="shared" si="32"/>
        <v>Spirit</v>
      </c>
      <c r="J79" s="8" t="str">
        <f t="shared" si="33"/>
        <v>class0018</v>
      </c>
      <c r="K79" s="8" t="str">
        <f t="shared" si="33"/>
        <v>dailoneskill0018</v>
      </c>
      <c r="L79" s="5" t="str">
        <f t="shared" si="26"/>
        <v>lootName,DAIL/items/materia/class0018/Spirit.dbr,</v>
      </c>
      <c r="M79" s="5" t="str">
        <f t="shared" si="27"/>
        <v>lootWeight,1,</v>
      </c>
      <c r="N79" t="str">
        <f t="shared" si="28"/>
        <v>5</v>
      </c>
      <c r="O79" t="str">
        <f t="shared" si="37"/>
        <v/>
      </c>
      <c r="P79" t="str">
        <f t="shared" si="23"/>
        <v/>
      </c>
      <c r="Q79" t="str">
        <f t="shared" si="23"/>
        <v/>
      </c>
      <c r="R79" t="str">
        <f t="shared" si="23"/>
        <v/>
      </c>
      <c r="S79" t="str">
        <f t="shared" si="23"/>
        <v/>
      </c>
      <c r="T79" t="str">
        <f t="shared" si="23"/>
        <v/>
      </c>
      <c r="U79" t="str">
        <f t="shared" si="23"/>
        <v/>
      </c>
      <c r="V79" s="5" t="s">
        <v>36</v>
      </c>
      <c r="W79" t="str">
        <f t="shared" si="29"/>
        <v/>
      </c>
      <c r="X79" t="str">
        <f t="shared" si="29"/>
        <v/>
      </c>
      <c r="Y79" s="5" t="s">
        <v>36</v>
      </c>
      <c r="Z79" t="str">
        <f t="shared" si="30"/>
        <v/>
      </c>
      <c r="AA79" t="str">
        <f t="shared" si="38"/>
        <v/>
      </c>
      <c r="AB79" s="5" t="s">
        <v>36</v>
      </c>
      <c r="AH79">
        <f t="shared" si="40"/>
        <v>74</v>
      </c>
      <c r="AI79">
        <f t="shared" si="34"/>
        <v>0</v>
      </c>
      <c r="AJ79">
        <f t="shared" si="39"/>
        <v>5</v>
      </c>
    </row>
    <row r="80" spans="1:36" x14ac:dyDescent="0.25">
      <c r="A80" s="5" t="s">
        <v>39</v>
      </c>
      <c r="B80" s="5" t="s">
        <v>30</v>
      </c>
      <c r="C80" s="5" t="str">
        <f t="shared" si="24"/>
        <v>description,dailCompDescSpirit,</v>
      </c>
      <c r="D80" s="5" t="str">
        <f t="shared" si="25"/>
        <v>itemText,dailCompTextSpirit,</v>
      </c>
      <c r="E80" s="5" t="str">
        <f t="shared" si="35"/>
        <v>augmentSkillLevel1,5,</v>
      </c>
      <c r="F80" s="5" t="str">
        <f t="shared" si="36"/>
        <v>augmentSkillName1,records/skills,</v>
      </c>
      <c r="G80" s="7" t="str">
        <f t="shared" si="31"/>
        <v/>
      </c>
      <c r="H80" s="8" t="str">
        <f t="shared" si="32"/>
        <v>Spirit</v>
      </c>
      <c r="J80" s="8" t="str">
        <f t="shared" si="33"/>
        <v>class0018</v>
      </c>
      <c r="K80" s="8" t="str">
        <f t="shared" si="33"/>
        <v>dailoneskill0018</v>
      </c>
      <c r="L80" s="5" t="str">
        <f t="shared" si="26"/>
        <v>lootName,DAIL/items/materia/class0018/Spirit.dbr,</v>
      </c>
      <c r="M80" s="5" t="str">
        <f t="shared" si="27"/>
        <v>lootWeight,1,</v>
      </c>
      <c r="N80" t="str">
        <f t="shared" si="28"/>
        <v>5</v>
      </c>
      <c r="O80" t="str">
        <f t="shared" si="37"/>
        <v/>
      </c>
      <c r="P80" t="str">
        <f t="shared" si="23"/>
        <v/>
      </c>
      <c r="Q80" t="str">
        <f t="shared" si="23"/>
        <v/>
      </c>
      <c r="R80" t="str">
        <f t="shared" si="23"/>
        <v/>
      </c>
      <c r="S80" t="str">
        <f t="shared" si="23"/>
        <v/>
      </c>
      <c r="T80" t="str">
        <f t="shared" si="23"/>
        <v/>
      </c>
      <c r="U80" t="str">
        <f t="shared" si="23"/>
        <v/>
      </c>
      <c r="V80" s="5" t="s">
        <v>36</v>
      </c>
      <c r="W80" t="str">
        <f t="shared" si="29"/>
        <v/>
      </c>
      <c r="X80" t="str">
        <f t="shared" si="29"/>
        <v/>
      </c>
      <c r="Y80" s="5" t="s">
        <v>36</v>
      </c>
      <c r="Z80" t="str">
        <f t="shared" si="30"/>
        <v/>
      </c>
      <c r="AA80" t="str">
        <f t="shared" si="38"/>
        <v/>
      </c>
      <c r="AB80" s="5" t="s">
        <v>36</v>
      </c>
      <c r="AH80">
        <f t="shared" si="40"/>
        <v>75</v>
      </c>
      <c r="AI80">
        <f t="shared" si="34"/>
        <v>0</v>
      </c>
      <c r="AJ80">
        <f t="shared" si="39"/>
        <v>5</v>
      </c>
    </row>
    <row r="81" spans="1:36" x14ac:dyDescent="0.25">
      <c r="A81" s="5" t="s">
        <v>39</v>
      </c>
      <c r="B81" s="5" t="s">
        <v>30</v>
      </c>
      <c r="C81" s="5" t="str">
        <f t="shared" si="24"/>
        <v>description,dailCompDescSpirit,</v>
      </c>
      <c r="D81" s="5" t="str">
        <f t="shared" si="25"/>
        <v>itemText,dailCompTextSpirit,</v>
      </c>
      <c r="E81" s="5" t="str">
        <f t="shared" si="35"/>
        <v>augmentSkillLevel1,5,</v>
      </c>
      <c r="F81" s="5" t="str">
        <f t="shared" si="36"/>
        <v>augmentSkillName1,records/skills,</v>
      </c>
      <c r="G81" s="7" t="str">
        <f t="shared" si="31"/>
        <v/>
      </c>
      <c r="H81" s="8" t="str">
        <f t="shared" si="32"/>
        <v>Spirit</v>
      </c>
      <c r="J81" s="8" t="str">
        <f t="shared" si="33"/>
        <v>class0018</v>
      </c>
      <c r="K81" s="8" t="str">
        <f t="shared" si="33"/>
        <v>dailoneskill0018</v>
      </c>
      <c r="L81" s="5" t="str">
        <f t="shared" si="26"/>
        <v>lootName,DAIL/items/materia/class0018/Spirit.dbr,</v>
      </c>
      <c r="M81" s="5" t="str">
        <f t="shared" si="27"/>
        <v>lootWeight,1,</v>
      </c>
      <c r="N81" t="str">
        <f t="shared" si="28"/>
        <v>5</v>
      </c>
      <c r="O81" t="str">
        <f t="shared" si="37"/>
        <v/>
      </c>
      <c r="P81" t="str">
        <f t="shared" si="23"/>
        <v/>
      </c>
      <c r="Q81" t="str">
        <f t="shared" si="23"/>
        <v/>
      </c>
      <c r="R81" t="str">
        <f t="shared" si="23"/>
        <v/>
      </c>
      <c r="S81" t="str">
        <f t="shared" si="23"/>
        <v/>
      </c>
      <c r="T81" t="str">
        <f t="shared" si="23"/>
        <v/>
      </c>
      <c r="U81" t="str">
        <f t="shared" si="23"/>
        <v/>
      </c>
      <c r="V81" s="5" t="s">
        <v>36</v>
      </c>
      <c r="W81" t="str">
        <f t="shared" si="29"/>
        <v/>
      </c>
      <c r="X81" t="str">
        <f t="shared" si="29"/>
        <v/>
      </c>
      <c r="Y81" s="5" t="s">
        <v>36</v>
      </c>
      <c r="Z81" t="str">
        <f t="shared" si="30"/>
        <v/>
      </c>
      <c r="AA81" t="str">
        <f t="shared" si="38"/>
        <v/>
      </c>
      <c r="AB81" s="5" t="s">
        <v>36</v>
      </c>
      <c r="AH81">
        <f t="shared" si="40"/>
        <v>76</v>
      </c>
      <c r="AI81">
        <f t="shared" si="34"/>
        <v>0</v>
      </c>
      <c r="AJ81">
        <f t="shared" si="39"/>
        <v>5</v>
      </c>
    </row>
    <row r="82" spans="1:36" x14ac:dyDescent="0.25">
      <c r="A82" s="5" t="s">
        <v>39</v>
      </c>
      <c r="B82" s="5" t="s">
        <v>30</v>
      </c>
      <c r="C82" s="5" t="str">
        <f t="shared" si="24"/>
        <v>description,dailCompDescSpirit,</v>
      </c>
      <c r="D82" s="5" t="str">
        <f t="shared" si="25"/>
        <v>itemText,dailCompTextSpirit,</v>
      </c>
      <c r="E82" s="5" t="str">
        <f t="shared" si="35"/>
        <v>augmentSkillLevel1,5,</v>
      </c>
      <c r="F82" s="5" t="str">
        <f t="shared" si="36"/>
        <v>augmentSkillName1,records/skills,</v>
      </c>
      <c r="G82" s="7" t="str">
        <f t="shared" si="31"/>
        <v/>
      </c>
      <c r="H82" s="8" t="str">
        <f t="shared" si="32"/>
        <v>Spirit</v>
      </c>
      <c r="J82" s="8" t="str">
        <f t="shared" si="33"/>
        <v>class0018</v>
      </c>
      <c r="K82" s="8" t="str">
        <f t="shared" si="33"/>
        <v>dailoneskill0018</v>
      </c>
      <c r="L82" s="5" t="str">
        <f t="shared" si="26"/>
        <v>lootName,DAIL/items/materia/class0018/Spirit.dbr,</v>
      </c>
      <c r="M82" s="5" t="str">
        <f t="shared" si="27"/>
        <v>lootWeight,1,</v>
      </c>
      <c r="N82" t="str">
        <f t="shared" si="28"/>
        <v>5</v>
      </c>
      <c r="O82" t="str">
        <f t="shared" si="37"/>
        <v/>
      </c>
      <c r="P82" t="str">
        <f t="shared" si="23"/>
        <v/>
      </c>
      <c r="Q82" t="str">
        <f t="shared" si="23"/>
        <v/>
      </c>
      <c r="R82" t="str">
        <f t="shared" si="23"/>
        <v/>
      </c>
      <c r="S82" t="str">
        <f t="shared" si="23"/>
        <v/>
      </c>
      <c r="T82" t="str">
        <f t="shared" si="23"/>
        <v/>
      </c>
      <c r="U82" t="str">
        <f t="shared" si="23"/>
        <v/>
      </c>
      <c r="V82" s="5" t="s">
        <v>36</v>
      </c>
      <c r="W82" t="str">
        <f t="shared" si="29"/>
        <v/>
      </c>
      <c r="X82" t="str">
        <f t="shared" si="29"/>
        <v/>
      </c>
      <c r="Y82" s="5" t="s">
        <v>36</v>
      </c>
      <c r="Z82" t="str">
        <f t="shared" si="30"/>
        <v/>
      </c>
      <c r="AA82" t="str">
        <f t="shared" si="38"/>
        <v/>
      </c>
      <c r="AB82" s="5" t="s">
        <v>36</v>
      </c>
      <c r="AH82">
        <f t="shared" si="40"/>
        <v>77</v>
      </c>
      <c r="AI82">
        <f t="shared" si="34"/>
        <v>0</v>
      </c>
      <c r="AJ82">
        <f t="shared" si="39"/>
        <v>5</v>
      </c>
    </row>
    <row r="83" spans="1:36" x14ac:dyDescent="0.25">
      <c r="A83" s="5" t="s">
        <v>39</v>
      </c>
      <c r="B83" s="5" t="s">
        <v>30</v>
      </c>
      <c r="C83" s="5" t="str">
        <f t="shared" si="24"/>
        <v>description,dailCompDescSpirit,</v>
      </c>
      <c r="D83" s="5" t="str">
        <f t="shared" si="25"/>
        <v>itemText,dailCompTextSpirit,</v>
      </c>
      <c r="E83" s="5" t="str">
        <f t="shared" si="35"/>
        <v>augmentSkillLevel1,5,</v>
      </c>
      <c r="F83" s="5" t="str">
        <f t="shared" si="36"/>
        <v>augmentSkillName1,records/skills,</v>
      </c>
      <c r="G83" s="7" t="str">
        <f t="shared" si="31"/>
        <v/>
      </c>
      <c r="H83" s="8" t="str">
        <f t="shared" si="32"/>
        <v>Spirit</v>
      </c>
      <c r="J83" s="8" t="str">
        <f t="shared" si="33"/>
        <v>class0018</v>
      </c>
      <c r="K83" s="8" t="str">
        <f t="shared" si="33"/>
        <v>dailoneskill0018</v>
      </c>
      <c r="L83" s="5" t="str">
        <f t="shared" si="26"/>
        <v>lootName,DAIL/items/materia/class0018/Spirit.dbr,</v>
      </c>
      <c r="M83" s="5" t="str">
        <f t="shared" si="27"/>
        <v>lootWeight,1,</v>
      </c>
      <c r="N83" t="str">
        <f t="shared" si="28"/>
        <v>5</v>
      </c>
      <c r="O83" t="str">
        <f t="shared" si="37"/>
        <v/>
      </c>
      <c r="P83" t="str">
        <f t="shared" si="23"/>
        <v/>
      </c>
      <c r="Q83" t="str">
        <f t="shared" si="23"/>
        <v/>
      </c>
      <c r="R83" t="str">
        <f t="shared" si="23"/>
        <v/>
      </c>
      <c r="S83" t="str">
        <f t="shared" si="23"/>
        <v/>
      </c>
      <c r="T83" t="str">
        <f t="shared" si="23"/>
        <v/>
      </c>
      <c r="U83" t="str">
        <f t="shared" si="23"/>
        <v/>
      </c>
      <c r="V83" s="5" t="s">
        <v>36</v>
      </c>
      <c r="W83" t="str">
        <f t="shared" si="29"/>
        <v/>
      </c>
      <c r="X83" t="str">
        <f t="shared" si="29"/>
        <v/>
      </c>
      <c r="Y83" s="5" t="s">
        <v>36</v>
      </c>
      <c r="Z83" t="str">
        <f t="shared" si="30"/>
        <v/>
      </c>
      <c r="AA83" t="str">
        <f t="shared" si="38"/>
        <v/>
      </c>
      <c r="AB83" s="5" t="s">
        <v>36</v>
      </c>
      <c r="AH83">
        <f t="shared" si="40"/>
        <v>78</v>
      </c>
      <c r="AI83">
        <f t="shared" si="34"/>
        <v>0</v>
      </c>
      <c r="AJ83">
        <f t="shared" si="39"/>
        <v>5</v>
      </c>
    </row>
    <row r="84" spans="1:36" x14ac:dyDescent="0.25">
      <c r="A84" s="5" t="s">
        <v>39</v>
      </c>
      <c r="B84" s="5" t="s">
        <v>30</v>
      </c>
      <c r="C84" s="5" t="str">
        <f t="shared" si="24"/>
        <v>description,dailCompDescSpirit,</v>
      </c>
      <c r="D84" s="5" t="str">
        <f t="shared" si="25"/>
        <v>itemText,dailCompTextSpirit,</v>
      </c>
      <c r="E84" s="5" t="str">
        <f t="shared" si="35"/>
        <v>augmentSkillLevel1,5,</v>
      </c>
      <c r="F84" s="5" t="str">
        <f t="shared" si="36"/>
        <v>augmentSkillName1,records/skills,</v>
      </c>
      <c r="G84" s="7" t="str">
        <f t="shared" si="31"/>
        <v/>
      </c>
      <c r="H84" s="8" t="str">
        <f t="shared" si="32"/>
        <v>Spirit</v>
      </c>
      <c r="J84" s="8" t="str">
        <f t="shared" si="33"/>
        <v>class0018</v>
      </c>
      <c r="K84" s="8" t="str">
        <f t="shared" si="33"/>
        <v>dailoneskill0018</v>
      </c>
      <c r="L84" s="5" t="str">
        <f t="shared" si="26"/>
        <v>lootName,DAIL/items/materia/class0018/Spirit.dbr,</v>
      </c>
      <c r="M84" s="5" t="str">
        <f t="shared" si="27"/>
        <v>lootWeight,1,</v>
      </c>
      <c r="N84" t="str">
        <f t="shared" si="28"/>
        <v>5</v>
      </c>
      <c r="O84" t="str">
        <f t="shared" si="37"/>
        <v/>
      </c>
      <c r="P84" t="str">
        <f t="shared" si="23"/>
        <v/>
      </c>
      <c r="Q84" t="str">
        <f t="shared" si="23"/>
        <v/>
      </c>
      <c r="R84" t="str">
        <f t="shared" si="23"/>
        <v/>
      </c>
      <c r="S84" t="str">
        <f t="shared" si="23"/>
        <v/>
      </c>
      <c r="T84" t="str">
        <f t="shared" si="23"/>
        <v/>
      </c>
      <c r="U84" t="str">
        <f t="shared" si="23"/>
        <v/>
      </c>
      <c r="V84" s="5" t="s">
        <v>36</v>
      </c>
      <c r="W84" t="str">
        <f t="shared" si="29"/>
        <v/>
      </c>
      <c r="X84" t="str">
        <f t="shared" si="29"/>
        <v/>
      </c>
      <c r="Y84" s="5" t="s">
        <v>36</v>
      </c>
      <c r="Z84" t="str">
        <f t="shared" si="30"/>
        <v/>
      </c>
      <c r="AA84" t="str">
        <f t="shared" si="38"/>
        <v/>
      </c>
      <c r="AB84" s="5" t="s">
        <v>36</v>
      </c>
      <c r="AH84">
        <f t="shared" si="40"/>
        <v>79</v>
      </c>
      <c r="AI84">
        <f t="shared" si="34"/>
        <v>0</v>
      </c>
      <c r="AJ84">
        <f t="shared" si="39"/>
        <v>5</v>
      </c>
    </row>
    <row r="85" spans="1:36" x14ac:dyDescent="0.25">
      <c r="A85" s="5" t="s">
        <v>39</v>
      </c>
      <c r="B85" s="5" t="s">
        <v>30</v>
      </c>
      <c r="C85" s="5" t="str">
        <f t="shared" si="24"/>
        <v>description,dailCompDescSpirit,</v>
      </c>
      <c r="D85" s="5" t="str">
        <f t="shared" si="25"/>
        <v>itemText,dailCompTextSpirit,</v>
      </c>
      <c r="E85" s="5" t="str">
        <f t="shared" si="35"/>
        <v>augmentSkillLevel1,5,</v>
      </c>
      <c r="F85" s="5" t="str">
        <f t="shared" si="36"/>
        <v>augmentSkillName1,records/skills,</v>
      </c>
      <c r="G85" s="7" t="str">
        <f t="shared" si="31"/>
        <v/>
      </c>
      <c r="H85" s="8" t="str">
        <f t="shared" si="32"/>
        <v>Spirit</v>
      </c>
      <c r="J85" s="8" t="str">
        <f t="shared" ref="J85:K100" si="41">J84</f>
        <v>class0018</v>
      </c>
      <c r="K85" s="8" t="str">
        <f t="shared" si="41"/>
        <v>dailoneskill0018</v>
      </c>
      <c r="L85" s="5" t="str">
        <f t="shared" si="26"/>
        <v>lootName,DAIL/items/materia/class0018/Spirit.dbr,</v>
      </c>
      <c r="M85" s="5" t="str">
        <f t="shared" si="27"/>
        <v>lootWeight,1,</v>
      </c>
      <c r="N85" t="str">
        <f t="shared" si="28"/>
        <v>5</v>
      </c>
      <c r="O85" t="str">
        <f t="shared" si="37"/>
        <v/>
      </c>
      <c r="P85" t="str">
        <f t="shared" si="23"/>
        <v/>
      </c>
      <c r="Q85" t="str">
        <f t="shared" si="23"/>
        <v/>
      </c>
      <c r="R85" t="str">
        <f t="shared" si="23"/>
        <v/>
      </c>
      <c r="S85" t="str">
        <f t="shared" si="23"/>
        <v/>
      </c>
      <c r="T85" t="str">
        <f t="shared" si="23"/>
        <v/>
      </c>
      <c r="U85" t="str">
        <f t="shared" si="23"/>
        <v/>
      </c>
      <c r="V85" s="5" t="s">
        <v>36</v>
      </c>
      <c r="W85" t="str">
        <f t="shared" si="29"/>
        <v/>
      </c>
      <c r="X85" t="str">
        <f t="shared" si="29"/>
        <v/>
      </c>
      <c r="Y85" s="5" t="s">
        <v>36</v>
      </c>
      <c r="Z85" t="str">
        <f t="shared" si="30"/>
        <v/>
      </c>
      <c r="AA85" t="str">
        <f t="shared" si="38"/>
        <v/>
      </c>
      <c r="AB85" s="5" t="s">
        <v>36</v>
      </c>
      <c r="AH85">
        <f t="shared" si="40"/>
        <v>80</v>
      </c>
      <c r="AI85">
        <f t="shared" si="34"/>
        <v>0</v>
      </c>
      <c r="AJ85">
        <f t="shared" si="39"/>
        <v>5</v>
      </c>
    </row>
    <row r="86" spans="1:36" x14ac:dyDescent="0.25">
      <c r="A86" s="5" t="s">
        <v>39</v>
      </c>
      <c r="B86" s="5" t="s">
        <v>30</v>
      </c>
      <c r="C86" s="5" t="str">
        <f t="shared" si="24"/>
        <v>description,dailCompDescSpirit,</v>
      </c>
      <c r="D86" s="5" t="str">
        <f t="shared" si="25"/>
        <v>itemText,dailCompTextSpirit,</v>
      </c>
      <c r="E86" s="5" t="str">
        <f t="shared" si="35"/>
        <v>augmentSkillLevel1,5,</v>
      </c>
      <c r="F86" s="5" t="str">
        <f t="shared" si="36"/>
        <v>augmentSkillName1,records/skills,</v>
      </c>
      <c r="G86" s="7" t="str">
        <f t="shared" si="31"/>
        <v/>
      </c>
      <c r="H86" s="8" t="str">
        <f t="shared" si="32"/>
        <v>Spirit</v>
      </c>
      <c r="J86" s="8" t="str">
        <f t="shared" si="41"/>
        <v>class0018</v>
      </c>
      <c r="K86" s="8" t="str">
        <f t="shared" si="41"/>
        <v>dailoneskill0018</v>
      </c>
      <c r="L86" s="5" t="str">
        <f t="shared" si="26"/>
        <v>lootName,DAIL/items/materia/class0018/Spirit.dbr,</v>
      </c>
      <c r="M86" s="5" t="str">
        <f t="shared" si="27"/>
        <v>lootWeight,1,</v>
      </c>
      <c r="N86" t="str">
        <f t="shared" si="28"/>
        <v>5</v>
      </c>
      <c r="O86" t="str">
        <f t="shared" si="37"/>
        <v/>
      </c>
      <c r="P86" t="str">
        <f t="shared" si="23"/>
        <v/>
      </c>
      <c r="Q86" t="str">
        <f t="shared" si="23"/>
        <v/>
      </c>
      <c r="R86" t="str">
        <f t="shared" si="23"/>
        <v/>
      </c>
      <c r="S86" t="str">
        <f t="shared" si="23"/>
        <v/>
      </c>
      <c r="T86" t="str">
        <f t="shared" si="23"/>
        <v/>
      </c>
      <c r="U86" t="str">
        <f t="shared" si="23"/>
        <v/>
      </c>
      <c r="V86" s="5" t="s">
        <v>36</v>
      </c>
      <c r="W86" t="str">
        <f t="shared" si="29"/>
        <v/>
      </c>
      <c r="X86" t="str">
        <f t="shared" si="29"/>
        <v/>
      </c>
      <c r="Y86" s="5" t="s">
        <v>36</v>
      </c>
      <c r="Z86" t="str">
        <f t="shared" si="30"/>
        <v/>
      </c>
      <c r="AA86" t="str">
        <f t="shared" si="38"/>
        <v/>
      </c>
      <c r="AB86" s="5" t="s">
        <v>36</v>
      </c>
      <c r="AH86">
        <f t="shared" si="40"/>
        <v>81</v>
      </c>
      <c r="AI86">
        <f t="shared" si="34"/>
        <v>0</v>
      </c>
      <c r="AJ86">
        <f t="shared" si="39"/>
        <v>5</v>
      </c>
    </row>
    <row r="87" spans="1:36" x14ac:dyDescent="0.25">
      <c r="A87" s="5" t="s">
        <v>39</v>
      </c>
      <c r="B87" s="5" t="s">
        <v>30</v>
      </c>
      <c r="C87" s="5" t="str">
        <f t="shared" si="24"/>
        <v>description,dailCompDescSpirit,</v>
      </c>
      <c r="D87" s="5" t="str">
        <f t="shared" si="25"/>
        <v>itemText,dailCompTextSpirit,</v>
      </c>
      <c r="E87" s="5" t="str">
        <f t="shared" si="35"/>
        <v>augmentSkillLevel1,5,</v>
      </c>
      <c r="F87" s="5" t="str">
        <f t="shared" si="36"/>
        <v>augmentSkillName1,records/skills,</v>
      </c>
      <c r="G87" s="7" t="str">
        <f t="shared" si="31"/>
        <v/>
      </c>
      <c r="H87" s="8" t="str">
        <f t="shared" si="32"/>
        <v>Spirit</v>
      </c>
      <c r="J87" s="8" t="str">
        <f t="shared" si="41"/>
        <v>class0018</v>
      </c>
      <c r="K87" s="8" t="str">
        <f t="shared" si="41"/>
        <v>dailoneskill0018</v>
      </c>
      <c r="L87" s="5" t="str">
        <f t="shared" si="26"/>
        <v>lootName,DAIL/items/materia/class0018/Spirit.dbr,</v>
      </c>
      <c r="M87" s="5" t="str">
        <f t="shared" si="27"/>
        <v>lootWeight,1,</v>
      </c>
      <c r="N87" t="str">
        <f t="shared" si="28"/>
        <v>5</v>
      </c>
      <c r="O87" t="str">
        <f t="shared" si="37"/>
        <v/>
      </c>
      <c r="P87" t="str">
        <f t="shared" si="23"/>
        <v/>
      </c>
      <c r="Q87" t="str">
        <f t="shared" si="23"/>
        <v/>
      </c>
      <c r="R87" t="str">
        <f t="shared" si="23"/>
        <v/>
      </c>
      <c r="S87" t="str">
        <f t="shared" si="23"/>
        <v/>
      </c>
      <c r="T87" t="str">
        <f t="shared" si="23"/>
        <v/>
      </c>
      <c r="U87" t="str">
        <f t="shared" si="23"/>
        <v/>
      </c>
      <c r="V87" s="5" t="s">
        <v>36</v>
      </c>
      <c r="W87" t="str">
        <f t="shared" si="29"/>
        <v/>
      </c>
      <c r="X87" t="str">
        <f t="shared" si="29"/>
        <v/>
      </c>
      <c r="Y87" s="5" t="s">
        <v>36</v>
      </c>
      <c r="Z87" t="str">
        <f t="shared" si="30"/>
        <v/>
      </c>
      <c r="AA87" t="str">
        <f t="shared" si="38"/>
        <v/>
      </c>
      <c r="AB87" s="5" t="s">
        <v>36</v>
      </c>
      <c r="AH87">
        <f t="shared" si="40"/>
        <v>82</v>
      </c>
      <c r="AI87">
        <f t="shared" si="34"/>
        <v>0</v>
      </c>
      <c r="AJ87">
        <f t="shared" si="39"/>
        <v>5</v>
      </c>
    </row>
    <row r="88" spans="1:36" x14ac:dyDescent="0.25">
      <c r="A88" s="5" t="s">
        <v>39</v>
      </c>
      <c r="B88" s="5" t="s">
        <v>30</v>
      </c>
      <c r="C88" s="5" t="str">
        <f t="shared" si="24"/>
        <v>description,dailCompDescSpirit,</v>
      </c>
      <c r="D88" s="5" t="str">
        <f t="shared" si="25"/>
        <v>itemText,dailCompTextSpirit,</v>
      </c>
      <c r="E88" s="5" t="str">
        <f t="shared" si="35"/>
        <v>augmentSkillLevel1,5,</v>
      </c>
      <c r="F88" s="5" t="str">
        <f t="shared" si="36"/>
        <v>augmentSkillName1,records/skills,</v>
      </c>
      <c r="G88" s="7" t="str">
        <f t="shared" si="31"/>
        <v/>
      </c>
      <c r="H88" s="8" t="str">
        <f t="shared" si="32"/>
        <v>Spirit</v>
      </c>
      <c r="J88" s="8" t="str">
        <f t="shared" si="41"/>
        <v>class0018</v>
      </c>
      <c r="K88" s="8" t="str">
        <f t="shared" si="41"/>
        <v>dailoneskill0018</v>
      </c>
      <c r="L88" s="5" t="str">
        <f t="shared" si="26"/>
        <v>lootName,DAIL/items/materia/class0018/Spirit.dbr,</v>
      </c>
      <c r="M88" s="5" t="str">
        <f t="shared" si="27"/>
        <v>lootWeight,1,</v>
      </c>
      <c r="N88" t="str">
        <f t="shared" si="28"/>
        <v>5</v>
      </c>
      <c r="O88" t="str">
        <f t="shared" si="37"/>
        <v/>
      </c>
      <c r="P88" t="str">
        <f t="shared" si="23"/>
        <v/>
      </c>
      <c r="Q88" t="str">
        <f t="shared" si="23"/>
        <v/>
      </c>
      <c r="R88" t="str">
        <f t="shared" si="23"/>
        <v/>
      </c>
      <c r="S88" t="str">
        <f t="shared" si="23"/>
        <v/>
      </c>
      <c r="T88" t="str">
        <f t="shared" si="23"/>
        <v/>
      </c>
      <c r="U88" t="str">
        <f t="shared" si="23"/>
        <v/>
      </c>
      <c r="V88" s="5" t="s">
        <v>36</v>
      </c>
      <c r="W88" t="str">
        <f t="shared" si="29"/>
        <v/>
      </c>
      <c r="X88" t="str">
        <f t="shared" si="29"/>
        <v/>
      </c>
      <c r="Y88" s="5" t="s">
        <v>36</v>
      </c>
      <c r="Z88" t="str">
        <f t="shared" si="30"/>
        <v/>
      </c>
      <c r="AA88" t="str">
        <f t="shared" si="38"/>
        <v/>
      </c>
      <c r="AB88" s="5" t="s">
        <v>36</v>
      </c>
      <c r="AH88">
        <f t="shared" si="40"/>
        <v>83</v>
      </c>
      <c r="AI88">
        <f t="shared" si="34"/>
        <v>0</v>
      </c>
      <c r="AJ88">
        <f t="shared" si="39"/>
        <v>5</v>
      </c>
    </row>
    <row r="89" spans="1:36" x14ac:dyDescent="0.25">
      <c r="A89" s="5" t="s">
        <v>39</v>
      </c>
      <c r="B89" s="5" t="s">
        <v>30</v>
      </c>
      <c r="C89" s="5" t="str">
        <f t="shared" si="24"/>
        <v>description,dailCompDescSpirit,</v>
      </c>
      <c r="D89" s="5" t="str">
        <f t="shared" si="25"/>
        <v>itemText,dailCompTextSpirit,</v>
      </c>
      <c r="E89" s="5" t="str">
        <f t="shared" si="35"/>
        <v>augmentSkillLevel1,5,</v>
      </c>
      <c r="F89" s="5" t="str">
        <f t="shared" si="36"/>
        <v>augmentSkillName1,records/skills,</v>
      </c>
      <c r="G89" s="7" t="str">
        <f t="shared" si="31"/>
        <v/>
      </c>
      <c r="H89" s="8" t="str">
        <f t="shared" si="32"/>
        <v>Spirit</v>
      </c>
      <c r="J89" s="8" t="str">
        <f t="shared" si="41"/>
        <v>class0018</v>
      </c>
      <c r="K89" s="8" t="str">
        <f t="shared" si="41"/>
        <v>dailoneskill0018</v>
      </c>
      <c r="L89" s="5" t="str">
        <f t="shared" si="26"/>
        <v>lootName,DAIL/items/materia/class0018/Spirit.dbr,</v>
      </c>
      <c r="M89" s="5" t="str">
        <f t="shared" si="27"/>
        <v>lootWeight,1,</v>
      </c>
      <c r="N89" t="str">
        <f t="shared" si="28"/>
        <v>5</v>
      </c>
      <c r="O89" t="str">
        <f t="shared" si="37"/>
        <v/>
      </c>
      <c r="P89" t="str">
        <f t="shared" si="23"/>
        <v/>
      </c>
      <c r="Q89" t="str">
        <f t="shared" si="23"/>
        <v/>
      </c>
      <c r="R89" t="str">
        <f t="shared" si="23"/>
        <v/>
      </c>
      <c r="S89" t="str">
        <f t="shared" si="23"/>
        <v/>
      </c>
      <c r="T89" t="str">
        <f t="shared" si="23"/>
        <v/>
      </c>
      <c r="U89" t="str">
        <f t="shared" si="23"/>
        <v/>
      </c>
      <c r="V89" s="5" t="s">
        <v>36</v>
      </c>
      <c r="W89" t="str">
        <f t="shared" si="29"/>
        <v/>
      </c>
      <c r="X89" t="str">
        <f t="shared" si="29"/>
        <v/>
      </c>
      <c r="Y89" s="5" t="s">
        <v>36</v>
      </c>
      <c r="Z89" t="str">
        <f t="shared" si="30"/>
        <v/>
      </c>
      <c r="AA89" t="str">
        <f t="shared" si="38"/>
        <v/>
      </c>
      <c r="AB89" s="5" t="s">
        <v>36</v>
      </c>
      <c r="AH89">
        <f t="shared" si="40"/>
        <v>84</v>
      </c>
      <c r="AI89">
        <f t="shared" si="34"/>
        <v>0</v>
      </c>
      <c r="AJ89">
        <f t="shared" si="39"/>
        <v>5</v>
      </c>
    </row>
    <row r="90" spans="1:36" x14ac:dyDescent="0.25">
      <c r="A90" s="5" t="s">
        <v>39</v>
      </c>
      <c r="B90" s="5" t="s">
        <v>30</v>
      </c>
      <c r="C90" s="5" t="str">
        <f t="shared" si="24"/>
        <v>description,dailCompDescSpirit,</v>
      </c>
      <c r="D90" s="5" t="str">
        <f t="shared" si="25"/>
        <v>itemText,dailCompTextSpirit,</v>
      </c>
      <c r="E90" s="5" t="str">
        <f t="shared" si="35"/>
        <v>augmentSkillLevel1,5,</v>
      </c>
      <c r="F90" s="5" t="str">
        <f t="shared" si="36"/>
        <v>augmentSkillName1,records/skills,</v>
      </c>
      <c r="G90" s="7" t="str">
        <f t="shared" si="31"/>
        <v/>
      </c>
      <c r="H90" s="8" t="str">
        <f t="shared" si="32"/>
        <v>Spirit</v>
      </c>
      <c r="J90" s="8" t="str">
        <f t="shared" si="41"/>
        <v>class0018</v>
      </c>
      <c r="K90" s="8" t="str">
        <f t="shared" si="41"/>
        <v>dailoneskill0018</v>
      </c>
      <c r="L90" s="5" t="str">
        <f t="shared" si="26"/>
        <v>lootName,DAIL/items/materia/class0018/Spirit.dbr,</v>
      </c>
      <c r="M90" s="5" t="str">
        <f t="shared" si="27"/>
        <v>lootWeight,1,</v>
      </c>
      <c r="N90" t="str">
        <f t="shared" si="28"/>
        <v>5</v>
      </c>
      <c r="O90" t="str">
        <f t="shared" si="37"/>
        <v/>
      </c>
      <c r="P90" t="str">
        <f t="shared" si="23"/>
        <v/>
      </c>
      <c r="Q90" t="str">
        <f t="shared" si="23"/>
        <v/>
      </c>
      <c r="R90" t="str">
        <f t="shared" si="23"/>
        <v/>
      </c>
      <c r="S90" t="str">
        <f t="shared" si="23"/>
        <v/>
      </c>
      <c r="T90" t="str">
        <f t="shared" si="23"/>
        <v/>
      </c>
      <c r="U90" t="str">
        <f t="shared" si="23"/>
        <v/>
      </c>
      <c r="V90" s="5" t="s">
        <v>36</v>
      </c>
      <c r="W90" t="str">
        <f t="shared" si="29"/>
        <v/>
      </c>
      <c r="X90" t="str">
        <f t="shared" si="29"/>
        <v/>
      </c>
      <c r="Y90" s="5" t="s">
        <v>36</v>
      </c>
      <c r="Z90" t="str">
        <f t="shared" si="30"/>
        <v/>
      </c>
      <c r="AA90" t="str">
        <f t="shared" si="38"/>
        <v/>
      </c>
      <c r="AB90" s="5" t="s">
        <v>36</v>
      </c>
      <c r="AH90">
        <f t="shared" si="40"/>
        <v>85</v>
      </c>
      <c r="AI90">
        <f t="shared" si="34"/>
        <v>0</v>
      </c>
      <c r="AJ90">
        <f t="shared" si="39"/>
        <v>5</v>
      </c>
    </row>
    <row r="91" spans="1:36" x14ac:dyDescent="0.25">
      <c r="A91" s="5" t="s">
        <v>39</v>
      </c>
      <c r="B91" s="5" t="s">
        <v>30</v>
      </c>
      <c r="C91" s="5" t="str">
        <f t="shared" si="24"/>
        <v>description,dailCompDescSpirit,</v>
      </c>
      <c r="D91" s="5" t="str">
        <f t="shared" si="25"/>
        <v>itemText,dailCompTextSpirit,</v>
      </c>
      <c r="E91" s="5" t="str">
        <f t="shared" si="35"/>
        <v>augmentSkillLevel1,5,</v>
      </c>
      <c r="F91" s="5" t="str">
        <f t="shared" si="36"/>
        <v>augmentSkillName1,records/skills,</v>
      </c>
      <c r="G91" s="7" t="str">
        <f t="shared" si="31"/>
        <v/>
      </c>
      <c r="H91" s="8" t="str">
        <f t="shared" si="32"/>
        <v>Spirit</v>
      </c>
      <c r="J91" s="8" t="str">
        <f t="shared" si="41"/>
        <v>class0018</v>
      </c>
      <c r="K91" s="8" t="str">
        <f t="shared" si="41"/>
        <v>dailoneskill0018</v>
      </c>
      <c r="L91" s="5" t="str">
        <f t="shared" si="26"/>
        <v>lootName,DAIL/items/materia/class0018/Spirit.dbr,</v>
      </c>
      <c r="M91" s="5" t="str">
        <f t="shared" si="27"/>
        <v>lootWeight,1,</v>
      </c>
      <c r="N91" t="str">
        <f t="shared" si="28"/>
        <v>5</v>
      </c>
      <c r="O91" t="str">
        <f t="shared" si="37"/>
        <v/>
      </c>
      <c r="P91" t="str">
        <f t="shared" si="23"/>
        <v/>
      </c>
      <c r="Q91" t="str">
        <f t="shared" si="23"/>
        <v/>
      </c>
      <c r="R91" t="str">
        <f t="shared" si="23"/>
        <v/>
      </c>
      <c r="S91" t="str">
        <f t="shared" si="23"/>
        <v/>
      </c>
      <c r="T91" t="str">
        <f t="shared" si="23"/>
        <v/>
      </c>
      <c r="U91" t="str">
        <f t="shared" si="23"/>
        <v/>
      </c>
      <c r="V91" s="5" t="s">
        <v>36</v>
      </c>
      <c r="W91" t="str">
        <f t="shared" si="29"/>
        <v/>
      </c>
      <c r="X91" t="str">
        <f t="shared" si="29"/>
        <v/>
      </c>
      <c r="Y91" s="5" t="s">
        <v>36</v>
      </c>
      <c r="Z91" t="str">
        <f t="shared" si="30"/>
        <v/>
      </c>
      <c r="AA91" t="str">
        <f t="shared" si="38"/>
        <v/>
      </c>
      <c r="AB91" s="5" t="s">
        <v>36</v>
      </c>
      <c r="AH91">
        <f t="shared" si="40"/>
        <v>86</v>
      </c>
      <c r="AI91">
        <f t="shared" si="34"/>
        <v>0</v>
      </c>
      <c r="AJ91">
        <f t="shared" si="39"/>
        <v>5</v>
      </c>
    </row>
    <row r="92" spans="1:36" x14ac:dyDescent="0.25">
      <c r="A92" s="5" t="s">
        <v>39</v>
      </c>
      <c r="B92" s="5" t="s">
        <v>30</v>
      </c>
      <c r="C92" s="5" t="str">
        <f t="shared" si="24"/>
        <v>description,dailCompDescSpirit,</v>
      </c>
      <c r="D92" s="5" t="str">
        <f t="shared" si="25"/>
        <v>itemText,dailCompTextSpirit,</v>
      </c>
      <c r="E92" s="5" t="str">
        <f t="shared" si="35"/>
        <v>augmentSkillLevel1,5,</v>
      </c>
      <c r="F92" s="5" t="str">
        <f t="shared" si="36"/>
        <v>augmentSkillName1,records/skills,</v>
      </c>
      <c r="G92" s="7" t="str">
        <f t="shared" si="31"/>
        <v/>
      </c>
      <c r="H92" s="8" t="str">
        <f t="shared" si="32"/>
        <v>Spirit</v>
      </c>
      <c r="J92" s="8" t="str">
        <f t="shared" si="41"/>
        <v>class0018</v>
      </c>
      <c r="K92" s="8" t="str">
        <f t="shared" si="41"/>
        <v>dailoneskill0018</v>
      </c>
      <c r="L92" s="5" t="str">
        <f t="shared" si="26"/>
        <v>lootName,DAIL/items/materia/class0018/Spirit.dbr,</v>
      </c>
      <c r="M92" s="5" t="str">
        <f t="shared" si="27"/>
        <v>lootWeight,1,</v>
      </c>
      <c r="N92" t="str">
        <f t="shared" si="28"/>
        <v>5</v>
      </c>
      <c r="O92" t="str">
        <f t="shared" si="37"/>
        <v/>
      </c>
      <c r="P92" t="str">
        <f t="shared" si="23"/>
        <v/>
      </c>
      <c r="Q92" t="str">
        <f t="shared" si="23"/>
        <v/>
      </c>
      <c r="R92" t="str">
        <f t="shared" si="23"/>
        <v/>
      </c>
      <c r="S92" t="str">
        <f t="shared" si="23"/>
        <v/>
      </c>
      <c r="T92" t="str">
        <f t="shared" si="23"/>
        <v/>
      </c>
      <c r="U92" t="str">
        <f t="shared" si="23"/>
        <v/>
      </c>
      <c r="V92" s="5" t="s">
        <v>36</v>
      </c>
      <c r="W92" t="str">
        <f t="shared" si="29"/>
        <v/>
      </c>
      <c r="X92" t="str">
        <f t="shared" si="29"/>
        <v/>
      </c>
      <c r="Y92" s="5" t="s">
        <v>36</v>
      </c>
      <c r="Z92" t="str">
        <f t="shared" si="30"/>
        <v/>
      </c>
      <c r="AA92" t="str">
        <f t="shared" si="38"/>
        <v/>
      </c>
      <c r="AB92" s="5" t="s">
        <v>36</v>
      </c>
      <c r="AH92">
        <f t="shared" si="40"/>
        <v>87</v>
      </c>
      <c r="AI92">
        <f t="shared" si="34"/>
        <v>0</v>
      </c>
      <c r="AJ92">
        <f t="shared" si="39"/>
        <v>5</v>
      </c>
    </row>
    <row r="93" spans="1:36" x14ac:dyDescent="0.25">
      <c r="A93" s="5" t="s">
        <v>39</v>
      </c>
      <c r="B93" s="5" t="s">
        <v>30</v>
      </c>
      <c r="C93" s="5" t="str">
        <f t="shared" si="24"/>
        <v>description,dailCompDescSpirit,</v>
      </c>
      <c r="D93" s="5" t="str">
        <f t="shared" si="25"/>
        <v>itemText,dailCompTextSpirit,</v>
      </c>
      <c r="E93" s="5" t="str">
        <f t="shared" si="35"/>
        <v>augmentSkillLevel1,5,</v>
      </c>
      <c r="F93" s="5" t="str">
        <f t="shared" si="36"/>
        <v>augmentSkillName1,records/skills,</v>
      </c>
      <c r="G93" s="7" t="str">
        <f t="shared" si="31"/>
        <v/>
      </c>
      <c r="H93" s="8" t="str">
        <f t="shared" si="32"/>
        <v>Spirit</v>
      </c>
      <c r="J93" s="8" t="str">
        <f t="shared" si="41"/>
        <v>class0018</v>
      </c>
      <c r="K93" s="8" t="str">
        <f t="shared" si="41"/>
        <v>dailoneskill0018</v>
      </c>
      <c r="L93" s="5" t="str">
        <f t="shared" si="26"/>
        <v>lootName,DAIL/items/materia/class0018/Spirit.dbr,</v>
      </c>
      <c r="M93" s="5" t="str">
        <f t="shared" si="27"/>
        <v>lootWeight,1,</v>
      </c>
      <c r="N93" t="str">
        <f t="shared" si="28"/>
        <v>5</v>
      </c>
      <c r="O93" t="str">
        <f t="shared" si="37"/>
        <v/>
      </c>
      <c r="P93" t="str">
        <f t="shared" si="23"/>
        <v/>
      </c>
      <c r="Q93" t="str">
        <f t="shared" si="23"/>
        <v/>
      </c>
      <c r="R93" t="str">
        <f t="shared" si="23"/>
        <v/>
      </c>
      <c r="S93" t="str">
        <f t="shared" si="23"/>
        <v/>
      </c>
      <c r="T93" t="str">
        <f t="shared" si="23"/>
        <v/>
      </c>
      <c r="U93" t="str">
        <f t="shared" si="23"/>
        <v/>
      </c>
      <c r="V93" s="5" t="s">
        <v>36</v>
      </c>
      <c r="W93" t="str">
        <f t="shared" si="29"/>
        <v/>
      </c>
      <c r="X93" t="str">
        <f t="shared" si="29"/>
        <v/>
      </c>
      <c r="Y93" s="5" t="s">
        <v>36</v>
      </c>
      <c r="Z93" t="str">
        <f t="shared" si="30"/>
        <v/>
      </c>
      <c r="AA93" t="str">
        <f t="shared" si="38"/>
        <v/>
      </c>
      <c r="AB93" s="5" t="s">
        <v>36</v>
      </c>
      <c r="AH93">
        <f t="shared" si="40"/>
        <v>88</v>
      </c>
      <c r="AI93">
        <f t="shared" si="34"/>
        <v>0</v>
      </c>
      <c r="AJ93">
        <f t="shared" si="39"/>
        <v>5</v>
      </c>
    </row>
    <row r="94" spans="1:36" x14ac:dyDescent="0.25">
      <c r="A94" s="5" t="s">
        <v>39</v>
      </c>
      <c r="B94" s="5" t="s">
        <v>30</v>
      </c>
      <c r="C94" s="5" t="str">
        <f t="shared" si="24"/>
        <v>description,dailCompDescSpirit,</v>
      </c>
      <c r="D94" s="5" t="str">
        <f t="shared" si="25"/>
        <v>itemText,dailCompTextSpirit,</v>
      </c>
      <c r="E94" s="5" t="str">
        <f t="shared" si="35"/>
        <v>augmentSkillLevel1,5,</v>
      </c>
      <c r="F94" s="5" t="str">
        <f t="shared" si="36"/>
        <v>augmentSkillName1,records/skills,</v>
      </c>
      <c r="G94" s="7" t="str">
        <f t="shared" si="31"/>
        <v/>
      </c>
      <c r="H94" s="8" t="str">
        <f t="shared" si="32"/>
        <v>Spirit</v>
      </c>
      <c r="J94" s="8" t="str">
        <f t="shared" si="41"/>
        <v>class0018</v>
      </c>
      <c r="K94" s="8" t="str">
        <f t="shared" si="41"/>
        <v>dailoneskill0018</v>
      </c>
      <c r="L94" s="5" t="str">
        <f t="shared" si="26"/>
        <v>lootName,DAIL/items/materia/class0018/Spirit.dbr,</v>
      </c>
      <c r="M94" s="5" t="str">
        <f t="shared" si="27"/>
        <v>lootWeight,1,</v>
      </c>
      <c r="N94" t="str">
        <f t="shared" si="28"/>
        <v>5</v>
      </c>
      <c r="O94" t="str">
        <f t="shared" si="37"/>
        <v/>
      </c>
      <c r="P94" t="str">
        <f t="shared" si="23"/>
        <v/>
      </c>
      <c r="Q94" t="str">
        <f t="shared" si="23"/>
        <v/>
      </c>
      <c r="R94" t="str">
        <f t="shared" si="23"/>
        <v/>
      </c>
      <c r="S94" t="str">
        <f t="shared" si="23"/>
        <v/>
      </c>
      <c r="T94" t="str">
        <f t="shared" si="23"/>
        <v/>
      </c>
      <c r="U94" t="str">
        <f t="shared" si="23"/>
        <v/>
      </c>
      <c r="V94" s="5" t="s">
        <v>36</v>
      </c>
      <c r="W94" t="str">
        <f t="shared" si="29"/>
        <v/>
      </c>
      <c r="X94" t="str">
        <f t="shared" si="29"/>
        <v/>
      </c>
      <c r="Y94" s="5" t="s">
        <v>36</v>
      </c>
      <c r="Z94" t="str">
        <f t="shared" si="30"/>
        <v/>
      </c>
      <c r="AA94" t="str">
        <f t="shared" si="38"/>
        <v/>
      </c>
      <c r="AB94" s="5" t="s">
        <v>36</v>
      </c>
      <c r="AH94">
        <f t="shared" si="40"/>
        <v>89</v>
      </c>
      <c r="AI94">
        <f t="shared" si="34"/>
        <v>0</v>
      </c>
      <c r="AJ94">
        <f t="shared" si="39"/>
        <v>5</v>
      </c>
    </row>
    <row r="95" spans="1:36" x14ac:dyDescent="0.25">
      <c r="A95" s="5" t="s">
        <v>39</v>
      </c>
      <c r="B95" s="5" t="s">
        <v>30</v>
      </c>
      <c r="C95" s="5" t="str">
        <f t="shared" si="24"/>
        <v>description,dailCompDescSpirit,</v>
      </c>
      <c r="D95" s="5" t="str">
        <f t="shared" si="25"/>
        <v>itemText,dailCompTextSpirit,</v>
      </c>
      <c r="E95" s="5" t="str">
        <f t="shared" si="35"/>
        <v>augmentSkillLevel1,5,</v>
      </c>
      <c r="F95" s="5" t="str">
        <f t="shared" si="36"/>
        <v>augmentSkillName1,records/skills,</v>
      </c>
      <c r="G95" s="7" t="str">
        <f t="shared" si="31"/>
        <v/>
      </c>
      <c r="H95" s="8" t="str">
        <f t="shared" si="32"/>
        <v>Spirit</v>
      </c>
      <c r="J95" s="8" t="str">
        <f t="shared" si="41"/>
        <v>class0018</v>
      </c>
      <c r="K95" s="8" t="str">
        <f t="shared" si="41"/>
        <v>dailoneskill0018</v>
      </c>
      <c r="L95" s="5" t="str">
        <f t="shared" si="26"/>
        <v>lootName,DAIL/items/materia/class0018/Spirit.dbr,</v>
      </c>
      <c r="M95" s="5" t="str">
        <f t="shared" si="27"/>
        <v>lootWeight,1,</v>
      </c>
      <c r="N95" t="str">
        <f t="shared" si="28"/>
        <v>5</v>
      </c>
      <c r="O95" t="str">
        <f t="shared" si="37"/>
        <v/>
      </c>
      <c r="P95" t="str">
        <f t="shared" si="23"/>
        <v/>
      </c>
      <c r="Q95" t="str">
        <f t="shared" si="23"/>
        <v/>
      </c>
      <c r="R95" t="str">
        <f t="shared" si="23"/>
        <v/>
      </c>
      <c r="S95" t="str">
        <f t="shared" si="23"/>
        <v/>
      </c>
      <c r="T95" t="str">
        <f t="shared" si="23"/>
        <v/>
      </c>
      <c r="U95" t="str">
        <f t="shared" si="23"/>
        <v/>
      </c>
      <c r="V95" s="5" t="s">
        <v>36</v>
      </c>
      <c r="W95" t="str">
        <f t="shared" si="29"/>
        <v/>
      </c>
      <c r="X95" t="str">
        <f t="shared" si="29"/>
        <v/>
      </c>
      <c r="Y95" s="5" t="s">
        <v>36</v>
      </c>
      <c r="Z95" t="str">
        <f t="shared" si="30"/>
        <v/>
      </c>
      <c r="AA95" t="str">
        <f t="shared" si="38"/>
        <v/>
      </c>
      <c r="AB95" s="5" t="s">
        <v>36</v>
      </c>
      <c r="AH95">
        <f t="shared" si="40"/>
        <v>90</v>
      </c>
      <c r="AI95">
        <f t="shared" si="34"/>
        <v>0</v>
      </c>
      <c r="AJ95">
        <f t="shared" si="39"/>
        <v>5</v>
      </c>
    </row>
    <row r="96" spans="1:36" x14ac:dyDescent="0.25">
      <c r="A96" s="5" t="s">
        <v>39</v>
      </c>
      <c r="B96" s="5" t="s">
        <v>30</v>
      </c>
      <c r="C96" s="5" t="str">
        <f t="shared" si="24"/>
        <v>description,dailCompDescSpirit,</v>
      </c>
      <c r="D96" s="5" t="str">
        <f t="shared" si="25"/>
        <v>itemText,dailCompTextSpirit,</v>
      </c>
      <c r="E96" s="5" t="str">
        <f t="shared" si="35"/>
        <v>augmentSkillLevel1,5,</v>
      </c>
      <c r="F96" s="5" t="str">
        <f t="shared" si="36"/>
        <v>augmentSkillName1,records/skills,</v>
      </c>
      <c r="G96" s="7" t="str">
        <f t="shared" si="31"/>
        <v/>
      </c>
      <c r="H96" s="8" t="str">
        <f t="shared" si="32"/>
        <v>Spirit</v>
      </c>
      <c r="J96" s="8" t="str">
        <f t="shared" si="41"/>
        <v>class0018</v>
      </c>
      <c r="K96" s="8" t="str">
        <f t="shared" si="41"/>
        <v>dailoneskill0018</v>
      </c>
      <c r="L96" s="5" t="str">
        <f t="shared" si="26"/>
        <v>lootName,DAIL/items/materia/class0018/Spirit.dbr,</v>
      </c>
      <c r="M96" s="5" t="str">
        <f t="shared" si="27"/>
        <v>lootWeight,1,</v>
      </c>
      <c r="N96" t="str">
        <f t="shared" si="28"/>
        <v>5</v>
      </c>
      <c r="O96" t="str">
        <f t="shared" si="37"/>
        <v/>
      </c>
      <c r="P96" t="str">
        <f t="shared" si="23"/>
        <v/>
      </c>
      <c r="Q96" t="str">
        <f t="shared" si="23"/>
        <v/>
      </c>
      <c r="R96" t="str">
        <f t="shared" si="23"/>
        <v/>
      </c>
      <c r="S96" t="str">
        <f t="shared" si="23"/>
        <v/>
      </c>
      <c r="T96" t="str">
        <f t="shared" si="23"/>
        <v/>
      </c>
      <c r="U96" t="str">
        <f t="shared" si="23"/>
        <v/>
      </c>
      <c r="V96" s="5" t="s">
        <v>36</v>
      </c>
      <c r="W96" t="str">
        <f t="shared" si="29"/>
        <v/>
      </c>
      <c r="X96" t="str">
        <f t="shared" si="29"/>
        <v/>
      </c>
      <c r="Y96" s="5" t="s">
        <v>36</v>
      </c>
      <c r="Z96" t="str">
        <f t="shared" si="30"/>
        <v/>
      </c>
      <c r="AA96" t="str">
        <f t="shared" si="38"/>
        <v/>
      </c>
      <c r="AB96" s="5" t="s">
        <v>36</v>
      </c>
      <c r="AH96">
        <f t="shared" si="40"/>
        <v>91</v>
      </c>
      <c r="AI96">
        <f t="shared" si="34"/>
        <v>0</v>
      </c>
      <c r="AJ96">
        <f t="shared" si="39"/>
        <v>5</v>
      </c>
    </row>
    <row r="97" spans="1:36" x14ac:dyDescent="0.25">
      <c r="A97" s="5" t="s">
        <v>39</v>
      </c>
      <c r="B97" s="5" t="s">
        <v>30</v>
      </c>
      <c r="C97" s="5" t="str">
        <f t="shared" si="24"/>
        <v>description,dailCompDescSpirit,</v>
      </c>
      <c r="D97" s="5" t="str">
        <f t="shared" si="25"/>
        <v>itemText,dailCompTextSpirit,</v>
      </c>
      <c r="E97" s="5" t="str">
        <f t="shared" si="35"/>
        <v>augmentSkillLevel1,5,</v>
      </c>
      <c r="F97" s="5" t="str">
        <f t="shared" si="36"/>
        <v>augmentSkillName1,records/skills,</v>
      </c>
      <c r="G97" s="7" t="str">
        <f t="shared" si="31"/>
        <v/>
      </c>
      <c r="H97" s="8" t="str">
        <f t="shared" si="32"/>
        <v>Spirit</v>
      </c>
      <c r="J97" s="8" t="str">
        <f t="shared" si="41"/>
        <v>class0018</v>
      </c>
      <c r="K97" s="8" t="str">
        <f t="shared" si="41"/>
        <v>dailoneskill0018</v>
      </c>
      <c r="L97" s="5" t="str">
        <f t="shared" si="26"/>
        <v>lootName,DAIL/items/materia/class0018/Spirit.dbr,</v>
      </c>
      <c r="M97" s="5" t="str">
        <f t="shared" si="27"/>
        <v>lootWeight,1,</v>
      </c>
      <c r="N97" t="str">
        <f t="shared" si="28"/>
        <v>5</v>
      </c>
      <c r="O97" t="str">
        <f t="shared" si="37"/>
        <v/>
      </c>
      <c r="P97" t="str">
        <f t="shared" si="23"/>
        <v/>
      </c>
      <c r="Q97" t="str">
        <f t="shared" si="23"/>
        <v/>
      </c>
      <c r="R97" t="str">
        <f t="shared" si="23"/>
        <v/>
      </c>
      <c r="S97" t="str">
        <f t="shared" si="23"/>
        <v/>
      </c>
      <c r="T97" t="str">
        <f t="shared" si="23"/>
        <v/>
      </c>
      <c r="U97" t="str">
        <f t="shared" si="23"/>
        <v/>
      </c>
      <c r="V97" s="5" t="s">
        <v>36</v>
      </c>
      <c r="W97" t="str">
        <f t="shared" si="29"/>
        <v/>
      </c>
      <c r="X97" t="str">
        <f t="shared" si="29"/>
        <v/>
      </c>
      <c r="Y97" s="5" t="s">
        <v>36</v>
      </c>
      <c r="Z97" t="str">
        <f t="shared" si="30"/>
        <v/>
      </c>
      <c r="AA97" t="str">
        <f t="shared" si="38"/>
        <v/>
      </c>
      <c r="AB97" s="5" t="s">
        <v>36</v>
      </c>
      <c r="AH97">
        <f t="shared" si="40"/>
        <v>92</v>
      </c>
      <c r="AI97">
        <f t="shared" si="34"/>
        <v>0</v>
      </c>
      <c r="AJ97">
        <f t="shared" si="39"/>
        <v>5</v>
      </c>
    </row>
    <row r="98" spans="1:36" x14ac:dyDescent="0.25">
      <c r="A98" s="5" t="s">
        <v>39</v>
      </c>
      <c r="B98" s="5" t="s">
        <v>30</v>
      </c>
      <c r="C98" s="5" t="str">
        <f t="shared" si="24"/>
        <v>description,dailCompDescSpirit,</v>
      </c>
      <c r="D98" s="5" t="str">
        <f t="shared" si="25"/>
        <v>itemText,dailCompTextSpirit,</v>
      </c>
      <c r="E98" s="5" t="str">
        <f t="shared" si="35"/>
        <v>augmentSkillLevel1,5,</v>
      </c>
      <c r="F98" s="5" t="str">
        <f t="shared" si="36"/>
        <v>augmentSkillName1,records/skills,</v>
      </c>
      <c r="G98" s="7" t="str">
        <f t="shared" si="31"/>
        <v/>
      </c>
      <c r="H98" s="8" t="str">
        <f t="shared" si="32"/>
        <v>Spirit</v>
      </c>
      <c r="J98" s="8" t="str">
        <f t="shared" si="41"/>
        <v>class0018</v>
      </c>
      <c r="K98" s="8" t="str">
        <f t="shared" si="41"/>
        <v>dailoneskill0018</v>
      </c>
      <c r="L98" s="5" t="str">
        <f t="shared" si="26"/>
        <v>lootName,DAIL/items/materia/class0018/Spirit.dbr,</v>
      </c>
      <c r="M98" s="5" t="str">
        <f t="shared" si="27"/>
        <v>lootWeight,1,</v>
      </c>
      <c r="N98" t="str">
        <f t="shared" si="28"/>
        <v>5</v>
      </c>
      <c r="O98" t="str">
        <f t="shared" si="37"/>
        <v/>
      </c>
      <c r="P98" t="str">
        <f t="shared" si="23"/>
        <v/>
      </c>
      <c r="Q98" t="str">
        <f t="shared" si="23"/>
        <v/>
      </c>
      <c r="R98" t="str">
        <f t="shared" si="23"/>
        <v/>
      </c>
      <c r="S98" t="str">
        <f t="shared" si="23"/>
        <v/>
      </c>
      <c r="T98" t="str">
        <f t="shared" si="23"/>
        <v/>
      </c>
      <c r="U98" t="str">
        <f t="shared" si="23"/>
        <v/>
      </c>
      <c r="V98" s="5" t="s">
        <v>36</v>
      </c>
      <c r="W98" t="str">
        <f t="shared" si="29"/>
        <v/>
      </c>
      <c r="X98" t="str">
        <f t="shared" si="29"/>
        <v/>
      </c>
      <c r="Y98" s="5" t="s">
        <v>36</v>
      </c>
      <c r="Z98" t="str">
        <f t="shared" si="30"/>
        <v/>
      </c>
      <c r="AA98" t="str">
        <f t="shared" si="38"/>
        <v/>
      </c>
      <c r="AB98" s="5" t="s">
        <v>36</v>
      </c>
      <c r="AH98">
        <f t="shared" si="40"/>
        <v>93</v>
      </c>
      <c r="AI98">
        <f t="shared" si="34"/>
        <v>0</v>
      </c>
      <c r="AJ98">
        <f t="shared" si="39"/>
        <v>5</v>
      </c>
    </row>
    <row r="99" spans="1:36" x14ac:dyDescent="0.25">
      <c r="A99" s="5" t="s">
        <v>39</v>
      </c>
      <c r="B99" s="5" t="s">
        <v>30</v>
      </c>
      <c r="C99" s="5" t="str">
        <f t="shared" si="24"/>
        <v>description,dailCompDescSpirit,</v>
      </c>
      <c r="D99" s="5" t="str">
        <f t="shared" si="25"/>
        <v>itemText,dailCompTextSpirit,</v>
      </c>
      <c r="E99" s="5" t="str">
        <f t="shared" si="35"/>
        <v>augmentSkillLevel1,5,</v>
      </c>
      <c r="F99" s="5" t="str">
        <f t="shared" si="36"/>
        <v>augmentSkillName1,records/skills,</v>
      </c>
      <c r="G99" s="7" t="str">
        <f t="shared" si="31"/>
        <v/>
      </c>
      <c r="H99" s="8" t="str">
        <f t="shared" si="32"/>
        <v>Spirit</v>
      </c>
      <c r="J99" s="8" t="str">
        <f t="shared" si="41"/>
        <v>class0018</v>
      </c>
      <c r="K99" s="8" t="str">
        <f t="shared" si="41"/>
        <v>dailoneskill0018</v>
      </c>
      <c r="L99" s="5" t="str">
        <f t="shared" si="26"/>
        <v>lootName,DAIL/items/materia/class0018/Spirit.dbr,</v>
      </c>
      <c r="M99" s="5" t="str">
        <f t="shared" si="27"/>
        <v>lootWeight,1,</v>
      </c>
      <c r="N99" t="str">
        <f t="shared" si="28"/>
        <v>5</v>
      </c>
      <c r="O99" t="str">
        <f t="shared" si="37"/>
        <v/>
      </c>
      <c r="P99" t="str">
        <f t="shared" si="23"/>
        <v/>
      </c>
      <c r="Q99" t="str">
        <f t="shared" si="23"/>
        <v/>
      </c>
      <c r="R99" t="str">
        <f t="shared" si="23"/>
        <v/>
      </c>
      <c r="S99" t="str">
        <f t="shared" si="23"/>
        <v/>
      </c>
      <c r="T99" t="str">
        <f t="shared" si="23"/>
        <v/>
      </c>
      <c r="U99" t="str">
        <f t="shared" si="23"/>
        <v/>
      </c>
      <c r="V99" s="5" t="s">
        <v>36</v>
      </c>
      <c r="W99" t="str">
        <f t="shared" si="29"/>
        <v/>
      </c>
      <c r="X99" t="str">
        <f t="shared" si="29"/>
        <v/>
      </c>
      <c r="Y99" s="5" t="s">
        <v>36</v>
      </c>
      <c r="Z99" t="str">
        <f t="shared" si="30"/>
        <v/>
      </c>
      <c r="AA99" t="str">
        <f t="shared" si="38"/>
        <v/>
      </c>
      <c r="AB99" s="5" t="s">
        <v>36</v>
      </c>
      <c r="AH99">
        <f t="shared" si="40"/>
        <v>94</v>
      </c>
      <c r="AI99">
        <f t="shared" si="34"/>
        <v>0</v>
      </c>
      <c r="AJ99">
        <f t="shared" si="39"/>
        <v>5</v>
      </c>
    </row>
    <row r="100" spans="1:36" x14ac:dyDescent="0.25">
      <c r="A100" s="5" t="s">
        <v>39</v>
      </c>
      <c r="B100" s="5" t="s">
        <v>30</v>
      </c>
      <c r="C100" s="5" t="str">
        <f t="shared" si="24"/>
        <v>description,dailCompDescSpirit,</v>
      </c>
      <c r="D100" s="5" t="str">
        <f t="shared" si="25"/>
        <v>itemText,dailCompTextSpirit,</v>
      </c>
      <c r="E100" s="5" t="str">
        <f t="shared" si="35"/>
        <v>augmentSkillLevel1,5,</v>
      </c>
      <c r="F100" s="5" t="str">
        <f t="shared" si="36"/>
        <v>augmentSkillName1,records/skills,</v>
      </c>
      <c r="G100" s="7" t="str">
        <f t="shared" si="31"/>
        <v/>
      </c>
      <c r="H100" s="8" t="str">
        <f t="shared" si="32"/>
        <v>Spirit</v>
      </c>
      <c r="J100" s="8" t="str">
        <f t="shared" si="41"/>
        <v>class0018</v>
      </c>
      <c r="K100" s="8" t="str">
        <f t="shared" si="41"/>
        <v>dailoneskill0018</v>
      </c>
      <c r="L100" s="5" t="str">
        <f t="shared" si="26"/>
        <v>lootName,DAIL/items/materia/class0018/Spirit.dbr,</v>
      </c>
      <c r="M100" s="5" t="str">
        <f t="shared" si="27"/>
        <v>lootWeight,1,</v>
      </c>
      <c r="N100" t="str">
        <f t="shared" si="28"/>
        <v>5</v>
      </c>
      <c r="O100" t="str">
        <f t="shared" si="37"/>
        <v/>
      </c>
      <c r="P100" t="str">
        <f t="shared" si="23"/>
        <v/>
      </c>
      <c r="Q100" t="str">
        <f t="shared" si="23"/>
        <v/>
      </c>
      <c r="R100" t="str">
        <f t="shared" si="23"/>
        <v/>
      </c>
      <c r="S100" t="str">
        <f t="shared" si="23"/>
        <v/>
      </c>
      <c r="T100" t="str">
        <f t="shared" si="23"/>
        <v/>
      </c>
      <c r="U100" t="str">
        <f t="shared" si="23"/>
        <v/>
      </c>
      <c r="V100" s="5" t="s">
        <v>36</v>
      </c>
      <c r="W100" t="str">
        <f t="shared" si="29"/>
        <v/>
      </c>
      <c r="X100" t="str">
        <f t="shared" si="29"/>
        <v/>
      </c>
      <c r="Y100" s="5" t="s">
        <v>36</v>
      </c>
      <c r="Z100" t="str">
        <f t="shared" si="30"/>
        <v/>
      </c>
      <c r="AA100" t="str">
        <f t="shared" si="38"/>
        <v/>
      </c>
      <c r="AB100" s="5" t="s">
        <v>36</v>
      </c>
      <c r="AH100">
        <f t="shared" si="40"/>
        <v>95</v>
      </c>
      <c r="AI100">
        <f t="shared" si="34"/>
        <v>0</v>
      </c>
      <c r="AJ100">
        <f t="shared" si="39"/>
        <v>5</v>
      </c>
    </row>
    <row r="101" spans="1:36" x14ac:dyDescent="0.25">
      <c r="A101" s="5" t="s">
        <v>39</v>
      </c>
      <c r="B101" s="5" t="s">
        <v>30</v>
      </c>
      <c r="C101" s="5" t="str">
        <f t="shared" si="24"/>
        <v>description,dailCompDescSpirit,</v>
      </c>
      <c r="D101" s="5" t="str">
        <f t="shared" si="25"/>
        <v>itemText,dailCompTextSpirit,</v>
      </c>
      <c r="E101" s="5" t="str">
        <f t="shared" si="35"/>
        <v>augmentSkillLevel1,5,</v>
      </c>
      <c r="F101" s="5" t="str">
        <f t="shared" si="36"/>
        <v>augmentSkillName1,records/skills,</v>
      </c>
      <c r="G101" s="7" t="str">
        <f t="shared" si="31"/>
        <v/>
      </c>
      <c r="H101" s="8" t="str">
        <f t="shared" si="32"/>
        <v>Spirit</v>
      </c>
      <c r="J101" s="8" t="str">
        <f t="shared" ref="J101:K102" si="42">J100</f>
        <v>class0018</v>
      </c>
      <c r="K101" s="8" t="str">
        <f t="shared" si="42"/>
        <v>dailoneskill0018</v>
      </c>
      <c r="L101" s="5" t="str">
        <f t="shared" si="26"/>
        <v>lootName,DAIL/items/materia/class0018/Spirit.dbr,</v>
      </c>
      <c r="M101" s="5" t="str">
        <f t="shared" si="27"/>
        <v>lootWeight,1,</v>
      </c>
      <c r="N101" t="str">
        <f t="shared" si="28"/>
        <v>5</v>
      </c>
      <c r="O101" t="str">
        <f t="shared" si="37"/>
        <v/>
      </c>
      <c r="P101" t="str">
        <f t="shared" si="23"/>
        <v/>
      </c>
      <c r="Q101" t="str">
        <f t="shared" si="23"/>
        <v/>
      </c>
      <c r="R101" t="str">
        <f t="shared" si="23"/>
        <v/>
      </c>
      <c r="S101" t="str">
        <f t="shared" ref="S101:U102" si="43">IF($I101&lt;&gt;"","echo "&amp;D101&amp;" &gt;&gt; .\items\materia\"&amp;$J101&amp;"\"&amp;$H101&amp;$G101&amp;".dbr","")</f>
        <v/>
      </c>
      <c r="T101" t="str">
        <f t="shared" si="43"/>
        <v/>
      </c>
      <c r="U101" t="str">
        <f t="shared" si="43"/>
        <v/>
      </c>
      <c r="V101" s="5" t="s">
        <v>36</v>
      </c>
      <c r="W101" t="str">
        <f t="shared" si="29"/>
        <v/>
      </c>
      <c r="X101" t="str">
        <f t="shared" si="29"/>
        <v/>
      </c>
      <c r="Y101" s="5" t="s">
        <v>36</v>
      </c>
      <c r="Z101" t="str">
        <f t="shared" si="30"/>
        <v/>
      </c>
      <c r="AA101" t="str">
        <f t="shared" si="38"/>
        <v/>
      </c>
      <c r="AB101" s="5" t="s">
        <v>36</v>
      </c>
      <c r="AH101">
        <f t="shared" si="40"/>
        <v>96</v>
      </c>
      <c r="AI101">
        <f t="shared" si="34"/>
        <v>0</v>
      </c>
      <c r="AJ101">
        <f t="shared" si="39"/>
        <v>5</v>
      </c>
    </row>
    <row r="102" spans="1:36" x14ac:dyDescent="0.25">
      <c r="A102" s="5" t="s">
        <v>39</v>
      </c>
      <c r="B102" s="5" t="s">
        <v>30</v>
      </c>
      <c r="C102" s="5" t="str">
        <f t="shared" si="24"/>
        <v>description,dailCompDescSpirit,</v>
      </c>
      <c r="D102" s="5" t="str">
        <f t="shared" si="25"/>
        <v>itemText,dailCompTextSpirit,</v>
      </c>
      <c r="E102" s="5" t="str">
        <f t="shared" si="35"/>
        <v>augmentSkillLevel1,5,</v>
      </c>
      <c r="F102" s="5" t="str">
        <f t="shared" si="36"/>
        <v>augmentSkillName1,records/skills,</v>
      </c>
      <c r="G102" s="7" t="str">
        <f t="shared" si="31"/>
        <v/>
      </c>
      <c r="H102" s="8" t="str">
        <f t="shared" si="32"/>
        <v>Spirit</v>
      </c>
      <c r="J102" s="8" t="str">
        <f t="shared" si="42"/>
        <v>class0018</v>
      </c>
      <c r="K102" s="8" t="str">
        <f t="shared" si="42"/>
        <v>dailoneskill0018</v>
      </c>
      <c r="L102" s="5" t="str">
        <f t="shared" si="26"/>
        <v>lootName,DAIL/items/materia/class0018/Spirit.dbr,</v>
      </c>
      <c r="M102" s="5" t="str">
        <f t="shared" si="27"/>
        <v>lootWeight,1,</v>
      </c>
      <c r="N102" t="str">
        <f t="shared" si="28"/>
        <v>5</v>
      </c>
      <c r="O102" t="str">
        <f t="shared" si="37"/>
        <v/>
      </c>
      <c r="P102" t="str">
        <f t="shared" ref="P102:R102" si="44">IF($I102&lt;&gt;"","echo "&amp;A102&amp;" &gt;&gt; .\items\materia\"&amp;$J102&amp;"\"&amp;$H102&amp;$G102&amp;".dbr","")</f>
        <v/>
      </c>
      <c r="Q102" t="str">
        <f t="shared" si="44"/>
        <v/>
      </c>
      <c r="R102" t="str">
        <f t="shared" si="44"/>
        <v/>
      </c>
      <c r="S102" t="str">
        <f t="shared" si="43"/>
        <v/>
      </c>
      <c r="T102" t="str">
        <f t="shared" si="43"/>
        <v/>
      </c>
      <c r="U102" t="str">
        <f t="shared" si="43"/>
        <v/>
      </c>
      <c r="V102" s="5" t="s">
        <v>36</v>
      </c>
      <c r="W102" t="str">
        <f t="shared" si="29"/>
        <v/>
      </c>
      <c r="X102" t="str">
        <f t="shared" si="29"/>
        <v/>
      </c>
      <c r="Y102" s="5" t="s">
        <v>36</v>
      </c>
      <c r="Z102" t="str">
        <f t="shared" si="30"/>
        <v/>
      </c>
      <c r="AA102" t="str">
        <f t="shared" si="38"/>
        <v/>
      </c>
      <c r="AB102" s="5" t="s">
        <v>36</v>
      </c>
      <c r="AH102">
        <f t="shared" si="40"/>
        <v>97</v>
      </c>
      <c r="AI102">
        <f t="shared" si="34"/>
        <v>0</v>
      </c>
      <c r="AJ102">
        <f t="shared" si="39"/>
        <v>5</v>
      </c>
    </row>
  </sheetData>
  <mergeCells count="1">
    <mergeCell ref="O2:U2"/>
  </mergeCells>
  <pageMargins left="0.7" right="0.7" top="0.75" bottom="0.75" header="0.3" footer="0.3"/>
  <pageSetup orientation="portrait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AL102"/>
  <sheetViews>
    <sheetView topLeftCell="M1" zoomScaleNormal="100" workbookViewId="0">
      <selection activeCell="U3" sqref="U3:U102"/>
    </sheetView>
  </sheetViews>
  <sheetFormatPr defaultRowHeight="15" x14ac:dyDescent="0.25"/>
  <cols>
    <col min="1" max="1" width="73.85546875" style="5" bestFit="1" customWidth="1"/>
    <col min="2" max="2" width="16.28515625" style="5" bestFit="1" customWidth="1"/>
    <col min="3" max="3" width="32.7109375" style="5" bestFit="1" customWidth="1"/>
    <col min="4" max="4" width="31.42578125" style="5" bestFit="1" customWidth="1"/>
    <col min="5" max="5" width="24.28515625" style="5" bestFit="1" customWidth="1"/>
    <col min="6" max="6" width="73.5703125" style="5" bestFit="1" customWidth="1"/>
    <col min="7" max="7" width="5.85546875" style="8" bestFit="1" customWidth="1"/>
    <col min="8" max="8" width="7.85546875" style="3" bestFit="1" customWidth="1"/>
    <col min="9" max="9" width="38.140625" style="3" bestFit="1" customWidth="1"/>
    <col min="10" max="10" width="9.140625" style="3" bestFit="1" customWidth="1"/>
    <col min="11" max="11" width="18.140625" style="3" customWidth="1"/>
    <col min="12" max="12" width="51.85546875" style="5" bestFit="1" customWidth="1"/>
    <col min="13" max="13" width="21.28515625" style="5" customWidth="1"/>
    <col min="15" max="15" width="10.5703125" customWidth="1"/>
    <col min="22" max="22" width="1.5703125" style="5" customWidth="1"/>
    <col min="23" max="23" width="9.5703125" customWidth="1"/>
    <col min="25" max="25" width="1.5703125" style="5" bestFit="1" customWidth="1"/>
    <col min="26" max="26" width="46.7109375" bestFit="1" customWidth="1"/>
    <col min="27" max="27" width="29.140625" customWidth="1"/>
    <col min="28" max="28" width="1.5703125" style="5" bestFit="1" customWidth="1"/>
    <col min="31" max="31" width="14.140625" bestFit="1" customWidth="1"/>
  </cols>
  <sheetData>
    <row r="1" spans="1:38" x14ac:dyDescent="0.25">
      <c r="G1" s="5"/>
      <c r="H1" s="5"/>
      <c r="I1" s="5"/>
      <c r="J1" s="5"/>
      <c r="K1" s="5"/>
      <c r="N1" s="5"/>
      <c r="O1" s="9"/>
      <c r="P1" s="9"/>
      <c r="Q1" s="9"/>
      <c r="R1" s="9"/>
      <c r="S1" s="9"/>
      <c r="T1" s="9"/>
      <c r="U1" s="9"/>
      <c r="W1" s="9"/>
      <c r="X1" s="9"/>
      <c r="Z1" s="9"/>
      <c r="AA1" s="9"/>
    </row>
    <row r="2" spans="1:38" x14ac:dyDescent="0.25">
      <c r="A2" s="4" t="s">
        <v>2</v>
      </c>
      <c r="B2" s="4" t="s">
        <v>3</v>
      </c>
      <c r="C2" s="4" t="s">
        <v>4</v>
      </c>
      <c r="D2" s="4" t="s">
        <v>5</v>
      </c>
      <c r="E2" s="4" t="s">
        <v>6</v>
      </c>
      <c r="F2" s="4" t="s">
        <v>7</v>
      </c>
      <c r="G2" s="6" t="s">
        <v>9</v>
      </c>
      <c r="H2" s="2" t="s">
        <v>26</v>
      </c>
      <c r="I2" s="2" t="s">
        <v>8</v>
      </c>
      <c r="J2" s="2" t="s">
        <v>33</v>
      </c>
      <c r="K2" s="2" t="s">
        <v>38</v>
      </c>
      <c r="L2" s="4" t="s">
        <v>31</v>
      </c>
      <c r="M2" s="4" t="s">
        <v>32</v>
      </c>
      <c r="O2" s="11" t="str">
        <f>"Copy from N to T Into the files named "&amp;H3&amp;G3&amp;" etc"</f>
        <v>Copy from N to T Into the files named Warfare1 etc</v>
      </c>
      <c r="P2" s="11"/>
      <c r="Q2" s="11"/>
      <c r="R2" s="11"/>
      <c r="S2" s="11"/>
      <c r="T2" s="11"/>
      <c r="U2" s="11"/>
      <c r="W2" s="1" t="s">
        <v>35</v>
      </c>
      <c r="Z2" s="1" t="s">
        <v>40</v>
      </c>
      <c r="AD2" t="s">
        <v>44</v>
      </c>
    </row>
    <row r="3" spans="1:38" x14ac:dyDescent="0.25">
      <c r="A3" s="5" t="s">
        <v>39</v>
      </c>
      <c r="B3" s="5" t="s">
        <v>0</v>
      </c>
      <c r="C3" s="5" t="str">
        <f t="shared" ref="C3:C66" si="0">"description,dailCompDesc"&amp;H3&amp;G3&amp;","</f>
        <v>description,dailCompDescWarfare1,</v>
      </c>
      <c r="D3" s="5" t="str">
        <f>"itemText,dailCompText"&amp;H3&amp;G3&amp;","</f>
        <v>itemText,dailCompTextWarfare1,</v>
      </c>
      <c r="E3" s="5" t="s">
        <v>24</v>
      </c>
      <c r="F3" s="5" t="str">
        <f>"augmentMasteryName1,records/skills"&amp;I3&amp;","</f>
        <v>augmentMasteryName1,records/skillswarfare/warfaremastery.dbr,,</v>
      </c>
      <c r="G3" s="7">
        <f>IF(I3&lt;&gt;"",1,"")</f>
        <v>1</v>
      </c>
      <c r="H3" s="3" t="s">
        <v>555</v>
      </c>
      <c r="I3" s="3" t="s">
        <v>638</v>
      </c>
      <c r="J3" s="3" t="s">
        <v>560</v>
      </c>
      <c r="K3" s="3" t="s">
        <v>561</v>
      </c>
      <c r="L3" s="5" t="str">
        <f>"lootName"&amp;G3&amp;",DAIL/items/materia/"&amp;J3&amp;"/"&amp;H3&amp;G3&amp;".dbr"&amp;","</f>
        <v>lootName1,DAIL/items/materia/class0019/Warfare1.dbr,</v>
      </c>
      <c r="M3" s="5" t="str">
        <f>"lootWeight"&amp;G3&amp;",1,"</f>
        <v>lootWeight1,1,</v>
      </c>
      <c r="N3" t="str">
        <f>LEFT(RIGHT(E3,2),1)</f>
        <v>1</v>
      </c>
      <c r="O3" s="5" t="str">
        <f>IF(I3&lt;&gt;"","copy .\dail_base2.dbr .\items\materia\"&amp;J3&amp;"\"&amp;H3&amp;G3&amp;".dbr /y"&amp;"","")</f>
        <v>copy .\dail_base2.dbr .\items\materia\class0019\Warfare1.dbr /y</v>
      </c>
      <c r="P3" t="str">
        <f>IF($I3&lt;&gt;"","echo "&amp;A3&amp;" &gt;&gt; .\items\materia\"&amp;$J3&amp;"\"&amp;$H3&amp;$G3&amp;".dbr","")</f>
        <v>echo relicBitmap,items/craftingparts/components/component_a52_bristlyfur_b.tex, &gt;&gt; .\items\materia\class0019\Warfare1.dbr</v>
      </c>
      <c r="Q3" t="str">
        <f t="shared" ref="Q3:U18" si="1">IF($I3&lt;&gt;"","echo "&amp;B3&amp;" &gt;&gt; .\items\materia\"&amp;$J3&amp;"\"&amp;$H3&amp;$G3&amp;".dbr","")</f>
        <v>echo itemCost,100000, &gt;&gt; .\items\materia\class0019\Warfare1.dbr</v>
      </c>
      <c r="R3" t="str">
        <f t="shared" si="1"/>
        <v>echo description,dailCompDescWarfare1, &gt;&gt; .\items\materia\class0019\Warfare1.dbr</v>
      </c>
      <c r="S3" t="str">
        <f t="shared" si="1"/>
        <v>echo itemText,dailCompTextWarfare1, &gt;&gt; .\items\materia\class0019\Warfare1.dbr</v>
      </c>
      <c r="T3" t="str">
        <f t="shared" si="1"/>
        <v>echo augmentMasteryLevel1,1, &gt;&gt; .\items\materia\class0019\Warfare1.dbr</v>
      </c>
      <c r="U3" t="str">
        <f t="shared" si="1"/>
        <v>echo augmentMasteryName1,records/skillswarfare/warfaremastery.dbr,, &gt;&gt; .\items\materia\class0019\Warfare1.dbr</v>
      </c>
      <c r="V3" s="5" t="s">
        <v>36</v>
      </c>
      <c r="W3" t="str">
        <f>IF($I3&lt;&gt;"","echo "&amp;L3&amp;" &gt;&gt; .\items\loottables\"&amp;$K3&amp;".dbr","")</f>
        <v>echo lootName1,DAIL/items/materia/class0019/Warfare1.dbr, &gt;&gt; .\items\loottables\dailoneskill0019.dbr</v>
      </c>
      <c r="X3" t="str">
        <f>IF($I3&lt;&gt;"","echo "&amp;M3&amp;" &gt;&gt; .\items\loottables\"&amp;$K3&amp;".dbr","")</f>
        <v>echo lootWeight1,1, &gt;&gt; .\items\loottables\dailoneskill0019.dbr</v>
      </c>
      <c r="Y3" s="5" t="s">
        <v>36</v>
      </c>
      <c r="Z3" s="10" t="str">
        <f>IF(I2&lt;&gt;""," dailCompDesc"&amp;H3&amp;G3&amp;"=^p"&amp;H3&amp;"'s Gift of DAIL","")</f>
        <v xml:space="preserve"> dailCompDescWarfare1=^pWarfare's Gift of DAIL</v>
      </c>
      <c r="AA3" s="10" t="str">
        <f>IF(I2&lt;&gt;"","dailCompText"&amp;H3&amp;G3&amp;"=^oThis feels warm to the touch, almost familiar ^w(This component fits into the amulet only)","")</f>
        <v>dailCompTextWarfare1=^oThis feels warm to the touch, almost familiar ^w(This component fits into the amulet only)</v>
      </c>
      <c r="AB3" s="5" t="s">
        <v>36</v>
      </c>
      <c r="AD3">
        <v>1</v>
      </c>
      <c r="AE3" t="s">
        <v>42</v>
      </c>
      <c r="AF3" t="s">
        <v>45</v>
      </c>
    </row>
    <row r="4" spans="1:38" x14ac:dyDescent="0.25">
      <c r="A4" s="5" t="s">
        <v>39</v>
      </c>
      <c r="B4" s="5" t="s">
        <v>28</v>
      </c>
      <c r="C4" s="5" t="str">
        <f t="shared" si="0"/>
        <v>description,dailCompDescWarfare2,</v>
      </c>
      <c r="D4" s="5" t="str">
        <f t="shared" ref="D4:D67" si="2">"itemText,dailCompText"&amp;H4&amp;G4&amp;","</f>
        <v>itemText,dailCompTextWarfare2,</v>
      </c>
      <c r="E4" s="5" t="s">
        <v>1</v>
      </c>
      <c r="F4" s="5" t="str">
        <f t="shared" ref="F4:F5" si="3">"augmentMasteryName1,records/skills"&amp;I4&amp;","</f>
        <v>augmentMasteryName1,records/skillswarfare/warfaremastery.dbr,,</v>
      </c>
      <c r="G4" s="7">
        <f>IF(I4&lt;&gt;"",G3+1,"")</f>
        <v>2</v>
      </c>
      <c r="H4" s="8" t="str">
        <f>H3</f>
        <v>Warfare</v>
      </c>
      <c r="I4" s="3" t="s">
        <v>638</v>
      </c>
      <c r="J4" s="8" t="str">
        <f>J3</f>
        <v>class0019</v>
      </c>
      <c r="K4" s="8" t="str">
        <f>K3</f>
        <v>dailoneskill0019</v>
      </c>
      <c r="L4" s="5" t="str">
        <f t="shared" ref="L4:L67" si="4">"lootName"&amp;G4&amp;",DAIL/items/materia/"&amp;J4&amp;"/"&amp;H4&amp;G4&amp;".dbr"&amp;","</f>
        <v>lootName2,DAIL/items/materia/class0019/Warfare2.dbr,</v>
      </c>
      <c r="M4" s="5" t="str">
        <f t="shared" ref="M4:M67" si="5">"lootWeight"&amp;G4&amp;",1,"</f>
        <v>lootWeight2,1,</v>
      </c>
      <c r="N4" t="str">
        <f t="shared" ref="N4:N67" si="6">LEFT(RIGHT(E4,2),1)</f>
        <v>2</v>
      </c>
      <c r="O4" s="5" t="str">
        <f>IF(I4&lt;&gt;"","copy .\dail_base2.dbr .\items\materia\"&amp;J4&amp;"\"&amp;H4&amp;G4&amp;".dbr /y"&amp;"","")</f>
        <v>copy .\dail_base2.dbr .\items\materia\class0019\Warfare2.dbr /y</v>
      </c>
      <c r="P4" t="str">
        <f t="shared" ref="P4:U58" si="7">IF($I4&lt;&gt;"","echo "&amp;A4&amp;" &gt;&gt; .\items\materia\"&amp;$J4&amp;"\"&amp;$H4&amp;$G4&amp;".dbr","")</f>
        <v>echo relicBitmap,items/craftingparts/components/component_a52_bristlyfur_b.tex, &gt;&gt; .\items\materia\class0019\Warfare2.dbr</v>
      </c>
      <c r="Q4" t="str">
        <f t="shared" si="1"/>
        <v>echo itemCost,300000, &gt;&gt; .\items\materia\class0019\Warfare2.dbr</v>
      </c>
      <c r="R4" t="str">
        <f t="shared" si="1"/>
        <v>echo description,dailCompDescWarfare2, &gt;&gt; .\items\materia\class0019\Warfare2.dbr</v>
      </c>
      <c r="S4" t="str">
        <f t="shared" si="1"/>
        <v>echo itemText,dailCompTextWarfare2, &gt;&gt; .\items\materia\class0019\Warfare2.dbr</v>
      </c>
      <c r="T4" t="str">
        <f t="shared" si="1"/>
        <v>echo augmentMasteryLevel1,2, &gt;&gt; .\items\materia\class0019\Warfare2.dbr</v>
      </c>
      <c r="U4" t="str">
        <f t="shared" si="1"/>
        <v>echo augmentMasteryName1,records/skillswarfare/warfaremastery.dbr,, &gt;&gt; .\items\materia\class0019\Warfare2.dbr</v>
      </c>
      <c r="V4" s="5" t="s">
        <v>36</v>
      </c>
      <c r="W4" t="str">
        <f t="shared" ref="W4:X67" si="8">IF($I4&lt;&gt;"","echo "&amp;L4&amp;" &gt;&gt; .\items\loottables\"&amp;$K4&amp;".dbr","")</f>
        <v>echo lootName2,DAIL/items/materia/class0019/Warfare2.dbr, &gt;&gt; .\items\loottables\dailoneskill0019.dbr</v>
      </c>
      <c r="X4" t="str">
        <f t="shared" si="8"/>
        <v>echo lootWeight2,1, &gt;&gt; .\items\loottables\dailoneskill0019.dbr</v>
      </c>
      <c r="Y4" s="5" t="s">
        <v>36</v>
      </c>
      <c r="Z4" s="10" t="str">
        <f t="shared" ref="Z4:Z67" si="9">IF(I3&lt;&gt;""," dailCompDesc"&amp;H4&amp;G4&amp;"=^p"&amp;H4&amp;"'s Gift of DAIL","")</f>
        <v xml:space="preserve"> dailCompDescWarfare2=^pWarfare's Gift of DAIL</v>
      </c>
      <c r="AA4" s="10" t="str">
        <f>IF(I3&lt;&gt;"","dailCompText"&amp;H4&amp;G4&amp;"=^oThis feels warm to the touch, almost familiar ^w(This component fits into the amulet only)","")</f>
        <v>dailCompTextWarfare2=^oThis feels warm to the touch, almost familiar ^w(This component fits into the amulet only)</v>
      </c>
      <c r="AB4" s="5" t="s">
        <v>36</v>
      </c>
      <c r="AD4">
        <v>3</v>
      </c>
      <c r="AE4" t="s">
        <v>43</v>
      </c>
      <c r="AF4" t="s">
        <v>46</v>
      </c>
    </row>
    <row r="5" spans="1:38" x14ac:dyDescent="0.25">
      <c r="A5" s="5" t="s">
        <v>39</v>
      </c>
      <c r="B5" s="5" t="s">
        <v>29</v>
      </c>
      <c r="C5" s="5" t="str">
        <f t="shared" si="0"/>
        <v>description,dailCompDescWarfare3,</v>
      </c>
      <c r="D5" s="5" t="str">
        <f t="shared" si="2"/>
        <v>itemText,dailCompTextWarfare3,</v>
      </c>
      <c r="E5" s="5" t="s">
        <v>25</v>
      </c>
      <c r="F5" s="5" t="str">
        <f t="shared" si="3"/>
        <v>augmentMasteryName1,records/skillswarfare/warfaremastery.dbr,,</v>
      </c>
      <c r="G5" s="7">
        <f t="shared" ref="G5:G68" si="10">IF(I5&lt;&gt;"",G4+1,"")</f>
        <v>3</v>
      </c>
      <c r="H5" s="8" t="str">
        <f t="shared" ref="H5:H68" si="11">H4</f>
        <v>Warfare</v>
      </c>
      <c r="I5" s="3" t="s">
        <v>638</v>
      </c>
      <c r="J5" s="8" t="str">
        <f t="shared" ref="J5:K20" si="12">J4</f>
        <v>class0019</v>
      </c>
      <c r="K5" s="8" t="str">
        <f t="shared" si="12"/>
        <v>dailoneskill0019</v>
      </c>
      <c r="L5" s="5" t="str">
        <f t="shared" si="4"/>
        <v>lootName3,DAIL/items/materia/class0019/Warfare3.dbr,</v>
      </c>
      <c r="M5" s="5" t="str">
        <f t="shared" si="5"/>
        <v>lootWeight3,1,</v>
      </c>
      <c r="N5" t="str">
        <f t="shared" si="6"/>
        <v>3</v>
      </c>
      <c r="O5" s="5" t="str">
        <f>IF(I5&lt;&gt;"","copy .\dail_base2.dbr .\items\materia\"&amp;J5&amp;"\"&amp;H5&amp;G5&amp;".dbr /y"&amp;"","")</f>
        <v>copy .\dail_base2.dbr .\items\materia\class0019\Warfare3.dbr /y</v>
      </c>
      <c r="P5" t="str">
        <f t="shared" si="7"/>
        <v>echo relicBitmap,items/craftingparts/components/component_a52_bristlyfur_b.tex, &gt;&gt; .\items\materia\class0019\Warfare3.dbr</v>
      </c>
      <c r="Q5" t="str">
        <f t="shared" si="1"/>
        <v>echo itemCost,600000, &gt;&gt; .\items\materia\class0019\Warfare3.dbr</v>
      </c>
      <c r="R5" t="str">
        <f t="shared" si="1"/>
        <v>echo description,dailCompDescWarfare3, &gt;&gt; .\items\materia\class0019\Warfare3.dbr</v>
      </c>
      <c r="S5" t="str">
        <f t="shared" si="1"/>
        <v>echo itemText,dailCompTextWarfare3, &gt;&gt; .\items\materia\class0019\Warfare3.dbr</v>
      </c>
      <c r="T5" t="str">
        <f t="shared" si="1"/>
        <v>echo augmentMasteryLevel1,3, &gt;&gt; .\items\materia\class0019\Warfare3.dbr</v>
      </c>
      <c r="U5" t="str">
        <f t="shared" si="1"/>
        <v>echo augmentMasteryName1,records/skillswarfare/warfaremastery.dbr,, &gt;&gt; .\items\materia\class0019\Warfare3.dbr</v>
      </c>
      <c r="V5" s="5" t="s">
        <v>36</v>
      </c>
      <c r="W5" t="str">
        <f t="shared" si="8"/>
        <v>echo lootName3,DAIL/items/materia/class0019/Warfare3.dbr, &gt;&gt; .\items\loottables\dailoneskill0019.dbr</v>
      </c>
      <c r="X5" t="str">
        <f t="shared" si="8"/>
        <v>echo lootWeight3,1, &gt;&gt; .\items\loottables\dailoneskill0019.dbr</v>
      </c>
      <c r="Y5" s="5" t="s">
        <v>36</v>
      </c>
      <c r="Z5" s="10" t="str">
        <f t="shared" si="9"/>
        <v xml:space="preserve"> dailCompDescWarfare3=^pWarfare's Gift of DAIL</v>
      </c>
      <c r="AA5" s="10" t="str">
        <f>IF(I4&lt;&gt;"","dailCompText"&amp;H5&amp;G5&amp;"=^oThis feels warm to the touch, almost familiar ^w(This component fits into the amulet only)","")</f>
        <v>dailCompTextWarfare3=^oThis feels warm to the touch, almost familiar ^w(This component fits into the amulet only)</v>
      </c>
      <c r="AB5" s="5" t="s">
        <v>36</v>
      </c>
      <c r="AD5">
        <v>5</v>
      </c>
      <c r="AE5" t="s">
        <v>43</v>
      </c>
      <c r="AF5" t="s">
        <v>46</v>
      </c>
      <c r="AI5" t="s">
        <v>61</v>
      </c>
    </row>
    <row r="6" spans="1:38" x14ac:dyDescent="0.25">
      <c r="A6" s="5" t="s">
        <v>39</v>
      </c>
      <c r="B6" s="5" t="s">
        <v>0</v>
      </c>
      <c r="C6" s="5" t="str">
        <f t="shared" si="0"/>
        <v>description,dailCompDescWarfare4,</v>
      </c>
      <c r="D6" s="5" t="str">
        <f t="shared" si="2"/>
        <v>itemText,dailCompTextWarfare4,</v>
      </c>
      <c r="E6" s="5" t="str">
        <f>"augmentSkillLevel1,"&amp;AJ6&amp;","</f>
        <v>augmentSkillLevel1,1,</v>
      </c>
      <c r="F6" s="5" t="str">
        <f>"augmentSkillName1,records/skills"&amp;I6&amp;","</f>
        <v>augmentSkillName1,records/skillswarfare/weapontraining.dbr,,</v>
      </c>
      <c r="G6" s="7">
        <f t="shared" si="10"/>
        <v>4</v>
      </c>
      <c r="H6" s="8" t="str">
        <f t="shared" si="11"/>
        <v>Warfare</v>
      </c>
      <c r="I6" s="3" t="s">
        <v>639</v>
      </c>
      <c r="J6" s="8" t="str">
        <f t="shared" si="12"/>
        <v>class0019</v>
      </c>
      <c r="K6" s="8" t="str">
        <f t="shared" si="12"/>
        <v>dailoneskill0019</v>
      </c>
      <c r="L6" s="5" t="str">
        <f t="shared" si="4"/>
        <v>lootName4,DAIL/items/materia/class0019/Warfare4.dbr,</v>
      </c>
      <c r="M6" s="5" t="str">
        <f t="shared" si="5"/>
        <v>lootWeight4,1,</v>
      </c>
      <c r="N6" t="str">
        <f t="shared" si="6"/>
        <v>1</v>
      </c>
      <c r="O6" t="str">
        <f>IF(I6&lt;&gt;"","copy .\"&amp;VLOOKUP(VALUE(N6),$AD$3:$AF$5,2,FALSE)&amp;" .\items\materia\"&amp;J6&amp;"\"&amp;H6&amp;G6&amp;".dbr /y"&amp;"","")</f>
        <v>copy .\dail_base.dbr .\items\materia\class0019\Warfare4.dbr /y</v>
      </c>
      <c r="P6" t="str">
        <f t="shared" si="7"/>
        <v>echo relicBitmap,items/craftingparts/components/component_a52_bristlyfur_b.tex, &gt;&gt; .\items\materia\class0019\Warfare4.dbr</v>
      </c>
      <c r="Q6" t="str">
        <f t="shared" si="1"/>
        <v>echo itemCost,100000, &gt;&gt; .\items\materia\class0019\Warfare4.dbr</v>
      </c>
      <c r="R6" t="str">
        <f t="shared" si="1"/>
        <v>echo description,dailCompDescWarfare4, &gt;&gt; .\items\materia\class0019\Warfare4.dbr</v>
      </c>
      <c r="S6" t="str">
        <f t="shared" si="1"/>
        <v>echo itemText,dailCompTextWarfare4, &gt;&gt; .\items\materia\class0019\Warfare4.dbr</v>
      </c>
      <c r="T6" t="str">
        <f t="shared" si="1"/>
        <v>echo augmentSkillLevel1,1, &gt;&gt; .\items\materia\class0019\Warfare4.dbr</v>
      </c>
      <c r="U6" t="str">
        <f t="shared" si="1"/>
        <v>echo augmentSkillName1,records/skillswarfare/weapontraining.dbr,, &gt;&gt; .\items\materia\class0019\Warfare4.dbr</v>
      </c>
      <c r="V6" s="5" t="s">
        <v>36</v>
      </c>
      <c r="W6" t="str">
        <f t="shared" si="8"/>
        <v>echo lootName4,DAIL/items/materia/class0019/Warfare4.dbr, &gt;&gt; .\items\loottables\dailoneskill0019.dbr</v>
      </c>
      <c r="X6" t="str">
        <f t="shared" si="8"/>
        <v>echo lootWeight4,1, &gt;&gt; .\items\loottables\dailoneskill0019.dbr</v>
      </c>
      <c r="Y6" s="5" t="s">
        <v>36</v>
      </c>
      <c r="Z6" t="str">
        <f t="shared" si="9"/>
        <v xml:space="preserve"> dailCompDescWarfare4=^pWarfare's Gift of DAIL</v>
      </c>
      <c r="AA6" t="str">
        <f>IF(I5&lt;&gt;"","dailCompText"&amp;H6&amp;G6&amp;"=^oThis feels warm to the touch, almost familiar ^w("&amp;VLOOKUP(VALUE(N6),$AD$3:$AF$5,3,FALSE)&amp;")","")</f>
        <v>dailCompTextWarfare4=^oThis feels warm to the touch, almost familiar ^w(This component fits into all Jewellery slots including the Belt And Shoulder)</v>
      </c>
      <c r="AB6" s="5" t="s">
        <v>36</v>
      </c>
      <c r="AH6">
        <v>1</v>
      </c>
      <c r="AI6">
        <f t="shared" ref="AI6:AI69" si="13">LEN(I6)</f>
        <v>27</v>
      </c>
      <c r="AJ6">
        <f>IF(AH6&lt;$AL$7,1,IF(AH6&lt;$AL$8,3,5))</f>
        <v>1</v>
      </c>
      <c r="AK6" s="1" t="s">
        <v>62</v>
      </c>
      <c r="AL6" s="1">
        <f>COUNTIF(AI:AI,"&gt;0")</f>
        <v>60</v>
      </c>
    </row>
    <row r="7" spans="1:38" x14ac:dyDescent="0.25">
      <c r="A7" s="5" t="s">
        <v>39</v>
      </c>
      <c r="B7" s="5" t="s">
        <v>0</v>
      </c>
      <c r="C7" s="5" t="str">
        <f t="shared" si="0"/>
        <v>description,dailCompDescWarfare5,</v>
      </c>
      <c r="D7" s="5" t="str">
        <f t="shared" si="2"/>
        <v>itemText,dailCompTextWarfare5,</v>
      </c>
      <c r="E7" s="5" t="str">
        <f t="shared" ref="E7:E70" si="14">"augmentSkillLevel1,"&amp;AJ7&amp;","</f>
        <v>augmentSkillLevel1,1,</v>
      </c>
      <c r="F7" s="5" t="str">
        <f t="shared" ref="F7:F70" si="15">"augmentSkillName1,records/skills"&amp;I7&amp;","</f>
        <v>augmentSkillName1,records/skillswarfare/warwind.dbr,,</v>
      </c>
      <c r="G7" s="7">
        <f t="shared" si="10"/>
        <v>5</v>
      </c>
      <c r="H7" s="8" t="str">
        <f t="shared" si="11"/>
        <v>Warfare</v>
      </c>
      <c r="I7" s="3" t="s">
        <v>640</v>
      </c>
      <c r="J7" s="8" t="str">
        <f t="shared" si="12"/>
        <v>class0019</v>
      </c>
      <c r="K7" s="8" t="str">
        <f t="shared" si="12"/>
        <v>dailoneskill0019</v>
      </c>
      <c r="L7" s="5" t="str">
        <f t="shared" si="4"/>
        <v>lootName5,DAIL/items/materia/class0019/Warfare5.dbr,</v>
      </c>
      <c r="M7" s="5" t="str">
        <f t="shared" si="5"/>
        <v>lootWeight5,1,</v>
      </c>
      <c r="N7" t="str">
        <f t="shared" si="6"/>
        <v>1</v>
      </c>
      <c r="O7" t="str">
        <f t="shared" ref="O7:O70" si="16">IF(I7&lt;&gt;"","copy .\"&amp;VLOOKUP(VALUE(N7),$AD$3:$AF$5,2,FALSE)&amp;" .\items\materia\"&amp;J7&amp;"\"&amp;H7&amp;G7&amp;".dbr /y"&amp;"","")</f>
        <v>copy .\dail_base.dbr .\items\materia\class0019\Warfare5.dbr /y</v>
      </c>
      <c r="P7" t="str">
        <f t="shared" si="7"/>
        <v>echo relicBitmap,items/craftingparts/components/component_a52_bristlyfur_b.tex, &gt;&gt; .\items\materia\class0019\Warfare5.dbr</v>
      </c>
      <c r="Q7" t="str">
        <f t="shared" si="1"/>
        <v>echo itemCost,100000, &gt;&gt; .\items\materia\class0019\Warfare5.dbr</v>
      </c>
      <c r="R7" t="str">
        <f t="shared" si="1"/>
        <v>echo description,dailCompDescWarfare5, &gt;&gt; .\items\materia\class0019\Warfare5.dbr</v>
      </c>
      <c r="S7" t="str">
        <f t="shared" si="1"/>
        <v>echo itemText,dailCompTextWarfare5, &gt;&gt; .\items\materia\class0019\Warfare5.dbr</v>
      </c>
      <c r="T7" t="str">
        <f t="shared" si="1"/>
        <v>echo augmentSkillLevel1,1, &gt;&gt; .\items\materia\class0019\Warfare5.dbr</v>
      </c>
      <c r="U7" t="str">
        <f t="shared" si="1"/>
        <v>echo augmentSkillName1,records/skillswarfare/warwind.dbr,, &gt;&gt; .\items\materia\class0019\Warfare5.dbr</v>
      </c>
      <c r="V7" s="5" t="s">
        <v>36</v>
      </c>
      <c r="W7" t="str">
        <f t="shared" si="8"/>
        <v>echo lootName5,DAIL/items/materia/class0019/Warfare5.dbr, &gt;&gt; .\items\loottables\dailoneskill0019.dbr</v>
      </c>
      <c r="X7" t="str">
        <f t="shared" si="8"/>
        <v>echo lootWeight5,1, &gt;&gt; .\items\loottables\dailoneskill0019.dbr</v>
      </c>
      <c r="Y7" s="5" t="s">
        <v>36</v>
      </c>
      <c r="Z7" t="str">
        <f t="shared" si="9"/>
        <v xml:space="preserve"> dailCompDescWarfare5=^pWarfare's Gift of DAIL</v>
      </c>
      <c r="AA7" t="str">
        <f t="shared" ref="AA7:AA70" si="17">IF(I6&lt;&gt;"","dailCompText"&amp;H7&amp;G7&amp;"=^oThis feels warm to the touch, almost familiar ^w("&amp;VLOOKUP(VALUE(N7),$AD$3:$AF$5,3,FALSE)&amp;")","")</f>
        <v>dailCompTextWarfare5=^oThis feels warm to the touch, almost familiar ^w(This component fits into all Jewellery slots including the Belt And Shoulder)</v>
      </c>
      <c r="AB7" s="5" t="s">
        <v>36</v>
      </c>
      <c r="AH7">
        <f>AH6+1</f>
        <v>2</v>
      </c>
      <c r="AI7">
        <f t="shared" si="13"/>
        <v>20</v>
      </c>
      <c r="AJ7">
        <f t="shared" ref="AJ7:AJ70" si="18">IF(AH7&lt;$AL$7,1,IF(AH7&lt;$AL$8,3,5))</f>
        <v>1</v>
      </c>
      <c r="AK7">
        <v>1</v>
      </c>
      <c r="AL7">
        <f>AL6/3</f>
        <v>20</v>
      </c>
    </row>
    <row r="8" spans="1:38" x14ac:dyDescent="0.25">
      <c r="A8" s="5" t="s">
        <v>39</v>
      </c>
      <c r="B8" s="5" t="s">
        <v>0</v>
      </c>
      <c r="C8" s="5" t="str">
        <f t="shared" si="0"/>
        <v>description,dailCompDescWarfare6,</v>
      </c>
      <c r="D8" s="5" t="str">
        <f t="shared" si="2"/>
        <v>itemText,dailCompTextWarfare6,</v>
      </c>
      <c r="E8" s="5" t="str">
        <f t="shared" si="14"/>
        <v>augmentSkillLevel1,1,</v>
      </c>
      <c r="F8" s="5" t="str">
        <f t="shared" si="15"/>
        <v>augmentSkillName1,records/skillswarfare/warwind_lacerate.dbr,,</v>
      </c>
      <c r="G8" s="7">
        <f t="shared" si="10"/>
        <v>6</v>
      </c>
      <c r="H8" s="8" t="str">
        <f t="shared" si="11"/>
        <v>Warfare</v>
      </c>
      <c r="I8" s="3" t="s">
        <v>641</v>
      </c>
      <c r="J8" s="8" t="str">
        <f t="shared" si="12"/>
        <v>class0019</v>
      </c>
      <c r="K8" s="8" t="str">
        <f t="shared" si="12"/>
        <v>dailoneskill0019</v>
      </c>
      <c r="L8" s="5" t="str">
        <f t="shared" si="4"/>
        <v>lootName6,DAIL/items/materia/class0019/Warfare6.dbr,</v>
      </c>
      <c r="M8" s="5" t="str">
        <f t="shared" si="5"/>
        <v>lootWeight6,1,</v>
      </c>
      <c r="N8" t="str">
        <f t="shared" si="6"/>
        <v>1</v>
      </c>
      <c r="O8" t="str">
        <f t="shared" si="16"/>
        <v>copy .\dail_base.dbr .\items\materia\class0019\Warfare6.dbr /y</v>
      </c>
      <c r="P8" t="str">
        <f t="shared" si="7"/>
        <v>echo relicBitmap,items/craftingparts/components/component_a52_bristlyfur_b.tex, &gt;&gt; .\items\materia\class0019\Warfare6.dbr</v>
      </c>
      <c r="Q8" t="str">
        <f t="shared" si="1"/>
        <v>echo itemCost,100000, &gt;&gt; .\items\materia\class0019\Warfare6.dbr</v>
      </c>
      <c r="R8" t="str">
        <f t="shared" si="1"/>
        <v>echo description,dailCompDescWarfare6, &gt;&gt; .\items\materia\class0019\Warfare6.dbr</v>
      </c>
      <c r="S8" t="str">
        <f t="shared" si="1"/>
        <v>echo itemText,dailCompTextWarfare6, &gt;&gt; .\items\materia\class0019\Warfare6.dbr</v>
      </c>
      <c r="T8" t="str">
        <f t="shared" si="1"/>
        <v>echo augmentSkillLevel1,1, &gt;&gt; .\items\materia\class0019\Warfare6.dbr</v>
      </c>
      <c r="U8" t="str">
        <f t="shared" si="1"/>
        <v>echo augmentSkillName1,records/skillswarfare/warwind_lacerate.dbr,, &gt;&gt; .\items\materia\class0019\Warfare6.dbr</v>
      </c>
      <c r="V8" s="5" t="s">
        <v>36</v>
      </c>
      <c r="W8" t="str">
        <f t="shared" si="8"/>
        <v>echo lootName6,DAIL/items/materia/class0019/Warfare6.dbr, &gt;&gt; .\items\loottables\dailoneskill0019.dbr</v>
      </c>
      <c r="X8" t="str">
        <f t="shared" si="8"/>
        <v>echo lootWeight6,1, &gt;&gt; .\items\loottables\dailoneskill0019.dbr</v>
      </c>
      <c r="Y8" s="5" t="s">
        <v>36</v>
      </c>
      <c r="Z8" t="str">
        <f t="shared" si="9"/>
        <v xml:space="preserve"> dailCompDescWarfare6=^pWarfare's Gift of DAIL</v>
      </c>
      <c r="AA8" t="str">
        <f t="shared" si="17"/>
        <v>dailCompTextWarfare6=^oThis feels warm to the touch, almost familiar ^w(This component fits into all Jewellery slots including the Belt And Shoulder)</v>
      </c>
      <c r="AB8" s="5" t="s">
        <v>36</v>
      </c>
      <c r="AH8">
        <f t="shared" ref="AH8:AH71" si="19">AH7+1</f>
        <v>3</v>
      </c>
      <c r="AI8">
        <f t="shared" si="13"/>
        <v>29</v>
      </c>
      <c r="AJ8">
        <f t="shared" si="18"/>
        <v>1</v>
      </c>
      <c r="AK8" s="1">
        <v>3</v>
      </c>
      <c r="AL8">
        <f>AL7*2</f>
        <v>40</v>
      </c>
    </row>
    <row r="9" spans="1:38" x14ac:dyDescent="0.25">
      <c r="A9" s="5" t="s">
        <v>39</v>
      </c>
      <c r="B9" s="5" t="s">
        <v>0</v>
      </c>
      <c r="C9" s="5" t="str">
        <f t="shared" si="0"/>
        <v>description,dailCompDescWarfare7,</v>
      </c>
      <c r="D9" s="5" t="str">
        <f t="shared" si="2"/>
        <v>itemText,dailCompTextWarfare7,</v>
      </c>
      <c r="E9" s="5" t="str">
        <f t="shared" si="14"/>
        <v>augmentSkillLevel1,1,</v>
      </c>
      <c r="F9" s="5" t="str">
        <f t="shared" si="15"/>
        <v>augmentSkillName1,records/skillswarfare/dodge attack.dbr,,</v>
      </c>
      <c r="G9" s="7">
        <f t="shared" si="10"/>
        <v>7</v>
      </c>
      <c r="H9" s="8" t="str">
        <f t="shared" si="11"/>
        <v>Warfare</v>
      </c>
      <c r="I9" s="3" t="s">
        <v>642</v>
      </c>
      <c r="J9" s="8" t="str">
        <f t="shared" si="12"/>
        <v>class0019</v>
      </c>
      <c r="K9" s="8" t="str">
        <f t="shared" si="12"/>
        <v>dailoneskill0019</v>
      </c>
      <c r="L9" s="5" t="str">
        <f t="shared" si="4"/>
        <v>lootName7,DAIL/items/materia/class0019/Warfare7.dbr,</v>
      </c>
      <c r="M9" s="5" t="str">
        <f t="shared" si="5"/>
        <v>lootWeight7,1,</v>
      </c>
      <c r="N9" t="str">
        <f t="shared" si="6"/>
        <v>1</v>
      </c>
      <c r="O9" t="str">
        <f t="shared" si="16"/>
        <v>copy .\dail_base.dbr .\items\materia\class0019\Warfare7.dbr /y</v>
      </c>
      <c r="P9" t="str">
        <f t="shared" si="7"/>
        <v>echo relicBitmap,items/craftingparts/components/component_a52_bristlyfur_b.tex, &gt;&gt; .\items\materia\class0019\Warfare7.dbr</v>
      </c>
      <c r="Q9" t="str">
        <f t="shared" si="1"/>
        <v>echo itemCost,100000, &gt;&gt; .\items\materia\class0019\Warfare7.dbr</v>
      </c>
      <c r="R9" t="str">
        <f t="shared" si="1"/>
        <v>echo description,dailCompDescWarfare7, &gt;&gt; .\items\materia\class0019\Warfare7.dbr</v>
      </c>
      <c r="S9" t="str">
        <f t="shared" si="1"/>
        <v>echo itemText,dailCompTextWarfare7, &gt;&gt; .\items\materia\class0019\Warfare7.dbr</v>
      </c>
      <c r="T9" t="str">
        <f t="shared" si="1"/>
        <v>echo augmentSkillLevel1,1, &gt;&gt; .\items\materia\class0019\Warfare7.dbr</v>
      </c>
      <c r="U9" t="str">
        <f t="shared" si="1"/>
        <v>echo augmentSkillName1,records/skillswarfare/dodge attack.dbr,, &gt;&gt; .\items\materia\class0019\Warfare7.dbr</v>
      </c>
      <c r="V9" s="5" t="s">
        <v>36</v>
      </c>
      <c r="W9" t="str">
        <f t="shared" si="8"/>
        <v>echo lootName7,DAIL/items/materia/class0019/Warfare7.dbr, &gt;&gt; .\items\loottables\dailoneskill0019.dbr</v>
      </c>
      <c r="X9" t="str">
        <f t="shared" si="8"/>
        <v>echo lootWeight7,1, &gt;&gt; .\items\loottables\dailoneskill0019.dbr</v>
      </c>
      <c r="Y9" s="5" t="s">
        <v>36</v>
      </c>
      <c r="Z9" t="str">
        <f t="shared" si="9"/>
        <v xml:space="preserve"> dailCompDescWarfare7=^pWarfare's Gift of DAIL</v>
      </c>
      <c r="AA9" t="str">
        <f t="shared" si="17"/>
        <v>dailCompTextWarfare7=^oThis feels warm to the touch, almost familiar ^w(This component fits into all Jewellery slots including the Belt And Shoulder)</v>
      </c>
      <c r="AB9" s="5" t="s">
        <v>36</v>
      </c>
      <c r="AH9">
        <f t="shared" si="19"/>
        <v>4</v>
      </c>
      <c r="AI9">
        <f t="shared" si="13"/>
        <v>25</v>
      </c>
      <c r="AJ9">
        <f t="shared" si="18"/>
        <v>1</v>
      </c>
      <c r="AK9" s="1">
        <v>5</v>
      </c>
      <c r="AL9">
        <f>AL6</f>
        <v>60</v>
      </c>
    </row>
    <row r="10" spans="1:38" x14ac:dyDescent="0.25">
      <c r="A10" s="5" t="s">
        <v>39</v>
      </c>
      <c r="B10" s="5" t="s">
        <v>0</v>
      </c>
      <c r="C10" s="5" t="str">
        <f t="shared" si="0"/>
        <v>description,dailCompDescWarfare8,</v>
      </c>
      <c r="D10" s="5" t="str">
        <f t="shared" si="2"/>
        <v>itemText,dailCompTextWarfare8,</v>
      </c>
      <c r="E10" s="5" t="str">
        <f t="shared" si="14"/>
        <v>augmentSkillLevel1,1,</v>
      </c>
      <c r="F10" s="5" t="str">
        <f t="shared" si="15"/>
        <v>augmentSkillName1,records/skillswarfare/dualweapontraining.dbr,,</v>
      </c>
      <c r="G10" s="7">
        <f t="shared" si="10"/>
        <v>8</v>
      </c>
      <c r="H10" s="8" t="str">
        <f t="shared" si="11"/>
        <v>Warfare</v>
      </c>
      <c r="I10" s="3" t="s">
        <v>643</v>
      </c>
      <c r="J10" s="8" t="str">
        <f t="shared" si="12"/>
        <v>class0019</v>
      </c>
      <c r="K10" s="8" t="str">
        <f t="shared" si="12"/>
        <v>dailoneskill0019</v>
      </c>
      <c r="L10" s="5" t="str">
        <f t="shared" si="4"/>
        <v>lootName8,DAIL/items/materia/class0019/Warfare8.dbr,</v>
      </c>
      <c r="M10" s="5" t="str">
        <f t="shared" si="5"/>
        <v>lootWeight8,1,</v>
      </c>
      <c r="N10" t="str">
        <f t="shared" si="6"/>
        <v>1</v>
      </c>
      <c r="O10" t="str">
        <f t="shared" si="16"/>
        <v>copy .\dail_base.dbr .\items\materia\class0019\Warfare8.dbr /y</v>
      </c>
      <c r="P10" t="str">
        <f t="shared" si="7"/>
        <v>echo relicBitmap,items/craftingparts/components/component_a52_bristlyfur_b.tex, &gt;&gt; .\items\materia\class0019\Warfare8.dbr</v>
      </c>
      <c r="Q10" t="str">
        <f t="shared" si="1"/>
        <v>echo itemCost,100000, &gt;&gt; .\items\materia\class0019\Warfare8.dbr</v>
      </c>
      <c r="R10" t="str">
        <f t="shared" si="1"/>
        <v>echo description,dailCompDescWarfare8, &gt;&gt; .\items\materia\class0019\Warfare8.dbr</v>
      </c>
      <c r="S10" t="str">
        <f t="shared" si="1"/>
        <v>echo itemText,dailCompTextWarfare8, &gt;&gt; .\items\materia\class0019\Warfare8.dbr</v>
      </c>
      <c r="T10" t="str">
        <f t="shared" si="1"/>
        <v>echo augmentSkillLevel1,1, &gt;&gt; .\items\materia\class0019\Warfare8.dbr</v>
      </c>
      <c r="U10" t="str">
        <f t="shared" si="1"/>
        <v>echo augmentSkillName1,records/skillswarfare/dualweapontraining.dbr,, &gt;&gt; .\items\materia\class0019\Warfare8.dbr</v>
      </c>
      <c r="V10" s="5" t="s">
        <v>36</v>
      </c>
      <c r="W10" t="str">
        <f t="shared" si="8"/>
        <v>echo lootName8,DAIL/items/materia/class0019/Warfare8.dbr, &gt;&gt; .\items\loottables\dailoneskill0019.dbr</v>
      </c>
      <c r="X10" t="str">
        <f t="shared" si="8"/>
        <v>echo lootWeight8,1, &gt;&gt; .\items\loottables\dailoneskill0019.dbr</v>
      </c>
      <c r="Y10" s="5" t="s">
        <v>36</v>
      </c>
      <c r="Z10" t="str">
        <f t="shared" si="9"/>
        <v xml:space="preserve"> dailCompDescWarfare8=^pWarfare's Gift of DAIL</v>
      </c>
      <c r="AA10" t="str">
        <f t="shared" si="17"/>
        <v>dailCompTextWarfare8=^oThis feels warm to the touch, almost familiar ^w(This component fits into all Jewellery slots including the Belt And Shoulder)</v>
      </c>
      <c r="AB10" s="5" t="s">
        <v>36</v>
      </c>
      <c r="AH10">
        <f t="shared" si="19"/>
        <v>5</v>
      </c>
      <c r="AI10">
        <f t="shared" si="13"/>
        <v>31</v>
      </c>
      <c r="AJ10">
        <f t="shared" si="18"/>
        <v>1</v>
      </c>
    </row>
    <row r="11" spans="1:38" x14ac:dyDescent="0.25">
      <c r="A11" s="5" t="s">
        <v>39</v>
      </c>
      <c r="B11" s="5" t="s">
        <v>0</v>
      </c>
      <c r="C11" s="5" t="str">
        <f t="shared" si="0"/>
        <v>description,dailCompDescWarfare9,</v>
      </c>
      <c r="D11" s="5" t="str">
        <f t="shared" si="2"/>
        <v>itemText,dailCompTextWarfare9,</v>
      </c>
      <c r="E11" s="5" t="str">
        <f t="shared" si="14"/>
        <v>augmentSkillLevel1,1,</v>
      </c>
      <c r="F11" s="5" t="str">
        <f t="shared" si="15"/>
        <v>augmentSkillName1,records/skillswarfare/dualwieldtechnique_jumpslash.dbr,,</v>
      </c>
      <c r="G11" s="7">
        <f t="shared" si="10"/>
        <v>9</v>
      </c>
      <c r="H11" s="8" t="str">
        <f t="shared" si="11"/>
        <v>Warfare</v>
      </c>
      <c r="I11" s="3" t="s">
        <v>644</v>
      </c>
      <c r="J11" s="8" t="str">
        <f t="shared" si="12"/>
        <v>class0019</v>
      </c>
      <c r="K11" s="8" t="str">
        <f t="shared" si="12"/>
        <v>dailoneskill0019</v>
      </c>
      <c r="L11" s="5" t="str">
        <f t="shared" si="4"/>
        <v>lootName9,DAIL/items/materia/class0019/Warfare9.dbr,</v>
      </c>
      <c r="M11" s="5" t="str">
        <f t="shared" si="5"/>
        <v>lootWeight9,1,</v>
      </c>
      <c r="N11" t="str">
        <f t="shared" si="6"/>
        <v>1</v>
      </c>
      <c r="O11" t="str">
        <f t="shared" si="16"/>
        <v>copy .\dail_base.dbr .\items\materia\class0019\Warfare9.dbr /y</v>
      </c>
      <c r="P11" t="str">
        <f t="shared" si="7"/>
        <v>echo relicBitmap,items/craftingparts/components/component_a52_bristlyfur_b.tex, &gt;&gt; .\items\materia\class0019\Warfare9.dbr</v>
      </c>
      <c r="Q11" t="str">
        <f t="shared" si="1"/>
        <v>echo itemCost,100000, &gt;&gt; .\items\materia\class0019\Warfare9.dbr</v>
      </c>
      <c r="R11" t="str">
        <f t="shared" si="1"/>
        <v>echo description,dailCompDescWarfare9, &gt;&gt; .\items\materia\class0019\Warfare9.dbr</v>
      </c>
      <c r="S11" t="str">
        <f t="shared" si="1"/>
        <v>echo itemText,dailCompTextWarfare9, &gt;&gt; .\items\materia\class0019\Warfare9.dbr</v>
      </c>
      <c r="T11" t="str">
        <f t="shared" si="1"/>
        <v>echo augmentSkillLevel1,1, &gt;&gt; .\items\materia\class0019\Warfare9.dbr</v>
      </c>
      <c r="U11" t="str">
        <f t="shared" si="1"/>
        <v>echo augmentSkillName1,records/skillswarfare/dualwieldtechnique_jumpslash.dbr,, &gt;&gt; .\items\materia\class0019\Warfare9.dbr</v>
      </c>
      <c r="V11" s="5" t="s">
        <v>36</v>
      </c>
      <c r="W11" t="str">
        <f t="shared" si="8"/>
        <v>echo lootName9,DAIL/items/materia/class0019/Warfare9.dbr, &gt;&gt; .\items\loottables\dailoneskill0019.dbr</v>
      </c>
      <c r="X11" t="str">
        <f t="shared" si="8"/>
        <v>echo lootWeight9,1, &gt;&gt; .\items\loottables\dailoneskill0019.dbr</v>
      </c>
      <c r="Y11" s="5" t="s">
        <v>36</v>
      </c>
      <c r="Z11" t="str">
        <f t="shared" si="9"/>
        <v xml:space="preserve"> dailCompDescWarfare9=^pWarfare's Gift of DAIL</v>
      </c>
      <c r="AA11" t="str">
        <f t="shared" si="17"/>
        <v>dailCompTextWarfare9=^oThis feels warm to the touch, almost familiar ^w(This component fits into all Jewellery slots including the Belt And Shoulder)</v>
      </c>
      <c r="AB11" s="5" t="s">
        <v>36</v>
      </c>
      <c r="AH11">
        <f t="shared" si="19"/>
        <v>6</v>
      </c>
      <c r="AI11">
        <f t="shared" si="13"/>
        <v>41</v>
      </c>
      <c r="AJ11">
        <f t="shared" si="18"/>
        <v>1</v>
      </c>
    </row>
    <row r="12" spans="1:38" x14ac:dyDescent="0.25">
      <c r="A12" s="5" t="s">
        <v>39</v>
      </c>
      <c r="B12" s="5" t="s">
        <v>0</v>
      </c>
      <c r="C12" s="5" t="str">
        <f t="shared" si="0"/>
        <v>description,dailCompDescWarfare10,</v>
      </c>
      <c r="D12" s="5" t="str">
        <f t="shared" si="2"/>
        <v>itemText,dailCompTextWarfare10,</v>
      </c>
      <c r="E12" s="5" t="str">
        <f t="shared" si="14"/>
        <v>augmentSkillLevel1,1,</v>
      </c>
      <c r="F12" s="5" t="str">
        <f t="shared" si="15"/>
        <v>augmentSkillName1,records/skillswarfare/dualwieldtechnique_crosscut.dbr,,</v>
      </c>
      <c r="G12" s="7">
        <f t="shared" si="10"/>
        <v>10</v>
      </c>
      <c r="H12" s="8" t="str">
        <f t="shared" si="11"/>
        <v>Warfare</v>
      </c>
      <c r="I12" s="3" t="s">
        <v>645</v>
      </c>
      <c r="J12" s="8" t="str">
        <f t="shared" si="12"/>
        <v>class0019</v>
      </c>
      <c r="K12" s="8" t="str">
        <f t="shared" si="12"/>
        <v>dailoneskill0019</v>
      </c>
      <c r="L12" s="5" t="str">
        <f t="shared" si="4"/>
        <v>lootName10,DAIL/items/materia/class0019/Warfare10.dbr,</v>
      </c>
      <c r="M12" s="5" t="str">
        <f t="shared" si="5"/>
        <v>lootWeight10,1,</v>
      </c>
      <c r="N12" t="str">
        <f t="shared" si="6"/>
        <v>1</v>
      </c>
      <c r="O12" t="str">
        <f t="shared" si="16"/>
        <v>copy .\dail_base.dbr .\items\materia\class0019\Warfare10.dbr /y</v>
      </c>
      <c r="P12" t="str">
        <f t="shared" si="7"/>
        <v>echo relicBitmap,items/craftingparts/components/component_a52_bristlyfur_b.tex, &gt;&gt; .\items\materia\class0019\Warfare10.dbr</v>
      </c>
      <c r="Q12" t="str">
        <f t="shared" si="1"/>
        <v>echo itemCost,100000, &gt;&gt; .\items\materia\class0019\Warfare10.dbr</v>
      </c>
      <c r="R12" t="str">
        <f t="shared" si="1"/>
        <v>echo description,dailCompDescWarfare10, &gt;&gt; .\items\materia\class0019\Warfare10.dbr</v>
      </c>
      <c r="S12" t="str">
        <f t="shared" si="1"/>
        <v>echo itemText,dailCompTextWarfare10, &gt;&gt; .\items\materia\class0019\Warfare10.dbr</v>
      </c>
      <c r="T12" t="str">
        <f t="shared" si="1"/>
        <v>echo augmentSkillLevel1,1, &gt;&gt; .\items\materia\class0019\Warfare10.dbr</v>
      </c>
      <c r="U12" t="str">
        <f t="shared" si="1"/>
        <v>echo augmentSkillName1,records/skillswarfare/dualwieldtechnique_crosscut.dbr,, &gt;&gt; .\items\materia\class0019\Warfare10.dbr</v>
      </c>
      <c r="V12" s="5" t="s">
        <v>36</v>
      </c>
      <c r="W12" t="str">
        <f t="shared" si="8"/>
        <v>echo lootName10,DAIL/items/materia/class0019/Warfare10.dbr, &gt;&gt; .\items\loottables\dailoneskill0019.dbr</v>
      </c>
      <c r="X12" t="str">
        <f t="shared" si="8"/>
        <v>echo lootWeight10,1, &gt;&gt; .\items\loottables\dailoneskill0019.dbr</v>
      </c>
      <c r="Y12" s="5" t="s">
        <v>36</v>
      </c>
      <c r="Z12" t="str">
        <f t="shared" si="9"/>
        <v xml:space="preserve"> dailCompDescWarfare10=^pWarfare's Gift of DAIL</v>
      </c>
      <c r="AA12" t="str">
        <f t="shared" si="17"/>
        <v>dailCompTextWarfare10=^oThis feels warm to the touch, almost familiar ^w(This component fits into all Jewellery slots including the Belt And Shoulder)</v>
      </c>
      <c r="AB12" s="5" t="s">
        <v>36</v>
      </c>
      <c r="AH12">
        <f t="shared" si="19"/>
        <v>7</v>
      </c>
      <c r="AI12">
        <f t="shared" si="13"/>
        <v>40</v>
      </c>
      <c r="AJ12">
        <f t="shared" si="18"/>
        <v>1</v>
      </c>
    </row>
    <row r="13" spans="1:38" x14ac:dyDescent="0.25">
      <c r="A13" s="5" t="s">
        <v>39</v>
      </c>
      <c r="B13" s="5" t="s">
        <v>0</v>
      </c>
      <c r="C13" s="5" t="str">
        <f t="shared" si="0"/>
        <v>description,dailCompDescWarfare11,</v>
      </c>
      <c r="D13" s="5" t="str">
        <f t="shared" si="2"/>
        <v>itemText,dailCompTextWarfare11,</v>
      </c>
      <c r="E13" s="5" t="str">
        <f t="shared" si="14"/>
        <v>augmentSkillLevel1,1,</v>
      </c>
      <c r="F13" s="5" t="str">
        <f t="shared" si="15"/>
        <v>augmentSkillName1,records/skillswarfare/dualwieldtechnique_tumult.dbr,,</v>
      </c>
      <c r="G13" s="7">
        <f t="shared" si="10"/>
        <v>11</v>
      </c>
      <c r="H13" s="8" t="str">
        <f t="shared" si="11"/>
        <v>Warfare</v>
      </c>
      <c r="I13" s="3" t="s">
        <v>646</v>
      </c>
      <c r="J13" s="8" t="str">
        <f t="shared" si="12"/>
        <v>class0019</v>
      </c>
      <c r="K13" s="8" t="str">
        <f t="shared" si="12"/>
        <v>dailoneskill0019</v>
      </c>
      <c r="L13" s="5" t="str">
        <f t="shared" si="4"/>
        <v>lootName11,DAIL/items/materia/class0019/Warfare11.dbr,</v>
      </c>
      <c r="M13" s="5" t="str">
        <f t="shared" si="5"/>
        <v>lootWeight11,1,</v>
      </c>
      <c r="N13" t="str">
        <f t="shared" si="6"/>
        <v>1</v>
      </c>
      <c r="O13" t="str">
        <f t="shared" si="16"/>
        <v>copy .\dail_base.dbr .\items\materia\class0019\Warfare11.dbr /y</v>
      </c>
      <c r="P13" t="str">
        <f t="shared" si="7"/>
        <v>echo relicBitmap,items/craftingparts/components/component_a52_bristlyfur_b.tex, &gt;&gt; .\items\materia\class0019\Warfare11.dbr</v>
      </c>
      <c r="Q13" t="str">
        <f t="shared" si="1"/>
        <v>echo itemCost,100000, &gt;&gt; .\items\materia\class0019\Warfare11.dbr</v>
      </c>
      <c r="R13" t="str">
        <f t="shared" si="1"/>
        <v>echo description,dailCompDescWarfare11, &gt;&gt; .\items\materia\class0019\Warfare11.dbr</v>
      </c>
      <c r="S13" t="str">
        <f t="shared" si="1"/>
        <v>echo itemText,dailCompTextWarfare11, &gt;&gt; .\items\materia\class0019\Warfare11.dbr</v>
      </c>
      <c r="T13" t="str">
        <f t="shared" si="1"/>
        <v>echo augmentSkillLevel1,1, &gt;&gt; .\items\materia\class0019\Warfare11.dbr</v>
      </c>
      <c r="U13" t="str">
        <f t="shared" si="1"/>
        <v>echo augmentSkillName1,records/skillswarfare/dualwieldtechnique_tumult.dbr,, &gt;&gt; .\items\materia\class0019\Warfare11.dbr</v>
      </c>
      <c r="V13" s="5" t="s">
        <v>36</v>
      </c>
      <c r="W13" t="str">
        <f t="shared" si="8"/>
        <v>echo lootName11,DAIL/items/materia/class0019/Warfare11.dbr, &gt;&gt; .\items\loottables\dailoneskill0019.dbr</v>
      </c>
      <c r="X13" t="str">
        <f t="shared" si="8"/>
        <v>echo lootWeight11,1, &gt;&gt; .\items\loottables\dailoneskill0019.dbr</v>
      </c>
      <c r="Y13" s="5" t="s">
        <v>36</v>
      </c>
      <c r="Z13" t="str">
        <f t="shared" si="9"/>
        <v xml:space="preserve"> dailCompDescWarfare11=^pWarfare's Gift of DAIL</v>
      </c>
      <c r="AA13" t="str">
        <f t="shared" si="17"/>
        <v>dailCompTextWarfare11=^oThis feels warm to the touch, almost familiar ^w(This component fits into all Jewellery slots including the Belt And Shoulder)</v>
      </c>
      <c r="AB13" s="5" t="s">
        <v>36</v>
      </c>
      <c r="AH13">
        <f t="shared" si="19"/>
        <v>8</v>
      </c>
      <c r="AI13">
        <f t="shared" si="13"/>
        <v>38</v>
      </c>
      <c r="AJ13">
        <f t="shared" si="18"/>
        <v>1</v>
      </c>
    </row>
    <row r="14" spans="1:38" x14ac:dyDescent="0.25">
      <c r="A14" s="5" t="s">
        <v>39</v>
      </c>
      <c r="B14" s="5" t="s">
        <v>0</v>
      </c>
      <c r="C14" s="5" t="str">
        <f t="shared" si="0"/>
        <v>description,dailCompDescWarfare12,</v>
      </c>
      <c r="D14" s="5" t="str">
        <f t="shared" si="2"/>
        <v>itemText,dailCompTextWarfare12,</v>
      </c>
      <c r="E14" s="5" t="str">
        <f t="shared" si="14"/>
        <v>augmentSkillLevel1,1,</v>
      </c>
      <c r="F14" s="5" t="str">
        <f t="shared" si="15"/>
        <v>augmentSkillName1,records/skillswarfare/onslaught.dbr,,</v>
      </c>
      <c r="G14" s="7">
        <f t="shared" si="10"/>
        <v>12</v>
      </c>
      <c r="H14" s="8" t="str">
        <f t="shared" si="11"/>
        <v>Warfare</v>
      </c>
      <c r="I14" s="3" t="s">
        <v>647</v>
      </c>
      <c r="J14" s="8" t="str">
        <f t="shared" si="12"/>
        <v>class0019</v>
      </c>
      <c r="K14" s="8" t="str">
        <f t="shared" si="12"/>
        <v>dailoneskill0019</v>
      </c>
      <c r="L14" s="5" t="str">
        <f t="shared" si="4"/>
        <v>lootName12,DAIL/items/materia/class0019/Warfare12.dbr,</v>
      </c>
      <c r="M14" s="5" t="str">
        <f t="shared" si="5"/>
        <v>lootWeight12,1,</v>
      </c>
      <c r="N14" t="str">
        <f t="shared" si="6"/>
        <v>1</v>
      </c>
      <c r="O14" t="str">
        <f t="shared" si="16"/>
        <v>copy .\dail_base.dbr .\items\materia\class0019\Warfare12.dbr /y</v>
      </c>
      <c r="P14" t="str">
        <f t="shared" si="7"/>
        <v>echo relicBitmap,items/craftingparts/components/component_a52_bristlyfur_b.tex, &gt;&gt; .\items\materia\class0019\Warfare12.dbr</v>
      </c>
      <c r="Q14" t="str">
        <f t="shared" si="1"/>
        <v>echo itemCost,100000, &gt;&gt; .\items\materia\class0019\Warfare12.dbr</v>
      </c>
      <c r="R14" t="str">
        <f t="shared" si="1"/>
        <v>echo description,dailCompDescWarfare12, &gt;&gt; .\items\materia\class0019\Warfare12.dbr</v>
      </c>
      <c r="S14" t="str">
        <f t="shared" si="1"/>
        <v>echo itemText,dailCompTextWarfare12, &gt;&gt; .\items\materia\class0019\Warfare12.dbr</v>
      </c>
      <c r="T14" t="str">
        <f t="shared" si="1"/>
        <v>echo augmentSkillLevel1,1, &gt;&gt; .\items\materia\class0019\Warfare12.dbr</v>
      </c>
      <c r="U14" t="str">
        <f t="shared" si="1"/>
        <v>echo augmentSkillName1,records/skillswarfare/onslaught.dbr,, &gt;&gt; .\items\materia\class0019\Warfare12.dbr</v>
      </c>
      <c r="V14" s="5" t="s">
        <v>36</v>
      </c>
      <c r="W14" t="str">
        <f t="shared" si="8"/>
        <v>echo lootName12,DAIL/items/materia/class0019/Warfare12.dbr, &gt;&gt; .\items\loottables\dailoneskill0019.dbr</v>
      </c>
      <c r="X14" t="str">
        <f t="shared" si="8"/>
        <v>echo lootWeight12,1, &gt;&gt; .\items\loottables\dailoneskill0019.dbr</v>
      </c>
      <c r="Y14" s="5" t="s">
        <v>36</v>
      </c>
      <c r="Z14" t="str">
        <f t="shared" si="9"/>
        <v xml:space="preserve"> dailCompDescWarfare12=^pWarfare's Gift of DAIL</v>
      </c>
      <c r="AA14" t="str">
        <f t="shared" si="17"/>
        <v>dailCompTextWarfare12=^oThis feels warm to the touch, almost familiar ^w(This component fits into all Jewellery slots including the Belt And Shoulder)</v>
      </c>
      <c r="AB14" s="5" t="s">
        <v>36</v>
      </c>
      <c r="AH14">
        <f t="shared" si="19"/>
        <v>9</v>
      </c>
      <c r="AI14">
        <f t="shared" si="13"/>
        <v>22</v>
      </c>
      <c r="AJ14">
        <f t="shared" si="18"/>
        <v>1</v>
      </c>
    </row>
    <row r="15" spans="1:38" x14ac:dyDescent="0.25">
      <c r="A15" s="5" t="s">
        <v>39</v>
      </c>
      <c r="B15" s="5" t="s">
        <v>0</v>
      </c>
      <c r="C15" s="5" t="str">
        <f t="shared" si="0"/>
        <v>description,dailCompDescWarfare13,</v>
      </c>
      <c r="D15" s="5" t="str">
        <f t="shared" si="2"/>
        <v>itemText,dailCompTextWarfare13,</v>
      </c>
      <c r="E15" s="5" t="str">
        <f t="shared" si="14"/>
        <v>augmentSkillLevel1,1,</v>
      </c>
      <c r="F15" s="5" t="str">
        <f t="shared" si="15"/>
        <v>augmentSkillName1,records/skillswarfare/onslaught_ignorepain.dbr,,</v>
      </c>
      <c r="G15" s="7">
        <f t="shared" si="10"/>
        <v>13</v>
      </c>
      <c r="H15" s="8" t="str">
        <f t="shared" si="11"/>
        <v>Warfare</v>
      </c>
      <c r="I15" s="3" t="s">
        <v>648</v>
      </c>
      <c r="J15" s="8" t="str">
        <f t="shared" si="12"/>
        <v>class0019</v>
      </c>
      <c r="K15" s="8" t="str">
        <f t="shared" si="12"/>
        <v>dailoneskill0019</v>
      </c>
      <c r="L15" s="5" t="str">
        <f t="shared" si="4"/>
        <v>lootName13,DAIL/items/materia/class0019/Warfare13.dbr,</v>
      </c>
      <c r="M15" s="5" t="str">
        <f t="shared" si="5"/>
        <v>lootWeight13,1,</v>
      </c>
      <c r="N15" t="str">
        <f t="shared" si="6"/>
        <v>1</v>
      </c>
      <c r="O15" t="str">
        <f t="shared" si="16"/>
        <v>copy .\dail_base.dbr .\items\materia\class0019\Warfare13.dbr /y</v>
      </c>
      <c r="P15" t="str">
        <f t="shared" si="7"/>
        <v>echo relicBitmap,items/craftingparts/components/component_a52_bristlyfur_b.tex, &gt;&gt; .\items\materia\class0019\Warfare13.dbr</v>
      </c>
      <c r="Q15" t="str">
        <f t="shared" si="1"/>
        <v>echo itemCost,100000, &gt;&gt; .\items\materia\class0019\Warfare13.dbr</v>
      </c>
      <c r="R15" t="str">
        <f t="shared" si="1"/>
        <v>echo description,dailCompDescWarfare13, &gt;&gt; .\items\materia\class0019\Warfare13.dbr</v>
      </c>
      <c r="S15" t="str">
        <f t="shared" si="1"/>
        <v>echo itemText,dailCompTextWarfare13, &gt;&gt; .\items\materia\class0019\Warfare13.dbr</v>
      </c>
      <c r="T15" t="str">
        <f t="shared" si="1"/>
        <v>echo augmentSkillLevel1,1, &gt;&gt; .\items\materia\class0019\Warfare13.dbr</v>
      </c>
      <c r="U15" t="str">
        <f t="shared" si="1"/>
        <v>echo augmentSkillName1,records/skillswarfare/onslaught_ignorepain.dbr,, &gt;&gt; .\items\materia\class0019\Warfare13.dbr</v>
      </c>
      <c r="V15" s="5" t="s">
        <v>36</v>
      </c>
      <c r="W15" t="str">
        <f t="shared" si="8"/>
        <v>echo lootName13,DAIL/items/materia/class0019/Warfare13.dbr, &gt;&gt; .\items\loottables\dailoneskill0019.dbr</v>
      </c>
      <c r="X15" t="str">
        <f t="shared" si="8"/>
        <v>echo lootWeight13,1, &gt;&gt; .\items\loottables\dailoneskill0019.dbr</v>
      </c>
      <c r="Y15" s="5" t="s">
        <v>36</v>
      </c>
      <c r="Z15" t="str">
        <f t="shared" si="9"/>
        <v xml:space="preserve"> dailCompDescWarfare13=^pWarfare's Gift of DAIL</v>
      </c>
      <c r="AA15" t="str">
        <f t="shared" si="17"/>
        <v>dailCompTextWarfare13=^oThis feels warm to the touch, almost familiar ^w(This component fits into all Jewellery slots including the Belt And Shoulder)</v>
      </c>
      <c r="AB15" s="5" t="s">
        <v>36</v>
      </c>
      <c r="AH15">
        <f t="shared" si="19"/>
        <v>10</v>
      </c>
      <c r="AI15">
        <f t="shared" si="13"/>
        <v>33</v>
      </c>
      <c r="AJ15">
        <f t="shared" si="18"/>
        <v>1</v>
      </c>
    </row>
    <row r="16" spans="1:38" x14ac:dyDescent="0.25">
      <c r="A16" s="5" t="s">
        <v>39</v>
      </c>
      <c r="B16" s="5" t="s">
        <v>0</v>
      </c>
      <c r="C16" s="5" t="str">
        <f t="shared" si="0"/>
        <v>description,dailCompDescWarfare14,</v>
      </c>
      <c r="D16" s="5" t="str">
        <f t="shared" si="2"/>
        <v>itemText,dailCompTextWarfare14,</v>
      </c>
      <c r="E16" s="5" t="str">
        <f t="shared" si="14"/>
        <v>augmentSkillLevel1,1,</v>
      </c>
      <c r="F16" s="5" t="str">
        <f t="shared" si="15"/>
        <v>augmentSkillName1,records/skillswarfare/onslaught_hamstring.dbr,,</v>
      </c>
      <c r="G16" s="7">
        <f t="shared" si="10"/>
        <v>14</v>
      </c>
      <c r="H16" s="8" t="str">
        <f t="shared" si="11"/>
        <v>Warfare</v>
      </c>
      <c r="I16" s="3" t="s">
        <v>649</v>
      </c>
      <c r="J16" s="8" t="str">
        <f t="shared" si="12"/>
        <v>class0019</v>
      </c>
      <c r="K16" s="8" t="str">
        <f t="shared" si="12"/>
        <v>dailoneskill0019</v>
      </c>
      <c r="L16" s="5" t="str">
        <f t="shared" si="4"/>
        <v>lootName14,DAIL/items/materia/class0019/Warfare14.dbr,</v>
      </c>
      <c r="M16" s="5" t="str">
        <f t="shared" si="5"/>
        <v>lootWeight14,1,</v>
      </c>
      <c r="N16" t="str">
        <f t="shared" si="6"/>
        <v>1</v>
      </c>
      <c r="O16" t="str">
        <f t="shared" si="16"/>
        <v>copy .\dail_base.dbr .\items\materia\class0019\Warfare14.dbr /y</v>
      </c>
      <c r="P16" t="str">
        <f t="shared" si="7"/>
        <v>echo relicBitmap,items/craftingparts/components/component_a52_bristlyfur_b.tex, &gt;&gt; .\items\materia\class0019\Warfare14.dbr</v>
      </c>
      <c r="Q16" t="str">
        <f t="shared" si="1"/>
        <v>echo itemCost,100000, &gt;&gt; .\items\materia\class0019\Warfare14.dbr</v>
      </c>
      <c r="R16" t="str">
        <f t="shared" si="1"/>
        <v>echo description,dailCompDescWarfare14, &gt;&gt; .\items\materia\class0019\Warfare14.dbr</v>
      </c>
      <c r="S16" t="str">
        <f t="shared" si="1"/>
        <v>echo itemText,dailCompTextWarfare14, &gt;&gt; .\items\materia\class0019\Warfare14.dbr</v>
      </c>
      <c r="T16" t="str">
        <f t="shared" si="1"/>
        <v>echo augmentSkillLevel1,1, &gt;&gt; .\items\materia\class0019\Warfare14.dbr</v>
      </c>
      <c r="U16" t="str">
        <f t="shared" si="1"/>
        <v>echo augmentSkillName1,records/skillswarfare/onslaught_hamstring.dbr,, &gt;&gt; .\items\materia\class0019\Warfare14.dbr</v>
      </c>
      <c r="V16" s="5" t="s">
        <v>36</v>
      </c>
      <c r="W16" t="str">
        <f t="shared" si="8"/>
        <v>echo lootName14,DAIL/items/materia/class0019/Warfare14.dbr, &gt;&gt; .\items\loottables\dailoneskill0019.dbr</v>
      </c>
      <c r="X16" t="str">
        <f t="shared" si="8"/>
        <v>echo lootWeight14,1, &gt;&gt; .\items\loottables\dailoneskill0019.dbr</v>
      </c>
      <c r="Y16" s="5" t="s">
        <v>36</v>
      </c>
      <c r="Z16" t="str">
        <f t="shared" si="9"/>
        <v xml:space="preserve"> dailCompDescWarfare14=^pWarfare's Gift of DAIL</v>
      </c>
      <c r="AA16" t="str">
        <f t="shared" si="17"/>
        <v>dailCompTextWarfare14=^oThis feels warm to the touch, almost familiar ^w(This component fits into all Jewellery slots including the Belt And Shoulder)</v>
      </c>
      <c r="AB16" s="5" t="s">
        <v>36</v>
      </c>
      <c r="AH16">
        <f t="shared" si="19"/>
        <v>11</v>
      </c>
      <c r="AI16">
        <f t="shared" si="13"/>
        <v>32</v>
      </c>
      <c r="AJ16">
        <f t="shared" si="18"/>
        <v>1</v>
      </c>
    </row>
    <row r="17" spans="1:36" x14ac:dyDescent="0.25">
      <c r="A17" s="5" t="s">
        <v>39</v>
      </c>
      <c r="B17" s="5" t="s">
        <v>0</v>
      </c>
      <c r="C17" s="5" t="str">
        <f t="shared" si="0"/>
        <v>description,dailCompDescWarfare15,</v>
      </c>
      <c r="D17" s="5" t="str">
        <f t="shared" si="2"/>
        <v>itemText,dailCompTextWarfare15,</v>
      </c>
      <c r="E17" s="5" t="str">
        <f t="shared" si="14"/>
        <v>augmentSkillLevel1,1,</v>
      </c>
      <c r="F17" s="5" t="str">
        <f t="shared" si="15"/>
        <v>augmentSkillName1,records/skillswarfare/onslaught_ardor.dbr,,</v>
      </c>
      <c r="G17" s="7">
        <f t="shared" si="10"/>
        <v>15</v>
      </c>
      <c r="H17" s="8" t="str">
        <f t="shared" si="11"/>
        <v>Warfare</v>
      </c>
      <c r="I17" s="3" t="s">
        <v>650</v>
      </c>
      <c r="J17" s="8" t="str">
        <f t="shared" si="12"/>
        <v>class0019</v>
      </c>
      <c r="K17" s="8" t="str">
        <f t="shared" si="12"/>
        <v>dailoneskill0019</v>
      </c>
      <c r="L17" s="5" t="str">
        <f t="shared" si="4"/>
        <v>lootName15,DAIL/items/materia/class0019/Warfare15.dbr,</v>
      </c>
      <c r="M17" s="5" t="str">
        <f t="shared" si="5"/>
        <v>lootWeight15,1,</v>
      </c>
      <c r="N17" t="str">
        <f t="shared" si="6"/>
        <v>1</v>
      </c>
      <c r="O17" t="str">
        <f t="shared" si="16"/>
        <v>copy .\dail_base.dbr .\items\materia\class0019\Warfare15.dbr /y</v>
      </c>
      <c r="P17" t="str">
        <f t="shared" si="7"/>
        <v>echo relicBitmap,items/craftingparts/components/component_a52_bristlyfur_b.tex, &gt;&gt; .\items\materia\class0019\Warfare15.dbr</v>
      </c>
      <c r="Q17" t="str">
        <f t="shared" si="1"/>
        <v>echo itemCost,100000, &gt;&gt; .\items\materia\class0019\Warfare15.dbr</v>
      </c>
      <c r="R17" t="str">
        <f t="shared" si="1"/>
        <v>echo description,dailCompDescWarfare15, &gt;&gt; .\items\materia\class0019\Warfare15.dbr</v>
      </c>
      <c r="S17" t="str">
        <f t="shared" si="1"/>
        <v>echo itemText,dailCompTextWarfare15, &gt;&gt; .\items\materia\class0019\Warfare15.dbr</v>
      </c>
      <c r="T17" t="str">
        <f t="shared" si="1"/>
        <v>echo augmentSkillLevel1,1, &gt;&gt; .\items\materia\class0019\Warfare15.dbr</v>
      </c>
      <c r="U17" t="str">
        <f t="shared" si="1"/>
        <v>echo augmentSkillName1,records/skillswarfare/onslaught_ardor.dbr,, &gt;&gt; .\items\materia\class0019\Warfare15.dbr</v>
      </c>
      <c r="V17" s="5" t="s">
        <v>36</v>
      </c>
      <c r="W17" t="str">
        <f t="shared" si="8"/>
        <v>echo lootName15,DAIL/items/materia/class0019/Warfare15.dbr, &gt;&gt; .\items\loottables\dailoneskill0019.dbr</v>
      </c>
      <c r="X17" t="str">
        <f t="shared" si="8"/>
        <v>echo lootWeight15,1, &gt;&gt; .\items\loottables\dailoneskill0019.dbr</v>
      </c>
      <c r="Y17" s="5" t="s">
        <v>36</v>
      </c>
      <c r="Z17" t="str">
        <f t="shared" si="9"/>
        <v xml:space="preserve"> dailCompDescWarfare15=^pWarfare's Gift of DAIL</v>
      </c>
      <c r="AA17" t="str">
        <f t="shared" si="17"/>
        <v>dailCompTextWarfare15=^oThis feels warm to the touch, almost familiar ^w(This component fits into all Jewellery slots including the Belt And Shoulder)</v>
      </c>
      <c r="AB17" s="5" t="s">
        <v>36</v>
      </c>
      <c r="AH17">
        <f t="shared" si="19"/>
        <v>12</v>
      </c>
      <c r="AI17">
        <f t="shared" si="13"/>
        <v>28</v>
      </c>
      <c r="AJ17">
        <f t="shared" si="18"/>
        <v>1</v>
      </c>
    </row>
    <row r="18" spans="1:36" x14ac:dyDescent="0.25">
      <c r="A18" s="5" t="s">
        <v>39</v>
      </c>
      <c r="B18" s="5" t="s">
        <v>0</v>
      </c>
      <c r="C18" s="5" t="str">
        <f t="shared" si="0"/>
        <v>description,dailCompDescWarfare16,</v>
      </c>
      <c r="D18" s="5" t="str">
        <f t="shared" si="2"/>
        <v>itemText,dailCompTextWarfare16,</v>
      </c>
      <c r="E18" s="5" t="str">
        <f t="shared" si="14"/>
        <v>augmentSkillLevel1,1,</v>
      </c>
      <c r="F18" s="5" t="str">
        <f t="shared" si="15"/>
        <v>augmentSkillName1,records/skillswarfare/battlerage.dbr,,</v>
      </c>
      <c r="G18" s="7">
        <f t="shared" si="10"/>
        <v>16</v>
      </c>
      <c r="H18" s="8" t="str">
        <f t="shared" si="11"/>
        <v>Warfare</v>
      </c>
      <c r="I18" s="3" t="s">
        <v>651</v>
      </c>
      <c r="J18" s="8" t="str">
        <f t="shared" si="12"/>
        <v>class0019</v>
      </c>
      <c r="K18" s="8" t="str">
        <f t="shared" si="12"/>
        <v>dailoneskill0019</v>
      </c>
      <c r="L18" s="5" t="str">
        <f t="shared" si="4"/>
        <v>lootName16,DAIL/items/materia/class0019/Warfare16.dbr,</v>
      </c>
      <c r="M18" s="5" t="str">
        <f t="shared" si="5"/>
        <v>lootWeight16,1,</v>
      </c>
      <c r="N18" t="str">
        <f t="shared" si="6"/>
        <v>1</v>
      </c>
      <c r="O18" t="str">
        <f t="shared" si="16"/>
        <v>copy .\dail_base.dbr .\items\materia\class0019\Warfare16.dbr /y</v>
      </c>
      <c r="P18" t="str">
        <f t="shared" si="7"/>
        <v>echo relicBitmap,items/craftingparts/components/component_a52_bristlyfur_b.tex, &gt;&gt; .\items\materia\class0019\Warfare16.dbr</v>
      </c>
      <c r="Q18" t="str">
        <f t="shared" si="1"/>
        <v>echo itemCost,100000, &gt;&gt; .\items\materia\class0019\Warfare16.dbr</v>
      </c>
      <c r="R18" t="str">
        <f t="shared" si="1"/>
        <v>echo description,dailCompDescWarfare16, &gt;&gt; .\items\materia\class0019\Warfare16.dbr</v>
      </c>
      <c r="S18" t="str">
        <f t="shared" si="1"/>
        <v>echo itemText,dailCompTextWarfare16, &gt;&gt; .\items\materia\class0019\Warfare16.dbr</v>
      </c>
      <c r="T18" t="str">
        <f t="shared" si="1"/>
        <v>echo augmentSkillLevel1,1, &gt;&gt; .\items\materia\class0019\Warfare16.dbr</v>
      </c>
      <c r="U18" t="str">
        <f t="shared" si="1"/>
        <v>echo augmentSkillName1,records/skillswarfare/battlerage.dbr,, &gt;&gt; .\items\materia\class0019\Warfare16.dbr</v>
      </c>
      <c r="V18" s="5" t="s">
        <v>36</v>
      </c>
      <c r="W18" t="str">
        <f t="shared" si="8"/>
        <v>echo lootName16,DAIL/items/materia/class0019/Warfare16.dbr, &gt;&gt; .\items\loottables\dailoneskill0019.dbr</v>
      </c>
      <c r="X18" t="str">
        <f t="shared" si="8"/>
        <v>echo lootWeight16,1, &gt;&gt; .\items\loottables\dailoneskill0019.dbr</v>
      </c>
      <c r="Y18" s="5" t="s">
        <v>36</v>
      </c>
      <c r="Z18" t="str">
        <f t="shared" si="9"/>
        <v xml:space="preserve"> dailCompDescWarfare16=^pWarfare's Gift of DAIL</v>
      </c>
      <c r="AA18" t="str">
        <f t="shared" si="17"/>
        <v>dailCompTextWarfare16=^oThis feels warm to the touch, almost familiar ^w(This component fits into all Jewellery slots including the Belt And Shoulder)</v>
      </c>
      <c r="AB18" s="5" t="s">
        <v>36</v>
      </c>
      <c r="AH18">
        <f t="shared" si="19"/>
        <v>13</v>
      </c>
      <c r="AI18">
        <f t="shared" si="13"/>
        <v>23</v>
      </c>
      <c r="AJ18">
        <f t="shared" si="18"/>
        <v>1</v>
      </c>
    </row>
    <row r="19" spans="1:36" x14ac:dyDescent="0.25">
      <c r="A19" s="5" t="s">
        <v>39</v>
      </c>
      <c r="B19" s="5" t="s">
        <v>28</v>
      </c>
      <c r="C19" s="5" t="str">
        <f t="shared" si="0"/>
        <v>description,dailCompDescWarfare17,</v>
      </c>
      <c r="D19" s="5" t="str">
        <f t="shared" si="2"/>
        <v>itemText,dailCompTextWarfare17,</v>
      </c>
      <c r="E19" s="5" t="str">
        <f t="shared" si="14"/>
        <v>augmentSkillLevel1,1,</v>
      </c>
      <c r="F19" s="5" t="str">
        <f t="shared" si="15"/>
        <v>augmentSkillName1,records/skillswarfare/battlerage_crushingblow.dbr,,</v>
      </c>
      <c r="G19" s="7">
        <f t="shared" si="10"/>
        <v>17</v>
      </c>
      <c r="H19" s="8" t="str">
        <f t="shared" si="11"/>
        <v>Warfare</v>
      </c>
      <c r="I19" s="3" t="s">
        <v>652</v>
      </c>
      <c r="J19" s="8" t="str">
        <f t="shared" si="12"/>
        <v>class0019</v>
      </c>
      <c r="K19" s="8" t="str">
        <f t="shared" si="12"/>
        <v>dailoneskill0019</v>
      </c>
      <c r="L19" s="5" t="str">
        <f t="shared" si="4"/>
        <v>lootName17,DAIL/items/materia/class0019/Warfare17.dbr,</v>
      </c>
      <c r="M19" s="5" t="str">
        <f t="shared" si="5"/>
        <v>lootWeight17,1,</v>
      </c>
      <c r="N19" t="str">
        <f t="shared" si="6"/>
        <v>1</v>
      </c>
      <c r="O19" t="str">
        <f t="shared" si="16"/>
        <v>copy .\dail_base.dbr .\items\materia\class0019\Warfare17.dbr /y</v>
      </c>
      <c r="P19" t="str">
        <f t="shared" si="7"/>
        <v>echo relicBitmap,items/craftingparts/components/component_a52_bristlyfur_b.tex, &gt;&gt; .\items\materia\class0019\Warfare17.dbr</v>
      </c>
      <c r="Q19" t="str">
        <f t="shared" si="7"/>
        <v>echo itemCost,300000, &gt;&gt; .\items\materia\class0019\Warfare17.dbr</v>
      </c>
      <c r="R19" t="str">
        <f t="shared" si="7"/>
        <v>echo description,dailCompDescWarfare17, &gt;&gt; .\items\materia\class0019\Warfare17.dbr</v>
      </c>
      <c r="S19" t="str">
        <f t="shared" si="7"/>
        <v>echo itemText,dailCompTextWarfare17, &gt;&gt; .\items\materia\class0019\Warfare17.dbr</v>
      </c>
      <c r="T19" t="str">
        <f t="shared" si="7"/>
        <v>echo augmentSkillLevel1,1, &gt;&gt; .\items\materia\class0019\Warfare17.dbr</v>
      </c>
      <c r="U19" t="str">
        <f t="shared" si="7"/>
        <v>echo augmentSkillName1,records/skillswarfare/battlerage_crushingblow.dbr,, &gt;&gt; .\items\materia\class0019\Warfare17.dbr</v>
      </c>
      <c r="V19" s="5" t="s">
        <v>36</v>
      </c>
      <c r="W19" t="str">
        <f t="shared" si="8"/>
        <v>echo lootName17,DAIL/items/materia/class0019/Warfare17.dbr, &gt;&gt; .\items\loottables\dailoneskill0019.dbr</v>
      </c>
      <c r="X19" t="str">
        <f t="shared" si="8"/>
        <v>echo lootWeight17,1, &gt;&gt; .\items\loottables\dailoneskill0019.dbr</v>
      </c>
      <c r="Y19" s="5" t="s">
        <v>36</v>
      </c>
      <c r="Z19" t="str">
        <f t="shared" si="9"/>
        <v xml:space="preserve"> dailCompDescWarfare17=^pWarfare's Gift of DAIL</v>
      </c>
      <c r="AA19" t="str">
        <f t="shared" si="17"/>
        <v>dailCompTextWarfare17=^oThis feels warm to the touch, almost familiar ^w(This component fits into all Jewellery slots including the Belt And Shoulder)</v>
      </c>
      <c r="AB19" s="5" t="s">
        <v>36</v>
      </c>
      <c r="AH19">
        <f t="shared" si="19"/>
        <v>14</v>
      </c>
      <c r="AI19">
        <f t="shared" si="13"/>
        <v>36</v>
      </c>
      <c r="AJ19">
        <f t="shared" si="18"/>
        <v>1</v>
      </c>
    </row>
    <row r="20" spans="1:36" x14ac:dyDescent="0.25">
      <c r="A20" s="5" t="s">
        <v>39</v>
      </c>
      <c r="B20" s="5" t="s">
        <v>28</v>
      </c>
      <c r="C20" s="5" t="str">
        <f t="shared" si="0"/>
        <v>description,dailCompDescWarfare18,</v>
      </c>
      <c r="D20" s="5" t="str">
        <f t="shared" si="2"/>
        <v>itemText,dailCompTextWarfare18,</v>
      </c>
      <c r="E20" s="5" t="str">
        <f t="shared" si="14"/>
        <v>augmentSkillLevel1,1,</v>
      </c>
      <c r="F20" s="5" t="str">
        <f t="shared" si="15"/>
        <v>augmentSkillName1,records/skillswarfare/battlerage_counterattack.dbr,,</v>
      </c>
      <c r="G20" s="7">
        <f t="shared" si="10"/>
        <v>18</v>
      </c>
      <c r="H20" s="8" t="str">
        <f t="shared" si="11"/>
        <v>Warfare</v>
      </c>
      <c r="I20" s="3" t="s">
        <v>653</v>
      </c>
      <c r="J20" s="8" t="str">
        <f t="shared" si="12"/>
        <v>class0019</v>
      </c>
      <c r="K20" s="8" t="str">
        <f t="shared" si="12"/>
        <v>dailoneskill0019</v>
      </c>
      <c r="L20" s="5" t="str">
        <f t="shared" si="4"/>
        <v>lootName18,DAIL/items/materia/class0019/Warfare18.dbr,</v>
      </c>
      <c r="M20" s="5" t="str">
        <f t="shared" si="5"/>
        <v>lootWeight18,1,</v>
      </c>
      <c r="N20" t="str">
        <f t="shared" si="6"/>
        <v>1</v>
      </c>
      <c r="O20" t="str">
        <f t="shared" si="16"/>
        <v>copy .\dail_base.dbr .\items\materia\class0019\Warfare18.dbr /y</v>
      </c>
      <c r="P20" t="str">
        <f t="shared" si="7"/>
        <v>echo relicBitmap,items/craftingparts/components/component_a52_bristlyfur_b.tex, &gt;&gt; .\items\materia\class0019\Warfare18.dbr</v>
      </c>
      <c r="Q20" t="str">
        <f t="shared" si="7"/>
        <v>echo itemCost,300000, &gt;&gt; .\items\materia\class0019\Warfare18.dbr</v>
      </c>
      <c r="R20" t="str">
        <f t="shared" si="7"/>
        <v>echo description,dailCompDescWarfare18, &gt;&gt; .\items\materia\class0019\Warfare18.dbr</v>
      </c>
      <c r="S20" t="str">
        <f t="shared" si="7"/>
        <v>echo itemText,dailCompTextWarfare18, &gt;&gt; .\items\materia\class0019\Warfare18.dbr</v>
      </c>
      <c r="T20" t="str">
        <f t="shared" si="7"/>
        <v>echo augmentSkillLevel1,1, &gt;&gt; .\items\materia\class0019\Warfare18.dbr</v>
      </c>
      <c r="U20" t="str">
        <f t="shared" si="7"/>
        <v>echo augmentSkillName1,records/skillswarfare/battlerage_counterattack.dbr,, &gt;&gt; .\items\materia\class0019\Warfare18.dbr</v>
      </c>
      <c r="V20" s="5" t="s">
        <v>36</v>
      </c>
      <c r="W20" t="str">
        <f t="shared" si="8"/>
        <v>echo lootName18,DAIL/items/materia/class0019/Warfare18.dbr, &gt;&gt; .\items\loottables\dailoneskill0019.dbr</v>
      </c>
      <c r="X20" t="str">
        <f t="shared" si="8"/>
        <v>echo lootWeight18,1, &gt;&gt; .\items\loottables\dailoneskill0019.dbr</v>
      </c>
      <c r="Y20" s="5" t="s">
        <v>36</v>
      </c>
      <c r="Z20" t="str">
        <f t="shared" si="9"/>
        <v xml:space="preserve"> dailCompDescWarfare18=^pWarfare's Gift of DAIL</v>
      </c>
      <c r="AA20" t="str">
        <f t="shared" si="17"/>
        <v>dailCompTextWarfare18=^oThis feels warm to the touch, almost familiar ^w(This component fits into all Jewellery slots including the Belt And Shoulder)</v>
      </c>
      <c r="AB20" s="5" t="s">
        <v>36</v>
      </c>
      <c r="AH20">
        <f t="shared" si="19"/>
        <v>15</v>
      </c>
      <c r="AI20">
        <f t="shared" si="13"/>
        <v>37</v>
      </c>
      <c r="AJ20">
        <f t="shared" si="18"/>
        <v>1</v>
      </c>
    </row>
    <row r="21" spans="1:36" x14ac:dyDescent="0.25">
      <c r="A21" s="5" t="s">
        <v>39</v>
      </c>
      <c r="B21" s="5" t="s">
        <v>28</v>
      </c>
      <c r="C21" s="5" t="str">
        <f t="shared" si="0"/>
        <v>description,dailCompDescWarfare19,</v>
      </c>
      <c r="D21" s="5" t="str">
        <f t="shared" si="2"/>
        <v>itemText,dailCompTextWarfare19,</v>
      </c>
      <c r="E21" s="5" t="str">
        <f t="shared" si="14"/>
        <v>augmentSkillLevel1,1,</v>
      </c>
      <c r="F21" s="5" t="str">
        <f t="shared" si="15"/>
        <v>augmentSkillName1,records/skillswarfare/warhorn.dbr,,</v>
      </c>
      <c r="G21" s="7">
        <f t="shared" si="10"/>
        <v>19</v>
      </c>
      <c r="H21" s="8" t="str">
        <f t="shared" si="11"/>
        <v>Warfare</v>
      </c>
      <c r="I21" s="3" t="s">
        <v>654</v>
      </c>
      <c r="J21" s="8" t="str">
        <f t="shared" ref="J21:K36" si="20">J20</f>
        <v>class0019</v>
      </c>
      <c r="K21" s="8" t="str">
        <f t="shared" si="20"/>
        <v>dailoneskill0019</v>
      </c>
      <c r="L21" s="5" t="str">
        <f t="shared" si="4"/>
        <v>lootName19,DAIL/items/materia/class0019/Warfare19.dbr,</v>
      </c>
      <c r="M21" s="5" t="str">
        <f t="shared" si="5"/>
        <v>lootWeight19,1,</v>
      </c>
      <c r="N21" t="str">
        <f t="shared" si="6"/>
        <v>1</v>
      </c>
      <c r="O21" t="str">
        <f t="shared" si="16"/>
        <v>copy .\dail_base.dbr .\items\materia\class0019\Warfare19.dbr /y</v>
      </c>
      <c r="P21" t="str">
        <f t="shared" si="7"/>
        <v>echo relicBitmap,items/craftingparts/components/component_a52_bristlyfur_b.tex, &gt;&gt; .\items\materia\class0019\Warfare19.dbr</v>
      </c>
      <c r="Q21" t="str">
        <f t="shared" si="7"/>
        <v>echo itemCost,300000, &gt;&gt; .\items\materia\class0019\Warfare19.dbr</v>
      </c>
      <c r="R21" t="str">
        <f t="shared" si="7"/>
        <v>echo description,dailCompDescWarfare19, &gt;&gt; .\items\materia\class0019\Warfare19.dbr</v>
      </c>
      <c r="S21" t="str">
        <f t="shared" si="7"/>
        <v>echo itemText,dailCompTextWarfare19, &gt;&gt; .\items\materia\class0019\Warfare19.dbr</v>
      </c>
      <c r="T21" t="str">
        <f t="shared" si="7"/>
        <v>echo augmentSkillLevel1,1, &gt;&gt; .\items\materia\class0019\Warfare19.dbr</v>
      </c>
      <c r="U21" t="str">
        <f t="shared" si="7"/>
        <v>echo augmentSkillName1,records/skillswarfare/warhorn.dbr,, &gt;&gt; .\items\materia\class0019\Warfare19.dbr</v>
      </c>
      <c r="V21" s="5" t="s">
        <v>36</v>
      </c>
      <c r="W21" t="str">
        <f t="shared" si="8"/>
        <v>echo lootName19,DAIL/items/materia/class0019/Warfare19.dbr, &gt;&gt; .\items\loottables\dailoneskill0019.dbr</v>
      </c>
      <c r="X21" t="str">
        <f t="shared" si="8"/>
        <v>echo lootWeight19,1, &gt;&gt; .\items\loottables\dailoneskill0019.dbr</v>
      </c>
      <c r="Y21" s="5" t="s">
        <v>36</v>
      </c>
      <c r="Z21" t="str">
        <f t="shared" si="9"/>
        <v xml:space="preserve"> dailCompDescWarfare19=^pWarfare's Gift of DAIL</v>
      </c>
      <c r="AA21" t="str">
        <f t="shared" si="17"/>
        <v>dailCompTextWarfare19=^oThis feels warm to the touch, almost familiar ^w(This component fits into all Jewellery slots including the Belt And Shoulder)</v>
      </c>
      <c r="AB21" s="5" t="s">
        <v>36</v>
      </c>
      <c r="AH21">
        <f t="shared" si="19"/>
        <v>16</v>
      </c>
      <c r="AI21">
        <f t="shared" si="13"/>
        <v>20</v>
      </c>
      <c r="AJ21">
        <f t="shared" si="18"/>
        <v>1</v>
      </c>
    </row>
    <row r="22" spans="1:36" x14ac:dyDescent="0.25">
      <c r="A22" s="5" t="s">
        <v>39</v>
      </c>
      <c r="B22" s="5" t="s">
        <v>28</v>
      </c>
      <c r="C22" s="5" t="str">
        <f t="shared" si="0"/>
        <v>description,dailCompDescWarfare20,</v>
      </c>
      <c r="D22" s="5" t="str">
        <f t="shared" si="2"/>
        <v>itemText,dailCompTextWarfare20,</v>
      </c>
      <c r="E22" s="5" t="str">
        <f t="shared" si="14"/>
        <v>augmentSkillLevel1,1,</v>
      </c>
      <c r="F22" s="5" t="str">
        <f t="shared" si="15"/>
        <v>augmentSkillName1,records/skillswarfare/warhorn_doomhorn.dbr,,</v>
      </c>
      <c r="G22" s="7">
        <f t="shared" si="10"/>
        <v>20</v>
      </c>
      <c r="H22" s="8" t="str">
        <f t="shared" si="11"/>
        <v>Warfare</v>
      </c>
      <c r="I22" s="3" t="s">
        <v>655</v>
      </c>
      <c r="J22" s="8" t="str">
        <f t="shared" si="20"/>
        <v>class0019</v>
      </c>
      <c r="K22" s="8" t="str">
        <f t="shared" si="20"/>
        <v>dailoneskill0019</v>
      </c>
      <c r="L22" s="5" t="str">
        <f t="shared" si="4"/>
        <v>lootName20,DAIL/items/materia/class0019/Warfare20.dbr,</v>
      </c>
      <c r="M22" s="5" t="str">
        <f t="shared" si="5"/>
        <v>lootWeight20,1,</v>
      </c>
      <c r="N22" t="str">
        <f t="shared" si="6"/>
        <v>1</v>
      </c>
      <c r="O22" t="str">
        <f t="shared" si="16"/>
        <v>copy .\dail_base.dbr .\items\materia\class0019\Warfare20.dbr /y</v>
      </c>
      <c r="P22" t="str">
        <f t="shared" si="7"/>
        <v>echo relicBitmap,items/craftingparts/components/component_a52_bristlyfur_b.tex, &gt;&gt; .\items\materia\class0019\Warfare20.dbr</v>
      </c>
      <c r="Q22" t="str">
        <f t="shared" si="7"/>
        <v>echo itemCost,300000, &gt;&gt; .\items\materia\class0019\Warfare20.dbr</v>
      </c>
      <c r="R22" t="str">
        <f t="shared" si="7"/>
        <v>echo description,dailCompDescWarfare20, &gt;&gt; .\items\materia\class0019\Warfare20.dbr</v>
      </c>
      <c r="S22" t="str">
        <f t="shared" si="7"/>
        <v>echo itemText,dailCompTextWarfare20, &gt;&gt; .\items\materia\class0019\Warfare20.dbr</v>
      </c>
      <c r="T22" t="str">
        <f t="shared" si="7"/>
        <v>echo augmentSkillLevel1,1, &gt;&gt; .\items\materia\class0019\Warfare20.dbr</v>
      </c>
      <c r="U22" t="str">
        <f t="shared" si="7"/>
        <v>echo augmentSkillName1,records/skillswarfare/warhorn_doomhorn.dbr,, &gt;&gt; .\items\materia\class0019\Warfare20.dbr</v>
      </c>
      <c r="V22" s="5" t="s">
        <v>36</v>
      </c>
      <c r="W22" t="str">
        <f t="shared" si="8"/>
        <v>echo lootName20,DAIL/items/materia/class0019/Warfare20.dbr, &gt;&gt; .\items\loottables\dailoneskill0019.dbr</v>
      </c>
      <c r="X22" t="str">
        <f t="shared" si="8"/>
        <v>echo lootWeight20,1, &gt;&gt; .\items\loottables\dailoneskill0019.dbr</v>
      </c>
      <c r="Y22" s="5" t="s">
        <v>36</v>
      </c>
      <c r="Z22" t="str">
        <f t="shared" si="9"/>
        <v xml:space="preserve"> dailCompDescWarfare20=^pWarfare's Gift of DAIL</v>
      </c>
      <c r="AA22" t="str">
        <f t="shared" si="17"/>
        <v>dailCompTextWarfare20=^oThis feels warm to the touch, almost familiar ^w(This component fits into all Jewellery slots including the Belt And Shoulder)</v>
      </c>
      <c r="AB22" s="5" t="s">
        <v>36</v>
      </c>
      <c r="AH22">
        <f t="shared" si="19"/>
        <v>17</v>
      </c>
      <c r="AI22">
        <f t="shared" si="13"/>
        <v>29</v>
      </c>
      <c r="AJ22">
        <f t="shared" si="18"/>
        <v>1</v>
      </c>
    </row>
    <row r="23" spans="1:36" x14ac:dyDescent="0.25">
      <c r="A23" s="5" t="s">
        <v>39</v>
      </c>
      <c r="B23" s="5" t="s">
        <v>28</v>
      </c>
      <c r="C23" s="5" t="str">
        <f t="shared" si="0"/>
        <v>description,dailCompDescWarfare21,</v>
      </c>
      <c r="D23" s="5" t="str">
        <f t="shared" si="2"/>
        <v>itemText,dailCompTextWarfare21,</v>
      </c>
      <c r="E23" s="5" t="str">
        <f t="shared" si="14"/>
        <v>augmentSkillLevel1,1,</v>
      </c>
      <c r="F23" s="5" t="str">
        <f t="shared" si="15"/>
        <v>augmentSkillName1,records/skillswarfare/ancestralhorn.dbr,,</v>
      </c>
      <c r="G23" s="7">
        <f t="shared" si="10"/>
        <v>21</v>
      </c>
      <c r="H23" s="8" t="str">
        <f t="shared" si="11"/>
        <v>Warfare</v>
      </c>
      <c r="I23" s="3" t="s">
        <v>656</v>
      </c>
      <c r="J23" s="8" t="str">
        <f t="shared" si="20"/>
        <v>class0019</v>
      </c>
      <c r="K23" s="8" t="str">
        <f t="shared" si="20"/>
        <v>dailoneskill0019</v>
      </c>
      <c r="L23" s="5" t="str">
        <f t="shared" si="4"/>
        <v>lootName21,DAIL/items/materia/class0019/Warfare21.dbr,</v>
      </c>
      <c r="M23" s="5" t="str">
        <f t="shared" si="5"/>
        <v>lootWeight21,1,</v>
      </c>
      <c r="N23" t="str">
        <f t="shared" si="6"/>
        <v>1</v>
      </c>
      <c r="O23" t="str">
        <f t="shared" si="16"/>
        <v>copy .\dail_base.dbr .\items\materia\class0019\Warfare21.dbr /y</v>
      </c>
      <c r="P23" t="str">
        <f t="shared" si="7"/>
        <v>echo relicBitmap,items/craftingparts/components/component_a52_bristlyfur_b.tex, &gt;&gt; .\items\materia\class0019\Warfare21.dbr</v>
      </c>
      <c r="Q23" t="str">
        <f t="shared" si="7"/>
        <v>echo itemCost,300000, &gt;&gt; .\items\materia\class0019\Warfare21.dbr</v>
      </c>
      <c r="R23" t="str">
        <f t="shared" si="7"/>
        <v>echo description,dailCompDescWarfare21, &gt;&gt; .\items\materia\class0019\Warfare21.dbr</v>
      </c>
      <c r="S23" t="str">
        <f t="shared" si="7"/>
        <v>echo itemText,dailCompTextWarfare21, &gt;&gt; .\items\materia\class0019\Warfare21.dbr</v>
      </c>
      <c r="T23" t="str">
        <f t="shared" si="7"/>
        <v>echo augmentSkillLevel1,1, &gt;&gt; .\items\materia\class0019\Warfare21.dbr</v>
      </c>
      <c r="U23" t="str">
        <f t="shared" si="7"/>
        <v>echo augmentSkillName1,records/skillswarfare/ancestralhorn.dbr,, &gt;&gt; .\items\materia\class0019\Warfare21.dbr</v>
      </c>
      <c r="V23" s="5" t="s">
        <v>36</v>
      </c>
      <c r="W23" t="str">
        <f t="shared" si="8"/>
        <v>echo lootName21,DAIL/items/materia/class0019/Warfare21.dbr, &gt;&gt; .\items\loottables\dailoneskill0019.dbr</v>
      </c>
      <c r="X23" t="str">
        <f t="shared" si="8"/>
        <v>echo lootWeight21,1, &gt;&gt; .\items\loottables\dailoneskill0019.dbr</v>
      </c>
      <c r="Y23" s="5" t="s">
        <v>36</v>
      </c>
      <c r="Z23" t="str">
        <f t="shared" si="9"/>
        <v xml:space="preserve"> dailCompDescWarfare21=^pWarfare's Gift of DAIL</v>
      </c>
      <c r="AA23" t="str">
        <f t="shared" si="17"/>
        <v>dailCompTextWarfare21=^oThis feels warm to the touch, almost familiar ^w(This component fits into all Jewellery slots including the Belt And Shoulder)</v>
      </c>
      <c r="AB23" s="5" t="s">
        <v>36</v>
      </c>
      <c r="AH23">
        <f t="shared" si="19"/>
        <v>18</v>
      </c>
      <c r="AI23">
        <f t="shared" si="13"/>
        <v>26</v>
      </c>
      <c r="AJ23">
        <f t="shared" si="18"/>
        <v>1</v>
      </c>
    </row>
    <row r="24" spans="1:36" x14ac:dyDescent="0.25">
      <c r="A24" s="5" t="s">
        <v>39</v>
      </c>
      <c r="B24" s="5" t="s">
        <v>28</v>
      </c>
      <c r="C24" s="5" t="str">
        <f t="shared" si="0"/>
        <v>description,dailCompDescWarfare22,</v>
      </c>
      <c r="D24" s="5" t="str">
        <f t="shared" si="2"/>
        <v>itemText,dailCompTextWarfare22,</v>
      </c>
      <c r="E24" s="5" t="str">
        <f t="shared" si="14"/>
        <v>augmentSkillLevel1,1,</v>
      </c>
      <c r="F24" s="5" t="str">
        <f t="shared" si="15"/>
        <v>augmentSkillName1,records/skillswarfare/battlestandard.dbr,,</v>
      </c>
      <c r="G24" s="7">
        <f t="shared" si="10"/>
        <v>22</v>
      </c>
      <c r="H24" s="8" t="str">
        <f t="shared" si="11"/>
        <v>Warfare</v>
      </c>
      <c r="I24" s="3" t="s">
        <v>657</v>
      </c>
      <c r="J24" s="8" t="str">
        <f t="shared" si="20"/>
        <v>class0019</v>
      </c>
      <c r="K24" s="8" t="str">
        <f t="shared" si="20"/>
        <v>dailoneskill0019</v>
      </c>
      <c r="L24" s="5" t="str">
        <f t="shared" si="4"/>
        <v>lootName22,DAIL/items/materia/class0019/Warfare22.dbr,</v>
      </c>
      <c r="M24" s="5" t="str">
        <f t="shared" si="5"/>
        <v>lootWeight22,1,</v>
      </c>
      <c r="N24" t="str">
        <f t="shared" si="6"/>
        <v>1</v>
      </c>
      <c r="O24" t="str">
        <f t="shared" si="16"/>
        <v>copy .\dail_base.dbr .\items\materia\class0019\Warfare22.dbr /y</v>
      </c>
      <c r="P24" t="str">
        <f t="shared" si="7"/>
        <v>echo relicBitmap,items/craftingparts/components/component_a52_bristlyfur_b.tex, &gt;&gt; .\items\materia\class0019\Warfare22.dbr</v>
      </c>
      <c r="Q24" t="str">
        <f t="shared" si="7"/>
        <v>echo itemCost,300000, &gt;&gt; .\items\materia\class0019\Warfare22.dbr</v>
      </c>
      <c r="R24" t="str">
        <f t="shared" si="7"/>
        <v>echo description,dailCompDescWarfare22, &gt;&gt; .\items\materia\class0019\Warfare22.dbr</v>
      </c>
      <c r="S24" t="str">
        <f t="shared" si="7"/>
        <v>echo itemText,dailCompTextWarfare22, &gt;&gt; .\items\materia\class0019\Warfare22.dbr</v>
      </c>
      <c r="T24" t="str">
        <f t="shared" si="7"/>
        <v>echo augmentSkillLevel1,1, &gt;&gt; .\items\materia\class0019\Warfare22.dbr</v>
      </c>
      <c r="U24" t="str">
        <f t="shared" si="7"/>
        <v>echo augmentSkillName1,records/skillswarfare/battlestandard.dbr,, &gt;&gt; .\items\materia\class0019\Warfare22.dbr</v>
      </c>
      <c r="V24" s="5" t="s">
        <v>36</v>
      </c>
      <c r="W24" t="str">
        <f t="shared" si="8"/>
        <v>echo lootName22,DAIL/items/materia/class0019/Warfare22.dbr, &gt;&gt; .\items\loottables\dailoneskill0019.dbr</v>
      </c>
      <c r="X24" t="str">
        <f t="shared" si="8"/>
        <v>echo lootWeight22,1, &gt;&gt; .\items\loottables\dailoneskill0019.dbr</v>
      </c>
      <c r="Y24" s="5" t="s">
        <v>36</v>
      </c>
      <c r="Z24" t="str">
        <f t="shared" si="9"/>
        <v xml:space="preserve"> dailCompDescWarfare22=^pWarfare's Gift of DAIL</v>
      </c>
      <c r="AA24" t="str">
        <f t="shared" si="17"/>
        <v>dailCompTextWarfare22=^oThis feels warm to the touch, almost familiar ^w(This component fits into all Jewellery slots including the Belt And Shoulder)</v>
      </c>
      <c r="AB24" s="5" t="s">
        <v>36</v>
      </c>
      <c r="AH24">
        <f t="shared" si="19"/>
        <v>19</v>
      </c>
      <c r="AI24">
        <f t="shared" si="13"/>
        <v>27</v>
      </c>
      <c r="AJ24">
        <f t="shared" si="18"/>
        <v>1</v>
      </c>
    </row>
    <row r="25" spans="1:36" x14ac:dyDescent="0.25">
      <c r="A25" s="5" t="s">
        <v>39</v>
      </c>
      <c r="B25" s="5" t="s">
        <v>28</v>
      </c>
      <c r="C25" s="5" t="str">
        <f t="shared" si="0"/>
        <v>description,dailCompDescWarfare23,</v>
      </c>
      <c r="D25" s="5" t="str">
        <f t="shared" si="2"/>
        <v>itemText,dailCompTextWarfare23,</v>
      </c>
      <c r="E25" s="5" t="str">
        <f t="shared" si="14"/>
        <v>augmentSkillLevel1,3,</v>
      </c>
      <c r="F25" s="5" t="str">
        <f t="shared" si="15"/>
        <v>augmentSkillName1,records/skillswarfare/battlestandard_petmodifier_triumph.dbr,,</v>
      </c>
      <c r="G25" s="7">
        <f t="shared" si="10"/>
        <v>23</v>
      </c>
      <c r="H25" s="8" t="str">
        <f t="shared" si="11"/>
        <v>Warfare</v>
      </c>
      <c r="I25" s="3" t="s">
        <v>658</v>
      </c>
      <c r="J25" s="8" t="str">
        <f t="shared" si="20"/>
        <v>class0019</v>
      </c>
      <c r="K25" s="8" t="str">
        <f t="shared" si="20"/>
        <v>dailoneskill0019</v>
      </c>
      <c r="L25" s="5" t="str">
        <f t="shared" si="4"/>
        <v>lootName23,DAIL/items/materia/class0019/Warfare23.dbr,</v>
      </c>
      <c r="M25" s="5" t="str">
        <f t="shared" si="5"/>
        <v>lootWeight23,1,</v>
      </c>
      <c r="N25" t="str">
        <f t="shared" si="6"/>
        <v>3</v>
      </c>
      <c r="O25" t="str">
        <f t="shared" si="16"/>
        <v>copy .\dail_base3.dbr .\items\materia\class0019\Warfare23.dbr /y</v>
      </c>
      <c r="P25" t="str">
        <f t="shared" si="7"/>
        <v>echo relicBitmap,items/craftingparts/components/component_a52_bristlyfur_b.tex, &gt;&gt; .\items\materia\class0019\Warfare23.dbr</v>
      </c>
      <c r="Q25" t="str">
        <f t="shared" si="7"/>
        <v>echo itemCost,300000, &gt;&gt; .\items\materia\class0019\Warfare23.dbr</v>
      </c>
      <c r="R25" t="str">
        <f t="shared" si="7"/>
        <v>echo description,dailCompDescWarfare23, &gt;&gt; .\items\materia\class0019\Warfare23.dbr</v>
      </c>
      <c r="S25" t="str">
        <f t="shared" si="7"/>
        <v>echo itemText,dailCompTextWarfare23, &gt;&gt; .\items\materia\class0019\Warfare23.dbr</v>
      </c>
      <c r="T25" t="str">
        <f t="shared" si="7"/>
        <v>echo augmentSkillLevel1,3, &gt;&gt; .\items\materia\class0019\Warfare23.dbr</v>
      </c>
      <c r="U25" t="str">
        <f t="shared" si="7"/>
        <v>echo augmentSkillName1,records/skillswarfare/battlestandard_petmodifier_triumph.dbr,, &gt;&gt; .\items\materia\class0019\Warfare23.dbr</v>
      </c>
      <c r="V25" s="5" t="s">
        <v>36</v>
      </c>
      <c r="W25" t="str">
        <f t="shared" si="8"/>
        <v>echo lootName23,DAIL/items/materia/class0019/Warfare23.dbr, &gt;&gt; .\items\loottables\dailoneskill0019.dbr</v>
      </c>
      <c r="X25" t="str">
        <f t="shared" si="8"/>
        <v>echo lootWeight23,1, &gt;&gt; .\items\loottables\dailoneskill0019.dbr</v>
      </c>
      <c r="Y25" s="5" t="s">
        <v>36</v>
      </c>
      <c r="Z25" t="str">
        <f t="shared" si="9"/>
        <v xml:space="preserve"> dailCompDescWarfare23=^pWarfare's Gift of DAIL</v>
      </c>
      <c r="AA25" t="str">
        <f t="shared" si="17"/>
        <v>dailCompTextWarfare23=^oThis feels warm to the touch, almost familiar ^w(This component only fits into the Medal Slot)</v>
      </c>
      <c r="AB25" s="5" t="s">
        <v>36</v>
      </c>
      <c r="AH25">
        <f t="shared" si="19"/>
        <v>20</v>
      </c>
      <c r="AI25">
        <f t="shared" si="13"/>
        <v>47</v>
      </c>
      <c r="AJ25">
        <f t="shared" si="18"/>
        <v>3</v>
      </c>
    </row>
    <row r="26" spans="1:36" x14ac:dyDescent="0.25">
      <c r="A26" s="5" t="s">
        <v>39</v>
      </c>
      <c r="B26" s="5" t="s">
        <v>28</v>
      </c>
      <c r="C26" s="5" t="str">
        <f t="shared" si="0"/>
        <v>description,dailCompDescWarfare24,</v>
      </c>
      <c r="D26" s="5" t="str">
        <f t="shared" si="2"/>
        <v>itemText,dailCompTextWarfare24,</v>
      </c>
      <c r="E26" s="5" t="str">
        <f t="shared" si="14"/>
        <v>augmentSkillLevel1,3,</v>
      </c>
      <c r="F26" s="5" t="str">
        <f t="shared" si="15"/>
        <v>augmentSkillName1,records/skillswarfare/weapontraining.dbr,,</v>
      </c>
      <c r="G26" s="7">
        <f t="shared" si="10"/>
        <v>24</v>
      </c>
      <c r="H26" s="8" t="str">
        <f t="shared" si="11"/>
        <v>Warfare</v>
      </c>
      <c r="I26" s="3" t="s">
        <v>639</v>
      </c>
      <c r="J26" s="8" t="str">
        <f t="shared" si="20"/>
        <v>class0019</v>
      </c>
      <c r="K26" s="8" t="str">
        <f t="shared" si="20"/>
        <v>dailoneskill0019</v>
      </c>
      <c r="L26" s="5" t="str">
        <f t="shared" si="4"/>
        <v>lootName24,DAIL/items/materia/class0019/Warfare24.dbr,</v>
      </c>
      <c r="M26" s="5" t="str">
        <f t="shared" si="5"/>
        <v>lootWeight24,1,</v>
      </c>
      <c r="N26" t="str">
        <f t="shared" si="6"/>
        <v>3</v>
      </c>
      <c r="O26" t="str">
        <f t="shared" si="16"/>
        <v>copy .\dail_base3.dbr .\items\materia\class0019\Warfare24.dbr /y</v>
      </c>
      <c r="P26" t="str">
        <f t="shared" si="7"/>
        <v>echo relicBitmap,items/craftingparts/components/component_a52_bristlyfur_b.tex, &gt;&gt; .\items\materia\class0019\Warfare24.dbr</v>
      </c>
      <c r="Q26" t="str">
        <f t="shared" si="7"/>
        <v>echo itemCost,300000, &gt;&gt; .\items\materia\class0019\Warfare24.dbr</v>
      </c>
      <c r="R26" t="str">
        <f t="shared" si="7"/>
        <v>echo description,dailCompDescWarfare24, &gt;&gt; .\items\materia\class0019\Warfare24.dbr</v>
      </c>
      <c r="S26" t="str">
        <f t="shared" si="7"/>
        <v>echo itemText,dailCompTextWarfare24, &gt;&gt; .\items\materia\class0019\Warfare24.dbr</v>
      </c>
      <c r="T26" t="str">
        <f t="shared" si="7"/>
        <v>echo augmentSkillLevel1,3, &gt;&gt; .\items\materia\class0019\Warfare24.dbr</v>
      </c>
      <c r="U26" t="str">
        <f t="shared" si="7"/>
        <v>echo augmentSkillName1,records/skillswarfare/weapontraining.dbr,, &gt;&gt; .\items\materia\class0019\Warfare24.dbr</v>
      </c>
      <c r="V26" s="5" t="s">
        <v>36</v>
      </c>
      <c r="W26" t="str">
        <f t="shared" si="8"/>
        <v>echo lootName24,DAIL/items/materia/class0019/Warfare24.dbr, &gt;&gt; .\items\loottables\dailoneskill0019.dbr</v>
      </c>
      <c r="X26" t="str">
        <f t="shared" si="8"/>
        <v>echo lootWeight24,1, &gt;&gt; .\items\loottables\dailoneskill0019.dbr</v>
      </c>
      <c r="Y26" s="5" t="s">
        <v>36</v>
      </c>
      <c r="Z26" t="str">
        <f t="shared" si="9"/>
        <v xml:space="preserve"> dailCompDescWarfare24=^pWarfare's Gift of DAIL</v>
      </c>
      <c r="AA26" t="str">
        <f t="shared" si="17"/>
        <v>dailCompTextWarfare24=^oThis feels warm to the touch, almost familiar ^w(This component only fits into the Medal Slot)</v>
      </c>
      <c r="AB26" s="5" t="s">
        <v>36</v>
      </c>
      <c r="AH26">
        <f t="shared" si="19"/>
        <v>21</v>
      </c>
      <c r="AI26">
        <f t="shared" si="13"/>
        <v>27</v>
      </c>
      <c r="AJ26">
        <f t="shared" si="18"/>
        <v>3</v>
      </c>
    </row>
    <row r="27" spans="1:36" x14ac:dyDescent="0.25">
      <c r="A27" s="5" t="s">
        <v>39</v>
      </c>
      <c r="B27" s="5" t="s">
        <v>28</v>
      </c>
      <c r="C27" s="5" t="str">
        <f t="shared" si="0"/>
        <v>description,dailCompDescWarfare25,</v>
      </c>
      <c r="D27" s="5" t="str">
        <f t="shared" si="2"/>
        <v>itemText,dailCompTextWarfare25,</v>
      </c>
      <c r="E27" s="5" t="str">
        <f t="shared" si="14"/>
        <v>augmentSkillLevel1,3,</v>
      </c>
      <c r="F27" s="5" t="str">
        <f t="shared" si="15"/>
        <v>augmentSkillName1,records/skillswarfare/warwind.dbr,,</v>
      </c>
      <c r="G27" s="7">
        <f t="shared" si="10"/>
        <v>25</v>
      </c>
      <c r="H27" s="8" t="str">
        <f t="shared" si="11"/>
        <v>Warfare</v>
      </c>
      <c r="I27" s="3" t="s">
        <v>640</v>
      </c>
      <c r="J27" s="8" t="str">
        <f t="shared" si="20"/>
        <v>class0019</v>
      </c>
      <c r="K27" s="8" t="str">
        <f t="shared" si="20"/>
        <v>dailoneskill0019</v>
      </c>
      <c r="L27" s="5" t="str">
        <f t="shared" si="4"/>
        <v>lootName25,DAIL/items/materia/class0019/Warfare25.dbr,</v>
      </c>
      <c r="M27" s="5" t="str">
        <f t="shared" si="5"/>
        <v>lootWeight25,1,</v>
      </c>
      <c r="N27" t="str">
        <f t="shared" si="6"/>
        <v>3</v>
      </c>
      <c r="O27" t="str">
        <f t="shared" si="16"/>
        <v>copy .\dail_base3.dbr .\items\materia\class0019\Warfare25.dbr /y</v>
      </c>
      <c r="P27" t="str">
        <f t="shared" si="7"/>
        <v>echo relicBitmap,items/craftingparts/components/component_a52_bristlyfur_b.tex, &gt;&gt; .\items\materia\class0019\Warfare25.dbr</v>
      </c>
      <c r="Q27" t="str">
        <f t="shared" si="7"/>
        <v>echo itemCost,300000, &gt;&gt; .\items\materia\class0019\Warfare25.dbr</v>
      </c>
      <c r="R27" t="str">
        <f t="shared" si="7"/>
        <v>echo description,dailCompDescWarfare25, &gt;&gt; .\items\materia\class0019\Warfare25.dbr</v>
      </c>
      <c r="S27" t="str">
        <f t="shared" si="7"/>
        <v>echo itemText,dailCompTextWarfare25, &gt;&gt; .\items\materia\class0019\Warfare25.dbr</v>
      </c>
      <c r="T27" t="str">
        <f t="shared" si="7"/>
        <v>echo augmentSkillLevel1,3, &gt;&gt; .\items\materia\class0019\Warfare25.dbr</v>
      </c>
      <c r="U27" t="str">
        <f t="shared" si="7"/>
        <v>echo augmentSkillName1,records/skillswarfare/warwind.dbr,, &gt;&gt; .\items\materia\class0019\Warfare25.dbr</v>
      </c>
      <c r="V27" s="5" t="s">
        <v>36</v>
      </c>
      <c r="W27" t="str">
        <f t="shared" si="8"/>
        <v>echo lootName25,DAIL/items/materia/class0019/Warfare25.dbr, &gt;&gt; .\items\loottables\dailoneskill0019.dbr</v>
      </c>
      <c r="X27" t="str">
        <f t="shared" si="8"/>
        <v>echo lootWeight25,1, &gt;&gt; .\items\loottables\dailoneskill0019.dbr</v>
      </c>
      <c r="Y27" s="5" t="s">
        <v>36</v>
      </c>
      <c r="Z27" t="str">
        <f t="shared" si="9"/>
        <v xml:space="preserve"> dailCompDescWarfare25=^pWarfare's Gift of DAIL</v>
      </c>
      <c r="AA27" t="str">
        <f t="shared" si="17"/>
        <v>dailCompTextWarfare25=^oThis feels warm to the touch, almost familiar ^w(This component only fits into the Medal Slot)</v>
      </c>
      <c r="AB27" s="5" t="s">
        <v>36</v>
      </c>
      <c r="AH27">
        <f t="shared" si="19"/>
        <v>22</v>
      </c>
      <c r="AI27">
        <f t="shared" si="13"/>
        <v>20</v>
      </c>
      <c r="AJ27">
        <f t="shared" si="18"/>
        <v>3</v>
      </c>
    </row>
    <row r="28" spans="1:36" x14ac:dyDescent="0.25">
      <c r="A28" s="5" t="s">
        <v>39</v>
      </c>
      <c r="B28" s="5" t="s">
        <v>28</v>
      </c>
      <c r="C28" s="5" t="str">
        <f t="shared" si="0"/>
        <v>description,dailCompDescWarfare26,</v>
      </c>
      <c r="D28" s="5" t="str">
        <f t="shared" si="2"/>
        <v>itemText,dailCompTextWarfare26,</v>
      </c>
      <c r="E28" s="5" t="str">
        <f t="shared" si="14"/>
        <v>augmentSkillLevel1,3,</v>
      </c>
      <c r="F28" s="5" t="str">
        <f t="shared" si="15"/>
        <v>augmentSkillName1,records/skillswarfare/warwind_lacerate.dbr,,</v>
      </c>
      <c r="G28" s="7">
        <f t="shared" si="10"/>
        <v>26</v>
      </c>
      <c r="H28" s="8" t="str">
        <f t="shared" si="11"/>
        <v>Warfare</v>
      </c>
      <c r="I28" s="3" t="s">
        <v>641</v>
      </c>
      <c r="J28" s="8" t="str">
        <f t="shared" si="20"/>
        <v>class0019</v>
      </c>
      <c r="K28" s="8" t="str">
        <f t="shared" si="20"/>
        <v>dailoneskill0019</v>
      </c>
      <c r="L28" s="5" t="str">
        <f t="shared" si="4"/>
        <v>lootName26,DAIL/items/materia/class0019/Warfare26.dbr,</v>
      </c>
      <c r="M28" s="5" t="str">
        <f t="shared" si="5"/>
        <v>lootWeight26,1,</v>
      </c>
      <c r="N28" t="str">
        <f t="shared" si="6"/>
        <v>3</v>
      </c>
      <c r="O28" t="str">
        <f t="shared" si="16"/>
        <v>copy .\dail_base3.dbr .\items\materia\class0019\Warfare26.dbr /y</v>
      </c>
      <c r="P28" t="str">
        <f t="shared" si="7"/>
        <v>echo relicBitmap,items/craftingparts/components/component_a52_bristlyfur_b.tex, &gt;&gt; .\items\materia\class0019\Warfare26.dbr</v>
      </c>
      <c r="Q28" t="str">
        <f t="shared" si="7"/>
        <v>echo itemCost,300000, &gt;&gt; .\items\materia\class0019\Warfare26.dbr</v>
      </c>
      <c r="R28" t="str">
        <f t="shared" si="7"/>
        <v>echo description,dailCompDescWarfare26, &gt;&gt; .\items\materia\class0019\Warfare26.dbr</v>
      </c>
      <c r="S28" t="str">
        <f t="shared" si="7"/>
        <v>echo itemText,dailCompTextWarfare26, &gt;&gt; .\items\materia\class0019\Warfare26.dbr</v>
      </c>
      <c r="T28" t="str">
        <f t="shared" si="7"/>
        <v>echo augmentSkillLevel1,3, &gt;&gt; .\items\materia\class0019\Warfare26.dbr</v>
      </c>
      <c r="U28" t="str">
        <f t="shared" si="7"/>
        <v>echo augmentSkillName1,records/skillswarfare/warwind_lacerate.dbr,, &gt;&gt; .\items\materia\class0019\Warfare26.dbr</v>
      </c>
      <c r="V28" s="5" t="s">
        <v>36</v>
      </c>
      <c r="W28" t="str">
        <f t="shared" si="8"/>
        <v>echo lootName26,DAIL/items/materia/class0019/Warfare26.dbr, &gt;&gt; .\items\loottables\dailoneskill0019.dbr</v>
      </c>
      <c r="X28" t="str">
        <f t="shared" si="8"/>
        <v>echo lootWeight26,1, &gt;&gt; .\items\loottables\dailoneskill0019.dbr</v>
      </c>
      <c r="Y28" s="5" t="s">
        <v>36</v>
      </c>
      <c r="Z28" t="str">
        <f t="shared" si="9"/>
        <v xml:space="preserve"> dailCompDescWarfare26=^pWarfare's Gift of DAIL</v>
      </c>
      <c r="AA28" t="str">
        <f t="shared" si="17"/>
        <v>dailCompTextWarfare26=^oThis feels warm to the touch, almost familiar ^w(This component only fits into the Medal Slot)</v>
      </c>
      <c r="AB28" s="5" t="s">
        <v>36</v>
      </c>
      <c r="AH28">
        <f t="shared" si="19"/>
        <v>23</v>
      </c>
      <c r="AI28">
        <f t="shared" si="13"/>
        <v>29</v>
      </c>
      <c r="AJ28">
        <f t="shared" si="18"/>
        <v>3</v>
      </c>
    </row>
    <row r="29" spans="1:36" x14ac:dyDescent="0.25">
      <c r="A29" s="5" t="s">
        <v>39</v>
      </c>
      <c r="B29" s="5" t="s">
        <v>28</v>
      </c>
      <c r="C29" s="5" t="str">
        <f t="shared" si="0"/>
        <v>description,dailCompDescWarfare27,</v>
      </c>
      <c r="D29" s="5" t="str">
        <f t="shared" si="2"/>
        <v>itemText,dailCompTextWarfare27,</v>
      </c>
      <c r="E29" s="5" t="str">
        <f t="shared" si="14"/>
        <v>augmentSkillLevel1,3,</v>
      </c>
      <c r="F29" s="5" t="str">
        <f t="shared" si="15"/>
        <v>augmentSkillName1,records/skillswarfare/dodge attack.dbr,,</v>
      </c>
      <c r="G29" s="7">
        <f t="shared" si="10"/>
        <v>27</v>
      </c>
      <c r="H29" s="8" t="str">
        <f t="shared" si="11"/>
        <v>Warfare</v>
      </c>
      <c r="I29" s="3" t="s">
        <v>642</v>
      </c>
      <c r="J29" s="8" t="str">
        <f t="shared" si="20"/>
        <v>class0019</v>
      </c>
      <c r="K29" s="8" t="str">
        <f t="shared" si="20"/>
        <v>dailoneskill0019</v>
      </c>
      <c r="L29" s="5" t="str">
        <f t="shared" si="4"/>
        <v>lootName27,DAIL/items/materia/class0019/Warfare27.dbr,</v>
      </c>
      <c r="M29" s="5" t="str">
        <f t="shared" si="5"/>
        <v>lootWeight27,1,</v>
      </c>
      <c r="N29" t="str">
        <f t="shared" si="6"/>
        <v>3</v>
      </c>
      <c r="O29" t="str">
        <f t="shared" si="16"/>
        <v>copy .\dail_base3.dbr .\items\materia\class0019\Warfare27.dbr /y</v>
      </c>
      <c r="P29" t="str">
        <f t="shared" si="7"/>
        <v>echo relicBitmap,items/craftingparts/components/component_a52_bristlyfur_b.tex, &gt;&gt; .\items\materia\class0019\Warfare27.dbr</v>
      </c>
      <c r="Q29" t="str">
        <f t="shared" si="7"/>
        <v>echo itemCost,300000, &gt;&gt; .\items\materia\class0019\Warfare27.dbr</v>
      </c>
      <c r="R29" t="str">
        <f t="shared" si="7"/>
        <v>echo description,dailCompDescWarfare27, &gt;&gt; .\items\materia\class0019\Warfare27.dbr</v>
      </c>
      <c r="S29" t="str">
        <f t="shared" si="7"/>
        <v>echo itemText,dailCompTextWarfare27, &gt;&gt; .\items\materia\class0019\Warfare27.dbr</v>
      </c>
      <c r="T29" t="str">
        <f t="shared" si="7"/>
        <v>echo augmentSkillLevel1,3, &gt;&gt; .\items\materia\class0019\Warfare27.dbr</v>
      </c>
      <c r="U29" t="str">
        <f t="shared" si="7"/>
        <v>echo augmentSkillName1,records/skillswarfare/dodge attack.dbr,, &gt;&gt; .\items\materia\class0019\Warfare27.dbr</v>
      </c>
      <c r="V29" s="5" t="s">
        <v>36</v>
      </c>
      <c r="W29" t="str">
        <f t="shared" si="8"/>
        <v>echo lootName27,DAIL/items/materia/class0019/Warfare27.dbr, &gt;&gt; .\items\loottables\dailoneskill0019.dbr</v>
      </c>
      <c r="X29" t="str">
        <f t="shared" si="8"/>
        <v>echo lootWeight27,1, &gt;&gt; .\items\loottables\dailoneskill0019.dbr</v>
      </c>
      <c r="Y29" s="5" t="s">
        <v>36</v>
      </c>
      <c r="Z29" t="str">
        <f t="shared" si="9"/>
        <v xml:space="preserve"> dailCompDescWarfare27=^pWarfare's Gift of DAIL</v>
      </c>
      <c r="AA29" t="str">
        <f t="shared" si="17"/>
        <v>dailCompTextWarfare27=^oThis feels warm to the touch, almost familiar ^w(This component only fits into the Medal Slot)</v>
      </c>
      <c r="AB29" s="5" t="s">
        <v>36</v>
      </c>
      <c r="AH29">
        <f t="shared" si="19"/>
        <v>24</v>
      </c>
      <c r="AI29">
        <f t="shared" si="13"/>
        <v>25</v>
      </c>
      <c r="AJ29">
        <f t="shared" si="18"/>
        <v>3</v>
      </c>
    </row>
    <row r="30" spans="1:36" x14ac:dyDescent="0.25">
      <c r="A30" s="5" t="s">
        <v>39</v>
      </c>
      <c r="B30" s="5" t="s">
        <v>28</v>
      </c>
      <c r="C30" s="5" t="str">
        <f t="shared" si="0"/>
        <v>description,dailCompDescWarfare28,</v>
      </c>
      <c r="D30" s="5" t="str">
        <f t="shared" si="2"/>
        <v>itemText,dailCompTextWarfare28,</v>
      </c>
      <c r="E30" s="5" t="str">
        <f t="shared" si="14"/>
        <v>augmentSkillLevel1,3,</v>
      </c>
      <c r="F30" s="5" t="str">
        <f t="shared" si="15"/>
        <v>augmentSkillName1,records/skillswarfare/dualweapontraining.dbr,,</v>
      </c>
      <c r="G30" s="7">
        <f t="shared" si="10"/>
        <v>28</v>
      </c>
      <c r="H30" s="8" t="str">
        <f t="shared" si="11"/>
        <v>Warfare</v>
      </c>
      <c r="I30" s="3" t="s">
        <v>643</v>
      </c>
      <c r="J30" s="8" t="str">
        <f t="shared" si="20"/>
        <v>class0019</v>
      </c>
      <c r="K30" s="8" t="str">
        <f t="shared" si="20"/>
        <v>dailoneskill0019</v>
      </c>
      <c r="L30" s="5" t="str">
        <f t="shared" si="4"/>
        <v>lootName28,DAIL/items/materia/class0019/Warfare28.dbr,</v>
      </c>
      <c r="M30" s="5" t="str">
        <f t="shared" si="5"/>
        <v>lootWeight28,1,</v>
      </c>
      <c r="N30" t="str">
        <f t="shared" si="6"/>
        <v>3</v>
      </c>
      <c r="O30" t="str">
        <f t="shared" si="16"/>
        <v>copy .\dail_base3.dbr .\items\materia\class0019\Warfare28.dbr /y</v>
      </c>
      <c r="P30" t="str">
        <f t="shared" si="7"/>
        <v>echo relicBitmap,items/craftingparts/components/component_a52_bristlyfur_b.tex, &gt;&gt; .\items\materia\class0019\Warfare28.dbr</v>
      </c>
      <c r="Q30" t="str">
        <f t="shared" si="7"/>
        <v>echo itemCost,300000, &gt;&gt; .\items\materia\class0019\Warfare28.dbr</v>
      </c>
      <c r="R30" t="str">
        <f t="shared" si="7"/>
        <v>echo description,dailCompDescWarfare28, &gt;&gt; .\items\materia\class0019\Warfare28.dbr</v>
      </c>
      <c r="S30" t="str">
        <f t="shared" si="7"/>
        <v>echo itemText,dailCompTextWarfare28, &gt;&gt; .\items\materia\class0019\Warfare28.dbr</v>
      </c>
      <c r="T30" t="str">
        <f t="shared" si="7"/>
        <v>echo augmentSkillLevel1,3, &gt;&gt; .\items\materia\class0019\Warfare28.dbr</v>
      </c>
      <c r="U30" t="str">
        <f t="shared" si="7"/>
        <v>echo augmentSkillName1,records/skillswarfare/dualweapontraining.dbr,, &gt;&gt; .\items\materia\class0019\Warfare28.dbr</v>
      </c>
      <c r="V30" s="5" t="s">
        <v>36</v>
      </c>
      <c r="W30" t="str">
        <f t="shared" si="8"/>
        <v>echo lootName28,DAIL/items/materia/class0019/Warfare28.dbr, &gt;&gt; .\items\loottables\dailoneskill0019.dbr</v>
      </c>
      <c r="X30" t="str">
        <f t="shared" si="8"/>
        <v>echo lootWeight28,1, &gt;&gt; .\items\loottables\dailoneskill0019.dbr</v>
      </c>
      <c r="Y30" s="5" t="s">
        <v>36</v>
      </c>
      <c r="Z30" t="str">
        <f t="shared" si="9"/>
        <v xml:space="preserve"> dailCompDescWarfare28=^pWarfare's Gift of DAIL</v>
      </c>
      <c r="AA30" t="str">
        <f t="shared" si="17"/>
        <v>dailCompTextWarfare28=^oThis feels warm to the touch, almost familiar ^w(This component only fits into the Medal Slot)</v>
      </c>
      <c r="AB30" s="5" t="s">
        <v>36</v>
      </c>
      <c r="AH30">
        <f t="shared" si="19"/>
        <v>25</v>
      </c>
      <c r="AI30">
        <f t="shared" si="13"/>
        <v>31</v>
      </c>
      <c r="AJ30">
        <f t="shared" si="18"/>
        <v>3</v>
      </c>
    </row>
    <row r="31" spans="1:36" x14ac:dyDescent="0.25">
      <c r="A31" s="5" t="s">
        <v>39</v>
      </c>
      <c r="B31" s="5" t="s">
        <v>28</v>
      </c>
      <c r="C31" s="5" t="str">
        <f t="shared" si="0"/>
        <v>description,dailCompDescWarfare29,</v>
      </c>
      <c r="D31" s="5" t="str">
        <f t="shared" si="2"/>
        <v>itemText,dailCompTextWarfare29,</v>
      </c>
      <c r="E31" s="5" t="str">
        <f t="shared" si="14"/>
        <v>augmentSkillLevel1,3,</v>
      </c>
      <c r="F31" s="5" t="str">
        <f t="shared" si="15"/>
        <v>augmentSkillName1,records/skillswarfare/dualwieldtechnique_jumpslash.dbr,,</v>
      </c>
      <c r="G31" s="7">
        <f t="shared" si="10"/>
        <v>29</v>
      </c>
      <c r="H31" s="8" t="str">
        <f t="shared" si="11"/>
        <v>Warfare</v>
      </c>
      <c r="I31" s="3" t="s">
        <v>644</v>
      </c>
      <c r="J31" s="8" t="str">
        <f t="shared" si="20"/>
        <v>class0019</v>
      </c>
      <c r="K31" s="8" t="str">
        <f t="shared" si="20"/>
        <v>dailoneskill0019</v>
      </c>
      <c r="L31" s="5" t="str">
        <f t="shared" si="4"/>
        <v>lootName29,DAIL/items/materia/class0019/Warfare29.dbr,</v>
      </c>
      <c r="M31" s="5" t="str">
        <f t="shared" si="5"/>
        <v>lootWeight29,1,</v>
      </c>
      <c r="N31" t="str">
        <f t="shared" si="6"/>
        <v>3</v>
      </c>
      <c r="O31" t="str">
        <f t="shared" si="16"/>
        <v>copy .\dail_base3.dbr .\items\materia\class0019\Warfare29.dbr /y</v>
      </c>
      <c r="P31" t="str">
        <f t="shared" si="7"/>
        <v>echo relicBitmap,items/craftingparts/components/component_a52_bristlyfur_b.tex, &gt;&gt; .\items\materia\class0019\Warfare29.dbr</v>
      </c>
      <c r="Q31" t="str">
        <f t="shared" si="7"/>
        <v>echo itemCost,300000, &gt;&gt; .\items\materia\class0019\Warfare29.dbr</v>
      </c>
      <c r="R31" t="str">
        <f t="shared" si="7"/>
        <v>echo description,dailCompDescWarfare29, &gt;&gt; .\items\materia\class0019\Warfare29.dbr</v>
      </c>
      <c r="S31" t="str">
        <f t="shared" si="7"/>
        <v>echo itemText,dailCompTextWarfare29, &gt;&gt; .\items\materia\class0019\Warfare29.dbr</v>
      </c>
      <c r="T31" t="str">
        <f t="shared" si="7"/>
        <v>echo augmentSkillLevel1,3, &gt;&gt; .\items\materia\class0019\Warfare29.dbr</v>
      </c>
      <c r="U31" t="str">
        <f t="shared" si="7"/>
        <v>echo augmentSkillName1,records/skillswarfare/dualwieldtechnique_jumpslash.dbr,, &gt;&gt; .\items\materia\class0019\Warfare29.dbr</v>
      </c>
      <c r="V31" s="5" t="s">
        <v>36</v>
      </c>
      <c r="W31" t="str">
        <f t="shared" si="8"/>
        <v>echo lootName29,DAIL/items/materia/class0019/Warfare29.dbr, &gt;&gt; .\items\loottables\dailoneskill0019.dbr</v>
      </c>
      <c r="X31" t="str">
        <f t="shared" si="8"/>
        <v>echo lootWeight29,1, &gt;&gt; .\items\loottables\dailoneskill0019.dbr</v>
      </c>
      <c r="Y31" s="5" t="s">
        <v>36</v>
      </c>
      <c r="Z31" t="str">
        <f t="shared" si="9"/>
        <v xml:space="preserve"> dailCompDescWarfare29=^pWarfare's Gift of DAIL</v>
      </c>
      <c r="AA31" t="str">
        <f t="shared" si="17"/>
        <v>dailCompTextWarfare29=^oThis feels warm to the touch, almost familiar ^w(This component only fits into the Medal Slot)</v>
      </c>
      <c r="AB31" s="5" t="s">
        <v>36</v>
      </c>
      <c r="AH31">
        <f t="shared" si="19"/>
        <v>26</v>
      </c>
      <c r="AI31">
        <f t="shared" si="13"/>
        <v>41</v>
      </c>
      <c r="AJ31">
        <f t="shared" si="18"/>
        <v>3</v>
      </c>
    </row>
    <row r="32" spans="1:36" x14ac:dyDescent="0.25">
      <c r="A32" s="5" t="s">
        <v>39</v>
      </c>
      <c r="B32" s="5" t="s">
        <v>30</v>
      </c>
      <c r="C32" s="5" t="str">
        <f t="shared" si="0"/>
        <v>description,dailCompDescWarfare30,</v>
      </c>
      <c r="D32" s="5" t="str">
        <f t="shared" si="2"/>
        <v>itemText,dailCompTextWarfare30,</v>
      </c>
      <c r="E32" s="5" t="str">
        <f t="shared" si="14"/>
        <v>augmentSkillLevel1,3,</v>
      </c>
      <c r="F32" s="5" t="str">
        <f t="shared" si="15"/>
        <v>augmentSkillName1,records/skillswarfare/dualwieldtechnique_crosscut.dbr,,</v>
      </c>
      <c r="G32" s="7">
        <f t="shared" si="10"/>
        <v>30</v>
      </c>
      <c r="H32" s="8" t="str">
        <f t="shared" si="11"/>
        <v>Warfare</v>
      </c>
      <c r="I32" s="3" t="s">
        <v>645</v>
      </c>
      <c r="J32" s="8" t="str">
        <f t="shared" si="20"/>
        <v>class0019</v>
      </c>
      <c r="K32" s="8" t="str">
        <f t="shared" si="20"/>
        <v>dailoneskill0019</v>
      </c>
      <c r="L32" s="5" t="str">
        <f t="shared" si="4"/>
        <v>lootName30,DAIL/items/materia/class0019/Warfare30.dbr,</v>
      </c>
      <c r="M32" s="5" t="str">
        <f t="shared" si="5"/>
        <v>lootWeight30,1,</v>
      </c>
      <c r="N32" t="str">
        <f t="shared" si="6"/>
        <v>3</v>
      </c>
      <c r="O32" t="str">
        <f t="shared" si="16"/>
        <v>copy .\dail_base3.dbr .\items\materia\class0019\Warfare30.dbr /y</v>
      </c>
      <c r="P32" t="str">
        <f t="shared" si="7"/>
        <v>echo relicBitmap,items/craftingparts/components/component_a52_bristlyfur_b.tex, &gt;&gt; .\items\materia\class0019\Warfare30.dbr</v>
      </c>
      <c r="Q32" t="str">
        <f t="shared" si="7"/>
        <v>echo itemCost,500000, &gt;&gt; .\items\materia\class0019\Warfare30.dbr</v>
      </c>
      <c r="R32" t="str">
        <f t="shared" si="7"/>
        <v>echo description,dailCompDescWarfare30, &gt;&gt; .\items\materia\class0019\Warfare30.dbr</v>
      </c>
      <c r="S32" t="str">
        <f t="shared" si="7"/>
        <v>echo itemText,dailCompTextWarfare30, &gt;&gt; .\items\materia\class0019\Warfare30.dbr</v>
      </c>
      <c r="T32" t="str">
        <f t="shared" si="7"/>
        <v>echo augmentSkillLevel1,3, &gt;&gt; .\items\materia\class0019\Warfare30.dbr</v>
      </c>
      <c r="U32" t="str">
        <f t="shared" si="7"/>
        <v>echo augmentSkillName1,records/skillswarfare/dualwieldtechnique_crosscut.dbr,, &gt;&gt; .\items\materia\class0019\Warfare30.dbr</v>
      </c>
      <c r="V32" s="5" t="s">
        <v>36</v>
      </c>
      <c r="W32" t="str">
        <f t="shared" si="8"/>
        <v>echo lootName30,DAIL/items/materia/class0019/Warfare30.dbr, &gt;&gt; .\items\loottables\dailoneskill0019.dbr</v>
      </c>
      <c r="X32" t="str">
        <f t="shared" si="8"/>
        <v>echo lootWeight30,1, &gt;&gt; .\items\loottables\dailoneskill0019.dbr</v>
      </c>
      <c r="Y32" s="5" t="s">
        <v>36</v>
      </c>
      <c r="Z32" t="str">
        <f t="shared" si="9"/>
        <v xml:space="preserve"> dailCompDescWarfare30=^pWarfare's Gift of DAIL</v>
      </c>
      <c r="AA32" t="str">
        <f t="shared" si="17"/>
        <v>dailCompTextWarfare30=^oThis feels warm to the touch, almost familiar ^w(This component only fits into the Medal Slot)</v>
      </c>
      <c r="AB32" s="5" t="s">
        <v>36</v>
      </c>
      <c r="AH32">
        <f t="shared" si="19"/>
        <v>27</v>
      </c>
      <c r="AI32">
        <f t="shared" si="13"/>
        <v>40</v>
      </c>
      <c r="AJ32">
        <f t="shared" si="18"/>
        <v>3</v>
      </c>
    </row>
    <row r="33" spans="1:36" x14ac:dyDescent="0.25">
      <c r="A33" s="5" t="s">
        <v>39</v>
      </c>
      <c r="B33" s="5" t="s">
        <v>30</v>
      </c>
      <c r="C33" s="5" t="str">
        <f t="shared" si="0"/>
        <v>description,dailCompDescWarfare31,</v>
      </c>
      <c r="D33" s="5" t="str">
        <f t="shared" si="2"/>
        <v>itemText,dailCompTextWarfare31,</v>
      </c>
      <c r="E33" s="5" t="str">
        <f t="shared" si="14"/>
        <v>augmentSkillLevel1,3,</v>
      </c>
      <c r="F33" s="5" t="str">
        <f t="shared" si="15"/>
        <v>augmentSkillName1,records/skillswarfare/dualwieldtechnique_tumult.dbr,,</v>
      </c>
      <c r="G33" s="7">
        <f t="shared" si="10"/>
        <v>31</v>
      </c>
      <c r="H33" s="8" t="str">
        <f t="shared" si="11"/>
        <v>Warfare</v>
      </c>
      <c r="I33" s="3" t="s">
        <v>646</v>
      </c>
      <c r="J33" s="8" t="str">
        <f t="shared" si="20"/>
        <v>class0019</v>
      </c>
      <c r="K33" s="8" t="str">
        <f t="shared" si="20"/>
        <v>dailoneskill0019</v>
      </c>
      <c r="L33" s="5" t="str">
        <f t="shared" si="4"/>
        <v>lootName31,DAIL/items/materia/class0019/Warfare31.dbr,</v>
      </c>
      <c r="M33" s="5" t="str">
        <f t="shared" si="5"/>
        <v>lootWeight31,1,</v>
      </c>
      <c r="N33" t="str">
        <f t="shared" si="6"/>
        <v>3</v>
      </c>
      <c r="O33" t="str">
        <f t="shared" si="16"/>
        <v>copy .\dail_base3.dbr .\items\materia\class0019\Warfare31.dbr /y</v>
      </c>
      <c r="P33" t="str">
        <f t="shared" si="7"/>
        <v>echo relicBitmap,items/craftingparts/components/component_a52_bristlyfur_b.tex, &gt;&gt; .\items\materia\class0019\Warfare31.dbr</v>
      </c>
      <c r="Q33" t="str">
        <f t="shared" si="7"/>
        <v>echo itemCost,500000, &gt;&gt; .\items\materia\class0019\Warfare31.dbr</v>
      </c>
      <c r="R33" t="str">
        <f t="shared" si="7"/>
        <v>echo description,dailCompDescWarfare31, &gt;&gt; .\items\materia\class0019\Warfare31.dbr</v>
      </c>
      <c r="S33" t="str">
        <f t="shared" si="7"/>
        <v>echo itemText,dailCompTextWarfare31, &gt;&gt; .\items\materia\class0019\Warfare31.dbr</v>
      </c>
      <c r="T33" t="str">
        <f t="shared" si="7"/>
        <v>echo augmentSkillLevel1,3, &gt;&gt; .\items\materia\class0019\Warfare31.dbr</v>
      </c>
      <c r="U33" t="str">
        <f t="shared" si="7"/>
        <v>echo augmentSkillName1,records/skillswarfare/dualwieldtechnique_tumult.dbr,, &gt;&gt; .\items\materia\class0019\Warfare31.dbr</v>
      </c>
      <c r="V33" s="5" t="s">
        <v>36</v>
      </c>
      <c r="W33" t="str">
        <f t="shared" si="8"/>
        <v>echo lootName31,DAIL/items/materia/class0019/Warfare31.dbr, &gt;&gt; .\items\loottables\dailoneskill0019.dbr</v>
      </c>
      <c r="X33" t="str">
        <f t="shared" si="8"/>
        <v>echo lootWeight31,1, &gt;&gt; .\items\loottables\dailoneskill0019.dbr</v>
      </c>
      <c r="Y33" s="5" t="s">
        <v>36</v>
      </c>
      <c r="Z33" t="str">
        <f t="shared" si="9"/>
        <v xml:space="preserve"> dailCompDescWarfare31=^pWarfare's Gift of DAIL</v>
      </c>
      <c r="AA33" t="str">
        <f t="shared" si="17"/>
        <v>dailCompTextWarfare31=^oThis feels warm to the touch, almost familiar ^w(This component only fits into the Medal Slot)</v>
      </c>
      <c r="AB33" s="5" t="s">
        <v>36</v>
      </c>
      <c r="AH33">
        <f t="shared" si="19"/>
        <v>28</v>
      </c>
      <c r="AI33">
        <f t="shared" si="13"/>
        <v>38</v>
      </c>
      <c r="AJ33">
        <f t="shared" si="18"/>
        <v>3</v>
      </c>
    </row>
    <row r="34" spans="1:36" x14ac:dyDescent="0.25">
      <c r="A34" s="5" t="s">
        <v>39</v>
      </c>
      <c r="B34" s="5" t="s">
        <v>30</v>
      </c>
      <c r="C34" s="5" t="str">
        <f t="shared" si="0"/>
        <v>description,dailCompDescWarfare32,</v>
      </c>
      <c r="D34" s="5" t="str">
        <f t="shared" si="2"/>
        <v>itemText,dailCompTextWarfare32,</v>
      </c>
      <c r="E34" s="5" t="str">
        <f t="shared" si="14"/>
        <v>augmentSkillLevel1,3,</v>
      </c>
      <c r="F34" s="5" t="str">
        <f t="shared" si="15"/>
        <v>augmentSkillName1,records/skillswarfare/onslaught.dbr,,</v>
      </c>
      <c r="G34" s="7">
        <f t="shared" si="10"/>
        <v>32</v>
      </c>
      <c r="H34" s="8" t="str">
        <f t="shared" si="11"/>
        <v>Warfare</v>
      </c>
      <c r="I34" s="3" t="s">
        <v>647</v>
      </c>
      <c r="J34" s="8" t="str">
        <f t="shared" si="20"/>
        <v>class0019</v>
      </c>
      <c r="K34" s="8" t="str">
        <f t="shared" si="20"/>
        <v>dailoneskill0019</v>
      </c>
      <c r="L34" s="5" t="str">
        <f t="shared" si="4"/>
        <v>lootName32,DAIL/items/materia/class0019/Warfare32.dbr,</v>
      </c>
      <c r="M34" s="5" t="str">
        <f t="shared" si="5"/>
        <v>lootWeight32,1,</v>
      </c>
      <c r="N34" t="str">
        <f t="shared" si="6"/>
        <v>3</v>
      </c>
      <c r="O34" t="str">
        <f t="shared" si="16"/>
        <v>copy .\dail_base3.dbr .\items\materia\class0019\Warfare32.dbr /y</v>
      </c>
      <c r="P34" t="str">
        <f t="shared" si="7"/>
        <v>echo relicBitmap,items/craftingparts/components/component_a52_bristlyfur_b.tex, &gt;&gt; .\items\materia\class0019\Warfare32.dbr</v>
      </c>
      <c r="Q34" t="str">
        <f t="shared" si="7"/>
        <v>echo itemCost,500000, &gt;&gt; .\items\materia\class0019\Warfare32.dbr</v>
      </c>
      <c r="R34" t="str">
        <f t="shared" si="7"/>
        <v>echo description,dailCompDescWarfare32, &gt;&gt; .\items\materia\class0019\Warfare32.dbr</v>
      </c>
      <c r="S34" t="str">
        <f t="shared" si="7"/>
        <v>echo itemText,dailCompTextWarfare32, &gt;&gt; .\items\materia\class0019\Warfare32.dbr</v>
      </c>
      <c r="T34" t="str">
        <f t="shared" si="7"/>
        <v>echo augmentSkillLevel1,3, &gt;&gt; .\items\materia\class0019\Warfare32.dbr</v>
      </c>
      <c r="U34" t="str">
        <f t="shared" si="7"/>
        <v>echo augmentSkillName1,records/skillswarfare/onslaught.dbr,, &gt;&gt; .\items\materia\class0019\Warfare32.dbr</v>
      </c>
      <c r="V34" s="5" t="s">
        <v>36</v>
      </c>
      <c r="W34" t="str">
        <f t="shared" si="8"/>
        <v>echo lootName32,DAIL/items/materia/class0019/Warfare32.dbr, &gt;&gt; .\items\loottables\dailoneskill0019.dbr</v>
      </c>
      <c r="X34" t="str">
        <f t="shared" si="8"/>
        <v>echo lootWeight32,1, &gt;&gt; .\items\loottables\dailoneskill0019.dbr</v>
      </c>
      <c r="Y34" s="5" t="s">
        <v>36</v>
      </c>
      <c r="Z34" t="str">
        <f t="shared" si="9"/>
        <v xml:space="preserve"> dailCompDescWarfare32=^pWarfare's Gift of DAIL</v>
      </c>
      <c r="AA34" t="str">
        <f t="shared" si="17"/>
        <v>dailCompTextWarfare32=^oThis feels warm to the touch, almost familiar ^w(This component only fits into the Medal Slot)</v>
      </c>
      <c r="AB34" s="5" t="s">
        <v>36</v>
      </c>
      <c r="AH34">
        <f t="shared" si="19"/>
        <v>29</v>
      </c>
      <c r="AI34">
        <f t="shared" si="13"/>
        <v>22</v>
      </c>
      <c r="AJ34">
        <f t="shared" si="18"/>
        <v>3</v>
      </c>
    </row>
    <row r="35" spans="1:36" x14ac:dyDescent="0.25">
      <c r="A35" s="5" t="s">
        <v>39</v>
      </c>
      <c r="B35" s="5" t="s">
        <v>30</v>
      </c>
      <c r="C35" s="5" t="str">
        <f t="shared" si="0"/>
        <v>description,dailCompDescWarfare33,</v>
      </c>
      <c r="D35" s="5" t="str">
        <f t="shared" si="2"/>
        <v>itemText,dailCompTextWarfare33,</v>
      </c>
      <c r="E35" s="5" t="str">
        <f t="shared" si="14"/>
        <v>augmentSkillLevel1,3,</v>
      </c>
      <c r="F35" s="5" t="str">
        <f t="shared" si="15"/>
        <v>augmentSkillName1,records/skillswarfare/onslaught_ignorepain.dbr,,</v>
      </c>
      <c r="G35" s="7">
        <f t="shared" si="10"/>
        <v>33</v>
      </c>
      <c r="H35" s="8" t="str">
        <f t="shared" si="11"/>
        <v>Warfare</v>
      </c>
      <c r="I35" s="3" t="s">
        <v>648</v>
      </c>
      <c r="J35" s="8" t="str">
        <f t="shared" si="20"/>
        <v>class0019</v>
      </c>
      <c r="K35" s="8" t="str">
        <f t="shared" si="20"/>
        <v>dailoneskill0019</v>
      </c>
      <c r="L35" s="5" t="str">
        <f t="shared" si="4"/>
        <v>lootName33,DAIL/items/materia/class0019/Warfare33.dbr,</v>
      </c>
      <c r="M35" s="5" t="str">
        <f t="shared" si="5"/>
        <v>lootWeight33,1,</v>
      </c>
      <c r="N35" t="str">
        <f t="shared" si="6"/>
        <v>3</v>
      </c>
      <c r="O35" t="str">
        <f t="shared" si="16"/>
        <v>copy .\dail_base3.dbr .\items\materia\class0019\Warfare33.dbr /y</v>
      </c>
      <c r="P35" t="str">
        <f t="shared" si="7"/>
        <v>echo relicBitmap,items/craftingparts/components/component_a52_bristlyfur_b.tex, &gt;&gt; .\items\materia\class0019\Warfare33.dbr</v>
      </c>
      <c r="Q35" t="str">
        <f t="shared" si="7"/>
        <v>echo itemCost,500000, &gt;&gt; .\items\materia\class0019\Warfare33.dbr</v>
      </c>
      <c r="R35" t="str">
        <f t="shared" si="7"/>
        <v>echo description,dailCompDescWarfare33, &gt;&gt; .\items\materia\class0019\Warfare33.dbr</v>
      </c>
      <c r="S35" t="str">
        <f t="shared" si="7"/>
        <v>echo itemText,dailCompTextWarfare33, &gt;&gt; .\items\materia\class0019\Warfare33.dbr</v>
      </c>
      <c r="T35" t="str">
        <f t="shared" si="7"/>
        <v>echo augmentSkillLevel1,3, &gt;&gt; .\items\materia\class0019\Warfare33.dbr</v>
      </c>
      <c r="U35" t="str">
        <f t="shared" si="7"/>
        <v>echo augmentSkillName1,records/skillswarfare/onslaught_ignorepain.dbr,, &gt;&gt; .\items\materia\class0019\Warfare33.dbr</v>
      </c>
      <c r="V35" s="5" t="s">
        <v>36</v>
      </c>
      <c r="W35" t="str">
        <f t="shared" si="8"/>
        <v>echo lootName33,DAIL/items/materia/class0019/Warfare33.dbr, &gt;&gt; .\items\loottables\dailoneskill0019.dbr</v>
      </c>
      <c r="X35" t="str">
        <f t="shared" si="8"/>
        <v>echo lootWeight33,1, &gt;&gt; .\items\loottables\dailoneskill0019.dbr</v>
      </c>
      <c r="Y35" s="5" t="s">
        <v>36</v>
      </c>
      <c r="Z35" t="str">
        <f t="shared" si="9"/>
        <v xml:space="preserve"> dailCompDescWarfare33=^pWarfare's Gift of DAIL</v>
      </c>
      <c r="AA35" t="str">
        <f t="shared" si="17"/>
        <v>dailCompTextWarfare33=^oThis feels warm to the touch, almost familiar ^w(This component only fits into the Medal Slot)</v>
      </c>
      <c r="AB35" s="5" t="s">
        <v>36</v>
      </c>
      <c r="AH35">
        <f t="shared" si="19"/>
        <v>30</v>
      </c>
      <c r="AI35">
        <f t="shared" si="13"/>
        <v>33</v>
      </c>
      <c r="AJ35">
        <f t="shared" si="18"/>
        <v>3</v>
      </c>
    </row>
    <row r="36" spans="1:36" x14ac:dyDescent="0.25">
      <c r="A36" s="5" t="s">
        <v>39</v>
      </c>
      <c r="B36" s="5" t="s">
        <v>30</v>
      </c>
      <c r="C36" s="5" t="str">
        <f t="shared" si="0"/>
        <v>description,dailCompDescWarfare34,</v>
      </c>
      <c r="D36" s="5" t="str">
        <f t="shared" si="2"/>
        <v>itemText,dailCompTextWarfare34,</v>
      </c>
      <c r="E36" s="5" t="str">
        <f t="shared" si="14"/>
        <v>augmentSkillLevel1,3,</v>
      </c>
      <c r="F36" s="5" t="str">
        <f t="shared" si="15"/>
        <v>augmentSkillName1,records/skillswarfare/onslaught_hamstring.dbr,,</v>
      </c>
      <c r="G36" s="7">
        <f t="shared" si="10"/>
        <v>34</v>
      </c>
      <c r="H36" s="8" t="str">
        <f t="shared" si="11"/>
        <v>Warfare</v>
      </c>
      <c r="I36" s="3" t="s">
        <v>649</v>
      </c>
      <c r="J36" s="8" t="str">
        <f t="shared" si="20"/>
        <v>class0019</v>
      </c>
      <c r="K36" s="8" t="str">
        <f t="shared" si="20"/>
        <v>dailoneskill0019</v>
      </c>
      <c r="L36" s="5" t="str">
        <f t="shared" si="4"/>
        <v>lootName34,DAIL/items/materia/class0019/Warfare34.dbr,</v>
      </c>
      <c r="M36" s="5" t="str">
        <f t="shared" si="5"/>
        <v>lootWeight34,1,</v>
      </c>
      <c r="N36" t="str">
        <f t="shared" si="6"/>
        <v>3</v>
      </c>
      <c r="O36" t="str">
        <f t="shared" si="16"/>
        <v>copy .\dail_base3.dbr .\items\materia\class0019\Warfare34.dbr /y</v>
      </c>
      <c r="P36" t="str">
        <f t="shared" si="7"/>
        <v>echo relicBitmap,items/craftingparts/components/component_a52_bristlyfur_b.tex, &gt;&gt; .\items\materia\class0019\Warfare34.dbr</v>
      </c>
      <c r="Q36" t="str">
        <f t="shared" si="7"/>
        <v>echo itemCost,500000, &gt;&gt; .\items\materia\class0019\Warfare34.dbr</v>
      </c>
      <c r="R36" t="str">
        <f t="shared" si="7"/>
        <v>echo description,dailCompDescWarfare34, &gt;&gt; .\items\materia\class0019\Warfare34.dbr</v>
      </c>
      <c r="S36" t="str">
        <f t="shared" si="7"/>
        <v>echo itemText,dailCompTextWarfare34, &gt;&gt; .\items\materia\class0019\Warfare34.dbr</v>
      </c>
      <c r="T36" t="str">
        <f t="shared" si="7"/>
        <v>echo augmentSkillLevel1,3, &gt;&gt; .\items\materia\class0019\Warfare34.dbr</v>
      </c>
      <c r="U36" t="str">
        <f t="shared" si="7"/>
        <v>echo augmentSkillName1,records/skillswarfare/onslaught_hamstring.dbr,, &gt;&gt; .\items\materia\class0019\Warfare34.dbr</v>
      </c>
      <c r="V36" s="5" t="s">
        <v>36</v>
      </c>
      <c r="W36" t="str">
        <f t="shared" si="8"/>
        <v>echo lootName34,DAIL/items/materia/class0019/Warfare34.dbr, &gt;&gt; .\items\loottables\dailoneskill0019.dbr</v>
      </c>
      <c r="X36" t="str">
        <f t="shared" si="8"/>
        <v>echo lootWeight34,1, &gt;&gt; .\items\loottables\dailoneskill0019.dbr</v>
      </c>
      <c r="Y36" s="5" t="s">
        <v>36</v>
      </c>
      <c r="Z36" t="str">
        <f t="shared" si="9"/>
        <v xml:space="preserve"> dailCompDescWarfare34=^pWarfare's Gift of DAIL</v>
      </c>
      <c r="AA36" t="str">
        <f t="shared" si="17"/>
        <v>dailCompTextWarfare34=^oThis feels warm to the touch, almost familiar ^w(This component only fits into the Medal Slot)</v>
      </c>
      <c r="AB36" s="5" t="s">
        <v>36</v>
      </c>
      <c r="AH36">
        <f t="shared" si="19"/>
        <v>31</v>
      </c>
      <c r="AI36">
        <f t="shared" si="13"/>
        <v>32</v>
      </c>
      <c r="AJ36">
        <f t="shared" si="18"/>
        <v>3</v>
      </c>
    </row>
    <row r="37" spans="1:36" x14ac:dyDescent="0.25">
      <c r="A37" s="5" t="s">
        <v>39</v>
      </c>
      <c r="B37" s="5" t="s">
        <v>30</v>
      </c>
      <c r="C37" s="5" t="str">
        <f t="shared" si="0"/>
        <v>description,dailCompDescWarfare35,</v>
      </c>
      <c r="D37" s="5" t="str">
        <f t="shared" si="2"/>
        <v>itemText,dailCompTextWarfare35,</v>
      </c>
      <c r="E37" s="5" t="str">
        <f t="shared" si="14"/>
        <v>augmentSkillLevel1,3,</v>
      </c>
      <c r="F37" s="5" t="str">
        <f t="shared" si="15"/>
        <v>augmentSkillName1,records/skillswarfare/onslaught_ardor.dbr,,</v>
      </c>
      <c r="G37" s="7">
        <f t="shared" si="10"/>
        <v>35</v>
      </c>
      <c r="H37" s="8" t="str">
        <f t="shared" si="11"/>
        <v>Warfare</v>
      </c>
      <c r="I37" s="3" t="s">
        <v>650</v>
      </c>
      <c r="J37" s="8" t="str">
        <f t="shared" ref="J37:K52" si="21">J36</f>
        <v>class0019</v>
      </c>
      <c r="K37" s="8" t="str">
        <f t="shared" si="21"/>
        <v>dailoneskill0019</v>
      </c>
      <c r="L37" s="5" t="str">
        <f t="shared" si="4"/>
        <v>lootName35,DAIL/items/materia/class0019/Warfare35.dbr,</v>
      </c>
      <c r="M37" s="5" t="str">
        <f t="shared" si="5"/>
        <v>lootWeight35,1,</v>
      </c>
      <c r="N37" t="str">
        <f t="shared" si="6"/>
        <v>3</v>
      </c>
      <c r="O37" t="str">
        <f t="shared" si="16"/>
        <v>copy .\dail_base3.dbr .\items\materia\class0019\Warfare35.dbr /y</v>
      </c>
      <c r="P37" t="str">
        <f t="shared" si="7"/>
        <v>echo relicBitmap,items/craftingparts/components/component_a52_bristlyfur_b.tex, &gt;&gt; .\items\materia\class0019\Warfare35.dbr</v>
      </c>
      <c r="Q37" t="str">
        <f t="shared" si="7"/>
        <v>echo itemCost,500000, &gt;&gt; .\items\materia\class0019\Warfare35.dbr</v>
      </c>
      <c r="R37" t="str">
        <f t="shared" si="7"/>
        <v>echo description,dailCompDescWarfare35, &gt;&gt; .\items\materia\class0019\Warfare35.dbr</v>
      </c>
      <c r="S37" t="str">
        <f t="shared" si="7"/>
        <v>echo itemText,dailCompTextWarfare35, &gt;&gt; .\items\materia\class0019\Warfare35.dbr</v>
      </c>
      <c r="T37" t="str">
        <f t="shared" si="7"/>
        <v>echo augmentSkillLevel1,3, &gt;&gt; .\items\materia\class0019\Warfare35.dbr</v>
      </c>
      <c r="U37" t="str">
        <f t="shared" si="7"/>
        <v>echo augmentSkillName1,records/skillswarfare/onslaught_ardor.dbr,, &gt;&gt; .\items\materia\class0019\Warfare35.dbr</v>
      </c>
      <c r="V37" s="5" t="s">
        <v>36</v>
      </c>
      <c r="W37" t="str">
        <f t="shared" si="8"/>
        <v>echo lootName35,DAIL/items/materia/class0019/Warfare35.dbr, &gt;&gt; .\items\loottables\dailoneskill0019.dbr</v>
      </c>
      <c r="X37" t="str">
        <f t="shared" si="8"/>
        <v>echo lootWeight35,1, &gt;&gt; .\items\loottables\dailoneskill0019.dbr</v>
      </c>
      <c r="Y37" s="5" t="s">
        <v>36</v>
      </c>
      <c r="Z37" t="str">
        <f t="shared" si="9"/>
        <v xml:space="preserve"> dailCompDescWarfare35=^pWarfare's Gift of DAIL</v>
      </c>
      <c r="AA37" t="str">
        <f t="shared" si="17"/>
        <v>dailCompTextWarfare35=^oThis feels warm to the touch, almost familiar ^w(This component only fits into the Medal Slot)</v>
      </c>
      <c r="AB37" s="5" t="s">
        <v>36</v>
      </c>
      <c r="AH37">
        <f t="shared" si="19"/>
        <v>32</v>
      </c>
      <c r="AI37">
        <f t="shared" si="13"/>
        <v>28</v>
      </c>
      <c r="AJ37">
        <f t="shared" si="18"/>
        <v>3</v>
      </c>
    </row>
    <row r="38" spans="1:36" x14ac:dyDescent="0.25">
      <c r="A38" s="5" t="s">
        <v>39</v>
      </c>
      <c r="B38" s="5" t="s">
        <v>30</v>
      </c>
      <c r="C38" s="5" t="str">
        <f t="shared" si="0"/>
        <v>description,dailCompDescWarfare36,</v>
      </c>
      <c r="D38" s="5" t="str">
        <f t="shared" si="2"/>
        <v>itemText,dailCompTextWarfare36,</v>
      </c>
      <c r="E38" s="5" t="str">
        <f t="shared" si="14"/>
        <v>augmentSkillLevel1,3,</v>
      </c>
      <c r="F38" s="5" t="str">
        <f t="shared" si="15"/>
        <v>augmentSkillName1,records/skillswarfare/battlerage.dbr,,</v>
      </c>
      <c r="G38" s="7">
        <f t="shared" si="10"/>
        <v>36</v>
      </c>
      <c r="H38" s="8" t="str">
        <f t="shared" si="11"/>
        <v>Warfare</v>
      </c>
      <c r="I38" s="3" t="s">
        <v>651</v>
      </c>
      <c r="J38" s="8" t="str">
        <f t="shared" si="21"/>
        <v>class0019</v>
      </c>
      <c r="K38" s="8" t="str">
        <f t="shared" si="21"/>
        <v>dailoneskill0019</v>
      </c>
      <c r="L38" s="5" t="str">
        <f t="shared" si="4"/>
        <v>lootName36,DAIL/items/materia/class0019/Warfare36.dbr,</v>
      </c>
      <c r="M38" s="5" t="str">
        <f t="shared" si="5"/>
        <v>lootWeight36,1,</v>
      </c>
      <c r="N38" t="str">
        <f t="shared" si="6"/>
        <v>3</v>
      </c>
      <c r="O38" t="str">
        <f t="shared" si="16"/>
        <v>copy .\dail_base3.dbr .\items\materia\class0019\Warfare36.dbr /y</v>
      </c>
      <c r="P38" t="str">
        <f t="shared" si="7"/>
        <v>echo relicBitmap,items/craftingparts/components/component_a52_bristlyfur_b.tex, &gt;&gt; .\items\materia\class0019\Warfare36.dbr</v>
      </c>
      <c r="Q38" t="str">
        <f t="shared" si="7"/>
        <v>echo itemCost,500000, &gt;&gt; .\items\materia\class0019\Warfare36.dbr</v>
      </c>
      <c r="R38" t="str">
        <f t="shared" si="7"/>
        <v>echo description,dailCompDescWarfare36, &gt;&gt; .\items\materia\class0019\Warfare36.dbr</v>
      </c>
      <c r="S38" t="str">
        <f t="shared" si="7"/>
        <v>echo itemText,dailCompTextWarfare36, &gt;&gt; .\items\materia\class0019\Warfare36.dbr</v>
      </c>
      <c r="T38" t="str">
        <f t="shared" si="7"/>
        <v>echo augmentSkillLevel1,3, &gt;&gt; .\items\materia\class0019\Warfare36.dbr</v>
      </c>
      <c r="U38" t="str">
        <f t="shared" si="7"/>
        <v>echo augmentSkillName1,records/skillswarfare/battlerage.dbr,, &gt;&gt; .\items\materia\class0019\Warfare36.dbr</v>
      </c>
      <c r="V38" s="5" t="s">
        <v>36</v>
      </c>
      <c r="W38" t="str">
        <f t="shared" si="8"/>
        <v>echo lootName36,DAIL/items/materia/class0019/Warfare36.dbr, &gt;&gt; .\items\loottables\dailoneskill0019.dbr</v>
      </c>
      <c r="X38" t="str">
        <f t="shared" si="8"/>
        <v>echo lootWeight36,1, &gt;&gt; .\items\loottables\dailoneskill0019.dbr</v>
      </c>
      <c r="Y38" s="5" t="s">
        <v>36</v>
      </c>
      <c r="Z38" t="str">
        <f t="shared" si="9"/>
        <v xml:space="preserve"> dailCompDescWarfare36=^pWarfare's Gift of DAIL</v>
      </c>
      <c r="AA38" t="str">
        <f t="shared" si="17"/>
        <v>dailCompTextWarfare36=^oThis feels warm to the touch, almost familiar ^w(This component only fits into the Medal Slot)</v>
      </c>
      <c r="AB38" s="5" t="s">
        <v>36</v>
      </c>
      <c r="AH38">
        <f t="shared" si="19"/>
        <v>33</v>
      </c>
      <c r="AI38">
        <f t="shared" si="13"/>
        <v>23</v>
      </c>
      <c r="AJ38">
        <f t="shared" si="18"/>
        <v>3</v>
      </c>
    </row>
    <row r="39" spans="1:36" x14ac:dyDescent="0.25">
      <c r="A39" s="5" t="s">
        <v>39</v>
      </c>
      <c r="B39" s="5" t="s">
        <v>30</v>
      </c>
      <c r="C39" s="5" t="str">
        <f t="shared" si="0"/>
        <v>description,dailCompDescWarfare37,</v>
      </c>
      <c r="D39" s="5" t="str">
        <f t="shared" si="2"/>
        <v>itemText,dailCompTextWarfare37,</v>
      </c>
      <c r="E39" s="5" t="str">
        <f t="shared" si="14"/>
        <v>augmentSkillLevel1,3,</v>
      </c>
      <c r="F39" s="5" t="str">
        <f t="shared" si="15"/>
        <v>augmentSkillName1,records/skillswarfare/battlerage_crushingblow.dbr,,</v>
      </c>
      <c r="G39" s="7">
        <f t="shared" si="10"/>
        <v>37</v>
      </c>
      <c r="H39" s="8" t="str">
        <f t="shared" si="11"/>
        <v>Warfare</v>
      </c>
      <c r="I39" s="3" t="s">
        <v>652</v>
      </c>
      <c r="J39" s="8" t="str">
        <f t="shared" si="21"/>
        <v>class0019</v>
      </c>
      <c r="K39" s="8" t="str">
        <f t="shared" si="21"/>
        <v>dailoneskill0019</v>
      </c>
      <c r="L39" s="5" t="str">
        <f t="shared" si="4"/>
        <v>lootName37,DAIL/items/materia/class0019/Warfare37.dbr,</v>
      </c>
      <c r="M39" s="5" t="str">
        <f t="shared" si="5"/>
        <v>lootWeight37,1,</v>
      </c>
      <c r="N39" t="str">
        <f t="shared" si="6"/>
        <v>3</v>
      </c>
      <c r="O39" t="str">
        <f t="shared" si="16"/>
        <v>copy .\dail_base3.dbr .\items\materia\class0019\Warfare37.dbr /y</v>
      </c>
      <c r="P39" t="str">
        <f t="shared" si="7"/>
        <v>echo relicBitmap,items/craftingparts/components/component_a52_bristlyfur_b.tex, &gt;&gt; .\items\materia\class0019\Warfare37.dbr</v>
      </c>
      <c r="Q39" t="str">
        <f t="shared" si="7"/>
        <v>echo itemCost,500000, &gt;&gt; .\items\materia\class0019\Warfare37.dbr</v>
      </c>
      <c r="R39" t="str">
        <f t="shared" si="7"/>
        <v>echo description,dailCompDescWarfare37, &gt;&gt; .\items\materia\class0019\Warfare37.dbr</v>
      </c>
      <c r="S39" t="str">
        <f t="shared" si="7"/>
        <v>echo itemText,dailCompTextWarfare37, &gt;&gt; .\items\materia\class0019\Warfare37.dbr</v>
      </c>
      <c r="T39" t="str">
        <f t="shared" si="7"/>
        <v>echo augmentSkillLevel1,3, &gt;&gt; .\items\materia\class0019\Warfare37.dbr</v>
      </c>
      <c r="U39" t="str">
        <f t="shared" si="7"/>
        <v>echo augmentSkillName1,records/skillswarfare/battlerage_crushingblow.dbr,, &gt;&gt; .\items\materia\class0019\Warfare37.dbr</v>
      </c>
      <c r="V39" s="5" t="s">
        <v>36</v>
      </c>
      <c r="W39" t="str">
        <f t="shared" si="8"/>
        <v>echo lootName37,DAIL/items/materia/class0019/Warfare37.dbr, &gt;&gt; .\items\loottables\dailoneskill0019.dbr</v>
      </c>
      <c r="X39" t="str">
        <f t="shared" si="8"/>
        <v>echo lootWeight37,1, &gt;&gt; .\items\loottables\dailoneskill0019.dbr</v>
      </c>
      <c r="Y39" s="5" t="s">
        <v>36</v>
      </c>
      <c r="Z39" t="str">
        <f t="shared" si="9"/>
        <v xml:space="preserve"> dailCompDescWarfare37=^pWarfare's Gift of DAIL</v>
      </c>
      <c r="AA39" t="str">
        <f t="shared" si="17"/>
        <v>dailCompTextWarfare37=^oThis feels warm to the touch, almost familiar ^w(This component only fits into the Medal Slot)</v>
      </c>
      <c r="AB39" s="5" t="s">
        <v>36</v>
      </c>
      <c r="AH39">
        <f t="shared" si="19"/>
        <v>34</v>
      </c>
      <c r="AI39">
        <f t="shared" si="13"/>
        <v>36</v>
      </c>
      <c r="AJ39">
        <f t="shared" si="18"/>
        <v>3</v>
      </c>
    </row>
    <row r="40" spans="1:36" x14ac:dyDescent="0.25">
      <c r="A40" s="5" t="s">
        <v>39</v>
      </c>
      <c r="B40" s="5" t="s">
        <v>30</v>
      </c>
      <c r="C40" s="5" t="str">
        <f t="shared" si="0"/>
        <v>description,dailCompDescWarfare38,</v>
      </c>
      <c r="D40" s="5" t="str">
        <f t="shared" si="2"/>
        <v>itemText,dailCompTextWarfare38,</v>
      </c>
      <c r="E40" s="5" t="str">
        <f t="shared" si="14"/>
        <v>augmentSkillLevel1,3,</v>
      </c>
      <c r="F40" s="5" t="str">
        <f t="shared" si="15"/>
        <v>augmentSkillName1,records/skillswarfare/battlerage_counterattack.dbr,,</v>
      </c>
      <c r="G40" s="7">
        <f t="shared" si="10"/>
        <v>38</v>
      </c>
      <c r="H40" s="8" t="str">
        <f t="shared" si="11"/>
        <v>Warfare</v>
      </c>
      <c r="I40" s="3" t="s">
        <v>653</v>
      </c>
      <c r="J40" s="8" t="str">
        <f t="shared" si="21"/>
        <v>class0019</v>
      </c>
      <c r="K40" s="8" t="str">
        <f t="shared" si="21"/>
        <v>dailoneskill0019</v>
      </c>
      <c r="L40" s="5" t="str">
        <f t="shared" si="4"/>
        <v>lootName38,DAIL/items/materia/class0019/Warfare38.dbr,</v>
      </c>
      <c r="M40" s="5" t="str">
        <f t="shared" si="5"/>
        <v>lootWeight38,1,</v>
      </c>
      <c r="N40" t="str">
        <f t="shared" si="6"/>
        <v>3</v>
      </c>
      <c r="O40" t="str">
        <f t="shared" si="16"/>
        <v>copy .\dail_base3.dbr .\items\materia\class0019\Warfare38.dbr /y</v>
      </c>
      <c r="P40" t="str">
        <f t="shared" si="7"/>
        <v>echo relicBitmap,items/craftingparts/components/component_a52_bristlyfur_b.tex, &gt;&gt; .\items\materia\class0019\Warfare38.dbr</v>
      </c>
      <c r="Q40" t="str">
        <f t="shared" si="7"/>
        <v>echo itemCost,500000, &gt;&gt; .\items\materia\class0019\Warfare38.dbr</v>
      </c>
      <c r="R40" t="str">
        <f t="shared" si="7"/>
        <v>echo description,dailCompDescWarfare38, &gt;&gt; .\items\materia\class0019\Warfare38.dbr</v>
      </c>
      <c r="S40" t="str">
        <f t="shared" si="7"/>
        <v>echo itemText,dailCompTextWarfare38, &gt;&gt; .\items\materia\class0019\Warfare38.dbr</v>
      </c>
      <c r="T40" t="str">
        <f t="shared" si="7"/>
        <v>echo augmentSkillLevel1,3, &gt;&gt; .\items\materia\class0019\Warfare38.dbr</v>
      </c>
      <c r="U40" t="str">
        <f t="shared" si="7"/>
        <v>echo augmentSkillName1,records/skillswarfare/battlerage_counterattack.dbr,, &gt;&gt; .\items\materia\class0019\Warfare38.dbr</v>
      </c>
      <c r="V40" s="5" t="s">
        <v>36</v>
      </c>
      <c r="W40" t="str">
        <f t="shared" si="8"/>
        <v>echo lootName38,DAIL/items/materia/class0019/Warfare38.dbr, &gt;&gt; .\items\loottables\dailoneskill0019.dbr</v>
      </c>
      <c r="X40" t="str">
        <f t="shared" si="8"/>
        <v>echo lootWeight38,1, &gt;&gt; .\items\loottables\dailoneskill0019.dbr</v>
      </c>
      <c r="Y40" s="5" t="s">
        <v>36</v>
      </c>
      <c r="Z40" t="str">
        <f t="shared" si="9"/>
        <v xml:space="preserve"> dailCompDescWarfare38=^pWarfare's Gift of DAIL</v>
      </c>
      <c r="AA40" t="str">
        <f t="shared" si="17"/>
        <v>dailCompTextWarfare38=^oThis feels warm to the touch, almost familiar ^w(This component only fits into the Medal Slot)</v>
      </c>
      <c r="AB40" s="5" t="s">
        <v>36</v>
      </c>
      <c r="AH40">
        <f t="shared" si="19"/>
        <v>35</v>
      </c>
      <c r="AI40">
        <f t="shared" si="13"/>
        <v>37</v>
      </c>
      <c r="AJ40">
        <f t="shared" si="18"/>
        <v>3</v>
      </c>
    </row>
    <row r="41" spans="1:36" x14ac:dyDescent="0.25">
      <c r="A41" s="5" t="s">
        <v>39</v>
      </c>
      <c r="B41" s="5" t="s">
        <v>30</v>
      </c>
      <c r="C41" s="5" t="str">
        <f t="shared" si="0"/>
        <v>description,dailCompDescWarfare39,</v>
      </c>
      <c r="D41" s="5" t="str">
        <f t="shared" si="2"/>
        <v>itemText,dailCompTextWarfare39,</v>
      </c>
      <c r="E41" s="5" t="str">
        <f t="shared" si="14"/>
        <v>augmentSkillLevel1,3,</v>
      </c>
      <c r="F41" s="5" t="str">
        <f t="shared" si="15"/>
        <v>augmentSkillName1,records/skillswarfare/warhorn.dbr,,</v>
      </c>
      <c r="G41" s="7">
        <f t="shared" si="10"/>
        <v>39</v>
      </c>
      <c r="H41" s="8" t="str">
        <f t="shared" si="11"/>
        <v>Warfare</v>
      </c>
      <c r="I41" s="3" t="s">
        <v>654</v>
      </c>
      <c r="J41" s="8" t="str">
        <f t="shared" si="21"/>
        <v>class0019</v>
      </c>
      <c r="K41" s="8" t="str">
        <f t="shared" si="21"/>
        <v>dailoneskill0019</v>
      </c>
      <c r="L41" s="5" t="str">
        <f t="shared" si="4"/>
        <v>lootName39,DAIL/items/materia/class0019/Warfare39.dbr,</v>
      </c>
      <c r="M41" s="5" t="str">
        <f t="shared" si="5"/>
        <v>lootWeight39,1,</v>
      </c>
      <c r="N41" t="str">
        <f t="shared" si="6"/>
        <v>3</v>
      </c>
      <c r="O41" t="str">
        <f t="shared" si="16"/>
        <v>copy .\dail_base3.dbr .\items\materia\class0019\Warfare39.dbr /y</v>
      </c>
      <c r="P41" t="str">
        <f t="shared" si="7"/>
        <v>echo relicBitmap,items/craftingparts/components/component_a52_bristlyfur_b.tex, &gt;&gt; .\items\materia\class0019\Warfare39.dbr</v>
      </c>
      <c r="Q41" t="str">
        <f t="shared" si="7"/>
        <v>echo itemCost,500000, &gt;&gt; .\items\materia\class0019\Warfare39.dbr</v>
      </c>
      <c r="R41" t="str">
        <f t="shared" si="7"/>
        <v>echo description,dailCompDescWarfare39, &gt;&gt; .\items\materia\class0019\Warfare39.dbr</v>
      </c>
      <c r="S41" t="str">
        <f t="shared" si="7"/>
        <v>echo itemText,dailCompTextWarfare39, &gt;&gt; .\items\materia\class0019\Warfare39.dbr</v>
      </c>
      <c r="T41" t="str">
        <f t="shared" si="7"/>
        <v>echo augmentSkillLevel1,3, &gt;&gt; .\items\materia\class0019\Warfare39.dbr</v>
      </c>
      <c r="U41" t="str">
        <f t="shared" si="7"/>
        <v>echo augmentSkillName1,records/skillswarfare/warhorn.dbr,, &gt;&gt; .\items\materia\class0019\Warfare39.dbr</v>
      </c>
      <c r="V41" s="5" t="s">
        <v>36</v>
      </c>
      <c r="W41" t="str">
        <f t="shared" si="8"/>
        <v>echo lootName39,DAIL/items/materia/class0019/Warfare39.dbr, &gt;&gt; .\items\loottables\dailoneskill0019.dbr</v>
      </c>
      <c r="X41" t="str">
        <f t="shared" si="8"/>
        <v>echo lootWeight39,1, &gt;&gt; .\items\loottables\dailoneskill0019.dbr</v>
      </c>
      <c r="Y41" s="5" t="s">
        <v>36</v>
      </c>
      <c r="Z41" t="str">
        <f t="shared" si="9"/>
        <v xml:space="preserve"> dailCompDescWarfare39=^pWarfare's Gift of DAIL</v>
      </c>
      <c r="AA41" t="str">
        <f t="shared" si="17"/>
        <v>dailCompTextWarfare39=^oThis feels warm to the touch, almost familiar ^w(This component only fits into the Medal Slot)</v>
      </c>
      <c r="AB41" s="5" t="s">
        <v>36</v>
      </c>
      <c r="AH41">
        <f t="shared" si="19"/>
        <v>36</v>
      </c>
      <c r="AI41">
        <f t="shared" si="13"/>
        <v>20</v>
      </c>
      <c r="AJ41">
        <f t="shared" si="18"/>
        <v>3</v>
      </c>
    </row>
    <row r="42" spans="1:36" x14ac:dyDescent="0.25">
      <c r="A42" s="5" t="s">
        <v>39</v>
      </c>
      <c r="B42" s="5" t="s">
        <v>30</v>
      </c>
      <c r="C42" s="5" t="str">
        <f t="shared" si="0"/>
        <v>description,dailCompDescWarfare40,</v>
      </c>
      <c r="D42" s="5" t="str">
        <f t="shared" si="2"/>
        <v>itemText,dailCompTextWarfare40,</v>
      </c>
      <c r="E42" s="5" t="str">
        <f t="shared" si="14"/>
        <v>augmentSkillLevel1,3,</v>
      </c>
      <c r="F42" s="5" t="str">
        <f t="shared" si="15"/>
        <v>augmentSkillName1,records/skillswarfare/warhorn_doomhorn.dbr,,</v>
      </c>
      <c r="G42" s="7">
        <f t="shared" si="10"/>
        <v>40</v>
      </c>
      <c r="H42" s="8" t="str">
        <f t="shared" si="11"/>
        <v>Warfare</v>
      </c>
      <c r="I42" s="3" t="s">
        <v>655</v>
      </c>
      <c r="J42" s="8" t="str">
        <f t="shared" si="21"/>
        <v>class0019</v>
      </c>
      <c r="K42" s="8" t="str">
        <f t="shared" si="21"/>
        <v>dailoneskill0019</v>
      </c>
      <c r="L42" s="5" t="str">
        <f t="shared" si="4"/>
        <v>lootName40,DAIL/items/materia/class0019/Warfare40.dbr,</v>
      </c>
      <c r="M42" s="5" t="str">
        <f t="shared" si="5"/>
        <v>lootWeight40,1,</v>
      </c>
      <c r="N42" t="str">
        <f t="shared" si="6"/>
        <v>3</v>
      </c>
      <c r="O42" t="str">
        <f t="shared" si="16"/>
        <v>copy .\dail_base3.dbr .\items\materia\class0019\Warfare40.dbr /y</v>
      </c>
      <c r="P42" t="str">
        <f t="shared" si="7"/>
        <v>echo relicBitmap,items/craftingparts/components/component_a52_bristlyfur_b.tex, &gt;&gt; .\items\materia\class0019\Warfare40.dbr</v>
      </c>
      <c r="Q42" t="str">
        <f t="shared" si="7"/>
        <v>echo itemCost,500000, &gt;&gt; .\items\materia\class0019\Warfare40.dbr</v>
      </c>
      <c r="R42" t="str">
        <f t="shared" si="7"/>
        <v>echo description,dailCompDescWarfare40, &gt;&gt; .\items\materia\class0019\Warfare40.dbr</v>
      </c>
      <c r="S42" t="str">
        <f t="shared" si="7"/>
        <v>echo itemText,dailCompTextWarfare40, &gt;&gt; .\items\materia\class0019\Warfare40.dbr</v>
      </c>
      <c r="T42" t="str">
        <f t="shared" si="7"/>
        <v>echo augmentSkillLevel1,3, &gt;&gt; .\items\materia\class0019\Warfare40.dbr</v>
      </c>
      <c r="U42" t="str">
        <f t="shared" si="7"/>
        <v>echo augmentSkillName1,records/skillswarfare/warhorn_doomhorn.dbr,, &gt;&gt; .\items\materia\class0019\Warfare40.dbr</v>
      </c>
      <c r="V42" s="5" t="s">
        <v>36</v>
      </c>
      <c r="W42" t="str">
        <f t="shared" si="8"/>
        <v>echo lootName40,DAIL/items/materia/class0019/Warfare40.dbr, &gt;&gt; .\items\loottables\dailoneskill0019.dbr</v>
      </c>
      <c r="X42" t="str">
        <f t="shared" si="8"/>
        <v>echo lootWeight40,1, &gt;&gt; .\items\loottables\dailoneskill0019.dbr</v>
      </c>
      <c r="Y42" s="5" t="s">
        <v>36</v>
      </c>
      <c r="Z42" t="str">
        <f t="shared" si="9"/>
        <v xml:space="preserve"> dailCompDescWarfare40=^pWarfare's Gift of DAIL</v>
      </c>
      <c r="AA42" t="str">
        <f t="shared" si="17"/>
        <v>dailCompTextWarfare40=^oThis feels warm to the touch, almost familiar ^w(This component only fits into the Medal Slot)</v>
      </c>
      <c r="AB42" s="5" t="s">
        <v>36</v>
      </c>
      <c r="AH42">
        <f t="shared" si="19"/>
        <v>37</v>
      </c>
      <c r="AI42">
        <f t="shared" si="13"/>
        <v>29</v>
      </c>
      <c r="AJ42">
        <f t="shared" si="18"/>
        <v>3</v>
      </c>
    </row>
    <row r="43" spans="1:36" x14ac:dyDescent="0.25">
      <c r="A43" s="5" t="s">
        <v>39</v>
      </c>
      <c r="B43" s="5" t="s">
        <v>30</v>
      </c>
      <c r="C43" s="5" t="str">
        <f t="shared" si="0"/>
        <v>description,dailCompDescWarfare41,</v>
      </c>
      <c r="D43" s="5" t="str">
        <f t="shared" si="2"/>
        <v>itemText,dailCompTextWarfare41,</v>
      </c>
      <c r="E43" s="5" t="str">
        <f t="shared" si="14"/>
        <v>augmentSkillLevel1,3,</v>
      </c>
      <c r="F43" s="5" t="str">
        <f t="shared" si="15"/>
        <v>augmentSkillName1,records/skillswarfare/ancestralhorn.dbr,,</v>
      </c>
      <c r="G43" s="7">
        <f t="shared" si="10"/>
        <v>41</v>
      </c>
      <c r="H43" s="8" t="str">
        <f t="shared" si="11"/>
        <v>Warfare</v>
      </c>
      <c r="I43" s="3" t="s">
        <v>656</v>
      </c>
      <c r="J43" s="8" t="str">
        <f t="shared" si="21"/>
        <v>class0019</v>
      </c>
      <c r="K43" s="8" t="str">
        <f t="shared" si="21"/>
        <v>dailoneskill0019</v>
      </c>
      <c r="L43" s="5" t="str">
        <f t="shared" si="4"/>
        <v>lootName41,DAIL/items/materia/class0019/Warfare41.dbr,</v>
      </c>
      <c r="M43" s="5" t="str">
        <f t="shared" si="5"/>
        <v>lootWeight41,1,</v>
      </c>
      <c r="N43" t="str">
        <f t="shared" si="6"/>
        <v>3</v>
      </c>
      <c r="O43" t="str">
        <f t="shared" si="16"/>
        <v>copy .\dail_base3.dbr .\items\materia\class0019\Warfare41.dbr /y</v>
      </c>
      <c r="P43" t="str">
        <f t="shared" si="7"/>
        <v>echo relicBitmap,items/craftingparts/components/component_a52_bristlyfur_b.tex, &gt;&gt; .\items\materia\class0019\Warfare41.dbr</v>
      </c>
      <c r="Q43" t="str">
        <f t="shared" si="7"/>
        <v>echo itemCost,500000, &gt;&gt; .\items\materia\class0019\Warfare41.dbr</v>
      </c>
      <c r="R43" t="str">
        <f t="shared" si="7"/>
        <v>echo description,dailCompDescWarfare41, &gt;&gt; .\items\materia\class0019\Warfare41.dbr</v>
      </c>
      <c r="S43" t="str">
        <f t="shared" si="7"/>
        <v>echo itemText,dailCompTextWarfare41, &gt;&gt; .\items\materia\class0019\Warfare41.dbr</v>
      </c>
      <c r="T43" t="str">
        <f t="shared" si="7"/>
        <v>echo augmentSkillLevel1,3, &gt;&gt; .\items\materia\class0019\Warfare41.dbr</v>
      </c>
      <c r="U43" t="str">
        <f t="shared" si="7"/>
        <v>echo augmentSkillName1,records/skillswarfare/ancestralhorn.dbr,, &gt;&gt; .\items\materia\class0019\Warfare41.dbr</v>
      </c>
      <c r="V43" s="5" t="s">
        <v>36</v>
      </c>
      <c r="W43" t="str">
        <f t="shared" si="8"/>
        <v>echo lootName41,DAIL/items/materia/class0019/Warfare41.dbr, &gt;&gt; .\items\loottables\dailoneskill0019.dbr</v>
      </c>
      <c r="X43" t="str">
        <f t="shared" si="8"/>
        <v>echo lootWeight41,1, &gt;&gt; .\items\loottables\dailoneskill0019.dbr</v>
      </c>
      <c r="Y43" s="5" t="s">
        <v>36</v>
      </c>
      <c r="Z43" t="str">
        <f t="shared" si="9"/>
        <v xml:space="preserve"> dailCompDescWarfare41=^pWarfare's Gift of DAIL</v>
      </c>
      <c r="AA43" t="str">
        <f t="shared" si="17"/>
        <v>dailCompTextWarfare41=^oThis feels warm to the touch, almost familiar ^w(This component only fits into the Medal Slot)</v>
      </c>
      <c r="AB43" s="5" t="s">
        <v>36</v>
      </c>
      <c r="AH43">
        <f t="shared" si="19"/>
        <v>38</v>
      </c>
      <c r="AI43">
        <f t="shared" si="13"/>
        <v>26</v>
      </c>
      <c r="AJ43">
        <f t="shared" si="18"/>
        <v>3</v>
      </c>
    </row>
    <row r="44" spans="1:36" x14ac:dyDescent="0.25">
      <c r="A44" s="5" t="s">
        <v>39</v>
      </c>
      <c r="B44" s="5" t="s">
        <v>30</v>
      </c>
      <c r="C44" s="5" t="str">
        <f t="shared" si="0"/>
        <v>description,dailCompDescWarfare42,</v>
      </c>
      <c r="D44" s="5" t="str">
        <f t="shared" si="2"/>
        <v>itemText,dailCompTextWarfare42,</v>
      </c>
      <c r="E44" s="5" t="str">
        <f t="shared" si="14"/>
        <v>augmentSkillLevel1,3,</v>
      </c>
      <c r="F44" s="5" t="str">
        <f t="shared" si="15"/>
        <v>augmentSkillName1,records/skillswarfare/battlestandard.dbr,,</v>
      </c>
      <c r="G44" s="7">
        <f t="shared" si="10"/>
        <v>42</v>
      </c>
      <c r="H44" s="8" t="str">
        <f t="shared" si="11"/>
        <v>Warfare</v>
      </c>
      <c r="I44" s="3" t="s">
        <v>657</v>
      </c>
      <c r="J44" s="8" t="str">
        <f t="shared" si="21"/>
        <v>class0019</v>
      </c>
      <c r="K44" s="8" t="str">
        <f t="shared" si="21"/>
        <v>dailoneskill0019</v>
      </c>
      <c r="L44" s="5" t="str">
        <f t="shared" si="4"/>
        <v>lootName42,DAIL/items/materia/class0019/Warfare42.dbr,</v>
      </c>
      <c r="M44" s="5" t="str">
        <f t="shared" si="5"/>
        <v>lootWeight42,1,</v>
      </c>
      <c r="N44" t="str">
        <f t="shared" si="6"/>
        <v>3</v>
      </c>
      <c r="O44" t="str">
        <f t="shared" si="16"/>
        <v>copy .\dail_base3.dbr .\items\materia\class0019\Warfare42.dbr /y</v>
      </c>
      <c r="P44" t="str">
        <f t="shared" si="7"/>
        <v>echo relicBitmap,items/craftingparts/components/component_a52_bristlyfur_b.tex, &gt;&gt; .\items\materia\class0019\Warfare42.dbr</v>
      </c>
      <c r="Q44" t="str">
        <f t="shared" si="7"/>
        <v>echo itemCost,500000, &gt;&gt; .\items\materia\class0019\Warfare42.dbr</v>
      </c>
      <c r="R44" t="str">
        <f t="shared" si="7"/>
        <v>echo description,dailCompDescWarfare42, &gt;&gt; .\items\materia\class0019\Warfare42.dbr</v>
      </c>
      <c r="S44" t="str">
        <f t="shared" si="7"/>
        <v>echo itemText,dailCompTextWarfare42, &gt;&gt; .\items\materia\class0019\Warfare42.dbr</v>
      </c>
      <c r="T44" t="str">
        <f t="shared" si="7"/>
        <v>echo augmentSkillLevel1,3, &gt;&gt; .\items\materia\class0019\Warfare42.dbr</v>
      </c>
      <c r="U44" t="str">
        <f t="shared" si="7"/>
        <v>echo augmentSkillName1,records/skillswarfare/battlestandard.dbr,, &gt;&gt; .\items\materia\class0019\Warfare42.dbr</v>
      </c>
      <c r="V44" s="5" t="s">
        <v>36</v>
      </c>
      <c r="W44" t="str">
        <f t="shared" si="8"/>
        <v>echo lootName42,DAIL/items/materia/class0019/Warfare42.dbr, &gt;&gt; .\items\loottables\dailoneskill0019.dbr</v>
      </c>
      <c r="X44" t="str">
        <f t="shared" si="8"/>
        <v>echo lootWeight42,1, &gt;&gt; .\items\loottables\dailoneskill0019.dbr</v>
      </c>
      <c r="Y44" s="5" t="s">
        <v>36</v>
      </c>
      <c r="Z44" t="str">
        <f t="shared" si="9"/>
        <v xml:space="preserve"> dailCompDescWarfare42=^pWarfare's Gift of DAIL</v>
      </c>
      <c r="AA44" t="str">
        <f t="shared" si="17"/>
        <v>dailCompTextWarfare42=^oThis feels warm to the touch, almost familiar ^w(This component only fits into the Medal Slot)</v>
      </c>
      <c r="AB44" s="5" t="s">
        <v>36</v>
      </c>
      <c r="AH44">
        <f t="shared" si="19"/>
        <v>39</v>
      </c>
      <c r="AI44">
        <f t="shared" si="13"/>
        <v>27</v>
      </c>
      <c r="AJ44">
        <f t="shared" si="18"/>
        <v>3</v>
      </c>
    </row>
    <row r="45" spans="1:36" x14ac:dyDescent="0.25">
      <c r="A45" s="5" t="s">
        <v>39</v>
      </c>
      <c r="B45" s="5" t="s">
        <v>30</v>
      </c>
      <c r="C45" s="5" t="str">
        <f t="shared" si="0"/>
        <v>description,dailCompDescWarfare43,</v>
      </c>
      <c r="D45" s="5" t="str">
        <f t="shared" si="2"/>
        <v>itemText,dailCompTextWarfare43,</v>
      </c>
      <c r="E45" s="5" t="str">
        <f t="shared" si="14"/>
        <v>augmentSkillLevel1,5,</v>
      </c>
      <c r="F45" s="5" t="str">
        <f t="shared" si="15"/>
        <v>augmentSkillName1,records/skillswarfare/battlestandard_petmodifier_triumph.dbr,,</v>
      </c>
      <c r="G45" s="7">
        <f t="shared" si="10"/>
        <v>43</v>
      </c>
      <c r="H45" s="8" t="str">
        <f t="shared" si="11"/>
        <v>Warfare</v>
      </c>
      <c r="I45" s="3" t="s">
        <v>658</v>
      </c>
      <c r="J45" s="8" t="str">
        <f t="shared" si="21"/>
        <v>class0019</v>
      </c>
      <c r="K45" s="8" t="str">
        <f t="shared" si="21"/>
        <v>dailoneskill0019</v>
      </c>
      <c r="L45" s="5" t="str">
        <f t="shared" si="4"/>
        <v>lootName43,DAIL/items/materia/class0019/Warfare43.dbr,</v>
      </c>
      <c r="M45" s="5" t="str">
        <f t="shared" si="5"/>
        <v>lootWeight43,1,</v>
      </c>
      <c r="N45" t="str">
        <f t="shared" si="6"/>
        <v>5</v>
      </c>
      <c r="O45" t="str">
        <f t="shared" si="16"/>
        <v>copy .\dail_base3.dbr .\items\materia\class0019\Warfare43.dbr /y</v>
      </c>
      <c r="P45" t="str">
        <f t="shared" si="7"/>
        <v>echo relicBitmap,items/craftingparts/components/component_a52_bristlyfur_b.tex, &gt;&gt; .\items\materia\class0019\Warfare43.dbr</v>
      </c>
      <c r="Q45" t="str">
        <f t="shared" si="7"/>
        <v>echo itemCost,500000, &gt;&gt; .\items\materia\class0019\Warfare43.dbr</v>
      </c>
      <c r="R45" t="str">
        <f t="shared" si="7"/>
        <v>echo description,dailCompDescWarfare43, &gt;&gt; .\items\materia\class0019\Warfare43.dbr</v>
      </c>
      <c r="S45" t="str">
        <f t="shared" si="7"/>
        <v>echo itemText,dailCompTextWarfare43, &gt;&gt; .\items\materia\class0019\Warfare43.dbr</v>
      </c>
      <c r="T45" t="str">
        <f t="shared" si="7"/>
        <v>echo augmentSkillLevel1,5, &gt;&gt; .\items\materia\class0019\Warfare43.dbr</v>
      </c>
      <c r="U45" t="str">
        <f t="shared" si="7"/>
        <v>echo augmentSkillName1,records/skillswarfare/battlestandard_petmodifier_triumph.dbr,, &gt;&gt; .\items\materia\class0019\Warfare43.dbr</v>
      </c>
      <c r="V45" s="5" t="s">
        <v>36</v>
      </c>
      <c r="W45" t="str">
        <f t="shared" si="8"/>
        <v>echo lootName43,DAIL/items/materia/class0019/Warfare43.dbr, &gt;&gt; .\items\loottables\dailoneskill0019.dbr</v>
      </c>
      <c r="X45" t="str">
        <f t="shared" si="8"/>
        <v>echo lootWeight43,1, &gt;&gt; .\items\loottables\dailoneskill0019.dbr</v>
      </c>
      <c r="Y45" s="5" t="s">
        <v>36</v>
      </c>
      <c r="Z45" t="str">
        <f t="shared" si="9"/>
        <v xml:space="preserve"> dailCompDescWarfare43=^pWarfare's Gift of DAIL</v>
      </c>
      <c r="AA45" t="str">
        <f t="shared" si="17"/>
        <v>dailCompTextWarfare43=^oThis feels warm to the touch, almost familiar ^w(This component only fits into the Medal Slot)</v>
      </c>
      <c r="AB45" s="5" t="s">
        <v>36</v>
      </c>
      <c r="AH45">
        <f t="shared" si="19"/>
        <v>40</v>
      </c>
      <c r="AI45">
        <f t="shared" si="13"/>
        <v>47</v>
      </c>
      <c r="AJ45">
        <f t="shared" si="18"/>
        <v>5</v>
      </c>
    </row>
    <row r="46" spans="1:36" x14ac:dyDescent="0.25">
      <c r="A46" s="5" t="s">
        <v>39</v>
      </c>
      <c r="B46" s="5" t="s">
        <v>30</v>
      </c>
      <c r="C46" s="5" t="str">
        <f t="shared" si="0"/>
        <v>description,dailCompDescWarfare44,</v>
      </c>
      <c r="D46" s="5" t="str">
        <f t="shared" si="2"/>
        <v>itemText,dailCompTextWarfare44,</v>
      </c>
      <c r="E46" s="5" t="str">
        <f t="shared" si="14"/>
        <v>augmentSkillLevel1,5,</v>
      </c>
      <c r="F46" s="5" t="str">
        <f t="shared" si="15"/>
        <v>augmentSkillName1,records/skillswarfare/weapontraining.dbr,,</v>
      </c>
      <c r="G46" s="7">
        <f t="shared" si="10"/>
        <v>44</v>
      </c>
      <c r="H46" s="8" t="str">
        <f t="shared" si="11"/>
        <v>Warfare</v>
      </c>
      <c r="I46" s="3" t="s">
        <v>639</v>
      </c>
      <c r="J46" s="8" t="str">
        <f t="shared" si="21"/>
        <v>class0019</v>
      </c>
      <c r="K46" s="8" t="str">
        <f t="shared" si="21"/>
        <v>dailoneskill0019</v>
      </c>
      <c r="L46" s="5" t="str">
        <f t="shared" si="4"/>
        <v>lootName44,DAIL/items/materia/class0019/Warfare44.dbr,</v>
      </c>
      <c r="M46" s="5" t="str">
        <f t="shared" si="5"/>
        <v>lootWeight44,1,</v>
      </c>
      <c r="N46" t="str">
        <f t="shared" si="6"/>
        <v>5</v>
      </c>
      <c r="O46" t="str">
        <f t="shared" si="16"/>
        <v>copy .\dail_base3.dbr .\items\materia\class0019\Warfare44.dbr /y</v>
      </c>
      <c r="P46" t="str">
        <f t="shared" si="7"/>
        <v>echo relicBitmap,items/craftingparts/components/component_a52_bristlyfur_b.tex, &gt;&gt; .\items\materia\class0019\Warfare44.dbr</v>
      </c>
      <c r="Q46" t="str">
        <f t="shared" si="7"/>
        <v>echo itemCost,500000, &gt;&gt; .\items\materia\class0019\Warfare44.dbr</v>
      </c>
      <c r="R46" t="str">
        <f t="shared" si="7"/>
        <v>echo description,dailCompDescWarfare44, &gt;&gt; .\items\materia\class0019\Warfare44.dbr</v>
      </c>
      <c r="S46" t="str">
        <f t="shared" si="7"/>
        <v>echo itemText,dailCompTextWarfare44, &gt;&gt; .\items\materia\class0019\Warfare44.dbr</v>
      </c>
      <c r="T46" t="str">
        <f t="shared" si="7"/>
        <v>echo augmentSkillLevel1,5, &gt;&gt; .\items\materia\class0019\Warfare44.dbr</v>
      </c>
      <c r="U46" t="str">
        <f t="shared" si="7"/>
        <v>echo augmentSkillName1,records/skillswarfare/weapontraining.dbr,, &gt;&gt; .\items\materia\class0019\Warfare44.dbr</v>
      </c>
      <c r="V46" s="5" t="s">
        <v>36</v>
      </c>
      <c r="W46" t="str">
        <f t="shared" si="8"/>
        <v>echo lootName44,DAIL/items/materia/class0019/Warfare44.dbr, &gt;&gt; .\items\loottables\dailoneskill0019.dbr</v>
      </c>
      <c r="X46" t="str">
        <f t="shared" si="8"/>
        <v>echo lootWeight44,1, &gt;&gt; .\items\loottables\dailoneskill0019.dbr</v>
      </c>
      <c r="Y46" s="5" t="s">
        <v>36</v>
      </c>
      <c r="Z46" t="str">
        <f t="shared" si="9"/>
        <v xml:space="preserve"> dailCompDescWarfare44=^pWarfare's Gift of DAIL</v>
      </c>
      <c r="AA46" t="str">
        <f t="shared" si="17"/>
        <v>dailCompTextWarfare44=^oThis feels warm to the touch, almost familiar ^w(This component only fits into the Medal Slot)</v>
      </c>
      <c r="AB46" s="5" t="s">
        <v>36</v>
      </c>
      <c r="AH46">
        <f t="shared" si="19"/>
        <v>41</v>
      </c>
      <c r="AI46">
        <f t="shared" si="13"/>
        <v>27</v>
      </c>
      <c r="AJ46">
        <f t="shared" si="18"/>
        <v>5</v>
      </c>
    </row>
    <row r="47" spans="1:36" x14ac:dyDescent="0.25">
      <c r="A47" s="5" t="s">
        <v>39</v>
      </c>
      <c r="B47" s="5" t="s">
        <v>30</v>
      </c>
      <c r="C47" s="5" t="str">
        <f t="shared" si="0"/>
        <v>description,dailCompDescWarfare45,</v>
      </c>
      <c r="D47" s="5" t="str">
        <f t="shared" si="2"/>
        <v>itemText,dailCompTextWarfare45,</v>
      </c>
      <c r="E47" s="5" t="str">
        <f t="shared" si="14"/>
        <v>augmentSkillLevel1,5,</v>
      </c>
      <c r="F47" s="5" t="str">
        <f t="shared" si="15"/>
        <v>augmentSkillName1,records/skillswarfare/warwind.dbr,,</v>
      </c>
      <c r="G47" s="7">
        <f t="shared" si="10"/>
        <v>45</v>
      </c>
      <c r="H47" s="8" t="str">
        <f t="shared" si="11"/>
        <v>Warfare</v>
      </c>
      <c r="I47" s="3" t="s">
        <v>640</v>
      </c>
      <c r="J47" s="8" t="str">
        <f t="shared" si="21"/>
        <v>class0019</v>
      </c>
      <c r="K47" s="8" t="str">
        <f t="shared" si="21"/>
        <v>dailoneskill0019</v>
      </c>
      <c r="L47" s="5" t="str">
        <f t="shared" si="4"/>
        <v>lootName45,DAIL/items/materia/class0019/Warfare45.dbr,</v>
      </c>
      <c r="M47" s="5" t="str">
        <f t="shared" si="5"/>
        <v>lootWeight45,1,</v>
      </c>
      <c r="N47" t="str">
        <f t="shared" si="6"/>
        <v>5</v>
      </c>
      <c r="O47" t="str">
        <f t="shared" si="16"/>
        <v>copy .\dail_base3.dbr .\items\materia\class0019\Warfare45.dbr /y</v>
      </c>
      <c r="P47" t="str">
        <f t="shared" si="7"/>
        <v>echo relicBitmap,items/craftingparts/components/component_a52_bristlyfur_b.tex, &gt;&gt; .\items\materia\class0019\Warfare45.dbr</v>
      </c>
      <c r="Q47" t="str">
        <f t="shared" si="7"/>
        <v>echo itemCost,500000, &gt;&gt; .\items\materia\class0019\Warfare45.dbr</v>
      </c>
      <c r="R47" t="str">
        <f t="shared" si="7"/>
        <v>echo description,dailCompDescWarfare45, &gt;&gt; .\items\materia\class0019\Warfare45.dbr</v>
      </c>
      <c r="S47" t="str">
        <f t="shared" si="7"/>
        <v>echo itemText,dailCompTextWarfare45, &gt;&gt; .\items\materia\class0019\Warfare45.dbr</v>
      </c>
      <c r="T47" t="str">
        <f t="shared" si="7"/>
        <v>echo augmentSkillLevel1,5, &gt;&gt; .\items\materia\class0019\Warfare45.dbr</v>
      </c>
      <c r="U47" t="str">
        <f t="shared" si="7"/>
        <v>echo augmentSkillName1,records/skillswarfare/warwind.dbr,, &gt;&gt; .\items\materia\class0019\Warfare45.dbr</v>
      </c>
      <c r="V47" s="5" t="s">
        <v>36</v>
      </c>
      <c r="W47" t="str">
        <f t="shared" si="8"/>
        <v>echo lootName45,DAIL/items/materia/class0019/Warfare45.dbr, &gt;&gt; .\items\loottables\dailoneskill0019.dbr</v>
      </c>
      <c r="X47" t="str">
        <f t="shared" si="8"/>
        <v>echo lootWeight45,1, &gt;&gt; .\items\loottables\dailoneskill0019.dbr</v>
      </c>
      <c r="Y47" s="5" t="s">
        <v>36</v>
      </c>
      <c r="Z47" t="str">
        <f t="shared" si="9"/>
        <v xml:space="preserve"> dailCompDescWarfare45=^pWarfare's Gift of DAIL</v>
      </c>
      <c r="AA47" t="str">
        <f t="shared" si="17"/>
        <v>dailCompTextWarfare45=^oThis feels warm to the touch, almost familiar ^w(This component only fits into the Medal Slot)</v>
      </c>
      <c r="AB47" s="5" t="s">
        <v>36</v>
      </c>
      <c r="AH47">
        <f t="shared" si="19"/>
        <v>42</v>
      </c>
      <c r="AI47">
        <f t="shared" si="13"/>
        <v>20</v>
      </c>
      <c r="AJ47">
        <f t="shared" si="18"/>
        <v>5</v>
      </c>
    </row>
    <row r="48" spans="1:36" x14ac:dyDescent="0.25">
      <c r="A48" s="5" t="s">
        <v>39</v>
      </c>
      <c r="B48" s="5" t="s">
        <v>30</v>
      </c>
      <c r="C48" s="5" t="str">
        <f t="shared" si="0"/>
        <v>description,dailCompDescWarfare46,</v>
      </c>
      <c r="D48" s="5" t="str">
        <f t="shared" si="2"/>
        <v>itemText,dailCompTextWarfare46,</v>
      </c>
      <c r="E48" s="5" t="str">
        <f t="shared" si="14"/>
        <v>augmentSkillLevel1,5,</v>
      </c>
      <c r="F48" s="5" t="str">
        <f t="shared" si="15"/>
        <v>augmentSkillName1,records/skillswarfare/warwind_lacerate.dbr,,</v>
      </c>
      <c r="G48" s="7">
        <f t="shared" si="10"/>
        <v>46</v>
      </c>
      <c r="H48" s="8" t="str">
        <f t="shared" si="11"/>
        <v>Warfare</v>
      </c>
      <c r="I48" s="3" t="s">
        <v>641</v>
      </c>
      <c r="J48" s="8" t="str">
        <f t="shared" si="21"/>
        <v>class0019</v>
      </c>
      <c r="K48" s="8" t="str">
        <f t="shared" si="21"/>
        <v>dailoneskill0019</v>
      </c>
      <c r="L48" s="5" t="str">
        <f t="shared" si="4"/>
        <v>lootName46,DAIL/items/materia/class0019/Warfare46.dbr,</v>
      </c>
      <c r="M48" s="5" t="str">
        <f t="shared" si="5"/>
        <v>lootWeight46,1,</v>
      </c>
      <c r="N48" t="str">
        <f t="shared" si="6"/>
        <v>5</v>
      </c>
      <c r="O48" t="str">
        <f t="shared" si="16"/>
        <v>copy .\dail_base3.dbr .\items\materia\class0019\Warfare46.dbr /y</v>
      </c>
      <c r="P48" t="str">
        <f t="shared" si="7"/>
        <v>echo relicBitmap,items/craftingparts/components/component_a52_bristlyfur_b.tex, &gt;&gt; .\items\materia\class0019\Warfare46.dbr</v>
      </c>
      <c r="Q48" t="str">
        <f t="shared" si="7"/>
        <v>echo itemCost,500000, &gt;&gt; .\items\materia\class0019\Warfare46.dbr</v>
      </c>
      <c r="R48" t="str">
        <f t="shared" si="7"/>
        <v>echo description,dailCompDescWarfare46, &gt;&gt; .\items\materia\class0019\Warfare46.dbr</v>
      </c>
      <c r="S48" t="str">
        <f t="shared" si="7"/>
        <v>echo itemText,dailCompTextWarfare46, &gt;&gt; .\items\materia\class0019\Warfare46.dbr</v>
      </c>
      <c r="T48" t="str">
        <f t="shared" si="7"/>
        <v>echo augmentSkillLevel1,5, &gt;&gt; .\items\materia\class0019\Warfare46.dbr</v>
      </c>
      <c r="U48" t="str">
        <f t="shared" si="7"/>
        <v>echo augmentSkillName1,records/skillswarfare/warwind_lacerate.dbr,, &gt;&gt; .\items\materia\class0019\Warfare46.dbr</v>
      </c>
      <c r="V48" s="5" t="s">
        <v>36</v>
      </c>
      <c r="W48" t="str">
        <f t="shared" si="8"/>
        <v>echo lootName46,DAIL/items/materia/class0019/Warfare46.dbr, &gt;&gt; .\items\loottables\dailoneskill0019.dbr</v>
      </c>
      <c r="X48" t="str">
        <f t="shared" si="8"/>
        <v>echo lootWeight46,1, &gt;&gt; .\items\loottables\dailoneskill0019.dbr</v>
      </c>
      <c r="Y48" s="5" t="s">
        <v>36</v>
      </c>
      <c r="Z48" t="str">
        <f t="shared" si="9"/>
        <v xml:space="preserve"> dailCompDescWarfare46=^pWarfare's Gift of DAIL</v>
      </c>
      <c r="AA48" t="str">
        <f t="shared" si="17"/>
        <v>dailCompTextWarfare46=^oThis feels warm to the touch, almost familiar ^w(This component only fits into the Medal Slot)</v>
      </c>
      <c r="AB48" s="5" t="s">
        <v>36</v>
      </c>
      <c r="AH48">
        <f t="shared" si="19"/>
        <v>43</v>
      </c>
      <c r="AI48">
        <f t="shared" si="13"/>
        <v>29</v>
      </c>
      <c r="AJ48">
        <f t="shared" si="18"/>
        <v>5</v>
      </c>
    </row>
    <row r="49" spans="1:36" x14ac:dyDescent="0.25">
      <c r="A49" s="5" t="s">
        <v>39</v>
      </c>
      <c r="B49" s="5" t="s">
        <v>30</v>
      </c>
      <c r="C49" s="5" t="str">
        <f t="shared" si="0"/>
        <v>description,dailCompDescWarfare47,</v>
      </c>
      <c r="D49" s="5" t="str">
        <f t="shared" si="2"/>
        <v>itemText,dailCompTextWarfare47,</v>
      </c>
      <c r="E49" s="5" t="str">
        <f t="shared" si="14"/>
        <v>augmentSkillLevel1,5,</v>
      </c>
      <c r="F49" s="5" t="str">
        <f t="shared" si="15"/>
        <v>augmentSkillName1,records/skillswarfare/dodge attack.dbr,,</v>
      </c>
      <c r="G49" s="7">
        <f t="shared" si="10"/>
        <v>47</v>
      </c>
      <c r="H49" s="8" t="str">
        <f t="shared" si="11"/>
        <v>Warfare</v>
      </c>
      <c r="I49" s="3" t="s">
        <v>642</v>
      </c>
      <c r="J49" s="8" t="str">
        <f t="shared" si="21"/>
        <v>class0019</v>
      </c>
      <c r="K49" s="8" t="str">
        <f t="shared" si="21"/>
        <v>dailoneskill0019</v>
      </c>
      <c r="L49" s="5" t="str">
        <f t="shared" si="4"/>
        <v>lootName47,DAIL/items/materia/class0019/Warfare47.dbr,</v>
      </c>
      <c r="M49" s="5" t="str">
        <f t="shared" si="5"/>
        <v>lootWeight47,1,</v>
      </c>
      <c r="N49" t="str">
        <f t="shared" si="6"/>
        <v>5</v>
      </c>
      <c r="O49" t="str">
        <f t="shared" si="16"/>
        <v>copy .\dail_base3.dbr .\items\materia\class0019\Warfare47.dbr /y</v>
      </c>
      <c r="P49" t="str">
        <f t="shared" si="7"/>
        <v>echo relicBitmap,items/craftingparts/components/component_a52_bristlyfur_b.tex, &gt;&gt; .\items\materia\class0019\Warfare47.dbr</v>
      </c>
      <c r="Q49" t="str">
        <f t="shared" si="7"/>
        <v>echo itemCost,500000, &gt;&gt; .\items\materia\class0019\Warfare47.dbr</v>
      </c>
      <c r="R49" t="str">
        <f t="shared" si="7"/>
        <v>echo description,dailCompDescWarfare47, &gt;&gt; .\items\materia\class0019\Warfare47.dbr</v>
      </c>
      <c r="S49" t="str">
        <f t="shared" si="7"/>
        <v>echo itemText,dailCompTextWarfare47, &gt;&gt; .\items\materia\class0019\Warfare47.dbr</v>
      </c>
      <c r="T49" t="str">
        <f t="shared" si="7"/>
        <v>echo augmentSkillLevel1,5, &gt;&gt; .\items\materia\class0019\Warfare47.dbr</v>
      </c>
      <c r="U49" t="str">
        <f t="shared" si="7"/>
        <v>echo augmentSkillName1,records/skillswarfare/dodge attack.dbr,, &gt;&gt; .\items\materia\class0019\Warfare47.dbr</v>
      </c>
      <c r="V49" s="5" t="s">
        <v>36</v>
      </c>
      <c r="W49" t="str">
        <f t="shared" si="8"/>
        <v>echo lootName47,DAIL/items/materia/class0019/Warfare47.dbr, &gt;&gt; .\items\loottables\dailoneskill0019.dbr</v>
      </c>
      <c r="X49" t="str">
        <f t="shared" si="8"/>
        <v>echo lootWeight47,1, &gt;&gt; .\items\loottables\dailoneskill0019.dbr</v>
      </c>
      <c r="Y49" s="5" t="s">
        <v>36</v>
      </c>
      <c r="Z49" t="str">
        <f t="shared" si="9"/>
        <v xml:space="preserve"> dailCompDescWarfare47=^pWarfare's Gift of DAIL</v>
      </c>
      <c r="AA49" t="str">
        <f t="shared" si="17"/>
        <v>dailCompTextWarfare47=^oThis feels warm to the touch, almost familiar ^w(This component only fits into the Medal Slot)</v>
      </c>
      <c r="AB49" s="5" t="s">
        <v>36</v>
      </c>
      <c r="AH49">
        <f t="shared" si="19"/>
        <v>44</v>
      </c>
      <c r="AI49">
        <f t="shared" si="13"/>
        <v>25</v>
      </c>
      <c r="AJ49">
        <f t="shared" si="18"/>
        <v>5</v>
      </c>
    </row>
    <row r="50" spans="1:36" x14ac:dyDescent="0.25">
      <c r="A50" s="5" t="s">
        <v>39</v>
      </c>
      <c r="B50" s="5" t="s">
        <v>30</v>
      </c>
      <c r="C50" s="5" t="str">
        <f t="shared" si="0"/>
        <v>description,dailCompDescWarfare48,</v>
      </c>
      <c r="D50" s="5" t="str">
        <f t="shared" si="2"/>
        <v>itemText,dailCompTextWarfare48,</v>
      </c>
      <c r="E50" s="5" t="str">
        <f t="shared" si="14"/>
        <v>augmentSkillLevel1,5,</v>
      </c>
      <c r="F50" s="5" t="str">
        <f t="shared" si="15"/>
        <v>augmentSkillName1,records/skillswarfare/dualweapontraining.dbr,,</v>
      </c>
      <c r="G50" s="7">
        <f t="shared" si="10"/>
        <v>48</v>
      </c>
      <c r="H50" s="8" t="str">
        <f t="shared" si="11"/>
        <v>Warfare</v>
      </c>
      <c r="I50" s="3" t="s">
        <v>643</v>
      </c>
      <c r="J50" s="8" t="str">
        <f t="shared" si="21"/>
        <v>class0019</v>
      </c>
      <c r="K50" s="8" t="str">
        <f t="shared" si="21"/>
        <v>dailoneskill0019</v>
      </c>
      <c r="L50" s="5" t="str">
        <f t="shared" si="4"/>
        <v>lootName48,DAIL/items/materia/class0019/Warfare48.dbr,</v>
      </c>
      <c r="M50" s="5" t="str">
        <f t="shared" si="5"/>
        <v>lootWeight48,1,</v>
      </c>
      <c r="N50" t="str">
        <f t="shared" si="6"/>
        <v>5</v>
      </c>
      <c r="O50" t="str">
        <f t="shared" si="16"/>
        <v>copy .\dail_base3.dbr .\items\materia\class0019\Warfare48.dbr /y</v>
      </c>
      <c r="P50" t="str">
        <f t="shared" si="7"/>
        <v>echo relicBitmap,items/craftingparts/components/component_a52_bristlyfur_b.tex, &gt;&gt; .\items\materia\class0019\Warfare48.dbr</v>
      </c>
      <c r="Q50" t="str">
        <f t="shared" si="7"/>
        <v>echo itemCost,500000, &gt;&gt; .\items\materia\class0019\Warfare48.dbr</v>
      </c>
      <c r="R50" t="str">
        <f t="shared" si="7"/>
        <v>echo description,dailCompDescWarfare48, &gt;&gt; .\items\materia\class0019\Warfare48.dbr</v>
      </c>
      <c r="S50" t="str">
        <f t="shared" si="7"/>
        <v>echo itemText,dailCompTextWarfare48, &gt;&gt; .\items\materia\class0019\Warfare48.dbr</v>
      </c>
      <c r="T50" t="str">
        <f t="shared" si="7"/>
        <v>echo augmentSkillLevel1,5, &gt;&gt; .\items\materia\class0019\Warfare48.dbr</v>
      </c>
      <c r="U50" t="str">
        <f t="shared" si="7"/>
        <v>echo augmentSkillName1,records/skillswarfare/dualweapontraining.dbr,, &gt;&gt; .\items\materia\class0019\Warfare48.dbr</v>
      </c>
      <c r="V50" s="5" t="s">
        <v>36</v>
      </c>
      <c r="W50" t="str">
        <f t="shared" si="8"/>
        <v>echo lootName48,DAIL/items/materia/class0019/Warfare48.dbr, &gt;&gt; .\items\loottables\dailoneskill0019.dbr</v>
      </c>
      <c r="X50" t="str">
        <f t="shared" si="8"/>
        <v>echo lootWeight48,1, &gt;&gt; .\items\loottables\dailoneskill0019.dbr</v>
      </c>
      <c r="Y50" s="5" t="s">
        <v>36</v>
      </c>
      <c r="Z50" t="str">
        <f t="shared" si="9"/>
        <v xml:space="preserve"> dailCompDescWarfare48=^pWarfare's Gift of DAIL</v>
      </c>
      <c r="AA50" t="str">
        <f t="shared" si="17"/>
        <v>dailCompTextWarfare48=^oThis feels warm to the touch, almost familiar ^w(This component only fits into the Medal Slot)</v>
      </c>
      <c r="AB50" s="5" t="s">
        <v>36</v>
      </c>
      <c r="AH50">
        <f t="shared" si="19"/>
        <v>45</v>
      </c>
      <c r="AI50">
        <f t="shared" si="13"/>
        <v>31</v>
      </c>
      <c r="AJ50">
        <f t="shared" si="18"/>
        <v>5</v>
      </c>
    </row>
    <row r="51" spans="1:36" x14ac:dyDescent="0.25">
      <c r="A51" s="5" t="s">
        <v>39</v>
      </c>
      <c r="B51" s="5" t="s">
        <v>30</v>
      </c>
      <c r="C51" s="5" t="str">
        <f t="shared" si="0"/>
        <v>description,dailCompDescWarfare49,</v>
      </c>
      <c r="D51" s="5" t="str">
        <f t="shared" si="2"/>
        <v>itemText,dailCompTextWarfare49,</v>
      </c>
      <c r="E51" s="5" t="str">
        <f t="shared" si="14"/>
        <v>augmentSkillLevel1,5,</v>
      </c>
      <c r="F51" s="5" t="str">
        <f t="shared" si="15"/>
        <v>augmentSkillName1,records/skillswarfare/dualwieldtechnique_jumpslash.dbr,,</v>
      </c>
      <c r="G51" s="7">
        <f t="shared" si="10"/>
        <v>49</v>
      </c>
      <c r="H51" s="8" t="str">
        <f t="shared" si="11"/>
        <v>Warfare</v>
      </c>
      <c r="I51" s="3" t="s">
        <v>644</v>
      </c>
      <c r="J51" s="8" t="str">
        <f t="shared" si="21"/>
        <v>class0019</v>
      </c>
      <c r="K51" s="8" t="str">
        <f t="shared" si="21"/>
        <v>dailoneskill0019</v>
      </c>
      <c r="L51" s="5" t="str">
        <f t="shared" si="4"/>
        <v>lootName49,DAIL/items/materia/class0019/Warfare49.dbr,</v>
      </c>
      <c r="M51" s="5" t="str">
        <f t="shared" si="5"/>
        <v>lootWeight49,1,</v>
      </c>
      <c r="N51" t="str">
        <f t="shared" si="6"/>
        <v>5</v>
      </c>
      <c r="O51" t="str">
        <f t="shared" si="16"/>
        <v>copy .\dail_base3.dbr .\items\materia\class0019\Warfare49.dbr /y</v>
      </c>
      <c r="P51" t="str">
        <f t="shared" si="7"/>
        <v>echo relicBitmap,items/craftingparts/components/component_a52_bristlyfur_b.tex, &gt;&gt; .\items\materia\class0019\Warfare49.dbr</v>
      </c>
      <c r="Q51" t="str">
        <f t="shared" si="7"/>
        <v>echo itemCost,500000, &gt;&gt; .\items\materia\class0019\Warfare49.dbr</v>
      </c>
      <c r="R51" t="str">
        <f t="shared" si="7"/>
        <v>echo description,dailCompDescWarfare49, &gt;&gt; .\items\materia\class0019\Warfare49.dbr</v>
      </c>
      <c r="S51" t="str">
        <f t="shared" si="7"/>
        <v>echo itemText,dailCompTextWarfare49, &gt;&gt; .\items\materia\class0019\Warfare49.dbr</v>
      </c>
      <c r="T51" t="str">
        <f t="shared" si="7"/>
        <v>echo augmentSkillLevel1,5, &gt;&gt; .\items\materia\class0019\Warfare49.dbr</v>
      </c>
      <c r="U51" t="str">
        <f t="shared" si="7"/>
        <v>echo augmentSkillName1,records/skillswarfare/dualwieldtechnique_jumpslash.dbr,, &gt;&gt; .\items\materia\class0019\Warfare49.dbr</v>
      </c>
      <c r="V51" s="5" t="s">
        <v>36</v>
      </c>
      <c r="W51" t="str">
        <f t="shared" si="8"/>
        <v>echo lootName49,DAIL/items/materia/class0019/Warfare49.dbr, &gt;&gt; .\items\loottables\dailoneskill0019.dbr</v>
      </c>
      <c r="X51" t="str">
        <f t="shared" si="8"/>
        <v>echo lootWeight49,1, &gt;&gt; .\items\loottables\dailoneskill0019.dbr</v>
      </c>
      <c r="Y51" s="5" t="s">
        <v>36</v>
      </c>
      <c r="Z51" t="str">
        <f t="shared" si="9"/>
        <v xml:space="preserve"> dailCompDescWarfare49=^pWarfare's Gift of DAIL</v>
      </c>
      <c r="AA51" t="str">
        <f t="shared" si="17"/>
        <v>dailCompTextWarfare49=^oThis feels warm to the touch, almost familiar ^w(This component only fits into the Medal Slot)</v>
      </c>
      <c r="AB51" s="5" t="s">
        <v>36</v>
      </c>
      <c r="AH51">
        <f t="shared" si="19"/>
        <v>46</v>
      </c>
      <c r="AI51">
        <f t="shared" si="13"/>
        <v>41</v>
      </c>
      <c r="AJ51">
        <f t="shared" si="18"/>
        <v>5</v>
      </c>
    </row>
    <row r="52" spans="1:36" x14ac:dyDescent="0.25">
      <c r="A52" s="5" t="s">
        <v>39</v>
      </c>
      <c r="B52" s="5" t="s">
        <v>30</v>
      </c>
      <c r="C52" s="5" t="str">
        <f t="shared" si="0"/>
        <v>description,dailCompDescWarfare50,</v>
      </c>
      <c r="D52" s="5" t="str">
        <f t="shared" si="2"/>
        <v>itemText,dailCompTextWarfare50,</v>
      </c>
      <c r="E52" s="5" t="str">
        <f t="shared" si="14"/>
        <v>augmentSkillLevel1,5,</v>
      </c>
      <c r="F52" s="5" t="str">
        <f t="shared" si="15"/>
        <v>augmentSkillName1,records/skillswarfare/dualwieldtechnique_crosscut.dbr,,</v>
      </c>
      <c r="G52" s="7">
        <f t="shared" si="10"/>
        <v>50</v>
      </c>
      <c r="H52" s="8" t="str">
        <f t="shared" si="11"/>
        <v>Warfare</v>
      </c>
      <c r="I52" s="3" t="s">
        <v>645</v>
      </c>
      <c r="J52" s="8" t="str">
        <f t="shared" si="21"/>
        <v>class0019</v>
      </c>
      <c r="K52" s="8" t="str">
        <f t="shared" si="21"/>
        <v>dailoneskill0019</v>
      </c>
      <c r="L52" s="5" t="str">
        <f t="shared" si="4"/>
        <v>lootName50,DAIL/items/materia/class0019/Warfare50.dbr,</v>
      </c>
      <c r="M52" s="5" t="str">
        <f t="shared" si="5"/>
        <v>lootWeight50,1,</v>
      </c>
      <c r="N52" t="str">
        <f t="shared" si="6"/>
        <v>5</v>
      </c>
      <c r="O52" t="str">
        <f t="shared" si="16"/>
        <v>copy .\dail_base3.dbr .\items\materia\class0019\Warfare50.dbr /y</v>
      </c>
      <c r="P52" t="str">
        <f t="shared" si="7"/>
        <v>echo relicBitmap,items/craftingparts/components/component_a52_bristlyfur_b.tex, &gt;&gt; .\items\materia\class0019\Warfare50.dbr</v>
      </c>
      <c r="Q52" t="str">
        <f t="shared" si="7"/>
        <v>echo itemCost,500000, &gt;&gt; .\items\materia\class0019\Warfare50.dbr</v>
      </c>
      <c r="R52" t="str">
        <f t="shared" si="7"/>
        <v>echo description,dailCompDescWarfare50, &gt;&gt; .\items\materia\class0019\Warfare50.dbr</v>
      </c>
      <c r="S52" t="str">
        <f t="shared" si="7"/>
        <v>echo itemText,dailCompTextWarfare50, &gt;&gt; .\items\materia\class0019\Warfare50.dbr</v>
      </c>
      <c r="T52" t="str">
        <f t="shared" si="7"/>
        <v>echo augmentSkillLevel1,5, &gt;&gt; .\items\materia\class0019\Warfare50.dbr</v>
      </c>
      <c r="U52" t="str">
        <f t="shared" si="7"/>
        <v>echo augmentSkillName1,records/skillswarfare/dualwieldtechnique_crosscut.dbr,, &gt;&gt; .\items\materia\class0019\Warfare50.dbr</v>
      </c>
      <c r="V52" s="5" t="s">
        <v>36</v>
      </c>
      <c r="W52" t="str">
        <f t="shared" si="8"/>
        <v>echo lootName50,DAIL/items/materia/class0019/Warfare50.dbr, &gt;&gt; .\items\loottables\dailoneskill0019.dbr</v>
      </c>
      <c r="X52" t="str">
        <f t="shared" si="8"/>
        <v>echo lootWeight50,1, &gt;&gt; .\items\loottables\dailoneskill0019.dbr</v>
      </c>
      <c r="Y52" s="5" t="s">
        <v>36</v>
      </c>
      <c r="Z52" t="str">
        <f t="shared" si="9"/>
        <v xml:space="preserve"> dailCompDescWarfare50=^pWarfare's Gift of DAIL</v>
      </c>
      <c r="AA52" t="str">
        <f t="shared" si="17"/>
        <v>dailCompTextWarfare50=^oThis feels warm to the touch, almost familiar ^w(This component only fits into the Medal Slot)</v>
      </c>
      <c r="AB52" s="5" t="s">
        <v>36</v>
      </c>
      <c r="AH52">
        <f t="shared" si="19"/>
        <v>47</v>
      </c>
      <c r="AI52">
        <f t="shared" si="13"/>
        <v>40</v>
      </c>
      <c r="AJ52">
        <f t="shared" si="18"/>
        <v>5</v>
      </c>
    </row>
    <row r="53" spans="1:36" x14ac:dyDescent="0.25">
      <c r="A53" s="5" t="s">
        <v>39</v>
      </c>
      <c r="B53" s="5" t="s">
        <v>30</v>
      </c>
      <c r="C53" s="5" t="str">
        <f t="shared" si="0"/>
        <v>description,dailCompDescWarfare51,</v>
      </c>
      <c r="D53" s="5" t="str">
        <f t="shared" si="2"/>
        <v>itemText,dailCompTextWarfare51,</v>
      </c>
      <c r="E53" s="5" t="str">
        <f t="shared" si="14"/>
        <v>augmentSkillLevel1,5,</v>
      </c>
      <c r="F53" s="5" t="str">
        <f t="shared" si="15"/>
        <v>augmentSkillName1,records/skillswarfare/dualwieldtechnique_tumult.dbr,,</v>
      </c>
      <c r="G53" s="7">
        <f t="shared" si="10"/>
        <v>51</v>
      </c>
      <c r="H53" s="8" t="str">
        <f t="shared" si="11"/>
        <v>Warfare</v>
      </c>
      <c r="I53" s="3" t="s">
        <v>646</v>
      </c>
      <c r="J53" s="8" t="str">
        <f t="shared" ref="J53:K68" si="22">J52</f>
        <v>class0019</v>
      </c>
      <c r="K53" s="8" t="str">
        <f t="shared" si="22"/>
        <v>dailoneskill0019</v>
      </c>
      <c r="L53" s="5" t="str">
        <f t="shared" si="4"/>
        <v>lootName51,DAIL/items/materia/class0019/Warfare51.dbr,</v>
      </c>
      <c r="M53" s="5" t="str">
        <f t="shared" si="5"/>
        <v>lootWeight51,1,</v>
      </c>
      <c r="N53" t="str">
        <f t="shared" si="6"/>
        <v>5</v>
      </c>
      <c r="O53" t="str">
        <f t="shared" si="16"/>
        <v>copy .\dail_base3.dbr .\items\materia\class0019\Warfare51.dbr /y</v>
      </c>
      <c r="P53" t="str">
        <f t="shared" si="7"/>
        <v>echo relicBitmap,items/craftingparts/components/component_a52_bristlyfur_b.tex, &gt;&gt; .\items\materia\class0019\Warfare51.dbr</v>
      </c>
      <c r="Q53" t="str">
        <f t="shared" si="7"/>
        <v>echo itemCost,500000, &gt;&gt; .\items\materia\class0019\Warfare51.dbr</v>
      </c>
      <c r="R53" t="str">
        <f t="shared" si="7"/>
        <v>echo description,dailCompDescWarfare51, &gt;&gt; .\items\materia\class0019\Warfare51.dbr</v>
      </c>
      <c r="S53" t="str">
        <f t="shared" si="7"/>
        <v>echo itemText,dailCompTextWarfare51, &gt;&gt; .\items\materia\class0019\Warfare51.dbr</v>
      </c>
      <c r="T53" t="str">
        <f t="shared" si="7"/>
        <v>echo augmentSkillLevel1,5, &gt;&gt; .\items\materia\class0019\Warfare51.dbr</v>
      </c>
      <c r="U53" t="str">
        <f t="shared" si="7"/>
        <v>echo augmentSkillName1,records/skillswarfare/dualwieldtechnique_tumult.dbr,, &gt;&gt; .\items\materia\class0019\Warfare51.dbr</v>
      </c>
      <c r="V53" s="5" t="s">
        <v>36</v>
      </c>
      <c r="W53" t="str">
        <f t="shared" si="8"/>
        <v>echo lootName51,DAIL/items/materia/class0019/Warfare51.dbr, &gt;&gt; .\items\loottables\dailoneskill0019.dbr</v>
      </c>
      <c r="X53" t="str">
        <f t="shared" si="8"/>
        <v>echo lootWeight51,1, &gt;&gt; .\items\loottables\dailoneskill0019.dbr</v>
      </c>
      <c r="Y53" s="5" t="s">
        <v>36</v>
      </c>
      <c r="Z53" t="str">
        <f t="shared" si="9"/>
        <v xml:space="preserve"> dailCompDescWarfare51=^pWarfare's Gift of DAIL</v>
      </c>
      <c r="AA53" t="str">
        <f t="shared" si="17"/>
        <v>dailCompTextWarfare51=^oThis feels warm to the touch, almost familiar ^w(This component only fits into the Medal Slot)</v>
      </c>
      <c r="AB53" s="5" t="s">
        <v>36</v>
      </c>
      <c r="AH53">
        <f t="shared" si="19"/>
        <v>48</v>
      </c>
      <c r="AI53">
        <f t="shared" si="13"/>
        <v>38</v>
      </c>
      <c r="AJ53">
        <f t="shared" si="18"/>
        <v>5</v>
      </c>
    </row>
    <row r="54" spans="1:36" x14ac:dyDescent="0.25">
      <c r="A54" s="5" t="s">
        <v>39</v>
      </c>
      <c r="B54" s="5" t="s">
        <v>30</v>
      </c>
      <c r="C54" s="5" t="str">
        <f t="shared" si="0"/>
        <v>description,dailCompDescWarfare52,</v>
      </c>
      <c r="D54" s="5" t="str">
        <f t="shared" si="2"/>
        <v>itemText,dailCompTextWarfare52,</v>
      </c>
      <c r="E54" s="5" t="str">
        <f t="shared" si="14"/>
        <v>augmentSkillLevel1,5,</v>
      </c>
      <c r="F54" s="5" t="str">
        <f t="shared" si="15"/>
        <v>augmentSkillName1,records/skillswarfare/onslaught.dbr,,</v>
      </c>
      <c r="G54" s="7">
        <f t="shared" si="10"/>
        <v>52</v>
      </c>
      <c r="H54" s="8" t="str">
        <f t="shared" si="11"/>
        <v>Warfare</v>
      </c>
      <c r="I54" s="3" t="s">
        <v>647</v>
      </c>
      <c r="J54" s="8" t="str">
        <f t="shared" si="22"/>
        <v>class0019</v>
      </c>
      <c r="K54" s="8" t="str">
        <f t="shared" si="22"/>
        <v>dailoneskill0019</v>
      </c>
      <c r="L54" s="5" t="str">
        <f t="shared" si="4"/>
        <v>lootName52,DAIL/items/materia/class0019/Warfare52.dbr,</v>
      </c>
      <c r="M54" s="5" t="str">
        <f t="shared" si="5"/>
        <v>lootWeight52,1,</v>
      </c>
      <c r="N54" t="str">
        <f t="shared" si="6"/>
        <v>5</v>
      </c>
      <c r="O54" t="str">
        <f t="shared" si="16"/>
        <v>copy .\dail_base3.dbr .\items\materia\class0019\Warfare52.dbr /y</v>
      </c>
      <c r="P54" t="str">
        <f t="shared" si="7"/>
        <v>echo relicBitmap,items/craftingparts/components/component_a52_bristlyfur_b.tex, &gt;&gt; .\items\materia\class0019\Warfare52.dbr</v>
      </c>
      <c r="Q54" t="str">
        <f t="shared" si="7"/>
        <v>echo itemCost,500000, &gt;&gt; .\items\materia\class0019\Warfare52.dbr</v>
      </c>
      <c r="R54" t="str">
        <f t="shared" si="7"/>
        <v>echo description,dailCompDescWarfare52, &gt;&gt; .\items\materia\class0019\Warfare52.dbr</v>
      </c>
      <c r="S54" t="str">
        <f t="shared" si="7"/>
        <v>echo itemText,dailCompTextWarfare52, &gt;&gt; .\items\materia\class0019\Warfare52.dbr</v>
      </c>
      <c r="T54" t="str">
        <f t="shared" si="7"/>
        <v>echo augmentSkillLevel1,5, &gt;&gt; .\items\materia\class0019\Warfare52.dbr</v>
      </c>
      <c r="U54" t="str">
        <f t="shared" si="7"/>
        <v>echo augmentSkillName1,records/skillswarfare/onslaught.dbr,, &gt;&gt; .\items\materia\class0019\Warfare52.dbr</v>
      </c>
      <c r="V54" s="5" t="s">
        <v>36</v>
      </c>
      <c r="W54" t="str">
        <f t="shared" si="8"/>
        <v>echo lootName52,DAIL/items/materia/class0019/Warfare52.dbr, &gt;&gt; .\items\loottables\dailoneskill0019.dbr</v>
      </c>
      <c r="X54" t="str">
        <f t="shared" si="8"/>
        <v>echo lootWeight52,1, &gt;&gt; .\items\loottables\dailoneskill0019.dbr</v>
      </c>
      <c r="Y54" s="5" t="s">
        <v>36</v>
      </c>
      <c r="Z54" t="str">
        <f t="shared" si="9"/>
        <v xml:space="preserve"> dailCompDescWarfare52=^pWarfare's Gift of DAIL</v>
      </c>
      <c r="AA54" t="str">
        <f t="shared" si="17"/>
        <v>dailCompTextWarfare52=^oThis feels warm to the touch, almost familiar ^w(This component only fits into the Medal Slot)</v>
      </c>
      <c r="AB54" s="5" t="s">
        <v>36</v>
      </c>
      <c r="AH54">
        <f t="shared" si="19"/>
        <v>49</v>
      </c>
      <c r="AI54">
        <f t="shared" si="13"/>
        <v>22</v>
      </c>
      <c r="AJ54">
        <f t="shared" si="18"/>
        <v>5</v>
      </c>
    </row>
    <row r="55" spans="1:36" x14ac:dyDescent="0.25">
      <c r="A55" s="5" t="s">
        <v>39</v>
      </c>
      <c r="B55" s="5" t="s">
        <v>30</v>
      </c>
      <c r="C55" s="5" t="str">
        <f t="shared" si="0"/>
        <v>description,dailCompDescWarfare53,</v>
      </c>
      <c r="D55" s="5" t="str">
        <f t="shared" si="2"/>
        <v>itemText,dailCompTextWarfare53,</v>
      </c>
      <c r="E55" s="5" t="str">
        <f t="shared" si="14"/>
        <v>augmentSkillLevel1,5,</v>
      </c>
      <c r="F55" s="5" t="str">
        <f t="shared" si="15"/>
        <v>augmentSkillName1,records/skillswarfare/onslaught_ignorepain.dbr,,</v>
      </c>
      <c r="G55" s="7">
        <f t="shared" si="10"/>
        <v>53</v>
      </c>
      <c r="H55" s="8" t="str">
        <f t="shared" si="11"/>
        <v>Warfare</v>
      </c>
      <c r="I55" s="3" t="s">
        <v>648</v>
      </c>
      <c r="J55" s="8" t="str">
        <f t="shared" si="22"/>
        <v>class0019</v>
      </c>
      <c r="K55" s="8" t="str">
        <f t="shared" si="22"/>
        <v>dailoneskill0019</v>
      </c>
      <c r="L55" s="5" t="str">
        <f t="shared" si="4"/>
        <v>lootName53,DAIL/items/materia/class0019/Warfare53.dbr,</v>
      </c>
      <c r="M55" s="5" t="str">
        <f t="shared" si="5"/>
        <v>lootWeight53,1,</v>
      </c>
      <c r="N55" t="str">
        <f t="shared" si="6"/>
        <v>5</v>
      </c>
      <c r="O55" t="str">
        <f t="shared" si="16"/>
        <v>copy .\dail_base3.dbr .\items\materia\class0019\Warfare53.dbr /y</v>
      </c>
      <c r="P55" t="str">
        <f t="shared" si="7"/>
        <v>echo relicBitmap,items/craftingparts/components/component_a52_bristlyfur_b.tex, &gt;&gt; .\items\materia\class0019\Warfare53.dbr</v>
      </c>
      <c r="Q55" t="str">
        <f t="shared" si="7"/>
        <v>echo itemCost,500000, &gt;&gt; .\items\materia\class0019\Warfare53.dbr</v>
      </c>
      <c r="R55" t="str">
        <f t="shared" si="7"/>
        <v>echo description,dailCompDescWarfare53, &gt;&gt; .\items\materia\class0019\Warfare53.dbr</v>
      </c>
      <c r="S55" t="str">
        <f t="shared" si="7"/>
        <v>echo itemText,dailCompTextWarfare53, &gt;&gt; .\items\materia\class0019\Warfare53.dbr</v>
      </c>
      <c r="T55" t="str">
        <f t="shared" si="7"/>
        <v>echo augmentSkillLevel1,5, &gt;&gt; .\items\materia\class0019\Warfare53.dbr</v>
      </c>
      <c r="U55" t="str">
        <f t="shared" si="7"/>
        <v>echo augmentSkillName1,records/skillswarfare/onslaught_ignorepain.dbr,, &gt;&gt; .\items\materia\class0019\Warfare53.dbr</v>
      </c>
      <c r="V55" s="5" t="s">
        <v>36</v>
      </c>
      <c r="W55" t="str">
        <f t="shared" si="8"/>
        <v>echo lootName53,DAIL/items/materia/class0019/Warfare53.dbr, &gt;&gt; .\items\loottables\dailoneskill0019.dbr</v>
      </c>
      <c r="X55" t="str">
        <f t="shared" si="8"/>
        <v>echo lootWeight53,1, &gt;&gt; .\items\loottables\dailoneskill0019.dbr</v>
      </c>
      <c r="Y55" s="5" t="s">
        <v>36</v>
      </c>
      <c r="Z55" t="str">
        <f t="shared" si="9"/>
        <v xml:space="preserve"> dailCompDescWarfare53=^pWarfare's Gift of DAIL</v>
      </c>
      <c r="AA55" t="str">
        <f t="shared" si="17"/>
        <v>dailCompTextWarfare53=^oThis feels warm to the touch, almost familiar ^w(This component only fits into the Medal Slot)</v>
      </c>
      <c r="AB55" s="5" t="s">
        <v>36</v>
      </c>
      <c r="AH55">
        <f t="shared" si="19"/>
        <v>50</v>
      </c>
      <c r="AI55">
        <f t="shared" si="13"/>
        <v>33</v>
      </c>
      <c r="AJ55">
        <f t="shared" si="18"/>
        <v>5</v>
      </c>
    </row>
    <row r="56" spans="1:36" x14ac:dyDescent="0.25">
      <c r="A56" s="5" t="s">
        <v>39</v>
      </c>
      <c r="B56" s="5" t="s">
        <v>30</v>
      </c>
      <c r="C56" s="5" t="str">
        <f t="shared" si="0"/>
        <v>description,dailCompDescWarfare54,</v>
      </c>
      <c r="D56" s="5" t="str">
        <f t="shared" si="2"/>
        <v>itemText,dailCompTextWarfare54,</v>
      </c>
      <c r="E56" s="5" t="str">
        <f t="shared" si="14"/>
        <v>augmentSkillLevel1,5,</v>
      </c>
      <c r="F56" s="5" t="str">
        <f t="shared" si="15"/>
        <v>augmentSkillName1,records/skillswarfare/onslaught_hamstring.dbr,,</v>
      </c>
      <c r="G56" s="7">
        <f t="shared" si="10"/>
        <v>54</v>
      </c>
      <c r="H56" s="8" t="str">
        <f t="shared" si="11"/>
        <v>Warfare</v>
      </c>
      <c r="I56" s="3" t="s">
        <v>649</v>
      </c>
      <c r="J56" s="8" t="str">
        <f t="shared" si="22"/>
        <v>class0019</v>
      </c>
      <c r="K56" s="8" t="str">
        <f t="shared" si="22"/>
        <v>dailoneskill0019</v>
      </c>
      <c r="L56" s="5" t="str">
        <f t="shared" si="4"/>
        <v>lootName54,DAIL/items/materia/class0019/Warfare54.dbr,</v>
      </c>
      <c r="M56" s="5" t="str">
        <f t="shared" si="5"/>
        <v>lootWeight54,1,</v>
      </c>
      <c r="N56" t="str">
        <f t="shared" si="6"/>
        <v>5</v>
      </c>
      <c r="O56" t="str">
        <f t="shared" si="16"/>
        <v>copy .\dail_base3.dbr .\items\materia\class0019\Warfare54.dbr /y</v>
      </c>
      <c r="P56" t="str">
        <f t="shared" si="7"/>
        <v>echo relicBitmap,items/craftingparts/components/component_a52_bristlyfur_b.tex, &gt;&gt; .\items\materia\class0019\Warfare54.dbr</v>
      </c>
      <c r="Q56" t="str">
        <f t="shared" si="7"/>
        <v>echo itemCost,500000, &gt;&gt; .\items\materia\class0019\Warfare54.dbr</v>
      </c>
      <c r="R56" t="str">
        <f t="shared" si="7"/>
        <v>echo description,dailCompDescWarfare54, &gt;&gt; .\items\materia\class0019\Warfare54.dbr</v>
      </c>
      <c r="S56" t="str">
        <f t="shared" si="7"/>
        <v>echo itemText,dailCompTextWarfare54, &gt;&gt; .\items\materia\class0019\Warfare54.dbr</v>
      </c>
      <c r="T56" t="str">
        <f t="shared" si="7"/>
        <v>echo augmentSkillLevel1,5, &gt;&gt; .\items\materia\class0019\Warfare54.dbr</v>
      </c>
      <c r="U56" t="str">
        <f t="shared" si="7"/>
        <v>echo augmentSkillName1,records/skillswarfare/onslaught_hamstring.dbr,, &gt;&gt; .\items\materia\class0019\Warfare54.dbr</v>
      </c>
      <c r="V56" s="5" t="s">
        <v>36</v>
      </c>
      <c r="W56" t="str">
        <f t="shared" si="8"/>
        <v>echo lootName54,DAIL/items/materia/class0019/Warfare54.dbr, &gt;&gt; .\items\loottables\dailoneskill0019.dbr</v>
      </c>
      <c r="X56" t="str">
        <f t="shared" si="8"/>
        <v>echo lootWeight54,1, &gt;&gt; .\items\loottables\dailoneskill0019.dbr</v>
      </c>
      <c r="Y56" s="5" t="s">
        <v>36</v>
      </c>
      <c r="Z56" t="str">
        <f t="shared" si="9"/>
        <v xml:space="preserve"> dailCompDescWarfare54=^pWarfare's Gift of DAIL</v>
      </c>
      <c r="AA56" t="str">
        <f t="shared" si="17"/>
        <v>dailCompTextWarfare54=^oThis feels warm to the touch, almost familiar ^w(This component only fits into the Medal Slot)</v>
      </c>
      <c r="AB56" s="5" t="s">
        <v>36</v>
      </c>
      <c r="AH56">
        <f t="shared" si="19"/>
        <v>51</v>
      </c>
      <c r="AI56">
        <f t="shared" si="13"/>
        <v>32</v>
      </c>
      <c r="AJ56">
        <f t="shared" si="18"/>
        <v>5</v>
      </c>
    </row>
    <row r="57" spans="1:36" x14ac:dyDescent="0.25">
      <c r="A57" s="5" t="s">
        <v>39</v>
      </c>
      <c r="B57" s="5" t="s">
        <v>30</v>
      </c>
      <c r="C57" s="5" t="str">
        <f t="shared" si="0"/>
        <v>description,dailCompDescWarfare55,</v>
      </c>
      <c r="D57" s="5" t="str">
        <f t="shared" si="2"/>
        <v>itemText,dailCompTextWarfare55,</v>
      </c>
      <c r="E57" s="5" t="str">
        <f t="shared" si="14"/>
        <v>augmentSkillLevel1,5,</v>
      </c>
      <c r="F57" s="5" t="str">
        <f t="shared" si="15"/>
        <v>augmentSkillName1,records/skillswarfare/onslaught_ardor.dbr,,</v>
      </c>
      <c r="G57" s="7">
        <f t="shared" si="10"/>
        <v>55</v>
      </c>
      <c r="H57" s="8" t="str">
        <f t="shared" si="11"/>
        <v>Warfare</v>
      </c>
      <c r="I57" s="3" t="s">
        <v>650</v>
      </c>
      <c r="J57" s="8" t="str">
        <f t="shared" si="22"/>
        <v>class0019</v>
      </c>
      <c r="K57" s="8" t="str">
        <f t="shared" si="22"/>
        <v>dailoneskill0019</v>
      </c>
      <c r="L57" s="5" t="str">
        <f t="shared" si="4"/>
        <v>lootName55,DAIL/items/materia/class0019/Warfare55.dbr,</v>
      </c>
      <c r="M57" s="5" t="str">
        <f t="shared" si="5"/>
        <v>lootWeight55,1,</v>
      </c>
      <c r="N57" t="str">
        <f t="shared" si="6"/>
        <v>5</v>
      </c>
      <c r="O57" t="str">
        <f t="shared" si="16"/>
        <v>copy .\dail_base3.dbr .\items\materia\class0019\Warfare55.dbr /y</v>
      </c>
      <c r="P57" t="str">
        <f t="shared" si="7"/>
        <v>echo relicBitmap,items/craftingparts/components/component_a52_bristlyfur_b.tex, &gt;&gt; .\items\materia\class0019\Warfare55.dbr</v>
      </c>
      <c r="Q57" t="str">
        <f t="shared" si="7"/>
        <v>echo itemCost,500000, &gt;&gt; .\items\materia\class0019\Warfare55.dbr</v>
      </c>
      <c r="R57" t="str">
        <f t="shared" si="7"/>
        <v>echo description,dailCompDescWarfare55, &gt;&gt; .\items\materia\class0019\Warfare55.dbr</v>
      </c>
      <c r="S57" t="str">
        <f t="shared" si="7"/>
        <v>echo itemText,dailCompTextWarfare55, &gt;&gt; .\items\materia\class0019\Warfare55.dbr</v>
      </c>
      <c r="T57" t="str">
        <f t="shared" si="7"/>
        <v>echo augmentSkillLevel1,5, &gt;&gt; .\items\materia\class0019\Warfare55.dbr</v>
      </c>
      <c r="U57" t="str">
        <f t="shared" si="7"/>
        <v>echo augmentSkillName1,records/skillswarfare/onslaught_ardor.dbr,, &gt;&gt; .\items\materia\class0019\Warfare55.dbr</v>
      </c>
      <c r="V57" s="5" t="s">
        <v>36</v>
      </c>
      <c r="W57" t="str">
        <f t="shared" si="8"/>
        <v>echo lootName55,DAIL/items/materia/class0019/Warfare55.dbr, &gt;&gt; .\items\loottables\dailoneskill0019.dbr</v>
      </c>
      <c r="X57" t="str">
        <f t="shared" si="8"/>
        <v>echo lootWeight55,1, &gt;&gt; .\items\loottables\dailoneskill0019.dbr</v>
      </c>
      <c r="Y57" s="5" t="s">
        <v>36</v>
      </c>
      <c r="Z57" t="str">
        <f t="shared" si="9"/>
        <v xml:space="preserve"> dailCompDescWarfare55=^pWarfare's Gift of DAIL</v>
      </c>
      <c r="AA57" t="str">
        <f t="shared" si="17"/>
        <v>dailCompTextWarfare55=^oThis feels warm to the touch, almost familiar ^w(This component only fits into the Medal Slot)</v>
      </c>
      <c r="AB57" s="5" t="s">
        <v>36</v>
      </c>
      <c r="AH57">
        <f t="shared" si="19"/>
        <v>52</v>
      </c>
      <c r="AI57">
        <f t="shared" si="13"/>
        <v>28</v>
      </c>
      <c r="AJ57">
        <f t="shared" si="18"/>
        <v>5</v>
      </c>
    </row>
    <row r="58" spans="1:36" x14ac:dyDescent="0.25">
      <c r="A58" s="5" t="s">
        <v>39</v>
      </c>
      <c r="B58" s="5" t="s">
        <v>30</v>
      </c>
      <c r="C58" s="5" t="str">
        <f t="shared" si="0"/>
        <v>description,dailCompDescWarfare56,</v>
      </c>
      <c r="D58" s="5" t="str">
        <f t="shared" si="2"/>
        <v>itemText,dailCompTextWarfare56,</v>
      </c>
      <c r="E58" s="5" t="str">
        <f t="shared" si="14"/>
        <v>augmentSkillLevel1,5,</v>
      </c>
      <c r="F58" s="5" t="str">
        <f t="shared" si="15"/>
        <v>augmentSkillName1,records/skillswarfare/battlerage.dbr,,</v>
      </c>
      <c r="G58" s="7">
        <f t="shared" si="10"/>
        <v>56</v>
      </c>
      <c r="H58" s="8" t="str">
        <f t="shared" si="11"/>
        <v>Warfare</v>
      </c>
      <c r="I58" s="3" t="s">
        <v>651</v>
      </c>
      <c r="J58" s="8" t="str">
        <f t="shared" si="22"/>
        <v>class0019</v>
      </c>
      <c r="K58" s="8" t="str">
        <f t="shared" si="22"/>
        <v>dailoneskill0019</v>
      </c>
      <c r="L58" s="5" t="str">
        <f t="shared" si="4"/>
        <v>lootName56,DAIL/items/materia/class0019/Warfare56.dbr,</v>
      </c>
      <c r="M58" s="5" t="str">
        <f t="shared" si="5"/>
        <v>lootWeight56,1,</v>
      </c>
      <c r="N58" t="str">
        <f t="shared" si="6"/>
        <v>5</v>
      </c>
      <c r="O58" t="str">
        <f t="shared" si="16"/>
        <v>copy .\dail_base3.dbr .\items\materia\class0019\Warfare56.dbr /y</v>
      </c>
      <c r="P58" t="str">
        <f t="shared" si="7"/>
        <v>echo relicBitmap,items/craftingparts/components/component_a52_bristlyfur_b.tex, &gt;&gt; .\items\materia\class0019\Warfare56.dbr</v>
      </c>
      <c r="Q58" t="str">
        <f t="shared" si="7"/>
        <v>echo itemCost,500000, &gt;&gt; .\items\materia\class0019\Warfare56.dbr</v>
      </c>
      <c r="R58" t="str">
        <f t="shared" si="7"/>
        <v>echo description,dailCompDescWarfare56, &gt;&gt; .\items\materia\class0019\Warfare56.dbr</v>
      </c>
      <c r="S58" t="str">
        <f t="shared" si="7"/>
        <v>echo itemText,dailCompTextWarfare56, &gt;&gt; .\items\materia\class0019\Warfare56.dbr</v>
      </c>
      <c r="T58" t="str">
        <f t="shared" si="7"/>
        <v>echo augmentSkillLevel1,5, &gt;&gt; .\items\materia\class0019\Warfare56.dbr</v>
      </c>
      <c r="U58" t="str">
        <f t="shared" si="7"/>
        <v>echo augmentSkillName1,records/skillswarfare/battlerage.dbr,, &gt;&gt; .\items\materia\class0019\Warfare56.dbr</v>
      </c>
      <c r="V58" s="5" t="s">
        <v>36</v>
      </c>
      <c r="W58" t="str">
        <f t="shared" si="8"/>
        <v>echo lootName56,DAIL/items/materia/class0019/Warfare56.dbr, &gt;&gt; .\items\loottables\dailoneskill0019.dbr</v>
      </c>
      <c r="X58" t="str">
        <f t="shared" si="8"/>
        <v>echo lootWeight56,1, &gt;&gt; .\items\loottables\dailoneskill0019.dbr</v>
      </c>
      <c r="Y58" s="5" t="s">
        <v>36</v>
      </c>
      <c r="Z58" t="str">
        <f t="shared" si="9"/>
        <v xml:space="preserve"> dailCompDescWarfare56=^pWarfare's Gift of DAIL</v>
      </c>
      <c r="AA58" t="str">
        <f t="shared" si="17"/>
        <v>dailCompTextWarfare56=^oThis feels warm to the touch, almost familiar ^w(This component only fits into the Medal Slot)</v>
      </c>
      <c r="AB58" s="5" t="s">
        <v>36</v>
      </c>
      <c r="AH58">
        <f t="shared" si="19"/>
        <v>53</v>
      </c>
      <c r="AI58">
        <f t="shared" si="13"/>
        <v>23</v>
      </c>
      <c r="AJ58">
        <f t="shared" si="18"/>
        <v>5</v>
      </c>
    </row>
    <row r="59" spans="1:36" x14ac:dyDescent="0.25">
      <c r="A59" s="5" t="s">
        <v>39</v>
      </c>
      <c r="B59" s="5" t="s">
        <v>30</v>
      </c>
      <c r="C59" s="5" t="str">
        <f t="shared" si="0"/>
        <v>description,dailCompDescWarfare57,</v>
      </c>
      <c r="D59" s="5" t="str">
        <f t="shared" si="2"/>
        <v>itemText,dailCompTextWarfare57,</v>
      </c>
      <c r="E59" s="5" t="str">
        <f t="shared" si="14"/>
        <v>augmentSkillLevel1,5,</v>
      </c>
      <c r="F59" s="5" t="str">
        <f t="shared" si="15"/>
        <v>augmentSkillName1,records/skillswarfare/battlerage_crushingblow.dbr,,</v>
      </c>
      <c r="G59" s="7">
        <f t="shared" si="10"/>
        <v>57</v>
      </c>
      <c r="H59" s="8" t="str">
        <f t="shared" si="11"/>
        <v>Warfare</v>
      </c>
      <c r="I59" s="3" t="s">
        <v>652</v>
      </c>
      <c r="J59" s="8" t="str">
        <f t="shared" si="22"/>
        <v>class0019</v>
      </c>
      <c r="K59" s="8" t="str">
        <f t="shared" si="22"/>
        <v>dailoneskill0019</v>
      </c>
      <c r="L59" s="5" t="str">
        <f t="shared" si="4"/>
        <v>lootName57,DAIL/items/materia/class0019/Warfare57.dbr,</v>
      </c>
      <c r="M59" s="5" t="str">
        <f t="shared" si="5"/>
        <v>lootWeight57,1,</v>
      </c>
      <c r="N59" t="str">
        <f t="shared" si="6"/>
        <v>5</v>
      </c>
      <c r="O59" t="str">
        <f t="shared" si="16"/>
        <v>copy .\dail_base3.dbr .\items\materia\class0019\Warfare57.dbr /y</v>
      </c>
      <c r="P59" t="str">
        <f t="shared" ref="P59:U101" si="23">IF($I59&lt;&gt;"","echo "&amp;A59&amp;" &gt;&gt; .\items\materia\"&amp;$J59&amp;"\"&amp;$H59&amp;$G59&amp;".dbr","")</f>
        <v>echo relicBitmap,items/craftingparts/components/component_a52_bristlyfur_b.tex, &gt;&gt; .\items\materia\class0019\Warfare57.dbr</v>
      </c>
      <c r="Q59" t="str">
        <f t="shared" si="23"/>
        <v>echo itemCost,500000, &gt;&gt; .\items\materia\class0019\Warfare57.dbr</v>
      </c>
      <c r="R59" t="str">
        <f t="shared" si="23"/>
        <v>echo description,dailCompDescWarfare57, &gt;&gt; .\items\materia\class0019\Warfare57.dbr</v>
      </c>
      <c r="S59" t="str">
        <f t="shared" si="23"/>
        <v>echo itemText,dailCompTextWarfare57, &gt;&gt; .\items\materia\class0019\Warfare57.dbr</v>
      </c>
      <c r="T59" t="str">
        <f t="shared" si="23"/>
        <v>echo augmentSkillLevel1,5, &gt;&gt; .\items\materia\class0019\Warfare57.dbr</v>
      </c>
      <c r="U59" t="str">
        <f t="shared" si="23"/>
        <v>echo augmentSkillName1,records/skillswarfare/battlerage_crushingblow.dbr,, &gt;&gt; .\items\materia\class0019\Warfare57.dbr</v>
      </c>
      <c r="V59" s="5" t="s">
        <v>36</v>
      </c>
      <c r="W59" t="str">
        <f t="shared" si="8"/>
        <v>echo lootName57,DAIL/items/materia/class0019/Warfare57.dbr, &gt;&gt; .\items\loottables\dailoneskill0019.dbr</v>
      </c>
      <c r="X59" t="str">
        <f t="shared" si="8"/>
        <v>echo lootWeight57,1, &gt;&gt; .\items\loottables\dailoneskill0019.dbr</v>
      </c>
      <c r="Y59" s="5" t="s">
        <v>36</v>
      </c>
      <c r="Z59" t="str">
        <f t="shared" si="9"/>
        <v xml:space="preserve"> dailCompDescWarfare57=^pWarfare's Gift of DAIL</v>
      </c>
      <c r="AA59" t="str">
        <f t="shared" si="17"/>
        <v>dailCompTextWarfare57=^oThis feels warm to the touch, almost familiar ^w(This component only fits into the Medal Slot)</v>
      </c>
      <c r="AB59" s="5" t="s">
        <v>36</v>
      </c>
      <c r="AH59">
        <f t="shared" si="19"/>
        <v>54</v>
      </c>
      <c r="AI59">
        <f t="shared" si="13"/>
        <v>36</v>
      </c>
      <c r="AJ59">
        <f t="shared" si="18"/>
        <v>5</v>
      </c>
    </row>
    <row r="60" spans="1:36" x14ac:dyDescent="0.25">
      <c r="A60" s="5" t="s">
        <v>39</v>
      </c>
      <c r="B60" s="5" t="s">
        <v>30</v>
      </c>
      <c r="C60" s="5" t="str">
        <f t="shared" si="0"/>
        <v>description,dailCompDescWarfare58,</v>
      </c>
      <c r="D60" s="5" t="str">
        <f t="shared" si="2"/>
        <v>itemText,dailCompTextWarfare58,</v>
      </c>
      <c r="E60" s="5" t="str">
        <f t="shared" si="14"/>
        <v>augmentSkillLevel1,5,</v>
      </c>
      <c r="F60" s="5" t="str">
        <f t="shared" si="15"/>
        <v>augmentSkillName1,records/skillswarfare/battlerage_counterattack.dbr,,</v>
      </c>
      <c r="G60" s="7">
        <f t="shared" si="10"/>
        <v>58</v>
      </c>
      <c r="H60" s="8" t="str">
        <f t="shared" si="11"/>
        <v>Warfare</v>
      </c>
      <c r="I60" s="3" t="s">
        <v>653</v>
      </c>
      <c r="J60" s="8" t="str">
        <f t="shared" si="22"/>
        <v>class0019</v>
      </c>
      <c r="K60" s="8" t="str">
        <f t="shared" si="22"/>
        <v>dailoneskill0019</v>
      </c>
      <c r="L60" s="5" t="str">
        <f t="shared" si="4"/>
        <v>lootName58,DAIL/items/materia/class0019/Warfare58.dbr,</v>
      </c>
      <c r="M60" s="5" t="str">
        <f t="shared" si="5"/>
        <v>lootWeight58,1,</v>
      </c>
      <c r="N60" t="str">
        <f t="shared" si="6"/>
        <v>5</v>
      </c>
      <c r="O60" t="str">
        <f t="shared" si="16"/>
        <v>copy .\dail_base3.dbr .\items\materia\class0019\Warfare58.dbr /y</v>
      </c>
      <c r="P60" t="str">
        <f t="shared" si="23"/>
        <v>echo relicBitmap,items/craftingparts/components/component_a52_bristlyfur_b.tex, &gt;&gt; .\items\materia\class0019\Warfare58.dbr</v>
      </c>
      <c r="Q60" t="str">
        <f t="shared" si="23"/>
        <v>echo itemCost,500000, &gt;&gt; .\items\materia\class0019\Warfare58.dbr</v>
      </c>
      <c r="R60" t="str">
        <f t="shared" si="23"/>
        <v>echo description,dailCompDescWarfare58, &gt;&gt; .\items\materia\class0019\Warfare58.dbr</v>
      </c>
      <c r="S60" t="str">
        <f t="shared" si="23"/>
        <v>echo itemText,dailCompTextWarfare58, &gt;&gt; .\items\materia\class0019\Warfare58.dbr</v>
      </c>
      <c r="T60" t="str">
        <f t="shared" si="23"/>
        <v>echo augmentSkillLevel1,5, &gt;&gt; .\items\materia\class0019\Warfare58.dbr</v>
      </c>
      <c r="U60" t="str">
        <f t="shared" si="23"/>
        <v>echo augmentSkillName1,records/skillswarfare/battlerage_counterattack.dbr,, &gt;&gt; .\items\materia\class0019\Warfare58.dbr</v>
      </c>
      <c r="V60" s="5" t="s">
        <v>36</v>
      </c>
      <c r="W60" t="str">
        <f t="shared" si="8"/>
        <v>echo lootName58,DAIL/items/materia/class0019/Warfare58.dbr, &gt;&gt; .\items\loottables\dailoneskill0019.dbr</v>
      </c>
      <c r="X60" t="str">
        <f t="shared" si="8"/>
        <v>echo lootWeight58,1, &gt;&gt; .\items\loottables\dailoneskill0019.dbr</v>
      </c>
      <c r="Y60" s="5" t="s">
        <v>36</v>
      </c>
      <c r="Z60" t="str">
        <f t="shared" si="9"/>
        <v xml:space="preserve"> dailCompDescWarfare58=^pWarfare's Gift of DAIL</v>
      </c>
      <c r="AA60" t="str">
        <f t="shared" si="17"/>
        <v>dailCompTextWarfare58=^oThis feels warm to the touch, almost familiar ^w(This component only fits into the Medal Slot)</v>
      </c>
      <c r="AB60" s="5" t="s">
        <v>36</v>
      </c>
      <c r="AH60">
        <f t="shared" si="19"/>
        <v>55</v>
      </c>
      <c r="AI60">
        <f t="shared" si="13"/>
        <v>37</v>
      </c>
      <c r="AJ60">
        <f t="shared" si="18"/>
        <v>5</v>
      </c>
    </row>
    <row r="61" spans="1:36" x14ac:dyDescent="0.25">
      <c r="A61" s="5" t="s">
        <v>39</v>
      </c>
      <c r="B61" s="5" t="s">
        <v>30</v>
      </c>
      <c r="C61" s="5" t="str">
        <f t="shared" si="0"/>
        <v>description,dailCompDescWarfare59,</v>
      </c>
      <c r="D61" s="5" t="str">
        <f t="shared" si="2"/>
        <v>itemText,dailCompTextWarfare59,</v>
      </c>
      <c r="E61" s="5" t="str">
        <f t="shared" si="14"/>
        <v>augmentSkillLevel1,5,</v>
      </c>
      <c r="F61" s="5" t="str">
        <f t="shared" si="15"/>
        <v>augmentSkillName1,records/skillswarfare/warhorn.dbr,,</v>
      </c>
      <c r="G61" s="7">
        <f t="shared" si="10"/>
        <v>59</v>
      </c>
      <c r="H61" s="8" t="str">
        <f t="shared" si="11"/>
        <v>Warfare</v>
      </c>
      <c r="I61" s="3" t="s">
        <v>654</v>
      </c>
      <c r="J61" s="8" t="str">
        <f t="shared" si="22"/>
        <v>class0019</v>
      </c>
      <c r="K61" s="8" t="str">
        <f t="shared" si="22"/>
        <v>dailoneskill0019</v>
      </c>
      <c r="L61" s="5" t="str">
        <f t="shared" si="4"/>
        <v>lootName59,DAIL/items/materia/class0019/Warfare59.dbr,</v>
      </c>
      <c r="M61" s="5" t="str">
        <f t="shared" si="5"/>
        <v>lootWeight59,1,</v>
      </c>
      <c r="N61" t="str">
        <f t="shared" si="6"/>
        <v>5</v>
      </c>
      <c r="O61" t="str">
        <f t="shared" si="16"/>
        <v>copy .\dail_base3.dbr .\items\materia\class0019\Warfare59.dbr /y</v>
      </c>
      <c r="P61" t="str">
        <f t="shared" si="23"/>
        <v>echo relicBitmap,items/craftingparts/components/component_a52_bristlyfur_b.tex, &gt;&gt; .\items\materia\class0019\Warfare59.dbr</v>
      </c>
      <c r="Q61" t="str">
        <f t="shared" si="23"/>
        <v>echo itemCost,500000, &gt;&gt; .\items\materia\class0019\Warfare59.dbr</v>
      </c>
      <c r="R61" t="str">
        <f t="shared" si="23"/>
        <v>echo description,dailCompDescWarfare59, &gt;&gt; .\items\materia\class0019\Warfare59.dbr</v>
      </c>
      <c r="S61" t="str">
        <f t="shared" si="23"/>
        <v>echo itemText,dailCompTextWarfare59, &gt;&gt; .\items\materia\class0019\Warfare59.dbr</v>
      </c>
      <c r="T61" t="str">
        <f t="shared" si="23"/>
        <v>echo augmentSkillLevel1,5, &gt;&gt; .\items\materia\class0019\Warfare59.dbr</v>
      </c>
      <c r="U61" t="str">
        <f t="shared" si="23"/>
        <v>echo augmentSkillName1,records/skillswarfare/warhorn.dbr,, &gt;&gt; .\items\materia\class0019\Warfare59.dbr</v>
      </c>
      <c r="V61" s="5" t="s">
        <v>36</v>
      </c>
      <c r="W61" t="str">
        <f t="shared" si="8"/>
        <v>echo lootName59,DAIL/items/materia/class0019/Warfare59.dbr, &gt;&gt; .\items\loottables\dailoneskill0019.dbr</v>
      </c>
      <c r="X61" t="str">
        <f t="shared" si="8"/>
        <v>echo lootWeight59,1, &gt;&gt; .\items\loottables\dailoneskill0019.dbr</v>
      </c>
      <c r="Y61" s="5" t="s">
        <v>36</v>
      </c>
      <c r="Z61" t="str">
        <f t="shared" si="9"/>
        <v xml:space="preserve"> dailCompDescWarfare59=^pWarfare's Gift of DAIL</v>
      </c>
      <c r="AA61" t="str">
        <f t="shared" si="17"/>
        <v>dailCompTextWarfare59=^oThis feels warm to the touch, almost familiar ^w(This component only fits into the Medal Slot)</v>
      </c>
      <c r="AB61" s="5" t="s">
        <v>36</v>
      </c>
      <c r="AH61">
        <f t="shared" si="19"/>
        <v>56</v>
      </c>
      <c r="AI61">
        <f t="shared" si="13"/>
        <v>20</v>
      </c>
      <c r="AJ61">
        <f t="shared" si="18"/>
        <v>5</v>
      </c>
    </row>
    <row r="62" spans="1:36" x14ac:dyDescent="0.25">
      <c r="A62" s="5" t="s">
        <v>39</v>
      </c>
      <c r="B62" s="5" t="s">
        <v>30</v>
      </c>
      <c r="C62" s="5" t="str">
        <f t="shared" si="0"/>
        <v>description,dailCompDescWarfare60,</v>
      </c>
      <c r="D62" s="5" t="str">
        <f t="shared" si="2"/>
        <v>itemText,dailCompTextWarfare60,</v>
      </c>
      <c r="E62" s="5" t="str">
        <f t="shared" si="14"/>
        <v>augmentSkillLevel1,5,</v>
      </c>
      <c r="F62" s="5" t="str">
        <f t="shared" si="15"/>
        <v>augmentSkillName1,records/skillswarfare/warhorn_doomhorn.dbr,,</v>
      </c>
      <c r="G62" s="7">
        <f t="shared" si="10"/>
        <v>60</v>
      </c>
      <c r="H62" s="8" t="str">
        <f t="shared" si="11"/>
        <v>Warfare</v>
      </c>
      <c r="I62" s="3" t="s">
        <v>655</v>
      </c>
      <c r="J62" s="8" t="str">
        <f t="shared" si="22"/>
        <v>class0019</v>
      </c>
      <c r="K62" s="8" t="str">
        <f t="shared" si="22"/>
        <v>dailoneskill0019</v>
      </c>
      <c r="L62" s="5" t="str">
        <f t="shared" si="4"/>
        <v>lootName60,DAIL/items/materia/class0019/Warfare60.dbr,</v>
      </c>
      <c r="M62" s="5" t="str">
        <f t="shared" si="5"/>
        <v>lootWeight60,1,</v>
      </c>
      <c r="N62" t="str">
        <f t="shared" si="6"/>
        <v>5</v>
      </c>
      <c r="O62" t="str">
        <f t="shared" si="16"/>
        <v>copy .\dail_base3.dbr .\items\materia\class0019\Warfare60.dbr /y</v>
      </c>
      <c r="P62" t="str">
        <f t="shared" si="23"/>
        <v>echo relicBitmap,items/craftingparts/components/component_a52_bristlyfur_b.tex, &gt;&gt; .\items\materia\class0019\Warfare60.dbr</v>
      </c>
      <c r="Q62" t="str">
        <f t="shared" si="23"/>
        <v>echo itemCost,500000, &gt;&gt; .\items\materia\class0019\Warfare60.dbr</v>
      </c>
      <c r="R62" t="str">
        <f t="shared" si="23"/>
        <v>echo description,dailCompDescWarfare60, &gt;&gt; .\items\materia\class0019\Warfare60.dbr</v>
      </c>
      <c r="S62" t="str">
        <f t="shared" si="23"/>
        <v>echo itemText,dailCompTextWarfare60, &gt;&gt; .\items\materia\class0019\Warfare60.dbr</v>
      </c>
      <c r="T62" t="str">
        <f t="shared" si="23"/>
        <v>echo augmentSkillLevel1,5, &gt;&gt; .\items\materia\class0019\Warfare60.dbr</v>
      </c>
      <c r="U62" t="str">
        <f t="shared" si="23"/>
        <v>echo augmentSkillName1,records/skillswarfare/warhorn_doomhorn.dbr,, &gt;&gt; .\items\materia\class0019\Warfare60.dbr</v>
      </c>
      <c r="V62" s="5" t="s">
        <v>36</v>
      </c>
      <c r="W62" t="str">
        <f t="shared" si="8"/>
        <v>echo lootName60,DAIL/items/materia/class0019/Warfare60.dbr, &gt;&gt; .\items\loottables\dailoneskill0019.dbr</v>
      </c>
      <c r="X62" t="str">
        <f t="shared" si="8"/>
        <v>echo lootWeight60,1, &gt;&gt; .\items\loottables\dailoneskill0019.dbr</v>
      </c>
      <c r="Y62" s="5" t="s">
        <v>36</v>
      </c>
      <c r="Z62" t="str">
        <f t="shared" si="9"/>
        <v xml:space="preserve"> dailCompDescWarfare60=^pWarfare's Gift of DAIL</v>
      </c>
      <c r="AA62" t="str">
        <f t="shared" si="17"/>
        <v>dailCompTextWarfare60=^oThis feels warm to the touch, almost familiar ^w(This component only fits into the Medal Slot)</v>
      </c>
      <c r="AB62" s="5" t="s">
        <v>36</v>
      </c>
      <c r="AH62">
        <f t="shared" si="19"/>
        <v>57</v>
      </c>
      <c r="AI62">
        <f t="shared" si="13"/>
        <v>29</v>
      </c>
      <c r="AJ62">
        <f t="shared" si="18"/>
        <v>5</v>
      </c>
    </row>
    <row r="63" spans="1:36" x14ac:dyDescent="0.25">
      <c r="A63" s="5" t="s">
        <v>39</v>
      </c>
      <c r="B63" s="5" t="s">
        <v>30</v>
      </c>
      <c r="C63" s="5" t="str">
        <f t="shared" si="0"/>
        <v>description,dailCompDescWarfare61,</v>
      </c>
      <c r="D63" s="5" t="str">
        <f t="shared" si="2"/>
        <v>itemText,dailCompTextWarfare61,</v>
      </c>
      <c r="E63" s="5" t="str">
        <f t="shared" si="14"/>
        <v>augmentSkillLevel1,5,</v>
      </c>
      <c r="F63" s="5" t="str">
        <f t="shared" si="15"/>
        <v>augmentSkillName1,records/skillswarfare/ancestralhorn.dbr,,</v>
      </c>
      <c r="G63" s="7">
        <f t="shared" si="10"/>
        <v>61</v>
      </c>
      <c r="H63" s="8" t="str">
        <f t="shared" si="11"/>
        <v>Warfare</v>
      </c>
      <c r="I63" s="3" t="s">
        <v>656</v>
      </c>
      <c r="J63" s="8" t="str">
        <f t="shared" si="22"/>
        <v>class0019</v>
      </c>
      <c r="K63" s="8" t="str">
        <f t="shared" si="22"/>
        <v>dailoneskill0019</v>
      </c>
      <c r="L63" s="5" t="str">
        <f t="shared" si="4"/>
        <v>lootName61,DAIL/items/materia/class0019/Warfare61.dbr,</v>
      </c>
      <c r="M63" s="5" t="str">
        <f t="shared" si="5"/>
        <v>lootWeight61,1,</v>
      </c>
      <c r="N63" t="str">
        <f t="shared" si="6"/>
        <v>5</v>
      </c>
      <c r="O63" t="str">
        <f t="shared" si="16"/>
        <v>copy .\dail_base3.dbr .\items\materia\class0019\Warfare61.dbr /y</v>
      </c>
      <c r="P63" t="str">
        <f t="shared" si="23"/>
        <v>echo relicBitmap,items/craftingparts/components/component_a52_bristlyfur_b.tex, &gt;&gt; .\items\materia\class0019\Warfare61.dbr</v>
      </c>
      <c r="Q63" t="str">
        <f t="shared" si="23"/>
        <v>echo itemCost,500000, &gt;&gt; .\items\materia\class0019\Warfare61.dbr</v>
      </c>
      <c r="R63" t="str">
        <f t="shared" si="23"/>
        <v>echo description,dailCompDescWarfare61, &gt;&gt; .\items\materia\class0019\Warfare61.dbr</v>
      </c>
      <c r="S63" t="str">
        <f t="shared" si="23"/>
        <v>echo itemText,dailCompTextWarfare61, &gt;&gt; .\items\materia\class0019\Warfare61.dbr</v>
      </c>
      <c r="T63" t="str">
        <f t="shared" si="23"/>
        <v>echo augmentSkillLevel1,5, &gt;&gt; .\items\materia\class0019\Warfare61.dbr</v>
      </c>
      <c r="U63" t="str">
        <f t="shared" si="23"/>
        <v>echo augmentSkillName1,records/skillswarfare/ancestralhorn.dbr,, &gt;&gt; .\items\materia\class0019\Warfare61.dbr</v>
      </c>
      <c r="V63" s="5" t="s">
        <v>36</v>
      </c>
      <c r="W63" t="str">
        <f t="shared" si="8"/>
        <v>echo lootName61,DAIL/items/materia/class0019/Warfare61.dbr, &gt;&gt; .\items\loottables\dailoneskill0019.dbr</v>
      </c>
      <c r="X63" t="str">
        <f t="shared" si="8"/>
        <v>echo lootWeight61,1, &gt;&gt; .\items\loottables\dailoneskill0019.dbr</v>
      </c>
      <c r="Y63" s="5" t="s">
        <v>36</v>
      </c>
      <c r="Z63" t="str">
        <f t="shared" si="9"/>
        <v xml:space="preserve"> dailCompDescWarfare61=^pWarfare's Gift of DAIL</v>
      </c>
      <c r="AA63" t="str">
        <f t="shared" si="17"/>
        <v>dailCompTextWarfare61=^oThis feels warm to the touch, almost familiar ^w(This component only fits into the Medal Slot)</v>
      </c>
      <c r="AB63" s="5" t="s">
        <v>36</v>
      </c>
      <c r="AH63">
        <f t="shared" si="19"/>
        <v>58</v>
      </c>
      <c r="AI63">
        <f t="shared" si="13"/>
        <v>26</v>
      </c>
      <c r="AJ63">
        <f t="shared" si="18"/>
        <v>5</v>
      </c>
    </row>
    <row r="64" spans="1:36" x14ac:dyDescent="0.25">
      <c r="A64" s="5" t="s">
        <v>39</v>
      </c>
      <c r="B64" s="5" t="s">
        <v>30</v>
      </c>
      <c r="C64" s="5" t="str">
        <f t="shared" si="0"/>
        <v>description,dailCompDescWarfare62,</v>
      </c>
      <c r="D64" s="5" t="str">
        <f t="shared" si="2"/>
        <v>itemText,dailCompTextWarfare62,</v>
      </c>
      <c r="E64" s="5" t="str">
        <f t="shared" si="14"/>
        <v>augmentSkillLevel1,5,</v>
      </c>
      <c r="F64" s="5" t="str">
        <f t="shared" si="15"/>
        <v>augmentSkillName1,records/skillswarfare/battlestandard.dbr,,</v>
      </c>
      <c r="G64" s="7">
        <f t="shared" si="10"/>
        <v>62</v>
      </c>
      <c r="H64" s="8" t="str">
        <f t="shared" si="11"/>
        <v>Warfare</v>
      </c>
      <c r="I64" s="3" t="s">
        <v>657</v>
      </c>
      <c r="J64" s="8" t="str">
        <f t="shared" si="22"/>
        <v>class0019</v>
      </c>
      <c r="K64" s="8" t="str">
        <f t="shared" si="22"/>
        <v>dailoneskill0019</v>
      </c>
      <c r="L64" s="5" t="str">
        <f t="shared" si="4"/>
        <v>lootName62,DAIL/items/materia/class0019/Warfare62.dbr,</v>
      </c>
      <c r="M64" s="5" t="str">
        <f t="shared" si="5"/>
        <v>lootWeight62,1,</v>
      </c>
      <c r="N64" t="str">
        <f t="shared" si="6"/>
        <v>5</v>
      </c>
      <c r="O64" t="str">
        <f t="shared" si="16"/>
        <v>copy .\dail_base3.dbr .\items\materia\class0019\Warfare62.dbr /y</v>
      </c>
      <c r="P64" t="str">
        <f t="shared" si="23"/>
        <v>echo relicBitmap,items/craftingparts/components/component_a52_bristlyfur_b.tex, &gt;&gt; .\items\materia\class0019\Warfare62.dbr</v>
      </c>
      <c r="Q64" t="str">
        <f t="shared" si="23"/>
        <v>echo itemCost,500000, &gt;&gt; .\items\materia\class0019\Warfare62.dbr</v>
      </c>
      <c r="R64" t="str">
        <f t="shared" si="23"/>
        <v>echo description,dailCompDescWarfare62, &gt;&gt; .\items\materia\class0019\Warfare62.dbr</v>
      </c>
      <c r="S64" t="str">
        <f t="shared" si="23"/>
        <v>echo itemText,dailCompTextWarfare62, &gt;&gt; .\items\materia\class0019\Warfare62.dbr</v>
      </c>
      <c r="T64" t="str">
        <f t="shared" si="23"/>
        <v>echo augmentSkillLevel1,5, &gt;&gt; .\items\materia\class0019\Warfare62.dbr</v>
      </c>
      <c r="U64" t="str">
        <f t="shared" si="23"/>
        <v>echo augmentSkillName1,records/skillswarfare/battlestandard.dbr,, &gt;&gt; .\items\materia\class0019\Warfare62.dbr</v>
      </c>
      <c r="V64" s="5" t="s">
        <v>36</v>
      </c>
      <c r="W64" t="str">
        <f t="shared" si="8"/>
        <v>echo lootName62,DAIL/items/materia/class0019/Warfare62.dbr, &gt;&gt; .\items\loottables\dailoneskill0019.dbr</v>
      </c>
      <c r="X64" t="str">
        <f t="shared" si="8"/>
        <v>echo lootWeight62,1, &gt;&gt; .\items\loottables\dailoneskill0019.dbr</v>
      </c>
      <c r="Y64" s="5" t="s">
        <v>36</v>
      </c>
      <c r="Z64" t="str">
        <f t="shared" si="9"/>
        <v xml:space="preserve"> dailCompDescWarfare62=^pWarfare's Gift of DAIL</v>
      </c>
      <c r="AA64" t="str">
        <f t="shared" si="17"/>
        <v>dailCompTextWarfare62=^oThis feels warm to the touch, almost familiar ^w(This component only fits into the Medal Slot)</v>
      </c>
      <c r="AB64" s="5" t="s">
        <v>36</v>
      </c>
      <c r="AH64">
        <f t="shared" si="19"/>
        <v>59</v>
      </c>
      <c r="AI64">
        <f t="shared" si="13"/>
        <v>27</v>
      </c>
      <c r="AJ64">
        <f t="shared" si="18"/>
        <v>5</v>
      </c>
    </row>
    <row r="65" spans="1:36" x14ac:dyDescent="0.25">
      <c r="A65" s="5" t="s">
        <v>39</v>
      </c>
      <c r="B65" s="5" t="s">
        <v>30</v>
      </c>
      <c r="C65" s="5" t="str">
        <f t="shared" si="0"/>
        <v>description,dailCompDescWarfare63,</v>
      </c>
      <c r="D65" s="5" t="str">
        <f t="shared" si="2"/>
        <v>itemText,dailCompTextWarfare63,</v>
      </c>
      <c r="E65" s="5" t="str">
        <f t="shared" si="14"/>
        <v>augmentSkillLevel1,5,</v>
      </c>
      <c r="F65" s="5" t="str">
        <f t="shared" si="15"/>
        <v>augmentSkillName1,records/skillswarfare/battlestandard_petmodifier_triumph.dbr,,</v>
      </c>
      <c r="G65" s="7">
        <f t="shared" si="10"/>
        <v>63</v>
      </c>
      <c r="H65" s="8" t="str">
        <f t="shared" si="11"/>
        <v>Warfare</v>
      </c>
      <c r="I65" s="3" t="s">
        <v>658</v>
      </c>
      <c r="J65" s="8" t="str">
        <f t="shared" si="22"/>
        <v>class0019</v>
      </c>
      <c r="K65" s="8" t="str">
        <f t="shared" si="22"/>
        <v>dailoneskill0019</v>
      </c>
      <c r="L65" s="5" t="str">
        <f t="shared" si="4"/>
        <v>lootName63,DAIL/items/materia/class0019/Warfare63.dbr,</v>
      </c>
      <c r="M65" s="5" t="str">
        <f t="shared" si="5"/>
        <v>lootWeight63,1,</v>
      </c>
      <c r="N65" t="str">
        <f t="shared" si="6"/>
        <v>5</v>
      </c>
      <c r="O65" t="str">
        <f t="shared" si="16"/>
        <v>copy .\dail_base3.dbr .\items\materia\class0019\Warfare63.dbr /y</v>
      </c>
      <c r="P65" t="str">
        <f t="shared" si="23"/>
        <v>echo relicBitmap,items/craftingparts/components/component_a52_bristlyfur_b.tex, &gt;&gt; .\items\materia\class0019\Warfare63.dbr</v>
      </c>
      <c r="Q65" t="str">
        <f t="shared" si="23"/>
        <v>echo itemCost,500000, &gt;&gt; .\items\materia\class0019\Warfare63.dbr</v>
      </c>
      <c r="R65" t="str">
        <f t="shared" si="23"/>
        <v>echo description,dailCompDescWarfare63, &gt;&gt; .\items\materia\class0019\Warfare63.dbr</v>
      </c>
      <c r="S65" t="str">
        <f t="shared" si="23"/>
        <v>echo itemText,dailCompTextWarfare63, &gt;&gt; .\items\materia\class0019\Warfare63.dbr</v>
      </c>
      <c r="T65" t="str">
        <f t="shared" si="23"/>
        <v>echo augmentSkillLevel1,5, &gt;&gt; .\items\materia\class0019\Warfare63.dbr</v>
      </c>
      <c r="U65" t="str">
        <f t="shared" si="23"/>
        <v>echo augmentSkillName1,records/skillswarfare/battlestandard_petmodifier_triumph.dbr,, &gt;&gt; .\items\materia\class0019\Warfare63.dbr</v>
      </c>
      <c r="V65" s="5" t="s">
        <v>36</v>
      </c>
      <c r="W65" t="str">
        <f t="shared" si="8"/>
        <v>echo lootName63,DAIL/items/materia/class0019/Warfare63.dbr, &gt;&gt; .\items\loottables\dailoneskill0019.dbr</v>
      </c>
      <c r="X65" t="str">
        <f t="shared" si="8"/>
        <v>echo lootWeight63,1, &gt;&gt; .\items\loottables\dailoneskill0019.dbr</v>
      </c>
      <c r="Y65" s="5" t="s">
        <v>36</v>
      </c>
      <c r="Z65" t="str">
        <f t="shared" si="9"/>
        <v xml:space="preserve"> dailCompDescWarfare63=^pWarfare's Gift of DAIL</v>
      </c>
      <c r="AA65" t="str">
        <f t="shared" si="17"/>
        <v>dailCompTextWarfare63=^oThis feels warm to the touch, almost familiar ^w(This component only fits into the Medal Slot)</v>
      </c>
      <c r="AB65" s="5" t="s">
        <v>36</v>
      </c>
      <c r="AH65">
        <f t="shared" si="19"/>
        <v>60</v>
      </c>
      <c r="AI65">
        <f t="shared" si="13"/>
        <v>47</v>
      </c>
      <c r="AJ65">
        <f t="shared" si="18"/>
        <v>5</v>
      </c>
    </row>
    <row r="66" spans="1:36" x14ac:dyDescent="0.25">
      <c r="A66" s="5" t="s">
        <v>39</v>
      </c>
      <c r="B66" s="5" t="s">
        <v>30</v>
      </c>
      <c r="C66" s="5" t="str">
        <f t="shared" si="0"/>
        <v>description,dailCompDescWarfare,</v>
      </c>
      <c r="D66" s="5" t="str">
        <f t="shared" si="2"/>
        <v>itemText,dailCompTextWarfare,</v>
      </c>
      <c r="E66" s="5" t="str">
        <f t="shared" si="14"/>
        <v>augmentSkillLevel1,5,</v>
      </c>
      <c r="F66" s="5" t="str">
        <f t="shared" si="15"/>
        <v>augmentSkillName1,records/skills,</v>
      </c>
      <c r="G66" s="7" t="str">
        <f t="shared" si="10"/>
        <v/>
      </c>
      <c r="H66" s="8" t="str">
        <f t="shared" si="11"/>
        <v>Warfare</v>
      </c>
      <c r="J66" s="8" t="str">
        <f t="shared" si="22"/>
        <v>class0019</v>
      </c>
      <c r="K66" s="8" t="str">
        <f t="shared" si="22"/>
        <v>dailoneskill0019</v>
      </c>
      <c r="L66" s="5" t="str">
        <f t="shared" si="4"/>
        <v>lootName,DAIL/items/materia/class0019/Warfare.dbr,</v>
      </c>
      <c r="M66" s="5" t="str">
        <f t="shared" si="5"/>
        <v>lootWeight,1,</v>
      </c>
      <c r="N66" t="str">
        <f t="shared" si="6"/>
        <v>5</v>
      </c>
      <c r="O66" t="str">
        <f t="shared" si="16"/>
        <v/>
      </c>
      <c r="P66" t="str">
        <f t="shared" si="23"/>
        <v/>
      </c>
      <c r="Q66" t="str">
        <f t="shared" si="23"/>
        <v/>
      </c>
      <c r="R66" t="str">
        <f t="shared" si="23"/>
        <v/>
      </c>
      <c r="S66" t="str">
        <f t="shared" si="23"/>
        <v/>
      </c>
      <c r="T66" t="str">
        <f t="shared" si="23"/>
        <v/>
      </c>
      <c r="U66" t="str">
        <f t="shared" si="23"/>
        <v/>
      </c>
      <c r="V66" s="5" t="s">
        <v>36</v>
      </c>
      <c r="W66" t="str">
        <f t="shared" si="8"/>
        <v/>
      </c>
      <c r="X66" t="str">
        <f t="shared" si="8"/>
        <v/>
      </c>
      <c r="Y66" s="5" t="s">
        <v>36</v>
      </c>
      <c r="Z66" t="str">
        <f t="shared" si="9"/>
        <v xml:space="preserve"> dailCompDescWarfare=^pWarfare's Gift of DAIL</v>
      </c>
      <c r="AA66" t="str">
        <f t="shared" si="17"/>
        <v>dailCompTextWarfare=^oThis feels warm to the touch, almost familiar ^w(This component only fits into the Medal Slot)</v>
      </c>
      <c r="AB66" s="5" t="s">
        <v>36</v>
      </c>
      <c r="AH66">
        <f t="shared" si="19"/>
        <v>61</v>
      </c>
      <c r="AI66">
        <f t="shared" si="13"/>
        <v>0</v>
      </c>
      <c r="AJ66">
        <f t="shared" si="18"/>
        <v>5</v>
      </c>
    </row>
    <row r="67" spans="1:36" x14ac:dyDescent="0.25">
      <c r="A67" s="5" t="s">
        <v>39</v>
      </c>
      <c r="B67" s="5" t="s">
        <v>30</v>
      </c>
      <c r="C67" s="5" t="str">
        <f t="shared" ref="C67:C102" si="24">"description,dailCompDesc"&amp;H67&amp;G67&amp;","</f>
        <v>description,dailCompDescWarfare,</v>
      </c>
      <c r="D67" s="5" t="str">
        <f t="shared" si="2"/>
        <v>itemText,dailCompTextWarfare,</v>
      </c>
      <c r="E67" s="5" t="str">
        <f t="shared" si="14"/>
        <v>augmentSkillLevel1,5,</v>
      </c>
      <c r="F67" s="5" t="str">
        <f t="shared" si="15"/>
        <v>augmentSkillName1,records/skills,</v>
      </c>
      <c r="G67" s="7" t="str">
        <f t="shared" si="10"/>
        <v/>
      </c>
      <c r="H67" s="8" t="str">
        <f t="shared" si="11"/>
        <v>Warfare</v>
      </c>
      <c r="J67" s="8" t="str">
        <f t="shared" si="22"/>
        <v>class0019</v>
      </c>
      <c r="K67" s="8" t="str">
        <f t="shared" si="22"/>
        <v>dailoneskill0019</v>
      </c>
      <c r="L67" s="5" t="str">
        <f t="shared" si="4"/>
        <v>lootName,DAIL/items/materia/class0019/Warfare.dbr,</v>
      </c>
      <c r="M67" s="5" t="str">
        <f t="shared" si="5"/>
        <v>lootWeight,1,</v>
      </c>
      <c r="N67" t="str">
        <f t="shared" si="6"/>
        <v>5</v>
      </c>
      <c r="O67" t="str">
        <f t="shared" si="16"/>
        <v/>
      </c>
      <c r="P67" t="str">
        <f t="shared" si="23"/>
        <v/>
      </c>
      <c r="Q67" t="str">
        <f t="shared" si="23"/>
        <v/>
      </c>
      <c r="R67" t="str">
        <f t="shared" si="23"/>
        <v/>
      </c>
      <c r="S67" t="str">
        <f t="shared" si="23"/>
        <v/>
      </c>
      <c r="T67" t="str">
        <f t="shared" si="23"/>
        <v/>
      </c>
      <c r="U67" t="str">
        <f t="shared" si="23"/>
        <v/>
      </c>
      <c r="V67" s="5" t="s">
        <v>36</v>
      </c>
      <c r="W67" t="str">
        <f t="shared" si="8"/>
        <v/>
      </c>
      <c r="X67" t="str">
        <f t="shared" si="8"/>
        <v/>
      </c>
      <c r="Y67" s="5" t="s">
        <v>36</v>
      </c>
      <c r="Z67" t="str">
        <f t="shared" si="9"/>
        <v/>
      </c>
      <c r="AA67" t="str">
        <f t="shared" si="17"/>
        <v/>
      </c>
      <c r="AB67" s="5" t="s">
        <v>36</v>
      </c>
      <c r="AH67">
        <f t="shared" si="19"/>
        <v>62</v>
      </c>
      <c r="AI67">
        <f t="shared" si="13"/>
        <v>0</v>
      </c>
      <c r="AJ67">
        <f t="shared" si="18"/>
        <v>5</v>
      </c>
    </row>
    <row r="68" spans="1:36" x14ac:dyDescent="0.25">
      <c r="A68" s="5" t="s">
        <v>39</v>
      </c>
      <c r="B68" s="5" t="s">
        <v>30</v>
      </c>
      <c r="C68" s="5" t="str">
        <f t="shared" si="24"/>
        <v>description,dailCompDescWarfare,</v>
      </c>
      <c r="D68" s="5" t="str">
        <f t="shared" ref="D68:D102" si="25">"itemText,dailCompText"&amp;H68&amp;G68&amp;","</f>
        <v>itemText,dailCompTextWarfare,</v>
      </c>
      <c r="E68" s="5" t="str">
        <f t="shared" si="14"/>
        <v>augmentSkillLevel1,5,</v>
      </c>
      <c r="F68" s="5" t="str">
        <f t="shared" si="15"/>
        <v>augmentSkillName1,records/skills,</v>
      </c>
      <c r="G68" s="7" t="str">
        <f t="shared" si="10"/>
        <v/>
      </c>
      <c r="H68" s="8" t="str">
        <f t="shared" si="11"/>
        <v>Warfare</v>
      </c>
      <c r="J68" s="8" t="str">
        <f t="shared" si="22"/>
        <v>class0019</v>
      </c>
      <c r="K68" s="8" t="str">
        <f t="shared" si="22"/>
        <v>dailoneskill0019</v>
      </c>
      <c r="L68" s="5" t="str">
        <f t="shared" ref="L68:L102" si="26">"lootName"&amp;G68&amp;",DAIL/items/materia/"&amp;J68&amp;"/"&amp;H68&amp;G68&amp;".dbr"&amp;","</f>
        <v>lootName,DAIL/items/materia/class0019/Warfare.dbr,</v>
      </c>
      <c r="M68" s="5" t="str">
        <f t="shared" ref="M68:M102" si="27">"lootWeight"&amp;G68&amp;",1,"</f>
        <v>lootWeight,1,</v>
      </c>
      <c r="N68" t="str">
        <f t="shared" ref="N68:N102" si="28">LEFT(RIGHT(E68,2),1)</f>
        <v>5</v>
      </c>
      <c r="O68" t="str">
        <f t="shared" si="16"/>
        <v/>
      </c>
      <c r="P68" t="str">
        <f t="shared" si="23"/>
        <v/>
      </c>
      <c r="Q68" t="str">
        <f t="shared" si="23"/>
        <v/>
      </c>
      <c r="R68" t="str">
        <f t="shared" si="23"/>
        <v/>
      </c>
      <c r="S68" t="str">
        <f t="shared" si="23"/>
        <v/>
      </c>
      <c r="T68" t="str">
        <f t="shared" si="23"/>
        <v/>
      </c>
      <c r="U68" t="str">
        <f t="shared" si="23"/>
        <v/>
      </c>
      <c r="V68" s="5" t="s">
        <v>36</v>
      </c>
      <c r="W68" t="str">
        <f t="shared" ref="W68:X102" si="29">IF($I68&lt;&gt;"","echo "&amp;L68&amp;" &gt;&gt; .\items\loottables\"&amp;$K68&amp;".dbr","")</f>
        <v/>
      </c>
      <c r="X68" t="str">
        <f t="shared" si="29"/>
        <v/>
      </c>
      <c r="Y68" s="5" t="s">
        <v>36</v>
      </c>
      <c r="Z68" t="str">
        <f t="shared" ref="Z68:Z102" si="30">IF(I67&lt;&gt;""," dailCompDesc"&amp;H68&amp;G68&amp;"=^p"&amp;H68&amp;"'s Gift of DAIL","")</f>
        <v/>
      </c>
      <c r="AA68" t="str">
        <f t="shared" si="17"/>
        <v/>
      </c>
      <c r="AB68" s="5" t="s">
        <v>36</v>
      </c>
      <c r="AH68">
        <f t="shared" si="19"/>
        <v>63</v>
      </c>
      <c r="AI68">
        <f t="shared" si="13"/>
        <v>0</v>
      </c>
      <c r="AJ68">
        <f t="shared" si="18"/>
        <v>5</v>
      </c>
    </row>
    <row r="69" spans="1:36" x14ac:dyDescent="0.25">
      <c r="A69" s="5" t="s">
        <v>39</v>
      </c>
      <c r="B69" s="5" t="s">
        <v>30</v>
      </c>
      <c r="C69" s="5" t="str">
        <f t="shared" si="24"/>
        <v>description,dailCompDescWarfare,</v>
      </c>
      <c r="D69" s="5" t="str">
        <f t="shared" si="25"/>
        <v>itemText,dailCompTextWarfare,</v>
      </c>
      <c r="E69" s="5" t="str">
        <f t="shared" si="14"/>
        <v>augmentSkillLevel1,5,</v>
      </c>
      <c r="F69" s="5" t="str">
        <f t="shared" si="15"/>
        <v>augmentSkillName1,records/skills,</v>
      </c>
      <c r="G69" s="7" t="str">
        <f t="shared" ref="G69:G102" si="31">IF(I69&lt;&gt;"",G68+1,"")</f>
        <v/>
      </c>
      <c r="H69" s="8" t="str">
        <f t="shared" ref="H69:H102" si="32">H68</f>
        <v>Warfare</v>
      </c>
      <c r="J69" s="8" t="str">
        <f t="shared" ref="J69:K84" si="33">J68</f>
        <v>class0019</v>
      </c>
      <c r="K69" s="8" t="str">
        <f t="shared" si="33"/>
        <v>dailoneskill0019</v>
      </c>
      <c r="L69" s="5" t="str">
        <f t="shared" si="26"/>
        <v>lootName,DAIL/items/materia/class0019/Warfare.dbr,</v>
      </c>
      <c r="M69" s="5" t="str">
        <f t="shared" si="27"/>
        <v>lootWeight,1,</v>
      </c>
      <c r="N69" t="str">
        <f t="shared" si="28"/>
        <v>5</v>
      </c>
      <c r="O69" t="str">
        <f t="shared" si="16"/>
        <v/>
      </c>
      <c r="P69" t="str">
        <f t="shared" si="23"/>
        <v/>
      </c>
      <c r="Q69" t="str">
        <f t="shared" si="23"/>
        <v/>
      </c>
      <c r="R69" t="str">
        <f t="shared" si="23"/>
        <v/>
      </c>
      <c r="S69" t="str">
        <f t="shared" si="23"/>
        <v/>
      </c>
      <c r="T69" t="str">
        <f t="shared" si="23"/>
        <v/>
      </c>
      <c r="U69" t="str">
        <f t="shared" si="23"/>
        <v/>
      </c>
      <c r="V69" s="5" t="s">
        <v>36</v>
      </c>
      <c r="W69" t="str">
        <f t="shared" si="29"/>
        <v/>
      </c>
      <c r="X69" t="str">
        <f t="shared" si="29"/>
        <v/>
      </c>
      <c r="Y69" s="5" t="s">
        <v>36</v>
      </c>
      <c r="Z69" t="str">
        <f t="shared" si="30"/>
        <v/>
      </c>
      <c r="AA69" t="str">
        <f t="shared" si="17"/>
        <v/>
      </c>
      <c r="AB69" s="5" t="s">
        <v>36</v>
      </c>
      <c r="AH69">
        <f t="shared" si="19"/>
        <v>64</v>
      </c>
      <c r="AI69">
        <f t="shared" si="13"/>
        <v>0</v>
      </c>
      <c r="AJ69">
        <f t="shared" si="18"/>
        <v>5</v>
      </c>
    </row>
    <row r="70" spans="1:36" x14ac:dyDescent="0.25">
      <c r="A70" s="5" t="s">
        <v>39</v>
      </c>
      <c r="B70" s="5" t="s">
        <v>30</v>
      </c>
      <c r="C70" s="5" t="str">
        <f t="shared" si="24"/>
        <v>description,dailCompDescWarfare,</v>
      </c>
      <c r="D70" s="5" t="str">
        <f t="shared" si="25"/>
        <v>itemText,dailCompTextWarfare,</v>
      </c>
      <c r="E70" s="5" t="str">
        <f t="shared" si="14"/>
        <v>augmentSkillLevel1,5,</v>
      </c>
      <c r="F70" s="5" t="str">
        <f t="shared" si="15"/>
        <v>augmentSkillName1,records/skills,</v>
      </c>
      <c r="G70" s="7" t="str">
        <f t="shared" si="31"/>
        <v/>
      </c>
      <c r="H70" s="8" t="str">
        <f t="shared" si="32"/>
        <v>Warfare</v>
      </c>
      <c r="J70" s="8" t="str">
        <f t="shared" si="33"/>
        <v>class0019</v>
      </c>
      <c r="K70" s="8" t="str">
        <f t="shared" si="33"/>
        <v>dailoneskill0019</v>
      </c>
      <c r="L70" s="5" t="str">
        <f t="shared" si="26"/>
        <v>lootName,DAIL/items/materia/class0019/Warfare.dbr,</v>
      </c>
      <c r="M70" s="5" t="str">
        <f t="shared" si="27"/>
        <v>lootWeight,1,</v>
      </c>
      <c r="N70" t="str">
        <f t="shared" si="28"/>
        <v>5</v>
      </c>
      <c r="O70" t="str">
        <f t="shared" si="16"/>
        <v/>
      </c>
      <c r="P70" t="str">
        <f t="shared" si="23"/>
        <v/>
      </c>
      <c r="Q70" t="str">
        <f t="shared" si="23"/>
        <v/>
      </c>
      <c r="R70" t="str">
        <f t="shared" si="23"/>
        <v/>
      </c>
      <c r="S70" t="str">
        <f t="shared" si="23"/>
        <v/>
      </c>
      <c r="T70" t="str">
        <f t="shared" si="23"/>
        <v/>
      </c>
      <c r="U70" t="str">
        <f t="shared" si="23"/>
        <v/>
      </c>
      <c r="V70" s="5" t="s">
        <v>36</v>
      </c>
      <c r="W70" t="str">
        <f t="shared" si="29"/>
        <v/>
      </c>
      <c r="X70" t="str">
        <f t="shared" si="29"/>
        <v/>
      </c>
      <c r="Y70" s="5" t="s">
        <v>36</v>
      </c>
      <c r="Z70" t="str">
        <f t="shared" si="30"/>
        <v/>
      </c>
      <c r="AA70" t="str">
        <f t="shared" si="17"/>
        <v/>
      </c>
      <c r="AB70" s="5" t="s">
        <v>36</v>
      </c>
      <c r="AH70">
        <f t="shared" si="19"/>
        <v>65</v>
      </c>
      <c r="AI70">
        <f t="shared" ref="AI70:AI102" si="34">LEN(I70)</f>
        <v>0</v>
      </c>
      <c r="AJ70">
        <f t="shared" si="18"/>
        <v>5</v>
      </c>
    </row>
    <row r="71" spans="1:36" x14ac:dyDescent="0.25">
      <c r="A71" s="5" t="s">
        <v>39</v>
      </c>
      <c r="B71" s="5" t="s">
        <v>30</v>
      </c>
      <c r="C71" s="5" t="str">
        <f t="shared" si="24"/>
        <v>description,dailCompDescWarfare,</v>
      </c>
      <c r="D71" s="5" t="str">
        <f t="shared" si="25"/>
        <v>itemText,dailCompTextWarfare,</v>
      </c>
      <c r="E71" s="5" t="str">
        <f t="shared" ref="E71:E102" si="35">"augmentSkillLevel1,"&amp;AJ71&amp;","</f>
        <v>augmentSkillLevel1,5,</v>
      </c>
      <c r="F71" s="5" t="str">
        <f t="shared" ref="F71:F102" si="36">"augmentSkillName1,records/skills"&amp;I71&amp;","</f>
        <v>augmentSkillName1,records/skills,</v>
      </c>
      <c r="G71" s="7" t="str">
        <f t="shared" si="31"/>
        <v/>
      </c>
      <c r="H71" s="8" t="str">
        <f t="shared" si="32"/>
        <v>Warfare</v>
      </c>
      <c r="J71" s="8" t="str">
        <f t="shared" si="33"/>
        <v>class0019</v>
      </c>
      <c r="K71" s="8" t="str">
        <f t="shared" si="33"/>
        <v>dailoneskill0019</v>
      </c>
      <c r="L71" s="5" t="str">
        <f t="shared" si="26"/>
        <v>lootName,DAIL/items/materia/class0019/Warfare.dbr,</v>
      </c>
      <c r="M71" s="5" t="str">
        <f t="shared" si="27"/>
        <v>lootWeight,1,</v>
      </c>
      <c r="N71" t="str">
        <f t="shared" si="28"/>
        <v>5</v>
      </c>
      <c r="O71" t="str">
        <f t="shared" ref="O71:O102" si="37">IF(I71&lt;&gt;"","copy .\"&amp;VLOOKUP(VALUE(N71),$AD$3:$AF$5,2,FALSE)&amp;" .\items\materia\"&amp;J71&amp;"\"&amp;H71&amp;G71&amp;".dbr /y"&amp;"","")</f>
        <v/>
      </c>
      <c r="P71" t="str">
        <f t="shared" si="23"/>
        <v/>
      </c>
      <c r="Q71" t="str">
        <f t="shared" si="23"/>
        <v/>
      </c>
      <c r="R71" t="str">
        <f t="shared" si="23"/>
        <v/>
      </c>
      <c r="S71" t="str">
        <f t="shared" si="23"/>
        <v/>
      </c>
      <c r="T71" t="str">
        <f t="shared" si="23"/>
        <v/>
      </c>
      <c r="U71" t="str">
        <f t="shared" si="23"/>
        <v/>
      </c>
      <c r="V71" s="5" t="s">
        <v>36</v>
      </c>
      <c r="W71" t="str">
        <f t="shared" si="29"/>
        <v/>
      </c>
      <c r="X71" t="str">
        <f t="shared" si="29"/>
        <v/>
      </c>
      <c r="Y71" s="5" t="s">
        <v>36</v>
      </c>
      <c r="Z71" t="str">
        <f t="shared" si="30"/>
        <v/>
      </c>
      <c r="AA71" t="str">
        <f t="shared" ref="AA71:AA102" si="38">IF(I70&lt;&gt;"","dailCompText"&amp;H71&amp;G71&amp;"=^oThis feels warm to the touch, almost familiar ^w("&amp;VLOOKUP(VALUE(N71),$AD$3:$AF$5,3,FALSE)&amp;")","")</f>
        <v/>
      </c>
      <c r="AB71" s="5" t="s">
        <v>36</v>
      </c>
      <c r="AH71">
        <f t="shared" si="19"/>
        <v>66</v>
      </c>
      <c r="AI71">
        <f t="shared" si="34"/>
        <v>0</v>
      </c>
      <c r="AJ71">
        <f t="shared" ref="AJ71:AJ102" si="39">IF(AH71&lt;$AL$7,1,IF(AH71&lt;$AL$8,3,5))</f>
        <v>5</v>
      </c>
    </row>
    <row r="72" spans="1:36" x14ac:dyDescent="0.25">
      <c r="A72" s="5" t="s">
        <v>39</v>
      </c>
      <c r="B72" s="5" t="s">
        <v>30</v>
      </c>
      <c r="C72" s="5" t="str">
        <f t="shared" si="24"/>
        <v>description,dailCompDescWarfare,</v>
      </c>
      <c r="D72" s="5" t="str">
        <f t="shared" si="25"/>
        <v>itemText,dailCompTextWarfare,</v>
      </c>
      <c r="E72" s="5" t="str">
        <f t="shared" si="35"/>
        <v>augmentSkillLevel1,5,</v>
      </c>
      <c r="F72" s="5" t="str">
        <f t="shared" si="36"/>
        <v>augmentSkillName1,records/skills,</v>
      </c>
      <c r="G72" s="7" t="str">
        <f t="shared" si="31"/>
        <v/>
      </c>
      <c r="H72" s="8" t="str">
        <f t="shared" si="32"/>
        <v>Warfare</v>
      </c>
      <c r="J72" s="8" t="str">
        <f t="shared" si="33"/>
        <v>class0019</v>
      </c>
      <c r="K72" s="8" t="str">
        <f t="shared" si="33"/>
        <v>dailoneskill0019</v>
      </c>
      <c r="L72" s="5" t="str">
        <f t="shared" si="26"/>
        <v>lootName,DAIL/items/materia/class0019/Warfare.dbr,</v>
      </c>
      <c r="M72" s="5" t="str">
        <f t="shared" si="27"/>
        <v>lootWeight,1,</v>
      </c>
      <c r="N72" t="str">
        <f t="shared" si="28"/>
        <v>5</v>
      </c>
      <c r="O72" t="str">
        <f t="shared" si="37"/>
        <v/>
      </c>
      <c r="P72" t="str">
        <f t="shared" si="23"/>
        <v/>
      </c>
      <c r="Q72" t="str">
        <f t="shared" si="23"/>
        <v/>
      </c>
      <c r="R72" t="str">
        <f t="shared" si="23"/>
        <v/>
      </c>
      <c r="S72" t="str">
        <f t="shared" si="23"/>
        <v/>
      </c>
      <c r="T72" t="str">
        <f t="shared" si="23"/>
        <v/>
      </c>
      <c r="U72" t="str">
        <f t="shared" si="23"/>
        <v/>
      </c>
      <c r="V72" s="5" t="s">
        <v>36</v>
      </c>
      <c r="W72" t="str">
        <f t="shared" si="29"/>
        <v/>
      </c>
      <c r="X72" t="str">
        <f t="shared" si="29"/>
        <v/>
      </c>
      <c r="Y72" s="5" t="s">
        <v>36</v>
      </c>
      <c r="Z72" t="str">
        <f t="shared" si="30"/>
        <v/>
      </c>
      <c r="AA72" t="str">
        <f t="shared" si="38"/>
        <v/>
      </c>
      <c r="AB72" s="5" t="s">
        <v>36</v>
      </c>
      <c r="AH72">
        <f t="shared" ref="AH72:AH102" si="40">AH71+1</f>
        <v>67</v>
      </c>
      <c r="AI72">
        <f t="shared" si="34"/>
        <v>0</v>
      </c>
      <c r="AJ72">
        <f t="shared" si="39"/>
        <v>5</v>
      </c>
    </row>
    <row r="73" spans="1:36" x14ac:dyDescent="0.25">
      <c r="A73" s="5" t="s">
        <v>39</v>
      </c>
      <c r="B73" s="5" t="s">
        <v>30</v>
      </c>
      <c r="C73" s="5" t="str">
        <f t="shared" si="24"/>
        <v>description,dailCompDescWarfare,</v>
      </c>
      <c r="D73" s="5" t="str">
        <f t="shared" si="25"/>
        <v>itemText,dailCompTextWarfare,</v>
      </c>
      <c r="E73" s="5" t="str">
        <f t="shared" si="35"/>
        <v>augmentSkillLevel1,5,</v>
      </c>
      <c r="F73" s="5" t="str">
        <f t="shared" si="36"/>
        <v>augmentSkillName1,records/skills,</v>
      </c>
      <c r="G73" s="7" t="str">
        <f t="shared" si="31"/>
        <v/>
      </c>
      <c r="H73" s="8" t="str">
        <f t="shared" si="32"/>
        <v>Warfare</v>
      </c>
      <c r="J73" s="8" t="str">
        <f t="shared" si="33"/>
        <v>class0019</v>
      </c>
      <c r="K73" s="8" t="str">
        <f t="shared" si="33"/>
        <v>dailoneskill0019</v>
      </c>
      <c r="L73" s="5" t="str">
        <f t="shared" si="26"/>
        <v>lootName,DAIL/items/materia/class0019/Warfare.dbr,</v>
      </c>
      <c r="M73" s="5" t="str">
        <f t="shared" si="27"/>
        <v>lootWeight,1,</v>
      </c>
      <c r="N73" t="str">
        <f t="shared" si="28"/>
        <v>5</v>
      </c>
      <c r="O73" t="str">
        <f t="shared" si="37"/>
        <v/>
      </c>
      <c r="P73" t="str">
        <f t="shared" si="23"/>
        <v/>
      </c>
      <c r="Q73" t="str">
        <f t="shared" si="23"/>
        <v/>
      </c>
      <c r="R73" t="str">
        <f t="shared" si="23"/>
        <v/>
      </c>
      <c r="S73" t="str">
        <f t="shared" si="23"/>
        <v/>
      </c>
      <c r="T73" t="str">
        <f t="shared" si="23"/>
        <v/>
      </c>
      <c r="U73" t="str">
        <f t="shared" si="23"/>
        <v/>
      </c>
      <c r="V73" s="5" t="s">
        <v>36</v>
      </c>
      <c r="W73" t="str">
        <f t="shared" si="29"/>
        <v/>
      </c>
      <c r="X73" t="str">
        <f t="shared" si="29"/>
        <v/>
      </c>
      <c r="Y73" s="5" t="s">
        <v>36</v>
      </c>
      <c r="Z73" t="str">
        <f t="shared" si="30"/>
        <v/>
      </c>
      <c r="AA73" t="str">
        <f t="shared" si="38"/>
        <v/>
      </c>
      <c r="AB73" s="5" t="s">
        <v>36</v>
      </c>
      <c r="AH73">
        <f t="shared" si="40"/>
        <v>68</v>
      </c>
      <c r="AI73">
        <f t="shared" si="34"/>
        <v>0</v>
      </c>
      <c r="AJ73">
        <f t="shared" si="39"/>
        <v>5</v>
      </c>
    </row>
    <row r="74" spans="1:36" x14ac:dyDescent="0.25">
      <c r="A74" s="5" t="s">
        <v>39</v>
      </c>
      <c r="B74" s="5" t="s">
        <v>30</v>
      </c>
      <c r="C74" s="5" t="str">
        <f t="shared" si="24"/>
        <v>description,dailCompDescWarfare,</v>
      </c>
      <c r="D74" s="5" t="str">
        <f t="shared" si="25"/>
        <v>itemText,dailCompTextWarfare,</v>
      </c>
      <c r="E74" s="5" t="str">
        <f t="shared" si="35"/>
        <v>augmentSkillLevel1,5,</v>
      </c>
      <c r="F74" s="5" t="str">
        <f t="shared" si="36"/>
        <v>augmentSkillName1,records/skills,</v>
      </c>
      <c r="G74" s="7" t="str">
        <f t="shared" si="31"/>
        <v/>
      </c>
      <c r="H74" s="8" t="str">
        <f t="shared" si="32"/>
        <v>Warfare</v>
      </c>
      <c r="J74" s="8" t="str">
        <f t="shared" si="33"/>
        <v>class0019</v>
      </c>
      <c r="K74" s="8" t="str">
        <f t="shared" si="33"/>
        <v>dailoneskill0019</v>
      </c>
      <c r="L74" s="5" t="str">
        <f t="shared" si="26"/>
        <v>lootName,DAIL/items/materia/class0019/Warfare.dbr,</v>
      </c>
      <c r="M74" s="5" t="str">
        <f t="shared" si="27"/>
        <v>lootWeight,1,</v>
      </c>
      <c r="N74" t="str">
        <f t="shared" si="28"/>
        <v>5</v>
      </c>
      <c r="O74" t="str">
        <f t="shared" si="37"/>
        <v/>
      </c>
      <c r="P74" t="str">
        <f t="shared" si="23"/>
        <v/>
      </c>
      <c r="Q74" t="str">
        <f t="shared" si="23"/>
        <v/>
      </c>
      <c r="R74" t="str">
        <f t="shared" si="23"/>
        <v/>
      </c>
      <c r="S74" t="str">
        <f t="shared" si="23"/>
        <v/>
      </c>
      <c r="T74" t="str">
        <f t="shared" si="23"/>
        <v/>
      </c>
      <c r="U74" t="str">
        <f t="shared" si="23"/>
        <v/>
      </c>
      <c r="V74" s="5" t="s">
        <v>36</v>
      </c>
      <c r="W74" t="str">
        <f t="shared" si="29"/>
        <v/>
      </c>
      <c r="X74" t="str">
        <f t="shared" si="29"/>
        <v/>
      </c>
      <c r="Y74" s="5" t="s">
        <v>36</v>
      </c>
      <c r="Z74" t="str">
        <f t="shared" si="30"/>
        <v/>
      </c>
      <c r="AA74" t="str">
        <f t="shared" si="38"/>
        <v/>
      </c>
      <c r="AB74" s="5" t="s">
        <v>36</v>
      </c>
      <c r="AH74">
        <f t="shared" si="40"/>
        <v>69</v>
      </c>
      <c r="AI74">
        <f t="shared" si="34"/>
        <v>0</v>
      </c>
      <c r="AJ74">
        <f t="shared" si="39"/>
        <v>5</v>
      </c>
    </row>
    <row r="75" spans="1:36" x14ac:dyDescent="0.25">
      <c r="A75" s="5" t="s">
        <v>39</v>
      </c>
      <c r="B75" s="5" t="s">
        <v>30</v>
      </c>
      <c r="C75" s="5" t="str">
        <f t="shared" si="24"/>
        <v>description,dailCompDescWarfare,</v>
      </c>
      <c r="D75" s="5" t="str">
        <f t="shared" si="25"/>
        <v>itemText,dailCompTextWarfare,</v>
      </c>
      <c r="E75" s="5" t="str">
        <f t="shared" si="35"/>
        <v>augmentSkillLevel1,5,</v>
      </c>
      <c r="F75" s="5" t="str">
        <f t="shared" si="36"/>
        <v>augmentSkillName1,records/skills,</v>
      </c>
      <c r="G75" s="7" t="str">
        <f t="shared" si="31"/>
        <v/>
      </c>
      <c r="H75" s="8" t="str">
        <f t="shared" si="32"/>
        <v>Warfare</v>
      </c>
      <c r="J75" s="8" t="str">
        <f t="shared" si="33"/>
        <v>class0019</v>
      </c>
      <c r="K75" s="8" t="str">
        <f t="shared" si="33"/>
        <v>dailoneskill0019</v>
      </c>
      <c r="L75" s="5" t="str">
        <f t="shared" si="26"/>
        <v>lootName,DAIL/items/materia/class0019/Warfare.dbr,</v>
      </c>
      <c r="M75" s="5" t="str">
        <f t="shared" si="27"/>
        <v>lootWeight,1,</v>
      </c>
      <c r="N75" t="str">
        <f t="shared" si="28"/>
        <v>5</v>
      </c>
      <c r="O75" t="str">
        <f t="shared" si="37"/>
        <v/>
      </c>
      <c r="P75" t="str">
        <f t="shared" si="23"/>
        <v/>
      </c>
      <c r="Q75" t="str">
        <f t="shared" si="23"/>
        <v/>
      </c>
      <c r="R75" t="str">
        <f t="shared" si="23"/>
        <v/>
      </c>
      <c r="S75" t="str">
        <f t="shared" si="23"/>
        <v/>
      </c>
      <c r="T75" t="str">
        <f t="shared" si="23"/>
        <v/>
      </c>
      <c r="U75" t="str">
        <f t="shared" si="23"/>
        <v/>
      </c>
      <c r="V75" s="5" t="s">
        <v>36</v>
      </c>
      <c r="W75" t="str">
        <f t="shared" si="29"/>
        <v/>
      </c>
      <c r="X75" t="str">
        <f t="shared" si="29"/>
        <v/>
      </c>
      <c r="Y75" s="5" t="s">
        <v>36</v>
      </c>
      <c r="Z75" t="str">
        <f t="shared" si="30"/>
        <v/>
      </c>
      <c r="AA75" t="str">
        <f t="shared" si="38"/>
        <v/>
      </c>
      <c r="AB75" s="5" t="s">
        <v>36</v>
      </c>
      <c r="AH75">
        <f t="shared" si="40"/>
        <v>70</v>
      </c>
      <c r="AI75">
        <f t="shared" si="34"/>
        <v>0</v>
      </c>
      <c r="AJ75">
        <f t="shared" si="39"/>
        <v>5</v>
      </c>
    </row>
    <row r="76" spans="1:36" x14ac:dyDescent="0.25">
      <c r="A76" s="5" t="s">
        <v>39</v>
      </c>
      <c r="B76" s="5" t="s">
        <v>30</v>
      </c>
      <c r="C76" s="5" t="str">
        <f t="shared" si="24"/>
        <v>description,dailCompDescWarfare,</v>
      </c>
      <c r="D76" s="5" t="str">
        <f t="shared" si="25"/>
        <v>itemText,dailCompTextWarfare,</v>
      </c>
      <c r="E76" s="5" t="str">
        <f t="shared" si="35"/>
        <v>augmentSkillLevel1,5,</v>
      </c>
      <c r="F76" s="5" t="str">
        <f t="shared" si="36"/>
        <v>augmentSkillName1,records/skills,</v>
      </c>
      <c r="G76" s="7" t="str">
        <f t="shared" si="31"/>
        <v/>
      </c>
      <c r="H76" s="8" t="str">
        <f t="shared" si="32"/>
        <v>Warfare</v>
      </c>
      <c r="J76" s="8" t="str">
        <f t="shared" si="33"/>
        <v>class0019</v>
      </c>
      <c r="K76" s="8" t="str">
        <f t="shared" si="33"/>
        <v>dailoneskill0019</v>
      </c>
      <c r="L76" s="5" t="str">
        <f t="shared" si="26"/>
        <v>lootName,DAIL/items/materia/class0019/Warfare.dbr,</v>
      </c>
      <c r="M76" s="5" t="str">
        <f t="shared" si="27"/>
        <v>lootWeight,1,</v>
      </c>
      <c r="N76" t="str">
        <f t="shared" si="28"/>
        <v>5</v>
      </c>
      <c r="O76" t="str">
        <f t="shared" si="37"/>
        <v/>
      </c>
      <c r="P76" t="str">
        <f t="shared" si="23"/>
        <v/>
      </c>
      <c r="Q76" t="str">
        <f t="shared" si="23"/>
        <v/>
      </c>
      <c r="R76" t="str">
        <f t="shared" si="23"/>
        <v/>
      </c>
      <c r="S76" t="str">
        <f t="shared" si="23"/>
        <v/>
      </c>
      <c r="T76" t="str">
        <f t="shared" si="23"/>
        <v/>
      </c>
      <c r="U76" t="str">
        <f t="shared" si="23"/>
        <v/>
      </c>
      <c r="V76" s="5" t="s">
        <v>36</v>
      </c>
      <c r="W76" t="str">
        <f t="shared" si="29"/>
        <v/>
      </c>
      <c r="X76" t="str">
        <f t="shared" si="29"/>
        <v/>
      </c>
      <c r="Y76" s="5" t="s">
        <v>36</v>
      </c>
      <c r="Z76" t="str">
        <f t="shared" si="30"/>
        <v/>
      </c>
      <c r="AA76" t="str">
        <f t="shared" si="38"/>
        <v/>
      </c>
      <c r="AB76" s="5" t="s">
        <v>36</v>
      </c>
      <c r="AH76">
        <f t="shared" si="40"/>
        <v>71</v>
      </c>
      <c r="AI76">
        <f t="shared" si="34"/>
        <v>0</v>
      </c>
      <c r="AJ76">
        <f t="shared" si="39"/>
        <v>5</v>
      </c>
    </row>
    <row r="77" spans="1:36" x14ac:dyDescent="0.25">
      <c r="A77" s="5" t="s">
        <v>39</v>
      </c>
      <c r="B77" s="5" t="s">
        <v>30</v>
      </c>
      <c r="C77" s="5" t="str">
        <f t="shared" si="24"/>
        <v>description,dailCompDescWarfare,</v>
      </c>
      <c r="D77" s="5" t="str">
        <f t="shared" si="25"/>
        <v>itemText,dailCompTextWarfare,</v>
      </c>
      <c r="E77" s="5" t="str">
        <f t="shared" si="35"/>
        <v>augmentSkillLevel1,5,</v>
      </c>
      <c r="F77" s="5" t="str">
        <f t="shared" si="36"/>
        <v>augmentSkillName1,records/skills,</v>
      </c>
      <c r="G77" s="7" t="str">
        <f t="shared" si="31"/>
        <v/>
      </c>
      <c r="H77" s="8" t="str">
        <f t="shared" si="32"/>
        <v>Warfare</v>
      </c>
      <c r="J77" s="8" t="str">
        <f t="shared" si="33"/>
        <v>class0019</v>
      </c>
      <c r="K77" s="8" t="str">
        <f t="shared" si="33"/>
        <v>dailoneskill0019</v>
      </c>
      <c r="L77" s="5" t="str">
        <f t="shared" si="26"/>
        <v>lootName,DAIL/items/materia/class0019/Warfare.dbr,</v>
      </c>
      <c r="M77" s="5" t="str">
        <f t="shared" si="27"/>
        <v>lootWeight,1,</v>
      </c>
      <c r="N77" t="str">
        <f t="shared" si="28"/>
        <v>5</v>
      </c>
      <c r="O77" t="str">
        <f t="shared" si="37"/>
        <v/>
      </c>
      <c r="P77" t="str">
        <f t="shared" si="23"/>
        <v/>
      </c>
      <c r="Q77" t="str">
        <f t="shared" si="23"/>
        <v/>
      </c>
      <c r="R77" t="str">
        <f t="shared" si="23"/>
        <v/>
      </c>
      <c r="S77" t="str">
        <f t="shared" si="23"/>
        <v/>
      </c>
      <c r="T77" t="str">
        <f t="shared" si="23"/>
        <v/>
      </c>
      <c r="U77" t="str">
        <f t="shared" si="23"/>
        <v/>
      </c>
      <c r="V77" s="5" t="s">
        <v>36</v>
      </c>
      <c r="W77" t="str">
        <f t="shared" si="29"/>
        <v/>
      </c>
      <c r="X77" t="str">
        <f t="shared" si="29"/>
        <v/>
      </c>
      <c r="Y77" s="5" t="s">
        <v>36</v>
      </c>
      <c r="Z77" t="str">
        <f t="shared" si="30"/>
        <v/>
      </c>
      <c r="AA77" t="str">
        <f t="shared" si="38"/>
        <v/>
      </c>
      <c r="AB77" s="5" t="s">
        <v>36</v>
      </c>
      <c r="AH77">
        <f t="shared" si="40"/>
        <v>72</v>
      </c>
      <c r="AI77">
        <f t="shared" si="34"/>
        <v>0</v>
      </c>
      <c r="AJ77">
        <f t="shared" si="39"/>
        <v>5</v>
      </c>
    </row>
    <row r="78" spans="1:36" x14ac:dyDescent="0.25">
      <c r="A78" s="5" t="s">
        <v>39</v>
      </c>
      <c r="B78" s="5" t="s">
        <v>30</v>
      </c>
      <c r="C78" s="5" t="str">
        <f t="shared" si="24"/>
        <v>description,dailCompDescWarfare,</v>
      </c>
      <c r="D78" s="5" t="str">
        <f t="shared" si="25"/>
        <v>itemText,dailCompTextWarfare,</v>
      </c>
      <c r="E78" s="5" t="str">
        <f t="shared" si="35"/>
        <v>augmentSkillLevel1,5,</v>
      </c>
      <c r="F78" s="5" t="str">
        <f t="shared" si="36"/>
        <v>augmentSkillName1,records/skills,</v>
      </c>
      <c r="G78" s="7" t="str">
        <f t="shared" si="31"/>
        <v/>
      </c>
      <c r="H78" s="8" t="str">
        <f t="shared" si="32"/>
        <v>Warfare</v>
      </c>
      <c r="J78" s="8" t="str">
        <f t="shared" si="33"/>
        <v>class0019</v>
      </c>
      <c r="K78" s="8" t="str">
        <f t="shared" si="33"/>
        <v>dailoneskill0019</v>
      </c>
      <c r="L78" s="5" t="str">
        <f t="shared" si="26"/>
        <v>lootName,DAIL/items/materia/class0019/Warfare.dbr,</v>
      </c>
      <c r="M78" s="5" t="str">
        <f t="shared" si="27"/>
        <v>lootWeight,1,</v>
      </c>
      <c r="N78" t="str">
        <f t="shared" si="28"/>
        <v>5</v>
      </c>
      <c r="O78" t="str">
        <f t="shared" si="37"/>
        <v/>
      </c>
      <c r="P78" t="str">
        <f t="shared" si="23"/>
        <v/>
      </c>
      <c r="Q78" t="str">
        <f t="shared" si="23"/>
        <v/>
      </c>
      <c r="R78" t="str">
        <f t="shared" si="23"/>
        <v/>
      </c>
      <c r="S78" t="str">
        <f t="shared" si="23"/>
        <v/>
      </c>
      <c r="T78" t="str">
        <f t="shared" si="23"/>
        <v/>
      </c>
      <c r="U78" t="str">
        <f t="shared" si="23"/>
        <v/>
      </c>
      <c r="V78" s="5" t="s">
        <v>36</v>
      </c>
      <c r="W78" t="str">
        <f t="shared" si="29"/>
        <v/>
      </c>
      <c r="X78" t="str">
        <f t="shared" si="29"/>
        <v/>
      </c>
      <c r="Y78" s="5" t="s">
        <v>36</v>
      </c>
      <c r="Z78" t="str">
        <f t="shared" si="30"/>
        <v/>
      </c>
      <c r="AA78" t="str">
        <f t="shared" si="38"/>
        <v/>
      </c>
      <c r="AB78" s="5" t="s">
        <v>36</v>
      </c>
      <c r="AH78">
        <f t="shared" si="40"/>
        <v>73</v>
      </c>
      <c r="AI78">
        <f t="shared" si="34"/>
        <v>0</v>
      </c>
      <c r="AJ78">
        <f t="shared" si="39"/>
        <v>5</v>
      </c>
    </row>
    <row r="79" spans="1:36" x14ac:dyDescent="0.25">
      <c r="A79" s="5" t="s">
        <v>39</v>
      </c>
      <c r="B79" s="5" t="s">
        <v>30</v>
      </c>
      <c r="C79" s="5" t="str">
        <f t="shared" si="24"/>
        <v>description,dailCompDescWarfare,</v>
      </c>
      <c r="D79" s="5" t="str">
        <f t="shared" si="25"/>
        <v>itemText,dailCompTextWarfare,</v>
      </c>
      <c r="E79" s="5" t="str">
        <f t="shared" si="35"/>
        <v>augmentSkillLevel1,5,</v>
      </c>
      <c r="F79" s="5" t="str">
        <f t="shared" si="36"/>
        <v>augmentSkillName1,records/skills,</v>
      </c>
      <c r="G79" s="7" t="str">
        <f t="shared" si="31"/>
        <v/>
      </c>
      <c r="H79" s="8" t="str">
        <f t="shared" si="32"/>
        <v>Warfare</v>
      </c>
      <c r="J79" s="8" t="str">
        <f t="shared" si="33"/>
        <v>class0019</v>
      </c>
      <c r="K79" s="8" t="str">
        <f t="shared" si="33"/>
        <v>dailoneskill0019</v>
      </c>
      <c r="L79" s="5" t="str">
        <f t="shared" si="26"/>
        <v>lootName,DAIL/items/materia/class0019/Warfare.dbr,</v>
      </c>
      <c r="M79" s="5" t="str">
        <f t="shared" si="27"/>
        <v>lootWeight,1,</v>
      </c>
      <c r="N79" t="str">
        <f t="shared" si="28"/>
        <v>5</v>
      </c>
      <c r="O79" t="str">
        <f t="shared" si="37"/>
        <v/>
      </c>
      <c r="P79" t="str">
        <f t="shared" si="23"/>
        <v/>
      </c>
      <c r="Q79" t="str">
        <f t="shared" si="23"/>
        <v/>
      </c>
      <c r="R79" t="str">
        <f t="shared" si="23"/>
        <v/>
      </c>
      <c r="S79" t="str">
        <f t="shared" si="23"/>
        <v/>
      </c>
      <c r="T79" t="str">
        <f t="shared" si="23"/>
        <v/>
      </c>
      <c r="U79" t="str">
        <f t="shared" si="23"/>
        <v/>
      </c>
      <c r="V79" s="5" t="s">
        <v>36</v>
      </c>
      <c r="W79" t="str">
        <f t="shared" si="29"/>
        <v/>
      </c>
      <c r="X79" t="str">
        <f t="shared" si="29"/>
        <v/>
      </c>
      <c r="Y79" s="5" t="s">
        <v>36</v>
      </c>
      <c r="Z79" t="str">
        <f t="shared" si="30"/>
        <v/>
      </c>
      <c r="AA79" t="str">
        <f t="shared" si="38"/>
        <v/>
      </c>
      <c r="AB79" s="5" t="s">
        <v>36</v>
      </c>
      <c r="AH79">
        <f t="shared" si="40"/>
        <v>74</v>
      </c>
      <c r="AI79">
        <f t="shared" si="34"/>
        <v>0</v>
      </c>
      <c r="AJ79">
        <f t="shared" si="39"/>
        <v>5</v>
      </c>
    </row>
    <row r="80" spans="1:36" x14ac:dyDescent="0.25">
      <c r="A80" s="5" t="s">
        <v>39</v>
      </c>
      <c r="B80" s="5" t="s">
        <v>30</v>
      </c>
      <c r="C80" s="5" t="str">
        <f t="shared" si="24"/>
        <v>description,dailCompDescWarfare,</v>
      </c>
      <c r="D80" s="5" t="str">
        <f t="shared" si="25"/>
        <v>itemText,dailCompTextWarfare,</v>
      </c>
      <c r="E80" s="5" t="str">
        <f t="shared" si="35"/>
        <v>augmentSkillLevel1,5,</v>
      </c>
      <c r="F80" s="5" t="str">
        <f t="shared" si="36"/>
        <v>augmentSkillName1,records/skills,</v>
      </c>
      <c r="G80" s="7" t="str">
        <f t="shared" si="31"/>
        <v/>
      </c>
      <c r="H80" s="8" t="str">
        <f t="shared" si="32"/>
        <v>Warfare</v>
      </c>
      <c r="J80" s="8" t="str">
        <f t="shared" si="33"/>
        <v>class0019</v>
      </c>
      <c r="K80" s="8" t="str">
        <f t="shared" si="33"/>
        <v>dailoneskill0019</v>
      </c>
      <c r="L80" s="5" t="str">
        <f t="shared" si="26"/>
        <v>lootName,DAIL/items/materia/class0019/Warfare.dbr,</v>
      </c>
      <c r="M80" s="5" t="str">
        <f t="shared" si="27"/>
        <v>lootWeight,1,</v>
      </c>
      <c r="N80" t="str">
        <f t="shared" si="28"/>
        <v>5</v>
      </c>
      <c r="O80" t="str">
        <f t="shared" si="37"/>
        <v/>
      </c>
      <c r="P80" t="str">
        <f t="shared" si="23"/>
        <v/>
      </c>
      <c r="Q80" t="str">
        <f t="shared" si="23"/>
        <v/>
      </c>
      <c r="R80" t="str">
        <f t="shared" si="23"/>
        <v/>
      </c>
      <c r="S80" t="str">
        <f t="shared" si="23"/>
        <v/>
      </c>
      <c r="T80" t="str">
        <f t="shared" si="23"/>
        <v/>
      </c>
      <c r="U80" t="str">
        <f t="shared" si="23"/>
        <v/>
      </c>
      <c r="V80" s="5" t="s">
        <v>36</v>
      </c>
      <c r="W80" t="str">
        <f t="shared" si="29"/>
        <v/>
      </c>
      <c r="X80" t="str">
        <f t="shared" si="29"/>
        <v/>
      </c>
      <c r="Y80" s="5" t="s">
        <v>36</v>
      </c>
      <c r="Z80" t="str">
        <f t="shared" si="30"/>
        <v/>
      </c>
      <c r="AA80" t="str">
        <f t="shared" si="38"/>
        <v/>
      </c>
      <c r="AB80" s="5" t="s">
        <v>36</v>
      </c>
      <c r="AH80">
        <f t="shared" si="40"/>
        <v>75</v>
      </c>
      <c r="AI80">
        <f t="shared" si="34"/>
        <v>0</v>
      </c>
      <c r="AJ80">
        <f t="shared" si="39"/>
        <v>5</v>
      </c>
    </row>
    <row r="81" spans="1:36" x14ac:dyDescent="0.25">
      <c r="A81" s="5" t="s">
        <v>39</v>
      </c>
      <c r="B81" s="5" t="s">
        <v>30</v>
      </c>
      <c r="C81" s="5" t="str">
        <f t="shared" si="24"/>
        <v>description,dailCompDescWarfare,</v>
      </c>
      <c r="D81" s="5" t="str">
        <f t="shared" si="25"/>
        <v>itemText,dailCompTextWarfare,</v>
      </c>
      <c r="E81" s="5" t="str">
        <f t="shared" si="35"/>
        <v>augmentSkillLevel1,5,</v>
      </c>
      <c r="F81" s="5" t="str">
        <f t="shared" si="36"/>
        <v>augmentSkillName1,records/skills,</v>
      </c>
      <c r="G81" s="7" t="str">
        <f t="shared" si="31"/>
        <v/>
      </c>
      <c r="H81" s="8" t="str">
        <f t="shared" si="32"/>
        <v>Warfare</v>
      </c>
      <c r="J81" s="8" t="str">
        <f t="shared" si="33"/>
        <v>class0019</v>
      </c>
      <c r="K81" s="8" t="str">
        <f t="shared" si="33"/>
        <v>dailoneskill0019</v>
      </c>
      <c r="L81" s="5" t="str">
        <f t="shared" si="26"/>
        <v>lootName,DAIL/items/materia/class0019/Warfare.dbr,</v>
      </c>
      <c r="M81" s="5" t="str">
        <f t="shared" si="27"/>
        <v>lootWeight,1,</v>
      </c>
      <c r="N81" t="str">
        <f t="shared" si="28"/>
        <v>5</v>
      </c>
      <c r="O81" t="str">
        <f t="shared" si="37"/>
        <v/>
      </c>
      <c r="P81" t="str">
        <f t="shared" si="23"/>
        <v/>
      </c>
      <c r="Q81" t="str">
        <f t="shared" si="23"/>
        <v/>
      </c>
      <c r="R81" t="str">
        <f t="shared" si="23"/>
        <v/>
      </c>
      <c r="S81" t="str">
        <f t="shared" si="23"/>
        <v/>
      </c>
      <c r="T81" t="str">
        <f t="shared" si="23"/>
        <v/>
      </c>
      <c r="U81" t="str">
        <f t="shared" si="23"/>
        <v/>
      </c>
      <c r="V81" s="5" t="s">
        <v>36</v>
      </c>
      <c r="W81" t="str">
        <f t="shared" si="29"/>
        <v/>
      </c>
      <c r="X81" t="str">
        <f t="shared" si="29"/>
        <v/>
      </c>
      <c r="Y81" s="5" t="s">
        <v>36</v>
      </c>
      <c r="Z81" t="str">
        <f t="shared" si="30"/>
        <v/>
      </c>
      <c r="AA81" t="str">
        <f t="shared" si="38"/>
        <v/>
      </c>
      <c r="AB81" s="5" t="s">
        <v>36</v>
      </c>
      <c r="AH81">
        <f t="shared" si="40"/>
        <v>76</v>
      </c>
      <c r="AI81">
        <f t="shared" si="34"/>
        <v>0</v>
      </c>
      <c r="AJ81">
        <f t="shared" si="39"/>
        <v>5</v>
      </c>
    </row>
    <row r="82" spans="1:36" x14ac:dyDescent="0.25">
      <c r="A82" s="5" t="s">
        <v>39</v>
      </c>
      <c r="B82" s="5" t="s">
        <v>30</v>
      </c>
      <c r="C82" s="5" t="str">
        <f t="shared" si="24"/>
        <v>description,dailCompDescWarfare,</v>
      </c>
      <c r="D82" s="5" t="str">
        <f t="shared" si="25"/>
        <v>itemText,dailCompTextWarfare,</v>
      </c>
      <c r="E82" s="5" t="str">
        <f t="shared" si="35"/>
        <v>augmentSkillLevel1,5,</v>
      </c>
      <c r="F82" s="5" t="str">
        <f t="shared" si="36"/>
        <v>augmentSkillName1,records/skills,</v>
      </c>
      <c r="G82" s="7" t="str">
        <f t="shared" si="31"/>
        <v/>
      </c>
      <c r="H82" s="8" t="str">
        <f t="shared" si="32"/>
        <v>Warfare</v>
      </c>
      <c r="J82" s="8" t="str">
        <f t="shared" si="33"/>
        <v>class0019</v>
      </c>
      <c r="K82" s="8" t="str">
        <f t="shared" si="33"/>
        <v>dailoneskill0019</v>
      </c>
      <c r="L82" s="5" t="str">
        <f t="shared" si="26"/>
        <v>lootName,DAIL/items/materia/class0019/Warfare.dbr,</v>
      </c>
      <c r="M82" s="5" t="str">
        <f t="shared" si="27"/>
        <v>lootWeight,1,</v>
      </c>
      <c r="N82" t="str">
        <f t="shared" si="28"/>
        <v>5</v>
      </c>
      <c r="O82" t="str">
        <f t="shared" si="37"/>
        <v/>
      </c>
      <c r="P82" t="str">
        <f t="shared" si="23"/>
        <v/>
      </c>
      <c r="Q82" t="str">
        <f t="shared" si="23"/>
        <v/>
      </c>
      <c r="R82" t="str">
        <f t="shared" si="23"/>
        <v/>
      </c>
      <c r="S82" t="str">
        <f t="shared" si="23"/>
        <v/>
      </c>
      <c r="T82" t="str">
        <f t="shared" si="23"/>
        <v/>
      </c>
      <c r="U82" t="str">
        <f t="shared" si="23"/>
        <v/>
      </c>
      <c r="V82" s="5" t="s">
        <v>36</v>
      </c>
      <c r="W82" t="str">
        <f t="shared" si="29"/>
        <v/>
      </c>
      <c r="X82" t="str">
        <f t="shared" si="29"/>
        <v/>
      </c>
      <c r="Y82" s="5" t="s">
        <v>36</v>
      </c>
      <c r="Z82" t="str">
        <f t="shared" si="30"/>
        <v/>
      </c>
      <c r="AA82" t="str">
        <f t="shared" si="38"/>
        <v/>
      </c>
      <c r="AB82" s="5" t="s">
        <v>36</v>
      </c>
      <c r="AH82">
        <f t="shared" si="40"/>
        <v>77</v>
      </c>
      <c r="AI82">
        <f t="shared" si="34"/>
        <v>0</v>
      </c>
      <c r="AJ82">
        <f t="shared" si="39"/>
        <v>5</v>
      </c>
    </row>
    <row r="83" spans="1:36" x14ac:dyDescent="0.25">
      <c r="A83" s="5" t="s">
        <v>39</v>
      </c>
      <c r="B83" s="5" t="s">
        <v>30</v>
      </c>
      <c r="C83" s="5" t="str">
        <f t="shared" si="24"/>
        <v>description,dailCompDescWarfare,</v>
      </c>
      <c r="D83" s="5" t="str">
        <f t="shared" si="25"/>
        <v>itemText,dailCompTextWarfare,</v>
      </c>
      <c r="E83" s="5" t="str">
        <f t="shared" si="35"/>
        <v>augmentSkillLevel1,5,</v>
      </c>
      <c r="F83" s="5" t="str">
        <f t="shared" si="36"/>
        <v>augmentSkillName1,records/skills,</v>
      </c>
      <c r="G83" s="7" t="str">
        <f t="shared" si="31"/>
        <v/>
      </c>
      <c r="H83" s="8" t="str">
        <f t="shared" si="32"/>
        <v>Warfare</v>
      </c>
      <c r="J83" s="8" t="str">
        <f t="shared" si="33"/>
        <v>class0019</v>
      </c>
      <c r="K83" s="8" t="str">
        <f t="shared" si="33"/>
        <v>dailoneskill0019</v>
      </c>
      <c r="L83" s="5" t="str">
        <f t="shared" si="26"/>
        <v>lootName,DAIL/items/materia/class0019/Warfare.dbr,</v>
      </c>
      <c r="M83" s="5" t="str">
        <f t="shared" si="27"/>
        <v>lootWeight,1,</v>
      </c>
      <c r="N83" t="str">
        <f t="shared" si="28"/>
        <v>5</v>
      </c>
      <c r="O83" t="str">
        <f t="shared" si="37"/>
        <v/>
      </c>
      <c r="P83" t="str">
        <f t="shared" si="23"/>
        <v/>
      </c>
      <c r="Q83" t="str">
        <f t="shared" si="23"/>
        <v/>
      </c>
      <c r="R83" t="str">
        <f t="shared" si="23"/>
        <v/>
      </c>
      <c r="S83" t="str">
        <f t="shared" si="23"/>
        <v/>
      </c>
      <c r="T83" t="str">
        <f t="shared" si="23"/>
        <v/>
      </c>
      <c r="U83" t="str">
        <f t="shared" si="23"/>
        <v/>
      </c>
      <c r="V83" s="5" t="s">
        <v>36</v>
      </c>
      <c r="W83" t="str">
        <f t="shared" si="29"/>
        <v/>
      </c>
      <c r="X83" t="str">
        <f t="shared" si="29"/>
        <v/>
      </c>
      <c r="Y83" s="5" t="s">
        <v>36</v>
      </c>
      <c r="Z83" t="str">
        <f t="shared" si="30"/>
        <v/>
      </c>
      <c r="AA83" t="str">
        <f t="shared" si="38"/>
        <v/>
      </c>
      <c r="AB83" s="5" t="s">
        <v>36</v>
      </c>
      <c r="AH83">
        <f t="shared" si="40"/>
        <v>78</v>
      </c>
      <c r="AI83">
        <f t="shared" si="34"/>
        <v>0</v>
      </c>
      <c r="AJ83">
        <f t="shared" si="39"/>
        <v>5</v>
      </c>
    </row>
    <row r="84" spans="1:36" x14ac:dyDescent="0.25">
      <c r="A84" s="5" t="s">
        <v>39</v>
      </c>
      <c r="B84" s="5" t="s">
        <v>30</v>
      </c>
      <c r="C84" s="5" t="str">
        <f t="shared" si="24"/>
        <v>description,dailCompDescWarfare,</v>
      </c>
      <c r="D84" s="5" t="str">
        <f t="shared" si="25"/>
        <v>itemText,dailCompTextWarfare,</v>
      </c>
      <c r="E84" s="5" t="str">
        <f t="shared" si="35"/>
        <v>augmentSkillLevel1,5,</v>
      </c>
      <c r="F84" s="5" t="str">
        <f t="shared" si="36"/>
        <v>augmentSkillName1,records/skills,</v>
      </c>
      <c r="G84" s="7" t="str">
        <f t="shared" si="31"/>
        <v/>
      </c>
      <c r="H84" s="8" t="str">
        <f t="shared" si="32"/>
        <v>Warfare</v>
      </c>
      <c r="J84" s="8" t="str">
        <f t="shared" si="33"/>
        <v>class0019</v>
      </c>
      <c r="K84" s="8" t="str">
        <f t="shared" si="33"/>
        <v>dailoneskill0019</v>
      </c>
      <c r="L84" s="5" t="str">
        <f t="shared" si="26"/>
        <v>lootName,DAIL/items/materia/class0019/Warfare.dbr,</v>
      </c>
      <c r="M84" s="5" t="str">
        <f t="shared" si="27"/>
        <v>lootWeight,1,</v>
      </c>
      <c r="N84" t="str">
        <f t="shared" si="28"/>
        <v>5</v>
      </c>
      <c r="O84" t="str">
        <f t="shared" si="37"/>
        <v/>
      </c>
      <c r="P84" t="str">
        <f t="shared" si="23"/>
        <v/>
      </c>
      <c r="Q84" t="str">
        <f t="shared" si="23"/>
        <v/>
      </c>
      <c r="R84" t="str">
        <f t="shared" si="23"/>
        <v/>
      </c>
      <c r="S84" t="str">
        <f t="shared" si="23"/>
        <v/>
      </c>
      <c r="T84" t="str">
        <f t="shared" si="23"/>
        <v/>
      </c>
      <c r="U84" t="str">
        <f t="shared" si="23"/>
        <v/>
      </c>
      <c r="V84" s="5" t="s">
        <v>36</v>
      </c>
      <c r="W84" t="str">
        <f t="shared" si="29"/>
        <v/>
      </c>
      <c r="X84" t="str">
        <f t="shared" si="29"/>
        <v/>
      </c>
      <c r="Y84" s="5" t="s">
        <v>36</v>
      </c>
      <c r="Z84" t="str">
        <f t="shared" si="30"/>
        <v/>
      </c>
      <c r="AA84" t="str">
        <f t="shared" si="38"/>
        <v/>
      </c>
      <c r="AB84" s="5" t="s">
        <v>36</v>
      </c>
      <c r="AH84">
        <f t="shared" si="40"/>
        <v>79</v>
      </c>
      <c r="AI84">
        <f t="shared" si="34"/>
        <v>0</v>
      </c>
      <c r="AJ84">
        <f t="shared" si="39"/>
        <v>5</v>
      </c>
    </row>
    <row r="85" spans="1:36" x14ac:dyDescent="0.25">
      <c r="A85" s="5" t="s">
        <v>39</v>
      </c>
      <c r="B85" s="5" t="s">
        <v>30</v>
      </c>
      <c r="C85" s="5" t="str">
        <f t="shared" si="24"/>
        <v>description,dailCompDescWarfare,</v>
      </c>
      <c r="D85" s="5" t="str">
        <f t="shared" si="25"/>
        <v>itemText,dailCompTextWarfare,</v>
      </c>
      <c r="E85" s="5" t="str">
        <f t="shared" si="35"/>
        <v>augmentSkillLevel1,5,</v>
      </c>
      <c r="F85" s="5" t="str">
        <f t="shared" si="36"/>
        <v>augmentSkillName1,records/skills,</v>
      </c>
      <c r="G85" s="7" t="str">
        <f t="shared" si="31"/>
        <v/>
      </c>
      <c r="H85" s="8" t="str">
        <f t="shared" si="32"/>
        <v>Warfare</v>
      </c>
      <c r="J85" s="8" t="str">
        <f t="shared" ref="J85:K100" si="41">J84</f>
        <v>class0019</v>
      </c>
      <c r="K85" s="8" t="str">
        <f t="shared" si="41"/>
        <v>dailoneskill0019</v>
      </c>
      <c r="L85" s="5" t="str">
        <f t="shared" si="26"/>
        <v>lootName,DAIL/items/materia/class0019/Warfare.dbr,</v>
      </c>
      <c r="M85" s="5" t="str">
        <f t="shared" si="27"/>
        <v>lootWeight,1,</v>
      </c>
      <c r="N85" t="str">
        <f t="shared" si="28"/>
        <v>5</v>
      </c>
      <c r="O85" t="str">
        <f t="shared" si="37"/>
        <v/>
      </c>
      <c r="P85" t="str">
        <f t="shared" si="23"/>
        <v/>
      </c>
      <c r="Q85" t="str">
        <f t="shared" si="23"/>
        <v/>
      </c>
      <c r="R85" t="str">
        <f t="shared" si="23"/>
        <v/>
      </c>
      <c r="S85" t="str">
        <f t="shared" si="23"/>
        <v/>
      </c>
      <c r="T85" t="str">
        <f t="shared" si="23"/>
        <v/>
      </c>
      <c r="U85" t="str">
        <f t="shared" si="23"/>
        <v/>
      </c>
      <c r="V85" s="5" t="s">
        <v>36</v>
      </c>
      <c r="W85" t="str">
        <f t="shared" si="29"/>
        <v/>
      </c>
      <c r="X85" t="str">
        <f t="shared" si="29"/>
        <v/>
      </c>
      <c r="Y85" s="5" t="s">
        <v>36</v>
      </c>
      <c r="Z85" t="str">
        <f t="shared" si="30"/>
        <v/>
      </c>
      <c r="AA85" t="str">
        <f t="shared" si="38"/>
        <v/>
      </c>
      <c r="AB85" s="5" t="s">
        <v>36</v>
      </c>
      <c r="AH85">
        <f t="shared" si="40"/>
        <v>80</v>
      </c>
      <c r="AI85">
        <f t="shared" si="34"/>
        <v>0</v>
      </c>
      <c r="AJ85">
        <f t="shared" si="39"/>
        <v>5</v>
      </c>
    </row>
    <row r="86" spans="1:36" x14ac:dyDescent="0.25">
      <c r="A86" s="5" t="s">
        <v>39</v>
      </c>
      <c r="B86" s="5" t="s">
        <v>30</v>
      </c>
      <c r="C86" s="5" t="str">
        <f t="shared" si="24"/>
        <v>description,dailCompDescWarfare,</v>
      </c>
      <c r="D86" s="5" t="str">
        <f t="shared" si="25"/>
        <v>itemText,dailCompTextWarfare,</v>
      </c>
      <c r="E86" s="5" t="str">
        <f t="shared" si="35"/>
        <v>augmentSkillLevel1,5,</v>
      </c>
      <c r="F86" s="5" t="str">
        <f t="shared" si="36"/>
        <v>augmentSkillName1,records/skills,</v>
      </c>
      <c r="G86" s="7" t="str">
        <f t="shared" si="31"/>
        <v/>
      </c>
      <c r="H86" s="8" t="str">
        <f t="shared" si="32"/>
        <v>Warfare</v>
      </c>
      <c r="J86" s="8" t="str">
        <f t="shared" si="41"/>
        <v>class0019</v>
      </c>
      <c r="K86" s="8" t="str">
        <f t="shared" si="41"/>
        <v>dailoneskill0019</v>
      </c>
      <c r="L86" s="5" t="str">
        <f t="shared" si="26"/>
        <v>lootName,DAIL/items/materia/class0019/Warfare.dbr,</v>
      </c>
      <c r="M86" s="5" t="str">
        <f t="shared" si="27"/>
        <v>lootWeight,1,</v>
      </c>
      <c r="N86" t="str">
        <f t="shared" si="28"/>
        <v>5</v>
      </c>
      <c r="O86" t="str">
        <f t="shared" si="37"/>
        <v/>
      </c>
      <c r="P86" t="str">
        <f t="shared" si="23"/>
        <v/>
      </c>
      <c r="Q86" t="str">
        <f t="shared" si="23"/>
        <v/>
      </c>
      <c r="R86" t="str">
        <f t="shared" si="23"/>
        <v/>
      </c>
      <c r="S86" t="str">
        <f t="shared" si="23"/>
        <v/>
      </c>
      <c r="T86" t="str">
        <f t="shared" si="23"/>
        <v/>
      </c>
      <c r="U86" t="str">
        <f t="shared" si="23"/>
        <v/>
      </c>
      <c r="V86" s="5" t="s">
        <v>36</v>
      </c>
      <c r="W86" t="str">
        <f t="shared" si="29"/>
        <v/>
      </c>
      <c r="X86" t="str">
        <f t="shared" si="29"/>
        <v/>
      </c>
      <c r="Y86" s="5" t="s">
        <v>36</v>
      </c>
      <c r="Z86" t="str">
        <f t="shared" si="30"/>
        <v/>
      </c>
      <c r="AA86" t="str">
        <f t="shared" si="38"/>
        <v/>
      </c>
      <c r="AB86" s="5" t="s">
        <v>36</v>
      </c>
      <c r="AH86">
        <f t="shared" si="40"/>
        <v>81</v>
      </c>
      <c r="AI86">
        <f t="shared" si="34"/>
        <v>0</v>
      </c>
      <c r="AJ86">
        <f t="shared" si="39"/>
        <v>5</v>
      </c>
    </row>
    <row r="87" spans="1:36" x14ac:dyDescent="0.25">
      <c r="A87" s="5" t="s">
        <v>39</v>
      </c>
      <c r="B87" s="5" t="s">
        <v>30</v>
      </c>
      <c r="C87" s="5" t="str">
        <f t="shared" si="24"/>
        <v>description,dailCompDescWarfare,</v>
      </c>
      <c r="D87" s="5" t="str">
        <f t="shared" si="25"/>
        <v>itemText,dailCompTextWarfare,</v>
      </c>
      <c r="E87" s="5" t="str">
        <f t="shared" si="35"/>
        <v>augmentSkillLevel1,5,</v>
      </c>
      <c r="F87" s="5" t="str">
        <f t="shared" si="36"/>
        <v>augmentSkillName1,records/skills,</v>
      </c>
      <c r="G87" s="7" t="str">
        <f t="shared" si="31"/>
        <v/>
      </c>
      <c r="H87" s="8" t="str">
        <f t="shared" si="32"/>
        <v>Warfare</v>
      </c>
      <c r="J87" s="8" t="str">
        <f t="shared" si="41"/>
        <v>class0019</v>
      </c>
      <c r="K87" s="8" t="str">
        <f t="shared" si="41"/>
        <v>dailoneskill0019</v>
      </c>
      <c r="L87" s="5" t="str">
        <f t="shared" si="26"/>
        <v>lootName,DAIL/items/materia/class0019/Warfare.dbr,</v>
      </c>
      <c r="M87" s="5" t="str">
        <f t="shared" si="27"/>
        <v>lootWeight,1,</v>
      </c>
      <c r="N87" t="str">
        <f t="shared" si="28"/>
        <v>5</v>
      </c>
      <c r="O87" t="str">
        <f t="shared" si="37"/>
        <v/>
      </c>
      <c r="P87" t="str">
        <f t="shared" si="23"/>
        <v/>
      </c>
      <c r="Q87" t="str">
        <f t="shared" si="23"/>
        <v/>
      </c>
      <c r="R87" t="str">
        <f t="shared" si="23"/>
        <v/>
      </c>
      <c r="S87" t="str">
        <f t="shared" si="23"/>
        <v/>
      </c>
      <c r="T87" t="str">
        <f t="shared" si="23"/>
        <v/>
      </c>
      <c r="U87" t="str">
        <f t="shared" si="23"/>
        <v/>
      </c>
      <c r="V87" s="5" t="s">
        <v>36</v>
      </c>
      <c r="W87" t="str">
        <f t="shared" si="29"/>
        <v/>
      </c>
      <c r="X87" t="str">
        <f t="shared" si="29"/>
        <v/>
      </c>
      <c r="Y87" s="5" t="s">
        <v>36</v>
      </c>
      <c r="Z87" t="str">
        <f t="shared" si="30"/>
        <v/>
      </c>
      <c r="AA87" t="str">
        <f t="shared" si="38"/>
        <v/>
      </c>
      <c r="AB87" s="5" t="s">
        <v>36</v>
      </c>
      <c r="AH87">
        <f t="shared" si="40"/>
        <v>82</v>
      </c>
      <c r="AI87">
        <f t="shared" si="34"/>
        <v>0</v>
      </c>
      <c r="AJ87">
        <f t="shared" si="39"/>
        <v>5</v>
      </c>
    </row>
    <row r="88" spans="1:36" x14ac:dyDescent="0.25">
      <c r="A88" s="5" t="s">
        <v>39</v>
      </c>
      <c r="B88" s="5" t="s">
        <v>30</v>
      </c>
      <c r="C88" s="5" t="str">
        <f t="shared" si="24"/>
        <v>description,dailCompDescWarfare,</v>
      </c>
      <c r="D88" s="5" t="str">
        <f t="shared" si="25"/>
        <v>itemText,dailCompTextWarfare,</v>
      </c>
      <c r="E88" s="5" t="str">
        <f t="shared" si="35"/>
        <v>augmentSkillLevel1,5,</v>
      </c>
      <c r="F88" s="5" t="str">
        <f t="shared" si="36"/>
        <v>augmentSkillName1,records/skills,</v>
      </c>
      <c r="G88" s="7" t="str">
        <f t="shared" si="31"/>
        <v/>
      </c>
      <c r="H88" s="8" t="str">
        <f t="shared" si="32"/>
        <v>Warfare</v>
      </c>
      <c r="J88" s="8" t="str">
        <f t="shared" si="41"/>
        <v>class0019</v>
      </c>
      <c r="K88" s="8" t="str">
        <f t="shared" si="41"/>
        <v>dailoneskill0019</v>
      </c>
      <c r="L88" s="5" t="str">
        <f t="shared" si="26"/>
        <v>lootName,DAIL/items/materia/class0019/Warfare.dbr,</v>
      </c>
      <c r="M88" s="5" t="str">
        <f t="shared" si="27"/>
        <v>lootWeight,1,</v>
      </c>
      <c r="N88" t="str">
        <f t="shared" si="28"/>
        <v>5</v>
      </c>
      <c r="O88" t="str">
        <f t="shared" si="37"/>
        <v/>
      </c>
      <c r="P88" t="str">
        <f t="shared" si="23"/>
        <v/>
      </c>
      <c r="Q88" t="str">
        <f t="shared" si="23"/>
        <v/>
      </c>
      <c r="R88" t="str">
        <f t="shared" si="23"/>
        <v/>
      </c>
      <c r="S88" t="str">
        <f t="shared" si="23"/>
        <v/>
      </c>
      <c r="T88" t="str">
        <f t="shared" si="23"/>
        <v/>
      </c>
      <c r="U88" t="str">
        <f t="shared" si="23"/>
        <v/>
      </c>
      <c r="V88" s="5" t="s">
        <v>36</v>
      </c>
      <c r="W88" t="str">
        <f t="shared" si="29"/>
        <v/>
      </c>
      <c r="X88" t="str">
        <f t="shared" si="29"/>
        <v/>
      </c>
      <c r="Y88" s="5" t="s">
        <v>36</v>
      </c>
      <c r="Z88" t="str">
        <f t="shared" si="30"/>
        <v/>
      </c>
      <c r="AA88" t="str">
        <f t="shared" si="38"/>
        <v/>
      </c>
      <c r="AB88" s="5" t="s">
        <v>36</v>
      </c>
      <c r="AH88">
        <f t="shared" si="40"/>
        <v>83</v>
      </c>
      <c r="AI88">
        <f t="shared" si="34"/>
        <v>0</v>
      </c>
      <c r="AJ88">
        <f t="shared" si="39"/>
        <v>5</v>
      </c>
    </row>
    <row r="89" spans="1:36" x14ac:dyDescent="0.25">
      <c r="A89" s="5" t="s">
        <v>39</v>
      </c>
      <c r="B89" s="5" t="s">
        <v>30</v>
      </c>
      <c r="C89" s="5" t="str">
        <f t="shared" si="24"/>
        <v>description,dailCompDescWarfare,</v>
      </c>
      <c r="D89" s="5" t="str">
        <f t="shared" si="25"/>
        <v>itemText,dailCompTextWarfare,</v>
      </c>
      <c r="E89" s="5" t="str">
        <f t="shared" si="35"/>
        <v>augmentSkillLevel1,5,</v>
      </c>
      <c r="F89" s="5" t="str">
        <f t="shared" si="36"/>
        <v>augmentSkillName1,records/skills,</v>
      </c>
      <c r="G89" s="7" t="str">
        <f t="shared" si="31"/>
        <v/>
      </c>
      <c r="H89" s="8" t="str">
        <f t="shared" si="32"/>
        <v>Warfare</v>
      </c>
      <c r="J89" s="8" t="str">
        <f t="shared" si="41"/>
        <v>class0019</v>
      </c>
      <c r="K89" s="8" t="str">
        <f t="shared" si="41"/>
        <v>dailoneskill0019</v>
      </c>
      <c r="L89" s="5" t="str">
        <f t="shared" si="26"/>
        <v>lootName,DAIL/items/materia/class0019/Warfare.dbr,</v>
      </c>
      <c r="M89" s="5" t="str">
        <f t="shared" si="27"/>
        <v>lootWeight,1,</v>
      </c>
      <c r="N89" t="str">
        <f t="shared" si="28"/>
        <v>5</v>
      </c>
      <c r="O89" t="str">
        <f t="shared" si="37"/>
        <v/>
      </c>
      <c r="P89" t="str">
        <f t="shared" si="23"/>
        <v/>
      </c>
      <c r="Q89" t="str">
        <f t="shared" si="23"/>
        <v/>
      </c>
      <c r="R89" t="str">
        <f t="shared" si="23"/>
        <v/>
      </c>
      <c r="S89" t="str">
        <f t="shared" si="23"/>
        <v/>
      </c>
      <c r="T89" t="str">
        <f t="shared" si="23"/>
        <v/>
      </c>
      <c r="U89" t="str">
        <f t="shared" si="23"/>
        <v/>
      </c>
      <c r="V89" s="5" t="s">
        <v>36</v>
      </c>
      <c r="W89" t="str">
        <f t="shared" si="29"/>
        <v/>
      </c>
      <c r="X89" t="str">
        <f t="shared" si="29"/>
        <v/>
      </c>
      <c r="Y89" s="5" t="s">
        <v>36</v>
      </c>
      <c r="Z89" t="str">
        <f t="shared" si="30"/>
        <v/>
      </c>
      <c r="AA89" t="str">
        <f t="shared" si="38"/>
        <v/>
      </c>
      <c r="AB89" s="5" t="s">
        <v>36</v>
      </c>
      <c r="AH89">
        <f t="shared" si="40"/>
        <v>84</v>
      </c>
      <c r="AI89">
        <f t="shared" si="34"/>
        <v>0</v>
      </c>
      <c r="AJ89">
        <f t="shared" si="39"/>
        <v>5</v>
      </c>
    </row>
    <row r="90" spans="1:36" x14ac:dyDescent="0.25">
      <c r="A90" s="5" t="s">
        <v>39</v>
      </c>
      <c r="B90" s="5" t="s">
        <v>30</v>
      </c>
      <c r="C90" s="5" t="str">
        <f t="shared" si="24"/>
        <v>description,dailCompDescWarfare,</v>
      </c>
      <c r="D90" s="5" t="str">
        <f t="shared" si="25"/>
        <v>itemText,dailCompTextWarfare,</v>
      </c>
      <c r="E90" s="5" t="str">
        <f t="shared" si="35"/>
        <v>augmentSkillLevel1,5,</v>
      </c>
      <c r="F90" s="5" t="str">
        <f t="shared" si="36"/>
        <v>augmentSkillName1,records/skills,</v>
      </c>
      <c r="G90" s="7" t="str">
        <f t="shared" si="31"/>
        <v/>
      </c>
      <c r="H90" s="8" t="str">
        <f t="shared" si="32"/>
        <v>Warfare</v>
      </c>
      <c r="J90" s="8" t="str">
        <f t="shared" si="41"/>
        <v>class0019</v>
      </c>
      <c r="K90" s="8" t="str">
        <f t="shared" si="41"/>
        <v>dailoneskill0019</v>
      </c>
      <c r="L90" s="5" t="str">
        <f t="shared" si="26"/>
        <v>lootName,DAIL/items/materia/class0019/Warfare.dbr,</v>
      </c>
      <c r="M90" s="5" t="str">
        <f t="shared" si="27"/>
        <v>lootWeight,1,</v>
      </c>
      <c r="N90" t="str">
        <f t="shared" si="28"/>
        <v>5</v>
      </c>
      <c r="O90" t="str">
        <f t="shared" si="37"/>
        <v/>
      </c>
      <c r="P90" t="str">
        <f t="shared" si="23"/>
        <v/>
      </c>
      <c r="Q90" t="str">
        <f t="shared" si="23"/>
        <v/>
      </c>
      <c r="R90" t="str">
        <f t="shared" si="23"/>
        <v/>
      </c>
      <c r="S90" t="str">
        <f t="shared" si="23"/>
        <v/>
      </c>
      <c r="T90" t="str">
        <f t="shared" si="23"/>
        <v/>
      </c>
      <c r="U90" t="str">
        <f t="shared" si="23"/>
        <v/>
      </c>
      <c r="V90" s="5" t="s">
        <v>36</v>
      </c>
      <c r="W90" t="str">
        <f t="shared" si="29"/>
        <v/>
      </c>
      <c r="X90" t="str">
        <f t="shared" si="29"/>
        <v/>
      </c>
      <c r="Y90" s="5" t="s">
        <v>36</v>
      </c>
      <c r="Z90" t="str">
        <f t="shared" si="30"/>
        <v/>
      </c>
      <c r="AA90" t="str">
        <f t="shared" si="38"/>
        <v/>
      </c>
      <c r="AB90" s="5" t="s">
        <v>36</v>
      </c>
      <c r="AH90">
        <f t="shared" si="40"/>
        <v>85</v>
      </c>
      <c r="AI90">
        <f t="shared" si="34"/>
        <v>0</v>
      </c>
      <c r="AJ90">
        <f t="shared" si="39"/>
        <v>5</v>
      </c>
    </row>
    <row r="91" spans="1:36" x14ac:dyDescent="0.25">
      <c r="A91" s="5" t="s">
        <v>39</v>
      </c>
      <c r="B91" s="5" t="s">
        <v>30</v>
      </c>
      <c r="C91" s="5" t="str">
        <f t="shared" si="24"/>
        <v>description,dailCompDescWarfare,</v>
      </c>
      <c r="D91" s="5" t="str">
        <f t="shared" si="25"/>
        <v>itemText,dailCompTextWarfare,</v>
      </c>
      <c r="E91" s="5" t="str">
        <f t="shared" si="35"/>
        <v>augmentSkillLevel1,5,</v>
      </c>
      <c r="F91" s="5" t="str">
        <f t="shared" si="36"/>
        <v>augmentSkillName1,records/skills,</v>
      </c>
      <c r="G91" s="7" t="str">
        <f t="shared" si="31"/>
        <v/>
      </c>
      <c r="H91" s="8" t="str">
        <f t="shared" si="32"/>
        <v>Warfare</v>
      </c>
      <c r="J91" s="8" t="str">
        <f t="shared" si="41"/>
        <v>class0019</v>
      </c>
      <c r="K91" s="8" t="str">
        <f t="shared" si="41"/>
        <v>dailoneskill0019</v>
      </c>
      <c r="L91" s="5" t="str">
        <f t="shared" si="26"/>
        <v>lootName,DAIL/items/materia/class0019/Warfare.dbr,</v>
      </c>
      <c r="M91" s="5" t="str">
        <f t="shared" si="27"/>
        <v>lootWeight,1,</v>
      </c>
      <c r="N91" t="str">
        <f t="shared" si="28"/>
        <v>5</v>
      </c>
      <c r="O91" t="str">
        <f t="shared" si="37"/>
        <v/>
      </c>
      <c r="P91" t="str">
        <f t="shared" si="23"/>
        <v/>
      </c>
      <c r="Q91" t="str">
        <f t="shared" si="23"/>
        <v/>
      </c>
      <c r="R91" t="str">
        <f t="shared" si="23"/>
        <v/>
      </c>
      <c r="S91" t="str">
        <f t="shared" si="23"/>
        <v/>
      </c>
      <c r="T91" t="str">
        <f t="shared" si="23"/>
        <v/>
      </c>
      <c r="U91" t="str">
        <f t="shared" si="23"/>
        <v/>
      </c>
      <c r="V91" s="5" t="s">
        <v>36</v>
      </c>
      <c r="W91" t="str">
        <f t="shared" si="29"/>
        <v/>
      </c>
      <c r="X91" t="str">
        <f t="shared" si="29"/>
        <v/>
      </c>
      <c r="Y91" s="5" t="s">
        <v>36</v>
      </c>
      <c r="Z91" t="str">
        <f t="shared" si="30"/>
        <v/>
      </c>
      <c r="AA91" t="str">
        <f t="shared" si="38"/>
        <v/>
      </c>
      <c r="AB91" s="5" t="s">
        <v>36</v>
      </c>
      <c r="AH91">
        <f t="shared" si="40"/>
        <v>86</v>
      </c>
      <c r="AI91">
        <f t="shared" si="34"/>
        <v>0</v>
      </c>
      <c r="AJ91">
        <f t="shared" si="39"/>
        <v>5</v>
      </c>
    </row>
    <row r="92" spans="1:36" x14ac:dyDescent="0.25">
      <c r="A92" s="5" t="s">
        <v>39</v>
      </c>
      <c r="B92" s="5" t="s">
        <v>30</v>
      </c>
      <c r="C92" s="5" t="str">
        <f t="shared" si="24"/>
        <v>description,dailCompDescWarfare,</v>
      </c>
      <c r="D92" s="5" t="str">
        <f t="shared" si="25"/>
        <v>itemText,dailCompTextWarfare,</v>
      </c>
      <c r="E92" s="5" t="str">
        <f t="shared" si="35"/>
        <v>augmentSkillLevel1,5,</v>
      </c>
      <c r="F92" s="5" t="str">
        <f t="shared" si="36"/>
        <v>augmentSkillName1,records/skills,</v>
      </c>
      <c r="G92" s="7" t="str">
        <f t="shared" si="31"/>
        <v/>
      </c>
      <c r="H92" s="8" t="str">
        <f t="shared" si="32"/>
        <v>Warfare</v>
      </c>
      <c r="J92" s="8" t="str">
        <f t="shared" si="41"/>
        <v>class0019</v>
      </c>
      <c r="K92" s="8" t="str">
        <f t="shared" si="41"/>
        <v>dailoneskill0019</v>
      </c>
      <c r="L92" s="5" t="str">
        <f t="shared" si="26"/>
        <v>lootName,DAIL/items/materia/class0019/Warfare.dbr,</v>
      </c>
      <c r="M92" s="5" t="str">
        <f t="shared" si="27"/>
        <v>lootWeight,1,</v>
      </c>
      <c r="N92" t="str">
        <f t="shared" si="28"/>
        <v>5</v>
      </c>
      <c r="O92" t="str">
        <f t="shared" si="37"/>
        <v/>
      </c>
      <c r="P92" t="str">
        <f t="shared" si="23"/>
        <v/>
      </c>
      <c r="Q92" t="str">
        <f t="shared" si="23"/>
        <v/>
      </c>
      <c r="R92" t="str">
        <f t="shared" si="23"/>
        <v/>
      </c>
      <c r="S92" t="str">
        <f t="shared" si="23"/>
        <v/>
      </c>
      <c r="T92" t="str">
        <f t="shared" si="23"/>
        <v/>
      </c>
      <c r="U92" t="str">
        <f t="shared" si="23"/>
        <v/>
      </c>
      <c r="V92" s="5" t="s">
        <v>36</v>
      </c>
      <c r="W92" t="str">
        <f t="shared" si="29"/>
        <v/>
      </c>
      <c r="X92" t="str">
        <f t="shared" si="29"/>
        <v/>
      </c>
      <c r="Y92" s="5" t="s">
        <v>36</v>
      </c>
      <c r="Z92" t="str">
        <f t="shared" si="30"/>
        <v/>
      </c>
      <c r="AA92" t="str">
        <f t="shared" si="38"/>
        <v/>
      </c>
      <c r="AB92" s="5" t="s">
        <v>36</v>
      </c>
      <c r="AH92">
        <f t="shared" si="40"/>
        <v>87</v>
      </c>
      <c r="AI92">
        <f t="shared" si="34"/>
        <v>0</v>
      </c>
      <c r="AJ92">
        <f t="shared" si="39"/>
        <v>5</v>
      </c>
    </row>
    <row r="93" spans="1:36" x14ac:dyDescent="0.25">
      <c r="A93" s="5" t="s">
        <v>39</v>
      </c>
      <c r="B93" s="5" t="s">
        <v>30</v>
      </c>
      <c r="C93" s="5" t="str">
        <f t="shared" si="24"/>
        <v>description,dailCompDescWarfare,</v>
      </c>
      <c r="D93" s="5" t="str">
        <f t="shared" si="25"/>
        <v>itemText,dailCompTextWarfare,</v>
      </c>
      <c r="E93" s="5" t="str">
        <f t="shared" si="35"/>
        <v>augmentSkillLevel1,5,</v>
      </c>
      <c r="F93" s="5" t="str">
        <f t="shared" si="36"/>
        <v>augmentSkillName1,records/skills,</v>
      </c>
      <c r="G93" s="7" t="str">
        <f t="shared" si="31"/>
        <v/>
      </c>
      <c r="H93" s="8" t="str">
        <f t="shared" si="32"/>
        <v>Warfare</v>
      </c>
      <c r="J93" s="8" t="str">
        <f t="shared" si="41"/>
        <v>class0019</v>
      </c>
      <c r="K93" s="8" t="str">
        <f t="shared" si="41"/>
        <v>dailoneskill0019</v>
      </c>
      <c r="L93" s="5" t="str">
        <f t="shared" si="26"/>
        <v>lootName,DAIL/items/materia/class0019/Warfare.dbr,</v>
      </c>
      <c r="M93" s="5" t="str">
        <f t="shared" si="27"/>
        <v>lootWeight,1,</v>
      </c>
      <c r="N93" t="str">
        <f t="shared" si="28"/>
        <v>5</v>
      </c>
      <c r="O93" t="str">
        <f t="shared" si="37"/>
        <v/>
      </c>
      <c r="P93" t="str">
        <f t="shared" si="23"/>
        <v/>
      </c>
      <c r="Q93" t="str">
        <f t="shared" si="23"/>
        <v/>
      </c>
      <c r="R93" t="str">
        <f t="shared" si="23"/>
        <v/>
      </c>
      <c r="S93" t="str">
        <f t="shared" si="23"/>
        <v/>
      </c>
      <c r="T93" t="str">
        <f t="shared" si="23"/>
        <v/>
      </c>
      <c r="U93" t="str">
        <f t="shared" si="23"/>
        <v/>
      </c>
      <c r="V93" s="5" t="s">
        <v>36</v>
      </c>
      <c r="W93" t="str">
        <f t="shared" si="29"/>
        <v/>
      </c>
      <c r="X93" t="str">
        <f t="shared" si="29"/>
        <v/>
      </c>
      <c r="Y93" s="5" t="s">
        <v>36</v>
      </c>
      <c r="Z93" t="str">
        <f t="shared" si="30"/>
        <v/>
      </c>
      <c r="AA93" t="str">
        <f t="shared" si="38"/>
        <v/>
      </c>
      <c r="AB93" s="5" t="s">
        <v>36</v>
      </c>
      <c r="AH93">
        <f t="shared" si="40"/>
        <v>88</v>
      </c>
      <c r="AI93">
        <f t="shared" si="34"/>
        <v>0</v>
      </c>
      <c r="AJ93">
        <f t="shared" si="39"/>
        <v>5</v>
      </c>
    </row>
    <row r="94" spans="1:36" x14ac:dyDescent="0.25">
      <c r="A94" s="5" t="s">
        <v>39</v>
      </c>
      <c r="B94" s="5" t="s">
        <v>30</v>
      </c>
      <c r="C94" s="5" t="str">
        <f t="shared" si="24"/>
        <v>description,dailCompDescWarfare,</v>
      </c>
      <c r="D94" s="5" t="str">
        <f t="shared" si="25"/>
        <v>itemText,dailCompTextWarfare,</v>
      </c>
      <c r="E94" s="5" t="str">
        <f t="shared" si="35"/>
        <v>augmentSkillLevel1,5,</v>
      </c>
      <c r="F94" s="5" t="str">
        <f t="shared" si="36"/>
        <v>augmentSkillName1,records/skills,</v>
      </c>
      <c r="G94" s="7" t="str">
        <f t="shared" si="31"/>
        <v/>
      </c>
      <c r="H94" s="8" t="str">
        <f t="shared" si="32"/>
        <v>Warfare</v>
      </c>
      <c r="J94" s="8" t="str">
        <f t="shared" si="41"/>
        <v>class0019</v>
      </c>
      <c r="K94" s="8" t="str">
        <f t="shared" si="41"/>
        <v>dailoneskill0019</v>
      </c>
      <c r="L94" s="5" t="str">
        <f t="shared" si="26"/>
        <v>lootName,DAIL/items/materia/class0019/Warfare.dbr,</v>
      </c>
      <c r="M94" s="5" t="str">
        <f t="shared" si="27"/>
        <v>lootWeight,1,</v>
      </c>
      <c r="N94" t="str">
        <f t="shared" si="28"/>
        <v>5</v>
      </c>
      <c r="O94" t="str">
        <f t="shared" si="37"/>
        <v/>
      </c>
      <c r="P94" t="str">
        <f t="shared" si="23"/>
        <v/>
      </c>
      <c r="Q94" t="str">
        <f t="shared" si="23"/>
        <v/>
      </c>
      <c r="R94" t="str">
        <f t="shared" si="23"/>
        <v/>
      </c>
      <c r="S94" t="str">
        <f t="shared" si="23"/>
        <v/>
      </c>
      <c r="T94" t="str">
        <f t="shared" si="23"/>
        <v/>
      </c>
      <c r="U94" t="str">
        <f t="shared" si="23"/>
        <v/>
      </c>
      <c r="V94" s="5" t="s">
        <v>36</v>
      </c>
      <c r="W94" t="str">
        <f t="shared" si="29"/>
        <v/>
      </c>
      <c r="X94" t="str">
        <f t="shared" si="29"/>
        <v/>
      </c>
      <c r="Y94" s="5" t="s">
        <v>36</v>
      </c>
      <c r="Z94" t="str">
        <f t="shared" si="30"/>
        <v/>
      </c>
      <c r="AA94" t="str">
        <f t="shared" si="38"/>
        <v/>
      </c>
      <c r="AB94" s="5" t="s">
        <v>36</v>
      </c>
      <c r="AH94">
        <f t="shared" si="40"/>
        <v>89</v>
      </c>
      <c r="AI94">
        <f t="shared" si="34"/>
        <v>0</v>
      </c>
      <c r="AJ94">
        <f t="shared" si="39"/>
        <v>5</v>
      </c>
    </row>
    <row r="95" spans="1:36" x14ac:dyDescent="0.25">
      <c r="A95" s="5" t="s">
        <v>39</v>
      </c>
      <c r="B95" s="5" t="s">
        <v>30</v>
      </c>
      <c r="C95" s="5" t="str">
        <f t="shared" si="24"/>
        <v>description,dailCompDescWarfare,</v>
      </c>
      <c r="D95" s="5" t="str">
        <f t="shared" si="25"/>
        <v>itemText,dailCompTextWarfare,</v>
      </c>
      <c r="E95" s="5" t="str">
        <f t="shared" si="35"/>
        <v>augmentSkillLevel1,5,</v>
      </c>
      <c r="F95" s="5" t="str">
        <f t="shared" si="36"/>
        <v>augmentSkillName1,records/skills,</v>
      </c>
      <c r="G95" s="7" t="str">
        <f t="shared" si="31"/>
        <v/>
      </c>
      <c r="H95" s="8" t="str">
        <f t="shared" si="32"/>
        <v>Warfare</v>
      </c>
      <c r="J95" s="8" t="str">
        <f t="shared" si="41"/>
        <v>class0019</v>
      </c>
      <c r="K95" s="8" t="str">
        <f t="shared" si="41"/>
        <v>dailoneskill0019</v>
      </c>
      <c r="L95" s="5" t="str">
        <f t="shared" si="26"/>
        <v>lootName,DAIL/items/materia/class0019/Warfare.dbr,</v>
      </c>
      <c r="M95" s="5" t="str">
        <f t="shared" si="27"/>
        <v>lootWeight,1,</v>
      </c>
      <c r="N95" t="str">
        <f t="shared" si="28"/>
        <v>5</v>
      </c>
      <c r="O95" t="str">
        <f t="shared" si="37"/>
        <v/>
      </c>
      <c r="P95" t="str">
        <f t="shared" si="23"/>
        <v/>
      </c>
      <c r="Q95" t="str">
        <f t="shared" si="23"/>
        <v/>
      </c>
      <c r="R95" t="str">
        <f t="shared" si="23"/>
        <v/>
      </c>
      <c r="S95" t="str">
        <f t="shared" si="23"/>
        <v/>
      </c>
      <c r="T95" t="str">
        <f t="shared" si="23"/>
        <v/>
      </c>
      <c r="U95" t="str">
        <f t="shared" si="23"/>
        <v/>
      </c>
      <c r="V95" s="5" t="s">
        <v>36</v>
      </c>
      <c r="W95" t="str">
        <f t="shared" si="29"/>
        <v/>
      </c>
      <c r="X95" t="str">
        <f t="shared" si="29"/>
        <v/>
      </c>
      <c r="Y95" s="5" t="s">
        <v>36</v>
      </c>
      <c r="Z95" t="str">
        <f t="shared" si="30"/>
        <v/>
      </c>
      <c r="AA95" t="str">
        <f t="shared" si="38"/>
        <v/>
      </c>
      <c r="AB95" s="5" t="s">
        <v>36</v>
      </c>
      <c r="AH95">
        <f t="shared" si="40"/>
        <v>90</v>
      </c>
      <c r="AI95">
        <f t="shared" si="34"/>
        <v>0</v>
      </c>
      <c r="AJ95">
        <f t="shared" si="39"/>
        <v>5</v>
      </c>
    </row>
    <row r="96" spans="1:36" x14ac:dyDescent="0.25">
      <c r="A96" s="5" t="s">
        <v>39</v>
      </c>
      <c r="B96" s="5" t="s">
        <v>30</v>
      </c>
      <c r="C96" s="5" t="str">
        <f t="shared" si="24"/>
        <v>description,dailCompDescWarfare,</v>
      </c>
      <c r="D96" s="5" t="str">
        <f t="shared" si="25"/>
        <v>itemText,dailCompTextWarfare,</v>
      </c>
      <c r="E96" s="5" t="str">
        <f t="shared" si="35"/>
        <v>augmentSkillLevel1,5,</v>
      </c>
      <c r="F96" s="5" t="str">
        <f t="shared" si="36"/>
        <v>augmentSkillName1,records/skills,</v>
      </c>
      <c r="G96" s="7" t="str">
        <f t="shared" si="31"/>
        <v/>
      </c>
      <c r="H96" s="8" t="str">
        <f t="shared" si="32"/>
        <v>Warfare</v>
      </c>
      <c r="J96" s="8" t="str">
        <f t="shared" si="41"/>
        <v>class0019</v>
      </c>
      <c r="K96" s="8" t="str">
        <f t="shared" si="41"/>
        <v>dailoneskill0019</v>
      </c>
      <c r="L96" s="5" t="str">
        <f t="shared" si="26"/>
        <v>lootName,DAIL/items/materia/class0019/Warfare.dbr,</v>
      </c>
      <c r="M96" s="5" t="str">
        <f t="shared" si="27"/>
        <v>lootWeight,1,</v>
      </c>
      <c r="N96" t="str">
        <f t="shared" si="28"/>
        <v>5</v>
      </c>
      <c r="O96" t="str">
        <f t="shared" si="37"/>
        <v/>
      </c>
      <c r="P96" t="str">
        <f t="shared" si="23"/>
        <v/>
      </c>
      <c r="Q96" t="str">
        <f t="shared" si="23"/>
        <v/>
      </c>
      <c r="R96" t="str">
        <f t="shared" si="23"/>
        <v/>
      </c>
      <c r="S96" t="str">
        <f t="shared" si="23"/>
        <v/>
      </c>
      <c r="T96" t="str">
        <f t="shared" si="23"/>
        <v/>
      </c>
      <c r="U96" t="str">
        <f t="shared" si="23"/>
        <v/>
      </c>
      <c r="V96" s="5" t="s">
        <v>36</v>
      </c>
      <c r="W96" t="str">
        <f t="shared" si="29"/>
        <v/>
      </c>
      <c r="X96" t="str">
        <f t="shared" si="29"/>
        <v/>
      </c>
      <c r="Y96" s="5" t="s">
        <v>36</v>
      </c>
      <c r="Z96" t="str">
        <f t="shared" si="30"/>
        <v/>
      </c>
      <c r="AA96" t="str">
        <f t="shared" si="38"/>
        <v/>
      </c>
      <c r="AB96" s="5" t="s">
        <v>36</v>
      </c>
      <c r="AH96">
        <f t="shared" si="40"/>
        <v>91</v>
      </c>
      <c r="AI96">
        <f t="shared" si="34"/>
        <v>0</v>
      </c>
      <c r="AJ96">
        <f t="shared" si="39"/>
        <v>5</v>
      </c>
    </row>
    <row r="97" spans="1:36" x14ac:dyDescent="0.25">
      <c r="A97" s="5" t="s">
        <v>39</v>
      </c>
      <c r="B97" s="5" t="s">
        <v>30</v>
      </c>
      <c r="C97" s="5" t="str">
        <f t="shared" si="24"/>
        <v>description,dailCompDescWarfare,</v>
      </c>
      <c r="D97" s="5" t="str">
        <f t="shared" si="25"/>
        <v>itemText,dailCompTextWarfare,</v>
      </c>
      <c r="E97" s="5" t="str">
        <f t="shared" si="35"/>
        <v>augmentSkillLevel1,5,</v>
      </c>
      <c r="F97" s="5" t="str">
        <f t="shared" si="36"/>
        <v>augmentSkillName1,records/skills,</v>
      </c>
      <c r="G97" s="7" t="str">
        <f t="shared" si="31"/>
        <v/>
      </c>
      <c r="H97" s="8" t="str">
        <f t="shared" si="32"/>
        <v>Warfare</v>
      </c>
      <c r="J97" s="8" t="str">
        <f t="shared" si="41"/>
        <v>class0019</v>
      </c>
      <c r="K97" s="8" t="str">
        <f t="shared" si="41"/>
        <v>dailoneskill0019</v>
      </c>
      <c r="L97" s="5" t="str">
        <f t="shared" si="26"/>
        <v>lootName,DAIL/items/materia/class0019/Warfare.dbr,</v>
      </c>
      <c r="M97" s="5" t="str">
        <f t="shared" si="27"/>
        <v>lootWeight,1,</v>
      </c>
      <c r="N97" t="str">
        <f t="shared" si="28"/>
        <v>5</v>
      </c>
      <c r="O97" t="str">
        <f t="shared" si="37"/>
        <v/>
      </c>
      <c r="P97" t="str">
        <f t="shared" si="23"/>
        <v/>
      </c>
      <c r="Q97" t="str">
        <f t="shared" si="23"/>
        <v/>
      </c>
      <c r="R97" t="str">
        <f t="shared" si="23"/>
        <v/>
      </c>
      <c r="S97" t="str">
        <f t="shared" si="23"/>
        <v/>
      </c>
      <c r="T97" t="str">
        <f t="shared" si="23"/>
        <v/>
      </c>
      <c r="U97" t="str">
        <f t="shared" si="23"/>
        <v/>
      </c>
      <c r="V97" s="5" t="s">
        <v>36</v>
      </c>
      <c r="W97" t="str">
        <f t="shared" si="29"/>
        <v/>
      </c>
      <c r="X97" t="str">
        <f t="shared" si="29"/>
        <v/>
      </c>
      <c r="Y97" s="5" t="s">
        <v>36</v>
      </c>
      <c r="Z97" t="str">
        <f t="shared" si="30"/>
        <v/>
      </c>
      <c r="AA97" t="str">
        <f t="shared" si="38"/>
        <v/>
      </c>
      <c r="AB97" s="5" t="s">
        <v>36</v>
      </c>
      <c r="AH97">
        <f t="shared" si="40"/>
        <v>92</v>
      </c>
      <c r="AI97">
        <f t="shared" si="34"/>
        <v>0</v>
      </c>
      <c r="AJ97">
        <f t="shared" si="39"/>
        <v>5</v>
      </c>
    </row>
    <row r="98" spans="1:36" x14ac:dyDescent="0.25">
      <c r="A98" s="5" t="s">
        <v>39</v>
      </c>
      <c r="B98" s="5" t="s">
        <v>30</v>
      </c>
      <c r="C98" s="5" t="str">
        <f t="shared" si="24"/>
        <v>description,dailCompDescWarfare,</v>
      </c>
      <c r="D98" s="5" t="str">
        <f t="shared" si="25"/>
        <v>itemText,dailCompTextWarfare,</v>
      </c>
      <c r="E98" s="5" t="str">
        <f t="shared" si="35"/>
        <v>augmentSkillLevel1,5,</v>
      </c>
      <c r="F98" s="5" t="str">
        <f t="shared" si="36"/>
        <v>augmentSkillName1,records/skills,</v>
      </c>
      <c r="G98" s="7" t="str">
        <f t="shared" si="31"/>
        <v/>
      </c>
      <c r="H98" s="8" t="str">
        <f t="shared" si="32"/>
        <v>Warfare</v>
      </c>
      <c r="J98" s="8" t="str">
        <f t="shared" si="41"/>
        <v>class0019</v>
      </c>
      <c r="K98" s="8" t="str">
        <f t="shared" si="41"/>
        <v>dailoneskill0019</v>
      </c>
      <c r="L98" s="5" t="str">
        <f t="shared" si="26"/>
        <v>lootName,DAIL/items/materia/class0019/Warfare.dbr,</v>
      </c>
      <c r="M98" s="5" t="str">
        <f t="shared" si="27"/>
        <v>lootWeight,1,</v>
      </c>
      <c r="N98" t="str">
        <f t="shared" si="28"/>
        <v>5</v>
      </c>
      <c r="O98" t="str">
        <f t="shared" si="37"/>
        <v/>
      </c>
      <c r="P98" t="str">
        <f t="shared" si="23"/>
        <v/>
      </c>
      <c r="Q98" t="str">
        <f t="shared" si="23"/>
        <v/>
      </c>
      <c r="R98" t="str">
        <f t="shared" si="23"/>
        <v/>
      </c>
      <c r="S98" t="str">
        <f t="shared" si="23"/>
        <v/>
      </c>
      <c r="T98" t="str">
        <f t="shared" si="23"/>
        <v/>
      </c>
      <c r="U98" t="str">
        <f t="shared" si="23"/>
        <v/>
      </c>
      <c r="V98" s="5" t="s">
        <v>36</v>
      </c>
      <c r="W98" t="str">
        <f t="shared" si="29"/>
        <v/>
      </c>
      <c r="X98" t="str">
        <f t="shared" si="29"/>
        <v/>
      </c>
      <c r="Y98" s="5" t="s">
        <v>36</v>
      </c>
      <c r="Z98" t="str">
        <f t="shared" si="30"/>
        <v/>
      </c>
      <c r="AA98" t="str">
        <f t="shared" si="38"/>
        <v/>
      </c>
      <c r="AB98" s="5" t="s">
        <v>36</v>
      </c>
      <c r="AH98">
        <f t="shared" si="40"/>
        <v>93</v>
      </c>
      <c r="AI98">
        <f t="shared" si="34"/>
        <v>0</v>
      </c>
      <c r="AJ98">
        <f t="shared" si="39"/>
        <v>5</v>
      </c>
    </row>
    <row r="99" spans="1:36" x14ac:dyDescent="0.25">
      <c r="A99" s="5" t="s">
        <v>39</v>
      </c>
      <c r="B99" s="5" t="s">
        <v>30</v>
      </c>
      <c r="C99" s="5" t="str">
        <f t="shared" si="24"/>
        <v>description,dailCompDescWarfare,</v>
      </c>
      <c r="D99" s="5" t="str">
        <f t="shared" si="25"/>
        <v>itemText,dailCompTextWarfare,</v>
      </c>
      <c r="E99" s="5" t="str">
        <f t="shared" si="35"/>
        <v>augmentSkillLevel1,5,</v>
      </c>
      <c r="F99" s="5" t="str">
        <f t="shared" si="36"/>
        <v>augmentSkillName1,records/skills,</v>
      </c>
      <c r="G99" s="7" t="str">
        <f t="shared" si="31"/>
        <v/>
      </c>
      <c r="H99" s="8" t="str">
        <f t="shared" si="32"/>
        <v>Warfare</v>
      </c>
      <c r="J99" s="8" t="str">
        <f t="shared" si="41"/>
        <v>class0019</v>
      </c>
      <c r="K99" s="8" t="str">
        <f t="shared" si="41"/>
        <v>dailoneskill0019</v>
      </c>
      <c r="L99" s="5" t="str">
        <f t="shared" si="26"/>
        <v>lootName,DAIL/items/materia/class0019/Warfare.dbr,</v>
      </c>
      <c r="M99" s="5" t="str">
        <f t="shared" si="27"/>
        <v>lootWeight,1,</v>
      </c>
      <c r="N99" t="str">
        <f t="shared" si="28"/>
        <v>5</v>
      </c>
      <c r="O99" t="str">
        <f t="shared" si="37"/>
        <v/>
      </c>
      <c r="P99" t="str">
        <f t="shared" si="23"/>
        <v/>
      </c>
      <c r="Q99" t="str">
        <f t="shared" si="23"/>
        <v/>
      </c>
      <c r="R99" t="str">
        <f t="shared" si="23"/>
        <v/>
      </c>
      <c r="S99" t="str">
        <f t="shared" si="23"/>
        <v/>
      </c>
      <c r="T99" t="str">
        <f t="shared" si="23"/>
        <v/>
      </c>
      <c r="U99" t="str">
        <f t="shared" si="23"/>
        <v/>
      </c>
      <c r="V99" s="5" t="s">
        <v>36</v>
      </c>
      <c r="W99" t="str">
        <f t="shared" si="29"/>
        <v/>
      </c>
      <c r="X99" t="str">
        <f t="shared" si="29"/>
        <v/>
      </c>
      <c r="Y99" s="5" t="s">
        <v>36</v>
      </c>
      <c r="Z99" t="str">
        <f t="shared" si="30"/>
        <v/>
      </c>
      <c r="AA99" t="str">
        <f t="shared" si="38"/>
        <v/>
      </c>
      <c r="AB99" s="5" t="s">
        <v>36</v>
      </c>
      <c r="AH99">
        <f t="shared" si="40"/>
        <v>94</v>
      </c>
      <c r="AI99">
        <f t="shared" si="34"/>
        <v>0</v>
      </c>
      <c r="AJ99">
        <f t="shared" si="39"/>
        <v>5</v>
      </c>
    </row>
    <row r="100" spans="1:36" x14ac:dyDescent="0.25">
      <c r="A100" s="5" t="s">
        <v>39</v>
      </c>
      <c r="B100" s="5" t="s">
        <v>30</v>
      </c>
      <c r="C100" s="5" t="str">
        <f t="shared" si="24"/>
        <v>description,dailCompDescWarfare,</v>
      </c>
      <c r="D100" s="5" t="str">
        <f t="shared" si="25"/>
        <v>itemText,dailCompTextWarfare,</v>
      </c>
      <c r="E100" s="5" t="str">
        <f t="shared" si="35"/>
        <v>augmentSkillLevel1,5,</v>
      </c>
      <c r="F100" s="5" t="str">
        <f t="shared" si="36"/>
        <v>augmentSkillName1,records/skills,</v>
      </c>
      <c r="G100" s="7" t="str">
        <f t="shared" si="31"/>
        <v/>
      </c>
      <c r="H100" s="8" t="str">
        <f t="shared" si="32"/>
        <v>Warfare</v>
      </c>
      <c r="J100" s="8" t="str">
        <f t="shared" si="41"/>
        <v>class0019</v>
      </c>
      <c r="K100" s="8" t="str">
        <f t="shared" si="41"/>
        <v>dailoneskill0019</v>
      </c>
      <c r="L100" s="5" t="str">
        <f t="shared" si="26"/>
        <v>lootName,DAIL/items/materia/class0019/Warfare.dbr,</v>
      </c>
      <c r="M100" s="5" t="str">
        <f t="shared" si="27"/>
        <v>lootWeight,1,</v>
      </c>
      <c r="N100" t="str">
        <f t="shared" si="28"/>
        <v>5</v>
      </c>
      <c r="O100" t="str">
        <f t="shared" si="37"/>
        <v/>
      </c>
      <c r="P100" t="str">
        <f t="shared" si="23"/>
        <v/>
      </c>
      <c r="Q100" t="str">
        <f t="shared" si="23"/>
        <v/>
      </c>
      <c r="R100" t="str">
        <f t="shared" si="23"/>
        <v/>
      </c>
      <c r="S100" t="str">
        <f t="shared" si="23"/>
        <v/>
      </c>
      <c r="T100" t="str">
        <f t="shared" si="23"/>
        <v/>
      </c>
      <c r="U100" t="str">
        <f t="shared" si="23"/>
        <v/>
      </c>
      <c r="V100" s="5" t="s">
        <v>36</v>
      </c>
      <c r="W100" t="str">
        <f t="shared" si="29"/>
        <v/>
      </c>
      <c r="X100" t="str">
        <f t="shared" si="29"/>
        <v/>
      </c>
      <c r="Y100" s="5" t="s">
        <v>36</v>
      </c>
      <c r="Z100" t="str">
        <f t="shared" si="30"/>
        <v/>
      </c>
      <c r="AA100" t="str">
        <f t="shared" si="38"/>
        <v/>
      </c>
      <c r="AB100" s="5" t="s">
        <v>36</v>
      </c>
      <c r="AH100">
        <f t="shared" si="40"/>
        <v>95</v>
      </c>
      <c r="AI100">
        <f t="shared" si="34"/>
        <v>0</v>
      </c>
      <c r="AJ100">
        <f t="shared" si="39"/>
        <v>5</v>
      </c>
    </row>
    <row r="101" spans="1:36" x14ac:dyDescent="0.25">
      <c r="A101" s="5" t="s">
        <v>39</v>
      </c>
      <c r="B101" s="5" t="s">
        <v>30</v>
      </c>
      <c r="C101" s="5" t="str">
        <f t="shared" si="24"/>
        <v>description,dailCompDescWarfare,</v>
      </c>
      <c r="D101" s="5" t="str">
        <f t="shared" si="25"/>
        <v>itemText,dailCompTextWarfare,</v>
      </c>
      <c r="E101" s="5" t="str">
        <f t="shared" si="35"/>
        <v>augmentSkillLevel1,5,</v>
      </c>
      <c r="F101" s="5" t="str">
        <f t="shared" si="36"/>
        <v>augmentSkillName1,records/skills,</v>
      </c>
      <c r="G101" s="7" t="str">
        <f t="shared" si="31"/>
        <v/>
      </c>
      <c r="H101" s="8" t="str">
        <f t="shared" si="32"/>
        <v>Warfare</v>
      </c>
      <c r="J101" s="8" t="str">
        <f t="shared" ref="J101:K102" si="42">J100</f>
        <v>class0019</v>
      </c>
      <c r="K101" s="8" t="str">
        <f t="shared" si="42"/>
        <v>dailoneskill0019</v>
      </c>
      <c r="L101" s="5" t="str">
        <f t="shared" si="26"/>
        <v>lootName,DAIL/items/materia/class0019/Warfare.dbr,</v>
      </c>
      <c r="M101" s="5" t="str">
        <f t="shared" si="27"/>
        <v>lootWeight,1,</v>
      </c>
      <c r="N101" t="str">
        <f t="shared" si="28"/>
        <v>5</v>
      </c>
      <c r="O101" t="str">
        <f t="shared" si="37"/>
        <v/>
      </c>
      <c r="P101" t="str">
        <f t="shared" si="23"/>
        <v/>
      </c>
      <c r="Q101" t="str">
        <f t="shared" si="23"/>
        <v/>
      </c>
      <c r="R101" t="str">
        <f t="shared" si="23"/>
        <v/>
      </c>
      <c r="S101" t="str">
        <f t="shared" ref="S101:U102" si="43">IF($I101&lt;&gt;"","echo "&amp;D101&amp;" &gt;&gt; .\items\materia\"&amp;$J101&amp;"\"&amp;$H101&amp;$G101&amp;".dbr","")</f>
        <v/>
      </c>
      <c r="T101" t="str">
        <f t="shared" si="43"/>
        <v/>
      </c>
      <c r="U101" t="str">
        <f t="shared" si="43"/>
        <v/>
      </c>
      <c r="V101" s="5" t="s">
        <v>36</v>
      </c>
      <c r="W101" t="str">
        <f t="shared" si="29"/>
        <v/>
      </c>
      <c r="X101" t="str">
        <f t="shared" si="29"/>
        <v/>
      </c>
      <c r="Y101" s="5" t="s">
        <v>36</v>
      </c>
      <c r="Z101" t="str">
        <f t="shared" si="30"/>
        <v/>
      </c>
      <c r="AA101" t="str">
        <f t="shared" si="38"/>
        <v/>
      </c>
      <c r="AB101" s="5" t="s">
        <v>36</v>
      </c>
      <c r="AH101">
        <f t="shared" si="40"/>
        <v>96</v>
      </c>
      <c r="AI101">
        <f t="shared" si="34"/>
        <v>0</v>
      </c>
      <c r="AJ101">
        <f t="shared" si="39"/>
        <v>5</v>
      </c>
    </row>
    <row r="102" spans="1:36" x14ac:dyDescent="0.25">
      <c r="A102" s="5" t="s">
        <v>39</v>
      </c>
      <c r="B102" s="5" t="s">
        <v>30</v>
      </c>
      <c r="C102" s="5" t="str">
        <f t="shared" si="24"/>
        <v>description,dailCompDescWarfare,</v>
      </c>
      <c r="D102" s="5" t="str">
        <f t="shared" si="25"/>
        <v>itemText,dailCompTextWarfare,</v>
      </c>
      <c r="E102" s="5" t="str">
        <f t="shared" si="35"/>
        <v>augmentSkillLevel1,5,</v>
      </c>
      <c r="F102" s="5" t="str">
        <f t="shared" si="36"/>
        <v>augmentSkillName1,records/skills,</v>
      </c>
      <c r="G102" s="7" t="str">
        <f t="shared" si="31"/>
        <v/>
      </c>
      <c r="H102" s="8" t="str">
        <f t="shared" si="32"/>
        <v>Warfare</v>
      </c>
      <c r="J102" s="8" t="str">
        <f t="shared" si="42"/>
        <v>class0019</v>
      </c>
      <c r="K102" s="8" t="str">
        <f t="shared" si="42"/>
        <v>dailoneskill0019</v>
      </c>
      <c r="L102" s="5" t="str">
        <f t="shared" si="26"/>
        <v>lootName,DAIL/items/materia/class0019/Warfare.dbr,</v>
      </c>
      <c r="M102" s="5" t="str">
        <f t="shared" si="27"/>
        <v>lootWeight,1,</v>
      </c>
      <c r="N102" t="str">
        <f t="shared" si="28"/>
        <v>5</v>
      </c>
      <c r="O102" t="str">
        <f t="shared" si="37"/>
        <v/>
      </c>
      <c r="P102" t="str">
        <f t="shared" ref="P102:R102" si="44">IF($I102&lt;&gt;"","echo "&amp;A102&amp;" &gt;&gt; .\items\materia\"&amp;$J102&amp;"\"&amp;$H102&amp;$G102&amp;".dbr","")</f>
        <v/>
      </c>
      <c r="Q102" t="str">
        <f t="shared" si="44"/>
        <v/>
      </c>
      <c r="R102" t="str">
        <f t="shared" si="44"/>
        <v/>
      </c>
      <c r="S102" t="str">
        <f t="shared" si="43"/>
        <v/>
      </c>
      <c r="T102" t="str">
        <f t="shared" si="43"/>
        <v/>
      </c>
      <c r="U102" t="str">
        <f t="shared" si="43"/>
        <v/>
      </c>
      <c r="V102" s="5" t="s">
        <v>36</v>
      </c>
      <c r="W102" t="str">
        <f t="shared" si="29"/>
        <v/>
      </c>
      <c r="X102" t="str">
        <f t="shared" si="29"/>
        <v/>
      </c>
      <c r="Y102" s="5" t="s">
        <v>36</v>
      </c>
      <c r="Z102" t="str">
        <f t="shared" si="30"/>
        <v/>
      </c>
      <c r="AA102" t="str">
        <f t="shared" si="38"/>
        <v/>
      </c>
      <c r="AB102" s="5" t="s">
        <v>36</v>
      </c>
      <c r="AH102">
        <f t="shared" si="40"/>
        <v>97</v>
      </c>
      <c r="AI102">
        <f t="shared" si="34"/>
        <v>0</v>
      </c>
      <c r="AJ102">
        <f t="shared" si="39"/>
        <v>5</v>
      </c>
    </row>
  </sheetData>
  <mergeCells count="1">
    <mergeCell ref="O2:U2"/>
  </mergeCells>
  <pageMargins left="0.7" right="0.7" top="0.75" bottom="0.75" header="0.3" footer="0.3"/>
  <pageSetup orientation="portrait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:AL102"/>
  <sheetViews>
    <sheetView topLeftCell="M1" zoomScaleNormal="100" workbookViewId="0">
      <selection activeCell="U3" sqref="U3:U102"/>
    </sheetView>
  </sheetViews>
  <sheetFormatPr defaultRowHeight="15" x14ac:dyDescent="0.25"/>
  <cols>
    <col min="1" max="1" width="73.85546875" style="5" bestFit="1" customWidth="1"/>
    <col min="2" max="2" width="16.28515625" style="5" bestFit="1" customWidth="1"/>
    <col min="3" max="3" width="32.7109375" style="5" bestFit="1" customWidth="1"/>
    <col min="4" max="4" width="31.42578125" style="5" bestFit="1" customWidth="1"/>
    <col min="5" max="5" width="24.28515625" style="5" bestFit="1" customWidth="1"/>
    <col min="6" max="6" width="73.5703125" style="5" bestFit="1" customWidth="1"/>
    <col min="7" max="7" width="5.85546875" style="8" bestFit="1" customWidth="1"/>
    <col min="8" max="8" width="7.85546875" style="3" bestFit="1" customWidth="1"/>
    <col min="9" max="9" width="38.140625" style="3" bestFit="1" customWidth="1"/>
    <col min="10" max="10" width="9.140625" style="3" bestFit="1" customWidth="1"/>
    <col min="11" max="11" width="18.140625" style="3" customWidth="1"/>
    <col min="12" max="12" width="51.85546875" style="5" bestFit="1" customWidth="1"/>
    <col min="13" max="13" width="21.28515625" style="5" customWidth="1"/>
    <col min="15" max="15" width="10.5703125" customWidth="1"/>
    <col min="22" max="22" width="1.5703125" style="5" customWidth="1"/>
    <col min="23" max="23" width="9.5703125" customWidth="1"/>
    <col min="25" max="25" width="1.5703125" style="5" bestFit="1" customWidth="1"/>
    <col min="26" max="26" width="46.7109375" bestFit="1" customWidth="1"/>
    <col min="27" max="27" width="29.140625" customWidth="1"/>
    <col min="28" max="28" width="1.5703125" style="5" bestFit="1" customWidth="1"/>
    <col min="31" max="31" width="14.140625" bestFit="1" customWidth="1"/>
  </cols>
  <sheetData>
    <row r="1" spans="1:38" x14ac:dyDescent="0.25">
      <c r="G1" s="5"/>
      <c r="H1" s="5"/>
      <c r="I1" s="5"/>
      <c r="J1" s="5"/>
      <c r="K1" s="5"/>
      <c r="N1" s="5"/>
      <c r="O1" s="9"/>
      <c r="P1" s="9"/>
      <c r="Q1" s="9"/>
      <c r="R1" s="9"/>
      <c r="S1" s="9"/>
      <c r="T1" s="9"/>
      <c r="U1" s="9"/>
      <c r="W1" s="9"/>
      <c r="X1" s="9"/>
      <c r="Z1" s="9"/>
      <c r="AA1" s="9"/>
    </row>
    <row r="2" spans="1:38" x14ac:dyDescent="0.25">
      <c r="A2" s="4" t="s">
        <v>2</v>
      </c>
      <c r="B2" s="4" t="s">
        <v>3</v>
      </c>
      <c r="C2" s="4" t="s">
        <v>4</v>
      </c>
      <c r="D2" s="4" t="s">
        <v>5</v>
      </c>
      <c r="E2" s="4" t="s">
        <v>6</v>
      </c>
      <c r="F2" s="4" t="s">
        <v>7</v>
      </c>
      <c r="G2" s="6" t="s">
        <v>9</v>
      </c>
      <c r="H2" s="2" t="s">
        <v>26</v>
      </c>
      <c r="I2" s="2" t="s">
        <v>8</v>
      </c>
      <c r="J2" s="2" t="s">
        <v>33</v>
      </c>
      <c r="K2" s="2" t="s">
        <v>38</v>
      </c>
      <c r="L2" s="4" t="s">
        <v>31</v>
      </c>
      <c r="M2" s="4" t="s">
        <v>32</v>
      </c>
      <c r="O2" s="11" t="str">
        <f>"Copy from N to T Into the files named "&amp;H3&amp;G3&amp;" etc"</f>
        <v>Copy from N to T Into the files named Nature1 etc</v>
      </c>
      <c r="P2" s="11"/>
      <c r="Q2" s="11"/>
      <c r="R2" s="11"/>
      <c r="S2" s="11"/>
      <c r="T2" s="11"/>
      <c r="U2" s="11"/>
      <c r="W2" s="1" t="s">
        <v>35</v>
      </c>
      <c r="Z2" s="1" t="s">
        <v>40</v>
      </c>
      <c r="AD2" t="s">
        <v>44</v>
      </c>
    </row>
    <row r="3" spans="1:38" x14ac:dyDescent="0.25">
      <c r="A3" s="5" t="s">
        <v>39</v>
      </c>
      <c r="B3" s="5" t="s">
        <v>0</v>
      </c>
      <c r="C3" s="5" t="str">
        <f t="shared" ref="C3:C66" si="0">"description,dailCompDesc"&amp;H3&amp;G3&amp;","</f>
        <v>description,dailCompDescNature1,</v>
      </c>
      <c r="D3" s="5" t="str">
        <f>"itemText,dailCompText"&amp;H3&amp;G3&amp;","</f>
        <v>itemText,dailCompTextNature1,</v>
      </c>
      <c r="E3" s="5" t="s">
        <v>24</v>
      </c>
      <c r="F3" s="5" t="str">
        <f>"augmentMasteryName1,records/skills"&amp;I3&amp;","</f>
        <v>augmentMasteryName1,records/skillsnature/naturemastery.dbr,,</v>
      </c>
      <c r="G3" s="7">
        <f>IF(I3&lt;&gt;"",1,"")</f>
        <v>1</v>
      </c>
      <c r="H3" s="3" t="s">
        <v>660</v>
      </c>
      <c r="I3" s="3" t="s">
        <v>659</v>
      </c>
      <c r="J3" s="3" t="s">
        <v>562</v>
      </c>
      <c r="K3" s="3" t="s">
        <v>564</v>
      </c>
      <c r="L3" s="5" t="str">
        <f>"lootName"&amp;G3&amp;",DAIL/items/materia/"&amp;J3&amp;"/"&amp;H3&amp;G3&amp;".dbr"&amp;","</f>
        <v>lootName1,DAIL/items/materia/class0020/Nature1.dbr,</v>
      </c>
      <c r="M3" s="5" t="str">
        <f>"lootWeight"&amp;G3&amp;",1,"</f>
        <v>lootWeight1,1,</v>
      </c>
      <c r="N3" t="str">
        <f>LEFT(RIGHT(E3,2),1)</f>
        <v>1</v>
      </c>
      <c r="O3" s="5" t="str">
        <f>IF(I3&lt;&gt;"","copy .\dail_base2.dbr .\items\materia\"&amp;J3&amp;"\"&amp;H3&amp;G3&amp;".dbr /y"&amp;"","")</f>
        <v>copy .\dail_base2.dbr .\items\materia\class0020\Nature1.dbr /y</v>
      </c>
      <c r="P3" t="str">
        <f>IF($I3&lt;&gt;"","echo "&amp;A3&amp;" &gt;&gt; .\items\materia\"&amp;$J3&amp;"\"&amp;$H3&amp;$G3&amp;".dbr","")</f>
        <v>echo relicBitmap,items/craftingparts/components/component_a52_bristlyfur_b.tex, &gt;&gt; .\items\materia\class0020\Nature1.dbr</v>
      </c>
      <c r="Q3" t="str">
        <f t="shared" ref="Q3:U18" si="1">IF($I3&lt;&gt;"","echo "&amp;B3&amp;" &gt;&gt; .\items\materia\"&amp;$J3&amp;"\"&amp;$H3&amp;$G3&amp;".dbr","")</f>
        <v>echo itemCost,100000, &gt;&gt; .\items\materia\class0020\Nature1.dbr</v>
      </c>
      <c r="R3" t="str">
        <f t="shared" si="1"/>
        <v>echo description,dailCompDescNature1, &gt;&gt; .\items\materia\class0020\Nature1.dbr</v>
      </c>
      <c r="S3" t="str">
        <f t="shared" si="1"/>
        <v>echo itemText,dailCompTextNature1, &gt;&gt; .\items\materia\class0020\Nature1.dbr</v>
      </c>
      <c r="T3" t="str">
        <f t="shared" si="1"/>
        <v>echo augmentMasteryLevel1,1, &gt;&gt; .\items\materia\class0020\Nature1.dbr</v>
      </c>
      <c r="U3" t="str">
        <f t="shared" si="1"/>
        <v>echo augmentMasteryName1,records/skillsnature/naturemastery.dbr,, &gt;&gt; .\items\materia\class0020\Nature1.dbr</v>
      </c>
      <c r="V3" s="5" t="s">
        <v>36</v>
      </c>
      <c r="W3" t="str">
        <f>IF($I3&lt;&gt;"","echo "&amp;L3&amp;" &gt;&gt; .\items\loottables\"&amp;$K3&amp;".dbr","")</f>
        <v>echo lootName1,DAIL/items/materia/class0020/Nature1.dbr, &gt;&gt; .\items\loottables\dailoneskill0020.dbr</v>
      </c>
      <c r="X3" t="str">
        <f>IF($I3&lt;&gt;"","echo "&amp;M3&amp;" &gt;&gt; .\items\loottables\"&amp;$K3&amp;".dbr","")</f>
        <v>echo lootWeight1,1, &gt;&gt; .\items\loottables\dailoneskill0020.dbr</v>
      </c>
      <c r="Y3" s="5" t="s">
        <v>36</v>
      </c>
      <c r="Z3" s="10" t="str">
        <f>IF(I2&lt;&gt;""," dailCompDesc"&amp;H3&amp;G3&amp;"=^p"&amp;H3&amp;"'s Gift of DAIL","")</f>
        <v xml:space="preserve"> dailCompDescNature1=^pNature's Gift of DAIL</v>
      </c>
      <c r="AA3" s="10" t="str">
        <f>IF(I2&lt;&gt;"","dailCompText"&amp;H3&amp;G3&amp;"=^oThis feels warm to the touch, almost familiar ^w(This component fits into the amulet only)","")</f>
        <v>dailCompTextNature1=^oThis feels warm to the touch, almost familiar ^w(This component fits into the amulet only)</v>
      </c>
      <c r="AB3" s="5" t="s">
        <v>36</v>
      </c>
      <c r="AD3">
        <v>1</v>
      </c>
      <c r="AE3" t="s">
        <v>42</v>
      </c>
      <c r="AF3" t="s">
        <v>45</v>
      </c>
    </row>
    <row r="4" spans="1:38" x14ac:dyDescent="0.25">
      <c r="A4" s="5" t="s">
        <v>39</v>
      </c>
      <c r="B4" s="5" t="s">
        <v>28</v>
      </c>
      <c r="C4" s="5" t="str">
        <f t="shared" si="0"/>
        <v>description,dailCompDescNature2,</v>
      </c>
      <c r="D4" s="5" t="str">
        <f t="shared" ref="D4:D67" si="2">"itemText,dailCompText"&amp;H4&amp;G4&amp;","</f>
        <v>itemText,dailCompTextNature2,</v>
      </c>
      <c r="E4" s="5" t="s">
        <v>1</v>
      </c>
      <c r="F4" s="5" t="str">
        <f t="shared" ref="F4:F5" si="3">"augmentMasteryName1,records/skills"&amp;I4&amp;","</f>
        <v>augmentMasteryName1,records/skillsnature/naturemastery.dbr,,</v>
      </c>
      <c r="G4" s="7">
        <f>IF(I4&lt;&gt;"",G3+1,"")</f>
        <v>2</v>
      </c>
      <c r="H4" s="8" t="str">
        <f>H3</f>
        <v>Nature</v>
      </c>
      <c r="I4" s="3" t="s">
        <v>659</v>
      </c>
      <c r="J4" s="8" t="str">
        <f>J3</f>
        <v>class0020</v>
      </c>
      <c r="K4" s="8" t="str">
        <f>K3</f>
        <v>dailoneskill0020</v>
      </c>
      <c r="L4" s="5" t="str">
        <f t="shared" ref="L4:L67" si="4">"lootName"&amp;G4&amp;",DAIL/items/materia/"&amp;J4&amp;"/"&amp;H4&amp;G4&amp;".dbr"&amp;","</f>
        <v>lootName2,DAIL/items/materia/class0020/Nature2.dbr,</v>
      </c>
      <c r="M4" s="5" t="str">
        <f t="shared" ref="M4:M67" si="5">"lootWeight"&amp;G4&amp;",1,"</f>
        <v>lootWeight2,1,</v>
      </c>
      <c r="N4" t="str">
        <f t="shared" ref="N4:N67" si="6">LEFT(RIGHT(E4,2),1)</f>
        <v>2</v>
      </c>
      <c r="O4" s="5" t="str">
        <f>IF(I4&lt;&gt;"","copy .\dail_base2.dbr .\items\materia\"&amp;J4&amp;"\"&amp;H4&amp;G4&amp;".dbr /y"&amp;"","")</f>
        <v>copy .\dail_base2.dbr .\items\materia\class0020\Nature2.dbr /y</v>
      </c>
      <c r="P4" t="str">
        <f t="shared" ref="P4:U58" si="7">IF($I4&lt;&gt;"","echo "&amp;A4&amp;" &gt;&gt; .\items\materia\"&amp;$J4&amp;"\"&amp;$H4&amp;$G4&amp;".dbr","")</f>
        <v>echo relicBitmap,items/craftingparts/components/component_a52_bristlyfur_b.tex, &gt;&gt; .\items\materia\class0020\Nature2.dbr</v>
      </c>
      <c r="Q4" t="str">
        <f t="shared" si="1"/>
        <v>echo itemCost,300000, &gt;&gt; .\items\materia\class0020\Nature2.dbr</v>
      </c>
      <c r="R4" t="str">
        <f t="shared" si="1"/>
        <v>echo description,dailCompDescNature2, &gt;&gt; .\items\materia\class0020\Nature2.dbr</v>
      </c>
      <c r="S4" t="str">
        <f t="shared" si="1"/>
        <v>echo itemText,dailCompTextNature2, &gt;&gt; .\items\materia\class0020\Nature2.dbr</v>
      </c>
      <c r="T4" t="str">
        <f t="shared" si="1"/>
        <v>echo augmentMasteryLevel1,2, &gt;&gt; .\items\materia\class0020\Nature2.dbr</v>
      </c>
      <c r="U4" t="str">
        <f t="shared" si="1"/>
        <v>echo augmentMasteryName1,records/skillsnature/naturemastery.dbr,, &gt;&gt; .\items\materia\class0020\Nature2.dbr</v>
      </c>
      <c r="V4" s="5" t="s">
        <v>36</v>
      </c>
      <c r="W4" t="str">
        <f t="shared" ref="W4:X67" si="8">IF($I4&lt;&gt;"","echo "&amp;L4&amp;" &gt;&gt; .\items\loottables\"&amp;$K4&amp;".dbr","")</f>
        <v>echo lootName2,DAIL/items/materia/class0020/Nature2.dbr, &gt;&gt; .\items\loottables\dailoneskill0020.dbr</v>
      </c>
      <c r="X4" t="str">
        <f t="shared" si="8"/>
        <v>echo lootWeight2,1, &gt;&gt; .\items\loottables\dailoneskill0020.dbr</v>
      </c>
      <c r="Y4" s="5" t="s">
        <v>36</v>
      </c>
      <c r="Z4" s="10" t="str">
        <f t="shared" ref="Z4:Z67" si="9">IF(I3&lt;&gt;""," dailCompDesc"&amp;H4&amp;G4&amp;"=^p"&amp;H4&amp;"'s Gift of DAIL","")</f>
        <v xml:space="preserve"> dailCompDescNature2=^pNature's Gift of DAIL</v>
      </c>
      <c r="AA4" s="10" t="str">
        <f>IF(I3&lt;&gt;"","dailCompText"&amp;H4&amp;G4&amp;"=^oThis feels warm to the touch, almost familiar ^w(This component fits into the amulet only)","")</f>
        <v>dailCompTextNature2=^oThis feels warm to the touch, almost familiar ^w(This component fits into the amulet only)</v>
      </c>
      <c r="AB4" s="5" t="s">
        <v>36</v>
      </c>
      <c r="AD4">
        <v>3</v>
      </c>
      <c r="AE4" t="s">
        <v>43</v>
      </c>
      <c r="AF4" t="s">
        <v>46</v>
      </c>
    </row>
    <row r="5" spans="1:38" x14ac:dyDescent="0.25">
      <c r="A5" s="5" t="s">
        <v>39</v>
      </c>
      <c r="B5" s="5" t="s">
        <v>29</v>
      </c>
      <c r="C5" s="5" t="str">
        <f t="shared" si="0"/>
        <v>description,dailCompDescNature3,</v>
      </c>
      <c r="D5" s="5" t="str">
        <f t="shared" si="2"/>
        <v>itemText,dailCompTextNature3,</v>
      </c>
      <c r="E5" s="5" t="s">
        <v>25</v>
      </c>
      <c r="F5" s="5" t="str">
        <f t="shared" si="3"/>
        <v>augmentMasteryName1,records/skillsnature/naturemastery.dbr,,</v>
      </c>
      <c r="G5" s="7">
        <f t="shared" ref="G5:G68" si="10">IF(I5&lt;&gt;"",G4+1,"")</f>
        <v>3</v>
      </c>
      <c r="H5" s="8" t="str">
        <f t="shared" ref="H5:H68" si="11">H4</f>
        <v>Nature</v>
      </c>
      <c r="I5" s="3" t="s">
        <v>659</v>
      </c>
      <c r="J5" s="8" t="str">
        <f t="shared" ref="J5:K20" si="12">J4</f>
        <v>class0020</v>
      </c>
      <c r="K5" s="8" t="str">
        <f t="shared" si="12"/>
        <v>dailoneskill0020</v>
      </c>
      <c r="L5" s="5" t="str">
        <f t="shared" si="4"/>
        <v>lootName3,DAIL/items/materia/class0020/Nature3.dbr,</v>
      </c>
      <c r="M5" s="5" t="str">
        <f t="shared" si="5"/>
        <v>lootWeight3,1,</v>
      </c>
      <c r="N5" t="str">
        <f t="shared" si="6"/>
        <v>3</v>
      </c>
      <c r="O5" s="5" t="str">
        <f>IF(I5&lt;&gt;"","copy .\dail_base2.dbr .\items\materia\"&amp;J5&amp;"\"&amp;H5&amp;G5&amp;".dbr /y"&amp;"","")</f>
        <v>copy .\dail_base2.dbr .\items\materia\class0020\Nature3.dbr /y</v>
      </c>
      <c r="P5" t="str">
        <f t="shared" si="7"/>
        <v>echo relicBitmap,items/craftingparts/components/component_a52_bristlyfur_b.tex, &gt;&gt; .\items\materia\class0020\Nature3.dbr</v>
      </c>
      <c r="Q5" t="str">
        <f t="shared" si="1"/>
        <v>echo itemCost,600000, &gt;&gt; .\items\materia\class0020\Nature3.dbr</v>
      </c>
      <c r="R5" t="str">
        <f t="shared" si="1"/>
        <v>echo description,dailCompDescNature3, &gt;&gt; .\items\materia\class0020\Nature3.dbr</v>
      </c>
      <c r="S5" t="str">
        <f t="shared" si="1"/>
        <v>echo itemText,dailCompTextNature3, &gt;&gt; .\items\materia\class0020\Nature3.dbr</v>
      </c>
      <c r="T5" t="str">
        <f t="shared" si="1"/>
        <v>echo augmentMasteryLevel1,3, &gt;&gt; .\items\materia\class0020\Nature3.dbr</v>
      </c>
      <c r="U5" t="str">
        <f t="shared" si="1"/>
        <v>echo augmentMasteryName1,records/skillsnature/naturemastery.dbr,, &gt;&gt; .\items\materia\class0020\Nature3.dbr</v>
      </c>
      <c r="V5" s="5" t="s">
        <v>36</v>
      </c>
      <c r="W5" t="str">
        <f t="shared" si="8"/>
        <v>echo lootName3,DAIL/items/materia/class0020/Nature3.dbr, &gt;&gt; .\items\loottables\dailoneskill0020.dbr</v>
      </c>
      <c r="X5" t="str">
        <f t="shared" si="8"/>
        <v>echo lootWeight3,1, &gt;&gt; .\items\loottables\dailoneskill0020.dbr</v>
      </c>
      <c r="Y5" s="5" t="s">
        <v>36</v>
      </c>
      <c r="Z5" s="10" t="str">
        <f t="shared" si="9"/>
        <v xml:space="preserve"> dailCompDescNature3=^pNature's Gift of DAIL</v>
      </c>
      <c r="AA5" s="10" t="str">
        <f>IF(I4&lt;&gt;"","dailCompText"&amp;H5&amp;G5&amp;"=^oThis feels warm to the touch, almost familiar ^w(This component fits into the amulet only)","")</f>
        <v>dailCompTextNature3=^oThis feels warm to the touch, almost familiar ^w(This component fits into the amulet only)</v>
      </c>
      <c r="AB5" s="5" t="s">
        <v>36</v>
      </c>
      <c r="AD5">
        <v>5</v>
      </c>
      <c r="AE5" t="s">
        <v>43</v>
      </c>
      <c r="AF5" t="s">
        <v>46</v>
      </c>
      <c r="AI5" t="s">
        <v>61</v>
      </c>
    </row>
    <row r="6" spans="1:38" x14ac:dyDescent="0.25">
      <c r="A6" s="5" t="s">
        <v>39</v>
      </c>
      <c r="B6" s="5" t="s">
        <v>0</v>
      </c>
      <c r="C6" s="5" t="str">
        <f t="shared" si="0"/>
        <v>description,dailCompDescNature4,</v>
      </c>
      <c r="D6" s="5" t="str">
        <f t="shared" si="2"/>
        <v>itemText,dailCompTextNature4,</v>
      </c>
      <c r="E6" s="5" t="str">
        <f>"augmentSkillLevel1,"&amp;AJ6&amp;","</f>
        <v>augmentSkillLevel1,1,</v>
      </c>
      <c r="F6" s="5" t="str">
        <f>"augmentSkillName1,records/skills"&amp;I6&amp;","</f>
        <v>augmentSkillName1,records/skillsnature/regrowth.dbr,,</v>
      </c>
      <c r="G6" s="7">
        <f t="shared" si="10"/>
        <v>4</v>
      </c>
      <c r="H6" s="8" t="str">
        <f t="shared" si="11"/>
        <v>Nature</v>
      </c>
      <c r="I6" s="3" t="s">
        <v>661</v>
      </c>
      <c r="J6" s="8" t="str">
        <f t="shared" si="12"/>
        <v>class0020</v>
      </c>
      <c r="K6" s="8" t="str">
        <f t="shared" si="12"/>
        <v>dailoneskill0020</v>
      </c>
      <c r="L6" s="5" t="str">
        <f t="shared" si="4"/>
        <v>lootName4,DAIL/items/materia/class0020/Nature4.dbr,</v>
      </c>
      <c r="M6" s="5" t="str">
        <f t="shared" si="5"/>
        <v>lootWeight4,1,</v>
      </c>
      <c r="N6" t="str">
        <f t="shared" si="6"/>
        <v>1</v>
      </c>
      <c r="O6" t="str">
        <f>IF(I6&lt;&gt;"","copy .\"&amp;VLOOKUP(VALUE(N6),$AD$3:$AF$5,2,FALSE)&amp;" .\items\materia\"&amp;J6&amp;"\"&amp;H6&amp;G6&amp;".dbr /y"&amp;"","")</f>
        <v>copy .\dail_base.dbr .\items\materia\class0020\Nature4.dbr /y</v>
      </c>
      <c r="P6" t="str">
        <f t="shared" si="7"/>
        <v>echo relicBitmap,items/craftingparts/components/component_a52_bristlyfur_b.tex, &gt;&gt; .\items\materia\class0020\Nature4.dbr</v>
      </c>
      <c r="Q6" t="str">
        <f t="shared" si="1"/>
        <v>echo itemCost,100000, &gt;&gt; .\items\materia\class0020\Nature4.dbr</v>
      </c>
      <c r="R6" t="str">
        <f t="shared" si="1"/>
        <v>echo description,dailCompDescNature4, &gt;&gt; .\items\materia\class0020\Nature4.dbr</v>
      </c>
      <c r="S6" t="str">
        <f t="shared" si="1"/>
        <v>echo itemText,dailCompTextNature4, &gt;&gt; .\items\materia\class0020\Nature4.dbr</v>
      </c>
      <c r="T6" t="str">
        <f t="shared" si="1"/>
        <v>echo augmentSkillLevel1,1, &gt;&gt; .\items\materia\class0020\Nature4.dbr</v>
      </c>
      <c r="U6" t="str">
        <f t="shared" si="1"/>
        <v>echo augmentSkillName1,records/skillsnature/regrowth.dbr,, &gt;&gt; .\items\materia\class0020\Nature4.dbr</v>
      </c>
      <c r="V6" s="5" t="s">
        <v>36</v>
      </c>
      <c r="W6" t="str">
        <f t="shared" si="8"/>
        <v>echo lootName4,DAIL/items/materia/class0020/Nature4.dbr, &gt;&gt; .\items\loottables\dailoneskill0020.dbr</v>
      </c>
      <c r="X6" t="str">
        <f t="shared" si="8"/>
        <v>echo lootWeight4,1, &gt;&gt; .\items\loottables\dailoneskill0020.dbr</v>
      </c>
      <c r="Y6" s="5" t="s">
        <v>36</v>
      </c>
      <c r="Z6" t="str">
        <f t="shared" si="9"/>
        <v xml:space="preserve"> dailCompDescNature4=^pNature's Gift of DAIL</v>
      </c>
      <c r="AA6" t="str">
        <f>IF(I5&lt;&gt;"","dailCompText"&amp;H6&amp;G6&amp;"=^oThis feels warm to the touch, almost familiar ^w("&amp;VLOOKUP(VALUE(N6),$AD$3:$AF$5,3,FALSE)&amp;")","")</f>
        <v>dailCompTextNature4=^oThis feels warm to the touch, almost familiar ^w(This component fits into all Jewellery slots including the Belt And Shoulder)</v>
      </c>
      <c r="AB6" s="5" t="s">
        <v>36</v>
      </c>
      <c r="AH6">
        <v>1</v>
      </c>
      <c r="AI6">
        <f t="shared" ref="AI6:AI69" si="13">LEN(I6)</f>
        <v>20</v>
      </c>
      <c r="AJ6">
        <f>IF(AH6&lt;$AL$7,1,IF(AH6&lt;$AL$8,3,5))</f>
        <v>1</v>
      </c>
      <c r="AK6" s="1" t="s">
        <v>62</v>
      </c>
      <c r="AL6" s="1">
        <f>COUNTIF(AI:AI,"&gt;0")</f>
        <v>60</v>
      </c>
    </row>
    <row r="7" spans="1:38" x14ac:dyDescent="0.25">
      <c r="A7" s="5" t="s">
        <v>39</v>
      </c>
      <c r="B7" s="5" t="s">
        <v>0</v>
      </c>
      <c r="C7" s="5" t="str">
        <f t="shared" si="0"/>
        <v>description,dailCompDescNature5,</v>
      </c>
      <c r="D7" s="5" t="str">
        <f t="shared" si="2"/>
        <v>itemText,dailCompTextNature5,</v>
      </c>
      <c r="E7" s="5" t="str">
        <f t="shared" ref="E7:E70" si="14">"augmentSkillLevel1,"&amp;AJ7&amp;","</f>
        <v>augmentSkillLevel1,1,</v>
      </c>
      <c r="F7" s="5" t="str">
        <f t="shared" ref="F7:F70" si="15">"augmentSkillName1,records/skills"&amp;I7&amp;","</f>
        <v>augmentSkillName1,records/skillsnature/regrowth_acceleratedgrowth.dbr,,</v>
      </c>
      <c r="G7" s="7">
        <f t="shared" si="10"/>
        <v>5</v>
      </c>
      <c r="H7" s="8" t="str">
        <f t="shared" si="11"/>
        <v>Nature</v>
      </c>
      <c r="I7" s="3" t="s">
        <v>662</v>
      </c>
      <c r="J7" s="8" t="str">
        <f t="shared" si="12"/>
        <v>class0020</v>
      </c>
      <c r="K7" s="8" t="str">
        <f t="shared" si="12"/>
        <v>dailoneskill0020</v>
      </c>
      <c r="L7" s="5" t="str">
        <f t="shared" si="4"/>
        <v>lootName5,DAIL/items/materia/class0020/Nature5.dbr,</v>
      </c>
      <c r="M7" s="5" t="str">
        <f t="shared" si="5"/>
        <v>lootWeight5,1,</v>
      </c>
      <c r="N7" t="str">
        <f t="shared" si="6"/>
        <v>1</v>
      </c>
      <c r="O7" t="str">
        <f t="shared" ref="O7:O70" si="16">IF(I7&lt;&gt;"","copy .\"&amp;VLOOKUP(VALUE(N7),$AD$3:$AF$5,2,FALSE)&amp;" .\items\materia\"&amp;J7&amp;"\"&amp;H7&amp;G7&amp;".dbr /y"&amp;"","")</f>
        <v>copy .\dail_base.dbr .\items\materia\class0020\Nature5.dbr /y</v>
      </c>
      <c r="P7" t="str">
        <f t="shared" si="7"/>
        <v>echo relicBitmap,items/craftingparts/components/component_a52_bristlyfur_b.tex, &gt;&gt; .\items\materia\class0020\Nature5.dbr</v>
      </c>
      <c r="Q7" t="str">
        <f t="shared" si="1"/>
        <v>echo itemCost,100000, &gt;&gt; .\items\materia\class0020\Nature5.dbr</v>
      </c>
      <c r="R7" t="str">
        <f t="shared" si="1"/>
        <v>echo description,dailCompDescNature5, &gt;&gt; .\items\materia\class0020\Nature5.dbr</v>
      </c>
      <c r="S7" t="str">
        <f t="shared" si="1"/>
        <v>echo itemText,dailCompTextNature5, &gt;&gt; .\items\materia\class0020\Nature5.dbr</v>
      </c>
      <c r="T7" t="str">
        <f t="shared" si="1"/>
        <v>echo augmentSkillLevel1,1, &gt;&gt; .\items\materia\class0020\Nature5.dbr</v>
      </c>
      <c r="U7" t="str">
        <f t="shared" si="1"/>
        <v>echo augmentSkillName1,records/skillsnature/regrowth_acceleratedgrowth.dbr,, &gt;&gt; .\items\materia\class0020\Nature5.dbr</v>
      </c>
      <c r="V7" s="5" t="s">
        <v>36</v>
      </c>
      <c r="W7" t="str">
        <f t="shared" si="8"/>
        <v>echo lootName5,DAIL/items/materia/class0020/Nature5.dbr, &gt;&gt; .\items\loottables\dailoneskill0020.dbr</v>
      </c>
      <c r="X7" t="str">
        <f t="shared" si="8"/>
        <v>echo lootWeight5,1, &gt;&gt; .\items\loottables\dailoneskill0020.dbr</v>
      </c>
      <c r="Y7" s="5" t="s">
        <v>36</v>
      </c>
      <c r="Z7" t="str">
        <f t="shared" si="9"/>
        <v xml:space="preserve"> dailCompDescNature5=^pNature's Gift of DAIL</v>
      </c>
      <c r="AA7" t="str">
        <f t="shared" ref="AA7:AA70" si="17">IF(I6&lt;&gt;"","dailCompText"&amp;H7&amp;G7&amp;"=^oThis feels warm to the touch, almost familiar ^w("&amp;VLOOKUP(VALUE(N7),$AD$3:$AF$5,3,FALSE)&amp;")","")</f>
        <v>dailCompTextNature5=^oThis feels warm to the touch, almost familiar ^w(This component fits into all Jewellery slots including the Belt And Shoulder)</v>
      </c>
      <c r="AB7" s="5" t="s">
        <v>36</v>
      </c>
      <c r="AH7">
        <f>AH6+1</f>
        <v>2</v>
      </c>
      <c r="AI7">
        <f t="shared" si="13"/>
        <v>38</v>
      </c>
      <c r="AJ7">
        <f t="shared" ref="AJ7:AJ70" si="18">IF(AH7&lt;$AL$7,1,IF(AH7&lt;$AL$8,3,5))</f>
        <v>1</v>
      </c>
      <c r="AK7">
        <v>1</v>
      </c>
      <c r="AL7">
        <f>AL6/3</f>
        <v>20</v>
      </c>
    </row>
    <row r="8" spans="1:38" x14ac:dyDescent="0.25">
      <c r="A8" s="5" t="s">
        <v>39</v>
      </c>
      <c r="B8" s="5" t="s">
        <v>0</v>
      </c>
      <c r="C8" s="5" t="str">
        <f t="shared" si="0"/>
        <v>description,dailCompDescNature6,</v>
      </c>
      <c r="D8" s="5" t="str">
        <f t="shared" si="2"/>
        <v>itemText,dailCompTextNature6,</v>
      </c>
      <c r="E8" s="5" t="str">
        <f t="shared" si="14"/>
        <v>augmentSkillLevel1,1,</v>
      </c>
      <c r="F8" s="5" t="str">
        <f t="shared" si="15"/>
        <v>augmentSkillName1,records/skillsnature/regrowth_dissemination.dbr,,</v>
      </c>
      <c r="G8" s="7">
        <f t="shared" si="10"/>
        <v>6</v>
      </c>
      <c r="H8" s="8" t="str">
        <f t="shared" si="11"/>
        <v>Nature</v>
      </c>
      <c r="I8" s="3" t="s">
        <v>663</v>
      </c>
      <c r="J8" s="8" t="str">
        <f t="shared" si="12"/>
        <v>class0020</v>
      </c>
      <c r="K8" s="8" t="str">
        <f t="shared" si="12"/>
        <v>dailoneskill0020</v>
      </c>
      <c r="L8" s="5" t="str">
        <f t="shared" si="4"/>
        <v>lootName6,DAIL/items/materia/class0020/Nature6.dbr,</v>
      </c>
      <c r="M8" s="5" t="str">
        <f t="shared" si="5"/>
        <v>lootWeight6,1,</v>
      </c>
      <c r="N8" t="str">
        <f t="shared" si="6"/>
        <v>1</v>
      </c>
      <c r="O8" t="str">
        <f t="shared" si="16"/>
        <v>copy .\dail_base.dbr .\items\materia\class0020\Nature6.dbr /y</v>
      </c>
      <c r="P8" t="str">
        <f t="shared" si="7"/>
        <v>echo relicBitmap,items/craftingparts/components/component_a52_bristlyfur_b.tex, &gt;&gt; .\items\materia\class0020\Nature6.dbr</v>
      </c>
      <c r="Q8" t="str">
        <f t="shared" si="1"/>
        <v>echo itemCost,100000, &gt;&gt; .\items\materia\class0020\Nature6.dbr</v>
      </c>
      <c r="R8" t="str">
        <f t="shared" si="1"/>
        <v>echo description,dailCompDescNature6, &gt;&gt; .\items\materia\class0020\Nature6.dbr</v>
      </c>
      <c r="S8" t="str">
        <f t="shared" si="1"/>
        <v>echo itemText,dailCompTextNature6, &gt;&gt; .\items\materia\class0020\Nature6.dbr</v>
      </c>
      <c r="T8" t="str">
        <f t="shared" si="1"/>
        <v>echo augmentSkillLevel1,1, &gt;&gt; .\items\materia\class0020\Nature6.dbr</v>
      </c>
      <c r="U8" t="str">
        <f t="shared" si="1"/>
        <v>echo augmentSkillName1,records/skillsnature/regrowth_dissemination.dbr,, &gt;&gt; .\items\materia\class0020\Nature6.dbr</v>
      </c>
      <c r="V8" s="5" t="s">
        <v>36</v>
      </c>
      <c r="W8" t="str">
        <f t="shared" si="8"/>
        <v>echo lootName6,DAIL/items/materia/class0020/Nature6.dbr, &gt;&gt; .\items\loottables\dailoneskill0020.dbr</v>
      </c>
      <c r="X8" t="str">
        <f t="shared" si="8"/>
        <v>echo lootWeight6,1, &gt;&gt; .\items\loottables\dailoneskill0020.dbr</v>
      </c>
      <c r="Y8" s="5" t="s">
        <v>36</v>
      </c>
      <c r="Z8" t="str">
        <f t="shared" si="9"/>
        <v xml:space="preserve"> dailCompDescNature6=^pNature's Gift of DAIL</v>
      </c>
      <c r="AA8" t="str">
        <f t="shared" si="17"/>
        <v>dailCompTextNature6=^oThis feels warm to the touch, almost familiar ^w(This component fits into all Jewellery slots including the Belt And Shoulder)</v>
      </c>
      <c r="AB8" s="5" t="s">
        <v>36</v>
      </c>
      <c r="AH8">
        <f t="shared" ref="AH8:AH71" si="19">AH7+1</f>
        <v>3</v>
      </c>
      <c r="AI8">
        <f t="shared" si="13"/>
        <v>34</v>
      </c>
      <c r="AJ8">
        <f t="shared" si="18"/>
        <v>1</v>
      </c>
      <c r="AK8" s="1">
        <v>3</v>
      </c>
      <c r="AL8">
        <f>AL7*2</f>
        <v>40</v>
      </c>
    </row>
    <row r="9" spans="1:38" x14ac:dyDescent="0.25">
      <c r="A9" s="5" t="s">
        <v>39</v>
      </c>
      <c r="B9" s="5" t="s">
        <v>0</v>
      </c>
      <c r="C9" s="5" t="str">
        <f t="shared" si="0"/>
        <v>description,dailCompDescNature7,</v>
      </c>
      <c r="D9" s="5" t="str">
        <f t="shared" si="2"/>
        <v>itemText,dailCompTextNature7,</v>
      </c>
      <c r="E9" s="5" t="str">
        <f t="shared" si="14"/>
        <v>augmentSkillLevel1,1,</v>
      </c>
      <c r="F9" s="5" t="str">
        <f t="shared" si="15"/>
        <v>augmentSkillName1,records/skillsnature/briarward.dbr,,</v>
      </c>
      <c r="G9" s="7">
        <f t="shared" si="10"/>
        <v>7</v>
      </c>
      <c r="H9" s="8" t="str">
        <f t="shared" si="11"/>
        <v>Nature</v>
      </c>
      <c r="I9" s="3" t="s">
        <v>664</v>
      </c>
      <c r="J9" s="8" t="str">
        <f t="shared" si="12"/>
        <v>class0020</v>
      </c>
      <c r="K9" s="8" t="str">
        <f t="shared" si="12"/>
        <v>dailoneskill0020</v>
      </c>
      <c r="L9" s="5" t="str">
        <f t="shared" si="4"/>
        <v>lootName7,DAIL/items/materia/class0020/Nature7.dbr,</v>
      </c>
      <c r="M9" s="5" t="str">
        <f t="shared" si="5"/>
        <v>lootWeight7,1,</v>
      </c>
      <c r="N9" t="str">
        <f t="shared" si="6"/>
        <v>1</v>
      </c>
      <c r="O9" t="str">
        <f t="shared" si="16"/>
        <v>copy .\dail_base.dbr .\items\materia\class0020\Nature7.dbr /y</v>
      </c>
      <c r="P9" t="str">
        <f t="shared" si="7"/>
        <v>echo relicBitmap,items/craftingparts/components/component_a52_bristlyfur_b.tex, &gt;&gt; .\items\materia\class0020\Nature7.dbr</v>
      </c>
      <c r="Q9" t="str">
        <f t="shared" si="1"/>
        <v>echo itemCost,100000, &gt;&gt; .\items\materia\class0020\Nature7.dbr</v>
      </c>
      <c r="R9" t="str">
        <f t="shared" si="1"/>
        <v>echo description,dailCompDescNature7, &gt;&gt; .\items\materia\class0020\Nature7.dbr</v>
      </c>
      <c r="S9" t="str">
        <f t="shared" si="1"/>
        <v>echo itemText,dailCompTextNature7, &gt;&gt; .\items\materia\class0020\Nature7.dbr</v>
      </c>
      <c r="T9" t="str">
        <f t="shared" si="1"/>
        <v>echo augmentSkillLevel1,1, &gt;&gt; .\items\materia\class0020\Nature7.dbr</v>
      </c>
      <c r="U9" t="str">
        <f t="shared" si="1"/>
        <v>echo augmentSkillName1,records/skillsnature/briarward.dbr,, &gt;&gt; .\items\materia\class0020\Nature7.dbr</v>
      </c>
      <c r="V9" s="5" t="s">
        <v>36</v>
      </c>
      <c r="W9" t="str">
        <f t="shared" si="8"/>
        <v>echo lootName7,DAIL/items/materia/class0020/Nature7.dbr, &gt;&gt; .\items\loottables\dailoneskill0020.dbr</v>
      </c>
      <c r="X9" t="str">
        <f t="shared" si="8"/>
        <v>echo lootWeight7,1, &gt;&gt; .\items\loottables\dailoneskill0020.dbr</v>
      </c>
      <c r="Y9" s="5" t="s">
        <v>36</v>
      </c>
      <c r="Z9" t="str">
        <f t="shared" si="9"/>
        <v xml:space="preserve"> dailCompDescNature7=^pNature's Gift of DAIL</v>
      </c>
      <c r="AA9" t="str">
        <f t="shared" si="17"/>
        <v>dailCompTextNature7=^oThis feels warm to the touch, almost familiar ^w(This component fits into all Jewellery slots including the Belt And Shoulder)</v>
      </c>
      <c r="AB9" s="5" t="s">
        <v>36</v>
      </c>
      <c r="AH9">
        <f t="shared" si="19"/>
        <v>4</v>
      </c>
      <c r="AI9">
        <f t="shared" si="13"/>
        <v>21</v>
      </c>
      <c r="AJ9">
        <f t="shared" si="18"/>
        <v>1</v>
      </c>
      <c r="AK9" s="1">
        <v>5</v>
      </c>
      <c r="AL9">
        <f>AL6</f>
        <v>60</v>
      </c>
    </row>
    <row r="10" spans="1:38" x14ac:dyDescent="0.25">
      <c r="A10" s="5" t="s">
        <v>39</v>
      </c>
      <c r="B10" s="5" t="s">
        <v>0</v>
      </c>
      <c r="C10" s="5" t="str">
        <f t="shared" si="0"/>
        <v>description,dailCompDescNature8,</v>
      </c>
      <c r="D10" s="5" t="str">
        <f t="shared" si="2"/>
        <v>itemText,dailCompTextNature8,</v>
      </c>
      <c r="E10" s="5" t="str">
        <f t="shared" si="14"/>
        <v>augmentSkillLevel1,1,</v>
      </c>
      <c r="F10" s="5" t="str">
        <f t="shared" si="15"/>
        <v>augmentSkillName1,records/skillsnature/briarward_petmodifier_stingingnettle.dbr,,</v>
      </c>
      <c r="G10" s="7">
        <f t="shared" si="10"/>
        <v>8</v>
      </c>
      <c r="H10" s="8" t="str">
        <f t="shared" si="11"/>
        <v>Nature</v>
      </c>
      <c r="I10" s="3" t="s">
        <v>665</v>
      </c>
      <c r="J10" s="8" t="str">
        <f t="shared" si="12"/>
        <v>class0020</v>
      </c>
      <c r="K10" s="8" t="str">
        <f t="shared" si="12"/>
        <v>dailoneskill0020</v>
      </c>
      <c r="L10" s="5" t="str">
        <f t="shared" si="4"/>
        <v>lootName8,DAIL/items/materia/class0020/Nature8.dbr,</v>
      </c>
      <c r="M10" s="5" t="str">
        <f t="shared" si="5"/>
        <v>lootWeight8,1,</v>
      </c>
      <c r="N10" t="str">
        <f t="shared" si="6"/>
        <v>1</v>
      </c>
      <c r="O10" t="str">
        <f t="shared" si="16"/>
        <v>copy .\dail_base.dbr .\items\materia\class0020\Nature8.dbr /y</v>
      </c>
      <c r="P10" t="str">
        <f t="shared" si="7"/>
        <v>echo relicBitmap,items/craftingparts/components/component_a52_bristlyfur_b.tex, &gt;&gt; .\items\materia\class0020\Nature8.dbr</v>
      </c>
      <c r="Q10" t="str">
        <f t="shared" si="1"/>
        <v>echo itemCost,100000, &gt;&gt; .\items\materia\class0020\Nature8.dbr</v>
      </c>
      <c r="R10" t="str">
        <f t="shared" si="1"/>
        <v>echo description,dailCompDescNature8, &gt;&gt; .\items\materia\class0020\Nature8.dbr</v>
      </c>
      <c r="S10" t="str">
        <f t="shared" si="1"/>
        <v>echo itemText,dailCompTextNature8, &gt;&gt; .\items\materia\class0020\Nature8.dbr</v>
      </c>
      <c r="T10" t="str">
        <f t="shared" si="1"/>
        <v>echo augmentSkillLevel1,1, &gt;&gt; .\items\materia\class0020\Nature8.dbr</v>
      </c>
      <c r="U10" t="str">
        <f t="shared" si="1"/>
        <v>echo augmentSkillName1,records/skillsnature/briarward_petmodifier_stingingnettle.dbr,, &gt;&gt; .\items\materia\class0020\Nature8.dbr</v>
      </c>
      <c r="V10" s="5" t="s">
        <v>36</v>
      </c>
      <c r="W10" t="str">
        <f t="shared" si="8"/>
        <v>echo lootName8,DAIL/items/materia/class0020/Nature8.dbr, &gt;&gt; .\items\loottables\dailoneskill0020.dbr</v>
      </c>
      <c r="X10" t="str">
        <f t="shared" si="8"/>
        <v>echo lootWeight8,1, &gt;&gt; .\items\loottables\dailoneskill0020.dbr</v>
      </c>
      <c r="Y10" s="5" t="s">
        <v>36</v>
      </c>
      <c r="Z10" t="str">
        <f t="shared" si="9"/>
        <v xml:space="preserve"> dailCompDescNature8=^pNature's Gift of DAIL</v>
      </c>
      <c r="AA10" t="str">
        <f t="shared" si="17"/>
        <v>dailCompTextNature8=^oThis feels warm to the touch, almost familiar ^w(This component fits into all Jewellery slots including the Belt And Shoulder)</v>
      </c>
      <c r="AB10" s="5" t="s">
        <v>36</v>
      </c>
      <c r="AH10">
        <f t="shared" si="19"/>
        <v>5</v>
      </c>
      <c r="AI10">
        <f t="shared" si="13"/>
        <v>48</v>
      </c>
      <c r="AJ10">
        <f t="shared" si="18"/>
        <v>1</v>
      </c>
    </row>
    <row r="11" spans="1:38" x14ac:dyDescent="0.25">
      <c r="A11" s="5" t="s">
        <v>39</v>
      </c>
      <c r="B11" s="5" t="s">
        <v>0</v>
      </c>
      <c r="C11" s="5" t="str">
        <f t="shared" si="0"/>
        <v>description,dailCompDescNature9,</v>
      </c>
      <c r="D11" s="5" t="str">
        <f t="shared" si="2"/>
        <v>itemText,dailCompTextNature9,</v>
      </c>
      <c r="E11" s="5" t="str">
        <f t="shared" si="14"/>
        <v>augmentSkillLevel1,1,</v>
      </c>
      <c r="F11" s="5" t="str">
        <f t="shared" si="15"/>
        <v>augmentSkillName1,records/skillsnature/briarward_sanctuary.dbr,,</v>
      </c>
      <c r="G11" s="7">
        <f t="shared" si="10"/>
        <v>9</v>
      </c>
      <c r="H11" s="8" t="str">
        <f t="shared" si="11"/>
        <v>Nature</v>
      </c>
      <c r="I11" s="3" t="s">
        <v>666</v>
      </c>
      <c r="J11" s="8" t="str">
        <f t="shared" si="12"/>
        <v>class0020</v>
      </c>
      <c r="K11" s="8" t="str">
        <f t="shared" si="12"/>
        <v>dailoneskill0020</v>
      </c>
      <c r="L11" s="5" t="str">
        <f t="shared" si="4"/>
        <v>lootName9,DAIL/items/materia/class0020/Nature9.dbr,</v>
      </c>
      <c r="M11" s="5" t="str">
        <f t="shared" si="5"/>
        <v>lootWeight9,1,</v>
      </c>
      <c r="N11" t="str">
        <f t="shared" si="6"/>
        <v>1</v>
      </c>
      <c r="O11" t="str">
        <f t="shared" si="16"/>
        <v>copy .\dail_base.dbr .\items\materia\class0020\Nature9.dbr /y</v>
      </c>
      <c r="P11" t="str">
        <f t="shared" si="7"/>
        <v>echo relicBitmap,items/craftingparts/components/component_a52_bristlyfur_b.tex, &gt;&gt; .\items\materia\class0020\Nature9.dbr</v>
      </c>
      <c r="Q11" t="str">
        <f t="shared" si="1"/>
        <v>echo itemCost,100000, &gt;&gt; .\items\materia\class0020\Nature9.dbr</v>
      </c>
      <c r="R11" t="str">
        <f t="shared" si="1"/>
        <v>echo description,dailCompDescNature9, &gt;&gt; .\items\materia\class0020\Nature9.dbr</v>
      </c>
      <c r="S11" t="str">
        <f t="shared" si="1"/>
        <v>echo itemText,dailCompTextNature9, &gt;&gt; .\items\materia\class0020\Nature9.dbr</v>
      </c>
      <c r="T11" t="str">
        <f t="shared" si="1"/>
        <v>echo augmentSkillLevel1,1, &gt;&gt; .\items\materia\class0020\Nature9.dbr</v>
      </c>
      <c r="U11" t="str">
        <f t="shared" si="1"/>
        <v>echo augmentSkillName1,records/skillsnature/briarward_sanctuary.dbr,, &gt;&gt; .\items\materia\class0020\Nature9.dbr</v>
      </c>
      <c r="V11" s="5" t="s">
        <v>36</v>
      </c>
      <c r="W11" t="str">
        <f t="shared" si="8"/>
        <v>echo lootName9,DAIL/items/materia/class0020/Nature9.dbr, &gt;&gt; .\items\loottables\dailoneskill0020.dbr</v>
      </c>
      <c r="X11" t="str">
        <f t="shared" si="8"/>
        <v>echo lootWeight9,1, &gt;&gt; .\items\loottables\dailoneskill0020.dbr</v>
      </c>
      <c r="Y11" s="5" t="s">
        <v>36</v>
      </c>
      <c r="Z11" t="str">
        <f t="shared" si="9"/>
        <v xml:space="preserve"> dailCompDescNature9=^pNature's Gift of DAIL</v>
      </c>
      <c r="AA11" t="str">
        <f t="shared" si="17"/>
        <v>dailCompTextNature9=^oThis feels warm to the touch, almost familiar ^w(This component fits into all Jewellery slots including the Belt And Shoulder)</v>
      </c>
      <c r="AB11" s="5" t="s">
        <v>36</v>
      </c>
      <c r="AH11">
        <f t="shared" si="19"/>
        <v>6</v>
      </c>
      <c r="AI11">
        <f t="shared" si="13"/>
        <v>31</v>
      </c>
      <c r="AJ11">
        <f t="shared" si="18"/>
        <v>1</v>
      </c>
    </row>
    <row r="12" spans="1:38" x14ac:dyDescent="0.25">
      <c r="A12" s="5" t="s">
        <v>39</v>
      </c>
      <c r="B12" s="5" t="s">
        <v>0</v>
      </c>
      <c r="C12" s="5" t="str">
        <f t="shared" si="0"/>
        <v>description,dailCompDescNature10,</v>
      </c>
      <c r="D12" s="5" t="str">
        <f t="shared" si="2"/>
        <v>itemText,dailCompTextNature10,</v>
      </c>
      <c r="E12" s="5" t="str">
        <f t="shared" si="14"/>
        <v>augmentSkillLevel1,1,</v>
      </c>
      <c r="F12" s="5" t="str">
        <f t="shared" si="15"/>
        <v>augmentSkillName1,records/skillsnature/heartofoak.dbr,,</v>
      </c>
      <c r="G12" s="7">
        <f t="shared" si="10"/>
        <v>10</v>
      </c>
      <c r="H12" s="8" t="str">
        <f t="shared" si="11"/>
        <v>Nature</v>
      </c>
      <c r="I12" s="3" t="s">
        <v>667</v>
      </c>
      <c r="J12" s="8" t="str">
        <f t="shared" si="12"/>
        <v>class0020</v>
      </c>
      <c r="K12" s="8" t="str">
        <f t="shared" si="12"/>
        <v>dailoneskill0020</v>
      </c>
      <c r="L12" s="5" t="str">
        <f t="shared" si="4"/>
        <v>lootName10,DAIL/items/materia/class0020/Nature10.dbr,</v>
      </c>
      <c r="M12" s="5" t="str">
        <f t="shared" si="5"/>
        <v>lootWeight10,1,</v>
      </c>
      <c r="N12" t="str">
        <f t="shared" si="6"/>
        <v>1</v>
      </c>
      <c r="O12" t="str">
        <f t="shared" si="16"/>
        <v>copy .\dail_base.dbr .\items\materia\class0020\Nature10.dbr /y</v>
      </c>
      <c r="P12" t="str">
        <f t="shared" si="7"/>
        <v>echo relicBitmap,items/craftingparts/components/component_a52_bristlyfur_b.tex, &gt;&gt; .\items\materia\class0020\Nature10.dbr</v>
      </c>
      <c r="Q12" t="str">
        <f t="shared" si="1"/>
        <v>echo itemCost,100000, &gt;&gt; .\items\materia\class0020\Nature10.dbr</v>
      </c>
      <c r="R12" t="str">
        <f t="shared" si="1"/>
        <v>echo description,dailCompDescNature10, &gt;&gt; .\items\materia\class0020\Nature10.dbr</v>
      </c>
      <c r="S12" t="str">
        <f t="shared" si="1"/>
        <v>echo itemText,dailCompTextNature10, &gt;&gt; .\items\materia\class0020\Nature10.dbr</v>
      </c>
      <c r="T12" t="str">
        <f t="shared" si="1"/>
        <v>echo augmentSkillLevel1,1, &gt;&gt; .\items\materia\class0020\Nature10.dbr</v>
      </c>
      <c r="U12" t="str">
        <f t="shared" si="1"/>
        <v>echo augmentSkillName1,records/skillsnature/heartofoak.dbr,, &gt;&gt; .\items\materia\class0020\Nature10.dbr</v>
      </c>
      <c r="V12" s="5" t="s">
        <v>36</v>
      </c>
      <c r="W12" t="str">
        <f t="shared" si="8"/>
        <v>echo lootName10,DAIL/items/materia/class0020/Nature10.dbr, &gt;&gt; .\items\loottables\dailoneskill0020.dbr</v>
      </c>
      <c r="X12" t="str">
        <f t="shared" si="8"/>
        <v>echo lootWeight10,1, &gt;&gt; .\items\loottables\dailoneskill0020.dbr</v>
      </c>
      <c r="Y12" s="5" t="s">
        <v>36</v>
      </c>
      <c r="Z12" t="str">
        <f t="shared" si="9"/>
        <v xml:space="preserve"> dailCompDescNature10=^pNature's Gift of DAIL</v>
      </c>
      <c r="AA12" t="str">
        <f t="shared" si="17"/>
        <v>dailCompTextNature10=^oThis feels warm to the touch, almost familiar ^w(This component fits into all Jewellery slots including the Belt And Shoulder)</v>
      </c>
      <c r="AB12" s="5" t="s">
        <v>36</v>
      </c>
      <c r="AH12">
        <f t="shared" si="19"/>
        <v>7</v>
      </c>
      <c r="AI12">
        <f t="shared" si="13"/>
        <v>22</v>
      </c>
      <c r="AJ12">
        <f t="shared" si="18"/>
        <v>1</v>
      </c>
    </row>
    <row r="13" spans="1:38" x14ac:dyDescent="0.25">
      <c r="A13" s="5" t="s">
        <v>39</v>
      </c>
      <c r="B13" s="5" t="s">
        <v>0</v>
      </c>
      <c r="C13" s="5" t="str">
        <f t="shared" si="0"/>
        <v>description,dailCompDescNature11,</v>
      </c>
      <c r="D13" s="5" t="str">
        <f t="shared" si="2"/>
        <v>itemText,dailCompTextNature11,</v>
      </c>
      <c r="E13" s="5" t="str">
        <f t="shared" si="14"/>
        <v>augmentSkillLevel1,1,</v>
      </c>
      <c r="F13" s="5" t="str">
        <f t="shared" si="15"/>
        <v>augmentSkillName1,records/skillsnature/heartofoak_tranquility.dbr,,</v>
      </c>
      <c r="G13" s="7">
        <f t="shared" si="10"/>
        <v>11</v>
      </c>
      <c r="H13" s="8" t="str">
        <f t="shared" si="11"/>
        <v>Nature</v>
      </c>
      <c r="I13" s="3" t="s">
        <v>668</v>
      </c>
      <c r="J13" s="8" t="str">
        <f t="shared" si="12"/>
        <v>class0020</v>
      </c>
      <c r="K13" s="8" t="str">
        <f t="shared" si="12"/>
        <v>dailoneskill0020</v>
      </c>
      <c r="L13" s="5" t="str">
        <f t="shared" si="4"/>
        <v>lootName11,DAIL/items/materia/class0020/Nature11.dbr,</v>
      </c>
      <c r="M13" s="5" t="str">
        <f t="shared" si="5"/>
        <v>lootWeight11,1,</v>
      </c>
      <c r="N13" t="str">
        <f t="shared" si="6"/>
        <v>1</v>
      </c>
      <c r="O13" t="str">
        <f t="shared" si="16"/>
        <v>copy .\dail_base.dbr .\items\materia\class0020\Nature11.dbr /y</v>
      </c>
      <c r="P13" t="str">
        <f t="shared" si="7"/>
        <v>echo relicBitmap,items/craftingparts/components/component_a52_bristlyfur_b.tex, &gt;&gt; .\items\materia\class0020\Nature11.dbr</v>
      </c>
      <c r="Q13" t="str">
        <f t="shared" si="1"/>
        <v>echo itemCost,100000, &gt;&gt; .\items\materia\class0020\Nature11.dbr</v>
      </c>
      <c r="R13" t="str">
        <f t="shared" si="1"/>
        <v>echo description,dailCompDescNature11, &gt;&gt; .\items\materia\class0020\Nature11.dbr</v>
      </c>
      <c r="S13" t="str">
        <f t="shared" si="1"/>
        <v>echo itemText,dailCompTextNature11, &gt;&gt; .\items\materia\class0020\Nature11.dbr</v>
      </c>
      <c r="T13" t="str">
        <f t="shared" si="1"/>
        <v>echo augmentSkillLevel1,1, &gt;&gt; .\items\materia\class0020\Nature11.dbr</v>
      </c>
      <c r="U13" t="str">
        <f t="shared" si="1"/>
        <v>echo augmentSkillName1,records/skillsnature/heartofoak_tranquility.dbr,, &gt;&gt; .\items\materia\class0020\Nature11.dbr</v>
      </c>
      <c r="V13" s="5" t="s">
        <v>36</v>
      </c>
      <c r="W13" t="str">
        <f t="shared" si="8"/>
        <v>echo lootName11,DAIL/items/materia/class0020/Nature11.dbr, &gt;&gt; .\items\loottables\dailoneskill0020.dbr</v>
      </c>
      <c r="X13" t="str">
        <f t="shared" si="8"/>
        <v>echo lootWeight11,1, &gt;&gt; .\items\loottables\dailoneskill0020.dbr</v>
      </c>
      <c r="Y13" s="5" t="s">
        <v>36</v>
      </c>
      <c r="Z13" t="str">
        <f t="shared" si="9"/>
        <v xml:space="preserve"> dailCompDescNature11=^pNature's Gift of DAIL</v>
      </c>
      <c r="AA13" t="str">
        <f t="shared" si="17"/>
        <v>dailCompTextNature11=^oThis feels warm to the touch, almost familiar ^w(This component fits into all Jewellery slots including the Belt And Shoulder)</v>
      </c>
      <c r="AB13" s="5" t="s">
        <v>36</v>
      </c>
      <c r="AH13">
        <f t="shared" si="19"/>
        <v>8</v>
      </c>
      <c r="AI13">
        <f t="shared" si="13"/>
        <v>34</v>
      </c>
      <c r="AJ13">
        <f t="shared" si="18"/>
        <v>1</v>
      </c>
    </row>
    <row r="14" spans="1:38" x14ac:dyDescent="0.25">
      <c r="A14" s="5" t="s">
        <v>39</v>
      </c>
      <c r="B14" s="5" t="s">
        <v>0</v>
      </c>
      <c r="C14" s="5" t="str">
        <f t="shared" si="0"/>
        <v>description,dailCompDescNature12,</v>
      </c>
      <c r="D14" s="5" t="str">
        <f t="shared" si="2"/>
        <v>itemText,dailCompTextNature12,</v>
      </c>
      <c r="E14" s="5" t="str">
        <f t="shared" si="14"/>
        <v>augmentSkillLevel1,1,</v>
      </c>
      <c r="F14" s="5" t="str">
        <f t="shared" si="15"/>
        <v>augmentSkillName1,records/skillsnature/heartofoak_permanence.dbr,,</v>
      </c>
      <c r="G14" s="7">
        <f t="shared" si="10"/>
        <v>12</v>
      </c>
      <c r="H14" s="8" t="str">
        <f t="shared" si="11"/>
        <v>Nature</v>
      </c>
      <c r="I14" s="3" t="s">
        <v>669</v>
      </c>
      <c r="J14" s="8" t="str">
        <f t="shared" si="12"/>
        <v>class0020</v>
      </c>
      <c r="K14" s="8" t="str">
        <f t="shared" si="12"/>
        <v>dailoneskill0020</v>
      </c>
      <c r="L14" s="5" t="str">
        <f t="shared" si="4"/>
        <v>lootName12,DAIL/items/materia/class0020/Nature12.dbr,</v>
      </c>
      <c r="M14" s="5" t="str">
        <f t="shared" si="5"/>
        <v>lootWeight12,1,</v>
      </c>
      <c r="N14" t="str">
        <f t="shared" si="6"/>
        <v>1</v>
      </c>
      <c r="O14" t="str">
        <f t="shared" si="16"/>
        <v>copy .\dail_base.dbr .\items\materia\class0020\Nature12.dbr /y</v>
      </c>
      <c r="P14" t="str">
        <f t="shared" si="7"/>
        <v>echo relicBitmap,items/craftingparts/components/component_a52_bristlyfur_b.tex, &gt;&gt; .\items\materia\class0020\Nature12.dbr</v>
      </c>
      <c r="Q14" t="str">
        <f t="shared" si="1"/>
        <v>echo itemCost,100000, &gt;&gt; .\items\materia\class0020\Nature12.dbr</v>
      </c>
      <c r="R14" t="str">
        <f t="shared" si="1"/>
        <v>echo description,dailCompDescNature12, &gt;&gt; .\items\materia\class0020\Nature12.dbr</v>
      </c>
      <c r="S14" t="str">
        <f t="shared" si="1"/>
        <v>echo itemText,dailCompTextNature12, &gt;&gt; .\items\materia\class0020\Nature12.dbr</v>
      </c>
      <c r="T14" t="str">
        <f t="shared" si="1"/>
        <v>echo augmentSkillLevel1,1, &gt;&gt; .\items\materia\class0020\Nature12.dbr</v>
      </c>
      <c r="U14" t="str">
        <f t="shared" si="1"/>
        <v>echo augmentSkillName1,records/skillsnature/heartofoak_permanence.dbr,, &gt;&gt; .\items\materia\class0020\Nature12.dbr</v>
      </c>
      <c r="V14" s="5" t="s">
        <v>36</v>
      </c>
      <c r="W14" t="str">
        <f t="shared" si="8"/>
        <v>echo lootName12,DAIL/items/materia/class0020/Nature12.dbr, &gt;&gt; .\items\loottables\dailoneskill0020.dbr</v>
      </c>
      <c r="X14" t="str">
        <f t="shared" si="8"/>
        <v>echo lootWeight12,1, &gt;&gt; .\items\loottables\dailoneskill0020.dbr</v>
      </c>
      <c r="Y14" s="5" t="s">
        <v>36</v>
      </c>
      <c r="Z14" t="str">
        <f t="shared" si="9"/>
        <v xml:space="preserve"> dailCompDescNature12=^pNature's Gift of DAIL</v>
      </c>
      <c r="AA14" t="str">
        <f t="shared" si="17"/>
        <v>dailCompTextNature12=^oThis feels warm to the touch, almost familiar ^w(This component fits into all Jewellery slots including the Belt And Shoulder)</v>
      </c>
      <c r="AB14" s="5" t="s">
        <v>36</v>
      </c>
      <c r="AH14">
        <f t="shared" si="19"/>
        <v>9</v>
      </c>
      <c r="AI14">
        <f t="shared" si="13"/>
        <v>33</v>
      </c>
      <c r="AJ14">
        <f t="shared" si="18"/>
        <v>1</v>
      </c>
    </row>
    <row r="15" spans="1:38" x14ac:dyDescent="0.25">
      <c r="A15" s="5" t="s">
        <v>39</v>
      </c>
      <c r="B15" s="5" t="s">
        <v>0</v>
      </c>
      <c r="C15" s="5" t="str">
        <f t="shared" si="0"/>
        <v>description,dailCompDescNature13,</v>
      </c>
      <c r="D15" s="5" t="str">
        <f t="shared" si="2"/>
        <v>itemText,dailCompTextNature13,</v>
      </c>
      <c r="E15" s="5" t="str">
        <f t="shared" si="14"/>
        <v>augmentSkillLevel1,1,</v>
      </c>
      <c r="F15" s="5" t="str">
        <f t="shared" si="15"/>
        <v>augmentSkillName1,records/skillsnature/plague.dbr,,</v>
      </c>
      <c r="G15" s="7">
        <f t="shared" si="10"/>
        <v>13</v>
      </c>
      <c r="H15" s="8" t="str">
        <f t="shared" si="11"/>
        <v>Nature</v>
      </c>
      <c r="I15" s="3" t="s">
        <v>670</v>
      </c>
      <c r="J15" s="8" t="str">
        <f t="shared" si="12"/>
        <v>class0020</v>
      </c>
      <c r="K15" s="8" t="str">
        <f t="shared" si="12"/>
        <v>dailoneskill0020</v>
      </c>
      <c r="L15" s="5" t="str">
        <f t="shared" si="4"/>
        <v>lootName13,DAIL/items/materia/class0020/Nature13.dbr,</v>
      </c>
      <c r="M15" s="5" t="str">
        <f t="shared" si="5"/>
        <v>lootWeight13,1,</v>
      </c>
      <c r="N15" t="str">
        <f t="shared" si="6"/>
        <v>1</v>
      </c>
      <c r="O15" t="str">
        <f t="shared" si="16"/>
        <v>copy .\dail_base.dbr .\items\materia\class0020\Nature13.dbr /y</v>
      </c>
      <c r="P15" t="str">
        <f t="shared" si="7"/>
        <v>echo relicBitmap,items/craftingparts/components/component_a52_bristlyfur_b.tex, &gt;&gt; .\items\materia\class0020\Nature13.dbr</v>
      </c>
      <c r="Q15" t="str">
        <f t="shared" si="1"/>
        <v>echo itemCost,100000, &gt;&gt; .\items\materia\class0020\Nature13.dbr</v>
      </c>
      <c r="R15" t="str">
        <f t="shared" si="1"/>
        <v>echo description,dailCompDescNature13, &gt;&gt; .\items\materia\class0020\Nature13.dbr</v>
      </c>
      <c r="S15" t="str">
        <f t="shared" si="1"/>
        <v>echo itemText,dailCompTextNature13, &gt;&gt; .\items\materia\class0020\Nature13.dbr</v>
      </c>
      <c r="T15" t="str">
        <f t="shared" si="1"/>
        <v>echo augmentSkillLevel1,1, &gt;&gt; .\items\materia\class0020\Nature13.dbr</v>
      </c>
      <c r="U15" t="str">
        <f t="shared" si="1"/>
        <v>echo augmentSkillName1,records/skillsnature/plague.dbr,, &gt;&gt; .\items\materia\class0020\Nature13.dbr</v>
      </c>
      <c r="V15" s="5" t="s">
        <v>36</v>
      </c>
      <c r="W15" t="str">
        <f t="shared" si="8"/>
        <v>echo lootName13,DAIL/items/materia/class0020/Nature13.dbr, &gt;&gt; .\items\loottables\dailoneskill0020.dbr</v>
      </c>
      <c r="X15" t="str">
        <f t="shared" si="8"/>
        <v>echo lootWeight13,1, &gt;&gt; .\items\loottables\dailoneskill0020.dbr</v>
      </c>
      <c r="Y15" s="5" t="s">
        <v>36</v>
      </c>
      <c r="Z15" t="str">
        <f t="shared" si="9"/>
        <v xml:space="preserve"> dailCompDescNature13=^pNature's Gift of DAIL</v>
      </c>
      <c r="AA15" t="str">
        <f t="shared" si="17"/>
        <v>dailCompTextNature13=^oThis feels warm to the touch, almost familiar ^w(This component fits into all Jewellery slots including the Belt And Shoulder)</v>
      </c>
      <c r="AB15" s="5" t="s">
        <v>36</v>
      </c>
      <c r="AH15">
        <f t="shared" si="19"/>
        <v>10</v>
      </c>
      <c r="AI15">
        <f t="shared" si="13"/>
        <v>18</v>
      </c>
      <c r="AJ15">
        <f t="shared" si="18"/>
        <v>1</v>
      </c>
    </row>
    <row r="16" spans="1:38" x14ac:dyDescent="0.25">
      <c r="A16" s="5" t="s">
        <v>39</v>
      </c>
      <c r="B16" s="5" t="s">
        <v>0</v>
      </c>
      <c r="C16" s="5" t="str">
        <f t="shared" si="0"/>
        <v>description,dailCompDescNature14,</v>
      </c>
      <c r="D16" s="5" t="str">
        <f t="shared" si="2"/>
        <v>itemText,dailCompTextNature14,</v>
      </c>
      <c r="E16" s="5" t="str">
        <f t="shared" si="14"/>
        <v>augmentSkillLevel1,1,</v>
      </c>
      <c r="F16" s="5" t="str">
        <f t="shared" si="15"/>
        <v>augmentSkillName1,records/skillsnature/plague_fatigue.dbr,,</v>
      </c>
      <c r="G16" s="7">
        <f t="shared" si="10"/>
        <v>14</v>
      </c>
      <c r="H16" s="8" t="str">
        <f t="shared" si="11"/>
        <v>Nature</v>
      </c>
      <c r="I16" s="3" t="s">
        <v>671</v>
      </c>
      <c r="J16" s="8" t="str">
        <f t="shared" si="12"/>
        <v>class0020</v>
      </c>
      <c r="K16" s="8" t="str">
        <f t="shared" si="12"/>
        <v>dailoneskill0020</v>
      </c>
      <c r="L16" s="5" t="str">
        <f t="shared" si="4"/>
        <v>lootName14,DAIL/items/materia/class0020/Nature14.dbr,</v>
      </c>
      <c r="M16" s="5" t="str">
        <f t="shared" si="5"/>
        <v>lootWeight14,1,</v>
      </c>
      <c r="N16" t="str">
        <f t="shared" si="6"/>
        <v>1</v>
      </c>
      <c r="O16" t="str">
        <f t="shared" si="16"/>
        <v>copy .\dail_base.dbr .\items\materia\class0020\Nature14.dbr /y</v>
      </c>
      <c r="P16" t="str">
        <f t="shared" si="7"/>
        <v>echo relicBitmap,items/craftingparts/components/component_a52_bristlyfur_b.tex, &gt;&gt; .\items\materia\class0020\Nature14.dbr</v>
      </c>
      <c r="Q16" t="str">
        <f t="shared" si="1"/>
        <v>echo itemCost,100000, &gt;&gt; .\items\materia\class0020\Nature14.dbr</v>
      </c>
      <c r="R16" t="str">
        <f t="shared" si="1"/>
        <v>echo description,dailCompDescNature14, &gt;&gt; .\items\materia\class0020\Nature14.dbr</v>
      </c>
      <c r="S16" t="str">
        <f t="shared" si="1"/>
        <v>echo itemText,dailCompTextNature14, &gt;&gt; .\items\materia\class0020\Nature14.dbr</v>
      </c>
      <c r="T16" t="str">
        <f t="shared" si="1"/>
        <v>echo augmentSkillLevel1,1, &gt;&gt; .\items\materia\class0020\Nature14.dbr</v>
      </c>
      <c r="U16" t="str">
        <f t="shared" si="1"/>
        <v>echo augmentSkillName1,records/skillsnature/plague_fatigue.dbr,, &gt;&gt; .\items\materia\class0020\Nature14.dbr</v>
      </c>
      <c r="V16" s="5" t="s">
        <v>36</v>
      </c>
      <c r="W16" t="str">
        <f t="shared" si="8"/>
        <v>echo lootName14,DAIL/items/materia/class0020/Nature14.dbr, &gt;&gt; .\items\loottables\dailoneskill0020.dbr</v>
      </c>
      <c r="X16" t="str">
        <f t="shared" si="8"/>
        <v>echo lootWeight14,1, &gt;&gt; .\items\loottables\dailoneskill0020.dbr</v>
      </c>
      <c r="Y16" s="5" t="s">
        <v>36</v>
      </c>
      <c r="Z16" t="str">
        <f t="shared" si="9"/>
        <v xml:space="preserve"> dailCompDescNature14=^pNature's Gift of DAIL</v>
      </c>
      <c r="AA16" t="str">
        <f t="shared" si="17"/>
        <v>dailCompTextNature14=^oThis feels warm to the touch, almost familiar ^w(This component fits into all Jewellery slots including the Belt And Shoulder)</v>
      </c>
      <c r="AB16" s="5" t="s">
        <v>36</v>
      </c>
      <c r="AH16">
        <f t="shared" si="19"/>
        <v>11</v>
      </c>
      <c r="AI16">
        <f t="shared" si="13"/>
        <v>26</v>
      </c>
      <c r="AJ16">
        <f t="shared" si="18"/>
        <v>1</v>
      </c>
    </row>
    <row r="17" spans="1:36" x14ac:dyDescent="0.25">
      <c r="A17" s="5" t="s">
        <v>39</v>
      </c>
      <c r="B17" s="5" t="s">
        <v>0</v>
      </c>
      <c r="C17" s="5" t="str">
        <f t="shared" si="0"/>
        <v>description,dailCompDescNature15,</v>
      </c>
      <c r="D17" s="5" t="str">
        <f t="shared" si="2"/>
        <v>itemText,dailCompTextNature15,</v>
      </c>
      <c r="E17" s="5" t="str">
        <f t="shared" si="14"/>
        <v>augmentSkillLevel1,1,</v>
      </c>
      <c r="F17" s="5" t="str">
        <f t="shared" si="15"/>
        <v>augmentSkillName1,records/skillsnature/plague_susceptibility.dbr,,</v>
      </c>
      <c r="G17" s="7">
        <f t="shared" si="10"/>
        <v>15</v>
      </c>
      <c r="H17" s="8" t="str">
        <f t="shared" si="11"/>
        <v>Nature</v>
      </c>
      <c r="I17" s="3" t="s">
        <v>672</v>
      </c>
      <c r="J17" s="8" t="str">
        <f t="shared" si="12"/>
        <v>class0020</v>
      </c>
      <c r="K17" s="8" t="str">
        <f t="shared" si="12"/>
        <v>dailoneskill0020</v>
      </c>
      <c r="L17" s="5" t="str">
        <f t="shared" si="4"/>
        <v>lootName15,DAIL/items/materia/class0020/Nature15.dbr,</v>
      </c>
      <c r="M17" s="5" t="str">
        <f t="shared" si="5"/>
        <v>lootWeight15,1,</v>
      </c>
      <c r="N17" t="str">
        <f t="shared" si="6"/>
        <v>1</v>
      </c>
      <c r="O17" t="str">
        <f t="shared" si="16"/>
        <v>copy .\dail_base.dbr .\items\materia\class0020\Nature15.dbr /y</v>
      </c>
      <c r="P17" t="str">
        <f t="shared" si="7"/>
        <v>echo relicBitmap,items/craftingparts/components/component_a52_bristlyfur_b.tex, &gt;&gt; .\items\materia\class0020\Nature15.dbr</v>
      </c>
      <c r="Q17" t="str">
        <f t="shared" si="1"/>
        <v>echo itemCost,100000, &gt;&gt; .\items\materia\class0020\Nature15.dbr</v>
      </c>
      <c r="R17" t="str">
        <f t="shared" si="1"/>
        <v>echo description,dailCompDescNature15, &gt;&gt; .\items\materia\class0020\Nature15.dbr</v>
      </c>
      <c r="S17" t="str">
        <f t="shared" si="1"/>
        <v>echo itemText,dailCompTextNature15, &gt;&gt; .\items\materia\class0020\Nature15.dbr</v>
      </c>
      <c r="T17" t="str">
        <f t="shared" si="1"/>
        <v>echo augmentSkillLevel1,1, &gt;&gt; .\items\materia\class0020\Nature15.dbr</v>
      </c>
      <c r="U17" t="str">
        <f t="shared" si="1"/>
        <v>echo augmentSkillName1,records/skillsnature/plague_susceptibility.dbr,, &gt;&gt; .\items\materia\class0020\Nature15.dbr</v>
      </c>
      <c r="V17" s="5" t="s">
        <v>36</v>
      </c>
      <c r="W17" t="str">
        <f t="shared" si="8"/>
        <v>echo lootName15,DAIL/items/materia/class0020/Nature15.dbr, &gt;&gt; .\items\loottables\dailoneskill0020.dbr</v>
      </c>
      <c r="X17" t="str">
        <f t="shared" si="8"/>
        <v>echo lootWeight15,1, &gt;&gt; .\items\loottables\dailoneskill0020.dbr</v>
      </c>
      <c r="Y17" s="5" t="s">
        <v>36</v>
      </c>
      <c r="Z17" t="str">
        <f t="shared" si="9"/>
        <v xml:space="preserve"> dailCompDescNature15=^pNature's Gift of DAIL</v>
      </c>
      <c r="AA17" t="str">
        <f t="shared" si="17"/>
        <v>dailCompTextNature15=^oThis feels warm to the touch, almost familiar ^w(This component fits into all Jewellery slots including the Belt And Shoulder)</v>
      </c>
      <c r="AB17" s="5" t="s">
        <v>36</v>
      </c>
      <c r="AH17">
        <f t="shared" si="19"/>
        <v>12</v>
      </c>
      <c r="AI17">
        <f t="shared" si="13"/>
        <v>33</v>
      </c>
      <c r="AJ17">
        <f t="shared" si="18"/>
        <v>1</v>
      </c>
    </row>
    <row r="18" spans="1:36" x14ac:dyDescent="0.25">
      <c r="A18" s="5" t="s">
        <v>39</v>
      </c>
      <c r="B18" s="5" t="s">
        <v>0</v>
      </c>
      <c r="C18" s="5" t="str">
        <f t="shared" si="0"/>
        <v>description,dailCompDescNature16,</v>
      </c>
      <c r="D18" s="5" t="str">
        <f t="shared" si="2"/>
        <v>itemText,dailCompTextNature16,</v>
      </c>
      <c r="E18" s="5" t="str">
        <f t="shared" si="14"/>
        <v>augmentSkillLevel1,1,</v>
      </c>
      <c r="F18" s="5" t="str">
        <f t="shared" si="15"/>
        <v>augmentSkillName1,records/skillsnature/wolfsummons.dbr,,</v>
      </c>
      <c r="G18" s="7">
        <f t="shared" si="10"/>
        <v>16</v>
      </c>
      <c r="H18" s="8" t="str">
        <f t="shared" si="11"/>
        <v>Nature</v>
      </c>
      <c r="I18" s="3" t="s">
        <v>673</v>
      </c>
      <c r="J18" s="8" t="str">
        <f t="shared" si="12"/>
        <v>class0020</v>
      </c>
      <c r="K18" s="8" t="str">
        <f t="shared" si="12"/>
        <v>dailoneskill0020</v>
      </c>
      <c r="L18" s="5" t="str">
        <f t="shared" si="4"/>
        <v>lootName16,DAIL/items/materia/class0020/Nature16.dbr,</v>
      </c>
      <c r="M18" s="5" t="str">
        <f t="shared" si="5"/>
        <v>lootWeight16,1,</v>
      </c>
      <c r="N18" t="str">
        <f t="shared" si="6"/>
        <v>1</v>
      </c>
      <c r="O18" t="str">
        <f t="shared" si="16"/>
        <v>copy .\dail_base.dbr .\items\materia\class0020\Nature16.dbr /y</v>
      </c>
      <c r="P18" t="str">
        <f t="shared" si="7"/>
        <v>echo relicBitmap,items/craftingparts/components/component_a52_bristlyfur_b.tex, &gt;&gt; .\items\materia\class0020\Nature16.dbr</v>
      </c>
      <c r="Q18" t="str">
        <f t="shared" si="1"/>
        <v>echo itemCost,100000, &gt;&gt; .\items\materia\class0020\Nature16.dbr</v>
      </c>
      <c r="R18" t="str">
        <f t="shared" si="1"/>
        <v>echo description,dailCompDescNature16, &gt;&gt; .\items\materia\class0020\Nature16.dbr</v>
      </c>
      <c r="S18" t="str">
        <f t="shared" si="1"/>
        <v>echo itemText,dailCompTextNature16, &gt;&gt; .\items\materia\class0020\Nature16.dbr</v>
      </c>
      <c r="T18" t="str">
        <f t="shared" si="1"/>
        <v>echo augmentSkillLevel1,1, &gt;&gt; .\items\materia\class0020\Nature16.dbr</v>
      </c>
      <c r="U18" t="str">
        <f t="shared" si="1"/>
        <v>echo augmentSkillName1,records/skillsnature/wolfsummons.dbr,, &gt;&gt; .\items\materia\class0020\Nature16.dbr</v>
      </c>
      <c r="V18" s="5" t="s">
        <v>36</v>
      </c>
      <c r="W18" t="str">
        <f t="shared" si="8"/>
        <v>echo lootName16,DAIL/items/materia/class0020/Nature16.dbr, &gt;&gt; .\items\loottables\dailoneskill0020.dbr</v>
      </c>
      <c r="X18" t="str">
        <f t="shared" si="8"/>
        <v>echo lootWeight16,1, &gt;&gt; .\items\loottables\dailoneskill0020.dbr</v>
      </c>
      <c r="Y18" s="5" t="s">
        <v>36</v>
      </c>
      <c r="Z18" t="str">
        <f t="shared" si="9"/>
        <v xml:space="preserve"> dailCompDescNature16=^pNature's Gift of DAIL</v>
      </c>
      <c r="AA18" t="str">
        <f t="shared" si="17"/>
        <v>dailCompTextNature16=^oThis feels warm to the touch, almost familiar ^w(This component fits into all Jewellery slots including the Belt And Shoulder)</v>
      </c>
      <c r="AB18" s="5" t="s">
        <v>36</v>
      </c>
      <c r="AH18">
        <f t="shared" si="19"/>
        <v>13</v>
      </c>
      <c r="AI18">
        <f t="shared" si="13"/>
        <v>23</v>
      </c>
      <c r="AJ18">
        <f t="shared" si="18"/>
        <v>1</v>
      </c>
    </row>
    <row r="19" spans="1:36" x14ac:dyDescent="0.25">
      <c r="A19" s="5" t="s">
        <v>39</v>
      </c>
      <c r="B19" s="5" t="s">
        <v>28</v>
      </c>
      <c r="C19" s="5" t="str">
        <f t="shared" si="0"/>
        <v>description,dailCompDescNature17,</v>
      </c>
      <c r="D19" s="5" t="str">
        <f t="shared" si="2"/>
        <v>itemText,dailCompTextNature17,</v>
      </c>
      <c r="E19" s="5" t="str">
        <f t="shared" si="14"/>
        <v>augmentSkillLevel1,1,</v>
      </c>
      <c r="F19" s="5" t="str">
        <f t="shared" si="15"/>
        <v>augmentSkillName1,records/skillsnature/wolf_petmodifer_maul.dbr,,</v>
      </c>
      <c r="G19" s="7">
        <f t="shared" si="10"/>
        <v>17</v>
      </c>
      <c r="H19" s="8" t="str">
        <f t="shared" si="11"/>
        <v>Nature</v>
      </c>
      <c r="I19" s="3" t="s">
        <v>674</v>
      </c>
      <c r="J19" s="8" t="str">
        <f t="shared" si="12"/>
        <v>class0020</v>
      </c>
      <c r="K19" s="8" t="str">
        <f t="shared" si="12"/>
        <v>dailoneskill0020</v>
      </c>
      <c r="L19" s="5" t="str">
        <f t="shared" si="4"/>
        <v>lootName17,DAIL/items/materia/class0020/Nature17.dbr,</v>
      </c>
      <c r="M19" s="5" t="str">
        <f t="shared" si="5"/>
        <v>lootWeight17,1,</v>
      </c>
      <c r="N19" t="str">
        <f t="shared" si="6"/>
        <v>1</v>
      </c>
      <c r="O19" t="str">
        <f t="shared" si="16"/>
        <v>copy .\dail_base.dbr .\items\materia\class0020\Nature17.dbr /y</v>
      </c>
      <c r="P19" t="str">
        <f t="shared" si="7"/>
        <v>echo relicBitmap,items/craftingparts/components/component_a52_bristlyfur_b.tex, &gt;&gt; .\items\materia\class0020\Nature17.dbr</v>
      </c>
      <c r="Q19" t="str">
        <f t="shared" si="7"/>
        <v>echo itemCost,300000, &gt;&gt; .\items\materia\class0020\Nature17.dbr</v>
      </c>
      <c r="R19" t="str">
        <f t="shared" si="7"/>
        <v>echo description,dailCompDescNature17, &gt;&gt; .\items\materia\class0020\Nature17.dbr</v>
      </c>
      <c r="S19" t="str">
        <f t="shared" si="7"/>
        <v>echo itemText,dailCompTextNature17, &gt;&gt; .\items\materia\class0020\Nature17.dbr</v>
      </c>
      <c r="T19" t="str">
        <f t="shared" si="7"/>
        <v>echo augmentSkillLevel1,1, &gt;&gt; .\items\materia\class0020\Nature17.dbr</v>
      </c>
      <c r="U19" t="str">
        <f t="shared" si="7"/>
        <v>echo augmentSkillName1,records/skillsnature/wolf_petmodifer_maul.dbr,, &gt;&gt; .\items\materia\class0020\Nature17.dbr</v>
      </c>
      <c r="V19" s="5" t="s">
        <v>36</v>
      </c>
      <c r="W19" t="str">
        <f t="shared" si="8"/>
        <v>echo lootName17,DAIL/items/materia/class0020/Nature17.dbr, &gt;&gt; .\items\loottables\dailoneskill0020.dbr</v>
      </c>
      <c r="X19" t="str">
        <f t="shared" si="8"/>
        <v>echo lootWeight17,1, &gt;&gt; .\items\loottables\dailoneskill0020.dbr</v>
      </c>
      <c r="Y19" s="5" t="s">
        <v>36</v>
      </c>
      <c r="Z19" t="str">
        <f t="shared" si="9"/>
        <v xml:space="preserve"> dailCompDescNature17=^pNature's Gift of DAIL</v>
      </c>
      <c r="AA19" t="str">
        <f t="shared" si="17"/>
        <v>dailCompTextNature17=^oThis feels warm to the touch, almost familiar ^w(This component fits into all Jewellery slots including the Belt And Shoulder)</v>
      </c>
      <c r="AB19" s="5" t="s">
        <v>36</v>
      </c>
      <c r="AH19">
        <f t="shared" si="19"/>
        <v>14</v>
      </c>
      <c r="AI19">
        <f t="shared" si="13"/>
        <v>32</v>
      </c>
      <c r="AJ19">
        <f t="shared" si="18"/>
        <v>1</v>
      </c>
    </row>
    <row r="20" spans="1:36" x14ac:dyDescent="0.25">
      <c r="A20" s="5" t="s">
        <v>39</v>
      </c>
      <c r="B20" s="5" t="s">
        <v>28</v>
      </c>
      <c r="C20" s="5" t="str">
        <f t="shared" si="0"/>
        <v>description,dailCompDescNature18,</v>
      </c>
      <c r="D20" s="5" t="str">
        <f t="shared" si="2"/>
        <v>itemText,dailCompTextNature18,</v>
      </c>
      <c r="E20" s="5" t="str">
        <f t="shared" si="14"/>
        <v>augmentSkillLevel1,1,</v>
      </c>
      <c r="F20" s="5" t="str">
        <f t="shared" si="15"/>
        <v>augmentSkillName1,records/skillsnature/wolf_petmodifer_survivalinstinct.dbr,,</v>
      </c>
      <c r="G20" s="7">
        <f t="shared" si="10"/>
        <v>18</v>
      </c>
      <c r="H20" s="8" t="str">
        <f t="shared" si="11"/>
        <v>Nature</v>
      </c>
      <c r="I20" s="3" t="s">
        <v>675</v>
      </c>
      <c r="J20" s="8" t="str">
        <f t="shared" si="12"/>
        <v>class0020</v>
      </c>
      <c r="K20" s="8" t="str">
        <f t="shared" si="12"/>
        <v>dailoneskill0020</v>
      </c>
      <c r="L20" s="5" t="str">
        <f t="shared" si="4"/>
        <v>lootName18,DAIL/items/materia/class0020/Nature18.dbr,</v>
      </c>
      <c r="M20" s="5" t="str">
        <f t="shared" si="5"/>
        <v>lootWeight18,1,</v>
      </c>
      <c r="N20" t="str">
        <f t="shared" si="6"/>
        <v>1</v>
      </c>
      <c r="O20" t="str">
        <f t="shared" si="16"/>
        <v>copy .\dail_base.dbr .\items\materia\class0020\Nature18.dbr /y</v>
      </c>
      <c r="P20" t="str">
        <f t="shared" si="7"/>
        <v>echo relicBitmap,items/craftingparts/components/component_a52_bristlyfur_b.tex, &gt;&gt; .\items\materia\class0020\Nature18.dbr</v>
      </c>
      <c r="Q20" t="str">
        <f t="shared" si="7"/>
        <v>echo itemCost,300000, &gt;&gt; .\items\materia\class0020\Nature18.dbr</v>
      </c>
      <c r="R20" t="str">
        <f t="shared" si="7"/>
        <v>echo description,dailCompDescNature18, &gt;&gt; .\items\materia\class0020\Nature18.dbr</v>
      </c>
      <c r="S20" t="str">
        <f t="shared" si="7"/>
        <v>echo itemText,dailCompTextNature18, &gt;&gt; .\items\materia\class0020\Nature18.dbr</v>
      </c>
      <c r="T20" t="str">
        <f t="shared" si="7"/>
        <v>echo augmentSkillLevel1,1, &gt;&gt; .\items\materia\class0020\Nature18.dbr</v>
      </c>
      <c r="U20" t="str">
        <f t="shared" si="7"/>
        <v>echo augmentSkillName1,records/skillsnature/wolf_petmodifer_survivalinstinct.dbr,, &gt;&gt; .\items\materia\class0020\Nature18.dbr</v>
      </c>
      <c r="V20" s="5" t="s">
        <v>36</v>
      </c>
      <c r="W20" t="str">
        <f t="shared" si="8"/>
        <v>echo lootName18,DAIL/items/materia/class0020/Nature18.dbr, &gt;&gt; .\items\loottables\dailoneskill0020.dbr</v>
      </c>
      <c r="X20" t="str">
        <f t="shared" si="8"/>
        <v>echo lootWeight18,1, &gt;&gt; .\items\loottables\dailoneskill0020.dbr</v>
      </c>
      <c r="Y20" s="5" t="s">
        <v>36</v>
      </c>
      <c r="Z20" t="str">
        <f t="shared" si="9"/>
        <v xml:space="preserve"> dailCompDescNature18=^pNature's Gift of DAIL</v>
      </c>
      <c r="AA20" t="str">
        <f t="shared" si="17"/>
        <v>dailCompTextNature18=^oThis feels warm to the touch, almost familiar ^w(This component fits into all Jewellery slots including the Belt And Shoulder)</v>
      </c>
      <c r="AB20" s="5" t="s">
        <v>36</v>
      </c>
      <c r="AH20">
        <f t="shared" si="19"/>
        <v>15</v>
      </c>
      <c r="AI20">
        <f t="shared" si="13"/>
        <v>44</v>
      </c>
      <c r="AJ20">
        <f t="shared" si="18"/>
        <v>1</v>
      </c>
    </row>
    <row r="21" spans="1:36" x14ac:dyDescent="0.25">
      <c r="A21" s="5" t="s">
        <v>39</v>
      </c>
      <c r="B21" s="5" t="s">
        <v>28</v>
      </c>
      <c r="C21" s="5" t="str">
        <f t="shared" si="0"/>
        <v>description,dailCompDescNature19,</v>
      </c>
      <c r="D21" s="5" t="str">
        <f t="shared" si="2"/>
        <v>itemText,dailCompTextNature19,</v>
      </c>
      <c r="E21" s="5" t="str">
        <f t="shared" si="14"/>
        <v>augmentSkillLevel1,1,</v>
      </c>
      <c r="F21" s="5" t="str">
        <f t="shared" si="15"/>
        <v>augmentSkillName1,records/skillsnature/wolf_petmodifier_strengthofthepack.dbr,,</v>
      </c>
      <c r="G21" s="7">
        <f t="shared" si="10"/>
        <v>19</v>
      </c>
      <c r="H21" s="8" t="str">
        <f t="shared" si="11"/>
        <v>Nature</v>
      </c>
      <c r="I21" s="3" t="s">
        <v>676</v>
      </c>
      <c r="J21" s="8" t="str">
        <f t="shared" ref="J21:K36" si="20">J20</f>
        <v>class0020</v>
      </c>
      <c r="K21" s="8" t="str">
        <f t="shared" si="20"/>
        <v>dailoneskill0020</v>
      </c>
      <c r="L21" s="5" t="str">
        <f t="shared" si="4"/>
        <v>lootName19,DAIL/items/materia/class0020/Nature19.dbr,</v>
      </c>
      <c r="M21" s="5" t="str">
        <f t="shared" si="5"/>
        <v>lootWeight19,1,</v>
      </c>
      <c r="N21" t="str">
        <f t="shared" si="6"/>
        <v>1</v>
      </c>
      <c r="O21" t="str">
        <f t="shared" si="16"/>
        <v>copy .\dail_base.dbr .\items\materia\class0020\Nature19.dbr /y</v>
      </c>
      <c r="P21" t="str">
        <f t="shared" si="7"/>
        <v>echo relicBitmap,items/craftingparts/components/component_a52_bristlyfur_b.tex, &gt;&gt; .\items\materia\class0020\Nature19.dbr</v>
      </c>
      <c r="Q21" t="str">
        <f t="shared" si="7"/>
        <v>echo itemCost,300000, &gt;&gt; .\items\materia\class0020\Nature19.dbr</v>
      </c>
      <c r="R21" t="str">
        <f t="shared" si="7"/>
        <v>echo description,dailCompDescNature19, &gt;&gt; .\items\materia\class0020\Nature19.dbr</v>
      </c>
      <c r="S21" t="str">
        <f t="shared" si="7"/>
        <v>echo itemText,dailCompTextNature19, &gt;&gt; .\items\materia\class0020\Nature19.dbr</v>
      </c>
      <c r="T21" t="str">
        <f t="shared" si="7"/>
        <v>echo augmentSkillLevel1,1, &gt;&gt; .\items\materia\class0020\Nature19.dbr</v>
      </c>
      <c r="U21" t="str">
        <f t="shared" si="7"/>
        <v>echo augmentSkillName1,records/skillsnature/wolf_petmodifier_strengthofthepack.dbr,, &gt;&gt; .\items\materia\class0020\Nature19.dbr</v>
      </c>
      <c r="V21" s="5" t="s">
        <v>36</v>
      </c>
      <c r="W21" t="str">
        <f t="shared" si="8"/>
        <v>echo lootName19,DAIL/items/materia/class0020/Nature19.dbr, &gt;&gt; .\items\loottables\dailoneskill0020.dbr</v>
      </c>
      <c r="X21" t="str">
        <f t="shared" si="8"/>
        <v>echo lootWeight19,1, &gt;&gt; .\items\loottables\dailoneskill0020.dbr</v>
      </c>
      <c r="Y21" s="5" t="s">
        <v>36</v>
      </c>
      <c r="Z21" t="str">
        <f t="shared" si="9"/>
        <v xml:space="preserve"> dailCompDescNature19=^pNature's Gift of DAIL</v>
      </c>
      <c r="AA21" t="str">
        <f t="shared" si="17"/>
        <v>dailCompTextNature19=^oThis feels warm to the touch, almost familiar ^w(This component fits into all Jewellery slots including the Belt And Shoulder)</v>
      </c>
      <c r="AB21" s="5" t="s">
        <v>36</v>
      </c>
      <c r="AH21">
        <f t="shared" si="19"/>
        <v>16</v>
      </c>
      <c r="AI21">
        <f t="shared" si="13"/>
        <v>46</v>
      </c>
      <c r="AJ21">
        <f t="shared" si="18"/>
        <v>1</v>
      </c>
    </row>
    <row r="22" spans="1:36" x14ac:dyDescent="0.25">
      <c r="A22" s="5" t="s">
        <v>39</v>
      </c>
      <c r="B22" s="5" t="s">
        <v>28</v>
      </c>
      <c r="C22" s="5" t="str">
        <f t="shared" si="0"/>
        <v>description,dailCompDescNature20,</v>
      </c>
      <c r="D22" s="5" t="str">
        <f t="shared" si="2"/>
        <v>itemText,dailCompTextNature20,</v>
      </c>
      <c r="E22" s="5" t="str">
        <f t="shared" si="14"/>
        <v>augmentSkillLevel1,1,</v>
      </c>
      <c r="F22" s="5" t="str">
        <f t="shared" si="15"/>
        <v>augmentSkillName1,records/skillsnature/sylvannymphsummons.dbr,,</v>
      </c>
      <c r="G22" s="7">
        <f t="shared" si="10"/>
        <v>20</v>
      </c>
      <c r="H22" s="8" t="str">
        <f t="shared" si="11"/>
        <v>Nature</v>
      </c>
      <c r="I22" s="3" t="s">
        <v>677</v>
      </c>
      <c r="J22" s="8" t="str">
        <f t="shared" si="20"/>
        <v>class0020</v>
      </c>
      <c r="K22" s="8" t="str">
        <f t="shared" si="20"/>
        <v>dailoneskill0020</v>
      </c>
      <c r="L22" s="5" t="str">
        <f t="shared" si="4"/>
        <v>lootName20,DAIL/items/materia/class0020/Nature20.dbr,</v>
      </c>
      <c r="M22" s="5" t="str">
        <f t="shared" si="5"/>
        <v>lootWeight20,1,</v>
      </c>
      <c r="N22" t="str">
        <f t="shared" si="6"/>
        <v>1</v>
      </c>
      <c r="O22" t="str">
        <f t="shared" si="16"/>
        <v>copy .\dail_base.dbr .\items\materia\class0020\Nature20.dbr /y</v>
      </c>
      <c r="P22" t="str">
        <f t="shared" si="7"/>
        <v>echo relicBitmap,items/craftingparts/components/component_a52_bristlyfur_b.tex, &gt;&gt; .\items\materia\class0020\Nature20.dbr</v>
      </c>
      <c r="Q22" t="str">
        <f t="shared" si="7"/>
        <v>echo itemCost,300000, &gt;&gt; .\items\materia\class0020\Nature20.dbr</v>
      </c>
      <c r="R22" t="str">
        <f t="shared" si="7"/>
        <v>echo description,dailCompDescNature20, &gt;&gt; .\items\materia\class0020\Nature20.dbr</v>
      </c>
      <c r="S22" t="str">
        <f t="shared" si="7"/>
        <v>echo itemText,dailCompTextNature20, &gt;&gt; .\items\materia\class0020\Nature20.dbr</v>
      </c>
      <c r="T22" t="str">
        <f t="shared" si="7"/>
        <v>echo augmentSkillLevel1,1, &gt;&gt; .\items\materia\class0020\Nature20.dbr</v>
      </c>
      <c r="U22" t="str">
        <f t="shared" si="7"/>
        <v>echo augmentSkillName1,records/skillsnature/sylvannymphsummons.dbr,, &gt;&gt; .\items\materia\class0020\Nature20.dbr</v>
      </c>
      <c r="V22" s="5" t="s">
        <v>36</v>
      </c>
      <c r="W22" t="str">
        <f t="shared" si="8"/>
        <v>echo lootName20,DAIL/items/materia/class0020/Nature20.dbr, &gt;&gt; .\items\loottables\dailoneskill0020.dbr</v>
      </c>
      <c r="X22" t="str">
        <f t="shared" si="8"/>
        <v>echo lootWeight20,1, &gt;&gt; .\items\loottables\dailoneskill0020.dbr</v>
      </c>
      <c r="Y22" s="5" t="s">
        <v>36</v>
      </c>
      <c r="Z22" t="str">
        <f t="shared" si="9"/>
        <v xml:space="preserve"> dailCompDescNature20=^pNature's Gift of DAIL</v>
      </c>
      <c r="AA22" t="str">
        <f t="shared" si="17"/>
        <v>dailCompTextNature20=^oThis feels warm to the touch, almost familiar ^w(This component fits into all Jewellery slots including the Belt And Shoulder)</v>
      </c>
      <c r="AB22" s="5" t="s">
        <v>36</v>
      </c>
      <c r="AH22">
        <f t="shared" si="19"/>
        <v>17</v>
      </c>
      <c r="AI22">
        <f t="shared" si="13"/>
        <v>30</v>
      </c>
      <c r="AJ22">
        <f t="shared" si="18"/>
        <v>1</v>
      </c>
    </row>
    <row r="23" spans="1:36" x14ac:dyDescent="0.25">
      <c r="A23" s="5" t="s">
        <v>39</v>
      </c>
      <c r="B23" s="5" t="s">
        <v>28</v>
      </c>
      <c r="C23" s="5" t="str">
        <f t="shared" si="0"/>
        <v>description,dailCompDescNature21,</v>
      </c>
      <c r="D23" s="5" t="str">
        <f t="shared" si="2"/>
        <v>itemText,dailCompTextNature21,</v>
      </c>
      <c r="E23" s="5" t="str">
        <f t="shared" si="14"/>
        <v>augmentSkillLevel1,1,</v>
      </c>
      <c r="F23" s="5" t="str">
        <f t="shared" si="15"/>
        <v>augmentSkillName1,records/skillsnature/sylvannymph_petmodifier_overgrowth.dbr,,</v>
      </c>
      <c r="G23" s="7">
        <f t="shared" si="10"/>
        <v>21</v>
      </c>
      <c r="H23" s="8" t="str">
        <f t="shared" si="11"/>
        <v>Nature</v>
      </c>
      <c r="I23" s="3" t="s">
        <v>678</v>
      </c>
      <c r="J23" s="8" t="str">
        <f t="shared" si="20"/>
        <v>class0020</v>
      </c>
      <c r="K23" s="8" t="str">
        <f t="shared" si="20"/>
        <v>dailoneskill0020</v>
      </c>
      <c r="L23" s="5" t="str">
        <f t="shared" si="4"/>
        <v>lootName21,DAIL/items/materia/class0020/Nature21.dbr,</v>
      </c>
      <c r="M23" s="5" t="str">
        <f t="shared" si="5"/>
        <v>lootWeight21,1,</v>
      </c>
      <c r="N23" t="str">
        <f t="shared" si="6"/>
        <v>1</v>
      </c>
      <c r="O23" t="str">
        <f t="shared" si="16"/>
        <v>copy .\dail_base.dbr .\items\materia\class0020\Nature21.dbr /y</v>
      </c>
      <c r="P23" t="str">
        <f t="shared" si="7"/>
        <v>echo relicBitmap,items/craftingparts/components/component_a52_bristlyfur_b.tex, &gt;&gt; .\items\materia\class0020\Nature21.dbr</v>
      </c>
      <c r="Q23" t="str">
        <f t="shared" si="7"/>
        <v>echo itemCost,300000, &gt;&gt; .\items\materia\class0020\Nature21.dbr</v>
      </c>
      <c r="R23" t="str">
        <f t="shared" si="7"/>
        <v>echo description,dailCompDescNature21, &gt;&gt; .\items\materia\class0020\Nature21.dbr</v>
      </c>
      <c r="S23" t="str">
        <f t="shared" si="7"/>
        <v>echo itemText,dailCompTextNature21, &gt;&gt; .\items\materia\class0020\Nature21.dbr</v>
      </c>
      <c r="T23" t="str">
        <f t="shared" si="7"/>
        <v>echo augmentSkillLevel1,1, &gt;&gt; .\items\materia\class0020\Nature21.dbr</v>
      </c>
      <c r="U23" t="str">
        <f t="shared" si="7"/>
        <v>echo augmentSkillName1,records/skillsnature/sylvannymph_petmodifier_overgrowth.dbr,, &gt;&gt; .\items\materia\class0020\Nature21.dbr</v>
      </c>
      <c r="V23" s="5" t="s">
        <v>36</v>
      </c>
      <c r="W23" t="str">
        <f t="shared" si="8"/>
        <v>echo lootName21,DAIL/items/materia/class0020/Nature21.dbr, &gt;&gt; .\items\loottables\dailoneskill0020.dbr</v>
      </c>
      <c r="X23" t="str">
        <f t="shared" si="8"/>
        <v>echo lootWeight21,1, &gt;&gt; .\items\loottables\dailoneskill0020.dbr</v>
      </c>
      <c r="Y23" s="5" t="s">
        <v>36</v>
      </c>
      <c r="Z23" t="str">
        <f t="shared" si="9"/>
        <v xml:space="preserve"> dailCompDescNature21=^pNature's Gift of DAIL</v>
      </c>
      <c r="AA23" t="str">
        <f t="shared" si="17"/>
        <v>dailCompTextNature21=^oThis feels warm to the touch, almost familiar ^w(This component fits into all Jewellery slots including the Belt And Shoulder)</v>
      </c>
      <c r="AB23" s="5" t="s">
        <v>36</v>
      </c>
      <c r="AH23">
        <f t="shared" si="19"/>
        <v>18</v>
      </c>
      <c r="AI23">
        <f t="shared" si="13"/>
        <v>46</v>
      </c>
      <c r="AJ23">
        <f t="shared" si="18"/>
        <v>1</v>
      </c>
    </row>
    <row r="24" spans="1:36" x14ac:dyDescent="0.25">
      <c r="A24" s="5" t="s">
        <v>39</v>
      </c>
      <c r="B24" s="5" t="s">
        <v>28</v>
      </c>
      <c r="C24" s="5" t="str">
        <f t="shared" si="0"/>
        <v>description,dailCompDescNature22,</v>
      </c>
      <c r="D24" s="5" t="str">
        <f t="shared" si="2"/>
        <v>itemText,dailCompTextNature22,</v>
      </c>
      <c r="E24" s="5" t="str">
        <f t="shared" si="14"/>
        <v>augmentSkillLevel1,1,</v>
      </c>
      <c r="F24" s="5" t="str">
        <f t="shared" si="15"/>
        <v>augmentSkillName1,records/skillsnature/sylvannymph_petmodifier_nature'swrath.dbr,,</v>
      </c>
      <c r="G24" s="7">
        <f t="shared" si="10"/>
        <v>22</v>
      </c>
      <c r="H24" s="8" t="str">
        <f t="shared" si="11"/>
        <v>Nature</v>
      </c>
      <c r="I24" s="3" t="s">
        <v>679</v>
      </c>
      <c r="J24" s="8" t="str">
        <f t="shared" si="20"/>
        <v>class0020</v>
      </c>
      <c r="K24" s="8" t="str">
        <f t="shared" si="20"/>
        <v>dailoneskill0020</v>
      </c>
      <c r="L24" s="5" t="str">
        <f t="shared" si="4"/>
        <v>lootName22,DAIL/items/materia/class0020/Nature22.dbr,</v>
      </c>
      <c r="M24" s="5" t="str">
        <f t="shared" si="5"/>
        <v>lootWeight22,1,</v>
      </c>
      <c r="N24" t="str">
        <f t="shared" si="6"/>
        <v>1</v>
      </c>
      <c r="O24" t="str">
        <f t="shared" si="16"/>
        <v>copy .\dail_base.dbr .\items\materia\class0020\Nature22.dbr /y</v>
      </c>
      <c r="P24" t="str">
        <f t="shared" si="7"/>
        <v>echo relicBitmap,items/craftingparts/components/component_a52_bristlyfur_b.tex, &gt;&gt; .\items\materia\class0020\Nature22.dbr</v>
      </c>
      <c r="Q24" t="str">
        <f t="shared" si="7"/>
        <v>echo itemCost,300000, &gt;&gt; .\items\materia\class0020\Nature22.dbr</v>
      </c>
      <c r="R24" t="str">
        <f t="shared" si="7"/>
        <v>echo description,dailCompDescNature22, &gt;&gt; .\items\materia\class0020\Nature22.dbr</v>
      </c>
      <c r="S24" t="str">
        <f t="shared" si="7"/>
        <v>echo itemText,dailCompTextNature22, &gt;&gt; .\items\materia\class0020\Nature22.dbr</v>
      </c>
      <c r="T24" t="str">
        <f t="shared" si="7"/>
        <v>echo augmentSkillLevel1,1, &gt;&gt; .\items\materia\class0020\Nature22.dbr</v>
      </c>
      <c r="U24" t="str">
        <f t="shared" si="7"/>
        <v>echo augmentSkillName1,records/skillsnature/sylvannymph_petmodifier_nature'swrath.dbr,, &gt;&gt; .\items\materia\class0020\Nature22.dbr</v>
      </c>
      <c r="V24" s="5" t="s">
        <v>36</v>
      </c>
      <c r="W24" t="str">
        <f t="shared" si="8"/>
        <v>echo lootName22,DAIL/items/materia/class0020/Nature22.dbr, &gt;&gt; .\items\loottables\dailoneskill0020.dbr</v>
      </c>
      <c r="X24" t="str">
        <f t="shared" si="8"/>
        <v>echo lootWeight22,1, &gt;&gt; .\items\loottables\dailoneskill0020.dbr</v>
      </c>
      <c r="Y24" s="5" t="s">
        <v>36</v>
      </c>
      <c r="Z24" t="str">
        <f t="shared" si="9"/>
        <v xml:space="preserve"> dailCompDescNature22=^pNature's Gift of DAIL</v>
      </c>
      <c r="AA24" t="str">
        <f t="shared" si="17"/>
        <v>dailCompTextNature22=^oThis feels warm to the touch, almost familiar ^w(This component fits into all Jewellery slots including the Belt And Shoulder)</v>
      </c>
      <c r="AB24" s="5" t="s">
        <v>36</v>
      </c>
      <c r="AH24">
        <f t="shared" si="19"/>
        <v>19</v>
      </c>
      <c r="AI24">
        <f t="shared" si="13"/>
        <v>49</v>
      </c>
      <c r="AJ24">
        <f t="shared" si="18"/>
        <v>1</v>
      </c>
    </row>
    <row r="25" spans="1:36" x14ac:dyDescent="0.25">
      <c r="A25" s="5" t="s">
        <v>39</v>
      </c>
      <c r="B25" s="5" t="s">
        <v>28</v>
      </c>
      <c r="C25" s="5" t="str">
        <f t="shared" si="0"/>
        <v>description,dailCompDescNature23,</v>
      </c>
      <c r="D25" s="5" t="str">
        <f t="shared" si="2"/>
        <v>itemText,dailCompTextNature23,</v>
      </c>
      <c r="E25" s="5" t="str">
        <f t="shared" si="14"/>
        <v>augmentSkillLevel1,3,</v>
      </c>
      <c r="F25" s="5" t="str">
        <f t="shared" si="15"/>
        <v>augmentSkillName1,records/skillsnature/renewal.dbr,,</v>
      </c>
      <c r="G25" s="7">
        <f t="shared" si="10"/>
        <v>23</v>
      </c>
      <c r="H25" s="8" t="str">
        <f t="shared" si="11"/>
        <v>Nature</v>
      </c>
      <c r="I25" s="3" t="s">
        <v>680</v>
      </c>
      <c r="J25" s="8" t="str">
        <f t="shared" si="20"/>
        <v>class0020</v>
      </c>
      <c r="K25" s="8" t="str">
        <f t="shared" si="20"/>
        <v>dailoneskill0020</v>
      </c>
      <c r="L25" s="5" t="str">
        <f t="shared" si="4"/>
        <v>lootName23,DAIL/items/materia/class0020/Nature23.dbr,</v>
      </c>
      <c r="M25" s="5" t="str">
        <f t="shared" si="5"/>
        <v>lootWeight23,1,</v>
      </c>
      <c r="N25" t="str">
        <f t="shared" si="6"/>
        <v>3</v>
      </c>
      <c r="O25" t="str">
        <f t="shared" si="16"/>
        <v>copy .\dail_base3.dbr .\items\materia\class0020\Nature23.dbr /y</v>
      </c>
      <c r="P25" t="str">
        <f t="shared" si="7"/>
        <v>echo relicBitmap,items/craftingparts/components/component_a52_bristlyfur_b.tex, &gt;&gt; .\items\materia\class0020\Nature23.dbr</v>
      </c>
      <c r="Q25" t="str">
        <f t="shared" si="7"/>
        <v>echo itemCost,300000, &gt;&gt; .\items\materia\class0020\Nature23.dbr</v>
      </c>
      <c r="R25" t="str">
        <f t="shared" si="7"/>
        <v>echo description,dailCompDescNature23, &gt;&gt; .\items\materia\class0020\Nature23.dbr</v>
      </c>
      <c r="S25" t="str">
        <f t="shared" si="7"/>
        <v>echo itemText,dailCompTextNature23, &gt;&gt; .\items\materia\class0020\Nature23.dbr</v>
      </c>
      <c r="T25" t="str">
        <f t="shared" si="7"/>
        <v>echo augmentSkillLevel1,3, &gt;&gt; .\items\materia\class0020\Nature23.dbr</v>
      </c>
      <c r="U25" t="str">
        <f t="shared" si="7"/>
        <v>echo augmentSkillName1,records/skillsnature/renewal.dbr,, &gt;&gt; .\items\materia\class0020\Nature23.dbr</v>
      </c>
      <c r="V25" s="5" t="s">
        <v>36</v>
      </c>
      <c r="W25" t="str">
        <f t="shared" si="8"/>
        <v>echo lootName23,DAIL/items/materia/class0020/Nature23.dbr, &gt;&gt; .\items\loottables\dailoneskill0020.dbr</v>
      </c>
      <c r="X25" t="str">
        <f t="shared" si="8"/>
        <v>echo lootWeight23,1, &gt;&gt; .\items\loottables\dailoneskill0020.dbr</v>
      </c>
      <c r="Y25" s="5" t="s">
        <v>36</v>
      </c>
      <c r="Z25" t="str">
        <f t="shared" si="9"/>
        <v xml:space="preserve"> dailCompDescNature23=^pNature's Gift of DAIL</v>
      </c>
      <c r="AA25" t="str">
        <f t="shared" si="17"/>
        <v>dailCompTextNature23=^oThis feels warm to the touch, almost familiar ^w(This component only fits into the Medal Slot)</v>
      </c>
      <c r="AB25" s="5" t="s">
        <v>36</v>
      </c>
      <c r="AH25">
        <f t="shared" si="19"/>
        <v>20</v>
      </c>
      <c r="AI25">
        <f t="shared" si="13"/>
        <v>19</v>
      </c>
      <c r="AJ25">
        <f t="shared" si="18"/>
        <v>3</v>
      </c>
    </row>
    <row r="26" spans="1:36" x14ac:dyDescent="0.25">
      <c r="A26" s="5" t="s">
        <v>39</v>
      </c>
      <c r="B26" s="5" t="s">
        <v>28</v>
      </c>
      <c r="C26" s="5" t="str">
        <f t="shared" si="0"/>
        <v>description,dailCompDescNature24,</v>
      </c>
      <c r="D26" s="5" t="str">
        <f t="shared" si="2"/>
        <v>itemText,dailCompTextNature24,</v>
      </c>
      <c r="E26" s="5" t="str">
        <f t="shared" si="14"/>
        <v>augmentSkillLevel1,3,</v>
      </c>
      <c r="F26" s="5" t="str">
        <f t="shared" si="15"/>
        <v>augmentSkillName1,records/skillsnature/regrowth.dbr,,</v>
      </c>
      <c r="G26" s="7">
        <f t="shared" si="10"/>
        <v>24</v>
      </c>
      <c r="H26" s="8" t="str">
        <f t="shared" si="11"/>
        <v>Nature</v>
      </c>
      <c r="I26" s="3" t="s">
        <v>661</v>
      </c>
      <c r="J26" s="8" t="str">
        <f t="shared" si="20"/>
        <v>class0020</v>
      </c>
      <c r="K26" s="8" t="str">
        <f t="shared" si="20"/>
        <v>dailoneskill0020</v>
      </c>
      <c r="L26" s="5" t="str">
        <f t="shared" si="4"/>
        <v>lootName24,DAIL/items/materia/class0020/Nature24.dbr,</v>
      </c>
      <c r="M26" s="5" t="str">
        <f t="shared" si="5"/>
        <v>lootWeight24,1,</v>
      </c>
      <c r="N26" t="str">
        <f t="shared" si="6"/>
        <v>3</v>
      </c>
      <c r="O26" t="str">
        <f t="shared" si="16"/>
        <v>copy .\dail_base3.dbr .\items\materia\class0020\Nature24.dbr /y</v>
      </c>
      <c r="P26" t="str">
        <f t="shared" si="7"/>
        <v>echo relicBitmap,items/craftingparts/components/component_a52_bristlyfur_b.tex, &gt;&gt; .\items\materia\class0020\Nature24.dbr</v>
      </c>
      <c r="Q26" t="str">
        <f t="shared" si="7"/>
        <v>echo itemCost,300000, &gt;&gt; .\items\materia\class0020\Nature24.dbr</v>
      </c>
      <c r="R26" t="str">
        <f t="shared" si="7"/>
        <v>echo description,dailCompDescNature24, &gt;&gt; .\items\materia\class0020\Nature24.dbr</v>
      </c>
      <c r="S26" t="str">
        <f t="shared" si="7"/>
        <v>echo itemText,dailCompTextNature24, &gt;&gt; .\items\materia\class0020\Nature24.dbr</v>
      </c>
      <c r="T26" t="str">
        <f t="shared" si="7"/>
        <v>echo augmentSkillLevel1,3, &gt;&gt; .\items\materia\class0020\Nature24.dbr</v>
      </c>
      <c r="U26" t="str">
        <f t="shared" si="7"/>
        <v>echo augmentSkillName1,records/skillsnature/regrowth.dbr,, &gt;&gt; .\items\materia\class0020\Nature24.dbr</v>
      </c>
      <c r="V26" s="5" t="s">
        <v>36</v>
      </c>
      <c r="W26" t="str">
        <f t="shared" si="8"/>
        <v>echo lootName24,DAIL/items/materia/class0020/Nature24.dbr, &gt;&gt; .\items\loottables\dailoneskill0020.dbr</v>
      </c>
      <c r="X26" t="str">
        <f t="shared" si="8"/>
        <v>echo lootWeight24,1, &gt;&gt; .\items\loottables\dailoneskill0020.dbr</v>
      </c>
      <c r="Y26" s="5" t="s">
        <v>36</v>
      </c>
      <c r="Z26" t="str">
        <f t="shared" si="9"/>
        <v xml:space="preserve"> dailCompDescNature24=^pNature's Gift of DAIL</v>
      </c>
      <c r="AA26" t="str">
        <f t="shared" si="17"/>
        <v>dailCompTextNature24=^oThis feels warm to the touch, almost familiar ^w(This component only fits into the Medal Slot)</v>
      </c>
      <c r="AB26" s="5" t="s">
        <v>36</v>
      </c>
      <c r="AH26">
        <f t="shared" si="19"/>
        <v>21</v>
      </c>
      <c r="AI26">
        <f t="shared" si="13"/>
        <v>20</v>
      </c>
      <c r="AJ26">
        <f t="shared" si="18"/>
        <v>3</v>
      </c>
    </row>
    <row r="27" spans="1:36" x14ac:dyDescent="0.25">
      <c r="A27" s="5" t="s">
        <v>39</v>
      </c>
      <c r="B27" s="5" t="s">
        <v>28</v>
      </c>
      <c r="C27" s="5" t="str">
        <f t="shared" si="0"/>
        <v>description,dailCompDescNature25,</v>
      </c>
      <c r="D27" s="5" t="str">
        <f t="shared" si="2"/>
        <v>itemText,dailCompTextNature25,</v>
      </c>
      <c r="E27" s="5" t="str">
        <f t="shared" si="14"/>
        <v>augmentSkillLevel1,3,</v>
      </c>
      <c r="F27" s="5" t="str">
        <f t="shared" si="15"/>
        <v>augmentSkillName1,records/skillsnature/regrowth_acceleratedgrowth.dbr,,</v>
      </c>
      <c r="G27" s="7">
        <f t="shared" si="10"/>
        <v>25</v>
      </c>
      <c r="H27" s="8" t="str">
        <f t="shared" si="11"/>
        <v>Nature</v>
      </c>
      <c r="I27" s="3" t="s">
        <v>662</v>
      </c>
      <c r="J27" s="8" t="str">
        <f t="shared" si="20"/>
        <v>class0020</v>
      </c>
      <c r="K27" s="8" t="str">
        <f t="shared" si="20"/>
        <v>dailoneskill0020</v>
      </c>
      <c r="L27" s="5" t="str">
        <f t="shared" si="4"/>
        <v>lootName25,DAIL/items/materia/class0020/Nature25.dbr,</v>
      </c>
      <c r="M27" s="5" t="str">
        <f t="shared" si="5"/>
        <v>lootWeight25,1,</v>
      </c>
      <c r="N27" t="str">
        <f t="shared" si="6"/>
        <v>3</v>
      </c>
      <c r="O27" t="str">
        <f t="shared" si="16"/>
        <v>copy .\dail_base3.dbr .\items\materia\class0020\Nature25.dbr /y</v>
      </c>
      <c r="P27" t="str">
        <f t="shared" si="7"/>
        <v>echo relicBitmap,items/craftingparts/components/component_a52_bristlyfur_b.tex, &gt;&gt; .\items\materia\class0020\Nature25.dbr</v>
      </c>
      <c r="Q27" t="str">
        <f t="shared" si="7"/>
        <v>echo itemCost,300000, &gt;&gt; .\items\materia\class0020\Nature25.dbr</v>
      </c>
      <c r="R27" t="str">
        <f t="shared" si="7"/>
        <v>echo description,dailCompDescNature25, &gt;&gt; .\items\materia\class0020\Nature25.dbr</v>
      </c>
      <c r="S27" t="str">
        <f t="shared" si="7"/>
        <v>echo itemText,dailCompTextNature25, &gt;&gt; .\items\materia\class0020\Nature25.dbr</v>
      </c>
      <c r="T27" t="str">
        <f t="shared" si="7"/>
        <v>echo augmentSkillLevel1,3, &gt;&gt; .\items\materia\class0020\Nature25.dbr</v>
      </c>
      <c r="U27" t="str">
        <f t="shared" si="7"/>
        <v>echo augmentSkillName1,records/skillsnature/regrowth_acceleratedgrowth.dbr,, &gt;&gt; .\items\materia\class0020\Nature25.dbr</v>
      </c>
      <c r="V27" s="5" t="s">
        <v>36</v>
      </c>
      <c r="W27" t="str">
        <f t="shared" si="8"/>
        <v>echo lootName25,DAIL/items/materia/class0020/Nature25.dbr, &gt;&gt; .\items\loottables\dailoneskill0020.dbr</v>
      </c>
      <c r="X27" t="str">
        <f t="shared" si="8"/>
        <v>echo lootWeight25,1, &gt;&gt; .\items\loottables\dailoneskill0020.dbr</v>
      </c>
      <c r="Y27" s="5" t="s">
        <v>36</v>
      </c>
      <c r="Z27" t="str">
        <f t="shared" si="9"/>
        <v xml:space="preserve"> dailCompDescNature25=^pNature's Gift of DAIL</v>
      </c>
      <c r="AA27" t="str">
        <f t="shared" si="17"/>
        <v>dailCompTextNature25=^oThis feels warm to the touch, almost familiar ^w(This component only fits into the Medal Slot)</v>
      </c>
      <c r="AB27" s="5" t="s">
        <v>36</v>
      </c>
      <c r="AH27">
        <f t="shared" si="19"/>
        <v>22</v>
      </c>
      <c r="AI27">
        <f t="shared" si="13"/>
        <v>38</v>
      </c>
      <c r="AJ27">
        <f t="shared" si="18"/>
        <v>3</v>
      </c>
    </row>
    <row r="28" spans="1:36" x14ac:dyDescent="0.25">
      <c r="A28" s="5" t="s">
        <v>39</v>
      </c>
      <c r="B28" s="5" t="s">
        <v>28</v>
      </c>
      <c r="C28" s="5" t="str">
        <f t="shared" si="0"/>
        <v>description,dailCompDescNature26,</v>
      </c>
      <c r="D28" s="5" t="str">
        <f t="shared" si="2"/>
        <v>itemText,dailCompTextNature26,</v>
      </c>
      <c r="E28" s="5" t="str">
        <f t="shared" si="14"/>
        <v>augmentSkillLevel1,3,</v>
      </c>
      <c r="F28" s="5" t="str">
        <f t="shared" si="15"/>
        <v>augmentSkillName1,records/skillsnature/regrowth_dissemination.dbr,,</v>
      </c>
      <c r="G28" s="7">
        <f t="shared" si="10"/>
        <v>26</v>
      </c>
      <c r="H28" s="8" t="str">
        <f t="shared" si="11"/>
        <v>Nature</v>
      </c>
      <c r="I28" s="3" t="s">
        <v>663</v>
      </c>
      <c r="J28" s="8" t="str">
        <f t="shared" si="20"/>
        <v>class0020</v>
      </c>
      <c r="K28" s="8" t="str">
        <f t="shared" si="20"/>
        <v>dailoneskill0020</v>
      </c>
      <c r="L28" s="5" t="str">
        <f t="shared" si="4"/>
        <v>lootName26,DAIL/items/materia/class0020/Nature26.dbr,</v>
      </c>
      <c r="M28" s="5" t="str">
        <f t="shared" si="5"/>
        <v>lootWeight26,1,</v>
      </c>
      <c r="N28" t="str">
        <f t="shared" si="6"/>
        <v>3</v>
      </c>
      <c r="O28" t="str">
        <f t="shared" si="16"/>
        <v>copy .\dail_base3.dbr .\items\materia\class0020\Nature26.dbr /y</v>
      </c>
      <c r="P28" t="str">
        <f t="shared" si="7"/>
        <v>echo relicBitmap,items/craftingparts/components/component_a52_bristlyfur_b.tex, &gt;&gt; .\items\materia\class0020\Nature26.dbr</v>
      </c>
      <c r="Q28" t="str">
        <f t="shared" si="7"/>
        <v>echo itemCost,300000, &gt;&gt; .\items\materia\class0020\Nature26.dbr</v>
      </c>
      <c r="R28" t="str">
        <f t="shared" si="7"/>
        <v>echo description,dailCompDescNature26, &gt;&gt; .\items\materia\class0020\Nature26.dbr</v>
      </c>
      <c r="S28" t="str">
        <f t="shared" si="7"/>
        <v>echo itemText,dailCompTextNature26, &gt;&gt; .\items\materia\class0020\Nature26.dbr</v>
      </c>
      <c r="T28" t="str">
        <f t="shared" si="7"/>
        <v>echo augmentSkillLevel1,3, &gt;&gt; .\items\materia\class0020\Nature26.dbr</v>
      </c>
      <c r="U28" t="str">
        <f t="shared" si="7"/>
        <v>echo augmentSkillName1,records/skillsnature/regrowth_dissemination.dbr,, &gt;&gt; .\items\materia\class0020\Nature26.dbr</v>
      </c>
      <c r="V28" s="5" t="s">
        <v>36</v>
      </c>
      <c r="W28" t="str">
        <f t="shared" si="8"/>
        <v>echo lootName26,DAIL/items/materia/class0020/Nature26.dbr, &gt;&gt; .\items\loottables\dailoneskill0020.dbr</v>
      </c>
      <c r="X28" t="str">
        <f t="shared" si="8"/>
        <v>echo lootWeight26,1, &gt;&gt; .\items\loottables\dailoneskill0020.dbr</v>
      </c>
      <c r="Y28" s="5" t="s">
        <v>36</v>
      </c>
      <c r="Z28" t="str">
        <f t="shared" si="9"/>
        <v xml:space="preserve"> dailCompDescNature26=^pNature's Gift of DAIL</v>
      </c>
      <c r="AA28" t="str">
        <f t="shared" si="17"/>
        <v>dailCompTextNature26=^oThis feels warm to the touch, almost familiar ^w(This component only fits into the Medal Slot)</v>
      </c>
      <c r="AB28" s="5" t="s">
        <v>36</v>
      </c>
      <c r="AH28">
        <f t="shared" si="19"/>
        <v>23</v>
      </c>
      <c r="AI28">
        <f t="shared" si="13"/>
        <v>34</v>
      </c>
      <c r="AJ28">
        <f t="shared" si="18"/>
        <v>3</v>
      </c>
    </row>
    <row r="29" spans="1:36" x14ac:dyDescent="0.25">
      <c r="A29" s="5" t="s">
        <v>39</v>
      </c>
      <c r="B29" s="5" t="s">
        <v>28</v>
      </c>
      <c r="C29" s="5" t="str">
        <f t="shared" si="0"/>
        <v>description,dailCompDescNature27,</v>
      </c>
      <c r="D29" s="5" t="str">
        <f t="shared" si="2"/>
        <v>itemText,dailCompTextNature27,</v>
      </c>
      <c r="E29" s="5" t="str">
        <f t="shared" si="14"/>
        <v>augmentSkillLevel1,3,</v>
      </c>
      <c r="F29" s="5" t="str">
        <f t="shared" si="15"/>
        <v>augmentSkillName1,records/skillsnature/briarward.dbr,,</v>
      </c>
      <c r="G29" s="7">
        <f t="shared" si="10"/>
        <v>27</v>
      </c>
      <c r="H29" s="8" t="str">
        <f t="shared" si="11"/>
        <v>Nature</v>
      </c>
      <c r="I29" s="3" t="s">
        <v>664</v>
      </c>
      <c r="J29" s="8" t="str">
        <f t="shared" si="20"/>
        <v>class0020</v>
      </c>
      <c r="K29" s="8" t="str">
        <f t="shared" si="20"/>
        <v>dailoneskill0020</v>
      </c>
      <c r="L29" s="5" t="str">
        <f t="shared" si="4"/>
        <v>lootName27,DAIL/items/materia/class0020/Nature27.dbr,</v>
      </c>
      <c r="M29" s="5" t="str">
        <f t="shared" si="5"/>
        <v>lootWeight27,1,</v>
      </c>
      <c r="N29" t="str">
        <f t="shared" si="6"/>
        <v>3</v>
      </c>
      <c r="O29" t="str">
        <f t="shared" si="16"/>
        <v>copy .\dail_base3.dbr .\items\materia\class0020\Nature27.dbr /y</v>
      </c>
      <c r="P29" t="str">
        <f t="shared" si="7"/>
        <v>echo relicBitmap,items/craftingparts/components/component_a52_bristlyfur_b.tex, &gt;&gt; .\items\materia\class0020\Nature27.dbr</v>
      </c>
      <c r="Q29" t="str">
        <f t="shared" si="7"/>
        <v>echo itemCost,300000, &gt;&gt; .\items\materia\class0020\Nature27.dbr</v>
      </c>
      <c r="R29" t="str">
        <f t="shared" si="7"/>
        <v>echo description,dailCompDescNature27, &gt;&gt; .\items\materia\class0020\Nature27.dbr</v>
      </c>
      <c r="S29" t="str">
        <f t="shared" si="7"/>
        <v>echo itemText,dailCompTextNature27, &gt;&gt; .\items\materia\class0020\Nature27.dbr</v>
      </c>
      <c r="T29" t="str">
        <f t="shared" si="7"/>
        <v>echo augmentSkillLevel1,3, &gt;&gt; .\items\materia\class0020\Nature27.dbr</v>
      </c>
      <c r="U29" t="str">
        <f t="shared" si="7"/>
        <v>echo augmentSkillName1,records/skillsnature/briarward.dbr,, &gt;&gt; .\items\materia\class0020\Nature27.dbr</v>
      </c>
      <c r="V29" s="5" t="s">
        <v>36</v>
      </c>
      <c r="W29" t="str">
        <f t="shared" si="8"/>
        <v>echo lootName27,DAIL/items/materia/class0020/Nature27.dbr, &gt;&gt; .\items\loottables\dailoneskill0020.dbr</v>
      </c>
      <c r="X29" t="str">
        <f t="shared" si="8"/>
        <v>echo lootWeight27,1, &gt;&gt; .\items\loottables\dailoneskill0020.dbr</v>
      </c>
      <c r="Y29" s="5" t="s">
        <v>36</v>
      </c>
      <c r="Z29" t="str">
        <f t="shared" si="9"/>
        <v xml:space="preserve"> dailCompDescNature27=^pNature's Gift of DAIL</v>
      </c>
      <c r="AA29" t="str">
        <f t="shared" si="17"/>
        <v>dailCompTextNature27=^oThis feels warm to the touch, almost familiar ^w(This component only fits into the Medal Slot)</v>
      </c>
      <c r="AB29" s="5" t="s">
        <v>36</v>
      </c>
      <c r="AH29">
        <f t="shared" si="19"/>
        <v>24</v>
      </c>
      <c r="AI29">
        <f t="shared" si="13"/>
        <v>21</v>
      </c>
      <c r="AJ29">
        <f t="shared" si="18"/>
        <v>3</v>
      </c>
    </row>
    <row r="30" spans="1:36" x14ac:dyDescent="0.25">
      <c r="A30" s="5" t="s">
        <v>39</v>
      </c>
      <c r="B30" s="5" t="s">
        <v>28</v>
      </c>
      <c r="C30" s="5" t="str">
        <f t="shared" si="0"/>
        <v>description,dailCompDescNature28,</v>
      </c>
      <c r="D30" s="5" t="str">
        <f t="shared" si="2"/>
        <v>itemText,dailCompTextNature28,</v>
      </c>
      <c r="E30" s="5" t="str">
        <f t="shared" si="14"/>
        <v>augmentSkillLevel1,3,</v>
      </c>
      <c r="F30" s="5" t="str">
        <f t="shared" si="15"/>
        <v>augmentSkillName1,records/skillsnature/briarward_petmodifier_stingingnettle.dbr,,</v>
      </c>
      <c r="G30" s="7">
        <f t="shared" si="10"/>
        <v>28</v>
      </c>
      <c r="H30" s="8" t="str">
        <f t="shared" si="11"/>
        <v>Nature</v>
      </c>
      <c r="I30" s="3" t="s">
        <v>665</v>
      </c>
      <c r="J30" s="8" t="str">
        <f t="shared" si="20"/>
        <v>class0020</v>
      </c>
      <c r="K30" s="8" t="str">
        <f t="shared" si="20"/>
        <v>dailoneskill0020</v>
      </c>
      <c r="L30" s="5" t="str">
        <f t="shared" si="4"/>
        <v>lootName28,DAIL/items/materia/class0020/Nature28.dbr,</v>
      </c>
      <c r="M30" s="5" t="str">
        <f t="shared" si="5"/>
        <v>lootWeight28,1,</v>
      </c>
      <c r="N30" t="str">
        <f t="shared" si="6"/>
        <v>3</v>
      </c>
      <c r="O30" t="str">
        <f t="shared" si="16"/>
        <v>copy .\dail_base3.dbr .\items\materia\class0020\Nature28.dbr /y</v>
      </c>
      <c r="P30" t="str">
        <f t="shared" si="7"/>
        <v>echo relicBitmap,items/craftingparts/components/component_a52_bristlyfur_b.tex, &gt;&gt; .\items\materia\class0020\Nature28.dbr</v>
      </c>
      <c r="Q30" t="str">
        <f t="shared" si="7"/>
        <v>echo itemCost,300000, &gt;&gt; .\items\materia\class0020\Nature28.dbr</v>
      </c>
      <c r="R30" t="str">
        <f t="shared" si="7"/>
        <v>echo description,dailCompDescNature28, &gt;&gt; .\items\materia\class0020\Nature28.dbr</v>
      </c>
      <c r="S30" t="str">
        <f t="shared" si="7"/>
        <v>echo itemText,dailCompTextNature28, &gt;&gt; .\items\materia\class0020\Nature28.dbr</v>
      </c>
      <c r="T30" t="str">
        <f t="shared" si="7"/>
        <v>echo augmentSkillLevel1,3, &gt;&gt; .\items\materia\class0020\Nature28.dbr</v>
      </c>
      <c r="U30" t="str">
        <f t="shared" si="7"/>
        <v>echo augmentSkillName1,records/skillsnature/briarward_petmodifier_stingingnettle.dbr,, &gt;&gt; .\items\materia\class0020\Nature28.dbr</v>
      </c>
      <c r="V30" s="5" t="s">
        <v>36</v>
      </c>
      <c r="W30" t="str">
        <f t="shared" si="8"/>
        <v>echo lootName28,DAIL/items/materia/class0020/Nature28.dbr, &gt;&gt; .\items\loottables\dailoneskill0020.dbr</v>
      </c>
      <c r="X30" t="str">
        <f t="shared" si="8"/>
        <v>echo lootWeight28,1, &gt;&gt; .\items\loottables\dailoneskill0020.dbr</v>
      </c>
      <c r="Y30" s="5" t="s">
        <v>36</v>
      </c>
      <c r="Z30" t="str">
        <f t="shared" si="9"/>
        <v xml:space="preserve"> dailCompDescNature28=^pNature's Gift of DAIL</v>
      </c>
      <c r="AA30" t="str">
        <f t="shared" si="17"/>
        <v>dailCompTextNature28=^oThis feels warm to the touch, almost familiar ^w(This component only fits into the Medal Slot)</v>
      </c>
      <c r="AB30" s="5" t="s">
        <v>36</v>
      </c>
      <c r="AH30">
        <f t="shared" si="19"/>
        <v>25</v>
      </c>
      <c r="AI30">
        <f t="shared" si="13"/>
        <v>48</v>
      </c>
      <c r="AJ30">
        <f t="shared" si="18"/>
        <v>3</v>
      </c>
    </row>
    <row r="31" spans="1:36" x14ac:dyDescent="0.25">
      <c r="A31" s="5" t="s">
        <v>39</v>
      </c>
      <c r="B31" s="5" t="s">
        <v>28</v>
      </c>
      <c r="C31" s="5" t="str">
        <f t="shared" si="0"/>
        <v>description,dailCompDescNature29,</v>
      </c>
      <c r="D31" s="5" t="str">
        <f t="shared" si="2"/>
        <v>itemText,dailCompTextNature29,</v>
      </c>
      <c r="E31" s="5" t="str">
        <f t="shared" si="14"/>
        <v>augmentSkillLevel1,3,</v>
      </c>
      <c r="F31" s="5" t="str">
        <f t="shared" si="15"/>
        <v>augmentSkillName1,records/skillsnature/briarward_sanctuary.dbr,,</v>
      </c>
      <c r="G31" s="7">
        <f t="shared" si="10"/>
        <v>29</v>
      </c>
      <c r="H31" s="8" t="str">
        <f t="shared" si="11"/>
        <v>Nature</v>
      </c>
      <c r="I31" s="3" t="s">
        <v>666</v>
      </c>
      <c r="J31" s="8" t="str">
        <f t="shared" si="20"/>
        <v>class0020</v>
      </c>
      <c r="K31" s="8" t="str">
        <f t="shared" si="20"/>
        <v>dailoneskill0020</v>
      </c>
      <c r="L31" s="5" t="str">
        <f t="shared" si="4"/>
        <v>lootName29,DAIL/items/materia/class0020/Nature29.dbr,</v>
      </c>
      <c r="M31" s="5" t="str">
        <f t="shared" si="5"/>
        <v>lootWeight29,1,</v>
      </c>
      <c r="N31" t="str">
        <f t="shared" si="6"/>
        <v>3</v>
      </c>
      <c r="O31" t="str">
        <f t="shared" si="16"/>
        <v>copy .\dail_base3.dbr .\items\materia\class0020\Nature29.dbr /y</v>
      </c>
      <c r="P31" t="str">
        <f t="shared" si="7"/>
        <v>echo relicBitmap,items/craftingparts/components/component_a52_bristlyfur_b.tex, &gt;&gt; .\items\materia\class0020\Nature29.dbr</v>
      </c>
      <c r="Q31" t="str">
        <f t="shared" si="7"/>
        <v>echo itemCost,300000, &gt;&gt; .\items\materia\class0020\Nature29.dbr</v>
      </c>
      <c r="R31" t="str">
        <f t="shared" si="7"/>
        <v>echo description,dailCompDescNature29, &gt;&gt; .\items\materia\class0020\Nature29.dbr</v>
      </c>
      <c r="S31" t="str">
        <f t="shared" si="7"/>
        <v>echo itemText,dailCompTextNature29, &gt;&gt; .\items\materia\class0020\Nature29.dbr</v>
      </c>
      <c r="T31" t="str">
        <f t="shared" si="7"/>
        <v>echo augmentSkillLevel1,3, &gt;&gt; .\items\materia\class0020\Nature29.dbr</v>
      </c>
      <c r="U31" t="str">
        <f t="shared" si="7"/>
        <v>echo augmentSkillName1,records/skillsnature/briarward_sanctuary.dbr,, &gt;&gt; .\items\materia\class0020\Nature29.dbr</v>
      </c>
      <c r="V31" s="5" t="s">
        <v>36</v>
      </c>
      <c r="W31" t="str">
        <f t="shared" si="8"/>
        <v>echo lootName29,DAIL/items/materia/class0020/Nature29.dbr, &gt;&gt; .\items\loottables\dailoneskill0020.dbr</v>
      </c>
      <c r="X31" t="str">
        <f t="shared" si="8"/>
        <v>echo lootWeight29,1, &gt;&gt; .\items\loottables\dailoneskill0020.dbr</v>
      </c>
      <c r="Y31" s="5" t="s">
        <v>36</v>
      </c>
      <c r="Z31" t="str">
        <f t="shared" si="9"/>
        <v xml:space="preserve"> dailCompDescNature29=^pNature's Gift of DAIL</v>
      </c>
      <c r="AA31" t="str">
        <f t="shared" si="17"/>
        <v>dailCompTextNature29=^oThis feels warm to the touch, almost familiar ^w(This component only fits into the Medal Slot)</v>
      </c>
      <c r="AB31" s="5" t="s">
        <v>36</v>
      </c>
      <c r="AH31">
        <f t="shared" si="19"/>
        <v>26</v>
      </c>
      <c r="AI31">
        <f t="shared" si="13"/>
        <v>31</v>
      </c>
      <c r="AJ31">
        <f t="shared" si="18"/>
        <v>3</v>
      </c>
    </row>
    <row r="32" spans="1:36" x14ac:dyDescent="0.25">
      <c r="A32" s="5" t="s">
        <v>39</v>
      </c>
      <c r="B32" s="5" t="s">
        <v>30</v>
      </c>
      <c r="C32" s="5" t="str">
        <f t="shared" si="0"/>
        <v>description,dailCompDescNature30,</v>
      </c>
      <c r="D32" s="5" t="str">
        <f t="shared" si="2"/>
        <v>itemText,dailCompTextNature30,</v>
      </c>
      <c r="E32" s="5" t="str">
        <f t="shared" si="14"/>
        <v>augmentSkillLevel1,3,</v>
      </c>
      <c r="F32" s="5" t="str">
        <f t="shared" si="15"/>
        <v>augmentSkillName1,records/skillsnature/heartofoak.dbr,,</v>
      </c>
      <c r="G32" s="7">
        <f t="shared" si="10"/>
        <v>30</v>
      </c>
      <c r="H32" s="8" t="str">
        <f t="shared" si="11"/>
        <v>Nature</v>
      </c>
      <c r="I32" s="3" t="s">
        <v>667</v>
      </c>
      <c r="J32" s="8" t="str">
        <f t="shared" si="20"/>
        <v>class0020</v>
      </c>
      <c r="K32" s="8" t="str">
        <f t="shared" si="20"/>
        <v>dailoneskill0020</v>
      </c>
      <c r="L32" s="5" t="str">
        <f t="shared" si="4"/>
        <v>lootName30,DAIL/items/materia/class0020/Nature30.dbr,</v>
      </c>
      <c r="M32" s="5" t="str">
        <f t="shared" si="5"/>
        <v>lootWeight30,1,</v>
      </c>
      <c r="N32" t="str">
        <f t="shared" si="6"/>
        <v>3</v>
      </c>
      <c r="O32" t="str">
        <f t="shared" si="16"/>
        <v>copy .\dail_base3.dbr .\items\materia\class0020\Nature30.dbr /y</v>
      </c>
      <c r="P32" t="str">
        <f t="shared" si="7"/>
        <v>echo relicBitmap,items/craftingparts/components/component_a52_bristlyfur_b.tex, &gt;&gt; .\items\materia\class0020\Nature30.dbr</v>
      </c>
      <c r="Q32" t="str">
        <f t="shared" si="7"/>
        <v>echo itemCost,500000, &gt;&gt; .\items\materia\class0020\Nature30.dbr</v>
      </c>
      <c r="R32" t="str">
        <f t="shared" si="7"/>
        <v>echo description,dailCompDescNature30, &gt;&gt; .\items\materia\class0020\Nature30.dbr</v>
      </c>
      <c r="S32" t="str">
        <f t="shared" si="7"/>
        <v>echo itemText,dailCompTextNature30, &gt;&gt; .\items\materia\class0020\Nature30.dbr</v>
      </c>
      <c r="T32" t="str">
        <f t="shared" si="7"/>
        <v>echo augmentSkillLevel1,3, &gt;&gt; .\items\materia\class0020\Nature30.dbr</v>
      </c>
      <c r="U32" t="str">
        <f t="shared" si="7"/>
        <v>echo augmentSkillName1,records/skillsnature/heartofoak.dbr,, &gt;&gt; .\items\materia\class0020\Nature30.dbr</v>
      </c>
      <c r="V32" s="5" t="s">
        <v>36</v>
      </c>
      <c r="W32" t="str">
        <f t="shared" si="8"/>
        <v>echo lootName30,DAIL/items/materia/class0020/Nature30.dbr, &gt;&gt; .\items\loottables\dailoneskill0020.dbr</v>
      </c>
      <c r="X32" t="str">
        <f t="shared" si="8"/>
        <v>echo lootWeight30,1, &gt;&gt; .\items\loottables\dailoneskill0020.dbr</v>
      </c>
      <c r="Y32" s="5" t="s">
        <v>36</v>
      </c>
      <c r="Z32" t="str">
        <f t="shared" si="9"/>
        <v xml:space="preserve"> dailCompDescNature30=^pNature's Gift of DAIL</v>
      </c>
      <c r="AA32" t="str">
        <f t="shared" si="17"/>
        <v>dailCompTextNature30=^oThis feels warm to the touch, almost familiar ^w(This component only fits into the Medal Slot)</v>
      </c>
      <c r="AB32" s="5" t="s">
        <v>36</v>
      </c>
      <c r="AH32">
        <f t="shared" si="19"/>
        <v>27</v>
      </c>
      <c r="AI32">
        <f t="shared" si="13"/>
        <v>22</v>
      </c>
      <c r="AJ32">
        <f t="shared" si="18"/>
        <v>3</v>
      </c>
    </row>
    <row r="33" spans="1:36" x14ac:dyDescent="0.25">
      <c r="A33" s="5" t="s">
        <v>39</v>
      </c>
      <c r="B33" s="5" t="s">
        <v>30</v>
      </c>
      <c r="C33" s="5" t="str">
        <f t="shared" si="0"/>
        <v>description,dailCompDescNature31,</v>
      </c>
      <c r="D33" s="5" t="str">
        <f t="shared" si="2"/>
        <v>itemText,dailCompTextNature31,</v>
      </c>
      <c r="E33" s="5" t="str">
        <f t="shared" si="14"/>
        <v>augmentSkillLevel1,3,</v>
      </c>
      <c r="F33" s="5" t="str">
        <f t="shared" si="15"/>
        <v>augmentSkillName1,records/skillsnature/heartofoak_tranquility.dbr,,</v>
      </c>
      <c r="G33" s="7">
        <f t="shared" si="10"/>
        <v>31</v>
      </c>
      <c r="H33" s="8" t="str">
        <f t="shared" si="11"/>
        <v>Nature</v>
      </c>
      <c r="I33" s="3" t="s">
        <v>668</v>
      </c>
      <c r="J33" s="8" t="str">
        <f t="shared" si="20"/>
        <v>class0020</v>
      </c>
      <c r="K33" s="8" t="str">
        <f t="shared" si="20"/>
        <v>dailoneskill0020</v>
      </c>
      <c r="L33" s="5" t="str">
        <f t="shared" si="4"/>
        <v>lootName31,DAIL/items/materia/class0020/Nature31.dbr,</v>
      </c>
      <c r="M33" s="5" t="str">
        <f t="shared" si="5"/>
        <v>lootWeight31,1,</v>
      </c>
      <c r="N33" t="str">
        <f t="shared" si="6"/>
        <v>3</v>
      </c>
      <c r="O33" t="str">
        <f t="shared" si="16"/>
        <v>copy .\dail_base3.dbr .\items\materia\class0020\Nature31.dbr /y</v>
      </c>
      <c r="P33" t="str">
        <f t="shared" si="7"/>
        <v>echo relicBitmap,items/craftingparts/components/component_a52_bristlyfur_b.tex, &gt;&gt; .\items\materia\class0020\Nature31.dbr</v>
      </c>
      <c r="Q33" t="str">
        <f t="shared" si="7"/>
        <v>echo itemCost,500000, &gt;&gt; .\items\materia\class0020\Nature31.dbr</v>
      </c>
      <c r="R33" t="str">
        <f t="shared" si="7"/>
        <v>echo description,dailCompDescNature31, &gt;&gt; .\items\materia\class0020\Nature31.dbr</v>
      </c>
      <c r="S33" t="str">
        <f t="shared" si="7"/>
        <v>echo itemText,dailCompTextNature31, &gt;&gt; .\items\materia\class0020\Nature31.dbr</v>
      </c>
      <c r="T33" t="str">
        <f t="shared" si="7"/>
        <v>echo augmentSkillLevel1,3, &gt;&gt; .\items\materia\class0020\Nature31.dbr</v>
      </c>
      <c r="U33" t="str">
        <f t="shared" si="7"/>
        <v>echo augmentSkillName1,records/skillsnature/heartofoak_tranquility.dbr,, &gt;&gt; .\items\materia\class0020\Nature31.dbr</v>
      </c>
      <c r="V33" s="5" t="s">
        <v>36</v>
      </c>
      <c r="W33" t="str">
        <f t="shared" si="8"/>
        <v>echo lootName31,DAIL/items/materia/class0020/Nature31.dbr, &gt;&gt; .\items\loottables\dailoneskill0020.dbr</v>
      </c>
      <c r="X33" t="str">
        <f t="shared" si="8"/>
        <v>echo lootWeight31,1, &gt;&gt; .\items\loottables\dailoneskill0020.dbr</v>
      </c>
      <c r="Y33" s="5" t="s">
        <v>36</v>
      </c>
      <c r="Z33" t="str">
        <f t="shared" si="9"/>
        <v xml:space="preserve"> dailCompDescNature31=^pNature's Gift of DAIL</v>
      </c>
      <c r="AA33" t="str">
        <f t="shared" si="17"/>
        <v>dailCompTextNature31=^oThis feels warm to the touch, almost familiar ^w(This component only fits into the Medal Slot)</v>
      </c>
      <c r="AB33" s="5" t="s">
        <v>36</v>
      </c>
      <c r="AH33">
        <f t="shared" si="19"/>
        <v>28</v>
      </c>
      <c r="AI33">
        <f t="shared" si="13"/>
        <v>34</v>
      </c>
      <c r="AJ33">
        <f t="shared" si="18"/>
        <v>3</v>
      </c>
    </row>
    <row r="34" spans="1:36" x14ac:dyDescent="0.25">
      <c r="A34" s="5" t="s">
        <v>39</v>
      </c>
      <c r="B34" s="5" t="s">
        <v>30</v>
      </c>
      <c r="C34" s="5" t="str">
        <f t="shared" si="0"/>
        <v>description,dailCompDescNature32,</v>
      </c>
      <c r="D34" s="5" t="str">
        <f t="shared" si="2"/>
        <v>itemText,dailCompTextNature32,</v>
      </c>
      <c r="E34" s="5" t="str">
        <f t="shared" si="14"/>
        <v>augmentSkillLevel1,3,</v>
      </c>
      <c r="F34" s="5" t="str">
        <f t="shared" si="15"/>
        <v>augmentSkillName1,records/skillsnature/heartofoak_permanence.dbr,,</v>
      </c>
      <c r="G34" s="7">
        <f t="shared" si="10"/>
        <v>32</v>
      </c>
      <c r="H34" s="8" t="str">
        <f t="shared" si="11"/>
        <v>Nature</v>
      </c>
      <c r="I34" s="3" t="s">
        <v>669</v>
      </c>
      <c r="J34" s="8" t="str">
        <f t="shared" si="20"/>
        <v>class0020</v>
      </c>
      <c r="K34" s="8" t="str">
        <f t="shared" si="20"/>
        <v>dailoneskill0020</v>
      </c>
      <c r="L34" s="5" t="str">
        <f t="shared" si="4"/>
        <v>lootName32,DAIL/items/materia/class0020/Nature32.dbr,</v>
      </c>
      <c r="M34" s="5" t="str">
        <f t="shared" si="5"/>
        <v>lootWeight32,1,</v>
      </c>
      <c r="N34" t="str">
        <f t="shared" si="6"/>
        <v>3</v>
      </c>
      <c r="O34" t="str">
        <f t="shared" si="16"/>
        <v>copy .\dail_base3.dbr .\items\materia\class0020\Nature32.dbr /y</v>
      </c>
      <c r="P34" t="str">
        <f t="shared" si="7"/>
        <v>echo relicBitmap,items/craftingparts/components/component_a52_bristlyfur_b.tex, &gt;&gt; .\items\materia\class0020\Nature32.dbr</v>
      </c>
      <c r="Q34" t="str">
        <f t="shared" si="7"/>
        <v>echo itemCost,500000, &gt;&gt; .\items\materia\class0020\Nature32.dbr</v>
      </c>
      <c r="R34" t="str">
        <f t="shared" si="7"/>
        <v>echo description,dailCompDescNature32, &gt;&gt; .\items\materia\class0020\Nature32.dbr</v>
      </c>
      <c r="S34" t="str">
        <f t="shared" si="7"/>
        <v>echo itemText,dailCompTextNature32, &gt;&gt; .\items\materia\class0020\Nature32.dbr</v>
      </c>
      <c r="T34" t="str">
        <f t="shared" si="7"/>
        <v>echo augmentSkillLevel1,3, &gt;&gt; .\items\materia\class0020\Nature32.dbr</v>
      </c>
      <c r="U34" t="str">
        <f t="shared" si="7"/>
        <v>echo augmentSkillName1,records/skillsnature/heartofoak_permanence.dbr,, &gt;&gt; .\items\materia\class0020\Nature32.dbr</v>
      </c>
      <c r="V34" s="5" t="s">
        <v>36</v>
      </c>
      <c r="W34" t="str">
        <f t="shared" si="8"/>
        <v>echo lootName32,DAIL/items/materia/class0020/Nature32.dbr, &gt;&gt; .\items\loottables\dailoneskill0020.dbr</v>
      </c>
      <c r="X34" t="str">
        <f t="shared" si="8"/>
        <v>echo lootWeight32,1, &gt;&gt; .\items\loottables\dailoneskill0020.dbr</v>
      </c>
      <c r="Y34" s="5" t="s">
        <v>36</v>
      </c>
      <c r="Z34" t="str">
        <f t="shared" si="9"/>
        <v xml:space="preserve"> dailCompDescNature32=^pNature's Gift of DAIL</v>
      </c>
      <c r="AA34" t="str">
        <f t="shared" si="17"/>
        <v>dailCompTextNature32=^oThis feels warm to the touch, almost familiar ^w(This component only fits into the Medal Slot)</v>
      </c>
      <c r="AB34" s="5" t="s">
        <v>36</v>
      </c>
      <c r="AH34">
        <f t="shared" si="19"/>
        <v>29</v>
      </c>
      <c r="AI34">
        <f t="shared" si="13"/>
        <v>33</v>
      </c>
      <c r="AJ34">
        <f t="shared" si="18"/>
        <v>3</v>
      </c>
    </row>
    <row r="35" spans="1:36" x14ac:dyDescent="0.25">
      <c r="A35" s="5" t="s">
        <v>39</v>
      </c>
      <c r="B35" s="5" t="s">
        <v>30</v>
      </c>
      <c r="C35" s="5" t="str">
        <f t="shared" si="0"/>
        <v>description,dailCompDescNature33,</v>
      </c>
      <c r="D35" s="5" t="str">
        <f t="shared" si="2"/>
        <v>itemText,dailCompTextNature33,</v>
      </c>
      <c r="E35" s="5" t="str">
        <f t="shared" si="14"/>
        <v>augmentSkillLevel1,3,</v>
      </c>
      <c r="F35" s="5" t="str">
        <f t="shared" si="15"/>
        <v>augmentSkillName1,records/skillsnature/plague.dbr,,</v>
      </c>
      <c r="G35" s="7">
        <f t="shared" si="10"/>
        <v>33</v>
      </c>
      <c r="H35" s="8" t="str">
        <f t="shared" si="11"/>
        <v>Nature</v>
      </c>
      <c r="I35" s="3" t="s">
        <v>670</v>
      </c>
      <c r="J35" s="8" t="str">
        <f t="shared" si="20"/>
        <v>class0020</v>
      </c>
      <c r="K35" s="8" t="str">
        <f t="shared" si="20"/>
        <v>dailoneskill0020</v>
      </c>
      <c r="L35" s="5" t="str">
        <f t="shared" si="4"/>
        <v>lootName33,DAIL/items/materia/class0020/Nature33.dbr,</v>
      </c>
      <c r="M35" s="5" t="str">
        <f t="shared" si="5"/>
        <v>lootWeight33,1,</v>
      </c>
      <c r="N35" t="str">
        <f t="shared" si="6"/>
        <v>3</v>
      </c>
      <c r="O35" t="str">
        <f t="shared" si="16"/>
        <v>copy .\dail_base3.dbr .\items\materia\class0020\Nature33.dbr /y</v>
      </c>
      <c r="P35" t="str">
        <f t="shared" si="7"/>
        <v>echo relicBitmap,items/craftingparts/components/component_a52_bristlyfur_b.tex, &gt;&gt; .\items\materia\class0020\Nature33.dbr</v>
      </c>
      <c r="Q35" t="str">
        <f t="shared" si="7"/>
        <v>echo itemCost,500000, &gt;&gt; .\items\materia\class0020\Nature33.dbr</v>
      </c>
      <c r="R35" t="str">
        <f t="shared" si="7"/>
        <v>echo description,dailCompDescNature33, &gt;&gt; .\items\materia\class0020\Nature33.dbr</v>
      </c>
      <c r="S35" t="str">
        <f t="shared" si="7"/>
        <v>echo itemText,dailCompTextNature33, &gt;&gt; .\items\materia\class0020\Nature33.dbr</v>
      </c>
      <c r="T35" t="str">
        <f t="shared" si="7"/>
        <v>echo augmentSkillLevel1,3, &gt;&gt; .\items\materia\class0020\Nature33.dbr</v>
      </c>
      <c r="U35" t="str">
        <f t="shared" si="7"/>
        <v>echo augmentSkillName1,records/skillsnature/plague.dbr,, &gt;&gt; .\items\materia\class0020\Nature33.dbr</v>
      </c>
      <c r="V35" s="5" t="s">
        <v>36</v>
      </c>
      <c r="W35" t="str">
        <f t="shared" si="8"/>
        <v>echo lootName33,DAIL/items/materia/class0020/Nature33.dbr, &gt;&gt; .\items\loottables\dailoneskill0020.dbr</v>
      </c>
      <c r="X35" t="str">
        <f t="shared" si="8"/>
        <v>echo lootWeight33,1, &gt;&gt; .\items\loottables\dailoneskill0020.dbr</v>
      </c>
      <c r="Y35" s="5" t="s">
        <v>36</v>
      </c>
      <c r="Z35" t="str">
        <f t="shared" si="9"/>
        <v xml:space="preserve"> dailCompDescNature33=^pNature's Gift of DAIL</v>
      </c>
      <c r="AA35" t="str">
        <f t="shared" si="17"/>
        <v>dailCompTextNature33=^oThis feels warm to the touch, almost familiar ^w(This component only fits into the Medal Slot)</v>
      </c>
      <c r="AB35" s="5" t="s">
        <v>36</v>
      </c>
      <c r="AH35">
        <f t="shared" si="19"/>
        <v>30</v>
      </c>
      <c r="AI35">
        <f t="shared" si="13"/>
        <v>18</v>
      </c>
      <c r="AJ35">
        <f t="shared" si="18"/>
        <v>3</v>
      </c>
    </row>
    <row r="36" spans="1:36" x14ac:dyDescent="0.25">
      <c r="A36" s="5" t="s">
        <v>39</v>
      </c>
      <c r="B36" s="5" t="s">
        <v>30</v>
      </c>
      <c r="C36" s="5" t="str">
        <f t="shared" si="0"/>
        <v>description,dailCompDescNature34,</v>
      </c>
      <c r="D36" s="5" t="str">
        <f t="shared" si="2"/>
        <v>itemText,dailCompTextNature34,</v>
      </c>
      <c r="E36" s="5" t="str">
        <f t="shared" si="14"/>
        <v>augmentSkillLevel1,3,</v>
      </c>
      <c r="F36" s="5" t="str">
        <f t="shared" si="15"/>
        <v>augmentSkillName1,records/skillsnature/plague_fatigue.dbr,,</v>
      </c>
      <c r="G36" s="7">
        <f t="shared" si="10"/>
        <v>34</v>
      </c>
      <c r="H36" s="8" t="str">
        <f t="shared" si="11"/>
        <v>Nature</v>
      </c>
      <c r="I36" s="3" t="s">
        <v>671</v>
      </c>
      <c r="J36" s="8" t="str">
        <f t="shared" si="20"/>
        <v>class0020</v>
      </c>
      <c r="K36" s="8" t="str">
        <f t="shared" si="20"/>
        <v>dailoneskill0020</v>
      </c>
      <c r="L36" s="5" t="str">
        <f t="shared" si="4"/>
        <v>lootName34,DAIL/items/materia/class0020/Nature34.dbr,</v>
      </c>
      <c r="M36" s="5" t="str">
        <f t="shared" si="5"/>
        <v>lootWeight34,1,</v>
      </c>
      <c r="N36" t="str">
        <f t="shared" si="6"/>
        <v>3</v>
      </c>
      <c r="O36" t="str">
        <f t="shared" si="16"/>
        <v>copy .\dail_base3.dbr .\items\materia\class0020\Nature34.dbr /y</v>
      </c>
      <c r="P36" t="str">
        <f t="shared" si="7"/>
        <v>echo relicBitmap,items/craftingparts/components/component_a52_bristlyfur_b.tex, &gt;&gt; .\items\materia\class0020\Nature34.dbr</v>
      </c>
      <c r="Q36" t="str">
        <f t="shared" si="7"/>
        <v>echo itemCost,500000, &gt;&gt; .\items\materia\class0020\Nature34.dbr</v>
      </c>
      <c r="R36" t="str">
        <f t="shared" si="7"/>
        <v>echo description,dailCompDescNature34, &gt;&gt; .\items\materia\class0020\Nature34.dbr</v>
      </c>
      <c r="S36" t="str">
        <f t="shared" si="7"/>
        <v>echo itemText,dailCompTextNature34, &gt;&gt; .\items\materia\class0020\Nature34.dbr</v>
      </c>
      <c r="T36" t="str">
        <f t="shared" si="7"/>
        <v>echo augmentSkillLevel1,3, &gt;&gt; .\items\materia\class0020\Nature34.dbr</v>
      </c>
      <c r="U36" t="str">
        <f t="shared" si="7"/>
        <v>echo augmentSkillName1,records/skillsnature/plague_fatigue.dbr,, &gt;&gt; .\items\materia\class0020\Nature34.dbr</v>
      </c>
      <c r="V36" s="5" t="s">
        <v>36</v>
      </c>
      <c r="W36" t="str">
        <f t="shared" si="8"/>
        <v>echo lootName34,DAIL/items/materia/class0020/Nature34.dbr, &gt;&gt; .\items\loottables\dailoneskill0020.dbr</v>
      </c>
      <c r="X36" t="str">
        <f t="shared" si="8"/>
        <v>echo lootWeight34,1, &gt;&gt; .\items\loottables\dailoneskill0020.dbr</v>
      </c>
      <c r="Y36" s="5" t="s">
        <v>36</v>
      </c>
      <c r="Z36" t="str">
        <f t="shared" si="9"/>
        <v xml:space="preserve"> dailCompDescNature34=^pNature's Gift of DAIL</v>
      </c>
      <c r="AA36" t="str">
        <f t="shared" si="17"/>
        <v>dailCompTextNature34=^oThis feels warm to the touch, almost familiar ^w(This component only fits into the Medal Slot)</v>
      </c>
      <c r="AB36" s="5" t="s">
        <v>36</v>
      </c>
      <c r="AH36">
        <f t="shared" si="19"/>
        <v>31</v>
      </c>
      <c r="AI36">
        <f t="shared" si="13"/>
        <v>26</v>
      </c>
      <c r="AJ36">
        <f t="shared" si="18"/>
        <v>3</v>
      </c>
    </row>
    <row r="37" spans="1:36" x14ac:dyDescent="0.25">
      <c r="A37" s="5" t="s">
        <v>39</v>
      </c>
      <c r="B37" s="5" t="s">
        <v>30</v>
      </c>
      <c r="C37" s="5" t="str">
        <f t="shared" si="0"/>
        <v>description,dailCompDescNature35,</v>
      </c>
      <c r="D37" s="5" t="str">
        <f t="shared" si="2"/>
        <v>itemText,dailCompTextNature35,</v>
      </c>
      <c r="E37" s="5" t="str">
        <f t="shared" si="14"/>
        <v>augmentSkillLevel1,3,</v>
      </c>
      <c r="F37" s="5" t="str">
        <f t="shared" si="15"/>
        <v>augmentSkillName1,records/skillsnature/plague_susceptibility.dbr,,</v>
      </c>
      <c r="G37" s="7">
        <f t="shared" si="10"/>
        <v>35</v>
      </c>
      <c r="H37" s="8" t="str">
        <f t="shared" si="11"/>
        <v>Nature</v>
      </c>
      <c r="I37" s="3" t="s">
        <v>672</v>
      </c>
      <c r="J37" s="8" t="str">
        <f t="shared" ref="J37:K52" si="21">J36</f>
        <v>class0020</v>
      </c>
      <c r="K37" s="8" t="str">
        <f t="shared" si="21"/>
        <v>dailoneskill0020</v>
      </c>
      <c r="L37" s="5" t="str">
        <f t="shared" si="4"/>
        <v>lootName35,DAIL/items/materia/class0020/Nature35.dbr,</v>
      </c>
      <c r="M37" s="5" t="str">
        <f t="shared" si="5"/>
        <v>lootWeight35,1,</v>
      </c>
      <c r="N37" t="str">
        <f t="shared" si="6"/>
        <v>3</v>
      </c>
      <c r="O37" t="str">
        <f t="shared" si="16"/>
        <v>copy .\dail_base3.dbr .\items\materia\class0020\Nature35.dbr /y</v>
      </c>
      <c r="P37" t="str">
        <f t="shared" si="7"/>
        <v>echo relicBitmap,items/craftingparts/components/component_a52_bristlyfur_b.tex, &gt;&gt; .\items\materia\class0020\Nature35.dbr</v>
      </c>
      <c r="Q37" t="str">
        <f t="shared" si="7"/>
        <v>echo itemCost,500000, &gt;&gt; .\items\materia\class0020\Nature35.dbr</v>
      </c>
      <c r="R37" t="str">
        <f t="shared" si="7"/>
        <v>echo description,dailCompDescNature35, &gt;&gt; .\items\materia\class0020\Nature35.dbr</v>
      </c>
      <c r="S37" t="str">
        <f t="shared" si="7"/>
        <v>echo itemText,dailCompTextNature35, &gt;&gt; .\items\materia\class0020\Nature35.dbr</v>
      </c>
      <c r="T37" t="str">
        <f t="shared" si="7"/>
        <v>echo augmentSkillLevel1,3, &gt;&gt; .\items\materia\class0020\Nature35.dbr</v>
      </c>
      <c r="U37" t="str">
        <f t="shared" si="7"/>
        <v>echo augmentSkillName1,records/skillsnature/plague_susceptibility.dbr,, &gt;&gt; .\items\materia\class0020\Nature35.dbr</v>
      </c>
      <c r="V37" s="5" t="s">
        <v>36</v>
      </c>
      <c r="W37" t="str">
        <f t="shared" si="8"/>
        <v>echo lootName35,DAIL/items/materia/class0020/Nature35.dbr, &gt;&gt; .\items\loottables\dailoneskill0020.dbr</v>
      </c>
      <c r="X37" t="str">
        <f t="shared" si="8"/>
        <v>echo lootWeight35,1, &gt;&gt; .\items\loottables\dailoneskill0020.dbr</v>
      </c>
      <c r="Y37" s="5" t="s">
        <v>36</v>
      </c>
      <c r="Z37" t="str">
        <f t="shared" si="9"/>
        <v xml:space="preserve"> dailCompDescNature35=^pNature's Gift of DAIL</v>
      </c>
      <c r="AA37" t="str">
        <f t="shared" si="17"/>
        <v>dailCompTextNature35=^oThis feels warm to the touch, almost familiar ^w(This component only fits into the Medal Slot)</v>
      </c>
      <c r="AB37" s="5" t="s">
        <v>36</v>
      </c>
      <c r="AH37">
        <f t="shared" si="19"/>
        <v>32</v>
      </c>
      <c r="AI37">
        <f t="shared" si="13"/>
        <v>33</v>
      </c>
      <c r="AJ37">
        <f t="shared" si="18"/>
        <v>3</v>
      </c>
    </row>
    <row r="38" spans="1:36" x14ac:dyDescent="0.25">
      <c r="A38" s="5" t="s">
        <v>39</v>
      </c>
      <c r="B38" s="5" t="s">
        <v>30</v>
      </c>
      <c r="C38" s="5" t="str">
        <f t="shared" si="0"/>
        <v>description,dailCompDescNature36,</v>
      </c>
      <c r="D38" s="5" t="str">
        <f t="shared" si="2"/>
        <v>itemText,dailCompTextNature36,</v>
      </c>
      <c r="E38" s="5" t="str">
        <f t="shared" si="14"/>
        <v>augmentSkillLevel1,3,</v>
      </c>
      <c r="F38" s="5" t="str">
        <f t="shared" si="15"/>
        <v>augmentSkillName1,records/skillsnature/wolfsummons.dbr,,</v>
      </c>
      <c r="G38" s="7">
        <f t="shared" si="10"/>
        <v>36</v>
      </c>
      <c r="H38" s="8" t="str">
        <f t="shared" si="11"/>
        <v>Nature</v>
      </c>
      <c r="I38" s="3" t="s">
        <v>673</v>
      </c>
      <c r="J38" s="8" t="str">
        <f t="shared" si="21"/>
        <v>class0020</v>
      </c>
      <c r="K38" s="8" t="str">
        <f t="shared" si="21"/>
        <v>dailoneskill0020</v>
      </c>
      <c r="L38" s="5" t="str">
        <f t="shared" si="4"/>
        <v>lootName36,DAIL/items/materia/class0020/Nature36.dbr,</v>
      </c>
      <c r="M38" s="5" t="str">
        <f t="shared" si="5"/>
        <v>lootWeight36,1,</v>
      </c>
      <c r="N38" t="str">
        <f t="shared" si="6"/>
        <v>3</v>
      </c>
      <c r="O38" t="str">
        <f t="shared" si="16"/>
        <v>copy .\dail_base3.dbr .\items\materia\class0020\Nature36.dbr /y</v>
      </c>
      <c r="P38" t="str">
        <f t="shared" si="7"/>
        <v>echo relicBitmap,items/craftingparts/components/component_a52_bristlyfur_b.tex, &gt;&gt; .\items\materia\class0020\Nature36.dbr</v>
      </c>
      <c r="Q38" t="str">
        <f t="shared" si="7"/>
        <v>echo itemCost,500000, &gt;&gt; .\items\materia\class0020\Nature36.dbr</v>
      </c>
      <c r="R38" t="str">
        <f t="shared" si="7"/>
        <v>echo description,dailCompDescNature36, &gt;&gt; .\items\materia\class0020\Nature36.dbr</v>
      </c>
      <c r="S38" t="str">
        <f t="shared" si="7"/>
        <v>echo itemText,dailCompTextNature36, &gt;&gt; .\items\materia\class0020\Nature36.dbr</v>
      </c>
      <c r="T38" t="str">
        <f t="shared" si="7"/>
        <v>echo augmentSkillLevel1,3, &gt;&gt; .\items\materia\class0020\Nature36.dbr</v>
      </c>
      <c r="U38" t="str">
        <f t="shared" si="7"/>
        <v>echo augmentSkillName1,records/skillsnature/wolfsummons.dbr,, &gt;&gt; .\items\materia\class0020\Nature36.dbr</v>
      </c>
      <c r="V38" s="5" t="s">
        <v>36</v>
      </c>
      <c r="W38" t="str">
        <f t="shared" si="8"/>
        <v>echo lootName36,DAIL/items/materia/class0020/Nature36.dbr, &gt;&gt; .\items\loottables\dailoneskill0020.dbr</v>
      </c>
      <c r="X38" t="str">
        <f t="shared" si="8"/>
        <v>echo lootWeight36,1, &gt;&gt; .\items\loottables\dailoneskill0020.dbr</v>
      </c>
      <c r="Y38" s="5" t="s">
        <v>36</v>
      </c>
      <c r="Z38" t="str">
        <f t="shared" si="9"/>
        <v xml:space="preserve"> dailCompDescNature36=^pNature's Gift of DAIL</v>
      </c>
      <c r="AA38" t="str">
        <f t="shared" si="17"/>
        <v>dailCompTextNature36=^oThis feels warm to the touch, almost familiar ^w(This component only fits into the Medal Slot)</v>
      </c>
      <c r="AB38" s="5" t="s">
        <v>36</v>
      </c>
      <c r="AH38">
        <f t="shared" si="19"/>
        <v>33</v>
      </c>
      <c r="AI38">
        <f t="shared" si="13"/>
        <v>23</v>
      </c>
      <c r="AJ38">
        <f t="shared" si="18"/>
        <v>3</v>
      </c>
    </row>
    <row r="39" spans="1:36" x14ac:dyDescent="0.25">
      <c r="A39" s="5" t="s">
        <v>39</v>
      </c>
      <c r="B39" s="5" t="s">
        <v>30</v>
      </c>
      <c r="C39" s="5" t="str">
        <f t="shared" si="0"/>
        <v>description,dailCompDescNature37,</v>
      </c>
      <c r="D39" s="5" t="str">
        <f t="shared" si="2"/>
        <v>itemText,dailCompTextNature37,</v>
      </c>
      <c r="E39" s="5" t="str">
        <f t="shared" si="14"/>
        <v>augmentSkillLevel1,3,</v>
      </c>
      <c r="F39" s="5" t="str">
        <f t="shared" si="15"/>
        <v>augmentSkillName1,records/skillsnature/wolf_petmodifer_maul.dbr,,</v>
      </c>
      <c r="G39" s="7">
        <f t="shared" si="10"/>
        <v>37</v>
      </c>
      <c r="H39" s="8" t="str">
        <f t="shared" si="11"/>
        <v>Nature</v>
      </c>
      <c r="I39" s="3" t="s">
        <v>674</v>
      </c>
      <c r="J39" s="8" t="str">
        <f t="shared" si="21"/>
        <v>class0020</v>
      </c>
      <c r="K39" s="8" t="str">
        <f t="shared" si="21"/>
        <v>dailoneskill0020</v>
      </c>
      <c r="L39" s="5" t="str">
        <f t="shared" si="4"/>
        <v>lootName37,DAIL/items/materia/class0020/Nature37.dbr,</v>
      </c>
      <c r="M39" s="5" t="str">
        <f t="shared" si="5"/>
        <v>lootWeight37,1,</v>
      </c>
      <c r="N39" t="str">
        <f t="shared" si="6"/>
        <v>3</v>
      </c>
      <c r="O39" t="str">
        <f t="shared" si="16"/>
        <v>copy .\dail_base3.dbr .\items\materia\class0020\Nature37.dbr /y</v>
      </c>
      <c r="P39" t="str">
        <f t="shared" si="7"/>
        <v>echo relicBitmap,items/craftingparts/components/component_a52_bristlyfur_b.tex, &gt;&gt; .\items\materia\class0020\Nature37.dbr</v>
      </c>
      <c r="Q39" t="str">
        <f t="shared" si="7"/>
        <v>echo itemCost,500000, &gt;&gt; .\items\materia\class0020\Nature37.dbr</v>
      </c>
      <c r="R39" t="str">
        <f t="shared" si="7"/>
        <v>echo description,dailCompDescNature37, &gt;&gt; .\items\materia\class0020\Nature37.dbr</v>
      </c>
      <c r="S39" t="str">
        <f t="shared" si="7"/>
        <v>echo itemText,dailCompTextNature37, &gt;&gt; .\items\materia\class0020\Nature37.dbr</v>
      </c>
      <c r="T39" t="str">
        <f t="shared" si="7"/>
        <v>echo augmentSkillLevel1,3, &gt;&gt; .\items\materia\class0020\Nature37.dbr</v>
      </c>
      <c r="U39" t="str">
        <f t="shared" si="7"/>
        <v>echo augmentSkillName1,records/skillsnature/wolf_petmodifer_maul.dbr,, &gt;&gt; .\items\materia\class0020\Nature37.dbr</v>
      </c>
      <c r="V39" s="5" t="s">
        <v>36</v>
      </c>
      <c r="W39" t="str">
        <f t="shared" si="8"/>
        <v>echo lootName37,DAIL/items/materia/class0020/Nature37.dbr, &gt;&gt; .\items\loottables\dailoneskill0020.dbr</v>
      </c>
      <c r="X39" t="str">
        <f t="shared" si="8"/>
        <v>echo lootWeight37,1, &gt;&gt; .\items\loottables\dailoneskill0020.dbr</v>
      </c>
      <c r="Y39" s="5" t="s">
        <v>36</v>
      </c>
      <c r="Z39" t="str">
        <f t="shared" si="9"/>
        <v xml:space="preserve"> dailCompDescNature37=^pNature's Gift of DAIL</v>
      </c>
      <c r="AA39" t="str">
        <f t="shared" si="17"/>
        <v>dailCompTextNature37=^oThis feels warm to the touch, almost familiar ^w(This component only fits into the Medal Slot)</v>
      </c>
      <c r="AB39" s="5" t="s">
        <v>36</v>
      </c>
      <c r="AH39">
        <f t="shared" si="19"/>
        <v>34</v>
      </c>
      <c r="AI39">
        <f t="shared" si="13"/>
        <v>32</v>
      </c>
      <c r="AJ39">
        <f t="shared" si="18"/>
        <v>3</v>
      </c>
    </row>
    <row r="40" spans="1:36" x14ac:dyDescent="0.25">
      <c r="A40" s="5" t="s">
        <v>39</v>
      </c>
      <c r="B40" s="5" t="s">
        <v>30</v>
      </c>
      <c r="C40" s="5" t="str">
        <f t="shared" si="0"/>
        <v>description,dailCompDescNature38,</v>
      </c>
      <c r="D40" s="5" t="str">
        <f t="shared" si="2"/>
        <v>itemText,dailCompTextNature38,</v>
      </c>
      <c r="E40" s="5" t="str">
        <f t="shared" si="14"/>
        <v>augmentSkillLevel1,3,</v>
      </c>
      <c r="F40" s="5" t="str">
        <f t="shared" si="15"/>
        <v>augmentSkillName1,records/skillsnature/wolf_petmodifer_survivalinstinct.dbr,,</v>
      </c>
      <c r="G40" s="7">
        <f t="shared" si="10"/>
        <v>38</v>
      </c>
      <c r="H40" s="8" t="str">
        <f t="shared" si="11"/>
        <v>Nature</v>
      </c>
      <c r="I40" s="3" t="s">
        <v>675</v>
      </c>
      <c r="J40" s="8" t="str">
        <f t="shared" si="21"/>
        <v>class0020</v>
      </c>
      <c r="K40" s="8" t="str">
        <f t="shared" si="21"/>
        <v>dailoneskill0020</v>
      </c>
      <c r="L40" s="5" t="str">
        <f t="shared" si="4"/>
        <v>lootName38,DAIL/items/materia/class0020/Nature38.dbr,</v>
      </c>
      <c r="M40" s="5" t="str">
        <f t="shared" si="5"/>
        <v>lootWeight38,1,</v>
      </c>
      <c r="N40" t="str">
        <f t="shared" si="6"/>
        <v>3</v>
      </c>
      <c r="O40" t="str">
        <f t="shared" si="16"/>
        <v>copy .\dail_base3.dbr .\items\materia\class0020\Nature38.dbr /y</v>
      </c>
      <c r="P40" t="str">
        <f t="shared" si="7"/>
        <v>echo relicBitmap,items/craftingparts/components/component_a52_bristlyfur_b.tex, &gt;&gt; .\items\materia\class0020\Nature38.dbr</v>
      </c>
      <c r="Q40" t="str">
        <f t="shared" si="7"/>
        <v>echo itemCost,500000, &gt;&gt; .\items\materia\class0020\Nature38.dbr</v>
      </c>
      <c r="R40" t="str">
        <f t="shared" si="7"/>
        <v>echo description,dailCompDescNature38, &gt;&gt; .\items\materia\class0020\Nature38.dbr</v>
      </c>
      <c r="S40" t="str">
        <f t="shared" si="7"/>
        <v>echo itemText,dailCompTextNature38, &gt;&gt; .\items\materia\class0020\Nature38.dbr</v>
      </c>
      <c r="T40" t="str">
        <f t="shared" si="7"/>
        <v>echo augmentSkillLevel1,3, &gt;&gt; .\items\materia\class0020\Nature38.dbr</v>
      </c>
      <c r="U40" t="str">
        <f t="shared" si="7"/>
        <v>echo augmentSkillName1,records/skillsnature/wolf_petmodifer_survivalinstinct.dbr,, &gt;&gt; .\items\materia\class0020\Nature38.dbr</v>
      </c>
      <c r="V40" s="5" t="s">
        <v>36</v>
      </c>
      <c r="W40" t="str">
        <f t="shared" si="8"/>
        <v>echo lootName38,DAIL/items/materia/class0020/Nature38.dbr, &gt;&gt; .\items\loottables\dailoneskill0020.dbr</v>
      </c>
      <c r="X40" t="str">
        <f t="shared" si="8"/>
        <v>echo lootWeight38,1, &gt;&gt; .\items\loottables\dailoneskill0020.dbr</v>
      </c>
      <c r="Y40" s="5" t="s">
        <v>36</v>
      </c>
      <c r="Z40" t="str">
        <f t="shared" si="9"/>
        <v xml:space="preserve"> dailCompDescNature38=^pNature's Gift of DAIL</v>
      </c>
      <c r="AA40" t="str">
        <f t="shared" si="17"/>
        <v>dailCompTextNature38=^oThis feels warm to the touch, almost familiar ^w(This component only fits into the Medal Slot)</v>
      </c>
      <c r="AB40" s="5" t="s">
        <v>36</v>
      </c>
      <c r="AH40">
        <f t="shared" si="19"/>
        <v>35</v>
      </c>
      <c r="AI40">
        <f t="shared" si="13"/>
        <v>44</v>
      </c>
      <c r="AJ40">
        <f t="shared" si="18"/>
        <v>3</v>
      </c>
    </row>
    <row r="41" spans="1:36" x14ac:dyDescent="0.25">
      <c r="A41" s="5" t="s">
        <v>39</v>
      </c>
      <c r="B41" s="5" t="s">
        <v>30</v>
      </c>
      <c r="C41" s="5" t="str">
        <f t="shared" si="0"/>
        <v>description,dailCompDescNature39,</v>
      </c>
      <c r="D41" s="5" t="str">
        <f t="shared" si="2"/>
        <v>itemText,dailCompTextNature39,</v>
      </c>
      <c r="E41" s="5" t="str">
        <f t="shared" si="14"/>
        <v>augmentSkillLevel1,3,</v>
      </c>
      <c r="F41" s="5" t="str">
        <f t="shared" si="15"/>
        <v>augmentSkillName1,records/skillsnature/wolf_petmodifier_strengthofthepack.dbr,,</v>
      </c>
      <c r="G41" s="7">
        <f t="shared" si="10"/>
        <v>39</v>
      </c>
      <c r="H41" s="8" t="str">
        <f t="shared" si="11"/>
        <v>Nature</v>
      </c>
      <c r="I41" s="3" t="s">
        <v>676</v>
      </c>
      <c r="J41" s="8" t="str">
        <f t="shared" si="21"/>
        <v>class0020</v>
      </c>
      <c r="K41" s="8" t="str">
        <f t="shared" si="21"/>
        <v>dailoneskill0020</v>
      </c>
      <c r="L41" s="5" t="str">
        <f t="shared" si="4"/>
        <v>lootName39,DAIL/items/materia/class0020/Nature39.dbr,</v>
      </c>
      <c r="M41" s="5" t="str">
        <f t="shared" si="5"/>
        <v>lootWeight39,1,</v>
      </c>
      <c r="N41" t="str">
        <f t="shared" si="6"/>
        <v>3</v>
      </c>
      <c r="O41" t="str">
        <f t="shared" si="16"/>
        <v>copy .\dail_base3.dbr .\items\materia\class0020\Nature39.dbr /y</v>
      </c>
      <c r="P41" t="str">
        <f t="shared" si="7"/>
        <v>echo relicBitmap,items/craftingparts/components/component_a52_bristlyfur_b.tex, &gt;&gt; .\items\materia\class0020\Nature39.dbr</v>
      </c>
      <c r="Q41" t="str">
        <f t="shared" si="7"/>
        <v>echo itemCost,500000, &gt;&gt; .\items\materia\class0020\Nature39.dbr</v>
      </c>
      <c r="R41" t="str">
        <f t="shared" si="7"/>
        <v>echo description,dailCompDescNature39, &gt;&gt; .\items\materia\class0020\Nature39.dbr</v>
      </c>
      <c r="S41" t="str">
        <f t="shared" si="7"/>
        <v>echo itemText,dailCompTextNature39, &gt;&gt; .\items\materia\class0020\Nature39.dbr</v>
      </c>
      <c r="T41" t="str">
        <f t="shared" si="7"/>
        <v>echo augmentSkillLevel1,3, &gt;&gt; .\items\materia\class0020\Nature39.dbr</v>
      </c>
      <c r="U41" t="str">
        <f t="shared" si="7"/>
        <v>echo augmentSkillName1,records/skillsnature/wolf_petmodifier_strengthofthepack.dbr,, &gt;&gt; .\items\materia\class0020\Nature39.dbr</v>
      </c>
      <c r="V41" s="5" t="s">
        <v>36</v>
      </c>
      <c r="W41" t="str">
        <f t="shared" si="8"/>
        <v>echo lootName39,DAIL/items/materia/class0020/Nature39.dbr, &gt;&gt; .\items\loottables\dailoneskill0020.dbr</v>
      </c>
      <c r="X41" t="str">
        <f t="shared" si="8"/>
        <v>echo lootWeight39,1, &gt;&gt; .\items\loottables\dailoneskill0020.dbr</v>
      </c>
      <c r="Y41" s="5" t="s">
        <v>36</v>
      </c>
      <c r="Z41" t="str">
        <f t="shared" si="9"/>
        <v xml:space="preserve"> dailCompDescNature39=^pNature's Gift of DAIL</v>
      </c>
      <c r="AA41" t="str">
        <f t="shared" si="17"/>
        <v>dailCompTextNature39=^oThis feels warm to the touch, almost familiar ^w(This component only fits into the Medal Slot)</v>
      </c>
      <c r="AB41" s="5" t="s">
        <v>36</v>
      </c>
      <c r="AH41">
        <f t="shared" si="19"/>
        <v>36</v>
      </c>
      <c r="AI41">
        <f t="shared" si="13"/>
        <v>46</v>
      </c>
      <c r="AJ41">
        <f t="shared" si="18"/>
        <v>3</v>
      </c>
    </row>
    <row r="42" spans="1:36" x14ac:dyDescent="0.25">
      <c r="A42" s="5" t="s">
        <v>39</v>
      </c>
      <c r="B42" s="5" t="s">
        <v>30</v>
      </c>
      <c r="C42" s="5" t="str">
        <f t="shared" si="0"/>
        <v>description,dailCompDescNature40,</v>
      </c>
      <c r="D42" s="5" t="str">
        <f t="shared" si="2"/>
        <v>itemText,dailCompTextNature40,</v>
      </c>
      <c r="E42" s="5" t="str">
        <f t="shared" si="14"/>
        <v>augmentSkillLevel1,3,</v>
      </c>
      <c r="F42" s="5" t="str">
        <f t="shared" si="15"/>
        <v>augmentSkillName1,records/skillsnature/sylvannymphsummons.dbr,,</v>
      </c>
      <c r="G42" s="7">
        <f t="shared" si="10"/>
        <v>40</v>
      </c>
      <c r="H42" s="8" t="str">
        <f t="shared" si="11"/>
        <v>Nature</v>
      </c>
      <c r="I42" s="3" t="s">
        <v>677</v>
      </c>
      <c r="J42" s="8" t="str">
        <f t="shared" si="21"/>
        <v>class0020</v>
      </c>
      <c r="K42" s="8" t="str">
        <f t="shared" si="21"/>
        <v>dailoneskill0020</v>
      </c>
      <c r="L42" s="5" t="str">
        <f t="shared" si="4"/>
        <v>lootName40,DAIL/items/materia/class0020/Nature40.dbr,</v>
      </c>
      <c r="M42" s="5" t="str">
        <f t="shared" si="5"/>
        <v>lootWeight40,1,</v>
      </c>
      <c r="N42" t="str">
        <f t="shared" si="6"/>
        <v>3</v>
      </c>
      <c r="O42" t="str">
        <f t="shared" si="16"/>
        <v>copy .\dail_base3.dbr .\items\materia\class0020\Nature40.dbr /y</v>
      </c>
      <c r="P42" t="str">
        <f t="shared" si="7"/>
        <v>echo relicBitmap,items/craftingparts/components/component_a52_bristlyfur_b.tex, &gt;&gt; .\items\materia\class0020\Nature40.dbr</v>
      </c>
      <c r="Q42" t="str">
        <f t="shared" si="7"/>
        <v>echo itemCost,500000, &gt;&gt; .\items\materia\class0020\Nature40.dbr</v>
      </c>
      <c r="R42" t="str">
        <f t="shared" si="7"/>
        <v>echo description,dailCompDescNature40, &gt;&gt; .\items\materia\class0020\Nature40.dbr</v>
      </c>
      <c r="S42" t="str">
        <f t="shared" si="7"/>
        <v>echo itemText,dailCompTextNature40, &gt;&gt; .\items\materia\class0020\Nature40.dbr</v>
      </c>
      <c r="T42" t="str">
        <f t="shared" si="7"/>
        <v>echo augmentSkillLevel1,3, &gt;&gt; .\items\materia\class0020\Nature40.dbr</v>
      </c>
      <c r="U42" t="str">
        <f t="shared" si="7"/>
        <v>echo augmentSkillName1,records/skillsnature/sylvannymphsummons.dbr,, &gt;&gt; .\items\materia\class0020\Nature40.dbr</v>
      </c>
      <c r="V42" s="5" t="s">
        <v>36</v>
      </c>
      <c r="W42" t="str">
        <f t="shared" si="8"/>
        <v>echo lootName40,DAIL/items/materia/class0020/Nature40.dbr, &gt;&gt; .\items\loottables\dailoneskill0020.dbr</v>
      </c>
      <c r="X42" t="str">
        <f t="shared" si="8"/>
        <v>echo lootWeight40,1, &gt;&gt; .\items\loottables\dailoneskill0020.dbr</v>
      </c>
      <c r="Y42" s="5" t="s">
        <v>36</v>
      </c>
      <c r="Z42" t="str">
        <f t="shared" si="9"/>
        <v xml:space="preserve"> dailCompDescNature40=^pNature's Gift of DAIL</v>
      </c>
      <c r="AA42" t="str">
        <f t="shared" si="17"/>
        <v>dailCompTextNature40=^oThis feels warm to the touch, almost familiar ^w(This component only fits into the Medal Slot)</v>
      </c>
      <c r="AB42" s="5" t="s">
        <v>36</v>
      </c>
      <c r="AH42">
        <f t="shared" si="19"/>
        <v>37</v>
      </c>
      <c r="AI42">
        <f t="shared" si="13"/>
        <v>30</v>
      </c>
      <c r="AJ42">
        <f t="shared" si="18"/>
        <v>3</v>
      </c>
    </row>
    <row r="43" spans="1:36" x14ac:dyDescent="0.25">
      <c r="A43" s="5" t="s">
        <v>39</v>
      </c>
      <c r="B43" s="5" t="s">
        <v>30</v>
      </c>
      <c r="C43" s="5" t="str">
        <f t="shared" si="0"/>
        <v>description,dailCompDescNature41,</v>
      </c>
      <c r="D43" s="5" t="str">
        <f t="shared" si="2"/>
        <v>itemText,dailCompTextNature41,</v>
      </c>
      <c r="E43" s="5" t="str">
        <f t="shared" si="14"/>
        <v>augmentSkillLevel1,3,</v>
      </c>
      <c r="F43" s="5" t="str">
        <f t="shared" si="15"/>
        <v>augmentSkillName1,records/skillsnature/sylvannymph_petmodifier_overgrowth.dbr,,</v>
      </c>
      <c r="G43" s="7">
        <f t="shared" si="10"/>
        <v>41</v>
      </c>
      <c r="H43" s="8" t="str">
        <f t="shared" si="11"/>
        <v>Nature</v>
      </c>
      <c r="I43" s="3" t="s">
        <v>678</v>
      </c>
      <c r="J43" s="8" t="str">
        <f t="shared" si="21"/>
        <v>class0020</v>
      </c>
      <c r="K43" s="8" t="str">
        <f t="shared" si="21"/>
        <v>dailoneskill0020</v>
      </c>
      <c r="L43" s="5" t="str">
        <f t="shared" si="4"/>
        <v>lootName41,DAIL/items/materia/class0020/Nature41.dbr,</v>
      </c>
      <c r="M43" s="5" t="str">
        <f t="shared" si="5"/>
        <v>lootWeight41,1,</v>
      </c>
      <c r="N43" t="str">
        <f t="shared" si="6"/>
        <v>3</v>
      </c>
      <c r="O43" t="str">
        <f t="shared" si="16"/>
        <v>copy .\dail_base3.dbr .\items\materia\class0020\Nature41.dbr /y</v>
      </c>
      <c r="P43" t="str">
        <f t="shared" si="7"/>
        <v>echo relicBitmap,items/craftingparts/components/component_a52_bristlyfur_b.tex, &gt;&gt; .\items\materia\class0020\Nature41.dbr</v>
      </c>
      <c r="Q43" t="str">
        <f t="shared" si="7"/>
        <v>echo itemCost,500000, &gt;&gt; .\items\materia\class0020\Nature41.dbr</v>
      </c>
      <c r="R43" t="str">
        <f t="shared" si="7"/>
        <v>echo description,dailCompDescNature41, &gt;&gt; .\items\materia\class0020\Nature41.dbr</v>
      </c>
      <c r="S43" t="str">
        <f t="shared" si="7"/>
        <v>echo itemText,dailCompTextNature41, &gt;&gt; .\items\materia\class0020\Nature41.dbr</v>
      </c>
      <c r="T43" t="str">
        <f t="shared" si="7"/>
        <v>echo augmentSkillLevel1,3, &gt;&gt; .\items\materia\class0020\Nature41.dbr</v>
      </c>
      <c r="U43" t="str">
        <f t="shared" si="7"/>
        <v>echo augmentSkillName1,records/skillsnature/sylvannymph_petmodifier_overgrowth.dbr,, &gt;&gt; .\items\materia\class0020\Nature41.dbr</v>
      </c>
      <c r="V43" s="5" t="s">
        <v>36</v>
      </c>
      <c r="W43" t="str">
        <f t="shared" si="8"/>
        <v>echo lootName41,DAIL/items/materia/class0020/Nature41.dbr, &gt;&gt; .\items\loottables\dailoneskill0020.dbr</v>
      </c>
      <c r="X43" t="str">
        <f t="shared" si="8"/>
        <v>echo lootWeight41,1, &gt;&gt; .\items\loottables\dailoneskill0020.dbr</v>
      </c>
      <c r="Y43" s="5" t="s">
        <v>36</v>
      </c>
      <c r="Z43" t="str">
        <f t="shared" si="9"/>
        <v xml:space="preserve"> dailCompDescNature41=^pNature's Gift of DAIL</v>
      </c>
      <c r="AA43" t="str">
        <f t="shared" si="17"/>
        <v>dailCompTextNature41=^oThis feels warm to the touch, almost familiar ^w(This component only fits into the Medal Slot)</v>
      </c>
      <c r="AB43" s="5" t="s">
        <v>36</v>
      </c>
      <c r="AH43">
        <f t="shared" si="19"/>
        <v>38</v>
      </c>
      <c r="AI43">
        <f t="shared" si="13"/>
        <v>46</v>
      </c>
      <c r="AJ43">
        <f t="shared" si="18"/>
        <v>3</v>
      </c>
    </row>
    <row r="44" spans="1:36" x14ac:dyDescent="0.25">
      <c r="A44" s="5" t="s">
        <v>39</v>
      </c>
      <c r="B44" s="5" t="s">
        <v>30</v>
      </c>
      <c r="C44" s="5" t="str">
        <f t="shared" si="0"/>
        <v>description,dailCompDescNature42,</v>
      </c>
      <c r="D44" s="5" t="str">
        <f t="shared" si="2"/>
        <v>itemText,dailCompTextNature42,</v>
      </c>
      <c r="E44" s="5" t="str">
        <f t="shared" si="14"/>
        <v>augmentSkillLevel1,3,</v>
      </c>
      <c r="F44" s="5" t="str">
        <f t="shared" si="15"/>
        <v>augmentSkillName1,records/skillsnature/sylvannymph_petmodifier_nature'swrath.dbr,,</v>
      </c>
      <c r="G44" s="7">
        <f t="shared" si="10"/>
        <v>42</v>
      </c>
      <c r="H44" s="8" t="str">
        <f t="shared" si="11"/>
        <v>Nature</v>
      </c>
      <c r="I44" s="3" t="s">
        <v>679</v>
      </c>
      <c r="J44" s="8" t="str">
        <f t="shared" si="21"/>
        <v>class0020</v>
      </c>
      <c r="K44" s="8" t="str">
        <f t="shared" si="21"/>
        <v>dailoneskill0020</v>
      </c>
      <c r="L44" s="5" t="str">
        <f t="shared" si="4"/>
        <v>lootName42,DAIL/items/materia/class0020/Nature42.dbr,</v>
      </c>
      <c r="M44" s="5" t="str">
        <f t="shared" si="5"/>
        <v>lootWeight42,1,</v>
      </c>
      <c r="N44" t="str">
        <f t="shared" si="6"/>
        <v>3</v>
      </c>
      <c r="O44" t="str">
        <f t="shared" si="16"/>
        <v>copy .\dail_base3.dbr .\items\materia\class0020\Nature42.dbr /y</v>
      </c>
      <c r="P44" t="str">
        <f t="shared" si="7"/>
        <v>echo relicBitmap,items/craftingparts/components/component_a52_bristlyfur_b.tex, &gt;&gt; .\items\materia\class0020\Nature42.dbr</v>
      </c>
      <c r="Q44" t="str">
        <f t="shared" si="7"/>
        <v>echo itemCost,500000, &gt;&gt; .\items\materia\class0020\Nature42.dbr</v>
      </c>
      <c r="R44" t="str">
        <f t="shared" si="7"/>
        <v>echo description,dailCompDescNature42, &gt;&gt; .\items\materia\class0020\Nature42.dbr</v>
      </c>
      <c r="S44" t="str">
        <f t="shared" si="7"/>
        <v>echo itemText,dailCompTextNature42, &gt;&gt; .\items\materia\class0020\Nature42.dbr</v>
      </c>
      <c r="T44" t="str">
        <f t="shared" si="7"/>
        <v>echo augmentSkillLevel1,3, &gt;&gt; .\items\materia\class0020\Nature42.dbr</v>
      </c>
      <c r="U44" t="str">
        <f t="shared" si="7"/>
        <v>echo augmentSkillName1,records/skillsnature/sylvannymph_petmodifier_nature'swrath.dbr,, &gt;&gt; .\items\materia\class0020\Nature42.dbr</v>
      </c>
      <c r="V44" s="5" t="s">
        <v>36</v>
      </c>
      <c r="W44" t="str">
        <f t="shared" si="8"/>
        <v>echo lootName42,DAIL/items/materia/class0020/Nature42.dbr, &gt;&gt; .\items\loottables\dailoneskill0020.dbr</v>
      </c>
      <c r="X44" t="str">
        <f t="shared" si="8"/>
        <v>echo lootWeight42,1, &gt;&gt; .\items\loottables\dailoneskill0020.dbr</v>
      </c>
      <c r="Y44" s="5" t="s">
        <v>36</v>
      </c>
      <c r="Z44" t="str">
        <f t="shared" si="9"/>
        <v xml:space="preserve"> dailCompDescNature42=^pNature's Gift of DAIL</v>
      </c>
      <c r="AA44" t="str">
        <f t="shared" si="17"/>
        <v>dailCompTextNature42=^oThis feels warm to the touch, almost familiar ^w(This component only fits into the Medal Slot)</v>
      </c>
      <c r="AB44" s="5" t="s">
        <v>36</v>
      </c>
      <c r="AH44">
        <f t="shared" si="19"/>
        <v>39</v>
      </c>
      <c r="AI44">
        <f t="shared" si="13"/>
        <v>49</v>
      </c>
      <c r="AJ44">
        <f t="shared" si="18"/>
        <v>3</v>
      </c>
    </row>
    <row r="45" spans="1:36" x14ac:dyDescent="0.25">
      <c r="A45" s="5" t="s">
        <v>39</v>
      </c>
      <c r="B45" s="5" t="s">
        <v>30</v>
      </c>
      <c r="C45" s="5" t="str">
        <f t="shared" si="0"/>
        <v>description,dailCompDescNature43,</v>
      </c>
      <c r="D45" s="5" t="str">
        <f t="shared" si="2"/>
        <v>itemText,dailCompTextNature43,</v>
      </c>
      <c r="E45" s="5" t="str">
        <f t="shared" si="14"/>
        <v>augmentSkillLevel1,5,</v>
      </c>
      <c r="F45" s="5" t="str">
        <f t="shared" si="15"/>
        <v>augmentSkillName1,records/skillsnature/renewal.dbr,,</v>
      </c>
      <c r="G45" s="7">
        <f t="shared" si="10"/>
        <v>43</v>
      </c>
      <c r="H45" s="8" t="str">
        <f t="shared" si="11"/>
        <v>Nature</v>
      </c>
      <c r="I45" s="3" t="s">
        <v>680</v>
      </c>
      <c r="J45" s="8" t="str">
        <f t="shared" si="21"/>
        <v>class0020</v>
      </c>
      <c r="K45" s="8" t="str">
        <f t="shared" si="21"/>
        <v>dailoneskill0020</v>
      </c>
      <c r="L45" s="5" t="str">
        <f t="shared" si="4"/>
        <v>lootName43,DAIL/items/materia/class0020/Nature43.dbr,</v>
      </c>
      <c r="M45" s="5" t="str">
        <f t="shared" si="5"/>
        <v>lootWeight43,1,</v>
      </c>
      <c r="N45" t="str">
        <f t="shared" si="6"/>
        <v>5</v>
      </c>
      <c r="O45" t="str">
        <f t="shared" si="16"/>
        <v>copy .\dail_base3.dbr .\items\materia\class0020\Nature43.dbr /y</v>
      </c>
      <c r="P45" t="str">
        <f t="shared" si="7"/>
        <v>echo relicBitmap,items/craftingparts/components/component_a52_bristlyfur_b.tex, &gt;&gt; .\items\materia\class0020\Nature43.dbr</v>
      </c>
      <c r="Q45" t="str">
        <f t="shared" si="7"/>
        <v>echo itemCost,500000, &gt;&gt; .\items\materia\class0020\Nature43.dbr</v>
      </c>
      <c r="R45" t="str">
        <f t="shared" si="7"/>
        <v>echo description,dailCompDescNature43, &gt;&gt; .\items\materia\class0020\Nature43.dbr</v>
      </c>
      <c r="S45" t="str">
        <f t="shared" si="7"/>
        <v>echo itemText,dailCompTextNature43, &gt;&gt; .\items\materia\class0020\Nature43.dbr</v>
      </c>
      <c r="T45" t="str">
        <f t="shared" si="7"/>
        <v>echo augmentSkillLevel1,5, &gt;&gt; .\items\materia\class0020\Nature43.dbr</v>
      </c>
      <c r="U45" t="str">
        <f t="shared" si="7"/>
        <v>echo augmentSkillName1,records/skillsnature/renewal.dbr,, &gt;&gt; .\items\materia\class0020\Nature43.dbr</v>
      </c>
      <c r="V45" s="5" t="s">
        <v>36</v>
      </c>
      <c r="W45" t="str">
        <f t="shared" si="8"/>
        <v>echo lootName43,DAIL/items/materia/class0020/Nature43.dbr, &gt;&gt; .\items\loottables\dailoneskill0020.dbr</v>
      </c>
      <c r="X45" t="str">
        <f t="shared" si="8"/>
        <v>echo lootWeight43,1, &gt;&gt; .\items\loottables\dailoneskill0020.dbr</v>
      </c>
      <c r="Y45" s="5" t="s">
        <v>36</v>
      </c>
      <c r="Z45" t="str">
        <f t="shared" si="9"/>
        <v xml:space="preserve"> dailCompDescNature43=^pNature's Gift of DAIL</v>
      </c>
      <c r="AA45" t="str">
        <f t="shared" si="17"/>
        <v>dailCompTextNature43=^oThis feels warm to the touch, almost familiar ^w(This component only fits into the Medal Slot)</v>
      </c>
      <c r="AB45" s="5" t="s">
        <v>36</v>
      </c>
      <c r="AH45">
        <f t="shared" si="19"/>
        <v>40</v>
      </c>
      <c r="AI45">
        <f t="shared" si="13"/>
        <v>19</v>
      </c>
      <c r="AJ45">
        <f t="shared" si="18"/>
        <v>5</v>
      </c>
    </row>
    <row r="46" spans="1:36" x14ac:dyDescent="0.25">
      <c r="A46" s="5" t="s">
        <v>39</v>
      </c>
      <c r="B46" s="5" t="s">
        <v>30</v>
      </c>
      <c r="C46" s="5" t="str">
        <f t="shared" si="0"/>
        <v>description,dailCompDescNature44,</v>
      </c>
      <c r="D46" s="5" t="str">
        <f t="shared" si="2"/>
        <v>itemText,dailCompTextNature44,</v>
      </c>
      <c r="E46" s="5" t="str">
        <f t="shared" si="14"/>
        <v>augmentSkillLevel1,5,</v>
      </c>
      <c r="F46" s="5" t="str">
        <f t="shared" si="15"/>
        <v>augmentSkillName1,records/skillsnature/regrowth.dbr,,</v>
      </c>
      <c r="G46" s="7">
        <f t="shared" si="10"/>
        <v>44</v>
      </c>
      <c r="H46" s="8" t="str">
        <f t="shared" si="11"/>
        <v>Nature</v>
      </c>
      <c r="I46" s="3" t="s">
        <v>661</v>
      </c>
      <c r="J46" s="8" t="str">
        <f t="shared" si="21"/>
        <v>class0020</v>
      </c>
      <c r="K46" s="8" t="str">
        <f t="shared" si="21"/>
        <v>dailoneskill0020</v>
      </c>
      <c r="L46" s="5" t="str">
        <f t="shared" si="4"/>
        <v>lootName44,DAIL/items/materia/class0020/Nature44.dbr,</v>
      </c>
      <c r="M46" s="5" t="str">
        <f t="shared" si="5"/>
        <v>lootWeight44,1,</v>
      </c>
      <c r="N46" t="str">
        <f t="shared" si="6"/>
        <v>5</v>
      </c>
      <c r="O46" t="str">
        <f t="shared" si="16"/>
        <v>copy .\dail_base3.dbr .\items\materia\class0020\Nature44.dbr /y</v>
      </c>
      <c r="P46" t="str">
        <f t="shared" si="7"/>
        <v>echo relicBitmap,items/craftingparts/components/component_a52_bristlyfur_b.tex, &gt;&gt; .\items\materia\class0020\Nature44.dbr</v>
      </c>
      <c r="Q46" t="str">
        <f t="shared" si="7"/>
        <v>echo itemCost,500000, &gt;&gt; .\items\materia\class0020\Nature44.dbr</v>
      </c>
      <c r="R46" t="str">
        <f t="shared" si="7"/>
        <v>echo description,dailCompDescNature44, &gt;&gt; .\items\materia\class0020\Nature44.dbr</v>
      </c>
      <c r="S46" t="str">
        <f t="shared" si="7"/>
        <v>echo itemText,dailCompTextNature44, &gt;&gt; .\items\materia\class0020\Nature44.dbr</v>
      </c>
      <c r="T46" t="str">
        <f t="shared" si="7"/>
        <v>echo augmentSkillLevel1,5, &gt;&gt; .\items\materia\class0020\Nature44.dbr</v>
      </c>
      <c r="U46" t="str">
        <f t="shared" si="7"/>
        <v>echo augmentSkillName1,records/skillsnature/regrowth.dbr,, &gt;&gt; .\items\materia\class0020\Nature44.dbr</v>
      </c>
      <c r="V46" s="5" t="s">
        <v>36</v>
      </c>
      <c r="W46" t="str">
        <f t="shared" si="8"/>
        <v>echo lootName44,DAIL/items/materia/class0020/Nature44.dbr, &gt;&gt; .\items\loottables\dailoneskill0020.dbr</v>
      </c>
      <c r="X46" t="str">
        <f t="shared" si="8"/>
        <v>echo lootWeight44,1, &gt;&gt; .\items\loottables\dailoneskill0020.dbr</v>
      </c>
      <c r="Y46" s="5" t="s">
        <v>36</v>
      </c>
      <c r="Z46" t="str">
        <f t="shared" si="9"/>
        <v xml:space="preserve"> dailCompDescNature44=^pNature's Gift of DAIL</v>
      </c>
      <c r="AA46" t="str">
        <f t="shared" si="17"/>
        <v>dailCompTextNature44=^oThis feels warm to the touch, almost familiar ^w(This component only fits into the Medal Slot)</v>
      </c>
      <c r="AB46" s="5" t="s">
        <v>36</v>
      </c>
      <c r="AH46">
        <f t="shared" si="19"/>
        <v>41</v>
      </c>
      <c r="AI46">
        <f t="shared" si="13"/>
        <v>20</v>
      </c>
      <c r="AJ46">
        <f t="shared" si="18"/>
        <v>5</v>
      </c>
    </row>
    <row r="47" spans="1:36" x14ac:dyDescent="0.25">
      <c r="A47" s="5" t="s">
        <v>39</v>
      </c>
      <c r="B47" s="5" t="s">
        <v>30</v>
      </c>
      <c r="C47" s="5" t="str">
        <f t="shared" si="0"/>
        <v>description,dailCompDescNature45,</v>
      </c>
      <c r="D47" s="5" t="str">
        <f t="shared" si="2"/>
        <v>itemText,dailCompTextNature45,</v>
      </c>
      <c r="E47" s="5" t="str">
        <f t="shared" si="14"/>
        <v>augmentSkillLevel1,5,</v>
      </c>
      <c r="F47" s="5" t="str">
        <f t="shared" si="15"/>
        <v>augmentSkillName1,records/skillsnature/regrowth_acceleratedgrowth.dbr,,</v>
      </c>
      <c r="G47" s="7">
        <f t="shared" si="10"/>
        <v>45</v>
      </c>
      <c r="H47" s="8" t="str">
        <f t="shared" si="11"/>
        <v>Nature</v>
      </c>
      <c r="I47" s="3" t="s">
        <v>662</v>
      </c>
      <c r="J47" s="8" t="str">
        <f t="shared" si="21"/>
        <v>class0020</v>
      </c>
      <c r="K47" s="8" t="str">
        <f t="shared" si="21"/>
        <v>dailoneskill0020</v>
      </c>
      <c r="L47" s="5" t="str">
        <f t="shared" si="4"/>
        <v>lootName45,DAIL/items/materia/class0020/Nature45.dbr,</v>
      </c>
      <c r="M47" s="5" t="str">
        <f t="shared" si="5"/>
        <v>lootWeight45,1,</v>
      </c>
      <c r="N47" t="str">
        <f t="shared" si="6"/>
        <v>5</v>
      </c>
      <c r="O47" t="str">
        <f t="shared" si="16"/>
        <v>copy .\dail_base3.dbr .\items\materia\class0020\Nature45.dbr /y</v>
      </c>
      <c r="P47" t="str">
        <f t="shared" si="7"/>
        <v>echo relicBitmap,items/craftingparts/components/component_a52_bristlyfur_b.tex, &gt;&gt; .\items\materia\class0020\Nature45.dbr</v>
      </c>
      <c r="Q47" t="str">
        <f t="shared" si="7"/>
        <v>echo itemCost,500000, &gt;&gt; .\items\materia\class0020\Nature45.dbr</v>
      </c>
      <c r="R47" t="str">
        <f t="shared" si="7"/>
        <v>echo description,dailCompDescNature45, &gt;&gt; .\items\materia\class0020\Nature45.dbr</v>
      </c>
      <c r="S47" t="str">
        <f t="shared" si="7"/>
        <v>echo itemText,dailCompTextNature45, &gt;&gt; .\items\materia\class0020\Nature45.dbr</v>
      </c>
      <c r="T47" t="str">
        <f t="shared" si="7"/>
        <v>echo augmentSkillLevel1,5, &gt;&gt; .\items\materia\class0020\Nature45.dbr</v>
      </c>
      <c r="U47" t="str">
        <f t="shared" si="7"/>
        <v>echo augmentSkillName1,records/skillsnature/regrowth_acceleratedgrowth.dbr,, &gt;&gt; .\items\materia\class0020\Nature45.dbr</v>
      </c>
      <c r="V47" s="5" t="s">
        <v>36</v>
      </c>
      <c r="W47" t="str">
        <f t="shared" si="8"/>
        <v>echo lootName45,DAIL/items/materia/class0020/Nature45.dbr, &gt;&gt; .\items\loottables\dailoneskill0020.dbr</v>
      </c>
      <c r="X47" t="str">
        <f t="shared" si="8"/>
        <v>echo lootWeight45,1, &gt;&gt; .\items\loottables\dailoneskill0020.dbr</v>
      </c>
      <c r="Y47" s="5" t="s">
        <v>36</v>
      </c>
      <c r="Z47" t="str">
        <f t="shared" si="9"/>
        <v xml:space="preserve"> dailCompDescNature45=^pNature's Gift of DAIL</v>
      </c>
      <c r="AA47" t="str">
        <f t="shared" si="17"/>
        <v>dailCompTextNature45=^oThis feels warm to the touch, almost familiar ^w(This component only fits into the Medal Slot)</v>
      </c>
      <c r="AB47" s="5" t="s">
        <v>36</v>
      </c>
      <c r="AH47">
        <f t="shared" si="19"/>
        <v>42</v>
      </c>
      <c r="AI47">
        <f t="shared" si="13"/>
        <v>38</v>
      </c>
      <c r="AJ47">
        <f t="shared" si="18"/>
        <v>5</v>
      </c>
    </row>
    <row r="48" spans="1:36" x14ac:dyDescent="0.25">
      <c r="A48" s="5" t="s">
        <v>39</v>
      </c>
      <c r="B48" s="5" t="s">
        <v>30</v>
      </c>
      <c r="C48" s="5" t="str">
        <f t="shared" si="0"/>
        <v>description,dailCompDescNature46,</v>
      </c>
      <c r="D48" s="5" t="str">
        <f t="shared" si="2"/>
        <v>itemText,dailCompTextNature46,</v>
      </c>
      <c r="E48" s="5" t="str">
        <f t="shared" si="14"/>
        <v>augmentSkillLevel1,5,</v>
      </c>
      <c r="F48" s="5" t="str">
        <f t="shared" si="15"/>
        <v>augmentSkillName1,records/skillsnature/regrowth_dissemination.dbr,,</v>
      </c>
      <c r="G48" s="7">
        <f t="shared" si="10"/>
        <v>46</v>
      </c>
      <c r="H48" s="8" t="str">
        <f t="shared" si="11"/>
        <v>Nature</v>
      </c>
      <c r="I48" s="3" t="s">
        <v>663</v>
      </c>
      <c r="J48" s="8" t="str">
        <f t="shared" si="21"/>
        <v>class0020</v>
      </c>
      <c r="K48" s="8" t="str">
        <f t="shared" si="21"/>
        <v>dailoneskill0020</v>
      </c>
      <c r="L48" s="5" t="str">
        <f t="shared" si="4"/>
        <v>lootName46,DAIL/items/materia/class0020/Nature46.dbr,</v>
      </c>
      <c r="M48" s="5" t="str">
        <f t="shared" si="5"/>
        <v>lootWeight46,1,</v>
      </c>
      <c r="N48" t="str">
        <f t="shared" si="6"/>
        <v>5</v>
      </c>
      <c r="O48" t="str">
        <f t="shared" si="16"/>
        <v>copy .\dail_base3.dbr .\items\materia\class0020\Nature46.dbr /y</v>
      </c>
      <c r="P48" t="str">
        <f t="shared" si="7"/>
        <v>echo relicBitmap,items/craftingparts/components/component_a52_bristlyfur_b.tex, &gt;&gt; .\items\materia\class0020\Nature46.dbr</v>
      </c>
      <c r="Q48" t="str">
        <f t="shared" si="7"/>
        <v>echo itemCost,500000, &gt;&gt; .\items\materia\class0020\Nature46.dbr</v>
      </c>
      <c r="R48" t="str">
        <f t="shared" si="7"/>
        <v>echo description,dailCompDescNature46, &gt;&gt; .\items\materia\class0020\Nature46.dbr</v>
      </c>
      <c r="S48" t="str">
        <f t="shared" si="7"/>
        <v>echo itemText,dailCompTextNature46, &gt;&gt; .\items\materia\class0020\Nature46.dbr</v>
      </c>
      <c r="T48" t="str">
        <f t="shared" si="7"/>
        <v>echo augmentSkillLevel1,5, &gt;&gt; .\items\materia\class0020\Nature46.dbr</v>
      </c>
      <c r="U48" t="str">
        <f t="shared" si="7"/>
        <v>echo augmentSkillName1,records/skillsnature/regrowth_dissemination.dbr,, &gt;&gt; .\items\materia\class0020\Nature46.dbr</v>
      </c>
      <c r="V48" s="5" t="s">
        <v>36</v>
      </c>
      <c r="W48" t="str">
        <f t="shared" si="8"/>
        <v>echo lootName46,DAIL/items/materia/class0020/Nature46.dbr, &gt;&gt; .\items\loottables\dailoneskill0020.dbr</v>
      </c>
      <c r="X48" t="str">
        <f t="shared" si="8"/>
        <v>echo lootWeight46,1, &gt;&gt; .\items\loottables\dailoneskill0020.dbr</v>
      </c>
      <c r="Y48" s="5" t="s">
        <v>36</v>
      </c>
      <c r="Z48" t="str">
        <f t="shared" si="9"/>
        <v xml:space="preserve"> dailCompDescNature46=^pNature's Gift of DAIL</v>
      </c>
      <c r="AA48" t="str">
        <f t="shared" si="17"/>
        <v>dailCompTextNature46=^oThis feels warm to the touch, almost familiar ^w(This component only fits into the Medal Slot)</v>
      </c>
      <c r="AB48" s="5" t="s">
        <v>36</v>
      </c>
      <c r="AH48">
        <f t="shared" si="19"/>
        <v>43</v>
      </c>
      <c r="AI48">
        <f t="shared" si="13"/>
        <v>34</v>
      </c>
      <c r="AJ48">
        <f t="shared" si="18"/>
        <v>5</v>
      </c>
    </row>
    <row r="49" spans="1:36" x14ac:dyDescent="0.25">
      <c r="A49" s="5" t="s">
        <v>39</v>
      </c>
      <c r="B49" s="5" t="s">
        <v>30</v>
      </c>
      <c r="C49" s="5" t="str">
        <f t="shared" si="0"/>
        <v>description,dailCompDescNature47,</v>
      </c>
      <c r="D49" s="5" t="str">
        <f t="shared" si="2"/>
        <v>itemText,dailCompTextNature47,</v>
      </c>
      <c r="E49" s="5" t="str">
        <f t="shared" si="14"/>
        <v>augmentSkillLevel1,5,</v>
      </c>
      <c r="F49" s="5" t="str">
        <f t="shared" si="15"/>
        <v>augmentSkillName1,records/skillsnature/briarward.dbr,,</v>
      </c>
      <c r="G49" s="7">
        <f t="shared" si="10"/>
        <v>47</v>
      </c>
      <c r="H49" s="8" t="str">
        <f t="shared" si="11"/>
        <v>Nature</v>
      </c>
      <c r="I49" s="3" t="s">
        <v>664</v>
      </c>
      <c r="J49" s="8" t="str">
        <f t="shared" si="21"/>
        <v>class0020</v>
      </c>
      <c r="K49" s="8" t="str">
        <f t="shared" si="21"/>
        <v>dailoneskill0020</v>
      </c>
      <c r="L49" s="5" t="str">
        <f t="shared" si="4"/>
        <v>lootName47,DAIL/items/materia/class0020/Nature47.dbr,</v>
      </c>
      <c r="M49" s="5" t="str">
        <f t="shared" si="5"/>
        <v>lootWeight47,1,</v>
      </c>
      <c r="N49" t="str">
        <f t="shared" si="6"/>
        <v>5</v>
      </c>
      <c r="O49" t="str">
        <f t="shared" si="16"/>
        <v>copy .\dail_base3.dbr .\items\materia\class0020\Nature47.dbr /y</v>
      </c>
      <c r="P49" t="str">
        <f t="shared" si="7"/>
        <v>echo relicBitmap,items/craftingparts/components/component_a52_bristlyfur_b.tex, &gt;&gt; .\items\materia\class0020\Nature47.dbr</v>
      </c>
      <c r="Q49" t="str">
        <f t="shared" si="7"/>
        <v>echo itemCost,500000, &gt;&gt; .\items\materia\class0020\Nature47.dbr</v>
      </c>
      <c r="R49" t="str">
        <f t="shared" si="7"/>
        <v>echo description,dailCompDescNature47, &gt;&gt; .\items\materia\class0020\Nature47.dbr</v>
      </c>
      <c r="S49" t="str">
        <f t="shared" si="7"/>
        <v>echo itemText,dailCompTextNature47, &gt;&gt; .\items\materia\class0020\Nature47.dbr</v>
      </c>
      <c r="T49" t="str">
        <f t="shared" si="7"/>
        <v>echo augmentSkillLevel1,5, &gt;&gt; .\items\materia\class0020\Nature47.dbr</v>
      </c>
      <c r="U49" t="str">
        <f t="shared" si="7"/>
        <v>echo augmentSkillName1,records/skillsnature/briarward.dbr,, &gt;&gt; .\items\materia\class0020\Nature47.dbr</v>
      </c>
      <c r="V49" s="5" t="s">
        <v>36</v>
      </c>
      <c r="W49" t="str">
        <f t="shared" si="8"/>
        <v>echo lootName47,DAIL/items/materia/class0020/Nature47.dbr, &gt;&gt; .\items\loottables\dailoneskill0020.dbr</v>
      </c>
      <c r="X49" t="str">
        <f t="shared" si="8"/>
        <v>echo lootWeight47,1, &gt;&gt; .\items\loottables\dailoneskill0020.dbr</v>
      </c>
      <c r="Y49" s="5" t="s">
        <v>36</v>
      </c>
      <c r="Z49" t="str">
        <f t="shared" si="9"/>
        <v xml:space="preserve"> dailCompDescNature47=^pNature's Gift of DAIL</v>
      </c>
      <c r="AA49" t="str">
        <f t="shared" si="17"/>
        <v>dailCompTextNature47=^oThis feels warm to the touch, almost familiar ^w(This component only fits into the Medal Slot)</v>
      </c>
      <c r="AB49" s="5" t="s">
        <v>36</v>
      </c>
      <c r="AH49">
        <f t="shared" si="19"/>
        <v>44</v>
      </c>
      <c r="AI49">
        <f t="shared" si="13"/>
        <v>21</v>
      </c>
      <c r="AJ49">
        <f t="shared" si="18"/>
        <v>5</v>
      </c>
    </row>
    <row r="50" spans="1:36" x14ac:dyDescent="0.25">
      <c r="A50" s="5" t="s">
        <v>39</v>
      </c>
      <c r="B50" s="5" t="s">
        <v>30</v>
      </c>
      <c r="C50" s="5" t="str">
        <f t="shared" si="0"/>
        <v>description,dailCompDescNature48,</v>
      </c>
      <c r="D50" s="5" t="str">
        <f t="shared" si="2"/>
        <v>itemText,dailCompTextNature48,</v>
      </c>
      <c r="E50" s="5" t="str">
        <f t="shared" si="14"/>
        <v>augmentSkillLevel1,5,</v>
      </c>
      <c r="F50" s="5" t="str">
        <f t="shared" si="15"/>
        <v>augmentSkillName1,records/skillsnature/briarward_petmodifier_stingingnettle.dbr,,</v>
      </c>
      <c r="G50" s="7">
        <f t="shared" si="10"/>
        <v>48</v>
      </c>
      <c r="H50" s="8" t="str">
        <f t="shared" si="11"/>
        <v>Nature</v>
      </c>
      <c r="I50" s="3" t="s">
        <v>665</v>
      </c>
      <c r="J50" s="8" t="str">
        <f t="shared" si="21"/>
        <v>class0020</v>
      </c>
      <c r="K50" s="8" t="str">
        <f t="shared" si="21"/>
        <v>dailoneskill0020</v>
      </c>
      <c r="L50" s="5" t="str">
        <f t="shared" si="4"/>
        <v>lootName48,DAIL/items/materia/class0020/Nature48.dbr,</v>
      </c>
      <c r="M50" s="5" t="str">
        <f t="shared" si="5"/>
        <v>lootWeight48,1,</v>
      </c>
      <c r="N50" t="str">
        <f t="shared" si="6"/>
        <v>5</v>
      </c>
      <c r="O50" t="str">
        <f t="shared" si="16"/>
        <v>copy .\dail_base3.dbr .\items\materia\class0020\Nature48.dbr /y</v>
      </c>
      <c r="P50" t="str">
        <f t="shared" si="7"/>
        <v>echo relicBitmap,items/craftingparts/components/component_a52_bristlyfur_b.tex, &gt;&gt; .\items\materia\class0020\Nature48.dbr</v>
      </c>
      <c r="Q50" t="str">
        <f t="shared" si="7"/>
        <v>echo itemCost,500000, &gt;&gt; .\items\materia\class0020\Nature48.dbr</v>
      </c>
      <c r="R50" t="str">
        <f t="shared" si="7"/>
        <v>echo description,dailCompDescNature48, &gt;&gt; .\items\materia\class0020\Nature48.dbr</v>
      </c>
      <c r="S50" t="str">
        <f t="shared" si="7"/>
        <v>echo itemText,dailCompTextNature48, &gt;&gt; .\items\materia\class0020\Nature48.dbr</v>
      </c>
      <c r="T50" t="str">
        <f t="shared" si="7"/>
        <v>echo augmentSkillLevel1,5, &gt;&gt; .\items\materia\class0020\Nature48.dbr</v>
      </c>
      <c r="U50" t="str">
        <f t="shared" si="7"/>
        <v>echo augmentSkillName1,records/skillsnature/briarward_petmodifier_stingingnettle.dbr,, &gt;&gt; .\items\materia\class0020\Nature48.dbr</v>
      </c>
      <c r="V50" s="5" t="s">
        <v>36</v>
      </c>
      <c r="W50" t="str">
        <f t="shared" si="8"/>
        <v>echo lootName48,DAIL/items/materia/class0020/Nature48.dbr, &gt;&gt; .\items\loottables\dailoneskill0020.dbr</v>
      </c>
      <c r="X50" t="str">
        <f t="shared" si="8"/>
        <v>echo lootWeight48,1, &gt;&gt; .\items\loottables\dailoneskill0020.dbr</v>
      </c>
      <c r="Y50" s="5" t="s">
        <v>36</v>
      </c>
      <c r="Z50" t="str">
        <f t="shared" si="9"/>
        <v xml:space="preserve"> dailCompDescNature48=^pNature's Gift of DAIL</v>
      </c>
      <c r="AA50" t="str">
        <f t="shared" si="17"/>
        <v>dailCompTextNature48=^oThis feels warm to the touch, almost familiar ^w(This component only fits into the Medal Slot)</v>
      </c>
      <c r="AB50" s="5" t="s">
        <v>36</v>
      </c>
      <c r="AH50">
        <f t="shared" si="19"/>
        <v>45</v>
      </c>
      <c r="AI50">
        <f t="shared" si="13"/>
        <v>48</v>
      </c>
      <c r="AJ50">
        <f t="shared" si="18"/>
        <v>5</v>
      </c>
    </row>
    <row r="51" spans="1:36" x14ac:dyDescent="0.25">
      <c r="A51" s="5" t="s">
        <v>39</v>
      </c>
      <c r="B51" s="5" t="s">
        <v>30</v>
      </c>
      <c r="C51" s="5" t="str">
        <f t="shared" si="0"/>
        <v>description,dailCompDescNature49,</v>
      </c>
      <c r="D51" s="5" t="str">
        <f t="shared" si="2"/>
        <v>itemText,dailCompTextNature49,</v>
      </c>
      <c r="E51" s="5" t="str">
        <f t="shared" si="14"/>
        <v>augmentSkillLevel1,5,</v>
      </c>
      <c r="F51" s="5" t="str">
        <f t="shared" si="15"/>
        <v>augmentSkillName1,records/skillsnature/briarward_sanctuary.dbr,,</v>
      </c>
      <c r="G51" s="7">
        <f t="shared" si="10"/>
        <v>49</v>
      </c>
      <c r="H51" s="8" t="str">
        <f t="shared" si="11"/>
        <v>Nature</v>
      </c>
      <c r="I51" s="3" t="s">
        <v>666</v>
      </c>
      <c r="J51" s="8" t="str">
        <f t="shared" si="21"/>
        <v>class0020</v>
      </c>
      <c r="K51" s="8" t="str">
        <f t="shared" si="21"/>
        <v>dailoneskill0020</v>
      </c>
      <c r="L51" s="5" t="str">
        <f t="shared" si="4"/>
        <v>lootName49,DAIL/items/materia/class0020/Nature49.dbr,</v>
      </c>
      <c r="M51" s="5" t="str">
        <f t="shared" si="5"/>
        <v>lootWeight49,1,</v>
      </c>
      <c r="N51" t="str">
        <f t="shared" si="6"/>
        <v>5</v>
      </c>
      <c r="O51" t="str">
        <f t="shared" si="16"/>
        <v>copy .\dail_base3.dbr .\items\materia\class0020\Nature49.dbr /y</v>
      </c>
      <c r="P51" t="str">
        <f t="shared" si="7"/>
        <v>echo relicBitmap,items/craftingparts/components/component_a52_bristlyfur_b.tex, &gt;&gt; .\items\materia\class0020\Nature49.dbr</v>
      </c>
      <c r="Q51" t="str">
        <f t="shared" si="7"/>
        <v>echo itemCost,500000, &gt;&gt; .\items\materia\class0020\Nature49.dbr</v>
      </c>
      <c r="R51" t="str">
        <f t="shared" si="7"/>
        <v>echo description,dailCompDescNature49, &gt;&gt; .\items\materia\class0020\Nature49.dbr</v>
      </c>
      <c r="S51" t="str">
        <f t="shared" si="7"/>
        <v>echo itemText,dailCompTextNature49, &gt;&gt; .\items\materia\class0020\Nature49.dbr</v>
      </c>
      <c r="T51" t="str">
        <f t="shared" si="7"/>
        <v>echo augmentSkillLevel1,5, &gt;&gt; .\items\materia\class0020\Nature49.dbr</v>
      </c>
      <c r="U51" t="str">
        <f t="shared" si="7"/>
        <v>echo augmentSkillName1,records/skillsnature/briarward_sanctuary.dbr,, &gt;&gt; .\items\materia\class0020\Nature49.dbr</v>
      </c>
      <c r="V51" s="5" t="s">
        <v>36</v>
      </c>
      <c r="W51" t="str">
        <f t="shared" si="8"/>
        <v>echo lootName49,DAIL/items/materia/class0020/Nature49.dbr, &gt;&gt; .\items\loottables\dailoneskill0020.dbr</v>
      </c>
      <c r="X51" t="str">
        <f t="shared" si="8"/>
        <v>echo lootWeight49,1, &gt;&gt; .\items\loottables\dailoneskill0020.dbr</v>
      </c>
      <c r="Y51" s="5" t="s">
        <v>36</v>
      </c>
      <c r="Z51" t="str">
        <f t="shared" si="9"/>
        <v xml:space="preserve"> dailCompDescNature49=^pNature's Gift of DAIL</v>
      </c>
      <c r="AA51" t="str">
        <f t="shared" si="17"/>
        <v>dailCompTextNature49=^oThis feels warm to the touch, almost familiar ^w(This component only fits into the Medal Slot)</v>
      </c>
      <c r="AB51" s="5" t="s">
        <v>36</v>
      </c>
      <c r="AH51">
        <f t="shared" si="19"/>
        <v>46</v>
      </c>
      <c r="AI51">
        <f t="shared" si="13"/>
        <v>31</v>
      </c>
      <c r="AJ51">
        <f t="shared" si="18"/>
        <v>5</v>
      </c>
    </row>
    <row r="52" spans="1:36" x14ac:dyDescent="0.25">
      <c r="A52" s="5" t="s">
        <v>39</v>
      </c>
      <c r="B52" s="5" t="s">
        <v>30</v>
      </c>
      <c r="C52" s="5" t="str">
        <f t="shared" si="0"/>
        <v>description,dailCompDescNature50,</v>
      </c>
      <c r="D52" s="5" t="str">
        <f t="shared" si="2"/>
        <v>itemText,dailCompTextNature50,</v>
      </c>
      <c r="E52" s="5" t="str">
        <f t="shared" si="14"/>
        <v>augmentSkillLevel1,5,</v>
      </c>
      <c r="F52" s="5" t="str">
        <f t="shared" si="15"/>
        <v>augmentSkillName1,records/skillsnature/heartofoak.dbr,,</v>
      </c>
      <c r="G52" s="7">
        <f t="shared" si="10"/>
        <v>50</v>
      </c>
      <c r="H52" s="8" t="str">
        <f t="shared" si="11"/>
        <v>Nature</v>
      </c>
      <c r="I52" s="3" t="s">
        <v>667</v>
      </c>
      <c r="J52" s="8" t="str">
        <f t="shared" si="21"/>
        <v>class0020</v>
      </c>
      <c r="K52" s="8" t="str">
        <f t="shared" si="21"/>
        <v>dailoneskill0020</v>
      </c>
      <c r="L52" s="5" t="str">
        <f t="shared" si="4"/>
        <v>lootName50,DAIL/items/materia/class0020/Nature50.dbr,</v>
      </c>
      <c r="M52" s="5" t="str">
        <f t="shared" si="5"/>
        <v>lootWeight50,1,</v>
      </c>
      <c r="N52" t="str">
        <f t="shared" si="6"/>
        <v>5</v>
      </c>
      <c r="O52" t="str">
        <f t="shared" si="16"/>
        <v>copy .\dail_base3.dbr .\items\materia\class0020\Nature50.dbr /y</v>
      </c>
      <c r="P52" t="str">
        <f t="shared" si="7"/>
        <v>echo relicBitmap,items/craftingparts/components/component_a52_bristlyfur_b.tex, &gt;&gt; .\items\materia\class0020\Nature50.dbr</v>
      </c>
      <c r="Q52" t="str">
        <f t="shared" si="7"/>
        <v>echo itemCost,500000, &gt;&gt; .\items\materia\class0020\Nature50.dbr</v>
      </c>
      <c r="R52" t="str">
        <f t="shared" si="7"/>
        <v>echo description,dailCompDescNature50, &gt;&gt; .\items\materia\class0020\Nature50.dbr</v>
      </c>
      <c r="S52" t="str">
        <f t="shared" si="7"/>
        <v>echo itemText,dailCompTextNature50, &gt;&gt; .\items\materia\class0020\Nature50.dbr</v>
      </c>
      <c r="T52" t="str">
        <f t="shared" si="7"/>
        <v>echo augmentSkillLevel1,5, &gt;&gt; .\items\materia\class0020\Nature50.dbr</v>
      </c>
      <c r="U52" t="str">
        <f t="shared" si="7"/>
        <v>echo augmentSkillName1,records/skillsnature/heartofoak.dbr,, &gt;&gt; .\items\materia\class0020\Nature50.dbr</v>
      </c>
      <c r="V52" s="5" t="s">
        <v>36</v>
      </c>
      <c r="W52" t="str">
        <f t="shared" si="8"/>
        <v>echo lootName50,DAIL/items/materia/class0020/Nature50.dbr, &gt;&gt; .\items\loottables\dailoneskill0020.dbr</v>
      </c>
      <c r="X52" t="str">
        <f t="shared" si="8"/>
        <v>echo lootWeight50,1, &gt;&gt; .\items\loottables\dailoneskill0020.dbr</v>
      </c>
      <c r="Y52" s="5" t="s">
        <v>36</v>
      </c>
      <c r="Z52" t="str">
        <f t="shared" si="9"/>
        <v xml:space="preserve"> dailCompDescNature50=^pNature's Gift of DAIL</v>
      </c>
      <c r="AA52" t="str">
        <f t="shared" si="17"/>
        <v>dailCompTextNature50=^oThis feels warm to the touch, almost familiar ^w(This component only fits into the Medal Slot)</v>
      </c>
      <c r="AB52" s="5" t="s">
        <v>36</v>
      </c>
      <c r="AH52">
        <f t="shared" si="19"/>
        <v>47</v>
      </c>
      <c r="AI52">
        <f t="shared" si="13"/>
        <v>22</v>
      </c>
      <c r="AJ52">
        <f t="shared" si="18"/>
        <v>5</v>
      </c>
    </row>
    <row r="53" spans="1:36" x14ac:dyDescent="0.25">
      <c r="A53" s="5" t="s">
        <v>39</v>
      </c>
      <c r="B53" s="5" t="s">
        <v>30</v>
      </c>
      <c r="C53" s="5" t="str">
        <f t="shared" si="0"/>
        <v>description,dailCompDescNature51,</v>
      </c>
      <c r="D53" s="5" t="str">
        <f t="shared" si="2"/>
        <v>itemText,dailCompTextNature51,</v>
      </c>
      <c r="E53" s="5" t="str">
        <f t="shared" si="14"/>
        <v>augmentSkillLevel1,5,</v>
      </c>
      <c r="F53" s="5" t="str">
        <f t="shared" si="15"/>
        <v>augmentSkillName1,records/skillsnature/heartofoak_tranquility.dbr,,</v>
      </c>
      <c r="G53" s="7">
        <f t="shared" si="10"/>
        <v>51</v>
      </c>
      <c r="H53" s="8" t="str">
        <f t="shared" si="11"/>
        <v>Nature</v>
      </c>
      <c r="I53" s="3" t="s">
        <v>668</v>
      </c>
      <c r="J53" s="8" t="str">
        <f t="shared" ref="J53:K68" si="22">J52</f>
        <v>class0020</v>
      </c>
      <c r="K53" s="8" t="str">
        <f t="shared" si="22"/>
        <v>dailoneskill0020</v>
      </c>
      <c r="L53" s="5" t="str">
        <f t="shared" si="4"/>
        <v>lootName51,DAIL/items/materia/class0020/Nature51.dbr,</v>
      </c>
      <c r="M53" s="5" t="str">
        <f t="shared" si="5"/>
        <v>lootWeight51,1,</v>
      </c>
      <c r="N53" t="str">
        <f t="shared" si="6"/>
        <v>5</v>
      </c>
      <c r="O53" t="str">
        <f t="shared" si="16"/>
        <v>copy .\dail_base3.dbr .\items\materia\class0020\Nature51.dbr /y</v>
      </c>
      <c r="P53" t="str">
        <f t="shared" si="7"/>
        <v>echo relicBitmap,items/craftingparts/components/component_a52_bristlyfur_b.tex, &gt;&gt; .\items\materia\class0020\Nature51.dbr</v>
      </c>
      <c r="Q53" t="str">
        <f t="shared" si="7"/>
        <v>echo itemCost,500000, &gt;&gt; .\items\materia\class0020\Nature51.dbr</v>
      </c>
      <c r="R53" t="str">
        <f t="shared" si="7"/>
        <v>echo description,dailCompDescNature51, &gt;&gt; .\items\materia\class0020\Nature51.dbr</v>
      </c>
      <c r="S53" t="str">
        <f t="shared" si="7"/>
        <v>echo itemText,dailCompTextNature51, &gt;&gt; .\items\materia\class0020\Nature51.dbr</v>
      </c>
      <c r="T53" t="str">
        <f t="shared" si="7"/>
        <v>echo augmentSkillLevel1,5, &gt;&gt; .\items\materia\class0020\Nature51.dbr</v>
      </c>
      <c r="U53" t="str">
        <f t="shared" si="7"/>
        <v>echo augmentSkillName1,records/skillsnature/heartofoak_tranquility.dbr,, &gt;&gt; .\items\materia\class0020\Nature51.dbr</v>
      </c>
      <c r="V53" s="5" t="s">
        <v>36</v>
      </c>
      <c r="W53" t="str">
        <f t="shared" si="8"/>
        <v>echo lootName51,DAIL/items/materia/class0020/Nature51.dbr, &gt;&gt; .\items\loottables\dailoneskill0020.dbr</v>
      </c>
      <c r="X53" t="str">
        <f t="shared" si="8"/>
        <v>echo lootWeight51,1, &gt;&gt; .\items\loottables\dailoneskill0020.dbr</v>
      </c>
      <c r="Y53" s="5" t="s">
        <v>36</v>
      </c>
      <c r="Z53" t="str">
        <f t="shared" si="9"/>
        <v xml:space="preserve"> dailCompDescNature51=^pNature's Gift of DAIL</v>
      </c>
      <c r="AA53" t="str">
        <f t="shared" si="17"/>
        <v>dailCompTextNature51=^oThis feels warm to the touch, almost familiar ^w(This component only fits into the Medal Slot)</v>
      </c>
      <c r="AB53" s="5" t="s">
        <v>36</v>
      </c>
      <c r="AH53">
        <f t="shared" si="19"/>
        <v>48</v>
      </c>
      <c r="AI53">
        <f t="shared" si="13"/>
        <v>34</v>
      </c>
      <c r="AJ53">
        <f t="shared" si="18"/>
        <v>5</v>
      </c>
    </row>
    <row r="54" spans="1:36" x14ac:dyDescent="0.25">
      <c r="A54" s="5" t="s">
        <v>39</v>
      </c>
      <c r="B54" s="5" t="s">
        <v>30</v>
      </c>
      <c r="C54" s="5" t="str">
        <f t="shared" si="0"/>
        <v>description,dailCompDescNature52,</v>
      </c>
      <c r="D54" s="5" t="str">
        <f t="shared" si="2"/>
        <v>itemText,dailCompTextNature52,</v>
      </c>
      <c r="E54" s="5" t="str">
        <f t="shared" si="14"/>
        <v>augmentSkillLevel1,5,</v>
      </c>
      <c r="F54" s="5" t="str">
        <f t="shared" si="15"/>
        <v>augmentSkillName1,records/skillsnature/heartofoak_permanence.dbr,,</v>
      </c>
      <c r="G54" s="7">
        <f t="shared" si="10"/>
        <v>52</v>
      </c>
      <c r="H54" s="8" t="str">
        <f t="shared" si="11"/>
        <v>Nature</v>
      </c>
      <c r="I54" s="3" t="s">
        <v>669</v>
      </c>
      <c r="J54" s="8" t="str">
        <f t="shared" si="22"/>
        <v>class0020</v>
      </c>
      <c r="K54" s="8" t="str">
        <f t="shared" si="22"/>
        <v>dailoneskill0020</v>
      </c>
      <c r="L54" s="5" t="str">
        <f t="shared" si="4"/>
        <v>lootName52,DAIL/items/materia/class0020/Nature52.dbr,</v>
      </c>
      <c r="M54" s="5" t="str">
        <f t="shared" si="5"/>
        <v>lootWeight52,1,</v>
      </c>
      <c r="N54" t="str">
        <f t="shared" si="6"/>
        <v>5</v>
      </c>
      <c r="O54" t="str">
        <f t="shared" si="16"/>
        <v>copy .\dail_base3.dbr .\items\materia\class0020\Nature52.dbr /y</v>
      </c>
      <c r="P54" t="str">
        <f t="shared" si="7"/>
        <v>echo relicBitmap,items/craftingparts/components/component_a52_bristlyfur_b.tex, &gt;&gt; .\items\materia\class0020\Nature52.dbr</v>
      </c>
      <c r="Q54" t="str">
        <f t="shared" si="7"/>
        <v>echo itemCost,500000, &gt;&gt; .\items\materia\class0020\Nature52.dbr</v>
      </c>
      <c r="R54" t="str">
        <f t="shared" si="7"/>
        <v>echo description,dailCompDescNature52, &gt;&gt; .\items\materia\class0020\Nature52.dbr</v>
      </c>
      <c r="S54" t="str">
        <f t="shared" si="7"/>
        <v>echo itemText,dailCompTextNature52, &gt;&gt; .\items\materia\class0020\Nature52.dbr</v>
      </c>
      <c r="T54" t="str">
        <f t="shared" si="7"/>
        <v>echo augmentSkillLevel1,5, &gt;&gt; .\items\materia\class0020\Nature52.dbr</v>
      </c>
      <c r="U54" t="str">
        <f t="shared" si="7"/>
        <v>echo augmentSkillName1,records/skillsnature/heartofoak_permanence.dbr,, &gt;&gt; .\items\materia\class0020\Nature52.dbr</v>
      </c>
      <c r="V54" s="5" t="s">
        <v>36</v>
      </c>
      <c r="W54" t="str">
        <f t="shared" si="8"/>
        <v>echo lootName52,DAIL/items/materia/class0020/Nature52.dbr, &gt;&gt; .\items\loottables\dailoneskill0020.dbr</v>
      </c>
      <c r="X54" t="str">
        <f t="shared" si="8"/>
        <v>echo lootWeight52,1, &gt;&gt; .\items\loottables\dailoneskill0020.dbr</v>
      </c>
      <c r="Y54" s="5" t="s">
        <v>36</v>
      </c>
      <c r="Z54" t="str">
        <f t="shared" si="9"/>
        <v xml:space="preserve"> dailCompDescNature52=^pNature's Gift of DAIL</v>
      </c>
      <c r="AA54" t="str">
        <f t="shared" si="17"/>
        <v>dailCompTextNature52=^oThis feels warm to the touch, almost familiar ^w(This component only fits into the Medal Slot)</v>
      </c>
      <c r="AB54" s="5" t="s">
        <v>36</v>
      </c>
      <c r="AH54">
        <f t="shared" si="19"/>
        <v>49</v>
      </c>
      <c r="AI54">
        <f t="shared" si="13"/>
        <v>33</v>
      </c>
      <c r="AJ54">
        <f t="shared" si="18"/>
        <v>5</v>
      </c>
    </row>
    <row r="55" spans="1:36" x14ac:dyDescent="0.25">
      <c r="A55" s="5" t="s">
        <v>39</v>
      </c>
      <c r="B55" s="5" t="s">
        <v>30</v>
      </c>
      <c r="C55" s="5" t="str">
        <f t="shared" si="0"/>
        <v>description,dailCompDescNature53,</v>
      </c>
      <c r="D55" s="5" t="str">
        <f t="shared" si="2"/>
        <v>itemText,dailCompTextNature53,</v>
      </c>
      <c r="E55" s="5" t="str">
        <f t="shared" si="14"/>
        <v>augmentSkillLevel1,5,</v>
      </c>
      <c r="F55" s="5" t="str">
        <f t="shared" si="15"/>
        <v>augmentSkillName1,records/skillsnature/plague.dbr,,</v>
      </c>
      <c r="G55" s="7">
        <f t="shared" si="10"/>
        <v>53</v>
      </c>
      <c r="H55" s="8" t="str">
        <f t="shared" si="11"/>
        <v>Nature</v>
      </c>
      <c r="I55" s="3" t="s">
        <v>670</v>
      </c>
      <c r="J55" s="8" t="str">
        <f t="shared" si="22"/>
        <v>class0020</v>
      </c>
      <c r="K55" s="8" t="str">
        <f t="shared" si="22"/>
        <v>dailoneskill0020</v>
      </c>
      <c r="L55" s="5" t="str">
        <f t="shared" si="4"/>
        <v>lootName53,DAIL/items/materia/class0020/Nature53.dbr,</v>
      </c>
      <c r="M55" s="5" t="str">
        <f t="shared" si="5"/>
        <v>lootWeight53,1,</v>
      </c>
      <c r="N55" t="str">
        <f t="shared" si="6"/>
        <v>5</v>
      </c>
      <c r="O55" t="str">
        <f t="shared" si="16"/>
        <v>copy .\dail_base3.dbr .\items\materia\class0020\Nature53.dbr /y</v>
      </c>
      <c r="P55" t="str">
        <f t="shared" si="7"/>
        <v>echo relicBitmap,items/craftingparts/components/component_a52_bristlyfur_b.tex, &gt;&gt; .\items\materia\class0020\Nature53.dbr</v>
      </c>
      <c r="Q55" t="str">
        <f t="shared" si="7"/>
        <v>echo itemCost,500000, &gt;&gt; .\items\materia\class0020\Nature53.dbr</v>
      </c>
      <c r="R55" t="str">
        <f t="shared" si="7"/>
        <v>echo description,dailCompDescNature53, &gt;&gt; .\items\materia\class0020\Nature53.dbr</v>
      </c>
      <c r="S55" t="str">
        <f t="shared" si="7"/>
        <v>echo itemText,dailCompTextNature53, &gt;&gt; .\items\materia\class0020\Nature53.dbr</v>
      </c>
      <c r="T55" t="str">
        <f t="shared" si="7"/>
        <v>echo augmentSkillLevel1,5, &gt;&gt; .\items\materia\class0020\Nature53.dbr</v>
      </c>
      <c r="U55" t="str">
        <f t="shared" si="7"/>
        <v>echo augmentSkillName1,records/skillsnature/plague.dbr,, &gt;&gt; .\items\materia\class0020\Nature53.dbr</v>
      </c>
      <c r="V55" s="5" t="s">
        <v>36</v>
      </c>
      <c r="W55" t="str">
        <f t="shared" si="8"/>
        <v>echo lootName53,DAIL/items/materia/class0020/Nature53.dbr, &gt;&gt; .\items\loottables\dailoneskill0020.dbr</v>
      </c>
      <c r="X55" t="str">
        <f t="shared" si="8"/>
        <v>echo lootWeight53,1, &gt;&gt; .\items\loottables\dailoneskill0020.dbr</v>
      </c>
      <c r="Y55" s="5" t="s">
        <v>36</v>
      </c>
      <c r="Z55" t="str">
        <f t="shared" si="9"/>
        <v xml:space="preserve"> dailCompDescNature53=^pNature's Gift of DAIL</v>
      </c>
      <c r="AA55" t="str">
        <f t="shared" si="17"/>
        <v>dailCompTextNature53=^oThis feels warm to the touch, almost familiar ^w(This component only fits into the Medal Slot)</v>
      </c>
      <c r="AB55" s="5" t="s">
        <v>36</v>
      </c>
      <c r="AH55">
        <f t="shared" si="19"/>
        <v>50</v>
      </c>
      <c r="AI55">
        <f t="shared" si="13"/>
        <v>18</v>
      </c>
      <c r="AJ55">
        <f t="shared" si="18"/>
        <v>5</v>
      </c>
    </row>
    <row r="56" spans="1:36" x14ac:dyDescent="0.25">
      <c r="A56" s="5" t="s">
        <v>39</v>
      </c>
      <c r="B56" s="5" t="s">
        <v>30</v>
      </c>
      <c r="C56" s="5" t="str">
        <f t="shared" si="0"/>
        <v>description,dailCompDescNature54,</v>
      </c>
      <c r="D56" s="5" t="str">
        <f t="shared" si="2"/>
        <v>itemText,dailCompTextNature54,</v>
      </c>
      <c r="E56" s="5" t="str">
        <f t="shared" si="14"/>
        <v>augmentSkillLevel1,5,</v>
      </c>
      <c r="F56" s="5" t="str">
        <f t="shared" si="15"/>
        <v>augmentSkillName1,records/skillsnature/plague_fatigue.dbr,,</v>
      </c>
      <c r="G56" s="7">
        <f t="shared" si="10"/>
        <v>54</v>
      </c>
      <c r="H56" s="8" t="str">
        <f t="shared" si="11"/>
        <v>Nature</v>
      </c>
      <c r="I56" s="3" t="s">
        <v>671</v>
      </c>
      <c r="J56" s="8" t="str">
        <f t="shared" si="22"/>
        <v>class0020</v>
      </c>
      <c r="K56" s="8" t="str">
        <f t="shared" si="22"/>
        <v>dailoneskill0020</v>
      </c>
      <c r="L56" s="5" t="str">
        <f t="shared" si="4"/>
        <v>lootName54,DAIL/items/materia/class0020/Nature54.dbr,</v>
      </c>
      <c r="M56" s="5" t="str">
        <f t="shared" si="5"/>
        <v>lootWeight54,1,</v>
      </c>
      <c r="N56" t="str">
        <f t="shared" si="6"/>
        <v>5</v>
      </c>
      <c r="O56" t="str">
        <f t="shared" si="16"/>
        <v>copy .\dail_base3.dbr .\items\materia\class0020\Nature54.dbr /y</v>
      </c>
      <c r="P56" t="str">
        <f t="shared" si="7"/>
        <v>echo relicBitmap,items/craftingparts/components/component_a52_bristlyfur_b.tex, &gt;&gt; .\items\materia\class0020\Nature54.dbr</v>
      </c>
      <c r="Q56" t="str">
        <f t="shared" si="7"/>
        <v>echo itemCost,500000, &gt;&gt; .\items\materia\class0020\Nature54.dbr</v>
      </c>
      <c r="R56" t="str">
        <f t="shared" si="7"/>
        <v>echo description,dailCompDescNature54, &gt;&gt; .\items\materia\class0020\Nature54.dbr</v>
      </c>
      <c r="S56" t="str">
        <f t="shared" si="7"/>
        <v>echo itemText,dailCompTextNature54, &gt;&gt; .\items\materia\class0020\Nature54.dbr</v>
      </c>
      <c r="T56" t="str">
        <f t="shared" si="7"/>
        <v>echo augmentSkillLevel1,5, &gt;&gt; .\items\materia\class0020\Nature54.dbr</v>
      </c>
      <c r="U56" t="str">
        <f t="shared" si="7"/>
        <v>echo augmentSkillName1,records/skillsnature/plague_fatigue.dbr,, &gt;&gt; .\items\materia\class0020\Nature54.dbr</v>
      </c>
      <c r="V56" s="5" t="s">
        <v>36</v>
      </c>
      <c r="W56" t="str">
        <f t="shared" si="8"/>
        <v>echo lootName54,DAIL/items/materia/class0020/Nature54.dbr, &gt;&gt; .\items\loottables\dailoneskill0020.dbr</v>
      </c>
      <c r="X56" t="str">
        <f t="shared" si="8"/>
        <v>echo lootWeight54,1, &gt;&gt; .\items\loottables\dailoneskill0020.dbr</v>
      </c>
      <c r="Y56" s="5" t="s">
        <v>36</v>
      </c>
      <c r="Z56" t="str">
        <f t="shared" si="9"/>
        <v xml:space="preserve"> dailCompDescNature54=^pNature's Gift of DAIL</v>
      </c>
      <c r="AA56" t="str">
        <f t="shared" si="17"/>
        <v>dailCompTextNature54=^oThis feels warm to the touch, almost familiar ^w(This component only fits into the Medal Slot)</v>
      </c>
      <c r="AB56" s="5" t="s">
        <v>36</v>
      </c>
      <c r="AH56">
        <f t="shared" si="19"/>
        <v>51</v>
      </c>
      <c r="AI56">
        <f t="shared" si="13"/>
        <v>26</v>
      </c>
      <c r="AJ56">
        <f t="shared" si="18"/>
        <v>5</v>
      </c>
    </row>
    <row r="57" spans="1:36" x14ac:dyDescent="0.25">
      <c r="A57" s="5" t="s">
        <v>39</v>
      </c>
      <c r="B57" s="5" t="s">
        <v>30</v>
      </c>
      <c r="C57" s="5" t="str">
        <f t="shared" si="0"/>
        <v>description,dailCompDescNature55,</v>
      </c>
      <c r="D57" s="5" t="str">
        <f t="shared" si="2"/>
        <v>itemText,dailCompTextNature55,</v>
      </c>
      <c r="E57" s="5" t="str">
        <f t="shared" si="14"/>
        <v>augmentSkillLevel1,5,</v>
      </c>
      <c r="F57" s="5" t="str">
        <f t="shared" si="15"/>
        <v>augmentSkillName1,records/skillsnature/plague_susceptibility.dbr,,</v>
      </c>
      <c r="G57" s="7">
        <f t="shared" si="10"/>
        <v>55</v>
      </c>
      <c r="H57" s="8" t="str">
        <f t="shared" si="11"/>
        <v>Nature</v>
      </c>
      <c r="I57" s="3" t="s">
        <v>672</v>
      </c>
      <c r="J57" s="8" t="str">
        <f t="shared" si="22"/>
        <v>class0020</v>
      </c>
      <c r="K57" s="8" t="str">
        <f t="shared" si="22"/>
        <v>dailoneskill0020</v>
      </c>
      <c r="L57" s="5" t="str">
        <f t="shared" si="4"/>
        <v>lootName55,DAIL/items/materia/class0020/Nature55.dbr,</v>
      </c>
      <c r="M57" s="5" t="str">
        <f t="shared" si="5"/>
        <v>lootWeight55,1,</v>
      </c>
      <c r="N57" t="str">
        <f t="shared" si="6"/>
        <v>5</v>
      </c>
      <c r="O57" t="str">
        <f t="shared" si="16"/>
        <v>copy .\dail_base3.dbr .\items\materia\class0020\Nature55.dbr /y</v>
      </c>
      <c r="P57" t="str">
        <f t="shared" si="7"/>
        <v>echo relicBitmap,items/craftingparts/components/component_a52_bristlyfur_b.tex, &gt;&gt; .\items\materia\class0020\Nature55.dbr</v>
      </c>
      <c r="Q57" t="str">
        <f t="shared" si="7"/>
        <v>echo itemCost,500000, &gt;&gt; .\items\materia\class0020\Nature55.dbr</v>
      </c>
      <c r="R57" t="str">
        <f t="shared" si="7"/>
        <v>echo description,dailCompDescNature55, &gt;&gt; .\items\materia\class0020\Nature55.dbr</v>
      </c>
      <c r="S57" t="str">
        <f t="shared" si="7"/>
        <v>echo itemText,dailCompTextNature55, &gt;&gt; .\items\materia\class0020\Nature55.dbr</v>
      </c>
      <c r="T57" t="str">
        <f t="shared" si="7"/>
        <v>echo augmentSkillLevel1,5, &gt;&gt; .\items\materia\class0020\Nature55.dbr</v>
      </c>
      <c r="U57" t="str">
        <f t="shared" si="7"/>
        <v>echo augmentSkillName1,records/skillsnature/plague_susceptibility.dbr,, &gt;&gt; .\items\materia\class0020\Nature55.dbr</v>
      </c>
      <c r="V57" s="5" t="s">
        <v>36</v>
      </c>
      <c r="W57" t="str">
        <f t="shared" si="8"/>
        <v>echo lootName55,DAIL/items/materia/class0020/Nature55.dbr, &gt;&gt; .\items\loottables\dailoneskill0020.dbr</v>
      </c>
      <c r="X57" t="str">
        <f t="shared" si="8"/>
        <v>echo lootWeight55,1, &gt;&gt; .\items\loottables\dailoneskill0020.dbr</v>
      </c>
      <c r="Y57" s="5" t="s">
        <v>36</v>
      </c>
      <c r="Z57" t="str">
        <f t="shared" si="9"/>
        <v xml:space="preserve"> dailCompDescNature55=^pNature's Gift of DAIL</v>
      </c>
      <c r="AA57" t="str">
        <f t="shared" si="17"/>
        <v>dailCompTextNature55=^oThis feels warm to the touch, almost familiar ^w(This component only fits into the Medal Slot)</v>
      </c>
      <c r="AB57" s="5" t="s">
        <v>36</v>
      </c>
      <c r="AH57">
        <f t="shared" si="19"/>
        <v>52</v>
      </c>
      <c r="AI57">
        <f t="shared" si="13"/>
        <v>33</v>
      </c>
      <c r="AJ57">
        <f t="shared" si="18"/>
        <v>5</v>
      </c>
    </row>
    <row r="58" spans="1:36" x14ac:dyDescent="0.25">
      <c r="A58" s="5" t="s">
        <v>39</v>
      </c>
      <c r="B58" s="5" t="s">
        <v>30</v>
      </c>
      <c r="C58" s="5" t="str">
        <f t="shared" si="0"/>
        <v>description,dailCompDescNature56,</v>
      </c>
      <c r="D58" s="5" t="str">
        <f t="shared" si="2"/>
        <v>itemText,dailCompTextNature56,</v>
      </c>
      <c r="E58" s="5" t="str">
        <f t="shared" si="14"/>
        <v>augmentSkillLevel1,5,</v>
      </c>
      <c r="F58" s="5" t="str">
        <f t="shared" si="15"/>
        <v>augmentSkillName1,records/skillsnature/wolfsummons.dbr,,</v>
      </c>
      <c r="G58" s="7">
        <f t="shared" si="10"/>
        <v>56</v>
      </c>
      <c r="H58" s="8" t="str">
        <f t="shared" si="11"/>
        <v>Nature</v>
      </c>
      <c r="I58" s="3" t="s">
        <v>673</v>
      </c>
      <c r="J58" s="8" t="str">
        <f t="shared" si="22"/>
        <v>class0020</v>
      </c>
      <c r="K58" s="8" t="str">
        <f t="shared" si="22"/>
        <v>dailoneskill0020</v>
      </c>
      <c r="L58" s="5" t="str">
        <f t="shared" si="4"/>
        <v>lootName56,DAIL/items/materia/class0020/Nature56.dbr,</v>
      </c>
      <c r="M58" s="5" t="str">
        <f t="shared" si="5"/>
        <v>lootWeight56,1,</v>
      </c>
      <c r="N58" t="str">
        <f t="shared" si="6"/>
        <v>5</v>
      </c>
      <c r="O58" t="str">
        <f t="shared" si="16"/>
        <v>copy .\dail_base3.dbr .\items\materia\class0020\Nature56.dbr /y</v>
      </c>
      <c r="P58" t="str">
        <f t="shared" si="7"/>
        <v>echo relicBitmap,items/craftingparts/components/component_a52_bristlyfur_b.tex, &gt;&gt; .\items\materia\class0020\Nature56.dbr</v>
      </c>
      <c r="Q58" t="str">
        <f t="shared" si="7"/>
        <v>echo itemCost,500000, &gt;&gt; .\items\materia\class0020\Nature56.dbr</v>
      </c>
      <c r="R58" t="str">
        <f t="shared" si="7"/>
        <v>echo description,dailCompDescNature56, &gt;&gt; .\items\materia\class0020\Nature56.dbr</v>
      </c>
      <c r="S58" t="str">
        <f t="shared" si="7"/>
        <v>echo itemText,dailCompTextNature56, &gt;&gt; .\items\materia\class0020\Nature56.dbr</v>
      </c>
      <c r="T58" t="str">
        <f t="shared" si="7"/>
        <v>echo augmentSkillLevel1,5, &gt;&gt; .\items\materia\class0020\Nature56.dbr</v>
      </c>
      <c r="U58" t="str">
        <f t="shared" si="7"/>
        <v>echo augmentSkillName1,records/skillsnature/wolfsummons.dbr,, &gt;&gt; .\items\materia\class0020\Nature56.dbr</v>
      </c>
      <c r="V58" s="5" t="s">
        <v>36</v>
      </c>
      <c r="W58" t="str">
        <f t="shared" si="8"/>
        <v>echo lootName56,DAIL/items/materia/class0020/Nature56.dbr, &gt;&gt; .\items\loottables\dailoneskill0020.dbr</v>
      </c>
      <c r="X58" t="str">
        <f t="shared" si="8"/>
        <v>echo lootWeight56,1, &gt;&gt; .\items\loottables\dailoneskill0020.dbr</v>
      </c>
      <c r="Y58" s="5" t="s">
        <v>36</v>
      </c>
      <c r="Z58" t="str">
        <f t="shared" si="9"/>
        <v xml:space="preserve"> dailCompDescNature56=^pNature's Gift of DAIL</v>
      </c>
      <c r="AA58" t="str">
        <f t="shared" si="17"/>
        <v>dailCompTextNature56=^oThis feels warm to the touch, almost familiar ^w(This component only fits into the Medal Slot)</v>
      </c>
      <c r="AB58" s="5" t="s">
        <v>36</v>
      </c>
      <c r="AH58">
        <f t="shared" si="19"/>
        <v>53</v>
      </c>
      <c r="AI58">
        <f t="shared" si="13"/>
        <v>23</v>
      </c>
      <c r="AJ58">
        <f t="shared" si="18"/>
        <v>5</v>
      </c>
    </row>
    <row r="59" spans="1:36" x14ac:dyDescent="0.25">
      <c r="A59" s="5" t="s">
        <v>39</v>
      </c>
      <c r="B59" s="5" t="s">
        <v>30</v>
      </c>
      <c r="C59" s="5" t="str">
        <f t="shared" si="0"/>
        <v>description,dailCompDescNature57,</v>
      </c>
      <c r="D59" s="5" t="str">
        <f t="shared" si="2"/>
        <v>itemText,dailCompTextNature57,</v>
      </c>
      <c r="E59" s="5" t="str">
        <f t="shared" si="14"/>
        <v>augmentSkillLevel1,5,</v>
      </c>
      <c r="F59" s="5" t="str">
        <f t="shared" si="15"/>
        <v>augmentSkillName1,records/skillsnature/wolf_petmodifer_maul.dbr,,</v>
      </c>
      <c r="G59" s="7">
        <f t="shared" si="10"/>
        <v>57</v>
      </c>
      <c r="H59" s="8" t="str">
        <f t="shared" si="11"/>
        <v>Nature</v>
      </c>
      <c r="I59" s="3" t="s">
        <v>674</v>
      </c>
      <c r="J59" s="8" t="str">
        <f t="shared" si="22"/>
        <v>class0020</v>
      </c>
      <c r="K59" s="8" t="str">
        <f t="shared" si="22"/>
        <v>dailoneskill0020</v>
      </c>
      <c r="L59" s="5" t="str">
        <f t="shared" si="4"/>
        <v>lootName57,DAIL/items/materia/class0020/Nature57.dbr,</v>
      </c>
      <c r="M59" s="5" t="str">
        <f t="shared" si="5"/>
        <v>lootWeight57,1,</v>
      </c>
      <c r="N59" t="str">
        <f t="shared" si="6"/>
        <v>5</v>
      </c>
      <c r="O59" t="str">
        <f t="shared" si="16"/>
        <v>copy .\dail_base3.dbr .\items\materia\class0020\Nature57.dbr /y</v>
      </c>
      <c r="P59" t="str">
        <f t="shared" ref="P59:U101" si="23">IF($I59&lt;&gt;"","echo "&amp;A59&amp;" &gt;&gt; .\items\materia\"&amp;$J59&amp;"\"&amp;$H59&amp;$G59&amp;".dbr","")</f>
        <v>echo relicBitmap,items/craftingparts/components/component_a52_bristlyfur_b.tex, &gt;&gt; .\items\materia\class0020\Nature57.dbr</v>
      </c>
      <c r="Q59" t="str">
        <f t="shared" si="23"/>
        <v>echo itemCost,500000, &gt;&gt; .\items\materia\class0020\Nature57.dbr</v>
      </c>
      <c r="R59" t="str">
        <f t="shared" si="23"/>
        <v>echo description,dailCompDescNature57, &gt;&gt; .\items\materia\class0020\Nature57.dbr</v>
      </c>
      <c r="S59" t="str">
        <f t="shared" si="23"/>
        <v>echo itemText,dailCompTextNature57, &gt;&gt; .\items\materia\class0020\Nature57.dbr</v>
      </c>
      <c r="T59" t="str">
        <f t="shared" si="23"/>
        <v>echo augmentSkillLevel1,5, &gt;&gt; .\items\materia\class0020\Nature57.dbr</v>
      </c>
      <c r="U59" t="str">
        <f t="shared" si="23"/>
        <v>echo augmentSkillName1,records/skillsnature/wolf_petmodifer_maul.dbr,, &gt;&gt; .\items\materia\class0020\Nature57.dbr</v>
      </c>
      <c r="V59" s="5" t="s">
        <v>36</v>
      </c>
      <c r="W59" t="str">
        <f t="shared" si="8"/>
        <v>echo lootName57,DAIL/items/materia/class0020/Nature57.dbr, &gt;&gt; .\items\loottables\dailoneskill0020.dbr</v>
      </c>
      <c r="X59" t="str">
        <f t="shared" si="8"/>
        <v>echo lootWeight57,1, &gt;&gt; .\items\loottables\dailoneskill0020.dbr</v>
      </c>
      <c r="Y59" s="5" t="s">
        <v>36</v>
      </c>
      <c r="Z59" t="str">
        <f t="shared" si="9"/>
        <v xml:space="preserve"> dailCompDescNature57=^pNature's Gift of DAIL</v>
      </c>
      <c r="AA59" t="str">
        <f t="shared" si="17"/>
        <v>dailCompTextNature57=^oThis feels warm to the touch, almost familiar ^w(This component only fits into the Medal Slot)</v>
      </c>
      <c r="AB59" s="5" t="s">
        <v>36</v>
      </c>
      <c r="AH59">
        <f t="shared" si="19"/>
        <v>54</v>
      </c>
      <c r="AI59">
        <f t="shared" si="13"/>
        <v>32</v>
      </c>
      <c r="AJ59">
        <f t="shared" si="18"/>
        <v>5</v>
      </c>
    </row>
    <row r="60" spans="1:36" x14ac:dyDescent="0.25">
      <c r="A60" s="5" t="s">
        <v>39</v>
      </c>
      <c r="B60" s="5" t="s">
        <v>30</v>
      </c>
      <c r="C60" s="5" t="str">
        <f t="shared" si="0"/>
        <v>description,dailCompDescNature58,</v>
      </c>
      <c r="D60" s="5" t="str">
        <f t="shared" si="2"/>
        <v>itemText,dailCompTextNature58,</v>
      </c>
      <c r="E60" s="5" t="str">
        <f t="shared" si="14"/>
        <v>augmentSkillLevel1,5,</v>
      </c>
      <c r="F60" s="5" t="str">
        <f t="shared" si="15"/>
        <v>augmentSkillName1,records/skillsnature/wolf_petmodifer_survivalinstinct.dbr,,</v>
      </c>
      <c r="G60" s="7">
        <f t="shared" si="10"/>
        <v>58</v>
      </c>
      <c r="H60" s="8" t="str">
        <f t="shared" si="11"/>
        <v>Nature</v>
      </c>
      <c r="I60" s="3" t="s">
        <v>675</v>
      </c>
      <c r="J60" s="8" t="str">
        <f t="shared" si="22"/>
        <v>class0020</v>
      </c>
      <c r="K60" s="8" t="str">
        <f t="shared" si="22"/>
        <v>dailoneskill0020</v>
      </c>
      <c r="L60" s="5" t="str">
        <f t="shared" si="4"/>
        <v>lootName58,DAIL/items/materia/class0020/Nature58.dbr,</v>
      </c>
      <c r="M60" s="5" t="str">
        <f t="shared" si="5"/>
        <v>lootWeight58,1,</v>
      </c>
      <c r="N60" t="str">
        <f t="shared" si="6"/>
        <v>5</v>
      </c>
      <c r="O60" t="str">
        <f t="shared" si="16"/>
        <v>copy .\dail_base3.dbr .\items\materia\class0020\Nature58.dbr /y</v>
      </c>
      <c r="P60" t="str">
        <f t="shared" si="23"/>
        <v>echo relicBitmap,items/craftingparts/components/component_a52_bristlyfur_b.tex, &gt;&gt; .\items\materia\class0020\Nature58.dbr</v>
      </c>
      <c r="Q60" t="str">
        <f t="shared" si="23"/>
        <v>echo itemCost,500000, &gt;&gt; .\items\materia\class0020\Nature58.dbr</v>
      </c>
      <c r="R60" t="str">
        <f t="shared" si="23"/>
        <v>echo description,dailCompDescNature58, &gt;&gt; .\items\materia\class0020\Nature58.dbr</v>
      </c>
      <c r="S60" t="str">
        <f t="shared" si="23"/>
        <v>echo itemText,dailCompTextNature58, &gt;&gt; .\items\materia\class0020\Nature58.dbr</v>
      </c>
      <c r="T60" t="str">
        <f t="shared" si="23"/>
        <v>echo augmentSkillLevel1,5, &gt;&gt; .\items\materia\class0020\Nature58.dbr</v>
      </c>
      <c r="U60" t="str">
        <f t="shared" si="23"/>
        <v>echo augmentSkillName1,records/skillsnature/wolf_petmodifer_survivalinstinct.dbr,, &gt;&gt; .\items\materia\class0020\Nature58.dbr</v>
      </c>
      <c r="V60" s="5" t="s">
        <v>36</v>
      </c>
      <c r="W60" t="str">
        <f t="shared" si="8"/>
        <v>echo lootName58,DAIL/items/materia/class0020/Nature58.dbr, &gt;&gt; .\items\loottables\dailoneskill0020.dbr</v>
      </c>
      <c r="X60" t="str">
        <f t="shared" si="8"/>
        <v>echo lootWeight58,1, &gt;&gt; .\items\loottables\dailoneskill0020.dbr</v>
      </c>
      <c r="Y60" s="5" t="s">
        <v>36</v>
      </c>
      <c r="Z60" t="str">
        <f t="shared" si="9"/>
        <v xml:space="preserve"> dailCompDescNature58=^pNature's Gift of DAIL</v>
      </c>
      <c r="AA60" t="str">
        <f t="shared" si="17"/>
        <v>dailCompTextNature58=^oThis feels warm to the touch, almost familiar ^w(This component only fits into the Medal Slot)</v>
      </c>
      <c r="AB60" s="5" t="s">
        <v>36</v>
      </c>
      <c r="AH60">
        <f t="shared" si="19"/>
        <v>55</v>
      </c>
      <c r="AI60">
        <f t="shared" si="13"/>
        <v>44</v>
      </c>
      <c r="AJ60">
        <f t="shared" si="18"/>
        <v>5</v>
      </c>
    </row>
    <row r="61" spans="1:36" x14ac:dyDescent="0.25">
      <c r="A61" s="5" t="s">
        <v>39</v>
      </c>
      <c r="B61" s="5" t="s">
        <v>30</v>
      </c>
      <c r="C61" s="5" t="str">
        <f t="shared" si="0"/>
        <v>description,dailCompDescNature59,</v>
      </c>
      <c r="D61" s="5" t="str">
        <f t="shared" si="2"/>
        <v>itemText,dailCompTextNature59,</v>
      </c>
      <c r="E61" s="5" t="str">
        <f t="shared" si="14"/>
        <v>augmentSkillLevel1,5,</v>
      </c>
      <c r="F61" s="5" t="str">
        <f t="shared" si="15"/>
        <v>augmentSkillName1,records/skillsnature/wolf_petmodifier_strengthofthepack.dbr,,</v>
      </c>
      <c r="G61" s="7">
        <f t="shared" si="10"/>
        <v>59</v>
      </c>
      <c r="H61" s="8" t="str">
        <f t="shared" si="11"/>
        <v>Nature</v>
      </c>
      <c r="I61" s="3" t="s">
        <v>676</v>
      </c>
      <c r="J61" s="8" t="str">
        <f t="shared" si="22"/>
        <v>class0020</v>
      </c>
      <c r="K61" s="8" t="str">
        <f t="shared" si="22"/>
        <v>dailoneskill0020</v>
      </c>
      <c r="L61" s="5" t="str">
        <f t="shared" si="4"/>
        <v>lootName59,DAIL/items/materia/class0020/Nature59.dbr,</v>
      </c>
      <c r="M61" s="5" t="str">
        <f t="shared" si="5"/>
        <v>lootWeight59,1,</v>
      </c>
      <c r="N61" t="str">
        <f t="shared" si="6"/>
        <v>5</v>
      </c>
      <c r="O61" t="str">
        <f t="shared" si="16"/>
        <v>copy .\dail_base3.dbr .\items\materia\class0020\Nature59.dbr /y</v>
      </c>
      <c r="P61" t="str">
        <f t="shared" si="23"/>
        <v>echo relicBitmap,items/craftingparts/components/component_a52_bristlyfur_b.tex, &gt;&gt; .\items\materia\class0020\Nature59.dbr</v>
      </c>
      <c r="Q61" t="str">
        <f t="shared" si="23"/>
        <v>echo itemCost,500000, &gt;&gt; .\items\materia\class0020\Nature59.dbr</v>
      </c>
      <c r="R61" t="str">
        <f t="shared" si="23"/>
        <v>echo description,dailCompDescNature59, &gt;&gt; .\items\materia\class0020\Nature59.dbr</v>
      </c>
      <c r="S61" t="str">
        <f t="shared" si="23"/>
        <v>echo itemText,dailCompTextNature59, &gt;&gt; .\items\materia\class0020\Nature59.dbr</v>
      </c>
      <c r="T61" t="str">
        <f t="shared" si="23"/>
        <v>echo augmentSkillLevel1,5, &gt;&gt; .\items\materia\class0020\Nature59.dbr</v>
      </c>
      <c r="U61" t="str">
        <f t="shared" si="23"/>
        <v>echo augmentSkillName1,records/skillsnature/wolf_petmodifier_strengthofthepack.dbr,, &gt;&gt; .\items\materia\class0020\Nature59.dbr</v>
      </c>
      <c r="V61" s="5" t="s">
        <v>36</v>
      </c>
      <c r="W61" t="str">
        <f t="shared" si="8"/>
        <v>echo lootName59,DAIL/items/materia/class0020/Nature59.dbr, &gt;&gt; .\items\loottables\dailoneskill0020.dbr</v>
      </c>
      <c r="X61" t="str">
        <f t="shared" si="8"/>
        <v>echo lootWeight59,1, &gt;&gt; .\items\loottables\dailoneskill0020.dbr</v>
      </c>
      <c r="Y61" s="5" t="s">
        <v>36</v>
      </c>
      <c r="Z61" t="str">
        <f t="shared" si="9"/>
        <v xml:space="preserve"> dailCompDescNature59=^pNature's Gift of DAIL</v>
      </c>
      <c r="AA61" t="str">
        <f t="shared" si="17"/>
        <v>dailCompTextNature59=^oThis feels warm to the touch, almost familiar ^w(This component only fits into the Medal Slot)</v>
      </c>
      <c r="AB61" s="5" t="s">
        <v>36</v>
      </c>
      <c r="AH61">
        <f t="shared" si="19"/>
        <v>56</v>
      </c>
      <c r="AI61">
        <f t="shared" si="13"/>
        <v>46</v>
      </c>
      <c r="AJ61">
        <f t="shared" si="18"/>
        <v>5</v>
      </c>
    </row>
    <row r="62" spans="1:36" x14ac:dyDescent="0.25">
      <c r="A62" s="5" t="s">
        <v>39</v>
      </c>
      <c r="B62" s="5" t="s">
        <v>30</v>
      </c>
      <c r="C62" s="5" t="str">
        <f t="shared" si="0"/>
        <v>description,dailCompDescNature60,</v>
      </c>
      <c r="D62" s="5" t="str">
        <f t="shared" si="2"/>
        <v>itemText,dailCompTextNature60,</v>
      </c>
      <c r="E62" s="5" t="str">
        <f t="shared" si="14"/>
        <v>augmentSkillLevel1,5,</v>
      </c>
      <c r="F62" s="5" t="str">
        <f t="shared" si="15"/>
        <v>augmentSkillName1,records/skillsnature/sylvannymphsummons.dbr,,</v>
      </c>
      <c r="G62" s="7">
        <f t="shared" si="10"/>
        <v>60</v>
      </c>
      <c r="H62" s="8" t="str">
        <f t="shared" si="11"/>
        <v>Nature</v>
      </c>
      <c r="I62" s="3" t="s">
        <v>677</v>
      </c>
      <c r="J62" s="8" t="str">
        <f t="shared" si="22"/>
        <v>class0020</v>
      </c>
      <c r="K62" s="8" t="str">
        <f t="shared" si="22"/>
        <v>dailoneskill0020</v>
      </c>
      <c r="L62" s="5" t="str">
        <f t="shared" si="4"/>
        <v>lootName60,DAIL/items/materia/class0020/Nature60.dbr,</v>
      </c>
      <c r="M62" s="5" t="str">
        <f t="shared" si="5"/>
        <v>lootWeight60,1,</v>
      </c>
      <c r="N62" t="str">
        <f t="shared" si="6"/>
        <v>5</v>
      </c>
      <c r="O62" t="str">
        <f t="shared" si="16"/>
        <v>copy .\dail_base3.dbr .\items\materia\class0020\Nature60.dbr /y</v>
      </c>
      <c r="P62" t="str">
        <f t="shared" si="23"/>
        <v>echo relicBitmap,items/craftingparts/components/component_a52_bristlyfur_b.tex, &gt;&gt; .\items\materia\class0020\Nature60.dbr</v>
      </c>
      <c r="Q62" t="str">
        <f t="shared" si="23"/>
        <v>echo itemCost,500000, &gt;&gt; .\items\materia\class0020\Nature60.dbr</v>
      </c>
      <c r="R62" t="str">
        <f t="shared" si="23"/>
        <v>echo description,dailCompDescNature60, &gt;&gt; .\items\materia\class0020\Nature60.dbr</v>
      </c>
      <c r="S62" t="str">
        <f t="shared" si="23"/>
        <v>echo itemText,dailCompTextNature60, &gt;&gt; .\items\materia\class0020\Nature60.dbr</v>
      </c>
      <c r="T62" t="str">
        <f t="shared" si="23"/>
        <v>echo augmentSkillLevel1,5, &gt;&gt; .\items\materia\class0020\Nature60.dbr</v>
      </c>
      <c r="U62" t="str">
        <f t="shared" si="23"/>
        <v>echo augmentSkillName1,records/skillsnature/sylvannymphsummons.dbr,, &gt;&gt; .\items\materia\class0020\Nature60.dbr</v>
      </c>
      <c r="V62" s="5" t="s">
        <v>36</v>
      </c>
      <c r="W62" t="str">
        <f t="shared" si="8"/>
        <v>echo lootName60,DAIL/items/materia/class0020/Nature60.dbr, &gt;&gt; .\items\loottables\dailoneskill0020.dbr</v>
      </c>
      <c r="X62" t="str">
        <f t="shared" si="8"/>
        <v>echo lootWeight60,1, &gt;&gt; .\items\loottables\dailoneskill0020.dbr</v>
      </c>
      <c r="Y62" s="5" t="s">
        <v>36</v>
      </c>
      <c r="Z62" t="str">
        <f t="shared" si="9"/>
        <v xml:space="preserve"> dailCompDescNature60=^pNature's Gift of DAIL</v>
      </c>
      <c r="AA62" t="str">
        <f t="shared" si="17"/>
        <v>dailCompTextNature60=^oThis feels warm to the touch, almost familiar ^w(This component only fits into the Medal Slot)</v>
      </c>
      <c r="AB62" s="5" t="s">
        <v>36</v>
      </c>
      <c r="AH62">
        <f t="shared" si="19"/>
        <v>57</v>
      </c>
      <c r="AI62">
        <f t="shared" si="13"/>
        <v>30</v>
      </c>
      <c r="AJ62">
        <f t="shared" si="18"/>
        <v>5</v>
      </c>
    </row>
    <row r="63" spans="1:36" x14ac:dyDescent="0.25">
      <c r="A63" s="5" t="s">
        <v>39</v>
      </c>
      <c r="B63" s="5" t="s">
        <v>30</v>
      </c>
      <c r="C63" s="5" t="str">
        <f t="shared" si="0"/>
        <v>description,dailCompDescNature61,</v>
      </c>
      <c r="D63" s="5" t="str">
        <f t="shared" si="2"/>
        <v>itemText,dailCompTextNature61,</v>
      </c>
      <c r="E63" s="5" t="str">
        <f t="shared" si="14"/>
        <v>augmentSkillLevel1,5,</v>
      </c>
      <c r="F63" s="5" t="str">
        <f t="shared" si="15"/>
        <v>augmentSkillName1,records/skillsnature/sylvannymph_petmodifier_overgrowth.dbr,,</v>
      </c>
      <c r="G63" s="7">
        <f t="shared" si="10"/>
        <v>61</v>
      </c>
      <c r="H63" s="8" t="str">
        <f t="shared" si="11"/>
        <v>Nature</v>
      </c>
      <c r="I63" s="3" t="s">
        <v>678</v>
      </c>
      <c r="J63" s="8" t="str">
        <f t="shared" si="22"/>
        <v>class0020</v>
      </c>
      <c r="K63" s="8" t="str">
        <f t="shared" si="22"/>
        <v>dailoneskill0020</v>
      </c>
      <c r="L63" s="5" t="str">
        <f t="shared" si="4"/>
        <v>lootName61,DAIL/items/materia/class0020/Nature61.dbr,</v>
      </c>
      <c r="M63" s="5" t="str">
        <f t="shared" si="5"/>
        <v>lootWeight61,1,</v>
      </c>
      <c r="N63" t="str">
        <f t="shared" si="6"/>
        <v>5</v>
      </c>
      <c r="O63" t="str">
        <f t="shared" si="16"/>
        <v>copy .\dail_base3.dbr .\items\materia\class0020\Nature61.dbr /y</v>
      </c>
      <c r="P63" t="str">
        <f t="shared" si="23"/>
        <v>echo relicBitmap,items/craftingparts/components/component_a52_bristlyfur_b.tex, &gt;&gt; .\items\materia\class0020\Nature61.dbr</v>
      </c>
      <c r="Q63" t="str">
        <f t="shared" si="23"/>
        <v>echo itemCost,500000, &gt;&gt; .\items\materia\class0020\Nature61.dbr</v>
      </c>
      <c r="R63" t="str">
        <f t="shared" si="23"/>
        <v>echo description,dailCompDescNature61, &gt;&gt; .\items\materia\class0020\Nature61.dbr</v>
      </c>
      <c r="S63" t="str">
        <f t="shared" si="23"/>
        <v>echo itemText,dailCompTextNature61, &gt;&gt; .\items\materia\class0020\Nature61.dbr</v>
      </c>
      <c r="T63" t="str">
        <f t="shared" si="23"/>
        <v>echo augmentSkillLevel1,5, &gt;&gt; .\items\materia\class0020\Nature61.dbr</v>
      </c>
      <c r="U63" t="str">
        <f t="shared" si="23"/>
        <v>echo augmentSkillName1,records/skillsnature/sylvannymph_petmodifier_overgrowth.dbr,, &gt;&gt; .\items\materia\class0020\Nature61.dbr</v>
      </c>
      <c r="V63" s="5" t="s">
        <v>36</v>
      </c>
      <c r="W63" t="str">
        <f t="shared" si="8"/>
        <v>echo lootName61,DAIL/items/materia/class0020/Nature61.dbr, &gt;&gt; .\items\loottables\dailoneskill0020.dbr</v>
      </c>
      <c r="X63" t="str">
        <f t="shared" si="8"/>
        <v>echo lootWeight61,1, &gt;&gt; .\items\loottables\dailoneskill0020.dbr</v>
      </c>
      <c r="Y63" s="5" t="s">
        <v>36</v>
      </c>
      <c r="Z63" t="str">
        <f t="shared" si="9"/>
        <v xml:space="preserve"> dailCompDescNature61=^pNature's Gift of DAIL</v>
      </c>
      <c r="AA63" t="str">
        <f t="shared" si="17"/>
        <v>dailCompTextNature61=^oThis feels warm to the touch, almost familiar ^w(This component only fits into the Medal Slot)</v>
      </c>
      <c r="AB63" s="5" t="s">
        <v>36</v>
      </c>
      <c r="AH63">
        <f t="shared" si="19"/>
        <v>58</v>
      </c>
      <c r="AI63">
        <f t="shared" si="13"/>
        <v>46</v>
      </c>
      <c r="AJ63">
        <f t="shared" si="18"/>
        <v>5</v>
      </c>
    </row>
    <row r="64" spans="1:36" x14ac:dyDescent="0.25">
      <c r="A64" s="5" t="s">
        <v>39</v>
      </c>
      <c r="B64" s="5" t="s">
        <v>30</v>
      </c>
      <c r="C64" s="5" t="str">
        <f t="shared" si="0"/>
        <v>description,dailCompDescNature62,</v>
      </c>
      <c r="D64" s="5" t="str">
        <f t="shared" si="2"/>
        <v>itemText,dailCompTextNature62,</v>
      </c>
      <c r="E64" s="5" t="str">
        <f t="shared" si="14"/>
        <v>augmentSkillLevel1,5,</v>
      </c>
      <c r="F64" s="5" t="str">
        <f t="shared" si="15"/>
        <v>augmentSkillName1,records/skillsnature/sylvannymph_petmodifier_nature'swrath.dbr,,</v>
      </c>
      <c r="G64" s="7">
        <f t="shared" si="10"/>
        <v>62</v>
      </c>
      <c r="H64" s="8" t="str">
        <f t="shared" si="11"/>
        <v>Nature</v>
      </c>
      <c r="I64" s="3" t="s">
        <v>679</v>
      </c>
      <c r="J64" s="8" t="str">
        <f t="shared" si="22"/>
        <v>class0020</v>
      </c>
      <c r="K64" s="8" t="str">
        <f t="shared" si="22"/>
        <v>dailoneskill0020</v>
      </c>
      <c r="L64" s="5" t="str">
        <f t="shared" si="4"/>
        <v>lootName62,DAIL/items/materia/class0020/Nature62.dbr,</v>
      </c>
      <c r="M64" s="5" t="str">
        <f t="shared" si="5"/>
        <v>lootWeight62,1,</v>
      </c>
      <c r="N64" t="str">
        <f t="shared" si="6"/>
        <v>5</v>
      </c>
      <c r="O64" t="str">
        <f t="shared" si="16"/>
        <v>copy .\dail_base3.dbr .\items\materia\class0020\Nature62.dbr /y</v>
      </c>
      <c r="P64" t="str">
        <f t="shared" si="23"/>
        <v>echo relicBitmap,items/craftingparts/components/component_a52_bristlyfur_b.tex, &gt;&gt; .\items\materia\class0020\Nature62.dbr</v>
      </c>
      <c r="Q64" t="str">
        <f t="shared" si="23"/>
        <v>echo itemCost,500000, &gt;&gt; .\items\materia\class0020\Nature62.dbr</v>
      </c>
      <c r="R64" t="str">
        <f t="shared" si="23"/>
        <v>echo description,dailCompDescNature62, &gt;&gt; .\items\materia\class0020\Nature62.dbr</v>
      </c>
      <c r="S64" t="str">
        <f t="shared" si="23"/>
        <v>echo itemText,dailCompTextNature62, &gt;&gt; .\items\materia\class0020\Nature62.dbr</v>
      </c>
      <c r="T64" t="str">
        <f t="shared" si="23"/>
        <v>echo augmentSkillLevel1,5, &gt;&gt; .\items\materia\class0020\Nature62.dbr</v>
      </c>
      <c r="U64" t="str">
        <f t="shared" si="23"/>
        <v>echo augmentSkillName1,records/skillsnature/sylvannymph_petmodifier_nature'swrath.dbr,, &gt;&gt; .\items\materia\class0020\Nature62.dbr</v>
      </c>
      <c r="V64" s="5" t="s">
        <v>36</v>
      </c>
      <c r="W64" t="str">
        <f t="shared" si="8"/>
        <v>echo lootName62,DAIL/items/materia/class0020/Nature62.dbr, &gt;&gt; .\items\loottables\dailoneskill0020.dbr</v>
      </c>
      <c r="X64" t="str">
        <f t="shared" si="8"/>
        <v>echo lootWeight62,1, &gt;&gt; .\items\loottables\dailoneskill0020.dbr</v>
      </c>
      <c r="Y64" s="5" t="s">
        <v>36</v>
      </c>
      <c r="Z64" t="str">
        <f t="shared" si="9"/>
        <v xml:space="preserve"> dailCompDescNature62=^pNature's Gift of DAIL</v>
      </c>
      <c r="AA64" t="str">
        <f t="shared" si="17"/>
        <v>dailCompTextNature62=^oThis feels warm to the touch, almost familiar ^w(This component only fits into the Medal Slot)</v>
      </c>
      <c r="AB64" s="5" t="s">
        <v>36</v>
      </c>
      <c r="AH64">
        <f t="shared" si="19"/>
        <v>59</v>
      </c>
      <c r="AI64">
        <f t="shared" si="13"/>
        <v>49</v>
      </c>
      <c r="AJ64">
        <f t="shared" si="18"/>
        <v>5</v>
      </c>
    </row>
    <row r="65" spans="1:36" x14ac:dyDescent="0.25">
      <c r="A65" s="5" t="s">
        <v>39</v>
      </c>
      <c r="B65" s="5" t="s">
        <v>30</v>
      </c>
      <c r="C65" s="5" t="str">
        <f t="shared" si="0"/>
        <v>description,dailCompDescNature63,</v>
      </c>
      <c r="D65" s="5" t="str">
        <f t="shared" si="2"/>
        <v>itemText,dailCompTextNature63,</v>
      </c>
      <c r="E65" s="5" t="str">
        <f t="shared" si="14"/>
        <v>augmentSkillLevel1,5,</v>
      </c>
      <c r="F65" s="5" t="str">
        <f t="shared" si="15"/>
        <v>augmentSkillName1,records/skillsnature/renewal.dbr,,</v>
      </c>
      <c r="G65" s="7">
        <f t="shared" si="10"/>
        <v>63</v>
      </c>
      <c r="H65" s="8" t="str">
        <f t="shared" si="11"/>
        <v>Nature</v>
      </c>
      <c r="I65" s="3" t="s">
        <v>680</v>
      </c>
      <c r="J65" s="8" t="str">
        <f t="shared" si="22"/>
        <v>class0020</v>
      </c>
      <c r="K65" s="8" t="str">
        <f t="shared" si="22"/>
        <v>dailoneskill0020</v>
      </c>
      <c r="L65" s="5" t="str">
        <f t="shared" si="4"/>
        <v>lootName63,DAIL/items/materia/class0020/Nature63.dbr,</v>
      </c>
      <c r="M65" s="5" t="str">
        <f t="shared" si="5"/>
        <v>lootWeight63,1,</v>
      </c>
      <c r="N65" t="str">
        <f t="shared" si="6"/>
        <v>5</v>
      </c>
      <c r="O65" t="str">
        <f t="shared" si="16"/>
        <v>copy .\dail_base3.dbr .\items\materia\class0020\Nature63.dbr /y</v>
      </c>
      <c r="P65" t="str">
        <f t="shared" si="23"/>
        <v>echo relicBitmap,items/craftingparts/components/component_a52_bristlyfur_b.tex, &gt;&gt; .\items\materia\class0020\Nature63.dbr</v>
      </c>
      <c r="Q65" t="str">
        <f t="shared" si="23"/>
        <v>echo itemCost,500000, &gt;&gt; .\items\materia\class0020\Nature63.dbr</v>
      </c>
      <c r="R65" t="str">
        <f t="shared" si="23"/>
        <v>echo description,dailCompDescNature63, &gt;&gt; .\items\materia\class0020\Nature63.dbr</v>
      </c>
      <c r="S65" t="str">
        <f t="shared" si="23"/>
        <v>echo itemText,dailCompTextNature63, &gt;&gt; .\items\materia\class0020\Nature63.dbr</v>
      </c>
      <c r="T65" t="str">
        <f t="shared" si="23"/>
        <v>echo augmentSkillLevel1,5, &gt;&gt; .\items\materia\class0020\Nature63.dbr</v>
      </c>
      <c r="U65" t="str">
        <f t="shared" si="23"/>
        <v>echo augmentSkillName1,records/skillsnature/renewal.dbr,, &gt;&gt; .\items\materia\class0020\Nature63.dbr</v>
      </c>
      <c r="V65" s="5" t="s">
        <v>36</v>
      </c>
      <c r="W65" t="str">
        <f t="shared" si="8"/>
        <v>echo lootName63,DAIL/items/materia/class0020/Nature63.dbr, &gt;&gt; .\items\loottables\dailoneskill0020.dbr</v>
      </c>
      <c r="X65" t="str">
        <f t="shared" si="8"/>
        <v>echo lootWeight63,1, &gt;&gt; .\items\loottables\dailoneskill0020.dbr</v>
      </c>
      <c r="Y65" s="5" t="s">
        <v>36</v>
      </c>
      <c r="Z65" t="str">
        <f t="shared" si="9"/>
        <v xml:space="preserve"> dailCompDescNature63=^pNature's Gift of DAIL</v>
      </c>
      <c r="AA65" t="str">
        <f t="shared" si="17"/>
        <v>dailCompTextNature63=^oThis feels warm to the touch, almost familiar ^w(This component only fits into the Medal Slot)</v>
      </c>
      <c r="AB65" s="5" t="s">
        <v>36</v>
      </c>
      <c r="AH65">
        <f t="shared" si="19"/>
        <v>60</v>
      </c>
      <c r="AI65">
        <f t="shared" si="13"/>
        <v>19</v>
      </c>
      <c r="AJ65">
        <f t="shared" si="18"/>
        <v>5</v>
      </c>
    </row>
    <row r="66" spans="1:36" x14ac:dyDescent="0.25">
      <c r="A66" s="5" t="s">
        <v>39</v>
      </c>
      <c r="B66" s="5" t="s">
        <v>30</v>
      </c>
      <c r="C66" s="5" t="str">
        <f t="shared" si="0"/>
        <v>description,dailCompDescNature,</v>
      </c>
      <c r="D66" s="5" t="str">
        <f t="shared" si="2"/>
        <v>itemText,dailCompTextNature,</v>
      </c>
      <c r="E66" s="5" t="str">
        <f t="shared" si="14"/>
        <v>augmentSkillLevel1,5,</v>
      </c>
      <c r="F66" s="5" t="str">
        <f t="shared" si="15"/>
        <v>augmentSkillName1,records/skills,</v>
      </c>
      <c r="G66" s="7" t="str">
        <f t="shared" si="10"/>
        <v/>
      </c>
      <c r="H66" s="8" t="str">
        <f t="shared" si="11"/>
        <v>Nature</v>
      </c>
      <c r="J66" s="8" t="str">
        <f t="shared" si="22"/>
        <v>class0020</v>
      </c>
      <c r="K66" s="8" t="str">
        <f t="shared" si="22"/>
        <v>dailoneskill0020</v>
      </c>
      <c r="L66" s="5" t="str">
        <f t="shared" si="4"/>
        <v>lootName,DAIL/items/materia/class0020/Nature.dbr,</v>
      </c>
      <c r="M66" s="5" t="str">
        <f t="shared" si="5"/>
        <v>lootWeight,1,</v>
      </c>
      <c r="N66" t="str">
        <f t="shared" si="6"/>
        <v>5</v>
      </c>
      <c r="O66" t="str">
        <f t="shared" si="16"/>
        <v/>
      </c>
      <c r="P66" t="str">
        <f t="shared" si="23"/>
        <v/>
      </c>
      <c r="Q66" t="str">
        <f t="shared" si="23"/>
        <v/>
      </c>
      <c r="R66" t="str">
        <f t="shared" si="23"/>
        <v/>
      </c>
      <c r="S66" t="str">
        <f t="shared" si="23"/>
        <v/>
      </c>
      <c r="T66" t="str">
        <f t="shared" si="23"/>
        <v/>
      </c>
      <c r="U66" t="str">
        <f t="shared" si="23"/>
        <v/>
      </c>
      <c r="V66" s="5" t="s">
        <v>36</v>
      </c>
      <c r="W66" t="str">
        <f t="shared" si="8"/>
        <v/>
      </c>
      <c r="X66" t="str">
        <f t="shared" si="8"/>
        <v/>
      </c>
      <c r="Y66" s="5" t="s">
        <v>36</v>
      </c>
      <c r="Z66" t="str">
        <f t="shared" si="9"/>
        <v xml:space="preserve"> dailCompDescNature=^pNature's Gift of DAIL</v>
      </c>
      <c r="AA66" t="str">
        <f t="shared" si="17"/>
        <v>dailCompTextNature=^oThis feels warm to the touch, almost familiar ^w(This component only fits into the Medal Slot)</v>
      </c>
      <c r="AB66" s="5" t="s">
        <v>36</v>
      </c>
      <c r="AH66">
        <f t="shared" si="19"/>
        <v>61</v>
      </c>
      <c r="AI66">
        <f t="shared" si="13"/>
        <v>0</v>
      </c>
      <c r="AJ66">
        <f t="shared" si="18"/>
        <v>5</v>
      </c>
    </row>
    <row r="67" spans="1:36" x14ac:dyDescent="0.25">
      <c r="A67" s="5" t="s">
        <v>39</v>
      </c>
      <c r="B67" s="5" t="s">
        <v>30</v>
      </c>
      <c r="C67" s="5" t="str">
        <f t="shared" ref="C67:C102" si="24">"description,dailCompDesc"&amp;H67&amp;G67&amp;","</f>
        <v>description,dailCompDescNature,</v>
      </c>
      <c r="D67" s="5" t="str">
        <f t="shared" si="2"/>
        <v>itemText,dailCompTextNature,</v>
      </c>
      <c r="E67" s="5" t="str">
        <f t="shared" si="14"/>
        <v>augmentSkillLevel1,5,</v>
      </c>
      <c r="F67" s="5" t="str">
        <f t="shared" si="15"/>
        <v>augmentSkillName1,records/skills,</v>
      </c>
      <c r="G67" s="7" t="str">
        <f t="shared" si="10"/>
        <v/>
      </c>
      <c r="H67" s="8" t="str">
        <f t="shared" si="11"/>
        <v>Nature</v>
      </c>
      <c r="J67" s="8" t="str">
        <f t="shared" si="22"/>
        <v>class0020</v>
      </c>
      <c r="K67" s="8" t="str">
        <f t="shared" si="22"/>
        <v>dailoneskill0020</v>
      </c>
      <c r="L67" s="5" t="str">
        <f t="shared" si="4"/>
        <v>lootName,DAIL/items/materia/class0020/Nature.dbr,</v>
      </c>
      <c r="M67" s="5" t="str">
        <f t="shared" si="5"/>
        <v>lootWeight,1,</v>
      </c>
      <c r="N67" t="str">
        <f t="shared" si="6"/>
        <v>5</v>
      </c>
      <c r="O67" t="str">
        <f t="shared" si="16"/>
        <v/>
      </c>
      <c r="P67" t="str">
        <f t="shared" si="23"/>
        <v/>
      </c>
      <c r="Q67" t="str">
        <f t="shared" si="23"/>
        <v/>
      </c>
      <c r="R67" t="str">
        <f t="shared" si="23"/>
        <v/>
      </c>
      <c r="S67" t="str">
        <f t="shared" si="23"/>
        <v/>
      </c>
      <c r="T67" t="str">
        <f t="shared" si="23"/>
        <v/>
      </c>
      <c r="U67" t="str">
        <f t="shared" si="23"/>
        <v/>
      </c>
      <c r="V67" s="5" t="s">
        <v>36</v>
      </c>
      <c r="W67" t="str">
        <f t="shared" si="8"/>
        <v/>
      </c>
      <c r="X67" t="str">
        <f t="shared" si="8"/>
        <v/>
      </c>
      <c r="Y67" s="5" t="s">
        <v>36</v>
      </c>
      <c r="Z67" t="str">
        <f t="shared" si="9"/>
        <v/>
      </c>
      <c r="AA67" t="str">
        <f t="shared" si="17"/>
        <v/>
      </c>
      <c r="AB67" s="5" t="s">
        <v>36</v>
      </c>
      <c r="AH67">
        <f t="shared" si="19"/>
        <v>62</v>
      </c>
      <c r="AI67">
        <f t="shared" si="13"/>
        <v>0</v>
      </c>
      <c r="AJ67">
        <f t="shared" si="18"/>
        <v>5</v>
      </c>
    </row>
    <row r="68" spans="1:36" x14ac:dyDescent="0.25">
      <c r="A68" s="5" t="s">
        <v>39</v>
      </c>
      <c r="B68" s="5" t="s">
        <v>30</v>
      </c>
      <c r="C68" s="5" t="str">
        <f t="shared" si="24"/>
        <v>description,dailCompDescNature,</v>
      </c>
      <c r="D68" s="5" t="str">
        <f t="shared" ref="D68:D102" si="25">"itemText,dailCompText"&amp;H68&amp;G68&amp;","</f>
        <v>itemText,dailCompTextNature,</v>
      </c>
      <c r="E68" s="5" t="str">
        <f t="shared" si="14"/>
        <v>augmentSkillLevel1,5,</v>
      </c>
      <c r="F68" s="5" t="str">
        <f t="shared" si="15"/>
        <v>augmentSkillName1,records/skills,</v>
      </c>
      <c r="G68" s="7" t="str">
        <f t="shared" si="10"/>
        <v/>
      </c>
      <c r="H68" s="8" t="str">
        <f t="shared" si="11"/>
        <v>Nature</v>
      </c>
      <c r="J68" s="8" t="str">
        <f t="shared" si="22"/>
        <v>class0020</v>
      </c>
      <c r="K68" s="8" t="str">
        <f t="shared" si="22"/>
        <v>dailoneskill0020</v>
      </c>
      <c r="L68" s="5" t="str">
        <f t="shared" ref="L68:L102" si="26">"lootName"&amp;G68&amp;",DAIL/items/materia/"&amp;J68&amp;"/"&amp;H68&amp;G68&amp;".dbr"&amp;","</f>
        <v>lootName,DAIL/items/materia/class0020/Nature.dbr,</v>
      </c>
      <c r="M68" s="5" t="str">
        <f t="shared" ref="M68:M102" si="27">"lootWeight"&amp;G68&amp;",1,"</f>
        <v>lootWeight,1,</v>
      </c>
      <c r="N68" t="str">
        <f t="shared" ref="N68:N102" si="28">LEFT(RIGHT(E68,2),1)</f>
        <v>5</v>
      </c>
      <c r="O68" t="str">
        <f t="shared" si="16"/>
        <v/>
      </c>
      <c r="P68" t="str">
        <f t="shared" si="23"/>
        <v/>
      </c>
      <c r="Q68" t="str">
        <f t="shared" si="23"/>
        <v/>
      </c>
      <c r="R68" t="str">
        <f t="shared" si="23"/>
        <v/>
      </c>
      <c r="S68" t="str">
        <f t="shared" si="23"/>
        <v/>
      </c>
      <c r="T68" t="str">
        <f t="shared" si="23"/>
        <v/>
      </c>
      <c r="U68" t="str">
        <f t="shared" si="23"/>
        <v/>
      </c>
      <c r="V68" s="5" t="s">
        <v>36</v>
      </c>
      <c r="W68" t="str">
        <f t="shared" ref="W68:X102" si="29">IF($I68&lt;&gt;"","echo "&amp;L68&amp;" &gt;&gt; .\items\loottables\"&amp;$K68&amp;".dbr","")</f>
        <v/>
      </c>
      <c r="X68" t="str">
        <f t="shared" si="29"/>
        <v/>
      </c>
      <c r="Y68" s="5" t="s">
        <v>36</v>
      </c>
      <c r="Z68" t="str">
        <f t="shared" ref="Z68:Z102" si="30">IF(I67&lt;&gt;""," dailCompDesc"&amp;H68&amp;G68&amp;"=^p"&amp;H68&amp;"'s Gift of DAIL","")</f>
        <v/>
      </c>
      <c r="AA68" t="str">
        <f t="shared" si="17"/>
        <v/>
      </c>
      <c r="AB68" s="5" t="s">
        <v>36</v>
      </c>
      <c r="AH68">
        <f t="shared" si="19"/>
        <v>63</v>
      </c>
      <c r="AI68">
        <f t="shared" si="13"/>
        <v>0</v>
      </c>
      <c r="AJ68">
        <f t="shared" si="18"/>
        <v>5</v>
      </c>
    </row>
    <row r="69" spans="1:36" x14ac:dyDescent="0.25">
      <c r="A69" s="5" t="s">
        <v>39</v>
      </c>
      <c r="B69" s="5" t="s">
        <v>30</v>
      </c>
      <c r="C69" s="5" t="str">
        <f t="shared" si="24"/>
        <v>description,dailCompDescNature,</v>
      </c>
      <c r="D69" s="5" t="str">
        <f t="shared" si="25"/>
        <v>itemText,dailCompTextNature,</v>
      </c>
      <c r="E69" s="5" t="str">
        <f t="shared" si="14"/>
        <v>augmentSkillLevel1,5,</v>
      </c>
      <c r="F69" s="5" t="str">
        <f t="shared" si="15"/>
        <v>augmentSkillName1,records/skills,</v>
      </c>
      <c r="G69" s="7" t="str">
        <f t="shared" ref="G69:G102" si="31">IF(I69&lt;&gt;"",G68+1,"")</f>
        <v/>
      </c>
      <c r="H69" s="8" t="str">
        <f t="shared" ref="H69:H102" si="32">H68</f>
        <v>Nature</v>
      </c>
      <c r="J69" s="8" t="str">
        <f t="shared" ref="J69:K84" si="33">J68</f>
        <v>class0020</v>
      </c>
      <c r="K69" s="8" t="str">
        <f t="shared" si="33"/>
        <v>dailoneskill0020</v>
      </c>
      <c r="L69" s="5" t="str">
        <f t="shared" si="26"/>
        <v>lootName,DAIL/items/materia/class0020/Nature.dbr,</v>
      </c>
      <c r="M69" s="5" t="str">
        <f t="shared" si="27"/>
        <v>lootWeight,1,</v>
      </c>
      <c r="N69" t="str">
        <f t="shared" si="28"/>
        <v>5</v>
      </c>
      <c r="O69" t="str">
        <f t="shared" si="16"/>
        <v/>
      </c>
      <c r="P69" t="str">
        <f t="shared" si="23"/>
        <v/>
      </c>
      <c r="Q69" t="str">
        <f t="shared" si="23"/>
        <v/>
      </c>
      <c r="R69" t="str">
        <f t="shared" si="23"/>
        <v/>
      </c>
      <c r="S69" t="str">
        <f t="shared" si="23"/>
        <v/>
      </c>
      <c r="T69" t="str">
        <f t="shared" si="23"/>
        <v/>
      </c>
      <c r="U69" t="str">
        <f t="shared" si="23"/>
        <v/>
      </c>
      <c r="V69" s="5" t="s">
        <v>36</v>
      </c>
      <c r="W69" t="str">
        <f t="shared" si="29"/>
        <v/>
      </c>
      <c r="X69" t="str">
        <f t="shared" si="29"/>
        <v/>
      </c>
      <c r="Y69" s="5" t="s">
        <v>36</v>
      </c>
      <c r="Z69" t="str">
        <f t="shared" si="30"/>
        <v/>
      </c>
      <c r="AA69" t="str">
        <f t="shared" si="17"/>
        <v/>
      </c>
      <c r="AB69" s="5" t="s">
        <v>36</v>
      </c>
      <c r="AH69">
        <f t="shared" si="19"/>
        <v>64</v>
      </c>
      <c r="AI69">
        <f t="shared" si="13"/>
        <v>0</v>
      </c>
      <c r="AJ69">
        <f t="shared" si="18"/>
        <v>5</v>
      </c>
    </row>
    <row r="70" spans="1:36" x14ac:dyDescent="0.25">
      <c r="A70" s="5" t="s">
        <v>39</v>
      </c>
      <c r="B70" s="5" t="s">
        <v>30</v>
      </c>
      <c r="C70" s="5" t="str">
        <f t="shared" si="24"/>
        <v>description,dailCompDescNature,</v>
      </c>
      <c r="D70" s="5" t="str">
        <f t="shared" si="25"/>
        <v>itemText,dailCompTextNature,</v>
      </c>
      <c r="E70" s="5" t="str">
        <f t="shared" si="14"/>
        <v>augmentSkillLevel1,5,</v>
      </c>
      <c r="F70" s="5" t="str">
        <f t="shared" si="15"/>
        <v>augmentSkillName1,records/skills,</v>
      </c>
      <c r="G70" s="7" t="str">
        <f t="shared" si="31"/>
        <v/>
      </c>
      <c r="H70" s="8" t="str">
        <f t="shared" si="32"/>
        <v>Nature</v>
      </c>
      <c r="J70" s="8" t="str">
        <f t="shared" si="33"/>
        <v>class0020</v>
      </c>
      <c r="K70" s="8" t="str">
        <f t="shared" si="33"/>
        <v>dailoneskill0020</v>
      </c>
      <c r="L70" s="5" t="str">
        <f t="shared" si="26"/>
        <v>lootName,DAIL/items/materia/class0020/Nature.dbr,</v>
      </c>
      <c r="M70" s="5" t="str">
        <f t="shared" si="27"/>
        <v>lootWeight,1,</v>
      </c>
      <c r="N70" t="str">
        <f t="shared" si="28"/>
        <v>5</v>
      </c>
      <c r="O70" t="str">
        <f t="shared" si="16"/>
        <v/>
      </c>
      <c r="P70" t="str">
        <f t="shared" si="23"/>
        <v/>
      </c>
      <c r="Q70" t="str">
        <f t="shared" si="23"/>
        <v/>
      </c>
      <c r="R70" t="str">
        <f t="shared" si="23"/>
        <v/>
      </c>
      <c r="S70" t="str">
        <f t="shared" si="23"/>
        <v/>
      </c>
      <c r="T70" t="str">
        <f t="shared" si="23"/>
        <v/>
      </c>
      <c r="U70" t="str">
        <f t="shared" si="23"/>
        <v/>
      </c>
      <c r="V70" s="5" t="s">
        <v>36</v>
      </c>
      <c r="W70" t="str">
        <f t="shared" si="29"/>
        <v/>
      </c>
      <c r="X70" t="str">
        <f t="shared" si="29"/>
        <v/>
      </c>
      <c r="Y70" s="5" t="s">
        <v>36</v>
      </c>
      <c r="Z70" t="str">
        <f t="shared" si="30"/>
        <v/>
      </c>
      <c r="AA70" t="str">
        <f t="shared" si="17"/>
        <v/>
      </c>
      <c r="AB70" s="5" t="s">
        <v>36</v>
      </c>
      <c r="AH70">
        <f t="shared" si="19"/>
        <v>65</v>
      </c>
      <c r="AI70">
        <f t="shared" ref="AI70:AI102" si="34">LEN(I70)</f>
        <v>0</v>
      </c>
      <c r="AJ70">
        <f t="shared" si="18"/>
        <v>5</v>
      </c>
    </row>
    <row r="71" spans="1:36" x14ac:dyDescent="0.25">
      <c r="A71" s="5" t="s">
        <v>39</v>
      </c>
      <c r="B71" s="5" t="s">
        <v>30</v>
      </c>
      <c r="C71" s="5" t="str">
        <f t="shared" si="24"/>
        <v>description,dailCompDescNature,</v>
      </c>
      <c r="D71" s="5" t="str">
        <f t="shared" si="25"/>
        <v>itemText,dailCompTextNature,</v>
      </c>
      <c r="E71" s="5" t="str">
        <f t="shared" ref="E71:E102" si="35">"augmentSkillLevel1,"&amp;AJ71&amp;","</f>
        <v>augmentSkillLevel1,5,</v>
      </c>
      <c r="F71" s="5" t="str">
        <f t="shared" ref="F71:F102" si="36">"augmentSkillName1,records/skills"&amp;I71&amp;","</f>
        <v>augmentSkillName1,records/skills,</v>
      </c>
      <c r="G71" s="7" t="str">
        <f t="shared" si="31"/>
        <v/>
      </c>
      <c r="H71" s="8" t="str">
        <f t="shared" si="32"/>
        <v>Nature</v>
      </c>
      <c r="J71" s="8" t="str">
        <f t="shared" si="33"/>
        <v>class0020</v>
      </c>
      <c r="K71" s="8" t="str">
        <f t="shared" si="33"/>
        <v>dailoneskill0020</v>
      </c>
      <c r="L71" s="5" t="str">
        <f t="shared" si="26"/>
        <v>lootName,DAIL/items/materia/class0020/Nature.dbr,</v>
      </c>
      <c r="M71" s="5" t="str">
        <f t="shared" si="27"/>
        <v>lootWeight,1,</v>
      </c>
      <c r="N71" t="str">
        <f t="shared" si="28"/>
        <v>5</v>
      </c>
      <c r="O71" t="str">
        <f t="shared" ref="O71:O102" si="37">IF(I71&lt;&gt;"","copy .\"&amp;VLOOKUP(VALUE(N71),$AD$3:$AF$5,2,FALSE)&amp;" .\items\materia\"&amp;J71&amp;"\"&amp;H71&amp;G71&amp;".dbr /y"&amp;"","")</f>
        <v/>
      </c>
      <c r="P71" t="str">
        <f t="shared" si="23"/>
        <v/>
      </c>
      <c r="Q71" t="str">
        <f t="shared" si="23"/>
        <v/>
      </c>
      <c r="R71" t="str">
        <f t="shared" si="23"/>
        <v/>
      </c>
      <c r="S71" t="str">
        <f t="shared" si="23"/>
        <v/>
      </c>
      <c r="T71" t="str">
        <f t="shared" si="23"/>
        <v/>
      </c>
      <c r="U71" t="str">
        <f t="shared" si="23"/>
        <v/>
      </c>
      <c r="V71" s="5" t="s">
        <v>36</v>
      </c>
      <c r="W71" t="str">
        <f t="shared" si="29"/>
        <v/>
      </c>
      <c r="X71" t="str">
        <f t="shared" si="29"/>
        <v/>
      </c>
      <c r="Y71" s="5" t="s">
        <v>36</v>
      </c>
      <c r="Z71" t="str">
        <f t="shared" si="30"/>
        <v/>
      </c>
      <c r="AA71" t="str">
        <f t="shared" ref="AA71:AA102" si="38">IF(I70&lt;&gt;"","dailCompText"&amp;H71&amp;G71&amp;"=^oThis feels warm to the touch, almost familiar ^w("&amp;VLOOKUP(VALUE(N71),$AD$3:$AF$5,3,FALSE)&amp;")","")</f>
        <v/>
      </c>
      <c r="AB71" s="5" t="s">
        <v>36</v>
      </c>
      <c r="AH71">
        <f t="shared" si="19"/>
        <v>66</v>
      </c>
      <c r="AI71">
        <f t="shared" si="34"/>
        <v>0</v>
      </c>
      <c r="AJ71">
        <f t="shared" ref="AJ71:AJ102" si="39">IF(AH71&lt;$AL$7,1,IF(AH71&lt;$AL$8,3,5))</f>
        <v>5</v>
      </c>
    </row>
    <row r="72" spans="1:36" x14ac:dyDescent="0.25">
      <c r="A72" s="5" t="s">
        <v>39</v>
      </c>
      <c r="B72" s="5" t="s">
        <v>30</v>
      </c>
      <c r="C72" s="5" t="str">
        <f t="shared" si="24"/>
        <v>description,dailCompDescNature,</v>
      </c>
      <c r="D72" s="5" t="str">
        <f t="shared" si="25"/>
        <v>itemText,dailCompTextNature,</v>
      </c>
      <c r="E72" s="5" t="str">
        <f t="shared" si="35"/>
        <v>augmentSkillLevel1,5,</v>
      </c>
      <c r="F72" s="5" t="str">
        <f t="shared" si="36"/>
        <v>augmentSkillName1,records/skills,</v>
      </c>
      <c r="G72" s="7" t="str">
        <f t="shared" si="31"/>
        <v/>
      </c>
      <c r="H72" s="8" t="str">
        <f t="shared" si="32"/>
        <v>Nature</v>
      </c>
      <c r="J72" s="8" t="str">
        <f t="shared" si="33"/>
        <v>class0020</v>
      </c>
      <c r="K72" s="8" t="str">
        <f t="shared" si="33"/>
        <v>dailoneskill0020</v>
      </c>
      <c r="L72" s="5" t="str">
        <f t="shared" si="26"/>
        <v>lootName,DAIL/items/materia/class0020/Nature.dbr,</v>
      </c>
      <c r="M72" s="5" t="str">
        <f t="shared" si="27"/>
        <v>lootWeight,1,</v>
      </c>
      <c r="N72" t="str">
        <f t="shared" si="28"/>
        <v>5</v>
      </c>
      <c r="O72" t="str">
        <f t="shared" si="37"/>
        <v/>
      </c>
      <c r="P72" t="str">
        <f t="shared" si="23"/>
        <v/>
      </c>
      <c r="Q72" t="str">
        <f t="shared" si="23"/>
        <v/>
      </c>
      <c r="R72" t="str">
        <f t="shared" si="23"/>
        <v/>
      </c>
      <c r="S72" t="str">
        <f t="shared" si="23"/>
        <v/>
      </c>
      <c r="T72" t="str">
        <f t="shared" si="23"/>
        <v/>
      </c>
      <c r="U72" t="str">
        <f t="shared" si="23"/>
        <v/>
      </c>
      <c r="V72" s="5" t="s">
        <v>36</v>
      </c>
      <c r="W72" t="str">
        <f t="shared" si="29"/>
        <v/>
      </c>
      <c r="X72" t="str">
        <f t="shared" si="29"/>
        <v/>
      </c>
      <c r="Y72" s="5" t="s">
        <v>36</v>
      </c>
      <c r="Z72" t="str">
        <f t="shared" si="30"/>
        <v/>
      </c>
      <c r="AA72" t="str">
        <f t="shared" si="38"/>
        <v/>
      </c>
      <c r="AB72" s="5" t="s">
        <v>36</v>
      </c>
      <c r="AH72">
        <f t="shared" ref="AH72:AH102" si="40">AH71+1</f>
        <v>67</v>
      </c>
      <c r="AI72">
        <f t="shared" si="34"/>
        <v>0</v>
      </c>
      <c r="AJ72">
        <f t="shared" si="39"/>
        <v>5</v>
      </c>
    </row>
    <row r="73" spans="1:36" x14ac:dyDescent="0.25">
      <c r="A73" s="5" t="s">
        <v>39</v>
      </c>
      <c r="B73" s="5" t="s">
        <v>30</v>
      </c>
      <c r="C73" s="5" t="str">
        <f t="shared" si="24"/>
        <v>description,dailCompDescNature,</v>
      </c>
      <c r="D73" s="5" t="str">
        <f t="shared" si="25"/>
        <v>itemText,dailCompTextNature,</v>
      </c>
      <c r="E73" s="5" t="str">
        <f t="shared" si="35"/>
        <v>augmentSkillLevel1,5,</v>
      </c>
      <c r="F73" s="5" t="str">
        <f t="shared" si="36"/>
        <v>augmentSkillName1,records/skills,</v>
      </c>
      <c r="G73" s="7" t="str">
        <f t="shared" si="31"/>
        <v/>
      </c>
      <c r="H73" s="8" t="str">
        <f t="shared" si="32"/>
        <v>Nature</v>
      </c>
      <c r="J73" s="8" t="str">
        <f t="shared" si="33"/>
        <v>class0020</v>
      </c>
      <c r="K73" s="8" t="str">
        <f t="shared" si="33"/>
        <v>dailoneskill0020</v>
      </c>
      <c r="L73" s="5" t="str">
        <f t="shared" si="26"/>
        <v>lootName,DAIL/items/materia/class0020/Nature.dbr,</v>
      </c>
      <c r="M73" s="5" t="str">
        <f t="shared" si="27"/>
        <v>lootWeight,1,</v>
      </c>
      <c r="N73" t="str">
        <f t="shared" si="28"/>
        <v>5</v>
      </c>
      <c r="O73" t="str">
        <f t="shared" si="37"/>
        <v/>
      </c>
      <c r="P73" t="str">
        <f t="shared" si="23"/>
        <v/>
      </c>
      <c r="Q73" t="str">
        <f t="shared" si="23"/>
        <v/>
      </c>
      <c r="R73" t="str">
        <f t="shared" si="23"/>
        <v/>
      </c>
      <c r="S73" t="str">
        <f t="shared" si="23"/>
        <v/>
      </c>
      <c r="T73" t="str">
        <f t="shared" si="23"/>
        <v/>
      </c>
      <c r="U73" t="str">
        <f t="shared" si="23"/>
        <v/>
      </c>
      <c r="V73" s="5" t="s">
        <v>36</v>
      </c>
      <c r="W73" t="str">
        <f t="shared" si="29"/>
        <v/>
      </c>
      <c r="X73" t="str">
        <f t="shared" si="29"/>
        <v/>
      </c>
      <c r="Y73" s="5" t="s">
        <v>36</v>
      </c>
      <c r="Z73" t="str">
        <f t="shared" si="30"/>
        <v/>
      </c>
      <c r="AA73" t="str">
        <f t="shared" si="38"/>
        <v/>
      </c>
      <c r="AB73" s="5" t="s">
        <v>36</v>
      </c>
      <c r="AH73">
        <f t="shared" si="40"/>
        <v>68</v>
      </c>
      <c r="AI73">
        <f t="shared" si="34"/>
        <v>0</v>
      </c>
      <c r="AJ73">
        <f t="shared" si="39"/>
        <v>5</v>
      </c>
    </row>
    <row r="74" spans="1:36" x14ac:dyDescent="0.25">
      <c r="A74" s="5" t="s">
        <v>39</v>
      </c>
      <c r="B74" s="5" t="s">
        <v>30</v>
      </c>
      <c r="C74" s="5" t="str">
        <f t="shared" si="24"/>
        <v>description,dailCompDescNature,</v>
      </c>
      <c r="D74" s="5" t="str">
        <f t="shared" si="25"/>
        <v>itemText,dailCompTextNature,</v>
      </c>
      <c r="E74" s="5" t="str">
        <f t="shared" si="35"/>
        <v>augmentSkillLevel1,5,</v>
      </c>
      <c r="F74" s="5" t="str">
        <f t="shared" si="36"/>
        <v>augmentSkillName1,records/skills,</v>
      </c>
      <c r="G74" s="7" t="str">
        <f t="shared" si="31"/>
        <v/>
      </c>
      <c r="H74" s="8" t="str">
        <f t="shared" si="32"/>
        <v>Nature</v>
      </c>
      <c r="J74" s="8" t="str">
        <f t="shared" si="33"/>
        <v>class0020</v>
      </c>
      <c r="K74" s="8" t="str">
        <f t="shared" si="33"/>
        <v>dailoneskill0020</v>
      </c>
      <c r="L74" s="5" t="str">
        <f t="shared" si="26"/>
        <v>lootName,DAIL/items/materia/class0020/Nature.dbr,</v>
      </c>
      <c r="M74" s="5" t="str">
        <f t="shared" si="27"/>
        <v>lootWeight,1,</v>
      </c>
      <c r="N74" t="str">
        <f t="shared" si="28"/>
        <v>5</v>
      </c>
      <c r="O74" t="str">
        <f t="shared" si="37"/>
        <v/>
      </c>
      <c r="P74" t="str">
        <f t="shared" si="23"/>
        <v/>
      </c>
      <c r="Q74" t="str">
        <f t="shared" si="23"/>
        <v/>
      </c>
      <c r="R74" t="str">
        <f t="shared" si="23"/>
        <v/>
      </c>
      <c r="S74" t="str">
        <f t="shared" si="23"/>
        <v/>
      </c>
      <c r="T74" t="str">
        <f t="shared" si="23"/>
        <v/>
      </c>
      <c r="U74" t="str">
        <f t="shared" si="23"/>
        <v/>
      </c>
      <c r="V74" s="5" t="s">
        <v>36</v>
      </c>
      <c r="W74" t="str">
        <f t="shared" si="29"/>
        <v/>
      </c>
      <c r="X74" t="str">
        <f t="shared" si="29"/>
        <v/>
      </c>
      <c r="Y74" s="5" t="s">
        <v>36</v>
      </c>
      <c r="Z74" t="str">
        <f t="shared" si="30"/>
        <v/>
      </c>
      <c r="AA74" t="str">
        <f t="shared" si="38"/>
        <v/>
      </c>
      <c r="AB74" s="5" t="s">
        <v>36</v>
      </c>
      <c r="AH74">
        <f t="shared" si="40"/>
        <v>69</v>
      </c>
      <c r="AI74">
        <f t="shared" si="34"/>
        <v>0</v>
      </c>
      <c r="AJ74">
        <f t="shared" si="39"/>
        <v>5</v>
      </c>
    </row>
    <row r="75" spans="1:36" x14ac:dyDescent="0.25">
      <c r="A75" s="5" t="s">
        <v>39</v>
      </c>
      <c r="B75" s="5" t="s">
        <v>30</v>
      </c>
      <c r="C75" s="5" t="str">
        <f t="shared" si="24"/>
        <v>description,dailCompDescNature,</v>
      </c>
      <c r="D75" s="5" t="str">
        <f t="shared" si="25"/>
        <v>itemText,dailCompTextNature,</v>
      </c>
      <c r="E75" s="5" t="str">
        <f t="shared" si="35"/>
        <v>augmentSkillLevel1,5,</v>
      </c>
      <c r="F75" s="5" t="str">
        <f t="shared" si="36"/>
        <v>augmentSkillName1,records/skills,</v>
      </c>
      <c r="G75" s="7" t="str">
        <f t="shared" si="31"/>
        <v/>
      </c>
      <c r="H75" s="8" t="str">
        <f t="shared" si="32"/>
        <v>Nature</v>
      </c>
      <c r="J75" s="8" t="str">
        <f t="shared" si="33"/>
        <v>class0020</v>
      </c>
      <c r="K75" s="8" t="str">
        <f t="shared" si="33"/>
        <v>dailoneskill0020</v>
      </c>
      <c r="L75" s="5" t="str">
        <f t="shared" si="26"/>
        <v>lootName,DAIL/items/materia/class0020/Nature.dbr,</v>
      </c>
      <c r="M75" s="5" t="str">
        <f t="shared" si="27"/>
        <v>lootWeight,1,</v>
      </c>
      <c r="N75" t="str">
        <f t="shared" si="28"/>
        <v>5</v>
      </c>
      <c r="O75" t="str">
        <f t="shared" si="37"/>
        <v/>
      </c>
      <c r="P75" t="str">
        <f t="shared" si="23"/>
        <v/>
      </c>
      <c r="Q75" t="str">
        <f t="shared" si="23"/>
        <v/>
      </c>
      <c r="R75" t="str">
        <f t="shared" si="23"/>
        <v/>
      </c>
      <c r="S75" t="str">
        <f t="shared" si="23"/>
        <v/>
      </c>
      <c r="T75" t="str">
        <f t="shared" si="23"/>
        <v/>
      </c>
      <c r="U75" t="str">
        <f t="shared" si="23"/>
        <v/>
      </c>
      <c r="V75" s="5" t="s">
        <v>36</v>
      </c>
      <c r="W75" t="str">
        <f t="shared" si="29"/>
        <v/>
      </c>
      <c r="X75" t="str">
        <f t="shared" si="29"/>
        <v/>
      </c>
      <c r="Y75" s="5" t="s">
        <v>36</v>
      </c>
      <c r="Z75" t="str">
        <f t="shared" si="30"/>
        <v/>
      </c>
      <c r="AA75" t="str">
        <f t="shared" si="38"/>
        <v/>
      </c>
      <c r="AB75" s="5" t="s">
        <v>36</v>
      </c>
      <c r="AH75">
        <f t="shared" si="40"/>
        <v>70</v>
      </c>
      <c r="AI75">
        <f t="shared" si="34"/>
        <v>0</v>
      </c>
      <c r="AJ75">
        <f t="shared" si="39"/>
        <v>5</v>
      </c>
    </row>
    <row r="76" spans="1:36" x14ac:dyDescent="0.25">
      <c r="A76" s="5" t="s">
        <v>39</v>
      </c>
      <c r="B76" s="5" t="s">
        <v>30</v>
      </c>
      <c r="C76" s="5" t="str">
        <f t="shared" si="24"/>
        <v>description,dailCompDescNature,</v>
      </c>
      <c r="D76" s="5" t="str">
        <f t="shared" si="25"/>
        <v>itemText,dailCompTextNature,</v>
      </c>
      <c r="E76" s="5" t="str">
        <f t="shared" si="35"/>
        <v>augmentSkillLevel1,5,</v>
      </c>
      <c r="F76" s="5" t="str">
        <f t="shared" si="36"/>
        <v>augmentSkillName1,records/skills,</v>
      </c>
      <c r="G76" s="7" t="str">
        <f t="shared" si="31"/>
        <v/>
      </c>
      <c r="H76" s="8" t="str">
        <f t="shared" si="32"/>
        <v>Nature</v>
      </c>
      <c r="J76" s="8" t="str">
        <f t="shared" si="33"/>
        <v>class0020</v>
      </c>
      <c r="K76" s="8" t="str">
        <f t="shared" si="33"/>
        <v>dailoneskill0020</v>
      </c>
      <c r="L76" s="5" t="str">
        <f t="shared" si="26"/>
        <v>lootName,DAIL/items/materia/class0020/Nature.dbr,</v>
      </c>
      <c r="M76" s="5" t="str">
        <f t="shared" si="27"/>
        <v>lootWeight,1,</v>
      </c>
      <c r="N76" t="str">
        <f t="shared" si="28"/>
        <v>5</v>
      </c>
      <c r="O76" t="str">
        <f t="shared" si="37"/>
        <v/>
      </c>
      <c r="P76" t="str">
        <f t="shared" si="23"/>
        <v/>
      </c>
      <c r="Q76" t="str">
        <f t="shared" si="23"/>
        <v/>
      </c>
      <c r="R76" t="str">
        <f t="shared" si="23"/>
        <v/>
      </c>
      <c r="S76" t="str">
        <f t="shared" si="23"/>
        <v/>
      </c>
      <c r="T76" t="str">
        <f t="shared" si="23"/>
        <v/>
      </c>
      <c r="U76" t="str">
        <f t="shared" si="23"/>
        <v/>
      </c>
      <c r="V76" s="5" t="s">
        <v>36</v>
      </c>
      <c r="W76" t="str">
        <f t="shared" si="29"/>
        <v/>
      </c>
      <c r="X76" t="str">
        <f t="shared" si="29"/>
        <v/>
      </c>
      <c r="Y76" s="5" t="s">
        <v>36</v>
      </c>
      <c r="Z76" t="str">
        <f t="shared" si="30"/>
        <v/>
      </c>
      <c r="AA76" t="str">
        <f t="shared" si="38"/>
        <v/>
      </c>
      <c r="AB76" s="5" t="s">
        <v>36</v>
      </c>
      <c r="AH76">
        <f t="shared" si="40"/>
        <v>71</v>
      </c>
      <c r="AI76">
        <f t="shared" si="34"/>
        <v>0</v>
      </c>
      <c r="AJ76">
        <f t="shared" si="39"/>
        <v>5</v>
      </c>
    </row>
    <row r="77" spans="1:36" x14ac:dyDescent="0.25">
      <c r="A77" s="5" t="s">
        <v>39</v>
      </c>
      <c r="B77" s="5" t="s">
        <v>30</v>
      </c>
      <c r="C77" s="5" t="str">
        <f t="shared" si="24"/>
        <v>description,dailCompDescNature,</v>
      </c>
      <c r="D77" s="5" t="str">
        <f t="shared" si="25"/>
        <v>itemText,dailCompTextNature,</v>
      </c>
      <c r="E77" s="5" t="str">
        <f t="shared" si="35"/>
        <v>augmentSkillLevel1,5,</v>
      </c>
      <c r="F77" s="5" t="str">
        <f t="shared" si="36"/>
        <v>augmentSkillName1,records/skills,</v>
      </c>
      <c r="G77" s="7" t="str">
        <f t="shared" si="31"/>
        <v/>
      </c>
      <c r="H77" s="8" t="str">
        <f t="shared" si="32"/>
        <v>Nature</v>
      </c>
      <c r="J77" s="8" t="str">
        <f t="shared" si="33"/>
        <v>class0020</v>
      </c>
      <c r="K77" s="8" t="str">
        <f t="shared" si="33"/>
        <v>dailoneskill0020</v>
      </c>
      <c r="L77" s="5" t="str">
        <f t="shared" si="26"/>
        <v>lootName,DAIL/items/materia/class0020/Nature.dbr,</v>
      </c>
      <c r="M77" s="5" t="str">
        <f t="shared" si="27"/>
        <v>lootWeight,1,</v>
      </c>
      <c r="N77" t="str">
        <f t="shared" si="28"/>
        <v>5</v>
      </c>
      <c r="O77" t="str">
        <f t="shared" si="37"/>
        <v/>
      </c>
      <c r="P77" t="str">
        <f t="shared" si="23"/>
        <v/>
      </c>
      <c r="Q77" t="str">
        <f t="shared" si="23"/>
        <v/>
      </c>
      <c r="R77" t="str">
        <f t="shared" si="23"/>
        <v/>
      </c>
      <c r="S77" t="str">
        <f t="shared" si="23"/>
        <v/>
      </c>
      <c r="T77" t="str">
        <f t="shared" si="23"/>
        <v/>
      </c>
      <c r="U77" t="str">
        <f t="shared" si="23"/>
        <v/>
      </c>
      <c r="V77" s="5" t="s">
        <v>36</v>
      </c>
      <c r="W77" t="str">
        <f t="shared" si="29"/>
        <v/>
      </c>
      <c r="X77" t="str">
        <f t="shared" si="29"/>
        <v/>
      </c>
      <c r="Y77" s="5" t="s">
        <v>36</v>
      </c>
      <c r="Z77" t="str">
        <f t="shared" si="30"/>
        <v/>
      </c>
      <c r="AA77" t="str">
        <f t="shared" si="38"/>
        <v/>
      </c>
      <c r="AB77" s="5" t="s">
        <v>36</v>
      </c>
      <c r="AH77">
        <f t="shared" si="40"/>
        <v>72</v>
      </c>
      <c r="AI77">
        <f t="shared" si="34"/>
        <v>0</v>
      </c>
      <c r="AJ77">
        <f t="shared" si="39"/>
        <v>5</v>
      </c>
    </row>
    <row r="78" spans="1:36" x14ac:dyDescent="0.25">
      <c r="A78" s="5" t="s">
        <v>39</v>
      </c>
      <c r="B78" s="5" t="s">
        <v>30</v>
      </c>
      <c r="C78" s="5" t="str">
        <f t="shared" si="24"/>
        <v>description,dailCompDescNature,</v>
      </c>
      <c r="D78" s="5" t="str">
        <f t="shared" si="25"/>
        <v>itemText,dailCompTextNature,</v>
      </c>
      <c r="E78" s="5" t="str">
        <f t="shared" si="35"/>
        <v>augmentSkillLevel1,5,</v>
      </c>
      <c r="F78" s="5" t="str">
        <f t="shared" si="36"/>
        <v>augmentSkillName1,records/skills,</v>
      </c>
      <c r="G78" s="7" t="str">
        <f t="shared" si="31"/>
        <v/>
      </c>
      <c r="H78" s="8" t="str">
        <f t="shared" si="32"/>
        <v>Nature</v>
      </c>
      <c r="J78" s="8" t="str">
        <f t="shared" si="33"/>
        <v>class0020</v>
      </c>
      <c r="K78" s="8" t="str">
        <f t="shared" si="33"/>
        <v>dailoneskill0020</v>
      </c>
      <c r="L78" s="5" t="str">
        <f t="shared" si="26"/>
        <v>lootName,DAIL/items/materia/class0020/Nature.dbr,</v>
      </c>
      <c r="M78" s="5" t="str">
        <f t="shared" si="27"/>
        <v>lootWeight,1,</v>
      </c>
      <c r="N78" t="str">
        <f t="shared" si="28"/>
        <v>5</v>
      </c>
      <c r="O78" t="str">
        <f t="shared" si="37"/>
        <v/>
      </c>
      <c r="P78" t="str">
        <f t="shared" si="23"/>
        <v/>
      </c>
      <c r="Q78" t="str">
        <f t="shared" si="23"/>
        <v/>
      </c>
      <c r="R78" t="str">
        <f t="shared" si="23"/>
        <v/>
      </c>
      <c r="S78" t="str">
        <f t="shared" si="23"/>
        <v/>
      </c>
      <c r="T78" t="str">
        <f t="shared" si="23"/>
        <v/>
      </c>
      <c r="U78" t="str">
        <f t="shared" si="23"/>
        <v/>
      </c>
      <c r="V78" s="5" t="s">
        <v>36</v>
      </c>
      <c r="W78" t="str">
        <f t="shared" si="29"/>
        <v/>
      </c>
      <c r="X78" t="str">
        <f t="shared" si="29"/>
        <v/>
      </c>
      <c r="Y78" s="5" t="s">
        <v>36</v>
      </c>
      <c r="Z78" t="str">
        <f t="shared" si="30"/>
        <v/>
      </c>
      <c r="AA78" t="str">
        <f t="shared" si="38"/>
        <v/>
      </c>
      <c r="AB78" s="5" t="s">
        <v>36</v>
      </c>
      <c r="AH78">
        <f t="shared" si="40"/>
        <v>73</v>
      </c>
      <c r="AI78">
        <f t="shared" si="34"/>
        <v>0</v>
      </c>
      <c r="AJ78">
        <f t="shared" si="39"/>
        <v>5</v>
      </c>
    </row>
    <row r="79" spans="1:36" x14ac:dyDescent="0.25">
      <c r="A79" s="5" t="s">
        <v>39</v>
      </c>
      <c r="B79" s="5" t="s">
        <v>30</v>
      </c>
      <c r="C79" s="5" t="str">
        <f t="shared" si="24"/>
        <v>description,dailCompDescNature,</v>
      </c>
      <c r="D79" s="5" t="str">
        <f t="shared" si="25"/>
        <v>itemText,dailCompTextNature,</v>
      </c>
      <c r="E79" s="5" t="str">
        <f t="shared" si="35"/>
        <v>augmentSkillLevel1,5,</v>
      </c>
      <c r="F79" s="5" t="str">
        <f t="shared" si="36"/>
        <v>augmentSkillName1,records/skills,</v>
      </c>
      <c r="G79" s="7" t="str">
        <f t="shared" si="31"/>
        <v/>
      </c>
      <c r="H79" s="8" t="str">
        <f t="shared" si="32"/>
        <v>Nature</v>
      </c>
      <c r="J79" s="8" t="str">
        <f t="shared" si="33"/>
        <v>class0020</v>
      </c>
      <c r="K79" s="8" t="str">
        <f t="shared" si="33"/>
        <v>dailoneskill0020</v>
      </c>
      <c r="L79" s="5" t="str">
        <f t="shared" si="26"/>
        <v>lootName,DAIL/items/materia/class0020/Nature.dbr,</v>
      </c>
      <c r="M79" s="5" t="str">
        <f t="shared" si="27"/>
        <v>lootWeight,1,</v>
      </c>
      <c r="N79" t="str">
        <f t="shared" si="28"/>
        <v>5</v>
      </c>
      <c r="O79" t="str">
        <f t="shared" si="37"/>
        <v/>
      </c>
      <c r="P79" t="str">
        <f t="shared" si="23"/>
        <v/>
      </c>
      <c r="Q79" t="str">
        <f t="shared" si="23"/>
        <v/>
      </c>
      <c r="R79" t="str">
        <f t="shared" si="23"/>
        <v/>
      </c>
      <c r="S79" t="str">
        <f t="shared" si="23"/>
        <v/>
      </c>
      <c r="T79" t="str">
        <f t="shared" si="23"/>
        <v/>
      </c>
      <c r="U79" t="str">
        <f t="shared" si="23"/>
        <v/>
      </c>
      <c r="V79" s="5" t="s">
        <v>36</v>
      </c>
      <c r="W79" t="str">
        <f t="shared" si="29"/>
        <v/>
      </c>
      <c r="X79" t="str">
        <f t="shared" si="29"/>
        <v/>
      </c>
      <c r="Y79" s="5" t="s">
        <v>36</v>
      </c>
      <c r="Z79" t="str">
        <f t="shared" si="30"/>
        <v/>
      </c>
      <c r="AA79" t="str">
        <f t="shared" si="38"/>
        <v/>
      </c>
      <c r="AB79" s="5" t="s">
        <v>36</v>
      </c>
      <c r="AH79">
        <f t="shared" si="40"/>
        <v>74</v>
      </c>
      <c r="AI79">
        <f t="shared" si="34"/>
        <v>0</v>
      </c>
      <c r="AJ79">
        <f t="shared" si="39"/>
        <v>5</v>
      </c>
    </row>
    <row r="80" spans="1:36" x14ac:dyDescent="0.25">
      <c r="A80" s="5" t="s">
        <v>39</v>
      </c>
      <c r="B80" s="5" t="s">
        <v>30</v>
      </c>
      <c r="C80" s="5" t="str">
        <f t="shared" si="24"/>
        <v>description,dailCompDescNature,</v>
      </c>
      <c r="D80" s="5" t="str">
        <f t="shared" si="25"/>
        <v>itemText,dailCompTextNature,</v>
      </c>
      <c r="E80" s="5" t="str">
        <f t="shared" si="35"/>
        <v>augmentSkillLevel1,5,</v>
      </c>
      <c r="F80" s="5" t="str">
        <f t="shared" si="36"/>
        <v>augmentSkillName1,records/skills,</v>
      </c>
      <c r="G80" s="7" t="str">
        <f t="shared" si="31"/>
        <v/>
      </c>
      <c r="H80" s="8" t="str">
        <f t="shared" si="32"/>
        <v>Nature</v>
      </c>
      <c r="J80" s="8" t="str">
        <f t="shared" si="33"/>
        <v>class0020</v>
      </c>
      <c r="K80" s="8" t="str">
        <f t="shared" si="33"/>
        <v>dailoneskill0020</v>
      </c>
      <c r="L80" s="5" t="str">
        <f t="shared" si="26"/>
        <v>lootName,DAIL/items/materia/class0020/Nature.dbr,</v>
      </c>
      <c r="M80" s="5" t="str">
        <f t="shared" si="27"/>
        <v>lootWeight,1,</v>
      </c>
      <c r="N80" t="str">
        <f t="shared" si="28"/>
        <v>5</v>
      </c>
      <c r="O80" t="str">
        <f t="shared" si="37"/>
        <v/>
      </c>
      <c r="P80" t="str">
        <f t="shared" si="23"/>
        <v/>
      </c>
      <c r="Q80" t="str">
        <f t="shared" si="23"/>
        <v/>
      </c>
      <c r="R80" t="str">
        <f t="shared" si="23"/>
        <v/>
      </c>
      <c r="S80" t="str">
        <f t="shared" si="23"/>
        <v/>
      </c>
      <c r="T80" t="str">
        <f t="shared" si="23"/>
        <v/>
      </c>
      <c r="U80" t="str">
        <f t="shared" si="23"/>
        <v/>
      </c>
      <c r="V80" s="5" t="s">
        <v>36</v>
      </c>
      <c r="W80" t="str">
        <f t="shared" si="29"/>
        <v/>
      </c>
      <c r="X80" t="str">
        <f t="shared" si="29"/>
        <v/>
      </c>
      <c r="Y80" s="5" t="s">
        <v>36</v>
      </c>
      <c r="Z80" t="str">
        <f t="shared" si="30"/>
        <v/>
      </c>
      <c r="AA80" t="str">
        <f t="shared" si="38"/>
        <v/>
      </c>
      <c r="AB80" s="5" t="s">
        <v>36</v>
      </c>
      <c r="AH80">
        <f t="shared" si="40"/>
        <v>75</v>
      </c>
      <c r="AI80">
        <f t="shared" si="34"/>
        <v>0</v>
      </c>
      <c r="AJ80">
        <f t="shared" si="39"/>
        <v>5</v>
      </c>
    </row>
    <row r="81" spans="1:36" x14ac:dyDescent="0.25">
      <c r="A81" s="5" t="s">
        <v>39</v>
      </c>
      <c r="B81" s="5" t="s">
        <v>30</v>
      </c>
      <c r="C81" s="5" t="str">
        <f t="shared" si="24"/>
        <v>description,dailCompDescNature,</v>
      </c>
      <c r="D81" s="5" t="str">
        <f t="shared" si="25"/>
        <v>itemText,dailCompTextNature,</v>
      </c>
      <c r="E81" s="5" t="str">
        <f t="shared" si="35"/>
        <v>augmentSkillLevel1,5,</v>
      </c>
      <c r="F81" s="5" t="str">
        <f t="shared" si="36"/>
        <v>augmentSkillName1,records/skills,</v>
      </c>
      <c r="G81" s="7" t="str">
        <f t="shared" si="31"/>
        <v/>
      </c>
      <c r="H81" s="8" t="str">
        <f t="shared" si="32"/>
        <v>Nature</v>
      </c>
      <c r="J81" s="8" t="str">
        <f t="shared" si="33"/>
        <v>class0020</v>
      </c>
      <c r="K81" s="8" t="str">
        <f t="shared" si="33"/>
        <v>dailoneskill0020</v>
      </c>
      <c r="L81" s="5" t="str">
        <f t="shared" si="26"/>
        <v>lootName,DAIL/items/materia/class0020/Nature.dbr,</v>
      </c>
      <c r="M81" s="5" t="str">
        <f t="shared" si="27"/>
        <v>lootWeight,1,</v>
      </c>
      <c r="N81" t="str">
        <f t="shared" si="28"/>
        <v>5</v>
      </c>
      <c r="O81" t="str">
        <f t="shared" si="37"/>
        <v/>
      </c>
      <c r="P81" t="str">
        <f t="shared" si="23"/>
        <v/>
      </c>
      <c r="Q81" t="str">
        <f t="shared" si="23"/>
        <v/>
      </c>
      <c r="R81" t="str">
        <f t="shared" si="23"/>
        <v/>
      </c>
      <c r="S81" t="str">
        <f t="shared" si="23"/>
        <v/>
      </c>
      <c r="T81" t="str">
        <f t="shared" si="23"/>
        <v/>
      </c>
      <c r="U81" t="str">
        <f t="shared" si="23"/>
        <v/>
      </c>
      <c r="V81" s="5" t="s">
        <v>36</v>
      </c>
      <c r="W81" t="str">
        <f t="shared" si="29"/>
        <v/>
      </c>
      <c r="X81" t="str">
        <f t="shared" si="29"/>
        <v/>
      </c>
      <c r="Y81" s="5" t="s">
        <v>36</v>
      </c>
      <c r="Z81" t="str">
        <f t="shared" si="30"/>
        <v/>
      </c>
      <c r="AA81" t="str">
        <f t="shared" si="38"/>
        <v/>
      </c>
      <c r="AB81" s="5" t="s">
        <v>36</v>
      </c>
      <c r="AH81">
        <f t="shared" si="40"/>
        <v>76</v>
      </c>
      <c r="AI81">
        <f t="shared" si="34"/>
        <v>0</v>
      </c>
      <c r="AJ81">
        <f t="shared" si="39"/>
        <v>5</v>
      </c>
    </row>
    <row r="82" spans="1:36" x14ac:dyDescent="0.25">
      <c r="A82" s="5" t="s">
        <v>39</v>
      </c>
      <c r="B82" s="5" t="s">
        <v>30</v>
      </c>
      <c r="C82" s="5" t="str">
        <f t="shared" si="24"/>
        <v>description,dailCompDescNature,</v>
      </c>
      <c r="D82" s="5" t="str">
        <f t="shared" si="25"/>
        <v>itemText,dailCompTextNature,</v>
      </c>
      <c r="E82" s="5" t="str">
        <f t="shared" si="35"/>
        <v>augmentSkillLevel1,5,</v>
      </c>
      <c r="F82" s="5" t="str">
        <f t="shared" si="36"/>
        <v>augmentSkillName1,records/skills,</v>
      </c>
      <c r="G82" s="7" t="str">
        <f t="shared" si="31"/>
        <v/>
      </c>
      <c r="H82" s="8" t="str">
        <f t="shared" si="32"/>
        <v>Nature</v>
      </c>
      <c r="J82" s="8" t="str">
        <f t="shared" si="33"/>
        <v>class0020</v>
      </c>
      <c r="K82" s="8" t="str">
        <f t="shared" si="33"/>
        <v>dailoneskill0020</v>
      </c>
      <c r="L82" s="5" t="str">
        <f t="shared" si="26"/>
        <v>lootName,DAIL/items/materia/class0020/Nature.dbr,</v>
      </c>
      <c r="M82" s="5" t="str">
        <f t="shared" si="27"/>
        <v>lootWeight,1,</v>
      </c>
      <c r="N82" t="str">
        <f t="shared" si="28"/>
        <v>5</v>
      </c>
      <c r="O82" t="str">
        <f t="shared" si="37"/>
        <v/>
      </c>
      <c r="P82" t="str">
        <f t="shared" si="23"/>
        <v/>
      </c>
      <c r="Q82" t="str">
        <f t="shared" si="23"/>
        <v/>
      </c>
      <c r="R82" t="str">
        <f t="shared" si="23"/>
        <v/>
      </c>
      <c r="S82" t="str">
        <f t="shared" si="23"/>
        <v/>
      </c>
      <c r="T82" t="str">
        <f t="shared" si="23"/>
        <v/>
      </c>
      <c r="U82" t="str">
        <f t="shared" si="23"/>
        <v/>
      </c>
      <c r="V82" s="5" t="s">
        <v>36</v>
      </c>
      <c r="W82" t="str">
        <f t="shared" si="29"/>
        <v/>
      </c>
      <c r="X82" t="str">
        <f t="shared" si="29"/>
        <v/>
      </c>
      <c r="Y82" s="5" t="s">
        <v>36</v>
      </c>
      <c r="Z82" t="str">
        <f t="shared" si="30"/>
        <v/>
      </c>
      <c r="AA82" t="str">
        <f t="shared" si="38"/>
        <v/>
      </c>
      <c r="AB82" s="5" t="s">
        <v>36</v>
      </c>
      <c r="AH82">
        <f t="shared" si="40"/>
        <v>77</v>
      </c>
      <c r="AI82">
        <f t="shared" si="34"/>
        <v>0</v>
      </c>
      <c r="AJ82">
        <f t="shared" si="39"/>
        <v>5</v>
      </c>
    </row>
    <row r="83" spans="1:36" x14ac:dyDescent="0.25">
      <c r="A83" s="5" t="s">
        <v>39</v>
      </c>
      <c r="B83" s="5" t="s">
        <v>30</v>
      </c>
      <c r="C83" s="5" t="str">
        <f t="shared" si="24"/>
        <v>description,dailCompDescNature,</v>
      </c>
      <c r="D83" s="5" t="str">
        <f t="shared" si="25"/>
        <v>itemText,dailCompTextNature,</v>
      </c>
      <c r="E83" s="5" t="str">
        <f t="shared" si="35"/>
        <v>augmentSkillLevel1,5,</v>
      </c>
      <c r="F83" s="5" t="str">
        <f t="shared" si="36"/>
        <v>augmentSkillName1,records/skills,</v>
      </c>
      <c r="G83" s="7" t="str">
        <f t="shared" si="31"/>
        <v/>
      </c>
      <c r="H83" s="8" t="str">
        <f t="shared" si="32"/>
        <v>Nature</v>
      </c>
      <c r="J83" s="8" t="str">
        <f t="shared" si="33"/>
        <v>class0020</v>
      </c>
      <c r="K83" s="8" t="str">
        <f t="shared" si="33"/>
        <v>dailoneskill0020</v>
      </c>
      <c r="L83" s="5" t="str">
        <f t="shared" si="26"/>
        <v>lootName,DAIL/items/materia/class0020/Nature.dbr,</v>
      </c>
      <c r="M83" s="5" t="str">
        <f t="shared" si="27"/>
        <v>lootWeight,1,</v>
      </c>
      <c r="N83" t="str">
        <f t="shared" si="28"/>
        <v>5</v>
      </c>
      <c r="O83" t="str">
        <f t="shared" si="37"/>
        <v/>
      </c>
      <c r="P83" t="str">
        <f t="shared" si="23"/>
        <v/>
      </c>
      <c r="Q83" t="str">
        <f t="shared" si="23"/>
        <v/>
      </c>
      <c r="R83" t="str">
        <f t="shared" si="23"/>
        <v/>
      </c>
      <c r="S83" t="str">
        <f t="shared" si="23"/>
        <v/>
      </c>
      <c r="T83" t="str">
        <f t="shared" si="23"/>
        <v/>
      </c>
      <c r="U83" t="str">
        <f t="shared" si="23"/>
        <v/>
      </c>
      <c r="V83" s="5" t="s">
        <v>36</v>
      </c>
      <c r="W83" t="str">
        <f t="shared" si="29"/>
        <v/>
      </c>
      <c r="X83" t="str">
        <f t="shared" si="29"/>
        <v/>
      </c>
      <c r="Y83" s="5" t="s">
        <v>36</v>
      </c>
      <c r="Z83" t="str">
        <f t="shared" si="30"/>
        <v/>
      </c>
      <c r="AA83" t="str">
        <f t="shared" si="38"/>
        <v/>
      </c>
      <c r="AB83" s="5" t="s">
        <v>36</v>
      </c>
      <c r="AH83">
        <f t="shared" si="40"/>
        <v>78</v>
      </c>
      <c r="AI83">
        <f t="shared" si="34"/>
        <v>0</v>
      </c>
      <c r="AJ83">
        <f t="shared" si="39"/>
        <v>5</v>
      </c>
    </row>
    <row r="84" spans="1:36" x14ac:dyDescent="0.25">
      <c r="A84" s="5" t="s">
        <v>39</v>
      </c>
      <c r="B84" s="5" t="s">
        <v>30</v>
      </c>
      <c r="C84" s="5" t="str">
        <f t="shared" si="24"/>
        <v>description,dailCompDescNature,</v>
      </c>
      <c r="D84" s="5" t="str">
        <f t="shared" si="25"/>
        <v>itemText,dailCompTextNature,</v>
      </c>
      <c r="E84" s="5" t="str">
        <f t="shared" si="35"/>
        <v>augmentSkillLevel1,5,</v>
      </c>
      <c r="F84" s="5" t="str">
        <f t="shared" si="36"/>
        <v>augmentSkillName1,records/skills,</v>
      </c>
      <c r="G84" s="7" t="str">
        <f t="shared" si="31"/>
        <v/>
      </c>
      <c r="H84" s="8" t="str">
        <f t="shared" si="32"/>
        <v>Nature</v>
      </c>
      <c r="J84" s="8" t="str">
        <f t="shared" si="33"/>
        <v>class0020</v>
      </c>
      <c r="K84" s="8" t="str">
        <f t="shared" si="33"/>
        <v>dailoneskill0020</v>
      </c>
      <c r="L84" s="5" t="str">
        <f t="shared" si="26"/>
        <v>lootName,DAIL/items/materia/class0020/Nature.dbr,</v>
      </c>
      <c r="M84" s="5" t="str">
        <f t="shared" si="27"/>
        <v>lootWeight,1,</v>
      </c>
      <c r="N84" t="str">
        <f t="shared" si="28"/>
        <v>5</v>
      </c>
      <c r="O84" t="str">
        <f t="shared" si="37"/>
        <v/>
      </c>
      <c r="P84" t="str">
        <f t="shared" si="23"/>
        <v/>
      </c>
      <c r="Q84" t="str">
        <f t="shared" si="23"/>
        <v/>
      </c>
      <c r="R84" t="str">
        <f t="shared" si="23"/>
        <v/>
      </c>
      <c r="S84" t="str">
        <f t="shared" si="23"/>
        <v/>
      </c>
      <c r="T84" t="str">
        <f t="shared" si="23"/>
        <v/>
      </c>
      <c r="U84" t="str">
        <f t="shared" si="23"/>
        <v/>
      </c>
      <c r="V84" s="5" t="s">
        <v>36</v>
      </c>
      <c r="W84" t="str">
        <f t="shared" si="29"/>
        <v/>
      </c>
      <c r="X84" t="str">
        <f t="shared" si="29"/>
        <v/>
      </c>
      <c r="Y84" s="5" t="s">
        <v>36</v>
      </c>
      <c r="Z84" t="str">
        <f t="shared" si="30"/>
        <v/>
      </c>
      <c r="AA84" t="str">
        <f t="shared" si="38"/>
        <v/>
      </c>
      <c r="AB84" s="5" t="s">
        <v>36</v>
      </c>
      <c r="AH84">
        <f t="shared" si="40"/>
        <v>79</v>
      </c>
      <c r="AI84">
        <f t="shared" si="34"/>
        <v>0</v>
      </c>
      <c r="AJ84">
        <f t="shared" si="39"/>
        <v>5</v>
      </c>
    </row>
    <row r="85" spans="1:36" x14ac:dyDescent="0.25">
      <c r="A85" s="5" t="s">
        <v>39</v>
      </c>
      <c r="B85" s="5" t="s">
        <v>30</v>
      </c>
      <c r="C85" s="5" t="str">
        <f t="shared" si="24"/>
        <v>description,dailCompDescNature,</v>
      </c>
      <c r="D85" s="5" t="str">
        <f t="shared" si="25"/>
        <v>itemText,dailCompTextNature,</v>
      </c>
      <c r="E85" s="5" t="str">
        <f t="shared" si="35"/>
        <v>augmentSkillLevel1,5,</v>
      </c>
      <c r="F85" s="5" t="str">
        <f t="shared" si="36"/>
        <v>augmentSkillName1,records/skills,</v>
      </c>
      <c r="G85" s="7" t="str">
        <f t="shared" si="31"/>
        <v/>
      </c>
      <c r="H85" s="8" t="str">
        <f t="shared" si="32"/>
        <v>Nature</v>
      </c>
      <c r="J85" s="8" t="str">
        <f t="shared" ref="J85:K100" si="41">J84</f>
        <v>class0020</v>
      </c>
      <c r="K85" s="8" t="str">
        <f t="shared" si="41"/>
        <v>dailoneskill0020</v>
      </c>
      <c r="L85" s="5" t="str">
        <f t="shared" si="26"/>
        <v>lootName,DAIL/items/materia/class0020/Nature.dbr,</v>
      </c>
      <c r="M85" s="5" t="str">
        <f t="shared" si="27"/>
        <v>lootWeight,1,</v>
      </c>
      <c r="N85" t="str">
        <f t="shared" si="28"/>
        <v>5</v>
      </c>
      <c r="O85" t="str">
        <f t="shared" si="37"/>
        <v/>
      </c>
      <c r="P85" t="str">
        <f t="shared" si="23"/>
        <v/>
      </c>
      <c r="Q85" t="str">
        <f t="shared" si="23"/>
        <v/>
      </c>
      <c r="R85" t="str">
        <f t="shared" si="23"/>
        <v/>
      </c>
      <c r="S85" t="str">
        <f t="shared" si="23"/>
        <v/>
      </c>
      <c r="T85" t="str">
        <f t="shared" si="23"/>
        <v/>
      </c>
      <c r="U85" t="str">
        <f t="shared" si="23"/>
        <v/>
      </c>
      <c r="V85" s="5" t="s">
        <v>36</v>
      </c>
      <c r="W85" t="str">
        <f t="shared" si="29"/>
        <v/>
      </c>
      <c r="X85" t="str">
        <f t="shared" si="29"/>
        <v/>
      </c>
      <c r="Y85" s="5" t="s">
        <v>36</v>
      </c>
      <c r="Z85" t="str">
        <f t="shared" si="30"/>
        <v/>
      </c>
      <c r="AA85" t="str">
        <f t="shared" si="38"/>
        <v/>
      </c>
      <c r="AB85" s="5" t="s">
        <v>36</v>
      </c>
      <c r="AH85">
        <f t="shared" si="40"/>
        <v>80</v>
      </c>
      <c r="AI85">
        <f t="shared" si="34"/>
        <v>0</v>
      </c>
      <c r="AJ85">
        <f t="shared" si="39"/>
        <v>5</v>
      </c>
    </row>
    <row r="86" spans="1:36" x14ac:dyDescent="0.25">
      <c r="A86" s="5" t="s">
        <v>39</v>
      </c>
      <c r="B86" s="5" t="s">
        <v>30</v>
      </c>
      <c r="C86" s="5" t="str">
        <f t="shared" si="24"/>
        <v>description,dailCompDescNature,</v>
      </c>
      <c r="D86" s="5" t="str">
        <f t="shared" si="25"/>
        <v>itemText,dailCompTextNature,</v>
      </c>
      <c r="E86" s="5" t="str">
        <f t="shared" si="35"/>
        <v>augmentSkillLevel1,5,</v>
      </c>
      <c r="F86" s="5" t="str">
        <f t="shared" si="36"/>
        <v>augmentSkillName1,records/skills,</v>
      </c>
      <c r="G86" s="7" t="str">
        <f t="shared" si="31"/>
        <v/>
      </c>
      <c r="H86" s="8" t="str">
        <f t="shared" si="32"/>
        <v>Nature</v>
      </c>
      <c r="J86" s="8" t="str">
        <f t="shared" si="41"/>
        <v>class0020</v>
      </c>
      <c r="K86" s="8" t="str">
        <f t="shared" si="41"/>
        <v>dailoneskill0020</v>
      </c>
      <c r="L86" s="5" t="str">
        <f t="shared" si="26"/>
        <v>lootName,DAIL/items/materia/class0020/Nature.dbr,</v>
      </c>
      <c r="M86" s="5" t="str">
        <f t="shared" si="27"/>
        <v>lootWeight,1,</v>
      </c>
      <c r="N86" t="str">
        <f t="shared" si="28"/>
        <v>5</v>
      </c>
      <c r="O86" t="str">
        <f t="shared" si="37"/>
        <v/>
      </c>
      <c r="P86" t="str">
        <f t="shared" si="23"/>
        <v/>
      </c>
      <c r="Q86" t="str">
        <f t="shared" si="23"/>
        <v/>
      </c>
      <c r="R86" t="str">
        <f t="shared" si="23"/>
        <v/>
      </c>
      <c r="S86" t="str">
        <f t="shared" si="23"/>
        <v/>
      </c>
      <c r="T86" t="str">
        <f t="shared" si="23"/>
        <v/>
      </c>
      <c r="U86" t="str">
        <f t="shared" si="23"/>
        <v/>
      </c>
      <c r="V86" s="5" t="s">
        <v>36</v>
      </c>
      <c r="W86" t="str">
        <f t="shared" si="29"/>
        <v/>
      </c>
      <c r="X86" t="str">
        <f t="shared" si="29"/>
        <v/>
      </c>
      <c r="Y86" s="5" t="s">
        <v>36</v>
      </c>
      <c r="Z86" t="str">
        <f t="shared" si="30"/>
        <v/>
      </c>
      <c r="AA86" t="str">
        <f t="shared" si="38"/>
        <v/>
      </c>
      <c r="AB86" s="5" t="s">
        <v>36</v>
      </c>
      <c r="AH86">
        <f t="shared" si="40"/>
        <v>81</v>
      </c>
      <c r="AI86">
        <f t="shared" si="34"/>
        <v>0</v>
      </c>
      <c r="AJ86">
        <f t="shared" si="39"/>
        <v>5</v>
      </c>
    </row>
    <row r="87" spans="1:36" x14ac:dyDescent="0.25">
      <c r="A87" s="5" t="s">
        <v>39</v>
      </c>
      <c r="B87" s="5" t="s">
        <v>30</v>
      </c>
      <c r="C87" s="5" t="str">
        <f t="shared" si="24"/>
        <v>description,dailCompDescNature,</v>
      </c>
      <c r="D87" s="5" t="str">
        <f t="shared" si="25"/>
        <v>itemText,dailCompTextNature,</v>
      </c>
      <c r="E87" s="5" t="str">
        <f t="shared" si="35"/>
        <v>augmentSkillLevel1,5,</v>
      </c>
      <c r="F87" s="5" t="str">
        <f t="shared" si="36"/>
        <v>augmentSkillName1,records/skills,</v>
      </c>
      <c r="G87" s="7" t="str">
        <f t="shared" si="31"/>
        <v/>
      </c>
      <c r="H87" s="8" t="str">
        <f t="shared" si="32"/>
        <v>Nature</v>
      </c>
      <c r="J87" s="8" t="str">
        <f t="shared" si="41"/>
        <v>class0020</v>
      </c>
      <c r="K87" s="8" t="str">
        <f t="shared" si="41"/>
        <v>dailoneskill0020</v>
      </c>
      <c r="L87" s="5" t="str">
        <f t="shared" si="26"/>
        <v>lootName,DAIL/items/materia/class0020/Nature.dbr,</v>
      </c>
      <c r="M87" s="5" t="str">
        <f t="shared" si="27"/>
        <v>lootWeight,1,</v>
      </c>
      <c r="N87" t="str">
        <f t="shared" si="28"/>
        <v>5</v>
      </c>
      <c r="O87" t="str">
        <f t="shared" si="37"/>
        <v/>
      </c>
      <c r="P87" t="str">
        <f t="shared" si="23"/>
        <v/>
      </c>
      <c r="Q87" t="str">
        <f t="shared" si="23"/>
        <v/>
      </c>
      <c r="R87" t="str">
        <f t="shared" si="23"/>
        <v/>
      </c>
      <c r="S87" t="str">
        <f t="shared" si="23"/>
        <v/>
      </c>
      <c r="T87" t="str">
        <f t="shared" si="23"/>
        <v/>
      </c>
      <c r="U87" t="str">
        <f t="shared" si="23"/>
        <v/>
      </c>
      <c r="V87" s="5" t="s">
        <v>36</v>
      </c>
      <c r="W87" t="str">
        <f t="shared" si="29"/>
        <v/>
      </c>
      <c r="X87" t="str">
        <f t="shared" si="29"/>
        <v/>
      </c>
      <c r="Y87" s="5" t="s">
        <v>36</v>
      </c>
      <c r="Z87" t="str">
        <f t="shared" si="30"/>
        <v/>
      </c>
      <c r="AA87" t="str">
        <f t="shared" si="38"/>
        <v/>
      </c>
      <c r="AB87" s="5" t="s">
        <v>36</v>
      </c>
      <c r="AH87">
        <f t="shared" si="40"/>
        <v>82</v>
      </c>
      <c r="AI87">
        <f t="shared" si="34"/>
        <v>0</v>
      </c>
      <c r="AJ87">
        <f t="shared" si="39"/>
        <v>5</v>
      </c>
    </row>
    <row r="88" spans="1:36" x14ac:dyDescent="0.25">
      <c r="A88" s="5" t="s">
        <v>39</v>
      </c>
      <c r="B88" s="5" t="s">
        <v>30</v>
      </c>
      <c r="C88" s="5" t="str">
        <f t="shared" si="24"/>
        <v>description,dailCompDescNature,</v>
      </c>
      <c r="D88" s="5" t="str">
        <f t="shared" si="25"/>
        <v>itemText,dailCompTextNature,</v>
      </c>
      <c r="E88" s="5" t="str">
        <f t="shared" si="35"/>
        <v>augmentSkillLevel1,5,</v>
      </c>
      <c r="F88" s="5" t="str">
        <f t="shared" si="36"/>
        <v>augmentSkillName1,records/skills,</v>
      </c>
      <c r="G88" s="7" t="str">
        <f t="shared" si="31"/>
        <v/>
      </c>
      <c r="H88" s="8" t="str">
        <f t="shared" si="32"/>
        <v>Nature</v>
      </c>
      <c r="J88" s="8" t="str">
        <f t="shared" si="41"/>
        <v>class0020</v>
      </c>
      <c r="K88" s="8" t="str">
        <f t="shared" si="41"/>
        <v>dailoneskill0020</v>
      </c>
      <c r="L88" s="5" t="str">
        <f t="shared" si="26"/>
        <v>lootName,DAIL/items/materia/class0020/Nature.dbr,</v>
      </c>
      <c r="M88" s="5" t="str">
        <f t="shared" si="27"/>
        <v>lootWeight,1,</v>
      </c>
      <c r="N88" t="str">
        <f t="shared" si="28"/>
        <v>5</v>
      </c>
      <c r="O88" t="str">
        <f t="shared" si="37"/>
        <v/>
      </c>
      <c r="P88" t="str">
        <f t="shared" si="23"/>
        <v/>
      </c>
      <c r="Q88" t="str">
        <f t="shared" si="23"/>
        <v/>
      </c>
      <c r="R88" t="str">
        <f t="shared" si="23"/>
        <v/>
      </c>
      <c r="S88" t="str">
        <f t="shared" si="23"/>
        <v/>
      </c>
      <c r="T88" t="str">
        <f t="shared" si="23"/>
        <v/>
      </c>
      <c r="U88" t="str">
        <f t="shared" si="23"/>
        <v/>
      </c>
      <c r="V88" s="5" t="s">
        <v>36</v>
      </c>
      <c r="W88" t="str">
        <f t="shared" si="29"/>
        <v/>
      </c>
      <c r="X88" t="str">
        <f t="shared" si="29"/>
        <v/>
      </c>
      <c r="Y88" s="5" t="s">
        <v>36</v>
      </c>
      <c r="Z88" t="str">
        <f t="shared" si="30"/>
        <v/>
      </c>
      <c r="AA88" t="str">
        <f t="shared" si="38"/>
        <v/>
      </c>
      <c r="AB88" s="5" t="s">
        <v>36</v>
      </c>
      <c r="AH88">
        <f t="shared" si="40"/>
        <v>83</v>
      </c>
      <c r="AI88">
        <f t="shared" si="34"/>
        <v>0</v>
      </c>
      <c r="AJ88">
        <f t="shared" si="39"/>
        <v>5</v>
      </c>
    </row>
    <row r="89" spans="1:36" x14ac:dyDescent="0.25">
      <c r="A89" s="5" t="s">
        <v>39</v>
      </c>
      <c r="B89" s="5" t="s">
        <v>30</v>
      </c>
      <c r="C89" s="5" t="str">
        <f t="shared" si="24"/>
        <v>description,dailCompDescNature,</v>
      </c>
      <c r="D89" s="5" t="str">
        <f t="shared" si="25"/>
        <v>itemText,dailCompTextNature,</v>
      </c>
      <c r="E89" s="5" t="str">
        <f t="shared" si="35"/>
        <v>augmentSkillLevel1,5,</v>
      </c>
      <c r="F89" s="5" t="str">
        <f t="shared" si="36"/>
        <v>augmentSkillName1,records/skills,</v>
      </c>
      <c r="G89" s="7" t="str">
        <f t="shared" si="31"/>
        <v/>
      </c>
      <c r="H89" s="8" t="str">
        <f t="shared" si="32"/>
        <v>Nature</v>
      </c>
      <c r="J89" s="8" t="str">
        <f t="shared" si="41"/>
        <v>class0020</v>
      </c>
      <c r="K89" s="8" t="str">
        <f t="shared" si="41"/>
        <v>dailoneskill0020</v>
      </c>
      <c r="L89" s="5" t="str">
        <f t="shared" si="26"/>
        <v>lootName,DAIL/items/materia/class0020/Nature.dbr,</v>
      </c>
      <c r="M89" s="5" t="str">
        <f t="shared" si="27"/>
        <v>lootWeight,1,</v>
      </c>
      <c r="N89" t="str">
        <f t="shared" si="28"/>
        <v>5</v>
      </c>
      <c r="O89" t="str">
        <f t="shared" si="37"/>
        <v/>
      </c>
      <c r="P89" t="str">
        <f t="shared" si="23"/>
        <v/>
      </c>
      <c r="Q89" t="str">
        <f t="shared" si="23"/>
        <v/>
      </c>
      <c r="R89" t="str">
        <f t="shared" si="23"/>
        <v/>
      </c>
      <c r="S89" t="str">
        <f t="shared" si="23"/>
        <v/>
      </c>
      <c r="T89" t="str">
        <f t="shared" si="23"/>
        <v/>
      </c>
      <c r="U89" t="str">
        <f t="shared" si="23"/>
        <v/>
      </c>
      <c r="V89" s="5" t="s">
        <v>36</v>
      </c>
      <c r="W89" t="str">
        <f t="shared" si="29"/>
        <v/>
      </c>
      <c r="X89" t="str">
        <f t="shared" si="29"/>
        <v/>
      </c>
      <c r="Y89" s="5" t="s">
        <v>36</v>
      </c>
      <c r="Z89" t="str">
        <f t="shared" si="30"/>
        <v/>
      </c>
      <c r="AA89" t="str">
        <f t="shared" si="38"/>
        <v/>
      </c>
      <c r="AB89" s="5" t="s">
        <v>36</v>
      </c>
      <c r="AH89">
        <f t="shared" si="40"/>
        <v>84</v>
      </c>
      <c r="AI89">
        <f t="shared" si="34"/>
        <v>0</v>
      </c>
      <c r="AJ89">
        <f t="shared" si="39"/>
        <v>5</v>
      </c>
    </row>
    <row r="90" spans="1:36" x14ac:dyDescent="0.25">
      <c r="A90" s="5" t="s">
        <v>39</v>
      </c>
      <c r="B90" s="5" t="s">
        <v>30</v>
      </c>
      <c r="C90" s="5" t="str">
        <f t="shared" si="24"/>
        <v>description,dailCompDescNature,</v>
      </c>
      <c r="D90" s="5" t="str">
        <f t="shared" si="25"/>
        <v>itemText,dailCompTextNature,</v>
      </c>
      <c r="E90" s="5" t="str">
        <f t="shared" si="35"/>
        <v>augmentSkillLevel1,5,</v>
      </c>
      <c r="F90" s="5" t="str">
        <f t="shared" si="36"/>
        <v>augmentSkillName1,records/skills,</v>
      </c>
      <c r="G90" s="7" t="str">
        <f t="shared" si="31"/>
        <v/>
      </c>
      <c r="H90" s="8" t="str">
        <f t="shared" si="32"/>
        <v>Nature</v>
      </c>
      <c r="J90" s="8" t="str">
        <f t="shared" si="41"/>
        <v>class0020</v>
      </c>
      <c r="K90" s="8" t="str">
        <f t="shared" si="41"/>
        <v>dailoneskill0020</v>
      </c>
      <c r="L90" s="5" t="str">
        <f t="shared" si="26"/>
        <v>lootName,DAIL/items/materia/class0020/Nature.dbr,</v>
      </c>
      <c r="M90" s="5" t="str">
        <f t="shared" si="27"/>
        <v>lootWeight,1,</v>
      </c>
      <c r="N90" t="str">
        <f t="shared" si="28"/>
        <v>5</v>
      </c>
      <c r="O90" t="str">
        <f t="shared" si="37"/>
        <v/>
      </c>
      <c r="P90" t="str">
        <f t="shared" si="23"/>
        <v/>
      </c>
      <c r="Q90" t="str">
        <f t="shared" si="23"/>
        <v/>
      </c>
      <c r="R90" t="str">
        <f t="shared" si="23"/>
        <v/>
      </c>
      <c r="S90" t="str">
        <f t="shared" si="23"/>
        <v/>
      </c>
      <c r="T90" t="str">
        <f t="shared" si="23"/>
        <v/>
      </c>
      <c r="U90" t="str">
        <f t="shared" si="23"/>
        <v/>
      </c>
      <c r="V90" s="5" t="s">
        <v>36</v>
      </c>
      <c r="W90" t="str">
        <f t="shared" si="29"/>
        <v/>
      </c>
      <c r="X90" t="str">
        <f t="shared" si="29"/>
        <v/>
      </c>
      <c r="Y90" s="5" t="s">
        <v>36</v>
      </c>
      <c r="Z90" t="str">
        <f t="shared" si="30"/>
        <v/>
      </c>
      <c r="AA90" t="str">
        <f t="shared" si="38"/>
        <v/>
      </c>
      <c r="AB90" s="5" t="s">
        <v>36</v>
      </c>
      <c r="AH90">
        <f t="shared" si="40"/>
        <v>85</v>
      </c>
      <c r="AI90">
        <f t="shared" si="34"/>
        <v>0</v>
      </c>
      <c r="AJ90">
        <f t="shared" si="39"/>
        <v>5</v>
      </c>
    </row>
    <row r="91" spans="1:36" x14ac:dyDescent="0.25">
      <c r="A91" s="5" t="s">
        <v>39</v>
      </c>
      <c r="B91" s="5" t="s">
        <v>30</v>
      </c>
      <c r="C91" s="5" t="str">
        <f t="shared" si="24"/>
        <v>description,dailCompDescNature,</v>
      </c>
      <c r="D91" s="5" t="str">
        <f t="shared" si="25"/>
        <v>itemText,dailCompTextNature,</v>
      </c>
      <c r="E91" s="5" t="str">
        <f t="shared" si="35"/>
        <v>augmentSkillLevel1,5,</v>
      </c>
      <c r="F91" s="5" t="str">
        <f t="shared" si="36"/>
        <v>augmentSkillName1,records/skills,</v>
      </c>
      <c r="G91" s="7" t="str">
        <f t="shared" si="31"/>
        <v/>
      </c>
      <c r="H91" s="8" t="str">
        <f t="shared" si="32"/>
        <v>Nature</v>
      </c>
      <c r="J91" s="8" t="str">
        <f t="shared" si="41"/>
        <v>class0020</v>
      </c>
      <c r="K91" s="8" t="str">
        <f t="shared" si="41"/>
        <v>dailoneskill0020</v>
      </c>
      <c r="L91" s="5" t="str">
        <f t="shared" si="26"/>
        <v>lootName,DAIL/items/materia/class0020/Nature.dbr,</v>
      </c>
      <c r="M91" s="5" t="str">
        <f t="shared" si="27"/>
        <v>lootWeight,1,</v>
      </c>
      <c r="N91" t="str">
        <f t="shared" si="28"/>
        <v>5</v>
      </c>
      <c r="O91" t="str">
        <f t="shared" si="37"/>
        <v/>
      </c>
      <c r="P91" t="str">
        <f t="shared" si="23"/>
        <v/>
      </c>
      <c r="Q91" t="str">
        <f t="shared" si="23"/>
        <v/>
      </c>
      <c r="R91" t="str">
        <f t="shared" si="23"/>
        <v/>
      </c>
      <c r="S91" t="str">
        <f t="shared" si="23"/>
        <v/>
      </c>
      <c r="T91" t="str">
        <f t="shared" si="23"/>
        <v/>
      </c>
      <c r="U91" t="str">
        <f t="shared" si="23"/>
        <v/>
      </c>
      <c r="V91" s="5" t="s">
        <v>36</v>
      </c>
      <c r="W91" t="str">
        <f t="shared" si="29"/>
        <v/>
      </c>
      <c r="X91" t="str">
        <f t="shared" si="29"/>
        <v/>
      </c>
      <c r="Y91" s="5" t="s">
        <v>36</v>
      </c>
      <c r="Z91" t="str">
        <f t="shared" si="30"/>
        <v/>
      </c>
      <c r="AA91" t="str">
        <f t="shared" si="38"/>
        <v/>
      </c>
      <c r="AB91" s="5" t="s">
        <v>36</v>
      </c>
      <c r="AH91">
        <f t="shared" si="40"/>
        <v>86</v>
      </c>
      <c r="AI91">
        <f t="shared" si="34"/>
        <v>0</v>
      </c>
      <c r="AJ91">
        <f t="shared" si="39"/>
        <v>5</v>
      </c>
    </row>
    <row r="92" spans="1:36" x14ac:dyDescent="0.25">
      <c r="A92" s="5" t="s">
        <v>39</v>
      </c>
      <c r="B92" s="5" t="s">
        <v>30</v>
      </c>
      <c r="C92" s="5" t="str">
        <f t="shared" si="24"/>
        <v>description,dailCompDescNature,</v>
      </c>
      <c r="D92" s="5" t="str">
        <f t="shared" si="25"/>
        <v>itemText,dailCompTextNature,</v>
      </c>
      <c r="E92" s="5" t="str">
        <f t="shared" si="35"/>
        <v>augmentSkillLevel1,5,</v>
      </c>
      <c r="F92" s="5" t="str">
        <f t="shared" si="36"/>
        <v>augmentSkillName1,records/skills,</v>
      </c>
      <c r="G92" s="7" t="str">
        <f t="shared" si="31"/>
        <v/>
      </c>
      <c r="H92" s="8" t="str">
        <f t="shared" si="32"/>
        <v>Nature</v>
      </c>
      <c r="J92" s="8" t="str">
        <f t="shared" si="41"/>
        <v>class0020</v>
      </c>
      <c r="K92" s="8" t="str">
        <f t="shared" si="41"/>
        <v>dailoneskill0020</v>
      </c>
      <c r="L92" s="5" t="str">
        <f t="shared" si="26"/>
        <v>lootName,DAIL/items/materia/class0020/Nature.dbr,</v>
      </c>
      <c r="M92" s="5" t="str">
        <f t="shared" si="27"/>
        <v>lootWeight,1,</v>
      </c>
      <c r="N92" t="str">
        <f t="shared" si="28"/>
        <v>5</v>
      </c>
      <c r="O92" t="str">
        <f t="shared" si="37"/>
        <v/>
      </c>
      <c r="P92" t="str">
        <f t="shared" si="23"/>
        <v/>
      </c>
      <c r="Q92" t="str">
        <f t="shared" si="23"/>
        <v/>
      </c>
      <c r="R92" t="str">
        <f t="shared" si="23"/>
        <v/>
      </c>
      <c r="S92" t="str">
        <f t="shared" si="23"/>
        <v/>
      </c>
      <c r="T92" t="str">
        <f t="shared" si="23"/>
        <v/>
      </c>
      <c r="U92" t="str">
        <f t="shared" si="23"/>
        <v/>
      </c>
      <c r="V92" s="5" t="s">
        <v>36</v>
      </c>
      <c r="W92" t="str">
        <f t="shared" si="29"/>
        <v/>
      </c>
      <c r="X92" t="str">
        <f t="shared" si="29"/>
        <v/>
      </c>
      <c r="Y92" s="5" t="s">
        <v>36</v>
      </c>
      <c r="Z92" t="str">
        <f t="shared" si="30"/>
        <v/>
      </c>
      <c r="AA92" t="str">
        <f t="shared" si="38"/>
        <v/>
      </c>
      <c r="AB92" s="5" t="s">
        <v>36</v>
      </c>
      <c r="AH92">
        <f t="shared" si="40"/>
        <v>87</v>
      </c>
      <c r="AI92">
        <f t="shared" si="34"/>
        <v>0</v>
      </c>
      <c r="AJ92">
        <f t="shared" si="39"/>
        <v>5</v>
      </c>
    </row>
    <row r="93" spans="1:36" x14ac:dyDescent="0.25">
      <c r="A93" s="5" t="s">
        <v>39</v>
      </c>
      <c r="B93" s="5" t="s">
        <v>30</v>
      </c>
      <c r="C93" s="5" t="str">
        <f t="shared" si="24"/>
        <v>description,dailCompDescNature,</v>
      </c>
      <c r="D93" s="5" t="str">
        <f t="shared" si="25"/>
        <v>itemText,dailCompTextNature,</v>
      </c>
      <c r="E93" s="5" t="str">
        <f t="shared" si="35"/>
        <v>augmentSkillLevel1,5,</v>
      </c>
      <c r="F93" s="5" t="str">
        <f t="shared" si="36"/>
        <v>augmentSkillName1,records/skills,</v>
      </c>
      <c r="G93" s="7" t="str">
        <f t="shared" si="31"/>
        <v/>
      </c>
      <c r="H93" s="8" t="str">
        <f t="shared" si="32"/>
        <v>Nature</v>
      </c>
      <c r="J93" s="8" t="str">
        <f t="shared" si="41"/>
        <v>class0020</v>
      </c>
      <c r="K93" s="8" t="str">
        <f t="shared" si="41"/>
        <v>dailoneskill0020</v>
      </c>
      <c r="L93" s="5" t="str">
        <f t="shared" si="26"/>
        <v>lootName,DAIL/items/materia/class0020/Nature.dbr,</v>
      </c>
      <c r="M93" s="5" t="str">
        <f t="shared" si="27"/>
        <v>lootWeight,1,</v>
      </c>
      <c r="N93" t="str">
        <f t="shared" si="28"/>
        <v>5</v>
      </c>
      <c r="O93" t="str">
        <f t="shared" si="37"/>
        <v/>
      </c>
      <c r="P93" t="str">
        <f t="shared" si="23"/>
        <v/>
      </c>
      <c r="Q93" t="str">
        <f t="shared" si="23"/>
        <v/>
      </c>
      <c r="R93" t="str">
        <f t="shared" si="23"/>
        <v/>
      </c>
      <c r="S93" t="str">
        <f t="shared" si="23"/>
        <v/>
      </c>
      <c r="T93" t="str">
        <f t="shared" si="23"/>
        <v/>
      </c>
      <c r="U93" t="str">
        <f t="shared" si="23"/>
        <v/>
      </c>
      <c r="V93" s="5" t="s">
        <v>36</v>
      </c>
      <c r="W93" t="str">
        <f t="shared" si="29"/>
        <v/>
      </c>
      <c r="X93" t="str">
        <f t="shared" si="29"/>
        <v/>
      </c>
      <c r="Y93" s="5" t="s">
        <v>36</v>
      </c>
      <c r="Z93" t="str">
        <f t="shared" si="30"/>
        <v/>
      </c>
      <c r="AA93" t="str">
        <f t="shared" si="38"/>
        <v/>
      </c>
      <c r="AB93" s="5" t="s">
        <v>36</v>
      </c>
      <c r="AH93">
        <f t="shared" si="40"/>
        <v>88</v>
      </c>
      <c r="AI93">
        <f t="shared" si="34"/>
        <v>0</v>
      </c>
      <c r="AJ93">
        <f t="shared" si="39"/>
        <v>5</v>
      </c>
    </row>
    <row r="94" spans="1:36" x14ac:dyDescent="0.25">
      <c r="A94" s="5" t="s">
        <v>39</v>
      </c>
      <c r="B94" s="5" t="s">
        <v>30</v>
      </c>
      <c r="C94" s="5" t="str">
        <f t="shared" si="24"/>
        <v>description,dailCompDescNature,</v>
      </c>
      <c r="D94" s="5" t="str">
        <f t="shared" si="25"/>
        <v>itemText,dailCompTextNature,</v>
      </c>
      <c r="E94" s="5" t="str">
        <f t="shared" si="35"/>
        <v>augmentSkillLevel1,5,</v>
      </c>
      <c r="F94" s="5" t="str">
        <f t="shared" si="36"/>
        <v>augmentSkillName1,records/skills,</v>
      </c>
      <c r="G94" s="7" t="str">
        <f t="shared" si="31"/>
        <v/>
      </c>
      <c r="H94" s="8" t="str">
        <f t="shared" si="32"/>
        <v>Nature</v>
      </c>
      <c r="J94" s="8" t="str">
        <f t="shared" si="41"/>
        <v>class0020</v>
      </c>
      <c r="K94" s="8" t="str">
        <f t="shared" si="41"/>
        <v>dailoneskill0020</v>
      </c>
      <c r="L94" s="5" t="str">
        <f t="shared" si="26"/>
        <v>lootName,DAIL/items/materia/class0020/Nature.dbr,</v>
      </c>
      <c r="M94" s="5" t="str">
        <f t="shared" si="27"/>
        <v>lootWeight,1,</v>
      </c>
      <c r="N94" t="str">
        <f t="shared" si="28"/>
        <v>5</v>
      </c>
      <c r="O94" t="str">
        <f t="shared" si="37"/>
        <v/>
      </c>
      <c r="P94" t="str">
        <f t="shared" si="23"/>
        <v/>
      </c>
      <c r="Q94" t="str">
        <f t="shared" si="23"/>
        <v/>
      </c>
      <c r="R94" t="str">
        <f t="shared" si="23"/>
        <v/>
      </c>
      <c r="S94" t="str">
        <f t="shared" si="23"/>
        <v/>
      </c>
      <c r="T94" t="str">
        <f t="shared" si="23"/>
        <v/>
      </c>
      <c r="U94" t="str">
        <f t="shared" si="23"/>
        <v/>
      </c>
      <c r="V94" s="5" t="s">
        <v>36</v>
      </c>
      <c r="W94" t="str">
        <f t="shared" si="29"/>
        <v/>
      </c>
      <c r="X94" t="str">
        <f t="shared" si="29"/>
        <v/>
      </c>
      <c r="Y94" s="5" t="s">
        <v>36</v>
      </c>
      <c r="Z94" t="str">
        <f t="shared" si="30"/>
        <v/>
      </c>
      <c r="AA94" t="str">
        <f t="shared" si="38"/>
        <v/>
      </c>
      <c r="AB94" s="5" t="s">
        <v>36</v>
      </c>
      <c r="AH94">
        <f t="shared" si="40"/>
        <v>89</v>
      </c>
      <c r="AI94">
        <f t="shared" si="34"/>
        <v>0</v>
      </c>
      <c r="AJ94">
        <f t="shared" si="39"/>
        <v>5</v>
      </c>
    </row>
    <row r="95" spans="1:36" x14ac:dyDescent="0.25">
      <c r="A95" s="5" t="s">
        <v>39</v>
      </c>
      <c r="B95" s="5" t="s">
        <v>30</v>
      </c>
      <c r="C95" s="5" t="str">
        <f t="shared" si="24"/>
        <v>description,dailCompDescNature,</v>
      </c>
      <c r="D95" s="5" t="str">
        <f t="shared" si="25"/>
        <v>itemText,dailCompTextNature,</v>
      </c>
      <c r="E95" s="5" t="str">
        <f t="shared" si="35"/>
        <v>augmentSkillLevel1,5,</v>
      </c>
      <c r="F95" s="5" t="str">
        <f t="shared" si="36"/>
        <v>augmentSkillName1,records/skills,</v>
      </c>
      <c r="G95" s="7" t="str">
        <f t="shared" si="31"/>
        <v/>
      </c>
      <c r="H95" s="8" t="str">
        <f t="shared" si="32"/>
        <v>Nature</v>
      </c>
      <c r="J95" s="8" t="str">
        <f t="shared" si="41"/>
        <v>class0020</v>
      </c>
      <c r="K95" s="8" t="str">
        <f t="shared" si="41"/>
        <v>dailoneskill0020</v>
      </c>
      <c r="L95" s="5" t="str">
        <f t="shared" si="26"/>
        <v>lootName,DAIL/items/materia/class0020/Nature.dbr,</v>
      </c>
      <c r="M95" s="5" t="str">
        <f t="shared" si="27"/>
        <v>lootWeight,1,</v>
      </c>
      <c r="N95" t="str">
        <f t="shared" si="28"/>
        <v>5</v>
      </c>
      <c r="O95" t="str">
        <f t="shared" si="37"/>
        <v/>
      </c>
      <c r="P95" t="str">
        <f t="shared" si="23"/>
        <v/>
      </c>
      <c r="Q95" t="str">
        <f t="shared" si="23"/>
        <v/>
      </c>
      <c r="R95" t="str">
        <f t="shared" si="23"/>
        <v/>
      </c>
      <c r="S95" t="str">
        <f t="shared" si="23"/>
        <v/>
      </c>
      <c r="T95" t="str">
        <f t="shared" si="23"/>
        <v/>
      </c>
      <c r="U95" t="str">
        <f t="shared" si="23"/>
        <v/>
      </c>
      <c r="V95" s="5" t="s">
        <v>36</v>
      </c>
      <c r="W95" t="str">
        <f t="shared" si="29"/>
        <v/>
      </c>
      <c r="X95" t="str">
        <f t="shared" si="29"/>
        <v/>
      </c>
      <c r="Y95" s="5" t="s">
        <v>36</v>
      </c>
      <c r="Z95" t="str">
        <f t="shared" si="30"/>
        <v/>
      </c>
      <c r="AA95" t="str">
        <f t="shared" si="38"/>
        <v/>
      </c>
      <c r="AB95" s="5" t="s">
        <v>36</v>
      </c>
      <c r="AH95">
        <f t="shared" si="40"/>
        <v>90</v>
      </c>
      <c r="AI95">
        <f t="shared" si="34"/>
        <v>0</v>
      </c>
      <c r="AJ95">
        <f t="shared" si="39"/>
        <v>5</v>
      </c>
    </row>
    <row r="96" spans="1:36" x14ac:dyDescent="0.25">
      <c r="A96" s="5" t="s">
        <v>39</v>
      </c>
      <c r="B96" s="5" t="s">
        <v>30</v>
      </c>
      <c r="C96" s="5" t="str">
        <f t="shared" si="24"/>
        <v>description,dailCompDescNature,</v>
      </c>
      <c r="D96" s="5" t="str">
        <f t="shared" si="25"/>
        <v>itemText,dailCompTextNature,</v>
      </c>
      <c r="E96" s="5" t="str">
        <f t="shared" si="35"/>
        <v>augmentSkillLevel1,5,</v>
      </c>
      <c r="F96" s="5" t="str">
        <f t="shared" si="36"/>
        <v>augmentSkillName1,records/skills,</v>
      </c>
      <c r="G96" s="7" t="str">
        <f t="shared" si="31"/>
        <v/>
      </c>
      <c r="H96" s="8" t="str">
        <f t="shared" si="32"/>
        <v>Nature</v>
      </c>
      <c r="J96" s="8" t="str">
        <f t="shared" si="41"/>
        <v>class0020</v>
      </c>
      <c r="K96" s="8" t="str">
        <f t="shared" si="41"/>
        <v>dailoneskill0020</v>
      </c>
      <c r="L96" s="5" t="str">
        <f t="shared" si="26"/>
        <v>lootName,DAIL/items/materia/class0020/Nature.dbr,</v>
      </c>
      <c r="M96" s="5" t="str">
        <f t="shared" si="27"/>
        <v>lootWeight,1,</v>
      </c>
      <c r="N96" t="str">
        <f t="shared" si="28"/>
        <v>5</v>
      </c>
      <c r="O96" t="str">
        <f t="shared" si="37"/>
        <v/>
      </c>
      <c r="P96" t="str">
        <f t="shared" si="23"/>
        <v/>
      </c>
      <c r="Q96" t="str">
        <f t="shared" si="23"/>
        <v/>
      </c>
      <c r="R96" t="str">
        <f t="shared" si="23"/>
        <v/>
      </c>
      <c r="S96" t="str">
        <f t="shared" si="23"/>
        <v/>
      </c>
      <c r="T96" t="str">
        <f t="shared" si="23"/>
        <v/>
      </c>
      <c r="U96" t="str">
        <f t="shared" si="23"/>
        <v/>
      </c>
      <c r="V96" s="5" t="s">
        <v>36</v>
      </c>
      <c r="W96" t="str">
        <f t="shared" si="29"/>
        <v/>
      </c>
      <c r="X96" t="str">
        <f t="shared" si="29"/>
        <v/>
      </c>
      <c r="Y96" s="5" t="s">
        <v>36</v>
      </c>
      <c r="Z96" t="str">
        <f t="shared" si="30"/>
        <v/>
      </c>
      <c r="AA96" t="str">
        <f t="shared" si="38"/>
        <v/>
      </c>
      <c r="AB96" s="5" t="s">
        <v>36</v>
      </c>
      <c r="AH96">
        <f t="shared" si="40"/>
        <v>91</v>
      </c>
      <c r="AI96">
        <f t="shared" si="34"/>
        <v>0</v>
      </c>
      <c r="AJ96">
        <f t="shared" si="39"/>
        <v>5</v>
      </c>
    </row>
    <row r="97" spans="1:36" x14ac:dyDescent="0.25">
      <c r="A97" s="5" t="s">
        <v>39</v>
      </c>
      <c r="B97" s="5" t="s">
        <v>30</v>
      </c>
      <c r="C97" s="5" t="str">
        <f t="shared" si="24"/>
        <v>description,dailCompDescNature,</v>
      </c>
      <c r="D97" s="5" t="str">
        <f t="shared" si="25"/>
        <v>itemText,dailCompTextNature,</v>
      </c>
      <c r="E97" s="5" t="str">
        <f t="shared" si="35"/>
        <v>augmentSkillLevel1,5,</v>
      </c>
      <c r="F97" s="5" t="str">
        <f t="shared" si="36"/>
        <v>augmentSkillName1,records/skills,</v>
      </c>
      <c r="G97" s="7" t="str">
        <f t="shared" si="31"/>
        <v/>
      </c>
      <c r="H97" s="8" t="str">
        <f t="shared" si="32"/>
        <v>Nature</v>
      </c>
      <c r="J97" s="8" t="str">
        <f t="shared" si="41"/>
        <v>class0020</v>
      </c>
      <c r="K97" s="8" t="str">
        <f t="shared" si="41"/>
        <v>dailoneskill0020</v>
      </c>
      <c r="L97" s="5" t="str">
        <f t="shared" si="26"/>
        <v>lootName,DAIL/items/materia/class0020/Nature.dbr,</v>
      </c>
      <c r="M97" s="5" t="str">
        <f t="shared" si="27"/>
        <v>lootWeight,1,</v>
      </c>
      <c r="N97" t="str">
        <f t="shared" si="28"/>
        <v>5</v>
      </c>
      <c r="O97" t="str">
        <f t="shared" si="37"/>
        <v/>
      </c>
      <c r="P97" t="str">
        <f t="shared" si="23"/>
        <v/>
      </c>
      <c r="Q97" t="str">
        <f t="shared" si="23"/>
        <v/>
      </c>
      <c r="R97" t="str">
        <f t="shared" si="23"/>
        <v/>
      </c>
      <c r="S97" t="str">
        <f t="shared" si="23"/>
        <v/>
      </c>
      <c r="T97" t="str">
        <f t="shared" si="23"/>
        <v/>
      </c>
      <c r="U97" t="str">
        <f t="shared" si="23"/>
        <v/>
      </c>
      <c r="V97" s="5" t="s">
        <v>36</v>
      </c>
      <c r="W97" t="str">
        <f t="shared" si="29"/>
        <v/>
      </c>
      <c r="X97" t="str">
        <f t="shared" si="29"/>
        <v/>
      </c>
      <c r="Y97" s="5" t="s">
        <v>36</v>
      </c>
      <c r="Z97" t="str">
        <f t="shared" si="30"/>
        <v/>
      </c>
      <c r="AA97" t="str">
        <f t="shared" si="38"/>
        <v/>
      </c>
      <c r="AB97" s="5" t="s">
        <v>36</v>
      </c>
      <c r="AH97">
        <f t="shared" si="40"/>
        <v>92</v>
      </c>
      <c r="AI97">
        <f t="shared" si="34"/>
        <v>0</v>
      </c>
      <c r="AJ97">
        <f t="shared" si="39"/>
        <v>5</v>
      </c>
    </row>
    <row r="98" spans="1:36" x14ac:dyDescent="0.25">
      <c r="A98" s="5" t="s">
        <v>39</v>
      </c>
      <c r="B98" s="5" t="s">
        <v>30</v>
      </c>
      <c r="C98" s="5" t="str">
        <f t="shared" si="24"/>
        <v>description,dailCompDescNature,</v>
      </c>
      <c r="D98" s="5" t="str">
        <f t="shared" si="25"/>
        <v>itemText,dailCompTextNature,</v>
      </c>
      <c r="E98" s="5" t="str">
        <f t="shared" si="35"/>
        <v>augmentSkillLevel1,5,</v>
      </c>
      <c r="F98" s="5" t="str">
        <f t="shared" si="36"/>
        <v>augmentSkillName1,records/skills,</v>
      </c>
      <c r="G98" s="7" t="str">
        <f t="shared" si="31"/>
        <v/>
      </c>
      <c r="H98" s="8" t="str">
        <f t="shared" si="32"/>
        <v>Nature</v>
      </c>
      <c r="J98" s="8" t="str">
        <f t="shared" si="41"/>
        <v>class0020</v>
      </c>
      <c r="K98" s="8" t="str">
        <f t="shared" si="41"/>
        <v>dailoneskill0020</v>
      </c>
      <c r="L98" s="5" t="str">
        <f t="shared" si="26"/>
        <v>lootName,DAIL/items/materia/class0020/Nature.dbr,</v>
      </c>
      <c r="M98" s="5" t="str">
        <f t="shared" si="27"/>
        <v>lootWeight,1,</v>
      </c>
      <c r="N98" t="str">
        <f t="shared" si="28"/>
        <v>5</v>
      </c>
      <c r="O98" t="str">
        <f t="shared" si="37"/>
        <v/>
      </c>
      <c r="P98" t="str">
        <f t="shared" si="23"/>
        <v/>
      </c>
      <c r="Q98" t="str">
        <f t="shared" si="23"/>
        <v/>
      </c>
      <c r="R98" t="str">
        <f t="shared" si="23"/>
        <v/>
      </c>
      <c r="S98" t="str">
        <f t="shared" si="23"/>
        <v/>
      </c>
      <c r="T98" t="str">
        <f t="shared" si="23"/>
        <v/>
      </c>
      <c r="U98" t="str">
        <f t="shared" si="23"/>
        <v/>
      </c>
      <c r="V98" s="5" t="s">
        <v>36</v>
      </c>
      <c r="W98" t="str">
        <f t="shared" si="29"/>
        <v/>
      </c>
      <c r="X98" t="str">
        <f t="shared" si="29"/>
        <v/>
      </c>
      <c r="Y98" s="5" t="s">
        <v>36</v>
      </c>
      <c r="Z98" t="str">
        <f t="shared" si="30"/>
        <v/>
      </c>
      <c r="AA98" t="str">
        <f t="shared" si="38"/>
        <v/>
      </c>
      <c r="AB98" s="5" t="s">
        <v>36</v>
      </c>
      <c r="AH98">
        <f t="shared" si="40"/>
        <v>93</v>
      </c>
      <c r="AI98">
        <f t="shared" si="34"/>
        <v>0</v>
      </c>
      <c r="AJ98">
        <f t="shared" si="39"/>
        <v>5</v>
      </c>
    </row>
    <row r="99" spans="1:36" x14ac:dyDescent="0.25">
      <c r="A99" s="5" t="s">
        <v>39</v>
      </c>
      <c r="B99" s="5" t="s">
        <v>30</v>
      </c>
      <c r="C99" s="5" t="str">
        <f t="shared" si="24"/>
        <v>description,dailCompDescNature,</v>
      </c>
      <c r="D99" s="5" t="str">
        <f t="shared" si="25"/>
        <v>itemText,dailCompTextNature,</v>
      </c>
      <c r="E99" s="5" t="str">
        <f t="shared" si="35"/>
        <v>augmentSkillLevel1,5,</v>
      </c>
      <c r="F99" s="5" t="str">
        <f t="shared" si="36"/>
        <v>augmentSkillName1,records/skills,</v>
      </c>
      <c r="G99" s="7" t="str">
        <f t="shared" si="31"/>
        <v/>
      </c>
      <c r="H99" s="8" t="str">
        <f t="shared" si="32"/>
        <v>Nature</v>
      </c>
      <c r="J99" s="8" t="str">
        <f t="shared" si="41"/>
        <v>class0020</v>
      </c>
      <c r="K99" s="8" t="str">
        <f t="shared" si="41"/>
        <v>dailoneskill0020</v>
      </c>
      <c r="L99" s="5" t="str">
        <f t="shared" si="26"/>
        <v>lootName,DAIL/items/materia/class0020/Nature.dbr,</v>
      </c>
      <c r="M99" s="5" t="str">
        <f t="shared" si="27"/>
        <v>lootWeight,1,</v>
      </c>
      <c r="N99" t="str">
        <f t="shared" si="28"/>
        <v>5</v>
      </c>
      <c r="O99" t="str">
        <f t="shared" si="37"/>
        <v/>
      </c>
      <c r="P99" t="str">
        <f t="shared" si="23"/>
        <v/>
      </c>
      <c r="Q99" t="str">
        <f t="shared" si="23"/>
        <v/>
      </c>
      <c r="R99" t="str">
        <f t="shared" si="23"/>
        <v/>
      </c>
      <c r="S99" t="str">
        <f t="shared" si="23"/>
        <v/>
      </c>
      <c r="T99" t="str">
        <f t="shared" si="23"/>
        <v/>
      </c>
      <c r="U99" t="str">
        <f t="shared" si="23"/>
        <v/>
      </c>
      <c r="V99" s="5" t="s">
        <v>36</v>
      </c>
      <c r="W99" t="str">
        <f t="shared" si="29"/>
        <v/>
      </c>
      <c r="X99" t="str">
        <f t="shared" si="29"/>
        <v/>
      </c>
      <c r="Y99" s="5" t="s">
        <v>36</v>
      </c>
      <c r="Z99" t="str">
        <f t="shared" si="30"/>
        <v/>
      </c>
      <c r="AA99" t="str">
        <f t="shared" si="38"/>
        <v/>
      </c>
      <c r="AB99" s="5" t="s">
        <v>36</v>
      </c>
      <c r="AH99">
        <f t="shared" si="40"/>
        <v>94</v>
      </c>
      <c r="AI99">
        <f t="shared" si="34"/>
        <v>0</v>
      </c>
      <c r="AJ99">
        <f t="shared" si="39"/>
        <v>5</v>
      </c>
    </row>
    <row r="100" spans="1:36" x14ac:dyDescent="0.25">
      <c r="A100" s="5" t="s">
        <v>39</v>
      </c>
      <c r="B100" s="5" t="s">
        <v>30</v>
      </c>
      <c r="C100" s="5" t="str">
        <f t="shared" si="24"/>
        <v>description,dailCompDescNature,</v>
      </c>
      <c r="D100" s="5" t="str">
        <f t="shared" si="25"/>
        <v>itemText,dailCompTextNature,</v>
      </c>
      <c r="E100" s="5" t="str">
        <f t="shared" si="35"/>
        <v>augmentSkillLevel1,5,</v>
      </c>
      <c r="F100" s="5" t="str">
        <f t="shared" si="36"/>
        <v>augmentSkillName1,records/skills,</v>
      </c>
      <c r="G100" s="7" t="str">
        <f t="shared" si="31"/>
        <v/>
      </c>
      <c r="H100" s="8" t="str">
        <f t="shared" si="32"/>
        <v>Nature</v>
      </c>
      <c r="J100" s="8" t="str">
        <f t="shared" si="41"/>
        <v>class0020</v>
      </c>
      <c r="K100" s="8" t="str">
        <f t="shared" si="41"/>
        <v>dailoneskill0020</v>
      </c>
      <c r="L100" s="5" t="str">
        <f t="shared" si="26"/>
        <v>lootName,DAIL/items/materia/class0020/Nature.dbr,</v>
      </c>
      <c r="M100" s="5" t="str">
        <f t="shared" si="27"/>
        <v>lootWeight,1,</v>
      </c>
      <c r="N100" t="str">
        <f t="shared" si="28"/>
        <v>5</v>
      </c>
      <c r="O100" t="str">
        <f t="shared" si="37"/>
        <v/>
      </c>
      <c r="P100" t="str">
        <f t="shared" si="23"/>
        <v/>
      </c>
      <c r="Q100" t="str">
        <f t="shared" si="23"/>
        <v/>
      </c>
      <c r="R100" t="str">
        <f t="shared" si="23"/>
        <v/>
      </c>
      <c r="S100" t="str">
        <f t="shared" si="23"/>
        <v/>
      </c>
      <c r="T100" t="str">
        <f t="shared" si="23"/>
        <v/>
      </c>
      <c r="U100" t="str">
        <f t="shared" si="23"/>
        <v/>
      </c>
      <c r="V100" s="5" t="s">
        <v>36</v>
      </c>
      <c r="W100" t="str">
        <f t="shared" si="29"/>
        <v/>
      </c>
      <c r="X100" t="str">
        <f t="shared" si="29"/>
        <v/>
      </c>
      <c r="Y100" s="5" t="s">
        <v>36</v>
      </c>
      <c r="Z100" t="str">
        <f t="shared" si="30"/>
        <v/>
      </c>
      <c r="AA100" t="str">
        <f t="shared" si="38"/>
        <v/>
      </c>
      <c r="AB100" s="5" t="s">
        <v>36</v>
      </c>
      <c r="AH100">
        <f t="shared" si="40"/>
        <v>95</v>
      </c>
      <c r="AI100">
        <f t="shared" si="34"/>
        <v>0</v>
      </c>
      <c r="AJ100">
        <f t="shared" si="39"/>
        <v>5</v>
      </c>
    </row>
    <row r="101" spans="1:36" x14ac:dyDescent="0.25">
      <c r="A101" s="5" t="s">
        <v>39</v>
      </c>
      <c r="B101" s="5" t="s">
        <v>30</v>
      </c>
      <c r="C101" s="5" t="str">
        <f t="shared" si="24"/>
        <v>description,dailCompDescNature,</v>
      </c>
      <c r="D101" s="5" t="str">
        <f t="shared" si="25"/>
        <v>itemText,dailCompTextNature,</v>
      </c>
      <c r="E101" s="5" t="str">
        <f t="shared" si="35"/>
        <v>augmentSkillLevel1,5,</v>
      </c>
      <c r="F101" s="5" t="str">
        <f t="shared" si="36"/>
        <v>augmentSkillName1,records/skills,</v>
      </c>
      <c r="G101" s="7" t="str">
        <f t="shared" si="31"/>
        <v/>
      </c>
      <c r="H101" s="8" t="str">
        <f t="shared" si="32"/>
        <v>Nature</v>
      </c>
      <c r="J101" s="8" t="str">
        <f t="shared" ref="J101:K102" si="42">J100</f>
        <v>class0020</v>
      </c>
      <c r="K101" s="8" t="str">
        <f t="shared" si="42"/>
        <v>dailoneskill0020</v>
      </c>
      <c r="L101" s="5" t="str">
        <f t="shared" si="26"/>
        <v>lootName,DAIL/items/materia/class0020/Nature.dbr,</v>
      </c>
      <c r="M101" s="5" t="str">
        <f t="shared" si="27"/>
        <v>lootWeight,1,</v>
      </c>
      <c r="N101" t="str">
        <f t="shared" si="28"/>
        <v>5</v>
      </c>
      <c r="O101" t="str">
        <f t="shared" si="37"/>
        <v/>
      </c>
      <c r="P101" t="str">
        <f t="shared" si="23"/>
        <v/>
      </c>
      <c r="Q101" t="str">
        <f t="shared" si="23"/>
        <v/>
      </c>
      <c r="R101" t="str">
        <f t="shared" si="23"/>
        <v/>
      </c>
      <c r="S101" t="str">
        <f t="shared" ref="S101:U102" si="43">IF($I101&lt;&gt;"","echo "&amp;D101&amp;" &gt;&gt; .\items\materia\"&amp;$J101&amp;"\"&amp;$H101&amp;$G101&amp;".dbr","")</f>
        <v/>
      </c>
      <c r="T101" t="str">
        <f t="shared" si="43"/>
        <v/>
      </c>
      <c r="U101" t="str">
        <f t="shared" si="43"/>
        <v/>
      </c>
      <c r="V101" s="5" t="s">
        <v>36</v>
      </c>
      <c r="W101" t="str">
        <f t="shared" si="29"/>
        <v/>
      </c>
      <c r="X101" t="str">
        <f t="shared" si="29"/>
        <v/>
      </c>
      <c r="Y101" s="5" t="s">
        <v>36</v>
      </c>
      <c r="Z101" t="str">
        <f t="shared" si="30"/>
        <v/>
      </c>
      <c r="AA101" t="str">
        <f t="shared" si="38"/>
        <v/>
      </c>
      <c r="AB101" s="5" t="s">
        <v>36</v>
      </c>
      <c r="AH101">
        <f t="shared" si="40"/>
        <v>96</v>
      </c>
      <c r="AI101">
        <f t="shared" si="34"/>
        <v>0</v>
      </c>
      <c r="AJ101">
        <f t="shared" si="39"/>
        <v>5</v>
      </c>
    </row>
    <row r="102" spans="1:36" x14ac:dyDescent="0.25">
      <c r="A102" s="5" t="s">
        <v>39</v>
      </c>
      <c r="B102" s="5" t="s">
        <v>30</v>
      </c>
      <c r="C102" s="5" t="str">
        <f t="shared" si="24"/>
        <v>description,dailCompDescNature,</v>
      </c>
      <c r="D102" s="5" t="str">
        <f t="shared" si="25"/>
        <v>itemText,dailCompTextNature,</v>
      </c>
      <c r="E102" s="5" t="str">
        <f t="shared" si="35"/>
        <v>augmentSkillLevel1,5,</v>
      </c>
      <c r="F102" s="5" t="str">
        <f t="shared" si="36"/>
        <v>augmentSkillName1,records/skills,</v>
      </c>
      <c r="G102" s="7" t="str">
        <f t="shared" si="31"/>
        <v/>
      </c>
      <c r="H102" s="8" t="str">
        <f t="shared" si="32"/>
        <v>Nature</v>
      </c>
      <c r="J102" s="8" t="str">
        <f t="shared" si="42"/>
        <v>class0020</v>
      </c>
      <c r="K102" s="8" t="str">
        <f t="shared" si="42"/>
        <v>dailoneskill0020</v>
      </c>
      <c r="L102" s="5" t="str">
        <f t="shared" si="26"/>
        <v>lootName,DAIL/items/materia/class0020/Nature.dbr,</v>
      </c>
      <c r="M102" s="5" t="str">
        <f t="shared" si="27"/>
        <v>lootWeight,1,</v>
      </c>
      <c r="N102" t="str">
        <f t="shared" si="28"/>
        <v>5</v>
      </c>
      <c r="O102" t="str">
        <f t="shared" si="37"/>
        <v/>
      </c>
      <c r="P102" t="str">
        <f t="shared" ref="P102:R102" si="44">IF($I102&lt;&gt;"","echo "&amp;A102&amp;" &gt;&gt; .\items\materia\"&amp;$J102&amp;"\"&amp;$H102&amp;$G102&amp;".dbr","")</f>
        <v/>
      </c>
      <c r="Q102" t="str">
        <f t="shared" si="44"/>
        <v/>
      </c>
      <c r="R102" t="str">
        <f t="shared" si="44"/>
        <v/>
      </c>
      <c r="S102" t="str">
        <f t="shared" si="43"/>
        <v/>
      </c>
      <c r="T102" t="str">
        <f t="shared" si="43"/>
        <v/>
      </c>
      <c r="U102" t="str">
        <f t="shared" si="43"/>
        <v/>
      </c>
      <c r="V102" s="5" t="s">
        <v>36</v>
      </c>
      <c r="W102" t="str">
        <f t="shared" si="29"/>
        <v/>
      </c>
      <c r="X102" t="str">
        <f t="shared" si="29"/>
        <v/>
      </c>
      <c r="Y102" s="5" t="s">
        <v>36</v>
      </c>
      <c r="Z102" t="str">
        <f t="shared" si="30"/>
        <v/>
      </c>
      <c r="AA102" t="str">
        <f t="shared" si="38"/>
        <v/>
      </c>
      <c r="AB102" s="5" t="s">
        <v>36</v>
      </c>
      <c r="AH102">
        <f t="shared" si="40"/>
        <v>97</v>
      </c>
      <c r="AI102">
        <f t="shared" si="34"/>
        <v>0</v>
      </c>
      <c r="AJ102">
        <f t="shared" si="39"/>
        <v>5</v>
      </c>
    </row>
  </sheetData>
  <mergeCells count="1">
    <mergeCell ref="O2:U2"/>
  </mergeCells>
  <pageMargins left="0.7" right="0.7" top="0.75" bottom="0.75" header="0.3" footer="0.3"/>
  <pageSetup orientation="portrait"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:AL102"/>
  <sheetViews>
    <sheetView topLeftCell="M1" zoomScaleNormal="100" workbookViewId="0">
      <selection activeCell="U3" sqref="U3:U102"/>
    </sheetView>
  </sheetViews>
  <sheetFormatPr defaultRowHeight="15" x14ac:dyDescent="0.25"/>
  <cols>
    <col min="1" max="1" width="73.85546875" style="5" bestFit="1" customWidth="1"/>
    <col min="2" max="2" width="16.28515625" style="5" bestFit="1" customWidth="1"/>
    <col min="3" max="3" width="32.7109375" style="5" bestFit="1" customWidth="1"/>
    <col min="4" max="4" width="31.42578125" style="5" bestFit="1" customWidth="1"/>
    <col min="5" max="5" width="24.28515625" style="5" bestFit="1" customWidth="1"/>
    <col min="6" max="6" width="73.5703125" style="5" bestFit="1" customWidth="1"/>
    <col min="7" max="7" width="5.85546875" style="8" bestFit="1" customWidth="1"/>
    <col min="8" max="8" width="7.85546875" style="3" bestFit="1" customWidth="1"/>
    <col min="9" max="9" width="38.140625" style="3" bestFit="1" customWidth="1"/>
    <col min="10" max="10" width="9.140625" style="3" bestFit="1" customWidth="1"/>
    <col min="11" max="11" width="18.140625" style="3" customWidth="1"/>
    <col min="12" max="12" width="51.85546875" style="5" bestFit="1" customWidth="1"/>
    <col min="13" max="13" width="21.28515625" style="5" customWidth="1"/>
    <col min="15" max="15" width="10.5703125" customWidth="1"/>
    <col min="22" max="22" width="1.5703125" style="5" customWidth="1"/>
    <col min="23" max="23" width="9.5703125" customWidth="1"/>
    <col min="25" max="25" width="1.5703125" style="5" bestFit="1" customWidth="1"/>
    <col min="26" max="26" width="46.7109375" bestFit="1" customWidth="1"/>
    <col min="27" max="27" width="29.140625" customWidth="1"/>
    <col min="28" max="28" width="1.5703125" style="5" bestFit="1" customWidth="1"/>
    <col min="31" max="31" width="14.140625" bestFit="1" customWidth="1"/>
  </cols>
  <sheetData>
    <row r="1" spans="1:38" x14ac:dyDescent="0.25">
      <c r="G1" s="5"/>
      <c r="H1" s="5"/>
      <c r="I1" s="5"/>
      <c r="J1" s="5"/>
      <c r="K1" s="5"/>
      <c r="N1" s="5"/>
      <c r="O1" s="9"/>
      <c r="P1" s="9"/>
      <c r="Q1" s="9"/>
      <c r="R1" s="9"/>
      <c r="S1" s="9"/>
      <c r="T1" s="9"/>
      <c r="U1" s="9"/>
      <c r="W1" s="9"/>
      <c r="X1" s="9"/>
      <c r="Z1" s="9"/>
      <c r="AA1" s="9"/>
    </row>
    <row r="2" spans="1:38" x14ac:dyDescent="0.25">
      <c r="A2" s="4" t="s">
        <v>2</v>
      </c>
      <c r="B2" s="4" t="s">
        <v>3</v>
      </c>
      <c r="C2" s="4" t="s">
        <v>4</v>
      </c>
      <c r="D2" s="4" t="s">
        <v>5</v>
      </c>
      <c r="E2" s="4" t="s">
        <v>6</v>
      </c>
      <c r="F2" s="4" t="s">
        <v>7</v>
      </c>
      <c r="G2" s="6" t="s">
        <v>9</v>
      </c>
      <c r="H2" s="2" t="s">
        <v>26</v>
      </c>
      <c r="I2" s="2" t="s">
        <v>8</v>
      </c>
      <c r="J2" s="2" t="s">
        <v>33</v>
      </c>
      <c r="K2" s="2" t="s">
        <v>38</v>
      </c>
      <c r="L2" s="4" t="s">
        <v>31</v>
      </c>
      <c r="M2" s="4" t="s">
        <v>32</v>
      </c>
      <c r="O2" s="11" t="str">
        <f>"Copy from N to T Into the files named "&amp;H3&amp;G3&amp;" etc"</f>
        <v>Copy from N to T Into the files named Rogue1 etc</v>
      </c>
      <c r="P2" s="11"/>
      <c r="Q2" s="11"/>
      <c r="R2" s="11"/>
      <c r="S2" s="11"/>
      <c r="T2" s="11"/>
      <c r="U2" s="11"/>
      <c r="W2" s="1" t="s">
        <v>35</v>
      </c>
      <c r="Z2" s="1" t="s">
        <v>40</v>
      </c>
      <c r="AD2" t="s">
        <v>44</v>
      </c>
    </row>
    <row r="3" spans="1:38" x14ac:dyDescent="0.25">
      <c r="A3" s="5" t="s">
        <v>39</v>
      </c>
      <c r="B3" s="5" t="s">
        <v>0</v>
      </c>
      <c r="C3" s="5" t="str">
        <f t="shared" ref="C3:C66" si="0">"description,dailCompDesc"&amp;H3&amp;G3&amp;","</f>
        <v>description,dailCompDescRogue1,</v>
      </c>
      <c r="D3" s="5" t="str">
        <f>"itemText,dailCompText"&amp;H3&amp;G3&amp;","</f>
        <v>itemText,dailCompTextRogue1,</v>
      </c>
      <c r="E3" s="5" t="s">
        <v>24</v>
      </c>
      <c r="F3" s="5" t="str">
        <f>"augmentMasteryName1,records/skills"&amp;I3&amp;","</f>
        <v>augmentMasteryName1,records/skillsstealth/stealthmastery.dbr,,</v>
      </c>
      <c r="G3" s="7">
        <f>IF(I3&lt;&gt;"",1,"")</f>
        <v>1</v>
      </c>
      <c r="H3" s="3" t="s">
        <v>682</v>
      </c>
      <c r="I3" s="3" t="s">
        <v>681</v>
      </c>
      <c r="J3" s="3" t="s">
        <v>565</v>
      </c>
      <c r="K3" s="3" t="s">
        <v>563</v>
      </c>
      <c r="L3" s="5" t="str">
        <f>"lootName"&amp;G3&amp;",DAIL/items/materia/"&amp;J3&amp;"/"&amp;H3&amp;G3&amp;".dbr"&amp;","</f>
        <v>lootName1,DAIL/items/materia/class0021/Rogue1.dbr,</v>
      </c>
      <c r="M3" s="5" t="str">
        <f>"lootWeight"&amp;G3&amp;",1,"</f>
        <v>lootWeight1,1,</v>
      </c>
      <c r="N3" t="str">
        <f>LEFT(RIGHT(E3,2),1)</f>
        <v>1</v>
      </c>
      <c r="O3" s="5" t="str">
        <f>IF(I3&lt;&gt;"","copy .\dail_base2.dbr .\items\materia\"&amp;J3&amp;"\"&amp;H3&amp;G3&amp;".dbr /y"&amp;"","")</f>
        <v>copy .\dail_base2.dbr .\items\materia\class0021\Rogue1.dbr /y</v>
      </c>
      <c r="P3" t="str">
        <f>IF($I3&lt;&gt;"","echo "&amp;A3&amp;" &gt;&gt; .\items\materia\"&amp;$J3&amp;"\"&amp;$H3&amp;$G3&amp;".dbr","")</f>
        <v>echo relicBitmap,items/craftingparts/components/component_a52_bristlyfur_b.tex, &gt;&gt; .\items\materia\class0021\Rogue1.dbr</v>
      </c>
      <c r="Q3" t="str">
        <f t="shared" ref="Q3:U18" si="1">IF($I3&lt;&gt;"","echo "&amp;B3&amp;" &gt;&gt; .\items\materia\"&amp;$J3&amp;"\"&amp;$H3&amp;$G3&amp;".dbr","")</f>
        <v>echo itemCost,100000, &gt;&gt; .\items\materia\class0021\Rogue1.dbr</v>
      </c>
      <c r="R3" t="str">
        <f t="shared" si="1"/>
        <v>echo description,dailCompDescRogue1, &gt;&gt; .\items\materia\class0021\Rogue1.dbr</v>
      </c>
      <c r="S3" t="str">
        <f t="shared" si="1"/>
        <v>echo itemText,dailCompTextRogue1, &gt;&gt; .\items\materia\class0021\Rogue1.dbr</v>
      </c>
      <c r="T3" t="str">
        <f t="shared" si="1"/>
        <v>echo augmentMasteryLevel1,1, &gt;&gt; .\items\materia\class0021\Rogue1.dbr</v>
      </c>
      <c r="U3" t="str">
        <f t="shared" si="1"/>
        <v>echo augmentMasteryName1,records/skillsstealth/stealthmastery.dbr,, &gt;&gt; .\items\materia\class0021\Rogue1.dbr</v>
      </c>
      <c r="V3" s="5" t="s">
        <v>36</v>
      </c>
      <c r="W3" t="str">
        <f>IF($I3&lt;&gt;"","echo "&amp;L3&amp;" &gt;&gt; .\items\loottables\"&amp;$K3&amp;".dbr","")</f>
        <v>echo lootName1,DAIL/items/materia/class0021/Rogue1.dbr, &gt;&gt; .\items\loottables\dailoneskill0021.dbr</v>
      </c>
      <c r="X3" t="str">
        <f>IF($I3&lt;&gt;"","echo "&amp;M3&amp;" &gt;&gt; .\items\loottables\"&amp;$K3&amp;".dbr","")</f>
        <v>echo lootWeight1,1, &gt;&gt; .\items\loottables\dailoneskill0021.dbr</v>
      </c>
      <c r="Y3" s="5" t="s">
        <v>36</v>
      </c>
      <c r="Z3" s="10" t="str">
        <f>IF(I2&lt;&gt;""," dailCompDesc"&amp;H3&amp;G3&amp;"=^p"&amp;H3&amp;"'s Gift of DAIL","")</f>
        <v xml:space="preserve"> dailCompDescRogue1=^pRogue's Gift of DAIL</v>
      </c>
      <c r="AA3" s="10" t="str">
        <f>IF(I2&lt;&gt;"","dailCompText"&amp;H3&amp;G3&amp;"=^oThis feels warm to the touch, almost familiar ^w(This component fits into the amulet only)","")</f>
        <v>dailCompTextRogue1=^oThis feels warm to the touch, almost familiar ^w(This component fits into the amulet only)</v>
      </c>
      <c r="AB3" s="5" t="s">
        <v>36</v>
      </c>
      <c r="AD3">
        <v>1</v>
      </c>
      <c r="AE3" t="s">
        <v>42</v>
      </c>
      <c r="AF3" t="s">
        <v>45</v>
      </c>
    </row>
    <row r="4" spans="1:38" x14ac:dyDescent="0.25">
      <c r="A4" s="5" t="s">
        <v>39</v>
      </c>
      <c r="B4" s="5" t="s">
        <v>28</v>
      </c>
      <c r="C4" s="5" t="str">
        <f t="shared" si="0"/>
        <v>description,dailCompDescRogue2,</v>
      </c>
      <c r="D4" s="5" t="str">
        <f t="shared" ref="D4:D67" si="2">"itemText,dailCompText"&amp;H4&amp;G4&amp;","</f>
        <v>itemText,dailCompTextRogue2,</v>
      </c>
      <c r="E4" s="5" t="s">
        <v>1</v>
      </c>
      <c r="F4" s="5" t="str">
        <f t="shared" ref="F4:F5" si="3">"augmentMasteryName1,records/skills"&amp;I4&amp;","</f>
        <v>augmentMasteryName1,records/skillsstealth/stealthmastery.dbr,,</v>
      </c>
      <c r="G4" s="7">
        <f>IF(I4&lt;&gt;"",G3+1,"")</f>
        <v>2</v>
      </c>
      <c r="H4" s="8" t="str">
        <f>H3</f>
        <v>Rogue</v>
      </c>
      <c r="I4" s="3" t="s">
        <v>681</v>
      </c>
      <c r="J4" s="8" t="str">
        <f>J3</f>
        <v>class0021</v>
      </c>
      <c r="K4" s="8" t="str">
        <f>K3</f>
        <v>dailoneskill0021</v>
      </c>
      <c r="L4" s="5" t="str">
        <f t="shared" ref="L4:L67" si="4">"lootName"&amp;G4&amp;",DAIL/items/materia/"&amp;J4&amp;"/"&amp;H4&amp;G4&amp;".dbr"&amp;","</f>
        <v>lootName2,DAIL/items/materia/class0021/Rogue2.dbr,</v>
      </c>
      <c r="M4" s="5" t="str">
        <f t="shared" ref="M4:M67" si="5">"lootWeight"&amp;G4&amp;",1,"</f>
        <v>lootWeight2,1,</v>
      </c>
      <c r="N4" t="str">
        <f t="shared" ref="N4:N67" si="6">LEFT(RIGHT(E4,2),1)</f>
        <v>2</v>
      </c>
      <c r="O4" s="5" t="str">
        <f>IF(I4&lt;&gt;"","copy .\dail_base2.dbr .\items\materia\"&amp;J4&amp;"\"&amp;H4&amp;G4&amp;".dbr /y"&amp;"","")</f>
        <v>copy .\dail_base2.dbr .\items\materia\class0021\Rogue2.dbr /y</v>
      </c>
      <c r="P4" t="str">
        <f t="shared" ref="P4:U58" si="7">IF($I4&lt;&gt;"","echo "&amp;A4&amp;" &gt;&gt; .\items\materia\"&amp;$J4&amp;"\"&amp;$H4&amp;$G4&amp;".dbr","")</f>
        <v>echo relicBitmap,items/craftingparts/components/component_a52_bristlyfur_b.tex, &gt;&gt; .\items\materia\class0021\Rogue2.dbr</v>
      </c>
      <c r="Q4" t="str">
        <f t="shared" si="1"/>
        <v>echo itemCost,300000, &gt;&gt; .\items\materia\class0021\Rogue2.dbr</v>
      </c>
      <c r="R4" t="str">
        <f t="shared" si="1"/>
        <v>echo description,dailCompDescRogue2, &gt;&gt; .\items\materia\class0021\Rogue2.dbr</v>
      </c>
      <c r="S4" t="str">
        <f t="shared" si="1"/>
        <v>echo itemText,dailCompTextRogue2, &gt;&gt; .\items\materia\class0021\Rogue2.dbr</v>
      </c>
      <c r="T4" t="str">
        <f t="shared" si="1"/>
        <v>echo augmentMasteryLevel1,2, &gt;&gt; .\items\materia\class0021\Rogue2.dbr</v>
      </c>
      <c r="U4" t="str">
        <f t="shared" si="1"/>
        <v>echo augmentMasteryName1,records/skillsstealth/stealthmastery.dbr,, &gt;&gt; .\items\materia\class0021\Rogue2.dbr</v>
      </c>
      <c r="V4" s="5" t="s">
        <v>36</v>
      </c>
      <c r="W4" t="str">
        <f t="shared" ref="W4:X67" si="8">IF($I4&lt;&gt;"","echo "&amp;L4&amp;" &gt;&gt; .\items\loottables\"&amp;$K4&amp;".dbr","")</f>
        <v>echo lootName2,DAIL/items/materia/class0021/Rogue2.dbr, &gt;&gt; .\items\loottables\dailoneskill0021.dbr</v>
      </c>
      <c r="X4" t="str">
        <f t="shared" si="8"/>
        <v>echo lootWeight2,1, &gt;&gt; .\items\loottables\dailoneskill0021.dbr</v>
      </c>
      <c r="Y4" s="5" t="s">
        <v>36</v>
      </c>
      <c r="Z4" s="10" t="str">
        <f t="shared" ref="Z4:Z67" si="9">IF(I3&lt;&gt;""," dailCompDesc"&amp;H4&amp;G4&amp;"=^p"&amp;H4&amp;"'s Gift of DAIL","")</f>
        <v xml:space="preserve"> dailCompDescRogue2=^pRogue's Gift of DAIL</v>
      </c>
      <c r="AA4" s="10" t="str">
        <f>IF(I3&lt;&gt;"","dailCompText"&amp;H4&amp;G4&amp;"=^oThis feels warm to the touch, almost familiar ^w(This component fits into the amulet only)","")</f>
        <v>dailCompTextRogue2=^oThis feels warm to the touch, almost familiar ^w(This component fits into the amulet only)</v>
      </c>
      <c r="AB4" s="5" t="s">
        <v>36</v>
      </c>
      <c r="AD4">
        <v>3</v>
      </c>
      <c r="AE4" t="s">
        <v>43</v>
      </c>
      <c r="AF4" t="s">
        <v>46</v>
      </c>
    </row>
    <row r="5" spans="1:38" x14ac:dyDescent="0.25">
      <c r="A5" s="5" t="s">
        <v>39</v>
      </c>
      <c r="B5" s="5" t="s">
        <v>29</v>
      </c>
      <c r="C5" s="5" t="str">
        <f t="shared" si="0"/>
        <v>description,dailCompDescRogue3,</v>
      </c>
      <c r="D5" s="5" t="str">
        <f t="shared" si="2"/>
        <v>itemText,dailCompTextRogue3,</v>
      </c>
      <c r="E5" s="5" t="s">
        <v>25</v>
      </c>
      <c r="F5" s="5" t="str">
        <f t="shared" si="3"/>
        <v>augmentMasteryName1,records/skillsstealth/stealthmastery.dbr,,</v>
      </c>
      <c r="G5" s="7">
        <f t="shared" ref="G5:G68" si="10">IF(I5&lt;&gt;"",G4+1,"")</f>
        <v>3</v>
      </c>
      <c r="H5" s="8" t="str">
        <f t="shared" ref="H5:H68" si="11">H4</f>
        <v>Rogue</v>
      </c>
      <c r="I5" s="3" t="s">
        <v>681</v>
      </c>
      <c r="J5" s="8" t="str">
        <f t="shared" ref="J5:K20" si="12">J4</f>
        <v>class0021</v>
      </c>
      <c r="K5" s="8" t="str">
        <f t="shared" si="12"/>
        <v>dailoneskill0021</v>
      </c>
      <c r="L5" s="5" t="str">
        <f t="shared" si="4"/>
        <v>lootName3,DAIL/items/materia/class0021/Rogue3.dbr,</v>
      </c>
      <c r="M5" s="5" t="str">
        <f t="shared" si="5"/>
        <v>lootWeight3,1,</v>
      </c>
      <c r="N5" t="str">
        <f t="shared" si="6"/>
        <v>3</v>
      </c>
      <c r="O5" s="5" t="str">
        <f>IF(I5&lt;&gt;"","copy .\dail_base2.dbr .\items\materia\"&amp;J5&amp;"\"&amp;H5&amp;G5&amp;".dbr /y"&amp;"","")</f>
        <v>copy .\dail_base2.dbr .\items\materia\class0021\Rogue3.dbr /y</v>
      </c>
      <c r="P5" t="str">
        <f t="shared" si="7"/>
        <v>echo relicBitmap,items/craftingparts/components/component_a52_bristlyfur_b.tex, &gt;&gt; .\items\materia\class0021\Rogue3.dbr</v>
      </c>
      <c r="Q5" t="str">
        <f t="shared" si="1"/>
        <v>echo itemCost,600000, &gt;&gt; .\items\materia\class0021\Rogue3.dbr</v>
      </c>
      <c r="R5" t="str">
        <f t="shared" si="1"/>
        <v>echo description,dailCompDescRogue3, &gt;&gt; .\items\materia\class0021\Rogue3.dbr</v>
      </c>
      <c r="S5" t="str">
        <f t="shared" si="1"/>
        <v>echo itemText,dailCompTextRogue3, &gt;&gt; .\items\materia\class0021\Rogue3.dbr</v>
      </c>
      <c r="T5" t="str">
        <f t="shared" si="1"/>
        <v>echo augmentMasteryLevel1,3, &gt;&gt; .\items\materia\class0021\Rogue3.dbr</v>
      </c>
      <c r="U5" t="str">
        <f t="shared" si="1"/>
        <v>echo augmentMasteryName1,records/skillsstealth/stealthmastery.dbr,, &gt;&gt; .\items\materia\class0021\Rogue3.dbr</v>
      </c>
      <c r="V5" s="5" t="s">
        <v>36</v>
      </c>
      <c r="W5" t="str">
        <f t="shared" si="8"/>
        <v>echo lootName3,DAIL/items/materia/class0021/Rogue3.dbr, &gt;&gt; .\items\loottables\dailoneskill0021.dbr</v>
      </c>
      <c r="X5" t="str">
        <f t="shared" si="8"/>
        <v>echo lootWeight3,1, &gt;&gt; .\items\loottables\dailoneskill0021.dbr</v>
      </c>
      <c r="Y5" s="5" t="s">
        <v>36</v>
      </c>
      <c r="Z5" s="10" t="str">
        <f t="shared" si="9"/>
        <v xml:space="preserve"> dailCompDescRogue3=^pRogue's Gift of DAIL</v>
      </c>
      <c r="AA5" s="10" t="str">
        <f>IF(I4&lt;&gt;"","dailCompText"&amp;H5&amp;G5&amp;"=^oThis feels warm to the touch, almost familiar ^w(This component fits into the amulet only)","")</f>
        <v>dailCompTextRogue3=^oThis feels warm to the touch, almost familiar ^w(This component fits into the amulet only)</v>
      </c>
      <c r="AB5" s="5" t="s">
        <v>36</v>
      </c>
      <c r="AD5">
        <v>5</v>
      </c>
      <c r="AE5" t="s">
        <v>43</v>
      </c>
      <c r="AF5" t="s">
        <v>46</v>
      </c>
      <c r="AI5" t="s">
        <v>61</v>
      </c>
    </row>
    <row r="6" spans="1:38" x14ac:dyDescent="0.25">
      <c r="A6" s="5" t="s">
        <v>39</v>
      </c>
      <c r="B6" s="5" t="s">
        <v>0</v>
      </c>
      <c r="C6" s="5" t="str">
        <f t="shared" si="0"/>
        <v>description,dailCompDescRogue4,</v>
      </c>
      <c r="D6" s="5" t="str">
        <f t="shared" si="2"/>
        <v>itemText,dailCompTextRogue4,</v>
      </c>
      <c r="E6" s="5" t="str">
        <f>"augmentSkillLevel1,"&amp;AJ6&amp;","</f>
        <v>augmentSkillLevel1,1,</v>
      </c>
      <c r="F6" s="5" t="str">
        <f>"augmentSkillName1,records/skills"&amp;I6&amp;","</f>
        <v>augmentSkillName1,records/skillsstealth/envenomweapon.dbr,,</v>
      </c>
      <c r="G6" s="7">
        <f t="shared" si="10"/>
        <v>4</v>
      </c>
      <c r="H6" s="8" t="str">
        <f t="shared" si="11"/>
        <v>Rogue</v>
      </c>
      <c r="I6" s="3" t="s">
        <v>683</v>
      </c>
      <c r="J6" s="8" t="str">
        <f t="shared" si="12"/>
        <v>class0021</v>
      </c>
      <c r="K6" s="8" t="str">
        <f t="shared" si="12"/>
        <v>dailoneskill0021</v>
      </c>
      <c r="L6" s="5" t="str">
        <f t="shared" si="4"/>
        <v>lootName4,DAIL/items/materia/class0021/Rogue4.dbr,</v>
      </c>
      <c r="M6" s="5" t="str">
        <f t="shared" si="5"/>
        <v>lootWeight4,1,</v>
      </c>
      <c r="N6" t="str">
        <f t="shared" si="6"/>
        <v>1</v>
      </c>
      <c r="O6" t="str">
        <f>IF(I6&lt;&gt;"","copy .\"&amp;VLOOKUP(VALUE(N6),$AD$3:$AF$5,2,FALSE)&amp;" .\items\materia\"&amp;J6&amp;"\"&amp;H6&amp;G6&amp;".dbr /y"&amp;"","")</f>
        <v>copy .\dail_base.dbr .\items\materia\class0021\Rogue4.dbr /y</v>
      </c>
      <c r="P6" t="str">
        <f t="shared" si="7"/>
        <v>echo relicBitmap,items/craftingparts/components/component_a52_bristlyfur_b.tex, &gt;&gt; .\items\materia\class0021\Rogue4.dbr</v>
      </c>
      <c r="Q6" t="str">
        <f t="shared" si="1"/>
        <v>echo itemCost,100000, &gt;&gt; .\items\materia\class0021\Rogue4.dbr</v>
      </c>
      <c r="R6" t="str">
        <f t="shared" si="1"/>
        <v>echo description,dailCompDescRogue4, &gt;&gt; .\items\materia\class0021\Rogue4.dbr</v>
      </c>
      <c r="S6" t="str">
        <f t="shared" si="1"/>
        <v>echo itemText,dailCompTextRogue4, &gt;&gt; .\items\materia\class0021\Rogue4.dbr</v>
      </c>
      <c r="T6" t="str">
        <f t="shared" si="1"/>
        <v>echo augmentSkillLevel1,1, &gt;&gt; .\items\materia\class0021\Rogue4.dbr</v>
      </c>
      <c r="U6" t="str">
        <f t="shared" si="1"/>
        <v>echo augmentSkillName1,records/skillsstealth/envenomweapon.dbr,, &gt;&gt; .\items\materia\class0021\Rogue4.dbr</v>
      </c>
      <c r="V6" s="5" t="s">
        <v>36</v>
      </c>
      <c r="W6" t="str">
        <f t="shared" si="8"/>
        <v>echo lootName4,DAIL/items/materia/class0021/Rogue4.dbr, &gt;&gt; .\items\loottables\dailoneskill0021.dbr</v>
      </c>
      <c r="X6" t="str">
        <f t="shared" si="8"/>
        <v>echo lootWeight4,1, &gt;&gt; .\items\loottables\dailoneskill0021.dbr</v>
      </c>
      <c r="Y6" s="5" t="s">
        <v>36</v>
      </c>
      <c r="Z6" t="str">
        <f t="shared" si="9"/>
        <v xml:space="preserve"> dailCompDescRogue4=^pRogue's Gift of DAIL</v>
      </c>
      <c r="AA6" t="str">
        <f>IF(I5&lt;&gt;"","dailCompText"&amp;H6&amp;G6&amp;"=^oThis feels warm to the touch, almost familiar ^w("&amp;VLOOKUP(VALUE(N6),$AD$3:$AF$5,3,FALSE)&amp;")","")</f>
        <v>dailCompTextRogue4=^oThis feels warm to the touch, almost familiar ^w(This component fits into all Jewellery slots including the Belt And Shoulder)</v>
      </c>
      <c r="AB6" s="5" t="s">
        <v>36</v>
      </c>
      <c r="AH6">
        <v>1</v>
      </c>
      <c r="AI6">
        <f t="shared" ref="AI6:AI69" si="13">LEN(I6)</f>
        <v>26</v>
      </c>
      <c r="AJ6">
        <f>IF(AH6&lt;$AL$7,1,IF(AH6&lt;$AL$8,3,5))</f>
        <v>1</v>
      </c>
      <c r="AK6" s="1" t="s">
        <v>62</v>
      </c>
      <c r="AL6" s="1">
        <f>COUNTIF(AI:AI,"&gt;0")</f>
        <v>60</v>
      </c>
    </row>
    <row r="7" spans="1:38" x14ac:dyDescent="0.25">
      <c r="A7" s="5" t="s">
        <v>39</v>
      </c>
      <c r="B7" s="5" t="s">
        <v>0</v>
      </c>
      <c r="C7" s="5" t="str">
        <f t="shared" si="0"/>
        <v>description,dailCompDescRogue5,</v>
      </c>
      <c r="D7" s="5" t="str">
        <f t="shared" si="2"/>
        <v>itemText,dailCompTextRogue5,</v>
      </c>
      <c r="E7" s="5" t="str">
        <f t="shared" ref="E7:E70" si="14">"augmentSkillLevel1,"&amp;AJ7&amp;","</f>
        <v>augmentSkillLevel1,1,</v>
      </c>
      <c r="F7" s="5" t="str">
        <f t="shared" ref="F7:F70" si="15">"augmentSkillName1,records/skills"&amp;I7&amp;","</f>
        <v>augmentSkillName1,records/skillsstealth/envenomweapon_neurotoxin.dbr,,</v>
      </c>
      <c r="G7" s="7">
        <f t="shared" si="10"/>
        <v>5</v>
      </c>
      <c r="H7" s="8" t="str">
        <f t="shared" si="11"/>
        <v>Rogue</v>
      </c>
      <c r="I7" s="3" t="s">
        <v>684</v>
      </c>
      <c r="J7" s="8" t="str">
        <f t="shared" si="12"/>
        <v>class0021</v>
      </c>
      <c r="K7" s="8" t="str">
        <f t="shared" si="12"/>
        <v>dailoneskill0021</v>
      </c>
      <c r="L7" s="5" t="str">
        <f t="shared" si="4"/>
        <v>lootName5,DAIL/items/materia/class0021/Rogue5.dbr,</v>
      </c>
      <c r="M7" s="5" t="str">
        <f t="shared" si="5"/>
        <v>lootWeight5,1,</v>
      </c>
      <c r="N7" t="str">
        <f t="shared" si="6"/>
        <v>1</v>
      </c>
      <c r="O7" t="str">
        <f t="shared" ref="O7:O70" si="16">IF(I7&lt;&gt;"","copy .\"&amp;VLOOKUP(VALUE(N7),$AD$3:$AF$5,2,FALSE)&amp;" .\items\materia\"&amp;J7&amp;"\"&amp;H7&amp;G7&amp;".dbr /y"&amp;"","")</f>
        <v>copy .\dail_base.dbr .\items\materia\class0021\Rogue5.dbr /y</v>
      </c>
      <c r="P7" t="str">
        <f t="shared" si="7"/>
        <v>echo relicBitmap,items/craftingparts/components/component_a52_bristlyfur_b.tex, &gt;&gt; .\items\materia\class0021\Rogue5.dbr</v>
      </c>
      <c r="Q7" t="str">
        <f t="shared" si="1"/>
        <v>echo itemCost,100000, &gt;&gt; .\items\materia\class0021\Rogue5.dbr</v>
      </c>
      <c r="R7" t="str">
        <f t="shared" si="1"/>
        <v>echo description,dailCompDescRogue5, &gt;&gt; .\items\materia\class0021\Rogue5.dbr</v>
      </c>
      <c r="S7" t="str">
        <f t="shared" si="1"/>
        <v>echo itemText,dailCompTextRogue5, &gt;&gt; .\items\materia\class0021\Rogue5.dbr</v>
      </c>
      <c r="T7" t="str">
        <f t="shared" si="1"/>
        <v>echo augmentSkillLevel1,1, &gt;&gt; .\items\materia\class0021\Rogue5.dbr</v>
      </c>
      <c r="U7" t="str">
        <f t="shared" si="1"/>
        <v>echo augmentSkillName1,records/skillsstealth/envenomweapon_neurotoxin.dbr,, &gt;&gt; .\items\materia\class0021\Rogue5.dbr</v>
      </c>
      <c r="V7" s="5" t="s">
        <v>36</v>
      </c>
      <c r="W7" t="str">
        <f t="shared" si="8"/>
        <v>echo lootName5,DAIL/items/materia/class0021/Rogue5.dbr, &gt;&gt; .\items\loottables\dailoneskill0021.dbr</v>
      </c>
      <c r="X7" t="str">
        <f t="shared" si="8"/>
        <v>echo lootWeight5,1, &gt;&gt; .\items\loottables\dailoneskill0021.dbr</v>
      </c>
      <c r="Y7" s="5" t="s">
        <v>36</v>
      </c>
      <c r="Z7" t="str">
        <f t="shared" si="9"/>
        <v xml:space="preserve"> dailCompDescRogue5=^pRogue's Gift of DAIL</v>
      </c>
      <c r="AA7" t="str">
        <f t="shared" ref="AA7:AA70" si="17">IF(I6&lt;&gt;"","dailCompText"&amp;H7&amp;G7&amp;"=^oThis feels warm to the touch, almost familiar ^w("&amp;VLOOKUP(VALUE(N7),$AD$3:$AF$5,3,FALSE)&amp;")","")</f>
        <v>dailCompTextRogue5=^oThis feels warm to the touch, almost familiar ^w(This component fits into all Jewellery slots including the Belt And Shoulder)</v>
      </c>
      <c r="AB7" s="5" t="s">
        <v>36</v>
      </c>
      <c r="AH7">
        <f>AH6+1</f>
        <v>2</v>
      </c>
      <c r="AI7">
        <f t="shared" si="13"/>
        <v>37</v>
      </c>
      <c r="AJ7">
        <f t="shared" ref="AJ7:AJ70" si="18">IF(AH7&lt;$AL$7,1,IF(AH7&lt;$AL$8,3,5))</f>
        <v>1</v>
      </c>
      <c r="AK7">
        <v>1</v>
      </c>
      <c r="AL7">
        <f>AL6/3</f>
        <v>20</v>
      </c>
    </row>
    <row r="8" spans="1:38" x14ac:dyDescent="0.25">
      <c r="A8" s="5" t="s">
        <v>39</v>
      </c>
      <c r="B8" s="5" t="s">
        <v>0</v>
      </c>
      <c r="C8" s="5" t="str">
        <f t="shared" si="0"/>
        <v>description,dailCompDescRogue6,</v>
      </c>
      <c r="D8" s="5" t="str">
        <f t="shared" si="2"/>
        <v>itemText,dailCompTextRogue6,</v>
      </c>
      <c r="E8" s="5" t="str">
        <f t="shared" si="14"/>
        <v>augmentSkillLevel1,1,</v>
      </c>
      <c r="F8" s="5" t="str">
        <f t="shared" si="15"/>
        <v>augmentSkillName1,records/skillsstealth/toxindistillation.dbr,,</v>
      </c>
      <c r="G8" s="7">
        <f t="shared" si="10"/>
        <v>6</v>
      </c>
      <c r="H8" s="8" t="str">
        <f t="shared" si="11"/>
        <v>Rogue</v>
      </c>
      <c r="I8" s="3" t="s">
        <v>685</v>
      </c>
      <c r="J8" s="8" t="str">
        <f t="shared" si="12"/>
        <v>class0021</v>
      </c>
      <c r="K8" s="8" t="str">
        <f t="shared" si="12"/>
        <v>dailoneskill0021</v>
      </c>
      <c r="L8" s="5" t="str">
        <f t="shared" si="4"/>
        <v>lootName6,DAIL/items/materia/class0021/Rogue6.dbr,</v>
      </c>
      <c r="M8" s="5" t="str">
        <f t="shared" si="5"/>
        <v>lootWeight6,1,</v>
      </c>
      <c r="N8" t="str">
        <f t="shared" si="6"/>
        <v>1</v>
      </c>
      <c r="O8" t="str">
        <f t="shared" si="16"/>
        <v>copy .\dail_base.dbr .\items\materia\class0021\Rogue6.dbr /y</v>
      </c>
      <c r="P8" t="str">
        <f t="shared" si="7"/>
        <v>echo relicBitmap,items/craftingparts/components/component_a52_bristlyfur_b.tex, &gt;&gt; .\items\materia\class0021\Rogue6.dbr</v>
      </c>
      <c r="Q8" t="str">
        <f t="shared" si="1"/>
        <v>echo itemCost,100000, &gt;&gt; .\items\materia\class0021\Rogue6.dbr</v>
      </c>
      <c r="R8" t="str">
        <f t="shared" si="1"/>
        <v>echo description,dailCompDescRogue6, &gt;&gt; .\items\materia\class0021\Rogue6.dbr</v>
      </c>
      <c r="S8" t="str">
        <f t="shared" si="1"/>
        <v>echo itemText,dailCompTextRogue6, &gt;&gt; .\items\materia\class0021\Rogue6.dbr</v>
      </c>
      <c r="T8" t="str">
        <f t="shared" si="1"/>
        <v>echo augmentSkillLevel1,1, &gt;&gt; .\items\materia\class0021\Rogue6.dbr</v>
      </c>
      <c r="U8" t="str">
        <f t="shared" si="1"/>
        <v>echo augmentSkillName1,records/skillsstealth/toxindistillation.dbr,, &gt;&gt; .\items\materia\class0021\Rogue6.dbr</v>
      </c>
      <c r="V8" s="5" t="s">
        <v>36</v>
      </c>
      <c r="W8" t="str">
        <f t="shared" si="8"/>
        <v>echo lootName6,DAIL/items/materia/class0021/Rogue6.dbr, &gt;&gt; .\items\loottables\dailoneskill0021.dbr</v>
      </c>
      <c r="X8" t="str">
        <f t="shared" si="8"/>
        <v>echo lootWeight6,1, &gt;&gt; .\items\loottables\dailoneskill0021.dbr</v>
      </c>
      <c r="Y8" s="5" t="s">
        <v>36</v>
      </c>
      <c r="Z8" t="str">
        <f t="shared" si="9"/>
        <v xml:space="preserve"> dailCompDescRogue6=^pRogue's Gift of DAIL</v>
      </c>
      <c r="AA8" t="str">
        <f t="shared" si="17"/>
        <v>dailCompTextRogue6=^oThis feels warm to the touch, almost familiar ^w(This component fits into all Jewellery slots including the Belt And Shoulder)</v>
      </c>
      <c r="AB8" s="5" t="s">
        <v>36</v>
      </c>
      <c r="AH8">
        <f t="shared" ref="AH8:AH71" si="19">AH7+1</f>
        <v>3</v>
      </c>
      <c r="AI8">
        <f t="shared" si="13"/>
        <v>30</v>
      </c>
      <c r="AJ8">
        <f t="shared" si="18"/>
        <v>1</v>
      </c>
      <c r="AK8" s="1">
        <v>3</v>
      </c>
      <c r="AL8">
        <f>AL7*2</f>
        <v>40</v>
      </c>
    </row>
    <row r="9" spans="1:38" x14ac:dyDescent="0.25">
      <c r="A9" s="5" t="s">
        <v>39</v>
      </c>
      <c r="B9" s="5" t="s">
        <v>0</v>
      </c>
      <c r="C9" s="5" t="str">
        <f t="shared" si="0"/>
        <v>description,dailCompDescRogue7,</v>
      </c>
      <c r="D9" s="5" t="str">
        <f t="shared" si="2"/>
        <v>itemText,dailCompTextRogue7,</v>
      </c>
      <c r="E9" s="5" t="str">
        <f t="shared" si="14"/>
        <v>augmentSkillLevel1,1,</v>
      </c>
      <c r="F9" s="5" t="str">
        <f t="shared" si="15"/>
        <v>augmentSkillName1,records/skillsstealth/envenomweapon_delirium.dbr,,</v>
      </c>
      <c r="G9" s="7">
        <f t="shared" si="10"/>
        <v>7</v>
      </c>
      <c r="H9" s="8" t="str">
        <f t="shared" si="11"/>
        <v>Rogue</v>
      </c>
      <c r="I9" s="3" t="s">
        <v>686</v>
      </c>
      <c r="J9" s="8" t="str">
        <f t="shared" si="12"/>
        <v>class0021</v>
      </c>
      <c r="K9" s="8" t="str">
        <f t="shared" si="12"/>
        <v>dailoneskill0021</v>
      </c>
      <c r="L9" s="5" t="str">
        <f t="shared" si="4"/>
        <v>lootName7,DAIL/items/materia/class0021/Rogue7.dbr,</v>
      </c>
      <c r="M9" s="5" t="str">
        <f t="shared" si="5"/>
        <v>lootWeight7,1,</v>
      </c>
      <c r="N9" t="str">
        <f t="shared" si="6"/>
        <v>1</v>
      </c>
      <c r="O9" t="str">
        <f t="shared" si="16"/>
        <v>copy .\dail_base.dbr .\items\materia\class0021\Rogue7.dbr /y</v>
      </c>
      <c r="P9" t="str">
        <f t="shared" si="7"/>
        <v>echo relicBitmap,items/craftingparts/components/component_a52_bristlyfur_b.tex, &gt;&gt; .\items\materia\class0021\Rogue7.dbr</v>
      </c>
      <c r="Q9" t="str">
        <f t="shared" si="1"/>
        <v>echo itemCost,100000, &gt;&gt; .\items\materia\class0021\Rogue7.dbr</v>
      </c>
      <c r="R9" t="str">
        <f t="shared" si="1"/>
        <v>echo description,dailCompDescRogue7, &gt;&gt; .\items\materia\class0021\Rogue7.dbr</v>
      </c>
      <c r="S9" t="str">
        <f t="shared" si="1"/>
        <v>echo itemText,dailCompTextRogue7, &gt;&gt; .\items\materia\class0021\Rogue7.dbr</v>
      </c>
      <c r="T9" t="str">
        <f t="shared" si="1"/>
        <v>echo augmentSkillLevel1,1, &gt;&gt; .\items\materia\class0021\Rogue7.dbr</v>
      </c>
      <c r="U9" t="str">
        <f t="shared" si="1"/>
        <v>echo augmentSkillName1,records/skillsstealth/envenomweapon_delirium.dbr,, &gt;&gt; .\items\materia\class0021\Rogue7.dbr</v>
      </c>
      <c r="V9" s="5" t="s">
        <v>36</v>
      </c>
      <c r="W9" t="str">
        <f t="shared" si="8"/>
        <v>echo lootName7,DAIL/items/materia/class0021/Rogue7.dbr, &gt;&gt; .\items\loottables\dailoneskill0021.dbr</v>
      </c>
      <c r="X9" t="str">
        <f t="shared" si="8"/>
        <v>echo lootWeight7,1, &gt;&gt; .\items\loottables\dailoneskill0021.dbr</v>
      </c>
      <c r="Y9" s="5" t="s">
        <v>36</v>
      </c>
      <c r="Z9" t="str">
        <f t="shared" si="9"/>
        <v xml:space="preserve"> dailCompDescRogue7=^pRogue's Gift of DAIL</v>
      </c>
      <c r="AA9" t="str">
        <f t="shared" si="17"/>
        <v>dailCompTextRogue7=^oThis feels warm to the touch, almost familiar ^w(This component fits into all Jewellery slots including the Belt And Shoulder)</v>
      </c>
      <c r="AB9" s="5" t="s">
        <v>36</v>
      </c>
      <c r="AH9">
        <f t="shared" si="19"/>
        <v>4</v>
      </c>
      <c r="AI9">
        <f t="shared" si="13"/>
        <v>35</v>
      </c>
      <c r="AJ9">
        <f t="shared" si="18"/>
        <v>1</v>
      </c>
      <c r="AK9" s="1">
        <v>5</v>
      </c>
      <c r="AL9">
        <f>AL6</f>
        <v>60</v>
      </c>
    </row>
    <row r="10" spans="1:38" x14ac:dyDescent="0.25">
      <c r="A10" s="5" t="s">
        <v>39</v>
      </c>
      <c r="B10" s="5" t="s">
        <v>0</v>
      </c>
      <c r="C10" s="5" t="str">
        <f t="shared" si="0"/>
        <v>description,dailCompDescRogue8,</v>
      </c>
      <c r="D10" s="5" t="str">
        <f t="shared" si="2"/>
        <v>itemText,dailCompTextRogue8,</v>
      </c>
      <c r="E10" s="5" t="str">
        <f t="shared" si="14"/>
        <v>augmentSkillLevel1,1,</v>
      </c>
      <c r="F10" s="5" t="str">
        <f t="shared" si="15"/>
        <v>augmentSkillName1,records/skillsstealth/calculatedstrike.dbr,,</v>
      </c>
      <c r="G10" s="7">
        <f t="shared" si="10"/>
        <v>8</v>
      </c>
      <c r="H10" s="8" t="str">
        <f t="shared" si="11"/>
        <v>Rogue</v>
      </c>
      <c r="I10" s="3" t="s">
        <v>687</v>
      </c>
      <c r="J10" s="8" t="str">
        <f t="shared" si="12"/>
        <v>class0021</v>
      </c>
      <c r="K10" s="8" t="str">
        <f t="shared" si="12"/>
        <v>dailoneskill0021</v>
      </c>
      <c r="L10" s="5" t="str">
        <f t="shared" si="4"/>
        <v>lootName8,DAIL/items/materia/class0021/Rogue8.dbr,</v>
      </c>
      <c r="M10" s="5" t="str">
        <f t="shared" si="5"/>
        <v>lootWeight8,1,</v>
      </c>
      <c r="N10" t="str">
        <f t="shared" si="6"/>
        <v>1</v>
      </c>
      <c r="O10" t="str">
        <f t="shared" si="16"/>
        <v>copy .\dail_base.dbr .\items\materia\class0021\Rogue8.dbr /y</v>
      </c>
      <c r="P10" t="str">
        <f t="shared" si="7"/>
        <v>echo relicBitmap,items/craftingparts/components/component_a52_bristlyfur_b.tex, &gt;&gt; .\items\materia\class0021\Rogue8.dbr</v>
      </c>
      <c r="Q10" t="str">
        <f t="shared" si="1"/>
        <v>echo itemCost,100000, &gt;&gt; .\items\materia\class0021\Rogue8.dbr</v>
      </c>
      <c r="R10" t="str">
        <f t="shared" si="1"/>
        <v>echo description,dailCompDescRogue8, &gt;&gt; .\items\materia\class0021\Rogue8.dbr</v>
      </c>
      <c r="S10" t="str">
        <f t="shared" si="1"/>
        <v>echo itemText,dailCompTextRogue8, &gt;&gt; .\items\materia\class0021\Rogue8.dbr</v>
      </c>
      <c r="T10" t="str">
        <f t="shared" si="1"/>
        <v>echo augmentSkillLevel1,1, &gt;&gt; .\items\materia\class0021\Rogue8.dbr</v>
      </c>
      <c r="U10" t="str">
        <f t="shared" si="1"/>
        <v>echo augmentSkillName1,records/skillsstealth/calculatedstrike.dbr,, &gt;&gt; .\items\materia\class0021\Rogue8.dbr</v>
      </c>
      <c r="V10" s="5" t="s">
        <v>36</v>
      </c>
      <c r="W10" t="str">
        <f t="shared" si="8"/>
        <v>echo lootName8,DAIL/items/materia/class0021/Rogue8.dbr, &gt;&gt; .\items\loottables\dailoneskill0021.dbr</v>
      </c>
      <c r="X10" t="str">
        <f t="shared" si="8"/>
        <v>echo lootWeight8,1, &gt;&gt; .\items\loottables\dailoneskill0021.dbr</v>
      </c>
      <c r="Y10" s="5" t="s">
        <v>36</v>
      </c>
      <c r="Z10" t="str">
        <f t="shared" si="9"/>
        <v xml:space="preserve"> dailCompDescRogue8=^pRogue's Gift of DAIL</v>
      </c>
      <c r="AA10" t="str">
        <f t="shared" si="17"/>
        <v>dailCompTextRogue8=^oThis feels warm to the touch, almost familiar ^w(This component fits into all Jewellery slots including the Belt And Shoulder)</v>
      </c>
      <c r="AB10" s="5" t="s">
        <v>36</v>
      </c>
      <c r="AH10">
        <f t="shared" si="19"/>
        <v>5</v>
      </c>
      <c r="AI10">
        <f t="shared" si="13"/>
        <v>29</v>
      </c>
      <c r="AJ10">
        <f t="shared" si="18"/>
        <v>1</v>
      </c>
    </row>
    <row r="11" spans="1:38" x14ac:dyDescent="0.25">
      <c r="A11" s="5" t="s">
        <v>39</v>
      </c>
      <c r="B11" s="5" t="s">
        <v>0</v>
      </c>
      <c r="C11" s="5" t="str">
        <f t="shared" si="0"/>
        <v>description,dailCompDescRogue9,</v>
      </c>
      <c r="D11" s="5" t="str">
        <f t="shared" si="2"/>
        <v>itemText,dailCompTextRogue9,</v>
      </c>
      <c r="E11" s="5" t="str">
        <f t="shared" si="14"/>
        <v>augmentSkillLevel1,1,</v>
      </c>
      <c r="F11" s="5" t="str">
        <f t="shared" si="15"/>
        <v>augmentSkillName1,records/skillsstealth/calculatedstrike_luckyhit.dbr,,</v>
      </c>
      <c r="G11" s="7">
        <f t="shared" si="10"/>
        <v>9</v>
      </c>
      <c r="H11" s="8" t="str">
        <f t="shared" si="11"/>
        <v>Rogue</v>
      </c>
      <c r="I11" s="3" t="s">
        <v>688</v>
      </c>
      <c r="J11" s="8" t="str">
        <f t="shared" si="12"/>
        <v>class0021</v>
      </c>
      <c r="K11" s="8" t="str">
        <f t="shared" si="12"/>
        <v>dailoneskill0021</v>
      </c>
      <c r="L11" s="5" t="str">
        <f t="shared" si="4"/>
        <v>lootName9,DAIL/items/materia/class0021/Rogue9.dbr,</v>
      </c>
      <c r="M11" s="5" t="str">
        <f t="shared" si="5"/>
        <v>lootWeight9,1,</v>
      </c>
      <c r="N11" t="str">
        <f t="shared" si="6"/>
        <v>1</v>
      </c>
      <c r="O11" t="str">
        <f t="shared" si="16"/>
        <v>copy .\dail_base.dbr .\items\materia\class0021\Rogue9.dbr /y</v>
      </c>
      <c r="P11" t="str">
        <f t="shared" si="7"/>
        <v>echo relicBitmap,items/craftingparts/components/component_a52_bristlyfur_b.tex, &gt;&gt; .\items\materia\class0021\Rogue9.dbr</v>
      </c>
      <c r="Q11" t="str">
        <f t="shared" si="1"/>
        <v>echo itemCost,100000, &gt;&gt; .\items\materia\class0021\Rogue9.dbr</v>
      </c>
      <c r="R11" t="str">
        <f t="shared" si="1"/>
        <v>echo description,dailCompDescRogue9, &gt;&gt; .\items\materia\class0021\Rogue9.dbr</v>
      </c>
      <c r="S11" t="str">
        <f t="shared" si="1"/>
        <v>echo itemText,dailCompTextRogue9, &gt;&gt; .\items\materia\class0021\Rogue9.dbr</v>
      </c>
      <c r="T11" t="str">
        <f t="shared" si="1"/>
        <v>echo augmentSkillLevel1,1, &gt;&gt; .\items\materia\class0021\Rogue9.dbr</v>
      </c>
      <c r="U11" t="str">
        <f t="shared" si="1"/>
        <v>echo augmentSkillName1,records/skillsstealth/calculatedstrike_luckyhit.dbr,, &gt;&gt; .\items\materia\class0021\Rogue9.dbr</v>
      </c>
      <c r="V11" s="5" t="s">
        <v>36</v>
      </c>
      <c r="W11" t="str">
        <f t="shared" si="8"/>
        <v>echo lootName9,DAIL/items/materia/class0021/Rogue9.dbr, &gt;&gt; .\items\loottables\dailoneskill0021.dbr</v>
      </c>
      <c r="X11" t="str">
        <f t="shared" si="8"/>
        <v>echo lootWeight9,1, &gt;&gt; .\items\loottables\dailoneskill0021.dbr</v>
      </c>
      <c r="Y11" s="5" t="s">
        <v>36</v>
      </c>
      <c r="Z11" t="str">
        <f t="shared" si="9"/>
        <v xml:space="preserve"> dailCompDescRogue9=^pRogue's Gift of DAIL</v>
      </c>
      <c r="AA11" t="str">
        <f t="shared" si="17"/>
        <v>dailCompTextRogue9=^oThis feels warm to the touch, almost familiar ^w(This component fits into all Jewellery slots including the Belt And Shoulder)</v>
      </c>
      <c r="AB11" s="5" t="s">
        <v>36</v>
      </c>
      <c r="AH11">
        <f t="shared" si="19"/>
        <v>6</v>
      </c>
      <c r="AI11">
        <f t="shared" si="13"/>
        <v>38</v>
      </c>
      <c r="AJ11">
        <f t="shared" si="18"/>
        <v>1</v>
      </c>
    </row>
    <row r="12" spans="1:38" x14ac:dyDescent="0.25">
      <c r="A12" s="5" t="s">
        <v>39</v>
      </c>
      <c r="B12" s="5" t="s">
        <v>0</v>
      </c>
      <c r="C12" s="5" t="str">
        <f t="shared" si="0"/>
        <v>description,dailCompDescRogue10,</v>
      </c>
      <c r="D12" s="5" t="str">
        <f t="shared" si="2"/>
        <v>itemText,dailCompTextRogue10,</v>
      </c>
      <c r="E12" s="5" t="str">
        <f t="shared" si="14"/>
        <v>augmentSkillLevel1,1,</v>
      </c>
      <c r="F12" s="5" t="str">
        <f t="shared" si="15"/>
        <v>augmentSkillName1,records/skillsstealth/openwound.dbr,,</v>
      </c>
      <c r="G12" s="7">
        <f t="shared" si="10"/>
        <v>10</v>
      </c>
      <c r="H12" s="8" t="str">
        <f t="shared" si="11"/>
        <v>Rogue</v>
      </c>
      <c r="I12" s="3" t="s">
        <v>689</v>
      </c>
      <c r="J12" s="8" t="str">
        <f t="shared" si="12"/>
        <v>class0021</v>
      </c>
      <c r="K12" s="8" t="str">
        <f t="shared" si="12"/>
        <v>dailoneskill0021</v>
      </c>
      <c r="L12" s="5" t="str">
        <f t="shared" si="4"/>
        <v>lootName10,DAIL/items/materia/class0021/Rogue10.dbr,</v>
      </c>
      <c r="M12" s="5" t="str">
        <f t="shared" si="5"/>
        <v>lootWeight10,1,</v>
      </c>
      <c r="N12" t="str">
        <f t="shared" si="6"/>
        <v>1</v>
      </c>
      <c r="O12" t="str">
        <f t="shared" si="16"/>
        <v>copy .\dail_base.dbr .\items\materia\class0021\Rogue10.dbr /y</v>
      </c>
      <c r="P12" t="str">
        <f t="shared" si="7"/>
        <v>echo relicBitmap,items/craftingparts/components/component_a52_bristlyfur_b.tex, &gt;&gt; .\items\materia\class0021\Rogue10.dbr</v>
      </c>
      <c r="Q12" t="str">
        <f t="shared" si="1"/>
        <v>echo itemCost,100000, &gt;&gt; .\items\materia\class0021\Rogue10.dbr</v>
      </c>
      <c r="R12" t="str">
        <f t="shared" si="1"/>
        <v>echo description,dailCompDescRogue10, &gt;&gt; .\items\materia\class0021\Rogue10.dbr</v>
      </c>
      <c r="S12" t="str">
        <f t="shared" si="1"/>
        <v>echo itemText,dailCompTextRogue10, &gt;&gt; .\items\materia\class0021\Rogue10.dbr</v>
      </c>
      <c r="T12" t="str">
        <f t="shared" si="1"/>
        <v>echo augmentSkillLevel1,1, &gt;&gt; .\items\materia\class0021\Rogue10.dbr</v>
      </c>
      <c r="U12" t="str">
        <f t="shared" si="1"/>
        <v>echo augmentSkillName1,records/skillsstealth/openwound.dbr,, &gt;&gt; .\items\materia\class0021\Rogue10.dbr</v>
      </c>
      <c r="V12" s="5" t="s">
        <v>36</v>
      </c>
      <c r="W12" t="str">
        <f t="shared" si="8"/>
        <v>echo lootName10,DAIL/items/materia/class0021/Rogue10.dbr, &gt;&gt; .\items\loottables\dailoneskill0021.dbr</v>
      </c>
      <c r="X12" t="str">
        <f t="shared" si="8"/>
        <v>echo lootWeight10,1, &gt;&gt; .\items\loottables\dailoneskill0021.dbr</v>
      </c>
      <c r="Y12" s="5" t="s">
        <v>36</v>
      </c>
      <c r="Z12" t="str">
        <f t="shared" si="9"/>
        <v xml:space="preserve"> dailCompDescRogue10=^pRogue's Gift of DAIL</v>
      </c>
      <c r="AA12" t="str">
        <f t="shared" si="17"/>
        <v>dailCompTextRogue10=^oThis feels warm to the touch, almost familiar ^w(This component fits into all Jewellery slots including the Belt And Shoulder)</v>
      </c>
      <c r="AB12" s="5" t="s">
        <v>36</v>
      </c>
      <c r="AH12">
        <f t="shared" si="19"/>
        <v>7</v>
      </c>
      <c r="AI12">
        <f t="shared" si="13"/>
        <v>22</v>
      </c>
      <c r="AJ12">
        <f t="shared" si="18"/>
        <v>1</v>
      </c>
    </row>
    <row r="13" spans="1:38" x14ac:dyDescent="0.25">
      <c r="A13" s="5" t="s">
        <v>39</v>
      </c>
      <c r="B13" s="5" t="s">
        <v>0</v>
      </c>
      <c r="C13" s="5" t="str">
        <f t="shared" si="0"/>
        <v>description,dailCompDescRogue11,</v>
      </c>
      <c r="D13" s="5" t="str">
        <f t="shared" si="2"/>
        <v>itemText,dailCompTextRogue11,</v>
      </c>
      <c r="E13" s="5" t="str">
        <f t="shared" si="14"/>
        <v>augmentSkillLevel1,1,</v>
      </c>
      <c r="F13" s="5" t="str">
        <f t="shared" si="15"/>
        <v>augmentSkillName1,records/skillsstealth/anatomy.dbr,,</v>
      </c>
      <c r="G13" s="7">
        <f t="shared" si="10"/>
        <v>11</v>
      </c>
      <c r="H13" s="8" t="str">
        <f t="shared" si="11"/>
        <v>Rogue</v>
      </c>
      <c r="I13" s="3" t="s">
        <v>690</v>
      </c>
      <c r="J13" s="8" t="str">
        <f t="shared" si="12"/>
        <v>class0021</v>
      </c>
      <c r="K13" s="8" t="str">
        <f t="shared" si="12"/>
        <v>dailoneskill0021</v>
      </c>
      <c r="L13" s="5" t="str">
        <f t="shared" si="4"/>
        <v>lootName11,DAIL/items/materia/class0021/Rogue11.dbr,</v>
      </c>
      <c r="M13" s="5" t="str">
        <f t="shared" si="5"/>
        <v>lootWeight11,1,</v>
      </c>
      <c r="N13" t="str">
        <f t="shared" si="6"/>
        <v>1</v>
      </c>
      <c r="O13" t="str">
        <f t="shared" si="16"/>
        <v>copy .\dail_base.dbr .\items\materia\class0021\Rogue11.dbr /y</v>
      </c>
      <c r="P13" t="str">
        <f t="shared" si="7"/>
        <v>echo relicBitmap,items/craftingparts/components/component_a52_bristlyfur_b.tex, &gt;&gt; .\items\materia\class0021\Rogue11.dbr</v>
      </c>
      <c r="Q13" t="str">
        <f t="shared" si="1"/>
        <v>echo itemCost,100000, &gt;&gt; .\items\materia\class0021\Rogue11.dbr</v>
      </c>
      <c r="R13" t="str">
        <f t="shared" si="1"/>
        <v>echo description,dailCompDescRogue11, &gt;&gt; .\items\materia\class0021\Rogue11.dbr</v>
      </c>
      <c r="S13" t="str">
        <f t="shared" si="1"/>
        <v>echo itemText,dailCompTextRogue11, &gt;&gt; .\items\materia\class0021\Rogue11.dbr</v>
      </c>
      <c r="T13" t="str">
        <f t="shared" si="1"/>
        <v>echo augmentSkillLevel1,1, &gt;&gt; .\items\materia\class0021\Rogue11.dbr</v>
      </c>
      <c r="U13" t="str">
        <f t="shared" si="1"/>
        <v>echo augmentSkillName1,records/skillsstealth/anatomy.dbr,, &gt;&gt; .\items\materia\class0021\Rogue11.dbr</v>
      </c>
      <c r="V13" s="5" t="s">
        <v>36</v>
      </c>
      <c r="W13" t="str">
        <f t="shared" si="8"/>
        <v>echo lootName11,DAIL/items/materia/class0021/Rogue11.dbr, &gt;&gt; .\items\loottables\dailoneskill0021.dbr</v>
      </c>
      <c r="X13" t="str">
        <f t="shared" si="8"/>
        <v>echo lootWeight11,1, &gt;&gt; .\items\loottables\dailoneskill0021.dbr</v>
      </c>
      <c r="Y13" s="5" t="s">
        <v>36</v>
      </c>
      <c r="Z13" t="str">
        <f t="shared" si="9"/>
        <v xml:space="preserve"> dailCompDescRogue11=^pRogue's Gift of DAIL</v>
      </c>
      <c r="AA13" t="str">
        <f t="shared" si="17"/>
        <v>dailCompTextRogue11=^oThis feels warm to the touch, almost familiar ^w(This component fits into all Jewellery slots including the Belt And Shoulder)</v>
      </c>
      <c r="AB13" s="5" t="s">
        <v>36</v>
      </c>
      <c r="AH13">
        <f t="shared" si="19"/>
        <v>8</v>
      </c>
      <c r="AI13">
        <f t="shared" si="13"/>
        <v>20</v>
      </c>
      <c r="AJ13">
        <f t="shared" si="18"/>
        <v>1</v>
      </c>
    </row>
    <row r="14" spans="1:38" x14ac:dyDescent="0.25">
      <c r="A14" s="5" t="s">
        <v>39</v>
      </c>
      <c r="B14" s="5" t="s">
        <v>0</v>
      </c>
      <c r="C14" s="5" t="str">
        <f t="shared" si="0"/>
        <v>description,dailCompDescRogue12,</v>
      </c>
      <c r="D14" s="5" t="str">
        <f t="shared" si="2"/>
        <v>itemText,dailCompTextRogue12,</v>
      </c>
      <c r="E14" s="5" t="str">
        <f t="shared" si="14"/>
        <v>augmentSkillLevel1,1,</v>
      </c>
      <c r="F14" s="5" t="str">
        <f t="shared" si="15"/>
        <v>augmentSkillName1,records/skillsstealth/throwingknife.dbr,,</v>
      </c>
      <c r="G14" s="7">
        <f t="shared" si="10"/>
        <v>12</v>
      </c>
      <c r="H14" s="8" t="str">
        <f t="shared" si="11"/>
        <v>Rogue</v>
      </c>
      <c r="I14" s="3" t="s">
        <v>691</v>
      </c>
      <c r="J14" s="8" t="str">
        <f t="shared" si="12"/>
        <v>class0021</v>
      </c>
      <c r="K14" s="8" t="str">
        <f t="shared" si="12"/>
        <v>dailoneskill0021</v>
      </c>
      <c r="L14" s="5" t="str">
        <f t="shared" si="4"/>
        <v>lootName12,DAIL/items/materia/class0021/Rogue12.dbr,</v>
      </c>
      <c r="M14" s="5" t="str">
        <f t="shared" si="5"/>
        <v>lootWeight12,1,</v>
      </c>
      <c r="N14" t="str">
        <f t="shared" si="6"/>
        <v>1</v>
      </c>
      <c r="O14" t="str">
        <f t="shared" si="16"/>
        <v>copy .\dail_base.dbr .\items\materia\class0021\Rogue12.dbr /y</v>
      </c>
      <c r="P14" t="str">
        <f t="shared" si="7"/>
        <v>echo relicBitmap,items/craftingparts/components/component_a52_bristlyfur_b.tex, &gt;&gt; .\items\materia\class0021\Rogue12.dbr</v>
      </c>
      <c r="Q14" t="str">
        <f t="shared" si="1"/>
        <v>echo itemCost,100000, &gt;&gt; .\items\materia\class0021\Rogue12.dbr</v>
      </c>
      <c r="R14" t="str">
        <f t="shared" si="1"/>
        <v>echo description,dailCompDescRogue12, &gt;&gt; .\items\materia\class0021\Rogue12.dbr</v>
      </c>
      <c r="S14" t="str">
        <f t="shared" si="1"/>
        <v>echo itemText,dailCompTextRogue12, &gt;&gt; .\items\materia\class0021\Rogue12.dbr</v>
      </c>
      <c r="T14" t="str">
        <f t="shared" si="1"/>
        <v>echo augmentSkillLevel1,1, &gt;&gt; .\items\materia\class0021\Rogue12.dbr</v>
      </c>
      <c r="U14" t="str">
        <f t="shared" si="1"/>
        <v>echo augmentSkillName1,records/skillsstealth/throwingknife.dbr,, &gt;&gt; .\items\materia\class0021\Rogue12.dbr</v>
      </c>
      <c r="V14" s="5" t="s">
        <v>36</v>
      </c>
      <c r="W14" t="str">
        <f t="shared" si="8"/>
        <v>echo lootName12,DAIL/items/materia/class0021/Rogue12.dbr, &gt;&gt; .\items\loottables\dailoneskill0021.dbr</v>
      </c>
      <c r="X14" t="str">
        <f t="shared" si="8"/>
        <v>echo lootWeight12,1, &gt;&gt; .\items\loottables\dailoneskill0021.dbr</v>
      </c>
      <c r="Y14" s="5" t="s">
        <v>36</v>
      </c>
      <c r="Z14" t="str">
        <f t="shared" si="9"/>
        <v xml:space="preserve"> dailCompDescRogue12=^pRogue's Gift of DAIL</v>
      </c>
      <c r="AA14" t="str">
        <f t="shared" si="17"/>
        <v>dailCompTextRogue12=^oThis feels warm to the touch, almost familiar ^w(This component fits into all Jewellery slots including the Belt And Shoulder)</v>
      </c>
      <c r="AB14" s="5" t="s">
        <v>36</v>
      </c>
      <c r="AH14">
        <f t="shared" si="19"/>
        <v>9</v>
      </c>
      <c r="AI14">
        <f t="shared" si="13"/>
        <v>26</v>
      </c>
      <c r="AJ14">
        <f t="shared" si="18"/>
        <v>1</v>
      </c>
    </row>
    <row r="15" spans="1:38" x14ac:dyDescent="0.25">
      <c r="A15" s="5" t="s">
        <v>39</v>
      </c>
      <c r="B15" s="5" t="s">
        <v>0</v>
      </c>
      <c r="C15" s="5" t="str">
        <f t="shared" si="0"/>
        <v>description,dailCompDescRogue13,</v>
      </c>
      <c r="D15" s="5" t="str">
        <f t="shared" si="2"/>
        <v>itemText,dailCompTextRogue13,</v>
      </c>
      <c r="E15" s="5" t="str">
        <f t="shared" si="14"/>
        <v>augmentSkillLevel1,1,</v>
      </c>
      <c r="F15" s="5" t="str">
        <f t="shared" si="15"/>
        <v>augmentSkillName1,records/skillsstealth/throwingknife_flurryofknives.dbr,,</v>
      </c>
      <c r="G15" s="7">
        <f t="shared" si="10"/>
        <v>13</v>
      </c>
      <c r="H15" s="8" t="str">
        <f t="shared" si="11"/>
        <v>Rogue</v>
      </c>
      <c r="I15" s="3" t="s">
        <v>692</v>
      </c>
      <c r="J15" s="8" t="str">
        <f t="shared" si="12"/>
        <v>class0021</v>
      </c>
      <c r="K15" s="8" t="str">
        <f t="shared" si="12"/>
        <v>dailoneskill0021</v>
      </c>
      <c r="L15" s="5" t="str">
        <f t="shared" si="4"/>
        <v>lootName13,DAIL/items/materia/class0021/Rogue13.dbr,</v>
      </c>
      <c r="M15" s="5" t="str">
        <f t="shared" si="5"/>
        <v>lootWeight13,1,</v>
      </c>
      <c r="N15" t="str">
        <f t="shared" si="6"/>
        <v>1</v>
      </c>
      <c r="O15" t="str">
        <f t="shared" si="16"/>
        <v>copy .\dail_base.dbr .\items\materia\class0021\Rogue13.dbr /y</v>
      </c>
      <c r="P15" t="str">
        <f t="shared" si="7"/>
        <v>echo relicBitmap,items/craftingparts/components/component_a52_bristlyfur_b.tex, &gt;&gt; .\items\materia\class0021\Rogue13.dbr</v>
      </c>
      <c r="Q15" t="str">
        <f t="shared" si="1"/>
        <v>echo itemCost,100000, &gt;&gt; .\items\materia\class0021\Rogue13.dbr</v>
      </c>
      <c r="R15" t="str">
        <f t="shared" si="1"/>
        <v>echo description,dailCompDescRogue13, &gt;&gt; .\items\materia\class0021\Rogue13.dbr</v>
      </c>
      <c r="S15" t="str">
        <f t="shared" si="1"/>
        <v>echo itemText,dailCompTextRogue13, &gt;&gt; .\items\materia\class0021\Rogue13.dbr</v>
      </c>
      <c r="T15" t="str">
        <f t="shared" si="1"/>
        <v>echo augmentSkillLevel1,1, &gt;&gt; .\items\materia\class0021\Rogue13.dbr</v>
      </c>
      <c r="U15" t="str">
        <f t="shared" si="1"/>
        <v>echo augmentSkillName1,records/skillsstealth/throwingknife_flurryofknives.dbr,, &gt;&gt; .\items\materia\class0021\Rogue13.dbr</v>
      </c>
      <c r="V15" s="5" t="s">
        <v>36</v>
      </c>
      <c r="W15" t="str">
        <f t="shared" si="8"/>
        <v>echo lootName13,DAIL/items/materia/class0021/Rogue13.dbr, &gt;&gt; .\items\loottables\dailoneskill0021.dbr</v>
      </c>
      <c r="X15" t="str">
        <f t="shared" si="8"/>
        <v>echo lootWeight13,1, &gt;&gt; .\items\loottables\dailoneskill0021.dbr</v>
      </c>
      <c r="Y15" s="5" t="s">
        <v>36</v>
      </c>
      <c r="Z15" t="str">
        <f t="shared" si="9"/>
        <v xml:space="preserve"> dailCompDescRogue13=^pRogue's Gift of DAIL</v>
      </c>
      <c r="AA15" t="str">
        <f t="shared" si="17"/>
        <v>dailCompTextRogue13=^oThis feels warm to the touch, almost familiar ^w(This component fits into all Jewellery slots including the Belt And Shoulder)</v>
      </c>
      <c r="AB15" s="5" t="s">
        <v>36</v>
      </c>
      <c r="AH15">
        <f t="shared" si="19"/>
        <v>10</v>
      </c>
      <c r="AI15">
        <f t="shared" si="13"/>
        <v>41</v>
      </c>
      <c r="AJ15">
        <f t="shared" si="18"/>
        <v>1</v>
      </c>
    </row>
    <row r="16" spans="1:38" x14ac:dyDescent="0.25">
      <c r="A16" s="5" t="s">
        <v>39</v>
      </c>
      <c r="B16" s="5" t="s">
        <v>0</v>
      </c>
      <c r="C16" s="5" t="str">
        <f t="shared" si="0"/>
        <v>description,dailCompDescRogue14,</v>
      </c>
      <c r="D16" s="5" t="str">
        <f t="shared" si="2"/>
        <v>itemText,dailCompTextRogue14,</v>
      </c>
      <c r="E16" s="5" t="str">
        <f t="shared" si="14"/>
        <v>augmentSkillLevel1,1,</v>
      </c>
      <c r="F16" s="5" t="str">
        <f t="shared" si="15"/>
        <v>augmentSkillName1,records/skillsstealth/bladehoning.dbr,,</v>
      </c>
      <c r="G16" s="7">
        <f t="shared" si="10"/>
        <v>14</v>
      </c>
      <c r="H16" s="8" t="str">
        <f t="shared" si="11"/>
        <v>Rogue</v>
      </c>
      <c r="I16" s="3" t="s">
        <v>693</v>
      </c>
      <c r="J16" s="8" t="str">
        <f t="shared" si="12"/>
        <v>class0021</v>
      </c>
      <c r="K16" s="8" t="str">
        <f t="shared" si="12"/>
        <v>dailoneskill0021</v>
      </c>
      <c r="L16" s="5" t="str">
        <f t="shared" si="4"/>
        <v>lootName14,DAIL/items/materia/class0021/Rogue14.dbr,</v>
      </c>
      <c r="M16" s="5" t="str">
        <f t="shared" si="5"/>
        <v>lootWeight14,1,</v>
      </c>
      <c r="N16" t="str">
        <f t="shared" si="6"/>
        <v>1</v>
      </c>
      <c r="O16" t="str">
        <f t="shared" si="16"/>
        <v>copy .\dail_base.dbr .\items\materia\class0021\Rogue14.dbr /y</v>
      </c>
      <c r="P16" t="str">
        <f t="shared" si="7"/>
        <v>echo relicBitmap,items/craftingparts/components/component_a52_bristlyfur_b.tex, &gt;&gt; .\items\materia\class0021\Rogue14.dbr</v>
      </c>
      <c r="Q16" t="str">
        <f t="shared" si="1"/>
        <v>echo itemCost,100000, &gt;&gt; .\items\materia\class0021\Rogue14.dbr</v>
      </c>
      <c r="R16" t="str">
        <f t="shared" si="1"/>
        <v>echo description,dailCompDescRogue14, &gt;&gt; .\items\materia\class0021\Rogue14.dbr</v>
      </c>
      <c r="S16" t="str">
        <f t="shared" si="1"/>
        <v>echo itemText,dailCompTextRogue14, &gt;&gt; .\items\materia\class0021\Rogue14.dbr</v>
      </c>
      <c r="T16" t="str">
        <f t="shared" si="1"/>
        <v>echo augmentSkillLevel1,1, &gt;&gt; .\items\materia\class0021\Rogue14.dbr</v>
      </c>
      <c r="U16" t="str">
        <f t="shared" si="1"/>
        <v>echo augmentSkillName1,records/skillsstealth/bladehoning.dbr,, &gt;&gt; .\items\materia\class0021\Rogue14.dbr</v>
      </c>
      <c r="V16" s="5" t="s">
        <v>36</v>
      </c>
      <c r="W16" t="str">
        <f t="shared" si="8"/>
        <v>echo lootName14,DAIL/items/materia/class0021/Rogue14.dbr, &gt;&gt; .\items\loottables\dailoneskill0021.dbr</v>
      </c>
      <c r="X16" t="str">
        <f t="shared" si="8"/>
        <v>echo lootWeight14,1, &gt;&gt; .\items\loottables\dailoneskill0021.dbr</v>
      </c>
      <c r="Y16" s="5" t="s">
        <v>36</v>
      </c>
      <c r="Z16" t="str">
        <f t="shared" si="9"/>
        <v xml:space="preserve"> dailCompDescRogue14=^pRogue's Gift of DAIL</v>
      </c>
      <c r="AA16" t="str">
        <f t="shared" si="17"/>
        <v>dailCompTextRogue14=^oThis feels warm to the touch, almost familiar ^w(This component fits into all Jewellery slots including the Belt And Shoulder)</v>
      </c>
      <c r="AB16" s="5" t="s">
        <v>36</v>
      </c>
      <c r="AH16">
        <f t="shared" si="19"/>
        <v>11</v>
      </c>
      <c r="AI16">
        <f t="shared" si="13"/>
        <v>24</v>
      </c>
      <c r="AJ16">
        <f t="shared" si="18"/>
        <v>1</v>
      </c>
    </row>
    <row r="17" spans="1:36" x14ac:dyDescent="0.25">
      <c r="A17" s="5" t="s">
        <v>39</v>
      </c>
      <c r="B17" s="5" t="s">
        <v>0</v>
      </c>
      <c r="C17" s="5" t="str">
        <f t="shared" si="0"/>
        <v>description,dailCompDescRogue15,</v>
      </c>
      <c r="D17" s="5" t="str">
        <f t="shared" si="2"/>
        <v>itemText,dailCompTextRogue15,</v>
      </c>
      <c r="E17" s="5" t="str">
        <f t="shared" si="14"/>
        <v>augmentSkillLevel1,1,</v>
      </c>
      <c r="F17" s="5" t="str">
        <f t="shared" si="15"/>
        <v>augmentSkillName1,records/skillsstealth/lethalstrike.dbr,,</v>
      </c>
      <c r="G17" s="7">
        <f t="shared" si="10"/>
        <v>15</v>
      </c>
      <c r="H17" s="8" t="str">
        <f t="shared" si="11"/>
        <v>Rogue</v>
      </c>
      <c r="I17" s="3" t="s">
        <v>694</v>
      </c>
      <c r="J17" s="8" t="str">
        <f t="shared" si="12"/>
        <v>class0021</v>
      </c>
      <c r="K17" s="8" t="str">
        <f t="shared" si="12"/>
        <v>dailoneskill0021</v>
      </c>
      <c r="L17" s="5" t="str">
        <f t="shared" si="4"/>
        <v>lootName15,DAIL/items/materia/class0021/Rogue15.dbr,</v>
      </c>
      <c r="M17" s="5" t="str">
        <f t="shared" si="5"/>
        <v>lootWeight15,1,</v>
      </c>
      <c r="N17" t="str">
        <f t="shared" si="6"/>
        <v>1</v>
      </c>
      <c r="O17" t="str">
        <f t="shared" si="16"/>
        <v>copy .\dail_base.dbr .\items\materia\class0021\Rogue15.dbr /y</v>
      </c>
      <c r="P17" t="str">
        <f t="shared" si="7"/>
        <v>echo relicBitmap,items/craftingparts/components/component_a52_bristlyfur_b.tex, &gt;&gt; .\items\materia\class0021\Rogue15.dbr</v>
      </c>
      <c r="Q17" t="str">
        <f t="shared" si="1"/>
        <v>echo itemCost,100000, &gt;&gt; .\items\materia\class0021\Rogue15.dbr</v>
      </c>
      <c r="R17" t="str">
        <f t="shared" si="1"/>
        <v>echo description,dailCompDescRogue15, &gt;&gt; .\items\materia\class0021\Rogue15.dbr</v>
      </c>
      <c r="S17" t="str">
        <f t="shared" si="1"/>
        <v>echo itemText,dailCompTextRogue15, &gt;&gt; .\items\materia\class0021\Rogue15.dbr</v>
      </c>
      <c r="T17" t="str">
        <f t="shared" si="1"/>
        <v>echo augmentSkillLevel1,1, &gt;&gt; .\items\materia\class0021\Rogue15.dbr</v>
      </c>
      <c r="U17" t="str">
        <f t="shared" si="1"/>
        <v>echo augmentSkillName1,records/skillsstealth/lethalstrike.dbr,, &gt;&gt; .\items\materia\class0021\Rogue15.dbr</v>
      </c>
      <c r="V17" s="5" t="s">
        <v>36</v>
      </c>
      <c r="W17" t="str">
        <f t="shared" si="8"/>
        <v>echo lootName15,DAIL/items/materia/class0021/Rogue15.dbr, &gt;&gt; .\items\loottables\dailoneskill0021.dbr</v>
      </c>
      <c r="X17" t="str">
        <f t="shared" si="8"/>
        <v>echo lootWeight15,1, &gt;&gt; .\items\loottables\dailoneskill0021.dbr</v>
      </c>
      <c r="Y17" s="5" t="s">
        <v>36</v>
      </c>
      <c r="Z17" t="str">
        <f t="shared" si="9"/>
        <v xml:space="preserve"> dailCompDescRogue15=^pRogue's Gift of DAIL</v>
      </c>
      <c r="AA17" t="str">
        <f t="shared" si="17"/>
        <v>dailCompTextRogue15=^oThis feels warm to the touch, almost familiar ^w(This component fits into all Jewellery slots including the Belt And Shoulder)</v>
      </c>
      <c r="AB17" s="5" t="s">
        <v>36</v>
      </c>
      <c r="AH17">
        <f t="shared" si="19"/>
        <v>12</v>
      </c>
      <c r="AI17">
        <f t="shared" si="13"/>
        <v>25</v>
      </c>
      <c r="AJ17">
        <f t="shared" si="18"/>
        <v>1</v>
      </c>
    </row>
    <row r="18" spans="1:36" x14ac:dyDescent="0.25">
      <c r="A18" s="5" t="s">
        <v>39</v>
      </c>
      <c r="B18" s="5" t="s">
        <v>0</v>
      </c>
      <c r="C18" s="5" t="str">
        <f t="shared" si="0"/>
        <v>description,dailCompDescRogue16,</v>
      </c>
      <c r="D18" s="5" t="str">
        <f t="shared" si="2"/>
        <v>itemText,dailCompTextRogue16,</v>
      </c>
      <c r="E18" s="5" t="str">
        <f t="shared" si="14"/>
        <v>augmentSkillLevel1,1,</v>
      </c>
      <c r="F18" s="5" t="str">
        <f t="shared" si="15"/>
        <v>augmentSkillName1,records/skillsstealth/lethalstrike_mortalwound.dbr,,</v>
      </c>
      <c r="G18" s="7">
        <f t="shared" si="10"/>
        <v>16</v>
      </c>
      <c r="H18" s="8" t="str">
        <f t="shared" si="11"/>
        <v>Rogue</v>
      </c>
      <c r="I18" s="3" t="s">
        <v>695</v>
      </c>
      <c r="J18" s="8" t="str">
        <f t="shared" si="12"/>
        <v>class0021</v>
      </c>
      <c r="K18" s="8" t="str">
        <f t="shared" si="12"/>
        <v>dailoneskill0021</v>
      </c>
      <c r="L18" s="5" t="str">
        <f t="shared" si="4"/>
        <v>lootName16,DAIL/items/materia/class0021/Rogue16.dbr,</v>
      </c>
      <c r="M18" s="5" t="str">
        <f t="shared" si="5"/>
        <v>lootWeight16,1,</v>
      </c>
      <c r="N18" t="str">
        <f t="shared" si="6"/>
        <v>1</v>
      </c>
      <c r="O18" t="str">
        <f t="shared" si="16"/>
        <v>copy .\dail_base.dbr .\items\materia\class0021\Rogue16.dbr /y</v>
      </c>
      <c r="P18" t="str">
        <f t="shared" si="7"/>
        <v>echo relicBitmap,items/craftingparts/components/component_a52_bristlyfur_b.tex, &gt;&gt; .\items\materia\class0021\Rogue16.dbr</v>
      </c>
      <c r="Q18" t="str">
        <f t="shared" si="1"/>
        <v>echo itemCost,100000, &gt;&gt; .\items\materia\class0021\Rogue16.dbr</v>
      </c>
      <c r="R18" t="str">
        <f t="shared" si="1"/>
        <v>echo description,dailCompDescRogue16, &gt;&gt; .\items\materia\class0021\Rogue16.dbr</v>
      </c>
      <c r="S18" t="str">
        <f t="shared" si="1"/>
        <v>echo itemText,dailCompTextRogue16, &gt;&gt; .\items\materia\class0021\Rogue16.dbr</v>
      </c>
      <c r="T18" t="str">
        <f t="shared" si="1"/>
        <v>echo augmentSkillLevel1,1, &gt;&gt; .\items\materia\class0021\Rogue16.dbr</v>
      </c>
      <c r="U18" t="str">
        <f t="shared" si="1"/>
        <v>echo augmentSkillName1,records/skillsstealth/lethalstrike_mortalwound.dbr,, &gt;&gt; .\items\materia\class0021\Rogue16.dbr</v>
      </c>
      <c r="V18" s="5" t="s">
        <v>36</v>
      </c>
      <c r="W18" t="str">
        <f t="shared" si="8"/>
        <v>echo lootName16,DAIL/items/materia/class0021/Rogue16.dbr, &gt;&gt; .\items\loottables\dailoneskill0021.dbr</v>
      </c>
      <c r="X18" t="str">
        <f t="shared" si="8"/>
        <v>echo lootWeight16,1, &gt;&gt; .\items\loottables\dailoneskill0021.dbr</v>
      </c>
      <c r="Y18" s="5" t="s">
        <v>36</v>
      </c>
      <c r="Z18" t="str">
        <f t="shared" si="9"/>
        <v xml:space="preserve"> dailCompDescRogue16=^pRogue's Gift of DAIL</v>
      </c>
      <c r="AA18" t="str">
        <f t="shared" si="17"/>
        <v>dailCompTextRogue16=^oThis feels warm to the touch, almost familiar ^w(This component fits into all Jewellery slots including the Belt And Shoulder)</v>
      </c>
      <c r="AB18" s="5" t="s">
        <v>36</v>
      </c>
      <c r="AH18">
        <f t="shared" si="19"/>
        <v>13</v>
      </c>
      <c r="AI18">
        <f t="shared" si="13"/>
        <v>37</v>
      </c>
      <c r="AJ18">
        <f t="shared" si="18"/>
        <v>1</v>
      </c>
    </row>
    <row r="19" spans="1:36" x14ac:dyDescent="0.25">
      <c r="A19" s="5" t="s">
        <v>39</v>
      </c>
      <c r="B19" s="5" t="s">
        <v>28</v>
      </c>
      <c r="C19" s="5" t="str">
        <f t="shared" si="0"/>
        <v>description,dailCompDescRogue17,</v>
      </c>
      <c r="D19" s="5" t="str">
        <f t="shared" si="2"/>
        <v>itemText,dailCompTextRogue17,</v>
      </c>
      <c r="E19" s="5" t="str">
        <f t="shared" si="14"/>
        <v>augmentSkillLevel1,1,</v>
      </c>
      <c r="F19" s="5" t="str">
        <f t="shared" si="15"/>
        <v>augmentSkillName1,records/skillsstealth/poisongasbomb.dbr,,</v>
      </c>
      <c r="G19" s="7">
        <f t="shared" si="10"/>
        <v>17</v>
      </c>
      <c r="H19" s="8" t="str">
        <f t="shared" si="11"/>
        <v>Rogue</v>
      </c>
      <c r="I19" s="3" t="s">
        <v>696</v>
      </c>
      <c r="J19" s="8" t="str">
        <f t="shared" si="12"/>
        <v>class0021</v>
      </c>
      <c r="K19" s="8" t="str">
        <f t="shared" si="12"/>
        <v>dailoneskill0021</v>
      </c>
      <c r="L19" s="5" t="str">
        <f t="shared" si="4"/>
        <v>lootName17,DAIL/items/materia/class0021/Rogue17.dbr,</v>
      </c>
      <c r="M19" s="5" t="str">
        <f t="shared" si="5"/>
        <v>lootWeight17,1,</v>
      </c>
      <c r="N19" t="str">
        <f t="shared" si="6"/>
        <v>1</v>
      </c>
      <c r="O19" t="str">
        <f t="shared" si="16"/>
        <v>copy .\dail_base.dbr .\items\materia\class0021\Rogue17.dbr /y</v>
      </c>
      <c r="P19" t="str">
        <f t="shared" si="7"/>
        <v>echo relicBitmap,items/craftingparts/components/component_a52_bristlyfur_b.tex, &gt;&gt; .\items\materia\class0021\Rogue17.dbr</v>
      </c>
      <c r="Q19" t="str">
        <f t="shared" si="7"/>
        <v>echo itemCost,300000, &gt;&gt; .\items\materia\class0021\Rogue17.dbr</v>
      </c>
      <c r="R19" t="str">
        <f t="shared" si="7"/>
        <v>echo description,dailCompDescRogue17, &gt;&gt; .\items\materia\class0021\Rogue17.dbr</v>
      </c>
      <c r="S19" t="str">
        <f t="shared" si="7"/>
        <v>echo itemText,dailCompTextRogue17, &gt;&gt; .\items\materia\class0021\Rogue17.dbr</v>
      </c>
      <c r="T19" t="str">
        <f t="shared" si="7"/>
        <v>echo augmentSkillLevel1,1, &gt;&gt; .\items\materia\class0021\Rogue17.dbr</v>
      </c>
      <c r="U19" t="str">
        <f t="shared" si="7"/>
        <v>echo augmentSkillName1,records/skillsstealth/poisongasbomb.dbr,, &gt;&gt; .\items\materia\class0021\Rogue17.dbr</v>
      </c>
      <c r="V19" s="5" t="s">
        <v>36</v>
      </c>
      <c r="W19" t="str">
        <f t="shared" si="8"/>
        <v>echo lootName17,DAIL/items/materia/class0021/Rogue17.dbr, &gt;&gt; .\items\loottables\dailoneskill0021.dbr</v>
      </c>
      <c r="X19" t="str">
        <f t="shared" si="8"/>
        <v>echo lootWeight17,1, &gt;&gt; .\items\loottables\dailoneskill0021.dbr</v>
      </c>
      <c r="Y19" s="5" t="s">
        <v>36</v>
      </c>
      <c r="Z19" t="str">
        <f t="shared" si="9"/>
        <v xml:space="preserve"> dailCompDescRogue17=^pRogue's Gift of DAIL</v>
      </c>
      <c r="AA19" t="str">
        <f t="shared" si="17"/>
        <v>dailCompTextRogue17=^oThis feels warm to the touch, almost familiar ^w(This component fits into all Jewellery slots including the Belt And Shoulder)</v>
      </c>
      <c r="AB19" s="5" t="s">
        <v>36</v>
      </c>
      <c r="AH19">
        <f t="shared" si="19"/>
        <v>14</v>
      </c>
      <c r="AI19">
        <f t="shared" si="13"/>
        <v>26</v>
      </c>
      <c r="AJ19">
        <f t="shared" si="18"/>
        <v>1</v>
      </c>
    </row>
    <row r="20" spans="1:36" x14ac:dyDescent="0.25">
      <c r="A20" s="5" t="s">
        <v>39</v>
      </c>
      <c r="B20" s="5" t="s">
        <v>28</v>
      </c>
      <c r="C20" s="5" t="str">
        <f t="shared" si="0"/>
        <v>description,dailCompDescRogue18,</v>
      </c>
      <c r="D20" s="5" t="str">
        <f t="shared" si="2"/>
        <v>itemText,dailCompTextRogue18,</v>
      </c>
      <c r="E20" s="5" t="str">
        <f t="shared" si="14"/>
        <v>augmentSkillLevel1,1,</v>
      </c>
      <c r="F20" s="5" t="str">
        <f t="shared" si="15"/>
        <v>augmentSkillName1,records/skillsstealth/poisongasbomb_shrapnel.dbr,,</v>
      </c>
      <c r="G20" s="7">
        <f t="shared" si="10"/>
        <v>18</v>
      </c>
      <c r="H20" s="8" t="str">
        <f t="shared" si="11"/>
        <v>Rogue</v>
      </c>
      <c r="I20" s="3" t="s">
        <v>697</v>
      </c>
      <c r="J20" s="8" t="str">
        <f t="shared" si="12"/>
        <v>class0021</v>
      </c>
      <c r="K20" s="8" t="str">
        <f t="shared" si="12"/>
        <v>dailoneskill0021</v>
      </c>
      <c r="L20" s="5" t="str">
        <f t="shared" si="4"/>
        <v>lootName18,DAIL/items/materia/class0021/Rogue18.dbr,</v>
      </c>
      <c r="M20" s="5" t="str">
        <f t="shared" si="5"/>
        <v>lootWeight18,1,</v>
      </c>
      <c r="N20" t="str">
        <f t="shared" si="6"/>
        <v>1</v>
      </c>
      <c r="O20" t="str">
        <f t="shared" si="16"/>
        <v>copy .\dail_base.dbr .\items\materia\class0021\Rogue18.dbr /y</v>
      </c>
      <c r="P20" t="str">
        <f t="shared" si="7"/>
        <v>echo relicBitmap,items/craftingparts/components/component_a52_bristlyfur_b.tex, &gt;&gt; .\items\materia\class0021\Rogue18.dbr</v>
      </c>
      <c r="Q20" t="str">
        <f t="shared" si="7"/>
        <v>echo itemCost,300000, &gt;&gt; .\items\materia\class0021\Rogue18.dbr</v>
      </c>
      <c r="R20" t="str">
        <f t="shared" si="7"/>
        <v>echo description,dailCompDescRogue18, &gt;&gt; .\items\materia\class0021\Rogue18.dbr</v>
      </c>
      <c r="S20" t="str">
        <f t="shared" si="7"/>
        <v>echo itemText,dailCompTextRogue18, &gt;&gt; .\items\materia\class0021\Rogue18.dbr</v>
      </c>
      <c r="T20" t="str">
        <f t="shared" si="7"/>
        <v>echo augmentSkillLevel1,1, &gt;&gt; .\items\materia\class0021\Rogue18.dbr</v>
      </c>
      <c r="U20" t="str">
        <f t="shared" si="7"/>
        <v>echo augmentSkillName1,records/skillsstealth/poisongasbomb_shrapnel.dbr,, &gt;&gt; .\items\materia\class0021\Rogue18.dbr</v>
      </c>
      <c r="V20" s="5" t="s">
        <v>36</v>
      </c>
      <c r="W20" t="str">
        <f t="shared" si="8"/>
        <v>echo lootName18,DAIL/items/materia/class0021/Rogue18.dbr, &gt;&gt; .\items\loottables\dailoneskill0021.dbr</v>
      </c>
      <c r="X20" t="str">
        <f t="shared" si="8"/>
        <v>echo lootWeight18,1, &gt;&gt; .\items\loottables\dailoneskill0021.dbr</v>
      </c>
      <c r="Y20" s="5" t="s">
        <v>36</v>
      </c>
      <c r="Z20" t="str">
        <f t="shared" si="9"/>
        <v xml:space="preserve"> dailCompDescRogue18=^pRogue's Gift of DAIL</v>
      </c>
      <c r="AA20" t="str">
        <f t="shared" si="17"/>
        <v>dailCompTextRogue18=^oThis feels warm to the touch, almost familiar ^w(This component fits into all Jewellery slots including the Belt And Shoulder)</v>
      </c>
      <c r="AB20" s="5" t="s">
        <v>36</v>
      </c>
      <c r="AH20">
        <f t="shared" si="19"/>
        <v>15</v>
      </c>
      <c r="AI20">
        <f t="shared" si="13"/>
        <v>35</v>
      </c>
      <c r="AJ20">
        <f t="shared" si="18"/>
        <v>1</v>
      </c>
    </row>
    <row r="21" spans="1:36" x14ac:dyDescent="0.25">
      <c r="A21" s="5" t="s">
        <v>39</v>
      </c>
      <c r="B21" s="5" t="s">
        <v>28</v>
      </c>
      <c r="C21" s="5" t="str">
        <f t="shared" si="0"/>
        <v>description,dailCompDescRogue19,</v>
      </c>
      <c r="D21" s="5" t="str">
        <f t="shared" si="2"/>
        <v>itemText,dailCompTextRogue19,</v>
      </c>
      <c r="E21" s="5" t="str">
        <f t="shared" si="14"/>
        <v>augmentSkillLevel1,1,</v>
      </c>
      <c r="F21" s="5" t="str">
        <f t="shared" si="15"/>
        <v>augmentSkillName1,records/skillsstealth/disarmtraps.dbr,,</v>
      </c>
      <c r="G21" s="7">
        <f t="shared" si="10"/>
        <v>19</v>
      </c>
      <c r="H21" s="8" t="str">
        <f t="shared" si="11"/>
        <v>Rogue</v>
      </c>
      <c r="I21" s="3" t="s">
        <v>698</v>
      </c>
      <c r="J21" s="8" t="str">
        <f t="shared" ref="J21:K36" si="20">J20</f>
        <v>class0021</v>
      </c>
      <c r="K21" s="8" t="str">
        <f t="shared" si="20"/>
        <v>dailoneskill0021</v>
      </c>
      <c r="L21" s="5" t="str">
        <f t="shared" si="4"/>
        <v>lootName19,DAIL/items/materia/class0021/Rogue19.dbr,</v>
      </c>
      <c r="M21" s="5" t="str">
        <f t="shared" si="5"/>
        <v>lootWeight19,1,</v>
      </c>
      <c r="N21" t="str">
        <f t="shared" si="6"/>
        <v>1</v>
      </c>
      <c r="O21" t="str">
        <f t="shared" si="16"/>
        <v>copy .\dail_base.dbr .\items\materia\class0021\Rogue19.dbr /y</v>
      </c>
      <c r="P21" t="str">
        <f t="shared" si="7"/>
        <v>echo relicBitmap,items/craftingparts/components/component_a52_bristlyfur_b.tex, &gt;&gt; .\items\materia\class0021\Rogue19.dbr</v>
      </c>
      <c r="Q21" t="str">
        <f t="shared" si="7"/>
        <v>echo itemCost,300000, &gt;&gt; .\items\materia\class0021\Rogue19.dbr</v>
      </c>
      <c r="R21" t="str">
        <f t="shared" si="7"/>
        <v>echo description,dailCompDescRogue19, &gt;&gt; .\items\materia\class0021\Rogue19.dbr</v>
      </c>
      <c r="S21" t="str">
        <f t="shared" si="7"/>
        <v>echo itemText,dailCompTextRogue19, &gt;&gt; .\items\materia\class0021\Rogue19.dbr</v>
      </c>
      <c r="T21" t="str">
        <f t="shared" si="7"/>
        <v>echo augmentSkillLevel1,1, &gt;&gt; .\items\materia\class0021\Rogue19.dbr</v>
      </c>
      <c r="U21" t="str">
        <f t="shared" si="7"/>
        <v>echo augmentSkillName1,records/skillsstealth/disarmtraps.dbr,, &gt;&gt; .\items\materia\class0021\Rogue19.dbr</v>
      </c>
      <c r="V21" s="5" t="s">
        <v>36</v>
      </c>
      <c r="W21" t="str">
        <f t="shared" si="8"/>
        <v>echo lootName19,DAIL/items/materia/class0021/Rogue19.dbr, &gt;&gt; .\items\loottables\dailoneskill0021.dbr</v>
      </c>
      <c r="X21" t="str">
        <f t="shared" si="8"/>
        <v>echo lootWeight19,1, &gt;&gt; .\items\loottables\dailoneskill0021.dbr</v>
      </c>
      <c r="Y21" s="5" t="s">
        <v>36</v>
      </c>
      <c r="Z21" t="str">
        <f t="shared" si="9"/>
        <v xml:space="preserve"> dailCompDescRogue19=^pRogue's Gift of DAIL</v>
      </c>
      <c r="AA21" t="str">
        <f t="shared" si="17"/>
        <v>dailCompTextRogue19=^oThis feels warm to the touch, almost familiar ^w(This component fits into all Jewellery slots including the Belt And Shoulder)</v>
      </c>
      <c r="AB21" s="5" t="s">
        <v>36</v>
      </c>
      <c r="AH21">
        <f t="shared" si="19"/>
        <v>16</v>
      </c>
      <c r="AI21">
        <f t="shared" si="13"/>
        <v>24</v>
      </c>
      <c r="AJ21">
        <f t="shared" si="18"/>
        <v>1</v>
      </c>
    </row>
    <row r="22" spans="1:36" x14ac:dyDescent="0.25">
      <c r="A22" s="5" t="s">
        <v>39</v>
      </c>
      <c r="B22" s="5" t="s">
        <v>28</v>
      </c>
      <c r="C22" s="5" t="str">
        <f t="shared" si="0"/>
        <v>description,dailCompDescRogue20,</v>
      </c>
      <c r="D22" s="5" t="str">
        <f t="shared" si="2"/>
        <v>itemText,dailCompTextRogue20,</v>
      </c>
      <c r="E22" s="5" t="str">
        <f t="shared" si="14"/>
        <v>augmentSkillLevel1,1,</v>
      </c>
      <c r="F22" s="5" t="str">
        <f t="shared" si="15"/>
        <v>augmentSkillName1,records/skillsstealth/flashpowder.dbr,,</v>
      </c>
      <c r="G22" s="7">
        <f t="shared" si="10"/>
        <v>20</v>
      </c>
      <c r="H22" s="8" t="str">
        <f t="shared" si="11"/>
        <v>Rogue</v>
      </c>
      <c r="I22" s="3" t="s">
        <v>699</v>
      </c>
      <c r="J22" s="8" t="str">
        <f t="shared" si="20"/>
        <v>class0021</v>
      </c>
      <c r="K22" s="8" t="str">
        <f t="shared" si="20"/>
        <v>dailoneskill0021</v>
      </c>
      <c r="L22" s="5" t="str">
        <f t="shared" si="4"/>
        <v>lootName20,DAIL/items/materia/class0021/Rogue20.dbr,</v>
      </c>
      <c r="M22" s="5" t="str">
        <f t="shared" si="5"/>
        <v>lootWeight20,1,</v>
      </c>
      <c r="N22" t="str">
        <f t="shared" si="6"/>
        <v>1</v>
      </c>
      <c r="O22" t="str">
        <f t="shared" si="16"/>
        <v>copy .\dail_base.dbr .\items\materia\class0021\Rogue20.dbr /y</v>
      </c>
      <c r="P22" t="str">
        <f t="shared" si="7"/>
        <v>echo relicBitmap,items/craftingparts/components/component_a52_bristlyfur_b.tex, &gt;&gt; .\items\materia\class0021\Rogue20.dbr</v>
      </c>
      <c r="Q22" t="str">
        <f t="shared" si="7"/>
        <v>echo itemCost,300000, &gt;&gt; .\items\materia\class0021\Rogue20.dbr</v>
      </c>
      <c r="R22" t="str">
        <f t="shared" si="7"/>
        <v>echo description,dailCompDescRogue20, &gt;&gt; .\items\materia\class0021\Rogue20.dbr</v>
      </c>
      <c r="S22" t="str">
        <f t="shared" si="7"/>
        <v>echo itemText,dailCompTextRogue20, &gt;&gt; .\items\materia\class0021\Rogue20.dbr</v>
      </c>
      <c r="T22" t="str">
        <f t="shared" si="7"/>
        <v>echo augmentSkillLevel1,1, &gt;&gt; .\items\materia\class0021\Rogue20.dbr</v>
      </c>
      <c r="U22" t="str">
        <f t="shared" si="7"/>
        <v>echo augmentSkillName1,records/skillsstealth/flashpowder.dbr,, &gt;&gt; .\items\materia\class0021\Rogue20.dbr</v>
      </c>
      <c r="V22" s="5" t="s">
        <v>36</v>
      </c>
      <c r="W22" t="str">
        <f t="shared" si="8"/>
        <v>echo lootName20,DAIL/items/materia/class0021/Rogue20.dbr, &gt;&gt; .\items\loottables\dailoneskill0021.dbr</v>
      </c>
      <c r="X22" t="str">
        <f t="shared" si="8"/>
        <v>echo lootWeight20,1, &gt;&gt; .\items\loottables\dailoneskill0021.dbr</v>
      </c>
      <c r="Y22" s="5" t="s">
        <v>36</v>
      </c>
      <c r="Z22" t="str">
        <f t="shared" si="9"/>
        <v xml:space="preserve"> dailCompDescRogue20=^pRogue's Gift of DAIL</v>
      </c>
      <c r="AA22" t="str">
        <f t="shared" si="17"/>
        <v>dailCompTextRogue20=^oThis feels warm to the touch, almost familiar ^w(This component fits into all Jewellery slots including the Belt And Shoulder)</v>
      </c>
      <c r="AB22" s="5" t="s">
        <v>36</v>
      </c>
      <c r="AH22">
        <f t="shared" si="19"/>
        <v>17</v>
      </c>
      <c r="AI22">
        <f t="shared" si="13"/>
        <v>24</v>
      </c>
      <c r="AJ22">
        <f t="shared" si="18"/>
        <v>1</v>
      </c>
    </row>
    <row r="23" spans="1:36" x14ac:dyDescent="0.25">
      <c r="A23" s="5" t="s">
        <v>39</v>
      </c>
      <c r="B23" s="5" t="s">
        <v>28</v>
      </c>
      <c r="C23" s="5" t="str">
        <f t="shared" si="0"/>
        <v>description,dailCompDescRogue21,</v>
      </c>
      <c r="D23" s="5" t="str">
        <f t="shared" si="2"/>
        <v>itemText,dailCompTextRogue21,</v>
      </c>
      <c r="E23" s="5" t="str">
        <f t="shared" si="14"/>
        <v>augmentSkillLevel1,1,</v>
      </c>
      <c r="F23" s="5" t="str">
        <f t="shared" si="15"/>
        <v>augmentSkillName1,records/skillsstealth/laytrap.dbr,,</v>
      </c>
      <c r="G23" s="7">
        <f t="shared" si="10"/>
        <v>21</v>
      </c>
      <c r="H23" s="8" t="str">
        <f t="shared" si="11"/>
        <v>Rogue</v>
      </c>
      <c r="I23" s="3" t="s">
        <v>700</v>
      </c>
      <c r="J23" s="8" t="str">
        <f t="shared" si="20"/>
        <v>class0021</v>
      </c>
      <c r="K23" s="8" t="str">
        <f t="shared" si="20"/>
        <v>dailoneskill0021</v>
      </c>
      <c r="L23" s="5" t="str">
        <f t="shared" si="4"/>
        <v>lootName21,DAIL/items/materia/class0021/Rogue21.dbr,</v>
      </c>
      <c r="M23" s="5" t="str">
        <f t="shared" si="5"/>
        <v>lootWeight21,1,</v>
      </c>
      <c r="N23" t="str">
        <f t="shared" si="6"/>
        <v>1</v>
      </c>
      <c r="O23" t="str">
        <f t="shared" si="16"/>
        <v>copy .\dail_base.dbr .\items\materia\class0021\Rogue21.dbr /y</v>
      </c>
      <c r="P23" t="str">
        <f t="shared" si="7"/>
        <v>echo relicBitmap,items/craftingparts/components/component_a52_bristlyfur_b.tex, &gt;&gt; .\items\materia\class0021\Rogue21.dbr</v>
      </c>
      <c r="Q23" t="str">
        <f t="shared" si="7"/>
        <v>echo itemCost,300000, &gt;&gt; .\items\materia\class0021\Rogue21.dbr</v>
      </c>
      <c r="R23" t="str">
        <f t="shared" si="7"/>
        <v>echo description,dailCompDescRogue21, &gt;&gt; .\items\materia\class0021\Rogue21.dbr</v>
      </c>
      <c r="S23" t="str">
        <f t="shared" si="7"/>
        <v>echo itemText,dailCompTextRogue21, &gt;&gt; .\items\materia\class0021\Rogue21.dbr</v>
      </c>
      <c r="T23" t="str">
        <f t="shared" si="7"/>
        <v>echo augmentSkillLevel1,1, &gt;&gt; .\items\materia\class0021\Rogue21.dbr</v>
      </c>
      <c r="U23" t="str">
        <f t="shared" si="7"/>
        <v>echo augmentSkillName1,records/skillsstealth/laytrap.dbr,, &gt;&gt; .\items\materia\class0021\Rogue21.dbr</v>
      </c>
      <c r="V23" s="5" t="s">
        <v>36</v>
      </c>
      <c r="W23" t="str">
        <f t="shared" si="8"/>
        <v>echo lootName21,DAIL/items/materia/class0021/Rogue21.dbr, &gt;&gt; .\items\loottables\dailoneskill0021.dbr</v>
      </c>
      <c r="X23" t="str">
        <f t="shared" si="8"/>
        <v>echo lootWeight21,1, &gt;&gt; .\items\loottables\dailoneskill0021.dbr</v>
      </c>
      <c r="Y23" s="5" t="s">
        <v>36</v>
      </c>
      <c r="Z23" t="str">
        <f t="shared" si="9"/>
        <v xml:space="preserve"> dailCompDescRogue21=^pRogue's Gift of DAIL</v>
      </c>
      <c r="AA23" t="str">
        <f t="shared" si="17"/>
        <v>dailCompTextRogue21=^oThis feels warm to the touch, almost familiar ^w(This component fits into all Jewellery slots including the Belt And Shoulder)</v>
      </c>
      <c r="AB23" s="5" t="s">
        <v>36</v>
      </c>
      <c r="AH23">
        <f t="shared" si="19"/>
        <v>18</v>
      </c>
      <c r="AI23">
        <f t="shared" si="13"/>
        <v>20</v>
      </c>
      <c r="AJ23">
        <f t="shared" si="18"/>
        <v>1</v>
      </c>
    </row>
    <row r="24" spans="1:36" x14ac:dyDescent="0.25">
      <c r="A24" s="5" t="s">
        <v>39</v>
      </c>
      <c r="B24" s="5" t="s">
        <v>28</v>
      </c>
      <c r="C24" s="5" t="str">
        <f t="shared" si="0"/>
        <v>description,dailCompDescRogue22,</v>
      </c>
      <c r="D24" s="5" t="str">
        <f t="shared" si="2"/>
        <v>itemText,dailCompTextRogue22,</v>
      </c>
      <c r="E24" s="5" t="str">
        <f t="shared" si="14"/>
        <v>augmentSkillLevel1,1,</v>
      </c>
      <c r="F24" s="5" t="str">
        <f t="shared" si="15"/>
        <v>augmentSkillName1,records/skillsstealth/laytrap_rapidconstruction.dbr,,</v>
      </c>
      <c r="G24" s="7">
        <f t="shared" si="10"/>
        <v>22</v>
      </c>
      <c r="H24" s="8" t="str">
        <f t="shared" si="11"/>
        <v>Rogue</v>
      </c>
      <c r="I24" s="3" t="s">
        <v>701</v>
      </c>
      <c r="J24" s="8" t="str">
        <f t="shared" si="20"/>
        <v>class0021</v>
      </c>
      <c r="K24" s="8" t="str">
        <f t="shared" si="20"/>
        <v>dailoneskill0021</v>
      </c>
      <c r="L24" s="5" t="str">
        <f t="shared" si="4"/>
        <v>lootName22,DAIL/items/materia/class0021/Rogue22.dbr,</v>
      </c>
      <c r="M24" s="5" t="str">
        <f t="shared" si="5"/>
        <v>lootWeight22,1,</v>
      </c>
      <c r="N24" t="str">
        <f t="shared" si="6"/>
        <v>1</v>
      </c>
      <c r="O24" t="str">
        <f t="shared" si="16"/>
        <v>copy .\dail_base.dbr .\items\materia\class0021\Rogue22.dbr /y</v>
      </c>
      <c r="P24" t="str">
        <f t="shared" si="7"/>
        <v>echo relicBitmap,items/craftingparts/components/component_a52_bristlyfur_b.tex, &gt;&gt; .\items\materia\class0021\Rogue22.dbr</v>
      </c>
      <c r="Q24" t="str">
        <f t="shared" si="7"/>
        <v>echo itemCost,300000, &gt;&gt; .\items\materia\class0021\Rogue22.dbr</v>
      </c>
      <c r="R24" t="str">
        <f t="shared" si="7"/>
        <v>echo description,dailCompDescRogue22, &gt;&gt; .\items\materia\class0021\Rogue22.dbr</v>
      </c>
      <c r="S24" t="str">
        <f t="shared" si="7"/>
        <v>echo itemText,dailCompTextRogue22, &gt;&gt; .\items\materia\class0021\Rogue22.dbr</v>
      </c>
      <c r="T24" t="str">
        <f t="shared" si="7"/>
        <v>echo augmentSkillLevel1,1, &gt;&gt; .\items\materia\class0021\Rogue22.dbr</v>
      </c>
      <c r="U24" t="str">
        <f t="shared" si="7"/>
        <v>echo augmentSkillName1,records/skillsstealth/laytrap_rapidconstruction.dbr,, &gt;&gt; .\items\materia\class0021\Rogue22.dbr</v>
      </c>
      <c r="V24" s="5" t="s">
        <v>36</v>
      </c>
      <c r="W24" t="str">
        <f t="shared" si="8"/>
        <v>echo lootName22,DAIL/items/materia/class0021/Rogue22.dbr, &gt;&gt; .\items\loottables\dailoneskill0021.dbr</v>
      </c>
      <c r="X24" t="str">
        <f t="shared" si="8"/>
        <v>echo lootWeight22,1, &gt;&gt; .\items\loottables\dailoneskill0021.dbr</v>
      </c>
      <c r="Y24" s="5" t="s">
        <v>36</v>
      </c>
      <c r="Z24" t="str">
        <f t="shared" si="9"/>
        <v xml:space="preserve"> dailCompDescRogue22=^pRogue's Gift of DAIL</v>
      </c>
      <c r="AA24" t="str">
        <f t="shared" si="17"/>
        <v>dailCompTextRogue22=^oThis feels warm to the touch, almost familiar ^w(This component fits into all Jewellery slots including the Belt And Shoulder)</v>
      </c>
      <c r="AB24" s="5" t="s">
        <v>36</v>
      </c>
      <c r="AH24">
        <f t="shared" si="19"/>
        <v>19</v>
      </c>
      <c r="AI24">
        <f t="shared" si="13"/>
        <v>38</v>
      </c>
      <c r="AJ24">
        <f t="shared" si="18"/>
        <v>1</v>
      </c>
    </row>
    <row r="25" spans="1:36" x14ac:dyDescent="0.25">
      <c r="A25" s="5" t="s">
        <v>39</v>
      </c>
      <c r="B25" s="5" t="s">
        <v>28</v>
      </c>
      <c r="C25" s="5" t="str">
        <f t="shared" si="0"/>
        <v>description,dailCompDescRogue23,</v>
      </c>
      <c r="D25" s="5" t="str">
        <f t="shared" si="2"/>
        <v>itemText,dailCompTextRogue23,</v>
      </c>
      <c r="E25" s="5" t="str">
        <f t="shared" si="14"/>
        <v>augmentSkillLevel1,3,</v>
      </c>
      <c r="F25" s="5" t="str">
        <f t="shared" si="15"/>
        <v>augmentSkillName1,records/skillsstealth/laytrap_petmodifier_multishotbolttrap.dbr,,</v>
      </c>
      <c r="G25" s="7">
        <f t="shared" si="10"/>
        <v>23</v>
      </c>
      <c r="H25" s="8" t="str">
        <f t="shared" si="11"/>
        <v>Rogue</v>
      </c>
      <c r="I25" s="3" t="s">
        <v>702</v>
      </c>
      <c r="J25" s="8" t="str">
        <f t="shared" si="20"/>
        <v>class0021</v>
      </c>
      <c r="K25" s="8" t="str">
        <f t="shared" si="20"/>
        <v>dailoneskill0021</v>
      </c>
      <c r="L25" s="5" t="str">
        <f t="shared" si="4"/>
        <v>lootName23,DAIL/items/materia/class0021/Rogue23.dbr,</v>
      </c>
      <c r="M25" s="5" t="str">
        <f t="shared" si="5"/>
        <v>lootWeight23,1,</v>
      </c>
      <c r="N25" t="str">
        <f t="shared" si="6"/>
        <v>3</v>
      </c>
      <c r="O25" t="str">
        <f t="shared" si="16"/>
        <v>copy .\dail_base3.dbr .\items\materia\class0021\Rogue23.dbr /y</v>
      </c>
      <c r="P25" t="str">
        <f t="shared" si="7"/>
        <v>echo relicBitmap,items/craftingparts/components/component_a52_bristlyfur_b.tex, &gt;&gt; .\items\materia\class0021\Rogue23.dbr</v>
      </c>
      <c r="Q25" t="str">
        <f t="shared" si="7"/>
        <v>echo itemCost,300000, &gt;&gt; .\items\materia\class0021\Rogue23.dbr</v>
      </c>
      <c r="R25" t="str">
        <f t="shared" si="7"/>
        <v>echo description,dailCompDescRogue23, &gt;&gt; .\items\materia\class0021\Rogue23.dbr</v>
      </c>
      <c r="S25" t="str">
        <f t="shared" si="7"/>
        <v>echo itemText,dailCompTextRogue23, &gt;&gt; .\items\materia\class0021\Rogue23.dbr</v>
      </c>
      <c r="T25" t="str">
        <f t="shared" si="7"/>
        <v>echo augmentSkillLevel1,3, &gt;&gt; .\items\materia\class0021\Rogue23.dbr</v>
      </c>
      <c r="U25" t="str">
        <f t="shared" si="7"/>
        <v>echo augmentSkillName1,records/skillsstealth/laytrap_petmodifier_multishotbolttrap.dbr,, &gt;&gt; .\items\materia\class0021\Rogue23.dbr</v>
      </c>
      <c r="V25" s="5" t="s">
        <v>36</v>
      </c>
      <c r="W25" t="str">
        <f t="shared" si="8"/>
        <v>echo lootName23,DAIL/items/materia/class0021/Rogue23.dbr, &gt;&gt; .\items\loottables\dailoneskill0021.dbr</v>
      </c>
      <c r="X25" t="str">
        <f t="shared" si="8"/>
        <v>echo lootWeight23,1, &gt;&gt; .\items\loottables\dailoneskill0021.dbr</v>
      </c>
      <c r="Y25" s="5" t="s">
        <v>36</v>
      </c>
      <c r="Z25" t="str">
        <f t="shared" si="9"/>
        <v xml:space="preserve"> dailCompDescRogue23=^pRogue's Gift of DAIL</v>
      </c>
      <c r="AA25" t="str">
        <f t="shared" si="17"/>
        <v>dailCompTextRogue23=^oThis feels warm to the touch, almost familiar ^w(This component only fits into the Medal Slot)</v>
      </c>
      <c r="AB25" s="5" t="s">
        <v>36</v>
      </c>
      <c r="AH25">
        <f t="shared" si="19"/>
        <v>20</v>
      </c>
      <c r="AI25">
        <f t="shared" si="13"/>
        <v>50</v>
      </c>
      <c r="AJ25">
        <f t="shared" si="18"/>
        <v>3</v>
      </c>
    </row>
    <row r="26" spans="1:36" x14ac:dyDescent="0.25">
      <c r="A26" s="5" t="s">
        <v>39</v>
      </c>
      <c r="B26" s="5" t="s">
        <v>28</v>
      </c>
      <c r="C26" s="5" t="str">
        <f t="shared" si="0"/>
        <v>description,dailCompDescRogue24,</v>
      </c>
      <c r="D26" s="5" t="str">
        <f t="shared" si="2"/>
        <v>itemText,dailCompTextRogue24,</v>
      </c>
      <c r="E26" s="5" t="str">
        <f t="shared" si="14"/>
        <v>augmentSkillLevel1,3,</v>
      </c>
      <c r="F26" s="5" t="str">
        <f t="shared" si="15"/>
        <v>augmentSkillName1,records/skillsstealth/envenomweapon.dbr,,</v>
      </c>
      <c r="G26" s="7">
        <f t="shared" si="10"/>
        <v>24</v>
      </c>
      <c r="H26" s="8" t="str">
        <f t="shared" si="11"/>
        <v>Rogue</v>
      </c>
      <c r="I26" s="3" t="s">
        <v>683</v>
      </c>
      <c r="J26" s="8" t="str">
        <f t="shared" si="20"/>
        <v>class0021</v>
      </c>
      <c r="K26" s="8" t="str">
        <f t="shared" si="20"/>
        <v>dailoneskill0021</v>
      </c>
      <c r="L26" s="5" t="str">
        <f t="shared" si="4"/>
        <v>lootName24,DAIL/items/materia/class0021/Rogue24.dbr,</v>
      </c>
      <c r="M26" s="5" t="str">
        <f t="shared" si="5"/>
        <v>lootWeight24,1,</v>
      </c>
      <c r="N26" t="str">
        <f t="shared" si="6"/>
        <v>3</v>
      </c>
      <c r="O26" t="str">
        <f t="shared" si="16"/>
        <v>copy .\dail_base3.dbr .\items\materia\class0021\Rogue24.dbr /y</v>
      </c>
      <c r="P26" t="str">
        <f t="shared" si="7"/>
        <v>echo relicBitmap,items/craftingparts/components/component_a52_bristlyfur_b.tex, &gt;&gt; .\items\materia\class0021\Rogue24.dbr</v>
      </c>
      <c r="Q26" t="str">
        <f t="shared" si="7"/>
        <v>echo itemCost,300000, &gt;&gt; .\items\materia\class0021\Rogue24.dbr</v>
      </c>
      <c r="R26" t="str">
        <f t="shared" si="7"/>
        <v>echo description,dailCompDescRogue24, &gt;&gt; .\items\materia\class0021\Rogue24.dbr</v>
      </c>
      <c r="S26" t="str">
        <f t="shared" si="7"/>
        <v>echo itemText,dailCompTextRogue24, &gt;&gt; .\items\materia\class0021\Rogue24.dbr</v>
      </c>
      <c r="T26" t="str">
        <f t="shared" si="7"/>
        <v>echo augmentSkillLevel1,3, &gt;&gt; .\items\materia\class0021\Rogue24.dbr</v>
      </c>
      <c r="U26" t="str">
        <f t="shared" si="7"/>
        <v>echo augmentSkillName1,records/skillsstealth/envenomweapon.dbr,, &gt;&gt; .\items\materia\class0021\Rogue24.dbr</v>
      </c>
      <c r="V26" s="5" t="s">
        <v>36</v>
      </c>
      <c r="W26" t="str">
        <f t="shared" si="8"/>
        <v>echo lootName24,DAIL/items/materia/class0021/Rogue24.dbr, &gt;&gt; .\items\loottables\dailoneskill0021.dbr</v>
      </c>
      <c r="X26" t="str">
        <f t="shared" si="8"/>
        <v>echo lootWeight24,1, &gt;&gt; .\items\loottables\dailoneskill0021.dbr</v>
      </c>
      <c r="Y26" s="5" t="s">
        <v>36</v>
      </c>
      <c r="Z26" t="str">
        <f t="shared" si="9"/>
        <v xml:space="preserve"> dailCompDescRogue24=^pRogue's Gift of DAIL</v>
      </c>
      <c r="AA26" t="str">
        <f t="shared" si="17"/>
        <v>dailCompTextRogue24=^oThis feels warm to the touch, almost familiar ^w(This component only fits into the Medal Slot)</v>
      </c>
      <c r="AB26" s="5" t="s">
        <v>36</v>
      </c>
      <c r="AH26">
        <f t="shared" si="19"/>
        <v>21</v>
      </c>
      <c r="AI26">
        <f t="shared" si="13"/>
        <v>26</v>
      </c>
      <c r="AJ26">
        <f t="shared" si="18"/>
        <v>3</v>
      </c>
    </row>
    <row r="27" spans="1:36" x14ac:dyDescent="0.25">
      <c r="A27" s="5" t="s">
        <v>39</v>
      </c>
      <c r="B27" s="5" t="s">
        <v>28</v>
      </c>
      <c r="C27" s="5" t="str">
        <f t="shared" si="0"/>
        <v>description,dailCompDescRogue25,</v>
      </c>
      <c r="D27" s="5" t="str">
        <f t="shared" si="2"/>
        <v>itemText,dailCompTextRogue25,</v>
      </c>
      <c r="E27" s="5" t="str">
        <f t="shared" si="14"/>
        <v>augmentSkillLevel1,3,</v>
      </c>
      <c r="F27" s="5" t="str">
        <f t="shared" si="15"/>
        <v>augmentSkillName1,records/skillsstealth/envenomweapon_neurotoxin.dbr,,</v>
      </c>
      <c r="G27" s="7">
        <f t="shared" si="10"/>
        <v>25</v>
      </c>
      <c r="H27" s="8" t="str">
        <f t="shared" si="11"/>
        <v>Rogue</v>
      </c>
      <c r="I27" s="3" t="s">
        <v>684</v>
      </c>
      <c r="J27" s="8" t="str">
        <f t="shared" si="20"/>
        <v>class0021</v>
      </c>
      <c r="K27" s="8" t="str">
        <f t="shared" si="20"/>
        <v>dailoneskill0021</v>
      </c>
      <c r="L27" s="5" t="str">
        <f t="shared" si="4"/>
        <v>lootName25,DAIL/items/materia/class0021/Rogue25.dbr,</v>
      </c>
      <c r="M27" s="5" t="str">
        <f t="shared" si="5"/>
        <v>lootWeight25,1,</v>
      </c>
      <c r="N27" t="str">
        <f t="shared" si="6"/>
        <v>3</v>
      </c>
      <c r="O27" t="str">
        <f t="shared" si="16"/>
        <v>copy .\dail_base3.dbr .\items\materia\class0021\Rogue25.dbr /y</v>
      </c>
      <c r="P27" t="str">
        <f t="shared" si="7"/>
        <v>echo relicBitmap,items/craftingparts/components/component_a52_bristlyfur_b.tex, &gt;&gt; .\items\materia\class0021\Rogue25.dbr</v>
      </c>
      <c r="Q27" t="str">
        <f t="shared" si="7"/>
        <v>echo itemCost,300000, &gt;&gt; .\items\materia\class0021\Rogue25.dbr</v>
      </c>
      <c r="R27" t="str">
        <f t="shared" si="7"/>
        <v>echo description,dailCompDescRogue25, &gt;&gt; .\items\materia\class0021\Rogue25.dbr</v>
      </c>
      <c r="S27" t="str">
        <f t="shared" si="7"/>
        <v>echo itemText,dailCompTextRogue25, &gt;&gt; .\items\materia\class0021\Rogue25.dbr</v>
      </c>
      <c r="T27" t="str">
        <f t="shared" si="7"/>
        <v>echo augmentSkillLevel1,3, &gt;&gt; .\items\materia\class0021\Rogue25.dbr</v>
      </c>
      <c r="U27" t="str">
        <f t="shared" si="7"/>
        <v>echo augmentSkillName1,records/skillsstealth/envenomweapon_neurotoxin.dbr,, &gt;&gt; .\items\materia\class0021\Rogue25.dbr</v>
      </c>
      <c r="V27" s="5" t="s">
        <v>36</v>
      </c>
      <c r="W27" t="str">
        <f t="shared" si="8"/>
        <v>echo lootName25,DAIL/items/materia/class0021/Rogue25.dbr, &gt;&gt; .\items\loottables\dailoneskill0021.dbr</v>
      </c>
      <c r="X27" t="str">
        <f t="shared" si="8"/>
        <v>echo lootWeight25,1, &gt;&gt; .\items\loottables\dailoneskill0021.dbr</v>
      </c>
      <c r="Y27" s="5" t="s">
        <v>36</v>
      </c>
      <c r="Z27" t="str">
        <f t="shared" si="9"/>
        <v xml:space="preserve"> dailCompDescRogue25=^pRogue's Gift of DAIL</v>
      </c>
      <c r="AA27" t="str">
        <f t="shared" si="17"/>
        <v>dailCompTextRogue25=^oThis feels warm to the touch, almost familiar ^w(This component only fits into the Medal Slot)</v>
      </c>
      <c r="AB27" s="5" t="s">
        <v>36</v>
      </c>
      <c r="AH27">
        <f t="shared" si="19"/>
        <v>22</v>
      </c>
      <c r="AI27">
        <f t="shared" si="13"/>
        <v>37</v>
      </c>
      <c r="AJ27">
        <f t="shared" si="18"/>
        <v>3</v>
      </c>
    </row>
    <row r="28" spans="1:36" x14ac:dyDescent="0.25">
      <c r="A28" s="5" t="s">
        <v>39</v>
      </c>
      <c r="B28" s="5" t="s">
        <v>28</v>
      </c>
      <c r="C28" s="5" t="str">
        <f t="shared" si="0"/>
        <v>description,dailCompDescRogue26,</v>
      </c>
      <c r="D28" s="5" t="str">
        <f t="shared" si="2"/>
        <v>itemText,dailCompTextRogue26,</v>
      </c>
      <c r="E28" s="5" t="str">
        <f t="shared" si="14"/>
        <v>augmentSkillLevel1,3,</v>
      </c>
      <c r="F28" s="5" t="str">
        <f t="shared" si="15"/>
        <v>augmentSkillName1,records/skillsstealth/toxindistillation.dbr,,</v>
      </c>
      <c r="G28" s="7">
        <f t="shared" si="10"/>
        <v>26</v>
      </c>
      <c r="H28" s="8" t="str">
        <f t="shared" si="11"/>
        <v>Rogue</v>
      </c>
      <c r="I28" s="3" t="s">
        <v>685</v>
      </c>
      <c r="J28" s="8" t="str">
        <f t="shared" si="20"/>
        <v>class0021</v>
      </c>
      <c r="K28" s="8" t="str">
        <f t="shared" si="20"/>
        <v>dailoneskill0021</v>
      </c>
      <c r="L28" s="5" t="str">
        <f t="shared" si="4"/>
        <v>lootName26,DAIL/items/materia/class0021/Rogue26.dbr,</v>
      </c>
      <c r="M28" s="5" t="str">
        <f t="shared" si="5"/>
        <v>lootWeight26,1,</v>
      </c>
      <c r="N28" t="str">
        <f t="shared" si="6"/>
        <v>3</v>
      </c>
      <c r="O28" t="str">
        <f t="shared" si="16"/>
        <v>copy .\dail_base3.dbr .\items\materia\class0021\Rogue26.dbr /y</v>
      </c>
      <c r="P28" t="str">
        <f t="shared" si="7"/>
        <v>echo relicBitmap,items/craftingparts/components/component_a52_bristlyfur_b.tex, &gt;&gt; .\items\materia\class0021\Rogue26.dbr</v>
      </c>
      <c r="Q28" t="str">
        <f t="shared" si="7"/>
        <v>echo itemCost,300000, &gt;&gt; .\items\materia\class0021\Rogue26.dbr</v>
      </c>
      <c r="R28" t="str">
        <f t="shared" si="7"/>
        <v>echo description,dailCompDescRogue26, &gt;&gt; .\items\materia\class0021\Rogue26.dbr</v>
      </c>
      <c r="S28" t="str">
        <f t="shared" si="7"/>
        <v>echo itemText,dailCompTextRogue26, &gt;&gt; .\items\materia\class0021\Rogue26.dbr</v>
      </c>
      <c r="T28" t="str">
        <f t="shared" si="7"/>
        <v>echo augmentSkillLevel1,3, &gt;&gt; .\items\materia\class0021\Rogue26.dbr</v>
      </c>
      <c r="U28" t="str">
        <f t="shared" si="7"/>
        <v>echo augmentSkillName1,records/skillsstealth/toxindistillation.dbr,, &gt;&gt; .\items\materia\class0021\Rogue26.dbr</v>
      </c>
      <c r="V28" s="5" t="s">
        <v>36</v>
      </c>
      <c r="W28" t="str">
        <f t="shared" si="8"/>
        <v>echo lootName26,DAIL/items/materia/class0021/Rogue26.dbr, &gt;&gt; .\items\loottables\dailoneskill0021.dbr</v>
      </c>
      <c r="X28" t="str">
        <f t="shared" si="8"/>
        <v>echo lootWeight26,1, &gt;&gt; .\items\loottables\dailoneskill0021.dbr</v>
      </c>
      <c r="Y28" s="5" t="s">
        <v>36</v>
      </c>
      <c r="Z28" t="str">
        <f t="shared" si="9"/>
        <v xml:space="preserve"> dailCompDescRogue26=^pRogue's Gift of DAIL</v>
      </c>
      <c r="AA28" t="str">
        <f t="shared" si="17"/>
        <v>dailCompTextRogue26=^oThis feels warm to the touch, almost familiar ^w(This component only fits into the Medal Slot)</v>
      </c>
      <c r="AB28" s="5" t="s">
        <v>36</v>
      </c>
      <c r="AH28">
        <f t="shared" si="19"/>
        <v>23</v>
      </c>
      <c r="AI28">
        <f t="shared" si="13"/>
        <v>30</v>
      </c>
      <c r="AJ28">
        <f t="shared" si="18"/>
        <v>3</v>
      </c>
    </row>
    <row r="29" spans="1:36" x14ac:dyDescent="0.25">
      <c r="A29" s="5" t="s">
        <v>39</v>
      </c>
      <c r="B29" s="5" t="s">
        <v>28</v>
      </c>
      <c r="C29" s="5" t="str">
        <f t="shared" si="0"/>
        <v>description,dailCompDescRogue27,</v>
      </c>
      <c r="D29" s="5" t="str">
        <f t="shared" si="2"/>
        <v>itemText,dailCompTextRogue27,</v>
      </c>
      <c r="E29" s="5" t="str">
        <f t="shared" si="14"/>
        <v>augmentSkillLevel1,3,</v>
      </c>
      <c r="F29" s="5" t="str">
        <f t="shared" si="15"/>
        <v>augmentSkillName1,records/skillsstealth/envenomweapon_delirium.dbr,,</v>
      </c>
      <c r="G29" s="7">
        <f t="shared" si="10"/>
        <v>27</v>
      </c>
      <c r="H29" s="8" t="str">
        <f t="shared" si="11"/>
        <v>Rogue</v>
      </c>
      <c r="I29" s="3" t="s">
        <v>686</v>
      </c>
      <c r="J29" s="8" t="str">
        <f t="shared" si="20"/>
        <v>class0021</v>
      </c>
      <c r="K29" s="8" t="str">
        <f t="shared" si="20"/>
        <v>dailoneskill0021</v>
      </c>
      <c r="L29" s="5" t="str">
        <f t="shared" si="4"/>
        <v>lootName27,DAIL/items/materia/class0021/Rogue27.dbr,</v>
      </c>
      <c r="M29" s="5" t="str">
        <f t="shared" si="5"/>
        <v>lootWeight27,1,</v>
      </c>
      <c r="N29" t="str">
        <f t="shared" si="6"/>
        <v>3</v>
      </c>
      <c r="O29" t="str">
        <f t="shared" si="16"/>
        <v>copy .\dail_base3.dbr .\items\materia\class0021\Rogue27.dbr /y</v>
      </c>
      <c r="P29" t="str">
        <f t="shared" si="7"/>
        <v>echo relicBitmap,items/craftingparts/components/component_a52_bristlyfur_b.tex, &gt;&gt; .\items\materia\class0021\Rogue27.dbr</v>
      </c>
      <c r="Q29" t="str">
        <f t="shared" si="7"/>
        <v>echo itemCost,300000, &gt;&gt; .\items\materia\class0021\Rogue27.dbr</v>
      </c>
      <c r="R29" t="str">
        <f t="shared" si="7"/>
        <v>echo description,dailCompDescRogue27, &gt;&gt; .\items\materia\class0021\Rogue27.dbr</v>
      </c>
      <c r="S29" t="str">
        <f t="shared" si="7"/>
        <v>echo itemText,dailCompTextRogue27, &gt;&gt; .\items\materia\class0021\Rogue27.dbr</v>
      </c>
      <c r="T29" t="str">
        <f t="shared" si="7"/>
        <v>echo augmentSkillLevel1,3, &gt;&gt; .\items\materia\class0021\Rogue27.dbr</v>
      </c>
      <c r="U29" t="str">
        <f t="shared" si="7"/>
        <v>echo augmentSkillName1,records/skillsstealth/envenomweapon_delirium.dbr,, &gt;&gt; .\items\materia\class0021\Rogue27.dbr</v>
      </c>
      <c r="V29" s="5" t="s">
        <v>36</v>
      </c>
      <c r="W29" t="str">
        <f t="shared" si="8"/>
        <v>echo lootName27,DAIL/items/materia/class0021/Rogue27.dbr, &gt;&gt; .\items\loottables\dailoneskill0021.dbr</v>
      </c>
      <c r="X29" t="str">
        <f t="shared" si="8"/>
        <v>echo lootWeight27,1, &gt;&gt; .\items\loottables\dailoneskill0021.dbr</v>
      </c>
      <c r="Y29" s="5" t="s">
        <v>36</v>
      </c>
      <c r="Z29" t="str">
        <f t="shared" si="9"/>
        <v xml:space="preserve"> dailCompDescRogue27=^pRogue's Gift of DAIL</v>
      </c>
      <c r="AA29" t="str">
        <f t="shared" si="17"/>
        <v>dailCompTextRogue27=^oThis feels warm to the touch, almost familiar ^w(This component only fits into the Medal Slot)</v>
      </c>
      <c r="AB29" s="5" t="s">
        <v>36</v>
      </c>
      <c r="AH29">
        <f t="shared" si="19"/>
        <v>24</v>
      </c>
      <c r="AI29">
        <f t="shared" si="13"/>
        <v>35</v>
      </c>
      <c r="AJ29">
        <f t="shared" si="18"/>
        <v>3</v>
      </c>
    </row>
    <row r="30" spans="1:36" x14ac:dyDescent="0.25">
      <c r="A30" s="5" t="s">
        <v>39</v>
      </c>
      <c r="B30" s="5" t="s">
        <v>28</v>
      </c>
      <c r="C30" s="5" t="str">
        <f t="shared" si="0"/>
        <v>description,dailCompDescRogue28,</v>
      </c>
      <c r="D30" s="5" t="str">
        <f t="shared" si="2"/>
        <v>itemText,dailCompTextRogue28,</v>
      </c>
      <c r="E30" s="5" t="str">
        <f t="shared" si="14"/>
        <v>augmentSkillLevel1,3,</v>
      </c>
      <c r="F30" s="5" t="str">
        <f t="shared" si="15"/>
        <v>augmentSkillName1,records/skillsstealth/calculatedstrike.dbr,,</v>
      </c>
      <c r="G30" s="7">
        <f t="shared" si="10"/>
        <v>28</v>
      </c>
      <c r="H30" s="8" t="str">
        <f t="shared" si="11"/>
        <v>Rogue</v>
      </c>
      <c r="I30" s="3" t="s">
        <v>687</v>
      </c>
      <c r="J30" s="8" t="str">
        <f t="shared" si="20"/>
        <v>class0021</v>
      </c>
      <c r="K30" s="8" t="str">
        <f t="shared" si="20"/>
        <v>dailoneskill0021</v>
      </c>
      <c r="L30" s="5" t="str">
        <f t="shared" si="4"/>
        <v>lootName28,DAIL/items/materia/class0021/Rogue28.dbr,</v>
      </c>
      <c r="M30" s="5" t="str">
        <f t="shared" si="5"/>
        <v>lootWeight28,1,</v>
      </c>
      <c r="N30" t="str">
        <f t="shared" si="6"/>
        <v>3</v>
      </c>
      <c r="O30" t="str">
        <f t="shared" si="16"/>
        <v>copy .\dail_base3.dbr .\items\materia\class0021\Rogue28.dbr /y</v>
      </c>
      <c r="P30" t="str">
        <f t="shared" si="7"/>
        <v>echo relicBitmap,items/craftingparts/components/component_a52_bristlyfur_b.tex, &gt;&gt; .\items\materia\class0021\Rogue28.dbr</v>
      </c>
      <c r="Q30" t="str">
        <f t="shared" si="7"/>
        <v>echo itemCost,300000, &gt;&gt; .\items\materia\class0021\Rogue28.dbr</v>
      </c>
      <c r="R30" t="str">
        <f t="shared" si="7"/>
        <v>echo description,dailCompDescRogue28, &gt;&gt; .\items\materia\class0021\Rogue28.dbr</v>
      </c>
      <c r="S30" t="str">
        <f t="shared" si="7"/>
        <v>echo itemText,dailCompTextRogue28, &gt;&gt; .\items\materia\class0021\Rogue28.dbr</v>
      </c>
      <c r="T30" t="str">
        <f t="shared" si="7"/>
        <v>echo augmentSkillLevel1,3, &gt;&gt; .\items\materia\class0021\Rogue28.dbr</v>
      </c>
      <c r="U30" t="str">
        <f t="shared" si="7"/>
        <v>echo augmentSkillName1,records/skillsstealth/calculatedstrike.dbr,, &gt;&gt; .\items\materia\class0021\Rogue28.dbr</v>
      </c>
      <c r="V30" s="5" t="s">
        <v>36</v>
      </c>
      <c r="W30" t="str">
        <f t="shared" si="8"/>
        <v>echo lootName28,DAIL/items/materia/class0021/Rogue28.dbr, &gt;&gt; .\items\loottables\dailoneskill0021.dbr</v>
      </c>
      <c r="X30" t="str">
        <f t="shared" si="8"/>
        <v>echo lootWeight28,1, &gt;&gt; .\items\loottables\dailoneskill0021.dbr</v>
      </c>
      <c r="Y30" s="5" t="s">
        <v>36</v>
      </c>
      <c r="Z30" t="str">
        <f t="shared" si="9"/>
        <v xml:space="preserve"> dailCompDescRogue28=^pRogue's Gift of DAIL</v>
      </c>
      <c r="AA30" t="str">
        <f t="shared" si="17"/>
        <v>dailCompTextRogue28=^oThis feels warm to the touch, almost familiar ^w(This component only fits into the Medal Slot)</v>
      </c>
      <c r="AB30" s="5" t="s">
        <v>36</v>
      </c>
      <c r="AH30">
        <f t="shared" si="19"/>
        <v>25</v>
      </c>
      <c r="AI30">
        <f t="shared" si="13"/>
        <v>29</v>
      </c>
      <c r="AJ30">
        <f t="shared" si="18"/>
        <v>3</v>
      </c>
    </row>
    <row r="31" spans="1:36" x14ac:dyDescent="0.25">
      <c r="A31" s="5" t="s">
        <v>39</v>
      </c>
      <c r="B31" s="5" t="s">
        <v>28</v>
      </c>
      <c r="C31" s="5" t="str">
        <f t="shared" si="0"/>
        <v>description,dailCompDescRogue29,</v>
      </c>
      <c r="D31" s="5" t="str">
        <f t="shared" si="2"/>
        <v>itemText,dailCompTextRogue29,</v>
      </c>
      <c r="E31" s="5" t="str">
        <f t="shared" si="14"/>
        <v>augmentSkillLevel1,3,</v>
      </c>
      <c r="F31" s="5" t="str">
        <f t="shared" si="15"/>
        <v>augmentSkillName1,records/skillsstealth/calculatedstrike_luckyhit.dbr,,</v>
      </c>
      <c r="G31" s="7">
        <f t="shared" si="10"/>
        <v>29</v>
      </c>
      <c r="H31" s="8" t="str">
        <f t="shared" si="11"/>
        <v>Rogue</v>
      </c>
      <c r="I31" s="3" t="s">
        <v>688</v>
      </c>
      <c r="J31" s="8" t="str">
        <f t="shared" si="20"/>
        <v>class0021</v>
      </c>
      <c r="K31" s="8" t="str">
        <f t="shared" si="20"/>
        <v>dailoneskill0021</v>
      </c>
      <c r="L31" s="5" t="str">
        <f t="shared" si="4"/>
        <v>lootName29,DAIL/items/materia/class0021/Rogue29.dbr,</v>
      </c>
      <c r="M31" s="5" t="str">
        <f t="shared" si="5"/>
        <v>lootWeight29,1,</v>
      </c>
      <c r="N31" t="str">
        <f t="shared" si="6"/>
        <v>3</v>
      </c>
      <c r="O31" t="str">
        <f t="shared" si="16"/>
        <v>copy .\dail_base3.dbr .\items\materia\class0021\Rogue29.dbr /y</v>
      </c>
      <c r="P31" t="str">
        <f t="shared" si="7"/>
        <v>echo relicBitmap,items/craftingparts/components/component_a52_bristlyfur_b.tex, &gt;&gt; .\items\materia\class0021\Rogue29.dbr</v>
      </c>
      <c r="Q31" t="str">
        <f t="shared" si="7"/>
        <v>echo itemCost,300000, &gt;&gt; .\items\materia\class0021\Rogue29.dbr</v>
      </c>
      <c r="R31" t="str">
        <f t="shared" si="7"/>
        <v>echo description,dailCompDescRogue29, &gt;&gt; .\items\materia\class0021\Rogue29.dbr</v>
      </c>
      <c r="S31" t="str">
        <f t="shared" si="7"/>
        <v>echo itemText,dailCompTextRogue29, &gt;&gt; .\items\materia\class0021\Rogue29.dbr</v>
      </c>
      <c r="T31" t="str">
        <f t="shared" si="7"/>
        <v>echo augmentSkillLevel1,3, &gt;&gt; .\items\materia\class0021\Rogue29.dbr</v>
      </c>
      <c r="U31" t="str">
        <f t="shared" si="7"/>
        <v>echo augmentSkillName1,records/skillsstealth/calculatedstrike_luckyhit.dbr,, &gt;&gt; .\items\materia\class0021\Rogue29.dbr</v>
      </c>
      <c r="V31" s="5" t="s">
        <v>36</v>
      </c>
      <c r="W31" t="str">
        <f t="shared" si="8"/>
        <v>echo lootName29,DAIL/items/materia/class0021/Rogue29.dbr, &gt;&gt; .\items\loottables\dailoneskill0021.dbr</v>
      </c>
      <c r="X31" t="str">
        <f t="shared" si="8"/>
        <v>echo lootWeight29,1, &gt;&gt; .\items\loottables\dailoneskill0021.dbr</v>
      </c>
      <c r="Y31" s="5" t="s">
        <v>36</v>
      </c>
      <c r="Z31" t="str">
        <f t="shared" si="9"/>
        <v xml:space="preserve"> dailCompDescRogue29=^pRogue's Gift of DAIL</v>
      </c>
      <c r="AA31" t="str">
        <f t="shared" si="17"/>
        <v>dailCompTextRogue29=^oThis feels warm to the touch, almost familiar ^w(This component only fits into the Medal Slot)</v>
      </c>
      <c r="AB31" s="5" t="s">
        <v>36</v>
      </c>
      <c r="AH31">
        <f t="shared" si="19"/>
        <v>26</v>
      </c>
      <c r="AI31">
        <f t="shared" si="13"/>
        <v>38</v>
      </c>
      <c r="AJ31">
        <f t="shared" si="18"/>
        <v>3</v>
      </c>
    </row>
    <row r="32" spans="1:36" x14ac:dyDescent="0.25">
      <c r="A32" s="5" t="s">
        <v>39</v>
      </c>
      <c r="B32" s="5" t="s">
        <v>30</v>
      </c>
      <c r="C32" s="5" t="str">
        <f t="shared" si="0"/>
        <v>description,dailCompDescRogue30,</v>
      </c>
      <c r="D32" s="5" t="str">
        <f t="shared" si="2"/>
        <v>itemText,dailCompTextRogue30,</v>
      </c>
      <c r="E32" s="5" t="str">
        <f t="shared" si="14"/>
        <v>augmentSkillLevel1,3,</v>
      </c>
      <c r="F32" s="5" t="str">
        <f t="shared" si="15"/>
        <v>augmentSkillName1,records/skillsstealth/openwound.dbr,,</v>
      </c>
      <c r="G32" s="7">
        <f t="shared" si="10"/>
        <v>30</v>
      </c>
      <c r="H32" s="8" t="str">
        <f t="shared" si="11"/>
        <v>Rogue</v>
      </c>
      <c r="I32" s="3" t="s">
        <v>689</v>
      </c>
      <c r="J32" s="8" t="str">
        <f t="shared" si="20"/>
        <v>class0021</v>
      </c>
      <c r="K32" s="8" t="str">
        <f t="shared" si="20"/>
        <v>dailoneskill0021</v>
      </c>
      <c r="L32" s="5" t="str">
        <f t="shared" si="4"/>
        <v>lootName30,DAIL/items/materia/class0021/Rogue30.dbr,</v>
      </c>
      <c r="M32" s="5" t="str">
        <f t="shared" si="5"/>
        <v>lootWeight30,1,</v>
      </c>
      <c r="N32" t="str">
        <f t="shared" si="6"/>
        <v>3</v>
      </c>
      <c r="O32" t="str">
        <f t="shared" si="16"/>
        <v>copy .\dail_base3.dbr .\items\materia\class0021\Rogue30.dbr /y</v>
      </c>
      <c r="P32" t="str">
        <f t="shared" si="7"/>
        <v>echo relicBitmap,items/craftingparts/components/component_a52_bristlyfur_b.tex, &gt;&gt; .\items\materia\class0021\Rogue30.dbr</v>
      </c>
      <c r="Q32" t="str">
        <f t="shared" si="7"/>
        <v>echo itemCost,500000, &gt;&gt; .\items\materia\class0021\Rogue30.dbr</v>
      </c>
      <c r="R32" t="str">
        <f t="shared" si="7"/>
        <v>echo description,dailCompDescRogue30, &gt;&gt; .\items\materia\class0021\Rogue30.dbr</v>
      </c>
      <c r="S32" t="str">
        <f t="shared" si="7"/>
        <v>echo itemText,dailCompTextRogue30, &gt;&gt; .\items\materia\class0021\Rogue30.dbr</v>
      </c>
      <c r="T32" t="str">
        <f t="shared" si="7"/>
        <v>echo augmentSkillLevel1,3, &gt;&gt; .\items\materia\class0021\Rogue30.dbr</v>
      </c>
      <c r="U32" t="str">
        <f t="shared" si="7"/>
        <v>echo augmentSkillName1,records/skillsstealth/openwound.dbr,, &gt;&gt; .\items\materia\class0021\Rogue30.dbr</v>
      </c>
      <c r="V32" s="5" t="s">
        <v>36</v>
      </c>
      <c r="W32" t="str">
        <f t="shared" si="8"/>
        <v>echo lootName30,DAIL/items/materia/class0021/Rogue30.dbr, &gt;&gt; .\items\loottables\dailoneskill0021.dbr</v>
      </c>
      <c r="X32" t="str">
        <f t="shared" si="8"/>
        <v>echo lootWeight30,1, &gt;&gt; .\items\loottables\dailoneskill0021.dbr</v>
      </c>
      <c r="Y32" s="5" t="s">
        <v>36</v>
      </c>
      <c r="Z32" t="str">
        <f t="shared" si="9"/>
        <v xml:space="preserve"> dailCompDescRogue30=^pRogue's Gift of DAIL</v>
      </c>
      <c r="AA32" t="str">
        <f t="shared" si="17"/>
        <v>dailCompTextRogue30=^oThis feels warm to the touch, almost familiar ^w(This component only fits into the Medal Slot)</v>
      </c>
      <c r="AB32" s="5" t="s">
        <v>36</v>
      </c>
      <c r="AH32">
        <f t="shared" si="19"/>
        <v>27</v>
      </c>
      <c r="AI32">
        <f t="shared" si="13"/>
        <v>22</v>
      </c>
      <c r="AJ32">
        <f t="shared" si="18"/>
        <v>3</v>
      </c>
    </row>
    <row r="33" spans="1:36" x14ac:dyDescent="0.25">
      <c r="A33" s="5" t="s">
        <v>39</v>
      </c>
      <c r="B33" s="5" t="s">
        <v>30</v>
      </c>
      <c r="C33" s="5" t="str">
        <f t="shared" si="0"/>
        <v>description,dailCompDescRogue31,</v>
      </c>
      <c r="D33" s="5" t="str">
        <f t="shared" si="2"/>
        <v>itemText,dailCompTextRogue31,</v>
      </c>
      <c r="E33" s="5" t="str">
        <f t="shared" si="14"/>
        <v>augmentSkillLevel1,3,</v>
      </c>
      <c r="F33" s="5" t="str">
        <f t="shared" si="15"/>
        <v>augmentSkillName1,records/skillsstealth/anatomy.dbr,,</v>
      </c>
      <c r="G33" s="7">
        <f t="shared" si="10"/>
        <v>31</v>
      </c>
      <c r="H33" s="8" t="str">
        <f t="shared" si="11"/>
        <v>Rogue</v>
      </c>
      <c r="I33" s="3" t="s">
        <v>690</v>
      </c>
      <c r="J33" s="8" t="str">
        <f t="shared" si="20"/>
        <v>class0021</v>
      </c>
      <c r="K33" s="8" t="str">
        <f t="shared" si="20"/>
        <v>dailoneskill0021</v>
      </c>
      <c r="L33" s="5" t="str">
        <f t="shared" si="4"/>
        <v>lootName31,DAIL/items/materia/class0021/Rogue31.dbr,</v>
      </c>
      <c r="M33" s="5" t="str">
        <f t="shared" si="5"/>
        <v>lootWeight31,1,</v>
      </c>
      <c r="N33" t="str">
        <f t="shared" si="6"/>
        <v>3</v>
      </c>
      <c r="O33" t="str">
        <f t="shared" si="16"/>
        <v>copy .\dail_base3.dbr .\items\materia\class0021\Rogue31.dbr /y</v>
      </c>
      <c r="P33" t="str">
        <f t="shared" si="7"/>
        <v>echo relicBitmap,items/craftingparts/components/component_a52_bristlyfur_b.tex, &gt;&gt; .\items\materia\class0021\Rogue31.dbr</v>
      </c>
      <c r="Q33" t="str">
        <f t="shared" si="7"/>
        <v>echo itemCost,500000, &gt;&gt; .\items\materia\class0021\Rogue31.dbr</v>
      </c>
      <c r="R33" t="str">
        <f t="shared" si="7"/>
        <v>echo description,dailCompDescRogue31, &gt;&gt; .\items\materia\class0021\Rogue31.dbr</v>
      </c>
      <c r="S33" t="str">
        <f t="shared" si="7"/>
        <v>echo itemText,dailCompTextRogue31, &gt;&gt; .\items\materia\class0021\Rogue31.dbr</v>
      </c>
      <c r="T33" t="str">
        <f t="shared" si="7"/>
        <v>echo augmentSkillLevel1,3, &gt;&gt; .\items\materia\class0021\Rogue31.dbr</v>
      </c>
      <c r="U33" t="str">
        <f t="shared" si="7"/>
        <v>echo augmentSkillName1,records/skillsstealth/anatomy.dbr,, &gt;&gt; .\items\materia\class0021\Rogue31.dbr</v>
      </c>
      <c r="V33" s="5" t="s">
        <v>36</v>
      </c>
      <c r="W33" t="str">
        <f t="shared" si="8"/>
        <v>echo lootName31,DAIL/items/materia/class0021/Rogue31.dbr, &gt;&gt; .\items\loottables\dailoneskill0021.dbr</v>
      </c>
      <c r="X33" t="str">
        <f t="shared" si="8"/>
        <v>echo lootWeight31,1, &gt;&gt; .\items\loottables\dailoneskill0021.dbr</v>
      </c>
      <c r="Y33" s="5" t="s">
        <v>36</v>
      </c>
      <c r="Z33" t="str">
        <f t="shared" si="9"/>
        <v xml:space="preserve"> dailCompDescRogue31=^pRogue's Gift of DAIL</v>
      </c>
      <c r="AA33" t="str">
        <f t="shared" si="17"/>
        <v>dailCompTextRogue31=^oThis feels warm to the touch, almost familiar ^w(This component only fits into the Medal Slot)</v>
      </c>
      <c r="AB33" s="5" t="s">
        <v>36</v>
      </c>
      <c r="AH33">
        <f t="shared" si="19"/>
        <v>28</v>
      </c>
      <c r="AI33">
        <f t="shared" si="13"/>
        <v>20</v>
      </c>
      <c r="AJ33">
        <f t="shared" si="18"/>
        <v>3</v>
      </c>
    </row>
    <row r="34" spans="1:36" x14ac:dyDescent="0.25">
      <c r="A34" s="5" t="s">
        <v>39</v>
      </c>
      <c r="B34" s="5" t="s">
        <v>30</v>
      </c>
      <c r="C34" s="5" t="str">
        <f t="shared" si="0"/>
        <v>description,dailCompDescRogue32,</v>
      </c>
      <c r="D34" s="5" t="str">
        <f t="shared" si="2"/>
        <v>itemText,dailCompTextRogue32,</v>
      </c>
      <c r="E34" s="5" t="str">
        <f t="shared" si="14"/>
        <v>augmentSkillLevel1,3,</v>
      </c>
      <c r="F34" s="5" t="str">
        <f t="shared" si="15"/>
        <v>augmentSkillName1,records/skillsstealth/throwingknife.dbr,,</v>
      </c>
      <c r="G34" s="7">
        <f t="shared" si="10"/>
        <v>32</v>
      </c>
      <c r="H34" s="8" t="str">
        <f t="shared" si="11"/>
        <v>Rogue</v>
      </c>
      <c r="I34" s="3" t="s">
        <v>691</v>
      </c>
      <c r="J34" s="8" t="str">
        <f t="shared" si="20"/>
        <v>class0021</v>
      </c>
      <c r="K34" s="8" t="str">
        <f t="shared" si="20"/>
        <v>dailoneskill0021</v>
      </c>
      <c r="L34" s="5" t="str">
        <f t="shared" si="4"/>
        <v>lootName32,DAIL/items/materia/class0021/Rogue32.dbr,</v>
      </c>
      <c r="M34" s="5" t="str">
        <f t="shared" si="5"/>
        <v>lootWeight32,1,</v>
      </c>
      <c r="N34" t="str">
        <f t="shared" si="6"/>
        <v>3</v>
      </c>
      <c r="O34" t="str">
        <f t="shared" si="16"/>
        <v>copy .\dail_base3.dbr .\items\materia\class0021\Rogue32.dbr /y</v>
      </c>
      <c r="P34" t="str">
        <f t="shared" si="7"/>
        <v>echo relicBitmap,items/craftingparts/components/component_a52_bristlyfur_b.tex, &gt;&gt; .\items\materia\class0021\Rogue32.dbr</v>
      </c>
      <c r="Q34" t="str">
        <f t="shared" si="7"/>
        <v>echo itemCost,500000, &gt;&gt; .\items\materia\class0021\Rogue32.dbr</v>
      </c>
      <c r="R34" t="str">
        <f t="shared" si="7"/>
        <v>echo description,dailCompDescRogue32, &gt;&gt; .\items\materia\class0021\Rogue32.dbr</v>
      </c>
      <c r="S34" t="str">
        <f t="shared" si="7"/>
        <v>echo itemText,dailCompTextRogue32, &gt;&gt; .\items\materia\class0021\Rogue32.dbr</v>
      </c>
      <c r="T34" t="str">
        <f t="shared" si="7"/>
        <v>echo augmentSkillLevel1,3, &gt;&gt; .\items\materia\class0021\Rogue32.dbr</v>
      </c>
      <c r="U34" t="str">
        <f t="shared" si="7"/>
        <v>echo augmentSkillName1,records/skillsstealth/throwingknife.dbr,, &gt;&gt; .\items\materia\class0021\Rogue32.dbr</v>
      </c>
      <c r="V34" s="5" t="s">
        <v>36</v>
      </c>
      <c r="W34" t="str">
        <f t="shared" si="8"/>
        <v>echo lootName32,DAIL/items/materia/class0021/Rogue32.dbr, &gt;&gt; .\items\loottables\dailoneskill0021.dbr</v>
      </c>
      <c r="X34" t="str">
        <f t="shared" si="8"/>
        <v>echo lootWeight32,1, &gt;&gt; .\items\loottables\dailoneskill0021.dbr</v>
      </c>
      <c r="Y34" s="5" t="s">
        <v>36</v>
      </c>
      <c r="Z34" t="str">
        <f t="shared" si="9"/>
        <v xml:space="preserve"> dailCompDescRogue32=^pRogue's Gift of DAIL</v>
      </c>
      <c r="AA34" t="str">
        <f t="shared" si="17"/>
        <v>dailCompTextRogue32=^oThis feels warm to the touch, almost familiar ^w(This component only fits into the Medal Slot)</v>
      </c>
      <c r="AB34" s="5" t="s">
        <v>36</v>
      </c>
      <c r="AH34">
        <f t="shared" si="19"/>
        <v>29</v>
      </c>
      <c r="AI34">
        <f t="shared" si="13"/>
        <v>26</v>
      </c>
      <c r="AJ34">
        <f t="shared" si="18"/>
        <v>3</v>
      </c>
    </row>
    <row r="35" spans="1:36" x14ac:dyDescent="0.25">
      <c r="A35" s="5" t="s">
        <v>39</v>
      </c>
      <c r="B35" s="5" t="s">
        <v>30</v>
      </c>
      <c r="C35" s="5" t="str">
        <f t="shared" si="0"/>
        <v>description,dailCompDescRogue33,</v>
      </c>
      <c r="D35" s="5" t="str">
        <f t="shared" si="2"/>
        <v>itemText,dailCompTextRogue33,</v>
      </c>
      <c r="E35" s="5" t="str">
        <f t="shared" si="14"/>
        <v>augmentSkillLevel1,3,</v>
      </c>
      <c r="F35" s="5" t="str">
        <f t="shared" si="15"/>
        <v>augmentSkillName1,records/skillsstealth/throwingknife_flurryofknives.dbr,,</v>
      </c>
      <c r="G35" s="7">
        <f t="shared" si="10"/>
        <v>33</v>
      </c>
      <c r="H35" s="8" t="str">
        <f t="shared" si="11"/>
        <v>Rogue</v>
      </c>
      <c r="I35" s="3" t="s">
        <v>692</v>
      </c>
      <c r="J35" s="8" t="str">
        <f t="shared" si="20"/>
        <v>class0021</v>
      </c>
      <c r="K35" s="8" t="str">
        <f t="shared" si="20"/>
        <v>dailoneskill0021</v>
      </c>
      <c r="L35" s="5" t="str">
        <f t="shared" si="4"/>
        <v>lootName33,DAIL/items/materia/class0021/Rogue33.dbr,</v>
      </c>
      <c r="M35" s="5" t="str">
        <f t="shared" si="5"/>
        <v>lootWeight33,1,</v>
      </c>
      <c r="N35" t="str">
        <f t="shared" si="6"/>
        <v>3</v>
      </c>
      <c r="O35" t="str">
        <f t="shared" si="16"/>
        <v>copy .\dail_base3.dbr .\items\materia\class0021\Rogue33.dbr /y</v>
      </c>
      <c r="P35" t="str">
        <f t="shared" si="7"/>
        <v>echo relicBitmap,items/craftingparts/components/component_a52_bristlyfur_b.tex, &gt;&gt; .\items\materia\class0021\Rogue33.dbr</v>
      </c>
      <c r="Q35" t="str">
        <f t="shared" si="7"/>
        <v>echo itemCost,500000, &gt;&gt; .\items\materia\class0021\Rogue33.dbr</v>
      </c>
      <c r="R35" t="str">
        <f t="shared" si="7"/>
        <v>echo description,dailCompDescRogue33, &gt;&gt; .\items\materia\class0021\Rogue33.dbr</v>
      </c>
      <c r="S35" t="str">
        <f t="shared" si="7"/>
        <v>echo itemText,dailCompTextRogue33, &gt;&gt; .\items\materia\class0021\Rogue33.dbr</v>
      </c>
      <c r="T35" t="str">
        <f t="shared" si="7"/>
        <v>echo augmentSkillLevel1,3, &gt;&gt; .\items\materia\class0021\Rogue33.dbr</v>
      </c>
      <c r="U35" t="str">
        <f t="shared" si="7"/>
        <v>echo augmentSkillName1,records/skillsstealth/throwingknife_flurryofknives.dbr,, &gt;&gt; .\items\materia\class0021\Rogue33.dbr</v>
      </c>
      <c r="V35" s="5" t="s">
        <v>36</v>
      </c>
      <c r="W35" t="str">
        <f t="shared" si="8"/>
        <v>echo lootName33,DAIL/items/materia/class0021/Rogue33.dbr, &gt;&gt; .\items\loottables\dailoneskill0021.dbr</v>
      </c>
      <c r="X35" t="str">
        <f t="shared" si="8"/>
        <v>echo lootWeight33,1, &gt;&gt; .\items\loottables\dailoneskill0021.dbr</v>
      </c>
      <c r="Y35" s="5" t="s">
        <v>36</v>
      </c>
      <c r="Z35" t="str">
        <f t="shared" si="9"/>
        <v xml:space="preserve"> dailCompDescRogue33=^pRogue's Gift of DAIL</v>
      </c>
      <c r="AA35" t="str">
        <f t="shared" si="17"/>
        <v>dailCompTextRogue33=^oThis feels warm to the touch, almost familiar ^w(This component only fits into the Medal Slot)</v>
      </c>
      <c r="AB35" s="5" t="s">
        <v>36</v>
      </c>
      <c r="AH35">
        <f t="shared" si="19"/>
        <v>30</v>
      </c>
      <c r="AI35">
        <f t="shared" si="13"/>
        <v>41</v>
      </c>
      <c r="AJ35">
        <f t="shared" si="18"/>
        <v>3</v>
      </c>
    </row>
    <row r="36" spans="1:36" x14ac:dyDescent="0.25">
      <c r="A36" s="5" t="s">
        <v>39</v>
      </c>
      <c r="B36" s="5" t="s">
        <v>30</v>
      </c>
      <c r="C36" s="5" t="str">
        <f t="shared" si="0"/>
        <v>description,dailCompDescRogue34,</v>
      </c>
      <c r="D36" s="5" t="str">
        <f t="shared" si="2"/>
        <v>itemText,dailCompTextRogue34,</v>
      </c>
      <c r="E36" s="5" t="str">
        <f t="shared" si="14"/>
        <v>augmentSkillLevel1,3,</v>
      </c>
      <c r="F36" s="5" t="str">
        <f t="shared" si="15"/>
        <v>augmentSkillName1,records/skillsstealth/bladehoning.dbr,,</v>
      </c>
      <c r="G36" s="7">
        <f t="shared" si="10"/>
        <v>34</v>
      </c>
      <c r="H36" s="8" t="str">
        <f t="shared" si="11"/>
        <v>Rogue</v>
      </c>
      <c r="I36" s="3" t="s">
        <v>693</v>
      </c>
      <c r="J36" s="8" t="str">
        <f t="shared" si="20"/>
        <v>class0021</v>
      </c>
      <c r="K36" s="8" t="str">
        <f t="shared" si="20"/>
        <v>dailoneskill0021</v>
      </c>
      <c r="L36" s="5" t="str">
        <f t="shared" si="4"/>
        <v>lootName34,DAIL/items/materia/class0021/Rogue34.dbr,</v>
      </c>
      <c r="M36" s="5" t="str">
        <f t="shared" si="5"/>
        <v>lootWeight34,1,</v>
      </c>
      <c r="N36" t="str">
        <f t="shared" si="6"/>
        <v>3</v>
      </c>
      <c r="O36" t="str">
        <f t="shared" si="16"/>
        <v>copy .\dail_base3.dbr .\items\materia\class0021\Rogue34.dbr /y</v>
      </c>
      <c r="P36" t="str">
        <f t="shared" si="7"/>
        <v>echo relicBitmap,items/craftingparts/components/component_a52_bristlyfur_b.tex, &gt;&gt; .\items\materia\class0021\Rogue34.dbr</v>
      </c>
      <c r="Q36" t="str">
        <f t="shared" si="7"/>
        <v>echo itemCost,500000, &gt;&gt; .\items\materia\class0021\Rogue34.dbr</v>
      </c>
      <c r="R36" t="str">
        <f t="shared" si="7"/>
        <v>echo description,dailCompDescRogue34, &gt;&gt; .\items\materia\class0021\Rogue34.dbr</v>
      </c>
      <c r="S36" t="str">
        <f t="shared" si="7"/>
        <v>echo itemText,dailCompTextRogue34, &gt;&gt; .\items\materia\class0021\Rogue34.dbr</v>
      </c>
      <c r="T36" t="str">
        <f t="shared" si="7"/>
        <v>echo augmentSkillLevel1,3, &gt;&gt; .\items\materia\class0021\Rogue34.dbr</v>
      </c>
      <c r="U36" t="str">
        <f t="shared" si="7"/>
        <v>echo augmentSkillName1,records/skillsstealth/bladehoning.dbr,, &gt;&gt; .\items\materia\class0021\Rogue34.dbr</v>
      </c>
      <c r="V36" s="5" t="s">
        <v>36</v>
      </c>
      <c r="W36" t="str">
        <f t="shared" si="8"/>
        <v>echo lootName34,DAIL/items/materia/class0021/Rogue34.dbr, &gt;&gt; .\items\loottables\dailoneskill0021.dbr</v>
      </c>
      <c r="X36" t="str">
        <f t="shared" si="8"/>
        <v>echo lootWeight34,1, &gt;&gt; .\items\loottables\dailoneskill0021.dbr</v>
      </c>
      <c r="Y36" s="5" t="s">
        <v>36</v>
      </c>
      <c r="Z36" t="str">
        <f t="shared" si="9"/>
        <v xml:space="preserve"> dailCompDescRogue34=^pRogue's Gift of DAIL</v>
      </c>
      <c r="AA36" t="str">
        <f t="shared" si="17"/>
        <v>dailCompTextRogue34=^oThis feels warm to the touch, almost familiar ^w(This component only fits into the Medal Slot)</v>
      </c>
      <c r="AB36" s="5" t="s">
        <v>36</v>
      </c>
      <c r="AH36">
        <f t="shared" si="19"/>
        <v>31</v>
      </c>
      <c r="AI36">
        <f t="shared" si="13"/>
        <v>24</v>
      </c>
      <c r="AJ36">
        <f t="shared" si="18"/>
        <v>3</v>
      </c>
    </row>
    <row r="37" spans="1:36" x14ac:dyDescent="0.25">
      <c r="A37" s="5" t="s">
        <v>39</v>
      </c>
      <c r="B37" s="5" t="s">
        <v>30</v>
      </c>
      <c r="C37" s="5" t="str">
        <f t="shared" si="0"/>
        <v>description,dailCompDescRogue35,</v>
      </c>
      <c r="D37" s="5" t="str">
        <f t="shared" si="2"/>
        <v>itemText,dailCompTextRogue35,</v>
      </c>
      <c r="E37" s="5" t="str">
        <f t="shared" si="14"/>
        <v>augmentSkillLevel1,3,</v>
      </c>
      <c r="F37" s="5" t="str">
        <f t="shared" si="15"/>
        <v>augmentSkillName1,records/skillsstealth/lethalstrike.dbr,,</v>
      </c>
      <c r="G37" s="7">
        <f t="shared" si="10"/>
        <v>35</v>
      </c>
      <c r="H37" s="8" t="str">
        <f t="shared" si="11"/>
        <v>Rogue</v>
      </c>
      <c r="I37" s="3" t="s">
        <v>694</v>
      </c>
      <c r="J37" s="8" t="str">
        <f t="shared" ref="J37:K52" si="21">J36</f>
        <v>class0021</v>
      </c>
      <c r="K37" s="8" t="str">
        <f t="shared" si="21"/>
        <v>dailoneskill0021</v>
      </c>
      <c r="L37" s="5" t="str">
        <f t="shared" si="4"/>
        <v>lootName35,DAIL/items/materia/class0021/Rogue35.dbr,</v>
      </c>
      <c r="M37" s="5" t="str">
        <f t="shared" si="5"/>
        <v>lootWeight35,1,</v>
      </c>
      <c r="N37" t="str">
        <f t="shared" si="6"/>
        <v>3</v>
      </c>
      <c r="O37" t="str">
        <f t="shared" si="16"/>
        <v>copy .\dail_base3.dbr .\items\materia\class0021\Rogue35.dbr /y</v>
      </c>
      <c r="P37" t="str">
        <f t="shared" si="7"/>
        <v>echo relicBitmap,items/craftingparts/components/component_a52_bristlyfur_b.tex, &gt;&gt; .\items\materia\class0021\Rogue35.dbr</v>
      </c>
      <c r="Q37" t="str">
        <f t="shared" si="7"/>
        <v>echo itemCost,500000, &gt;&gt; .\items\materia\class0021\Rogue35.dbr</v>
      </c>
      <c r="R37" t="str">
        <f t="shared" si="7"/>
        <v>echo description,dailCompDescRogue35, &gt;&gt; .\items\materia\class0021\Rogue35.dbr</v>
      </c>
      <c r="S37" t="str">
        <f t="shared" si="7"/>
        <v>echo itemText,dailCompTextRogue35, &gt;&gt; .\items\materia\class0021\Rogue35.dbr</v>
      </c>
      <c r="T37" t="str">
        <f t="shared" si="7"/>
        <v>echo augmentSkillLevel1,3, &gt;&gt; .\items\materia\class0021\Rogue35.dbr</v>
      </c>
      <c r="U37" t="str">
        <f t="shared" si="7"/>
        <v>echo augmentSkillName1,records/skillsstealth/lethalstrike.dbr,, &gt;&gt; .\items\materia\class0021\Rogue35.dbr</v>
      </c>
      <c r="V37" s="5" t="s">
        <v>36</v>
      </c>
      <c r="W37" t="str">
        <f t="shared" si="8"/>
        <v>echo lootName35,DAIL/items/materia/class0021/Rogue35.dbr, &gt;&gt; .\items\loottables\dailoneskill0021.dbr</v>
      </c>
      <c r="X37" t="str">
        <f t="shared" si="8"/>
        <v>echo lootWeight35,1, &gt;&gt; .\items\loottables\dailoneskill0021.dbr</v>
      </c>
      <c r="Y37" s="5" t="s">
        <v>36</v>
      </c>
      <c r="Z37" t="str">
        <f t="shared" si="9"/>
        <v xml:space="preserve"> dailCompDescRogue35=^pRogue's Gift of DAIL</v>
      </c>
      <c r="AA37" t="str">
        <f t="shared" si="17"/>
        <v>dailCompTextRogue35=^oThis feels warm to the touch, almost familiar ^w(This component only fits into the Medal Slot)</v>
      </c>
      <c r="AB37" s="5" t="s">
        <v>36</v>
      </c>
      <c r="AH37">
        <f t="shared" si="19"/>
        <v>32</v>
      </c>
      <c r="AI37">
        <f t="shared" si="13"/>
        <v>25</v>
      </c>
      <c r="AJ37">
        <f t="shared" si="18"/>
        <v>3</v>
      </c>
    </row>
    <row r="38" spans="1:36" x14ac:dyDescent="0.25">
      <c r="A38" s="5" t="s">
        <v>39</v>
      </c>
      <c r="B38" s="5" t="s">
        <v>30</v>
      </c>
      <c r="C38" s="5" t="str">
        <f t="shared" si="0"/>
        <v>description,dailCompDescRogue36,</v>
      </c>
      <c r="D38" s="5" t="str">
        <f t="shared" si="2"/>
        <v>itemText,dailCompTextRogue36,</v>
      </c>
      <c r="E38" s="5" t="str">
        <f t="shared" si="14"/>
        <v>augmentSkillLevel1,3,</v>
      </c>
      <c r="F38" s="5" t="str">
        <f t="shared" si="15"/>
        <v>augmentSkillName1,records/skillsstealth/lethalstrike_mortalwound.dbr,,</v>
      </c>
      <c r="G38" s="7">
        <f t="shared" si="10"/>
        <v>36</v>
      </c>
      <c r="H38" s="8" t="str">
        <f t="shared" si="11"/>
        <v>Rogue</v>
      </c>
      <c r="I38" s="3" t="s">
        <v>695</v>
      </c>
      <c r="J38" s="8" t="str">
        <f t="shared" si="21"/>
        <v>class0021</v>
      </c>
      <c r="K38" s="8" t="str">
        <f t="shared" si="21"/>
        <v>dailoneskill0021</v>
      </c>
      <c r="L38" s="5" t="str">
        <f t="shared" si="4"/>
        <v>lootName36,DAIL/items/materia/class0021/Rogue36.dbr,</v>
      </c>
      <c r="M38" s="5" t="str">
        <f t="shared" si="5"/>
        <v>lootWeight36,1,</v>
      </c>
      <c r="N38" t="str">
        <f t="shared" si="6"/>
        <v>3</v>
      </c>
      <c r="O38" t="str">
        <f t="shared" si="16"/>
        <v>copy .\dail_base3.dbr .\items\materia\class0021\Rogue36.dbr /y</v>
      </c>
      <c r="P38" t="str">
        <f t="shared" si="7"/>
        <v>echo relicBitmap,items/craftingparts/components/component_a52_bristlyfur_b.tex, &gt;&gt; .\items\materia\class0021\Rogue36.dbr</v>
      </c>
      <c r="Q38" t="str">
        <f t="shared" si="7"/>
        <v>echo itemCost,500000, &gt;&gt; .\items\materia\class0021\Rogue36.dbr</v>
      </c>
      <c r="R38" t="str">
        <f t="shared" si="7"/>
        <v>echo description,dailCompDescRogue36, &gt;&gt; .\items\materia\class0021\Rogue36.dbr</v>
      </c>
      <c r="S38" t="str">
        <f t="shared" si="7"/>
        <v>echo itemText,dailCompTextRogue36, &gt;&gt; .\items\materia\class0021\Rogue36.dbr</v>
      </c>
      <c r="T38" t="str">
        <f t="shared" si="7"/>
        <v>echo augmentSkillLevel1,3, &gt;&gt; .\items\materia\class0021\Rogue36.dbr</v>
      </c>
      <c r="U38" t="str">
        <f t="shared" si="7"/>
        <v>echo augmentSkillName1,records/skillsstealth/lethalstrike_mortalwound.dbr,, &gt;&gt; .\items\materia\class0021\Rogue36.dbr</v>
      </c>
      <c r="V38" s="5" t="s">
        <v>36</v>
      </c>
      <c r="W38" t="str">
        <f t="shared" si="8"/>
        <v>echo lootName36,DAIL/items/materia/class0021/Rogue36.dbr, &gt;&gt; .\items\loottables\dailoneskill0021.dbr</v>
      </c>
      <c r="X38" t="str">
        <f t="shared" si="8"/>
        <v>echo lootWeight36,1, &gt;&gt; .\items\loottables\dailoneskill0021.dbr</v>
      </c>
      <c r="Y38" s="5" t="s">
        <v>36</v>
      </c>
      <c r="Z38" t="str">
        <f t="shared" si="9"/>
        <v xml:space="preserve"> dailCompDescRogue36=^pRogue's Gift of DAIL</v>
      </c>
      <c r="AA38" t="str">
        <f t="shared" si="17"/>
        <v>dailCompTextRogue36=^oThis feels warm to the touch, almost familiar ^w(This component only fits into the Medal Slot)</v>
      </c>
      <c r="AB38" s="5" t="s">
        <v>36</v>
      </c>
      <c r="AH38">
        <f t="shared" si="19"/>
        <v>33</v>
      </c>
      <c r="AI38">
        <f t="shared" si="13"/>
        <v>37</v>
      </c>
      <c r="AJ38">
        <f t="shared" si="18"/>
        <v>3</v>
      </c>
    </row>
    <row r="39" spans="1:36" x14ac:dyDescent="0.25">
      <c r="A39" s="5" t="s">
        <v>39</v>
      </c>
      <c r="B39" s="5" t="s">
        <v>30</v>
      </c>
      <c r="C39" s="5" t="str">
        <f t="shared" si="0"/>
        <v>description,dailCompDescRogue37,</v>
      </c>
      <c r="D39" s="5" t="str">
        <f t="shared" si="2"/>
        <v>itemText,dailCompTextRogue37,</v>
      </c>
      <c r="E39" s="5" t="str">
        <f t="shared" si="14"/>
        <v>augmentSkillLevel1,3,</v>
      </c>
      <c r="F39" s="5" t="str">
        <f t="shared" si="15"/>
        <v>augmentSkillName1,records/skillsstealth/poisongasbomb.dbr,,</v>
      </c>
      <c r="G39" s="7">
        <f t="shared" si="10"/>
        <v>37</v>
      </c>
      <c r="H39" s="8" t="str">
        <f t="shared" si="11"/>
        <v>Rogue</v>
      </c>
      <c r="I39" s="3" t="s">
        <v>696</v>
      </c>
      <c r="J39" s="8" t="str">
        <f t="shared" si="21"/>
        <v>class0021</v>
      </c>
      <c r="K39" s="8" t="str">
        <f t="shared" si="21"/>
        <v>dailoneskill0021</v>
      </c>
      <c r="L39" s="5" t="str">
        <f t="shared" si="4"/>
        <v>lootName37,DAIL/items/materia/class0021/Rogue37.dbr,</v>
      </c>
      <c r="M39" s="5" t="str">
        <f t="shared" si="5"/>
        <v>lootWeight37,1,</v>
      </c>
      <c r="N39" t="str">
        <f t="shared" si="6"/>
        <v>3</v>
      </c>
      <c r="O39" t="str">
        <f t="shared" si="16"/>
        <v>copy .\dail_base3.dbr .\items\materia\class0021\Rogue37.dbr /y</v>
      </c>
      <c r="P39" t="str">
        <f t="shared" si="7"/>
        <v>echo relicBitmap,items/craftingparts/components/component_a52_bristlyfur_b.tex, &gt;&gt; .\items\materia\class0021\Rogue37.dbr</v>
      </c>
      <c r="Q39" t="str">
        <f t="shared" si="7"/>
        <v>echo itemCost,500000, &gt;&gt; .\items\materia\class0021\Rogue37.dbr</v>
      </c>
      <c r="R39" t="str">
        <f t="shared" si="7"/>
        <v>echo description,dailCompDescRogue37, &gt;&gt; .\items\materia\class0021\Rogue37.dbr</v>
      </c>
      <c r="S39" t="str">
        <f t="shared" si="7"/>
        <v>echo itemText,dailCompTextRogue37, &gt;&gt; .\items\materia\class0021\Rogue37.dbr</v>
      </c>
      <c r="T39" t="str">
        <f t="shared" si="7"/>
        <v>echo augmentSkillLevel1,3, &gt;&gt; .\items\materia\class0021\Rogue37.dbr</v>
      </c>
      <c r="U39" t="str">
        <f t="shared" si="7"/>
        <v>echo augmentSkillName1,records/skillsstealth/poisongasbomb.dbr,, &gt;&gt; .\items\materia\class0021\Rogue37.dbr</v>
      </c>
      <c r="V39" s="5" t="s">
        <v>36</v>
      </c>
      <c r="W39" t="str">
        <f t="shared" si="8"/>
        <v>echo lootName37,DAIL/items/materia/class0021/Rogue37.dbr, &gt;&gt; .\items\loottables\dailoneskill0021.dbr</v>
      </c>
      <c r="X39" t="str">
        <f t="shared" si="8"/>
        <v>echo lootWeight37,1, &gt;&gt; .\items\loottables\dailoneskill0021.dbr</v>
      </c>
      <c r="Y39" s="5" t="s">
        <v>36</v>
      </c>
      <c r="Z39" t="str">
        <f t="shared" si="9"/>
        <v xml:space="preserve"> dailCompDescRogue37=^pRogue's Gift of DAIL</v>
      </c>
      <c r="AA39" t="str">
        <f t="shared" si="17"/>
        <v>dailCompTextRogue37=^oThis feels warm to the touch, almost familiar ^w(This component only fits into the Medal Slot)</v>
      </c>
      <c r="AB39" s="5" t="s">
        <v>36</v>
      </c>
      <c r="AH39">
        <f t="shared" si="19"/>
        <v>34</v>
      </c>
      <c r="AI39">
        <f t="shared" si="13"/>
        <v>26</v>
      </c>
      <c r="AJ39">
        <f t="shared" si="18"/>
        <v>3</v>
      </c>
    </row>
    <row r="40" spans="1:36" x14ac:dyDescent="0.25">
      <c r="A40" s="5" t="s">
        <v>39</v>
      </c>
      <c r="B40" s="5" t="s">
        <v>30</v>
      </c>
      <c r="C40" s="5" t="str">
        <f t="shared" si="0"/>
        <v>description,dailCompDescRogue38,</v>
      </c>
      <c r="D40" s="5" t="str">
        <f t="shared" si="2"/>
        <v>itemText,dailCompTextRogue38,</v>
      </c>
      <c r="E40" s="5" t="str">
        <f t="shared" si="14"/>
        <v>augmentSkillLevel1,3,</v>
      </c>
      <c r="F40" s="5" t="str">
        <f t="shared" si="15"/>
        <v>augmentSkillName1,records/skillsstealth/poisongasbomb_shrapnel.dbr,,</v>
      </c>
      <c r="G40" s="7">
        <f t="shared" si="10"/>
        <v>38</v>
      </c>
      <c r="H40" s="8" t="str">
        <f t="shared" si="11"/>
        <v>Rogue</v>
      </c>
      <c r="I40" s="3" t="s">
        <v>697</v>
      </c>
      <c r="J40" s="8" t="str">
        <f t="shared" si="21"/>
        <v>class0021</v>
      </c>
      <c r="K40" s="8" t="str">
        <f t="shared" si="21"/>
        <v>dailoneskill0021</v>
      </c>
      <c r="L40" s="5" t="str">
        <f t="shared" si="4"/>
        <v>lootName38,DAIL/items/materia/class0021/Rogue38.dbr,</v>
      </c>
      <c r="M40" s="5" t="str">
        <f t="shared" si="5"/>
        <v>lootWeight38,1,</v>
      </c>
      <c r="N40" t="str">
        <f t="shared" si="6"/>
        <v>3</v>
      </c>
      <c r="O40" t="str">
        <f t="shared" si="16"/>
        <v>copy .\dail_base3.dbr .\items\materia\class0021\Rogue38.dbr /y</v>
      </c>
      <c r="P40" t="str">
        <f t="shared" si="7"/>
        <v>echo relicBitmap,items/craftingparts/components/component_a52_bristlyfur_b.tex, &gt;&gt; .\items\materia\class0021\Rogue38.dbr</v>
      </c>
      <c r="Q40" t="str">
        <f t="shared" si="7"/>
        <v>echo itemCost,500000, &gt;&gt; .\items\materia\class0021\Rogue38.dbr</v>
      </c>
      <c r="R40" t="str">
        <f t="shared" si="7"/>
        <v>echo description,dailCompDescRogue38, &gt;&gt; .\items\materia\class0021\Rogue38.dbr</v>
      </c>
      <c r="S40" t="str">
        <f t="shared" si="7"/>
        <v>echo itemText,dailCompTextRogue38, &gt;&gt; .\items\materia\class0021\Rogue38.dbr</v>
      </c>
      <c r="T40" t="str">
        <f t="shared" si="7"/>
        <v>echo augmentSkillLevel1,3, &gt;&gt; .\items\materia\class0021\Rogue38.dbr</v>
      </c>
      <c r="U40" t="str">
        <f t="shared" si="7"/>
        <v>echo augmentSkillName1,records/skillsstealth/poisongasbomb_shrapnel.dbr,, &gt;&gt; .\items\materia\class0021\Rogue38.dbr</v>
      </c>
      <c r="V40" s="5" t="s">
        <v>36</v>
      </c>
      <c r="W40" t="str">
        <f t="shared" si="8"/>
        <v>echo lootName38,DAIL/items/materia/class0021/Rogue38.dbr, &gt;&gt; .\items\loottables\dailoneskill0021.dbr</v>
      </c>
      <c r="X40" t="str">
        <f t="shared" si="8"/>
        <v>echo lootWeight38,1, &gt;&gt; .\items\loottables\dailoneskill0021.dbr</v>
      </c>
      <c r="Y40" s="5" t="s">
        <v>36</v>
      </c>
      <c r="Z40" t="str">
        <f t="shared" si="9"/>
        <v xml:space="preserve"> dailCompDescRogue38=^pRogue's Gift of DAIL</v>
      </c>
      <c r="AA40" t="str">
        <f t="shared" si="17"/>
        <v>dailCompTextRogue38=^oThis feels warm to the touch, almost familiar ^w(This component only fits into the Medal Slot)</v>
      </c>
      <c r="AB40" s="5" t="s">
        <v>36</v>
      </c>
      <c r="AH40">
        <f t="shared" si="19"/>
        <v>35</v>
      </c>
      <c r="AI40">
        <f t="shared" si="13"/>
        <v>35</v>
      </c>
      <c r="AJ40">
        <f t="shared" si="18"/>
        <v>3</v>
      </c>
    </row>
    <row r="41" spans="1:36" x14ac:dyDescent="0.25">
      <c r="A41" s="5" t="s">
        <v>39</v>
      </c>
      <c r="B41" s="5" t="s">
        <v>30</v>
      </c>
      <c r="C41" s="5" t="str">
        <f t="shared" si="0"/>
        <v>description,dailCompDescRogue39,</v>
      </c>
      <c r="D41" s="5" t="str">
        <f t="shared" si="2"/>
        <v>itemText,dailCompTextRogue39,</v>
      </c>
      <c r="E41" s="5" t="str">
        <f t="shared" si="14"/>
        <v>augmentSkillLevel1,3,</v>
      </c>
      <c r="F41" s="5" t="str">
        <f t="shared" si="15"/>
        <v>augmentSkillName1,records/skillsstealth/disarmtraps.dbr,,</v>
      </c>
      <c r="G41" s="7">
        <f t="shared" si="10"/>
        <v>39</v>
      </c>
      <c r="H41" s="8" t="str">
        <f t="shared" si="11"/>
        <v>Rogue</v>
      </c>
      <c r="I41" s="3" t="s">
        <v>698</v>
      </c>
      <c r="J41" s="8" t="str">
        <f t="shared" si="21"/>
        <v>class0021</v>
      </c>
      <c r="K41" s="8" t="str">
        <f t="shared" si="21"/>
        <v>dailoneskill0021</v>
      </c>
      <c r="L41" s="5" t="str">
        <f t="shared" si="4"/>
        <v>lootName39,DAIL/items/materia/class0021/Rogue39.dbr,</v>
      </c>
      <c r="M41" s="5" t="str">
        <f t="shared" si="5"/>
        <v>lootWeight39,1,</v>
      </c>
      <c r="N41" t="str">
        <f t="shared" si="6"/>
        <v>3</v>
      </c>
      <c r="O41" t="str">
        <f t="shared" si="16"/>
        <v>copy .\dail_base3.dbr .\items\materia\class0021\Rogue39.dbr /y</v>
      </c>
      <c r="P41" t="str">
        <f t="shared" si="7"/>
        <v>echo relicBitmap,items/craftingparts/components/component_a52_bristlyfur_b.tex, &gt;&gt; .\items\materia\class0021\Rogue39.dbr</v>
      </c>
      <c r="Q41" t="str">
        <f t="shared" si="7"/>
        <v>echo itemCost,500000, &gt;&gt; .\items\materia\class0021\Rogue39.dbr</v>
      </c>
      <c r="R41" t="str">
        <f t="shared" si="7"/>
        <v>echo description,dailCompDescRogue39, &gt;&gt; .\items\materia\class0021\Rogue39.dbr</v>
      </c>
      <c r="S41" t="str">
        <f t="shared" si="7"/>
        <v>echo itemText,dailCompTextRogue39, &gt;&gt; .\items\materia\class0021\Rogue39.dbr</v>
      </c>
      <c r="T41" t="str">
        <f t="shared" si="7"/>
        <v>echo augmentSkillLevel1,3, &gt;&gt; .\items\materia\class0021\Rogue39.dbr</v>
      </c>
      <c r="U41" t="str">
        <f t="shared" si="7"/>
        <v>echo augmentSkillName1,records/skillsstealth/disarmtraps.dbr,, &gt;&gt; .\items\materia\class0021\Rogue39.dbr</v>
      </c>
      <c r="V41" s="5" t="s">
        <v>36</v>
      </c>
      <c r="W41" t="str">
        <f t="shared" si="8"/>
        <v>echo lootName39,DAIL/items/materia/class0021/Rogue39.dbr, &gt;&gt; .\items\loottables\dailoneskill0021.dbr</v>
      </c>
      <c r="X41" t="str">
        <f t="shared" si="8"/>
        <v>echo lootWeight39,1, &gt;&gt; .\items\loottables\dailoneskill0021.dbr</v>
      </c>
      <c r="Y41" s="5" t="s">
        <v>36</v>
      </c>
      <c r="Z41" t="str">
        <f t="shared" si="9"/>
        <v xml:space="preserve"> dailCompDescRogue39=^pRogue's Gift of DAIL</v>
      </c>
      <c r="AA41" t="str">
        <f t="shared" si="17"/>
        <v>dailCompTextRogue39=^oThis feels warm to the touch, almost familiar ^w(This component only fits into the Medal Slot)</v>
      </c>
      <c r="AB41" s="5" t="s">
        <v>36</v>
      </c>
      <c r="AH41">
        <f t="shared" si="19"/>
        <v>36</v>
      </c>
      <c r="AI41">
        <f t="shared" si="13"/>
        <v>24</v>
      </c>
      <c r="AJ41">
        <f t="shared" si="18"/>
        <v>3</v>
      </c>
    </row>
    <row r="42" spans="1:36" x14ac:dyDescent="0.25">
      <c r="A42" s="5" t="s">
        <v>39</v>
      </c>
      <c r="B42" s="5" t="s">
        <v>30</v>
      </c>
      <c r="C42" s="5" t="str">
        <f t="shared" si="0"/>
        <v>description,dailCompDescRogue40,</v>
      </c>
      <c r="D42" s="5" t="str">
        <f t="shared" si="2"/>
        <v>itemText,dailCompTextRogue40,</v>
      </c>
      <c r="E42" s="5" t="str">
        <f t="shared" si="14"/>
        <v>augmentSkillLevel1,3,</v>
      </c>
      <c r="F42" s="5" t="str">
        <f t="shared" si="15"/>
        <v>augmentSkillName1,records/skillsstealth/flashpowder.dbr,,</v>
      </c>
      <c r="G42" s="7">
        <f t="shared" si="10"/>
        <v>40</v>
      </c>
      <c r="H42" s="8" t="str">
        <f t="shared" si="11"/>
        <v>Rogue</v>
      </c>
      <c r="I42" s="3" t="s">
        <v>699</v>
      </c>
      <c r="J42" s="8" t="str">
        <f t="shared" si="21"/>
        <v>class0021</v>
      </c>
      <c r="K42" s="8" t="str">
        <f t="shared" si="21"/>
        <v>dailoneskill0021</v>
      </c>
      <c r="L42" s="5" t="str">
        <f t="shared" si="4"/>
        <v>lootName40,DAIL/items/materia/class0021/Rogue40.dbr,</v>
      </c>
      <c r="M42" s="5" t="str">
        <f t="shared" si="5"/>
        <v>lootWeight40,1,</v>
      </c>
      <c r="N42" t="str">
        <f t="shared" si="6"/>
        <v>3</v>
      </c>
      <c r="O42" t="str">
        <f t="shared" si="16"/>
        <v>copy .\dail_base3.dbr .\items\materia\class0021\Rogue40.dbr /y</v>
      </c>
      <c r="P42" t="str">
        <f t="shared" si="7"/>
        <v>echo relicBitmap,items/craftingparts/components/component_a52_bristlyfur_b.tex, &gt;&gt; .\items\materia\class0021\Rogue40.dbr</v>
      </c>
      <c r="Q42" t="str">
        <f t="shared" si="7"/>
        <v>echo itemCost,500000, &gt;&gt; .\items\materia\class0021\Rogue40.dbr</v>
      </c>
      <c r="R42" t="str">
        <f t="shared" si="7"/>
        <v>echo description,dailCompDescRogue40, &gt;&gt; .\items\materia\class0021\Rogue40.dbr</v>
      </c>
      <c r="S42" t="str">
        <f t="shared" si="7"/>
        <v>echo itemText,dailCompTextRogue40, &gt;&gt; .\items\materia\class0021\Rogue40.dbr</v>
      </c>
      <c r="T42" t="str">
        <f t="shared" si="7"/>
        <v>echo augmentSkillLevel1,3, &gt;&gt; .\items\materia\class0021\Rogue40.dbr</v>
      </c>
      <c r="U42" t="str">
        <f t="shared" si="7"/>
        <v>echo augmentSkillName1,records/skillsstealth/flashpowder.dbr,, &gt;&gt; .\items\materia\class0021\Rogue40.dbr</v>
      </c>
      <c r="V42" s="5" t="s">
        <v>36</v>
      </c>
      <c r="W42" t="str">
        <f t="shared" si="8"/>
        <v>echo lootName40,DAIL/items/materia/class0021/Rogue40.dbr, &gt;&gt; .\items\loottables\dailoneskill0021.dbr</v>
      </c>
      <c r="X42" t="str">
        <f t="shared" si="8"/>
        <v>echo lootWeight40,1, &gt;&gt; .\items\loottables\dailoneskill0021.dbr</v>
      </c>
      <c r="Y42" s="5" t="s">
        <v>36</v>
      </c>
      <c r="Z42" t="str">
        <f t="shared" si="9"/>
        <v xml:space="preserve"> dailCompDescRogue40=^pRogue's Gift of DAIL</v>
      </c>
      <c r="AA42" t="str">
        <f t="shared" si="17"/>
        <v>dailCompTextRogue40=^oThis feels warm to the touch, almost familiar ^w(This component only fits into the Medal Slot)</v>
      </c>
      <c r="AB42" s="5" t="s">
        <v>36</v>
      </c>
      <c r="AH42">
        <f t="shared" si="19"/>
        <v>37</v>
      </c>
      <c r="AI42">
        <f t="shared" si="13"/>
        <v>24</v>
      </c>
      <c r="AJ42">
        <f t="shared" si="18"/>
        <v>3</v>
      </c>
    </row>
    <row r="43" spans="1:36" x14ac:dyDescent="0.25">
      <c r="A43" s="5" t="s">
        <v>39</v>
      </c>
      <c r="B43" s="5" t="s">
        <v>30</v>
      </c>
      <c r="C43" s="5" t="str">
        <f t="shared" si="0"/>
        <v>description,dailCompDescRogue41,</v>
      </c>
      <c r="D43" s="5" t="str">
        <f t="shared" si="2"/>
        <v>itemText,dailCompTextRogue41,</v>
      </c>
      <c r="E43" s="5" t="str">
        <f t="shared" si="14"/>
        <v>augmentSkillLevel1,3,</v>
      </c>
      <c r="F43" s="5" t="str">
        <f t="shared" si="15"/>
        <v>augmentSkillName1,records/skillsstealth/laytrap.dbr,,</v>
      </c>
      <c r="G43" s="7">
        <f t="shared" si="10"/>
        <v>41</v>
      </c>
      <c r="H43" s="8" t="str">
        <f t="shared" si="11"/>
        <v>Rogue</v>
      </c>
      <c r="I43" s="3" t="s">
        <v>700</v>
      </c>
      <c r="J43" s="8" t="str">
        <f t="shared" si="21"/>
        <v>class0021</v>
      </c>
      <c r="K43" s="8" t="str">
        <f t="shared" si="21"/>
        <v>dailoneskill0021</v>
      </c>
      <c r="L43" s="5" t="str">
        <f t="shared" si="4"/>
        <v>lootName41,DAIL/items/materia/class0021/Rogue41.dbr,</v>
      </c>
      <c r="M43" s="5" t="str">
        <f t="shared" si="5"/>
        <v>lootWeight41,1,</v>
      </c>
      <c r="N43" t="str">
        <f t="shared" si="6"/>
        <v>3</v>
      </c>
      <c r="O43" t="str">
        <f t="shared" si="16"/>
        <v>copy .\dail_base3.dbr .\items\materia\class0021\Rogue41.dbr /y</v>
      </c>
      <c r="P43" t="str">
        <f t="shared" si="7"/>
        <v>echo relicBitmap,items/craftingparts/components/component_a52_bristlyfur_b.tex, &gt;&gt; .\items\materia\class0021\Rogue41.dbr</v>
      </c>
      <c r="Q43" t="str">
        <f t="shared" si="7"/>
        <v>echo itemCost,500000, &gt;&gt; .\items\materia\class0021\Rogue41.dbr</v>
      </c>
      <c r="R43" t="str">
        <f t="shared" si="7"/>
        <v>echo description,dailCompDescRogue41, &gt;&gt; .\items\materia\class0021\Rogue41.dbr</v>
      </c>
      <c r="S43" t="str">
        <f t="shared" si="7"/>
        <v>echo itemText,dailCompTextRogue41, &gt;&gt; .\items\materia\class0021\Rogue41.dbr</v>
      </c>
      <c r="T43" t="str">
        <f t="shared" si="7"/>
        <v>echo augmentSkillLevel1,3, &gt;&gt; .\items\materia\class0021\Rogue41.dbr</v>
      </c>
      <c r="U43" t="str">
        <f t="shared" si="7"/>
        <v>echo augmentSkillName1,records/skillsstealth/laytrap.dbr,, &gt;&gt; .\items\materia\class0021\Rogue41.dbr</v>
      </c>
      <c r="V43" s="5" t="s">
        <v>36</v>
      </c>
      <c r="W43" t="str">
        <f t="shared" si="8"/>
        <v>echo lootName41,DAIL/items/materia/class0021/Rogue41.dbr, &gt;&gt; .\items\loottables\dailoneskill0021.dbr</v>
      </c>
      <c r="X43" t="str">
        <f t="shared" si="8"/>
        <v>echo lootWeight41,1, &gt;&gt; .\items\loottables\dailoneskill0021.dbr</v>
      </c>
      <c r="Y43" s="5" t="s">
        <v>36</v>
      </c>
      <c r="Z43" t="str">
        <f t="shared" si="9"/>
        <v xml:space="preserve"> dailCompDescRogue41=^pRogue's Gift of DAIL</v>
      </c>
      <c r="AA43" t="str">
        <f t="shared" si="17"/>
        <v>dailCompTextRogue41=^oThis feels warm to the touch, almost familiar ^w(This component only fits into the Medal Slot)</v>
      </c>
      <c r="AB43" s="5" t="s">
        <v>36</v>
      </c>
      <c r="AH43">
        <f t="shared" si="19"/>
        <v>38</v>
      </c>
      <c r="AI43">
        <f t="shared" si="13"/>
        <v>20</v>
      </c>
      <c r="AJ43">
        <f t="shared" si="18"/>
        <v>3</v>
      </c>
    </row>
    <row r="44" spans="1:36" x14ac:dyDescent="0.25">
      <c r="A44" s="5" t="s">
        <v>39</v>
      </c>
      <c r="B44" s="5" t="s">
        <v>30</v>
      </c>
      <c r="C44" s="5" t="str">
        <f t="shared" si="0"/>
        <v>description,dailCompDescRogue42,</v>
      </c>
      <c r="D44" s="5" t="str">
        <f t="shared" si="2"/>
        <v>itemText,dailCompTextRogue42,</v>
      </c>
      <c r="E44" s="5" t="str">
        <f t="shared" si="14"/>
        <v>augmentSkillLevel1,3,</v>
      </c>
      <c r="F44" s="5" t="str">
        <f t="shared" si="15"/>
        <v>augmentSkillName1,records/skillsstealth/laytrap_rapidconstruction.dbr,,</v>
      </c>
      <c r="G44" s="7">
        <f t="shared" si="10"/>
        <v>42</v>
      </c>
      <c r="H44" s="8" t="str">
        <f t="shared" si="11"/>
        <v>Rogue</v>
      </c>
      <c r="I44" s="3" t="s">
        <v>701</v>
      </c>
      <c r="J44" s="8" t="str">
        <f t="shared" si="21"/>
        <v>class0021</v>
      </c>
      <c r="K44" s="8" t="str">
        <f t="shared" si="21"/>
        <v>dailoneskill0021</v>
      </c>
      <c r="L44" s="5" t="str">
        <f t="shared" si="4"/>
        <v>lootName42,DAIL/items/materia/class0021/Rogue42.dbr,</v>
      </c>
      <c r="M44" s="5" t="str">
        <f t="shared" si="5"/>
        <v>lootWeight42,1,</v>
      </c>
      <c r="N44" t="str">
        <f t="shared" si="6"/>
        <v>3</v>
      </c>
      <c r="O44" t="str">
        <f t="shared" si="16"/>
        <v>copy .\dail_base3.dbr .\items\materia\class0021\Rogue42.dbr /y</v>
      </c>
      <c r="P44" t="str">
        <f t="shared" si="7"/>
        <v>echo relicBitmap,items/craftingparts/components/component_a52_bristlyfur_b.tex, &gt;&gt; .\items\materia\class0021\Rogue42.dbr</v>
      </c>
      <c r="Q44" t="str">
        <f t="shared" si="7"/>
        <v>echo itemCost,500000, &gt;&gt; .\items\materia\class0021\Rogue42.dbr</v>
      </c>
      <c r="R44" t="str">
        <f t="shared" si="7"/>
        <v>echo description,dailCompDescRogue42, &gt;&gt; .\items\materia\class0021\Rogue42.dbr</v>
      </c>
      <c r="S44" t="str">
        <f t="shared" si="7"/>
        <v>echo itemText,dailCompTextRogue42, &gt;&gt; .\items\materia\class0021\Rogue42.dbr</v>
      </c>
      <c r="T44" t="str">
        <f t="shared" si="7"/>
        <v>echo augmentSkillLevel1,3, &gt;&gt; .\items\materia\class0021\Rogue42.dbr</v>
      </c>
      <c r="U44" t="str">
        <f t="shared" si="7"/>
        <v>echo augmentSkillName1,records/skillsstealth/laytrap_rapidconstruction.dbr,, &gt;&gt; .\items\materia\class0021\Rogue42.dbr</v>
      </c>
      <c r="V44" s="5" t="s">
        <v>36</v>
      </c>
      <c r="W44" t="str">
        <f t="shared" si="8"/>
        <v>echo lootName42,DAIL/items/materia/class0021/Rogue42.dbr, &gt;&gt; .\items\loottables\dailoneskill0021.dbr</v>
      </c>
      <c r="X44" t="str">
        <f t="shared" si="8"/>
        <v>echo lootWeight42,1, &gt;&gt; .\items\loottables\dailoneskill0021.dbr</v>
      </c>
      <c r="Y44" s="5" t="s">
        <v>36</v>
      </c>
      <c r="Z44" t="str">
        <f t="shared" si="9"/>
        <v xml:space="preserve"> dailCompDescRogue42=^pRogue's Gift of DAIL</v>
      </c>
      <c r="AA44" t="str">
        <f t="shared" si="17"/>
        <v>dailCompTextRogue42=^oThis feels warm to the touch, almost familiar ^w(This component only fits into the Medal Slot)</v>
      </c>
      <c r="AB44" s="5" t="s">
        <v>36</v>
      </c>
      <c r="AH44">
        <f t="shared" si="19"/>
        <v>39</v>
      </c>
      <c r="AI44">
        <f t="shared" si="13"/>
        <v>38</v>
      </c>
      <c r="AJ44">
        <f t="shared" si="18"/>
        <v>3</v>
      </c>
    </row>
    <row r="45" spans="1:36" x14ac:dyDescent="0.25">
      <c r="A45" s="5" t="s">
        <v>39</v>
      </c>
      <c r="B45" s="5" t="s">
        <v>30</v>
      </c>
      <c r="C45" s="5" t="str">
        <f t="shared" si="0"/>
        <v>description,dailCompDescRogue43,</v>
      </c>
      <c r="D45" s="5" t="str">
        <f t="shared" si="2"/>
        <v>itemText,dailCompTextRogue43,</v>
      </c>
      <c r="E45" s="5" t="str">
        <f t="shared" si="14"/>
        <v>augmentSkillLevel1,5,</v>
      </c>
      <c r="F45" s="5" t="str">
        <f t="shared" si="15"/>
        <v>augmentSkillName1,records/skillsstealth/laytrap_petmodifier_multishotbolttrap.dbr,,</v>
      </c>
      <c r="G45" s="7">
        <f t="shared" si="10"/>
        <v>43</v>
      </c>
      <c r="H45" s="8" t="str">
        <f t="shared" si="11"/>
        <v>Rogue</v>
      </c>
      <c r="I45" s="3" t="s">
        <v>702</v>
      </c>
      <c r="J45" s="8" t="str">
        <f t="shared" si="21"/>
        <v>class0021</v>
      </c>
      <c r="K45" s="8" t="str">
        <f t="shared" si="21"/>
        <v>dailoneskill0021</v>
      </c>
      <c r="L45" s="5" t="str">
        <f t="shared" si="4"/>
        <v>lootName43,DAIL/items/materia/class0021/Rogue43.dbr,</v>
      </c>
      <c r="M45" s="5" t="str">
        <f t="shared" si="5"/>
        <v>lootWeight43,1,</v>
      </c>
      <c r="N45" t="str">
        <f t="shared" si="6"/>
        <v>5</v>
      </c>
      <c r="O45" t="str">
        <f t="shared" si="16"/>
        <v>copy .\dail_base3.dbr .\items\materia\class0021\Rogue43.dbr /y</v>
      </c>
      <c r="P45" t="str">
        <f t="shared" si="7"/>
        <v>echo relicBitmap,items/craftingparts/components/component_a52_bristlyfur_b.tex, &gt;&gt; .\items\materia\class0021\Rogue43.dbr</v>
      </c>
      <c r="Q45" t="str">
        <f t="shared" si="7"/>
        <v>echo itemCost,500000, &gt;&gt; .\items\materia\class0021\Rogue43.dbr</v>
      </c>
      <c r="R45" t="str">
        <f t="shared" si="7"/>
        <v>echo description,dailCompDescRogue43, &gt;&gt; .\items\materia\class0021\Rogue43.dbr</v>
      </c>
      <c r="S45" t="str">
        <f t="shared" si="7"/>
        <v>echo itemText,dailCompTextRogue43, &gt;&gt; .\items\materia\class0021\Rogue43.dbr</v>
      </c>
      <c r="T45" t="str">
        <f t="shared" si="7"/>
        <v>echo augmentSkillLevel1,5, &gt;&gt; .\items\materia\class0021\Rogue43.dbr</v>
      </c>
      <c r="U45" t="str">
        <f t="shared" si="7"/>
        <v>echo augmentSkillName1,records/skillsstealth/laytrap_petmodifier_multishotbolttrap.dbr,, &gt;&gt; .\items\materia\class0021\Rogue43.dbr</v>
      </c>
      <c r="V45" s="5" t="s">
        <v>36</v>
      </c>
      <c r="W45" t="str">
        <f t="shared" si="8"/>
        <v>echo lootName43,DAIL/items/materia/class0021/Rogue43.dbr, &gt;&gt; .\items\loottables\dailoneskill0021.dbr</v>
      </c>
      <c r="X45" t="str">
        <f t="shared" si="8"/>
        <v>echo lootWeight43,1, &gt;&gt; .\items\loottables\dailoneskill0021.dbr</v>
      </c>
      <c r="Y45" s="5" t="s">
        <v>36</v>
      </c>
      <c r="Z45" t="str">
        <f t="shared" si="9"/>
        <v xml:space="preserve"> dailCompDescRogue43=^pRogue's Gift of DAIL</v>
      </c>
      <c r="AA45" t="str">
        <f t="shared" si="17"/>
        <v>dailCompTextRogue43=^oThis feels warm to the touch, almost familiar ^w(This component only fits into the Medal Slot)</v>
      </c>
      <c r="AB45" s="5" t="s">
        <v>36</v>
      </c>
      <c r="AH45">
        <f t="shared" si="19"/>
        <v>40</v>
      </c>
      <c r="AI45">
        <f t="shared" si="13"/>
        <v>50</v>
      </c>
      <c r="AJ45">
        <f t="shared" si="18"/>
        <v>5</v>
      </c>
    </row>
    <row r="46" spans="1:36" x14ac:dyDescent="0.25">
      <c r="A46" s="5" t="s">
        <v>39</v>
      </c>
      <c r="B46" s="5" t="s">
        <v>30</v>
      </c>
      <c r="C46" s="5" t="str">
        <f t="shared" si="0"/>
        <v>description,dailCompDescRogue44,</v>
      </c>
      <c r="D46" s="5" t="str">
        <f t="shared" si="2"/>
        <v>itemText,dailCompTextRogue44,</v>
      </c>
      <c r="E46" s="5" t="str">
        <f t="shared" si="14"/>
        <v>augmentSkillLevel1,5,</v>
      </c>
      <c r="F46" s="5" t="str">
        <f t="shared" si="15"/>
        <v>augmentSkillName1,records/skillsstealth/envenomweapon.dbr,,</v>
      </c>
      <c r="G46" s="7">
        <f t="shared" si="10"/>
        <v>44</v>
      </c>
      <c r="H46" s="8" t="str">
        <f t="shared" si="11"/>
        <v>Rogue</v>
      </c>
      <c r="I46" s="3" t="s">
        <v>683</v>
      </c>
      <c r="J46" s="8" t="str">
        <f t="shared" si="21"/>
        <v>class0021</v>
      </c>
      <c r="K46" s="8" t="str">
        <f t="shared" si="21"/>
        <v>dailoneskill0021</v>
      </c>
      <c r="L46" s="5" t="str">
        <f t="shared" si="4"/>
        <v>lootName44,DAIL/items/materia/class0021/Rogue44.dbr,</v>
      </c>
      <c r="M46" s="5" t="str">
        <f t="shared" si="5"/>
        <v>lootWeight44,1,</v>
      </c>
      <c r="N46" t="str">
        <f t="shared" si="6"/>
        <v>5</v>
      </c>
      <c r="O46" t="str">
        <f t="shared" si="16"/>
        <v>copy .\dail_base3.dbr .\items\materia\class0021\Rogue44.dbr /y</v>
      </c>
      <c r="P46" t="str">
        <f t="shared" si="7"/>
        <v>echo relicBitmap,items/craftingparts/components/component_a52_bristlyfur_b.tex, &gt;&gt; .\items\materia\class0021\Rogue44.dbr</v>
      </c>
      <c r="Q46" t="str">
        <f t="shared" si="7"/>
        <v>echo itemCost,500000, &gt;&gt; .\items\materia\class0021\Rogue44.dbr</v>
      </c>
      <c r="R46" t="str">
        <f t="shared" si="7"/>
        <v>echo description,dailCompDescRogue44, &gt;&gt; .\items\materia\class0021\Rogue44.dbr</v>
      </c>
      <c r="S46" t="str">
        <f t="shared" si="7"/>
        <v>echo itemText,dailCompTextRogue44, &gt;&gt; .\items\materia\class0021\Rogue44.dbr</v>
      </c>
      <c r="T46" t="str">
        <f t="shared" si="7"/>
        <v>echo augmentSkillLevel1,5, &gt;&gt; .\items\materia\class0021\Rogue44.dbr</v>
      </c>
      <c r="U46" t="str">
        <f t="shared" si="7"/>
        <v>echo augmentSkillName1,records/skillsstealth/envenomweapon.dbr,, &gt;&gt; .\items\materia\class0021\Rogue44.dbr</v>
      </c>
      <c r="V46" s="5" t="s">
        <v>36</v>
      </c>
      <c r="W46" t="str">
        <f t="shared" si="8"/>
        <v>echo lootName44,DAIL/items/materia/class0021/Rogue44.dbr, &gt;&gt; .\items\loottables\dailoneskill0021.dbr</v>
      </c>
      <c r="X46" t="str">
        <f t="shared" si="8"/>
        <v>echo lootWeight44,1, &gt;&gt; .\items\loottables\dailoneskill0021.dbr</v>
      </c>
      <c r="Y46" s="5" t="s">
        <v>36</v>
      </c>
      <c r="Z46" t="str">
        <f t="shared" si="9"/>
        <v xml:space="preserve"> dailCompDescRogue44=^pRogue's Gift of DAIL</v>
      </c>
      <c r="AA46" t="str">
        <f t="shared" si="17"/>
        <v>dailCompTextRogue44=^oThis feels warm to the touch, almost familiar ^w(This component only fits into the Medal Slot)</v>
      </c>
      <c r="AB46" s="5" t="s">
        <v>36</v>
      </c>
      <c r="AH46">
        <f t="shared" si="19"/>
        <v>41</v>
      </c>
      <c r="AI46">
        <f t="shared" si="13"/>
        <v>26</v>
      </c>
      <c r="AJ46">
        <f t="shared" si="18"/>
        <v>5</v>
      </c>
    </row>
    <row r="47" spans="1:36" x14ac:dyDescent="0.25">
      <c r="A47" s="5" t="s">
        <v>39</v>
      </c>
      <c r="B47" s="5" t="s">
        <v>30</v>
      </c>
      <c r="C47" s="5" t="str">
        <f t="shared" si="0"/>
        <v>description,dailCompDescRogue45,</v>
      </c>
      <c r="D47" s="5" t="str">
        <f t="shared" si="2"/>
        <v>itemText,dailCompTextRogue45,</v>
      </c>
      <c r="E47" s="5" t="str">
        <f t="shared" si="14"/>
        <v>augmentSkillLevel1,5,</v>
      </c>
      <c r="F47" s="5" t="str">
        <f t="shared" si="15"/>
        <v>augmentSkillName1,records/skillsstealth/envenomweapon_neurotoxin.dbr,,</v>
      </c>
      <c r="G47" s="7">
        <f t="shared" si="10"/>
        <v>45</v>
      </c>
      <c r="H47" s="8" t="str">
        <f t="shared" si="11"/>
        <v>Rogue</v>
      </c>
      <c r="I47" s="3" t="s">
        <v>684</v>
      </c>
      <c r="J47" s="8" t="str">
        <f t="shared" si="21"/>
        <v>class0021</v>
      </c>
      <c r="K47" s="8" t="str">
        <f t="shared" si="21"/>
        <v>dailoneskill0021</v>
      </c>
      <c r="L47" s="5" t="str">
        <f t="shared" si="4"/>
        <v>lootName45,DAIL/items/materia/class0021/Rogue45.dbr,</v>
      </c>
      <c r="M47" s="5" t="str">
        <f t="shared" si="5"/>
        <v>lootWeight45,1,</v>
      </c>
      <c r="N47" t="str">
        <f t="shared" si="6"/>
        <v>5</v>
      </c>
      <c r="O47" t="str">
        <f t="shared" si="16"/>
        <v>copy .\dail_base3.dbr .\items\materia\class0021\Rogue45.dbr /y</v>
      </c>
      <c r="P47" t="str">
        <f t="shared" si="7"/>
        <v>echo relicBitmap,items/craftingparts/components/component_a52_bristlyfur_b.tex, &gt;&gt; .\items\materia\class0021\Rogue45.dbr</v>
      </c>
      <c r="Q47" t="str">
        <f t="shared" si="7"/>
        <v>echo itemCost,500000, &gt;&gt; .\items\materia\class0021\Rogue45.dbr</v>
      </c>
      <c r="R47" t="str">
        <f t="shared" si="7"/>
        <v>echo description,dailCompDescRogue45, &gt;&gt; .\items\materia\class0021\Rogue45.dbr</v>
      </c>
      <c r="S47" t="str">
        <f t="shared" si="7"/>
        <v>echo itemText,dailCompTextRogue45, &gt;&gt; .\items\materia\class0021\Rogue45.dbr</v>
      </c>
      <c r="T47" t="str">
        <f t="shared" si="7"/>
        <v>echo augmentSkillLevel1,5, &gt;&gt; .\items\materia\class0021\Rogue45.dbr</v>
      </c>
      <c r="U47" t="str">
        <f t="shared" si="7"/>
        <v>echo augmentSkillName1,records/skillsstealth/envenomweapon_neurotoxin.dbr,, &gt;&gt; .\items\materia\class0021\Rogue45.dbr</v>
      </c>
      <c r="V47" s="5" t="s">
        <v>36</v>
      </c>
      <c r="W47" t="str">
        <f t="shared" si="8"/>
        <v>echo lootName45,DAIL/items/materia/class0021/Rogue45.dbr, &gt;&gt; .\items\loottables\dailoneskill0021.dbr</v>
      </c>
      <c r="X47" t="str">
        <f t="shared" si="8"/>
        <v>echo lootWeight45,1, &gt;&gt; .\items\loottables\dailoneskill0021.dbr</v>
      </c>
      <c r="Y47" s="5" t="s">
        <v>36</v>
      </c>
      <c r="Z47" t="str">
        <f t="shared" si="9"/>
        <v xml:space="preserve"> dailCompDescRogue45=^pRogue's Gift of DAIL</v>
      </c>
      <c r="AA47" t="str">
        <f t="shared" si="17"/>
        <v>dailCompTextRogue45=^oThis feels warm to the touch, almost familiar ^w(This component only fits into the Medal Slot)</v>
      </c>
      <c r="AB47" s="5" t="s">
        <v>36</v>
      </c>
      <c r="AH47">
        <f t="shared" si="19"/>
        <v>42</v>
      </c>
      <c r="AI47">
        <f t="shared" si="13"/>
        <v>37</v>
      </c>
      <c r="AJ47">
        <f t="shared" si="18"/>
        <v>5</v>
      </c>
    </row>
    <row r="48" spans="1:36" x14ac:dyDescent="0.25">
      <c r="A48" s="5" t="s">
        <v>39</v>
      </c>
      <c r="B48" s="5" t="s">
        <v>30</v>
      </c>
      <c r="C48" s="5" t="str">
        <f t="shared" si="0"/>
        <v>description,dailCompDescRogue46,</v>
      </c>
      <c r="D48" s="5" t="str">
        <f t="shared" si="2"/>
        <v>itemText,dailCompTextRogue46,</v>
      </c>
      <c r="E48" s="5" t="str">
        <f t="shared" si="14"/>
        <v>augmentSkillLevel1,5,</v>
      </c>
      <c r="F48" s="5" t="str">
        <f t="shared" si="15"/>
        <v>augmentSkillName1,records/skillsstealth/toxindistillation.dbr,,</v>
      </c>
      <c r="G48" s="7">
        <f t="shared" si="10"/>
        <v>46</v>
      </c>
      <c r="H48" s="8" t="str">
        <f t="shared" si="11"/>
        <v>Rogue</v>
      </c>
      <c r="I48" s="3" t="s">
        <v>685</v>
      </c>
      <c r="J48" s="8" t="str">
        <f t="shared" si="21"/>
        <v>class0021</v>
      </c>
      <c r="K48" s="8" t="str">
        <f t="shared" si="21"/>
        <v>dailoneskill0021</v>
      </c>
      <c r="L48" s="5" t="str">
        <f t="shared" si="4"/>
        <v>lootName46,DAIL/items/materia/class0021/Rogue46.dbr,</v>
      </c>
      <c r="M48" s="5" t="str">
        <f t="shared" si="5"/>
        <v>lootWeight46,1,</v>
      </c>
      <c r="N48" t="str">
        <f t="shared" si="6"/>
        <v>5</v>
      </c>
      <c r="O48" t="str">
        <f t="shared" si="16"/>
        <v>copy .\dail_base3.dbr .\items\materia\class0021\Rogue46.dbr /y</v>
      </c>
      <c r="P48" t="str">
        <f t="shared" si="7"/>
        <v>echo relicBitmap,items/craftingparts/components/component_a52_bristlyfur_b.tex, &gt;&gt; .\items\materia\class0021\Rogue46.dbr</v>
      </c>
      <c r="Q48" t="str">
        <f t="shared" si="7"/>
        <v>echo itemCost,500000, &gt;&gt; .\items\materia\class0021\Rogue46.dbr</v>
      </c>
      <c r="R48" t="str">
        <f t="shared" si="7"/>
        <v>echo description,dailCompDescRogue46, &gt;&gt; .\items\materia\class0021\Rogue46.dbr</v>
      </c>
      <c r="S48" t="str">
        <f t="shared" si="7"/>
        <v>echo itemText,dailCompTextRogue46, &gt;&gt; .\items\materia\class0021\Rogue46.dbr</v>
      </c>
      <c r="T48" t="str">
        <f t="shared" si="7"/>
        <v>echo augmentSkillLevel1,5, &gt;&gt; .\items\materia\class0021\Rogue46.dbr</v>
      </c>
      <c r="U48" t="str">
        <f t="shared" si="7"/>
        <v>echo augmentSkillName1,records/skillsstealth/toxindistillation.dbr,, &gt;&gt; .\items\materia\class0021\Rogue46.dbr</v>
      </c>
      <c r="V48" s="5" t="s">
        <v>36</v>
      </c>
      <c r="W48" t="str">
        <f t="shared" si="8"/>
        <v>echo lootName46,DAIL/items/materia/class0021/Rogue46.dbr, &gt;&gt; .\items\loottables\dailoneskill0021.dbr</v>
      </c>
      <c r="X48" t="str">
        <f t="shared" si="8"/>
        <v>echo lootWeight46,1, &gt;&gt; .\items\loottables\dailoneskill0021.dbr</v>
      </c>
      <c r="Y48" s="5" t="s">
        <v>36</v>
      </c>
      <c r="Z48" t="str">
        <f t="shared" si="9"/>
        <v xml:space="preserve"> dailCompDescRogue46=^pRogue's Gift of DAIL</v>
      </c>
      <c r="AA48" t="str">
        <f t="shared" si="17"/>
        <v>dailCompTextRogue46=^oThis feels warm to the touch, almost familiar ^w(This component only fits into the Medal Slot)</v>
      </c>
      <c r="AB48" s="5" t="s">
        <v>36</v>
      </c>
      <c r="AH48">
        <f t="shared" si="19"/>
        <v>43</v>
      </c>
      <c r="AI48">
        <f t="shared" si="13"/>
        <v>30</v>
      </c>
      <c r="AJ48">
        <f t="shared" si="18"/>
        <v>5</v>
      </c>
    </row>
    <row r="49" spans="1:36" x14ac:dyDescent="0.25">
      <c r="A49" s="5" t="s">
        <v>39</v>
      </c>
      <c r="B49" s="5" t="s">
        <v>30</v>
      </c>
      <c r="C49" s="5" t="str">
        <f t="shared" si="0"/>
        <v>description,dailCompDescRogue47,</v>
      </c>
      <c r="D49" s="5" t="str">
        <f t="shared" si="2"/>
        <v>itemText,dailCompTextRogue47,</v>
      </c>
      <c r="E49" s="5" t="str">
        <f t="shared" si="14"/>
        <v>augmentSkillLevel1,5,</v>
      </c>
      <c r="F49" s="5" t="str">
        <f t="shared" si="15"/>
        <v>augmentSkillName1,records/skillsstealth/envenomweapon_delirium.dbr,,</v>
      </c>
      <c r="G49" s="7">
        <f t="shared" si="10"/>
        <v>47</v>
      </c>
      <c r="H49" s="8" t="str">
        <f t="shared" si="11"/>
        <v>Rogue</v>
      </c>
      <c r="I49" s="3" t="s">
        <v>686</v>
      </c>
      <c r="J49" s="8" t="str">
        <f t="shared" si="21"/>
        <v>class0021</v>
      </c>
      <c r="K49" s="8" t="str">
        <f t="shared" si="21"/>
        <v>dailoneskill0021</v>
      </c>
      <c r="L49" s="5" t="str">
        <f t="shared" si="4"/>
        <v>lootName47,DAIL/items/materia/class0021/Rogue47.dbr,</v>
      </c>
      <c r="M49" s="5" t="str">
        <f t="shared" si="5"/>
        <v>lootWeight47,1,</v>
      </c>
      <c r="N49" t="str">
        <f t="shared" si="6"/>
        <v>5</v>
      </c>
      <c r="O49" t="str">
        <f t="shared" si="16"/>
        <v>copy .\dail_base3.dbr .\items\materia\class0021\Rogue47.dbr /y</v>
      </c>
      <c r="P49" t="str">
        <f t="shared" si="7"/>
        <v>echo relicBitmap,items/craftingparts/components/component_a52_bristlyfur_b.tex, &gt;&gt; .\items\materia\class0021\Rogue47.dbr</v>
      </c>
      <c r="Q49" t="str">
        <f t="shared" si="7"/>
        <v>echo itemCost,500000, &gt;&gt; .\items\materia\class0021\Rogue47.dbr</v>
      </c>
      <c r="R49" t="str">
        <f t="shared" si="7"/>
        <v>echo description,dailCompDescRogue47, &gt;&gt; .\items\materia\class0021\Rogue47.dbr</v>
      </c>
      <c r="S49" t="str">
        <f t="shared" si="7"/>
        <v>echo itemText,dailCompTextRogue47, &gt;&gt; .\items\materia\class0021\Rogue47.dbr</v>
      </c>
      <c r="T49" t="str">
        <f t="shared" si="7"/>
        <v>echo augmentSkillLevel1,5, &gt;&gt; .\items\materia\class0021\Rogue47.dbr</v>
      </c>
      <c r="U49" t="str">
        <f t="shared" si="7"/>
        <v>echo augmentSkillName1,records/skillsstealth/envenomweapon_delirium.dbr,, &gt;&gt; .\items\materia\class0021\Rogue47.dbr</v>
      </c>
      <c r="V49" s="5" t="s">
        <v>36</v>
      </c>
      <c r="W49" t="str">
        <f t="shared" si="8"/>
        <v>echo lootName47,DAIL/items/materia/class0021/Rogue47.dbr, &gt;&gt; .\items\loottables\dailoneskill0021.dbr</v>
      </c>
      <c r="X49" t="str">
        <f t="shared" si="8"/>
        <v>echo lootWeight47,1, &gt;&gt; .\items\loottables\dailoneskill0021.dbr</v>
      </c>
      <c r="Y49" s="5" t="s">
        <v>36</v>
      </c>
      <c r="Z49" t="str">
        <f t="shared" si="9"/>
        <v xml:space="preserve"> dailCompDescRogue47=^pRogue's Gift of DAIL</v>
      </c>
      <c r="AA49" t="str">
        <f t="shared" si="17"/>
        <v>dailCompTextRogue47=^oThis feels warm to the touch, almost familiar ^w(This component only fits into the Medal Slot)</v>
      </c>
      <c r="AB49" s="5" t="s">
        <v>36</v>
      </c>
      <c r="AH49">
        <f t="shared" si="19"/>
        <v>44</v>
      </c>
      <c r="AI49">
        <f t="shared" si="13"/>
        <v>35</v>
      </c>
      <c r="AJ49">
        <f t="shared" si="18"/>
        <v>5</v>
      </c>
    </row>
    <row r="50" spans="1:36" x14ac:dyDescent="0.25">
      <c r="A50" s="5" t="s">
        <v>39</v>
      </c>
      <c r="B50" s="5" t="s">
        <v>30</v>
      </c>
      <c r="C50" s="5" t="str">
        <f t="shared" si="0"/>
        <v>description,dailCompDescRogue48,</v>
      </c>
      <c r="D50" s="5" t="str">
        <f t="shared" si="2"/>
        <v>itemText,dailCompTextRogue48,</v>
      </c>
      <c r="E50" s="5" t="str">
        <f t="shared" si="14"/>
        <v>augmentSkillLevel1,5,</v>
      </c>
      <c r="F50" s="5" t="str">
        <f t="shared" si="15"/>
        <v>augmentSkillName1,records/skillsstealth/calculatedstrike.dbr,,</v>
      </c>
      <c r="G50" s="7">
        <f t="shared" si="10"/>
        <v>48</v>
      </c>
      <c r="H50" s="8" t="str">
        <f t="shared" si="11"/>
        <v>Rogue</v>
      </c>
      <c r="I50" s="3" t="s">
        <v>687</v>
      </c>
      <c r="J50" s="8" t="str">
        <f t="shared" si="21"/>
        <v>class0021</v>
      </c>
      <c r="K50" s="8" t="str">
        <f t="shared" si="21"/>
        <v>dailoneskill0021</v>
      </c>
      <c r="L50" s="5" t="str">
        <f t="shared" si="4"/>
        <v>lootName48,DAIL/items/materia/class0021/Rogue48.dbr,</v>
      </c>
      <c r="M50" s="5" t="str">
        <f t="shared" si="5"/>
        <v>lootWeight48,1,</v>
      </c>
      <c r="N50" t="str">
        <f t="shared" si="6"/>
        <v>5</v>
      </c>
      <c r="O50" t="str">
        <f t="shared" si="16"/>
        <v>copy .\dail_base3.dbr .\items\materia\class0021\Rogue48.dbr /y</v>
      </c>
      <c r="P50" t="str">
        <f t="shared" si="7"/>
        <v>echo relicBitmap,items/craftingparts/components/component_a52_bristlyfur_b.tex, &gt;&gt; .\items\materia\class0021\Rogue48.dbr</v>
      </c>
      <c r="Q50" t="str">
        <f t="shared" si="7"/>
        <v>echo itemCost,500000, &gt;&gt; .\items\materia\class0021\Rogue48.dbr</v>
      </c>
      <c r="R50" t="str">
        <f t="shared" si="7"/>
        <v>echo description,dailCompDescRogue48, &gt;&gt; .\items\materia\class0021\Rogue48.dbr</v>
      </c>
      <c r="S50" t="str">
        <f t="shared" si="7"/>
        <v>echo itemText,dailCompTextRogue48, &gt;&gt; .\items\materia\class0021\Rogue48.dbr</v>
      </c>
      <c r="T50" t="str">
        <f t="shared" si="7"/>
        <v>echo augmentSkillLevel1,5, &gt;&gt; .\items\materia\class0021\Rogue48.dbr</v>
      </c>
      <c r="U50" t="str">
        <f t="shared" si="7"/>
        <v>echo augmentSkillName1,records/skillsstealth/calculatedstrike.dbr,, &gt;&gt; .\items\materia\class0021\Rogue48.dbr</v>
      </c>
      <c r="V50" s="5" t="s">
        <v>36</v>
      </c>
      <c r="W50" t="str">
        <f t="shared" si="8"/>
        <v>echo lootName48,DAIL/items/materia/class0021/Rogue48.dbr, &gt;&gt; .\items\loottables\dailoneskill0021.dbr</v>
      </c>
      <c r="X50" t="str">
        <f t="shared" si="8"/>
        <v>echo lootWeight48,1, &gt;&gt; .\items\loottables\dailoneskill0021.dbr</v>
      </c>
      <c r="Y50" s="5" t="s">
        <v>36</v>
      </c>
      <c r="Z50" t="str">
        <f t="shared" si="9"/>
        <v xml:space="preserve"> dailCompDescRogue48=^pRogue's Gift of DAIL</v>
      </c>
      <c r="AA50" t="str">
        <f t="shared" si="17"/>
        <v>dailCompTextRogue48=^oThis feels warm to the touch, almost familiar ^w(This component only fits into the Medal Slot)</v>
      </c>
      <c r="AB50" s="5" t="s">
        <v>36</v>
      </c>
      <c r="AH50">
        <f t="shared" si="19"/>
        <v>45</v>
      </c>
      <c r="AI50">
        <f t="shared" si="13"/>
        <v>29</v>
      </c>
      <c r="AJ50">
        <f t="shared" si="18"/>
        <v>5</v>
      </c>
    </row>
    <row r="51" spans="1:36" x14ac:dyDescent="0.25">
      <c r="A51" s="5" t="s">
        <v>39</v>
      </c>
      <c r="B51" s="5" t="s">
        <v>30</v>
      </c>
      <c r="C51" s="5" t="str">
        <f t="shared" si="0"/>
        <v>description,dailCompDescRogue49,</v>
      </c>
      <c r="D51" s="5" t="str">
        <f t="shared" si="2"/>
        <v>itemText,dailCompTextRogue49,</v>
      </c>
      <c r="E51" s="5" t="str">
        <f t="shared" si="14"/>
        <v>augmentSkillLevel1,5,</v>
      </c>
      <c r="F51" s="5" t="str">
        <f t="shared" si="15"/>
        <v>augmentSkillName1,records/skillsstealth/calculatedstrike_luckyhit.dbr,,</v>
      </c>
      <c r="G51" s="7">
        <f t="shared" si="10"/>
        <v>49</v>
      </c>
      <c r="H51" s="8" t="str">
        <f t="shared" si="11"/>
        <v>Rogue</v>
      </c>
      <c r="I51" s="3" t="s">
        <v>688</v>
      </c>
      <c r="J51" s="8" t="str">
        <f t="shared" si="21"/>
        <v>class0021</v>
      </c>
      <c r="K51" s="8" t="str">
        <f t="shared" si="21"/>
        <v>dailoneskill0021</v>
      </c>
      <c r="L51" s="5" t="str">
        <f t="shared" si="4"/>
        <v>lootName49,DAIL/items/materia/class0021/Rogue49.dbr,</v>
      </c>
      <c r="M51" s="5" t="str">
        <f t="shared" si="5"/>
        <v>lootWeight49,1,</v>
      </c>
      <c r="N51" t="str">
        <f t="shared" si="6"/>
        <v>5</v>
      </c>
      <c r="O51" t="str">
        <f t="shared" si="16"/>
        <v>copy .\dail_base3.dbr .\items\materia\class0021\Rogue49.dbr /y</v>
      </c>
      <c r="P51" t="str">
        <f t="shared" si="7"/>
        <v>echo relicBitmap,items/craftingparts/components/component_a52_bristlyfur_b.tex, &gt;&gt; .\items\materia\class0021\Rogue49.dbr</v>
      </c>
      <c r="Q51" t="str">
        <f t="shared" si="7"/>
        <v>echo itemCost,500000, &gt;&gt; .\items\materia\class0021\Rogue49.dbr</v>
      </c>
      <c r="R51" t="str">
        <f t="shared" si="7"/>
        <v>echo description,dailCompDescRogue49, &gt;&gt; .\items\materia\class0021\Rogue49.dbr</v>
      </c>
      <c r="S51" t="str">
        <f t="shared" si="7"/>
        <v>echo itemText,dailCompTextRogue49, &gt;&gt; .\items\materia\class0021\Rogue49.dbr</v>
      </c>
      <c r="T51" t="str">
        <f t="shared" si="7"/>
        <v>echo augmentSkillLevel1,5, &gt;&gt; .\items\materia\class0021\Rogue49.dbr</v>
      </c>
      <c r="U51" t="str">
        <f t="shared" si="7"/>
        <v>echo augmentSkillName1,records/skillsstealth/calculatedstrike_luckyhit.dbr,, &gt;&gt; .\items\materia\class0021\Rogue49.dbr</v>
      </c>
      <c r="V51" s="5" t="s">
        <v>36</v>
      </c>
      <c r="W51" t="str">
        <f t="shared" si="8"/>
        <v>echo lootName49,DAIL/items/materia/class0021/Rogue49.dbr, &gt;&gt; .\items\loottables\dailoneskill0021.dbr</v>
      </c>
      <c r="X51" t="str">
        <f t="shared" si="8"/>
        <v>echo lootWeight49,1, &gt;&gt; .\items\loottables\dailoneskill0021.dbr</v>
      </c>
      <c r="Y51" s="5" t="s">
        <v>36</v>
      </c>
      <c r="Z51" t="str">
        <f t="shared" si="9"/>
        <v xml:space="preserve"> dailCompDescRogue49=^pRogue's Gift of DAIL</v>
      </c>
      <c r="AA51" t="str">
        <f t="shared" si="17"/>
        <v>dailCompTextRogue49=^oThis feels warm to the touch, almost familiar ^w(This component only fits into the Medal Slot)</v>
      </c>
      <c r="AB51" s="5" t="s">
        <v>36</v>
      </c>
      <c r="AH51">
        <f t="shared" si="19"/>
        <v>46</v>
      </c>
      <c r="AI51">
        <f t="shared" si="13"/>
        <v>38</v>
      </c>
      <c r="AJ51">
        <f t="shared" si="18"/>
        <v>5</v>
      </c>
    </row>
    <row r="52" spans="1:36" x14ac:dyDescent="0.25">
      <c r="A52" s="5" t="s">
        <v>39</v>
      </c>
      <c r="B52" s="5" t="s">
        <v>30</v>
      </c>
      <c r="C52" s="5" t="str">
        <f t="shared" si="0"/>
        <v>description,dailCompDescRogue50,</v>
      </c>
      <c r="D52" s="5" t="str">
        <f t="shared" si="2"/>
        <v>itemText,dailCompTextRogue50,</v>
      </c>
      <c r="E52" s="5" t="str">
        <f t="shared" si="14"/>
        <v>augmentSkillLevel1,5,</v>
      </c>
      <c r="F52" s="5" t="str">
        <f t="shared" si="15"/>
        <v>augmentSkillName1,records/skillsstealth/openwound.dbr,,</v>
      </c>
      <c r="G52" s="7">
        <f t="shared" si="10"/>
        <v>50</v>
      </c>
      <c r="H52" s="8" t="str">
        <f t="shared" si="11"/>
        <v>Rogue</v>
      </c>
      <c r="I52" s="3" t="s">
        <v>689</v>
      </c>
      <c r="J52" s="8" t="str">
        <f t="shared" si="21"/>
        <v>class0021</v>
      </c>
      <c r="K52" s="8" t="str">
        <f t="shared" si="21"/>
        <v>dailoneskill0021</v>
      </c>
      <c r="L52" s="5" t="str">
        <f t="shared" si="4"/>
        <v>lootName50,DAIL/items/materia/class0021/Rogue50.dbr,</v>
      </c>
      <c r="M52" s="5" t="str">
        <f t="shared" si="5"/>
        <v>lootWeight50,1,</v>
      </c>
      <c r="N52" t="str">
        <f t="shared" si="6"/>
        <v>5</v>
      </c>
      <c r="O52" t="str">
        <f t="shared" si="16"/>
        <v>copy .\dail_base3.dbr .\items\materia\class0021\Rogue50.dbr /y</v>
      </c>
      <c r="P52" t="str">
        <f t="shared" si="7"/>
        <v>echo relicBitmap,items/craftingparts/components/component_a52_bristlyfur_b.tex, &gt;&gt; .\items\materia\class0021\Rogue50.dbr</v>
      </c>
      <c r="Q52" t="str">
        <f t="shared" si="7"/>
        <v>echo itemCost,500000, &gt;&gt; .\items\materia\class0021\Rogue50.dbr</v>
      </c>
      <c r="R52" t="str">
        <f t="shared" si="7"/>
        <v>echo description,dailCompDescRogue50, &gt;&gt; .\items\materia\class0021\Rogue50.dbr</v>
      </c>
      <c r="S52" t="str">
        <f t="shared" si="7"/>
        <v>echo itemText,dailCompTextRogue50, &gt;&gt; .\items\materia\class0021\Rogue50.dbr</v>
      </c>
      <c r="T52" t="str">
        <f t="shared" si="7"/>
        <v>echo augmentSkillLevel1,5, &gt;&gt; .\items\materia\class0021\Rogue50.dbr</v>
      </c>
      <c r="U52" t="str">
        <f t="shared" si="7"/>
        <v>echo augmentSkillName1,records/skillsstealth/openwound.dbr,, &gt;&gt; .\items\materia\class0021\Rogue50.dbr</v>
      </c>
      <c r="V52" s="5" t="s">
        <v>36</v>
      </c>
      <c r="W52" t="str">
        <f t="shared" si="8"/>
        <v>echo lootName50,DAIL/items/materia/class0021/Rogue50.dbr, &gt;&gt; .\items\loottables\dailoneskill0021.dbr</v>
      </c>
      <c r="X52" t="str">
        <f t="shared" si="8"/>
        <v>echo lootWeight50,1, &gt;&gt; .\items\loottables\dailoneskill0021.dbr</v>
      </c>
      <c r="Y52" s="5" t="s">
        <v>36</v>
      </c>
      <c r="Z52" t="str">
        <f t="shared" si="9"/>
        <v xml:space="preserve"> dailCompDescRogue50=^pRogue's Gift of DAIL</v>
      </c>
      <c r="AA52" t="str">
        <f t="shared" si="17"/>
        <v>dailCompTextRogue50=^oThis feels warm to the touch, almost familiar ^w(This component only fits into the Medal Slot)</v>
      </c>
      <c r="AB52" s="5" t="s">
        <v>36</v>
      </c>
      <c r="AH52">
        <f t="shared" si="19"/>
        <v>47</v>
      </c>
      <c r="AI52">
        <f t="shared" si="13"/>
        <v>22</v>
      </c>
      <c r="AJ52">
        <f t="shared" si="18"/>
        <v>5</v>
      </c>
    </row>
    <row r="53" spans="1:36" x14ac:dyDescent="0.25">
      <c r="A53" s="5" t="s">
        <v>39</v>
      </c>
      <c r="B53" s="5" t="s">
        <v>30</v>
      </c>
      <c r="C53" s="5" t="str">
        <f t="shared" si="0"/>
        <v>description,dailCompDescRogue51,</v>
      </c>
      <c r="D53" s="5" t="str">
        <f t="shared" si="2"/>
        <v>itemText,dailCompTextRogue51,</v>
      </c>
      <c r="E53" s="5" t="str">
        <f t="shared" si="14"/>
        <v>augmentSkillLevel1,5,</v>
      </c>
      <c r="F53" s="5" t="str">
        <f t="shared" si="15"/>
        <v>augmentSkillName1,records/skillsstealth/anatomy.dbr,,</v>
      </c>
      <c r="G53" s="7">
        <f t="shared" si="10"/>
        <v>51</v>
      </c>
      <c r="H53" s="8" t="str">
        <f t="shared" si="11"/>
        <v>Rogue</v>
      </c>
      <c r="I53" s="3" t="s">
        <v>690</v>
      </c>
      <c r="J53" s="8" t="str">
        <f t="shared" ref="J53:K68" si="22">J52</f>
        <v>class0021</v>
      </c>
      <c r="K53" s="8" t="str">
        <f t="shared" si="22"/>
        <v>dailoneskill0021</v>
      </c>
      <c r="L53" s="5" t="str">
        <f t="shared" si="4"/>
        <v>lootName51,DAIL/items/materia/class0021/Rogue51.dbr,</v>
      </c>
      <c r="M53" s="5" t="str">
        <f t="shared" si="5"/>
        <v>lootWeight51,1,</v>
      </c>
      <c r="N53" t="str">
        <f t="shared" si="6"/>
        <v>5</v>
      </c>
      <c r="O53" t="str">
        <f t="shared" si="16"/>
        <v>copy .\dail_base3.dbr .\items\materia\class0021\Rogue51.dbr /y</v>
      </c>
      <c r="P53" t="str">
        <f t="shared" si="7"/>
        <v>echo relicBitmap,items/craftingparts/components/component_a52_bristlyfur_b.tex, &gt;&gt; .\items\materia\class0021\Rogue51.dbr</v>
      </c>
      <c r="Q53" t="str">
        <f t="shared" si="7"/>
        <v>echo itemCost,500000, &gt;&gt; .\items\materia\class0021\Rogue51.dbr</v>
      </c>
      <c r="R53" t="str">
        <f t="shared" si="7"/>
        <v>echo description,dailCompDescRogue51, &gt;&gt; .\items\materia\class0021\Rogue51.dbr</v>
      </c>
      <c r="S53" t="str">
        <f t="shared" si="7"/>
        <v>echo itemText,dailCompTextRogue51, &gt;&gt; .\items\materia\class0021\Rogue51.dbr</v>
      </c>
      <c r="T53" t="str">
        <f t="shared" si="7"/>
        <v>echo augmentSkillLevel1,5, &gt;&gt; .\items\materia\class0021\Rogue51.dbr</v>
      </c>
      <c r="U53" t="str">
        <f t="shared" si="7"/>
        <v>echo augmentSkillName1,records/skillsstealth/anatomy.dbr,, &gt;&gt; .\items\materia\class0021\Rogue51.dbr</v>
      </c>
      <c r="V53" s="5" t="s">
        <v>36</v>
      </c>
      <c r="W53" t="str">
        <f t="shared" si="8"/>
        <v>echo lootName51,DAIL/items/materia/class0021/Rogue51.dbr, &gt;&gt; .\items\loottables\dailoneskill0021.dbr</v>
      </c>
      <c r="X53" t="str">
        <f t="shared" si="8"/>
        <v>echo lootWeight51,1, &gt;&gt; .\items\loottables\dailoneskill0021.dbr</v>
      </c>
      <c r="Y53" s="5" t="s">
        <v>36</v>
      </c>
      <c r="Z53" t="str">
        <f t="shared" si="9"/>
        <v xml:space="preserve"> dailCompDescRogue51=^pRogue's Gift of DAIL</v>
      </c>
      <c r="AA53" t="str">
        <f t="shared" si="17"/>
        <v>dailCompTextRogue51=^oThis feels warm to the touch, almost familiar ^w(This component only fits into the Medal Slot)</v>
      </c>
      <c r="AB53" s="5" t="s">
        <v>36</v>
      </c>
      <c r="AH53">
        <f t="shared" si="19"/>
        <v>48</v>
      </c>
      <c r="AI53">
        <f t="shared" si="13"/>
        <v>20</v>
      </c>
      <c r="AJ53">
        <f t="shared" si="18"/>
        <v>5</v>
      </c>
    </row>
    <row r="54" spans="1:36" x14ac:dyDescent="0.25">
      <c r="A54" s="5" t="s">
        <v>39</v>
      </c>
      <c r="B54" s="5" t="s">
        <v>30</v>
      </c>
      <c r="C54" s="5" t="str">
        <f t="shared" si="0"/>
        <v>description,dailCompDescRogue52,</v>
      </c>
      <c r="D54" s="5" t="str">
        <f t="shared" si="2"/>
        <v>itemText,dailCompTextRogue52,</v>
      </c>
      <c r="E54" s="5" t="str">
        <f t="shared" si="14"/>
        <v>augmentSkillLevel1,5,</v>
      </c>
      <c r="F54" s="5" t="str">
        <f t="shared" si="15"/>
        <v>augmentSkillName1,records/skillsstealth/throwingknife.dbr,,</v>
      </c>
      <c r="G54" s="7">
        <f t="shared" si="10"/>
        <v>52</v>
      </c>
      <c r="H54" s="8" t="str">
        <f t="shared" si="11"/>
        <v>Rogue</v>
      </c>
      <c r="I54" s="3" t="s">
        <v>691</v>
      </c>
      <c r="J54" s="8" t="str">
        <f t="shared" si="22"/>
        <v>class0021</v>
      </c>
      <c r="K54" s="8" t="str">
        <f t="shared" si="22"/>
        <v>dailoneskill0021</v>
      </c>
      <c r="L54" s="5" t="str">
        <f t="shared" si="4"/>
        <v>lootName52,DAIL/items/materia/class0021/Rogue52.dbr,</v>
      </c>
      <c r="M54" s="5" t="str">
        <f t="shared" si="5"/>
        <v>lootWeight52,1,</v>
      </c>
      <c r="N54" t="str">
        <f t="shared" si="6"/>
        <v>5</v>
      </c>
      <c r="O54" t="str">
        <f t="shared" si="16"/>
        <v>copy .\dail_base3.dbr .\items\materia\class0021\Rogue52.dbr /y</v>
      </c>
      <c r="P54" t="str">
        <f t="shared" si="7"/>
        <v>echo relicBitmap,items/craftingparts/components/component_a52_bristlyfur_b.tex, &gt;&gt; .\items\materia\class0021\Rogue52.dbr</v>
      </c>
      <c r="Q54" t="str">
        <f t="shared" si="7"/>
        <v>echo itemCost,500000, &gt;&gt; .\items\materia\class0021\Rogue52.dbr</v>
      </c>
      <c r="R54" t="str">
        <f t="shared" si="7"/>
        <v>echo description,dailCompDescRogue52, &gt;&gt; .\items\materia\class0021\Rogue52.dbr</v>
      </c>
      <c r="S54" t="str">
        <f t="shared" si="7"/>
        <v>echo itemText,dailCompTextRogue52, &gt;&gt; .\items\materia\class0021\Rogue52.dbr</v>
      </c>
      <c r="T54" t="str">
        <f t="shared" si="7"/>
        <v>echo augmentSkillLevel1,5, &gt;&gt; .\items\materia\class0021\Rogue52.dbr</v>
      </c>
      <c r="U54" t="str">
        <f t="shared" si="7"/>
        <v>echo augmentSkillName1,records/skillsstealth/throwingknife.dbr,, &gt;&gt; .\items\materia\class0021\Rogue52.dbr</v>
      </c>
      <c r="V54" s="5" t="s">
        <v>36</v>
      </c>
      <c r="W54" t="str">
        <f t="shared" si="8"/>
        <v>echo lootName52,DAIL/items/materia/class0021/Rogue52.dbr, &gt;&gt; .\items\loottables\dailoneskill0021.dbr</v>
      </c>
      <c r="X54" t="str">
        <f t="shared" si="8"/>
        <v>echo lootWeight52,1, &gt;&gt; .\items\loottables\dailoneskill0021.dbr</v>
      </c>
      <c r="Y54" s="5" t="s">
        <v>36</v>
      </c>
      <c r="Z54" t="str">
        <f t="shared" si="9"/>
        <v xml:space="preserve"> dailCompDescRogue52=^pRogue's Gift of DAIL</v>
      </c>
      <c r="AA54" t="str">
        <f t="shared" si="17"/>
        <v>dailCompTextRogue52=^oThis feels warm to the touch, almost familiar ^w(This component only fits into the Medal Slot)</v>
      </c>
      <c r="AB54" s="5" t="s">
        <v>36</v>
      </c>
      <c r="AH54">
        <f t="shared" si="19"/>
        <v>49</v>
      </c>
      <c r="AI54">
        <f t="shared" si="13"/>
        <v>26</v>
      </c>
      <c r="AJ54">
        <f t="shared" si="18"/>
        <v>5</v>
      </c>
    </row>
    <row r="55" spans="1:36" x14ac:dyDescent="0.25">
      <c r="A55" s="5" t="s">
        <v>39</v>
      </c>
      <c r="B55" s="5" t="s">
        <v>30</v>
      </c>
      <c r="C55" s="5" t="str">
        <f t="shared" si="0"/>
        <v>description,dailCompDescRogue53,</v>
      </c>
      <c r="D55" s="5" t="str">
        <f t="shared" si="2"/>
        <v>itemText,dailCompTextRogue53,</v>
      </c>
      <c r="E55" s="5" t="str">
        <f t="shared" si="14"/>
        <v>augmentSkillLevel1,5,</v>
      </c>
      <c r="F55" s="5" t="str">
        <f t="shared" si="15"/>
        <v>augmentSkillName1,records/skillsstealth/throwingknife_flurryofknives.dbr,,</v>
      </c>
      <c r="G55" s="7">
        <f t="shared" si="10"/>
        <v>53</v>
      </c>
      <c r="H55" s="8" t="str">
        <f t="shared" si="11"/>
        <v>Rogue</v>
      </c>
      <c r="I55" s="3" t="s">
        <v>692</v>
      </c>
      <c r="J55" s="8" t="str">
        <f t="shared" si="22"/>
        <v>class0021</v>
      </c>
      <c r="K55" s="8" t="str">
        <f t="shared" si="22"/>
        <v>dailoneskill0021</v>
      </c>
      <c r="L55" s="5" t="str">
        <f t="shared" si="4"/>
        <v>lootName53,DAIL/items/materia/class0021/Rogue53.dbr,</v>
      </c>
      <c r="M55" s="5" t="str">
        <f t="shared" si="5"/>
        <v>lootWeight53,1,</v>
      </c>
      <c r="N55" t="str">
        <f t="shared" si="6"/>
        <v>5</v>
      </c>
      <c r="O55" t="str">
        <f t="shared" si="16"/>
        <v>copy .\dail_base3.dbr .\items\materia\class0021\Rogue53.dbr /y</v>
      </c>
      <c r="P55" t="str">
        <f t="shared" si="7"/>
        <v>echo relicBitmap,items/craftingparts/components/component_a52_bristlyfur_b.tex, &gt;&gt; .\items\materia\class0021\Rogue53.dbr</v>
      </c>
      <c r="Q55" t="str">
        <f t="shared" si="7"/>
        <v>echo itemCost,500000, &gt;&gt; .\items\materia\class0021\Rogue53.dbr</v>
      </c>
      <c r="R55" t="str">
        <f t="shared" si="7"/>
        <v>echo description,dailCompDescRogue53, &gt;&gt; .\items\materia\class0021\Rogue53.dbr</v>
      </c>
      <c r="S55" t="str">
        <f t="shared" si="7"/>
        <v>echo itemText,dailCompTextRogue53, &gt;&gt; .\items\materia\class0021\Rogue53.dbr</v>
      </c>
      <c r="T55" t="str">
        <f t="shared" si="7"/>
        <v>echo augmentSkillLevel1,5, &gt;&gt; .\items\materia\class0021\Rogue53.dbr</v>
      </c>
      <c r="U55" t="str">
        <f t="shared" si="7"/>
        <v>echo augmentSkillName1,records/skillsstealth/throwingknife_flurryofknives.dbr,, &gt;&gt; .\items\materia\class0021\Rogue53.dbr</v>
      </c>
      <c r="V55" s="5" t="s">
        <v>36</v>
      </c>
      <c r="W55" t="str">
        <f t="shared" si="8"/>
        <v>echo lootName53,DAIL/items/materia/class0021/Rogue53.dbr, &gt;&gt; .\items\loottables\dailoneskill0021.dbr</v>
      </c>
      <c r="X55" t="str">
        <f t="shared" si="8"/>
        <v>echo lootWeight53,1, &gt;&gt; .\items\loottables\dailoneskill0021.dbr</v>
      </c>
      <c r="Y55" s="5" t="s">
        <v>36</v>
      </c>
      <c r="Z55" t="str">
        <f t="shared" si="9"/>
        <v xml:space="preserve"> dailCompDescRogue53=^pRogue's Gift of DAIL</v>
      </c>
      <c r="AA55" t="str">
        <f t="shared" si="17"/>
        <v>dailCompTextRogue53=^oThis feels warm to the touch, almost familiar ^w(This component only fits into the Medal Slot)</v>
      </c>
      <c r="AB55" s="5" t="s">
        <v>36</v>
      </c>
      <c r="AH55">
        <f t="shared" si="19"/>
        <v>50</v>
      </c>
      <c r="AI55">
        <f t="shared" si="13"/>
        <v>41</v>
      </c>
      <c r="AJ55">
        <f t="shared" si="18"/>
        <v>5</v>
      </c>
    </row>
    <row r="56" spans="1:36" x14ac:dyDescent="0.25">
      <c r="A56" s="5" t="s">
        <v>39</v>
      </c>
      <c r="B56" s="5" t="s">
        <v>30</v>
      </c>
      <c r="C56" s="5" t="str">
        <f t="shared" si="0"/>
        <v>description,dailCompDescRogue54,</v>
      </c>
      <c r="D56" s="5" t="str">
        <f t="shared" si="2"/>
        <v>itemText,dailCompTextRogue54,</v>
      </c>
      <c r="E56" s="5" t="str">
        <f t="shared" si="14"/>
        <v>augmentSkillLevel1,5,</v>
      </c>
      <c r="F56" s="5" t="str">
        <f t="shared" si="15"/>
        <v>augmentSkillName1,records/skillsstealth/bladehoning.dbr,,</v>
      </c>
      <c r="G56" s="7">
        <f t="shared" si="10"/>
        <v>54</v>
      </c>
      <c r="H56" s="8" t="str">
        <f t="shared" si="11"/>
        <v>Rogue</v>
      </c>
      <c r="I56" s="3" t="s">
        <v>693</v>
      </c>
      <c r="J56" s="8" t="str">
        <f t="shared" si="22"/>
        <v>class0021</v>
      </c>
      <c r="K56" s="8" t="str">
        <f t="shared" si="22"/>
        <v>dailoneskill0021</v>
      </c>
      <c r="L56" s="5" t="str">
        <f t="shared" si="4"/>
        <v>lootName54,DAIL/items/materia/class0021/Rogue54.dbr,</v>
      </c>
      <c r="M56" s="5" t="str">
        <f t="shared" si="5"/>
        <v>lootWeight54,1,</v>
      </c>
      <c r="N56" t="str">
        <f t="shared" si="6"/>
        <v>5</v>
      </c>
      <c r="O56" t="str">
        <f t="shared" si="16"/>
        <v>copy .\dail_base3.dbr .\items\materia\class0021\Rogue54.dbr /y</v>
      </c>
      <c r="P56" t="str">
        <f t="shared" si="7"/>
        <v>echo relicBitmap,items/craftingparts/components/component_a52_bristlyfur_b.tex, &gt;&gt; .\items\materia\class0021\Rogue54.dbr</v>
      </c>
      <c r="Q56" t="str">
        <f t="shared" si="7"/>
        <v>echo itemCost,500000, &gt;&gt; .\items\materia\class0021\Rogue54.dbr</v>
      </c>
      <c r="R56" t="str">
        <f t="shared" si="7"/>
        <v>echo description,dailCompDescRogue54, &gt;&gt; .\items\materia\class0021\Rogue54.dbr</v>
      </c>
      <c r="S56" t="str">
        <f t="shared" si="7"/>
        <v>echo itemText,dailCompTextRogue54, &gt;&gt; .\items\materia\class0021\Rogue54.dbr</v>
      </c>
      <c r="T56" t="str">
        <f t="shared" si="7"/>
        <v>echo augmentSkillLevel1,5, &gt;&gt; .\items\materia\class0021\Rogue54.dbr</v>
      </c>
      <c r="U56" t="str">
        <f t="shared" si="7"/>
        <v>echo augmentSkillName1,records/skillsstealth/bladehoning.dbr,, &gt;&gt; .\items\materia\class0021\Rogue54.dbr</v>
      </c>
      <c r="V56" s="5" t="s">
        <v>36</v>
      </c>
      <c r="W56" t="str">
        <f t="shared" si="8"/>
        <v>echo lootName54,DAIL/items/materia/class0021/Rogue54.dbr, &gt;&gt; .\items\loottables\dailoneskill0021.dbr</v>
      </c>
      <c r="X56" t="str">
        <f t="shared" si="8"/>
        <v>echo lootWeight54,1, &gt;&gt; .\items\loottables\dailoneskill0021.dbr</v>
      </c>
      <c r="Y56" s="5" t="s">
        <v>36</v>
      </c>
      <c r="Z56" t="str">
        <f t="shared" si="9"/>
        <v xml:space="preserve"> dailCompDescRogue54=^pRogue's Gift of DAIL</v>
      </c>
      <c r="AA56" t="str">
        <f t="shared" si="17"/>
        <v>dailCompTextRogue54=^oThis feels warm to the touch, almost familiar ^w(This component only fits into the Medal Slot)</v>
      </c>
      <c r="AB56" s="5" t="s">
        <v>36</v>
      </c>
      <c r="AH56">
        <f t="shared" si="19"/>
        <v>51</v>
      </c>
      <c r="AI56">
        <f t="shared" si="13"/>
        <v>24</v>
      </c>
      <c r="AJ56">
        <f t="shared" si="18"/>
        <v>5</v>
      </c>
    </row>
    <row r="57" spans="1:36" x14ac:dyDescent="0.25">
      <c r="A57" s="5" t="s">
        <v>39</v>
      </c>
      <c r="B57" s="5" t="s">
        <v>30</v>
      </c>
      <c r="C57" s="5" t="str">
        <f t="shared" si="0"/>
        <v>description,dailCompDescRogue55,</v>
      </c>
      <c r="D57" s="5" t="str">
        <f t="shared" si="2"/>
        <v>itemText,dailCompTextRogue55,</v>
      </c>
      <c r="E57" s="5" t="str">
        <f t="shared" si="14"/>
        <v>augmentSkillLevel1,5,</v>
      </c>
      <c r="F57" s="5" t="str">
        <f t="shared" si="15"/>
        <v>augmentSkillName1,records/skillsstealth/lethalstrike.dbr,,</v>
      </c>
      <c r="G57" s="7">
        <f t="shared" si="10"/>
        <v>55</v>
      </c>
      <c r="H57" s="8" t="str">
        <f t="shared" si="11"/>
        <v>Rogue</v>
      </c>
      <c r="I57" s="3" t="s">
        <v>694</v>
      </c>
      <c r="J57" s="8" t="str">
        <f t="shared" si="22"/>
        <v>class0021</v>
      </c>
      <c r="K57" s="8" t="str">
        <f t="shared" si="22"/>
        <v>dailoneskill0021</v>
      </c>
      <c r="L57" s="5" t="str">
        <f t="shared" si="4"/>
        <v>lootName55,DAIL/items/materia/class0021/Rogue55.dbr,</v>
      </c>
      <c r="M57" s="5" t="str">
        <f t="shared" si="5"/>
        <v>lootWeight55,1,</v>
      </c>
      <c r="N57" t="str">
        <f t="shared" si="6"/>
        <v>5</v>
      </c>
      <c r="O57" t="str">
        <f t="shared" si="16"/>
        <v>copy .\dail_base3.dbr .\items\materia\class0021\Rogue55.dbr /y</v>
      </c>
      <c r="P57" t="str">
        <f t="shared" si="7"/>
        <v>echo relicBitmap,items/craftingparts/components/component_a52_bristlyfur_b.tex, &gt;&gt; .\items\materia\class0021\Rogue55.dbr</v>
      </c>
      <c r="Q57" t="str">
        <f t="shared" si="7"/>
        <v>echo itemCost,500000, &gt;&gt; .\items\materia\class0021\Rogue55.dbr</v>
      </c>
      <c r="R57" t="str">
        <f t="shared" si="7"/>
        <v>echo description,dailCompDescRogue55, &gt;&gt; .\items\materia\class0021\Rogue55.dbr</v>
      </c>
      <c r="S57" t="str">
        <f t="shared" si="7"/>
        <v>echo itemText,dailCompTextRogue55, &gt;&gt; .\items\materia\class0021\Rogue55.dbr</v>
      </c>
      <c r="T57" t="str">
        <f t="shared" si="7"/>
        <v>echo augmentSkillLevel1,5, &gt;&gt; .\items\materia\class0021\Rogue55.dbr</v>
      </c>
      <c r="U57" t="str">
        <f t="shared" si="7"/>
        <v>echo augmentSkillName1,records/skillsstealth/lethalstrike.dbr,, &gt;&gt; .\items\materia\class0021\Rogue55.dbr</v>
      </c>
      <c r="V57" s="5" t="s">
        <v>36</v>
      </c>
      <c r="W57" t="str">
        <f t="shared" si="8"/>
        <v>echo lootName55,DAIL/items/materia/class0021/Rogue55.dbr, &gt;&gt; .\items\loottables\dailoneskill0021.dbr</v>
      </c>
      <c r="X57" t="str">
        <f t="shared" si="8"/>
        <v>echo lootWeight55,1, &gt;&gt; .\items\loottables\dailoneskill0021.dbr</v>
      </c>
      <c r="Y57" s="5" t="s">
        <v>36</v>
      </c>
      <c r="Z57" t="str">
        <f t="shared" si="9"/>
        <v xml:space="preserve"> dailCompDescRogue55=^pRogue's Gift of DAIL</v>
      </c>
      <c r="AA57" t="str">
        <f t="shared" si="17"/>
        <v>dailCompTextRogue55=^oThis feels warm to the touch, almost familiar ^w(This component only fits into the Medal Slot)</v>
      </c>
      <c r="AB57" s="5" t="s">
        <v>36</v>
      </c>
      <c r="AH57">
        <f t="shared" si="19"/>
        <v>52</v>
      </c>
      <c r="AI57">
        <f t="shared" si="13"/>
        <v>25</v>
      </c>
      <c r="AJ57">
        <f t="shared" si="18"/>
        <v>5</v>
      </c>
    </row>
    <row r="58" spans="1:36" x14ac:dyDescent="0.25">
      <c r="A58" s="5" t="s">
        <v>39</v>
      </c>
      <c r="B58" s="5" t="s">
        <v>30</v>
      </c>
      <c r="C58" s="5" t="str">
        <f t="shared" si="0"/>
        <v>description,dailCompDescRogue56,</v>
      </c>
      <c r="D58" s="5" t="str">
        <f t="shared" si="2"/>
        <v>itemText,dailCompTextRogue56,</v>
      </c>
      <c r="E58" s="5" t="str">
        <f t="shared" si="14"/>
        <v>augmentSkillLevel1,5,</v>
      </c>
      <c r="F58" s="5" t="str">
        <f t="shared" si="15"/>
        <v>augmentSkillName1,records/skillsstealth/lethalstrike_mortalwound.dbr,,</v>
      </c>
      <c r="G58" s="7">
        <f t="shared" si="10"/>
        <v>56</v>
      </c>
      <c r="H58" s="8" t="str">
        <f t="shared" si="11"/>
        <v>Rogue</v>
      </c>
      <c r="I58" s="3" t="s">
        <v>695</v>
      </c>
      <c r="J58" s="8" t="str">
        <f t="shared" si="22"/>
        <v>class0021</v>
      </c>
      <c r="K58" s="8" t="str">
        <f t="shared" si="22"/>
        <v>dailoneskill0021</v>
      </c>
      <c r="L58" s="5" t="str">
        <f t="shared" si="4"/>
        <v>lootName56,DAIL/items/materia/class0021/Rogue56.dbr,</v>
      </c>
      <c r="M58" s="5" t="str">
        <f t="shared" si="5"/>
        <v>lootWeight56,1,</v>
      </c>
      <c r="N58" t="str">
        <f t="shared" si="6"/>
        <v>5</v>
      </c>
      <c r="O58" t="str">
        <f t="shared" si="16"/>
        <v>copy .\dail_base3.dbr .\items\materia\class0021\Rogue56.dbr /y</v>
      </c>
      <c r="P58" t="str">
        <f t="shared" si="7"/>
        <v>echo relicBitmap,items/craftingparts/components/component_a52_bristlyfur_b.tex, &gt;&gt; .\items\materia\class0021\Rogue56.dbr</v>
      </c>
      <c r="Q58" t="str">
        <f t="shared" si="7"/>
        <v>echo itemCost,500000, &gt;&gt; .\items\materia\class0021\Rogue56.dbr</v>
      </c>
      <c r="R58" t="str">
        <f t="shared" si="7"/>
        <v>echo description,dailCompDescRogue56, &gt;&gt; .\items\materia\class0021\Rogue56.dbr</v>
      </c>
      <c r="S58" t="str">
        <f t="shared" si="7"/>
        <v>echo itemText,dailCompTextRogue56, &gt;&gt; .\items\materia\class0021\Rogue56.dbr</v>
      </c>
      <c r="T58" t="str">
        <f t="shared" si="7"/>
        <v>echo augmentSkillLevel1,5, &gt;&gt; .\items\materia\class0021\Rogue56.dbr</v>
      </c>
      <c r="U58" t="str">
        <f t="shared" si="7"/>
        <v>echo augmentSkillName1,records/skillsstealth/lethalstrike_mortalwound.dbr,, &gt;&gt; .\items\materia\class0021\Rogue56.dbr</v>
      </c>
      <c r="V58" s="5" t="s">
        <v>36</v>
      </c>
      <c r="W58" t="str">
        <f t="shared" si="8"/>
        <v>echo lootName56,DAIL/items/materia/class0021/Rogue56.dbr, &gt;&gt; .\items\loottables\dailoneskill0021.dbr</v>
      </c>
      <c r="X58" t="str">
        <f t="shared" si="8"/>
        <v>echo lootWeight56,1, &gt;&gt; .\items\loottables\dailoneskill0021.dbr</v>
      </c>
      <c r="Y58" s="5" t="s">
        <v>36</v>
      </c>
      <c r="Z58" t="str">
        <f t="shared" si="9"/>
        <v xml:space="preserve"> dailCompDescRogue56=^pRogue's Gift of DAIL</v>
      </c>
      <c r="AA58" t="str">
        <f t="shared" si="17"/>
        <v>dailCompTextRogue56=^oThis feels warm to the touch, almost familiar ^w(This component only fits into the Medal Slot)</v>
      </c>
      <c r="AB58" s="5" t="s">
        <v>36</v>
      </c>
      <c r="AH58">
        <f t="shared" si="19"/>
        <v>53</v>
      </c>
      <c r="AI58">
        <f t="shared" si="13"/>
        <v>37</v>
      </c>
      <c r="AJ58">
        <f t="shared" si="18"/>
        <v>5</v>
      </c>
    </row>
    <row r="59" spans="1:36" x14ac:dyDescent="0.25">
      <c r="A59" s="5" t="s">
        <v>39</v>
      </c>
      <c r="B59" s="5" t="s">
        <v>30</v>
      </c>
      <c r="C59" s="5" t="str">
        <f t="shared" si="0"/>
        <v>description,dailCompDescRogue57,</v>
      </c>
      <c r="D59" s="5" t="str">
        <f t="shared" si="2"/>
        <v>itemText,dailCompTextRogue57,</v>
      </c>
      <c r="E59" s="5" t="str">
        <f t="shared" si="14"/>
        <v>augmentSkillLevel1,5,</v>
      </c>
      <c r="F59" s="5" t="str">
        <f t="shared" si="15"/>
        <v>augmentSkillName1,records/skillsstealth/poisongasbomb.dbr,,</v>
      </c>
      <c r="G59" s="7">
        <f t="shared" si="10"/>
        <v>57</v>
      </c>
      <c r="H59" s="8" t="str">
        <f t="shared" si="11"/>
        <v>Rogue</v>
      </c>
      <c r="I59" s="3" t="s">
        <v>696</v>
      </c>
      <c r="J59" s="8" t="str">
        <f t="shared" si="22"/>
        <v>class0021</v>
      </c>
      <c r="K59" s="8" t="str">
        <f t="shared" si="22"/>
        <v>dailoneskill0021</v>
      </c>
      <c r="L59" s="5" t="str">
        <f t="shared" si="4"/>
        <v>lootName57,DAIL/items/materia/class0021/Rogue57.dbr,</v>
      </c>
      <c r="M59" s="5" t="str">
        <f t="shared" si="5"/>
        <v>lootWeight57,1,</v>
      </c>
      <c r="N59" t="str">
        <f t="shared" si="6"/>
        <v>5</v>
      </c>
      <c r="O59" t="str">
        <f t="shared" si="16"/>
        <v>copy .\dail_base3.dbr .\items\materia\class0021\Rogue57.dbr /y</v>
      </c>
      <c r="P59" t="str">
        <f t="shared" ref="P59:U101" si="23">IF($I59&lt;&gt;"","echo "&amp;A59&amp;" &gt;&gt; .\items\materia\"&amp;$J59&amp;"\"&amp;$H59&amp;$G59&amp;".dbr","")</f>
        <v>echo relicBitmap,items/craftingparts/components/component_a52_bristlyfur_b.tex, &gt;&gt; .\items\materia\class0021\Rogue57.dbr</v>
      </c>
      <c r="Q59" t="str">
        <f t="shared" si="23"/>
        <v>echo itemCost,500000, &gt;&gt; .\items\materia\class0021\Rogue57.dbr</v>
      </c>
      <c r="R59" t="str">
        <f t="shared" si="23"/>
        <v>echo description,dailCompDescRogue57, &gt;&gt; .\items\materia\class0021\Rogue57.dbr</v>
      </c>
      <c r="S59" t="str">
        <f t="shared" si="23"/>
        <v>echo itemText,dailCompTextRogue57, &gt;&gt; .\items\materia\class0021\Rogue57.dbr</v>
      </c>
      <c r="T59" t="str">
        <f t="shared" si="23"/>
        <v>echo augmentSkillLevel1,5, &gt;&gt; .\items\materia\class0021\Rogue57.dbr</v>
      </c>
      <c r="U59" t="str">
        <f t="shared" si="23"/>
        <v>echo augmentSkillName1,records/skillsstealth/poisongasbomb.dbr,, &gt;&gt; .\items\materia\class0021\Rogue57.dbr</v>
      </c>
      <c r="V59" s="5" t="s">
        <v>36</v>
      </c>
      <c r="W59" t="str">
        <f t="shared" si="8"/>
        <v>echo lootName57,DAIL/items/materia/class0021/Rogue57.dbr, &gt;&gt; .\items\loottables\dailoneskill0021.dbr</v>
      </c>
      <c r="X59" t="str">
        <f t="shared" si="8"/>
        <v>echo lootWeight57,1, &gt;&gt; .\items\loottables\dailoneskill0021.dbr</v>
      </c>
      <c r="Y59" s="5" t="s">
        <v>36</v>
      </c>
      <c r="Z59" t="str">
        <f t="shared" si="9"/>
        <v xml:space="preserve"> dailCompDescRogue57=^pRogue's Gift of DAIL</v>
      </c>
      <c r="AA59" t="str">
        <f t="shared" si="17"/>
        <v>dailCompTextRogue57=^oThis feels warm to the touch, almost familiar ^w(This component only fits into the Medal Slot)</v>
      </c>
      <c r="AB59" s="5" t="s">
        <v>36</v>
      </c>
      <c r="AH59">
        <f t="shared" si="19"/>
        <v>54</v>
      </c>
      <c r="AI59">
        <f t="shared" si="13"/>
        <v>26</v>
      </c>
      <c r="AJ59">
        <f t="shared" si="18"/>
        <v>5</v>
      </c>
    </row>
    <row r="60" spans="1:36" x14ac:dyDescent="0.25">
      <c r="A60" s="5" t="s">
        <v>39</v>
      </c>
      <c r="B60" s="5" t="s">
        <v>30</v>
      </c>
      <c r="C60" s="5" t="str">
        <f t="shared" si="0"/>
        <v>description,dailCompDescRogue58,</v>
      </c>
      <c r="D60" s="5" t="str">
        <f t="shared" si="2"/>
        <v>itemText,dailCompTextRogue58,</v>
      </c>
      <c r="E60" s="5" t="str">
        <f t="shared" si="14"/>
        <v>augmentSkillLevel1,5,</v>
      </c>
      <c r="F60" s="5" t="str">
        <f t="shared" si="15"/>
        <v>augmentSkillName1,records/skillsstealth/poisongasbomb_shrapnel.dbr,,</v>
      </c>
      <c r="G60" s="7">
        <f t="shared" si="10"/>
        <v>58</v>
      </c>
      <c r="H60" s="8" t="str">
        <f t="shared" si="11"/>
        <v>Rogue</v>
      </c>
      <c r="I60" s="3" t="s">
        <v>697</v>
      </c>
      <c r="J60" s="8" t="str">
        <f t="shared" si="22"/>
        <v>class0021</v>
      </c>
      <c r="K60" s="8" t="str">
        <f t="shared" si="22"/>
        <v>dailoneskill0021</v>
      </c>
      <c r="L60" s="5" t="str">
        <f t="shared" si="4"/>
        <v>lootName58,DAIL/items/materia/class0021/Rogue58.dbr,</v>
      </c>
      <c r="M60" s="5" t="str">
        <f t="shared" si="5"/>
        <v>lootWeight58,1,</v>
      </c>
      <c r="N60" t="str">
        <f t="shared" si="6"/>
        <v>5</v>
      </c>
      <c r="O60" t="str">
        <f t="shared" si="16"/>
        <v>copy .\dail_base3.dbr .\items\materia\class0021\Rogue58.dbr /y</v>
      </c>
      <c r="P60" t="str">
        <f t="shared" si="23"/>
        <v>echo relicBitmap,items/craftingparts/components/component_a52_bristlyfur_b.tex, &gt;&gt; .\items\materia\class0021\Rogue58.dbr</v>
      </c>
      <c r="Q60" t="str">
        <f t="shared" si="23"/>
        <v>echo itemCost,500000, &gt;&gt; .\items\materia\class0021\Rogue58.dbr</v>
      </c>
      <c r="R60" t="str">
        <f t="shared" si="23"/>
        <v>echo description,dailCompDescRogue58, &gt;&gt; .\items\materia\class0021\Rogue58.dbr</v>
      </c>
      <c r="S60" t="str">
        <f t="shared" si="23"/>
        <v>echo itemText,dailCompTextRogue58, &gt;&gt; .\items\materia\class0021\Rogue58.dbr</v>
      </c>
      <c r="T60" t="str">
        <f t="shared" si="23"/>
        <v>echo augmentSkillLevel1,5, &gt;&gt; .\items\materia\class0021\Rogue58.dbr</v>
      </c>
      <c r="U60" t="str">
        <f t="shared" si="23"/>
        <v>echo augmentSkillName1,records/skillsstealth/poisongasbomb_shrapnel.dbr,, &gt;&gt; .\items\materia\class0021\Rogue58.dbr</v>
      </c>
      <c r="V60" s="5" t="s">
        <v>36</v>
      </c>
      <c r="W60" t="str">
        <f t="shared" si="8"/>
        <v>echo lootName58,DAIL/items/materia/class0021/Rogue58.dbr, &gt;&gt; .\items\loottables\dailoneskill0021.dbr</v>
      </c>
      <c r="X60" t="str">
        <f t="shared" si="8"/>
        <v>echo lootWeight58,1, &gt;&gt; .\items\loottables\dailoneskill0021.dbr</v>
      </c>
      <c r="Y60" s="5" t="s">
        <v>36</v>
      </c>
      <c r="Z60" t="str">
        <f t="shared" si="9"/>
        <v xml:space="preserve"> dailCompDescRogue58=^pRogue's Gift of DAIL</v>
      </c>
      <c r="AA60" t="str">
        <f t="shared" si="17"/>
        <v>dailCompTextRogue58=^oThis feels warm to the touch, almost familiar ^w(This component only fits into the Medal Slot)</v>
      </c>
      <c r="AB60" s="5" t="s">
        <v>36</v>
      </c>
      <c r="AH60">
        <f t="shared" si="19"/>
        <v>55</v>
      </c>
      <c r="AI60">
        <f t="shared" si="13"/>
        <v>35</v>
      </c>
      <c r="AJ60">
        <f t="shared" si="18"/>
        <v>5</v>
      </c>
    </row>
    <row r="61" spans="1:36" x14ac:dyDescent="0.25">
      <c r="A61" s="5" t="s">
        <v>39</v>
      </c>
      <c r="B61" s="5" t="s">
        <v>30</v>
      </c>
      <c r="C61" s="5" t="str">
        <f t="shared" si="0"/>
        <v>description,dailCompDescRogue59,</v>
      </c>
      <c r="D61" s="5" t="str">
        <f t="shared" si="2"/>
        <v>itemText,dailCompTextRogue59,</v>
      </c>
      <c r="E61" s="5" t="str">
        <f t="shared" si="14"/>
        <v>augmentSkillLevel1,5,</v>
      </c>
      <c r="F61" s="5" t="str">
        <f t="shared" si="15"/>
        <v>augmentSkillName1,records/skillsstealth/disarmtraps.dbr,,</v>
      </c>
      <c r="G61" s="7">
        <f t="shared" si="10"/>
        <v>59</v>
      </c>
      <c r="H61" s="8" t="str">
        <f t="shared" si="11"/>
        <v>Rogue</v>
      </c>
      <c r="I61" s="3" t="s">
        <v>698</v>
      </c>
      <c r="J61" s="8" t="str">
        <f t="shared" si="22"/>
        <v>class0021</v>
      </c>
      <c r="K61" s="8" t="str">
        <f t="shared" si="22"/>
        <v>dailoneskill0021</v>
      </c>
      <c r="L61" s="5" t="str">
        <f t="shared" si="4"/>
        <v>lootName59,DAIL/items/materia/class0021/Rogue59.dbr,</v>
      </c>
      <c r="M61" s="5" t="str">
        <f t="shared" si="5"/>
        <v>lootWeight59,1,</v>
      </c>
      <c r="N61" t="str">
        <f t="shared" si="6"/>
        <v>5</v>
      </c>
      <c r="O61" t="str">
        <f t="shared" si="16"/>
        <v>copy .\dail_base3.dbr .\items\materia\class0021\Rogue59.dbr /y</v>
      </c>
      <c r="P61" t="str">
        <f t="shared" si="23"/>
        <v>echo relicBitmap,items/craftingparts/components/component_a52_bristlyfur_b.tex, &gt;&gt; .\items\materia\class0021\Rogue59.dbr</v>
      </c>
      <c r="Q61" t="str">
        <f t="shared" si="23"/>
        <v>echo itemCost,500000, &gt;&gt; .\items\materia\class0021\Rogue59.dbr</v>
      </c>
      <c r="R61" t="str">
        <f t="shared" si="23"/>
        <v>echo description,dailCompDescRogue59, &gt;&gt; .\items\materia\class0021\Rogue59.dbr</v>
      </c>
      <c r="S61" t="str">
        <f t="shared" si="23"/>
        <v>echo itemText,dailCompTextRogue59, &gt;&gt; .\items\materia\class0021\Rogue59.dbr</v>
      </c>
      <c r="T61" t="str">
        <f t="shared" si="23"/>
        <v>echo augmentSkillLevel1,5, &gt;&gt; .\items\materia\class0021\Rogue59.dbr</v>
      </c>
      <c r="U61" t="str">
        <f t="shared" si="23"/>
        <v>echo augmentSkillName1,records/skillsstealth/disarmtraps.dbr,, &gt;&gt; .\items\materia\class0021\Rogue59.dbr</v>
      </c>
      <c r="V61" s="5" t="s">
        <v>36</v>
      </c>
      <c r="W61" t="str">
        <f t="shared" si="8"/>
        <v>echo lootName59,DAIL/items/materia/class0021/Rogue59.dbr, &gt;&gt; .\items\loottables\dailoneskill0021.dbr</v>
      </c>
      <c r="X61" t="str">
        <f t="shared" si="8"/>
        <v>echo lootWeight59,1, &gt;&gt; .\items\loottables\dailoneskill0021.dbr</v>
      </c>
      <c r="Y61" s="5" t="s">
        <v>36</v>
      </c>
      <c r="Z61" t="str">
        <f t="shared" si="9"/>
        <v xml:space="preserve"> dailCompDescRogue59=^pRogue's Gift of DAIL</v>
      </c>
      <c r="AA61" t="str">
        <f t="shared" si="17"/>
        <v>dailCompTextRogue59=^oThis feels warm to the touch, almost familiar ^w(This component only fits into the Medal Slot)</v>
      </c>
      <c r="AB61" s="5" t="s">
        <v>36</v>
      </c>
      <c r="AH61">
        <f t="shared" si="19"/>
        <v>56</v>
      </c>
      <c r="AI61">
        <f t="shared" si="13"/>
        <v>24</v>
      </c>
      <c r="AJ61">
        <f t="shared" si="18"/>
        <v>5</v>
      </c>
    </row>
    <row r="62" spans="1:36" x14ac:dyDescent="0.25">
      <c r="A62" s="5" t="s">
        <v>39</v>
      </c>
      <c r="B62" s="5" t="s">
        <v>30</v>
      </c>
      <c r="C62" s="5" t="str">
        <f t="shared" si="0"/>
        <v>description,dailCompDescRogue60,</v>
      </c>
      <c r="D62" s="5" t="str">
        <f t="shared" si="2"/>
        <v>itemText,dailCompTextRogue60,</v>
      </c>
      <c r="E62" s="5" t="str">
        <f t="shared" si="14"/>
        <v>augmentSkillLevel1,5,</v>
      </c>
      <c r="F62" s="5" t="str">
        <f t="shared" si="15"/>
        <v>augmentSkillName1,records/skillsstealth/flashpowder.dbr,,</v>
      </c>
      <c r="G62" s="7">
        <f t="shared" si="10"/>
        <v>60</v>
      </c>
      <c r="H62" s="8" t="str">
        <f t="shared" si="11"/>
        <v>Rogue</v>
      </c>
      <c r="I62" s="3" t="s">
        <v>699</v>
      </c>
      <c r="J62" s="8" t="str">
        <f t="shared" si="22"/>
        <v>class0021</v>
      </c>
      <c r="K62" s="8" t="str">
        <f t="shared" si="22"/>
        <v>dailoneskill0021</v>
      </c>
      <c r="L62" s="5" t="str">
        <f t="shared" si="4"/>
        <v>lootName60,DAIL/items/materia/class0021/Rogue60.dbr,</v>
      </c>
      <c r="M62" s="5" t="str">
        <f t="shared" si="5"/>
        <v>lootWeight60,1,</v>
      </c>
      <c r="N62" t="str">
        <f t="shared" si="6"/>
        <v>5</v>
      </c>
      <c r="O62" t="str">
        <f t="shared" si="16"/>
        <v>copy .\dail_base3.dbr .\items\materia\class0021\Rogue60.dbr /y</v>
      </c>
      <c r="P62" t="str">
        <f t="shared" si="23"/>
        <v>echo relicBitmap,items/craftingparts/components/component_a52_bristlyfur_b.tex, &gt;&gt; .\items\materia\class0021\Rogue60.dbr</v>
      </c>
      <c r="Q62" t="str">
        <f t="shared" si="23"/>
        <v>echo itemCost,500000, &gt;&gt; .\items\materia\class0021\Rogue60.dbr</v>
      </c>
      <c r="R62" t="str">
        <f t="shared" si="23"/>
        <v>echo description,dailCompDescRogue60, &gt;&gt; .\items\materia\class0021\Rogue60.dbr</v>
      </c>
      <c r="S62" t="str">
        <f t="shared" si="23"/>
        <v>echo itemText,dailCompTextRogue60, &gt;&gt; .\items\materia\class0021\Rogue60.dbr</v>
      </c>
      <c r="T62" t="str">
        <f t="shared" si="23"/>
        <v>echo augmentSkillLevel1,5, &gt;&gt; .\items\materia\class0021\Rogue60.dbr</v>
      </c>
      <c r="U62" t="str">
        <f t="shared" si="23"/>
        <v>echo augmentSkillName1,records/skillsstealth/flashpowder.dbr,, &gt;&gt; .\items\materia\class0021\Rogue60.dbr</v>
      </c>
      <c r="V62" s="5" t="s">
        <v>36</v>
      </c>
      <c r="W62" t="str">
        <f t="shared" si="8"/>
        <v>echo lootName60,DAIL/items/materia/class0021/Rogue60.dbr, &gt;&gt; .\items\loottables\dailoneskill0021.dbr</v>
      </c>
      <c r="X62" t="str">
        <f t="shared" si="8"/>
        <v>echo lootWeight60,1, &gt;&gt; .\items\loottables\dailoneskill0021.dbr</v>
      </c>
      <c r="Y62" s="5" t="s">
        <v>36</v>
      </c>
      <c r="Z62" t="str">
        <f t="shared" si="9"/>
        <v xml:space="preserve"> dailCompDescRogue60=^pRogue's Gift of DAIL</v>
      </c>
      <c r="AA62" t="str">
        <f t="shared" si="17"/>
        <v>dailCompTextRogue60=^oThis feels warm to the touch, almost familiar ^w(This component only fits into the Medal Slot)</v>
      </c>
      <c r="AB62" s="5" t="s">
        <v>36</v>
      </c>
      <c r="AH62">
        <f t="shared" si="19"/>
        <v>57</v>
      </c>
      <c r="AI62">
        <f t="shared" si="13"/>
        <v>24</v>
      </c>
      <c r="AJ62">
        <f t="shared" si="18"/>
        <v>5</v>
      </c>
    </row>
    <row r="63" spans="1:36" x14ac:dyDescent="0.25">
      <c r="A63" s="5" t="s">
        <v>39</v>
      </c>
      <c r="B63" s="5" t="s">
        <v>30</v>
      </c>
      <c r="C63" s="5" t="str">
        <f t="shared" si="0"/>
        <v>description,dailCompDescRogue61,</v>
      </c>
      <c r="D63" s="5" t="str">
        <f t="shared" si="2"/>
        <v>itemText,dailCompTextRogue61,</v>
      </c>
      <c r="E63" s="5" t="str">
        <f t="shared" si="14"/>
        <v>augmentSkillLevel1,5,</v>
      </c>
      <c r="F63" s="5" t="str">
        <f t="shared" si="15"/>
        <v>augmentSkillName1,records/skillsstealth/laytrap.dbr,,</v>
      </c>
      <c r="G63" s="7">
        <f t="shared" si="10"/>
        <v>61</v>
      </c>
      <c r="H63" s="8" t="str">
        <f t="shared" si="11"/>
        <v>Rogue</v>
      </c>
      <c r="I63" s="3" t="s">
        <v>700</v>
      </c>
      <c r="J63" s="8" t="str">
        <f t="shared" si="22"/>
        <v>class0021</v>
      </c>
      <c r="K63" s="8" t="str">
        <f t="shared" si="22"/>
        <v>dailoneskill0021</v>
      </c>
      <c r="L63" s="5" t="str">
        <f t="shared" si="4"/>
        <v>lootName61,DAIL/items/materia/class0021/Rogue61.dbr,</v>
      </c>
      <c r="M63" s="5" t="str">
        <f t="shared" si="5"/>
        <v>lootWeight61,1,</v>
      </c>
      <c r="N63" t="str">
        <f t="shared" si="6"/>
        <v>5</v>
      </c>
      <c r="O63" t="str">
        <f t="shared" si="16"/>
        <v>copy .\dail_base3.dbr .\items\materia\class0021\Rogue61.dbr /y</v>
      </c>
      <c r="P63" t="str">
        <f t="shared" si="23"/>
        <v>echo relicBitmap,items/craftingparts/components/component_a52_bristlyfur_b.tex, &gt;&gt; .\items\materia\class0021\Rogue61.dbr</v>
      </c>
      <c r="Q63" t="str">
        <f t="shared" si="23"/>
        <v>echo itemCost,500000, &gt;&gt; .\items\materia\class0021\Rogue61.dbr</v>
      </c>
      <c r="R63" t="str">
        <f t="shared" si="23"/>
        <v>echo description,dailCompDescRogue61, &gt;&gt; .\items\materia\class0021\Rogue61.dbr</v>
      </c>
      <c r="S63" t="str">
        <f t="shared" si="23"/>
        <v>echo itemText,dailCompTextRogue61, &gt;&gt; .\items\materia\class0021\Rogue61.dbr</v>
      </c>
      <c r="T63" t="str">
        <f t="shared" si="23"/>
        <v>echo augmentSkillLevel1,5, &gt;&gt; .\items\materia\class0021\Rogue61.dbr</v>
      </c>
      <c r="U63" t="str">
        <f t="shared" si="23"/>
        <v>echo augmentSkillName1,records/skillsstealth/laytrap.dbr,, &gt;&gt; .\items\materia\class0021\Rogue61.dbr</v>
      </c>
      <c r="V63" s="5" t="s">
        <v>36</v>
      </c>
      <c r="W63" t="str">
        <f t="shared" si="8"/>
        <v>echo lootName61,DAIL/items/materia/class0021/Rogue61.dbr, &gt;&gt; .\items\loottables\dailoneskill0021.dbr</v>
      </c>
      <c r="X63" t="str">
        <f t="shared" si="8"/>
        <v>echo lootWeight61,1, &gt;&gt; .\items\loottables\dailoneskill0021.dbr</v>
      </c>
      <c r="Y63" s="5" t="s">
        <v>36</v>
      </c>
      <c r="Z63" t="str">
        <f t="shared" si="9"/>
        <v xml:space="preserve"> dailCompDescRogue61=^pRogue's Gift of DAIL</v>
      </c>
      <c r="AA63" t="str">
        <f t="shared" si="17"/>
        <v>dailCompTextRogue61=^oThis feels warm to the touch, almost familiar ^w(This component only fits into the Medal Slot)</v>
      </c>
      <c r="AB63" s="5" t="s">
        <v>36</v>
      </c>
      <c r="AH63">
        <f t="shared" si="19"/>
        <v>58</v>
      </c>
      <c r="AI63">
        <f t="shared" si="13"/>
        <v>20</v>
      </c>
      <c r="AJ63">
        <f t="shared" si="18"/>
        <v>5</v>
      </c>
    </row>
    <row r="64" spans="1:36" x14ac:dyDescent="0.25">
      <c r="A64" s="5" t="s">
        <v>39</v>
      </c>
      <c r="B64" s="5" t="s">
        <v>30</v>
      </c>
      <c r="C64" s="5" t="str">
        <f t="shared" si="0"/>
        <v>description,dailCompDescRogue62,</v>
      </c>
      <c r="D64" s="5" t="str">
        <f t="shared" si="2"/>
        <v>itemText,dailCompTextRogue62,</v>
      </c>
      <c r="E64" s="5" t="str">
        <f t="shared" si="14"/>
        <v>augmentSkillLevel1,5,</v>
      </c>
      <c r="F64" s="5" t="str">
        <f t="shared" si="15"/>
        <v>augmentSkillName1,records/skillsstealth/laytrap_rapidconstruction.dbr,,</v>
      </c>
      <c r="G64" s="7">
        <f t="shared" si="10"/>
        <v>62</v>
      </c>
      <c r="H64" s="8" t="str">
        <f t="shared" si="11"/>
        <v>Rogue</v>
      </c>
      <c r="I64" s="3" t="s">
        <v>701</v>
      </c>
      <c r="J64" s="8" t="str">
        <f t="shared" si="22"/>
        <v>class0021</v>
      </c>
      <c r="K64" s="8" t="str">
        <f t="shared" si="22"/>
        <v>dailoneskill0021</v>
      </c>
      <c r="L64" s="5" t="str">
        <f t="shared" si="4"/>
        <v>lootName62,DAIL/items/materia/class0021/Rogue62.dbr,</v>
      </c>
      <c r="M64" s="5" t="str">
        <f t="shared" si="5"/>
        <v>lootWeight62,1,</v>
      </c>
      <c r="N64" t="str">
        <f t="shared" si="6"/>
        <v>5</v>
      </c>
      <c r="O64" t="str">
        <f t="shared" si="16"/>
        <v>copy .\dail_base3.dbr .\items\materia\class0021\Rogue62.dbr /y</v>
      </c>
      <c r="P64" t="str">
        <f t="shared" si="23"/>
        <v>echo relicBitmap,items/craftingparts/components/component_a52_bristlyfur_b.tex, &gt;&gt; .\items\materia\class0021\Rogue62.dbr</v>
      </c>
      <c r="Q64" t="str">
        <f t="shared" si="23"/>
        <v>echo itemCost,500000, &gt;&gt; .\items\materia\class0021\Rogue62.dbr</v>
      </c>
      <c r="R64" t="str">
        <f t="shared" si="23"/>
        <v>echo description,dailCompDescRogue62, &gt;&gt; .\items\materia\class0021\Rogue62.dbr</v>
      </c>
      <c r="S64" t="str">
        <f t="shared" si="23"/>
        <v>echo itemText,dailCompTextRogue62, &gt;&gt; .\items\materia\class0021\Rogue62.dbr</v>
      </c>
      <c r="T64" t="str">
        <f t="shared" si="23"/>
        <v>echo augmentSkillLevel1,5, &gt;&gt; .\items\materia\class0021\Rogue62.dbr</v>
      </c>
      <c r="U64" t="str">
        <f t="shared" si="23"/>
        <v>echo augmentSkillName1,records/skillsstealth/laytrap_rapidconstruction.dbr,, &gt;&gt; .\items\materia\class0021\Rogue62.dbr</v>
      </c>
      <c r="V64" s="5" t="s">
        <v>36</v>
      </c>
      <c r="W64" t="str">
        <f t="shared" si="8"/>
        <v>echo lootName62,DAIL/items/materia/class0021/Rogue62.dbr, &gt;&gt; .\items\loottables\dailoneskill0021.dbr</v>
      </c>
      <c r="X64" t="str">
        <f t="shared" si="8"/>
        <v>echo lootWeight62,1, &gt;&gt; .\items\loottables\dailoneskill0021.dbr</v>
      </c>
      <c r="Y64" s="5" t="s">
        <v>36</v>
      </c>
      <c r="Z64" t="str">
        <f t="shared" si="9"/>
        <v xml:space="preserve"> dailCompDescRogue62=^pRogue's Gift of DAIL</v>
      </c>
      <c r="AA64" t="str">
        <f t="shared" si="17"/>
        <v>dailCompTextRogue62=^oThis feels warm to the touch, almost familiar ^w(This component only fits into the Medal Slot)</v>
      </c>
      <c r="AB64" s="5" t="s">
        <v>36</v>
      </c>
      <c r="AH64">
        <f t="shared" si="19"/>
        <v>59</v>
      </c>
      <c r="AI64">
        <f t="shared" si="13"/>
        <v>38</v>
      </c>
      <c r="AJ64">
        <f t="shared" si="18"/>
        <v>5</v>
      </c>
    </row>
    <row r="65" spans="1:36" x14ac:dyDescent="0.25">
      <c r="A65" s="5" t="s">
        <v>39</v>
      </c>
      <c r="B65" s="5" t="s">
        <v>30</v>
      </c>
      <c r="C65" s="5" t="str">
        <f t="shared" si="0"/>
        <v>description,dailCompDescRogue63,</v>
      </c>
      <c r="D65" s="5" t="str">
        <f t="shared" si="2"/>
        <v>itemText,dailCompTextRogue63,</v>
      </c>
      <c r="E65" s="5" t="str">
        <f t="shared" si="14"/>
        <v>augmentSkillLevel1,5,</v>
      </c>
      <c r="F65" s="5" t="str">
        <f t="shared" si="15"/>
        <v>augmentSkillName1,records/skillsstealth/laytrap_petmodifier_multishotbolttrap.dbr,,</v>
      </c>
      <c r="G65" s="7">
        <f t="shared" si="10"/>
        <v>63</v>
      </c>
      <c r="H65" s="8" t="str">
        <f t="shared" si="11"/>
        <v>Rogue</v>
      </c>
      <c r="I65" s="3" t="s">
        <v>702</v>
      </c>
      <c r="J65" s="8" t="str">
        <f t="shared" si="22"/>
        <v>class0021</v>
      </c>
      <c r="K65" s="8" t="str">
        <f t="shared" si="22"/>
        <v>dailoneskill0021</v>
      </c>
      <c r="L65" s="5" t="str">
        <f t="shared" si="4"/>
        <v>lootName63,DAIL/items/materia/class0021/Rogue63.dbr,</v>
      </c>
      <c r="M65" s="5" t="str">
        <f t="shared" si="5"/>
        <v>lootWeight63,1,</v>
      </c>
      <c r="N65" t="str">
        <f t="shared" si="6"/>
        <v>5</v>
      </c>
      <c r="O65" t="str">
        <f t="shared" si="16"/>
        <v>copy .\dail_base3.dbr .\items\materia\class0021\Rogue63.dbr /y</v>
      </c>
      <c r="P65" t="str">
        <f t="shared" si="23"/>
        <v>echo relicBitmap,items/craftingparts/components/component_a52_bristlyfur_b.tex, &gt;&gt; .\items\materia\class0021\Rogue63.dbr</v>
      </c>
      <c r="Q65" t="str">
        <f t="shared" si="23"/>
        <v>echo itemCost,500000, &gt;&gt; .\items\materia\class0021\Rogue63.dbr</v>
      </c>
      <c r="R65" t="str">
        <f t="shared" si="23"/>
        <v>echo description,dailCompDescRogue63, &gt;&gt; .\items\materia\class0021\Rogue63.dbr</v>
      </c>
      <c r="S65" t="str">
        <f t="shared" si="23"/>
        <v>echo itemText,dailCompTextRogue63, &gt;&gt; .\items\materia\class0021\Rogue63.dbr</v>
      </c>
      <c r="T65" t="str">
        <f t="shared" si="23"/>
        <v>echo augmentSkillLevel1,5, &gt;&gt; .\items\materia\class0021\Rogue63.dbr</v>
      </c>
      <c r="U65" t="str">
        <f t="shared" si="23"/>
        <v>echo augmentSkillName1,records/skillsstealth/laytrap_petmodifier_multishotbolttrap.dbr,, &gt;&gt; .\items\materia\class0021\Rogue63.dbr</v>
      </c>
      <c r="V65" s="5" t="s">
        <v>36</v>
      </c>
      <c r="W65" t="str">
        <f t="shared" si="8"/>
        <v>echo lootName63,DAIL/items/materia/class0021/Rogue63.dbr, &gt;&gt; .\items\loottables\dailoneskill0021.dbr</v>
      </c>
      <c r="X65" t="str">
        <f t="shared" si="8"/>
        <v>echo lootWeight63,1, &gt;&gt; .\items\loottables\dailoneskill0021.dbr</v>
      </c>
      <c r="Y65" s="5" t="s">
        <v>36</v>
      </c>
      <c r="Z65" t="str">
        <f t="shared" si="9"/>
        <v xml:space="preserve"> dailCompDescRogue63=^pRogue's Gift of DAIL</v>
      </c>
      <c r="AA65" t="str">
        <f t="shared" si="17"/>
        <v>dailCompTextRogue63=^oThis feels warm to the touch, almost familiar ^w(This component only fits into the Medal Slot)</v>
      </c>
      <c r="AB65" s="5" t="s">
        <v>36</v>
      </c>
      <c r="AH65">
        <f t="shared" si="19"/>
        <v>60</v>
      </c>
      <c r="AI65">
        <f t="shared" si="13"/>
        <v>50</v>
      </c>
      <c r="AJ65">
        <f t="shared" si="18"/>
        <v>5</v>
      </c>
    </row>
    <row r="66" spans="1:36" x14ac:dyDescent="0.25">
      <c r="A66" s="5" t="s">
        <v>39</v>
      </c>
      <c r="B66" s="5" t="s">
        <v>30</v>
      </c>
      <c r="C66" s="5" t="str">
        <f t="shared" si="0"/>
        <v>description,dailCompDescRogue,</v>
      </c>
      <c r="D66" s="5" t="str">
        <f t="shared" si="2"/>
        <v>itemText,dailCompTextRogue,</v>
      </c>
      <c r="E66" s="5" t="str">
        <f t="shared" si="14"/>
        <v>augmentSkillLevel1,5,</v>
      </c>
      <c r="F66" s="5" t="str">
        <f t="shared" si="15"/>
        <v>augmentSkillName1,records/skills,</v>
      </c>
      <c r="G66" s="7" t="str">
        <f t="shared" si="10"/>
        <v/>
      </c>
      <c r="H66" s="8" t="str">
        <f t="shared" si="11"/>
        <v>Rogue</v>
      </c>
      <c r="J66" s="8" t="str">
        <f t="shared" si="22"/>
        <v>class0021</v>
      </c>
      <c r="K66" s="8" t="str">
        <f t="shared" si="22"/>
        <v>dailoneskill0021</v>
      </c>
      <c r="L66" s="5" t="str">
        <f t="shared" si="4"/>
        <v>lootName,DAIL/items/materia/class0021/Rogue.dbr,</v>
      </c>
      <c r="M66" s="5" t="str">
        <f t="shared" si="5"/>
        <v>lootWeight,1,</v>
      </c>
      <c r="N66" t="str">
        <f t="shared" si="6"/>
        <v>5</v>
      </c>
      <c r="O66" t="str">
        <f t="shared" si="16"/>
        <v/>
      </c>
      <c r="P66" t="str">
        <f t="shared" si="23"/>
        <v/>
      </c>
      <c r="Q66" t="str">
        <f t="shared" si="23"/>
        <v/>
      </c>
      <c r="R66" t="str">
        <f t="shared" si="23"/>
        <v/>
      </c>
      <c r="S66" t="str">
        <f t="shared" si="23"/>
        <v/>
      </c>
      <c r="T66" t="str">
        <f t="shared" si="23"/>
        <v/>
      </c>
      <c r="U66" t="str">
        <f t="shared" si="23"/>
        <v/>
      </c>
      <c r="V66" s="5" t="s">
        <v>36</v>
      </c>
      <c r="W66" t="str">
        <f t="shared" si="8"/>
        <v/>
      </c>
      <c r="X66" t="str">
        <f t="shared" si="8"/>
        <v/>
      </c>
      <c r="Y66" s="5" t="s">
        <v>36</v>
      </c>
      <c r="Z66" t="str">
        <f t="shared" si="9"/>
        <v xml:space="preserve"> dailCompDescRogue=^pRogue's Gift of DAIL</v>
      </c>
      <c r="AA66" t="str">
        <f t="shared" si="17"/>
        <v>dailCompTextRogue=^oThis feels warm to the touch, almost familiar ^w(This component only fits into the Medal Slot)</v>
      </c>
      <c r="AB66" s="5" t="s">
        <v>36</v>
      </c>
      <c r="AH66">
        <f t="shared" si="19"/>
        <v>61</v>
      </c>
      <c r="AI66">
        <f t="shared" si="13"/>
        <v>0</v>
      </c>
      <c r="AJ66">
        <f t="shared" si="18"/>
        <v>5</v>
      </c>
    </row>
    <row r="67" spans="1:36" x14ac:dyDescent="0.25">
      <c r="A67" s="5" t="s">
        <v>39</v>
      </c>
      <c r="B67" s="5" t="s">
        <v>30</v>
      </c>
      <c r="C67" s="5" t="str">
        <f t="shared" ref="C67:C102" si="24">"description,dailCompDesc"&amp;H67&amp;G67&amp;","</f>
        <v>description,dailCompDescRogue,</v>
      </c>
      <c r="D67" s="5" t="str">
        <f t="shared" si="2"/>
        <v>itemText,dailCompTextRogue,</v>
      </c>
      <c r="E67" s="5" t="str">
        <f t="shared" si="14"/>
        <v>augmentSkillLevel1,5,</v>
      </c>
      <c r="F67" s="5" t="str">
        <f t="shared" si="15"/>
        <v>augmentSkillName1,records/skills,</v>
      </c>
      <c r="G67" s="7" t="str">
        <f t="shared" si="10"/>
        <v/>
      </c>
      <c r="H67" s="8" t="str">
        <f t="shared" si="11"/>
        <v>Rogue</v>
      </c>
      <c r="J67" s="8" t="str">
        <f t="shared" si="22"/>
        <v>class0021</v>
      </c>
      <c r="K67" s="8" t="str">
        <f t="shared" si="22"/>
        <v>dailoneskill0021</v>
      </c>
      <c r="L67" s="5" t="str">
        <f t="shared" si="4"/>
        <v>lootName,DAIL/items/materia/class0021/Rogue.dbr,</v>
      </c>
      <c r="M67" s="5" t="str">
        <f t="shared" si="5"/>
        <v>lootWeight,1,</v>
      </c>
      <c r="N67" t="str">
        <f t="shared" si="6"/>
        <v>5</v>
      </c>
      <c r="O67" t="str">
        <f t="shared" si="16"/>
        <v/>
      </c>
      <c r="P67" t="str">
        <f t="shared" si="23"/>
        <v/>
      </c>
      <c r="Q67" t="str">
        <f t="shared" si="23"/>
        <v/>
      </c>
      <c r="R67" t="str">
        <f t="shared" si="23"/>
        <v/>
      </c>
      <c r="S67" t="str">
        <f t="shared" si="23"/>
        <v/>
      </c>
      <c r="T67" t="str">
        <f t="shared" si="23"/>
        <v/>
      </c>
      <c r="U67" t="str">
        <f t="shared" si="23"/>
        <v/>
      </c>
      <c r="V67" s="5" t="s">
        <v>36</v>
      </c>
      <c r="W67" t="str">
        <f t="shared" si="8"/>
        <v/>
      </c>
      <c r="X67" t="str">
        <f t="shared" si="8"/>
        <v/>
      </c>
      <c r="Y67" s="5" t="s">
        <v>36</v>
      </c>
      <c r="Z67" t="str">
        <f t="shared" si="9"/>
        <v/>
      </c>
      <c r="AA67" t="str">
        <f t="shared" si="17"/>
        <v/>
      </c>
      <c r="AB67" s="5" t="s">
        <v>36</v>
      </c>
      <c r="AH67">
        <f t="shared" si="19"/>
        <v>62</v>
      </c>
      <c r="AI67">
        <f t="shared" si="13"/>
        <v>0</v>
      </c>
      <c r="AJ67">
        <f t="shared" si="18"/>
        <v>5</v>
      </c>
    </row>
    <row r="68" spans="1:36" x14ac:dyDescent="0.25">
      <c r="A68" s="5" t="s">
        <v>39</v>
      </c>
      <c r="B68" s="5" t="s">
        <v>30</v>
      </c>
      <c r="C68" s="5" t="str">
        <f t="shared" si="24"/>
        <v>description,dailCompDescRogue,</v>
      </c>
      <c r="D68" s="5" t="str">
        <f t="shared" ref="D68:D102" si="25">"itemText,dailCompText"&amp;H68&amp;G68&amp;","</f>
        <v>itemText,dailCompTextRogue,</v>
      </c>
      <c r="E68" s="5" t="str">
        <f t="shared" si="14"/>
        <v>augmentSkillLevel1,5,</v>
      </c>
      <c r="F68" s="5" t="str">
        <f t="shared" si="15"/>
        <v>augmentSkillName1,records/skills,</v>
      </c>
      <c r="G68" s="7" t="str">
        <f t="shared" si="10"/>
        <v/>
      </c>
      <c r="H68" s="8" t="str">
        <f t="shared" si="11"/>
        <v>Rogue</v>
      </c>
      <c r="J68" s="8" t="str">
        <f t="shared" si="22"/>
        <v>class0021</v>
      </c>
      <c r="K68" s="8" t="str">
        <f t="shared" si="22"/>
        <v>dailoneskill0021</v>
      </c>
      <c r="L68" s="5" t="str">
        <f t="shared" ref="L68:L102" si="26">"lootName"&amp;G68&amp;",DAIL/items/materia/"&amp;J68&amp;"/"&amp;H68&amp;G68&amp;".dbr"&amp;","</f>
        <v>lootName,DAIL/items/materia/class0021/Rogue.dbr,</v>
      </c>
      <c r="M68" s="5" t="str">
        <f t="shared" ref="M68:M102" si="27">"lootWeight"&amp;G68&amp;",1,"</f>
        <v>lootWeight,1,</v>
      </c>
      <c r="N68" t="str">
        <f t="shared" ref="N68:N102" si="28">LEFT(RIGHT(E68,2),1)</f>
        <v>5</v>
      </c>
      <c r="O68" t="str">
        <f t="shared" si="16"/>
        <v/>
      </c>
      <c r="P68" t="str">
        <f t="shared" si="23"/>
        <v/>
      </c>
      <c r="Q68" t="str">
        <f t="shared" si="23"/>
        <v/>
      </c>
      <c r="R68" t="str">
        <f t="shared" si="23"/>
        <v/>
      </c>
      <c r="S68" t="str">
        <f t="shared" si="23"/>
        <v/>
      </c>
      <c r="T68" t="str">
        <f t="shared" si="23"/>
        <v/>
      </c>
      <c r="U68" t="str">
        <f t="shared" si="23"/>
        <v/>
      </c>
      <c r="V68" s="5" t="s">
        <v>36</v>
      </c>
      <c r="W68" t="str">
        <f t="shared" ref="W68:X102" si="29">IF($I68&lt;&gt;"","echo "&amp;L68&amp;" &gt;&gt; .\items\loottables\"&amp;$K68&amp;".dbr","")</f>
        <v/>
      </c>
      <c r="X68" t="str">
        <f t="shared" si="29"/>
        <v/>
      </c>
      <c r="Y68" s="5" t="s">
        <v>36</v>
      </c>
      <c r="Z68" t="str">
        <f t="shared" ref="Z68:Z102" si="30">IF(I67&lt;&gt;""," dailCompDesc"&amp;H68&amp;G68&amp;"=^p"&amp;H68&amp;"'s Gift of DAIL","")</f>
        <v/>
      </c>
      <c r="AA68" t="str">
        <f t="shared" si="17"/>
        <v/>
      </c>
      <c r="AB68" s="5" t="s">
        <v>36</v>
      </c>
      <c r="AH68">
        <f t="shared" si="19"/>
        <v>63</v>
      </c>
      <c r="AI68">
        <f t="shared" si="13"/>
        <v>0</v>
      </c>
      <c r="AJ68">
        <f t="shared" si="18"/>
        <v>5</v>
      </c>
    </row>
    <row r="69" spans="1:36" x14ac:dyDescent="0.25">
      <c r="A69" s="5" t="s">
        <v>39</v>
      </c>
      <c r="B69" s="5" t="s">
        <v>30</v>
      </c>
      <c r="C69" s="5" t="str">
        <f t="shared" si="24"/>
        <v>description,dailCompDescRogue,</v>
      </c>
      <c r="D69" s="5" t="str">
        <f t="shared" si="25"/>
        <v>itemText,dailCompTextRogue,</v>
      </c>
      <c r="E69" s="5" t="str">
        <f t="shared" si="14"/>
        <v>augmentSkillLevel1,5,</v>
      </c>
      <c r="F69" s="5" t="str">
        <f t="shared" si="15"/>
        <v>augmentSkillName1,records/skills,</v>
      </c>
      <c r="G69" s="7" t="str">
        <f t="shared" ref="G69:G102" si="31">IF(I69&lt;&gt;"",G68+1,"")</f>
        <v/>
      </c>
      <c r="H69" s="8" t="str">
        <f t="shared" ref="H69:H102" si="32">H68</f>
        <v>Rogue</v>
      </c>
      <c r="J69" s="8" t="str">
        <f t="shared" ref="J69:K84" si="33">J68</f>
        <v>class0021</v>
      </c>
      <c r="K69" s="8" t="str">
        <f t="shared" si="33"/>
        <v>dailoneskill0021</v>
      </c>
      <c r="L69" s="5" t="str">
        <f t="shared" si="26"/>
        <v>lootName,DAIL/items/materia/class0021/Rogue.dbr,</v>
      </c>
      <c r="M69" s="5" t="str">
        <f t="shared" si="27"/>
        <v>lootWeight,1,</v>
      </c>
      <c r="N69" t="str">
        <f t="shared" si="28"/>
        <v>5</v>
      </c>
      <c r="O69" t="str">
        <f t="shared" si="16"/>
        <v/>
      </c>
      <c r="P69" t="str">
        <f t="shared" si="23"/>
        <v/>
      </c>
      <c r="Q69" t="str">
        <f t="shared" si="23"/>
        <v/>
      </c>
      <c r="R69" t="str">
        <f t="shared" si="23"/>
        <v/>
      </c>
      <c r="S69" t="str">
        <f t="shared" si="23"/>
        <v/>
      </c>
      <c r="T69" t="str">
        <f t="shared" si="23"/>
        <v/>
      </c>
      <c r="U69" t="str">
        <f t="shared" si="23"/>
        <v/>
      </c>
      <c r="V69" s="5" t="s">
        <v>36</v>
      </c>
      <c r="W69" t="str">
        <f t="shared" si="29"/>
        <v/>
      </c>
      <c r="X69" t="str">
        <f t="shared" si="29"/>
        <v/>
      </c>
      <c r="Y69" s="5" t="s">
        <v>36</v>
      </c>
      <c r="Z69" t="str">
        <f t="shared" si="30"/>
        <v/>
      </c>
      <c r="AA69" t="str">
        <f t="shared" si="17"/>
        <v/>
      </c>
      <c r="AB69" s="5" t="s">
        <v>36</v>
      </c>
      <c r="AH69">
        <f t="shared" si="19"/>
        <v>64</v>
      </c>
      <c r="AI69">
        <f t="shared" si="13"/>
        <v>0</v>
      </c>
      <c r="AJ69">
        <f t="shared" si="18"/>
        <v>5</v>
      </c>
    </row>
    <row r="70" spans="1:36" x14ac:dyDescent="0.25">
      <c r="A70" s="5" t="s">
        <v>39</v>
      </c>
      <c r="B70" s="5" t="s">
        <v>30</v>
      </c>
      <c r="C70" s="5" t="str">
        <f t="shared" si="24"/>
        <v>description,dailCompDescRogue,</v>
      </c>
      <c r="D70" s="5" t="str">
        <f t="shared" si="25"/>
        <v>itemText,dailCompTextRogue,</v>
      </c>
      <c r="E70" s="5" t="str">
        <f t="shared" si="14"/>
        <v>augmentSkillLevel1,5,</v>
      </c>
      <c r="F70" s="5" t="str">
        <f t="shared" si="15"/>
        <v>augmentSkillName1,records/skills,</v>
      </c>
      <c r="G70" s="7" t="str">
        <f t="shared" si="31"/>
        <v/>
      </c>
      <c r="H70" s="8" t="str">
        <f t="shared" si="32"/>
        <v>Rogue</v>
      </c>
      <c r="J70" s="8" t="str">
        <f t="shared" si="33"/>
        <v>class0021</v>
      </c>
      <c r="K70" s="8" t="str">
        <f t="shared" si="33"/>
        <v>dailoneskill0021</v>
      </c>
      <c r="L70" s="5" t="str">
        <f t="shared" si="26"/>
        <v>lootName,DAIL/items/materia/class0021/Rogue.dbr,</v>
      </c>
      <c r="M70" s="5" t="str">
        <f t="shared" si="27"/>
        <v>lootWeight,1,</v>
      </c>
      <c r="N70" t="str">
        <f t="shared" si="28"/>
        <v>5</v>
      </c>
      <c r="O70" t="str">
        <f t="shared" si="16"/>
        <v/>
      </c>
      <c r="P70" t="str">
        <f t="shared" si="23"/>
        <v/>
      </c>
      <c r="Q70" t="str">
        <f t="shared" si="23"/>
        <v/>
      </c>
      <c r="R70" t="str">
        <f t="shared" si="23"/>
        <v/>
      </c>
      <c r="S70" t="str">
        <f t="shared" si="23"/>
        <v/>
      </c>
      <c r="T70" t="str">
        <f t="shared" si="23"/>
        <v/>
      </c>
      <c r="U70" t="str">
        <f t="shared" si="23"/>
        <v/>
      </c>
      <c r="V70" s="5" t="s">
        <v>36</v>
      </c>
      <c r="W70" t="str">
        <f t="shared" si="29"/>
        <v/>
      </c>
      <c r="X70" t="str">
        <f t="shared" si="29"/>
        <v/>
      </c>
      <c r="Y70" s="5" t="s">
        <v>36</v>
      </c>
      <c r="Z70" t="str">
        <f t="shared" si="30"/>
        <v/>
      </c>
      <c r="AA70" t="str">
        <f t="shared" si="17"/>
        <v/>
      </c>
      <c r="AB70" s="5" t="s">
        <v>36</v>
      </c>
      <c r="AH70">
        <f t="shared" si="19"/>
        <v>65</v>
      </c>
      <c r="AI70">
        <f t="shared" ref="AI70:AI102" si="34">LEN(I70)</f>
        <v>0</v>
      </c>
      <c r="AJ70">
        <f t="shared" si="18"/>
        <v>5</v>
      </c>
    </row>
    <row r="71" spans="1:36" x14ac:dyDescent="0.25">
      <c r="A71" s="5" t="s">
        <v>39</v>
      </c>
      <c r="B71" s="5" t="s">
        <v>30</v>
      </c>
      <c r="C71" s="5" t="str">
        <f t="shared" si="24"/>
        <v>description,dailCompDescRogue,</v>
      </c>
      <c r="D71" s="5" t="str">
        <f t="shared" si="25"/>
        <v>itemText,dailCompTextRogue,</v>
      </c>
      <c r="E71" s="5" t="str">
        <f t="shared" ref="E71:E102" si="35">"augmentSkillLevel1,"&amp;AJ71&amp;","</f>
        <v>augmentSkillLevel1,5,</v>
      </c>
      <c r="F71" s="5" t="str">
        <f t="shared" ref="F71:F102" si="36">"augmentSkillName1,records/skills"&amp;I71&amp;","</f>
        <v>augmentSkillName1,records/skills,</v>
      </c>
      <c r="G71" s="7" t="str">
        <f t="shared" si="31"/>
        <v/>
      </c>
      <c r="H71" s="8" t="str">
        <f t="shared" si="32"/>
        <v>Rogue</v>
      </c>
      <c r="J71" s="8" t="str">
        <f t="shared" si="33"/>
        <v>class0021</v>
      </c>
      <c r="K71" s="8" t="str">
        <f t="shared" si="33"/>
        <v>dailoneskill0021</v>
      </c>
      <c r="L71" s="5" t="str">
        <f t="shared" si="26"/>
        <v>lootName,DAIL/items/materia/class0021/Rogue.dbr,</v>
      </c>
      <c r="M71" s="5" t="str">
        <f t="shared" si="27"/>
        <v>lootWeight,1,</v>
      </c>
      <c r="N71" t="str">
        <f t="shared" si="28"/>
        <v>5</v>
      </c>
      <c r="O71" t="str">
        <f t="shared" ref="O71:O102" si="37">IF(I71&lt;&gt;"","copy .\"&amp;VLOOKUP(VALUE(N71),$AD$3:$AF$5,2,FALSE)&amp;" .\items\materia\"&amp;J71&amp;"\"&amp;H71&amp;G71&amp;".dbr /y"&amp;"","")</f>
        <v/>
      </c>
      <c r="P71" t="str">
        <f t="shared" si="23"/>
        <v/>
      </c>
      <c r="Q71" t="str">
        <f t="shared" si="23"/>
        <v/>
      </c>
      <c r="R71" t="str">
        <f t="shared" si="23"/>
        <v/>
      </c>
      <c r="S71" t="str">
        <f t="shared" si="23"/>
        <v/>
      </c>
      <c r="T71" t="str">
        <f t="shared" si="23"/>
        <v/>
      </c>
      <c r="U71" t="str">
        <f t="shared" si="23"/>
        <v/>
      </c>
      <c r="V71" s="5" t="s">
        <v>36</v>
      </c>
      <c r="W71" t="str">
        <f t="shared" si="29"/>
        <v/>
      </c>
      <c r="X71" t="str">
        <f t="shared" si="29"/>
        <v/>
      </c>
      <c r="Y71" s="5" t="s">
        <v>36</v>
      </c>
      <c r="Z71" t="str">
        <f t="shared" si="30"/>
        <v/>
      </c>
      <c r="AA71" t="str">
        <f t="shared" ref="AA71:AA102" si="38">IF(I70&lt;&gt;"","dailCompText"&amp;H71&amp;G71&amp;"=^oThis feels warm to the touch, almost familiar ^w("&amp;VLOOKUP(VALUE(N71),$AD$3:$AF$5,3,FALSE)&amp;")","")</f>
        <v/>
      </c>
      <c r="AB71" s="5" t="s">
        <v>36</v>
      </c>
      <c r="AH71">
        <f t="shared" si="19"/>
        <v>66</v>
      </c>
      <c r="AI71">
        <f t="shared" si="34"/>
        <v>0</v>
      </c>
      <c r="AJ71">
        <f t="shared" ref="AJ71:AJ102" si="39">IF(AH71&lt;$AL$7,1,IF(AH71&lt;$AL$8,3,5))</f>
        <v>5</v>
      </c>
    </row>
    <row r="72" spans="1:36" x14ac:dyDescent="0.25">
      <c r="A72" s="5" t="s">
        <v>39</v>
      </c>
      <c r="B72" s="5" t="s">
        <v>30</v>
      </c>
      <c r="C72" s="5" t="str">
        <f t="shared" si="24"/>
        <v>description,dailCompDescRogue,</v>
      </c>
      <c r="D72" s="5" t="str">
        <f t="shared" si="25"/>
        <v>itemText,dailCompTextRogue,</v>
      </c>
      <c r="E72" s="5" t="str">
        <f t="shared" si="35"/>
        <v>augmentSkillLevel1,5,</v>
      </c>
      <c r="F72" s="5" t="str">
        <f t="shared" si="36"/>
        <v>augmentSkillName1,records/skills,</v>
      </c>
      <c r="G72" s="7" t="str">
        <f t="shared" si="31"/>
        <v/>
      </c>
      <c r="H72" s="8" t="str">
        <f t="shared" si="32"/>
        <v>Rogue</v>
      </c>
      <c r="J72" s="8" t="str">
        <f t="shared" si="33"/>
        <v>class0021</v>
      </c>
      <c r="K72" s="8" t="str">
        <f t="shared" si="33"/>
        <v>dailoneskill0021</v>
      </c>
      <c r="L72" s="5" t="str">
        <f t="shared" si="26"/>
        <v>lootName,DAIL/items/materia/class0021/Rogue.dbr,</v>
      </c>
      <c r="M72" s="5" t="str">
        <f t="shared" si="27"/>
        <v>lootWeight,1,</v>
      </c>
      <c r="N72" t="str">
        <f t="shared" si="28"/>
        <v>5</v>
      </c>
      <c r="O72" t="str">
        <f t="shared" si="37"/>
        <v/>
      </c>
      <c r="P72" t="str">
        <f t="shared" si="23"/>
        <v/>
      </c>
      <c r="Q72" t="str">
        <f t="shared" si="23"/>
        <v/>
      </c>
      <c r="R72" t="str">
        <f t="shared" si="23"/>
        <v/>
      </c>
      <c r="S72" t="str">
        <f t="shared" si="23"/>
        <v/>
      </c>
      <c r="T72" t="str">
        <f t="shared" si="23"/>
        <v/>
      </c>
      <c r="U72" t="str">
        <f t="shared" si="23"/>
        <v/>
      </c>
      <c r="V72" s="5" t="s">
        <v>36</v>
      </c>
      <c r="W72" t="str">
        <f t="shared" si="29"/>
        <v/>
      </c>
      <c r="X72" t="str">
        <f t="shared" si="29"/>
        <v/>
      </c>
      <c r="Y72" s="5" t="s">
        <v>36</v>
      </c>
      <c r="Z72" t="str">
        <f t="shared" si="30"/>
        <v/>
      </c>
      <c r="AA72" t="str">
        <f t="shared" si="38"/>
        <v/>
      </c>
      <c r="AB72" s="5" t="s">
        <v>36</v>
      </c>
      <c r="AH72">
        <f t="shared" ref="AH72:AH102" si="40">AH71+1</f>
        <v>67</v>
      </c>
      <c r="AI72">
        <f t="shared" si="34"/>
        <v>0</v>
      </c>
      <c r="AJ72">
        <f t="shared" si="39"/>
        <v>5</v>
      </c>
    </row>
    <row r="73" spans="1:36" x14ac:dyDescent="0.25">
      <c r="A73" s="5" t="s">
        <v>39</v>
      </c>
      <c r="B73" s="5" t="s">
        <v>30</v>
      </c>
      <c r="C73" s="5" t="str">
        <f t="shared" si="24"/>
        <v>description,dailCompDescRogue,</v>
      </c>
      <c r="D73" s="5" t="str">
        <f t="shared" si="25"/>
        <v>itemText,dailCompTextRogue,</v>
      </c>
      <c r="E73" s="5" t="str">
        <f t="shared" si="35"/>
        <v>augmentSkillLevel1,5,</v>
      </c>
      <c r="F73" s="5" t="str">
        <f t="shared" si="36"/>
        <v>augmentSkillName1,records/skills,</v>
      </c>
      <c r="G73" s="7" t="str">
        <f t="shared" si="31"/>
        <v/>
      </c>
      <c r="H73" s="8" t="str">
        <f t="shared" si="32"/>
        <v>Rogue</v>
      </c>
      <c r="J73" s="8" t="str">
        <f t="shared" si="33"/>
        <v>class0021</v>
      </c>
      <c r="K73" s="8" t="str">
        <f t="shared" si="33"/>
        <v>dailoneskill0021</v>
      </c>
      <c r="L73" s="5" t="str">
        <f t="shared" si="26"/>
        <v>lootName,DAIL/items/materia/class0021/Rogue.dbr,</v>
      </c>
      <c r="M73" s="5" t="str">
        <f t="shared" si="27"/>
        <v>lootWeight,1,</v>
      </c>
      <c r="N73" t="str">
        <f t="shared" si="28"/>
        <v>5</v>
      </c>
      <c r="O73" t="str">
        <f t="shared" si="37"/>
        <v/>
      </c>
      <c r="P73" t="str">
        <f t="shared" si="23"/>
        <v/>
      </c>
      <c r="Q73" t="str">
        <f t="shared" si="23"/>
        <v/>
      </c>
      <c r="R73" t="str">
        <f t="shared" si="23"/>
        <v/>
      </c>
      <c r="S73" t="str">
        <f t="shared" si="23"/>
        <v/>
      </c>
      <c r="T73" t="str">
        <f t="shared" si="23"/>
        <v/>
      </c>
      <c r="U73" t="str">
        <f t="shared" si="23"/>
        <v/>
      </c>
      <c r="V73" s="5" t="s">
        <v>36</v>
      </c>
      <c r="W73" t="str">
        <f t="shared" si="29"/>
        <v/>
      </c>
      <c r="X73" t="str">
        <f t="shared" si="29"/>
        <v/>
      </c>
      <c r="Y73" s="5" t="s">
        <v>36</v>
      </c>
      <c r="Z73" t="str">
        <f t="shared" si="30"/>
        <v/>
      </c>
      <c r="AA73" t="str">
        <f t="shared" si="38"/>
        <v/>
      </c>
      <c r="AB73" s="5" t="s">
        <v>36</v>
      </c>
      <c r="AH73">
        <f t="shared" si="40"/>
        <v>68</v>
      </c>
      <c r="AI73">
        <f t="shared" si="34"/>
        <v>0</v>
      </c>
      <c r="AJ73">
        <f t="shared" si="39"/>
        <v>5</v>
      </c>
    </row>
    <row r="74" spans="1:36" x14ac:dyDescent="0.25">
      <c r="A74" s="5" t="s">
        <v>39</v>
      </c>
      <c r="B74" s="5" t="s">
        <v>30</v>
      </c>
      <c r="C74" s="5" t="str">
        <f t="shared" si="24"/>
        <v>description,dailCompDescRogue,</v>
      </c>
      <c r="D74" s="5" t="str">
        <f t="shared" si="25"/>
        <v>itemText,dailCompTextRogue,</v>
      </c>
      <c r="E74" s="5" t="str">
        <f t="shared" si="35"/>
        <v>augmentSkillLevel1,5,</v>
      </c>
      <c r="F74" s="5" t="str">
        <f t="shared" si="36"/>
        <v>augmentSkillName1,records/skills,</v>
      </c>
      <c r="G74" s="7" t="str">
        <f t="shared" si="31"/>
        <v/>
      </c>
      <c r="H74" s="8" t="str">
        <f t="shared" si="32"/>
        <v>Rogue</v>
      </c>
      <c r="J74" s="8" t="str">
        <f t="shared" si="33"/>
        <v>class0021</v>
      </c>
      <c r="K74" s="8" t="str">
        <f t="shared" si="33"/>
        <v>dailoneskill0021</v>
      </c>
      <c r="L74" s="5" t="str">
        <f t="shared" si="26"/>
        <v>lootName,DAIL/items/materia/class0021/Rogue.dbr,</v>
      </c>
      <c r="M74" s="5" t="str">
        <f t="shared" si="27"/>
        <v>lootWeight,1,</v>
      </c>
      <c r="N74" t="str">
        <f t="shared" si="28"/>
        <v>5</v>
      </c>
      <c r="O74" t="str">
        <f t="shared" si="37"/>
        <v/>
      </c>
      <c r="P74" t="str">
        <f t="shared" si="23"/>
        <v/>
      </c>
      <c r="Q74" t="str">
        <f t="shared" si="23"/>
        <v/>
      </c>
      <c r="R74" t="str">
        <f t="shared" si="23"/>
        <v/>
      </c>
      <c r="S74" t="str">
        <f t="shared" si="23"/>
        <v/>
      </c>
      <c r="T74" t="str">
        <f t="shared" si="23"/>
        <v/>
      </c>
      <c r="U74" t="str">
        <f t="shared" si="23"/>
        <v/>
      </c>
      <c r="V74" s="5" t="s">
        <v>36</v>
      </c>
      <c r="W74" t="str">
        <f t="shared" si="29"/>
        <v/>
      </c>
      <c r="X74" t="str">
        <f t="shared" si="29"/>
        <v/>
      </c>
      <c r="Y74" s="5" t="s">
        <v>36</v>
      </c>
      <c r="Z74" t="str">
        <f t="shared" si="30"/>
        <v/>
      </c>
      <c r="AA74" t="str">
        <f t="shared" si="38"/>
        <v/>
      </c>
      <c r="AB74" s="5" t="s">
        <v>36</v>
      </c>
      <c r="AH74">
        <f t="shared" si="40"/>
        <v>69</v>
      </c>
      <c r="AI74">
        <f t="shared" si="34"/>
        <v>0</v>
      </c>
      <c r="AJ74">
        <f t="shared" si="39"/>
        <v>5</v>
      </c>
    </row>
    <row r="75" spans="1:36" x14ac:dyDescent="0.25">
      <c r="A75" s="5" t="s">
        <v>39</v>
      </c>
      <c r="B75" s="5" t="s">
        <v>30</v>
      </c>
      <c r="C75" s="5" t="str">
        <f t="shared" si="24"/>
        <v>description,dailCompDescRogue,</v>
      </c>
      <c r="D75" s="5" t="str">
        <f t="shared" si="25"/>
        <v>itemText,dailCompTextRogue,</v>
      </c>
      <c r="E75" s="5" t="str">
        <f t="shared" si="35"/>
        <v>augmentSkillLevel1,5,</v>
      </c>
      <c r="F75" s="5" t="str">
        <f t="shared" si="36"/>
        <v>augmentSkillName1,records/skills,</v>
      </c>
      <c r="G75" s="7" t="str">
        <f t="shared" si="31"/>
        <v/>
      </c>
      <c r="H75" s="8" t="str">
        <f t="shared" si="32"/>
        <v>Rogue</v>
      </c>
      <c r="J75" s="8" t="str">
        <f t="shared" si="33"/>
        <v>class0021</v>
      </c>
      <c r="K75" s="8" t="str">
        <f t="shared" si="33"/>
        <v>dailoneskill0021</v>
      </c>
      <c r="L75" s="5" t="str">
        <f t="shared" si="26"/>
        <v>lootName,DAIL/items/materia/class0021/Rogue.dbr,</v>
      </c>
      <c r="M75" s="5" t="str">
        <f t="shared" si="27"/>
        <v>lootWeight,1,</v>
      </c>
      <c r="N75" t="str">
        <f t="shared" si="28"/>
        <v>5</v>
      </c>
      <c r="O75" t="str">
        <f t="shared" si="37"/>
        <v/>
      </c>
      <c r="P75" t="str">
        <f t="shared" si="23"/>
        <v/>
      </c>
      <c r="Q75" t="str">
        <f t="shared" si="23"/>
        <v/>
      </c>
      <c r="R75" t="str">
        <f t="shared" si="23"/>
        <v/>
      </c>
      <c r="S75" t="str">
        <f t="shared" si="23"/>
        <v/>
      </c>
      <c r="T75" t="str">
        <f t="shared" si="23"/>
        <v/>
      </c>
      <c r="U75" t="str">
        <f t="shared" si="23"/>
        <v/>
      </c>
      <c r="V75" s="5" t="s">
        <v>36</v>
      </c>
      <c r="W75" t="str">
        <f t="shared" si="29"/>
        <v/>
      </c>
      <c r="X75" t="str">
        <f t="shared" si="29"/>
        <v/>
      </c>
      <c r="Y75" s="5" t="s">
        <v>36</v>
      </c>
      <c r="Z75" t="str">
        <f t="shared" si="30"/>
        <v/>
      </c>
      <c r="AA75" t="str">
        <f t="shared" si="38"/>
        <v/>
      </c>
      <c r="AB75" s="5" t="s">
        <v>36</v>
      </c>
      <c r="AH75">
        <f t="shared" si="40"/>
        <v>70</v>
      </c>
      <c r="AI75">
        <f t="shared" si="34"/>
        <v>0</v>
      </c>
      <c r="AJ75">
        <f t="shared" si="39"/>
        <v>5</v>
      </c>
    </row>
    <row r="76" spans="1:36" x14ac:dyDescent="0.25">
      <c r="A76" s="5" t="s">
        <v>39</v>
      </c>
      <c r="B76" s="5" t="s">
        <v>30</v>
      </c>
      <c r="C76" s="5" t="str">
        <f t="shared" si="24"/>
        <v>description,dailCompDescRogue,</v>
      </c>
      <c r="D76" s="5" t="str">
        <f t="shared" si="25"/>
        <v>itemText,dailCompTextRogue,</v>
      </c>
      <c r="E76" s="5" t="str">
        <f t="shared" si="35"/>
        <v>augmentSkillLevel1,5,</v>
      </c>
      <c r="F76" s="5" t="str">
        <f t="shared" si="36"/>
        <v>augmentSkillName1,records/skills,</v>
      </c>
      <c r="G76" s="7" t="str">
        <f t="shared" si="31"/>
        <v/>
      </c>
      <c r="H76" s="8" t="str">
        <f t="shared" si="32"/>
        <v>Rogue</v>
      </c>
      <c r="J76" s="8" t="str">
        <f t="shared" si="33"/>
        <v>class0021</v>
      </c>
      <c r="K76" s="8" t="str">
        <f t="shared" si="33"/>
        <v>dailoneskill0021</v>
      </c>
      <c r="L76" s="5" t="str">
        <f t="shared" si="26"/>
        <v>lootName,DAIL/items/materia/class0021/Rogue.dbr,</v>
      </c>
      <c r="M76" s="5" t="str">
        <f t="shared" si="27"/>
        <v>lootWeight,1,</v>
      </c>
      <c r="N76" t="str">
        <f t="shared" si="28"/>
        <v>5</v>
      </c>
      <c r="O76" t="str">
        <f t="shared" si="37"/>
        <v/>
      </c>
      <c r="P76" t="str">
        <f t="shared" si="23"/>
        <v/>
      </c>
      <c r="Q76" t="str">
        <f t="shared" si="23"/>
        <v/>
      </c>
      <c r="R76" t="str">
        <f t="shared" si="23"/>
        <v/>
      </c>
      <c r="S76" t="str">
        <f t="shared" si="23"/>
        <v/>
      </c>
      <c r="T76" t="str">
        <f t="shared" si="23"/>
        <v/>
      </c>
      <c r="U76" t="str">
        <f t="shared" si="23"/>
        <v/>
      </c>
      <c r="V76" s="5" t="s">
        <v>36</v>
      </c>
      <c r="W76" t="str">
        <f t="shared" si="29"/>
        <v/>
      </c>
      <c r="X76" t="str">
        <f t="shared" si="29"/>
        <v/>
      </c>
      <c r="Y76" s="5" t="s">
        <v>36</v>
      </c>
      <c r="Z76" t="str">
        <f t="shared" si="30"/>
        <v/>
      </c>
      <c r="AA76" t="str">
        <f t="shared" si="38"/>
        <v/>
      </c>
      <c r="AB76" s="5" t="s">
        <v>36</v>
      </c>
      <c r="AH76">
        <f t="shared" si="40"/>
        <v>71</v>
      </c>
      <c r="AI76">
        <f t="shared" si="34"/>
        <v>0</v>
      </c>
      <c r="AJ76">
        <f t="shared" si="39"/>
        <v>5</v>
      </c>
    </row>
    <row r="77" spans="1:36" x14ac:dyDescent="0.25">
      <c r="A77" s="5" t="s">
        <v>39</v>
      </c>
      <c r="B77" s="5" t="s">
        <v>30</v>
      </c>
      <c r="C77" s="5" t="str">
        <f t="shared" si="24"/>
        <v>description,dailCompDescRogue,</v>
      </c>
      <c r="D77" s="5" t="str">
        <f t="shared" si="25"/>
        <v>itemText,dailCompTextRogue,</v>
      </c>
      <c r="E77" s="5" t="str">
        <f t="shared" si="35"/>
        <v>augmentSkillLevel1,5,</v>
      </c>
      <c r="F77" s="5" t="str">
        <f t="shared" si="36"/>
        <v>augmentSkillName1,records/skills,</v>
      </c>
      <c r="G77" s="7" t="str">
        <f t="shared" si="31"/>
        <v/>
      </c>
      <c r="H77" s="8" t="str">
        <f t="shared" si="32"/>
        <v>Rogue</v>
      </c>
      <c r="J77" s="8" t="str">
        <f t="shared" si="33"/>
        <v>class0021</v>
      </c>
      <c r="K77" s="8" t="str">
        <f t="shared" si="33"/>
        <v>dailoneskill0021</v>
      </c>
      <c r="L77" s="5" t="str">
        <f t="shared" si="26"/>
        <v>lootName,DAIL/items/materia/class0021/Rogue.dbr,</v>
      </c>
      <c r="M77" s="5" t="str">
        <f t="shared" si="27"/>
        <v>lootWeight,1,</v>
      </c>
      <c r="N77" t="str">
        <f t="shared" si="28"/>
        <v>5</v>
      </c>
      <c r="O77" t="str">
        <f t="shared" si="37"/>
        <v/>
      </c>
      <c r="P77" t="str">
        <f t="shared" si="23"/>
        <v/>
      </c>
      <c r="Q77" t="str">
        <f t="shared" si="23"/>
        <v/>
      </c>
      <c r="R77" t="str">
        <f t="shared" si="23"/>
        <v/>
      </c>
      <c r="S77" t="str">
        <f t="shared" si="23"/>
        <v/>
      </c>
      <c r="T77" t="str">
        <f t="shared" si="23"/>
        <v/>
      </c>
      <c r="U77" t="str">
        <f t="shared" si="23"/>
        <v/>
      </c>
      <c r="V77" s="5" t="s">
        <v>36</v>
      </c>
      <c r="W77" t="str">
        <f t="shared" si="29"/>
        <v/>
      </c>
      <c r="X77" t="str">
        <f t="shared" si="29"/>
        <v/>
      </c>
      <c r="Y77" s="5" t="s">
        <v>36</v>
      </c>
      <c r="Z77" t="str">
        <f t="shared" si="30"/>
        <v/>
      </c>
      <c r="AA77" t="str">
        <f t="shared" si="38"/>
        <v/>
      </c>
      <c r="AB77" s="5" t="s">
        <v>36</v>
      </c>
      <c r="AH77">
        <f t="shared" si="40"/>
        <v>72</v>
      </c>
      <c r="AI77">
        <f t="shared" si="34"/>
        <v>0</v>
      </c>
      <c r="AJ77">
        <f t="shared" si="39"/>
        <v>5</v>
      </c>
    </row>
    <row r="78" spans="1:36" x14ac:dyDescent="0.25">
      <c r="A78" s="5" t="s">
        <v>39</v>
      </c>
      <c r="B78" s="5" t="s">
        <v>30</v>
      </c>
      <c r="C78" s="5" t="str">
        <f t="shared" si="24"/>
        <v>description,dailCompDescRogue,</v>
      </c>
      <c r="D78" s="5" t="str">
        <f t="shared" si="25"/>
        <v>itemText,dailCompTextRogue,</v>
      </c>
      <c r="E78" s="5" t="str">
        <f t="shared" si="35"/>
        <v>augmentSkillLevel1,5,</v>
      </c>
      <c r="F78" s="5" t="str">
        <f t="shared" si="36"/>
        <v>augmentSkillName1,records/skills,</v>
      </c>
      <c r="G78" s="7" t="str">
        <f t="shared" si="31"/>
        <v/>
      </c>
      <c r="H78" s="8" t="str">
        <f t="shared" si="32"/>
        <v>Rogue</v>
      </c>
      <c r="J78" s="8" t="str">
        <f t="shared" si="33"/>
        <v>class0021</v>
      </c>
      <c r="K78" s="8" t="str">
        <f t="shared" si="33"/>
        <v>dailoneskill0021</v>
      </c>
      <c r="L78" s="5" t="str">
        <f t="shared" si="26"/>
        <v>lootName,DAIL/items/materia/class0021/Rogue.dbr,</v>
      </c>
      <c r="M78" s="5" t="str">
        <f t="shared" si="27"/>
        <v>lootWeight,1,</v>
      </c>
      <c r="N78" t="str">
        <f t="shared" si="28"/>
        <v>5</v>
      </c>
      <c r="O78" t="str">
        <f t="shared" si="37"/>
        <v/>
      </c>
      <c r="P78" t="str">
        <f t="shared" si="23"/>
        <v/>
      </c>
      <c r="Q78" t="str">
        <f t="shared" si="23"/>
        <v/>
      </c>
      <c r="R78" t="str">
        <f t="shared" si="23"/>
        <v/>
      </c>
      <c r="S78" t="str">
        <f t="shared" si="23"/>
        <v/>
      </c>
      <c r="T78" t="str">
        <f t="shared" si="23"/>
        <v/>
      </c>
      <c r="U78" t="str">
        <f t="shared" si="23"/>
        <v/>
      </c>
      <c r="V78" s="5" t="s">
        <v>36</v>
      </c>
      <c r="W78" t="str">
        <f t="shared" si="29"/>
        <v/>
      </c>
      <c r="X78" t="str">
        <f t="shared" si="29"/>
        <v/>
      </c>
      <c r="Y78" s="5" t="s">
        <v>36</v>
      </c>
      <c r="Z78" t="str">
        <f t="shared" si="30"/>
        <v/>
      </c>
      <c r="AA78" t="str">
        <f t="shared" si="38"/>
        <v/>
      </c>
      <c r="AB78" s="5" t="s">
        <v>36</v>
      </c>
      <c r="AH78">
        <f t="shared" si="40"/>
        <v>73</v>
      </c>
      <c r="AI78">
        <f t="shared" si="34"/>
        <v>0</v>
      </c>
      <c r="AJ78">
        <f t="shared" si="39"/>
        <v>5</v>
      </c>
    </row>
    <row r="79" spans="1:36" x14ac:dyDescent="0.25">
      <c r="A79" s="5" t="s">
        <v>39</v>
      </c>
      <c r="B79" s="5" t="s">
        <v>30</v>
      </c>
      <c r="C79" s="5" t="str">
        <f t="shared" si="24"/>
        <v>description,dailCompDescRogue,</v>
      </c>
      <c r="D79" s="5" t="str">
        <f t="shared" si="25"/>
        <v>itemText,dailCompTextRogue,</v>
      </c>
      <c r="E79" s="5" t="str">
        <f t="shared" si="35"/>
        <v>augmentSkillLevel1,5,</v>
      </c>
      <c r="F79" s="5" t="str">
        <f t="shared" si="36"/>
        <v>augmentSkillName1,records/skills,</v>
      </c>
      <c r="G79" s="7" t="str">
        <f t="shared" si="31"/>
        <v/>
      </c>
      <c r="H79" s="8" t="str">
        <f t="shared" si="32"/>
        <v>Rogue</v>
      </c>
      <c r="J79" s="8" t="str">
        <f t="shared" si="33"/>
        <v>class0021</v>
      </c>
      <c r="K79" s="8" t="str">
        <f t="shared" si="33"/>
        <v>dailoneskill0021</v>
      </c>
      <c r="L79" s="5" t="str">
        <f t="shared" si="26"/>
        <v>lootName,DAIL/items/materia/class0021/Rogue.dbr,</v>
      </c>
      <c r="M79" s="5" t="str">
        <f t="shared" si="27"/>
        <v>lootWeight,1,</v>
      </c>
      <c r="N79" t="str">
        <f t="shared" si="28"/>
        <v>5</v>
      </c>
      <c r="O79" t="str">
        <f t="shared" si="37"/>
        <v/>
      </c>
      <c r="P79" t="str">
        <f t="shared" si="23"/>
        <v/>
      </c>
      <c r="Q79" t="str">
        <f t="shared" si="23"/>
        <v/>
      </c>
      <c r="R79" t="str">
        <f t="shared" si="23"/>
        <v/>
      </c>
      <c r="S79" t="str">
        <f t="shared" si="23"/>
        <v/>
      </c>
      <c r="T79" t="str">
        <f t="shared" si="23"/>
        <v/>
      </c>
      <c r="U79" t="str">
        <f t="shared" si="23"/>
        <v/>
      </c>
      <c r="V79" s="5" t="s">
        <v>36</v>
      </c>
      <c r="W79" t="str">
        <f t="shared" si="29"/>
        <v/>
      </c>
      <c r="X79" t="str">
        <f t="shared" si="29"/>
        <v/>
      </c>
      <c r="Y79" s="5" t="s">
        <v>36</v>
      </c>
      <c r="Z79" t="str">
        <f t="shared" si="30"/>
        <v/>
      </c>
      <c r="AA79" t="str">
        <f t="shared" si="38"/>
        <v/>
      </c>
      <c r="AB79" s="5" t="s">
        <v>36</v>
      </c>
      <c r="AH79">
        <f t="shared" si="40"/>
        <v>74</v>
      </c>
      <c r="AI79">
        <f t="shared" si="34"/>
        <v>0</v>
      </c>
      <c r="AJ79">
        <f t="shared" si="39"/>
        <v>5</v>
      </c>
    </row>
    <row r="80" spans="1:36" x14ac:dyDescent="0.25">
      <c r="A80" s="5" t="s">
        <v>39</v>
      </c>
      <c r="B80" s="5" t="s">
        <v>30</v>
      </c>
      <c r="C80" s="5" t="str">
        <f t="shared" si="24"/>
        <v>description,dailCompDescRogue,</v>
      </c>
      <c r="D80" s="5" t="str">
        <f t="shared" si="25"/>
        <v>itemText,dailCompTextRogue,</v>
      </c>
      <c r="E80" s="5" t="str">
        <f t="shared" si="35"/>
        <v>augmentSkillLevel1,5,</v>
      </c>
      <c r="F80" s="5" t="str">
        <f t="shared" si="36"/>
        <v>augmentSkillName1,records/skills,</v>
      </c>
      <c r="G80" s="7" t="str">
        <f t="shared" si="31"/>
        <v/>
      </c>
      <c r="H80" s="8" t="str">
        <f t="shared" si="32"/>
        <v>Rogue</v>
      </c>
      <c r="J80" s="8" t="str">
        <f t="shared" si="33"/>
        <v>class0021</v>
      </c>
      <c r="K80" s="8" t="str">
        <f t="shared" si="33"/>
        <v>dailoneskill0021</v>
      </c>
      <c r="L80" s="5" t="str">
        <f t="shared" si="26"/>
        <v>lootName,DAIL/items/materia/class0021/Rogue.dbr,</v>
      </c>
      <c r="M80" s="5" t="str">
        <f t="shared" si="27"/>
        <v>lootWeight,1,</v>
      </c>
      <c r="N80" t="str">
        <f t="shared" si="28"/>
        <v>5</v>
      </c>
      <c r="O80" t="str">
        <f t="shared" si="37"/>
        <v/>
      </c>
      <c r="P80" t="str">
        <f t="shared" si="23"/>
        <v/>
      </c>
      <c r="Q80" t="str">
        <f t="shared" si="23"/>
        <v/>
      </c>
      <c r="R80" t="str">
        <f t="shared" si="23"/>
        <v/>
      </c>
      <c r="S80" t="str">
        <f t="shared" si="23"/>
        <v/>
      </c>
      <c r="T80" t="str">
        <f t="shared" si="23"/>
        <v/>
      </c>
      <c r="U80" t="str">
        <f t="shared" si="23"/>
        <v/>
      </c>
      <c r="V80" s="5" t="s">
        <v>36</v>
      </c>
      <c r="W80" t="str">
        <f t="shared" si="29"/>
        <v/>
      </c>
      <c r="X80" t="str">
        <f t="shared" si="29"/>
        <v/>
      </c>
      <c r="Y80" s="5" t="s">
        <v>36</v>
      </c>
      <c r="Z80" t="str">
        <f t="shared" si="30"/>
        <v/>
      </c>
      <c r="AA80" t="str">
        <f t="shared" si="38"/>
        <v/>
      </c>
      <c r="AB80" s="5" t="s">
        <v>36</v>
      </c>
      <c r="AH80">
        <f t="shared" si="40"/>
        <v>75</v>
      </c>
      <c r="AI80">
        <f t="shared" si="34"/>
        <v>0</v>
      </c>
      <c r="AJ80">
        <f t="shared" si="39"/>
        <v>5</v>
      </c>
    </row>
    <row r="81" spans="1:36" x14ac:dyDescent="0.25">
      <c r="A81" s="5" t="s">
        <v>39</v>
      </c>
      <c r="B81" s="5" t="s">
        <v>30</v>
      </c>
      <c r="C81" s="5" t="str">
        <f t="shared" si="24"/>
        <v>description,dailCompDescRogue,</v>
      </c>
      <c r="D81" s="5" t="str">
        <f t="shared" si="25"/>
        <v>itemText,dailCompTextRogue,</v>
      </c>
      <c r="E81" s="5" t="str">
        <f t="shared" si="35"/>
        <v>augmentSkillLevel1,5,</v>
      </c>
      <c r="F81" s="5" t="str">
        <f t="shared" si="36"/>
        <v>augmentSkillName1,records/skills,</v>
      </c>
      <c r="G81" s="7" t="str">
        <f t="shared" si="31"/>
        <v/>
      </c>
      <c r="H81" s="8" t="str">
        <f t="shared" si="32"/>
        <v>Rogue</v>
      </c>
      <c r="J81" s="8" t="str">
        <f t="shared" si="33"/>
        <v>class0021</v>
      </c>
      <c r="K81" s="8" t="str">
        <f t="shared" si="33"/>
        <v>dailoneskill0021</v>
      </c>
      <c r="L81" s="5" t="str">
        <f t="shared" si="26"/>
        <v>lootName,DAIL/items/materia/class0021/Rogue.dbr,</v>
      </c>
      <c r="M81" s="5" t="str">
        <f t="shared" si="27"/>
        <v>lootWeight,1,</v>
      </c>
      <c r="N81" t="str">
        <f t="shared" si="28"/>
        <v>5</v>
      </c>
      <c r="O81" t="str">
        <f t="shared" si="37"/>
        <v/>
      </c>
      <c r="P81" t="str">
        <f t="shared" si="23"/>
        <v/>
      </c>
      <c r="Q81" t="str">
        <f t="shared" si="23"/>
        <v/>
      </c>
      <c r="R81" t="str">
        <f t="shared" si="23"/>
        <v/>
      </c>
      <c r="S81" t="str">
        <f t="shared" si="23"/>
        <v/>
      </c>
      <c r="T81" t="str">
        <f t="shared" si="23"/>
        <v/>
      </c>
      <c r="U81" t="str">
        <f t="shared" si="23"/>
        <v/>
      </c>
      <c r="V81" s="5" t="s">
        <v>36</v>
      </c>
      <c r="W81" t="str">
        <f t="shared" si="29"/>
        <v/>
      </c>
      <c r="X81" t="str">
        <f t="shared" si="29"/>
        <v/>
      </c>
      <c r="Y81" s="5" t="s">
        <v>36</v>
      </c>
      <c r="Z81" t="str">
        <f t="shared" si="30"/>
        <v/>
      </c>
      <c r="AA81" t="str">
        <f t="shared" si="38"/>
        <v/>
      </c>
      <c r="AB81" s="5" t="s">
        <v>36</v>
      </c>
      <c r="AH81">
        <f t="shared" si="40"/>
        <v>76</v>
      </c>
      <c r="AI81">
        <f t="shared" si="34"/>
        <v>0</v>
      </c>
      <c r="AJ81">
        <f t="shared" si="39"/>
        <v>5</v>
      </c>
    </row>
    <row r="82" spans="1:36" x14ac:dyDescent="0.25">
      <c r="A82" s="5" t="s">
        <v>39</v>
      </c>
      <c r="B82" s="5" t="s">
        <v>30</v>
      </c>
      <c r="C82" s="5" t="str">
        <f t="shared" si="24"/>
        <v>description,dailCompDescRogue,</v>
      </c>
      <c r="D82" s="5" t="str">
        <f t="shared" si="25"/>
        <v>itemText,dailCompTextRogue,</v>
      </c>
      <c r="E82" s="5" t="str">
        <f t="shared" si="35"/>
        <v>augmentSkillLevel1,5,</v>
      </c>
      <c r="F82" s="5" t="str">
        <f t="shared" si="36"/>
        <v>augmentSkillName1,records/skills,</v>
      </c>
      <c r="G82" s="7" t="str">
        <f t="shared" si="31"/>
        <v/>
      </c>
      <c r="H82" s="8" t="str">
        <f t="shared" si="32"/>
        <v>Rogue</v>
      </c>
      <c r="J82" s="8" t="str">
        <f t="shared" si="33"/>
        <v>class0021</v>
      </c>
      <c r="K82" s="8" t="str">
        <f t="shared" si="33"/>
        <v>dailoneskill0021</v>
      </c>
      <c r="L82" s="5" t="str">
        <f t="shared" si="26"/>
        <v>lootName,DAIL/items/materia/class0021/Rogue.dbr,</v>
      </c>
      <c r="M82" s="5" t="str">
        <f t="shared" si="27"/>
        <v>lootWeight,1,</v>
      </c>
      <c r="N82" t="str">
        <f t="shared" si="28"/>
        <v>5</v>
      </c>
      <c r="O82" t="str">
        <f t="shared" si="37"/>
        <v/>
      </c>
      <c r="P82" t="str">
        <f t="shared" si="23"/>
        <v/>
      </c>
      <c r="Q82" t="str">
        <f t="shared" si="23"/>
        <v/>
      </c>
      <c r="R82" t="str">
        <f t="shared" si="23"/>
        <v/>
      </c>
      <c r="S82" t="str">
        <f t="shared" si="23"/>
        <v/>
      </c>
      <c r="T82" t="str">
        <f t="shared" si="23"/>
        <v/>
      </c>
      <c r="U82" t="str">
        <f t="shared" si="23"/>
        <v/>
      </c>
      <c r="V82" s="5" t="s">
        <v>36</v>
      </c>
      <c r="W82" t="str">
        <f t="shared" si="29"/>
        <v/>
      </c>
      <c r="X82" t="str">
        <f t="shared" si="29"/>
        <v/>
      </c>
      <c r="Y82" s="5" t="s">
        <v>36</v>
      </c>
      <c r="Z82" t="str">
        <f t="shared" si="30"/>
        <v/>
      </c>
      <c r="AA82" t="str">
        <f t="shared" si="38"/>
        <v/>
      </c>
      <c r="AB82" s="5" t="s">
        <v>36</v>
      </c>
      <c r="AH82">
        <f t="shared" si="40"/>
        <v>77</v>
      </c>
      <c r="AI82">
        <f t="shared" si="34"/>
        <v>0</v>
      </c>
      <c r="AJ82">
        <f t="shared" si="39"/>
        <v>5</v>
      </c>
    </row>
    <row r="83" spans="1:36" x14ac:dyDescent="0.25">
      <c r="A83" s="5" t="s">
        <v>39</v>
      </c>
      <c r="B83" s="5" t="s">
        <v>30</v>
      </c>
      <c r="C83" s="5" t="str">
        <f t="shared" si="24"/>
        <v>description,dailCompDescRogue,</v>
      </c>
      <c r="D83" s="5" t="str">
        <f t="shared" si="25"/>
        <v>itemText,dailCompTextRogue,</v>
      </c>
      <c r="E83" s="5" t="str">
        <f t="shared" si="35"/>
        <v>augmentSkillLevel1,5,</v>
      </c>
      <c r="F83" s="5" t="str">
        <f t="shared" si="36"/>
        <v>augmentSkillName1,records/skills,</v>
      </c>
      <c r="G83" s="7" t="str">
        <f t="shared" si="31"/>
        <v/>
      </c>
      <c r="H83" s="8" t="str">
        <f t="shared" si="32"/>
        <v>Rogue</v>
      </c>
      <c r="J83" s="8" t="str">
        <f t="shared" si="33"/>
        <v>class0021</v>
      </c>
      <c r="K83" s="8" t="str">
        <f t="shared" si="33"/>
        <v>dailoneskill0021</v>
      </c>
      <c r="L83" s="5" t="str">
        <f t="shared" si="26"/>
        <v>lootName,DAIL/items/materia/class0021/Rogue.dbr,</v>
      </c>
      <c r="M83" s="5" t="str">
        <f t="shared" si="27"/>
        <v>lootWeight,1,</v>
      </c>
      <c r="N83" t="str">
        <f t="shared" si="28"/>
        <v>5</v>
      </c>
      <c r="O83" t="str">
        <f t="shared" si="37"/>
        <v/>
      </c>
      <c r="P83" t="str">
        <f t="shared" si="23"/>
        <v/>
      </c>
      <c r="Q83" t="str">
        <f t="shared" si="23"/>
        <v/>
      </c>
      <c r="R83" t="str">
        <f t="shared" si="23"/>
        <v/>
      </c>
      <c r="S83" t="str">
        <f t="shared" si="23"/>
        <v/>
      </c>
      <c r="T83" t="str">
        <f t="shared" si="23"/>
        <v/>
      </c>
      <c r="U83" t="str">
        <f t="shared" si="23"/>
        <v/>
      </c>
      <c r="V83" s="5" t="s">
        <v>36</v>
      </c>
      <c r="W83" t="str">
        <f t="shared" si="29"/>
        <v/>
      </c>
      <c r="X83" t="str">
        <f t="shared" si="29"/>
        <v/>
      </c>
      <c r="Y83" s="5" t="s">
        <v>36</v>
      </c>
      <c r="Z83" t="str">
        <f t="shared" si="30"/>
        <v/>
      </c>
      <c r="AA83" t="str">
        <f t="shared" si="38"/>
        <v/>
      </c>
      <c r="AB83" s="5" t="s">
        <v>36</v>
      </c>
      <c r="AH83">
        <f t="shared" si="40"/>
        <v>78</v>
      </c>
      <c r="AI83">
        <f t="shared" si="34"/>
        <v>0</v>
      </c>
      <c r="AJ83">
        <f t="shared" si="39"/>
        <v>5</v>
      </c>
    </row>
    <row r="84" spans="1:36" x14ac:dyDescent="0.25">
      <c r="A84" s="5" t="s">
        <v>39</v>
      </c>
      <c r="B84" s="5" t="s">
        <v>30</v>
      </c>
      <c r="C84" s="5" t="str">
        <f t="shared" si="24"/>
        <v>description,dailCompDescRogue,</v>
      </c>
      <c r="D84" s="5" t="str">
        <f t="shared" si="25"/>
        <v>itemText,dailCompTextRogue,</v>
      </c>
      <c r="E84" s="5" t="str">
        <f t="shared" si="35"/>
        <v>augmentSkillLevel1,5,</v>
      </c>
      <c r="F84" s="5" t="str">
        <f t="shared" si="36"/>
        <v>augmentSkillName1,records/skills,</v>
      </c>
      <c r="G84" s="7" t="str">
        <f t="shared" si="31"/>
        <v/>
      </c>
      <c r="H84" s="8" t="str">
        <f t="shared" si="32"/>
        <v>Rogue</v>
      </c>
      <c r="J84" s="8" t="str">
        <f t="shared" si="33"/>
        <v>class0021</v>
      </c>
      <c r="K84" s="8" t="str">
        <f t="shared" si="33"/>
        <v>dailoneskill0021</v>
      </c>
      <c r="L84" s="5" t="str">
        <f t="shared" si="26"/>
        <v>lootName,DAIL/items/materia/class0021/Rogue.dbr,</v>
      </c>
      <c r="M84" s="5" t="str">
        <f t="shared" si="27"/>
        <v>lootWeight,1,</v>
      </c>
      <c r="N84" t="str">
        <f t="shared" si="28"/>
        <v>5</v>
      </c>
      <c r="O84" t="str">
        <f t="shared" si="37"/>
        <v/>
      </c>
      <c r="P84" t="str">
        <f t="shared" si="23"/>
        <v/>
      </c>
      <c r="Q84" t="str">
        <f t="shared" si="23"/>
        <v/>
      </c>
      <c r="R84" t="str">
        <f t="shared" si="23"/>
        <v/>
      </c>
      <c r="S84" t="str">
        <f t="shared" si="23"/>
        <v/>
      </c>
      <c r="T84" t="str">
        <f t="shared" si="23"/>
        <v/>
      </c>
      <c r="U84" t="str">
        <f t="shared" si="23"/>
        <v/>
      </c>
      <c r="V84" s="5" t="s">
        <v>36</v>
      </c>
      <c r="W84" t="str">
        <f t="shared" si="29"/>
        <v/>
      </c>
      <c r="X84" t="str">
        <f t="shared" si="29"/>
        <v/>
      </c>
      <c r="Y84" s="5" t="s">
        <v>36</v>
      </c>
      <c r="Z84" t="str">
        <f t="shared" si="30"/>
        <v/>
      </c>
      <c r="AA84" t="str">
        <f t="shared" si="38"/>
        <v/>
      </c>
      <c r="AB84" s="5" t="s">
        <v>36</v>
      </c>
      <c r="AH84">
        <f t="shared" si="40"/>
        <v>79</v>
      </c>
      <c r="AI84">
        <f t="shared" si="34"/>
        <v>0</v>
      </c>
      <c r="AJ84">
        <f t="shared" si="39"/>
        <v>5</v>
      </c>
    </row>
    <row r="85" spans="1:36" x14ac:dyDescent="0.25">
      <c r="A85" s="5" t="s">
        <v>39</v>
      </c>
      <c r="B85" s="5" t="s">
        <v>30</v>
      </c>
      <c r="C85" s="5" t="str">
        <f t="shared" si="24"/>
        <v>description,dailCompDescRogue,</v>
      </c>
      <c r="D85" s="5" t="str">
        <f t="shared" si="25"/>
        <v>itemText,dailCompTextRogue,</v>
      </c>
      <c r="E85" s="5" t="str">
        <f t="shared" si="35"/>
        <v>augmentSkillLevel1,5,</v>
      </c>
      <c r="F85" s="5" t="str">
        <f t="shared" si="36"/>
        <v>augmentSkillName1,records/skills,</v>
      </c>
      <c r="G85" s="7" t="str">
        <f t="shared" si="31"/>
        <v/>
      </c>
      <c r="H85" s="8" t="str">
        <f t="shared" si="32"/>
        <v>Rogue</v>
      </c>
      <c r="J85" s="8" t="str">
        <f t="shared" ref="J85:K100" si="41">J84</f>
        <v>class0021</v>
      </c>
      <c r="K85" s="8" t="str">
        <f t="shared" si="41"/>
        <v>dailoneskill0021</v>
      </c>
      <c r="L85" s="5" t="str">
        <f t="shared" si="26"/>
        <v>lootName,DAIL/items/materia/class0021/Rogue.dbr,</v>
      </c>
      <c r="M85" s="5" t="str">
        <f t="shared" si="27"/>
        <v>lootWeight,1,</v>
      </c>
      <c r="N85" t="str">
        <f t="shared" si="28"/>
        <v>5</v>
      </c>
      <c r="O85" t="str">
        <f t="shared" si="37"/>
        <v/>
      </c>
      <c r="P85" t="str">
        <f t="shared" si="23"/>
        <v/>
      </c>
      <c r="Q85" t="str">
        <f t="shared" si="23"/>
        <v/>
      </c>
      <c r="R85" t="str">
        <f t="shared" si="23"/>
        <v/>
      </c>
      <c r="S85" t="str">
        <f t="shared" si="23"/>
        <v/>
      </c>
      <c r="T85" t="str">
        <f t="shared" si="23"/>
        <v/>
      </c>
      <c r="U85" t="str">
        <f t="shared" si="23"/>
        <v/>
      </c>
      <c r="V85" s="5" t="s">
        <v>36</v>
      </c>
      <c r="W85" t="str">
        <f t="shared" si="29"/>
        <v/>
      </c>
      <c r="X85" t="str">
        <f t="shared" si="29"/>
        <v/>
      </c>
      <c r="Y85" s="5" t="s">
        <v>36</v>
      </c>
      <c r="Z85" t="str">
        <f t="shared" si="30"/>
        <v/>
      </c>
      <c r="AA85" t="str">
        <f t="shared" si="38"/>
        <v/>
      </c>
      <c r="AB85" s="5" t="s">
        <v>36</v>
      </c>
      <c r="AH85">
        <f t="shared" si="40"/>
        <v>80</v>
      </c>
      <c r="AI85">
        <f t="shared" si="34"/>
        <v>0</v>
      </c>
      <c r="AJ85">
        <f t="shared" si="39"/>
        <v>5</v>
      </c>
    </row>
    <row r="86" spans="1:36" x14ac:dyDescent="0.25">
      <c r="A86" s="5" t="s">
        <v>39</v>
      </c>
      <c r="B86" s="5" t="s">
        <v>30</v>
      </c>
      <c r="C86" s="5" t="str">
        <f t="shared" si="24"/>
        <v>description,dailCompDescRogue,</v>
      </c>
      <c r="D86" s="5" t="str">
        <f t="shared" si="25"/>
        <v>itemText,dailCompTextRogue,</v>
      </c>
      <c r="E86" s="5" t="str">
        <f t="shared" si="35"/>
        <v>augmentSkillLevel1,5,</v>
      </c>
      <c r="F86" s="5" t="str">
        <f t="shared" si="36"/>
        <v>augmentSkillName1,records/skills,</v>
      </c>
      <c r="G86" s="7" t="str">
        <f t="shared" si="31"/>
        <v/>
      </c>
      <c r="H86" s="8" t="str">
        <f t="shared" si="32"/>
        <v>Rogue</v>
      </c>
      <c r="J86" s="8" t="str">
        <f t="shared" si="41"/>
        <v>class0021</v>
      </c>
      <c r="K86" s="8" t="str">
        <f t="shared" si="41"/>
        <v>dailoneskill0021</v>
      </c>
      <c r="L86" s="5" t="str">
        <f t="shared" si="26"/>
        <v>lootName,DAIL/items/materia/class0021/Rogue.dbr,</v>
      </c>
      <c r="M86" s="5" t="str">
        <f t="shared" si="27"/>
        <v>lootWeight,1,</v>
      </c>
      <c r="N86" t="str">
        <f t="shared" si="28"/>
        <v>5</v>
      </c>
      <c r="O86" t="str">
        <f t="shared" si="37"/>
        <v/>
      </c>
      <c r="P86" t="str">
        <f t="shared" si="23"/>
        <v/>
      </c>
      <c r="Q86" t="str">
        <f t="shared" si="23"/>
        <v/>
      </c>
      <c r="R86" t="str">
        <f t="shared" si="23"/>
        <v/>
      </c>
      <c r="S86" t="str">
        <f t="shared" si="23"/>
        <v/>
      </c>
      <c r="T86" t="str">
        <f t="shared" si="23"/>
        <v/>
      </c>
      <c r="U86" t="str">
        <f t="shared" si="23"/>
        <v/>
      </c>
      <c r="V86" s="5" t="s">
        <v>36</v>
      </c>
      <c r="W86" t="str">
        <f t="shared" si="29"/>
        <v/>
      </c>
      <c r="X86" t="str">
        <f t="shared" si="29"/>
        <v/>
      </c>
      <c r="Y86" s="5" t="s">
        <v>36</v>
      </c>
      <c r="Z86" t="str">
        <f t="shared" si="30"/>
        <v/>
      </c>
      <c r="AA86" t="str">
        <f t="shared" si="38"/>
        <v/>
      </c>
      <c r="AB86" s="5" t="s">
        <v>36</v>
      </c>
      <c r="AH86">
        <f t="shared" si="40"/>
        <v>81</v>
      </c>
      <c r="AI86">
        <f t="shared" si="34"/>
        <v>0</v>
      </c>
      <c r="AJ86">
        <f t="shared" si="39"/>
        <v>5</v>
      </c>
    </row>
    <row r="87" spans="1:36" x14ac:dyDescent="0.25">
      <c r="A87" s="5" t="s">
        <v>39</v>
      </c>
      <c r="B87" s="5" t="s">
        <v>30</v>
      </c>
      <c r="C87" s="5" t="str">
        <f t="shared" si="24"/>
        <v>description,dailCompDescRogue,</v>
      </c>
      <c r="D87" s="5" t="str">
        <f t="shared" si="25"/>
        <v>itemText,dailCompTextRogue,</v>
      </c>
      <c r="E87" s="5" t="str">
        <f t="shared" si="35"/>
        <v>augmentSkillLevel1,5,</v>
      </c>
      <c r="F87" s="5" t="str">
        <f t="shared" si="36"/>
        <v>augmentSkillName1,records/skills,</v>
      </c>
      <c r="G87" s="7" t="str">
        <f t="shared" si="31"/>
        <v/>
      </c>
      <c r="H87" s="8" t="str">
        <f t="shared" si="32"/>
        <v>Rogue</v>
      </c>
      <c r="J87" s="8" t="str">
        <f t="shared" si="41"/>
        <v>class0021</v>
      </c>
      <c r="K87" s="8" t="str">
        <f t="shared" si="41"/>
        <v>dailoneskill0021</v>
      </c>
      <c r="L87" s="5" t="str">
        <f t="shared" si="26"/>
        <v>lootName,DAIL/items/materia/class0021/Rogue.dbr,</v>
      </c>
      <c r="M87" s="5" t="str">
        <f t="shared" si="27"/>
        <v>lootWeight,1,</v>
      </c>
      <c r="N87" t="str">
        <f t="shared" si="28"/>
        <v>5</v>
      </c>
      <c r="O87" t="str">
        <f t="shared" si="37"/>
        <v/>
      </c>
      <c r="P87" t="str">
        <f t="shared" si="23"/>
        <v/>
      </c>
      <c r="Q87" t="str">
        <f t="shared" si="23"/>
        <v/>
      </c>
      <c r="R87" t="str">
        <f t="shared" si="23"/>
        <v/>
      </c>
      <c r="S87" t="str">
        <f t="shared" si="23"/>
        <v/>
      </c>
      <c r="T87" t="str">
        <f t="shared" si="23"/>
        <v/>
      </c>
      <c r="U87" t="str">
        <f t="shared" si="23"/>
        <v/>
      </c>
      <c r="V87" s="5" t="s">
        <v>36</v>
      </c>
      <c r="W87" t="str">
        <f t="shared" si="29"/>
        <v/>
      </c>
      <c r="X87" t="str">
        <f t="shared" si="29"/>
        <v/>
      </c>
      <c r="Y87" s="5" t="s">
        <v>36</v>
      </c>
      <c r="Z87" t="str">
        <f t="shared" si="30"/>
        <v/>
      </c>
      <c r="AA87" t="str">
        <f t="shared" si="38"/>
        <v/>
      </c>
      <c r="AB87" s="5" t="s">
        <v>36</v>
      </c>
      <c r="AH87">
        <f t="shared" si="40"/>
        <v>82</v>
      </c>
      <c r="AI87">
        <f t="shared" si="34"/>
        <v>0</v>
      </c>
      <c r="AJ87">
        <f t="shared" si="39"/>
        <v>5</v>
      </c>
    </row>
    <row r="88" spans="1:36" x14ac:dyDescent="0.25">
      <c r="A88" s="5" t="s">
        <v>39</v>
      </c>
      <c r="B88" s="5" t="s">
        <v>30</v>
      </c>
      <c r="C88" s="5" t="str">
        <f t="shared" si="24"/>
        <v>description,dailCompDescRogue,</v>
      </c>
      <c r="D88" s="5" t="str">
        <f t="shared" si="25"/>
        <v>itemText,dailCompTextRogue,</v>
      </c>
      <c r="E88" s="5" t="str">
        <f t="shared" si="35"/>
        <v>augmentSkillLevel1,5,</v>
      </c>
      <c r="F88" s="5" t="str">
        <f t="shared" si="36"/>
        <v>augmentSkillName1,records/skills,</v>
      </c>
      <c r="G88" s="7" t="str">
        <f t="shared" si="31"/>
        <v/>
      </c>
      <c r="H88" s="8" t="str">
        <f t="shared" si="32"/>
        <v>Rogue</v>
      </c>
      <c r="J88" s="8" t="str">
        <f t="shared" si="41"/>
        <v>class0021</v>
      </c>
      <c r="K88" s="8" t="str">
        <f t="shared" si="41"/>
        <v>dailoneskill0021</v>
      </c>
      <c r="L88" s="5" t="str">
        <f t="shared" si="26"/>
        <v>lootName,DAIL/items/materia/class0021/Rogue.dbr,</v>
      </c>
      <c r="M88" s="5" t="str">
        <f t="shared" si="27"/>
        <v>lootWeight,1,</v>
      </c>
      <c r="N88" t="str">
        <f t="shared" si="28"/>
        <v>5</v>
      </c>
      <c r="O88" t="str">
        <f t="shared" si="37"/>
        <v/>
      </c>
      <c r="P88" t="str">
        <f t="shared" si="23"/>
        <v/>
      </c>
      <c r="Q88" t="str">
        <f t="shared" si="23"/>
        <v/>
      </c>
      <c r="R88" t="str">
        <f t="shared" si="23"/>
        <v/>
      </c>
      <c r="S88" t="str">
        <f t="shared" si="23"/>
        <v/>
      </c>
      <c r="T88" t="str">
        <f t="shared" si="23"/>
        <v/>
      </c>
      <c r="U88" t="str">
        <f t="shared" si="23"/>
        <v/>
      </c>
      <c r="V88" s="5" t="s">
        <v>36</v>
      </c>
      <c r="W88" t="str">
        <f t="shared" si="29"/>
        <v/>
      </c>
      <c r="X88" t="str">
        <f t="shared" si="29"/>
        <v/>
      </c>
      <c r="Y88" s="5" t="s">
        <v>36</v>
      </c>
      <c r="Z88" t="str">
        <f t="shared" si="30"/>
        <v/>
      </c>
      <c r="AA88" t="str">
        <f t="shared" si="38"/>
        <v/>
      </c>
      <c r="AB88" s="5" t="s">
        <v>36</v>
      </c>
      <c r="AH88">
        <f t="shared" si="40"/>
        <v>83</v>
      </c>
      <c r="AI88">
        <f t="shared" si="34"/>
        <v>0</v>
      </c>
      <c r="AJ88">
        <f t="shared" si="39"/>
        <v>5</v>
      </c>
    </row>
    <row r="89" spans="1:36" x14ac:dyDescent="0.25">
      <c r="A89" s="5" t="s">
        <v>39</v>
      </c>
      <c r="B89" s="5" t="s">
        <v>30</v>
      </c>
      <c r="C89" s="5" t="str">
        <f t="shared" si="24"/>
        <v>description,dailCompDescRogue,</v>
      </c>
      <c r="D89" s="5" t="str">
        <f t="shared" si="25"/>
        <v>itemText,dailCompTextRogue,</v>
      </c>
      <c r="E89" s="5" t="str">
        <f t="shared" si="35"/>
        <v>augmentSkillLevel1,5,</v>
      </c>
      <c r="F89" s="5" t="str">
        <f t="shared" si="36"/>
        <v>augmentSkillName1,records/skills,</v>
      </c>
      <c r="G89" s="7" t="str">
        <f t="shared" si="31"/>
        <v/>
      </c>
      <c r="H89" s="8" t="str">
        <f t="shared" si="32"/>
        <v>Rogue</v>
      </c>
      <c r="J89" s="8" t="str">
        <f t="shared" si="41"/>
        <v>class0021</v>
      </c>
      <c r="K89" s="8" t="str">
        <f t="shared" si="41"/>
        <v>dailoneskill0021</v>
      </c>
      <c r="L89" s="5" t="str">
        <f t="shared" si="26"/>
        <v>lootName,DAIL/items/materia/class0021/Rogue.dbr,</v>
      </c>
      <c r="M89" s="5" t="str">
        <f t="shared" si="27"/>
        <v>lootWeight,1,</v>
      </c>
      <c r="N89" t="str">
        <f t="shared" si="28"/>
        <v>5</v>
      </c>
      <c r="O89" t="str">
        <f t="shared" si="37"/>
        <v/>
      </c>
      <c r="P89" t="str">
        <f t="shared" si="23"/>
        <v/>
      </c>
      <c r="Q89" t="str">
        <f t="shared" si="23"/>
        <v/>
      </c>
      <c r="R89" t="str">
        <f t="shared" si="23"/>
        <v/>
      </c>
      <c r="S89" t="str">
        <f t="shared" si="23"/>
        <v/>
      </c>
      <c r="T89" t="str">
        <f t="shared" si="23"/>
        <v/>
      </c>
      <c r="U89" t="str">
        <f t="shared" si="23"/>
        <v/>
      </c>
      <c r="V89" s="5" t="s">
        <v>36</v>
      </c>
      <c r="W89" t="str">
        <f t="shared" si="29"/>
        <v/>
      </c>
      <c r="X89" t="str">
        <f t="shared" si="29"/>
        <v/>
      </c>
      <c r="Y89" s="5" t="s">
        <v>36</v>
      </c>
      <c r="Z89" t="str">
        <f t="shared" si="30"/>
        <v/>
      </c>
      <c r="AA89" t="str">
        <f t="shared" si="38"/>
        <v/>
      </c>
      <c r="AB89" s="5" t="s">
        <v>36</v>
      </c>
      <c r="AH89">
        <f t="shared" si="40"/>
        <v>84</v>
      </c>
      <c r="AI89">
        <f t="shared" si="34"/>
        <v>0</v>
      </c>
      <c r="AJ89">
        <f t="shared" si="39"/>
        <v>5</v>
      </c>
    </row>
    <row r="90" spans="1:36" x14ac:dyDescent="0.25">
      <c r="A90" s="5" t="s">
        <v>39</v>
      </c>
      <c r="B90" s="5" t="s">
        <v>30</v>
      </c>
      <c r="C90" s="5" t="str">
        <f t="shared" si="24"/>
        <v>description,dailCompDescRogue,</v>
      </c>
      <c r="D90" s="5" t="str">
        <f t="shared" si="25"/>
        <v>itemText,dailCompTextRogue,</v>
      </c>
      <c r="E90" s="5" t="str">
        <f t="shared" si="35"/>
        <v>augmentSkillLevel1,5,</v>
      </c>
      <c r="F90" s="5" t="str">
        <f t="shared" si="36"/>
        <v>augmentSkillName1,records/skills,</v>
      </c>
      <c r="G90" s="7" t="str">
        <f t="shared" si="31"/>
        <v/>
      </c>
      <c r="H90" s="8" t="str">
        <f t="shared" si="32"/>
        <v>Rogue</v>
      </c>
      <c r="J90" s="8" t="str">
        <f t="shared" si="41"/>
        <v>class0021</v>
      </c>
      <c r="K90" s="8" t="str">
        <f t="shared" si="41"/>
        <v>dailoneskill0021</v>
      </c>
      <c r="L90" s="5" t="str">
        <f t="shared" si="26"/>
        <v>lootName,DAIL/items/materia/class0021/Rogue.dbr,</v>
      </c>
      <c r="M90" s="5" t="str">
        <f t="shared" si="27"/>
        <v>lootWeight,1,</v>
      </c>
      <c r="N90" t="str">
        <f t="shared" si="28"/>
        <v>5</v>
      </c>
      <c r="O90" t="str">
        <f t="shared" si="37"/>
        <v/>
      </c>
      <c r="P90" t="str">
        <f t="shared" si="23"/>
        <v/>
      </c>
      <c r="Q90" t="str">
        <f t="shared" si="23"/>
        <v/>
      </c>
      <c r="R90" t="str">
        <f t="shared" si="23"/>
        <v/>
      </c>
      <c r="S90" t="str">
        <f t="shared" si="23"/>
        <v/>
      </c>
      <c r="T90" t="str">
        <f t="shared" si="23"/>
        <v/>
      </c>
      <c r="U90" t="str">
        <f t="shared" si="23"/>
        <v/>
      </c>
      <c r="V90" s="5" t="s">
        <v>36</v>
      </c>
      <c r="W90" t="str">
        <f t="shared" si="29"/>
        <v/>
      </c>
      <c r="X90" t="str">
        <f t="shared" si="29"/>
        <v/>
      </c>
      <c r="Y90" s="5" t="s">
        <v>36</v>
      </c>
      <c r="Z90" t="str">
        <f t="shared" si="30"/>
        <v/>
      </c>
      <c r="AA90" t="str">
        <f t="shared" si="38"/>
        <v/>
      </c>
      <c r="AB90" s="5" t="s">
        <v>36</v>
      </c>
      <c r="AH90">
        <f t="shared" si="40"/>
        <v>85</v>
      </c>
      <c r="AI90">
        <f t="shared" si="34"/>
        <v>0</v>
      </c>
      <c r="AJ90">
        <f t="shared" si="39"/>
        <v>5</v>
      </c>
    </row>
    <row r="91" spans="1:36" x14ac:dyDescent="0.25">
      <c r="A91" s="5" t="s">
        <v>39</v>
      </c>
      <c r="B91" s="5" t="s">
        <v>30</v>
      </c>
      <c r="C91" s="5" t="str">
        <f t="shared" si="24"/>
        <v>description,dailCompDescRogue,</v>
      </c>
      <c r="D91" s="5" t="str">
        <f t="shared" si="25"/>
        <v>itemText,dailCompTextRogue,</v>
      </c>
      <c r="E91" s="5" t="str">
        <f t="shared" si="35"/>
        <v>augmentSkillLevel1,5,</v>
      </c>
      <c r="F91" s="5" t="str">
        <f t="shared" si="36"/>
        <v>augmentSkillName1,records/skills,</v>
      </c>
      <c r="G91" s="7" t="str">
        <f t="shared" si="31"/>
        <v/>
      </c>
      <c r="H91" s="8" t="str">
        <f t="shared" si="32"/>
        <v>Rogue</v>
      </c>
      <c r="J91" s="8" t="str">
        <f t="shared" si="41"/>
        <v>class0021</v>
      </c>
      <c r="K91" s="8" t="str">
        <f t="shared" si="41"/>
        <v>dailoneskill0021</v>
      </c>
      <c r="L91" s="5" t="str">
        <f t="shared" si="26"/>
        <v>lootName,DAIL/items/materia/class0021/Rogue.dbr,</v>
      </c>
      <c r="M91" s="5" t="str">
        <f t="shared" si="27"/>
        <v>lootWeight,1,</v>
      </c>
      <c r="N91" t="str">
        <f t="shared" si="28"/>
        <v>5</v>
      </c>
      <c r="O91" t="str">
        <f t="shared" si="37"/>
        <v/>
      </c>
      <c r="P91" t="str">
        <f t="shared" si="23"/>
        <v/>
      </c>
      <c r="Q91" t="str">
        <f t="shared" si="23"/>
        <v/>
      </c>
      <c r="R91" t="str">
        <f t="shared" si="23"/>
        <v/>
      </c>
      <c r="S91" t="str">
        <f t="shared" si="23"/>
        <v/>
      </c>
      <c r="T91" t="str">
        <f t="shared" si="23"/>
        <v/>
      </c>
      <c r="U91" t="str">
        <f t="shared" si="23"/>
        <v/>
      </c>
      <c r="V91" s="5" t="s">
        <v>36</v>
      </c>
      <c r="W91" t="str">
        <f t="shared" si="29"/>
        <v/>
      </c>
      <c r="X91" t="str">
        <f t="shared" si="29"/>
        <v/>
      </c>
      <c r="Y91" s="5" t="s">
        <v>36</v>
      </c>
      <c r="Z91" t="str">
        <f t="shared" si="30"/>
        <v/>
      </c>
      <c r="AA91" t="str">
        <f t="shared" si="38"/>
        <v/>
      </c>
      <c r="AB91" s="5" t="s">
        <v>36</v>
      </c>
      <c r="AH91">
        <f t="shared" si="40"/>
        <v>86</v>
      </c>
      <c r="AI91">
        <f t="shared" si="34"/>
        <v>0</v>
      </c>
      <c r="AJ91">
        <f t="shared" si="39"/>
        <v>5</v>
      </c>
    </row>
    <row r="92" spans="1:36" x14ac:dyDescent="0.25">
      <c r="A92" s="5" t="s">
        <v>39</v>
      </c>
      <c r="B92" s="5" t="s">
        <v>30</v>
      </c>
      <c r="C92" s="5" t="str">
        <f t="shared" si="24"/>
        <v>description,dailCompDescRogue,</v>
      </c>
      <c r="D92" s="5" t="str">
        <f t="shared" si="25"/>
        <v>itemText,dailCompTextRogue,</v>
      </c>
      <c r="E92" s="5" t="str">
        <f t="shared" si="35"/>
        <v>augmentSkillLevel1,5,</v>
      </c>
      <c r="F92" s="5" t="str">
        <f t="shared" si="36"/>
        <v>augmentSkillName1,records/skills,</v>
      </c>
      <c r="G92" s="7" t="str">
        <f t="shared" si="31"/>
        <v/>
      </c>
      <c r="H92" s="8" t="str">
        <f t="shared" si="32"/>
        <v>Rogue</v>
      </c>
      <c r="J92" s="8" t="str">
        <f t="shared" si="41"/>
        <v>class0021</v>
      </c>
      <c r="K92" s="8" t="str">
        <f t="shared" si="41"/>
        <v>dailoneskill0021</v>
      </c>
      <c r="L92" s="5" t="str">
        <f t="shared" si="26"/>
        <v>lootName,DAIL/items/materia/class0021/Rogue.dbr,</v>
      </c>
      <c r="M92" s="5" t="str">
        <f t="shared" si="27"/>
        <v>lootWeight,1,</v>
      </c>
      <c r="N92" t="str">
        <f t="shared" si="28"/>
        <v>5</v>
      </c>
      <c r="O92" t="str">
        <f t="shared" si="37"/>
        <v/>
      </c>
      <c r="P92" t="str">
        <f t="shared" si="23"/>
        <v/>
      </c>
      <c r="Q92" t="str">
        <f t="shared" si="23"/>
        <v/>
      </c>
      <c r="R92" t="str">
        <f t="shared" si="23"/>
        <v/>
      </c>
      <c r="S92" t="str">
        <f t="shared" si="23"/>
        <v/>
      </c>
      <c r="T92" t="str">
        <f t="shared" si="23"/>
        <v/>
      </c>
      <c r="U92" t="str">
        <f t="shared" si="23"/>
        <v/>
      </c>
      <c r="V92" s="5" t="s">
        <v>36</v>
      </c>
      <c r="W92" t="str">
        <f t="shared" si="29"/>
        <v/>
      </c>
      <c r="X92" t="str">
        <f t="shared" si="29"/>
        <v/>
      </c>
      <c r="Y92" s="5" t="s">
        <v>36</v>
      </c>
      <c r="Z92" t="str">
        <f t="shared" si="30"/>
        <v/>
      </c>
      <c r="AA92" t="str">
        <f t="shared" si="38"/>
        <v/>
      </c>
      <c r="AB92" s="5" t="s">
        <v>36</v>
      </c>
      <c r="AH92">
        <f t="shared" si="40"/>
        <v>87</v>
      </c>
      <c r="AI92">
        <f t="shared" si="34"/>
        <v>0</v>
      </c>
      <c r="AJ92">
        <f t="shared" si="39"/>
        <v>5</v>
      </c>
    </row>
    <row r="93" spans="1:36" x14ac:dyDescent="0.25">
      <c r="A93" s="5" t="s">
        <v>39</v>
      </c>
      <c r="B93" s="5" t="s">
        <v>30</v>
      </c>
      <c r="C93" s="5" t="str">
        <f t="shared" si="24"/>
        <v>description,dailCompDescRogue,</v>
      </c>
      <c r="D93" s="5" t="str">
        <f t="shared" si="25"/>
        <v>itemText,dailCompTextRogue,</v>
      </c>
      <c r="E93" s="5" t="str">
        <f t="shared" si="35"/>
        <v>augmentSkillLevel1,5,</v>
      </c>
      <c r="F93" s="5" t="str">
        <f t="shared" si="36"/>
        <v>augmentSkillName1,records/skills,</v>
      </c>
      <c r="G93" s="7" t="str">
        <f t="shared" si="31"/>
        <v/>
      </c>
      <c r="H93" s="8" t="str">
        <f t="shared" si="32"/>
        <v>Rogue</v>
      </c>
      <c r="J93" s="8" t="str">
        <f t="shared" si="41"/>
        <v>class0021</v>
      </c>
      <c r="K93" s="8" t="str">
        <f t="shared" si="41"/>
        <v>dailoneskill0021</v>
      </c>
      <c r="L93" s="5" t="str">
        <f t="shared" si="26"/>
        <v>lootName,DAIL/items/materia/class0021/Rogue.dbr,</v>
      </c>
      <c r="M93" s="5" t="str">
        <f t="shared" si="27"/>
        <v>lootWeight,1,</v>
      </c>
      <c r="N93" t="str">
        <f t="shared" si="28"/>
        <v>5</v>
      </c>
      <c r="O93" t="str">
        <f t="shared" si="37"/>
        <v/>
      </c>
      <c r="P93" t="str">
        <f t="shared" si="23"/>
        <v/>
      </c>
      <c r="Q93" t="str">
        <f t="shared" si="23"/>
        <v/>
      </c>
      <c r="R93" t="str">
        <f t="shared" si="23"/>
        <v/>
      </c>
      <c r="S93" t="str">
        <f t="shared" si="23"/>
        <v/>
      </c>
      <c r="T93" t="str">
        <f t="shared" si="23"/>
        <v/>
      </c>
      <c r="U93" t="str">
        <f t="shared" si="23"/>
        <v/>
      </c>
      <c r="V93" s="5" t="s">
        <v>36</v>
      </c>
      <c r="W93" t="str">
        <f t="shared" si="29"/>
        <v/>
      </c>
      <c r="X93" t="str">
        <f t="shared" si="29"/>
        <v/>
      </c>
      <c r="Y93" s="5" t="s">
        <v>36</v>
      </c>
      <c r="Z93" t="str">
        <f t="shared" si="30"/>
        <v/>
      </c>
      <c r="AA93" t="str">
        <f t="shared" si="38"/>
        <v/>
      </c>
      <c r="AB93" s="5" t="s">
        <v>36</v>
      </c>
      <c r="AH93">
        <f t="shared" si="40"/>
        <v>88</v>
      </c>
      <c r="AI93">
        <f t="shared" si="34"/>
        <v>0</v>
      </c>
      <c r="AJ93">
        <f t="shared" si="39"/>
        <v>5</v>
      </c>
    </row>
    <row r="94" spans="1:36" x14ac:dyDescent="0.25">
      <c r="A94" s="5" t="s">
        <v>39</v>
      </c>
      <c r="B94" s="5" t="s">
        <v>30</v>
      </c>
      <c r="C94" s="5" t="str">
        <f t="shared" si="24"/>
        <v>description,dailCompDescRogue,</v>
      </c>
      <c r="D94" s="5" t="str">
        <f t="shared" si="25"/>
        <v>itemText,dailCompTextRogue,</v>
      </c>
      <c r="E94" s="5" t="str">
        <f t="shared" si="35"/>
        <v>augmentSkillLevel1,5,</v>
      </c>
      <c r="F94" s="5" t="str">
        <f t="shared" si="36"/>
        <v>augmentSkillName1,records/skills,</v>
      </c>
      <c r="G94" s="7" t="str">
        <f t="shared" si="31"/>
        <v/>
      </c>
      <c r="H94" s="8" t="str">
        <f t="shared" si="32"/>
        <v>Rogue</v>
      </c>
      <c r="J94" s="8" t="str">
        <f t="shared" si="41"/>
        <v>class0021</v>
      </c>
      <c r="K94" s="8" t="str">
        <f t="shared" si="41"/>
        <v>dailoneskill0021</v>
      </c>
      <c r="L94" s="5" t="str">
        <f t="shared" si="26"/>
        <v>lootName,DAIL/items/materia/class0021/Rogue.dbr,</v>
      </c>
      <c r="M94" s="5" t="str">
        <f t="shared" si="27"/>
        <v>lootWeight,1,</v>
      </c>
      <c r="N94" t="str">
        <f t="shared" si="28"/>
        <v>5</v>
      </c>
      <c r="O94" t="str">
        <f t="shared" si="37"/>
        <v/>
      </c>
      <c r="P94" t="str">
        <f t="shared" si="23"/>
        <v/>
      </c>
      <c r="Q94" t="str">
        <f t="shared" si="23"/>
        <v/>
      </c>
      <c r="R94" t="str">
        <f t="shared" si="23"/>
        <v/>
      </c>
      <c r="S94" t="str">
        <f t="shared" si="23"/>
        <v/>
      </c>
      <c r="T94" t="str">
        <f t="shared" si="23"/>
        <v/>
      </c>
      <c r="U94" t="str">
        <f t="shared" si="23"/>
        <v/>
      </c>
      <c r="V94" s="5" t="s">
        <v>36</v>
      </c>
      <c r="W94" t="str">
        <f t="shared" si="29"/>
        <v/>
      </c>
      <c r="X94" t="str">
        <f t="shared" si="29"/>
        <v/>
      </c>
      <c r="Y94" s="5" t="s">
        <v>36</v>
      </c>
      <c r="Z94" t="str">
        <f t="shared" si="30"/>
        <v/>
      </c>
      <c r="AA94" t="str">
        <f t="shared" si="38"/>
        <v/>
      </c>
      <c r="AB94" s="5" t="s">
        <v>36</v>
      </c>
      <c r="AH94">
        <f t="shared" si="40"/>
        <v>89</v>
      </c>
      <c r="AI94">
        <f t="shared" si="34"/>
        <v>0</v>
      </c>
      <c r="AJ94">
        <f t="shared" si="39"/>
        <v>5</v>
      </c>
    </row>
    <row r="95" spans="1:36" x14ac:dyDescent="0.25">
      <c r="A95" s="5" t="s">
        <v>39</v>
      </c>
      <c r="B95" s="5" t="s">
        <v>30</v>
      </c>
      <c r="C95" s="5" t="str">
        <f t="shared" si="24"/>
        <v>description,dailCompDescRogue,</v>
      </c>
      <c r="D95" s="5" t="str">
        <f t="shared" si="25"/>
        <v>itemText,dailCompTextRogue,</v>
      </c>
      <c r="E95" s="5" t="str">
        <f t="shared" si="35"/>
        <v>augmentSkillLevel1,5,</v>
      </c>
      <c r="F95" s="5" t="str">
        <f t="shared" si="36"/>
        <v>augmentSkillName1,records/skills,</v>
      </c>
      <c r="G95" s="7" t="str">
        <f t="shared" si="31"/>
        <v/>
      </c>
      <c r="H95" s="8" t="str">
        <f t="shared" si="32"/>
        <v>Rogue</v>
      </c>
      <c r="J95" s="8" t="str">
        <f t="shared" si="41"/>
        <v>class0021</v>
      </c>
      <c r="K95" s="8" t="str">
        <f t="shared" si="41"/>
        <v>dailoneskill0021</v>
      </c>
      <c r="L95" s="5" t="str">
        <f t="shared" si="26"/>
        <v>lootName,DAIL/items/materia/class0021/Rogue.dbr,</v>
      </c>
      <c r="M95" s="5" t="str">
        <f t="shared" si="27"/>
        <v>lootWeight,1,</v>
      </c>
      <c r="N95" t="str">
        <f t="shared" si="28"/>
        <v>5</v>
      </c>
      <c r="O95" t="str">
        <f t="shared" si="37"/>
        <v/>
      </c>
      <c r="P95" t="str">
        <f t="shared" si="23"/>
        <v/>
      </c>
      <c r="Q95" t="str">
        <f t="shared" si="23"/>
        <v/>
      </c>
      <c r="R95" t="str">
        <f t="shared" si="23"/>
        <v/>
      </c>
      <c r="S95" t="str">
        <f t="shared" si="23"/>
        <v/>
      </c>
      <c r="T95" t="str">
        <f t="shared" si="23"/>
        <v/>
      </c>
      <c r="U95" t="str">
        <f t="shared" si="23"/>
        <v/>
      </c>
      <c r="V95" s="5" t="s">
        <v>36</v>
      </c>
      <c r="W95" t="str">
        <f t="shared" si="29"/>
        <v/>
      </c>
      <c r="X95" t="str">
        <f t="shared" si="29"/>
        <v/>
      </c>
      <c r="Y95" s="5" t="s">
        <v>36</v>
      </c>
      <c r="Z95" t="str">
        <f t="shared" si="30"/>
        <v/>
      </c>
      <c r="AA95" t="str">
        <f t="shared" si="38"/>
        <v/>
      </c>
      <c r="AB95" s="5" t="s">
        <v>36</v>
      </c>
      <c r="AH95">
        <f t="shared" si="40"/>
        <v>90</v>
      </c>
      <c r="AI95">
        <f t="shared" si="34"/>
        <v>0</v>
      </c>
      <c r="AJ95">
        <f t="shared" si="39"/>
        <v>5</v>
      </c>
    </row>
    <row r="96" spans="1:36" x14ac:dyDescent="0.25">
      <c r="A96" s="5" t="s">
        <v>39</v>
      </c>
      <c r="B96" s="5" t="s">
        <v>30</v>
      </c>
      <c r="C96" s="5" t="str">
        <f t="shared" si="24"/>
        <v>description,dailCompDescRogue,</v>
      </c>
      <c r="D96" s="5" t="str">
        <f t="shared" si="25"/>
        <v>itemText,dailCompTextRogue,</v>
      </c>
      <c r="E96" s="5" t="str">
        <f t="shared" si="35"/>
        <v>augmentSkillLevel1,5,</v>
      </c>
      <c r="F96" s="5" t="str">
        <f t="shared" si="36"/>
        <v>augmentSkillName1,records/skills,</v>
      </c>
      <c r="G96" s="7" t="str">
        <f t="shared" si="31"/>
        <v/>
      </c>
      <c r="H96" s="8" t="str">
        <f t="shared" si="32"/>
        <v>Rogue</v>
      </c>
      <c r="J96" s="8" t="str">
        <f t="shared" si="41"/>
        <v>class0021</v>
      </c>
      <c r="K96" s="8" t="str">
        <f t="shared" si="41"/>
        <v>dailoneskill0021</v>
      </c>
      <c r="L96" s="5" t="str">
        <f t="shared" si="26"/>
        <v>lootName,DAIL/items/materia/class0021/Rogue.dbr,</v>
      </c>
      <c r="M96" s="5" t="str">
        <f t="shared" si="27"/>
        <v>lootWeight,1,</v>
      </c>
      <c r="N96" t="str">
        <f t="shared" si="28"/>
        <v>5</v>
      </c>
      <c r="O96" t="str">
        <f t="shared" si="37"/>
        <v/>
      </c>
      <c r="P96" t="str">
        <f t="shared" si="23"/>
        <v/>
      </c>
      <c r="Q96" t="str">
        <f t="shared" si="23"/>
        <v/>
      </c>
      <c r="R96" t="str">
        <f t="shared" si="23"/>
        <v/>
      </c>
      <c r="S96" t="str">
        <f t="shared" si="23"/>
        <v/>
      </c>
      <c r="T96" t="str">
        <f t="shared" si="23"/>
        <v/>
      </c>
      <c r="U96" t="str">
        <f t="shared" si="23"/>
        <v/>
      </c>
      <c r="V96" s="5" t="s">
        <v>36</v>
      </c>
      <c r="W96" t="str">
        <f t="shared" si="29"/>
        <v/>
      </c>
      <c r="X96" t="str">
        <f t="shared" si="29"/>
        <v/>
      </c>
      <c r="Y96" s="5" t="s">
        <v>36</v>
      </c>
      <c r="Z96" t="str">
        <f t="shared" si="30"/>
        <v/>
      </c>
      <c r="AA96" t="str">
        <f t="shared" si="38"/>
        <v/>
      </c>
      <c r="AB96" s="5" t="s">
        <v>36</v>
      </c>
      <c r="AH96">
        <f t="shared" si="40"/>
        <v>91</v>
      </c>
      <c r="AI96">
        <f t="shared" si="34"/>
        <v>0</v>
      </c>
      <c r="AJ96">
        <f t="shared" si="39"/>
        <v>5</v>
      </c>
    </row>
    <row r="97" spans="1:36" x14ac:dyDescent="0.25">
      <c r="A97" s="5" t="s">
        <v>39</v>
      </c>
      <c r="B97" s="5" t="s">
        <v>30</v>
      </c>
      <c r="C97" s="5" t="str">
        <f t="shared" si="24"/>
        <v>description,dailCompDescRogue,</v>
      </c>
      <c r="D97" s="5" t="str">
        <f t="shared" si="25"/>
        <v>itemText,dailCompTextRogue,</v>
      </c>
      <c r="E97" s="5" t="str">
        <f t="shared" si="35"/>
        <v>augmentSkillLevel1,5,</v>
      </c>
      <c r="F97" s="5" t="str">
        <f t="shared" si="36"/>
        <v>augmentSkillName1,records/skills,</v>
      </c>
      <c r="G97" s="7" t="str">
        <f t="shared" si="31"/>
        <v/>
      </c>
      <c r="H97" s="8" t="str">
        <f t="shared" si="32"/>
        <v>Rogue</v>
      </c>
      <c r="J97" s="8" t="str">
        <f t="shared" si="41"/>
        <v>class0021</v>
      </c>
      <c r="K97" s="8" t="str">
        <f t="shared" si="41"/>
        <v>dailoneskill0021</v>
      </c>
      <c r="L97" s="5" t="str">
        <f t="shared" si="26"/>
        <v>lootName,DAIL/items/materia/class0021/Rogue.dbr,</v>
      </c>
      <c r="M97" s="5" t="str">
        <f t="shared" si="27"/>
        <v>lootWeight,1,</v>
      </c>
      <c r="N97" t="str">
        <f t="shared" si="28"/>
        <v>5</v>
      </c>
      <c r="O97" t="str">
        <f t="shared" si="37"/>
        <v/>
      </c>
      <c r="P97" t="str">
        <f t="shared" si="23"/>
        <v/>
      </c>
      <c r="Q97" t="str">
        <f t="shared" si="23"/>
        <v/>
      </c>
      <c r="R97" t="str">
        <f t="shared" si="23"/>
        <v/>
      </c>
      <c r="S97" t="str">
        <f t="shared" si="23"/>
        <v/>
      </c>
      <c r="T97" t="str">
        <f t="shared" si="23"/>
        <v/>
      </c>
      <c r="U97" t="str">
        <f t="shared" si="23"/>
        <v/>
      </c>
      <c r="V97" s="5" t="s">
        <v>36</v>
      </c>
      <c r="W97" t="str">
        <f t="shared" si="29"/>
        <v/>
      </c>
      <c r="X97" t="str">
        <f t="shared" si="29"/>
        <v/>
      </c>
      <c r="Y97" s="5" t="s">
        <v>36</v>
      </c>
      <c r="Z97" t="str">
        <f t="shared" si="30"/>
        <v/>
      </c>
      <c r="AA97" t="str">
        <f t="shared" si="38"/>
        <v/>
      </c>
      <c r="AB97" s="5" t="s">
        <v>36</v>
      </c>
      <c r="AH97">
        <f t="shared" si="40"/>
        <v>92</v>
      </c>
      <c r="AI97">
        <f t="shared" si="34"/>
        <v>0</v>
      </c>
      <c r="AJ97">
        <f t="shared" si="39"/>
        <v>5</v>
      </c>
    </row>
    <row r="98" spans="1:36" x14ac:dyDescent="0.25">
      <c r="A98" s="5" t="s">
        <v>39</v>
      </c>
      <c r="B98" s="5" t="s">
        <v>30</v>
      </c>
      <c r="C98" s="5" t="str">
        <f t="shared" si="24"/>
        <v>description,dailCompDescRogue,</v>
      </c>
      <c r="D98" s="5" t="str">
        <f t="shared" si="25"/>
        <v>itemText,dailCompTextRogue,</v>
      </c>
      <c r="E98" s="5" t="str">
        <f t="shared" si="35"/>
        <v>augmentSkillLevel1,5,</v>
      </c>
      <c r="F98" s="5" t="str">
        <f t="shared" si="36"/>
        <v>augmentSkillName1,records/skills,</v>
      </c>
      <c r="G98" s="7" t="str">
        <f t="shared" si="31"/>
        <v/>
      </c>
      <c r="H98" s="8" t="str">
        <f t="shared" si="32"/>
        <v>Rogue</v>
      </c>
      <c r="J98" s="8" t="str">
        <f t="shared" si="41"/>
        <v>class0021</v>
      </c>
      <c r="K98" s="8" t="str">
        <f t="shared" si="41"/>
        <v>dailoneskill0021</v>
      </c>
      <c r="L98" s="5" t="str">
        <f t="shared" si="26"/>
        <v>lootName,DAIL/items/materia/class0021/Rogue.dbr,</v>
      </c>
      <c r="M98" s="5" t="str">
        <f t="shared" si="27"/>
        <v>lootWeight,1,</v>
      </c>
      <c r="N98" t="str">
        <f t="shared" si="28"/>
        <v>5</v>
      </c>
      <c r="O98" t="str">
        <f t="shared" si="37"/>
        <v/>
      </c>
      <c r="P98" t="str">
        <f t="shared" si="23"/>
        <v/>
      </c>
      <c r="Q98" t="str">
        <f t="shared" si="23"/>
        <v/>
      </c>
      <c r="R98" t="str">
        <f t="shared" si="23"/>
        <v/>
      </c>
      <c r="S98" t="str">
        <f t="shared" si="23"/>
        <v/>
      </c>
      <c r="T98" t="str">
        <f t="shared" si="23"/>
        <v/>
      </c>
      <c r="U98" t="str">
        <f t="shared" si="23"/>
        <v/>
      </c>
      <c r="V98" s="5" t="s">
        <v>36</v>
      </c>
      <c r="W98" t="str">
        <f t="shared" si="29"/>
        <v/>
      </c>
      <c r="X98" t="str">
        <f t="shared" si="29"/>
        <v/>
      </c>
      <c r="Y98" s="5" t="s">
        <v>36</v>
      </c>
      <c r="Z98" t="str">
        <f t="shared" si="30"/>
        <v/>
      </c>
      <c r="AA98" t="str">
        <f t="shared" si="38"/>
        <v/>
      </c>
      <c r="AB98" s="5" t="s">
        <v>36</v>
      </c>
      <c r="AH98">
        <f t="shared" si="40"/>
        <v>93</v>
      </c>
      <c r="AI98">
        <f t="shared" si="34"/>
        <v>0</v>
      </c>
      <c r="AJ98">
        <f t="shared" si="39"/>
        <v>5</v>
      </c>
    </row>
    <row r="99" spans="1:36" x14ac:dyDescent="0.25">
      <c r="A99" s="5" t="s">
        <v>39</v>
      </c>
      <c r="B99" s="5" t="s">
        <v>30</v>
      </c>
      <c r="C99" s="5" t="str">
        <f t="shared" si="24"/>
        <v>description,dailCompDescRogue,</v>
      </c>
      <c r="D99" s="5" t="str">
        <f t="shared" si="25"/>
        <v>itemText,dailCompTextRogue,</v>
      </c>
      <c r="E99" s="5" t="str">
        <f t="shared" si="35"/>
        <v>augmentSkillLevel1,5,</v>
      </c>
      <c r="F99" s="5" t="str">
        <f t="shared" si="36"/>
        <v>augmentSkillName1,records/skills,</v>
      </c>
      <c r="G99" s="7" t="str">
        <f t="shared" si="31"/>
        <v/>
      </c>
      <c r="H99" s="8" t="str">
        <f t="shared" si="32"/>
        <v>Rogue</v>
      </c>
      <c r="J99" s="8" t="str">
        <f t="shared" si="41"/>
        <v>class0021</v>
      </c>
      <c r="K99" s="8" t="str">
        <f t="shared" si="41"/>
        <v>dailoneskill0021</v>
      </c>
      <c r="L99" s="5" t="str">
        <f t="shared" si="26"/>
        <v>lootName,DAIL/items/materia/class0021/Rogue.dbr,</v>
      </c>
      <c r="M99" s="5" t="str">
        <f t="shared" si="27"/>
        <v>lootWeight,1,</v>
      </c>
      <c r="N99" t="str">
        <f t="shared" si="28"/>
        <v>5</v>
      </c>
      <c r="O99" t="str">
        <f t="shared" si="37"/>
        <v/>
      </c>
      <c r="P99" t="str">
        <f t="shared" si="23"/>
        <v/>
      </c>
      <c r="Q99" t="str">
        <f t="shared" si="23"/>
        <v/>
      </c>
      <c r="R99" t="str">
        <f t="shared" si="23"/>
        <v/>
      </c>
      <c r="S99" t="str">
        <f t="shared" si="23"/>
        <v/>
      </c>
      <c r="T99" t="str">
        <f t="shared" si="23"/>
        <v/>
      </c>
      <c r="U99" t="str">
        <f t="shared" si="23"/>
        <v/>
      </c>
      <c r="V99" s="5" t="s">
        <v>36</v>
      </c>
      <c r="W99" t="str">
        <f t="shared" si="29"/>
        <v/>
      </c>
      <c r="X99" t="str">
        <f t="shared" si="29"/>
        <v/>
      </c>
      <c r="Y99" s="5" t="s">
        <v>36</v>
      </c>
      <c r="Z99" t="str">
        <f t="shared" si="30"/>
        <v/>
      </c>
      <c r="AA99" t="str">
        <f t="shared" si="38"/>
        <v/>
      </c>
      <c r="AB99" s="5" t="s">
        <v>36</v>
      </c>
      <c r="AH99">
        <f t="shared" si="40"/>
        <v>94</v>
      </c>
      <c r="AI99">
        <f t="shared" si="34"/>
        <v>0</v>
      </c>
      <c r="AJ99">
        <f t="shared" si="39"/>
        <v>5</v>
      </c>
    </row>
    <row r="100" spans="1:36" x14ac:dyDescent="0.25">
      <c r="A100" s="5" t="s">
        <v>39</v>
      </c>
      <c r="B100" s="5" t="s">
        <v>30</v>
      </c>
      <c r="C100" s="5" t="str">
        <f t="shared" si="24"/>
        <v>description,dailCompDescRogue,</v>
      </c>
      <c r="D100" s="5" t="str">
        <f t="shared" si="25"/>
        <v>itemText,dailCompTextRogue,</v>
      </c>
      <c r="E100" s="5" t="str">
        <f t="shared" si="35"/>
        <v>augmentSkillLevel1,5,</v>
      </c>
      <c r="F100" s="5" t="str">
        <f t="shared" si="36"/>
        <v>augmentSkillName1,records/skills,</v>
      </c>
      <c r="G100" s="7" t="str">
        <f t="shared" si="31"/>
        <v/>
      </c>
      <c r="H100" s="8" t="str">
        <f t="shared" si="32"/>
        <v>Rogue</v>
      </c>
      <c r="J100" s="8" t="str">
        <f t="shared" si="41"/>
        <v>class0021</v>
      </c>
      <c r="K100" s="8" t="str">
        <f t="shared" si="41"/>
        <v>dailoneskill0021</v>
      </c>
      <c r="L100" s="5" t="str">
        <f t="shared" si="26"/>
        <v>lootName,DAIL/items/materia/class0021/Rogue.dbr,</v>
      </c>
      <c r="M100" s="5" t="str">
        <f t="shared" si="27"/>
        <v>lootWeight,1,</v>
      </c>
      <c r="N100" t="str">
        <f t="shared" si="28"/>
        <v>5</v>
      </c>
      <c r="O100" t="str">
        <f t="shared" si="37"/>
        <v/>
      </c>
      <c r="P100" t="str">
        <f t="shared" si="23"/>
        <v/>
      </c>
      <c r="Q100" t="str">
        <f t="shared" si="23"/>
        <v/>
      </c>
      <c r="R100" t="str">
        <f t="shared" si="23"/>
        <v/>
      </c>
      <c r="S100" t="str">
        <f t="shared" si="23"/>
        <v/>
      </c>
      <c r="T100" t="str">
        <f t="shared" si="23"/>
        <v/>
      </c>
      <c r="U100" t="str">
        <f t="shared" si="23"/>
        <v/>
      </c>
      <c r="V100" s="5" t="s">
        <v>36</v>
      </c>
      <c r="W100" t="str">
        <f t="shared" si="29"/>
        <v/>
      </c>
      <c r="X100" t="str">
        <f t="shared" si="29"/>
        <v/>
      </c>
      <c r="Y100" s="5" t="s">
        <v>36</v>
      </c>
      <c r="Z100" t="str">
        <f t="shared" si="30"/>
        <v/>
      </c>
      <c r="AA100" t="str">
        <f t="shared" si="38"/>
        <v/>
      </c>
      <c r="AB100" s="5" t="s">
        <v>36</v>
      </c>
      <c r="AH100">
        <f t="shared" si="40"/>
        <v>95</v>
      </c>
      <c r="AI100">
        <f t="shared" si="34"/>
        <v>0</v>
      </c>
      <c r="AJ100">
        <f t="shared" si="39"/>
        <v>5</v>
      </c>
    </row>
    <row r="101" spans="1:36" x14ac:dyDescent="0.25">
      <c r="A101" s="5" t="s">
        <v>39</v>
      </c>
      <c r="B101" s="5" t="s">
        <v>30</v>
      </c>
      <c r="C101" s="5" t="str">
        <f t="shared" si="24"/>
        <v>description,dailCompDescRogue,</v>
      </c>
      <c r="D101" s="5" t="str">
        <f t="shared" si="25"/>
        <v>itemText,dailCompTextRogue,</v>
      </c>
      <c r="E101" s="5" t="str">
        <f t="shared" si="35"/>
        <v>augmentSkillLevel1,5,</v>
      </c>
      <c r="F101" s="5" t="str">
        <f t="shared" si="36"/>
        <v>augmentSkillName1,records/skills,</v>
      </c>
      <c r="G101" s="7" t="str">
        <f t="shared" si="31"/>
        <v/>
      </c>
      <c r="H101" s="8" t="str">
        <f t="shared" si="32"/>
        <v>Rogue</v>
      </c>
      <c r="J101" s="8" t="str">
        <f t="shared" ref="J101:K102" si="42">J100</f>
        <v>class0021</v>
      </c>
      <c r="K101" s="8" t="str">
        <f t="shared" si="42"/>
        <v>dailoneskill0021</v>
      </c>
      <c r="L101" s="5" t="str">
        <f t="shared" si="26"/>
        <v>lootName,DAIL/items/materia/class0021/Rogue.dbr,</v>
      </c>
      <c r="M101" s="5" t="str">
        <f t="shared" si="27"/>
        <v>lootWeight,1,</v>
      </c>
      <c r="N101" t="str">
        <f t="shared" si="28"/>
        <v>5</v>
      </c>
      <c r="O101" t="str">
        <f t="shared" si="37"/>
        <v/>
      </c>
      <c r="P101" t="str">
        <f t="shared" si="23"/>
        <v/>
      </c>
      <c r="Q101" t="str">
        <f t="shared" si="23"/>
        <v/>
      </c>
      <c r="R101" t="str">
        <f t="shared" si="23"/>
        <v/>
      </c>
      <c r="S101" t="str">
        <f t="shared" ref="S101:U102" si="43">IF($I101&lt;&gt;"","echo "&amp;D101&amp;" &gt;&gt; .\items\materia\"&amp;$J101&amp;"\"&amp;$H101&amp;$G101&amp;".dbr","")</f>
        <v/>
      </c>
      <c r="T101" t="str">
        <f t="shared" si="43"/>
        <v/>
      </c>
      <c r="U101" t="str">
        <f t="shared" si="43"/>
        <v/>
      </c>
      <c r="V101" s="5" t="s">
        <v>36</v>
      </c>
      <c r="W101" t="str">
        <f t="shared" si="29"/>
        <v/>
      </c>
      <c r="X101" t="str">
        <f t="shared" si="29"/>
        <v/>
      </c>
      <c r="Y101" s="5" t="s">
        <v>36</v>
      </c>
      <c r="Z101" t="str">
        <f t="shared" si="30"/>
        <v/>
      </c>
      <c r="AA101" t="str">
        <f t="shared" si="38"/>
        <v/>
      </c>
      <c r="AB101" s="5" t="s">
        <v>36</v>
      </c>
      <c r="AH101">
        <f t="shared" si="40"/>
        <v>96</v>
      </c>
      <c r="AI101">
        <f t="shared" si="34"/>
        <v>0</v>
      </c>
      <c r="AJ101">
        <f t="shared" si="39"/>
        <v>5</v>
      </c>
    </row>
    <row r="102" spans="1:36" x14ac:dyDescent="0.25">
      <c r="A102" s="5" t="s">
        <v>39</v>
      </c>
      <c r="B102" s="5" t="s">
        <v>30</v>
      </c>
      <c r="C102" s="5" t="str">
        <f t="shared" si="24"/>
        <v>description,dailCompDescRogue,</v>
      </c>
      <c r="D102" s="5" t="str">
        <f t="shared" si="25"/>
        <v>itemText,dailCompTextRogue,</v>
      </c>
      <c r="E102" s="5" t="str">
        <f t="shared" si="35"/>
        <v>augmentSkillLevel1,5,</v>
      </c>
      <c r="F102" s="5" t="str">
        <f t="shared" si="36"/>
        <v>augmentSkillName1,records/skills,</v>
      </c>
      <c r="G102" s="7" t="str">
        <f t="shared" si="31"/>
        <v/>
      </c>
      <c r="H102" s="8" t="str">
        <f t="shared" si="32"/>
        <v>Rogue</v>
      </c>
      <c r="J102" s="8" t="str">
        <f t="shared" si="42"/>
        <v>class0021</v>
      </c>
      <c r="K102" s="8" t="str">
        <f t="shared" si="42"/>
        <v>dailoneskill0021</v>
      </c>
      <c r="L102" s="5" t="str">
        <f t="shared" si="26"/>
        <v>lootName,DAIL/items/materia/class0021/Rogue.dbr,</v>
      </c>
      <c r="M102" s="5" t="str">
        <f t="shared" si="27"/>
        <v>lootWeight,1,</v>
      </c>
      <c r="N102" t="str">
        <f t="shared" si="28"/>
        <v>5</v>
      </c>
      <c r="O102" t="str">
        <f t="shared" si="37"/>
        <v/>
      </c>
      <c r="P102" t="str">
        <f t="shared" ref="P102:R102" si="44">IF($I102&lt;&gt;"","echo "&amp;A102&amp;" &gt;&gt; .\items\materia\"&amp;$J102&amp;"\"&amp;$H102&amp;$G102&amp;".dbr","")</f>
        <v/>
      </c>
      <c r="Q102" t="str">
        <f t="shared" si="44"/>
        <v/>
      </c>
      <c r="R102" t="str">
        <f t="shared" si="44"/>
        <v/>
      </c>
      <c r="S102" t="str">
        <f t="shared" si="43"/>
        <v/>
      </c>
      <c r="T102" t="str">
        <f t="shared" si="43"/>
        <v/>
      </c>
      <c r="U102" t="str">
        <f t="shared" si="43"/>
        <v/>
      </c>
      <c r="V102" s="5" t="s">
        <v>36</v>
      </c>
      <c r="W102" t="str">
        <f t="shared" si="29"/>
        <v/>
      </c>
      <c r="X102" t="str">
        <f t="shared" si="29"/>
        <v/>
      </c>
      <c r="Y102" s="5" t="s">
        <v>36</v>
      </c>
      <c r="Z102" t="str">
        <f t="shared" si="30"/>
        <v/>
      </c>
      <c r="AA102" t="str">
        <f t="shared" si="38"/>
        <v/>
      </c>
      <c r="AB102" s="5" t="s">
        <v>36</v>
      </c>
      <c r="AH102">
        <f t="shared" si="40"/>
        <v>97</v>
      </c>
      <c r="AI102">
        <f t="shared" si="34"/>
        <v>0</v>
      </c>
      <c r="AJ102">
        <f t="shared" si="39"/>
        <v>5</v>
      </c>
    </row>
  </sheetData>
  <mergeCells count="1">
    <mergeCell ref="O2:U2"/>
  </mergeCells>
  <pageMargins left="0.7" right="0.7" top="0.75" bottom="0.75" header="0.3" footer="0.3"/>
  <pageSetup orientation="portrait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:AL102"/>
  <sheetViews>
    <sheetView topLeftCell="M1" zoomScaleNormal="100" workbookViewId="0">
      <selection activeCell="U3" sqref="U3:U102"/>
    </sheetView>
  </sheetViews>
  <sheetFormatPr defaultRowHeight="15" x14ac:dyDescent="0.25"/>
  <cols>
    <col min="1" max="1" width="73.85546875" style="5" bestFit="1" customWidth="1"/>
    <col min="2" max="2" width="16.28515625" style="5" bestFit="1" customWidth="1"/>
    <col min="3" max="3" width="32.7109375" style="5" bestFit="1" customWidth="1"/>
    <col min="4" max="4" width="31.42578125" style="5" bestFit="1" customWidth="1"/>
    <col min="5" max="5" width="24.28515625" style="5" bestFit="1" customWidth="1"/>
    <col min="6" max="6" width="73.5703125" style="5" bestFit="1" customWidth="1"/>
    <col min="7" max="7" width="5.85546875" style="8" bestFit="1" customWidth="1"/>
    <col min="8" max="8" width="7.85546875" style="3" bestFit="1" customWidth="1"/>
    <col min="9" max="9" width="38.140625" style="3" bestFit="1" customWidth="1"/>
    <col min="10" max="10" width="9.140625" style="3" bestFit="1" customWidth="1"/>
    <col min="11" max="11" width="18.140625" style="3" customWidth="1"/>
    <col min="12" max="12" width="51.85546875" style="5" bestFit="1" customWidth="1"/>
    <col min="13" max="13" width="21.28515625" style="5" customWidth="1"/>
    <col min="15" max="15" width="10.5703125" customWidth="1"/>
    <col min="22" max="22" width="1.5703125" style="5" customWidth="1"/>
    <col min="23" max="23" width="9.5703125" customWidth="1"/>
    <col min="25" max="25" width="1.5703125" style="5" bestFit="1" customWidth="1"/>
    <col min="26" max="26" width="46.7109375" bestFit="1" customWidth="1"/>
    <col min="27" max="27" width="29.140625" customWidth="1"/>
    <col min="28" max="28" width="1.5703125" style="5" bestFit="1" customWidth="1"/>
    <col min="31" max="31" width="14.140625" bestFit="1" customWidth="1"/>
  </cols>
  <sheetData>
    <row r="1" spans="1:38" x14ac:dyDescent="0.25">
      <c r="G1" s="5"/>
      <c r="H1" s="5"/>
      <c r="I1" s="5"/>
      <c r="J1" s="5"/>
      <c r="K1" s="5"/>
      <c r="N1" s="5"/>
      <c r="O1" s="9"/>
      <c r="P1" s="9"/>
      <c r="Q1" s="9"/>
      <c r="R1" s="9"/>
      <c r="S1" s="9"/>
      <c r="T1" s="9"/>
      <c r="U1" s="9"/>
      <c r="W1" s="9"/>
      <c r="X1" s="9"/>
      <c r="Z1" s="9"/>
      <c r="AA1" s="9"/>
    </row>
    <row r="2" spans="1:38" x14ac:dyDescent="0.25">
      <c r="A2" s="4" t="s">
        <v>2</v>
      </c>
      <c r="B2" s="4" t="s">
        <v>3</v>
      </c>
      <c r="C2" s="4" t="s">
        <v>4</v>
      </c>
      <c r="D2" s="4" t="s">
        <v>5</v>
      </c>
      <c r="E2" s="4" t="s">
        <v>6</v>
      </c>
      <c r="F2" s="4" t="s">
        <v>7</v>
      </c>
      <c r="G2" s="6" t="s">
        <v>9</v>
      </c>
      <c r="H2" s="2" t="s">
        <v>26</v>
      </c>
      <c r="I2" s="2" t="s">
        <v>8</v>
      </c>
      <c r="J2" s="2" t="s">
        <v>33</v>
      </c>
      <c r="K2" s="2" t="s">
        <v>38</v>
      </c>
      <c r="L2" s="4" t="s">
        <v>31</v>
      </c>
      <c r="M2" s="4" t="s">
        <v>32</v>
      </c>
      <c r="O2" s="11" t="str">
        <f>"Copy from N to T Into the files named "&amp;H3&amp;G3&amp;" etc"</f>
        <v>Copy from N to T Into the files named Earth1 etc</v>
      </c>
      <c r="P2" s="11"/>
      <c r="Q2" s="11"/>
      <c r="R2" s="11"/>
      <c r="S2" s="11"/>
      <c r="T2" s="11"/>
      <c r="U2" s="11"/>
      <c r="W2" s="1" t="s">
        <v>35</v>
      </c>
      <c r="Z2" s="1" t="s">
        <v>40</v>
      </c>
      <c r="AD2" t="s">
        <v>44</v>
      </c>
    </row>
    <row r="3" spans="1:38" x14ac:dyDescent="0.25">
      <c r="A3" s="5" t="s">
        <v>39</v>
      </c>
      <c r="B3" s="5" t="s">
        <v>0</v>
      </c>
      <c r="C3" s="5" t="str">
        <f t="shared" ref="C3:C66" si="0">"description,dailCompDesc"&amp;H3&amp;G3&amp;","</f>
        <v>description,dailCompDescEarth1,</v>
      </c>
      <c r="D3" s="5" t="str">
        <f>"itemText,dailCompText"&amp;H3&amp;G3&amp;","</f>
        <v>itemText,dailCompTextEarth1,</v>
      </c>
      <c r="E3" s="5" t="s">
        <v>24</v>
      </c>
      <c r="F3" s="5" t="str">
        <f>"augmentMasteryName1,records/skills"&amp;I3&amp;","</f>
        <v>augmentMasteryName1,records/skillsearth/earthmastery.dbr,,</v>
      </c>
      <c r="G3" s="7">
        <f>IF(I3&lt;&gt;"",1,"")</f>
        <v>1</v>
      </c>
      <c r="H3" s="3" t="s">
        <v>703</v>
      </c>
      <c r="I3" s="3" t="s">
        <v>704</v>
      </c>
      <c r="J3" s="3" t="s">
        <v>566</v>
      </c>
      <c r="K3" s="3" t="s">
        <v>567</v>
      </c>
      <c r="L3" s="5" t="str">
        <f>"lootName"&amp;G3&amp;",DAIL/items/materia/"&amp;J3&amp;"/"&amp;H3&amp;G3&amp;".dbr"&amp;","</f>
        <v>lootName1,DAIL/items/materia/class0022/Earth1.dbr,</v>
      </c>
      <c r="M3" s="5" t="str">
        <f>"lootWeight"&amp;G3&amp;",1,"</f>
        <v>lootWeight1,1,</v>
      </c>
      <c r="N3" t="str">
        <f>LEFT(RIGHT(E3,2),1)</f>
        <v>1</v>
      </c>
      <c r="O3" s="5" t="str">
        <f>IF(I3&lt;&gt;"","copy .\dail_base2.dbr .\items\materia\"&amp;J3&amp;"\"&amp;H3&amp;G3&amp;".dbr /y"&amp;"","")</f>
        <v>copy .\dail_base2.dbr .\items\materia\class0022\Earth1.dbr /y</v>
      </c>
      <c r="P3" t="str">
        <f>IF($I3&lt;&gt;"","echo "&amp;A3&amp;" &gt;&gt; .\items\materia\"&amp;$J3&amp;"\"&amp;$H3&amp;$G3&amp;".dbr","")</f>
        <v>echo relicBitmap,items/craftingparts/components/component_a52_bristlyfur_b.tex, &gt;&gt; .\items\materia\class0022\Earth1.dbr</v>
      </c>
      <c r="Q3" t="str">
        <f t="shared" ref="Q3:U18" si="1">IF($I3&lt;&gt;"","echo "&amp;B3&amp;" &gt;&gt; .\items\materia\"&amp;$J3&amp;"\"&amp;$H3&amp;$G3&amp;".dbr","")</f>
        <v>echo itemCost,100000, &gt;&gt; .\items\materia\class0022\Earth1.dbr</v>
      </c>
      <c r="R3" t="str">
        <f t="shared" si="1"/>
        <v>echo description,dailCompDescEarth1, &gt;&gt; .\items\materia\class0022\Earth1.dbr</v>
      </c>
      <c r="S3" t="str">
        <f t="shared" si="1"/>
        <v>echo itemText,dailCompTextEarth1, &gt;&gt; .\items\materia\class0022\Earth1.dbr</v>
      </c>
      <c r="T3" t="str">
        <f t="shared" si="1"/>
        <v>echo augmentMasteryLevel1,1, &gt;&gt; .\items\materia\class0022\Earth1.dbr</v>
      </c>
      <c r="U3" t="str">
        <f t="shared" si="1"/>
        <v>echo augmentMasteryName1,records/skillsearth/earthmastery.dbr,, &gt;&gt; .\items\materia\class0022\Earth1.dbr</v>
      </c>
      <c r="V3" s="5" t="s">
        <v>36</v>
      </c>
      <c r="W3" t="str">
        <f>IF($I3&lt;&gt;"","echo "&amp;L3&amp;" &gt;&gt; .\items\loottables\"&amp;$K3&amp;".dbr","")</f>
        <v>echo lootName1,DAIL/items/materia/class0022/Earth1.dbr, &gt;&gt; .\items\loottables\dailoneskill0022.dbr</v>
      </c>
      <c r="X3" t="str">
        <f>IF($I3&lt;&gt;"","echo "&amp;M3&amp;" &gt;&gt; .\items\loottables\"&amp;$K3&amp;".dbr","")</f>
        <v>echo lootWeight1,1, &gt;&gt; .\items\loottables\dailoneskill0022.dbr</v>
      </c>
      <c r="Y3" s="5" t="s">
        <v>36</v>
      </c>
      <c r="Z3" s="10" t="str">
        <f>IF(I2&lt;&gt;""," dailCompDesc"&amp;H3&amp;G3&amp;"=^p"&amp;H3&amp;"'s Gift of DAIL","")</f>
        <v xml:space="preserve"> dailCompDescEarth1=^pEarth's Gift of DAIL</v>
      </c>
      <c r="AA3" s="10" t="str">
        <f>IF(I2&lt;&gt;"","dailCompText"&amp;H3&amp;G3&amp;"=^oThis feels warm to the touch, almost familiar ^w(This component fits into the amulet only)","")</f>
        <v>dailCompTextEarth1=^oThis feels warm to the touch, almost familiar ^w(This component fits into the amulet only)</v>
      </c>
      <c r="AB3" s="5" t="s">
        <v>36</v>
      </c>
      <c r="AD3">
        <v>1</v>
      </c>
      <c r="AE3" t="s">
        <v>42</v>
      </c>
      <c r="AF3" t="s">
        <v>45</v>
      </c>
    </row>
    <row r="4" spans="1:38" x14ac:dyDescent="0.25">
      <c r="A4" s="5" t="s">
        <v>39</v>
      </c>
      <c r="B4" s="5" t="s">
        <v>28</v>
      </c>
      <c r="C4" s="5" t="str">
        <f t="shared" si="0"/>
        <v>description,dailCompDescEarth2,</v>
      </c>
      <c r="D4" s="5" t="str">
        <f t="shared" ref="D4:D67" si="2">"itemText,dailCompText"&amp;H4&amp;G4&amp;","</f>
        <v>itemText,dailCompTextEarth2,</v>
      </c>
      <c r="E4" s="5" t="s">
        <v>1</v>
      </c>
      <c r="F4" s="5" t="str">
        <f t="shared" ref="F4:F5" si="3">"augmentMasteryName1,records/skills"&amp;I4&amp;","</f>
        <v>augmentMasteryName1,records/skillsearth/earthmastery.dbr,,</v>
      </c>
      <c r="G4" s="7">
        <f>IF(I4&lt;&gt;"",G3+1,"")</f>
        <v>2</v>
      </c>
      <c r="H4" s="8" t="str">
        <f>H3</f>
        <v>Earth</v>
      </c>
      <c r="I4" s="3" t="s">
        <v>704</v>
      </c>
      <c r="J4" s="8" t="str">
        <f>J3</f>
        <v>class0022</v>
      </c>
      <c r="K4" s="8" t="str">
        <f>K3</f>
        <v>dailoneskill0022</v>
      </c>
      <c r="L4" s="5" t="str">
        <f t="shared" ref="L4:L67" si="4">"lootName"&amp;G4&amp;",DAIL/items/materia/"&amp;J4&amp;"/"&amp;H4&amp;G4&amp;".dbr"&amp;","</f>
        <v>lootName2,DAIL/items/materia/class0022/Earth2.dbr,</v>
      </c>
      <c r="M4" s="5" t="str">
        <f t="shared" ref="M4:M67" si="5">"lootWeight"&amp;G4&amp;",1,"</f>
        <v>lootWeight2,1,</v>
      </c>
      <c r="N4" t="str">
        <f t="shared" ref="N4:N67" si="6">LEFT(RIGHT(E4,2),1)</f>
        <v>2</v>
      </c>
      <c r="O4" s="5" t="str">
        <f>IF(I4&lt;&gt;"","copy .\dail_base2.dbr .\items\materia\"&amp;J4&amp;"\"&amp;H4&amp;G4&amp;".dbr /y"&amp;"","")</f>
        <v>copy .\dail_base2.dbr .\items\materia\class0022\Earth2.dbr /y</v>
      </c>
      <c r="P4" t="str">
        <f t="shared" ref="P4:U58" si="7">IF($I4&lt;&gt;"","echo "&amp;A4&amp;" &gt;&gt; .\items\materia\"&amp;$J4&amp;"\"&amp;$H4&amp;$G4&amp;".dbr","")</f>
        <v>echo relicBitmap,items/craftingparts/components/component_a52_bristlyfur_b.tex, &gt;&gt; .\items\materia\class0022\Earth2.dbr</v>
      </c>
      <c r="Q4" t="str">
        <f t="shared" si="1"/>
        <v>echo itemCost,300000, &gt;&gt; .\items\materia\class0022\Earth2.dbr</v>
      </c>
      <c r="R4" t="str">
        <f t="shared" si="1"/>
        <v>echo description,dailCompDescEarth2, &gt;&gt; .\items\materia\class0022\Earth2.dbr</v>
      </c>
      <c r="S4" t="str">
        <f t="shared" si="1"/>
        <v>echo itemText,dailCompTextEarth2, &gt;&gt; .\items\materia\class0022\Earth2.dbr</v>
      </c>
      <c r="T4" t="str">
        <f t="shared" si="1"/>
        <v>echo augmentMasteryLevel1,2, &gt;&gt; .\items\materia\class0022\Earth2.dbr</v>
      </c>
      <c r="U4" t="str">
        <f t="shared" si="1"/>
        <v>echo augmentMasteryName1,records/skillsearth/earthmastery.dbr,, &gt;&gt; .\items\materia\class0022\Earth2.dbr</v>
      </c>
      <c r="V4" s="5" t="s">
        <v>36</v>
      </c>
      <c r="W4" t="str">
        <f t="shared" ref="W4:X67" si="8">IF($I4&lt;&gt;"","echo "&amp;L4&amp;" &gt;&gt; .\items\loottables\"&amp;$K4&amp;".dbr","")</f>
        <v>echo lootName2,DAIL/items/materia/class0022/Earth2.dbr, &gt;&gt; .\items\loottables\dailoneskill0022.dbr</v>
      </c>
      <c r="X4" t="str">
        <f t="shared" si="8"/>
        <v>echo lootWeight2,1, &gt;&gt; .\items\loottables\dailoneskill0022.dbr</v>
      </c>
      <c r="Y4" s="5" t="s">
        <v>36</v>
      </c>
      <c r="Z4" s="10" t="str">
        <f t="shared" ref="Z4:Z67" si="9">IF(I3&lt;&gt;""," dailCompDesc"&amp;H4&amp;G4&amp;"=^p"&amp;H4&amp;"'s Gift of DAIL","")</f>
        <v xml:space="preserve"> dailCompDescEarth2=^pEarth's Gift of DAIL</v>
      </c>
      <c r="AA4" s="10" t="str">
        <f>IF(I3&lt;&gt;"","dailCompText"&amp;H4&amp;G4&amp;"=^oThis feels warm to the touch, almost familiar ^w(This component fits into the amulet only)","")</f>
        <v>dailCompTextEarth2=^oThis feels warm to the touch, almost familiar ^w(This component fits into the amulet only)</v>
      </c>
      <c r="AB4" s="5" t="s">
        <v>36</v>
      </c>
      <c r="AD4">
        <v>3</v>
      </c>
      <c r="AE4" t="s">
        <v>43</v>
      </c>
      <c r="AF4" t="s">
        <v>46</v>
      </c>
    </row>
    <row r="5" spans="1:38" x14ac:dyDescent="0.25">
      <c r="A5" s="5" t="s">
        <v>39</v>
      </c>
      <c r="B5" s="5" t="s">
        <v>29</v>
      </c>
      <c r="C5" s="5" t="str">
        <f t="shared" si="0"/>
        <v>description,dailCompDescEarth3,</v>
      </c>
      <c r="D5" s="5" t="str">
        <f t="shared" si="2"/>
        <v>itemText,dailCompTextEarth3,</v>
      </c>
      <c r="E5" s="5" t="s">
        <v>25</v>
      </c>
      <c r="F5" s="5" t="str">
        <f t="shared" si="3"/>
        <v>augmentMasteryName1,records/skillsearth/earthmastery.dbr,,</v>
      </c>
      <c r="G5" s="7">
        <f t="shared" ref="G5:G68" si="10">IF(I5&lt;&gt;"",G4+1,"")</f>
        <v>3</v>
      </c>
      <c r="H5" s="8" t="str">
        <f t="shared" ref="H5:H68" si="11">H4</f>
        <v>Earth</v>
      </c>
      <c r="I5" s="3" t="s">
        <v>704</v>
      </c>
      <c r="J5" s="8" t="str">
        <f t="shared" ref="J5:K20" si="12">J4</f>
        <v>class0022</v>
      </c>
      <c r="K5" s="8" t="str">
        <f t="shared" si="12"/>
        <v>dailoneskill0022</v>
      </c>
      <c r="L5" s="5" t="str">
        <f t="shared" si="4"/>
        <v>lootName3,DAIL/items/materia/class0022/Earth3.dbr,</v>
      </c>
      <c r="M5" s="5" t="str">
        <f t="shared" si="5"/>
        <v>lootWeight3,1,</v>
      </c>
      <c r="N5" t="str">
        <f t="shared" si="6"/>
        <v>3</v>
      </c>
      <c r="O5" s="5" t="str">
        <f>IF(I5&lt;&gt;"","copy .\dail_base2.dbr .\items\materia\"&amp;J5&amp;"\"&amp;H5&amp;G5&amp;".dbr /y"&amp;"","")</f>
        <v>copy .\dail_base2.dbr .\items\materia\class0022\Earth3.dbr /y</v>
      </c>
      <c r="P5" t="str">
        <f t="shared" si="7"/>
        <v>echo relicBitmap,items/craftingparts/components/component_a52_bristlyfur_b.tex, &gt;&gt; .\items\materia\class0022\Earth3.dbr</v>
      </c>
      <c r="Q5" t="str">
        <f t="shared" si="1"/>
        <v>echo itemCost,600000, &gt;&gt; .\items\materia\class0022\Earth3.dbr</v>
      </c>
      <c r="R5" t="str">
        <f t="shared" si="1"/>
        <v>echo description,dailCompDescEarth3, &gt;&gt; .\items\materia\class0022\Earth3.dbr</v>
      </c>
      <c r="S5" t="str">
        <f t="shared" si="1"/>
        <v>echo itemText,dailCompTextEarth3, &gt;&gt; .\items\materia\class0022\Earth3.dbr</v>
      </c>
      <c r="T5" t="str">
        <f t="shared" si="1"/>
        <v>echo augmentMasteryLevel1,3, &gt;&gt; .\items\materia\class0022\Earth3.dbr</v>
      </c>
      <c r="U5" t="str">
        <f t="shared" si="1"/>
        <v>echo augmentMasteryName1,records/skillsearth/earthmastery.dbr,, &gt;&gt; .\items\materia\class0022\Earth3.dbr</v>
      </c>
      <c r="V5" s="5" t="s">
        <v>36</v>
      </c>
      <c r="W5" t="str">
        <f t="shared" si="8"/>
        <v>echo lootName3,DAIL/items/materia/class0022/Earth3.dbr, &gt;&gt; .\items\loottables\dailoneskill0022.dbr</v>
      </c>
      <c r="X5" t="str">
        <f t="shared" si="8"/>
        <v>echo lootWeight3,1, &gt;&gt; .\items\loottables\dailoneskill0022.dbr</v>
      </c>
      <c r="Y5" s="5" t="s">
        <v>36</v>
      </c>
      <c r="Z5" s="10" t="str">
        <f t="shared" si="9"/>
        <v xml:space="preserve"> dailCompDescEarth3=^pEarth's Gift of DAIL</v>
      </c>
      <c r="AA5" s="10" t="str">
        <f>IF(I4&lt;&gt;"","dailCompText"&amp;H5&amp;G5&amp;"=^oThis feels warm to the touch, almost familiar ^w(This component fits into the amulet only)","")</f>
        <v>dailCompTextEarth3=^oThis feels warm to the touch, almost familiar ^w(This component fits into the amulet only)</v>
      </c>
      <c r="AB5" s="5" t="s">
        <v>36</v>
      </c>
      <c r="AD5">
        <v>5</v>
      </c>
      <c r="AE5" t="s">
        <v>43</v>
      </c>
      <c r="AF5" t="s">
        <v>46</v>
      </c>
      <c r="AI5" t="s">
        <v>61</v>
      </c>
    </row>
    <row r="6" spans="1:38" x14ac:dyDescent="0.25">
      <c r="A6" s="5" t="s">
        <v>39</v>
      </c>
      <c r="B6" s="5" t="s">
        <v>0</v>
      </c>
      <c r="C6" s="5" t="str">
        <f t="shared" si="0"/>
        <v>description,dailCompDescEarth4,</v>
      </c>
      <c r="D6" s="5" t="str">
        <f t="shared" si="2"/>
        <v>itemText,dailCompTextEarth4,</v>
      </c>
      <c r="E6" s="5" t="str">
        <f>"augmentSkillLevel1,"&amp;AJ6&amp;","</f>
        <v>augmentSkillLevel1,1,</v>
      </c>
      <c r="F6" s="5" t="str">
        <f>"augmentSkillName1,records/skills"&amp;I6&amp;","</f>
        <v>augmentSkillName1,records/skillsearth/volcanicorb.dbr,,</v>
      </c>
      <c r="G6" s="7">
        <f t="shared" si="10"/>
        <v>4</v>
      </c>
      <c r="H6" s="8" t="str">
        <f t="shared" si="11"/>
        <v>Earth</v>
      </c>
      <c r="I6" s="3" t="s">
        <v>705</v>
      </c>
      <c r="J6" s="8" t="str">
        <f t="shared" si="12"/>
        <v>class0022</v>
      </c>
      <c r="K6" s="8" t="str">
        <f t="shared" si="12"/>
        <v>dailoneskill0022</v>
      </c>
      <c r="L6" s="5" t="str">
        <f t="shared" si="4"/>
        <v>lootName4,DAIL/items/materia/class0022/Earth4.dbr,</v>
      </c>
      <c r="M6" s="5" t="str">
        <f t="shared" si="5"/>
        <v>lootWeight4,1,</v>
      </c>
      <c r="N6" t="str">
        <f t="shared" si="6"/>
        <v>1</v>
      </c>
      <c r="O6" t="str">
        <f>IF(I6&lt;&gt;"","copy .\"&amp;VLOOKUP(VALUE(N6),$AD$3:$AF$5,2,FALSE)&amp;" .\items\materia\"&amp;J6&amp;"\"&amp;H6&amp;G6&amp;".dbr /y"&amp;"","")</f>
        <v>copy .\dail_base.dbr .\items\materia\class0022\Earth4.dbr /y</v>
      </c>
      <c r="P6" t="str">
        <f t="shared" si="7"/>
        <v>echo relicBitmap,items/craftingparts/components/component_a52_bristlyfur_b.tex, &gt;&gt; .\items\materia\class0022\Earth4.dbr</v>
      </c>
      <c r="Q6" t="str">
        <f t="shared" si="1"/>
        <v>echo itemCost,100000, &gt;&gt; .\items\materia\class0022\Earth4.dbr</v>
      </c>
      <c r="R6" t="str">
        <f t="shared" si="1"/>
        <v>echo description,dailCompDescEarth4, &gt;&gt; .\items\materia\class0022\Earth4.dbr</v>
      </c>
      <c r="S6" t="str">
        <f t="shared" si="1"/>
        <v>echo itemText,dailCompTextEarth4, &gt;&gt; .\items\materia\class0022\Earth4.dbr</v>
      </c>
      <c r="T6" t="str">
        <f t="shared" si="1"/>
        <v>echo augmentSkillLevel1,1, &gt;&gt; .\items\materia\class0022\Earth4.dbr</v>
      </c>
      <c r="U6" t="str">
        <f t="shared" si="1"/>
        <v>echo augmentSkillName1,records/skillsearth/volcanicorb.dbr,, &gt;&gt; .\items\materia\class0022\Earth4.dbr</v>
      </c>
      <c r="V6" s="5" t="s">
        <v>36</v>
      </c>
      <c r="W6" t="str">
        <f t="shared" si="8"/>
        <v>echo lootName4,DAIL/items/materia/class0022/Earth4.dbr, &gt;&gt; .\items\loottables\dailoneskill0022.dbr</v>
      </c>
      <c r="X6" t="str">
        <f t="shared" si="8"/>
        <v>echo lootWeight4,1, &gt;&gt; .\items\loottables\dailoneskill0022.dbr</v>
      </c>
      <c r="Y6" s="5" t="s">
        <v>36</v>
      </c>
      <c r="Z6" t="str">
        <f t="shared" si="9"/>
        <v xml:space="preserve"> dailCompDescEarth4=^pEarth's Gift of DAIL</v>
      </c>
      <c r="AA6" t="str">
        <f>IF(I5&lt;&gt;"","dailCompText"&amp;H6&amp;G6&amp;"=^oThis feels warm to the touch, almost familiar ^w("&amp;VLOOKUP(VALUE(N6),$AD$3:$AF$5,3,FALSE)&amp;")","")</f>
        <v>dailCompTextEarth4=^oThis feels warm to the touch, almost familiar ^w(This component fits into all Jewellery slots including the Belt And Shoulder)</v>
      </c>
      <c r="AB6" s="5" t="s">
        <v>36</v>
      </c>
      <c r="AH6">
        <v>1</v>
      </c>
      <c r="AI6">
        <f t="shared" ref="AI6:AI69" si="13">LEN(I6)</f>
        <v>22</v>
      </c>
      <c r="AJ6">
        <f>IF(AH6&lt;$AL$7,1,IF(AH6&lt;$AL$8,3,5))</f>
        <v>1</v>
      </c>
      <c r="AK6" s="1" t="s">
        <v>62</v>
      </c>
      <c r="AL6" s="1">
        <f>COUNTIF(AI:AI,"&gt;0")</f>
        <v>60</v>
      </c>
    </row>
    <row r="7" spans="1:38" x14ac:dyDescent="0.25">
      <c r="A7" s="5" t="s">
        <v>39</v>
      </c>
      <c r="B7" s="5" t="s">
        <v>0</v>
      </c>
      <c r="C7" s="5" t="str">
        <f t="shared" si="0"/>
        <v>description,dailCompDescEarth5,</v>
      </c>
      <c r="D7" s="5" t="str">
        <f t="shared" si="2"/>
        <v>itemText,dailCompTextEarth5,</v>
      </c>
      <c r="E7" s="5" t="str">
        <f t="shared" ref="E7:E70" si="14">"augmentSkillLevel1,"&amp;AJ7&amp;","</f>
        <v>augmentSkillLevel1,1,</v>
      </c>
      <c r="F7" s="5" t="str">
        <f t="shared" ref="F7:F70" si="15">"augmentSkillName1,records/skills"&amp;I7&amp;","</f>
        <v>augmentSkillName1,records/skillsearth/volcanicorb_immolation.dbr,,</v>
      </c>
      <c r="G7" s="7">
        <f t="shared" si="10"/>
        <v>5</v>
      </c>
      <c r="H7" s="8" t="str">
        <f t="shared" si="11"/>
        <v>Earth</v>
      </c>
      <c r="I7" s="3" t="s">
        <v>706</v>
      </c>
      <c r="J7" s="8" t="str">
        <f t="shared" si="12"/>
        <v>class0022</v>
      </c>
      <c r="K7" s="8" t="str">
        <f t="shared" si="12"/>
        <v>dailoneskill0022</v>
      </c>
      <c r="L7" s="5" t="str">
        <f t="shared" si="4"/>
        <v>lootName5,DAIL/items/materia/class0022/Earth5.dbr,</v>
      </c>
      <c r="M7" s="5" t="str">
        <f t="shared" si="5"/>
        <v>lootWeight5,1,</v>
      </c>
      <c r="N7" t="str">
        <f t="shared" si="6"/>
        <v>1</v>
      </c>
      <c r="O7" t="str">
        <f t="shared" ref="O7:O70" si="16">IF(I7&lt;&gt;"","copy .\"&amp;VLOOKUP(VALUE(N7),$AD$3:$AF$5,2,FALSE)&amp;" .\items\materia\"&amp;J7&amp;"\"&amp;H7&amp;G7&amp;".dbr /y"&amp;"","")</f>
        <v>copy .\dail_base.dbr .\items\materia\class0022\Earth5.dbr /y</v>
      </c>
      <c r="P7" t="str">
        <f t="shared" si="7"/>
        <v>echo relicBitmap,items/craftingparts/components/component_a52_bristlyfur_b.tex, &gt;&gt; .\items\materia\class0022\Earth5.dbr</v>
      </c>
      <c r="Q7" t="str">
        <f t="shared" si="1"/>
        <v>echo itemCost,100000, &gt;&gt; .\items\materia\class0022\Earth5.dbr</v>
      </c>
      <c r="R7" t="str">
        <f t="shared" si="1"/>
        <v>echo description,dailCompDescEarth5, &gt;&gt; .\items\materia\class0022\Earth5.dbr</v>
      </c>
      <c r="S7" t="str">
        <f t="shared" si="1"/>
        <v>echo itemText,dailCompTextEarth5, &gt;&gt; .\items\materia\class0022\Earth5.dbr</v>
      </c>
      <c r="T7" t="str">
        <f t="shared" si="1"/>
        <v>echo augmentSkillLevel1,1, &gt;&gt; .\items\materia\class0022\Earth5.dbr</v>
      </c>
      <c r="U7" t="str">
        <f t="shared" si="1"/>
        <v>echo augmentSkillName1,records/skillsearth/volcanicorb_immolation.dbr,, &gt;&gt; .\items\materia\class0022\Earth5.dbr</v>
      </c>
      <c r="V7" s="5" t="s">
        <v>36</v>
      </c>
      <c r="W7" t="str">
        <f t="shared" si="8"/>
        <v>echo lootName5,DAIL/items/materia/class0022/Earth5.dbr, &gt;&gt; .\items\loottables\dailoneskill0022.dbr</v>
      </c>
      <c r="X7" t="str">
        <f t="shared" si="8"/>
        <v>echo lootWeight5,1, &gt;&gt; .\items\loottables\dailoneskill0022.dbr</v>
      </c>
      <c r="Y7" s="5" t="s">
        <v>36</v>
      </c>
      <c r="Z7" t="str">
        <f t="shared" si="9"/>
        <v xml:space="preserve"> dailCompDescEarth5=^pEarth's Gift of DAIL</v>
      </c>
      <c r="AA7" t="str">
        <f t="shared" ref="AA7:AA70" si="17">IF(I6&lt;&gt;"","dailCompText"&amp;H7&amp;G7&amp;"=^oThis feels warm to the touch, almost familiar ^w("&amp;VLOOKUP(VALUE(N7),$AD$3:$AF$5,3,FALSE)&amp;")","")</f>
        <v>dailCompTextEarth5=^oThis feels warm to the touch, almost familiar ^w(This component fits into all Jewellery slots including the Belt And Shoulder)</v>
      </c>
      <c r="AB7" s="5" t="s">
        <v>36</v>
      </c>
      <c r="AH7">
        <f>AH6+1</f>
        <v>2</v>
      </c>
      <c r="AI7">
        <f t="shared" si="13"/>
        <v>33</v>
      </c>
      <c r="AJ7">
        <f t="shared" ref="AJ7:AJ70" si="18">IF(AH7&lt;$AL$7,1,IF(AH7&lt;$AL$8,3,5))</f>
        <v>1</v>
      </c>
      <c r="AK7">
        <v>1</v>
      </c>
      <c r="AL7">
        <f>AL6/3</f>
        <v>20</v>
      </c>
    </row>
    <row r="8" spans="1:38" x14ac:dyDescent="0.25">
      <c r="A8" s="5" t="s">
        <v>39</v>
      </c>
      <c r="B8" s="5" t="s">
        <v>0</v>
      </c>
      <c r="C8" s="5" t="str">
        <f t="shared" si="0"/>
        <v>description,dailCompDescEarth6,</v>
      </c>
      <c r="D8" s="5" t="str">
        <f t="shared" si="2"/>
        <v>itemText,dailCompTextEarth6,</v>
      </c>
      <c r="E8" s="5" t="str">
        <f t="shared" si="14"/>
        <v>augmentSkillLevel1,1,</v>
      </c>
      <c r="F8" s="5" t="str">
        <f t="shared" si="15"/>
        <v>augmentSkillName1,records/skillsearth/volcanicorb_fragmentation.dbr,,</v>
      </c>
      <c r="G8" s="7">
        <f t="shared" si="10"/>
        <v>6</v>
      </c>
      <c r="H8" s="8" t="str">
        <f t="shared" si="11"/>
        <v>Earth</v>
      </c>
      <c r="I8" s="3" t="s">
        <v>707</v>
      </c>
      <c r="J8" s="8" t="str">
        <f t="shared" si="12"/>
        <v>class0022</v>
      </c>
      <c r="K8" s="8" t="str">
        <f t="shared" si="12"/>
        <v>dailoneskill0022</v>
      </c>
      <c r="L8" s="5" t="str">
        <f t="shared" si="4"/>
        <v>lootName6,DAIL/items/materia/class0022/Earth6.dbr,</v>
      </c>
      <c r="M8" s="5" t="str">
        <f t="shared" si="5"/>
        <v>lootWeight6,1,</v>
      </c>
      <c r="N8" t="str">
        <f t="shared" si="6"/>
        <v>1</v>
      </c>
      <c r="O8" t="str">
        <f t="shared" si="16"/>
        <v>copy .\dail_base.dbr .\items\materia\class0022\Earth6.dbr /y</v>
      </c>
      <c r="P8" t="str">
        <f t="shared" si="7"/>
        <v>echo relicBitmap,items/craftingparts/components/component_a52_bristlyfur_b.tex, &gt;&gt; .\items\materia\class0022\Earth6.dbr</v>
      </c>
      <c r="Q8" t="str">
        <f t="shared" si="1"/>
        <v>echo itemCost,100000, &gt;&gt; .\items\materia\class0022\Earth6.dbr</v>
      </c>
      <c r="R8" t="str">
        <f t="shared" si="1"/>
        <v>echo description,dailCompDescEarth6, &gt;&gt; .\items\materia\class0022\Earth6.dbr</v>
      </c>
      <c r="S8" t="str">
        <f t="shared" si="1"/>
        <v>echo itemText,dailCompTextEarth6, &gt;&gt; .\items\materia\class0022\Earth6.dbr</v>
      </c>
      <c r="T8" t="str">
        <f t="shared" si="1"/>
        <v>echo augmentSkillLevel1,1, &gt;&gt; .\items\materia\class0022\Earth6.dbr</v>
      </c>
      <c r="U8" t="str">
        <f t="shared" si="1"/>
        <v>echo augmentSkillName1,records/skillsearth/volcanicorb_fragmentation.dbr,, &gt;&gt; .\items\materia\class0022\Earth6.dbr</v>
      </c>
      <c r="V8" s="5" t="s">
        <v>36</v>
      </c>
      <c r="W8" t="str">
        <f t="shared" si="8"/>
        <v>echo lootName6,DAIL/items/materia/class0022/Earth6.dbr, &gt;&gt; .\items\loottables\dailoneskill0022.dbr</v>
      </c>
      <c r="X8" t="str">
        <f t="shared" si="8"/>
        <v>echo lootWeight6,1, &gt;&gt; .\items\loottables\dailoneskill0022.dbr</v>
      </c>
      <c r="Y8" s="5" t="s">
        <v>36</v>
      </c>
      <c r="Z8" t="str">
        <f t="shared" si="9"/>
        <v xml:space="preserve"> dailCompDescEarth6=^pEarth's Gift of DAIL</v>
      </c>
      <c r="AA8" t="str">
        <f t="shared" si="17"/>
        <v>dailCompTextEarth6=^oThis feels warm to the touch, almost familiar ^w(This component fits into all Jewellery slots including the Belt And Shoulder)</v>
      </c>
      <c r="AB8" s="5" t="s">
        <v>36</v>
      </c>
      <c r="AH8">
        <f t="shared" ref="AH8:AH71" si="19">AH7+1</f>
        <v>3</v>
      </c>
      <c r="AI8">
        <f t="shared" si="13"/>
        <v>36</v>
      </c>
      <c r="AJ8">
        <f t="shared" si="18"/>
        <v>1</v>
      </c>
      <c r="AK8" s="1">
        <v>3</v>
      </c>
      <c r="AL8">
        <f>AL7*2</f>
        <v>40</v>
      </c>
    </row>
    <row r="9" spans="1:38" x14ac:dyDescent="0.25">
      <c r="A9" s="5" t="s">
        <v>39</v>
      </c>
      <c r="B9" s="5" t="s">
        <v>0</v>
      </c>
      <c r="C9" s="5" t="str">
        <f t="shared" si="0"/>
        <v>description,dailCompDescEarth7,</v>
      </c>
      <c r="D9" s="5" t="str">
        <f t="shared" si="2"/>
        <v>itemText,dailCompTextEarth7,</v>
      </c>
      <c r="E9" s="5" t="str">
        <f t="shared" si="14"/>
        <v>augmentSkillLevel1,1,</v>
      </c>
      <c r="F9" s="5" t="str">
        <f t="shared" si="15"/>
        <v>augmentSkillName1,records/skillsearth/volatility.dbr,,</v>
      </c>
      <c r="G9" s="7">
        <f t="shared" si="10"/>
        <v>7</v>
      </c>
      <c r="H9" s="8" t="str">
        <f t="shared" si="11"/>
        <v>Earth</v>
      </c>
      <c r="I9" s="3" t="s">
        <v>708</v>
      </c>
      <c r="J9" s="8" t="str">
        <f t="shared" si="12"/>
        <v>class0022</v>
      </c>
      <c r="K9" s="8" t="str">
        <f t="shared" si="12"/>
        <v>dailoneskill0022</v>
      </c>
      <c r="L9" s="5" t="str">
        <f t="shared" si="4"/>
        <v>lootName7,DAIL/items/materia/class0022/Earth7.dbr,</v>
      </c>
      <c r="M9" s="5" t="str">
        <f t="shared" si="5"/>
        <v>lootWeight7,1,</v>
      </c>
      <c r="N9" t="str">
        <f t="shared" si="6"/>
        <v>1</v>
      </c>
      <c r="O9" t="str">
        <f t="shared" si="16"/>
        <v>copy .\dail_base.dbr .\items\materia\class0022\Earth7.dbr /y</v>
      </c>
      <c r="P9" t="str">
        <f t="shared" si="7"/>
        <v>echo relicBitmap,items/craftingparts/components/component_a52_bristlyfur_b.tex, &gt;&gt; .\items\materia\class0022\Earth7.dbr</v>
      </c>
      <c r="Q9" t="str">
        <f t="shared" si="1"/>
        <v>echo itemCost,100000, &gt;&gt; .\items\materia\class0022\Earth7.dbr</v>
      </c>
      <c r="R9" t="str">
        <f t="shared" si="1"/>
        <v>echo description,dailCompDescEarth7, &gt;&gt; .\items\materia\class0022\Earth7.dbr</v>
      </c>
      <c r="S9" t="str">
        <f t="shared" si="1"/>
        <v>echo itemText,dailCompTextEarth7, &gt;&gt; .\items\materia\class0022\Earth7.dbr</v>
      </c>
      <c r="T9" t="str">
        <f t="shared" si="1"/>
        <v>echo augmentSkillLevel1,1, &gt;&gt; .\items\materia\class0022\Earth7.dbr</v>
      </c>
      <c r="U9" t="str">
        <f t="shared" si="1"/>
        <v>echo augmentSkillName1,records/skillsearth/volatility.dbr,, &gt;&gt; .\items\materia\class0022\Earth7.dbr</v>
      </c>
      <c r="V9" s="5" t="s">
        <v>36</v>
      </c>
      <c r="W9" t="str">
        <f t="shared" si="8"/>
        <v>echo lootName7,DAIL/items/materia/class0022/Earth7.dbr, &gt;&gt; .\items\loottables\dailoneskill0022.dbr</v>
      </c>
      <c r="X9" t="str">
        <f t="shared" si="8"/>
        <v>echo lootWeight7,1, &gt;&gt; .\items\loottables\dailoneskill0022.dbr</v>
      </c>
      <c r="Y9" s="5" t="s">
        <v>36</v>
      </c>
      <c r="Z9" t="str">
        <f t="shared" si="9"/>
        <v xml:space="preserve"> dailCompDescEarth7=^pEarth's Gift of DAIL</v>
      </c>
      <c r="AA9" t="str">
        <f t="shared" si="17"/>
        <v>dailCompTextEarth7=^oThis feels warm to the touch, almost familiar ^w(This component fits into all Jewellery slots including the Belt And Shoulder)</v>
      </c>
      <c r="AB9" s="5" t="s">
        <v>36</v>
      </c>
      <c r="AH9">
        <f t="shared" si="19"/>
        <v>4</v>
      </c>
      <c r="AI9">
        <f t="shared" si="13"/>
        <v>21</v>
      </c>
      <c r="AJ9">
        <f t="shared" si="18"/>
        <v>1</v>
      </c>
      <c r="AK9" s="1">
        <v>5</v>
      </c>
      <c r="AL9">
        <f>AL6</f>
        <v>60</v>
      </c>
    </row>
    <row r="10" spans="1:38" x14ac:dyDescent="0.25">
      <c r="A10" s="5" t="s">
        <v>39</v>
      </c>
      <c r="B10" s="5" t="s">
        <v>0</v>
      </c>
      <c r="C10" s="5" t="str">
        <f t="shared" si="0"/>
        <v>description,dailCompDescEarth8,</v>
      </c>
      <c r="D10" s="5" t="str">
        <f t="shared" si="2"/>
        <v>itemText,dailCompTextEarth8,</v>
      </c>
      <c r="E10" s="5" t="str">
        <f t="shared" si="14"/>
        <v>augmentSkillLevel1,1,</v>
      </c>
      <c r="F10" s="5" t="str">
        <f t="shared" si="15"/>
        <v>augmentSkillName1,records/skillsearth/coredweller.dbr,,</v>
      </c>
      <c r="G10" s="7">
        <f t="shared" si="10"/>
        <v>8</v>
      </c>
      <c r="H10" s="8" t="str">
        <f t="shared" si="11"/>
        <v>Earth</v>
      </c>
      <c r="I10" s="3" t="s">
        <v>709</v>
      </c>
      <c r="J10" s="8" t="str">
        <f t="shared" si="12"/>
        <v>class0022</v>
      </c>
      <c r="K10" s="8" t="str">
        <f t="shared" si="12"/>
        <v>dailoneskill0022</v>
      </c>
      <c r="L10" s="5" t="str">
        <f t="shared" si="4"/>
        <v>lootName8,DAIL/items/materia/class0022/Earth8.dbr,</v>
      </c>
      <c r="M10" s="5" t="str">
        <f t="shared" si="5"/>
        <v>lootWeight8,1,</v>
      </c>
      <c r="N10" t="str">
        <f t="shared" si="6"/>
        <v>1</v>
      </c>
      <c r="O10" t="str">
        <f t="shared" si="16"/>
        <v>copy .\dail_base.dbr .\items\materia\class0022\Earth8.dbr /y</v>
      </c>
      <c r="P10" t="str">
        <f t="shared" si="7"/>
        <v>echo relicBitmap,items/craftingparts/components/component_a52_bristlyfur_b.tex, &gt;&gt; .\items\materia\class0022\Earth8.dbr</v>
      </c>
      <c r="Q10" t="str">
        <f t="shared" si="1"/>
        <v>echo itemCost,100000, &gt;&gt; .\items\materia\class0022\Earth8.dbr</v>
      </c>
      <c r="R10" t="str">
        <f t="shared" si="1"/>
        <v>echo description,dailCompDescEarth8, &gt;&gt; .\items\materia\class0022\Earth8.dbr</v>
      </c>
      <c r="S10" t="str">
        <f t="shared" si="1"/>
        <v>echo itemText,dailCompTextEarth8, &gt;&gt; .\items\materia\class0022\Earth8.dbr</v>
      </c>
      <c r="T10" t="str">
        <f t="shared" si="1"/>
        <v>echo augmentSkillLevel1,1, &gt;&gt; .\items\materia\class0022\Earth8.dbr</v>
      </c>
      <c r="U10" t="str">
        <f t="shared" si="1"/>
        <v>echo augmentSkillName1,records/skillsearth/coredweller.dbr,, &gt;&gt; .\items\materia\class0022\Earth8.dbr</v>
      </c>
      <c r="V10" s="5" t="s">
        <v>36</v>
      </c>
      <c r="W10" t="str">
        <f t="shared" si="8"/>
        <v>echo lootName8,DAIL/items/materia/class0022/Earth8.dbr, &gt;&gt; .\items\loottables\dailoneskill0022.dbr</v>
      </c>
      <c r="X10" t="str">
        <f t="shared" si="8"/>
        <v>echo lootWeight8,1, &gt;&gt; .\items\loottables\dailoneskill0022.dbr</v>
      </c>
      <c r="Y10" s="5" t="s">
        <v>36</v>
      </c>
      <c r="Z10" t="str">
        <f t="shared" si="9"/>
        <v xml:space="preserve"> dailCompDescEarth8=^pEarth's Gift of DAIL</v>
      </c>
      <c r="AA10" t="str">
        <f t="shared" si="17"/>
        <v>dailCompTextEarth8=^oThis feels warm to the touch, almost familiar ^w(This component fits into all Jewellery slots including the Belt And Shoulder)</v>
      </c>
      <c r="AB10" s="5" t="s">
        <v>36</v>
      </c>
      <c r="AH10">
        <f t="shared" si="19"/>
        <v>5</v>
      </c>
      <c r="AI10">
        <f t="shared" si="13"/>
        <v>22</v>
      </c>
      <c r="AJ10">
        <f t="shared" si="18"/>
        <v>1</v>
      </c>
    </row>
    <row r="11" spans="1:38" x14ac:dyDescent="0.25">
      <c r="A11" s="5" t="s">
        <v>39</v>
      </c>
      <c r="B11" s="5" t="s">
        <v>0</v>
      </c>
      <c r="C11" s="5" t="str">
        <f t="shared" si="0"/>
        <v>description,dailCompDescEarth9,</v>
      </c>
      <c r="D11" s="5" t="str">
        <f t="shared" si="2"/>
        <v>itemText,dailCompTextEarth9,</v>
      </c>
      <c r="E11" s="5" t="str">
        <f t="shared" si="14"/>
        <v>augmentSkillLevel1,1,</v>
      </c>
      <c r="F11" s="5" t="str">
        <f t="shared" si="15"/>
        <v>augmentSkillName1,records/skillsearth/coredweller_petmodifier_innerfire.dbr,,</v>
      </c>
      <c r="G11" s="7">
        <f t="shared" si="10"/>
        <v>9</v>
      </c>
      <c r="H11" s="8" t="str">
        <f t="shared" si="11"/>
        <v>Earth</v>
      </c>
      <c r="I11" s="3" t="s">
        <v>710</v>
      </c>
      <c r="J11" s="8" t="str">
        <f t="shared" si="12"/>
        <v>class0022</v>
      </c>
      <c r="K11" s="8" t="str">
        <f t="shared" si="12"/>
        <v>dailoneskill0022</v>
      </c>
      <c r="L11" s="5" t="str">
        <f t="shared" si="4"/>
        <v>lootName9,DAIL/items/materia/class0022/Earth9.dbr,</v>
      </c>
      <c r="M11" s="5" t="str">
        <f t="shared" si="5"/>
        <v>lootWeight9,1,</v>
      </c>
      <c r="N11" t="str">
        <f t="shared" si="6"/>
        <v>1</v>
      </c>
      <c r="O11" t="str">
        <f t="shared" si="16"/>
        <v>copy .\dail_base.dbr .\items\materia\class0022\Earth9.dbr /y</v>
      </c>
      <c r="P11" t="str">
        <f t="shared" si="7"/>
        <v>echo relicBitmap,items/craftingparts/components/component_a52_bristlyfur_b.tex, &gt;&gt; .\items\materia\class0022\Earth9.dbr</v>
      </c>
      <c r="Q11" t="str">
        <f t="shared" si="1"/>
        <v>echo itemCost,100000, &gt;&gt; .\items\materia\class0022\Earth9.dbr</v>
      </c>
      <c r="R11" t="str">
        <f t="shared" si="1"/>
        <v>echo description,dailCompDescEarth9, &gt;&gt; .\items\materia\class0022\Earth9.dbr</v>
      </c>
      <c r="S11" t="str">
        <f t="shared" si="1"/>
        <v>echo itemText,dailCompTextEarth9, &gt;&gt; .\items\materia\class0022\Earth9.dbr</v>
      </c>
      <c r="T11" t="str">
        <f t="shared" si="1"/>
        <v>echo augmentSkillLevel1,1, &gt;&gt; .\items\materia\class0022\Earth9.dbr</v>
      </c>
      <c r="U11" t="str">
        <f t="shared" si="1"/>
        <v>echo augmentSkillName1,records/skillsearth/coredweller_petmodifier_innerfire.dbr,, &gt;&gt; .\items\materia\class0022\Earth9.dbr</v>
      </c>
      <c r="V11" s="5" t="s">
        <v>36</v>
      </c>
      <c r="W11" t="str">
        <f t="shared" si="8"/>
        <v>echo lootName9,DAIL/items/materia/class0022/Earth9.dbr, &gt;&gt; .\items\loottables\dailoneskill0022.dbr</v>
      </c>
      <c r="X11" t="str">
        <f t="shared" si="8"/>
        <v>echo lootWeight9,1, &gt;&gt; .\items\loottables\dailoneskill0022.dbr</v>
      </c>
      <c r="Y11" s="5" t="s">
        <v>36</v>
      </c>
      <c r="Z11" t="str">
        <f t="shared" si="9"/>
        <v xml:space="preserve"> dailCompDescEarth9=^pEarth's Gift of DAIL</v>
      </c>
      <c r="AA11" t="str">
        <f t="shared" si="17"/>
        <v>dailCompTextEarth9=^oThis feels warm to the touch, almost familiar ^w(This component fits into all Jewellery slots including the Belt And Shoulder)</v>
      </c>
      <c r="AB11" s="5" t="s">
        <v>36</v>
      </c>
      <c r="AH11">
        <f t="shared" si="19"/>
        <v>6</v>
      </c>
      <c r="AI11">
        <f t="shared" si="13"/>
        <v>44</v>
      </c>
      <c r="AJ11">
        <f t="shared" si="18"/>
        <v>1</v>
      </c>
    </row>
    <row r="12" spans="1:38" x14ac:dyDescent="0.25">
      <c r="A12" s="5" t="s">
        <v>39</v>
      </c>
      <c r="B12" s="5" t="s">
        <v>0</v>
      </c>
      <c r="C12" s="5" t="str">
        <f t="shared" si="0"/>
        <v>description,dailCompDescEarth10,</v>
      </c>
      <c r="D12" s="5" t="str">
        <f t="shared" si="2"/>
        <v>itemText,dailCompTextEarth10,</v>
      </c>
      <c r="E12" s="5" t="str">
        <f t="shared" si="14"/>
        <v>augmentSkillLevel1,1,</v>
      </c>
      <c r="F12" s="5" t="str">
        <f t="shared" si="15"/>
        <v>augmentSkillName1,records/skillsearth/coredweller_petmodifier_wildfire.dbr,,</v>
      </c>
      <c r="G12" s="7">
        <f t="shared" si="10"/>
        <v>10</v>
      </c>
      <c r="H12" s="8" t="str">
        <f t="shared" si="11"/>
        <v>Earth</v>
      </c>
      <c r="I12" s="3" t="s">
        <v>711</v>
      </c>
      <c r="J12" s="8" t="str">
        <f t="shared" si="12"/>
        <v>class0022</v>
      </c>
      <c r="K12" s="8" t="str">
        <f t="shared" si="12"/>
        <v>dailoneskill0022</v>
      </c>
      <c r="L12" s="5" t="str">
        <f t="shared" si="4"/>
        <v>lootName10,DAIL/items/materia/class0022/Earth10.dbr,</v>
      </c>
      <c r="M12" s="5" t="str">
        <f t="shared" si="5"/>
        <v>lootWeight10,1,</v>
      </c>
      <c r="N12" t="str">
        <f t="shared" si="6"/>
        <v>1</v>
      </c>
      <c r="O12" t="str">
        <f t="shared" si="16"/>
        <v>copy .\dail_base.dbr .\items\materia\class0022\Earth10.dbr /y</v>
      </c>
      <c r="P12" t="str">
        <f t="shared" si="7"/>
        <v>echo relicBitmap,items/craftingparts/components/component_a52_bristlyfur_b.tex, &gt;&gt; .\items\materia\class0022\Earth10.dbr</v>
      </c>
      <c r="Q12" t="str">
        <f t="shared" si="1"/>
        <v>echo itemCost,100000, &gt;&gt; .\items\materia\class0022\Earth10.dbr</v>
      </c>
      <c r="R12" t="str">
        <f t="shared" si="1"/>
        <v>echo description,dailCompDescEarth10, &gt;&gt; .\items\materia\class0022\Earth10.dbr</v>
      </c>
      <c r="S12" t="str">
        <f t="shared" si="1"/>
        <v>echo itemText,dailCompTextEarth10, &gt;&gt; .\items\materia\class0022\Earth10.dbr</v>
      </c>
      <c r="T12" t="str">
        <f t="shared" si="1"/>
        <v>echo augmentSkillLevel1,1, &gt;&gt; .\items\materia\class0022\Earth10.dbr</v>
      </c>
      <c r="U12" t="str">
        <f t="shared" si="1"/>
        <v>echo augmentSkillName1,records/skillsearth/coredweller_petmodifier_wildfire.dbr,, &gt;&gt; .\items\materia\class0022\Earth10.dbr</v>
      </c>
      <c r="V12" s="5" t="s">
        <v>36</v>
      </c>
      <c r="W12" t="str">
        <f t="shared" si="8"/>
        <v>echo lootName10,DAIL/items/materia/class0022/Earth10.dbr, &gt;&gt; .\items\loottables\dailoneskill0022.dbr</v>
      </c>
      <c r="X12" t="str">
        <f t="shared" si="8"/>
        <v>echo lootWeight10,1, &gt;&gt; .\items\loottables\dailoneskill0022.dbr</v>
      </c>
      <c r="Y12" s="5" t="s">
        <v>36</v>
      </c>
      <c r="Z12" t="str">
        <f t="shared" si="9"/>
        <v xml:space="preserve"> dailCompDescEarth10=^pEarth's Gift of DAIL</v>
      </c>
      <c r="AA12" t="str">
        <f t="shared" si="17"/>
        <v>dailCompTextEarth10=^oThis feels warm to the touch, almost familiar ^w(This component fits into all Jewellery slots including the Belt And Shoulder)</v>
      </c>
      <c r="AB12" s="5" t="s">
        <v>36</v>
      </c>
      <c r="AH12">
        <f t="shared" si="19"/>
        <v>7</v>
      </c>
      <c r="AI12">
        <f t="shared" si="13"/>
        <v>43</v>
      </c>
      <c r="AJ12">
        <f t="shared" si="18"/>
        <v>1</v>
      </c>
    </row>
    <row r="13" spans="1:38" x14ac:dyDescent="0.25">
      <c r="A13" s="5" t="s">
        <v>39</v>
      </c>
      <c r="B13" s="5" t="s">
        <v>0</v>
      </c>
      <c r="C13" s="5" t="str">
        <f t="shared" si="0"/>
        <v>description,dailCompDescEarth11,</v>
      </c>
      <c r="D13" s="5" t="str">
        <f t="shared" si="2"/>
        <v>itemText,dailCompTextEarth11,</v>
      </c>
      <c r="E13" s="5" t="str">
        <f t="shared" si="14"/>
        <v>augmentSkillLevel1,1,</v>
      </c>
      <c r="F13" s="5" t="str">
        <f t="shared" si="15"/>
        <v>augmentSkillName1,records/skillsearth/coredweller_petmodifier_metamorphosis.dbr,,</v>
      </c>
      <c r="G13" s="7">
        <f t="shared" si="10"/>
        <v>11</v>
      </c>
      <c r="H13" s="8" t="str">
        <f t="shared" si="11"/>
        <v>Earth</v>
      </c>
      <c r="I13" s="3" t="s">
        <v>712</v>
      </c>
      <c r="J13" s="8" t="str">
        <f t="shared" si="12"/>
        <v>class0022</v>
      </c>
      <c r="K13" s="8" t="str">
        <f t="shared" si="12"/>
        <v>dailoneskill0022</v>
      </c>
      <c r="L13" s="5" t="str">
        <f t="shared" si="4"/>
        <v>lootName11,DAIL/items/materia/class0022/Earth11.dbr,</v>
      </c>
      <c r="M13" s="5" t="str">
        <f t="shared" si="5"/>
        <v>lootWeight11,1,</v>
      </c>
      <c r="N13" t="str">
        <f t="shared" si="6"/>
        <v>1</v>
      </c>
      <c r="O13" t="str">
        <f t="shared" si="16"/>
        <v>copy .\dail_base.dbr .\items\materia\class0022\Earth11.dbr /y</v>
      </c>
      <c r="P13" t="str">
        <f t="shared" si="7"/>
        <v>echo relicBitmap,items/craftingparts/components/component_a52_bristlyfur_b.tex, &gt;&gt; .\items\materia\class0022\Earth11.dbr</v>
      </c>
      <c r="Q13" t="str">
        <f t="shared" si="1"/>
        <v>echo itemCost,100000, &gt;&gt; .\items\materia\class0022\Earth11.dbr</v>
      </c>
      <c r="R13" t="str">
        <f t="shared" si="1"/>
        <v>echo description,dailCompDescEarth11, &gt;&gt; .\items\materia\class0022\Earth11.dbr</v>
      </c>
      <c r="S13" t="str">
        <f t="shared" si="1"/>
        <v>echo itemText,dailCompTextEarth11, &gt;&gt; .\items\materia\class0022\Earth11.dbr</v>
      </c>
      <c r="T13" t="str">
        <f t="shared" si="1"/>
        <v>echo augmentSkillLevel1,1, &gt;&gt; .\items\materia\class0022\Earth11.dbr</v>
      </c>
      <c r="U13" t="str">
        <f t="shared" si="1"/>
        <v>echo augmentSkillName1,records/skillsearth/coredweller_petmodifier_metamorphosis.dbr,, &gt;&gt; .\items\materia\class0022\Earth11.dbr</v>
      </c>
      <c r="V13" s="5" t="s">
        <v>36</v>
      </c>
      <c r="W13" t="str">
        <f t="shared" si="8"/>
        <v>echo lootName11,DAIL/items/materia/class0022/Earth11.dbr, &gt;&gt; .\items\loottables\dailoneskill0022.dbr</v>
      </c>
      <c r="X13" t="str">
        <f t="shared" si="8"/>
        <v>echo lootWeight11,1, &gt;&gt; .\items\loottables\dailoneskill0022.dbr</v>
      </c>
      <c r="Y13" s="5" t="s">
        <v>36</v>
      </c>
      <c r="Z13" t="str">
        <f t="shared" si="9"/>
        <v xml:space="preserve"> dailCompDescEarth11=^pEarth's Gift of DAIL</v>
      </c>
      <c r="AA13" t="str">
        <f t="shared" si="17"/>
        <v>dailCompTextEarth11=^oThis feels warm to the touch, almost familiar ^w(This component fits into all Jewellery slots including the Belt And Shoulder)</v>
      </c>
      <c r="AB13" s="5" t="s">
        <v>36</v>
      </c>
      <c r="AH13">
        <f t="shared" si="19"/>
        <v>8</v>
      </c>
      <c r="AI13">
        <f t="shared" si="13"/>
        <v>48</v>
      </c>
      <c r="AJ13">
        <f t="shared" si="18"/>
        <v>1</v>
      </c>
    </row>
    <row r="14" spans="1:38" x14ac:dyDescent="0.25">
      <c r="A14" s="5" t="s">
        <v>39</v>
      </c>
      <c r="B14" s="5" t="s">
        <v>0</v>
      </c>
      <c r="C14" s="5" t="str">
        <f t="shared" si="0"/>
        <v>description,dailCompDescEarth12,</v>
      </c>
      <c r="D14" s="5" t="str">
        <f t="shared" si="2"/>
        <v>itemText,dailCompTextEarth12,</v>
      </c>
      <c r="E14" s="5" t="str">
        <f t="shared" si="14"/>
        <v>augmentSkillLevel1,1,</v>
      </c>
      <c r="F14" s="5" t="str">
        <f t="shared" si="15"/>
        <v>augmentSkillName1,records/skillsearth/flamesurge.dbr,,</v>
      </c>
      <c r="G14" s="7">
        <f t="shared" si="10"/>
        <v>12</v>
      </c>
      <c r="H14" s="8" t="str">
        <f t="shared" si="11"/>
        <v>Earth</v>
      </c>
      <c r="I14" s="3" t="s">
        <v>713</v>
      </c>
      <c r="J14" s="8" t="str">
        <f t="shared" si="12"/>
        <v>class0022</v>
      </c>
      <c r="K14" s="8" t="str">
        <f t="shared" si="12"/>
        <v>dailoneskill0022</v>
      </c>
      <c r="L14" s="5" t="str">
        <f t="shared" si="4"/>
        <v>lootName12,DAIL/items/materia/class0022/Earth12.dbr,</v>
      </c>
      <c r="M14" s="5" t="str">
        <f t="shared" si="5"/>
        <v>lootWeight12,1,</v>
      </c>
      <c r="N14" t="str">
        <f t="shared" si="6"/>
        <v>1</v>
      </c>
      <c r="O14" t="str">
        <f t="shared" si="16"/>
        <v>copy .\dail_base.dbr .\items\materia\class0022\Earth12.dbr /y</v>
      </c>
      <c r="P14" t="str">
        <f t="shared" si="7"/>
        <v>echo relicBitmap,items/craftingparts/components/component_a52_bristlyfur_b.tex, &gt;&gt; .\items\materia\class0022\Earth12.dbr</v>
      </c>
      <c r="Q14" t="str">
        <f t="shared" si="1"/>
        <v>echo itemCost,100000, &gt;&gt; .\items\materia\class0022\Earth12.dbr</v>
      </c>
      <c r="R14" t="str">
        <f t="shared" si="1"/>
        <v>echo description,dailCompDescEarth12, &gt;&gt; .\items\materia\class0022\Earth12.dbr</v>
      </c>
      <c r="S14" t="str">
        <f t="shared" si="1"/>
        <v>echo itemText,dailCompTextEarth12, &gt;&gt; .\items\materia\class0022\Earth12.dbr</v>
      </c>
      <c r="T14" t="str">
        <f t="shared" si="1"/>
        <v>echo augmentSkillLevel1,1, &gt;&gt; .\items\materia\class0022\Earth12.dbr</v>
      </c>
      <c r="U14" t="str">
        <f t="shared" si="1"/>
        <v>echo augmentSkillName1,records/skillsearth/flamesurge.dbr,, &gt;&gt; .\items\materia\class0022\Earth12.dbr</v>
      </c>
      <c r="V14" s="5" t="s">
        <v>36</v>
      </c>
      <c r="W14" t="str">
        <f t="shared" si="8"/>
        <v>echo lootName12,DAIL/items/materia/class0022/Earth12.dbr, &gt;&gt; .\items\loottables\dailoneskill0022.dbr</v>
      </c>
      <c r="X14" t="str">
        <f t="shared" si="8"/>
        <v>echo lootWeight12,1, &gt;&gt; .\items\loottables\dailoneskill0022.dbr</v>
      </c>
      <c r="Y14" s="5" t="s">
        <v>36</v>
      </c>
      <c r="Z14" t="str">
        <f t="shared" si="9"/>
        <v xml:space="preserve"> dailCompDescEarth12=^pEarth's Gift of DAIL</v>
      </c>
      <c r="AA14" t="str">
        <f t="shared" si="17"/>
        <v>dailCompTextEarth12=^oThis feels warm to the touch, almost familiar ^w(This component fits into all Jewellery slots including the Belt And Shoulder)</v>
      </c>
      <c r="AB14" s="5" t="s">
        <v>36</v>
      </c>
      <c r="AH14">
        <f t="shared" si="19"/>
        <v>9</v>
      </c>
      <c r="AI14">
        <f t="shared" si="13"/>
        <v>21</v>
      </c>
      <c r="AJ14">
        <f t="shared" si="18"/>
        <v>1</v>
      </c>
    </row>
    <row r="15" spans="1:38" x14ac:dyDescent="0.25">
      <c r="A15" s="5" t="s">
        <v>39</v>
      </c>
      <c r="B15" s="5" t="s">
        <v>0</v>
      </c>
      <c r="C15" s="5" t="str">
        <f t="shared" si="0"/>
        <v>description,dailCompDescEarth13,</v>
      </c>
      <c r="D15" s="5" t="str">
        <f t="shared" si="2"/>
        <v>itemText,dailCompTextEarth13,</v>
      </c>
      <c r="E15" s="5" t="str">
        <f t="shared" si="14"/>
        <v>augmentSkillLevel1,1,</v>
      </c>
      <c r="F15" s="5" t="str">
        <f t="shared" si="15"/>
        <v>augmentSkillName1,records/skillsearth/flamesurge_barrage.dbr,,</v>
      </c>
      <c r="G15" s="7">
        <f t="shared" si="10"/>
        <v>13</v>
      </c>
      <c r="H15" s="8" t="str">
        <f t="shared" si="11"/>
        <v>Earth</v>
      </c>
      <c r="I15" s="3" t="s">
        <v>714</v>
      </c>
      <c r="J15" s="8" t="str">
        <f t="shared" si="12"/>
        <v>class0022</v>
      </c>
      <c r="K15" s="8" t="str">
        <f t="shared" si="12"/>
        <v>dailoneskill0022</v>
      </c>
      <c r="L15" s="5" t="str">
        <f t="shared" si="4"/>
        <v>lootName13,DAIL/items/materia/class0022/Earth13.dbr,</v>
      </c>
      <c r="M15" s="5" t="str">
        <f t="shared" si="5"/>
        <v>lootWeight13,1,</v>
      </c>
      <c r="N15" t="str">
        <f t="shared" si="6"/>
        <v>1</v>
      </c>
      <c r="O15" t="str">
        <f t="shared" si="16"/>
        <v>copy .\dail_base.dbr .\items\materia\class0022\Earth13.dbr /y</v>
      </c>
      <c r="P15" t="str">
        <f t="shared" si="7"/>
        <v>echo relicBitmap,items/craftingparts/components/component_a52_bristlyfur_b.tex, &gt;&gt; .\items\materia\class0022\Earth13.dbr</v>
      </c>
      <c r="Q15" t="str">
        <f t="shared" si="1"/>
        <v>echo itemCost,100000, &gt;&gt; .\items\materia\class0022\Earth13.dbr</v>
      </c>
      <c r="R15" t="str">
        <f t="shared" si="1"/>
        <v>echo description,dailCompDescEarth13, &gt;&gt; .\items\materia\class0022\Earth13.dbr</v>
      </c>
      <c r="S15" t="str">
        <f t="shared" si="1"/>
        <v>echo itemText,dailCompTextEarth13, &gt;&gt; .\items\materia\class0022\Earth13.dbr</v>
      </c>
      <c r="T15" t="str">
        <f t="shared" si="1"/>
        <v>echo augmentSkillLevel1,1, &gt;&gt; .\items\materia\class0022\Earth13.dbr</v>
      </c>
      <c r="U15" t="str">
        <f t="shared" si="1"/>
        <v>echo augmentSkillName1,records/skillsearth/flamesurge_barrage.dbr,, &gt;&gt; .\items\materia\class0022\Earth13.dbr</v>
      </c>
      <c r="V15" s="5" t="s">
        <v>36</v>
      </c>
      <c r="W15" t="str">
        <f t="shared" si="8"/>
        <v>echo lootName13,DAIL/items/materia/class0022/Earth13.dbr, &gt;&gt; .\items\loottables\dailoneskill0022.dbr</v>
      </c>
      <c r="X15" t="str">
        <f t="shared" si="8"/>
        <v>echo lootWeight13,1, &gt;&gt; .\items\loottables\dailoneskill0022.dbr</v>
      </c>
      <c r="Y15" s="5" t="s">
        <v>36</v>
      </c>
      <c r="Z15" t="str">
        <f t="shared" si="9"/>
        <v xml:space="preserve"> dailCompDescEarth13=^pEarth's Gift of DAIL</v>
      </c>
      <c r="AA15" t="str">
        <f t="shared" si="17"/>
        <v>dailCompTextEarth13=^oThis feels warm to the touch, almost familiar ^w(This component fits into all Jewellery slots including the Belt And Shoulder)</v>
      </c>
      <c r="AB15" s="5" t="s">
        <v>36</v>
      </c>
      <c r="AH15">
        <f t="shared" si="19"/>
        <v>10</v>
      </c>
      <c r="AI15">
        <f t="shared" si="13"/>
        <v>29</v>
      </c>
      <c r="AJ15">
        <f t="shared" si="18"/>
        <v>1</v>
      </c>
    </row>
    <row r="16" spans="1:38" x14ac:dyDescent="0.25">
      <c r="A16" s="5" t="s">
        <v>39</v>
      </c>
      <c r="B16" s="5" t="s">
        <v>0</v>
      </c>
      <c r="C16" s="5" t="str">
        <f t="shared" si="0"/>
        <v>description,dailCompDescEarth14,</v>
      </c>
      <c r="D16" s="5" t="str">
        <f t="shared" si="2"/>
        <v>itemText,dailCompTextEarth14,</v>
      </c>
      <c r="E16" s="5" t="str">
        <f t="shared" si="14"/>
        <v>augmentSkillLevel1,1,</v>
      </c>
      <c r="F16" s="5" t="str">
        <f t="shared" si="15"/>
        <v>augmentSkillName1,records/skillsearth/flamesurge_flamearch.dbr,,</v>
      </c>
      <c r="G16" s="7">
        <f t="shared" si="10"/>
        <v>14</v>
      </c>
      <c r="H16" s="8" t="str">
        <f t="shared" si="11"/>
        <v>Earth</v>
      </c>
      <c r="I16" s="3" t="s">
        <v>715</v>
      </c>
      <c r="J16" s="8" t="str">
        <f t="shared" si="12"/>
        <v>class0022</v>
      </c>
      <c r="K16" s="8" t="str">
        <f t="shared" si="12"/>
        <v>dailoneskill0022</v>
      </c>
      <c r="L16" s="5" t="str">
        <f t="shared" si="4"/>
        <v>lootName14,DAIL/items/materia/class0022/Earth14.dbr,</v>
      </c>
      <c r="M16" s="5" t="str">
        <f t="shared" si="5"/>
        <v>lootWeight14,1,</v>
      </c>
      <c r="N16" t="str">
        <f t="shared" si="6"/>
        <v>1</v>
      </c>
      <c r="O16" t="str">
        <f t="shared" si="16"/>
        <v>copy .\dail_base.dbr .\items\materia\class0022\Earth14.dbr /y</v>
      </c>
      <c r="P16" t="str">
        <f t="shared" si="7"/>
        <v>echo relicBitmap,items/craftingparts/components/component_a52_bristlyfur_b.tex, &gt;&gt; .\items\materia\class0022\Earth14.dbr</v>
      </c>
      <c r="Q16" t="str">
        <f t="shared" si="1"/>
        <v>echo itemCost,100000, &gt;&gt; .\items\materia\class0022\Earth14.dbr</v>
      </c>
      <c r="R16" t="str">
        <f t="shared" si="1"/>
        <v>echo description,dailCompDescEarth14, &gt;&gt; .\items\materia\class0022\Earth14.dbr</v>
      </c>
      <c r="S16" t="str">
        <f t="shared" si="1"/>
        <v>echo itemText,dailCompTextEarth14, &gt;&gt; .\items\materia\class0022\Earth14.dbr</v>
      </c>
      <c r="T16" t="str">
        <f t="shared" si="1"/>
        <v>echo augmentSkillLevel1,1, &gt;&gt; .\items\materia\class0022\Earth14.dbr</v>
      </c>
      <c r="U16" t="str">
        <f t="shared" si="1"/>
        <v>echo augmentSkillName1,records/skillsearth/flamesurge_flamearch.dbr,, &gt;&gt; .\items\materia\class0022\Earth14.dbr</v>
      </c>
      <c r="V16" s="5" t="s">
        <v>36</v>
      </c>
      <c r="W16" t="str">
        <f t="shared" si="8"/>
        <v>echo lootName14,DAIL/items/materia/class0022/Earth14.dbr, &gt;&gt; .\items\loottables\dailoneskill0022.dbr</v>
      </c>
      <c r="X16" t="str">
        <f t="shared" si="8"/>
        <v>echo lootWeight14,1, &gt;&gt; .\items\loottables\dailoneskill0022.dbr</v>
      </c>
      <c r="Y16" s="5" t="s">
        <v>36</v>
      </c>
      <c r="Z16" t="str">
        <f t="shared" si="9"/>
        <v xml:space="preserve"> dailCompDescEarth14=^pEarth's Gift of DAIL</v>
      </c>
      <c r="AA16" t="str">
        <f t="shared" si="17"/>
        <v>dailCompTextEarth14=^oThis feels warm to the touch, almost familiar ^w(This component fits into all Jewellery slots including the Belt And Shoulder)</v>
      </c>
      <c r="AB16" s="5" t="s">
        <v>36</v>
      </c>
      <c r="AH16">
        <f t="shared" si="19"/>
        <v>11</v>
      </c>
      <c r="AI16">
        <f t="shared" si="13"/>
        <v>31</v>
      </c>
      <c r="AJ16">
        <f t="shared" si="18"/>
        <v>1</v>
      </c>
    </row>
    <row r="17" spans="1:36" x14ac:dyDescent="0.25">
      <c r="A17" s="5" t="s">
        <v>39</v>
      </c>
      <c r="B17" s="5" t="s">
        <v>0</v>
      </c>
      <c r="C17" s="5" t="str">
        <f t="shared" si="0"/>
        <v>description,dailCompDescEarth15,</v>
      </c>
      <c r="D17" s="5" t="str">
        <f t="shared" si="2"/>
        <v>itemText,dailCompTextEarth15,</v>
      </c>
      <c r="E17" s="5" t="str">
        <f t="shared" si="14"/>
        <v>augmentSkillLevel1,1,</v>
      </c>
      <c r="F17" s="5" t="str">
        <f t="shared" si="15"/>
        <v>augmentSkillName1,records/skillsearth/heatshield.dbr,,</v>
      </c>
      <c r="G17" s="7">
        <f t="shared" si="10"/>
        <v>15</v>
      </c>
      <c r="H17" s="8" t="str">
        <f t="shared" si="11"/>
        <v>Earth</v>
      </c>
      <c r="I17" s="3" t="s">
        <v>716</v>
      </c>
      <c r="J17" s="8" t="str">
        <f t="shared" si="12"/>
        <v>class0022</v>
      </c>
      <c r="K17" s="8" t="str">
        <f t="shared" si="12"/>
        <v>dailoneskill0022</v>
      </c>
      <c r="L17" s="5" t="str">
        <f t="shared" si="4"/>
        <v>lootName15,DAIL/items/materia/class0022/Earth15.dbr,</v>
      </c>
      <c r="M17" s="5" t="str">
        <f t="shared" si="5"/>
        <v>lootWeight15,1,</v>
      </c>
      <c r="N17" t="str">
        <f t="shared" si="6"/>
        <v>1</v>
      </c>
      <c r="O17" t="str">
        <f t="shared" si="16"/>
        <v>copy .\dail_base.dbr .\items\materia\class0022\Earth15.dbr /y</v>
      </c>
      <c r="P17" t="str">
        <f t="shared" si="7"/>
        <v>echo relicBitmap,items/craftingparts/components/component_a52_bristlyfur_b.tex, &gt;&gt; .\items\materia\class0022\Earth15.dbr</v>
      </c>
      <c r="Q17" t="str">
        <f t="shared" si="1"/>
        <v>echo itemCost,100000, &gt;&gt; .\items\materia\class0022\Earth15.dbr</v>
      </c>
      <c r="R17" t="str">
        <f t="shared" si="1"/>
        <v>echo description,dailCompDescEarth15, &gt;&gt; .\items\materia\class0022\Earth15.dbr</v>
      </c>
      <c r="S17" t="str">
        <f t="shared" si="1"/>
        <v>echo itemText,dailCompTextEarth15, &gt;&gt; .\items\materia\class0022\Earth15.dbr</v>
      </c>
      <c r="T17" t="str">
        <f t="shared" si="1"/>
        <v>echo augmentSkillLevel1,1, &gt;&gt; .\items\materia\class0022\Earth15.dbr</v>
      </c>
      <c r="U17" t="str">
        <f t="shared" si="1"/>
        <v>echo augmentSkillName1,records/skillsearth/heatshield.dbr,, &gt;&gt; .\items\materia\class0022\Earth15.dbr</v>
      </c>
      <c r="V17" s="5" t="s">
        <v>36</v>
      </c>
      <c r="W17" t="str">
        <f t="shared" si="8"/>
        <v>echo lootName15,DAIL/items/materia/class0022/Earth15.dbr, &gt;&gt; .\items\loottables\dailoneskill0022.dbr</v>
      </c>
      <c r="X17" t="str">
        <f t="shared" si="8"/>
        <v>echo lootWeight15,1, &gt;&gt; .\items\loottables\dailoneskill0022.dbr</v>
      </c>
      <c r="Y17" s="5" t="s">
        <v>36</v>
      </c>
      <c r="Z17" t="str">
        <f t="shared" si="9"/>
        <v xml:space="preserve"> dailCompDescEarth15=^pEarth's Gift of DAIL</v>
      </c>
      <c r="AA17" t="str">
        <f t="shared" si="17"/>
        <v>dailCompTextEarth15=^oThis feels warm to the touch, almost familiar ^w(This component fits into all Jewellery slots including the Belt And Shoulder)</v>
      </c>
      <c r="AB17" s="5" t="s">
        <v>36</v>
      </c>
      <c r="AH17">
        <f t="shared" si="19"/>
        <v>12</v>
      </c>
      <c r="AI17">
        <f t="shared" si="13"/>
        <v>21</v>
      </c>
      <c r="AJ17">
        <f t="shared" si="18"/>
        <v>1</v>
      </c>
    </row>
    <row r="18" spans="1:36" x14ac:dyDescent="0.25">
      <c r="A18" s="5" t="s">
        <v>39</v>
      </c>
      <c r="B18" s="5" t="s">
        <v>0</v>
      </c>
      <c r="C18" s="5" t="str">
        <f t="shared" si="0"/>
        <v>description,dailCompDescEarth16,</v>
      </c>
      <c r="D18" s="5" t="str">
        <f t="shared" si="2"/>
        <v>itemText,dailCompTextEarth16,</v>
      </c>
      <c r="E18" s="5" t="str">
        <f t="shared" si="14"/>
        <v>augmentSkillLevel1,1,</v>
      </c>
      <c r="F18" s="5" t="str">
        <f t="shared" si="15"/>
        <v>augmentSkillName1,records/skillsearth/fireenchantment.dbr,,</v>
      </c>
      <c r="G18" s="7">
        <f t="shared" si="10"/>
        <v>16</v>
      </c>
      <c r="H18" s="8" t="str">
        <f t="shared" si="11"/>
        <v>Earth</v>
      </c>
      <c r="I18" s="3" t="s">
        <v>717</v>
      </c>
      <c r="J18" s="8" t="str">
        <f t="shared" si="12"/>
        <v>class0022</v>
      </c>
      <c r="K18" s="8" t="str">
        <f t="shared" si="12"/>
        <v>dailoneskill0022</v>
      </c>
      <c r="L18" s="5" t="str">
        <f t="shared" si="4"/>
        <v>lootName16,DAIL/items/materia/class0022/Earth16.dbr,</v>
      </c>
      <c r="M18" s="5" t="str">
        <f t="shared" si="5"/>
        <v>lootWeight16,1,</v>
      </c>
      <c r="N18" t="str">
        <f t="shared" si="6"/>
        <v>1</v>
      </c>
      <c r="O18" t="str">
        <f t="shared" si="16"/>
        <v>copy .\dail_base.dbr .\items\materia\class0022\Earth16.dbr /y</v>
      </c>
      <c r="P18" t="str">
        <f t="shared" si="7"/>
        <v>echo relicBitmap,items/craftingparts/components/component_a52_bristlyfur_b.tex, &gt;&gt; .\items\materia\class0022\Earth16.dbr</v>
      </c>
      <c r="Q18" t="str">
        <f t="shared" si="1"/>
        <v>echo itemCost,100000, &gt;&gt; .\items\materia\class0022\Earth16.dbr</v>
      </c>
      <c r="R18" t="str">
        <f t="shared" si="1"/>
        <v>echo description,dailCompDescEarth16, &gt;&gt; .\items\materia\class0022\Earth16.dbr</v>
      </c>
      <c r="S18" t="str">
        <f t="shared" si="1"/>
        <v>echo itemText,dailCompTextEarth16, &gt;&gt; .\items\materia\class0022\Earth16.dbr</v>
      </c>
      <c r="T18" t="str">
        <f t="shared" si="1"/>
        <v>echo augmentSkillLevel1,1, &gt;&gt; .\items\materia\class0022\Earth16.dbr</v>
      </c>
      <c r="U18" t="str">
        <f t="shared" si="1"/>
        <v>echo augmentSkillName1,records/skillsearth/fireenchantment.dbr,, &gt;&gt; .\items\materia\class0022\Earth16.dbr</v>
      </c>
      <c r="V18" s="5" t="s">
        <v>36</v>
      </c>
      <c r="W18" t="str">
        <f t="shared" si="8"/>
        <v>echo lootName16,DAIL/items/materia/class0022/Earth16.dbr, &gt;&gt; .\items\loottables\dailoneskill0022.dbr</v>
      </c>
      <c r="X18" t="str">
        <f t="shared" si="8"/>
        <v>echo lootWeight16,1, &gt;&gt; .\items\loottables\dailoneskill0022.dbr</v>
      </c>
      <c r="Y18" s="5" t="s">
        <v>36</v>
      </c>
      <c r="Z18" t="str">
        <f t="shared" si="9"/>
        <v xml:space="preserve"> dailCompDescEarth16=^pEarth's Gift of DAIL</v>
      </c>
      <c r="AA18" t="str">
        <f t="shared" si="17"/>
        <v>dailCompTextEarth16=^oThis feels warm to the touch, almost familiar ^w(This component fits into all Jewellery slots including the Belt And Shoulder)</v>
      </c>
      <c r="AB18" s="5" t="s">
        <v>36</v>
      </c>
      <c r="AH18">
        <f t="shared" si="19"/>
        <v>13</v>
      </c>
      <c r="AI18">
        <f t="shared" si="13"/>
        <v>26</v>
      </c>
      <c r="AJ18">
        <f t="shared" si="18"/>
        <v>1</v>
      </c>
    </row>
    <row r="19" spans="1:36" x14ac:dyDescent="0.25">
      <c r="A19" s="5" t="s">
        <v>39</v>
      </c>
      <c r="B19" s="5" t="s">
        <v>28</v>
      </c>
      <c r="C19" s="5" t="str">
        <f t="shared" si="0"/>
        <v>description,dailCompDescEarth17,</v>
      </c>
      <c r="D19" s="5" t="str">
        <f t="shared" si="2"/>
        <v>itemText,dailCompTextEarth17,</v>
      </c>
      <c r="E19" s="5" t="str">
        <f t="shared" si="14"/>
        <v>augmentSkillLevel1,1,</v>
      </c>
      <c r="F19" s="5" t="str">
        <f t="shared" si="15"/>
        <v>augmentSkillName1,records/skillsearth/fireenchantment_brimstone.dbr,,</v>
      </c>
      <c r="G19" s="7">
        <f t="shared" si="10"/>
        <v>17</v>
      </c>
      <c r="H19" s="8" t="str">
        <f t="shared" si="11"/>
        <v>Earth</v>
      </c>
      <c r="I19" s="3" t="s">
        <v>718</v>
      </c>
      <c r="J19" s="8" t="str">
        <f t="shared" si="12"/>
        <v>class0022</v>
      </c>
      <c r="K19" s="8" t="str">
        <f t="shared" si="12"/>
        <v>dailoneskill0022</v>
      </c>
      <c r="L19" s="5" t="str">
        <f t="shared" si="4"/>
        <v>lootName17,DAIL/items/materia/class0022/Earth17.dbr,</v>
      </c>
      <c r="M19" s="5" t="str">
        <f t="shared" si="5"/>
        <v>lootWeight17,1,</v>
      </c>
      <c r="N19" t="str">
        <f t="shared" si="6"/>
        <v>1</v>
      </c>
      <c r="O19" t="str">
        <f t="shared" si="16"/>
        <v>copy .\dail_base.dbr .\items\materia\class0022\Earth17.dbr /y</v>
      </c>
      <c r="P19" t="str">
        <f t="shared" si="7"/>
        <v>echo relicBitmap,items/craftingparts/components/component_a52_bristlyfur_b.tex, &gt;&gt; .\items\materia\class0022\Earth17.dbr</v>
      </c>
      <c r="Q19" t="str">
        <f t="shared" si="7"/>
        <v>echo itemCost,300000, &gt;&gt; .\items\materia\class0022\Earth17.dbr</v>
      </c>
      <c r="R19" t="str">
        <f t="shared" si="7"/>
        <v>echo description,dailCompDescEarth17, &gt;&gt; .\items\materia\class0022\Earth17.dbr</v>
      </c>
      <c r="S19" t="str">
        <f t="shared" si="7"/>
        <v>echo itemText,dailCompTextEarth17, &gt;&gt; .\items\materia\class0022\Earth17.dbr</v>
      </c>
      <c r="T19" t="str">
        <f t="shared" si="7"/>
        <v>echo augmentSkillLevel1,1, &gt;&gt; .\items\materia\class0022\Earth17.dbr</v>
      </c>
      <c r="U19" t="str">
        <f t="shared" si="7"/>
        <v>echo augmentSkillName1,records/skillsearth/fireenchantment_brimstone.dbr,, &gt;&gt; .\items\materia\class0022\Earth17.dbr</v>
      </c>
      <c r="V19" s="5" t="s">
        <v>36</v>
      </c>
      <c r="W19" t="str">
        <f t="shared" si="8"/>
        <v>echo lootName17,DAIL/items/materia/class0022/Earth17.dbr, &gt;&gt; .\items\loottables\dailoneskill0022.dbr</v>
      </c>
      <c r="X19" t="str">
        <f t="shared" si="8"/>
        <v>echo lootWeight17,1, &gt;&gt; .\items\loottables\dailoneskill0022.dbr</v>
      </c>
      <c r="Y19" s="5" t="s">
        <v>36</v>
      </c>
      <c r="Z19" t="str">
        <f t="shared" si="9"/>
        <v xml:space="preserve"> dailCompDescEarth17=^pEarth's Gift of DAIL</v>
      </c>
      <c r="AA19" t="str">
        <f t="shared" si="17"/>
        <v>dailCompTextEarth17=^oThis feels warm to the touch, almost familiar ^w(This component fits into all Jewellery slots including the Belt And Shoulder)</v>
      </c>
      <c r="AB19" s="5" t="s">
        <v>36</v>
      </c>
      <c r="AH19">
        <f t="shared" si="19"/>
        <v>14</v>
      </c>
      <c r="AI19">
        <f t="shared" si="13"/>
        <v>36</v>
      </c>
      <c r="AJ19">
        <f t="shared" si="18"/>
        <v>1</v>
      </c>
    </row>
    <row r="20" spans="1:36" x14ac:dyDescent="0.25">
      <c r="A20" s="5" t="s">
        <v>39</v>
      </c>
      <c r="B20" s="5" t="s">
        <v>28</v>
      </c>
      <c r="C20" s="5" t="str">
        <f t="shared" si="0"/>
        <v>description,dailCompDescEarth18,</v>
      </c>
      <c r="D20" s="5" t="str">
        <f t="shared" si="2"/>
        <v>itemText,dailCompTextEarth18,</v>
      </c>
      <c r="E20" s="5" t="str">
        <f t="shared" si="14"/>
        <v>augmentSkillLevel1,1,</v>
      </c>
      <c r="F20" s="5" t="str">
        <f t="shared" si="15"/>
        <v>augmentSkillName1,records/skillsearth/fireenchantment_stoneskin.dbr,,</v>
      </c>
      <c r="G20" s="7">
        <f t="shared" si="10"/>
        <v>18</v>
      </c>
      <c r="H20" s="8" t="str">
        <f t="shared" si="11"/>
        <v>Earth</v>
      </c>
      <c r="I20" s="3" t="s">
        <v>719</v>
      </c>
      <c r="J20" s="8" t="str">
        <f t="shared" si="12"/>
        <v>class0022</v>
      </c>
      <c r="K20" s="8" t="str">
        <f t="shared" si="12"/>
        <v>dailoneskill0022</v>
      </c>
      <c r="L20" s="5" t="str">
        <f t="shared" si="4"/>
        <v>lootName18,DAIL/items/materia/class0022/Earth18.dbr,</v>
      </c>
      <c r="M20" s="5" t="str">
        <f t="shared" si="5"/>
        <v>lootWeight18,1,</v>
      </c>
      <c r="N20" t="str">
        <f t="shared" si="6"/>
        <v>1</v>
      </c>
      <c r="O20" t="str">
        <f t="shared" si="16"/>
        <v>copy .\dail_base.dbr .\items\materia\class0022\Earth18.dbr /y</v>
      </c>
      <c r="P20" t="str">
        <f t="shared" si="7"/>
        <v>echo relicBitmap,items/craftingparts/components/component_a52_bristlyfur_b.tex, &gt;&gt; .\items\materia\class0022\Earth18.dbr</v>
      </c>
      <c r="Q20" t="str">
        <f t="shared" si="7"/>
        <v>echo itemCost,300000, &gt;&gt; .\items\materia\class0022\Earth18.dbr</v>
      </c>
      <c r="R20" t="str">
        <f t="shared" si="7"/>
        <v>echo description,dailCompDescEarth18, &gt;&gt; .\items\materia\class0022\Earth18.dbr</v>
      </c>
      <c r="S20" t="str">
        <f t="shared" si="7"/>
        <v>echo itemText,dailCompTextEarth18, &gt;&gt; .\items\materia\class0022\Earth18.dbr</v>
      </c>
      <c r="T20" t="str">
        <f t="shared" si="7"/>
        <v>echo augmentSkillLevel1,1, &gt;&gt; .\items\materia\class0022\Earth18.dbr</v>
      </c>
      <c r="U20" t="str">
        <f t="shared" si="7"/>
        <v>echo augmentSkillName1,records/skillsearth/fireenchantment_stoneskin.dbr,, &gt;&gt; .\items\materia\class0022\Earth18.dbr</v>
      </c>
      <c r="V20" s="5" t="s">
        <v>36</v>
      </c>
      <c r="W20" t="str">
        <f t="shared" si="8"/>
        <v>echo lootName18,DAIL/items/materia/class0022/Earth18.dbr, &gt;&gt; .\items\loottables\dailoneskill0022.dbr</v>
      </c>
      <c r="X20" t="str">
        <f t="shared" si="8"/>
        <v>echo lootWeight18,1, &gt;&gt; .\items\loottables\dailoneskill0022.dbr</v>
      </c>
      <c r="Y20" s="5" t="s">
        <v>36</v>
      </c>
      <c r="Z20" t="str">
        <f t="shared" si="9"/>
        <v xml:space="preserve"> dailCompDescEarth18=^pEarth's Gift of DAIL</v>
      </c>
      <c r="AA20" t="str">
        <f t="shared" si="17"/>
        <v>dailCompTextEarth18=^oThis feels warm to the touch, almost familiar ^w(This component fits into all Jewellery slots including the Belt And Shoulder)</v>
      </c>
      <c r="AB20" s="5" t="s">
        <v>36</v>
      </c>
      <c r="AH20">
        <f t="shared" si="19"/>
        <v>15</v>
      </c>
      <c r="AI20">
        <f t="shared" si="13"/>
        <v>36</v>
      </c>
      <c r="AJ20">
        <f t="shared" si="18"/>
        <v>1</v>
      </c>
    </row>
    <row r="21" spans="1:36" x14ac:dyDescent="0.25">
      <c r="A21" s="5" t="s">
        <v>39</v>
      </c>
      <c r="B21" s="5" t="s">
        <v>28</v>
      </c>
      <c r="C21" s="5" t="str">
        <f t="shared" si="0"/>
        <v>description,dailCompDescEarth19,</v>
      </c>
      <c r="D21" s="5" t="str">
        <f t="shared" si="2"/>
        <v>itemText,dailCompTextEarth19,</v>
      </c>
      <c r="E21" s="5" t="str">
        <f t="shared" si="14"/>
        <v>augmentSkillLevel1,1,</v>
      </c>
      <c r="F21" s="5" t="str">
        <f t="shared" si="15"/>
        <v>augmentSkillName1,records/skillsearth/stoneformbuffself.dbr,,</v>
      </c>
      <c r="G21" s="7">
        <f t="shared" si="10"/>
        <v>19</v>
      </c>
      <c r="H21" s="8" t="str">
        <f t="shared" si="11"/>
        <v>Earth</v>
      </c>
      <c r="I21" s="3" t="s">
        <v>720</v>
      </c>
      <c r="J21" s="8" t="str">
        <f t="shared" ref="J21:K36" si="20">J20</f>
        <v>class0022</v>
      </c>
      <c r="K21" s="8" t="str">
        <f t="shared" si="20"/>
        <v>dailoneskill0022</v>
      </c>
      <c r="L21" s="5" t="str">
        <f t="shared" si="4"/>
        <v>lootName19,DAIL/items/materia/class0022/Earth19.dbr,</v>
      </c>
      <c r="M21" s="5" t="str">
        <f t="shared" si="5"/>
        <v>lootWeight19,1,</v>
      </c>
      <c r="N21" t="str">
        <f t="shared" si="6"/>
        <v>1</v>
      </c>
      <c r="O21" t="str">
        <f t="shared" si="16"/>
        <v>copy .\dail_base.dbr .\items\materia\class0022\Earth19.dbr /y</v>
      </c>
      <c r="P21" t="str">
        <f t="shared" si="7"/>
        <v>echo relicBitmap,items/craftingparts/components/component_a52_bristlyfur_b.tex, &gt;&gt; .\items\materia\class0022\Earth19.dbr</v>
      </c>
      <c r="Q21" t="str">
        <f t="shared" si="7"/>
        <v>echo itemCost,300000, &gt;&gt; .\items\materia\class0022\Earth19.dbr</v>
      </c>
      <c r="R21" t="str">
        <f t="shared" si="7"/>
        <v>echo description,dailCompDescEarth19, &gt;&gt; .\items\materia\class0022\Earth19.dbr</v>
      </c>
      <c r="S21" t="str">
        <f t="shared" si="7"/>
        <v>echo itemText,dailCompTextEarth19, &gt;&gt; .\items\materia\class0022\Earth19.dbr</v>
      </c>
      <c r="T21" t="str">
        <f t="shared" si="7"/>
        <v>echo augmentSkillLevel1,1, &gt;&gt; .\items\materia\class0022\Earth19.dbr</v>
      </c>
      <c r="U21" t="str">
        <f t="shared" si="7"/>
        <v>echo augmentSkillName1,records/skillsearth/stoneformbuffself.dbr,, &gt;&gt; .\items\materia\class0022\Earth19.dbr</v>
      </c>
      <c r="V21" s="5" t="s">
        <v>36</v>
      </c>
      <c r="W21" t="str">
        <f t="shared" si="8"/>
        <v>echo lootName19,DAIL/items/materia/class0022/Earth19.dbr, &gt;&gt; .\items\loottables\dailoneskill0022.dbr</v>
      </c>
      <c r="X21" t="str">
        <f t="shared" si="8"/>
        <v>echo lootWeight19,1, &gt;&gt; .\items\loottables\dailoneskill0022.dbr</v>
      </c>
      <c r="Y21" s="5" t="s">
        <v>36</v>
      </c>
      <c r="Z21" t="str">
        <f t="shared" si="9"/>
        <v xml:space="preserve"> dailCompDescEarth19=^pEarth's Gift of DAIL</v>
      </c>
      <c r="AA21" t="str">
        <f t="shared" si="17"/>
        <v>dailCompTextEarth19=^oThis feels warm to the touch, almost familiar ^w(This component fits into all Jewellery slots including the Belt And Shoulder)</v>
      </c>
      <c r="AB21" s="5" t="s">
        <v>36</v>
      </c>
      <c r="AH21">
        <f t="shared" si="19"/>
        <v>16</v>
      </c>
      <c r="AI21">
        <f t="shared" si="13"/>
        <v>28</v>
      </c>
      <c r="AJ21">
        <f t="shared" si="18"/>
        <v>1</v>
      </c>
    </row>
    <row r="22" spans="1:36" x14ac:dyDescent="0.25">
      <c r="A22" s="5" t="s">
        <v>39</v>
      </c>
      <c r="B22" s="5" t="s">
        <v>28</v>
      </c>
      <c r="C22" s="5" t="str">
        <f t="shared" si="0"/>
        <v>description,dailCompDescEarth20,</v>
      </c>
      <c r="D22" s="5" t="str">
        <f t="shared" si="2"/>
        <v>itemText,dailCompTextEarth20,</v>
      </c>
      <c r="E22" s="5" t="str">
        <f t="shared" si="14"/>
        <v>augmentSkillLevel1,1,</v>
      </c>
      <c r="F22" s="5" t="str">
        <f t="shared" si="15"/>
        <v>augmentSkillName1,records/skillsearth/stoneform_moltenrock.dbr,,</v>
      </c>
      <c r="G22" s="7">
        <f t="shared" si="10"/>
        <v>20</v>
      </c>
      <c r="H22" s="8" t="str">
        <f t="shared" si="11"/>
        <v>Earth</v>
      </c>
      <c r="I22" s="3" t="s">
        <v>721</v>
      </c>
      <c r="J22" s="8" t="str">
        <f t="shared" si="20"/>
        <v>class0022</v>
      </c>
      <c r="K22" s="8" t="str">
        <f t="shared" si="20"/>
        <v>dailoneskill0022</v>
      </c>
      <c r="L22" s="5" t="str">
        <f t="shared" si="4"/>
        <v>lootName20,DAIL/items/materia/class0022/Earth20.dbr,</v>
      </c>
      <c r="M22" s="5" t="str">
        <f t="shared" si="5"/>
        <v>lootWeight20,1,</v>
      </c>
      <c r="N22" t="str">
        <f t="shared" si="6"/>
        <v>1</v>
      </c>
      <c r="O22" t="str">
        <f t="shared" si="16"/>
        <v>copy .\dail_base.dbr .\items\materia\class0022\Earth20.dbr /y</v>
      </c>
      <c r="P22" t="str">
        <f t="shared" si="7"/>
        <v>echo relicBitmap,items/craftingparts/components/component_a52_bristlyfur_b.tex, &gt;&gt; .\items\materia\class0022\Earth20.dbr</v>
      </c>
      <c r="Q22" t="str">
        <f t="shared" si="7"/>
        <v>echo itemCost,300000, &gt;&gt; .\items\materia\class0022\Earth20.dbr</v>
      </c>
      <c r="R22" t="str">
        <f t="shared" si="7"/>
        <v>echo description,dailCompDescEarth20, &gt;&gt; .\items\materia\class0022\Earth20.dbr</v>
      </c>
      <c r="S22" t="str">
        <f t="shared" si="7"/>
        <v>echo itemText,dailCompTextEarth20, &gt;&gt; .\items\materia\class0022\Earth20.dbr</v>
      </c>
      <c r="T22" t="str">
        <f t="shared" si="7"/>
        <v>echo augmentSkillLevel1,1, &gt;&gt; .\items\materia\class0022\Earth20.dbr</v>
      </c>
      <c r="U22" t="str">
        <f t="shared" si="7"/>
        <v>echo augmentSkillName1,records/skillsearth/stoneform_moltenrock.dbr,, &gt;&gt; .\items\materia\class0022\Earth20.dbr</v>
      </c>
      <c r="V22" s="5" t="s">
        <v>36</v>
      </c>
      <c r="W22" t="str">
        <f t="shared" si="8"/>
        <v>echo lootName20,DAIL/items/materia/class0022/Earth20.dbr, &gt;&gt; .\items\loottables\dailoneskill0022.dbr</v>
      </c>
      <c r="X22" t="str">
        <f t="shared" si="8"/>
        <v>echo lootWeight20,1, &gt;&gt; .\items\loottables\dailoneskill0022.dbr</v>
      </c>
      <c r="Y22" s="5" t="s">
        <v>36</v>
      </c>
      <c r="Z22" t="str">
        <f t="shared" si="9"/>
        <v xml:space="preserve"> dailCompDescEarth20=^pEarth's Gift of DAIL</v>
      </c>
      <c r="AA22" t="str">
        <f t="shared" si="17"/>
        <v>dailCompTextEarth20=^oThis feels warm to the touch, almost familiar ^w(This component fits into all Jewellery slots including the Belt And Shoulder)</v>
      </c>
      <c r="AB22" s="5" t="s">
        <v>36</v>
      </c>
      <c r="AH22">
        <f t="shared" si="19"/>
        <v>17</v>
      </c>
      <c r="AI22">
        <f t="shared" si="13"/>
        <v>31</v>
      </c>
      <c r="AJ22">
        <f t="shared" si="18"/>
        <v>1</v>
      </c>
    </row>
    <row r="23" spans="1:36" x14ac:dyDescent="0.25">
      <c r="A23" s="5" t="s">
        <v>39</v>
      </c>
      <c r="B23" s="5" t="s">
        <v>28</v>
      </c>
      <c r="C23" s="5" t="str">
        <f t="shared" si="0"/>
        <v>description,dailCompDescEarth21,</v>
      </c>
      <c r="D23" s="5" t="str">
        <f t="shared" si="2"/>
        <v>itemText,dailCompTextEarth21,</v>
      </c>
      <c r="E23" s="5" t="str">
        <f t="shared" si="14"/>
        <v>augmentSkillLevel1,1,</v>
      </c>
      <c r="F23" s="5" t="str">
        <f t="shared" si="15"/>
        <v>augmentSkillName1,records/skillsearth/eruption.dbr,,</v>
      </c>
      <c r="G23" s="7">
        <f t="shared" si="10"/>
        <v>21</v>
      </c>
      <c r="H23" s="8" t="str">
        <f t="shared" si="11"/>
        <v>Earth</v>
      </c>
      <c r="I23" s="3" t="s">
        <v>722</v>
      </c>
      <c r="J23" s="8" t="str">
        <f t="shared" si="20"/>
        <v>class0022</v>
      </c>
      <c r="K23" s="8" t="str">
        <f t="shared" si="20"/>
        <v>dailoneskill0022</v>
      </c>
      <c r="L23" s="5" t="str">
        <f t="shared" si="4"/>
        <v>lootName21,DAIL/items/materia/class0022/Earth21.dbr,</v>
      </c>
      <c r="M23" s="5" t="str">
        <f t="shared" si="5"/>
        <v>lootWeight21,1,</v>
      </c>
      <c r="N23" t="str">
        <f t="shared" si="6"/>
        <v>1</v>
      </c>
      <c r="O23" t="str">
        <f t="shared" si="16"/>
        <v>copy .\dail_base.dbr .\items\materia\class0022\Earth21.dbr /y</v>
      </c>
      <c r="P23" t="str">
        <f t="shared" si="7"/>
        <v>echo relicBitmap,items/craftingparts/components/component_a52_bristlyfur_b.tex, &gt;&gt; .\items\materia\class0022\Earth21.dbr</v>
      </c>
      <c r="Q23" t="str">
        <f t="shared" si="7"/>
        <v>echo itemCost,300000, &gt;&gt; .\items\materia\class0022\Earth21.dbr</v>
      </c>
      <c r="R23" t="str">
        <f t="shared" si="7"/>
        <v>echo description,dailCompDescEarth21, &gt;&gt; .\items\materia\class0022\Earth21.dbr</v>
      </c>
      <c r="S23" t="str">
        <f t="shared" si="7"/>
        <v>echo itemText,dailCompTextEarth21, &gt;&gt; .\items\materia\class0022\Earth21.dbr</v>
      </c>
      <c r="T23" t="str">
        <f t="shared" si="7"/>
        <v>echo augmentSkillLevel1,1, &gt;&gt; .\items\materia\class0022\Earth21.dbr</v>
      </c>
      <c r="U23" t="str">
        <f t="shared" si="7"/>
        <v>echo augmentSkillName1,records/skillsearth/eruption.dbr,, &gt;&gt; .\items\materia\class0022\Earth21.dbr</v>
      </c>
      <c r="V23" s="5" t="s">
        <v>36</v>
      </c>
      <c r="W23" t="str">
        <f t="shared" si="8"/>
        <v>echo lootName21,DAIL/items/materia/class0022/Earth21.dbr, &gt;&gt; .\items\loottables\dailoneskill0022.dbr</v>
      </c>
      <c r="X23" t="str">
        <f t="shared" si="8"/>
        <v>echo lootWeight21,1, &gt;&gt; .\items\loottables\dailoneskill0022.dbr</v>
      </c>
      <c r="Y23" s="5" t="s">
        <v>36</v>
      </c>
      <c r="Z23" t="str">
        <f t="shared" si="9"/>
        <v xml:space="preserve"> dailCompDescEarth21=^pEarth's Gift of DAIL</v>
      </c>
      <c r="AA23" t="str">
        <f t="shared" si="17"/>
        <v>dailCompTextEarth21=^oThis feels warm to the touch, almost familiar ^w(This component fits into all Jewellery slots including the Belt And Shoulder)</v>
      </c>
      <c r="AB23" s="5" t="s">
        <v>36</v>
      </c>
      <c r="AH23">
        <f t="shared" si="19"/>
        <v>18</v>
      </c>
      <c r="AI23">
        <f t="shared" si="13"/>
        <v>19</v>
      </c>
      <c r="AJ23">
        <f t="shared" si="18"/>
        <v>1</v>
      </c>
    </row>
    <row r="24" spans="1:36" x14ac:dyDescent="0.25">
      <c r="A24" s="5" t="s">
        <v>39</v>
      </c>
      <c r="B24" s="5" t="s">
        <v>28</v>
      </c>
      <c r="C24" s="5" t="str">
        <f t="shared" si="0"/>
        <v>description,dailCompDescEarth22,</v>
      </c>
      <c r="D24" s="5" t="str">
        <f t="shared" si="2"/>
        <v>itemText,dailCompTextEarth22,</v>
      </c>
      <c r="E24" s="5" t="str">
        <f t="shared" si="14"/>
        <v>augmentSkillLevel1,1,</v>
      </c>
      <c r="F24" s="5" t="str">
        <f t="shared" si="15"/>
        <v>augmentSkillName1,records/skillsearth/ringofflame.dbr,,</v>
      </c>
      <c r="G24" s="7">
        <f t="shared" si="10"/>
        <v>22</v>
      </c>
      <c r="H24" s="8" t="str">
        <f t="shared" si="11"/>
        <v>Earth</v>
      </c>
      <c r="I24" s="3" t="s">
        <v>723</v>
      </c>
      <c r="J24" s="8" t="str">
        <f t="shared" si="20"/>
        <v>class0022</v>
      </c>
      <c r="K24" s="8" t="str">
        <f t="shared" si="20"/>
        <v>dailoneskill0022</v>
      </c>
      <c r="L24" s="5" t="str">
        <f t="shared" si="4"/>
        <v>lootName22,DAIL/items/materia/class0022/Earth22.dbr,</v>
      </c>
      <c r="M24" s="5" t="str">
        <f t="shared" si="5"/>
        <v>lootWeight22,1,</v>
      </c>
      <c r="N24" t="str">
        <f t="shared" si="6"/>
        <v>1</v>
      </c>
      <c r="O24" t="str">
        <f t="shared" si="16"/>
        <v>copy .\dail_base.dbr .\items\materia\class0022\Earth22.dbr /y</v>
      </c>
      <c r="P24" t="str">
        <f t="shared" si="7"/>
        <v>echo relicBitmap,items/craftingparts/components/component_a52_bristlyfur_b.tex, &gt;&gt; .\items\materia\class0022\Earth22.dbr</v>
      </c>
      <c r="Q24" t="str">
        <f t="shared" si="7"/>
        <v>echo itemCost,300000, &gt;&gt; .\items\materia\class0022\Earth22.dbr</v>
      </c>
      <c r="R24" t="str">
        <f t="shared" si="7"/>
        <v>echo description,dailCompDescEarth22, &gt;&gt; .\items\materia\class0022\Earth22.dbr</v>
      </c>
      <c r="S24" t="str">
        <f t="shared" si="7"/>
        <v>echo itemText,dailCompTextEarth22, &gt;&gt; .\items\materia\class0022\Earth22.dbr</v>
      </c>
      <c r="T24" t="str">
        <f t="shared" si="7"/>
        <v>echo augmentSkillLevel1,1, &gt;&gt; .\items\materia\class0022\Earth22.dbr</v>
      </c>
      <c r="U24" t="str">
        <f t="shared" si="7"/>
        <v>echo augmentSkillName1,records/skillsearth/ringofflame.dbr,, &gt;&gt; .\items\materia\class0022\Earth22.dbr</v>
      </c>
      <c r="V24" s="5" t="s">
        <v>36</v>
      </c>
      <c r="W24" t="str">
        <f t="shared" si="8"/>
        <v>echo lootName22,DAIL/items/materia/class0022/Earth22.dbr, &gt;&gt; .\items\loottables\dailoneskill0022.dbr</v>
      </c>
      <c r="X24" t="str">
        <f t="shared" si="8"/>
        <v>echo lootWeight22,1, &gt;&gt; .\items\loottables\dailoneskill0022.dbr</v>
      </c>
      <c r="Y24" s="5" t="s">
        <v>36</v>
      </c>
      <c r="Z24" t="str">
        <f t="shared" si="9"/>
        <v xml:space="preserve"> dailCompDescEarth22=^pEarth's Gift of DAIL</v>
      </c>
      <c r="AA24" t="str">
        <f t="shared" si="17"/>
        <v>dailCompTextEarth22=^oThis feels warm to the touch, almost familiar ^w(This component fits into all Jewellery slots including the Belt And Shoulder)</v>
      </c>
      <c r="AB24" s="5" t="s">
        <v>36</v>
      </c>
      <c r="AH24">
        <f t="shared" si="19"/>
        <v>19</v>
      </c>
      <c r="AI24">
        <f t="shared" si="13"/>
        <v>22</v>
      </c>
      <c r="AJ24">
        <f t="shared" si="18"/>
        <v>1</v>
      </c>
    </row>
    <row r="25" spans="1:36" x14ac:dyDescent="0.25">
      <c r="A25" s="5" t="s">
        <v>39</v>
      </c>
      <c r="B25" s="5" t="s">
        <v>28</v>
      </c>
      <c r="C25" s="5" t="str">
        <f t="shared" si="0"/>
        <v>description,dailCompDescEarth23,</v>
      </c>
      <c r="D25" s="5" t="str">
        <f t="shared" si="2"/>
        <v>itemText,dailCompTextEarth23,</v>
      </c>
      <c r="E25" s="5" t="str">
        <f t="shared" si="14"/>
        <v>augmentSkillLevel1,3,</v>
      </c>
      <c r="F25" s="5" t="str">
        <f t="shared" si="15"/>
        <v>augmentSkillName1,records/skillsearth/ringofflame_softenmetal.dbr,,</v>
      </c>
      <c r="G25" s="7">
        <f t="shared" si="10"/>
        <v>23</v>
      </c>
      <c r="H25" s="8" t="str">
        <f t="shared" si="11"/>
        <v>Earth</v>
      </c>
      <c r="I25" s="3" t="s">
        <v>724</v>
      </c>
      <c r="J25" s="8" t="str">
        <f t="shared" si="20"/>
        <v>class0022</v>
      </c>
      <c r="K25" s="8" t="str">
        <f t="shared" si="20"/>
        <v>dailoneskill0022</v>
      </c>
      <c r="L25" s="5" t="str">
        <f t="shared" si="4"/>
        <v>lootName23,DAIL/items/materia/class0022/Earth23.dbr,</v>
      </c>
      <c r="M25" s="5" t="str">
        <f t="shared" si="5"/>
        <v>lootWeight23,1,</v>
      </c>
      <c r="N25" t="str">
        <f t="shared" si="6"/>
        <v>3</v>
      </c>
      <c r="O25" t="str">
        <f t="shared" si="16"/>
        <v>copy .\dail_base3.dbr .\items\materia\class0022\Earth23.dbr /y</v>
      </c>
      <c r="P25" t="str">
        <f t="shared" si="7"/>
        <v>echo relicBitmap,items/craftingparts/components/component_a52_bristlyfur_b.tex, &gt;&gt; .\items\materia\class0022\Earth23.dbr</v>
      </c>
      <c r="Q25" t="str">
        <f t="shared" si="7"/>
        <v>echo itemCost,300000, &gt;&gt; .\items\materia\class0022\Earth23.dbr</v>
      </c>
      <c r="R25" t="str">
        <f t="shared" si="7"/>
        <v>echo description,dailCompDescEarth23, &gt;&gt; .\items\materia\class0022\Earth23.dbr</v>
      </c>
      <c r="S25" t="str">
        <f t="shared" si="7"/>
        <v>echo itemText,dailCompTextEarth23, &gt;&gt; .\items\materia\class0022\Earth23.dbr</v>
      </c>
      <c r="T25" t="str">
        <f t="shared" si="7"/>
        <v>echo augmentSkillLevel1,3, &gt;&gt; .\items\materia\class0022\Earth23.dbr</v>
      </c>
      <c r="U25" t="str">
        <f t="shared" si="7"/>
        <v>echo augmentSkillName1,records/skillsearth/ringofflame_softenmetal.dbr,, &gt;&gt; .\items\materia\class0022\Earth23.dbr</v>
      </c>
      <c r="V25" s="5" t="s">
        <v>36</v>
      </c>
      <c r="W25" t="str">
        <f t="shared" si="8"/>
        <v>echo lootName23,DAIL/items/materia/class0022/Earth23.dbr, &gt;&gt; .\items\loottables\dailoneskill0022.dbr</v>
      </c>
      <c r="X25" t="str">
        <f t="shared" si="8"/>
        <v>echo lootWeight23,1, &gt;&gt; .\items\loottables\dailoneskill0022.dbr</v>
      </c>
      <c r="Y25" s="5" t="s">
        <v>36</v>
      </c>
      <c r="Z25" t="str">
        <f t="shared" si="9"/>
        <v xml:space="preserve"> dailCompDescEarth23=^pEarth's Gift of DAIL</v>
      </c>
      <c r="AA25" t="str">
        <f t="shared" si="17"/>
        <v>dailCompTextEarth23=^oThis feels warm to the touch, almost familiar ^w(This component only fits into the Medal Slot)</v>
      </c>
      <c r="AB25" s="5" t="s">
        <v>36</v>
      </c>
      <c r="AH25">
        <f t="shared" si="19"/>
        <v>20</v>
      </c>
      <c r="AI25">
        <f t="shared" si="13"/>
        <v>34</v>
      </c>
      <c r="AJ25">
        <f t="shared" si="18"/>
        <v>3</v>
      </c>
    </row>
    <row r="26" spans="1:36" x14ac:dyDescent="0.25">
      <c r="A26" s="5" t="s">
        <v>39</v>
      </c>
      <c r="B26" s="5" t="s">
        <v>28</v>
      </c>
      <c r="C26" s="5" t="str">
        <f t="shared" si="0"/>
        <v>description,dailCompDescEarth24,</v>
      </c>
      <c r="D26" s="5" t="str">
        <f t="shared" si="2"/>
        <v>itemText,dailCompTextEarth24,</v>
      </c>
      <c r="E26" s="5" t="str">
        <f t="shared" si="14"/>
        <v>augmentSkillLevel1,3,</v>
      </c>
      <c r="F26" s="5" t="str">
        <f t="shared" si="15"/>
        <v>augmentSkillName1,records/skillsearth/volcanicorb.dbr,,</v>
      </c>
      <c r="G26" s="7">
        <f t="shared" si="10"/>
        <v>24</v>
      </c>
      <c r="H26" s="8" t="str">
        <f t="shared" si="11"/>
        <v>Earth</v>
      </c>
      <c r="I26" s="3" t="s">
        <v>705</v>
      </c>
      <c r="J26" s="8" t="str">
        <f t="shared" si="20"/>
        <v>class0022</v>
      </c>
      <c r="K26" s="8" t="str">
        <f t="shared" si="20"/>
        <v>dailoneskill0022</v>
      </c>
      <c r="L26" s="5" t="str">
        <f t="shared" si="4"/>
        <v>lootName24,DAIL/items/materia/class0022/Earth24.dbr,</v>
      </c>
      <c r="M26" s="5" t="str">
        <f t="shared" si="5"/>
        <v>lootWeight24,1,</v>
      </c>
      <c r="N26" t="str">
        <f t="shared" si="6"/>
        <v>3</v>
      </c>
      <c r="O26" t="str">
        <f t="shared" si="16"/>
        <v>copy .\dail_base3.dbr .\items\materia\class0022\Earth24.dbr /y</v>
      </c>
      <c r="P26" t="str">
        <f t="shared" si="7"/>
        <v>echo relicBitmap,items/craftingparts/components/component_a52_bristlyfur_b.tex, &gt;&gt; .\items\materia\class0022\Earth24.dbr</v>
      </c>
      <c r="Q26" t="str">
        <f t="shared" si="7"/>
        <v>echo itemCost,300000, &gt;&gt; .\items\materia\class0022\Earth24.dbr</v>
      </c>
      <c r="R26" t="str">
        <f t="shared" si="7"/>
        <v>echo description,dailCompDescEarth24, &gt;&gt; .\items\materia\class0022\Earth24.dbr</v>
      </c>
      <c r="S26" t="str">
        <f t="shared" si="7"/>
        <v>echo itemText,dailCompTextEarth24, &gt;&gt; .\items\materia\class0022\Earth24.dbr</v>
      </c>
      <c r="T26" t="str">
        <f t="shared" si="7"/>
        <v>echo augmentSkillLevel1,3, &gt;&gt; .\items\materia\class0022\Earth24.dbr</v>
      </c>
      <c r="U26" t="str">
        <f t="shared" si="7"/>
        <v>echo augmentSkillName1,records/skillsearth/volcanicorb.dbr,, &gt;&gt; .\items\materia\class0022\Earth24.dbr</v>
      </c>
      <c r="V26" s="5" t="s">
        <v>36</v>
      </c>
      <c r="W26" t="str">
        <f t="shared" si="8"/>
        <v>echo lootName24,DAIL/items/materia/class0022/Earth24.dbr, &gt;&gt; .\items\loottables\dailoneskill0022.dbr</v>
      </c>
      <c r="X26" t="str">
        <f t="shared" si="8"/>
        <v>echo lootWeight24,1, &gt;&gt; .\items\loottables\dailoneskill0022.dbr</v>
      </c>
      <c r="Y26" s="5" t="s">
        <v>36</v>
      </c>
      <c r="Z26" t="str">
        <f t="shared" si="9"/>
        <v xml:space="preserve"> dailCompDescEarth24=^pEarth's Gift of DAIL</v>
      </c>
      <c r="AA26" t="str">
        <f t="shared" si="17"/>
        <v>dailCompTextEarth24=^oThis feels warm to the touch, almost familiar ^w(This component only fits into the Medal Slot)</v>
      </c>
      <c r="AB26" s="5" t="s">
        <v>36</v>
      </c>
      <c r="AH26">
        <f t="shared" si="19"/>
        <v>21</v>
      </c>
      <c r="AI26">
        <f t="shared" si="13"/>
        <v>22</v>
      </c>
      <c r="AJ26">
        <f t="shared" si="18"/>
        <v>3</v>
      </c>
    </row>
    <row r="27" spans="1:36" x14ac:dyDescent="0.25">
      <c r="A27" s="5" t="s">
        <v>39</v>
      </c>
      <c r="B27" s="5" t="s">
        <v>28</v>
      </c>
      <c r="C27" s="5" t="str">
        <f t="shared" si="0"/>
        <v>description,dailCompDescEarth25,</v>
      </c>
      <c r="D27" s="5" t="str">
        <f t="shared" si="2"/>
        <v>itemText,dailCompTextEarth25,</v>
      </c>
      <c r="E27" s="5" t="str">
        <f t="shared" si="14"/>
        <v>augmentSkillLevel1,3,</v>
      </c>
      <c r="F27" s="5" t="str">
        <f t="shared" si="15"/>
        <v>augmentSkillName1,records/skillsearth/volcanicorb_immolation.dbr,,</v>
      </c>
      <c r="G27" s="7">
        <f t="shared" si="10"/>
        <v>25</v>
      </c>
      <c r="H27" s="8" t="str">
        <f t="shared" si="11"/>
        <v>Earth</v>
      </c>
      <c r="I27" s="3" t="s">
        <v>706</v>
      </c>
      <c r="J27" s="8" t="str">
        <f t="shared" si="20"/>
        <v>class0022</v>
      </c>
      <c r="K27" s="8" t="str">
        <f t="shared" si="20"/>
        <v>dailoneskill0022</v>
      </c>
      <c r="L27" s="5" t="str">
        <f t="shared" si="4"/>
        <v>lootName25,DAIL/items/materia/class0022/Earth25.dbr,</v>
      </c>
      <c r="M27" s="5" t="str">
        <f t="shared" si="5"/>
        <v>lootWeight25,1,</v>
      </c>
      <c r="N27" t="str">
        <f t="shared" si="6"/>
        <v>3</v>
      </c>
      <c r="O27" t="str">
        <f t="shared" si="16"/>
        <v>copy .\dail_base3.dbr .\items\materia\class0022\Earth25.dbr /y</v>
      </c>
      <c r="P27" t="str">
        <f t="shared" si="7"/>
        <v>echo relicBitmap,items/craftingparts/components/component_a52_bristlyfur_b.tex, &gt;&gt; .\items\materia\class0022\Earth25.dbr</v>
      </c>
      <c r="Q27" t="str">
        <f t="shared" si="7"/>
        <v>echo itemCost,300000, &gt;&gt; .\items\materia\class0022\Earth25.dbr</v>
      </c>
      <c r="R27" t="str">
        <f t="shared" si="7"/>
        <v>echo description,dailCompDescEarth25, &gt;&gt; .\items\materia\class0022\Earth25.dbr</v>
      </c>
      <c r="S27" t="str">
        <f t="shared" si="7"/>
        <v>echo itemText,dailCompTextEarth25, &gt;&gt; .\items\materia\class0022\Earth25.dbr</v>
      </c>
      <c r="T27" t="str">
        <f t="shared" si="7"/>
        <v>echo augmentSkillLevel1,3, &gt;&gt; .\items\materia\class0022\Earth25.dbr</v>
      </c>
      <c r="U27" t="str">
        <f t="shared" si="7"/>
        <v>echo augmentSkillName1,records/skillsearth/volcanicorb_immolation.dbr,, &gt;&gt; .\items\materia\class0022\Earth25.dbr</v>
      </c>
      <c r="V27" s="5" t="s">
        <v>36</v>
      </c>
      <c r="W27" t="str">
        <f t="shared" si="8"/>
        <v>echo lootName25,DAIL/items/materia/class0022/Earth25.dbr, &gt;&gt; .\items\loottables\dailoneskill0022.dbr</v>
      </c>
      <c r="X27" t="str">
        <f t="shared" si="8"/>
        <v>echo lootWeight25,1, &gt;&gt; .\items\loottables\dailoneskill0022.dbr</v>
      </c>
      <c r="Y27" s="5" t="s">
        <v>36</v>
      </c>
      <c r="Z27" t="str">
        <f t="shared" si="9"/>
        <v xml:space="preserve"> dailCompDescEarth25=^pEarth's Gift of DAIL</v>
      </c>
      <c r="AA27" t="str">
        <f t="shared" si="17"/>
        <v>dailCompTextEarth25=^oThis feels warm to the touch, almost familiar ^w(This component only fits into the Medal Slot)</v>
      </c>
      <c r="AB27" s="5" t="s">
        <v>36</v>
      </c>
      <c r="AH27">
        <f t="shared" si="19"/>
        <v>22</v>
      </c>
      <c r="AI27">
        <f t="shared" si="13"/>
        <v>33</v>
      </c>
      <c r="AJ27">
        <f t="shared" si="18"/>
        <v>3</v>
      </c>
    </row>
    <row r="28" spans="1:36" x14ac:dyDescent="0.25">
      <c r="A28" s="5" t="s">
        <v>39</v>
      </c>
      <c r="B28" s="5" t="s">
        <v>28</v>
      </c>
      <c r="C28" s="5" t="str">
        <f t="shared" si="0"/>
        <v>description,dailCompDescEarth26,</v>
      </c>
      <c r="D28" s="5" t="str">
        <f t="shared" si="2"/>
        <v>itemText,dailCompTextEarth26,</v>
      </c>
      <c r="E28" s="5" t="str">
        <f t="shared" si="14"/>
        <v>augmentSkillLevel1,3,</v>
      </c>
      <c r="F28" s="5" t="str">
        <f t="shared" si="15"/>
        <v>augmentSkillName1,records/skillsearth/volcanicorb_fragmentation.dbr,,</v>
      </c>
      <c r="G28" s="7">
        <f t="shared" si="10"/>
        <v>26</v>
      </c>
      <c r="H28" s="8" t="str">
        <f t="shared" si="11"/>
        <v>Earth</v>
      </c>
      <c r="I28" s="3" t="s">
        <v>707</v>
      </c>
      <c r="J28" s="8" t="str">
        <f t="shared" si="20"/>
        <v>class0022</v>
      </c>
      <c r="K28" s="8" t="str">
        <f t="shared" si="20"/>
        <v>dailoneskill0022</v>
      </c>
      <c r="L28" s="5" t="str">
        <f t="shared" si="4"/>
        <v>lootName26,DAIL/items/materia/class0022/Earth26.dbr,</v>
      </c>
      <c r="M28" s="5" t="str">
        <f t="shared" si="5"/>
        <v>lootWeight26,1,</v>
      </c>
      <c r="N28" t="str">
        <f t="shared" si="6"/>
        <v>3</v>
      </c>
      <c r="O28" t="str">
        <f t="shared" si="16"/>
        <v>copy .\dail_base3.dbr .\items\materia\class0022\Earth26.dbr /y</v>
      </c>
      <c r="P28" t="str">
        <f t="shared" si="7"/>
        <v>echo relicBitmap,items/craftingparts/components/component_a52_bristlyfur_b.tex, &gt;&gt; .\items\materia\class0022\Earth26.dbr</v>
      </c>
      <c r="Q28" t="str">
        <f t="shared" si="7"/>
        <v>echo itemCost,300000, &gt;&gt; .\items\materia\class0022\Earth26.dbr</v>
      </c>
      <c r="R28" t="str">
        <f t="shared" si="7"/>
        <v>echo description,dailCompDescEarth26, &gt;&gt; .\items\materia\class0022\Earth26.dbr</v>
      </c>
      <c r="S28" t="str">
        <f t="shared" si="7"/>
        <v>echo itemText,dailCompTextEarth26, &gt;&gt; .\items\materia\class0022\Earth26.dbr</v>
      </c>
      <c r="T28" t="str">
        <f t="shared" si="7"/>
        <v>echo augmentSkillLevel1,3, &gt;&gt; .\items\materia\class0022\Earth26.dbr</v>
      </c>
      <c r="U28" t="str">
        <f t="shared" si="7"/>
        <v>echo augmentSkillName1,records/skillsearth/volcanicorb_fragmentation.dbr,, &gt;&gt; .\items\materia\class0022\Earth26.dbr</v>
      </c>
      <c r="V28" s="5" t="s">
        <v>36</v>
      </c>
      <c r="W28" t="str">
        <f t="shared" si="8"/>
        <v>echo lootName26,DAIL/items/materia/class0022/Earth26.dbr, &gt;&gt; .\items\loottables\dailoneskill0022.dbr</v>
      </c>
      <c r="X28" t="str">
        <f t="shared" si="8"/>
        <v>echo lootWeight26,1, &gt;&gt; .\items\loottables\dailoneskill0022.dbr</v>
      </c>
      <c r="Y28" s="5" t="s">
        <v>36</v>
      </c>
      <c r="Z28" t="str">
        <f t="shared" si="9"/>
        <v xml:space="preserve"> dailCompDescEarth26=^pEarth's Gift of DAIL</v>
      </c>
      <c r="AA28" t="str">
        <f t="shared" si="17"/>
        <v>dailCompTextEarth26=^oThis feels warm to the touch, almost familiar ^w(This component only fits into the Medal Slot)</v>
      </c>
      <c r="AB28" s="5" t="s">
        <v>36</v>
      </c>
      <c r="AH28">
        <f t="shared" si="19"/>
        <v>23</v>
      </c>
      <c r="AI28">
        <f t="shared" si="13"/>
        <v>36</v>
      </c>
      <c r="AJ28">
        <f t="shared" si="18"/>
        <v>3</v>
      </c>
    </row>
    <row r="29" spans="1:36" x14ac:dyDescent="0.25">
      <c r="A29" s="5" t="s">
        <v>39</v>
      </c>
      <c r="B29" s="5" t="s">
        <v>28</v>
      </c>
      <c r="C29" s="5" t="str">
        <f t="shared" si="0"/>
        <v>description,dailCompDescEarth27,</v>
      </c>
      <c r="D29" s="5" t="str">
        <f t="shared" si="2"/>
        <v>itemText,dailCompTextEarth27,</v>
      </c>
      <c r="E29" s="5" t="str">
        <f t="shared" si="14"/>
        <v>augmentSkillLevel1,3,</v>
      </c>
      <c r="F29" s="5" t="str">
        <f t="shared" si="15"/>
        <v>augmentSkillName1,records/skillsearth/volatility.dbr,,</v>
      </c>
      <c r="G29" s="7">
        <f t="shared" si="10"/>
        <v>27</v>
      </c>
      <c r="H29" s="8" t="str">
        <f t="shared" si="11"/>
        <v>Earth</v>
      </c>
      <c r="I29" s="3" t="s">
        <v>708</v>
      </c>
      <c r="J29" s="8" t="str">
        <f t="shared" si="20"/>
        <v>class0022</v>
      </c>
      <c r="K29" s="8" t="str">
        <f t="shared" si="20"/>
        <v>dailoneskill0022</v>
      </c>
      <c r="L29" s="5" t="str">
        <f t="shared" si="4"/>
        <v>lootName27,DAIL/items/materia/class0022/Earth27.dbr,</v>
      </c>
      <c r="M29" s="5" t="str">
        <f t="shared" si="5"/>
        <v>lootWeight27,1,</v>
      </c>
      <c r="N29" t="str">
        <f t="shared" si="6"/>
        <v>3</v>
      </c>
      <c r="O29" t="str">
        <f t="shared" si="16"/>
        <v>copy .\dail_base3.dbr .\items\materia\class0022\Earth27.dbr /y</v>
      </c>
      <c r="P29" t="str">
        <f t="shared" si="7"/>
        <v>echo relicBitmap,items/craftingparts/components/component_a52_bristlyfur_b.tex, &gt;&gt; .\items\materia\class0022\Earth27.dbr</v>
      </c>
      <c r="Q29" t="str">
        <f t="shared" si="7"/>
        <v>echo itemCost,300000, &gt;&gt; .\items\materia\class0022\Earth27.dbr</v>
      </c>
      <c r="R29" t="str">
        <f t="shared" si="7"/>
        <v>echo description,dailCompDescEarth27, &gt;&gt; .\items\materia\class0022\Earth27.dbr</v>
      </c>
      <c r="S29" t="str">
        <f t="shared" si="7"/>
        <v>echo itemText,dailCompTextEarth27, &gt;&gt; .\items\materia\class0022\Earth27.dbr</v>
      </c>
      <c r="T29" t="str">
        <f t="shared" si="7"/>
        <v>echo augmentSkillLevel1,3, &gt;&gt; .\items\materia\class0022\Earth27.dbr</v>
      </c>
      <c r="U29" t="str">
        <f t="shared" si="7"/>
        <v>echo augmentSkillName1,records/skillsearth/volatility.dbr,, &gt;&gt; .\items\materia\class0022\Earth27.dbr</v>
      </c>
      <c r="V29" s="5" t="s">
        <v>36</v>
      </c>
      <c r="W29" t="str">
        <f t="shared" si="8"/>
        <v>echo lootName27,DAIL/items/materia/class0022/Earth27.dbr, &gt;&gt; .\items\loottables\dailoneskill0022.dbr</v>
      </c>
      <c r="X29" t="str">
        <f t="shared" si="8"/>
        <v>echo lootWeight27,1, &gt;&gt; .\items\loottables\dailoneskill0022.dbr</v>
      </c>
      <c r="Y29" s="5" t="s">
        <v>36</v>
      </c>
      <c r="Z29" t="str">
        <f t="shared" si="9"/>
        <v xml:space="preserve"> dailCompDescEarth27=^pEarth's Gift of DAIL</v>
      </c>
      <c r="AA29" t="str">
        <f t="shared" si="17"/>
        <v>dailCompTextEarth27=^oThis feels warm to the touch, almost familiar ^w(This component only fits into the Medal Slot)</v>
      </c>
      <c r="AB29" s="5" t="s">
        <v>36</v>
      </c>
      <c r="AH29">
        <f t="shared" si="19"/>
        <v>24</v>
      </c>
      <c r="AI29">
        <f t="shared" si="13"/>
        <v>21</v>
      </c>
      <c r="AJ29">
        <f t="shared" si="18"/>
        <v>3</v>
      </c>
    </row>
    <row r="30" spans="1:36" x14ac:dyDescent="0.25">
      <c r="A30" s="5" t="s">
        <v>39</v>
      </c>
      <c r="B30" s="5" t="s">
        <v>28</v>
      </c>
      <c r="C30" s="5" t="str">
        <f t="shared" si="0"/>
        <v>description,dailCompDescEarth28,</v>
      </c>
      <c r="D30" s="5" t="str">
        <f t="shared" si="2"/>
        <v>itemText,dailCompTextEarth28,</v>
      </c>
      <c r="E30" s="5" t="str">
        <f t="shared" si="14"/>
        <v>augmentSkillLevel1,3,</v>
      </c>
      <c r="F30" s="5" t="str">
        <f t="shared" si="15"/>
        <v>augmentSkillName1,records/skillsearth/coredweller.dbr,,</v>
      </c>
      <c r="G30" s="7">
        <f t="shared" si="10"/>
        <v>28</v>
      </c>
      <c r="H30" s="8" t="str">
        <f t="shared" si="11"/>
        <v>Earth</v>
      </c>
      <c r="I30" s="3" t="s">
        <v>709</v>
      </c>
      <c r="J30" s="8" t="str">
        <f t="shared" si="20"/>
        <v>class0022</v>
      </c>
      <c r="K30" s="8" t="str">
        <f t="shared" si="20"/>
        <v>dailoneskill0022</v>
      </c>
      <c r="L30" s="5" t="str">
        <f t="shared" si="4"/>
        <v>lootName28,DAIL/items/materia/class0022/Earth28.dbr,</v>
      </c>
      <c r="M30" s="5" t="str">
        <f t="shared" si="5"/>
        <v>lootWeight28,1,</v>
      </c>
      <c r="N30" t="str">
        <f t="shared" si="6"/>
        <v>3</v>
      </c>
      <c r="O30" t="str">
        <f t="shared" si="16"/>
        <v>copy .\dail_base3.dbr .\items\materia\class0022\Earth28.dbr /y</v>
      </c>
      <c r="P30" t="str">
        <f t="shared" si="7"/>
        <v>echo relicBitmap,items/craftingparts/components/component_a52_bristlyfur_b.tex, &gt;&gt; .\items\materia\class0022\Earth28.dbr</v>
      </c>
      <c r="Q30" t="str">
        <f t="shared" si="7"/>
        <v>echo itemCost,300000, &gt;&gt; .\items\materia\class0022\Earth28.dbr</v>
      </c>
      <c r="R30" t="str">
        <f t="shared" si="7"/>
        <v>echo description,dailCompDescEarth28, &gt;&gt; .\items\materia\class0022\Earth28.dbr</v>
      </c>
      <c r="S30" t="str">
        <f t="shared" si="7"/>
        <v>echo itemText,dailCompTextEarth28, &gt;&gt; .\items\materia\class0022\Earth28.dbr</v>
      </c>
      <c r="T30" t="str">
        <f t="shared" si="7"/>
        <v>echo augmentSkillLevel1,3, &gt;&gt; .\items\materia\class0022\Earth28.dbr</v>
      </c>
      <c r="U30" t="str">
        <f t="shared" si="7"/>
        <v>echo augmentSkillName1,records/skillsearth/coredweller.dbr,, &gt;&gt; .\items\materia\class0022\Earth28.dbr</v>
      </c>
      <c r="V30" s="5" t="s">
        <v>36</v>
      </c>
      <c r="W30" t="str">
        <f t="shared" si="8"/>
        <v>echo lootName28,DAIL/items/materia/class0022/Earth28.dbr, &gt;&gt; .\items\loottables\dailoneskill0022.dbr</v>
      </c>
      <c r="X30" t="str">
        <f t="shared" si="8"/>
        <v>echo lootWeight28,1, &gt;&gt; .\items\loottables\dailoneskill0022.dbr</v>
      </c>
      <c r="Y30" s="5" t="s">
        <v>36</v>
      </c>
      <c r="Z30" t="str">
        <f t="shared" si="9"/>
        <v xml:space="preserve"> dailCompDescEarth28=^pEarth's Gift of DAIL</v>
      </c>
      <c r="AA30" t="str">
        <f t="shared" si="17"/>
        <v>dailCompTextEarth28=^oThis feels warm to the touch, almost familiar ^w(This component only fits into the Medal Slot)</v>
      </c>
      <c r="AB30" s="5" t="s">
        <v>36</v>
      </c>
      <c r="AH30">
        <f t="shared" si="19"/>
        <v>25</v>
      </c>
      <c r="AI30">
        <f t="shared" si="13"/>
        <v>22</v>
      </c>
      <c r="AJ30">
        <f t="shared" si="18"/>
        <v>3</v>
      </c>
    </row>
    <row r="31" spans="1:36" x14ac:dyDescent="0.25">
      <c r="A31" s="5" t="s">
        <v>39</v>
      </c>
      <c r="B31" s="5" t="s">
        <v>28</v>
      </c>
      <c r="C31" s="5" t="str">
        <f t="shared" si="0"/>
        <v>description,dailCompDescEarth29,</v>
      </c>
      <c r="D31" s="5" t="str">
        <f t="shared" si="2"/>
        <v>itemText,dailCompTextEarth29,</v>
      </c>
      <c r="E31" s="5" t="str">
        <f t="shared" si="14"/>
        <v>augmentSkillLevel1,3,</v>
      </c>
      <c r="F31" s="5" t="str">
        <f t="shared" si="15"/>
        <v>augmentSkillName1,records/skillsearth/coredweller_petmodifier_innerfire.dbr,,</v>
      </c>
      <c r="G31" s="7">
        <f t="shared" si="10"/>
        <v>29</v>
      </c>
      <c r="H31" s="8" t="str">
        <f t="shared" si="11"/>
        <v>Earth</v>
      </c>
      <c r="I31" s="3" t="s">
        <v>710</v>
      </c>
      <c r="J31" s="8" t="str">
        <f t="shared" si="20"/>
        <v>class0022</v>
      </c>
      <c r="K31" s="8" t="str">
        <f t="shared" si="20"/>
        <v>dailoneskill0022</v>
      </c>
      <c r="L31" s="5" t="str">
        <f t="shared" si="4"/>
        <v>lootName29,DAIL/items/materia/class0022/Earth29.dbr,</v>
      </c>
      <c r="M31" s="5" t="str">
        <f t="shared" si="5"/>
        <v>lootWeight29,1,</v>
      </c>
      <c r="N31" t="str">
        <f t="shared" si="6"/>
        <v>3</v>
      </c>
      <c r="O31" t="str">
        <f t="shared" si="16"/>
        <v>copy .\dail_base3.dbr .\items\materia\class0022\Earth29.dbr /y</v>
      </c>
      <c r="P31" t="str">
        <f t="shared" si="7"/>
        <v>echo relicBitmap,items/craftingparts/components/component_a52_bristlyfur_b.tex, &gt;&gt; .\items\materia\class0022\Earth29.dbr</v>
      </c>
      <c r="Q31" t="str">
        <f t="shared" si="7"/>
        <v>echo itemCost,300000, &gt;&gt; .\items\materia\class0022\Earth29.dbr</v>
      </c>
      <c r="R31" t="str">
        <f t="shared" si="7"/>
        <v>echo description,dailCompDescEarth29, &gt;&gt; .\items\materia\class0022\Earth29.dbr</v>
      </c>
      <c r="S31" t="str">
        <f t="shared" si="7"/>
        <v>echo itemText,dailCompTextEarth29, &gt;&gt; .\items\materia\class0022\Earth29.dbr</v>
      </c>
      <c r="T31" t="str">
        <f t="shared" si="7"/>
        <v>echo augmentSkillLevel1,3, &gt;&gt; .\items\materia\class0022\Earth29.dbr</v>
      </c>
      <c r="U31" t="str">
        <f t="shared" si="7"/>
        <v>echo augmentSkillName1,records/skillsearth/coredweller_petmodifier_innerfire.dbr,, &gt;&gt; .\items\materia\class0022\Earth29.dbr</v>
      </c>
      <c r="V31" s="5" t="s">
        <v>36</v>
      </c>
      <c r="W31" t="str">
        <f t="shared" si="8"/>
        <v>echo lootName29,DAIL/items/materia/class0022/Earth29.dbr, &gt;&gt; .\items\loottables\dailoneskill0022.dbr</v>
      </c>
      <c r="X31" t="str">
        <f t="shared" si="8"/>
        <v>echo lootWeight29,1, &gt;&gt; .\items\loottables\dailoneskill0022.dbr</v>
      </c>
      <c r="Y31" s="5" t="s">
        <v>36</v>
      </c>
      <c r="Z31" t="str">
        <f t="shared" si="9"/>
        <v xml:space="preserve"> dailCompDescEarth29=^pEarth's Gift of DAIL</v>
      </c>
      <c r="AA31" t="str">
        <f t="shared" si="17"/>
        <v>dailCompTextEarth29=^oThis feels warm to the touch, almost familiar ^w(This component only fits into the Medal Slot)</v>
      </c>
      <c r="AB31" s="5" t="s">
        <v>36</v>
      </c>
      <c r="AH31">
        <f t="shared" si="19"/>
        <v>26</v>
      </c>
      <c r="AI31">
        <f t="shared" si="13"/>
        <v>44</v>
      </c>
      <c r="AJ31">
        <f t="shared" si="18"/>
        <v>3</v>
      </c>
    </row>
    <row r="32" spans="1:36" x14ac:dyDescent="0.25">
      <c r="A32" s="5" t="s">
        <v>39</v>
      </c>
      <c r="B32" s="5" t="s">
        <v>30</v>
      </c>
      <c r="C32" s="5" t="str">
        <f t="shared" si="0"/>
        <v>description,dailCompDescEarth30,</v>
      </c>
      <c r="D32" s="5" t="str">
        <f t="shared" si="2"/>
        <v>itemText,dailCompTextEarth30,</v>
      </c>
      <c r="E32" s="5" t="str">
        <f t="shared" si="14"/>
        <v>augmentSkillLevel1,3,</v>
      </c>
      <c r="F32" s="5" t="str">
        <f t="shared" si="15"/>
        <v>augmentSkillName1,records/skillsearth/coredweller_petmodifier_wildfire.dbr,,</v>
      </c>
      <c r="G32" s="7">
        <f t="shared" si="10"/>
        <v>30</v>
      </c>
      <c r="H32" s="8" t="str">
        <f t="shared" si="11"/>
        <v>Earth</v>
      </c>
      <c r="I32" s="3" t="s">
        <v>711</v>
      </c>
      <c r="J32" s="8" t="str">
        <f t="shared" si="20"/>
        <v>class0022</v>
      </c>
      <c r="K32" s="8" t="str">
        <f t="shared" si="20"/>
        <v>dailoneskill0022</v>
      </c>
      <c r="L32" s="5" t="str">
        <f t="shared" si="4"/>
        <v>lootName30,DAIL/items/materia/class0022/Earth30.dbr,</v>
      </c>
      <c r="M32" s="5" t="str">
        <f t="shared" si="5"/>
        <v>lootWeight30,1,</v>
      </c>
      <c r="N32" t="str">
        <f t="shared" si="6"/>
        <v>3</v>
      </c>
      <c r="O32" t="str">
        <f t="shared" si="16"/>
        <v>copy .\dail_base3.dbr .\items\materia\class0022\Earth30.dbr /y</v>
      </c>
      <c r="P32" t="str">
        <f t="shared" si="7"/>
        <v>echo relicBitmap,items/craftingparts/components/component_a52_bristlyfur_b.tex, &gt;&gt; .\items\materia\class0022\Earth30.dbr</v>
      </c>
      <c r="Q32" t="str">
        <f t="shared" si="7"/>
        <v>echo itemCost,500000, &gt;&gt; .\items\materia\class0022\Earth30.dbr</v>
      </c>
      <c r="R32" t="str">
        <f t="shared" si="7"/>
        <v>echo description,dailCompDescEarth30, &gt;&gt; .\items\materia\class0022\Earth30.dbr</v>
      </c>
      <c r="S32" t="str">
        <f t="shared" si="7"/>
        <v>echo itemText,dailCompTextEarth30, &gt;&gt; .\items\materia\class0022\Earth30.dbr</v>
      </c>
      <c r="T32" t="str">
        <f t="shared" si="7"/>
        <v>echo augmentSkillLevel1,3, &gt;&gt; .\items\materia\class0022\Earth30.dbr</v>
      </c>
      <c r="U32" t="str">
        <f t="shared" si="7"/>
        <v>echo augmentSkillName1,records/skillsearth/coredweller_petmodifier_wildfire.dbr,, &gt;&gt; .\items\materia\class0022\Earth30.dbr</v>
      </c>
      <c r="V32" s="5" t="s">
        <v>36</v>
      </c>
      <c r="W32" t="str">
        <f t="shared" si="8"/>
        <v>echo lootName30,DAIL/items/materia/class0022/Earth30.dbr, &gt;&gt; .\items\loottables\dailoneskill0022.dbr</v>
      </c>
      <c r="X32" t="str">
        <f t="shared" si="8"/>
        <v>echo lootWeight30,1, &gt;&gt; .\items\loottables\dailoneskill0022.dbr</v>
      </c>
      <c r="Y32" s="5" t="s">
        <v>36</v>
      </c>
      <c r="Z32" t="str">
        <f t="shared" si="9"/>
        <v xml:space="preserve"> dailCompDescEarth30=^pEarth's Gift of DAIL</v>
      </c>
      <c r="AA32" t="str">
        <f t="shared" si="17"/>
        <v>dailCompTextEarth30=^oThis feels warm to the touch, almost familiar ^w(This component only fits into the Medal Slot)</v>
      </c>
      <c r="AB32" s="5" t="s">
        <v>36</v>
      </c>
      <c r="AH32">
        <f t="shared" si="19"/>
        <v>27</v>
      </c>
      <c r="AI32">
        <f t="shared" si="13"/>
        <v>43</v>
      </c>
      <c r="AJ32">
        <f t="shared" si="18"/>
        <v>3</v>
      </c>
    </row>
    <row r="33" spans="1:36" x14ac:dyDescent="0.25">
      <c r="A33" s="5" t="s">
        <v>39</v>
      </c>
      <c r="B33" s="5" t="s">
        <v>30</v>
      </c>
      <c r="C33" s="5" t="str">
        <f t="shared" si="0"/>
        <v>description,dailCompDescEarth31,</v>
      </c>
      <c r="D33" s="5" t="str">
        <f t="shared" si="2"/>
        <v>itemText,dailCompTextEarth31,</v>
      </c>
      <c r="E33" s="5" t="str">
        <f t="shared" si="14"/>
        <v>augmentSkillLevel1,3,</v>
      </c>
      <c r="F33" s="5" t="str">
        <f t="shared" si="15"/>
        <v>augmentSkillName1,records/skillsearth/coredweller_petmodifier_metamorphosis.dbr,,</v>
      </c>
      <c r="G33" s="7">
        <f t="shared" si="10"/>
        <v>31</v>
      </c>
      <c r="H33" s="8" t="str">
        <f t="shared" si="11"/>
        <v>Earth</v>
      </c>
      <c r="I33" s="3" t="s">
        <v>712</v>
      </c>
      <c r="J33" s="8" t="str">
        <f t="shared" si="20"/>
        <v>class0022</v>
      </c>
      <c r="K33" s="8" t="str">
        <f t="shared" si="20"/>
        <v>dailoneskill0022</v>
      </c>
      <c r="L33" s="5" t="str">
        <f t="shared" si="4"/>
        <v>lootName31,DAIL/items/materia/class0022/Earth31.dbr,</v>
      </c>
      <c r="M33" s="5" t="str">
        <f t="shared" si="5"/>
        <v>lootWeight31,1,</v>
      </c>
      <c r="N33" t="str">
        <f t="shared" si="6"/>
        <v>3</v>
      </c>
      <c r="O33" t="str">
        <f t="shared" si="16"/>
        <v>copy .\dail_base3.dbr .\items\materia\class0022\Earth31.dbr /y</v>
      </c>
      <c r="P33" t="str">
        <f t="shared" si="7"/>
        <v>echo relicBitmap,items/craftingparts/components/component_a52_bristlyfur_b.tex, &gt;&gt; .\items\materia\class0022\Earth31.dbr</v>
      </c>
      <c r="Q33" t="str">
        <f t="shared" si="7"/>
        <v>echo itemCost,500000, &gt;&gt; .\items\materia\class0022\Earth31.dbr</v>
      </c>
      <c r="R33" t="str">
        <f t="shared" si="7"/>
        <v>echo description,dailCompDescEarth31, &gt;&gt; .\items\materia\class0022\Earth31.dbr</v>
      </c>
      <c r="S33" t="str">
        <f t="shared" si="7"/>
        <v>echo itemText,dailCompTextEarth31, &gt;&gt; .\items\materia\class0022\Earth31.dbr</v>
      </c>
      <c r="T33" t="str">
        <f t="shared" si="7"/>
        <v>echo augmentSkillLevel1,3, &gt;&gt; .\items\materia\class0022\Earth31.dbr</v>
      </c>
      <c r="U33" t="str">
        <f t="shared" si="7"/>
        <v>echo augmentSkillName1,records/skillsearth/coredweller_petmodifier_metamorphosis.dbr,, &gt;&gt; .\items\materia\class0022\Earth31.dbr</v>
      </c>
      <c r="V33" s="5" t="s">
        <v>36</v>
      </c>
      <c r="W33" t="str">
        <f t="shared" si="8"/>
        <v>echo lootName31,DAIL/items/materia/class0022/Earth31.dbr, &gt;&gt; .\items\loottables\dailoneskill0022.dbr</v>
      </c>
      <c r="X33" t="str">
        <f t="shared" si="8"/>
        <v>echo lootWeight31,1, &gt;&gt; .\items\loottables\dailoneskill0022.dbr</v>
      </c>
      <c r="Y33" s="5" t="s">
        <v>36</v>
      </c>
      <c r="Z33" t="str">
        <f t="shared" si="9"/>
        <v xml:space="preserve"> dailCompDescEarth31=^pEarth's Gift of DAIL</v>
      </c>
      <c r="AA33" t="str">
        <f t="shared" si="17"/>
        <v>dailCompTextEarth31=^oThis feels warm to the touch, almost familiar ^w(This component only fits into the Medal Slot)</v>
      </c>
      <c r="AB33" s="5" t="s">
        <v>36</v>
      </c>
      <c r="AH33">
        <f t="shared" si="19"/>
        <v>28</v>
      </c>
      <c r="AI33">
        <f t="shared" si="13"/>
        <v>48</v>
      </c>
      <c r="AJ33">
        <f t="shared" si="18"/>
        <v>3</v>
      </c>
    </row>
    <row r="34" spans="1:36" x14ac:dyDescent="0.25">
      <c r="A34" s="5" t="s">
        <v>39</v>
      </c>
      <c r="B34" s="5" t="s">
        <v>30</v>
      </c>
      <c r="C34" s="5" t="str">
        <f t="shared" si="0"/>
        <v>description,dailCompDescEarth32,</v>
      </c>
      <c r="D34" s="5" t="str">
        <f t="shared" si="2"/>
        <v>itemText,dailCompTextEarth32,</v>
      </c>
      <c r="E34" s="5" t="str">
        <f t="shared" si="14"/>
        <v>augmentSkillLevel1,3,</v>
      </c>
      <c r="F34" s="5" t="str">
        <f t="shared" si="15"/>
        <v>augmentSkillName1,records/skillsearth/flamesurge.dbr,,</v>
      </c>
      <c r="G34" s="7">
        <f t="shared" si="10"/>
        <v>32</v>
      </c>
      <c r="H34" s="8" t="str">
        <f t="shared" si="11"/>
        <v>Earth</v>
      </c>
      <c r="I34" s="3" t="s">
        <v>713</v>
      </c>
      <c r="J34" s="8" t="str">
        <f t="shared" si="20"/>
        <v>class0022</v>
      </c>
      <c r="K34" s="8" t="str">
        <f t="shared" si="20"/>
        <v>dailoneskill0022</v>
      </c>
      <c r="L34" s="5" t="str">
        <f t="shared" si="4"/>
        <v>lootName32,DAIL/items/materia/class0022/Earth32.dbr,</v>
      </c>
      <c r="M34" s="5" t="str">
        <f t="shared" si="5"/>
        <v>lootWeight32,1,</v>
      </c>
      <c r="N34" t="str">
        <f t="shared" si="6"/>
        <v>3</v>
      </c>
      <c r="O34" t="str">
        <f t="shared" si="16"/>
        <v>copy .\dail_base3.dbr .\items\materia\class0022\Earth32.dbr /y</v>
      </c>
      <c r="P34" t="str">
        <f t="shared" si="7"/>
        <v>echo relicBitmap,items/craftingparts/components/component_a52_bristlyfur_b.tex, &gt;&gt; .\items\materia\class0022\Earth32.dbr</v>
      </c>
      <c r="Q34" t="str">
        <f t="shared" si="7"/>
        <v>echo itemCost,500000, &gt;&gt; .\items\materia\class0022\Earth32.dbr</v>
      </c>
      <c r="R34" t="str">
        <f t="shared" si="7"/>
        <v>echo description,dailCompDescEarth32, &gt;&gt; .\items\materia\class0022\Earth32.dbr</v>
      </c>
      <c r="S34" t="str">
        <f t="shared" si="7"/>
        <v>echo itemText,dailCompTextEarth32, &gt;&gt; .\items\materia\class0022\Earth32.dbr</v>
      </c>
      <c r="T34" t="str">
        <f t="shared" si="7"/>
        <v>echo augmentSkillLevel1,3, &gt;&gt; .\items\materia\class0022\Earth32.dbr</v>
      </c>
      <c r="U34" t="str">
        <f t="shared" si="7"/>
        <v>echo augmentSkillName1,records/skillsearth/flamesurge.dbr,, &gt;&gt; .\items\materia\class0022\Earth32.dbr</v>
      </c>
      <c r="V34" s="5" t="s">
        <v>36</v>
      </c>
      <c r="W34" t="str">
        <f t="shared" si="8"/>
        <v>echo lootName32,DAIL/items/materia/class0022/Earth32.dbr, &gt;&gt; .\items\loottables\dailoneskill0022.dbr</v>
      </c>
      <c r="X34" t="str">
        <f t="shared" si="8"/>
        <v>echo lootWeight32,1, &gt;&gt; .\items\loottables\dailoneskill0022.dbr</v>
      </c>
      <c r="Y34" s="5" t="s">
        <v>36</v>
      </c>
      <c r="Z34" t="str">
        <f t="shared" si="9"/>
        <v xml:space="preserve"> dailCompDescEarth32=^pEarth's Gift of DAIL</v>
      </c>
      <c r="AA34" t="str">
        <f t="shared" si="17"/>
        <v>dailCompTextEarth32=^oThis feels warm to the touch, almost familiar ^w(This component only fits into the Medal Slot)</v>
      </c>
      <c r="AB34" s="5" t="s">
        <v>36</v>
      </c>
      <c r="AH34">
        <f t="shared" si="19"/>
        <v>29</v>
      </c>
      <c r="AI34">
        <f t="shared" si="13"/>
        <v>21</v>
      </c>
      <c r="AJ34">
        <f t="shared" si="18"/>
        <v>3</v>
      </c>
    </row>
    <row r="35" spans="1:36" x14ac:dyDescent="0.25">
      <c r="A35" s="5" t="s">
        <v>39</v>
      </c>
      <c r="B35" s="5" t="s">
        <v>30</v>
      </c>
      <c r="C35" s="5" t="str">
        <f t="shared" si="0"/>
        <v>description,dailCompDescEarth33,</v>
      </c>
      <c r="D35" s="5" t="str">
        <f t="shared" si="2"/>
        <v>itemText,dailCompTextEarth33,</v>
      </c>
      <c r="E35" s="5" t="str">
        <f t="shared" si="14"/>
        <v>augmentSkillLevel1,3,</v>
      </c>
      <c r="F35" s="5" t="str">
        <f t="shared" si="15"/>
        <v>augmentSkillName1,records/skillsearth/flamesurge_barrage.dbr,,</v>
      </c>
      <c r="G35" s="7">
        <f t="shared" si="10"/>
        <v>33</v>
      </c>
      <c r="H35" s="8" t="str">
        <f t="shared" si="11"/>
        <v>Earth</v>
      </c>
      <c r="I35" s="3" t="s">
        <v>714</v>
      </c>
      <c r="J35" s="8" t="str">
        <f t="shared" si="20"/>
        <v>class0022</v>
      </c>
      <c r="K35" s="8" t="str">
        <f t="shared" si="20"/>
        <v>dailoneskill0022</v>
      </c>
      <c r="L35" s="5" t="str">
        <f t="shared" si="4"/>
        <v>lootName33,DAIL/items/materia/class0022/Earth33.dbr,</v>
      </c>
      <c r="M35" s="5" t="str">
        <f t="shared" si="5"/>
        <v>lootWeight33,1,</v>
      </c>
      <c r="N35" t="str">
        <f t="shared" si="6"/>
        <v>3</v>
      </c>
      <c r="O35" t="str">
        <f t="shared" si="16"/>
        <v>copy .\dail_base3.dbr .\items\materia\class0022\Earth33.dbr /y</v>
      </c>
      <c r="P35" t="str">
        <f t="shared" si="7"/>
        <v>echo relicBitmap,items/craftingparts/components/component_a52_bristlyfur_b.tex, &gt;&gt; .\items\materia\class0022\Earth33.dbr</v>
      </c>
      <c r="Q35" t="str">
        <f t="shared" si="7"/>
        <v>echo itemCost,500000, &gt;&gt; .\items\materia\class0022\Earth33.dbr</v>
      </c>
      <c r="R35" t="str">
        <f t="shared" si="7"/>
        <v>echo description,dailCompDescEarth33, &gt;&gt; .\items\materia\class0022\Earth33.dbr</v>
      </c>
      <c r="S35" t="str">
        <f t="shared" si="7"/>
        <v>echo itemText,dailCompTextEarth33, &gt;&gt; .\items\materia\class0022\Earth33.dbr</v>
      </c>
      <c r="T35" t="str">
        <f t="shared" si="7"/>
        <v>echo augmentSkillLevel1,3, &gt;&gt; .\items\materia\class0022\Earth33.dbr</v>
      </c>
      <c r="U35" t="str">
        <f t="shared" si="7"/>
        <v>echo augmentSkillName1,records/skillsearth/flamesurge_barrage.dbr,, &gt;&gt; .\items\materia\class0022\Earth33.dbr</v>
      </c>
      <c r="V35" s="5" t="s">
        <v>36</v>
      </c>
      <c r="W35" t="str">
        <f t="shared" si="8"/>
        <v>echo lootName33,DAIL/items/materia/class0022/Earth33.dbr, &gt;&gt; .\items\loottables\dailoneskill0022.dbr</v>
      </c>
      <c r="X35" t="str">
        <f t="shared" si="8"/>
        <v>echo lootWeight33,1, &gt;&gt; .\items\loottables\dailoneskill0022.dbr</v>
      </c>
      <c r="Y35" s="5" t="s">
        <v>36</v>
      </c>
      <c r="Z35" t="str">
        <f t="shared" si="9"/>
        <v xml:space="preserve"> dailCompDescEarth33=^pEarth's Gift of DAIL</v>
      </c>
      <c r="AA35" t="str">
        <f t="shared" si="17"/>
        <v>dailCompTextEarth33=^oThis feels warm to the touch, almost familiar ^w(This component only fits into the Medal Slot)</v>
      </c>
      <c r="AB35" s="5" t="s">
        <v>36</v>
      </c>
      <c r="AH35">
        <f t="shared" si="19"/>
        <v>30</v>
      </c>
      <c r="AI35">
        <f t="shared" si="13"/>
        <v>29</v>
      </c>
      <c r="AJ35">
        <f t="shared" si="18"/>
        <v>3</v>
      </c>
    </row>
    <row r="36" spans="1:36" x14ac:dyDescent="0.25">
      <c r="A36" s="5" t="s">
        <v>39</v>
      </c>
      <c r="B36" s="5" t="s">
        <v>30</v>
      </c>
      <c r="C36" s="5" t="str">
        <f t="shared" si="0"/>
        <v>description,dailCompDescEarth34,</v>
      </c>
      <c r="D36" s="5" t="str">
        <f t="shared" si="2"/>
        <v>itemText,dailCompTextEarth34,</v>
      </c>
      <c r="E36" s="5" t="str">
        <f t="shared" si="14"/>
        <v>augmentSkillLevel1,3,</v>
      </c>
      <c r="F36" s="5" t="str">
        <f t="shared" si="15"/>
        <v>augmentSkillName1,records/skillsearth/flamesurge_flamearch.dbr,,</v>
      </c>
      <c r="G36" s="7">
        <f t="shared" si="10"/>
        <v>34</v>
      </c>
      <c r="H36" s="8" t="str">
        <f t="shared" si="11"/>
        <v>Earth</v>
      </c>
      <c r="I36" s="3" t="s">
        <v>715</v>
      </c>
      <c r="J36" s="8" t="str">
        <f t="shared" si="20"/>
        <v>class0022</v>
      </c>
      <c r="K36" s="8" t="str">
        <f t="shared" si="20"/>
        <v>dailoneskill0022</v>
      </c>
      <c r="L36" s="5" t="str">
        <f t="shared" si="4"/>
        <v>lootName34,DAIL/items/materia/class0022/Earth34.dbr,</v>
      </c>
      <c r="M36" s="5" t="str">
        <f t="shared" si="5"/>
        <v>lootWeight34,1,</v>
      </c>
      <c r="N36" t="str">
        <f t="shared" si="6"/>
        <v>3</v>
      </c>
      <c r="O36" t="str">
        <f t="shared" si="16"/>
        <v>copy .\dail_base3.dbr .\items\materia\class0022\Earth34.dbr /y</v>
      </c>
      <c r="P36" t="str">
        <f t="shared" si="7"/>
        <v>echo relicBitmap,items/craftingparts/components/component_a52_bristlyfur_b.tex, &gt;&gt; .\items\materia\class0022\Earth34.dbr</v>
      </c>
      <c r="Q36" t="str">
        <f t="shared" si="7"/>
        <v>echo itemCost,500000, &gt;&gt; .\items\materia\class0022\Earth34.dbr</v>
      </c>
      <c r="R36" t="str">
        <f t="shared" si="7"/>
        <v>echo description,dailCompDescEarth34, &gt;&gt; .\items\materia\class0022\Earth34.dbr</v>
      </c>
      <c r="S36" t="str">
        <f t="shared" si="7"/>
        <v>echo itemText,dailCompTextEarth34, &gt;&gt; .\items\materia\class0022\Earth34.dbr</v>
      </c>
      <c r="T36" t="str">
        <f t="shared" si="7"/>
        <v>echo augmentSkillLevel1,3, &gt;&gt; .\items\materia\class0022\Earth34.dbr</v>
      </c>
      <c r="U36" t="str">
        <f t="shared" si="7"/>
        <v>echo augmentSkillName1,records/skillsearth/flamesurge_flamearch.dbr,, &gt;&gt; .\items\materia\class0022\Earth34.dbr</v>
      </c>
      <c r="V36" s="5" t="s">
        <v>36</v>
      </c>
      <c r="W36" t="str">
        <f t="shared" si="8"/>
        <v>echo lootName34,DAIL/items/materia/class0022/Earth34.dbr, &gt;&gt; .\items\loottables\dailoneskill0022.dbr</v>
      </c>
      <c r="X36" t="str">
        <f t="shared" si="8"/>
        <v>echo lootWeight34,1, &gt;&gt; .\items\loottables\dailoneskill0022.dbr</v>
      </c>
      <c r="Y36" s="5" t="s">
        <v>36</v>
      </c>
      <c r="Z36" t="str">
        <f t="shared" si="9"/>
        <v xml:space="preserve"> dailCompDescEarth34=^pEarth's Gift of DAIL</v>
      </c>
      <c r="AA36" t="str">
        <f t="shared" si="17"/>
        <v>dailCompTextEarth34=^oThis feels warm to the touch, almost familiar ^w(This component only fits into the Medal Slot)</v>
      </c>
      <c r="AB36" s="5" t="s">
        <v>36</v>
      </c>
      <c r="AH36">
        <f t="shared" si="19"/>
        <v>31</v>
      </c>
      <c r="AI36">
        <f t="shared" si="13"/>
        <v>31</v>
      </c>
      <c r="AJ36">
        <f t="shared" si="18"/>
        <v>3</v>
      </c>
    </row>
    <row r="37" spans="1:36" x14ac:dyDescent="0.25">
      <c r="A37" s="5" t="s">
        <v>39</v>
      </c>
      <c r="B37" s="5" t="s">
        <v>30</v>
      </c>
      <c r="C37" s="5" t="str">
        <f t="shared" si="0"/>
        <v>description,dailCompDescEarth35,</v>
      </c>
      <c r="D37" s="5" t="str">
        <f t="shared" si="2"/>
        <v>itemText,dailCompTextEarth35,</v>
      </c>
      <c r="E37" s="5" t="str">
        <f t="shared" si="14"/>
        <v>augmentSkillLevel1,3,</v>
      </c>
      <c r="F37" s="5" t="str">
        <f t="shared" si="15"/>
        <v>augmentSkillName1,records/skillsearth/heatshield.dbr,,</v>
      </c>
      <c r="G37" s="7">
        <f t="shared" si="10"/>
        <v>35</v>
      </c>
      <c r="H37" s="8" t="str">
        <f t="shared" si="11"/>
        <v>Earth</v>
      </c>
      <c r="I37" s="3" t="s">
        <v>716</v>
      </c>
      <c r="J37" s="8" t="str">
        <f t="shared" ref="J37:K52" si="21">J36</f>
        <v>class0022</v>
      </c>
      <c r="K37" s="8" t="str">
        <f t="shared" si="21"/>
        <v>dailoneskill0022</v>
      </c>
      <c r="L37" s="5" t="str">
        <f t="shared" si="4"/>
        <v>lootName35,DAIL/items/materia/class0022/Earth35.dbr,</v>
      </c>
      <c r="M37" s="5" t="str">
        <f t="shared" si="5"/>
        <v>lootWeight35,1,</v>
      </c>
      <c r="N37" t="str">
        <f t="shared" si="6"/>
        <v>3</v>
      </c>
      <c r="O37" t="str">
        <f t="shared" si="16"/>
        <v>copy .\dail_base3.dbr .\items\materia\class0022\Earth35.dbr /y</v>
      </c>
      <c r="P37" t="str">
        <f t="shared" si="7"/>
        <v>echo relicBitmap,items/craftingparts/components/component_a52_bristlyfur_b.tex, &gt;&gt; .\items\materia\class0022\Earth35.dbr</v>
      </c>
      <c r="Q37" t="str">
        <f t="shared" si="7"/>
        <v>echo itemCost,500000, &gt;&gt; .\items\materia\class0022\Earth35.dbr</v>
      </c>
      <c r="R37" t="str">
        <f t="shared" si="7"/>
        <v>echo description,dailCompDescEarth35, &gt;&gt; .\items\materia\class0022\Earth35.dbr</v>
      </c>
      <c r="S37" t="str">
        <f t="shared" si="7"/>
        <v>echo itemText,dailCompTextEarth35, &gt;&gt; .\items\materia\class0022\Earth35.dbr</v>
      </c>
      <c r="T37" t="str">
        <f t="shared" si="7"/>
        <v>echo augmentSkillLevel1,3, &gt;&gt; .\items\materia\class0022\Earth35.dbr</v>
      </c>
      <c r="U37" t="str">
        <f t="shared" si="7"/>
        <v>echo augmentSkillName1,records/skillsearth/heatshield.dbr,, &gt;&gt; .\items\materia\class0022\Earth35.dbr</v>
      </c>
      <c r="V37" s="5" t="s">
        <v>36</v>
      </c>
      <c r="W37" t="str">
        <f t="shared" si="8"/>
        <v>echo lootName35,DAIL/items/materia/class0022/Earth35.dbr, &gt;&gt; .\items\loottables\dailoneskill0022.dbr</v>
      </c>
      <c r="X37" t="str">
        <f t="shared" si="8"/>
        <v>echo lootWeight35,1, &gt;&gt; .\items\loottables\dailoneskill0022.dbr</v>
      </c>
      <c r="Y37" s="5" t="s">
        <v>36</v>
      </c>
      <c r="Z37" t="str">
        <f t="shared" si="9"/>
        <v xml:space="preserve"> dailCompDescEarth35=^pEarth's Gift of DAIL</v>
      </c>
      <c r="AA37" t="str">
        <f t="shared" si="17"/>
        <v>dailCompTextEarth35=^oThis feels warm to the touch, almost familiar ^w(This component only fits into the Medal Slot)</v>
      </c>
      <c r="AB37" s="5" t="s">
        <v>36</v>
      </c>
      <c r="AH37">
        <f t="shared" si="19"/>
        <v>32</v>
      </c>
      <c r="AI37">
        <f t="shared" si="13"/>
        <v>21</v>
      </c>
      <c r="AJ37">
        <f t="shared" si="18"/>
        <v>3</v>
      </c>
    </row>
    <row r="38" spans="1:36" x14ac:dyDescent="0.25">
      <c r="A38" s="5" t="s">
        <v>39</v>
      </c>
      <c r="B38" s="5" t="s">
        <v>30</v>
      </c>
      <c r="C38" s="5" t="str">
        <f t="shared" si="0"/>
        <v>description,dailCompDescEarth36,</v>
      </c>
      <c r="D38" s="5" t="str">
        <f t="shared" si="2"/>
        <v>itemText,dailCompTextEarth36,</v>
      </c>
      <c r="E38" s="5" t="str">
        <f t="shared" si="14"/>
        <v>augmentSkillLevel1,3,</v>
      </c>
      <c r="F38" s="5" t="str">
        <f t="shared" si="15"/>
        <v>augmentSkillName1,records/skillsearth/fireenchantment.dbr,,</v>
      </c>
      <c r="G38" s="7">
        <f t="shared" si="10"/>
        <v>36</v>
      </c>
      <c r="H38" s="8" t="str">
        <f t="shared" si="11"/>
        <v>Earth</v>
      </c>
      <c r="I38" s="3" t="s">
        <v>717</v>
      </c>
      <c r="J38" s="8" t="str">
        <f t="shared" si="21"/>
        <v>class0022</v>
      </c>
      <c r="K38" s="8" t="str">
        <f t="shared" si="21"/>
        <v>dailoneskill0022</v>
      </c>
      <c r="L38" s="5" t="str">
        <f t="shared" si="4"/>
        <v>lootName36,DAIL/items/materia/class0022/Earth36.dbr,</v>
      </c>
      <c r="M38" s="5" t="str">
        <f t="shared" si="5"/>
        <v>lootWeight36,1,</v>
      </c>
      <c r="N38" t="str">
        <f t="shared" si="6"/>
        <v>3</v>
      </c>
      <c r="O38" t="str">
        <f t="shared" si="16"/>
        <v>copy .\dail_base3.dbr .\items\materia\class0022\Earth36.dbr /y</v>
      </c>
      <c r="P38" t="str">
        <f t="shared" si="7"/>
        <v>echo relicBitmap,items/craftingparts/components/component_a52_bristlyfur_b.tex, &gt;&gt; .\items\materia\class0022\Earth36.dbr</v>
      </c>
      <c r="Q38" t="str">
        <f t="shared" si="7"/>
        <v>echo itemCost,500000, &gt;&gt; .\items\materia\class0022\Earth36.dbr</v>
      </c>
      <c r="R38" t="str">
        <f t="shared" si="7"/>
        <v>echo description,dailCompDescEarth36, &gt;&gt; .\items\materia\class0022\Earth36.dbr</v>
      </c>
      <c r="S38" t="str">
        <f t="shared" si="7"/>
        <v>echo itemText,dailCompTextEarth36, &gt;&gt; .\items\materia\class0022\Earth36.dbr</v>
      </c>
      <c r="T38" t="str">
        <f t="shared" si="7"/>
        <v>echo augmentSkillLevel1,3, &gt;&gt; .\items\materia\class0022\Earth36.dbr</v>
      </c>
      <c r="U38" t="str">
        <f t="shared" si="7"/>
        <v>echo augmentSkillName1,records/skillsearth/fireenchantment.dbr,, &gt;&gt; .\items\materia\class0022\Earth36.dbr</v>
      </c>
      <c r="V38" s="5" t="s">
        <v>36</v>
      </c>
      <c r="W38" t="str">
        <f t="shared" si="8"/>
        <v>echo lootName36,DAIL/items/materia/class0022/Earth36.dbr, &gt;&gt; .\items\loottables\dailoneskill0022.dbr</v>
      </c>
      <c r="X38" t="str">
        <f t="shared" si="8"/>
        <v>echo lootWeight36,1, &gt;&gt; .\items\loottables\dailoneskill0022.dbr</v>
      </c>
      <c r="Y38" s="5" t="s">
        <v>36</v>
      </c>
      <c r="Z38" t="str">
        <f t="shared" si="9"/>
        <v xml:space="preserve"> dailCompDescEarth36=^pEarth's Gift of DAIL</v>
      </c>
      <c r="AA38" t="str">
        <f t="shared" si="17"/>
        <v>dailCompTextEarth36=^oThis feels warm to the touch, almost familiar ^w(This component only fits into the Medal Slot)</v>
      </c>
      <c r="AB38" s="5" t="s">
        <v>36</v>
      </c>
      <c r="AH38">
        <f t="shared" si="19"/>
        <v>33</v>
      </c>
      <c r="AI38">
        <f t="shared" si="13"/>
        <v>26</v>
      </c>
      <c r="AJ38">
        <f t="shared" si="18"/>
        <v>3</v>
      </c>
    </row>
    <row r="39" spans="1:36" x14ac:dyDescent="0.25">
      <c r="A39" s="5" t="s">
        <v>39</v>
      </c>
      <c r="B39" s="5" t="s">
        <v>30</v>
      </c>
      <c r="C39" s="5" t="str">
        <f t="shared" si="0"/>
        <v>description,dailCompDescEarth37,</v>
      </c>
      <c r="D39" s="5" t="str">
        <f t="shared" si="2"/>
        <v>itemText,dailCompTextEarth37,</v>
      </c>
      <c r="E39" s="5" t="str">
        <f t="shared" si="14"/>
        <v>augmentSkillLevel1,3,</v>
      </c>
      <c r="F39" s="5" t="str">
        <f t="shared" si="15"/>
        <v>augmentSkillName1,records/skillsearth/fireenchantment_brimstone.dbr,,</v>
      </c>
      <c r="G39" s="7">
        <f t="shared" si="10"/>
        <v>37</v>
      </c>
      <c r="H39" s="8" t="str">
        <f t="shared" si="11"/>
        <v>Earth</v>
      </c>
      <c r="I39" s="3" t="s">
        <v>718</v>
      </c>
      <c r="J39" s="8" t="str">
        <f t="shared" si="21"/>
        <v>class0022</v>
      </c>
      <c r="K39" s="8" t="str">
        <f t="shared" si="21"/>
        <v>dailoneskill0022</v>
      </c>
      <c r="L39" s="5" t="str">
        <f t="shared" si="4"/>
        <v>lootName37,DAIL/items/materia/class0022/Earth37.dbr,</v>
      </c>
      <c r="M39" s="5" t="str">
        <f t="shared" si="5"/>
        <v>lootWeight37,1,</v>
      </c>
      <c r="N39" t="str">
        <f t="shared" si="6"/>
        <v>3</v>
      </c>
      <c r="O39" t="str">
        <f t="shared" si="16"/>
        <v>copy .\dail_base3.dbr .\items\materia\class0022\Earth37.dbr /y</v>
      </c>
      <c r="P39" t="str">
        <f t="shared" si="7"/>
        <v>echo relicBitmap,items/craftingparts/components/component_a52_bristlyfur_b.tex, &gt;&gt; .\items\materia\class0022\Earth37.dbr</v>
      </c>
      <c r="Q39" t="str">
        <f t="shared" si="7"/>
        <v>echo itemCost,500000, &gt;&gt; .\items\materia\class0022\Earth37.dbr</v>
      </c>
      <c r="R39" t="str">
        <f t="shared" si="7"/>
        <v>echo description,dailCompDescEarth37, &gt;&gt; .\items\materia\class0022\Earth37.dbr</v>
      </c>
      <c r="S39" t="str">
        <f t="shared" si="7"/>
        <v>echo itemText,dailCompTextEarth37, &gt;&gt; .\items\materia\class0022\Earth37.dbr</v>
      </c>
      <c r="T39" t="str">
        <f t="shared" si="7"/>
        <v>echo augmentSkillLevel1,3, &gt;&gt; .\items\materia\class0022\Earth37.dbr</v>
      </c>
      <c r="U39" t="str">
        <f t="shared" si="7"/>
        <v>echo augmentSkillName1,records/skillsearth/fireenchantment_brimstone.dbr,, &gt;&gt; .\items\materia\class0022\Earth37.dbr</v>
      </c>
      <c r="V39" s="5" t="s">
        <v>36</v>
      </c>
      <c r="W39" t="str">
        <f t="shared" si="8"/>
        <v>echo lootName37,DAIL/items/materia/class0022/Earth37.dbr, &gt;&gt; .\items\loottables\dailoneskill0022.dbr</v>
      </c>
      <c r="X39" t="str">
        <f t="shared" si="8"/>
        <v>echo lootWeight37,1, &gt;&gt; .\items\loottables\dailoneskill0022.dbr</v>
      </c>
      <c r="Y39" s="5" t="s">
        <v>36</v>
      </c>
      <c r="Z39" t="str">
        <f t="shared" si="9"/>
        <v xml:space="preserve"> dailCompDescEarth37=^pEarth's Gift of DAIL</v>
      </c>
      <c r="AA39" t="str">
        <f t="shared" si="17"/>
        <v>dailCompTextEarth37=^oThis feels warm to the touch, almost familiar ^w(This component only fits into the Medal Slot)</v>
      </c>
      <c r="AB39" s="5" t="s">
        <v>36</v>
      </c>
      <c r="AH39">
        <f t="shared" si="19"/>
        <v>34</v>
      </c>
      <c r="AI39">
        <f t="shared" si="13"/>
        <v>36</v>
      </c>
      <c r="AJ39">
        <f t="shared" si="18"/>
        <v>3</v>
      </c>
    </row>
    <row r="40" spans="1:36" x14ac:dyDescent="0.25">
      <c r="A40" s="5" t="s">
        <v>39</v>
      </c>
      <c r="B40" s="5" t="s">
        <v>30</v>
      </c>
      <c r="C40" s="5" t="str">
        <f t="shared" si="0"/>
        <v>description,dailCompDescEarth38,</v>
      </c>
      <c r="D40" s="5" t="str">
        <f t="shared" si="2"/>
        <v>itemText,dailCompTextEarth38,</v>
      </c>
      <c r="E40" s="5" t="str">
        <f t="shared" si="14"/>
        <v>augmentSkillLevel1,3,</v>
      </c>
      <c r="F40" s="5" t="str">
        <f t="shared" si="15"/>
        <v>augmentSkillName1,records/skillsearth/fireenchantment_stoneskin.dbr,,</v>
      </c>
      <c r="G40" s="7">
        <f t="shared" si="10"/>
        <v>38</v>
      </c>
      <c r="H40" s="8" t="str">
        <f t="shared" si="11"/>
        <v>Earth</v>
      </c>
      <c r="I40" s="3" t="s">
        <v>719</v>
      </c>
      <c r="J40" s="8" t="str">
        <f t="shared" si="21"/>
        <v>class0022</v>
      </c>
      <c r="K40" s="8" t="str">
        <f t="shared" si="21"/>
        <v>dailoneskill0022</v>
      </c>
      <c r="L40" s="5" t="str">
        <f t="shared" si="4"/>
        <v>lootName38,DAIL/items/materia/class0022/Earth38.dbr,</v>
      </c>
      <c r="M40" s="5" t="str">
        <f t="shared" si="5"/>
        <v>lootWeight38,1,</v>
      </c>
      <c r="N40" t="str">
        <f t="shared" si="6"/>
        <v>3</v>
      </c>
      <c r="O40" t="str">
        <f t="shared" si="16"/>
        <v>copy .\dail_base3.dbr .\items\materia\class0022\Earth38.dbr /y</v>
      </c>
      <c r="P40" t="str">
        <f t="shared" si="7"/>
        <v>echo relicBitmap,items/craftingparts/components/component_a52_bristlyfur_b.tex, &gt;&gt; .\items\materia\class0022\Earth38.dbr</v>
      </c>
      <c r="Q40" t="str">
        <f t="shared" si="7"/>
        <v>echo itemCost,500000, &gt;&gt; .\items\materia\class0022\Earth38.dbr</v>
      </c>
      <c r="R40" t="str">
        <f t="shared" si="7"/>
        <v>echo description,dailCompDescEarth38, &gt;&gt; .\items\materia\class0022\Earth38.dbr</v>
      </c>
      <c r="S40" t="str">
        <f t="shared" si="7"/>
        <v>echo itemText,dailCompTextEarth38, &gt;&gt; .\items\materia\class0022\Earth38.dbr</v>
      </c>
      <c r="T40" t="str">
        <f t="shared" si="7"/>
        <v>echo augmentSkillLevel1,3, &gt;&gt; .\items\materia\class0022\Earth38.dbr</v>
      </c>
      <c r="U40" t="str">
        <f t="shared" si="7"/>
        <v>echo augmentSkillName1,records/skillsearth/fireenchantment_stoneskin.dbr,, &gt;&gt; .\items\materia\class0022\Earth38.dbr</v>
      </c>
      <c r="V40" s="5" t="s">
        <v>36</v>
      </c>
      <c r="W40" t="str">
        <f t="shared" si="8"/>
        <v>echo lootName38,DAIL/items/materia/class0022/Earth38.dbr, &gt;&gt; .\items\loottables\dailoneskill0022.dbr</v>
      </c>
      <c r="X40" t="str">
        <f t="shared" si="8"/>
        <v>echo lootWeight38,1, &gt;&gt; .\items\loottables\dailoneskill0022.dbr</v>
      </c>
      <c r="Y40" s="5" t="s">
        <v>36</v>
      </c>
      <c r="Z40" t="str">
        <f t="shared" si="9"/>
        <v xml:space="preserve"> dailCompDescEarth38=^pEarth's Gift of DAIL</v>
      </c>
      <c r="AA40" t="str">
        <f t="shared" si="17"/>
        <v>dailCompTextEarth38=^oThis feels warm to the touch, almost familiar ^w(This component only fits into the Medal Slot)</v>
      </c>
      <c r="AB40" s="5" t="s">
        <v>36</v>
      </c>
      <c r="AH40">
        <f t="shared" si="19"/>
        <v>35</v>
      </c>
      <c r="AI40">
        <f t="shared" si="13"/>
        <v>36</v>
      </c>
      <c r="AJ40">
        <f t="shared" si="18"/>
        <v>3</v>
      </c>
    </row>
    <row r="41" spans="1:36" x14ac:dyDescent="0.25">
      <c r="A41" s="5" t="s">
        <v>39</v>
      </c>
      <c r="B41" s="5" t="s">
        <v>30</v>
      </c>
      <c r="C41" s="5" t="str">
        <f t="shared" si="0"/>
        <v>description,dailCompDescEarth39,</v>
      </c>
      <c r="D41" s="5" t="str">
        <f t="shared" si="2"/>
        <v>itemText,dailCompTextEarth39,</v>
      </c>
      <c r="E41" s="5" t="str">
        <f t="shared" si="14"/>
        <v>augmentSkillLevel1,3,</v>
      </c>
      <c r="F41" s="5" t="str">
        <f t="shared" si="15"/>
        <v>augmentSkillName1,records/skillsearth/stoneformbuffself.dbr,,</v>
      </c>
      <c r="G41" s="7">
        <f t="shared" si="10"/>
        <v>39</v>
      </c>
      <c r="H41" s="8" t="str">
        <f t="shared" si="11"/>
        <v>Earth</v>
      </c>
      <c r="I41" s="3" t="s">
        <v>720</v>
      </c>
      <c r="J41" s="8" t="str">
        <f t="shared" si="21"/>
        <v>class0022</v>
      </c>
      <c r="K41" s="8" t="str">
        <f t="shared" si="21"/>
        <v>dailoneskill0022</v>
      </c>
      <c r="L41" s="5" t="str">
        <f t="shared" si="4"/>
        <v>lootName39,DAIL/items/materia/class0022/Earth39.dbr,</v>
      </c>
      <c r="M41" s="5" t="str">
        <f t="shared" si="5"/>
        <v>lootWeight39,1,</v>
      </c>
      <c r="N41" t="str">
        <f t="shared" si="6"/>
        <v>3</v>
      </c>
      <c r="O41" t="str">
        <f t="shared" si="16"/>
        <v>copy .\dail_base3.dbr .\items\materia\class0022\Earth39.dbr /y</v>
      </c>
      <c r="P41" t="str">
        <f t="shared" si="7"/>
        <v>echo relicBitmap,items/craftingparts/components/component_a52_bristlyfur_b.tex, &gt;&gt; .\items\materia\class0022\Earth39.dbr</v>
      </c>
      <c r="Q41" t="str">
        <f t="shared" si="7"/>
        <v>echo itemCost,500000, &gt;&gt; .\items\materia\class0022\Earth39.dbr</v>
      </c>
      <c r="R41" t="str">
        <f t="shared" si="7"/>
        <v>echo description,dailCompDescEarth39, &gt;&gt; .\items\materia\class0022\Earth39.dbr</v>
      </c>
      <c r="S41" t="str">
        <f t="shared" si="7"/>
        <v>echo itemText,dailCompTextEarth39, &gt;&gt; .\items\materia\class0022\Earth39.dbr</v>
      </c>
      <c r="T41" t="str">
        <f t="shared" si="7"/>
        <v>echo augmentSkillLevel1,3, &gt;&gt; .\items\materia\class0022\Earth39.dbr</v>
      </c>
      <c r="U41" t="str">
        <f t="shared" si="7"/>
        <v>echo augmentSkillName1,records/skillsearth/stoneformbuffself.dbr,, &gt;&gt; .\items\materia\class0022\Earth39.dbr</v>
      </c>
      <c r="V41" s="5" t="s">
        <v>36</v>
      </c>
      <c r="W41" t="str">
        <f t="shared" si="8"/>
        <v>echo lootName39,DAIL/items/materia/class0022/Earth39.dbr, &gt;&gt; .\items\loottables\dailoneskill0022.dbr</v>
      </c>
      <c r="X41" t="str">
        <f t="shared" si="8"/>
        <v>echo lootWeight39,1, &gt;&gt; .\items\loottables\dailoneskill0022.dbr</v>
      </c>
      <c r="Y41" s="5" t="s">
        <v>36</v>
      </c>
      <c r="Z41" t="str">
        <f t="shared" si="9"/>
        <v xml:space="preserve"> dailCompDescEarth39=^pEarth's Gift of DAIL</v>
      </c>
      <c r="AA41" t="str">
        <f t="shared" si="17"/>
        <v>dailCompTextEarth39=^oThis feels warm to the touch, almost familiar ^w(This component only fits into the Medal Slot)</v>
      </c>
      <c r="AB41" s="5" t="s">
        <v>36</v>
      </c>
      <c r="AH41">
        <f t="shared" si="19"/>
        <v>36</v>
      </c>
      <c r="AI41">
        <f t="shared" si="13"/>
        <v>28</v>
      </c>
      <c r="AJ41">
        <f t="shared" si="18"/>
        <v>3</v>
      </c>
    </row>
    <row r="42" spans="1:36" x14ac:dyDescent="0.25">
      <c r="A42" s="5" t="s">
        <v>39</v>
      </c>
      <c r="B42" s="5" t="s">
        <v>30</v>
      </c>
      <c r="C42" s="5" t="str">
        <f t="shared" si="0"/>
        <v>description,dailCompDescEarth40,</v>
      </c>
      <c r="D42" s="5" t="str">
        <f t="shared" si="2"/>
        <v>itemText,dailCompTextEarth40,</v>
      </c>
      <c r="E42" s="5" t="str">
        <f t="shared" si="14"/>
        <v>augmentSkillLevel1,3,</v>
      </c>
      <c r="F42" s="5" t="str">
        <f t="shared" si="15"/>
        <v>augmentSkillName1,records/skillsearth/stoneform_moltenrock.dbr,,</v>
      </c>
      <c r="G42" s="7">
        <f t="shared" si="10"/>
        <v>40</v>
      </c>
      <c r="H42" s="8" t="str">
        <f t="shared" si="11"/>
        <v>Earth</v>
      </c>
      <c r="I42" s="3" t="s">
        <v>721</v>
      </c>
      <c r="J42" s="8" t="str">
        <f t="shared" si="21"/>
        <v>class0022</v>
      </c>
      <c r="K42" s="8" t="str">
        <f t="shared" si="21"/>
        <v>dailoneskill0022</v>
      </c>
      <c r="L42" s="5" t="str">
        <f t="shared" si="4"/>
        <v>lootName40,DAIL/items/materia/class0022/Earth40.dbr,</v>
      </c>
      <c r="M42" s="5" t="str">
        <f t="shared" si="5"/>
        <v>lootWeight40,1,</v>
      </c>
      <c r="N42" t="str">
        <f t="shared" si="6"/>
        <v>3</v>
      </c>
      <c r="O42" t="str">
        <f t="shared" si="16"/>
        <v>copy .\dail_base3.dbr .\items\materia\class0022\Earth40.dbr /y</v>
      </c>
      <c r="P42" t="str">
        <f t="shared" si="7"/>
        <v>echo relicBitmap,items/craftingparts/components/component_a52_bristlyfur_b.tex, &gt;&gt; .\items\materia\class0022\Earth40.dbr</v>
      </c>
      <c r="Q42" t="str">
        <f t="shared" si="7"/>
        <v>echo itemCost,500000, &gt;&gt; .\items\materia\class0022\Earth40.dbr</v>
      </c>
      <c r="R42" t="str">
        <f t="shared" si="7"/>
        <v>echo description,dailCompDescEarth40, &gt;&gt; .\items\materia\class0022\Earth40.dbr</v>
      </c>
      <c r="S42" t="str">
        <f t="shared" si="7"/>
        <v>echo itemText,dailCompTextEarth40, &gt;&gt; .\items\materia\class0022\Earth40.dbr</v>
      </c>
      <c r="T42" t="str">
        <f t="shared" si="7"/>
        <v>echo augmentSkillLevel1,3, &gt;&gt; .\items\materia\class0022\Earth40.dbr</v>
      </c>
      <c r="U42" t="str">
        <f t="shared" si="7"/>
        <v>echo augmentSkillName1,records/skillsearth/stoneform_moltenrock.dbr,, &gt;&gt; .\items\materia\class0022\Earth40.dbr</v>
      </c>
      <c r="V42" s="5" t="s">
        <v>36</v>
      </c>
      <c r="W42" t="str">
        <f t="shared" si="8"/>
        <v>echo lootName40,DAIL/items/materia/class0022/Earth40.dbr, &gt;&gt; .\items\loottables\dailoneskill0022.dbr</v>
      </c>
      <c r="X42" t="str">
        <f t="shared" si="8"/>
        <v>echo lootWeight40,1, &gt;&gt; .\items\loottables\dailoneskill0022.dbr</v>
      </c>
      <c r="Y42" s="5" t="s">
        <v>36</v>
      </c>
      <c r="Z42" t="str">
        <f t="shared" si="9"/>
        <v xml:space="preserve"> dailCompDescEarth40=^pEarth's Gift of DAIL</v>
      </c>
      <c r="AA42" t="str">
        <f t="shared" si="17"/>
        <v>dailCompTextEarth40=^oThis feels warm to the touch, almost familiar ^w(This component only fits into the Medal Slot)</v>
      </c>
      <c r="AB42" s="5" t="s">
        <v>36</v>
      </c>
      <c r="AH42">
        <f t="shared" si="19"/>
        <v>37</v>
      </c>
      <c r="AI42">
        <f t="shared" si="13"/>
        <v>31</v>
      </c>
      <c r="AJ42">
        <f t="shared" si="18"/>
        <v>3</v>
      </c>
    </row>
    <row r="43" spans="1:36" x14ac:dyDescent="0.25">
      <c r="A43" s="5" t="s">
        <v>39</v>
      </c>
      <c r="B43" s="5" t="s">
        <v>30</v>
      </c>
      <c r="C43" s="5" t="str">
        <f t="shared" si="0"/>
        <v>description,dailCompDescEarth41,</v>
      </c>
      <c r="D43" s="5" t="str">
        <f t="shared" si="2"/>
        <v>itemText,dailCompTextEarth41,</v>
      </c>
      <c r="E43" s="5" t="str">
        <f t="shared" si="14"/>
        <v>augmentSkillLevel1,3,</v>
      </c>
      <c r="F43" s="5" t="str">
        <f t="shared" si="15"/>
        <v>augmentSkillName1,records/skillsearth/eruption.dbr,,</v>
      </c>
      <c r="G43" s="7">
        <f t="shared" si="10"/>
        <v>41</v>
      </c>
      <c r="H43" s="8" t="str">
        <f t="shared" si="11"/>
        <v>Earth</v>
      </c>
      <c r="I43" s="3" t="s">
        <v>722</v>
      </c>
      <c r="J43" s="8" t="str">
        <f t="shared" si="21"/>
        <v>class0022</v>
      </c>
      <c r="K43" s="8" t="str">
        <f t="shared" si="21"/>
        <v>dailoneskill0022</v>
      </c>
      <c r="L43" s="5" t="str">
        <f t="shared" si="4"/>
        <v>lootName41,DAIL/items/materia/class0022/Earth41.dbr,</v>
      </c>
      <c r="M43" s="5" t="str">
        <f t="shared" si="5"/>
        <v>lootWeight41,1,</v>
      </c>
      <c r="N43" t="str">
        <f t="shared" si="6"/>
        <v>3</v>
      </c>
      <c r="O43" t="str">
        <f t="shared" si="16"/>
        <v>copy .\dail_base3.dbr .\items\materia\class0022\Earth41.dbr /y</v>
      </c>
      <c r="P43" t="str">
        <f t="shared" si="7"/>
        <v>echo relicBitmap,items/craftingparts/components/component_a52_bristlyfur_b.tex, &gt;&gt; .\items\materia\class0022\Earth41.dbr</v>
      </c>
      <c r="Q43" t="str">
        <f t="shared" si="7"/>
        <v>echo itemCost,500000, &gt;&gt; .\items\materia\class0022\Earth41.dbr</v>
      </c>
      <c r="R43" t="str">
        <f t="shared" si="7"/>
        <v>echo description,dailCompDescEarth41, &gt;&gt; .\items\materia\class0022\Earth41.dbr</v>
      </c>
      <c r="S43" t="str">
        <f t="shared" si="7"/>
        <v>echo itemText,dailCompTextEarth41, &gt;&gt; .\items\materia\class0022\Earth41.dbr</v>
      </c>
      <c r="T43" t="str">
        <f t="shared" si="7"/>
        <v>echo augmentSkillLevel1,3, &gt;&gt; .\items\materia\class0022\Earth41.dbr</v>
      </c>
      <c r="U43" t="str">
        <f t="shared" si="7"/>
        <v>echo augmentSkillName1,records/skillsearth/eruption.dbr,, &gt;&gt; .\items\materia\class0022\Earth41.dbr</v>
      </c>
      <c r="V43" s="5" t="s">
        <v>36</v>
      </c>
      <c r="W43" t="str">
        <f t="shared" si="8"/>
        <v>echo lootName41,DAIL/items/materia/class0022/Earth41.dbr, &gt;&gt; .\items\loottables\dailoneskill0022.dbr</v>
      </c>
      <c r="X43" t="str">
        <f t="shared" si="8"/>
        <v>echo lootWeight41,1, &gt;&gt; .\items\loottables\dailoneskill0022.dbr</v>
      </c>
      <c r="Y43" s="5" t="s">
        <v>36</v>
      </c>
      <c r="Z43" t="str">
        <f t="shared" si="9"/>
        <v xml:space="preserve"> dailCompDescEarth41=^pEarth's Gift of DAIL</v>
      </c>
      <c r="AA43" t="str">
        <f t="shared" si="17"/>
        <v>dailCompTextEarth41=^oThis feels warm to the touch, almost familiar ^w(This component only fits into the Medal Slot)</v>
      </c>
      <c r="AB43" s="5" t="s">
        <v>36</v>
      </c>
      <c r="AH43">
        <f t="shared" si="19"/>
        <v>38</v>
      </c>
      <c r="AI43">
        <f t="shared" si="13"/>
        <v>19</v>
      </c>
      <c r="AJ43">
        <f t="shared" si="18"/>
        <v>3</v>
      </c>
    </row>
    <row r="44" spans="1:36" x14ac:dyDescent="0.25">
      <c r="A44" s="5" t="s">
        <v>39</v>
      </c>
      <c r="B44" s="5" t="s">
        <v>30</v>
      </c>
      <c r="C44" s="5" t="str">
        <f t="shared" si="0"/>
        <v>description,dailCompDescEarth42,</v>
      </c>
      <c r="D44" s="5" t="str">
        <f t="shared" si="2"/>
        <v>itemText,dailCompTextEarth42,</v>
      </c>
      <c r="E44" s="5" t="str">
        <f t="shared" si="14"/>
        <v>augmentSkillLevel1,3,</v>
      </c>
      <c r="F44" s="5" t="str">
        <f t="shared" si="15"/>
        <v>augmentSkillName1,records/skillsearth/ringofflame.dbr,,</v>
      </c>
      <c r="G44" s="7">
        <f t="shared" si="10"/>
        <v>42</v>
      </c>
      <c r="H44" s="8" t="str">
        <f t="shared" si="11"/>
        <v>Earth</v>
      </c>
      <c r="I44" s="3" t="s">
        <v>723</v>
      </c>
      <c r="J44" s="8" t="str">
        <f t="shared" si="21"/>
        <v>class0022</v>
      </c>
      <c r="K44" s="8" t="str">
        <f t="shared" si="21"/>
        <v>dailoneskill0022</v>
      </c>
      <c r="L44" s="5" t="str">
        <f t="shared" si="4"/>
        <v>lootName42,DAIL/items/materia/class0022/Earth42.dbr,</v>
      </c>
      <c r="M44" s="5" t="str">
        <f t="shared" si="5"/>
        <v>lootWeight42,1,</v>
      </c>
      <c r="N44" t="str">
        <f t="shared" si="6"/>
        <v>3</v>
      </c>
      <c r="O44" t="str">
        <f t="shared" si="16"/>
        <v>copy .\dail_base3.dbr .\items\materia\class0022\Earth42.dbr /y</v>
      </c>
      <c r="P44" t="str">
        <f t="shared" si="7"/>
        <v>echo relicBitmap,items/craftingparts/components/component_a52_bristlyfur_b.tex, &gt;&gt; .\items\materia\class0022\Earth42.dbr</v>
      </c>
      <c r="Q44" t="str">
        <f t="shared" si="7"/>
        <v>echo itemCost,500000, &gt;&gt; .\items\materia\class0022\Earth42.dbr</v>
      </c>
      <c r="R44" t="str">
        <f t="shared" si="7"/>
        <v>echo description,dailCompDescEarth42, &gt;&gt; .\items\materia\class0022\Earth42.dbr</v>
      </c>
      <c r="S44" t="str">
        <f t="shared" si="7"/>
        <v>echo itemText,dailCompTextEarth42, &gt;&gt; .\items\materia\class0022\Earth42.dbr</v>
      </c>
      <c r="T44" t="str">
        <f t="shared" si="7"/>
        <v>echo augmentSkillLevel1,3, &gt;&gt; .\items\materia\class0022\Earth42.dbr</v>
      </c>
      <c r="U44" t="str">
        <f t="shared" si="7"/>
        <v>echo augmentSkillName1,records/skillsearth/ringofflame.dbr,, &gt;&gt; .\items\materia\class0022\Earth42.dbr</v>
      </c>
      <c r="V44" s="5" t="s">
        <v>36</v>
      </c>
      <c r="W44" t="str">
        <f t="shared" si="8"/>
        <v>echo lootName42,DAIL/items/materia/class0022/Earth42.dbr, &gt;&gt; .\items\loottables\dailoneskill0022.dbr</v>
      </c>
      <c r="X44" t="str">
        <f t="shared" si="8"/>
        <v>echo lootWeight42,1, &gt;&gt; .\items\loottables\dailoneskill0022.dbr</v>
      </c>
      <c r="Y44" s="5" t="s">
        <v>36</v>
      </c>
      <c r="Z44" t="str">
        <f t="shared" si="9"/>
        <v xml:space="preserve"> dailCompDescEarth42=^pEarth's Gift of DAIL</v>
      </c>
      <c r="AA44" t="str">
        <f t="shared" si="17"/>
        <v>dailCompTextEarth42=^oThis feels warm to the touch, almost familiar ^w(This component only fits into the Medal Slot)</v>
      </c>
      <c r="AB44" s="5" t="s">
        <v>36</v>
      </c>
      <c r="AH44">
        <f t="shared" si="19"/>
        <v>39</v>
      </c>
      <c r="AI44">
        <f t="shared" si="13"/>
        <v>22</v>
      </c>
      <c r="AJ44">
        <f t="shared" si="18"/>
        <v>3</v>
      </c>
    </row>
    <row r="45" spans="1:36" x14ac:dyDescent="0.25">
      <c r="A45" s="5" t="s">
        <v>39</v>
      </c>
      <c r="B45" s="5" t="s">
        <v>30</v>
      </c>
      <c r="C45" s="5" t="str">
        <f t="shared" si="0"/>
        <v>description,dailCompDescEarth43,</v>
      </c>
      <c r="D45" s="5" t="str">
        <f t="shared" si="2"/>
        <v>itemText,dailCompTextEarth43,</v>
      </c>
      <c r="E45" s="5" t="str">
        <f t="shared" si="14"/>
        <v>augmentSkillLevel1,5,</v>
      </c>
      <c r="F45" s="5" t="str">
        <f t="shared" si="15"/>
        <v>augmentSkillName1,records/skillsearth/ringofflame_softenmetal.dbr,,</v>
      </c>
      <c r="G45" s="7">
        <f t="shared" si="10"/>
        <v>43</v>
      </c>
      <c r="H45" s="8" t="str">
        <f t="shared" si="11"/>
        <v>Earth</v>
      </c>
      <c r="I45" s="3" t="s">
        <v>724</v>
      </c>
      <c r="J45" s="8" t="str">
        <f t="shared" si="21"/>
        <v>class0022</v>
      </c>
      <c r="K45" s="8" t="str">
        <f t="shared" si="21"/>
        <v>dailoneskill0022</v>
      </c>
      <c r="L45" s="5" t="str">
        <f t="shared" si="4"/>
        <v>lootName43,DAIL/items/materia/class0022/Earth43.dbr,</v>
      </c>
      <c r="M45" s="5" t="str">
        <f t="shared" si="5"/>
        <v>lootWeight43,1,</v>
      </c>
      <c r="N45" t="str">
        <f t="shared" si="6"/>
        <v>5</v>
      </c>
      <c r="O45" t="str">
        <f t="shared" si="16"/>
        <v>copy .\dail_base3.dbr .\items\materia\class0022\Earth43.dbr /y</v>
      </c>
      <c r="P45" t="str">
        <f t="shared" si="7"/>
        <v>echo relicBitmap,items/craftingparts/components/component_a52_bristlyfur_b.tex, &gt;&gt; .\items\materia\class0022\Earth43.dbr</v>
      </c>
      <c r="Q45" t="str">
        <f t="shared" si="7"/>
        <v>echo itemCost,500000, &gt;&gt; .\items\materia\class0022\Earth43.dbr</v>
      </c>
      <c r="R45" t="str">
        <f t="shared" si="7"/>
        <v>echo description,dailCompDescEarth43, &gt;&gt; .\items\materia\class0022\Earth43.dbr</v>
      </c>
      <c r="S45" t="str">
        <f t="shared" si="7"/>
        <v>echo itemText,dailCompTextEarth43, &gt;&gt; .\items\materia\class0022\Earth43.dbr</v>
      </c>
      <c r="T45" t="str">
        <f t="shared" si="7"/>
        <v>echo augmentSkillLevel1,5, &gt;&gt; .\items\materia\class0022\Earth43.dbr</v>
      </c>
      <c r="U45" t="str">
        <f t="shared" si="7"/>
        <v>echo augmentSkillName1,records/skillsearth/ringofflame_softenmetal.dbr,, &gt;&gt; .\items\materia\class0022\Earth43.dbr</v>
      </c>
      <c r="V45" s="5" t="s">
        <v>36</v>
      </c>
      <c r="W45" t="str">
        <f t="shared" si="8"/>
        <v>echo lootName43,DAIL/items/materia/class0022/Earth43.dbr, &gt;&gt; .\items\loottables\dailoneskill0022.dbr</v>
      </c>
      <c r="X45" t="str">
        <f t="shared" si="8"/>
        <v>echo lootWeight43,1, &gt;&gt; .\items\loottables\dailoneskill0022.dbr</v>
      </c>
      <c r="Y45" s="5" t="s">
        <v>36</v>
      </c>
      <c r="Z45" t="str">
        <f t="shared" si="9"/>
        <v xml:space="preserve"> dailCompDescEarth43=^pEarth's Gift of DAIL</v>
      </c>
      <c r="AA45" t="str">
        <f t="shared" si="17"/>
        <v>dailCompTextEarth43=^oThis feels warm to the touch, almost familiar ^w(This component only fits into the Medal Slot)</v>
      </c>
      <c r="AB45" s="5" t="s">
        <v>36</v>
      </c>
      <c r="AH45">
        <f t="shared" si="19"/>
        <v>40</v>
      </c>
      <c r="AI45">
        <f t="shared" si="13"/>
        <v>34</v>
      </c>
      <c r="AJ45">
        <f t="shared" si="18"/>
        <v>5</v>
      </c>
    </row>
    <row r="46" spans="1:36" x14ac:dyDescent="0.25">
      <c r="A46" s="5" t="s">
        <v>39</v>
      </c>
      <c r="B46" s="5" t="s">
        <v>30</v>
      </c>
      <c r="C46" s="5" t="str">
        <f t="shared" si="0"/>
        <v>description,dailCompDescEarth44,</v>
      </c>
      <c r="D46" s="5" t="str">
        <f t="shared" si="2"/>
        <v>itemText,dailCompTextEarth44,</v>
      </c>
      <c r="E46" s="5" t="str">
        <f t="shared" si="14"/>
        <v>augmentSkillLevel1,5,</v>
      </c>
      <c r="F46" s="5" t="str">
        <f t="shared" si="15"/>
        <v>augmentSkillName1,records/skillsearth/volcanicorb.dbr,,</v>
      </c>
      <c r="G46" s="7">
        <f t="shared" si="10"/>
        <v>44</v>
      </c>
      <c r="H46" s="8" t="str">
        <f t="shared" si="11"/>
        <v>Earth</v>
      </c>
      <c r="I46" s="3" t="s">
        <v>705</v>
      </c>
      <c r="J46" s="8" t="str">
        <f t="shared" si="21"/>
        <v>class0022</v>
      </c>
      <c r="K46" s="8" t="str">
        <f t="shared" si="21"/>
        <v>dailoneskill0022</v>
      </c>
      <c r="L46" s="5" t="str">
        <f t="shared" si="4"/>
        <v>lootName44,DAIL/items/materia/class0022/Earth44.dbr,</v>
      </c>
      <c r="M46" s="5" t="str">
        <f t="shared" si="5"/>
        <v>lootWeight44,1,</v>
      </c>
      <c r="N46" t="str">
        <f t="shared" si="6"/>
        <v>5</v>
      </c>
      <c r="O46" t="str">
        <f t="shared" si="16"/>
        <v>copy .\dail_base3.dbr .\items\materia\class0022\Earth44.dbr /y</v>
      </c>
      <c r="P46" t="str">
        <f t="shared" si="7"/>
        <v>echo relicBitmap,items/craftingparts/components/component_a52_bristlyfur_b.tex, &gt;&gt; .\items\materia\class0022\Earth44.dbr</v>
      </c>
      <c r="Q46" t="str">
        <f t="shared" si="7"/>
        <v>echo itemCost,500000, &gt;&gt; .\items\materia\class0022\Earth44.dbr</v>
      </c>
      <c r="R46" t="str">
        <f t="shared" si="7"/>
        <v>echo description,dailCompDescEarth44, &gt;&gt; .\items\materia\class0022\Earth44.dbr</v>
      </c>
      <c r="S46" t="str">
        <f t="shared" si="7"/>
        <v>echo itemText,dailCompTextEarth44, &gt;&gt; .\items\materia\class0022\Earth44.dbr</v>
      </c>
      <c r="T46" t="str">
        <f t="shared" si="7"/>
        <v>echo augmentSkillLevel1,5, &gt;&gt; .\items\materia\class0022\Earth44.dbr</v>
      </c>
      <c r="U46" t="str">
        <f t="shared" si="7"/>
        <v>echo augmentSkillName1,records/skillsearth/volcanicorb.dbr,, &gt;&gt; .\items\materia\class0022\Earth44.dbr</v>
      </c>
      <c r="V46" s="5" t="s">
        <v>36</v>
      </c>
      <c r="W46" t="str">
        <f t="shared" si="8"/>
        <v>echo lootName44,DAIL/items/materia/class0022/Earth44.dbr, &gt;&gt; .\items\loottables\dailoneskill0022.dbr</v>
      </c>
      <c r="X46" t="str">
        <f t="shared" si="8"/>
        <v>echo lootWeight44,1, &gt;&gt; .\items\loottables\dailoneskill0022.dbr</v>
      </c>
      <c r="Y46" s="5" t="s">
        <v>36</v>
      </c>
      <c r="Z46" t="str">
        <f t="shared" si="9"/>
        <v xml:space="preserve"> dailCompDescEarth44=^pEarth's Gift of DAIL</v>
      </c>
      <c r="AA46" t="str">
        <f t="shared" si="17"/>
        <v>dailCompTextEarth44=^oThis feels warm to the touch, almost familiar ^w(This component only fits into the Medal Slot)</v>
      </c>
      <c r="AB46" s="5" t="s">
        <v>36</v>
      </c>
      <c r="AH46">
        <f t="shared" si="19"/>
        <v>41</v>
      </c>
      <c r="AI46">
        <f t="shared" si="13"/>
        <v>22</v>
      </c>
      <c r="AJ46">
        <f t="shared" si="18"/>
        <v>5</v>
      </c>
    </row>
    <row r="47" spans="1:36" x14ac:dyDescent="0.25">
      <c r="A47" s="5" t="s">
        <v>39</v>
      </c>
      <c r="B47" s="5" t="s">
        <v>30</v>
      </c>
      <c r="C47" s="5" t="str">
        <f t="shared" si="0"/>
        <v>description,dailCompDescEarth45,</v>
      </c>
      <c r="D47" s="5" t="str">
        <f t="shared" si="2"/>
        <v>itemText,dailCompTextEarth45,</v>
      </c>
      <c r="E47" s="5" t="str">
        <f t="shared" si="14"/>
        <v>augmentSkillLevel1,5,</v>
      </c>
      <c r="F47" s="5" t="str">
        <f t="shared" si="15"/>
        <v>augmentSkillName1,records/skillsearth/volcanicorb_immolation.dbr,,</v>
      </c>
      <c r="G47" s="7">
        <f t="shared" si="10"/>
        <v>45</v>
      </c>
      <c r="H47" s="8" t="str">
        <f t="shared" si="11"/>
        <v>Earth</v>
      </c>
      <c r="I47" s="3" t="s">
        <v>706</v>
      </c>
      <c r="J47" s="8" t="str">
        <f t="shared" si="21"/>
        <v>class0022</v>
      </c>
      <c r="K47" s="8" t="str">
        <f t="shared" si="21"/>
        <v>dailoneskill0022</v>
      </c>
      <c r="L47" s="5" t="str">
        <f t="shared" si="4"/>
        <v>lootName45,DAIL/items/materia/class0022/Earth45.dbr,</v>
      </c>
      <c r="M47" s="5" t="str">
        <f t="shared" si="5"/>
        <v>lootWeight45,1,</v>
      </c>
      <c r="N47" t="str">
        <f t="shared" si="6"/>
        <v>5</v>
      </c>
      <c r="O47" t="str">
        <f t="shared" si="16"/>
        <v>copy .\dail_base3.dbr .\items\materia\class0022\Earth45.dbr /y</v>
      </c>
      <c r="P47" t="str">
        <f t="shared" si="7"/>
        <v>echo relicBitmap,items/craftingparts/components/component_a52_bristlyfur_b.tex, &gt;&gt; .\items\materia\class0022\Earth45.dbr</v>
      </c>
      <c r="Q47" t="str">
        <f t="shared" si="7"/>
        <v>echo itemCost,500000, &gt;&gt; .\items\materia\class0022\Earth45.dbr</v>
      </c>
      <c r="R47" t="str">
        <f t="shared" si="7"/>
        <v>echo description,dailCompDescEarth45, &gt;&gt; .\items\materia\class0022\Earth45.dbr</v>
      </c>
      <c r="S47" t="str">
        <f t="shared" si="7"/>
        <v>echo itemText,dailCompTextEarth45, &gt;&gt; .\items\materia\class0022\Earth45.dbr</v>
      </c>
      <c r="T47" t="str">
        <f t="shared" si="7"/>
        <v>echo augmentSkillLevel1,5, &gt;&gt; .\items\materia\class0022\Earth45.dbr</v>
      </c>
      <c r="U47" t="str">
        <f t="shared" si="7"/>
        <v>echo augmentSkillName1,records/skillsearth/volcanicorb_immolation.dbr,, &gt;&gt; .\items\materia\class0022\Earth45.dbr</v>
      </c>
      <c r="V47" s="5" t="s">
        <v>36</v>
      </c>
      <c r="W47" t="str">
        <f t="shared" si="8"/>
        <v>echo lootName45,DAIL/items/materia/class0022/Earth45.dbr, &gt;&gt; .\items\loottables\dailoneskill0022.dbr</v>
      </c>
      <c r="X47" t="str">
        <f t="shared" si="8"/>
        <v>echo lootWeight45,1, &gt;&gt; .\items\loottables\dailoneskill0022.dbr</v>
      </c>
      <c r="Y47" s="5" t="s">
        <v>36</v>
      </c>
      <c r="Z47" t="str">
        <f t="shared" si="9"/>
        <v xml:space="preserve"> dailCompDescEarth45=^pEarth's Gift of DAIL</v>
      </c>
      <c r="AA47" t="str">
        <f t="shared" si="17"/>
        <v>dailCompTextEarth45=^oThis feels warm to the touch, almost familiar ^w(This component only fits into the Medal Slot)</v>
      </c>
      <c r="AB47" s="5" t="s">
        <v>36</v>
      </c>
      <c r="AH47">
        <f t="shared" si="19"/>
        <v>42</v>
      </c>
      <c r="AI47">
        <f t="shared" si="13"/>
        <v>33</v>
      </c>
      <c r="AJ47">
        <f t="shared" si="18"/>
        <v>5</v>
      </c>
    </row>
    <row r="48" spans="1:36" x14ac:dyDescent="0.25">
      <c r="A48" s="5" t="s">
        <v>39</v>
      </c>
      <c r="B48" s="5" t="s">
        <v>30</v>
      </c>
      <c r="C48" s="5" t="str">
        <f t="shared" si="0"/>
        <v>description,dailCompDescEarth46,</v>
      </c>
      <c r="D48" s="5" t="str">
        <f t="shared" si="2"/>
        <v>itemText,dailCompTextEarth46,</v>
      </c>
      <c r="E48" s="5" t="str">
        <f t="shared" si="14"/>
        <v>augmentSkillLevel1,5,</v>
      </c>
      <c r="F48" s="5" t="str">
        <f t="shared" si="15"/>
        <v>augmentSkillName1,records/skillsearth/volcanicorb_fragmentation.dbr,,</v>
      </c>
      <c r="G48" s="7">
        <f t="shared" si="10"/>
        <v>46</v>
      </c>
      <c r="H48" s="8" t="str">
        <f t="shared" si="11"/>
        <v>Earth</v>
      </c>
      <c r="I48" s="3" t="s">
        <v>707</v>
      </c>
      <c r="J48" s="8" t="str">
        <f t="shared" si="21"/>
        <v>class0022</v>
      </c>
      <c r="K48" s="8" t="str">
        <f t="shared" si="21"/>
        <v>dailoneskill0022</v>
      </c>
      <c r="L48" s="5" t="str">
        <f t="shared" si="4"/>
        <v>lootName46,DAIL/items/materia/class0022/Earth46.dbr,</v>
      </c>
      <c r="M48" s="5" t="str">
        <f t="shared" si="5"/>
        <v>lootWeight46,1,</v>
      </c>
      <c r="N48" t="str">
        <f t="shared" si="6"/>
        <v>5</v>
      </c>
      <c r="O48" t="str">
        <f t="shared" si="16"/>
        <v>copy .\dail_base3.dbr .\items\materia\class0022\Earth46.dbr /y</v>
      </c>
      <c r="P48" t="str">
        <f t="shared" si="7"/>
        <v>echo relicBitmap,items/craftingparts/components/component_a52_bristlyfur_b.tex, &gt;&gt; .\items\materia\class0022\Earth46.dbr</v>
      </c>
      <c r="Q48" t="str">
        <f t="shared" si="7"/>
        <v>echo itemCost,500000, &gt;&gt; .\items\materia\class0022\Earth46.dbr</v>
      </c>
      <c r="R48" t="str">
        <f t="shared" si="7"/>
        <v>echo description,dailCompDescEarth46, &gt;&gt; .\items\materia\class0022\Earth46.dbr</v>
      </c>
      <c r="S48" t="str">
        <f t="shared" si="7"/>
        <v>echo itemText,dailCompTextEarth46, &gt;&gt; .\items\materia\class0022\Earth46.dbr</v>
      </c>
      <c r="T48" t="str">
        <f t="shared" si="7"/>
        <v>echo augmentSkillLevel1,5, &gt;&gt; .\items\materia\class0022\Earth46.dbr</v>
      </c>
      <c r="U48" t="str">
        <f t="shared" si="7"/>
        <v>echo augmentSkillName1,records/skillsearth/volcanicorb_fragmentation.dbr,, &gt;&gt; .\items\materia\class0022\Earth46.dbr</v>
      </c>
      <c r="V48" s="5" t="s">
        <v>36</v>
      </c>
      <c r="W48" t="str">
        <f t="shared" si="8"/>
        <v>echo lootName46,DAIL/items/materia/class0022/Earth46.dbr, &gt;&gt; .\items\loottables\dailoneskill0022.dbr</v>
      </c>
      <c r="X48" t="str">
        <f t="shared" si="8"/>
        <v>echo lootWeight46,1, &gt;&gt; .\items\loottables\dailoneskill0022.dbr</v>
      </c>
      <c r="Y48" s="5" t="s">
        <v>36</v>
      </c>
      <c r="Z48" t="str">
        <f t="shared" si="9"/>
        <v xml:space="preserve"> dailCompDescEarth46=^pEarth's Gift of DAIL</v>
      </c>
      <c r="AA48" t="str">
        <f t="shared" si="17"/>
        <v>dailCompTextEarth46=^oThis feels warm to the touch, almost familiar ^w(This component only fits into the Medal Slot)</v>
      </c>
      <c r="AB48" s="5" t="s">
        <v>36</v>
      </c>
      <c r="AH48">
        <f t="shared" si="19"/>
        <v>43</v>
      </c>
      <c r="AI48">
        <f t="shared" si="13"/>
        <v>36</v>
      </c>
      <c r="AJ48">
        <f t="shared" si="18"/>
        <v>5</v>
      </c>
    </row>
    <row r="49" spans="1:36" x14ac:dyDescent="0.25">
      <c r="A49" s="5" t="s">
        <v>39</v>
      </c>
      <c r="B49" s="5" t="s">
        <v>30</v>
      </c>
      <c r="C49" s="5" t="str">
        <f t="shared" si="0"/>
        <v>description,dailCompDescEarth47,</v>
      </c>
      <c r="D49" s="5" t="str">
        <f t="shared" si="2"/>
        <v>itemText,dailCompTextEarth47,</v>
      </c>
      <c r="E49" s="5" t="str">
        <f t="shared" si="14"/>
        <v>augmentSkillLevel1,5,</v>
      </c>
      <c r="F49" s="5" t="str">
        <f t="shared" si="15"/>
        <v>augmentSkillName1,records/skillsearth/volatility.dbr,,</v>
      </c>
      <c r="G49" s="7">
        <f t="shared" si="10"/>
        <v>47</v>
      </c>
      <c r="H49" s="8" t="str">
        <f t="shared" si="11"/>
        <v>Earth</v>
      </c>
      <c r="I49" s="3" t="s">
        <v>708</v>
      </c>
      <c r="J49" s="8" t="str">
        <f t="shared" si="21"/>
        <v>class0022</v>
      </c>
      <c r="K49" s="8" t="str">
        <f t="shared" si="21"/>
        <v>dailoneskill0022</v>
      </c>
      <c r="L49" s="5" t="str">
        <f t="shared" si="4"/>
        <v>lootName47,DAIL/items/materia/class0022/Earth47.dbr,</v>
      </c>
      <c r="M49" s="5" t="str">
        <f t="shared" si="5"/>
        <v>lootWeight47,1,</v>
      </c>
      <c r="N49" t="str">
        <f t="shared" si="6"/>
        <v>5</v>
      </c>
      <c r="O49" t="str">
        <f t="shared" si="16"/>
        <v>copy .\dail_base3.dbr .\items\materia\class0022\Earth47.dbr /y</v>
      </c>
      <c r="P49" t="str">
        <f t="shared" si="7"/>
        <v>echo relicBitmap,items/craftingparts/components/component_a52_bristlyfur_b.tex, &gt;&gt; .\items\materia\class0022\Earth47.dbr</v>
      </c>
      <c r="Q49" t="str">
        <f t="shared" si="7"/>
        <v>echo itemCost,500000, &gt;&gt; .\items\materia\class0022\Earth47.dbr</v>
      </c>
      <c r="R49" t="str">
        <f t="shared" si="7"/>
        <v>echo description,dailCompDescEarth47, &gt;&gt; .\items\materia\class0022\Earth47.dbr</v>
      </c>
      <c r="S49" t="str">
        <f t="shared" si="7"/>
        <v>echo itemText,dailCompTextEarth47, &gt;&gt; .\items\materia\class0022\Earth47.dbr</v>
      </c>
      <c r="T49" t="str">
        <f t="shared" si="7"/>
        <v>echo augmentSkillLevel1,5, &gt;&gt; .\items\materia\class0022\Earth47.dbr</v>
      </c>
      <c r="U49" t="str">
        <f t="shared" si="7"/>
        <v>echo augmentSkillName1,records/skillsearth/volatility.dbr,, &gt;&gt; .\items\materia\class0022\Earth47.dbr</v>
      </c>
      <c r="V49" s="5" t="s">
        <v>36</v>
      </c>
      <c r="W49" t="str">
        <f t="shared" si="8"/>
        <v>echo lootName47,DAIL/items/materia/class0022/Earth47.dbr, &gt;&gt; .\items\loottables\dailoneskill0022.dbr</v>
      </c>
      <c r="X49" t="str">
        <f t="shared" si="8"/>
        <v>echo lootWeight47,1, &gt;&gt; .\items\loottables\dailoneskill0022.dbr</v>
      </c>
      <c r="Y49" s="5" t="s">
        <v>36</v>
      </c>
      <c r="Z49" t="str">
        <f t="shared" si="9"/>
        <v xml:space="preserve"> dailCompDescEarth47=^pEarth's Gift of DAIL</v>
      </c>
      <c r="AA49" t="str">
        <f t="shared" si="17"/>
        <v>dailCompTextEarth47=^oThis feels warm to the touch, almost familiar ^w(This component only fits into the Medal Slot)</v>
      </c>
      <c r="AB49" s="5" t="s">
        <v>36</v>
      </c>
      <c r="AH49">
        <f t="shared" si="19"/>
        <v>44</v>
      </c>
      <c r="AI49">
        <f t="shared" si="13"/>
        <v>21</v>
      </c>
      <c r="AJ49">
        <f t="shared" si="18"/>
        <v>5</v>
      </c>
    </row>
    <row r="50" spans="1:36" x14ac:dyDescent="0.25">
      <c r="A50" s="5" t="s">
        <v>39</v>
      </c>
      <c r="B50" s="5" t="s">
        <v>30</v>
      </c>
      <c r="C50" s="5" t="str">
        <f t="shared" si="0"/>
        <v>description,dailCompDescEarth48,</v>
      </c>
      <c r="D50" s="5" t="str">
        <f t="shared" si="2"/>
        <v>itemText,dailCompTextEarth48,</v>
      </c>
      <c r="E50" s="5" t="str">
        <f t="shared" si="14"/>
        <v>augmentSkillLevel1,5,</v>
      </c>
      <c r="F50" s="5" t="str">
        <f t="shared" si="15"/>
        <v>augmentSkillName1,records/skillsearth/coredweller.dbr,,</v>
      </c>
      <c r="G50" s="7">
        <f t="shared" si="10"/>
        <v>48</v>
      </c>
      <c r="H50" s="8" t="str">
        <f t="shared" si="11"/>
        <v>Earth</v>
      </c>
      <c r="I50" s="3" t="s">
        <v>709</v>
      </c>
      <c r="J50" s="8" t="str">
        <f t="shared" si="21"/>
        <v>class0022</v>
      </c>
      <c r="K50" s="8" t="str">
        <f t="shared" si="21"/>
        <v>dailoneskill0022</v>
      </c>
      <c r="L50" s="5" t="str">
        <f t="shared" si="4"/>
        <v>lootName48,DAIL/items/materia/class0022/Earth48.dbr,</v>
      </c>
      <c r="M50" s="5" t="str">
        <f t="shared" si="5"/>
        <v>lootWeight48,1,</v>
      </c>
      <c r="N50" t="str">
        <f t="shared" si="6"/>
        <v>5</v>
      </c>
      <c r="O50" t="str">
        <f t="shared" si="16"/>
        <v>copy .\dail_base3.dbr .\items\materia\class0022\Earth48.dbr /y</v>
      </c>
      <c r="P50" t="str">
        <f t="shared" si="7"/>
        <v>echo relicBitmap,items/craftingparts/components/component_a52_bristlyfur_b.tex, &gt;&gt; .\items\materia\class0022\Earth48.dbr</v>
      </c>
      <c r="Q50" t="str">
        <f t="shared" si="7"/>
        <v>echo itemCost,500000, &gt;&gt; .\items\materia\class0022\Earth48.dbr</v>
      </c>
      <c r="R50" t="str">
        <f t="shared" si="7"/>
        <v>echo description,dailCompDescEarth48, &gt;&gt; .\items\materia\class0022\Earth48.dbr</v>
      </c>
      <c r="S50" t="str">
        <f t="shared" si="7"/>
        <v>echo itemText,dailCompTextEarth48, &gt;&gt; .\items\materia\class0022\Earth48.dbr</v>
      </c>
      <c r="T50" t="str">
        <f t="shared" si="7"/>
        <v>echo augmentSkillLevel1,5, &gt;&gt; .\items\materia\class0022\Earth48.dbr</v>
      </c>
      <c r="U50" t="str">
        <f t="shared" si="7"/>
        <v>echo augmentSkillName1,records/skillsearth/coredweller.dbr,, &gt;&gt; .\items\materia\class0022\Earth48.dbr</v>
      </c>
      <c r="V50" s="5" t="s">
        <v>36</v>
      </c>
      <c r="W50" t="str">
        <f t="shared" si="8"/>
        <v>echo lootName48,DAIL/items/materia/class0022/Earth48.dbr, &gt;&gt; .\items\loottables\dailoneskill0022.dbr</v>
      </c>
      <c r="X50" t="str">
        <f t="shared" si="8"/>
        <v>echo lootWeight48,1, &gt;&gt; .\items\loottables\dailoneskill0022.dbr</v>
      </c>
      <c r="Y50" s="5" t="s">
        <v>36</v>
      </c>
      <c r="Z50" t="str">
        <f t="shared" si="9"/>
        <v xml:space="preserve"> dailCompDescEarth48=^pEarth's Gift of DAIL</v>
      </c>
      <c r="AA50" t="str">
        <f t="shared" si="17"/>
        <v>dailCompTextEarth48=^oThis feels warm to the touch, almost familiar ^w(This component only fits into the Medal Slot)</v>
      </c>
      <c r="AB50" s="5" t="s">
        <v>36</v>
      </c>
      <c r="AH50">
        <f t="shared" si="19"/>
        <v>45</v>
      </c>
      <c r="AI50">
        <f t="shared" si="13"/>
        <v>22</v>
      </c>
      <c r="AJ50">
        <f t="shared" si="18"/>
        <v>5</v>
      </c>
    </row>
    <row r="51" spans="1:36" x14ac:dyDescent="0.25">
      <c r="A51" s="5" t="s">
        <v>39</v>
      </c>
      <c r="B51" s="5" t="s">
        <v>30</v>
      </c>
      <c r="C51" s="5" t="str">
        <f t="shared" si="0"/>
        <v>description,dailCompDescEarth49,</v>
      </c>
      <c r="D51" s="5" t="str">
        <f t="shared" si="2"/>
        <v>itemText,dailCompTextEarth49,</v>
      </c>
      <c r="E51" s="5" t="str">
        <f t="shared" si="14"/>
        <v>augmentSkillLevel1,5,</v>
      </c>
      <c r="F51" s="5" t="str">
        <f t="shared" si="15"/>
        <v>augmentSkillName1,records/skillsearth/coredweller_petmodifier_innerfire.dbr,,</v>
      </c>
      <c r="G51" s="7">
        <f t="shared" si="10"/>
        <v>49</v>
      </c>
      <c r="H51" s="8" t="str">
        <f t="shared" si="11"/>
        <v>Earth</v>
      </c>
      <c r="I51" s="3" t="s">
        <v>710</v>
      </c>
      <c r="J51" s="8" t="str">
        <f t="shared" si="21"/>
        <v>class0022</v>
      </c>
      <c r="K51" s="8" t="str">
        <f t="shared" si="21"/>
        <v>dailoneskill0022</v>
      </c>
      <c r="L51" s="5" t="str">
        <f t="shared" si="4"/>
        <v>lootName49,DAIL/items/materia/class0022/Earth49.dbr,</v>
      </c>
      <c r="M51" s="5" t="str">
        <f t="shared" si="5"/>
        <v>lootWeight49,1,</v>
      </c>
      <c r="N51" t="str">
        <f t="shared" si="6"/>
        <v>5</v>
      </c>
      <c r="O51" t="str">
        <f t="shared" si="16"/>
        <v>copy .\dail_base3.dbr .\items\materia\class0022\Earth49.dbr /y</v>
      </c>
      <c r="P51" t="str">
        <f t="shared" si="7"/>
        <v>echo relicBitmap,items/craftingparts/components/component_a52_bristlyfur_b.tex, &gt;&gt; .\items\materia\class0022\Earth49.dbr</v>
      </c>
      <c r="Q51" t="str">
        <f t="shared" si="7"/>
        <v>echo itemCost,500000, &gt;&gt; .\items\materia\class0022\Earth49.dbr</v>
      </c>
      <c r="R51" t="str">
        <f t="shared" si="7"/>
        <v>echo description,dailCompDescEarth49, &gt;&gt; .\items\materia\class0022\Earth49.dbr</v>
      </c>
      <c r="S51" t="str">
        <f t="shared" si="7"/>
        <v>echo itemText,dailCompTextEarth49, &gt;&gt; .\items\materia\class0022\Earth49.dbr</v>
      </c>
      <c r="T51" t="str">
        <f t="shared" si="7"/>
        <v>echo augmentSkillLevel1,5, &gt;&gt; .\items\materia\class0022\Earth49.dbr</v>
      </c>
      <c r="U51" t="str">
        <f t="shared" si="7"/>
        <v>echo augmentSkillName1,records/skillsearth/coredweller_petmodifier_innerfire.dbr,, &gt;&gt; .\items\materia\class0022\Earth49.dbr</v>
      </c>
      <c r="V51" s="5" t="s">
        <v>36</v>
      </c>
      <c r="W51" t="str">
        <f t="shared" si="8"/>
        <v>echo lootName49,DAIL/items/materia/class0022/Earth49.dbr, &gt;&gt; .\items\loottables\dailoneskill0022.dbr</v>
      </c>
      <c r="X51" t="str">
        <f t="shared" si="8"/>
        <v>echo lootWeight49,1, &gt;&gt; .\items\loottables\dailoneskill0022.dbr</v>
      </c>
      <c r="Y51" s="5" t="s">
        <v>36</v>
      </c>
      <c r="Z51" t="str">
        <f t="shared" si="9"/>
        <v xml:space="preserve"> dailCompDescEarth49=^pEarth's Gift of DAIL</v>
      </c>
      <c r="AA51" t="str">
        <f t="shared" si="17"/>
        <v>dailCompTextEarth49=^oThis feels warm to the touch, almost familiar ^w(This component only fits into the Medal Slot)</v>
      </c>
      <c r="AB51" s="5" t="s">
        <v>36</v>
      </c>
      <c r="AH51">
        <f t="shared" si="19"/>
        <v>46</v>
      </c>
      <c r="AI51">
        <f t="shared" si="13"/>
        <v>44</v>
      </c>
      <c r="AJ51">
        <f t="shared" si="18"/>
        <v>5</v>
      </c>
    </row>
    <row r="52" spans="1:36" x14ac:dyDescent="0.25">
      <c r="A52" s="5" t="s">
        <v>39</v>
      </c>
      <c r="B52" s="5" t="s">
        <v>30</v>
      </c>
      <c r="C52" s="5" t="str">
        <f t="shared" si="0"/>
        <v>description,dailCompDescEarth50,</v>
      </c>
      <c r="D52" s="5" t="str">
        <f t="shared" si="2"/>
        <v>itemText,dailCompTextEarth50,</v>
      </c>
      <c r="E52" s="5" t="str">
        <f t="shared" si="14"/>
        <v>augmentSkillLevel1,5,</v>
      </c>
      <c r="F52" s="5" t="str">
        <f t="shared" si="15"/>
        <v>augmentSkillName1,records/skillsearth/coredweller_petmodifier_wildfire.dbr,,</v>
      </c>
      <c r="G52" s="7">
        <f t="shared" si="10"/>
        <v>50</v>
      </c>
      <c r="H52" s="8" t="str">
        <f t="shared" si="11"/>
        <v>Earth</v>
      </c>
      <c r="I52" s="3" t="s">
        <v>711</v>
      </c>
      <c r="J52" s="8" t="str">
        <f t="shared" si="21"/>
        <v>class0022</v>
      </c>
      <c r="K52" s="8" t="str">
        <f t="shared" si="21"/>
        <v>dailoneskill0022</v>
      </c>
      <c r="L52" s="5" t="str">
        <f t="shared" si="4"/>
        <v>lootName50,DAIL/items/materia/class0022/Earth50.dbr,</v>
      </c>
      <c r="M52" s="5" t="str">
        <f t="shared" si="5"/>
        <v>lootWeight50,1,</v>
      </c>
      <c r="N52" t="str">
        <f t="shared" si="6"/>
        <v>5</v>
      </c>
      <c r="O52" t="str">
        <f t="shared" si="16"/>
        <v>copy .\dail_base3.dbr .\items\materia\class0022\Earth50.dbr /y</v>
      </c>
      <c r="P52" t="str">
        <f t="shared" si="7"/>
        <v>echo relicBitmap,items/craftingparts/components/component_a52_bristlyfur_b.tex, &gt;&gt; .\items\materia\class0022\Earth50.dbr</v>
      </c>
      <c r="Q52" t="str">
        <f t="shared" si="7"/>
        <v>echo itemCost,500000, &gt;&gt; .\items\materia\class0022\Earth50.dbr</v>
      </c>
      <c r="R52" t="str">
        <f t="shared" si="7"/>
        <v>echo description,dailCompDescEarth50, &gt;&gt; .\items\materia\class0022\Earth50.dbr</v>
      </c>
      <c r="S52" t="str">
        <f t="shared" si="7"/>
        <v>echo itemText,dailCompTextEarth50, &gt;&gt; .\items\materia\class0022\Earth50.dbr</v>
      </c>
      <c r="T52" t="str">
        <f t="shared" si="7"/>
        <v>echo augmentSkillLevel1,5, &gt;&gt; .\items\materia\class0022\Earth50.dbr</v>
      </c>
      <c r="U52" t="str">
        <f t="shared" si="7"/>
        <v>echo augmentSkillName1,records/skillsearth/coredweller_petmodifier_wildfire.dbr,, &gt;&gt; .\items\materia\class0022\Earth50.dbr</v>
      </c>
      <c r="V52" s="5" t="s">
        <v>36</v>
      </c>
      <c r="W52" t="str">
        <f t="shared" si="8"/>
        <v>echo lootName50,DAIL/items/materia/class0022/Earth50.dbr, &gt;&gt; .\items\loottables\dailoneskill0022.dbr</v>
      </c>
      <c r="X52" t="str">
        <f t="shared" si="8"/>
        <v>echo lootWeight50,1, &gt;&gt; .\items\loottables\dailoneskill0022.dbr</v>
      </c>
      <c r="Y52" s="5" t="s">
        <v>36</v>
      </c>
      <c r="Z52" t="str">
        <f t="shared" si="9"/>
        <v xml:space="preserve"> dailCompDescEarth50=^pEarth's Gift of DAIL</v>
      </c>
      <c r="AA52" t="str">
        <f t="shared" si="17"/>
        <v>dailCompTextEarth50=^oThis feels warm to the touch, almost familiar ^w(This component only fits into the Medal Slot)</v>
      </c>
      <c r="AB52" s="5" t="s">
        <v>36</v>
      </c>
      <c r="AH52">
        <f t="shared" si="19"/>
        <v>47</v>
      </c>
      <c r="AI52">
        <f t="shared" si="13"/>
        <v>43</v>
      </c>
      <c r="AJ52">
        <f t="shared" si="18"/>
        <v>5</v>
      </c>
    </row>
    <row r="53" spans="1:36" x14ac:dyDescent="0.25">
      <c r="A53" s="5" t="s">
        <v>39</v>
      </c>
      <c r="B53" s="5" t="s">
        <v>30</v>
      </c>
      <c r="C53" s="5" t="str">
        <f t="shared" si="0"/>
        <v>description,dailCompDescEarth51,</v>
      </c>
      <c r="D53" s="5" t="str">
        <f t="shared" si="2"/>
        <v>itemText,dailCompTextEarth51,</v>
      </c>
      <c r="E53" s="5" t="str">
        <f t="shared" si="14"/>
        <v>augmentSkillLevel1,5,</v>
      </c>
      <c r="F53" s="5" t="str">
        <f t="shared" si="15"/>
        <v>augmentSkillName1,records/skillsearth/coredweller_petmodifier_metamorphosis.dbr,,</v>
      </c>
      <c r="G53" s="7">
        <f t="shared" si="10"/>
        <v>51</v>
      </c>
      <c r="H53" s="8" t="str">
        <f t="shared" si="11"/>
        <v>Earth</v>
      </c>
      <c r="I53" s="3" t="s">
        <v>712</v>
      </c>
      <c r="J53" s="8" t="str">
        <f t="shared" ref="J53:K68" si="22">J52</f>
        <v>class0022</v>
      </c>
      <c r="K53" s="8" t="str">
        <f t="shared" si="22"/>
        <v>dailoneskill0022</v>
      </c>
      <c r="L53" s="5" t="str">
        <f t="shared" si="4"/>
        <v>lootName51,DAIL/items/materia/class0022/Earth51.dbr,</v>
      </c>
      <c r="M53" s="5" t="str">
        <f t="shared" si="5"/>
        <v>lootWeight51,1,</v>
      </c>
      <c r="N53" t="str">
        <f t="shared" si="6"/>
        <v>5</v>
      </c>
      <c r="O53" t="str">
        <f t="shared" si="16"/>
        <v>copy .\dail_base3.dbr .\items\materia\class0022\Earth51.dbr /y</v>
      </c>
      <c r="P53" t="str">
        <f t="shared" si="7"/>
        <v>echo relicBitmap,items/craftingparts/components/component_a52_bristlyfur_b.tex, &gt;&gt; .\items\materia\class0022\Earth51.dbr</v>
      </c>
      <c r="Q53" t="str">
        <f t="shared" si="7"/>
        <v>echo itemCost,500000, &gt;&gt; .\items\materia\class0022\Earth51.dbr</v>
      </c>
      <c r="R53" t="str">
        <f t="shared" si="7"/>
        <v>echo description,dailCompDescEarth51, &gt;&gt; .\items\materia\class0022\Earth51.dbr</v>
      </c>
      <c r="S53" t="str">
        <f t="shared" si="7"/>
        <v>echo itemText,dailCompTextEarth51, &gt;&gt; .\items\materia\class0022\Earth51.dbr</v>
      </c>
      <c r="T53" t="str">
        <f t="shared" si="7"/>
        <v>echo augmentSkillLevel1,5, &gt;&gt; .\items\materia\class0022\Earth51.dbr</v>
      </c>
      <c r="U53" t="str">
        <f t="shared" si="7"/>
        <v>echo augmentSkillName1,records/skillsearth/coredweller_petmodifier_metamorphosis.dbr,, &gt;&gt; .\items\materia\class0022\Earth51.dbr</v>
      </c>
      <c r="V53" s="5" t="s">
        <v>36</v>
      </c>
      <c r="W53" t="str">
        <f t="shared" si="8"/>
        <v>echo lootName51,DAIL/items/materia/class0022/Earth51.dbr, &gt;&gt; .\items\loottables\dailoneskill0022.dbr</v>
      </c>
      <c r="X53" t="str">
        <f t="shared" si="8"/>
        <v>echo lootWeight51,1, &gt;&gt; .\items\loottables\dailoneskill0022.dbr</v>
      </c>
      <c r="Y53" s="5" t="s">
        <v>36</v>
      </c>
      <c r="Z53" t="str">
        <f t="shared" si="9"/>
        <v xml:space="preserve"> dailCompDescEarth51=^pEarth's Gift of DAIL</v>
      </c>
      <c r="AA53" t="str">
        <f t="shared" si="17"/>
        <v>dailCompTextEarth51=^oThis feels warm to the touch, almost familiar ^w(This component only fits into the Medal Slot)</v>
      </c>
      <c r="AB53" s="5" t="s">
        <v>36</v>
      </c>
      <c r="AH53">
        <f t="shared" si="19"/>
        <v>48</v>
      </c>
      <c r="AI53">
        <f t="shared" si="13"/>
        <v>48</v>
      </c>
      <c r="AJ53">
        <f t="shared" si="18"/>
        <v>5</v>
      </c>
    </row>
    <row r="54" spans="1:36" x14ac:dyDescent="0.25">
      <c r="A54" s="5" t="s">
        <v>39</v>
      </c>
      <c r="B54" s="5" t="s">
        <v>30</v>
      </c>
      <c r="C54" s="5" t="str">
        <f t="shared" si="0"/>
        <v>description,dailCompDescEarth52,</v>
      </c>
      <c r="D54" s="5" t="str">
        <f t="shared" si="2"/>
        <v>itemText,dailCompTextEarth52,</v>
      </c>
      <c r="E54" s="5" t="str">
        <f t="shared" si="14"/>
        <v>augmentSkillLevel1,5,</v>
      </c>
      <c r="F54" s="5" t="str">
        <f t="shared" si="15"/>
        <v>augmentSkillName1,records/skillsearth/flamesurge.dbr,,</v>
      </c>
      <c r="G54" s="7">
        <f t="shared" si="10"/>
        <v>52</v>
      </c>
      <c r="H54" s="8" t="str">
        <f t="shared" si="11"/>
        <v>Earth</v>
      </c>
      <c r="I54" s="3" t="s">
        <v>713</v>
      </c>
      <c r="J54" s="8" t="str">
        <f t="shared" si="22"/>
        <v>class0022</v>
      </c>
      <c r="K54" s="8" t="str">
        <f t="shared" si="22"/>
        <v>dailoneskill0022</v>
      </c>
      <c r="L54" s="5" t="str">
        <f t="shared" si="4"/>
        <v>lootName52,DAIL/items/materia/class0022/Earth52.dbr,</v>
      </c>
      <c r="M54" s="5" t="str">
        <f t="shared" si="5"/>
        <v>lootWeight52,1,</v>
      </c>
      <c r="N54" t="str">
        <f t="shared" si="6"/>
        <v>5</v>
      </c>
      <c r="O54" t="str">
        <f t="shared" si="16"/>
        <v>copy .\dail_base3.dbr .\items\materia\class0022\Earth52.dbr /y</v>
      </c>
      <c r="P54" t="str">
        <f t="shared" si="7"/>
        <v>echo relicBitmap,items/craftingparts/components/component_a52_bristlyfur_b.tex, &gt;&gt; .\items\materia\class0022\Earth52.dbr</v>
      </c>
      <c r="Q54" t="str">
        <f t="shared" si="7"/>
        <v>echo itemCost,500000, &gt;&gt; .\items\materia\class0022\Earth52.dbr</v>
      </c>
      <c r="R54" t="str">
        <f t="shared" si="7"/>
        <v>echo description,dailCompDescEarth52, &gt;&gt; .\items\materia\class0022\Earth52.dbr</v>
      </c>
      <c r="S54" t="str">
        <f t="shared" si="7"/>
        <v>echo itemText,dailCompTextEarth52, &gt;&gt; .\items\materia\class0022\Earth52.dbr</v>
      </c>
      <c r="T54" t="str">
        <f t="shared" si="7"/>
        <v>echo augmentSkillLevel1,5, &gt;&gt; .\items\materia\class0022\Earth52.dbr</v>
      </c>
      <c r="U54" t="str">
        <f t="shared" si="7"/>
        <v>echo augmentSkillName1,records/skillsearth/flamesurge.dbr,, &gt;&gt; .\items\materia\class0022\Earth52.dbr</v>
      </c>
      <c r="V54" s="5" t="s">
        <v>36</v>
      </c>
      <c r="W54" t="str">
        <f t="shared" si="8"/>
        <v>echo lootName52,DAIL/items/materia/class0022/Earth52.dbr, &gt;&gt; .\items\loottables\dailoneskill0022.dbr</v>
      </c>
      <c r="X54" t="str">
        <f t="shared" si="8"/>
        <v>echo lootWeight52,1, &gt;&gt; .\items\loottables\dailoneskill0022.dbr</v>
      </c>
      <c r="Y54" s="5" t="s">
        <v>36</v>
      </c>
      <c r="Z54" t="str">
        <f t="shared" si="9"/>
        <v xml:space="preserve"> dailCompDescEarth52=^pEarth's Gift of DAIL</v>
      </c>
      <c r="AA54" t="str">
        <f t="shared" si="17"/>
        <v>dailCompTextEarth52=^oThis feels warm to the touch, almost familiar ^w(This component only fits into the Medal Slot)</v>
      </c>
      <c r="AB54" s="5" t="s">
        <v>36</v>
      </c>
      <c r="AH54">
        <f t="shared" si="19"/>
        <v>49</v>
      </c>
      <c r="AI54">
        <f t="shared" si="13"/>
        <v>21</v>
      </c>
      <c r="AJ54">
        <f t="shared" si="18"/>
        <v>5</v>
      </c>
    </row>
    <row r="55" spans="1:36" x14ac:dyDescent="0.25">
      <c r="A55" s="5" t="s">
        <v>39</v>
      </c>
      <c r="B55" s="5" t="s">
        <v>30</v>
      </c>
      <c r="C55" s="5" t="str">
        <f t="shared" si="0"/>
        <v>description,dailCompDescEarth53,</v>
      </c>
      <c r="D55" s="5" t="str">
        <f t="shared" si="2"/>
        <v>itemText,dailCompTextEarth53,</v>
      </c>
      <c r="E55" s="5" t="str">
        <f t="shared" si="14"/>
        <v>augmentSkillLevel1,5,</v>
      </c>
      <c r="F55" s="5" t="str">
        <f t="shared" si="15"/>
        <v>augmentSkillName1,records/skillsearth/flamesurge_barrage.dbr,,</v>
      </c>
      <c r="G55" s="7">
        <f t="shared" si="10"/>
        <v>53</v>
      </c>
      <c r="H55" s="8" t="str">
        <f t="shared" si="11"/>
        <v>Earth</v>
      </c>
      <c r="I55" s="3" t="s">
        <v>714</v>
      </c>
      <c r="J55" s="8" t="str">
        <f t="shared" si="22"/>
        <v>class0022</v>
      </c>
      <c r="K55" s="8" t="str">
        <f t="shared" si="22"/>
        <v>dailoneskill0022</v>
      </c>
      <c r="L55" s="5" t="str">
        <f t="shared" si="4"/>
        <v>lootName53,DAIL/items/materia/class0022/Earth53.dbr,</v>
      </c>
      <c r="M55" s="5" t="str">
        <f t="shared" si="5"/>
        <v>lootWeight53,1,</v>
      </c>
      <c r="N55" t="str">
        <f t="shared" si="6"/>
        <v>5</v>
      </c>
      <c r="O55" t="str">
        <f t="shared" si="16"/>
        <v>copy .\dail_base3.dbr .\items\materia\class0022\Earth53.dbr /y</v>
      </c>
      <c r="P55" t="str">
        <f t="shared" si="7"/>
        <v>echo relicBitmap,items/craftingparts/components/component_a52_bristlyfur_b.tex, &gt;&gt; .\items\materia\class0022\Earth53.dbr</v>
      </c>
      <c r="Q55" t="str">
        <f t="shared" si="7"/>
        <v>echo itemCost,500000, &gt;&gt; .\items\materia\class0022\Earth53.dbr</v>
      </c>
      <c r="R55" t="str">
        <f t="shared" si="7"/>
        <v>echo description,dailCompDescEarth53, &gt;&gt; .\items\materia\class0022\Earth53.dbr</v>
      </c>
      <c r="S55" t="str">
        <f t="shared" si="7"/>
        <v>echo itemText,dailCompTextEarth53, &gt;&gt; .\items\materia\class0022\Earth53.dbr</v>
      </c>
      <c r="T55" t="str">
        <f t="shared" si="7"/>
        <v>echo augmentSkillLevel1,5, &gt;&gt; .\items\materia\class0022\Earth53.dbr</v>
      </c>
      <c r="U55" t="str">
        <f t="shared" si="7"/>
        <v>echo augmentSkillName1,records/skillsearth/flamesurge_barrage.dbr,, &gt;&gt; .\items\materia\class0022\Earth53.dbr</v>
      </c>
      <c r="V55" s="5" t="s">
        <v>36</v>
      </c>
      <c r="W55" t="str">
        <f t="shared" si="8"/>
        <v>echo lootName53,DAIL/items/materia/class0022/Earth53.dbr, &gt;&gt; .\items\loottables\dailoneskill0022.dbr</v>
      </c>
      <c r="X55" t="str">
        <f t="shared" si="8"/>
        <v>echo lootWeight53,1, &gt;&gt; .\items\loottables\dailoneskill0022.dbr</v>
      </c>
      <c r="Y55" s="5" t="s">
        <v>36</v>
      </c>
      <c r="Z55" t="str">
        <f t="shared" si="9"/>
        <v xml:space="preserve"> dailCompDescEarth53=^pEarth's Gift of DAIL</v>
      </c>
      <c r="AA55" t="str">
        <f t="shared" si="17"/>
        <v>dailCompTextEarth53=^oThis feels warm to the touch, almost familiar ^w(This component only fits into the Medal Slot)</v>
      </c>
      <c r="AB55" s="5" t="s">
        <v>36</v>
      </c>
      <c r="AH55">
        <f t="shared" si="19"/>
        <v>50</v>
      </c>
      <c r="AI55">
        <f t="shared" si="13"/>
        <v>29</v>
      </c>
      <c r="AJ55">
        <f t="shared" si="18"/>
        <v>5</v>
      </c>
    </row>
    <row r="56" spans="1:36" x14ac:dyDescent="0.25">
      <c r="A56" s="5" t="s">
        <v>39</v>
      </c>
      <c r="B56" s="5" t="s">
        <v>30</v>
      </c>
      <c r="C56" s="5" t="str">
        <f t="shared" si="0"/>
        <v>description,dailCompDescEarth54,</v>
      </c>
      <c r="D56" s="5" t="str">
        <f t="shared" si="2"/>
        <v>itemText,dailCompTextEarth54,</v>
      </c>
      <c r="E56" s="5" t="str">
        <f t="shared" si="14"/>
        <v>augmentSkillLevel1,5,</v>
      </c>
      <c r="F56" s="5" t="str">
        <f t="shared" si="15"/>
        <v>augmentSkillName1,records/skillsearth/flamesurge_flamearch.dbr,,</v>
      </c>
      <c r="G56" s="7">
        <f t="shared" si="10"/>
        <v>54</v>
      </c>
      <c r="H56" s="8" t="str">
        <f t="shared" si="11"/>
        <v>Earth</v>
      </c>
      <c r="I56" s="3" t="s">
        <v>715</v>
      </c>
      <c r="J56" s="8" t="str">
        <f t="shared" si="22"/>
        <v>class0022</v>
      </c>
      <c r="K56" s="8" t="str">
        <f t="shared" si="22"/>
        <v>dailoneskill0022</v>
      </c>
      <c r="L56" s="5" t="str">
        <f t="shared" si="4"/>
        <v>lootName54,DAIL/items/materia/class0022/Earth54.dbr,</v>
      </c>
      <c r="M56" s="5" t="str">
        <f t="shared" si="5"/>
        <v>lootWeight54,1,</v>
      </c>
      <c r="N56" t="str">
        <f t="shared" si="6"/>
        <v>5</v>
      </c>
      <c r="O56" t="str">
        <f t="shared" si="16"/>
        <v>copy .\dail_base3.dbr .\items\materia\class0022\Earth54.dbr /y</v>
      </c>
      <c r="P56" t="str">
        <f t="shared" si="7"/>
        <v>echo relicBitmap,items/craftingparts/components/component_a52_bristlyfur_b.tex, &gt;&gt; .\items\materia\class0022\Earth54.dbr</v>
      </c>
      <c r="Q56" t="str">
        <f t="shared" si="7"/>
        <v>echo itemCost,500000, &gt;&gt; .\items\materia\class0022\Earth54.dbr</v>
      </c>
      <c r="R56" t="str">
        <f t="shared" si="7"/>
        <v>echo description,dailCompDescEarth54, &gt;&gt; .\items\materia\class0022\Earth54.dbr</v>
      </c>
      <c r="S56" t="str">
        <f t="shared" si="7"/>
        <v>echo itemText,dailCompTextEarth54, &gt;&gt; .\items\materia\class0022\Earth54.dbr</v>
      </c>
      <c r="T56" t="str">
        <f t="shared" si="7"/>
        <v>echo augmentSkillLevel1,5, &gt;&gt; .\items\materia\class0022\Earth54.dbr</v>
      </c>
      <c r="U56" t="str">
        <f t="shared" si="7"/>
        <v>echo augmentSkillName1,records/skillsearth/flamesurge_flamearch.dbr,, &gt;&gt; .\items\materia\class0022\Earth54.dbr</v>
      </c>
      <c r="V56" s="5" t="s">
        <v>36</v>
      </c>
      <c r="W56" t="str">
        <f t="shared" si="8"/>
        <v>echo lootName54,DAIL/items/materia/class0022/Earth54.dbr, &gt;&gt; .\items\loottables\dailoneskill0022.dbr</v>
      </c>
      <c r="X56" t="str">
        <f t="shared" si="8"/>
        <v>echo lootWeight54,1, &gt;&gt; .\items\loottables\dailoneskill0022.dbr</v>
      </c>
      <c r="Y56" s="5" t="s">
        <v>36</v>
      </c>
      <c r="Z56" t="str">
        <f t="shared" si="9"/>
        <v xml:space="preserve"> dailCompDescEarth54=^pEarth's Gift of DAIL</v>
      </c>
      <c r="AA56" t="str">
        <f t="shared" si="17"/>
        <v>dailCompTextEarth54=^oThis feels warm to the touch, almost familiar ^w(This component only fits into the Medal Slot)</v>
      </c>
      <c r="AB56" s="5" t="s">
        <v>36</v>
      </c>
      <c r="AH56">
        <f t="shared" si="19"/>
        <v>51</v>
      </c>
      <c r="AI56">
        <f t="shared" si="13"/>
        <v>31</v>
      </c>
      <c r="AJ56">
        <f t="shared" si="18"/>
        <v>5</v>
      </c>
    </row>
    <row r="57" spans="1:36" x14ac:dyDescent="0.25">
      <c r="A57" s="5" t="s">
        <v>39</v>
      </c>
      <c r="B57" s="5" t="s">
        <v>30</v>
      </c>
      <c r="C57" s="5" t="str">
        <f t="shared" si="0"/>
        <v>description,dailCompDescEarth55,</v>
      </c>
      <c r="D57" s="5" t="str">
        <f t="shared" si="2"/>
        <v>itemText,dailCompTextEarth55,</v>
      </c>
      <c r="E57" s="5" t="str">
        <f t="shared" si="14"/>
        <v>augmentSkillLevel1,5,</v>
      </c>
      <c r="F57" s="5" t="str">
        <f t="shared" si="15"/>
        <v>augmentSkillName1,records/skillsearth/heatshield.dbr,,</v>
      </c>
      <c r="G57" s="7">
        <f t="shared" si="10"/>
        <v>55</v>
      </c>
      <c r="H57" s="8" t="str">
        <f t="shared" si="11"/>
        <v>Earth</v>
      </c>
      <c r="I57" s="3" t="s">
        <v>716</v>
      </c>
      <c r="J57" s="8" t="str">
        <f t="shared" si="22"/>
        <v>class0022</v>
      </c>
      <c r="K57" s="8" t="str">
        <f t="shared" si="22"/>
        <v>dailoneskill0022</v>
      </c>
      <c r="L57" s="5" t="str">
        <f t="shared" si="4"/>
        <v>lootName55,DAIL/items/materia/class0022/Earth55.dbr,</v>
      </c>
      <c r="M57" s="5" t="str">
        <f t="shared" si="5"/>
        <v>lootWeight55,1,</v>
      </c>
      <c r="N57" t="str">
        <f t="shared" si="6"/>
        <v>5</v>
      </c>
      <c r="O57" t="str">
        <f t="shared" si="16"/>
        <v>copy .\dail_base3.dbr .\items\materia\class0022\Earth55.dbr /y</v>
      </c>
      <c r="P57" t="str">
        <f t="shared" si="7"/>
        <v>echo relicBitmap,items/craftingparts/components/component_a52_bristlyfur_b.tex, &gt;&gt; .\items\materia\class0022\Earth55.dbr</v>
      </c>
      <c r="Q57" t="str">
        <f t="shared" si="7"/>
        <v>echo itemCost,500000, &gt;&gt; .\items\materia\class0022\Earth55.dbr</v>
      </c>
      <c r="R57" t="str">
        <f t="shared" si="7"/>
        <v>echo description,dailCompDescEarth55, &gt;&gt; .\items\materia\class0022\Earth55.dbr</v>
      </c>
      <c r="S57" t="str">
        <f t="shared" si="7"/>
        <v>echo itemText,dailCompTextEarth55, &gt;&gt; .\items\materia\class0022\Earth55.dbr</v>
      </c>
      <c r="T57" t="str">
        <f t="shared" si="7"/>
        <v>echo augmentSkillLevel1,5, &gt;&gt; .\items\materia\class0022\Earth55.dbr</v>
      </c>
      <c r="U57" t="str">
        <f t="shared" si="7"/>
        <v>echo augmentSkillName1,records/skillsearth/heatshield.dbr,, &gt;&gt; .\items\materia\class0022\Earth55.dbr</v>
      </c>
      <c r="V57" s="5" t="s">
        <v>36</v>
      </c>
      <c r="W57" t="str">
        <f t="shared" si="8"/>
        <v>echo lootName55,DAIL/items/materia/class0022/Earth55.dbr, &gt;&gt; .\items\loottables\dailoneskill0022.dbr</v>
      </c>
      <c r="X57" t="str">
        <f t="shared" si="8"/>
        <v>echo lootWeight55,1, &gt;&gt; .\items\loottables\dailoneskill0022.dbr</v>
      </c>
      <c r="Y57" s="5" t="s">
        <v>36</v>
      </c>
      <c r="Z57" t="str">
        <f t="shared" si="9"/>
        <v xml:space="preserve"> dailCompDescEarth55=^pEarth's Gift of DAIL</v>
      </c>
      <c r="AA57" t="str">
        <f t="shared" si="17"/>
        <v>dailCompTextEarth55=^oThis feels warm to the touch, almost familiar ^w(This component only fits into the Medal Slot)</v>
      </c>
      <c r="AB57" s="5" t="s">
        <v>36</v>
      </c>
      <c r="AH57">
        <f t="shared" si="19"/>
        <v>52</v>
      </c>
      <c r="AI57">
        <f t="shared" si="13"/>
        <v>21</v>
      </c>
      <c r="AJ57">
        <f t="shared" si="18"/>
        <v>5</v>
      </c>
    </row>
    <row r="58" spans="1:36" x14ac:dyDescent="0.25">
      <c r="A58" s="5" t="s">
        <v>39</v>
      </c>
      <c r="B58" s="5" t="s">
        <v>30</v>
      </c>
      <c r="C58" s="5" t="str">
        <f t="shared" si="0"/>
        <v>description,dailCompDescEarth56,</v>
      </c>
      <c r="D58" s="5" t="str">
        <f t="shared" si="2"/>
        <v>itemText,dailCompTextEarth56,</v>
      </c>
      <c r="E58" s="5" t="str">
        <f t="shared" si="14"/>
        <v>augmentSkillLevel1,5,</v>
      </c>
      <c r="F58" s="5" t="str">
        <f t="shared" si="15"/>
        <v>augmentSkillName1,records/skillsearth/fireenchantment.dbr,,</v>
      </c>
      <c r="G58" s="7">
        <f t="shared" si="10"/>
        <v>56</v>
      </c>
      <c r="H58" s="8" t="str">
        <f t="shared" si="11"/>
        <v>Earth</v>
      </c>
      <c r="I58" s="3" t="s">
        <v>717</v>
      </c>
      <c r="J58" s="8" t="str">
        <f t="shared" si="22"/>
        <v>class0022</v>
      </c>
      <c r="K58" s="8" t="str">
        <f t="shared" si="22"/>
        <v>dailoneskill0022</v>
      </c>
      <c r="L58" s="5" t="str">
        <f t="shared" si="4"/>
        <v>lootName56,DAIL/items/materia/class0022/Earth56.dbr,</v>
      </c>
      <c r="M58" s="5" t="str">
        <f t="shared" si="5"/>
        <v>lootWeight56,1,</v>
      </c>
      <c r="N58" t="str">
        <f t="shared" si="6"/>
        <v>5</v>
      </c>
      <c r="O58" t="str">
        <f t="shared" si="16"/>
        <v>copy .\dail_base3.dbr .\items\materia\class0022\Earth56.dbr /y</v>
      </c>
      <c r="P58" t="str">
        <f t="shared" si="7"/>
        <v>echo relicBitmap,items/craftingparts/components/component_a52_bristlyfur_b.tex, &gt;&gt; .\items\materia\class0022\Earth56.dbr</v>
      </c>
      <c r="Q58" t="str">
        <f t="shared" si="7"/>
        <v>echo itemCost,500000, &gt;&gt; .\items\materia\class0022\Earth56.dbr</v>
      </c>
      <c r="R58" t="str">
        <f t="shared" si="7"/>
        <v>echo description,dailCompDescEarth56, &gt;&gt; .\items\materia\class0022\Earth56.dbr</v>
      </c>
      <c r="S58" t="str">
        <f t="shared" si="7"/>
        <v>echo itemText,dailCompTextEarth56, &gt;&gt; .\items\materia\class0022\Earth56.dbr</v>
      </c>
      <c r="T58" t="str">
        <f t="shared" si="7"/>
        <v>echo augmentSkillLevel1,5, &gt;&gt; .\items\materia\class0022\Earth56.dbr</v>
      </c>
      <c r="U58" t="str">
        <f t="shared" si="7"/>
        <v>echo augmentSkillName1,records/skillsearth/fireenchantment.dbr,, &gt;&gt; .\items\materia\class0022\Earth56.dbr</v>
      </c>
      <c r="V58" s="5" t="s">
        <v>36</v>
      </c>
      <c r="W58" t="str">
        <f t="shared" si="8"/>
        <v>echo lootName56,DAIL/items/materia/class0022/Earth56.dbr, &gt;&gt; .\items\loottables\dailoneskill0022.dbr</v>
      </c>
      <c r="X58" t="str">
        <f t="shared" si="8"/>
        <v>echo lootWeight56,1, &gt;&gt; .\items\loottables\dailoneskill0022.dbr</v>
      </c>
      <c r="Y58" s="5" t="s">
        <v>36</v>
      </c>
      <c r="Z58" t="str">
        <f t="shared" si="9"/>
        <v xml:space="preserve"> dailCompDescEarth56=^pEarth's Gift of DAIL</v>
      </c>
      <c r="AA58" t="str">
        <f t="shared" si="17"/>
        <v>dailCompTextEarth56=^oThis feels warm to the touch, almost familiar ^w(This component only fits into the Medal Slot)</v>
      </c>
      <c r="AB58" s="5" t="s">
        <v>36</v>
      </c>
      <c r="AH58">
        <f t="shared" si="19"/>
        <v>53</v>
      </c>
      <c r="AI58">
        <f t="shared" si="13"/>
        <v>26</v>
      </c>
      <c r="AJ58">
        <f t="shared" si="18"/>
        <v>5</v>
      </c>
    </row>
    <row r="59" spans="1:36" x14ac:dyDescent="0.25">
      <c r="A59" s="5" t="s">
        <v>39</v>
      </c>
      <c r="B59" s="5" t="s">
        <v>30</v>
      </c>
      <c r="C59" s="5" t="str">
        <f t="shared" si="0"/>
        <v>description,dailCompDescEarth57,</v>
      </c>
      <c r="D59" s="5" t="str">
        <f t="shared" si="2"/>
        <v>itemText,dailCompTextEarth57,</v>
      </c>
      <c r="E59" s="5" t="str">
        <f t="shared" si="14"/>
        <v>augmentSkillLevel1,5,</v>
      </c>
      <c r="F59" s="5" t="str">
        <f t="shared" si="15"/>
        <v>augmentSkillName1,records/skillsearth/fireenchantment_brimstone.dbr,,</v>
      </c>
      <c r="G59" s="7">
        <f t="shared" si="10"/>
        <v>57</v>
      </c>
      <c r="H59" s="8" t="str">
        <f t="shared" si="11"/>
        <v>Earth</v>
      </c>
      <c r="I59" s="3" t="s">
        <v>718</v>
      </c>
      <c r="J59" s="8" t="str">
        <f t="shared" si="22"/>
        <v>class0022</v>
      </c>
      <c r="K59" s="8" t="str">
        <f t="shared" si="22"/>
        <v>dailoneskill0022</v>
      </c>
      <c r="L59" s="5" t="str">
        <f t="shared" si="4"/>
        <v>lootName57,DAIL/items/materia/class0022/Earth57.dbr,</v>
      </c>
      <c r="M59" s="5" t="str">
        <f t="shared" si="5"/>
        <v>lootWeight57,1,</v>
      </c>
      <c r="N59" t="str">
        <f t="shared" si="6"/>
        <v>5</v>
      </c>
      <c r="O59" t="str">
        <f t="shared" si="16"/>
        <v>copy .\dail_base3.dbr .\items\materia\class0022\Earth57.dbr /y</v>
      </c>
      <c r="P59" t="str">
        <f t="shared" ref="P59:U101" si="23">IF($I59&lt;&gt;"","echo "&amp;A59&amp;" &gt;&gt; .\items\materia\"&amp;$J59&amp;"\"&amp;$H59&amp;$G59&amp;".dbr","")</f>
        <v>echo relicBitmap,items/craftingparts/components/component_a52_bristlyfur_b.tex, &gt;&gt; .\items\materia\class0022\Earth57.dbr</v>
      </c>
      <c r="Q59" t="str">
        <f t="shared" si="23"/>
        <v>echo itemCost,500000, &gt;&gt; .\items\materia\class0022\Earth57.dbr</v>
      </c>
      <c r="R59" t="str">
        <f t="shared" si="23"/>
        <v>echo description,dailCompDescEarth57, &gt;&gt; .\items\materia\class0022\Earth57.dbr</v>
      </c>
      <c r="S59" t="str">
        <f t="shared" si="23"/>
        <v>echo itemText,dailCompTextEarth57, &gt;&gt; .\items\materia\class0022\Earth57.dbr</v>
      </c>
      <c r="T59" t="str">
        <f t="shared" si="23"/>
        <v>echo augmentSkillLevel1,5, &gt;&gt; .\items\materia\class0022\Earth57.dbr</v>
      </c>
      <c r="U59" t="str">
        <f t="shared" si="23"/>
        <v>echo augmentSkillName1,records/skillsearth/fireenchantment_brimstone.dbr,, &gt;&gt; .\items\materia\class0022\Earth57.dbr</v>
      </c>
      <c r="V59" s="5" t="s">
        <v>36</v>
      </c>
      <c r="W59" t="str">
        <f t="shared" si="8"/>
        <v>echo lootName57,DAIL/items/materia/class0022/Earth57.dbr, &gt;&gt; .\items\loottables\dailoneskill0022.dbr</v>
      </c>
      <c r="X59" t="str">
        <f t="shared" si="8"/>
        <v>echo lootWeight57,1, &gt;&gt; .\items\loottables\dailoneskill0022.dbr</v>
      </c>
      <c r="Y59" s="5" t="s">
        <v>36</v>
      </c>
      <c r="Z59" t="str">
        <f t="shared" si="9"/>
        <v xml:space="preserve"> dailCompDescEarth57=^pEarth's Gift of DAIL</v>
      </c>
      <c r="AA59" t="str">
        <f t="shared" si="17"/>
        <v>dailCompTextEarth57=^oThis feels warm to the touch, almost familiar ^w(This component only fits into the Medal Slot)</v>
      </c>
      <c r="AB59" s="5" t="s">
        <v>36</v>
      </c>
      <c r="AH59">
        <f t="shared" si="19"/>
        <v>54</v>
      </c>
      <c r="AI59">
        <f t="shared" si="13"/>
        <v>36</v>
      </c>
      <c r="AJ59">
        <f t="shared" si="18"/>
        <v>5</v>
      </c>
    </row>
    <row r="60" spans="1:36" x14ac:dyDescent="0.25">
      <c r="A60" s="5" t="s">
        <v>39</v>
      </c>
      <c r="B60" s="5" t="s">
        <v>30</v>
      </c>
      <c r="C60" s="5" t="str">
        <f t="shared" si="0"/>
        <v>description,dailCompDescEarth58,</v>
      </c>
      <c r="D60" s="5" t="str">
        <f t="shared" si="2"/>
        <v>itemText,dailCompTextEarth58,</v>
      </c>
      <c r="E60" s="5" t="str">
        <f t="shared" si="14"/>
        <v>augmentSkillLevel1,5,</v>
      </c>
      <c r="F60" s="5" t="str">
        <f t="shared" si="15"/>
        <v>augmentSkillName1,records/skillsearth/fireenchantment_stoneskin.dbr,,</v>
      </c>
      <c r="G60" s="7">
        <f t="shared" si="10"/>
        <v>58</v>
      </c>
      <c r="H60" s="8" t="str">
        <f t="shared" si="11"/>
        <v>Earth</v>
      </c>
      <c r="I60" s="3" t="s">
        <v>719</v>
      </c>
      <c r="J60" s="8" t="str">
        <f t="shared" si="22"/>
        <v>class0022</v>
      </c>
      <c r="K60" s="8" t="str">
        <f t="shared" si="22"/>
        <v>dailoneskill0022</v>
      </c>
      <c r="L60" s="5" t="str">
        <f t="shared" si="4"/>
        <v>lootName58,DAIL/items/materia/class0022/Earth58.dbr,</v>
      </c>
      <c r="M60" s="5" t="str">
        <f t="shared" si="5"/>
        <v>lootWeight58,1,</v>
      </c>
      <c r="N60" t="str">
        <f t="shared" si="6"/>
        <v>5</v>
      </c>
      <c r="O60" t="str">
        <f t="shared" si="16"/>
        <v>copy .\dail_base3.dbr .\items\materia\class0022\Earth58.dbr /y</v>
      </c>
      <c r="P60" t="str">
        <f t="shared" si="23"/>
        <v>echo relicBitmap,items/craftingparts/components/component_a52_bristlyfur_b.tex, &gt;&gt; .\items\materia\class0022\Earth58.dbr</v>
      </c>
      <c r="Q60" t="str">
        <f t="shared" si="23"/>
        <v>echo itemCost,500000, &gt;&gt; .\items\materia\class0022\Earth58.dbr</v>
      </c>
      <c r="R60" t="str">
        <f t="shared" si="23"/>
        <v>echo description,dailCompDescEarth58, &gt;&gt; .\items\materia\class0022\Earth58.dbr</v>
      </c>
      <c r="S60" t="str">
        <f t="shared" si="23"/>
        <v>echo itemText,dailCompTextEarth58, &gt;&gt; .\items\materia\class0022\Earth58.dbr</v>
      </c>
      <c r="T60" t="str">
        <f t="shared" si="23"/>
        <v>echo augmentSkillLevel1,5, &gt;&gt; .\items\materia\class0022\Earth58.dbr</v>
      </c>
      <c r="U60" t="str">
        <f t="shared" si="23"/>
        <v>echo augmentSkillName1,records/skillsearth/fireenchantment_stoneskin.dbr,, &gt;&gt; .\items\materia\class0022\Earth58.dbr</v>
      </c>
      <c r="V60" s="5" t="s">
        <v>36</v>
      </c>
      <c r="W60" t="str">
        <f t="shared" si="8"/>
        <v>echo lootName58,DAIL/items/materia/class0022/Earth58.dbr, &gt;&gt; .\items\loottables\dailoneskill0022.dbr</v>
      </c>
      <c r="X60" t="str">
        <f t="shared" si="8"/>
        <v>echo lootWeight58,1, &gt;&gt; .\items\loottables\dailoneskill0022.dbr</v>
      </c>
      <c r="Y60" s="5" t="s">
        <v>36</v>
      </c>
      <c r="Z60" t="str">
        <f t="shared" si="9"/>
        <v xml:space="preserve"> dailCompDescEarth58=^pEarth's Gift of DAIL</v>
      </c>
      <c r="AA60" t="str">
        <f t="shared" si="17"/>
        <v>dailCompTextEarth58=^oThis feels warm to the touch, almost familiar ^w(This component only fits into the Medal Slot)</v>
      </c>
      <c r="AB60" s="5" t="s">
        <v>36</v>
      </c>
      <c r="AH60">
        <f t="shared" si="19"/>
        <v>55</v>
      </c>
      <c r="AI60">
        <f t="shared" si="13"/>
        <v>36</v>
      </c>
      <c r="AJ60">
        <f t="shared" si="18"/>
        <v>5</v>
      </c>
    </row>
    <row r="61" spans="1:36" x14ac:dyDescent="0.25">
      <c r="A61" s="5" t="s">
        <v>39</v>
      </c>
      <c r="B61" s="5" t="s">
        <v>30</v>
      </c>
      <c r="C61" s="5" t="str">
        <f t="shared" si="0"/>
        <v>description,dailCompDescEarth59,</v>
      </c>
      <c r="D61" s="5" t="str">
        <f t="shared" si="2"/>
        <v>itemText,dailCompTextEarth59,</v>
      </c>
      <c r="E61" s="5" t="str">
        <f t="shared" si="14"/>
        <v>augmentSkillLevel1,5,</v>
      </c>
      <c r="F61" s="5" t="str">
        <f t="shared" si="15"/>
        <v>augmentSkillName1,records/skillsearth/stoneformbuffself.dbr,,</v>
      </c>
      <c r="G61" s="7">
        <f t="shared" si="10"/>
        <v>59</v>
      </c>
      <c r="H61" s="8" t="str">
        <f t="shared" si="11"/>
        <v>Earth</v>
      </c>
      <c r="I61" s="3" t="s">
        <v>720</v>
      </c>
      <c r="J61" s="8" t="str">
        <f t="shared" si="22"/>
        <v>class0022</v>
      </c>
      <c r="K61" s="8" t="str">
        <f t="shared" si="22"/>
        <v>dailoneskill0022</v>
      </c>
      <c r="L61" s="5" t="str">
        <f t="shared" si="4"/>
        <v>lootName59,DAIL/items/materia/class0022/Earth59.dbr,</v>
      </c>
      <c r="M61" s="5" t="str">
        <f t="shared" si="5"/>
        <v>lootWeight59,1,</v>
      </c>
      <c r="N61" t="str">
        <f t="shared" si="6"/>
        <v>5</v>
      </c>
      <c r="O61" t="str">
        <f t="shared" si="16"/>
        <v>copy .\dail_base3.dbr .\items\materia\class0022\Earth59.dbr /y</v>
      </c>
      <c r="P61" t="str">
        <f t="shared" si="23"/>
        <v>echo relicBitmap,items/craftingparts/components/component_a52_bristlyfur_b.tex, &gt;&gt; .\items\materia\class0022\Earth59.dbr</v>
      </c>
      <c r="Q61" t="str">
        <f t="shared" si="23"/>
        <v>echo itemCost,500000, &gt;&gt; .\items\materia\class0022\Earth59.dbr</v>
      </c>
      <c r="R61" t="str">
        <f t="shared" si="23"/>
        <v>echo description,dailCompDescEarth59, &gt;&gt; .\items\materia\class0022\Earth59.dbr</v>
      </c>
      <c r="S61" t="str">
        <f t="shared" si="23"/>
        <v>echo itemText,dailCompTextEarth59, &gt;&gt; .\items\materia\class0022\Earth59.dbr</v>
      </c>
      <c r="T61" t="str">
        <f t="shared" si="23"/>
        <v>echo augmentSkillLevel1,5, &gt;&gt; .\items\materia\class0022\Earth59.dbr</v>
      </c>
      <c r="U61" t="str">
        <f t="shared" si="23"/>
        <v>echo augmentSkillName1,records/skillsearth/stoneformbuffself.dbr,, &gt;&gt; .\items\materia\class0022\Earth59.dbr</v>
      </c>
      <c r="V61" s="5" t="s">
        <v>36</v>
      </c>
      <c r="W61" t="str">
        <f t="shared" si="8"/>
        <v>echo lootName59,DAIL/items/materia/class0022/Earth59.dbr, &gt;&gt; .\items\loottables\dailoneskill0022.dbr</v>
      </c>
      <c r="X61" t="str">
        <f t="shared" si="8"/>
        <v>echo lootWeight59,1, &gt;&gt; .\items\loottables\dailoneskill0022.dbr</v>
      </c>
      <c r="Y61" s="5" t="s">
        <v>36</v>
      </c>
      <c r="Z61" t="str">
        <f t="shared" si="9"/>
        <v xml:space="preserve"> dailCompDescEarth59=^pEarth's Gift of DAIL</v>
      </c>
      <c r="AA61" t="str">
        <f t="shared" si="17"/>
        <v>dailCompTextEarth59=^oThis feels warm to the touch, almost familiar ^w(This component only fits into the Medal Slot)</v>
      </c>
      <c r="AB61" s="5" t="s">
        <v>36</v>
      </c>
      <c r="AH61">
        <f t="shared" si="19"/>
        <v>56</v>
      </c>
      <c r="AI61">
        <f t="shared" si="13"/>
        <v>28</v>
      </c>
      <c r="AJ61">
        <f t="shared" si="18"/>
        <v>5</v>
      </c>
    </row>
    <row r="62" spans="1:36" x14ac:dyDescent="0.25">
      <c r="A62" s="5" t="s">
        <v>39</v>
      </c>
      <c r="B62" s="5" t="s">
        <v>30</v>
      </c>
      <c r="C62" s="5" t="str">
        <f t="shared" si="0"/>
        <v>description,dailCompDescEarth60,</v>
      </c>
      <c r="D62" s="5" t="str">
        <f t="shared" si="2"/>
        <v>itemText,dailCompTextEarth60,</v>
      </c>
      <c r="E62" s="5" t="str">
        <f t="shared" si="14"/>
        <v>augmentSkillLevel1,5,</v>
      </c>
      <c r="F62" s="5" t="str">
        <f t="shared" si="15"/>
        <v>augmentSkillName1,records/skillsearth/stoneform_moltenrock.dbr,,</v>
      </c>
      <c r="G62" s="7">
        <f t="shared" si="10"/>
        <v>60</v>
      </c>
      <c r="H62" s="8" t="str">
        <f t="shared" si="11"/>
        <v>Earth</v>
      </c>
      <c r="I62" s="3" t="s">
        <v>721</v>
      </c>
      <c r="J62" s="8" t="str">
        <f t="shared" si="22"/>
        <v>class0022</v>
      </c>
      <c r="K62" s="8" t="str">
        <f t="shared" si="22"/>
        <v>dailoneskill0022</v>
      </c>
      <c r="L62" s="5" t="str">
        <f t="shared" si="4"/>
        <v>lootName60,DAIL/items/materia/class0022/Earth60.dbr,</v>
      </c>
      <c r="M62" s="5" t="str">
        <f t="shared" si="5"/>
        <v>lootWeight60,1,</v>
      </c>
      <c r="N62" t="str">
        <f t="shared" si="6"/>
        <v>5</v>
      </c>
      <c r="O62" t="str">
        <f t="shared" si="16"/>
        <v>copy .\dail_base3.dbr .\items\materia\class0022\Earth60.dbr /y</v>
      </c>
      <c r="P62" t="str">
        <f t="shared" si="23"/>
        <v>echo relicBitmap,items/craftingparts/components/component_a52_bristlyfur_b.tex, &gt;&gt; .\items\materia\class0022\Earth60.dbr</v>
      </c>
      <c r="Q62" t="str">
        <f t="shared" si="23"/>
        <v>echo itemCost,500000, &gt;&gt; .\items\materia\class0022\Earth60.dbr</v>
      </c>
      <c r="R62" t="str">
        <f t="shared" si="23"/>
        <v>echo description,dailCompDescEarth60, &gt;&gt; .\items\materia\class0022\Earth60.dbr</v>
      </c>
      <c r="S62" t="str">
        <f t="shared" si="23"/>
        <v>echo itemText,dailCompTextEarth60, &gt;&gt; .\items\materia\class0022\Earth60.dbr</v>
      </c>
      <c r="T62" t="str">
        <f t="shared" si="23"/>
        <v>echo augmentSkillLevel1,5, &gt;&gt; .\items\materia\class0022\Earth60.dbr</v>
      </c>
      <c r="U62" t="str">
        <f t="shared" si="23"/>
        <v>echo augmentSkillName1,records/skillsearth/stoneform_moltenrock.dbr,, &gt;&gt; .\items\materia\class0022\Earth60.dbr</v>
      </c>
      <c r="V62" s="5" t="s">
        <v>36</v>
      </c>
      <c r="W62" t="str">
        <f t="shared" si="8"/>
        <v>echo lootName60,DAIL/items/materia/class0022/Earth60.dbr, &gt;&gt; .\items\loottables\dailoneskill0022.dbr</v>
      </c>
      <c r="X62" t="str">
        <f t="shared" si="8"/>
        <v>echo lootWeight60,1, &gt;&gt; .\items\loottables\dailoneskill0022.dbr</v>
      </c>
      <c r="Y62" s="5" t="s">
        <v>36</v>
      </c>
      <c r="Z62" t="str">
        <f t="shared" si="9"/>
        <v xml:space="preserve"> dailCompDescEarth60=^pEarth's Gift of DAIL</v>
      </c>
      <c r="AA62" t="str">
        <f t="shared" si="17"/>
        <v>dailCompTextEarth60=^oThis feels warm to the touch, almost familiar ^w(This component only fits into the Medal Slot)</v>
      </c>
      <c r="AB62" s="5" t="s">
        <v>36</v>
      </c>
      <c r="AH62">
        <f t="shared" si="19"/>
        <v>57</v>
      </c>
      <c r="AI62">
        <f t="shared" si="13"/>
        <v>31</v>
      </c>
      <c r="AJ62">
        <f t="shared" si="18"/>
        <v>5</v>
      </c>
    </row>
    <row r="63" spans="1:36" x14ac:dyDescent="0.25">
      <c r="A63" s="5" t="s">
        <v>39</v>
      </c>
      <c r="B63" s="5" t="s">
        <v>30</v>
      </c>
      <c r="C63" s="5" t="str">
        <f t="shared" si="0"/>
        <v>description,dailCompDescEarth61,</v>
      </c>
      <c r="D63" s="5" t="str">
        <f t="shared" si="2"/>
        <v>itemText,dailCompTextEarth61,</v>
      </c>
      <c r="E63" s="5" t="str">
        <f t="shared" si="14"/>
        <v>augmentSkillLevel1,5,</v>
      </c>
      <c r="F63" s="5" t="str">
        <f t="shared" si="15"/>
        <v>augmentSkillName1,records/skillsearth/eruption.dbr,,</v>
      </c>
      <c r="G63" s="7">
        <f t="shared" si="10"/>
        <v>61</v>
      </c>
      <c r="H63" s="8" t="str">
        <f t="shared" si="11"/>
        <v>Earth</v>
      </c>
      <c r="I63" s="3" t="s">
        <v>722</v>
      </c>
      <c r="J63" s="8" t="str">
        <f t="shared" si="22"/>
        <v>class0022</v>
      </c>
      <c r="K63" s="8" t="str">
        <f t="shared" si="22"/>
        <v>dailoneskill0022</v>
      </c>
      <c r="L63" s="5" t="str">
        <f t="shared" si="4"/>
        <v>lootName61,DAIL/items/materia/class0022/Earth61.dbr,</v>
      </c>
      <c r="M63" s="5" t="str">
        <f t="shared" si="5"/>
        <v>lootWeight61,1,</v>
      </c>
      <c r="N63" t="str">
        <f t="shared" si="6"/>
        <v>5</v>
      </c>
      <c r="O63" t="str">
        <f t="shared" si="16"/>
        <v>copy .\dail_base3.dbr .\items\materia\class0022\Earth61.dbr /y</v>
      </c>
      <c r="P63" t="str">
        <f t="shared" si="23"/>
        <v>echo relicBitmap,items/craftingparts/components/component_a52_bristlyfur_b.tex, &gt;&gt; .\items\materia\class0022\Earth61.dbr</v>
      </c>
      <c r="Q63" t="str">
        <f t="shared" si="23"/>
        <v>echo itemCost,500000, &gt;&gt; .\items\materia\class0022\Earth61.dbr</v>
      </c>
      <c r="R63" t="str">
        <f t="shared" si="23"/>
        <v>echo description,dailCompDescEarth61, &gt;&gt; .\items\materia\class0022\Earth61.dbr</v>
      </c>
      <c r="S63" t="str">
        <f t="shared" si="23"/>
        <v>echo itemText,dailCompTextEarth61, &gt;&gt; .\items\materia\class0022\Earth61.dbr</v>
      </c>
      <c r="T63" t="str">
        <f t="shared" si="23"/>
        <v>echo augmentSkillLevel1,5, &gt;&gt; .\items\materia\class0022\Earth61.dbr</v>
      </c>
      <c r="U63" t="str">
        <f t="shared" si="23"/>
        <v>echo augmentSkillName1,records/skillsearth/eruption.dbr,, &gt;&gt; .\items\materia\class0022\Earth61.dbr</v>
      </c>
      <c r="V63" s="5" t="s">
        <v>36</v>
      </c>
      <c r="W63" t="str">
        <f t="shared" si="8"/>
        <v>echo lootName61,DAIL/items/materia/class0022/Earth61.dbr, &gt;&gt; .\items\loottables\dailoneskill0022.dbr</v>
      </c>
      <c r="X63" t="str">
        <f t="shared" si="8"/>
        <v>echo lootWeight61,1, &gt;&gt; .\items\loottables\dailoneskill0022.dbr</v>
      </c>
      <c r="Y63" s="5" t="s">
        <v>36</v>
      </c>
      <c r="Z63" t="str">
        <f t="shared" si="9"/>
        <v xml:space="preserve"> dailCompDescEarth61=^pEarth's Gift of DAIL</v>
      </c>
      <c r="AA63" t="str">
        <f t="shared" si="17"/>
        <v>dailCompTextEarth61=^oThis feels warm to the touch, almost familiar ^w(This component only fits into the Medal Slot)</v>
      </c>
      <c r="AB63" s="5" t="s">
        <v>36</v>
      </c>
      <c r="AH63">
        <f t="shared" si="19"/>
        <v>58</v>
      </c>
      <c r="AI63">
        <f t="shared" si="13"/>
        <v>19</v>
      </c>
      <c r="AJ63">
        <f t="shared" si="18"/>
        <v>5</v>
      </c>
    </row>
    <row r="64" spans="1:36" x14ac:dyDescent="0.25">
      <c r="A64" s="5" t="s">
        <v>39</v>
      </c>
      <c r="B64" s="5" t="s">
        <v>30</v>
      </c>
      <c r="C64" s="5" t="str">
        <f t="shared" si="0"/>
        <v>description,dailCompDescEarth62,</v>
      </c>
      <c r="D64" s="5" t="str">
        <f t="shared" si="2"/>
        <v>itemText,dailCompTextEarth62,</v>
      </c>
      <c r="E64" s="5" t="str">
        <f t="shared" si="14"/>
        <v>augmentSkillLevel1,5,</v>
      </c>
      <c r="F64" s="5" t="str">
        <f t="shared" si="15"/>
        <v>augmentSkillName1,records/skillsearth/ringofflame.dbr,,</v>
      </c>
      <c r="G64" s="7">
        <f t="shared" si="10"/>
        <v>62</v>
      </c>
      <c r="H64" s="8" t="str">
        <f t="shared" si="11"/>
        <v>Earth</v>
      </c>
      <c r="I64" s="3" t="s">
        <v>723</v>
      </c>
      <c r="J64" s="8" t="str">
        <f t="shared" si="22"/>
        <v>class0022</v>
      </c>
      <c r="K64" s="8" t="str">
        <f t="shared" si="22"/>
        <v>dailoneskill0022</v>
      </c>
      <c r="L64" s="5" t="str">
        <f t="shared" si="4"/>
        <v>lootName62,DAIL/items/materia/class0022/Earth62.dbr,</v>
      </c>
      <c r="M64" s="5" t="str">
        <f t="shared" si="5"/>
        <v>lootWeight62,1,</v>
      </c>
      <c r="N64" t="str">
        <f t="shared" si="6"/>
        <v>5</v>
      </c>
      <c r="O64" t="str">
        <f t="shared" si="16"/>
        <v>copy .\dail_base3.dbr .\items\materia\class0022\Earth62.dbr /y</v>
      </c>
      <c r="P64" t="str">
        <f t="shared" si="23"/>
        <v>echo relicBitmap,items/craftingparts/components/component_a52_bristlyfur_b.tex, &gt;&gt; .\items\materia\class0022\Earth62.dbr</v>
      </c>
      <c r="Q64" t="str">
        <f t="shared" si="23"/>
        <v>echo itemCost,500000, &gt;&gt; .\items\materia\class0022\Earth62.dbr</v>
      </c>
      <c r="R64" t="str">
        <f t="shared" si="23"/>
        <v>echo description,dailCompDescEarth62, &gt;&gt; .\items\materia\class0022\Earth62.dbr</v>
      </c>
      <c r="S64" t="str">
        <f t="shared" si="23"/>
        <v>echo itemText,dailCompTextEarth62, &gt;&gt; .\items\materia\class0022\Earth62.dbr</v>
      </c>
      <c r="T64" t="str">
        <f t="shared" si="23"/>
        <v>echo augmentSkillLevel1,5, &gt;&gt; .\items\materia\class0022\Earth62.dbr</v>
      </c>
      <c r="U64" t="str">
        <f t="shared" si="23"/>
        <v>echo augmentSkillName1,records/skillsearth/ringofflame.dbr,, &gt;&gt; .\items\materia\class0022\Earth62.dbr</v>
      </c>
      <c r="V64" s="5" t="s">
        <v>36</v>
      </c>
      <c r="W64" t="str">
        <f t="shared" si="8"/>
        <v>echo lootName62,DAIL/items/materia/class0022/Earth62.dbr, &gt;&gt; .\items\loottables\dailoneskill0022.dbr</v>
      </c>
      <c r="X64" t="str">
        <f t="shared" si="8"/>
        <v>echo lootWeight62,1, &gt;&gt; .\items\loottables\dailoneskill0022.dbr</v>
      </c>
      <c r="Y64" s="5" t="s">
        <v>36</v>
      </c>
      <c r="Z64" t="str">
        <f t="shared" si="9"/>
        <v xml:space="preserve"> dailCompDescEarth62=^pEarth's Gift of DAIL</v>
      </c>
      <c r="AA64" t="str">
        <f t="shared" si="17"/>
        <v>dailCompTextEarth62=^oThis feels warm to the touch, almost familiar ^w(This component only fits into the Medal Slot)</v>
      </c>
      <c r="AB64" s="5" t="s">
        <v>36</v>
      </c>
      <c r="AH64">
        <f t="shared" si="19"/>
        <v>59</v>
      </c>
      <c r="AI64">
        <f t="shared" si="13"/>
        <v>22</v>
      </c>
      <c r="AJ64">
        <f t="shared" si="18"/>
        <v>5</v>
      </c>
    </row>
    <row r="65" spans="1:36" x14ac:dyDescent="0.25">
      <c r="A65" s="5" t="s">
        <v>39</v>
      </c>
      <c r="B65" s="5" t="s">
        <v>30</v>
      </c>
      <c r="C65" s="5" t="str">
        <f t="shared" si="0"/>
        <v>description,dailCompDescEarth63,</v>
      </c>
      <c r="D65" s="5" t="str">
        <f t="shared" si="2"/>
        <v>itemText,dailCompTextEarth63,</v>
      </c>
      <c r="E65" s="5" t="str">
        <f t="shared" si="14"/>
        <v>augmentSkillLevel1,5,</v>
      </c>
      <c r="F65" s="5" t="str">
        <f t="shared" si="15"/>
        <v>augmentSkillName1,records/skillsearth/ringofflame_softenmetal.dbr,,</v>
      </c>
      <c r="G65" s="7">
        <f t="shared" si="10"/>
        <v>63</v>
      </c>
      <c r="H65" s="8" t="str">
        <f t="shared" si="11"/>
        <v>Earth</v>
      </c>
      <c r="I65" s="3" t="s">
        <v>724</v>
      </c>
      <c r="J65" s="8" t="str">
        <f t="shared" si="22"/>
        <v>class0022</v>
      </c>
      <c r="K65" s="8" t="str">
        <f t="shared" si="22"/>
        <v>dailoneskill0022</v>
      </c>
      <c r="L65" s="5" t="str">
        <f t="shared" si="4"/>
        <v>lootName63,DAIL/items/materia/class0022/Earth63.dbr,</v>
      </c>
      <c r="M65" s="5" t="str">
        <f t="shared" si="5"/>
        <v>lootWeight63,1,</v>
      </c>
      <c r="N65" t="str">
        <f t="shared" si="6"/>
        <v>5</v>
      </c>
      <c r="O65" t="str">
        <f t="shared" si="16"/>
        <v>copy .\dail_base3.dbr .\items\materia\class0022\Earth63.dbr /y</v>
      </c>
      <c r="P65" t="str">
        <f t="shared" si="23"/>
        <v>echo relicBitmap,items/craftingparts/components/component_a52_bristlyfur_b.tex, &gt;&gt; .\items\materia\class0022\Earth63.dbr</v>
      </c>
      <c r="Q65" t="str">
        <f t="shared" si="23"/>
        <v>echo itemCost,500000, &gt;&gt; .\items\materia\class0022\Earth63.dbr</v>
      </c>
      <c r="R65" t="str">
        <f t="shared" si="23"/>
        <v>echo description,dailCompDescEarth63, &gt;&gt; .\items\materia\class0022\Earth63.dbr</v>
      </c>
      <c r="S65" t="str">
        <f t="shared" si="23"/>
        <v>echo itemText,dailCompTextEarth63, &gt;&gt; .\items\materia\class0022\Earth63.dbr</v>
      </c>
      <c r="T65" t="str">
        <f t="shared" si="23"/>
        <v>echo augmentSkillLevel1,5, &gt;&gt; .\items\materia\class0022\Earth63.dbr</v>
      </c>
      <c r="U65" t="str">
        <f t="shared" si="23"/>
        <v>echo augmentSkillName1,records/skillsearth/ringofflame_softenmetal.dbr,, &gt;&gt; .\items\materia\class0022\Earth63.dbr</v>
      </c>
      <c r="V65" s="5" t="s">
        <v>36</v>
      </c>
      <c r="W65" t="str">
        <f t="shared" si="8"/>
        <v>echo lootName63,DAIL/items/materia/class0022/Earth63.dbr, &gt;&gt; .\items\loottables\dailoneskill0022.dbr</v>
      </c>
      <c r="X65" t="str">
        <f t="shared" si="8"/>
        <v>echo lootWeight63,1, &gt;&gt; .\items\loottables\dailoneskill0022.dbr</v>
      </c>
      <c r="Y65" s="5" t="s">
        <v>36</v>
      </c>
      <c r="Z65" t="str">
        <f t="shared" si="9"/>
        <v xml:space="preserve"> dailCompDescEarth63=^pEarth's Gift of DAIL</v>
      </c>
      <c r="AA65" t="str">
        <f t="shared" si="17"/>
        <v>dailCompTextEarth63=^oThis feels warm to the touch, almost familiar ^w(This component only fits into the Medal Slot)</v>
      </c>
      <c r="AB65" s="5" t="s">
        <v>36</v>
      </c>
      <c r="AH65">
        <f t="shared" si="19"/>
        <v>60</v>
      </c>
      <c r="AI65">
        <f t="shared" si="13"/>
        <v>34</v>
      </c>
      <c r="AJ65">
        <f t="shared" si="18"/>
        <v>5</v>
      </c>
    </row>
    <row r="66" spans="1:36" x14ac:dyDescent="0.25">
      <c r="A66" s="5" t="s">
        <v>39</v>
      </c>
      <c r="B66" s="5" t="s">
        <v>30</v>
      </c>
      <c r="C66" s="5" t="str">
        <f t="shared" si="0"/>
        <v>description,dailCompDescEarth,</v>
      </c>
      <c r="D66" s="5" t="str">
        <f t="shared" si="2"/>
        <v>itemText,dailCompTextEarth,</v>
      </c>
      <c r="E66" s="5" t="str">
        <f t="shared" si="14"/>
        <v>augmentSkillLevel1,5,</v>
      </c>
      <c r="F66" s="5" t="str">
        <f t="shared" si="15"/>
        <v>augmentSkillName1,records/skills,</v>
      </c>
      <c r="G66" s="7" t="str">
        <f t="shared" si="10"/>
        <v/>
      </c>
      <c r="H66" s="8" t="str">
        <f t="shared" si="11"/>
        <v>Earth</v>
      </c>
      <c r="J66" s="8" t="str">
        <f t="shared" si="22"/>
        <v>class0022</v>
      </c>
      <c r="K66" s="8" t="str">
        <f t="shared" si="22"/>
        <v>dailoneskill0022</v>
      </c>
      <c r="L66" s="5" t="str">
        <f t="shared" si="4"/>
        <v>lootName,DAIL/items/materia/class0022/Earth.dbr,</v>
      </c>
      <c r="M66" s="5" t="str">
        <f t="shared" si="5"/>
        <v>lootWeight,1,</v>
      </c>
      <c r="N66" t="str">
        <f t="shared" si="6"/>
        <v>5</v>
      </c>
      <c r="O66" t="str">
        <f t="shared" si="16"/>
        <v/>
      </c>
      <c r="P66" t="str">
        <f t="shared" si="23"/>
        <v/>
      </c>
      <c r="Q66" t="str">
        <f t="shared" si="23"/>
        <v/>
      </c>
      <c r="R66" t="str">
        <f t="shared" si="23"/>
        <v/>
      </c>
      <c r="S66" t="str">
        <f t="shared" si="23"/>
        <v/>
      </c>
      <c r="T66" t="str">
        <f t="shared" si="23"/>
        <v/>
      </c>
      <c r="U66" t="str">
        <f t="shared" si="23"/>
        <v/>
      </c>
      <c r="V66" s="5" t="s">
        <v>36</v>
      </c>
      <c r="W66" t="str">
        <f t="shared" si="8"/>
        <v/>
      </c>
      <c r="X66" t="str">
        <f t="shared" si="8"/>
        <v/>
      </c>
      <c r="Y66" s="5" t="s">
        <v>36</v>
      </c>
      <c r="Z66" t="str">
        <f t="shared" si="9"/>
        <v xml:space="preserve"> dailCompDescEarth=^pEarth's Gift of DAIL</v>
      </c>
      <c r="AA66" t="str">
        <f t="shared" si="17"/>
        <v>dailCompTextEarth=^oThis feels warm to the touch, almost familiar ^w(This component only fits into the Medal Slot)</v>
      </c>
      <c r="AB66" s="5" t="s">
        <v>36</v>
      </c>
      <c r="AH66">
        <f t="shared" si="19"/>
        <v>61</v>
      </c>
      <c r="AI66">
        <f t="shared" si="13"/>
        <v>0</v>
      </c>
      <c r="AJ66">
        <f t="shared" si="18"/>
        <v>5</v>
      </c>
    </row>
    <row r="67" spans="1:36" x14ac:dyDescent="0.25">
      <c r="A67" s="5" t="s">
        <v>39</v>
      </c>
      <c r="B67" s="5" t="s">
        <v>30</v>
      </c>
      <c r="C67" s="5" t="str">
        <f t="shared" ref="C67:C102" si="24">"description,dailCompDesc"&amp;H67&amp;G67&amp;","</f>
        <v>description,dailCompDescEarth,</v>
      </c>
      <c r="D67" s="5" t="str">
        <f t="shared" si="2"/>
        <v>itemText,dailCompTextEarth,</v>
      </c>
      <c r="E67" s="5" t="str">
        <f t="shared" si="14"/>
        <v>augmentSkillLevel1,5,</v>
      </c>
      <c r="F67" s="5" t="str">
        <f t="shared" si="15"/>
        <v>augmentSkillName1,records/skills,</v>
      </c>
      <c r="G67" s="7" t="str">
        <f t="shared" si="10"/>
        <v/>
      </c>
      <c r="H67" s="8" t="str">
        <f t="shared" si="11"/>
        <v>Earth</v>
      </c>
      <c r="J67" s="8" t="str">
        <f t="shared" si="22"/>
        <v>class0022</v>
      </c>
      <c r="K67" s="8" t="str">
        <f t="shared" si="22"/>
        <v>dailoneskill0022</v>
      </c>
      <c r="L67" s="5" t="str">
        <f t="shared" si="4"/>
        <v>lootName,DAIL/items/materia/class0022/Earth.dbr,</v>
      </c>
      <c r="M67" s="5" t="str">
        <f t="shared" si="5"/>
        <v>lootWeight,1,</v>
      </c>
      <c r="N67" t="str">
        <f t="shared" si="6"/>
        <v>5</v>
      </c>
      <c r="O67" t="str">
        <f t="shared" si="16"/>
        <v/>
      </c>
      <c r="P67" t="str">
        <f t="shared" si="23"/>
        <v/>
      </c>
      <c r="Q67" t="str">
        <f t="shared" si="23"/>
        <v/>
      </c>
      <c r="R67" t="str">
        <f t="shared" si="23"/>
        <v/>
      </c>
      <c r="S67" t="str">
        <f t="shared" si="23"/>
        <v/>
      </c>
      <c r="T67" t="str">
        <f t="shared" si="23"/>
        <v/>
      </c>
      <c r="U67" t="str">
        <f t="shared" si="23"/>
        <v/>
      </c>
      <c r="V67" s="5" t="s">
        <v>36</v>
      </c>
      <c r="W67" t="str">
        <f t="shared" si="8"/>
        <v/>
      </c>
      <c r="X67" t="str">
        <f t="shared" si="8"/>
        <v/>
      </c>
      <c r="Y67" s="5" t="s">
        <v>36</v>
      </c>
      <c r="Z67" t="str">
        <f t="shared" si="9"/>
        <v/>
      </c>
      <c r="AA67" t="str">
        <f t="shared" si="17"/>
        <v/>
      </c>
      <c r="AB67" s="5" t="s">
        <v>36</v>
      </c>
      <c r="AH67">
        <f t="shared" si="19"/>
        <v>62</v>
      </c>
      <c r="AI67">
        <f t="shared" si="13"/>
        <v>0</v>
      </c>
      <c r="AJ67">
        <f t="shared" si="18"/>
        <v>5</v>
      </c>
    </row>
    <row r="68" spans="1:36" x14ac:dyDescent="0.25">
      <c r="A68" s="5" t="s">
        <v>39</v>
      </c>
      <c r="B68" s="5" t="s">
        <v>30</v>
      </c>
      <c r="C68" s="5" t="str">
        <f t="shared" si="24"/>
        <v>description,dailCompDescEarth,</v>
      </c>
      <c r="D68" s="5" t="str">
        <f t="shared" ref="D68:D102" si="25">"itemText,dailCompText"&amp;H68&amp;G68&amp;","</f>
        <v>itemText,dailCompTextEarth,</v>
      </c>
      <c r="E68" s="5" t="str">
        <f t="shared" si="14"/>
        <v>augmentSkillLevel1,5,</v>
      </c>
      <c r="F68" s="5" t="str">
        <f t="shared" si="15"/>
        <v>augmentSkillName1,records/skills,</v>
      </c>
      <c r="G68" s="7" t="str">
        <f t="shared" si="10"/>
        <v/>
      </c>
      <c r="H68" s="8" t="str">
        <f t="shared" si="11"/>
        <v>Earth</v>
      </c>
      <c r="J68" s="8" t="str">
        <f t="shared" si="22"/>
        <v>class0022</v>
      </c>
      <c r="K68" s="8" t="str">
        <f t="shared" si="22"/>
        <v>dailoneskill0022</v>
      </c>
      <c r="L68" s="5" t="str">
        <f t="shared" ref="L68:L102" si="26">"lootName"&amp;G68&amp;",DAIL/items/materia/"&amp;J68&amp;"/"&amp;H68&amp;G68&amp;".dbr"&amp;","</f>
        <v>lootName,DAIL/items/materia/class0022/Earth.dbr,</v>
      </c>
      <c r="M68" s="5" t="str">
        <f t="shared" ref="M68:M102" si="27">"lootWeight"&amp;G68&amp;",1,"</f>
        <v>lootWeight,1,</v>
      </c>
      <c r="N68" t="str">
        <f t="shared" ref="N68:N102" si="28">LEFT(RIGHT(E68,2),1)</f>
        <v>5</v>
      </c>
      <c r="O68" t="str">
        <f t="shared" si="16"/>
        <v/>
      </c>
      <c r="P68" t="str">
        <f t="shared" si="23"/>
        <v/>
      </c>
      <c r="Q68" t="str">
        <f t="shared" si="23"/>
        <v/>
      </c>
      <c r="R68" t="str">
        <f t="shared" si="23"/>
        <v/>
      </c>
      <c r="S68" t="str">
        <f t="shared" si="23"/>
        <v/>
      </c>
      <c r="T68" t="str">
        <f t="shared" si="23"/>
        <v/>
      </c>
      <c r="U68" t="str">
        <f t="shared" si="23"/>
        <v/>
      </c>
      <c r="V68" s="5" t="s">
        <v>36</v>
      </c>
      <c r="W68" t="str">
        <f t="shared" ref="W68:X102" si="29">IF($I68&lt;&gt;"","echo "&amp;L68&amp;" &gt;&gt; .\items\loottables\"&amp;$K68&amp;".dbr","")</f>
        <v/>
      </c>
      <c r="X68" t="str">
        <f t="shared" si="29"/>
        <v/>
      </c>
      <c r="Y68" s="5" t="s">
        <v>36</v>
      </c>
      <c r="Z68" t="str">
        <f t="shared" ref="Z68:Z102" si="30">IF(I67&lt;&gt;""," dailCompDesc"&amp;H68&amp;G68&amp;"=^p"&amp;H68&amp;"'s Gift of DAIL","")</f>
        <v/>
      </c>
      <c r="AA68" t="str">
        <f t="shared" si="17"/>
        <v/>
      </c>
      <c r="AB68" s="5" t="s">
        <v>36</v>
      </c>
      <c r="AH68">
        <f t="shared" si="19"/>
        <v>63</v>
      </c>
      <c r="AI68">
        <f t="shared" si="13"/>
        <v>0</v>
      </c>
      <c r="AJ68">
        <f t="shared" si="18"/>
        <v>5</v>
      </c>
    </row>
    <row r="69" spans="1:36" x14ac:dyDescent="0.25">
      <c r="A69" s="5" t="s">
        <v>39</v>
      </c>
      <c r="B69" s="5" t="s">
        <v>30</v>
      </c>
      <c r="C69" s="5" t="str">
        <f t="shared" si="24"/>
        <v>description,dailCompDescEarth,</v>
      </c>
      <c r="D69" s="5" t="str">
        <f t="shared" si="25"/>
        <v>itemText,dailCompTextEarth,</v>
      </c>
      <c r="E69" s="5" t="str">
        <f t="shared" si="14"/>
        <v>augmentSkillLevel1,5,</v>
      </c>
      <c r="F69" s="5" t="str">
        <f t="shared" si="15"/>
        <v>augmentSkillName1,records/skills,</v>
      </c>
      <c r="G69" s="7" t="str">
        <f t="shared" ref="G69:G102" si="31">IF(I69&lt;&gt;"",G68+1,"")</f>
        <v/>
      </c>
      <c r="H69" s="8" t="str">
        <f t="shared" ref="H69:H102" si="32">H68</f>
        <v>Earth</v>
      </c>
      <c r="J69" s="8" t="str">
        <f t="shared" ref="J69:K84" si="33">J68</f>
        <v>class0022</v>
      </c>
      <c r="K69" s="8" t="str">
        <f t="shared" si="33"/>
        <v>dailoneskill0022</v>
      </c>
      <c r="L69" s="5" t="str">
        <f t="shared" si="26"/>
        <v>lootName,DAIL/items/materia/class0022/Earth.dbr,</v>
      </c>
      <c r="M69" s="5" t="str">
        <f t="shared" si="27"/>
        <v>lootWeight,1,</v>
      </c>
      <c r="N69" t="str">
        <f t="shared" si="28"/>
        <v>5</v>
      </c>
      <c r="O69" t="str">
        <f t="shared" si="16"/>
        <v/>
      </c>
      <c r="P69" t="str">
        <f t="shared" si="23"/>
        <v/>
      </c>
      <c r="Q69" t="str">
        <f t="shared" si="23"/>
        <v/>
      </c>
      <c r="R69" t="str">
        <f t="shared" si="23"/>
        <v/>
      </c>
      <c r="S69" t="str">
        <f t="shared" si="23"/>
        <v/>
      </c>
      <c r="T69" t="str">
        <f t="shared" si="23"/>
        <v/>
      </c>
      <c r="U69" t="str">
        <f t="shared" si="23"/>
        <v/>
      </c>
      <c r="V69" s="5" t="s">
        <v>36</v>
      </c>
      <c r="W69" t="str">
        <f t="shared" si="29"/>
        <v/>
      </c>
      <c r="X69" t="str">
        <f t="shared" si="29"/>
        <v/>
      </c>
      <c r="Y69" s="5" t="s">
        <v>36</v>
      </c>
      <c r="Z69" t="str">
        <f t="shared" si="30"/>
        <v/>
      </c>
      <c r="AA69" t="str">
        <f t="shared" si="17"/>
        <v/>
      </c>
      <c r="AB69" s="5" t="s">
        <v>36</v>
      </c>
      <c r="AH69">
        <f t="shared" si="19"/>
        <v>64</v>
      </c>
      <c r="AI69">
        <f t="shared" si="13"/>
        <v>0</v>
      </c>
      <c r="AJ69">
        <f t="shared" si="18"/>
        <v>5</v>
      </c>
    </row>
    <row r="70" spans="1:36" x14ac:dyDescent="0.25">
      <c r="A70" s="5" t="s">
        <v>39</v>
      </c>
      <c r="B70" s="5" t="s">
        <v>30</v>
      </c>
      <c r="C70" s="5" t="str">
        <f t="shared" si="24"/>
        <v>description,dailCompDescEarth,</v>
      </c>
      <c r="D70" s="5" t="str">
        <f t="shared" si="25"/>
        <v>itemText,dailCompTextEarth,</v>
      </c>
      <c r="E70" s="5" t="str">
        <f t="shared" si="14"/>
        <v>augmentSkillLevel1,5,</v>
      </c>
      <c r="F70" s="5" t="str">
        <f t="shared" si="15"/>
        <v>augmentSkillName1,records/skills,</v>
      </c>
      <c r="G70" s="7" t="str">
        <f t="shared" si="31"/>
        <v/>
      </c>
      <c r="H70" s="8" t="str">
        <f t="shared" si="32"/>
        <v>Earth</v>
      </c>
      <c r="J70" s="8" t="str">
        <f t="shared" si="33"/>
        <v>class0022</v>
      </c>
      <c r="K70" s="8" t="str">
        <f t="shared" si="33"/>
        <v>dailoneskill0022</v>
      </c>
      <c r="L70" s="5" t="str">
        <f t="shared" si="26"/>
        <v>lootName,DAIL/items/materia/class0022/Earth.dbr,</v>
      </c>
      <c r="M70" s="5" t="str">
        <f t="shared" si="27"/>
        <v>lootWeight,1,</v>
      </c>
      <c r="N70" t="str">
        <f t="shared" si="28"/>
        <v>5</v>
      </c>
      <c r="O70" t="str">
        <f t="shared" si="16"/>
        <v/>
      </c>
      <c r="P70" t="str">
        <f t="shared" si="23"/>
        <v/>
      </c>
      <c r="Q70" t="str">
        <f t="shared" si="23"/>
        <v/>
      </c>
      <c r="R70" t="str">
        <f t="shared" si="23"/>
        <v/>
      </c>
      <c r="S70" t="str">
        <f t="shared" si="23"/>
        <v/>
      </c>
      <c r="T70" t="str">
        <f t="shared" si="23"/>
        <v/>
      </c>
      <c r="U70" t="str">
        <f t="shared" si="23"/>
        <v/>
      </c>
      <c r="V70" s="5" t="s">
        <v>36</v>
      </c>
      <c r="W70" t="str">
        <f t="shared" si="29"/>
        <v/>
      </c>
      <c r="X70" t="str">
        <f t="shared" si="29"/>
        <v/>
      </c>
      <c r="Y70" s="5" t="s">
        <v>36</v>
      </c>
      <c r="Z70" t="str">
        <f t="shared" si="30"/>
        <v/>
      </c>
      <c r="AA70" t="str">
        <f t="shared" si="17"/>
        <v/>
      </c>
      <c r="AB70" s="5" t="s">
        <v>36</v>
      </c>
      <c r="AH70">
        <f t="shared" si="19"/>
        <v>65</v>
      </c>
      <c r="AI70">
        <f t="shared" ref="AI70:AI102" si="34">LEN(I70)</f>
        <v>0</v>
      </c>
      <c r="AJ70">
        <f t="shared" si="18"/>
        <v>5</v>
      </c>
    </row>
    <row r="71" spans="1:36" x14ac:dyDescent="0.25">
      <c r="A71" s="5" t="s">
        <v>39</v>
      </c>
      <c r="B71" s="5" t="s">
        <v>30</v>
      </c>
      <c r="C71" s="5" t="str">
        <f t="shared" si="24"/>
        <v>description,dailCompDescEarth,</v>
      </c>
      <c r="D71" s="5" t="str">
        <f t="shared" si="25"/>
        <v>itemText,dailCompTextEarth,</v>
      </c>
      <c r="E71" s="5" t="str">
        <f t="shared" ref="E71:E102" si="35">"augmentSkillLevel1,"&amp;AJ71&amp;","</f>
        <v>augmentSkillLevel1,5,</v>
      </c>
      <c r="F71" s="5" t="str">
        <f t="shared" ref="F71:F102" si="36">"augmentSkillName1,records/skills"&amp;I71&amp;","</f>
        <v>augmentSkillName1,records/skills,</v>
      </c>
      <c r="G71" s="7" t="str">
        <f t="shared" si="31"/>
        <v/>
      </c>
      <c r="H71" s="8" t="str">
        <f t="shared" si="32"/>
        <v>Earth</v>
      </c>
      <c r="J71" s="8" t="str">
        <f t="shared" si="33"/>
        <v>class0022</v>
      </c>
      <c r="K71" s="8" t="str">
        <f t="shared" si="33"/>
        <v>dailoneskill0022</v>
      </c>
      <c r="L71" s="5" t="str">
        <f t="shared" si="26"/>
        <v>lootName,DAIL/items/materia/class0022/Earth.dbr,</v>
      </c>
      <c r="M71" s="5" t="str">
        <f t="shared" si="27"/>
        <v>lootWeight,1,</v>
      </c>
      <c r="N71" t="str">
        <f t="shared" si="28"/>
        <v>5</v>
      </c>
      <c r="O71" t="str">
        <f t="shared" ref="O71:O102" si="37">IF(I71&lt;&gt;"","copy .\"&amp;VLOOKUP(VALUE(N71),$AD$3:$AF$5,2,FALSE)&amp;" .\items\materia\"&amp;J71&amp;"\"&amp;H71&amp;G71&amp;".dbr /y"&amp;"","")</f>
        <v/>
      </c>
      <c r="P71" t="str">
        <f t="shared" si="23"/>
        <v/>
      </c>
      <c r="Q71" t="str">
        <f t="shared" si="23"/>
        <v/>
      </c>
      <c r="R71" t="str">
        <f t="shared" si="23"/>
        <v/>
      </c>
      <c r="S71" t="str">
        <f t="shared" si="23"/>
        <v/>
      </c>
      <c r="T71" t="str">
        <f t="shared" si="23"/>
        <v/>
      </c>
      <c r="U71" t="str">
        <f t="shared" si="23"/>
        <v/>
      </c>
      <c r="V71" s="5" t="s">
        <v>36</v>
      </c>
      <c r="W71" t="str">
        <f t="shared" si="29"/>
        <v/>
      </c>
      <c r="X71" t="str">
        <f t="shared" si="29"/>
        <v/>
      </c>
      <c r="Y71" s="5" t="s">
        <v>36</v>
      </c>
      <c r="Z71" t="str">
        <f t="shared" si="30"/>
        <v/>
      </c>
      <c r="AA71" t="str">
        <f t="shared" ref="AA71:AA102" si="38">IF(I70&lt;&gt;"","dailCompText"&amp;H71&amp;G71&amp;"=^oThis feels warm to the touch, almost familiar ^w("&amp;VLOOKUP(VALUE(N71),$AD$3:$AF$5,3,FALSE)&amp;")","")</f>
        <v/>
      </c>
      <c r="AB71" s="5" t="s">
        <v>36</v>
      </c>
      <c r="AH71">
        <f t="shared" si="19"/>
        <v>66</v>
      </c>
      <c r="AI71">
        <f t="shared" si="34"/>
        <v>0</v>
      </c>
      <c r="AJ71">
        <f t="shared" ref="AJ71:AJ102" si="39">IF(AH71&lt;$AL$7,1,IF(AH71&lt;$AL$8,3,5))</f>
        <v>5</v>
      </c>
    </row>
    <row r="72" spans="1:36" x14ac:dyDescent="0.25">
      <c r="A72" s="5" t="s">
        <v>39</v>
      </c>
      <c r="B72" s="5" t="s">
        <v>30</v>
      </c>
      <c r="C72" s="5" t="str">
        <f t="shared" si="24"/>
        <v>description,dailCompDescEarth,</v>
      </c>
      <c r="D72" s="5" t="str">
        <f t="shared" si="25"/>
        <v>itemText,dailCompTextEarth,</v>
      </c>
      <c r="E72" s="5" t="str">
        <f t="shared" si="35"/>
        <v>augmentSkillLevel1,5,</v>
      </c>
      <c r="F72" s="5" t="str">
        <f t="shared" si="36"/>
        <v>augmentSkillName1,records/skills,</v>
      </c>
      <c r="G72" s="7" t="str">
        <f t="shared" si="31"/>
        <v/>
      </c>
      <c r="H72" s="8" t="str">
        <f t="shared" si="32"/>
        <v>Earth</v>
      </c>
      <c r="J72" s="8" t="str">
        <f t="shared" si="33"/>
        <v>class0022</v>
      </c>
      <c r="K72" s="8" t="str">
        <f t="shared" si="33"/>
        <v>dailoneskill0022</v>
      </c>
      <c r="L72" s="5" t="str">
        <f t="shared" si="26"/>
        <v>lootName,DAIL/items/materia/class0022/Earth.dbr,</v>
      </c>
      <c r="M72" s="5" t="str">
        <f t="shared" si="27"/>
        <v>lootWeight,1,</v>
      </c>
      <c r="N72" t="str">
        <f t="shared" si="28"/>
        <v>5</v>
      </c>
      <c r="O72" t="str">
        <f t="shared" si="37"/>
        <v/>
      </c>
      <c r="P72" t="str">
        <f t="shared" si="23"/>
        <v/>
      </c>
      <c r="Q72" t="str">
        <f t="shared" si="23"/>
        <v/>
      </c>
      <c r="R72" t="str">
        <f t="shared" si="23"/>
        <v/>
      </c>
      <c r="S72" t="str">
        <f t="shared" si="23"/>
        <v/>
      </c>
      <c r="T72" t="str">
        <f t="shared" si="23"/>
        <v/>
      </c>
      <c r="U72" t="str">
        <f t="shared" si="23"/>
        <v/>
      </c>
      <c r="V72" s="5" t="s">
        <v>36</v>
      </c>
      <c r="W72" t="str">
        <f t="shared" si="29"/>
        <v/>
      </c>
      <c r="X72" t="str">
        <f t="shared" si="29"/>
        <v/>
      </c>
      <c r="Y72" s="5" t="s">
        <v>36</v>
      </c>
      <c r="Z72" t="str">
        <f t="shared" si="30"/>
        <v/>
      </c>
      <c r="AA72" t="str">
        <f t="shared" si="38"/>
        <v/>
      </c>
      <c r="AB72" s="5" t="s">
        <v>36</v>
      </c>
      <c r="AH72">
        <f t="shared" ref="AH72:AH102" si="40">AH71+1</f>
        <v>67</v>
      </c>
      <c r="AI72">
        <f t="shared" si="34"/>
        <v>0</v>
      </c>
      <c r="AJ72">
        <f t="shared" si="39"/>
        <v>5</v>
      </c>
    </row>
    <row r="73" spans="1:36" x14ac:dyDescent="0.25">
      <c r="A73" s="5" t="s">
        <v>39</v>
      </c>
      <c r="B73" s="5" t="s">
        <v>30</v>
      </c>
      <c r="C73" s="5" t="str">
        <f t="shared" si="24"/>
        <v>description,dailCompDescEarth,</v>
      </c>
      <c r="D73" s="5" t="str">
        <f t="shared" si="25"/>
        <v>itemText,dailCompTextEarth,</v>
      </c>
      <c r="E73" s="5" t="str">
        <f t="shared" si="35"/>
        <v>augmentSkillLevel1,5,</v>
      </c>
      <c r="F73" s="5" t="str">
        <f t="shared" si="36"/>
        <v>augmentSkillName1,records/skills,</v>
      </c>
      <c r="G73" s="7" t="str">
        <f t="shared" si="31"/>
        <v/>
      </c>
      <c r="H73" s="8" t="str">
        <f t="shared" si="32"/>
        <v>Earth</v>
      </c>
      <c r="J73" s="8" t="str">
        <f t="shared" si="33"/>
        <v>class0022</v>
      </c>
      <c r="K73" s="8" t="str">
        <f t="shared" si="33"/>
        <v>dailoneskill0022</v>
      </c>
      <c r="L73" s="5" t="str">
        <f t="shared" si="26"/>
        <v>lootName,DAIL/items/materia/class0022/Earth.dbr,</v>
      </c>
      <c r="M73" s="5" t="str">
        <f t="shared" si="27"/>
        <v>lootWeight,1,</v>
      </c>
      <c r="N73" t="str">
        <f t="shared" si="28"/>
        <v>5</v>
      </c>
      <c r="O73" t="str">
        <f t="shared" si="37"/>
        <v/>
      </c>
      <c r="P73" t="str">
        <f t="shared" si="23"/>
        <v/>
      </c>
      <c r="Q73" t="str">
        <f t="shared" si="23"/>
        <v/>
      </c>
      <c r="R73" t="str">
        <f t="shared" si="23"/>
        <v/>
      </c>
      <c r="S73" t="str">
        <f t="shared" si="23"/>
        <v/>
      </c>
      <c r="T73" t="str">
        <f t="shared" si="23"/>
        <v/>
      </c>
      <c r="U73" t="str">
        <f t="shared" si="23"/>
        <v/>
      </c>
      <c r="V73" s="5" t="s">
        <v>36</v>
      </c>
      <c r="W73" t="str">
        <f t="shared" si="29"/>
        <v/>
      </c>
      <c r="X73" t="str">
        <f t="shared" si="29"/>
        <v/>
      </c>
      <c r="Y73" s="5" t="s">
        <v>36</v>
      </c>
      <c r="Z73" t="str">
        <f t="shared" si="30"/>
        <v/>
      </c>
      <c r="AA73" t="str">
        <f t="shared" si="38"/>
        <v/>
      </c>
      <c r="AB73" s="5" t="s">
        <v>36</v>
      </c>
      <c r="AH73">
        <f t="shared" si="40"/>
        <v>68</v>
      </c>
      <c r="AI73">
        <f t="shared" si="34"/>
        <v>0</v>
      </c>
      <c r="AJ73">
        <f t="shared" si="39"/>
        <v>5</v>
      </c>
    </row>
    <row r="74" spans="1:36" x14ac:dyDescent="0.25">
      <c r="A74" s="5" t="s">
        <v>39</v>
      </c>
      <c r="B74" s="5" t="s">
        <v>30</v>
      </c>
      <c r="C74" s="5" t="str">
        <f t="shared" si="24"/>
        <v>description,dailCompDescEarth,</v>
      </c>
      <c r="D74" s="5" t="str">
        <f t="shared" si="25"/>
        <v>itemText,dailCompTextEarth,</v>
      </c>
      <c r="E74" s="5" t="str">
        <f t="shared" si="35"/>
        <v>augmentSkillLevel1,5,</v>
      </c>
      <c r="F74" s="5" t="str">
        <f t="shared" si="36"/>
        <v>augmentSkillName1,records/skills,</v>
      </c>
      <c r="G74" s="7" t="str">
        <f t="shared" si="31"/>
        <v/>
      </c>
      <c r="H74" s="8" t="str">
        <f t="shared" si="32"/>
        <v>Earth</v>
      </c>
      <c r="J74" s="8" t="str">
        <f t="shared" si="33"/>
        <v>class0022</v>
      </c>
      <c r="K74" s="8" t="str">
        <f t="shared" si="33"/>
        <v>dailoneskill0022</v>
      </c>
      <c r="L74" s="5" t="str">
        <f t="shared" si="26"/>
        <v>lootName,DAIL/items/materia/class0022/Earth.dbr,</v>
      </c>
      <c r="M74" s="5" t="str">
        <f t="shared" si="27"/>
        <v>lootWeight,1,</v>
      </c>
      <c r="N74" t="str">
        <f t="shared" si="28"/>
        <v>5</v>
      </c>
      <c r="O74" t="str">
        <f t="shared" si="37"/>
        <v/>
      </c>
      <c r="P74" t="str">
        <f t="shared" si="23"/>
        <v/>
      </c>
      <c r="Q74" t="str">
        <f t="shared" si="23"/>
        <v/>
      </c>
      <c r="R74" t="str">
        <f t="shared" si="23"/>
        <v/>
      </c>
      <c r="S74" t="str">
        <f t="shared" si="23"/>
        <v/>
      </c>
      <c r="T74" t="str">
        <f t="shared" si="23"/>
        <v/>
      </c>
      <c r="U74" t="str">
        <f t="shared" si="23"/>
        <v/>
      </c>
      <c r="V74" s="5" t="s">
        <v>36</v>
      </c>
      <c r="W74" t="str">
        <f t="shared" si="29"/>
        <v/>
      </c>
      <c r="X74" t="str">
        <f t="shared" si="29"/>
        <v/>
      </c>
      <c r="Y74" s="5" t="s">
        <v>36</v>
      </c>
      <c r="Z74" t="str">
        <f t="shared" si="30"/>
        <v/>
      </c>
      <c r="AA74" t="str">
        <f t="shared" si="38"/>
        <v/>
      </c>
      <c r="AB74" s="5" t="s">
        <v>36</v>
      </c>
      <c r="AH74">
        <f t="shared" si="40"/>
        <v>69</v>
      </c>
      <c r="AI74">
        <f t="shared" si="34"/>
        <v>0</v>
      </c>
      <c r="AJ74">
        <f t="shared" si="39"/>
        <v>5</v>
      </c>
    </row>
    <row r="75" spans="1:36" x14ac:dyDescent="0.25">
      <c r="A75" s="5" t="s">
        <v>39</v>
      </c>
      <c r="B75" s="5" t="s">
        <v>30</v>
      </c>
      <c r="C75" s="5" t="str">
        <f t="shared" si="24"/>
        <v>description,dailCompDescEarth,</v>
      </c>
      <c r="D75" s="5" t="str">
        <f t="shared" si="25"/>
        <v>itemText,dailCompTextEarth,</v>
      </c>
      <c r="E75" s="5" t="str">
        <f t="shared" si="35"/>
        <v>augmentSkillLevel1,5,</v>
      </c>
      <c r="F75" s="5" t="str">
        <f t="shared" si="36"/>
        <v>augmentSkillName1,records/skills,</v>
      </c>
      <c r="G75" s="7" t="str">
        <f t="shared" si="31"/>
        <v/>
      </c>
      <c r="H75" s="8" t="str">
        <f t="shared" si="32"/>
        <v>Earth</v>
      </c>
      <c r="J75" s="8" t="str">
        <f t="shared" si="33"/>
        <v>class0022</v>
      </c>
      <c r="K75" s="8" t="str">
        <f t="shared" si="33"/>
        <v>dailoneskill0022</v>
      </c>
      <c r="L75" s="5" t="str">
        <f t="shared" si="26"/>
        <v>lootName,DAIL/items/materia/class0022/Earth.dbr,</v>
      </c>
      <c r="M75" s="5" t="str">
        <f t="shared" si="27"/>
        <v>lootWeight,1,</v>
      </c>
      <c r="N75" t="str">
        <f t="shared" si="28"/>
        <v>5</v>
      </c>
      <c r="O75" t="str">
        <f t="shared" si="37"/>
        <v/>
      </c>
      <c r="P75" t="str">
        <f t="shared" si="23"/>
        <v/>
      </c>
      <c r="Q75" t="str">
        <f t="shared" si="23"/>
        <v/>
      </c>
      <c r="R75" t="str">
        <f t="shared" si="23"/>
        <v/>
      </c>
      <c r="S75" t="str">
        <f t="shared" si="23"/>
        <v/>
      </c>
      <c r="T75" t="str">
        <f t="shared" si="23"/>
        <v/>
      </c>
      <c r="U75" t="str">
        <f t="shared" si="23"/>
        <v/>
      </c>
      <c r="V75" s="5" t="s">
        <v>36</v>
      </c>
      <c r="W75" t="str">
        <f t="shared" si="29"/>
        <v/>
      </c>
      <c r="X75" t="str">
        <f t="shared" si="29"/>
        <v/>
      </c>
      <c r="Y75" s="5" t="s">
        <v>36</v>
      </c>
      <c r="Z75" t="str">
        <f t="shared" si="30"/>
        <v/>
      </c>
      <c r="AA75" t="str">
        <f t="shared" si="38"/>
        <v/>
      </c>
      <c r="AB75" s="5" t="s">
        <v>36</v>
      </c>
      <c r="AH75">
        <f t="shared" si="40"/>
        <v>70</v>
      </c>
      <c r="AI75">
        <f t="shared" si="34"/>
        <v>0</v>
      </c>
      <c r="AJ75">
        <f t="shared" si="39"/>
        <v>5</v>
      </c>
    </row>
    <row r="76" spans="1:36" x14ac:dyDescent="0.25">
      <c r="A76" s="5" t="s">
        <v>39</v>
      </c>
      <c r="B76" s="5" t="s">
        <v>30</v>
      </c>
      <c r="C76" s="5" t="str">
        <f t="shared" si="24"/>
        <v>description,dailCompDescEarth,</v>
      </c>
      <c r="D76" s="5" t="str">
        <f t="shared" si="25"/>
        <v>itemText,dailCompTextEarth,</v>
      </c>
      <c r="E76" s="5" t="str">
        <f t="shared" si="35"/>
        <v>augmentSkillLevel1,5,</v>
      </c>
      <c r="F76" s="5" t="str">
        <f t="shared" si="36"/>
        <v>augmentSkillName1,records/skills,</v>
      </c>
      <c r="G76" s="7" t="str">
        <f t="shared" si="31"/>
        <v/>
      </c>
      <c r="H76" s="8" t="str">
        <f t="shared" si="32"/>
        <v>Earth</v>
      </c>
      <c r="J76" s="8" t="str">
        <f t="shared" si="33"/>
        <v>class0022</v>
      </c>
      <c r="K76" s="8" t="str">
        <f t="shared" si="33"/>
        <v>dailoneskill0022</v>
      </c>
      <c r="L76" s="5" t="str">
        <f t="shared" si="26"/>
        <v>lootName,DAIL/items/materia/class0022/Earth.dbr,</v>
      </c>
      <c r="M76" s="5" t="str">
        <f t="shared" si="27"/>
        <v>lootWeight,1,</v>
      </c>
      <c r="N76" t="str">
        <f t="shared" si="28"/>
        <v>5</v>
      </c>
      <c r="O76" t="str">
        <f t="shared" si="37"/>
        <v/>
      </c>
      <c r="P76" t="str">
        <f t="shared" si="23"/>
        <v/>
      </c>
      <c r="Q76" t="str">
        <f t="shared" si="23"/>
        <v/>
      </c>
      <c r="R76" t="str">
        <f t="shared" si="23"/>
        <v/>
      </c>
      <c r="S76" t="str">
        <f t="shared" si="23"/>
        <v/>
      </c>
      <c r="T76" t="str">
        <f t="shared" si="23"/>
        <v/>
      </c>
      <c r="U76" t="str">
        <f t="shared" si="23"/>
        <v/>
      </c>
      <c r="V76" s="5" t="s">
        <v>36</v>
      </c>
      <c r="W76" t="str">
        <f t="shared" si="29"/>
        <v/>
      </c>
      <c r="X76" t="str">
        <f t="shared" si="29"/>
        <v/>
      </c>
      <c r="Y76" s="5" t="s">
        <v>36</v>
      </c>
      <c r="Z76" t="str">
        <f t="shared" si="30"/>
        <v/>
      </c>
      <c r="AA76" t="str">
        <f t="shared" si="38"/>
        <v/>
      </c>
      <c r="AB76" s="5" t="s">
        <v>36</v>
      </c>
      <c r="AH76">
        <f t="shared" si="40"/>
        <v>71</v>
      </c>
      <c r="AI76">
        <f t="shared" si="34"/>
        <v>0</v>
      </c>
      <c r="AJ76">
        <f t="shared" si="39"/>
        <v>5</v>
      </c>
    </row>
    <row r="77" spans="1:36" x14ac:dyDescent="0.25">
      <c r="A77" s="5" t="s">
        <v>39</v>
      </c>
      <c r="B77" s="5" t="s">
        <v>30</v>
      </c>
      <c r="C77" s="5" t="str">
        <f t="shared" si="24"/>
        <v>description,dailCompDescEarth,</v>
      </c>
      <c r="D77" s="5" t="str">
        <f t="shared" si="25"/>
        <v>itemText,dailCompTextEarth,</v>
      </c>
      <c r="E77" s="5" t="str">
        <f t="shared" si="35"/>
        <v>augmentSkillLevel1,5,</v>
      </c>
      <c r="F77" s="5" t="str">
        <f t="shared" si="36"/>
        <v>augmentSkillName1,records/skills,</v>
      </c>
      <c r="G77" s="7" t="str">
        <f t="shared" si="31"/>
        <v/>
      </c>
      <c r="H77" s="8" t="str">
        <f t="shared" si="32"/>
        <v>Earth</v>
      </c>
      <c r="J77" s="8" t="str">
        <f t="shared" si="33"/>
        <v>class0022</v>
      </c>
      <c r="K77" s="8" t="str">
        <f t="shared" si="33"/>
        <v>dailoneskill0022</v>
      </c>
      <c r="L77" s="5" t="str">
        <f t="shared" si="26"/>
        <v>lootName,DAIL/items/materia/class0022/Earth.dbr,</v>
      </c>
      <c r="M77" s="5" t="str">
        <f t="shared" si="27"/>
        <v>lootWeight,1,</v>
      </c>
      <c r="N77" t="str">
        <f t="shared" si="28"/>
        <v>5</v>
      </c>
      <c r="O77" t="str">
        <f t="shared" si="37"/>
        <v/>
      </c>
      <c r="P77" t="str">
        <f t="shared" si="23"/>
        <v/>
      </c>
      <c r="Q77" t="str">
        <f t="shared" si="23"/>
        <v/>
      </c>
      <c r="R77" t="str">
        <f t="shared" si="23"/>
        <v/>
      </c>
      <c r="S77" t="str">
        <f t="shared" si="23"/>
        <v/>
      </c>
      <c r="T77" t="str">
        <f t="shared" si="23"/>
        <v/>
      </c>
      <c r="U77" t="str">
        <f t="shared" si="23"/>
        <v/>
      </c>
      <c r="V77" s="5" t="s">
        <v>36</v>
      </c>
      <c r="W77" t="str">
        <f t="shared" si="29"/>
        <v/>
      </c>
      <c r="X77" t="str">
        <f t="shared" si="29"/>
        <v/>
      </c>
      <c r="Y77" s="5" t="s">
        <v>36</v>
      </c>
      <c r="Z77" t="str">
        <f t="shared" si="30"/>
        <v/>
      </c>
      <c r="AA77" t="str">
        <f t="shared" si="38"/>
        <v/>
      </c>
      <c r="AB77" s="5" t="s">
        <v>36</v>
      </c>
      <c r="AH77">
        <f t="shared" si="40"/>
        <v>72</v>
      </c>
      <c r="AI77">
        <f t="shared" si="34"/>
        <v>0</v>
      </c>
      <c r="AJ77">
        <f t="shared" si="39"/>
        <v>5</v>
      </c>
    </row>
    <row r="78" spans="1:36" x14ac:dyDescent="0.25">
      <c r="A78" s="5" t="s">
        <v>39</v>
      </c>
      <c r="B78" s="5" t="s">
        <v>30</v>
      </c>
      <c r="C78" s="5" t="str">
        <f t="shared" si="24"/>
        <v>description,dailCompDescEarth,</v>
      </c>
      <c r="D78" s="5" t="str">
        <f t="shared" si="25"/>
        <v>itemText,dailCompTextEarth,</v>
      </c>
      <c r="E78" s="5" t="str">
        <f t="shared" si="35"/>
        <v>augmentSkillLevel1,5,</v>
      </c>
      <c r="F78" s="5" t="str">
        <f t="shared" si="36"/>
        <v>augmentSkillName1,records/skills,</v>
      </c>
      <c r="G78" s="7" t="str">
        <f t="shared" si="31"/>
        <v/>
      </c>
      <c r="H78" s="8" t="str">
        <f t="shared" si="32"/>
        <v>Earth</v>
      </c>
      <c r="J78" s="8" t="str">
        <f t="shared" si="33"/>
        <v>class0022</v>
      </c>
      <c r="K78" s="8" t="str">
        <f t="shared" si="33"/>
        <v>dailoneskill0022</v>
      </c>
      <c r="L78" s="5" t="str">
        <f t="shared" si="26"/>
        <v>lootName,DAIL/items/materia/class0022/Earth.dbr,</v>
      </c>
      <c r="M78" s="5" t="str">
        <f t="shared" si="27"/>
        <v>lootWeight,1,</v>
      </c>
      <c r="N78" t="str">
        <f t="shared" si="28"/>
        <v>5</v>
      </c>
      <c r="O78" t="str">
        <f t="shared" si="37"/>
        <v/>
      </c>
      <c r="P78" t="str">
        <f t="shared" si="23"/>
        <v/>
      </c>
      <c r="Q78" t="str">
        <f t="shared" si="23"/>
        <v/>
      </c>
      <c r="R78" t="str">
        <f t="shared" si="23"/>
        <v/>
      </c>
      <c r="S78" t="str">
        <f t="shared" si="23"/>
        <v/>
      </c>
      <c r="T78" t="str">
        <f t="shared" si="23"/>
        <v/>
      </c>
      <c r="U78" t="str">
        <f t="shared" si="23"/>
        <v/>
      </c>
      <c r="V78" s="5" t="s">
        <v>36</v>
      </c>
      <c r="W78" t="str">
        <f t="shared" si="29"/>
        <v/>
      </c>
      <c r="X78" t="str">
        <f t="shared" si="29"/>
        <v/>
      </c>
      <c r="Y78" s="5" t="s">
        <v>36</v>
      </c>
      <c r="Z78" t="str">
        <f t="shared" si="30"/>
        <v/>
      </c>
      <c r="AA78" t="str">
        <f t="shared" si="38"/>
        <v/>
      </c>
      <c r="AB78" s="5" t="s">
        <v>36</v>
      </c>
      <c r="AH78">
        <f t="shared" si="40"/>
        <v>73</v>
      </c>
      <c r="AI78">
        <f t="shared" si="34"/>
        <v>0</v>
      </c>
      <c r="AJ78">
        <f t="shared" si="39"/>
        <v>5</v>
      </c>
    </row>
    <row r="79" spans="1:36" x14ac:dyDescent="0.25">
      <c r="A79" s="5" t="s">
        <v>39</v>
      </c>
      <c r="B79" s="5" t="s">
        <v>30</v>
      </c>
      <c r="C79" s="5" t="str">
        <f t="shared" si="24"/>
        <v>description,dailCompDescEarth,</v>
      </c>
      <c r="D79" s="5" t="str">
        <f t="shared" si="25"/>
        <v>itemText,dailCompTextEarth,</v>
      </c>
      <c r="E79" s="5" t="str">
        <f t="shared" si="35"/>
        <v>augmentSkillLevel1,5,</v>
      </c>
      <c r="F79" s="5" t="str">
        <f t="shared" si="36"/>
        <v>augmentSkillName1,records/skills,</v>
      </c>
      <c r="G79" s="7" t="str">
        <f t="shared" si="31"/>
        <v/>
      </c>
      <c r="H79" s="8" t="str">
        <f t="shared" si="32"/>
        <v>Earth</v>
      </c>
      <c r="J79" s="8" t="str">
        <f t="shared" si="33"/>
        <v>class0022</v>
      </c>
      <c r="K79" s="8" t="str">
        <f t="shared" si="33"/>
        <v>dailoneskill0022</v>
      </c>
      <c r="L79" s="5" t="str">
        <f t="shared" si="26"/>
        <v>lootName,DAIL/items/materia/class0022/Earth.dbr,</v>
      </c>
      <c r="M79" s="5" t="str">
        <f t="shared" si="27"/>
        <v>lootWeight,1,</v>
      </c>
      <c r="N79" t="str">
        <f t="shared" si="28"/>
        <v>5</v>
      </c>
      <c r="O79" t="str">
        <f t="shared" si="37"/>
        <v/>
      </c>
      <c r="P79" t="str">
        <f t="shared" si="23"/>
        <v/>
      </c>
      <c r="Q79" t="str">
        <f t="shared" si="23"/>
        <v/>
      </c>
      <c r="R79" t="str">
        <f t="shared" si="23"/>
        <v/>
      </c>
      <c r="S79" t="str">
        <f t="shared" si="23"/>
        <v/>
      </c>
      <c r="T79" t="str">
        <f t="shared" si="23"/>
        <v/>
      </c>
      <c r="U79" t="str">
        <f t="shared" si="23"/>
        <v/>
      </c>
      <c r="V79" s="5" t="s">
        <v>36</v>
      </c>
      <c r="W79" t="str">
        <f t="shared" si="29"/>
        <v/>
      </c>
      <c r="X79" t="str">
        <f t="shared" si="29"/>
        <v/>
      </c>
      <c r="Y79" s="5" t="s">
        <v>36</v>
      </c>
      <c r="Z79" t="str">
        <f t="shared" si="30"/>
        <v/>
      </c>
      <c r="AA79" t="str">
        <f t="shared" si="38"/>
        <v/>
      </c>
      <c r="AB79" s="5" t="s">
        <v>36</v>
      </c>
      <c r="AH79">
        <f t="shared" si="40"/>
        <v>74</v>
      </c>
      <c r="AI79">
        <f t="shared" si="34"/>
        <v>0</v>
      </c>
      <c r="AJ79">
        <f t="shared" si="39"/>
        <v>5</v>
      </c>
    </row>
    <row r="80" spans="1:36" x14ac:dyDescent="0.25">
      <c r="A80" s="5" t="s">
        <v>39</v>
      </c>
      <c r="B80" s="5" t="s">
        <v>30</v>
      </c>
      <c r="C80" s="5" t="str">
        <f t="shared" si="24"/>
        <v>description,dailCompDescEarth,</v>
      </c>
      <c r="D80" s="5" t="str">
        <f t="shared" si="25"/>
        <v>itemText,dailCompTextEarth,</v>
      </c>
      <c r="E80" s="5" t="str">
        <f t="shared" si="35"/>
        <v>augmentSkillLevel1,5,</v>
      </c>
      <c r="F80" s="5" t="str">
        <f t="shared" si="36"/>
        <v>augmentSkillName1,records/skills,</v>
      </c>
      <c r="G80" s="7" t="str">
        <f t="shared" si="31"/>
        <v/>
      </c>
      <c r="H80" s="8" t="str">
        <f t="shared" si="32"/>
        <v>Earth</v>
      </c>
      <c r="J80" s="8" t="str">
        <f t="shared" si="33"/>
        <v>class0022</v>
      </c>
      <c r="K80" s="8" t="str">
        <f t="shared" si="33"/>
        <v>dailoneskill0022</v>
      </c>
      <c r="L80" s="5" t="str">
        <f t="shared" si="26"/>
        <v>lootName,DAIL/items/materia/class0022/Earth.dbr,</v>
      </c>
      <c r="M80" s="5" t="str">
        <f t="shared" si="27"/>
        <v>lootWeight,1,</v>
      </c>
      <c r="N80" t="str">
        <f t="shared" si="28"/>
        <v>5</v>
      </c>
      <c r="O80" t="str">
        <f t="shared" si="37"/>
        <v/>
      </c>
      <c r="P80" t="str">
        <f t="shared" si="23"/>
        <v/>
      </c>
      <c r="Q80" t="str">
        <f t="shared" si="23"/>
        <v/>
      </c>
      <c r="R80" t="str">
        <f t="shared" si="23"/>
        <v/>
      </c>
      <c r="S80" t="str">
        <f t="shared" si="23"/>
        <v/>
      </c>
      <c r="T80" t="str">
        <f t="shared" si="23"/>
        <v/>
      </c>
      <c r="U80" t="str">
        <f t="shared" si="23"/>
        <v/>
      </c>
      <c r="V80" s="5" t="s">
        <v>36</v>
      </c>
      <c r="W80" t="str">
        <f t="shared" si="29"/>
        <v/>
      </c>
      <c r="X80" t="str">
        <f t="shared" si="29"/>
        <v/>
      </c>
      <c r="Y80" s="5" t="s">
        <v>36</v>
      </c>
      <c r="Z80" t="str">
        <f t="shared" si="30"/>
        <v/>
      </c>
      <c r="AA80" t="str">
        <f t="shared" si="38"/>
        <v/>
      </c>
      <c r="AB80" s="5" t="s">
        <v>36</v>
      </c>
      <c r="AH80">
        <f t="shared" si="40"/>
        <v>75</v>
      </c>
      <c r="AI80">
        <f t="shared" si="34"/>
        <v>0</v>
      </c>
      <c r="AJ80">
        <f t="shared" si="39"/>
        <v>5</v>
      </c>
    </row>
    <row r="81" spans="1:36" x14ac:dyDescent="0.25">
      <c r="A81" s="5" t="s">
        <v>39</v>
      </c>
      <c r="B81" s="5" t="s">
        <v>30</v>
      </c>
      <c r="C81" s="5" t="str">
        <f t="shared" si="24"/>
        <v>description,dailCompDescEarth,</v>
      </c>
      <c r="D81" s="5" t="str">
        <f t="shared" si="25"/>
        <v>itemText,dailCompTextEarth,</v>
      </c>
      <c r="E81" s="5" t="str">
        <f t="shared" si="35"/>
        <v>augmentSkillLevel1,5,</v>
      </c>
      <c r="F81" s="5" t="str">
        <f t="shared" si="36"/>
        <v>augmentSkillName1,records/skills,</v>
      </c>
      <c r="G81" s="7" t="str">
        <f t="shared" si="31"/>
        <v/>
      </c>
      <c r="H81" s="8" t="str">
        <f t="shared" si="32"/>
        <v>Earth</v>
      </c>
      <c r="J81" s="8" t="str">
        <f t="shared" si="33"/>
        <v>class0022</v>
      </c>
      <c r="K81" s="8" t="str">
        <f t="shared" si="33"/>
        <v>dailoneskill0022</v>
      </c>
      <c r="L81" s="5" t="str">
        <f t="shared" si="26"/>
        <v>lootName,DAIL/items/materia/class0022/Earth.dbr,</v>
      </c>
      <c r="M81" s="5" t="str">
        <f t="shared" si="27"/>
        <v>lootWeight,1,</v>
      </c>
      <c r="N81" t="str">
        <f t="shared" si="28"/>
        <v>5</v>
      </c>
      <c r="O81" t="str">
        <f t="shared" si="37"/>
        <v/>
      </c>
      <c r="P81" t="str">
        <f t="shared" si="23"/>
        <v/>
      </c>
      <c r="Q81" t="str">
        <f t="shared" si="23"/>
        <v/>
      </c>
      <c r="R81" t="str">
        <f t="shared" si="23"/>
        <v/>
      </c>
      <c r="S81" t="str">
        <f t="shared" si="23"/>
        <v/>
      </c>
      <c r="T81" t="str">
        <f t="shared" si="23"/>
        <v/>
      </c>
      <c r="U81" t="str">
        <f t="shared" si="23"/>
        <v/>
      </c>
      <c r="V81" s="5" t="s">
        <v>36</v>
      </c>
      <c r="W81" t="str">
        <f t="shared" si="29"/>
        <v/>
      </c>
      <c r="X81" t="str">
        <f t="shared" si="29"/>
        <v/>
      </c>
      <c r="Y81" s="5" t="s">
        <v>36</v>
      </c>
      <c r="Z81" t="str">
        <f t="shared" si="30"/>
        <v/>
      </c>
      <c r="AA81" t="str">
        <f t="shared" si="38"/>
        <v/>
      </c>
      <c r="AB81" s="5" t="s">
        <v>36</v>
      </c>
      <c r="AH81">
        <f t="shared" si="40"/>
        <v>76</v>
      </c>
      <c r="AI81">
        <f t="shared" si="34"/>
        <v>0</v>
      </c>
      <c r="AJ81">
        <f t="shared" si="39"/>
        <v>5</v>
      </c>
    </row>
    <row r="82" spans="1:36" x14ac:dyDescent="0.25">
      <c r="A82" s="5" t="s">
        <v>39</v>
      </c>
      <c r="B82" s="5" t="s">
        <v>30</v>
      </c>
      <c r="C82" s="5" t="str">
        <f t="shared" si="24"/>
        <v>description,dailCompDescEarth,</v>
      </c>
      <c r="D82" s="5" t="str">
        <f t="shared" si="25"/>
        <v>itemText,dailCompTextEarth,</v>
      </c>
      <c r="E82" s="5" t="str">
        <f t="shared" si="35"/>
        <v>augmentSkillLevel1,5,</v>
      </c>
      <c r="F82" s="5" t="str">
        <f t="shared" si="36"/>
        <v>augmentSkillName1,records/skills,</v>
      </c>
      <c r="G82" s="7" t="str">
        <f t="shared" si="31"/>
        <v/>
      </c>
      <c r="H82" s="8" t="str">
        <f t="shared" si="32"/>
        <v>Earth</v>
      </c>
      <c r="J82" s="8" t="str">
        <f t="shared" si="33"/>
        <v>class0022</v>
      </c>
      <c r="K82" s="8" t="str">
        <f t="shared" si="33"/>
        <v>dailoneskill0022</v>
      </c>
      <c r="L82" s="5" t="str">
        <f t="shared" si="26"/>
        <v>lootName,DAIL/items/materia/class0022/Earth.dbr,</v>
      </c>
      <c r="M82" s="5" t="str">
        <f t="shared" si="27"/>
        <v>lootWeight,1,</v>
      </c>
      <c r="N82" t="str">
        <f t="shared" si="28"/>
        <v>5</v>
      </c>
      <c r="O82" t="str">
        <f t="shared" si="37"/>
        <v/>
      </c>
      <c r="P82" t="str">
        <f t="shared" si="23"/>
        <v/>
      </c>
      <c r="Q82" t="str">
        <f t="shared" si="23"/>
        <v/>
      </c>
      <c r="R82" t="str">
        <f t="shared" si="23"/>
        <v/>
      </c>
      <c r="S82" t="str">
        <f t="shared" si="23"/>
        <v/>
      </c>
      <c r="T82" t="str">
        <f t="shared" si="23"/>
        <v/>
      </c>
      <c r="U82" t="str">
        <f t="shared" si="23"/>
        <v/>
      </c>
      <c r="V82" s="5" t="s">
        <v>36</v>
      </c>
      <c r="W82" t="str">
        <f t="shared" si="29"/>
        <v/>
      </c>
      <c r="X82" t="str">
        <f t="shared" si="29"/>
        <v/>
      </c>
      <c r="Y82" s="5" t="s">
        <v>36</v>
      </c>
      <c r="Z82" t="str">
        <f t="shared" si="30"/>
        <v/>
      </c>
      <c r="AA82" t="str">
        <f t="shared" si="38"/>
        <v/>
      </c>
      <c r="AB82" s="5" t="s">
        <v>36</v>
      </c>
      <c r="AH82">
        <f t="shared" si="40"/>
        <v>77</v>
      </c>
      <c r="AI82">
        <f t="shared" si="34"/>
        <v>0</v>
      </c>
      <c r="AJ82">
        <f t="shared" si="39"/>
        <v>5</v>
      </c>
    </row>
    <row r="83" spans="1:36" x14ac:dyDescent="0.25">
      <c r="A83" s="5" t="s">
        <v>39</v>
      </c>
      <c r="B83" s="5" t="s">
        <v>30</v>
      </c>
      <c r="C83" s="5" t="str">
        <f t="shared" si="24"/>
        <v>description,dailCompDescEarth,</v>
      </c>
      <c r="D83" s="5" t="str">
        <f t="shared" si="25"/>
        <v>itemText,dailCompTextEarth,</v>
      </c>
      <c r="E83" s="5" t="str">
        <f t="shared" si="35"/>
        <v>augmentSkillLevel1,5,</v>
      </c>
      <c r="F83" s="5" t="str">
        <f t="shared" si="36"/>
        <v>augmentSkillName1,records/skills,</v>
      </c>
      <c r="G83" s="7" t="str">
        <f t="shared" si="31"/>
        <v/>
      </c>
      <c r="H83" s="8" t="str">
        <f t="shared" si="32"/>
        <v>Earth</v>
      </c>
      <c r="J83" s="8" t="str">
        <f t="shared" si="33"/>
        <v>class0022</v>
      </c>
      <c r="K83" s="8" t="str">
        <f t="shared" si="33"/>
        <v>dailoneskill0022</v>
      </c>
      <c r="L83" s="5" t="str">
        <f t="shared" si="26"/>
        <v>lootName,DAIL/items/materia/class0022/Earth.dbr,</v>
      </c>
      <c r="M83" s="5" t="str">
        <f t="shared" si="27"/>
        <v>lootWeight,1,</v>
      </c>
      <c r="N83" t="str">
        <f t="shared" si="28"/>
        <v>5</v>
      </c>
      <c r="O83" t="str">
        <f t="shared" si="37"/>
        <v/>
      </c>
      <c r="P83" t="str">
        <f t="shared" si="23"/>
        <v/>
      </c>
      <c r="Q83" t="str">
        <f t="shared" si="23"/>
        <v/>
      </c>
      <c r="R83" t="str">
        <f t="shared" si="23"/>
        <v/>
      </c>
      <c r="S83" t="str">
        <f t="shared" si="23"/>
        <v/>
      </c>
      <c r="T83" t="str">
        <f t="shared" si="23"/>
        <v/>
      </c>
      <c r="U83" t="str">
        <f t="shared" si="23"/>
        <v/>
      </c>
      <c r="V83" s="5" t="s">
        <v>36</v>
      </c>
      <c r="W83" t="str">
        <f t="shared" si="29"/>
        <v/>
      </c>
      <c r="X83" t="str">
        <f t="shared" si="29"/>
        <v/>
      </c>
      <c r="Y83" s="5" t="s">
        <v>36</v>
      </c>
      <c r="Z83" t="str">
        <f t="shared" si="30"/>
        <v/>
      </c>
      <c r="AA83" t="str">
        <f t="shared" si="38"/>
        <v/>
      </c>
      <c r="AB83" s="5" t="s">
        <v>36</v>
      </c>
      <c r="AH83">
        <f t="shared" si="40"/>
        <v>78</v>
      </c>
      <c r="AI83">
        <f t="shared" si="34"/>
        <v>0</v>
      </c>
      <c r="AJ83">
        <f t="shared" si="39"/>
        <v>5</v>
      </c>
    </row>
    <row r="84" spans="1:36" x14ac:dyDescent="0.25">
      <c r="A84" s="5" t="s">
        <v>39</v>
      </c>
      <c r="B84" s="5" t="s">
        <v>30</v>
      </c>
      <c r="C84" s="5" t="str">
        <f t="shared" si="24"/>
        <v>description,dailCompDescEarth,</v>
      </c>
      <c r="D84" s="5" t="str">
        <f t="shared" si="25"/>
        <v>itemText,dailCompTextEarth,</v>
      </c>
      <c r="E84" s="5" t="str">
        <f t="shared" si="35"/>
        <v>augmentSkillLevel1,5,</v>
      </c>
      <c r="F84" s="5" t="str">
        <f t="shared" si="36"/>
        <v>augmentSkillName1,records/skills,</v>
      </c>
      <c r="G84" s="7" t="str">
        <f t="shared" si="31"/>
        <v/>
      </c>
      <c r="H84" s="8" t="str">
        <f t="shared" si="32"/>
        <v>Earth</v>
      </c>
      <c r="J84" s="8" t="str">
        <f t="shared" si="33"/>
        <v>class0022</v>
      </c>
      <c r="K84" s="8" t="str">
        <f t="shared" si="33"/>
        <v>dailoneskill0022</v>
      </c>
      <c r="L84" s="5" t="str">
        <f t="shared" si="26"/>
        <v>lootName,DAIL/items/materia/class0022/Earth.dbr,</v>
      </c>
      <c r="M84" s="5" t="str">
        <f t="shared" si="27"/>
        <v>lootWeight,1,</v>
      </c>
      <c r="N84" t="str">
        <f t="shared" si="28"/>
        <v>5</v>
      </c>
      <c r="O84" t="str">
        <f t="shared" si="37"/>
        <v/>
      </c>
      <c r="P84" t="str">
        <f t="shared" si="23"/>
        <v/>
      </c>
      <c r="Q84" t="str">
        <f t="shared" si="23"/>
        <v/>
      </c>
      <c r="R84" t="str">
        <f t="shared" si="23"/>
        <v/>
      </c>
      <c r="S84" t="str">
        <f t="shared" si="23"/>
        <v/>
      </c>
      <c r="T84" t="str">
        <f t="shared" si="23"/>
        <v/>
      </c>
      <c r="U84" t="str">
        <f t="shared" si="23"/>
        <v/>
      </c>
      <c r="V84" s="5" t="s">
        <v>36</v>
      </c>
      <c r="W84" t="str">
        <f t="shared" si="29"/>
        <v/>
      </c>
      <c r="X84" t="str">
        <f t="shared" si="29"/>
        <v/>
      </c>
      <c r="Y84" s="5" t="s">
        <v>36</v>
      </c>
      <c r="Z84" t="str">
        <f t="shared" si="30"/>
        <v/>
      </c>
      <c r="AA84" t="str">
        <f t="shared" si="38"/>
        <v/>
      </c>
      <c r="AB84" s="5" t="s">
        <v>36</v>
      </c>
      <c r="AH84">
        <f t="shared" si="40"/>
        <v>79</v>
      </c>
      <c r="AI84">
        <f t="shared" si="34"/>
        <v>0</v>
      </c>
      <c r="AJ84">
        <f t="shared" si="39"/>
        <v>5</v>
      </c>
    </row>
    <row r="85" spans="1:36" x14ac:dyDescent="0.25">
      <c r="A85" s="5" t="s">
        <v>39</v>
      </c>
      <c r="B85" s="5" t="s">
        <v>30</v>
      </c>
      <c r="C85" s="5" t="str">
        <f t="shared" si="24"/>
        <v>description,dailCompDescEarth,</v>
      </c>
      <c r="D85" s="5" t="str">
        <f t="shared" si="25"/>
        <v>itemText,dailCompTextEarth,</v>
      </c>
      <c r="E85" s="5" t="str">
        <f t="shared" si="35"/>
        <v>augmentSkillLevel1,5,</v>
      </c>
      <c r="F85" s="5" t="str">
        <f t="shared" si="36"/>
        <v>augmentSkillName1,records/skills,</v>
      </c>
      <c r="G85" s="7" t="str">
        <f t="shared" si="31"/>
        <v/>
      </c>
      <c r="H85" s="8" t="str">
        <f t="shared" si="32"/>
        <v>Earth</v>
      </c>
      <c r="J85" s="8" t="str">
        <f t="shared" ref="J85:K100" si="41">J84</f>
        <v>class0022</v>
      </c>
      <c r="K85" s="8" t="str">
        <f t="shared" si="41"/>
        <v>dailoneskill0022</v>
      </c>
      <c r="L85" s="5" t="str">
        <f t="shared" si="26"/>
        <v>lootName,DAIL/items/materia/class0022/Earth.dbr,</v>
      </c>
      <c r="M85" s="5" t="str">
        <f t="shared" si="27"/>
        <v>lootWeight,1,</v>
      </c>
      <c r="N85" t="str">
        <f t="shared" si="28"/>
        <v>5</v>
      </c>
      <c r="O85" t="str">
        <f t="shared" si="37"/>
        <v/>
      </c>
      <c r="P85" t="str">
        <f t="shared" si="23"/>
        <v/>
      </c>
      <c r="Q85" t="str">
        <f t="shared" si="23"/>
        <v/>
      </c>
      <c r="R85" t="str">
        <f t="shared" si="23"/>
        <v/>
      </c>
      <c r="S85" t="str">
        <f t="shared" si="23"/>
        <v/>
      </c>
      <c r="T85" t="str">
        <f t="shared" si="23"/>
        <v/>
      </c>
      <c r="U85" t="str">
        <f t="shared" si="23"/>
        <v/>
      </c>
      <c r="V85" s="5" t="s">
        <v>36</v>
      </c>
      <c r="W85" t="str">
        <f t="shared" si="29"/>
        <v/>
      </c>
      <c r="X85" t="str">
        <f t="shared" si="29"/>
        <v/>
      </c>
      <c r="Y85" s="5" t="s">
        <v>36</v>
      </c>
      <c r="Z85" t="str">
        <f t="shared" si="30"/>
        <v/>
      </c>
      <c r="AA85" t="str">
        <f t="shared" si="38"/>
        <v/>
      </c>
      <c r="AB85" s="5" t="s">
        <v>36</v>
      </c>
      <c r="AH85">
        <f t="shared" si="40"/>
        <v>80</v>
      </c>
      <c r="AI85">
        <f t="shared" si="34"/>
        <v>0</v>
      </c>
      <c r="AJ85">
        <f t="shared" si="39"/>
        <v>5</v>
      </c>
    </row>
    <row r="86" spans="1:36" x14ac:dyDescent="0.25">
      <c r="A86" s="5" t="s">
        <v>39</v>
      </c>
      <c r="B86" s="5" t="s">
        <v>30</v>
      </c>
      <c r="C86" s="5" t="str">
        <f t="shared" si="24"/>
        <v>description,dailCompDescEarth,</v>
      </c>
      <c r="D86" s="5" t="str">
        <f t="shared" si="25"/>
        <v>itemText,dailCompTextEarth,</v>
      </c>
      <c r="E86" s="5" t="str">
        <f t="shared" si="35"/>
        <v>augmentSkillLevel1,5,</v>
      </c>
      <c r="F86" s="5" t="str">
        <f t="shared" si="36"/>
        <v>augmentSkillName1,records/skills,</v>
      </c>
      <c r="G86" s="7" t="str">
        <f t="shared" si="31"/>
        <v/>
      </c>
      <c r="H86" s="8" t="str">
        <f t="shared" si="32"/>
        <v>Earth</v>
      </c>
      <c r="J86" s="8" t="str">
        <f t="shared" si="41"/>
        <v>class0022</v>
      </c>
      <c r="K86" s="8" t="str">
        <f t="shared" si="41"/>
        <v>dailoneskill0022</v>
      </c>
      <c r="L86" s="5" t="str">
        <f t="shared" si="26"/>
        <v>lootName,DAIL/items/materia/class0022/Earth.dbr,</v>
      </c>
      <c r="M86" s="5" t="str">
        <f t="shared" si="27"/>
        <v>lootWeight,1,</v>
      </c>
      <c r="N86" t="str">
        <f t="shared" si="28"/>
        <v>5</v>
      </c>
      <c r="O86" t="str">
        <f t="shared" si="37"/>
        <v/>
      </c>
      <c r="P86" t="str">
        <f t="shared" si="23"/>
        <v/>
      </c>
      <c r="Q86" t="str">
        <f t="shared" si="23"/>
        <v/>
      </c>
      <c r="R86" t="str">
        <f t="shared" si="23"/>
        <v/>
      </c>
      <c r="S86" t="str">
        <f t="shared" si="23"/>
        <v/>
      </c>
      <c r="T86" t="str">
        <f t="shared" si="23"/>
        <v/>
      </c>
      <c r="U86" t="str">
        <f t="shared" si="23"/>
        <v/>
      </c>
      <c r="V86" s="5" t="s">
        <v>36</v>
      </c>
      <c r="W86" t="str">
        <f t="shared" si="29"/>
        <v/>
      </c>
      <c r="X86" t="str">
        <f t="shared" si="29"/>
        <v/>
      </c>
      <c r="Y86" s="5" t="s">
        <v>36</v>
      </c>
      <c r="Z86" t="str">
        <f t="shared" si="30"/>
        <v/>
      </c>
      <c r="AA86" t="str">
        <f t="shared" si="38"/>
        <v/>
      </c>
      <c r="AB86" s="5" t="s">
        <v>36</v>
      </c>
      <c r="AH86">
        <f t="shared" si="40"/>
        <v>81</v>
      </c>
      <c r="AI86">
        <f t="shared" si="34"/>
        <v>0</v>
      </c>
      <c r="AJ86">
        <f t="shared" si="39"/>
        <v>5</v>
      </c>
    </row>
    <row r="87" spans="1:36" x14ac:dyDescent="0.25">
      <c r="A87" s="5" t="s">
        <v>39</v>
      </c>
      <c r="B87" s="5" t="s">
        <v>30</v>
      </c>
      <c r="C87" s="5" t="str">
        <f t="shared" si="24"/>
        <v>description,dailCompDescEarth,</v>
      </c>
      <c r="D87" s="5" t="str">
        <f t="shared" si="25"/>
        <v>itemText,dailCompTextEarth,</v>
      </c>
      <c r="E87" s="5" t="str">
        <f t="shared" si="35"/>
        <v>augmentSkillLevel1,5,</v>
      </c>
      <c r="F87" s="5" t="str">
        <f t="shared" si="36"/>
        <v>augmentSkillName1,records/skills,</v>
      </c>
      <c r="G87" s="7" t="str">
        <f t="shared" si="31"/>
        <v/>
      </c>
      <c r="H87" s="8" t="str">
        <f t="shared" si="32"/>
        <v>Earth</v>
      </c>
      <c r="J87" s="8" t="str">
        <f t="shared" si="41"/>
        <v>class0022</v>
      </c>
      <c r="K87" s="8" t="str">
        <f t="shared" si="41"/>
        <v>dailoneskill0022</v>
      </c>
      <c r="L87" s="5" t="str">
        <f t="shared" si="26"/>
        <v>lootName,DAIL/items/materia/class0022/Earth.dbr,</v>
      </c>
      <c r="M87" s="5" t="str">
        <f t="shared" si="27"/>
        <v>lootWeight,1,</v>
      </c>
      <c r="N87" t="str">
        <f t="shared" si="28"/>
        <v>5</v>
      </c>
      <c r="O87" t="str">
        <f t="shared" si="37"/>
        <v/>
      </c>
      <c r="P87" t="str">
        <f t="shared" si="23"/>
        <v/>
      </c>
      <c r="Q87" t="str">
        <f t="shared" si="23"/>
        <v/>
      </c>
      <c r="R87" t="str">
        <f t="shared" si="23"/>
        <v/>
      </c>
      <c r="S87" t="str">
        <f t="shared" si="23"/>
        <v/>
      </c>
      <c r="T87" t="str">
        <f t="shared" si="23"/>
        <v/>
      </c>
      <c r="U87" t="str">
        <f t="shared" si="23"/>
        <v/>
      </c>
      <c r="V87" s="5" t="s">
        <v>36</v>
      </c>
      <c r="W87" t="str">
        <f t="shared" si="29"/>
        <v/>
      </c>
      <c r="X87" t="str">
        <f t="shared" si="29"/>
        <v/>
      </c>
      <c r="Y87" s="5" t="s">
        <v>36</v>
      </c>
      <c r="Z87" t="str">
        <f t="shared" si="30"/>
        <v/>
      </c>
      <c r="AA87" t="str">
        <f t="shared" si="38"/>
        <v/>
      </c>
      <c r="AB87" s="5" t="s">
        <v>36</v>
      </c>
      <c r="AH87">
        <f t="shared" si="40"/>
        <v>82</v>
      </c>
      <c r="AI87">
        <f t="shared" si="34"/>
        <v>0</v>
      </c>
      <c r="AJ87">
        <f t="shared" si="39"/>
        <v>5</v>
      </c>
    </row>
    <row r="88" spans="1:36" x14ac:dyDescent="0.25">
      <c r="A88" s="5" t="s">
        <v>39</v>
      </c>
      <c r="B88" s="5" t="s">
        <v>30</v>
      </c>
      <c r="C88" s="5" t="str">
        <f t="shared" si="24"/>
        <v>description,dailCompDescEarth,</v>
      </c>
      <c r="D88" s="5" t="str">
        <f t="shared" si="25"/>
        <v>itemText,dailCompTextEarth,</v>
      </c>
      <c r="E88" s="5" t="str">
        <f t="shared" si="35"/>
        <v>augmentSkillLevel1,5,</v>
      </c>
      <c r="F88" s="5" t="str">
        <f t="shared" si="36"/>
        <v>augmentSkillName1,records/skills,</v>
      </c>
      <c r="G88" s="7" t="str">
        <f t="shared" si="31"/>
        <v/>
      </c>
      <c r="H88" s="8" t="str">
        <f t="shared" si="32"/>
        <v>Earth</v>
      </c>
      <c r="J88" s="8" t="str">
        <f t="shared" si="41"/>
        <v>class0022</v>
      </c>
      <c r="K88" s="8" t="str">
        <f t="shared" si="41"/>
        <v>dailoneskill0022</v>
      </c>
      <c r="L88" s="5" t="str">
        <f t="shared" si="26"/>
        <v>lootName,DAIL/items/materia/class0022/Earth.dbr,</v>
      </c>
      <c r="M88" s="5" t="str">
        <f t="shared" si="27"/>
        <v>lootWeight,1,</v>
      </c>
      <c r="N88" t="str">
        <f t="shared" si="28"/>
        <v>5</v>
      </c>
      <c r="O88" t="str">
        <f t="shared" si="37"/>
        <v/>
      </c>
      <c r="P88" t="str">
        <f t="shared" si="23"/>
        <v/>
      </c>
      <c r="Q88" t="str">
        <f t="shared" si="23"/>
        <v/>
      </c>
      <c r="R88" t="str">
        <f t="shared" si="23"/>
        <v/>
      </c>
      <c r="S88" t="str">
        <f t="shared" si="23"/>
        <v/>
      </c>
      <c r="T88" t="str">
        <f t="shared" si="23"/>
        <v/>
      </c>
      <c r="U88" t="str">
        <f t="shared" si="23"/>
        <v/>
      </c>
      <c r="V88" s="5" t="s">
        <v>36</v>
      </c>
      <c r="W88" t="str">
        <f t="shared" si="29"/>
        <v/>
      </c>
      <c r="X88" t="str">
        <f t="shared" si="29"/>
        <v/>
      </c>
      <c r="Y88" s="5" t="s">
        <v>36</v>
      </c>
      <c r="Z88" t="str">
        <f t="shared" si="30"/>
        <v/>
      </c>
      <c r="AA88" t="str">
        <f t="shared" si="38"/>
        <v/>
      </c>
      <c r="AB88" s="5" t="s">
        <v>36</v>
      </c>
      <c r="AH88">
        <f t="shared" si="40"/>
        <v>83</v>
      </c>
      <c r="AI88">
        <f t="shared" si="34"/>
        <v>0</v>
      </c>
      <c r="AJ88">
        <f t="shared" si="39"/>
        <v>5</v>
      </c>
    </row>
    <row r="89" spans="1:36" x14ac:dyDescent="0.25">
      <c r="A89" s="5" t="s">
        <v>39</v>
      </c>
      <c r="B89" s="5" t="s">
        <v>30</v>
      </c>
      <c r="C89" s="5" t="str">
        <f t="shared" si="24"/>
        <v>description,dailCompDescEarth,</v>
      </c>
      <c r="D89" s="5" t="str">
        <f t="shared" si="25"/>
        <v>itemText,dailCompTextEarth,</v>
      </c>
      <c r="E89" s="5" t="str">
        <f t="shared" si="35"/>
        <v>augmentSkillLevel1,5,</v>
      </c>
      <c r="F89" s="5" t="str">
        <f t="shared" si="36"/>
        <v>augmentSkillName1,records/skills,</v>
      </c>
      <c r="G89" s="7" t="str">
        <f t="shared" si="31"/>
        <v/>
      </c>
      <c r="H89" s="8" t="str">
        <f t="shared" si="32"/>
        <v>Earth</v>
      </c>
      <c r="J89" s="8" t="str">
        <f t="shared" si="41"/>
        <v>class0022</v>
      </c>
      <c r="K89" s="8" t="str">
        <f t="shared" si="41"/>
        <v>dailoneskill0022</v>
      </c>
      <c r="L89" s="5" t="str">
        <f t="shared" si="26"/>
        <v>lootName,DAIL/items/materia/class0022/Earth.dbr,</v>
      </c>
      <c r="M89" s="5" t="str">
        <f t="shared" si="27"/>
        <v>lootWeight,1,</v>
      </c>
      <c r="N89" t="str">
        <f t="shared" si="28"/>
        <v>5</v>
      </c>
      <c r="O89" t="str">
        <f t="shared" si="37"/>
        <v/>
      </c>
      <c r="P89" t="str">
        <f t="shared" si="23"/>
        <v/>
      </c>
      <c r="Q89" t="str">
        <f t="shared" si="23"/>
        <v/>
      </c>
      <c r="R89" t="str">
        <f t="shared" si="23"/>
        <v/>
      </c>
      <c r="S89" t="str">
        <f t="shared" si="23"/>
        <v/>
      </c>
      <c r="T89" t="str">
        <f t="shared" si="23"/>
        <v/>
      </c>
      <c r="U89" t="str">
        <f t="shared" si="23"/>
        <v/>
      </c>
      <c r="V89" s="5" t="s">
        <v>36</v>
      </c>
      <c r="W89" t="str">
        <f t="shared" si="29"/>
        <v/>
      </c>
      <c r="X89" t="str">
        <f t="shared" si="29"/>
        <v/>
      </c>
      <c r="Y89" s="5" t="s">
        <v>36</v>
      </c>
      <c r="Z89" t="str">
        <f t="shared" si="30"/>
        <v/>
      </c>
      <c r="AA89" t="str">
        <f t="shared" si="38"/>
        <v/>
      </c>
      <c r="AB89" s="5" t="s">
        <v>36</v>
      </c>
      <c r="AH89">
        <f t="shared" si="40"/>
        <v>84</v>
      </c>
      <c r="AI89">
        <f t="shared" si="34"/>
        <v>0</v>
      </c>
      <c r="AJ89">
        <f t="shared" si="39"/>
        <v>5</v>
      </c>
    </row>
    <row r="90" spans="1:36" x14ac:dyDescent="0.25">
      <c r="A90" s="5" t="s">
        <v>39</v>
      </c>
      <c r="B90" s="5" t="s">
        <v>30</v>
      </c>
      <c r="C90" s="5" t="str">
        <f t="shared" si="24"/>
        <v>description,dailCompDescEarth,</v>
      </c>
      <c r="D90" s="5" t="str">
        <f t="shared" si="25"/>
        <v>itemText,dailCompTextEarth,</v>
      </c>
      <c r="E90" s="5" t="str">
        <f t="shared" si="35"/>
        <v>augmentSkillLevel1,5,</v>
      </c>
      <c r="F90" s="5" t="str">
        <f t="shared" si="36"/>
        <v>augmentSkillName1,records/skills,</v>
      </c>
      <c r="G90" s="7" t="str">
        <f t="shared" si="31"/>
        <v/>
      </c>
      <c r="H90" s="8" t="str">
        <f t="shared" si="32"/>
        <v>Earth</v>
      </c>
      <c r="J90" s="8" t="str">
        <f t="shared" si="41"/>
        <v>class0022</v>
      </c>
      <c r="K90" s="8" t="str">
        <f t="shared" si="41"/>
        <v>dailoneskill0022</v>
      </c>
      <c r="L90" s="5" t="str">
        <f t="shared" si="26"/>
        <v>lootName,DAIL/items/materia/class0022/Earth.dbr,</v>
      </c>
      <c r="M90" s="5" t="str">
        <f t="shared" si="27"/>
        <v>lootWeight,1,</v>
      </c>
      <c r="N90" t="str">
        <f t="shared" si="28"/>
        <v>5</v>
      </c>
      <c r="O90" t="str">
        <f t="shared" si="37"/>
        <v/>
      </c>
      <c r="P90" t="str">
        <f t="shared" si="23"/>
        <v/>
      </c>
      <c r="Q90" t="str">
        <f t="shared" si="23"/>
        <v/>
      </c>
      <c r="R90" t="str">
        <f t="shared" si="23"/>
        <v/>
      </c>
      <c r="S90" t="str">
        <f t="shared" si="23"/>
        <v/>
      </c>
      <c r="T90" t="str">
        <f t="shared" si="23"/>
        <v/>
      </c>
      <c r="U90" t="str">
        <f t="shared" si="23"/>
        <v/>
      </c>
      <c r="V90" s="5" t="s">
        <v>36</v>
      </c>
      <c r="W90" t="str">
        <f t="shared" si="29"/>
        <v/>
      </c>
      <c r="X90" t="str">
        <f t="shared" si="29"/>
        <v/>
      </c>
      <c r="Y90" s="5" t="s">
        <v>36</v>
      </c>
      <c r="Z90" t="str">
        <f t="shared" si="30"/>
        <v/>
      </c>
      <c r="AA90" t="str">
        <f t="shared" si="38"/>
        <v/>
      </c>
      <c r="AB90" s="5" t="s">
        <v>36</v>
      </c>
      <c r="AH90">
        <f t="shared" si="40"/>
        <v>85</v>
      </c>
      <c r="AI90">
        <f t="shared" si="34"/>
        <v>0</v>
      </c>
      <c r="AJ90">
        <f t="shared" si="39"/>
        <v>5</v>
      </c>
    </row>
    <row r="91" spans="1:36" x14ac:dyDescent="0.25">
      <c r="A91" s="5" t="s">
        <v>39</v>
      </c>
      <c r="B91" s="5" t="s">
        <v>30</v>
      </c>
      <c r="C91" s="5" t="str">
        <f t="shared" si="24"/>
        <v>description,dailCompDescEarth,</v>
      </c>
      <c r="D91" s="5" t="str">
        <f t="shared" si="25"/>
        <v>itemText,dailCompTextEarth,</v>
      </c>
      <c r="E91" s="5" t="str">
        <f t="shared" si="35"/>
        <v>augmentSkillLevel1,5,</v>
      </c>
      <c r="F91" s="5" t="str">
        <f t="shared" si="36"/>
        <v>augmentSkillName1,records/skills,</v>
      </c>
      <c r="G91" s="7" t="str">
        <f t="shared" si="31"/>
        <v/>
      </c>
      <c r="H91" s="8" t="str">
        <f t="shared" si="32"/>
        <v>Earth</v>
      </c>
      <c r="J91" s="8" t="str">
        <f t="shared" si="41"/>
        <v>class0022</v>
      </c>
      <c r="K91" s="8" t="str">
        <f t="shared" si="41"/>
        <v>dailoneskill0022</v>
      </c>
      <c r="L91" s="5" t="str">
        <f t="shared" si="26"/>
        <v>lootName,DAIL/items/materia/class0022/Earth.dbr,</v>
      </c>
      <c r="M91" s="5" t="str">
        <f t="shared" si="27"/>
        <v>lootWeight,1,</v>
      </c>
      <c r="N91" t="str">
        <f t="shared" si="28"/>
        <v>5</v>
      </c>
      <c r="O91" t="str">
        <f t="shared" si="37"/>
        <v/>
      </c>
      <c r="P91" t="str">
        <f t="shared" si="23"/>
        <v/>
      </c>
      <c r="Q91" t="str">
        <f t="shared" si="23"/>
        <v/>
      </c>
      <c r="R91" t="str">
        <f t="shared" si="23"/>
        <v/>
      </c>
      <c r="S91" t="str">
        <f t="shared" si="23"/>
        <v/>
      </c>
      <c r="T91" t="str">
        <f t="shared" si="23"/>
        <v/>
      </c>
      <c r="U91" t="str">
        <f t="shared" si="23"/>
        <v/>
      </c>
      <c r="V91" s="5" t="s">
        <v>36</v>
      </c>
      <c r="W91" t="str">
        <f t="shared" si="29"/>
        <v/>
      </c>
      <c r="X91" t="str">
        <f t="shared" si="29"/>
        <v/>
      </c>
      <c r="Y91" s="5" t="s">
        <v>36</v>
      </c>
      <c r="Z91" t="str">
        <f t="shared" si="30"/>
        <v/>
      </c>
      <c r="AA91" t="str">
        <f t="shared" si="38"/>
        <v/>
      </c>
      <c r="AB91" s="5" t="s">
        <v>36</v>
      </c>
      <c r="AH91">
        <f t="shared" si="40"/>
        <v>86</v>
      </c>
      <c r="AI91">
        <f t="shared" si="34"/>
        <v>0</v>
      </c>
      <c r="AJ91">
        <f t="shared" si="39"/>
        <v>5</v>
      </c>
    </row>
    <row r="92" spans="1:36" x14ac:dyDescent="0.25">
      <c r="A92" s="5" t="s">
        <v>39</v>
      </c>
      <c r="B92" s="5" t="s">
        <v>30</v>
      </c>
      <c r="C92" s="5" t="str">
        <f t="shared" si="24"/>
        <v>description,dailCompDescEarth,</v>
      </c>
      <c r="D92" s="5" t="str">
        <f t="shared" si="25"/>
        <v>itemText,dailCompTextEarth,</v>
      </c>
      <c r="E92" s="5" t="str">
        <f t="shared" si="35"/>
        <v>augmentSkillLevel1,5,</v>
      </c>
      <c r="F92" s="5" t="str">
        <f t="shared" si="36"/>
        <v>augmentSkillName1,records/skills,</v>
      </c>
      <c r="G92" s="7" t="str">
        <f t="shared" si="31"/>
        <v/>
      </c>
      <c r="H92" s="8" t="str">
        <f t="shared" si="32"/>
        <v>Earth</v>
      </c>
      <c r="J92" s="8" t="str">
        <f t="shared" si="41"/>
        <v>class0022</v>
      </c>
      <c r="K92" s="8" t="str">
        <f t="shared" si="41"/>
        <v>dailoneskill0022</v>
      </c>
      <c r="L92" s="5" t="str">
        <f t="shared" si="26"/>
        <v>lootName,DAIL/items/materia/class0022/Earth.dbr,</v>
      </c>
      <c r="M92" s="5" t="str">
        <f t="shared" si="27"/>
        <v>lootWeight,1,</v>
      </c>
      <c r="N92" t="str">
        <f t="shared" si="28"/>
        <v>5</v>
      </c>
      <c r="O92" t="str">
        <f t="shared" si="37"/>
        <v/>
      </c>
      <c r="P92" t="str">
        <f t="shared" si="23"/>
        <v/>
      </c>
      <c r="Q92" t="str">
        <f t="shared" si="23"/>
        <v/>
      </c>
      <c r="R92" t="str">
        <f t="shared" si="23"/>
        <v/>
      </c>
      <c r="S92" t="str">
        <f t="shared" si="23"/>
        <v/>
      </c>
      <c r="T92" t="str">
        <f t="shared" si="23"/>
        <v/>
      </c>
      <c r="U92" t="str">
        <f t="shared" si="23"/>
        <v/>
      </c>
      <c r="V92" s="5" t="s">
        <v>36</v>
      </c>
      <c r="W92" t="str">
        <f t="shared" si="29"/>
        <v/>
      </c>
      <c r="X92" t="str">
        <f t="shared" si="29"/>
        <v/>
      </c>
      <c r="Y92" s="5" t="s">
        <v>36</v>
      </c>
      <c r="Z92" t="str">
        <f t="shared" si="30"/>
        <v/>
      </c>
      <c r="AA92" t="str">
        <f t="shared" si="38"/>
        <v/>
      </c>
      <c r="AB92" s="5" t="s">
        <v>36</v>
      </c>
      <c r="AH92">
        <f t="shared" si="40"/>
        <v>87</v>
      </c>
      <c r="AI92">
        <f t="shared" si="34"/>
        <v>0</v>
      </c>
      <c r="AJ92">
        <f t="shared" si="39"/>
        <v>5</v>
      </c>
    </row>
    <row r="93" spans="1:36" x14ac:dyDescent="0.25">
      <c r="A93" s="5" t="s">
        <v>39</v>
      </c>
      <c r="B93" s="5" t="s">
        <v>30</v>
      </c>
      <c r="C93" s="5" t="str">
        <f t="shared" si="24"/>
        <v>description,dailCompDescEarth,</v>
      </c>
      <c r="D93" s="5" t="str">
        <f t="shared" si="25"/>
        <v>itemText,dailCompTextEarth,</v>
      </c>
      <c r="E93" s="5" t="str">
        <f t="shared" si="35"/>
        <v>augmentSkillLevel1,5,</v>
      </c>
      <c r="F93" s="5" t="str">
        <f t="shared" si="36"/>
        <v>augmentSkillName1,records/skills,</v>
      </c>
      <c r="G93" s="7" t="str">
        <f t="shared" si="31"/>
        <v/>
      </c>
      <c r="H93" s="8" t="str">
        <f t="shared" si="32"/>
        <v>Earth</v>
      </c>
      <c r="J93" s="8" t="str">
        <f t="shared" si="41"/>
        <v>class0022</v>
      </c>
      <c r="K93" s="8" t="str">
        <f t="shared" si="41"/>
        <v>dailoneskill0022</v>
      </c>
      <c r="L93" s="5" t="str">
        <f t="shared" si="26"/>
        <v>lootName,DAIL/items/materia/class0022/Earth.dbr,</v>
      </c>
      <c r="M93" s="5" t="str">
        <f t="shared" si="27"/>
        <v>lootWeight,1,</v>
      </c>
      <c r="N93" t="str">
        <f t="shared" si="28"/>
        <v>5</v>
      </c>
      <c r="O93" t="str">
        <f t="shared" si="37"/>
        <v/>
      </c>
      <c r="P93" t="str">
        <f t="shared" si="23"/>
        <v/>
      </c>
      <c r="Q93" t="str">
        <f t="shared" si="23"/>
        <v/>
      </c>
      <c r="R93" t="str">
        <f t="shared" si="23"/>
        <v/>
      </c>
      <c r="S93" t="str">
        <f t="shared" si="23"/>
        <v/>
      </c>
      <c r="T93" t="str">
        <f t="shared" si="23"/>
        <v/>
      </c>
      <c r="U93" t="str">
        <f t="shared" si="23"/>
        <v/>
      </c>
      <c r="V93" s="5" t="s">
        <v>36</v>
      </c>
      <c r="W93" t="str">
        <f t="shared" si="29"/>
        <v/>
      </c>
      <c r="X93" t="str">
        <f t="shared" si="29"/>
        <v/>
      </c>
      <c r="Y93" s="5" t="s">
        <v>36</v>
      </c>
      <c r="Z93" t="str">
        <f t="shared" si="30"/>
        <v/>
      </c>
      <c r="AA93" t="str">
        <f t="shared" si="38"/>
        <v/>
      </c>
      <c r="AB93" s="5" t="s">
        <v>36</v>
      </c>
      <c r="AH93">
        <f t="shared" si="40"/>
        <v>88</v>
      </c>
      <c r="AI93">
        <f t="shared" si="34"/>
        <v>0</v>
      </c>
      <c r="AJ93">
        <f t="shared" si="39"/>
        <v>5</v>
      </c>
    </row>
    <row r="94" spans="1:36" x14ac:dyDescent="0.25">
      <c r="A94" s="5" t="s">
        <v>39</v>
      </c>
      <c r="B94" s="5" t="s">
        <v>30</v>
      </c>
      <c r="C94" s="5" t="str">
        <f t="shared" si="24"/>
        <v>description,dailCompDescEarth,</v>
      </c>
      <c r="D94" s="5" t="str">
        <f t="shared" si="25"/>
        <v>itemText,dailCompTextEarth,</v>
      </c>
      <c r="E94" s="5" t="str">
        <f t="shared" si="35"/>
        <v>augmentSkillLevel1,5,</v>
      </c>
      <c r="F94" s="5" t="str">
        <f t="shared" si="36"/>
        <v>augmentSkillName1,records/skills,</v>
      </c>
      <c r="G94" s="7" t="str">
        <f t="shared" si="31"/>
        <v/>
      </c>
      <c r="H94" s="8" t="str">
        <f t="shared" si="32"/>
        <v>Earth</v>
      </c>
      <c r="J94" s="8" t="str">
        <f t="shared" si="41"/>
        <v>class0022</v>
      </c>
      <c r="K94" s="8" t="str">
        <f t="shared" si="41"/>
        <v>dailoneskill0022</v>
      </c>
      <c r="L94" s="5" t="str">
        <f t="shared" si="26"/>
        <v>lootName,DAIL/items/materia/class0022/Earth.dbr,</v>
      </c>
      <c r="M94" s="5" t="str">
        <f t="shared" si="27"/>
        <v>lootWeight,1,</v>
      </c>
      <c r="N94" t="str">
        <f t="shared" si="28"/>
        <v>5</v>
      </c>
      <c r="O94" t="str">
        <f t="shared" si="37"/>
        <v/>
      </c>
      <c r="P94" t="str">
        <f t="shared" si="23"/>
        <v/>
      </c>
      <c r="Q94" t="str">
        <f t="shared" si="23"/>
        <v/>
      </c>
      <c r="R94" t="str">
        <f t="shared" si="23"/>
        <v/>
      </c>
      <c r="S94" t="str">
        <f t="shared" si="23"/>
        <v/>
      </c>
      <c r="T94" t="str">
        <f t="shared" si="23"/>
        <v/>
      </c>
      <c r="U94" t="str">
        <f t="shared" si="23"/>
        <v/>
      </c>
      <c r="V94" s="5" t="s">
        <v>36</v>
      </c>
      <c r="W94" t="str">
        <f t="shared" si="29"/>
        <v/>
      </c>
      <c r="X94" t="str">
        <f t="shared" si="29"/>
        <v/>
      </c>
      <c r="Y94" s="5" t="s">
        <v>36</v>
      </c>
      <c r="Z94" t="str">
        <f t="shared" si="30"/>
        <v/>
      </c>
      <c r="AA94" t="str">
        <f t="shared" si="38"/>
        <v/>
      </c>
      <c r="AB94" s="5" t="s">
        <v>36</v>
      </c>
      <c r="AH94">
        <f t="shared" si="40"/>
        <v>89</v>
      </c>
      <c r="AI94">
        <f t="shared" si="34"/>
        <v>0</v>
      </c>
      <c r="AJ94">
        <f t="shared" si="39"/>
        <v>5</v>
      </c>
    </row>
    <row r="95" spans="1:36" x14ac:dyDescent="0.25">
      <c r="A95" s="5" t="s">
        <v>39</v>
      </c>
      <c r="B95" s="5" t="s">
        <v>30</v>
      </c>
      <c r="C95" s="5" t="str">
        <f t="shared" si="24"/>
        <v>description,dailCompDescEarth,</v>
      </c>
      <c r="D95" s="5" t="str">
        <f t="shared" si="25"/>
        <v>itemText,dailCompTextEarth,</v>
      </c>
      <c r="E95" s="5" t="str">
        <f t="shared" si="35"/>
        <v>augmentSkillLevel1,5,</v>
      </c>
      <c r="F95" s="5" t="str">
        <f t="shared" si="36"/>
        <v>augmentSkillName1,records/skills,</v>
      </c>
      <c r="G95" s="7" t="str">
        <f t="shared" si="31"/>
        <v/>
      </c>
      <c r="H95" s="8" t="str">
        <f t="shared" si="32"/>
        <v>Earth</v>
      </c>
      <c r="J95" s="8" t="str">
        <f t="shared" si="41"/>
        <v>class0022</v>
      </c>
      <c r="K95" s="8" t="str">
        <f t="shared" si="41"/>
        <v>dailoneskill0022</v>
      </c>
      <c r="L95" s="5" t="str">
        <f t="shared" si="26"/>
        <v>lootName,DAIL/items/materia/class0022/Earth.dbr,</v>
      </c>
      <c r="M95" s="5" t="str">
        <f t="shared" si="27"/>
        <v>lootWeight,1,</v>
      </c>
      <c r="N95" t="str">
        <f t="shared" si="28"/>
        <v>5</v>
      </c>
      <c r="O95" t="str">
        <f t="shared" si="37"/>
        <v/>
      </c>
      <c r="P95" t="str">
        <f t="shared" si="23"/>
        <v/>
      </c>
      <c r="Q95" t="str">
        <f t="shared" si="23"/>
        <v/>
      </c>
      <c r="R95" t="str">
        <f t="shared" si="23"/>
        <v/>
      </c>
      <c r="S95" t="str">
        <f t="shared" si="23"/>
        <v/>
      </c>
      <c r="T95" t="str">
        <f t="shared" si="23"/>
        <v/>
      </c>
      <c r="U95" t="str">
        <f t="shared" si="23"/>
        <v/>
      </c>
      <c r="V95" s="5" t="s">
        <v>36</v>
      </c>
      <c r="W95" t="str">
        <f t="shared" si="29"/>
        <v/>
      </c>
      <c r="X95" t="str">
        <f t="shared" si="29"/>
        <v/>
      </c>
      <c r="Y95" s="5" t="s">
        <v>36</v>
      </c>
      <c r="Z95" t="str">
        <f t="shared" si="30"/>
        <v/>
      </c>
      <c r="AA95" t="str">
        <f t="shared" si="38"/>
        <v/>
      </c>
      <c r="AB95" s="5" t="s">
        <v>36</v>
      </c>
      <c r="AH95">
        <f t="shared" si="40"/>
        <v>90</v>
      </c>
      <c r="AI95">
        <f t="shared" si="34"/>
        <v>0</v>
      </c>
      <c r="AJ95">
        <f t="shared" si="39"/>
        <v>5</v>
      </c>
    </row>
    <row r="96" spans="1:36" x14ac:dyDescent="0.25">
      <c r="A96" s="5" t="s">
        <v>39</v>
      </c>
      <c r="B96" s="5" t="s">
        <v>30</v>
      </c>
      <c r="C96" s="5" t="str">
        <f t="shared" si="24"/>
        <v>description,dailCompDescEarth,</v>
      </c>
      <c r="D96" s="5" t="str">
        <f t="shared" si="25"/>
        <v>itemText,dailCompTextEarth,</v>
      </c>
      <c r="E96" s="5" t="str">
        <f t="shared" si="35"/>
        <v>augmentSkillLevel1,5,</v>
      </c>
      <c r="F96" s="5" t="str">
        <f t="shared" si="36"/>
        <v>augmentSkillName1,records/skills,</v>
      </c>
      <c r="G96" s="7" t="str">
        <f t="shared" si="31"/>
        <v/>
      </c>
      <c r="H96" s="8" t="str">
        <f t="shared" si="32"/>
        <v>Earth</v>
      </c>
      <c r="J96" s="8" t="str">
        <f t="shared" si="41"/>
        <v>class0022</v>
      </c>
      <c r="K96" s="8" t="str">
        <f t="shared" si="41"/>
        <v>dailoneskill0022</v>
      </c>
      <c r="L96" s="5" t="str">
        <f t="shared" si="26"/>
        <v>lootName,DAIL/items/materia/class0022/Earth.dbr,</v>
      </c>
      <c r="M96" s="5" t="str">
        <f t="shared" si="27"/>
        <v>lootWeight,1,</v>
      </c>
      <c r="N96" t="str">
        <f t="shared" si="28"/>
        <v>5</v>
      </c>
      <c r="O96" t="str">
        <f t="shared" si="37"/>
        <v/>
      </c>
      <c r="P96" t="str">
        <f t="shared" si="23"/>
        <v/>
      </c>
      <c r="Q96" t="str">
        <f t="shared" si="23"/>
        <v/>
      </c>
      <c r="R96" t="str">
        <f t="shared" si="23"/>
        <v/>
      </c>
      <c r="S96" t="str">
        <f t="shared" si="23"/>
        <v/>
      </c>
      <c r="T96" t="str">
        <f t="shared" si="23"/>
        <v/>
      </c>
      <c r="U96" t="str">
        <f t="shared" si="23"/>
        <v/>
      </c>
      <c r="V96" s="5" t="s">
        <v>36</v>
      </c>
      <c r="W96" t="str">
        <f t="shared" si="29"/>
        <v/>
      </c>
      <c r="X96" t="str">
        <f t="shared" si="29"/>
        <v/>
      </c>
      <c r="Y96" s="5" t="s">
        <v>36</v>
      </c>
      <c r="Z96" t="str">
        <f t="shared" si="30"/>
        <v/>
      </c>
      <c r="AA96" t="str">
        <f t="shared" si="38"/>
        <v/>
      </c>
      <c r="AB96" s="5" t="s">
        <v>36</v>
      </c>
      <c r="AH96">
        <f t="shared" si="40"/>
        <v>91</v>
      </c>
      <c r="AI96">
        <f t="shared" si="34"/>
        <v>0</v>
      </c>
      <c r="AJ96">
        <f t="shared" si="39"/>
        <v>5</v>
      </c>
    </row>
    <row r="97" spans="1:36" x14ac:dyDescent="0.25">
      <c r="A97" s="5" t="s">
        <v>39</v>
      </c>
      <c r="B97" s="5" t="s">
        <v>30</v>
      </c>
      <c r="C97" s="5" t="str">
        <f t="shared" si="24"/>
        <v>description,dailCompDescEarth,</v>
      </c>
      <c r="D97" s="5" t="str">
        <f t="shared" si="25"/>
        <v>itemText,dailCompTextEarth,</v>
      </c>
      <c r="E97" s="5" t="str">
        <f t="shared" si="35"/>
        <v>augmentSkillLevel1,5,</v>
      </c>
      <c r="F97" s="5" t="str">
        <f t="shared" si="36"/>
        <v>augmentSkillName1,records/skills,</v>
      </c>
      <c r="G97" s="7" t="str">
        <f t="shared" si="31"/>
        <v/>
      </c>
      <c r="H97" s="8" t="str">
        <f t="shared" si="32"/>
        <v>Earth</v>
      </c>
      <c r="J97" s="8" t="str">
        <f t="shared" si="41"/>
        <v>class0022</v>
      </c>
      <c r="K97" s="8" t="str">
        <f t="shared" si="41"/>
        <v>dailoneskill0022</v>
      </c>
      <c r="L97" s="5" t="str">
        <f t="shared" si="26"/>
        <v>lootName,DAIL/items/materia/class0022/Earth.dbr,</v>
      </c>
      <c r="M97" s="5" t="str">
        <f t="shared" si="27"/>
        <v>lootWeight,1,</v>
      </c>
      <c r="N97" t="str">
        <f t="shared" si="28"/>
        <v>5</v>
      </c>
      <c r="O97" t="str">
        <f t="shared" si="37"/>
        <v/>
      </c>
      <c r="P97" t="str">
        <f t="shared" si="23"/>
        <v/>
      </c>
      <c r="Q97" t="str">
        <f t="shared" si="23"/>
        <v/>
      </c>
      <c r="R97" t="str">
        <f t="shared" si="23"/>
        <v/>
      </c>
      <c r="S97" t="str">
        <f t="shared" si="23"/>
        <v/>
      </c>
      <c r="T97" t="str">
        <f t="shared" si="23"/>
        <v/>
      </c>
      <c r="U97" t="str">
        <f t="shared" si="23"/>
        <v/>
      </c>
      <c r="V97" s="5" t="s">
        <v>36</v>
      </c>
      <c r="W97" t="str">
        <f t="shared" si="29"/>
        <v/>
      </c>
      <c r="X97" t="str">
        <f t="shared" si="29"/>
        <v/>
      </c>
      <c r="Y97" s="5" t="s">
        <v>36</v>
      </c>
      <c r="Z97" t="str">
        <f t="shared" si="30"/>
        <v/>
      </c>
      <c r="AA97" t="str">
        <f t="shared" si="38"/>
        <v/>
      </c>
      <c r="AB97" s="5" t="s">
        <v>36</v>
      </c>
      <c r="AH97">
        <f t="shared" si="40"/>
        <v>92</v>
      </c>
      <c r="AI97">
        <f t="shared" si="34"/>
        <v>0</v>
      </c>
      <c r="AJ97">
        <f t="shared" si="39"/>
        <v>5</v>
      </c>
    </row>
    <row r="98" spans="1:36" x14ac:dyDescent="0.25">
      <c r="A98" s="5" t="s">
        <v>39</v>
      </c>
      <c r="B98" s="5" t="s">
        <v>30</v>
      </c>
      <c r="C98" s="5" t="str">
        <f t="shared" si="24"/>
        <v>description,dailCompDescEarth,</v>
      </c>
      <c r="D98" s="5" t="str">
        <f t="shared" si="25"/>
        <v>itemText,dailCompTextEarth,</v>
      </c>
      <c r="E98" s="5" t="str">
        <f t="shared" si="35"/>
        <v>augmentSkillLevel1,5,</v>
      </c>
      <c r="F98" s="5" t="str">
        <f t="shared" si="36"/>
        <v>augmentSkillName1,records/skills,</v>
      </c>
      <c r="G98" s="7" t="str">
        <f t="shared" si="31"/>
        <v/>
      </c>
      <c r="H98" s="8" t="str">
        <f t="shared" si="32"/>
        <v>Earth</v>
      </c>
      <c r="J98" s="8" t="str">
        <f t="shared" si="41"/>
        <v>class0022</v>
      </c>
      <c r="K98" s="8" t="str">
        <f t="shared" si="41"/>
        <v>dailoneskill0022</v>
      </c>
      <c r="L98" s="5" t="str">
        <f t="shared" si="26"/>
        <v>lootName,DAIL/items/materia/class0022/Earth.dbr,</v>
      </c>
      <c r="M98" s="5" t="str">
        <f t="shared" si="27"/>
        <v>lootWeight,1,</v>
      </c>
      <c r="N98" t="str">
        <f t="shared" si="28"/>
        <v>5</v>
      </c>
      <c r="O98" t="str">
        <f t="shared" si="37"/>
        <v/>
      </c>
      <c r="P98" t="str">
        <f t="shared" si="23"/>
        <v/>
      </c>
      <c r="Q98" t="str">
        <f t="shared" si="23"/>
        <v/>
      </c>
      <c r="R98" t="str">
        <f t="shared" si="23"/>
        <v/>
      </c>
      <c r="S98" t="str">
        <f t="shared" si="23"/>
        <v/>
      </c>
      <c r="T98" t="str">
        <f t="shared" si="23"/>
        <v/>
      </c>
      <c r="U98" t="str">
        <f t="shared" si="23"/>
        <v/>
      </c>
      <c r="V98" s="5" t="s">
        <v>36</v>
      </c>
      <c r="W98" t="str">
        <f t="shared" si="29"/>
        <v/>
      </c>
      <c r="X98" t="str">
        <f t="shared" si="29"/>
        <v/>
      </c>
      <c r="Y98" s="5" t="s">
        <v>36</v>
      </c>
      <c r="Z98" t="str">
        <f t="shared" si="30"/>
        <v/>
      </c>
      <c r="AA98" t="str">
        <f t="shared" si="38"/>
        <v/>
      </c>
      <c r="AB98" s="5" t="s">
        <v>36</v>
      </c>
      <c r="AH98">
        <f t="shared" si="40"/>
        <v>93</v>
      </c>
      <c r="AI98">
        <f t="shared" si="34"/>
        <v>0</v>
      </c>
      <c r="AJ98">
        <f t="shared" si="39"/>
        <v>5</v>
      </c>
    </row>
    <row r="99" spans="1:36" x14ac:dyDescent="0.25">
      <c r="A99" s="5" t="s">
        <v>39</v>
      </c>
      <c r="B99" s="5" t="s">
        <v>30</v>
      </c>
      <c r="C99" s="5" t="str">
        <f t="shared" si="24"/>
        <v>description,dailCompDescEarth,</v>
      </c>
      <c r="D99" s="5" t="str">
        <f t="shared" si="25"/>
        <v>itemText,dailCompTextEarth,</v>
      </c>
      <c r="E99" s="5" t="str">
        <f t="shared" si="35"/>
        <v>augmentSkillLevel1,5,</v>
      </c>
      <c r="F99" s="5" t="str">
        <f t="shared" si="36"/>
        <v>augmentSkillName1,records/skills,</v>
      </c>
      <c r="G99" s="7" t="str">
        <f t="shared" si="31"/>
        <v/>
      </c>
      <c r="H99" s="8" t="str">
        <f t="shared" si="32"/>
        <v>Earth</v>
      </c>
      <c r="J99" s="8" t="str">
        <f t="shared" si="41"/>
        <v>class0022</v>
      </c>
      <c r="K99" s="8" t="str">
        <f t="shared" si="41"/>
        <v>dailoneskill0022</v>
      </c>
      <c r="L99" s="5" t="str">
        <f t="shared" si="26"/>
        <v>lootName,DAIL/items/materia/class0022/Earth.dbr,</v>
      </c>
      <c r="M99" s="5" t="str">
        <f t="shared" si="27"/>
        <v>lootWeight,1,</v>
      </c>
      <c r="N99" t="str">
        <f t="shared" si="28"/>
        <v>5</v>
      </c>
      <c r="O99" t="str">
        <f t="shared" si="37"/>
        <v/>
      </c>
      <c r="P99" t="str">
        <f t="shared" si="23"/>
        <v/>
      </c>
      <c r="Q99" t="str">
        <f t="shared" si="23"/>
        <v/>
      </c>
      <c r="R99" t="str">
        <f t="shared" si="23"/>
        <v/>
      </c>
      <c r="S99" t="str">
        <f t="shared" si="23"/>
        <v/>
      </c>
      <c r="T99" t="str">
        <f t="shared" si="23"/>
        <v/>
      </c>
      <c r="U99" t="str">
        <f t="shared" si="23"/>
        <v/>
      </c>
      <c r="V99" s="5" t="s">
        <v>36</v>
      </c>
      <c r="W99" t="str">
        <f t="shared" si="29"/>
        <v/>
      </c>
      <c r="X99" t="str">
        <f t="shared" si="29"/>
        <v/>
      </c>
      <c r="Y99" s="5" t="s">
        <v>36</v>
      </c>
      <c r="Z99" t="str">
        <f t="shared" si="30"/>
        <v/>
      </c>
      <c r="AA99" t="str">
        <f t="shared" si="38"/>
        <v/>
      </c>
      <c r="AB99" s="5" t="s">
        <v>36</v>
      </c>
      <c r="AH99">
        <f t="shared" si="40"/>
        <v>94</v>
      </c>
      <c r="AI99">
        <f t="shared" si="34"/>
        <v>0</v>
      </c>
      <c r="AJ99">
        <f t="shared" si="39"/>
        <v>5</v>
      </c>
    </row>
    <row r="100" spans="1:36" x14ac:dyDescent="0.25">
      <c r="A100" s="5" t="s">
        <v>39</v>
      </c>
      <c r="B100" s="5" t="s">
        <v>30</v>
      </c>
      <c r="C100" s="5" t="str">
        <f t="shared" si="24"/>
        <v>description,dailCompDescEarth,</v>
      </c>
      <c r="D100" s="5" t="str">
        <f t="shared" si="25"/>
        <v>itemText,dailCompTextEarth,</v>
      </c>
      <c r="E100" s="5" t="str">
        <f t="shared" si="35"/>
        <v>augmentSkillLevel1,5,</v>
      </c>
      <c r="F100" s="5" t="str">
        <f t="shared" si="36"/>
        <v>augmentSkillName1,records/skills,</v>
      </c>
      <c r="G100" s="7" t="str">
        <f t="shared" si="31"/>
        <v/>
      </c>
      <c r="H100" s="8" t="str">
        <f t="shared" si="32"/>
        <v>Earth</v>
      </c>
      <c r="J100" s="8" t="str">
        <f t="shared" si="41"/>
        <v>class0022</v>
      </c>
      <c r="K100" s="8" t="str">
        <f t="shared" si="41"/>
        <v>dailoneskill0022</v>
      </c>
      <c r="L100" s="5" t="str">
        <f t="shared" si="26"/>
        <v>lootName,DAIL/items/materia/class0022/Earth.dbr,</v>
      </c>
      <c r="M100" s="5" t="str">
        <f t="shared" si="27"/>
        <v>lootWeight,1,</v>
      </c>
      <c r="N100" t="str">
        <f t="shared" si="28"/>
        <v>5</v>
      </c>
      <c r="O100" t="str">
        <f t="shared" si="37"/>
        <v/>
      </c>
      <c r="P100" t="str">
        <f t="shared" si="23"/>
        <v/>
      </c>
      <c r="Q100" t="str">
        <f t="shared" si="23"/>
        <v/>
      </c>
      <c r="R100" t="str">
        <f t="shared" si="23"/>
        <v/>
      </c>
      <c r="S100" t="str">
        <f t="shared" si="23"/>
        <v/>
      </c>
      <c r="T100" t="str">
        <f t="shared" si="23"/>
        <v/>
      </c>
      <c r="U100" t="str">
        <f t="shared" si="23"/>
        <v/>
      </c>
      <c r="V100" s="5" t="s">
        <v>36</v>
      </c>
      <c r="W100" t="str">
        <f t="shared" si="29"/>
        <v/>
      </c>
      <c r="X100" t="str">
        <f t="shared" si="29"/>
        <v/>
      </c>
      <c r="Y100" s="5" t="s">
        <v>36</v>
      </c>
      <c r="Z100" t="str">
        <f t="shared" si="30"/>
        <v/>
      </c>
      <c r="AA100" t="str">
        <f t="shared" si="38"/>
        <v/>
      </c>
      <c r="AB100" s="5" t="s">
        <v>36</v>
      </c>
      <c r="AH100">
        <f t="shared" si="40"/>
        <v>95</v>
      </c>
      <c r="AI100">
        <f t="shared" si="34"/>
        <v>0</v>
      </c>
      <c r="AJ100">
        <f t="shared" si="39"/>
        <v>5</v>
      </c>
    </row>
    <row r="101" spans="1:36" x14ac:dyDescent="0.25">
      <c r="A101" s="5" t="s">
        <v>39</v>
      </c>
      <c r="B101" s="5" t="s">
        <v>30</v>
      </c>
      <c r="C101" s="5" t="str">
        <f t="shared" si="24"/>
        <v>description,dailCompDescEarth,</v>
      </c>
      <c r="D101" s="5" t="str">
        <f t="shared" si="25"/>
        <v>itemText,dailCompTextEarth,</v>
      </c>
      <c r="E101" s="5" t="str">
        <f t="shared" si="35"/>
        <v>augmentSkillLevel1,5,</v>
      </c>
      <c r="F101" s="5" t="str">
        <f t="shared" si="36"/>
        <v>augmentSkillName1,records/skills,</v>
      </c>
      <c r="G101" s="7" t="str">
        <f t="shared" si="31"/>
        <v/>
      </c>
      <c r="H101" s="8" t="str">
        <f t="shared" si="32"/>
        <v>Earth</v>
      </c>
      <c r="J101" s="8" t="str">
        <f t="shared" ref="J101:K102" si="42">J100</f>
        <v>class0022</v>
      </c>
      <c r="K101" s="8" t="str">
        <f t="shared" si="42"/>
        <v>dailoneskill0022</v>
      </c>
      <c r="L101" s="5" t="str">
        <f t="shared" si="26"/>
        <v>lootName,DAIL/items/materia/class0022/Earth.dbr,</v>
      </c>
      <c r="M101" s="5" t="str">
        <f t="shared" si="27"/>
        <v>lootWeight,1,</v>
      </c>
      <c r="N101" t="str">
        <f t="shared" si="28"/>
        <v>5</v>
      </c>
      <c r="O101" t="str">
        <f t="shared" si="37"/>
        <v/>
      </c>
      <c r="P101" t="str">
        <f t="shared" si="23"/>
        <v/>
      </c>
      <c r="Q101" t="str">
        <f t="shared" si="23"/>
        <v/>
      </c>
      <c r="R101" t="str">
        <f t="shared" si="23"/>
        <v/>
      </c>
      <c r="S101" t="str">
        <f t="shared" ref="S101:U102" si="43">IF($I101&lt;&gt;"","echo "&amp;D101&amp;" &gt;&gt; .\items\materia\"&amp;$J101&amp;"\"&amp;$H101&amp;$G101&amp;".dbr","")</f>
        <v/>
      </c>
      <c r="T101" t="str">
        <f t="shared" si="43"/>
        <v/>
      </c>
      <c r="U101" t="str">
        <f t="shared" si="43"/>
        <v/>
      </c>
      <c r="V101" s="5" t="s">
        <v>36</v>
      </c>
      <c r="W101" t="str">
        <f t="shared" si="29"/>
        <v/>
      </c>
      <c r="X101" t="str">
        <f t="shared" si="29"/>
        <v/>
      </c>
      <c r="Y101" s="5" t="s">
        <v>36</v>
      </c>
      <c r="Z101" t="str">
        <f t="shared" si="30"/>
        <v/>
      </c>
      <c r="AA101" t="str">
        <f t="shared" si="38"/>
        <v/>
      </c>
      <c r="AB101" s="5" t="s">
        <v>36</v>
      </c>
      <c r="AH101">
        <f t="shared" si="40"/>
        <v>96</v>
      </c>
      <c r="AI101">
        <f t="shared" si="34"/>
        <v>0</v>
      </c>
      <c r="AJ101">
        <f t="shared" si="39"/>
        <v>5</v>
      </c>
    </row>
    <row r="102" spans="1:36" x14ac:dyDescent="0.25">
      <c r="A102" s="5" t="s">
        <v>39</v>
      </c>
      <c r="B102" s="5" t="s">
        <v>30</v>
      </c>
      <c r="C102" s="5" t="str">
        <f t="shared" si="24"/>
        <v>description,dailCompDescEarth,</v>
      </c>
      <c r="D102" s="5" t="str">
        <f t="shared" si="25"/>
        <v>itemText,dailCompTextEarth,</v>
      </c>
      <c r="E102" s="5" t="str">
        <f t="shared" si="35"/>
        <v>augmentSkillLevel1,5,</v>
      </c>
      <c r="F102" s="5" t="str">
        <f t="shared" si="36"/>
        <v>augmentSkillName1,records/skills,</v>
      </c>
      <c r="G102" s="7" t="str">
        <f t="shared" si="31"/>
        <v/>
      </c>
      <c r="H102" s="8" t="str">
        <f t="shared" si="32"/>
        <v>Earth</v>
      </c>
      <c r="J102" s="8" t="str">
        <f t="shared" si="42"/>
        <v>class0022</v>
      </c>
      <c r="K102" s="8" t="str">
        <f t="shared" si="42"/>
        <v>dailoneskill0022</v>
      </c>
      <c r="L102" s="5" t="str">
        <f t="shared" si="26"/>
        <v>lootName,DAIL/items/materia/class0022/Earth.dbr,</v>
      </c>
      <c r="M102" s="5" t="str">
        <f t="shared" si="27"/>
        <v>lootWeight,1,</v>
      </c>
      <c r="N102" t="str">
        <f t="shared" si="28"/>
        <v>5</v>
      </c>
      <c r="O102" t="str">
        <f t="shared" si="37"/>
        <v/>
      </c>
      <c r="P102" t="str">
        <f t="shared" ref="P102:R102" si="44">IF($I102&lt;&gt;"","echo "&amp;A102&amp;" &gt;&gt; .\items\materia\"&amp;$J102&amp;"\"&amp;$H102&amp;$G102&amp;".dbr","")</f>
        <v/>
      </c>
      <c r="Q102" t="str">
        <f t="shared" si="44"/>
        <v/>
      </c>
      <c r="R102" t="str">
        <f t="shared" si="44"/>
        <v/>
      </c>
      <c r="S102" t="str">
        <f t="shared" si="43"/>
        <v/>
      </c>
      <c r="T102" t="str">
        <f t="shared" si="43"/>
        <v/>
      </c>
      <c r="U102" t="str">
        <f t="shared" si="43"/>
        <v/>
      </c>
      <c r="V102" s="5" t="s">
        <v>36</v>
      </c>
      <c r="W102" t="str">
        <f t="shared" si="29"/>
        <v/>
      </c>
      <c r="X102" t="str">
        <f t="shared" si="29"/>
        <v/>
      </c>
      <c r="Y102" s="5" t="s">
        <v>36</v>
      </c>
      <c r="Z102" t="str">
        <f t="shared" si="30"/>
        <v/>
      </c>
      <c r="AA102" t="str">
        <f t="shared" si="38"/>
        <v/>
      </c>
      <c r="AB102" s="5" t="s">
        <v>36</v>
      </c>
      <c r="AH102">
        <f t="shared" si="40"/>
        <v>97</v>
      </c>
      <c r="AI102">
        <f t="shared" si="34"/>
        <v>0</v>
      </c>
      <c r="AJ102">
        <f t="shared" si="39"/>
        <v>5</v>
      </c>
    </row>
  </sheetData>
  <mergeCells count="1">
    <mergeCell ref="O2:U2"/>
  </mergeCells>
  <pageMargins left="0.7" right="0.7" top="0.75" bottom="0.75" header="0.3" footer="0.3"/>
  <pageSetup orientation="portrait" r:id="rId1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:AL102"/>
  <sheetViews>
    <sheetView topLeftCell="M1" zoomScaleNormal="100" workbookViewId="0">
      <selection activeCell="AA3" sqref="AA3:AA102"/>
    </sheetView>
  </sheetViews>
  <sheetFormatPr defaultRowHeight="15" x14ac:dyDescent="0.25"/>
  <cols>
    <col min="1" max="1" width="73.85546875" style="5" bestFit="1" customWidth="1"/>
    <col min="2" max="2" width="16.28515625" style="5" bestFit="1" customWidth="1"/>
    <col min="3" max="3" width="32.7109375" style="5" bestFit="1" customWidth="1"/>
    <col min="4" max="4" width="31.42578125" style="5" bestFit="1" customWidth="1"/>
    <col min="5" max="5" width="24.28515625" style="5" bestFit="1" customWidth="1"/>
    <col min="6" max="6" width="73.5703125" style="5" bestFit="1" customWidth="1"/>
    <col min="7" max="7" width="5.85546875" style="8" bestFit="1" customWidth="1"/>
    <col min="8" max="8" width="7.85546875" style="3" bestFit="1" customWidth="1"/>
    <col min="9" max="9" width="38.140625" style="3" bestFit="1" customWidth="1"/>
    <col min="10" max="10" width="9.140625" style="3" bestFit="1" customWidth="1"/>
    <col min="11" max="11" width="18.140625" style="3" customWidth="1"/>
    <col min="12" max="12" width="51.85546875" style="5" bestFit="1" customWidth="1"/>
    <col min="13" max="13" width="21.28515625" style="5" customWidth="1"/>
    <col min="15" max="15" width="10.5703125" customWidth="1"/>
    <col min="22" max="22" width="1.5703125" style="5" customWidth="1"/>
    <col min="23" max="23" width="9.5703125" customWidth="1"/>
    <col min="25" max="25" width="1.5703125" style="5" bestFit="1" customWidth="1"/>
    <col min="26" max="26" width="46.7109375" bestFit="1" customWidth="1"/>
    <col min="27" max="27" width="29.140625" customWidth="1"/>
    <col min="28" max="28" width="1.5703125" style="5" bestFit="1" customWidth="1"/>
    <col min="31" max="31" width="14.140625" bestFit="1" customWidth="1"/>
  </cols>
  <sheetData>
    <row r="1" spans="1:38" x14ac:dyDescent="0.25">
      <c r="G1" s="5"/>
      <c r="H1" s="5"/>
      <c r="I1" s="5"/>
      <c r="J1" s="5"/>
      <c r="K1" s="5"/>
      <c r="N1" s="5"/>
      <c r="O1" s="9"/>
      <c r="P1" s="9"/>
      <c r="Q1" s="9"/>
      <c r="R1" s="9"/>
      <c r="S1" s="9"/>
      <c r="T1" s="9"/>
      <c r="U1" s="9"/>
      <c r="W1" s="9"/>
      <c r="X1" s="9"/>
      <c r="Z1" s="9"/>
      <c r="AA1" s="9"/>
    </row>
    <row r="2" spans="1:38" x14ac:dyDescent="0.25">
      <c r="A2" s="4" t="s">
        <v>2</v>
      </c>
      <c r="B2" s="4" t="s">
        <v>3</v>
      </c>
      <c r="C2" s="4" t="s">
        <v>4</v>
      </c>
      <c r="D2" s="4" t="s">
        <v>5</v>
      </c>
      <c r="E2" s="4" t="s">
        <v>6</v>
      </c>
      <c r="F2" s="4" t="s">
        <v>7</v>
      </c>
      <c r="G2" s="6" t="s">
        <v>9</v>
      </c>
      <c r="H2" s="2" t="s">
        <v>26</v>
      </c>
      <c r="I2" s="2" t="s">
        <v>8</v>
      </c>
      <c r="J2" s="2" t="s">
        <v>33</v>
      </c>
      <c r="K2" s="2" t="s">
        <v>38</v>
      </c>
      <c r="L2" s="4" t="s">
        <v>31</v>
      </c>
      <c r="M2" s="4" t="s">
        <v>32</v>
      </c>
      <c r="O2" s="11" t="str">
        <f>"Copy from N to T Into the files named "&amp;H3&amp;G3&amp;" etc"</f>
        <v>Copy from N to T Into the files named Storm1 etc</v>
      </c>
      <c r="P2" s="11"/>
      <c r="Q2" s="11"/>
      <c r="R2" s="11"/>
      <c r="S2" s="11"/>
      <c r="T2" s="11"/>
      <c r="U2" s="11"/>
      <c r="W2" s="1" t="s">
        <v>35</v>
      </c>
      <c r="Z2" s="1" t="s">
        <v>40</v>
      </c>
      <c r="AD2" t="s">
        <v>44</v>
      </c>
    </row>
    <row r="3" spans="1:38" x14ac:dyDescent="0.25">
      <c r="A3" s="5" t="s">
        <v>39</v>
      </c>
      <c r="B3" s="5" t="s">
        <v>0</v>
      </c>
      <c r="C3" s="5" t="str">
        <f t="shared" ref="C3:C66" si="0">"description,dailCompDesc"&amp;H3&amp;G3&amp;","</f>
        <v>description,dailCompDescStorm1,</v>
      </c>
      <c r="D3" s="5" t="str">
        <f>"itemText,dailCompText"&amp;H3&amp;G3&amp;","</f>
        <v>itemText,dailCompTextStorm1,</v>
      </c>
      <c r="E3" s="5" t="s">
        <v>24</v>
      </c>
      <c r="F3" s="5" t="str">
        <f>"augmentMasteryName1,records/skills"&amp;I3&amp;","</f>
        <v>augmentMasteryName1,records/skillsstorm/stormmastery.dbr,,</v>
      </c>
      <c r="G3" s="7">
        <f>IF(I3&lt;&gt;"",1,"")</f>
        <v>1</v>
      </c>
      <c r="H3" s="3" t="s">
        <v>725</v>
      </c>
      <c r="I3" s="3" t="s">
        <v>726</v>
      </c>
      <c r="J3" s="3" t="s">
        <v>568</v>
      </c>
      <c r="K3" s="3" t="s">
        <v>569</v>
      </c>
      <c r="L3" s="5" t="str">
        <f>"lootName"&amp;G3&amp;",DAIL/items/materia/"&amp;J3&amp;"/"&amp;H3&amp;G3&amp;".dbr"&amp;","</f>
        <v>lootName1,DAIL/items/materia/class0023/Storm1.dbr,</v>
      </c>
      <c r="M3" s="5" t="str">
        <f>"lootWeight"&amp;G3&amp;",1,"</f>
        <v>lootWeight1,1,</v>
      </c>
      <c r="N3" t="str">
        <f>LEFT(RIGHT(E3,2),1)</f>
        <v>1</v>
      </c>
      <c r="O3" s="5" t="str">
        <f>IF(I3&lt;&gt;"","copy .\dail_base2.dbr .\items\materia\"&amp;J3&amp;"\"&amp;H3&amp;G3&amp;".dbr /y"&amp;"","")</f>
        <v>copy .\dail_base2.dbr .\items\materia\class0023\Storm1.dbr /y</v>
      </c>
      <c r="P3" t="str">
        <f>IF($I3&lt;&gt;"","echo "&amp;A3&amp;" &gt;&gt; .\items\materia\"&amp;$J3&amp;"\"&amp;$H3&amp;$G3&amp;".dbr","")</f>
        <v>echo relicBitmap,items/craftingparts/components/component_a52_bristlyfur_b.tex, &gt;&gt; .\items\materia\class0023\Storm1.dbr</v>
      </c>
      <c r="Q3" t="str">
        <f t="shared" ref="Q3:U18" si="1">IF($I3&lt;&gt;"","echo "&amp;B3&amp;" &gt;&gt; .\items\materia\"&amp;$J3&amp;"\"&amp;$H3&amp;$G3&amp;".dbr","")</f>
        <v>echo itemCost,100000, &gt;&gt; .\items\materia\class0023\Storm1.dbr</v>
      </c>
      <c r="R3" t="str">
        <f t="shared" si="1"/>
        <v>echo description,dailCompDescStorm1, &gt;&gt; .\items\materia\class0023\Storm1.dbr</v>
      </c>
      <c r="S3" t="str">
        <f t="shared" si="1"/>
        <v>echo itemText,dailCompTextStorm1, &gt;&gt; .\items\materia\class0023\Storm1.dbr</v>
      </c>
      <c r="T3" t="str">
        <f t="shared" si="1"/>
        <v>echo augmentMasteryLevel1,1, &gt;&gt; .\items\materia\class0023\Storm1.dbr</v>
      </c>
      <c r="U3" t="str">
        <f t="shared" si="1"/>
        <v>echo augmentMasteryName1,records/skillsstorm/stormmastery.dbr,, &gt;&gt; .\items\materia\class0023\Storm1.dbr</v>
      </c>
      <c r="V3" s="5" t="s">
        <v>36</v>
      </c>
      <c r="W3" t="str">
        <f>IF($I3&lt;&gt;"","echo "&amp;L3&amp;" &gt;&gt; .\items\loottables\"&amp;$K3&amp;".dbr","")</f>
        <v>echo lootName1,DAIL/items/materia/class0023/Storm1.dbr, &gt;&gt; .\items\loottables\dailoneskill0023.dbr</v>
      </c>
      <c r="X3" t="str">
        <f>IF($I3&lt;&gt;"","echo "&amp;M3&amp;" &gt;&gt; .\items\loottables\"&amp;$K3&amp;".dbr","")</f>
        <v>echo lootWeight1,1, &gt;&gt; .\items\loottables\dailoneskill0023.dbr</v>
      </c>
      <c r="Y3" s="5" t="s">
        <v>36</v>
      </c>
      <c r="Z3" s="10" t="str">
        <f>IF(I2&lt;&gt;""," dailCompDesc"&amp;H3&amp;G3&amp;"=^p"&amp;H3&amp;"'s Gift of DAIL","")</f>
        <v xml:space="preserve"> dailCompDescStorm1=^pStorm's Gift of DAIL</v>
      </c>
      <c r="AA3" s="10" t="str">
        <f>IF(I2&lt;&gt;"","dailCompText"&amp;H3&amp;G3&amp;"=^oThis feels warm to the touch, almost familiar ^w(This component fits into the amulet only)","")</f>
        <v>dailCompTextStorm1=^oThis feels warm to the touch, almost familiar ^w(This component fits into the amulet only)</v>
      </c>
      <c r="AB3" s="5" t="s">
        <v>36</v>
      </c>
      <c r="AD3">
        <v>1</v>
      </c>
      <c r="AE3" t="s">
        <v>42</v>
      </c>
      <c r="AF3" t="s">
        <v>45</v>
      </c>
    </row>
    <row r="4" spans="1:38" x14ac:dyDescent="0.25">
      <c r="A4" s="5" t="s">
        <v>39</v>
      </c>
      <c r="B4" s="5" t="s">
        <v>28</v>
      </c>
      <c r="C4" s="5" t="str">
        <f t="shared" si="0"/>
        <v>description,dailCompDescStorm2,</v>
      </c>
      <c r="D4" s="5" t="str">
        <f t="shared" ref="D4:D67" si="2">"itemText,dailCompText"&amp;H4&amp;G4&amp;","</f>
        <v>itemText,dailCompTextStorm2,</v>
      </c>
      <c r="E4" s="5" t="s">
        <v>1</v>
      </c>
      <c r="F4" s="5" t="str">
        <f t="shared" ref="F4:F5" si="3">"augmentMasteryName1,records/skills"&amp;I4&amp;","</f>
        <v>augmentMasteryName1,records/skillsstorm/stormmastery.dbr,,</v>
      </c>
      <c r="G4" s="7">
        <f>IF(I4&lt;&gt;"",G3+1,"")</f>
        <v>2</v>
      </c>
      <c r="H4" s="8" t="str">
        <f>H3</f>
        <v>Storm</v>
      </c>
      <c r="I4" s="3" t="s">
        <v>726</v>
      </c>
      <c r="J4" s="8" t="str">
        <f>J3</f>
        <v>class0023</v>
      </c>
      <c r="K4" s="8" t="str">
        <f>K3</f>
        <v>dailoneskill0023</v>
      </c>
      <c r="L4" s="5" t="str">
        <f t="shared" ref="L4:L67" si="4">"lootName"&amp;G4&amp;",DAIL/items/materia/"&amp;J4&amp;"/"&amp;H4&amp;G4&amp;".dbr"&amp;","</f>
        <v>lootName2,DAIL/items/materia/class0023/Storm2.dbr,</v>
      </c>
      <c r="M4" s="5" t="str">
        <f t="shared" ref="M4:M67" si="5">"lootWeight"&amp;G4&amp;",1,"</f>
        <v>lootWeight2,1,</v>
      </c>
      <c r="N4" t="str">
        <f t="shared" ref="N4:N67" si="6">LEFT(RIGHT(E4,2),1)</f>
        <v>2</v>
      </c>
      <c r="O4" s="5" t="str">
        <f>IF(I4&lt;&gt;"","copy .\dail_base2.dbr .\items\materia\"&amp;J4&amp;"\"&amp;H4&amp;G4&amp;".dbr /y"&amp;"","")</f>
        <v>copy .\dail_base2.dbr .\items\materia\class0023\Storm2.dbr /y</v>
      </c>
      <c r="P4" t="str">
        <f t="shared" ref="P4:U58" si="7">IF($I4&lt;&gt;"","echo "&amp;A4&amp;" &gt;&gt; .\items\materia\"&amp;$J4&amp;"\"&amp;$H4&amp;$G4&amp;".dbr","")</f>
        <v>echo relicBitmap,items/craftingparts/components/component_a52_bristlyfur_b.tex, &gt;&gt; .\items\materia\class0023\Storm2.dbr</v>
      </c>
      <c r="Q4" t="str">
        <f t="shared" si="1"/>
        <v>echo itemCost,300000, &gt;&gt; .\items\materia\class0023\Storm2.dbr</v>
      </c>
      <c r="R4" t="str">
        <f t="shared" si="1"/>
        <v>echo description,dailCompDescStorm2, &gt;&gt; .\items\materia\class0023\Storm2.dbr</v>
      </c>
      <c r="S4" t="str">
        <f t="shared" si="1"/>
        <v>echo itemText,dailCompTextStorm2, &gt;&gt; .\items\materia\class0023\Storm2.dbr</v>
      </c>
      <c r="T4" t="str">
        <f t="shared" si="1"/>
        <v>echo augmentMasteryLevel1,2, &gt;&gt; .\items\materia\class0023\Storm2.dbr</v>
      </c>
      <c r="U4" t="str">
        <f t="shared" si="1"/>
        <v>echo augmentMasteryName1,records/skillsstorm/stormmastery.dbr,, &gt;&gt; .\items\materia\class0023\Storm2.dbr</v>
      </c>
      <c r="V4" s="5" t="s">
        <v>36</v>
      </c>
      <c r="W4" t="str">
        <f t="shared" ref="W4:X67" si="8">IF($I4&lt;&gt;"","echo "&amp;L4&amp;" &gt;&gt; .\items\loottables\"&amp;$K4&amp;".dbr","")</f>
        <v>echo lootName2,DAIL/items/materia/class0023/Storm2.dbr, &gt;&gt; .\items\loottables\dailoneskill0023.dbr</v>
      </c>
      <c r="X4" t="str">
        <f t="shared" si="8"/>
        <v>echo lootWeight2,1, &gt;&gt; .\items\loottables\dailoneskill0023.dbr</v>
      </c>
      <c r="Y4" s="5" t="s">
        <v>36</v>
      </c>
      <c r="Z4" s="10" t="str">
        <f t="shared" ref="Z4:Z67" si="9">IF(I3&lt;&gt;""," dailCompDesc"&amp;H4&amp;G4&amp;"=^p"&amp;H4&amp;"'s Gift of DAIL","")</f>
        <v xml:space="preserve"> dailCompDescStorm2=^pStorm's Gift of DAIL</v>
      </c>
      <c r="AA4" s="10" t="str">
        <f>IF(I3&lt;&gt;"","dailCompText"&amp;H4&amp;G4&amp;"=^oThis feels warm to the touch, almost familiar ^w(This component fits into the amulet only)","")</f>
        <v>dailCompTextStorm2=^oThis feels warm to the touch, almost familiar ^w(This component fits into the amulet only)</v>
      </c>
      <c r="AB4" s="5" t="s">
        <v>36</v>
      </c>
      <c r="AD4">
        <v>3</v>
      </c>
      <c r="AE4" t="s">
        <v>43</v>
      </c>
      <c r="AF4" t="s">
        <v>46</v>
      </c>
    </row>
    <row r="5" spans="1:38" x14ac:dyDescent="0.25">
      <c r="A5" s="5" t="s">
        <v>39</v>
      </c>
      <c r="B5" s="5" t="s">
        <v>29</v>
      </c>
      <c r="C5" s="5" t="str">
        <f t="shared" si="0"/>
        <v>description,dailCompDescStorm3,</v>
      </c>
      <c r="D5" s="5" t="str">
        <f t="shared" si="2"/>
        <v>itemText,dailCompTextStorm3,</v>
      </c>
      <c r="E5" s="5" t="s">
        <v>25</v>
      </c>
      <c r="F5" s="5" t="str">
        <f t="shared" si="3"/>
        <v>augmentMasteryName1,records/skillsstorm/stormmastery.dbr,,</v>
      </c>
      <c r="G5" s="7">
        <f t="shared" ref="G5:G68" si="10">IF(I5&lt;&gt;"",G4+1,"")</f>
        <v>3</v>
      </c>
      <c r="H5" s="8" t="str">
        <f t="shared" ref="H5:H68" si="11">H4</f>
        <v>Storm</v>
      </c>
      <c r="I5" s="3" t="s">
        <v>726</v>
      </c>
      <c r="J5" s="8" t="str">
        <f t="shared" ref="J5:K20" si="12">J4</f>
        <v>class0023</v>
      </c>
      <c r="K5" s="8" t="str">
        <f t="shared" si="12"/>
        <v>dailoneskill0023</v>
      </c>
      <c r="L5" s="5" t="str">
        <f t="shared" si="4"/>
        <v>lootName3,DAIL/items/materia/class0023/Storm3.dbr,</v>
      </c>
      <c r="M5" s="5" t="str">
        <f t="shared" si="5"/>
        <v>lootWeight3,1,</v>
      </c>
      <c r="N5" t="str">
        <f t="shared" si="6"/>
        <v>3</v>
      </c>
      <c r="O5" s="5" t="str">
        <f>IF(I5&lt;&gt;"","copy .\dail_base2.dbr .\items\materia\"&amp;J5&amp;"\"&amp;H5&amp;G5&amp;".dbr /y"&amp;"","")</f>
        <v>copy .\dail_base2.dbr .\items\materia\class0023\Storm3.dbr /y</v>
      </c>
      <c r="P5" t="str">
        <f t="shared" si="7"/>
        <v>echo relicBitmap,items/craftingparts/components/component_a52_bristlyfur_b.tex, &gt;&gt; .\items\materia\class0023\Storm3.dbr</v>
      </c>
      <c r="Q5" t="str">
        <f t="shared" si="1"/>
        <v>echo itemCost,600000, &gt;&gt; .\items\materia\class0023\Storm3.dbr</v>
      </c>
      <c r="R5" t="str">
        <f t="shared" si="1"/>
        <v>echo description,dailCompDescStorm3, &gt;&gt; .\items\materia\class0023\Storm3.dbr</v>
      </c>
      <c r="S5" t="str">
        <f t="shared" si="1"/>
        <v>echo itemText,dailCompTextStorm3, &gt;&gt; .\items\materia\class0023\Storm3.dbr</v>
      </c>
      <c r="T5" t="str">
        <f t="shared" si="1"/>
        <v>echo augmentMasteryLevel1,3, &gt;&gt; .\items\materia\class0023\Storm3.dbr</v>
      </c>
      <c r="U5" t="str">
        <f t="shared" si="1"/>
        <v>echo augmentMasteryName1,records/skillsstorm/stormmastery.dbr,, &gt;&gt; .\items\materia\class0023\Storm3.dbr</v>
      </c>
      <c r="V5" s="5" t="s">
        <v>36</v>
      </c>
      <c r="W5" t="str">
        <f t="shared" si="8"/>
        <v>echo lootName3,DAIL/items/materia/class0023/Storm3.dbr, &gt;&gt; .\items\loottables\dailoneskill0023.dbr</v>
      </c>
      <c r="X5" t="str">
        <f t="shared" si="8"/>
        <v>echo lootWeight3,1, &gt;&gt; .\items\loottables\dailoneskill0023.dbr</v>
      </c>
      <c r="Y5" s="5" t="s">
        <v>36</v>
      </c>
      <c r="Z5" s="10" t="str">
        <f t="shared" si="9"/>
        <v xml:space="preserve"> dailCompDescStorm3=^pStorm's Gift of DAIL</v>
      </c>
      <c r="AA5" s="10" t="str">
        <f>IF(I4&lt;&gt;"","dailCompText"&amp;H5&amp;G5&amp;"=^oThis feels warm to the touch, almost familiar ^w(This component fits into the amulet only)","")</f>
        <v>dailCompTextStorm3=^oThis feels warm to the touch, almost familiar ^w(This component fits into the amulet only)</v>
      </c>
      <c r="AB5" s="5" t="s">
        <v>36</v>
      </c>
      <c r="AD5">
        <v>5</v>
      </c>
      <c r="AE5" t="s">
        <v>43</v>
      </c>
      <c r="AF5" t="s">
        <v>46</v>
      </c>
      <c r="AI5" t="s">
        <v>61</v>
      </c>
    </row>
    <row r="6" spans="1:38" x14ac:dyDescent="0.25">
      <c r="A6" s="5" t="s">
        <v>39</v>
      </c>
      <c r="B6" s="5" t="s">
        <v>0</v>
      </c>
      <c r="C6" s="5" t="str">
        <f t="shared" si="0"/>
        <v>description,dailCompDescStorm4,</v>
      </c>
      <c r="D6" s="5" t="str">
        <f t="shared" si="2"/>
        <v>itemText,dailCompTextStorm4,</v>
      </c>
      <c r="E6" s="5" t="str">
        <f>"augmentSkillLevel1,"&amp;AJ6&amp;","</f>
        <v>augmentSkillLevel1,1,</v>
      </c>
      <c r="F6" s="5" t="str">
        <f>"augmentSkillName1,records/skills"&amp;I6&amp;","</f>
        <v>augmentSkillName1,records/skillsstorm/iceshard.dbr,,</v>
      </c>
      <c r="G6" s="7">
        <f t="shared" si="10"/>
        <v>4</v>
      </c>
      <c r="H6" s="8" t="str">
        <f t="shared" si="11"/>
        <v>Storm</v>
      </c>
      <c r="I6" s="3" t="s">
        <v>727</v>
      </c>
      <c r="J6" s="8" t="str">
        <f t="shared" si="12"/>
        <v>class0023</v>
      </c>
      <c r="K6" s="8" t="str">
        <f t="shared" si="12"/>
        <v>dailoneskill0023</v>
      </c>
      <c r="L6" s="5" t="str">
        <f t="shared" si="4"/>
        <v>lootName4,DAIL/items/materia/class0023/Storm4.dbr,</v>
      </c>
      <c r="M6" s="5" t="str">
        <f t="shared" si="5"/>
        <v>lootWeight4,1,</v>
      </c>
      <c r="N6" t="str">
        <f t="shared" si="6"/>
        <v>1</v>
      </c>
      <c r="O6" t="str">
        <f>IF(I6&lt;&gt;"","copy .\"&amp;VLOOKUP(VALUE(N6),$AD$3:$AF$5,2,FALSE)&amp;" .\items\materia\"&amp;J6&amp;"\"&amp;H6&amp;G6&amp;".dbr /y"&amp;"","")</f>
        <v>copy .\dail_base.dbr .\items\materia\class0023\Storm4.dbr /y</v>
      </c>
      <c r="P6" t="str">
        <f t="shared" si="7"/>
        <v>echo relicBitmap,items/craftingparts/components/component_a52_bristlyfur_b.tex, &gt;&gt; .\items\materia\class0023\Storm4.dbr</v>
      </c>
      <c r="Q6" t="str">
        <f t="shared" si="1"/>
        <v>echo itemCost,100000, &gt;&gt; .\items\materia\class0023\Storm4.dbr</v>
      </c>
      <c r="R6" t="str">
        <f t="shared" si="1"/>
        <v>echo description,dailCompDescStorm4, &gt;&gt; .\items\materia\class0023\Storm4.dbr</v>
      </c>
      <c r="S6" t="str">
        <f t="shared" si="1"/>
        <v>echo itemText,dailCompTextStorm4, &gt;&gt; .\items\materia\class0023\Storm4.dbr</v>
      </c>
      <c r="T6" t="str">
        <f t="shared" si="1"/>
        <v>echo augmentSkillLevel1,1, &gt;&gt; .\items\materia\class0023\Storm4.dbr</v>
      </c>
      <c r="U6" t="str">
        <f t="shared" si="1"/>
        <v>echo augmentSkillName1,records/skillsstorm/iceshard.dbr,, &gt;&gt; .\items\materia\class0023\Storm4.dbr</v>
      </c>
      <c r="V6" s="5" t="s">
        <v>36</v>
      </c>
      <c r="W6" t="str">
        <f t="shared" si="8"/>
        <v>echo lootName4,DAIL/items/materia/class0023/Storm4.dbr, &gt;&gt; .\items\loottables\dailoneskill0023.dbr</v>
      </c>
      <c r="X6" t="str">
        <f t="shared" si="8"/>
        <v>echo lootWeight4,1, &gt;&gt; .\items\loottables\dailoneskill0023.dbr</v>
      </c>
      <c r="Y6" s="5" t="s">
        <v>36</v>
      </c>
      <c r="Z6" t="str">
        <f t="shared" si="9"/>
        <v xml:space="preserve"> dailCompDescStorm4=^pStorm's Gift of DAIL</v>
      </c>
      <c r="AA6" t="str">
        <f>IF(I5&lt;&gt;"","dailCompText"&amp;H6&amp;G6&amp;"=^oThis feels warm to the touch, almost familiar ^w("&amp;VLOOKUP(VALUE(N6),$AD$3:$AF$5,3,FALSE)&amp;")","")</f>
        <v>dailCompTextStorm4=^oThis feels warm to the touch, almost familiar ^w(This component fits into all Jewellery slots including the Belt And Shoulder)</v>
      </c>
      <c r="AB6" s="5" t="s">
        <v>36</v>
      </c>
      <c r="AH6">
        <v>1</v>
      </c>
      <c r="AI6">
        <f t="shared" ref="AI6:AI69" si="13">LEN(I6)</f>
        <v>19</v>
      </c>
      <c r="AJ6">
        <f>IF(AH6&lt;$AL$7,1,IF(AH6&lt;$AL$8,3,5))</f>
        <v>1</v>
      </c>
      <c r="AK6" s="1" t="s">
        <v>62</v>
      </c>
      <c r="AL6" s="1">
        <f>COUNTIF(AI:AI,"&gt;0")</f>
        <v>60</v>
      </c>
    </row>
    <row r="7" spans="1:38" x14ac:dyDescent="0.25">
      <c r="A7" s="5" t="s">
        <v>39</v>
      </c>
      <c r="B7" s="5" t="s">
        <v>0</v>
      </c>
      <c r="C7" s="5" t="str">
        <f t="shared" si="0"/>
        <v>description,dailCompDescStorm5,</v>
      </c>
      <c r="D7" s="5" t="str">
        <f t="shared" si="2"/>
        <v>itemText,dailCompTextStorm5,</v>
      </c>
      <c r="E7" s="5" t="str">
        <f t="shared" ref="E7:E70" si="14">"augmentSkillLevel1,"&amp;AJ7&amp;","</f>
        <v>augmentSkillLevel1,1,</v>
      </c>
      <c r="F7" s="5" t="str">
        <f t="shared" ref="F7:F70" si="15">"augmentSkillName1,records/skills"&amp;I7&amp;","</f>
        <v>augmentSkillName1,records/skillsstorm/iceshard_velocity.dbr,,</v>
      </c>
      <c r="G7" s="7">
        <f t="shared" si="10"/>
        <v>5</v>
      </c>
      <c r="H7" s="8" t="str">
        <f t="shared" si="11"/>
        <v>Storm</v>
      </c>
      <c r="I7" s="3" t="s">
        <v>728</v>
      </c>
      <c r="J7" s="8" t="str">
        <f t="shared" si="12"/>
        <v>class0023</v>
      </c>
      <c r="K7" s="8" t="str">
        <f t="shared" si="12"/>
        <v>dailoneskill0023</v>
      </c>
      <c r="L7" s="5" t="str">
        <f t="shared" si="4"/>
        <v>lootName5,DAIL/items/materia/class0023/Storm5.dbr,</v>
      </c>
      <c r="M7" s="5" t="str">
        <f t="shared" si="5"/>
        <v>lootWeight5,1,</v>
      </c>
      <c r="N7" t="str">
        <f t="shared" si="6"/>
        <v>1</v>
      </c>
      <c r="O7" t="str">
        <f t="shared" ref="O7:O70" si="16">IF(I7&lt;&gt;"","copy .\"&amp;VLOOKUP(VALUE(N7),$AD$3:$AF$5,2,FALSE)&amp;" .\items\materia\"&amp;J7&amp;"\"&amp;H7&amp;G7&amp;".dbr /y"&amp;"","")</f>
        <v>copy .\dail_base.dbr .\items\materia\class0023\Storm5.dbr /y</v>
      </c>
      <c r="P7" t="str">
        <f t="shared" si="7"/>
        <v>echo relicBitmap,items/craftingparts/components/component_a52_bristlyfur_b.tex, &gt;&gt; .\items\materia\class0023\Storm5.dbr</v>
      </c>
      <c r="Q7" t="str">
        <f t="shared" si="1"/>
        <v>echo itemCost,100000, &gt;&gt; .\items\materia\class0023\Storm5.dbr</v>
      </c>
      <c r="R7" t="str">
        <f t="shared" si="1"/>
        <v>echo description,dailCompDescStorm5, &gt;&gt; .\items\materia\class0023\Storm5.dbr</v>
      </c>
      <c r="S7" t="str">
        <f t="shared" si="1"/>
        <v>echo itemText,dailCompTextStorm5, &gt;&gt; .\items\materia\class0023\Storm5.dbr</v>
      </c>
      <c r="T7" t="str">
        <f t="shared" si="1"/>
        <v>echo augmentSkillLevel1,1, &gt;&gt; .\items\materia\class0023\Storm5.dbr</v>
      </c>
      <c r="U7" t="str">
        <f t="shared" si="1"/>
        <v>echo augmentSkillName1,records/skillsstorm/iceshard_velocity.dbr,, &gt;&gt; .\items\materia\class0023\Storm5.dbr</v>
      </c>
      <c r="V7" s="5" t="s">
        <v>36</v>
      </c>
      <c r="W7" t="str">
        <f t="shared" si="8"/>
        <v>echo lootName5,DAIL/items/materia/class0023/Storm5.dbr, &gt;&gt; .\items\loottables\dailoneskill0023.dbr</v>
      </c>
      <c r="X7" t="str">
        <f t="shared" si="8"/>
        <v>echo lootWeight5,1, &gt;&gt; .\items\loottables\dailoneskill0023.dbr</v>
      </c>
      <c r="Y7" s="5" t="s">
        <v>36</v>
      </c>
      <c r="Z7" t="str">
        <f t="shared" si="9"/>
        <v xml:space="preserve"> dailCompDescStorm5=^pStorm's Gift of DAIL</v>
      </c>
      <c r="AA7" t="str">
        <f t="shared" ref="AA7:AA70" si="17">IF(I6&lt;&gt;"","dailCompText"&amp;H7&amp;G7&amp;"=^oThis feels warm to the touch, almost familiar ^w("&amp;VLOOKUP(VALUE(N7),$AD$3:$AF$5,3,FALSE)&amp;")","")</f>
        <v>dailCompTextStorm5=^oThis feels warm to the touch, almost familiar ^w(This component fits into all Jewellery slots including the Belt And Shoulder)</v>
      </c>
      <c r="AB7" s="5" t="s">
        <v>36</v>
      </c>
      <c r="AH7">
        <f>AH6+1</f>
        <v>2</v>
      </c>
      <c r="AI7">
        <f t="shared" si="13"/>
        <v>28</v>
      </c>
      <c r="AJ7">
        <f t="shared" ref="AJ7:AJ70" si="18">IF(AH7&lt;$AL$7,1,IF(AH7&lt;$AL$8,3,5))</f>
        <v>1</v>
      </c>
      <c r="AK7">
        <v>1</v>
      </c>
      <c r="AL7">
        <f>AL6/3</f>
        <v>20</v>
      </c>
    </row>
    <row r="8" spans="1:38" x14ac:dyDescent="0.25">
      <c r="A8" s="5" t="s">
        <v>39</v>
      </c>
      <c r="B8" s="5" t="s">
        <v>0</v>
      </c>
      <c r="C8" s="5" t="str">
        <f t="shared" si="0"/>
        <v>description,dailCompDescStorm6,</v>
      </c>
      <c r="D8" s="5" t="str">
        <f t="shared" si="2"/>
        <v>itemText,dailCompTextStorm6,</v>
      </c>
      <c r="E8" s="5" t="str">
        <f t="shared" si="14"/>
        <v>augmentSkillLevel1,1,</v>
      </c>
      <c r="F8" s="5" t="str">
        <f t="shared" si="15"/>
        <v>augmentSkillName1,records/skillsstorm/iceshard_torrent.dbr,,</v>
      </c>
      <c r="G8" s="7">
        <f t="shared" si="10"/>
        <v>6</v>
      </c>
      <c r="H8" s="8" t="str">
        <f t="shared" si="11"/>
        <v>Storm</v>
      </c>
      <c r="I8" s="3" t="s">
        <v>729</v>
      </c>
      <c r="J8" s="8" t="str">
        <f t="shared" si="12"/>
        <v>class0023</v>
      </c>
      <c r="K8" s="8" t="str">
        <f t="shared" si="12"/>
        <v>dailoneskill0023</v>
      </c>
      <c r="L8" s="5" t="str">
        <f t="shared" si="4"/>
        <v>lootName6,DAIL/items/materia/class0023/Storm6.dbr,</v>
      </c>
      <c r="M8" s="5" t="str">
        <f t="shared" si="5"/>
        <v>lootWeight6,1,</v>
      </c>
      <c r="N8" t="str">
        <f t="shared" si="6"/>
        <v>1</v>
      </c>
      <c r="O8" t="str">
        <f t="shared" si="16"/>
        <v>copy .\dail_base.dbr .\items\materia\class0023\Storm6.dbr /y</v>
      </c>
      <c r="P8" t="str">
        <f t="shared" si="7"/>
        <v>echo relicBitmap,items/craftingparts/components/component_a52_bristlyfur_b.tex, &gt;&gt; .\items\materia\class0023\Storm6.dbr</v>
      </c>
      <c r="Q8" t="str">
        <f t="shared" si="1"/>
        <v>echo itemCost,100000, &gt;&gt; .\items\materia\class0023\Storm6.dbr</v>
      </c>
      <c r="R8" t="str">
        <f t="shared" si="1"/>
        <v>echo description,dailCompDescStorm6, &gt;&gt; .\items\materia\class0023\Storm6.dbr</v>
      </c>
      <c r="S8" t="str">
        <f t="shared" si="1"/>
        <v>echo itemText,dailCompTextStorm6, &gt;&gt; .\items\materia\class0023\Storm6.dbr</v>
      </c>
      <c r="T8" t="str">
        <f t="shared" si="1"/>
        <v>echo augmentSkillLevel1,1, &gt;&gt; .\items\materia\class0023\Storm6.dbr</v>
      </c>
      <c r="U8" t="str">
        <f t="shared" si="1"/>
        <v>echo augmentSkillName1,records/skillsstorm/iceshard_torrent.dbr,, &gt;&gt; .\items\materia\class0023\Storm6.dbr</v>
      </c>
      <c r="V8" s="5" t="s">
        <v>36</v>
      </c>
      <c r="W8" t="str">
        <f t="shared" si="8"/>
        <v>echo lootName6,DAIL/items/materia/class0023/Storm6.dbr, &gt;&gt; .\items\loottables\dailoneskill0023.dbr</v>
      </c>
      <c r="X8" t="str">
        <f t="shared" si="8"/>
        <v>echo lootWeight6,1, &gt;&gt; .\items\loottables\dailoneskill0023.dbr</v>
      </c>
      <c r="Y8" s="5" t="s">
        <v>36</v>
      </c>
      <c r="Z8" t="str">
        <f t="shared" si="9"/>
        <v xml:space="preserve"> dailCompDescStorm6=^pStorm's Gift of DAIL</v>
      </c>
      <c r="AA8" t="str">
        <f t="shared" si="17"/>
        <v>dailCompTextStorm6=^oThis feels warm to the touch, almost familiar ^w(This component fits into all Jewellery slots including the Belt And Shoulder)</v>
      </c>
      <c r="AB8" s="5" t="s">
        <v>36</v>
      </c>
      <c r="AH8">
        <f t="shared" ref="AH8:AH71" si="19">AH7+1</f>
        <v>3</v>
      </c>
      <c r="AI8">
        <f t="shared" si="13"/>
        <v>27</v>
      </c>
      <c r="AJ8">
        <f t="shared" si="18"/>
        <v>1</v>
      </c>
      <c r="AK8" s="1">
        <v>3</v>
      </c>
      <c r="AL8">
        <f>AL7*2</f>
        <v>40</v>
      </c>
    </row>
    <row r="9" spans="1:38" x14ac:dyDescent="0.25">
      <c r="A9" s="5" t="s">
        <v>39</v>
      </c>
      <c r="B9" s="5" t="s">
        <v>0</v>
      </c>
      <c r="C9" s="5" t="str">
        <f t="shared" si="0"/>
        <v>description,dailCompDescStorm7,</v>
      </c>
      <c r="D9" s="5" t="str">
        <f t="shared" si="2"/>
        <v>itemText,dailCompTextStorm7,</v>
      </c>
      <c r="E9" s="5" t="str">
        <f t="shared" si="14"/>
        <v>augmentSkillLevel1,1,</v>
      </c>
      <c r="F9" s="5" t="str">
        <f t="shared" si="15"/>
        <v>augmentSkillName1,records/skillsstorm/lightningbolt.dbr,,</v>
      </c>
      <c r="G9" s="7">
        <f t="shared" si="10"/>
        <v>7</v>
      </c>
      <c r="H9" s="8" t="str">
        <f t="shared" si="11"/>
        <v>Storm</v>
      </c>
      <c r="I9" s="3" t="s">
        <v>730</v>
      </c>
      <c r="J9" s="8" t="str">
        <f t="shared" si="12"/>
        <v>class0023</v>
      </c>
      <c r="K9" s="8" t="str">
        <f t="shared" si="12"/>
        <v>dailoneskill0023</v>
      </c>
      <c r="L9" s="5" t="str">
        <f t="shared" si="4"/>
        <v>lootName7,DAIL/items/materia/class0023/Storm7.dbr,</v>
      </c>
      <c r="M9" s="5" t="str">
        <f t="shared" si="5"/>
        <v>lootWeight7,1,</v>
      </c>
      <c r="N9" t="str">
        <f t="shared" si="6"/>
        <v>1</v>
      </c>
      <c r="O9" t="str">
        <f t="shared" si="16"/>
        <v>copy .\dail_base.dbr .\items\materia\class0023\Storm7.dbr /y</v>
      </c>
      <c r="P9" t="str">
        <f t="shared" si="7"/>
        <v>echo relicBitmap,items/craftingparts/components/component_a52_bristlyfur_b.tex, &gt;&gt; .\items\materia\class0023\Storm7.dbr</v>
      </c>
      <c r="Q9" t="str">
        <f t="shared" si="1"/>
        <v>echo itemCost,100000, &gt;&gt; .\items\materia\class0023\Storm7.dbr</v>
      </c>
      <c r="R9" t="str">
        <f t="shared" si="1"/>
        <v>echo description,dailCompDescStorm7, &gt;&gt; .\items\materia\class0023\Storm7.dbr</v>
      </c>
      <c r="S9" t="str">
        <f t="shared" si="1"/>
        <v>echo itemText,dailCompTextStorm7, &gt;&gt; .\items\materia\class0023\Storm7.dbr</v>
      </c>
      <c r="T9" t="str">
        <f t="shared" si="1"/>
        <v>echo augmentSkillLevel1,1, &gt;&gt; .\items\materia\class0023\Storm7.dbr</v>
      </c>
      <c r="U9" t="str">
        <f t="shared" si="1"/>
        <v>echo augmentSkillName1,records/skillsstorm/lightningbolt.dbr,, &gt;&gt; .\items\materia\class0023\Storm7.dbr</v>
      </c>
      <c r="V9" s="5" t="s">
        <v>36</v>
      </c>
      <c r="W9" t="str">
        <f t="shared" si="8"/>
        <v>echo lootName7,DAIL/items/materia/class0023/Storm7.dbr, &gt;&gt; .\items\loottables\dailoneskill0023.dbr</v>
      </c>
      <c r="X9" t="str">
        <f t="shared" si="8"/>
        <v>echo lootWeight7,1, &gt;&gt; .\items\loottables\dailoneskill0023.dbr</v>
      </c>
      <c r="Y9" s="5" t="s">
        <v>36</v>
      </c>
      <c r="Z9" t="str">
        <f t="shared" si="9"/>
        <v xml:space="preserve"> dailCompDescStorm7=^pStorm's Gift of DAIL</v>
      </c>
      <c r="AA9" t="str">
        <f t="shared" si="17"/>
        <v>dailCompTextStorm7=^oThis feels warm to the touch, almost familiar ^w(This component fits into all Jewellery slots including the Belt And Shoulder)</v>
      </c>
      <c r="AB9" s="5" t="s">
        <v>36</v>
      </c>
      <c r="AH9">
        <f t="shared" si="19"/>
        <v>4</v>
      </c>
      <c r="AI9">
        <f t="shared" si="13"/>
        <v>24</v>
      </c>
      <c r="AJ9">
        <f t="shared" si="18"/>
        <v>1</v>
      </c>
      <c r="AK9" s="1">
        <v>5</v>
      </c>
      <c r="AL9">
        <f>AL6</f>
        <v>60</v>
      </c>
    </row>
    <row r="10" spans="1:38" x14ac:dyDescent="0.25">
      <c r="A10" s="5" t="s">
        <v>39</v>
      </c>
      <c r="B10" s="5" t="s">
        <v>0</v>
      </c>
      <c r="C10" s="5" t="str">
        <f t="shared" si="0"/>
        <v>description,dailCompDescStorm8,</v>
      </c>
      <c r="D10" s="5" t="str">
        <f t="shared" si="2"/>
        <v>itemText,dailCompTextStorm8,</v>
      </c>
      <c r="E10" s="5" t="str">
        <f t="shared" si="14"/>
        <v>augmentSkillLevel1,1,</v>
      </c>
      <c r="F10" s="5" t="str">
        <f t="shared" si="15"/>
        <v>augmentSkillName1,records/skillsstorm/lightningbolt_chainlightning.dbr,,</v>
      </c>
      <c r="G10" s="7">
        <f t="shared" si="10"/>
        <v>8</v>
      </c>
      <c r="H10" s="8" t="str">
        <f t="shared" si="11"/>
        <v>Storm</v>
      </c>
      <c r="I10" s="3" t="s">
        <v>731</v>
      </c>
      <c r="J10" s="8" t="str">
        <f t="shared" si="12"/>
        <v>class0023</v>
      </c>
      <c r="K10" s="8" t="str">
        <f t="shared" si="12"/>
        <v>dailoneskill0023</v>
      </c>
      <c r="L10" s="5" t="str">
        <f t="shared" si="4"/>
        <v>lootName8,DAIL/items/materia/class0023/Storm8.dbr,</v>
      </c>
      <c r="M10" s="5" t="str">
        <f t="shared" si="5"/>
        <v>lootWeight8,1,</v>
      </c>
      <c r="N10" t="str">
        <f t="shared" si="6"/>
        <v>1</v>
      </c>
      <c r="O10" t="str">
        <f t="shared" si="16"/>
        <v>copy .\dail_base.dbr .\items\materia\class0023\Storm8.dbr /y</v>
      </c>
      <c r="P10" t="str">
        <f t="shared" si="7"/>
        <v>echo relicBitmap,items/craftingparts/components/component_a52_bristlyfur_b.tex, &gt;&gt; .\items\materia\class0023\Storm8.dbr</v>
      </c>
      <c r="Q10" t="str">
        <f t="shared" si="1"/>
        <v>echo itemCost,100000, &gt;&gt; .\items\materia\class0023\Storm8.dbr</v>
      </c>
      <c r="R10" t="str">
        <f t="shared" si="1"/>
        <v>echo description,dailCompDescStorm8, &gt;&gt; .\items\materia\class0023\Storm8.dbr</v>
      </c>
      <c r="S10" t="str">
        <f t="shared" si="1"/>
        <v>echo itemText,dailCompTextStorm8, &gt;&gt; .\items\materia\class0023\Storm8.dbr</v>
      </c>
      <c r="T10" t="str">
        <f t="shared" si="1"/>
        <v>echo augmentSkillLevel1,1, &gt;&gt; .\items\materia\class0023\Storm8.dbr</v>
      </c>
      <c r="U10" t="str">
        <f t="shared" si="1"/>
        <v>echo augmentSkillName1,records/skillsstorm/lightningbolt_chainlightning.dbr,, &gt;&gt; .\items\materia\class0023\Storm8.dbr</v>
      </c>
      <c r="V10" s="5" t="s">
        <v>36</v>
      </c>
      <c r="W10" t="str">
        <f t="shared" si="8"/>
        <v>echo lootName8,DAIL/items/materia/class0023/Storm8.dbr, &gt;&gt; .\items\loottables\dailoneskill0023.dbr</v>
      </c>
      <c r="X10" t="str">
        <f t="shared" si="8"/>
        <v>echo lootWeight8,1, &gt;&gt; .\items\loottables\dailoneskill0023.dbr</v>
      </c>
      <c r="Y10" s="5" t="s">
        <v>36</v>
      </c>
      <c r="Z10" t="str">
        <f t="shared" si="9"/>
        <v xml:space="preserve"> dailCompDescStorm8=^pStorm's Gift of DAIL</v>
      </c>
      <c r="AA10" t="str">
        <f t="shared" si="17"/>
        <v>dailCompTextStorm8=^oThis feels warm to the touch, almost familiar ^w(This component fits into all Jewellery slots including the Belt And Shoulder)</v>
      </c>
      <c r="AB10" s="5" t="s">
        <v>36</v>
      </c>
      <c r="AH10">
        <f t="shared" si="19"/>
        <v>5</v>
      </c>
      <c r="AI10">
        <f t="shared" si="13"/>
        <v>39</v>
      </c>
      <c r="AJ10">
        <f t="shared" si="18"/>
        <v>1</v>
      </c>
    </row>
    <row r="11" spans="1:38" x14ac:dyDescent="0.25">
      <c r="A11" s="5" t="s">
        <v>39</v>
      </c>
      <c r="B11" s="5" t="s">
        <v>0</v>
      </c>
      <c r="C11" s="5" t="str">
        <f t="shared" si="0"/>
        <v>description,dailCompDescStorm9,</v>
      </c>
      <c r="D11" s="5" t="str">
        <f t="shared" si="2"/>
        <v>itemText,dailCompTextStorm9,</v>
      </c>
      <c r="E11" s="5" t="str">
        <f t="shared" si="14"/>
        <v>augmentSkillLevel1,1,</v>
      </c>
      <c r="F11" s="5" t="str">
        <f t="shared" si="15"/>
        <v>augmentSkillName1,records/skillsstorm/freezingblast.dbr,,</v>
      </c>
      <c r="G11" s="7">
        <f t="shared" si="10"/>
        <v>9</v>
      </c>
      <c r="H11" s="8" t="str">
        <f t="shared" si="11"/>
        <v>Storm</v>
      </c>
      <c r="I11" s="3" t="s">
        <v>732</v>
      </c>
      <c r="J11" s="8" t="str">
        <f t="shared" si="12"/>
        <v>class0023</v>
      </c>
      <c r="K11" s="8" t="str">
        <f t="shared" si="12"/>
        <v>dailoneskill0023</v>
      </c>
      <c r="L11" s="5" t="str">
        <f t="shared" si="4"/>
        <v>lootName9,DAIL/items/materia/class0023/Storm9.dbr,</v>
      </c>
      <c r="M11" s="5" t="str">
        <f t="shared" si="5"/>
        <v>lootWeight9,1,</v>
      </c>
      <c r="N11" t="str">
        <f t="shared" si="6"/>
        <v>1</v>
      </c>
      <c r="O11" t="str">
        <f t="shared" si="16"/>
        <v>copy .\dail_base.dbr .\items\materia\class0023\Storm9.dbr /y</v>
      </c>
      <c r="P11" t="str">
        <f t="shared" si="7"/>
        <v>echo relicBitmap,items/craftingparts/components/component_a52_bristlyfur_b.tex, &gt;&gt; .\items\materia\class0023\Storm9.dbr</v>
      </c>
      <c r="Q11" t="str">
        <f t="shared" si="1"/>
        <v>echo itemCost,100000, &gt;&gt; .\items\materia\class0023\Storm9.dbr</v>
      </c>
      <c r="R11" t="str">
        <f t="shared" si="1"/>
        <v>echo description,dailCompDescStorm9, &gt;&gt; .\items\materia\class0023\Storm9.dbr</v>
      </c>
      <c r="S11" t="str">
        <f t="shared" si="1"/>
        <v>echo itemText,dailCompTextStorm9, &gt;&gt; .\items\materia\class0023\Storm9.dbr</v>
      </c>
      <c r="T11" t="str">
        <f t="shared" si="1"/>
        <v>echo augmentSkillLevel1,1, &gt;&gt; .\items\materia\class0023\Storm9.dbr</v>
      </c>
      <c r="U11" t="str">
        <f t="shared" si="1"/>
        <v>echo augmentSkillName1,records/skillsstorm/freezingblast.dbr,, &gt;&gt; .\items\materia\class0023\Storm9.dbr</v>
      </c>
      <c r="V11" s="5" t="s">
        <v>36</v>
      </c>
      <c r="W11" t="str">
        <f t="shared" si="8"/>
        <v>echo lootName9,DAIL/items/materia/class0023/Storm9.dbr, &gt;&gt; .\items\loottables\dailoneskill0023.dbr</v>
      </c>
      <c r="X11" t="str">
        <f t="shared" si="8"/>
        <v>echo lootWeight9,1, &gt;&gt; .\items\loottables\dailoneskill0023.dbr</v>
      </c>
      <c r="Y11" s="5" t="s">
        <v>36</v>
      </c>
      <c r="Z11" t="str">
        <f t="shared" si="9"/>
        <v xml:space="preserve"> dailCompDescStorm9=^pStorm's Gift of DAIL</v>
      </c>
      <c r="AA11" t="str">
        <f t="shared" si="17"/>
        <v>dailCompTextStorm9=^oThis feels warm to the touch, almost familiar ^w(This component fits into all Jewellery slots including the Belt And Shoulder)</v>
      </c>
      <c r="AB11" s="5" t="s">
        <v>36</v>
      </c>
      <c r="AH11">
        <f t="shared" si="19"/>
        <v>6</v>
      </c>
      <c r="AI11">
        <f t="shared" si="13"/>
        <v>24</v>
      </c>
      <c r="AJ11">
        <f t="shared" si="18"/>
        <v>1</v>
      </c>
    </row>
    <row r="12" spans="1:38" x14ac:dyDescent="0.25">
      <c r="A12" s="5" t="s">
        <v>39</v>
      </c>
      <c r="B12" s="5" t="s">
        <v>0</v>
      </c>
      <c r="C12" s="5" t="str">
        <f t="shared" si="0"/>
        <v>description,dailCompDescStorm10,</v>
      </c>
      <c r="D12" s="5" t="str">
        <f t="shared" si="2"/>
        <v>itemText,dailCompTextStorm10,</v>
      </c>
      <c r="E12" s="5" t="str">
        <f t="shared" si="14"/>
        <v>augmentSkillLevel1,1,</v>
      </c>
      <c r="F12" s="5" t="str">
        <f t="shared" si="15"/>
        <v>augmentSkillName1,records/skillsstorm/stormnimbus.dbr,,</v>
      </c>
      <c r="G12" s="7">
        <f t="shared" si="10"/>
        <v>10</v>
      </c>
      <c r="H12" s="8" t="str">
        <f t="shared" si="11"/>
        <v>Storm</v>
      </c>
      <c r="I12" s="3" t="s">
        <v>733</v>
      </c>
      <c r="J12" s="8" t="str">
        <f t="shared" si="12"/>
        <v>class0023</v>
      </c>
      <c r="K12" s="8" t="str">
        <f t="shared" si="12"/>
        <v>dailoneskill0023</v>
      </c>
      <c r="L12" s="5" t="str">
        <f t="shared" si="4"/>
        <v>lootName10,DAIL/items/materia/class0023/Storm10.dbr,</v>
      </c>
      <c r="M12" s="5" t="str">
        <f t="shared" si="5"/>
        <v>lootWeight10,1,</v>
      </c>
      <c r="N12" t="str">
        <f t="shared" si="6"/>
        <v>1</v>
      </c>
      <c r="O12" t="str">
        <f t="shared" si="16"/>
        <v>copy .\dail_base.dbr .\items\materia\class0023\Storm10.dbr /y</v>
      </c>
      <c r="P12" t="str">
        <f t="shared" si="7"/>
        <v>echo relicBitmap,items/craftingparts/components/component_a52_bristlyfur_b.tex, &gt;&gt; .\items\materia\class0023\Storm10.dbr</v>
      </c>
      <c r="Q12" t="str">
        <f t="shared" si="1"/>
        <v>echo itemCost,100000, &gt;&gt; .\items\materia\class0023\Storm10.dbr</v>
      </c>
      <c r="R12" t="str">
        <f t="shared" si="1"/>
        <v>echo description,dailCompDescStorm10, &gt;&gt; .\items\materia\class0023\Storm10.dbr</v>
      </c>
      <c r="S12" t="str">
        <f t="shared" si="1"/>
        <v>echo itemText,dailCompTextStorm10, &gt;&gt; .\items\materia\class0023\Storm10.dbr</v>
      </c>
      <c r="T12" t="str">
        <f t="shared" si="1"/>
        <v>echo augmentSkillLevel1,1, &gt;&gt; .\items\materia\class0023\Storm10.dbr</v>
      </c>
      <c r="U12" t="str">
        <f t="shared" si="1"/>
        <v>echo augmentSkillName1,records/skillsstorm/stormnimbus.dbr,, &gt;&gt; .\items\materia\class0023\Storm10.dbr</v>
      </c>
      <c r="V12" s="5" t="s">
        <v>36</v>
      </c>
      <c r="W12" t="str">
        <f t="shared" si="8"/>
        <v>echo lootName10,DAIL/items/materia/class0023/Storm10.dbr, &gt;&gt; .\items\loottables\dailoneskill0023.dbr</v>
      </c>
      <c r="X12" t="str">
        <f t="shared" si="8"/>
        <v>echo lootWeight10,1, &gt;&gt; .\items\loottables\dailoneskill0023.dbr</v>
      </c>
      <c r="Y12" s="5" t="s">
        <v>36</v>
      </c>
      <c r="Z12" t="str">
        <f t="shared" si="9"/>
        <v xml:space="preserve"> dailCompDescStorm10=^pStorm's Gift of DAIL</v>
      </c>
      <c r="AA12" t="str">
        <f t="shared" si="17"/>
        <v>dailCompTextStorm10=^oThis feels warm to the touch, almost familiar ^w(This component fits into all Jewellery slots including the Belt And Shoulder)</v>
      </c>
      <c r="AB12" s="5" t="s">
        <v>36</v>
      </c>
      <c r="AH12">
        <f t="shared" si="19"/>
        <v>7</v>
      </c>
      <c r="AI12">
        <f t="shared" si="13"/>
        <v>22</v>
      </c>
      <c r="AJ12">
        <f t="shared" si="18"/>
        <v>1</v>
      </c>
    </row>
    <row r="13" spans="1:38" x14ac:dyDescent="0.25">
      <c r="A13" s="5" t="s">
        <v>39</v>
      </c>
      <c r="B13" s="5" t="s">
        <v>0</v>
      </c>
      <c r="C13" s="5" t="str">
        <f t="shared" si="0"/>
        <v>description,dailCompDescStorm11,</v>
      </c>
      <c r="D13" s="5" t="str">
        <f t="shared" si="2"/>
        <v>itemText,dailCompTextStorm11,</v>
      </c>
      <c r="E13" s="5" t="str">
        <f t="shared" si="14"/>
        <v>augmentSkillLevel1,1,</v>
      </c>
      <c r="F13" s="5" t="str">
        <f t="shared" si="15"/>
        <v>augmentSkillName1,records/skillsstorm/stormnimbus_heartoffrost.dbr,,</v>
      </c>
      <c r="G13" s="7">
        <f t="shared" si="10"/>
        <v>11</v>
      </c>
      <c r="H13" s="8" t="str">
        <f t="shared" si="11"/>
        <v>Storm</v>
      </c>
      <c r="I13" s="3" t="s">
        <v>734</v>
      </c>
      <c r="J13" s="8" t="str">
        <f t="shared" si="12"/>
        <v>class0023</v>
      </c>
      <c r="K13" s="8" t="str">
        <f t="shared" si="12"/>
        <v>dailoneskill0023</v>
      </c>
      <c r="L13" s="5" t="str">
        <f t="shared" si="4"/>
        <v>lootName11,DAIL/items/materia/class0023/Storm11.dbr,</v>
      </c>
      <c r="M13" s="5" t="str">
        <f t="shared" si="5"/>
        <v>lootWeight11,1,</v>
      </c>
      <c r="N13" t="str">
        <f t="shared" si="6"/>
        <v>1</v>
      </c>
      <c r="O13" t="str">
        <f t="shared" si="16"/>
        <v>copy .\dail_base.dbr .\items\materia\class0023\Storm11.dbr /y</v>
      </c>
      <c r="P13" t="str">
        <f t="shared" si="7"/>
        <v>echo relicBitmap,items/craftingparts/components/component_a52_bristlyfur_b.tex, &gt;&gt; .\items\materia\class0023\Storm11.dbr</v>
      </c>
      <c r="Q13" t="str">
        <f t="shared" si="1"/>
        <v>echo itemCost,100000, &gt;&gt; .\items\materia\class0023\Storm11.dbr</v>
      </c>
      <c r="R13" t="str">
        <f t="shared" si="1"/>
        <v>echo description,dailCompDescStorm11, &gt;&gt; .\items\materia\class0023\Storm11.dbr</v>
      </c>
      <c r="S13" t="str">
        <f t="shared" si="1"/>
        <v>echo itemText,dailCompTextStorm11, &gt;&gt; .\items\materia\class0023\Storm11.dbr</v>
      </c>
      <c r="T13" t="str">
        <f t="shared" si="1"/>
        <v>echo augmentSkillLevel1,1, &gt;&gt; .\items\materia\class0023\Storm11.dbr</v>
      </c>
      <c r="U13" t="str">
        <f t="shared" si="1"/>
        <v>echo augmentSkillName1,records/skillsstorm/stormnimbus_heartoffrost.dbr,, &gt;&gt; .\items\materia\class0023\Storm11.dbr</v>
      </c>
      <c r="V13" s="5" t="s">
        <v>36</v>
      </c>
      <c r="W13" t="str">
        <f t="shared" si="8"/>
        <v>echo lootName11,DAIL/items/materia/class0023/Storm11.dbr, &gt;&gt; .\items\loottables\dailoneskill0023.dbr</v>
      </c>
      <c r="X13" t="str">
        <f t="shared" si="8"/>
        <v>echo lootWeight11,1, &gt;&gt; .\items\loottables\dailoneskill0023.dbr</v>
      </c>
      <c r="Y13" s="5" t="s">
        <v>36</v>
      </c>
      <c r="Z13" t="str">
        <f t="shared" si="9"/>
        <v xml:space="preserve"> dailCompDescStorm11=^pStorm's Gift of DAIL</v>
      </c>
      <c r="AA13" t="str">
        <f t="shared" si="17"/>
        <v>dailCompTextStorm11=^oThis feels warm to the touch, almost familiar ^w(This component fits into all Jewellery slots including the Belt And Shoulder)</v>
      </c>
      <c r="AB13" s="5" t="s">
        <v>36</v>
      </c>
      <c r="AH13">
        <f t="shared" si="19"/>
        <v>8</v>
      </c>
      <c r="AI13">
        <f t="shared" si="13"/>
        <v>35</v>
      </c>
      <c r="AJ13">
        <f t="shared" si="18"/>
        <v>1</v>
      </c>
    </row>
    <row r="14" spans="1:38" x14ac:dyDescent="0.25">
      <c r="A14" s="5" t="s">
        <v>39</v>
      </c>
      <c r="B14" s="5" t="s">
        <v>0</v>
      </c>
      <c r="C14" s="5" t="str">
        <f t="shared" si="0"/>
        <v>description,dailCompDescStorm12,</v>
      </c>
      <c r="D14" s="5" t="str">
        <f t="shared" si="2"/>
        <v>itemText,dailCompTextStorm12,</v>
      </c>
      <c r="E14" s="5" t="str">
        <f t="shared" si="14"/>
        <v>augmentSkillLevel1,1,</v>
      </c>
      <c r="F14" s="5" t="str">
        <f t="shared" si="15"/>
        <v>augmentSkillName1,records/skillsstorm/stormnimbus_staticcharge.dbr,,</v>
      </c>
      <c r="G14" s="7">
        <f t="shared" si="10"/>
        <v>12</v>
      </c>
      <c r="H14" s="8" t="str">
        <f t="shared" si="11"/>
        <v>Storm</v>
      </c>
      <c r="I14" s="3" t="s">
        <v>735</v>
      </c>
      <c r="J14" s="8" t="str">
        <f t="shared" si="12"/>
        <v>class0023</v>
      </c>
      <c r="K14" s="8" t="str">
        <f t="shared" si="12"/>
        <v>dailoneskill0023</v>
      </c>
      <c r="L14" s="5" t="str">
        <f t="shared" si="4"/>
        <v>lootName12,DAIL/items/materia/class0023/Storm12.dbr,</v>
      </c>
      <c r="M14" s="5" t="str">
        <f t="shared" si="5"/>
        <v>lootWeight12,1,</v>
      </c>
      <c r="N14" t="str">
        <f t="shared" si="6"/>
        <v>1</v>
      </c>
      <c r="O14" t="str">
        <f t="shared" si="16"/>
        <v>copy .\dail_base.dbr .\items\materia\class0023\Storm12.dbr /y</v>
      </c>
      <c r="P14" t="str">
        <f t="shared" si="7"/>
        <v>echo relicBitmap,items/craftingparts/components/component_a52_bristlyfur_b.tex, &gt;&gt; .\items\materia\class0023\Storm12.dbr</v>
      </c>
      <c r="Q14" t="str">
        <f t="shared" si="1"/>
        <v>echo itemCost,100000, &gt;&gt; .\items\materia\class0023\Storm12.dbr</v>
      </c>
      <c r="R14" t="str">
        <f t="shared" si="1"/>
        <v>echo description,dailCompDescStorm12, &gt;&gt; .\items\materia\class0023\Storm12.dbr</v>
      </c>
      <c r="S14" t="str">
        <f t="shared" si="1"/>
        <v>echo itemText,dailCompTextStorm12, &gt;&gt; .\items\materia\class0023\Storm12.dbr</v>
      </c>
      <c r="T14" t="str">
        <f t="shared" si="1"/>
        <v>echo augmentSkillLevel1,1, &gt;&gt; .\items\materia\class0023\Storm12.dbr</v>
      </c>
      <c r="U14" t="str">
        <f t="shared" si="1"/>
        <v>echo augmentSkillName1,records/skillsstorm/stormnimbus_staticcharge.dbr,, &gt;&gt; .\items\materia\class0023\Storm12.dbr</v>
      </c>
      <c r="V14" s="5" t="s">
        <v>36</v>
      </c>
      <c r="W14" t="str">
        <f t="shared" si="8"/>
        <v>echo lootName12,DAIL/items/materia/class0023/Storm12.dbr, &gt;&gt; .\items\loottables\dailoneskill0023.dbr</v>
      </c>
      <c r="X14" t="str">
        <f t="shared" si="8"/>
        <v>echo lootWeight12,1, &gt;&gt; .\items\loottables\dailoneskill0023.dbr</v>
      </c>
      <c r="Y14" s="5" t="s">
        <v>36</v>
      </c>
      <c r="Z14" t="str">
        <f t="shared" si="9"/>
        <v xml:space="preserve"> dailCompDescStorm12=^pStorm's Gift of DAIL</v>
      </c>
      <c r="AA14" t="str">
        <f t="shared" si="17"/>
        <v>dailCompTextStorm12=^oThis feels warm to the touch, almost familiar ^w(This component fits into all Jewellery slots including the Belt And Shoulder)</v>
      </c>
      <c r="AB14" s="5" t="s">
        <v>36</v>
      </c>
      <c r="AH14">
        <f t="shared" si="19"/>
        <v>9</v>
      </c>
      <c r="AI14">
        <f t="shared" si="13"/>
        <v>35</v>
      </c>
      <c r="AJ14">
        <f t="shared" si="18"/>
        <v>1</v>
      </c>
    </row>
    <row r="15" spans="1:38" x14ac:dyDescent="0.25">
      <c r="A15" s="5" t="s">
        <v>39</v>
      </c>
      <c r="B15" s="5" t="s">
        <v>0</v>
      </c>
      <c r="C15" s="5" t="str">
        <f t="shared" si="0"/>
        <v>description,dailCompDescStorm13,</v>
      </c>
      <c r="D15" s="5" t="str">
        <f t="shared" si="2"/>
        <v>itemText,dailCompTextStorm13,</v>
      </c>
      <c r="E15" s="5" t="str">
        <f t="shared" si="14"/>
        <v>augmentSkillLevel1,1,</v>
      </c>
      <c r="F15" s="5" t="str">
        <f t="shared" si="15"/>
        <v>augmentSkillName1,records/skillsstorm/energyshield.dbr,,</v>
      </c>
      <c r="G15" s="7">
        <f t="shared" si="10"/>
        <v>13</v>
      </c>
      <c r="H15" s="8" t="str">
        <f t="shared" si="11"/>
        <v>Storm</v>
      </c>
      <c r="I15" s="3" t="s">
        <v>736</v>
      </c>
      <c r="J15" s="8" t="str">
        <f t="shared" si="12"/>
        <v>class0023</v>
      </c>
      <c r="K15" s="8" t="str">
        <f t="shared" si="12"/>
        <v>dailoneskill0023</v>
      </c>
      <c r="L15" s="5" t="str">
        <f t="shared" si="4"/>
        <v>lootName13,DAIL/items/materia/class0023/Storm13.dbr,</v>
      </c>
      <c r="M15" s="5" t="str">
        <f t="shared" si="5"/>
        <v>lootWeight13,1,</v>
      </c>
      <c r="N15" t="str">
        <f t="shared" si="6"/>
        <v>1</v>
      </c>
      <c r="O15" t="str">
        <f t="shared" si="16"/>
        <v>copy .\dail_base.dbr .\items\materia\class0023\Storm13.dbr /y</v>
      </c>
      <c r="P15" t="str">
        <f t="shared" si="7"/>
        <v>echo relicBitmap,items/craftingparts/components/component_a52_bristlyfur_b.tex, &gt;&gt; .\items\materia\class0023\Storm13.dbr</v>
      </c>
      <c r="Q15" t="str">
        <f t="shared" si="1"/>
        <v>echo itemCost,100000, &gt;&gt; .\items\materia\class0023\Storm13.dbr</v>
      </c>
      <c r="R15" t="str">
        <f t="shared" si="1"/>
        <v>echo description,dailCompDescStorm13, &gt;&gt; .\items\materia\class0023\Storm13.dbr</v>
      </c>
      <c r="S15" t="str">
        <f t="shared" si="1"/>
        <v>echo itemText,dailCompTextStorm13, &gt;&gt; .\items\materia\class0023\Storm13.dbr</v>
      </c>
      <c r="T15" t="str">
        <f t="shared" si="1"/>
        <v>echo augmentSkillLevel1,1, &gt;&gt; .\items\materia\class0023\Storm13.dbr</v>
      </c>
      <c r="U15" t="str">
        <f t="shared" si="1"/>
        <v>echo augmentSkillName1,records/skillsstorm/energyshield.dbr,, &gt;&gt; .\items\materia\class0023\Storm13.dbr</v>
      </c>
      <c r="V15" s="5" t="s">
        <v>36</v>
      </c>
      <c r="W15" t="str">
        <f t="shared" si="8"/>
        <v>echo lootName13,DAIL/items/materia/class0023/Storm13.dbr, &gt;&gt; .\items\loottables\dailoneskill0023.dbr</v>
      </c>
      <c r="X15" t="str">
        <f t="shared" si="8"/>
        <v>echo lootWeight13,1, &gt;&gt; .\items\loottables\dailoneskill0023.dbr</v>
      </c>
      <c r="Y15" s="5" t="s">
        <v>36</v>
      </c>
      <c r="Z15" t="str">
        <f t="shared" si="9"/>
        <v xml:space="preserve"> dailCompDescStorm13=^pStorm's Gift of DAIL</v>
      </c>
      <c r="AA15" t="str">
        <f t="shared" si="17"/>
        <v>dailCompTextStorm13=^oThis feels warm to the touch, almost familiar ^w(This component fits into all Jewellery slots including the Belt And Shoulder)</v>
      </c>
      <c r="AB15" s="5" t="s">
        <v>36</v>
      </c>
      <c r="AH15">
        <f t="shared" si="19"/>
        <v>10</v>
      </c>
      <c r="AI15">
        <f t="shared" si="13"/>
        <v>23</v>
      </c>
      <c r="AJ15">
        <f t="shared" si="18"/>
        <v>1</v>
      </c>
    </row>
    <row r="16" spans="1:38" x14ac:dyDescent="0.25">
      <c r="A16" s="5" t="s">
        <v>39</v>
      </c>
      <c r="B16" s="5" t="s">
        <v>0</v>
      </c>
      <c r="C16" s="5" t="str">
        <f t="shared" si="0"/>
        <v>description,dailCompDescStorm14,</v>
      </c>
      <c r="D16" s="5" t="str">
        <f t="shared" si="2"/>
        <v>itemText,dailCompTextStorm14,</v>
      </c>
      <c r="E16" s="5" t="str">
        <f t="shared" si="14"/>
        <v>augmentSkillLevel1,1,</v>
      </c>
      <c r="F16" s="5" t="str">
        <f t="shared" si="15"/>
        <v>augmentSkillName1,records/skillsstorm/energyshield_reflection.dbr,,</v>
      </c>
      <c r="G16" s="7">
        <f t="shared" si="10"/>
        <v>14</v>
      </c>
      <c r="H16" s="8" t="str">
        <f t="shared" si="11"/>
        <v>Storm</v>
      </c>
      <c r="I16" s="3" t="s">
        <v>737</v>
      </c>
      <c r="J16" s="8" t="str">
        <f t="shared" si="12"/>
        <v>class0023</v>
      </c>
      <c r="K16" s="8" t="str">
        <f t="shared" si="12"/>
        <v>dailoneskill0023</v>
      </c>
      <c r="L16" s="5" t="str">
        <f t="shared" si="4"/>
        <v>lootName14,DAIL/items/materia/class0023/Storm14.dbr,</v>
      </c>
      <c r="M16" s="5" t="str">
        <f t="shared" si="5"/>
        <v>lootWeight14,1,</v>
      </c>
      <c r="N16" t="str">
        <f t="shared" si="6"/>
        <v>1</v>
      </c>
      <c r="O16" t="str">
        <f t="shared" si="16"/>
        <v>copy .\dail_base.dbr .\items\materia\class0023\Storm14.dbr /y</v>
      </c>
      <c r="P16" t="str">
        <f t="shared" si="7"/>
        <v>echo relicBitmap,items/craftingparts/components/component_a52_bristlyfur_b.tex, &gt;&gt; .\items\materia\class0023\Storm14.dbr</v>
      </c>
      <c r="Q16" t="str">
        <f t="shared" si="1"/>
        <v>echo itemCost,100000, &gt;&gt; .\items\materia\class0023\Storm14.dbr</v>
      </c>
      <c r="R16" t="str">
        <f t="shared" si="1"/>
        <v>echo description,dailCompDescStorm14, &gt;&gt; .\items\materia\class0023\Storm14.dbr</v>
      </c>
      <c r="S16" t="str">
        <f t="shared" si="1"/>
        <v>echo itemText,dailCompTextStorm14, &gt;&gt; .\items\materia\class0023\Storm14.dbr</v>
      </c>
      <c r="T16" t="str">
        <f t="shared" si="1"/>
        <v>echo augmentSkillLevel1,1, &gt;&gt; .\items\materia\class0023\Storm14.dbr</v>
      </c>
      <c r="U16" t="str">
        <f t="shared" si="1"/>
        <v>echo augmentSkillName1,records/skillsstorm/energyshield_reflection.dbr,, &gt;&gt; .\items\materia\class0023\Storm14.dbr</v>
      </c>
      <c r="V16" s="5" t="s">
        <v>36</v>
      </c>
      <c r="W16" t="str">
        <f t="shared" si="8"/>
        <v>echo lootName14,DAIL/items/materia/class0023/Storm14.dbr, &gt;&gt; .\items\loottables\dailoneskill0023.dbr</v>
      </c>
      <c r="X16" t="str">
        <f t="shared" si="8"/>
        <v>echo lootWeight14,1, &gt;&gt; .\items\loottables\dailoneskill0023.dbr</v>
      </c>
      <c r="Y16" s="5" t="s">
        <v>36</v>
      </c>
      <c r="Z16" t="str">
        <f t="shared" si="9"/>
        <v xml:space="preserve"> dailCompDescStorm14=^pStorm's Gift of DAIL</v>
      </c>
      <c r="AA16" t="str">
        <f t="shared" si="17"/>
        <v>dailCompTextStorm14=^oThis feels warm to the touch, almost familiar ^w(This component fits into all Jewellery slots including the Belt And Shoulder)</v>
      </c>
      <c r="AB16" s="5" t="s">
        <v>36</v>
      </c>
      <c r="AH16">
        <f t="shared" si="19"/>
        <v>11</v>
      </c>
      <c r="AI16">
        <f t="shared" si="13"/>
        <v>34</v>
      </c>
      <c r="AJ16">
        <f t="shared" si="18"/>
        <v>1</v>
      </c>
    </row>
    <row r="17" spans="1:36" x14ac:dyDescent="0.25">
      <c r="A17" s="5" t="s">
        <v>39</v>
      </c>
      <c r="B17" s="5" t="s">
        <v>0</v>
      </c>
      <c r="C17" s="5" t="str">
        <f t="shared" si="0"/>
        <v>description,dailCompDescStorm15,</v>
      </c>
      <c r="D17" s="5" t="str">
        <f t="shared" si="2"/>
        <v>itemText,dailCompTextStorm15,</v>
      </c>
      <c r="E17" s="5" t="str">
        <f t="shared" si="14"/>
        <v>augmentSkillLevel1,1,</v>
      </c>
      <c r="F17" s="5" t="str">
        <f t="shared" si="15"/>
        <v>augmentSkillName1,records/skillsstorm/squall.dbr,,</v>
      </c>
      <c r="G17" s="7">
        <f t="shared" si="10"/>
        <v>15</v>
      </c>
      <c r="H17" s="8" t="str">
        <f t="shared" si="11"/>
        <v>Storm</v>
      </c>
      <c r="I17" s="3" t="s">
        <v>738</v>
      </c>
      <c r="J17" s="8" t="str">
        <f t="shared" si="12"/>
        <v>class0023</v>
      </c>
      <c r="K17" s="8" t="str">
        <f t="shared" si="12"/>
        <v>dailoneskill0023</v>
      </c>
      <c r="L17" s="5" t="str">
        <f t="shared" si="4"/>
        <v>lootName15,DAIL/items/materia/class0023/Storm15.dbr,</v>
      </c>
      <c r="M17" s="5" t="str">
        <f t="shared" si="5"/>
        <v>lootWeight15,1,</v>
      </c>
      <c r="N17" t="str">
        <f t="shared" si="6"/>
        <v>1</v>
      </c>
      <c r="O17" t="str">
        <f t="shared" si="16"/>
        <v>copy .\dail_base.dbr .\items\materia\class0023\Storm15.dbr /y</v>
      </c>
      <c r="P17" t="str">
        <f t="shared" si="7"/>
        <v>echo relicBitmap,items/craftingparts/components/component_a52_bristlyfur_b.tex, &gt;&gt; .\items\materia\class0023\Storm15.dbr</v>
      </c>
      <c r="Q17" t="str">
        <f t="shared" si="1"/>
        <v>echo itemCost,100000, &gt;&gt; .\items\materia\class0023\Storm15.dbr</v>
      </c>
      <c r="R17" t="str">
        <f t="shared" si="1"/>
        <v>echo description,dailCompDescStorm15, &gt;&gt; .\items\materia\class0023\Storm15.dbr</v>
      </c>
      <c r="S17" t="str">
        <f t="shared" si="1"/>
        <v>echo itemText,dailCompTextStorm15, &gt;&gt; .\items\materia\class0023\Storm15.dbr</v>
      </c>
      <c r="T17" t="str">
        <f t="shared" si="1"/>
        <v>echo augmentSkillLevel1,1, &gt;&gt; .\items\materia\class0023\Storm15.dbr</v>
      </c>
      <c r="U17" t="str">
        <f t="shared" si="1"/>
        <v>echo augmentSkillName1,records/skillsstorm/squall.dbr,, &gt;&gt; .\items\materia\class0023\Storm15.dbr</v>
      </c>
      <c r="V17" s="5" t="s">
        <v>36</v>
      </c>
      <c r="W17" t="str">
        <f t="shared" si="8"/>
        <v>echo lootName15,DAIL/items/materia/class0023/Storm15.dbr, &gt;&gt; .\items\loottables\dailoneskill0023.dbr</v>
      </c>
      <c r="X17" t="str">
        <f t="shared" si="8"/>
        <v>echo lootWeight15,1, &gt;&gt; .\items\loottables\dailoneskill0023.dbr</v>
      </c>
      <c r="Y17" s="5" t="s">
        <v>36</v>
      </c>
      <c r="Z17" t="str">
        <f t="shared" si="9"/>
        <v xml:space="preserve"> dailCompDescStorm15=^pStorm's Gift of DAIL</v>
      </c>
      <c r="AA17" t="str">
        <f t="shared" si="17"/>
        <v>dailCompTextStorm15=^oThis feels warm to the touch, almost familiar ^w(This component fits into all Jewellery slots including the Belt And Shoulder)</v>
      </c>
      <c r="AB17" s="5" t="s">
        <v>36</v>
      </c>
      <c r="AH17">
        <f t="shared" si="19"/>
        <v>12</v>
      </c>
      <c r="AI17">
        <f t="shared" si="13"/>
        <v>17</v>
      </c>
      <c r="AJ17">
        <f t="shared" si="18"/>
        <v>1</v>
      </c>
    </row>
    <row r="18" spans="1:36" x14ac:dyDescent="0.25">
      <c r="A18" s="5" t="s">
        <v>39</v>
      </c>
      <c r="B18" s="5" t="s">
        <v>0</v>
      </c>
      <c r="C18" s="5" t="str">
        <f t="shared" si="0"/>
        <v>description,dailCompDescStorm16,</v>
      </c>
      <c r="D18" s="5" t="str">
        <f t="shared" si="2"/>
        <v>itemText,dailCompTextStorm16,</v>
      </c>
      <c r="E18" s="5" t="str">
        <f t="shared" si="14"/>
        <v>augmentSkillLevel1,1,</v>
      </c>
      <c r="F18" s="5" t="str">
        <f t="shared" si="15"/>
        <v>augmentSkillName1,records/skillsstorm/squall_obscuredvisibility.dbr,,</v>
      </c>
      <c r="G18" s="7">
        <f t="shared" si="10"/>
        <v>16</v>
      </c>
      <c r="H18" s="8" t="str">
        <f t="shared" si="11"/>
        <v>Storm</v>
      </c>
      <c r="I18" s="3" t="s">
        <v>739</v>
      </c>
      <c r="J18" s="8" t="str">
        <f t="shared" si="12"/>
        <v>class0023</v>
      </c>
      <c r="K18" s="8" t="str">
        <f t="shared" si="12"/>
        <v>dailoneskill0023</v>
      </c>
      <c r="L18" s="5" t="str">
        <f t="shared" si="4"/>
        <v>lootName16,DAIL/items/materia/class0023/Storm16.dbr,</v>
      </c>
      <c r="M18" s="5" t="str">
        <f t="shared" si="5"/>
        <v>lootWeight16,1,</v>
      </c>
      <c r="N18" t="str">
        <f t="shared" si="6"/>
        <v>1</v>
      </c>
      <c r="O18" t="str">
        <f t="shared" si="16"/>
        <v>copy .\dail_base.dbr .\items\materia\class0023\Storm16.dbr /y</v>
      </c>
      <c r="P18" t="str">
        <f t="shared" si="7"/>
        <v>echo relicBitmap,items/craftingparts/components/component_a52_bristlyfur_b.tex, &gt;&gt; .\items\materia\class0023\Storm16.dbr</v>
      </c>
      <c r="Q18" t="str">
        <f t="shared" si="1"/>
        <v>echo itemCost,100000, &gt;&gt; .\items\materia\class0023\Storm16.dbr</v>
      </c>
      <c r="R18" t="str">
        <f t="shared" si="1"/>
        <v>echo description,dailCompDescStorm16, &gt;&gt; .\items\materia\class0023\Storm16.dbr</v>
      </c>
      <c r="S18" t="str">
        <f t="shared" si="1"/>
        <v>echo itemText,dailCompTextStorm16, &gt;&gt; .\items\materia\class0023\Storm16.dbr</v>
      </c>
      <c r="T18" t="str">
        <f t="shared" si="1"/>
        <v>echo augmentSkillLevel1,1, &gt;&gt; .\items\materia\class0023\Storm16.dbr</v>
      </c>
      <c r="U18" t="str">
        <f t="shared" si="1"/>
        <v>echo augmentSkillName1,records/skillsstorm/squall_obscuredvisibility.dbr,, &gt;&gt; .\items\materia\class0023\Storm16.dbr</v>
      </c>
      <c r="V18" s="5" t="s">
        <v>36</v>
      </c>
      <c r="W18" t="str">
        <f t="shared" si="8"/>
        <v>echo lootName16,DAIL/items/materia/class0023/Storm16.dbr, &gt;&gt; .\items\loottables\dailoneskill0023.dbr</v>
      </c>
      <c r="X18" t="str">
        <f t="shared" si="8"/>
        <v>echo lootWeight16,1, &gt;&gt; .\items\loottables\dailoneskill0023.dbr</v>
      </c>
      <c r="Y18" s="5" t="s">
        <v>36</v>
      </c>
      <c r="Z18" t="str">
        <f t="shared" si="9"/>
        <v xml:space="preserve"> dailCompDescStorm16=^pStorm's Gift of DAIL</v>
      </c>
      <c r="AA18" t="str">
        <f t="shared" si="17"/>
        <v>dailCompTextStorm16=^oThis feels warm to the touch, almost familiar ^w(This component fits into all Jewellery slots including the Belt And Shoulder)</v>
      </c>
      <c r="AB18" s="5" t="s">
        <v>36</v>
      </c>
      <c r="AH18">
        <f t="shared" si="19"/>
        <v>13</v>
      </c>
      <c r="AI18">
        <f t="shared" si="13"/>
        <v>36</v>
      </c>
      <c r="AJ18">
        <f t="shared" si="18"/>
        <v>1</v>
      </c>
    </row>
    <row r="19" spans="1:36" x14ac:dyDescent="0.25">
      <c r="A19" s="5" t="s">
        <v>39</v>
      </c>
      <c r="B19" s="5" t="s">
        <v>28</v>
      </c>
      <c r="C19" s="5" t="str">
        <f t="shared" si="0"/>
        <v>description,dailCompDescStorm17,</v>
      </c>
      <c r="D19" s="5" t="str">
        <f t="shared" si="2"/>
        <v>itemText,dailCompTextStorm17,</v>
      </c>
      <c r="E19" s="5" t="str">
        <f t="shared" si="14"/>
        <v>augmentSkillLevel1,1,</v>
      </c>
      <c r="F19" s="5" t="str">
        <f t="shared" si="15"/>
        <v>augmentSkillName1,records/skillsstorm/stormwispsummoning.dbr,,</v>
      </c>
      <c r="G19" s="7">
        <f t="shared" si="10"/>
        <v>17</v>
      </c>
      <c r="H19" s="8" t="str">
        <f t="shared" si="11"/>
        <v>Storm</v>
      </c>
      <c r="I19" s="3" t="s">
        <v>740</v>
      </c>
      <c r="J19" s="8" t="str">
        <f t="shared" si="12"/>
        <v>class0023</v>
      </c>
      <c r="K19" s="8" t="str">
        <f t="shared" si="12"/>
        <v>dailoneskill0023</v>
      </c>
      <c r="L19" s="5" t="str">
        <f t="shared" si="4"/>
        <v>lootName17,DAIL/items/materia/class0023/Storm17.dbr,</v>
      </c>
      <c r="M19" s="5" t="str">
        <f t="shared" si="5"/>
        <v>lootWeight17,1,</v>
      </c>
      <c r="N19" t="str">
        <f t="shared" si="6"/>
        <v>1</v>
      </c>
      <c r="O19" t="str">
        <f t="shared" si="16"/>
        <v>copy .\dail_base.dbr .\items\materia\class0023\Storm17.dbr /y</v>
      </c>
      <c r="P19" t="str">
        <f t="shared" si="7"/>
        <v>echo relicBitmap,items/craftingparts/components/component_a52_bristlyfur_b.tex, &gt;&gt; .\items\materia\class0023\Storm17.dbr</v>
      </c>
      <c r="Q19" t="str">
        <f t="shared" si="7"/>
        <v>echo itemCost,300000, &gt;&gt; .\items\materia\class0023\Storm17.dbr</v>
      </c>
      <c r="R19" t="str">
        <f t="shared" si="7"/>
        <v>echo description,dailCompDescStorm17, &gt;&gt; .\items\materia\class0023\Storm17.dbr</v>
      </c>
      <c r="S19" t="str">
        <f t="shared" si="7"/>
        <v>echo itemText,dailCompTextStorm17, &gt;&gt; .\items\materia\class0023\Storm17.dbr</v>
      </c>
      <c r="T19" t="str">
        <f t="shared" si="7"/>
        <v>echo augmentSkillLevel1,1, &gt;&gt; .\items\materia\class0023\Storm17.dbr</v>
      </c>
      <c r="U19" t="str">
        <f t="shared" si="7"/>
        <v>echo augmentSkillName1,records/skillsstorm/stormwispsummoning.dbr,, &gt;&gt; .\items\materia\class0023\Storm17.dbr</v>
      </c>
      <c r="V19" s="5" t="s">
        <v>36</v>
      </c>
      <c r="W19" t="str">
        <f t="shared" si="8"/>
        <v>echo lootName17,DAIL/items/materia/class0023/Storm17.dbr, &gt;&gt; .\items\loottables\dailoneskill0023.dbr</v>
      </c>
      <c r="X19" t="str">
        <f t="shared" si="8"/>
        <v>echo lootWeight17,1, &gt;&gt; .\items\loottables\dailoneskill0023.dbr</v>
      </c>
      <c r="Y19" s="5" t="s">
        <v>36</v>
      </c>
      <c r="Z19" t="str">
        <f t="shared" si="9"/>
        <v xml:space="preserve"> dailCompDescStorm17=^pStorm's Gift of DAIL</v>
      </c>
      <c r="AA19" t="str">
        <f t="shared" si="17"/>
        <v>dailCompTextStorm17=^oThis feels warm to the touch, almost familiar ^w(This component fits into all Jewellery slots including the Belt And Shoulder)</v>
      </c>
      <c r="AB19" s="5" t="s">
        <v>36</v>
      </c>
      <c r="AH19">
        <f t="shared" si="19"/>
        <v>14</v>
      </c>
      <c r="AI19">
        <f t="shared" si="13"/>
        <v>29</v>
      </c>
      <c r="AJ19">
        <f t="shared" si="18"/>
        <v>1</v>
      </c>
    </row>
    <row r="20" spans="1:36" x14ac:dyDescent="0.25">
      <c r="A20" s="5" t="s">
        <v>39</v>
      </c>
      <c r="B20" s="5" t="s">
        <v>28</v>
      </c>
      <c r="C20" s="5" t="str">
        <f t="shared" si="0"/>
        <v>description,dailCompDescStorm18,</v>
      </c>
      <c r="D20" s="5" t="str">
        <f t="shared" si="2"/>
        <v>itemText,dailCompTextStorm18,</v>
      </c>
      <c r="E20" s="5" t="str">
        <f t="shared" si="14"/>
        <v>augmentSkillLevel1,1,</v>
      </c>
      <c r="F20" s="5" t="str">
        <f t="shared" si="15"/>
        <v>augmentSkillName1,records/skillsstorm/stormwisp_petmodifier_eyeofthestorm.dbr,,</v>
      </c>
      <c r="G20" s="7">
        <f t="shared" si="10"/>
        <v>18</v>
      </c>
      <c r="H20" s="8" t="str">
        <f t="shared" si="11"/>
        <v>Storm</v>
      </c>
      <c r="I20" s="3" t="s">
        <v>741</v>
      </c>
      <c r="J20" s="8" t="str">
        <f t="shared" si="12"/>
        <v>class0023</v>
      </c>
      <c r="K20" s="8" t="str">
        <f t="shared" si="12"/>
        <v>dailoneskill0023</v>
      </c>
      <c r="L20" s="5" t="str">
        <f t="shared" si="4"/>
        <v>lootName18,DAIL/items/materia/class0023/Storm18.dbr,</v>
      </c>
      <c r="M20" s="5" t="str">
        <f t="shared" si="5"/>
        <v>lootWeight18,1,</v>
      </c>
      <c r="N20" t="str">
        <f t="shared" si="6"/>
        <v>1</v>
      </c>
      <c r="O20" t="str">
        <f t="shared" si="16"/>
        <v>copy .\dail_base.dbr .\items\materia\class0023\Storm18.dbr /y</v>
      </c>
      <c r="P20" t="str">
        <f t="shared" si="7"/>
        <v>echo relicBitmap,items/craftingparts/components/component_a52_bristlyfur_b.tex, &gt;&gt; .\items\materia\class0023\Storm18.dbr</v>
      </c>
      <c r="Q20" t="str">
        <f t="shared" si="7"/>
        <v>echo itemCost,300000, &gt;&gt; .\items\materia\class0023\Storm18.dbr</v>
      </c>
      <c r="R20" t="str">
        <f t="shared" si="7"/>
        <v>echo description,dailCompDescStorm18, &gt;&gt; .\items\materia\class0023\Storm18.dbr</v>
      </c>
      <c r="S20" t="str">
        <f t="shared" si="7"/>
        <v>echo itemText,dailCompTextStorm18, &gt;&gt; .\items\materia\class0023\Storm18.dbr</v>
      </c>
      <c r="T20" t="str">
        <f t="shared" si="7"/>
        <v>echo augmentSkillLevel1,1, &gt;&gt; .\items\materia\class0023\Storm18.dbr</v>
      </c>
      <c r="U20" t="str">
        <f t="shared" si="7"/>
        <v>echo augmentSkillName1,records/skillsstorm/stormwisp_petmodifier_eyeofthestorm.dbr,, &gt;&gt; .\items\materia\class0023\Storm18.dbr</v>
      </c>
      <c r="V20" s="5" t="s">
        <v>36</v>
      </c>
      <c r="W20" t="str">
        <f t="shared" si="8"/>
        <v>echo lootName18,DAIL/items/materia/class0023/Storm18.dbr, &gt;&gt; .\items\loottables\dailoneskill0023.dbr</v>
      </c>
      <c r="X20" t="str">
        <f t="shared" si="8"/>
        <v>echo lootWeight18,1, &gt;&gt; .\items\loottables\dailoneskill0023.dbr</v>
      </c>
      <c r="Y20" s="5" t="s">
        <v>36</v>
      </c>
      <c r="Z20" t="str">
        <f t="shared" si="9"/>
        <v xml:space="preserve"> dailCompDescStorm18=^pStorm's Gift of DAIL</v>
      </c>
      <c r="AA20" t="str">
        <f t="shared" si="17"/>
        <v>dailCompTextStorm18=^oThis feels warm to the touch, almost familiar ^w(This component fits into all Jewellery slots including the Belt And Shoulder)</v>
      </c>
      <c r="AB20" s="5" t="s">
        <v>36</v>
      </c>
      <c r="AH20">
        <f t="shared" si="19"/>
        <v>15</v>
      </c>
      <c r="AI20">
        <f t="shared" si="13"/>
        <v>46</v>
      </c>
      <c r="AJ20">
        <f t="shared" si="18"/>
        <v>1</v>
      </c>
    </row>
    <row r="21" spans="1:36" x14ac:dyDescent="0.25">
      <c r="A21" s="5" t="s">
        <v>39</v>
      </c>
      <c r="B21" s="5" t="s">
        <v>28</v>
      </c>
      <c r="C21" s="5" t="str">
        <f t="shared" si="0"/>
        <v>description,dailCompDescStorm19,</v>
      </c>
      <c r="D21" s="5" t="str">
        <f t="shared" si="2"/>
        <v>itemText,dailCompTextStorm19,</v>
      </c>
      <c r="E21" s="5" t="str">
        <f t="shared" si="14"/>
        <v>augmentSkillLevel1,1,</v>
      </c>
      <c r="F21" s="5" t="str">
        <f t="shared" si="15"/>
        <v>augmentSkillName1,records/skillsstorm/spellbreaker.dbr,,</v>
      </c>
      <c r="G21" s="7">
        <f t="shared" si="10"/>
        <v>19</v>
      </c>
      <c r="H21" s="8" t="str">
        <f t="shared" si="11"/>
        <v>Storm</v>
      </c>
      <c r="I21" s="3" t="s">
        <v>742</v>
      </c>
      <c r="J21" s="8" t="str">
        <f t="shared" ref="J21:K36" si="20">J20</f>
        <v>class0023</v>
      </c>
      <c r="K21" s="8" t="str">
        <f t="shared" si="20"/>
        <v>dailoneskill0023</v>
      </c>
      <c r="L21" s="5" t="str">
        <f t="shared" si="4"/>
        <v>lootName19,DAIL/items/materia/class0023/Storm19.dbr,</v>
      </c>
      <c r="M21" s="5" t="str">
        <f t="shared" si="5"/>
        <v>lootWeight19,1,</v>
      </c>
      <c r="N21" t="str">
        <f t="shared" si="6"/>
        <v>1</v>
      </c>
      <c r="O21" t="str">
        <f t="shared" si="16"/>
        <v>copy .\dail_base.dbr .\items\materia\class0023\Storm19.dbr /y</v>
      </c>
      <c r="P21" t="str">
        <f t="shared" si="7"/>
        <v>echo relicBitmap,items/craftingparts/components/component_a52_bristlyfur_b.tex, &gt;&gt; .\items\materia\class0023\Storm19.dbr</v>
      </c>
      <c r="Q21" t="str">
        <f t="shared" si="7"/>
        <v>echo itemCost,300000, &gt;&gt; .\items\materia\class0023\Storm19.dbr</v>
      </c>
      <c r="R21" t="str">
        <f t="shared" si="7"/>
        <v>echo description,dailCompDescStorm19, &gt;&gt; .\items\materia\class0023\Storm19.dbr</v>
      </c>
      <c r="S21" t="str">
        <f t="shared" si="7"/>
        <v>echo itemText,dailCompTextStorm19, &gt;&gt; .\items\materia\class0023\Storm19.dbr</v>
      </c>
      <c r="T21" t="str">
        <f t="shared" si="7"/>
        <v>echo augmentSkillLevel1,1, &gt;&gt; .\items\materia\class0023\Storm19.dbr</v>
      </c>
      <c r="U21" t="str">
        <f t="shared" si="7"/>
        <v>echo augmentSkillName1,records/skillsstorm/spellbreaker.dbr,, &gt;&gt; .\items\materia\class0023\Storm19.dbr</v>
      </c>
      <c r="V21" s="5" t="s">
        <v>36</v>
      </c>
      <c r="W21" t="str">
        <f t="shared" si="8"/>
        <v>echo lootName19,DAIL/items/materia/class0023/Storm19.dbr, &gt;&gt; .\items\loottables\dailoneskill0023.dbr</v>
      </c>
      <c r="X21" t="str">
        <f t="shared" si="8"/>
        <v>echo lootWeight19,1, &gt;&gt; .\items\loottables\dailoneskill0023.dbr</v>
      </c>
      <c r="Y21" s="5" t="s">
        <v>36</v>
      </c>
      <c r="Z21" t="str">
        <f t="shared" si="9"/>
        <v xml:space="preserve"> dailCompDescStorm19=^pStorm's Gift of DAIL</v>
      </c>
      <c r="AA21" t="str">
        <f t="shared" si="17"/>
        <v>dailCompTextStorm19=^oThis feels warm to the touch, almost familiar ^w(This component fits into all Jewellery slots including the Belt And Shoulder)</v>
      </c>
      <c r="AB21" s="5" t="s">
        <v>36</v>
      </c>
      <c r="AH21">
        <f t="shared" si="19"/>
        <v>16</v>
      </c>
      <c r="AI21">
        <f t="shared" si="13"/>
        <v>23</v>
      </c>
      <c r="AJ21">
        <f t="shared" si="18"/>
        <v>1</v>
      </c>
    </row>
    <row r="22" spans="1:36" x14ac:dyDescent="0.25">
      <c r="A22" s="5" t="s">
        <v>39</v>
      </c>
      <c r="B22" s="5" t="s">
        <v>28</v>
      </c>
      <c r="C22" s="5" t="str">
        <f t="shared" si="0"/>
        <v>description,dailCompDescStorm20,</v>
      </c>
      <c r="D22" s="5" t="str">
        <f t="shared" si="2"/>
        <v>itemText,dailCompTextStorm20,</v>
      </c>
      <c r="E22" s="5" t="str">
        <f t="shared" si="14"/>
        <v>augmentSkillLevel1,1,</v>
      </c>
      <c r="F22" s="5" t="str">
        <f t="shared" si="15"/>
        <v>augmentSkillName1,records/skillsstorm/spellbreaker_spellshock.dbr,,</v>
      </c>
      <c r="G22" s="7">
        <f t="shared" si="10"/>
        <v>20</v>
      </c>
      <c r="H22" s="8" t="str">
        <f t="shared" si="11"/>
        <v>Storm</v>
      </c>
      <c r="I22" s="3" t="s">
        <v>743</v>
      </c>
      <c r="J22" s="8" t="str">
        <f t="shared" si="20"/>
        <v>class0023</v>
      </c>
      <c r="K22" s="8" t="str">
        <f t="shared" si="20"/>
        <v>dailoneskill0023</v>
      </c>
      <c r="L22" s="5" t="str">
        <f t="shared" si="4"/>
        <v>lootName20,DAIL/items/materia/class0023/Storm20.dbr,</v>
      </c>
      <c r="M22" s="5" t="str">
        <f t="shared" si="5"/>
        <v>lootWeight20,1,</v>
      </c>
      <c r="N22" t="str">
        <f t="shared" si="6"/>
        <v>1</v>
      </c>
      <c r="O22" t="str">
        <f t="shared" si="16"/>
        <v>copy .\dail_base.dbr .\items\materia\class0023\Storm20.dbr /y</v>
      </c>
      <c r="P22" t="str">
        <f t="shared" si="7"/>
        <v>echo relicBitmap,items/craftingparts/components/component_a52_bristlyfur_b.tex, &gt;&gt; .\items\materia\class0023\Storm20.dbr</v>
      </c>
      <c r="Q22" t="str">
        <f t="shared" si="7"/>
        <v>echo itemCost,300000, &gt;&gt; .\items\materia\class0023\Storm20.dbr</v>
      </c>
      <c r="R22" t="str">
        <f t="shared" si="7"/>
        <v>echo description,dailCompDescStorm20, &gt;&gt; .\items\materia\class0023\Storm20.dbr</v>
      </c>
      <c r="S22" t="str">
        <f t="shared" si="7"/>
        <v>echo itemText,dailCompTextStorm20, &gt;&gt; .\items\materia\class0023\Storm20.dbr</v>
      </c>
      <c r="T22" t="str">
        <f t="shared" si="7"/>
        <v>echo augmentSkillLevel1,1, &gt;&gt; .\items\materia\class0023\Storm20.dbr</v>
      </c>
      <c r="U22" t="str">
        <f t="shared" si="7"/>
        <v>echo augmentSkillName1,records/skillsstorm/spellbreaker_spellshock.dbr,, &gt;&gt; .\items\materia\class0023\Storm20.dbr</v>
      </c>
      <c r="V22" s="5" t="s">
        <v>36</v>
      </c>
      <c r="W22" t="str">
        <f t="shared" si="8"/>
        <v>echo lootName20,DAIL/items/materia/class0023/Storm20.dbr, &gt;&gt; .\items\loottables\dailoneskill0023.dbr</v>
      </c>
      <c r="X22" t="str">
        <f t="shared" si="8"/>
        <v>echo lootWeight20,1, &gt;&gt; .\items\loottables\dailoneskill0023.dbr</v>
      </c>
      <c r="Y22" s="5" t="s">
        <v>36</v>
      </c>
      <c r="Z22" t="str">
        <f t="shared" si="9"/>
        <v xml:space="preserve"> dailCompDescStorm20=^pStorm's Gift of DAIL</v>
      </c>
      <c r="AA22" t="str">
        <f t="shared" si="17"/>
        <v>dailCompTextStorm20=^oThis feels warm to the touch, almost familiar ^w(This component fits into all Jewellery slots including the Belt And Shoulder)</v>
      </c>
      <c r="AB22" s="5" t="s">
        <v>36</v>
      </c>
      <c r="AH22">
        <f t="shared" si="19"/>
        <v>17</v>
      </c>
      <c r="AI22">
        <f t="shared" si="13"/>
        <v>34</v>
      </c>
      <c r="AJ22">
        <f t="shared" si="18"/>
        <v>1</v>
      </c>
    </row>
    <row r="23" spans="1:36" x14ac:dyDescent="0.25">
      <c r="A23" s="5" t="s">
        <v>39</v>
      </c>
      <c r="B23" s="5" t="s">
        <v>28</v>
      </c>
      <c r="C23" s="5" t="str">
        <f t="shared" si="0"/>
        <v>description,dailCompDescStorm21,</v>
      </c>
      <c r="D23" s="5" t="str">
        <f t="shared" si="2"/>
        <v>itemText,dailCompTextStorm21,</v>
      </c>
      <c r="E23" s="5" t="str">
        <f t="shared" si="14"/>
        <v>augmentSkillLevel1,1,</v>
      </c>
      <c r="F23" s="5" t="str">
        <f t="shared" si="15"/>
        <v>augmentSkillName1,records/skillsstorm/stormsurge.dbr,,</v>
      </c>
      <c r="G23" s="7">
        <f t="shared" si="10"/>
        <v>21</v>
      </c>
      <c r="H23" s="8" t="str">
        <f t="shared" si="11"/>
        <v>Storm</v>
      </c>
      <c r="I23" s="3" t="s">
        <v>744</v>
      </c>
      <c r="J23" s="8" t="str">
        <f t="shared" si="20"/>
        <v>class0023</v>
      </c>
      <c r="K23" s="8" t="str">
        <f t="shared" si="20"/>
        <v>dailoneskill0023</v>
      </c>
      <c r="L23" s="5" t="str">
        <f t="shared" si="4"/>
        <v>lootName21,DAIL/items/materia/class0023/Storm21.dbr,</v>
      </c>
      <c r="M23" s="5" t="str">
        <f t="shared" si="5"/>
        <v>lootWeight21,1,</v>
      </c>
      <c r="N23" t="str">
        <f t="shared" si="6"/>
        <v>1</v>
      </c>
      <c r="O23" t="str">
        <f t="shared" si="16"/>
        <v>copy .\dail_base.dbr .\items\materia\class0023\Storm21.dbr /y</v>
      </c>
      <c r="P23" t="str">
        <f t="shared" si="7"/>
        <v>echo relicBitmap,items/craftingparts/components/component_a52_bristlyfur_b.tex, &gt;&gt; .\items\materia\class0023\Storm21.dbr</v>
      </c>
      <c r="Q23" t="str">
        <f t="shared" si="7"/>
        <v>echo itemCost,300000, &gt;&gt; .\items\materia\class0023\Storm21.dbr</v>
      </c>
      <c r="R23" t="str">
        <f t="shared" si="7"/>
        <v>echo description,dailCompDescStorm21, &gt;&gt; .\items\materia\class0023\Storm21.dbr</v>
      </c>
      <c r="S23" t="str">
        <f t="shared" si="7"/>
        <v>echo itemText,dailCompTextStorm21, &gt;&gt; .\items\materia\class0023\Storm21.dbr</v>
      </c>
      <c r="T23" t="str">
        <f t="shared" si="7"/>
        <v>echo augmentSkillLevel1,1, &gt;&gt; .\items\materia\class0023\Storm21.dbr</v>
      </c>
      <c r="U23" t="str">
        <f t="shared" si="7"/>
        <v>echo augmentSkillName1,records/skillsstorm/stormsurge.dbr,, &gt;&gt; .\items\materia\class0023\Storm21.dbr</v>
      </c>
      <c r="V23" s="5" t="s">
        <v>36</v>
      </c>
      <c r="W23" t="str">
        <f t="shared" si="8"/>
        <v>echo lootName21,DAIL/items/materia/class0023/Storm21.dbr, &gt;&gt; .\items\loottables\dailoneskill0023.dbr</v>
      </c>
      <c r="X23" t="str">
        <f t="shared" si="8"/>
        <v>echo lootWeight21,1, &gt;&gt; .\items\loottables\dailoneskill0023.dbr</v>
      </c>
      <c r="Y23" s="5" t="s">
        <v>36</v>
      </c>
      <c r="Z23" t="str">
        <f t="shared" si="9"/>
        <v xml:space="preserve"> dailCompDescStorm21=^pStorm's Gift of DAIL</v>
      </c>
      <c r="AA23" t="str">
        <f t="shared" si="17"/>
        <v>dailCompTextStorm21=^oThis feels warm to the touch, almost familiar ^w(This component fits into all Jewellery slots including the Belt And Shoulder)</v>
      </c>
      <c r="AB23" s="5" t="s">
        <v>36</v>
      </c>
      <c r="AH23">
        <f t="shared" si="19"/>
        <v>18</v>
      </c>
      <c r="AI23">
        <f t="shared" si="13"/>
        <v>21</v>
      </c>
      <c r="AJ23">
        <f t="shared" si="18"/>
        <v>1</v>
      </c>
    </row>
    <row r="24" spans="1:36" x14ac:dyDescent="0.25">
      <c r="A24" s="5" t="s">
        <v>39</v>
      </c>
      <c r="B24" s="5" t="s">
        <v>28</v>
      </c>
      <c r="C24" s="5" t="str">
        <f t="shared" si="0"/>
        <v>description,dailCompDescStorm22,</v>
      </c>
      <c r="D24" s="5" t="str">
        <f t="shared" si="2"/>
        <v>itemText,dailCompTextStorm22,</v>
      </c>
      <c r="E24" s="5" t="str">
        <f t="shared" si="14"/>
        <v>augmentSkillLevel1,1,</v>
      </c>
      <c r="F24" s="5" t="str">
        <f t="shared" si="15"/>
        <v>augmentSkillName1,records/skillsstorm/thunderball.dbr,,</v>
      </c>
      <c r="G24" s="7">
        <f t="shared" si="10"/>
        <v>22</v>
      </c>
      <c r="H24" s="8" t="str">
        <f t="shared" si="11"/>
        <v>Storm</v>
      </c>
      <c r="I24" s="3" t="s">
        <v>745</v>
      </c>
      <c r="J24" s="8" t="str">
        <f t="shared" si="20"/>
        <v>class0023</v>
      </c>
      <c r="K24" s="8" t="str">
        <f t="shared" si="20"/>
        <v>dailoneskill0023</v>
      </c>
      <c r="L24" s="5" t="str">
        <f t="shared" si="4"/>
        <v>lootName22,DAIL/items/materia/class0023/Storm22.dbr,</v>
      </c>
      <c r="M24" s="5" t="str">
        <f t="shared" si="5"/>
        <v>lootWeight22,1,</v>
      </c>
      <c r="N24" t="str">
        <f t="shared" si="6"/>
        <v>1</v>
      </c>
      <c r="O24" t="str">
        <f t="shared" si="16"/>
        <v>copy .\dail_base.dbr .\items\materia\class0023\Storm22.dbr /y</v>
      </c>
      <c r="P24" t="str">
        <f t="shared" si="7"/>
        <v>echo relicBitmap,items/craftingparts/components/component_a52_bristlyfur_b.tex, &gt;&gt; .\items\materia\class0023\Storm22.dbr</v>
      </c>
      <c r="Q24" t="str">
        <f t="shared" si="7"/>
        <v>echo itemCost,300000, &gt;&gt; .\items\materia\class0023\Storm22.dbr</v>
      </c>
      <c r="R24" t="str">
        <f t="shared" si="7"/>
        <v>echo description,dailCompDescStorm22, &gt;&gt; .\items\materia\class0023\Storm22.dbr</v>
      </c>
      <c r="S24" t="str">
        <f t="shared" si="7"/>
        <v>echo itemText,dailCompTextStorm22, &gt;&gt; .\items\materia\class0023\Storm22.dbr</v>
      </c>
      <c r="T24" t="str">
        <f t="shared" si="7"/>
        <v>echo augmentSkillLevel1,1, &gt;&gt; .\items\materia\class0023\Storm22.dbr</v>
      </c>
      <c r="U24" t="str">
        <f t="shared" si="7"/>
        <v>echo augmentSkillName1,records/skillsstorm/thunderball.dbr,, &gt;&gt; .\items\materia\class0023\Storm22.dbr</v>
      </c>
      <c r="V24" s="5" t="s">
        <v>36</v>
      </c>
      <c r="W24" t="str">
        <f t="shared" si="8"/>
        <v>echo lootName22,DAIL/items/materia/class0023/Storm22.dbr, &gt;&gt; .\items\loottables\dailoneskill0023.dbr</v>
      </c>
      <c r="X24" t="str">
        <f t="shared" si="8"/>
        <v>echo lootWeight22,1, &gt;&gt; .\items\loottables\dailoneskill0023.dbr</v>
      </c>
      <c r="Y24" s="5" t="s">
        <v>36</v>
      </c>
      <c r="Z24" t="str">
        <f t="shared" si="9"/>
        <v xml:space="preserve"> dailCompDescStorm22=^pStorm's Gift of DAIL</v>
      </c>
      <c r="AA24" t="str">
        <f t="shared" si="17"/>
        <v>dailCompTextStorm22=^oThis feels warm to the touch, almost familiar ^w(This component fits into all Jewellery slots including the Belt And Shoulder)</v>
      </c>
      <c r="AB24" s="5" t="s">
        <v>36</v>
      </c>
      <c r="AH24">
        <f t="shared" si="19"/>
        <v>19</v>
      </c>
      <c r="AI24">
        <f t="shared" si="13"/>
        <v>22</v>
      </c>
      <c r="AJ24">
        <f t="shared" si="18"/>
        <v>1</v>
      </c>
    </row>
    <row r="25" spans="1:36" x14ac:dyDescent="0.25">
      <c r="A25" s="5" t="s">
        <v>39</v>
      </c>
      <c r="B25" s="5" t="s">
        <v>28</v>
      </c>
      <c r="C25" s="5" t="str">
        <f t="shared" si="0"/>
        <v>description,dailCompDescStorm23,</v>
      </c>
      <c r="D25" s="5" t="str">
        <f t="shared" si="2"/>
        <v>itemText,dailCompTextStorm23,</v>
      </c>
      <c r="E25" s="5" t="str">
        <f t="shared" si="14"/>
        <v>augmentSkillLevel1,3,</v>
      </c>
      <c r="F25" s="5" t="str">
        <f t="shared" si="15"/>
        <v>augmentSkillName1,records/skillsstorm/thunderball_concussiveblast.dbr,,</v>
      </c>
      <c r="G25" s="7">
        <f t="shared" si="10"/>
        <v>23</v>
      </c>
      <c r="H25" s="8" t="str">
        <f t="shared" si="11"/>
        <v>Storm</v>
      </c>
      <c r="I25" s="3" t="s">
        <v>746</v>
      </c>
      <c r="J25" s="8" t="str">
        <f t="shared" si="20"/>
        <v>class0023</v>
      </c>
      <c r="K25" s="8" t="str">
        <f t="shared" si="20"/>
        <v>dailoneskill0023</v>
      </c>
      <c r="L25" s="5" t="str">
        <f t="shared" si="4"/>
        <v>lootName23,DAIL/items/materia/class0023/Storm23.dbr,</v>
      </c>
      <c r="M25" s="5" t="str">
        <f t="shared" si="5"/>
        <v>lootWeight23,1,</v>
      </c>
      <c r="N25" t="str">
        <f t="shared" si="6"/>
        <v>3</v>
      </c>
      <c r="O25" t="str">
        <f t="shared" si="16"/>
        <v>copy .\dail_base3.dbr .\items\materia\class0023\Storm23.dbr /y</v>
      </c>
      <c r="P25" t="str">
        <f t="shared" si="7"/>
        <v>echo relicBitmap,items/craftingparts/components/component_a52_bristlyfur_b.tex, &gt;&gt; .\items\materia\class0023\Storm23.dbr</v>
      </c>
      <c r="Q25" t="str">
        <f t="shared" si="7"/>
        <v>echo itemCost,300000, &gt;&gt; .\items\materia\class0023\Storm23.dbr</v>
      </c>
      <c r="R25" t="str">
        <f t="shared" si="7"/>
        <v>echo description,dailCompDescStorm23, &gt;&gt; .\items\materia\class0023\Storm23.dbr</v>
      </c>
      <c r="S25" t="str">
        <f t="shared" si="7"/>
        <v>echo itemText,dailCompTextStorm23, &gt;&gt; .\items\materia\class0023\Storm23.dbr</v>
      </c>
      <c r="T25" t="str">
        <f t="shared" si="7"/>
        <v>echo augmentSkillLevel1,3, &gt;&gt; .\items\materia\class0023\Storm23.dbr</v>
      </c>
      <c r="U25" t="str">
        <f t="shared" si="7"/>
        <v>echo augmentSkillName1,records/skillsstorm/thunderball_concussiveblast.dbr,, &gt;&gt; .\items\materia\class0023\Storm23.dbr</v>
      </c>
      <c r="V25" s="5" t="s">
        <v>36</v>
      </c>
      <c r="W25" t="str">
        <f t="shared" si="8"/>
        <v>echo lootName23,DAIL/items/materia/class0023/Storm23.dbr, &gt;&gt; .\items\loottables\dailoneskill0023.dbr</v>
      </c>
      <c r="X25" t="str">
        <f t="shared" si="8"/>
        <v>echo lootWeight23,1, &gt;&gt; .\items\loottables\dailoneskill0023.dbr</v>
      </c>
      <c r="Y25" s="5" t="s">
        <v>36</v>
      </c>
      <c r="Z25" t="str">
        <f t="shared" si="9"/>
        <v xml:space="preserve"> dailCompDescStorm23=^pStorm's Gift of DAIL</v>
      </c>
      <c r="AA25" t="str">
        <f t="shared" si="17"/>
        <v>dailCompTextStorm23=^oThis feels warm to the touch, almost familiar ^w(This component only fits into the Medal Slot)</v>
      </c>
      <c r="AB25" s="5" t="s">
        <v>36</v>
      </c>
      <c r="AH25">
        <f t="shared" si="19"/>
        <v>20</v>
      </c>
      <c r="AI25">
        <f t="shared" si="13"/>
        <v>38</v>
      </c>
      <c r="AJ25">
        <f t="shared" si="18"/>
        <v>3</v>
      </c>
    </row>
    <row r="26" spans="1:36" x14ac:dyDescent="0.25">
      <c r="A26" s="5" t="s">
        <v>39</v>
      </c>
      <c r="B26" s="5" t="s">
        <v>28</v>
      </c>
      <c r="C26" s="5" t="str">
        <f t="shared" si="0"/>
        <v>description,dailCompDescStorm24,</v>
      </c>
      <c r="D26" s="5" t="str">
        <f t="shared" si="2"/>
        <v>itemText,dailCompTextStorm24,</v>
      </c>
      <c r="E26" s="5" t="str">
        <f t="shared" si="14"/>
        <v>augmentSkillLevel1,3,</v>
      </c>
      <c r="F26" s="5" t="str">
        <f t="shared" si="15"/>
        <v>augmentSkillName1,records/skillsstorm/iceshard.dbr,,</v>
      </c>
      <c r="G26" s="7">
        <f t="shared" si="10"/>
        <v>24</v>
      </c>
      <c r="H26" s="8" t="str">
        <f t="shared" si="11"/>
        <v>Storm</v>
      </c>
      <c r="I26" s="3" t="s">
        <v>727</v>
      </c>
      <c r="J26" s="8" t="str">
        <f t="shared" si="20"/>
        <v>class0023</v>
      </c>
      <c r="K26" s="8" t="str">
        <f t="shared" si="20"/>
        <v>dailoneskill0023</v>
      </c>
      <c r="L26" s="5" t="str">
        <f t="shared" si="4"/>
        <v>lootName24,DAIL/items/materia/class0023/Storm24.dbr,</v>
      </c>
      <c r="M26" s="5" t="str">
        <f t="shared" si="5"/>
        <v>lootWeight24,1,</v>
      </c>
      <c r="N26" t="str">
        <f t="shared" si="6"/>
        <v>3</v>
      </c>
      <c r="O26" t="str">
        <f t="shared" si="16"/>
        <v>copy .\dail_base3.dbr .\items\materia\class0023\Storm24.dbr /y</v>
      </c>
      <c r="P26" t="str">
        <f t="shared" si="7"/>
        <v>echo relicBitmap,items/craftingparts/components/component_a52_bristlyfur_b.tex, &gt;&gt; .\items\materia\class0023\Storm24.dbr</v>
      </c>
      <c r="Q26" t="str">
        <f t="shared" si="7"/>
        <v>echo itemCost,300000, &gt;&gt; .\items\materia\class0023\Storm24.dbr</v>
      </c>
      <c r="R26" t="str">
        <f t="shared" si="7"/>
        <v>echo description,dailCompDescStorm24, &gt;&gt; .\items\materia\class0023\Storm24.dbr</v>
      </c>
      <c r="S26" t="str">
        <f t="shared" si="7"/>
        <v>echo itemText,dailCompTextStorm24, &gt;&gt; .\items\materia\class0023\Storm24.dbr</v>
      </c>
      <c r="T26" t="str">
        <f t="shared" si="7"/>
        <v>echo augmentSkillLevel1,3, &gt;&gt; .\items\materia\class0023\Storm24.dbr</v>
      </c>
      <c r="U26" t="str">
        <f t="shared" si="7"/>
        <v>echo augmentSkillName1,records/skillsstorm/iceshard.dbr,, &gt;&gt; .\items\materia\class0023\Storm24.dbr</v>
      </c>
      <c r="V26" s="5" t="s">
        <v>36</v>
      </c>
      <c r="W26" t="str">
        <f t="shared" si="8"/>
        <v>echo lootName24,DAIL/items/materia/class0023/Storm24.dbr, &gt;&gt; .\items\loottables\dailoneskill0023.dbr</v>
      </c>
      <c r="X26" t="str">
        <f t="shared" si="8"/>
        <v>echo lootWeight24,1, &gt;&gt; .\items\loottables\dailoneskill0023.dbr</v>
      </c>
      <c r="Y26" s="5" t="s">
        <v>36</v>
      </c>
      <c r="Z26" t="str">
        <f t="shared" si="9"/>
        <v xml:space="preserve"> dailCompDescStorm24=^pStorm's Gift of DAIL</v>
      </c>
      <c r="AA26" t="str">
        <f t="shared" si="17"/>
        <v>dailCompTextStorm24=^oThis feels warm to the touch, almost familiar ^w(This component only fits into the Medal Slot)</v>
      </c>
      <c r="AB26" s="5" t="s">
        <v>36</v>
      </c>
      <c r="AH26">
        <f t="shared" si="19"/>
        <v>21</v>
      </c>
      <c r="AI26">
        <f t="shared" si="13"/>
        <v>19</v>
      </c>
      <c r="AJ26">
        <f t="shared" si="18"/>
        <v>3</v>
      </c>
    </row>
    <row r="27" spans="1:36" x14ac:dyDescent="0.25">
      <c r="A27" s="5" t="s">
        <v>39</v>
      </c>
      <c r="B27" s="5" t="s">
        <v>28</v>
      </c>
      <c r="C27" s="5" t="str">
        <f t="shared" si="0"/>
        <v>description,dailCompDescStorm25,</v>
      </c>
      <c r="D27" s="5" t="str">
        <f t="shared" si="2"/>
        <v>itemText,dailCompTextStorm25,</v>
      </c>
      <c r="E27" s="5" t="str">
        <f t="shared" si="14"/>
        <v>augmentSkillLevel1,3,</v>
      </c>
      <c r="F27" s="5" t="str">
        <f t="shared" si="15"/>
        <v>augmentSkillName1,records/skillsstorm/iceshard_velocity.dbr,,</v>
      </c>
      <c r="G27" s="7">
        <f t="shared" si="10"/>
        <v>25</v>
      </c>
      <c r="H27" s="8" t="str">
        <f t="shared" si="11"/>
        <v>Storm</v>
      </c>
      <c r="I27" s="3" t="s">
        <v>728</v>
      </c>
      <c r="J27" s="8" t="str">
        <f t="shared" si="20"/>
        <v>class0023</v>
      </c>
      <c r="K27" s="8" t="str">
        <f t="shared" si="20"/>
        <v>dailoneskill0023</v>
      </c>
      <c r="L27" s="5" t="str">
        <f t="shared" si="4"/>
        <v>lootName25,DAIL/items/materia/class0023/Storm25.dbr,</v>
      </c>
      <c r="M27" s="5" t="str">
        <f t="shared" si="5"/>
        <v>lootWeight25,1,</v>
      </c>
      <c r="N27" t="str">
        <f t="shared" si="6"/>
        <v>3</v>
      </c>
      <c r="O27" t="str">
        <f t="shared" si="16"/>
        <v>copy .\dail_base3.dbr .\items\materia\class0023\Storm25.dbr /y</v>
      </c>
      <c r="P27" t="str">
        <f t="shared" si="7"/>
        <v>echo relicBitmap,items/craftingparts/components/component_a52_bristlyfur_b.tex, &gt;&gt; .\items\materia\class0023\Storm25.dbr</v>
      </c>
      <c r="Q27" t="str">
        <f t="shared" si="7"/>
        <v>echo itemCost,300000, &gt;&gt; .\items\materia\class0023\Storm25.dbr</v>
      </c>
      <c r="R27" t="str">
        <f t="shared" si="7"/>
        <v>echo description,dailCompDescStorm25, &gt;&gt; .\items\materia\class0023\Storm25.dbr</v>
      </c>
      <c r="S27" t="str">
        <f t="shared" si="7"/>
        <v>echo itemText,dailCompTextStorm25, &gt;&gt; .\items\materia\class0023\Storm25.dbr</v>
      </c>
      <c r="T27" t="str">
        <f t="shared" si="7"/>
        <v>echo augmentSkillLevel1,3, &gt;&gt; .\items\materia\class0023\Storm25.dbr</v>
      </c>
      <c r="U27" t="str">
        <f t="shared" si="7"/>
        <v>echo augmentSkillName1,records/skillsstorm/iceshard_velocity.dbr,, &gt;&gt; .\items\materia\class0023\Storm25.dbr</v>
      </c>
      <c r="V27" s="5" t="s">
        <v>36</v>
      </c>
      <c r="W27" t="str">
        <f t="shared" si="8"/>
        <v>echo lootName25,DAIL/items/materia/class0023/Storm25.dbr, &gt;&gt; .\items\loottables\dailoneskill0023.dbr</v>
      </c>
      <c r="X27" t="str">
        <f t="shared" si="8"/>
        <v>echo lootWeight25,1, &gt;&gt; .\items\loottables\dailoneskill0023.dbr</v>
      </c>
      <c r="Y27" s="5" t="s">
        <v>36</v>
      </c>
      <c r="Z27" t="str">
        <f t="shared" si="9"/>
        <v xml:space="preserve"> dailCompDescStorm25=^pStorm's Gift of DAIL</v>
      </c>
      <c r="AA27" t="str">
        <f t="shared" si="17"/>
        <v>dailCompTextStorm25=^oThis feels warm to the touch, almost familiar ^w(This component only fits into the Medal Slot)</v>
      </c>
      <c r="AB27" s="5" t="s">
        <v>36</v>
      </c>
      <c r="AH27">
        <f t="shared" si="19"/>
        <v>22</v>
      </c>
      <c r="AI27">
        <f t="shared" si="13"/>
        <v>28</v>
      </c>
      <c r="AJ27">
        <f t="shared" si="18"/>
        <v>3</v>
      </c>
    </row>
    <row r="28" spans="1:36" x14ac:dyDescent="0.25">
      <c r="A28" s="5" t="s">
        <v>39</v>
      </c>
      <c r="B28" s="5" t="s">
        <v>28</v>
      </c>
      <c r="C28" s="5" t="str">
        <f t="shared" si="0"/>
        <v>description,dailCompDescStorm26,</v>
      </c>
      <c r="D28" s="5" t="str">
        <f t="shared" si="2"/>
        <v>itemText,dailCompTextStorm26,</v>
      </c>
      <c r="E28" s="5" t="str">
        <f t="shared" si="14"/>
        <v>augmentSkillLevel1,3,</v>
      </c>
      <c r="F28" s="5" t="str">
        <f t="shared" si="15"/>
        <v>augmentSkillName1,records/skillsstorm/iceshard_torrent.dbr,,</v>
      </c>
      <c r="G28" s="7">
        <f t="shared" si="10"/>
        <v>26</v>
      </c>
      <c r="H28" s="8" t="str">
        <f t="shared" si="11"/>
        <v>Storm</v>
      </c>
      <c r="I28" s="3" t="s">
        <v>729</v>
      </c>
      <c r="J28" s="8" t="str">
        <f t="shared" si="20"/>
        <v>class0023</v>
      </c>
      <c r="K28" s="8" t="str">
        <f t="shared" si="20"/>
        <v>dailoneskill0023</v>
      </c>
      <c r="L28" s="5" t="str">
        <f t="shared" si="4"/>
        <v>lootName26,DAIL/items/materia/class0023/Storm26.dbr,</v>
      </c>
      <c r="M28" s="5" t="str">
        <f t="shared" si="5"/>
        <v>lootWeight26,1,</v>
      </c>
      <c r="N28" t="str">
        <f t="shared" si="6"/>
        <v>3</v>
      </c>
      <c r="O28" t="str">
        <f t="shared" si="16"/>
        <v>copy .\dail_base3.dbr .\items\materia\class0023\Storm26.dbr /y</v>
      </c>
      <c r="P28" t="str">
        <f t="shared" si="7"/>
        <v>echo relicBitmap,items/craftingparts/components/component_a52_bristlyfur_b.tex, &gt;&gt; .\items\materia\class0023\Storm26.dbr</v>
      </c>
      <c r="Q28" t="str">
        <f t="shared" si="7"/>
        <v>echo itemCost,300000, &gt;&gt; .\items\materia\class0023\Storm26.dbr</v>
      </c>
      <c r="R28" t="str">
        <f t="shared" si="7"/>
        <v>echo description,dailCompDescStorm26, &gt;&gt; .\items\materia\class0023\Storm26.dbr</v>
      </c>
      <c r="S28" t="str">
        <f t="shared" si="7"/>
        <v>echo itemText,dailCompTextStorm26, &gt;&gt; .\items\materia\class0023\Storm26.dbr</v>
      </c>
      <c r="T28" t="str">
        <f t="shared" si="7"/>
        <v>echo augmentSkillLevel1,3, &gt;&gt; .\items\materia\class0023\Storm26.dbr</v>
      </c>
      <c r="U28" t="str">
        <f t="shared" si="7"/>
        <v>echo augmentSkillName1,records/skillsstorm/iceshard_torrent.dbr,, &gt;&gt; .\items\materia\class0023\Storm26.dbr</v>
      </c>
      <c r="V28" s="5" t="s">
        <v>36</v>
      </c>
      <c r="W28" t="str">
        <f t="shared" si="8"/>
        <v>echo lootName26,DAIL/items/materia/class0023/Storm26.dbr, &gt;&gt; .\items\loottables\dailoneskill0023.dbr</v>
      </c>
      <c r="X28" t="str">
        <f t="shared" si="8"/>
        <v>echo lootWeight26,1, &gt;&gt; .\items\loottables\dailoneskill0023.dbr</v>
      </c>
      <c r="Y28" s="5" t="s">
        <v>36</v>
      </c>
      <c r="Z28" t="str">
        <f t="shared" si="9"/>
        <v xml:space="preserve"> dailCompDescStorm26=^pStorm's Gift of DAIL</v>
      </c>
      <c r="AA28" t="str">
        <f t="shared" si="17"/>
        <v>dailCompTextStorm26=^oThis feels warm to the touch, almost familiar ^w(This component only fits into the Medal Slot)</v>
      </c>
      <c r="AB28" s="5" t="s">
        <v>36</v>
      </c>
      <c r="AH28">
        <f t="shared" si="19"/>
        <v>23</v>
      </c>
      <c r="AI28">
        <f t="shared" si="13"/>
        <v>27</v>
      </c>
      <c r="AJ28">
        <f t="shared" si="18"/>
        <v>3</v>
      </c>
    </row>
    <row r="29" spans="1:36" x14ac:dyDescent="0.25">
      <c r="A29" s="5" t="s">
        <v>39</v>
      </c>
      <c r="B29" s="5" t="s">
        <v>28</v>
      </c>
      <c r="C29" s="5" t="str">
        <f t="shared" si="0"/>
        <v>description,dailCompDescStorm27,</v>
      </c>
      <c r="D29" s="5" t="str">
        <f t="shared" si="2"/>
        <v>itemText,dailCompTextStorm27,</v>
      </c>
      <c r="E29" s="5" t="str">
        <f t="shared" si="14"/>
        <v>augmentSkillLevel1,3,</v>
      </c>
      <c r="F29" s="5" t="str">
        <f t="shared" si="15"/>
        <v>augmentSkillName1,records/skillsstorm/lightningbolt.dbr,,</v>
      </c>
      <c r="G29" s="7">
        <f t="shared" si="10"/>
        <v>27</v>
      </c>
      <c r="H29" s="8" t="str">
        <f t="shared" si="11"/>
        <v>Storm</v>
      </c>
      <c r="I29" s="3" t="s">
        <v>730</v>
      </c>
      <c r="J29" s="8" t="str">
        <f t="shared" si="20"/>
        <v>class0023</v>
      </c>
      <c r="K29" s="8" t="str">
        <f t="shared" si="20"/>
        <v>dailoneskill0023</v>
      </c>
      <c r="L29" s="5" t="str">
        <f t="shared" si="4"/>
        <v>lootName27,DAIL/items/materia/class0023/Storm27.dbr,</v>
      </c>
      <c r="M29" s="5" t="str">
        <f t="shared" si="5"/>
        <v>lootWeight27,1,</v>
      </c>
      <c r="N29" t="str">
        <f t="shared" si="6"/>
        <v>3</v>
      </c>
      <c r="O29" t="str">
        <f t="shared" si="16"/>
        <v>copy .\dail_base3.dbr .\items\materia\class0023\Storm27.dbr /y</v>
      </c>
      <c r="P29" t="str">
        <f t="shared" si="7"/>
        <v>echo relicBitmap,items/craftingparts/components/component_a52_bristlyfur_b.tex, &gt;&gt; .\items\materia\class0023\Storm27.dbr</v>
      </c>
      <c r="Q29" t="str">
        <f t="shared" si="7"/>
        <v>echo itemCost,300000, &gt;&gt; .\items\materia\class0023\Storm27.dbr</v>
      </c>
      <c r="R29" t="str">
        <f t="shared" si="7"/>
        <v>echo description,dailCompDescStorm27, &gt;&gt; .\items\materia\class0023\Storm27.dbr</v>
      </c>
      <c r="S29" t="str">
        <f t="shared" si="7"/>
        <v>echo itemText,dailCompTextStorm27, &gt;&gt; .\items\materia\class0023\Storm27.dbr</v>
      </c>
      <c r="T29" t="str">
        <f t="shared" si="7"/>
        <v>echo augmentSkillLevel1,3, &gt;&gt; .\items\materia\class0023\Storm27.dbr</v>
      </c>
      <c r="U29" t="str">
        <f t="shared" si="7"/>
        <v>echo augmentSkillName1,records/skillsstorm/lightningbolt.dbr,, &gt;&gt; .\items\materia\class0023\Storm27.dbr</v>
      </c>
      <c r="V29" s="5" t="s">
        <v>36</v>
      </c>
      <c r="W29" t="str">
        <f t="shared" si="8"/>
        <v>echo lootName27,DAIL/items/materia/class0023/Storm27.dbr, &gt;&gt; .\items\loottables\dailoneskill0023.dbr</v>
      </c>
      <c r="X29" t="str">
        <f t="shared" si="8"/>
        <v>echo lootWeight27,1, &gt;&gt; .\items\loottables\dailoneskill0023.dbr</v>
      </c>
      <c r="Y29" s="5" t="s">
        <v>36</v>
      </c>
      <c r="Z29" t="str">
        <f t="shared" si="9"/>
        <v xml:space="preserve"> dailCompDescStorm27=^pStorm's Gift of DAIL</v>
      </c>
      <c r="AA29" t="str">
        <f t="shared" si="17"/>
        <v>dailCompTextStorm27=^oThis feels warm to the touch, almost familiar ^w(This component only fits into the Medal Slot)</v>
      </c>
      <c r="AB29" s="5" t="s">
        <v>36</v>
      </c>
      <c r="AH29">
        <f t="shared" si="19"/>
        <v>24</v>
      </c>
      <c r="AI29">
        <f t="shared" si="13"/>
        <v>24</v>
      </c>
      <c r="AJ29">
        <f t="shared" si="18"/>
        <v>3</v>
      </c>
    </row>
    <row r="30" spans="1:36" x14ac:dyDescent="0.25">
      <c r="A30" s="5" t="s">
        <v>39</v>
      </c>
      <c r="B30" s="5" t="s">
        <v>28</v>
      </c>
      <c r="C30" s="5" t="str">
        <f t="shared" si="0"/>
        <v>description,dailCompDescStorm28,</v>
      </c>
      <c r="D30" s="5" t="str">
        <f t="shared" si="2"/>
        <v>itemText,dailCompTextStorm28,</v>
      </c>
      <c r="E30" s="5" t="str">
        <f t="shared" si="14"/>
        <v>augmentSkillLevel1,3,</v>
      </c>
      <c r="F30" s="5" t="str">
        <f t="shared" si="15"/>
        <v>augmentSkillName1,records/skillsstorm/lightningbolt_chainlightning.dbr,,</v>
      </c>
      <c r="G30" s="7">
        <f t="shared" si="10"/>
        <v>28</v>
      </c>
      <c r="H30" s="8" t="str">
        <f t="shared" si="11"/>
        <v>Storm</v>
      </c>
      <c r="I30" s="3" t="s">
        <v>731</v>
      </c>
      <c r="J30" s="8" t="str">
        <f t="shared" si="20"/>
        <v>class0023</v>
      </c>
      <c r="K30" s="8" t="str">
        <f t="shared" si="20"/>
        <v>dailoneskill0023</v>
      </c>
      <c r="L30" s="5" t="str">
        <f t="shared" si="4"/>
        <v>lootName28,DAIL/items/materia/class0023/Storm28.dbr,</v>
      </c>
      <c r="M30" s="5" t="str">
        <f t="shared" si="5"/>
        <v>lootWeight28,1,</v>
      </c>
      <c r="N30" t="str">
        <f t="shared" si="6"/>
        <v>3</v>
      </c>
      <c r="O30" t="str">
        <f t="shared" si="16"/>
        <v>copy .\dail_base3.dbr .\items\materia\class0023\Storm28.dbr /y</v>
      </c>
      <c r="P30" t="str">
        <f t="shared" si="7"/>
        <v>echo relicBitmap,items/craftingparts/components/component_a52_bristlyfur_b.tex, &gt;&gt; .\items\materia\class0023\Storm28.dbr</v>
      </c>
      <c r="Q30" t="str">
        <f t="shared" si="7"/>
        <v>echo itemCost,300000, &gt;&gt; .\items\materia\class0023\Storm28.dbr</v>
      </c>
      <c r="R30" t="str">
        <f t="shared" si="7"/>
        <v>echo description,dailCompDescStorm28, &gt;&gt; .\items\materia\class0023\Storm28.dbr</v>
      </c>
      <c r="S30" t="str">
        <f t="shared" si="7"/>
        <v>echo itemText,dailCompTextStorm28, &gt;&gt; .\items\materia\class0023\Storm28.dbr</v>
      </c>
      <c r="T30" t="str">
        <f t="shared" si="7"/>
        <v>echo augmentSkillLevel1,3, &gt;&gt; .\items\materia\class0023\Storm28.dbr</v>
      </c>
      <c r="U30" t="str">
        <f t="shared" si="7"/>
        <v>echo augmentSkillName1,records/skillsstorm/lightningbolt_chainlightning.dbr,, &gt;&gt; .\items\materia\class0023\Storm28.dbr</v>
      </c>
      <c r="V30" s="5" t="s">
        <v>36</v>
      </c>
      <c r="W30" t="str">
        <f t="shared" si="8"/>
        <v>echo lootName28,DAIL/items/materia/class0023/Storm28.dbr, &gt;&gt; .\items\loottables\dailoneskill0023.dbr</v>
      </c>
      <c r="X30" t="str">
        <f t="shared" si="8"/>
        <v>echo lootWeight28,1, &gt;&gt; .\items\loottables\dailoneskill0023.dbr</v>
      </c>
      <c r="Y30" s="5" t="s">
        <v>36</v>
      </c>
      <c r="Z30" t="str">
        <f t="shared" si="9"/>
        <v xml:space="preserve"> dailCompDescStorm28=^pStorm's Gift of DAIL</v>
      </c>
      <c r="AA30" t="str">
        <f t="shared" si="17"/>
        <v>dailCompTextStorm28=^oThis feels warm to the touch, almost familiar ^w(This component only fits into the Medal Slot)</v>
      </c>
      <c r="AB30" s="5" t="s">
        <v>36</v>
      </c>
      <c r="AH30">
        <f t="shared" si="19"/>
        <v>25</v>
      </c>
      <c r="AI30">
        <f t="shared" si="13"/>
        <v>39</v>
      </c>
      <c r="AJ30">
        <f t="shared" si="18"/>
        <v>3</v>
      </c>
    </row>
    <row r="31" spans="1:36" x14ac:dyDescent="0.25">
      <c r="A31" s="5" t="s">
        <v>39</v>
      </c>
      <c r="B31" s="5" t="s">
        <v>28</v>
      </c>
      <c r="C31" s="5" t="str">
        <f t="shared" si="0"/>
        <v>description,dailCompDescStorm29,</v>
      </c>
      <c r="D31" s="5" t="str">
        <f t="shared" si="2"/>
        <v>itemText,dailCompTextStorm29,</v>
      </c>
      <c r="E31" s="5" t="str">
        <f t="shared" si="14"/>
        <v>augmentSkillLevel1,3,</v>
      </c>
      <c r="F31" s="5" t="str">
        <f t="shared" si="15"/>
        <v>augmentSkillName1,records/skillsstorm/freezingblast.dbr,,</v>
      </c>
      <c r="G31" s="7">
        <f t="shared" si="10"/>
        <v>29</v>
      </c>
      <c r="H31" s="8" t="str">
        <f t="shared" si="11"/>
        <v>Storm</v>
      </c>
      <c r="I31" s="3" t="s">
        <v>732</v>
      </c>
      <c r="J31" s="8" t="str">
        <f t="shared" si="20"/>
        <v>class0023</v>
      </c>
      <c r="K31" s="8" t="str">
        <f t="shared" si="20"/>
        <v>dailoneskill0023</v>
      </c>
      <c r="L31" s="5" t="str">
        <f t="shared" si="4"/>
        <v>lootName29,DAIL/items/materia/class0023/Storm29.dbr,</v>
      </c>
      <c r="M31" s="5" t="str">
        <f t="shared" si="5"/>
        <v>lootWeight29,1,</v>
      </c>
      <c r="N31" t="str">
        <f t="shared" si="6"/>
        <v>3</v>
      </c>
      <c r="O31" t="str">
        <f t="shared" si="16"/>
        <v>copy .\dail_base3.dbr .\items\materia\class0023\Storm29.dbr /y</v>
      </c>
      <c r="P31" t="str">
        <f t="shared" si="7"/>
        <v>echo relicBitmap,items/craftingparts/components/component_a52_bristlyfur_b.tex, &gt;&gt; .\items\materia\class0023\Storm29.dbr</v>
      </c>
      <c r="Q31" t="str">
        <f t="shared" si="7"/>
        <v>echo itemCost,300000, &gt;&gt; .\items\materia\class0023\Storm29.dbr</v>
      </c>
      <c r="R31" t="str">
        <f t="shared" si="7"/>
        <v>echo description,dailCompDescStorm29, &gt;&gt; .\items\materia\class0023\Storm29.dbr</v>
      </c>
      <c r="S31" t="str">
        <f t="shared" si="7"/>
        <v>echo itemText,dailCompTextStorm29, &gt;&gt; .\items\materia\class0023\Storm29.dbr</v>
      </c>
      <c r="T31" t="str">
        <f t="shared" si="7"/>
        <v>echo augmentSkillLevel1,3, &gt;&gt; .\items\materia\class0023\Storm29.dbr</v>
      </c>
      <c r="U31" t="str">
        <f t="shared" si="7"/>
        <v>echo augmentSkillName1,records/skillsstorm/freezingblast.dbr,, &gt;&gt; .\items\materia\class0023\Storm29.dbr</v>
      </c>
      <c r="V31" s="5" t="s">
        <v>36</v>
      </c>
      <c r="W31" t="str">
        <f t="shared" si="8"/>
        <v>echo lootName29,DAIL/items/materia/class0023/Storm29.dbr, &gt;&gt; .\items\loottables\dailoneskill0023.dbr</v>
      </c>
      <c r="X31" t="str">
        <f t="shared" si="8"/>
        <v>echo lootWeight29,1, &gt;&gt; .\items\loottables\dailoneskill0023.dbr</v>
      </c>
      <c r="Y31" s="5" t="s">
        <v>36</v>
      </c>
      <c r="Z31" t="str">
        <f t="shared" si="9"/>
        <v xml:space="preserve"> dailCompDescStorm29=^pStorm's Gift of DAIL</v>
      </c>
      <c r="AA31" t="str">
        <f t="shared" si="17"/>
        <v>dailCompTextStorm29=^oThis feels warm to the touch, almost familiar ^w(This component only fits into the Medal Slot)</v>
      </c>
      <c r="AB31" s="5" t="s">
        <v>36</v>
      </c>
      <c r="AH31">
        <f t="shared" si="19"/>
        <v>26</v>
      </c>
      <c r="AI31">
        <f t="shared" si="13"/>
        <v>24</v>
      </c>
      <c r="AJ31">
        <f t="shared" si="18"/>
        <v>3</v>
      </c>
    </row>
    <row r="32" spans="1:36" x14ac:dyDescent="0.25">
      <c r="A32" s="5" t="s">
        <v>39</v>
      </c>
      <c r="B32" s="5" t="s">
        <v>30</v>
      </c>
      <c r="C32" s="5" t="str">
        <f t="shared" si="0"/>
        <v>description,dailCompDescStorm30,</v>
      </c>
      <c r="D32" s="5" t="str">
        <f t="shared" si="2"/>
        <v>itemText,dailCompTextStorm30,</v>
      </c>
      <c r="E32" s="5" t="str">
        <f t="shared" si="14"/>
        <v>augmentSkillLevel1,3,</v>
      </c>
      <c r="F32" s="5" t="str">
        <f t="shared" si="15"/>
        <v>augmentSkillName1,records/skillsstorm/stormnimbus.dbr,,</v>
      </c>
      <c r="G32" s="7">
        <f t="shared" si="10"/>
        <v>30</v>
      </c>
      <c r="H32" s="8" t="str">
        <f t="shared" si="11"/>
        <v>Storm</v>
      </c>
      <c r="I32" s="3" t="s">
        <v>733</v>
      </c>
      <c r="J32" s="8" t="str">
        <f t="shared" si="20"/>
        <v>class0023</v>
      </c>
      <c r="K32" s="8" t="str">
        <f t="shared" si="20"/>
        <v>dailoneskill0023</v>
      </c>
      <c r="L32" s="5" t="str">
        <f t="shared" si="4"/>
        <v>lootName30,DAIL/items/materia/class0023/Storm30.dbr,</v>
      </c>
      <c r="M32" s="5" t="str">
        <f t="shared" si="5"/>
        <v>lootWeight30,1,</v>
      </c>
      <c r="N32" t="str">
        <f t="shared" si="6"/>
        <v>3</v>
      </c>
      <c r="O32" t="str">
        <f t="shared" si="16"/>
        <v>copy .\dail_base3.dbr .\items\materia\class0023\Storm30.dbr /y</v>
      </c>
      <c r="P32" t="str">
        <f t="shared" si="7"/>
        <v>echo relicBitmap,items/craftingparts/components/component_a52_bristlyfur_b.tex, &gt;&gt; .\items\materia\class0023\Storm30.dbr</v>
      </c>
      <c r="Q32" t="str">
        <f t="shared" si="7"/>
        <v>echo itemCost,500000, &gt;&gt; .\items\materia\class0023\Storm30.dbr</v>
      </c>
      <c r="R32" t="str">
        <f t="shared" si="7"/>
        <v>echo description,dailCompDescStorm30, &gt;&gt; .\items\materia\class0023\Storm30.dbr</v>
      </c>
      <c r="S32" t="str">
        <f t="shared" si="7"/>
        <v>echo itemText,dailCompTextStorm30, &gt;&gt; .\items\materia\class0023\Storm30.dbr</v>
      </c>
      <c r="T32" t="str">
        <f t="shared" si="7"/>
        <v>echo augmentSkillLevel1,3, &gt;&gt; .\items\materia\class0023\Storm30.dbr</v>
      </c>
      <c r="U32" t="str">
        <f t="shared" si="7"/>
        <v>echo augmentSkillName1,records/skillsstorm/stormnimbus.dbr,, &gt;&gt; .\items\materia\class0023\Storm30.dbr</v>
      </c>
      <c r="V32" s="5" t="s">
        <v>36</v>
      </c>
      <c r="W32" t="str">
        <f t="shared" si="8"/>
        <v>echo lootName30,DAIL/items/materia/class0023/Storm30.dbr, &gt;&gt; .\items\loottables\dailoneskill0023.dbr</v>
      </c>
      <c r="X32" t="str">
        <f t="shared" si="8"/>
        <v>echo lootWeight30,1, &gt;&gt; .\items\loottables\dailoneskill0023.dbr</v>
      </c>
      <c r="Y32" s="5" t="s">
        <v>36</v>
      </c>
      <c r="Z32" t="str">
        <f t="shared" si="9"/>
        <v xml:space="preserve"> dailCompDescStorm30=^pStorm's Gift of DAIL</v>
      </c>
      <c r="AA32" t="str">
        <f t="shared" si="17"/>
        <v>dailCompTextStorm30=^oThis feels warm to the touch, almost familiar ^w(This component only fits into the Medal Slot)</v>
      </c>
      <c r="AB32" s="5" t="s">
        <v>36</v>
      </c>
      <c r="AH32">
        <f t="shared" si="19"/>
        <v>27</v>
      </c>
      <c r="AI32">
        <f t="shared" si="13"/>
        <v>22</v>
      </c>
      <c r="AJ32">
        <f t="shared" si="18"/>
        <v>3</v>
      </c>
    </row>
    <row r="33" spans="1:36" x14ac:dyDescent="0.25">
      <c r="A33" s="5" t="s">
        <v>39</v>
      </c>
      <c r="B33" s="5" t="s">
        <v>30</v>
      </c>
      <c r="C33" s="5" t="str">
        <f t="shared" si="0"/>
        <v>description,dailCompDescStorm31,</v>
      </c>
      <c r="D33" s="5" t="str">
        <f t="shared" si="2"/>
        <v>itemText,dailCompTextStorm31,</v>
      </c>
      <c r="E33" s="5" t="str">
        <f t="shared" si="14"/>
        <v>augmentSkillLevel1,3,</v>
      </c>
      <c r="F33" s="5" t="str">
        <f t="shared" si="15"/>
        <v>augmentSkillName1,records/skillsstorm/stormnimbus_heartoffrost.dbr,,</v>
      </c>
      <c r="G33" s="7">
        <f t="shared" si="10"/>
        <v>31</v>
      </c>
      <c r="H33" s="8" t="str">
        <f t="shared" si="11"/>
        <v>Storm</v>
      </c>
      <c r="I33" s="3" t="s">
        <v>734</v>
      </c>
      <c r="J33" s="8" t="str">
        <f t="shared" si="20"/>
        <v>class0023</v>
      </c>
      <c r="K33" s="8" t="str">
        <f t="shared" si="20"/>
        <v>dailoneskill0023</v>
      </c>
      <c r="L33" s="5" t="str">
        <f t="shared" si="4"/>
        <v>lootName31,DAIL/items/materia/class0023/Storm31.dbr,</v>
      </c>
      <c r="M33" s="5" t="str">
        <f t="shared" si="5"/>
        <v>lootWeight31,1,</v>
      </c>
      <c r="N33" t="str">
        <f t="shared" si="6"/>
        <v>3</v>
      </c>
      <c r="O33" t="str">
        <f t="shared" si="16"/>
        <v>copy .\dail_base3.dbr .\items\materia\class0023\Storm31.dbr /y</v>
      </c>
      <c r="P33" t="str">
        <f t="shared" si="7"/>
        <v>echo relicBitmap,items/craftingparts/components/component_a52_bristlyfur_b.tex, &gt;&gt; .\items\materia\class0023\Storm31.dbr</v>
      </c>
      <c r="Q33" t="str">
        <f t="shared" si="7"/>
        <v>echo itemCost,500000, &gt;&gt; .\items\materia\class0023\Storm31.dbr</v>
      </c>
      <c r="R33" t="str">
        <f t="shared" si="7"/>
        <v>echo description,dailCompDescStorm31, &gt;&gt; .\items\materia\class0023\Storm31.dbr</v>
      </c>
      <c r="S33" t="str">
        <f t="shared" si="7"/>
        <v>echo itemText,dailCompTextStorm31, &gt;&gt; .\items\materia\class0023\Storm31.dbr</v>
      </c>
      <c r="T33" t="str">
        <f t="shared" si="7"/>
        <v>echo augmentSkillLevel1,3, &gt;&gt; .\items\materia\class0023\Storm31.dbr</v>
      </c>
      <c r="U33" t="str">
        <f t="shared" si="7"/>
        <v>echo augmentSkillName1,records/skillsstorm/stormnimbus_heartoffrost.dbr,, &gt;&gt; .\items\materia\class0023\Storm31.dbr</v>
      </c>
      <c r="V33" s="5" t="s">
        <v>36</v>
      </c>
      <c r="W33" t="str">
        <f t="shared" si="8"/>
        <v>echo lootName31,DAIL/items/materia/class0023/Storm31.dbr, &gt;&gt; .\items\loottables\dailoneskill0023.dbr</v>
      </c>
      <c r="X33" t="str">
        <f t="shared" si="8"/>
        <v>echo lootWeight31,1, &gt;&gt; .\items\loottables\dailoneskill0023.dbr</v>
      </c>
      <c r="Y33" s="5" t="s">
        <v>36</v>
      </c>
      <c r="Z33" t="str">
        <f t="shared" si="9"/>
        <v xml:space="preserve"> dailCompDescStorm31=^pStorm's Gift of DAIL</v>
      </c>
      <c r="AA33" t="str">
        <f t="shared" si="17"/>
        <v>dailCompTextStorm31=^oThis feels warm to the touch, almost familiar ^w(This component only fits into the Medal Slot)</v>
      </c>
      <c r="AB33" s="5" t="s">
        <v>36</v>
      </c>
      <c r="AH33">
        <f t="shared" si="19"/>
        <v>28</v>
      </c>
      <c r="AI33">
        <f t="shared" si="13"/>
        <v>35</v>
      </c>
      <c r="AJ33">
        <f t="shared" si="18"/>
        <v>3</v>
      </c>
    </row>
    <row r="34" spans="1:36" x14ac:dyDescent="0.25">
      <c r="A34" s="5" t="s">
        <v>39</v>
      </c>
      <c r="B34" s="5" t="s">
        <v>30</v>
      </c>
      <c r="C34" s="5" t="str">
        <f t="shared" si="0"/>
        <v>description,dailCompDescStorm32,</v>
      </c>
      <c r="D34" s="5" t="str">
        <f t="shared" si="2"/>
        <v>itemText,dailCompTextStorm32,</v>
      </c>
      <c r="E34" s="5" t="str">
        <f t="shared" si="14"/>
        <v>augmentSkillLevel1,3,</v>
      </c>
      <c r="F34" s="5" t="str">
        <f t="shared" si="15"/>
        <v>augmentSkillName1,records/skillsstorm/stormnimbus_staticcharge.dbr,,</v>
      </c>
      <c r="G34" s="7">
        <f t="shared" si="10"/>
        <v>32</v>
      </c>
      <c r="H34" s="8" t="str">
        <f t="shared" si="11"/>
        <v>Storm</v>
      </c>
      <c r="I34" s="3" t="s">
        <v>735</v>
      </c>
      <c r="J34" s="8" t="str">
        <f t="shared" si="20"/>
        <v>class0023</v>
      </c>
      <c r="K34" s="8" t="str">
        <f t="shared" si="20"/>
        <v>dailoneskill0023</v>
      </c>
      <c r="L34" s="5" t="str">
        <f t="shared" si="4"/>
        <v>lootName32,DAIL/items/materia/class0023/Storm32.dbr,</v>
      </c>
      <c r="M34" s="5" t="str">
        <f t="shared" si="5"/>
        <v>lootWeight32,1,</v>
      </c>
      <c r="N34" t="str">
        <f t="shared" si="6"/>
        <v>3</v>
      </c>
      <c r="O34" t="str">
        <f t="shared" si="16"/>
        <v>copy .\dail_base3.dbr .\items\materia\class0023\Storm32.dbr /y</v>
      </c>
      <c r="P34" t="str">
        <f t="shared" si="7"/>
        <v>echo relicBitmap,items/craftingparts/components/component_a52_bristlyfur_b.tex, &gt;&gt; .\items\materia\class0023\Storm32.dbr</v>
      </c>
      <c r="Q34" t="str">
        <f t="shared" si="7"/>
        <v>echo itemCost,500000, &gt;&gt; .\items\materia\class0023\Storm32.dbr</v>
      </c>
      <c r="R34" t="str">
        <f t="shared" si="7"/>
        <v>echo description,dailCompDescStorm32, &gt;&gt; .\items\materia\class0023\Storm32.dbr</v>
      </c>
      <c r="S34" t="str">
        <f t="shared" si="7"/>
        <v>echo itemText,dailCompTextStorm32, &gt;&gt; .\items\materia\class0023\Storm32.dbr</v>
      </c>
      <c r="T34" t="str">
        <f t="shared" si="7"/>
        <v>echo augmentSkillLevel1,3, &gt;&gt; .\items\materia\class0023\Storm32.dbr</v>
      </c>
      <c r="U34" t="str">
        <f t="shared" si="7"/>
        <v>echo augmentSkillName1,records/skillsstorm/stormnimbus_staticcharge.dbr,, &gt;&gt; .\items\materia\class0023\Storm32.dbr</v>
      </c>
      <c r="V34" s="5" t="s">
        <v>36</v>
      </c>
      <c r="W34" t="str">
        <f t="shared" si="8"/>
        <v>echo lootName32,DAIL/items/materia/class0023/Storm32.dbr, &gt;&gt; .\items\loottables\dailoneskill0023.dbr</v>
      </c>
      <c r="X34" t="str">
        <f t="shared" si="8"/>
        <v>echo lootWeight32,1, &gt;&gt; .\items\loottables\dailoneskill0023.dbr</v>
      </c>
      <c r="Y34" s="5" t="s">
        <v>36</v>
      </c>
      <c r="Z34" t="str">
        <f t="shared" si="9"/>
        <v xml:space="preserve"> dailCompDescStorm32=^pStorm's Gift of DAIL</v>
      </c>
      <c r="AA34" t="str">
        <f t="shared" si="17"/>
        <v>dailCompTextStorm32=^oThis feels warm to the touch, almost familiar ^w(This component only fits into the Medal Slot)</v>
      </c>
      <c r="AB34" s="5" t="s">
        <v>36</v>
      </c>
      <c r="AH34">
        <f t="shared" si="19"/>
        <v>29</v>
      </c>
      <c r="AI34">
        <f t="shared" si="13"/>
        <v>35</v>
      </c>
      <c r="AJ34">
        <f t="shared" si="18"/>
        <v>3</v>
      </c>
    </row>
    <row r="35" spans="1:36" x14ac:dyDescent="0.25">
      <c r="A35" s="5" t="s">
        <v>39</v>
      </c>
      <c r="B35" s="5" t="s">
        <v>30</v>
      </c>
      <c r="C35" s="5" t="str">
        <f t="shared" si="0"/>
        <v>description,dailCompDescStorm33,</v>
      </c>
      <c r="D35" s="5" t="str">
        <f t="shared" si="2"/>
        <v>itemText,dailCompTextStorm33,</v>
      </c>
      <c r="E35" s="5" t="str">
        <f t="shared" si="14"/>
        <v>augmentSkillLevel1,3,</v>
      </c>
      <c r="F35" s="5" t="str">
        <f t="shared" si="15"/>
        <v>augmentSkillName1,records/skillsstorm/energyshield.dbr,,</v>
      </c>
      <c r="G35" s="7">
        <f t="shared" si="10"/>
        <v>33</v>
      </c>
      <c r="H35" s="8" t="str">
        <f t="shared" si="11"/>
        <v>Storm</v>
      </c>
      <c r="I35" s="3" t="s">
        <v>736</v>
      </c>
      <c r="J35" s="8" t="str">
        <f t="shared" si="20"/>
        <v>class0023</v>
      </c>
      <c r="K35" s="8" t="str">
        <f t="shared" si="20"/>
        <v>dailoneskill0023</v>
      </c>
      <c r="L35" s="5" t="str">
        <f t="shared" si="4"/>
        <v>lootName33,DAIL/items/materia/class0023/Storm33.dbr,</v>
      </c>
      <c r="M35" s="5" t="str">
        <f t="shared" si="5"/>
        <v>lootWeight33,1,</v>
      </c>
      <c r="N35" t="str">
        <f t="shared" si="6"/>
        <v>3</v>
      </c>
      <c r="O35" t="str">
        <f t="shared" si="16"/>
        <v>copy .\dail_base3.dbr .\items\materia\class0023\Storm33.dbr /y</v>
      </c>
      <c r="P35" t="str">
        <f t="shared" si="7"/>
        <v>echo relicBitmap,items/craftingparts/components/component_a52_bristlyfur_b.tex, &gt;&gt; .\items\materia\class0023\Storm33.dbr</v>
      </c>
      <c r="Q35" t="str">
        <f t="shared" si="7"/>
        <v>echo itemCost,500000, &gt;&gt; .\items\materia\class0023\Storm33.dbr</v>
      </c>
      <c r="R35" t="str">
        <f t="shared" si="7"/>
        <v>echo description,dailCompDescStorm33, &gt;&gt; .\items\materia\class0023\Storm33.dbr</v>
      </c>
      <c r="S35" t="str">
        <f t="shared" si="7"/>
        <v>echo itemText,dailCompTextStorm33, &gt;&gt; .\items\materia\class0023\Storm33.dbr</v>
      </c>
      <c r="T35" t="str">
        <f t="shared" si="7"/>
        <v>echo augmentSkillLevel1,3, &gt;&gt; .\items\materia\class0023\Storm33.dbr</v>
      </c>
      <c r="U35" t="str">
        <f t="shared" si="7"/>
        <v>echo augmentSkillName1,records/skillsstorm/energyshield.dbr,, &gt;&gt; .\items\materia\class0023\Storm33.dbr</v>
      </c>
      <c r="V35" s="5" t="s">
        <v>36</v>
      </c>
      <c r="W35" t="str">
        <f t="shared" si="8"/>
        <v>echo lootName33,DAIL/items/materia/class0023/Storm33.dbr, &gt;&gt; .\items\loottables\dailoneskill0023.dbr</v>
      </c>
      <c r="X35" t="str">
        <f t="shared" si="8"/>
        <v>echo lootWeight33,1, &gt;&gt; .\items\loottables\dailoneskill0023.dbr</v>
      </c>
      <c r="Y35" s="5" t="s">
        <v>36</v>
      </c>
      <c r="Z35" t="str">
        <f t="shared" si="9"/>
        <v xml:space="preserve"> dailCompDescStorm33=^pStorm's Gift of DAIL</v>
      </c>
      <c r="AA35" t="str">
        <f t="shared" si="17"/>
        <v>dailCompTextStorm33=^oThis feels warm to the touch, almost familiar ^w(This component only fits into the Medal Slot)</v>
      </c>
      <c r="AB35" s="5" t="s">
        <v>36</v>
      </c>
      <c r="AH35">
        <f t="shared" si="19"/>
        <v>30</v>
      </c>
      <c r="AI35">
        <f t="shared" si="13"/>
        <v>23</v>
      </c>
      <c r="AJ35">
        <f t="shared" si="18"/>
        <v>3</v>
      </c>
    </row>
    <row r="36" spans="1:36" x14ac:dyDescent="0.25">
      <c r="A36" s="5" t="s">
        <v>39</v>
      </c>
      <c r="B36" s="5" t="s">
        <v>30</v>
      </c>
      <c r="C36" s="5" t="str">
        <f t="shared" si="0"/>
        <v>description,dailCompDescStorm34,</v>
      </c>
      <c r="D36" s="5" t="str">
        <f t="shared" si="2"/>
        <v>itemText,dailCompTextStorm34,</v>
      </c>
      <c r="E36" s="5" t="str">
        <f t="shared" si="14"/>
        <v>augmentSkillLevel1,3,</v>
      </c>
      <c r="F36" s="5" t="str">
        <f t="shared" si="15"/>
        <v>augmentSkillName1,records/skillsstorm/energyshield_reflection.dbr,,</v>
      </c>
      <c r="G36" s="7">
        <f t="shared" si="10"/>
        <v>34</v>
      </c>
      <c r="H36" s="8" t="str">
        <f t="shared" si="11"/>
        <v>Storm</v>
      </c>
      <c r="I36" s="3" t="s">
        <v>737</v>
      </c>
      <c r="J36" s="8" t="str">
        <f t="shared" si="20"/>
        <v>class0023</v>
      </c>
      <c r="K36" s="8" t="str">
        <f t="shared" si="20"/>
        <v>dailoneskill0023</v>
      </c>
      <c r="L36" s="5" t="str">
        <f t="shared" si="4"/>
        <v>lootName34,DAIL/items/materia/class0023/Storm34.dbr,</v>
      </c>
      <c r="M36" s="5" t="str">
        <f t="shared" si="5"/>
        <v>lootWeight34,1,</v>
      </c>
      <c r="N36" t="str">
        <f t="shared" si="6"/>
        <v>3</v>
      </c>
      <c r="O36" t="str">
        <f t="shared" si="16"/>
        <v>copy .\dail_base3.dbr .\items\materia\class0023\Storm34.dbr /y</v>
      </c>
      <c r="P36" t="str">
        <f t="shared" si="7"/>
        <v>echo relicBitmap,items/craftingparts/components/component_a52_bristlyfur_b.tex, &gt;&gt; .\items\materia\class0023\Storm34.dbr</v>
      </c>
      <c r="Q36" t="str">
        <f t="shared" si="7"/>
        <v>echo itemCost,500000, &gt;&gt; .\items\materia\class0023\Storm34.dbr</v>
      </c>
      <c r="R36" t="str">
        <f t="shared" si="7"/>
        <v>echo description,dailCompDescStorm34, &gt;&gt; .\items\materia\class0023\Storm34.dbr</v>
      </c>
      <c r="S36" t="str">
        <f t="shared" si="7"/>
        <v>echo itemText,dailCompTextStorm34, &gt;&gt; .\items\materia\class0023\Storm34.dbr</v>
      </c>
      <c r="T36" t="str">
        <f t="shared" si="7"/>
        <v>echo augmentSkillLevel1,3, &gt;&gt; .\items\materia\class0023\Storm34.dbr</v>
      </c>
      <c r="U36" t="str">
        <f t="shared" si="7"/>
        <v>echo augmentSkillName1,records/skillsstorm/energyshield_reflection.dbr,, &gt;&gt; .\items\materia\class0023\Storm34.dbr</v>
      </c>
      <c r="V36" s="5" t="s">
        <v>36</v>
      </c>
      <c r="W36" t="str">
        <f t="shared" si="8"/>
        <v>echo lootName34,DAIL/items/materia/class0023/Storm34.dbr, &gt;&gt; .\items\loottables\dailoneskill0023.dbr</v>
      </c>
      <c r="X36" t="str">
        <f t="shared" si="8"/>
        <v>echo lootWeight34,1, &gt;&gt; .\items\loottables\dailoneskill0023.dbr</v>
      </c>
      <c r="Y36" s="5" t="s">
        <v>36</v>
      </c>
      <c r="Z36" t="str">
        <f t="shared" si="9"/>
        <v xml:space="preserve"> dailCompDescStorm34=^pStorm's Gift of DAIL</v>
      </c>
      <c r="AA36" t="str">
        <f t="shared" si="17"/>
        <v>dailCompTextStorm34=^oThis feels warm to the touch, almost familiar ^w(This component only fits into the Medal Slot)</v>
      </c>
      <c r="AB36" s="5" t="s">
        <v>36</v>
      </c>
      <c r="AH36">
        <f t="shared" si="19"/>
        <v>31</v>
      </c>
      <c r="AI36">
        <f t="shared" si="13"/>
        <v>34</v>
      </c>
      <c r="AJ36">
        <f t="shared" si="18"/>
        <v>3</v>
      </c>
    </row>
    <row r="37" spans="1:36" x14ac:dyDescent="0.25">
      <c r="A37" s="5" t="s">
        <v>39</v>
      </c>
      <c r="B37" s="5" t="s">
        <v>30</v>
      </c>
      <c r="C37" s="5" t="str">
        <f t="shared" si="0"/>
        <v>description,dailCompDescStorm35,</v>
      </c>
      <c r="D37" s="5" t="str">
        <f t="shared" si="2"/>
        <v>itemText,dailCompTextStorm35,</v>
      </c>
      <c r="E37" s="5" t="str">
        <f t="shared" si="14"/>
        <v>augmentSkillLevel1,3,</v>
      </c>
      <c r="F37" s="5" t="str">
        <f t="shared" si="15"/>
        <v>augmentSkillName1,records/skillsstorm/squall.dbr,,</v>
      </c>
      <c r="G37" s="7">
        <f t="shared" si="10"/>
        <v>35</v>
      </c>
      <c r="H37" s="8" t="str">
        <f t="shared" si="11"/>
        <v>Storm</v>
      </c>
      <c r="I37" s="3" t="s">
        <v>738</v>
      </c>
      <c r="J37" s="8" t="str">
        <f t="shared" ref="J37:K52" si="21">J36</f>
        <v>class0023</v>
      </c>
      <c r="K37" s="8" t="str">
        <f t="shared" si="21"/>
        <v>dailoneskill0023</v>
      </c>
      <c r="L37" s="5" t="str">
        <f t="shared" si="4"/>
        <v>lootName35,DAIL/items/materia/class0023/Storm35.dbr,</v>
      </c>
      <c r="M37" s="5" t="str">
        <f t="shared" si="5"/>
        <v>lootWeight35,1,</v>
      </c>
      <c r="N37" t="str">
        <f t="shared" si="6"/>
        <v>3</v>
      </c>
      <c r="O37" t="str">
        <f t="shared" si="16"/>
        <v>copy .\dail_base3.dbr .\items\materia\class0023\Storm35.dbr /y</v>
      </c>
      <c r="P37" t="str">
        <f t="shared" si="7"/>
        <v>echo relicBitmap,items/craftingparts/components/component_a52_bristlyfur_b.tex, &gt;&gt; .\items\materia\class0023\Storm35.dbr</v>
      </c>
      <c r="Q37" t="str">
        <f t="shared" si="7"/>
        <v>echo itemCost,500000, &gt;&gt; .\items\materia\class0023\Storm35.dbr</v>
      </c>
      <c r="R37" t="str">
        <f t="shared" si="7"/>
        <v>echo description,dailCompDescStorm35, &gt;&gt; .\items\materia\class0023\Storm35.dbr</v>
      </c>
      <c r="S37" t="str">
        <f t="shared" si="7"/>
        <v>echo itemText,dailCompTextStorm35, &gt;&gt; .\items\materia\class0023\Storm35.dbr</v>
      </c>
      <c r="T37" t="str">
        <f t="shared" si="7"/>
        <v>echo augmentSkillLevel1,3, &gt;&gt; .\items\materia\class0023\Storm35.dbr</v>
      </c>
      <c r="U37" t="str">
        <f t="shared" si="7"/>
        <v>echo augmentSkillName1,records/skillsstorm/squall.dbr,, &gt;&gt; .\items\materia\class0023\Storm35.dbr</v>
      </c>
      <c r="V37" s="5" t="s">
        <v>36</v>
      </c>
      <c r="W37" t="str">
        <f t="shared" si="8"/>
        <v>echo lootName35,DAIL/items/materia/class0023/Storm35.dbr, &gt;&gt; .\items\loottables\dailoneskill0023.dbr</v>
      </c>
      <c r="X37" t="str">
        <f t="shared" si="8"/>
        <v>echo lootWeight35,1, &gt;&gt; .\items\loottables\dailoneskill0023.dbr</v>
      </c>
      <c r="Y37" s="5" t="s">
        <v>36</v>
      </c>
      <c r="Z37" t="str">
        <f t="shared" si="9"/>
        <v xml:space="preserve"> dailCompDescStorm35=^pStorm's Gift of DAIL</v>
      </c>
      <c r="AA37" t="str">
        <f t="shared" si="17"/>
        <v>dailCompTextStorm35=^oThis feels warm to the touch, almost familiar ^w(This component only fits into the Medal Slot)</v>
      </c>
      <c r="AB37" s="5" t="s">
        <v>36</v>
      </c>
      <c r="AH37">
        <f t="shared" si="19"/>
        <v>32</v>
      </c>
      <c r="AI37">
        <f t="shared" si="13"/>
        <v>17</v>
      </c>
      <c r="AJ37">
        <f t="shared" si="18"/>
        <v>3</v>
      </c>
    </row>
    <row r="38" spans="1:36" x14ac:dyDescent="0.25">
      <c r="A38" s="5" t="s">
        <v>39</v>
      </c>
      <c r="B38" s="5" t="s">
        <v>30</v>
      </c>
      <c r="C38" s="5" t="str">
        <f t="shared" si="0"/>
        <v>description,dailCompDescStorm36,</v>
      </c>
      <c r="D38" s="5" t="str">
        <f t="shared" si="2"/>
        <v>itemText,dailCompTextStorm36,</v>
      </c>
      <c r="E38" s="5" t="str">
        <f t="shared" si="14"/>
        <v>augmentSkillLevel1,3,</v>
      </c>
      <c r="F38" s="5" t="str">
        <f t="shared" si="15"/>
        <v>augmentSkillName1,records/skillsstorm/squall_obscuredvisibility.dbr,,</v>
      </c>
      <c r="G38" s="7">
        <f t="shared" si="10"/>
        <v>36</v>
      </c>
      <c r="H38" s="8" t="str">
        <f t="shared" si="11"/>
        <v>Storm</v>
      </c>
      <c r="I38" s="3" t="s">
        <v>739</v>
      </c>
      <c r="J38" s="8" t="str">
        <f t="shared" si="21"/>
        <v>class0023</v>
      </c>
      <c r="K38" s="8" t="str">
        <f t="shared" si="21"/>
        <v>dailoneskill0023</v>
      </c>
      <c r="L38" s="5" t="str">
        <f t="shared" si="4"/>
        <v>lootName36,DAIL/items/materia/class0023/Storm36.dbr,</v>
      </c>
      <c r="M38" s="5" t="str">
        <f t="shared" si="5"/>
        <v>lootWeight36,1,</v>
      </c>
      <c r="N38" t="str">
        <f t="shared" si="6"/>
        <v>3</v>
      </c>
      <c r="O38" t="str">
        <f t="shared" si="16"/>
        <v>copy .\dail_base3.dbr .\items\materia\class0023\Storm36.dbr /y</v>
      </c>
      <c r="P38" t="str">
        <f t="shared" si="7"/>
        <v>echo relicBitmap,items/craftingparts/components/component_a52_bristlyfur_b.tex, &gt;&gt; .\items\materia\class0023\Storm36.dbr</v>
      </c>
      <c r="Q38" t="str">
        <f t="shared" si="7"/>
        <v>echo itemCost,500000, &gt;&gt; .\items\materia\class0023\Storm36.dbr</v>
      </c>
      <c r="R38" t="str">
        <f t="shared" si="7"/>
        <v>echo description,dailCompDescStorm36, &gt;&gt; .\items\materia\class0023\Storm36.dbr</v>
      </c>
      <c r="S38" t="str">
        <f t="shared" si="7"/>
        <v>echo itemText,dailCompTextStorm36, &gt;&gt; .\items\materia\class0023\Storm36.dbr</v>
      </c>
      <c r="T38" t="str">
        <f t="shared" si="7"/>
        <v>echo augmentSkillLevel1,3, &gt;&gt; .\items\materia\class0023\Storm36.dbr</v>
      </c>
      <c r="U38" t="str">
        <f t="shared" si="7"/>
        <v>echo augmentSkillName1,records/skillsstorm/squall_obscuredvisibility.dbr,, &gt;&gt; .\items\materia\class0023\Storm36.dbr</v>
      </c>
      <c r="V38" s="5" t="s">
        <v>36</v>
      </c>
      <c r="W38" t="str">
        <f t="shared" si="8"/>
        <v>echo lootName36,DAIL/items/materia/class0023/Storm36.dbr, &gt;&gt; .\items\loottables\dailoneskill0023.dbr</v>
      </c>
      <c r="X38" t="str">
        <f t="shared" si="8"/>
        <v>echo lootWeight36,1, &gt;&gt; .\items\loottables\dailoneskill0023.dbr</v>
      </c>
      <c r="Y38" s="5" t="s">
        <v>36</v>
      </c>
      <c r="Z38" t="str">
        <f t="shared" si="9"/>
        <v xml:space="preserve"> dailCompDescStorm36=^pStorm's Gift of DAIL</v>
      </c>
      <c r="AA38" t="str">
        <f t="shared" si="17"/>
        <v>dailCompTextStorm36=^oThis feels warm to the touch, almost familiar ^w(This component only fits into the Medal Slot)</v>
      </c>
      <c r="AB38" s="5" t="s">
        <v>36</v>
      </c>
      <c r="AH38">
        <f t="shared" si="19"/>
        <v>33</v>
      </c>
      <c r="AI38">
        <f t="shared" si="13"/>
        <v>36</v>
      </c>
      <c r="AJ38">
        <f t="shared" si="18"/>
        <v>3</v>
      </c>
    </row>
    <row r="39" spans="1:36" x14ac:dyDescent="0.25">
      <c r="A39" s="5" t="s">
        <v>39</v>
      </c>
      <c r="B39" s="5" t="s">
        <v>30</v>
      </c>
      <c r="C39" s="5" t="str">
        <f t="shared" si="0"/>
        <v>description,dailCompDescStorm37,</v>
      </c>
      <c r="D39" s="5" t="str">
        <f t="shared" si="2"/>
        <v>itemText,dailCompTextStorm37,</v>
      </c>
      <c r="E39" s="5" t="str">
        <f t="shared" si="14"/>
        <v>augmentSkillLevel1,3,</v>
      </c>
      <c r="F39" s="5" t="str">
        <f t="shared" si="15"/>
        <v>augmentSkillName1,records/skillsstorm/stormwispsummoning.dbr,,</v>
      </c>
      <c r="G39" s="7">
        <f t="shared" si="10"/>
        <v>37</v>
      </c>
      <c r="H39" s="8" t="str">
        <f t="shared" si="11"/>
        <v>Storm</v>
      </c>
      <c r="I39" s="3" t="s">
        <v>740</v>
      </c>
      <c r="J39" s="8" t="str">
        <f t="shared" si="21"/>
        <v>class0023</v>
      </c>
      <c r="K39" s="8" t="str">
        <f t="shared" si="21"/>
        <v>dailoneskill0023</v>
      </c>
      <c r="L39" s="5" t="str">
        <f t="shared" si="4"/>
        <v>lootName37,DAIL/items/materia/class0023/Storm37.dbr,</v>
      </c>
      <c r="M39" s="5" t="str">
        <f t="shared" si="5"/>
        <v>lootWeight37,1,</v>
      </c>
      <c r="N39" t="str">
        <f t="shared" si="6"/>
        <v>3</v>
      </c>
      <c r="O39" t="str">
        <f t="shared" si="16"/>
        <v>copy .\dail_base3.dbr .\items\materia\class0023\Storm37.dbr /y</v>
      </c>
      <c r="P39" t="str">
        <f t="shared" si="7"/>
        <v>echo relicBitmap,items/craftingparts/components/component_a52_bristlyfur_b.tex, &gt;&gt; .\items\materia\class0023\Storm37.dbr</v>
      </c>
      <c r="Q39" t="str">
        <f t="shared" si="7"/>
        <v>echo itemCost,500000, &gt;&gt; .\items\materia\class0023\Storm37.dbr</v>
      </c>
      <c r="R39" t="str">
        <f t="shared" si="7"/>
        <v>echo description,dailCompDescStorm37, &gt;&gt; .\items\materia\class0023\Storm37.dbr</v>
      </c>
      <c r="S39" t="str">
        <f t="shared" si="7"/>
        <v>echo itemText,dailCompTextStorm37, &gt;&gt; .\items\materia\class0023\Storm37.dbr</v>
      </c>
      <c r="T39" t="str">
        <f t="shared" si="7"/>
        <v>echo augmentSkillLevel1,3, &gt;&gt; .\items\materia\class0023\Storm37.dbr</v>
      </c>
      <c r="U39" t="str">
        <f t="shared" si="7"/>
        <v>echo augmentSkillName1,records/skillsstorm/stormwispsummoning.dbr,, &gt;&gt; .\items\materia\class0023\Storm37.dbr</v>
      </c>
      <c r="V39" s="5" t="s">
        <v>36</v>
      </c>
      <c r="W39" t="str">
        <f t="shared" si="8"/>
        <v>echo lootName37,DAIL/items/materia/class0023/Storm37.dbr, &gt;&gt; .\items\loottables\dailoneskill0023.dbr</v>
      </c>
      <c r="X39" t="str">
        <f t="shared" si="8"/>
        <v>echo lootWeight37,1, &gt;&gt; .\items\loottables\dailoneskill0023.dbr</v>
      </c>
      <c r="Y39" s="5" t="s">
        <v>36</v>
      </c>
      <c r="Z39" t="str">
        <f t="shared" si="9"/>
        <v xml:space="preserve"> dailCompDescStorm37=^pStorm's Gift of DAIL</v>
      </c>
      <c r="AA39" t="str">
        <f t="shared" si="17"/>
        <v>dailCompTextStorm37=^oThis feels warm to the touch, almost familiar ^w(This component only fits into the Medal Slot)</v>
      </c>
      <c r="AB39" s="5" t="s">
        <v>36</v>
      </c>
      <c r="AH39">
        <f t="shared" si="19"/>
        <v>34</v>
      </c>
      <c r="AI39">
        <f t="shared" si="13"/>
        <v>29</v>
      </c>
      <c r="AJ39">
        <f t="shared" si="18"/>
        <v>3</v>
      </c>
    </row>
    <row r="40" spans="1:36" x14ac:dyDescent="0.25">
      <c r="A40" s="5" t="s">
        <v>39</v>
      </c>
      <c r="B40" s="5" t="s">
        <v>30</v>
      </c>
      <c r="C40" s="5" t="str">
        <f t="shared" si="0"/>
        <v>description,dailCompDescStorm38,</v>
      </c>
      <c r="D40" s="5" t="str">
        <f t="shared" si="2"/>
        <v>itemText,dailCompTextStorm38,</v>
      </c>
      <c r="E40" s="5" t="str">
        <f t="shared" si="14"/>
        <v>augmentSkillLevel1,3,</v>
      </c>
      <c r="F40" s="5" t="str">
        <f t="shared" si="15"/>
        <v>augmentSkillName1,records/skillsstorm/stormwisp_petmodifier_eyeofthestorm.dbr,,</v>
      </c>
      <c r="G40" s="7">
        <f t="shared" si="10"/>
        <v>38</v>
      </c>
      <c r="H40" s="8" t="str">
        <f t="shared" si="11"/>
        <v>Storm</v>
      </c>
      <c r="I40" s="3" t="s">
        <v>741</v>
      </c>
      <c r="J40" s="8" t="str">
        <f t="shared" si="21"/>
        <v>class0023</v>
      </c>
      <c r="K40" s="8" t="str">
        <f t="shared" si="21"/>
        <v>dailoneskill0023</v>
      </c>
      <c r="L40" s="5" t="str">
        <f t="shared" si="4"/>
        <v>lootName38,DAIL/items/materia/class0023/Storm38.dbr,</v>
      </c>
      <c r="M40" s="5" t="str">
        <f t="shared" si="5"/>
        <v>lootWeight38,1,</v>
      </c>
      <c r="N40" t="str">
        <f t="shared" si="6"/>
        <v>3</v>
      </c>
      <c r="O40" t="str">
        <f t="shared" si="16"/>
        <v>copy .\dail_base3.dbr .\items\materia\class0023\Storm38.dbr /y</v>
      </c>
      <c r="P40" t="str">
        <f t="shared" si="7"/>
        <v>echo relicBitmap,items/craftingparts/components/component_a52_bristlyfur_b.tex, &gt;&gt; .\items\materia\class0023\Storm38.dbr</v>
      </c>
      <c r="Q40" t="str">
        <f t="shared" si="7"/>
        <v>echo itemCost,500000, &gt;&gt; .\items\materia\class0023\Storm38.dbr</v>
      </c>
      <c r="R40" t="str">
        <f t="shared" si="7"/>
        <v>echo description,dailCompDescStorm38, &gt;&gt; .\items\materia\class0023\Storm38.dbr</v>
      </c>
      <c r="S40" t="str">
        <f t="shared" si="7"/>
        <v>echo itemText,dailCompTextStorm38, &gt;&gt; .\items\materia\class0023\Storm38.dbr</v>
      </c>
      <c r="T40" t="str">
        <f t="shared" si="7"/>
        <v>echo augmentSkillLevel1,3, &gt;&gt; .\items\materia\class0023\Storm38.dbr</v>
      </c>
      <c r="U40" t="str">
        <f t="shared" si="7"/>
        <v>echo augmentSkillName1,records/skillsstorm/stormwisp_petmodifier_eyeofthestorm.dbr,, &gt;&gt; .\items\materia\class0023\Storm38.dbr</v>
      </c>
      <c r="V40" s="5" t="s">
        <v>36</v>
      </c>
      <c r="W40" t="str">
        <f t="shared" si="8"/>
        <v>echo lootName38,DAIL/items/materia/class0023/Storm38.dbr, &gt;&gt; .\items\loottables\dailoneskill0023.dbr</v>
      </c>
      <c r="X40" t="str">
        <f t="shared" si="8"/>
        <v>echo lootWeight38,1, &gt;&gt; .\items\loottables\dailoneskill0023.dbr</v>
      </c>
      <c r="Y40" s="5" t="s">
        <v>36</v>
      </c>
      <c r="Z40" t="str">
        <f t="shared" si="9"/>
        <v xml:space="preserve"> dailCompDescStorm38=^pStorm's Gift of DAIL</v>
      </c>
      <c r="AA40" t="str">
        <f t="shared" si="17"/>
        <v>dailCompTextStorm38=^oThis feels warm to the touch, almost familiar ^w(This component only fits into the Medal Slot)</v>
      </c>
      <c r="AB40" s="5" t="s">
        <v>36</v>
      </c>
      <c r="AH40">
        <f t="shared" si="19"/>
        <v>35</v>
      </c>
      <c r="AI40">
        <f t="shared" si="13"/>
        <v>46</v>
      </c>
      <c r="AJ40">
        <f t="shared" si="18"/>
        <v>3</v>
      </c>
    </row>
    <row r="41" spans="1:36" x14ac:dyDescent="0.25">
      <c r="A41" s="5" t="s">
        <v>39</v>
      </c>
      <c r="B41" s="5" t="s">
        <v>30</v>
      </c>
      <c r="C41" s="5" t="str">
        <f t="shared" si="0"/>
        <v>description,dailCompDescStorm39,</v>
      </c>
      <c r="D41" s="5" t="str">
        <f t="shared" si="2"/>
        <v>itemText,dailCompTextStorm39,</v>
      </c>
      <c r="E41" s="5" t="str">
        <f t="shared" si="14"/>
        <v>augmentSkillLevel1,3,</v>
      </c>
      <c r="F41" s="5" t="str">
        <f t="shared" si="15"/>
        <v>augmentSkillName1,records/skillsstorm/spellbreaker.dbr,,</v>
      </c>
      <c r="G41" s="7">
        <f t="shared" si="10"/>
        <v>39</v>
      </c>
      <c r="H41" s="8" t="str">
        <f t="shared" si="11"/>
        <v>Storm</v>
      </c>
      <c r="I41" s="3" t="s">
        <v>742</v>
      </c>
      <c r="J41" s="8" t="str">
        <f t="shared" si="21"/>
        <v>class0023</v>
      </c>
      <c r="K41" s="8" t="str">
        <f t="shared" si="21"/>
        <v>dailoneskill0023</v>
      </c>
      <c r="L41" s="5" t="str">
        <f t="shared" si="4"/>
        <v>lootName39,DAIL/items/materia/class0023/Storm39.dbr,</v>
      </c>
      <c r="M41" s="5" t="str">
        <f t="shared" si="5"/>
        <v>lootWeight39,1,</v>
      </c>
      <c r="N41" t="str">
        <f t="shared" si="6"/>
        <v>3</v>
      </c>
      <c r="O41" t="str">
        <f t="shared" si="16"/>
        <v>copy .\dail_base3.dbr .\items\materia\class0023\Storm39.dbr /y</v>
      </c>
      <c r="P41" t="str">
        <f t="shared" si="7"/>
        <v>echo relicBitmap,items/craftingparts/components/component_a52_bristlyfur_b.tex, &gt;&gt; .\items\materia\class0023\Storm39.dbr</v>
      </c>
      <c r="Q41" t="str">
        <f t="shared" si="7"/>
        <v>echo itemCost,500000, &gt;&gt; .\items\materia\class0023\Storm39.dbr</v>
      </c>
      <c r="R41" t="str">
        <f t="shared" si="7"/>
        <v>echo description,dailCompDescStorm39, &gt;&gt; .\items\materia\class0023\Storm39.dbr</v>
      </c>
      <c r="S41" t="str">
        <f t="shared" si="7"/>
        <v>echo itemText,dailCompTextStorm39, &gt;&gt; .\items\materia\class0023\Storm39.dbr</v>
      </c>
      <c r="T41" t="str">
        <f t="shared" si="7"/>
        <v>echo augmentSkillLevel1,3, &gt;&gt; .\items\materia\class0023\Storm39.dbr</v>
      </c>
      <c r="U41" t="str">
        <f t="shared" si="7"/>
        <v>echo augmentSkillName1,records/skillsstorm/spellbreaker.dbr,, &gt;&gt; .\items\materia\class0023\Storm39.dbr</v>
      </c>
      <c r="V41" s="5" t="s">
        <v>36</v>
      </c>
      <c r="W41" t="str">
        <f t="shared" si="8"/>
        <v>echo lootName39,DAIL/items/materia/class0023/Storm39.dbr, &gt;&gt; .\items\loottables\dailoneskill0023.dbr</v>
      </c>
      <c r="X41" t="str">
        <f t="shared" si="8"/>
        <v>echo lootWeight39,1, &gt;&gt; .\items\loottables\dailoneskill0023.dbr</v>
      </c>
      <c r="Y41" s="5" t="s">
        <v>36</v>
      </c>
      <c r="Z41" t="str">
        <f t="shared" si="9"/>
        <v xml:space="preserve"> dailCompDescStorm39=^pStorm's Gift of DAIL</v>
      </c>
      <c r="AA41" t="str">
        <f t="shared" si="17"/>
        <v>dailCompTextStorm39=^oThis feels warm to the touch, almost familiar ^w(This component only fits into the Medal Slot)</v>
      </c>
      <c r="AB41" s="5" t="s">
        <v>36</v>
      </c>
      <c r="AH41">
        <f t="shared" si="19"/>
        <v>36</v>
      </c>
      <c r="AI41">
        <f t="shared" si="13"/>
        <v>23</v>
      </c>
      <c r="AJ41">
        <f t="shared" si="18"/>
        <v>3</v>
      </c>
    </row>
    <row r="42" spans="1:36" x14ac:dyDescent="0.25">
      <c r="A42" s="5" t="s">
        <v>39</v>
      </c>
      <c r="B42" s="5" t="s">
        <v>30</v>
      </c>
      <c r="C42" s="5" t="str">
        <f t="shared" si="0"/>
        <v>description,dailCompDescStorm40,</v>
      </c>
      <c r="D42" s="5" t="str">
        <f t="shared" si="2"/>
        <v>itemText,dailCompTextStorm40,</v>
      </c>
      <c r="E42" s="5" t="str">
        <f t="shared" si="14"/>
        <v>augmentSkillLevel1,3,</v>
      </c>
      <c r="F42" s="5" t="str">
        <f t="shared" si="15"/>
        <v>augmentSkillName1,records/skillsstorm/spellbreaker_spellshock.dbr,,</v>
      </c>
      <c r="G42" s="7">
        <f t="shared" si="10"/>
        <v>40</v>
      </c>
      <c r="H42" s="8" t="str">
        <f t="shared" si="11"/>
        <v>Storm</v>
      </c>
      <c r="I42" s="3" t="s">
        <v>743</v>
      </c>
      <c r="J42" s="8" t="str">
        <f t="shared" si="21"/>
        <v>class0023</v>
      </c>
      <c r="K42" s="8" t="str">
        <f t="shared" si="21"/>
        <v>dailoneskill0023</v>
      </c>
      <c r="L42" s="5" t="str">
        <f t="shared" si="4"/>
        <v>lootName40,DAIL/items/materia/class0023/Storm40.dbr,</v>
      </c>
      <c r="M42" s="5" t="str">
        <f t="shared" si="5"/>
        <v>lootWeight40,1,</v>
      </c>
      <c r="N42" t="str">
        <f t="shared" si="6"/>
        <v>3</v>
      </c>
      <c r="O42" t="str">
        <f t="shared" si="16"/>
        <v>copy .\dail_base3.dbr .\items\materia\class0023\Storm40.dbr /y</v>
      </c>
      <c r="P42" t="str">
        <f t="shared" si="7"/>
        <v>echo relicBitmap,items/craftingparts/components/component_a52_bristlyfur_b.tex, &gt;&gt; .\items\materia\class0023\Storm40.dbr</v>
      </c>
      <c r="Q42" t="str">
        <f t="shared" si="7"/>
        <v>echo itemCost,500000, &gt;&gt; .\items\materia\class0023\Storm40.dbr</v>
      </c>
      <c r="R42" t="str">
        <f t="shared" si="7"/>
        <v>echo description,dailCompDescStorm40, &gt;&gt; .\items\materia\class0023\Storm40.dbr</v>
      </c>
      <c r="S42" t="str">
        <f t="shared" si="7"/>
        <v>echo itemText,dailCompTextStorm40, &gt;&gt; .\items\materia\class0023\Storm40.dbr</v>
      </c>
      <c r="T42" t="str">
        <f t="shared" si="7"/>
        <v>echo augmentSkillLevel1,3, &gt;&gt; .\items\materia\class0023\Storm40.dbr</v>
      </c>
      <c r="U42" t="str">
        <f t="shared" si="7"/>
        <v>echo augmentSkillName1,records/skillsstorm/spellbreaker_spellshock.dbr,, &gt;&gt; .\items\materia\class0023\Storm40.dbr</v>
      </c>
      <c r="V42" s="5" t="s">
        <v>36</v>
      </c>
      <c r="W42" t="str">
        <f t="shared" si="8"/>
        <v>echo lootName40,DAIL/items/materia/class0023/Storm40.dbr, &gt;&gt; .\items\loottables\dailoneskill0023.dbr</v>
      </c>
      <c r="X42" t="str">
        <f t="shared" si="8"/>
        <v>echo lootWeight40,1, &gt;&gt; .\items\loottables\dailoneskill0023.dbr</v>
      </c>
      <c r="Y42" s="5" t="s">
        <v>36</v>
      </c>
      <c r="Z42" t="str">
        <f t="shared" si="9"/>
        <v xml:space="preserve"> dailCompDescStorm40=^pStorm's Gift of DAIL</v>
      </c>
      <c r="AA42" t="str">
        <f t="shared" si="17"/>
        <v>dailCompTextStorm40=^oThis feels warm to the touch, almost familiar ^w(This component only fits into the Medal Slot)</v>
      </c>
      <c r="AB42" s="5" t="s">
        <v>36</v>
      </c>
      <c r="AH42">
        <f t="shared" si="19"/>
        <v>37</v>
      </c>
      <c r="AI42">
        <f t="shared" si="13"/>
        <v>34</v>
      </c>
      <c r="AJ42">
        <f t="shared" si="18"/>
        <v>3</v>
      </c>
    </row>
    <row r="43" spans="1:36" x14ac:dyDescent="0.25">
      <c r="A43" s="5" t="s">
        <v>39</v>
      </c>
      <c r="B43" s="5" t="s">
        <v>30</v>
      </c>
      <c r="C43" s="5" t="str">
        <f t="shared" si="0"/>
        <v>description,dailCompDescStorm41,</v>
      </c>
      <c r="D43" s="5" t="str">
        <f t="shared" si="2"/>
        <v>itemText,dailCompTextStorm41,</v>
      </c>
      <c r="E43" s="5" t="str">
        <f t="shared" si="14"/>
        <v>augmentSkillLevel1,3,</v>
      </c>
      <c r="F43" s="5" t="str">
        <f t="shared" si="15"/>
        <v>augmentSkillName1,records/skillsstorm/stormsurge.dbr,,</v>
      </c>
      <c r="G43" s="7">
        <f t="shared" si="10"/>
        <v>41</v>
      </c>
      <c r="H43" s="8" t="str">
        <f t="shared" si="11"/>
        <v>Storm</v>
      </c>
      <c r="I43" s="3" t="s">
        <v>744</v>
      </c>
      <c r="J43" s="8" t="str">
        <f t="shared" si="21"/>
        <v>class0023</v>
      </c>
      <c r="K43" s="8" t="str">
        <f t="shared" si="21"/>
        <v>dailoneskill0023</v>
      </c>
      <c r="L43" s="5" t="str">
        <f t="shared" si="4"/>
        <v>lootName41,DAIL/items/materia/class0023/Storm41.dbr,</v>
      </c>
      <c r="M43" s="5" t="str">
        <f t="shared" si="5"/>
        <v>lootWeight41,1,</v>
      </c>
      <c r="N43" t="str">
        <f t="shared" si="6"/>
        <v>3</v>
      </c>
      <c r="O43" t="str">
        <f t="shared" si="16"/>
        <v>copy .\dail_base3.dbr .\items\materia\class0023\Storm41.dbr /y</v>
      </c>
      <c r="P43" t="str">
        <f t="shared" si="7"/>
        <v>echo relicBitmap,items/craftingparts/components/component_a52_bristlyfur_b.tex, &gt;&gt; .\items\materia\class0023\Storm41.dbr</v>
      </c>
      <c r="Q43" t="str">
        <f t="shared" si="7"/>
        <v>echo itemCost,500000, &gt;&gt; .\items\materia\class0023\Storm41.dbr</v>
      </c>
      <c r="R43" t="str">
        <f t="shared" si="7"/>
        <v>echo description,dailCompDescStorm41, &gt;&gt; .\items\materia\class0023\Storm41.dbr</v>
      </c>
      <c r="S43" t="str">
        <f t="shared" si="7"/>
        <v>echo itemText,dailCompTextStorm41, &gt;&gt; .\items\materia\class0023\Storm41.dbr</v>
      </c>
      <c r="T43" t="str">
        <f t="shared" si="7"/>
        <v>echo augmentSkillLevel1,3, &gt;&gt; .\items\materia\class0023\Storm41.dbr</v>
      </c>
      <c r="U43" t="str">
        <f t="shared" si="7"/>
        <v>echo augmentSkillName1,records/skillsstorm/stormsurge.dbr,, &gt;&gt; .\items\materia\class0023\Storm41.dbr</v>
      </c>
      <c r="V43" s="5" t="s">
        <v>36</v>
      </c>
      <c r="W43" t="str">
        <f t="shared" si="8"/>
        <v>echo lootName41,DAIL/items/materia/class0023/Storm41.dbr, &gt;&gt; .\items\loottables\dailoneskill0023.dbr</v>
      </c>
      <c r="X43" t="str">
        <f t="shared" si="8"/>
        <v>echo lootWeight41,1, &gt;&gt; .\items\loottables\dailoneskill0023.dbr</v>
      </c>
      <c r="Y43" s="5" t="s">
        <v>36</v>
      </c>
      <c r="Z43" t="str">
        <f t="shared" si="9"/>
        <v xml:space="preserve"> dailCompDescStorm41=^pStorm's Gift of DAIL</v>
      </c>
      <c r="AA43" t="str">
        <f t="shared" si="17"/>
        <v>dailCompTextStorm41=^oThis feels warm to the touch, almost familiar ^w(This component only fits into the Medal Slot)</v>
      </c>
      <c r="AB43" s="5" t="s">
        <v>36</v>
      </c>
      <c r="AH43">
        <f t="shared" si="19"/>
        <v>38</v>
      </c>
      <c r="AI43">
        <f t="shared" si="13"/>
        <v>21</v>
      </c>
      <c r="AJ43">
        <f t="shared" si="18"/>
        <v>3</v>
      </c>
    </row>
    <row r="44" spans="1:36" x14ac:dyDescent="0.25">
      <c r="A44" s="5" t="s">
        <v>39</v>
      </c>
      <c r="B44" s="5" t="s">
        <v>30</v>
      </c>
      <c r="C44" s="5" t="str">
        <f t="shared" si="0"/>
        <v>description,dailCompDescStorm42,</v>
      </c>
      <c r="D44" s="5" t="str">
        <f t="shared" si="2"/>
        <v>itemText,dailCompTextStorm42,</v>
      </c>
      <c r="E44" s="5" t="str">
        <f t="shared" si="14"/>
        <v>augmentSkillLevel1,3,</v>
      </c>
      <c r="F44" s="5" t="str">
        <f t="shared" si="15"/>
        <v>augmentSkillName1,records/skillsstorm/thunderball.dbr,,</v>
      </c>
      <c r="G44" s="7">
        <f t="shared" si="10"/>
        <v>42</v>
      </c>
      <c r="H44" s="8" t="str">
        <f t="shared" si="11"/>
        <v>Storm</v>
      </c>
      <c r="I44" s="3" t="s">
        <v>745</v>
      </c>
      <c r="J44" s="8" t="str">
        <f t="shared" si="21"/>
        <v>class0023</v>
      </c>
      <c r="K44" s="8" t="str">
        <f t="shared" si="21"/>
        <v>dailoneskill0023</v>
      </c>
      <c r="L44" s="5" t="str">
        <f t="shared" si="4"/>
        <v>lootName42,DAIL/items/materia/class0023/Storm42.dbr,</v>
      </c>
      <c r="M44" s="5" t="str">
        <f t="shared" si="5"/>
        <v>lootWeight42,1,</v>
      </c>
      <c r="N44" t="str">
        <f t="shared" si="6"/>
        <v>3</v>
      </c>
      <c r="O44" t="str">
        <f t="shared" si="16"/>
        <v>copy .\dail_base3.dbr .\items\materia\class0023\Storm42.dbr /y</v>
      </c>
      <c r="P44" t="str">
        <f t="shared" si="7"/>
        <v>echo relicBitmap,items/craftingparts/components/component_a52_bristlyfur_b.tex, &gt;&gt; .\items\materia\class0023\Storm42.dbr</v>
      </c>
      <c r="Q44" t="str">
        <f t="shared" si="7"/>
        <v>echo itemCost,500000, &gt;&gt; .\items\materia\class0023\Storm42.dbr</v>
      </c>
      <c r="R44" t="str">
        <f t="shared" si="7"/>
        <v>echo description,dailCompDescStorm42, &gt;&gt; .\items\materia\class0023\Storm42.dbr</v>
      </c>
      <c r="S44" t="str">
        <f t="shared" si="7"/>
        <v>echo itemText,dailCompTextStorm42, &gt;&gt; .\items\materia\class0023\Storm42.dbr</v>
      </c>
      <c r="T44" t="str">
        <f t="shared" si="7"/>
        <v>echo augmentSkillLevel1,3, &gt;&gt; .\items\materia\class0023\Storm42.dbr</v>
      </c>
      <c r="U44" t="str">
        <f t="shared" si="7"/>
        <v>echo augmentSkillName1,records/skillsstorm/thunderball.dbr,, &gt;&gt; .\items\materia\class0023\Storm42.dbr</v>
      </c>
      <c r="V44" s="5" t="s">
        <v>36</v>
      </c>
      <c r="W44" t="str">
        <f t="shared" si="8"/>
        <v>echo lootName42,DAIL/items/materia/class0023/Storm42.dbr, &gt;&gt; .\items\loottables\dailoneskill0023.dbr</v>
      </c>
      <c r="X44" t="str">
        <f t="shared" si="8"/>
        <v>echo lootWeight42,1, &gt;&gt; .\items\loottables\dailoneskill0023.dbr</v>
      </c>
      <c r="Y44" s="5" t="s">
        <v>36</v>
      </c>
      <c r="Z44" t="str">
        <f t="shared" si="9"/>
        <v xml:space="preserve"> dailCompDescStorm42=^pStorm's Gift of DAIL</v>
      </c>
      <c r="AA44" t="str">
        <f t="shared" si="17"/>
        <v>dailCompTextStorm42=^oThis feels warm to the touch, almost familiar ^w(This component only fits into the Medal Slot)</v>
      </c>
      <c r="AB44" s="5" t="s">
        <v>36</v>
      </c>
      <c r="AH44">
        <f t="shared" si="19"/>
        <v>39</v>
      </c>
      <c r="AI44">
        <f t="shared" si="13"/>
        <v>22</v>
      </c>
      <c r="AJ44">
        <f t="shared" si="18"/>
        <v>3</v>
      </c>
    </row>
    <row r="45" spans="1:36" x14ac:dyDescent="0.25">
      <c r="A45" s="5" t="s">
        <v>39</v>
      </c>
      <c r="B45" s="5" t="s">
        <v>30</v>
      </c>
      <c r="C45" s="5" t="str">
        <f t="shared" si="0"/>
        <v>description,dailCompDescStorm43,</v>
      </c>
      <c r="D45" s="5" t="str">
        <f t="shared" si="2"/>
        <v>itemText,dailCompTextStorm43,</v>
      </c>
      <c r="E45" s="5" t="str">
        <f t="shared" si="14"/>
        <v>augmentSkillLevel1,5,</v>
      </c>
      <c r="F45" s="5" t="str">
        <f t="shared" si="15"/>
        <v>augmentSkillName1,records/skillsstorm/thunderball_concussiveblast.dbr,,</v>
      </c>
      <c r="G45" s="7">
        <f t="shared" si="10"/>
        <v>43</v>
      </c>
      <c r="H45" s="8" t="str">
        <f t="shared" si="11"/>
        <v>Storm</v>
      </c>
      <c r="I45" s="3" t="s">
        <v>746</v>
      </c>
      <c r="J45" s="8" t="str">
        <f t="shared" si="21"/>
        <v>class0023</v>
      </c>
      <c r="K45" s="8" t="str">
        <f t="shared" si="21"/>
        <v>dailoneskill0023</v>
      </c>
      <c r="L45" s="5" t="str">
        <f t="shared" si="4"/>
        <v>lootName43,DAIL/items/materia/class0023/Storm43.dbr,</v>
      </c>
      <c r="M45" s="5" t="str">
        <f t="shared" si="5"/>
        <v>lootWeight43,1,</v>
      </c>
      <c r="N45" t="str">
        <f t="shared" si="6"/>
        <v>5</v>
      </c>
      <c r="O45" t="str">
        <f t="shared" si="16"/>
        <v>copy .\dail_base3.dbr .\items\materia\class0023\Storm43.dbr /y</v>
      </c>
      <c r="P45" t="str">
        <f t="shared" si="7"/>
        <v>echo relicBitmap,items/craftingparts/components/component_a52_bristlyfur_b.tex, &gt;&gt; .\items\materia\class0023\Storm43.dbr</v>
      </c>
      <c r="Q45" t="str">
        <f t="shared" si="7"/>
        <v>echo itemCost,500000, &gt;&gt; .\items\materia\class0023\Storm43.dbr</v>
      </c>
      <c r="R45" t="str">
        <f t="shared" si="7"/>
        <v>echo description,dailCompDescStorm43, &gt;&gt; .\items\materia\class0023\Storm43.dbr</v>
      </c>
      <c r="S45" t="str">
        <f t="shared" si="7"/>
        <v>echo itemText,dailCompTextStorm43, &gt;&gt; .\items\materia\class0023\Storm43.dbr</v>
      </c>
      <c r="T45" t="str">
        <f t="shared" si="7"/>
        <v>echo augmentSkillLevel1,5, &gt;&gt; .\items\materia\class0023\Storm43.dbr</v>
      </c>
      <c r="U45" t="str">
        <f t="shared" si="7"/>
        <v>echo augmentSkillName1,records/skillsstorm/thunderball_concussiveblast.dbr,, &gt;&gt; .\items\materia\class0023\Storm43.dbr</v>
      </c>
      <c r="V45" s="5" t="s">
        <v>36</v>
      </c>
      <c r="W45" t="str">
        <f t="shared" si="8"/>
        <v>echo lootName43,DAIL/items/materia/class0023/Storm43.dbr, &gt;&gt; .\items\loottables\dailoneskill0023.dbr</v>
      </c>
      <c r="X45" t="str">
        <f t="shared" si="8"/>
        <v>echo lootWeight43,1, &gt;&gt; .\items\loottables\dailoneskill0023.dbr</v>
      </c>
      <c r="Y45" s="5" t="s">
        <v>36</v>
      </c>
      <c r="Z45" t="str">
        <f t="shared" si="9"/>
        <v xml:space="preserve"> dailCompDescStorm43=^pStorm's Gift of DAIL</v>
      </c>
      <c r="AA45" t="str">
        <f t="shared" si="17"/>
        <v>dailCompTextStorm43=^oThis feels warm to the touch, almost familiar ^w(This component only fits into the Medal Slot)</v>
      </c>
      <c r="AB45" s="5" t="s">
        <v>36</v>
      </c>
      <c r="AH45">
        <f t="shared" si="19"/>
        <v>40</v>
      </c>
      <c r="AI45">
        <f t="shared" si="13"/>
        <v>38</v>
      </c>
      <c r="AJ45">
        <f t="shared" si="18"/>
        <v>5</v>
      </c>
    </row>
    <row r="46" spans="1:36" x14ac:dyDescent="0.25">
      <c r="A46" s="5" t="s">
        <v>39</v>
      </c>
      <c r="B46" s="5" t="s">
        <v>30</v>
      </c>
      <c r="C46" s="5" t="str">
        <f t="shared" si="0"/>
        <v>description,dailCompDescStorm44,</v>
      </c>
      <c r="D46" s="5" t="str">
        <f t="shared" si="2"/>
        <v>itemText,dailCompTextStorm44,</v>
      </c>
      <c r="E46" s="5" t="str">
        <f t="shared" si="14"/>
        <v>augmentSkillLevel1,5,</v>
      </c>
      <c r="F46" s="5" t="str">
        <f t="shared" si="15"/>
        <v>augmentSkillName1,records/skillsstorm/iceshard.dbr,,</v>
      </c>
      <c r="G46" s="7">
        <f t="shared" si="10"/>
        <v>44</v>
      </c>
      <c r="H46" s="8" t="str">
        <f t="shared" si="11"/>
        <v>Storm</v>
      </c>
      <c r="I46" s="3" t="s">
        <v>727</v>
      </c>
      <c r="J46" s="8" t="str">
        <f t="shared" si="21"/>
        <v>class0023</v>
      </c>
      <c r="K46" s="8" t="str">
        <f t="shared" si="21"/>
        <v>dailoneskill0023</v>
      </c>
      <c r="L46" s="5" t="str">
        <f t="shared" si="4"/>
        <v>lootName44,DAIL/items/materia/class0023/Storm44.dbr,</v>
      </c>
      <c r="M46" s="5" t="str">
        <f t="shared" si="5"/>
        <v>lootWeight44,1,</v>
      </c>
      <c r="N46" t="str">
        <f t="shared" si="6"/>
        <v>5</v>
      </c>
      <c r="O46" t="str">
        <f t="shared" si="16"/>
        <v>copy .\dail_base3.dbr .\items\materia\class0023\Storm44.dbr /y</v>
      </c>
      <c r="P46" t="str">
        <f t="shared" si="7"/>
        <v>echo relicBitmap,items/craftingparts/components/component_a52_bristlyfur_b.tex, &gt;&gt; .\items\materia\class0023\Storm44.dbr</v>
      </c>
      <c r="Q46" t="str">
        <f t="shared" si="7"/>
        <v>echo itemCost,500000, &gt;&gt; .\items\materia\class0023\Storm44.dbr</v>
      </c>
      <c r="R46" t="str">
        <f t="shared" si="7"/>
        <v>echo description,dailCompDescStorm44, &gt;&gt; .\items\materia\class0023\Storm44.dbr</v>
      </c>
      <c r="S46" t="str">
        <f t="shared" si="7"/>
        <v>echo itemText,dailCompTextStorm44, &gt;&gt; .\items\materia\class0023\Storm44.dbr</v>
      </c>
      <c r="T46" t="str">
        <f t="shared" si="7"/>
        <v>echo augmentSkillLevel1,5, &gt;&gt; .\items\materia\class0023\Storm44.dbr</v>
      </c>
      <c r="U46" t="str">
        <f t="shared" si="7"/>
        <v>echo augmentSkillName1,records/skillsstorm/iceshard.dbr,, &gt;&gt; .\items\materia\class0023\Storm44.dbr</v>
      </c>
      <c r="V46" s="5" t="s">
        <v>36</v>
      </c>
      <c r="W46" t="str">
        <f t="shared" si="8"/>
        <v>echo lootName44,DAIL/items/materia/class0023/Storm44.dbr, &gt;&gt; .\items\loottables\dailoneskill0023.dbr</v>
      </c>
      <c r="X46" t="str">
        <f t="shared" si="8"/>
        <v>echo lootWeight44,1, &gt;&gt; .\items\loottables\dailoneskill0023.dbr</v>
      </c>
      <c r="Y46" s="5" t="s">
        <v>36</v>
      </c>
      <c r="Z46" t="str">
        <f t="shared" si="9"/>
        <v xml:space="preserve"> dailCompDescStorm44=^pStorm's Gift of DAIL</v>
      </c>
      <c r="AA46" t="str">
        <f t="shared" si="17"/>
        <v>dailCompTextStorm44=^oThis feels warm to the touch, almost familiar ^w(This component only fits into the Medal Slot)</v>
      </c>
      <c r="AB46" s="5" t="s">
        <v>36</v>
      </c>
      <c r="AH46">
        <f t="shared" si="19"/>
        <v>41</v>
      </c>
      <c r="AI46">
        <f t="shared" si="13"/>
        <v>19</v>
      </c>
      <c r="AJ46">
        <f t="shared" si="18"/>
        <v>5</v>
      </c>
    </row>
    <row r="47" spans="1:36" x14ac:dyDescent="0.25">
      <c r="A47" s="5" t="s">
        <v>39</v>
      </c>
      <c r="B47" s="5" t="s">
        <v>30</v>
      </c>
      <c r="C47" s="5" t="str">
        <f t="shared" si="0"/>
        <v>description,dailCompDescStorm45,</v>
      </c>
      <c r="D47" s="5" t="str">
        <f t="shared" si="2"/>
        <v>itemText,dailCompTextStorm45,</v>
      </c>
      <c r="E47" s="5" t="str">
        <f t="shared" si="14"/>
        <v>augmentSkillLevel1,5,</v>
      </c>
      <c r="F47" s="5" t="str">
        <f t="shared" si="15"/>
        <v>augmentSkillName1,records/skillsstorm/iceshard_velocity.dbr,,</v>
      </c>
      <c r="G47" s="7">
        <f t="shared" si="10"/>
        <v>45</v>
      </c>
      <c r="H47" s="8" t="str">
        <f t="shared" si="11"/>
        <v>Storm</v>
      </c>
      <c r="I47" s="3" t="s">
        <v>728</v>
      </c>
      <c r="J47" s="8" t="str">
        <f t="shared" si="21"/>
        <v>class0023</v>
      </c>
      <c r="K47" s="8" t="str">
        <f t="shared" si="21"/>
        <v>dailoneskill0023</v>
      </c>
      <c r="L47" s="5" t="str">
        <f t="shared" si="4"/>
        <v>lootName45,DAIL/items/materia/class0023/Storm45.dbr,</v>
      </c>
      <c r="M47" s="5" t="str">
        <f t="shared" si="5"/>
        <v>lootWeight45,1,</v>
      </c>
      <c r="N47" t="str">
        <f t="shared" si="6"/>
        <v>5</v>
      </c>
      <c r="O47" t="str">
        <f t="shared" si="16"/>
        <v>copy .\dail_base3.dbr .\items\materia\class0023\Storm45.dbr /y</v>
      </c>
      <c r="P47" t="str">
        <f t="shared" si="7"/>
        <v>echo relicBitmap,items/craftingparts/components/component_a52_bristlyfur_b.tex, &gt;&gt; .\items\materia\class0023\Storm45.dbr</v>
      </c>
      <c r="Q47" t="str">
        <f t="shared" si="7"/>
        <v>echo itemCost,500000, &gt;&gt; .\items\materia\class0023\Storm45.dbr</v>
      </c>
      <c r="R47" t="str">
        <f t="shared" si="7"/>
        <v>echo description,dailCompDescStorm45, &gt;&gt; .\items\materia\class0023\Storm45.dbr</v>
      </c>
      <c r="S47" t="str">
        <f t="shared" si="7"/>
        <v>echo itemText,dailCompTextStorm45, &gt;&gt; .\items\materia\class0023\Storm45.dbr</v>
      </c>
      <c r="T47" t="str">
        <f t="shared" si="7"/>
        <v>echo augmentSkillLevel1,5, &gt;&gt; .\items\materia\class0023\Storm45.dbr</v>
      </c>
      <c r="U47" t="str">
        <f t="shared" si="7"/>
        <v>echo augmentSkillName1,records/skillsstorm/iceshard_velocity.dbr,, &gt;&gt; .\items\materia\class0023\Storm45.dbr</v>
      </c>
      <c r="V47" s="5" t="s">
        <v>36</v>
      </c>
      <c r="W47" t="str">
        <f t="shared" si="8"/>
        <v>echo lootName45,DAIL/items/materia/class0023/Storm45.dbr, &gt;&gt; .\items\loottables\dailoneskill0023.dbr</v>
      </c>
      <c r="X47" t="str">
        <f t="shared" si="8"/>
        <v>echo lootWeight45,1, &gt;&gt; .\items\loottables\dailoneskill0023.dbr</v>
      </c>
      <c r="Y47" s="5" t="s">
        <v>36</v>
      </c>
      <c r="Z47" t="str">
        <f t="shared" si="9"/>
        <v xml:space="preserve"> dailCompDescStorm45=^pStorm's Gift of DAIL</v>
      </c>
      <c r="AA47" t="str">
        <f t="shared" si="17"/>
        <v>dailCompTextStorm45=^oThis feels warm to the touch, almost familiar ^w(This component only fits into the Medal Slot)</v>
      </c>
      <c r="AB47" s="5" t="s">
        <v>36</v>
      </c>
      <c r="AH47">
        <f t="shared" si="19"/>
        <v>42</v>
      </c>
      <c r="AI47">
        <f t="shared" si="13"/>
        <v>28</v>
      </c>
      <c r="AJ47">
        <f t="shared" si="18"/>
        <v>5</v>
      </c>
    </row>
    <row r="48" spans="1:36" x14ac:dyDescent="0.25">
      <c r="A48" s="5" t="s">
        <v>39</v>
      </c>
      <c r="B48" s="5" t="s">
        <v>30</v>
      </c>
      <c r="C48" s="5" t="str">
        <f t="shared" si="0"/>
        <v>description,dailCompDescStorm46,</v>
      </c>
      <c r="D48" s="5" t="str">
        <f t="shared" si="2"/>
        <v>itemText,dailCompTextStorm46,</v>
      </c>
      <c r="E48" s="5" t="str">
        <f t="shared" si="14"/>
        <v>augmentSkillLevel1,5,</v>
      </c>
      <c r="F48" s="5" t="str">
        <f t="shared" si="15"/>
        <v>augmentSkillName1,records/skillsstorm/iceshard_torrent.dbr,,</v>
      </c>
      <c r="G48" s="7">
        <f t="shared" si="10"/>
        <v>46</v>
      </c>
      <c r="H48" s="8" t="str">
        <f t="shared" si="11"/>
        <v>Storm</v>
      </c>
      <c r="I48" s="3" t="s">
        <v>729</v>
      </c>
      <c r="J48" s="8" t="str">
        <f t="shared" si="21"/>
        <v>class0023</v>
      </c>
      <c r="K48" s="8" t="str">
        <f t="shared" si="21"/>
        <v>dailoneskill0023</v>
      </c>
      <c r="L48" s="5" t="str">
        <f t="shared" si="4"/>
        <v>lootName46,DAIL/items/materia/class0023/Storm46.dbr,</v>
      </c>
      <c r="M48" s="5" t="str">
        <f t="shared" si="5"/>
        <v>lootWeight46,1,</v>
      </c>
      <c r="N48" t="str">
        <f t="shared" si="6"/>
        <v>5</v>
      </c>
      <c r="O48" t="str">
        <f t="shared" si="16"/>
        <v>copy .\dail_base3.dbr .\items\materia\class0023\Storm46.dbr /y</v>
      </c>
      <c r="P48" t="str">
        <f t="shared" si="7"/>
        <v>echo relicBitmap,items/craftingparts/components/component_a52_bristlyfur_b.tex, &gt;&gt; .\items\materia\class0023\Storm46.dbr</v>
      </c>
      <c r="Q48" t="str">
        <f t="shared" si="7"/>
        <v>echo itemCost,500000, &gt;&gt; .\items\materia\class0023\Storm46.dbr</v>
      </c>
      <c r="R48" t="str">
        <f t="shared" si="7"/>
        <v>echo description,dailCompDescStorm46, &gt;&gt; .\items\materia\class0023\Storm46.dbr</v>
      </c>
      <c r="S48" t="str">
        <f t="shared" si="7"/>
        <v>echo itemText,dailCompTextStorm46, &gt;&gt; .\items\materia\class0023\Storm46.dbr</v>
      </c>
      <c r="T48" t="str">
        <f t="shared" si="7"/>
        <v>echo augmentSkillLevel1,5, &gt;&gt; .\items\materia\class0023\Storm46.dbr</v>
      </c>
      <c r="U48" t="str">
        <f t="shared" si="7"/>
        <v>echo augmentSkillName1,records/skillsstorm/iceshard_torrent.dbr,, &gt;&gt; .\items\materia\class0023\Storm46.dbr</v>
      </c>
      <c r="V48" s="5" t="s">
        <v>36</v>
      </c>
      <c r="W48" t="str">
        <f t="shared" si="8"/>
        <v>echo lootName46,DAIL/items/materia/class0023/Storm46.dbr, &gt;&gt; .\items\loottables\dailoneskill0023.dbr</v>
      </c>
      <c r="X48" t="str">
        <f t="shared" si="8"/>
        <v>echo lootWeight46,1, &gt;&gt; .\items\loottables\dailoneskill0023.dbr</v>
      </c>
      <c r="Y48" s="5" t="s">
        <v>36</v>
      </c>
      <c r="Z48" t="str">
        <f t="shared" si="9"/>
        <v xml:space="preserve"> dailCompDescStorm46=^pStorm's Gift of DAIL</v>
      </c>
      <c r="AA48" t="str">
        <f t="shared" si="17"/>
        <v>dailCompTextStorm46=^oThis feels warm to the touch, almost familiar ^w(This component only fits into the Medal Slot)</v>
      </c>
      <c r="AB48" s="5" t="s">
        <v>36</v>
      </c>
      <c r="AH48">
        <f t="shared" si="19"/>
        <v>43</v>
      </c>
      <c r="AI48">
        <f t="shared" si="13"/>
        <v>27</v>
      </c>
      <c r="AJ48">
        <f t="shared" si="18"/>
        <v>5</v>
      </c>
    </row>
    <row r="49" spans="1:36" x14ac:dyDescent="0.25">
      <c r="A49" s="5" t="s">
        <v>39</v>
      </c>
      <c r="B49" s="5" t="s">
        <v>30</v>
      </c>
      <c r="C49" s="5" t="str">
        <f t="shared" si="0"/>
        <v>description,dailCompDescStorm47,</v>
      </c>
      <c r="D49" s="5" t="str">
        <f t="shared" si="2"/>
        <v>itemText,dailCompTextStorm47,</v>
      </c>
      <c r="E49" s="5" t="str">
        <f t="shared" si="14"/>
        <v>augmentSkillLevel1,5,</v>
      </c>
      <c r="F49" s="5" t="str">
        <f t="shared" si="15"/>
        <v>augmentSkillName1,records/skillsstorm/lightningbolt.dbr,,</v>
      </c>
      <c r="G49" s="7">
        <f t="shared" si="10"/>
        <v>47</v>
      </c>
      <c r="H49" s="8" t="str">
        <f t="shared" si="11"/>
        <v>Storm</v>
      </c>
      <c r="I49" s="3" t="s">
        <v>730</v>
      </c>
      <c r="J49" s="8" t="str">
        <f t="shared" si="21"/>
        <v>class0023</v>
      </c>
      <c r="K49" s="8" t="str">
        <f t="shared" si="21"/>
        <v>dailoneskill0023</v>
      </c>
      <c r="L49" s="5" t="str">
        <f t="shared" si="4"/>
        <v>lootName47,DAIL/items/materia/class0023/Storm47.dbr,</v>
      </c>
      <c r="M49" s="5" t="str">
        <f t="shared" si="5"/>
        <v>lootWeight47,1,</v>
      </c>
      <c r="N49" t="str">
        <f t="shared" si="6"/>
        <v>5</v>
      </c>
      <c r="O49" t="str">
        <f t="shared" si="16"/>
        <v>copy .\dail_base3.dbr .\items\materia\class0023\Storm47.dbr /y</v>
      </c>
      <c r="P49" t="str">
        <f t="shared" si="7"/>
        <v>echo relicBitmap,items/craftingparts/components/component_a52_bristlyfur_b.tex, &gt;&gt; .\items\materia\class0023\Storm47.dbr</v>
      </c>
      <c r="Q49" t="str">
        <f t="shared" si="7"/>
        <v>echo itemCost,500000, &gt;&gt; .\items\materia\class0023\Storm47.dbr</v>
      </c>
      <c r="R49" t="str">
        <f t="shared" si="7"/>
        <v>echo description,dailCompDescStorm47, &gt;&gt; .\items\materia\class0023\Storm47.dbr</v>
      </c>
      <c r="S49" t="str">
        <f t="shared" si="7"/>
        <v>echo itemText,dailCompTextStorm47, &gt;&gt; .\items\materia\class0023\Storm47.dbr</v>
      </c>
      <c r="T49" t="str">
        <f t="shared" si="7"/>
        <v>echo augmentSkillLevel1,5, &gt;&gt; .\items\materia\class0023\Storm47.dbr</v>
      </c>
      <c r="U49" t="str">
        <f t="shared" si="7"/>
        <v>echo augmentSkillName1,records/skillsstorm/lightningbolt.dbr,, &gt;&gt; .\items\materia\class0023\Storm47.dbr</v>
      </c>
      <c r="V49" s="5" t="s">
        <v>36</v>
      </c>
      <c r="W49" t="str">
        <f t="shared" si="8"/>
        <v>echo lootName47,DAIL/items/materia/class0023/Storm47.dbr, &gt;&gt; .\items\loottables\dailoneskill0023.dbr</v>
      </c>
      <c r="X49" t="str">
        <f t="shared" si="8"/>
        <v>echo lootWeight47,1, &gt;&gt; .\items\loottables\dailoneskill0023.dbr</v>
      </c>
      <c r="Y49" s="5" t="s">
        <v>36</v>
      </c>
      <c r="Z49" t="str">
        <f t="shared" si="9"/>
        <v xml:space="preserve"> dailCompDescStorm47=^pStorm's Gift of DAIL</v>
      </c>
      <c r="AA49" t="str">
        <f t="shared" si="17"/>
        <v>dailCompTextStorm47=^oThis feels warm to the touch, almost familiar ^w(This component only fits into the Medal Slot)</v>
      </c>
      <c r="AB49" s="5" t="s">
        <v>36</v>
      </c>
      <c r="AH49">
        <f t="shared" si="19"/>
        <v>44</v>
      </c>
      <c r="AI49">
        <f t="shared" si="13"/>
        <v>24</v>
      </c>
      <c r="AJ49">
        <f t="shared" si="18"/>
        <v>5</v>
      </c>
    </row>
    <row r="50" spans="1:36" x14ac:dyDescent="0.25">
      <c r="A50" s="5" t="s">
        <v>39</v>
      </c>
      <c r="B50" s="5" t="s">
        <v>30</v>
      </c>
      <c r="C50" s="5" t="str">
        <f t="shared" si="0"/>
        <v>description,dailCompDescStorm48,</v>
      </c>
      <c r="D50" s="5" t="str">
        <f t="shared" si="2"/>
        <v>itemText,dailCompTextStorm48,</v>
      </c>
      <c r="E50" s="5" t="str">
        <f t="shared" si="14"/>
        <v>augmentSkillLevel1,5,</v>
      </c>
      <c r="F50" s="5" t="str">
        <f t="shared" si="15"/>
        <v>augmentSkillName1,records/skillsstorm/lightningbolt_chainlightning.dbr,,</v>
      </c>
      <c r="G50" s="7">
        <f t="shared" si="10"/>
        <v>48</v>
      </c>
      <c r="H50" s="8" t="str">
        <f t="shared" si="11"/>
        <v>Storm</v>
      </c>
      <c r="I50" s="3" t="s">
        <v>731</v>
      </c>
      <c r="J50" s="8" t="str">
        <f t="shared" si="21"/>
        <v>class0023</v>
      </c>
      <c r="K50" s="8" t="str">
        <f t="shared" si="21"/>
        <v>dailoneskill0023</v>
      </c>
      <c r="L50" s="5" t="str">
        <f t="shared" si="4"/>
        <v>lootName48,DAIL/items/materia/class0023/Storm48.dbr,</v>
      </c>
      <c r="M50" s="5" t="str">
        <f t="shared" si="5"/>
        <v>lootWeight48,1,</v>
      </c>
      <c r="N50" t="str">
        <f t="shared" si="6"/>
        <v>5</v>
      </c>
      <c r="O50" t="str">
        <f t="shared" si="16"/>
        <v>copy .\dail_base3.dbr .\items\materia\class0023\Storm48.dbr /y</v>
      </c>
      <c r="P50" t="str">
        <f t="shared" si="7"/>
        <v>echo relicBitmap,items/craftingparts/components/component_a52_bristlyfur_b.tex, &gt;&gt; .\items\materia\class0023\Storm48.dbr</v>
      </c>
      <c r="Q50" t="str">
        <f t="shared" si="7"/>
        <v>echo itemCost,500000, &gt;&gt; .\items\materia\class0023\Storm48.dbr</v>
      </c>
      <c r="R50" t="str">
        <f t="shared" si="7"/>
        <v>echo description,dailCompDescStorm48, &gt;&gt; .\items\materia\class0023\Storm48.dbr</v>
      </c>
      <c r="S50" t="str">
        <f t="shared" si="7"/>
        <v>echo itemText,dailCompTextStorm48, &gt;&gt; .\items\materia\class0023\Storm48.dbr</v>
      </c>
      <c r="T50" t="str">
        <f t="shared" si="7"/>
        <v>echo augmentSkillLevel1,5, &gt;&gt; .\items\materia\class0023\Storm48.dbr</v>
      </c>
      <c r="U50" t="str">
        <f t="shared" si="7"/>
        <v>echo augmentSkillName1,records/skillsstorm/lightningbolt_chainlightning.dbr,, &gt;&gt; .\items\materia\class0023\Storm48.dbr</v>
      </c>
      <c r="V50" s="5" t="s">
        <v>36</v>
      </c>
      <c r="W50" t="str">
        <f t="shared" si="8"/>
        <v>echo lootName48,DAIL/items/materia/class0023/Storm48.dbr, &gt;&gt; .\items\loottables\dailoneskill0023.dbr</v>
      </c>
      <c r="X50" t="str">
        <f t="shared" si="8"/>
        <v>echo lootWeight48,1, &gt;&gt; .\items\loottables\dailoneskill0023.dbr</v>
      </c>
      <c r="Y50" s="5" t="s">
        <v>36</v>
      </c>
      <c r="Z50" t="str">
        <f t="shared" si="9"/>
        <v xml:space="preserve"> dailCompDescStorm48=^pStorm's Gift of DAIL</v>
      </c>
      <c r="AA50" t="str">
        <f t="shared" si="17"/>
        <v>dailCompTextStorm48=^oThis feels warm to the touch, almost familiar ^w(This component only fits into the Medal Slot)</v>
      </c>
      <c r="AB50" s="5" t="s">
        <v>36</v>
      </c>
      <c r="AH50">
        <f t="shared" si="19"/>
        <v>45</v>
      </c>
      <c r="AI50">
        <f t="shared" si="13"/>
        <v>39</v>
      </c>
      <c r="AJ50">
        <f t="shared" si="18"/>
        <v>5</v>
      </c>
    </row>
    <row r="51" spans="1:36" x14ac:dyDescent="0.25">
      <c r="A51" s="5" t="s">
        <v>39</v>
      </c>
      <c r="B51" s="5" t="s">
        <v>30</v>
      </c>
      <c r="C51" s="5" t="str">
        <f t="shared" si="0"/>
        <v>description,dailCompDescStorm49,</v>
      </c>
      <c r="D51" s="5" t="str">
        <f t="shared" si="2"/>
        <v>itemText,dailCompTextStorm49,</v>
      </c>
      <c r="E51" s="5" t="str">
        <f t="shared" si="14"/>
        <v>augmentSkillLevel1,5,</v>
      </c>
      <c r="F51" s="5" t="str">
        <f t="shared" si="15"/>
        <v>augmentSkillName1,records/skillsstorm/freezingblast.dbr,,</v>
      </c>
      <c r="G51" s="7">
        <f t="shared" si="10"/>
        <v>49</v>
      </c>
      <c r="H51" s="8" t="str">
        <f t="shared" si="11"/>
        <v>Storm</v>
      </c>
      <c r="I51" s="3" t="s">
        <v>732</v>
      </c>
      <c r="J51" s="8" t="str">
        <f t="shared" si="21"/>
        <v>class0023</v>
      </c>
      <c r="K51" s="8" t="str">
        <f t="shared" si="21"/>
        <v>dailoneskill0023</v>
      </c>
      <c r="L51" s="5" t="str">
        <f t="shared" si="4"/>
        <v>lootName49,DAIL/items/materia/class0023/Storm49.dbr,</v>
      </c>
      <c r="M51" s="5" t="str">
        <f t="shared" si="5"/>
        <v>lootWeight49,1,</v>
      </c>
      <c r="N51" t="str">
        <f t="shared" si="6"/>
        <v>5</v>
      </c>
      <c r="O51" t="str">
        <f t="shared" si="16"/>
        <v>copy .\dail_base3.dbr .\items\materia\class0023\Storm49.dbr /y</v>
      </c>
      <c r="P51" t="str">
        <f t="shared" si="7"/>
        <v>echo relicBitmap,items/craftingparts/components/component_a52_bristlyfur_b.tex, &gt;&gt; .\items\materia\class0023\Storm49.dbr</v>
      </c>
      <c r="Q51" t="str">
        <f t="shared" si="7"/>
        <v>echo itemCost,500000, &gt;&gt; .\items\materia\class0023\Storm49.dbr</v>
      </c>
      <c r="R51" t="str">
        <f t="shared" si="7"/>
        <v>echo description,dailCompDescStorm49, &gt;&gt; .\items\materia\class0023\Storm49.dbr</v>
      </c>
      <c r="S51" t="str">
        <f t="shared" si="7"/>
        <v>echo itemText,dailCompTextStorm49, &gt;&gt; .\items\materia\class0023\Storm49.dbr</v>
      </c>
      <c r="T51" t="str">
        <f t="shared" si="7"/>
        <v>echo augmentSkillLevel1,5, &gt;&gt; .\items\materia\class0023\Storm49.dbr</v>
      </c>
      <c r="U51" t="str">
        <f t="shared" si="7"/>
        <v>echo augmentSkillName1,records/skillsstorm/freezingblast.dbr,, &gt;&gt; .\items\materia\class0023\Storm49.dbr</v>
      </c>
      <c r="V51" s="5" t="s">
        <v>36</v>
      </c>
      <c r="W51" t="str">
        <f t="shared" si="8"/>
        <v>echo lootName49,DAIL/items/materia/class0023/Storm49.dbr, &gt;&gt; .\items\loottables\dailoneskill0023.dbr</v>
      </c>
      <c r="X51" t="str">
        <f t="shared" si="8"/>
        <v>echo lootWeight49,1, &gt;&gt; .\items\loottables\dailoneskill0023.dbr</v>
      </c>
      <c r="Y51" s="5" t="s">
        <v>36</v>
      </c>
      <c r="Z51" t="str">
        <f t="shared" si="9"/>
        <v xml:space="preserve"> dailCompDescStorm49=^pStorm's Gift of DAIL</v>
      </c>
      <c r="AA51" t="str">
        <f t="shared" si="17"/>
        <v>dailCompTextStorm49=^oThis feels warm to the touch, almost familiar ^w(This component only fits into the Medal Slot)</v>
      </c>
      <c r="AB51" s="5" t="s">
        <v>36</v>
      </c>
      <c r="AH51">
        <f t="shared" si="19"/>
        <v>46</v>
      </c>
      <c r="AI51">
        <f t="shared" si="13"/>
        <v>24</v>
      </c>
      <c r="AJ51">
        <f t="shared" si="18"/>
        <v>5</v>
      </c>
    </row>
    <row r="52" spans="1:36" x14ac:dyDescent="0.25">
      <c r="A52" s="5" t="s">
        <v>39</v>
      </c>
      <c r="B52" s="5" t="s">
        <v>30</v>
      </c>
      <c r="C52" s="5" t="str">
        <f t="shared" si="0"/>
        <v>description,dailCompDescStorm50,</v>
      </c>
      <c r="D52" s="5" t="str">
        <f t="shared" si="2"/>
        <v>itemText,dailCompTextStorm50,</v>
      </c>
      <c r="E52" s="5" t="str">
        <f t="shared" si="14"/>
        <v>augmentSkillLevel1,5,</v>
      </c>
      <c r="F52" s="5" t="str">
        <f t="shared" si="15"/>
        <v>augmentSkillName1,records/skillsstorm/stormnimbus.dbr,,</v>
      </c>
      <c r="G52" s="7">
        <f t="shared" si="10"/>
        <v>50</v>
      </c>
      <c r="H52" s="8" t="str">
        <f t="shared" si="11"/>
        <v>Storm</v>
      </c>
      <c r="I52" s="3" t="s">
        <v>733</v>
      </c>
      <c r="J52" s="8" t="str">
        <f t="shared" si="21"/>
        <v>class0023</v>
      </c>
      <c r="K52" s="8" t="str">
        <f t="shared" si="21"/>
        <v>dailoneskill0023</v>
      </c>
      <c r="L52" s="5" t="str">
        <f t="shared" si="4"/>
        <v>lootName50,DAIL/items/materia/class0023/Storm50.dbr,</v>
      </c>
      <c r="M52" s="5" t="str">
        <f t="shared" si="5"/>
        <v>lootWeight50,1,</v>
      </c>
      <c r="N52" t="str">
        <f t="shared" si="6"/>
        <v>5</v>
      </c>
      <c r="O52" t="str">
        <f t="shared" si="16"/>
        <v>copy .\dail_base3.dbr .\items\materia\class0023\Storm50.dbr /y</v>
      </c>
      <c r="P52" t="str">
        <f t="shared" si="7"/>
        <v>echo relicBitmap,items/craftingparts/components/component_a52_bristlyfur_b.tex, &gt;&gt; .\items\materia\class0023\Storm50.dbr</v>
      </c>
      <c r="Q52" t="str">
        <f t="shared" si="7"/>
        <v>echo itemCost,500000, &gt;&gt; .\items\materia\class0023\Storm50.dbr</v>
      </c>
      <c r="R52" t="str">
        <f t="shared" si="7"/>
        <v>echo description,dailCompDescStorm50, &gt;&gt; .\items\materia\class0023\Storm50.dbr</v>
      </c>
      <c r="S52" t="str">
        <f t="shared" si="7"/>
        <v>echo itemText,dailCompTextStorm50, &gt;&gt; .\items\materia\class0023\Storm50.dbr</v>
      </c>
      <c r="T52" t="str">
        <f t="shared" si="7"/>
        <v>echo augmentSkillLevel1,5, &gt;&gt; .\items\materia\class0023\Storm50.dbr</v>
      </c>
      <c r="U52" t="str">
        <f t="shared" si="7"/>
        <v>echo augmentSkillName1,records/skillsstorm/stormnimbus.dbr,, &gt;&gt; .\items\materia\class0023\Storm50.dbr</v>
      </c>
      <c r="V52" s="5" t="s">
        <v>36</v>
      </c>
      <c r="W52" t="str">
        <f t="shared" si="8"/>
        <v>echo lootName50,DAIL/items/materia/class0023/Storm50.dbr, &gt;&gt; .\items\loottables\dailoneskill0023.dbr</v>
      </c>
      <c r="X52" t="str">
        <f t="shared" si="8"/>
        <v>echo lootWeight50,1, &gt;&gt; .\items\loottables\dailoneskill0023.dbr</v>
      </c>
      <c r="Y52" s="5" t="s">
        <v>36</v>
      </c>
      <c r="Z52" t="str">
        <f t="shared" si="9"/>
        <v xml:space="preserve"> dailCompDescStorm50=^pStorm's Gift of DAIL</v>
      </c>
      <c r="AA52" t="str">
        <f t="shared" si="17"/>
        <v>dailCompTextStorm50=^oThis feels warm to the touch, almost familiar ^w(This component only fits into the Medal Slot)</v>
      </c>
      <c r="AB52" s="5" t="s">
        <v>36</v>
      </c>
      <c r="AH52">
        <f t="shared" si="19"/>
        <v>47</v>
      </c>
      <c r="AI52">
        <f t="shared" si="13"/>
        <v>22</v>
      </c>
      <c r="AJ52">
        <f t="shared" si="18"/>
        <v>5</v>
      </c>
    </row>
    <row r="53" spans="1:36" x14ac:dyDescent="0.25">
      <c r="A53" s="5" t="s">
        <v>39</v>
      </c>
      <c r="B53" s="5" t="s">
        <v>30</v>
      </c>
      <c r="C53" s="5" t="str">
        <f t="shared" si="0"/>
        <v>description,dailCompDescStorm51,</v>
      </c>
      <c r="D53" s="5" t="str">
        <f t="shared" si="2"/>
        <v>itemText,dailCompTextStorm51,</v>
      </c>
      <c r="E53" s="5" t="str">
        <f t="shared" si="14"/>
        <v>augmentSkillLevel1,5,</v>
      </c>
      <c r="F53" s="5" t="str">
        <f t="shared" si="15"/>
        <v>augmentSkillName1,records/skillsstorm/stormnimbus_heartoffrost.dbr,,</v>
      </c>
      <c r="G53" s="7">
        <f t="shared" si="10"/>
        <v>51</v>
      </c>
      <c r="H53" s="8" t="str">
        <f t="shared" si="11"/>
        <v>Storm</v>
      </c>
      <c r="I53" s="3" t="s">
        <v>734</v>
      </c>
      <c r="J53" s="8" t="str">
        <f t="shared" ref="J53:K68" si="22">J52</f>
        <v>class0023</v>
      </c>
      <c r="K53" s="8" t="str">
        <f t="shared" si="22"/>
        <v>dailoneskill0023</v>
      </c>
      <c r="L53" s="5" t="str">
        <f t="shared" si="4"/>
        <v>lootName51,DAIL/items/materia/class0023/Storm51.dbr,</v>
      </c>
      <c r="M53" s="5" t="str">
        <f t="shared" si="5"/>
        <v>lootWeight51,1,</v>
      </c>
      <c r="N53" t="str">
        <f t="shared" si="6"/>
        <v>5</v>
      </c>
      <c r="O53" t="str">
        <f t="shared" si="16"/>
        <v>copy .\dail_base3.dbr .\items\materia\class0023\Storm51.dbr /y</v>
      </c>
      <c r="P53" t="str">
        <f t="shared" si="7"/>
        <v>echo relicBitmap,items/craftingparts/components/component_a52_bristlyfur_b.tex, &gt;&gt; .\items\materia\class0023\Storm51.dbr</v>
      </c>
      <c r="Q53" t="str">
        <f t="shared" si="7"/>
        <v>echo itemCost,500000, &gt;&gt; .\items\materia\class0023\Storm51.dbr</v>
      </c>
      <c r="R53" t="str">
        <f t="shared" si="7"/>
        <v>echo description,dailCompDescStorm51, &gt;&gt; .\items\materia\class0023\Storm51.dbr</v>
      </c>
      <c r="S53" t="str">
        <f t="shared" si="7"/>
        <v>echo itemText,dailCompTextStorm51, &gt;&gt; .\items\materia\class0023\Storm51.dbr</v>
      </c>
      <c r="T53" t="str">
        <f t="shared" si="7"/>
        <v>echo augmentSkillLevel1,5, &gt;&gt; .\items\materia\class0023\Storm51.dbr</v>
      </c>
      <c r="U53" t="str">
        <f t="shared" si="7"/>
        <v>echo augmentSkillName1,records/skillsstorm/stormnimbus_heartoffrost.dbr,, &gt;&gt; .\items\materia\class0023\Storm51.dbr</v>
      </c>
      <c r="V53" s="5" t="s">
        <v>36</v>
      </c>
      <c r="W53" t="str">
        <f t="shared" si="8"/>
        <v>echo lootName51,DAIL/items/materia/class0023/Storm51.dbr, &gt;&gt; .\items\loottables\dailoneskill0023.dbr</v>
      </c>
      <c r="X53" t="str">
        <f t="shared" si="8"/>
        <v>echo lootWeight51,1, &gt;&gt; .\items\loottables\dailoneskill0023.dbr</v>
      </c>
      <c r="Y53" s="5" t="s">
        <v>36</v>
      </c>
      <c r="Z53" t="str">
        <f t="shared" si="9"/>
        <v xml:space="preserve"> dailCompDescStorm51=^pStorm's Gift of DAIL</v>
      </c>
      <c r="AA53" t="str">
        <f t="shared" si="17"/>
        <v>dailCompTextStorm51=^oThis feels warm to the touch, almost familiar ^w(This component only fits into the Medal Slot)</v>
      </c>
      <c r="AB53" s="5" t="s">
        <v>36</v>
      </c>
      <c r="AH53">
        <f t="shared" si="19"/>
        <v>48</v>
      </c>
      <c r="AI53">
        <f t="shared" si="13"/>
        <v>35</v>
      </c>
      <c r="AJ53">
        <f t="shared" si="18"/>
        <v>5</v>
      </c>
    </row>
    <row r="54" spans="1:36" x14ac:dyDescent="0.25">
      <c r="A54" s="5" t="s">
        <v>39</v>
      </c>
      <c r="B54" s="5" t="s">
        <v>30</v>
      </c>
      <c r="C54" s="5" t="str">
        <f t="shared" si="0"/>
        <v>description,dailCompDescStorm52,</v>
      </c>
      <c r="D54" s="5" t="str">
        <f t="shared" si="2"/>
        <v>itemText,dailCompTextStorm52,</v>
      </c>
      <c r="E54" s="5" t="str">
        <f t="shared" si="14"/>
        <v>augmentSkillLevel1,5,</v>
      </c>
      <c r="F54" s="5" t="str">
        <f t="shared" si="15"/>
        <v>augmentSkillName1,records/skillsstorm/stormnimbus_staticcharge.dbr,,</v>
      </c>
      <c r="G54" s="7">
        <f t="shared" si="10"/>
        <v>52</v>
      </c>
      <c r="H54" s="8" t="str">
        <f t="shared" si="11"/>
        <v>Storm</v>
      </c>
      <c r="I54" s="3" t="s">
        <v>735</v>
      </c>
      <c r="J54" s="8" t="str">
        <f t="shared" si="22"/>
        <v>class0023</v>
      </c>
      <c r="K54" s="8" t="str">
        <f t="shared" si="22"/>
        <v>dailoneskill0023</v>
      </c>
      <c r="L54" s="5" t="str">
        <f t="shared" si="4"/>
        <v>lootName52,DAIL/items/materia/class0023/Storm52.dbr,</v>
      </c>
      <c r="M54" s="5" t="str">
        <f t="shared" si="5"/>
        <v>lootWeight52,1,</v>
      </c>
      <c r="N54" t="str">
        <f t="shared" si="6"/>
        <v>5</v>
      </c>
      <c r="O54" t="str">
        <f t="shared" si="16"/>
        <v>copy .\dail_base3.dbr .\items\materia\class0023\Storm52.dbr /y</v>
      </c>
      <c r="P54" t="str">
        <f t="shared" si="7"/>
        <v>echo relicBitmap,items/craftingparts/components/component_a52_bristlyfur_b.tex, &gt;&gt; .\items\materia\class0023\Storm52.dbr</v>
      </c>
      <c r="Q54" t="str">
        <f t="shared" si="7"/>
        <v>echo itemCost,500000, &gt;&gt; .\items\materia\class0023\Storm52.dbr</v>
      </c>
      <c r="R54" t="str">
        <f t="shared" si="7"/>
        <v>echo description,dailCompDescStorm52, &gt;&gt; .\items\materia\class0023\Storm52.dbr</v>
      </c>
      <c r="S54" t="str">
        <f t="shared" si="7"/>
        <v>echo itemText,dailCompTextStorm52, &gt;&gt; .\items\materia\class0023\Storm52.dbr</v>
      </c>
      <c r="T54" t="str">
        <f t="shared" si="7"/>
        <v>echo augmentSkillLevel1,5, &gt;&gt; .\items\materia\class0023\Storm52.dbr</v>
      </c>
      <c r="U54" t="str">
        <f t="shared" si="7"/>
        <v>echo augmentSkillName1,records/skillsstorm/stormnimbus_staticcharge.dbr,, &gt;&gt; .\items\materia\class0023\Storm52.dbr</v>
      </c>
      <c r="V54" s="5" t="s">
        <v>36</v>
      </c>
      <c r="W54" t="str">
        <f t="shared" si="8"/>
        <v>echo lootName52,DAIL/items/materia/class0023/Storm52.dbr, &gt;&gt; .\items\loottables\dailoneskill0023.dbr</v>
      </c>
      <c r="X54" t="str">
        <f t="shared" si="8"/>
        <v>echo lootWeight52,1, &gt;&gt; .\items\loottables\dailoneskill0023.dbr</v>
      </c>
      <c r="Y54" s="5" t="s">
        <v>36</v>
      </c>
      <c r="Z54" t="str">
        <f t="shared" si="9"/>
        <v xml:space="preserve"> dailCompDescStorm52=^pStorm's Gift of DAIL</v>
      </c>
      <c r="AA54" t="str">
        <f t="shared" si="17"/>
        <v>dailCompTextStorm52=^oThis feels warm to the touch, almost familiar ^w(This component only fits into the Medal Slot)</v>
      </c>
      <c r="AB54" s="5" t="s">
        <v>36</v>
      </c>
      <c r="AH54">
        <f t="shared" si="19"/>
        <v>49</v>
      </c>
      <c r="AI54">
        <f t="shared" si="13"/>
        <v>35</v>
      </c>
      <c r="AJ54">
        <f t="shared" si="18"/>
        <v>5</v>
      </c>
    </row>
    <row r="55" spans="1:36" x14ac:dyDescent="0.25">
      <c r="A55" s="5" t="s">
        <v>39</v>
      </c>
      <c r="B55" s="5" t="s">
        <v>30</v>
      </c>
      <c r="C55" s="5" t="str">
        <f t="shared" si="0"/>
        <v>description,dailCompDescStorm53,</v>
      </c>
      <c r="D55" s="5" t="str">
        <f t="shared" si="2"/>
        <v>itemText,dailCompTextStorm53,</v>
      </c>
      <c r="E55" s="5" t="str">
        <f t="shared" si="14"/>
        <v>augmentSkillLevel1,5,</v>
      </c>
      <c r="F55" s="5" t="str">
        <f t="shared" si="15"/>
        <v>augmentSkillName1,records/skillsstorm/energyshield.dbr,,</v>
      </c>
      <c r="G55" s="7">
        <f t="shared" si="10"/>
        <v>53</v>
      </c>
      <c r="H55" s="8" t="str">
        <f t="shared" si="11"/>
        <v>Storm</v>
      </c>
      <c r="I55" s="3" t="s">
        <v>736</v>
      </c>
      <c r="J55" s="8" t="str">
        <f t="shared" si="22"/>
        <v>class0023</v>
      </c>
      <c r="K55" s="8" t="str">
        <f t="shared" si="22"/>
        <v>dailoneskill0023</v>
      </c>
      <c r="L55" s="5" t="str">
        <f t="shared" si="4"/>
        <v>lootName53,DAIL/items/materia/class0023/Storm53.dbr,</v>
      </c>
      <c r="M55" s="5" t="str">
        <f t="shared" si="5"/>
        <v>lootWeight53,1,</v>
      </c>
      <c r="N55" t="str">
        <f t="shared" si="6"/>
        <v>5</v>
      </c>
      <c r="O55" t="str">
        <f t="shared" si="16"/>
        <v>copy .\dail_base3.dbr .\items\materia\class0023\Storm53.dbr /y</v>
      </c>
      <c r="P55" t="str">
        <f t="shared" si="7"/>
        <v>echo relicBitmap,items/craftingparts/components/component_a52_bristlyfur_b.tex, &gt;&gt; .\items\materia\class0023\Storm53.dbr</v>
      </c>
      <c r="Q55" t="str">
        <f t="shared" si="7"/>
        <v>echo itemCost,500000, &gt;&gt; .\items\materia\class0023\Storm53.dbr</v>
      </c>
      <c r="R55" t="str">
        <f t="shared" si="7"/>
        <v>echo description,dailCompDescStorm53, &gt;&gt; .\items\materia\class0023\Storm53.dbr</v>
      </c>
      <c r="S55" t="str">
        <f t="shared" si="7"/>
        <v>echo itemText,dailCompTextStorm53, &gt;&gt; .\items\materia\class0023\Storm53.dbr</v>
      </c>
      <c r="T55" t="str">
        <f t="shared" si="7"/>
        <v>echo augmentSkillLevel1,5, &gt;&gt; .\items\materia\class0023\Storm53.dbr</v>
      </c>
      <c r="U55" t="str">
        <f t="shared" si="7"/>
        <v>echo augmentSkillName1,records/skillsstorm/energyshield.dbr,, &gt;&gt; .\items\materia\class0023\Storm53.dbr</v>
      </c>
      <c r="V55" s="5" t="s">
        <v>36</v>
      </c>
      <c r="W55" t="str">
        <f t="shared" si="8"/>
        <v>echo lootName53,DAIL/items/materia/class0023/Storm53.dbr, &gt;&gt; .\items\loottables\dailoneskill0023.dbr</v>
      </c>
      <c r="X55" t="str">
        <f t="shared" si="8"/>
        <v>echo lootWeight53,1, &gt;&gt; .\items\loottables\dailoneskill0023.dbr</v>
      </c>
      <c r="Y55" s="5" t="s">
        <v>36</v>
      </c>
      <c r="Z55" t="str">
        <f t="shared" si="9"/>
        <v xml:space="preserve"> dailCompDescStorm53=^pStorm's Gift of DAIL</v>
      </c>
      <c r="AA55" t="str">
        <f t="shared" si="17"/>
        <v>dailCompTextStorm53=^oThis feels warm to the touch, almost familiar ^w(This component only fits into the Medal Slot)</v>
      </c>
      <c r="AB55" s="5" t="s">
        <v>36</v>
      </c>
      <c r="AH55">
        <f t="shared" si="19"/>
        <v>50</v>
      </c>
      <c r="AI55">
        <f t="shared" si="13"/>
        <v>23</v>
      </c>
      <c r="AJ55">
        <f t="shared" si="18"/>
        <v>5</v>
      </c>
    </row>
    <row r="56" spans="1:36" x14ac:dyDescent="0.25">
      <c r="A56" s="5" t="s">
        <v>39</v>
      </c>
      <c r="B56" s="5" t="s">
        <v>30</v>
      </c>
      <c r="C56" s="5" t="str">
        <f t="shared" si="0"/>
        <v>description,dailCompDescStorm54,</v>
      </c>
      <c r="D56" s="5" t="str">
        <f t="shared" si="2"/>
        <v>itemText,dailCompTextStorm54,</v>
      </c>
      <c r="E56" s="5" t="str">
        <f t="shared" si="14"/>
        <v>augmentSkillLevel1,5,</v>
      </c>
      <c r="F56" s="5" t="str">
        <f t="shared" si="15"/>
        <v>augmentSkillName1,records/skillsstorm/energyshield_reflection.dbr,,</v>
      </c>
      <c r="G56" s="7">
        <f t="shared" si="10"/>
        <v>54</v>
      </c>
      <c r="H56" s="8" t="str">
        <f t="shared" si="11"/>
        <v>Storm</v>
      </c>
      <c r="I56" s="3" t="s">
        <v>737</v>
      </c>
      <c r="J56" s="8" t="str">
        <f t="shared" si="22"/>
        <v>class0023</v>
      </c>
      <c r="K56" s="8" t="str">
        <f t="shared" si="22"/>
        <v>dailoneskill0023</v>
      </c>
      <c r="L56" s="5" t="str">
        <f t="shared" si="4"/>
        <v>lootName54,DAIL/items/materia/class0023/Storm54.dbr,</v>
      </c>
      <c r="M56" s="5" t="str">
        <f t="shared" si="5"/>
        <v>lootWeight54,1,</v>
      </c>
      <c r="N56" t="str">
        <f t="shared" si="6"/>
        <v>5</v>
      </c>
      <c r="O56" t="str">
        <f t="shared" si="16"/>
        <v>copy .\dail_base3.dbr .\items\materia\class0023\Storm54.dbr /y</v>
      </c>
      <c r="P56" t="str">
        <f t="shared" si="7"/>
        <v>echo relicBitmap,items/craftingparts/components/component_a52_bristlyfur_b.tex, &gt;&gt; .\items\materia\class0023\Storm54.dbr</v>
      </c>
      <c r="Q56" t="str">
        <f t="shared" si="7"/>
        <v>echo itemCost,500000, &gt;&gt; .\items\materia\class0023\Storm54.dbr</v>
      </c>
      <c r="R56" t="str">
        <f t="shared" si="7"/>
        <v>echo description,dailCompDescStorm54, &gt;&gt; .\items\materia\class0023\Storm54.dbr</v>
      </c>
      <c r="S56" t="str">
        <f t="shared" si="7"/>
        <v>echo itemText,dailCompTextStorm54, &gt;&gt; .\items\materia\class0023\Storm54.dbr</v>
      </c>
      <c r="T56" t="str">
        <f t="shared" si="7"/>
        <v>echo augmentSkillLevel1,5, &gt;&gt; .\items\materia\class0023\Storm54.dbr</v>
      </c>
      <c r="U56" t="str">
        <f t="shared" si="7"/>
        <v>echo augmentSkillName1,records/skillsstorm/energyshield_reflection.dbr,, &gt;&gt; .\items\materia\class0023\Storm54.dbr</v>
      </c>
      <c r="V56" s="5" t="s">
        <v>36</v>
      </c>
      <c r="W56" t="str">
        <f t="shared" si="8"/>
        <v>echo lootName54,DAIL/items/materia/class0023/Storm54.dbr, &gt;&gt; .\items\loottables\dailoneskill0023.dbr</v>
      </c>
      <c r="X56" t="str">
        <f t="shared" si="8"/>
        <v>echo lootWeight54,1, &gt;&gt; .\items\loottables\dailoneskill0023.dbr</v>
      </c>
      <c r="Y56" s="5" t="s">
        <v>36</v>
      </c>
      <c r="Z56" t="str">
        <f t="shared" si="9"/>
        <v xml:space="preserve"> dailCompDescStorm54=^pStorm's Gift of DAIL</v>
      </c>
      <c r="AA56" t="str">
        <f t="shared" si="17"/>
        <v>dailCompTextStorm54=^oThis feels warm to the touch, almost familiar ^w(This component only fits into the Medal Slot)</v>
      </c>
      <c r="AB56" s="5" t="s">
        <v>36</v>
      </c>
      <c r="AH56">
        <f t="shared" si="19"/>
        <v>51</v>
      </c>
      <c r="AI56">
        <f t="shared" si="13"/>
        <v>34</v>
      </c>
      <c r="AJ56">
        <f t="shared" si="18"/>
        <v>5</v>
      </c>
    </row>
    <row r="57" spans="1:36" x14ac:dyDescent="0.25">
      <c r="A57" s="5" t="s">
        <v>39</v>
      </c>
      <c r="B57" s="5" t="s">
        <v>30</v>
      </c>
      <c r="C57" s="5" t="str">
        <f t="shared" si="0"/>
        <v>description,dailCompDescStorm55,</v>
      </c>
      <c r="D57" s="5" t="str">
        <f t="shared" si="2"/>
        <v>itemText,dailCompTextStorm55,</v>
      </c>
      <c r="E57" s="5" t="str">
        <f t="shared" si="14"/>
        <v>augmentSkillLevel1,5,</v>
      </c>
      <c r="F57" s="5" t="str">
        <f t="shared" si="15"/>
        <v>augmentSkillName1,records/skillsstorm/squall.dbr,,</v>
      </c>
      <c r="G57" s="7">
        <f t="shared" si="10"/>
        <v>55</v>
      </c>
      <c r="H57" s="8" t="str">
        <f t="shared" si="11"/>
        <v>Storm</v>
      </c>
      <c r="I57" s="3" t="s">
        <v>738</v>
      </c>
      <c r="J57" s="8" t="str">
        <f t="shared" si="22"/>
        <v>class0023</v>
      </c>
      <c r="K57" s="8" t="str">
        <f t="shared" si="22"/>
        <v>dailoneskill0023</v>
      </c>
      <c r="L57" s="5" t="str">
        <f t="shared" si="4"/>
        <v>lootName55,DAIL/items/materia/class0023/Storm55.dbr,</v>
      </c>
      <c r="M57" s="5" t="str">
        <f t="shared" si="5"/>
        <v>lootWeight55,1,</v>
      </c>
      <c r="N57" t="str">
        <f t="shared" si="6"/>
        <v>5</v>
      </c>
      <c r="O57" t="str">
        <f t="shared" si="16"/>
        <v>copy .\dail_base3.dbr .\items\materia\class0023\Storm55.dbr /y</v>
      </c>
      <c r="P57" t="str">
        <f t="shared" si="7"/>
        <v>echo relicBitmap,items/craftingparts/components/component_a52_bristlyfur_b.tex, &gt;&gt; .\items\materia\class0023\Storm55.dbr</v>
      </c>
      <c r="Q57" t="str">
        <f t="shared" si="7"/>
        <v>echo itemCost,500000, &gt;&gt; .\items\materia\class0023\Storm55.dbr</v>
      </c>
      <c r="R57" t="str">
        <f t="shared" si="7"/>
        <v>echo description,dailCompDescStorm55, &gt;&gt; .\items\materia\class0023\Storm55.dbr</v>
      </c>
      <c r="S57" t="str">
        <f t="shared" si="7"/>
        <v>echo itemText,dailCompTextStorm55, &gt;&gt; .\items\materia\class0023\Storm55.dbr</v>
      </c>
      <c r="T57" t="str">
        <f t="shared" si="7"/>
        <v>echo augmentSkillLevel1,5, &gt;&gt; .\items\materia\class0023\Storm55.dbr</v>
      </c>
      <c r="U57" t="str">
        <f t="shared" si="7"/>
        <v>echo augmentSkillName1,records/skillsstorm/squall.dbr,, &gt;&gt; .\items\materia\class0023\Storm55.dbr</v>
      </c>
      <c r="V57" s="5" t="s">
        <v>36</v>
      </c>
      <c r="W57" t="str">
        <f t="shared" si="8"/>
        <v>echo lootName55,DAIL/items/materia/class0023/Storm55.dbr, &gt;&gt; .\items\loottables\dailoneskill0023.dbr</v>
      </c>
      <c r="X57" t="str">
        <f t="shared" si="8"/>
        <v>echo lootWeight55,1, &gt;&gt; .\items\loottables\dailoneskill0023.dbr</v>
      </c>
      <c r="Y57" s="5" t="s">
        <v>36</v>
      </c>
      <c r="Z57" t="str">
        <f t="shared" si="9"/>
        <v xml:space="preserve"> dailCompDescStorm55=^pStorm's Gift of DAIL</v>
      </c>
      <c r="AA57" t="str">
        <f t="shared" si="17"/>
        <v>dailCompTextStorm55=^oThis feels warm to the touch, almost familiar ^w(This component only fits into the Medal Slot)</v>
      </c>
      <c r="AB57" s="5" t="s">
        <v>36</v>
      </c>
      <c r="AH57">
        <f t="shared" si="19"/>
        <v>52</v>
      </c>
      <c r="AI57">
        <f t="shared" si="13"/>
        <v>17</v>
      </c>
      <c r="AJ57">
        <f t="shared" si="18"/>
        <v>5</v>
      </c>
    </row>
    <row r="58" spans="1:36" x14ac:dyDescent="0.25">
      <c r="A58" s="5" t="s">
        <v>39</v>
      </c>
      <c r="B58" s="5" t="s">
        <v>30</v>
      </c>
      <c r="C58" s="5" t="str">
        <f t="shared" si="0"/>
        <v>description,dailCompDescStorm56,</v>
      </c>
      <c r="D58" s="5" t="str">
        <f t="shared" si="2"/>
        <v>itemText,dailCompTextStorm56,</v>
      </c>
      <c r="E58" s="5" t="str">
        <f t="shared" si="14"/>
        <v>augmentSkillLevel1,5,</v>
      </c>
      <c r="F58" s="5" t="str">
        <f t="shared" si="15"/>
        <v>augmentSkillName1,records/skillsstorm/squall_obscuredvisibility.dbr,,</v>
      </c>
      <c r="G58" s="7">
        <f t="shared" si="10"/>
        <v>56</v>
      </c>
      <c r="H58" s="8" t="str">
        <f t="shared" si="11"/>
        <v>Storm</v>
      </c>
      <c r="I58" s="3" t="s">
        <v>739</v>
      </c>
      <c r="J58" s="8" t="str">
        <f t="shared" si="22"/>
        <v>class0023</v>
      </c>
      <c r="K58" s="8" t="str">
        <f t="shared" si="22"/>
        <v>dailoneskill0023</v>
      </c>
      <c r="L58" s="5" t="str">
        <f t="shared" si="4"/>
        <v>lootName56,DAIL/items/materia/class0023/Storm56.dbr,</v>
      </c>
      <c r="M58" s="5" t="str">
        <f t="shared" si="5"/>
        <v>lootWeight56,1,</v>
      </c>
      <c r="N58" t="str">
        <f t="shared" si="6"/>
        <v>5</v>
      </c>
      <c r="O58" t="str">
        <f t="shared" si="16"/>
        <v>copy .\dail_base3.dbr .\items\materia\class0023\Storm56.dbr /y</v>
      </c>
      <c r="P58" t="str">
        <f t="shared" si="7"/>
        <v>echo relicBitmap,items/craftingparts/components/component_a52_bristlyfur_b.tex, &gt;&gt; .\items\materia\class0023\Storm56.dbr</v>
      </c>
      <c r="Q58" t="str">
        <f t="shared" si="7"/>
        <v>echo itemCost,500000, &gt;&gt; .\items\materia\class0023\Storm56.dbr</v>
      </c>
      <c r="R58" t="str">
        <f t="shared" si="7"/>
        <v>echo description,dailCompDescStorm56, &gt;&gt; .\items\materia\class0023\Storm56.dbr</v>
      </c>
      <c r="S58" t="str">
        <f t="shared" si="7"/>
        <v>echo itemText,dailCompTextStorm56, &gt;&gt; .\items\materia\class0023\Storm56.dbr</v>
      </c>
      <c r="T58" t="str">
        <f t="shared" si="7"/>
        <v>echo augmentSkillLevel1,5, &gt;&gt; .\items\materia\class0023\Storm56.dbr</v>
      </c>
      <c r="U58" t="str">
        <f t="shared" si="7"/>
        <v>echo augmentSkillName1,records/skillsstorm/squall_obscuredvisibility.dbr,, &gt;&gt; .\items\materia\class0023\Storm56.dbr</v>
      </c>
      <c r="V58" s="5" t="s">
        <v>36</v>
      </c>
      <c r="W58" t="str">
        <f t="shared" si="8"/>
        <v>echo lootName56,DAIL/items/materia/class0023/Storm56.dbr, &gt;&gt; .\items\loottables\dailoneskill0023.dbr</v>
      </c>
      <c r="X58" t="str">
        <f t="shared" si="8"/>
        <v>echo lootWeight56,1, &gt;&gt; .\items\loottables\dailoneskill0023.dbr</v>
      </c>
      <c r="Y58" s="5" t="s">
        <v>36</v>
      </c>
      <c r="Z58" t="str">
        <f t="shared" si="9"/>
        <v xml:space="preserve"> dailCompDescStorm56=^pStorm's Gift of DAIL</v>
      </c>
      <c r="AA58" t="str">
        <f t="shared" si="17"/>
        <v>dailCompTextStorm56=^oThis feels warm to the touch, almost familiar ^w(This component only fits into the Medal Slot)</v>
      </c>
      <c r="AB58" s="5" t="s">
        <v>36</v>
      </c>
      <c r="AH58">
        <f t="shared" si="19"/>
        <v>53</v>
      </c>
      <c r="AI58">
        <f t="shared" si="13"/>
        <v>36</v>
      </c>
      <c r="AJ58">
        <f t="shared" si="18"/>
        <v>5</v>
      </c>
    </row>
    <row r="59" spans="1:36" x14ac:dyDescent="0.25">
      <c r="A59" s="5" t="s">
        <v>39</v>
      </c>
      <c r="B59" s="5" t="s">
        <v>30</v>
      </c>
      <c r="C59" s="5" t="str">
        <f t="shared" si="0"/>
        <v>description,dailCompDescStorm57,</v>
      </c>
      <c r="D59" s="5" t="str">
        <f t="shared" si="2"/>
        <v>itemText,dailCompTextStorm57,</v>
      </c>
      <c r="E59" s="5" t="str">
        <f t="shared" si="14"/>
        <v>augmentSkillLevel1,5,</v>
      </c>
      <c r="F59" s="5" t="str">
        <f t="shared" si="15"/>
        <v>augmentSkillName1,records/skillsstorm/stormwispsummoning.dbr,,</v>
      </c>
      <c r="G59" s="7">
        <f t="shared" si="10"/>
        <v>57</v>
      </c>
      <c r="H59" s="8" t="str">
        <f t="shared" si="11"/>
        <v>Storm</v>
      </c>
      <c r="I59" s="3" t="s">
        <v>740</v>
      </c>
      <c r="J59" s="8" t="str">
        <f t="shared" si="22"/>
        <v>class0023</v>
      </c>
      <c r="K59" s="8" t="str">
        <f t="shared" si="22"/>
        <v>dailoneskill0023</v>
      </c>
      <c r="L59" s="5" t="str">
        <f t="shared" si="4"/>
        <v>lootName57,DAIL/items/materia/class0023/Storm57.dbr,</v>
      </c>
      <c r="M59" s="5" t="str">
        <f t="shared" si="5"/>
        <v>lootWeight57,1,</v>
      </c>
      <c r="N59" t="str">
        <f t="shared" si="6"/>
        <v>5</v>
      </c>
      <c r="O59" t="str">
        <f t="shared" si="16"/>
        <v>copy .\dail_base3.dbr .\items\materia\class0023\Storm57.dbr /y</v>
      </c>
      <c r="P59" t="str">
        <f t="shared" ref="P59:U101" si="23">IF($I59&lt;&gt;"","echo "&amp;A59&amp;" &gt;&gt; .\items\materia\"&amp;$J59&amp;"\"&amp;$H59&amp;$G59&amp;".dbr","")</f>
        <v>echo relicBitmap,items/craftingparts/components/component_a52_bristlyfur_b.tex, &gt;&gt; .\items\materia\class0023\Storm57.dbr</v>
      </c>
      <c r="Q59" t="str">
        <f t="shared" si="23"/>
        <v>echo itemCost,500000, &gt;&gt; .\items\materia\class0023\Storm57.dbr</v>
      </c>
      <c r="R59" t="str">
        <f t="shared" si="23"/>
        <v>echo description,dailCompDescStorm57, &gt;&gt; .\items\materia\class0023\Storm57.dbr</v>
      </c>
      <c r="S59" t="str">
        <f t="shared" si="23"/>
        <v>echo itemText,dailCompTextStorm57, &gt;&gt; .\items\materia\class0023\Storm57.dbr</v>
      </c>
      <c r="T59" t="str">
        <f t="shared" si="23"/>
        <v>echo augmentSkillLevel1,5, &gt;&gt; .\items\materia\class0023\Storm57.dbr</v>
      </c>
      <c r="U59" t="str">
        <f t="shared" si="23"/>
        <v>echo augmentSkillName1,records/skillsstorm/stormwispsummoning.dbr,, &gt;&gt; .\items\materia\class0023\Storm57.dbr</v>
      </c>
      <c r="V59" s="5" t="s">
        <v>36</v>
      </c>
      <c r="W59" t="str">
        <f t="shared" si="8"/>
        <v>echo lootName57,DAIL/items/materia/class0023/Storm57.dbr, &gt;&gt; .\items\loottables\dailoneskill0023.dbr</v>
      </c>
      <c r="X59" t="str">
        <f t="shared" si="8"/>
        <v>echo lootWeight57,1, &gt;&gt; .\items\loottables\dailoneskill0023.dbr</v>
      </c>
      <c r="Y59" s="5" t="s">
        <v>36</v>
      </c>
      <c r="Z59" t="str">
        <f t="shared" si="9"/>
        <v xml:space="preserve"> dailCompDescStorm57=^pStorm's Gift of DAIL</v>
      </c>
      <c r="AA59" t="str">
        <f t="shared" si="17"/>
        <v>dailCompTextStorm57=^oThis feels warm to the touch, almost familiar ^w(This component only fits into the Medal Slot)</v>
      </c>
      <c r="AB59" s="5" t="s">
        <v>36</v>
      </c>
      <c r="AH59">
        <f t="shared" si="19"/>
        <v>54</v>
      </c>
      <c r="AI59">
        <f t="shared" si="13"/>
        <v>29</v>
      </c>
      <c r="AJ59">
        <f t="shared" si="18"/>
        <v>5</v>
      </c>
    </row>
    <row r="60" spans="1:36" x14ac:dyDescent="0.25">
      <c r="A60" s="5" t="s">
        <v>39</v>
      </c>
      <c r="B60" s="5" t="s">
        <v>30</v>
      </c>
      <c r="C60" s="5" t="str">
        <f t="shared" si="0"/>
        <v>description,dailCompDescStorm58,</v>
      </c>
      <c r="D60" s="5" t="str">
        <f t="shared" si="2"/>
        <v>itemText,dailCompTextStorm58,</v>
      </c>
      <c r="E60" s="5" t="str">
        <f t="shared" si="14"/>
        <v>augmentSkillLevel1,5,</v>
      </c>
      <c r="F60" s="5" t="str">
        <f t="shared" si="15"/>
        <v>augmentSkillName1,records/skillsstorm/stormwisp_petmodifier_eyeofthestorm.dbr,,</v>
      </c>
      <c r="G60" s="7">
        <f t="shared" si="10"/>
        <v>58</v>
      </c>
      <c r="H60" s="8" t="str">
        <f t="shared" si="11"/>
        <v>Storm</v>
      </c>
      <c r="I60" s="3" t="s">
        <v>741</v>
      </c>
      <c r="J60" s="8" t="str">
        <f t="shared" si="22"/>
        <v>class0023</v>
      </c>
      <c r="K60" s="8" t="str">
        <f t="shared" si="22"/>
        <v>dailoneskill0023</v>
      </c>
      <c r="L60" s="5" t="str">
        <f t="shared" si="4"/>
        <v>lootName58,DAIL/items/materia/class0023/Storm58.dbr,</v>
      </c>
      <c r="M60" s="5" t="str">
        <f t="shared" si="5"/>
        <v>lootWeight58,1,</v>
      </c>
      <c r="N60" t="str">
        <f t="shared" si="6"/>
        <v>5</v>
      </c>
      <c r="O60" t="str">
        <f t="shared" si="16"/>
        <v>copy .\dail_base3.dbr .\items\materia\class0023\Storm58.dbr /y</v>
      </c>
      <c r="P60" t="str">
        <f t="shared" si="23"/>
        <v>echo relicBitmap,items/craftingparts/components/component_a52_bristlyfur_b.tex, &gt;&gt; .\items\materia\class0023\Storm58.dbr</v>
      </c>
      <c r="Q60" t="str">
        <f t="shared" si="23"/>
        <v>echo itemCost,500000, &gt;&gt; .\items\materia\class0023\Storm58.dbr</v>
      </c>
      <c r="R60" t="str">
        <f t="shared" si="23"/>
        <v>echo description,dailCompDescStorm58, &gt;&gt; .\items\materia\class0023\Storm58.dbr</v>
      </c>
      <c r="S60" t="str">
        <f t="shared" si="23"/>
        <v>echo itemText,dailCompTextStorm58, &gt;&gt; .\items\materia\class0023\Storm58.dbr</v>
      </c>
      <c r="T60" t="str">
        <f t="shared" si="23"/>
        <v>echo augmentSkillLevel1,5, &gt;&gt; .\items\materia\class0023\Storm58.dbr</v>
      </c>
      <c r="U60" t="str">
        <f t="shared" si="23"/>
        <v>echo augmentSkillName1,records/skillsstorm/stormwisp_petmodifier_eyeofthestorm.dbr,, &gt;&gt; .\items\materia\class0023\Storm58.dbr</v>
      </c>
      <c r="V60" s="5" t="s">
        <v>36</v>
      </c>
      <c r="W60" t="str">
        <f t="shared" si="8"/>
        <v>echo lootName58,DAIL/items/materia/class0023/Storm58.dbr, &gt;&gt; .\items\loottables\dailoneskill0023.dbr</v>
      </c>
      <c r="X60" t="str">
        <f t="shared" si="8"/>
        <v>echo lootWeight58,1, &gt;&gt; .\items\loottables\dailoneskill0023.dbr</v>
      </c>
      <c r="Y60" s="5" t="s">
        <v>36</v>
      </c>
      <c r="Z60" t="str">
        <f t="shared" si="9"/>
        <v xml:space="preserve"> dailCompDescStorm58=^pStorm's Gift of DAIL</v>
      </c>
      <c r="AA60" t="str">
        <f t="shared" si="17"/>
        <v>dailCompTextStorm58=^oThis feels warm to the touch, almost familiar ^w(This component only fits into the Medal Slot)</v>
      </c>
      <c r="AB60" s="5" t="s">
        <v>36</v>
      </c>
      <c r="AH60">
        <f t="shared" si="19"/>
        <v>55</v>
      </c>
      <c r="AI60">
        <f t="shared" si="13"/>
        <v>46</v>
      </c>
      <c r="AJ60">
        <f t="shared" si="18"/>
        <v>5</v>
      </c>
    </row>
    <row r="61" spans="1:36" x14ac:dyDescent="0.25">
      <c r="A61" s="5" t="s">
        <v>39</v>
      </c>
      <c r="B61" s="5" t="s">
        <v>30</v>
      </c>
      <c r="C61" s="5" t="str">
        <f t="shared" si="0"/>
        <v>description,dailCompDescStorm59,</v>
      </c>
      <c r="D61" s="5" t="str">
        <f t="shared" si="2"/>
        <v>itemText,dailCompTextStorm59,</v>
      </c>
      <c r="E61" s="5" t="str">
        <f t="shared" si="14"/>
        <v>augmentSkillLevel1,5,</v>
      </c>
      <c r="F61" s="5" t="str">
        <f t="shared" si="15"/>
        <v>augmentSkillName1,records/skillsstorm/spellbreaker.dbr,,</v>
      </c>
      <c r="G61" s="7">
        <f t="shared" si="10"/>
        <v>59</v>
      </c>
      <c r="H61" s="8" t="str">
        <f t="shared" si="11"/>
        <v>Storm</v>
      </c>
      <c r="I61" s="3" t="s">
        <v>742</v>
      </c>
      <c r="J61" s="8" t="str">
        <f t="shared" si="22"/>
        <v>class0023</v>
      </c>
      <c r="K61" s="8" t="str">
        <f t="shared" si="22"/>
        <v>dailoneskill0023</v>
      </c>
      <c r="L61" s="5" t="str">
        <f t="shared" si="4"/>
        <v>lootName59,DAIL/items/materia/class0023/Storm59.dbr,</v>
      </c>
      <c r="M61" s="5" t="str">
        <f t="shared" si="5"/>
        <v>lootWeight59,1,</v>
      </c>
      <c r="N61" t="str">
        <f t="shared" si="6"/>
        <v>5</v>
      </c>
      <c r="O61" t="str">
        <f t="shared" si="16"/>
        <v>copy .\dail_base3.dbr .\items\materia\class0023\Storm59.dbr /y</v>
      </c>
      <c r="P61" t="str">
        <f t="shared" si="23"/>
        <v>echo relicBitmap,items/craftingparts/components/component_a52_bristlyfur_b.tex, &gt;&gt; .\items\materia\class0023\Storm59.dbr</v>
      </c>
      <c r="Q61" t="str">
        <f t="shared" si="23"/>
        <v>echo itemCost,500000, &gt;&gt; .\items\materia\class0023\Storm59.dbr</v>
      </c>
      <c r="R61" t="str">
        <f t="shared" si="23"/>
        <v>echo description,dailCompDescStorm59, &gt;&gt; .\items\materia\class0023\Storm59.dbr</v>
      </c>
      <c r="S61" t="str">
        <f t="shared" si="23"/>
        <v>echo itemText,dailCompTextStorm59, &gt;&gt; .\items\materia\class0023\Storm59.dbr</v>
      </c>
      <c r="T61" t="str">
        <f t="shared" si="23"/>
        <v>echo augmentSkillLevel1,5, &gt;&gt; .\items\materia\class0023\Storm59.dbr</v>
      </c>
      <c r="U61" t="str">
        <f t="shared" si="23"/>
        <v>echo augmentSkillName1,records/skillsstorm/spellbreaker.dbr,, &gt;&gt; .\items\materia\class0023\Storm59.dbr</v>
      </c>
      <c r="V61" s="5" t="s">
        <v>36</v>
      </c>
      <c r="W61" t="str">
        <f t="shared" si="8"/>
        <v>echo lootName59,DAIL/items/materia/class0023/Storm59.dbr, &gt;&gt; .\items\loottables\dailoneskill0023.dbr</v>
      </c>
      <c r="X61" t="str">
        <f t="shared" si="8"/>
        <v>echo lootWeight59,1, &gt;&gt; .\items\loottables\dailoneskill0023.dbr</v>
      </c>
      <c r="Y61" s="5" t="s">
        <v>36</v>
      </c>
      <c r="Z61" t="str">
        <f t="shared" si="9"/>
        <v xml:space="preserve"> dailCompDescStorm59=^pStorm's Gift of DAIL</v>
      </c>
      <c r="AA61" t="str">
        <f t="shared" si="17"/>
        <v>dailCompTextStorm59=^oThis feels warm to the touch, almost familiar ^w(This component only fits into the Medal Slot)</v>
      </c>
      <c r="AB61" s="5" t="s">
        <v>36</v>
      </c>
      <c r="AH61">
        <f t="shared" si="19"/>
        <v>56</v>
      </c>
      <c r="AI61">
        <f t="shared" si="13"/>
        <v>23</v>
      </c>
      <c r="AJ61">
        <f t="shared" si="18"/>
        <v>5</v>
      </c>
    </row>
    <row r="62" spans="1:36" x14ac:dyDescent="0.25">
      <c r="A62" s="5" t="s">
        <v>39</v>
      </c>
      <c r="B62" s="5" t="s">
        <v>30</v>
      </c>
      <c r="C62" s="5" t="str">
        <f t="shared" si="0"/>
        <v>description,dailCompDescStorm60,</v>
      </c>
      <c r="D62" s="5" t="str">
        <f t="shared" si="2"/>
        <v>itemText,dailCompTextStorm60,</v>
      </c>
      <c r="E62" s="5" t="str">
        <f t="shared" si="14"/>
        <v>augmentSkillLevel1,5,</v>
      </c>
      <c r="F62" s="5" t="str">
        <f t="shared" si="15"/>
        <v>augmentSkillName1,records/skillsstorm/spellbreaker_spellshock.dbr,,</v>
      </c>
      <c r="G62" s="7">
        <f t="shared" si="10"/>
        <v>60</v>
      </c>
      <c r="H62" s="8" t="str">
        <f t="shared" si="11"/>
        <v>Storm</v>
      </c>
      <c r="I62" s="3" t="s">
        <v>743</v>
      </c>
      <c r="J62" s="8" t="str">
        <f t="shared" si="22"/>
        <v>class0023</v>
      </c>
      <c r="K62" s="8" t="str">
        <f t="shared" si="22"/>
        <v>dailoneskill0023</v>
      </c>
      <c r="L62" s="5" t="str">
        <f t="shared" si="4"/>
        <v>lootName60,DAIL/items/materia/class0023/Storm60.dbr,</v>
      </c>
      <c r="M62" s="5" t="str">
        <f t="shared" si="5"/>
        <v>lootWeight60,1,</v>
      </c>
      <c r="N62" t="str">
        <f t="shared" si="6"/>
        <v>5</v>
      </c>
      <c r="O62" t="str">
        <f t="shared" si="16"/>
        <v>copy .\dail_base3.dbr .\items\materia\class0023\Storm60.dbr /y</v>
      </c>
      <c r="P62" t="str">
        <f t="shared" si="23"/>
        <v>echo relicBitmap,items/craftingparts/components/component_a52_bristlyfur_b.tex, &gt;&gt; .\items\materia\class0023\Storm60.dbr</v>
      </c>
      <c r="Q62" t="str">
        <f t="shared" si="23"/>
        <v>echo itemCost,500000, &gt;&gt; .\items\materia\class0023\Storm60.dbr</v>
      </c>
      <c r="R62" t="str">
        <f t="shared" si="23"/>
        <v>echo description,dailCompDescStorm60, &gt;&gt; .\items\materia\class0023\Storm60.dbr</v>
      </c>
      <c r="S62" t="str">
        <f t="shared" si="23"/>
        <v>echo itemText,dailCompTextStorm60, &gt;&gt; .\items\materia\class0023\Storm60.dbr</v>
      </c>
      <c r="T62" t="str">
        <f t="shared" si="23"/>
        <v>echo augmentSkillLevel1,5, &gt;&gt; .\items\materia\class0023\Storm60.dbr</v>
      </c>
      <c r="U62" t="str">
        <f t="shared" si="23"/>
        <v>echo augmentSkillName1,records/skillsstorm/spellbreaker_spellshock.dbr,, &gt;&gt; .\items\materia\class0023\Storm60.dbr</v>
      </c>
      <c r="V62" s="5" t="s">
        <v>36</v>
      </c>
      <c r="W62" t="str">
        <f t="shared" si="8"/>
        <v>echo lootName60,DAIL/items/materia/class0023/Storm60.dbr, &gt;&gt; .\items\loottables\dailoneskill0023.dbr</v>
      </c>
      <c r="X62" t="str">
        <f t="shared" si="8"/>
        <v>echo lootWeight60,1, &gt;&gt; .\items\loottables\dailoneskill0023.dbr</v>
      </c>
      <c r="Y62" s="5" t="s">
        <v>36</v>
      </c>
      <c r="Z62" t="str">
        <f t="shared" si="9"/>
        <v xml:space="preserve"> dailCompDescStorm60=^pStorm's Gift of DAIL</v>
      </c>
      <c r="AA62" t="str">
        <f t="shared" si="17"/>
        <v>dailCompTextStorm60=^oThis feels warm to the touch, almost familiar ^w(This component only fits into the Medal Slot)</v>
      </c>
      <c r="AB62" s="5" t="s">
        <v>36</v>
      </c>
      <c r="AH62">
        <f t="shared" si="19"/>
        <v>57</v>
      </c>
      <c r="AI62">
        <f t="shared" si="13"/>
        <v>34</v>
      </c>
      <c r="AJ62">
        <f t="shared" si="18"/>
        <v>5</v>
      </c>
    </row>
    <row r="63" spans="1:36" x14ac:dyDescent="0.25">
      <c r="A63" s="5" t="s">
        <v>39</v>
      </c>
      <c r="B63" s="5" t="s">
        <v>30</v>
      </c>
      <c r="C63" s="5" t="str">
        <f t="shared" si="0"/>
        <v>description,dailCompDescStorm61,</v>
      </c>
      <c r="D63" s="5" t="str">
        <f t="shared" si="2"/>
        <v>itemText,dailCompTextStorm61,</v>
      </c>
      <c r="E63" s="5" t="str">
        <f t="shared" si="14"/>
        <v>augmentSkillLevel1,5,</v>
      </c>
      <c r="F63" s="5" t="str">
        <f t="shared" si="15"/>
        <v>augmentSkillName1,records/skillsstorm/stormsurge.dbr,,</v>
      </c>
      <c r="G63" s="7">
        <f t="shared" si="10"/>
        <v>61</v>
      </c>
      <c r="H63" s="8" t="str">
        <f t="shared" si="11"/>
        <v>Storm</v>
      </c>
      <c r="I63" s="3" t="s">
        <v>744</v>
      </c>
      <c r="J63" s="8" t="str">
        <f t="shared" si="22"/>
        <v>class0023</v>
      </c>
      <c r="K63" s="8" t="str">
        <f t="shared" si="22"/>
        <v>dailoneskill0023</v>
      </c>
      <c r="L63" s="5" t="str">
        <f t="shared" si="4"/>
        <v>lootName61,DAIL/items/materia/class0023/Storm61.dbr,</v>
      </c>
      <c r="M63" s="5" t="str">
        <f t="shared" si="5"/>
        <v>lootWeight61,1,</v>
      </c>
      <c r="N63" t="str">
        <f t="shared" si="6"/>
        <v>5</v>
      </c>
      <c r="O63" t="str">
        <f t="shared" si="16"/>
        <v>copy .\dail_base3.dbr .\items\materia\class0023\Storm61.dbr /y</v>
      </c>
      <c r="P63" t="str">
        <f t="shared" si="23"/>
        <v>echo relicBitmap,items/craftingparts/components/component_a52_bristlyfur_b.tex, &gt;&gt; .\items\materia\class0023\Storm61.dbr</v>
      </c>
      <c r="Q63" t="str">
        <f t="shared" si="23"/>
        <v>echo itemCost,500000, &gt;&gt; .\items\materia\class0023\Storm61.dbr</v>
      </c>
      <c r="R63" t="str">
        <f t="shared" si="23"/>
        <v>echo description,dailCompDescStorm61, &gt;&gt; .\items\materia\class0023\Storm61.dbr</v>
      </c>
      <c r="S63" t="str">
        <f t="shared" si="23"/>
        <v>echo itemText,dailCompTextStorm61, &gt;&gt; .\items\materia\class0023\Storm61.dbr</v>
      </c>
      <c r="T63" t="str">
        <f t="shared" si="23"/>
        <v>echo augmentSkillLevel1,5, &gt;&gt; .\items\materia\class0023\Storm61.dbr</v>
      </c>
      <c r="U63" t="str">
        <f t="shared" si="23"/>
        <v>echo augmentSkillName1,records/skillsstorm/stormsurge.dbr,, &gt;&gt; .\items\materia\class0023\Storm61.dbr</v>
      </c>
      <c r="V63" s="5" t="s">
        <v>36</v>
      </c>
      <c r="W63" t="str">
        <f t="shared" si="8"/>
        <v>echo lootName61,DAIL/items/materia/class0023/Storm61.dbr, &gt;&gt; .\items\loottables\dailoneskill0023.dbr</v>
      </c>
      <c r="X63" t="str">
        <f t="shared" si="8"/>
        <v>echo lootWeight61,1, &gt;&gt; .\items\loottables\dailoneskill0023.dbr</v>
      </c>
      <c r="Y63" s="5" t="s">
        <v>36</v>
      </c>
      <c r="Z63" t="str">
        <f t="shared" si="9"/>
        <v xml:space="preserve"> dailCompDescStorm61=^pStorm's Gift of DAIL</v>
      </c>
      <c r="AA63" t="str">
        <f t="shared" si="17"/>
        <v>dailCompTextStorm61=^oThis feels warm to the touch, almost familiar ^w(This component only fits into the Medal Slot)</v>
      </c>
      <c r="AB63" s="5" t="s">
        <v>36</v>
      </c>
      <c r="AH63">
        <f t="shared" si="19"/>
        <v>58</v>
      </c>
      <c r="AI63">
        <f t="shared" si="13"/>
        <v>21</v>
      </c>
      <c r="AJ63">
        <f t="shared" si="18"/>
        <v>5</v>
      </c>
    </row>
    <row r="64" spans="1:36" x14ac:dyDescent="0.25">
      <c r="A64" s="5" t="s">
        <v>39</v>
      </c>
      <c r="B64" s="5" t="s">
        <v>30</v>
      </c>
      <c r="C64" s="5" t="str">
        <f t="shared" si="0"/>
        <v>description,dailCompDescStorm62,</v>
      </c>
      <c r="D64" s="5" t="str">
        <f t="shared" si="2"/>
        <v>itemText,dailCompTextStorm62,</v>
      </c>
      <c r="E64" s="5" t="str">
        <f t="shared" si="14"/>
        <v>augmentSkillLevel1,5,</v>
      </c>
      <c r="F64" s="5" t="str">
        <f t="shared" si="15"/>
        <v>augmentSkillName1,records/skillsstorm/thunderball.dbr,,</v>
      </c>
      <c r="G64" s="7">
        <f t="shared" si="10"/>
        <v>62</v>
      </c>
      <c r="H64" s="8" t="str">
        <f t="shared" si="11"/>
        <v>Storm</v>
      </c>
      <c r="I64" s="3" t="s">
        <v>745</v>
      </c>
      <c r="J64" s="8" t="str">
        <f t="shared" si="22"/>
        <v>class0023</v>
      </c>
      <c r="K64" s="8" t="str">
        <f t="shared" si="22"/>
        <v>dailoneskill0023</v>
      </c>
      <c r="L64" s="5" t="str">
        <f t="shared" si="4"/>
        <v>lootName62,DAIL/items/materia/class0023/Storm62.dbr,</v>
      </c>
      <c r="M64" s="5" t="str">
        <f t="shared" si="5"/>
        <v>lootWeight62,1,</v>
      </c>
      <c r="N64" t="str">
        <f t="shared" si="6"/>
        <v>5</v>
      </c>
      <c r="O64" t="str">
        <f t="shared" si="16"/>
        <v>copy .\dail_base3.dbr .\items\materia\class0023\Storm62.dbr /y</v>
      </c>
      <c r="P64" t="str">
        <f t="shared" si="23"/>
        <v>echo relicBitmap,items/craftingparts/components/component_a52_bristlyfur_b.tex, &gt;&gt; .\items\materia\class0023\Storm62.dbr</v>
      </c>
      <c r="Q64" t="str">
        <f t="shared" si="23"/>
        <v>echo itemCost,500000, &gt;&gt; .\items\materia\class0023\Storm62.dbr</v>
      </c>
      <c r="R64" t="str">
        <f t="shared" si="23"/>
        <v>echo description,dailCompDescStorm62, &gt;&gt; .\items\materia\class0023\Storm62.dbr</v>
      </c>
      <c r="S64" t="str">
        <f t="shared" si="23"/>
        <v>echo itemText,dailCompTextStorm62, &gt;&gt; .\items\materia\class0023\Storm62.dbr</v>
      </c>
      <c r="T64" t="str">
        <f t="shared" si="23"/>
        <v>echo augmentSkillLevel1,5, &gt;&gt; .\items\materia\class0023\Storm62.dbr</v>
      </c>
      <c r="U64" t="str">
        <f t="shared" si="23"/>
        <v>echo augmentSkillName1,records/skillsstorm/thunderball.dbr,, &gt;&gt; .\items\materia\class0023\Storm62.dbr</v>
      </c>
      <c r="V64" s="5" t="s">
        <v>36</v>
      </c>
      <c r="W64" t="str">
        <f t="shared" si="8"/>
        <v>echo lootName62,DAIL/items/materia/class0023/Storm62.dbr, &gt;&gt; .\items\loottables\dailoneskill0023.dbr</v>
      </c>
      <c r="X64" t="str">
        <f t="shared" si="8"/>
        <v>echo lootWeight62,1, &gt;&gt; .\items\loottables\dailoneskill0023.dbr</v>
      </c>
      <c r="Y64" s="5" t="s">
        <v>36</v>
      </c>
      <c r="Z64" t="str">
        <f t="shared" si="9"/>
        <v xml:space="preserve"> dailCompDescStorm62=^pStorm's Gift of DAIL</v>
      </c>
      <c r="AA64" t="str">
        <f t="shared" si="17"/>
        <v>dailCompTextStorm62=^oThis feels warm to the touch, almost familiar ^w(This component only fits into the Medal Slot)</v>
      </c>
      <c r="AB64" s="5" t="s">
        <v>36</v>
      </c>
      <c r="AH64">
        <f t="shared" si="19"/>
        <v>59</v>
      </c>
      <c r="AI64">
        <f t="shared" si="13"/>
        <v>22</v>
      </c>
      <c r="AJ64">
        <f t="shared" si="18"/>
        <v>5</v>
      </c>
    </row>
    <row r="65" spans="1:36" x14ac:dyDescent="0.25">
      <c r="A65" s="5" t="s">
        <v>39</v>
      </c>
      <c r="B65" s="5" t="s">
        <v>30</v>
      </c>
      <c r="C65" s="5" t="str">
        <f t="shared" si="0"/>
        <v>description,dailCompDescStorm63,</v>
      </c>
      <c r="D65" s="5" t="str">
        <f t="shared" si="2"/>
        <v>itemText,dailCompTextStorm63,</v>
      </c>
      <c r="E65" s="5" t="str">
        <f t="shared" si="14"/>
        <v>augmentSkillLevel1,5,</v>
      </c>
      <c r="F65" s="5" t="str">
        <f t="shared" si="15"/>
        <v>augmentSkillName1,records/skillsstorm/thunderball_concussiveblast.dbr,,</v>
      </c>
      <c r="G65" s="7">
        <f t="shared" si="10"/>
        <v>63</v>
      </c>
      <c r="H65" s="8" t="str">
        <f t="shared" si="11"/>
        <v>Storm</v>
      </c>
      <c r="I65" s="3" t="s">
        <v>746</v>
      </c>
      <c r="J65" s="8" t="str">
        <f t="shared" si="22"/>
        <v>class0023</v>
      </c>
      <c r="K65" s="8" t="str">
        <f t="shared" si="22"/>
        <v>dailoneskill0023</v>
      </c>
      <c r="L65" s="5" t="str">
        <f t="shared" si="4"/>
        <v>lootName63,DAIL/items/materia/class0023/Storm63.dbr,</v>
      </c>
      <c r="M65" s="5" t="str">
        <f t="shared" si="5"/>
        <v>lootWeight63,1,</v>
      </c>
      <c r="N65" t="str">
        <f t="shared" si="6"/>
        <v>5</v>
      </c>
      <c r="O65" t="str">
        <f t="shared" si="16"/>
        <v>copy .\dail_base3.dbr .\items\materia\class0023\Storm63.dbr /y</v>
      </c>
      <c r="P65" t="str">
        <f t="shared" si="23"/>
        <v>echo relicBitmap,items/craftingparts/components/component_a52_bristlyfur_b.tex, &gt;&gt; .\items\materia\class0023\Storm63.dbr</v>
      </c>
      <c r="Q65" t="str">
        <f t="shared" si="23"/>
        <v>echo itemCost,500000, &gt;&gt; .\items\materia\class0023\Storm63.dbr</v>
      </c>
      <c r="R65" t="str">
        <f t="shared" si="23"/>
        <v>echo description,dailCompDescStorm63, &gt;&gt; .\items\materia\class0023\Storm63.dbr</v>
      </c>
      <c r="S65" t="str">
        <f t="shared" si="23"/>
        <v>echo itemText,dailCompTextStorm63, &gt;&gt; .\items\materia\class0023\Storm63.dbr</v>
      </c>
      <c r="T65" t="str">
        <f t="shared" si="23"/>
        <v>echo augmentSkillLevel1,5, &gt;&gt; .\items\materia\class0023\Storm63.dbr</v>
      </c>
      <c r="U65" t="str">
        <f t="shared" si="23"/>
        <v>echo augmentSkillName1,records/skillsstorm/thunderball_concussiveblast.dbr,, &gt;&gt; .\items\materia\class0023\Storm63.dbr</v>
      </c>
      <c r="V65" s="5" t="s">
        <v>36</v>
      </c>
      <c r="W65" t="str">
        <f t="shared" si="8"/>
        <v>echo lootName63,DAIL/items/materia/class0023/Storm63.dbr, &gt;&gt; .\items\loottables\dailoneskill0023.dbr</v>
      </c>
      <c r="X65" t="str">
        <f t="shared" si="8"/>
        <v>echo lootWeight63,1, &gt;&gt; .\items\loottables\dailoneskill0023.dbr</v>
      </c>
      <c r="Y65" s="5" t="s">
        <v>36</v>
      </c>
      <c r="Z65" t="str">
        <f t="shared" si="9"/>
        <v xml:space="preserve"> dailCompDescStorm63=^pStorm's Gift of DAIL</v>
      </c>
      <c r="AA65" t="str">
        <f t="shared" si="17"/>
        <v>dailCompTextStorm63=^oThis feels warm to the touch, almost familiar ^w(This component only fits into the Medal Slot)</v>
      </c>
      <c r="AB65" s="5" t="s">
        <v>36</v>
      </c>
      <c r="AH65">
        <f t="shared" si="19"/>
        <v>60</v>
      </c>
      <c r="AI65">
        <f t="shared" si="13"/>
        <v>38</v>
      </c>
      <c r="AJ65">
        <f t="shared" si="18"/>
        <v>5</v>
      </c>
    </row>
    <row r="66" spans="1:36" x14ac:dyDescent="0.25">
      <c r="A66" s="5" t="s">
        <v>39</v>
      </c>
      <c r="B66" s="5" t="s">
        <v>30</v>
      </c>
      <c r="C66" s="5" t="str">
        <f t="shared" si="0"/>
        <v>description,dailCompDescStorm,</v>
      </c>
      <c r="D66" s="5" t="str">
        <f t="shared" si="2"/>
        <v>itemText,dailCompTextStorm,</v>
      </c>
      <c r="E66" s="5" t="str">
        <f t="shared" si="14"/>
        <v>augmentSkillLevel1,5,</v>
      </c>
      <c r="F66" s="5" t="str">
        <f t="shared" si="15"/>
        <v>augmentSkillName1,records/skills,</v>
      </c>
      <c r="G66" s="7" t="str">
        <f t="shared" si="10"/>
        <v/>
      </c>
      <c r="H66" s="8" t="str">
        <f t="shared" si="11"/>
        <v>Storm</v>
      </c>
      <c r="J66" s="8" t="str">
        <f t="shared" si="22"/>
        <v>class0023</v>
      </c>
      <c r="K66" s="8" t="str">
        <f t="shared" si="22"/>
        <v>dailoneskill0023</v>
      </c>
      <c r="L66" s="5" t="str">
        <f t="shared" si="4"/>
        <v>lootName,DAIL/items/materia/class0023/Storm.dbr,</v>
      </c>
      <c r="M66" s="5" t="str">
        <f t="shared" si="5"/>
        <v>lootWeight,1,</v>
      </c>
      <c r="N66" t="str">
        <f t="shared" si="6"/>
        <v>5</v>
      </c>
      <c r="O66" t="str">
        <f t="shared" si="16"/>
        <v/>
      </c>
      <c r="P66" t="str">
        <f t="shared" si="23"/>
        <v/>
      </c>
      <c r="Q66" t="str">
        <f t="shared" si="23"/>
        <v/>
      </c>
      <c r="R66" t="str">
        <f t="shared" si="23"/>
        <v/>
      </c>
      <c r="S66" t="str">
        <f t="shared" si="23"/>
        <v/>
      </c>
      <c r="T66" t="str">
        <f t="shared" si="23"/>
        <v/>
      </c>
      <c r="U66" t="str">
        <f t="shared" si="23"/>
        <v/>
      </c>
      <c r="V66" s="5" t="s">
        <v>36</v>
      </c>
      <c r="W66" t="str">
        <f t="shared" si="8"/>
        <v/>
      </c>
      <c r="X66" t="str">
        <f t="shared" si="8"/>
        <v/>
      </c>
      <c r="Y66" s="5" t="s">
        <v>36</v>
      </c>
      <c r="Z66" t="str">
        <f t="shared" si="9"/>
        <v xml:space="preserve"> dailCompDescStorm=^pStorm's Gift of DAIL</v>
      </c>
      <c r="AA66" t="str">
        <f t="shared" si="17"/>
        <v>dailCompTextStorm=^oThis feels warm to the touch, almost familiar ^w(This component only fits into the Medal Slot)</v>
      </c>
      <c r="AB66" s="5" t="s">
        <v>36</v>
      </c>
      <c r="AH66">
        <f t="shared" si="19"/>
        <v>61</v>
      </c>
      <c r="AI66">
        <f t="shared" si="13"/>
        <v>0</v>
      </c>
      <c r="AJ66">
        <f t="shared" si="18"/>
        <v>5</v>
      </c>
    </row>
    <row r="67" spans="1:36" x14ac:dyDescent="0.25">
      <c r="A67" s="5" t="s">
        <v>39</v>
      </c>
      <c r="B67" s="5" t="s">
        <v>30</v>
      </c>
      <c r="C67" s="5" t="str">
        <f t="shared" ref="C67:C102" si="24">"description,dailCompDesc"&amp;H67&amp;G67&amp;","</f>
        <v>description,dailCompDescStorm,</v>
      </c>
      <c r="D67" s="5" t="str">
        <f t="shared" si="2"/>
        <v>itemText,dailCompTextStorm,</v>
      </c>
      <c r="E67" s="5" t="str">
        <f t="shared" si="14"/>
        <v>augmentSkillLevel1,5,</v>
      </c>
      <c r="F67" s="5" t="str">
        <f t="shared" si="15"/>
        <v>augmentSkillName1,records/skills,</v>
      </c>
      <c r="G67" s="7" t="str">
        <f t="shared" si="10"/>
        <v/>
      </c>
      <c r="H67" s="8" t="str">
        <f t="shared" si="11"/>
        <v>Storm</v>
      </c>
      <c r="J67" s="8" t="str">
        <f t="shared" si="22"/>
        <v>class0023</v>
      </c>
      <c r="K67" s="8" t="str">
        <f t="shared" si="22"/>
        <v>dailoneskill0023</v>
      </c>
      <c r="L67" s="5" t="str">
        <f t="shared" si="4"/>
        <v>lootName,DAIL/items/materia/class0023/Storm.dbr,</v>
      </c>
      <c r="M67" s="5" t="str">
        <f t="shared" si="5"/>
        <v>lootWeight,1,</v>
      </c>
      <c r="N67" t="str">
        <f t="shared" si="6"/>
        <v>5</v>
      </c>
      <c r="O67" t="str">
        <f t="shared" si="16"/>
        <v/>
      </c>
      <c r="P67" t="str">
        <f t="shared" si="23"/>
        <v/>
      </c>
      <c r="Q67" t="str">
        <f t="shared" si="23"/>
        <v/>
      </c>
      <c r="R67" t="str">
        <f t="shared" si="23"/>
        <v/>
      </c>
      <c r="S67" t="str">
        <f t="shared" si="23"/>
        <v/>
      </c>
      <c r="T67" t="str">
        <f t="shared" si="23"/>
        <v/>
      </c>
      <c r="U67" t="str">
        <f t="shared" si="23"/>
        <v/>
      </c>
      <c r="V67" s="5" t="s">
        <v>36</v>
      </c>
      <c r="W67" t="str">
        <f t="shared" si="8"/>
        <v/>
      </c>
      <c r="X67" t="str">
        <f t="shared" si="8"/>
        <v/>
      </c>
      <c r="Y67" s="5" t="s">
        <v>36</v>
      </c>
      <c r="Z67" t="str">
        <f t="shared" si="9"/>
        <v/>
      </c>
      <c r="AA67" t="str">
        <f t="shared" si="17"/>
        <v/>
      </c>
      <c r="AB67" s="5" t="s">
        <v>36</v>
      </c>
      <c r="AH67">
        <f t="shared" si="19"/>
        <v>62</v>
      </c>
      <c r="AI67">
        <f t="shared" si="13"/>
        <v>0</v>
      </c>
      <c r="AJ67">
        <f t="shared" si="18"/>
        <v>5</v>
      </c>
    </row>
    <row r="68" spans="1:36" x14ac:dyDescent="0.25">
      <c r="A68" s="5" t="s">
        <v>39</v>
      </c>
      <c r="B68" s="5" t="s">
        <v>30</v>
      </c>
      <c r="C68" s="5" t="str">
        <f t="shared" si="24"/>
        <v>description,dailCompDescStorm,</v>
      </c>
      <c r="D68" s="5" t="str">
        <f t="shared" ref="D68:D102" si="25">"itemText,dailCompText"&amp;H68&amp;G68&amp;","</f>
        <v>itemText,dailCompTextStorm,</v>
      </c>
      <c r="E68" s="5" t="str">
        <f t="shared" si="14"/>
        <v>augmentSkillLevel1,5,</v>
      </c>
      <c r="F68" s="5" t="str">
        <f t="shared" si="15"/>
        <v>augmentSkillName1,records/skills,</v>
      </c>
      <c r="G68" s="7" t="str">
        <f t="shared" si="10"/>
        <v/>
      </c>
      <c r="H68" s="8" t="str">
        <f t="shared" si="11"/>
        <v>Storm</v>
      </c>
      <c r="J68" s="8" t="str">
        <f t="shared" si="22"/>
        <v>class0023</v>
      </c>
      <c r="K68" s="8" t="str">
        <f t="shared" si="22"/>
        <v>dailoneskill0023</v>
      </c>
      <c r="L68" s="5" t="str">
        <f t="shared" ref="L68:L102" si="26">"lootName"&amp;G68&amp;",DAIL/items/materia/"&amp;J68&amp;"/"&amp;H68&amp;G68&amp;".dbr"&amp;","</f>
        <v>lootName,DAIL/items/materia/class0023/Storm.dbr,</v>
      </c>
      <c r="M68" s="5" t="str">
        <f t="shared" ref="M68:M102" si="27">"lootWeight"&amp;G68&amp;",1,"</f>
        <v>lootWeight,1,</v>
      </c>
      <c r="N68" t="str">
        <f t="shared" ref="N68:N102" si="28">LEFT(RIGHT(E68,2),1)</f>
        <v>5</v>
      </c>
      <c r="O68" t="str">
        <f t="shared" si="16"/>
        <v/>
      </c>
      <c r="P68" t="str">
        <f t="shared" si="23"/>
        <v/>
      </c>
      <c r="Q68" t="str">
        <f t="shared" si="23"/>
        <v/>
      </c>
      <c r="R68" t="str">
        <f t="shared" si="23"/>
        <v/>
      </c>
      <c r="S68" t="str">
        <f t="shared" si="23"/>
        <v/>
      </c>
      <c r="T68" t="str">
        <f t="shared" si="23"/>
        <v/>
      </c>
      <c r="U68" t="str">
        <f t="shared" si="23"/>
        <v/>
      </c>
      <c r="V68" s="5" t="s">
        <v>36</v>
      </c>
      <c r="W68" t="str">
        <f t="shared" ref="W68:X102" si="29">IF($I68&lt;&gt;"","echo "&amp;L68&amp;" &gt;&gt; .\items\loottables\"&amp;$K68&amp;".dbr","")</f>
        <v/>
      </c>
      <c r="X68" t="str">
        <f t="shared" si="29"/>
        <v/>
      </c>
      <c r="Y68" s="5" t="s">
        <v>36</v>
      </c>
      <c r="Z68" t="str">
        <f t="shared" ref="Z68:Z102" si="30">IF(I67&lt;&gt;""," dailCompDesc"&amp;H68&amp;G68&amp;"=^p"&amp;H68&amp;"'s Gift of DAIL","")</f>
        <v/>
      </c>
      <c r="AA68" t="str">
        <f t="shared" si="17"/>
        <v/>
      </c>
      <c r="AB68" s="5" t="s">
        <v>36</v>
      </c>
      <c r="AH68">
        <f t="shared" si="19"/>
        <v>63</v>
      </c>
      <c r="AI68">
        <f t="shared" si="13"/>
        <v>0</v>
      </c>
      <c r="AJ68">
        <f t="shared" si="18"/>
        <v>5</v>
      </c>
    </row>
    <row r="69" spans="1:36" x14ac:dyDescent="0.25">
      <c r="A69" s="5" t="s">
        <v>39</v>
      </c>
      <c r="B69" s="5" t="s">
        <v>30</v>
      </c>
      <c r="C69" s="5" t="str">
        <f t="shared" si="24"/>
        <v>description,dailCompDescStorm,</v>
      </c>
      <c r="D69" s="5" t="str">
        <f t="shared" si="25"/>
        <v>itemText,dailCompTextStorm,</v>
      </c>
      <c r="E69" s="5" t="str">
        <f t="shared" si="14"/>
        <v>augmentSkillLevel1,5,</v>
      </c>
      <c r="F69" s="5" t="str">
        <f t="shared" si="15"/>
        <v>augmentSkillName1,records/skills,</v>
      </c>
      <c r="G69" s="7" t="str">
        <f t="shared" ref="G69:G102" si="31">IF(I69&lt;&gt;"",G68+1,"")</f>
        <v/>
      </c>
      <c r="H69" s="8" t="str">
        <f t="shared" ref="H69:H102" si="32">H68</f>
        <v>Storm</v>
      </c>
      <c r="J69" s="8" t="str">
        <f t="shared" ref="J69:K84" si="33">J68</f>
        <v>class0023</v>
      </c>
      <c r="K69" s="8" t="str">
        <f t="shared" si="33"/>
        <v>dailoneskill0023</v>
      </c>
      <c r="L69" s="5" t="str">
        <f t="shared" si="26"/>
        <v>lootName,DAIL/items/materia/class0023/Storm.dbr,</v>
      </c>
      <c r="M69" s="5" t="str">
        <f t="shared" si="27"/>
        <v>lootWeight,1,</v>
      </c>
      <c r="N69" t="str">
        <f t="shared" si="28"/>
        <v>5</v>
      </c>
      <c r="O69" t="str">
        <f t="shared" si="16"/>
        <v/>
      </c>
      <c r="P69" t="str">
        <f t="shared" si="23"/>
        <v/>
      </c>
      <c r="Q69" t="str">
        <f t="shared" si="23"/>
        <v/>
      </c>
      <c r="R69" t="str">
        <f t="shared" si="23"/>
        <v/>
      </c>
      <c r="S69" t="str">
        <f t="shared" si="23"/>
        <v/>
      </c>
      <c r="T69" t="str">
        <f t="shared" si="23"/>
        <v/>
      </c>
      <c r="U69" t="str">
        <f t="shared" si="23"/>
        <v/>
      </c>
      <c r="V69" s="5" t="s">
        <v>36</v>
      </c>
      <c r="W69" t="str">
        <f t="shared" si="29"/>
        <v/>
      </c>
      <c r="X69" t="str">
        <f t="shared" si="29"/>
        <v/>
      </c>
      <c r="Y69" s="5" t="s">
        <v>36</v>
      </c>
      <c r="Z69" t="str">
        <f t="shared" si="30"/>
        <v/>
      </c>
      <c r="AA69" t="str">
        <f t="shared" si="17"/>
        <v/>
      </c>
      <c r="AB69" s="5" t="s">
        <v>36</v>
      </c>
      <c r="AH69">
        <f t="shared" si="19"/>
        <v>64</v>
      </c>
      <c r="AI69">
        <f t="shared" si="13"/>
        <v>0</v>
      </c>
      <c r="AJ69">
        <f t="shared" si="18"/>
        <v>5</v>
      </c>
    </row>
    <row r="70" spans="1:36" x14ac:dyDescent="0.25">
      <c r="A70" s="5" t="s">
        <v>39</v>
      </c>
      <c r="B70" s="5" t="s">
        <v>30</v>
      </c>
      <c r="C70" s="5" t="str">
        <f t="shared" si="24"/>
        <v>description,dailCompDescStorm,</v>
      </c>
      <c r="D70" s="5" t="str">
        <f t="shared" si="25"/>
        <v>itemText,dailCompTextStorm,</v>
      </c>
      <c r="E70" s="5" t="str">
        <f t="shared" si="14"/>
        <v>augmentSkillLevel1,5,</v>
      </c>
      <c r="F70" s="5" t="str">
        <f t="shared" si="15"/>
        <v>augmentSkillName1,records/skills,</v>
      </c>
      <c r="G70" s="7" t="str">
        <f t="shared" si="31"/>
        <v/>
      </c>
      <c r="H70" s="8" t="str">
        <f t="shared" si="32"/>
        <v>Storm</v>
      </c>
      <c r="J70" s="8" t="str">
        <f t="shared" si="33"/>
        <v>class0023</v>
      </c>
      <c r="K70" s="8" t="str">
        <f t="shared" si="33"/>
        <v>dailoneskill0023</v>
      </c>
      <c r="L70" s="5" t="str">
        <f t="shared" si="26"/>
        <v>lootName,DAIL/items/materia/class0023/Storm.dbr,</v>
      </c>
      <c r="M70" s="5" t="str">
        <f t="shared" si="27"/>
        <v>lootWeight,1,</v>
      </c>
      <c r="N70" t="str">
        <f t="shared" si="28"/>
        <v>5</v>
      </c>
      <c r="O70" t="str">
        <f t="shared" si="16"/>
        <v/>
      </c>
      <c r="P70" t="str">
        <f t="shared" si="23"/>
        <v/>
      </c>
      <c r="Q70" t="str">
        <f t="shared" si="23"/>
        <v/>
      </c>
      <c r="R70" t="str">
        <f t="shared" si="23"/>
        <v/>
      </c>
      <c r="S70" t="str">
        <f t="shared" si="23"/>
        <v/>
      </c>
      <c r="T70" t="str">
        <f t="shared" si="23"/>
        <v/>
      </c>
      <c r="U70" t="str">
        <f t="shared" si="23"/>
        <v/>
      </c>
      <c r="V70" s="5" t="s">
        <v>36</v>
      </c>
      <c r="W70" t="str">
        <f t="shared" si="29"/>
        <v/>
      </c>
      <c r="X70" t="str">
        <f t="shared" si="29"/>
        <v/>
      </c>
      <c r="Y70" s="5" t="s">
        <v>36</v>
      </c>
      <c r="Z70" t="str">
        <f t="shared" si="30"/>
        <v/>
      </c>
      <c r="AA70" t="str">
        <f t="shared" si="17"/>
        <v/>
      </c>
      <c r="AB70" s="5" t="s">
        <v>36</v>
      </c>
      <c r="AH70">
        <f t="shared" si="19"/>
        <v>65</v>
      </c>
      <c r="AI70">
        <f t="shared" ref="AI70:AI102" si="34">LEN(I70)</f>
        <v>0</v>
      </c>
      <c r="AJ70">
        <f t="shared" si="18"/>
        <v>5</v>
      </c>
    </row>
    <row r="71" spans="1:36" x14ac:dyDescent="0.25">
      <c r="A71" s="5" t="s">
        <v>39</v>
      </c>
      <c r="B71" s="5" t="s">
        <v>30</v>
      </c>
      <c r="C71" s="5" t="str">
        <f t="shared" si="24"/>
        <v>description,dailCompDescStorm,</v>
      </c>
      <c r="D71" s="5" t="str">
        <f t="shared" si="25"/>
        <v>itemText,dailCompTextStorm,</v>
      </c>
      <c r="E71" s="5" t="str">
        <f t="shared" ref="E71:E102" si="35">"augmentSkillLevel1,"&amp;AJ71&amp;","</f>
        <v>augmentSkillLevel1,5,</v>
      </c>
      <c r="F71" s="5" t="str">
        <f t="shared" ref="F71:F102" si="36">"augmentSkillName1,records/skills"&amp;I71&amp;","</f>
        <v>augmentSkillName1,records/skills,</v>
      </c>
      <c r="G71" s="7" t="str">
        <f t="shared" si="31"/>
        <v/>
      </c>
      <c r="H71" s="8" t="str">
        <f t="shared" si="32"/>
        <v>Storm</v>
      </c>
      <c r="J71" s="8" t="str">
        <f t="shared" si="33"/>
        <v>class0023</v>
      </c>
      <c r="K71" s="8" t="str">
        <f t="shared" si="33"/>
        <v>dailoneskill0023</v>
      </c>
      <c r="L71" s="5" t="str">
        <f t="shared" si="26"/>
        <v>lootName,DAIL/items/materia/class0023/Storm.dbr,</v>
      </c>
      <c r="M71" s="5" t="str">
        <f t="shared" si="27"/>
        <v>lootWeight,1,</v>
      </c>
      <c r="N71" t="str">
        <f t="shared" si="28"/>
        <v>5</v>
      </c>
      <c r="O71" t="str">
        <f t="shared" ref="O71:O102" si="37">IF(I71&lt;&gt;"","copy .\"&amp;VLOOKUP(VALUE(N71),$AD$3:$AF$5,2,FALSE)&amp;" .\items\materia\"&amp;J71&amp;"\"&amp;H71&amp;G71&amp;".dbr /y"&amp;"","")</f>
        <v/>
      </c>
      <c r="P71" t="str">
        <f t="shared" si="23"/>
        <v/>
      </c>
      <c r="Q71" t="str">
        <f t="shared" si="23"/>
        <v/>
      </c>
      <c r="R71" t="str">
        <f t="shared" si="23"/>
        <v/>
      </c>
      <c r="S71" t="str">
        <f t="shared" si="23"/>
        <v/>
      </c>
      <c r="T71" t="str">
        <f t="shared" si="23"/>
        <v/>
      </c>
      <c r="U71" t="str">
        <f t="shared" si="23"/>
        <v/>
      </c>
      <c r="V71" s="5" t="s">
        <v>36</v>
      </c>
      <c r="W71" t="str">
        <f t="shared" si="29"/>
        <v/>
      </c>
      <c r="X71" t="str">
        <f t="shared" si="29"/>
        <v/>
      </c>
      <c r="Y71" s="5" t="s">
        <v>36</v>
      </c>
      <c r="Z71" t="str">
        <f t="shared" si="30"/>
        <v/>
      </c>
      <c r="AA71" t="str">
        <f t="shared" ref="AA71:AA102" si="38">IF(I70&lt;&gt;"","dailCompText"&amp;H71&amp;G71&amp;"=^oThis feels warm to the touch, almost familiar ^w("&amp;VLOOKUP(VALUE(N71),$AD$3:$AF$5,3,FALSE)&amp;")","")</f>
        <v/>
      </c>
      <c r="AB71" s="5" t="s">
        <v>36</v>
      </c>
      <c r="AH71">
        <f t="shared" si="19"/>
        <v>66</v>
      </c>
      <c r="AI71">
        <f t="shared" si="34"/>
        <v>0</v>
      </c>
      <c r="AJ71">
        <f t="shared" ref="AJ71:AJ102" si="39">IF(AH71&lt;$AL$7,1,IF(AH71&lt;$AL$8,3,5))</f>
        <v>5</v>
      </c>
    </row>
    <row r="72" spans="1:36" x14ac:dyDescent="0.25">
      <c r="A72" s="5" t="s">
        <v>39</v>
      </c>
      <c r="B72" s="5" t="s">
        <v>30</v>
      </c>
      <c r="C72" s="5" t="str">
        <f t="shared" si="24"/>
        <v>description,dailCompDescStorm,</v>
      </c>
      <c r="D72" s="5" t="str">
        <f t="shared" si="25"/>
        <v>itemText,dailCompTextStorm,</v>
      </c>
      <c r="E72" s="5" t="str">
        <f t="shared" si="35"/>
        <v>augmentSkillLevel1,5,</v>
      </c>
      <c r="F72" s="5" t="str">
        <f t="shared" si="36"/>
        <v>augmentSkillName1,records/skills,</v>
      </c>
      <c r="G72" s="7" t="str">
        <f t="shared" si="31"/>
        <v/>
      </c>
      <c r="H72" s="8" t="str">
        <f t="shared" si="32"/>
        <v>Storm</v>
      </c>
      <c r="J72" s="8" t="str">
        <f t="shared" si="33"/>
        <v>class0023</v>
      </c>
      <c r="K72" s="8" t="str">
        <f t="shared" si="33"/>
        <v>dailoneskill0023</v>
      </c>
      <c r="L72" s="5" t="str">
        <f t="shared" si="26"/>
        <v>lootName,DAIL/items/materia/class0023/Storm.dbr,</v>
      </c>
      <c r="M72" s="5" t="str">
        <f t="shared" si="27"/>
        <v>lootWeight,1,</v>
      </c>
      <c r="N72" t="str">
        <f t="shared" si="28"/>
        <v>5</v>
      </c>
      <c r="O72" t="str">
        <f t="shared" si="37"/>
        <v/>
      </c>
      <c r="P72" t="str">
        <f t="shared" si="23"/>
        <v/>
      </c>
      <c r="Q72" t="str">
        <f t="shared" si="23"/>
        <v/>
      </c>
      <c r="R72" t="str">
        <f t="shared" si="23"/>
        <v/>
      </c>
      <c r="S72" t="str">
        <f t="shared" si="23"/>
        <v/>
      </c>
      <c r="T72" t="str">
        <f t="shared" si="23"/>
        <v/>
      </c>
      <c r="U72" t="str">
        <f t="shared" si="23"/>
        <v/>
      </c>
      <c r="V72" s="5" t="s">
        <v>36</v>
      </c>
      <c r="W72" t="str">
        <f t="shared" si="29"/>
        <v/>
      </c>
      <c r="X72" t="str">
        <f t="shared" si="29"/>
        <v/>
      </c>
      <c r="Y72" s="5" t="s">
        <v>36</v>
      </c>
      <c r="Z72" t="str">
        <f t="shared" si="30"/>
        <v/>
      </c>
      <c r="AA72" t="str">
        <f t="shared" si="38"/>
        <v/>
      </c>
      <c r="AB72" s="5" t="s">
        <v>36</v>
      </c>
      <c r="AH72">
        <f t="shared" ref="AH72:AH102" si="40">AH71+1</f>
        <v>67</v>
      </c>
      <c r="AI72">
        <f t="shared" si="34"/>
        <v>0</v>
      </c>
      <c r="AJ72">
        <f t="shared" si="39"/>
        <v>5</v>
      </c>
    </row>
    <row r="73" spans="1:36" x14ac:dyDescent="0.25">
      <c r="A73" s="5" t="s">
        <v>39</v>
      </c>
      <c r="B73" s="5" t="s">
        <v>30</v>
      </c>
      <c r="C73" s="5" t="str">
        <f t="shared" si="24"/>
        <v>description,dailCompDescStorm,</v>
      </c>
      <c r="D73" s="5" t="str">
        <f t="shared" si="25"/>
        <v>itemText,dailCompTextStorm,</v>
      </c>
      <c r="E73" s="5" t="str">
        <f t="shared" si="35"/>
        <v>augmentSkillLevel1,5,</v>
      </c>
      <c r="F73" s="5" t="str">
        <f t="shared" si="36"/>
        <v>augmentSkillName1,records/skills,</v>
      </c>
      <c r="G73" s="7" t="str">
        <f t="shared" si="31"/>
        <v/>
      </c>
      <c r="H73" s="8" t="str">
        <f t="shared" si="32"/>
        <v>Storm</v>
      </c>
      <c r="J73" s="8" t="str">
        <f t="shared" si="33"/>
        <v>class0023</v>
      </c>
      <c r="K73" s="8" t="str">
        <f t="shared" si="33"/>
        <v>dailoneskill0023</v>
      </c>
      <c r="L73" s="5" t="str">
        <f t="shared" si="26"/>
        <v>lootName,DAIL/items/materia/class0023/Storm.dbr,</v>
      </c>
      <c r="M73" s="5" t="str">
        <f t="shared" si="27"/>
        <v>lootWeight,1,</v>
      </c>
      <c r="N73" t="str">
        <f t="shared" si="28"/>
        <v>5</v>
      </c>
      <c r="O73" t="str">
        <f t="shared" si="37"/>
        <v/>
      </c>
      <c r="P73" t="str">
        <f t="shared" si="23"/>
        <v/>
      </c>
      <c r="Q73" t="str">
        <f t="shared" si="23"/>
        <v/>
      </c>
      <c r="R73" t="str">
        <f t="shared" si="23"/>
        <v/>
      </c>
      <c r="S73" t="str">
        <f t="shared" si="23"/>
        <v/>
      </c>
      <c r="T73" t="str">
        <f t="shared" si="23"/>
        <v/>
      </c>
      <c r="U73" t="str">
        <f t="shared" si="23"/>
        <v/>
      </c>
      <c r="V73" s="5" t="s">
        <v>36</v>
      </c>
      <c r="W73" t="str">
        <f t="shared" si="29"/>
        <v/>
      </c>
      <c r="X73" t="str">
        <f t="shared" si="29"/>
        <v/>
      </c>
      <c r="Y73" s="5" t="s">
        <v>36</v>
      </c>
      <c r="Z73" t="str">
        <f t="shared" si="30"/>
        <v/>
      </c>
      <c r="AA73" t="str">
        <f t="shared" si="38"/>
        <v/>
      </c>
      <c r="AB73" s="5" t="s">
        <v>36</v>
      </c>
      <c r="AH73">
        <f t="shared" si="40"/>
        <v>68</v>
      </c>
      <c r="AI73">
        <f t="shared" si="34"/>
        <v>0</v>
      </c>
      <c r="AJ73">
        <f t="shared" si="39"/>
        <v>5</v>
      </c>
    </row>
    <row r="74" spans="1:36" x14ac:dyDescent="0.25">
      <c r="A74" s="5" t="s">
        <v>39</v>
      </c>
      <c r="B74" s="5" t="s">
        <v>30</v>
      </c>
      <c r="C74" s="5" t="str">
        <f t="shared" si="24"/>
        <v>description,dailCompDescStorm,</v>
      </c>
      <c r="D74" s="5" t="str">
        <f t="shared" si="25"/>
        <v>itemText,dailCompTextStorm,</v>
      </c>
      <c r="E74" s="5" t="str">
        <f t="shared" si="35"/>
        <v>augmentSkillLevel1,5,</v>
      </c>
      <c r="F74" s="5" t="str">
        <f t="shared" si="36"/>
        <v>augmentSkillName1,records/skills,</v>
      </c>
      <c r="G74" s="7" t="str">
        <f t="shared" si="31"/>
        <v/>
      </c>
      <c r="H74" s="8" t="str">
        <f t="shared" si="32"/>
        <v>Storm</v>
      </c>
      <c r="J74" s="8" t="str">
        <f t="shared" si="33"/>
        <v>class0023</v>
      </c>
      <c r="K74" s="8" t="str">
        <f t="shared" si="33"/>
        <v>dailoneskill0023</v>
      </c>
      <c r="L74" s="5" t="str">
        <f t="shared" si="26"/>
        <v>lootName,DAIL/items/materia/class0023/Storm.dbr,</v>
      </c>
      <c r="M74" s="5" t="str">
        <f t="shared" si="27"/>
        <v>lootWeight,1,</v>
      </c>
      <c r="N74" t="str">
        <f t="shared" si="28"/>
        <v>5</v>
      </c>
      <c r="O74" t="str">
        <f t="shared" si="37"/>
        <v/>
      </c>
      <c r="P74" t="str">
        <f t="shared" si="23"/>
        <v/>
      </c>
      <c r="Q74" t="str">
        <f t="shared" si="23"/>
        <v/>
      </c>
      <c r="R74" t="str">
        <f t="shared" si="23"/>
        <v/>
      </c>
      <c r="S74" t="str">
        <f t="shared" si="23"/>
        <v/>
      </c>
      <c r="T74" t="str">
        <f t="shared" si="23"/>
        <v/>
      </c>
      <c r="U74" t="str">
        <f t="shared" si="23"/>
        <v/>
      </c>
      <c r="V74" s="5" t="s">
        <v>36</v>
      </c>
      <c r="W74" t="str">
        <f t="shared" si="29"/>
        <v/>
      </c>
      <c r="X74" t="str">
        <f t="shared" si="29"/>
        <v/>
      </c>
      <c r="Y74" s="5" t="s">
        <v>36</v>
      </c>
      <c r="Z74" t="str">
        <f t="shared" si="30"/>
        <v/>
      </c>
      <c r="AA74" t="str">
        <f t="shared" si="38"/>
        <v/>
      </c>
      <c r="AB74" s="5" t="s">
        <v>36</v>
      </c>
      <c r="AH74">
        <f t="shared" si="40"/>
        <v>69</v>
      </c>
      <c r="AI74">
        <f t="shared" si="34"/>
        <v>0</v>
      </c>
      <c r="AJ74">
        <f t="shared" si="39"/>
        <v>5</v>
      </c>
    </row>
    <row r="75" spans="1:36" x14ac:dyDescent="0.25">
      <c r="A75" s="5" t="s">
        <v>39</v>
      </c>
      <c r="B75" s="5" t="s">
        <v>30</v>
      </c>
      <c r="C75" s="5" t="str">
        <f t="shared" si="24"/>
        <v>description,dailCompDescStorm,</v>
      </c>
      <c r="D75" s="5" t="str">
        <f t="shared" si="25"/>
        <v>itemText,dailCompTextStorm,</v>
      </c>
      <c r="E75" s="5" t="str">
        <f t="shared" si="35"/>
        <v>augmentSkillLevel1,5,</v>
      </c>
      <c r="F75" s="5" t="str">
        <f t="shared" si="36"/>
        <v>augmentSkillName1,records/skills,</v>
      </c>
      <c r="G75" s="7" t="str">
        <f t="shared" si="31"/>
        <v/>
      </c>
      <c r="H75" s="8" t="str">
        <f t="shared" si="32"/>
        <v>Storm</v>
      </c>
      <c r="J75" s="8" t="str">
        <f t="shared" si="33"/>
        <v>class0023</v>
      </c>
      <c r="K75" s="8" t="str">
        <f t="shared" si="33"/>
        <v>dailoneskill0023</v>
      </c>
      <c r="L75" s="5" t="str">
        <f t="shared" si="26"/>
        <v>lootName,DAIL/items/materia/class0023/Storm.dbr,</v>
      </c>
      <c r="M75" s="5" t="str">
        <f t="shared" si="27"/>
        <v>lootWeight,1,</v>
      </c>
      <c r="N75" t="str">
        <f t="shared" si="28"/>
        <v>5</v>
      </c>
      <c r="O75" t="str">
        <f t="shared" si="37"/>
        <v/>
      </c>
      <c r="P75" t="str">
        <f t="shared" si="23"/>
        <v/>
      </c>
      <c r="Q75" t="str">
        <f t="shared" si="23"/>
        <v/>
      </c>
      <c r="R75" t="str">
        <f t="shared" si="23"/>
        <v/>
      </c>
      <c r="S75" t="str">
        <f t="shared" si="23"/>
        <v/>
      </c>
      <c r="T75" t="str">
        <f t="shared" si="23"/>
        <v/>
      </c>
      <c r="U75" t="str">
        <f t="shared" si="23"/>
        <v/>
      </c>
      <c r="V75" s="5" t="s">
        <v>36</v>
      </c>
      <c r="W75" t="str">
        <f t="shared" si="29"/>
        <v/>
      </c>
      <c r="X75" t="str">
        <f t="shared" si="29"/>
        <v/>
      </c>
      <c r="Y75" s="5" t="s">
        <v>36</v>
      </c>
      <c r="Z75" t="str">
        <f t="shared" si="30"/>
        <v/>
      </c>
      <c r="AA75" t="str">
        <f t="shared" si="38"/>
        <v/>
      </c>
      <c r="AB75" s="5" t="s">
        <v>36</v>
      </c>
      <c r="AH75">
        <f t="shared" si="40"/>
        <v>70</v>
      </c>
      <c r="AI75">
        <f t="shared" si="34"/>
        <v>0</v>
      </c>
      <c r="AJ75">
        <f t="shared" si="39"/>
        <v>5</v>
      </c>
    </row>
    <row r="76" spans="1:36" x14ac:dyDescent="0.25">
      <c r="A76" s="5" t="s">
        <v>39</v>
      </c>
      <c r="B76" s="5" t="s">
        <v>30</v>
      </c>
      <c r="C76" s="5" t="str">
        <f t="shared" si="24"/>
        <v>description,dailCompDescStorm,</v>
      </c>
      <c r="D76" s="5" t="str">
        <f t="shared" si="25"/>
        <v>itemText,dailCompTextStorm,</v>
      </c>
      <c r="E76" s="5" t="str">
        <f t="shared" si="35"/>
        <v>augmentSkillLevel1,5,</v>
      </c>
      <c r="F76" s="5" t="str">
        <f t="shared" si="36"/>
        <v>augmentSkillName1,records/skills,</v>
      </c>
      <c r="G76" s="7" t="str">
        <f t="shared" si="31"/>
        <v/>
      </c>
      <c r="H76" s="8" t="str">
        <f t="shared" si="32"/>
        <v>Storm</v>
      </c>
      <c r="J76" s="8" t="str">
        <f t="shared" si="33"/>
        <v>class0023</v>
      </c>
      <c r="K76" s="8" t="str">
        <f t="shared" si="33"/>
        <v>dailoneskill0023</v>
      </c>
      <c r="L76" s="5" t="str">
        <f t="shared" si="26"/>
        <v>lootName,DAIL/items/materia/class0023/Storm.dbr,</v>
      </c>
      <c r="M76" s="5" t="str">
        <f t="shared" si="27"/>
        <v>lootWeight,1,</v>
      </c>
      <c r="N76" t="str">
        <f t="shared" si="28"/>
        <v>5</v>
      </c>
      <c r="O76" t="str">
        <f t="shared" si="37"/>
        <v/>
      </c>
      <c r="P76" t="str">
        <f t="shared" si="23"/>
        <v/>
      </c>
      <c r="Q76" t="str">
        <f t="shared" si="23"/>
        <v/>
      </c>
      <c r="R76" t="str">
        <f t="shared" si="23"/>
        <v/>
      </c>
      <c r="S76" t="str">
        <f t="shared" si="23"/>
        <v/>
      </c>
      <c r="T76" t="str">
        <f t="shared" si="23"/>
        <v/>
      </c>
      <c r="U76" t="str">
        <f t="shared" si="23"/>
        <v/>
      </c>
      <c r="V76" s="5" t="s">
        <v>36</v>
      </c>
      <c r="W76" t="str">
        <f t="shared" si="29"/>
        <v/>
      </c>
      <c r="X76" t="str">
        <f t="shared" si="29"/>
        <v/>
      </c>
      <c r="Y76" s="5" t="s">
        <v>36</v>
      </c>
      <c r="Z76" t="str">
        <f t="shared" si="30"/>
        <v/>
      </c>
      <c r="AA76" t="str">
        <f t="shared" si="38"/>
        <v/>
      </c>
      <c r="AB76" s="5" t="s">
        <v>36</v>
      </c>
      <c r="AH76">
        <f t="shared" si="40"/>
        <v>71</v>
      </c>
      <c r="AI76">
        <f t="shared" si="34"/>
        <v>0</v>
      </c>
      <c r="AJ76">
        <f t="shared" si="39"/>
        <v>5</v>
      </c>
    </row>
    <row r="77" spans="1:36" x14ac:dyDescent="0.25">
      <c r="A77" s="5" t="s">
        <v>39</v>
      </c>
      <c r="B77" s="5" t="s">
        <v>30</v>
      </c>
      <c r="C77" s="5" t="str">
        <f t="shared" si="24"/>
        <v>description,dailCompDescStorm,</v>
      </c>
      <c r="D77" s="5" t="str">
        <f t="shared" si="25"/>
        <v>itemText,dailCompTextStorm,</v>
      </c>
      <c r="E77" s="5" t="str">
        <f t="shared" si="35"/>
        <v>augmentSkillLevel1,5,</v>
      </c>
      <c r="F77" s="5" t="str">
        <f t="shared" si="36"/>
        <v>augmentSkillName1,records/skills,</v>
      </c>
      <c r="G77" s="7" t="str">
        <f t="shared" si="31"/>
        <v/>
      </c>
      <c r="H77" s="8" t="str">
        <f t="shared" si="32"/>
        <v>Storm</v>
      </c>
      <c r="J77" s="8" t="str">
        <f t="shared" si="33"/>
        <v>class0023</v>
      </c>
      <c r="K77" s="8" t="str">
        <f t="shared" si="33"/>
        <v>dailoneskill0023</v>
      </c>
      <c r="L77" s="5" t="str">
        <f t="shared" si="26"/>
        <v>lootName,DAIL/items/materia/class0023/Storm.dbr,</v>
      </c>
      <c r="M77" s="5" t="str">
        <f t="shared" si="27"/>
        <v>lootWeight,1,</v>
      </c>
      <c r="N77" t="str">
        <f t="shared" si="28"/>
        <v>5</v>
      </c>
      <c r="O77" t="str">
        <f t="shared" si="37"/>
        <v/>
      </c>
      <c r="P77" t="str">
        <f t="shared" si="23"/>
        <v/>
      </c>
      <c r="Q77" t="str">
        <f t="shared" si="23"/>
        <v/>
      </c>
      <c r="R77" t="str">
        <f t="shared" si="23"/>
        <v/>
      </c>
      <c r="S77" t="str">
        <f t="shared" si="23"/>
        <v/>
      </c>
      <c r="T77" t="str">
        <f t="shared" si="23"/>
        <v/>
      </c>
      <c r="U77" t="str">
        <f t="shared" si="23"/>
        <v/>
      </c>
      <c r="V77" s="5" t="s">
        <v>36</v>
      </c>
      <c r="W77" t="str">
        <f t="shared" si="29"/>
        <v/>
      </c>
      <c r="X77" t="str">
        <f t="shared" si="29"/>
        <v/>
      </c>
      <c r="Y77" s="5" t="s">
        <v>36</v>
      </c>
      <c r="Z77" t="str">
        <f t="shared" si="30"/>
        <v/>
      </c>
      <c r="AA77" t="str">
        <f t="shared" si="38"/>
        <v/>
      </c>
      <c r="AB77" s="5" t="s">
        <v>36</v>
      </c>
      <c r="AH77">
        <f t="shared" si="40"/>
        <v>72</v>
      </c>
      <c r="AI77">
        <f t="shared" si="34"/>
        <v>0</v>
      </c>
      <c r="AJ77">
        <f t="shared" si="39"/>
        <v>5</v>
      </c>
    </row>
    <row r="78" spans="1:36" x14ac:dyDescent="0.25">
      <c r="A78" s="5" t="s">
        <v>39</v>
      </c>
      <c r="B78" s="5" t="s">
        <v>30</v>
      </c>
      <c r="C78" s="5" t="str">
        <f t="shared" si="24"/>
        <v>description,dailCompDescStorm,</v>
      </c>
      <c r="D78" s="5" t="str">
        <f t="shared" si="25"/>
        <v>itemText,dailCompTextStorm,</v>
      </c>
      <c r="E78" s="5" t="str">
        <f t="shared" si="35"/>
        <v>augmentSkillLevel1,5,</v>
      </c>
      <c r="F78" s="5" t="str">
        <f t="shared" si="36"/>
        <v>augmentSkillName1,records/skills,</v>
      </c>
      <c r="G78" s="7" t="str">
        <f t="shared" si="31"/>
        <v/>
      </c>
      <c r="H78" s="8" t="str">
        <f t="shared" si="32"/>
        <v>Storm</v>
      </c>
      <c r="J78" s="8" t="str">
        <f t="shared" si="33"/>
        <v>class0023</v>
      </c>
      <c r="K78" s="8" t="str">
        <f t="shared" si="33"/>
        <v>dailoneskill0023</v>
      </c>
      <c r="L78" s="5" t="str">
        <f t="shared" si="26"/>
        <v>lootName,DAIL/items/materia/class0023/Storm.dbr,</v>
      </c>
      <c r="M78" s="5" t="str">
        <f t="shared" si="27"/>
        <v>lootWeight,1,</v>
      </c>
      <c r="N78" t="str">
        <f t="shared" si="28"/>
        <v>5</v>
      </c>
      <c r="O78" t="str">
        <f t="shared" si="37"/>
        <v/>
      </c>
      <c r="P78" t="str">
        <f t="shared" si="23"/>
        <v/>
      </c>
      <c r="Q78" t="str">
        <f t="shared" si="23"/>
        <v/>
      </c>
      <c r="R78" t="str">
        <f t="shared" si="23"/>
        <v/>
      </c>
      <c r="S78" t="str">
        <f t="shared" si="23"/>
        <v/>
      </c>
      <c r="T78" t="str">
        <f t="shared" si="23"/>
        <v/>
      </c>
      <c r="U78" t="str">
        <f t="shared" si="23"/>
        <v/>
      </c>
      <c r="V78" s="5" t="s">
        <v>36</v>
      </c>
      <c r="W78" t="str">
        <f t="shared" si="29"/>
        <v/>
      </c>
      <c r="X78" t="str">
        <f t="shared" si="29"/>
        <v/>
      </c>
      <c r="Y78" s="5" t="s">
        <v>36</v>
      </c>
      <c r="Z78" t="str">
        <f t="shared" si="30"/>
        <v/>
      </c>
      <c r="AA78" t="str">
        <f t="shared" si="38"/>
        <v/>
      </c>
      <c r="AB78" s="5" t="s">
        <v>36</v>
      </c>
      <c r="AH78">
        <f t="shared" si="40"/>
        <v>73</v>
      </c>
      <c r="AI78">
        <f t="shared" si="34"/>
        <v>0</v>
      </c>
      <c r="AJ78">
        <f t="shared" si="39"/>
        <v>5</v>
      </c>
    </row>
    <row r="79" spans="1:36" x14ac:dyDescent="0.25">
      <c r="A79" s="5" t="s">
        <v>39</v>
      </c>
      <c r="B79" s="5" t="s">
        <v>30</v>
      </c>
      <c r="C79" s="5" t="str">
        <f t="shared" si="24"/>
        <v>description,dailCompDescStorm,</v>
      </c>
      <c r="D79" s="5" t="str">
        <f t="shared" si="25"/>
        <v>itemText,dailCompTextStorm,</v>
      </c>
      <c r="E79" s="5" t="str">
        <f t="shared" si="35"/>
        <v>augmentSkillLevel1,5,</v>
      </c>
      <c r="F79" s="5" t="str">
        <f t="shared" si="36"/>
        <v>augmentSkillName1,records/skills,</v>
      </c>
      <c r="G79" s="7" t="str">
        <f t="shared" si="31"/>
        <v/>
      </c>
      <c r="H79" s="8" t="str">
        <f t="shared" si="32"/>
        <v>Storm</v>
      </c>
      <c r="J79" s="8" t="str">
        <f t="shared" si="33"/>
        <v>class0023</v>
      </c>
      <c r="K79" s="8" t="str">
        <f t="shared" si="33"/>
        <v>dailoneskill0023</v>
      </c>
      <c r="L79" s="5" t="str">
        <f t="shared" si="26"/>
        <v>lootName,DAIL/items/materia/class0023/Storm.dbr,</v>
      </c>
      <c r="M79" s="5" t="str">
        <f t="shared" si="27"/>
        <v>lootWeight,1,</v>
      </c>
      <c r="N79" t="str">
        <f t="shared" si="28"/>
        <v>5</v>
      </c>
      <c r="O79" t="str">
        <f t="shared" si="37"/>
        <v/>
      </c>
      <c r="P79" t="str">
        <f t="shared" si="23"/>
        <v/>
      </c>
      <c r="Q79" t="str">
        <f t="shared" si="23"/>
        <v/>
      </c>
      <c r="R79" t="str">
        <f t="shared" si="23"/>
        <v/>
      </c>
      <c r="S79" t="str">
        <f t="shared" si="23"/>
        <v/>
      </c>
      <c r="T79" t="str">
        <f t="shared" si="23"/>
        <v/>
      </c>
      <c r="U79" t="str">
        <f t="shared" si="23"/>
        <v/>
      </c>
      <c r="V79" s="5" t="s">
        <v>36</v>
      </c>
      <c r="W79" t="str">
        <f t="shared" si="29"/>
        <v/>
      </c>
      <c r="X79" t="str">
        <f t="shared" si="29"/>
        <v/>
      </c>
      <c r="Y79" s="5" t="s">
        <v>36</v>
      </c>
      <c r="Z79" t="str">
        <f t="shared" si="30"/>
        <v/>
      </c>
      <c r="AA79" t="str">
        <f t="shared" si="38"/>
        <v/>
      </c>
      <c r="AB79" s="5" t="s">
        <v>36</v>
      </c>
      <c r="AH79">
        <f t="shared" si="40"/>
        <v>74</v>
      </c>
      <c r="AI79">
        <f t="shared" si="34"/>
        <v>0</v>
      </c>
      <c r="AJ79">
        <f t="shared" si="39"/>
        <v>5</v>
      </c>
    </row>
    <row r="80" spans="1:36" x14ac:dyDescent="0.25">
      <c r="A80" s="5" t="s">
        <v>39</v>
      </c>
      <c r="B80" s="5" t="s">
        <v>30</v>
      </c>
      <c r="C80" s="5" t="str">
        <f t="shared" si="24"/>
        <v>description,dailCompDescStorm,</v>
      </c>
      <c r="D80" s="5" t="str">
        <f t="shared" si="25"/>
        <v>itemText,dailCompTextStorm,</v>
      </c>
      <c r="E80" s="5" t="str">
        <f t="shared" si="35"/>
        <v>augmentSkillLevel1,5,</v>
      </c>
      <c r="F80" s="5" t="str">
        <f t="shared" si="36"/>
        <v>augmentSkillName1,records/skills,</v>
      </c>
      <c r="G80" s="7" t="str">
        <f t="shared" si="31"/>
        <v/>
      </c>
      <c r="H80" s="8" t="str">
        <f t="shared" si="32"/>
        <v>Storm</v>
      </c>
      <c r="J80" s="8" t="str">
        <f t="shared" si="33"/>
        <v>class0023</v>
      </c>
      <c r="K80" s="8" t="str">
        <f t="shared" si="33"/>
        <v>dailoneskill0023</v>
      </c>
      <c r="L80" s="5" t="str">
        <f t="shared" si="26"/>
        <v>lootName,DAIL/items/materia/class0023/Storm.dbr,</v>
      </c>
      <c r="M80" s="5" t="str">
        <f t="shared" si="27"/>
        <v>lootWeight,1,</v>
      </c>
      <c r="N80" t="str">
        <f t="shared" si="28"/>
        <v>5</v>
      </c>
      <c r="O80" t="str">
        <f t="shared" si="37"/>
        <v/>
      </c>
      <c r="P80" t="str">
        <f t="shared" si="23"/>
        <v/>
      </c>
      <c r="Q80" t="str">
        <f t="shared" si="23"/>
        <v/>
      </c>
      <c r="R80" t="str">
        <f t="shared" si="23"/>
        <v/>
      </c>
      <c r="S80" t="str">
        <f t="shared" si="23"/>
        <v/>
      </c>
      <c r="T80" t="str">
        <f t="shared" si="23"/>
        <v/>
      </c>
      <c r="U80" t="str">
        <f t="shared" si="23"/>
        <v/>
      </c>
      <c r="V80" s="5" t="s">
        <v>36</v>
      </c>
      <c r="W80" t="str">
        <f t="shared" si="29"/>
        <v/>
      </c>
      <c r="X80" t="str">
        <f t="shared" si="29"/>
        <v/>
      </c>
      <c r="Y80" s="5" t="s">
        <v>36</v>
      </c>
      <c r="Z80" t="str">
        <f t="shared" si="30"/>
        <v/>
      </c>
      <c r="AA80" t="str">
        <f t="shared" si="38"/>
        <v/>
      </c>
      <c r="AB80" s="5" t="s">
        <v>36</v>
      </c>
      <c r="AH80">
        <f t="shared" si="40"/>
        <v>75</v>
      </c>
      <c r="AI80">
        <f t="shared" si="34"/>
        <v>0</v>
      </c>
      <c r="AJ80">
        <f t="shared" si="39"/>
        <v>5</v>
      </c>
    </row>
    <row r="81" spans="1:36" x14ac:dyDescent="0.25">
      <c r="A81" s="5" t="s">
        <v>39</v>
      </c>
      <c r="B81" s="5" t="s">
        <v>30</v>
      </c>
      <c r="C81" s="5" t="str">
        <f t="shared" si="24"/>
        <v>description,dailCompDescStorm,</v>
      </c>
      <c r="D81" s="5" t="str">
        <f t="shared" si="25"/>
        <v>itemText,dailCompTextStorm,</v>
      </c>
      <c r="E81" s="5" t="str">
        <f t="shared" si="35"/>
        <v>augmentSkillLevel1,5,</v>
      </c>
      <c r="F81" s="5" t="str">
        <f t="shared" si="36"/>
        <v>augmentSkillName1,records/skills,</v>
      </c>
      <c r="G81" s="7" t="str">
        <f t="shared" si="31"/>
        <v/>
      </c>
      <c r="H81" s="8" t="str">
        <f t="shared" si="32"/>
        <v>Storm</v>
      </c>
      <c r="J81" s="8" t="str">
        <f t="shared" si="33"/>
        <v>class0023</v>
      </c>
      <c r="K81" s="8" t="str">
        <f t="shared" si="33"/>
        <v>dailoneskill0023</v>
      </c>
      <c r="L81" s="5" t="str">
        <f t="shared" si="26"/>
        <v>lootName,DAIL/items/materia/class0023/Storm.dbr,</v>
      </c>
      <c r="M81" s="5" t="str">
        <f t="shared" si="27"/>
        <v>lootWeight,1,</v>
      </c>
      <c r="N81" t="str">
        <f t="shared" si="28"/>
        <v>5</v>
      </c>
      <c r="O81" t="str">
        <f t="shared" si="37"/>
        <v/>
      </c>
      <c r="P81" t="str">
        <f t="shared" si="23"/>
        <v/>
      </c>
      <c r="Q81" t="str">
        <f t="shared" si="23"/>
        <v/>
      </c>
      <c r="R81" t="str">
        <f t="shared" si="23"/>
        <v/>
      </c>
      <c r="S81" t="str">
        <f t="shared" si="23"/>
        <v/>
      </c>
      <c r="T81" t="str">
        <f t="shared" si="23"/>
        <v/>
      </c>
      <c r="U81" t="str">
        <f t="shared" si="23"/>
        <v/>
      </c>
      <c r="V81" s="5" t="s">
        <v>36</v>
      </c>
      <c r="W81" t="str">
        <f t="shared" si="29"/>
        <v/>
      </c>
      <c r="X81" t="str">
        <f t="shared" si="29"/>
        <v/>
      </c>
      <c r="Y81" s="5" t="s">
        <v>36</v>
      </c>
      <c r="Z81" t="str">
        <f t="shared" si="30"/>
        <v/>
      </c>
      <c r="AA81" t="str">
        <f t="shared" si="38"/>
        <v/>
      </c>
      <c r="AB81" s="5" t="s">
        <v>36</v>
      </c>
      <c r="AH81">
        <f t="shared" si="40"/>
        <v>76</v>
      </c>
      <c r="AI81">
        <f t="shared" si="34"/>
        <v>0</v>
      </c>
      <c r="AJ81">
        <f t="shared" si="39"/>
        <v>5</v>
      </c>
    </row>
    <row r="82" spans="1:36" x14ac:dyDescent="0.25">
      <c r="A82" s="5" t="s">
        <v>39</v>
      </c>
      <c r="B82" s="5" t="s">
        <v>30</v>
      </c>
      <c r="C82" s="5" t="str">
        <f t="shared" si="24"/>
        <v>description,dailCompDescStorm,</v>
      </c>
      <c r="D82" s="5" t="str">
        <f t="shared" si="25"/>
        <v>itemText,dailCompTextStorm,</v>
      </c>
      <c r="E82" s="5" t="str">
        <f t="shared" si="35"/>
        <v>augmentSkillLevel1,5,</v>
      </c>
      <c r="F82" s="5" t="str">
        <f t="shared" si="36"/>
        <v>augmentSkillName1,records/skills,</v>
      </c>
      <c r="G82" s="7" t="str">
        <f t="shared" si="31"/>
        <v/>
      </c>
      <c r="H82" s="8" t="str">
        <f t="shared" si="32"/>
        <v>Storm</v>
      </c>
      <c r="J82" s="8" t="str">
        <f t="shared" si="33"/>
        <v>class0023</v>
      </c>
      <c r="K82" s="8" t="str">
        <f t="shared" si="33"/>
        <v>dailoneskill0023</v>
      </c>
      <c r="L82" s="5" t="str">
        <f t="shared" si="26"/>
        <v>lootName,DAIL/items/materia/class0023/Storm.dbr,</v>
      </c>
      <c r="M82" s="5" t="str">
        <f t="shared" si="27"/>
        <v>lootWeight,1,</v>
      </c>
      <c r="N82" t="str">
        <f t="shared" si="28"/>
        <v>5</v>
      </c>
      <c r="O82" t="str">
        <f t="shared" si="37"/>
        <v/>
      </c>
      <c r="P82" t="str">
        <f t="shared" si="23"/>
        <v/>
      </c>
      <c r="Q82" t="str">
        <f t="shared" si="23"/>
        <v/>
      </c>
      <c r="R82" t="str">
        <f t="shared" si="23"/>
        <v/>
      </c>
      <c r="S82" t="str">
        <f t="shared" si="23"/>
        <v/>
      </c>
      <c r="T82" t="str">
        <f t="shared" si="23"/>
        <v/>
      </c>
      <c r="U82" t="str">
        <f t="shared" si="23"/>
        <v/>
      </c>
      <c r="V82" s="5" t="s">
        <v>36</v>
      </c>
      <c r="W82" t="str">
        <f t="shared" si="29"/>
        <v/>
      </c>
      <c r="X82" t="str">
        <f t="shared" si="29"/>
        <v/>
      </c>
      <c r="Y82" s="5" t="s">
        <v>36</v>
      </c>
      <c r="Z82" t="str">
        <f t="shared" si="30"/>
        <v/>
      </c>
      <c r="AA82" t="str">
        <f t="shared" si="38"/>
        <v/>
      </c>
      <c r="AB82" s="5" t="s">
        <v>36</v>
      </c>
      <c r="AH82">
        <f t="shared" si="40"/>
        <v>77</v>
      </c>
      <c r="AI82">
        <f t="shared" si="34"/>
        <v>0</v>
      </c>
      <c r="AJ82">
        <f t="shared" si="39"/>
        <v>5</v>
      </c>
    </row>
    <row r="83" spans="1:36" x14ac:dyDescent="0.25">
      <c r="A83" s="5" t="s">
        <v>39</v>
      </c>
      <c r="B83" s="5" t="s">
        <v>30</v>
      </c>
      <c r="C83" s="5" t="str">
        <f t="shared" si="24"/>
        <v>description,dailCompDescStorm,</v>
      </c>
      <c r="D83" s="5" t="str">
        <f t="shared" si="25"/>
        <v>itemText,dailCompTextStorm,</v>
      </c>
      <c r="E83" s="5" t="str">
        <f t="shared" si="35"/>
        <v>augmentSkillLevel1,5,</v>
      </c>
      <c r="F83" s="5" t="str">
        <f t="shared" si="36"/>
        <v>augmentSkillName1,records/skills,</v>
      </c>
      <c r="G83" s="7" t="str">
        <f t="shared" si="31"/>
        <v/>
      </c>
      <c r="H83" s="8" t="str">
        <f t="shared" si="32"/>
        <v>Storm</v>
      </c>
      <c r="J83" s="8" t="str">
        <f t="shared" si="33"/>
        <v>class0023</v>
      </c>
      <c r="K83" s="8" t="str">
        <f t="shared" si="33"/>
        <v>dailoneskill0023</v>
      </c>
      <c r="L83" s="5" t="str">
        <f t="shared" si="26"/>
        <v>lootName,DAIL/items/materia/class0023/Storm.dbr,</v>
      </c>
      <c r="M83" s="5" t="str">
        <f t="shared" si="27"/>
        <v>lootWeight,1,</v>
      </c>
      <c r="N83" t="str">
        <f t="shared" si="28"/>
        <v>5</v>
      </c>
      <c r="O83" t="str">
        <f t="shared" si="37"/>
        <v/>
      </c>
      <c r="P83" t="str">
        <f t="shared" si="23"/>
        <v/>
      </c>
      <c r="Q83" t="str">
        <f t="shared" si="23"/>
        <v/>
      </c>
      <c r="R83" t="str">
        <f t="shared" si="23"/>
        <v/>
      </c>
      <c r="S83" t="str">
        <f t="shared" si="23"/>
        <v/>
      </c>
      <c r="T83" t="str">
        <f t="shared" si="23"/>
        <v/>
      </c>
      <c r="U83" t="str">
        <f t="shared" si="23"/>
        <v/>
      </c>
      <c r="V83" s="5" t="s">
        <v>36</v>
      </c>
      <c r="W83" t="str">
        <f t="shared" si="29"/>
        <v/>
      </c>
      <c r="X83" t="str">
        <f t="shared" si="29"/>
        <v/>
      </c>
      <c r="Y83" s="5" t="s">
        <v>36</v>
      </c>
      <c r="Z83" t="str">
        <f t="shared" si="30"/>
        <v/>
      </c>
      <c r="AA83" t="str">
        <f t="shared" si="38"/>
        <v/>
      </c>
      <c r="AB83" s="5" t="s">
        <v>36</v>
      </c>
      <c r="AH83">
        <f t="shared" si="40"/>
        <v>78</v>
      </c>
      <c r="AI83">
        <f t="shared" si="34"/>
        <v>0</v>
      </c>
      <c r="AJ83">
        <f t="shared" si="39"/>
        <v>5</v>
      </c>
    </row>
    <row r="84" spans="1:36" x14ac:dyDescent="0.25">
      <c r="A84" s="5" t="s">
        <v>39</v>
      </c>
      <c r="B84" s="5" t="s">
        <v>30</v>
      </c>
      <c r="C84" s="5" t="str">
        <f t="shared" si="24"/>
        <v>description,dailCompDescStorm,</v>
      </c>
      <c r="D84" s="5" t="str">
        <f t="shared" si="25"/>
        <v>itemText,dailCompTextStorm,</v>
      </c>
      <c r="E84" s="5" t="str">
        <f t="shared" si="35"/>
        <v>augmentSkillLevel1,5,</v>
      </c>
      <c r="F84" s="5" t="str">
        <f t="shared" si="36"/>
        <v>augmentSkillName1,records/skills,</v>
      </c>
      <c r="G84" s="7" t="str">
        <f t="shared" si="31"/>
        <v/>
      </c>
      <c r="H84" s="8" t="str">
        <f t="shared" si="32"/>
        <v>Storm</v>
      </c>
      <c r="J84" s="8" t="str">
        <f t="shared" si="33"/>
        <v>class0023</v>
      </c>
      <c r="K84" s="8" t="str">
        <f t="shared" si="33"/>
        <v>dailoneskill0023</v>
      </c>
      <c r="L84" s="5" t="str">
        <f t="shared" si="26"/>
        <v>lootName,DAIL/items/materia/class0023/Storm.dbr,</v>
      </c>
      <c r="M84" s="5" t="str">
        <f t="shared" si="27"/>
        <v>lootWeight,1,</v>
      </c>
      <c r="N84" t="str">
        <f t="shared" si="28"/>
        <v>5</v>
      </c>
      <c r="O84" t="str">
        <f t="shared" si="37"/>
        <v/>
      </c>
      <c r="P84" t="str">
        <f t="shared" si="23"/>
        <v/>
      </c>
      <c r="Q84" t="str">
        <f t="shared" si="23"/>
        <v/>
      </c>
      <c r="R84" t="str">
        <f t="shared" si="23"/>
        <v/>
      </c>
      <c r="S84" t="str">
        <f t="shared" si="23"/>
        <v/>
      </c>
      <c r="T84" t="str">
        <f t="shared" si="23"/>
        <v/>
      </c>
      <c r="U84" t="str">
        <f t="shared" si="23"/>
        <v/>
      </c>
      <c r="V84" s="5" t="s">
        <v>36</v>
      </c>
      <c r="W84" t="str">
        <f t="shared" si="29"/>
        <v/>
      </c>
      <c r="X84" t="str">
        <f t="shared" si="29"/>
        <v/>
      </c>
      <c r="Y84" s="5" t="s">
        <v>36</v>
      </c>
      <c r="Z84" t="str">
        <f t="shared" si="30"/>
        <v/>
      </c>
      <c r="AA84" t="str">
        <f t="shared" si="38"/>
        <v/>
      </c>
      <c r="AB84" s="5" t="s">
        <v>36</v>
      </c>
      <c r="AH84">
        <f t="shared" si="40"/>
        <v>79</v>
      </c>
      <c r="AI84">
        <f t="shared" si="34"/>
        <v>0</v>
      </c>
      <c r="AJ84">
        <f t="shared" si="39"/>
        <v>5</v>
      </c>
    </row>
    <row r="85" spans="1:36" x14ac:dyDescent="0.25">
      <c r="A85" s="5" t="s">
        <v>39</v>
      </c>
      <c r="B85" s="5" t="s">
        <v>30</v>
      </c>
      <c r="C85" s="5" t="str">
        <f t="shared" si="24"/>
        <v>description,dailCompDescStorm,</v>
      </c>
      <c r="D85" s="5" t="str">
        <f t="shared" si="25"/>
        <v>itemText,dailCompTextStorm,</v>
      </c>
      <c r="E85" s="5" t="str">
        <f t="shared" si="35"/>
        <v>augmentSkillLevel1,5,</v>
      </c>
      <c r="F85" s="5" t="str">
        <f t="shared" si="36"/>
        <v>augmentSkillName1,records/skills,</v>
      </c>
      <c r="G85" s="7" t="str">
        <f t="shared" si="31"/>
        <v/>
      </c>
      <c r="H85" s="8" t="str">
        <f t="shared" si="32"/>
        <v>Storm</v>
      </c>
      <c r="J85" s="8" t="str">
        <f t="shared" ref="J85:K100" si="41">J84</f>
        <v>class0023</v>
      </c>
      <c r="K85" s="8" t="str">
        <f t="shared" si="41"/>
        <v>dailoneskill0023</v>
      </c>
      <c r="L85" s="5" t="str">
        <f t="shared" si="26"/>
        <v>lootName,DAIL/items/materia/class0023/Storm.dbr,</v>
      </c>
      <c r="M85" s="5" t="str">
        <f t="shared" si="27"/>
        <v>lootWeight,1,</v>
      </c>
      <c r="N85" t="str">
        <f t="shared" si="28"/>
        <v>5</v>
      </c>
      <c r="O85" t="str">
        <f t="shared" si="37"/>
        <v/>
      </c>
      <c r="P85" t="str">
        <f t="shared" si="23"/>
        <v/>
      </c>
      <c r="Q85" t="str">
        <f t="shared" si="23"/>
        <v/>
      </c>
      <c r="R85" t="str">
        <f t="shared" si="23"/>
        <v/>
      </c>
      <c r="S85" t="str">
        <f t="shared" si="23"/>
        <v/>
      </c>
      <c r="T85" t="str">
        <f t="shared" si="23"/>
        <v/>
      </c>
      <c r="U85" t="str">
        <f t="shared" si="23"/>
        <v/>
      </c>
      <c r="V85" s="5" t="s">
        <v>36</v>
      </c>
      <c r="W85" t="str">
        <f t="shared" si="29"/>
        <v/>
      </c>
      <c r="X85" t="str">
        <f t="shared" si="29"/>
        <v/>
      </c>
      <c r="Y85" s="5" t="s">
        <v>36</v>
      </c>
      <c r="Z85" t="str">
        <f t="shared" si="30"/>
        <v/>
      </c>
      <c r="AA85" t="str">
        <f t="shared" si="38"/>
        <v/>
      </c>
      <c r="AB85" s="5" t="s">
        <v>36</v>
      </c>
      <c r="AH85">
        <f t="shared" si="40"/>
        <v>80</v>
      </c>
      <c r="AI85">
        <f t="shared" si="34"/>
        <v>0</v>
      </c>
      <c r="AJ85">
        <f t="shared" si="39"/>
        <v>5</v>
      </c>
    </row>
    <row r="86" spans="1:36" x14ac:dyDescent="0.25">
      <c r="A86" s="5" t="s">
        <v>39</v>
      </c>
      <c r="B86" s="5" t="s">
        <v>30</v>
      </c>
      <c r="C86" s="5" t="str">
        <f t="shared" si="24"/>
        <v>description,dailCompDescStorm,</v>
      </c>
      <c r="D86" s="5" t="str">
        <f t="shared" si="25"/>
        <v>itemText,dailCompTextStorm,</v>
      </c>
      <c r="E86" s="5" t="str">
        <f t="shared" si="35"/>
        <v>augmentSkillLevel1,5,</v>
      </c>
      <c r="F86" s="5" t="str">
        <f t="shared" si="36"/>
        <v>augmentSkillName1,records/skills,</v>
      </c>
      <c r="G86" s="7" t="str">
        <f t="shared" si="31"/>
        <v/>
      </c>
      <c r="H86" s="8" t="str">
        <f t="shared" si="32"/>
        <v>Storm</v>
      </c>
      <c r="J86" s="8" t="str">
        <f t="shared" si="41"/>
        <v>class0023</v>
      </c>
      <c r="K86" s="8" t="str">
        <f t="shared" si="41"/>
        <v>dailoneskill0023</v>
      </c>
      <c r="L86" s="5" t="str">
        <f t="shared" si="26"/>
        <v>lootName,DAIL/items/materia/class0023/Storm.dbr,</v>
      </c>
      <c r="M86" s="5" t="str">
        <f t="shared" si="27"/>
        <v>lootWeight,1,</v>
      </c>
      <c r="N86" t="str">
        <f t="shared" si="28"/>
        <v>5</v>
      </c>
      <c r="O86" t="str">
        <f t="shared" si="37"/>
        <v/>
      </c>
      <c r="P86" t="str">
        <f t="shared" si="23"/>
        <v/>
      </c>
      <c r="Q86" t="str">
        <f t="shared" si="23"/>
        <v/>
      </c>
      <c r="R86" t="str">
        <f t="shared" si="23"/>
        <v/>
      </c>
      <c r="S86" t="str">
        <f t="shared" si="23"/>
        <v/>
      </c>
      <c r="T86" t="str">
        <f t="shared" si="23"/>
        <v/>
      </c>
      <c r="U86" t="str">
        <f t="shared" si="23"/>
        <v/>
      </c>
      <c r="V86" s="5" t="s">
        <v>36</v>
      </c>
      <c r="W86" t="str">
        <f t="shared" si="29"/>
        <v/>
      </c>
      <c r="X86" t="str">
        <f t="shared" si="29"/>
        <v/>
      </c>
      <c r="Y86" s="5" t="s">
        <v>36</v>
      </c>
      <c r="Z86" t="str">
        <f t="shared" si="30"/>
        <v/>
      </c>
      <c r="AA86" t="str">
        <f t="shared" si="38"/>
        <v/>
      </c>
      <c r="AB86" s="5" t="s">
        <v>36</v>
      </c>
      <c r="AH86">
        <f t="shared" si="40"/>
        <v>81</v>
      </c>
      <c r="AI86">
        <f t="shared" si="34"/>
        <v>0</v>
      </c>
      <c r="AJ86">
        <f t="shared" si="39"/>
        <v>5</v>
      </c>
    </row>
    <row r="87" spans="1:36" x14ac:dyDescent="0.25">
      <c r="A87" s="5" t="s">
        <v>39</v>
      </c>
      <c r="B87" s="5" t="s">
        <v>30</v>
      </c>
      <c r="C87" s="5" t="str">
        <f t="shared" si="24"/>
        <v>description,dailCompDescStorm,</v>
      </c>
      <c r="D87" s="5" t="str">
        <f t="shared" si="25"/>
        <v>itemText,dailCompTextStorm,</v>
      </c>
      <c r="E87" s="5" t="str">
        <f t="shared" si="35"/>
        <v>augmentSkillLevel1,5,</v>
      </c>
      <c r="F87" s="5" t="str">
        <f t="shared" si="36"/>
        <v>augmentSkillName1,records/skills,</v>
      </c>
      <c r="G87" s="7" t="str">
        <f t="shared" si="31"/>
        <v/>
      </c>
      <c r="H87" s="8" t="str">
        <f t="shared" si="32"/>
        <v>Storm</v>
      </c>
      <c r="J87" s="8" t="str">
        <f t="shared" si="41"/>
        <v>class0023</v>
      </c>
      <c r="K87" s="8" t="str">
        <f t="shared" si="41"/>
        <v>dailoneskill0023</v>
      </c>
      <c r="L87" s="5" t="str">
        <f t="shared" si="26"/>
        <v>lootName,DAIL/items/materia/class0023/Storm.dbr,</v>
      </c>
      <c r="M87" s="5" t="str">
        <f t="shared" si="27"/>
        <v>lootWeight,1,</v>
      </c>
      <c r="N87" t="str">
        <f t="shared" si="28"/>
        <v>5</v>
      </c>
      <c r="O87" t="str">
        <f t="shared" si="37"/>
        <v/>
      </c>
      <c r="P87" t="str">
        <f t="shared" si="23"/>
        <v/>
      </c>
      <c r="Q87" t="str">
        <f t="shared" si="23"/>
        <v/>
      </c>
      <c r="R87" t="str">
        <f t="shared" si="23"/>
        <v/>
      </c>
      <c r="S87" t="str">
        <f t="shared" si="23"/>
        <v/>
      </c>
      <c r="T87" t="str">
        <f t="shared" si="23"/>
        <v/>
      </c>
      <c r="U87" t="str">
        <f t="shared" si="23"/>
        <v/>
      </c>
      <c r="V87" s="5" t="s">
        <v>36</v>
      </c>
      <c r="W87" t="str">
        <f t="shared" si="29"/>
        <v/>
      </c>
      <c r="X87" t="str">
        <f t="shared" si="29"/>
        <v/>
      </c>
      <c r="Y87" s="5" t="s">
        <v>36</v>
      </c>
      <c r="Z87" t="str">
        <f t="shared" si="30"/>
        <v/>
      </c>
      <c r="AA87" t="str">
        <f t="shared" si="38"/>
        <v/>
      </c>
      <c r="AB87" s="5" t="s">
        <v>36</v>
      </c>
      <c r="AH87">
        <f t="shared" si="40"/>
        <v>82</v>
      </c>
      <c r="AI87">
        <f t="shared" si="34"/>
        <v>0</v>
      </c>
      <c r="AJ87">
        <f t="shared" si="39"/>
        <v>5</v>
      </c>
    </row>
    <row r="88" spans="1:36" x14ac:dyDescent="0.25">
      <c r="A88" s="5" t="s">
        <v>39</v>
      </c>
      <c r="B88" s="5" t="s">
        <v>30</v>
      </c>
      <c r="C88" s="5" t="str">
        <f t="shared" si="24"/>
        <v>description,dailCompDescStorm,</v>
      </c>
      <c r="D88" s="5" t="str">
        <f t="shared" si="25"/>
        <v>itemText,dailCompTextStorm,</v>
      </c>
      <c r="E88" s="5" t="str">
        <f t="shared" si="35"/>
        <v>augmentSkillLevel1,5,</v>
      </c>
      <c r="F88" s="5" t="str">
        <f t="shared" si="36"/>
        <v>augmentSkillName1,records/skills,</v>
      </c>
      <c r="G88" s="7" t="str">
        <f t="shared" si="31"/>
        <v/>
      </c>
      <c r="H88" s="8" t="str">
        <f t="shared" si="32"/>
        <v>Storm</v>
      </c>
      <c r="J88" s="8" t="str">
        <f t="shared" si="41"/>
        <v>class0023</v>
      </c>
      <c r="K88" s="8" t="str">
        <f t="shared" si="41"/>
        <v>dailoneskill0023</v>
      </c>
      <c r="L88" s="5" t="str">
        <f t="shared" si="26"/>
        <v>lootName,DAIL/items/materia/class0023/Storm.dbr,</v>
      </c>
      <c r="M88" s="5" t="str">
        <f t="shared" si="27"/>
        <v>lootWeight,1,</v>
      </c>
      <c r="N88" t="str">
        <f t="shared" si="28"/>
        <v>5</v>
      </c>
      <c r="O88" t="str">
        <f t="shared" si="37"/>
        <v/>
      </c>
      <c r="P88" t="str">
        <f t="shared" si="23"/>
        <v/>
      </c>
      <c r="Q88" t="str">
        <f t="shared" si="23"/>
        <v/>
      </c>
      <c r="R88" t="str">
        <f t="shared" si="23"/>
        <v/>
      </c>
      <c r="S88" t="str">
        <f t="shared" si="23"/>
        <v/>
      </c>
      <c r="T88" t="str">
        <f t="shared" si="23"/>
        <v/>
      </c>
      <c r="U88" t="str">
        <f t="shared" si="23"/>
        <v/>
      </c>
      <c r="V88" s="5" t="s">
        <v>36</v>
      </c>
      <c r="W88" t="str">
        <f t="shared" si="29"/>
        <v/>
      </c>
      <c r="X88" t="str">
        <f t="shared" si="29"/>
        <v/>
      </c>
      <c r="Y88" s="5" t="s">
        <v>36</v>
      </c>
      <c r="Z88" t="str">
        <f t="shared" si="30"/>
        <v/>
      </c>
      <c r="AA88" t="str">
        <f t="shared" si="38"/>
        <v/>
      </c>
      <c r="AB88" s="5" t="s">
        <v>36</v>
      </c>
      <c r="AH88">
        <f t="shared" si="40"/>
        <v>83</v>
      </c>
      <c r="AI88">
        <f t="shared" si="34"/>
        <v>0</v>
      </c>
      <c r="AJ88">
        <f t="shared" si="39"/>
        <v>5</v>
      </c>
    </row>
    <row r="89" spans="1:36" x14ac:dyDescent="0.25">
      <c r="A89" s="5" t="s">
        <v>39</v>
      </c>
      <c r="B89" s="5" t="s">
        <v>30</v>
      </c>
      <c r="C89" s="5" t="str">
        <f t="shared" si="24"/>
        <v>description,dailCompDescStorm,</v>
      </c>
      <c r="D89" s="5" t="str">
        <f t="shared" si="25"/>
        <v>itemText,dailCompTextStorm,</v>
      </c>
      <c r="E89" s="5" t="str">
        <f t="shared" si="35"/>
        <v>augmentSkillLevel1,5,</v>
      </c>
      <c r="F89" s="5" t="str">
        <f t="shared" si="36"/>
        <v>augmentSkillName1,records/skills,</v>
      </c>
      <c r="G89" s="7" t="str">
        <f t="shared" si="31"/>
        <v/>
      </c>
      <c r="H89" s="8" t="str">
        <f t="shared" si="32"/>
        <v>Storm</v>
      </c>
      <c r="J89" s="8" t="str">
        <f t="shared" si="41"/>
        <v>class0023</v>
      </c>
      <c r="K89" s="8" t="str">
        <f t="shared" si="41"/>
        <v>dailoneskill0023</v>
      </c>
      <c r="L89" s="5" t="str">
        <f t="shared" si="26"/>
        <v>lootName,DAIL/items/materia/class0023/Storm.dbr,</v>
      </c>
      <c r="M89" s="5" t="str">
        <f t="shared" si="27"/>
        <v>lootWeight,1,</v>
      </c>
      <c r="N89" t="str">
        <f t="shared" si="28"/>
        <v>5</v>
      </c>
      <c r="O89" t="str">
        <f t="shared" si="37"/>
        <v/>
      </c>
      <c r="P89" t="str">
        <f t="shared" si="23"/>
        <v/>
      </c>
      <c r="Q89" t="str">
        <f t="shared" si="23"/>
        <v/>
      </c>
      <c r="R89" t="str">
        <f t="shared" si="23"/>
        <v/>
      </c>
      <c r="S89" t="str">
        <f t="shared" si="23"/>
        <v/>
      </c>
      <c r="T89" t="str">
        <f t="shared" si="23"/>
        <v/>
      </c>
      <c r="U89" t="str">
        <f t="shared" si="23"/>
        <v/>
      </c>
      <c r="V89" s="5" t="s">
        <v>36</v>
      </c>
      <c r="W89" t="str">
        <f t="shared" si="29"/>
        <v/>
      </c>
      <c r="X89" t="str">
        <f t="shared" si="29"/>
        <v/>
      </c>
      <c r="Y89" s="5" t="s">
        <v>36</v>
      </c>
      <c r="Z89" t="str">
        <f t="shared" si="30"/>
        <v/>
      </c>
      <c r="AA89" t="str">
        <f t="shared" si="38"/>
        <v/>
      </c>
      <c r="AB89" s="5" t="s">
        <v>36</v>
      </c>
      <c r="AH89">
        <f t="shared" si="40"/>
        <v>84</v>
      </c>
      <c r="AI89">
        <f t="shared" si="34"/>
        <v>0</v>
      </c>
      <c r="AJ89">
        <f t="shared" si="39"/>
        <v>5</v>
      </c>
    </row>
    <row r="90" spans="1:36" x14ac:dyDescent="0.25">
      <c r="A90" s="5" t="s">
        <v>39</v>
      </c>
      <c r="B90" s="5" t="s">
        <v>30</v>
      </c>
      <c r="C90" s="5" t="str">
        <f t="shared" si="24"/>
        <v>description,dailCompDescStorm,</v>
      </c>
      <c r="D90" s="5" t="str">
        <f t="shared" si="25"/>
        <v>itemText,dailCompTextStorm,</v>
      </c>
      <c r="E90" s="5" t="str">
        <f t="shared" si="35"/>
        <v>augmentSkillLevel1,5,</v>
      </c>
      <c r="F90" s="5" t="str">
        <f t="shared" si="36"/>
        <v>augmentSkillName1,records/skills,</v>
      </c>
      <c r="G90" s="7" t="str">
        <f t="shared" si="31"/>
        <v/>
      </c>
      <c r="H90" s="8" t="str">
        <f t="shared" si="32"/>
        <v>Storm</v>
      </c>
      <c r="J90" s="8" t="str">
        <f t="shared" si="41"/>
        <v>class0023</v>
      </c>
      <c r="K90" s="8" t="str">
        <f t="shared" si="41"/>
        <v>dailoneskill0023</v>
      </c>
      <c r="L90" s="5" t="str">
        <f t="shared" si="26"/>
        <v>lootName,DAIL/items/materia/class0023/Storm.dbr,</v>
      </c>
      <c r="M90" s="5" t="str">
        <f t="shared" si="27"/>
        <v>lootWeight,1,</v>
      </c>
      <c r="N90" t="str">
        <f t="shared" si="28"/>
        <v>5</v>
      </c>
      <c r="O90" t="str">
        <f t="shared" si="37"/>
        <v/>
      </c>
      <c r="P90" t="str">
        <f t="shared" si="23"/>
        <v/>
      </c>
      <c r="Q90" t="str">
        <f t="shared" si="23"/>
        <v/>
      </c>
      <c r="R90" t="str">
        <f t="shared" si="23"/>
        <v/>
      </c>
      <c r="S90" t="str">
        <f t="shared" si="23"/>
        <v/>
      </c>
      <c r="T90" t="str">
        <f t="shared" si="23"/>
        <v/>
      </c>
      <c r="U90" t="str">
        <f t="shared" si="23"/>
        <v/>
      </c>
      <c r="V90" s="5" t="s">
        <v>36</v>
      </c>
      <c r="W90" t="str">
        <f t="shared" si="29"/>
        <v/>
      </c>
      <c r="X90" t="str">
        <f t="shared" si="29"/>
        <v/>
      </c>
      <c r="Y90" s="5" t="s">
        <v>36</v>
      </c>
      <c r="Z90" t="str">
        <f t="shared" si="30"/>
        <v/>
      </c>
      <c r="AA90" t="str">
        <f t="shared" si="38"/>
        <v/>
      </c>
      <c r="AB90" s="5" t="s">
        <v>36</v>
      </c>
      <c r="AH90">
        <f t="shared" si="40"/>
        <v>85</v>
      </c>
      <c r="AI90">
        <f t="shared" si="34"/>
        <v>0</v>
      </c>
      <c r="AJ90">
        <f t="shared" si="39"/>
        <v>5</v>
      </c>
    </row>
    <row r="91" spans="1:36" x14ac:dyDescent="0.25">
      <c r="A91" s="5" t="s">
        <v>39</v>
      </c>
      <c r="B91" s="5" t="s">
        <v>30</v>
      </c>
      <c r="C91" s="5" t="str">
        <f t="shared" si="24"/>
        <v>description,dailCompDescStorm,</v>
      </c>
      <c r="D91" s="5" t="str">
        <f t="shared" si="25"/>
        <v>itemText,dailCompTextStorm,</v>
      </c>
      <c r="E91" s="5" t="str">
        <f t="shared" si="35"/>
        <v>augmentSkillLevel1,5,</v>
      </c>
      <c r="F91" s="5" t="str">
        <f t="shared" si="36"/>
        <v>augmentSkillName1,records/skills,</v>
      </c>
      <c r="G91" s="7" t="str">
        <f t="shared" si="31"/>
        <v/>
      </c>
      <c r="H91" s="8" t="str">
        <f t="shared" si="32"/>
        <v>Storm</v>
      </c>
      <c r="J91" s="8" t="str">
        <f t="shared" si="41"/>
        <v>class0023</v>
      </c>
      <c r="K91" s="8" t="str">
        <f t="shared" si="41"/>
        <v>dailoneskill0023</v>
      </c>
      <c r="L91" s="5" t="str">
        <f t="shared" si="26"/>
        <v>lootName,DAIL/items/materia/class0023/Storm.dbr,</v>
      </c>
      <c r="M91" s="5" t="str">
        <f t="shared" si="27"/>
        <v>lootWeight,1,</v>
      </c>
      <c r="N91" t="str">
        <f t="shared" si="28"/>
        <v>5</v>
      </c>
      <c r="O91" t="str">
        <f t="shared" si="37"/>
        <v/>
      </c>
      <c r="P91" t="str">
        <f t="shared" si="23"/>
        <v/>
      </c>
      <c r="Q91" t="str">
        <f t="shared" si="23"/>
        <v/>
      </c>
      <c r="R91" t="str">
        <f t="shared" si="23"/>
        <v/>
      </c>
      <c r="S91" t="str">
        <f t="shared" si="23"/>
        <v/>
      </c>
      <c r="T91" t="str">
        <f t="shared" si="23"/>
        <v/>
      </c>
      <c r="U91" t="str">
        <f t="shared" si="23"/>
        <v/>
      </c>
      <c r="V91" s="5" t="s">
        <v>36</v>
      </c>
      <c r="W91" t="str">
        <f t="shared" si="29"/>
        <v/>
      </c>
      <c r="X91" t="str">
        <f t="shared" si="29"/>
        <v/>
      </c>
      <c r="Y91" s="5" t="s">
        <v>36</v>
      </c>
      <c r="Z91" t="str">
        <f t="shared" si="30"/>
        <v/>
      </c>
      <c r="AA91" t="str">
        <f t="shared" si="38"/>
        <v/>
      </c>
      <c r="AB91" s="5" t="s">
        <v>36</v>
      </c>
      <c r="AH91">
        <f t="shared" si="40"/>
        <v>86</v>
      </c>
      <c r="AI91">
        <f t="shared" si="34"/>
        <v>0</v>
      </c>
      <c r="AJ91">
        <f t="shared" si="39"/>
        <v>5</v>
      </c>
    </row>
    <row r="92" spans="1:36" x14ac:dyDescent="0.25">
      <c r="A92" s="5" t="s">
        <v>39</v>
      </c>
      <c r="B92" s="5" t="s">
        <v>30</v>
      </c>
      <c r="C92" s="5" t="str">
        <f t="shared" si="24"/>
        <v>description,dailCompDescStorm,</v>
      </c>
      <c r="D92" s="5" t="str">
        <f t="shared" si="25"/>
        <v>itemText,dailCompTextStorm,</v>
      </c>
      <c r="E92" s="5" t="str">
        <f t="shared" si="35"/>
        <v>augmentSkillLevel1,5,</v>
      </c>
      <c r="F92" s="5" t="str">
        <f t="shared" si="36"/>
        <v>augmentSkillName1,records/skills,</v>
      </c>
      <c r="G92" s="7" t="str">
        <f t="shared" si="31"/>
        <v/>
      </c>
      <c r="H92" s="8" t="str">
        <f t="shared" si="32"/>
        <v>Storm</v>
      </c>
      <c r="J92" s="8" t="str">
        <f t="shared" si="41"/>
        <v>class0023</v>
      </c>
      <c r="K92" s="8" t="str">
        <f t="shared" si="41"/>
        <v>dailoneskill0023</v>
      </c>
      <c r="L92" s="5" t="str">
        <f t="shared" si="26"/>
        <v>lootName,DAIL/items/materia/class0023/Storm.dbr,</v>
      </c>
      <c r="M92" s="5" t="str">
        <f t="shared" si="27"/>
        <v>lootWeight,1,</v>
      </c>
      <c r="N92" t="str">
        <f t="shared" si="28"/>
        <v>5</v>
      </c>
      <c r="O92" t="str">
        <f t="shared" si="37"/>
        <v/>
      </c>
      <c r="P92" t="str">
        <f t="shared" si="23"/>
        <v/>
      </c>
      <c r="Q92" t="str">
        <f t="shared" si="23"/>
        <v/>
      </c>
      <c r="R92" t="str">
        <f t="shared" si="23"/>
        <v/>
      </c>
      <c r="S92" t="str">
        <f t="shared" si="23"/>
        <v/>
      </c>
      <c r="T92" t="str">
        <f t="shared" si="23"/>
        <v/>
      </c>
      <c r="U92" t="str">
        <f t="shared" si="23"/>
        <v/>
      </c>
      <c r="V92" s="5" t="s">
        <v>36</v>
      </c>
      <c r="W92" t="str">
        <f t="shared" si="29"/>
        <v/>
      </c>
      <c r="X92" t="str">
        <f t="shared" si="29"/>
        <v/>
      </c>
      <c r="Y92" s="5" t="s">
        <v>36</v>
      </c>
      <c r="Z92" t="str">
        <f t="shared" si="30"/>
        <v/>
      </c>
      <c r="AA92" t="str">
        <f t="shared" si="38"/>
        <v/>
      </c>
      <c r="AB92" s="5" t="s">
        <v>36</v>
      </c>
      <c r="AH92">
        <f t="shared" si="40"/>
        <v>87</v>
      </c>
      <c r="AI92">
        <f t="shared" si="34"/>
        <v>0</v>
      </c>
      <c r="AJ92">
        <f t="shared" si="39"/>
        <v>5</v>
      </c>
    </row>
    <row r="93" spans="1:36" x14ac:dyDescent="0.25">
      <c r="A93" s="5" t="s">
        <v>39</v>
      </c>
      <c r="B93" s="5" t="s">
        <v>30</v>
      </c>
      <c r="C93" s="5" t="str">
        <f t="shared" si="24"/>
        <v>description,dailCompDescStorm,</v>
      </c>
      <c r="D93" s="5" t="str">
        <f t="shared" si="25"/>
        <v>itemText,dailCompTextStorm,</v>
      </c>
      <c r="E93" s="5" t="str">
        <f t="shared" si="35"/>
        <v>augmentSkillLevel1,5,</v>
      </c>
      <c r="F93" s="5" t="str">
        <f t="shared" si="36"/>
        <v>augmentSkillName1,records/skills,</v>
      </c>
      <c r="G93" s="7" t="str">
        <f t="shared" si="31"/>
        <v/>
      </c>
      <c r="H93" s="8" t="str">
        <f t="shared" si="32"/>
        <v>Storm</v>
      </c>
      <c r="J93" s="8" t="str">
        <f t="shared" si="41"/>
        <v>class0023</v>
      </c>
      <c r="K93" s="8" t="str">
        <f t="shared" si="41"/>
        <v>dailoneskill0023</v>
      </c>
      <c r="L93" s="5" t="str">
        <f t="shared" si="26"/>
        <v>lootName,DAIL/items/materia/class0023/Storm.dbr,</v>
      </c>
      <c r="M93" s="5" t="str">
        <f t="shared" si="27"/>
        <v>lootWeight,1,</v>
      </c>
      <c r="N93" t="str">
        <f t="shared" si="28"/>
        <v>5</v>
      </c>
      <c r="O93" t="str">
        <f t="shared" si="37"/>
        <v/>
      </c>
      <c r="P93" t="str">
        <f t="shared" si="23"/>
        <v/>
      </c>
      <c r="Q93" t="str">
        <f t="shared" si="23"/>
        <v/>
      </c>
      <c r="R93" t="str">
        <f t="shared" si="23"/>
        <v/>
      </c>
      <c r="S93" t="str">
        <f t="shared" si="23"/>
        <v/>
      </c>
      <c r="T93" t="str">
        <f t="shared" si="23"/>
        <v/>
      </c>
      <c r="U93" t="str">
        <f t="shared" si="23"/>
        <v/>
      </c>
      <c r="V93" s="5" t="s">
        <v>36</v>
      </c>
      <c r="W93" t="str">
        <f t="shared" si="29"/>
        <v/>
      </c>
      <c r="X93" t="str">
        <f t="shared" si="29"/>
        <v/>
      </c>
      <c r="Y93" s="5" t="s">
        <v>36</v>
      </c>
      <c r="Z93" t="str">
        <f t="shared" si="30"/>
        <v/>
      </c>
      <c r="AA93" t="str">
        <f t="shared" si="38"/>
        <v/>
      </c>
      <c r="AB93" s="5" t="s">
        <v>36</v>
      </c>
      <c r="AH93">
        <f t="shared" si="40"/>
        <v>88</v>
      </c>
      <c r="AI93">
        <f t="shared" si="34"/>
        <v>0</v>
      </c>
      <c r="AJ93">
        <f t="shared" si="39"/>
        <v>5</v>
      </c>
    </row>
    <row r="94" spans="1:36" x14ac:dyDescent="0.25">
      <c r="A94" s="5" t="s">
        <v>39</v>
      </c>
      <c r="B94" s="5" t="s">
        <v>30</v>
      </c>
      <c r="C94" s="5" t="str">
        <f t="shared" si="24"/>
        <v>description,dailCompDescStorm,</v>
      </c>
      <c r="D94" s="5" t="str">
        <f t="shared" si="25"/>
        <v>itemText,dailCompTextStorm,</v>
      </c>
      <c r="E94" s="5" t="str">
        <f t="shared" si="35"/>
        <v>augmentSkillLevel1,5,</v>
      </c>
      <c r="F94" s="5" t="str">
        <f t="shared" si="36"/>
        <v>augmentSkillName1,records/skills,</v>
      </c>
      <c r="G94" s="7" t="str">
        <f t="shared" si="31"/>
        <v/>
      </c>
      <c r="H94" s="8" t="str">
        <f t="shared" si="32"/>
        <v>Storm</v>
      </c>
      <c r="J94" s="8" t="str">
        <f t="shared" si="41"/>
        <v>class0023</v>
      </c>
      <c r="K94" s="8" t="str">
        <f t="shared" si="41"/>
        <v>dailoneskill0023</v>
      </c>
      <c r="L94" s="5" t="str">
        <f t="shared" si="26"/>
        <v>lootName,DAIL/items/materia/class0023/Storm.dbr,</v>
      </c>
      <c r="M94" s="5" t="str">
        <f t="shared" si="27"/>
        <v>lootWeight,1,</v>
      </c>
      <c r="N94" t="str">
        <f t="shared" si="28"/>
        <v>5</v>
      </c>
      <c r="O94" t="str">
        <f t="shared" si="37"/>
        <v/>
      </c>
      <c r="P94" t="str">
        <f t="shared" si="23"/>
        <v/>
      </c>
      <c r="Q94" t="str">
        <f t="shared" si="23"/>
        <v/>
      </c>
      <c r="R94" t="str">
        <f t="shared" si="23"/>
        <v/>
      </c>
      <c r="S94" t="str">
        <f t="shared" si="23"/>
        <v/>
      </c>
      <c r="T94" t="str">
        <f t="shared" si="23"/>
        <v/>
      </c>
      <c r="U94" t="str">
        <f t="shared" si="23"/>
        <v/>
      </c>
      <c r="V94" s="5" t="s">
        <v>36</v>
      </c>
      <c r="W94" t="str">
        <f t="shared" si="29"/>
        <v/>
      </c>
      <c r="X94" t="str">
        <f t="shared" si="29"/>
        <v/>
      </c>
      <c r="Y94" s="5" t="s">
        <v>36</v>
      </c>
      <c r="Z94" t="str">
        <f t="shared" si="30"/>
        <v/>
      </c>
      <c r="AA94" t="str">
        <f t="shared" si="38"/>
        <v/>
      </c>
      <c r="AB94" s="5" t="s">
        <v>36</v>
      </c>
      <c r="AH94">
        <f t="shared" si="40"/>
        <v>89</v>
      </c>
      <c r="AI94">
        <f t="shared" si="34"/>
        <v>0</v>
      </c>
      <c r="AJ94">
        <f t="shared" si="39"/>
        <v>5</v>
      </c>
    </row>
    <row r="95" spans="1:36" x14ac:dyDescent="0.25">
      <c r="A95" s="5" t="s">
        <v>39</v>
      </c>
      <c r="B95" s="5" t="s">
        <v>30</v>
      </c>
      <c r="C95" s="5" t="str">
        <f t="shared" si="24"/>
        <v>description,dailCompDescStorm,</v>
      </c>
      <c r="D95" s="5" t="str">
        <f t="shared" si="25"/>
        <v>itemText,dailCompTextStorm,</v>
      </c>
      <c r="E95" s="5" t="str">
        <f t="shared" si="35"/>
        <v>augmentSkillLevel1,5,</v>
      </c>
      <c r="F95" s="5" t="str">
        <f t="shared" si="36"/>
        <v>augmentSkillName1,records/skills,</v>
      </c>
      <c r="G95" s="7" t="str">
        <f t="shared" si="31"/>
        <v/>
      </c>
      <c r="H95" s="8" t="str">
        <f t="shared" si="32"/>
        <v>Storm</v>
      </c>
      <c r="J95" s="8" t="str">
        <f t="shared" si="41"/>
        <v>class0023</v>
      </c>
      <c r="K95" s="8" t="str">
        <f t="shared" si="41"/>
        <v>dailoneskill0023</v>
      </c>
      <c r="L95" s="5" t="str">
        <f t="shared" si="26"/>
        <v>lootName,DAIL/items/materia/class0023/Storm.dbr,</v>
      </c>
      <c r="M95" s="5" t="str">
        <f t="shared" si="27"/>
        <v>lootWeight,1,</v>
      </c>
      <c r="N95" t="str">
        <f t="shared" si="28"/>
        <v>5</v>
      </c>
      <c r="O95" t="str">
        <f t="shared" si="37"/>
        <v/>
      </c>
      <c r="P95" t="str">
        <f t="shared" si="23"/>
        <v/>
      </c>
      <c r="Q95" t="str">
        <f t="shared" si="23"/>
        <v/>
      </c>
      <c r="R95" t="str">
        <f t="shared" si="23"/>
        <v/>
      </c>
      <c r="S95" t="str">
        <f t="shared" si="23"/>
        <v/>
      </c>
      <c r="T95" t="str">
        <f t="shared" si="23"/>
        <v/>
      </c>
      <c r="U95" t="str">
        <f t="shared" si="23"/>
        <v/>
      </c>
      <c r="V95" s="5" t="s">
        <v>36</v>
      </c>
      <c r="W95" t="str">
        <f t="shared" si="29"/>
        <v/>
      </c>
      <c r="X95" t="str">
        <f t="shared" si="29"/>
        <v/>
      </c>
      <c r="Y95" s="5" t="s">
        <v>36</v>
      </c>
      <c r="Z95" t="str">
        <f t="shared" si="30"/>
        <v/>
      </c>
      <c r="AA95" t="str">
        <f t="shared" si="38"/>
        <v/>
      </c>
      <c r="AB95" s="5" t="s">
        <v>36</v>
      </c>
      <c r="AH95">
        <f t="shared" si="40"/>
        <v>90</v>
      </c>
      <c r="AI95">
        <f t="shared" si="34"/>
        <v>0</v>
      </c>
      <c r="AJ95">
        <f t="shared" si="39"/>
        <v>5</v>
      </c>
    </row>
    <row r="96" spans="1:36" x14ac:dyDescent="0.25">
      <c r="A96" s="5" t="s">
        <v>39</v>
      </c>
      <c r="B96" s="5" t="s">
        <v>30</v>
      </c>
      <c r="C96" s="5" t="str">
        <f t="shared" si="24"/>
        <v>description,dailCompDescStorm,</v>
      </c>
      <c r="D96" s="5" t="str">
        <f t="shared" si="25"/>
        <v>itemText,dailCompTextStorm,</v>
      </c>
      <c r="E96" s="5" t="str">
        <f t="shared" si="35"/>
        <v>augmentSkillLevel1,5,</v>
      </c>
      <c r="F96" s="5" t="str">
        <f t="shared" si="36"/>
        <v>augmentSkillName1,records/skills,</v>
      </c>
      <c r="G96" s="7" t="str">
        <f t="shared" si="31"/>
        <v/>
      </c>
      <c r="H96" s="8" t="str">
        <f t="shared" si="32"/>
        <v>Storm</v>
      </c>
      <c r="J96" s="8" t="str">
        <f t="shared" si="41"/>
        <v>class0023</v>
      </c>
      <c r="K96" s="8" t="str">
        <f t="shared" si="41"/>
        <v>dailoneskill0023</v>
      </c>
      <c r="L96" s="5" t="str">
        <f t="shared" si="26"/>
        <v>lootName,DAIL/items/materia/class0023/Storm.dbr,</v>
      </c>
      <c r="M96" s="5" t="str">
        <f t="shared" si="27"/>
        <v>lootWeight,1,</v>
      </c>
      <c r="N96" t="str">
        <f t="shared" si="28"/>
        <v>5</v>
      </c>
      <c r="O96" t="str">
        <f t="shared" si="37"/>
        <v/>
      </c>
      <c r="P96" t="str">
        <f t="shared" si="23"/>
        <v/>
      </c>
      <c r="Q96" t="str">
        <f t="shared" si="23"/>
        <v/>
      </c>
      <c r="R96" t="str">
        <f t="shared" si="23"/>
        <v/>
      </c>
      <c r="S96" t="str">
        <f t="shared" si="23"/>
        <v/>
      </c>
      <c r="T96" t="str">
        <f t="shared" si="23"/>
        <v/>
      </c>
      <c r="U96" t="str">
        <f t="shared" si="23"/>
        <v/>
      </c>
      <c r="V96" s="5" t="s">
        <v>36</v>
      </c>
      <c r="W96" t="str">
        <f t="shared" si="29"/>
        <v/>
      </c>
      <c r="X96" t="str">
        <f t="shared" si="29"/>
        <v/>
      </c>
      <c r="Y96" s="5" t="s">
        <v>36</v>
      </c>
      <c r="Z96" t="str">
        <f t="shared" si="30"/>
        <v/>
      </c>
      <c r="AA96" t="str">
        <f t="shared" si="38"/>
        <v/>
      </c>
      <c r="AB96" s="5" t="s">
        <v>36</v>
      </c>
      <c r="AH96">
        <f t="shared" si="40"/>
        <v>91</v>
      </c>
      <c r="AI96">
        <f t="shared" si="34"/>
        <v>0</v>
      </c>
      <c r="AJ96">
        <f t="shared" si="39"/>
        <v>5</v>
      </c>
    </row>
    <row r="97" spans="1:36" x14ac:dyDescent="0.25">
      <c r="A97" s="5" t="s">
        <v>39</v>
      </c>
      <c r="B97" s="5" t="s">
        <v>30</v>
      </c>
      <c r="C97" s="5" t="str">
        <f t="shared" si="24"/>
        <v>description,dailCompDescStorm,</v>
      </c>
      <c r="D97" s="5" t="str">
        <f t="shared" si="25"/>
        <v>itemText,dailCompTextStorm,</v>
      </c>
      <c r="E97" s="5" t="str">
        <f t="shared" si="35"/>
        <v>augmentSkillLevel1,5,</v>
      </c>
      <c r="F97" s="5" t="str">
        <f t="shared" si="36"/>
        <v>augmentSkillName1,records/skills,</v>
      </c>
      <c r="G97" s="7" t="str">
        <f t="shared" si="31"/>
        <v/>
      </c>
      <c r="H97" s="8" t="str">
        <f t="shared" si="32"/>
        <v>Storm</v>
      </c>
      <c r="J97" s="8" t="str">
        <f t="shared" si="41"/>
        <v>class0023</v>
      </c>
      <c r="K97" s="8" t="str">
        <f t="shared" si="41"/>
        <v>dailoneskill0023</v>
      </c>
      <c r="L97" s="5" t="str">
        <f t="shared" si="26"/>
        <v>lootName,DAIL/items/materia/class0023/Storm.dbr,</v>
      </c>
      <c r="M97" s="5" t="str">
        <f t="shared" si="27"/>
        <v>lootWeight,1,</v>
      </c>
      <c r="N97" t="str">
        <f t="shared" si="28"/>
        <v>5</v>
      </c>
      <c r="O97" t="str">
        <f t="shared" si="37"/>
        <v/>
      </c>
      <c r="P97" t="str">
        <f t="shared" si="23"/>
        <v/>
      </c>
      <c r="Q97" t="str">
        <f t="shared" si="23"/>
        <v/>
      </c>
      <c r="R97" t="str">
        <f t="shared" si="23"/>
        <v/>
      </c>
      <c r="S97" t="str">
        <f t="shared" si="23"/>
        <v/>
      </c>
      <c r="T97" t="str">
        <f t="shared" si="23"/>
        <v/>
      </c>
      <c r="U97" t="str">
        <f t="shared" si="23"/>
        <v/>
      </c>
      <c r="V97" s="5" t="s">
        <v>36</v>
      </c>
      <c r="W97" t="str">
        <f t="shared" si="29"/>
        <v/>
      </c>
      <c r="X97" t="str">
        <f t="shared" si="29"/>
        <v/>
      </c>
      <c r="Y97" s="5" t="s">
        <v>36</v>
      </c>
      <c r="Z97" t="str">
        <f t="shared" si="30"/>
        <v/>
      </c>
      <c r="AA97" t="str">
        <f t="shared" si="38"/>
        <v/>
      </c>
      <c r="AB97" s="5" t="s">
        <v>36</v>
      </c>
      <c r="AH97">
        <f t="shared" si="40"/>
        <v>92</v>
      </c>
      <c r="AI97">
        <f t="shared" si="34"/>
        <v>0</v>
      </c>
      <c r="AJ97">
        <f t="shared" si="39"/>
        <v>5</v>
      </c>
    </row>
    <row r="98" spans="1:36" x14ac:dyDescent="0.25">
      <c r="A98" s="5" t="s">
        <v>39</v>
      </c>
      <c r="B98" s="5" t="s">
        <v>30</v>
      </c>
      <c r="C98" s="5" t="str">
        <f t="shared" si="24"/>
        <v>description,dailCompDescStorm,</v>
      </c>
      <c r="D98" s="5" t="str">
        <f t="shared" si="25"/>
        <v>itemText,dailCompTextStorm,</v>
      </c>
      <c r="E98" s="5" t="str">
        <f t="shared" si="35"/>
        <v>augmentSkillLevel1,5,</v>
      </c>
      <c r="F98" s="5" t="str">
        <f t="shared" si="36"/>
        <v>augmentSkillName1,records/skills,</v>
      </c>
      <c r="G98" s="7" t="str">
        <f t="shared" si="31"/>
        <v/>
      </c>
      <c r="H98" s="8" t="str">
        <f t="shared" si="32"/>
        <v>Storm</v>
      </c>
      <c r="J98" s="8" t="str">
        <f t="shared" si="41"/>
        <v>class0023</v>
      </c>
      <c r="K98" s="8" t="str">
        <f t="shared" si="41"/>
        <v>dailoneskill0023</v>
      </c>
      <c r="L98" s="5" t="str">
        <f t="shared" si="26"/>
        <v>lootName,DAIL/items/materia/class0023/Storm.dbr,</v>
      </c>
      <c r="M98" s="5" t="str">
        <f t="shared" si="27"/>
        <v>lootWeight,1,</v>
      </c>
      <c r="N98" t="str">
        <f t="shared" si="28"/>
        <v>5</v>
      </c>
      <c r="O98" t="str">
        <f t="shared" si="37"/>
        <v/>
      </c>
      <c r="P98" t="str">
        <f t="shared" si="23"/>
        <v/>
      </c>
      <c r="Q98" t="str">
        <f t="shared" si="23"/>
        <v/>
      </c>
      <c r="R98" t="str">
        <f t="shared" si="23"/>
        <v/>
      </c>
      <c r="S98" t="str">
        <f t="shared" si="23"/>
        <v/>
      </c>
      <c r="T98" t="str">
        <f t="shared" si="23"/>
        <v/>
      </c>
      <c r="U98" t="str">
        <f t="shared" si="23"/>
        <v/>
      </c>
      <c r="V98" s="5" t="s">
        <v>36</v>
      </c>
      <c r="W98" t="str">
        <f t="shared" si="29"/>
        <v/>
      </c>
      <c r="X98" t="str">
        <f t="shared" si="29"/>
        <v/>
      </c>
      <c r="Y98" s="5" t="s">
        <v>36</v>
      </c>
      <c r="Z98" t="str">
        <f t="shared" si="30"/>
        <v/>
      </c>
      <c r="AA98" t="str">
        <f t="shared" si="38"/>
        <v/>
      </c>
      <c r="AB98" s="5" t="s">
        <v>36</v>
      </c>
      <c r="AH98">
        <f t="shared" si="40"/>
        <v>93</v>
      </c>
      <c r="AI98">
        <f t="shared" si="34"/>
        <v>0</v>
      </c>
      <c r="AJ98">
        <f t="shared" si="39"/>
        <v>5</v>
      </c>
    </row>
    <row r="99" spans="1:36" x14ac:dyDescent="0.25">
      <c r="A99" s="5" t="s">
        <v>39</v>
      </c>
      <c r="B99" s="5" t="s">
        <v>30</v>
      </c>
      <c r="C99" s="5" t="str">
        <f t="shared" si="24"/>
        <v>description,dailCompDescStorm,</v>
      </c>
      <c r="D99" s="5" t="str">
        <f t="shared" si="25"/>
        <v>itemText,dailCompTextStorm,</v>
      </c>
      <c r="E99" s="5" t="str">
        <f t="shared" si="35"/>
        <v>augmentSkillLevel1,5,</v>
      </c>
      <c r="F99" s="5" t="str">
        <f t="shared" si="36"/>
        <v>augmentSkillName1,records/skills,</v>
      </c>
      <c r="G99" s="7" t="str">
        <f t="shared" si="31"/>
        <v/>
      </c>
      <c r="H99" s="8" t="str">
        <f t="shared" si="32"/>
        <v>Storm</v>
      </c>
      <c r="J99" s="8" t="str">
        <f t="shared" si="41"/>
        <v>class0023</v>
      </c>
      <c r="K99" s="8" t="str">
        <f t="shared" si="41"/>
        <v>dailoneskill0023</v>
      </c>
      <c r="L99" s="5" t="str">
        <f t="shared" si="26"/>
        <v>lootName,DAIL/items/materia/class0023/Storm.dbr,</v>
      </c>
      <c r="M99" s="5" t="str">
        <f t="shared" si="27"/>
        <v>lootWeight,1,</v>
      </c>
      <c r="N99" t="str">
        <f t="shared" si="28"/>
        <v>5</v>
      </c>
      <c r="O99" t="str">
        <f t="shared" si="37"/>
        <v/>
      </c>
      <c r="P99" t="str">
        <f t="shared" si="23"/>
        <v/>
      </c>
      <c r="Q99" t="str">
        <f t="shared" si="23"/>
        <v/>
      </c>
      <c r="R99" t="str">
        <f t="shared" si="23"/>
        <v/>
      </c>
      <c r="S99" t="str">
        <f t="shared" si="23"/>
        <v/>
      </c>
      <c r="T99" t="str">
        <f t="shared" si="23"/>
        <v/>
      </c>
      <c r="U99" t="str">
        <f t="shared" si="23"/>
        <v/>
      </c>
      <c r="V99" s="5" t="s">
        <v>36</v>
      </c>
      <c r="W99" t="str">
        <f t="shared" si="29"/>
        <v/>
      </c>
      <c r="X99" t="str">
        <f t="shared" si="29"/>
        <v/>
      </c>
      <c r="Y99" s="5" t="s">
        <v>36</v>
      </c>
      <c r="Z99" t="str">
        <f t="shared" si="30"/>
        <v/>
      </c>
      <c r="AA99" t="str">
        <f t="shared" si="38"/>
        <v/>
      </c>
      <c r="AB99" s="5" t="s">
        <v>36</v>
      </c>
      <c r="AH99">
        <f t="shared" si="40"/>
        <v>94</v>
      </c>
      <c r="AI99">
        <f t="shared" si="34"/>
        <v>0</v>
      </c>
      <c r="AJ99">
        <f t="shared" si="39"/>
        <v>5</v>
      </c>
    </row>
    <row r="100" spans="1:36" x14ac:dyDescent="0.25">
      <c r="A100" s="5" t="s">
        <v>39</v>
      </c>
      <c r="B100" s="5" t="s">
        <v>30</v>
      </c>
      <c r="C100" s="5" t="str">
        <f t="shared" si="24"/>
        <v>description,dailCompDescStorm,</v>
      </c>
      <c r="D100" s="5" t="str">
        <f t="shared" si="25"/>
        <v>itemText,dailCompTextStorm,</v>
      </c>
      <c r="E100" s="5" t="str">
        <f t="shared" si="35"/>
        <v>augmentSkillLevel1,5,</v>
      </c>
      <c r="F100" s="5" t="str">
        <f t="shared" si="36"/>
        <v>augmentSkillName1,records/skills,</v>
      </c>
      <c r="G100" s="7" t="str">
        <f t="shared" si="31"/>
        <v/>
      </c>
      <c r="H100" s="8" t="str">
        <f t="shared" si="32"/>
        <v>Storm</v>
      </c>
      <c r="J100" s="8" t="str">
        <f t="shared" si="41"/>
        <v>class0023</v>
      </c>
      <c r="K100" s="8" t="str">
        <f t="shared" si="41"/>
        <v>dailoneskill0023</v>
      </c>
      <c r="L100" s="5" t="str">
        <f t="shared" si="26"/>
        <v>lootName,DAIL/items/materia/class0023/Storm.dbr,</v>
      </c>
      <c r="M100" s="5" t="str">
        <f t="shared" si="27"/>
        <v>lootWeight,1,</v>
      </c>
      <c r="N100" t="str">
        <f t="shared" si="28"/>
        <v>5</v>
      </c>
      <c r="O100" t="str">
        <f t="shared" si="37"/>
        <v/>
      </c>
      <c r="P100" t="str">
        <f t="shared" si="23"/>
        <v/>
      </c>
      <c r="Q100" t="str">
        <f t="shared" si="23"/>
        <v/>
      </c>
      <c r="R100" t="str">
        <f t="shared" si="23"/>
        <v/>
      </c>
      <c r="S100" t="str">
        <f t="shared" si="23"/>
        <v/>
      </c>
      <c r="T100" t="str">
        <f t="shared" si="23"/>
        <v/>
      </c>
      <c r="U100" t="str">
        <f t="shared" si="23"/>
        <v/>
      </c>
      <c r="V100" s="5" t="s">
        <v>36</v>
      </c>
      <c r="W100" t="str">
        <f t="shared" si="29"/>
        <v/>
      </c>
      <c r="X100" t="str">
        <f t="shared" si="29"/>
        <v/>
      </c>
      <c r="Y100" s="5" t="s">
        <v>36</v>
      </c>
      <c r="Z100" t="str">
        <f t="shared" si="30"/>
        <v/>
      </c>
      <c r="AA100" t="str">
        <f t="shared" si="38"/>
        <v/>
      </c>
      <c r="AB100" s="5" t="s">
        <v>36</v>
      </c>
      <c r="AH100">
        <f t="shared" si="40"/>
        <v>95</v>
      </c>
      <c r="AI100">
        <f t="shared" si="34"/>
        <v>0</v>
      </c>
      <c r="AJ100">
        <f t="shared" si="39"/>
        <v>5</v>
      </c>
    </row>
    <row r="101" spans="1:36" x14ac:dyDescent="0.25">
      <c r="A101" s="5" t="s">
        <v>39</v>
      </c>
      <c r="B101" s="5" t="s">
        <v>30</v>
      </c>
      <c r="C101" s="5" t="str">
        <f t="shared" si="24"/>
        <v>description,dailCompDescStorm,</v>
      </c>
      <c r="D101" s="5" t="str">
        <f t="shared" si="25"/>
        <v>itemText,dailCompTextStorm,</v>
      </c>
      <c r="E101" s="5" t="str">
        <f t="shared" si="35"/>
        <v>augmentSkillLevel1,5,</v>
      </c>
      <c r="F101" s="5" t="str">
        <f t="shared" si="36"/>
        <v>augmentSkillName1,records/skills,</v>
      </c>
      <c r="G101" s="7" t="str">
        <f t="shared" si="31"/>
        <v/>
      </c>
      <c r="H101" s="8" t="str">
        <f t="shared" si="32"/>
        <v>Storm</v>
      </c>
      <c r="J101" s="8" t="str">
        <f t="shared" ref="J101:K102" si="42">J100</f>
        <v>class0023</v>
      </c>
      <c r="K101" s="8" t="str">
        <f t="shared" si="42"/>
        <v>dailoneskill0023</v>
      </c>
      <c r="L101" s="5" t="str">
        <f t="shared" si="26"/>
        <v>lootName,DAIL/items/materia/class0023/Storm.dbr,</v>
      </c>
      <c r="M101" s="5" t="str">
        <f t="shared" si="27"/>
        <v>lootWeight,1,</v>
      </c>
      <c r="N101" t="str">
        <f t="shared" si="28"/>
        <v>5</v>
      </c>
      <c r="O101" t="str">
        <f t="shared" si="37"/>
        <v/>
      </c>
      <c r="P101" t="str">
        <f t="shared" si="23"/>
        <v/>
      </c>
      <c r="Q101" t="str">
        <f t="shared" si="23"/>
        <v/>
      </c>
      <c r="R101" t="str">
        <f t="shared" si="23"/>
        <v/>
      </c>
      <c r="S101" t="str">
        <f t="shared" ref="S101:U102" si="43">IF($I101&lt;&gt;"","echo "&amp;D101&amp;" &gt;&gt; .\items\materia\"&amp;$J101&amp;"\"&amp;$H101&amp;$G101&amp;".dbr","")</f>
        <v/>
      </c>
      <c r="T101" t="str">
        <f t="shared" si="43"/>
        <v/>
      </c>
      <c r="U101" t="str">
        <f t="shared" si="43"/>
        <v/>
      </c>
      <c r="V101" s="5" t="s">
        <v>36</v>
      </c>
      <c r="W101" t="str">
        <f t="shared" si="29"/>
        <v/>
      </c>
      <c r="X101" t="str">
        <f t="shared" si="29"/>
        <v/>
      </c>
      <c r="Y101" s="5" t="s">
        <v>36</v>
      </c>
      <c r="Z101" t="str">
        <f t="shared" si="30"/>
        <v/>
      </c>
      <c r="AA101" t="str">
        <f t="shared" si="38"/>
        <v/>
      </c>
      <c r="AB101" s="5" t="s">
        <v>36</v>
      </c>
      <c r="AH101">
        <f t="shared" si="40"/>
        <v>96</v>
      </c>
      <c r="AI101">
        <f t="shared" si="34"/>
        <v>0</v>
      </c>
      <c r="AJ101">
        <f t="shared" si="39"/>
        <v>5</v>
      </c>
    </row>
    <row r="102" spans="1:36" x14ac:dyDescent="0.25">
      <c r="A102" s="5" t="s">
        <v>39</v>
      </c>
      <c r="B102" s="5" t="s">
        <v>30</v>
      </c>
      <c r="C102" s="5" t="str">
        <f t="shared" si="24"/>
        <v>description,dailCompDescStorm,</v>
      </c>
      <c r="D102" s="5" t="str">
        <f t="shared" si="25"/>
        <v>itemText,dailCompTextStorm,</v>
      </c>
      <c r="E102" s="5" t="str">
        <f t="shared" si="35"/>
        <v>augmentSkillLevel1,5,</v>
      </c>
      <c r="F102" s="5" t="str">
        <f t="shared" si="36"/>
        <v>augmentSkillName1,records/skills,</v>
      </c>
      <c r="G102" s="7" t="str">
        <f t="shared" si="31"/>
        <v/>
      </c>
      <c r="H102" s="8" t="str">
        <f t="shared" si="32"/>
        <v>Storm</v>
      </c>
      <c r="J102" s="8" t="str">
        <f t="shared" si="42"/>
        <v>class0023</v>
      </c>
      <c r="K102" s="8" t="str">
        <f t="shared" si="42"/>
        <v>dailoneskill0023</v>
      </c>
      <c r="L102" s="5" t="str">
        <f t="shared" si="26"/>
        <v>lootName,DAIL/items/materia/class0023/Storm.dbr,</v>
      </c>
      <c r="M102" s="5" t="str">
        <f t="shared" si="27"/>
        <v>lootWeight,1,</v>
      </c>
      <c r="N102" t="str">
        <f t="shared" si="28"/>
        <v>5</v>
      </c>
      <c r="O102" t="str">
        <f t="shared" si="37"/>
        <v/>
      </c>
      <c r="P102" t="str">
        <f t="shared" ref="P102:R102" si="44">IF($I102&lt;&gt;"","echo "&amp;A102&amp;" &gt;&gt; .\items\materia\"&amp;$J102&amp;"\"&amp;$H102&amp;$G102&amp;".dbr","")</f>
        <v/>
      </c>
      <c r="Q102" t="str">
        <f t="shared" si="44"/>
        <v/>
      </c>
      <c r="R102" t="str">
        <f t="shared" si="44"/>
        <v/>
      </c>
      <c r="S102" t="str">
        <f t="shared" si="43"/>
        <v/>
      </c>
      <c r="T102" t="str">
        <f t="shared" si="43"/>
        <v/>
      </c>
      <c r="U102" t="str">
        <f t="shared" si="43"/>
        <v/>
      </c>
      <c r="V102" s="5" t="s">
        <v>36</v>
      </c>
      <c r="W102" t="str">
        <f t="shared" si="29"/>
        <v/>
      </c>
      <c r="X102" t="str">
        <f t="shared" si="29"/>
        <v/>
      </c>
      <c r="Y102" s="5" t="s">
        <v>36</v>
      </c>
      <c r="Z102" t="str">
        <f t="shared" si="30"/>
        <v/>
      </c>
      <c r="AA102" t="str">
        <f t="shared" si="38"/>
        <v/>
      </c>
      <c r="AB102" s="5" t="s">
        <v>36</v>
      </c>
      <c r="AH102">
        <f t="shared" si="40"/>
        <v>97</v>
      </c>
      <c r="AI102">
        <f t="shared" si="34"/>
        <v>0</v>
      </c>
      <c r="AJ102">
        <f t="shared" si="39"/>
        <v>5</v>
      </c>
    </row>
  </sheetData>
  <mergeCells count="1">
    <mergeCell ref="O2:U2"/>
  </mergeCells>
  <pageMargins left="0.7" right="0.7" top="0.75" bottom="0.75" header="0.3" footer="0.3"/>
  <pageSetup orientation="portrait"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:AL102"/>
  <sheetViews>
    <sheetView topLeftCell="M1" zoomScaleNormal="100" workbookViewId="0">
      <selection activeCell="U3" sqref="U3:U102"/>
    </sheetView>
  </sheetViews>
  <sheetFormatPr defaultRowHeight="15" x14ac:dyDescent="0.25"/>
  <cols>
    <col min="1" max="1" width="73.85546875" style="5" bestFit="1" customWidth="1"/>
    <col min="2" max="2" width="16.28515625" style="5" bestFit="1" customWidth="1"/>
    <col min="3" max="3" width="32.7109375" style="5" bestFit="1" customWidth="1"/>
    <col min="4" max="4" width="31.42578125" style="5" bestFit="1" customWidth="1"/>
    <col min="5" max="5" width="24.28515625" style="5" bestFit="1" customWidth="1"/>
    <col min="6" max="6" width="73.5703125" style="5" bestFit="1" customWidth="1"/>
    <col min="7" max="7" width="5.85546875" style="8" bestFit="1" customWidth="1"/>
    <col min="8" max="8" width="7.85546875" style="3" bestFit="1" customWidth="1"/>
    <col min="9" max="9" width="38.140625" style="3" bestFit="1" customWidth="1"/>
    <col min="10" max="10" width="9.140625" style="3" bestFit="1" customWidth="1"/>
    <col min="11" max="11" width="18.140625" style="3" customWidth="1"/>
    <col min="12" max="12" width="51.85546875" style="5" bestFit="1" customWidth="1"/>
    <col min="13" max="13" width="21.28515625" style="5" customWidth="1"/>
    <col min="15" max="15" width="10.5703125" customWidth="1"/>
    <col min="22" max="22" width="1.5703125" style="5" customWidth="1"/>
    <col min="23" max="23" width="9.5703125" customWidth="1"/>
    <col min="25" max="25" width="1.5703125" style="5" bestFit="1" customWidth="1"/>
    <col min="26" max="26" width="46.7109375" bestFit="1" customWidth="1"/>
    <col min="27" max="27" width="29.140625" customWidth="1"/>
    <col min="28" max="28" width="1.5703125" style="5" bestFit="1" customWidth="1"/>
    <col min="31" max="31" width="14.140625" bestFit="1" customWidth="1"/>
  </cols>
  <sheetData>
    <row r="1" spans="1:38" x14ac:dyDescent="0.25">
      <c r="G1" s="5"/>
      <c r="H1" s="5"/>
      <c r="I1" s="5"/>
      <c r="J1" s="5"/>
      <c r="K1" s="5"/>
      <c r="N1" s="5"/>
      <c r="O1" s="9"/>
      <c r="P1" s="9"/>
      <c r="Q1" s="9"/>
      <c r="R1" s="9"/>
      <c r="S1" s="9"/>
      <c r="T1" s="9"/>
      <c r="U1" s="9"/>
      <c r="W1" s="9"/>
      <c r="X1" s="9"/>
      <c r="Z1" s="9"/>
      <c r="AA1" s="9"/>
    </row>
    <row r="2" spans="1:38" x14ac:dyDescent="0.25">
      <c r="A2" s="4" t="s">
        <v>2</v>
      </c>
      <c r="B2" s="4" t="s">
        <v>3</v>
      </c>
      <c r="C2" s="4" t="s">
        <v>4</v>
      </c>
      <c r="D2" s="4" t="s">
        <v>5</v>
      </c>
      <c r="E2" s="4" t="s">
        <v>6</v>
      </c>
      <c r="F2" s="4" t="s">
        <v>7</v>
      </c>
      <c r="G2" s="6" t="s">
        <v>9</v>
      </c>
      <c r="H2" s="2" t="s">
        <v>26</v>
      </c>
      <c r="I2" s="2" t="s">
        <v>8</v>
      </c>
      <c r="J2" s="2" t="s">
        <v>33</v>
      </c>
      <c r="K2" s="2" t="s">
        <v>38</v>
      </c>
      <c r="L2" s="4" t="s">
        <v>31</v>
      </c>
      <c r="M2" s="4" t="s">
        <v>32</v>
      </c>
      <c r="O2" s="11" t="str">
        <f>"Copy from N to T Into the files named "&amp;H3&amp;G3&amp;" etc"</f>
        <v>Copy from N to T Into the files named Dream1 etc</v>
      </c>
      <c r="P2" s="11"/>
      <c r="Q2" s="11"/>
      <c r="R2" s="11"/>
      <c r="S2" s="11"/>
      <c r="T2" s="11"/>
      <c r="U2" s="11"/>
      <c r="W2" s="1" t="s">
        <v>35</v>
      </c>
      <c r="Z2" s="1" t="s">
        <v>40</v>
      </c>
      <c r="AD2" t="s">
        <v>44</v>
      </c>
    </row>
    <row r="3" spans="1:38" x14ac:dyDescent="0.25">
      <c r="A3" s="5" t="s">
        <v>39</v>
      </c>
      <c r="B3" s="5" t="s">
        <v>0</v>
      </c>
      <c r="C3" s="5" t="str">
        <f t="shared" ref="C3:C66" si="0">"description,dailCompDesc"&amp;H3&amp;G3&amp;","</f>
        <v>description,dailCompDescDream1,</v>
      </c>
      <c r="D3" s="5" t="str">
        <f>"itemText,dailCompText"&amp;H3&amp;G3&amp;","</f>
        <v>itemText,dailCompTextDream1,</v>
      </c>
      <c r="E3" s="5" t="s">
        <v>24</v>
      </c>
      <c r="F3" s="5" t="str">
        <f>"augmentMasteryName1,records/skills"&amp;I3&amp;","</f>
        <v>augmentMasteryName1,records/skillsdream/dreammastery.dbr,,</v>
      </c>
      <c r="G3" s="7">
        <f>IF(I3&lt;&gt;"",1,"")</f>
        <v>1</v>
      </c>
      <c r="H3" s="3" t="s">
        <v>748</v>
      </c>
      <c r="I3" s="3" t="s">
        <v>747</v>
      </c>
      <c r="J3" s="3" t="s">
        <v>570</v>
      </c>
      <c r="K3" s="3" t="s">
        <v>571</v>
      </c>
      <c r="L3" s="5" t="str">
        <f>"lootName"&amp;G3&amp;",DAIL/items/materia/"&amp;J3&amp;"/"&amp;H3&amp;G3&amp;".dbr"&amp;","</f>
        <v>lootName1,DAIL/items/materia/class0024/Dream1.dbr,</v>
      </c>
      <c r="M3" s="5" t="str">
        <f>"lootWeight"&amp;G3&amp;",1,"</f>
        <v>lootWeight1,1,</v>
      </c>
      <c r="N3" t="str">
        <f>LEFT(RIGHT(E3,2),1)</f>
        <v>1</v>
      </c>
      <c r="O3" s="5" t="str">
        <f>IF(I3&lt;&gt;"","copy .\dail_base2.dbr .\items\materia\"&amp;J3&amp;"\"&amp;H3&amp;G3&amp;".dbr /y"&amp;"","")</f>
        <v>copy .\dail_base2.dbr .\items\materia\class0024\Dream1.dbr /y</v>
      </c>
      <c r="P3" t="str">
        <f>IF($I3&lt;&gt;"","echo "&amp;A3&amp;" &gt;&gt; .\items\materia\"&amp;$J3&amp;"\"&amp;$H3&amp;$G3&amp;".dbr","")</f>
        <v>echo relicBitmap,items/craftingparts/components/component_a52_bristlyfur_b.tex, &gt;&gt; .\items\materia\class0024\Dream1.dbr</v>
      </c>
      <c r="Q3" t="str">
        <f t="shared" ref="Q3:U18" si="1">IF($I3&lt;&gt;"","echo "&amp;B3&amp;" &gt;&gt; .\items\materia\"&amp;$J3&amp;"\"&amp;$H3&amp;$G3&amp;".dbr","")</f>
        <v>echo itemCost,100000, &gt;&gt; .\items\materia\class0024\Dream1.dbr</v>
      </c>
      <c r="R3" t="str">
        <f t="shared" si="1"/>
        <v>echo description,dailCompDescDream1, &gt;&gt; .\items\materia\class0024\Dream1.dbr</v>
      </c>
      <c r="S3" t="str">
        <f t="shared" si="1"/>
        <v>echo itemText,dailCompTextDream1, &gt;&gt; .\items\materia\class0024\Dream1.dbr</v>
      </c>
      <c r="T3" t="str">
        <f t="shared" si="1"/>
        <v>echo augmentMasteryLevel1,1, &gt;&gt; .\items\materia\class0024\Dream1.dbr</v>
      </c>
      <c r="U3" t="str">
        <f t="shared" si="1"/>
        <v>echo augmentMasteryName1,records/skillsdream/dreammastery.dbr,, &gt;&gt; .\items\materia\class0024\Dream1.dbr</v>
      </c>
      <c r="V3" s="5" t="s">
        <v>36</v>
      </c>
      <c r="W3" t="str">
        <f>IF($I3&lt;&gt;"","echo "&amp;L3&amp;" &gt;&gt; .\items\loottables\"&amp;$K3&amp;".dbr","")</f>
        <v>echo lootName1,DAIL/items/materia/class0024/Dream1.dbr, &gt;&gt; .\items\loottables\dailoneskill0024.dbr</v>
      </c>
      <c r="X3" t="str">
        <f>IF($I3&lt;&gt;"","echo "&amp;M3&amp;" &gt;&gt; .\items\loottables\"&amp;$K3&amp;".dbr","")</f>
        <v>echo lootWeight1,1, &gt;&gt; .\items\loottables\dailoneskill0024.dbr</v>
      </c>
      <c r="Y3" s="5" t="s">
        <v>36</v>
      </c>
      <c r="Z3" s="10" t="str">
        <f>IF(I2&lt;&gt;""," dailCompDesc"&amp;H3&amp;G3&amp;"=^p"&amp;H3&amp;"'s Gift of DAIL","")</f>
        <v xml:space="preserve"> dailCompDescDream1=^pDream's Gift of DAIL</v>
      </c>
      <c r="AA3" s="10" t="str">
        <f>IF(I2&lt;&gt;"","dailCompText"&amp;H3&amp;G3&amp;"=^oThis feels warm to the touch, almost familiar ^w(This component fits into the amulet only)","")</f>
        <v>dailCompTextDream1=^oThis feels warm to the touch, almost familiar ^w(This component fits into the amulet only)</v>
      </c>
      <c r="AB3" s="5" t="s">
        <v>36</v>
      </c>
      <c r="AD3">
        <v>1</v>
      </c>
      <c r="AE3" t="s">
        <v>42</v>
      </c>
      <c r="AF3" t="s">
        <v>45</v>
      </c>
    </row>
    <row r="4" spans="1:38" x14ac:dyDescent="0.25">
      <c r="A4" s="5" t="s">
        <v>39</v>
      </c>
      <c r="B4" s="5" t="s">
        <v>28</v>
      </c>
      <c r="C4" s="5" t="str">
        <f t="shared" si="0"/>
        <v>description,dailCompDescDream2,</v>
      </c>
      <c r="D4" s="5" t="str">
        <f t="shared" ref="D4:D67" si="2">"itemText,dailCompText"&amp;H4&amp;G4&amp;","</f>
        <v>itemText,dailCompTextDream2,</v>
      </c>
      <c r="E4" s="5" t="s">
        <v>1</v>
      </c>
      <c r="F4" s="5" t="str">
        <f t="shared" ref="F4:F5" si="3">"augmentMasteryName1,records/skills"&amp;I4&amp;","</f>
        <v>augmentMasteryName1,records/skillsdream/dreammastery.dbr,,</v>
      </c>
      <c r="G4" s="7">
        <f>IF(I4&lt;&gt;"",G3+1,"")</f>
        <v>2</v>
      </c>
      <c r="H4" s="8" t="str">
        <f>H3</f>
        <v>Dream</v>
      </c>
      <c r="I4" s="3" t="s">
        <v>747</v>
      </c>
      <c r="J4" s="8" t="str">
        <f>J3</f>
        <v>class0024</v>
      </c>
      <c r="K4" s="8" t="str">
        <f>K3</f>
        <v>dailoneskill0024</v>
      </c>
      <c r="L4" s="5" t="str">
        <f t="shared" ref="L4:L67" si="4">"lootName"&amp;G4&amp;",DAIL/items/materia/"&amp;J4&amp;"/"&amp;H4&amp;G4&amp;".dbr"&amp;","</f>
        <v>lootName2,DAIL/items/materia/class0024/Dream2.dbr,</v>
      </c>
      <c r="M4" s="5" t="str">
        <f t="shared" ref="M4:M67" si="5">"lootWeight"&amp;G4&amp;",1,"</f>
        <v>lootWeight2,1,</v>
      </c>
      <c r="N4" t="str">
        <f t="shared" ref="N4:N67" si="6">LEFT(RIGHT(E4,2),1)</f>
        <v>2</v>
      </c>
      <c r="O4" s="5" t="str">
        <f>IF(I4&lt;&gt;"","copy .\dail_base2.dbr .\items\materia\"&amp;J4&amp;"\"&amp;H4&amp;G4&amp;".dbr /y"&amp;"","")</f>
        <v>copy .\dail_base2.dbr .\items\materia\class0024\Dream2.dbr /y</v>
      </c>
      <c r="P4" t="str">
        <f t="shared" ref="P4:U58" si="7">IF($I4&lt;&gt;"","echo "&amp;A4&amp;" &gt;&gt; .\items\materia\"&amp;$J4&amp;"\"&amp;$H4&amp;$G4&amp;".dbr","")</f>
        <v>echo relicBitmap,items/craftingparts/components/component_a52_bristlyfur_b.tex, &gt;&gt; .\items\materia\class0024\Dream2.dbr</v>
      </c>
      <c r="Q4" t="str">
        <f t="shared" si="1"/>
        <v>echo itemCost,300000, &gt;&gt; .\items\materia\class0024\Dream2.dbr</v>
      </c>
      <c r="R4" t="str">
        <f t="shared" si="1"/>
        <v>echo description,dailCompDescDream2, &gt;&gt; .\items\materia\class0024\Dream2.dbr</v>
      </c>
      <c r="S4" t="str">
        <f t="shared" si="1"/>
        <v>echo itemText,dailCompTextDream2, &gt;&gt; .\items\materia\class0024\Dream2.dbr</v>
      </c>
      <c r="T4" t="str">
        <f t="shared" si="1"/>
        <v>echo augmentMasteryLevel1,2, &gt;&gt; .\items\materia\class0024\Dream2.dbr</v>
      </c>
      <c r="U4" t="str">
        <f t="shared" si="1"/>
        <v>echo augmentMasteryName1,records/skillsdream/dreammastery.dbr,, &gt;&gt; .\items\materia\class0024\Dream2.dbr</v>
      </c>
      <c r="V4" s="5" t="s">
        <v>36</v>
      </c>
      <c r="W4" t="str">
        <f t="shared" ref="W4:X67" si="8">IF($I4&lt;&gt;"","echo "&amp;L4&amp;" &gt;&gt; .\items\loottables\"&amp;$K4&amp;".dbr","")</f>
        <v>echo lootName2,DAIL/items/materia/class0024/Dream2.dbr, &gt;&gt; .\items\loottables\dailoneskill0024.dbr</v>
      </c>
      <c r="X4" t="str">
        <f t="shared" si="8"/>
        <v>echo lootWeight2,1, &gt;&gt; .\items\loottables\dailoneskill0024.dbr</v>
      </c>
      <c r="Y4" s="5" t="s">
        <v>36</v>
      </c>
      <c r="Z4" s="10" t="str">
        <f t="shared" ref="Z4:Z67" si="9">IF(I3&lt;&gt;""," dailCompDesc"&amp;H4&amp;G4&amp;"=^p"&amp;H4&amp;"'s Gift of DAIL","")</f>
        <v xml:space="preserve"> dailCompDescDream2=^pDream's Gift of DAIL</v>
      </c>
      <c r="AA4" s="10" t="str">
        <f>IF(I3&lt;&gt;"","dailCompText"&amp;H4&amp;G4&amp;"=^oThis feels warm to the touch, almost familiar ^w(This component fits into the amulet only)","")</f>
        <v>dailCompTextDream2=^oThis feels warm to the touch, almost familiar ^w(This component fits into the amulet only)</v>
      </c>
      <c r="AB4" s="5" t="s">
        <v>36</v>
      </c>
      <c r="AD4">
        <v>3</v>
      </c>
      <c r="AE4" t="s">
        <v>43</v>
      </c>
      <c r="AF4" t="s">
        <v>46</v>
      </c>
    </row>
    <row r="5" spans="1:38" x14ac:dyDescent="0.25">
      <c r="A5" s="5" t="s">
        <v>39</v>
      </c>
      <c r="B5" s="5" t="s">
        <v>29</v>
      </c>
      <c r="C5" s="5" t="str">
        <f t="shared" si="0"/>
        <v>description,dailCompDescDream3,</v>
      </c>
      <c r="D5" s="5" t="str">
        <f t="shared" si="2"/>
        <v>itemText,dailCompTextDream3,</v>
      </c>
      <c r="E5" s="5" t="s">
        <v>25</v>
      </c>
      <c r="F5" s="5" t="str">
        <f t="shared" si="3"/>
        <v>augmentMasteryName1,records/skillsdream/dreammastery.dbr,,</v>
      </c>
      <c r="G5" s="7">
        <f t="shared" ref="G5:G68" si="10">IF(I5&lt;&gt;"",G4+1,"")</f>
        <v>3</v>
      </c>
      <c r="H5" s="8" t="str">
        <f t="shared" ref="H5:H68" si="11">H4</f>
        <v>Dream</v>
      </c>
      <c r="I5" s="3" t="s">
        <v>747</v>
      </c>
      <c r="J5" s="8" t="str">
        <f t="shared" ref="J5:K20" si="12">J4</f>
        <v>class0024</v>
      </c>
      <c r="K5" s="8" t="str">
        <f t="shared" si="12"/>
        <v>dailoneskill0024</v>
      </c>
      <c r="L5" s="5" t="str">
        <f t="shared" si="4"/>
        <v>lootName3,DAIL/items/materia/class0024/Dream3.dbr,</v>
      </c>
      <c r="M5" s="5" t="str">
        <f t="shared" si="5"/>
        <v>lootWeight3,1,</v>
      </c>
      <c r="N5" t="str">
        <f t="shared" si="6"/>
        <v>3</v>
      </c>
      <c r="O5" s="5" t="str">
        <f>IF(I5&lt;&gt;"","copy .\dail_base2.dbr .\items\materia\"&amp;J5&amp;"\"&amp;H5&amp;G5&amp;".dbr /y"&amp;"","")</f>
        <v>copy .\dail_base2.dbr .\items\materia\class0024\Dream3.dbr /y</v>
      </c>
      <c r="P5" t="str">
        <f t="shared" si="7"/>
        <v>echo relicBitmap,items/craftingparts/components/component_a52_bristlyfur_b.tex, &gt;&gt; .\items\materia\class0024\Dream3.dbr</v>
      </c>
      <c r="Q5" t="str">
        <f t="shared" si="1"/>
        <v>echo itemCost,600000, &gt;&gt; .\items\materia\class0024\Dream3.dbr</v>
      </c>
      <c r="R5" t="str">
        <f t="shared" si="1"/>
        <v>echo description,dailCompDescDream3, &gt;&gt; .\items\materia\class0024\Dream3.dbr</v>
      </c>
      <c r="S5" t="str">
        <f t="shared" si="1"/>
        <v>echo itemText,dailCompTextDream3, &gt;&gt; .\items\materia\class0024\Dream3.dbr</v>
      </c>
      <c r="T5" t="str">
        <f t="shared" si="1"/>
        <v>echo augmentMasteryLevel1,3, &gt;&gt; .\items\materia\class0024\Dream3.dbr</v>
      </c>
      <c r="U5" t="str">
        <f t="shared" si="1"/>
        <v>echo augmentMasteryName1,records/skillsdream/dreammastery.dbr,, &gt;&gt; .\items\materia\class0024\Dream3.dbr</v>
      </c>
      <c r="V5" s="5" t="s">
        <v>36</v>
      </c>
      <c r="W5" t="str">
        <f t="shared" si="8"/>
        <v>echo lootName3,DAIL/items/materia/class0024/Dream3.dbr, &gt;&gt; .\items\loottables\dailoneskill0024.dbr</v>
      </c>
      <c r="X5" t="str">
        <f t="shared" si="8"/>
        <v>echo lootWeight3,1, &gt;&gt; .\items\loottables\dailoneskill0024.dbr</v>
      </c>
      <c r="Y5" s="5" t="s">
        <v>36</v>
      </c>
      <c r="Z5" s="10" t="str">
        <f t="shared" si="9"/>
        <v xml:space="preserve"> dailCompDescDream3=^pDream's Gift of DAIL</v>
      </c>
      <c r="AA5" s="10" t="str">
        <f>IF(I4&lt;&gt;"","dailCompText"&amp;H5&amp;G5&amp;"=^oThis feels warm to the touch, almost familiar ^w(This component fits into the amulet only)","")</f>
        <v>dailCompTextDream3=^oThis feels warm to the touch, almost familiar ^w(This component fits into the amulet only)</v>
      </c>
      <c r="AB5" s="5" t="s">
        <v>36</v>
      </c>
      <c r="AD5">
        <v>5</v>
      </c>
      <c r="AE5" t="s">
        <v>43</v>
      </c>
      <c r="AF5" t="s">
        <v>46</v>
      </c>
      <c r="AI5" t="s">
        <v>61</v>
      </c>
    </row>
    <row r="6" spans="1:38" x14ac:dyDescent="0.25">
      <c r="A6" s="5" t="s">
        <v>39</v>
      </c>
      <c r="B6" s="5" t="s">
        <v>0</v>
      </c>
      <c r="C6" s="5" t="str">
        <f t="shared" si="0"/>
        <v>description,dailCompDescDream4,</v>
      </c>
      <c r="D6" s="5" t="str">
        <f t="shared" si="2"/>
        <v>itemText,dailCompTextDream4,</v>
      </c>
      <c r="E6" s="5" t="str">
        <f>"augmentSkillLevel1,"&amp;AJ6&amp;","</f>
        <v>augmentSkillLevel1,1,</v>
      </c>
      <c r="F6" s="5" t="str">
        <f>"augmentSkillName1,records/skills"&amp;I6&amp;","</f>
        <v>augmentSkillName1,records/skillsdream/tranceofconvalescence.dbr,,</v>
      </c>
      <c r="G6" s="7">
        <f t="shared" si="10"/>
        <v>4</v>
      </c>
      <c r="H6" s="8" t="str">
        <f t="shared" si="11"/>
        <v>Dream</v>
      </c>
      <c r="I6" s="3" t="s">
        <v>749</v>
      </c>
      <c r="J6" s="8" t="str">
        <f t="shared" si="12"/>
        <v>class0024</v>
      </c>
      <c r="K6" s="8" t="str">
        <f t="shared" si="12"/>
        <v>dailoneskill0024</v>
      </c>
      <c r="L6" s="5" t="str">
        <f t="shared" si="4"/>
        <v>lootName4,DAIL/items/materia/class0024/Dream4.dbr,</v>
      </c>
      <c r="M6" s="5" t="str">
        <f t="shared" si="5"/>
        <v>lootWeight4,1,</v>
      </c>
      <c r="N6" t="str">
        <f t="shared" si="6"/>
        <v>1</v>
      </c>
      <c r="O6" t="str">
        <f>IF(I6&lt;&gt;"","copy .\"&amp;VLOOKUP(VALUE(N6),$AD$3:$AF$5,2,FALSE)&amp;" .\items\materia\"&amp;J6&amp;"\"&amp;H6&amp;G6&amp;".dbr /y"&amp;"","")</f>
        <v>copy .\dail_base.dbr .\items\materia\class0024\Dream4.dbr /y</v>
      </c>
      <c r="P6" t="str">
        <f t="shared" si="7"/>
        <v>echo relicBitmap,items/craftingparts/components/component_a52_bristlyfur_b.tex, &gt;&gt; .\items\materia\class0024\Dream4.dbr</v>
      </c>
      <c r="Q6" t="str">
        <f t="shared" si="1"/>
        <v>echo itemCost,100000, &gt;&gt; .\items\materia\class0024\Dream4.dbr</v>
      </c>
      <c r="R6" t="str">
        <f t="shared" si="1"/>
        <v>echo description,dailCompDescDream4, &gt;&gt; .\items\materia\class0024\Dream4.dbr</v>
      </c>
      <c r="S6" t="str">
        <f t="shared" si="1"/>
        <v>echo itemText,dailCompTextDream4, &gt;&gt; .\items\materia\class0024\Dream4.dbr</v>
      </c>
      <c r="T6" t="str">
        <f t="shared" si="1"/>
        <v>echo augmentSkillLevel1,1, &gt;&gt; .\items\materia\class0024\Dream4.dbr</v>
      </c>
      <c r="U6" t="str">
        <f t="shared" si="1"/>
        <v>echo augmentSkillName1,records/skillsdream/tranceofconvalescence.dbr,, &gt;&gt; .\items\materia\class0024\Dream4.dbr</v>
      </c>
      <c r="V6" s="5" t="s">
        <v>36</v>
      </c>
      <c r="W6" t="str">
        <f t="shared" si="8"/>
        <v>echo lootName4,DAIL/items/materia/class0024/Dream4.dbr, &gt;&gt; .\items\loottables\dailoneskill0024.dbr</v>
      </c>
      <c r="X6" t="str">
        <f t="shared" si="8"/>
        <v>echo lootWeight4,1, &gt;&gt; .\items\loottables\dailoneskill0024.dbr</v>
      </c>
      <c r="Y6" s="5" t="s">
        <v>36</v>
      </c>
      <c r="Z6" t="str">
        <f t="shared" si="9"/>
        <v xml:space="preserve"> dailCompDescDream4=^pDream's Gift of DAIL</v>
      </c>
      <c r="AA6" t="str">
        <f>IF(I5&lt;&gt;"","dailCompText"&amp;H6&amp;G6&amp;"=^oThis feels warm to the touch, almost familiar ^w("&amp;VLOOKUP(VALUE(N6),$AD$3:$AF$5,3,FALSE)&amp;")","")</f>
        <v>dailCompTextDream4=^oThis feels warm to the touch, almost familiar ^w(This component fits into all Jewellery slots including the Belt And Shoulder)</v>
      </c>
      <c r="AB6" s="5" t="s">
        <v>36</v>
      </c>
      <c r="AH6">
        <v>1</v>
      </c>
      <c r="AI6">
        <f t="shared" ref="AI6:AI69" si="13">LEN(I6)</f>
        <v>32</v>
      </c>
      <c r="AJ6">
        <f>IF(AH6&lt;$AL$7,1,IF(AH6&lt;$AL$8,3,5))</f>
        <v>1</v>
      </c>
      <c r="AK6" s="1" t="s">
        <v>62</v>
      </c>
      <c r="AL6" s="1">
        <f>COUNTIF(AI:AI,"&gt;0")</f>
        <v>60</v>
      </c>
    </row>
    <row r="7" spans="1:38" x14ac:dyDescent="0.25">
      <c r="A7" s="5" t="s">
        <v>39</v>
      </c>
      <c r="B7" s="5" t="s">
        <v>0</v>
      </c>
      <c r="C7" s="5" t="str">
        <f t="shared" si="0"/>
        <v>description,dailCompDescDream5,</v>
      </c>
      <c r="D7" s="5" t="str">
        <f t="shared" si="2"/>
        <v>itemText,dailCompTextDream5,</v>
      </c>
      <c r="E7" s="5" t="str">
        <f t="shared" ref="E7:E70" si="14">"augmentSkillLevel1,"&amp;AJ7&amp;","</f>
        <v>augmentSkillLevel1,1,</v>
      </c>
      <c r="F7" s="5" t="str">
        <f t="shared" ref="F7:F70" si="15">"augmentSkillName1,records/skills"&amp;I7&amp;","</f>
        <v>augmentSkillName1,records/skillsdream/tranceofempathy.dbr,,</v>
      </c>
      <c r="G7" s="7">
        <f t="shared" si="10"/>
        <v>5</v>
      </c>
      <c r="H7" s="8" t="str">
        <f t="shared" si="11"/>
        <v>Dream</v>
      </c>
      <c r="I7" s="3" t="s">
        <v>750</v>
      </c>
      <c r="J7" s="8" t="str">
        <f t="shared" si="12"/>
        <v>class0024</v>
      </c>
      <c r="K7" s="8" t="str">
        <f t="shared" si="12"/>
        <v>dailoneskill0024</v>
      </c>
      <c r="L7" s="5" t="str">
        <f t="shared" si="4"/>
        <v>lootName5,DAIL/items/materia/class0024/Dream5.dbr,</v>
      </c>
      <c r="M7" s="5" t="str">
        <f t="shared" si="5"/>
        <v>lootWeight5,1,</v>
      </c>
      <c r="N7" t="str">
        <f t="shared" si="6"/>
        <v>1</v>
      </c>
      <c r="O7" t="str">
        <f t="shared" ref="O7:O70" si="16">IF(I7&lt;&gt;"","copy .\"&amp;VLOOKUP(VALUE(N7),$AD$3:$AF$5,2,FALSE)&amp;" .\items\materia\"&amp;J7&amp;"\"&amp;H7&amp;G7&amp;".dbr /y"&amp;"","")</f>
        <v>copy .\dail_base.dbr .\items\materia\class0024\Dream5.dbr /y</v>
      </c>
      <c r="P7" t="str">
        <f t="shared" si="7"/>
        <v>echo relicBitmap,items/craftingparts/components/component_a52_bristlyfur_b.tex, &gt;&gt; .\items\materia\class0024\Dream5.dbr</v>
      </c>
      <c r="Q7" t="str">
        <f t="shared" si="1"/>
        <v>echo itemCost,100000, &gt;&gt; .\items\materia\class0024\Dream5.dbr</v>
      </c>
      <c r="R7" t="str">
        <f t="shared" si="1"/>
        <v>echo description,dailCompDescDream5, &gt;&gt; .\items\materia\class0024\Dream5.dbr</v>
      </c>
      <c r="S7" t="str">
        <f t="shared" si="1"/>
        <v>echo itemText,dailCompTextDream5, &gt;&gt; .\items\materia\class0024\Dream5.dbr</v>
      </c>
      <c r="T7" t="str">
        <f t="shared" si="1"/>
        <v>echo augmentSkillLevel1,1, &gt;&gt; .\items\materia\class0024\Dream5.dbr</v>
      </c>
      <c r="U7" t="str">
        <f t="shared" si="1"/>
        <v>echo augmentSkillName1,records/skillsdream/tranceofempathy.dbr,, &gt;&gt; .\items\materia\class0024\Dream5.dbr</v>
      </c>
      <c r="V7" s="5" t="s">
        <v>36</v>
      </c>
      <c r="W7" t="str">
        <f t="shared" si="8"/>
        <v>echo lootName5,DAIL/items/materia/class0024/Dream5.dbr, &gt;&gt; .\items\loottables\dailoneskill0024.dbr</v>
      </c>
      <c r="X7" t="str">
        <f t="shared" si="8"/>
        <v>echo lootWeight5,1, &gt;&gt; .\items\loottables\dailoneskill0024.dbr</v>
      </c>
      <c r="Y7" s="5" t="s">
        <v>36</v>
      </c>
      <c r="Z7" t="str">
        <f t="shared" si="9"/>
        <v xml:space="preserve"> dailCompDescDream5=^pDream's Gift of DAIL</v>
      </c>
      <c r="AA7" t="str">
        <f t="shared" ref="AA7:AA70" si="17">IF(I6&lt;&gt;"","dailCompText"&amp;H7&amp;G7&amp;"=^oThis feels warm to the touch, almost familiar ^w("&amp;VLOOKUP(VALUE(N7),$AD$3:$AF$5,3,FALSE)&amp;")","")</f>
        <v>dailCompTextDream5=^oThis feels warm to the touch, almost familiar ^w(This component fits into all Jewellery slots including the Belt And Shoulder)</v>
      </c>
      <c r="AB7" s="5" t="s">
        <v>36</v>
      </c>
      <c r="AH7">
        <f>AH6+1</f>
        <v>2</v>
      </c>
      <c r="AI7">
        <f t="shared" si="13"/>
        <v>26</v>
      </c>
      <c r="AJ7">
        <f t="shared" ref="AJ7:AJ70" si="18">IF(AH7&lt;$AL$7,1,IF(AH7&lt;$AL$8,3,5))</f>
        <v>1</v>
      </c>
      <c r="AK7">
        <v>1</v>
      </c>
      <c r="AL7">
        <f>AL6/3</f>
        <v>20</v>
      </c>
    </row>
    <row r="8" spans="1:38" x14ac:dyDescent="0.25">
      <c r="A8" s="5" t="s">
        <v>39</v>
      </c>
      <c r="B8" s="5" t="s">
        <v>0</v>
      </c>
      <c r="C8" s="5" t="str">
        <f t="shared" si="0"/>
        <v>description,dailCompDescDream6,</v>
      </c>
      <c r="D8" s="5" t="str">
        <f t="shared" si="2"/>
        <v>itemText,dailCompTextDream6,</v>
      </c>
      <c r="E8" s="5" t="str">
        <f t="shared" si="14"/>
        <v>augmentSkillLevel1,1,</v>
      </c>
      <c r="F8" s="5" t="str">
        <f t="shared" si="15"/>
        <v>augmentSkillName1,records/skillsdream/tranceofwrath.dbr,,</v>
      </c>
      <c r="G8" s="7">
        <f t="shared" si="10"/>
        <v>6</v>
      </c>
      <c r="H8" s="8" t="str">
        <f t="shared" si="11"/>
        <v>Dream</v>
      </c>
      <c r="I8" s="3" t="s">
        <v>751</v>
      </c>
      <c r="J8" s="8" t="str">
        <f t="shared" si="12"/>
        <v>class0024</v>
      </c>
      <c r="K8" s="8" t="str">
        <f t="shared" si="12"/>
        <v>dailoneskill0024</v>
      </c>
      <c r="L8" s="5" t="str">
        <f t="shared" si="4"/>
        <v>lootName6,DAIL/items/materia/class0024/Dream6.dbr,</v>
      </c>
      <c r="M8" s="5" t="str">
        <f t="shared" si="5"/>
        <v>lootWeight6,1,</v>
      </c>
      <c r="N8" t="str">
        <f t="shared" si="6"/>
        <v>1</v>
      </c>
      <c r="O8" t="str">
        <f t="shared" si="16"/>
        <v>copy .\dail_base.dbr .\items\materia\class0024\Dream6.dbr /y</v>
      </c>
      <c r="P8" t="str">
        <f t="shared" si="7"/>
        <v>echo relicBitmap,items/craftingparts/components/component_a52_bristlyfur_b.tex, &gt;&gt; .\items\materia\class0024\Dream6.dbr</v>
      </c>
      <c r="Q8" t="str">
        <f t="shared" si="1"/>
        <v>echo itemCost,100000, &gt;&gt; .\items\materia\class0024\Dream6.dbr</v>
      </c>
      <c r="R8" t="str">
        <f t="shared" si="1"/>
        <v>echo description,dailCompDescDream6, &gt;&gt; .\items\materia\class0024\Dream6.dbr</v>
      </c>
      <c r="S8" t="str">
        <f t="shared" si="1"/>
        <v>echo itemText,dailCompTextDream6, &gt;&gt; .\items\materia\class0024\Dream6.dbr</v>
      </c>
      <c r="T8" t="str">
        <f t="shared" si="1"/>
        <v>echo augmentSkillLevel1,1, &gt;&gt; .\items\materia\class0024\Dream6.dbr</v>
      </c>
      <c r="U8" t="str">
        <f t="shared" si="1"/>
        <v>echo augmentSkillName1,records/skillsdream/tranceofwrath.dbr,, &gt;&gt; .\items\materia\class0024\Dream6.dbr</v>
      </c>
      <c r="V8" s="5" t="s">
        <v>36</v>
      </c>
      <c r="W8" t="str">
        <f t="shared" si="8"/>
        <v>echo lootName6,DAIL/items/materia/class0024/Dream6.dbr, &gt;&gt; .\items\loottables\dailoneskill0024.dbr</v>
      </c>
      <c r="X8" t="str">
        <f t="shared" si="8"/>
        <v>echo lootWeight6,1, &gt;&gt; .\items\loottables\dailoneskill0024.dbr</v>
      </c>
      <c r="Y8" s="5" t="s">
        <v>36</v>
      </c>
      <c r="Z8" t="str">
        <f t="shared" si="9"/>
        <v xml:space="preserve"> dailCompDescDream6=^pDream's Gift of DAIL</v>
      </c>
      <c r="AA8" t="str">
        <f t="shared" si="17"/>
        <v>dailCompTextDream6=^oThis feels warm to the touch, almost familiar ^w(This component fits into all Jewellery slots including the Belt And Shoulder)</v>
      </c>
      <c r="AB8" s="5" t="s">
        <v>36</v>
      </c>
      <c r="AH8">
        <f t="shared" ref="AH8:AH71" si="19">AH7+1</f>
        <v>3</v>
      </c>
      <c r="AI8">
        <f t="shared" si="13"/>
        <v>24</v>
      </c>
      <c r="AJ8">
        <f t="shared" si="18"/>
        <v>1</v>
      </c>
      <c r="AK8" s="1">
        <v>3</v>
      </c>
      <c r="AL8">
        <f>AL7*2</f>
        <v>40</v>
      </c>
    </row>
    <row r="9" spans="1:38" x14ac:dyDescent="0.25">
      <c r="A9" s="5" t="s">
        <v>39</v>
      </c>
      <c r="B9" s="5" t="s">
        <v>0</v>
      </c>
      <c r="C9" s="5" t="str">
        <f t="shared" si="0"/>
        <v>description,dailCompDescDream7,</v>
      </c>
      <c r="D9" s="5" t="str">
        <f t="shared" si="2"/>
        <v>itemText,dailCompTextDream7,</v>
      </c>
      <c r="E9" s="5" t="str">
        <f t="shared" si="14"/>
        <v>augmentSkillLevel1,1,</v>
      </c>
      <c r="F9" s="5" t="str">
        <f t="shared" si="15"/>
        <v>augmentSkillName1,records/skillsdream/distortreality.dbr,,</v>
      </c>
      <c r="G9" s="7">
        <f t="shared" si="10"/>
        <v>7</v>
      </c>
      <c r="H9" s="8" t="str">
        <f t="shared" si="11"/>
        <v>Dream</v>
      </c>
      <c r="I9" s="3" t="s">
        <v>752</v>
      </c>
      <c r="J9" s="8" t="str">
        <f t="shared" si="12"/>
        <v>class0024</v>
      </c>
      <c r="K9" s="8" t="str">
        <f t="shared" si="12"/>
        <v>dailoneskill0024</v>
      </c>
      <c r="L9" s="5" t="str">
        <f t="shared" si="4"/>
        <v>lootName7,DAIL/items/materia/class0024/Dream7.dbr,</v>
      </c>
      <c r="M9" s="5" t="str">
        <f t="shared" si="5"/>
        <v>lootWeight7,1,</v>
      </c>
      <c r="N9" t="str">
        <f t="shared" si="6"/>
        <v>1</v>
      </c>
      <c r="O9" t="str">
        <f t="shared" si="16"/>
        <v>copy .\dail_base.dbr .\items\materia\class0024\Dream7.dbr /y</v>
      </c>
      <c r="P9" t="str">
        <f t="shared" si="7"/>
        <v>echo relicBitmap,items/craftingparts/components/component_a52_bristlyfur_b.tex, &gt;&gt; .\items\materia\class0024\Dream7.dbr</v>
      </c>
      <c r="Q9" t="str">
        <f t="shared" si="1"/>
        <v>echo itemCost,100000, &gt;&gt; .\items\materia\class0024\Dream7.dbr</v>
      </c>
      <c r="R9" t="str">
        <f t="shared" si="1"/>
        <v>echo description,dailCompDescDream7, &gt;&gt; .\items\materia\class0024\Dream7.dbr</v>
      </c>
      <c r="S9" t="str">
        <f t="shared" si="1"/>
        <v>echo itemText,dailCompTextDream7, &gt;&gt; .\items\materia\class0024\Dream7.dbr</v>
      </c>
      <c r="T9" t="str">
        <f t="shared" si="1"/>
        <v>echo augmentSkillLevel1,1, &gt;&gt; .\items\materia\class0024\Dream7.dbr</v>
      </c>
      <c r="U9" t="str">
        <f t="shared" si="1"/>
        <v>echo augmentSkillName1,records/skillsdream/distortreality.dbr,, &gt;&gt; .\items\materia\class0024\Dream7.dbr</v>
      </c>
      <c r="V9" s="5" t="s">
        <v>36</v>
      </c>
      <c r="W9" t="str">
        <f t="shared" si="8"/>
        <v>echo lootName7,DAIL/items/materia/class0024/Dream7.dbr, &gt;&gt; .\items\loottables\dailoneskill0024.dbr</v>
      </c>
      <c r="X9" t="str">
        <f t="shared" si="8"/>
        <v>echo lootWeight7,1, &gt;&gt; .\items\loottables\dailoneskill0024.dbr</v>
      </c>
      <c r="Y9" s="5" t="s">
        <v>36</v>
      </c>
      <c r="Z9" t="str">
        <f t="shared" si="9"/>
        <v xml:space="preserve"> dailCompDescDream7=^pDream's Gift of DAIL</v>
      </c>
      <c r="AA9" t="str">
        <f t="shared" si="17"/>
        <v>dailCompTextDream7=^oThis feels warm to the touch, almost familiar ^w(This component fits into all Jewellery slots including the Belt And Shoulder)</v>
      </c>
      <c r="AB9" s="5" t="s">
        <v>36</v>
      </c>
      <c r="AH9">
        <f t="shared" si="19"/>
        <v>4</v>
      </c>
      <c r="AI9">
        <f t="shared" si="13"/>
        <v>25</v>
      </c>
      <c r="AJ9">
        <f t="shared" si="18"/>
        <v>1</v>
      </c>
      <c r="AK9" s="1">
        <v>5</v>
      </c>
      <c r="AL9">
        <f>AL6</f>
        <v>60</v>
      </c>
    </row>
    <row r="10" spans="1:38" x14ac:dyDescent="0.25">
      <c r="A10" s="5" t="s">
        <v>39</v>
      </c>
      <c r="B10" s="5" t="s">
        <v>0</v>
      </c>
      <c r="C10" s="5" t="str">
        <f t="shared" si="0"/>
        <v>description,dailCompDescDream8,</v>
      </c>
      <c r="D10" s="5" t="str">
        <f t="shared" si="2"/>
        <v>itemText,dailCompTextDream8,</v>
      </c>
      <c r="E10" s="5" t="str">
        <f t="shared" si="14"/>
        <v>augmentSkillLevel1,1,</v>
      </c>
      <c r="F10" s="5" t="str">
        <f t="shared" si="15"/>
        <v>augmentSkillName1,records/skillsdream/distortreality_temporalrift.dbr,,</v>
      </c>
      <c r="G10" s="7">
        <f t="shared" si="10"/>
        <v>8</v>
      </c>
      <c r="H10" s="8" t="str">
        <f t="shared" si="11"/>
        <v>Dream</v>
      </c>
      <c r="I10" s="3" t="s">
        <v>753</v>
      </c>
      <c r="J10" s="8" t="str">
        <f t="shared" si="12"/>
        <v>class0024</v>
      </c>
      <c r="K10" s="8" t="str">
        <f t="shared" si="12"/>
        <v>dailoneskill0024</v>
      </c>
      <c r="L10" s="5" t="str">
        <f t="shared" si="4"/>
        <v>lootName8,DAIL/items/materia/class0024/Dream8.dbr,</v>
      </c>
      <c r="M10" s="5" t="str">
        <f t="shared" si="5"/>
        <v>lootWeight8,1,</v>
      </c>
      <c r="N10" t="str">
        <f t="shared" si="6"/>
        <v>1</v>
      </c>
      <c r="O10" t="str">
        <f t="shared" si="16"/>
        <v>copy .\dail_base.dbr .\items\materia\class0024\Dream8.dbr /y</v>
      </c>
      <c r="P10" t="str">
        <f t="shared" si="7"/>
        <v>echo relicBitmap,items/craftingparts/components/component_a52_bristlyfur_b.tex, &gt;&gt; .\items\materia\class0024\Dream8.dbr</v>
      </c>
      <c r="Q10" t="str">
        <f t="shared" si="1"/>
        <v>echo itemCost,100000, &gt;&gt; .\items\materia\class0024\Dream8.dbr</v>
      </c>
      <c r="R10" t="str">
        <f t="shared" si="1"/>
        <v>echo description,dailCompDescDream8, &gt;&gt; .\items\materia\class0024\Dream8.dbr</v>
      </c>
      <c r="S10" t="str">
        <f t="shared" si="1"/>
        <v>echo itemText,dailCompTextDream8, &gt;&gt; .\items\materia\class0024\Dream8.dbr</v>
      </c>
      <c r="T10" t="str">
        <f t="shared" si="1"/>
        <v>echo augmentSkillLevel1,1, &gt;&gt; .\items\materia\class0024\Dream8.dbr</v>
      </c>
      <c r="U10" t="str">
        <f t="shared" si="1"/>
        <v>echo augmentSkillName1,records/skillsdream/distortreality_temporalrift.dbr,, &gt;&gt; .\items\materia\class0024\Dream8.dbr</v>
      </c>
      <c r="V10" s="5" t="s">
        <v>36</v>
      </c>
      <c r="W10" t="str">
        <f t="shared" si="8"/>
        <v>echo lootName8,DAIL/items/materia/class0024/Dream8.dbr, &gt;&gt; .\items\loottables\dailoneskill0024.dbr</v>
      </c>
      <c r="X10" t="str">
        <f t="shared" si="8"/>
        <v>echo lootWeight8,1, &gt;&gt; .\items\loottables\dailoneskill0024.dbr</v>
      </c>
      <c r="Y10" s="5" t="s">
        <v>36</v>
      </c>
      <c r="Z10" t="str">
        <f t="shared" si="9"/>
        <v xml:space="preserve"> dailCompDescDream8=^pDream's Gift of DAIL</v>
      </c>
      <c r="AA10" t="str">
        <f t="shared" si="17"/>
        <v>dailCompTextDream8=^oThis feels warm to the touch, almost familiar ^w(This component fits into all Jewellery slots including the Belt And Shoulder)</v>
      </c>
      <c r="AB10" s="5" t="s">
        <v>36</v>
      </c>
      <c r="AH10">
        <f t="shared" si="19"/>
        <v>5</v>
      </c>
      <c r="AI10">
        <f t="shared" si="13"/>
        <v>38</v>
      </c>
      <c r="AJ10">
        <f t="shared" si="18"/>
        <v>1</v>
      </c>
    </row>
    <row r="11" spans="1:38" x14ac:dyDescent="0.25">
      <c r="A11" s="5" t="s">
        <v>39</v>
      </c>
      <c r="B11" s="5" t="s">
        <v>0</v>
      </c>
      <c r="C11" s="5" t="str">
        <f t="shared" si="0"/>
        <v>description,dailCompDescDream9,</v>
      </c>
      <c r="D11" s="5" t="str">
        <f t="shared" si="2"/>
        <v>itemText,dailCompTextDream9,</v>
      </c>
      <c r="E11" s="5" t="str">
        <f t="shared" si="14"/>
        <v>augmentSkillLevel1,1,</v>
      </c>
      <c r="F11" s="5" t="str">
        <f t="shared" si="15"/>
        <v>augmentSkillName1,records/skillsdream/distortionwave.dbr,,</v>
      </c>
      <c r="G11" s="7">
        <f t="shared" si="10"/>
        <v>9</v>
      </c>
      <c r="H11" s="8" t="str">
        <f t="shared" si="11"/>
        <v>Dream</v>
      </c>
      <c r="I11" s="3" t="s">
        <v>754</v>
      </c>
      <c r="J11" s="8" t="str">
        <f t="shared" si="12"/>
        <v>class0024</v>
      </c>
      <c r="K11" s="8" t="str">
        <f t="shared" si="12"/>
        <v>dailoneskill0024</v>
      </c>
      <c r="L11" s="5" t="str">
        <f t="shared" si="4"/>
        <v>lootName9,DAIL/items/materia/class0024/Dream9.dbr,</v>
      </c>
      <c r="M11" s="5" t="str">
        <f t="shared" si="5"/>
        <v>lootWeight9,1,</v>
      </c>
      <c r="N11" t="str">
        <f t="shared" si="6"/>
        <v>1</v>
      </c>
      <c r="O11" t="str">
        <f t="shared" si="16"/>
        <v>copy .\dail_base.dbr .\items\materia\class0024\Dream9.dbr /y</v>
      </c>
      <c r="P11" t="str">
        <f t="shared" si="7"/>
        <v>echo relicBitmap,items/craftingparts/components/component_a52_bristlyfur_b.tex, &gt;&gt; .\items\materia\class0024\Dream9.dbr</v>
      </c>
      <c r="Q11" t="str">
        <f t="shared" si="1"/>
        <v>echo itemCost,100000, &gt;&gt; .\items\materia\class0024\Dream9.dbr</v>
      </c>
      <c r="R11" t="str">
        <f t="shared" si="1"/>
        <v>echo description,dailCompDescDream9, &gt;&gt; .\items\materia\class0024\Dream9.dbr</v>
      </c>
      <c r="S11" t="str">
        <f t="shared" si="1"/>
        <v>echo itemText,dailCompTextDream9, &gt;&gt; .\items\materia\class0024\Dream9.dbr</v>
      </c>
      <c r="T11" t="str">
        <f t="shared" si="1"/>
        <v>echo augmentSkillLevel1,1, &gt;&gt; .\items\materia\class0024\Dream9.dbr</v>
      </c>
      <c r="U11" t="str">
        <f t="shared" si="1"/>
        <v>echo augmentSkillName1,records/skillsdream/distortionwave.dbr,, &gt;&gt; .\items\materia\class0024\Dream9.dbr</v>
      </c>
      <c r="V11" s="5" t="s">
        <v>36</v>
      </c>
      <c r="W11" t="str">
        <f t="shared" si="8"/>
        <v>echo lootName9,DAIL/items/materia/class0024/Dream9.dbr, &gt;&gt; .\items\loottables\dailoneskill0024.dbr</v>
      </c>
      <c r="X11" t="str">
        <f t="shared" si="8"/>
        <v>echo lootWeight9,1, &gt;&gt; .\items\loottables\dailoneskill0024.dbr</v>
      </c>
      <c r="Y11" s="5" t="s">
        <v>36</v>
      </c>
      <c r="Z11" t="str">
        <f t="shared" si="9"/>
        <v xml:space="preserve"> dailCompDescDream9=^pDream's Gift of DAIL</v>
      </c>
      <c r="AA11" t="str">
        <f t="shared" si="17"/>
        <v>dailCompTextDream9=^oThis feels warm to the touch, almost familiar ^w(This component fits into all Jewellery slots including the Belt And Shoulder)</v>
      </c>
      <c r="AB11" s="5" t="s">
        <v>36</v>
      </c>
      <c r="AH11">
        <f t="shared" si="19"/>
        <v>6</v>
      </c>
      <c r="AI11">
        <f t="shared" si="13"/>
        <v>25</v>
      </c>
      <c r="AJ11">
        <f t="shared" si="18"/>
        <v>1</v>
      </c>
    </row>
    <row r="12" spans="1:38" x14ac:dyDescent="0.25">
      <c r="A12" s="5" t="s">
        <v>39</v>
      </c>
      <c r="B12" s="5" t="s">
        <v>0</v>
      </c>
      <c r="C12" s="5" t="str">
        <f t="shared" si="0"/>
        <v>description,dailCompDescDream10,</v>
      </c>
      <c r="D12" s="5" t="str">
        <f t="shared" si="2"/>
        <v>itemText,dailCompTextDream10,</v>
      </c>
      <c r="E12" s="5" t="str">
        <f t="shared" si="14"/>
        <v>augmentSkillLevel1,1,</v>
      </c>
      <c r="F12" s="5" t="str">
        <f t="shared" si="15"/>
        <v>augmentSkillName1,records/skillsdream/distortionwave_chaoticresonance.dbr,,</v>
      </c>
      <c r="G12" s="7">
        <f t="shared" si="10"/>
        <v>10</v>
      </c>
      <c r="H12" s="8" t="str">
        <f t="shared" si="11"/>
        <v>Dream</v>
      </c>
      <c r="I12" s="3" t="s">
        <v>755</v>
      </c>
      <c r="J12" s="8" t="str">
        <f t="shared" si="12"/>
        <v>class0024</v>
      </c>
      <c r="K12" s="8" t="str">
        <f t="shared" si="12"/>
        <v>dailoneskill0024</v>
      </c>
      <c r="L12" s="5" t="str">
        <f t="shared" si="4"/>
        <v>lootName10,DAIL/items/materia/class0024/Dream10.dbr,</v>
      </c>
      <c r="M12" s="5" t="str">
        <f t="shared" si="5"/>
        <v>lootWeight10,1,</v>
      </c>
      <c r="N12" t="str">
        <f t="shared" si="6"/>
        <v>1</v>
      </c>
      <c r="O12" t="str">
        <f t="shared" si="16"/>
        <v>copy .\dail_base.dbr .\items\materia\class0024\Dream10.dbr /y</v>
      </c>
      <c r="P12" t="str">
        <f t="shared" si="7"/>
        <v>echo relicBitmap,items/craftingparts/components/component_a52_bristlyfur_b.tex, &gt;&gt; .\items\materia\class0024\Dream10.dbr</v>
      </c>
      <c r="Q12" t="str">
        <f t="shared" si="1"/>
        <v>echo itemCost,100000, &gt;&gt; .\items\materia\class0024\Dream10.dbr</v>
      </c>
      <c r="R12" t="str">
        <f t="shared" si="1"/>
        <v>echo description,dailCompDescDream10, &gt;&gt; .\items\materia\class0024\Dream10.dbr</v>
      </c>
      <c r="S12" t="str">
        <f t="shared" si="1"/>
        <v>echo itemText,dailCompTextDream10, &gt;&gt; .\items\materia\class0024\Dream10.dbr</v>
      </c>
      <c r="T12" t="str">
        <f t="shared" si="1"/>
        <v>echo augmentSkillLevel1,1, &gt;&gt; .\items\materia\class0024\Dream10.dbr</v>
      </c>
      <c r="U12" t="str">
        <f t="shared" si="1"/>
        <v>echo augmentSkillName1,records/skillsdream/distortionwave_chaoticresonance.dbr,, &gt;&gt; .\items\materia\class0024\Dream10.dbr</v>
      </c>
      <c r="V12" s="5" t="s">
        <v>36</v>
      </c>
      <c r="W12" t="str">
        <f t="shared" si="8"/>
        <v>echo lootName10,DAIL/items/materia/class0024/Dream10.dbr, &gt;&gt; .\items\loottables\dailoneskill0024.dbr</v>
      </c>
      <c r="X12" t="str">
        <f t="shared" si="8"/>
        <v>echo lootWeight10,1, &gt;&gt; .\items\loottables\dailoneskill0024.dbr</v>
      </c>
      <c r="Y12" s="5" t="s">
        <v>36</v>
      </c>
      <c r="Z12" t="str">
        <f t="shared" si="9"/>
        <v xml:space="preserve"> dailCompDescDream10=^pDream's Gift of DAIL</v>
      </c>
      <c r="AA12" t="str">
        <f t="shared" si="17"/>
        <v>dailCompTextDream10=^oThis feels warm to the touch, almost familiar ^w(This component fits into all Jewellery slots including the Belt And Shoulder)</v>
      </c>
      <c r="AB12" s="5" t="s">
        <v>36</v>
      </c>
      <c r="AH12">
        <f t="shared" si="19"/>
        <v>7</v>
      </c>
      <c r="AI12">
        <f t="shared" si="13"/>
        <v>42</v>
      </c>
      <c r="AJ12">
        <f t="shared" si="18"/>
        <v>1</v>
      </c>
    </row>
    <row r="13" spans="1:38" x14ac:dyDescent="0.25">
      <c r="A13" s="5" t="s">
        <v>39</v>
      </c>
      <c r="B13" s="5" t="s">
        <v>0</v>
      </c>
      <c r="C13" s="5" t="str">
        <f t="shared" si="0"/>
        <v>description,dailCompDescDream11,</v>
      </c>
      <c r="D13" s="5" t="str">
        <f t="shared" si="2"/>
        <v>itemText,dailCompTextDream11,</v>
      </c>
      <c r="E13" s="5" t="str">
        <f t="shared" si="14"/>
        <v>augmentSkillLevel1,1,</v>
      </c>
      <c r="F13" s="5" t="str">
        <f t="shared" si="15"/>
        <v>augmentSkillName1,records/skillsdream/distortionwave_psionicimmolation.dbr,,</v>
      </c>
      <c r="G13" s="7">
        <f t="shared" si="10"/>
        <v>11</v>
      </c>
      <c r="H13" s="8" t="str">
        <f t="shared" si="11"/>
        <v>Dream</v>
      </c>
      <c r="I13" s="3" t="s">
        <v>756</v>
      </c>
      <c r="J13" s="8" t="str">
        <f t="shared" si="12"/>
        <v>class0024</v>
      </c>
      <c r="K13" s="8" t="str">
        <f t="shared" si="12"/>
        <v>dailoneskill0024</v>
      </c>
      <c r="L13" s="5" t="str">
        <f t="shared" si="4"/>
        <v>lootName11,DAIL/items/materia/class0024/Dream11.dbr,</v>
      </c>
      <c r="M13" s="5" t="str">
        <f t="shared" si="5"/>
        <v>lootWeight11,1,</v>
      </c>
      <c r="N13" t="str">
        <f t="shared" si="6"/>
        <v>1</v>
      </c>
      <c r="O13" t="str">
        <f t="shared" si="16"/>
        <v>copy .\dail_base.dbr .\items\materia\class0024\Dream11.dbr /y</v>
      </c>
      <c r="P13" t="str">
        <f t="shared" si="7"/>
        <v>echo relicBitmap,items/craftingparts/components/component_a52_bristlyfur_b.tex, &gt;&gt; .\items\materia\class0024\Dream11.dbr</v>
      </c>
      <c r="Q13" t="str">
        <f t="shared" si="1"/>
        <v>echo itemCost,100000, &gt;&gt; .\items\materia\class0024\Dream11.dbr</v>
      </c>
      <c r="R13" t="str">
        <f t="shared" si="1"/>
        <v>echo description,dailCompDescDream11, &gt;&gt; .\items\materia\class0024\Dream11.dbr</v>
      </c>
      <c r="S13" t="str">
        <f t="shared" si="1"/>
        <v>echo itemText,dailCompTextDream11, &gt;&gt; .\items\materia\class0024\Dream11.dbr</v>
      </c>
      <c r="T13" t="str">
        <f t="shared" si="1"/>
        <v>echo augmentSkillLevel1,1, &gt;&gt; .\items\materia\class0024\Dream11.dbr</v>
      </c>
      <c r="U13" t="str">
        <f t="shared" si="1"/>
        <v>echo augmentSkillName1,records/skillsdream/distortionwave_psionicimmolation.dbr,, &gt;&gt; .\items\materia\class0024\Dream11.dbr</v>
      </c>
      <c r="V13" s="5" t="s">
        <v>36</v>
      </c>
      <c r="W13" t="str">
        <f t="shared" si="8"/>
        <v>echo lootName11,DAIL/items/materia/class0024/Dream11.dbr, &gt;&gt; .\items\loottables\dailoneskill0024.dbr</v>
      </c>
      <c r="X13" t="str">
        <f t="shared" si="8"/>
        <v>echo lootWeight11,1, &gt;&gt; .\items\loottables\dailoneskill0024.dbr</v>
      </c>
      <c r="Y13" s="5" t="s">
        <v>36</v>
      </c>
      <c r="Z13" t="str">
        <f t="shared" si="9"/>
        <v xml:space="preserve"> dailCompDescDream11=^pDream's Gift of DAIL</v>
      </c>
      <c r="AA13" t="str">
        <f t="shared" si="17"/>
        <v>dailCompTextDream11=^oThis feels warm to the touch, almost familiar ^w(This component fits into all Jewellery slots including the Belt And Shoulder)</v>
      </c>
      <c r="AB13" s="5" t="s">
        <v>36</v>
      </c>
      <c r="AH13">
        <f t="shared" si="19"/>
        <v>8</v>
      </c>
      <c r="AI13">
        <f t="shared" si="13"/>
        <v>43</v>
      </c>
      <c r="AJ13">
        <f t="shared" si="18"/>
        <v>1</v>
      </c>
    </row>
    <row r="14" spans="1:38" x14ac:dyDescent="0.25">
      <c r="A14" s="5" t="s">
        <v>39</v>
      </c>
      <c r="B14" s="5" t="s">
        <v>0</v>
      </c>
      <c r="C14" s="5" t="str">
        <f t="shared" si="0"/>
        <v>description,dailCompDescDream12,</v>
      </c>
      <c r="D14" s="5" t="str">
        <f t="shared" si="2"/>
        <v>itemText,dailCompTextDream12,</v>
      </c>
      <c r="E14" s="5" t="str">
        <f t="shared" si="14"/>
        <v>augmentSkillLevel1,1,</v>
      </c>
      <c r="F14" s="5" t="str">
        <f t="shared" si="15"/>
        <v>augmentSkillName1,records/skillsdream/psionictouch.dbr,,</v>
      </c>
      <c r="G14" s="7">
        <f t="shared" si="10"/>
        <v>12</v>
      </c>
      <c r="H14" s="8" t="str">
        <f t="shared" si="11"/>
        <v>Dream</v>
      </c>
      <c r="I14" s="3" t="s">
        <v>757</v>
      </c>
      <c r="J14" s="8" t="str">
        <f t="shared" si="12"/>
        <v>class0024</v>
      </c>
      <c r="K14" s="8" t="str">
        <f t="shared" si="12"/>
        <v>dailoneskill0024</v>
      </c>
      <c r="L14" s="5" t="str">
        <f t="shared" si="4"/>
        <v>lootName12,DAIL/items/materia/class0024/Dream12.dbr,</v>
      </c>
      <c r="M14" s="5" t="str">
        <f t="shared" si="5"/>
        <v>lootWeight12,1,</v>
      </c>
      <c r="N14" t="str">
        <f t="shared" si="6"/>
        <v>1</v>
      </c>
      <c r="O14" t="str">
        <f t="shared" si="16"/>
        <v>copy .\dail_base.dbr .\items\materia\class0024\Dream12.dbr /y</v>
      </c>
      <c r="P14" t="str">
        <f t="shared" si="7"/>
        <v>echo relicBitmap,items/craftingparts/components/component_a52_bristlyfur_b.tex, &gt;&gt; .\items\materia\class0024\Dream12.dbr</v>
      </c>
      <c r="Q14" t="str">
        <f t="shared" si="1"/>
        <v>echo itemCost,100000, &gt;&gt; .\items\materia\class0024\Dream12.dbr</v>
      </c>
      <c r="R14" t="str">
        <f t="shared" si="1"/>
        <v>echo description,dailCompDescDream12, &gt;&gt; .\items\materia\class0024\Dream12.dbr</v>
      </c>
      <c r="S14" t="str">
        <f t="shared" si="1"/>
        <v>echo itemText,dailCompTextDream12, &gt;&gt; .\items\materia\class0024\Dream12.dbr</v>
      </c>
      <c r="T14" t="str">
        <f t="shared" si="1"/>
        <v>echo augmentSkillLevel1,1, &gt;&gt; .\items\materia\class0024\Dream12.dbr</v>
      </c>
      <c r="U14" t="str">
        <f t="shared" si="1"/>
        <v>echo augmentSkillName1,records/skillsdream/psionictouch.dbr,, &gt;&gt; .\items\materia\class0024\Dream12.dbr</v>
      </c>
      <c r="V14" s="5" t="s">
        <v>36</v>
      </c>
      <c r="W14" t="str">
        <f t="shared" si="8"/>
        <v>echo lootName12,DAIL/items/materia/class0024/Dream12.dbr, &gt;&gt; .\items\loottables\dailoneskill0024.dbr</v>
      </c>
      <c r="X14" t="str">
        <f t="shared" si="8"/>
        <v>echo lootWeight12,1, &gt;&gt; .\items\loottables\dailoneskill0024.dbr</v>
      </c>
      <c r="Y14" s="5" t="s">
        <v>36</v>
      </c>
      <c r="Z14" t="str">
        <f t="shared" si="9"/>
        <v xml:space="preserve"> dailCompDescDream12=^pDream's Gift of DAIL</v>
      </c>
      <c r="AA14" t="str">
        <f t="shared" si="17"/>
        <v>dailCompTextDream12=^oThis feels warm to the touch, almost familiar ^w(This component fits into all Jewellery slots including the Belt And Shoulder)</v>
      </c>
      <c r="AB14" s="5" t="s">
        <v>36</v>
      </c>
      <c r="AH14">
        <f t="shared" si="19"/>
        <v>9</v>
      </c>
      <c r="AI14">
        <f t="shared" si="13"/>
        <v>23</v>
      </c>
      <c r="AJ14">
        <f t="shared" si="18"/>
        <v>1</v>
      </c>
    </row>
    <row r="15" spans="1:38" x14ac:dyDescent="0.25">
      <c r="A15" s="5" t="s">
        <v>39</v>
      </c>
      <c r="B15" s="5" t="s">
        <v>0</v>
      </c>
      <c r="C15" s="5" t="str">
        <f t="shared" si="0"/>
        <v>description,dailCompDescDream13,</v>
      </c>
      <c r="D15" s="5" t="str">
        <f t="shared" si="2"/>
        <v>itemText,dailCompTextDream13,</v>
      </c>
      <c r="E15" s="5" t="str">
        <f t="shared" si="14"/>
        <v>augmentSkillLevel1,1,</v>
      </c>
      <c r="F15" s="5" t="str">
        <f t="shared" si="15"/>
        <v>augmentSkillName1,records/skillsdream/psionictouch_psionicburn.dbr,,</v>
      </c>
      <c r="G15" s="7">
        <f t="shared" si="10"/>
        <v>13</v>
      </c>
      <c r="H15" s="8" t="str">
        <f t="shared" si="11"/>
        <v>Dream</v>
      </c>
      <c r="I15" s="3" t="s">
        <v>758</v>
      </c>
      <c r="J15" s="8" t="str">
        <f t="shared" si="12"/>
        <v>class0024</v>
      </c>
      <c r="K15" s="8" t="str">
        <f t="shared" si="12"/>
        <v>dailoneskill0024</v>
      </c>
      <c r="L15" s="5" t="str">
        <f t="shared" si="4"/>
        <v>lootName13,DAIL/items/materia/class0024/Dream13.dbr,</v>
      </c>
      <c r="M15" s="5" t="str">
        <f t="shared" si="5"/>
        <v>lootWeight13,1,</v>
      </c>
      <c r="N15" t="str">
        <f t="shared" si="6"/>
        <v>1</v>
      </c>
      <c r="O15" t="str">
        <f t="shared" si="16"/>
        <v>copy .\dail_base.dbr .\items\materia\class0024\Dream13.dbr /y</v>
      </c>
      <c r="P15" t="str">
        <f t="shared" si="7"/>
        <v>echo relicBitmap,items/craftingparts/components/component_a52_bristlyfur_b.tex, &gt;&gt; .\items\materia\class0024\Dream13.dbr</v>
      </c>
      <c r="Q15" t="str">
        <f t="shared" si="1"/>
        <v>echo itemCost,100000, &gt;&gt; .\items\materia\class0024\Dream13.dbr</v>
      </c>
      <c r="R15" t="str">
        <f t="shared" si="1"/>
        <v>echo description,dailCompDescDream13, &gt;&gt; .\items\materia\class0024\Dream13.dbr</v>
      </c>
      <c r="S15" t="str">
        <f t="shared" si="1"/>
        <v>echo itemText,dailCompTextDream13, &gt;&gt; .\items\materia\class0024\Dream13.dbr</v>
      </c>
      <c r="T15" t="str">
        <f t="shared" si="1"/>
        <v>echo augmentSkillLevel1,1, &gt;&gt; .\items\materia\class0024\Dream13.dbr</v>
      </c>
      <c r="U15" t="str">
        <f t="shared" si="1"/>
        <v>echo augmentSkillName1,records/skillsdream/psionictouch_psionicburn.dbr,, &gt;&gt; .\items\materia\class0024\Dream13.dbr</v>
      </c>
      <c r="V15" s="5" t="s">
        <v>36</v>
      </c>
      <c r="W15" t="str">
        <f t="shared" si="8"/>
        <v>echo lootName13,DAIL/items/materia/class0024/Dream13.dbr, &gt;&gt; .\items\loottables\dailoneskill0024.dbr</v>
      </c>
      <c r="X15" t="str">
        <f t="shared" si="8"/>
        <v>echo lootWeight13,1, &gt;&gt; .\items\loottables\dailoneskill0024.dbr</v>
      </c>
      <c r="Y15" s="5" t="s">
        <v>36</v>
      </c>
      <c r="Z15" t="str">
        <f t="shared" si="9"/>
        <v xml:space="preserve"> dailCompDescDream13=^pDream's Gift of DAIL</v>
      </c>
      <c r="AA15" t="str">
        <f t="shared" si="17"/>
        <v>dailCompTextDream13=^oThis feels warm to the touch, almost familiar ^w(This component fits into all Jewellery slots including the Belt And Shoulder)</v>
      </c>
      <c r="AB15" s="5" t="s">
        <v>36</v>
      </c>
      <c r="AH15">
        <f t="shared" si="19"/>
        <v>10</v>
      </c>
      <c r="AI15">
        <f t="shared" si="13"/>
        <v>35</v>
      </c>
      <c r="AJ15">
        <f t="shared" si="18"/>
        <v>1</v>
      </c>
    </row>
    <row r="16" spans="1:38" x14ac:dyDescent="0.25">
      <c r="A16" s="5" t="s">
        <v>39</v>
      </c>
      <c r="B16" s="5" t="s">
        <v>0</v>
      </c>
      <c r="C16" s="5" t="str">
        <f t="shared" si="0"/>
        <v>description,dailCompDescDream14,</v>
      </c>
      <c r="D16" s="5" t="str">
        <f t="shared" si="2"/>
        <v>itemText,dailCompTextDream14,</v>
      </c>
      <c r="E16" s="5" t="str">
        <f t="shared" si="14"/>
        <v>augmentSkillLevel1,1,</v>
      </c>
      <c r="F16" s="5" t="str">
        <f t="shared" si="15"/>
        <v>augmentSkillName1,records/skillsdream/distortionfield.dbr,,</v>
      </c>
      <c r="G16" s="7">
        <f t="shared" si="10"/>
        <v>14</v>
      </c>
      <c r="H16" s="8" t="str">
        <f t="shared" si="11"/>
        <v>Dream</v>
      </c>
      <c r="I16" s="3" t="s">
        <v>759</v>
      </c>
      <c r="J16" s="8" t="str">
        <f t="shared" si="12"/>
        <v>class0024</v>
      </c>
      <c r="K16" s="8" t="str">
        <f t="shared" si="12"/>
        <v>dailoneskill0024</v>
      </c>
      <c r="L16" s="5" t="str">
        <f t="shared" si="4"/>
        <v>lootName14,DAIL/items/materia/class0024/Dream14.dbr,</v>
      </c>
      <c r="M16" s="5" t="str">
        <f t="shared" si="5"/>
        <v>lootWeight14,1,</v>
      </c>
      <c r="N16" t="str">
        <f t="shared" si="6"/>
        <v>1</v>
      </c>
      <c r="O16" t="str">
        <f t="shared" si="16"/>
        <v>copy .\dail_base.dbr .\items\materia\class0024\Dream14.dbr /y</v>
      </c>
      <c r="P16" t="str">
        <f t="shared" si="7"/>
        <v>echo relicBitmap,items/craftingparts/components/component_a52_bristlyfur_b.tex, &gt;&gt; .\items\materia\class0024\Dream14.dbr</v>
      </c>
      <c r="Q16" t="str">
        <f t="shared" si="1"/>
        <v>echo itemCost,100000, &gt;&gt; .\items\materia\class0024\Dream14.dbr</v>
      </c>
      <c r="R16" t="str">
        <f t="shared" si="1"/>
        <v>echo description,dailCompDescDream14, &gt;&gt; .\items\materia\class0024\Dream14.dbr</v>
      </c>
      <c r="S16" t="str">
        <f t="shared" si="1"/>
        <v>echo itemText,dailCompTextDream14, &gt;&gt; .\items\materia\class0024\Dream14.dbr</v>
      </c>
      <c r="T16" t="str">
        <f t="shared" si="1"/>
        <v>echo augmentSkillLevel1,1, &gt;&gt; .\items\materia\class0024\Dream14.dbr</v>
      </c>
      <c r="U16" t="str">
        <f t="shared" si="1"/>
        <v>echo augmentSkillName1,records/skillsdream/distortionfield.dbr,, &gt;&gt; .\items\materia\class0024\Dream14.dbr</v>
      </c>
      <c r="V16" s="5" t="s">
        <v>36</v>
      </c>
      <c r="W16" t="str">
        <f t="shared" si="8"/>
        <v>echo lootName14,DAIL/items/materia/class0024/Dream14.dbr, &gt;&gt; .\items\loottables\dailoneskill0024.dbr</v>
      </c>
      <c r="X16" t="str">
        <f t="shared" si="8"/>
        <v>echo lootWeight14,1, &gt;&gt; .\items\loottables\dailoneskill0024.dbr</v>
      </c>
      <c r="Y16" s="5" t="s">
        <v>36</v>
      </c>
      <c r="Z16" t="str">
        <f t="shared" si="9"/>
        <v xml:space="preserve"> dailCompDescDream14=^pDream's Gift of DAIL</v>
      </c>
      <c r="AA16" t="str">
        <f t="shared" si="17"/>
        <v>dailCompTextDream14=^oThis feels warm to the touch, almost familiar ^w(This component fits into all Jewellery slots including the Belt And Shoulder)</v>
      </c>
      <c r="AB16" s="5" t="s">
        <v>36</v>
      </c>
      <c r="AH16">
        <f t="shared" si="19"/>
        <v>11</v>
      </c>
      <c r="AI16">
        <f t="shared" si="13"/>
        <v>26</v>
      </c>
      <c r="AJ16">
        <f t="shared" si="18"/>
        <v>1</v>
      </c>
    </row>
    <row r="17" spans="1:36" x14ac:dyDescent="0.25">
      <c r="A17" s="5" t="s">
        <v>39</v>
      </c>
      <c r="B17" s="5" t="s">
        <v>0</v>
      </c>
      <c r="C17" s="5" t="str">
        <f t="shared" si="0"/>
        <v>description,dailCompDescDream15,</v>
      </c>
      <c r="D17" s="5" t="str">
        <f t="shared" si="2"/>
        <v>itemText,dailCompTextDream15,</v>
      </c>
      <c r="E17" s="5" t="str">
        <f t="shared" si="14"/>
        <v>augmentSkillLevel1,1,</v>
      </c>
      <c r="F17" s="5" t="str">
        <f t="shared" si="15"/>
        <v>augmentSkillName1,records/skillsdream/sandsofsleep.dbr,,</v>
      </c>
      <c r="G17" s="7">
        <f t="shared" si="10"/>
        <v>15</v>
      </c>
      <c r="H17" s="8" t="str">
        <f t="shared" si="11"/>
        <v>Dream</v>
      </c>
      <c r="I17" s="3" t="s">
        <v>760</v>
      </c>
      <c r="J17" s="8" t="str">
        <f t="shared" si="12"/>
        <v>class0024</v>
      </c>
      <c r="K17" s="8" t="str">
        <f t="shared" si="12"/>
        <v>dailoneskill0024</v>
      </c>
      <c r="L17" s="5" t="str">
        <f t="shared" si="4"/>
        <v>lootName15,DAIL/items/materia/class0024/Dream15.dbr,</v>
      </c>
      <c r="M17" s="5" t="str">
        <f t="shared" si="5"/>
        <v>lootWeight15,1,</v>
      </c>
      <c r="N17" t="str">
        <f t="shared" si="6"/>
        <v>1</v>
      </c>
      <c r="O17" t="str">
        <f t="shared" si="16"/>
        <v>copy .\dail_base.dbr .\items\materia\class0024\Dream15.dbr /y</v>
      </c>
      <c r="P17" t="str">
        <f t="shared" si="7"/>
        <v>echo relicBitmap,items/craftingparts/components/component_a52_bristlyfur_b.tex, &gt;&gt; .\items\materia\class0024\Dream15.dbr</v>
      </c>
      <c r="Q17" t="str">
        <f t="shared" si="1"/>
        <v>echo itemCost,100000, &gt;&gt; .\items\materia\class0024\Dream15.dbr</v>
      </c>
      <c r="R17" t="str">
        <f t="shared" si="1"/>
        <v>echo description,dailCompDescDream15, &gt;&gt; .\items\materia\class0024\Dream15.dbr</v>
      </c>
      <c r="S17" t="str">
        <f t="shared" si="1"/>
        <v>echo itemText,dailCompTextDream15, &gt;&gt; .\items\materia\class0024\Dream15.dbr</v>
      </c>
      <c r="T17" t="str">
        <f t="shared" si="1"/>
        <v>echo augmentSkillLevel1,1, &gt;&gt; .\items\materia\class0024\Dream15.dbr</v>
      </c>
      <c r="U17" t="str">
        <f t="shared" si="1"/>
        <v>echo augmentSkillName1,records/skillsdream/sandsofsleep.dbr,, &gt;&gt; .\items\materia\class0024\Dream15.dbr</v>
      </c>
      <c r="V17" s="5" t="s">
        <v>36</v>
      </c>
      <c r="W17" t="str">
        <f t="shared" si="8"/>
        <v>echo lootName15,DAIL/items/materia/class0024/Dream15.dbr, &gt;&gt; .\items\loottables\dailoneskill0024.dbr</v>
      </c>
      <c r="X17" t="str">
        <f t="shared" si="8"/>
        <v>echo lootWeight15,1, &gt;&gt; .\items\loottables\dailoneskill0024.dbr</v>
      </c>
      <c r="Y17" s="5" t="s">
        <v>36</v>
      </c>
      <c r="Z17" t="str">
        <f t="shared" si="9"/>
        <v xml:space="preserve"> dailCompDescDream15=^pDream's Gift of DAIL</v>
      </c>
      <c r="AA17" t="str">
        <f t="shared" si="17"/>
        <v>dailCompTextDream15=^oThis feels warm to the touch, almost familiar ^w(This component fits into all Jewellery slots including the Belt And Shoulder)</v>
      </c>
      <c r="AB17" s="5" t="s">
        <v>36</v>
      </c>
      <c r="AH17">
        <f t="shared" si="19"/>
        <v>12</v>
      </c>
      <c r="AI17">
        <f t="shared" si="13"/>
        <v>23</v>
      </c>
      <c r="AJ17">
        <f t="shared" si="18"/>
        <v>1</v>
      </c>
    </row>
    <row r="18" spans="1:36" x14ac:dyDescent="0.25">
      <c r="A18" s="5" t="s">
        <v>39</v>
      </c>
      <c r="B18" s="5" t="s">
        <v>0</v>
      </c>
      <c r="C18" s="5" t="str">
        <f t="shared" si="0"/>
        <v>description,dailCompDescDream16,</v>
      </c>
      <c r="D18" s="5" t="str">
        <f t="shared" si="2"/>
        <v>itemText,dailCompTextDream16,</v>
      </c>
      <c r="E18" s="5" t="str">
        <f t="shared" si="14"/>
        <v>augmentSkillLevel1,1,</v>
      </c>
      <c r="F18" s="5" t="str">
        <f t="shared" si="15"/>
        <v>augmentSkillName1,records/skillsdream/nightmare.dbr,,</v>
      </c>
      <c r="G18" s="7">
        <f t="shared" si="10"/>
        <v>16</v>
      </c>
      <c r="H18" s="8" t="str">
        <f t="shared" si="11"/>
        <v>Dream</v>
      </c>
      <c r="I18" s="3" t="s">
        <v>761</v>
      </c>
      <c r="J18" s="8" t="str">
        <f t="shared" si="12"/>
        <v>class0024</v>
      </c>
      <c r="K18" s="8" t="str">
        <f t="shared" si="12"/>
        <v>dailoneskill0024</v>
      </c>
      <c r="L18" s="5" t="str">
        <f t="shared" si="4"/>
        <v>lootName16,DAIL/items/materia/class0024/Dream16.dbr,</v>
      </c>
      <c r="M18" s="5" t="str">
        <f t="shared" si="5"/>
        <v>lootWeight16,1,</v>
      </c>
      <c r="N18" t="str">
        <f t="shared" si="6"/>
        <v>1</v>
      </c>
      <c r="O18" t="str">
        <f t="shared" si="16"/>
        <v>copy .\dail_base.dbr .\items\materia\class0024\Dream16.dbr /y</v>
      </c>
      <c r="P18" t="str">
        <f t="shared" si="7"/>
        <v>echo relicBitmap,items/craftingparts/components/component_a52_bristlyfur_b.tex, &gt;&gt; .\items\materia\class0024\Dream16.dbr</v>
      </c>
      <c r="Q18" t="str">
        <f t="shared" si="1"/>
        <v>echo itemCost,100000, &gt;&gt; .\items\materia\class0024\Dream16.dbr</v>
      </c>
      <c r="R18" t="str">
        <f t="shared" si="1"/>
        <v>echo description,dailCompDescDream16, &gt;&gt; .\items\materia\class0024\Dream16.dbr</v>
      </c>
      <c r="S18" t="str">
        <f t="shared" si="1"/>
        <v>echo itemText,dailCompTextDream16, &gt;&gt; .\items\materia\class0024\Dream16.dbr</v>
      </c>
      <c r="T18" t="str">
        <f t="shared" si="1"/>
        <v>echo augmentSkillLevel1,1, &gt;&gt; .\items\materia\class0024\Dream16.dbr</v>
      </c>
      <c r="U18" t="str">
        <f t="shared" si="1"/>
        <v>echo augmentSkillName1,records/skillsdream/nightmare.dbr,, &gt;&gt; .\items\materia\class0024\Dream16.dbr</v>
      </c>
      <c r="V18" s="5" t="s">
        <v>36</v>
      </c>
      <c r="W18" t="str">
        <f t="shared" si="8"/>
        <v>echo lootName16,DAIL/items/materia/class0024/Dream16.dbr, &gt;&gt; .\items\loottables\dailoneskill0024.dbr</v>
      </c>
      <c r="X18" t="str">
        <f t="shared" si="8"/>
        <v>echo lootWeight16,1, &gt;&gt; .\items\loottables\dailoneskill0024.dbr</v>
      </c>
      <c r="Y18" s="5" t="s">
        <v>36</v>
      </c>
      <c r="Z18" t="str">
        <f t="shared" si="9"/>
        <v xml:space="preserve"> dailCompDescDream16=^pDream's Gift of DAIL</v>
      </c>
      <c r="AA18" t="str">
        <f t="shared" si="17"/>
        <v>dailCompTextDream16=^oThis feels warm to the touch, almost familiar ^w(This component fits into all Jewellery slots including the Belt And Shoulder)</v>
      </c>
      <c r="AB18" s="5" t="s">
        <v>36</v>
      </c>
      <c r="AH18">
        <f t="shared" si="19"/>
        <v>13</v>
      </c>
      <c r="AI18">
        <f t="shared" si="13"/>
        <v>20</v>
      </c>
      <c r="AJ18">
        <f t="shared" si="18"/>
        <v>1</v>
      </c>
    </row>
    <row r="19" spans="1:36" x14ac:dyDescent="0.25">
      <c r="A19" s="5" t="s">
        <v>39</v>
      </c>
      <c r="B19" s="5" t="s">
        <v>28</v>
      </c>
      <c r="C19" s="5" t="str">
        <f t="shared" si="0"/>
        <v>description,dailCompDescDream17,</v>
      </c>
      <c r="D19" s="5" t="str">
        <f t="shared" si="2"/>
        <v>itemText,dailCompTextDream17,</v>
      </c>
      <c r="E19" s="5" t="str">
        <f t="shared" si="14"/>
        <v>augmentSkillLevel1,1,</v>
      </c>
      <c r="F19" s="5" t="str">
        <f t="shared" si="15"/>
        <v>augmentSkillName1,records/skillsdream/nightmare_petmodifier_hypnoticgaze.dbr,,</v>
      </c>
      <c r="G19" s="7">
        <f t="shared" si="10"/>
        <v>17</v>
      </c>
      <c r="H19" s="8" t="str">
        <f t="shared" si="11"/>
        <v>Dream</v>
      </c>
      <c r="I19" s="3" t="s">
        <v>762</v>
      </c>
      <c r="J19" s="8" t="str">
        <f t="shared" si="12"/>
        <v>class0024</v>
      </c>
      <c r="K19" s="8" t="str">
        <f t="shared" si="12"/>
        <v>dailoneskill0024</v>
      </c>
      <c r="L19" s="5" t="str">
        <f t="shared" si="4"/>
        <v>lootName17,DAIL/items/materia/class0024/Dream17.dbr,</v>
      </c>
      <c r="M19" s="5" t="str">
        <f t="shared" si="5"/>
        <v>lootWeight17,1,</v>
      </c>
      <c r="N19" t="str">
        <f t="shared" si="6"/>
        <v>1</v>
      </c>
      <c r="O19" t="str">
        <f t="shared" si="16"/>
        <v>copy .\dail_base.dbr .\items\materia\class0024\Dream17.dbr /y</v>
      </c>
      <c r="P19" t="str">
        <f t="shared" si="7"/>
        <v>echo relicBitmap,items/craftingparts/components/component_a52_bristlyfur_b.tex, &gt;&gt; .\items\materia\class0024\Dream17.dbr</v>
      </c>
      <c r="Q19" t="str">
        <f t="shared" si="7"/>
        <v>echo itemCost,300000, &gt;&gt; .\items\materia\class0024\Dream17.dbr</v>
      </c>
      <c r="R19" t="str">
        <f t="shared" si="7"/>
        <v>echo description,dailCompDescDream17, &gt;&gt; .\items\materia\class0024\Dream17.dbr</v>
      </c>
      <c r="S19" t="str">
        <f t="shared" si="7"/>
        <v>echo itemText,dailCompTextDream17, &gt;&gt; .\items\materia\class0024\Dream17.dbr</v>
      </c>
      <c r="T19" t="str">
        <f t="shared" si="7"/>
        <v>echo augmentSkillLevel1,1, &gt;&gt; .\items\materia\class0024\Dream17.dbr</v>
      </c>
      <c r="U19" t="str">
        <f t="shared" si="7"/>
        <v>echo augmentSkillName1,records/skillsdream/nightmare_petmodifier_hypnoticgaze.dbr,, &gt;&gt; .\items\materia\class0024\Dream17.dbr</v>
      </c>
      <c r="V19" s="5" t="s">
        <v>36</v>
      </c>
      <c r="W19" t="str">
        <f t="shared" si="8"/>
        <v>echo lootName17,DAIL/items/materia/class0024/Dream17.dbr, &gt;&gt; .\items\loottables\dailoneskill0024.dbr</v>
      </c>
      <c r="X19" t="str">
        <f t="shared" si="8"/>
        <v>echo lootWeight17,1, &gt;&gt; .\items\loottables\dailoneskill0024.dbr</v>
      </c>
      <c r="Y19" s="5" t="s">
        <v>36</v>
      </c>
      <c r="Z19" t="str">
        <f t="shared" si="9"/>
        <v xml:space="preserve"> dailCompDescDream17=^pDream's Gift of DAIL</v>
      </c>
      <c r="AA19" t="str">
        <f t="shared" si="17"/>
        <v>dailCompTextDream17=^oThis feels warm to the touch, almost familiar ^w(This component fits into all Jewellery slots including the Belt And Shoulder)</v>
      </c>
      <c r="AB19" s="5" t="s">
        <v>36</v>
      </c>
      <c r="AH19">
        <f t="shared" si="19"/>
        <v>14</v>
      </c>
      <c r="AI19">
        <f t="shared" si="13"/>
        <v>45</v>
      </c>
      <c r="AJ19">
        <f t="shared" si="18"/>
        <v>1</v>
      </c>
    </row>
    <row r="20" spans="1:36" x14ac:dyDescent="0.25">
      <c r="A20" s="5" t="s">
        <v>39</v>
      </c>
      <c r="B20" s="5" t="s">
        <v>28</v>
      </c>
      <c r="C20" s="5" t="str">
        <f t="shared" si="0"/>
        <v>description,dailCompDescDream18,</v>
      </c>
      <c r="D20" s="5" t="str">
        <f t="shared" si="2"/>
        <v>itemText,dailCompTextDream18,</v>
      </c>
      <c r="E20" s="5" t="str">
        <f t="shared" si="14"/>
        <v>augmentSkillLevel1,1,</v>
      </c>
      <c r="F20" s="5" t="str">
        <f t="shared" si="15"/>
        <v>augmentSkillName1,records/skillsdream/nightmare_petmodifier_mastermind.dbr,,</v>
      </c>
      <c r="G20" s="7">
        <f t="shared" si="10"/>
        <v>18</v>
      </c>
      <c r="H20" s="8" t="str">
        <f t="shared" si="11"/>
        <v>Dream</v>
      </c>
      <c r="I20" s="3" t="s">
        <v>763</v>
      </c>
      <c r="J20" s="8" t="str">
        <f t="shared" si="12"/>
        <v>class0024</v>
      </c>
      <c r="K20" s="8" t="str">
        <f t="shared" si="12"/>
        <v>dailoneskill0024</v>
      </c>
      <c r="L20" s="5" t="str">
        <f t="shared" si="4"/>
        <v>lootName18,DAIL/items/materia/class0024/Dream18.dbr,</v>
      </c>
      <c r="M20" s="5" t="str">
        <f t="shared" si="5"/>
        <v>lootWeight18,1,</v>
      </c>
      <c r="N20" t="str">
        <f t="shared" si="6"/>
        <v>1</v>
      </c>
      <c r="O20" t="str">
        <f t="shared" si="16"/>
        <v>copy .\dail_base.dbr .\items\materia\class0024\Dream18.dbr /y</v>
      </c>
      <c r="P20" t="str">
        <f t="shared" si="7"/>
        <v>echo relicBitmap,items/craftingparts/components/component_a52_bristlyfur_b.tex, &gt;&gt; .\items\materia\class0024\Dream18.dbr</v>
      </c>
      <c r="Q20" t="str">
        <f t="shared" si="7"/>
        <v>echo itemCost,300000, &gt;&gt; .\items\materia\class0024\Dream18.dbr</v>
      </c>
      <c r="R20" t="str">
        <f t="shared" si="7"/>
        <v>echo description,dailCompDescDream18, &gt;&gt; .\items\materia\class0024\Dream18.dbr</v>
      </c>
      <c r="S20" t="str">
        <f t="shared" si="7"/>
        <v>echo itemText,dailCompTextDream18, &gt;&gt; .\items\materia\class0024\Dream18.dbr</v>
      </c>
      <c r="T20" t="str">
        <f t="shared" si="7"/>
        <v>echo augmentSkillLevel1,1, &gt;&gt; .\items\materia\class0024\Dream18.dbr</v>
      </c>
      <c r="U20" t="str">
        <f t="shared" si="7"/>
        <v>echo augmentSkillName1,records/skillsdream/nightmare_petmodifier_mastermind.dbr,, &gt;&gt; .\items\materia\class0024\Dream18.dbr</v>
      </c>
      <c r="V20" s="5" t="s">
        <v>36</v>
      </c>
      <c r="W20" t="str">
        <f t="shared" si="8"/>
        <v>echo lootName18,DAIL/items/materia/class0024/Dream18.dbr, &gt;&gt; .\items\loottables\dailoneskill0024.dbr</v>
      </c>
      <c r="X20" t="str">
        <f t="shared" si="8"/>
        <v>echo lootWeight18,1, &gt;&gt; .\items\loottables\dailoneskill0024.dbr</v>
      </c>
      <c r="Y20" s="5" t="s">
        <v>36</v>
      </c>
      <c r="Z20" t="str">
        <f t="shared" si="9"/>
        <v xml:space="preserve"> dailCompDescDream18=^pDream's Gift of DAIL</v>
      </c>
      <c r="AA20" t="str">
        <f t="shared" si="17"/>
        <v>dailCompTextDream18=^oThis feels warm to the touch, almost familiar ^w(This component fits into all Jewellery slots including the Belt And Shoulder)</v>
      </c>
      <c r="AB20" s="5" t="s">
        <v>36</v>
      </c>
      <c r="AH20">
        <f t="shared" si="19"/>
        <v>15</v>
      </c>
      <c r="AI20">
        <f t="shared" si="13"/>
        <v>43</v>
      </c>
      <c r="AJ20">
        <f t="shared" si="18"/>
        <v>1</v>
      </c>
    </row>
    <row r="21" spans="1:36" x14ac:dyDescent="0.25">
      <c r="A21" s="5" t="s">
        <v>39</v>
      </c>
      <c r="B21" s="5" t="s">
        <v>28</v>
      </c>
      <c r="C21" s="5" t="str">
        <f t="shared" si="0"/>
        <v>description,dailCompDescDream19,</v>
      </c>
      <c r="D21" s="5" t="str">
        <f t="shared" si="2"/>
        <v>itemText,dailCompTextDream19,</v>
      </c>
      <c r="E21" s="5" t="str">
        <f t="shared" si="14"/>
        <v>augmentSkillLevel1,1,</v>
      </c>
      <c r="F21" s="5" t="str">
        <f t="shared" si="15"/>
        <v>augmentSkillName1,records/skillsdream/luciddream.dbr,,</v>
      </c>
      <c r="G21" s="7">
        <f t="shared" si="10"/>
        <v>19</v>
      </c>
      <c r="H21" s="8" t="str">
        <f t="shared" si="11"/>
        <v>Dream</v>
      </c>
      <c r="I21" s="3" t="s">
        <v>764</v>
      </c>
      <c r="J21" s="8" t="str">
        <f t="shared" ref="J21:K36" si="20">J20</f>
        <v>class0024</v>
      </c>
      <c r="K21" s="8" t="str">
        <f t="shared" si="20"/>
        <v>dailoneskill0024</v>
      </c>
      <c r="L21" s="5" t="str">
        <f t="shared" si="4"/>
        <v>lootName19,DAIL/items/materia/class0024/Dream19.dbr,</v>
      </c>
      <c r="M21" s="5" t="str">
        <f t="shared" si="5"/>
        <v>lootWeight19,1,</v>
      </c>
      <c r="N21" t="str">
        <f t="shared" si="6"/>
        <v>1</v>
      </c>
      <c r="O21" t="str">
        <f t="shared" si="16"/>
        <v>copy .\dail_base.dbr .\items\materia\class0024\Dream19.dbr /y</v>
      </c>
      <c r="P21" t="str">
        <f t="shared" si="7"/>
        <v>echo relicBitmap,items/craftingparts/components/component_a52_bristlyfur_b.tex, &gt;&gt; .\items\materia\class0024\Dream19.dbr</v>
      </c>
      <c r="Q21" t="str">
        <f t="shared" si="7"/>
        <v>echo itemCost,300000, &gt;&gt; .\items\materia\class0024\Dream19.dbr</v>
      </c>
      <c r="R21" t="str">
        <f t="shared" si="7"/>
        <v>echo description,dailCompDescDream19, &gt;&gt; .\items\materia\class0024\Dream19.dbr</v>
      </c>
      <c r="S21" t="str">
        <f t="shared" si="7"/>
        <v>echo itemText,dailCompTextDream19, &gt;&gt; .\items\materia\class0024\Dream19.dbr</v>
      </c>
      <c r="T21" t="str">
        <f t="shared" si="7"/>
        <v>echo augmentSkillLevel1,1, &gt;&gt; .\items\materia\class0024\Dream19.dbr</v>
      </c>
      <c r="U21" t="str">
        <f t="shared" si="7"/>
        <v>echo augmentSkillName1,records/skillsdream/luciddream.dbr,, &gt;&gt; .\items\materia\class0024\Dream19.dbr</v>
      </c>
      <c r="V21" s="5" t="s">
        <v>36</v>
      </c>
      <c r="W21" t="str">
        <f t="shared" si="8"/>
        <v>echo lootName19,DAIL/items/materia/class0024/Dream19.dbr, &gt;&gt; .\items\loottables\dailoneskill0024.dbr</v>
      </c>
      <c r="X21" t="str">
        <f t="shared" si="8"/>
        <v>echo lootWeight19,1, &gt;&gt; .\items\loottables\dailoneskill0024.dbr</v>
      </c>
      <c r="Y21" s="5" t="s">
        <v>36</v>
      </c>
      <c r="Z21" t="str">
        <f t="shared" si="9"/>
        <v xml:space="preserve"> dailCompDescDream19=^pDream's Gift of DAIL</v>
      </c>
      <c r="AA21" t="str">
        <f t="shared" si="17"/>
        <v>dailCompTextDream19=^oThis feels warm to the touch, almost familiar ^w(This component fits into all Jewellery slots including the Belt And Shoulder)</v>
      </c>
      <c r="AB21" s="5" t="s">
        <v>36</v>
      </c>
      <c r="AH21">
        <f t="shared" si="19"/>
        <v>16</v>
      </c>
      <c r="AI21">
        <f t="shared" si="13"/>
        <v>21</v>
      </c>
      <c r="AJ21">
        <f t="shared" si="18"/>
        <v>1</v>
      </c>
    </row>
    <row r="22" spans="1:36" x14ac:dyDescent="0.25">
      <c r="A22" s="5" t="s">
        <v>39</v>
      </c>
      <c r="B22" s="5" t="s">
        <v>28</v>
      </c>
      <c r="C22" s="5" t="str">
        <f t="shared" si="0"/>
        <v>description,dailCompDescDream20,</v>
      </c>
      <c r="D22" s="5" t="str">
        <f t="shared" si="2"/>
        <v>itemText,dailCompTextDream20,</v>
      </c>
      <c r="E22" s="5" t="str">
        <f t="shared" si="14"/>
        <v>augmentSkillLevel1,1,</v>
      </c>
      <c r="F22" s="5" t="str">
        <f t="shared" si="15"/>
        <v>augmentSkillName1,records/skillsdream/luciddream_premonition.dbr,,</v>
      </c>
      <c r="G22" s="7">
        <f t="shared" si="10"/>
        <v>20</v>
      </c>
      <c r="H22" s="8" t="str">
        <f t="shared" si="11"/>
        <v>Dream</v>
      </c>
      <c r="I22" s="3" t="s">
        <v>765</v>
      </c>
      <c r="J22" s="8" t="str">
        <f t="shared" si="20"/>
        <v>class0024</v>
      </c>
      <c r="K22" s="8" t="str">
        <f t="shared" si="20"/>
        <v>dailoneskill0024</v>
      </c>
      <c r="L22" s="5" t="str">
        <f t="shared" si="4"/>
        <v>lootName20,DAIL/items/materia/class0024/Dream20.dbr,</v>
      </c>
      <c r="M22" s="5" t="str">
        <f t="shared" si="5"/>
        <v>lootWeight20,1,</v>
      </c>
      <c r="N22" t="str">
        <f t="shared" si="6"/>
        <v>1</v>
      </c>
      <c r="O22" t="str">
        <f t="shared" si="16"/>
        <v>copy .\dail_base.dbr .\items\materia\class0024\Dream20.dbr /y</v>
      </c>
      <c r="P22" t="str">
        <f t="shared" si="7"/>
        <v>echo relicBitmap,items/craftingparts/components/component_a52_bristlyfur_b.tex, &gt;&gt; .\items\materia\class0024\Dream20.dbr</v>
      </c>
      <c r="Q22" t="str">
        <f t="shared" si="7"/>
        <v>echo itemCost,300000, &gt;&gt; .\items\materia\class0024\Dream20.dbr</v>
      </c>
      <c r="R22" t="str">
        <f t="shared" si="7"/>
        <v>echo description,dailCompDescDream20, &gt;&gt; .\items\materia\class0024\Dream20.dbr</v>
      </c>
      <c r="S22" t="str">
        <f t="shared" si="7"/>
        <v>echo itemText,dailCompTextDream20, &gt;&gt; .\items\materia\class0024\Dream20.dbr</v>
      </c>
      <c r="T22" t="str">
        <f t="shared" si="7"/>
        <v>echo augmentSkillLevel1,1, &gt;&gt; .\items\materia\class0024\Dream20.dbr</v>
      </c>
      <c r="U22" t="str">
        <f t="shared" si="7"/>
        <v>echo augmentSkillName1,records/skillsdream/luciddream_premonition.dbr,, &gt;&gt; .\items\materia\class0024\Dream20.dbr</v>
      </c>
      <c r="V22" s="5" t="s">
        <v>36</v>
      </c>
      <c r="W22" t="str">
        <f t="shared" si="8"/>
        <v>echo lootName20,DAIL/items/materia/class0024/Dream20.dbr, &gt;&gt; .\items\loottables\dailoneskill0024.dbr</v>
      </c>
      <c r="X22" t="str">
        <f t="shared" si="8"/>
        <v>echo lootWeight20,1, &gt;&gt; .\items\loottables\dailoneskill0024.dbr</v>
      </c>
      <c r="Y22" s="5" t="s">
        <v>36</v>
      </c>
      <c r="Z22" t="str">
        <f t="shared" si="9"/>
        <v xml:space="preserve"> dailCompDescDream20=^pDream's Gift of DAIL</v>
      </c>
      <c r="AA22" t="str">
        <f t="shared" si="17"/>
        <v>dailCompTextDream20=^oThis feels warm to the touch, almost familiar ^w(This component fits into all Jewellery slots including the Belt And Shoulder)</v>
      </c>
      <c r="AB22" s="5" t="s">
        <v>36</v>
      </c>
      <c r="AH22">
        <f t="shared" si="19"/>
        <v>17</v>
      </c>
      <c r="AI22">
        <f t="shared" si="13"/>
        <v>33</v>
      </c>
      <c r="AJ22">
        <f t="shared" si="18"/>
        <v>1</v>
      </c>
    </row>
    <row r="23" spans="1:36" x14ac:dyDescent="0.25">
      <c r="A23" s="5" t="s">
        <v>39</v>
      </c>
      <c r="B23" s="5" t="s">
        <v>28</v>
      </c>
      <c r="C23" s="5" t="str">
        <f t="shared" si="0"/>
        <v>description,dailCompDescDream21,</v>
      </c>
      <c r="D23" s="5" t="str">
        <f t="shared" si="2"/>
        <v>itemText,dailCompTextDream21,</v>
      </c>
      <c r="E23" s="5" t="str">
        <f t="shared" si="14"/>
        <v>augmentSkillLevel1,1,</v>
      </c>
      <c r="F23" s="5" t="str">
        <f t="shared" si="15"/>
        <v>augmentSkillName1,records/skillsdream/luciddream_temporalflux.dbr,,</v>
      </c>
      <c r="G23" s="7">
        <f t="shared" si="10"/>
        <v>21</v>
      </c>
      <c r="H23" s="8" t="str">
        <f t="shared" si="11"/>
        <v>Dream</v>
      </c>
      <c r="I23" s="3" t="s">
        <v>766</v>
      </c>
      <c r="J23" s="8" t="str">
        <f t="shared" si="20"/>
        <v>class0024</v>
      </c>
      <c r="K23" s="8" t="str">
        <f t="shared" si="20"/>
        <v>dailoneskill0024</v>
      </c>
      <c r="L23" s="5" t="str">
        <f t="shared" si="4"/>
        <v>lootName21,DAIL/items/materia/class0024/Dream21.dbr,</v>
      </c>
      <c r="M23" s="5" t="str">
        <f t="shared" si="5"/>
        <v>lootWeight21,1,</v>
      </c>
      <c r="N23" t="str">
        <f t="shared" si="6"/>
        <v>1</v>
      </c>
      <c r="O23" t="str">
        <f t="shared" si="16"/>
        <v>copy .\dail_base.dbr .\items\materia\class0024\Dream21.dbr /y</v>
      </c>
      <c r="P23" t="str">
        <f t="shared" si="7"/>
        <v>echo relicBitmap,items/craftingparts/components/component_a52_bristlyfur_b.tex, &gt;&gt; .\items\materia\class0024\Dream21.dbr</v>
      </c>
      <c r="Q23" t="str">
        <f t="shared" si="7"/>
        <v>echo itemCost,300000, &gt;&gt; .\items\materia\class0024\Dream21.dbr</v>
      </c>
      <c r="R23" t="str">
        <f t="shared" si="7"/>
        <v>echo description,dailCompDescDream21, &gt;&gt; .\items\materia\class0024\Dream21.dbr</v>
      </c>
      <c r="S23" t="str">
        <f t="shared" si="7"/>
        <v>echo itemText,dailCompTextDream21, &gt;&gt; .\items\materia\class0024\Dream21.dbr</v>
      </c>
      <c r="T23" t="str">
        <f t="shared" si="7"/>
        <v>echo augmentSkillLevel1,1, &gt;&gt; .\items\materia\class0024\Dream21.dbr</v>
      </c>
      <c r="U23" t="str">
        <f t="shared" si="7"/>
        <v>echo augmentSkillName1,records/skillsdream/luciddream_temporalflux.dbr,, &gt;&gt; .\items\materia\class0024\Dream21.dbr</v>
      </c>
      <c r="V23" s="5" t="s">
        <v>36</v>
      </c>
      <c r="W23" t="str">
        <f t="shared" si="8"/>
        <v>echo lootName21,DAIL/items/materia/class0024/Dream21.dbr, &gt;&gt; .\items\loottables\dailoneskill0024.dbr</v>
      </c>
      <c r="X23" t="str">
        <f t="shared" si="8"/>
        <v>echo lootWeight21,1, &gt;&gt; .\items\loottables\dailoneskill0024.dbr</v>
      </c>
      <c r="Y23" s="5" t="s">
        <v>36</v>
      </c>
      <c r="Z23" t="str">
        <f t="shared" si="9"/>
        <v xml:space="preserve"> dailCompDescDream21=^pDream's Gift of DAIL</v>
      </c>
      <c r="AA23" t="str">
        <f t="shared" si="17"/>
        <v>dailCompTextDream21=^oThis feels warm to the touch, almost familiar ^w(This component fits into all Jewellery slots including the Belt And Shoulder)</v>
      </c>
      <c r="AB23" s="5" t="s">
        <v>36</v>
      </c>
      <c r="AH23">
        <f t="shared" si="19"/>
        <v>18</v>
      </c>
      <c r="AI23">
        <f t="shared" si="13"/>
        <v>34</v>
      </c>
      <c r="AJ23">
        <f t="shared" si="18"/>
        <v>1</v>
      </c>
    </row>
    <row r="24" spans="1:36" x14ac:dyDescent="0.25">
      <c r="A24" s="5" t="s">
        <v>39</v>
      </c>
      <c r="B24" s="5" t="s">
        <v>28</v>
      </c>
      <c r="C24" s="5" t="str">
        <f t="shared" si="0"/>
        <v>description,dailCompDescDream22,</v>
      </c>
      <c r="D24" s="5" t="str">
        <f t="shared" si="2"/>
        <v>itemText,dailCompTextDream22,</v>
      </c>
      <c r="E24" s="5" t="str">
        <f t="shared" si="14"/>
        <v>augmentSkillLevel1,1,</v>
      </c>
      <c r="F24" s="5" t="str">
        <f t="shared" si="15"/>
        <v>augmentSkillName1,records/skillsdream/phantomstrike.dbr,,</v>
      </c>
      <c r="G24" s="7">
        <f t="shared" si="10"/>
        <v>22</v>
      </c>
      <c r="H24" s="8" t="str">
        <f t="shared" si="11"/>
        <v>Dream</v>
      </c>
      <c r="I24" s="3" t="s">
        <v>767</v>
      </c>
      <c r="J24" s="8" t="str">
        <f t="shared" si="20"/>
        <v>class0024</v>
      </c>
      <c r="K24" s="8" t="str">
        <f t="shared" si="20"/>
        <v>dailoneskill0024</v>
      </c>
      <c r="L24" s="5" t="str">
        <f t="shared" si="4"/>
        <v>lootName22,DAIL/items/materia/class0024/Dream22.dbr,</v>
      </c>
      <c r="M24" s="5" t="str">
        <f t="shared" si="5"/>
        <v>lootWeight22,1,</v>
      </c>
      <c r="N24" t="str">
        <f t="shared" si="6"/>
        <v>1</v>
      </c>
      <c r="O24" t="str">
        <f t="shared" si="16"/>
        <v>copy .\dail_base.dbr .\items\materia\class0024\Dream22.dbr /y</v>
      </c>
      <c r="P24" t="str">
        <f t="shared" si="7"/>
        <v>echo relicBitmap,items/craftingparts/components/component_a52_bristlyfur_b.tex, &gt;&gt; .\items\materia\class0024\Dream22.dbr</v>
      </c>
      <c r="Q24" t="str">
        <f t="shared" si="7"/>
        <v>echo itemCost,300000, &gt;&gt; .\items\materia\class0024\Dream22.dbr</v>
      </c>
      <c r="R24" t="str">
        <f t="shared" si="7"/>
        <v>echo description,dailCompDescDream22, &gt;&gt; .\items\materia\class0024\Dream22.dbr</v>
      </c>
      <c r="S24" t="str">
        <f t="shared" si="7"/>
        <v>echo itemText,dailCompTextDream22, &gt;&gt; .\items\materia\class0024\Dream22.dbr</v>
      </c>
      <c r="T24" t="str">
        <f t="shared" si="7"/>
        <v>echo augmentSkillLevel1,1, &gt;&gt; .\items\materia\class0024\Dream22.dbr</v>
      </c>
      <c r="U24" t="str">
        <f t="shared" si="7"/>
        <v>echo augmentSkillName1,records/skillsdream/phantomstrike.dbr,, &gt;&gt; .\items\materia\class0024\Dream22.dbr</v>
      </c>
      <c r="V24" s="5" t="s">
        <v>36</v>
      </c>
      <c r="W24" t="str">
        <f t="shared" si="8"/>
        <v>echo lootName22,DAIL/items/materia/class0024/Dream22.dbr, &gt;&gt; .\items\loottables\dailoneskill0024.dbr</v>
      </c>
      <c r="X24" t="str">
        <f t="shared" si="8"/>
        <v>echo lootWeight22,1, &gt;&gt; .\items\loottables\dailoneskill0024.dbr</v>
      </c>
      <c r="Y24" s="5" t="s">
        <v>36</v>
      </c>
      <c r="Z24" t="str">
        <f t="shared" si="9"/>
        <v xml:space="preserve"> dailCompDescDream22=^pDream's Gift of DAIL</v>
      </c>
      <c r="AA24" t="str">
        <f t="shared" si="17"/>
        <v>dailCompTextDream22=^oThis feels warm to the touch, almost familiar ^w(This component fits into all Jewellery slots including the Belt And Shoulder)</v>
      </c>
      <c r="AB24" s="5" t="s">
        <v>36</v>
      </c>
      <c r="AH24">
        <f t="shared" si="19"/>
        <v>19</v>
      </c>
      <c r="AI24">
        <f t="shared" si="13"/>
        <v>24</v>
      </c>
      <c r="AJ24">
        <f t="shared" si="18"/>
        <v>1</v>
      </c>
    </row>
    <row r="25" spans="1:36" x14ac:dyDescent="0.25">
      <c r="A25" s="5" t="s">
        <v>39</v>
      </c>
      <c r="B25" s="5" t="s">
        <v>28</v>
      </c>
      <c r="C25" s="5" t="str">
        <f t="shared" si="0"/>
        <v>description,dailCompDescDream23,</v>
      </c>
      <c r="D25" s="5" t="str">
        <f t="shared" si="2"/>
        <v>itemText,dailCompTextDream23,</v>
      </c>
      <c r="E25" s="5" t="str">
        <f t="shared" si="14"/>
        <v>augmentSkillLevel1,3,</v>
      </c>
      <c r="F25" s="5" t="str">
        <f t="shared" si="15"/>
        <v>augmentSkillName1,records/skillsdream/phantomstrike_dreamstealer.dbr,,</v>
      </c>
      <c r="G25" s="7">
        <f t="shared" si="10"/>
        <v>23</v>
      </c>
      <c r="H25" s="8" t="str">
        <f t="shared" si="11"/>
        <v>Dream</v>
      </c>
      <c r="I25" s="3" t="s">
        <v>768</v>
      </c>
      <c r="J25" s="8" t="str">
        <f t="shared" si="20"/>
        <v>class0024</v>
      </c>
      <c r="K25" s="8" t="str">
        <f t="shared" si="20"/>
        <v>dailoneskill0024</v>
      </c>
      <c r="L25" s="5" t="str">
        <f t="shared" si="4"/>
        <v>lootName23,DAIL/items/materia/class0024/Dream23.dbr,</v>
      </c>
      <c r="M25" s="5" t="str">
        <f t="shared" si="5"/>
        <v>lootWeight23,1,</v>
      </c>
      <c r="N25" t="str">
        <f t="shared" si="6"/>
        <v>3</v>
      </c>
      <c r="O25" t="str">
        <f t="shared" si="16"/>
        <v>copy .\dail_base3.dbr .\items\materia\class0024\Dream23.dbr /y</v>
      </c>
      <c r="P25" t="str">
        <f t="shared" si="7"/>
        <v>echo relicBitmap,items/craftingparts/components/component_a52_bristlyfur_b.tex, &gt;&gt; .\items\materia\class0024\Dream23.dbr</v>
      </c>
      <c r="Q25" t="str">
        <f t="shared" si="7"/>
        <v>echo itemCost,300000, &gt;&gt; .\items\materia\class0024\Dream23.dbr</v>
      </c>
      <c r="R25" t="str">
        <f t="shared" si="7"/>
        <v>echo description,dailCompDescDream23, &gt;&gt; .\items\materia\class0024\Dream23.dbr</v>
      </c>
      <c r="S25" t="str">
        <f t="shared" si="7"/>
        <v>echo itemText,dailCompTextDream23, &gt;&gt; .\items\materia\class0024\Dream23.dbr</v>
      </c>
      <c r="T25" t="str">
        <f t="shared" si="7"/>
        <v>echo augmentSkillLevel1,3, &gt;&gt; .\items\materia\class0024\Dream23.dbr</v>
      </c>
      <c r="U25" t="str">
        <f t="shared" si="7"/>
        <v>echo augmentSkillName1,records/skillsdream/phantomstrike_dreamstealer.dbr,, &gt;&gt; .\items\materia\class0024\Dream23.dbr</v>
      </c>
      <c r="V25" s="5" t="s">
        <v>36</v>
      </c>
      <c r="W25" t="str">
        <f t="shared" si="8"/>
        <v>echo lootName23,DAIL/items/materia/class0024/Dream23.dbr, &gt;&gt; .\items\loottables\dailoneskill0024.dbr</v>
      </c>
      <c r="X25" t="str">
        <f t="shared" si="8"/>
        <v>echo lootWeight23,1, &gt;&gt; .\items\loottables\dailoneskill0024.dbr</v>
      </c>
      <c r="Y25" s="5" t="s">
        <v>36</v>
      </c>
      <c r="Z25" t="str">
        <f t="shared" si="9"/>
        <v xml:space="preserve"> dailCompDescDream23=^pDream's Gift of DAIL</v>
      </c>
      <c r="AA25" t="str">
        <f t="shared" si="17"/>
        <v>dailCompTextDream23=^oThis feels warm to the touch, almost familiar ^w(This component only fits into the Medal Slot)</v>
      </c>
      <c r="AB25" s="5" t="s">
        <v>36</v>
      </c>
      <c r="AH25">
        <f t="shared" si="19"/>
        <v>20</v>
      </c>
      <c r="AI25">
        <f t="shared" si="13"/>
        <v>37</v>
      </c>
      <c r="AJ25">
        <f t="shared" si="18"/>
        <v>3</v>
      </c>
    </row>
    <row r="26" spans="1:36" x14ac:dyDescent="0.25">
      <c r="A26" s="5" t="s">
        <v>39</v>
      </c>
      <c r="B26" s="5" t="s">
        <v>28</v>
      </c>
      <c r="C26" s="5" t="str">
        <f t="shared" si="0"/>
        <v>description,dailCompDescDream24,</v>
      </c>
      <c r="D26" s="5" t="str">
        <f t="shared" si="2"/>
        <v>itemText,dailCompTextDream24,</v>
      </c>
      <c r="E26" s="5" t="str">
        <f t="shared" si="14"/>
        <v>augmentSkillLevel1,3,</v>
      </c>
      <c r="F26" s="5" t="str">
        <f t="shared" si="15"/>
        <v>augmentSkillName1,records/skillsdream/tranceofconvalescence.dbr,,</v>
      </c>
      <c r="G26" s="7">
        <f t="shared" si="10"/>
        <v>24</v>
      </c>
      <c r="H26" s="8" t="str">
        <f t="shared" si="11"/>
        <v>Dream</v>
      </c>
      <c r="I26" s="3" t="s">
        <v>749</v>
      </c>
      <c r="J26" s="8" t="str">
        <f t="shared" si="20"/>
        <v>class0024</v>
      </c>
      <c r="K26" s="8" t="str">
        <f t="shared" si="20"/>
        <v>dailoneskill0024</v>
      </c>
      <c r="L26" s="5" t="str">
        <f t="shared" si="4"/>
        <v>lootName24,DAIL/items/materia/class0024/Dream24.dbr,</v>
      </c>
      <c r="M26" s="5" t="str">
        <f t="shared" si="5"/>
        <v>lootWeight24,1,</v>
      </c>
      <c r="N26" t="str">
        <f t="shared" si="6"/>
        <v>3</v>
      </c>
      <c r="O26" t="str">
        <f t="shared" si="16"/>
        <v>copy .\dail_base3.dbr .\items\materia\class0024\Dream24.dbr /y</v>
      </c>
      <c r="P26" t="str">
        <f t="shared" si="7"/>
        <v>echo relicBitmap,items/craftingparts/components/component_a52_bristlyfur_b.tex, &gt;&gt; .\items\materia\class0024\Dream24.dbr</v>
      </c>
      <c r="Q26" t="str">
        <f t="shared" si="7"/>
        <v>echo itemCost,300000, &gt;&gt; .\items\materia\class0024\Dream24.dbr</v>
      </c>
      <c r="R26" t="str">
        <f t="shared" si="7"/>
        <v>echo description,dailCompDescDream24, &gt;&gt; .\items\materia\class0024\Dream24.dbr</v>
      </c>
      <c r="S26" t="str">
        <f t="shared" si="7"/>
        <v>echo itemText,dailCompTextDream24, &gt;&gt; .\items\materia\class0024\Dream24.dbr</v>
      </c>
      <c r="T26" t="str">
        <f t="shared" si="7"/>
        <v>echo augmentSkillLevel1,3, &gt;&gt; .\items\materia\class0024\Dream24.dbr</v>
      </c>
      <c r="U26" t="str">
        <f t="shared" si="7"/>
        <v>echo augmentSkillName1,records/skillsdream/tranceofconvalescence.dbr,, &gt;&gt; .\items\materia\class0024\Dream24.dbr</v>
      </c>
      <c r="V26" s="5" t="s">
        <v>36</v>
      </c>
      <c r="W26" t="str">
        <f t="shared" si="8"/>
        <v>echo lootName24,DAIL/items/materia/class0024/Dream24.dbr, &gt;&gt; .\items\loottables\dailoneskill0024.dbr</v>
      </c>
      <c r="X26" t="str">
        <f t="shared" si="8"/>
        <v>echo lootWeight24,1, &gt;&gt; .\items\loottables\dailoneskill0024.dbr</v>
      </c>
      <c r="Y26" s="5" t="s">
        <v>36</v>
      </c>
      <c r="Z26" t="str">
        <f t="shared" si="9"/>
        <v xml:space="preserve"> dailCompDescDream24=^pDream's Gift of DAIL</v>
      </c>
      <c r="AA26" t="str">
        <f t="shared" si="17"/>
        <v>dailCompTextDream24=^oThis feels warm to the touch, almost familiar ^w(This component only fits into the Medal Slot)</v>
      </c>
      <c r="AB26" s="5" t="s">
        <v>36</v>
      </c>
      <c r="AH26">
        <f t="shared" si="19"/>
        <v>21</v>
      </c>
      <c r="AI26">
        <f t="shared" si="13"/>
        <v>32</v>
      </c>
      <c r="AJ26">
        <f t="shared" si="18"/>
        <v>3</v>
      </c>
    </row>
    <row r="27" spans="1:36" x14ac:dyDescent="0.25">
      <c r="A27" s="5" t="s">
        <v>39</v>
      </c>
      <c r="B27" s="5" t="s">
        <v>28</v>
      </c>
      <c r="C27" s="5" t="str">
        <f t="shared" si="0"/>
        <v>description,dailCompDescDream25,</v>
      </c>
      <c r="D27" s="5" t="str">
        <f t="shared" si="2"/>
        <v>itemText,dailCompTextDream25,</v>
      </c>
      <c r="E27" s="5" t="str">
        <f t="shared" si="14"/>
        <v>augmentSkillLevel1,3,</v>
      </c>
      <c r="F27" s="5" t="str">
        <f t="shared" si="15"/>
        <v>augmentSkillName1,records/skillsdream/tranceofempathy.dbr,,</v>
      </c>
      <c r="G27" s="7">
        <f t="shared" si="10"/>
        <v>25</v>
      </c>
      <c r="H27" s="8" t="str">
        <f t="shared" si="11"/>
        <v>Dream</v>
      </c>
      <c r="I27" s="3" t="s">
        <v>750</v>
      </c>
      <c r="J27" s="8" t="str">
        <f t="shared" si="20"/>
        <v>class0024</v>
      </c>
      <c r="K27" s="8" t="str">
        <f t="shared" si="20"/>
        <v>dailoneskill0024</v>
      </c>
      <c r="L27" s="5" t="str">
        <f t="shared" si="4"/>
        <v>lootName25,DAIL/items/materia/class0024/Dream25.dbr,</v>
      </c>
      <c r="M27" s="5" t="str">
        <f t="shared" si="5"/>
        <v>lootWeight25,1,</v>
      </c>
      <c r="N27" t="str">
        <f t="shared" si="6"/>
        <v>3</v>
      </c>
      <c r="O27" t="str">
        <f t="shared" si="16"/>
        <v>copy .\dail_base3.dbr .\items\materia\class0024\Dream25.dbr /y</v>
      </c>
      <c r="P27" t="str">
        <f t="shared" si="7"/>
        <v>echo relicBitmap,items/craftingparts/components/component_a52_bristlyfur_b.tex, &gt;&gt; .\items\materia\class0024\Dream25.dbr</v>
      </c>
      <c r="Q27" t="str">
        <f t="shared" si="7"/>
        <v>echo itemCost,300000, &gt;&gt; .\items\materia\class0024\Dream25.dbr</v>
      </c>
      <c r="R27" t="str">
        <f t="shared" si="7"/>
        <v>echo description,dailCompDescDream25, &gt;&gt; .\items\materia\class0024\Dream25.dbr</v>
      </c>
      <c r="S27" t="str">
        <f t="shared" si="7"/>
        <v>echo itemText,dailCompTextDream25, &gt;&gt; .\items\materia\class0024\Dream25.dbr</v>
      </c>
      <c r="T27" t="str">
        <f t="shared" si="7"/>
        <v>echo augmentSkillLevel1,3, &gt;&gt; .\items\materia\class0024\Dream25.dbr</v>
      </c>
      <c r="U27" t="str">
        <f t="shared" si="7"/>
        <v>echo augmentSkillName1,records/skillsdream/tranceofempathy.dbr,, &gt;&gt; .\items\materia\class0024\Dream25.dbr</v>
      </c>
      <c r="V27" s="5" t="s">
        <v>36</v>
      </c>
      <c r="W27" t="str">
        <f t="shared" si="8"/>
        <v>echo lootName25,DAIL/items/materia/class0024/Dream25.dbr, &gt;&gt; .\items\loottables\dailoneskill0024.dbr</v>
      </c>
      <c r="X27" t="str">
        <f t="shared" si="8"/>
        <v>echo lootWeight25,1, &gt;&gt; .\items\loottables\dailoneskill0024.dbr</v>
      </c>
      <c r="Y27" s="5" t="s">
        <v>36</v>
      </c>
      <c r="Z27" t="str">
        <f t="shared" si="9"/>
        <v xml:space="preserve"> dailCompDescDream25=^pDream's Gift of DAIL</v>
      </c>
      <c r="AA27" t="str">
        <f t="shared" si="17"/>
        <v>dailCompTextDream25=^oThis feels warm to the touch, almost familiar ^w(This component only fits into the Medal Slot)</v>
      </c>
      <c r="AB27" s="5" t="s">
        <v>36</v>
      </c>
      <c r="AH27">
        <f t="shared" si="19"/>
        <v>22</v>
      </c>
      <c r="AI27">
        <f t="shared" si="13"/>
        <v>26</v>
      </c>
      <c r="AJ27">
        <f t="shared" si="18"/>
        <v>3</v>
      </c>
    </row>
    <row r="28" spans="1:36" x14ac:dyDescent="0.25">
      <c r="A28" s="5" t="s">
        <v>39</v>
      </c>
      <c r="B28" s="5" t="s">
        <v>28</v>
      </c>
      <c r="C28" s="5" t="str">
        <f t="shared" si="0"/>
        <v>description,dailCompDescDream26,</v>
      </c>
      <c r="D28" s="5" t="str">
        <f t="shared" si="2"/>
        <v>itemText,dailCompTextDream26,</v>
      </c>
      <c r="E28" s="5" t="str">
        <f t="shared" si="14"/>
        <v>augmentSkillLevel1,3,</v>
      </c>
      <c r="F28" s="5" t="str">
        <f t="shared" si="15"/>
        <v>augmentSkillName1,records/skillsdream/tranceofwrath.dbr,,</v>
      </c>
      <c r="G28" s="7">
        <f t="shared" si="10"/>
        <v>26</v>
      </c>
      <c r="H28" s="8" t="str">
        <f t="shared" si="11"/>
        <v>Dream</v>
      </c>
      <c r="I28" s="3" t="s">
        <v>751</v>
      </c>
      <c r="J28" s="8" t="str">
        <f t="shared" si="20"/>
        <v>class0024</v>
      </c>
      <c r="K28" s="8" t="str">
        <f t="shared" si="20"/>
        <v>dailoneskill0024</v>
      </c>
      <c r="L28" s="5" t="str">
        <f t="shared" si="4"/>
        <v>lootName26,DAIL/items/materia/class0024/Dream26.dbr,</v>
      </c>
      <c r="M28" s="5" t="str">
        <f t="shared" si="5"/>
        <v>lootWeight26,1,</v>
      </c>
      <c r="N28" t="str">
        <f t="shared" si="6"/>
        <v>3</v>
      </c>
      <c r="O28" t="str">
        <f t="shared" si="16"/>
        <v>copy .\dail_base3.dbr .\items\materia\class0024\Dream26.dbr /y</v>
      </c>
      <c r="P28" t="str">
        <f t="shared" si="7"/>
        <v>echo relicBitmap,items/craftingparts/components/component_a52_bristlyfur_b.tex, &gt;&gt; .\items\materia\class0024\Dream26.dbr</v>
      </c>
      <c r="Q28" t="str">
        <f t="shared" si="7"/>
        <v>echo itemCost,300000, &gt;&gt; .\items\materia\class0024\Dream26.dbr</v>
      </c>
      <c r="R28" t="str">
        <f t="shared" si="7"/>
        <v>echo description,dailCompDescDream26, &gt;&gt; .\items\materia\class0024\Dream26.dbr</v>
      </c>
      <c r="S28" t="str">
        <f t="shared" si="7"/>
        <v>echo itemText,dailCompTextDream26, &gt;&gt; .\items\materia\class0024\Dream26.dbr</v>
      </c>
      <c r="T28" t="str">
        <f t="shared" si="7"/>
        <v>echo augmentSkillLevel1,3, &gt;&gt; .\items\materia\class0024\Dream26.dbr</v>
      </c>
      <c r="U28" t="str">
        <f t="shared" si="7"/>
        <v>echo augmentSkillName1,records/skillsdream/tranceofwrath.dbr,, &gt;&gt; .\items\materia\class0024\Dream26.dbr</v>
      </c>
      <c r="V28" s="5" t="s">
        <v>36</v>
      </c>
      <c r="W28" t="str">
        <f t="shared" si="8"/>
        <v>echo lootName26,DAIL/items/materia/class0024/Dream26.dbr, &gt;&gt; .\items\loottables\dailoneskill0024.dbr</v>
      </c>
      <c r="X28" t="str">
        <f t="shared" si="8"/>
        <v>echo lootWeight26,1, &gt;&gt; .\items\loottables\dailoneskill0024.dbr</v>
      </c>
      <c r="Y28" s="5" t="s">
        <v>36</v>
      </c>
      <c r="Z28" t="str">
        <f t="shared" si="9"/>
        <v xml:space="preserve"> dailCompDescDream26=^pDream's Gift of DAIL</v>
      </c>
      <c r="AA28" t="str">
        <f t="shared" si="17"/>
        <v>dailCompTextDream26=^oThis feels warm to the touch, almost familiar ^w(This component only fits into the Medal Slot)</v>
      </c>
      <c r="AB28" s="5" t="s">
        <v>36</v>
      </c>
      <c r="AH28">
        <f t="shared" si="19"/>
        <v>23</v>
      </c>
      <c r="AI28">
        <f t="shared" si="13"/>
        <v>24</v>
      </c>
      <c r="AJ28">
        <f t="shared" si="18"/>
        <v>3</v>
      </c>
    </row>
    <row r="29" spans="1:36" x14ac:dyDescent="0.25">
      <c r="A29" s="5" t="s">
        <v>39</v>
      </c>
      <c r="B29" s="5" t="s">
        <v>28</v>
      </c>
      <c r="C29" s="5" t="str">
        <f t="shared" si="0"/>
        <v>description,dailCompDescDream27,</v>
      </c>
      <c r="D29" s="5" t="str">
        <f t="shared" si="2"/>
        <v>itemText,dailCompTextDream27,</v>
      </c>
      <c r="E29" s="5" t="str">
        <f t="shared" si="14"/>
        <v>augmentSkillLevel1,3,</v>
      </c>
      <c r="F29" s="5" t="str">
        <f t="shared" si="15"/>
        <v>augmentSkillName1,records/skillsdream/distortreality.dbr,,</v>
      </c>
      <c r="G29" s="7">
        <f t="shared" si="10"/>
        <v>27</v>
      </c>
      <c r="H29" s="8" t="str">
        <f t="shared" si="11"/>
        <v>Dream</v>
      </c>
      <c r="I29" s="3" t="s">
        <v>752</v>
      </c>
      <c r="J29" s="8" t="str">
        <f t="shared" si="20"/>
        <v>class0024</v>
      </c>
      <c r="K29" s="8" t="str">
        <f t="shared" si="20"/>
        <v>dailoneskill0024</v>
      </c>
      <c r="L29" s="5" t="str">
        <f t="shared" si="4"/>
        <v>lootName27,DAIL/items/materia/class0024/Dream27.dbr,</v>
      </c>
      <c r="M29" s="5" t="str">
        <f t="shared" si="5"/>
        <v>lootWeight27,1,</v>
      </c>
      <c r="N29" t="str">
        <f t="shared" si="6"/>
        <v>3</v>
      </c>
      <c r="O29" t="str">
        <f t="shared" si="16"/>
        <v>copy .\dail_base3.dbr .\items\materia\class0024\Dream27.dbr /y</v>
      </c>
      <c r="P29" t="str">
        <f t="shared" si="7"/>
        <v>echo relicBitmap,items/craftingparts/components/component_a52_bristlyfur_b.tex, &gt;&gt; .\items\materia\class0024\Dream27.dbr</v>
      </c>
      <c r="Q29" t="str">
        <f t="shared" si="7"/>
        <v>echo itemCost,300000, &gt;&gt; .\items\materia\class0024\Dream27.dbr</v>
      </c>
      <c r="R29" t="str">
        <f t="shared" si="7"/>
        <v>echo description,dailCompDescDream27, &gt;&gt; .\items\materia\class0024\Dream27.dbr</v>
      </c>
      <c r="S29" t="str">
        <f t="shared" si="7"/>
        <v>echo itemText,dailCompTextDream27, &gt;&gt; .\items\materia\class0024\Dream27.dbr</v>
      </c>
      <c r="T29" t="str">
        <f t="shared" si="7"/>
        <v>echo augmentSkillLevel1,3, &gt;&gt; .\items\materia\class0024\Dream27.dbr</v>
      </c>
      <c r="U29" t="str">
        <f t="shared" si="7"/>
        <v>echo augmentSkillName1,records/skillsdream/distortreality.dbr,, &gt;&gt; .\items\materia\class0024\Dream27.dbr</v>
      </c>
      <c r="V29" s="5" t="s">
        <v>36</v>
      </c>
      <c r="W29" t="str">
        <f t="shared" si="8"/>
        <v>echo lootName27,DAIL/items/materia/class0024/Dream27.dbr, &gt;&gt; .\items\loottables\dailoneskill0024.dbr</v>
      </c>
      <c r="X29" t="str">
        <f t="shared" si="8"/>
        <v>echo lootWeight27,1, &gt;&gt; .\items\loottables\dailoneskill0024.dbr</v>
      </c>
      <c r="Y29" s="5" t="s">
        <v>36</v>
      </c>
      <c r="Z29" t="str">
        <f t="shared" si="9"/>
        <v xml:space="preserve"> dailCompDescDream27=^pDream's Gift of DAIL</v>
      </c>
      <c r="AA29" t="str">
        <f t="shared" si="17"/>
        <v>dailCompTextDream27=^oThis feels warm to the touch, almost familiar ^w(This component only fits into the Medal Slot)</v>
      </c>
      <c r="AB29" s="5" t="s">
        <v>36</v>
      </c>
      <c r="AH29">
        <f t="shared" si="19"/>
        <v>24</v>
      </c>
      <c r="AI29">
        <f t="shared" si="13"/>
        <v>25</v>
      </c>
      <c r="AJ29">
        <f t="shared" si="18"/>
        <v>3</v>
      </c>
    </row>
    <row r="30" spans="1:36" x14ac:dyDescent="0.25">
      <c r="A30" s="5" t="s">
        <v>39</v>
      </c>
      <c r="B30" s="5" t="s">
        <v>28</v>
      </c>
      <c r="C30" s="5" t="str">
        <f t="shared" si="0"/>
        <v>description,dailCompDescDream28,</v>
      </c>
      <c r="D30" s="5" t="str">
        <f t="shared" si="2"/>
        <v>itemText,dailCompTextDream28,</v>
      </c>
      <c r="E30" s="5" t="str">
        <f t="shared" si="14"/>
        <v>augmentSkillLevel1,3,</v>
      </c>
      <c r="F30" s="5" t="str">
        <f t="shared" si="15"/>
        <v>augmentSkillName1,records/skillsdream/distortreality_temporalrift.dbr,,</v>
      </c>
      <c r="G30" s="7">
        <f t="shared" si="10"/>
        <v>28</v>
      </c>
      <c r="H30" s="8" t="str">
        <f t="shared" si="11"/>
        <v>Dream</v>
      </c>
      <c r="I30" s="3" t="s">
        <v>753</v>
      </c>
      <c r="J30" s="8" t="str">
        <f t="shared" si="20"/>
        <v>class0024</v>
      </c>
      <c r="K30" s="8" t="str">
        <f t="shared" si="20"/>
        <v>dailoneskill0024</v>
      </c>
      <c r="L30" s="5" t="str">
        <f t="shared" si="4"/>
        <v>lootName28,DAIL/items/materia/class0024/Dream28.dbr,</v>
      </c>
      <c r="M30" s="5" t="str">
        <f t="shared" si="5"/>
        <v>lootWeight28,1,</v>
      </c>
      <c r="N30" t="str">
        <f t="shared" si="6"/>
        <v>3</v>
      </c>
      <c r="O30" t="str">
        <f t="shared" si="16"/>
        <v>copy .\dail_base3.dbr .\items\materia\class0024\Dream28.dbr /y</v>
      </c>
      <c r="P30" t="str">
        <f t="shared" si="7"/>
        <v>echo relicBitmap,items/craftingparts/components/component_a52_bristlyfur_b.tex, &gt;&gt; .\items\materia\class0024\Dream28.dbr</v>
      </c>
      <c r="Q30" t="str">
        <f t="shared" si="7"/>
        <v>echo itemCost,300000, &gt;&gt; .\items\materia\class0024\Dream28.dbr</v>
      </c>
      <c r="R30" t="str">
        <f t="shared" si="7"/>
        <v>echo description,dailCompDescDream28, &gt;&gt; .\items\materia\class0024\Dream28.dbr</v>
      </c>
      <c r="S30" t="str">
        <f t="shared" si="7"/>
        <v>echo itemText,dailCompTextDream28, &gt;&gt; .\items\materia\class0024\Dream28.dbr</v>
      </c>
      <c r="T30" t="str">
        <f t="shared" si="7"/>
        <v>echo augmentSkillLevel1,3, &gt;&gt; .\items\materia\class0024\Dream28.dbr</v>
      </c>
      <c r="U30" t="str">
        <f t="shared" si="7"/>
        <v>echo augmentSkillName1,records/skillsdream/distortreality_temporalrift.dbr,, &gt;&gt; .\items\materia\class0024\Dream28.dbr</v>
      </c>
      <c r="V30" s="5" t="s">
        <v>36</v>
      </c>
      <c r="W30" t="str">
        <f t="shared" si="8"/>
        <v>echo lootName28,DAIL/items/materia/class0024/Dream28.dbr, &gt;&gt; .\items\loottables\dailoneskill0024.dbr</v>
      </c>
      <c r="X30" t="str">
        <f t="shared" si="8"/>
        <v>echo lootWeight28,1, &gt;&gt; .\items\loottables\dailoneskill0024.dbr</v>
      </c>
      <c r="Y30" s="5" t="s">
        <v>36</v>
      </c>
      <c r="Z30" t="str">
        <f t="shared" si="9"/>
        <v xml:space="preserve"> dailCompDescDream28=^pDream's Gift of DAIL</v>
      </c>
      <c r="AA30" t="str">
        <f t="shared" si="17"/>
        <v>dailCompTextDream28=^oThis feels warm to the touch, almost familiar ^w(This component only fits into the Medal Slot)</v>
      </c>
      <c r="AB30" s="5" t="s">
        <v>36</v>
      </c>
      <c r="AH30">
        <f t="shared" si="19"/>
        <v>25</v>
      </c>
      <c r="AI30">
        <f t="shared" si="13"/>
        <v>38</v>
      </c>
      <c r="AJ30">
        <f t="shared" si="18"/>
        <v>3</v>
      </c>
    </row>
    <row r="31" spans="1:36" x14ac:dyDescent="0.25">
      <c r="A31" s="5" t="s">
        <v>39</v>
      </c>
      <c r="B31" s="5" t="s">
        <v>28</v>
      </c>
      <c r="C31" s="5" t="str">
        <f t="shared" si="0"/>
        <v>description,dailCompDescDream29,</v>
      </c>
      <c r="D31" s="5" t="str">
        <f t="shared" si="2"/>
        <v>itemText,dailCompTextDream29,</v>
      </c>
      <c r="E31" s="5" t="str">
        <f t="shared" si="14"/>
        <v>augmentSkillLevel1,3,</v>
      </c>
      <c r="F31" s="5" t="str">
        <f t="shared" si="15"/>
        <v>augmentSkillName1,records/skillsdream/distortionwave.dbr,,</v>
      </c>
      <c r="G31" s="7">
        <f t="shared" si="10"/>
        <v>29</v>
      </c>
      <c r="H31" s="8" t="str">
        <f t="shared" si="11"/>
        <v>Dream</v>
      </c>
      <c r="I31" s="3" t="s">
        <v>754</v>
      </c>
      <c r="J31" s="8" t="str">
        <f t="shared" si="20"/>
        <v>class0024</v>
      </c>
      <c r="K31" s="8" t="str">
        <f t="shared" si="20"/>
        <v>dailoneskill0024</v>
      </c>
      <c r="L31" s="5" t="str">
        <f t="shared" si="4"/>
        <v>lootName29,DAIL/items/materia/class0024/Dream29.dbr,</v>
      </c>
      <c r="M31" s="5" t="str">
        <f t="shared" si="5"/>
        <v>lootWeight29,1,</v>
      </c>
      <c r="N31" t="str">
        <f t="shared" si="6"/>
        <v>3</v>
      </c>
      <c r="O31" t="str">
        <f t="shared" si="16"/>
        <v>copy .\dail_base3.dbr .\items\materia\class0024\Dream29.dbr /y</v>
      </c>
      <c r="P31" t="str">
        <f t="shared" si="7"/>
        <v>echo relicBitmap,items/craftingparts/components/component_a52_bristlyfur_b.tex, &gt;&gt; .\items\materia\class0024\Dream29.dbr</v>
      </c>
      <c r="Q31" t="str">
        <f t="shared" si="7"/>
        <v>echo itemCost,300000, &gt;&gt; .\items\materia\class0024\Dream29.dbr</v>
      </c>
      <c r="R31" t="str">
        <f t="shared" si="7"/>
        <v>echo description,dailCompDescDream29, &gt;&gt; .\items\materia\class0024\Dream29.dbr</v>
      </c>
      <c r="S31" t="str">
        <f t="shared" si="7"/>
        <v>echo itemText,dailCompTextDream29, &gt;&gt; .\items\materia\class0024\Dream29.dbr</v>
      </c>
      <c r="T31" t="str">
        <f t="shared" si="7"/>
        <v>echo augmentSkillLevel1,3, &gt;&gt; .\items\materia\class0024\Dream29.dbr</v>
      </c>
      <c r="U31" t="str">
        <f t="shared" si="7"/>
        <v>echo augmentSkillName1,records/skillsdream/distortionwave.dbr,, &gt;&gt; .\items\materia\class0024\Dream29.dbr</v>
      </c>
      <c r="V31" s="5" t="s">
        <v>36</v>
      </c>
      <c r="W31" t="str">
        <f t="shared" si="8"/>
        <v>echo lootName29,DAIL/items/materia/class0024/Dream29.dbr, &gt;&gt; .\items\loottables\dailoneskill0024.dbr</v>
      </c>
      <c r="X31" t="str">
        <f t="shared" si="8"/>
        <v>echo lootWeight29,1, &gt;&gt; .\items\loottables\dailoneskill0024.dbr</v>
      </c>
      <c r="Y31" s="5" t="s">
        <v>36</v>
      </c>
      <c r="Z31" t="str">
        <f t="shared" si="9"/>
        <v xml:space="preserve"> dailCompDescDream29=^pDream's Gift of DAIL</v>
      </c>
      <c r="AA31" t="str">
        <f t="shared" si="17"/>
        <v>dailCompTextDream29=^oThis feels warm to the touch, almost familiar ^w(This component only fits into the Medal Slot)</v>
      </c>
      <c r="AB31" s="5" t="s">
        <v>36</v>
      </c>
      <c r="AH31">
        <f t="shared" si="19"/>
        <v>26</v>
      </c>
      <c r="AI31">
        <f t="shared" si="13"/>
        <v>25</v>
      </c>
      <c r="AJ31">
        <f t="shared" si="18"/>
        <v>3</v>
      </c>
    </row>
    <row r="32" spans="1:36" x14ac:dyDescent="0.25">
      <c r="A32" s="5" t="s">
        <v>39</v>
      </c>
      <c r="B32" s="5" t="s">
        <v>30</v>
      </c>
      <c r="C32" s="5" t="str">
        <f t="shared" si="0"/>
        <v>description,dailCompDescDream30,</v>
      </c>
      <c r="D32" s="5" t="str">
        <f t="shared" si="2"/>
        <v>itemText,dailCompTextDream30,</v>
      </c>
      <c r="E32" s="5" t="str">
        <f t="shared" si="14"/>
        <v>augmentSkillLevel1,3,</v>
      </c>
      <c r="F32" s="5" t="str">
        <f t="shared" si="15"/>
        <v>augmentSkillName1,records/skillsdream/distortionwave_chaoticresonance.dbr,,</v>
      </c>
      <c r="G32" s="7">
        <f t="shared" si="10"/>
        <v>30</v>
      </c>
      <c r="H32" s="8" t="str">
        <f t="shared" si="11"/>
        <v>Dream</v>
      </c>
      <c r="I32" s="3" t="s">
        <v>755</v>
      </c>
      <c r="J32" s="8" t="str">
        <f t="shared" si="20"/>
        <v>class0024</v>
      </c>
      <c r="K32" s="8" t="str">
        <f t="shared" si="20"/>
        <v>dailoneskill0024</v>
      </c>
      <c r="L32" s="5" t="str">
        <f t="shared" si="4"/>
        <v>lootName30,DAIL/items/materia/class0024/Dream30.dbr,</v>
      </c>
      <c r="M32" s="5" t="str">
        <f t="shared" si="5"/>
        <v>lootWeight30,1,</v>
      </c>
      <c r="N32" t="str">
        <f t="shared" si="6"/>
        <v>3</v>
      </c>
      <c r="O32" t="str">
        <f t="shared" si="16"/>
        <v>copy .\dail_base3.dbr .\items\materia\class0024\Dream30.dbr /y</v>
      </c>
      <c r="P32" t="str">
        <f t="shared" si="7"/>
        <v>echo relicBitmap,items/craftingparts/components/component_a52_bristlyfur_b.tex, &gt;&gt; .\items\materia\class0024\Dream30.dbr</v>
      </c>
      <c r="Q32" t="str">
        <f t="shared" si="7"/>
        <v>echo itemCost,500000, &gt;&gt; .\items\materia\class0024\Dream30.dbr</v>
      </c>
      <c r="R32" t="str">
        <f t="shared" si="7"/>
        <v>echo description,dailCompDescDream30, &gt;&gt; .\items\materia\class0024\Dream30.dbr</v>
      </c>
      <c r="S32" t="str">
        <f t="shared" si="7"/>
        <v>echo itemText,dailCompTextDream30, &gt;&gt; .\items\materia\class0024\Dream30.dbr</v>
      </c>
      <c r="T32" t="str">
        <f t="shared" si="7"/>
        <v>echo augmentSkillLevel1,3, &gt;&gt; .\items\materia\class0024\Dream30.dbr</v>
      </c>
      <c r="U32" t="str">
        <f t="shared" si="7"/>
        <v>echo augmentSkillName1,records/skillsdream/distortionwave_chaoticresonance.dbr,, &gt;&gt; .\items\materia\class0024\Dream30.dbr</v>
      </c>
      <c r="V32" s="5" t="s">
        <v>36</v>
      </c>
      <c r="W32" t="str">
        <f t="shared" si="8"/>
        <v>echo lootName30,DAIL/items/materia/class0024/Dream30.dbr, &gt;&gt; .\items\loottables\dailoneskill0024.dbr</v>
      </c>
      <c r="X32" t="str">
        <f t="shared" si="8"/>
        <v>echo lootWeight30,1, &gt;&gt; .\items\loottables\dailoneskill0024.dbr</v>
      </c>
      <c r="Y32" s="5" t="s">
        <v>36</v>
      </c>
      <c r="Z32" t="str">
        <f t="shared" si="9"/>
        <v xml:space="preserve"> dailCompDescDream30=^pDream's Gift of DAIL</v>
      </c>
      <c r="AA32" t="str">
        <f t="shared" si="17"/>
        <v>dailCompTextDream30=^oThis feels warm to the touch, almost familiar ^w(This component only fits into the Medal Slot)</v>
      </c>
      <c r="AB32" s="5" t="s">
        <v>36</v>
      </c>
      <c r="AH32">
        <f t="shared" si="19"/>
        <v>27</v>
      </c>
      <c r="AI32">
        <f t="shared" si="13"/>
        <v>42</v>
      </c>
      <c r="AJ32">
        <f t="shared" si="18"/>
        <v>3</v>
      </c>
    </row>
    <row r="33" spans="1:36" x14ac:dyDescent="0.25">
      <c r="A33" s="5" t="s">
        <v>39</v>
      </c>
      <c r="B33" s="5" t="s">
        <v>30</v>
      </c>
      <c r="C33" s="5" t="str">
        <f t="shared" si="0"/>
        <v>description,dailCompDescDream31,</v>
      </c>
      <c r="D33" s="5" t="str">
        <f t="shared" si="2"/>
        <v>itemText,dailCompTextDream31,</v>
      </c>
      <c r="E33" s="5" t="str">
        <f t="shared" si="14"/>
        <v>augmentSkillLevel1,3,</v>
      </c>
      <c r="F33" s="5" t="str">
        <f t="shared" si="15"/>
        <v>augmentSkillName1,records/skillsdream/distortionwave_psionicimmolation.dbr,,</v>
      </c>
      <c r="G33" s="7">
        <f t="shared" si="10"/>
        <v>31</v>
      </c>
      <c r="H33" s="8" t="str">
        <f t="shared" si="11"/>
        <v>Dream</v>
      </c>
      <c r="I33" s="3" t="s">
        <v>756</v>
      </c>
      <c r="J33" s="8" t="str">
        <f t="shared" si="20"/>
        <v>class0024</v>
      </c>
      <c r="K33" s="8" t="str">
        <f t="shared" si="20"/>
        <v>dailoneskill0024</v>
      </c>
      <c r="L33" s="5" t="str">
        <f t="shared" si="4"/>
        <v>lootName31,DAIL/items/materia/class0024/Dream31.dbr,</v>
      </c>
      <c r="M33" s="5" t="str">
        <f t="shared" si="5"/>
        <v>lootWeight31,1,</v>
      </c>
      <c r="N33" t="str">
        <f t="shared" si="6"/>
        <v>3</v>
      </c>
      <c r="O33" t="str">
        <f t="shared" si="16"/>
        <v>copy .\dail_base3.dbr .\items\materia\class0024\Dream31.dbr /y</v>
      </c>
      <c r="P33" t="str">
        <f t="shared" si="7"/>
        <v>echo relicBitmap,items/craftingparts/components/component_a52_bristlyfur_b.tex, &gt;&gt; .\items\materia\class0024\Dream31.dbr</v>
      </c>
      <c r="Q33" t="str">
        <f t="shared" si="7"/>
        <v>echo itemCost,500000, &gt;&gt; .\items\materia\class0024\Dream31.dbr</v>
      </c>
      <c r="R33" t="str">
        <f t="shared" si="7"/>
        <v>echo description,dailCompDescDream31, &gt;&gt; .\items\materia\class0024\Dream31.dbr</v>
      </c>
      <c r="S33" t="str">
        <f t="shared" si="7"/>
        <v>echo itemText,dailCompTextDream31, &gt;&gt; .\items\materia\class0024\Dream31.dbr</v>
      </c>
      <c r="T33" t="str">
        <f t="shared" si="7"/>
        <v>echo augmentSkillLevel1,3, &gt;&gt; .\items\materia\class0024\Dream31.dbr</v>
      </c>
      <c r="U33" t="str">
        <f t="shared" si="7"/>
        <v>echo augmentSkillName1,records/skillsdream/distortionwave_psionicimmolation.dbr,, &gt;&gt; .\items\materia\class0024\Dream31.dbr</v>
      </c>
      <c r="V33" s="5" t="s">
        <v>36</v>
      </c>
      <c r="W33" t="str">
        <f t="shared" si="8"/>
        <v>echo lootName31,DAIL/items/materia/class0024/Dream31.dbr, &gt;&gt; .\items\loottables\dailoneskill0024.dbr</v>
      </c>
      <c r="X33" t="str">
        <f t="shared" si="8"/>
        <v>echo lootWeight31,1, &gt;&gt; .\items\loottables\dailoneskill0024.dbr</v>
      </c>
      <c r="Y33" s="5" t="s">
        <v>36</v>
      </c>
      <c r="Z33" t="str">
        <f t="shared" si="9"/>
        <v xml:space="preserve"> dailCompDescDream31=^pDream's Gift of DAIL</v>
      </c>
      <c r="AA33" t="str">
        <f t="shared" si="17"/>
        <v>dailCompTextDream31=^oThis feels warm to the touch, almost familiar ^w(This component only fits into the Medal Slot)</v>
      </c>
      <c r="AB33" s="5" t="s">
        <v>36</v>
      </c>
      <c r="AH33">
        <f t="shared" si="19"/>
        <v>28</v>
      </c>
      <c r="AI33">
        <f t="shared" si="13"/>
        <v>43</v>
      </c>
      <c r="AJ33">
        <f t="shared" si="18"/>
        <v>3</v>
      </c>
    </row>
    <row r="34" spans="1:36" x14ac:dyDescent="0.25">
      <c r="A34" s="5" t="s">
        <v>39</v>
      </c>
      <c r="B34" s="5" t="s">
        <v>30</v>
      </c>
      <c r="C34" s="5" t="str">
        <f t="shared" si="0"/>
        <v>description,dailCompDescDream32,</v>
      </c>
      <c r="D34" s="5" t="str">
        <f t="shared" si="2"/>
        <v>itemText,dailCompTextDream32,</v>
      </c>
      <c r="E34" s="5" t="str">
        <f t="shared" si="14"/>
        <v>augmentSkillLevel1,3,</v>
      </c>
      <c r="F34" s="5" t="str">
        <f t="shared" si="15"/>
        <v>augmentSkillName1,records/skillsdream/psionictouch.dbr,,</v>
      </c>
      <c r="G34" s="7">
        <f t="shared" si="10"/>
        <v>32</v>
      </c>
      <c r="H34" s="8" t="str">
        <f t="shared" si="11"/>
        <v>Dream</v>
      </c>
      <c r="I34" s="3" t="s">
        <v>757</v>
      </c>
      <c r="J34" s="8" t="str">
        <f t="shared" si="20"/>
        <v>class0024</v>
      </c>
      <c r="K34" s="8" t="str">
        <f t="shared" si="20"/>
        <v>dailoneskill0024</v>
      </c>
      <c r="L34" s="5" t="str">
        <f t="shared" si="4"/>
        <v>lootName32,DAIL/items/materia/class0024/Dream32.dbr,</v>
      </c>
      <c r="M34" s="5" t="str">
        <f t="shared" si="5"/>
        <v>lootWeight32,1,</v>
      </c>
      <c r="N34" t="str">
        <f t="shared" si="6"/>
        <v>3</v>
      </c>
      <c r="O34" t="str">
        <f t="shared" si="16"/>
        <v>copy .\dail_base3.dbr .\items\materia\class0024\Dream32.dbr /y</v>
      </c>
      <c r="P34" t="str">
        <f t="shared" si="7"/>
        <v>echo relicBitmap,items/craftingparts/components/component_a52_bristlyfur_b.tex, &gt;&gt; .\items\materia\class0024\Dream32.dbr</v>
      </c>
      <c r="Q34" t="str">
        <f t="shared" si="7"/>
        <v>echo itemCost,500000, &gt;&gt; .\items\materia\class0024\Dream32.dbr</v>
      </c>
      <c r="R34" t="str">
        <f t="shared" si="7"/>
        <v>echo description,dailCompDescDream32, &gt;&gt; .\items\materia\class0024\Dream32.dbr</v>
      </c>
      <c r="S34" t="str">
        <f t="shared" si="7"/>
        <v>echo itemText,dailCompTextDream32, &gt;&gt; .\items\materia\class0024\Dream32.dbr</v>
      </c>
      <c r="T34" t="str">
        <f t="shared" si="7"/>
        <v>echo augmentSkillLevel1,3, &gt;&gt; .\items\materia\class0024\Dream32.dbr</v>
      </c>
      <c r="U34" t="str">
        <f t="shared" si="7"/>
        <v>echo augmentSkillName1,records/skillsdream/psionictouch.dbr,, &gt;&gt; .\items\materia\class0024\Dream32.dbr</v>
      </c>
      <c r="V34" s="5" t="s">
        <v>36</v>
      </c>
      <c r="W34" t="str">
        <f t="shared" si="8"/>
        <v>echo lootName32,DAIL/items/materia/class0024/Dream32.dbr, &gt;&gt; .\items\loottables\dailoneskill0024.dbr</v>
      </c>
      <c r="X34" t="str">
        <f t="shared" si="8"/>
        <v>echo lootWeight32,1, &gt;&gt; .\items\loottables\dailoneskill0024.dbr</v>
      </c>
      <c r="Y34" s="5" t="s">
        <v>36</v>
      </c>
      <c r="Z34" t="str">
        <f t="shared" si="9"/>
        <v xml:space="preserve"> dailCompDescDream32=^pDream's Gift of DAIL</v>
      </c>
      <c r="AA34" t="str">
        <f t="shared" si="17"/>
        <v>dailCompTextDream32=^oThis feels warm to the touch, almost familiar ^w(This component only fits into the Medal Slot)</v>
      </c>
      <c r="AB34" s="5" t="s">
        <v>36</v>
      </c>
      <c r="AH34">
        <f t="shared" si="19"/>
        <v>29</v>
      </c>
      <c r="AI34">
        <f t="shared" si="13"/>
        <v>23</v>
      </c>
      <c r="AJ34">
        <f t="shared" si="18"/>
        <v>3</v>
      </c>
    </row>
    <row r="35" spans="1:36" x14ac:dyDescent="0.25">
      <c r="A35" s="5" t="s">
        <v>39</v>
      </c>
      <c r="B35" s="5" t="s">
        <v>30</v>
      </c>
      <c r="C35" s="5" t="str">
        <f t="shared" si="0"/>
        <v>description,dailCompDescDream33,</v>
      </c>
      <c r="D35" s="5" t="str">
        <f t="shared" si="2"/>
        <v>itemText,dailCompTextDream33,</v>
      </c>
      <c r="E35" s="5" t="str">
        <f t="shared" si="14"/>
        <v>augmentSkillLevel1,3,</v>
      </c>
      <c r="F35" s="5" t="str">
        <f t="shared" si="15"/>
        <v>augmentSkillName1,records/skillsdream/psionictouch_psionicburn.dbr,,</v>
      </c>
      <c r="G35" s="7">
        <f t="shared" si="10"/>
        <v>33</v>
      </c>
      <c r="H35" s="8" t="str">
        <f t="shared" si="11"/>
        <v>Dream</v>
      </c>
      <c r="I35" s="3" t="s">
        <v>758</v>
      </c>
      <c r="J35" s="8" t="str">
        <f t="shared" si="20"/>
        <v>class0024</v>
      </c>
      <c r="K35" s="8" t="str">
        <f t="shared" si="20"/>
        <v>dailoneskill0024</v>
      </c>
      <c r="L35" s="5" t="str">
        <f t="shared" si="4"/>
        <v>lootName33,DAIL/items/materia/class0024/Dream33.dbr,</v>
      </c>
      <c r="M35" s="5" t="str">
        <f t="shared" si="5"/>
        <v>lootWeight33,1,</v>
      </c>
      <c r="N35" t="str">
        <f t="shared" si="6"/>
        <v>3</v>
      </c>
      <c r="O35" t="str">
        <f t="shared" si="16"/>
        <v>copy .\dail_base3.dbr .\items\materia\class0024\Dream33.dbr /y</v>
      </c>
      <c r="P35" t="str">
        <f t="shared" si="7"/>
        <v>echo relicBitmap,items/craftingparts/components/component_a52_bristlyfur_b.tex, &gt;&gt; .\items\materia\class0024\Dream33.dbr</v>
      </c>
      <c r="Q35" t="str">
        <f t="shared" si="7"/>
        <v>echo itemCost,500000, &gt;&gt; .\items\materia\class0024\Dream33.dbr</v>
      </c>
      <c r="R35" t="str">
        <f t="shared" si="7"/>
        <v>echo description,dailCompDescDream33, &gt;&gt; .\items\materia\class0024\Dream33.dbr</v>
      </c>
      <c r="S35" t="str">
        <f t="shared" si="7"/>
        <v>echo itemText,dailCompTextDream33, &gt;&gt; .\items\materia\class0024\Dream33.dbr</v>
      </c>
      <c r="T35" t="str">
        <f t="shared" si="7"/>
        <v>echo augmentSkillLevel1,3, &gt;&gt; .\items\materia\class0024\Dream33.dbr</v>
      </c>
      <c r="U35" t="str">
        <f t="shared" si="7"/>
        <v>echo augmentSkillName1,records/skillsdream/psionictouch_psionicburn.dbr,, &gt;&gt; .\items\materia\class0024\Dream33.dbr</v>
      </c>
      <c r="V35" s="5" t="s">
        <v>36</v>
      </c>
      <c r="W35" t="str">
        <f t="shared" si="8"/>
        <v>echo lootName33,DAIL/items/materia/class0024/Dream33.dbr, &gt;&gt; .\items\loottables\dailoneskill0024.dbr</v>
      </c>
      <c r="X35" t="str">
        <f t="shared" si="8"/>
        <v>echo lootWeight33,1, &gt;&gt; .\items\loottables\dailoneskill0024.dbr</v>
      </c>
      <c r="Y35" s="5" t="s">
        <v>36</v>
      </c>
      <c r="Z35" t="str">
        <f t="shared" si="9"/>
        <v xml:space="preserve"> dailCompDescDream33=^pDream's Gift of DAIL</v>
      </c>
      <c r="AA35" t="str">
        <f t="shared" si="17"/>
        <v>dailCompTextDream33=^oThis feels warm to the touch, almost familiar ^w(This component only fits into the Medal Slot)</v>
      </c>
      <c r="AB35" s="5" t="s">
        <v>36</v>
      </c>
      <c r="AH35">
        <f t="shared" si="19"/>
        <v>30</v>
      </c>
      <c r="AI35">
        <f t="shared" si="13"/>
        <v>35</v>
      </c>
      <c r="AJ35">
        <f t="shared" si="18"/>
        <v>3</v>
      </c>
    </row>
    <row r="36" spans="1:36" x14ac:dyDescent="0.25">
      <c r="A36" s="5" t="s">
        <v>39</v>
      </c>
      <c r="B36" s="5" t="s">
        <v>30</v>
      </c>
      <c r="C36" s="5" t="str">
        <f t="shared" si="0"/>
        <v>description,dailCompDescDream34,</v>
      </c>
      <c r="D36" s="5" t="str">
        <f t="shared" si="2"/>
        <v>itemText,dailCompTextDream34,</v>
      </c>
      <c r="E36" s="5" t="str">
        <f t="shared" si="14"/>
        <v>augmentSkillLevel1,3,</v>
      </c>
      <c r="F36" s="5" t="str">
        <f t="shared" si="15"/>
        <v>augmentSkillName1,records/skillsdream/distortionfield.dbr,,</v>
      </c>
      <c r="G36" s="7">
        <f t="shared" si="10"/>
        <v>34</v>
      </c>
      <c r="H36" s="8" t="str">
        <f t="shared" si="11"/>
        <v>Dream</v>
      </c>
      <c r="I36" s="3" t="s">
        <v>759</v>
      </c>
      <c r="J36" s="8" t="str">
        <f t="shared" si="20"/>
        <v>class0024</v>
      </c>
      <c r="K36" s="8" t="str">
        <f t="shared" si="20"/>
        <v>dailoneskill0024</v>
      </c>
      <c r="L36" s="5" t="str">
        <f t="shared" si="4"/>
        <v>lootName34,DAIL/items/materia/class0024/Dream34.dbr,</v>
      </c>
      <c r="M36" s="5" t="str">
        <f t="shared" si="5"/>
        <v>lootWeight34,1,</v>
      </c>
      <c r="N36" t="str">
        <f t="shared" si="6"/>
        <v>3</v>
      </c>
      <c r="O36" t="str">
        <f t="shared" si="16"/>
        <v>copy .\dail_base3.dbr .\items\materia\class0024\Dream34.dbr /y</v>
      </c>
      <c r="P36" t="str">
        <f t="shared" si="7"/>
        <v>echo relicBitmap,items/craftingparts/components/component_a52_bristlyfur_b.tex, &gt;&gt; .\items\materia\class0024\Dream34.dbr</v>
      </c>
      <c r="Q36" t="str">
        <f t="shared" si="7"/>
        <v>echo itemCost,500000, &gt;&gt; .\items\materia\class0024\Dream34.dbr</v>
      </c>
      <c r="R36" t="str">
        <f t="shared" si="7"/>
        <v>echo description,dailCompDescDream34, &gt;&gt; .\items\materia\class0024\Dream34.dbr</v>
      </c>
      <c r="S36" t="str">
        <f t="shared" si="7"/>
        <v>echo itemText,dailCompTextDream34, &gt;&gt; .\items\materia\class0024\Dream34.dbr</v>
      </c>
      <c r="T36" t="str">
        <f t="shared" si="7"/>
        <v>echo augmentSkillLevel1,3, &gt;&gt; .\items\materia\class0024\Dream34.dbr</v>
      </c>
      <c r="U36" t="str">
        <f t="shared" si="7"/>
        <v>echo augmentSkillName1,records/skillsdream/distortionfield.dbr,, &gt;&gt; .\items\materia\class0024\Dream34.dbr</v>
      </c>
      <c r="V36" s="5" t="s">
        <v>36</v>
      </c>
      <c r="W36" t="str">
        <f t="shared" si="8"/>
        <v>echo lootName34,DAIL/items/materia/class0024/Dream34.dbr, &gt;&gt; .\items\loottables\dailoneskill0024.dbr</v>
      </c>
      <c r="X36" t="str">
        <f t="shared" si="8"/>
        <v>echo lootWeight34,1, &gt;&gt; .\items\loottables\dailoneskill0024.dbr</v>
      </c>
      <c r="Y36" s="5" t="s">
        <v>36</v>
      </c>
      <c r="Z36" t="str">
        <f t="shared" si="9"/>
        <v xml:space="preserve"> dailCompDescDream34=^pDream's Gift of DAIL</v>
      </c>
      <c r="AA36" t="str">
        <f t="shared" si="17"/>
        <v>dailCompTextDream34=^oThis feels warm to the touch, almost familiar ^w(This component only fits into the Medal Slot)</v>
      </c>
      <c r="AB36" s="5" t="s">
        <v>36</v>
      </c>
      <c r="AH36">
        <f t="shared" si="19"/>
        <v>31</v>
      </c>
      <c r="AI36">
        <f t="shared" si="13"/>
        <v>26</v>
      </c>
      <c r="AJ36">
        <f t="shared" si="18"/>
        <v>3</v>
      </c>
    </row>
    <row r="37" spans="1:36" x14ac:dyDescent="0.25">
      <c r="A37" s="5" t="s">
        <v>39</v>
      </c>
      <c r="B37" s="5" t="s">
        <v>30</v>
      </c>
      <c r="C37" s="5" t="str">
        <f t="shared" si="0"/>
        <v>description,dailCompDescDream35,</v>
      </c>
      <c r="D37" s="5" t="str">
        <f t="shared" si="2"/>
        <v>itemText,dailCompTextDream35,</v>
      </c>
      <c r="E37" s="5" t="str">
        <f t="shared" si="14"/>
        <v>augmentSkillLevel1,3,</v>
      </c>
      <c r="F37" s="5" t="str">
        <f t="shared" si="15"/>
        <v>augmentSkillName1,records/skillsdream/sandsofsleep.dbr,,</v>
      </c>
      <c r="G37" s="7">
        <f t="shared" si="10"/>
        <v>35</v>
      </c>
      <c r="H37" s="8" t="str">
        <f t="shared" si="11"/>
        <v>Dream</v>
      </c>
      <c r="I37" s="3" t="s">
        <v>760</v>
      </c>
      <c r="J37" s="8" t="str">
        <f t="shared" ref="J37:K52" si="21">J36</f>
        <v>class0024</v>
      </c>
      <c r="K37" s="8" t="str">
        <f t="shared" si="21"/>
        <v>dailoneskill0024</v>
      </c>
      <c r="L37" s="5" t="str">
        <f t="shared" si="4"/>
        <v>lootName35,DAIL/items/materia/class0024/Dream35.dbr,</v>
      </c>
      <c r="M37" s="5" t="str">
        <f t="shared" si="5"/>
        <v>lootWeight35,1,</v>
      </c>
      <c r="N37" t="str">
        <f t="shared" si="6"/>
        <v>3</v>
      </c>
      <c r="O37" t="str">
        <f t="shared" si="16"/>
        <v>copy .\dail_base3.dbr .\items\materia\class0024\Dream35.dbr /y</v>
      </c>
      <c r="P37" t="str">
        <f t="shared" si="7"/>
        <v>echo relicBitmap,items/craftingparts/components/component_a52_bristlyfur_b.tex, &gt;&gt; .\items\materia\class0024\Dream35.dbr</v>
      </c>
      <c r="Q37" t="str">
        <f t="shared" si="7"/>
        <v>echo itemCost,500000, &gt;&gt; .\items\materia\class0024\Dream35.dbr</v>
      </c>
      <c r="R37" t="str">
        <f t="shared" si="7"/>
        <v>echo description,dailCompDescDream35, &gt;&gt; .\items\materia\class0024\Dream35.dbr</v>
      </c>
      <c r="S37" t="str">
        <f t="shared" si="7"/>
        <v>echo itemText,dailCompTextDream35, &gt;&gt; .\items\materia\class0024\Dream35.dbr</v>
      </c>
      <c r="T37" t="str">
        <f t="shared" si="7"/>
        <v>echo augmentSkillLevel1,3, &gt;&gt; .\items\materia\class0024\Dream35.dbr</v>
      </c>
      <c r="U37" t="str">
        <f t="shared" si="7"/>
        <v>echo augmentSkillName1,records/skillsdream/sandsofsleep.dbr,, &gt;&gt; .\items\materia\class0024\Dream35.dbr</v>
      </c>
      <c r="V37" s="5" t="s">
        <v>36</v>
      </c>
      <c r="W37" t="str">
        <f t="shared" si="8"/>
        <v>echo lootName35,DAIL/items/materia/class0024/Dream35.dbr, &gt;&gt; .\items\loottables\dailoneskill0024.dbr</v>
      </c>
      <c r="X37" t="str">
        <f t="shared" si="8"/>
        <v>echo lootWeight35,1, &gt;&gt; .\items\loottables\dailoneskill0024.dbr</v>
      </c>
      <c r="Y37" s="5" t="s">
        <v>36</v>
      </c>
      <c r="Z37" t="str">
        <f t="shared" si="9"/>
        <v xml:space="preserve"> dailCompDescDream35=^pDream's Gift of DAIL</v>
      </c>
      <c r="AA37" t="str">
        <f t="shared" si="17"/>
        <v>dailCompTextDream35=^oThis feels warm to the touch, almost familiar ^w(This component only fits into the Medal Slot)</v>
      </c>
      <c r="AB37" s="5" t="s">
        <v>36</v>
      </c>
      <c r="AH37">
        <f t="shared" si="19"/>
        <v>32</v>
      </c>
      <c r="AI37">
        <f t="shared" si="13"/>
        <v>23</v>
      </c>
      <c r="AJ37">
        <f t="shared" si="18"/>
        <v>3</v>
      </c>
    </row>
    <row r="38" spans="1:36" x14ac:dyDescent="0.25">
      <c r="A38" s="5" t="s">
        <v>39</v>
      </c>
      <c r="B38" s="5" t="s">
        <v>30</v>
      </c>
      <c r="C38" s="5" t="str">
        <f t="shared" si="0"/>
        <v>description,dailCompDescDream36,</v>
      </c>
      <c r="D38" s="5" t="str">
        <f t="shared" si="2"/>
        <v>itemText,dailCompTextDream36,</v>
      </c>
      <c r="E38" s="5" t="str">
        <f t="shared" si="14"/>
        <v>augmentSkillLevel1,3,</v>
      </c>
      <c r="F38" s="5" t="str">
        <f t="shared" si="15"/>
        <v>augmentSkillName1,records/skillsdream/nightmare.dbr,,</v>
      </c>
      <c r="G38" s="7">
        <f t="shared" si="10"/>
        <v>36</v>
      </c>
      <c r="H38" s="8" t="str">
        <f t="shared" si="11"/>
        <v>Dream</v>
      </c>
      <c r="I38" s="3" t="s">
        <v>761</v>
      </c>
      <c r="J38" s="8" t="str">
        <f t="shared" si="21"/>
        <v>class0024</v>
      </c>
      <c r="K38" s="8" t="str">
        <f t="shared" si="21"/>
        <v>dailoneskill0024</v>
      </c>
      <c r="L38" s="5" t="str">
        <f t="shared" si="4"/>
        <v>lootName36,DAIL/items/materia/class0024/Dream36.dbr,</v>
      </c>
      <c r="M38" s="5" t="str">
        <f t="shared" si="5"/>
        <v>lootWeight36,1,</v>
      </c>
      <c r="N38" t="str">
        <f t="shared" si="6"/>
        <v>3</v>
      </c>
      <c r="O38" t="str">
        <f t="shared" si="16"/>
        <v>copy .\dail_base3.dbr .\items\materia\class0024\Dream36.dbr /y</v>
      </c>
      <c r="P38" t="str">
        <f t="shared" si="7"/>
        <v>echo relicBitmap,items/craftingparts/components/component_a52_bristlyfur_b.tex, &gt;&gt; .\items\materia\class0024\Dream36.dbr</v>
      </c>
      <c r="Q38" t="str">
        <f t="shared" si="7"/>
        <v>echo itemCost,500000, &gt;&gt; .\items\materia\class0024\Dream36.dbr</v>
      </c>
      <c r="R38" t="str">
        <f t="shared" si="7"/>
        <v>echo description,dailCompDescDream36, &gt;&gt; .\items\materia\class0024\Dream36.dbr</v>
      </c>
      <c r="S38" t="str">
        <f t="shared" si="7"/>
        <v>echo itemText,dailCompTextDream36, &gt;&gt; .\items\materia\class0024\Dream36.dbr</v>
      </c>
      <c r="T38" t="str">
        <f t="shared" si="7"/>
        <v>echo augmentSkillLevel1,3, &gt;&gt; .\items\materia\class0024\Dream36.dbr</v>
      </c>
      <c r="U38" t="str">
        <f t="shared" si="7"/>
        <v>echo augmentSkillName1,records/skillsdream/nightmare.dbr,, &gt;&gt; .\items\materia\class0024\Dream36.dbr</v>
      </c>
      <c r="V38" s="5" t="s">
        <v>36</v>
      </c>
      <c r="W38" t="str">
        <f t="shared" si="8"/>
        <v>echo lootName36,DAIL/items/materia/class0024/Dream36.dbr, &gt;&gt; .\items\loottables\dailoneskill0024.dbr</v>
      </c>
      <c r="X38" t="str">
        <f t="shared" si="8"/>
        <v>echo lootWeight36,1, &gt;&gt; .\items\loottables\dailoneskill0024.dbr</v>
      </c>
      <c r="Y38" s="5" t="s">
        <v>36</v>
      </c>
      <c r="Z38" t="str">
        <f t="shared" si="9"/>
        <v xml:space="preserve"> dailCompDescDream36=^pDream's Gift of DAIL</v>
      </c>
      <c r="AA38" t="str">
        <f t="shared" si="17"/>
        <v>dailCompTextDream36=^oThis feels warm to the touch, almost familiar ^w(This component only fits into the Medal Slot)</v>
      </c>
      <c r="AB38" s="5" t="s">
        <v>36</v>
      </c>
      <c r="AH38">
        <f t="shared" si="19"/>
        <v>33</v>
      </c>
      <c r="AI38">
        <f t="shared" si="13"/>
        <v>20</v>
      </c>
      <c r="AJ38">
        <f t="shared" si="18"/>
        <v>3</v>
      </c>
    </row>
    <row r="39" spans="1:36" x14ac:dyDescent="0.25">
      <c r="A39" s="5" t="s">
        <v>39</v>
      </c>
      <c r="B39" s="5" t="s">
        <v>30</v>
      </c>
      <c r="C39" s="5" t="str">
        <f t="shared" si="0"/>
        <v>description,dailCompDescDream37,</v>
      </c>
      <c r="D39" s="5" t="str">
        <f t="shared" si="2"/>
        <v>itemText,dailCompTextDream37,</v>
      </c>
      <c r="E39" s="5" t="str">
        <f t="shared" si="14"/>
        <v>augmentSkillLevel1,3,</v>
      </c>
      <c r="F39" s="5" t="str">
        <f t="shared" si="15"/>
        <v>augmentSkillName1,records/skillsdream/nightmare_petmodifier_hypnoticgaze.dbr,,</v>
      </c>
      <c r="G39" s="7">
        <f t="shared" si="10"/>
        <v>37</v>
      </c>
      <c r="H39" s="8" t="str">
        <f t="shared" si="11"/>
        <v>Dream</v>
      </c>
      <c r="I39" s="3" t="s">
        <v>762</v>
      </c>
      <c r="J39" s="8" t="str">
        <f t="shared" si="21"/>
        <v>class0024</v>
      </c>
      <c r="K39" s="8" t="str">
        <f t="shared" si="21"/>
        <v>dailoneskill0024</v>
      </c>
      <c r="L39" s="5" t="str">
        <f t="shared" si="4"/>
        <v>lootName37,DAIL/items/materia/class0024/Dream37.dbr,</v>
      </c>
      <c r="M39" s="5" t="str">
        <f t="shared" si="5"/>
        <v>lootWeight37,1,</v>
      </c>
      <c r="N39" t="str">
        <f t="shared" si="6"/>
        <v>3</v>
      </c>
      <c r="O39" t="str">
        <f t="shared" si="16"/>
        <v>copy .\dail_base3.dbr .\items\materia\class0024\Dream37.dbr /y</v>
      </c>
      <c r="P39" t="str">
        <f t="shared" si="7"/>
        <v>echo relicBitmap,items/craftingparts/components/component_a52_bristlyfur_b.tex, &gt;&gt; .\items\materia\class0024\Dream37.dbr</v>
      </c>
      <c r="Q39" t="str">
        <f t="shared" si="7"/>
        <v>echo itemCost,500000, &gt;&gt; .\items\materia\class0024\Dream37.dbr</v>
      </c>
      <c r="R39" t="str">
        <f t="shared" si="7"/>
        <v>echo description,dailCompDescDream37, &gt;&gt; .\items\materia\class0024\Dream37.dbr</v>
      </c>
      <c r="S39" t="str">
        <f t="shared" si="7"/>
        <v>echo itemText,dailCompTextDream37, &gt;&gt; .\items\materia\class0024\Dream37.dbr</v>
      </c>
      <c r="T39" t="str">
        <f t="shared" si="7"/>
        <v>echo augmentSkillLevel1,3, &gt;&gt; .\items\materia\class0024\Dream37.dbr</v>
      </c>
      <c r="U39" t="str">
        <f t="shared" si="7"/>
        <v>echo augmentSkillName1,records/skillsdream/nightmare_petmodifier_hypnoticgaze.dbr,, &gt;&gt; .\items\materia\class0024\Dream37.dbr</v>
      </c>
      <c r="V39" s="5" t="s">
        <v>36</v>
      </c>
      <c r="W39" t="str">
        <f t="shared" si="8"/>
        <v>echo lootName37,DAIL/items/materia/class0024/Dream37.dbr, &gt;&gt; .\items\loottables\dailoneskill0024.dbr</v>
      </c>
      <c r="X39" t="str">
        <f t="shared" si="8"/>
        <v>echo lootWeight37,1, &gt;&gt; .\items\loottables\dailoneskill0024.dbr</v>
      </c>
      <c r="Y39" s="5" t="s">
        <v>36</v>
      </c>
      <c r="Z39" t="str">
        <f t="shared" si="9"/>
        <v xml:space="preserve"> dailCompDescDream37=^pDream's Gift of DAIL</v>
      </c>
      <c r="AA39" t="str">
        <f t="shared" si="17"/>
        <v>dailCompTextDream37=^oThis feels warm to the touch, almost familiar ^w(This component only fits into the Medal Slot)</v>
      </c>
      <c r="AB39" s="5" t="s">
        <v>36</v>
      </c>
      <c r="AH39">
        <f t="shared" si="19"/>
        <v>34</v>
      </c>
      <c r="AI39">
        <f t="shared" si="13"/>
        <v>45</v>
      </c>
      <c r="AJ39">
        <f t="shared" si="18"/>
        <v>3</v>
      </c>
    </row>
    <row r="40" spans="1:36" x14ac:dyDescent="0.25">
      <c r="A40" s="5" t="s">
        <v>39</v>
      </c>
      <c r="B40" s="5" t="s">
        <v>30</v>
      </c>
      <c r="C40" s="5" t="str">
        <f t="shared" si="0"/>
        <v>description,dailCompDescDream38,</v>
      </c>
      <c r="D40" s="5" t="str">
        <f t="shared" si="2"/>
        <v>itemText,dailCompTextDream38,</v>
      </c>
      <c r="E40" s="5" t="str">
        <f t="shared" si="14"/>
        <v>augmentSkillLevel1,3,</v>
      </c>
      <c r="F40" s="5" t="str">
        <f t="shared" si="15"/>
        <v>augmentSkillName1,records/skillsdream/nightmare_petmodifier_mastermind.dbr,,</v>
      </c>
      <c r="G40" s="7">
        <f t="shared" si="10"/>
        <v>38</v>
      </c>
      <c r="H40" s="8" t="str">
        <f t="shared" si="11"/>
        <v>Dream</v>
      </c>
      <c r="I40" s="3" t="s">
        <v>763</v>
      </c>
      <c r="J40" s="8" t="str">
        <f t="shared" si="21"/>
        <v>class0024</v>
      </c>
      <c r="K40" s="8" t="str">
        <f t="shared" si="21"/>
        <v>dailoneskill0024</v>
      </c>
      <c r="L40" s="5" t="str">
        <f t="shared" si="4"/>
        <v>lootName38,DAIL/items/materia/class0024/Dream38.dbr,</v>
      </c>
      <c r="M40" s="5" t="str">
        <f t="shared" si="5"/>
        <v>lootWeight38,1,</v>
      </c>
      <c r="N40" t="str">
        <f t="shared" si="6"/>
        <v>3</v>
      </c>
      <c r="O40" t="str">
        <f t="shared" si="16"/>
        <v>copy .\dail_base3.dbr .\items\materia\class0024\Dream38.dbr /y</v>
      </c>
      <c r="P40" t="str">
        <f t="shared" si="7"/>
        <v>echo relicBitmap,items/craftingparts/components/component_a52_bristlyfur_b.tex, &gt;&gt; .\items\materia\class0024\Dream38.dbr</v>
      </c>
      <c r="Q40" t="str">
        <f t="shared" si="7"/>
        <v>echo itemCost,500000, &gt;&gt; .\items\materia\class0024\Dream38.dbr</v>
      </c>
      <c r="R40" t="str">
        <f t="shared" si="7"/>
        <v>echo description,dailCompDescDream38, &gt;&gt; .\items\materia\class0024\Dream38.dbr</v>
      </c>
      <c r="S40" t="str">
        <f t="shared" si="7"/>
        <v>echo itemText,dailCompTextDream38, &gt;&gt; .\items\materia\class0024\Dream38.dbr</v>
      </c>
      <c r="T40" t="str">
        <f t="shared" si="7"/>
        <v>echo augmentSkillLevel1,3, &gt;&gt; .\items\materia\class0024\Dream38.dbr</v>
      </c>
      <c r="U40" t="str">
        <f t="shared" si="7"/>
        <v>echo augmentSkillName1,records/skillsdream/nightmare_petmodifier_mastermind.dbr,, &gt;&gt; .\items\materia\class0024\Dream38.dbr</v>
      </c>
      <c r="V40" s="5" t="s">
        <v>36</v>
      </c>
      <c r="W40" t="str">
        <f t="shared" si="8"/>
        <v>echo lootName38,DAIL/items/materia/class0024/Dream38.dbr, &gt;&gt; .\items\loottables\dailoneskill0024.dbr</v>
      </c>
      <c r="X40" t="str">
        <f t="shared" si="8"/>
        <v>echo lootWeight38,1, &gt;&gt; .\items\loottables\dailoneskill0024.dbr</v>
      </c>
      <c r="Y40" s="5" t="s">
        <v>36</v>
      </c>
      <c r="Z40" t="str">
        <f t="shared" si="9"/>
        <v xml:space="preserve"> dailCompDescDream38=^pDream's Gift of DAIL</v>
      </c>
      <c r="AA40" t="str">
        <f t="shared" si="17"/>
        <v>dailCompTextDream38=^oThis feels warm to the touch, almost familiar ^w(This component only fits into the Medal Slot)</v>
      </c>
      <c r="AB40" s="5" t="s">
        <v>36</v>
      </c>
      <c r="AH40">
        <f t="shared" si="19"/>
        <v>35</v>
      </c>
      <c r="AI40">
        <f t="shared" si="13"/>
        <v>43</v>
      </c>
      <c r="AJ40">
        <f t="shared" si="18"/>
        <v>3</v>
      </c>
    </row>
    <row r="41" spans="1:36" x14ac:dyDescent="0.25">
      <c r="A41" s="5" t="s">
        <v>39</v>
      </c>
      <c r="B41" s="5" t="s">
        <v>30</v>
      </c>
      <c r="C41" s="5" t="str">
        <f t="shared" si="0"/>
        <v>description,dailCompDescDream39,</v>
      </c>
      <c r="D41" s="5" t="str">
        <f t="shared" si="2"/>
        <v>itemText,dailCompTextDream39,</v>
      </c>
      <c r="E41" s="5" t="str">
        <f t="shared" si="14"/>
        <v>augmentSkillLevel1,3,</v>
      </c>
      <c r="F41" s="5" t="str">
        <f t="shared" si="15"/>
        <v>augmentSkillName1,records/skillsdream/luciddream.dbr,,</v>
      </c>
      <c r="G41" s="7">
        <f t="shared" si="10"/>
        <v>39</v>
      </c>
      <c r="H41" s="8" t="str">
        <f t="shared" si="11"/>
        <v>Dream</v>
      </c>
      <c r="I41" s="3" t="s">
        <v>764</v>
      </c>
      <c r="J41" s="8" t="str">
        <f t="shared" si="21"/>
        <v>class0024</v>
      </c>
      <c r="K41" s="8" t="str">
        <f t="shared" si="21"/>
        <v>dailoneskill0024</v>
      </c>
      <c r="L41" s="5" t="str">
        <f t="shared" si="4"/>
        <v>lootName39,DAIL/items/materia/class0024/Dream39.dbr,</v>
      </c>
      <c r="M41" s="5" t="str">
        <f t="shared" si="5"/>
        <v>lootWeight39,1,</v>
      </c>
      <c r="N41" t="str">
        <f t="shared" si="6"/>
        <v>3</v>
      </c>
      <c r="O41" t="str">
        <f t="shared" si="16"/>
        <v>copy .\dail_base3.dbr .\items\materia\class0024\Dream39.dbr /y</v>
      </c>
      <c r="P41" t="str">
        <f t="shared" si="7"/>
        <v>echo relicBitmap,items/craftingparts/components/component_a52_bristlyfur_b.tex, &gt;&gt; .\items\materia\class0024\Dream39.dbr</v>
      </c>
      <c r="Q41" t="str">
        <f t="shared" si="7"/>
        <v>echo itemCost,500000, &gt;&gt; .\items\materia\class0024\Dream39.dbr</v>
      </c>
      <c r="R41" t="str">
        <f t="shared" si="7"/>
        <v>echo description,dailCompDescDream39, &gt;&gt; .\items\materia\class0024\Dream39.dbr</v>
      </c>
      <c r="S41" t="str">
        <f t="shared" si="7"/>
        <v>echo itemText,dailCompTextDream39, &gt;&gt; .\items\materia\class0024\Dream39.dbr</v>
      </c>
      <c r="T41" t="str">
        <f t="shared" si="7"/>
        <v>echo augmentSkillLevel1,3, &gt;&gt; .\items\materia\class0024\Dream39.dbr</v>
      </c>
      <c r="U41" t="str">
        <f t="shared" si="7"/>
        <v>echo augmentSkillName1,records/skillsdream/luciddream.dbr,, &gt;&gt; .\items\materia\class0024\Dream39.dbr</v>
      </c>
      <c r="V41" s="5" t="s">
        <v>36</v>
      </c>
      <c r="W41" t="str">
        <f t="shared" si="8"/>
        <v>echo lootName39,DAIL/items/materia/class0024/Dream39.dbr, &gt;&gt; .\items\loottables\dailoneskill0024.dbr</v>
      </c>
      <c r="X41" t="str">
        <f t="shared" si="8"/>
        <v>echo lootWeight39,1, &gt;&gt; .\items\loottables\dailoneskill0024.dbr</v>
      </c>
      <c r="Y41" s="5" t="s">
        <v>36</v>
      </c>
      <c r="Z41" t="str">
        <f t="shared" si="9"/>
        <v xml:space="preserve"> dailCompDescDream39=^pDream's Gift of DAIL</v>
      </c>
      <c r="AA41" t="str">
        <f t="shared" si="17"/>
        <v>dailCompTextDream39=^oThis feels warm to the touch, almost familiar ^w(This component only fits into the Medal Slot)</v>
      </c>
      <c r="AB41" s="5" t="s">
        <v>36</v>
      </c>
      <c r="AH41">
        <f t="shared" si="19"/>
        <v>36</v>
      </c>
      <c r="AI41">
        <f t="shared" si="13"/>
        <v>21</v>
      </c>
      <c r="AJ41">
        <f t="shared" si="18"/>
        <v>3</v>
      </c>
    </row>
    <row r="42" spans="1:36" x14ac:dyDescent="0.25">
      <c r="A42" s="5" t="s">
        <v>39</v>
      </c>
      <c r="B42" s="5" t="s">
        <v>30</v>
      </c>
      <c r="C42" s="5" t="str">
        <f t="shared" si="0"/>
        <v>description,dailCompDescDream40,</v>
      </c>
      <c r="D42" s="5" t="str">
        <f t="shared" si="2"/>
        <v>itemText,dailCompTextDream40,</v>
      </c>
      <c r="E42" s="5" t="str">
        <f t="shared" si="14"/>
        <v>augmentSkillLevel1,3,</v>
      </c>
      <c r="F42" s="5" t="str">
        <f t="shared" si="15"/>
        <v>augmentSkillName1,records/skillsdream/luciddream_premonition.dbr,,</v>
      </c>
      <c r="G42" s="7">
        <f t="shared" si="10"/>
        <v>40</v>
      </c>
      <c r="H42" s="8" t="str">
        <f t="shared" si="11"/>
        <v>Dream</v>
      </c>
      <c r="I42" s="3" t="s">
        <v>765</v>
      </c>
      <c r="J42" s="8" t="str">
        <f t="shared" si="21"/>
        <v>class0024</v>
      </c>
      <c r="K42" s="8" t="str">
        <f t="shared" si="21"/>
        <v>dailoneskill0024</v>
      </c>
      <c r="L42" s="5" t="str">
        <f t="shared" si="4"/>
        <v>lootName40,DAIL/items/materia/class0024/Dream40.dbr,</v>
      </c>
      <c r="M42" s="5" t="str">
        <f t="shared" si="5"/>
        <v>lootWeight40,1,</v>
      </c>
      <c r="N42" t="str">
        <f t="shared" si="6"/>
        <v>3</v>
      </c>
      <c r="O42" t="str">
        <f t="shared" si="16"/>
        <v>copy .\dail_base3.dbr .\items\materia\class0024\Dream40.dbr /y</v>
      </c>
      <c r="P42" t="str">
        <f t="shared" si="7"/>
        <v>echo relicBitmap,items/craftingparts/components/component_a52_bristlyfur_b.tex, &gt;&gt; .\items\materia\class0024\Dream40.dbr</v>
      </c>
      <c r="Q42" t="str">
        <f t="shared" si="7"/>
        <v>echo itemCost,500000, &gt;&gt; .\items\materia\class0024\Dream40.dbr</v>
      </c>
      <c r="R42" t="str">
        <f t="shared" si="7"/>
        <v>echo description,dailCompDescDream40, &gt;&gt; .\items\materia\class0024\Dream40.dbr</v>
      </c>
      <c r="S42" t="str">
        <f t="shared" si="7"/>
        <v>echo itemText,dailCompTextDream40, &gt;&gt; .\items\materia\class0024\Dream40.dbr</v>
      </c>
      <c r="T42" t="str">
        <f t="shared" si="7"/>
        <v>echo augmentSkillLevel1,3, &gt;&gt; .\items\materia\class0024\Dream40.dbr</v>
      </c>
      <c r="U42" t="str">
        <f t="shared" si="7"/>
        <v>echo augmentSkillName1,records/skillsdream/luciddream_premonition.dbr,, &gt;&gt; .\items\materia\class0024\Dream40.dbr</v>
      </c>
      <c r="V42" s="5" t="s">
        <v>36</v>
      </c>
      <c r="W42" t="str">
        <f t="shared" si="8"/>
        <v>echo lootName40,DAIL/items/materia/class0024/Dream40.dbr, &gt;&gt; .\items\loottables\dailoneskill0024.dbr</v>
      </c>
      <c r="X42" t="str">
        <f t="shared" si="8"/>
        <v>echo lootWeight40,1, &gt;&gt; .\items\loottables\dailoneskill0024.dbr</v>
      </c>
      <c r="Y42" s="5" t="s">
        <v>36</v>
      </c>
      <c r="Z42" t="str">
        <f t="shared" si="9"/>
        <v xml:space="preserve"> dailCompDescDream40=^pDream's Gift of DAIL</v>
      </c>
      <c r="AA42" t="str">
        <f t="shared" si="17"/>
        <v>dailCompTextDream40=^oThis feels warm to the touch, almost familiar ^w(This component only fits into the Medal Slot)</v>
      </c>
      <c r="AB42" s="5" t="s">
        <v>36</v>
      </c>
      <c r="AH42">
        <f t="shared" si="19"/>
        <v>37</v>
      </c>
      <c r="AI42">
        <f t="shared" si="13"/>
        <v>33</v>
      </c>
      <c r="AJ42">
        <f t="shared" si="18"/>
        <v>3</v>
      </c>
    </row>
    <row r="43" spans="1:36" x14ac:dyDescent="0.25">
      <c r="A43" s="5" t="s">
        <v>39</v>
      </c>
      <c r="B43" s="5" t="s">
        <v>30</v>
      </c>
      <c r="C43" s="5" t="str">
        <f t="shared" si="0"/>
        <v>description,dailCompDescDream41,</v>
      </c>
      <c r="D43" s="5" t="str">
        <f t="shared" si="2"/>
        <v>itemText,dailCompTextDream41,</v>
      </c>
      <c r="E43" s="5" t="str">
        <f t="shared" si="14"/>
        <v>augmentSkillLevel1,3,</v>
      </c>
      <c r="F43" s="5" t="str">
        <f t="shared" si="15"/>
        <v>augmentSkillName1,records/skillsdream/luciddream_temporalflux.dbr,,</v>
      </c>
      <c r="G43" s="7">
        <f t="shared" si="10"/>
        <v>41</v>
      </c>
      <c r="H43" s="8" t="str">
        <f t="shared" si="11"/>
        <v>Dream</v>
      </c>
      <c r="I43" s="3" t="s">
        <v>766</v>
      </c>
      <c r="J43" s="8" t="str">
        <f t="shared" si="21"/>
        <v>class0024</v>
      </c>
      <c r="K43" s="8" t="str">
        <f t="shared" si="21"/>
        <v>dailoneskill0024</v>
      </c>
      <c r="L43" s="5" t="str">
        <f t="shared" si="4"/>
        <v>lootName41,DAIL/items/materia/class0024/Dream41.dbr,</v>
      </c>
      <c r="M43" s="5" t="str">
        <f t="shared" si="5"/>
        <v>lootWeight41,1,</v>
      </c>
      <c r="N43" t="str">
        <f t="shared" si="6"/>
        <v>3</v>
      </c>
      <c r="O43" t="str">
        <f t="shared" si="16"/>
        <v>copy .\dail_base3.dbr .\items\materia\class0024\Dream41.dbr /y</v>
      </c>
      <c r="P43" t="str">
        <f t="shared" si="7"/>
        <v>echo relicBitmap,items/craftingparts/components/component_a52_bristlyfur_b.tex, &gt;&gt; .\items\materia\class0024\Dream41.dbr</v>
      </c>
      <c r="Q43" t="str">
        <f t="shared" si="7"/>
        <v>echo itemCost,500000, &gt;&gt; .\items\materia\class0024\Dream41.dbr</v>
      </c>
      <c r="R43" t="str">
        <f t="shared" si="7"/>
        <v>echo description,dailCompDescDream41, &gt;&gt; .\items\materia\class0024\Dream41.dbr</v>
      </c>
      <c r="S43" t="str">
        <f t="shared" si="7"/>
        <v>echo itemText,dailCompTextDream41, &gt;&gt; .\items\materia\class0024\Dream41.dbr</v>
      </c>
      <c r="T43" t="str">
        <f t="shared" si="7"/>
        <v>echo augmentSkillLevel1,3, &gt;&gt; .\items\materia\class0024\Dream41.dbr</v>
      </c>
      <c r="U43" t="str">
        <f t="shared" si="7"/>
        <v>echo augmentSkillName1,records/skillsdream/luciddream_temporalflux.dbr,, &gt;&gt; .\items\materia\class0024\Dream41.dbr</v>
      </c>
      <c r="V43" s="5" t="s">
        <v>36</v>
      </c>
      <c r="W43" t="str">
        <f t="shared" si="8"/>
        <v>echo lootName41,DAIL/items/materia/class0024/Dream41.dbr, &gt;&gt; .\items\loottables\dailoneskill0024.dbr</v>
      </c>
      <c r="X43" t="str">
        <f t="shared" si="8"/>
        <v>echo lootWeight41,1, &gt;&gt; .\items\loottables\dailoneskill0024.dbr</v>
      </c>
      <c r="Y43" s="5" t="s">
        <v>36</v>
      </c>
      <c r="Z43" t="str">
        <f t="shared" si="9"/>
        <v xml:space="preserve"> dailCompDescDream41=^pDream's Gift of DAIL</v>
      </c>
      <c r="AA43" t="str">
        <f t="shared" si="17"/>
        <v>dailCompTextDream41=^oThis feels warm to the touch, almost familiar ^w(This component only fits into the Medal Slot)</v>
      </c>
      <c r="AB43" s="5" t="s">
        <v>36</v>
      </c>
      <c r="AH43">
        <f t="shared" si="19"/>
        <v>38</v>
      </c>
      <c r="AI43">
        <f t="shared" si="13"/>
        <v>34</v>
      </c>
      <c r="AJ43">
        <f t="shared" si="18"/>
        <v>3</v>
      </c>
    </row>
    <row r="44" spans="1:36" x14ac:dyDescent="0.25">
      <c r="A44" s="5" t="s">
        <v>39</v>
      </c>
      <c r="B44" s="5" t="s">
        <v>30</v>
      </c>
      <c r="C44" s="5" t="str">
        <f t="shared" si="0"/>
        <v>description,dailCompDescDream42,</v>
      </c>
      <c r="D44" s="5" t="str">
        <f t="shared" si="2"/>
        <v>itemText,dailCompTextDream42,</v>
      </c>
      <c r="E44" s="5" t="str">
        <f t="shared" si="14"/>
        <v>augmentSkillLevel1,3,</v>
      </c>
      <c r="F44" s="5" t="str">
        <f t="shared" si="15"/>
        <v>augmentSkillName1,records/skillsdream/phantomstrike.dbr,,</v>
      </c>
      <c r="G44" s="7">
        <f t="shared" si="10"/>
        <v>42</v>
      </c>
      <c r="H44" s="8" t="str">
        <f t="shared" si="11"/>
        <v>Dream</v>
      </c>
      <c r="I44" s="3" t="s">
        <v>767</v>
      </c>
      <c r="J44" s="8" t="str">
        <f t="shared" si="21"/>
        <v>class0024</v>
      </c>
      <c r="K44" s="8" t="str">
        <f t="shared" si="21"/>
        <v>dailoneskill0024</v>
      </c>
      <c r="L44" s="5" t="str">
        <f t="shared" si="4"/>
        <v>lootName42,DAIL/items/materia/class0024/Dream42.dbr,</v>
      </c>
      <c r="M44" s="5" t="str">
        <f t="shared" si="5"/>
        <v>lootWeight42,1,</v>
      </c>
      <c r="N44" t="str">
        <f t="shared" si="6"/>
        <v>3</v>
      </c>
      <c r="O44" t="str">
        <f t="shared" si="16"/>
        <v>copy .\dail_base3.dbr .\items\materia\class0024\Dream42.dbr /y</v>
      </c>
      <c r="P44" t="str">
        <f t="shared" si="7"/>
        <v>echo relicBitmap,items/craftingparts/components/component_a52_bristlyfur_b.tex, &gt;&gt; .\items\materia\class0024\Dream42.dbr</v>
      </c>
      <c r="Q44" t="str">
        <f t="shared" si="7"/>
        <v>echo itemCost,500000, &gt;&gt; .\items\materia\class0024\Dream42.dbr</v>
      </c>
      <c r="R44" t="str">
        <f t="shared" si="7"/>
        <v>echo description,dailCompDescDream42, &gt;&gt; .\items\materia\class0024\Dream42.dbr</v>
      </c>
      <c r="S44" t="str">
        <f t="shared" si="7"/>
        <v>echo itemText,dailCompTextDream42, &gt;&gt; .\items\materia\class0024\Dream42.dbr</v>
      </c>
      <c r="T44" t="str">
        <f t="shared" si="7"/>
        <v>echo augmentSkillLevel1,3, &gt;&gt; .\items\materia\class0024\Dream42.dbr</v>
      </c>
      <c r="U44" t="str">
        <f t="shared" si="7"/>
        <v>echo augmentSkillName1,records/skillsdream/phantomstrike.dbr,, &gt;&gt; .\items\materia\class0024\Dream42.dbr</v>
      </c>
      <c r="V44" s="5" t="s">
        <v>36</v>
      </c>
      <c r="W44" t="str">
        <f t="shared" si="8"/>
        <v>echo lootName42,DAIL/items/materia/class0024/Dream42.dbr, &gt;&gt; .\items\loottables\dailoneskill0024.dbr</v>
      </c>
      <c r="X44" t="str">
        <f t="shared" si="8"/>
        <v>echo lootWeight42,1, &gt;&gt; .\items\loottables\dailoneskill0024.dbr</v>
      </c>
      <c r="Y44" s="5" t="s">
        <v>36</v>
      </c>
      <c r="Z44" t="str">
        <f t="shared" si="9"/>
        <v xml:space="preserve"> dailCompDescDream42=^pDream's Gift of DAIL</v>
      </c>
      <c r="AA44" t="str">
        <f t="shared" si="17"/>
        <v>dailCompTextDream42=^oThis feels warm to the touch, almost familiar ^w(This component only fits into the Medal Slot)</v>
      </c>
      <c r="AB44" s="5" t="s">
        <v>36</v>
      </c>
      <c r="AH44">
        <f t="shared" si="19"/>
        <v>39</v>
      </c>
      <c r="AI44">
        <f t="shared" si="13"/>
        <v>24</v>
      </c>
      <c r="AJ44">
        <f t="shared" si="18"/>
        <v>3</v>
      </c>
    </row>
    <row r="45" spans="1:36" x14ac:dyDescent="0.25">
      <c r="A45" s="5" t="s">
        <v>39</v>
      </c>
      <c r="B45" s="5" t="s">
        <v>30</v>
      </c>
      <c r="C45" s="5" t="str">
        <f t="shared" si="0"/>
        <v>description,dailCompDescDream43,</v>
      </c>
      <c r="D45" s="5" t="str">
        <f t="shared" si="2"/>
        <v>itemText,dailCompTextDream43,</v>
      </c>
      <c r="E45" s="5" t="str">
        <f t="shared" si="14"/>
        <v>augmentSkillLevel1,5,</v>
      </c>
      <c r="F45" s="5" t="str">
        <f t="shared" si="15"/>
        <v>augmentSkillName1,records/skillsdream/phantomstrike_dreamstealer.dbr,,</v>
      </c>
      <c r="G45" s="7">
        <f t="shared" si="10"/>
        <v>43</v>
      </c>
      <c r="H45" s="8" t="str">
        <f t="shared" si="11"/>
        <v>Dream</v>
      </c>
      <c r="I45" s="3" t="s">
        <v>768</v>
      </c>
      <c r="J45" s="8" t="str">
        <f t="shared" si="21"/>
        <v>class0024</v>
      </c>
      <c r="K45" s="8" t="str">
        <f t="shared" si="21"/>
        <v>dailoneskill0024</v>
      </c>
      <c r="L45" s="5" t="str">
        <f t="shared" si="4"/>
        <v>lootName43,DAIL/items/materia/class0024/Dream43.dbr,</v>
      </c>
      <c r="M45" s="5" t="str">
        <f t="shared" si="5"/>
        <v>lootWeight43,1,</v>
      </c>
      <c r="N45" t="str">
        <f t="shared" si="6"/>
        <v>5</v>
      </c>
      <c r="O45" t="str">
        <f t="shared" si="16"/>
        <v>copy .\dail_base3.dbr .\items\materia\class0024\Dream43.dbr /y</v>
      </c>
      <c r="P45" t="str">
        <f t="shared" si="7"/>
        <v>echo relicBitmap,items/craftingparts/components/component_a52_bristlyfur_b.tex, &gt;&gt; .\items\materia\class0024\Dream43.dbr</v>
      </c>
      <c r="Q45" t="str">
        <f t="shared" si="7"/>
        <v>echo itemCost,500000, &gt;&gt; .\items\materia\class0024\Dream43.dbr</v>
      </c>
      <c r="R45" t="str">
        <f t="shared" si="7"/>
        <v>echo description,dailCompDescDream43, &gt;&gt; .\items\materia\class0024\Dream43.dbr</v>
      </c>
      <c r="S45" t="str">
        <f t="shared" si="7"/>
        <v>echo itemText,dailCompTextDream43, &gt;&gt; .\items\materia\class0024\Dream43.dbr</v>
      </c>
      <c r="T45" t="str">
        <f t="shared" si="7"/>
        <v>echo augmentSkillLevel1,5, &gt;&gt; .\items\materia\class0024\Dream43.dbr</v>
      </c>
      <c r="U45" t="str">
        <f t="shared" si="7"/>
        <v>echo augmentSkillName1,records/skillsdream/phantomstrike_dreamstealer.dbr,, &gt;&gt; .\items\materia\class0024\Dream43.dbr</v>
      </c>
      <c r="V45" s="5" t="s">
        <v>36</v>
      </c>
      <c r="W45" t="str">
        <f t="shared" si="8"/>
        <v>echo lootName43,DAIL/items/materia/class0024/Dream43.dbr, &gt;&gt; .\items\loottables\dailoneskill0024.dbr</v>
      </c>
      <c r="X45" t="str">
        <f t="shared" si="8"/>
        <v>echo lootWeight43,1, &gt;&gt; .\items\loottables\dailoneskill0024.dbr</v>
      </c>
      <c r="Y45" s="5" t="s">
        <v>36</v>
      </c>
      <c r="Z45" t="str">
        <f t="shared" si="9"/>
        <v xml:space="preserve"> dailCompDescDream43=^pDream's Gift of DAIL</v>
      </c>
      <c r="AA45" t="str">
        <f t="shared" si="17"/>
        <v>dailCompTextDream43=^oThis feels warm to the touch, almost familiar ^w(This component only fits into the Medal Slot)</v>
      </c>
      <c r="AB45" s="5" t="s">
        <v>36</v>
      </c>
      <c r="AH45">
        <f t="shared" si="19"/>
        <v>40</v>
      </c>
      <c r="AI45">
        <f t="shared" si="13"/>
        <v>37</v>
      </c>
      <c r="AJ45">
        <f t="shared" si="18"/>
        <v>5</v>
      </c>
    </row>
    <row r="46" spans="1:36" x14ac:dyDescent="0.25">
      <c r="A46" s="5" t="s">
        <v>39</v>
      </c>
      <c r="B46" s="5" t="s">
        <v>30</v>
      </c>
      <c r="C46" s="5" t="str">
        <f t="shared" si="0"/>
        <v>description,dailCompDescDream44,</v>
      </c>
      <c r="D46" s="5" t="str">
        <f t="shared" si="2"/>
        <v>itemText,dailCompTextDream44,</v>
      </c>
      <c r="E46" s="5" t="str">
        <f t="shared" si="14"/>
        <v>augmentSkillLevel1,5,</v>
      </c>
      <c r="F46" s="5" t="str">
        <f t="shared" si="15"/>
        <v>augmentSkillName1,records/skillsdream/tranceofconvalescence.dbr,,</v>
      </c>
      <c r="G46" s="7">
        <f t="shared" si="10"/>
        <v>44</v>
      </c>
      <c r="H46" s="8" t="str">
        <f t="shared" si="11"/>
        <v>Dream</v>
      </c>
      <c r="I46" s="3" t="s">
        <v>749</v>
      </c>
      <c r="J46" s="8" t="str">
        <f t="shared" si="21"/>
        <v>class0024</v>
      </c>
      <c r="K46" s="8" t="str">
        <f t="shared" si="21"/>
        <v>dailoneskill0024</v>
      </c>
      <c r="L46" s="5" t="str">
        <f t="shared" si="4"/>
        <v>lootName44,DAIL/items/materia/class0024/Dream44.dbr,</v>
      </c>
      <c r="M46" s="5" t="str">
        <f t="shared" si="5"/>
        <v>lootWeight44,1,</v>
      </c>
      <c r="N46" t="str">
        <f t="shared" si="6"/>
        <v>5</v>
      </c>
      <c r="O46" t="str">
        <f t="shared" si="16"/>
        <v>copy .\dail_base3.dbr .\items\materia\class0024\Dream44.dbr /y</v>
      </c>
      <c r="P46" t="str">
        <f t="shared" si="7"/>
        <v>echo relicBitmap,items/craftingparts/components/component_a52_bristlyfur_b.tex, &gt;&gt; .\items\materia\class0024\Dream44.dbr</v>
      </c>
      <c r="Q46" t="str">
        <f t="shared" si="7"/>
        <v>echo itemCost,500000, &gt;&gt; .\items\materia\class0024\Dream44.dbr</v>
      </c>
      <c r="R46" t="str">
        <f t="shared" si="7"/>
        <v>echo description,dailCompDescDream44, &gt;&gt; .\items\materia\class0024\Dream44.dbr</v>
      </c>
      <c r="S46" t="str">
        <f t="shared" si="7"/>
        <v>echo itemText,dailCompTextDream44, &gt;&gt; .\items\materia\class0024\Dream44.dbr</v>
      </c>
      <c r="T46" t="str">
        <f t="shared" si="7"/>
        <v>echo augmentSkillLevel1,5, &gt;&gt; .\items\materia\class0024\Dream44.dbr</v>
      </c>
      <c r="U46" t="str">
        <f t="shared" si="7"/>
        <v>echo augmentSkillName1,records/skillsdream/tranceofconvalescence.dbr,, &gt;&gt; .\items\materia\class0024\Dream44.dbr</v>
      </c>
      <c r="V46" s="5" t="s">
        <v>36</v>
      </c>
      <c r="W46" t="str">
        <f t="shared" si="8"/>
        <v>echo lootName44,DAIL/items/materia/class0024/Dream44.dbr, &gt;&gt; .\items\loottables\dailoneskill0024.dbr</v>
      </c>
      <c r="X46" t="str">
        <f t="shared" si="8"/>
        <v>echo lootWeight44,1, &gt;&gt; .\items\loottables\dailoneskill0024.dbr</v>
      </c>
      <c r="Y46" s="5" t="s">
        <v>36</v>
      </c>
      <c r="Z46" t="str">
        <f t="shared" si="9"/>
        <v xml:space="preserve"> dailCompDescDream44=^pDream's Gift of DAIL</v>
      </c>
      <c r="AA46" t="str">
        <f t="shared" si="17"/>
        <v>dailCompTextDream44=^oThis feels warm to the touch, almost familiar ^w(This component only fits into the Medal Slot)</v>
      </c>
      <c r="AB46" s="5" t="s">
        <v>36</v>
      </c>
      <c r="AH46">
        <f t="shared" si="19"/>
        <v>41</v>
      </c>
      <c r="AI46">
        <f t="shared" si="13"/>
        <v>32</v>
      </c>
      <c r="AJ46">
        <f t="shared" si="18"/>
        <v>5</v>
      </c>
    </row>
    <row r="47" spans="1:36" x14ac:dyDescent="0.25">
      <c r="A47" s="5" t="s">
        <v>39</v>
      </c>
      <c r="B47" s="5" t="s">
        <v>30</v>
      </c>
      <c r="C47" s="5" t="str">
        <f t="shared" si="0"/>
        <v>description,dailCompDescDream45,</v>
      </c>
      <c r="D47" s="5" t="str">
        <f t="shared" si="2"/>
        <v>itemText,dailCompTextDream45,</v>
      </c>
      <c r="E47" s="5" t="str">
        <f t="shared" si="14"/>
        <v>augmentSkillLevel1,5,</v>
      </c>
      <c r="F47" s="5" t="str">
        <f t="shared" si="15"/>
        <v>augmentSkillName1,records/skillsdream/tranceofempathy.dbr,,</v>
      </c>
      <c r="G47" s="7">
        <f t="shared" si="10"/>
        <v>45</v>
      </c>
      <c r="H47" s="8" t="str">
        <f t="shared" si="11"/>
        <v>Dream</v>
      </c>
      <c r="I47" s="3" t="s">
        <v>750</v>
      </c>
      <c r="J47" s="8" t="str">
        <f t="shared" si="21"/>
        <v>class0024</v>
      </c>
      <c r="K47" s="8" t="str">
        <f t="shared" si="21"/>
        <v>dailoneskill0024</v>
      </c>
      <c r="L47" s="5" t="str">
        <f t="shared" si="4"/>
        <v>lootName45,DAIL/items/materia/class0024/Dream45.dbr,</v>
      </c>
      <c r="M47" s="5" t="str">
        <f t="shared" si="5"/>
        <v>lootWeight45,1,</v>
      </c>
      <c r="N47" t="str">
        <f t="shared" si="6"/>
        <v>5</v>
      </c>
      <c r="O47" t="str">
        <f t="shared" si="16"/>
        <v>copy .\dail_base3.dbr .\items\materia\class0024\Dream45.dbr /y</v>
      </c>
      <c r="P47" t="str">
        <f t="shared" si="7"/>
        <v>echo relicBitmap,items/craftingparts/components/component_a52_bristlyfur_b.tex, &gt;&gt; .\items\materia\class0024\Dream45.dbr</v>
      </c>
      <c r="Q47" t="str">
        <f t="shared" si="7"/>
        <v>echo itemCost,500000, &gt;&gt; .\items\materia\class0024\Dream45.dbr</v>
      </c>
      <c r="R47" t="str">
        <f t="shared" si="7"/>
        <v>echo description,dailCompDescDream45, &gt;&gt; .\items\materia\class0024\Dream45.dbr</v>
      </c>
      <c r="S47" t="str">
        <f t="shared" si="7"/>
        <v>echo itemText,dailCompTextDream45, &gt;&gt; .\items\materia\class0024\Dream45.dbr</v>
      </c>
      <c r="T47" t="str">
        <f t="shared" si="7"/>
        <v>echo augmentSkillLevel1,5, &gt;&gt; .\items\materia\class0024\Dream45.dbr</v>
      </c>
      <c r="U47" t="str">
        <f t="shared" si="7"/>
        <v>echo augmentSkillName1,records/skillsdream/tranceofempathy.dbr,, &gt;&gt; .\items\materia\class0024\Dream45.dbr</v>
      </c>
      <c r="V47" s="5" t="s">
        <v>36</v>
      </c>
      <c r="W47" t="str">
        <f t="shared" si="8"/>
        <v>echo lootName45,DAIL/items/materia/class0024/Dream45.dbr, &gt;&gt; .\items\loottables\dailoneskill0024.dbr</v>
      </c>
      <c r="X47" t="str">
        <f t="shared" si="8"/>
        <v>echo lootWeight45,1, &gt;&gt; .\items\loottables\dailoneskill0024.dbr</v>
      </c>
      <c r="Y47" s="5" t="s">
        <v>36</v>
      </c>
      <c r="Z47" t="str">
        <f t="shared" si="9"/>
        <v xml:space="preserve"> dailCompDescDream45=^pDream's Gift of DAIL</v>
      </c>
      <c r="AA47" t="str">
        <f t="shared" si="17"/>
        <v>dailCompTextDream45=^oThis feels warm to the touch, almost familiar ^w(This component only fits into the Medal Slot)</v>
      </c>
      <c r="AB47" s="5" t="s">
        <v>36</v>
      </c>
      <c r="AH47">
        <f t="shared" si="19"/>
        <v>42</v>
      </c>
      <c r="AI47">
        <f t="shared" si="13"/>
        <v>26</v>
      </c>
      <c r="AJ47">
        <f t="shared" si="18"/>
        <v>5</v>
      </c>
    </row>
    <row r="48" spans="1:36" x14ac:dyDescent="0.25">
      <c r="A48" s="5" t="s">
        <v>39</v>
      </c>
      <c r="B48" s="5" t="s">
        <v>30</v>
      </c>
      <c r="C48" s="5" t="str">
        <f t="shared" si="0"/>
        <v>description,dailCompDescDream46,</v>
      </c>
      <c r="D48" s="5" t="str">
        <f t="shared" si="2"/>
        <v>itemText,dailCompTextDream46,</v>
      </c>
      <c r="E48" s="5" t="str">
        <f t="shared" si="14"/>
        <v>augmentSkillLevel1,5,</v>
      </c>
      <c r="F48" s="5" t="str">
        <f t="shared" si="15"/>
        <v>augmentSkillName1,records/skillsdream/tranceofwrath.dbr,,</v>
      </c>
      <c r="G48" s="7">
        <f t="shared" si="10"/>
        <v>46</v>
      </c>
      <c r="H48" s="8" t="str">
        <f t="shared" si="11"/>
        <v>Dream</v>
      </c>
      <c r="I48" s="3" t="s">
        <v>751</v>
      </c>
      <c r="J48" s="8" t="str">
        <f t="shared" si="21"/>
        <v>class0024</v>
      </c>
      <c r="K48" s="8" t="str">
        <f t="shared" si="21"/>
        <v>dailoneskill0024</v>
      </c>
      <c r="L48" s="5" t="str">
        <f t="shared" si="4"/>
        <v>lootName46,DAIL/items/materia/class0024/Dream46.dbr,</v>
      </c>
      <c r="M48" s="5" t="str">
        <f t="shared" si="5"/>
        <v>lootWeight46,1,</v>
      </c>
      <c r="N48" t="str">
        <f t="shared" si="6"/>
        <v>5</v>
      </c>
      <c r="O48" t="str">
        <f t="shared" si="16"/>
        <v>copy .\dail_base3.dbr .\items\materia\class0024\Dream46.dbr /y</v>
      </c>
      <c r="P48" t="str">
        <f t="shared" si="7"/>
        <v>echo relicBitmap,items/craftingparts/components/component_a52_bristlyfur_b.tex, &gt;&gt; .\items\materia\class0024\Dream46.dbr</v>
      </c>
      <c r="Q48" t="str">
        <f t="shared" si="7"/>
        <v>echo itemCost,500000, &gt;&gt; .\items\materia\class0024\Dream46.dbr</v>
      </c>
      <c r="R48" t="str">
        <f t="shared" si="7"/>
        <v>echo description,dailCompDescDream46, &gt;&gt; .\items\materia\class0024\Dream46.dbr</v>
      </c>
      <c r="S48" t="str">
        <f t="shared" si="7"/>
        <v>echo itemText,dailCompTextDream46, &gt;&gt; .\items\materia\class0024\Dream46.dbr</v>
      </c>
      <c r="T48" t="str">
        <f t="shared" si="7"/>
        <v>echo augmentSkillLevel1,5, &gt;&gt; .\items\materia\class0024\Dream46.dbr</v>
      </c>
      <c r="U48" t="str">
        <f t="shared" si="7"/>
        <v>echo augmentSkillName1,records/skillsdream/tranceofwrath.dbr,, &gt;&gt; .\items\materia\class0024\Dream46.dbr</v>
      </c>
      <c r="V48" s="5" t="s">
        <v>36</v>
      </c>
      <c r="W48" t="str">
        <f t="shared" si="8"/>
        <v>echo lootName46,DAIL/items/materia/class0024/Dream46.dbr, &gt;&gt; .\items\loottables\dailoneskill0024.dbr</v>
      </c>
      <c r="X48" t="str">
        <f t="shared" si="8"/>
        <v>echo lootWeight46,1, &gt;&gt; .\items\loottables\dailoneskill0024.dbr</v>
      </c>
      <c r="Y48" s="5" t="s">
        <v>36</v>
      </c>
      <c r="Z48" t="str">
        <f t="shared" si="9"/>
        <v xml:space="preserve"> dailCompDescDream46=^pDream's Gift of DAIL</v>
      </c>
      <c r="AA48" t="str">
        <f t="shared" si="17"/>
        <v>dailCompTextDream46=^oThis feels warm to the touch, almost familiar ^w(This component only fits into the Medal Slot)</v>
      </c>
      <c r="AB48" s="5" t="s">
        <v>36</v>
      </c>
      <c r="AH48">
        <f t="shared" si="19"/>
        <v>43</v>
      </c>
      <c r="AI48">
        <f t="shared" si="13"/>
        <v>24</v>
      </c>
      <c r="AJ48">
        <f t="shared" si="18"/>
        <v>5</v>
      </c>
    </row>
    <row r="49" spans="1:36" x14ac:dyDescent="0.25">
      <c r="A49" s="5" t="s">
        <v>39</v>
      </c>
      <c r="B49" s="5" t="s">
        <v>30</v>
      </c>
      <c r="C49" s="5" t="str">
        <f t="shared" si="0"/>
        <v>description,dailCompDescDream47,</v>
      </c>
      <c r="D49" s="5" t="str">
        <f t="shared" si="2"/>
        <v>itemText,dailCompTextDream47,</v>
      </c>
      <c r="E49" s="5" t="str">
        <f t="shared" si="14"/>
        <v>augmentSkillLevel1,5,</v>
      </c>
      <c r="F49" s="5" t="str">
        <f t="shared" si="15"/>
        <v>augmentSkillName1,records/skillsdream/distortreality.dbr,,</v>
      </c>
      <c r="G49" s="7">
        <f t="shared" si="10"/>
        <v>47</v>
      </c>
      <c r="H49" s="8" t="str">
        <f t="shared" si="11"/>
        <v>Dream</v>
      </c>
      <c r="I49" s="3" t="s">
        <v>752</v>
      </c>
      <c r="J49" s="8" t="str">
        <f t="shared" si="21"/>
        <v>class0024</v>
      </c>
      <c r="K49" s="8" t="str">
        <f t="shared" si="21"/>
        <v>dailoneskill0024</v>
      </c>
      <c r="L49" s="5" t="str">
        <f t="shared" si="4"/>
        <v>lootName47,DAIL/items/materia/class0024/Dream47.dbr,</v>
      </c>
      <c r="M49" s="5" t="str">
        <f t="shared" si="5"/>
        <v>lootWeight47,1,</v>
      </c>
      <c r="N49" t="str">
        <f t="shared" si="6"/>
        <v>5</v>
      </c>
      <c r="O49" t="str">
        <f t="shared" si="16"/>
        <v>copy .\dail_base3.dbr .\items\materia\class0024\Dream47.dbr /y</v>
      </c>
      <c r="P49" t="str">
        <f t="shared" si="7"/>
        <v>echo relicBitmap,items/craftingparts/components/component_a52_bristlyfur_b.tex, &gt;&gt; .\items\materia\class0024\Dream47.dbr</v>
      </c>
      <c r="Q49" t="str">
        <f t="shared" si="7"/>
        <v>echo itemCost,500000, &gt;&gt; .\items\materia\class0024\Dream47.dbr</v>
      </c>
      <c r="R49" t="str">
        <f t="shared" si="7"/>
        <v>echo description,dailCompDescDream47, &gt;&gt; .\items\materia\class0024\Dream47.dbr</v>
      </c>
      <c r="S49" t="str">
        <f t="shared" si="7"/>
        <v>echo itemText,dailCompTextDream47, &gt;&gt; .\items\materia\class0024\Dream47.dbr</v>
      </c>
      <c r="T49" t="str">
        <f t="shared" si="7"/>
        <v>echo augmentSkillLevel1,5, &gt;&gt; .\items\materia\class0024\Dream47.dbr</v>
      </c>
      <c r="U49" t="str">
        <f t="shared" si="7"/>
        <v>echo augmentSkillName1,records/skillsdream/distortreality.dbr,, &gt;&gt; .\items\materia\class0024\Dream47.dbr</v>
      </c>
      <c r="V49" s="5" t="s">
        <v>36</v>
      </c>
      <c r="W49" t="str">
        <f t="shared" si="8"/>
        <v>echo lootName47,DAIL/items/materia/class0024/Dream47.dbr, &gt;&gt; .\items\loottables\dailoneskill0024.dbr</v>
      </c>
      <c r="X49" t="str">
        <f t="shared" si="8"/>
        <v>echo lootWeight47,1, &gt;&gt; .\items\loottables\dailoneskill0024.dbr</v>
      </c>
      <c r="Y49" s="5" t="s">
        <v>36</v>
      </c>
      <c r="Z49" t="str">
        <f t="shared" si="9"/>
        <v xml:space="preserve"> dailCompDescDream47=^pDream's Gift of DAIL</v>
      </c>
      <c r="AA49" t="str">
        <f t="shared" si="17"/>
        <v>dailCompTextDream47=^oThis feels warm to the touch, almost familiar ^w(This component only fits into the Medal Slot)</v>
      </c>
      <c r="AB49" s="5" t="s">
        <v>36</v>
      </c>
      <c r="AH49">
        <f t="shared" si="19"/>
        <v>44</v>
      </c>
      <c r="AI49">
        <f t="shared" si="13"/>
        <v>25</v>
      </c>
      <c r="AJ49">
        <f t="shared" si="18"/>
        <v>5</v>
      </c>
    </row>
    <row r="50" spans="1:36" x14ac:dyDescent="0.25">
      <c r="A50" s="5" t="s">
        <v>39</v>
      </c>
      <c r="B50" s="5" t="s">
        <v>30</v>
      </c>
      <c r="C50" s="5" t="str">
        <f t="shared" si="0"/>
        <v>description,dailCompDescDream48,</v>
      </c>
      <c r="D50" s="5" t="str">
        <f t="shared" si="2"/>
        <v>itemText,dailCompTextDream48,</v>
      </c>
      <c r="E50" s="5" t="str">
        <f t="shared" si="14"/>
        <v>augmentSkillLevel1,5,</v>
      </c>
      <c r="F50" s="5" t="str">
        <f t="shared" si="15"/>
        <v>augmentSkillName1,records/skillsdream/distortreality_temporalrift.dbr,,</v>
      </c>
      <c r="G50" s="7">
        <f t="shared" si="10"/>
        <v>48</v>
      </c>
      <c r="H50" s="8" t="str">
        <f t="shared" si="11"/>
        <v>Dream</v>
      </c>
      <c r="I50" s="3" t="s">
        <v>753</v>
      </c>
      <c r="J50" s="8" t="str">
        <f t="shared" si="21"/>
        <v>class0024</v>
      </c>
      <c r="K50" s="8" t="str">
        <f t="shared" si="21"/>
        <v>dailoneskill0024</v>
      </c>
      <c r="L50" s="5" t="str">
        <f t="shared" si="4"/>
        <v>lootName48,DAIL/items/materia/class0024/Dream48.dbr,</v>
      </c>
      <c r="M50" s="5" t="str">
        <f t="shared" si="5"/>
        <v>lootWeight48,1,</v>
      </c>
      <c r="N50" t="str">
        <f t="shared" si="6"/>
        <v>5</v>
      </c>
      <c r="O50" t="str">
        <f t="shared" si="16"/>
        <v>copy .\dail_base3.dbr .\items\materia\class0024\Dream48.dbr /y</v>
      </c>
      <c r="P50" t="str">
        <f t="shared" si="7"/>
        <v>echo relicBitmap,items/craftingparts/components/component_a52_bristlyfur_b.tex, &gt;&gt; .\items\materia\class0024\Dream48.dbr</v>
      </c>
      <c r="Q50" t="str">
        <f t="shared" si="7"/>
        <v>echo itemCost,500000, &gt;&gt; .\items\materia\class0024\Dream48.dbr</v>
      </c>
      <c r="R50" t="str">
        <f t="shared" si="7"/>
        <v>echo description,dailCompDescDream48, &gt;&gt; .\items\materia\class0024\Dream48.dbr</v>
      </c>
      <c r="S50" t="str">
        <f t="shared" si="7"/>
        <v>echo itemText,dailCompTextDream48, &gt;&gt; .\items\materia\class0024\Dream48.dbr</v>
      </c>
      <c r="T50" t="str">
        <f t="shared" si="7"/>
        <v>echo augmentSkillLevel1,5, &gt;&gt; .\items\materia\class0024\Dream48.dbr</v>
      </c>
      <c r="U50" t="str">
        <f t="shared" si="7"/>
        <v>echo augmentSkillName1,records/skillsdream/distortreality_temporalrift.dbr,, &gt;&gt; .\items\materia\class0024\Dream48.dbr</v>
      </c>
      <c r="V50" s="5" t="s">
        <v>36</v>
      </c>
      <c r="W50" t="str">
        <f t="shared" si="8"/>
        <v>echo lootName48,DAIL/items/materia/class0024/Dream48.dbr, &gt;&gt; .\items\loottables\dailoneskill0024.dbr</v>
      </c>
      <c r="X50" t="str">
        <f t="shared" si="8"/>
        <v>echo lootWeight48,1, &gt;&gt; .\items\loottables\dailoneskill0024.dbr</v>
      </c>
      <c r="Y50" s="5" t="s">
        <v>36</v>
      </c>
      <c r="Z50" t="str">
        <f t="shared" si="9"/>
        <v xml:space="preserve"> dailCompDescDream48=^pDream's Gift of DAIL</v>
      </c>
      <c r="AA50" t="str">
        <f t="shared" si="17"/>
        <v>dailCompTextDream48=^oThis feels warm to the touch, almost familiar ^w(This component only fits into the Medal Slot)</v>
      </c>
      <c r="AB50" s="5" t="s">
        <v>36</v>
      </c>
      <c r="AH50">
        <f t="shared" si="19"/>
        <v>45</v>
      </c>
      <c r="AI50">
        <f t="shared" si="13"/>
        <v>38</v>
      </c>
      <c r="AJ50">
        <f t="shared" si="18"/>
        <v>5</v>
      </c>
    </row>
    <row r="51" spans="1:36" x14ac:dyDescent="0.25">
      <c r="A51" s="5" t="s">
        <v>39</v>
      </c>
      <c r="B51" s="5" t="s">
        <v>30</v>
      </c>
      <c r="C51" s="5" t="str">
        <f t="shared" si="0"/>
        <v>description,dailCompDescDream49,</v>
      </c>
      <c r="D51" s="5" t="str">
        <f t="shared" si="2"/>
        <v>itemText,dailCompTextDream49,</v>
      </c>
      <c r="E51" s="5" t="str">
        <f t="shared" si="14"/>
        <v>augmentSkillLevel1,5,</v>
      </c>
      <c r="F51" s="5" t="str">
        <f t="shared" si="15"/>
        <v>augmentSkillName1,records/skillsdream/distortionwave.dbr,,</v>
      </c>
      <c r="G51" s="7">
        <f t="shared" si="10"/>
        <v>49</v>
      </c>
      <c r="H51" s="8" t="str">
        <f t="shared" si="11"/>
        <v>Dream</v>
      </c>
      <c r="I51" s="3" t="s">
        <v>754</v>
      </c>
      <c r="J51" s="8" t="str">
        <f t="shared" si="21"/>
        <v>class0024</v>
      </c>
      <c r="K51" s="8" t="str">
        <f t="shared" si="21"/>
        <v>dailoneskill0024</v>
      </c>
      <c r="L51" s="5" t="str">
        <f t="shared" si="4"/>
        <v>lootName49,DAIL/items/materia/class0024/Dream49.dbr,</v>
      </c>
      <c r="M51" s="5" t="str">
        <f t="shared" si="5"/>
        <v>lootWeight49,1,</v>
      </c>
      <c r="N51" t="str">
        <f t="shared" si="6"/>
        <v>5</v>
      </c>
      <c r="O51" t="str">
        <f t="shared" si="16"/>
        <v>copy .\dail_base3.dbr .\items\materia\class0024\Dream49.dbr /y</v>
      </c>
      <c r="P51" t="str">
        <f t="shared" si="7"/>
        <v>echo relicBitmap,items/craftingparts/components/component_a52_bristlyfur_b.tex, &gt;&gt; .\items\materia\class0024\Dream49.dbr</v>
      </c>
      <c r="Q51" t="str">
        <f t="shared" si="7"/>
        <v>echo itemCost,500000, &gt;&gt; .\items\materia\class0024\Dream49.dbr</v>
      </c>
      <c r="R51" t="str">
        <f t="shared" si="7"/>
        <v>echo description,dailCompDescDream49, &gt;&gt; .\items\materia\class0024\Dream49.dbr</v>
      </c>
      <c r="S51" t="str">
        <f t="shared" si="7"/>
        <v>echo itemText,dailCompTextDream49, &gt;&gt; .\items\materia\class0024\Dream49.dbr</v>
      </c>
      <c r="T51" t="str">
        <f t="shared" si="7"/>
        <v>echo augmentSkillLevel1,5, &gt;&gt; .\items\materia\class0024\Dream49.dbr</v>
      </c>
      <c r="U51" t="str">
        <f t="shared" si="7"/>
        <v>echo augmentSkillName1,records/skillsdream/distortionwave.dbr,, &gt;&gt; .\items\materia\class0024\Dream49.dbr</v>
      </c>
      <c r="V51" s="5" t="s">
        <v>36</v>
      </c>
      <c r="W51" t="str">
        <f t="shared" si="8"/>
        <v>echo lootName49,DAIL/items/materia/class0024/Dream49.dbr, &gt;&gt; .\items\loottables\dailoneskill0024.dbr</v>
      </c>
      <c r="X51" t="str">
        <f t="shared" si="8"/>
        <v>echo lootWeight49,1, &gt;&gt; .\items\loottables\dailoneskill0024.dbr</v>
      </c>
      <c r="Y51" s="5" t="s">
        <v>36</v>
      </c>
      <c r="Z51" t="str">
        <f t="shared" si="9"/>
        <v xml:space="preserve"> dailCompDescDream49=^pDream's Gift of DAIL</v>
      </c>
      <c r="AA51" t="str">
        <f t="shared" si="17"/>
        <v>dailCompTextDream49=^oThis feels warm to the touch, almost familiar ^w(This component only fits into the Medal Slot)</v>
      </c>
      <c r="AB51" s="5" t="s">
        <v>36</v>
      </c>
      <c r="AH51">
        <f t="shared" si="19"/>
        <v>46</v>
      </c>
      <c r="AI51">
        <f t="shared" si="13"/>
        <v>25</v>
      </c>
      <c r="AJ51">
        <f t="shared" si="18"/>
        <v>5</v>
      </c>
    </row>
    <row r="52" spans="1:36" x14ac:dyDescent="0.25">
      <c r="A52" s="5" t="s">
        <v>39</v>
      </c>
      <c r="B52" s="5" t="s">
        <v>30</v>
      </c>
      <c r="C52" s="5" t="str">
        <f t="shared" si="0"/>
        <v>description,dailCompDescDream50,</v>
      </c>
      <c r="D52" s="5" t="str">
        <f t="shared" si="2"/>
        <v>itemText,dailCompTextDream50,</v>
      </c>
      <c r="E52" s="5" t="str">
        <f t="shared" si="14"/>
        <v>augmentSkillLevel1,5,</v>
      </c>
      <c r="F52" s="5" t="str">
        <f t="shared" si="15"/>
        <v>augmentSkillName1,records/skillsdream/distortionwave_chaoticresonance.dbr,,</v>
      </c>
      <c r="G52" s="7">
        <f t="shared" si="10"/>
        <v>50</v>
      </c>
      <c r="H52" s="8" t="str">
        <f t="shared" si="11"/>
        <v>Dream</v>
      </c>
      <c r="I52" s="3" t="s">
        <v>755</v>
      </c>
      <c r="J52" s="8" t="str">
        <f t="shared" si="21"/>
        <v>class0024</v>
      </c>
      <c r="K52" s="8" t="str">
        <f t="shared" si="21"/>
        <v>dailoneskill0024</v>
      </c>
      <c r="L52" s="5" t="str">
        <f t="shared" si="4"/>
        <v>lootName50,DAIL/items/materia/class0024/Dream50.dbr,</v>
      </c>
      <c r="M52" s="5" t="str">
        <f t="shared" si="5"/>
        <v>lootWeight50,1,</v>
      </c>
      <c r="N52" t="str">
        <f t="shared" si="6"/>
        <v>5</v>
      </c>
      <c r="O52" t="str">
        <f t="shared" si="16"/>
        <v>copy .\dail_base3.dbr .\items\materia\class0024\Dream50.dbr /y</v>
      </c>
      <c r="P52" t="str">
        <f t="shared" si="7"/>
        <v>echo relicBitmap,items/craftingparts/components/component_a52_bristlyfur_b.tex, &gt;&gt; .\items\materia\class0024\Dream50.dbr</v>
      </c>
      <c r="Q52" t="str">
        <f t="shared" si="7"/>
        <v>echo itemCost,500000, &gt;&gt; .\items\materia\class0024\Dream50.dbr</v>
      </c>
      <c r="R52" t="str">
        <f t="shared" si="7"/>
        <v>echo description,dailCompDescDream50, &gt;&gt; .\items\materia\class0024\Dream50.dbr</v>
      </c>
      <c r="S52" t="str">
        <f t="shared" si="7"/>
        <v>echo itemText,dailCompTextDream50, &gt;&gt; .\items\materia\class0024\Dream50.dbr</v>
      </c>
      <c r="T52" t="str">
        <f t="shared" si="7"/>
        <v>echo augmentSkillLevel1,5, &gt;&gt; .\items\materia\class0024\Dream50.dbr</v>
      </c>
      <c r="U52" t="str">
        <f t="shared" si="7"/>
        <v>echo augmentSkillName1,records/skillsdream/distortionwave_chaoticresonance.dbr,, &gt;&gt; .\items\materia\class0024\Dream50.dbr</v>
      </c>
      <c r="V52" s="5" t="s">
        <v>36</v>
      </c>
      <c r="W52" t="str">
        <f t="shared" si="8"/>
        <v>echo lootName50,DAIL/items/materia/class0024/Dream50.dbr, &gt;&gt; .\items\loottables\dailoneskill0024.dbr</v>
      </c>
      <c r="X52" t="str">
        <f t="shared" si="8"/>
        <v>echo lootWeight50,1, &gt;&gt; .\items\loottables\dailoneskill0024.dbr</v>
      </c>
      <c r="Y52" s="5" t="s">
        <v>36</v>
      </c>
      <c r="Z52" t="str">
        <f t="shared" si="9"/>
        <v xml:space="preserve"> dailCompDescDream50=^pDream's Gift of DAIL</v>
      </c>
      <c r="AA52" t="str">
        <f t="shared" si="17"/>
        <v>dailCompTextDream50=^oThis feels warm to the touch, almost familiar ^w(This component only fits into the Medal Slot)</v>
      </c>
      <c r="AB52" s="5" t="s">
        <v>36</v>
      </c>
      <c r="AH52">
        <f t="shared" si="19"/>
        <v>47</v>
      </c>
      <c r="AI52">
        <f t="shared" si="13"/>
        <v>42</v>
      </c>
      <c r="AJ52">
        <f t="shared" si="18"/>
        <v>5</v>
      </c>
    </row>
    <row r="53" spans="1:36" x14ac:dyDescent="0.25">
      <c r="A53" s="5" t="s">
        <v>39</v>
      </c>
      <c r="B53" s="5" t="s">
        <v>30</v>
      </c>
      <c r="C53" s="5" t="str">
        <f t="shared" si="0"/>
        <v>description,dailCompDescDream51,</v>
      </c>
      <c r="D53" s="5" t="str">
        <f t="shared" si="2"/>
        <v>itemText,dailCompTextDream51,</v>
      </c>
      <c r="E53" s="5" t="str">
        <f t="shared" si="14"/>
        <v>augmentSkillLevel1,5,</v>
      </c>
      <c r="F53" s="5" t="str">
        <f t="shared" si="15"/>
        <v>augmentSkillName1,records/skillsdream/distortionwave_psionicimmolation.dbr,,</v>
      </c>
      <c r="G53" s="7">
        <f t="shared" si="10"/>
        <v>51</v>
      </c>
      <c r="H53" s="8" t="str">
        <f t="shared" si="11"/>
        <v>Dream</v>
      </c>
      <c r="I53" s="3" t="s">
        <v>756</v>
      </c>
      <c r="J53" s="8" t="str">
        <f t="shared" ref="J53:K68" si="22">J52</f>
        <v>class0024</v>
      </c>
      <c r="K53" s="8" t="str">
        <f t="shared" si="22"/>
        <v>dailoneskill0024</v>
      </c>
      <c r="L53" s="5" t="str">
        <f t="shared" si="4"/>
        <v>lootName51,DAIL/items/materia/class0024/Dream51.dbr,</v>
      </c>
      <c r="M53" s="5" t="str">
        <f t="shared" si="5"/>
        <v>lootWeight51,1,</v>
      </c>
      <c r="N53" t="str">
        <f t="shared" si="6"/>
        <v>5</v>
      </c>
      <c r="O53" t="str">
        <f t="shared" si="16"/>
        <v>copy .\dail_base3.dbr .\items\materia\class0024\Dream51.dbr /y</v>
      </c>
      <c r="P53" t="str">
        <f t="shared" si="7"/>
        <v>echo relicBitmap,items/craftingparts/components/component_a52_bristlyfur_b.tex, &gt;&gt; .\items\materia\class0024\Dream51.dbr</v>
      </c>
      <c r="Q53" t="str">
        <f t="shared" si="7"/>
        <v>echo itemCost,500000, &gt;&gt; .\items\materia\class0024\Dream51.dbr</v>
      </c>
      <c r="R53" t="str">
        <f t="shared" si="7"/>
        <v>echo description,dailCompDescDream51, &gt;&gt; .\items\materia\class0024\Dream51.dbr</v>
      </c>
      <c r="S53" t="str">
        <f t="shared" si="7"/>
        <v>echo itemText,dailCompTextDream51, &gt;&gt; .\items\materia\class0024\Dream51.dbr</v>
      </c>
      <c r="T53" t="str">
        <f t="shared" si="7"/>
        <v>echo augmentSkillLevel1,5, &gt;&gt; .\items\materia\class0024\Dream51.dbr</v>
      </c>
      <c r="U53" t="str">
        <f t="shared" si="7"/>
        <v>echo augmentSkillName1,records/skillsdream/distortionwave_psionicimmolation.dbr,, &gt;&gt; .\items\materia\class0024\Dream51.dbr</v>
      </c>
      <c r="V53" s="5" t="s">
        <v>36</v>
      </c>
      <c r="W53" t="str">
        <f t="shared" si="8"/>
        <v>echo lootName51,DAIL/items/materia/class0024/Dream51.dbr, &gt;&gt; .\items\loottables\dailoneskill0024.dbr</v>
      </c>
      <c r="X53" t="str">
        <f t="shared" si="8"/>
        <v>echo lootWeight51,1, &gt;&gt; .\items\loottables\dailoneskill0024.dbr</v>
      </c>
      <c r="Y53" s="5" t="s">
        <v>36</v>
      </c>
      <c r="Z53" t="str">
        <f t="shared" si="9"/>
        <v xml:space="preserve"> dailCompDescDream51=^pDream's Gift of DAIL</v>
      </c>
      <c r="AA53" t="str">
        <f t="shared" si="17"/>
        <v>dailCompTextDream51=^oThis feels warm to the touch, almost familiar ^w(This component only fits into the Medal Slot)</v>
      </c>
      <c r="AB53" s="5" t="s">
        <v>36</v>
      </c>
      <c r="AH53">
        <f t="shared" si="19"/>
        <v>48</v>
      </c>
      <c r="AI53">
        <f t="shared" si="13"/>
        <v>43</v>
      </c>
      <c r="AJ53">
        <f t="shared" si="18"/>
        <v>5</v>
      </c>
    </row>
    <row r="54" spans="1:36" x14ac:dyDescent="0.25">
      <c r="A54" s="5" t="s">
        <v>39</v>
      </c>
      <c r="B54" s="5" t="s">
        <v>30</v>
      </c>
      <c r="C54" s="5" t="str">
        <f t="shared" si="0"/>
        <v>description,dailCompDescDream52,</v>
      </c>
      <c r="D54" s="5" t="str">
        <f t="shared" si="2"/>
        <v>itemText,dailCompTextDream52,</v>
      </c>
      <c r="E54" s="5" t="str">
        <f t="shared" si="14"/>
        <v>augmentSkillLevel1,5,</v>
      </c>
      <c r="F54" s="5" t="str">
        <f t="shared" si="15"/>
        <v>augmentSkillName1,records/skillsdream/psionictouch.dbr,,</v>
      </c>
      <c r="G54" s="7">
        <f t="shared" si="10"/>
        <v>52</v>
      </c>
      <c r="H54" s="8" t="str">
        <f t="shared" si="11"/>
        <v>Dream</v>
      </c>
      <c r="I54" s="3" t="s">
        <v>757</v>
      </c>
      <c r="J54" s="8" t="str">
        <f t="shared" si="22"/>
        <v>class0024</v>
      </c>
      <c r="K54" s="8" t="str">
        <f t="shared" si="22"/>
        <v>dailoneskill0024</v>
      </c>
      <c r="L54" s="5" t="str">
        <f t="shared" si="4"/>
        <v>lootName52,DAIL/items/materia/class0024/Dream52.dbr,</v>
      </c>
      <c r="M54" s="5" t="str">
        <f t="shared" si="5"/>
        <v>lootWeight52,1,</v>
      </c>
      <c r="N54" t="str">
        <f t="shared" si="6"/>
        <v>5</v>
      </c>
      <c r="O54" t="str">
        <f t="shared" si="16"/>
        <v>copy .\dail_base3.dbr .\items\materia\class0024\Dream52.dbr /y</v>
      </c>
      <c r="P54" t="str">
        <f t="shared" si="7"/>
        <v>echo relicBitmap,items/craftingparts/components/component_a52_bristlyfur_b.tex, &gt;&gt; .\items\materia\class0024\Dream52.dbr</v>
      </c>
      <c r="Q54" t="str">
        <f t="shared" si="7"/>
        <v>echo itemCost,500000, &gt;&gt; .\items\materia\class0024\Dream52.dbr</v>
      </c>
      <c r="R54" t="str">
        <f t="shared" si="7"/>
        <v>echo description,dailCompDescDream52, &gt;&gt; .\items\materia\class0024\Dream52.dbr</v>
      </c>
      <c r="S54" t="str">
        <f t="shared" si="7"/>
        <v>echo itemText,dailCompTextDream52, &gt;&gt; .\items\materia\class0024\Dream52.dbr</v>
      </c>
      <c r="T54" t="str">
        <f t="shared" si="7"/>
        <v>echo augmentSkillLevel1,5, &gt;&gt; .\items\materia\class0024\Dream52.dbr</v>
      </c>
      <c r="U54" t="str">
        <f t="shared" si="7"/>
        <v>echo augmentSkillName1,records/skillsdream/psionictouch.dbr,, &gt;&gt; .\items\materia\class0024\Dream52.dbr</v>
      </c>
      <c r="V54" s="5" t="s">
        <v>36</v>
      </c>
      <c r="W54" t="str">
        <f t="shared" si="8"/>
        <v>echo lootName52,DAIL/items/materia/class0024/Dream52.dbr, &gt;&gt; .\items\loottables\dailoneskill0024.dbr</v>
      </c>
      <c r="X54" t="str">
        <f t="shared" si="8"/>
        <v>echo lootWeight52,1, &gt;&gt; .\items\loottables\dailoneskill0024.dbr</v>
      </c>
      <c r="Y54" s="5" t="s">
        <v>36</v>
      </c>
      <c r="Z54" t="str">
        <f t="shared" si="9"/>
        <v xml:space="preserve"> dailCompDescDream52=^pDream's Gift of DAIL</v>
      </c>
      <c r="AA54" t="str">
        <f t="shared" si="17"/>
        <v>dailCompTextDream52=^oThis feels warm to the touch, almost familiar ^w(This component only fits into the Medal Slot)</v>
      </c>
      <c r="AB54" s="5" t="s">
        <v>36</v>
      </c>
      <c r="AH54">
        <f t="shared" si="19"/>
        <v>49</v>
      </c>
      <c r="AI54">
        <f t="shared" si="13"/>
        <v>23</v>
      </c>
      <c r="AJ54">
        <f t="shared" si="18"/>
        <v>5</v>
      </c>
    </row>
    <row r="55" spans="1:36" x14ac:dyDescent="0.25">
      <c r="A55" s="5" t="s">
        <v>39</v>
      </c>
      <c r="B55" s="5" t="s">
        <v>30</v>
      </c>
      <c r="C55" s="5" t="str">
        <f t="shared" si="0"/>
        <v>description,dailCompDescDream53,</v>
      </c>
      <c r="D55" s="5" t="str">
        <f t="shared" si="2"/>
        <v>itemText,dailCompTextDream53,</v>
      </c>
      <c r="E55" s="5" t="str">
        <f t="shared" si="14"/>
        <v>augmentSkillLevel1,5,</v>
      </c>
      <c r="F55" s="5" t="str">
        <f t="shared" si="15"/>
        <v>augmentSkillName1,records/skillsdream/psionictouch_psionicburn.dbr,,</v>
      </c>
      <c r="G55" s="7">
        <f t="shared" si="10"/>
        <v>53</v>
      </c>
      <c r="H55" s="8" t="str">
        <f t="shared" si="11"/>
        <v>Dream</v>
      </c>
      <c r="I55" s="3" t="s">
        <v>758</v>
      </c>
      <c r="J55" s="8" t="str">
        <f t="shared" si="22"/>
        <v>class0024</v>
      </c>
      <c r="K55" s="8" t="str">
        <f t="shared" si="22"/>
        <v>dailoneskill0024</v>
      </c>
      <c r="L55" s="5" t="str">
        <f t="shared" si="4"/>
        <v>lootName53,DAIL/items/materia/class0024/Dream53.dbr,</v>
      </c>
      <c r="M55" s="5" t="str">
        <f t="shared" si="5"/>
        <v>lootWeight53,1,</v>
      </c>
      <c r="N55" t="str">
        <f t="shared" si="6"/>
        <v>5</v>
      </c>
      <c r="O55" t="str">
        <f t="shared" si="16"/>
        <v>copy .\dail_base3.dbr .\items\materia\class0024\Dream53.dbr /y</v>
      </c>
      <c r="P55" t="str">
        <f t="shared" si="7"/>
        <v>echo relicBitmap,items/craftingparts/components/component_a52_bristlyfur_b.tex, &gt;&gt; .\items\materia\class0024\Dream53.dbr</v>
      </c>
      <c r="Q55" t="str">
        <f t="shared" si="7"/>
        <v>echo itemCost,500000, &gt;&gt; .\items\materia\class0024\Dream53.dbr</v>
      </c>
      <c r="R55" t="str">
        <f t="shared" si="7"/>
        <v>echo description,dailCompDescDream53, &gt;&gt; .\items\materia\class0024\Dream53.dbr</v>
      </c>
      <c r="S55" t="str">
        <f t="shared" si="7"/>
        <v>echo itemText,dailCompTextDream53, &gt;&gt; .\items\materia\class0024\Dream53.dbr</v>
      </c>
      <c r="T55" t="str">
        <f t="shared" si="7"/>
        <v>echo augmentSkillLevel1,5, &gt;&gt; .\items\materia\class0024\Dream53.dbr</v>
      </c>
      <c r="U55" t="str">
        <f t="shared" si="7"/>
        <v>echo augmentSkillName1,records/skillsdream/psionictouch_psionicburn.dbr,, &gt;&gt; .\items\materia\class0024\Dream53.dbr</v>
      </c>
      <c r="V55" s="5" t="s">
        <v>36</v>
      </c>
      <c r="W55" t="str">
        <f t="shared" si="8"/>
        <v>echo lootName53,DAIL/items/materia/class0024/Dream53.dbr, &gt;&gt; .\items\loottables\dailoneskill0024.dbr</v>
      </c>
      <c r="X55" t="str">
        <f t="shared" si="8"/>
        <v>echo lootWeight53,1, &gt;&gt; .\items\loottables\dailoneskill0024.dbr</v>
      </c>
      <c r="Y55" s="5" t="s">
        <v>36</v>
      </c>
      <c r="Z55" t="str">
        <f t="shared" si="9"/>
        <v xml:space="preserve"> dailCompDescDream53=^pDream's Gift of DAIL</v>
      </c>
      <c r="AA55" t="str">
        <f t="shared" si="17"/>
        <v>dailCompTextDream53=^oThis feels warm to the touch, almost familiar ^w(This component only fits into the Medal Slot)</v>
      </c>
      <c r="AB55" s="5" t="s">
        <v>36</v>
      </c>
      <c r="AH55">
        <f t="shared" si="19"/>
        <v>50</v>
      </c>
      <c r="AI55">
        <f t="shared" si="13"/>
        <v>35</v>
      </c>
      <c r="AJ55">
        <f t="shared" si="18"/>
        <v>5</v>
      </c>
    </row>
    <row r="56" spans="1:36" x14ac:dyDescent="0.25">
      <c r="A56" s="5" t="s">
        <v>39</v>
      </c>
      <c r="B56" s="5" t="s">
        <v>30</v>
      </c>
      <c r="C56" s="5" t="str">
        <f t="shared" si="0"/>
        <v>description,dailCompDescDream54,</v>
      </c>
      <c r="D56" s="5" t="str">
        <f t="shared" si="2"/>
        <v>itemText,dailCompTextDream54,</v>
      </c>
      <c r="E56" s="5" t="str">
        <f t="shared" si="14"/>
        <v>augmentSkillLevel1,5,</v>
      </c>
      <c r="F56" s="5" t="str">
        <f t="shared" si="15"/>
        <v>augmentSkillName1,records/skillsdream/distortionfield.dbr,,</v>
      </c>
      <c r="G56" s="7">
        <f t="shared" si="10"/>
        <v>54</v>
      </c>
      <c r="H56" s="8" t="str">
        <f t="shared" si="11"/>
        <v>Dream</v>
      </c>
      <c r="I56" s="3" t="s">
        <v>759</v>
      </c>
      <c r="J56" s="8" t="str">
        <f t="shared" si="22"/>
        <v>class0024</v>
      </c>
      <c r="K56" s="8" t="str">
        <f t="shared" si="22"/>
        <v>dailoneskill0024</v>
      </c>
      <c r="L56" s="5" t="str">
        <f t="shared" si="4"/>
        <v>lootName54,DAIL/items/materia/class0024/Dream54.dbr,</v>
      </c>
      <c r="M56" s="5" t="str">
        <f t="shared" si="5"/>
        <v>lootWeight54,1,</v>
      </c>
      <c r="N56" t="str">
        <f t="shared" si="6"/>
        <v>5</v>
      </c>
      <c r="O56" t="str">
        <f t="shared" si="16"/>
        <v>copy .\dail_base3.dbr .\items\materia\class0024\Dream54.dbr /y</v>
      </c>
      <c r="P56" t="str">
        <f t="shared" si="7"/>
        <v>echo relicBitmap,items/craftingparts/components/component_a52_bristlyfur_b.tex, &gt;&gt; .\items\materia\class0024\Dream54.dbr</v>
      </c>
      <c r="Q56" t="str">
        <f t="shared" si="7"/>
        <v>echo itemCost,500000, &gt;&gt; .\items\materia\class0024\Dream54.dbr</v>
      </c>
      <c r="R56" t="str">
        <f t="shared" si="7"/>
        <v>echo description,dailCompDescDream54, &gt;&gt; .\items\materia\class0024\Dream54.dbr</v>
      </c>
      <c r="S56" t="str">
        <f t="shared" si="7"/>
        <v>echo itemText,dailCompTextDream54, &gt;&gt; .\items\materia\class0024\Dream54.dbr</v>
      </c>
      <c r="T56" t="str">
        <f t="shared" si="7"/>
        <v>echo augmentSkillLevel1,5, &gt;&gt; .\items\materia\class0024\Dream54.dbr</v>
      </c>
      <c r="U56" t="str">
        <f t="shared" si="7"/>
        <v>echo augmentSkillName1,records/skillsdream/distortionfield.dbr,, &gt;&gt; .\items\materia\class0024\Dream54.dbr</v>
      </c>
      <c r="V56" s="5" t="s">
        <v>36</v>
      </c>
      <c r="W56" t="str">
        <f t="shared" si="8"/>
        <v>echo lootName54,DAIL/items/materia/class0024/Dream54.dbr, &gt;&gt; .\items\loottables\dailoneskill0024.dbr</v>
      </c>
      <c r="X56" t="str">
        <f t="shared" si="8"/>
        <v>echo lootWeight54,1, &gt;&gt; .\items\loottables\dailoneskill0024.dbr</v>
      </c>
      <c r="Y56" s="5" t="s">
        <v>36</v>
      </c>
      <c r="Z56" t="str">
        <f t="shared" si="9"/>
        <v xml:space="preserve"> dailCompDescDream54=^pDream's Gift of DAIL</v>
      </c>
      <c r="AA56" t="str">
        <f t="shared" si="17"/>
        <v>dailCompTextDream54=^oThis feels warm to the touch, almost familiar ^w(This component only fits into the Medal Slot)</v>
      </c>
      <c r="AB56" s="5" t="s">
        <v>36</v>
      </c>
      <c r="AH56">
        <f t="shared" si="19"/>
        <v>51</v>
      </c>
      <c r="AI56">
        <f t="shared" si="13"/>
        <v>26</v>
      </c>
      <c r="AJ56">
        <f t="shared" si="18"/>
        <v>5</v>
      </c>
    </row>
    <row r="57" spans="1:36" x14ac:dyDescent="0.25">
      <c r="A57" s="5" t="s">
        <v>39</v>
      </c>
      <c r="B57" s="5" t="s">
        <v>30</v>
      </c>
      <c r="C57" s="5" t="str">
        <f t="shared" si="0"/>
        <v>description,dailCompDescDream55,</v>
      </c>
      <c r="D57" s="5" t="str">
        <f t="shared" si="2"/>
        <v>itemText,dailCompTextDream55,</v>
      </c>
      <c r="E57" s="5" t="str">
        <f t="shared" si="14"/>
        <v>augmentSkillLevel1,5,</v>
      </c>
      <c r="F57" s="5" t="str">
        <f t="shared" si="15"/>
        <v>augmentSkillName1,records/skillsdream/sandsofsleep.dbr,,</v>
      </c>
      <c r="G57" s="7">
        <f t="shared" si="10"/>
        <v>55</v>
      </c>
      <c r="H57" s="8" t="str">
        <f t="shared" si="11"/>
        <v>Dream</v>
      </c>
      <c r="I57" s="3" t="s">
        <v>760</v>
      </c>
      <c r="J57" s="8" t="str">
        <f t="shared" si="22"/>
        <v>class0024</v>
      </c>
      <c r="K57" s="8" t="str">
        <f t="shared" si="22"/>
        <v>dailoneskill0024</v>
      </c>
      <c r="L57" s="5" t="str">
        <f t="shared" si="4"/>
        <v>lootName55,DAIL/items/materia/class0024/Dream55.dbr,</v>
      </c>
      <c r="M57" s="5" t="str">
        <f t="shared" si="5"/>
        <v>lootWeight55,1,</v>
      </c>
      <c r="N57" t="str">
        <f t="shared" si="6"/>
        <v>5</v>
      </c>
      <c r="O57" t="str">
        <f t="shared" si="16"/>
        <v>copy .\dail_base3.dbr .\items\materia\class0024\Dream55.dbr /y</v>
      </c>
      <c r="P57" t="str">
        <f t="shared" si="7"/>
        <v>echo relicBitmap,items/craftingparts/components/component_a52_bristlyfur_b.tex, &gt;&gt; .\items\materia\class0024\Dream55.dbr</v>
      </c>
      <c r="Q57" t="str">
        <f t="shared" si="7"/>
        <v>echo itemCost,500000, &gt;&gt; .\items\materia\class0024\Dream55.dbr</v>
      </c>
      <c r="R57" t="str">
        <f t="shared" si="7"/>
        <v>echo description,dailCompDescDream55, &gt;&gt; .\items\materia\class0024\Dream55.dbr</v>
      </c>
      <c r="S57" t="str">
        <f t="shared" si="7"/>
        <v>echo itemText,dailCompTextDream55, &gt;&gt; .\items\materia\class0024\Dream55.dbr</v>
      </c>
      <c r="T57" t="str">
        <f t="shared" si="7"/>
        <v>echo augmentSkillLevel1,5, &gt;&gt; .\items\materia\class0024\Dream55.dbr</v>
      </c>
      <c r="U57" t="str">
        <f t="shared" si="7"/>
        <v>echo augmentSkillName1,records/skillsdream/sandsofsleep.dbr,, &gt;&gt; .\items\materia\class0024\Dream55.dbr</v>
      </c>
      <c r="V57" s="5" t="s">
        <v>36</v>
      </c>
      <c r="W57" t="str">
        <f t="shared" si="8"/>
        <v>echo lootName55,DAIL/items/materia/class0024/Dream55.dbr, &gt;&gt; .\items\loottables\dailoneskill0024.dbr</v>
      </c>
      <c r="X57" t="str">
        <f t="shared" si="8"/>
        <v>echo lootWeight55,1, &gt;&gt; .\items\loottables\dailoneskill0024.dbr</v>
      </c>
      <c r="Y57" s="5" t="s">
        <v>36</v>
      </c>
      <c r="Z57" t="str">
        <f t="shared" si="9"/>
        <v xml:space="preserve"> dailCompDescDream55=^pDream's Gift of DAIL</v>
      </c>
      <c r="AA57" t="str">
        <f t="shared" si="17"/>
        <v>dailCompTextDream55=^oThis feels warm to the touch, almost familiar ^w(This component only fits into the Medal Slot)</v>
      </c>
      <c r="AB57" s="5" t="s">
        <v>36</v>
      </c>
      <c r="AH57">
        <f t="shared" si="19"/>
        <v>52</v>
      </c>
      <c r="AI57">
        <f t="shared" si="13"/>
        <v>23</v>
      </c>
      <c r="AJ57">
        <f t="shared" si="18"/>
        <v>5</v>
      </c>
    </row>
    <row r="58" spans="1:36" x14ac:dyDescent="0.25">
      <c r="A58" s="5" t="s">
        <v>39</v>
      </c>
      <c r="B58" s="5" t="s">
        <v>30</v>
      </c>
      <c r="C58" s="5" t="str">
        <f t="shared" si="0"/>
        <v>description,dailCompDescDream56,</v>
      </c>
      <c r="D58" s="5" t="str">
        <f t="shared" si="2"/>
        <v>itemText,dailCompTextDream56,</v>
      </c>
      <c r="E58" s="5" t="str">
        <f t="shared" si="14"/>
        <v>augmentSkillLevel1,5,</v>
      </c>
      <c r="F58" s="5" t="str">
        <f t="shared" si="15"/>
        <v>augmentSkillName1,records/skillsdream/nightmare.dbr,,</v>
      </c>
      <c r="G58" s="7">
        <f t="shared" si="10"/>
        <v>56</v>
      </c>
      <c r="H58" s="8" t="str">
        <f t="shared" si="11"/>
        <v>Dream</v>
      </c>
      <c r="I58" s="3" t="s">
        <v>761</v>
      </c>
      <c r="J58" s="8" t="str">
        <f t="shared" si="22"/>
        <v>class0024</v>
      </c>
      <c r="K58" s="8" t="str">
        <f t="shared" si="22"/>
        <v>dailoneskill0024</v>
      </c>
      <c r="L58" s="5" t="str">
        <f t="shared" si="4"/>
        <v>lootName56,DAIL/items/materia/class0024/Dream56.dbr,</v>
      </c>
      <c r="M58" s="5" t="str">
        <f t="shared" si="5"/>
        <v>lootWeight56,1,</v>
      </c>
      <c r="N58" t="str">
        <f t="shared" si="6"/>
        <v>5</v>
      </c>
      <c r="O58" t="str">
        <f t="shared" si="16"/>
        <v>copy .\dail_base3.dbr .\items\materia\class0024\Dream56.dbr /y</v>
      </c>
      <c r="P58" t="str">
        <f t="shared" si="7"/>
        <v>echo relicBitmap,items/craftingparts/components/component_a52_bristlyfur_b.tex, &gt;&gt; .\items\materia\class0024\Dream56.dbr</v>
      </c>
      <c r="Q58" t="str">
        <f t="shared" si="7"/>
        <v>echo itemCost,500000, &gt;&gt; .\items\materia\class0024\Dream56.dbr</v>
      </c>
      <c r="R58" t="str">
        <f t="shared" si="7"/>
        <v>echo description,dailCompDescDream56, &gt;&gt; .\items\materia\class0024\Dream56.dbr</v>
      </c>
      <c r="S58" t="str">
        <f t="shared" si="7"/>
        <v>echo itemText,dailCompTextDream56, &gt;&gt; .\items\materia\class0024\Dream56.dbr</v>
      </c>
      <c r="T58" t="str">
        <f t="shared" si="7"/>
        <v>echo augmentSkillLevel1,5, &gt;&gt; .\items\materia\class0024\Dream56.dbr</v>
      </c>
      <c r="U58" t="str">
        <f t="shared" si="7"/>
        <v>echo augmentSkillName1,records/skillsdream/nightmare.dbr,, &gt;&gt; .\items\materia\class0024\Dream56.dbr</v>
      </c>
      <c r="V58" s="5" t="s">
        <v>36</v>
      </c>
      <c r="W58" t="str">
        <f t="shared" si="8"/>
        <v>echo lootName56,DAIL/items/materia/class0024/Dream56.dbr, &gt;&gt; .\items\loottables\dailoneskill0024.dbr</v>
      </c>
      <c r="X58" t="str">
        <f t="shared" si="8"/>
        <v>echo lootWeight56,1, &gt;&gt; .\items\loottables\dailoneskill0024.dbr</v>
      </c>
      <c r="Y58" s="5" t="s">
        <v>36</v>
      </c>
      <c r="Z58" t="str">
        <f t="shared" si="9"/>
        <v xml:space="preserve"> dailCompDescDream56=^pDream's Gift of DAIL</v>
      </c>
      <c r="AA58" t="str">
        <f t="shared" si="17"/>
        <v>dailCompTextDream56=^oThis feels warm to the touch, almost familiar ^w(This component only fits into the Medal Slot)</v>
      </c>
      <c r="AB58" s="5" t="s">
        <v>36</v>
      </c>
      <c r="AH58">
        <f t="shared" si="19"/>
        <v>53</v>
      </c>
      <c r="AI58">
        <f t="shared" si="13"/>
        <v>20</v>
      </c>
      <c r="AJ58">
        <f t="shared" si="18"/>
        <v>5</v>
      </c>
    </row>
    <row r="59" spans="1:36" x14ac:dyDescent="0.25">
      <c r="A59" s="5" t="s">
        <v>39</v>
      </c>
      <c r="B59" s="5" t="s">
        <v>30</v>
      </c>
      <c r="C59" s="5" t="str">
        <f t="shared" si="0"/>
        <v>description,dailCompDescDream57,</v>
      </c>
      <c r="D59" s="5" t="str">
        <f t="shared" si="2"/>
        <v>itemText,dailCompTextDream57,</v>
      </c>
      <c r="E59" s="5" t="str">
        <f t="shared" si="14"/>
        <v>augmentSkillLevel1,5,</v>
      </c>
      <c r="F59" s="5" t="str">
        <f t="shared" si="15"/>
        <v>augmentSkillName1,records/skillsdream/nightmare_petmodifier_hypnoticgaze.dbr,,</v>
      </c>
      <c r="G59" s="7">
        <f t="shared" si="10"/>
        <v>57</v>
      </c>
      <c r="H59" s="8" t="str">
        <f t="shared" si="11"/>
        <v>Dream</v>
      </c>
      <c r="I59" s="3" t="s">
        <v>762</v>
      </c>
      <c r="J59" s="8" t="str">
        <f t="shared" si="22"/>
        <v>class0024</v>
      </c>
      <c r="K59" s="8" t="str">
        <f t="shared" si="22"/>
        <v>dailoneskill0024</v>
      </c>
      <c r="L59" s="5" t="str">
        <f t="shared" si="4"/>
        <v>lootName57,DAIL/items/materia/class0024/Dream57.dbr,</v>
      </c>
      <c r="M59" s="5" t="str">
        <f t="shared" si="5"/>
        <v>lootWeight57,1,</v>
      </c>
      <c r="N59" t="str">
        <f t="shared" si="6"/>
        <v>5</v>
      </c>
      <c r="O59" t="str">
        <f t="shared" si="16"/>
        <v>copy .\dail_base3.dbr .\items\materia\class0024\Dream57.dbr /y</v>
      </c>
      <c r="P59" t="str">
        <f t="shared" ref="P59:U101" si="23">IF($I59&lt;&gt;"","echo "&amp;A59&amp;" &gt;&gt; .\items\materia\"&amp;$J59&amp;"\"&amp;$H59&amp;$G59&amp;".dbr","")</f>
        <v>echo relicBitmap,items/craftingparts/components/component_a52_bristlyfur_b.tex, &gt;&gt; .\items\materia\class0024\Dream57.dbr</v>
      </c>
      <c r="Q59" t="str">
        <f t="shared" si="23"/>
        <v>echo itemCost,500000, &gt;&gt; .\items\materia\class0024\Dream57.dbr</v>
      </c>
      <c r="R59" t="str">
        <f t="shared" si="23"/>
        <v>echo description,dailCompDescDream57, &gt;&gt; .\items\materia\class0024\Dream57.dbr</v>
      </c>
      <c r="S59" t="str">
        <f t="shared" si="23"/>
        <v>echo itemText,dailCompTextDream57, &gt;&gt; .\items\materia\class0024\Dream57.dbr</v>
      </c>
      <c r="T59" t="str">
        <f t="shared" si="23"/>
        <v>echo augmentSkillLevel1,5, &gt;&gt; .\items\materia\class0024\Dream57.dbr</v>
      </c>
      <c r="U59" t="str">
        <f t="shared" si="23"/>
        <v>echo augmentSkillName1,records/skillsdream/nightmare_petmodifier_hypnoticgaze.dbr,, &gt;&gt; .\items\materia\class0024\Dream57.dbr</v>
      </c>
      <c r="V59" s="5" t="s">
        <v>36</v>
      </c>
      <c r="W59" t="str">
        <f t="shared" si="8"/>
        <v>echo lootName57,DAIL/items/materia/class0024/Dream57.dbr, &gt;&gt; .\items\loottables\dailoneskill0024.dbr</v>
      </c>
      <c r="X59" t="str">
        <f t="shared" si="8"/>
        <v>echo lootWeight57,1, &gt;&gt; .\items\loottables\dailoneskill0024.dbr</v>
      </c>
      <c r="Y59" s="5" t="s">
        <v>36</v>
      </c>
      <c r="Z59" t="str">
        <f t="shared" si="9"/>
        <v xml:space="preserve"> dailCompDescDream57=^pDream's Gift of DAIL</v>
      </c>
      <c r="AA59" t="str">
        <f t="shared" si="17"/>
        <v>dailCompTextDream57=^oThis feels warm to the touch, almost familiar ^w(This component only fits into the Medal Slot)</v>
      </c>
      <c r="AB59" s="5" t="s">
        <v>36</v>
      </c>
      <c r="AH59">
        <f t="shared" si="19"/>
        <v>54</v>
      </c>
      <c r="AI59">
        <f t="shared" si="13"/>
        <v>45</v>
      </c>
      <c r="AJ59">
        <f t="shared" si="18"/>
        <v>5</v>
      </c>
    </row>
    <row r="60" spans="1:36" x14ac:dyDescent="0.25">
      <c r="A60" s="5" t="s">
        <v>39</v>
      </c>
      <c r="B60" s="5" t="s">
        <v>30</v>
      </c>
      <c r="C60" s="5" t="str">
        <f t="shared" si="0"/>
        <v>description,dailCompDescDream58,</v>
      </c>
      <c r="D60" s="5" t="str">
        <f t="shared" si="2"/>
        <v>itemText,dailCompTextDream58,</v>
      </c>
      <c r="E60" s="5" t="str">
        <f t="shared" si="14"/>
        <v>augmentSkillLevel1,5,</v>
      </c>
      <c r="F60" s="5" t="str">
        <f t="shared" si="15"/>
        <v>augmentSkillName1,records/skillsdream/nightmare_petmodifier_mastermind.dbr,,</v>
      </c>
      <c r="G60" s="7">
        <f t="shared" si="10"/>
        <v>58</v>
      </c>
      <c r="H60" s="8" t="str">
        <f t="shared" si="11"/>
        <v>Dream</v>
      </c>
      <c r="I60" s="3" t="s">
        <v>763</v>
      </c>
      <c r="J60" s="8" t="str">
        <f t="shared" si="22"/>
        <v>class0024</v>
      </c>
      <c r="K60" s="8" t="str">
        <f t="shared" si="22"/>
        <v>dailoneskill0024</v>
      </c>
      <c r="L60" s="5" t="str">
        <f t="shared" si="4"/>
        <v>lootName58,DAIL/items/materia/class0024/Dream58.dbr,</v>
      </c>
      <c r="M60" s="5" t="str">
        <f t="shared" si="5"/>
        <v>lootWeight58,1,</v>
      </c>
      <c r="N60" t="str">
        <f t="shared" si="6"/>
        <v>5</v>
      </c>
      <c r="O60" t="str">
        <f t="shared" si="16"/>
        <v>copy .\dail_base3.dbr .\items\materia\class0024\Dream58.dbr /y</v>
      </c>
      <c r="P60" t="str">
        <f t="shared" si="23"/>
        <v>echo relicBitmap,items/craftingparts/components/component_a52_bristlyfur_b.tex, &gt;&gt; .\items\materia\class0024\Dream58.dbr</v>
      </c>
      <c r="Q60" t="str">
        <f t="shared" si="23"/>
        <v>echo itemCost,500000, &gt;&gt; .\items\materia\class0024\Dream58.dbr</v>
      </c>
      <c r="R60" t="str">
        <f t="shared" si="23"/>
        <v>echo description,dailCompDescDream58, &gt;&gt; .\items\materia\class0024\Dream58.dbr</v>
      </c>
      <c r="S60" t="str">
        <f t="shared" si="23"/>
        <v>echo itemText,dailCompTextDream58, &gt;&gt; .\items\materia\class0024\Dream58.dbr</v>
      </c>
      <c r="T60" t="str">
        <f t="shared" si="23"/>
        <v>echo augmentSkillLevel1,5, &gt;&gt; .\items\materia\class0024\Dream58.dbr</v>
      </c>
      <c r="U60" t="str">
        <f t="shared" si="23"/>
        <v>echo augmentSkillName1,records/skillsdream/nightmare_petmodifier_mastermind.dbr,, &gt;&gt; .\items\materia\class0024\Dream58.dbr</v>
      </c>
      <c r="V60" s="5" t="s">
        <v>36</v>
      </c>
      <c r="W60" t="str">
        <f t="shared" si="8"/>
        <v>echo lootName58,DAIL/items/materia/class0024/Dream58.dbr, &gt;&gt; .\items\loottables\dailoneskill0024.dbr</v>
      </c>
      <c r="X60" t="str">
        <f t="shared" si="8"/>
        <v>echo lootWeight58,1, &gt;&gt; .\items\loottables\dailoneskill0024.dbr</v>
      </c>
      <c r="Y60" s="5" t="s">
        <v>36</v>
      </c>
      <c r="Z60" t="str">
        <f t="shared" si="9"/>
        <v xml:space="preserve"> dailCompDescDream58=^pDream's Gift of DAIL</v>
      </c>
      <c r="AA60" t="str">
        <f t="shared" si="17"/>
        <v>dailCompTextDream58=^oThis feels warm to the touch, almost familiar ^w(This component only fits into the Medal Slot)</v>
      </c>
      <c r="AB60" s="5" t="s">
        <v>36</v>
      </c>
      <c r="AH60">
        <f t="shared" si="19"/>
        <v>55</v>
      </c>
      <c r="AI60">
        <f t="shared" si="13"/>
        <v>43</v>
      </c>
      <c r="AJ60">
        <f t="shared" si="18"/>
        <v>5</v>
      </c>
    </row>
    <row r="61" spans="1:36" x14ac:dyDescent="0.25">
      <c r="A61" s="5" t="s">
        <v>39</v>
      </c>
      <c r="B61" s="5" t="s">
        <v>30</v>
      </c>
      <c r="C61" s="5" t="str">
        <f t="shared" si="0"/>
        <v>description,dailCompDescDream59,</v>
      </c>
      <c r="D61" s="5" t="str">
        <f t="shared" si="2"/>
        <v>itemText,dailCompTextDream59,</v>
      </c>
      <c r="E61" s="5" t="str">
        <f t="shared" si="14"/>
        <v>augmentSkillLevel1,5,</v>
      </c>
      <c r="F61" s="5" t="str">
        <f t="shared" si="15"/>
        <v>augmentSkillName1,records/skillsdream/luciddream.dbr,,</v>
      </c>
      <c r="G61" s="7">
        <f t="shared" si="10"/>
        <v>59</v>
      </c>
      <c r="H61" s="8" t="str">
        <f t="shared" si="11"/>
        <v>Dream</v>
      </c>
      <c r="I61" s="3" t="s">
        <v>764</v>
      </c>
      <c r="J61" s="8" t="str">
        <f t="shared" si="22"/>
        <v>class0024</v>
      </c>
      <c r="K61" s="8" t="str">
        <f t="shared" si="22"/>
        <v>dailoneskill0024</v>
      </c>
      <c r="L61" s="5" t="str">
        <f t="shared" si="4"/>
        <v>lootName59,DAIL/items/materia/class0024/Dream59.dbr,</v>
      </c>
      <c r="M61" s="5" t="str">
        <f t="shared" si="5"/>
        <v>lootWeight59,1,</v>
      </c>
      <c r="N61" t="str">
        <f t="shared" si="6"/>
        <v>5</v>
      </c>
      <c r="O61" t="str">
        <f t="shared" si="16"/>
        <v>copy .\dail_base3.dbr .\items\materia\class0024\Dream59.dbr /y</v>
      </c>
      <c r="P61" t="str">
        <f t="shared" si="23"/>
        <v>echo relicBitmap,items/craftingparts/components/component_a52_bristlyfur_b.tex, &gt;&gt; .\items\materia\class0024\Dream59.dbr</v>
      </c>
      <c r="Q61" t="str">
        <f t="shared" si="23"/>
        <v>echo itemCost,500000, &gt;&gt; .\items\materia\class0024\Dream59.dbr</v>
      </c>
      <c r="R61" t="str">
        <f t="shared" si="23"/>
        <v>echo description,dailCompDescDream59, &gt;&gt; .\items\materia\class0024\Dream59.dbr</v>
      </c>
      <c r="S61" t="str">
        <f t="shared" si="23"/>
        <v>echo itemText,dailCompTextDream59, &gt;&gt; .\items\materia\class0024\Dream59.dbr</v>
      </c>
      <c r="T61" t="str">
        <f t="shared" si="23"/>
        <v>echo augmentSkillLevel1,5, &gt;&gt; .\items\materia\class0024\Dream59.dbr</v>
      </c>
      <c r="U61" t="str">
        <f t="shared" si="23"/>
        <v>echo augmentSkillName1,records/skillsdream/luciddream.dbr,, &gt;&gt; .\items\materia\class0024\Dream59.dbr</v>
      </c>
      <c r="V61" s="5" t="s">
        <v>36</v>
      </c>
      <c r="W61" t="str">
        <f t="shared" si="8"/>
        <v>echo lootName59,DAIL/items/materia/class0024/Dream59.dbr, &gt;&gt; .\items\loottables\dailoneskill0024.dbr</v>
      </c>
      <c r="X61" t="str">
        <f t="shared" si="8"/>
        <v>echo lootWeight59,1, &gt;&gt; .\items\loottables\dailoneskill0024.dbr</v>
      </c>
      <c r="Y61" s="5" t="s">
        <v>36</v>
      </c>
      <c r="Z61" t="str">
        <f t="shared" si="9"/>
        <v xml:space="preserve"> dailCompDescDream59=^pDream's Gift of DAIL</v>
      </c>
      <c r="AA61" t="str">
        <f t="shared" si="17"/>
        <v>dailCompTextDream59=^oThis feels warm to the touch, almost familiar ^w(This component only fits into the Medal Slot)</v>
      </c>
      <c r="AB61" s="5" t="s">
        <v>36</v>
      </c>
      <c r="AH61">
        <f t="shared" si="19"/>
        <v>56</v>
      </c>
      <c r="AI61">
        <f t="shared" si="13"/>
        <v>21</v>
      </c>
      <c r="AJ61">
        <f t="shared" si="18"/>
        <v>5</v>
      </c>
    </row>
    <row r="62" spans="1:36" x14ac:dyDescent="0.25">
      <c r="A62" s="5" t="s">
        <v>39</v>
      </c>
      <c r="B62" s="5" t="s">
        <v>30</v>
      </c>
      <c r="C62" s="5" t="str">
        <f t="shared" si="0"/>
        <v>description,dailCompDescDream60,</v>
      </c>
      <c r="D62" s="5" t="str">
        <f t="shared" si="2"/>
        <v>itemText,dailCompTextDream60,</v>
      </c>
      <c r="E62" s="5" t="str">
        <f t="shared" si="14"/>
        <v>augmentSkillLevel1,5,</v>
      </c>
      <c r="F62" s="5" t="str">
        <f t="shared" si="15"/>
        <v>augmentSkillName1,records/skillsdream/luciddream_premonition.dbr,,</v>
      </c>
      <c r="G62" s="7">
        <f t="shared" si="10"/>
        <v>60</v>
      </c>
      <c r="H62" s="8" t="str">
        <f t="shared" si="11"/>
        <v>Dream</v>
      </c>
      <c r="I62" s="3" t="s">
        <v>765</v>
      </c>
      <c r="J62" s="8" t="str">
        <f t="shared" si="22"/>
        <v>class0024</v>
      </c>
      <c r="K62" s="8" t="str">
        <f t="shared" si="22"/>
        <v>dailoneskill0024</v>
      </c>
      <c r="L62" s="5" t="str">
        <f t="shared" si="4"/>
        <v>lootName60,DAIL/items/materia/class0024/Dream60.dbr,</v>
      </c>
      <c r="M62" s="5" t="str">
        <f t="shared" si="5"/>
        <v>lootWeight60,1,</v>
      </c>
      <c r="N62" t="str">
        <f t="shared" si="6"/>
        <v>5</v>
      </c>
      <c r="O62" t="str">
        <f t="shared" si="16"/>
        <v>copy .\dail_base3.dbr .\items\materia\class0024\Dream60.dbr /y</v>
      </c>
      <c r="P62" t="str">
        <f t="shared" si="23"/>
        <v>echo relicBitmap,items/craftingparts/components/component_a52_bristlyfur_b.tex, &gt;&gt; .\items\materia\class0024\Dream60.dbr</v>
      </c>
      <c r="Q62" t="str">
        <f t="shared" si="23"/>
        <v>echo itemCost,500000, &gt;&gt; .\items\materia\class0024\Dream60.dbr</v>
      </c>
      <c r="R62" t="str">
        <f t="shared" si="23"/>
        <v>echo description,dailCompDescDream60, &gt;&gt; .\items\materia\class0024\Dream60.dbr</v>
      </c>
      <c r="S62" t="str">
        <f t="shared" si="23"/>
        <v>echo itemText,dailCompTextDream60, &gt;&gt; .\items\materia\class0024\Dream60.dbr</v>
      </c>
      <c r="T62" t="str">
        <f t="shared" si="23"/>
        <v>echo augmentSkillLevel1,5, &gt;&gt; .\items\materia\class0024\Dream60.dbr</v>
      </c>
      <c r="U62" t="str">
        <f t="shared" si="23"/>
        <v>echo augmentSkillName1,records/skillsdream/luciddream_premonition.dbr,, &gt;&gt; .\items\materia\class0024\Dream60.dbr</v>
      </c>
      <c r="V62" s="5" t="s">
        <v>36</v>
      </c>
      <c r="W62" t="str">
        <f t="shared" si="8"/>
        <v>echo lootName60,DAIL/items/materia/class0024/Dream60.dbr, &gt;&gt; .\items\loottables\dailoneskill0024.dbr</v>
      </c>
      <c r="X62" t="str">
        <f t="shared" si="8"/>
        <v>echo lootWeight60,1, &gt;&gt; .\items\loottables\dailoneskill0024.dbr</v>
      </c>
      <c r="Y62" s="5" t="s">
        <v>36</v>
      </c>
      <c r="Z62" t="str">
        <f t="shared" si="9"/>
        <v xml:space="preserve"> dailCompDescDream60=^pDream's Gift of DAIL</v>
      </c>
      <c r="AA62" t="str">
        <f t="shared" si="17"/>
        <v>dailCompTextDream60=^oThis feels warm to the touch, almost familiar ^w(This component only fits into the Medal Slot)</v>
      </c>
      <c r="AB62" s="5" t="s">
        <v>36</v>
      </c>
      <c r="AH62">
        <f t="shared" si="19"/>
        <v>57</v>
      </c>
      <c r="AI62">
        <f t="shared" si="13"/>
        <v>33</v>
      </c>
      <c r="AJ62">
        <f t="shared" si="18"/>
        <v>5</v>
      </c>
    </row>
    <row r="63" spans="1:36" x14ac:dyDescent="0.25">
      <c r="A63" s="5" t="s">
        <v>39</v>
      </c>
      <c r="B63" s="5" t="s">
        <v>30</v>
      </c>
      <c r="C63" s="5" t="str">
        <f t="shared" si="0"/>
        <v>description,dailCompDescDream61,</v>
      </c>
      <c r="D63" s="5" t="str">
        <f t="shared" si="2"/>
        <v>itemText,dailCompTextDream61,</v>
      </c>
      <c r="E63" s="5" t="str">
        <f t="shared" si="14"/>
        <v>augmentSkillLevel1,5,</v>
      </c>
      <c r="F63" s="5" t="str">
        <f t="shared" si="15"/>
        <v>augmentSkillName1,records/skillsdream/luciddream_temporalflux.dbr,,</v>
      </c>
      <c r="G63" s="7">
        <f t="shared" si="10"/>
        <v>61</v>
      </c>
      <c r="H63" s="8" t="str">
        <f t="shared" si="11"/>
        <v>Dream</v>
      </c>
      <c r="I63" s="3" t="s">
        <v>766</v>
      </c>
      <c r="J63" s="8" t="str">
        <f t="shared" si="22"/>
        <v>class0024</v>
      </c>
      <c r="K63" s="8" t="str">
        <f t="shared" si="22"/>
        <v>dailoneskill0024</v>
      </c>
      <c r="L63" s="5" t="str">
        <f t="shared" si="4"/>
        <v>lootName61,DAIL/items/materia/class0024/Dream61.dbr,</v>
      </c>
      <c r="M63" s="5" t="str">
        <f t="shared" si="5"/>
        <v>lootWeight61,1,</v>
      </c>
      <c r="N63" t="str">
        <f t="shared" si="6"/>
        <v>5</v>
      </c>
      <c r="O63" t="str">
        <f t="shared" si="16"/>
        <v>copy .\dail_base3.dbr .\items\materia\class0024\Dream61.dbr /y</v>
      </c>
      <c r="P63" t="str">
        <f t="shared" si="23"/>
        <v>echo relicBitmap,items/craftingparts/components/component_a52_bristlyfur_b.tex, &gt;&gt; .\items\materia\class0024\Dream61.dbr</v>
      </c>
      <c r="Q63" t="str">
        <f t="shared" si="23"/>
        <v>echo itemCost,500000, &gt;&gt; .\items\materia\class0024\Dream61.dbr</v>
      </c>
      <c r="R63" t="str">
        <f t="shared" si="23"/>
        <v>echo description,dailCompDescDream61, &gt;&gt; .\items\materia\class0024\Dream61.dbr</v>
      </c>
      <c r="S63" t="str">
        <f t="shared" si="23"/>
        <v>echo itemText,dailCompTextDream61, &gt;&gt; .\items\materia\class0024\Dream61.dbr</v>
      </c>
      <c r="T63" t="str">
        <f t="shared" si="23"/>
        <v>echo augmentSkillLevel1,5, &gt;&gt; .\items\materia\class0024\Dream61.dbr</v>
      </c>
      <c r="U63" t="str">
        <f t="shared" si="23"/>
        <v>echo augmentSkillName1,records/skillsdream/luciddream_temporalflux.dbr,, &gt;&gt; .\items\materia\class0024\Dream61.dbr</v>
      </c>
      <c r="V63" s="5" t="s">
        <v>36</v>
      </c>
      <c r="W63" t="str">
        <f t="shared" si="8"/>
        <v>echo lootName61,DAIL/items/materia/class0024/Dream61.dbr, &gt;&gt; .\items\loottables\dailoneskill0024.dbr</v>
      </c>
      <c r="X63" t="str">
        <f t="shared" si="8"/>
        <v>echo lootWeight61,1, &gt;&gt; .\items\loottables\dailoneskill0024.dbr</v>
      </c>
      <c r="Y63" s="5" t="s">
        <v>36</v>
      </c>
      <c r="Z63" t="str">
        <f t="shared" si="9"/>
        <v xml:space="preserve"> dailCompDescDream61=^pDream's Gift of DAIL</v>
      </c>
      <c r="AA63" t="str">
        <f t="shared" si="17"/>
        <v>dailCompTextDream61=^oThis feels warm to the touch, almost familiar ^w(This component only fits into the Medal Slot)</v>
      </c>
      <c r="AB63" s="5" t="s">
        <v>36</v>
      </c>
      <c r="AH63">
        <f t="shared" si="19"/>
        <v>58</v>
      </c>
      <c r="AI63">
        <f t="shared" si="13"/>
        <v>34</v>
      </c>
      <c r="AJ63">
        <f t="shared" si="18"/>
        <v>5</v>
      </c>
    </row>
    <row r="64" spans="1:36" x14ac:dyDescent="0.25">
      <c r="A64" s="5" t="s">
        <v>39</v>
      </c>
      <c r="B64" s="5" t="s">
        <v>30</v>
      </c>
      <c r="C64" s="5" t="str">
        <f t="shared" si="0"/>
        <v>description,dailCompDescDream62,</v>
      </c>
      <c r="D64" s="5" t="str">
        <f t="shared" si="2"/>
        <v>itemText,dailCompTextDream62,</v>
      </c>
      <c r="E64" s="5" t="str">
        <f t="shared" si="14"/>
        <v>augmentSkillLevel1,5,</v>
      </c>
      <c r="F64" s="5" t="str">
        <f t="shared" si="15"/>
        <v>augmentSkillName1,records/skillsdream/phantomstrike.dbr,,</v>
      </c>
      <c r="G64" s="7">
        <f t="shared" si="10"/>
        <v>62</v>
      </c>
      <c r="H64" s="8" t="str">
        <f t="shared" si="11"/>
        <v>Dream</v>
      </c>
      <c r="I64" s="3" t="s">
        <v>767</v>
      </c>
      <c r="J64" s="8" t="str">
        <f t="shared" si="22"/>
        <v>class0024</v>
      </c>
      <c r="K64" s="8" t="str">
        <f t="shared" si="22"/>
        <v>dailoneskill0024</v>
      </c>
      <c r="L64" s="5" t="str">
        <f t="shared" si="4"/>
        <v>lootName62,DAIL/items/materia/class0024/Dream62.dbr,</v>
      </c>
      <c r="M64" s="5" t="str">
        <f t="shared" si="5"/>
        <v>lootWeight62,1,</v>
      </c>
      <c r="N64" t="str">
        <f t="shared" si="6"/>
        <v>5</v>
      </c>
      <c r="O64" t="str">
        <f t="shared" si="16"/>
        <v>copy .\dail_base3.dbr .\items\materia\class0024\Dream62.dbr /y</v>
      </c>
      <c r="P64" t="str">
        <f t="shared" si="23"/>
        <v>echo relicBitmap,items/craftingparts/components/component_a52_bristlyfur_b.tex, &gt;&gt; .\items\materia\class0024\Dream62.dbr</v>
      </c>
      <c r="Q64" t="str">
        <f t="shared" si="23"/>
        <v>echo itemCost,500000, &gt;&gt; .\items\materia\class0024\Dream62.dbr</v>
      </c>
      <c r="R64" t="str">
        <f t="shared" si="23"/>
        <v>echo description,dailCompDescDream62, &gt;&gt; .\items\materia\class0024\Dream62.dbr</v>
      </c>
      <c r="S64" t="str">
        <f t="shared" si="23"/>
        <v>echo itemText,dailCompTextDream62, &gt;&gt; .\items\materia\class0024\Dream62.dbr</v>
      </c>
      <c r="T64" t="str">
        <f t="shared" si="23"/>
        <v>echo augmentSkillLevel1,5, &gt;&gt; .\items\materia\class0024\Dream62.dbr</v>
      </c>
      <c r="U64" t="str">
        <f t="shared" si="23"/>
        <v>echo augmentSkillName1,records/skillsdream/phantomstrike.dbr,, &gt;&gt; .\items\materia\class0024\Dream62.dbr</v>
      </c>
      <c r="V64" s="5" t="s">
        <v>36</v>
      </c>
      <c r="W64" t="str">
        <f t="shared" si="8"/>
        <v>echo lootName62,DAIL/items/materia/class0024/Dream62.dbr, &gt;&gt; .\items\loottables\dailoneskill0024.dbr</v>
      </c>
      <c r="X64" t="str">
        <f t="shared" si="8"/>
        <v>echo lootWeight62,1, &gt;&gt; .\items\loottables\dailoneskill0024.dbr</v>
      </c>
      <c r="Y64" s="5" t="s">
        <v>36</v>
      </c>
      <c r="Z64" t="str">
        <f t="shared" si="9"/>
        <v xml:space="preserve"> dailCompDescDream62=^pDream's Gift of DAIL</v>
      </c>
      <c r="AA64" t="str">
        <f t="shared" si="17"/>
        <v>dailCompTextDream62=^oThis feels warm to the touch, almost familiar ^w(This component only fits into the Medal Slot)</v>
      </c>
      <c r="AB64" s="5" t="s">
        <v>36</v>
      </c>
      <c r="AH64">
        <f t="shared" si="19"/>
        <v>59</v>
      </c>
      <c r="AI64">
        <f t="shared" si="13"/>
        <v>24</v>
      </c>
      <c r="AJ64">
        <f t="shared" si="18"/>
        <v>5</v>
      </c>
    </row>
    <row r="65" spans="1:36" x14ac:dyDescent="0.25">
      <c r="A65" s="5" t="s">
        <v>39</v>
      </c>
      <c r="B65" s="5" t="s">
        <v>30</v>
      </c>
      <c r="C65" s="5" t="str">
        <f t="shared" si="0"/>
        <v>description,dailCompDescDream63,</v>
      </c>
      <c r="D65" s="5" t="str">
        <f t="shared" si="2"/>
        <v>itemText,dailCompTextDream63,</v>
      </c>
      <c r="E65" s="5" t="str">
        <f t="shared" si="14"/>
        <v>augmentSkillLevel1,5,</v>
      </c>
      <c r="F65" s="5" t="str">
        <f t="shared" si="15"/>
        <v>augmentSkillName1,records/skillsdream/phantomstrike_dreamstealer.dbr,,</v>
      </c>
      <c r="G65" s="7">
        <f t="shared" si="10"/>
        <v>63</v>
      </c>
      <c r="H65" s="8" t="str">
        <f t="shared" si="11"/>
        <v>Dream</v>
      </c>
      <c r="I65" s="3" t="s">
        <v>768</v>
      </c>
      <c r="J65" s="8" t="str">
        <f t="shared" si="22"/>
        <v>class0024</v>
      </c>
      <c r="K65" s="8" t="str">
        <f t="shared" si="22"/>
        <v>dailoneskill0024</v>
      </c>
      <c r="L65" s="5" t="str">
        <f t="shared" si="4"/>
        <v>lootName63,DAIL/items/materia/class0024/Dream63.dbr,</v>
      </c>
      <c r="M65" s="5" t="str">
        <f t="shared" si="5"/>
        <v>lootWeight63,1,</v>
      </c>
      <c r="N65" t="str">
        <f t="shared" si="6"/>
        <v>5</v>
      </c>
      <c r="O65" t="str">
        <f t="shared" si="16"/>
        <v>copy .\dail_base3.dbr .\items\materia\class0024\Dream63.dbr /y</v>
      </c>
      <c r="P65" t="str">
        <f t="shared" si="23"/>
        <v>echo relicBitmap,items/craftingparts/components/component_a52_bristlyfur_b.tex, &gt;&gt; .\items\materia\class0024\Dream63.dbr</v>
      </c>
      <c r="Q65" t="str">
        <f t="shared" si="23"/>
        <v>echo itemCost,500000, &gt;&gt; .\items\materia\class0024\Dream63.dbr</v>
      </c>
      <c r="R65" t="str">
        <f t="shared" si="23"/>
        <v>echo description,dailCompDescDream63, &gt;&gt; .\items\materia\class0024\Dream63.dbr</v>
      </c>
      <c r="S65" t="str">
        <f t="shared" si="23"/>
        <v>echo itemText,dailCompTextDream63, &gt;&gt; .\items\materia\class0024\Dream63.dbr</v>
      </c>
      <c r="T65" t="str">
        <f t="shared" si="23"/>
        <v>echo augmentSkillLevel1,5, &gt;&gt; .\items\materia\class0024\Dream63.dbr</v>
      </c>
      <c r="U65" t="str">
        <f t="shared" si="23"/>
        <v>echo augmentSkillName1,records/skillsdream/phantomstrike_dreamstealer.dbr,, &gt;&gt; .\items\materia\class0024\Dream63.dbr</v>
      </c>
      <c r="V65" s="5" t="s">
        <v>36</v>
      </c>
      <c r="W65" t="str">
        <f t="shared" si="8"/>
        <v>echo lootName63,DAIL/items/materia/class0024/Dream63.dbr, &gt;&gt; .\items\loottables\dailoneskill0024.dbr</v>
      </c>
      <c r="X65" t="str">
        <f t="shared" si="8"/>
        <v>echo lootWeight63,1, &gt;&gt; .\items\loottables\dailoneskill0024.dbr</v>
      </c>
      <c r="Y65" s="5" t="s">
        <v>36</v>
      </c>
      <c r="Z65" t="str">
        <f t="shared" si="9"/>
        <v xml:space="preserve"> dailCompDescDream63=^pDream's Gift of DAIL</v>
      </c>
      <c r="AA65" t="str">
        <f t="shared" si="17"/>
        <v>dailCompTextDream63=^oThis feels warm to the touch, almost familiar ^w(This component only fits into the Medal Slot)</v>
      </c>
      <c r="AB65" s="5" t="s">
        <v>36</v>
      </c>
      <c r="AH65">
        <f t="shared" si="19"/>
        <v>60</v>
      </c>
      <c r="AI65">
        <f t="shared" si="13"/>
        <v>37</v>
      </c>
      <c r="AJ65">
        <f t="shared" si="18"/>
        <v>5</v>
      </c>
    </row>
    <row r="66" spans="1:36" x14ac:dyDescent="0.25">
      <c r="A66" s="5" t="s">
        <v>39</v>
      </c>
      <c r="B66" s="5" t="s">
        <v>30</v>
      </c>
      <c r="C66" s="5" t="str">
        <f t="shared" si="0"/>
        <v>description,dailCompDescDream,</v>
      </c>
      <c r="D66" s="5" t="str">
        <f t="shared" si="2"/>
        <v>itemText,dailCompTextDream,</v>
      </c>
      <c r="E66" s="5" t="str">
        <f t="shared" si="14"/>
        <v>augmentSkillLevel1,5,</v>
      </c>
      <c r="F66" s="5" t="str">
        <f t="shared" si="15"/>
        <v>augmentSkillName1,records/skills,</v>
      </c>
      <c r="G66" s="7" t="str">
        <f t="shared" si="10"/>
        <v/>
      </c>
      <c r="H66" s="8" t="str">
        <f t="shared" si="11"/>
        <v>Dream</v>
      </c>
      <c r="J66" s="8" t="str">
        <f t="shared" si="22"/>
        <v>class0024</v>
      </c>
      <c r="K66" s="8" t="str">
        <f t="shared" si="22"/>
        <v>dailoneskill0024</v>
      </c>
      <c r="L66" s="5" t="str">
        <f t="shared" si="4"/>
        <v>lootName,DAIL/items/materia/class0024/Dream.dbr,</v>
      </c>
      <c r="M66" s="5" t="str">
        <f t="shared" si="5"/>
        <v>lootWeight,1,</v>
      </c>
      <c r="N66" t="str">
        <f t="shared" si="6"/>
        <v>5</v>
      </c>
      <c r="O66" t="str">
        <f t="shared" si="16"/>
        <v/>
      </c>
      <c r="P66" t="str">
        <f t="shared" si="23"/>
        <v/>
      </c>
      <c r="Q66" t="str">
        <f t="shared" si="23"/>
        <v/>
      </c>
      <c r="R66" t="str">
        <f t="shared" si="23"/>
        <v/>
      </c>
      <c r="S66" t="str">
        <f t="shared" si="23"/>
        <v/>
      </c>
      <c r="T66" t="str">
        <f t="shared" si="23"/>
        <v/>
      </c>
      <c r="U66" t="str">
        <f t="shared" si="23"/>
        <v/>
      </c>
      <c r="V66" s="5" t="s">
        <v>36</v>
      </c>
      <c r="W66" t="str">
        <f t="shared" si="8"/>
        <v/>
      </c>
      <c r="X66" t="str">
        <f t="shared" si="8"/>
        <v/>
      </c>
      <c r="Y66" s="5" t="s">
        <v>36</v>
      </c>
      <c r="Z66" t="str">
        <f t="shared" si="9"/>
        <v xml:space="preserve"> dailCompDescDream=^pDream's Gift of DAIL</v>
      </c>
      <c r="AA66" t="str">
        <f t="shared" si="17"/>
        <v>dailCompTextDream=^oThis feels warm to the touch, almost familiar ^w(This component only fits into the Medal Slot)</v>
      </c>
      <c r="AB66" s="5" t="s">
        <v>36</v>
      </c>
      <c r="AH66">
        <f t="shared" si="19"/>
        <v>61</v>
      </c>
      <c r="AI66">
        <f t="shared" si="13"/>
        <v>0</v>
      </c>
      <c r="AJ66">
        <f t="shared" si="18"/>
        <v>5</v>
      </c>
    </row>
    <row r="67" spans="1:36" x14ac:dyDescent="0.25">
      <c r="A67" s="5" t="s">
        <v>39</v>
      </c>
      <c r="B67" s="5" t="s">
        <v>30</v>
      </c>
      <c r="C67" s="5" t="str">
        <f t="shared" ref="C67:C102" si="24">"description,dailCompDesc"&amp;H67&amp;G67&amp;","</f>
        <v>description,dailCompDescDream,</v>
      </c>
      <c r="D67" s="5" t="str">
        <f t="shared" si="2"/>
        <v>itemText,dailCompTextDream,</v>
      </c>
      <c r="E67" s="5" t="str">
        <f t="shared" si="14"/>
        <v>augmentSkillLevel1,5,</v>
      </c>
      <c r="F67" s="5" t="str">
        <f t="shared" si="15"/>
        <v>augmentSkillName1,records/skills,</v>
      </c>
      <c r="G67" s="7" t="str">
        <f t="shared" si="10"/>
        <v/>
      </c>
      <c r="H67" s="8" t="str">
        <f t="shared" si="11"/>
        <v>Dream</v>
      </c>
      <c r="J67" s="8" t="str">
        <f t="shared" si="22"/>
        <v>class0024</v>
      </c>
      <c r="K67" s="8" t="str">
        <f t="shared" si="22"/>
        <v>dailoneskill0024</v>
      </c>
      <c r="L67" s="5" t="str">
        <f t="shared" si="4"/>
        <v>lootName,DAIL/items/materia/class0024/Dream.dbr,</v>
      </c>
      <c r="M67" s="5" t="str">
        <f t="shared" si="5"/>
        <v>lootWeight,1,</v>
      </c>
      <c r="N67" t="str">
        <f t="shared" si="6"/>
        <v>5</v>
      </c>
      <c r="O67" t="str">
        <f t="shared" si="16"/>
        <v/>
      </c>
      <c r="P67" t="str">
        <f t="shared" si="23"/>
        <v/>
      </c>
      <c r="Q67" t="str">
        <f t="shared" si="23"/>
        <v/>
      </c>
      <c r="R67" t="str">
        <f t="shared" si="23"/>
        <v/>
      </c>
      <c r="S67" t="str">
        <f t="shared" si="23"/>
        <v/>
      </c>
      <c r="T67" t="str">
        <f t="shared" si="23"/>
        <v/>
      </c>
      <c r="U67" t="str">
        <f t="shared" si="23"/>
        <v/>
      </c>
      <c r="V67" s="5" t="s">
        <v>36</v>
      </c>
      <c r="W67" t="str">
        <f t="shared" si="8"/>
        <v/>
      </c>
      <c r="X67" t="str">
        <f t="shared" si="8"/>
        <v/>
      </c>
      <c r="Y67" s="5" t="s">
        <v>36</v>
      </c>
      <c r="Z67" t="str">
        <f t="shared" si="9"/>
        <v/>
      </c>
      <c r="AA67" t="str">
        <f t="shared" si="17"/>
        <v/>
      </c>
      <c r="AB67" s="5" t="s">
        <v>36</v>
      </c>
      <c r="AH67">
        <f t="shared" si="19"/>
        <v>62</v>
      </c>
      <c r="AI67">
        <f t="shared" si="13"/>
        <v>0</v>
      </c>
      <c r="AJ67">
        <f t="shared" si="18"/>
        <v>5</v>
      </c>
    </row>
    <row r="68" spans="1:36" x14ac:dyDescent="0.25">
      <c r="A68" s="5" t="s">
        <v>39</v>
      </c>
      <c r="B68" s="5" t="s">
        <v>30</v>
      </c>
      <c r="C68" s="5" t="str">
        <f t="shared" si="24"/>
        <v>description,dailCompDescDream,</v>
      </c>
      <c r="D68" s="5" t="str">
        <f t="shared" ref="D68:D102" si="25">"itemText,dailCompText"&amp;H68&amp;G68&amp;","</f>
        <v>itemText,dailCompTextDream,</v>
      </c>
      <c r="E68" s="5" t="str">
        <f t="shared" si="14"/>
        <v>augmentSkillLevel1,5,</v>
      </c>
      <c r="F68" s="5" t="str">
        <f t="shared" si="15"/>
        <v>augmentSkillName1,records/skills,</v>
      </c>
      <c r="G68" s="7" t="str">
        <f t="shared" si="10"/>
        <v/>
      </c>
      <c r="H68" s="8" t="str">
        <f t="shared" si="11"/>
        <v>Dream</v>
      </c>
      <c r="J68" s="8" t="str">
        <f t="shared" si="22"/>
        <v>class0024</v>
      </c>
      <c r="K68" s="8" t="str">
        <f t="shared" si="22"/>
        <v>dailoneskill0024</v>
      </c>
      <c r="L68" s="5" t="str">
        <f t="shared" ref="L68:L102" si="26">"lootName"&amp;G68&amp;",DAIL/items/materia/"&amp;J68&amp;"/"&amp;H68&amp;G68&amp;".dbr"&amp;","</f>
        <v>lootName,DAIL/items/materia/class0024/Dream.dbr,</v>
      </c>
      <c r="M68" s="5" t="str">
        <f t="shared" ref="M68:M102" si="27">"lootWeight"&amp;G68&amp;",1,"</f>
        <v>lootWeight,1,</v>
      </c>
      <c r="N68" t="str">
        <f t="shared" ref="N68:N102" si="28">LEFT(RIGHT(E68,2),1)</f>
        <v>5</v>
      </c>
      <c r="O68" t="str">
        <f t="shared" si="16"/>
        <v/>
      </c>
      <c r="P68" t="str">
        <f t="shared" si="23"/>
        <v/>
      </c>
      <c r="Q68" t="str">
        <f t="shared" si="23"/>
        <v/>
      </c>
      <c r="R68" t="str">
        <f t="shared" si="23"/>
        <v/>
      </c>
      <c r="S68" t="str">
        <f t="shared" si="23"/>
        <v/>
      </c>
      <c r="T68" t="str">
        <f t="shared" si="23"/>
        <v/>
      </c>
      <c r="U68" t="str">
        <f t="shared" si="23"/>
        <v/>
      </c>
      <c r="V68" s="5" t="s">
        <v>36</v>
      </c>
      <c r="W68" t="str">
        <f t="shared" ref="W68:X102" si="29">IF($I68&lt;&gt;"","echo "&amp;L68&amp;" &gt;&gt; .\items\loottables\"&amp;$K68&amp;".dbr","")</f>
        <v/>
      </c>
      <c r="X68" t="str">
        <f t="shared" si="29"/>
        <v/>
      </c>
      <c r="Y68" s="5" t="s">
        <v>36</v>
      </c>
      <c r="Z68" t="str">
        <f t="shared" ref="Z68:Z102" si="30">IF(I67&lt;&gt;""," dailCompDesc"&amp;H68&amp;G68&amp;"=^p"&amp;H68&amp;"'s Gift of DAIL","")</f>
        <v/>
      </c>
      <c r="AA68" t="str">
        <f t="shared" si="17"/>
        <v/>
      </c>
      <c r="AB68" s="5" t="s">
        <v>36</v>
      </c>
      <c r="AH68">
        <f t="shared" si="19"/>
        <v>63</v>
      </c>
      <c r="AI68">
        <f t="shared" si="13"/>
        <v>0</v>
      </c>
      <c r="AJ68">
        <f t="shared" si="18"/>
        <v>5</v>
      </c>
    </row>
    <row r="69" spans="1:36" x14ac:dyDescent="0.25">
      <c r="A69" s="5" t="s">
        <v>39</v>
      </c>
      <c r="B69" s="5" t="s">
        <v>30</v>
      </c>
      <c r="C69" s="5" t="str">
        <f t="shared" si="24"/>
        <v>description,dailCompDescDream,</v>
      </c>
      <c r="D69" s="5" t="str">
        <f t="shared" si="25"/>
        <v>itemText,dailCompTextDream,</v>
      </c>
      <c r="E69" s="5" t="str">
        <f t="shared" si="14"/>
        <v>augmentSkillLevel1,5,</v>
      </c>
      <c r="F69" s="5" t="str">
        <f t="shared" si="15"/>
        <v>augmentSkillName1,records/skills,</v>
      </c>
      <c r="G69" s="7" t="str">
        <f t="shared" ref="G69:G102" si="31">IF(I69&lt;&gt;"",G68+1,"")</f>
        <v/>
      </c>
      <c r="H69" s="8" t="str">
        <f t="shared" ref="H69:H102" si="32">H68</f>
        <v>Dream</v>
      </c>
      <c r="J69" s="8" t="str">
        <f t="shared" ref="J69:K84" si="33">J68</f>
        <v>class0024</v>
      </c>
      <c r="K69" s="8" t="str">
        <f t="shared" si="33"/>
        <v>dailoneskill0024</v>
      </c>
      <c r="L69" s="5" t="str">
        <f t="shared" si="26"/>
        <v>lootName,DAIL/items/materia/class0024/Dream.dbr,</v>
      </c>
      <c r="M69" s="5" t="str">
        <f t="shared" si="27"/>
        <v>lootWeight,1,</v>
      </c>
      <c r="N69" t="str">
        <f t="shared" si="28"/>
        <v>5</v>
      </c>
      <c r="O69" t="str">
        <f t="shared" si="16"/>
        <v/>
      </c>
      <c r="P69" t="str">
        <f t="shared" si="23"/>
        <v/>
      </c>
      <c r="Q69" t="str">
        <f t="shared" si="23"/>
        <v/>
      </c>
      <c r="R69" t="str">
        <f t="shared" si="23"/>
        <v/>
      </c>
      <c r="S69" t="str">
        <f t="shared" si="23"/>
        <v/>
      </c>
      <c r="T69" t="str">
        <f t="shared" si="23"/>
        <v/>
      </c>
      <c r="U69" t="str">
        <f t="shared" si="23"/>
        <v/>
      </c>
      <c r="V69" s="5" t="s">
        <v>36</v>
      </c>
      <c r="W69" t="str">
        <f t="shared" si="29"/>
        <v/>
      </c>
      <c r="X69" t="str">
        <f t="shared" si="29"/>
        <v/>
      </c>
      <c r="Y69" s="5" t="s">
        <v>36</v>
      </c>
      <c r="Z69" t="str">
        <f t="shared" si="30"/>
        <v/>
      </c>
      <c r="AA69" t="str">
        <f t="shared" si="17"/>
        <v/>
      </c>
      <c r="AB69" s="5" t="s">
        <v>36</v>
      </c>
      <c r="AH69">
        <f t="shared" si="19"/>
        <v>64</v>
      </c>
      <c r="AI69">
        <f t="shared" si="13"/>
        <v>0</v>
      </c>
      <c r="AJ69">
        <f t="shared" si="18"/>
        <v>5</v>
      </c>
    </row>
    <row r="70" spans="1:36" x14ac:dyDescent="0.25">
      <c r="A70" s="5" t="s">
        <v>39</v>
      </c>
      <c r="B70" s="5" t="s">
        <v>30</v>
      </c>
      <c r="C70" s="5" t="str">
        <f t="shared" si="24"/>
        <v>description,dailCompDescDream,</v>
      </c>
      <c r="D70" s="5" t="str">
        <f t="shared" si="25"/>
        <v>itemText,dailCompTextDream,</v>
      </c>
      <c r="E70" s="5" t="str">
        <f t="shared" si="14"/>
        <v>augmentSkillLevel1,5,</v>
      </c>
      <c r="F70" s="5" t="str">
        <f t="shared" si="15"/>
        <v>augmentSkillName1,records/skills,</v>
      </c>
      <c r="G70" s="7" t="str">
        <f t="shared" si="31"/>
        <v/>
      </c>
      <c r="H70" s="8" t="str">
        <f t="shared" si="32"/>
        <v>Dream</v>
      </c>
      <c r="J70" s="8" t="str">
        <f t="shared" si="33"/>
        <v>class0024</v>
      </c>
      <c r="K70" s="8" t="str">
        <f t="shared" si="33"/>
        <v>dailoneskill0024</v>
      </c>
      <c r="L70" s="5" t="str">
        <f t="shared" si="26"/>
        <v>lootName,DAIL/items/materia/class0024/Dream.dbr,</v>
      </c>
      <c r="M70" s="5" t="str">
        <f t="shared" si="27"/>
        <v>lootWeight,1,</v>
      </c>
      <c r="N70" t="str">
        <f t="shared" si="28"/>
        <v>5</v>
      </c>
      <c r="O70" t="str">
        <f t="shared" si="16"/>
        <v/>
      </c>
      <c r="P70" t="str">
        <f t="shared" si="23"/>
        <v/>
      </c>
      <c r="Q70" t="str">
        <f t="shared" si="23"/>
        <v/>
      </c>
      <c r="R70" t="str">
        <f t="shared" si="23"/>
        <v/>
      </c>
      <c r="S70" t="str">
        <f t="shared" si="23"/>
        <v/>
      </c>
      <c r="T70" t="str">
        <f t="shared" si="23"/>
        <v/>
      </c>
      <c r="U70" t="str">
        <f t="shared" si="23"/>
        <v/>
      </c>
      <c r="V70" s="5" t="s">
        <v>36</v>
      </c>
      <c r="W70" t="str">
        <f t="shared" si="29"/>
        <v/>
      </c>
      <c r="X70" t="str">
        <f t="shared" si="29"/>
        <v/>
      </c>
      <c r="Y70" s="5" t="s">
        <v>36</v>
      </c>
      <c r="Z70" t="str">
        <f t="shared" si="30"/>
        <v/>
      </c>
      <c r="AA70" t="str">
        <f t="shared" si="17"/>
        <v/>
      </c>
      <c r="AB70" s="5" t="s">
        <v>36</v>
      </c>
      <c r="AH70">
        <f t="shared" si="19"/>
        <v>65</v>
      </c>
      <c r="AI70">
        <f t="shared" ref="AI70:AI102" si="34">LEN(I70)</f>
        <v>0</v>
      </c>
      <c r="AJ70">
        <f t="shared" si="18"/>
        <v>5</v>
      </c>
    </row>
    <row r="71" spans="1:36" x14ac:dyDescent="0.25">
      <c r="A71" s="5" t="s">
        <v>39</v>
      </c>
      <c r="B71" s="5" t="s">
        <v>30</v>
      </c>
      <c r="C71" s="5" t="str">
        <f t="shared" si="24"/>
        <v>description,dailCompDescDream,</v>
      </c>
      <c r="D71" s="5" t="str">
        <f t="shared" si="25"/>
        <v>itemText,dailCompTextDream,</v>
      </c>
      <c r="E71" s="5" t="str">
        <f t="shared" ref="E71:E102" si="35">"augmentSkillLevel1,"&amp;AJ71&amp;","</f>
        <v>augmentSkillLevel1,5,</v>
      </c>
      <c r="F71" s="5" t="str">
        <f t="shared" ref="F71:F102" si="36">"augmentSkillName1,records/skills"&amp;I71&amp;","</f>
        <v>augmentSkillName1,records/skills,</v>
      </c>
      <c r="G71" s="7" t="str">
        <f t="shared" si="31"/>
        <v/>
      </c>
      <c r="H71" s="8" t="str">
        <f t="shared" si="32"/>
        <v>Dream</v>
      </c>
      <c r="J71" s="8" t="str">
        <f t="shared" si="33"/>
        <v>class0024</v>
      </c>
      <c r="K71" s="8" t="str">
        <f t="shared" si="33"/>
        <v>dailoneskill0024</v>
      </c>
      <c r="L71" s="5" t="str">
        <f t="shared" si="26"/>
        <v>lootName,DAIL/items/materia/class0024/Dream.dbr,</v>
      </c>
      <c r="M71" s="5" t="str">
        <f t="shared" si="27"/>
        <v>lootWeight,1,</v>
      </c>
      <c r="N71" t="str">
        <f t="shared" si="28"/>
        <v>5</v>
      </c>
      <c r="O71" t="str">
        <f t="shared" ref="O71:O102" si="37">IF(I71&lt;&gt;"","copy .\"&amp;VLOOKUP(VALUE(N71),$AD$3:$AF$5,2,FALSE)&amp;" .\items\materia\"&amp;J71&amp;"\"&amp;H71&amp;G71&amp;".dbr /y"&amp;"","")</f>
        <v/>
      </c>
      <c r="P71" t="str">
        <f t="shared" si="23"/>
        <v/>
      </c>
      <c r="Q71" t="str">
        <f t="shared" si="23"/>
        <v/>
      </c>
      <c r="R71" t="str">
        <f t="shared" si="23"/>
        <v/>
      </c>
      <c r="S71" t="str">
        <f t="shared" si="23"/>
        <v/>
      </c>
      <c r="T71" t="str">
        <f t="shared" si="23"/>
        <v/>
      </c>
      <c r="U71" t="str">
        <f t="shared" si="23"/>
        <v/>
      </c>
      <c r="V71" s="5" t="s">
        <v>36</v>
      </c>
      <c r="W71" t="str">
        <f t="shared" si="29"/>
        <v/>
      </c>
      <c r="X71" t="str">
        <f t="shared" si="29"/>
        <v/>
      </c>
      <c r="Y71" s="5" t="s">
        <v>36</v>
      </c>
      <c r="Z71" t="str">
        <f t="shared" si="30"/>
        <v/>
      </c>
      <c r="AA71" t="str">
        <f t="shared" ref="AA71:AA102" si="38">IF(I70&lt;&gt;"","dailCompText"&amp;H71&amp;G71&amp;"=^oThis feels warm to the touch, almost familiar ^w("&amp;VLOOKUP(VALUE(N71),$AD$3:$AF$5,3,FALSE)&amp;")","")</f>
        <v/>
      </c>
      <c r="AB71" s="5" t="s">
        <v>36</v>
      </c>
      <c r="AH71">
        <f t="shared" si="19"/>
        <v>66</v>
      </c>
      <c r="AI71">
        <f t="shared" si="34"/>
        <v>0</v>
      </c>
      <c r="AJ71">
        <f t="shared" ref="AJ71:AJ102" si="39">IF(AH71&lt;$AL$7,1,IF(AH71&lt;$AL$8,3,5))</f>
        <v>5</v>
      </c>
    </row>
    <row r="72" spans="1:36" x14ac:dyDescent="0.25">
      <c r="A72" s="5" t="s">
        <v>39</v>
      </c>
      <c r="B72" s="5" t="s">
        <v>30</v>
      </c>
      <c r="C72" s="5" t="str">
        <f t="shared" si="24"/>
        <v>description,dailCompDescDream,</v>
      </c>
      <c r="D72" s="5" t="str">
        <f t="shared" si="25"/>
        <v>itemText,dailCompTextDream,</v>
      </c>
      <c r="E72" s="5" t="str">
        <f t="shared" si="35"/>
        <v>augmentSkillLevel1,5,</v>
      </c>
      <c r="F72" s="5" t="str">
        <f t="shared" si="36"/>
        <v>augmentSkillName1,records/skills,</v>
      </c>
      <c r="G72" s="7" t="str">
        <f t="shared" si="31"/>
        <v/>
      </c>
      <c r="H72" s="8" t="str">
        <f t="shared" si="32"/>
        <v>Dream</v>
      </c>
      <c r="J72" s="8" t="str">
        <f t="shared" si="33"/>
        <v>class0024</v>
      </c>
      <c r="K72" s="8" t="str">
        <f t="shared" si="33"/>
        <v>dailoneskill0024</v>
      </c>
      <c r="L72" s="5" t="str">
        <f t="shared" si="26"/>
        <v>lootName,DAIL/items/materia/class0024/Dream.dbr,</v>
      </c>
      <c r="M72" s="5" t="str">
        <f t="shared" si="27"/>
        <v>lootWeight,1,</v>
      </c>
      <c r="N72" t="str">
        <f t="shared" si="28"/>
        <v>5</v>
      </c>
      <c r="O72" t="str">
        <f t="shared" si="37"/>
        <v/>
      </c>
      <c r="P72" t="str">
        <f t="shared" si="23"/>
        <v/>
      </c>
      <c r="Q72" t="str">
        <f t="shared" si="23"/>
        <v/>
      </c>
      <c r="R72" t="str">
        <f t="shared" si="23"/>
        <v/>
      </c>
      <c r="S72" t="str">
        <f t="shared" si="23"/>
        <v/>
      </c>
      <c r="T72" t="str">
        <f t="shared" si="23"/>
        <v/>
      </c>
      <c r="U72" t="str">
        <f t="shared" si="23"/>
        <v/>
      </c>
      <c r="V72" s="5" t="s">
        <v>36</v>
      </c>
      <c r="W72" t="str">
        <f t="shared" si="29"/>
        <v/>
      </c>
      <c r="X72" t="str">
        <f t="shared" si="29"/>
        <v/>
      </c>
      <c r="Y72" s="5" t="s">
        <v>36</v>
      </c>
      <c r="Z72" t="str">
        <f t="shared" si="30"/>
        <v/>
      </c>
      <c r="AA72" t="str">
        <f t="shared" si="38"/>
        <v/>
      </c>
      <c r="AB72" s="5" t="s">
        <v>36</v>
      </c>
      <c r="AH72">
        <f t="shared" ref="AH72:AH102" si="40">AH71+1</f>
        <v>67</v>
      </c>
      <c r="AI72">
        <f t="shared" si="34"/>
        <v>0</v>
      </c>
      <c r="AJ72">
        <f t="shared" si="39"/>
        <v>5</v>
      </c>
    </row>
    <row r="73" spans="1:36" x14ac:dyDescent="0.25">
      <c r="A73" s="5" t="s">
        <v>39</v>
      </c>
      <c r="B73" s="5" t="s">
        <v>30</v>
      </c>
      <c r="C73" s="5" t="str">
        <f t="shared" si="24"/>
        <v>description,dailCompDescDream,</v>
      </c>
      <c r="D73" s="5" t="str">
        <f t="shared" si="25"/>
        <v>itemText,dailCompTextDream,</v>
      </c>
      <c r="E73" s="5" t="str">
        <f t="shared" si="35"/>
        <v>augmentSkillLevel1,5,</v>
      </c>
      <c r="F73" s="5" t="str">
        <f t="shared" si="36"/>
        <v>augmentSkillName1,records/skills,</v>
      </c>
      <c r="G73" s="7" t="str">
        <f t="shared" si="31"/>
        <v/>
      </c>
      <c r="H73" s="8" t="str">
        <f t="shared" si="32"/>
        <v>Dream</v>
      </c>
      <c r="J73" s="8" t="str">
        <f t="shared" si="33"/>
        <v>class0024</v>
      </c>
      <c r="K73" s="8" t="str">
        <f t="shared" si="33"/>
        <v>dailoneskill0024</v>
      </c>
      <c r="L73" s="5" t="str">
        <f t="shared" si="26"/>
        <v>lootName,DAIL/items/materia/class0024/Dream.dbr,</v>
      </c>
      <c r="M73" s="5" t="str">
        <f t="shared" si="27"/>
        <v>lootWeight,1,</v>
      </c>
      <c r="N73" t="str">
        <f t="shared" si="28"/>
        <v>5</v>
      </c>
      <c r="O73" t="str">
        <f t="shared" si="37"/>
        <v/>
      </c>
      <c r="P73" t="str">
        <f t="shared" si="23"/>
        <v/>
      </c>
      <c r="Q73" t="str">
        <f t="shared" si="23"/>
        <v/>
      </c>
      <c r="R73" t="str">
        <f t="shared" si="23"/>
        <v/>
      </c>
      <c r="S73" t="str">
        <f t="shared" si="23"/>
        <v/>
      </c>
      <c r="T73" t="str">
        <f t="shared" si="23"/>
        <v/>
      </c>
      <c r="U73" t="str">
        <f t="shared" si="23"/>
        <v/>
      </c>
      <c r="V73" s="5" t="s">
        <v>36</v>
      </c>
      <c r="W73" t="str">
        <f t="shared" si="29"/>
        <v/>
      </c>
      <c r="X73" t="str">
        <f t="shared" si="29"/>
        <v/>
      </c>
      <c r="Y73" s="5" t="s">
        <v>36</v>
      </c>
      <c r="Z73" t="str">
        <f t="shared" si="30"/>
        <v/>
      </c>
      <c r="AA73" t="str">
        <f t="shared" si="38"/>
        <v/>
      </c>
      <c r="AB73" s="5" t="s">
        <v>36</v>
      </c>
      <c r="AH73">
        <f t="shared" si="40"/>
        <v>68</v>
      </c>
      <c r="AI73">
        <f t="shared" si="34"/>
        <v>0</v>
      </c>
      <c r="AJ73">
        <f t="shared" si="39"/>
        <v>5</v>
      </c>
    </row>
    <row r="74" spans="1:36" x14ac:dyDescent="0.25">
      <c r="A74" s="5" t="s">
        <v>39</v>
      </c>
      <c r="B74" s="5" t="s">
        <v>30</v>
      </c>
      <c r="C74" s="5" t="str">
        <f t="shared" si="24"/>
        <v>description,dailCompDescDream,</v>
      </c>
      <c r="D74" s="5" t="str">
        <f t="shared" si="25"/>
        <v>itemText,dailCompTextDream,</v>
      </c>
      <c r="E74" s="5" t="str">
        <f t="shared" si="35"/>
        <v>augmentSkillLevel1,5,</v>
      </c>
      <c r="F74" s="5" t="str">
        <f t="shared" si="36"/>
        <v>augmentSkillName1,records/skills,</v>
      </c>
      <c r="G74" s="7" t="str">
        <f t="shared" si="31"/>
        <v/>
      </c>
      <c r="H74" s="8" t="str">
        <f t="shared" si="32"/>
        <v>Dream</v>
      </c>
      <c r="J74" s="8" t="str">
        <f t="shared" si="33"/>
        <v>class0024</v>
      </c>
      <c r="K74" s="8" t="str">
        <f t="shared" si="33"/>
        <v>dailoneskill0024</v>
      </c>
      <c r="L74" s="5" t="str">
        <f t="shared" si="26"/>
        <v>lootName,DAIL/items/materia/class0024/Dream.dbr,</v>
      </c>
      <c r="M74" s="5" t="str">
        <f t="shared" si="27"/>
        <v>lootWeight,1,</v>
      </c>
      <c r="N74" t="str">
        <f t="shared" si="28"/>
        <v>5</v>
      </c>
      <c r="O74" t="str">
        <f t="shared" si="37"/>
        <v/>
      </c>
      <c r="P74" t="str">
        <f t="shared" si="23"/>
        <v/>
      </c>
      <c r="Q74" t="str">
        <f t="shared" si="23"/>
        <v/>
      </c>
      <c r="R74" t="str">
        <f t="shared" si="23"/>
        <v/>
      </c>
      <c r="S74" t="str">
        <f t="shared" si="23"/>
        <v/>
      </c>
      <c r="T74" t="str">
        <f t="shared" si="23"/>
        <v/>
      </c>
      <c r="U74" t="str">
        <f t="shared" si="23"/>
        <v/>
      </c>
      <c r="V74" s="5" t="s">
        <v>36</v>
      </c>
      <c r="W74" t="str">
        <f t="shared" si="29"/>
        <v/>
      </c>
      <c r="X74" t="str">
        <f t="shared" si="29"/>
        <v/>
      </c>
      <c r="Y74" s="5" t="s">
        <v>36</v>
      </c>
      <c r="Z74" t="str">
        <f t="shared" si="30"/>
        <v/>
      </c>
      <c r="AA74" t="str">
        <f t="shared" si="38"/>
        <v/>
      </c>
      <c r="AB74" s="5" t="s">
        <v>36</v>
      </c>
      <c r="AH74">
        <f t="shared" si="40"/>
        <v>69</v>
      </c>
      <c r="AI74">
        <f t="shared" si="34"/>
        <v>0</v>
      </c>
      <c r="AJ74">
        <f t="shared" si="39"/>
        <v>5</v>
      </c>
    </row>
    <row r="75" spans="1:36" x14ac:dyDescent="0.25">
      <c r="A75" s="5" t="s">
        <v>39</v>
      </c>
      <c r="B75" s="5" t="s">
        <v>30</v>
      </c>
      <c r="C75" s="5" t="str">
        <f t="shared" si="24"/>
        <v>description,dailCompDescDream,</v>
      </c>
      <c r="D75" s="5" t="str">
        <f t="shared" si="25"/>
        <v>itemText,dailCompTextDream,</v>
      </c>
      <c r="E75" s="5" t="str">
        <f t="shared" si="35"/>
        <v>augmentSkillLevel1,5,</v>
      </c>
      <c r="F75" s="5" t="str">
        <f t="shared" si="36"/>
        <v>augmentSkillName1,records/skills,</v>
      </c>
      <c r="G75" s="7" t="str">
        <f t="shared" si="31"/>
        <v/>
      </c>
      <c r="H75" s="8" t="str">
        <f t="shared" si="32"/>
        <v>Dream</v>
      </c>
      <c r="J75" s="8" t="str">
        <f t="shared" si="33"/>
        <v>class0024</v>
      </c>
      <c r="K75" s="8" t="str">
        <f t="shared" si="33"/>
        <v>dailoneskill0024</v>
      </c>
      <c r="L75" s="5" t="str">
        <f t="shared" si="26"/>
        <v>lootName,DAIL/items/materia/class0024/Dream.dbr,</v>
      </c>
      <c r="M75" s="5" t="str">
        <f t="shared" si="27"/>
        <v>lootWeight,1,</v>
      </c>
      <c r="N75" t="str">
        <f t="shared" si="28"/>
        <v>5</v>
      </c>
      <c r="O75" t="str">
        <f t="shared" si="37"/>
        <v/>
      </c>
      <c r="P75" t="str">
        <f t="shared" si="23"/>
        <v/>
      </c>
      <c r="Q75" t="str">
        <f t="shared" si="23"/>
        <v/>
      </c>
      <c r="R75" t="str">
        <f t="shared" si="23"/>
        <v/>
      </c>
      <c r="S75" t="str">
        <f t="shared" si="23"/>
        <v/>
      </c>
      <c r="T75" t="str">
        <f t="shared" si="23"/>
        <v/>
      </c>
      <c r="U75" t="str">
        <f t="shared" si="23"/>
        <v/>
      </c>
      <c r="V75" s="5" t="s">
        <v>36</v>
      </c>
      <c r="W75" t="str">
        <f t="shared" si="29"/>
        <v/>
      </c>
      <c r="X75" t="str">
        <f t="shared" si="29"/>
        <v/>
      </c>
      <c r="Y75" s="5" t="s">
        <v>36</v>
      </c>
      <c r="Z75" t="str">
        <f t="shared" si="30"/>
        <v/>
      </c>
      <c r="AA75" t="str">
        <f t="shared" si="38"/>
        <v/>
      </c>
      <c r="AB75" s="5" t="s">
        <v>36</v>
      </c>
      <c r="AH75">
        <f t="shared" si="40"/>
        <v>70</v>
      </c>
      <c r="AI75">
        <f t="shared" si="34"/>
        <v>0</v>
      </c>
      <c r="AJ75">
        <f t="shared" si="39"/>
        <v>5</v>
      </c>
    </row>
    <row r="76" spans="1:36" x14ac:dyDescent="0.25">
      <c r="A76" s="5" t="s">
        <v>39</v>
      </c>
      <c r="B76" s="5" t="s">
        <v>30</v>
      </c>
      <c r="C76" s="5" t="str">
        <f t="shared" si="24"/>
        <v>description,dailCompDescDream,</v>
      </c>
      <c r="D76" s="5" t="str">
        <f t="shared" si="25"/>
        <v>itemText,dailCompTextDream,</v>
      </c>
      <c r="E76" s="5" t="str">
        <f t="shared" si="35"/>
        <v>augmentSkillLevel1,5,</v>
      </c>
      <c r="F76" s="5" t="str">
        <f t="shared" si="36"/>
        <v>augmentSkillName1,records/skills,</v>
      </c>
      <c r="G76" s="7" t="str">
        <f t="shared" si="31"/>
        <v/>
      </c>
      <c r="H76" s="8" t="str">
        <f t="shared" si="32"/>
        <v>Dream</v>
      </c>
      <c r="J76" s="8" t="str">
        <f t="shared" si="33"/>
        <v>class0024</v>
      </c>
      <c r="K76" s="8" t="str">
        <f t="shared" si="33"/>
        <v>dailoneskill0024</v>
      </c>
      <c r="L76" s="5" t="str">
        <f t="shared" si="26"/>
        <v>lootName,DAIL/items/materia/class0024/Dream.dbr,</v>
      </c>
      <c r="M76" s="5" t="str">
        <f t="shared" si="27"/>
        <v>lootWeight,1,</v>
      </c>
      <c r="N76" t="str">
        <f t="shared" si="28"/>
        <v>5</v>
      </c>
      <c r="O76" t="str">
        <f t="shared" si="37"/>
        <v/>
      </c>
      <c r="P76" t="str">
        <f t="shared" si="23"/>
        <v/>
      </c>
      <c r="Q76" t="str">
        <f t="shared" si="23"/>
        <v/>
      </c>
      <c r="R76" t="str">
        <f t="shared" si="23"/>
        <v/>
      </c>
      <c r="S76" t="str">
        <f t="shared" si="23"/>
        <v/>
      </c>
      <c r="T76" t="str">
        <f t="shared" si="23"/>
        <v/>
      </c>
      <c r="U76" t="str">
        <f t="shared" si="23"/>
        <v/>
      </c>
      <c r="V76" s="5" t="s">
        <v>36</v>
      </c>
      <c r="W76" t="str">
        <f t="shared" si="29"/>
        <v/>
      </c>
      <c r="X76" t="str">
        <f t="shared" si="29"/>
        <v/>
      </c>
      <c r="Y76" s="5" t="s">
        <v>36</v>
      </c>
      <c r="Z76" t="str">
        <f t="shared" si="30"/>
        <v/>
      </c>
      <c r="AA76" t="str">
        <f t="shared" si="38"/>
        <v/>
      </c>
      <c r="AB76" s="5" t="s">
        <v>36</v>
      </c>
      <c r="AH76">
        <f t="shared" si="40"/>
        <v>71</v>
      </c>
      <c r="AI76">
        <f t="shared" si="34"/>
        <v>0</v>
      </c>
      <c r="AJ76">
        <f t="shared" si="39"/>
        <v>5</v>
      </c>
    </row>
    <row r="77" spans="1:36" x14ac:dyDescent="0.25">
      <c r="A77" s="5" t="s">
        <v>39</v>
      </c>
      <c r="B77" s="5" t="s">
        <v>30</v>
      </c>
      <c r="C77" s="5" t="str">
        <f t="shared" si="24"/>
        <v>description,dailCompDescDream,</v>
      </c>
      <c r="D77" s="5" t="str">
        <f t="shared" si="25"/>
        <v>itemText,dailCompTextDream,</v>
      </c>
      <c r="E77" s="5" t="str">
        <f t="shared" si="35"/>
        <v>augmentSkillLevel1,5,</v>
      </c>
      <c r="F77" s="5" t="str">
        <f t="shared" si="36"/>
        <v>augmentSkillName1,records/skills,</v>
      </c>
      <c r="G77" s="7" t="str">
        <f t="shared" si="31"/>
        <v/>
      </c>
      <c r="H77" s="8" t="str">
        <f t="shared" si="32"/>
        <v>Dream</v>
      </c>
      <c r="J77" s="8" t="str">
        <f t="shared" si="33"/>
        <v>class0024</v>
      </c>
      <c r="K77" s="8" t="str">
        <f t="shared" si="33"/>
        <v>dailoneskill0024</v>
      </c>
      <c r="L77" s="5" t="str">
        <f t="shared" si="26"/>
        <v>lootName,DAIL/items/materia/class0024/Dream.dbr,</v>
      </c>
      <c r="M77" s="5" t="str">
        <f t="shared" si="27"/>
        <v>lootWeight,1,</v>
      </c>
      <c r="N77" t="str">
        <f t="shared" si="28"/>
        <v>5</v>
      </c>
      <c r="O77" t="str">
        <f t="shared" si="37"/>
        <v/>
      </c>
      <c r="P77" t="str">
        <f t="shared" si="23"/>
        <v/>
      </c>
      <c r="Q77" t="str">
        <f t="shared" si="23"/>
        <v/>
      </c>
      <c r="R77" t="str">
        <f t="shared" si="23"/>
        <v/>
      </c>
      <c r="S77" t="str">
        <f t="shared" si="23"/>
        <v/>
      </c>
      <c r="T77" t="str">
        <f t="shared" si="23"/>
        <v/>
      </c>
      <c r="U77" t="str">
        <f t="shared" si="23"/>
        <v/>
      </c>
      <c r="V77" s="5" t="s">
        <v>36</v>
      </c>
      <c r="W77" t="str">
        <f t="shared" si="29"/>
        <v/>
      </c>
      <c r="X77" t="str">
        <f t="shared" si="29"/>
        <v/>
      </c>
      <c r="Y77" s="5" t="s">
        <v>36</v>
      </c>
      <c r="Z77" t="str">
        <f t="shared" si="30"/>
        <v/>
      </c>
      <c r="AA77" t="str">
        <f t="shared" si="38"/>
        <v/>
      </c>
      <c r="AB77" s="5" t="s">
        <v>36</v>
      </c>
      <c r="AH77">
        <f t="shared" si="40"/>
        <v>72</v>
      </c>
      <c r="AI77">
        <f t="shared" si="34"/>
        <v>0</v>
      </c>
      <c r="AJ77">
        <f t="shared" si="39"/>
        <v>5</v>
      </c>
    </row>
    <row r="78" spans="1:36" x14ac:dyDescent="0.25">
      <c r="A78" s="5" t="s">
        <v>39</v>
      </c>
      <c r="B78" s="5" t="s">
        <v>30</v>
      </c>
      <c r="C78" s="5" t="str">
        <f t="shared" si="24"/>
        <v>description,dailCompDescDream,</v>
      </c>
      <c r="D78" s="5" t="str">
        <f t="shared" si="25"/>
        <v>itemText,dailCompTextDream,</v>
      </c>
      <c r="E78" s="5" t="str">
        <f t="shared" si="35"/>
        <v>augmentSkillLevel1,5,</v>
      </c>
      <c r="F78" s="5" t="str">
        <f t="shared" si="36"/>
        <v>augmentSkillName1,records/skills,</v>
      </c>
      <c r="G78" s="7" t="str">
        <f t="shared" si="31"/>
        <v/>
      </c>
      <c r="H78" s="8" t="str">
        <f t="shared" si="32"/>
        <v>Dream</v>
      </c>
      <c r="J78" s="8" t="str">
        <f t="shared" si="33"/>
        <v>class0024</v>
      </c>
      <c r="K78" s="8" t="str">
        <f t="shared" si="33"/>
        <v>dailoneskill0024</v>
      </c>
      <c r="L78" s="5" t="str">
        <f t="shared" si="26"/>
        <v>lootName,DAIL/items/materia/class0024/Dream.dbr,</v>
      </c>
      <c r="M78" s="5" t="str">
        <f t="shared" si="27"/>
        <v>lootWeight,1,</v>
      </c>
      <c r="N78" t="str">
        <f t="shared" si="28"/>
        <v>5</v>
      </c>
      <c r="O78" t="str">
        <f t="shared" si="37"/>
        <v/>
      </c>
      <c r="P78" t="str">
        <f t="shared" si="23"/>
        <v/>
      </c>
      <c r="Q78" t="str">
        <f t="shared" si="23"/>
        <v/>
      </c>
      <c r="R78" t="str">
        <f t="shared" si="23"/>
        <v/>
      </c>
      <c r="S78" t="str">
        <f t="shared" si="23"/>
        <v/>
      </c>
      <c r="T78" t="str">
        <f t="shared" si="23"/>
        <v/>
      </c>
      <c r="U78" t="str">
        <f t="shared" si="23"/>
        <v/>
      </c>
      <c r="V78" s="5" t="s">
        <v>36</v>
      </c>
      <c r="W78" t="str">
        <f t="shared" si="29"/>
        <v/>
      </c>
      <c r="X78" t="str">
        <f t="shared" si="29"/>
        <v/>
      </c>
      <c r="Y78" s="5" t="s">
        <v>36</v>
      </c>
      <c r="Z78" t="str">
        <f t="shared" si="30"/>
        <v/>
      </c>
      <c r="AA78" t="str">
        <f t="shared" si="38"/>
        <v/>
      </c>
      <c r="AB78" s="5" t="s">
        <v>36</v>
      </c>
      <c r="AH78">
        <f t="shared" si="40"/>
        <v>73</v>
      </c>
      <c r="AI78">
        <f t="shared" si="34"/>
        <v>0</v>
      </c>
      <c r="AJ78">
        <f t="shared" si="39"/>
        <v>5</v>
      </c>
    </row>
    <row r="79" spans="1:36" x14ac:dyDescent="0.25">
      <c r="A79" s="5" t="s">
        <v>39</v>
      </c>
      <c r="B79" s="5" t="s">
        <v>30</v>
      </c>
      <c r="C79" s="5" t="str">
        <f t="shared" si="24"/>
        <v>description,dailCompDescDream,</v>
      </c>
      <c r="D79" s="5" t="str">
        <f t="shared" si="25"/>
        <v>itemText,dailCompTextDream,</v>
      </c>
      <c r="E79" s="5" t="str">
        <f t="shared" si="35"/>
        <v>augmentSkillLevel1,5,</v>
      </c>
      <c r="F79" s="5" t="str">
        <f t="shared" si="36"/>
        <v>augmentSkillName1,records/skills,</v>
      </c>
      <c r="G79" s="7" t="str">
        <f t="shared" si="31"/>
        <v/>
      </c>
      <c r="H79" s="8" t="str">
        <f t="shared" si="32"/>
        <v>Dream</v>
      </c>
      <c r="J79" s="8" t="str">
        <f t="shared" si="33"/>
        <v>class0024</v>
      </c>
      <c r="K79" s="8" t="str">
        <f t="shared" si="33"/>
        <v>dailoneskill0024</v>
      </c>
      <c r="L79" s="5" t="str">
        <f t="shared" si="26"/>
        <v>lootName,DAIL/items/materia/class0024/Dream.dbr,</v>
      </c>
      <c r="M79" s="5" t="str">
        <f t="shared" si="27"/>
        <v>lootWeight,1,</v>
      </c>
      <c r="N79" t="str">
        <f t="shared" si="28"/>
        <v>5</v>
      </c>
      <c r="O79" t="str">
        <f t="shared" si="37"/>
        <v/>
      </c>
      <c r="P79" t="str">
        <f t="shared" si="23"/>
        <v/>
      </c>
      <c r="Q79" t="str">
        <f t="shared" si="23"/>
        <v/>
      </c>
      <c r="R79" t="str">
        <f t="shared" si="23"/>
        <v/>
      </c>
      <c r="S79" t="str">
        <f t="shared" si="23"/>
        <v/>
      </c>
      <c r="T79" t="str">
        <f t="shared" si="23"/>
        <v/>
      </c>
      <c r="U79" t="str">
        <f t="shared" si="23"/>
        <v/>
      </c>
      <c r="V79" s="5" t="s">
        <v>36</v>
      </c>
      <c r="W79" t="str">
        <f t="shared" si="29"/>
        <v/>
      </c>
      <c r="X79" t="str">
        <f t="shared" si="29"/>
        <v/>
      </c>
      <c r="Y79" s="5" t="s">
        <v>36</v>
      </c>
      <c r="Z79" t="str">
        <f t="shared" si="30"/>
        <v/>
      </c>
      <c r="AA79" t="str">
        <f t="shared" si="38"/>
        <v/>
      </c>
      <c r="AB79" s="5" t="s">
        <v>36</v>
      </c>
      <c r="AH79">
        <f t="shared" si="40"/>
        <v>74</v>
      </c>
      <c r="AI79">
        <f t="shared" si="34"/>
        <v>0</v>
      </c>
      <c r="AJ79">
        <f t="shared" si="39"/>
        <v>5</v>
      </c>
    </row>
    <row r="80" spans="1:36" x14ac:dyDescent="0.25">
      <c r="A80" s="5" t="s">
        <v>39</v>
      </c>
      <c r="B80" s="5" t="s">
        <v>30</v>
      </c>
      <c r="C80" s="5" t="str">
        <f t="shared" si="24"/>
        <v>description,dailCompDescDream,</v>
      </c>
      <c r="D80" s="5" t="str">
        <f t="shared" si="25"/>
        <v>itemText,dailCompTextDream,</v>
      </c>
      <c r="E80" s="5" t="str">
        <f t="shared" si="35"/>
        <v>augmentSkillLevel1,5,</v>
      </c>
      <c r="F80" s="5" t="str">
        <f t="shared" si="36"/>
        <v>augmentSkillName1,records/skills,</v>
      </c>
      <c r="G80" s="7" t="str">
        <f t="shared" si="31"/>
        <v/>
      </c>
      <c r="H80" s="8" t="str">
        <f t="shared" si="32"/>
        <v>Dream</v>
      </c>
      <c r="J80" s="8" t="str">
        <f t="shared" si="33"/>
        <v>class0024</v>
      </c>
      <c r="K80" s="8" t="str">
        <f t="shared" si="33"/>
        <v>dailoneskill0024</v>
      </c>
      <c r="L80" s="5" t="str">
        <f t="shared" si="26"/>
        <v>lootName,DAIL/items/materia/class0024/Dream.dbr,</v>
      </c>
      <c r="M80" s="5" t="str">
        <f t="shared" si="27"/>
        <v>lootWeight,1,</v>
      </c>
      <c r="N80" t="str">
        <f t="shared" si="28"/>
        <v>5</v>
      </c>
      <c r="O80" t="str">
        <f t="shared" si="37"/>
        <v/>
      </c>
      <c r="P80" t="str">
        <f t="shared" si="23"/>
        <v/>
      </c>
      <c r="Q80" t="str">
        <f t="shared" si="23"/>
        <v/>
      </c>
      <c r="R80" t="str">
        <f t="shared" si="23"/>
        <v/>
      </c>
      <c r="S80" t="str">
        <f t="shared" si="23"/>
        <v/>
      </c>
      <c r="T80" t="str">
        <f t="shared" si="23"/>
        <v/>
      </c>
      <c r="U80" t="str">
        <f t="shared" si="23"/>
        <v/>
      </c>
      <c r="V80" s="5" t="s">
        <v>36</v>
      </c>
      <c r="W80" t="str">
        <f t="shared" si="29"/>
        <v/>
      </c>
      <c r="X80" t="str">
        <f t="shared" si="29"/>
        <v/>
      </c>
      <c r="Y80" s="5" t="s">
        <v>36</v>
      </c>
      <c r="Z80" t="str">
        <f t="shared" si="30"/>
        <v/>
      </c>
      <c r="AA80" t="str">
        <f t="shared" si="38"/>
        <v/>
      </c>
      <c r="AB80" s="5" t="s">
        <v>36</v>
      </c>
      <c r="AH80">
        <f t="shared" si="40"/>
        <v>75</v>
      </c>
      <c r="AI80">
        <f t="shared" si="34"/>
        <v>0</v>
      </c>
      <c r="AJ80">
        <f t="shared" si="39"/>
        <v>5</v>
      </c>
    </row>
    <row r="81" spans="1:36" x14ac:dyDescent="0.25">
      <c r="A81" s="5" t="s">
        <v>39</v>
      </c>
      <c r="B81" s="5" t="s">
        <v>30</v>
      </c>
      <c r="C81" s="5" t="str">
        <f t="shared" si="24"/>
        <v>description,dailCompDescDream,</v>
      </c>
      <c r="D81" s="5" t="str">
        <f t="shared" si="25"/>
        <v>itemText,dailCompTextDream,</v>
      </c>
      <c r="E81" s="5" t="str">
        <f t="shared" si="35"/>
        <v>augmentSkillLevel1,5,</v>
      </c>
      <c r="F81" s="5" t="str">
        <f t="shared" si="36"/>
        <v>augmentSkillName1,records/skills,</v>
      </c>
      <c r="G81" s="7" t="str">
        <f t="shared" si="31"/>
        <v/>
      </c>
      <c r="H81" s="8" t="str">
        <f t="shared" si="32"/>
        <v>Dream</v>
      </c>
      <c r="J81" s="8" t="str">
        <f t="shared" si="33"/>
        <v>class0024</v>
      </c>
      <c r="K81" s="8" t="str">
        <f t="shared" si="33"/>
        <v>dailoneskill0024</v>
      </c>
      <c r="L81" s="5" t="str">
        <f t="shared" si="26"/>
        <v>lootName,DAIL/items/materia/class0024/Dream.dbr,</v>
      </c>
      <c r="M81" s="5" t="str">
        <f t="shared" si="27"/>
        <v>lootWeight,1,</v>
      </c>
      <c r="N81" t="str">
        <f t="shared" si="28"/>
        <v>5</v>
      </c>
      <c r="O81" t="str">
        <f t="shared" si="37"/>
        <v/>
      </c>
      <c r="P81" t="str">
        <f t="shared" si="23"/>
        <v/>
      </c>
      <c r="Q81" t="str">
        <f t="shared" si="23"/>
        <v/>
      </c>
      <c r="R81" t="str">
        <f t="shared" si="23"/>
        <v/>
      </c>
      <c r="S81" t="str">
        <f t="shared" si="23"/>
        <v/>
      </c>
      <c r="T81" t="str">
        <f t="shared" si="23"/>
        <v/>
      </c>
      <c r="U81" t="str">
        <f t="shared" si="23"/>
        <v/>
      </c>
      <c r="V81" s="5" t="s">
        <v>36</v>
      </c>
      <c r="W81" t="str">
        <f t="shared" si="29"/>
        <v/>
      </c>
      <c r="X81" t="str">
        <f t="shared" si="29"/>
        <v/>
      </c>
      <c r="Y81" s="5" t="s">
        <v>36</v>
      </c>
      <c r="Z81" t="str">
        <f t="shared" si="30"/>
        <v/>
      </c>
      <c r="AA81" t="str">
        <f t="shared" si="38"/>
        <v/>
      </c>
      <c r="AB81" s="5" t="s">
        <v>36</v>
      </c>
      <c r="AH81">
        <f t="shared" si="40"/>
        <v>76</v>
      </c>
      <c r="AI81">
        <f t="shared" si="34"/>
        <v>0</v>
      </c>
      <c r="AJ81">
        <f t="shared" si="39"/>
        <v>5</v>
      </c>
    </row>
    <row r="82" spans="1:36" x14ac:dyDescent="0.25">
      <c r="A82" s="5" t="s">
        <v>39</v>
      </c>
      <c r="B82" s="5" t="s">
        <v>30</v>
      </c>
      <c r="C82" s="5" t="str">
        <f t="shared" si="24"/>
        <v>description,dailCompDescDream,</v>
      </c>
      <c r="D82" s="5" t="str">
        <f t="shared" si="25"/>
        <v>itemText,dailCompTextDream,</v>
      </c>
      <c r="E82" s="5" t="str">
        <f t="shared" si="35"/>
        <v>augmentSkillLevel1,5,</v>
      </c>
      <c r="F82" s="5" t="str">
        <f t="shared" si="36"/>
        <v>augmentSkillName1,records/skills,</v>
      </c>
      <c r="G82" s="7" t="str">
        <f t="shared" si="31"/>
        <v/>
      </c>
      <c r="H82" s="8" t="str">
        <f t="shared" si="32"/>
        <v>Dream</v>
      </c>
      <c r="J82" s="8" t="str">
        <f t="shared" si="33"/>
        <v>class0024</v>
      </c>
      <c r="K82" s="8" t="str">
        <f t="shared" si="33"/>
        <v>dailoneskill0024</v>
      </c>
      <c r="L82" s="5" t="str">
        <f t="shared" si="26"/>
        <v>lootName,DAIL/items/materia/class0024/Dream.dbr,</v>
      </c>
      <c r="M82" s="5" t="str">
        <f t="shared" si="27"/>
        <v>lootWeight,1,</v>
      </c>
      <c r="N82" t="str">
        <f t="shared" si="28"/>
        <v>5</v>
      </c>
      <c r="O82" t="str">
        <f t="shared" si="37"/>
        <v/>
      </c>
      <c r="P82" t="str">
        <f t="shared" si="23"/>
        <v/>
      </c>
      <c r="Q82" t="str">
        <f t="shared" si="23"/>
        <v/>
      </c>
      <c r="R82" t="str">
        <f t="shared" si="23"/>
        <v/>
      </c>
      <c r="S82" t="str">
        <f t="shared" si="23"/>
        <v/>
      </c>
      <c r="T82" t="str">
        <f t="shared" si="23"/>
        <v/>
      </c>
      <c r="U82" t="str">
        <f t="shared" si="23"/>
        <v/>
      </c>
      <c r="V82" s="5" t="s">
        <v>36</v>
      </c>
      <c r="W82" t="str">
        <f t="shared" si="29"/>
        <v/>
      </c>
      <c r="X82" t="str">
        <f t="shared" si="29"/>
        <v/>
      </c>
      <c r="Y82" s="5" t="s">
        <v>36</v>
      </c>
      <c r="Z82" t="str">
        <f t="shared" si="30"/>
        <v/>
      </c>
      <c r="AA82" t="str">
        <f t="shared" si="38"/>
        <v/>
      </c>
      <c r="AB82" s="5" t="s">
        <v>36</v>
      </c>
      <c r="AH82">
        <f t="shared" si="40"/>
        <v>77</v>
      </c>
      <c r="AI82">
        <f t="shared" si="34"/>
        <v>0</v>
      </c>
      <c r="AJ82">
        <f t="shared" si="39"/>
        <v>5</v>
      </c>
    </row>
    <row r="83" spans="1:36" x14ac:dyDescent="0.25">
      <c r="A83" s="5" t="s">
        <v>39</v>
      </c>
      <c r="B83" s="5" t="s">
        <v>30</v>
      </c>
      <c r="C83" s="5" t="str">
        <f t="shared" si="24"/>
        <v>description,dailCompDescDream,</v>
      </c>
      <c r="D83" s="5" t="str">
        <f t="shared" si="25"/>
        <v>itemText,dailCompTextDream,</v>
      </c>
      <c r="E83" s="5" t="str">
        <f t="shared" si="35"/>
        <v>augmentSkillLevel1,5,</v>
      </c>
      <c r="F83" s="5" t="str">
        <f t="shared" si="36"/>
        <v>augmentSkillName1,records/skills,</v>
      </c>
      <c r="G83" s="7" t="str">
        <f t="shared" si="31"/>
        <v/>
      </c>
      <c r="H83" s="8" t="str">
        <f t="shared" si="32"/>
        <v>Dream</v>
      </c>
      <c r="J83" s="8" t="str">
        <f t="shared" si="33"/>
        <v>class0024</v>
      </c>
      <c r="K83" s="8" t="str">
        <f t="shared" si="33"/>
        <v>dailoneskill0024</v>
      </c>
      <c r="L83" s="5" t="str">
        <f t="shared" si="26"/>
        <v>lootName,DAIL/items/materia/class0024/Dream.dbr,</v>
      </c>
      <c r="M83" s="5" t="str">
        <f t="shared" si="27"/>
        <v>lootWeight,1,</v>
      </c>
      <c r="N83" t="str">
        <f t="shared" si="28"/>
        <v>5</v>
      </c>
      <c r="O83" t="str">
        <f t="shared" si="37"/>
        <v/>
      </c>
      <c r="P83" t="str">
        <f t="shared" si="23"/>
        <v/>
      </c>
      <c r="Q83" t="str">
        <f t="shared" si="23"/>
        <v/>
      </c>
      <c r="R83" t="str">
        <f t="shared" si="23"/>
        <v/>
      </c>
      <c r="S83" t="str">
        <f t="shared" si="23"/>
        <v/>
      </c>
      <c r="T83" t="str">
        <f t="shared" si="23"/>
        <v/>
      </c>
      <c r="U83" t="str">
        <f t="shared" si="23"/>
        <v/>
      </c>
      <c r="V83" s="5" t="s">
        <v>36</v>
      </c>
      <c r="W83" t="str">
        <f t="shared" si="29"/>
        <v/>
      </c>
      <c r="X83" t="str">
        <f t="shared" si="29"/>
        <v/>
      </c>
      <c r="Y83" s="5" t="s">
        <v>36</v>
      </c>
      <c r="Z83" t="str">
        <f t="shared" si="30"/>
        <v/>
      </c>
      <c r="AA83" t="str">
        <f t="shared" si="38"/>
        <v/>
      </c>
      <c r="AB83" s="5" t="s">
        <v>36</v>
      </c>
      <c r="AH83">
        <f t="shared" si="40"/>
        <v>78</v>
      </c>
      <c r="AI83">
        <f t="shared" si="34"/>
        <v>0</v>
      </c>
      <c r="AJ83">
        <f t="shared" si="39"/>
        <v>5</v>
      </c>
    </row>
    <row r="84" spans="1:36" x14ac:dyDescent="0.25">
      <c r="A84" s="5" t="s">
        <v>39</v>
      </c>
      <c r="B84" s="5" t="s">
        <v>30</v>
      </c>
      <c r="C84" s="5" t="str">
        <f t="shared" si="24"/>
        <v>description,dailCompDescDream,</v>
      </c>
      <c r="D84" s="5" t="str">
        <f t="shared" si="25"/>
        <v>itemText,dailCompTextDream,</v>
      </c>
      <c r="E84" s="5" t="str">
        <f t="shared" si="35"/>
        <v>augmentSkillLevel1,5,</v>
      </c>
      <c r="F84" s="5" t="str">
        <f t="shared" si="36"/>
        <v>augmentSkillName1,records/skills,</v>
      </c>
      <c r="G84" s="7" t="str">
        <f t="shared" si="31"/>
        <v/>
      </c>
      <c r="H84" s="8" t="str">
        <f t="shared" si="32"/>
        <v>Dream</v>
      </c>
      <c r="J84" s="8" t="str">
        <f t="shared" si="33"/>
        <v>class0024</v>
      </c>
      <c r="K84" s="8" t="str">
        <f t="shared" si="33"/>
        <v>dailoneskill0024</v>
      </c>
      <c r="L84" s="5" t="str">
        <f t="shared" si="26"/>
        <v>lootName,DAIL/items/materia/class0024/Dream.dbr,</v>
      </c>
      <c r="M84" s="5" t="str">
        <f t="shared" si="27"/>
        <v>lootWeight,1,</v>
      </c>
      <c r="N84" t="str">
        <f t="shared" si="28"/>
        <v>5</v>
      </c>
      <c r="O84" t="str">
        <f t="shared" si="37"/>
        <v/>
      </c>
      <c r="P84" t="str">
        <f t="shared" si="23"/>
        <v/>
      </c>
      <c r="Q84" t="str">
        <f t="shared" si="23"/>
        <v/>
      </c>
      <c r="R84" t="str">
        <f t="shared" si="23"/>
        <v/>
      </c>
      <c r="S84" t="str">
        <f t="shared" si="23"/>
        <v/>
      </c>
      <c r="T84" t="str">
        <f t="shared" si="23"/>
        <v/>
      </c>
      <c r="U84" t="str">
        <f t="shared" si="23"/>
        <v/>
      </c>
      <c r="V84" s="5" t="s">
        <v>36</v>
      </c>
      <c r="W84" t="str">
        <f t="shared" si="29"/>
        <v/>
      </c>
      <c r="X84" t="str">
        <f t="shared" si="29"/>
        <v/>
      </c>
      <c r="Y84" s="5" t="s">
        <v>36</v>
      </c>
      <c r="Z84" t="str">
        <f t="shared" si="30"/>
        <v/>
      </c>
      <c r="AA84" t="str">
        <f t="shared" si="38"/>
        <v/>
      </c>
      <c r="AB84" s="5" t="s">
        <v>36</v>
      </c>
      <c r="AH84">
        <f t="shared" si="40"/>
        <v>79</v>
      </c>
      <c r="AI84">
        <f t="shared" si="34"/>
        <v>0</v>
      </c>
      <c r="AJ84">
        <f t="shared" si="39"/>
        <v>5</v>
      </c>
    </row>
    <row r="85" spans="1:36" x14ac:dyDescent="0.25">
      <c r="A85" s="5" t="s">
        <v>39</v>
      </c>
      <c r="B85" s="5" t="s">
        <v>30</v>
      </c>
      <c r="C85" s="5" t="str">
        <f t="shared" si="24"/>
        <v>description,dailCompDescDream,</v>
      </c>
      <c r="D85" s="5" t="str">
        <f t="shared" si="25"/>
        <v>itemText,dailCompTextDream,</v>
      </c>
      <c r="E85" s="5" t="str">
        <f t="shared" si="35"/>
        <v>augmentSkillLevel1,5,</v>
      </c>
      <c r="F85" s="5" t="str">
        <f t="shared" si="36"/>
        <v>augmentSkillName1,records/skills,</v>
      </c>
      <c r="G85" s="7" t="str">
        <f t="shared" si="31"/>
        <v/>
      </c>
      <c r="H85" s="8" t="str">
        <f t="shared" si="32"/>
        <v>Dream</v>
      </c>
      <c r="J85" s="8" t="str">
        <f t="shared" ref="J85:K100" si="41">J84</f>
        <v>class0024</v>
      </c>
      <c r="K85" s="8" t="str">
        <f t="shared" si="41"/>
        <v>dailoneskill0024</v>
      </c>
      <c r="L85" s="5" t="str">
        <f t="shared" si="26"/>
        <v>lootName,DAIL/items/materia/class0024/Dream.dbr,</v>
      </c>
      <c r="M85" s="5" t="str">
        <f t="shared" si="27"/>
        <v>lootWeight,1,</v>
      </c>
      <c r="N85" t="str">
        <f t="shared" si="28"/>
        <v>5</v>
      </c>
      <c r="O85" t="str">
        <f t="shared" si="37"/>
        <v/>
      </c>
      <c r="P85" t="str">
        <f t="shared" si="23"/>
        <v/>
      </c>
      <c r="Q85" t="str">
        <f t="shared" si="23"/>
        <v/>
      </c>
      <c r="R85" t="str">
        <f t="shared" si="23"/>
        <v/>
      </c>
      <c r="S85" t="str">
        <f t="shared" si="23"/>
        <v/>
      </c>
      <c r="T85" t="str">
        <f t="shared" si="23"/>
        <v/>
      </c>
      <c r="U85" t="str">
        <f t="shared" si="23"/>
        <v/>
      </c>
      <c r="V85" s="5" t="s">
        <v>36</v>
      </c>
      <c r="W85" t="str">
        <f t="shared" si="29"/>
        <v/>
      </c>
      <c r="X85" t="str">
        <f t="shared" si="29"/>
        <v/>
      </c>
      <c r="Y85" s="5" t="s">
        <v>36</v>
      </c>
      <c r="Z85" t="str">
        <f t="shared" si="30"/>
        <v/>
      </c>
      <c r="AA85" t="str">
        <f t="shared" si="38"/>
        <v/>
      </c>
      <c r="AB85" s="5" t="s">
        <v>36</v>
      </c>
      <c r="AH85">
        <f t="shared" si="40"/>
        <v>80</v>
      </c>
      <c r="AI85">
        <f t="shared" si="34"/>
        <v>0</v>
      </c>
      <c r="AJ85">
        <f t="shared" si="39"/>
        <v>5</v>
      </c>
    </row>
    <row r="86" spans="1:36" x14ac:dyDescent="0.25">
      <c r="A86" s="5" t="s">
        <v>39</v>
      </c>
      <c r="B86" s="5" t="s">
        <v>30</v>
      </c>
      <c r="C86" s="5" t="str">
        <f t="shared" si="24"/>
        <v>description,dailCompDescDream,</v>
      </c>
      <c r="D86" s="5" t="str">
        <f t="shared" si="25"/>
        <v>itemText,dailCompTextDream,</v>
      </c>
      <c r="E86" s="5" t="str">
        <f t="shared" si="35"/>
        <v>augmentSkillLevel1,5,</v>
      </c>
      <c r="F86" s="5" t="str">
        <f t="shared" si="36"/>
        <v>augmentSkillName1,records/skills,</v>
      </c>
      <c r="G86" s="7" t="str">
        <f t="shared" si="31"/>
        <v/>
      </c>
      <c r="H86" s="8" t="str">
        <f t="shared" si="32"/>
        <v>Dream</v>
      </c>
      <c r="J86" s="8" t="str">
        <f t="shared" si="41"/>
        <v>class0024</v>
      </c>
      <c r="K86" s="8" t="str">
        <f t="shared" si="41"/>
        <v>dailoneskill0024</v>
      </c>
      <c r="L86" s="5" t="str">
        <f t="shared" si="26"/>
        <v>lootName,DAIL/items/materia/class0024/Dream.dbr,</v>
      </c>
      <c r="M86" s="5" t="str">
        <f t="shared" si="27"/>
        <v>lootWeight,1,</v>
      </c>
      <c r="N86" t="str">
        <f t="shared" si="28"/>
        <v>5</v>
      </c>
      <c r="O86" t="str">
        <f t="shared" si="37"/>
        <v/>
      </c>
      <c r="P86" t="str">
        <f t="shared" si="23"/>
        <v/>
      </c>
      <c r="Q86" t="str">
        <f t="shared" si="23"/>
        <v/>
      </c>
      <c r="R86" t="str">
        <f t="shared" si="23"/>
        <v/>
      </c>
      <c r="S86" t="str">
        <f t="shared" si="23"/>
        <v/>
      </c>
      <c r="T86" t="str">
        <f t="shared" si="23"/>
        <v/>
      </c>
      <c r="U86" t="str">
        <f t="shared" si="23"/>
        <v/>
      </c>
      <c r="V86" s="5" t="s">
        <v>36</v>
      </c>
      <c r="W86" t="str">
        <f t="shared" si="29"/>
        <v/>
      </c>
      <c r="X86" t="str">
        <f t="shared" si="29"/>
        <v/>
      </c>
      <c r="Y86" s="5" t="s">
        <v>36</v>
      </c>
      <c r="Z86" t="str">
        <f t="shared" si="30"/>
        <v/>
      </c>
      <c r="AA86" t="str">
        <f t="shared" si="38"/>
        <v/>
      </c>
      <c r="AB86" s="5" t="s">
        <v>36</v>
      </c>
      <c r="AH86">
        <f t="shared" si="40"/>
        <v>81</v>
      </c>
      <c r="AI86">
        <f t="shared" si="34"/>
        <v>0</v>
      </c>
      <c r="AJ86">
        <f t="shared" si="39"/>
        <v>5</v>
      </c>
    </row>
    <row r="87" spans="1:36" x14ac:dyDescent="0.25">
      <c r="A87" s="5" t="s">
        <v>39</v>
      </c>
      <c r="B87" s="5" t="s">
        <v>30</v>
      </c>
      <c r="C87" s="5" t="str">
        <f t="shared" si="24"/>
        <v>description,dailCompDescDream,</v>
      </c>
      <c r="D87" s="5" t="str">
        <f t="shared" si="25"/>
        <v>itemText,dailCompTextDream,</v>
      </c>
      <c r="E87" s="5" t="str">
        <f t="shared" si="35"/>
        <v>augmentSkillLevel1,5,</v>
      </c>
      <c r="F87" s="5" t="str">
        <f t="shared" si="36"/>
        <v>augmentSkillName1,records/skills,</v>
      </c>
      <c r="G87" s="7" t="str">
        <f t="shared" si="31"/>
        <v/>
      </c>
      <c r="H87" s="8" t="str">
        <f t="shared" si="32"/>
        <v>Dream</v>
      </c>
      <c r="J87" s="8" t="str">
        <f t="shared" si="41"/>
        <v>class0024</v>
      </c>
      <c r="K87" s="8" t="str">
        <f t="shared" si="41"/>
        <v>dailoneskill0024</v>
      </c>
      <c r="L87" s="5" t="str">
        <f t="shared" si="26"/>
        <v>lootName,DAIL/items/materia/class0024/Dream.dbr,</v>
      </c>
      <c r="M87" s="5" t="str">
        <f t="shared" si="27"/>
        <v>lootWeight,1,</v>
      </c>
      <c r="N87" t="str">
        <f t="shared" si="28"/>
        <v>5</v>
      </c>
      <c r="O87" t="str">
        <f t="shared" si="37"/>
        <v/>
      </c>
      <c r="P87" t="str">
        <f t="shared" si="23"/>
        <v/>
      </c>
      <c r="Q87" t="str">
        <f t="shared" si="23"/>
        <v/>
      </c>
      <c r="R87" t="str">
        <f t="shared" si="23"/>
        <v/>
      </c>
      <c r="S87" t="str">
        <f t="shared" si="23"/>
        <v/>
      </c>
      <c r="T87" t="str">
        <f t="shared" si="23"/>
        <v/>
      </c>
      <c r="U87" t="str">
        <f t="shared" si="23"/>
        <v/>
      </c>
      <c r="V87" s="5" t="s">
        <v>36</v>
      </c>
      <c r="W87" t="str">
        <f t="shared" si="29"/>
        <v/>
      </c>
      <c r="X87" t="str">
        <f t="shared" si="29"/>
        <v/>
      </c>
      <c r="Y87" s="5" t="s">
        <v>36</v>
      </c>
      <c r="Z87" t="str">
        <f t="shared" si="30"/>
        <v/>
      </c>
      <c r="AA87" t="str">
        <f t="shared" si="38"/>
        <v/>
      </c>
      <c r="AB87" s="5" t="s">
        <v>36</v>
      </c>
      <c r="AH87">
        <f t="shared" si="40"/>
        <v>82</v>
      </c>
      <c r="AI87">
        <f t="shared" si="34"/>
        <v>0</v>
      </c>
      <c r="AJ87">
        <f t="shared" si="39"/>
        <v>5</v>
      </c>
    </row>
    <row r="88" spans="1:36" x14ac:dyDescent="0.25">
      <c r="A88" s="5" t="s">
        <v>39</v>
      </c>
      <c r="B88" s="5" t="s">
        <v>30</v>
      </c>
      <c r="C88" s="5" t="str">
        <f t="shared" si="24"/>
        <v>description,dailCompDescDream,</v>
      </c>
      <c r="D88" s="5" t="str">
        <f t="shared" si="25"/>
        <v>itemText,dailCompTextDream,</v>
      </c>
      <c r="E88" s="5" t="str">
        <f t="shared" si="35"/>
        <v>augmentSkillLevel1,5,</v>
      </c>
      <c r="F88" s="5" t="str">
        <f t="shared" si="36"/>
        <v>augmentSkillName1,records/skills,</v>
      </c>
      <c r="G88" s="7" t="str">
        <f t="shared" si="31"/>
        <v/>
      </c>
      <c r="H88" s="8" t="str">
        <f t="shared" si="32"/>
        <v>Dream</v>
      </c>
      <c r="J88" s="8" t="str">
        <f t="shared" si="41"/>
        <v>class0024</v>
      </c>
      <c r="K88" s="8" t="str">
        <f t="shared" si="41"/>
        <v>dailoneskill0024</v>
      </c>
      <c r="L88" s="5" t="str">
        <f t="shared" si="26"/>
        <v>lootName,DAIL/items/materia/class0024/Dream.dbr,</v>
      </c>
      <c r="M88" s="5" t="str">
        <f t="shared" si="27"/>
        <v>lootWeight,1,</v>
      </c>
      <c r="N88" t="str">
        <f t="shared" si="28"/>
        <v>5</v>
      </c>
      <c r="O88" t="str">
        <f t="shared" si="37"/>
        <v/>
      </c>
      <c r="P88" t="str">
        <f t="shared" si="23"/>
        <v/>
      </c>
      <c r="Q88" t="str">
        <f t="shared" si="23"/>
        <v/>
      </c>
      <c r="R88" t="str">
        <f t="shared" si="23"/>
        <v/>
      </c>
      <c r="S88" t="str">
        <f t="shared" si="23"/>
        <v/>
      </c>
      <c r="T88" t="str">
        <f t="shared" si="23"/>
        <v/>
      </c>
      <c r="U88" t="str">
        <f t="shared" si="23"/>
        <v/>
      </c>
      <c r="V88" s="5" t="s">
        <v>36</v>
      </c>
      <c r="W88" t="str">
        <f t="shared" si="29"/>
        <v/>
      </c>
      <c r="X88" t="str">
        <f t="shared" si="29"/>
        <v/>
      </c>
      <c r="Y88" s="5" t="s">
        <v>36</v>
      </c>
      <c r="Z88" t="str">
        <f t="shared" si="30"/>
        <v/>
      </c>
      <c r="AA88" t="str">
        <f t="shared" si="38"/>
        <v/>
      </c>
      <c r="AB88" s="5" t="s">
        <v>36</v>
      </c>
      <c r="AH88">
        <f t="shared" si="40"/>
        <v>83</v>
      </c>
      <c r="AI88">
        <f t="shared" si="34"/>
        <v>0</v>
      </c>
      <c r="AJ88">
        <f t="shared" si="39"/>
        <v>5</v>
      </c>
    </row>
    <row r="89" spans="1:36" x14ac:dyDescent="0.25">
      <c r="A89" s="5" t="s">
        <v>39</v>
      </c>
      <c r="B89" s="5" t="s">
        <v>30</v>
      </c>
      <c r="C89" s="5" t="str">
        <f t="shared" si="24"/>
        <v>description,dailCompDescDream,</v>
      </c>
      <c r="D89" s="5" t="str">
        <f t="shared" si="25"/>
        <v>itemText,dailCompTextDream,</v>
      </c>
      <c r="E89" s="5" t="str">
        <f t="shared" si="35"/>
        <v>augmentSkillLevel1,5,</v>
      </c>
      <c r="F89" s="5" t="str">
        <f t="shared" si="36"/>
        <v>augmentSkillName1,records/skills,</v>
      </c>
      <c r="G89" s="7" t="str">
        <f t="shared" si="31"/>
        <v/>
      </c>
      <c r="H89" s="8" t="str">
        <f t="shared" si="32"/>
        <v>Dream</v>
      </c>
      <c r="J89" s="8" t="str">
        <f t="shared" si="41"/>
        <v>class0024</v>
      </c>
      <c r="K89" s="8" t="str">
        <f t="shared" si="41"/>
        <v>dailoneskill0024</v>
      </c>
      <c r="L89" s="5" t="str">
        <f t="shared" si="26"/>
        <v>lootName,DAIL/items/materia/class0024/Dream.dbr,</v>
      </c>
      <c r="M89" s="5" t="str">
        <f t="shared" si="27"/>
        <v>lootWeight,1,</v>
      </c>
      <c r="N89" t="str">
        <f t="shared" si="28"/>
        <v>5</v>
      </c>
      <c r="O89" t="str">
        <f t="shared" si="37"/>
        <v/>
      </c>
      <c r="P89" t="str">
        <f t="shared" si="23"/>
        <v/>
      </c>
      <c r="Q89" t="str">
        <f t="shared" si="23"/>
        <v/>
      </c>
      <c r="R89" t="str">
        <f t="shared" si="23"/>
        <v/>
      </c>
      <c r="S89" t="str">
        <f t="shared" si="23"/>
        <v/>
      </c>
      <c r="T89" t="str">
        <f t="shared" si="23"/>
        <v/>
      </c>
      <c r="U89" t="str">
        <f t="shared" si="23"/>
        <v/>
      </c>
      <c r="V89" s="5" t="s">
        <v>36</v>
      </c>
      <c r="W89" t="str">
        <f t="shared" si="29"/>
        <v/>
      </c>
      <c r="X89" t="str">
        <f t="shared" si="29"/>
        <v/>
      </c>
      <c r="Y89" s="5" t="s">
        <v>36</v>
      </c>
      <c r="Z89" t="str">
        <f t="shared" si="30"/>
        <v/>
      </c>
      <c r="AA89" t="str">
        <f t="shared" si="38"/>
        <v/>
      </c>
      <c r="AB89" s="5" t="s">
        <v>36</v>
      </c>
      <c r="AH89">
        <f t="shared" si="40"/>
        <v>84</v>
      </c>
      <c r="AI89">
        <f t="shared" si="34"/>
        <v>0</v>
      </c>
      <c r="AJ89">
        <f t="shared" si="39"/>
        <v>5</v>
      </c>
    </row>
    <row r="90" spans="1:36" x14ac:dyDescent="0.25">
      <c r="A90" s="5" t="s">
        <v>39</v>
      </c>
      <c r="B90" s="5" t="s">
        <v>30</v>
      </c>
      <c r="C90" s="5" t="str">
        <f t="shared" si="24"/>
        <v>description,dailCompDescDream,</v>
      </c>
      <c r="D90" s="5" t="str">
        <f t="shared" si="25"/>
        <v>itemText,dailCompTextDream,</v>
      </c>
      <c r="E90" s="5" t="str">
        <f t="shared" si="35"/>
        <v>augmentSkillLevel1,5,</v>
      </c>
      <c r="F90" s="5" t="str">
        <f t="shared" si="36"/>
        <v>augmentSkillName1,records/skills,</v>
      </c>
      <c r="G90" s="7" t="str">
        <f t="shared" si="31"/>
        <v/>
      </c>
      <c r="H90" s="8" t="str">
        <f t="shared" si="32"/>
        <v>Dream</v>
      </c>
      <c r="J90" s="8" t="str">
        <f t="shared" si="41"/>
        <v>class0024</v>
      </c>
      <c r="K90" s="8" t="str">
        <f t="shared" si="41"/>
        <v>dailoneskill0024</v>
      </c>
      <c r="L90" s="5" t="str">
        <f t="shared" si="26"/>
        <v>lootName,DAIL/items/materia/class0024/Dream.dbr,</v>
      </c>
      <c r="M90" s="5" t="str">
        <f t="shared" si="27"/>
        <v>lootWeight,1,</v>
      </c>
      <c r="N90" t="str">
        <f t="shared" si="28"/>
        <v>5</v>
      </c>
      <c r="O90" t="str">
        <f t="shared" si="37"/>
        <v/>
      </c>
      <c r="P90" t="str">
        <f t="shared" si="23"/>
        <v/>
      </c>
      <c r="Q90" t="str">
        <f t="shared" si="23"/>
        <v/>
      </c>
      <c r="R90" t="str">
        <f t="shared" si="23"/>
        <v/>
      </c>
      <c r="S90" t="str">
        <f t="shared" si="23"/>
        <v/>
      </c>
      <c r="T90" t="str">
        <f t="shared" si="23"/>
        <v/>
      </c>
      <c r="U90" t="str">
        <f t="shared" si="23"/>
        <v/>
      </c>
      <c r="V90" s="5" t="s">
        <v>36</v>
      </c>
      <c r="W90" t="str">
        <f t="shared" si="29"/>
        <v/>
      </c>
      <c r="X90" t="str">
        <f t="shared" si="29"/>
        <v/>
      </c>
      <c r="Y90" s="5" t="s">
        <v>36</v>
      </c>
      <c r="Z90" t="str">
        <f t="shared" si="30"/>
        <v/>
      </c>
      <c r="AA90" t="str">
        <f t="shared" si="38"/>
        <v/>
      </c>
      <c r="AB90" s="5" t="s">
        <v>36</v>
      </c>
      <c r="AH90">
        <f t="shared" si="40"/>
        <v>85</v>
      </c>
      <c r="AI90">
        <f t="shared" si="34"/>
        <v>0</v>
      </c>
      <c r="AJ90">
        <f t="shared" si="39"/>
        <v>5</v>
      </c>
    </row>
    <row r="91" spans="1:36" x14ac:dyDescent="0.25">
      <c r="A91" s="5" t="s">
        <v>39</v>
      </c>
      <c r="B91" s="5" t="s">
        <v>30</v>
      </c>
      <c r="C91" s="5" t="str">
        <f t="shared" si="24"/>
        <v>description,dailCompDescDream,</v>
      </c>
      <c r="D91" s="5" t="str">
        <f t="shared" si="25"/>
        <v>itemText,dailCompTextDream,</v>
      </c>
      <c r="E91" s="5" t="str">
        <f t="shared" si="35"/>
        <v>augmentSkillLevel1,5,</v>
      </c>
      <c r="F91" s="5" t="str">
        <f t="shared" si="36"/>
        <v>augmentSkillName1,records/skills,</v>
      </c>
      <c r="G91" s="7" t="str">
        <f t="shared" si="31"/>
        <v/>
      </c>
      <c r="H91" s="8" t="str">
        <f t="shared" si="32"/>
        <v>Dream</v>
      </c>
      <c r="J91" s="8" t="str">
        <f t="shared" si="41"/>
        <v>class0024</v>
      </c>
      <c r="K91" s="8" t="str">
        <f t="shared" si="41"/>
        <v>dailoneskill0024</v>
      </c>
      <c r="L91" s="5" t="str">
        <f t="shared" si="26"/>
        <v>lootName,DAIL/items/materia/class0024/Dream.dbr,</v>
      </c>
      <c r="M91" s="5" t="str">
        <f t="shared" si="27"/>
        <v>lootWeight,1,</v>
      </c>
      <c r="N91" t="str">
        <f t="shared" si="28"/>
        <v>5</v>
      </c>
      <c r="O91" t="str">
        <f t="shared" si="37"/>
        <v/>
      </c>
      <c r="P91" t="str">
        <f t="shared" si="23"/>
        <v/>
      </c>
      <c r="Q91" t="str">
        <f t="shared" si="23"/>
        <v/>
      </c>
      <c r="R91" t="str">
        <f t="shared" si="23"/>
        <v/>
      </c>
      <c r="S91" t="str">
        <f t="shared" si="23"/>
        <v/>
      </c>
      <c r="T91" t="str">
        <f t="shared" si="23"/>
        <v/>
      </c>
      <c r="U91" t="str">
        <f t="shared" si="23"/>
        <v/>
      </c>
      <c r="V91" s="5" t="s">
        <v>36</v>
      </c>
      <c r="W91" t="str">
        <f t="shared" si="29"/>
        <v/>
      </c>
      <c r="X91" t="str">
        <f t="shared" si="29"/>
        <v/>
      </c>
      <c r="Y91" s="5" t="s">
        <v>36</v>
      </c>
      <c r="Z91" t="str">
        <f t="shared" si="30"/>
        <v/>
      </c>
      <c r="AA91" t="str">
        <f t="shared" si="38"/>
        <v/>
      </c>
      <c r="AB91" s="5" t="s">
        <v>36</v>
      </c>
      <c r="AH91">
        <f t="shared" si="40"/>
        <v>86</v>
      </c>
      <c r="AI91">
        <f t="shared" si="34"/>
        <v>0</v>
      </c>
      <c r="AJ91">
        <f t="shared" si="39"/>
        <v>5</v>
      </c>
    </row>
    <row r="92" spans="1:36" x14ac:dyDescent="0.25">
      <c r="A92" s="5" t="s">
        <v>39</v>
      </c>
      <c r="B92" s="5" t="s">
        <v>30</v>
      </c>
      <c r="C92" s="5" t="str">
        <f t="shared" si="24"/>
        <v>description,dailCompDescDream,</v>
      </c>
      <c r="D92" s="5" t="str">
        <f t="shared" si="25"/>
        <v>itemText,dailCompTextDream,</v>
      </c>
      <c r="E92" s="5" t="str">
        <f t="shared" si="35"/>
        <v>augmentSkillLevel1,5,</v>
      </c>
      <c r="F92" s="5" t="str">
        <f t="shared" si="36"/>
        <v>augmentSkillName1,records/skills,</v>
      </c>
      <c r="G92" s="7" t="str">
        <f t="shared" si="31"/>
        <v/>
      </c>
      <c r="H92" s="8" t="str">
        <f t="shared" si="32"/>
        <v>Dream</v>
      </c>
      <c r="J92" s="8" t="str">
        <f t="shared" si="41"/>
        <v>class0024</v>
      </c>
      <c r="K92" s="8" t="str">
        <f t="shared" si="41"/>
        <v>dailoneskill0024</v>
      </c>
      <c r="L92" s="5" t="str">
        <f t="shared" si="26"/>
        <v>lootName,DAIL/items/materia/class0024/Dream.dbr,</v>
      </c>
      <c r="M92" s="5" t="str">
        <f t="shared" si="27"/>
        <v>lootWeight,1,</v>
      </c>
      <c r="N92" t="str">
        <f t="shared" si="28"/>
        <v>5</v>
      </c>
      <c r="O92" t="str">
        <f t="shared" si="37"/>
        <v/>
      </c>
      <c r="P92" t="str">
        <f t="shared" si="23"/>
        <v/>
      </c>
      <c r="Q92" t="str">
        <f t="shared" si="23"/>
        <v/>
      </c>
      <c r="R92" t="str">
        <f t="shared" si="23"/>
        <v/>
      </c>
      <c r="S92" t="str">
        <f t="shared" si="23"/>
        <v/>
      </c>
      <c r="T92" t="str">
        <f t="shared" si="23"/>
        <v/>
      </c>
      <c r="U92" t="str">
        <f t="shared" si="23"/>
        <v/>
      </c>
      <c r="V92" s="5" t="s">
        <v>36</v>
      </c>
      <c r="W92" t="str">
        <f t="shared" si="29"/>
        <v/>
      </c>
      <c r="X92" t="str">
        <f t="shared" si="29"/>
        <v/>
      </c>
      <c r="Y92" s="5" t="s">
        <v>36</v>
      </c>
      <c r="Z92" t="str">
        <f t="shared" si="30"/>
        <v/>
      </c>
      <c r="AA92" t="str">
        <f t="shared" si="38"/>
        <v/>
      </c>
      <c r="AB92" s="5" t="s">
        <v>36</v>
      </c>
      <c r="AH92">
        <f t="shared" si="40"/>
        <v>87</v>
      </c>
      <c r="AI92">
        <f t="shared" si="34"/>
        <v>0</v>
      </c>
      <c r="AJ92">
        <f t="shared" si="39"/>
        <v>5</v>
      </c>
    </row>
    <row r="93" spans="1:36" x14ac:dyDescent="0.25">
      <c r="A93" s="5" t="s">
        <v>39</v>
      </c>
      <c r="B93" s="5" t="s">
        <v>30</v>
      </c>
      <c r="C93" s="5" t="str">
        <f t="shared" si="24"/>
        <v>description,dailCompDescDream,</v>
      </c>
      <c r="D93" s="5" t="str">
        <f t="shared" si="25"/>
        <v>itemText,dailCompTextDream,</v>
      </c>
      <c r="E93" s="5" t="str">
        <f t="shared" si="35"/>
        <v>augmentSkillLevel1,5,</v>
      </c>
      <c r="F93" s="5" t="str">
        <f t="shared" si="36"/>
        <v>augmentSkillName1,records/skills,</v>
      </c>
      <c r="G93" s="7" t="str">
        <f t="shared" si="31"/>
        <v/>
      </c>
      <c r="H93" s="8" t="str">
        <f t="shared" si="32"/>
        <v>Dream</v>
      </c>
      <c r="J93" s="8" t="str">
        <f t="shared" si="41"/>
        <v>class0024</v>
      </c>
      <c r="K93" s="8" t="str">
        <f t="shared" si="41"/>
        <v>dailoneskill0024</v>
      </c>
      <c r="L93" s="5" t="str">
        <f t="shared" si="26"/>
        <v>lootName,DAIL/items/materia/class0024/Dream.dbr,</v>
      </c>
      <c r="M93" s="5" t="str">
        <f t="shared" si="27"/>
        <v>lootWeight,1,</v>
      </c>
      <c r="N93" t="str">
        <f t="shared" si="28"/>
        <v>5</v>
      </c>
      <c r="O93" t="str">
        <f t="shared" si="37"/>
        <v/>
      </c>
      <c r="P93" t="str">
        <f t="shared" si="23"/>
        <v/>
      </c>
      <c r="Q93" t="str">
        <f t="shared" si="23"/>
        <v/>
      </c>
      <c r="R93" t="str">
        <f t="shared" si="23"/>
        <v/>
      </c>
      <c r="S93" t="str">
        <f t="shared" si="23"/>
        <v/>
      </c>
      <c r="T93" t="str">
        <f t="shared" si="23"/>
        <v/>
      </c>
      <c r="U93" t="str">
        <f t="shared" si="23"/>
        <v/>
      </c>
      <c r="V93" s="5" t="s">
        <v>36</v>
      </c>
      <c r="W93" t="str">
        <f t="shared" si="29"/>
        <v/>
      </c>
      <c r="X93" t="str">
        <f t="shared" si="29"/>
        <v/>
      </c>
      <c r="Y93" s="5" t="s">
        <v>36</v>
      </c>
      <c r="Z93" t="str">
        <f t="shared" si="30"/>
        <v/>
      </c>
      <c r="AA93" t="str">
        <f t="shared" si="38"/>
        <v/>
      </c>
      <c r="AB93" s="5" t="s">
        <v>36</v>
      </c>
      <c r="AH93">
        <f t="shared" si="40"/>
        <v>88</v>
      </c>
      <c r="AI93">
        <f t="shared" si="34"/>
        <v>0</v>
      </c>
      <c r="AJ93">
        <f t="shared" si="39"/>
        <v>5</v>
      </c>
    </row>
    <row r="94" spans="1:36" x14ac:dyDescent="0.25">
      <c r="A94" s="5" t="s">
        <v>39</v>
      </c>
      <c r="B94" s="5" t="s">
        <v>30</v>
      </c>
      <c r="C94" s="5" t="str">
        <f t="shared" si="24"/>
        <v>description,dailCompDescDream,</v>
      </c>
      <c r="D94" s="5" t="str">
        <f t="shared" si="25"/>
        <v>itemText,dailCompTextDream,</v>
      </c>
      <c r="E94" s="5" t="str">
        <f t="shared" si="35"/>
        <v>augmentSkillLevel1,5,</v>
      </c>
      <c r="F94" s="5" t="str">
        <f t="shared" si="36"/>
        <v>augmentSkillName1,records/skills,</v>
      </c>
      <c r="G94" s="7" t="str">
        <f t="shared" si="31"/>
        <v/>
      </c>
      <c r="H94" s="8" t="str">
        <f t="shared" si="32"/>
        <v>Dream</v>
      </c>
      <c r="J94" s="8" t="str">
        <f t="shared" si="41"/>
        <v>class0024</v>
      </c>
      <c r="K94" s="8" t="str">
        <f t="shared" si="41"/>
        <v>dailoneskill0024</v>
      </c>
      <c r="L94" s="5" t="str">
        <f t="shared" si="26"/>
        <v>lootName,DAIL/items/materia/class0024/Dream.dbr,</v>
      </c>
      <c r="M94" s="5" t="str">
        <f t="shared" si="27"/>
        <v>lootWeight,1,</v>
      </c>
      <c r="N94" t="str">
        <f t="shared" si="28"/>
        <v>5</v>
      </c>
      <c r="O94" t="str">
        <f t="shared" si="37"/>
        <v/>
      </c>
      <c r="P94" t="str">
        <f t="shared" si="23"/>
        <v/>
      </c>
      <c r="Q94" t="str">
        <f t="shared" si="23"/>
        <v/>
      </c>
      <c r="R94" t="str">
        <f t="shared" si="23"/>
        <v/>
      </c>
      <c r="S94" t="str">
        <f t="shared" si="23"/>
        <v/>
      </c>
      <c r="T94" t="str">
        <f t="shared" si="23"/>
        <v/>
      </c>
      <c r="U94" t="str">
        <f t="shared" si="23"/>
        <v/>
      </c>
      <c r="V94" s="5" t="s">
        <v>36</v>
      </c>
      <c r="W94" t="str">
        <f t="shared" si="29"/>
        <v/>
      </c>
      <c r="X94" t="str">
        <f t="shared" si="29"/>
        <v/>
      </c>
      <c r="Y94" s="5" t="s">
        <v>36</v>
      </c>
      <c r="Z94" t="str">
        <f t="shared" si="30"/>
        <v/>
      </c>
      <c r="AA94" t="str">
        <f t="shared" si="38"/>
        <v/>
      </c>
      <c r="AB94" s="5" t="s">
        <v>36</v>
      </c>
      <c r="AH94">
        <f t="shared" si="40"/>
        <v>89</v>
      </c>
      <c r="AI94">
        <f t="shared" si="34"/>
        <v>0</v>
      </c>
      <c r="AJ94">
        <f t="shared" si="39"/>
        <v>5</v>
      </c>
    </row>
    <row r="95" spans="1:36" x14ac:dyDescent="0.25">
      <c r="A95" s="5" t="s">
        <v>39</v>
      </c>
      <c r="B95" s="5" t="s">
        <v>30</v>
      </c>
      <c r="C95" s="5" t="str">
        <f t="shared" si="24"/>
        <v>description,dailCompDescDream,</v>
      </c>
      <c r="D95" s="5" t="str">
        <f t="shared" si="25"/>
        <v>itemText,dailCompTextDream,</v>
      </c>
      <c r="E95" s="5" t="str">
        <f t="shared" si="35"/>
        <v>augmentSkillLevel1,5,</v>
      </c>
      <c r="F95" s="5" t="str">
        <f t="shared" si="36"/>
        <v>augmentSkillName1,records/skills,</v>
      </c>
      <c r="G95" s="7" t="str">
        <f t="shared" si="31"/>
        <v/>
      </c>
      <c r="H95" s="8" t="str">
        <f t="shared" si="32"/>
        <v>Dream</v>
      </c>
      <c r="J95" s="8" t="str">
        <f t="shared" si="41"/>
        <v>class0024</v>
      </c>
      <c r="K95" s="8" t="str">
        <f t="shared" si="41"/>
        <v>dailoneskill0024</v>
      </c>
      <c r="L95" s="5" t="str">
        <f t="shared" si="26"/>
        <v>lootName,DAIL/items/materia/class0024/Dream.dbr,</v>
      </c>
      <c r="M95" s="5" t="str">
        <f t="shared" si="27"/>
        <v>lootWeight,1,</v>
      </c>
      <c r="N95" t="str">
        <f t="shared" si="28"/>
        <v>5</v>
      </c>
      <c r="O95" t="str">
        <f t="shared" si="37"/>
        <v/>
      </c>
      <c r="P95" t="str">
        <f t="shared" si="23"/>
        <v/>
      </c>
      <c r="Q95" t="str">
        <f t="shared" si="23"/>
        <v/>
      </c>
      <c r="R95" t="str">
        <f t="shared" si="23"/>
        <v/>
      </c>
      <c r="S95" t="str">
        <f t="shared" si="23"/>
        <v/>
      </c>
      <c r="T95" t="str">
        <f t="shared" si="23"/>
        <v/>
      </c>
      <c r="U95" t="str">
        <f t="shared" si="23"/>
        <v/>
      </c>
      <c r="V95" s="5" t="s">
        <v>36</v>
      </c>
      <c r="W95" t="str">
        <f t="shared" si="29"/>
        <v/>
      </c>
      <c r="X95" t="str">
        <f t="shared" si="29"/>
        <v/>
      </c>
      <c r="Y95" s="5" t="s">
        <v>36</v>
      </c>
      <c r="Z95" t="str">
        <f t="shared" si="30"/>
        <v/>
      </c>
      <c r="AA95" t="str">
        <f t="shared" si="38"/>
        <v/>
      </c>
      <c r="AB95" s="5" t="s">
        <v>36</v>
      </c>
      <c r="AH95">
        <f t="shared" si="40"/>
        <v>90</v>
      </c>
      <c r="AI95">
        <f t="shared" si="34"/>
        <v>0</v>
      </c>
      <c r="AJ95">
        <f t="shared" si="39"/>
        <v>5</v>
      </c>
    </row>
    <row r="96" spans="1:36" x14ac:dyDescent="0.25">
      <c r="A96" s="5" t="s">
        <v>39</v>
      </c>
      <c r="B96" s="5" t="s">
        <v>30</v>
      </c>
      <c r="C96" s="5" t="str">
        <f t="shared" si="24"/>
        <v>description,dailCompDescDream,</v>
      </c>
      <c r="D96" s="5" t="str">
        <f t="shared" si="25"/>
        <v>itemText,dailCompTextDream,</v>
      </c>
      <c r="E96" s="5" t="str">
        <f t="shared" si="35"/>
        <v>augmentSkillLevel1,5,</v>
      </c>
      <c r="F96" s="5" t="str">
        <f t="shared" si="36"/>
        <v>augmentSkillName1,records/skills,</v>
      </c>
      <c r="G96" s="7" t="str">
        <f t="shared" si="31"/>
        <v/>
      </c>
      <c r="H96" s="8" t="str">
        <f t="shared" si="32"/>
        <v>Dream</v>
      </c>
      <c r="J96" s="8" t="str">
        <f t="shared" si="41"/>
        <v>class0024</v>
      </c>
      <c r="K96" s="8" t="str">
        <f t="shared" si="41"/>
        <v>dailoneskill0024</v>
      </c>
      <c r="L96" s="5" t="str">
        <f t="shared" si="26"/>
        <v>lootName,DAIL/items/materia/class0024/Dream.dbr,</v>
      </c>
      <c r="M96" s="5" t="str">
        <f t="shared" si="27"/>
        <v>lootWeight,1,</v>
      </c>
      <c r="N96" t="str">
        <f t="shared" si="28"/>
        <v>5</v>
      </c>
      <c r="O96" t="str">
        <f t="shared" si="37"/>
        <v/>
      </c>
      <c r="P96" t="str">
        <f t="shared" si="23"/>
        <v/>
      </c>
      <c r="Q96" t="str">
        <f t="shared" si="23"/>
        <v/>
      </c>
      <c r="R96" t="str">
        <f t="shared" si="23"/>
        <v/>
      </c>
      <c r="S96" t="str">
        <f t="shared" si="23"/>
        <v/>
      </c>
      <c r="T96" t="str">
        <f t="shared" si="23"/>
        <v/>
      </c>
      <c r="U96" t="str">
        <f t="shared" si="23"/>
        <v/>
      </c>
      <c r="V96" s="5" t="s">
        <v>36</v>
      </c>
      <c r="W96" t="str">
        <f t="shared" si="29"/>
        <v/>
      </c>
      <c r="X96" t="str">
        <f t="shared" si="29"/>
        <v/>
      </c>
      <c r="Y96" s="5" t="s">
        <v>36</v>
      </c>
      <c r="Z96" t="str">
        <f t="shared" si="30"/>
        <v/>
      </c>
      <c r="AA96" t="str">
        <f t="shared" si="38"/>
        <v/>
      </c>
      <c r="AB96" s="5" t="s">
        <v>36</v>
      </c>
      <c r="AH96">
        <f t="shared" si="40"/>
        <v>91</v>
      </c>
      <c r="AI96">
        <f t="shared" si="34"/>
        <v>0</v>
      </c>
      <c r="AJ96">
        <f t="shared" si="39"/>
        <v>5</v>
      </c>
    </row>
    <row r="97" spans="1:36" x14ac:dyDescent="0.25">
      <c r="A97" s="5" t="s">
        <v>39</v>
      </c>
      <c r="B97" s="5" t="s">
        <v>30</v>
      </c>
      <c r="C97" s="5" t="str">
        <f t="shared" si="24"/>
        <v>description,dailCompDescDream,</v>
      </c>
      <c r="D97" s="5" t="str">
        <f t="shared" si="25"/>
        <v>itemText,dailCompTextDream,</v>
      </c>
      <c r="E97" s="5" t="str">
        <f t="shared" si="35"/>
        <v>augmentSkillLevel1,5,</v>
      </c>
      <c r="F97" s="5" t="str">
        <f t="shared" si="36"/>
        <v>augmentSkillName1,records/skills,</v>
      </c>
      <c r="G97" s="7" t="str">
        <f t="shared" si="31"/>
        <v/>
      </c>
      <c r="H97" s="8" t="str">
        <f t="shared" si="32"/>
        <v>Dream</v>
      </c>
      <c r="J97" s="8" t="str">
        <f t="shared" si="41"/>
        <v>class0024</v>
      </c>
      <c r="K97" s="8" t="str">
        <f t="shared" si="41"/>
        <v>dailoneskill0024</v>
      </c>
      <c r="L97" s="5" t="str">
        <f t="shared" si="26"/>
        <v>lootName,DAIL/items/materia/class0024/Dream.dbr,</v>
      </c>
      <c r="M97" s="5" t="str">
        <f t="shared" si="27"/>
        <v>lootWeight,1,</v>
      </c>
      <c r="N97" t="str">
        <f t="shared" si="28"/>
        <v>5</v>
      </c>
      <c r="O97" t="str">
        <f t="shared" si="37"/>
        <v/>
      </c>
      <c r="P97" t="str">
        <f t="shared" si="23"/>
        <v/>
      </c>
      <c r="Q97" t="str">
        <f t="shared" si="23"/>
        <v/>
      </c>
      <c r="R97" t="str">
        <f t="shared" si="23"/>
        <v/>
      </c>
      <c r="S97" t="str">
        <f t="shared" si="23"/>
        <v/>
      </c>
      <c r="T97" t="str">
        <f t="shared" si="23"/>
        <v/>
      </c>
      <c r="U97" t="str">
        <f t="shared" si="23"/>
        <v/>
      </c>
      <c r="V97" s="5" t="s">
        <v>36</v>
      </c>
      <c r="W97" t="str">
        <f t="shared" si="29"/>
        <v/>
      </c>
      <c r="X97" t="str">
        <f t="shared" si="29"/>
        <v/>
      </c>
      <c r="Y97" s="5" t="s">
        <v>36</v>
      </c>
      <c r="Z97" t="str">
        <f t="shared" si="30"/>
        <v/>
      </c>
      <c r="AA97" t="str">
        <f t="shared" si="38"/>
        <v/>
      </c>
      <c r="AB97" s="5" t="s">
        <v>36</v>
      </c>
      <c r="AH97">
        <f t="shared" si="40"/>
        <v>92</v>
      </c>
      <c r="AI97">
        <f t="shared" si="34"/>
        <v>0</v>
      </c>
      <c r="AJ97">
        <f t="shared" si="39"/>
        <v>5</v>
      </c>
    </row>
    <row r="98" spans="1:36" x14ac:dyDescent="0.25">
      <c r="A98" s="5" t="s">
        <v>39</v>
      </c>
      <c r="B98" s="5" t="s">
        <v>30</v>
      </c>
      <c r="C98" s="5" t="str">
        <f t="shared" si="24"/>
        <v>description,dailCompDescDream,</v>
      </c>
      <c r="D98" s="5" t="str">
        <f t="shared" si="25"/>
        <v>itemText,dailCompTextDream,</v>
      </c>
      <c r="E98" s="5" t="str">
        <f t="shared" si="35"/>
        <v>augmentSkillLevel1,5,</v>
      </c>
      <c r="F98" s="5" t="str">
        <f t="shared" si="36"/>
        <v>augmentSkillName1,records/skills,</v>
      </c>
      <c r="G98" s="7" t="str">
        <f t="shared" si="31"/>
        <v/>
      </c>
      <c r="H98" s="8" t="str">
        <f t="shared" si="32"/>
        <v>Dream</v>
      </c>
      <c r="J98" s="8" t="str">
        <f t="shared" si="41"/>
        <v>class0024</v>
      </c>
      <c r="K98" s="8" t="str">
        <f t="shared" si="41"/>
        <v>dailoneskill0024</v>
      </c>
      <c r="L98" s="5" t="str">
        <f t="shared" si="26"/>
        <v>lootName,DAIL/items/materia/class0024/Dream.dbr,</v>
      </c>
      <c r="M98" s="5" t="str">
        <f t="shared" si="27"/>
        <v>lootWeight,1,</v>
      </c>
      <c r="N98" t="str">
        <f t="shared" si="28"/>
        <v>5</v>
      </c>
      <c r="O98" t="str">
        <f t="shared" si="37"/>
        <v/>
      </c>
      <c r="P98" t="str">
        <f t="shared" si="23"/>
        <v/>
      </c>
      <c r="Q98" t="str">
        <f t="shared" si="23"/>
        <v/>
      </c>
      <c r="R98" t="str">
        <f t="shared" si="23"/>
        <v/>
      </c>
      <c r="S98" t="str">
        <f t="shared" si="23"/>
        <v/>
      </c>
      <c r="T98" t="str">
        <f t="shared" si="23"/>
        <v/>
      </c>
      <c r="U98" t="str">
        <f t="shared" si="23"/>
        <v/>
      </c>
      <c r="V98" s="5" t="s">
        <v>36</v>
      </c>
      <c r="W98" t="str">
        <f t="shared" si="29"/>
        <v/>
      </c>
      <c r="X98" t="str">
        <f t="shared" si="29"/>
        <v/>
      </c>
      <c r="Y98" s="5" t="s">
        <v>36</v>
      </c>
      <c r="Z98" t="str">
        <f t="shared" si="30"/>
        <v/>
      </c>
      <c r="AA98" t="str">
        <f t="shared" si="38"/>
        <v/>
      </c>
      <c r="AB98" s="5" t="s">
        <v>36</v>
      </c>
      <c r="AH98">
        <f t="shared" si="40"/>
        <v>93</v>
      </c>
      <c r="AI98">
        <f t="shared" si="34"/>
        <v>0</v>
      </c>
      <c r="AJ98">
        <f t="shared" si="39"/>
        <v>5</v>
      </c>
    </row>
    <row r="99" spans="1:36" x14ac:dyDescent="0.25">
      <c r="A99" s="5" t="s">
        <v>39</v>
      </c>
      <c r="B99" s="5" t="s">
        <v>30</v>
      </c>
      <c r="C99" s="5" t="str">
        <f t="shared" si="24"/>
        <v>description,dailCompDescDream,</v>
      </c>
      <c r="D99" s="5" t="str">
        <f t="shared" si="25"/>
        <v>itemText,dailCompTextDream,</v>
      </c>
      <c r="E99" s="5" t="str">
        <f t="shared" si="35"/>
        <v>augmentSkillLevel1,5,</v>
      </c>
      <c r="F99" s="5" t="str">
        <f t="shared" si="36"/>
        <v>augmentSkillName1,records/skills,</v>
      </c>
      <c r="G99" s="7" t="str">
        <f t="shared" si="31"/>
        <v/>
      </c>
      <c r="H99" s="8" t="str">
        <f t="shared" si="32"/>
        <v>Dream</v>
      </c>
      <c r="J99" s="8" t="str">
        <f t="shared" si="41"/>
        <v>class0024</v>
      </c>
      <c r="K99" s="8" t="str">
        <f t="shared" si="41"/>
        <v>dailoneskill0024</v>
      </c>
      <c r="L99" s="5" t="str">
        <f t="shared" si="26"/>
        <v>lootName,DAIL/items/materia/class0024/Dream.dbr,</v>
      </c>
      <c r="M99" s="5" t="str">
        <f t="shared" si="27"/>
        <v>lootWeight,1,</v>
      </c>
      <c r="N99" t="str">
        <f t="shared" si="28"/>
        <v>5</v>
      </c>
      <c r="O99" t="str">
        <f t="shared" si="37"/>
        <v/>
      </c>
      <c r="P99" t="str">
        <f t="shared" si="23"/>
        <v/>
      </c>
      <c r="Q99" t="str">
        <f t="shared" si="23"/>
        <v/>
      </c>
      <c r="R99" t="str">
        <f t="shared" si="23"/>
        <v/>
      </c>
      <c r="S99" t="str">
        <f t="shared" si="23"/>
        <v/>
      </c>
      <c r="T99" t="str">
        <f t="shared" si="23"/>
        <v/>
      </c>
      <c r="U99" t="str">
        <f t="shared" si="23"/>
        <v/>
      </c>
      <c r="V99" s="5" t="s">
        <v>36</v>
      </c>
      <c r="W99" t="str">
        <f t="shared" si="29"/>
        <v/>
      </c>
      <c r="X99" t="str">
        <f t="shared" si="29"/>
        <v/>
      </c>
      <c r="Y99" s="5" t="s">
        <v>36</v>
      </c>
      <c r="Z99" t="str">
        <f t="shared" si="30"/>
        <v/>
      </c>
      <c r="AA99" t="str">
        <f t="shared" si="38"/>
        <v/>
      </c>
      <c r="AB99" s="5" t="s">
        <v>36</v>
      </c>
      <c r="AH99">
        <f t="shared" si="40"/>
        <v>94</v>
      </c>
      <c r="AI99">
        <f t="shared" si="34"/>
        <v>0</v>
      </c>
      <c r="AJ99">
        <f t="shared" si="39"/>
        <v>5</v>
      </c>
    </row>
    <row r="100" spans="1:36" x14ac:dyDescent="0.25">
      <c r="A100" s="5" t="s">
        <v>39</v>
      </c>
      <c r="B100" s="5" t="s">
        <v>30</v>
      </c>
      <c r="C100" s="5" t="str">
        <f t="shared" si="24"/>
        <v>description,dailCompDescDream,</v>
      </c>
      <c r="D100" s="5" t="str">
        <f t="shared" si="25"/>
        <v>itemText,dailCompTextDream,</v>
      </c>
      <c r="E100" s="5" t="str">
        <f t="shared" si="35"/>
        <v>augmentSkillLevel1,5,</v>
      </c>
      <c r="F100" s="5" t="str">
        <f t="shared" si="36"/>
        <v>augmentSkillName1,records/skills,</v>
      </c>
      <c r="G100" s="7" t="str">
        <f t="shared" si="31"/>
        <v/>
      </c>
      <c r="H100" s="8" t="str">
        <f t="shared" si="32"/>
        <v>Dream</v>
      </c>
      <c r="J100" s="8" t="str">
        <f t="shared" si="41"/>
        <v>class0024</v>
      </c>
      <c r="K100" s="8" t="str">
        <f t="shared" si="41"/>
        <v>dailoneskill0024</v>
      </c>
      <c r="L100" s="5" t="str">
        <f t="shared" si="26"/>
        <v>lootName,DAIL/items/materia/class0024/Dream.dbr,</v>
      </c>
      <c r="M100" s="5" t="str">
        <f t="shared" si="27"/>
        <v>lootWeight,1,</v>
      </c>
      <c r="N100" t="str">
        <f t="shared" si="28"/>
        <v>5</v>
      </c>
      <c r="O100" t="str">
        <f t="shared" si="37"/>
        <v/>
      </c>
      <c r="P100" t="str">
        <f t="shared" si="23"/>
        <v/>
      </c>
      <c r="Q100" t="str">
        <f t="shared" si="23"/>
        <v/>
      </c>
      <c r="R100" t="str">
        <f t="shared" si="23"/>
        <v/>
      </c>
      <c r="S100" t="str">
        <f t="shared" si="23"/>
        <v/>
      </c>
      <c r="T100" t="str">
        <f t="shared" si="23"/>
        <v/>
      </c>
      <c r="U100" t="str">
        <f t="shared" si="23"/>
        <v/>
      </c>
      <c r="V100" s="5" t="s">
        <v>36</v>
      </c>
      <c r="W100" t="str">
        <f t="shared" si="29"/>
        <v/>
      </c>
      <c r="X100" t="str">
        <f t="shared" si="29"/>
        <v/>
      </c>
      <c r="Y100" s="5" t="s">
        <v>36</v>
      </c>
      <c r="Z100" t="str">
        <f t="shared" si="30"/>
        <v/>
      </c>
      <c r="AA100" t="str">
        <f t="shared" si="38"/>
        <v/>
      </c>
      <c r="AB100" s="5" t="s">
        <v>36</v>
      </c>
      <c r="AH100">
        <f t="shared" si="40"/>
        <v>95</v>
      </c>
      <c r="AI100">
        <f t="shared" si="34"/>
        <v>0</v>
      </c>
      <c r="AJ100">
        <f t="shared" si="39"/>
        <v>5</v>
      </c>
    </row>
    <row r="101" spans="1:36" x14ac:dyDescent="0.25">
      <c r="A101" s="5" t="s">
        <v>39</v>
      </c>
      <c r="B101" s="5" t="s">
        <v>30</v>
      </c>
      <c r="C101" s="5" t="str">
        <f t="shared" si="24"/>
        <v>description,dailCompDescDream,</v>
      </c>
      <c r="D101" s="5" t="str">
        <f t="shared" si="25"/>
        <v>itemText,dailCompTextDream,</v>
      </c>
      <c r="E101" s="5" t="str">
        <f t="shared" si="35"/>
        <v>augmentSkillLevel1,5,</v>
      </c>
      <c r="F101" s="5" t="str">
        <f t="shared" si="36"/>
        <v>augmentSkillName1,records/skills,</v>
      </c>
      <c r="G101" s="7" t="str">
        <f t="shared" si="31"/>
        <v/>
      </c>
      <c r="H101" s="8" t="str">
        <f t="shared" si="32"/>
        <v>Dream</v>
      </c>
      <c r="J101" s="8" t="str">
        <f t="shared" ref="J101:K102" si="42">J100</f>
        <v>class0024</v>
      </c>
      <c r="K101" s="8" t="str">
        <f t="shared" si="42"/>
        <v>dailoneskill0024</v>
      </c>
      <c r="L101" s="5" t="str">
        <f t="shared" si="26"/>
        <v>lootName,DAIL/items/materia/class0024/Dream.dbr,</v>
      </c>
      <c r="M101" s="5" t="str">
        <f t="shared" si="27"/>
        <v>lootWeight,1,</v>
      </c>
      <c r="N101" t="str">
        <f t="shared" si="28"/>
        <v>5</v>
      </c>
      <c r="O101" t="str">
        <f t="shared" si="37"/>
        <v/>
      </c>
      <c r="P101" t="str">
        <f t="shared" si="23"/>
        <v/>
      </c>
      <c r="Q101" t="str">
        <f t="shared" si="23"/>
        <v/>
      </c>
      <c r="R101" t="str">
        <f t="shared" si="23"/>
        <v/>
      </c>
      <c r="S101" t="str">
        <f t="shared" ref="S101:U102" si="43">IF($I101&lt;&gt;"","echo "&amp;D101&amp;" &gt;&gt; .\items\materia\"&amp;$J101&amp;"\"&amp;$H101&amp;$G101&amp;".dbr","")</f>
        <v/>
      </c>
      <c r="T101" t="str">
        <f t="shared" si="43"/>
        <v/>
      </c>
      <c r="U101" t="str">
        <f t="shared" si="43"/>
        <v/>
      </c>
      <c r="V101" s="5" t="s">
        <v>36</v>
      </c>
      <c r="W101" t="str">
        <f t="shared" si="29"/>
        <v/>
      </c>
      <c r="X101" t="str">
        <f t="shared" si="29"/>
        <v/>
      </c>
      <c r="Y101" s="5" t="s">
        <v>36</v>
      </c>
      <c r="Z101" t="str">
        <f t="shared" si="30"/>
        <v/>
      </c>
      <c r="AA101" t="str">
        <f t="shared" si="38"/>
        <v/>
      </c>
      <c r="AB101" s="5" t="s">
        <v>36</v>
      </c>
      <c r="AH101">
        <f t="shared" si="40"/>
        <v>96</v>
      </c>
      <c r="AI101">
        <f t="shared" si="34"/>
        <v>0</v>
      </c>
      <c r="AJ101">
        <f t="shared" si="39"/>
        <v>5</v>
      </c>
    </row>
    <row r="102" spans="1:36" x14ac:dyDescent="0.25">
      <c r="A102" s="5" t="s">
        <v>39</v>
      </c>
      <c r="B102" s="5" t="s">
        <v>30</v>
      </c>
      <c r="C102" s="5" t="str">
        <f t="shared" si="24"/>
        <v>description,dailCompDescDream,</v>
      </c>
      <c r="D102" s="5" t="str">
        <f t="shared" si="25"/>
        <v>itemText,dailCompTextDream,</v>
      </c>
      <c r="E102" s="5" t="str">
        <f t="shared" si="35"/>
        <v>augmentSkillLevel1,5,</v>
      </c>
      <c r="F102" s="5" t="str">
        <f t="shared" si="36"/>
        <v>augmentSkillName1,records/skills,</v>
      </c>
      <c r="G102" s="7" t="str">
        <f t="shared" si="31"/>
        <v/>
      </c>
      <c r="H102" s="8" t="str">
        <f t="shared" si="32"/>
        <v>Dream</v>
      </c>
      <c r="J102" s="8" t="str">
        <f t="shared" si="42"/>
        <v>class0024</v>
      </c>
      <c r="K102" s="8" t="str">
        <f t="shared" si="42"/>
        <v>dailoneskill0024</v>
      </c>
      <c r="L102" s="5" t="str">
        <f t="shared" si="26"/>
        <v>lootName,DAIL/items/materia/class0024/Dream.dbr,</v>
      </c>
      <c r="M102" s="5" t="str">
        <f t="shared" si="27"/>
        <v>lootWeight,1,</v>
      </c>
      <c r="N102" t="str">
        <f t="shared" si="28"/>
        <v>5</v>
      </c>
      <c r="O102" t="str">
        <f t="shared" si="37"/>
        <v/>
      </c>
      <c r="P102" t="str">
        <f t="shared" ref="P102:R102" si="44">IF($I102&lt;&gt;"","echo "&amp;A102&amp;" &gt;&gt; .\items\materia\"&amp;$J102&amp;"\"&amp;$H102&amp;$G102&amp;".dbr","")</f>
        <v/>
      </c>
      <c r="Q102" t="str">
        <f t="shared" si="44"/>
        <v/>
      </c>
      <c r="R102" t="str">
        <f t="shared" si="44"/>
        <v/>
      </c>
      <c r="S102" t="str">
        <f t="shared" si="43"/>
        <v/>
      </c>
      <c r="T102" t="str">
        <f t="shared" si="43"/>
        <v/>
      </c>
      <c r="U102" t="str">
        <f t="shared" si="43"/>
        <v/>
      </c>
      <c r="V102" s="5" t="s">
        <v>36</v>
      </c>
      <c r="W102" t="str">
        <f t="shared" si="29"/>
        <v/>
      </c>
      <c r="X102" t="str">
        <f t="shared" si="29"/>
        <v/>
      </c>
      <c r="Y102" s="5" t="s">
        <v>36</v>
      </c>
      <c r="Z102" t="str">
        <f t="shared" si="30"/>
        <v/>
      </c>
      <c r="AA102" t="str">
        <f t="shared" si="38"/>
        <v/>
      </c>
      <c r="AB102" s="5" t="s">
        <v>36</v>
      </c>
      <c r="AH102">
        <f t="shared" si="40"/>
        <v>97</v>
      </c>
      <c r="AI102">
        <f t="shared" si="34"/>
        <v>0</v>
      </c>
      <c r="AJ102">
        <f t="shared" si="39"/>
        <v>5</v>
      </c>
    </row>
  </sheetData>
  <mergeCells count="1">
    <mergeCell ref="O2:U2"/>
  </mergeCells>
  <pageMargins left="0.7" right="0.7" top="0.75" bottom="0.75" header="0.3" footer="0.3"/>
  <pageSetup orientation="portrait" r:id="rId1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AL102"/>
  <sheetViews>
    <sheetView topLeftCell="E1" zoomScaleNormal="100" workbookViewId="0">
      <selection activeCell="I3" sqref="I3"/>
    </sheetView>
  </sheetViews>
  <sheetFormatPr defaultRowHeight="15" x14ac:dyDescent="0.25"/>
  <cols>
    <col min="1" max="1" width="73.85546875" style="5" bestFit="1" customWidth="1"/>
    <col min="2" max="2" width="16.28515625" style="5" bestFit="1" customWidth="1"/>
    <col min="3" max="3" width="32.7109375" style="5" bestFit="1" customWidth="1"/>
    <col min="4" max="4" width="31.42578125" style="5" bestFit="1" customWidth="1"/>
    <col min="5" max="5" width="24.28515625" style="5" bestFit="1" customWidth="1"/>
    <col min="6" max="6" width="73.5703125" style="5" bestFit="1" customWidth="1"/>
    <col min="7" max="7" width="5.85546875" style="8" bestFit="1" customWidth="1"/>
    <col min="8" max="8" width="7.85546875" style="3" bestFit="1" customWidth="1"/>
    <col min="9" max="9" width="38.140625" style="3" bestFit="1" customWidth="1"/>
    <col min="10" max="10" width="9.140625" style="3" bestFit="1" customWidth="1"/>
    <col min="11" max="11" width="18.140625" style="3" customWidth="1"/>
    <col min="12" max="12" width="51.85546875" style="5" bestFit="1" customWidth="1"/>
    <col min="13" max="13" width="21.28515625" style="5" customWidth="1"/>
    <col min="15" max="15" width="10.5703125" customWidth="1"/>
    <col min="22" max="22" width="1.5703125" style="5" customWidth="1"/>
    <col min="23" max="23" width="9.5703125" customWidth="1"/>
    <col min="25" max="25" width="1.5703125" style="5" bestFit="1" customWidth="1"/>
    <col min="26" max="26" width="46.7109375" bestFit="1" customWidth="1"/>
    <col min="27" max="27" width="29.140625" customWidth="1"/>
    <col min="28" max="28" width="1.5703125" style="5" bestFit="1" customWidth="1"/>
    <col min="31" max="31" width="14.140625" bestFit="1" customWidth="1"/>
  </cols>
  <sheetData>
    <row r="1" spans="1:38" x14ac:dyDescent="0.25">
      <c r="G1" s="5"/>
      <c r="H1" s="5"/>
      <c r="I1" s="5"/>
      <c r="J1" s="5"/>
      <c r="K1" s="5"/>
      <c r="N1" s="5"/>
      <c r="O1" s="9"/>
      <c r="P1" s="9"/>
      <c r="Q1" s="9"/>
      <c r="R1" s="9"/>
      <c r="S1" s="9"/>
      <c r="T1" s="9"/>
      <c r="U1" s="9"/>
      <c r="W1" s="9"/>
      <c r="X1" s="9"/>
      <c r="Z1" s="9"/>
      <c r="AA1" s="9"/>
    </row>
    <row r="2" spans="1:38" x14ac:dyDescent="0.25">
      <c r="A2" s="4" t="s">
        <v>2</v>
      </c>
      <c r="B2" s="4" t="s">
        <v>3</v>
      </c>
      <c r="C2" s="4" t="s">
        <v>4</v>
      </c>
      <c r="D2" s="4" t="s">
        <v>5</v>
      </c>
      <c r="E2" s="4" t="s">
        <v>6</v>
      </c>
      <c r="F2" s="4" t="s">
        <v>7</v>
      </c>
      <c r="G2" s="6" t="s">
        <v>9</v>
      </c>
      <c r="H2" s="2" t="s">
        <v>26</v>
      </c>
      <c r="I2" s="2" t="s">
        <v>8</v>
      </c>
      <c r="J2" s="2" t="s">
        <v>33</v>
      </c>
      <c r="K2" s="2" t="s">
        <v>38</v>
      </c>
      <c r="L2" s="4" t="s">
        <v>31</v>
      </c>
      <c r="M2" s="4" t="s">
        <v>32</v>
      </c>
      <c r="O2" s="11" t="str">
        <f>"Copy from N to T Into the files named "&amp;H3&amp;G3&amp;" etc"</f>
        <v>Copy from N to T Into the files named Enchanter1 etc</v>
      </c>
      <c r="P2" s="11"/>
      <c r="Q2" s="11"/>
      <c r="R2" s="11"/>
      <c r="S2" s="11"/>
      <c r="T2" s="11"/>
      <c r="U2" s="11"/>
      <c r="W2" s="1" t="s">
        <v>35</v>
      </c>
      <c r="Z2" s="1" t="s">
        <v>40</v>
      </c>
      <c r="AD2" t="s">
        <v>44</v>
      </c>
    </row>
    <row r="3" spans="1:38" x14ac:dyDescent="0.25">
      <c r="A3" s="5" t="s">
        <v>39</v>
      </c>
      <c r="B3" s="5" t="s">
        <v>0</v>
      </c>
      <c r="C3" s="5" t="str">
        <f t="shared" ref="C3:C66" si="0">"description,dailCompDesc"&amp;H3&amp;G3&amp;","</f>
        <v>description,dailCompDescEnchanter1,</v>
      </c>
      <c r="D3" s="5" t="str">
        <f>"itemText,dailCompText"&amp;H3&amp;G3&amp;","</f>
        <v>itemText,dailCompTextEnchanter1,</v>
      </c>
      <c r="E3" s="5" t="s">
        <v>24</v>
      </c>
      <c r="F3" s="5" t="str">
        <f>"augmentMasteryName1,records/skills"&amp;I3&amp;","</f>
        <v>augmentMasteryName1,records/skills/Enchanter/_ClassTraining_ENCH.dbr,</v>
      </c>
      <c r="G3" s="7">
        <f>IF(I3&lt;&gt;"",1,"")</f>
        <v>1</v>
      </c>
      <c r="H3" s="3" t="s">
        <v>94</v>
      </c>
      <c r="I3" s="3" t="s">
        <v>229</v>
      </c>
      <c r="J3" s="3" t="s">
        <v>95</v>
      </c>
      <c r="K3" s="3" t="s">
        <v>96</v>
      </c>
      <c r="L3" s="5" t="str">
        <f>"lootName"&amp;G3&amp;",DAIL/items/materia/"&amp;J3&amp;"/"&amp;H3&amp;G3&amp;".dbr"&amp;","</f>
        <v>lootName1,DAIL/items/materia/class0026/Enchanter1.dbr,</v>
      </c>
      <c r="M3" s="5" t="str">
        <f>"lootWeight"&amp;G3&amp;",1,"</f>
        <v>lootWeight1,1,</v>
      </c>
      <c r="N3" t="str">
        <f>LEFT(RIGHT(E3,2),1)</f>
        <v>1</v>
      </c>
      <c r="O3" s="5" t="str">
        <f>IF(I3&lt;&gt;"","copy .\dail_base2.dbr .\items\materia\"&amp;J3&amp;"\"&amp;H3&amp;G3&amp;".dbr /y"&amp;"","")</f>
        <v>copy .\dail_base2.dbr .\items\materia\class0026\Enchanter1.dbr /y</v>
      </c>
      <c r="P3" t="str">
        <f>IF($I3&lt;&gt;"","echo "&amp;A3&amp;" &gt;&gt; .\items\materia\"&amp;$J3&amp;"\"&amp;$H3&amp;$G3&amp;".dbr","")</f>
        <v>echo relicBitmap,items/craftingparts/components/component_a52_bristlyfur_b.tex, &gt;&gt; .\items\materia\class0026\Enchanter1.dbr</v>
      </c>
      <c r="Q3" t="str">
        <f t="shared" ref="Q3:U18" si="1">IF($I3&lt;&gt;"","echo "&amp;B3&amp;" &gt;&gt; .\items\materia\"&amp;$J3&amp;"\"&amp;$H3&amp;$G3&amp;".dbr","")</f>
        <v>echo itemCost,100000, &gt;&gt; .\items\materia\class0026\Enchanter1.dbr</v>
      </c>
      <c r="R3" t="str">
        <f t="shared" si="1"/>
        <v>echo description,dailCompDescEnchanter1, &gt;&gt; .\items\materia\class0026\Enchanter1.dbr</v>
      </c>
      <c r="S3" t="str">
        <f t="shared" si="1"/>
        <v>echo itemText,dailCompTextEnchanter1, &gt;&gt; .\items\materia\class0026\Enchanter1.dbr</v>
      </c>
      <c r="T3" t="str">
        <f t="shared" si="1"/>
        <v>echo augmentMasteryLevel1,1, &gt;&gt; .\items\materia\class0026\Enchanter1.dbr</v>
      </c>
      <c r="U3" t="str">
        <f t="shared" si="1"/>
        <v>echo augmentMasteryName1,records/skills/Enchanter/_ClassTraining_ENCH.dbr, &gt;&gt; .\items\materia\class0026\Enchanter1.dbr</v>
      </c>
      <c r="V3" s="5" t="s">
        <v>36</v>
      </c>
      <c r="W3" t="str">
        <f>IF($I3&lt;&gt;"","echo "&amp;L3&amp;" &gt;&gt; .\items\loottables\"&amp;$K3&amp;".dbr","")</f>
        <v>echo lootName1,DAIL/items/materia/class0026/Enchanter1.dbr, &gt;&gt; .\items\loottables\dailoneskill0026.dbr</v>
      </c>
      <c r="X3" t="str">
        <f>IF($I3&lt;&gt;"","echo "&amp;M3&amp;" &gt;&gt; .\items\loottables\"&amp;$K3&amp;".dbr","")</f>
        <v>echo lootWeight1,1, &gt;&gt; .\items\loottables\dailoneskill0026.dbr</v>
      </c>
      <c r="Y3" s="5" t="s">
        <v>36</v>
      </c>
      <c r="Z3" s="10" t="str">
        <f>IF(I2&lt;&gt;""," dailCompDesc"&amp;H3&amp;G3&amp;"=^p"&amp;H3&amp;"'s Gift of DAIL","")</f>
        <v xml:space="preserve"> dailCompDescEnchanter1=^pEnchanter's Gift of DAIL</v>
      </c>
      <c r="AA3" s="10" t="str">
        <f>IF(I2&lt;&gt;"","dailCompText"&amp;H3&amp;G3&amp;"=^oThis feels warm to the touch, almost familiar ^w(This component fits into the amulet only)","")</f>
        <v>dailCompTextEnchanter1=^oThis feels warm to the touch, almost familiar ^w(This component fits into the amulet only)</v>
      </c>
      <c r="AB3" s="5" t="s">
        <v>36</v>
      </c>
      <c r="AD3">
        <v>1</v>
      </c>
      <c r="AE3" t="s">
        <v>42</v>
      </c>
      <c r="AF3" t="s">
        <v>45</v>
      </c>
    </row>
    <row r="4" spans="1:38" x14ac:dyDescent="0.25">
      <c r="A4" s="5" t="s">
        <v>39</v>
      </c>
      <c r="B4" s="5" t="s">
        <v>28</v>
      </c>
      <c r="C4" s="5" t="str">
        <f t="shared" si="0"/>
        <v>description,dailCompDescEnchanter2,</v>
      </c>
      <c r="D4" s="5" t="str">
        <f t="shared" ref="D4:D67" si="2">"itemText,dailCompText"&amp;H4&amp;G4&amp;","</f>
        <v>itemText,dailCompTextEnchanter2,</v>
      </c>
      <c r="E4" s="5" t="s">
        <v>1</v>
      </c>
      <c r="F4" s="5" t="str">
        <f t="shared" ref="F4:F5" si="3">"augmentMasteryName1,records/skills"&amp;I4&amp;","</f>
        <v>augmentMasteryName1,records/skills/Enchanter/_ClassTraining_ENCH.dbr,</v>
      </c>
      <c r="G4" s="7">
        <f>IF(I4&lt;&gt;"",G3+1,"")</f>
        <v>2</v>
      </c>
      <c r="H4" s="8" t="str">
        <f>H3</f>
        <v>Enchanter</v>
      </c>
      <c r="I4" s="3" t="s">
        <v>229</v>
      </c>
      <c r="J4" s="8" t="str">
        <f>J3</f>
        <v>class0026</v>
      </c>
      <c r="K4" s="8" t="str">
        <f>K3</f>
        <v>dailoneskill0026</v>
      </c>
      <c r="L4" s="5" t="str">
        <f t="shared" ref="L4:L67" si="4">"lootName"&amp;G4&amp;",DAIL/items/materia/"&amp;J4&amp;"/"&amp;H4&amp;G4&amp;".dbr"&amp;","</f>
        <v>lootName2,DAIL/items/materia/class0026/Enchanter2.dbr,</v>
      </c>
      <c r="M4" s="5" t="str">
        <f t="shared" ref="M4:M67" si="5">"lootWeight"&amp;G4&amp;",1,"</f>
        <v>lootWeight2,1,</v>
      </c>
      <c r="N4" t="str">
        <f t="shared" ref="N4:N67" si="6">LEFT(RIGHT(E4,2),1)</f>
        <v>2</v>
      </c>
      <c r="O4" s="5" t="str">
        <f>IF(I4&lt;&gt;"","copy .\dail_base2.dbr .\items\materia\"&amp;J4&amp;"\"&amp;H4&amp;G4&amp;".dbr /y"&amp;"","")</f>
        <v>copy .\dail_base2.dbr .\items\materia\class0026\Enchanter2.dbr /y</v>
      </c>
      <c r="P4" t="str">
        <f t="shared" ref="P4:U58" si="7">IF($I4&lt;&gt;"","echo "&amp;A4&amp;" &gt;&gt; .\items\materia\"&amp;$J4&amp;"\"&amp;$H4&amp;$G4&amp;".dbr","")</f>
        <v>echo relicBitmap,items/craftingparts/components/component_a52_bristlyfur_b.tex, &gt;&gt; .\items\materia\class0026\Enchanter2.dbr</v>
      </c>
      <c r="Q4" t="str">
        <f t="shared" si="1"/>
        <v>echo itemCost,300000, &gt;&gt; .\items\materia\class0026\Enchanter2.dbr</v>
      </c>
      <c r="R4" t="str">
        <f t="shared" si="1"/>
        <v>echo description,dailCompDescEnchanter2, &gt;&gt; .\items\materia\class0026\Enchanter2.dbr</v>
      </c>
      <c r="S4" t="str">
        <f t="shared" si="1"/>
        <v>echo itemText,dailCompTextEnchanter2, &gt;&gt; .\items\materia\class0026\Enchanter2.dbr</v>
      </c>
      <c r="T4" t="str">
        <f t="shared" si="1"/>
        <v>echo augmentMasteryLevel1,2, &gt;&gt; .\items\materia\class0026\Enchanter2.dbr</v>
      </c>
      <c r="U4" t="str">
        <f t="shared" si="1"/>
        <v>echo augmentMasteryName1,records/skills/Enchanter/_ClassTraining_ENCH.dbr, &gt;&gt; .\items\materia\class0026\Enchanter2.dbr</v>
      </c>
      <c r="V4" s="5" t="s">
        <v>36</v>
      </c>
      <c r="W4" t="str">
        <f t="shared" ref="W4:X67" si="8">IF($I4&lt;&gt;"","echo "&amp;L4&amp;" &gt;&gt; .\items\loottables\"&amp;$K4&amp;".dbr","")</f>
        <v>echo lootName2,DAIL/items/materia/class0026/Enchanter2.dbr, &gt;&gt; .\items\loottables\dailoneskill0026.dbr</v>
      </c>
      <c r="X4" t="str">
        <f t="shared" si="8"/>
        <v>echo lootWeight2,1, &gt;&gt; .\items\loottables\dailoneskill0026.dbr</v>
      </c>
      <c r="Y4" s="5" t="s">
        <v>36</v>
      </c>
      <c r="Z4" s="10" t="str">
        <f t="shared" ref="Z4:Z67" si="9">IF(I3&lt;&gt;""," dailCompDesc"&amp;H4&amp;G4&amp;"=^p"&amp;H4&amp;"'s Gift of DAIL","")</f>
        <v xml:space="preserve"> dailCompDescEnchanter2=^pEnchanter's Gift of DAIL</v>
      </c>
      <c r="AA4" s="10" t="str">
        <f>IF(I3&lt;&gt;"","dailCompText"&amp;H4&amp;G4&amp;"=^oThis feels warm to the touch, almost familiar ^w(This component fits into the amulet only)","")</f>
        <v>dailCompTextEnchanter2=^oThis feels warm to the touch, almost familiar ^w(This component fits into the amulet only)</v>
      </c>
      <c r="AB4" s="5" t="s">
        <v>36</v>
      </c>
      <c r="AD4">
        <v>3</v>
      </c>
      <c r="AE4" t="s">
        <v>43</v>
      </c>
      <c r="AF4" t="s">
        <v>46</v>
      </c>
    </row>
    <row r="5" spans="1:38" x14ac:dyDescent="0.25">
      <c r="A5" s="5" t="s">
        <v>39</v>
      </c>
      <c r="B5" s="5" t="s">
        <v>29</v>
      </c>
      <c r="C5" s="5" t="str">
        <f t="shared" si="0"/>
        <v>description,dailCompDescEnchanter3,</v>
      </c>
      <c r="D5" s="5" t="str">
        <f t="shared" si="2"/>
        <v>itemText,dailCompTextEnchanter3,</v>
      </c>
      <c r="E5" s="5" t="s">
        <v>25</v>
      </c>
      <c r="F5" s="5" t="str">
        <f t="shared" si="3"/>
        <v>augmentMasteryName1,records/skills/Enchanter/_ClassTraining_ENCH.dbr,</v>
      </c>
      <c r="G5" s="7">
        <f t="shared" ref="G5:G68" si="10">IF(I5&lt;&gt;"",G4+1,"")</f>
        <v>3</v>
      </c>
      <c r="H5" s="8" t="str">
        <f t="shared" ref="H5:H68" si="11">H4</f>
        <v>Enchanter</v>
      </c>
      <c r="I5" s="3" t="s">
        <v>229</v>
      </c>
      <c r="J5" s="8" t="str">
        <f t="shared" ref="J5:K20" si="12">J4</f>
        <v>class0026</v>
      </c>
      <c r="K5" s="8" t="str">
        <f t="shared" si="12"/>
        <v>dailoneskill0026</v>
      </c>
      <c r="L5" s="5" t="str">
        <f t="shared" si="4"/>
        <v>lootName3,DAIL/items/materia/class0026/Enchanter3.dbr,</v>
      </c>
      <c r="M5" s="5" t="str">
        <f t="shared" si="5"/>
        <v>lootWeight3,1,</v>
      </c>
      <c r="N5" t="str">
        <f t="shared" si="6"/>
        <v>3</v>
      </c>
      <c r="O5" s="5" t="str">
        <f>IF(I5&lt;&gt;"","copy .\dail_base2.dbr .\items\materia\"&amp;J5&amp;"\"&amp;H5&amp;G5&amp;".dbr /y"&amp;"","")</f>
        <v>copy .\dail_base2.dbr .\items\materia\class0026\Enchanter3.dbr /y</v>
      </c>
      <c r="P5" t="str">
        <f t="shared" si="7"/>
        <v>echo relicBitmap,items/craftingparts/components/component_a52_bristlyfur_b.tex, &gt;&gt; .\items\materia\class0026\Enchanter3.dbr</v>
      </c>
      <c r="Q5" t="str">
        <f t="shared" si="1"/>
        <v>echo itemCost,600000, &gt;&gt; .\items\materia\class0026\Enchanter3.dbr</v>
      </c>
      <c r="R5" t="str">
        <f t="shared" si="1"/>
        <v>echo description,dailCompDescEnchanter3, &gt;&gt; .\items\materia\class0026\Enchanter3.dbr</v>
      </c>
      <c r="S5" t="str">
        <f t="shared" si="1"/>
        <v>echo itemText,dailCompTextEnchanter3, &gt;&gt; .\items\materia\class0026\Enchanter3.dbr</v>
      </c>
      <c r="T5" t="str">
        <f t="shared" si="1"/>
        <v>echo augmentMasteryLevel1,3, &gt;&gt; .\items\materia\class0026\Enchanter3.dbr</v>
      </c>
      <c r="U5" t="str">
        <f t="shared" si="1"/>
        <v>echo augmentMasteryName1,records/skills/Enchanter/_ClassTraining_ENCH.dbr, &gt;&gt; .\items\materia\class0026\Enchanter3.dbr</v>
      </c>
      <c r="V5" s="5" t="s">
        <v>36</v>
      </c>
      <c r="W5" t="str">
        <f t="shared" si="8"/>
        <v>echo lootName3,DAIL/items/materia/class0026/Enchanter3.dbr, &gt;&gt; .\items\loottables\dailoneskill0026.dbr</v>
      </c>
      <c r="X5" t="str">
        <f t="shared" si="8"/>
        <v>echo lootWeight3,1, &gt;&gt; .\items\loottables\dailoneskill0026.dbr</v>
      </c>
      <c r="Y5" s="5" t="s">
        <v>36</v>
      </c>
      <c r="Z5" s="10" t="str">
        <f t="shared" si="9"/>
        <v xml:space="preserve"> dailCompDescEnchanter3=^pEnchanter's Gift of DAIL</v>
      </c>
      <c r="AA5" s="10" t="str">
        <f>IF(I4&lt;&gt;"","dailCompText"&amp;H5&amp;G5&amp;"=^oThis feels warm to the touch, almost familiar ^w(This component fits into the amulet only)","")</f>
        <v>dailCompTextEnchanter3=^oThis feels warm to the touch, almost familiar ^w(This component fits into the amulet only)</v>
      </c>
      <c r="AB5" s="5" t="s">
        <v>36</v>
      </c>
      <c r="AD5">
        <v>5</v>
      </c>
      <c r="AE5" t="s">
        <v>43</v>
      </c>
      <c r="AF5" t="s">
        <v>46</v>
      </c>
      <c r="AI5" t="s">
        <v>61</v>
      </c>
    </row>
    <row r="6" spans="1:38" x14ac:dyDescent="0.25">
      <c r="A6" s="5" t="s">
        <v>39</v>
      </c>
      <c r="B6" s="5" t="s">
        <v>0</v>
      </c>
      <c r="C6" s="5" t="str">
        <f t="shared" si="0"/>
        <v>description,dailCompDescEnchanter4,</v>
      </c>
      <c r="D6" s="5" t="str">
        <f t="shared" si="2"/>
        <v>itemText,dailCompTextEnchanter4,</v>
      </c>
      <c r="E6" s="5" t="str">
        <f>"augmentSkillLevel1,"&amp;AJ6&amp;","</f>
        <v>augmentSkillLevel1,1,</v>
      </c>
      <c r="F6" s="5" t="str">
        <f>"augmentSkillName1,records/skills"&amp;I6&amp;","</f>
        <v>augmentSkillName1,records/skills/enchanter/wither.dbr,</v>
      </c>
      <c r="G6" s="7">
        <f t="shared" si="10"/>
        <v>4</v>
      </c>
      <c r="H6" s="8" t="str">
        <f t="shared" si="11"/>
        <v>Enchanter</v>
      </c>
      <c r="I6" s="3" t="s">
        <v>447</v>
      </c>
      <c r="J6" s="8" t="str">
        <f t="shared" si="12"/>
        <v>class0026</v>
      </c>
      <c r="K6" s="8" t="str">
        <f t="shared" si="12"/>
        <v>dailoneskill0026</v>
      </c>
      <c r="L6" s="5" t="str">
        <f t="shared" si="4"/>
        <v>lootName4,DAIL/items/materia/class0026/Enchanter4.dbr,</v>
      </c>
      <c r="M6" s="5" t="str">
        <f t="shared" si="5"/>
        <v>lootWeight4,1,</v>
      </c>
      <c r="N6" t="str">
        <f t="shared" si="6"/>
        <v>1</v>
      </c>
      <c r="O6" t="str">
        <f>IF(I6&lt;&gt;"","copy .\"&amp;VLOOKUP(VALUE(N6),$AD$3:$AF$5,2,FALSE)&amp;" .\items\materia\"&amp;J6&amp;"\"&amp;H6&amp;G6&amp;".dbr /y"&amp;"","")</f>
        <v>copy .\dail_base.dbr .\items\materia\class0026\Enchanter4.dbr /y</v>
      </c>
      <c r="P6" t="str">
        <f t="shared" si="7"/>
        <v>echo relicBitmap,items/craftingparts/components/component_a52_bristlyfur_b.tex, &gt;&gt; .\items\materia\class0026\Enchanter4.dbr</v>
      </c>
      <c r="Q6" t="str">
        <f t="shared" si="1"/>
        <v>echo itemCost,100000, &gt;&gt; .\items\materia\class0026\Enchanter4.dbr</v>
      </c>
      <c r="R6" t="str">
        <f t="shared" si="1"/>
        <v>echo description,dailCompDescEnchanter4, &gt;&gt; .\items\materia\class0026\Enchanter4.dbr</v>
      </c>
      <c r="S6" t="str">
        <f t="shared" si="1"/>
        <v>echo itemText,dailCompTextEnchanter4, &gt;&gt; .\items\materia\class0026\Enchanter4.dbr</v>
      </c>
      <c r="T6" t="str">
        <f t="shared" si="1"/>
        <v>echo augmentSkillLevel1,1, &gt;&gt; .\items\materia\class0026\Enchanter4.dbr</v>
      </c>
      <c r="U6" t="str">
        <f t="shared" si="1"/>
        <v>echo augmentSkillName1,records/skills/enchanter/wither.dbr, &gt;&gt; .\items\materia\class0026\Enchanter4.dbr</v>
      </c>
      <c r="V6" s="5" t="s">
        <v>36</v>
      </c>
      <c r="W6" t="str">
        <f t="shared" si="8"/>
        <v>echo lootName4,DAIL/items/materia/class0026/Enchanter4.dbr, &gt;&gt; .\items\loottables\dailoneskill0026.dbr</v>
      </c>
      <c r="X6" t="str">
        <f t="shared" si="8"/>
        <v>echo lootWeight4,1, &gt;&gt; .\items\loottables\dailoneskill0026.dbr</v>
      </c>
      <c r="Y6" s="5" t="s">
        <v>36</v>
      </c>
      <c r="Z6" t="str">
        <f t="shared" si="9"/>
        <v xml:space="preserve"> dailCompDescEnchanter4=^pEnchanter's Gift of DAIL</v>
      </c>
      <c r="AA6" t="str">
        <f>IF(I5&lt;&gt;"","dailCompText"&amp;H6&amp;G6&amp;"=^oThis feels warm to the touch, almost familiar ^w("&amp;VLOOKUP(VALUE(N6),$AD$3:$AF$5,3,FALSE)&amp;")","")</f>
        <v>dailCompTextEnchanter4=^oThis feels warm to the touch, almost familiar ^w(This component fits into all Jewellery slots including the Belt And Shoulder)</v>
      </c>
      <c r="AB6" s="5" t="s">
        <v>36</v>
      </c>
      <c r="AH6">
        <v>1</v>
      </c>
      <c r="AI6">
        <f t="shared" ref="AI6:AI37" si="13">LEN(I6)</f>
        <v>21</v>
      </c>
      <c r="AJ6">
        <f>IF(AH6&lt;$AL$7,1,IF(AH6&lt;$AL$8,3,5))</f>
        <v>1</v>
      </c>
      <c r="AK6" s="1" t="s">
        <v>62</v>
      </c>
      <c r="AL6" s="1">
        <f>COUNTIF(AI:AI,"&gt;0")</f>
        <v>72</v>
      </c>
    </row>
    <row r="7" spans="1:38" x14ac:dyDescent="0.25">
      <c r="A7" s="5" t="s">
        <v>39</v>
      </c>
      <c r="B7" s="5" t="s">
        <v>0</v>
      </c>
      <c r="C7" s="5" t="str">
        <f t="shared" si="0"/>
        <v>description,dailCompDescEnchanter5,</v>
      </c>
      <c r="D7" s="5" t="str">
        <f t="shared" si="2"/>
        <v>itemText,dailCompTextEnchanter5,</v>
      </c>
      <c r="E7" s="5" t="str">
        <f t="shared" ref="E7:E70" si="14">"augmentSkillLevel1,"&amp;AJ7&amp;","</f>
        <v>augmentSkillLevel1,1,</v>
      </c>
      <c r="F7" s="5" t="str">
        <f t="shared" ref="F7:F70" si="15">"augmentSkillName1,records/skills"&amp;I7&amp;","</f>
        <v>augmentSkillName1,records/skills/enchanter/wither_mod.dbr,</v>
      </c>
      <c r="G7" s="7">
        <f t="shared" si="10"/>
        <v>5</v>
      </c>
      <c r="H7" s="8" t="str">
        <f t="shared" si="11"/>
        <v>Enchanter</v>
      </c>
      <c r="I7" s="3" t="s">
        <v>448</v>
      </c>
      <c r="J7" s="8" t="str">
        <f t="shared" si="12"/>
        <v>class0026</v>
      </c>
      <c r="K7" s="8" t="str">
        <f t="shared" si="12"/>
        <v>dailoneskill0026</v>
      </c>
      <c r="L7" s="5" t="str">
        <f t="shared" si="4"/>
        <v>lootName5,DAIL/items/materia/class0026/Enchanter5.dbr,</v>
      </c>
      <c r="M7" s="5" t="str">
        <f t="shared" si="5"/>
        <v>lootWeight5,1,</v>
      </c>
      <c r="N7" t="str">
        <f t="shared" si="6"/>
        <v>1</v>
      </c>
      <c r="O7" t="str">
        <f t="shared" ref="O7:O70" si="16">IF(I7&lt;&gt;"","copy .\"&amp;VLOOKUP(VALUE(N7),$AD$3:$AF$5,2,FALSE)&amp;" .\items\materia\"&amp;J7&amp;"\"&amp;H7&amp;G7&amp;".dbr /y"&amp;"","")</f>
        <v>copy .\dail_base.dbr .\items\materia\class0026\Enchanter5.dbr /y</v>
      </c>
      <c r="P7" t="str">
        <f t="shared" si="7"/>
        <v>echo relicBitmap,items/craftingparts/components/component_a52_bristlyfur_b.tex, &gt;&gt; .\items\materia\class0026\Enchanter5.dbr</v>
      </c>
      <c r="Q7" t="str">
        <f t="shared" si="1"/>
        <v>echo itemCost,100000, &gt;&gt; .\items\materia\class0026\Enchanter5.dbr</v>
      </c>
      <c r="R7" t="str">
        <f t="shared" si="1"/>
        <v>echo description,dailCompDescEnchanter5, &gt;&gt; .\items\materia\class0026\Enchanter5.dbr</v>
      </c>
      <c r="S7" t="str">
        <f t="shared" si="1"/>
        <v>echo itemText,dailCompTextEnchanter5, &gt;&gt; .\items\materia\class0026\Enchanter5.dbr</v>
      </c>
      <c r="T7" t="str">
        <f t="shared" si="1"/>
        <v>echo augmentSkillLevel1,1, &gt;&gt; .\items\materia\class0026\Enchanter5.dbr</v>
      </c>
      <c r="U7" t="str">
        <f t="shared" si="1"/>
        <v>echo augmentSkillName1,records/skills/enchanter/wither_mod.dbr, &gt;&gt; .\items\materia\class0026\Enchanter5.dbr</v>
      </c>
      <c r="V7" s="5" t="s">
        <v>36</v>
      </c>
      <c r="W7" t="str">
        <f t="shared" si="8"/>
        <v>echo lootName5,DAIL/items/materia/class0026/Enchanter5.dbr, &gt;&gt; .\items\loottables\dailoneskill0026.dbr</v>
      </c>
      <c r="X7" t="str">
        <f t="shared" si="8"/>
        <v>echo lootWeight5,1, &gt;&gt; .\items\loottables\dailoneskill0026.dbr</v>
      </c>
      <c r="Y7" s="5" t="s">
        <v>36</v>
      </c>
      <c r="Z7" t="str">
        <f t="shared" si="9"/>
        <v xml:space="preserve"> dailCompDescEnchanter5=^pEnchanter's Gift of DAIL</v>
      </c>
      <c r="AA7" t="str">
        <f t="shared" ref="AA7:AA70" si="17">IF(I6&lt;&gt;"","dailCompText"&amp;H7&amp;G7&amp;"=^oThis feels warm to the touch, almost familiar ^w("&amp;VLOOKUP(VALUE(N7),$AD$3:$AF$5,3,FALSE)&amp;")","")</f>
        <v>dailCompTextEnchanter5=^oThis feels warm to the touch, almost familiar ^w(This component fits into all Jewellery slots including the Belt And Shoulder)</v>
      </c>
      <c r="AB7" s="5" t="s">
        <v>36</v>
      </c>
      <c r="AH7">
        <f>AH6+1</f>
        <v>2</v>
      </c>
      <c r="AI7">
        <f t="shared" si="13"/>
        <v>25</v>
      </c>
      <c r="AJ7">
        <f t="shared" ref="AJ7:AJ70" si="18">IF(AH7&lt;$AL$7,1,IF(AH7&lt;$AL$8,3,5))</f>
        <v>1</v>
      </c>
      <c r="AK7">
        <v>1</v>
      </c>
      <c r="AL7">
        <f>AL6/3</f>
        <v>24</v>
      </c>
    </row>
    <row r="8" spans="1:38" x14ac:dyDescent="0.25">
      <c r="A8" s="5" t="s">
        <v>39</v>
      </c>
      <c r="B8" s="5" t="s">
        <v>0</v>
      </c>
      <c r="C8" s="5" t="str">
        <f t="shared" si="0"/>
        <v>description,dailCompDescEnchanter6,</v>
      </c>
      <c r="D8" s="5" t="str">
        <f t="shared" si="2"/>
        <v>itemText,dailCompTextEnchanter6,</v>
      </c>
      <c r="E8" s="5" t="str">
        <f t="shared" si="14"/>
        <v>augmentSkillLevel1,1,</v>
      </c>
      <c r="F8" s="5" t="str">
        <f t="shared" si="15"/>
        <v>augmentSkillName1,records/skills/enchanter/charmofflames.dbr,</v>
      </c>
      <c r="G8" s="7">
        <f t="shared" si="10"/>
        <v>6</v>
      </c>
      <c r="H8" s="8" t="str">
        <f t="shared" si="11"/>
        <v>Enchanter</v>
      </c>
      <c r="I8" s="3" t="s">
        <v>449</v>
      </c>
      <c r="J8" s="8" t="str">
        <f t="shared" si="12"/>
        <v>class0026</v>
      </c>
      <c r="K8" s="8" t="str">
        <f t="shared" si="12"/>
        <v>dailoneskill0026</v>
      </c>
      <c r="L8" s="5" t="str">
        <f t="shared" si="4"/>
        <v>lootName6,DAIL/items/materia/class0026/Enchanter6.dbr,</v>
      </c>
      <c r="M8" s="5" t="str">
        <f t="shared" si="5"/>
        <v>lootWeight6,1,</v>
      </c>
      <c r="N8" t="str">
        <f t="shared" si="6"/>
        <v>1</v>
      </c>
      <c r="O8" t="str">
        <f t="shared" si="16"/>
        <v>copy .\dail_base.dbr .\items\materia\class0026\Enchanter6.dbr /y</v>
      </c>
      <c r="P8" t="str">
        <f t="shared" si="7"/>
        <v>echo relicBitmap,items/craftingparts/components/component_a52_bristlyfur_b.tex, &gt;&gt; .\items\materia\class0026\Enchanter6.dbr</v>
      </c>
      <c r="Q8" t="str">
        <f t="shared" si="1"/>
        <v>echo itemCost,100000, &gt;&gt; .\items\materia\class0026\Enchanter6.dbr</v>
      </c>
      <c r="R8" t="str">
        <f t="shared" si="1"/>
        <v>echo description,dailCompDescEnchanter6, &gt;&gt; .\items\materia\class0026\Enchanter6.dbr</v>
      </c>
      <c r="S8" t="str">
        <f t="shared" si="1"/>
        <v>echo itemText,dailCompTextEnchanter6, &gt;&gt; .\items\materia\class0026\Enchanter6.dbr</v>
      </c>
      <c r="T8" t="str">
        <f t="shared" si="1"/>
        <v>echo augmentSkillLevel1,1, &gt;&gt; .\items\materia\class0026\Enchanter6.dbr</v>
      </c>
      <c r="U8" t="str">
        <f t="shared" si="1"/>
        <v>echo augmentSkillName1,records/skills/enchanter/charmofflames.dbr, &gt;&gt; .\items\materia\class0026\Enchanter6.dbr</v>
      </c>
      <c r="V8" s="5" t="s">
        <v>36</v>
      </c>
      <c r="W8" t="str">
        <f t="shared" si="8"/>
        <v>echo lootName6,DAIL/items/materia/class0026/Enchanter6.dbr, &gt;&gt; .\items\loottables\dailoneskill0026.dbr</v>
      </c>
      <c r="X8" t="str">
        <f t="shared" si="8"/>
        <v>echo lootWeight6,1, &gt;&gt; .\items\loottables\dailoneskill0026.dbr</v>
      </c>
      <c r="Y8" s="5" t="s">
        <v>36</v>
      </c>
      <c r="Z8" t="str">
        <f t="shared" si="9"/>
        <v xml:space="preserve"> dailCompDescEnchanter6=^pEnchanter's Gift of DAIL</v>
      </c>
      <c r="AA8" t="str">
        <f t="shared" si="17"/>
        <v>dailCompTextEnchanter6=^oThis feels warm to the touch, almost familiar ^w(This component fits into all Jewellery slots including the Belt And Shoulder)</v>
      </c>
      <c r="AB8" s="5" t="s">
        <v>36</v>
      </c>
      <c r="AH8">
        <f t="shared" ref="AH8:AH71" si="19">AH7+1</f>
        <v>3</v>
      </c>
      <c r="AI8">
        <f t="shared" si="13"/>
        <v>28</v>
      </c>
      <c r="AJ8">
        <f t="shared" si="18"/>
        <v>1</v>
      </c>
      <c r="AK8" s="1">
        <v>3</v>
      </c>
      <c r="AL8">
        <f>AL7*2</f>
        <v>48</v>
      </c>
    </row>
    <row r="9" spans="1:38" x14ac:dyDescent="0.25">
      <c r="A9" s="5" t="s">
        <v>39</v>
      </c>
      <c r="B9" s="5" t="s">
        <v>0</v>
      </c>
      <c r="C9" s="5" t="str">
        <f t="shared" si="0"/>
        <v>description,dailCompDescEnchanter7,</v>
      </c>
      <c r="D9" s="5" t="str">
        <f t="shared" si="2"/>
        <v>itemText,dailCompTextEnchanter7,</v>
      </c>
      <c r="E9" s="5" t="str">
        <f t="shared" si="14"/>
        <v>augmentSkillLevel1,1,</v>
      </c>
      <c r="F9" s="5" t="str">
        <f t="shared" si="15"/>
        <v>augmentSkillName1,records/skills/enchanter/charmofflames_mod.dbr,</v>
      </c>
      <c r="G9" s="7">
        <f t="shared" si="10"/>
        <v>7</v>
      </c>
      <c r="H9" s="8" t="str">
        <f t="shared" si="11"/>
        <v>Enchanter</v>
      </c>
      <c r="I9" s="3" t="s">
        <v>450</v>
      </c>
      <c r="J9" s="8" t="str">
        <f t="shared" si="12"/>
        <v>class0026</v>
      </c>
      <c r="K9" s="8" t="str">
        <f t="shared" si="12"/>
        <v>dailoneskill0026</v>
      </c>
      <c r="L9" s="5" t="str">
        <f t="shared" si="4"/>
        <v>lootName7,DAIL/items/materia/class0026/Enchanter7.dbr,</v>
      </c>
      <c r="M9" s="5" t="str">
        <f t="shared" si="5"/>
        <v>lootWeight7,1,</v>
      </c>
      <c r="N9" t="str">
        <f t="shared" si="6"/>
        <v>1</v>
      </c>
      <c r="O9" t="str">
        <f t="shared" si="16"/>
        <v>copy .\dail_base.dbr .\items\materia\class0026\Enchanter7.dbr /y</v>
      </c>
      <c r="P9" t="str">
        <f t="shared" si="7"/>
        <v>echo relicBitmap,items/craftingparts/components/component_a52_bristlyfur_b.tex, &gt;&gt; .\items\materia\class0026\Enchanter7.dbr</v>
      </c>
      <c r="Q9" t="str">
        <f t="shared" si="1"/>
        <v>echo itemCost,100000, &gt;&gt; .\items\materia\class0026\Enchanter7.dbr</v>
      </c>
      <c r="R9" t="str">
        <f t="shared" si="1"/>
        <v>echo description,dailCompDescEnchanter7, &gt;&gt; .\items\materia\class0026\Enchanter7.dbr</v>
      </c>
      <c r="S9" t="str">
        <f t="shared" si="1"/>
        <v>echo itemText,dailCompTextEnchanter7, &gt;&gt; .\items\materia\class0026\Enchanter7.dbr</v>
      </c>
      <c r="T9" t="str">
        <f t="shared" si="1"/>
        <v>echo augmentSkillLevel1,1, &gt;&gt; .\items\materia\class0026\Enchanter7.dbr</v>
      </c>
      <c r="U9" t="str">
        <f t="shared" si="1"/>
        <v>echo augmentSkillName1,records/skills/enchanter/charmofflames_mod.dbr, &gt;&gt; .\items\materia\class0026\Enchanter7.dbr</v>
      </c>
      <c r="V9" s="5" t="s">
        <v>36</v>
      </c>
      <c r="W9" t="str">
        <f t="shared" si="8"/>
        <v>echo lootName7,DAIL/items/materia/class0026/Enchanter7.dbr, &gt;&gt; .\items\loottables\dailoneskill0026.dbr</v>
      </c>
      <c r="X9" t="str">
        <f t="shared" si="8"/>
        <v>echo lootWeight7,1, &gt;&gt; .\items\loottables\dailoneskill0026.dbr</v>
      </c>
      <c r="Y9" s="5" t="s">
        <v>36</v>
      </c>
      <c r="Z9" t="str">
        <f t="shared" si="9"/>
        <v xml:space="preserve"> dailCompDescEnchanter7=^pEnchanter's Gift of DAIL</v>
      </c>
      <c r="AA9" t="str">
        <f t="shared" si="17"/>
        <v>dailCompTextEnchanter7=^oThis feels warm to the touch, almost familiar ^w(This component fits into all Jewellery slots including the Belt And Shoulder)</v>
      </c>
      <c r="AB9" s="5" t="s">
        <v>36</v>
      </c>
      <c r="AH9">
        <f t="shared" si="19"/>
        <v>4</v>
      </c>
      <c r="AI9">
        <f t="shared" si="13"/>
        <v>32</v>
      </c>
      <c r="AJ9">
        <f t="shared" si="18"/>
        <v>1</v>
      </c>
      <c r="AK9" s="1">
        <v>5</v>
      </c>
      <c r="AL9">
        <f>AL6</f>
        <v>72</v>
      </c>
    </row>
    <row r="10" spans="1:38" x14ac:dyDescent="0.25">
      <c r="A10" s="5" t="s">
        <v>39</v>
      </c>
      <c r="B10" s="5" t="s">
        <v>0</v>
      </c>
      <c r="C10" s="5" t="str">
        <f t="shared" si="0"/>
        <v>description,dailCompDescEnchanter8,</v>
      </c>
      <c r="D10" s="5" t="str">
        <f t="shared" si="2"/>
        <v>itemText,dailCompTextEnchanter8,</v>
      </c>
      <c r="E10" s="5" t="str">
        <f t="shared" si="14"/>
        <v>augmentSkillLevel1,1,</v>
      </c>
      <c r="F10" s="5" t="str">
        <f t="shared" si="15"/>
        <v>augmentSkillName1,records/skills/enchanter/timeslow.dbr,</v>
      </c>
      <c r="G10" s="7">
        <f t="shared" si="10"/>
        <v>8</v>
      </c>
      <c r="H10" s="8" t="str">
        <f t="shared" si="11"/>
        <v>Enchanter</v>
      </c>
      <c r="I10" s="3" t="s">
        <v>451</v>
      </c>
      <c r="J10" s="8" t="str">
        <f t="shared" si="12"/>
        <v>class0026</v>
      </c>
      <c r="K10" s="8" t="str">
        <f t="shared" si="12"/>
        <v>dailoneskill0026</v>
      </c>
      <c r="L10" s="5" t="str">
        <f t="shared" si="4"/>
        <v>lootName8,DAIL/items/materia/class0026/Enchanter8.dbr,</v>
      </c>
      <c r="M10" s="5" t="str">
        <f t="shared" si="5"/>
        <v>lootWeight8,1,</v>
      </c>
      <c r="N10" t="str">
        <f t="shared" si="6"/>
        <v>1</v>
      </c>
      <c r="O10" t="str">
        <f t="shared" si="16"/>
        <v>copy .\dail_base.dbr .\items\materia\class0026\Enchanter8.dbr /y</v>
      </c>
      <c r="P10" t="str">
        <f t="shared" si="7"/>
        <v>echo relicBitmap,items/craftingparts/components/component_a52_bristlyfur_b.tex, &gt;&gt; .\items\materia\class0026\Enchanter8.dbr</v>
      </c>
      <c r="Q10" t="str">
        <f t="shared" si="1"/>
        <v>echo itemCost,100000, &gt;&gt; .\items\materia\class0026\Enchanter8.dbr</v>
      </c>
      <c r="R10" t="str">
        <f t="shared" si="1"/>
        <v>echo description,dailCompDescEnchanter8, &gt;&gt; .\items\materia\class0026\Enchanter8.dbr</v>
      </c>
      <c r="S10" t="str">
        <f t="shared" si="1"/>
        <v>echo itemText,dailCompTextEnchanter8, &gt;&gt; .\items\materia\class0026\Enchanter8.dbr</v>
      </c>
      <c r="T10" t="str">
        <f t="shared" si="1"/>
        <v>echo augmentSkillLevel1,1, &gt;&gt; .\items\materia\class0026\Enchanter8.dbr</v>
      </c>
      <c r="U10" t="str">
        <f t="shared" si="1"/>
        <v>echo augmentSkillName1,records/skills/enchanter/timeslow.dbr, &gt;&gt; .\items\materia\class0026\Enchanter8.dbr</v>
      </c>
      <c r="V10" s="5" t="s">
        <v>36</v>
      </c>
      <c r="W10" t="str">
        <f t="shared" si="8"/>
        <v>echo lootName8,DAIL/items/materia/class0026/Enchanter8.dbr, &gt;&gt; .\items\loottables\dailoneskill0026.dbr</v>
      </c>
      <c r="X10" t="str">
        <f t="shared" si="8"/>
        <v>echo lootWeight8,1, &gt;&gt; .\items\loottables\dailoneskill0026.dbr</v>
      </c>
      <c r="Y10" s="5" t="s">
        <v>36</v>
      </c>
      <c r="Z10" t="str">
        <f t="shared" si="9"/>
        <v xml:space="preserve"> dailCompDescEnchanter8=^pEnchanter's Gift of DAIL</v>
      </c>
      <c r="AA10" t="str">
        <f t="shared" si="17"/>
        <v>dailCompTextEnchanter8=^oThis feels warm to the touch, almost familiar ^w(This component fits into all Jewellery slots including the Belt And Shoulder)</v>
      </c>
      <c r="AB10" s="5" t="s">
        <v>36</v>
      </c>
      <c r="AH10">
        <f t="shared" si="19"/>
        <v>5</v>
      </c>
      <c r="AI10">
        <f t="shared" si="13"/>
        <v>23</v>
      </c>
      <c r="AJ10">
        <f t="shared" si="18"/>
        <v>1</v>
      </c>
    </row>
    <row r="11" spans="1:38" x14ac:dyDescent="0.25">
      <c r="A11" s="5" t="s">
        <v>39</v>
      </c>
      <c r="B11" s="5" t="s">
        <v>0</v>
      </c>
      <c r="C11" s="5" t="str">
        <f t="shared" si="0"/>
        <v>description,dailCompDescEnchanter9,</v>
      </c>
      <c r="D11" s="5" t="str">
        <f t="shared" si="2"/>
        <v>itemText,dailCompTextEnchanter9,</v>
      </c>
      <c r="E11" s="5" t="str">
        <f t="shared" si="14"/>
        <v>augmentSkillLevel1,1,</v>
      </c>
      <c r="F11" s="5" t="str">
        <f t="shared" si="15"/>
        <v>augmentSkillName1,records/skills/enchanter/healingsurge.dbr,</v>
      </c>
      <c r="G11" s="7">
        <f t="shared" si="10"/>
        <v>9</v>
      </c>
      <c r="H11" s="8" t="str">
        <f t="shared" si="11"/>
        <v>Enchanter</v>
      </c>
      <c r="I11" s="3" t="s">
        <v>452</v>
      </c>
      <c r="J11" s="8" t="str">
        <f t="shared" si="12"/>
        <v>class0026</v>
      </c>
      <c r="K11" s="8" t="str">
        <f t="shared" si="12"/>
        <v>dailoneskill0026</v>
      </c>
      <c r="L11" s="5" t="str">
        <f t="shared" si="4"/>
        <v>lootName9,DAIL/items/materia/class0026/Enchanter9.dbr,</v>
      </c>
      <c r="M11" s="5" t="str">
        <f t="shared" si="5"/>
        <v>lootWeight9,1,</v>
      </c>
      <c r="N11" t="str">
        <f t="shared" si="6"/>
        <v>1</v>
      </c>
      <c r="O11" t="str">
        <f t="shared" si="16"/>
        <v>copy .\dail_base.dbr .\items\materia\class0026\Enchanter9.dbr /y</v>
      </c>
      <c r="P11" t="str">
        <f t="shared" si="7"/>
        <v>echo relicBitmap,items/craftingparts/components/component_a52_bristlyfur_b.tex, &gt;&gt; .\items\materia\class0026\Enchanter9.dbr</v>
      </c>
      <c r="Q11" t="str">
        <f t="shared" si="1"/>
        <v>echo itemCost,100000, &gt;&gt; .\items\materia\class0026\Enchanter9.dbr</v>
      </c>
      <c r="R11" t="str">
        <f t="shared" si="1"/>
        <v>echo description,dailCompDescEnchanter9, &gt;&gt; .\items\materia\class0026\Enchanter9.dbr</v>
      </c>
      <c r="S11" t="str">
        <f t="shared" si="1"/>
        <v>echo itemText,dailCompTextEnchanter9, &gt;&gt; .\items\materia\class0026\Enchanter9.dbr</v>
      </c>
      <c r="T11" t="str">
        <f t="shared" si="1"/>
        <v>echo augmentSkillLevel1,1, &gt;&gt; .\items\materia\class0026\Enchanter9.dbr</v>
      </c>
      <c r="U11" t="str">
        <f t="shared" si="1"/>
        <v>echo augmentSkillName1,records/skills/enchanter/healingsurge.dbr, &gt;&gt; .\items\materia\class0026\Enchanter9.dbr</v>
      </c>
      <c r="V11" s="5" t="s">
        <v>36</v>
      </c>
      <c r="W11" t="str">
        <f t="shared" si="8"/>
        <v>echo lootName9,DAIL/items/materia/class0026/Enchanter9.dbr, &gt;&gt; .\items\loottables\dailoneskill0026.dbr</v>
      </c>
      <c r="X11" t="str">
        <f t="shared" si="8"/>
        <v>echo lootWeight9,1, &gt;&gt; .\items\loottables\dailoneskill0026.dbr</v>
      </c>
      <c r="Y11" s="5" t="s">
        <v>36</v>
      </c>
      <c r="Z11" t="str">
        <f t="shared" si="9"/>
        <v xml:space="preserve"> dailCompDescEnchanter9=^pEnchanter's Gift of DAIL</v>
      </c>
      <c r="AA11" t="str">
        <f t="shared" si="17"/>
        <v>dailCompTextEnchanter9=^oThis feels warm to the touch, almost familiar ^w(This component fits into all Jewellery slots including the Belt And Shoulder)</v>
      </c>
      <c r="AB11" s="5" t="s">
        <v>36</v>
      </c>
      <c r="AH11">
        <f t="shared" si="19"/>
        <v>6</v>
      </c>
      <c r="AI11">
        <f t="shared" si="13"/>
        <v>27</v>
      </c>
      <c r="AJ11">
        <f t="shared" si="18"/>
        <v>1</v>
      </c>
    </row>
    <row r="12" spans="1:38" x14ac:dyDescent="0.25">
      <c r="A12" s="5" t="s">
        <v>39</v>
      </c>
      <c r="B12" s="5" t="s">
        <v>0</v>
      </c>
      <c r="C12" s="5" t="str">
        <f t="shared" si="0"/>
        <v>description,dailCompDescEnchanter10,</v>
      </c>
      <c r="D12" s="5" t="str">
        <f t="shared" si="2"/>
        <v>itemText,dailCompTextEnchanter10,</v>
      </c>
      <c r="E12" s="5" t="str">
        <f t="shared" si="14"/>
        <v>augmentSkillLevel1,1,</v>
      </c>
      <c r="F12" s="5" t="str">
        <f t="shared" si="15"/>
        <v>augmentSkillName1,records/skills/enchanter/healingsurge_mod.dbr,</v>
      </c>
      <c r="G12" s="7">
        <f t="shared" si="10"/>
        <v>10</v>
      </c>
      <c r="H12" s="8" t="str">
        <f t="shared" si="11"/>
        <v>Enchanter</v>
      </c>
      <c r="I12" s="3" t="s">
        <v>453</v>
      </c>
      <c r="J12" s="8" t="str">
        <f t="shared" si="12"/>
        <v>class0026</v>
      </c>
      <c r="K12" s="8" t="str">
        <f t="shared" si="12"/>
        <v>dailoneskill0026</v>
      </c>
      <c r="L12" s="5" t="str">
        <f t="shared" si="4"/>
        <v>lootName10,DAIL/items/materia/class0026/Enchanter10.dbr,</v>
      </c>
      <c r="M12" s="5" t="str">
        <f t="shared" si="5"/>
        <v>lootWeight10,1,</v>
      </c>
      <c r="N12" t="str">
        <f t="shared" si="6"/>
        <v>1</v>
      </c>
      <c r="O12" t="str">
        <f t="shared" si="16"/>
        <v>copy .\dail_base.dbr .\items\materia\class0026\Enchanter10.dbr /y</v>
      </c>
      <c r="P12" t="str">
        <f t="shared" si="7"/>
        <v>echo relicBitmap,items/craftingparts/components/component_a52_bristlyfur_b.tex, &gt;&gt; .\items\materia\class0026\Enchanter10.dbr</v>
      </c>
      <c r="Q12" t="str">
        <f t="shared" si="1"/>
        <v>echo itemCost,100000, &gt;&gt; .\items\materia\class0026\Enchanter10.dbr</v>
      </c>
      <c r="R12" t="str">
        <f t="shared" si="1"/>
        <v>echo description,dailCompDescEnchanter10, &gt;&gt; .\items\materia\class0026\Enchanter10.dbr</v>
      </c>
      <c r="S12" t="str">
        <f t="shared" si="1"/>
        <v>echo itemText,dailCompTextEnchanter10, &gt;&gt; .\items\materia\class0026\Enchanter10.dbr</v>
      </c>
      <c r="T12" t="str">
        <f t="shared" si="1"/>
        <v>echo augmentSkillLevel1,1, &gt;&gt; .\items\materia\class0026\Enchanter10.dbr</v>
      </c>
      <c r="U12" t="str">
        <f t="shared" si="1"/>
        <v>echo augmentSkillName1,records/skills/enchanter/healingsurge_mod.dbr, &gt;&gt; .\items\materia\class0026\Enchanter10.dbr</v>
      </c>
      <c r="V12" s="5" t="s">
        <v>36</v>
      </c>
      <c r="W12" t="str">
        <f t="shared" si="8"/>
        <v>echo lootName10,DAIL/items/materia/class0026/Enchanter10.dbr, &gt;&gt; .\items\loottables\dailoneskill0026.dbr</v>
      </c>
      <c r="X12" t="str">
        <f t="shared" si="8"/>
        <v>echo lootWeight10,1, &gt;&gt; .\items\loottables\dailoneskill0026.dbr</v>
      </c>
      <c r="Y12" s="5" t="s">
        <v>36</v>
      </c>
      <c r="Z12" t="str">
        <f t="shared" si="9"/>
        <v xml:space="preserve"> dailCompDescEnchanter10=^pEnchanter's Gift of DAIL</v>
      </c>
      <c r="AA12" t="str">
        <f t="shared" si="17"/>
        <v>dailCompTextEnchanter10=^oThis feels warm to the touch, almost familiar ^w(This component fits into all Jewellery slots including the Belt And Shoulder)</v>
      </c>
      <c r="AB12" s="5" t="s">
        <v>36</v>
      </c>
      <c r="AH12">
        <f t="shared" si="19"/>
        <v>7</v>
      </c>
      <c r="AI12">
        <f t="shared" si="13"/>
        <v>31</v>
      </c>
      <c r="AJ12">
        <f t="shared" si="18"/>
        <v>1</v>
      </c>
    </row>
    <row r="13" spans="1:38" x14ac:dyDescent="0.25">
      <c r="A13" s="5" t="s">
        <v>39</v>
      </c>
      <c r="B13" s="5" t="s">
        <v>0</v>
      </c>
      <c r="C13" s="5" t="str">
        <f t="shared" si="0"/>
        <v>description,dailCompDescEnchanter11,</v>
      </c>
      <c r="D13" s="5" t="str">
        <f t="shared" si="2"/>
        <v>itemText,dailCompTextEnchanter11,</v>
      </c>
      <c r="E13" s="5" t="str">
        <f t="shared" si="14"/>
        <v>augmentSkillLevel1,1,</v>
      </c>
      <c r="F13" s="5" t="str">
        <f t="shared" si="15"/>
        <v>augmentSkillName1,records/skills/enchanter/lifeveil.dbr,</v>
      </c>
      <c r="G13" s="7">
        <f t="shared" si="10"/>
        <v>11</v>
      </c>
      <c r="H13" s="8" t="str">
        <f t="shared" si="11"/>
        <v>Enchanter</v>
      </c>
      <c r="I13" s="3" t="s">
        <v>454</v>
      </c>
      <c r="J13" s="8" t="str">
        <f t="shared" si="12"/>
        <v>class0026</v>
      </c>
      <c r="K13" s="8" t="str">
        <f t="shared" si="12"/>
        <v>dailoneskill0026</v>
      </c>
      <c r="L13" s="5" t="str">
        <f t="shared" si="4"/>
        <v>lootName11,DAIL/items/materia/class0026/Enchanter11.dbr,</v>
      </c>
      <c r="M13" s="5" t="str">
        <f t="shared" si="5"/>
        <v>lootWeight11,1,</v>
      </c>
      <c r="N13" t="str">
        <f t="shared" si="6"/>
        <v>1</v>
      </c>
      <c r="O13" t="str">
        <f t="shared" si="16"/>
        <v>copy .\dail_base.dbr .\items\materia\class0026\Enchanter11.dbr /y</v>
      </c>
      <c r="P13" t="str">
        <f t="shared" si="7"/>
        <v>echo relicBitmap,items/craftingparts/components/component_a52_bristlyfur_b.tex, &gt;&gt; .\items\materia\class0026\Enchanter11.dbr</v>
      </c>
      <c r="Q13" t="str">
        <f t="shared" si="1"/>
        <v>echo itemCost,100000, &gt;&gt; .\items\materia\class0026\Enchanter11.dbr</v>
      </c>
      <c r="R13" t="str">
        <f t="shared" si="1"/>
        <v>echo description,dailCompDescEnchanter11, &gt;&gt; .\items\materia\class0026\Enchanter11.dbr</v>
      </c>
      <c r="S13" t="str">
        <f t="shared" si="1"/>
        <v>echo itemText,dailCompTextEnchanter11, &gt;&gt; .\items\materia\class0026\Enchanter11.dbr</v>
      </c>
      <c r="T13" t="str">
        <f t="shared" si="1"/>
        <v>echo augmentSkillLevel1,1, &gt;&gt; .\items\materia\class0026\Enchanter11.dbr</v>
      </c>
      <c r="U13" t="str">
        <f t="shared" si="1"/>
        <v>echo augmentSkillName1,records/skills/enchanter/lifeveil.dbr, &gt;&gt; .\items\materia\class0026\Enchanter11.dbr</v>
      </c>
      <c r="V13" s="5" t="s">
        <v>36</v>
      </c>
      <c r="W13" t="str">
        <f t="shared" si="8"/>
        <v>echo lootName11,DAIL/items/materia/class0026/Enchanter11.dbr, &gt;&gt; .\items\loottables\dailoneskill0026.dbr</v>
      </c>
      <c r="X13" t="str">
        <f t="shared" si="8"/>
        <v>echo lootWeight11,1, &gt;&gt; .\items\loottables\dailoneskill0026.dbr</v>
      </c>
      <c r="Y13" s="5" t="s">
        <v>36</v>
      </c>
      <c r="Z13" t="str">
        <f t="shared" si="9"/>
        <v xml:space="preserve"> dailCompDescEnchanter11=^pEnchanter's Gift of DAIL</v>
      </c>
      <c r="AA13" t="str">
        <f t="shared" si="17"/>
        <v>dailCompTextEnchanter11=^oThis feels warm to the touch, almost familiar ^w(This component fits into all Jewellery slots including the Belt And Shoulder)</v>
      </c>
      <c r="AB13" s="5" t="s">
        <v>36</v>
      </c>
      <c r="AH13">
        <f t="shared" si="19"/>
        <v>8</v>
      </c>
      <c r="AI13">
        <f t="shared" si="13"/>
        <v>23</v>
      </c>
      <c r="AJ13">
        <f t="shared" si="18"/>
        <v>1</v>
      </c>
    </row>
    <row r="14" spans="1:38" x14ac:dyDescent="0.25">
      <c r="A14" s="5" t="s">
        <v>39</v>
      </c>
      <c r="B14" s="5" t="s">
        <v>0</v>
      </c>
      <c r="C14" s="5" t="str">
        <f t="shared" si="0"/>
        <v>description,dailCompDescEnchanter12,</v>
      </c>
      <c r="D14" s="5" t="str">
        <f t="shared" si="2"/>
        <v>itemText,dailCompTextEnchanter12,</v>
      </c>
      <c r="E14" s="5" t="str">
        <f t="shared" si="14"/>
        <v>augmentSkillLevel1,1,</v>
      </c>
      <c r="F14" s="5" t="str">
        <f t="shared" si="15"/>
        <v>augmentSkillName1,records/skills/enchanter/charmofearth.dbr,</v>
      </c>
      <c r="G14" s="7">
        <f t="shared" si="10"/>
        <v>12</v>
      </c>
      <c r="H14" s="8" t="str">
        <f t="shared" si="11"/>
        <v>Enchanter</v>
      </c>
      <c r="I14" s="3" t="s">
        <v>455</v>
      </c>
      <c r="J14" s="8" t="str">
        <f t="shared" si="12"/>
        <v>class0026</v>
      </c>
      <c r="K14" s="8" t="str">
        <f t="shared" si="12"/>
        <v>dailoneskill0026</v>
      </c>
      <c r="L14" s="5" t="str">
        <f t="shared" si="4"/>
        <v>lootName12,DAIL/items/materia/class0026/Enchanter12.dbr,</v>
      </c>
      <c r="M14" s="5" t="str">
        <f t="shared" si="5"/>
        <v>lootWeight12,1,</v>
      </c>
      <c r="N14" t="str">
        <f t="shared" si="6"/>
        <v>1</v>
      </c>
      <c r="O14" t="str">
        <f t="shared" si="16"/>
        <v>copy .\dail_base.dbr .\items\materia\class0026\Enchanter12.dbr /y</v>
      </c>
      <c r="P14" t="str">
        <f t="shared" si="7"/>
        <v>echo relicBitmap,items/craftingparts/components/component_a52_bristlyfur_b.tex, &gt;&gt; .\items\materia\class0026\Enchanter12.dbr</v>
      </c>
      <c r="Q14" t="str">
        <f t="shared" si="1"/>
        <v>echo itemCost,100000, &gt;&gt; .\items\materia\class0026\Enchanter12.dbr</v>
      </c>
      <c r="R14" t="str">
        <f t="shared" si="1"/>
        <v>echo description,dailCompDescEnchanter12, &gt;&gt; .\items\materia\class0026\Enchanter12.dbr</v>
      </c>
      <c r="S14" t="str">
        <f t="shared" si="1"/>
        <v>echo itemText,dailCompTextEnchanter12, &gt;&gt; .\items\materia\class0026\Enchanter12.dbr</v>
      </c>
      <c r="T14" t="str">
        <f t="shared" si="1"/>
        <v>echo augmentSkillLevel1,1, &gt;&gt; .\items\materia\class0026\Enchanter12.dbr</v>
      </c>
      <c r="U14" t="str">
        <f t="shared" si="1"/>
        <v>echo augmentSkillName1,records/skills/enchanter/charmofearth.dbr, &gt;&gt; .\items\materia\class0026\Enchanter12.dbr</v>
      </c>
      <c r="V14" s="5" t="s">
        <v>36</v>
      </c>
      <c r="W14" t="str">
        <f t="shared" si="8"/>
        <v>echo lootName12,DAIL/items/materia/class0026/Enchanter12.dbr, &gt;&gt; .\items\loottables\dailoneskill0026.dbr</v>
      </c>
      <c r="X14" t="str">
        <f t="shared" si="8"/>
        <v>echo lootWeight12,1, &gt;&gt; .\items\loottables\dailoneskill0026.dbr</v>
      </c>
      <c r="Y14" s="5" t="s">
        <v>36</v>
      </c>
      <c r="Z14" t="str">
        <f t="shared" si="9"/>
        <v xml:space="preserve"> dailCompDescEnchanter12=^pEnchanter's Gift of DAIL</v>
      </c>
      <c r="AA14" t="str">
        <f t="shared" si="17"/>
        <v>dailCompTextEnchanter12=^oThis feels warm to the touch, almost familiar ^w(This component fits into all Jewellery slots including the Belt And Shoulder)</v>
      </c>
      <c r="AB14" s="5" t="s">
        <v>36</v>
      </c>
      <c r="AH14">
        <f t="shared" si="19"/>
        <v>9</v>
      </c>
      <c r="AI14">
        <f t="shared" si="13"/>
        <v>27</v>
      </c>
      <c r="AJ14">
        <f t="shared" si="18"/>
        <v>1</v>
      </c>
    </row>
    <row r="15" spans="1:38" x14ac:dyDescent="0.25">
      <c r="A15" s="5" t="s">
        <v>39</v>
      </c>
      <c r="B15" s="5" t="s">
        <v>0</v>
      </c>
      <c r="C15" s="5" t="str">
        <f t="shared" si="0"/>
        <v>description,dailCompDescEnchanter13,</v>
      </c>
      <c r="D15" s="5" t="str">
        <f t="shared" si="2"/>
        <v>itemText,dailCompTextEnchanter13,</v>
      </c>
      <c r="E15" s="5" t="str">
        <f t="shared" si="14"/>
        <v>augmentSkillLevel1,1,</v>
      </c>
      <c r="F15" s="5" t="str">
        <f t="shared" si="15"/>
        <v>augmentSkillName1,records/skills/enchanter/charmofearth_mod.dbr,</v>
      </c>
      <c r="G15" s="7">
        <f t="shared" si="10"/>
        <v>13</v>
      </c>
      <c r="H15" s="8" t="str">
        <f t="shared" si="11"/>
        <v>Enchanter</v>
      </c>
      <c r="I15" s="3" t="s">
        <v>456</v>
      </c>
      <c r="J15" s="8" t="str">
        <f t="shared" si="12"/>
        <v>class0026</v>
      </c>
      <c r="K15" s="8" t="str">
        <f t="shared" si="12"/>
        <v>dailoneskill0026</v>
      </c>
      <c r="L15" s="5" t="str">
        <f t="shared" si="4"/>
        <v>lootName13,DAIL/items/materia/class0026/Enchanter13.dbr,</v>
      </c>
      <c r="M15" s="5" t="str">
        <f t="shared" si="5"/>
        <v>lootWeight13,1,</v>
      </c>
      <c r="N15" t="str">
        <f t="shared" si="6"/>
        <v>1</v>
      </c>
      <c r="O15" t="str">
        <f t="shared" si="16"/>
        <v>copy .\dail_base.dbr .\items\materia\class0026\Enchanter13.dbr /y</v>
      </c>
      <c r="P15" t="str">
        <f t="shared" si="7"/>
        <v>echo relicBitmap,items/craftingparts/components/component_a52_bristlyfur_b.tex, &gt;&gt; .\items\materia\class0026\Enchanter13.dbr</v>
      </c>
      <c r="Q15" t="str">
        <f t="shared" si="1"/>
        <v>echo itemCost,100000, &gt;&gt; .\items\materia\class0026\Enchanter13.dbr</v>
      </c>
      <c r="R15" t="str">
        <f t="shared" si="1"/>
        <v>echo description,dailCompDescEnchanter13, &gt;&gt; .\items\materia\class0026\Enchanter13.dbr</v>
      </c>
      <c r="S15" t="str">
        <f t="shared" si="1"/>
        <v>echo itemText,dailCompTextEnchanter13, &gt;&gt; .\items\materia\class0026\Enchanter13.dbr</v>
      </c>
      <c r="T15" t="str">
        <f t="shared" si="1"/>
        <v>echo augmentSkillLevel1,1, &gt;&gt; .\items\materia\class0026\Enchanter13.dbr</v>
      </c>
      <c r="U15" t="str">
        <f t="shared" si="1"/>
        <v>echo augmentSkillName1,records/skills/enchanter/charmofearth_mod.dbr, &gt;&gt; .\items\materia\class0026\Enchanter13.dbr</v>
      </c>
      <c r="V15" s="5" t="s">
        <v>36</v>
      </c>
      <c r="W15" t="str">
        <f t="shared" si="8"/>
        <v>echo lootName13,DAIL/items/materia/class0026/Enchanter13.dbr, &gt;&gt; .\items\loottables\dailoneskill0026.dbr</v>
      </c>
      <c r="X15" t="str">
        <f t="shared" si="8"/>
        <v>echo lootWeight13,1, &gt;&gt; .\items\loottables\dailoneskill0026.dbr</v>
      </c>
      <c r="Y15" s="5" t="s">
        <v>36</v>
      </c>
      <c r="Z15" t="str">
        <f t="shared" si="9"/>
        <v xml:space="preserve"> dailCompDescEnchanter13=^pEnchanter's Gift of DAIL</v>
      </c>
      <c r="AA15" t="str">
        <f t="shared" si="17"/>
        <v>dailCompTextEnchanter13=^oThis feels warm to the touch, almost familiar ^w(This component fits into all Jewellery slots including the Belt And Shoulder)</v>
      </c>
      <c r="AB15" s="5" t="s">
        <v>36</v>
      </c>
      <c r="AH15">
        <f t="shared" si="19"/>
        <v>10</v>
      </c>
      <c r="AI15">
        <f t="shared" si="13"/>
        <v>31</v>
      </c>
      <c r="AJ15">
        <f t="shared" si="18"/>
        <v>1</v>
      </c>
    </row>
    <row r="16" spans="1:38" x14ac:dyDescent="0.25">
      <c r="A16" s="5" t="s">
        <v>39</v>
      </c>
      <c r="B16" s="5" t="s">
        <v>0</v>
      </c>
      <c r="C16" s="5" t="str">
        <f t="shared" si="0"/>
        <v>description,dailCompDescEnchanter14,</v>
      </c>
      <c r="D16" s="5" t="str">
        <f t="shared" si="2"/>
        <v>itemText,dailCompTextEnchanter14,</v>
      </c>
      <c r="E16" s="5" t="str">
        <f t="shared" si="14"/>
        <v>augmentSkillLevel1,1,</v>
      </c>
      <c r="F16" s="5" t="str">
        <f t="shared" si="15"/>
        <v>augmentSkillName1,records/skills/enchanter/entropicbeam.dbr,</v>
      </c>
      <c r="G16" s="7">
        <f t="shared" si="10"/>
        <v>14</v>
      </c>
      <c r="H16" s="8" t="str">
        <f t="shared" si="11"/>
        <v>Enchanter</v>
      </c>
      <c r="I16" s="3" t="s">
        <v>457</v>
      </c>
      <c r="J16" s="8" t="str">
        <f t="shared" si="12"/>
        <v>class0026</v>
      </c>
      <c r="K16" s="8" t="str">
        <f t="shared" si="12"/>
        <v>dailoneskill0026</v>
      </c>
      <c r="L16" s="5" t="str">
        <f t="shared" si="4"/>
        <v>lootName14,DAIL/items/materia/class0026/Enchanter14.dbr,</v>
      </c>
      <c r="M16" s="5" t="str">
        <f t="shared" si="5"/>
        <v>lootWeight14,1,</v>
      </c>
      <c r="N16" t="str">
        <f t="shared" si="6"/>
        <v>1</v>
      </c>
      <c r="O16" t="str">
        <f t="shared" si="16"/>
        <v>copy .\dail_base.dbr .\items\materia\class0026\Enchanter14.dbr /y</v>
      </c>
      <c r="P16" t="str">
        <f t="shared" si="7"/>
        <v>echo relicBitmap,items/craftingparts/components/component_a52_bristlyfur_b.tex, &gt;&gt; .\items\materia\class0026\Enchanter14.dbr</v>
      </c>
      <c r="Q16" t="str">
        <f t="shared" si="1"/>
        <v>echo itemCost,100000, &gt;&gt; .\items\materia\class0026\Enchanter14.dbr</v>
      </c>
      <c r="R16" t="str">
        <f t="shared" si="1"/>
        <v>echo description,dailCompDescEnchanter14, &gt;&gt; .\items\materia\class0026\Enchanter14.dbr</v>
      </c>
      <c r="S16" t="str">
        <f t="shared" si="1"/>
        <v>echo itemText,dailCompTextEnchanter14, &gt;&gt; .\items\materia\class0026\Enchanter14.dbr</v>
      </c>
      <c r="T16" t="str">
        <f t="shared" si="1"/>
        <v>echo augmentSkillLevel1,1, &gt;&gt; .\items\materia\class0026\Enchanter14.dbr</v>
      </c>
      <c r="U16" t="str">
        <f t="shared" si="1"/>
        <v>echo augmentSkillName1,records/skills/enchanter/entropicbeam.dbr, &gt;&gt; .\items\materia\class0026\Enchanter14.dbr</v>
      </c>
      <c r="V16" s="5" t="s">
        <v>36</v>
      </c>
      <c r="W16" t="str">
        <f t="shared" si="8"/>
        <v>echo lootName14,DAIL/items/materia/class0026/Enchanter14.dbr, &gt;&gt; .\items\loottables\dailoneskill0026.dbr</v>
      </c>
      <c r="X16" t="str">
        <f t="shared" si="8"/>
        <v>echo lootWeight14,1, &gt;&gt; .\items\loottables\dailoneskill0026.dbr</v>
      </c>
      <c r="Y16" s="5" t="s">
        <v>36</v>
      </c>
      <c r="Z16" t="str">
        <f t="shared" si="9"/>
        <v xml:space="preserve"> dailCompDescEnchanter14=^pEnchanter's Gift of DAIL</v>
      </c>
      <c r="AA16" t="str">
        <f t="shared" si="17"/>
        <v>dailCompTextEnchanter14=^oThis feels warm to the touch, almost familiar ^w(This component fits into all Jewellery slots including the Belt And Shoulder)</v>
      </c>
      <c r="AB16" s="5" t="s">
        <v>36</v>
      </c>
      <c r="AH16">
        <f t="shared" si="19"/>
        <v>11</v>
      </c>
      <c r="AI16">
        <f t="shared" si="13"/>
        <v>27</v>
      </c>
      <c r="AJ16">
        <f t="shared" si="18"/>
        <v>1</v>
      </c>
    </row>
    <row r="17" spans="1:36" x14ac:dyDescent="0.25">
      <c r="A17" s="5" t="s">
        <v>39</v>
      </c>
      <c r="B17" s="5" t="s">
        <v>0</v>
      </c>
      <c r="C17" s="5" t="str">
        <f t="shared" si="0"/>
        <v>description,dailCompDescEnchanter15,</v>
      </c>
      <c r="D17" s="5" t="str">
        <f t="shared" si="2"/>
        <v>itemText,dailCompTextEnchanter15,</v>
      </c>
      <c r="E17" s="5" t="str">
        <f t="shared" si="14"/>
        <v>augmentSkillLevel1,1,</v>
      </c>
      <c r="F17" s="5" t="str">
        <f t="shared" si="15"/>
        <v>augmentSkillName1,records/skills/enchanter/entropicbeam_mod.dbr,</v>
      </c>
      <c r="G17" s="7">
        <f t="shared" si="10"/>
        <v>15</v>
      </c>
      <c r="H17" s="8" t="str">
        <f t="shared" si="11"/>
        <v>Enchanter</v>
      </c>
      <c r="I17" s="3" t="s">
        <v>458</v>
      </c>
      <c r="J17" s="8" t="str">
        <f t="shared" si="12"/>
        <v>class0026</v>
      </c>
      <c r="K17" s="8" t="str">
        <f t="shared" si="12"/>
        <v>dailoneskill0026</v>
      </c>
      <c r="L17" s="5" t="str">
        <f t="shared" si="4"/>
        <v>lootName15,DAIL/items/materia/class0026/Enchanter15.dbr,</v>
      </c>
      <c r="M17" s="5" t="str">
        <f t="shared" si="5"/>
        <v>lootWeight15,1,</v>
      </c>
      <c r="N17" t="str">
        <f t="shared" si="6"/>
        <v>1</v>
      </c>
      <c r="O17" t="str">
        <f t="shared" si="16"/>
        <v>copy .\dail_base.dbr .\items\materia\class0026\Enchanter15.dbr /y</v>
      </c>
      <c r="P17" t="str">
        <f t="shared" si="7"/>
        <v>echo relicBitmap,items/craftingparts/components/component_a52_bristlyfur_b.tex, &gt;&gt; .\items\materia\class0026\Enchanter15.dbr</v>
      </c>
      <c r="Q17" t="str">
        <f t="shared" si="1"/>
        <v>echo itemCost,100000, &gt;&gt; .\items\materia\class0026\Enchanter15.dbr</v>
      </c>
      <c r="R17" t="str">
        <f t="shared" si="1"/>
        <v>echo description,dailCompDescEnchanter15, &gt;&gt; .\items\materia\class0026\Enchanter15.dbr</v>
      </c>
      <c r="S17" t="str">
        <f t="shared" si="1"/>
        <v>echo itemText,dailCompTextEnchanter15, &gt;&gt; .\items\materia\class0026\Enchanter15.dbr</v>
      </c>
      <c r="T17" t="str">
        <f t="shared" si="1"/>
        <v>echo augmentSkillLevel1,1, &gt;&gt; .\items\materia\class0026\Enchanter15.dbr</v>
      </c>
      <c r="U17" t="str">
        <f t="shared" si="1"/>
        <v>echo augmentSkillName1,records/skills/enchanter/entropicbeam_mod.dbr, &gt;&gt; .\items\materia\class0026\Enchanter15.dbr</v>
      </c>
      <c r="V17" s="5" t="s">
        <v>36</v>
      </c>
      <c r="W17" t="str">
        <f t="shared" si="8"/>
        <v>echo lootName15,DAIL/items/materia/class0026/Enchanter15.dbr, &gt;&gt; .\items\loottables\dailoneskill0026.dbr</v>
      </c>
      <c r="X17" t="str">
        <f t="shared" si="8"/>
        <v>echo lootWeight15,1, &gt;&gt; .\items\loottables\dailoneskill0026.dbr</v>
      </c>
      <c r="Y17" s="5" t="s">
        <v>36</v>
      </c>
      <c r="Z17" t="str">
        <f t="shared" si="9"/>
        <v xml:space="preserve"> dailCompDescEnchanter15=^pEnchanter's Gift of DAIL</v>
      </c>
      <c r="AA17" t="str">
        <f t="shared" si="17"/>
        <v>dailCompTextEnchanter15=^oThis feels warm to the touch, almost familiar ^w(This component fits into all Jewellery slots including the Belt And Shoulder)</v>
      </c>
      <c r="AB17" s="5" t="s">
        <v>36</v>
      </c>
      <c r="AH17">
        <f t="shared" si="19"/>
        <v>12</v>
      </c>
      <c r="AI17">
        <f t="shared" si="13"/>
        <v>31</v>
      </c>
      <c r="AJ17">
        <f t="shared" si="18"/>
        <v>1</v>
      </c>
    </row>
    <row r="18" spans="1:36" x14ac:dyDescent="0.25">
      <c r="A18" s="5" t="s">
        <v>39</v>
      </c>
      <c r="B18" s="5" t="s">
        <v>0</v>
      </c>
      <c r="C18" s="5" t="str">
        <f t="shared" si="0"/>
        <v>description,dailCompDescEnchanter16,</v>
      </c>
      <c r="D18" s="5" t="str">
        <f t="shared" si="2"/>
        <v>itemText,dailCompTextEnchanter16,</v>
      </c>
      <c r="E18" s="5" t="str">
        <f t="shared" si="14"/>
        <v>augmentSkillLevel1,1,</v>
      </c>
      <c r="F18" s="5" t="str">
        <f t="shared" si="15"/>
        <v>augmentSkillName1,records/skills/enchanter/beaconsummon.dbr,</v>
      </c>
      <c r="G18" s="7">
        <f t="shared" si="10"/>
        <v>16</v>
      </c>
      <c r="H18" s="8" t="str">
        <f t="shared" si="11"/>
        <v>Enchanter</v>
      </c>
      <c r="I18" s="3" t="s">
        <v>459</v>
      </c>
      <c r="J18" s="8" t="str">
        <f t="shared" si="12"/>
        <v>class0026</v>
      </c>
      <c r="K18" s="8" t="str">
        <f t="shared" si="12"/>
        <v>dailoneskill0026</v>
      </c>
      <c r="L18" s="5" t="str">
        <f t="shared" si="4"/>
        <v>lootName16,DAIL/items/materia/class0026/Enchanter16.dbr,</v>
      </c>
      <c r="M18" s="5" t="str">
        <f t="shared" si="5"/>
        <v>lootWeight16,1,</v>
      </c>
      <c r="N18" t="str">
        <f t="shared" si="6"/>
        <v>1</v>
      </c>
      <c r="O18" t="str">
        <f t="shared" si="16"/>
        <v>copy .\dail_base.dbr .\items\materia\class0026\Enchanter16.dbr /y</v>
      </c>
      <c r="P18" t="str">
        <f t="shared" si="7"/>
        <v>echo relicBitmap,items/craftingparts/components/component_a52_bristlyfur_b.tex, &gt;&gt; .\items\materia\class0026\Enchanter16.dbr</v>
      </c>
      <c r="Q18" t="str">
        <f t="shared" si="1"/>
        <v>echo itemCost,100000, &gt;&gt; .\items\materia\class0026\Enchanter16.dbr</v>
      </c>
      <c r="R18" t="str">
        <f t="shared" si="1"/>
        <v>echo description,dailCompDescEnchanter16, &gt;&gt; .\items\materia\class0026\Enchanter16.dbr</v>
      </c>
      <c r="S18" t="str">
        <f t="shared" si="1"/>
        <v>echo itemText,dailCompTextEnchanter16, &gt;&gt; .\items\materia\class0026\Enchanter16.dbr</v>
      </c>
      <c r="T18" t="str">
        <f t="shared" si="1"/>
        <v>echo augmentSkillLevel1,1, &gt;&gt; .\items\materia\class0026\Enchanter16.dbr</v>
      </c>
      <c r="U18" t="str">
        <f t="shared" si="1"/>
        <v>echo augmentSkillName1,records/skills/enchanter/beaconsummon.dbr, &gt;&gt; .\items\materia\class0026\Enchanter16.dbr</v>
      </c>
      <c r="V18" s="5" t="s">
        <v>36</v>
      </c>
      <c r="W18" t="str">
        <f t="shared" si="8"/>
        <v>echo lootName16,DAIL/items/materia/class0026/Enchanter16.dbr, &gt;&gt; .\items\loottables\dailoneskill0026.dbr</v>
      </c>
      <c r="X18" t="str">
        <f t="shared" si="8"/>
        <v>echo lootWeight16,1, &gt;&gt; .\items\loottables\dailoneskill0026.dbr</v>
      </c>
      <c r="Y18" s="5" t="s">
        <v>36</v>
      </c>
      <c r="Z18" t="str">
        <f t="shared" si="9"/>
        <v xml:space="preserve"> dailCompDescEnchanter16=^pEnchanter's Gift of DAIL</v>
      </c>
      <c r="AA18" t="str">
        <f t="shared" si="17"/>
        <v>dailCompTextEnchanter16=^oThis feels warm to the touch, almost familiar ^w(This component fits into all Jewellery slots including the Belt And Shoulder)</v>
      </c>
      <c r="AB18" s="5" t="s">
        <v>36</v>
      </c>
      <c r="AH18">
        <f t="shared" si="19"/>
        <v>13</v>
      </c>
      <c r="AI18">
        <f t="shared" si="13"/>
        <v>27</v>
      </c>
      <c r="AJ18">
        <f t="shared" si="18"/>
        <v>1</v>
      </c>
    </row>
    <row r="19" spans="1:36" x14ac:dyDescent="0.25">
      <c r="A19" s="5" t="s">
        <v>39</v>
      </c>
      <c r="B19" s="5" t="s">
        <v>28</v>
      </c>
      <c r="C19" s="5" t="str">
        <f t="shared" si="0"/>
        <v>description,dailCompDescEnchanter17,</v>
      </c>
      <c r="D19" s="5" t="str">
        <f t="shared" si="2"/>
        <v>itemText,dailCompTextEnchanter17,</v>
      </c>
      <c r="E19" s="5" t="str">
        <f t="shared" si="14"/>
        <v>augmentSkillLevel1,1,</v>
      </c>
      <c r="F19" s="5" t="str">
        <f t="shared" si="15"/>
        <v>augmentSkillName1,records/skills/enchanter/naturalresilience.dbr,</v>
      </c>
      <c r="G19" s="7">
        <f t="shared" si="10"/>
        <v>17</v>
      </c>
      <c r="H19" s="8" t="str">
        <f t="shared" si="11"/>
        <v>Enchanter</v>
      </c>
      <c r="I19" s="3" t="s">
        <v>460</v>
      </c>
      <c r="J19" s="8" t="str">
        <f t="shared" si="12"/>
        <v>class0026</v>
      </c>
      <c r="K19" s="8" t="str">
        <f t="shared" si="12"/>
        <v>dailoneskill0026</v>
      </c>
      <c r="L19" s="5" t="str">
        <f t="shared" si="4"/>
        <v>lootName17,DAIL/items/materia/class0026/Enchanter17.dbr,</v>
      </c>
      <c r="M19" s="5" t="str">
        <f t="shared" si="5"/>
        <v>lootWeight17,1,</v>
      </c>
      <c r="N19" t="str">
        <f t="shared" si="6"/>
        <v>1</v>
      </c>
      <c r="O19" t="str">
        <f t="shared" si="16"/>
        <v>copy .\dail_base.dbr .\items\materia\class0026\Enchanter17.dbr /y</v>
      </c>
      <c r="P19" t="str">
        <f t="shared" si="7"/>
        <v>echo relicBitmap,items/craftingparts/components/component_a52_bristlyfur_b.tex, &gt;&gt; .\items\materia\class0026\Enchanter17.dbr</v>
      </c>
      <c r="Q19" t="str">
        <f t="shared" si="7"/>
        <v>echo itemCost,300000, &gt;&gt; .\items\materia\class0026\Enchanter17.dbr</v>
      </c>
      <c r="R19" t="str">
        <f t="shared" si="7"/>
        <v>echo description,dailCompDescEnchanter17, &gt;&gt; .\items\materia\class0026\Enchanter17.dbr</v>
      </c>
      <c r="S19" t="str">
        <f t="shared" si="7"/>
        <v>echo itemText,dailCompTextEnchanter17, &gt;&gt; .\items\materia\class0026\Enchanter17.dbr</v>
      </c>
      <c r="T19" t="str">
        <f t="shared" si="7"/>
        <v>echo augmentSkillLevel1,1, &gt;&gt; .\items\materia\class0026\Enchanter17.dbr</v>
      </c>
      <c r="U19" t="str">
        <f t="shared" si="7"/>
        <v>echo augmentSkillName1,records/skills/enchanter/naturalresilience.dbr, &gt;&gt; .\items\materia\class0026\Enchanter17.dbr</v>
      </c>
      <c r="V19" s="5" t="s">
        <v>36</v>
      </c>
      <c r="W19" t="str">
        <f t="shared" si="8"/>
        <v>echo lootName17,DAIL/items/materia/class0026/Enchanter17.dbr, &gt;&gt; .\items\loottables\dailoneskill0026.dbr</v>
      </c>
      <c r="X19" t="str">
        <f t="shared" si="8"/>
        <v>echo lootWeight17,1, &gt;&gt; .\items\loottables\dailoneskill0026.dbr</v>
      </c>
      <c r="Y19" s="5" t="s">
        <v>36</v>
      </c>
      <c r="Z19" t="str">
        <f t="shared" si="9"/>
        <v xml:space="preserve"> dailCompDescEnchanter17=^pEnchanter's Gift of DAIL</v>
      </c>
      <c r="AA19" t="str">
        <f t="shared" si="17"/>
        <v>dailCompTextEnchanter17=^oThis feels warm to the touch, almost familiar ^w(This component fits into all Jewellery slots including the Belt And Shoulder)</v>
      </c>
      <c r="AB19" s="5" t="s">
        <v>36</v>
      </c>
      <c r="AH19">
        <f t="shared" si="19"/>
        <v>14</v>
      </c>
      <c r="AI19">
        <f t="shared" si="13"/>
        <v>32</v>
      </c>
      <c r="AJ19">
        <f t="shared" si="18"/>
        <v>1</v>
      </c>
    </row>
    <row r="20" spans="1:36" x14ac:dyDescent="0.25">
      <c r="A20" s="5" t="s">
        <v>39</v>
      </c>
      <c r="B20" s="5" t="s">
        <v>28</v>
      </c>
      <c r="C20" s="5" t="str">
        <f t="shared" si="0"/>
        <v>description,dailCompDescEnchanter18,</v>
      </c>
      <c r="D20" s="5" t="str">
        <f t="shared" si="2"/>
        <v>itemText,dailCompTextEnchanter18,</v>
      </c>
      <c r="E20" s="5" t="str">
        <f t="shared" si="14"/>
        <v>augmentSkillLevel1,1,</v>
      </c>
      <c r="F20" s="5" t="str">
        <f t="shared" si="15"/>
        <v>augmentSkillName1,records/skills/enchanter/concentration.dbr,</v>
      </c>
      <c r="G20" s="7">
        <f t="shared" si="10"/>
        <v>18</v>
      </c>
      <c r="H20" s="8" t="str">
        <f t="shared" si="11"/>
        <v>Enchanter</v>
      </c>
      <c r="I20" s="3" t="s">
        <v>461</v>
      </c>
      <c r="J20" s="8" t="str">
        <f t="shared" si="12"/>
        <v>class0026</v>
      </c>
      <c r="K20" s="8" t="str">
        <f t="shared" si="12"/>
        <v>dailoneskill0026</v>
      </c>
      <c r="L20" s="5" t="str">
        <f t="shared" si="4"/>
        <v>lootName18,DAIL/items/materia/class0026/Enchanter18.dbr,</v>
      </c>
      <c r="M20" s="5" t="str">
        <f t="shared" si="5"/>
        <v>lootWeight18,1,</v>
      </c>
      <c r="N20" t="str">
        <f t="shared" si="6"/>
        <v>1</v>
      </c>
      <c r="O20" t="str">
        <f t="shared" si="16"/>
        <v>copy .\dail_base.dbr .\items\materia\class0026\Enchanter18.dbr /y</v>
      </c>
      <c r="P20" t="str">
        <f t="shared" si="7"/>
        <v>echo relicBitmap,items/craftingparts/components/component_a52_bristlyfur_b.tex, &gt;&gt; .\items\materia\class0026\Enchanter18.dbr</v>
      </c>
      <c r="Q20" t="str">
        <f t="shared" si="7"/>
        <v>echo itemCost,300000, &gt;&gt; .\items\materia\class0026\Enchanter18.dbr</v>
      </c>
      <c r="R20" t="str">
        <f t="shared" si="7"/>
        <v>echo description,dailCompDescEnchanter18, &gt;&gt; .\items\materia\class0026\Enchanter18.dbr</v>
      </c>
      <c r="S20" t="str">
        <f t="shared" si="7"/>
        <v>echo itemText,dailCompTextEnchanter18, &gt;&gt; .\items\materia\class0026\Enchanter18.dbr</v>
      </c>
      <c r="T20" t="str">
        <f t="shared" si="7"/>
        <v>echo augmentSkillLevel1,1, &gt;&gt; .\items\materia\class0026\Enchanter18.dbr</v>
      </c>
      <c r="U20" t="str">
        <f t="shared" si="7"/>
        <v>echo augmentSkillName1,records/skills/enchanter/concentration.dbr, &gt;&gt; .\items\materia\class0026\Enchanter18.dbr</v>
      </c>
      <c r="V20" s="5" t="s">
        <v>36</v>
      </c>
      <c r="W20" t="str">
        <f t="shared" si="8"/>
        <v>echo lootName18,DAIL/items/materia/class0026/Enchanter18.dbr, &gt;&gt; .\items\loottables\dailoneskill0026.dbr</v>
      </c>
      <c r="X20" t="str">
        <f t="shared" si="8"/>
        <v>echo lootWeight18,1, &gt;&gt; .\items\loottables\dailoneskill0026.dbr</v>
      </c>
      <c r="Y20" s="5" t="s">
        <v>36</v>
      </c>
      <c r="Z20" t="str">
        <f t="shared" si="9"/>
        <v xml:space="preserve"> dailCompDescEnchanter18=^pEnchanter's Gift of DAIL</v>
      </c>
      <c r="AA20" t="str">
        <f t="shared" si="17"/>
        <v>dailCompTextEnchanter18=^oThis feels warm to the touch, almost familiar ^w(This component fits into all Jewellery slots including the Belt And Shoulder)</v>
      </c>
      <c r="AB20" s="5" t="s">
        <v>36</v>
      </c>
      <c r="AH20">
        <f t="shared" si="19"/>
        <v>15</v>
      </c>
      <c r="AI20">
        <f t="shared" si="13"/>
        <v>28</v>
      </c>
      <c r="AJ20">
        <f t="shared" si="18"/>
        <v>1</v>
      </c>
    </row>
    <row r="21" spans="1:36" x14ac:dyDescent="0.25">
      <c r="A21" s="5" t="s">
        <v>39</v>
      </c>
      <c r="B21" s="5" t="s">
        <v>28</v>
      </c>
      <c r="C21" s="5" t="str">
        <f t="shared" si="0"/>
        <v>description,dailCompDescEnchanter19,</v>
      </c>
      <c r="D21" s="5" t="str">
        <f t="shared" si="2"/>
        <v>itemText,dailCompTextEnchanter19,</v>
      </c>
      <c r="E21" s="5" t="str">
        <f t="shared" si="14"/>
        <v>augmentSkillLevel1,1,</v>
      </c>
      <c r="F21" s="5" t="str">
        <f t="shared" si="15"/>
        <v>augmentSkillName1,records/skills/enchanter/charmofwind.dbr,</v>
      </c>
      <c r="G21" s="7">
        <f t="shared" si="10"/>
        <v>19</v>
      </c>
      <c r="H21" s="8" t="str">
        <f t="shared" si="11"/>
        <v>Enchanter</v>
      </c>
      <c r="I21" s="3" t="s">
        <v>462</v>
      </c>
      <c r="J21" s="8" t="str">
        <f t="shared" ref="J21:K36" si="20">J20</f>
        <v>class0026</v>
      </c>
      <c r="K21" s="8" t="str">
        <f t="shared" si="20"/>
        <v>dailoneskill0026</v>
      </c>
      <c r="L21" s="5" t="str">
        <f t="shared" si="4"/>
        <v>lootName19,DAIL/items/materia/class0026/Enchanter19.dbr,</v>
      </c>
      <c r="M21" s="5" t="str">
        <f t="shared" si="5"/>
        <v>lootWeight19,1,</v>
      </c>
      <c r="N21" t="str">
        <f t="shared" si="6"/>
        <v>1</v>
      </c>
      <c r="O21" t="str">
        <f t="shared" si="16"/>
        <v>copy .\dail_base.dbr .\items\materia\class0026\Enchanter19.dbr /y</v>
      </c>
      <c r="P21" t="str">
        <f t="shared" si="7"/>
        <v>echo relicBitmap,items/craftingparts/components/component_a52_bristlyfur_b.tex, &gt;&gt; .\items\materia\class0026\Enchanter19.dbr</v>
      </c>
      <c r="Q21" t="str">
        <f t="shared" si="7"/>
        <v>echo itemCost,300000, &gt;&gt; .\items\materia\class0026\Enchanter19.dbr</v>
      </c>
      <c r="R21" t="str">
        <f t="shared" si="7"/>
        <v>echo description,dailCompDescEnchanter19, &gt;&gt; .\items\materia\class0026\Enchanter19.dbr</v>
      </c>
      <c r="S21" t="str">
        <f t="shared" si="7"/>
        <v>echo itemText,dailCompTextEnchanter19, &gt;&gt; .\items\materia\class0026\Enchanter19.dbr</v>
      </c>
      <c r="T21" t="str">
        <f t="shared" si="7"/>
        <v>echo augmentSkillLevel1,1, &gt;&gt; .\items\materia\class0026\Enchanter19.dbr</v>
      </c>
      <c r="U21" t="str">
        <f t="shared" si="7"/>
        <v>echo augmentSkillName1,records/skills/enchanter/charmofwind.dbr, &gt;&gt; .\items\materia\class0026\Enchanter19.dbr</v>
      </c>
      <c r="V21" s="5" t="s">
        <v>36</v>
      </c>
      <c r="W21" t="str">
        <f t="shared" si="8"/>
        <v>echo lootName19,DAIL/items/materia/class0026/Enchanter19.dbr, &gt;&gt; .\items\loottables\dailoneskill0026.dbr</v>
      </c>
      <c r="X21" t="str">
        <f t="shared" si="8"/>
        <v>echo lootWeight19,1, &gt;&gt; .\items\loottables\dailoneskill0026.dbr</v>
      </c>
      <c r="Y21" s="5" t="s">
        <v>36</v>
      </c>
      <c r="Z21" t="str">
        <f t="shared" si="9"/>
        <v xml:space="preserve"> dailCompDescEnchanter19=^pEnchanter's Gift of DAIL</v>
      </c>
      <c r="AA21" t="str">
        <f t="shared" si="17"/>
        <v>dailCompTextEnchanter19=^oThis feels warm to the touch, almost familiar ^w(This component fits into all Jewellery slots including the Belt And Shoulder)</v>
      </c>
      <c r="AB21" s="5" t="s">
        <v>36</v>
      </c>
      <c r="AH21">
        <f t="shared" si="19"/>
        <v>16</v>
      </c>
      <c r="AI21">
        <f t="shared" si="13"/>
        <v>26</v>
      </c>
      <c r="AJ21">
        <f t="shared" si="18"/>
        <v>1</v>
      </c>
    </row>
    <row r="22" spans="1:36" x14ac:dyDescent="0.25">
      <c r="A22" s="5" t="s">
        <v>39</v>
      </c>
      <c r="B22" s="5" t="s">
        <v>28</v>
      </c>
      <c r="C22" s="5" t="str">
        <f t="shared" si="0"/>
        <v>description,dailCompDescEnchanter20,</v>
      </c>
      <c r="D22" s="5" t="str">
        <f t="shared" si="2"/>
        <v>itemText,dailCompTextEnchanter20,</v>
      </c>
      <c r="E22" s="5" t="str">
        <f t="shared" si="14"/>
        <v>augmentSkillLevel1,1,</v>
      </c>
      <c r="F22" s="5" t="str">
        <f t="shared" si="15"/>
        <v>augmentSkillName1,records/skills/enchanter/charmofwind_mod.dbr,</v>
      </c>
      <c r="G22" s="7">
        <f t="shared" si="10"/>
        <v>20</v>
      </c>
      <c r="H22" s="8" t="str">
        <f t="shared" si="11"/>
        <v>Enchanter</v>
      </c>
      <c r="I22" s="3" t="s">
        <v>463</v>
      </c>
      <c r="J22" s="8" t="str">
        <f t="shared" si="20"/>
        <v>class0026</v>
      </c>
      <c r="K22" s="8" t="str">
        <f t="shared" si="20"/>
        <v>dailoneskill0026</v>
      </c>
      <c r="L22" s="5" t="str">
        <f t="shared" si="4"/>
        <v>lootName20,DAIL/items/materia/class0026/Enchanter20.dbr,</v>
      </c>
      <c r="M22" s="5" t="str">
        <f t="shared" si="5"/>
        <v>lootWeight20,1,</v>
      </c>
      <c r="N22" t="str">
        <f t="shared" si="6"/>
        <v>1</v>
      </c>
      <c r="O22" t="str">
        <f t="shared" si="16"/>
        <v>copy .\dail_base.dbr .\items\materia\class0026\Enchanter20.dbr /y</v>
      </c>
      <c r="P22" t="str">
        <f t="shared" si="7"/>
        <v>echo relicBitmap,items/craftingparts/components/component_a52_bristlyfur_b.tex, &gt;&gt; .\items\materia\class0026\Enchanter20.dbr</v>
      </c>
      <c r="Q22" t="str">
        <f t="shared" si="7"/>
        <v>echo itemCost,300000, &gt;&gt; .\items\materia\class0026\Enchanter20.dbr</v>
      </c>
      <c r="R22" t="str">
        <f t="shared" si="7"/>
        <v>echo description,dailCompDescEnchanter20, &gt;&gt; .\items\materia\class0026\Enchanter20.dbr</v>
      </c>
      <c r="S22" t="str">
        <f t="shared" si="7"/>
        <v>echo itemText,dailCompTextEnchanter20, &gt;&gt; .\items\materia\class0026\Enchanter20.dbr</v>
      </c>
      <c r="T22" t="str">
        <f t="shared" si="7"/>
        <v>echo augmentSkillLevel1,1, &gt;&gt; .\items\materia\class0026\Enchanter20.dbr</v>
      </c>
      <c r="U22" t="str">
        <f t="shared" si="7"/>
        <v>echo augmentSkillName1,records/skills/enchanter/charmofwind_mod.dbr, &gt;&gt; .\items\materia\class0026\Enchanter20.dbr</v>
      </c>
      <c r="V22" s="5" t="s">
        <v>36</v>
      </c>
      <c r="W22" t="str">
        <f t="shared" si="8"/>
        <v>echo lootName20,DAIL/items/materia/class0026/Enchanter20.dbr, &gt;&gt; .\items\loottables\dailoneskill0026.dbr</v>
      </c>
      <c r="X22" t="str">
        <f t="shared" si="8"/>
        <v>echo lootWeight20,1, &gt;&gt; .\items\loottables\dailoneskill0026.dbr</v>
      </c>
      <c r="Y22" s="5" t="s">
        <v>36</v>
      </c>
      <c r="Z22" t="str">
        <f t="shared" si="9"/>
        <v xml:space="preserve"> dailCompDescEnchanter20=^pEnchanter's Gift of DAIL</v>
      </c>
      <c r="AA22" t="str">
        <f t="shared" si="17"/>
        <v>dailCompTextEnchanter20=^oThis feels warm to the touch, almost familiar ^w(This component fits into all Jewellery slots including the Belt And Shoulder)</v>
      </c>
      <c r="AB22" s="5" t="s">
        <v>36</v>
      </c>
      <c r="AH22">
        <f t="shared" si="19"/>
        <v>17</v>
      </c>
      <c r="AI22">
        <f t="shared" si="13"/>
        <v>30</v>
      </c>
      <c r="AJ22">
        <f t="shared" si="18"/>
        <v>1</v>
      </c>
    </row>
    <row r="23" spans="1:36" x14ac:dyDescent="0.25">
      <c r="A23" s="5" t="s">
        <v>39</v>
      </c>
      <c r="B23" s="5" t="s">
        <v>28</v>
      </c>
      <c r="C23" s="5" t="str">
        <f t="shared" si="0"/>
        <v>description,dailCompDescEnchanter21,</v>
      </c>
      <c r="D23" s="5" t="str">
        <f t="shared" si="2"/>
        <v>itemText,dailCompTextEnchanter21,</v>
      </c>
      <c r="E23" s="5" t="str">
        <f t="shared" si="14"/>
        <v>augmentSkillLevel1,1,</v>
      </c>
      <c r="F23" s="5" t="str">
        <f t="shared" si="15"/>
        <v>augmentSkillName1,records/skills/enchanter/charmofwater.dbr,</v>
      </c>
      <c r="G23" s="7">
        <f t="shared" si="10"/>
        <v>21</v>
      </c>
      <c r="H23" s="8" t="str">
        <f t="shared" si="11"/>
        <v>Enchanter</v>
      </c>
      <c r="I23" s="3" t="s">
        <v>464</v>
      </c>
      <c r="J23" s="8" t="str">
        <f t="shared" si="20"/>
        <v>class0026</v>
      </c>
      <c r="K23" s="8" t="str">
        <f t="shared" si="20"/>
        <v>dailoneskill0026</v>
      </c>
      <c r="L23" s="5" t="str">
        <f t="shared" si="4"/>
        <v>lootName21,DAIL/items/materia/class0026/Enchanter21.dbr,</v>
      </c>
      <c r="M23" s="5" t="str">
        <f t="shared" si="5"/>
        <v>lootWeight21,1,</v>
      </c>
      <c r="N23" t="str">
        <f t="shared" si="6"/>
        <v>1</v>
      </c>
      <c r="O23" t="str">
        <f t="shared" si="16"/>
        <v>copy .\dail_base.dbr .\items\materia\class0026\Enchanter21.dbr /y</v>
      </c>
      <c r="P23" t="str">
        <f t="shared" si="7"/>
        <v>echo relicBitmap,items/craftingparts/components/component_a52_bristlyfur_b.tex, &gt;&gt; .\items\materia\class0026\Enchanter21.dbr</v>
      </c>
      <c r="Q23" t="str">
        <f t="shared" si="7"/>
        <v>echo itemCost,300000, &gt;&gt; .\items\materia\class0026\Enchanter21.dbr</v>
      </c>
      <c r="R23" t="str">
        <f t="shared" si="7"/>
        <v>echo description,dailCompDescEnchanter21, &gt;&gt; .\items\materia\class0026\Enchanter21.dbr</v>
      </c>
      <c r="S23" t="str">
        <f t="shared" si="7"/>
        <v>echo itemText,dailCompTextEnchanter21, &gt;&gt; .\items\materia\class0026\Enchanter21.dbr</v>
      </c>
      <c r="T23" t="str">
        <f t="shared" si="7"/>
        <v>echo augmentSkillLevel1,1, &gt;&gt; .\items\materia\class0026\Enchanter21.dbr</v>
      </c>
      <c r="U23" t="str">
        <f t="shared" si="7"/>
        <v>echo augmentSkillName1,records/skills/enchanter/charmofwater.dbr, &gt;&gt; .\items\materia\class0026\Enchanter21.dbr</v>
      </c>
      <c r="V23" s="5" t="s">
        <v>36</v>
      </c>
      <c r="W23" t="str">
        <f t="shared" si="8"/>
        <v>echo lootName21,DAIL/items/materia/class0026/Enchanter21.dbr, &gt;&gt; .\items\loottables\dailoneskill0026.dbr</v>
      </c>
      <c r="X23" t="str">
        <f t="shared" si="8"/>
        <v>echo lootWeight21,1, &gt;&gt; .\items\loottables\dailoneskill0026.dbr</v>
      </c>
      <c r="Y23" s="5" t="s">
        <v>36</v>
      </c>
      <c r="Z23" t="str">
        <f t="shared" si="9"/>
        <v xml:space="preserve"> dailCompDescEnchanter21=^pEnchanter's Gift of DAIL</v>
      </c>
      <c r="AA23" t="str">
        <f t="shared" si="17"/>
        <v>dailCompTextEnchanter21=^oThis feels warm to the touch, almost familiar ^w(This component fits into all Jewellery slots including the Belt And Shoulder)</v>
      </c>
      <c r="AB23" s="5" t="s">
        <v>36</v>
      </c>
      <c r="AH23">
        <f t="shared" si="19"/>
        <v>18</v>
      </c>
      <c r="AI23">
        <f t="shared" si="13"/>
        <v>27</v>
      </c>
      <c r="AJ23">
        <f t="shared" si="18"/>
        <v>1</v>
      </c>
    </row>
    <row r="24" spans="1:36" x14ac:dyDescent="0.25">
      <c r="A24" s="5" t="s">
        <v>39</v>
      </c>
      <c r="B24" s="5" t="s">
        <v>28</v>
      </c>
      <c r="C24" s="5" t="str">
        <f t="shared" si="0"/>
        <v>description,dailCompDescEnchanter22,</v>
      </c>
      <c r="D24" s="5" t="str">
        <f t="shared" si="2"/>
        <v>itemText,dailCompTextEnchanter22,</v>
      </c>
      <c r="E24" s="5" t="str">
        <f t="shared" si="14"/>
        <v>augmentSkillLevel1,1,</v>
      </c>
      <c r="F24" s="5" t="str">
        <f t="shared" si="15"/>
        <v>augmentSkillName1,records/skills/enchanter/charmofwater_mod.dbr,</v>
      </c>
      <c r="G24" s="7">
        <f t="shared" si="10"/>
        <v>22</v>
      </c>
      <c r="H24" s="8" t="str">
        <f t="shared" si="11"/>
        <v>Enchanter</v>
      </c>
      <c r="I24" s="3" t="s">
        <v>465</v>
      </c>
      <c r="J24" s="8" t="str">
        <f t="shared" si="20"/>
        <v>class0026</v>
      </c>
      <c r="K24" s="8" t="str">
        <f t="shared" si="20"/>
        <v>dailoneskill0026</v>
      </c>
      <c r="L24" s="5" t="str">
        <f t="shared" si="4"/>
        <v>lootName22,DAIL/items/materia/class0026/Enchanter22.dbr,</v>
      </c>
      <c r="M24" s="5" t="str">
        <f t="shared" si="5"/>
        <v>lootWeight22,1,</v>
      </c>
      <c r="N24" t="str">
        <f t="shared" si="6"/>
        <v>1</v>
      </c>
      <c r="O24" t="str">
        <f t="shared" si="16"/>
        <v>copy .\dail_base.dbr .\items\materia\class0026\Enchanter22.dbr /y</v>
      </c>
      <c r="P24" t="str">
        <f t="shared" si="7"/>
        <v>echo relicBitmap,items/craftingparts/components/component_a52_bristlyfur_b.tex, &gt;&gt; .\items\materia\class0026\Enchanter22.dbr</v>
      </c>
      <c r="Q24" t="str">
        <f t="shared" si="7"/>
        <v>echo itemCost,300000, &gt;&gt; .\items\materia\class0026\Enchanter22.dbr</v>
      </c>
      <c r="R24" t="str">
        <f t="shared" si="7"/>
        <v>echo description,dailCompDescEnchanter22, &gt;&gt; .\items\materia\class0026\Enchanter22.dbr</v>
      </c>
      <c r="S24" t="str">
        <f t="shared" si="7"/>
        <v>echo itemText,dailCompTextEnchanter22, &gt;&gt; .\items\materia\class0026\Enchanter22.dbr</v>
      </c>
      <c r="T24" t="str">
        <f t="shared" si="7"/>
        <v>echo augmentSkillLevel1,1, &gt;&gt; .\items\materia\class0026\Enchanter22.dbr</v>
      </c>
      <c r="U24" t="str">
        <f t="shared" si="7"/>
        <v>echo augmentSkillName1,records/skills/enchanter/charmofwater_mod.dbr, &gt;&gt; .\items\materia\class0026\Enchanter22.dbr</v>
      </c>
      <c r="V24" s="5" t="s">
        <v>36</v>
      </c>
      <c r="W24" t="str">
        <f t="shared" si="8"/>
        <v>echo lootName22,DAIL/items/materia/class0026/Enchanter22.dbr, &gt;&gt; .\items\loottables\dailoneskill0026.dbr</v>
      </c>
      <c r="X24" t="str">
        <f t="shared" si="8"/>
        <v>echo lootWeight22,1, &gt;&gt; .\items\loottables\dailoneskill0026.dbr</v>
      </c>
      <c r="Y24" s="5" t="s">
        <v>36</v>
      </c>
      <c r="Z24" t="str">
        <f t="shared" si="9"/>
        <v xml:space="preserve"> dailCompDescEnchanter22=^pEnchanter's Gift of DAIL</v>
      </c>
      <c r="AA24" t="str">
        <f t="shared" si="17"/>
        <v>dailCompTextEnchanter22=^oThis feels warm to the touch, almost familiar ^w(This component fits into all Jewellery slots including the Belt And Shoulder)</v>
      </c>
      <c r="AB24" s="5" t="s">
        <v>36</v>
      </c>
      <c r="AH24">
        <f t="shared" si="19"/>
        <v>19</v>
      </c>
      <c r="AI24">
        <f t="shared" si="13"/>
        <v>31</v>
      </c>
      <c r="AJ24">
        <f t="shared" si="18"/>
        <v>1</v>
      </c>
    </row>
    <row r="25" spans="1:36" x14ac:dyDescent="0.25">
      <c r="A25" s="5" t="s">
        <v>39</v>
      </c>
      <c r="B25" s="5" t="s">
        <v>28</v>
      </c>
      <c r="C25" s="5" t="str">
        <f t="shared" si="0"/>
        <v>description,dailCompDescEnchanter23,</v>
      </c>
      <c r="D25" s="5" t="str">
        <f t="shared" si="2"/>
        <v>itemText,dailCompTextEnchanter23,</v>
      </c>
      <c r="E25" s="5" t="str">
        <f t="shared" si="14"/>
        <v>augmentSkillLevel1,1,</v>
      </c>
      <c r="F25" s="5" t="str">
        <f t="shared" si="15"/>
        <v>augmentSkillName1,records/skills/enchanter/keeperoflife.dbr,</v>
      </c>
      <c r="G25" s="7">
        <f t="shared" si="10"/>
        <v>23</v>
      </c>
      <c r="H25" s="8" t="str">
        <f t="shared" si="11"/>
        <v>Enchanter</v>
      </c>
      <c r="I25" s="3" t="s">
        <v>466</v>
      </c>
      <c r="J25" s="8" t="str">
        <f t="shared" si="20"/>
        <v>class0026</v>
      </c>
      <c r="K25" s="8" t="str">
        <f t="shared" si="20"/>
        <v>dailoneskill0026</v>
      </c>
      <c r="L25" s="5" t="str">
        <f t="shared" si="4"/>
        <v>lootName23,DAIL/items/materia/class0026/Enchanter23.dbr,</v>
      </c>
      <c r="M25" s="5" t="str">
        <f t="shared" si="5"/>
        <v>lootWeight23,1,</v>
      </c>
      <c r="N25" t="str">
        <f t="shared" si="6"/>
        <v>1</v>
      </c>
      <c r="O25" t="str">
        <f t="shared" si="16"/>
        <v>copy .\dail_base.dbr .\items\materia\class0026\Enchanter23.dbr /y</v>
      </c>
      <c r="P25" t="str">
        <f t="shared" si="7"/>
        <v>echo relicBitmap,items/craftingparts/components/component_a52_bristlyfur_b.tex, &gt;&gt; .\items\materia\class0026\Enchanter23.dbr</v>
      </c>
      <c r="Q25" t="str">
        <f t="shared" si="7"/>
        <v>echo itemCost,300000, &gt;&gt; .\items\materia\class0026\Enchanter23.dbr</v>
      </c>
      <c r="R25" t="str">
        <f t="shared" si="7"/>
        <v>echo description,dailCompDescEnchanter23, &gt;&gt; .\items\materia\class0026\Enchanter23.dbr</v>
      </c>
      <c r="S25" t="str">
        <f t="shared" si="7"/>
        <v>echo itemText,dailCompTextEnchanter23, &gt;&gt; .\items\materia\class0026\Enchanter23.dbr</v>
      </c>
      <c r="T25" t="str">
        <f t="shared" si="7"/>
        <v>echo augmentSkillLevel1,1, &gt;&gt; .\items\materia\class0026\Enchanter23.dbr</v>
      </c>
      <c r="U25" t="str">
        <f t="shared" si="7"/>
        <v>echo augmentSkillName1,records/skills/enchanter/keeperoflife.dbr, &gt;&gt; .\items\materia\class0026\Enchanter23.dbr</v>
      </c>
      <c r="V25" s="5" t="s">
        <v>36</v>
      </c>
      <c r="W25" t="str">
        <f t="shared" si="8"/>
        <v>echo lootName23,DAIL/items/materia/class0026/Enchanter23.dbr, &gt;&gt; .\items\loottables\dailoneskill0026.dbr</v>
      </c>
      <c r="X25" t="str">
        <f t="shared" si="8"/>
        <v>echo lootWeight23,1, &gt;&gt; .\items\loottables\dailoneskill0026.dbr</v>
      </c>
      <c r="Y25" s="5" t="s">
        <v>36</v>
      </c>
      <c r="Z25" t="str">
        <f t="shared" si="9"/>
        <v xml:space="preserve"> dailCompDescEnchanter23=^pEnchanter's Gift of DAIL</v>
      </c>
      <c r="AA25" t="str">
        <f t="shared" si="17"/>
        <v>dailCompTextEnchanter23=^oThis feels warm to the touch, almost familiar ^w(This component fits into all Jewellery slots including the Belt And Shoulder)</v>
      </c>
      <c r="AB25" s="5" t="s">
        <v>36</v>
      </c>
      <c r="AH25">
        <f t="shared" si="19"/>
        <v>20</v>
      </c>
      <c r="AI25">
        <f t="shared" si="13"/>
        <v>27</v>
      </c>
      <c r="AJ25">
        <f t="shared" si="18"/>
        <v>1</v>
      </c>
    </row>
    <row r="26" spans="1:36" x14ac:dyDescent="0.25">
      <c r="A26" s="5" t="s">
        <v>39</v>
      </c>
      <c r="B26" s="5" t="s">
        <v>28</v>
      </c>
      <c r="C26" s="5" t="str">
        <f t="shared" si="0"/>
        <v>description,dailCompDescEnchanter24,</v>
      </c>
      <c r="D26" s="5" t="str">
        <f t="shared" si="2"/>
        <v>itemText,dailCompTextEnchanter24,</v>
      </c>
      <c r="E26" s="5" t="str">
        <f t="shared" si="14"/>
        <v>augmentSkillLevel1,1,</v>
      </c>
      <c r="F26" s="5" t="str">
        <f t="shared" si="15"/>
        <v>augmentSkillName1,records/skills/enchanter/masterench.dbr,</v>
      </c>
      <c r="G26" s="7">
        <f t="shared" si="10"/>
        <v>24</v>
      </c>
      <c r="H26" s="8" t="str">
        <f t="shared" si="11"/>
        <v>Enchanter</v>
      </c>
      <c r="I26" s="3" t="s">
        <v>467</v>
      </c>
      <c r="J26" s="8" t="str">
        <f t="shared" si="20"/>
        <v>class0026</v>
      </c>
      <c r="K26" s="8" t="str">
        <f t="shared" si="20"/>
        <v>dailoneskill0026</v>
      </c>
      <c r="L26" s="5" t="str">
        <f t="shared" si="4"/>
        <v>lootName24,DAIL/items/materia/class0026/Enchanter24.dbr,</v>
      </c>
      <c r="M26" s="5" t="str">
        <f t="shared" si="5"/>
        <v>lootWeight24,1,</v>
      </c>
      <c r="N26" t="str">
        <f t="shared" si="6"/>
        <v>1</v>
      </c>
      <c r="O26" t="str">
        <f t="shared" si="16"/>
        <v>copy .\dail_base.dbr .\items\materia\class0026\Enchanter24.dbr /y</v>
      </c>
      <c r="P26" t="str">
        <f t="shared" si="7"/>
        <v>echo relicBitmap,items/craftingparts/components/component_a52_bristlyfur_b.tex, &gt;&gt; .\items\materia\class0026\Enchanter24.dbr</v>
      </c>
      <c r="Q26" t="str">
        <f t="shared" si="7"/>
        <v>echo itemCost,300000, &gt;&gt; .\items\materia\class0026\Enchanter24.dbr</v>
      </c>
      <c r="R26" t="str">
        <f t="shared" si="7"/>
        <v>echo description,dailCompDescEnchanter24, &gt;&gt; .\items\materia\class0026\Enchanter24.dbr</v>
      </c>
      <c r="S26" t="str">
        <f t="shared" si="7"/>
        <v>echo itemText,dailCompTextEnchanter24, &gt;&gt; .\items\materia\class0026\Enchanter24.dbr</v>
      </c>
      <c r="T26" t="str">
        <f t="shared" si="7"/>
        <v>echo augmentSkillLevel1,1, &gt;&gt; .\items\materia\class0026\Enchanter24.dbr</v>
      </c>
      <c r="U26" t="str">
        <f t="shared" si="7"/>
        <v>echo augmentSkillName1,records/skills/enchanter/masterench.dbr, &gt;&gt; .\items\materia\class0026\Enchanter24.dbr</v>
      </c>
      <c r="V26" s="5" t="s">
        <v>36</v>
      </c>
      <c r="W26" t="str">
        <f t="shared" si="8"/>
        <v>echo lootName24,DAIL/items/materia/class0026/Enchanter24.dbr, &gt;&gt; .\items\loottables\dailoneskill0026.dbr</v>
      </c>
      <c r="X26" t="str">
        <f t="shared" si="8"/>
        <v>echo lootWeight24,1, &gt;&gt; .\items\loottables\dailoneskill0026.dbr</v>
      </c>
      <c r="Y26" s="5" t="s">
        <v>36</v>
      </c>
      <c r="Z26" t="str">
        <f t="shared" si="9"/>
        <v xml:space="preserve"> dailCompDescEnchanter24=^pEnchanter's Gift of DAIL</v>
      </c>
      <c r="AA26" t="str">
        <f t="shared" si="17"/>
        <v>dailCompTextEnchanter24=^oThis feels warm to the touch, almost familiar ^w(This component fits into all Jewellery slots including the Belt And Shoulder)</v>
      </c>
      <c r="AB26" s="5" t="s">
        <v>36</v>
      </c>
      <c r="AH26">
        <f t="shared" si="19"/>
        <v>21</v>
      </c>
      <c r="AI26">
        <f t="shared" si="13"/>
        <v>25</v>
      </c>
      <c r="AJ26">
        <f t="shared" si="18"/>
        <v>1</v>
      </c>
    </row>
    <row r="27" spans="1:36" x14ac:dyDescent="0.25">
      <c r="A27" s="5" t="s">
        <v>39</v>
      </c>
      <c r="B27" s="5" t="s">
        <v>28</v>
      </c>
      <c r="C27" s="5" t="str">
        <f t="shared" si="0"/>
        <v>description,dailCompDescEnchanter25,</v>
      </c>
      <c r="D27" s="5" t="str">
        <f t="shared" si="2"/>
        <v>itemText,dailCompTextEnchanter25,</v>
      </c>
      <c r="E27" s="5" t="str">
        <f t="shared" si="14"/>
        <v>augmentSkillLevel1,1,</v>
      </c>
      <c r="F27" s="5" t="str">
        <f t="shared" si="15"/>
        <v>augmentSkillName1,records/skills/enchanter/touchoflife.dbr,</v>
      </c>
      <c r="G27" s="7">
        <f t="shared" si="10"/>
        <v>25</v>
      </c>
      <c r="H27" s="8" t="str">
        <f t="shared" si="11"/>
        <v>Enchanter</v>
      </c>
      <c r="I27" s="3" t="s">
        <v>468</v>
      </c>
      <c r="J27" s="8" t="str">
        <f t="shared" si="20"/>
        <v>class0026</v>
      </c>
      <c r="K27" s="8" t="str">
        <f t="shared" si="20"/>
        <v>dailoneskill0026</v>
      </c>
      <c r="L27" s="5" t="str">
        <f t="shared" si="4"/>
        <v>lootName25,DAIL/items/materia/class0026/Enchanter25.dbr,</v>
      </c>
      <c r="M27" s="5" t="str">
        <f t="shared" si="5"/>
        <v>lootWeight25,1,</v>
      </c>
      <c r="N27" t="str">
        <f t="shared" si="6"/>
        <v>1</v>
      </c>
      <c r="O27" t="str">
        <f t="shared" si="16"/>
        <v>copy .\dail_base.dbr .\items\materia\class0026\Enchanter25.dbr /y</v>
      </c>
      <c r="P27" t="str">
        <f t="shared" si="7"/>
        <v>echo relicBitmap,items/craftingparts/components/component_a52_bristlyfur_b.tex, &gt;&gt; .\items\materia\class0026\Enchanter25.dbr</v>
      </c>
      <c r="Q27" t="str">
        <f t="shared" si="7"/>
        <v>echo itemCost,300000, &gt;&gt; .\items\materia\class0026\Enchanter25.dbr</v>
      </c>
      <c r="R27" t="str">
        <f t="shared" si="7"/>
        <v>echo description,dailCompDescEnchanter25, &gt;&gt; .\items\materia\class0026\Enchanter25.dbr</v>
      </c>
      <c r="S27" t="str">
        <f t="shared" si="7"/>
        <v>echo itemText,dailCompTextEnchanter25, &gt;&gt; .\items\materia\class0026\Enchanter25.dbr</v>
      </c>
      <c r="T27" t="str">
        <f t="shared" si="7"/>
        <v>echo augmentSkillLevel1,1, &gt;&gt; .\items\materia\class0026\Enchanter25.dbr</v>
      </c>
      <c r="U27" t="str">
        <f t="shared" si="7"/>
        <v>echo augmentSkillName1,records/skills/enchanter/touchoflife.dbr, &gt;&gt; .\items\materia\class0026\Enchanter25.dbr</v>
      </c>
      <c r="V27" s="5" t="s">
        <v>36</v>
      </c>
      <c r="W27" t="str">
        <f t="shared" si="8"/>
        <v>echo lootName25,DAIL/items/materia/class0026/Enchanter25.dbr, &gt;&gt; .\items\loottables\dailoneskill0026.dbr</v>
      </c>
      <c r="X27" t="str">
        <f t="shared" si="8"/>
        <v>echo lootWeight25,1, &gt;&gt; .\items\loottables\dailoneskill0026.dbr</v>
      </c>
      <c r="Y27" s="5" t="s">
        <v>36</v>
      </c>
      <c r="Z27" t="str">
        <f t="shared" si="9"/>
        <v xml:space="preserve"> dailCompDescEnchanter25=^pEnchanter's Gift of DAIL</v>
      </c>
      <c r="AA27" t="str">
        <f t="shared" si="17"/>
        <v>dailCompTextEnchanter25=^oThis feels warm to the touch, almost familiar ^w(This component fits into all Jewellery slots including the Belt And Shoulder)</v>
      </c>
      <c r="AB27" s="5" t="s">
        <v>36</v>
      </c>
      <c r="AH27">
        <f t="shared" si="19"/>
        <v>22</v>
      </c>
      <c r="AI27">
        <f t="shared" si="13"/>
        <v>26</v>
      </c>
      <c r="AJ27">
        <f t="shared" si="18"/>
        <v>1</v>
      </c>
    </row>
    <row r="28" spans="1:36" x14ac:dyDescent="0.25">
      <c r="A28" s="5" t="s">
        <v>39</v>
      </c>
      <c r="B28" s="5" t="s">
        <v>28</v>
      </c>
      <c r="C28" s="5" t="str">
        <f t="shared" si="0"/>
        <v>description,dailCompDescEnchanter26,</v>
      </c>
      <c r="D28" s="5" t="str">
        <f t="shared" si="2"/>
        <v>itemText,dailCompTextEnchanter26,</v>
      </c>
      <c r="E28" s="5" t="str">
        <f t="shared" si="14"/>
        <v>augmentSkillLevel1,1,</v>
      </c>
      <c r="F28" s="5" t="str">
        <f t="shared" si="15"/>
        <v>augmentSkillName1,records/skills/enchanter/touchoflife_petmodifier.dbr,</v>
      </c>
      <c r="G28" s="7">
        <f t="shared" si="10"/>
        <v>26</v>
      </c>
      <c r="H28" s="8" t="str">
        <f t="shared" si="11"/>
        <v>Enchanter</v>
      </c>
      <c r="I28" s="3" t="s">
        <v>469</v>
      </c>
      <c r="J28" s="8" t="str">
        <f t="shared" si="20"/>
        <v>class0026</v>
      </c>
      <c r="K28" s="8" t="str">
        <f t="shared" si="20"/>
        <v>dailoneskill0026</v>
      </c>
      <c r="L28" s="5" t="str">
        <f t="shared" si="4"/>
        <v>lootName26,DAIL/items/materia/class0026/Enchanter26.dbr,</v>
      </c>
      <c r="M28" s="5" t="str">
        <f t="shared" si="5"/>
        <v>lootWeight26,1,</v>
      </c>
      <c r="N28" t="str">
        <f t="shared" si="6"/>
        <v>1</v>
      </c>
      <c r="O28" t="str">
        <f t="shared" si="16"/>
        <v>copy .\dail_base.dbr .\items\materia\class0026\Enchanter26.dbr /y</v>
      </c>
      <c r="P28" t="str">
        <f t="shared" si="7"/>
        <v>echo relicBitmap,items/craftingparts/components/component_a52_bristlyfur_b.tex, &gt;&gt; .\items\materia\class0026\Enchanter26.dbr</v>
      </c>
      <c r="Q28" t="str">
        <f t="shared" si="7"/>
        <v>echo itemCost,300000, &gt;&gt; .\items\materia\class0026\Enchanter26.dbr</v>
      </c>
      <c r="R28" t="str">
        <f t="shared" si="7"/>
        <v>echo description,dailCompDescEnchanter26, &gt;&gt; .\items\materia\class0026\Enchanter26.dbr</v>
      </c>
      <c r="S28" t="str">
        <f t="shared" si="7"/>
        <v>echo itemText,dailCompTextEnchanter26, &gt;&gt; .\items\materia\class0026\Enchanter26.dbr</v>
      </c>
      <c r="T28" t="str">
        <f t="shared" si="7"/>
        <v>echo augmentSkillLevel1,1, &gt;&gt; .\items\materia\class0026\Enchanter26.dbr</v>
      </c>
      <c r="U28" t="str">
        <f t="shared" si="7"/>
        <v>echo augmentSkillName1,records/skills/enchanter/touchoflife_petmodifier.dbr, &gt;&gt; .\items\materia\class0026\Enchanter26.dbr</v>
      </c>
      <c r="V28" s="5" t="s">
        <v>36</v>
      </c>
      <c r="W28" t="str">
        <f t="shared" si="8"/>
        <v>echo lootName26,DAIL/items/materia/class0026/Enchanter26.dbr, &gt;&gt; .\items\loottables\dailoneskill0026.dbr</v>
      </c>
      <c r="X28" t="str">
        <f t="shared" si="8"/>
        <v>echo lootWeight26,1, &gt;&gt; .\items\loottables\dailoneskill0026.dbr</v>
      </c>
      <c r="Y28" s="5" t="s">
        <v>36</v>
      </c>
      <c r="Z28" t="str">
        <f t="shared" si="9"/>
        <v xml:space="preserve"> dailCompDescEnchanter26=^pEnchanter's Gift of DAIL</v>
      </c>
      <c r="AA28" t="str">
        <f t="shared" si="17"/>
        <v>dailCompTextEnchanter26=^oThis feels warm to the touch, almost familiar ^w(This component fits into all Jewellery slots including the Belt And Shoulder)</v>
      </c>
      <c r="AB28" s="5" t="s">
        <v>36</v>
      </c>
      <c r="AH28">
        <f t="shared" si="19"/>
        <v>23</v>
      </c>
      <c r="AI28">
        <f t="shared" si="13"/>
        <v>38</v>
      </c>
      <c r="AJ28">
        <f t="shared" si="18"/>
        <v>1</v>
      </c>
    </row>
    <row r="29" spans="1:36" x14ac:dyDescent="0.25">
      <c r="A29" s="5" t="s">
        <v>39</v>
      </c>
      <c r="B29" s="5" t="s">
        <v>28</v>
      </c>
      <c r="C29" s="5" t="str">
        <f t="shared" si="0"/>
        <v>description,dailCompDescEnchanter27,</v>
      </c>
      <c r="D29" s="5" t="str">
        <f t="shared" si="2"/>
        <v>itemText,dailCompTextEnchanter27,</v>
      </c>
      <c r="E29" s="5" t="str">
        <f t="shared" si="14"/>
        <v>augmentSkillLevel1,3,</v>
      </c>
      <c r="F29" s="5" t="str">
        <f t="shared" si="15"/>
        <v>augmentSkillName1,records/skills/enchanter/resurgence.dbr,</v>
      </c>
      <c r="G29" s="7">
        <f t="shared" si="10"/>
        <v>27</v>
      </c>
      <c r="H29" s="8" t="str">
        <f t="shared" si="11"/>
        <v>Enchanter</v>
      </c>
      <c r="I29" s="3" t="s">
        <v>470</v>
      </c>
      <c r="J29" s="8" t="str">
        <f t="shared" si="20"/>
        <v>class0026</v>
      </c>
      <c r="K29" s="8" t="str">
        <f t="shared" si="20"/>
        <v>dailoneskill0026</v>
      </c>
      <c r="L29" s="5" t="str">
        <f t="shared" si="4"/>
        <v>lootName27,DAIL/items/materia/class0026/Enchanter27.dbr,</v>
      </c>
      <c r="M29" s="5" t="str">
        <f t="shared" si="5"/>
        <v>lootWeight27,1,</v>
      </c>
      <c r="N29" t="str">
        <f t="shared" si="6"/>
        <v>3</v>
      </c>
      <c r="O29" t="str">
        <f t="shared" si="16"/>
        <v>copy .\dail_base3.dbr .\items\materia\class0026\Enchanter27.dbr /y</v>
      </c>
      <c r="P29" t="str">
        <f t="shared" si="7"/>
        <v>echo relicBitmap,items/craftingparts/components/component_a52_bristlyfur_b.tex, &gt;&gt; .\items\materia\class0026\Enchanter27.dbr</v>
      </c>
      <c r="Q29" t="str">
        <f t="shared" si="7"/>
        <v>echo itemCost,300000, &gt;&gt; .\items\materia\class0026\Enchanter27.dbr</v>
      </c>
      <c r="R29" t="str">
        <f t="shared" si="7"/>
        <v>echo description,dailCompDescEnchanter27, &gt;&gt; .\items\materia\class0026\Enchanter27.dbr</v>
      </c>
      <c r="S29" t="str">
        <f t="shared" si="7"/>
        <v>echo itemText,dailCompTextEnchanter27, &gt;&gt; .\items\materia\class0026\Enchanter27.dbr</v>
      </c>
      <c r="T29" t="str">
        <f t="shared" si="7"/>
        <v>echo augmentSkillLevel1,3, &gt;&gt; .\items\materia\class0026\Enchanter27.dbr</v>
      </c>
      <c r="U29" t="str">
        <f t="shared" si="7"/>
        <v>echo augmentSkillName1,records/skills/enchanter/resurgence.dbr, &gt;&gt; .\items\materia\class0026\Enchanter27.dbr</v>
      </c>
      <c r="V29" s="5" t="s">
        <v>36</v>
      </c>
      <c r="W29" t="str">
        <f t="shared" si="8"/>
        <v>echo lootName27,DAIL/items/materia/class0026/Enchanter27.dbr, &gt;&gt; .\items\loottables\dailoneskill0026.dbr</v>
      </c>
      <c r="X29" t="str">
        <f t="shared" si="8"/>
        <v>echo lootWeight27,1, &gt;&gt; .\items\loottables\dailoneskill0026.dbr</v>
      </c>
      <c r="Y29" s="5" t="s">
        <v>36</v>
      </c>
      <c r="Z29" t="str">
        <f t="shared" si="9"/>
        <v xml:space="preserve"> dailCompDescEnchanter27=^pEnchanter's Gift of DAIL</v>
      </c>
      <c r="AA29" t="str">
        <f t="shared" si="17"/>
        <v>dailCompTextEnchanter27=^oThis feels warm to the touch, almost familiar ^w(This component only fits into the Medal Slot)</v>
      </c>
      <c r="AB29" s="5" t="s">
        <v>36</v>
      </c>
      <c r="AH29">
        <f t="shared" si="19"/>
        <v>24</v>
      </c>
      <c r="AI29">
        <f t="shared" si="13"/>
        <v>25</v>
      </c>
      <c r="AJ29">
        <f t="shared" si="18"/>
        <v>3</v>
      </c>
    </row>
    <row r="30" spans="1:36" x14ac:dyDescent="0.25">
      <c r="A30" s="5" t="s">
        <v>39</v>
      </c>
      <c r="B30" s="5" t="s">
        <v>28</v>
      </c>
      <c r="C30" s="5" t="str">
        <f t="shared" si="0"/>
        <v>description,dailCompDescEnchanter28,</v>
      </c>
      <c r="D30" s="5" t="str">
        <f t="shared" si="2"/>
        <v>itemText,dailCompTextEnchanter28,</v>
      </c>
      <c r="E30" s="5" t="str">
        <f t="shared" si="14"/>
        <v>augmentSkillLevel1,3,</v>
      </c>
      <c r="F30" s="5" t="str">
        <f t="shared" si="15"/>
        <v>augmentSkillName1,records/skills/enchanter/wither.dbr,</v>
      </c>
      <c r="G30" s="7">
        <f t="shared" si="10"/>
        <v>28</v>
      </c>
      <c r="H30" s="8" t="str">
        <f t="shared" si="11"/>
        <v>Enchanter</v>
      </c>
      <c r="I30" s="3" t="s">
        <v>447</v>
      </c>
      <c r="J30" s="8" t="str">
        <f t="shared" si="20"/>
        <v>class0026</v>
      </c>
      <c r="K30" s="8" t="str">
        <f t="shared" si="20"/>
        <v>dailoneskill0026</v>
      </c>
      <c r="L30" s="5" t="str">
        <f t="shared" si="4"/>
        <v>lootName28,DAIL/items/materia/class0026/Enchanter28.dbr,</v>
      </c>
      <c r="M30" s="5" t="str">
        <f t="shared" si="5"/>
        <v>lootWeight28,1,</v>
      </c>
      <c r="N30" t="str">
        <f t="shared" si="6"/>
        <v>3</v>
      </c>
      <c r="O30" t="str">
        <f t="shared" si="16"/>
        <v>copy .\dail_base3.dbr .\items\materia\class0026\Enchanter28.dbr /y</v>
      </c>
      <c r="P30" t="str">
        <f t="shared" si="7"/>
        <v>echo relicBitmap,items/craftingparts/components/component_a52_bristlyfur_b.tex, &gt;&gt; .\items\materia\class0026\Enchanter28.dbr</v>
      </c>
      <c r="Q30" t="str">
        <f t="shared" si="7"/>
        <v>echo itemCost,300000, &gt;&gt; .\items\materia\class0026\Enchanter28.dbr</v>
      </c>
      <c r="R30" t="str">
        <f t="shared" si="7"/>
        <v>echo description,dailCompDescEnchanter28, &gt;&gt; .\items\materia\class0026\Enchanter28.dbr</v>
      </c>
      <c r="S30" t="str">
        <f t="shared" si="7"/>
        <v>echo itemText,dailCompTextEnchanter28, &gt;&gt; .\items\materia\class0026\Enchanter28.dbr</v>
      </c>
      <c r="T30" t="str">
        <f t="shared" si="7"/>
        <v>echo augmentSkillLevel1,3, &gt;&gt; .\items\materia\class0026\Enchanter28.dbr</v>
      </c>
      <c r="U30" t="str">
        <f t="shared" si="7"/>
        <v>echo augmentSkillName1,records/skills/enchanter/wither.dbr, &gt;&gt; .\items\materia\class0026\Enchanter28.dbr</v>
      </c>
      <c r="V30" s="5" t="s">
        <v>36</v>
      </c>
      <c r="W30" t="str">
        <f t="shared" si="8"/>
        <v>echo lootName28,DAIL/items/materia/class0026/Enchanter28.dbr, &gt;&gt; .\items\loottables\dailoneskill0026.dbr</v>
      </c>
      <c r="X30" t="str">
        <f t="shared" si="8"/>
        <v>echo lootWeight28,1, &gt;&gt; .\items\loottables\dailoneskill0026.dbr</v>
      </c>
      <c r="Y30" s="5" t="s">
        <v>36</v>
      </c>
      <c r="Z30" t="str">
        <f t="shared" si="9"/>
        <v xml:space="preserve"> dailCompDescEnchanter28=^pEnchanter's Gift of DAIL</v>
      </c>
      <c r="AA30" t="str">
        <f t="shared" si="17"/>
        <v>dailCompTextEnchanter28=^oThis feels warm to the touch, almost familiar ^w(This component only fits into the Medal Slot)</v>
      </c>
      <c r="AB30" s="5" t="s">
        <v>36</v>
      </c>
      <c r="AH30">
        <f t="shared" si="19"/>
        <v>25</v>
      </c>
      <c r="AI30">
        <f t="shared" si="13"/>
        <v>21</v>
      </c>
      <c r="AJ30">
        <f t="shared" si="18"/>
        <v>3</v>
      </c>
    </row>
    <row r="31" spans="1:36" x14ac:dyDescent="0.25">
      <c r="A31" s="5" t="s">
        <v>39</v>
      </c>
      <c r="B31" s="5" t="s">
        <v>28</v>
      </c>
      <c r="C31" s="5" t="str">
        <f t="shared" si="0"/>
        <v>description,dailCompDescEnchanter29,</v>
      </c>
      <c r="D31" s="5" t="str">
        <f t="shared" si="2"/>
        <v>itemText,dailCompTextEnchanter29,</v>
      </c>
      <c r="E31" s="5" t="str">
        <f t="shared" si="14"/>
        <v>augmentSkillLevel1,3,</v>
      </c>
      <c r="F31" s="5" t="str">
        <f t="shared" si="15"/>
        <v>augmentSkillName1,records/skills/enchanter/wither_mod.dbr,</v>
      </c>
      <c r="G31" s="7">
        <f t="shared" si="10"/>
        <v>29</v>
      </c>
      <c r="H31" s="8" t="str">
        <f t="shared" si="11"/>
        <v>Enchanter</v>
      </c>
      <c r="I31" s="3" t="s">
        <v>448</v>
      </c>
      <c r="J31" s="8" t="str">
        <f t="shared" si="20"/>
        <v>class0026</v>
      </c>
      <c r="K31" s="8" t="str">
        <f t="shared" si="20"/>
        <v>dailoneskill0026</v>
      </c>
      <c r="L31" s="5" t="str">
        <f t="shared" si="4"/>
        <v>lootName29,DAIL/items/materia/class0026/Enchanter29.dbr,</v>
      </c>
      <c r="M31" s="5" t="str">
        <f t="shared" si="5"/>
        <v>lootWeight29,1,</v>
      </c>
      <c r="N31" t="str">
        <f t="shared" si="6"/>
        <v>3</v>
      </c>
      <c r="O31" t="str">
        <f t="shared" si="16"/>
        <v>copy .\dail_base3.dbr .\items\materia\class0026\Enchanter29.dbr /y</v>
      </c>
      <c r="P31" t="str">
        <f t="shared" si="7"/>
        <v>echo relicBitmap,items/craftingparts/components/component_a52_bristlyfur_b.tex, &gt;&gt; .\items\materia\class0026\Enchanter29.dbr</v>
      </c>
      <c r="Q31" t="str">
        <f t="shared" si="7"/>
        <v>echo itemCost,300000, &gt;&gt; .\items\materia\class0026\Enchanter29.dbr</v>
      </c>
      <c r="R31" t="str">
        <f t="shared" si="7"/>
        <v>echo description,dailCompDescEnchanter29, &gt;&gt; .\items\materia\class0026\Enchanter29.dbr</v>
      </c>
      <c r="S31" t="str">
        <f t="shared" si="7"/>
        <v>echo itemText,dailCompTextEnchanter29, &gt;&gt; .\items\materia\class0026\Enchanter29.dbr</v>
      </c>
      <c r="T31" t="str">
        <f t="shared" si="7"/>
        <v>echo augmentSkillLevel1,3, &gt;&gt; .\items\materia\class0026\Enchanter29.dbr</v>
      </c>
      <c r="U31" t="str">
        <f t="shared" si="7"/>
        <v>echo augmentSkillName1,records/skills/enchanter/wither_mod.dbr, &gt;&gt; .\items\materia\class0026\Enchanter29.dbr</v>
      </c>
      <c r="V31" s="5" t="s">
        <v>36</v>
      </c>
      <c r="W31" t="str">
        <f t="shared" si="8"/>
        <v>echo lootName29,DAIL/items/materia/class0026/Enchanter29.dbr, &gt;&gt; .\items\loottables\dailoneskill0026.dbr</v>
      </c>
      <c r="X31" t="str">
        <f t="shared" si="8"/>
        <v>echo lootWeight29,1, &gt;&gt; .\items\loottables\dailoneskill0026.dbr</v>
      </c>
      <c r="Y31" s="5" t="s">
        <v>36</v>
      </c>
      <c r="Z31" t="str">
        <f t="shared" si="9"/>
        <v xml:space="preserve"> dailCompDescEnchanter29=^pEnchanter's Gift of DAIL</v>
      </c>
      <c r="AA31" t="str">
        <f t="shared" si="17"/>
        <v>dailCompTextEnchanter29=^oThis feels warm to the touch, almost familiar ^w(This component only fits into the Medal Slot)</v>
      </c>
      <c r="AB31" s="5" t="s">
        <v>36</v>
      </c>
      <c r="AH31">
        <f t="shared" si="19"/>
        <v>26</v>
      </c>
      <c r="AI31">
        <f t="shared" si="13"/>
        <v>25</v>
      </c>
      <c r="AJ31">
        <f t="shared" si="18"/>
        <v>3</v>
      </c>
    </row>
    <row r="32" spans="1:36" x14ac:dyDescent="0.25">
      <c r="A32" s="5" t="s">
        <v>39</v>
      </c>
      <c r="B32" s="5" t="s">
        <v>30</v>
      </c>
      <c r="C32" s="5" t="str">
        <f t="shared" si="0"/>
        <v>description,dailCompDescEnchanter30,</v>
      </c>
      <c r="D32" s="5" t="str">
        <f t="shared" si="2"/>
        <v>itemText,dailCompTextEnchanter30,</v>
      </c>
      <c r="E32" s="5" t="str">
        <f t="shared" si="14"/>
        <v>augmentSkillLevel1,3,</v>
      </c>
      <c r="F32" s="5" t="str">
        <f t="shared" si="15"/>
        <v>augmentSkillName1,records/skills/enchanter/charmofflames.dbr,</v>
      </c>
      <c r="G32" s="7">
        <f t="shared" si="10"/>
        <v>30</v>
      </c>
      <c r="H32" s="8" t="str">
        <f t="shared" si="11"/>
        <v>Enchanter</v>
      </c>
      <c r="I32" s="3" t="s">
        <v>449</v>
      </c>
      <c r="J32" s="8" t="str">
        <f t="shared" si="20"/>
        <v>class0026</v>
      </c>
      <c r="K32" s="8" t="str">
        <f t="shared" si="20"/>
        <v>dailoneskill0026</v>
      </c>
      <c r="L32" s="5" t="str">
        <f t="shared" si="4"/>
        <v>lootName30,DAIL/items/materia/class0026/Enchanter30.dbr,</v>
      </c>
      <c r="M32" s="5" t="str">
        <f t="shared" si="5"/>
        <v>lootWeight30,1,</v>
      </c>
      <c r="N32" t="str">
        <f t="shared" si="6"/>
        <v>3</v>
      </c>
      <c r="O32" t="str">
        <f t="shared" si="16"/>
        <v>copy .\dail_base3.dbr .\items\materia\class0026\Enchanter30.dbr /y</v>
      </c>
      <c r="P32" t="str">
        <f t="shared" si="7"/>
        <v>echo relicBitmap,items/craftingparts/components/component_a52_bristlyfur_b.tex, &gt;&gt; .\items\materia\class0026\Enchanter30.dbr</v>
      </c>
      <c r="Q32" t="str">
        <f t="shared" si="7"/>
        <v>echo itemCost,500000, &gt;&gt; .\items\materia\class0026\Enchanter30.dbr</v>
      </c>
      <c r="R32" t="str">
        <f t="shared" si="7"/>
        <v>echo description,dailCompDescEnchanter30, &gt;&gt; .\items\materia\class0026\Enchanter30.dbr</v>
      </c>
      <c r="S32" t="str">
        <f t="shared" si="7"/>
        <v>echo itemText,dailCompTextEnchanter30, &gt;&gt; .\items\materia\class0026\Enchanter30.dbr</v>
      </c>
      <c r="T32" t="str">
        <f t="shared" si="7"/>
        <v>echo augmentSkillLevel1,3, &gt;&gt; .\items\materia\class0026\Enchanter30.dbr</v>
      </c>
      <c r="U32" t="str">
        <f t="shared" si="7"/>
        <v>echo augmentSkillName1,records/skills/enchanter/charmofflames.dbr, &gt;&gt; .\items\materia\class0026\Enchanter30.dbr</v>
      </c>
      <c r="V32" s="5" t="s">
        <v>36</v>
      </c>
      <c r="W32" t="str">
        <f t="shared" si="8"/>
        <v>echo lootName30,DAIL/items/materia/class0026/Enchanter30.dbr, &gt;&gt; .\items\loottables\dailoneskill0026.dbr</v>
      </c>
      <c r="X32" t="str">
        <f t="shared" si="8"/>
        <v>echo lootWeight30,1, &gt;&gt; .\items\loottables\dailoneskill0026.dbr</v>
      </c>
      <c r="Y32" s="5" t="s">
        <v>36</v>
      </c>
      <c r="Z32" t="str">
        <f t="shared" si="9"/>
        <v xml:space="preserve"> dailCompDescEnchanter30=^pEnchanter's Gift of DAIL</v>
      </c>
      <c r="AA32" t="str">
        <f t="shared" si="17"/>
        <v>dailCompTextEnchanter30=^oThis feels warm to the touch, almost familiar ^w(This component only fits into the Medal Slot)</v>
      </c>
      <c r="AB32" s="5" t="s">
        <v>36</v>
      </c>
      <c r="AH32">
        <f t="shared" si="19"/>
        <v>27</v>
      </c>
      <c r="AI32">
        <f t="shared" si="13"/>
        <v>28</v>
      </c>
      <c r="AJ32">
        <f t="shared" si="18"/>
        <v>3</v>
      </c>
    </row>
    <row r="33" spans="1:36" x14ac:dyDescent="0.25">
      <c r="A33" s="5" t="s">
        <v>39</v>
      </c>
      <c r="B33" s="5" t="s">
        <v>30</v>
      </c>
      <c r="C33" s="5" t="str">
        <f t="shared" si="0"/>
        <v>description,dailCompDescEnchanter31,</v>
      </c>
      <c r="D33" s="5" t="str">
        <f t="shared" si="2"/>
        <v>itemText,dailCompTextEnchanter31,</v>
      </c>
      <c r="E33" s="5" t="str">
        <f t="shared" si="14"/>
        <v>augmentSkillLevel1,3,</v>
      </c>
      <c r="F33" s="5" t="str">
        <f t="shared" si="15"/>
        <v>augmentSkillName1,records/skills/enchanter/charmofflames_mod.dbr,</v>
      </c>
      <c r="G33" s="7">
        <f t="shared" si="10"/>
        <v>31</v>
      </c>
      <c r="H33" s="8" t="str">
        <f t="shared" si="11"/>
        <v>Enchanter</v>
      </c>
      <c r="I33" s="3" t="s">
        <v>450</v>
      </c>
      <c r="J33" s="8" t="str">
        <f t="shared" si="20"/>
        <v>class0026</v>
      </c>
      <c r="K33" s="8" t="str">
        <f t="shared" si="20"/>
        <v>dailoneskill0026</v>
      </c>
      <c r="L33" s="5" t="str">
        <f t="shared" si="4"/>
        <v>lootName31,DAIL/items/materia/class0026/Enchanter31.dbr,</v>
      </c>
      <c r="M33" s="5" t="str">
        <f t="shared" si="5"/>
        <v>lootWeight31,1,</v>
      </c>
      <c r="N33" t="str">
        <f t="shared" si="6"/>
        <v>3</v>
      </c>
      <c r="O33" t="str">
        <f t="shared" si="16"/>
        <v>copy .\dail_base3.dbr .\items\materia\class0026\Enchanter31.dbr /y</v>
      </c>
      <c r="P33" t="str">
        <f t="shared" si="7"/>
        <v>echo relicBitmap,items/craftingparts/components/component_a52_bristlyfur_b.tex, &gt;&gt; .\items\materia\class0026\Enchanter31.dbr</v>
      </c>
      <c r="Q33" t="str">
        <f t="shared" si="7"/>
        <v>echo itemCost,500000, &gt;&gt; .\items\materia\class0026\Enchanter31.dbr</v>
      </c>
      <c r="R33" t="str">
        <f t="shared" si="7"/>
        <v>echo description,dailCompDescEnchanter31, &gt;&gt; .\items\materia\class0026\Enchanter31.dbr</v>
      </c>
      <c r="S33" t="str">
        <f t="shared" si="7"/>
        <v>echo itemText,dailCompTextEnchanter31, &gt;&gt; .\items\materia\class0026\Enchanter31.dbr</v>
      </c>
      <c r="T33" t="str">
        <f t="shared" si="7"/>
        <v>echo augmentSkillLevel1,3, &gt;&gt; .\items\materia\class0026\Enchanter31.dbr</v>
      </c>
      <c r="U33" t="str">
        <f t="shared" si="7"/>
        <v>echo augmentSkillName1,records/skills/enchanter/charmofflames_mod.dbr, &gt;&gt; .\items\materia\class0026\Enchanter31.dbr</v>
      </c>
      <c r="V33" s="5" t="s">
        <v>36</v>
      </c>
      <c r="W33" t="str">
        <f t="shared" si="8"/>
        <v>echo lootName31,DAIL/items/materia/class0026/Enchanter31.dbr, &gt;&gt; .\items\loottables\dailoneskill0026.dbr</v>
      </c>
      <c r="X33" t="str">
        <f t="shared" si="8"/>
        <v>echo lootWeight31,1, &gt;&gt; .\items\loottables\dailoneskill0026.dbr</v>
      </c>
      <c r="Y33" s="5" t="s">
        <v>36</v>
      </c>
      <c r="Z33" t="str">
        <f t="shared" si="9"/>
        <v xml:space="preserve"> dailCompDescEnchanter31=^pEnchanter's Gift of DAIL</v>
      </c>
      <c r="AA33" t="str">
        <f t="shared" si="17"/>
        <v>dailCompTextEnchanter31=^oThis feels warm to the touch, almost familiar ^w(This component only fits into the Medal Slot)</v>
      </c>
      <c r="AB33" s="5" t="s">
        <v>36</v>
      </c>
      <c r="AH33">
        <f t="shared" si="19"/>
        <v>28</v>
      </c>
      <c r="AI33">
        <f t="shared" si="13"/>
        <v>32</v>
      </c>
      <c r="AJ33">
        <f t="shared" si="18"/>
        <v>3</v>
      </c>
    </row>
    <row r="34" spans="1:36" x14ac:dyDescent="0.25">
      <c r="A34" s="5" t="s">
        <v>39</v>
      </c>
      <c r="B34" s="5" t="s">
        <v>30</v>
      </c>
      <c r="C34" s="5" t="str">
        <f t="shared" si="0"/>
        <v>description,dailCompDescEnchanter32,</v>
      </c>
      <c r="D34" s="5" t="str">
        <f t="shared" si="2"/>
        <v>itemText,dailCompTextEnchanter32,</v>
      </c>
      <c r="E34" s="5" t="str">
        <f t="shared" si="14"/>
        <v>augmentSkillLevel1,3,</v>
      </c>
      <c r="F34" s="5" t="str">
        <f t="shared" si="15"/>
        <v>augmentSkillName1,records/skills/enchanter/timeslow.dbr,</v>
      </c>
      <c r="G34" s="7">
        <f t="shared" si="10"/>
        <v>32</v>
      </c>
      <c r="H34" s="8" t="str">
        <f t="shared" si="11"/>
        <v>Enchanter</v>
      </c>
      <c r="I34" s="3" t="s">
        <v>451</v>
      </c>
      <c r="J34" s="8" t="str">
        <f t="shared" si="20"/>
        <v>class0026</v>
      </c>
      <c r="K34" s="8" t="str">
        <f t="shared" si="20"/>
        <v>dailoneskill0026</v>
      </c>
      <c r="L34" s="5" t="str">
        <f t="shared" si="4"/>
        <v>lootName32,DAIL/items/materia/class0026/Enchanter32.dbr,</v>
      </c>
      <c r="M34" s="5" t="str">
        <f t="shared" si="5"/>
        <v>lootWeight32,1,</v>
      </c>
      <c r="N34" t="str">
        <f t="shared" si="6"/>
        <v>3</v>
      </c>
      <c r="O34" t="str">
        <f t="shared" si="16"/>
        <v>copy .\dail_base3.dbr .\items\materia\class0026\Enchanter32.dbr /y</v>
      </c>
      <c r="P34" t="str">
        <f t="shared" si="7"/>
        <v>echo relicBitmap,items/craftingparts/components/component_a52_bristlyfur_b.tex, &gt;&gt; .\items\materia\class0026\Enchanter32.dbr</v>
      </c>
      <c r="Q34" t="str">
        <f t="shared" si="7"/>
        <v>echo itemCost,500000, &gt;&gt; .\items\materia\class0026\Enchanter32.dbr</v>
      </c>
      <c r="R34" t="str">
        <f t="shared" si="7"/>
        <v>echo description,dailCompDescEnchanter32, &gt;&gt; .\items\materia\class0026\Enchanter32.dbr</v>
      </c>
      <c r="S34" t="str">
        <f t="shared" si="7"/>
        <v>echo itemText,dailCompTextEnchanter32, &gt;&gt; .\items\materia\class0026\Enchanter32.dbr</v>
      </c>
      <c r="T34" t="str">
        <f t="shared" si="7"/>
        <v>echo augmentSkillLevel1,3, &gt;&gt; .\items\materia\class0026\Enchanter32.dbr</v>
      </c>
      <c r="U34" t="str">
        <f t="shared" si="7"/>
        <v>echo augmentSkillName1,records/skills/enchanter/timeslow.dbr, &gt;&gt; .\items\materia\class0026\Enchanter32.dbr</v>
      </c>
      <c r="V34" s="5" t="s">
        <v>36</v>
      </c>
      <c r="W34" t="str">
        <f t="shared" si="8"/>
        <v>echo lootName32,DAIL/items/materia/class0026/Enchanter32.dbr, &gt;&gt; .\items\loottables\dailoneskill0026.dbr</v>
      </c>
      <c r="X34" t="str">
        <f t="shared" si="8"/>
        <v>echo lootWeight32,1, &gt;&gt; .\items\loottables\dailoneskill0026.dbr</v>
      </c>
      <c r="Y34" s="5" t="s">
        <v>36</v>
      </c>
      <c r="Z34" t="str">
        <f t="shared" si="9"/>
        <v xml:space="preserve"> dailCompDescEnchanter32=^pEnchanter's Gift of DAIL</v>
      </c>
      <c r="AA34" t="str">
        <f t="shared" si="17"/>
        <v>dailCompTextEnchanter32=^oThis feels warm to the touch, almost familiar ^w(This component only fits into the Medal Slot)</v>
      </c>
      <c r="AB34" s="5" t="s">
        <v>36</v>
      </c>
      <c r="AH34">
        <f t="shared" si="19"/>
        <v>29</v>
      </c>
      <c r="AI34">
        <f t="shared" si="13"/>
        <v>23</v>
      </c>
      <c r="AJ34">
        <f t="shared" si="18"/>
        <v>3</v>
      </c>
    </row>
    <row r="35" spans="1:36" x14ac:dyDescent="0.25">
      <c r="A35" s="5" t="s">
        <v>39</v>
      </c>
      <c r="B35" s="5" t="s">
        <v>30</v>
      </c>
      <c r="C35" s="5" t="str">
        <f t="shared" si="0"/>
        <v>description,dailCompDescEnchanter33,</v>
      </c>
      <c r="D35" s="5" t="str">
        <f t="shared" si="2"/>
        <v>itemText,dailCompTextEnchanter33,</v>
      </c>
      <c r="E35" s="5" t="str">
        <f t="shared" si="14"/>
        <v>augmentSkillLevel1,3,</v>
      </c>
      <c r="F35" s="5" t="str">
        <f t="shared" si="15"/>
        <v>augmentSkillName1,records/skills/enchanter/healingsurge.dbr,</v>
      </c>
      <c r="G35" s="7">
        <f t="shared" si="10"/>
        <v>33</v>
      </c>
      <c r="H35" s="8" t="str">
        <f t="shared" si="11"/>
        <v>Enchanter</v>
      </c>
      <c r="I35" s="3" t="s">
        <v>452</v>
      </c>
      <c r="J35" s="8" t="str">
        <f t="shared" si="20"/>
        <v>class0026</v>
      </c>
      <c r="K35" s="8" t="str">
        <f t="shared" si="20"/>
        <v>dailoneskill0026</v>
      </c>
      <c r="L35" s="5" t="str">
        <f t="shared" si="4"/>
        <v>lootName33,DAIL/items/materia/class0026/Enchanter33.dbr,</v>
      </c>
      <c r="M35" s="5" t="str">
        <f t="shared" si="5"/>
        <v>lootWeight33,1,</v>
      </c>
      <c r="N35" t="str">
        <f t="shared" si="6"/>
        <v>3</v>
      </c>
      <c r="O35" t="str">
        <f t="shared" si="16"/>
        <v>copy .\dail_base3.dbr .\items\materia\class0026\Enchanter33.dbr /y</v>
      </c>
      <c r="P35" t="str">
        <f t="shared" si="7"/>
        <v>echo relicBitmap,items/craftingparts/components/component_a52_bristlyfur_b.tex, &gt;&gt; .\items\materia\class0026\Enchanter33.dbr</v>
      </c>
      <c r="Q35" t="str">
        <f t="shared" si="7"/>
        <v>echo itemCost,500000, &gt;&gt; .\items\materia\class0026\Enchanter33.dbr</v>
      </c>
      <c r="R35" t="str">
        <f t="shared" si="7"/>
        <v>echo description,dailCompDescEnchanter33, &gt;&gt; .\items\materia\class0026\Enchanter33.dbr</v>
      </c>
      <c r="S35" t="str">
        <f t="shared" si="7"/>
        <v>echo itemText,dailCompTextEnchanter33, &gt;&gt; .\items\materia\class0026\Enchanter33.dbr</v>
      </c>
      <c r="T35" t="str">
        <f t="shared" si="7"/>
        <v>echo augmentSkillLevel1,3, &gt;&gt; .\items\materia\class0026\Enchanter33.dbr</v>
      </c>
      <c r="U35" t="str">
        <f t="shared" si="7"/>
        <v>echo augmentSkillName1,records/skills/enchanter/healingsurge.dbr, &gt;&gt; .\items\materia\class0026\Enchanter33.dbr</v>
      </c>
      <c r="V35" s="5" t="s">
        <v>36</v>
      </c>
      <c r="W35" t="str">
        <f t="shared" si="8"/>
        <v>echo lootName33,DAIL/items/materia/class0026/Enchanter33.dbr, &gt;&gt; .\items\loottables\dailoneskill0026.dbr</v>
      </c>
      <c r="X35" t="str">
        <f t="shared" si="8"/>
        <v>echo lootWeight33,1, &gt;&gt; .\items\loottables\dailoneskill0026.dbr</v>
      </c>
      <c r="Y35" s="5" t="s">
        <v>36</v>
      </c>
      <c r="Z35" t="str">
        <f t="shared" si="9"/>
        <v xml:space="preserve"> dailCompDescEnchanter33=^pEnchanter's Gift of DAIL</v>
      </c>
      <c r="AA35" t="str">
        <f t="shared" si="17"/>
        <v>dailCompTextEnchanter33=^oThis feels warm to the touch, almost familiar ^w(This component only fits into the Medal Slot)</v>
      </c>
      <c r="AB35" s="5" t="s">
        <v>36</v>
      </c>
      <c r="AH35">
        <f t="shared" si="19"/>
        <v>30</v>
      </c>
      <c r="AI35">
        <f t="shared" si="13"/>
        <v>27</v>
      </c>
      <c r="AJ35">
        <f t="shared" si="18"/>
        <v>3</v>
      </c>
    </row>
    <row r="36" spans="1:36" x14ac:dyDescent="0.25">
      <c r="A36" s="5" t="s">
        <v>39</v>
      </c>
      <c r="B36" s="5" t="s">
        <v>30</v>
      </c>
      <c r="C36" s="5" t="str">
        <f t="shared" si="0"/>
        <v>description,dailCompDescEnchanter34,</v>
      </c>
      <c r="D36" s="5" t="str">
        <f t="shared" si="2"/>
        <v>itemText,dailCompTextEnchanter34,</v>
      </c>
      <c r="E36" s="5" t="str">
        <f t="shared" si="14"/>
        <v>augmentSkillLevel1,3,</v>
      </c>
      <c r="F36" s="5" t="str">
        <f t="shared" si="15"/>
        <v>augmentSkillName1,records/skills/enchanter/healingsurge_mod.dbr,</v>
      </c>
      <c r="G36" s="7">
        <f t="shared" si="10"/>
        <v>34</v>
      </c>
      <c r="H36" s="8" t="str">
        <f t="shared" si="11"/>
        <v>Enchanter</v>
      </c>
      <c r="I36" s="3" t="s">
        <v>453</v>
      </c>
      <c r="J36" s="8" t="str">
        <f t="shared" si="20"/>
        <v>class0026</v>
      </c>
      <c r="K36" s="8" t="str">
        <f t="shared" si="20"/>
        <v>dailoneskill0026</v>
      </c>
      <c r="L36" s="5" t="str">
        <f t="shared" si="4"/>
        <v>lootName34,DAIL/items/materia/class0026/Enchanter34.dbr,</v>
      </c>
      <c r="M36" s="5" t="str">
        <f t="shared" si="5"/>
        <v>lootWeight34,1,</v>
      </c>
      <c r="N36" t="str">
        <f t="shared" si="6"/>
        <v>3</v>
      </c>
      <c r="O36" t="str">
        <f t="shared" si="16"/>
        <v>copy .\dail_base3.dbr .\items\materia\class0026\Enchanter34.dbr /y</v>
      </c>
      <c r="P36" t="str">
        <f t="shared" si="7"/>
        <v>echo relicBitmap,items/craftingparts/components/component_a52_bristlyfur_b.tex, &gt;&gt; .\items\materia\class0026\Enchanter34.dbr</v>
      </c>
      <c r="Q36" t="str">
        <f t="shared" si="7"/>
        <v>echo itemCost,500000, &gt;&gt; .\items\materia\class0026\Enchanter34.dbr</v>
      </c>
      <c r="R36" t="str">
        <f t="shared" si="7"/>
        <v>echo description,dailCompDescEnchanter34, &gt;&gt; .\items\materia\class0026\Enchanter34.dbr</v>
      </c>
      <c r="S36" t="str">
        <f t="shared" si="7"/>
        <v>echo itemText,dailCompTextEnchanter34, &gt;&gt; .\items\materia\class0026\Enchanter34.dbr</v>
      </c>
      <c r="T36" t="str">
        <f t="shared" si="7"/>
        <v>echo augmentSkillLevel1,3, &gt;&gt; .\items\materia\class0026\Enchanter34.dbr</v>
      </c>
      <c r="U36" t="str">
        <f t="shared" si="7"/>
        <v>echo augmentSkillName1,records/skills/enchanter/healingsurge_mod.dbr, &gt;&gt; .\items\materia\class0026\Enchanter34.dbr</v>
      </c>
      <c r="V36" s="5" t="s">
        <v>36</v>
      </c>
      <c r="W36" t="str">
        <f t="shared" si="8"/>
        <v>echo lootName34,DAIL/items/materia/class0026/Enchanter34.dbr, &gt;&gt; .\items\loottables\dailoneskill0026.dbr</v>
      </c>
      <c r="X36" t="str">
        <f t="shared" si="8"/>
        <v>echo lootWeight34,1, &gt;&gt; .\items\loottables\dailoneskill0026.dbr</v>
      </c>
      <c r="Y36" s="5" t="s">
        <v>36</v>
      </c>
      <c r="Z36" t="str">
        <f t="shared" si="9"/>
        <v xml:space="preserve"> dailCompDescEnchanter34=^pEnchanter's Gift of DAIL</v>
      </c>
      <c r="AA36" t="str">
        <f t="shared" si="17"/>
        <v>dailCompTextEnchanter34=^oThis feels warm to the touch, almost familiar ^w(This component only fits into the Medal Slot)</v>
      </c>
      <c r="AB36" s="5" t="s">
        <v>36</v>
      </c>
      <c r="AH36">
        <f t="shared" si="19"/>
        <v>31</v>
      </c>
      <c r="AI36">
        <f t="shared" si="13"/>
        <v>31</v>
      </c>
      <c r="AJ36">
        <f t="shared" si="18"/>
        <v>3</v>
      </c>
    </row>
    <row r="37" spans="1:36" x14ac:dyDescent="0.25">
      <c r="A37" s="5" t="s">
        <v>39</v>
      </c>
      <c r="B37" s="5" t="s">
        <v>30</v>
      </c>
      <c r="C37" s="5" t="str">
        <f t="shared" si="0"/>
        <v>description,dailCompDescEnchanter35,</v>
      </c>
      <c r="D37" s="5" t="str">
        <f t="shared" si="2"/>
        <v>itemText,dailCompTextEnchanter35,</v>
      </c>
      <c r="E37" s="5" t="str">
        <f t="shared" si="14"/>
        <v>augmentSkillLevel1,3,</v>
      </c>
      <c r="F37" s="5" t="str">
        <f t="shared" si="15"/>
        <v>augmentSkillName1,records/skills/enchanter/lifeveil.dbr,</v>
      </c>
      <c r="G37" s="7">
        <f t="shared" si="10"/>
        <v>35</v>
      </c>
      <c r="H37" s="8" t="str">
        <f t="shared" si="11"/>
        <v>Enchanter</v>
      </c>
      <c r="I37" s="3" t="s">
        <v>454</v>
      </c>
      <c r="J37" s="8" t="str">
        <f t="shared" ref="J37:K52" si="21">J36</f>
        <v>class0026</v>
      </c>
      <c r="K37" s="8" t="str">
        <f t="shared" si="21"/>
        <v>dailoneskill0026</v>
      </c>
      <c r="L37" s="5" t="str">
        <f t="shared" si="4"/>
        <v>lootName35,DAIL/items/materia/class0026/Enchanter35.dbr,</v>
      </c>
      <c r="M37" s="5" t="str">
        <f t="shared" si="5"/>
        <v>lootWeight35,1,</v>
      </c>
      <c r="N37" t="str">
        <f t="shared" si="6"/>
        <v>3</v>
      </c>
      <c r="O37" t="str">
        <f t="shared" si="16"/>
        <v>copy .\dail_base3.dbr .\items\materia\class0026\Enchanter35.dbr /y</v>
      </c>
      <c r="P37" t="str">
        <f t="shared" si="7"/>
        <v>echo relicBitmap,items/craftingparts/components/component_a52_bristlyfur_b.tex, &gt;&gt; .\items\materia\class0026\Enchanter35.dbr</v>
      </c>
      <c r="Q37" t="str">
        <f t="shared" si="7"/>
        <v>echo itemCost,500000, &gt;&gt; .\items\materia\class0026\Enchanter35.dbr</v>
      </c>
      <c r="R37" t="str">
        <f t="shared" si="7"/>
        <v>echo description,dailCompDescEnchanter35, &gt;&gt; .\items\materia\class0026\Enchanter35.dbr</v>
      </c>
      <c r="S37" t="str">
        <f t="shared" si="7"/>
        <v>echo itemText,dailCompTextEnchanter35, &gt;&gt; .\items\materia\class0026\Enchanter35.dbr</v>
      </c>
      <c r="T37" t="str">
        <f t="shared" si="7"/>
        <v>echo augmentSkillLevel1,3, &gt;&gt; .\items\materia\class0026\Enchanter35.dbr</v>
      </c>
      <c r="U37" t="str">
        <f t="shared" si="7"/>
        <v>echo augmentSkillName1,records/skills/enchanter/lifeveil.dbr, &gt;&gt; .\items\materia\class0026\Enchanter35.dbr</v>
      </c>
      <c r="V37" s="5" t="s">
        <v>36</v>
      </c>
      <c r="W37" t="str">
        <f t="shared" si="8"/>
        <v>echo lootName35,DAIL/items/materia/class0026/Enchanter35.dbr, &gt;&gt; .\items\loottables\dailoneskill0026.dbr</v>
      </c>
      <c r="X37" t="str">
        <f t="shared" si="8"/>
        <v>echo lootWeight35,1, &gt;&gt; .\items\loottables\dailoneskill0026.dbr</v>
      </c>
      <c r="Y37" s="5" t="s">
        <v>36</v>
      </c>
      <c r="Z37" t="str">
        <f t="shared" si="9"/>
        <v xml:space="preserve"> dailCompDescEnchanter35=^pEnchanter's Gift of DAIL</v>
      </c>
      <c r="AA37" t="str">
        <f t="shared" si="17"/>
        <v>dailCompTextEnchanter35=^oThis feels warm to the touch, almost familiar ^w(This component only fits into the Medal Slot)</v>
      </c>
      <c r="AB37" s="5" t="s">
        <v>36</v>
      </c>
      <c r="AH37">
        <f t="shared" si="19"/>
        <v>32</v>
      </c>
      <c r="AI37">
        <f t="shared" si="13"/>
        <v>23</v>
      </c>
      <c r="AJ37">
        <f t="shared" si="18"/>
        <v>3</v>
      </c>
    </row>
    <row r="38" spans="1:36" x14ac:dyDescent="0.25">
      <c r="A38" s="5" t="s">
        <v>39</v>
      </c>
      <c r="B38" s="5" t="s">
        <v>30</v>
      </c>
      <c r="C38" s="5" t="str">
        <f t="shared" si="0"/>
        <v>description,dailCompDescEnchanter36,</v>
      </c>
      <c r="D38" s="5" t="str">
        <f t="shared" si="2"/>
        <v>itemText,dailCompTextEnchanter36,</v>
      </c>
      <c r="E38" s="5" t="str">
        <f t="shared" si="14"/>
        <v>augmentSkillLevel1,3,</v>
      </c>
      <c r="F38" s="5" t="str">
        <f t="shared" si="15"/>
        <v>augmentSkillName1,records/skills/enchanter/charmofearth.dbr,</v>
      </c>
      <c r="G38" s="7">
        <f t="shared" si="10"/>
        <v>36</v>
      </c>
      <c r="H38" s="8" t="str">
        <f t="shared" si="11"/>
        <v>Enchanter</v>
      </c>
      <c r="I38" s="3" t="s">
        <v>455</v>
      </c>
      <c r="J38" s="8" t="str">
        <f t="shared" si="21"/>
        <v>class0026</v>
      </c>
      <c r="K38" s="8" t="str">
        <f t="shared" si="21"/>
        <v>dailoneskill0026</v>
      </c>
      <c r="L38" s="5" t="str">
        <f t="shared" si="4"/>
        <v>lootName36,DAIL/items/materia/class0026/Enchanter36.dbr,</v>
      </c>
      <c r="M38" s="5" t="str">
        <f t="shared" si="5"/>
        <v>lootWeight36,1,</v>
      </c>
      <c r="N38" t="str">
        <f t="shared" si="6"/>
        <v>3</v>
      </c>
      <c r="O38" t="str">
        <f t="shared" si="16"/>
        <v>copy .\dail_base3.dbr .\items\materia\class0026\Enchanter36.dbr /y</v>
      </c>
      <c r="P38" t="str">
        <f t="shared" si="7"/>
        <v>echo relicBitmap,items/craftingparts/components/component_a52_bristlyfur_b.tex, &gt;&gt; .\items\materia\class0026\Enchanter36.dbr</v>
      </c>
      <c r="Q38" t="str">
        <f t="shared" si="7"/>
        <v>echo itemCost,500000, &gt;&gt; .\items\materia\class0026\Enchanter36.dbr</v>
      </c>
      <c r="R38" t="str">
        <f t="shared" si="7"/>
        <v>echo description,dailCompDescEnchanter36, &gt;&gt; .\items\materia\class0026\Enchanter36.dbr</v>
      </c>
      <c r="S38" t="str">
        <f t="shared" si="7"/>
        <v>echo itemText,dailCompTextEnchanter36, &gt;&gt; .\items\materia\class0026\Enchanter36.dbr</v>
      </c>
      <c r="T38" t="str">
        <f t="shared" si="7"/>
        <v>echo augmentSkillLevel1,3, &gt;&gt; .\items\materia\class0026\Enchanter36.dbr</v>
      </c>
      <c r="U38" t="str">
        <f t="shared" si="7"/>
        <v>echo augmentSkillName1,records/skills/enchanter/charmofearth.dbr, &gt;&gt; .\items\materia\class0026\Enchanter36.dbr</v>
      </c>
      <c r="V38" s="5" t="s">
        <v>36</v>
      </c>
      <c r="W38" t="str">
        <f t="shared" si="8"/>
        <v>echo lootName36,DAIL/items/materia/class0026/Enchanter36.dbr, &gt;&gt; .\items\loottables\dailoneskill0026.dbr</v>
      </c>
      <c r="X38" t="str">
        <f t="shared" si="8"/>
        <v>echo lootWeight36,1, &gt;&gt; .\items\loottables\dailoneskill0026.dbr</v>
      </c>
      <c r="Y38" s="5" t="s">
        <v>36</v>
      </c>
      <c r="Z38" t="str">
        <f t="shared" si="9"/>
        <v xml:space="preserve"> dailCompDescEnchanter36=^pEnchanter's Gift of DAIL</v>
      </c>
      <c r="AA38" t="str">
        <f t="shared" si="17"/>
        <v>dailCompTextEnchanter36=^oThis feels warm to the touch, almost familiar ^w(This component only fits into the Medal Slot)</v>
      </c>
      <c r="AB38" s="5" t="s">
        <v>36</v>
      </c>
      <c r="AH38">
        <f t="shared" si="19"/>
        <v>33</v>
      </c>
      <c r="AI38">
        <f t="shared" ref="AI38:AI69" si="22">LEN(I38)</f>
        <v>27</v>
      </c>
      <c r="AJ38">
        <f t="shared" si="18"/>
        <v>3</v>
      </c>
    </row>
    <row r="39" spans="1:36" x14ac:dyDescent="0.25">
      <c r="A39" s="5" t="s">
        <v>39</v>
      </c>
      <c r="B39" s="5" t="s">
        <v>30</v>
      </c>
      <c r="C39" s="5" t="str">
        <f t="shared" si="0"/>
        <v>description,dailCompDescEnchanter37,</v>
      </c>
      <c r="D39" s="5" t="str">
        <f t="shared" si="2"/>
        <v>itemText,dailCompTextEnchanter37,</v>
      </c>
      <c r="E39" s="5" t="str">
        <f t="shared" si="14"/>
        <v>augmentSkillLevel1,3,</v>
      </c>
      <c r="F39" s="5" t="str">
        <f t="shared" si="15"/>
        <v>augmentSkillName1,records/skills/enchanter/charmofearth_mod.dbr,</v>
      </c>
      <c r="G39" s="7">
        <f t="shared" si="10"/>
        <v>37</v>
      </c>
      <c r="H39" s="8" t="str">
        <f t="shared" si="11"/>
        <v>Enchanter</v>
      </c>
      <c r="I39" s="3" t="s">
        <v>456</v>
      </c>
      <c r="J39" s="8" t="str">
        <f t="shared" si="21"/>
        <v>class0026</v>
      </c>
      <c r="K39" s="8" t="str">
        <f t="shared" si="21"/>
        <v>dailoneskill0026</v>
      </c>
      <c r="L39" s="5" t="str">
        <f t="shared" si="4"/>
        <v>lootName37,DAIL/items/materia/class0026/Enchanter37.dbr,</v>
      </c>
      <c r="M39" s="5" t="str">
        <f t="shared" si="5"/>
        <v>lootWeight37,1,</v>
      </c>
      <c r="N39" t="str">
        <f t="shared" si="6"/>
        <v>3</v>
      </c>
      <c r="O39" t="str">
        <f t="shared" si="16"/>
        <v>copy .\dail_base3.dbr .\items\materia\class0026\Enchanter37.dbr /y</v>
      </c>
      <c r="P39" t="str">
        <f t="shared" si="7"/>
        <v>echo relicBitmap,items/craftingparts/components/component_a52_bristlyfur_b.tex, &gt;&gt; .\items\materia\class0026\Enchanter37.dbr</v>
      </c>
      <c r="Q39" t="str">
        <f t="shared" si="7"/>
        <v>echo itemCost,500000, &gt;&gt; .\items\materia\class0026\Enchanter37.dbr</v>
      </c>
      <c r="R39" t="str">
        <f t="shared" si="7"/>
        <v>echo description,dailCompDescEnchanter37, &gt;&gt; .\items\materia\class0026\Enchanter37.dbr</v>
      </c>
      <c r="S39" t="str">
        <f t="shared" si="7"/>
        <v>echo itemText,dailCompTextEnchanter37, &gt;&gt; .\items\materia\class0026\Enchanter37.dbr</v>
      </c>
      <c r="T39" t="str">
        <f t="shared" si="7"/>
        <v>echo augmentSkillLevel1,3, &gt;&gt; .\items\materia\class0026\Enchanter37.dbr</v>
      </c>
      <c r="U39" t="str">
        <f t="shared" si="7"/>
        <v>echo augmentSkillName1,records/skills/enchanter/charmofearth_mod.dbr, &gt;&gt; .\items\materia\class0026\Enchanter37.dbr</v>
      </c>
      <c r="V39" s="5" t="s">
        <v>36</v>
      </c>
      <c r="W39" t="str">
        <f t="shared" si="8"/>
        <v>echo lootName37,DAIL/items/materia/class0026/Enchanter37.dbr, &gt;&gt; .\items\loottables\dailoneskill0026.dbr</v>
      </c>
      <c r="X39" t="str">
        <f t="shared" si="8"/>
        <v>echo lootWeight37,1, &gt;&gt; .\items\loottables\dailoneskill0026.dbr</v>
      </c>
      <c r="Y39" s="5" t="s">
        <v>36</v>
      </c>
      <c r="Z39" t="str">
        <f t="shared" si="9"/>
        <v xml:space="preserve"> dailCompDescEnchanter37=^pEnchanter's Gift of DAIL</v>
      </c>
      <c r="AA39" t="str">
        <f t="shared" si="17"/>
        <v>dailCompTextEnchanter37=^oThis feels warm to the touch, almost familiar ^w(This component only fits into the Medal Slot)</v>
      </c>
      <c r="AB39" s="5" t="s">
        <v>36</v>
      </c>
      <c r="AH39">
        <f t="shared" si="19"/>
        <v>34</v>
      </c>
      <c r="AI39">
        <f t="shared" si="22"/>
        <v>31</v>
      </c>
      <c r="AJ39">
        <f t="shared" si="18"/>
        <v>3</v>
      </c>
    </row>
    <row r="40" spans="1:36" x14ac:dyDescent="0.25">
      <c r="A40" s="5" t="s">
        <v>39</v>
      </c>
      <c r="B40" s="5" t="s">
        <v>30</v>
      </c>
      <c r="C40" s="5" t="str">
        <f t="shared" si="0"/>
        <v>description,dailCompDescEnchanter38,</v>
      </c>
      <c r="D40" s="5" t="str">
        <f t="shared" si="2"/>
        <v>itemText,dailCompTextEnchanter38,</v>
      </c>
      <c r="E40" s="5" t="str">
        <f t="shared" si="14"/>
        <v>augmentSkillLevel1,3,</v>
      </c>
      <c r="F40" s="5" t="str">
        <f t="shared" si="15"/>
        <v>augmentSkillName1,records/skills/enchanter/entropicbeam.dbr,</v>
      </c>
      <c r="G40" s="7">
        <f t="shared" si="10"/>
        <v>38</v>
      </c>
      <c r="H40" s="8" t="str">
        <f t="shared" si="11"/>
        <v>Enchanter</v>
      </c>
      <c r="I40" s="3" t="s">
        <v>457</v>
      </c>
      <c r="J40" s="8" t="str">
        <f t="shared" si="21"/>
        <v>class0026</v>
      </c>
      <c r="K40" s="8" t="str">
        <f t="shared" si="21"/>
        <v>dailoneskill0026</v>
      </c>
      <c r="L40" s="5" t="str">
        <f t="shared" si="4"/>
        <v>lootName38,DAIL/items/materia/class0026/Enchanter38.dbr,</v>
      </c>
      <c r="M40" s="5" t="str">
        <f t="shared" si="5"/>
        <v>lootWeight38,1,</v>
      </c>
      <c r="N40" t="str">
        <f t="shared" si="6"/>
        <v>3</v>
      </c>
      <c r="O40" t="str">
        <f t="shared" si="16"/>
        <v>copy .\dail_base3.dbr .\items\materia\class0026\Enchanter38.dbr /y</v>
      </c>
      <c r="P40" t="str">
        <f t="shared" si="7"/>
        <v>echo relicBitmap,items/craftingparts/components/component_a52_bristlyfur_b.tex, &gt;&gt; .\items\materia\class0026\Enchanter38.dbr</v>
      </c>
      <c r="Q40" t="str">
        <f t="shared" si="7"/>
        <v>echo itemCost,500000, &gt;&gt; .\items\materia\class0026\Enchanter38.dbr</v>
      </c>
      <c r="R40" t="str">
        <f t="shared" si="7"/>
        <v>echo description,dailCompDescEnchanter38, &gt;&gt; .\items\materia\class0026\Enchanter38.dbr</v>
      </c>
      <c r="S40" t="str">
        <f t="shared" si="7"/>
        <v>echo itemText,dailCompTextEnchanter38, &gt;&gt; .\items\materia\class0026\Enchanter38.dbr</v>
      </c>
      <c r="T40" t="str">
        <f t="shared" si="7"/>
        <v>echo augmentSkillLevel1,3, &gt;&gt; .\items\materia\class0026\Enchanter38.dbr</v>
      </c>
      <c r="U40" t="str">
        <f t="shared" si="7"/>
        <v>echo augmentSkillName1,records/skills/enchanter/entropicbeam.dbr, &gt;&gt; .\items\materia\class0026\Enchanter38.dbr</v>
      </c>
      <c r="V40" s="5" t="s">
        <v>36</v>
      </c>
      <c r="W40" t="str">
        <f t="shared" si="8"/>
        <v>echo lootName38,DAIL/items/materia/class0026/Enchanter38.dbr, &gt;&gt; .\items\loottables\dailoneskill0026.dbr</v>
      </c>
      <c r="X40" t="str">
        <f t="shared" si="8"/>
        <v>echo lootWeight38,1, &gt;&gt; .\items\loottables\dailoneskill0026.dbr</v>
      </c>
      <c r="Y40" s="5" t="s">
        <v>36</v>
      </c>
      <c r="Z40" t="str">
        <f t="shared" si="9"/>
        <v xml:space="preserve"> dailCompDescEnchanter38=^pEnchanter's Gift of DAIL</v>
      </c>
      <c r="AA40" t="str">
        <f t="shared" si="17"/>
        <v>dailCompTextEnchanter38=^oThis feels warm to the touch, almost familiar ^w(This component only fits into the Medal Slot)</v>
      </c>
      <c r="AB40" s="5" t="s">
        <v>36</v>
      </c>
      <c r="AH40">
        <f t="shared" si="19"/>
        <v>35</v>
      </c>
      <c r="AI40">
        <f t="shared" si="22"/>
        <v>27</v>
      </c>
      <c r="AJ40">
        <f t="shared" si="18"/>
        <v>3</v>
      </c>
    </row>
    <row r="41" spans="1:36" x14ac:dyDescent="0.25">
      <c r="A41" s="5" t="s">
        <v>39</v>
      </c>
      <c r="B41" s="5" t="s">
        <v>30</v>
      </c>
      <c r="C41" s="5" t="str">
        <f t="shared" si="0"/>
        <v>description,dailCompDescEnchanter39,</v>
      </c>
      <c r="D41" s="5" t="str">
        <f t="shared" si="2"/>
        <v>itemText,dailCompTextEnchanter39,</v>
      </c>
      <c r="E41" s="5" t="str">
        <f t="shared" si="14"/>
        <v>augmentSkillLevel1,3,</v>
      </c>
      <c r="F41" s="5" t="str">
        <f t="shared" si="15"/>
        <v>augmentSkillName1,records/skills/enchanter/entropicbeam_mod.dbr,</v>
      </c>
      <c r="G41" s="7">
        <f t="shared" si="10"/>
        <v>39</v>
      </c>
      <c r="H41" s="8" t="str">
        <f t="shared" si="11"/>
        <v>Enchanter</v>
      </c>
      <c r="I41" s="3" t="s">
        <v>458</v>
      </c>
      <c r="J41" s="8" t="str">
        <f t="shared" si="21"/>
        <v>class0026</v>
      </c>
      <c r="K41" s="8" t="str">
        <f t="shared" si="21"/>
        <v>dailoneskill0026</v>
      </c>
      <c r="L41" s="5" t="str">
        <f t="shared" si="4"/>
        <v>lootName39,DAIL/items/materia/class0026/Enchanter39.dbr,</v>
      </c>
      <c r="M41" s="5" t="str">
        <f t="shared" si="5"/>
        <v>lootWeight39,1,</v>
      </c>
      <c r="N41" t="str">
        <f t="shared" si="6"/>
        <v>3</v>
      </c>
      <c r="O41" t="str">
        <f t="shared" si="16"/>
        <v>copy .\dail_base3.dbr .\items\materia\class0026\Enchanter39.dbr /y</v>
      </c>
      <c r="P41" t="str">
        <f t="shared" si="7"/>
        <v>echo relicBitmap,items/craftingparts/components/component_a52_bristlyfur_b.tex, &gt;&gt; .\items\materia\class0026\Enchanter39.dbr</v>
      </c>
      <c r="Q41" t="str">
        <f t="shared" si="7"/>
        <v>echo itemCost,500000, &gt;&gt; .\items\materia\class0026\Enchanter39.dbr</v>
      </c>
      <c r="R41" t="str">
        <f t="shared" si="7"/>
        <v>echo description,dailCompDescEnchanter39, &gt;&gt; .\items\materia\class0026\Enchanter39.dbr</v>
      </c>
      <c r="S41" t="str">
        <f t="shared" si="7"/>
        <v>echo itemText,dailCompTextEnchanter39, &gt;&gt; .\items\materia\class0026\Enchanter39.dbr</v>
      </c>
      <c r="T41" t="str">
        <f t="shared" si="7"/>
        <v>echo augmentSkillLevel1,3, &gt;&gt; .\items\materia\class0026\Enchanter39.dbr</v>
      </c>
      <c r="U41" t="str">
        <f t="shared" si="7"/>
        <v>echo augmentSkillName1,records/skills/enchanter/entropicbeam_mod.dbr, &gt;&gt; .\items\materia\class0026\Enchanter39.dbr</v>
      </c>
      <c r="V41" s="5" t="s">
        <v>36</v>
      </c>
      <c r="W41" t="str">
        <f t="shared" si="8"/>
        <v>echo lootName39,DAIL/items/materia/class0026/Enchanter39.dbr, &gt;&gt; .\items\loottables\dailoneskill0026.dbr</v>
      </c>
      <c r="X41" t="str">
        <f t="shared" si="8"/>
        <v>echo lootWeight39,1, &gt;&gt; .\items\loottables\dailoneskill0026.dbr</v>
      </c>
      <c r="Y41" s="5" t="s">
        <v>36</v>
      </c>
      <c r="Z41" t="str">
        <f t="shared" si="9"/>
        <v xml:space="preserve"> dailCompDescEnchanter39=^pEnchanter's Gift of DAIL</v>
      </c>
      <c r="AA41" t="str">
        <f t="shared" si="17"/>
        <v>dailCompTextEnchanter39=^oThis feels warm to the touch, almost familiar ^w(This component only fits into the Medal Slot)</v>
      </c>
      <c r="AB41" s="5" t="s">
        <v>36</v>
      </c>
      <c r="AH41">
        <f t="shared" si="19"/>
        <v>36</v>
      </c>
      <c r="AI41">
        <f t="shared" si="22"/>
        <v>31</v>
      </c>
      <c r="AJ41">
        <f t="shared" si="18"/>
        <v>3</v>
      </c>
    </row>
    <row r="42" spans="1:36" x14ac:dyDescent="0.25">
      <c r="A42" s="5" t="s">
        <v>39</v>
      </c>
      <c r="B42" s="5" t="s">
        <v>30</v>
      </c>
      <c r="C42" s="5" t="str">
        <f t="shared" si="0"/>
        <v>description,dailCompDescEnchanter40,</v>
      </c>
      <c r="D42" s="5" t="str">
        <f t="shared" si="2"/>
        <v>itemText,dailCompTextEnchanter40,</v>
      </c>
      <c r="E42" s="5" t="str">
        <f t="shared" si="14"/>
        <v>augmentSkillLevel1,3,</v>
      </c>
      <c r="F42" s="5" t="str">
        <f t="shared" si="15"/>
        <v>augmentSkillName1,records/skills/enchanter/beaconsummon.dbr,</v>
      </c>
      <c r="G42" s="7">
        <f t="shared" si="10"/>
        <v>40</v>
      </c>
      <c r="H42" s="8" t="str">
        <f t="shared" si="11"/>
        <v>Enchanter</v>
      </c>
      <c r="I42" s="3" t="s">
        <v>459</v>
      </c>
      <c r="J42" s="8" t="str">
        <f t="shared" si="21"/>
        <v>class0026</v>
      </c>
      <c r="K42" s="8" t="str">
        <f t="shared" si="21"/>
        <v>dailoneskill0026</v>
      </c>
      <c r="L42" s="5" t="str">
        <f t="shared" si="4"/>
        <v>lootName40,DAIL/items/materia/class0026/Enchanter40.dbr,</v>
      </c>
      <c r="M42" s="5" t="str">
        <f t="shared" si="5"/>
        <v>lootWeight40,1,</v>
      </c>
      <c r="N42" t="str">
        <f t="shared" si="6"/>
        <v>3</v>
      </c>
      <c r="O42" t="str">
        <f t="shared" si="16"/>
        <v>copy .\dail_base3.dbr .\items\materia\class0026\Enchanter40.dbr /y</v>
      </c>
      <c r="P42" t="str">
        <f t="shared" si="7"/>
        <v>echo relicBitmap,items/craftingparts/components/component_a52_bristlyfur_b.tex, &gt;&gt; .\items\materia\class0026\Enchanter40.dbr</v>
      </c>
      <c r="Q42" t="str">
        <f t="shared" si="7"/>
        <v>echo itemCost,500000, &gt;&gt; .\items\materia\class0026\Enchanter40.dbr</v>
      </c>
      <c r="R42" t="str">
        <f t="shared" si="7"/>
        <v>echo description,dailCompDescEnchanter40, &gt;&gt; .\items\materia\class0026\Enchanter40.dbr</v>
      </c>
      <c r="S42" t="str">
        <f t="shared" si="7"/>
        <v>echo itemText,dailCompTextEnchanter40, &gt;&gt; .\items\materia\class0026\Enchanter40.dbr</v>
      </c>
      <c r="T42" t="str">
        <f t="shared" si="7"/>
        <v>echo augmentSkillLevel1,3, &gt;&gt; .\items\materia\class0026\Enchanter40.dbr</v>
      </c>
      <c r="U42" t="str">
        <f t="shared" si="7"/>
        <v>echo augmentSkillName1,records/skills/enchanter/beaconsummon.dbr, &gt;&gt; .\items\materia\class0026\Enchanter40.dbr</v>
      </c>
      <c r="V42" s="5" t="s">
        <v>36</v>
      </c>
      <c r="W42" t="str">
        <f t="shared" si="8"/>
        <v>echo lootName40,DAIL/items/materia/class0026/Enchanter40.dbr, &gt;&gt; .\items\loottables\dailoneskill0026.dbr</v>
      </c>
      <c r="X42" t="str">
        <f t="shared" si="8"/>
        <v>echo lootWeight40,1, &gt;&gt; .\items\loottables\dailoneskill0026.dbr</v>
      </c>
      <c r="Y42" s="5" t="s">
        <v>36</v>
      </c>
      <c r="Z42" t="str">
        <f t="shared" si="9"/>
        <v xml:space="preserve"> dailCompDescEnchanter40=^pEnchanter's Gift of DAIL</v>
      </c>
      <c r="AA42" t="str">
        <f t="shared" si="17"/>
        <v>dailCompTextEnchanter40=^oThis feels warm to the touch, almost familiar ^w(This component only fits into the Medal Slot)</v>
      </c>
      <c r="AB42" s="5" t="s">
        <v>36</v>
      </c>
      <c r="AH42">
        <f t="shared" si="19"/>
        <v>37</v>
      </c>
      <c r="AI42">
        <f t="shared" si="22"/>
        <v>27</v>
      </c>
      <c r="AJ42">
        <f t="shared" si="18"/>
        <v>3</v>
      </c>
    </row>
    <row r="43" spans="1:36" x14ac:dyDescent="0.25">
      <c r="A43" s="5" t="s">
        <v>39</v>
      </c>
      <c r="B43" s="5" t="s">
        <v>30</v>
      </c>
      <c r="C43" s="5" t="str">
        <f t="shared" si="0"/>
        <v>description,dailCompDescEnchanter41,</v>
      </c>
      <c r="D43" s="5" t="str">
        <f t="shared" si="2"/>
        <v>itemText,dailCompTextEnchanter41,</v>
      </c>
      <c r="E43" s="5" t="str">
        <f t="shared" si="14"/>
        <v>augmentSkillLevel1,3,</v>
      </c>
      <c r="F43" s="5" t="str">
        <f t="shared" si="15"/>
        <v>augmentSkillName1,records/skills/enchanter/naturalresilience.dbr,</v>
      </c>
      <c r="G43" s="7">
        <f t="shared" si="10"/>
        <v>41</v>
      </c>
      <c r="H43" s="8" t="str">
        <f t="shared" si="11"/>
        <v>Enchanter</v>
      </c>
      <c r="I43" s="3" t="s">
        <v>460</v>
      </c>
      <c r="J43" s="8" t="str">
        <f t="shared" si="21"/>
        <v>class0026</v>
      </c>
      <c r="K43" s="8" t="str">
        <f t="shared" si="21"/>
        <v>dailoneskill0026</v>
      </c>
      <c r="L43" s="5" t="str">
        <f t="shared" si="4"/>
        <v>lootName41,DAIL/items/materia/class0026/Enchanter41.dbr,</v>
      </c>
      <c r="M43" s="5" t="str">
        <f t="shared" si="5"/>
        <v>lootWeight41,1,</v>
      </c>
      <c r="N43" t="str">
        <f t="shared" si="6"/>
        <v>3</v>
      </c>
      <c r="O43" t="str">
        <f t="shared" si="16"/>
        <v>copy .\dail_base3.dbr .\items\materia\class0026\Enchanter41.dbr /y</v>
      </c>
      <c r="P43" t="str">
        <f t="shared" si="7"/>
        <v>echo relicBitmap,items/craftingparts/components/component_a52_bristlyfur_b.tex, &gt;&gt; .\items\materia\class0026\Enchanter41.dbr</v>
      </c>
      <c r="Q43" t="str">
        <f t="shared" si="7"/>
        <v>echo itemCost,500000, &gt;&gt; .\items\materia\class0026\Enchanter41.dbr</v>
      </c>
      <c r="R43" t="str">
        <f t="shared" si="7"/>
        <v>echo description,dailCompDescEnchanter41, &gt;&gt; .\items\materia\class0026\Enchanter41.dbr</v>
      </c>
      <c r="S43" t="str">
        <f t="shared" si="7"/>
        <v>echo itemText,dailCompTextEnchanter41, &gt;&gt; .\items\materia\class0026\Enchanter41.dbr</v>
      </c>
      <c r="T43" t="str">
        <f t="shared" si="7"/>
        <v>echo augmentSkillLevel1,3, &gt;&gt; .\items\materia\class0026\Enchanter41.dbr</v>
      </c>
      <c r="U43" t="str">
        <f t="shared" si="7"/>
        <v>echo augmentSkillName1,records/skills/enchanter/naturalresilience.dbr, &gt;&gt; .\items\materia\class0026\Enchanter41.dbr</v>
      </c>
      <c r="V43" s="5" t="s">
        <v>36</v>
      </c>
      <c r="W43" t="str">
        <f t="shared" si="8"/>
        <v>echo lootName41,DAIL/items/materia/class0026/Enchanter41.dbr, &gt;&gt; .\items\loottables\dailoneskill0026.dbr</v>
      </c>
      <c r="X43" t="str">
        <f t="shared" si="8"/>
        <v>echo lootWeight41,1, &gt;&gt; .\items\loottables\dailoneskill0026.dbr</v>
      </c>
      <c r="Y43" s="5" t="s">
        <v>36</v>
      </c>
      <c r="Z43" t="str">
        <f t="shared" si="9"/>
        <v xml:space="preserve"> dailCompDescEnchanter41=^pEnchanter's Gift of DAIL</v>
      </c>
      <c r="AA43" t="str">
        <f t="shared" si="17"/>
        <v>dailCompTextEnchanter41=^oThis feels warm to the touch, almost familiar ^w(This component only fits into the Medal Slot)</v>
      </c>
      <c r="AB43" s="5" t="s">
        <v>36</v>
      </c>
      <c r="AH43">
        <f t="shared" si="19"/>
        <v>38</v>
      </c>
      <c r="AI43">
        <f t="shared" si="22"/>
        <v>32</v>
      </c>
      <c r="AJ43">
        <f t="shared" si="18"/>
        <v>3</v>
      </c>
    </row>
    <row r="44" spans="1:36" x14ac:dyDescent="0.25">
      <c r="A44" s="5" t="s">
        <v>39</v>
      </c>
      <c r="B44" s="5" t="s">
        <v>30</v>
      </c>
      <c r="C44" s="5" t="str">
        <f t="shared" si="0"/>
        <v>description,dailCompDescEnchanter42,</v>
      </c>
      <c r="D44" s="5" t="str">
        <f t="shared" si="2"/>
        <v>itemText,dailCompTextEnchanter42,</v>
      </c>
      <c r="E44" s="5" t="str">
        <f t="shared" si="14"/>
        <v>augmentSkillLevel1,3,</v>
      </c>
      <c r="F44" s="5" t="str">
        <f t="shared" si="15"/>
        <v>augmentSkillName1,records/skills/enchanter/concentration.dbr,</v>
      </c>
      <c r="G44" s="7">
        <f t="shared" si="10"/>
        <v>42</v>
      </c>
      <c r="H44" s="8" t="str">
        <f t="shared" si="11"/>
        <v>Enchanter</v>
      </c>
      <c r="I44" s="3" t="s">
        <v>461</v>
      </c>
      <c r="J44" s="8" t="str">
        <f t="shared" si="21"/>
        <v>class0026</v>
      </c>
      <c r="K44" s="8" t="str">
        <f t="shared" si="21"/>
        <v>dailoneskill0026</v>
      </c>
      <c r="L44" s="5" t="str">
        <f t="shared" si="4"/>
        <v>lootName42,DAIL/items/materia/class0026/Enchanter42.dbr,</v>
      </c>
      <c r="M44" s="5" t="str">
        <f t="shared" si="5"/>
        <v>lootWeight42,1,</v>
      </c>
      <c r="N44" t="str">
        <f t="shared" si="6"/>
        <v>3</v>
      </c>
      <c r="O44" t="str">
        <f t="shared" si="16"/>
        <v>copy .\dail_base3.dbr .\items\materia\class0026\Enchanter42.dbr /y</v>
      </c>
      <c r="P44" t="str">
        <f t="shared" si="7"/>
        <v>echo relicBitmap,items/craftingparts/components/component_a52_bristlyfur_b.tex, &gt;&gt; .\items\materia\class0026\Enchanter42.dbr</v>
      </c>
      <c r="Q44" t="str">
        <f t="shared" si="7"/>
        <v>echo itemCost,500000, &gt;&gt; .\items\materia\class0026\Enchanter42.dbr</v>
      </c>
      <c r="R44" t="str">
        <f t="shared" si="7"/>
        <v>echo description,dailCompDescEnchanter42, &gt;&gt; .\items\materia\class0026\Enchanter42.dbr</v>
      </c>
      <c r="S44" t="str">
        <f t="shared" si="7"/>
        <v>echo itemText,dailCompTextEnchanter42, &gt;&gt; .\items\materia\class0026\Enchanter42.dbr</v>
      </c>
      <c r="T44" t="str">
        <f t="shared" si="7"/>
        <v>echo augmentSkillLevel1,3, &gt;&gt; .\items\materia\class0026\Enchanter42.dbr</v>
      </c>
      <c r="U44" t="str">
        <f t="shared" si="7"/>
        <v>echo augmentSkillName1,records/skills/enchanter/concentration.dbr, &gt;&gt; .\items\materia\class0026\Enchanter42.dbr</v>
      </c>
      <c r="V44" s="5" t="s">
        <v>36</v>
      </c>
      <c r="W44" t="str">
        <f t="shared" si="8"/>
        <v>echo lootName42,DAIL/items/materia/class0026/Enchanter42.dbr, &gt;&gt; .\items\loottables\dailoneskill0026.dbr</v>
      </c>
      <c r="X44" t="str">
        <f t="shared" si="8"/>
        <v>echo lootWeight42,1, &gt;&gt; .\items\loottables\dailoneskill0026.dbr</v>
      </c>
      <c r="Y44" s="5" t="s">
        <v>36</v>
      </c>
      <c r="Z44" t="str">
        <f t="shared" si="9"/>
        <v xml:space="preserve"> dailCompDescEnchanter42=^pEnchanter's Gift of DAIL</v>
      </c>
      <c r="AA44" t="str">
        <f t="shared" si="17"/>
        <v>dailCompTextEnchanter42=^oThis feels warm to the touch, almost familiar ^w(This component only fits into the Medal Slot)</v>
      </c>
      <c r="AB44" s="5" t="s">
        <v>36</v>
      </c>
      <c r="AH44">
        <f t="shared" si="19"/>
        <v>39</v>
      </c>
      <c r="AI44">
        <f t="shared" si="22"/>
        <v>28</v>
      </c>
      <c r="AJ44">
        <f t="shared" si="18"/>
        <v>3</v>
      </c>
    </row>
    <row r="45" spans="1:36" x14ac:dyDescent="0.25">
      <c r="A45" s="5" t="s">
        <v>39</v>
      </c>
      <c r="B45" s="5" t="s">
        <v>30</v>
      </c>
      <c r="C45" s="5" t="str">
        <f t="shared" si="0"/>
        <v>description,dailCompDescEnchanter43,</v>
      </c>
      <c r="D45" s="5" t="str">
        <f t="shared" si="2"/>
        <v>itemText,dailCompTextEnchanter43,</v>
      </c>
      <c r="E45" s="5" t="str">
        <f t="shared" si="14"/>
        <v>augmentSkillLevel1,3,</v>
      </c>
      <c r="F45" s="5" t="str">
        <f t="shared" si="15"/>
        <v>augmentSkillName1,records/skills/enchanter/charmofwind.dbr,</v>
      </c>
      <c r="G45" s="7">
        <f t="shared" si="10"/>
        <v>43</v>
      </c>
      <c r="H45" s="8" t="str">
        <f t="shared" si="11"/>
        <v>Enchanter</v>
      </c>
      <c r="I45" s="3" t="s">
        <v>462</v>
      </c>
      <c r="J45" s="8" t="str">
        <f t="shared" si="21"/>
        <v>class0026</v>
      </c>
      <c r="K45" s="8" t="str">
        <f t="shared" si="21"/>
        <v>dailoneskill0026</v>
      </c>
      <c r="L45" s="5" t="str">
        <f t="shared" si="4"/>
        <v>lootName43,DAIL/items/materia/class0026/Enchanter43.dbr,</v>
      </c>
      <c r="M45" s="5" t="str">
        <f t="shared" si="5"/>
        <v>lootWeight43,1,</v>
      </c>
      <c r="N45" t="str">
        <f t="shared" si="6"/>
        <v>3</v>
      </c>
      <c r="O45" t="str">
        <f t="shared" si="16"/>
        <v>copy .\dail_base3.dbr .\items\materia\class0026\Enchanter43.dbr /y</v>
      </c>
      <c r="P45" t="str">
        <f t="shared" si="7"/>
        <v>echo relicBitmap,items/craftingparts/components/component_a52_bristlyfur_b.tex, &gt;&gt; .\items\materia\class0026\Enchanter43.dbr</v>
      </c>
      <c r="Q45" t="str">
        <f t="shared" si="7"/>
        <v>echo itemCost,500000, &gt;&gt; .\items\materia\class0026\Enchanter43.dbr</v>
      </c>
      <c r="R45" t="str">
        <f t="shared" si="7"/>
        <v>echo description,dailCompDescEnchanter43, &gt;&gt; .\items\materia\class0026\Enchanter43.dbr</v>
      </c>
      <c r="S45" t="str">
        <f t="shared" si="7"/>
        <v>echo itemText,dailCompTextEnchanter43, &gt;&gt; .\items\materia\class0026\Enchanter43.dbr</v>
      </c>
      <c r="T45" t="str">
        <f t="shared" si="7"/>
        <v>echo augmentSkillLevel1,3, &gt;&gt; .\items\materia\class0026\Enchanter43.dbr</v>
      </c>
      <c r="U45" t="str">
        <f t="shared" si="7"/>
        <v>echo augmentSkillName1,records/skills/enchanter/charmofwind.dbr, &gt;&gt; .\items\materia\class0026\Enchanter43.dbr</v>
      </c>
      <c r="V45" s="5" t="s">
        <v>36</v>
      </c>
      <c r="W45" t="str">
        <f t="shared" si="8"/>
        <v>echo lootName43,DAIL/items/materia/class0026/Enchanter43.dbr, &gt;&gt; .\items\loottables\dailoneskill0026.dbr</v>
      </c>
      <c r="X45" t="str">
        <f t="shared" si="8"/>
        <v>echo lootWeight43,1, &gt;&gt; .\items\loottables\dailoneskill0026.dbr</v>
      </c>
      <c r="Y45" s="5" t="s">
        <v>36</v>
      </c>
      <c r="Z45" t="str">
        <f t="shared" si="9"/>
        <v xml:space="preserve"> dailCompDescEnchanter43=^pEnchanter's Gift of DAIL</v>
      </c>
      <c r="AA45" t="str">
        <f t="shared" si="17"/>
        <v>dailCompTextEnchanter43=^oThis feels warm to the touch, almost familiar ^w(This component only fits into the Medal Slot)</v>
      </c>
      <c r="AB45" s="5" t="s">
        <v>36</v>
      </c>
      <c r="AH45">
        <f t="shared" si="19"/>
        <v>40</v>
      </c>
      <c r="AI45">
        <f t="shared" si="22"/>
        <v>26</v>
      </c>
      <c r="AJ45">
        <f t="shared" si="18"/>
        <v>3</v>
      </c>
    </row>
    <row r="46" spans="1:36" x14ac:dyDescent="0.25">
      <c r="A46" s="5" t="s">
        <v>39</v>
      </c>
      <c r="B46" s="5" t="s">
        <v>30</v>
      </c>
      <c r="C46" s="5" t="str">
        <f t="shared" si="0"/>
        <v>description,dailCompDescEnchanter44,</v>
      </c>
      <c r="D46" s="5" t="str">
        <f t="shared" si="2"/>
        <v>itemText,dailCompTextEnchanter44,</v>
      </c>
      <c r="E46" s="5" t="str">
        <f t="shared" si="14"/>
        <v>augmentSkillLevel1,3,</v>
      </c>
      <c r="F46" s="5" t="str">
        <f t="shared" si="15"/>
        <v>augmentSkillName1,records/skills/enchanter/charmofwind_mod.dbr,</v>
      </c>
      <c r="G46" s="7">
        <f t="shared" si="10"/>
        <v>44</v>
      </c>
      <c r="H46" s="8" t="str">
        <f t="shared" si="11"/>
        <v>Enchanter</v>
      </c>
      <c r="I46" s="3" t="s">
        <v>463</v>
      </c>
      <c r="J46" s="8" t="str">
        <f t="shared" si="21"/>
        <v>class0026</v>
      </c>
      <c r="K46" s="8" t="str">
        <f t="shared" si="21"/>
        <v>dailoneskill0026</v>
      </c>
      <c r="L46" s="5" t="str">
        <f t="shared" si="4"/>
        <v>lootName44,DAIL/items/materia/class0026/Enchanter44.dbr,</v>
      </c>
      <c r="M46" s="5" t="str">
        <f t="shared" si="5"/>
        <v>lootWeight44,1,</v>
      </c>
      <c r="N46" t="str">
        <f t="shared" si="6"/>
        <v>3</v>
      </c>
      <c r="O46" t="str">
        <f t="shared" si="16"/>
        <v>copy .\dail_base3.dbr .\items\materia\class0026\Enchanter44.dbr /y</v>
      </c>
      <c r="P46" t="str">
        <f t="shared" si="7"/>
        <v>echo relicBitmap,items/craftingparts/components/component_a52_bristlyfur_b.tex, &gt;&gt; .\items\materia\class0026\Enchanter44.dbr</v>
      </c>
      <c r="Q46" t="str">
        <f t="shared" si="7"/>
        <v>echo itemCost,500000, &gt;&gt; .\items\materia\class0026\Enchanter44.dbr</v>
      </c>
      <c r="R46" t="str">
        <f t="shared" si="7"/>
        <v>echo description,dailCompDescEnchanter44, &gt;&gt; .\items\materia\class0026\Enchanter44.dbr</v>
      </c>
      <c r="S46" t="str">
        <f t="shared" si="7"/>
        <v>echo itemText,dailCompTextEnchanter44, &gt;&gt; .\items\materia\class0026\Enchanter44.dbr</v>
      </c>
      <c r="T46" t="str">
        <f t="shared" si="7"/>
        <v>echo augmentSkillLevel1,3, &gt;&gt; .\items\materia\class0026\Enchanter44.dbr</v>
      </c>
      <c r="U46" t="str">
        <f t="shared" si="7"/>
        <v>echo augmentSkillName1,records/skills/enchanter/charmofwind_mod.dbr, &gt;&gt; .\items\materia\class0026\Enchanter44.dbr</v>
      </c>
      <c r="V46" s="5" t="s">
        <v>36</v>
      </c>
      <c r="W46" t="str">
        <f t="shared" si="8"/>
        <v>echo lootName44,DAIL/items/materia/class0026/Enchanter44.dbr, &gt;&gt; .\items\loottables\dailoneskill0026.dbr</v>
      </c>
      <c r="X46" t="str">
        <f t="shared" si="8"/>
        <v>echo lootWeight44,1, &gt;&gt; .\items\loottables\dailoneskill0026.dbr</v>
      </c>
      <c r="Y46" s="5" t="s">
        <v>36</v>
      </c>
      <c r="Z46" t="str">
        <f t="shared" si="9"/>
        <v xml:space="preserve"> dailCompDescEnchanter44=^pEnchanter's Gift of DAIL</v>
      </c>
      <c r="AA46" t="str">
        <f t="shared" si="17"/>
        <v>dailCompTextEnchanter44=^oThis feels warm to the touch, almost familiar ^w(This component only fits into the Medal Slot)</v>
      </c>
      <c r="AB46" s="5" t="s">
        <v>36</v>
      </c>
      <c r="AH46">
        <f t="shared" si="19"/>
        <v>41</v>
      </c>
      <c r="AI46">
        <f t="shared" si="22"/>
        <v>30</v>
      </c>
      <c r="AJ46">
        <f t="shared" si="18"/>
        <v>3</v>
      </c>
    </row>
    <row r="47" spans="1:36" x14ac:dyDescent="0.25">
      <c r="A47" s="5" t="s">
        <v>39</v>
      </c>
      <c r="B47" s="5" t="s">
        <v>30</v>
      </c>
      <c r="C47" s="5" t="str">
        <f t="shared" si="0"/>
        <v>description,dailCompDescEnchanter45,</v>
      </c>
      <c r="D47" s="5" t="str">
        <f t="shared" si="2"/>
        <v>itemText,dailCompTextEnchanter45,</v>
      </c>
      <c r="E47" s="5" t="str">
        <f t="shared" si="14"/>
        <v>augmentSkillLevel1,3,</v>
      </c>
      <c r="F47" s="5" t="str">
        <f t="shared" si="15"/>
        <v>augmentSkillName1,records/skills/enchanter/charmofwater.dbr,</v>
      </c>
      <c r="G47" s="7">
        <f t="shared" si="10"/>
        <v>45</v>
      </c>
      <c r="H47" s="8" t="str">
        <f t="shared" si="11"/>
        <v>Enchanter</v>
      </c>
      <c r="I47" s="3" t="s">
        <v>464</v>
      </c>
      <c r="J47" s="8" t="str">
        <f t="shared" si="21"/>
        <v>class0026</v>
      </c>
      <c r="K47" s="8" t="str">
        <f t="shared" si="21"/>
        <v>dailoneskill0026</v>
      </c>
      <c r="L47" s="5" t="str">
        <f t="shared" si="4"/>
        <v>lootName45,DAIL/items/materia/class0026/Enchanter45.dbr,</v>
      </c>
      <c r="M47" s="5" t="str">
        <f t="shared" si="5"/>
        <v>lootWeight45,1,</v>
      </c>
      <c r="N47" t="str">
        <f t="shared" si="6"/>
        <v>3</v>
      </c>
      <c r="O47" t="str">
        <f t="shared" si="16"/>
        <v>copy .\dail_base3.dbr .\items\materia\class0026\Enchanter45.dbr /y</v>
      </c>
      <c r="P47" t="str">
        <f t="shared" si="7"/>
        <v>echo relicBitmap,items/craftingparts/components/component_a52_bristlyfur_b.tex, &gt;&gt; .\items\materia\class0026\Enchanter45.dbr</v>
      </c>
      <c r="Q47" t="str">
        <f t="shared" si="7"/>
        <v>echo itemCost,500000, &gt;&gt; .\items\materia\class0026\Enchanter45.dbr</v>
      </c>
      <c r="R47" t="str">
        <f t="shared" si="7"/>
        <v>echo description,dailCompDescEnchanter45, &gt;&gt; .\items\materia\class0026\Enchanter45.dbr</v>
      </c>
      <c r="S47" t="str">
        <f t="shared" si="7"/>
        <v>echo itemText,dailCompTextEnchanter45, &gt;&gt; .\items\materia\class0026\Enchanter45.dbr</v>
      </c>
      <c r="T47" t="str">
        <f t="shared" si="7"/>
        <v>echo augmentSkillLevel1,3, &gt;&gt; .\items\materia\class0026\Enchanter45.dbr</v>
      </c>
      <c r="U47" t="str">
        <f t="shared" si="7"/>
        <v>echo augmentSkillName1,records/skills/enchanter/charmofwater.dbr, &gt;&gt; .\items\materia\class0026\Enchanter45.dbr</v>
      </c>
      <c r="V47" s="5" t="s">
        <v>36</v>
      </c>
      <c r="W47" t="str">
        <f t="shared" si="8"/>
        <v>echo lootName45,DAIL/items/materia/class0026/Enchanter45.dbr, &gt;&gt; .\items\loottables\dailoneskill0026.dbr</v>
      </c>
      <c r="X47" t="str">
        <f t="shared" si="8"/>
        <v>echo lootWeight45,1, &gt;&gt; .\items\loottables\dailoneskill0026.dbr</v>
      </c>
      <c r="Y47" s="5" t="s">
        <v>36</v>
      </c>
      <c r="Z47" t="str">
        <f t="shared" si="9"/>
        <v xml:space="preserve"> dailCompDescEnchanter45=^pEnchanter's Gift of DAIL</v>
      </c>
      <c r="AA47" t="str">
        <f t="shared" si="17"/>
        <v>dailCompTextEnchanter45=^oThis feels warm to the touch, almost familiar ^w(This component only fits into the Medal Slot)</v>
      </c>
      <c r="AB47" s="5" t="s">
        <v>36</v>
      </c>
      <c r="AH47">
        <f t="shared" si="19"/>
        <v>42</v>
      </c>
      <c r="AI47">
        <f t="shared" si="22"/>
        <v>27</v>
      </c>
      <c r="AJ47">
        <f t="shared" si="18"/>
        <v>3</v>
      </c>
    </row>
    <row r="48" spans="1:36" x14ac:dyDescent="0.25">
      <c r="A48" s="5" t="s">
        <v>39</v>
      </c>
      <c r="B48" s="5" t="s">
        <v>30</v>
      </c>
      <c r="C48" s="5" t="str">
        <f t="shared" si="0"/>
        <v>description,dailCompDescEnchanter46,</v>
      </c>
      <c r="D48" s="5" t="str">
        <f t="shared" si="2"/>
        <v>itemText,dailCompTextEnchanter46,</v>
      </c>
      <c r="E48" s="5" t="str">
        <f t="shared" si="14"/>
        <v>augmentSkillLevel1,3,</v>
      </c>
      <c r="F48" s="5" t="str">
        <f t="shared" si="15"/>
        <v>augmentSkillName1,records/skills/enchanter/charmofwater_mod.dbr,</v>
      </c>
      <c r="G48" s="7">
        <f t="shared" si="10"/>
        <v>46</v>
      </c>
      <c r="H48" s="8" t="str">
        <f t="shared" si="11"/>
        <v>Enchanter</v>
      </c>
      <c r="I48" s="3" t="s">
        <v>465</v>
      </c>
      <c r="J48" s="8" t="str">
        <f t="shared" si="21"/>
        <v>class0026</v>
      </c>
      <c r="K48" s="8" t="str">
        <f t="shared" si="21"/>
        <v>dailoneskill0026</v>
      </c>
      <c r="L48" s="5" t="str">
        <f t="shared" si="4"/>
        <v>lootName46,DAIL/items/materia/class0026/Enchanter46.dbr,</v>
      </c>
      <c r="M48" s="5" t="str">
        <f t="shared" si="5"/>
        <v>lootWeight46,1,</v>
      </c>
      <c r="N48" t="str">
        <f t="shared" si="6"/>
        <v>3</v>
      </c>
      <c r="O48" t="str">
        <f t="shared" si="16"/>
        <v>copy .\dail_base3.dbr .\items\materia\class0026\Enchanter46.dbr /y</v>
      </c>
      <c r="P48" t="str">
        <f t="shared" si="7"/>
        <v>echo relicBitmap,items/craftingparts/components/component_a52_bristlyfur_b.tex, &gt;&gt; .\items\materia\class0026\Enchanter46.dbr</v>
      </c>
      <c r="Q48" t="str">
        <f t="shared" si="7"/>
        <v>echo itemCost,500000, &gt;&gt; .\items\materia\class0026\Enchanter46.dbr</v>
      </c>
      <c r="R48" t="str">
        <f t="shared" si="7"/>
        <v>echo description,dailCompDescEnchanter46, &gt;&gt; .\items\materia\class0026\Enchanter46.dbr</v>
      </c>
      <c r="S48" t="str">
        <f t="shared" si="7"/>
        <v>echo itemText,dailCompTextEnchanter46, &gt;&gt; .\items\materia\class0026\Enchanter46.dbr</v>
      </c>
      <c r="T48" t="str">
        <f t="shared" si="7"/>
        <v>echo augmentSkillLevel1,3, &gt;&gt; .\items\materia\class0026\Enchanter46.dbr</v>
      </c>
      <c r="U48" t="str">
        <f t="shared" si="7"/>
        <v>echo augmentSkillName1,records/skills/enchanter/charmofwater_mod.dbr, &gt;&gt; .\items\materia\class0026\Enchanter46.dbr</v>
      </c>
      <c r="V48" s="5" t="s">
        <v>36</v>
      </c>
      <c r="W48" t="str">
        <f t="shared" si="8"/>
        <v>echo lootName46,DAIL/items/materia/class0026/Enchanter46.dbr, &gt;&gt; .\items\loottables\dailoneskill0026.dbr</v>
      </c>
      <c r="X48" t="str">
        <f t="shared" si="8"/>
        <v>echo lootWeight46,1, &gt;&gt; .\items\loottables\dailoneskill0026.dbr</v>
      </c>
      <c r="Y48" s="5" t="s">
        <v>36</v>
      </c>
      <c r="Z48" t="str">
        <f t="shared" si="9"/>
        <v xml:space="preserve"> dailCompDescEnchanter46=^pEnchanter's Gift of DAIL</v>
      </c>
      <c r="AA48" t="str">
        <f t="shared" si="17"/>
        <v>dailCompTextEnchanter46=^oThis feels warm to the touch, almost familiar ^w(This component only fits into the Medal Slot)</v>
      </c>
      <c r="AB48" s="5" t="s">
        <v>36</v>
      </c>
      <c r="AH48">
        <f t="shared" si="19"/>
        <v>43</v>
      </c>
      <c r="AI48">
        <f t="shared" si="22"/>
        <v>31</v>
      </c>
      <c r="AJ48">
        <f t="shared" si="18"/>
        <v>3</v>
      </c>
    </row>
    <row r="49" spans="1:36" x14ac:dyDescent="0.25">
      <c r="A49" s="5" t="s">
        <v>39</v>
      </c>
      <c r="B49" s="5" t="s">
        <v>30</v>
      </c>
      <c r="C49" s="5" t="str">
        <f t="shared" si="0"/>
        <v>description,dailCompDescEnchanter47,</v>
      </c>
      <c r="D49" s="5" t="str">
        <f t="shared" si="2"/>
        <v>itemText,dailCompTextEnchanter47,</v>
      </c>
      <c r="E49" s="5" t="str">
        <f t="shared" si="14"/>
        <v>augmentSkillLevel1,3,</v>
      </c>
      <c r="F49" s="5" t="str">
        <f t="shared" si="15"/>
        <v>augmentSkillName1,records/skills/enchanter/keeperoflife.dbr,</v>
      </c>
      <c r="G49" s="7">
        <f t="shared" si="10"/>
        <v>47</v>
      </c>
      <c r="H49" s="8" t="str">
        <f t="shared" si="11"/>
        <v>Enchanter</v>
      </c>
      <c r="I49" s="3" t="s">
        <v>466</v>
      </c>
      <c r="J49" s="8" t="str">
        <f t="shared" si="21"/>
        <v>class0026</v>
      </c>
      <c r="K49" s="8" t="str">
        <f t="shared" si="21"/>
        <v>dailoneskill0026</v>
      </c>
      <c r="L49" s="5" t="str">
        <f t="shared" si="4"/>
        <v>lootName47,DAIL/items/materia/class0026/Enchanter47.dbr,</v>
      </c>
      <c r="M49" s="5" t="str">
        <f t="shared" si="5"/>
        <v>lootWeight47,1,</v>
      </c>
      <c r="N49" t="str">
        <f t="shared" si="6"/>
        <v>3</v>
      </c>
      <c r="O49" t="str">
        <f t="shared" si="16"/>
        <v>copy .\dail_base3.dbr .\items\materia\class0026\Enchanter47.dbr /y</v>
      </c>
      <c r="P49" t="str">
        <f t="shared" si="7"/>
        <v>echo relicBitmap,items/craftingparts/components/component_a52_bristlyfur_b.tex, &gt;&gt; .\items\materia\class0026\Enchanter47.dbr</v>
      </c>
      <c r="Q49" t="str">
        <f t="shared" si="7"/>
        <v>echo itemCost,500000, &gt;&gt; .\items\materia\class0026\Enchanter47.dbr</v>
      </c>
      <c r="R49" t="str">
        <f t="shared" si="7"/>
        <v>echo description,dailCompDescEnchanter47, &gt;&gt; .\items\materia\class0026\Enchanter47.dbr</v>
      </c>
      <c r="S49" t="str">
        <f t="shared" si="7"/>
        <v>echo itemText,dailCompTextEnchanter47, &gt;&gt; .\items\materia\class0026\Enchanter47.dbr</v>
      </c>
      <c r="T49" t="str">
        <f t="shared" si="7"/>
        <v>echo augmentSkillLevel1,3, &gt;&gt; .\items\materia\class0026\Enchanter47.dbr</v>
      </c>
      <c r="U49" t="str">
        <f t="shared" si="7"/>
        <v>echo augmentSkillName1,records/skills/enchanter/keeperoflife.dbr, &gt;&gt; .\items\materia\class0026\Enchanter47.dbr</v>
      </c>
      <c r="V49" s="5" t="s">
        <v>36</v>
      </c>
      <c r="W49" t="str">
        <f t="shared" si="8"/>
        <v>echo lootName47,DAIL/items/materia/class0026/Enchanter47.dbr, &gt;&gt; .\items\loottables\dailoneskill0026.dbr</v>
      </c>
      <c r="X49" t="str">
        <f t="shared" si="8"/>
        <v>echo lootWeight47,1, &gt;&gt; .\items\loottables\dailoneskill0026.dbr</v>
      </c>
      <c r="Y49" s="5" t="s">
        <v>36</v>
      </c>
      <c r="Z49" t="str">
        <f t="shared" si="9"/>
        <v xml:space="preserve"> dailCompDescEnchanter47=^pEnchanter's Gift of DAIL</v>
      </c>
      <c r="AA49" t="str">
        <f t="shared" si="17"/>
        <v>dailCompTextEnchanter47=^oThis feels warm to the touch, almost familiar ^w(This component only fits into the Medal Slot)</v>
      </c>
      <c r="AB49" s="5" t="s">
        <v>36</v>
      </c>
      <c r="AH49">
        <f t="shared" si="19"/>
        <v>44</v>
      </c>
      <c r="AI49">
        <f t="shared" si="22"/>
        <v>27</v>
      </c>
      <c r="AJ49">
        <f t="shared" si="18"/>
        <v>3</v>
      </c>
    </row>
    <row r="50" spans="1:36" x14ac:dyDescent="0.25">
      <c r="A50" s="5" t="s">
        <v>39</v>
      </c>
      <c r="B50" s="5" t="s">
        <v>30</v>
      </c>
      <c r="C50" s="5" t="str">
        <f t="shared" si="0"/>
        <v>description,dailCompDescEnchanter48,</v>
      </c>
      <c r="D50" s="5" t="str">
        <f t="shared" si="2"/>
        <v>itemText,dailCompTextEnchanter48,</v>
      </c>
      <c r="E50" s="5" t="str">
        <f t="shared" si="14"/>
        <v>augmentSkillLevel1,3,</v>
      </c>
      <c r="F50" s="5" t="str">
        <f t="shared" si="15"/>
        <v>augmentSkillName1,records/skills/enchanter/masterench.dbr,</v>
      </c>
      <c r="G50" s="7">
        <f t="shared" si="10"/>
        <v>48</v>
      </c>
      <c r="H50" s="8" t="str">
        <f t="shared" si="11"/>
        <v>Enchanter</v>
      </c>
      <c r="I50" s="3" t="s">
        <v>467</v>
      </c>
      <c r="J50" s="8" t="str">
        <f t="shared" si="21"/>
        <v>class0026</v>
      </c>
      <c r="K50" s="8" t="str">
        <f t="shared" si="21"/>
        <v>dailoneskill0026</v>
      </c>
      <c r="L50" s="5" t="str">
        <f t="shared" si="4"/>
        <v>lootName48,DAIL/items/materia/class0026/Enchanter48.dbr,</v>
      </c>
      <c r="M50" s="5" t="str">
        <f t="shared" si="5"/>
        <v>lootWeight48,1,</v>
      </c>
      <c r="N50" t="str">
        <f t="shared" si="6"/>
        <v>3</v>
      </c>
      <c r="O50" t="str">
        <f t="shared" si="16"/>
        <v>copy .\dail_base3.dbr .\items\materia\class0026\Enchanter48.dbr /y</v>
      </c>
      <c r="P50" t="str">
        <f t="shared" si="7"/>
        <v>echo relicBitmap,items/craftingparts/components/component_a52_bristlyfur_b.tex, &gt;&gt; .\items\materia\class0026\Enchanter48.dbr</v>
      </c>
      <c r="Q50" t="str">
        <f t="shared" si="7"/>
        <v>echo itemCost,500000, &gt;&gt; .\items\materia\class0026\Enchanter48.dbr</v>
      </c>
      <c r="R50" t="str">
        <f t="shared" si="7"/>
        <v>echo description,dailCompDescEnchanter48, &gt;&gt; .\items\materia\class0026\Enchanter48.dbr</v>
      </c>
      <c r="S50" t="str">
        <f t="shared" si="7"/>
        <v>echo itemText,dailCompTextEnchanter48, &gt;&gt; .\items\materia\class0026\Enchanter48.dbr</v>
      </c>
      <c r="T50" t="str">
        <f t="shared" si="7"/>
        <v>echo augmentSkillLevel1,3, &gt;&gt; .\items\materia\class0026\Enchanter48.dbr</v>
      </c>
      <c r="U50" t="str">
        <f t="shared" si="7"/>
        <v>echo augmentSkillName1,records/skills/enchanter/masterench.dbr, &gt;&gt; .\items\materia\class0026\Enchanter48.dbr</v>
      </c>
      <c r="V50" s="5" t="s">
        <v>36</v>
      </c>
      <c r="W50" t="str">
        <f t="shared" si="8"/>
        <v>echo lootName48,DAIL/items/materia/class0026/Enchanter48.dbr, &gt;&gt; .\items\loottables\dailoneskill0026.dbr</v>
      </c>
      <c r="X50" t="str">
        <f t="shared" si="8"/>
        <v>echo lootWeight48,1, &gt;&gt; .\items\loottables\dailoneskill0026.dbr</v>
      </c>
      <c r="Y50" s="5" t="s">
        <v>36</v>
      </c>
      <c r="Z50" t="str">
        <f t="shared" si="9"/>
        <v xml:space="preserve"> dailCompDescEnchanter48=^pEnchanter's Gift of DAIL</v>
      </c>
      <c r="AA50" t="str">
        <f t="shared" si="17"/>
        <v>dailCompTextEnchanter48=^oThis feels warm to the touch, almost familiar ^w(This component only fits into the Medal Slot)</v>
      </c>
      <c r="AB50" s="5" t="s">
        <v>36</v>
      </c>
      <c r="AH50">
        <f t="shared" si="19"/>
        <v>45</v>
      </c>
      <c r="AI50">
        <f t="shared" si="22"/>
        <v>25</v>
      </c>
      <c r="AJ50">
        <f t="shared" si="18"/>
        <v>3</v>
      </c>
    </row>
    <row r="51" spans="1:36" x14ac:dyDescent="0.25">
      <c r="A51" s="5" t="s">
        <v>39</v>
      </c>
      <c r="B51" s="5" t="s">
        <v>30</v>
      </c>
      <c r="C51" s="5" t="str">
        <f t="shared" si="0"/>
        <v>description,dailCompDescEnchanter49,</v>
      </c>
      <c r="D51" s="5" t="str">
        <f t="shared" si="2"/>
        <v>itemText,dailCompTextEnchanter49,</v>
      </c>
      <c r="E51" s="5" t="str">
        <f t="shared" si="14"/>
        <v>augmentSkillLevel1,3,</v>
      </c>
      <c r="F51" s="5" t="str">
        <f t="shared" si="15"/>
        <v>augmentSkillName1,records/skills/enchanter/touchoflife.dbr,</v>
      </c>
      <c r="G51" s="7">
        <f t="shared" si="10"/>
        <v>49</v>
      </c>
      <c r="H51" s="8" t="str">
        <f t="shared" si="11"/>
        <v>Enchanter</v>
      </c>
      <c r="I51" s="3" t="s">
        <v>468</v>
      </c>
      <c r="J51" s="8" t="str">
        <f t="shared" si="21"/>
        <v>class0026</v>
      </c>
      <c r="K51" s="8" t="str">
        <f t="shared" si="21"/>
        <v>dailoneskill0026</v>
      </c>
      <c r="L51" s="5" t="str">
        <f t="shared" si="4"/>
        <v>lootName49,DAIL/items/materia/class0026/Enchanter49.dbr,</v>
      </c>
      <c r="M51" s="5" t="str">
        <f t="shared" si="5"/>
        <v>lootWeight49,1,</v>
      </c>
      <c r="N51" t="str">
        <f t="shared" si="6"/>
        <v>3</v>
      </c>
      <c r="O51" t="str">
        <f t="shared" si="16"/>
        <v>copy .\dail_base3.dbr .\items\materia\class0026\Enchanter49.dbr /y</v>
      </c>
      <c r="P51" t="str">
        <f t="shared" si="7"/>
        <v>echo relicBitmap,items/craftingparts/components/component_a52_bristlyfur_b.tex, &gt;&gt; .\items\materia\class0026\Enchanter49.dbr</v>
      </c>
      <c r="Q51" t="str">
        <f t="shared" si="7"/>
        <v>echo itemCost,500000, &gt;&gt; .\items\materia\class0026\Enchanter49.dbr</v>
      </c>
      <c r="R51" t="str">
        <f t="shared" si="7"/>
        <v>echo description,dailCompDescEnchanter49, &gt;&gt; .\items\materia\class0026\Enchanter49.dbr</v>
      </c>
      <c r="S51" t="str">
        <f t="shared" si="7"/>
        <v>echo itemText,dailCompTextEnchanter49, &gt;&gt; .\items\materia\class0026\Enchanter49.dbr</v>
      </c>
      <c r="T51" t="str">
        <f t="shared" si="7"/>
        <v>echo augmentSkillLevel1,3, &gt;&gt; .\items\materia\class0026\Enchanter49.dbr</v>
      </c>
      <c r="U51" t="str">
        <f t="shared" si="7"/>
        <v>echo augmentSkillName1,records/skills/enchanter/touchoflife.dbr, &gt;&gt; .\items\materia\class0026\Enchanter49.dbr</v>
      </c>
      <c r="V51" s="5" t="s">
        <v>36</v>
      </c>
      <c r="W51" t="str">
        <f t="shared" si="8"/>
        <v>echo lootName49,DAIL/items/materia/class0026/Enchanter49.dbr, &gt;&gt; .\items\loottables\dailoneskill0026.dbr</v>
      </c>
      <c r="X51" t="str">
        <f t="shared" si="8"/>
        <v>echo lootWeight49,1, &gt;&gt; .\items\loottables\dailoneskill0026.dbr</v>
      </c>
      <c r="Y51" s="5" t="s">
        <v>36</v>
      </c>
      <c r="Z51" t="str">
        <f t="shared" si="9"/>
        <v xml:space="preserve"> dailCompDescEnchanter49=^pEnchanter's Gift of DAIL</v>
      </c>
      <c r="AA51" t="str">
        <f t="shared" si="17"/>
        <v>dailCompTextEnchanter49=^oThis feels warm to the touch, almost familiar ^w(This component only fits into the Medal Slot)</v>
      </c>
      <c r="AB51" s="5" t="s">
        <v>36</v>
      </c>
      <c r="AH51">
        <f t="shared" si="19"/>
        <v>46</v>
      </c>
      <c r="AI51">
        <f t="shared" si="22"/>
        <v>26</v>
      </c>
      <c r="AJ51">
        <f t="shared" si="18"/>
        <v>3</v>
      </c>
    </row>
    <row r="52" spans="1:36" x14ac:dyDescent="0.25">
      <c r="A52" s="5" t="s">
        <v>39</v>
      </c>
      <c r="B52" s="5" t="s">
        <v>30</v>
      </c>
      <c r="C52" s="5" t="str">
        <f t="shared" si="0"/>
        <v>description,dailCompDescEnchanter50,</v>
      </c>
      <c r="D52" s="5" t="str">
        <f t="shared" si="2"/>
        <v>itemText,dailCompTextEnchanter50,</v>
      </c>
      <c r="E52" s="5" t="str">
        <f t="shared" si="14"/>
        <v>augmentSkillLevel1,3,</v>
      </c>
      <c r="F52" s="5" t="str">
        <f t="shared" si="15"/>
        <v>augmentSkillName1,records/skills/enchanter/touchoflife_petmodifier.dbr,</v>
      </c>
      <c r="G52" s="7">
        <f t="shared" si="10"/>
        <v>50</v>
      </c>
      <c r="H52" s="8" t="str">
        <f t="shared" si="11"/>
        <v>Enchanter</v>
      </c>
      <c r="I52" s="3" t="s">
        <v>469</v>
      </c>
      <c r="J52" s="8" t="str">
        <f t="shared" si="21"/>
        <v>class0026</v>
      </c>
      <c r="K52" s="8" t="str">
        <f t="shared" si="21"/>
        <v>dailoneskill0026</v>
      </c>
      <c r="L52" s="5" t="str">
        <f t="shared" si="4"/>
        <v>lootName50,DAIL/items/materia/class0026/Enchanter50.dbr,</v>
      </c>
      <c r="M52" s="5" t="str">
        <f t="shared" si="5"/>
        <v>lootWeight50,1,</v>
      </c>
      <c r="N52" t="str">
        <f t="shared" si="6"/>
        <v>3</v>
      </c>
      <c r="O52" t="str">
        <f t="shared" si="16"/>
        <v>copy .\dail_base3.dbr .\items\materia\class0026\Enchanter50.dbr /y</v>
      </c>
      <c r="P52" t="str">
        <f t="shared" si="7"/>
        <v>echo relicBitmap,items/craftingparts/components/component_a52_bristlyfur_b.tex, &gt;&gt; .\items\materia\class0026\Enchanter50.dbr</v>
      </c>
      <c r="Q52" t="str">
        <f t="shared" si="7"/>
        <v>echo itemCost,500000, &gt;&gt; .\items\materia\class0026\Enchanter50.dbr</v>
      </c>
      <c r="R52" t="str">
        <f t="shared" si="7"/>
        <v>echo description,dailCompDescEnchanter50, &gt;&gt; .\items\materia\class0026\Enchanter50.dbr</v>
      </c>
      <c r="S52" t="str">
        <f t="shared" si="7"/>
        <v>echo itemText,dailCompTextEnchanter50, &gt;&gt; .\items\materia\class0026\Enchanter50.dbr</v>
      </c>
      <c r="T52" t="str">
        <f t="shared" si="7"/>
        <v>echo augmentSkillLevel1,3, &gt;&gt; .\items\materia\class0026\Enchanter50.dbr</v>
      </c>
      <c r="U52" t="str">
        <f t="shared" si="7"/>
        <v>echo augmentSkillName1,records/skills/enchanter/touchoflife_petmodifier.dbr, &gt;&gt; .\items\materia\class0026\Enchanter50.dbr</v>
      </c>
      <c r="V52" s="5" t="s">
        <v>36</v>
      </c>
      <c r="W52" t="str">
        <f t="shared" si="8"/>
        <v>echo lootName50,DAIL/items/materia/class0026/Enchanter50.dbr, &gt;&gt; .\items\loottables\dailoneskill0026.dbr</v>
      </c>
      <c r="X52" t="str">
        <f t="shared" si="8"/>
        <v>echo lootWeight50,1, &gt;&gt; .\items\loottables\dailoneskill0026.dbr</v>
      </c>
      <c r="Y52" s="5" t="s">
        <v>36</v>
      </c>
      <c r="Z52" t="str">
        <f t="shared" si="9"/>
        <v xml:space="preserve"> dailCompDescEnchanter50=^pEnchanter's Gift of DAIL</v>
      </c>
      <c r="AA52" t="str">
        <f t="shared" si="17"/>
        <v>dailCompTextEnchanter50=^oThis feels warm to the touch, almost familiar ^w(This component only fits into the Medal Slot)</v>
      </c>
      <c r="AB52" s="5" t="s">
        <v>36</v>
      </c>
      <c r="AH52">
        <f t="shared" si="19"/>
        <v>47</v>
      </c>
      <c r="AI52">
        <f t="shared" si="22"/>
        <v>38</v>
      </c>
      <c r="AJ52">
        <f t="shared" si="18"/>
        <v>3</v>
      </c>
    </row>
    <row r="53" spans="1:36" x14ac:dyDescent="0.25">
      <c r="A53" s="5" t="s">
        <v>39</v>
      </c>
      <c r="B53" s="5" t="s">
        <v>30</v>
      </c>
      <c r="C53" s="5" t="str">
        <f t="shared" si="0"/>
        <v>description,dailCompDescEnchanter51,</v>
      </c>
      <c r="D53" s="5" t="str">
        <f t="shared" si="2"/>
        <v>itemText,dailCompTextEnchanter51,</v>
      </c>
      <c r="E53" s="5" t="str">
        <f t="shared" si="14"/>
        <v>augmentSkillLevel1,5,</v>
      </c>
      <c r="F53" s="5" t="str">
        <f t="shared" si="15"/>
        <v>augmentSkillName1,records/skills/enchanter/resurgence.dbr,</v>
      </c>
      <c r="G53" s="7">
        <f t="shared" si="10"/>
        <v>51</v>
      </c>
      <c r="H53" s="8" t="str">
        <f t="shared" si="11"/>
        <v>Enchanter</v>
      </c>
      <c r="I53" s="3" t="s">
        <v>470</v>
      </c>
      <c r="J53" s="8" t="str">
        <f t="shared" ref="J53:K68" si="23">J52</f>
        <v>class0026</v>
      </c>
      <c r="K53" s="8" t="str">
        <f t="shared" si="23"/>
        <v>dailoneskill0026</v>
      </c>
      <c r="L53" s="5" t="str">
        <f t="shared" si="4"/>
        <v>lootName51,DAIL/items/materia/class0026/Enchanter51.dbr,</v>
      </c>
      <c r="M53" s="5" t="str">
        <f t="shared" si="5"/>
        <v>lootWeight51,1,</v>
      </c>
      <c r="N53" t="str">
        <f t="shared" si="6"/>
        <v>5</v>
      </c>
      <c r="O53" t="str">
        <f t="shared" si="16"/>
        <v>copy .\dail_base3.dbr .\items\materia\class0026\Enchanter51.dbr /y</v>
      </c>
      <c r="P53" t="str">
        <f t="shared" si="7"/>
        <v>echo relicBitmap,items/craftingparts/components/component_a52_bristlyfur_b.tex, &gt;&gt; .\items\materia\class0026\Enchanter51.dbr</v>
      </c>
      <c r="Q53" t="str">
        <f t="shared" si="7"/>
        <v>echo itemCost,500000, &gt;&gt; .\items\materia\class0026\Enchanter51.dbr</v>
      </c>
      <c r="R53" t="str">
        <f t="shared" si="7"/>
        <v>echo description,dailCompDescEnchanter51, &gt;&gt; .\items\materia\class0026\Enchanter51.dbr</v>
      </c>
      <c r="S53" t="str">
        <f t="shared" si="7"/>
        <v>echo itemText,dailCompTextEnchanter51, &gt;&gt; .\items\materia\class0026\Enchanter51.dbr</v>
      </c>
      <c r="T53" t="str">
        <f t="shared" si="7"/>
        <v>echo augmentSkillLevel1,5, &gt;&gt; .\items\materia\class0026\Enchanter51.dbr</v>
      </c>
      <c r="U53" t="str">
        <f t="shared" si="7"/>
        <v>echo augmentSkillName1,records/skills/enchanter/resurgence.dbr, &gt;&gt; .\items\materia\class0026\Enchanter51.dbr</v>
      </c>
      <c r="V53" s="5" t="s">
        <v>36</v>
      </c>
      <c r="W53" t="str">
        <f t="shared" si="8"/>
        <v>echo lootName51,DAIL/items/materia/class0026/Enchanter51.dbr, &gt;&gt; .\items\loottables\dailoneskill0026.dbr</v>
      </c>
      <c r="X53" t="str">
        <f t="shared" si="8"/>
        <v>echo lootWeight51,1, &gt;&gt; .\items\loottables\dailoneskill0026.dbr</v>
      </c>
      <c r="Y53" s="5" t="s">
        <v>36</v>
      </c>
      <c r="Z53" t="str">
        <f t="shared" si="9"/>
        <v xml:space="preserve"> dailCompDescEnchanter51=^pEnchanter's Gift of DAIL</v>
      </c>
      <c r="AA53" t="str">
        <f t="shared" si="17"/>
        <v>dailCompTextEnchanter51=^oThis feels warm to the touch, almost familiar ^w(This component only fits into the Medal Slot)</v>
      </c>
      <c r="AB53" s="5" t="s">
        <v>36</v>
      </c>
      <c r="AH53">
        <f t="shared" si="19"/>
        <v>48</v>
      </c>
      <c r="AI53">
        <f t="shared" si="22"/>
        <v>25</v>
      </c>
      <c r="AJ53">
        <f t="shared" si="18"/>
        <v>5</v>
      </c>
    </row>
    <row r="54" spans="1:36" x14ac:dyDescent="0.25">
      <c r="A54" s="5" t="s">
        <v>39</v>
      </c>
      <c r="B54" s="5" t="s">
        <v>30</v>
      </c>
      <c r="C54" s="5" t="str">
        <f t="shared" si="0"/>
        <v>description,dailCompDescEnchanter52,</v>
      </c>
      <c r="D54" s="5" t="str">
        <f t="shared" si="2"/>
        <v>itemText,dailCompTextEnchanter52,</v>
      </c>
      <c r="E54" s="5" t="str">
        <f t="shared" si="14"/>
        <v>augmentSkillLevel1,5,</v>
      </c>
      <c r="F54" s="5" t="str">
        <f t="shared" si="15"/>
        <v>augmentSkillName1,records/skills/enchanter/wither.dbr,</v>
      </c>
      <c r="G54" s="7">
        <f t="shared" si="10"/>
        <v>52</v>
      </c>
      <c r="H54" s="8" t="str">
        <f t="shared" si="11"/>
        <v>Enchanter</v>
      </c>
      <c r="I54" s="3" t="s">
        <v>447</v>
      </c>
      <c r="J54" s="8" t="str">
        <f t="shared" si="23"/>
        <v>class0026</v>
      </c>
      <c r="K54" s="8" t="str">
        <f t="shared" si="23"/>
        <v>dailoneskill0026</v>
      </c>
      <c r="L54" s="5" t="str">
        <f t="shared" si="4"/>
        <v>lootName52,DAIL/items/materia/class0026/Enchanter52.dbr,</v>
      </c>
      <c r="M54" s="5" t="str">
        <f t="shared" si="5"/>
        <v>lootWeight52,1,</v>
      </c>
      <c r="N54" t="str">
        <f t="shared" si="6"/>
        <v>5</v>
      </c>
      <c r="O54" t="str">
        <f t="shared" si="16"/>
        <v>copy .\dail_base3.dbr .\items\materia\class0026\Enchanter52.dbr /y</v>
      </c>
      <c r="P54" t="str">
        <f t="shared" si="7"/>
        <v>echo relicBitmap,items/craftingparts/components/component_a52_bristlyfur_b.tex, &gt;&gt; .\items\materia\class0026\Enchanter52.dbr</v>
      </c>
      <c r="Q54" t="str">
        <f t="shared" si="7"/>
        <v>echo itemCost,500000, &gt;&gt; .\items\materia\class0026\Enchanter52.dbr</v>
      </c>
      <c r="R54" t="str">
        <f t="shared" si="7"/>
        <v>echo description,dailCompDescEnchanter52, &gt;&gt; .\items\materia\class0026\Enchanter52.dbr</v>
      </c>
      <c r="S54" t="str">
        <f t="shared" si="7"/>
        <v>echo itemText,dailCompTextEnchanter52, &gt;&gt; .\items\materia\class0026\Enchanter52.dbr</v>
      </c>
      <c r="T54" t="str">
        <f t="shared" si="7"/>
        <v>echo augmentSkillLevel1,5, &gt;&gt; .\items\materia\class0026\Enchanter52.dbr</v>
      </c>
      <c r="U54" t="str">
        <f t="shared" si="7"/>
        <v>echo augmentSkillName1,records/skills/enchanter/wither.dbr, &gt;&gt; .\items\materia\class0026\Enchanter52.dbr</v>
      </c>
      <c r="V54" s="5" t="s">
        <v>36</v>
      </c>
      <c r="W54" t="str">
        <f t="shared" si="8"/>
        <v>echo lootName52,DAIL/items/materia/class0026/Enchanter52.dbr, &gt;&gt; .\items\loottables\dailoneskill0026.dbr</v>
      </c>
      <c r="X54" t="str">
        <f t="shared" si="8"/>
        <v>echo lootWeight52,1, &gt;&gt; .\items\loottables\dailoneskill0026.dbr</v>
      </c>
      <c r="Y54" s="5" t="s">
        <v>36</v>
      </c>
      <c r="Z54" t="str">
        <f t="shared" si="9"/>
        <v xml:space="preserve"> dailCompDescEnchanter52=^pEnchanter's Gift of DAIL</v>
      </c>
      <c r="AA54" t="str">
        <f t="shared" si="17"/>
        <v>dailCompTextEnchanter52=^oThis feels warm to the touch, almost familiar ^w(This component only fits into the Medal Slot)</v>
      </c>
      <c r="AB54" s="5" t="s">
        <v>36</v>
      </c>
      <c r="AH54">
        <f t="shared" si="19"/>
        <v>49</v>
      </c>
      <c r="AI54">
        <f t="shared" si="22"/>
        <v>21</v>
      </c>
      <c r="AJ54">
        <f t="shared" si="18"/>
        <v>5</v>
      </c>
    </row>
    <row r="55" spans="1:36" x14ac:dyDescent="0.25">
      <c r="A55" s="5" t="s">
        <v>39</v>
      </c>
      <c r="B55" s="5" t="s">
        <v>30</v>
      </c>
      <c r="C55" s="5" t="str">
        <f t="shared" si="0"/>
        <v>description,dailCompDescEnchanter53,</v>
      </c>
      <c r="D55" s="5" t="str">
        <f t="shared" si="2"/>
        <v>itemText,dailCompTextEnchanter53,</v>
      </c>
      <c r="E55" s="5" t="str">
        <f t="shared" si="14"/>
        <v>augmentSkillLevel1,5,</v>
      </c>
      <c r="F55" s="5" t="str">
        <f t="shared" si="15"/>
        <v>augmentSkillName1,records/skills/enchanter/wither_mod.dbr,</v>
      </c>
      <c r="G55" s="7">
        <f t="shared" si="10"/>
        <v>53</v>
      </c>
      <c r="H55" s="8" t="str">
        <f t="shared" si="11"/>
        <v>Enchanter</v>
      </c>
      <c r="I55" s="3" t="s">
        <v>448</v>
      </c>
      <c r="J55" s="8" t="str">
        <f t="shared" si="23"/>
        <v>class0026</v>
      </c>
      <c r="K55" s="8" t="str">
        <f t="shared" si="23"/>
        <v>dailoneskill0026</v>
      </c>
      <c r="L55" s="5" t="str">
        <f t="shared" si="4"/>
        <v>lootName53,DAIL/items/materia/class0026/Enchanter53.dbr,</v>
      </c>
      <c r="M55" s="5" t="str">
        <f t="shared" si="5"/>
        <v>lootWeight53,1,</v>
      </c>
      <c r="N55" t="str">
        <f t="shared" si="6"/>
        <v>5</v>
      </c>
      <c r="O55" t="str">
        <f t="shared" si="16"/>
        <v>copy .\dail_base3.dbr .\items\materia\class0026\Enchanter53.dbr /y</v>
      </c>
      <c r="P55" t="str">
        <f t="shared" si="7"/>
        <v>echo relicBitmap,items/craftingparts/components/component_a52_bristlyfur_b.tex, &gt;&gt; .\items\materia\class0026\Enchanter53.dbr</v>
      </c>
      <c r="Q55" t="str">
        <f t="shared" si="7"/>
        <v>echo itemCost,500000, &gt;&gt; .\items\materia\class0026\Enchanter53.dbr</v>
      </c>
      <c r="R55" t="str">
        <f t="shared" si="7"/>
        <v>echo description,dailCompDescEnchanter53, &gt;&gt; .\items\materia\class0026\Enchanter53.dbr</v>
      </c>
      <c r="S55" t="str">
        <f t="shared" si="7"/>
        <v>echo itemText,dailCompTextEnchanter53, &gt;&gt; .\items\materia\class0026\Enchanter53.dbr</v>
      </c>
      <c r="T55" t="str">
        <f t="shared" si="7"/>
        <v>echo augmentSkillLevel1,5, &gt;&gt; .\items\materia\class0026\Enchanter53.dbr</v>
      </c>
      <c r="U55" t="str">
        <f t="shared" si="7"/>
        <v>echo augmentSkillName1,records/skills/enchanter/wither_mod.dbr, &gt;&gt; .\items\materia\class0026\Enchanter53.dbr</v>
      </c>
      <c r="V55" s="5" t="s">
        <v>36</v>
      </c>
      <c r="W55" t="str">
        <f t="shared" si="8"/>
        <v>echo lootName53,DAIL/items/materia/class0026/Enchanter53.dbr, &gt;&gt; .\items\loottables\dailoneskill0026.dbr</v>
      </c>
      <c r="X55" t="str">
        <f t="shared" si="8"/>
        <v>echo lootWeight53,1, &gt;&gt; .\items\loottables\dailoneskill0026.dbr</v>
      </c>
      <c r="Y55" s="5" t="s">
        <v>36</v>
      </c>
      <c r="Z55" t="str">
        <f t="shared" si="9"/>
        <v xml:space="preserve"> dailCompDescEnchanter53=^pEnchanter's Gift of DAIL</v>
      </c>
      <c r="AA55" t="str">
        <f t="shared" si="17"/>
        <v>dailCompTextEnchanter53=^oThis feels warm to the touch, almost familiar ^w(This component only fits into the Medal Slot)</v>
      </c>
      <c r="AB55" s="5" t="s">
        <v>36</v>
      </c>
      <c r="AH55">
        <f t="shared" si="19"/>
        <v>50</v>
      </c>
      <c r="AI55">
        <f t="shared" si="22"/>
        <v>25</v>
      </c>
      <c r="AJ55">
        <f t="shared" si="18"/>
        <v>5</v>
      </c>
    </row>
    <row r="56" spans="1:36" x14ac:dyDescent="0.25">
      <c r="A56" s="5" t="s">
        <v>39</v>
      </c>
      <c r="B56" s="5" t="s">
        <v>30</v>
      </c>
      <c r="C56" s="5" t="str">
        <f t="shared" si="0"/>
        <v>description,dailCompDescEnchanter54,</v>
      </c>
      <c r="D56" s="5" t="str">
        <f t="shared" si="2"/>
        <v>itemText,dailCompTextEnchanter54,</v>
      </c>
      <c r="E56" s="5" t="str">
        <f t="shared" si="14"/>
        <v>augmentSkillLevel1,5,</v>
      </c>
      <c r="F56" s="5" t="str">
        <f t="shared" si="15"/>
        <v>augmentSkillName1,records/skills/enchanter/charmofflames.dbr,</v>
      </c>
      <c r="G56" s="7">
        <f t="shared" si="10"/>
        <v>54</v>
      </c>
      <c r="H56" s="8" t="str">
        <f t="shared" si="11"/>
        <v>Enchanter</v>
      </c>
      <c r="I56" s="3" t="s">
        <v>449</v>
      </c>
      <c r="J56" s="8" t="str">
        <f t="shared" si="23"/>
        <v>class0026</v>
      </c>
      <c r="K56" s="8" t="str">
        <f t="shared" si="23"/>
        <v>dailoneskill0026</v>
      </c>
      <c r="L56" s="5" t="str">
        <f t="shared" si="4"/>
        <v>lootName54,DAIL/items/materia/class0026/Enchanter54.dbr,</v>
      </c>
      <c r="M56" s="5" t="str">
        <f t="shared" si="5"/>
        <v>lootWeight54,1,</v>
      </c>
      <c r="N56" t="str">
        <f t="shared" si="6"/>
        <v>5</v>
      </c>
      <c r="O56" t="str">
        <f t="shared" si="16"/>
        <v>copy .\dail_base3.dbr .\items\materia\class0026\Enchanter54.dbr /y</v>
      </c>
      <c r="P56" t="str">
        <f t="shared" si="7"/>
        <v>echo relicBitmap,items/craftingparts/components/component_a52_bristlyfur_b.tex, &gt;&gt; .\items\materia\class0026\Enchanter54.dbr</v>
      </c>
      <c r="Q56" t="str">
        <f t="shared" si="7"/>
        <v>echo itemCost,500000, &gt;&gt; .\items\materia\class0026\Enchanter54.dbr</v>
      </c>
      <c r="R56" t="str">
        <f t="shared" si="7"/>
        <v>echo description,dailCompDescEnchanter54, &gt;&gt; .\items\materia\class0026\Enchanter54.dbr</v>
      </c>
      <c r="S56" t="str">
        <f t="shared" si="7"/>
        <v>echo itemText,dailCompTextEnchanter54, &gt;&gt; .\items\materia\class0026\Enchanter54.dbr</v>
      </c>
      <c r="T56" t="str">
        <f t="shared" si="7"/>
        <v>echo augmentSkillLevel1,5, &gt;&gt; .\items\materia\class0026\Enchanter54.dbr</v>
      </c>
      <c r="U56" t="str">
        <f t="shared" si="7"/>
        <v>echo augmentSkillName1,records/skills/enchanter/charmofflames.dbr, &gt;&gt; .\items\materia\class0026\Enchanter54.dbr</v>
      </c>
      <c r="V56" s="5" t="s">
        <v>36</v>
      </c>
      <c r="W56" t="str">
        <f t="shared" si="8"/>
        <v>echo lootName54,DAIL/items/materia/class0026/Enchanter54.dbr, &gt;&gt; .\items\loottables\dailoneskill0026.dbr</v>
      </c>
      <c r="X56" t="str">
        <f t="shared" si="8"/>
        <v>echo lootWeight54,1, &gt;&gt; .\items\loottables\dailoneskill0026.dbr</v>
      </c>
      <c r="Y56" s="5" t="s">
        <v>36</v>
      </c>
      <c r="Z56" t="str">
        <f t="shared" si="9"/>
        <v xml:space="preserve"> dailCompDescEnchanter54=^pEnchanter's Gift of DAIL</v>
      </c>
      <c r="AA56" t="str">
        <f t="shared" si="17"/>
        <v>dailCompTextEnchanter54=^oThis feels warm to the touch, almost familiar ^w(This component only fits into the Medal Slot)</v>
      </c>
      <c r="AB56" s="5" t="s">
        <v>36</v>
      </c>
      <c r="AH56">
        <f t="shared" si="19"/>
        <v>51</v>
      </c>
      <c r="AI56">
        <f t="shared" si="22"/>
        <v>28</v>
      </c>
      <c r="AJ56">
        <f t="shared" si="18"/>
        <v>5</v>
      </c>
    </row>
    <row r="57" spans="1:36" x14ac:dyDescent="0.25">
      <c r="A57" s="5" t="s">
        <v>39</v>
      </c>
      <c r="B57" s="5" t="s">
        <v>30</v>
      </c>
      <c r="C57" s="5" t="str">
        <f t="shared" si="0"/>
        <v>description,dailCompDescEnchanter55,</v>
      </c>
      <c r="D57" s="5" t="str">
        <f t="shared" si="2"/>
        <v>itemText,dailCompTextEnchanter55,</v>
      </c>
      <c r="E57" s="5" t="str">
        <f t="shared" si="14"/>
        <v>augmentSkillLevel1,5,</v>
      </c>
      <c r="F57" s="5" t="str">
        <f t="shared" si="15"/>
        <v>augmentSkillName1,records/skills/enchanter/charmofflames_mod.dbr,</v>
      </c>
      <c r="G57" s="7">
        <f t="shared" si="10"/>
        <v>55</v>
      </c>
      <c r="H57" s="8" t="str">
        <f t="shared" si="11"/>
        <v>Enchanter</v>
      </c>
      <c r="I57" s="3" t="s">
        <v>450</v>
      </c>
      <c r="J57" s="8" t="str">
        <f t="shared" si="23"/>
        <v>class0026</v>
      </c>
      <c r="K57" s="8" t="str">
        <f t="shared" si="23"/>
        <v>dailoneskill0026</v>
      </c>
      <c r="L57" s="5" t="str">
        <f t="shared" si="4"/>
        <v>lootName55,DAIL/items/materia/class0026/Enchanter55.dbr,</v>
      </c>
      <c r="M57" s="5" t="str">
        <f t="shared" si="5"/>
        <v>lootWeight55,1,</v>
      </c>
      <c r="N57" t="str">
        <f t="shared" si="6"/>
        <v>5</v>
      </c>
      <c r="O57" t="str">
        <f t="shared" si="16"/>
        <v>copy .\dail_base3.dbr .\items\materia\class0026\Enchanter55.dbr /y</v>
      </c>
      <c r="P57" t="str">
        <f t="shared" si="7"/>
        <v>echo relicBitmap,items/craftingparts/components/component_a52_bristlyfur_b.tex, &gt;&gt; .\items\materia\class0026\Enchanter55.dbr</v>
      </c>
      <c r="Q57" t="str">
        <f t="shared" si="7"/>
        <v>echo itemCost,500000, &gt;&gt; .\items\materia\class0026\Enchanter55.dbr</v>
      </c>
      <c r="R57" t="str">
        <f t="shared" si="7"/>
        <v>echo description,dailCompDescEnchanter55, &gt;&gt; .\items\materia\class0026\Enchanter55.dbr</v>
      </c>
      <c r="S57" t="str">
        <f t="shared" si="7"/>
        <v>echo itemText,dailCompTextEnchanter55, &gt;&gt; .\items\materia\class0026\Enchanter55.dbr</v>
      </c>
      <c r="T57" t="str">
        <f t="shared" si="7"/>
        <v>echo augmentSkillLevel1,5, &gt;&gt; .\items\materia\class0026\Enchanter55.dbr</v>
      </c>
      <c r="U57" t="str">
        <f t="shared" si="7"/>
        <v>echo augmentSkillName1,records/skills/enchanter/charmofflames_mod.dbr, &gt;&gt; .\items\materia\class0026\Enchanter55.dbr</v>
      </c>
      <c r="V57" s="5" t="s">
        <v>36</v>
      </c>
      <c r="W57" t="str">
        <f t="shared" si="8"/>
        <v>echo lootName55,DAIL/items/materia/class0026/Enchanter55.dbr, &gt;&gt; .\items\loottables\dailoneskill0026.dbr</v>
      </c>
      <c r="X57" t="str">
        <f t="shared" si="8"/>
        <v>echo lootWeight55,1, &gt;&gt; .\items\loottables\dailoneskill0026.dbr</v>
      </c>
      <c r="Y57" s="5" t="s">
        <v>36</v>
      </c>
      <c r="Z57" t="str">
        <f t="shared" si="9"/>
        <v xml:space="preserve"> dailCompDescEnchanter55=^pEnchanter's Gift of DAIL</v>
      </c>
      <c r="AA57" t="str">
        <f t="shared" si="17"/>
        <v>dailCompTextEnchanter55=^oThis feels warm to the touch, almost familiar ^w(This component only fits into the Medal Slot)</v>
      </c>
      <c r="AB57" s="5" t="s">
        <v>36</v>
      </c>
      <c r="AH57">
        <f t="shared" si="19"/>
        <v>52</v>
      </c>
      <c r="AI57">
        <f t="shared" si="22"/>
        <v>32</v>
      </c>
      <c r="AJ57">
        <f t="shared" si="18"/>
        <v>5</v>
      </c>
    </row>
    <row r="58" spans="1:36" x14ac:dyDescent="0.25">
      <c r="A58" s="5" t="s">
        <v>39</v>
      </c>
      <c r="B58" s="5" t="s">
        <v>30</v>
      </c>
      <c r="C58" s="5" t="str">
        <f t="shared" si="0"/>
        <v>description,dailCompDescEnchanter56,</v>
      </c>
      <c r="D58" s="5" t="str">
        <f t="shared" si="2"/>
        <v>itemText,dailCompTextEnchanter56,</v>
      </c>
      <c r="E58" s="5" t="str">
        <f t="shared" si="14"/>
        <v>augmentSkillLevel1,5,</v>
      </c>
      <c r="F58" s="5" t="str">
        <f t="shared" si="15"/>
        <v>augmentSkillName1,records/skills/enchanter/timeslow.dbr,</v>
      </c>
      <c r="G58" s="7">
        <f t="shared" si="10"/>
        <v>56</v>
      </c>
      <c r="H58" s="8" t="str">
        <f t="shared" si="11"/>
        <v>Enchanter</v>
      </c>
      <c r="I58" s="3" t="s">
        <v>451</v>
      </c>
      <c r="J58" s="8" t="str">
        <f t="shared" si="23"/>
        <v>class0026</v>
      </c>
      <c r="K58" s="8" t="str">
        <f t="shared" si="23"/>
        <v>dailoneskill0026</v>
      </c>
      <c r="L58" s="5" t="str">
        <f t="shared" si="4"/>
        <v>lootName56,DAIL/items/materia/class0026/Enchanter56.dbr,</v>
      </c>
      <c r="M58" s="5" t="str">
        <f t="shared" si="5"/>
        <v>lootWeight56,1,</v>
      </c>
      <c r="N58" t="str">
        <f t="shared" si="6"/>
        <v>5</v>
      </c>
      <c r="O58" t="str">
        <f t="shared" si="16"/>
        <v>copy .\dail_base3.dbr .\items\materia\class0026\Enchanter56.dbr /y</v>
      </c>
      <c r="P58" t="str">
        <f t="shared" si="7"/>
        <v>echo relicBitmap,items/craftingparts/components/component_a52_bristlyfur_b.tex, &gt;&gt; .\items\materia\class0026\Enchanter56.dbr</v>
      </c>
      <c r="Q58" t="str">
        <f t="shared" si="7"/>
        <v>echo itemCost,500000, &gt;&gt; .\items\materia\class0026\Enchanter56.dbr</v>
      </c>
      <c r="R58" t="str">
        <f t="shared" si="7"/>
        <v>echo description,dailCompDescEnchanter56, &gt;&gt; .\items\materia\class0026\Enchanter56.dbr</v>
      </c>
      <c r="S58" t="str">
        <f t="shared" si="7"/>
        <v>echo itemText,dailCompTextEnchanter56, &gt;&gt; .\items\materia\class0026\Enchanter56.dbr</v>
      </c>
      <c r="T58" t="str">
        <f t="shared" si="7"/>
        <v>echo augmentSkillLevel1,5, &gt;&gt; .\items\materia\class0026\Enchanter56.dbr</v>
      </c>
      <c r="U58" t="str">
        <f t="shared" si="7"/>
        <v>echo augmentSkillName1,records/skills/enchanter/timeslow.dbr, &gt;&gt; .\items\materia\class0026\Enchanter56.dbr</v>
      </c>
      <c r="V58" s="5" t="s">
        <v>36</v>
      </c>
      <c r="W58" t="str">
        <f t="shared" si="8"/>
        <v>echo lootName56,DAIL/items/materia/class0026/Enchanter56.dbr, &gt;&gt; .\items\loottables\dailoneskill0026.dbr</v>
      </c>
      <c r="X58" t="str">
        <f t="shared" si="8"/>
        <v>echo lootWeight56,1, &gt;&gt; .\items\loottables\dailoneskill0026.dbr</v>
      </c>
      <c r="Y58" s="5" t="s">
        <v>36</v>
      </c>
      <c r="Z58" t="str">
        <f t="shared" si="9"/>
        <v xml:space="preserve"> dailCompDescEnchanter56=^pEnchanter's Gift of DAIL</v>
      </c>
      <c r="AA58" t="str">
        <f t="shared" si="17"/>
        <v>dailCompTextEnchanter56=^oThis feels warm to the touch, almost familiar ^w(This component only fits into the Medal Slot)</v>
      </c>
      <c r="AB58" s="5" t="s">
        <v>36</v>
      </c>
      <c r="AH58">
        <f t="shared" si="19"/>
        <v>53</v>
      </c>
      <c r="AI58">
        <f t="shared" si="22"/>
        <v>23</v>
      </c>
      <c r="AJ58">
        <f t="shared" si="18"/>
        <v>5</v>
      </c>
    </row>
    <row r="59" spans="1:36" x14ac:dyDescent="0.25">
      <c r="A59" s="5" t="s">
        <v>39</v>
      </c>
      <c r="B59" s="5" t="s">
        <v>30</v>
      </c>
      <c r="C59" s="5" t="str">
        <f t="shared" si="0"/>
        <v>description,dailCompDescEnchanter57,</v>
      </c>
      <c r="D59" s="5" t="str">
        <f t="shared" si="2"/>
        <v>itemText,dailCompTextEnchanter57,</v>
      </c>
      <c r="E59" s="5" t="str">
        <f t="shared" si="14"/>
        <v>augmentSkillLevel1,5,</v>
      </c>
      <c r="F59" s="5" t="str">
        <f t="shared" si="15"/>
        <v>augmentSkillName1,records/skills/enchanter/healingsurge.dbr,</v>
      </c>
      <c r="G59" s="7">
        <f t="shared" si="10"/>
        <v>57</v>
      </c>
      <c r="H59" s="8" t="str">
        <f t="shared" si="11"/>
        <v>Enchanter</v>
      </c>
      <c r="I59" s="3" t="s">
        <v>452</v>
      </c>
      <c r="J59" s="8" t="str">
        <f t="shared" si="23"/>
        <v>class0026</v>
      </c>
      <c r="K59" s="8" t="str">
        <f t="shared" si="23"/>
        <v>dailoneskill0026</v>
      </c>
      <c r="L59" s="5" t="str">
        <f t="shared" si="4"/>
        <v>lootName57,DAIL/items/materia/class0026/Enchanter57.dbr,</v>
      </c>
      <c r="M59" s="5" t="str">
        <f t="shared" si="5"/>
        <v>lootWeight57,1,</v>
      </c>
      <c r="N59" t="str">
        <f t="shared" si="6"/>
        <v>5</v>
      </c>
      <c r="O59" t="str">
        <f t="shared" si="16"/>
        <v>copy .\dail_base3.dbr .\items\materia\class0026\Enchanter57.dbr /y</v>
      </c>
      <c r="P59" t="str">
        <f t="shared" ref="P59:U101" si="24">IF($I59&lt;&gt;"","echo "&amp;A59&amp;" &gt;&gt; .\items\materia\"&amp;$J59&amp;"\"&amp;$H59&amp;$G59&amp;".dbr","")</f>
        <v>echo relicBitmap,items/craftingparts/components/component_a52_bristlyfur_b.tex, &gt;&gt; .\items\materia\class0026\Enchanter57.dbr</v>
      </c>
      <c r="Q59" t="str">
        <f t="shared" si="24"/>
        <v>echo itemCost,500000, &gt;&gt; .\items\materia\class0026\Enchanter57.dbr</v>
      </c>
      <c r="R59" t="str">
        <f t="shared" si="24"/>
        <v>echo description,dailCompDescEnchanter57, &gt;&gt; .\items\materia\class0026\Enchanter57.dbr</v>
      </c>
      <c r="S59" t="str">
        <f t="shared" si="24"/>
        <v>echo itemText,dailCompTextEnchanter57, &gt;&gt; .\items\materia\class0026\Enchanter57.dbr</v>
      </c>
      <c r="T59" t="str">
        <f t="shared" si="24"/>
        <v>echo augmentSkillLevel1,5, &gt;&gt; .\items\materia\class0026\Enchanter57.dbr</v>
      </c>
      <c r="U59" t="str">
        <f t="shared" si="24"/>
        <v>echo augmentSkillName1,records/skills/enchanter/healingsurge.dbr, &gt;&gt; .\items\materia\class0026\Enchanter57.dbr</v>
      </c>
      <c r="V59" s="5" t="s">
        <v>36</v>
      </c>
      <c r="W59" t="str">
        <f t="shared" si="8"/>
        <v>echo lootName57,DAIL/items/materia/class0026/Enchanter57.dbr, &gt;&gt; .\items\loottables\dailoneskill0026.dbr</v>
      </c>
      <c r="X59" t="str">
        <f t="shared" si="8"/>
        <v>echo lootWeight57,1, &gt;&gt; .\items\loottables\dailoneskill0026.dbr</v>
      </c>
      <c r="Y59" s="5" t="s">
        <v>36</v>
      </c>
      <c r="Z59" t="str">
        <f t="shared" si="9"/>
        <v xml:space="preserve"> dailCompDescEnchanter57=^pEnchanter's Gift of DAIL</v>
      </c>
      <c r="AA59" t="str">
        <f t="shared" si="17"/>
        <v>dailCompTextEnchanter57=^oThis feels warm to the touch, almost familiar ^w(This component only fits into the Medal Slot)</v>
      </c>
      <c r="AB59" s="5" t="s">
        <v>36</v>
      </c>
      <c r="AH59">
        <f t="shared" si="19"/>
        <v>54</v>
      </c>
      <c r="AI59">
        <f t="shared" si="22"/>
        <v>27</v>
      </c>
      <c r="AJ59">
        <f t="shared" si="18"/>
        <v>5</v>
      </c>
    </row>
    <row r="60" spans="1:36" x14ac:dyDescent="0.25">
      <c r="A60" s="5" t="s">
        <v>39</v>
      </c>
      <c r="B60" s="5" t="s">
        <v>30</v>
      </c>
      <c r="C60" s="5" t="str">
        <f t="shared" si="0"/>
        <v>description,dailCompDescEnchanter58,</v>
      </c>
      <c r="D60" s="5" t="str">
        <f t="shared" si="2"/>
        <v>itemText,dailCompTextEnchanter58,</v>
      </c>
      <c r="E60" s="5" t="str">
        <f t="shared" si="14"/>
        <v>augmentSkillLevel1,5,</v>
      </c>
      <c r="F60" s="5" t="str">
        <f t="shared" si="15"/>
        <v>augmentSkillName1,records/skills/enchanter/healingsurge_mod.dbr,</v>
      </c>
      <c r="G60" s="7">
        <f t="shared" si="10"/>
        <v>58</v>
      </c>
      <c r="H60" s="8" t="str">
        <f t="shared" si="11"/>
        <v>Enchanter</v>
      </c>
      <c r="I60" s="3" t="s">
        <v>453</v>
      </c>
      <c r="J60" s="8" t="str">
        <f t="shared" si="23"/>
        <v>class0026</v>
      </c>
      <c r="K60" s="8" t="str">
        <f t="shared" si="23"/>
        <v>dailoneskill0026</v>
      </c>
      <c r="L60" s="5" t="str">
        <f t="shared" si="4"/>
        <v>lootName58,DAIL/items/materia/class0026/Enchanter58.dbr,</v>
      </c>
      <c r="M60" s="5" t="str">
        <f t="shared" si="5"/>
        <v>lootWeight58,1,</v>
      </c>
      <c r="N60" t="str">
        <f t="shared" si="6"/>
        <v>5</v>
      </c>
      <c r="O60" t="str">
        <f t="shared" si="16"/>
        <v>copy .\dail_base3.dbr .\items\materia\class0026\Enchanter58.dbr /y</v>
      </c>
      <c r="P60" t="str">
        <f t="shared" si="24"/>
        <v>echo relicBitmap,items/craftingparts/components/component_a52_bristlyfur_b.tex, &gt;&gt; .\items\materia\class0026\Enchanter58.dbr</v>
      </c>
      <c r="Q60" t="str">
        <f t="shared" si="24"/>
        <v>echo itemCost,500000, &gt;&gt; .\items\materia\class0026\Enchanter58.dbr</v>
      </c>
      <c r="R60" t="str">
        <f t="shared" si="24"/>
        <v>echo description,dailCompDescEnchanter58, &gt;&gt; .\items\materia\class0026\Enchanter58.dbr</v>
      </c>
      <c r="S60" t="str">
        <f t="shared" si="24"/>
        <v>echo itemText,dailCompTextEnchanter58, &gt;&gt; .\items\materia\class0026\Enchanter58.dbr</v>
      </c>
      <c r="T60" t="str">
        <f t="shared" si="24"/>
        <v>echo augmentSkillLevel1,5, &gt;&gt; .\items\materia\class0026\Enchanter58.dbr</v>
      </c>
      <c r="U60" t="str">
        <f t="shared" si="24"/>
        <v>echo augmentSkillName1,records/skills/enchanter/healingsurge_mod.dbr, &gt;&gt; .\items\materia\class0026\Enchanter58.dbr</v>
      </c>
      <c r="V60" s="5" t="s">
        <v>36</v>
      </c>
      <c r="W60" t="str">
        <f t="shared" si="8"/>
        <v>echo lootName58,DAIL/items/materia/class0026/Enchanter58.dbr, &gt;&gt; .\items\loottables\dailoneskill0026.dbr</v>
      </c>
      <c r="X60" t="str">
        <f t="shared" si="8"/>
        <v>echo lootWeight58,1, &gt;&gt; .\items\loottables\dailoneskill0026.dbr</v>
      </c>
      <c r="Y60" s="5" t="s">
        <v>36</v>
      </c>
      <c r="Z60" t="str">
        <f t="shared" si="9"/>
        <v xml:space="preserve"> dailCompDescEnchanter58=^pEnchanter's Gift of DAIL</v>
      </c>
      <c r="AA60" t="str">
        <f t="shared" si="17"/>
        <v>dailCompTextEnchanter58=^oThis feels warm to the touch, almost familiar ^w(This component only fits into the Medal Slot)</v>
      </c>
      <c r="AB60" s="5" t="s">
        <v>36</v>
      </c>
      <c r="AH60">
        <f t="shared" si="19"/>
        <v>55</v>
      </c>
      <c r="AI60">
        <f t="shared" si="22"/>
        <v>31</v>
      </c>
      <c r="AJ60">
        <f t="shared" si="18"/>
        <v>5</v>
      </c>
    </row>
    <row r="61" spans="1:36" x14ac:dyDescent="0.25">
      <c r="A61" s="5" t="s">
        <v>39</v>
      </c>
      <c r="B61" s="5" t="s">
        <v>30</v>
      </c>
      <c r="C61" s="5" t="str">
        <f t="shared" si="0"/>
        <v>description,dailCompDescEnchanter59,</v>
      </c>
      <c r="D61" s="5" t="str">
        <f t="shared" si="2"/>
        <v>itemText,dailCompTextEnchanter59,</v>
      </c>
      <c r="E61" s="5" t="str">
        <f t="shared" si="14"/>
        <v>augmentSkillLevel1,5,</v>
      </c>
      <c r="F61" s="5" t="str">
        <f t="shared" si="15"/>
        <v>augmentSkillName1,records/skills/enchanter/lifeveil.dbr,</v>
      </c>
      <c r="G61" s="7">
        <f t="shared" si="10"/>
        <v>59</v>
      </c>
      <c r="H61" s="8" t="str">
        <f t="shared" si="11"/>
        <v>Enchanter</v>
      </c>
      <c r="I61" s="3" t="s">
        <v>454</v>
      </c>
      <c r="J61" s="8" t="str">
        <f t="shared" si="23"/>
        <v>class0026</v>
      </c>
      <c r="K61" s="8" t="str">
        <f t="shared" si="23"/>
        <v>dailoneskill0026</v>
      </c>
      <c r="L61" s="5" t="str">
        <f t="shared" si="4"/>
        <v>lootName59,DAIL/items/materia/class0026/Enchanter59.dbr,</v>
      </c>
      <c r="M61" s="5" t="str">
        <f t="shared" si="5"/>
        <v>lootWeight59,1,</v>
      </c>
      <c r="N61" t="str">
        <f t="shared" si="6"/>
        <v>5</v>
      </c>
      <c r="O61" t="str">
        <f t="shared" si="16"/>
        <v>copy .\dail_base3.dbr .\items\materia\class0026\Enchanter59.dbr /y</v>
      </c>
      <c r="P61" t="str">
        <f t="shared" si="24"/>
        <v>echo relicBitmap,items/craftingparts/components/component_a52_bristlyfur_b.tex, &gt;&gt; .\items\materia\class0026\Enchanter59.dbr</v>
      </c>
      <c r="Q61" t="str">
        <f t="shared" si="24"/>
        <v>echo itemCost,500000, &gt;&gt; .\items\materia\class0026\Enchanter59.dbr</v>
      </c>
      <c r="R61" t="str">
        <f t="shared" si="24"/>
        <v>echo description,dailCompDescEnchanter59, &gt;&gt; .\items\materia\class0026\Enchanter59.dbr</v>
      </c>
      <c r="S61" t="str">
        <f t="shared" si="24"/>
        <v>echo itemText,dailCompTextEnchanter59, &gt;&gt; .\items\materia\class0026\Enchanter59.dbr</v>
      </c>
      <c r="T61" t="str">
        <f t="shared" si="24"/>
        <v>echo augmentSkillLevel1,5, &gt;&gt; .\items\materia\class0026\Enchanter59.dbr</v>
      </c>
      <c r="U61" t="str">
        <f t="shared" si="24"/>
        <v>echo augmentSkillName1,records/skills/enchanter/lifeveil.dbr, &gt;&gt; .\items\materia\class0026\Enchanter59.dbr</v>
      </c>
      <c r="V61" s="5" t="s">
        <v>36</v>
      </c>
      <c r="W61" t="str">
        <f t="shared" si="8"/>
        <v>echo lootName59,DAIL/items/materia/class0026/Enchanter59.dbr, &gt;&gt; .\items\loottables\dailoneskill0026.dbr</v>
      </c>
      <c r="X61" t="str">
        <f t="shared" si="8"/>
        <v>echo lootWeight59,1, &gt;&gt; .\items\loottables\dailoneskill0026.dbr</v>
      </c>
      <c r="Y61" s="5" t="s">
        <v>36</v>
      </c>
      <c r="Z61" t="str">
        <f t="shared" si="9"/>
        <v xml:space="preserve"> dailCompDescEnchanter59=^pEnchanter's Gift of DAIL</v>
      </c>
      <c r="AA61" t="str">
        <f t="shared" si="17"/>
        <v>dailCompTextEnchanter59=^oThis feels warm to the touch, almost familiar ^w(This component only fits into the Medal Slot)</v>
      </c>
      <c r="AB61" s="5" t="s">
        <v>36</v>
      </c>
      <c r="AH61">
        <f t="shared" si="19"/>
        <v>56</v>
      </c>
      <c r="AI61">
        <f t="shared" si="22"/>
        <v>23</v>
      </c>
      <c r="AJ61">
        <f t="shared" si="18"/>
        <v>5</v>
      </c>
    </row>
    <row r="62" spans="1:36" x14ac:dyDescent="0.25">
      <c r="A62" s="5" t="s">
        <v>39</v>
      </c>
      <c r="B62" s="5" t="s">
        <v>30</v>
      </c>
      <c r="C62" s="5" t="str">
        <f t="shared" si="0"/>
        <v>description,dailCompDescEnchanter60,</v>
      </c>
      <c r="D62" s="5" t="str">
        <f t="shared" si="2"/>
        <v>itemText,dailCompTextEnchanter60,</v>
      </c>
      <c r="E62" s="5" t="str">
        <f t="shared" si="14"/>
        <v>augmentSkillLevel1,5,</v>
      </c>
      <c r="F62" s="5" t="str">
        <f t="shared" si="15"/>
        <v>augmentSkillName1,records/skills/enchanter/charmofearth.dbr,</v>
      </c>
      <c r="G62" s="7">
        <f t="shared" si="10"/>
        <v>60</v>
      </c>
      <c r="H62" s="8" t="str">
        <f t="shared" si="11"/>
        <v>Enchanter</v>
      </c>
      <c r="I62" s="3" t="s">
        <v>455</v>
      </c>
      <c r="J62" s="8" t="str">
        <f t="shared" si="23"/>
        <v>class0026</v>
      </c>
      <c r="K62" s="8" t="str">
        <f t="shared" si="23"/>
        <v>dailoneskill0026</v>
      </c>
      <c r="L62" s="5" t="str">
        <f t="shared" si="4"/>
        <v>lootName60,DAIL/items/materia/class0026/Enchanter60.dbr,</v>
      </c>
      <c r="M62" s="5" t="str">
        <f t="shared" si="5"/>
        <v>lootWeight60,1,</v>
      </c>
      <c r="N62" t="str">
        <f t="shared" si="6"/>
        <v>5</v>
      </c>
      <c r="O62" t="str">
        <f t="shared" si="16"/>
        <v>copy .\dail_base3.dbr .\items\materia\class0026\Enchanter60.dbr /y</v>
      </c>
      <c r="P62" t="str">
        <f t="shared" si="24"/>
        <v>echo relicBitmap,items/craftingparts/components/component_a52_bristlyfur_b.tex, &gt;&gt; .\items\materia\class0026\Enchanter60.dbr</v>
      </c>
      <c r="Q62" t="str">
        <f t="shared" si="24"/>
        <v>echo itemCost,500000, &gt;&gt; .\items\materia\class0026\Enchanter60.dbr</v>
      </c>
      <c r="R62" t="str">
        <f t="shared" si="24"/>
        <v>echo description,dailCompDescEnchanter60, &gt;&gt; .\items\materia\class0026\Enchanter60.dbr</v>
      </c>
      <c r="S62" t="str">
        <f t="shared" si="24"/>
        <v>echo itemText,dailCompTextEnchanter60, &gt;&gt; .\items\materia\class0026\Enchanter60.dbr</v>
      </c>
      <c r="T62" t="str">
        <f t="shared" si="24"/>
        <v>echo augmentSkillLevel1,5, &gt;&gt; .\items\materia\class0026\Enchanter60.dbr</v>
      </c>
      <c r="U62" t="str">
        <f t="shared" si="24"/>
        <v>echo augmentSkillName1,records/skills/enchanter/charmofearth.dbr, &gt;&gt; .\items\materia\class0026\Enchanter60.dbr</v>
      </c>
      <c r="V62" s="5" t="s">
        <v>36</v>
      </c>
      <c r="W62" t="str">
        <f t="shared" si="8"/>
        <v>echo lootName60,DAIL/items/materia/class0026/Enchanter60.dbr, &gt;&gt; .\items\loottables\dailoneskill0026.dbr</v>
      </c>
      <c r="X62" t="str">
        <f t="shared" si="8"/>
        <v>echo lootWeight60,1, &gt;&gt; .\items\loottables\dailoneskill0026.dbr</v>
      </c>
      <c r="Y62" s="5" t="s">
        <v>36</v>
      </c>
      <c r="Z62" t="str">
        <f t="shared" si="9"/>
        <v xml:space="preserve"> dailCompDescEnchanter60=^pEnchanter's Gift of DAIL</v>
      </c>
      <c r="AA62" t="str">
        <f t="shared" si="17"/>
        <v>dailCompTextEnchanter60=^oThis feels warm to the touch, almost familiar ^w(This component only fits into the Medal Slot)</v>
      </c>
      <c r="AB62" s="5" t="s">
        <v>36</v>
      </c>
      <c r="AH62">
        <f t="shared" si="19"/>
        <v>57</v>
      </c>
      <c r="AI62">
        <f t="shared" si="22"/>
        <v>27</v>
      </c>
      <c r="AJ62">
        <f t="shared" si="18"/>
        <v>5</v>
      </c>
    </row>
    <row r="63" spans="1:36" x14ac:dyDescent="0.25">
      <c r="A63" s="5" t="s">
        <v>39</v>
      </c>
      <c r="B63" s="5" t="s">
        <v>30</v>
      </c>
      <c r="C63" s="5" t="str">
        <f t="shared" si="0"/>
        <v>description,dailCompDescEnchanter61,</v>
      </c>
      <c r="D63" s="5" t="str">
        <f t="shared" si="2"/>
        <v>itemText,dailCompTextEnchanter61,</v>
      </c>
      <c r="E63" s="5" t="str">
        <f t="shared" si="14"/>
        <v>augmentSkillLevel1,5,</v>
      </c>
      <c r="F63" s="5" t="str">
        <f t="shared" si="15"/>
        <v>augmentSkillName1,records/skills/enchanter/charmofearth_mod.dbr,</v>
      </c>
      <c r="G63" s="7">
        <f t="shared" si="10"/>
        <v>61</v>
      </c>
      <c r="H63" s="8" t="str">
        <f t="shared" si="11"/>
        <v>Enchanter</v>
      </c>
      <c r="I63" s="3" t="s">
        <v>456</v>
      </c>
      <c r="J63" s="8" t="str">
        <f t="shared" si="23"/>
        <v>class0026</v>
      </c>
      <c r="K63" s="8" t="str">
        <f t="shared" si="23"/>
        <v>dailoneskill0026</v>
      </c>
      <c r="L63" s="5" t="str">
        <f t="shared" si="4"/>
        <v>lootName61,DAIL/items/materia/class0026/Enchanter61.dbr,</v>
      </c>
      <c r="M63" s="5" t="str">
        <f t="shared" si="5"/>
        <v>lootWeight61,1,</v>
      </c>
      <c r="N63" t="str">
        <f t="shared" si="6"/>
        <v>5</v>
      </c>
      <c r="O63" t="str">
        <f t="shared" si="16"/>
        <v>copy .\dail_base3.dbr .\items\materia\class0026\Enchanter61.dbr /y</v>
      </c>
      <c r="P63" t="str">
        <f t="shared" si="24"/>
        <v>echo relicBitmap,items/craftingparts/components/component_a52_bristlyfur_b.tex, &gt;&gt; .\items\materia\class0026\Enchanter61.dbr</v>
      </c>
      <c r="Q63" t="str">
        <f t="shared" si="24"/>
        <v>echo itemCost,500000, &gt;&gt; .\items\materia\class0026\Enchanter61.dbr</v>
      </c>
      <c r="R63" t="str">
        <f t="shared" si="24"/>
        <v>echo description,dailCompDescEnchanter61, &gt;&gt; .\items\materia\class0026\Enchanter61.dbr</v>
      </c>
      <c r="S63" t="str">
        <f t="shared" si="24"/>
        <v>echo itemText,dailCompTextEnchanter61, &gt;&gt; .\items\materia\class0026\Enchanter61.dbr</v>
      </c>
      <c r="T63" t="str">
        <f t="shared" si="24"/>
        <v>echo augmentSkillLevel1,5, &gt;&gt; .\items\materia\class0026\Enchanter61.dbr</v>
      </c>
      <c r="U63" t="str">
        <f t="shared" si="24"/>
        <v>echo augmentSkillName1,records/skills/enchanter/charmofearth_mod.dbr, &gt;&gt; .\items\materia\class0026\Enchanter61.dbr</v>
      </c>
      <c r="V63" s="5" t="s">
        <v>36</v>
      </c>
      <c r="W63" t="str">
        <f t="shared" si="8"/>
        <v>echo lootName61,DAIL/items/materia/class0026/Enchanter61.dbr, &gt;&gt; .\items\loottables\dailoneskill0026.dbr</v>
      </c>
      <c r="X63" t="str">
        <f t="shared" si="8"/>
        <v>echo lootWeight61,1, &gt;&gt; .\items\loottables\dailoneskill0026.dbr</v>
      </c>
      <c r="Y63" s="5" t="s">
        <v>36</v>
      </c>
      <c r="Z63" t="str">
        <f t="shared" si="9"/>
        <v xml:space="preserve"> dailCompDescEnchanter61=^pEnchanter's Gift of DAIL</v>
      </c>
      <c r="AA63" t="str">
        <f t="shared" si="17"/>
        <v>dailCompTextEnchanter61=^oThis feels warm to the touch, almost familiar ^w(This component only fits into the Medal Slot)</v>
      </c>
      <c r="AB63" s="5" t="s">
        <v>36</v>
      </c>
      <c r="AH63">
        <f t="shared" si="19"/>
        <v>58</v>
      </c>
      <c r="AI63">
        <f t="shared" si="22"/>
        <v>31</v>
      </c>
      <c r="AJ63">
        <f t="shared" si="18"/>
        <v>5</v>
      </c>
    </row>
    <row r="64" spans="1:36" x14ac:dyDescent="0.25">
      <c r="A64" s="5" t="s">
        <v>39</v>
      </c>
      <c r="B64" s="5" t="s">
        <v>30</v>
      </c>
      <c r="C64" s="5" t="str">
        <f t="shared" si="0"/>
        <v>description,dailCompDescEnchanter62,</v>
      </c>
      <c r="D64" s="5" t="str">
        <f t="shared" si="2"/>
        <v>itemText,dailCompTextEnchanter62,</v>
      </c>
      <c r="E64" s="5" t="str">
        <f t="shared" si="14"/>
        <v>augmentSkillLevel1,5,</v>
      </c>
      <c r="F64" s="5" t="str">
        <f t="shared" si="15"/>
        <v>augmentSkillName1,records/skills/enchanter/entropicbeam.dbr,</v>
      </c>
      <c r="G64" s="7">
        <f t="shared" si="10"/>
        <v>62</v>
      </c>
      <c r="H64" s="8" t="str">
        <f t="shared" si="11"/>
        <v>Enchanter</v>
      </c>
      <c r="I64" s="3" t="s">
        <v>457</v>
      </c>
      <c r="J64" s="8" t="str">
        <f t="shared" si="23"/>
        <v>class0026</v>
      </c>
      <c r="K64" s="8" t="str">
        <f t="shared" si="23"/>
        <v>dailoneskill0026</v>
      </c>
      <c r="L64" s="5" t="str">
        <f t="shared" si="4"/>
        <v>lootName62,DAIL/items/materia/class0026/Enchanter62.dbr,</v>
      </c>
      <c r="M64" s="5" t="str">
        <f t="shared" si="5"/>
        <v>lootWeight62,1,</v>
      </c>
      <c r="N64" t="str">
        <f t="shared" si="6"/>
        <v>5</v>
      </c>
      <c r="O64" t="str">
        <f t="shared" si="16"/>
        <v>copy .\dail_base3.dbr .\items\materia\class0026\Enchanter62.dbr /y</v>
      </c>
      <c r="P64" t="str">
        <f t="shared" si="24"/>
        <v>echo relicBitmap,items/craftingparts/components/component_a52_bristlyfur_b.tex, &gt;&gt; .\items\materia\class0026\Enchanter62.dbr</v>
      </c>
      <c r="Q64" t="str">
        <f t="shared" si="24"/>
        <v>echo itemCost,500000, &gt;&gt; .\items\materia\class0026\Enchanter62.dbr</v>
      </c>
      <c r="R64" t="str">
        <f t="shared" si="24"/>
        <v>echo description,dailCompDescEnchanter62, &gt;&gt; .\items\materia\class0026\Enchanter62.dbr</v>
      </c>
      <c r="S64" t="str">
        <f t="shared" si="24"/>
        <v>echo itemText,dailCompTextEnchanter62, &gt;&gt; .\items\materia\class0026\Enchanter62.dbr</v>
      </c>
      <c r="T64" t="str">
        <f t="shared" si="24"/>
        <v>echo augmentSkillLevel1,5, &gt;&gt; .\items\materia\class0026\Enchanter62.dbr</v>
      </c>
      <c r="U64" t="str">
        <f t="shared" si="24"/>
        <v>echo augmentSkillName1,records/skills/enchanter/entropicbeam.dbr, &gt;&gt; .\items\materia\class0026\Enchanter62.dbr</v>
      </c>
      <c r="V64" s="5" t="s">
        <v>36</v>
      </c>
      <c r="W64" t="str">
        <f t="shared" si="8"/>
        <v>echo lootName62,DAIL/items/materia/class0026/Enchanter62.dbr, &gt;&gt; .\items\loottables\dailoneskill0026.dbr</v>
      </c>
      <c r="X64" t="str">
        <f t="shared" si="8"/>
        <v>echo lootWeight62,1, &gt;&gt; .\items\loottables\dailoneskill0026.dbr</v>
      </c>
      <c r="Y64" s="5" t="s">
        <v>36</v>
      </c>
      <c r="Z64" t="str">
        <f t="shared" si="9"/>
        <v xml:space="preserve"> dailCompDescEnchanter62=^pEnchanter's Gift of DAIL</v>
      </c>
      <c r="AA64" t="str">
        <f t="shared" si="17"/>
        <v>dailCompTextEnchanter62=^oThis feels warm to the touch, almost familiar ^w(This component only fits into the Medal Slot)</v>
      </c>
      <c r="AB64" s="5" t="s">
        <v>36</v>
      </c>
      <c r="AH64">
        <f t="shared" si="19"/>
        <v>59</v>
      </c>
      <c r="AI64">
        <f t="shared" si="22"/>
        <v>27</v>
      </c>
      <c r="AJ64">
        <f t="shared" si="18"/>
        <v>5</v>
      </c>
    </row>
    <row r="65" spans="1:36" x14ac:dyDescent="0.25">
      <c r="A65" s="5" t="s">
        <v>39</v>
      </c>
      <c r="B65" s="5" t="s">
        <v>30</v>
      </c>
      <c r="C65" s="5" t="str">
        <f t="shared" si="0"/>
        <v>description,dailCompDescEnchanter63,</v>
      </c>
      <c r="D65" s="5" t="str">
        <f t="shared" si="2"/>
        <v>itemText,dailCompTextEnchanter63,</v>
      </c>
      <c r="E65" s="5" t="str">
        <f t="shared" si="14"/>
        <v>augmentSkillLevel1,5,</v>
      </c>
      <c r="F65" s="5" t="str">
        <f t="shared" si="15"/>
        <v>augmentSkillName1,records/skills/enchanter/entropicbeam_mod.dbr,</v>
      </c>
      <c r="G65" s="7">
        <f t="shared" si="10"/>
        <v>63</v>
      </c>
      <c r="H65" s="8" t="str">
        <f t="shared" si="11"/>
        <v>Enchanter</v>
      </c>
      <c r="I65" s="3" t="s">
        <v>458</v>
      </c>
      <c r="J65" s="8" t="str">
        <f t="shared" si="23"/>
        <v>class0026</v>
      </c>
      <c r="K65" s="8" t="str">
        <f t="shared" si="23"/>
        <v>dailoneskill0026</v>
      </c>
      <c r="L65" s="5" t="str">
        <f t="shared" si="4"/>
        <v>lootName63,DAIL/items/materia/class0026/Enchanter63.dbr,</v>
      </c>
      <c r="M65" s="5" t="str">
        <f t="shared" si="5"/>
        <v>lootWeight63,1,</v>
      </c>
      <c r="N65" t="str">
        <f t="shared" si="6"/>
        <v>5</v>
      </c>
      <c r="O65" t="str">
        <f t="shared" si="16"/>
        <v>copy .\dail_base3.dbr .\items\materia\class0026\Enchanter63.dbr /y</v>
      </c>
      <c r="P65" t="str">
        <f t="shared" si="24"/>
        <v>echo relicBitmap,items/craftingparts/components/component_a52_bristlyfur_b.tex, &gt;&gt; .\items\materia\class0026\Enchanter63.dbr</v>
      </c>
      <c r="Q65" t="str">
        <f t="shared" si="24"/>
        <v>echo itemCost,500000, &gt;&gt; .\items\materia\class0026\Enchanter63.dbr</v>
      </c>
      <c r="R65" t="str">
        <f t="shared" si="24"/>
        <v>echo description,dailCompDescEnchanter63, &gt;&gt; .\items\materia\class0026\Enchanter63.dbr</v>
      </c>
      <c r="S65" t="str">
        <f t="shared" si="24"/>
        <v>echo itemText,dailCompTextEnchanter63, &gt;&gt; .\items\materia\class0026\Enchanter63.dbr</v>
      </c>
      <c r="T65" t="str">
        <f t="shared" si="24"/>
        <v>echo augmentSkillLevel1,5, &gt;&gt; .\items\materia\class0026\Enchanter63.dbr</v>
      </c>
      <c r="U65" t="str">
        <f t="shared" si="24"/>
        <v>echo augmentSkillName1,records/skills/enchanter/entropicbeam_mod.dbr, &gt;&gt; .\items\materia\class0026\Enchanter63.dbr</v>
      </c>
      <c r="V65" s="5" t="s">
        <v>36</v>
      </c>
      <c r="W65" t="str">
        <f t="shared" si="8"/>
        <v>echo lootName63,DAIL/items/materia/class0026/Enchanter63.dbr, &gt;&gt; .\items\loottables\dailoneskill0026.dbr</v>
      </c>
      <c r="X65" t="str">
        <f t="shared" si="8"/>
        <v>echo lootWeight63,1, &gt;&gt; .\items\loottables\dailoneskill0026.dbr</v>
      </c>
      <c r="Y65" s="5" t="s">
        <v>36</v>
      </c>
      <c r="Z65" t="str">
        <f t="shared" si="9"/>
        <v xml:space="preserve"> dailCompDescEnchanter63=^pEnchanter's Gift of DAIL</v>
      </c>
      <c r="AA65" t="str">
        <f t="shared" si="17"/>
        <v>dailCompTextEnchanter63=^oThis feels warm to the touch, almost familiar ^w(This component only fits into the Medal Slot)</v>
      </c>
      <c r="AB65" s="5" t="s">
        <v>36</v>
      </c>
      <c r="AH65">
        <f t="shared" si="19"/>
        <v>60</v>
      </c>
      <c r="AI65">
        <f t="shared" si="22"/>
        <v>31</v>
      </c>
      <c r="AJ65">
        <f t="shared" si="18"/>
        <v>5</v>
      </c>
    </row>
    <row r="66" spans="1:36" x14ac:dyDescent="0.25">
      <c r="A66" s="5" t="s">
        <v>39</v>
      </c>
      <c r="B66" s="5" t="s">
        <v>30</v>
      </c>
      <c r="C66" s="5" t="str">
        <f t="shared" si="0"/>
        <v>description,dailCompDescEnchanter64,</v>
      </c>
      <c r="D66" s="5" t="str">
        <f t="shared" si="2"/>
        <v>itemText,dailCompTextEnchanter64,</v>
      </c>
      <c r="E66" s="5" t="str">
        <f t="shared" si="14"/>
        <v>augmentSkillLevel1,5,</v>
      </c>
      <c r="F66" s="5" t="str">
        <f t="shared" si="15"/>
        <v>augmentSkillName1,records/skills/enchanter/beaconsummon.dbr,</v>
      </c>
      <c r="G66" s="7">
        <f t="shared" si="10"/>
        <v>64</v>
      </c>
      <c r="H66" s="8" t="str">
        <f t="shared" si="11"/>
        <v>Enchanter</v>
      </c>
      <c r="I66" s="3" t="s">
        <v>459</v>
      </c>
      <c r="J66" s="8" t="str">
        <f t="shared" si="23"/>
        <v>class0026</v>
      </c>
      <c r="K66" s="8" t="str">
        <f t="shared" si="23"/>
        <v>dailoneskill0026</v>
      </c>
      <c r="L66" s="5" t="str">
        <f t="shared" si="4"/>
        <v>lootName64,DAIL/items/materia/class0026/Enchanter64.dbr,</v>
      </c>
      <c r="M66" s="5" t="str">
        <f t="shared" si="5"/>
        <v>lootWeight64,1,</v>
      </c>
      <c r="N66" t="str">
        <f t="shared" si="6"/>
        <v>5</v>
      </c>
      <c r="O66" t="str">
        <f t="shared" si="16"/>
        <v>copy .\dail_base3.dbr .\items\materia\class0026\Enchanter64.dbr /y</v>
      </c>
      <c r="P66" t="str">
        <f t="shared" si="24"/>
        <v>echo relicBitmap,items/craftingparts/components/component_a52_bristlyfur_b.tex, &gt;&gt; .\items\materia\class0026\Enchanter64.dbr</v>
      </c>
      <c r="Q66" t="str">
        <f t="shared" si="24"/>
        <v>echo itemCost,500000, &gt;&gt; .\items\materia\class0026\Enchanter64.dbr</v>
      </c>
      <c r="R66" t="str">
        <f t="shared" si="24"/>
        <v>echo description,dailCompDescEnchanter64, &gt;&gt; .\items\materia\class0026\Enchanter64.dbr</v>
      </c>
      <c r="S66" t="str">
        <f t="shared" si="24"/>
        <v>echo itemText,dailCompTextEnchanter64, &gt;&gt; .\items\materia\class0026\Enchanter64.dbr</v>
      </c>
      <c r="T66" t="str">
        <f t="shared" si="24"/>
        <v>echo augmentSkillLevel1,5, &gt;&gt; .\items\materia\class0026\Enchanter64.dbr</v>
      </c>
      <c r="U66" t="str">
        <f t="shared" si="24"/>
        <v>echo augmentSkillName1,records/skills/enchanter/beaconsummon.dbr, &gt;&gt; .\items\materia\class0026\Enchanter64.dbr</v>
      </c>
      <c r="V66" s="5" t="s">
        <v>36</v>
      </c>
      <c r="W66" t="str">
        <f t="shared" si="8"/>
        <v>echo lootName64,DAIL/items/materia/class0026/Enchanter64.dbr, &gt;&gt; .\items\loottables\dailoneskill0026.dbr</v>
      </c>
      <c r="X66" t="str">
        <f t="shared" si="8"/>
        <v>echo lootWeight64,1, &gt;&gt; .\items\loottables\dailoneskill0026.dbr</v>
      </c>
      <c r="Y66" s="5" t="s">
        <v>36</v>
      </c>
      <c r="Z66" t="str">
        <f t="shared" si="9"/>
        <v xml:space="preserve"> dailCompDescEnchanter64=^pEnchanter's Gift of DAIL</v>
      </c>
      <c r="AA66" t="str">
        <f t="shared" si="17"/>
        <v>dailCompTextEnchanter64=^oThis feels warm to the touch, almost familiar ^w(This component only fits into the Medal Slot)</v>
      </c>
      <c r="AB66" s="5" t="s">
        <v>36</v>
      </c>
      <c r="AH66">
        <f t="shared" si="19"/>
        <v>61</v>
      </c>
      <c r="AI66">
        <f t="shared" si="22"/>
        <v>27</v>
      </c>
      <c r="AJ66">
        <f t="shared" si="18"/>
        <v>5</v>
      </c>
    </row>
    <row r="67" spans="1:36" x14ac:dyDescent="0.25">
      <c r="A67" s="5" t="s">
        <v>39</v>
      </c>
      <c r="B67" s="5" t="s">
        <v>30</v>
      </c>
      <c r="C67" s="5" t="str">
        <f t="shared" ref="C67:C102" si="25">"description,dailCompDesc"&amp;H67&amp;G67&amp;","</f>
        <v>description,dailCompDescEnchanter65,</v>
      </c>
      <c r="D67" s="5" t="str">
        <f t="shared" si="2"/>
        <v>itemText,dailCompTextEnchanter65,</v>
      </c>
      <c r="E67" s="5" t="str">
        <f t="shared" si="14"/>
        <v>augmentSkillLevel1,5,</v>
      </c>
      <c r="F67" s="5" t="str">
        <f t="shared" si="15"/>
        <v>augmentSkillName1,records/skills/enchanter/naturalresilience.dbr,</v>
      </c>
      <c r="G67" s="7">
        <f t="shared" si="10"/>
        <v>65</v>
      </c>
      <c r="H67" s="8" t="str">
        <f t="shared" si="11"/>
        <v>Enchanter</v>
      </c>
      <c r="I67" s="3" t="s">
        <v>460</v>
      </c>
      <c r="J67" s="8" t="str">
        <f t="shared" si="23"/>
        <v>class0026</v>
      </c>
      <c r="K67" s="8" t="str">
        <f t="shared" si="23"/>
        <v>dailoneskill0026</v>
      </c>
      <c r="L67" s="5" t="str">
        <f t="shared" si="4"/>
        <v>lootName65,DAIL/items/materia/class0026/Enchanter65.dbr,</v>
      </c>
      <c r="M67" s="5" t="str">
        <f t="shared" si="5"/>
        <v>lootWeight65,1,</v>
      </c>
      <c r="N67" t="str">
        <f t="shared" si="6"/>
        <v>5</v>
      </c>
      <c r="O67" t="str">
        <f t="shared" si="16"/>
        <v>copy .\dail_base3.dbr .\items\materia\class0026\Enchanter65.dbr /y</v>
      </c>
      <c r="P67" t="str">
        <f t="shared" si="24"/>
        <v>echo relicBitmap,items/craftingparts/components/component_a52_bristlyfur_b.tex, &gt;&gt; .\items\materia\class0026\Enchanter65.dbr</v>
      </c>
      <c r="Q67" t="str">
        <f t="shared" si="24"/>
        <v>echo itemCost,500000, &gt;&gt; .\items\materia\class0026\Enchanter65.dbr</v>
      </c>
      <c r="R67" t="str">
        <f t="shared" si="24"/>
        <v>echo description,dailCompDescEnchanter65, &gt;&gt; .\items\materia\class0026\Enchanter65.dbr</v>
      </c>
      <c r="S67" t="str">
        <f t="shared" si="24"/>
        <v>echo itemText,dailCompTextEnchanter65, &gt;&gt; .\items\materia\class0026\Enchanter65.dbr</v>
      </c>
      <c r="T67" t="str">
        <f t="shared" si="24"/>
        <v>echo augmentSkillLevel1,5, &gt;&gt; .\items\materia\class0026\Enchanter65.dbr</v>
      </c>
      <c r="U67" t="str">
        <f t="shared" si="24"/>
        <v>echo augmentSkillName1,records/skills/enchanter/naturalresilience.dbr, &gt;&gt; .\items\materia\class0026\Enchanter65.dbr</v>
      </c>
      <c r="V67" s="5" t="s">
        <v>36</v>
      </c>
      <c r="W67" t="str">
        <f t="shared" si="8"/>
        <v>echo lootName65,DAIL/items/materia/class0026/Enchanter65.dbr, &gt;&gt; .\items\loottables\dailoneskill0026.dbr</v>
      </c>
      <c r="X67" t="str">
        <f t="shared" si="8"/>
        <v>echo lootWeight65,1, &gt;&gt; .\items\loottables\dailoneskill0026.dbr</v>
      </c>
      <c r="Y67" s="5" t="s">
        <v>36</v>
      </c>
      <c r="Z67" t="str">
        <f t="shared" si="9"/>
        <v xml:space="preserve"> dailCompDescEnchanter65=^pEnchanter's Gift of DAIL</v>
      </c>
      <c r="AA67" t="str">
        <f t="shared" si="17"/>
        <v>dailCompTextEnchanter65=^oThis feels warm to the touch, almost familiar ^w(This component only fits into the Medal Slot)</v>
      </c>
      <c r="AB67" s="5" t="s">
        <v>36</v>
      </c>
      <c r="AH67">
        <f t="shared" si="19"/>
        <v>62</v>
      </c>
      <c r="AI67">
        <f t="shared" si="22"/>
        <v>32</v>
      </c>
      <c r="AJ67">
        <f t="shared" si="18"/>
        <v>5</v>
      </c>
    </row>
    <row r="68" spans="1:36" x14ac:dyDescent="0.25">
      <c r="A68" s="5" t="s">
        <v>39</v>
      </c>
      <c r="B68" s="5" t="s">
        <v>30</v>
      </c>
      <c r="C68" s="5" t="str">
        <f t="shared" si="25"/>
        <v>description,dailCompDescEnchanter66,</v>
      </c>
      <c r="D68" s="5" t="str">
        <f t="shared" ref="D68:D102" si="26">"itemText,dailCompText"&amp;H68&amp;G68&amp;","</f>
        <v>itemText,dailCompTextEnchanter66,</v>
      </c>
      <c r="E68" s="5" t="str">
        <f t="shared" si="14"/>
        <v>augmentSkillLevel1,5,</v>
      </c>
      <c r="F68" s="5" t="str">
        <f t="shared" si="15"/>
        <v>augmentSkillName1,records/skills/enchanter/concentration.dbr,</v>
      </c>
      <c r="G68" s="7">
        <f t="shared" si="10"/>
        <v>66</v>
      </c>
      <c r="H68" s="8" t="str">
        <f t="shared" si="11"/>
        <v>Enchanter</v>
      </c>
      <c r="I68" s="3" t="s">
        <v>461</v>
      </c>
      <c r="J68" s="8" t="str">
        <f t="shared" si="23"/>
        <v>class0026</v>
      </c>
      <c r="K68" s="8" t="str">
        <f t="shared" si="23"/>
        <v>dailoneskill0026</v>
      </c>
      <c r="L68" s="5" t="str">
        <f t="shared" ref="L68:L102" si="27">"lootName"&amp;G68&amp;",DAIL/items/materia/"&amp;J68&amp;"/"&amp;H68&amp;G68&amp;".dbr"&amp;","</f>
        <v>lootName66,DAIL/items/materia/class0026/Enchanter66.dbr,</v>
      </c>
      <c r="M68" s="5" t="str">
        <f t="shared" ref="M68:M102" si="28">"lootWeight"&amp;G68&amp;",1,"</f>
        <v>lootWeight66,1,</v>
      </c>
      <c r="N68" t="str">
        <f t="shared" ref="N68:N102" si="29">LEFT(RIGHT(E68,2),1)</f>
        <v>5</v>
      </c>
      <c r="O68" t="str">
        <f t="shared" si="16"/>
        <v>copy .\dail_base3.dbr .\items\materia\class0026\Enchanter66.dbr /y</v>
      </c>
      <c r="P68" t="str">
        <f t="shared" si="24"/>
        <v>echo relicBitmap,items/craftingparts/components/component_a52_bristlyfur_b.tex, &gt;&gt; .\items\materia\class0026\Enchanter66.dbr</v>
      </c>
      <c r="Q68" t="str">
        <f t="shared" si="24"/>
        <v>echo itemCost,500000, &gt;&gt; .\items\materia\class0026\Enchanter66.dbr</v>
      </c>
      <c r="R68" t="str">
        <f t="shared" si="24"/>
        <v>echo description,dailCompDescEnchanter66, &gt;&gt; .\items\materia\class0026\Enchanter66.dbr</v>
      </c>
      <c r="S68" t="str">
        <f t="shared" si="24"/>
        <v>echo itemText,dailCompTextEnchanter66, &gt;&gt; .\items\materia\class0026\Enchanter66.dbr</v>
      </c>
      <c r="T68" t="str">
        <f t="shared" si="24"/>
        <v>echo augmentSkillLevel1,5, &gt;&gt; .\items\materia\class0026\Enchanter66.dbr</v>
      </c>
      <c r="U68" t="str">
        <f t="shared" si="24"/>
        <v>echo augmentSkillName1,records/skills/enchanter/concentration.dbr, &gt;&gt; .\items\materia\class0026\Enchanter66.dbr</v>
      </c>
      <c r="V68" s="5" t="s">
        <v>36</v>
      </c>
      <c r="W68" t="str">
        <f t="shared" ref="W68:X102" si="30">IF($I68&lt;&gt;"","echo "&amp;L68&amp;" &gt;&gt; .\items\loottables\"&amp;$K68&amp;".dbr","")</f>
        <v>echo lootName66,DAIL/items/materia/class0026/Enchanter66.dbr, &gt;&gt; .\items\loottables\dailoneskill0026.dbr</v>
      </c>
      <c r="X68" t="str">
        <f t="shared" si="30"/>
        <v>echo lootWeight66,1, &gt;&gt; .\items\loottables\dailoneskill0026.dbr</v>
      </c>
      <c r="Y68" s="5" t="s">
        <v>36</v>
      </c>
      <c r="Z68" t="str">
        <f t="shared" ref="Z68:Z102" si="31">IF(I67&lt;&gt;""," dailCompDesc"&amp;H68&amp;G68&amp;"=^p"&amp;H68&amp;"'s Gift of DAIL","")</f>
        <v xml:space="preserve"> dailCompDescEnchanter66=^pEnchanter's Gift of DAIL</v>
      </c>
      <c r="AA68" t="str">
        <f t="shared" si="17"/>
        <v>dailCompTextEnchanter66=^oThis feels warm to the touch, almost familiar ^w(This component only fits into the Medal Slot)</v>
      </c>
      <c r="AB68" s="5" t="s">
        <v>36</v>
      </c>
      <c r="AH68">
        <f t="shared" si="19"/>
        <v>63</v>
      </c>
      <c r="AI68">
        <f t="shared" si="22"/>
        <v>28</v>
      </c>
      <c r="AJ68">
        <f t="shared" si="18"/>
        <v>5</v>
      </c>
    </row>
    <row r="69" spans="1:36" x14ac:dyDescent="0.25">
      <c r="A69" s="5" t="s">
        <v>39</v>
      </c>
      <c r="B69" s="5" t="s">
        <v>30</v>
      </c>
      <c r="C69" s="5" t="str">
        <f t="shared" si="25"/>
        <v>description,dailCompDescEnchanter67,</v>
      </c>
      <c r="D69" s="5" t="str">
        <f t="shared" si="26"/>
        <v>itemText,dailCompTextEnchanter67,</v>
      </c>
      <c r="E69" s="5" t="str">
        <f t="shared" si="14"/>
        <v>augmentSkillLevel1,5,</v>
      </c>
      <c r="F69" s="5" t="str">
        <f t="shared" si="15"/>
        <v>augmentSkillName1,records/skills/enchanter/charmofwind.dbr,</v>
      </c>
      <c r="G69" s="7">
        <f t="shared" ref="G69:G102" si="32">IF(I69&lt;&gt;"",G68+1,"")</f>
        <v>67</v>
      </c>
      <c r="H69" s="8" t="str">
        <f t="shared" ref="H69:H102" si="33">H68</f>
        <v>Enchanter</v>
      </c>
      <c r="I69" s="3" t="s">
        <v>462</v>
      </c>
      <c r="J69" s="8" t="str">
        <f t="shared" ref="J69:K84" si="34">J68</f>
        <v>class0026</v>
      </c>
      <c r="K69" s="8" t="str">
        <f t="shared" si="34"/>
        <v>dailoneskill0026</v>
      </c>
      <c r="L69" s="5" t="str">
        <f t="shared" si="27"/>
        <v>lootName67,DAIL/items/materia/class0026/Enchanter67.dbr,</v>
      </c>
      <c r="M69" s="5" t="str">
        <f t="shared" si="28"/>
        <v>lootWeight67,1,</v>
      </c>
      <c r="N69" t="str">
        <f t="shared" si="29"/>
        <v>5</v>
      </c>
      <c r="O69" t="str">
        <f t="shared" si="16"/>
        <v>copy .\dail_base3.dbr .\items\materia\class0026\Enchanter67.dbr /y</v>
      </c>
      <c r="P69" t="str">
        <f t="shared" si="24"/>
        <v>echo relicBitmap,items/craftingparts/components/component_a52_bristlyfur_b.tex, &gt;&gt; .\items\materia\class0026\Enchanter67.dbr</v>
      </c>
      <c r="Q69" t="str">
        <f t="shared" si="24"/>
        <v>echo itemCost,500000, &gt;&gt; .\items\materia\class0026\Enchanter67.dbr</v>
      </c>
      <c r="R69" t="str">
        <f t="shared" si="24"/>
        <v>echo description,dailCompDescEnchanter67, &gt;&gt; .\items\materia\class0026\Enchanter67.dbr</v>
      </c>
      <c r="S69" t="str">
        <f t="shared" si="24"/>
        <v>echo itemText,dailCompTextEnchanter67, &gt;&gt; .\items\materia\class0026\Enchanter67.dbr</v>
      </c>
      <c r="T69" t="str">
        <f t="shared" si="24"/>
        <v>echo augmentSkillLevel1,5, &gt;&gt; .\items\materia\class0026\Enchanter67.dbr</v>
      </c>
      <c r="U69" t="str">
        <f t="shared" si="24"/>
        <v>echo augmentSkillName1,records/skills/enchanter/charmofwind.dbr, &gt;&gt; .\items\materia\class0026\Enchanter67.dbr</v>
      </c>
      <c r="V69" s="5" t="s">
        <v>36</v>
      </c>
      <c r="W69" t="str">
        <f t="shared" si="30"/>
        <v>echo lootName67,DAIL/items/materia/class0026/Enchanter67.dbr, &gt;&gt; .\items\loottables\dailoneskill0026.dbr</v>
      </c>
      <c r="X69" t="str">
        <f t="shared" si="30"/>
        <v>echo lootWeight67,1, &gt;&gt; .\items\loottables\dailoneskill0026.dbr</v>
      </c>
      <c r="Y69" s="5" t="s">
        <v>36</v>
      </c>
      <c r="Z69" t="str">
        <f t="shared" si="31"/>
        <v xml:space="preserve"> dailCompDescEnchanter67=^pEnchanter's Gift of DAIL</v>
      </c>
      <c r="AA69" t="str">
        <f t="shared" si="17"/>
        <v>dailCompTextEnchanter67=^oThis feels warm to the touch, almost familiar ^w(This component only fits into the Medal Slot)</v>
      </c>
      <c r="AB69" s="5" t="s">
        <v>36</v>
      </c>
      <c r="AH69">
        <f t="shared" si="19"/>
        <v>64</v>
      </c>
      <c r="AI69">
        <f t="shared" si="22"/>
        <v>26</v>
      </c>
      <c r="AJ69">
        <f t="shared" si="18"/>
        <v>5</v>
      </c>
    </row>
    <row r="70" spans="1:36" x14ac:dyDescent="0.25">
      <c r="A70" s="5" t="s">
        <v>39</v>
      </c>
      <c r="B70" s="5" t="s">
        <v>30</v>
      </c>
      <c r="C70" s="5" t="str">
        <f t="shared" si="25"/>
        <v>description,dailCompDescEnchanter68,</v>
      </c>
      <c r="D70" s="5" t="str">
        <f t="shared" si="26"/>
        <v>itemText,dailCompTextEnchanter68,</v>
      </c>
      <c r="E70" s="5" t="str">
        <f t="shared" si="14"/>
        <v>augmentSkillLevel1,5,</v>
      </c>
      <c r="F70" s="5" t="str">
        <f t="shared" si="15"/>
        <v>augmentSkillName1,records/skills/enchanter/charmofwind_mod.dbr,</v>
      </c>
      <c r="G70" s="7">
        <f t="shared" si="32"/>
        <v>68</v>
      </c>
      <c r="H70" s="8" t="str">
        <f t="shared" si="33"/>
        <v>Enchanter</v>
      </c>
      <c r="I70" s="3" t="s">
        <v>463</v>
      </c>
      <c r="J70" s="8" t="str">
        <f t="shared" si="34"/>
        <v>class0026</v>
      </c>
      <c r="K70" s="8" t="str">
        <f t="shared" si="34"/>
        <v>dailoneskill0026</v>
      </c>
      <c r="L70" s="5" t="str">
        <f t="shared" si="27"/>
        <v>lootName68,DAIL/items/materia/class0026/Enchanter68.dbr,</v>
      </c>
      <c r="M70" s="5" t="str">
        <f t="shared" si="28"/>
        <v>lootWeight68,1,</v>
      </c>
      <c r="N70" t="str">
        <f t="shared" si="29"/>
        <v>5</v>
      </c>
      <c r="O70" t="str">
        <f t="shared" si="16"/>
        <v>copy .\dail_base3.dbr .\items\materia\class0026\Enchanter68.dbr /y</v>
      </c>
      <c r="P70" t="str">
        <f t="shared" si="24"/>
        <v>echo relicBitmap,items/craftingparts/components/component_a52_bristlyfur_b.tex, &gt;&gt; .\items\materia\class0026\Enchanter68.dbr</v>
      </c>
      <c r="Q70" t="str">
        <f t="shared" si="24"/>
        <v>echo itemCost,500000, &gt;&gt; .\items\materia\class0026\Enchanter68.dbr</v>
      </c>
      <c r="R70" t="str">
        <f t="shared" si="24"/>
        <v>echo description,dailCompDescEnchanter68, &gt;&gt; .\items\materia\class0026\Enchanter68.dbr</v>
      </c>
      <c r="S70" t="str">
        <f t="shared" si="24"/>
        <v>echo itemText,dailCompTextEnchanter68, &gt;&gt; .\items\materia\class0026\Enchanter68.dbr</v>
      </c>
      <c r="T70" t="str">
        <f t="shared" si="24"/>
        <v>echo augmentSkillLevel1,5, &gt;&gt; .\items\materia\class0026\Enchanter68.dbr</v>
      </c>
      <c r="U70" t="str">
        <f t="shared" si="24"/>
        <v>echo augmentSkillName1,records/skills/enchanter/charmofwind_mod.dbr, &gt;&gt; .\items\materia\class0026\Enchanter68.dbr</v>
      </c>
      <c r="V70" s="5" t="s">
        <v>36</v>
      </c>
      <c r="W70" t="str">
        <f t="shared" si="30"/>
        <v>echo lootName68,DAIL/items/materia/class0026/Enchanter68.dbr, &gt;&gt; .\items\loottables\dailoneskill0026.dbr</v>
      </c>
      <c r="X70" t="str">
        <f t="shared" si="30"/>
        <v>echo lootWeight68,1, &gt;&gt; .\items\loottables\dailoneskill0026.dbr</v>
      </c>
      <c r="Y70" s="5" t="s">
        <v>36</v>
      </c>
      <c r="Z70" t="str">
        <f t="shared" si="31"/>
        <v xml:space="preserve"> dailCompDescEnchanter68=^pEnchanter's Gift of DAIL</v>
      </c>
      <c r="AA70" t="str">
        <f t="shared" si="17"/>
        <v>dailCompTextEnchanter68=^oThis feels warm to the touch, almost familiar ^w(This component only fits into the Medal Slot)</v>
      </c>
      <c r="AB70" s="5" t="s">
        <v>36</v>
      </c>
      <c r="AH70">
        <f t="shared" si="19"/>
        <v>65</v>
      </c>
      <c r="AI70">
        <f t="shared" ref="AI70:AI102" si="35">LEN(I70)</f>
        <v>30</v>
      </c>
      <c r="AJ70">
        <f t="shared" si="18"/>
        <v>5</v>
      </c>
    </row>
    <row r="71" spans="1:36" x14ac:dyDescent="0.25">
      <c r="A71" s="5" t="s">
        <v>39</v>
      </c>
      <c r="B71" s="5" t="s">
        <v>30</v>
      </c>
      <c r="C71" s="5" t="str">
        <f t="shared" si="25"/>
        <v>description,dailCompDescEnchanter69,</v>
      </c>
      <c r="D71" s="5" t="str">
        <f t="shared" si="26"/>
        <v>itemText,dailCompTextEnchanter69,</v>
      </c>
      <c r="E71" s="5" t="str">
        <f t="shared" ref="E71:E102" si="36">"augmentSkillLevel1,"&amp;AJ71&amp;","</f>
        <v>augmentSkillLevel1,5,</v>
      </c>
      <c r="F71" s="5" t="str">
        <f t="shared" ref="F71:F102" si="37">"augmentSkillName1,records/skills"&amp;I71&amp;","</f>
        <v>augmentSkillName1,records/skills/enchanter/charmofwater.dbr,</v>
      </c>
      <c r="G71" s="7">
        <f t="shared" si="32"/>
        <v>69</v>
      </c>
      <c r="H71" s="8" t="str">
        <f t="shared" si="33"/>
        <v>Enchanter</v>
      </c>
      <c r="I71" s="3" t="s">
        <v>464</v>
      </c>
      <c r="J71" s="8" t="str">
        <f t="shared" si="34"/>
        <v>class0026</v>
      </c>
      <c r="K71" s="8" t="str">
        <f t="shared" si="34"/>
        <v>dailoneskill0026</v>
      </c>
      <c r="L71" s="5" t="str">
        <f t="shared" si="27"/>
        <v>lootName69,DAIL/items/materia/class0026/Enchanter69.dbr,</v>
      </c>
      <c r="M71" s="5" t="str">
        <f t="shared" si="28"/>
        <v>lootWeight69,1,</v>
      </c>
      <c r="N71" t="str">
        <f t="shared" si="29"/>
        <v>5</v>
      </c>
      <c r="O71" t="str">
        <f t="shared" ref="O71:O102" si="38">IF(I71&lt;&gt;"","copy .\"&amp;VLOOKUP(VALUE(N71),$AD$3:$AF$5,2,FALSE)&amp;" .\items\materia\"&amp;J71&amp;"\"&amp;H71&amp;G71&amp;".dbr /y"&amp;"","")</f>
        <v>copy .\dail_base3.dbr .\items\materia\class0026\Enchanter69.dbr /y</v>
      </c>
      <c r="P71" t="str">
        <f t="shared" si="24"/>
        <v>echo relicBitmap,items/craftingparts/components/component_a52_bristlyfur_b.tex, &gt;&gt; .\items\materia\class0026\Enchanter69.dbr</v>
      </c>
      <c r="Q71" t="str">
        <f t="shared" si="24"/>
        <v>echo itemCost,500000, &gt;&gt; .\items\materia\class0026\Enchanter69.dbr</v>
      </c>
      <c r="R71" t="str">
        <f t="shared" si="24"/>
        <v>echo description,dailCompDescEnchanter69, &gt;&gt; .\items\materia\class0026\Enchanter69.dbr</v>
      </c>
      <c r="S71" t="str">
        <f t="shared" si="24"/>
        <v>echo itemText,dailCompTextEnchanter69, &gt;&gt; .\items\materia\class0026\Enchanter69.dbr</v>
      </c>
      <c r="T71" t="str">
        <f t="shared" si="24"/>
        <v>echo augmentSkillLevel1,5, &gt;&gt; .\items\materia\class0026\Enchanter69.dbr</v>
      </c>
      <c r="U71" t="str">
        <f t="shared" si="24"/>
        <v>echo augmentSkillName1,records/skills/enchanter/charmofwater.dbr, &gt;&gt; .\items\materia\class0026\Enchanter69.dbr</v>
      </c>
      <c r="V71" s="5" t="s">
        <v>36</v>
      </c>
      <c r="W71" t="str">
        <f t="shared" si="30"/>
        <v>echo lootName69,DAIL/items/materia/class0026/Enchanter69.dbr, &gt;&gt; .\items\loottables\dailoneskill0026.dbr</v>
      </c>
      <c r="X71" t="str">
        <f t="shared" si="30"/>
        <v>echo lootWeight69,1, &gt;&gt; .\items\loottables\dailoneskill0026.dbr</v>
      </c>
      <c r="Y71" s="5" t="s">
        <v>36</v>
      </c>
      <c r="Z71" t="str">
        <f t="shared" si="31"/>
        <v xml:space="preserve"> dailCompDescEnchanter69=^pEnchanter's Gift of DAIL</v>
      </c>
      <c r="AA71" t="str">
        <f t="shared" ref="AA71:AA102" si="39">IF(I70&lt;&gt;"","dailCompText"&amp;H71&amp;G71&amp;"=^oThis feels warm to the touch, almost familiar ^w("&amp;VLOOKUP(VALUE(N71),$AD$3:$AF$5,3,FALSE)&amp;")","")</f>
        <v>dailCompTextEnchanter69=^oThis feels warm to the touch, almost familiar ^w(This component only fits into the Medal Slot)</v>
      </c>
      <c r="AB71" s="5" t="s">
        <v>36</v>
      </c>
      <c r="AH71">
        <f t="shared" si="19"/>
        <v>66</v>
      </c>
      <c r="AI71">
        <f t="shared" si="35"/>
        <v>27</v>
      </c>
      <c r="AJ71">
        <f t="shared" ref="AJ71:AJ102" si="40">IF(AH71&lt;$AL$7,1,IF(AH71&lt;$AL$8,3,5))</f>
        <v>5</v>
      </c>
    </row>
    <row r="72" spans="1:36" x14ac:dyDescent="0.25">
      <c r="A72" s="5" t="s">
        <v>39</v>
      </c>
      <c r="B72" s="5" t="s">
        <v>30</v>
      </c>
      <c r="C72" s="5" t="str">
        <f t="shared" si="25"/>
        <v>description,dailCompDescEnchanter70,</v>
      </c>
      <c r="D72" s="5" t="str">
        <f t="shared" si="26"/>
        <v>itemText,dailCompTextEnchanter70,</v>
      </c>
      <c r="E72" s="5" t="str">
        <f t="shared" si="36"/>
        <v>augmentSkillLevel1,5,</v>
      </c>
      <c r="F72" s="5" t="str">
        <f t="shared" si="37"/>
        <v>augmentSkillName1,records/skills/enchanter/charmofwater_mod.dbr,</v>
      </c>
      <c r="G72" s="7">
        <f t="shared" si="32"/>
        <v>70</v>
      </c>
      <c r="H72" s="8" t="str">
        <f t="shared" si="33"/>
        <v>Enchanter</v>
      </c>
      <c r="I72" s="3" t="s">
        <v>465</v>
      </c>
      <c r="J72" s="8" t="str">
        <f t="shared" si="34"/>
        <v>class0026</v>
      </c>
      <c r="K72" s="8" t="str">
        <f t="shared" si="34"/>
        <v>dailoneskill0026</v>
      </c>
      <c r="L72" s="5" t="str">
        <f t="shared" si="27"/>
        <v>lootName70,DAIL/items/materia/class0026/Enchanter70.dbr,</v>
      </c>
      <c r="M72" s="5" t="str">
        <f t="shared" si="28"/>
        <v>lootWeight70,1,</v>
      </c>
      <c r="N72" t="str">
        <f t="shared" si="29"/>
        <v>5</v>
      </c>
      <c r="O72" t="str">
        <f t="shared" si="38"/>
        <v>copy .\dail_base3.dbr .\items\materia\class0026\Enchanter70.dbr /y</v>
      </c>
      <c r="P72" t="str">
        <f t="shared" si="24"/>
        <v>echo relicBitmap,items/craftingparts/components/component_a52_bristlyfur_b.tex, &gt;&gt; .\items\materia\class0026\Enchanter70.dbr</v>
      </c>
      <c r="Q72" t="str">
        <f t="shared" si="24"/>
        <v>echo itemCost,500000, &gt;&gt; .\items\materia\class0026\Enchanter70.dbr</v>
      </c>
      <c r="R72" t="str">
        <f t="shared" si="24"/>
        <v>echo description,dailCompDescEnchanter70, &gt;&gt; .\items\materia\class0026\Enchanter70.dbr</v>
      </c>
      <c r="S72" t="str">
        <f t="shared" si="24"/>
        <v>echo itemText,dailCompTextEnchanter70, &gt;&gt; .\items\materia\class0026\Enchanter70.dbr</v>
      </c>
      <c r="T72" t="str">
        <f t="shared" si="24"/>
        <v>echo augmentSkillLevel1,5, &gt;&gt; .\items\materia\class0026\Enchanter70.dbr</v>
      </c>
      <c r="U72" t="str">
        <f t="shared" si="24"/>
        <v>echo augmentSkillName1,records/skills/enchanter/charmofwater_mod.dbr, &gt;&gt; .\items\materia\class0026\Enchanter70.dbr</v>
      </c>
      <c r="V72" s="5" t="s">
        <v>36</v>
      </c>
      <c r="W72" t="str">
        <f t="shared" si="30"/>
        <v>echo lootName70,DAIL/items/materia/class0026/Enchanter70.dbr, &gt;&gt; .\items\loottables\dailoneskill0026.dbr</v>
      </c>
      <c r="X72" t="str">
        <f t="shared" si="30"/>
        <v>echo lootWeight70,1, &gt;&gt; .\items\loottables\dailoneskill0026.dbr</v>
      </c>
      <c r="Y72" s="5" t="s">
        <v>36</v>
      </c>
      <c r="Z72" t="str">
        <f t="shared" si="31"/>
        <v xml:space="preserve"> dailCompDescEnchanter70=^pEnchanter's Gift of DAIL</v>
      </c>
      <c r="AA72" t="str">
        <f t="shared" si="39"/>
        <v>dailCompTextEnchanter70=^oThis feels warm to the touch, almost familiar ^w(This component only fits into the Medal Slot)</v>
      </c>
      <c r="AB72" s="5" t="s">
        <v>36</v>
      </c>
      <c r="AH72">
        <f t="shared" ref="AH72:AH102" si="41">AH71+1</f>
        <v>67</v>
      </c>
      <c r="AI72">
        <f t="shared" si="35"/>
        <v>31</v>
      </c>
      <c r="AJ72">
        <f t="shared" si="40"/>
        <v>5</v>
      </c>
    </row>
    <row r="73" spans="1:36" x14ac:dyDescent="0.25">
      <c r="A73" s="5" t="s">
        <v>39</v>
      </c>
      <c r="B73" s="5" t="s">
        <v>30</v>
      </c>
      <c r="C73" s="5" t="str">
        <f t="shared" si="25"/>
        <v>description,dailCompDescEnchanter71,</v>
      </c>
      <c r="D73" s="5" t="str">
        <f t="shared" si="26"/>
        <v>itemText,dailCompTextEnchanter71,</v>
      </c>
      <c r="E73" s="5" t="str">
        <f t="shared" si="36"/>
        <v>augmentSkillLevel1,5,</v>
      </c>
      <c r="F73" s="5" t="str">
        <f t="shared" si="37"/>
        <v>augmentSkillName1,records/skills/enchanter/keeperoflife.dbr,</v>
      </c>
      <c r="G73" s="7">
        <f t="shared" si="32"/>
        <v>71</v>
      </c>
      <c r="H73" s="8" t="str">
        <f t="shared" si="33"/>
        <v>Enchanter</v>
      </c>
      <c r="I73" s="3" t="s">
        <v>466</v>
      </c>
      <c r="J73" s="8" t="str">
        <f t="shared" si="34"/>
        <v>class0026</v>
      </c>
      <c r="K73" s="8" t="str">
        <f t="shared" si="34"/>
        <v>dailoneskill0026</v>
      </c>
      <c r="L73" s="5" t="str">
        <f t="shared" si="27"/>
        <v>lootName71,DAIL/items/materia/class0026/Enchanter71.dbr,</v>
      </c>
      <c r="M73" s="5" t="str">
        <f t="shared" si="28"/>
        <v>lootWeight71,1,</v>
      </c>
      <c r="N73" t="str">
        <f t="shared" si="29"/>
        <v>5</v>
      </c>
      <c r="O73" t="str">
        <f t="shared" si="38"/>
        <v>copy .\dail_base3.dbr .\items\materia\class0026\Enchanter71.dbr /y</v>
      </c>
      <c r="P73" t="str">
        <f t="shared" si="24"/>
        <v>echo relicBitmap,items/craftingparts/components/component_a52_bristlyfur_b.tex, &gt;&gt; .\items\materia\class0026\Enchanter71.dbr</v>
      </c>
      <c r="Q73" t="str">
        <f t="shared" si="24"/>
        <v>echo itemCost,500000, &gt;&gt; .\items\materia\class0026\Enchanter71.dbr</v>
      </c>
      <c r="R73" t="str">
        <f t="shared" si="24"/>
        <v>echo description,dailCompDescEnchanter71, &gt;&gt; .\items\materia\class0026\Enchanter71.dbr</v>
      </c>
      <c r="S73" t="str">
        <f t="shared" si="24"/>
        <v>echo itemText,dailCompTextEnchanter71, &gt;&gt; .\items\materia\class0026\Enchanter71.dbr</v>
      </c>
      <c r="T73" t="str">
        <f t="shared" si="24"/>
        <v>echo augmentSkillLevel1,5, &gt;&gt; .\items\materia\class0026\Enchanter71.dbr</v>
      </c>
      <c r="U73" t="str">
        <f t="shared" si="24"/>
        <v>echo augmentSkillName1,records/skills/enchanter/keeperoflife.dbr, &gt;&gt; .\items\materia\class0026\Enchanter71.dbr</v>
      </c>
      <c r="V73" s="5" t="s">
        <v>36</v>
      </c>
      <c r="W73" t="str">
        <f t="shared" si="30"/>
        <v>echo lootName71,DAIL/items/materia/class0026/Enchanter71.dbr, &gt;&gt; .\items\loottables\dailoneskill0026.dbr</v>
      </c>
      <c r="X73" t="str">
        <f t="shared" si="30"/>
        <v>echo lootWeight71,1, &gt;&gt; .\items\loottables\dailoneskill0026.dbr</v>
      </c>
      <c r="Y73" s="5" t="s">
        <v>36</v>
      </c>
      <c r="Z73" t="str">
        <f t="shared" si="31"/>
        <v xml:space="preserve"> dailCompDescEnchanter71=^pEnchanter's Gift of DAIL</v>
      </c>
      <c r="AA73" t="str">
        <f t="shared" si="39"/>
        <v>dailCompTextEnchanter71=^oThis feels warm to the touch, almost familiar ^w(This component only fits into the Medal Slot)</v>
      </c>
      <c r="AB73" s="5" t="s">
        <v>36</v>
      </c>
      <c r="AH73">
        <f t="shared" si="41"/>
        <v>68</v>
      </c>
      <c r="AI73">
        <f t="shared" si="35"/>
        <v>27</v>
      </c>
      <c r="AJ73">
        <f t="shared" si="40"/>
        <v>5</v>
      </c>
    </row>
    <row r="74" spans="1:36" x14ac:dyDescent="0.25">
      <c r="A74" s="5" t="s">
        <v>39</v>
      </c>
      <c r="B74" s="5" t="s">
        <v>30</v>
      </c>
      <c r="C74" s="5" t="str">
        <f t="shared" si="25"/>
        <v>description,dailCompDescEnchanter72,</v>
      </c>
      <c r="D74" s="5" t="str">
        <f t="shared" si="26"/>
        <v>itemText,dailCompTextEnchanter72,</v>
      </c>
      <c r="E74" s="5" t="str">
        <f t="shared" si="36"/>
        <v>augmentSkillLevel1,5,</v>
      </c>
      <c r="F74" s="5" t="str">
        <f t="shared" si="37"/>
        <v>augmentSkillName1,records/skills/enchanter/masterench.dbr,</v>
      </c>
      <c r="G74" s="7">
        <f t="shared" si="32"/>
        <v>72</v>
      </c>
      <c r="H74" s="8" t="str">
        <f t="shared" si="33"/>
        <v>Enchanter</v>
      </c>
      <c r="I74" s="3" t="s">
        <v>467</v>
      </c>
      <c r="J74" s="8" t="str">
        <f t="shared" si="34"/>
        <v>class0026</v>
      </c>
      <c r="K74" s="8" t="str">
        <f t="shared" si="34"/>
        <v>dailoneskill0026</v>
      </c>
      <c r="L74" s="5" t="str">
        <f t="shared" si="27"/>
        <v>lootName72,DAIL/items/materia/class0026/Enchanter72.dbr,</v>
      </c>
      <c r="M74" s="5" t="str">
        <f t="shared" si="28"/>
        <v>lootWeight72,1,</v>
      </c>
      <c r="N74" t="str">
        <f t="shared" si="29"/>
        <v>5</v>
      </c>
      <c r="O74" t="str">
        <f t="shared" si="38"/>
        <v>copy .\dail_base3.dbr .\items\materia\class0026\Enchanter72.dbr /y</v>
      </c>
      <c r="P74" t="str">
        <f t="shared" si="24"/>
        <v>echo relicBitmap,items/craftingparts/components/component_a52_bristlyfur_b.tex, &gt;&gt; .\items\materia\class0026\Enchanter72.dbr</v>
      </c>
      <c r="Q74" t="str">
        <f t="shared" si="24"/>
        <v>echo itemCost,500000, &gt;&gt; .\items\materia\class0026\Enchanter72.dbr</v>
      </c>
      <c r="R74" t="str">
        <f t="shared" si="24"/>
        <v>echo description,dailCompDescEnchanter72, &gt;&gt; .\items\materia\class0026\Enchanter72.dbr</v>
      </c>
      <c r="S74" t="str">
        <f t="shared" si="24"/>
        <v>echo itemText,dailCompTextEnchanter72, &gt;&gt; .\items\materia\class0026\Enchanter72.dbr</v>
      </c>
      <c r="T74" t="str">
        <f t="shared" si="24"/>
        <v>echo augmentSkillLevel1,5, &gt;&gt; .\items\materia\class0026\Enchanter72.dbr</v>
      </c>
      <c r="U74" t="str">
        <f t="shared" si="24"/>
        <v>echo augmentSkillName1,records/skills/enchanter/masterench.dbr, &gt;&gt; .\items\materia\class0026\Enchanter72.dbr</v>
      </c>
      <c r="V74" s="5" t="s">
        <v>36</v>
      </c>
      <c r="W74" t="str">
        <f t="shared" si="30"/>
        <v>echo lootName72,DAIL/items/materia/class0026/Enchanter72.dbr, &gt;&gt; .\items\loottables\dailoneskill0026.dbr</v>
      </c>
      <c r="X74" t="str">
        <f t="shared" si="30"/>
        <v>echo lootWeight72,1, &gt;&gt; .\items\loottables\dailoneskill0026.dbr</v>
      </c>
      <c r="Y74" s="5" t="s">
        <v>36</v>
      </c>
      <c r="Z74" t="str">
        <f t="shared" si="31"/>
        <v xml:space="preserve"> dailCompDescEnchanter72=^pEnchanter's Gift of DAIL</v>
      </c>
      <c r="AA74" t="str">
        <f t="shared" si="39"/>
        <v>dailCompTextEnchanter72=^oThis feels warm to the touch, almost familiar ^w(This component only fits into the Medal Slot)</v>
      </c>
      <c r="AB74" s="5" t="s">
        <v>36</v>
      </c>
      <c r="AH74">
        <f t="shared" si="41"/>
        <v>69</v>
      </c>
      <c r="AI74">
        <f t="shared" si="35"/>
        <v>25</v>
      </c>
      <c r="AJ74">
        <f t="shared" si="40"/>
        <v>5</v>
      </c>
    </row>
    <row r="75" spans="1:36" x14ac:dyDescent="0.25">
      <c r="A75" s="5" t="s">
        <v>39</v>
      </c>
      <c r="B75" s="5" t="s">
        <v>30</v>
      </c>
      <c r="C75" s="5" t="str">
        <f t="shared" si="25"/>
        <v>description,dailCompDescEnchanter73,</v>
      </c>
      <c r="D75" s="5" t="str">
        <f t="shared" si="26"/>
        <v>itemText,dailCompTextEnchanter73,</v>
      </c>
      <c r="E75" s="5" t="str">
        <f t="shared" si="36"/>
        <v>augmentSkillLevel1,5,</v>
      </c>
      <c r="F75" s="5" t="str">
        <f t="shared" si="37"/>
        <v>augmentSkillName1,records/skills/enchanter/touchoflife.dbr,</v>
      </c>
      <c r="G75" s="7">
        <f t="shared" si="32"/>
        <v>73</v>
      </c>
      <c r="H75" s="8" t="str">
        <f t="shared" si="33"/>
        <v>Enchanter</v>
      </c>
      <c r="I75" s="3" t="s">
        <v>468</v>
      </c>
      <c r="J75" s="8" t="str">
        <f t="shared" si="34"/>
        <v>class0026</v>
      </c>
      <c r="K75" s="8" t="str">
        <f t="shared" si="34"/>
        <v>dailoneskill0026</v>
      </c>
      <c r="L75" s="5" t="str">
        <f t="shared" si="27"/>
        <v>lootName73,DAIL/items/materia/class0026/Enchanter73.dbr,</v>
      </c>
      <c r="M75" s="5" t="str">
        <f t="shared" si="28"/>
        <v>lootWeight73,1,</v>
      </c>
      <c r="N75" t="str">
        <f t="shared" si="29"/>
        <v>5</v>
      </c>
      <c r="O75" t="str">
        <f t="shared" si="38"/>
        <v>copy .\dail_base3.dbr .\items\materia\class0026\Enchanter73.dbr /y</v>
      </c>
      <c r="P75" t="str">
        <f t="shared" si="24"/>
        <v>echo relicBitmap,items/craftingparts/components/component_a52_bristlyfur_b.tex, &gt;&gt; .\items\materia\class0026\Enchanter73.dbr</v>
      </c>
      <c r="Q75" t="str">
        <f t="shared" si="24"/>
        <v>echo itemCost,500000, &gt;&gt; .\items\materia\class0026\Enchanter73.dbr</v>
      </c>
      <c r="R75" t="str">
        <f t="shared" si="24"/>
        <v>echo description,dailCompDescEnchanter73, &gt;&gt; .\items\materia\class0026\Enchanter73.dbr</v>
      </c>
      <c r="S75" t="str">
        <f t="shared" si="24"/>
        <v>echo itemText,dailCompTextEnchanter73, &gt;&gt; .\items\materia\class0026\Enchanter73.dbr</v>
      </c>
      <c r="T75" t="str">
        <f t="shared" si="24"/>
        <v>echo augmentSkillLevel1,5, &gt;&gt; .\items\materia\class0026\Enchanter73.dbr</v>
      </c>
      <c r="U75" t="str">
        <f t="shared" si="24"/>
        <v>echo augmentSkillName1,records/skills/enchanter/touchoflife.dbr, &gt;&gt; .\items\materia\class0026\Enchanter73.dbr</v>
      </c>
      <c r="V75" s="5" t="s">
        <v>36</v>
      </c>
      <c r="W75" t="str">
        <f t="shared" si="30"/>
        <v>echo lootName73,DAIL/items/materia/class0026/Enchanter73.dbr, &gt;&gt; .\items\loottables\dailoneskill0026.dbr</v>
      </c>
      <c r="X75" t="str">
        <f t="shared" si="30"/>
        <v>echo lootWeight73,1, &gt;&gt; .\items\loottables\dailoneskill0026.dbr</v>
      </c>
      <c r="Y75" s="5" t="s">
        <v>36</v>
      </c>
      <c r="Z75" t="str">
        <f t="shared" si="31"/>
        <v xml:space="preserve"> dailCompDescEnchanter73=^pEnchanter's Gift of DAIL</v>
      </c>
      <c r="AA75" t="str">
        <f t="shared" si="39"/>
        <v>dailCompTextEnchanter73=^oThis feels warm to the touch, almost familiar ^w(This component only fits into the Medal Slot)</v>
      </c>
      <c r="AB75" s="5" t="s">
        <v>36</v>
      </c>
      <c r="AH75">
        <f t="shared" si="41"/>
        <v>70</v>
      </c>
      <c r="AI75">
        <f t="shared" si="35"/>
        <v>26</v>
      </c>
      <c r="AJ75">
        <f t="shared" si="40"/>
        <v>5</v>
      </c>
    </row>
    <row r="76" spans="1:36" x14ac:dyDescent="0.25">
      <c r="A76" s="5" t="s">
        <v>39</v>
      </c>
      <c r="B76" s="5" t="s">
        <v>30</v>
      </c>
      <c r="C76" s="5" t="str">
        <f t="shared" si="25"/>
        <v>description,dailCompDescEnchanter74,</v>
      </c>
      <c r="D76" s="5" t="str">
        <f t="shared" si="26"/>
        <v>itemText,dailCompTextEnchanter74,</v>
      </c>
      <c r="E76" s="5" t="str">
        <f t="shared" si="36"/>
        <v>augmentSkillLevel1,5,</v>
      </c>
      <c r="F76" s="5" t="str">
        <f t="shared" si="37"/>
        <v>augmentSkillName1,records/skills/enchanter/touchoflife_petmodifier.dbr,</v>
      </c>
      <c r="G76" s="7">
        <f t="shared" si="32"/>
        <v>74</v>
      </c>
      <c r="H76" s="8" t="str">
        <f t="shared" si="33"/>
        <v>Enchanter</v>
      </c>
      <c r="I76" s="3" t="s">
        <v>469</v>
      </c>
      <c r="J76" s="8" t="str">
        <f t="shared" si="34"/>
        <v>class0026</v>
      </c>
      <c r="K76" s="8" t="str">
        <f t="shared" si="34"/>
        <v>dailoneskill0026</v>
      </c>
      <c r="L76" s="5" t="str">
        <f t="shared" si="27"/>
        <v>lootName74,DAIL/items/materia/class0026/Enchanter74.dbr,</v>
      </c>
      <c r="M76" s="5" t="str">
        <f t="shared" si="28"/>
        <v>lootWeight74,1,</v>
      </c>
      <c r="N76" t="str">
        <f t="shared" si="29"/>
        <v>5</v>
      </c>
      <c r="O76" t="str">
        <f t="shared" si="38"/>
        <v>copy .\dail_base3.dbr .\items\materia\class0026\Enchanter74.dbr /y</v>
      </c>
      <c r="P76" t="str">
        <f t="shared" si="24"/>
        <v>echo relicBitmap,items/craftingparts/components/component_a52_bristlyfur_b.tex, &gt;&gt; .\items\materia\class0026\Enchanter74.dbr</v>
      </c>
      <c r="Q76" t="str">
        <f t="shared" si="24"/>
        <v>echo itemCost,500000, &gt;&gt; .\items\materia\class0026\Enchanter74.dbr</v>
      </c>
      <c r="R76" t="str">
        <f t="shared" si="24"/>
        <v>echo description,dailCompDescEnchanter74, &gt;&gt; .\items\materia\class0026\Enchanter74.dbr</v>
      </c>
      <c r="S76" t="str">
        <f t="shared" si="24"/>
        <v>echo itemText,dailCompTextEnchanter74, &gt;&gt; .\items\materia\class0026\Enchanter74.dbr</v>
      </c>
      <c r="T76" t="str">
        <f t="shared" si="24"/>
        <v>echo augmentSkillLevel1,5, &gt;&gt; .\items\materia\class0026\Enchanter74.dbr</v>
      </c>
      <c r="U76" t="str">
        <f t="shared" si="24"/>
        <v>echo augmentSkillName1,records/skills/enchanter/touchoflife_petmodifier.dbr, &gt;&gt; .\items\materia\class0026\Enchanter74.dbr</v>
      </c>
      <c r="V76" s="5" t="s">
        <v>36</v>
      </c>
      <c r="W76" t="str">
        <f t="shared" si="30"/>
        <v>echo lootName74,DAIL/items/materia/class0026/Enchanter74.dbr, &gt;&gt; .\items\loottables\dailoneskill0026.dbr</v>
      </c>
      <c r="X76" t="str">
        <f t="shared" si="30"/>
        <v>echo lootWeight74,1, &gt;&gt; .\items\loottables\dailoneskill0026.dbr</v>
      </c>
      <c r="Y76" s="5" t="s">
        <v>36</v>
      </c>
      <c r="Z76" t="str">
        <f t="shared" si="31"/>
        <v xml:space="preserve"> dailCompDescEnchanter74=^pEnchanter's Gift of DAIL</v>
      </c>
      <c r="AA76" t="str">
        <f t="shared" si="39"/>
        <v>dailCompTextEnchanter74=^oThis feels warm to the touch, almost familiar ^w(This component only fits into the Medal Slot)</v>
      </c>
      <c r="AB76" s="5" t="s">
        <v>36</v>
      </c>
      <c r="AH76">
        <f t="shared" si="41"/>
        <v>71</v>
      </c>
      <c r="AI76">
        <f t="shared" si="35"/>
        <v>38</v>
      </c>
      <c r="AJ76">
        <f t="shared" si="40"/>
        <v>5</v>
      </c>
    </row>
    <row r="77" spans="1:36" x14ac:dyDescent="0.25">
      <c r="A77" s="5" t="s">
        <v>39</v>
      </c>
      <c r="B77" s="5" t="s">
        <v>30</v>
      </c>
      <c r="C77" s="5" t="str">
        <f t="shared" si="25"/>
        <v>description,dailCompDescEnchanter75,</v>
      </c>
      <c r="D77" s="5" t="str">
        <f t="shared" si="26"/>
        <v>itemText,dailCompTextEnchanter75,</v>
      </c>
      <c r="E77" s="5" t="str">
        <f t="shared" si="36"/>
        <v>augmentSkillLevel1,5,</v>
      </c>
      <c r="F77" s="5" t="str">
        <f t="shared" si="37"/>
        <v>augmentSkillName1,records/skills/enchanter/resurgence.dbr,</v>
      </c>
      <c r="G77" s="7">
        <f t="shared" si="32"/>
        <v>75</v>
      </c>
      <c r="H77" s="8" t="str">
        <f t="shared" si="33"/>
        <v>Enchanter</v>
      </c>
      <c r="I77" s="3" t="s">
        <v>470</v>
      </c>
      <c r="J77" s="8" t="str">
        <f t="shared" si="34"/>
        <v>class0026</v>
      </c>
      <c r="K77" s="8" t="str">
        <f t="shared" si="34"/>
        <v>dailoneskill0026</v>
      </c>
      <c r="L77" s="5" t="str">
        <f t="shared" si="27"/>
        <v>lootName75,DAIL/items/materia/class0026/Enchanter75.dbr,</v>
      </c>
      <c r="M77" s="5" t="str">
        <f t="shared" si="28"/>
        <v>lootWeight75,1,</v>
      </c>
      <c r="N77" t="str">
        <f t="shared" si="29"/>
        <v>5</v>
      </c>
      <c r="O77" t="str">
        <f t="shared" si="38"/>
        <v>copy .\dail_base3.dbr .\items\materia\class0026\Enchanter75.dbr /y</v>
      </c>
      <c r="P77" t="str">
        <f t="shared" si="24"/>
        <v>echo relicBitmap,items/craftingparts/components/component_a52_bristlyfur_b.tex, &gt;&gt; .\items\materia\class0026\Enchanter75.dbr</v>
      </c>
      <c r="Q77" t="str">
        <f t="shared" si="24"/>
        <v>echo itemCost,500000, &gt;&gt; .\items\materia\class0026\Enchanter75.dbr</v>
      </c>
      <c r="R77" t="str">
        <f t="shared" si="24"/>
        <v>echo description,dailCompDescEnchanter75, &gt;&gt; .\items\materia\class0026\Enchanter75.dbr</v>
      </c>
      <c r="S77" t="str">
        <f t="shared" si="24"/>
        <v>echo itemText,dailCompTextEnchanter75, &gt;&gt; .\items\materia\class0026\Enchanter75.dbr</v>
      </c>
      <c r="T77" t="str">
        <f t="shared" si="24"/>
        <v>echo augmentSkillLevel1,5, &gt;&gt; .\items\materia\class0026\Enchanter75.dbr</v>
      </c>
      <c r="U77" t="str">
        <f t="shared" si="24"/>
        <v>echo augmentSkillName1,records/skills/enchanter/resurgence.dbr, &gt;&gt; .\items\materia\class0026\Enchanter75.dbr</v>
      </c>
      <c r="V77" s="5" t="s">
        <v>36</v>
      </c>
      <c r="W77" t="str">
        <f t="shared" si="30"/>
        <v>echo lootName75,DAIL/items/materia/class0026/Enchanter75.dbr, &gt;&gt; .\items\loottables\dailoneskill0026.dbr</v>
      </c>
      <c r="X77" t="str">
        <f t="shared" si="30"/>
        <v>echo lootWeight75,1, &gt;&gt; .\items\loottables\dailoneskill0026.dbr</v>
      </c>
      <c r="Y77" s="5" t="s">
        <v>36</v>
      </c>
      <c r="Z77" t="str">
        <f t="shared" si="31"/>
        <v xml:space="preserve"> dailCompDescEnchanter75=^pEnchanter's Gift of DAIL</v>
      </c>
      <c r="AA77" t="str">
        <f t="shared" si="39"/>
        <v>dailCompTextEnchanter75=^oThis feels warm to the touch, almost familiar ^w(This component only fits into the Medal Slot)</v>
      </c>
      <c r="AB77" s="5" t="s">
        <v>36</v>
      </c>
      <c r="AH77">
        <f t="shared" si="41"/>
        <v>72</v>
      </c>
      <c r="AI77">
        <f t="shared" si="35"/>
        <v>25</v>
      </c>
      <c r="AJ77">
        <f t="shared" si="40"/>
        <v>5</v>
      </c>
    </row>
    <row r="78" spans="1:36" x14ac:dyDescent="0.25">
      <c r="A78" s="5" t="s">
        <v>39</v>
      </c>
      <c r="B78" s="5" t="s">
        <v>30</v>
      </c>
      <c r="C78" s="5" t="str">
        <f t="shared" si="25"/>
        <v>description,dailCompDescEnchanter,</v>
      </c>
      <c r="D78" s="5" t="str">
        <f t="shared" si="26"/>
        <v>itemText,dailCompTextEnchanter,</v>
      </c>
      <c r="E78" s="5" t="str">
        <f t="shared" si="36"/>
        <v>augmentSkillLevel1,5,</v>
      </c>
      <c r="F78" s="5" t="str">
        <f t="shared" si="37"/>
        <v>augmentSkillName1,records/skills,</v>
      </c>
      <c r="G78" s="7" t="str">
        <f t="shared" si="32"/>
        <v/>
      </c>
      <c r="H78" s="8" t="str">
        <f t="shared" si="33"/>
        <v>Enchanter</v>
      </c>
      <c r="J78" s="8" t="str">
        <f t="shared" si="34"/>
        <v>class0026</v>
      </c>
      <c r="K78" s="8" t="str">
        <f t="shared" si="34"/>
        <v>dailoneskill0026</v>
      </c>
      <c r="L78" s="5" t="str">
        <f t="shared" si="27"/>
        <v>lootName,DAIL/items/materia/class0026/Enchanter.dbr,</v>
      </c>
      <c r="M78" s="5" t="str">
        <f t="shared" si="28"/>
        <v>lootWeight,1,</v>
      </c>
      <c r="N78" t="str">
        <f t="shared" si="29"/>
        <v>5</v>
      </c>
      <c r="O78" t="str">
        <f t="shared" si="38"/>
        <v/>
      </c>
      <c r="P78" t="str">
        <f t="shared" si="24"/>
        <v/>
      </c>
      <c r="Q78" t="str">
        <f t="shared" si="24"/>
        <v/>
      </c>
      <c r="R78" t="str">
        <f t="shared" si="24"/>
        <v/>
      </c>
      <c r="S78" t="str">
        <f t="shared" si="24"/>
        <v/>
      </c>
      <c r="T78" t="str">
        <f t="shared" si="24"/>
        <v/>
      </c>
      <c r="U78" t="str">
        <f t="shared" si="24"/>
        <v/>
      </c>
      <c r="V78" s="5" t="s">
        <v>36</v>
      </c>
      <c r="W78" t="str">
        <f t="shared" si="30"/>
        <v/>
      </c>
      <c r="X78" t="str">
        <f t="shared" si="30"/>
        <v/>
      </c>
      <c r="Y78" s="5" t="s">
        <v>36</v>
      </c>
      <c r="Z78" t="str">
        <f t="shared" si="31"/>
        <v xml:space="preserve"> dailCompDescEnchanter=^pEnchanter's Gift of DAIL</v>
      </c>
      <c r="AA78" t="str">
        <f t="shared" si="39"/>
        <v>dailCompTextEnchanter=^oThis feels warm to the touch, almost familiar ^w(This component only fits into the Medal Slot)</v>
      </c>
      <c r="AB78" s="5" t="s">
        <v>36</v>
      </c>
      <c r="AH78">
        <f t="shared" si="41"/>
        <v>73</v>
      </c>
      <c r="AI78">
        <f t="shared" si="35"/>
        <v>0</v>
      </c>
      <c r="AJ78">
        <f t="shared" si="40"/>
        <v>5</v>
      </c>
    </row>
    <row r="79" spans="1:36" x14ac:dyDescent="0.25">
      <c r="A79" s="5" t="s">
        <v>39</v>
      </c>
      <c r="B79" s="5" t="s">
        <v>30</v>
      </c>
      <c r="C79" s="5" t="str">
        <f t="shared" si="25"/>
        <v>description,dailCompDescEnchanter,</v>
      </c>
      <c r="D79" s="5" t="str">
        <f t="shared" si="26"/>
        <v>itemText,dailCompTextEnchanter,</v>
      </c>
      <c r="E79" s="5" t="str">
        <f t="shared" si="36"/>
        <v>augmentSkillLevel1,5,</v>
      </c>
      <c r="F79" s="5" t="str">
        <f t="shared" si="37"/>
        <v>augmentSkillName1,records/skills,</v>
      </c>
      <c r="G79" s="7" t="str">
        <f t="shared" si="32"/>
        <v/>
      </c>
      <c r="H79" s="8" t="str">
        <f t="shared" si="33"/>
        <v>Enchanter</v>
      </c>
      <c r="J79" s="8" t="str">
        <f t="shared" si="34"/>
        <v>class0026</v>
      </c>
      <c r="K79" s="8" t="str">
        <f t="shared" si="34"/>
        <v>dailoneskill0026</v>
      </c>
      <c r="L79" s="5" t="str">
        <f t="shared" si="27"/>
        <v>lootName,DAIL/items/materia/class0026/Enchanter.dbr,</v>
      </c>
      <c r="M79" s="5" t="str">
        <f t="shared" si="28"/>
        <v>lootWeight,1,</v>
      </c>
      <c r="N79" t="str">
        <f t="shared" si="29"/>
        <v>5</v>
      </c>
      <c r="O79" t="str">
        <f t="shared" si="38"/>
        <v/>
      </c>
      <c r="P79" t="str">
        <f t="shared" si="24"/>
        <v/>
      </c>
      <c r="Q79" t="str">
        <f t="shared" si="24"/>
        <v/>
      </c>
      <c r="R79" t="str">
        <f t="shared" si="24"/>
        <v/>
      </c>
      <c r="S79" t="str">
        <f t="shared" si="24"/>
        <v/>
      </c>
      <c r="T79" t="str">
        <f t="shared" si="24"/>
        <v/>
      </c>
      <c r="U79" t="str">
        <f t="shared" si="24"/>
        <v/>
      </c>
      <c r="V79" s="5" t="s">
        <v>36</v>
      </c>
      <c r="W79" t="str">
        <f t="shared" si="30"/>
        <v/>
      </c>
      <c r="X79" t="str">
        <f t="shared" si="30"/>
        <v/>
      </c>
      <c r="Y79" s="5" t="s">
        <v>36</v>
      </c>
      <c r="Z79" t="str">
        <f t="shared" si="31"/>
        <v/>
      </c>
      <c r="AA79" t="str">
        <f t="shared" si="39"/>
        <v/>
      </c>
      <c r="AB79" s="5" t="s">
        <v>36</v>
      </c>
      <c r="AH79">
        <f t="shared" si="41"/>
        <v>74</v>
      </c>
      <c r="AI79">
        <f t="shared" si="35"/>
        <v>0</v>
      </c>
      <c r="AJ79">
        <f t="shared" si="40"/>
        <v>5</v>
      </c>
    </row>
    <row r="80" spans="1:36" x14ac:dyDescent="0.25">
      <c r="A80" s="5" t="s">
        <v>39</v>
      </c>
      <c r="B80" s="5" t="s">
        <v>30</v>
      </c>
      <c r="C80" s="5" t="str">
        <f t="shared" si="25"/>
        <v>description,dailCompDescEnchanter,</v>
      </c>
      <c r="D80" s="5" t="str">
        <f t="shared" si="26"/>
        <v>itemText,dailCompTextEnchanter,</v>
      </c>
      <c r="E80" s="5" t="str">
        <f t="shared" si="36"/>
        <v>augmentSkillLevel1,5,</v>
      </c>
      <c r="F80" s="5" t="str">
        <f t="shared" si="37"/>
        <v>augmentSkillName1,records/skills,</v>
      </c>
      <c r="G80" s="7" t="str">
        <f t="shared" si="32"/>
        <v/>
      </c>
      <c r="H80" s="8" t="str">
        <f t="shared" si="33"/>
        <v>Enchanter</v>
      </c>
      <c r="J80" s="8" t="str">
        <f t="shared" si="34"/>
        <v>class0026</v>
      </c>
      <c r="K80" s="8" t="str">
        <f t="shared" si="34"/>
        <v>dailoneskill0026</v>
      </c>
      <c r="L80" s="5" t="str">
        <f t="shared" si="27"/>
        <v>lootName,DAIL/items/materia/class0026/Enchanter.dbr,</v>
      </c>
      <c r="M80" s="5" t="str">
        <f t="shared" si="28"/>
        <v>lootWeight,1,</v>
      </c>
      <c r="N80" t="str">
        <f t="shared" si="29"/>
        <v>5</v>
      </c>
      <c r="O80" t="str">
        <f t="shared" si="38"/>
        <v/>
      </c>
      <c r="P80" t="str">
        <f t="shared" si="24"/>
        <v/>
      </c>
      <c r="Q80" t="str">
        <f t="shared" si="24"/>
        <v/>
      </c>
      <c r="R80" t="str">
        <f t="shared" si="24"/>
        <v/>
      </c>
      <c r="S80" t="str">
        <f t="shared" si="24"/>
        <v/>
      </c>
      <c r="T80" t="str">
        <f t="shared" si="24"/>
        <v/>
      </c>
      <c r="U80" t="str">
        <f t="shared" si="24"/>
        <v/>
      </c>
      <c r="V80" s="5" t="s">
        <v>36</v>
      </c>
      <c r="W80" t="str">
        <f t="shared" si="30"/>
        <v/>
      </c>
      <c r="X80" t="str">
        <f t="shared" si="30"/>
        <v/>
      </c>
      <c r="Y80" s="5" t="s">
        <v>36</v>
      </c>
      <c r="Z80" t="str">
        <f t="shared" si="31"/>
        <v/>
      </c>
      <c r="AA80" t="str">
        <f t="shared" si="39"/>
        <v/>
      </c>
      <c r="AB80" s="5" t="s">
        <v>36</v>
      </c>
      <c r="AH80">
        <f t="shared" si="41"/>
        <v>75</v>
      </c>
      <c r="AI80">
        <f t="shared" si="35"/>
        <v>0</v>
      </c>
      <c r="AJ80">
        <f t="shared" si="40"/>
        <v>5</v>
      </c>
    </row>
    <row r="81" spans="1:36" x14ac:dyDescent="0.25">
      <c r="A81" s="5" t="s">
        <v>39</v>
      </c>
      <c r="B81" s="5" t="s">
        <v>30</v>
      </c>
      <c r="C81" s="5" t="str">
        <f t="shared" si="25"/>
        <v>description,dailCompDescEnchanter,</v>
      </c>
      <c r="D81" s="5" t="str">
        <f t="shared" si="26"/>
        <v>itemText,dailCompTextEnchanter,</v>
      </c>
      <c r="E81" s="5" t="str">
        <f t="shared" si="36"/>
        <v>augmentSkillLevel1,5,</v>
      </c>
      <c r="F81" s="5" t="str">
        <f t="shared" si="37"/>
        <v>augmentSkillName1,records/skills,</v>
      </c>
      <c r="G81" s="7" t="str">
        <f t="shared" si="32"/>
        <v/>
      </c>
      <c r="H81" s="8" t="str">
        <f t="shared" si="33"/>
        <v>Enchanter</v>
      </c>
      <c r="J81" s="8" t="str">
        <f t="shared" si="34"/>
        <v>class0026</v>
      </c>
      <c r="K81" s="8" t="str">
        <f t="shared" si="34"/>
        <v>dailoneskill0026</v>
      </c>
      <c r="L81" s="5" t="str">
        <f t="shared" si="27"/>
        <v>lootName,DAIL/items/materia/class0026/Enchanter.dbr,</v>
      </c>
      <c r="M81" s="5" t="str">
        <f t="shared" si="28"/>
        <v>lootWeight,1,</v>
      </c>
      <c r="N81" t="str">
        <f t="shared" si="29"/>
        <v>5</v>
      </c>
      <c r="O81" t="str">
        <f t="shared" si="38"/>
        <v/>
      </c>
      <c r="P81" t="str">
        <f t="shared" si="24"/>
        <v/>
      </c>
      <c r="Q81" t="str">
        <f t="shared" si="24"/>
        <v/>
      </c>
      <c r="R81" t="str">
        <f t="shared" si="24"/>
        <v/>
      </c>
      <c r="S81" t="str">
        <f t="shared" si="24"/>
        <v/>
      </c>
      <c r="T81" t="str">
        <f t="shared" si="24"/>
        <v/>
      </c>
      <c r="U81" t="str">
        <f t="shared" si="24"/>
        <v/>
      </c>
      <c r="V81" s="5" t="s">
        <v>36</v>
      </c>
      <c r="W81" t="str">
        <f t="shared" si="30"/>
        <v/>
      </c>
      <c r="X81" t="str">
        <f t="shared" si="30"/>
        <v/>
      </c>
      <c r="Y81" s="5" t="s">
        <v>36</v>
      </c>
      <c r="Z81" t="str">
        <f t="shared" si="31"/>
        <v/>
      </c>
      <c r="AA81" t="str">
        <f t="shared" si="39"/>
        <v/>
      </c>
      <c r="AB81" s="5" t="s">
        <v>36</v>
      </c>
      <c r="AH81">
        <f t="shared" si="41"/>
        <v>76</v>
      </c>
      <c r="AI81">
        <f t="shared" si="35"/>
        <v>0</v>
      </c>
      <c r="AJ81">
        <f t="shared" si="40"/>
        <v>5</v>
      </c>
    </row>
    <row r="82" spans="1:36" x14ac:dyDescent="0.25">
      <c r="A82" s="5" t="s">
        <v>39</v>
      </c>
      <c r="B82" s="5" t="s">
        <v>30</v>
      </c>
      <c r="C82" s="5" t="str">
        <f t="shared" si="25"/>
        <v>description,dailCompDescEnchanter,</v>
      </c>
      <c r="D82" s="5" t="str">
        <f t="shared" si="26"/>
        <v>itemText,dailCompTextEnchanter,</v>
      </c>
      <c r="E82" s="5" t="str">
        <f t="shared" si="36"/>
        <v>augmentSkillLevel1,5,</v>
      </c>
      <c r="F82" s="5" t="str">
        <f t="shared" si="37"/>
        <v>augmentSkillName1,records/skills,</v>
      </c>
      <c r="G82" s="7" t="str">
        <f t="shared" si="32"/>
        <v/>
      </c>
      <c r="H82" s="8" t="str">
        <f t="shared" si="33"/>
        <v>Enchanter</v>
      </c>
      <c r="J82" s="8" t="str">
        <f t="shared" si="34"/>
        <v>class0026</v>
      </c>
      <c r="K82" s="8" t="str">
        <f t="shared" si="34"/>
        <v>dailoneskill0026</v>
      </c>
      <c r="L82" s="5" t="str">
        <f t="shared" si="27"/>
        <v>lootName,DAIL/items/materia/class0026/Enchanter.dbr,</v>
      </c>
      <c r="M82" s="5" t="str">
        <f t="shared" si="28"/>
        <v>lootWeight,1,</v>
      </c>
      <c r="N82" t="str">
        <f t="shared" si="29"/>
        <v>5</v>
      </c>
      <c r="O82" t="str">
        <f t="shared" si="38"/>
        <v/>
      </c>
      <c r="P82" t="str">
        <f t="shared" si="24"/>
        <v/>
      </c>
      <c r="Q82" t="str">
        <f t="shared" si="24"/>
        <v/>
      </c>
      <c r="R82" t="str">
        <f t="shared" si="24"/>
        <v/>
      </c>
      <c r="S82" t="str">
        <f t="shared" si="24"/>
        <v/>
      </c>
      <c r="T82" t="str">
        <f t="shared" si="24"/>
        <v/>
      </c>
      <c r="U82" t="str">
        <f t="shared" si="24"/>
        <v/>
      </c>
      <c r="V82" s="5" t="s">
        <v>36</v>
      </c>
      <c r="W82" t="str">
        <f t="shared" si="30"/>
        <v/>
      </c>
      <c r="X82" t="str">
        <f t="shared" si="30"/>
        <v/>
      </c>
      <c r="Y82" s="5" t="s">
        <v>36</v>
      </c>
      <c r="Z82" t="str">
        <f t="shared" si="31"/>
        <v/>
      </c>
      <c r="AA82" t="str">
        <f t="shared" si="39"/>
        <v/>
      </c>
      <c r="AB82" s="5" t="s">
        <v>36</v>
      </c>
      <c r="AH82">
        <f t="shared" si="41"/>
        <v>77</v>
      </c>
      <c r="AI82">
        <f t="shared" si="35"/>
        <v>0</v>
      </c>
      <c r="AJ82">
        <f t="shared" si="40"/>
        <v>5</v>
      </c>
    </row>
    <row r="83" spans="1:36" x14ac:dyDescent="0.25">
      <c r="A83" s="5" t="s">
        <v>39</v>
      </c>
      <c r="B83" s="5" t="s">
        <v>30</v>
      </c>
      <c r="C83" s="5" t="str">
        <f t="shared" si="25"/>
        <v>description,dailCompDescEnchanter,</v>
      </c>
      <c r="D83" s="5" t="str">
        <f t="shared" si="26"/>
        <v>itemText,dailCompTextEnchanter,</v>
      </c>
      <c r="E83" s="5" t="str">
        <f t="shared" si="36"/>
        <v>augmentSkillLevel1,5,</v>
      </c>
      <c r="F83" s="5" t="str">
        <f t="shared" si="37"/>
        <v>augmentSkillName1,records/skills,</v>
      </c>
      <c r="G83" s="7" t="str">
        <f t="shared" si="32"/>
        <v/>
      </c>
      <c r="H83" s="8" t="str">
        <f t="shared" si="33"/>
        <v>Enchanter</v>
      </c>
      <c r="J83" s="8" t="str">
        <f t="shared" si="34"/>
        <v>class0026</v>
      </c>
      <c r="K83" s="8" t="str">
        <f t="shared" si="34"/>
        <v>dailoneskill0026</v>
      </c>
      <c r="L83" s="5" t="str">
        <f t="shared" si="27"/>
        <v>lootName,DAIL/items/materia/class0026/Enchanter.dbr,</v>
      </c>
      <c r="M83" s="5" t="str">
        <f t="shared" si="28"/>
        <v>lootWeight,1,</v>
      </c>
      <c r="N83" t="str">
        <f t="shared" si="29"/>
        <v>5</v>
      </c>
      <c r="O83" t="str">
        <f t="shared" si="38"/>
        <v/>
      </c>
      <c r="P83" t="str">
        <f t="shared" si="24"/>
        <v/>
      </c>
      <c r="Q83" t="str">
        <f t="shared" si="24"/>
        <v/>
      </c>
      <c r="R83" t="str">
        <f t="shared" si="24"/>
        <v/>
      </c>
      <c r="S83" t="str">
        <f t="shared" si="24"/>
        <v/>
      </c>
      <c r="T83" t="str">
        <f t="shared" si="24"/>
        <v/>
      </c>
      <c r="U83" t="str">
        <f t="shared" si="24"/>
        <v/>
      </c>
      <c r="V83" s="5" t="s">
        <v>36</v>
      </c>
      <c r="W83" t="str">
        <f t="shared" si="30"/>
        <v/>
      </c>
      <c r="X83" t="str">
        <f t="shared" si="30"/>
        <v/>
      </c>
      <c r="Y83" s="5" t="s">
        <v>36</v>
      </c>
      <c r="Z83" t="str">
        <f t="shared" si="31"/>
        <v/>
      </c>
      <c r="AA83" t="str">
        <f t="shared" si="39"/>
        <v/>
      </c>
      <c r="AB83" s="5" t="s">
        <v>36</v>
      </c>
      <c r="AH83">
        <f t="shared" si="41"/>
        <v>78</v>
      </c>
      <c r="AI83">
        <f t="shared" si="35"/>
        <v>0</v>
      </c>
      <c r="AJ83">
        <f t="shared" si="40"/>
        <v>5</v>
      </c>
    </row>
    <row r="84" spans="1:36" x14ac:dyDescent="0.25">
      <c r="A84" s="5" t="s">
        <v>39</v>
      </c>
      <c r="B84" s="5" t="s">
        <v>30</v>
      </c>
      <c r="C84" s="5" t="str">
        <f t="shared" si="25"/>
        <v>description,dailCompDescEnchanter,</v>
      </c>
      <c r="D84" s="5" t="str">
        <f t="shared" si="26"/>
        <v>itemText,dailCompTextEnchanter,</v>
      </c>
      <c r="E84" s="5" t="str">
        <f t="shared" si="36"/>
        <v>augmentSkillLevel1,5,</v>
      </c>
      <c r="F84" s="5" t="str">
        <f t="shared" si="37"/>
        <v>augmentSkillName1,records/skills,</v>
      </c>
      <c r="G84" s="7" t="str">
        <f t="shared" si="32"/>
        <v/>
      </c>
      <c r="H84" s="8" t="str">
        <f t="shared" si="33"/>
        <v>Enchanter</v>
      </c>
      <c r="J84" s="8" t="str">
        <f t="shared" si="34"/>
        <v>class0026</v>
      </c>
      <c r="K84" s="8" t="str">
        <f t="shared" si="34"/>
        <v>dailoneskill0026</v>
      </c>
      <c r="L84" s="5" t="str">
        <f t="shared" si="27"/>
        <v>lootName,DAIL/items/materia/class0026/Enchanter.dbr,</v>
      </c>
      <c r="M84" s="5" t="str">
        <f t="shared" si="28"/>
        <v>lootWeight,1,</v>
      </c>
      <c r="N84" t="str">
        <f t="shared" si="29"/>
        <v>5</v>
      </c>
      <c r="O84" t="str">
        <f t="shared" si="38"/>
        <v/>
      </c>
      <c r="P84" t="str">
        <f t="shared" si="24"/>
        <v/>
      </c>
      <c r="Q84" t="str">
        <f t="shared" si="24"/>
        <v/>
      </c>
      <c r="R84" t="str">
        <f t="shared" si="24"/>
        <v/>
      </c>
      <c r="S84" t="str">
        <f t="shared" si="24"/>
        <v/>
      </c>
      <c r="T84" t="str">
        <f t="shared" si="24"/>
        <v/>
      </c>
      <c r="U84" t="str">
        <f t="shared" si="24"/>
        <v/>
      </c>
      <c r="V84" s="5" t="s">
        <v>36</v>
      </c>
      <c r="W84" t="str">
        <f t="shared" si="30"/>
        <v/>
      </c>
      <c r="X84" t="str">
        <f t="shared" si="30"/>
        <v/>
      </c>
      <c r="Y84" s="5" t="s">
        <v>36</v>
      </c>
      <c r="Z84" t="str">
        <f t="shared" si="31"/>
        <v/>
      </c>
      <c r="AA84" t="str">
        <f t="shared" si="39"/>
        <v/>
      </c>
      <c r="AB84" s="5" t="s">
        <v>36</v>
      </c>
      <c r="AH84">
        <f t="shared" si="41"/>
        <v>79</v>
      </c>
      <c r="AI84">
        <f t="shared" si="35"/>
        <v>0</v>
      </c>
      <c r="AJ84">
        <f t="shared" si="40"/>
        <v>5</v>
      </c>
    </row>
    <row r="85" spans="1:36" x14ac:dyDescent="0.25">
      <c r="A85" s="5" t="s">
        <v>39</v>
      </c>
      <c r="B85" s="5" t="s">
        <v>30</v>
      </c>
      <c r="C85" s="5" t="str">
        <f t="shared" si="25"/>
        <v>description,dailCompDescEnchanter,</v>
      </c>
      <c r="D85" s="5" t="str">
        <f t="shared" si="26"/>
        <v>itemText,dailCompTextEnchanter,</v>
      </c>
      <c r="E85" s="5" t="str">
        <f t="shared" si="36"/>
        <v>augmentSkillLevel1,5,</v>
      </c>
      <c r="F85" s="5" t="str">
        <f t="shared" si="37"/>
        <v>augmentSkillName1,records/skills,</v>
      </c>
      <c r="G85" s="7" t="str">
        <f t="shared" si="32"/>
        <v/>
      </c>
      <c r="H85" s="8" t="str">
        <f t="shared" si="33"/>
        <v>Enchanter</v>
      </c>
      <c r="J85" s="8" t="str">
        <f t="shared" ref="J85:K100" si="42">J84</f>
        <v>class0026</v>
      </c>
      <c r="K85" s="8" t="str">
        <f t="shared" si="42"/>
        <v>dailoneskill0026</v>
      </c>
      <c r="L85" s="5" t="str">
        <f t="shared" si="27"/>
        <v>lootName,DAIL/items/materia/class0026/Enchanter.dbr,</v>
      </c>
      <c r="M85" s="5" t="str">
        <f t="shared" si="28"/>
        <v>lootWeight,1,</v>
      </c>
      <c r="N85" t="str">
        <f t="shared" si="29"/>
        <v>5</v>
      </c>
      <c r="O85" t="str">
        <f t="shared" si="38"/>
        <v/>
      </c>
      <c r="P85" t="str">
        <f t="shared" si="24"/>
        <v/>
      </c>
      <c r="Q85" t="str">
        <f t="shared" si="24"/>
        <v/>
      </c>
      <c r="R85" t="str">
        <f t="shared" si="24"/>
        <v/>
      </c>
      <c r="S85" t="str">
        <f t="shared" si="24"/>
        <v/>
      </c>
      <c r="T85" t="str">
        <f t="shared" si="24"/>
        <v/>
      </c>
      <c r="U85" t="str">
        <f t="shared" si="24"/>
        <v/>
      </c>
      <c r="V85" s="5" t="s">
        <v>36</v>
      </c>
      <c r="W85" t="str">
        <f t="shared" si="30"/>
        <v/>
      </c>
      <c r="X85" t="str">
        <f t="shared" si="30"/>
        <v/>
      </c>
      <c r="Y85" s="5" t="s">
        <v>36</v>
      </c>
      <c r="Z85" t="str">
        <f t="shared" si="31"/>
        <v/>
      </c>
      <c r="AA85" t="str">
        <f t="shared" si="39"/>
        <v/>
      </c>
      <c r="AB85" s="5" t="s">
        <v>36</v>
      </c>
      <c r="AH85">
        <f t="shared" si="41"/>
        <v>80</v>
      </c>
      <c r="AI85">
        <f t="shared" si="35"/>
        <v>0</v>
      </c>
      <c r="AJ85">
        <f t="shared" si="40"/>
        <v>5</v>
      </c>
    </row>
    <row r="86" spans="1:36" x14ac:dyDescent="0.25">
      <c r="A86" s="5" t="s">
        <v>39</v>
      </c>
      <c r="B86" s="5" t="s">
        <v>30</v>
      </c>
      <c r="C86" s="5" t="str">
        <f t="shared" si="25"/>
        <v>description,dailCompDescEnchanter,</v>
      </c>
      <c r="D86" s="5" t="str">
        <f t="shared" si="26"/>
        <v>itemText,dailCompTextEnchanter,</v>
      </c>
      <c r="E86" s="5" t="str">
        <f t="shared" si="36"/>
        <v>augmentSkillLevel1,5,</v>
      </c>
      <c r="F86" s="5" t="str">
        <f t="shared" si="37"/>
        <v>augmentSkillName1,records/skills,</v>
      </c>
      <c r="G86" s="7" t="str">
        <f t="shared" si="32"/>
        <v/>
      </c>
      <c r="H86" s="8" t="str">
        <f t="shared" si="33"/>
        <v>Enchanter</v>
      </c>
      <c r="J86" s="8" t="str">
        <f t="shared" si="42"/>
        <v>class0026</v>
      </c>
      <c r="K86" s="8" t="str">
        <f t="shared" si="42"/>
        <v>dailoneskill0026</v>
      </c>
      <c r="L86" s="5" t="str">
        <f t="shared" si="27"/>
        <v>lootName,DAIL/items/materia/class0026/Enchanter.dbr,</v>
      </c>
      <c r="M86" s="5" t="str">
        <f t="shared" si="28"/>
        <v>lootWeight,1,</v>
      </c>
      <c r="N86" t="str">
        <f t="shared" si="29"/>
        <v>5</v>
      </c>
      <c r="O86" t="str">
        <f t="shared" si="38"/>
        <v/>
      </c>
      <c r="P86" t="str">
        <f t="shared" si="24"/>
        <v/>
      </c>
      <c r="Q86" t="str">
        <f t="shared" si="24"/>
        <v/>
      </c>
      <c r="R86" t="str">
        <f t="shared" si="24"/>
        <v/>
      </c>
      <c r="S86" t="str">
        <f t="shared" si="24"/>
        <v/>
      </c>
      <c r="T86" t="str">
        <f t="shared" si="24"/>
        <v/>
      </c>
      <c r="U86" t="str">
        <f t="shared" si="24"/>
        <v/>
      </c>
      <c r="V86" s="5" t="s">
        <v>36</v>
      </c>
      <c r="W86" t="str">
        <f t="shared" si="30"/>
        <v/>
      </c>
      <c r="X86" t="str">
        <f t="shared" si="30"/>
        <v/>
      </c>
      <c r="Y86" s="5" t="s">
        <v>36</v>
      </c>
      <c r="Z86" t="str">
        <f t="shared" si="31"/>
        <v/>
      </c>
      <c r="AA86" t="str">
        <f t="shared" si="39"/>
        <v/>
      </c>
      <c r="AB86" s="5" t="s">
        <v>36</v>
      </c>
      <c r="AH86">
        <f t="shared" si="41"/>
        <v>81</v>
      </c>
      <c r="AI86">
        <f t="shared" si="35"/>
        <v>0</v>
      </c>
      <c r="AJ86">
        <f t="shared" si="40"/>
        <v>5</v>
      </c>
    </row>
    <row r="87" spans="1:36" x14ac:dyDescent="0.25">
      <c r="A87" s="5" t="s">
        <v>39</v>
      </c>
      <c r="B87" s="5" t="s">
        <v>30</v>
      </c>
      <c r="C87" s="5" t="str">
        <f t="shared" si="25"/>
        <v>description,dailCompDescEnchanter,</v>
      </c>
      <c r="D87" s="5" t="str">
        <f t="shared" si="26"/>
        <v>itemText,dailCompTextEnchanter,</v>
      </c>
      <c r="E87" s="5" t="str">
        <f t="shared" si="36"/>
        <v>augmentSkillLevel1,5,</v>
      </c>
      <c r="F87" s="5" t="str">
        <f t="shared" si="37"/>
        <v>augmentSkillName1,records/skills,</v>
      </c>
      <c r="G87" s="7" t="str">
        <f t="shared" si="32"/>
        <v/>
      </c>
      <c r="H87" s="8" t="str">
        <f t="shared" si="33"/>
        <v>Enchanter</v>
      </c>
      <c r="J87" s="8" t="str">
        <f t="shared" si="42"/>
        <v>class0026</v>
      </c>
      <c r="K87" s="8" t="str">
        <f t="shared" si="42"/>
        <v>dailoneskill0026</v>
      </c>
      <c r="L87" s="5" t="str">
        <f t="shared" si="27"/>
        <v>lootName,DAIL/items/materia/class0026/Enchanter.dbr,</v>
      </c>
      <c r="M87" s="5" t="str">
        <f t="shared" si="28"/>
        <v>lootWeight,1,</v>
      </c>
      <c r="N87" t="str">
        <f t="shared" si="29"/>
        <v>5</v>
      </c>
      <c r="O87" t="str">
        <f t="shared" si="38"/>
        <v/>
      </c>
      <c r="P87" t="str">
        <f t="shared" si="24"/>
        <v/>
      </c>
      <c r="Q87" t="str">
        <f t="shared" si="24"/>
        <v/>
      </c>
      <c r="R87" t="str">
        <f t="shared" si="24"/>
        <v/>
      </c>
      <c r="S87" t="str">
        <f t="shared" si="24"/>
        <v/>
      </c>
      <c r="T87" t="str">
        <f t="shared" si="24"/>
        <v/>
      </c>
      <c r="U87" t="str">
        <f t="shared" si="24"/>
        <v/>
      </c>
      <c r="V87" s="5" t="s">
        <v>36</v>
      </c>
      <c r="W87" t="str">
        <f t="shared" si="30"/>
        <v/>
      </c>
      <c r="X87" t="str">
        <f t="shared" si="30"/>
        <v/>
      </c>
      <c r="Y87" s="5" t="s">
        <v>36</v>
      </c>
      <c r="Z87" t="str">
        <f t="shared" si="31"/>
        <v/>
      </c>
      <c r="AA87" t="str">
        <f t="shared" si="39"/>
        <v/>
      </c>
      <c r="AB87" s="5" t="s">
        <v>36</v>
      </c>
      <c r="AH87">
        <f t="shared" si="41"/>
        <v>82</v>
      </c>
      <c r="AI87">
        <f t="shared" si="35"/>
        <v>0</v>
      </c>
      <c r="AJ87">
        <f t="shared" si="40"/>
        <v>5</v>
      </c>
    </row>
    <row r="88" spans="1:36" x14ac:dyDescent="0.25">
      <c r="A88" s="5" t="s">
        <v>39</v>
      </c>
      <c r="B88" s="5" t="s">
        <v>30</v>
      </c>
      <c r="C88" s="5" t="str">
        <f t="shared" si="25"/>
        <v>description,dailCompDescEnchanter,</v>
      </c>
      <c r="D88" s="5" t="str">
        <f t="shared" si="26"/>
        <v>itemText,dailCompTextEnchanter,</v>
      </c>
      <c r="E88" s="5" t="str">
        <f t="shared" si="36"/>
        <v>augmentSkillLevel1,5,</v>
      </c>
      <c r="F88" s="5" t="str">
        <f t="shared" si="37"/>
        <v>augmentSkillName1,records/skills,</v>
      </c>
      <c r="G88" s="7" t="str">
        <f t="shared" si="32"/>
        <v/>
      </c>
      <c r="H88" s="8" t="str">
        <f t="shared" si="33"/>
        <v>Enchanter</v>
      </c>
      <c r="J88" s="8" t="str">
        <f t="shared" si="42"/>
        <v>class0026</v>
      </c>
      <c r="K88" s="8" t="str">
        <f t="shared" si="42"/>
        <v>dailoneskill0026</v>
      </c>
      <c r="L88" s="5" t="str">
        <f t="shared" si="27"/>
        <v>lootName,DAIL/items/materia/class0026/Enchanter.dbr,</v>
      </c>
      <c r="M88" s="5" t="str">
        <f t="shared" si="28"/>
        <v>lootWeight,1,</v>
      </c>
      <c r="N88" t="str">
        <f t="shared" si="29"/>
        <v>5</v>
      </c>
      <c r="O88" t="str">
        <f t="shared" si="38"/>
        <v/>
      </c>
      <c r="P88" t="str">
        <f t="shared" si="24"/>
        <v/>
      </c>
      <c r="Q88" t="str">
        <f t="shared" si="24"/>
        <v/>
      </c>
      <c r="R88" t="str">
        <f t="shared" si="24"/>
        <v/>
      </c>
      <c r="S88" t="str">
        <f t="shared" si="24"/>
        <v/>
      </c>
      <c r="T88" t="str">
        <f t="shared" si="24"/>
        <v/>
      </c>
      <c r="U88" t="str">
        <f t="shared" si="24"/>
        <v/>
      </c>
      <c r="V88" s="5" t="s">
        <v>36</v>
      </c>
      <c r="W88" t="str">
        <f t="shared" si="30"/>
        <v/>
      </c>
      <c r="X88" t="str">
        <f t="shared" si="30"/>
        <v/>
      </c>
      <c r="Y88" s="5" t="s">
        <v>36</v>
      </c>
      <c r="Z88" t="str">
        <f t="shared" si="31"/>
        <v/>
      </c>
      <c r="AA88" t="str">
        <f t="shared" si="39"/>
        <v/>
      </c>
      <c r="AB88" s="5" t="s">
        <v>36</v>
      </c>
      <c r="AH88">
        <f t="shared" si="41"/>
        <v>83</v>
      </c>
      <c r="AI88">
        <f t="shared" si="35"/>
        <v>0</v>
      </c>
      <c r="AJ88">
        <f t="shared" si="40"/>
        <v>5</v>
      </c>
    </row>
    <row r="89" spans="1:36" x14ac:dyDescent="0.25">
      <c r="A89" s="5" t="s">
        <v>39</v>
      </c>
      <c r="B89" s="5" t="s">
        <v>30</v>
      </c>
      <c r="C89" s="5" t="str">
        <f t="shared" si="25"/>
        <v>description,dailCompDescEnchanter,</v>
      </c>
      <c r="D89" s="5" t="str">
        <f t="shared" si="26"/>
        <v>itemText,dailCompTextEnchanter,</v>
      </c>
      <c r="E89" s="5" t="str">
        <f t="shared" si="36"/>
        <v>augmentSkillLevel1,5,</v>
      </c>
      <c r="F89" s="5" t="str">
        <f t="shared" si="37"/>
        <v>augmentSkillName1,records/skills,</v>
      </c>
      <c r="G89" s="7" t="str">
        <f t="shared" si="32"/>
        <v/>
      </c>
      <c r="H89" s="8" t="str">
        <f t="shared" si="33"/>
        <v>Enchanter</v>
      </c>
      <c r="J89" s="8" t="str">
        <f t="shared" si="42"/>
        <v>class0026</v>
      </c>
      <c r="K89" s="8" t="str">
        <f t="shared" si="42"/>
        <v>dailoneskill0026</v>
      </c>
      <c r="L89" s="5" t="str">
        <f t="shared" si="27"/>
        <v>lootName,DAIL/items/materia/class0026/Enchanter.dbr,</v>
      </c>
      <c r="M89" s="5" t="str">
        <f t="shared" si="28"/>
        <v>lootWeight,1,</v>
      </c>
      <c r="N89" t="str">
        <f t="shared" si="29"/>
        <v>5</v>
      </c>
      <c r="O89" t="str">
        <f t="shared" si="38"/>
        <v/>
      </c>
      <c r="P89" t="str">
        <f t="shared" si="24"/>
        <v/>
      </c>
      <c r="Q89" t="str">
        <f t="shared" si="24"/>
        <v/>
      </c>
      <c r="R89" t="str">
        <f t="shared" si="24"/>
        <v/>
      </c>
      <c r="S89" t="str">
        <f t="shared" si="24"/>
        <v/>
      </c>
      <c r="T89" t="str">
        <f t="shared" si="24"/>
        <v/>
      </c>
      <c r="U89" t="str">
        <f t="shared" si="24"/>
        <v/>
      </c>
      <c r="V89" s="5" t="s">
        <v>36</v>
      </c>
      <c r="W89" t="str">
        <f t="shared" si="30"/>
        <v/>
      </c>
      <c r="X89" t="str">
        <f t="shared" si="30"/>
        <v/>
      </c>
      <c r="Y89" s="5" t="s">
        <v>36</v>
      </c>
      <c r="Z89" t="str">
        <f t="shared" si="31"/>
        <v/>
      </c>
      <c r="AA89" t="str">
        <f t="shared" si="39"/>
        <v/>
      </c>
      <c r="AB89" s="5" t="s">
        <v>36</v>
      </c>
      <c r="AH89">
        <f t="shared" si="41"/>
        <v>84</v>
      </c>
      <c r="AI89">
        <f t="shared" si="35"/>
        <v>0</v>
      </c>
      <c r="AJ89">
        <f t="shared" si="40"/>
        <v>5</v>
      </c>
    </row>
    <row r="90" spans="1:36" x14ac:dyDescent="0.25">
      <c r="A90" s="5" t="s">
        <v>39</v>
      </c>
      <c r="B90" s="5" t="s">
        <v>30</v>
      </c>
      <c r="C90" s="5" t="str">
        <f t="shared" si="25"/>
        <v>description,dailCompDescEnchanter,</v>
      </c>
      <c r="D90" s="5" t="str">
        <f t="shared" si="26"/>
        <v>itemText,dailCompTextEnchanter,</v>
      </c>
      <c r="E90" s="5" t="str">
        <f t="shared" si="36"/>
        <v>augmentSkillLevel1,5,</v>
      </c>
      <c r="F90" s="5" t="str">
        <f t="shared" si="37"/>
        <v>augmentSkillName1,records/skills,</v>
      </c>
      <c r="G90" s="7" t="str">
        <f t="shared" si="32"/>
        <v/>
      </c>
      <c r="H90" s="8" t="str">
        <f t="shared" si="33"/>
        <v>Enchanter</v>
      </c>
      <c r="J90" s="8" t="str">
        <f t="shared" si="42"/>
        <v>class0026</v>
      </c>
      <c r="K90" s="8" t="str">
        <f t="shared" si="42"/>
        <v>dailoneskill0026</v>
      </c>
      <c r="L90" s="5" t="str">
        <f t="shared" si="27"/>
        <v>lootName,DAIL/items/materia/class0026/Enchanter.dbr,</v>
      </c>
      <c r="M90" s="5" t="str">
        <f t="shared" si="28"/>
        <v>lootWeight,1,</v>
      </c>
      <c r="N90" t="str">
        <f t="shared" si="29"/>
        <v>5</v>
      </c>
      <c r="O90" t="str">
        <f t="shared" si="38"/>
        <v/>
      </c>
      <c r="P90" t="str">
        <f t="shared" si="24"/>
        <v/>
      </c>
      <c r="Q90" t="str">
        <f t="shared" si="24"/>
        <v/>
      </c>
      <c r="R90" t="str">
        <f t="shared" si="24"/>
        <v/>
      </c>
      <c r="S90" t="str">
        <f t="shared" si="24"/>
        <v/>
      </c>
      <c r="T90" t="str">
        <f t="shared" si="24"/>
        <v/>
      </c>
      <c r="U90" t="str">
        <f t="shared" si="24"/>
        <v/>
      </c>
      <c r="V90" s="5" t="s">
        <v>36</v>
      </c>
      <c r="W90" t="str">
        <f t="shared" si="30"/>
        <v/>
      </c>
      <c r="X90" t="str">
        <f t="shared" si="30"/>
        <v/>
      </c>
      <c r="Y90" s="5" t="s">
        <v>36</v>
      </c>
      <c r="Z90" t="str">
        <f t="shared" si="31"/>
        <v/>
      </c>
      <c r="AA90" t="str">
        <f t="shared" si="39"/>
        <v/>
      </c>
      <c r="AB90" s="5" t="s">
        <v>36</v>
      </c>
      <c r="AH90">
        <f t="shared" si="41"/>
        <v>85</v>
      </c>
      <c r="AI90">
        <f t="shared" si="35"/>
        <v>0</v>
      </c>
      <c r="AJ90">
        <f t="shared" si="40"/>
        <v>5</v>
      </c>
    </row>
    <row r="91" spans="1:36" x14ac:dyDescent="0.25">
      <c r="A91" s="5" t="s">
        <v>39</v>
      </c>
      <c r="B91" s="5" t="s">
        <v>30</v>
      </c>
      <c r="C91" s="5" t="str">
        <f t="shared" si="25"/>
        <v>description,dailCompDescEnchanter,</v>
      </c>
      <c r="D91" s="5" t="str">
        <f t="shared" si="26"/>
        <v>itemText,dailCompTextEnchanter,</v>
      </c>
      <c r="E91" s="5" t="str">
        <f t="shared" si="36"/>
        <v>augmentSkillLevel1,5,</v>
      </c>
      <c r="F91" s="5" t="str">
        <f t="shared" si="37"/>
        <v>augmentSkillName1,records/skills,</v>
      </c>
      <c r="G91" s="7" t="str">
        <f t="shared" si="32"/>
        <v/>
      </c>
      <c r="H91" s="8" t="str">
        <f t="shared" si="33"/>
        <v>Enchanter</v>
      </c>
      <c r="J91" s="8" t="str">
        <f t="shared" si="42"/>
        <v>class0026</v>
      </c>
      <c r="K91" s="8" t="str">
        <f t="shared" si="42"/>
        <v>dailoneskill0026</v>
      </c>
      <c r="L91" s="5" t="str">
        <f t="shared" si="27"/>
        <v>lootName,DAIL/items/materia/class0026/Enchanter.dbr,</v>
      </c>
      <c r="M91" s="5" t="str">
        <f t="shared" si="28"/>
        <v>lootWeight,1,</v>
      </c>
      <c r="N91" t="str">
        <f t="shared" si="29"/>
        <v>5</v>
      </c>
      <c r="O91" t="str">
        <f t="shared" si="38"/>
        <v/>
      </c>
      <c r="P91" t="str">
        <f t="shared" si="24"/>
        <v/>
      </c>
      <c r="Q91" t="str">
        <f t="shared" si="24"/>
        <v/>
      </c>
      <c r="R91" t="str">
        <f t="shared" si="24"/>
        <v/>
      </c>
      <c r="S91" t="str">
        <f t="shared" si="24"/>
        <v/>
      </c>
      <c r="T91" t="str">
        <f t="shared" si="24"/>
        <v/>
      </c>
      <c r="U91" t="str">
        <f t="shared" si="24"/>
        <v/>
      </c>
      <c r="V91" s="5" t="s">
        <v>36</v>
      </c>
      <c r="W91" t="str">
        <f t="shared" si="30"/>
        <v/>
      </c>
      <c r="X91" t="str">
        <f t="shared" si="30"/>
        <v/>
      </c>
      <c r="Y91" s="5" t="s">
        <v>36</v>
      </c>
      <c r="Z91" t="str">
        <f t="shared" si="31"/>
        <v/>
      </c>
      <c r="AA91" t="str">
        <f t="shared" si="39"/>
        <v/>
      </c>
      <c r="AB91" s="5" t="s">
        <v>36</v>
      </c>
      <c r="AH91">
        <f t="shared" si="41"/>
        <v>86</v>
      </c>
      <c r="AI91">
        <f t="shared" si="35"/>
        <v>0</v>
      </c>
      <c r="AJ91">
        <f t="shared" si="40"/>
        <v>5</v>
      </c>
    </row>
    <row r="92" spans="1:36" x14ac:dyDescent="0.25">
      <c r="A92" s="5" t="s">
        <v>39</v>
      </c>
      <c r="B92" s="5" t="s">
        <v>30</v>
      </c>
      <c r="C92" s="5" t="str">
        <f t="shared" si="25"/>
        <v>description,dailCompDescEnchanter,</v>
      </c>
      <c r="D92" s="5" t="str">
        <f t="shared" si="26"/>
        <v>itemText,dailCompTextEnchanter,</v>
      </c>
      <c r="E92" s="5" t="str">
        <f t="shared" si="36"/>
        <v>augmentSkillLevel1,5,</v>
      </c>
      <c r="F92" s="5" t="str">
        <f t="shared" si="37"/>
        <v>augmentSkillName1,records/skills,</v>
      </c>
      <c r="G92" s="7" t="str">
        <f t="shared" si="32"/>
        <v/>
      </c>
      <c r="H92" s="8" t="str">
        <f t="shared" si="33"/>
        <v>Enchanter</v>
      </c>
      <c r="J92" s="8" t="str">
        <f t="shared" si="42"/>
        <v>class0026</v>
      </c>
      <c r="K92" s="8" t="str">
        <f t="shared" si="42"/>
        <v>dailoneskill0026</v>
      </c>
      <c r="L92" s="5" t="str">
        <f t="shared" si="27"/>
        <v>lootName,DAIL/items/materia/class0026/Enchanter.dbr,</v>
      </c>
      <c r="M92" s="5" t="str">
        <f t="shared" si="28"/>
        <v>lootWeight,1,</v>
      </c>
      <c r="N92" t="str">
        <f t="shared" si="29"/>
        <v>5</v>
      </c>
      <c r="O92" t="str">
        <f t="shared" si="38"/>
        <v/>
      </c>
      <c r="P92" t="str">
        <f t="shared" si="24"/>
        <v/>
      </c>
      <c r="Q92" t="str">
        <f t="shared" si="24"/>
        <v/>
      </c>
      <c r="R92" t="str">
        <f t="shared" si="24"/>
        <v/>
      </c>
      <c r="S92" t="str">
        <f t="shared" si="24"/>
        <v/>
      </c>
      <c r="T92" t="str">
        <f t="shared" si="24"/>
        <v/>
      </c>
      <c r="U92" t="str">
        <f t="shared" si="24"/>
        <v/>
      </c>
      <c r="V92" s="5" t="s">
        <v>36</v>
      </c>
      <c r="W92" t="str">
        <f t="shared" si="30"/>
        <v/>
      </c>
      <c r="X92" t="str">
        <f t="shared" si="30"/>
        <v/>
      </c>
      <c r="Y92" s="5" t="s">
        <v>36</v>
      </c>
      <c r="Z92" t="str">
        <f t="shared" si="31"/>
        <v/>
      </c>
      <c r="AA92" t="str">
        <f t="shared" si="39"/>
        <v/>
      </c>
      <c r="AB92" s="5" t="s">
        <v>36</v>
      </c>
      <c r="AH92">
        <f t="shared" si="41"/>
        <v>87</v>
      </c>
      <c r="AI92">
        <f t="shared" si="35"/>
        <v>0</v>
      </c>
      <c r="AJ92">
        <f t="shared" si="40"/>
        <v>5</v>
      </c>
    </row>
    <row r="93" spans="1:36" x14ac:dyDescent="0.25">
      <c r="A93" s="5" t="s">
        <v>39</v>
      </c>
      <c r="B93" s="5" t="s">
        <v>30</v>
      </c>
      <c r="C93" s="5" t="str">
        <f t="shared" si="25"/>
        <v>description,dailCompDescEnchanter,</v>
      </c>
      <c r="D93" s="5" t="str">
        <f t="shared" si="26"/>
        <v>itemText,dailCompTextEnchanter,</v>
      </c>
      <c r="E93" s="5" t="str">
        <f t="shared" si="36"/>
        <v>augmentSkillLevel1,5,</v>
      </c>
      <c r="F93" s="5" t="str">
        <f t="shared" si="37"/>
        <v>augmentSkillName1,records/skills,</v>
      </c>
      <c r="G93" s="7" t="str">
        <f t="shared" si="32"/>
        <v/>
      </c>
      <c r="H93" s="8" t="str">
        <f t="shared" si="33"/>
        <v>Enchanter</v>
      </c>
      <c r="J93" s="8" t="str">
        <f t="shared" si="42"/>
        <v>class0026</v>
      </c>
      <c r="K93" s="8" t="str">
        <f t="shared" si="42"/>
        <v>dailoneskill0026</v>
      </c>
      <c r="L93" s="5" t="str">
        <f t="shared" si="27"/>
        <v>lootName,DAIL/items/materia/class0026/Enchanter.dbr,</v>
      </c>
      <c r="M93" s="5" t="str">
        <f t="shared" si="28"/>
        <v>lootWeight,1,</v>
      </c>
      <c r="N93" t="str">
        <f t="shared" si="29"/>
        <v>5</v>
      </c>
      <c r="O93" t="str">
        <f t="shared" si="38"/>
        <v/>
      </c>
      <c r="P93" t="str">
        <f t="shared" si="24"/>
        <v/>
      </c>
      <c r="Q93" t="str">
        <f t="shared" si="24"/>
        <v/>
      </c>
      <c r="R93" t="str">
        <f t="shared" si="24"/>
        <v/>
      </c>
      <c r="S93" t="str">
        <f t="shared" si="24"/>
        <v/>
      </c>
      <c r="T93" t="str">
        <f t="shared" si="24"/>
        <v/>
      </c>
      <c r="U93" t="str">
        <f t="shared" si="24"/>
        <v/>
      </c>
      <c r="V93" s="5" t="s">
        <v>36</v>
      </c>
      <c r="W93" t="str">
        <f t="shared" si="30"/>
        <v/>
      </c>
      <c r="X93" t="str">
        <f t="shared" si="30"/>
        <v/>
      </c>
      <c r="Y93" s="5" t="s">
        <v>36</v>
      </c>
      <c r="Z93" t="str">
        <f t="shared" si="31"/>
        <v/>
      </c>
      <c r="AA93" t="str">
        <f t="shared" si="39"/>
        <v/>
      </c>
      <c r="AB93" s="5" t="s">
        <v>36</v>
      </c>
      <c r="AH93">
        <f t="shared" si="41"/>
        <v>88</v>
      </c>
      <c r="AI93">
        <f t="shared" si="35"/>
        <v>0</v>
      </c>
      <c r="AJ93">
        <f t="shared" si="40"/>
        <v>5</v>
      </c>
    </row>
    <row r="94" spans="1:36" x14ac:dyDescent="0.25">
      <c r="A94" s="5" t="s">
        <v>39</v>
      </c>
      <c r="B94" s="5" t="s">
        <v>30</v>
      </c>
      <c r="C94" s="5" t="str">
        <f t="shared" si="25"/>
        <v>description,dailCompDescEnchanter,</v>
      </c>
      <c r="D94" s="5" t="str">
        <f t="shared" si="26"/>
        <v>itemText,dailCompTextEnchanter,</v>
      </c>
      <c r="E94" s="5" t="str">
        <f t="shared" si="36"/>
        <v>augmentSkillLevel1,5,</v>
      </c>
      <c r="F94" s="5" t="str">
        <f t="shared" si="37"/>
        <v>augmentSkillName1,records/skills,</v>
      </c>
      <c r="G94" s="7" t="str">
        <f t="shared" si="32"/>
        <v/>
      </c>
      <c r="H94" s="8" t="str">
        <f t="shared" si="33"/>
        <v>Enchanter</v>
      </c>
      <c r="J94" s="8" t="str">
        <f t="shared" si="42"/>
        <v>class0026</v>
      </c>
      <c r="K94" s="8" t="str">
        <f t="shared" si="42"/>
        <v>dailoneskill0026</v>
      </c>
      <c r="L94" s="5" t="str">
        <f t="shared" si="27"/>
        <v>lootName,DAIL/items/materia/class0026/Enchanter.dbr,</v>
      </c>
      <c r="M94" s="5" t="str">
        <f t="shared" si="28"/>
        <v>lootWeight,1,</v>
      </c>
      <c r="N94" t="str">
        <f t="shared" si="29"/>
        <v>5</v>
      </c>
      <c r="O94" t="str">
        <f t="shared" si="38"/>
        <v/>
      </c>
      <c r="P94" t="str">
        <f t="shared" si="24"/>
        <v/>
      </c>
      <c r="Q94" t="str">
        <f t="shared" si="24"/>
        <v/>
      </c>
      <c r="R94" t="str">
        <f t="shared" si="24"/>
        <v/>
      </c>
      <c r="S94" t="str">
        <f t="shared" si="24"/>
        <v/>
      </c>
      <c r="T94" t="str">
        <f t="shared" si="24"/>
        <v/>
      </c>
      <c r="U94" t="str">
        <f t="shared" si="24"/>
        <v/>
      </c>
      <c r="V94" s="5" t="s">
        <v>36</v>
      </c>
      <c r="W94" t="str">
        <f t="shared" si="30"/>
        <v/>
      </c>
      <c r="X94" t="str">
        <f t="shared" si="30"/>
        <v/>
      </c>
      <c r="Y94" s="5" t="s">
        <v>36</v>
      </c>
      <c r="Z94" t="str">
        <f t="shared" si="31"/>
        <v/>
      </c>
      <c r="AA94" t="str">
        <f t="shared" si="39"/>
        <v/>
      </c>
      <c r="AB94" s="5" t="s">
        <v>36</v>
      </c>
      <c r="AH94">
        <f t="shared" si="41"/>
        <v>89</v>
      </c>
      <c r="AI94">
        <f t="shared" si="35"/>
        <v>0</v>
      </c>
      <c r="AJ94">
        <f t="shared" si="40"/>
        <v>5</v>
      </c>
    </row>
    <row r="95" spans="1:36" x14ac:dyDescent="0.25">
      <c r="A95" s="5" t="s">
        <v>39</v>
      </c>
      <c r="B95" s="5" t="s">
        <v>30</v>
      </c>
      <c r="C95" s="5" t="str">
        <f t="shared" si="25"/>
        <v>description,dailCompDescEnchanter,</v>
      </c>
      <c r="D95" s="5" t="str">
        <f t="shared" si="26"/>
        <v>itemText,dailCompTextEnchanter,</v>
      </c>
      <c r="E95" s="5" t="str">
        <f t="shared" si="36"/>
        <v>augmentSkillLevel1,5,</v>
      </c>
      <c r="F95" s="5" t="str">
        <f t="shared" si="37"/>
        <v>augmentSkillName1,records/skills,</v>
      </c>
      <c r="G95" s="7" t="str">
        <f t="shared" si="32"/>
        <v/>
      </c>
      <c r="H95" s="8" t="str">
        <f t="shared" si="33"/>
        <v>Enchanter</v>
      </c>
      <c r="J95" s="8" t="str">
        <f t="shared" si="42"/>
        <v>class0026</v>
      </c>
      <c r="K95" s="8" t="str">
        <f t="shared" si="42"/>
        <v>dailoneskill0026</v>
      </c>
      <c r="L95" s="5" t="str">
        <f t="shared" si="27"/>
        <v>lootName,DAIL/items/materia/class0026/Enchanter.dbr,</v>
      </c>
      <c r="M95" s="5" t="str">
        <f t="shared" si="28"/>
        <v>lootWeight,1,</v>
      </c>
      <c r="N95" t="str">
        <f t="shared" si="29"/>
        <v>5</v>
      </c>
      <c r="O95" t="str">
        <f t="shared" si="38"/>
        <v/>
      </c>
      <c r="P95" t="str">
        <f t="shared" si="24"/>
        <v/>
      </c>
      <c r="Q95" t="str">
        <f t="shared" si="24"/>
        <v/>
      </c>
      <c r="R95" t="str">
        <f t="shared" si="24"/>
        <v/>
      </c>
      <c r="S95" t="str">
        <f t="shared" si="24"/>
        <v/>
      </c>
      <c r="T95" t="str">
        <f t="shared" si="24"/>
        <v/>
      </c>
      <c r="U95" t="str">
        <f t="shared" si="24"/>
        <v/>
      </c>
      <c r="V95" s="5" t="s">
        <v>36</v>
      </c>
      <c r="W95" t="str">
        <f t="shared" si="30"/>
        <v/>
      </c>
      <c r="X95" t="str">
        <f t="shared" si="30"/>
        <v/>
      </c>
      <c r="Y95" s="5" t="s">
        <v>36</v>
      </c>
      <c r="Z95" t="str">
        <f t="shared" si="31"/>
        <v/>
      </c>
      <c r="AA95" t="str">
        <f t="shared" si="39"/>
        <v/>
      </c>
      <c r="AB95" s="5" t="s">
        <v>36</v>
      </c>
      <c r="AH95">
        <f t="shared" si="41"/>
        <v>90</v>
      </c>
      <c r="AI95">
        <f t="shared" si="35"/>
        <v>0</v>
      </c>
      <c r="AJ95">
        <f t="shared" si="40"/>
        <v>5</v>
      </c>
    </row>
    <row r="96" spans="1:36" x14ac:dyDescent="0.25">
      <c r="A96" s="5" t="s">
        <v>39</v>
      </c>
      <c r="B96" s="5" t="s">
        <v>30</v>
      </c>
      <c r="C96" s="5" t="str">
        <f t="shared" si="25"/>
        <v>description,dailCompDescEnchanter,</v>
      </c>
      <c r="D96" s="5" t="str">
        <f t="shared" si="26"/>
        <v>itemText,dailCompTextEnchanter,</v>
      </c>
      <c r="E96" s="5" t="str">
        <f t="shared" si="36"/>
        <v>augmentSkillLevel1,5,</v>
      </c>
      <c r="F96" s="5" t="str">
        <f t="shared" si="37"/>
        <v>augmentSkillName1,records/skills,</v>
      </c>
      <c r="G96" s="7" t="str">
        <f t="shared" si="32"/>
        <v/>
      </c>
      <c r="H96" s="8" t="str">
        <f t="shared" si="33"/>
        <v>Enchanter</v>
      </c>
      <c r="J96" s="8" t="str">
        <f t="shared" si="42"/>
        <v>class0026</v>
      </c>
      <c r="K96" s="8" t="str">
        <f t="shared" si="42"/>
        <v>dailoneskill0026</v>
      </c>
      <c r="L96" s="5" t="str">
        <f t="shared" si="27"/>
        <v>lootName,DAIL/items/materia/class0026/Enchanter.dbr,</v>
      </c>
      <c r="M96" s="5" t="str">
        <f t="shared" si="28"/>
        <v>lootWeight,1,</v>
      </c>
      <c r="N96" t="str">
        <f t="shared" si="29"/>
        <v>5</v>
      </c>
      <c r="O96" t="str">
        <f t="shared" si="38"/>
        <v/>
      </c>
      <c r="P96" t="str">
        <f t="shared" si="24"/>
        <v/>
      </c>
      <c r="Q96" t="str">
        <f t="shared" si="24"/>
        <v/>
      </c>
      <c r="R96" t="str">
        <f t="shared" si="24"/>
        <v/>
      </c>
      <c r="S96" t="str">
        <f t="shared" si="24"/>
        <v/>
      </c>
      <c r="T96" t="str">
        <f t="shared" si="24"/>
        <v/>
      </c>
      <c r="U96" t="str">
        <f t="shared" si="24"/>
        <v/>
      </c>
      <c r="V96" s="5" t="s">
        <v>36</v>
      </c>
      <c r="W96" t="str">
        <f t="shared" si="30"/>
        <v/>
      </c>
      <c r="X96" t="str">
        <f t="shared" si="30"/>
        <v/>
      </c>
      <c r="Y96" s="5" t="s">
        <v>36</v>
      </c>
      <c r="Z96" t="str">
        <f t="shared" si="31"/>
        <v/>
      </c>
      <c r="AA96" t="str">
        <f t="shared" si="39"/>
        <v/>
      </c>
      <c r="AB96" s="5" t="s">
        <v>36</v>
      </c>
      <c r="AH96">
        <f t="shared" si="41"/>
        <v>91</v>
      </c>
      <c r="AI96">
        <f t="shared" si="35"/>
        <v>0</v>
      </c>
      <c r="AJ96">
        <f t="shared" si="40"/>
        <v>5</v>
      </c>
    </row>
    <row r="97" spans="1:36" x14ac:dyDescent="0.25">
      <c r="A97" s="5" t="s">
        <v>39</v>
      </c>
      <c r="B97" s="5" t="s">
        <v>30</v>
      </c>
      <c r="C97" s="5" t="str">
        <f t="shared" si="25"/>
        <v>description,dailCompDescEnchanter,</v>
      </c>
      <c r="D97" s="5" t="str">
        <f t="shared" si="26"/>
        <v>itemText,dailCompTextEnchanter,</v>
      </c>
      <c r="E97" s="5" t="str">
        <f t="shared" si="36"/>
        <v>augmentSkillLevel1,5,</v>
      </c>
      <c r="F97" s="5" t="str">
        <f t="shared" si="37"/>
        <v>augmentSkillName1,records/skills,</v>
      </c>
      <c r="G97" s="7" t="str">
        <f t="shared" si="32"/>
        <v/>
      </c>
      <c r="H97" s="8" t="str">
        <f t="shared" si="33"/>
        <v>Enchanter</v>
      </c>
      <c r="J97" s="8" t="str">
        <f t="shared" si="42"/>
        <v>class0026</v>
      </c>
      <c r="K97" s="8" t="str">
        <f t="shared" si="42"/>
        <v>dailoneskill0026</v>
      </c>
      <c r="L97" s="5" t="str">
        <f t="shared" si="27"/>
        <v>lootName,DAIL/items/materia/class0026/Enchanter.dbr,</v>
      </c>
      <c r="M97" s="5" t="str">
        <f t="shared" si="28"/>
        <v>lootWeight,1,</v>
      </c>
      <c r="N97" t="str">
        <f t="shared" si="29"/>
        <v>5</v>
      </c>
      <c r="O97" t="str">
        <f t="shared" si="38"/>
        <v/>
      </c>
      <c r="P97" t="str">
        <f t="shared" si="24"/>
        <v/>
      </c>
      <c r="Q97" t="str">
        <f t="shared" si="24"/>
        <v/>
      </c>
      <c r="R97" t="str">
        <f t="shared" si="24"/>
        <v/>
      </c>
      <c r="S97" t="str">
        <f t="shared" si="24"/>
        <v/>
      </c>
      <c r="T97" t="str">
        <f t="shared" si="24"/>
        <v/>
      </c>
      <c r="U97" t="str">
        <f t="shared" si="24"/>
        <v/>
      </c>
      <c r="V97" s="5" t="s">
        <v>36</v>
      </c>
      <c r="W97" t="str">
        <f t="shared" si="30"/>
        <v/>
      </c>
      <c r="X97" t="str">
        <f t="shared" si="30"/>
        <v/>
      </c>
      <c r="Y97" s="5" t="s">
        <v>36</v>
      </c>
      <c r="Z97" t="str">
        <f t="shared" si="31"/>
        <v/>
      </c>
      <c r="AA97" t="str">
        <f t="shared" si="39"/>
        <v/>
      </c>
      <c r="AB97" s="5" t="s">
        <v>36</v>
      </c>
      <c r="AH97">
        <f t="shared" si="41"/>
        <v>92</v>
      </c>
      <c r="AI97">
        <f t="shared" si="35"/>
        <v>0</v>
      </c>
      <c r="AJ97">
        <f t="shared" si="40"/>
        <v>5</v>
      </c>
    </row>
    <row r="98" spans="1:36" x14ac:dyDescent="0.25">
      <c r="A98" s="5" t="s">
        <v>39</v>
      </c>
      <c r="B98" s="5" t="s">
        <v>30</v>
      </c>
      <c r="C98" s="5" t="str">
        <f t="shared" si="25"/>
        <v>description,dailCompDescEnchanter,</v>
      </c>
      <c r="D98" s="5" t="str">
        <f t="shared" si="26"/>
        <v>itemText,dailCompTextEnchanter,</v>
      </c>
      <c r="E98" s="5" t="str">
        <f t="shared" si="36"/>
        <v>augmentSkillLevel1,5,</v>
      </c>
      <c r="F98" s="5" t="str">
        <f t="shared" si="37"/>
        <v>augmentSkillName1,records/skills,</v>
      </c>
      <c r="G98" s="7" t="str">
        <f t="shared" si="32"/>
        <v/>
      </c>
      <c r="H98" s="8" t="str">
        <f t="shared" si="33"/>
        <v>Enchanter</v>
      </c>
      <c r="J98" s="8" t="str">
        <f t="shared" si="42"/>
        <v>class0026</v>
      </c>
      <c r="K98" s="8" t="str">
        <f t="shared" si="42"/>
        <v>dailoneskill0026</v>
      </c>
      <c r="L98" s="5" t="str">
        <f t="shared" si="27"/>
        <v>lootName,DAIL/items/materia/class0026/Enchanter.dbr,</v>
      </c>
      <c r="M98" s="5" t="str">
        <f t="shared" si="28"/>
        <v>lootWeight,1,</v>
      </c>
      <c r="N98" t="str">
        <f t="shared" si="29"/>
        <v>5</v>
      </c>
      <c r="O98" t="str">
        <f t="shared" si="38"/>
        <v/>
      </c>
      <c r="P98" t="str">
        <f t="shared" si="24"/>
        <v/>
      </c>
      <c r="Q98" t="str">
        <f t="shared" si="24"/>
        <v/>
      </c>
      <c r="R98" t="str">
        <f t="shared" si="24"/>
        <v/>
      </c>
      <c r="S98" t="str">
        <f t="shared" si="24"/>
        <v/>
      </c>
      <c r="T98" t="str">
        <f t="shared" si="24"/>
        <v/>
      </c>
      <c r="U98" t="str">
        <f t="shared" si="24"/>
        <v/>
      </c>
      <c r="V98" s="5" t="s">
        <v>36</v>
      </c>
      <c r="W98" t="str">
        <f t="shared" si="30"/>
        <v/>
      </c>
      <c r="X98" t="str">
        <f t="shared" si="30"/>
        <v/>
      </c>
      <c r="Y98" s="5" t="s">
        <v>36</v>
      </c>
      <c r="Z98" t="str">
        <f t="shared" si="31"/>
        <v/>
      </c>
      <c r="AA98" t="str">
        <f t="shared" si="39"/>
        <v/>
      </c>
      <c r="AB98" s="5" t="s">
        <v>36</v>
      </c>
      <c r="AH98">
        <f t="shared" si="41"/>
        <v>93</v>
      </c>
      <c r="AI98">
        <f t="shared" si="35"/>
        <v>0</v>
      </c>
      <c r="AJ98">
        <f t="shared" si="40"/>
        <v>5</v>
      </c>
    </row>
    <row r="99" spans="1:36" x14ac:dyDescent="0.25">
      <c r="A99" s="5" t="s">
        <v>39</v>
      </c>
      <c r="B99" s="5" t="s">
        <v>30</v>
      </c>
      <c r="C99" s="5" t="str">
        <f t="shared" si="25"/>
        <v>description,dailCompDescEnchanter,</v>
      </c>
      <c r="D99" s="5" t="str">
        <f t="shared" si="26"/>
        <v>itemText,dailCompTextEnchanter,</v>
      </c>
      <c r="E99" s="5" t="str">
        <f t="shared" si="36"/>
        <v>augmentSkillLevel1,5,</v>
      </c>
      <c r="F99" s="5" t="str">
        <f t="shared" si="37"/>
        <v>augmentSkillName1,records/skills,</v>
      </c>
      <c r="G99" s="7" t="str">
        <f t="shared" si="32"/>
        <v/>
      </c>
      <c r="H99" s="8" t="str">
        <f t="shared" si="33"/>
        <v>Enchanter</v>
      </c>
      <c r="J99" s="8" t="str">
        <f t="shared" si="42"/>
        <v>class0026</v>
      </c>
      <c r="K99" s="8" t="str">
        <f t="shared" si="42"/>
        <v>dailoneskill0026</v>
      </c>
      <c r="L99" s="5" t="str">
        <f t="shared" si="27"/>
        <v>lootName,DAIL/items/materia/class0026/Enchanter.dbr,</v>
      </c>
      <c r="M99" s="5" t="str">
        <f t="shared" si="28"/>
        <v>lootWeight,1,</v>
      </c>
      <c r="N99" t="str">
        <f t="shared" si="29"/>
        <v>5</v>
      </c>
      <c r="O99" t="str">
        <f t="shared" si="38"/>
        <v/>
      </c>
      <c r="P99" t="str">
        <f t="shared" si="24"/>
        <v/>
      </c>
      <c r="Q99" t="str">
        <f t="shared" si="24"/>
        <v/>
      </c>
      <c r="R99" t="str">
        <f t="shared" si="24"/>
        <v/>
      </c>
      <c r="S99" t="str">
        <f t="shared" si="24"/>
        <v/>
      </c>
      <c r="T99" t="str">
        <f t="shared" si="24"/>
        <v/>
      </c>
      <c r="U99" t="str">
        <f t="shared" si="24"/>
        <v/>
      </c>
      <c r="V99" s="5" t="s">
        <v>36</v>
      </c>
      <c r="W99" t="str">
        <f t="shared" si="30"/>
        <v/>
      </c>
      <c r="X99" t="str">
        <f t="shared" si="30"/>
        <v/>
      </c>
      <c r="Y99" s="5" t="s">
        <v>36</v>
      </c>
      <c r="Z99" t="str">
        <f t="shared" si="31"/>
        <v/>
      </c>
      <c r="AA99" t="str">
        <f t="shared" si="39"/>
        <v/>
      </c>
      <c r="AB99" s="5" t="s">
        <v>36</v>
      </c>
      <c r="AH99">
        <f t="shared" si="41"/>
        <v>94</v>
      </c>
      <c r="AI99">
        <f t="shared" si="35"/>
        <v>0</v>
      </c>
      <c r="AJ99">
        <f t="shared" si="40"/>
        <v>5</v>
      </c>
    </row>
    <row r="100" spans="1:36" x14ac:dyDescent="0.25">
      <c r="A100" s="5" t="s">
        <v>39</v>
      </c>
      <c r="B100" s="5" t="s">
        <v>30</v>
      </c>
      <c r="C100" s="5" t="str">
        <f t="shared" si="25"/>
        <v>description,dailCompDescEnchanter,</v>
      </c>
      <c r="D100" s="5" t="str">
        <f t="shared" si="26"/>
        <v>itemText,dailCompTextEnchanter,</v>
      </c>
      <c r="E100" s="5" t="str">
        <f t="shared" si="36"/>
        <v>augmentSkillLevel1,5,</v>
      </c>
      <c r="F100" s="5" t="str">
        <f t="shared" si="37"/>
        <v>augmentSkillName1,records/skills,</v>
      </c>
      <c r="G100" s="7" t="str">
        <f t="shared" si="32"/>
        <v/>
      </c>
      <c r="H100" s="8" t="str">
        <f t="shared" si="33"/>
        <v>Enchanter</v>
      </c>
      <c r="J100" s="8" t="str">
        <f t="shared" si="42"/>
        <v>class0026</v>
      </c>
      <c r="K100" s="8" t="str">
        <f t="shared" si="42"/>
        <v>dailoneskill0026</v>
      </c>
      <c r="L100" s="5" t="str">
        <f t="shared" si="27"/>
        <v>lootName,DAIL/items/materia/class0026/Enchanter.dbr,</v>
      </c>
      <c r="M100" s="5" t="str">
        <f t="shared" si="28"/>
        <v>lootWeight,1,</v>
      </c>
      <c r="N100" t="str">
        <f t="shared" si="29"/>
        <v>5</v>
      </c>
      <c r="O100" t="str">
        <f t="shared" si="38"/>
        <v/>
      </c>
      <c r="P100" t="str">
        <f t="shared" si="24"/>
        <v/>
      </c>
      <c r="Q100" t="str">
        <f t="shared" si="24"/>
        <v/>
      </c>
      <c r="R100" t="str">
        <f t="shared" si="24"/>
        <v/>
      </c>
      <c r="S100" t="str">
        <f t="shared" si="24"/>
        <v/>
      </c>
      <c r="T100" t="str">
        <f t="shared" si="24"/>
        <v/>
      </c>
      <c r="U100" t="str">
        <f t="shared" si="24"/>
        <v/>
      </c>
      <c r="V100" s="5" t="s">
        <v>36</v>
      </c>
      <c r="W100" t="str">
        <f t="shared" si="30"/>
        <v/>
      </c>
      <c r="X100" t="str">
        <f t="shared" si="30"/>
        <v/>
      </c>
      <c r="Y100" s="5" t="s">
        <v>36</v>
      </c>
      <c r="Z100" t="str">
        <f t="shared" si="31"/>
        <v/>
      </c>
      <c r="AA100" t="str">
        <f t="shared" si="39"/>
        <v/>
      </c>
      <c r="AB100" s="5" t="s">
        <v>36</v>
      </c>
      <c r="AH100">
        <f t="shared" si="41"/>
        <v>95</v>
      </c>
      <c r="AI100">
        <f t="shared" si="35"/>
        <v>0</v>
      </c>
      <c r="AJ100">
        <f t="shared" si="40"/>
        <v>5</v>
      </c>
    </row>
    <row r="101" spans="1:36" x14ac:dyDescent="0.25">
      <c r="A101" s="5" t="s">
        <v>39</v>
      </c>
      <c r="B101" s="5" t="s">
        <v>30</v>
      </c>
      <c r="C101" s="5" t="str">
        <f t="shared" si="25"/>
        <v>description,dailCompDescEnchanter,</v>
      </c>
      <c r="D101" s="5" t="str">
        <f t="shared" si="26"/>
        <v>itemText,dailCompTextEnchanter,</v>
      </c>
      <c r="E101" s="5" t="str">
        <f t="shared" si="36"/>
        <v>augmentSkillLevel1,5,</v>
      </c>
      <c r="F101" s="5" t="str">
        <f t="shared" si="37"/>
        <v>augmentSkillName1,records/skills,</v>
      </c>
      <c r="G101" s="7" t="str">
        <f t="shared" si="32"/>
        <v/>
      </c>
      <c r="H101" s="8" t="str">
        <f t="shared" si="33"/>
        <v>Enchanter</v>
      </c>
      <c r="J101" s="8" t="str">
        <f t="shared" ref="J101:K102" si="43">J100</f>
        <v>class0026</v>
      </c>
      <c r="K101" s="8" t="str">
        <f t="shared" si="43"/>
        <v>dailoneskill0026</v>
      </c>
      <c r="L101" s="5" t="str">
        <f t="shared" si="27"/>
        <v>lootName,DAIL/items/materia/class0026/Enchanter.dbr,</v>
      </c>
      <c r="M101" s="5" t="str">
        <f t="shared" si="28"/>
        <v>lootWeight,1,</v>
      </c>
      <c r="N101" t="str">
        <f t="shared" si="29"/>
        <v>5</v>
      </c>
      <c r="O101" t="str">
        <f t="shared" si="38"/>
        <v/>
      </c>
      <c r="P101" t="str">
        <f t="shared" si="24"/>
        <v/>
      </c>
      <c r="Q101" t="str">
        <f t="shared" si="24"/>
        <v/>
      </c>
      <c r="R101" t="str">
        <f t="shared" si="24"/>
        <v/>
      </c>
      <c r="S101" t="str">
        <f t="shared" ref="S101:U102" si="44">IF($I101&lt;&gt;"","echo "&amp;D101&amp;" &gt;&gt; .\items\materia\"&amp;$J101&amp;"\"&amp;$H101&amp;$G101&amp;".dbr","")</f>
        <v/>
      </c>
      <c r="T101" t="str">
        <f t="shared" si="44"/>
        <v/>
      </c>
      <c r="U101" t="str">
        <f t="shared" si="44"/>
        <v/>
      </c>
      <c r="V101" s="5" t="s">
        <v>36</v>
      </c>
      <c r="W101" t="str">
        <f t="shared" si="30"/>
        <v/>
      </c>
      <c r="X101" t="str">
        <f t="shared" si="30"/>
        <v/>
      </c>
      <c r="Y101" s="5" t="s">
        <v>36</v>
      </c>
      <c r="Z101" t="str">
        <f t="shared" si="31"/>
        <v/>
      </c>
      <c r="AA101" t="str">
        <f t="shared" si="39"/>
        <v/>
      </c>
      <c r="AB101" s="5" t="s">
        <v>36</v>
      </c>
      <c r="AH101">
        <f t="shared" si="41"/>
        <v>96</v>
      </c>
      <c r="AI101">
        <f t="shared" si="35"/>
        <v>0</v>
      </c>
      <c r="AJ101">
        <f t="shared" si="40"/>
        <v>5</v>
      </c>
    </row>
    <row r="102" spans="1:36" x14ac:dyDescent="0.25">
      <c r="A102" s="5" t="s">
        <v>39</v>
      </c>
      <c r="B102" s="5" t="s">
        <v>30</v>
      </c>
      <c r="C102" s="5" t="str">
        <f t="shared" si="25"/>
        <v>description,dailCompDescEnchanter,</v>
      </c>
      <c r="D102" s="5" t="str">
        <f t="shared" si="26"/>
        <v>itemText,dailCompTextEnchanter,</v>
      </c>
      <c r="E102" s="5" t="str">
        <f t="shared" si="36"/>
        <v>augmentSkillLevel1,5,</v>
      </c>
      <c r="F102" s="5" t="str">
        <f t="shared" si="37"/>
        <v>augmentSkillName1,records/skills,</v>
      </c>
      <c r="G102" s="7" t="str">
        <f t="shared" si="32"/>
        <v/>
      </c>
      <c r="H102" s="8" t="str">
        <f t="shared" si="33"/>
        <v>Enchanter</v>
      </c>
      <c r="J102" s="8" t="str">
        <f t="shared" si="43"/>
        <v>class0026</v>
      </c>
      <c r="K102" s="8" t="str">
        <f t="shared" si="43"/>
        <v>dailoneskill0026</v>
      </c>
      <c r="L102" s="5" t="str">
        <f t="shared" si="27"/>
        <v>lootName,DAIL/items/materia/class0026/Enchanter.dbr,</v>
      </c>
      <c r="M102" s="5" t="str">
        <f t="shared" si="28"/>
        <v>lootWeight,1,</v>
      </c>
      <c r="N102" t="str">
        <f t="shared" si="29"/>
        <v>5</v>
      </c>
      <c r="O102" t="str">
        <f t="shared" si="38"/>
        <v/>
      </c>
      <c r="P102" t="str">
        <f t="shared" ref="P102:R102" si="45">IF($I102&lt;&gt;"","echo "&amp;A102&amp;" &gt;&gt; .\items\materia\"&amp;$J102&amp;"\"&amp;$H102&amp;$G102&amp;".dbr","")</f>
        <v/>
      </c>
      <c r="Q102" t="str">
        <f t="shared" si="45"/>
        <v/>
      </c>
      <c r="R102" t="str">
        <f t="shared" si="45"/>
        <v/>
      </c>
      <c r="S102" t="str">
        <f t="shared" si="44"/>
        <v/>
      </c>
      <c r="T102" t="str">
        <f t="shared" si="44"/>
        <v/>
      </c>
      <c r="U102" t="str">
        <f t="shared" si="44"/>
        <v/>
      </c>
      <c r="V102" s="5" t="s">
        <v>36</v>
      </c>
      <c r="W102" t="str">
        <f t="shared" si="30"/>
        <v/>
      </c>
      <c r="X102" t="str">
        <f t="shared" si="30"/>
        <v/>
      </c>
      <c r="Y102" s="5" t="s">
        <v>36</v>
      </c>
      <c r="Z102" t="str">
        <f t="shared" si="31"/>
        <v/>
      </c>
      <c r="AA102" t="str">
        <f t="shared" si="39"/>
        <v/>
      </c>
      <c r="AB102" s="5" t="s">
        <v>36</v>
      </c>
      <c r="AH102">
        <f t="shared" si="41"/>
        <v>97</v>
      </c>
      <c r="AI102">
        <f t="shared" si="35"/>
        <v>0</v>
      </c>
      <c r="AJ102">
        <f t="shared" si="40"/>
        <v>5</v>
      </c>
    </row>
  </sheetData>
  <mergeCells count="1">
    <mergeCell ref="O2:U2"/>
  </mergeCells>
  <pageMargins left="0.7" right="0.7" top="0.75" bottom="0.75" header="0.3" footer="0.3"/>
  <pageSetup orientation="portrait" r:id="rId1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:AL102"/>
  <sheetViews>
    <sheetView topLeftCell="J1" zoomScaleNormal="100" workbookViewId="0">
      <selection activeCell="U3" sqref="U3:U102"/>
    </sheetView>
  </sheetViews>
  <sheetFormatPr defaultRowHeight="15" x14ac:dyDescent="0.25"/>
  <cols>
    <col min="1" max="1" width="73.85546875" style="5" bestFit="1" customWidth="1"/>
    <col min="2" max="2" width="16.28515625" style="5" bestFit="1" customWidth="1"/>
    <col min="3" max="3" width="32.7109375" style="5" bestFit="1" customWidth="1"/>
    <col min="4" max="4" width="31.42578125" style="5" bestFit="1" customWidth="1"/>
    <col min="5" max="5" width="24.28515625" style="5" bestFit="1" customWidth="1"/>
    <col min="6" max="6" width="73.5703125" style="5" bestFit="1" customWidth="1"/>
    <col min="7" max="7" width="5.85546875" style="8" bestFit="1" customWidth="1"/>
    <col min="8" max="8" width="7.85546875" style="3" bestFit="1" customWidth="1"/>
    <col min="9" max="9" width="51.42578125" style="3" bestFit="1" customWidth="1"/>
    <col min="10" max="10" width="9.140625" style="3" bestFit="1" customWidth="1"/>
    <col min="11" max="11" width="18.140625" style="3" customWidth="1"/>
    <col min="12" max="12" width="51.85546875" style="5" bestFit="1" customWidth="1"/>
    <col min="13" max="13" width="21.28515625" style="5" customWidth="1"/>
    <col min="15" max="15" width="10.5703125" customWidth="1"/>
    <col min="22" max="22" width="1.5703125" style="5" customWidth="1"/>
    <col min="23" max="23" width="9.5703125" customWidth="1"/>
    <col min="25" max="25" width="1.5703125" style="5" bestFit="1" customWidth="1"/>
    <col min="26" max="26" width="46.7109375" bestFit="1" customWidth="1"/>
    <col min="27" max="27" width="29.140625" customWidth="1"/>
    <col min="28" max="28" width="1.5703125" style="5" bestFit="1" customWidth="1"/>
    <col min="31" max="31" width="14.140625" bestFit="1" customWidth="1"/>
  </cols>
  <sheetData>
    <row r="1" spans="1:38" x14ac:dyDescent="0.25">
      <c r="G1" s="5"/>
      <c r="H1" s="5"/>
      <c r="I1" s="5"/>
      <c r="J1" s="5"/>
      <c r="K1" s="5"/>
      <c r="N1" s="5"/>
      <c r="O1" s="9"/>
      <c r="P1" s="9"/>
      <c r="Q1" s="9"/>
      <c r="R1" s="9"/>
      <c r="S1" s="9"/>
      <c r="T1" s="9"/>
      <c r="U1" s="9"/>
      <c r="W1" s="9"/>
      <c r="X1" s="9"/>
      <c r="Z1" s="9"/>
      <c r="AA1" s="9"/>
    </row>
    <row r="2" spans="1:38" x14ac:dyDescent="0.25">
      <c r="A2" s="4" t="s">
        <v>2</v>
      </c>
      <c r="B2" s="4" t="s">
        <v>3</v>
      </c>
      <c r="C2" s="4" t="s">
        <v>4</v>
      </c>
      <c r="D2" s="4" t="s">
        <v>5</v>
      </c>
      <c r="E2" s="4" t="s">
        <v>6</v>
      </c>
      <c r="F2" s="4" t="s">
        <v>7</v>
      </c>
      <c r="G2" s="6" t="s">
        <v>9</v>
      </c>
      <c r="H2" s="2" t="s">
        <v>26</v>
      </c>
      <c r="I2" s="2" t="s">
        <v>8</v>
      </c>
      <c r="J2" s="2" t="s">
        <v>33</v>
      </c>
      <c r="K2" s="2" t="s">
        <v>38</v>
      </c>
      <c r="L2" s="4" t="s">
        <v>31</v>
      </c>
      <c r="M2" s="4" t="s">
        <v>32</v>
      </c>
      <c r="O2" s="11" t="str">
        <f>"Copy from N to T Into the files named "&amp;H3&amp;G3&amp;" etc"</f>
        <v>Copy from N to T Into the files named Engineer1 etc</v>
      </c>
      <c r="P2" s="11"/>
      <c r="Q2" s="11"/>
      <c r="R2" s="11"/>
      <c r="S2" s="11"/>
      <c r="T2" s="11"/>
      <c r="U2" s="11"/>
      <c r="W2" s="1" t="s">
        <v>35</v>
      </c>
      <c r="Z2" s="1" t="s">
        <v>40</v>
      </c>
      <c r="AD2" t="s">
        <v>44</v>
      </c>
    </row>
    <row r="3" spans="1:38" x14ac:dyDescent="0.25">
      <c r="A3" s="5" t="s">
        <v>39</v>
      </c>
      <c r="B3" s="5" t="s">
        <v>0</v>
      </c>
      <c r="C3" s="5" t="str">
        <f t="shared" ref="C3:C66" si="0">"description,dailCompDesc"&amp;H3&amp;G3&amp;","</f>
        <v>description,dailCompDescEngineer1,</v>
      </c>
      <c r="D3" s="5" t="str">
        <f>"itemText,dailCompText"&amp;H3&amp;G3&amp;","</f>
        <v>itemText,dailCompTextEngineer1,</v>
      </c>
      <c r="E3" s="5" t="s">
        <v>24</v>
      </c>
      <c r="F3" s="5" t="str">
        <f>"augmentMasteryName1,records/skills"&amp;I3&amp;","</f>
        <v>augmentMasteryName1,records/skills/PlayerClassEngineer/_ClassTraining_ClassEngineer.dbr,</v>
      </c>
      <c r="G3" s="7">
        <f>IF(I3&lt;&gt;"",1,"")</f>
        <v>1</v>
      </c>
      <c r="H3" s="3" t="s">
        <v>518</v>
      </c>
      <c r="I3" s="3" t="s">
        <v>521</v>
      </c>
      <c r="J3" s="3" t="s">
        <v>519</v>
      </c>
      <c r="K3" s="3" t="s">
        <v>520</v>
      </c>
      <c r="L3" s="5" t="str">
        <f>"lootName"&amp;G3&amp;",DAIL/items/materia/"&amp;J3&amp;"/"&amp;H3&amp;G3&amp;".dbr"&amp;","</f>
        <v>lootName1,DAIL/items/materia/class0027/Engineer1.dbr,</v>
      </c>
      <c r="M3" s="5" t="str">
        <f>"lootWeight"&amp;G3&amp;",1,"</f>
        <v>lootWeight1,1,</v>
      </c>
      <c r="N3" t="str">
        <f>LEFT(RIGHT(E3,2),1)</f>
        <v>1</v>
      </c>
      <c r="O3" s="5" t="str">
        <f>IF(I3&lt;&gt;"","copy .\dail_base2.dbr .\items\materia\"&amp;J3&amp;"\"&amp;H3&amp;G3&amp;".dbr /y"&amp;"","")</f>
        <v>copy .\dail_base2.dbr .\items\materia\class0027\Engineer1.dbr /y</v>
      </c>
      <c r="P3" t="str">
        <f>IF($I3&lt;&gt;"","echo "&amp;A3&amp;" &gt;&gt; .\items\materia\"&amp;$J3&amp;"\"&amp;$H3&amp;$G3&amp;".dbr","")</f>
        <v>echo relicBitmap,items/craftingparts/components/component_a52_bristlyfur_b.tex, &gt;&gt; .\items\materia\class0027\Engineer1.dbr</v>
      </c>
      <c r="Q3" t="str">
        <f t="shared" ref="Q3:U18" si="1">IF($I3&lt;&gt;"","echo "&amp;B3&amp;" &gt;&gt; .\items\materia\"&amp;$J3&amp;"\"&amp;$H3&amp;$G3&amp;".dbr","")</f>
        <v>echo itemCost,100000, &gt;&gt; .\items\materia\class0027\Engineer1.dbr</v>
      </c>
      <c r="R3" t="str">
        <f t="shared" si="1"/>
        <v>echo description,dailCompDescEngineer1, &gt;&gt; .\items\materia\class0027\Engineer1.dbr</v>
      </c>
      <c r="S3" t="str">
        <f t="shared" si="1"/>
        <v>echo itemText,dailCompTextEngineer1, &gt;&gt; .\items\materia\class0027\Engineer1.dbr</v>
      </c>
      <c r="T3" t="str">
        <f t="shared" si="1"/>
        <v>echo augmentMasteryLevel1,1, &gt;&gt; .\items\materia\class0027\Engineer1.dbr</v>
      </c>
      <c r="U3" t="str">
        <f t="shared" si="1"/>
        <v>echo augmentMasteryName1,records/skills/PlayerClassEngineer/_ClassTraining_ClassEngineer.dbr, &gt;&gt; .\items\materia\class0027\Engineer1.dbr</v>
      </c>
      <c r="V3" s="5" t="s">
        <v>36</v>
      </c>
      <c r="W3" t="str">
        <f>IF($I3&lt;&gt;"","echo "&amp;L3&amp;" &gt;&gt; .\items\loottables\"&amp;$K3&amp;".dbr","")</f>
        <v>echo lootName1,DAIL/items/materia/class0027/Engineer1.dbr, &gt;&gt; .\items\loottables\dailoneskill0027.dbr</v>
      </c>
      <c r="X3" t="str">
        <f>IF($I3&lt;&gt;"","echo "&amp;M3&amp;" &gt;&gt; .\items\loottables\"&amp;$K3&amp;".dbr","")</f>
        <v>echo lootWeight1,1, &gt;&gt; .\items\loottables\dailoneskill0027.dbr</v>
      </c>
      <c r="Y3" s="5" t="s">
        <v>36</v>
      </c>
      <c r="Z3" s="10" t="str">
        <f>IF(I2&lt;&gt;""," dailCompDesc"&amp;H3&amp;G3&amp;"=^p"&amp;H3&amp;"'s Gift of DAIL","")</f>
        <v xml:space="preserve"> dailCompDescEngineer1=^pEngineer's Gift of DAIL</v>
      </c>
      <c r="AA3" s="10" t="str">
        <f>IF(I2&lt;&gt;"","dailCompText"&amp;H3&amp;G3&amp;"=^oThis feels warm to the touch, almost familiar ^w(This component fits into the amulet only)","")</f>
        <v>dailCompTextEngineer1=^oThis feels warm to the touch, almost familiar ^w(This component fits into the amulet only)</v>
      </c>
      <c r="AB3" s="5" t="s">
        <v>36</v>
      </c>
      <c r="AD3">
        <v>1</v>
      </c>
      <c r="AE3" t="s">
        <v>42</v>
      </c>
      <c r="AF3" t="s">
        <v>45</v>
      </c>
    </row>
    <row r="4" spans="1:38" x14ac:dyDescent="0.25">
      <c r="A4" s="5" t="s">
        <v>39</v>
      </c>
      <c r="B4" s="5" t="s">
        <v>28</v>
      </c>
      <c r="C4" s="5" t="str">
        <f t="shared" si="0"/>
        <v>description,dailCompDescEngineer2,</v>
      </c>
      <c r="D4" s="5" t="str">
        <f t="shared" ref="D4:D67" si="2">"itemText,dailCompText"&amp;H4&amp;G4&amp;","</f>
        <v>itemText,dailCompTextEngineer2,</v>
      </c>
      <c r="E4" s="5" t="s">
        <v>1</v>
      </c>
      <c r="F4" s="5" t="str">
        <f t="shared" ref="F4:F5" si="3">"augmentMasteryName1,records/skills"&amp;I4&amp;","</f>
        <v>augmentMasteryName1,records/skills/PlayerClassEngineer/_ClassTraining_ClassEngineer.dbr,</v>
      </c>
      <c r="G4" s="7">
        <f>IF(I4&lt;&gt;"",G3+1,"")</f>
        <v>2</v>
      </c>
      <c r="H4" s="8" t="str">
        <f>H3</f>
        <v>Engineer</v>
      </c>
      <c r="I4" s="3" t="s">
        <v>521</v>
      </c>
      <c r="J4" s="8" t="str">
        <f>J3</f>
        <v>class0027</v>
      </c>
      <c r="K4" s="8" t="str">
        <f>K3</f>
        <v>dailoneskill0027</v>
      </c>
      <c r="L4" s="5" t="str">
        <f t="shared" ref="L4:L67" si="4">"lootName"&amp;G4&amp;",DAIL/items/materia/"&amp;J4&amp;"/"&amp;H4&amp;G4&amp;".dbr"&amp;","</f>
        <v>lootName2,DAIL/items/materia/class0027/Engineer2.dbr,</v>
      </c>
      <c r="M4" s="5" t="str">
        <f t="shared" ref="M4:M67" si="5">"lootWeight"&amp;G4&amp;",1,"</f>
        <v>lootWeight2,1,</v>
      </c>
      <c r="N4" t="str">
        <f t="shared" ref="N4:N67" si="6">LEFT(RIGHT(E4,2),1)</f>
        <v>2</v>
      </c>
      <c r="O4" s="5" t="str">
        <f>IF(I4&lt;&gt;"","copy .\dail_base2.dbr .\items\materia\"&amp;J4&amp;"\"&amp;H4&amp;G4&amp;".dbr /y"&amp;"","")</f>
        <v>copy .\dail_base2.dbr .\items\materia\class0027\Engineer2.dbr /y</v>
      </c>
      <c r="P4" t="str">
        <f t="shared" ref="P4:U58" si="7">IF($I4&lt;&gt;"","echo "&amp;A4&amp;" &gt;&gt; .\items\materia\"&amp;$J4&amp;"\"&amp;$H4&amp;$G4&amp;".dbr","")</f>
        <v>echo relicBitmap,items/craftingparts/components/component_a52_bristlyfur_b.tex, &gt;&gt; .\items\materia\class0027\Engineer2.dbr</v>
      </c>
      <c r="Q4" t="str">
        <f t="shared" si="1"/>
        <v>echo itemCost,300000, &gt;&gt; .\items\materia\class0027\Engineer2.dbr</v>
      </c>
      <c r="R4" t="str">
        <f t="shared" si="1"/>
        <v>echo description,dailCompDescEngineer2, &gt;&gt; .\items\materia\class0027\Engineer2.dbr</v>
      </c>
      <c r="S4" t="str">
        <f t="shared" si="1"/>
        <v>echo itemText,dailCompTextEngineer2, &gt;&gt; .\items\materia\class0027\Engineer2.dbr</v>
      </c>
      <c r="T4" t="str">
        <f t="shared" si="1"/>
        <v>echo augmentMasteryLevel1,2, &gt;&gt; .\items\materia\class0027\Engineer2.dbr</v>
      </c>
      <c r="U4" t="str">
        <f t="shared" si="1"/>
        <v>echo augmentMasteryName1,records/skills/PlayerClassEngineer/_ClassTraining_ClassEngineer.dbr, &gt;&gt; .\items\materia\class0027\Engineer2.dbr</v>
      </c>
      <c r="V4" s="5" t="s">
        <v>36</v>
      </c>
      <c r="W4" t="str">
        <f t="shared" ref="W4:X67" si="8">IF($I4&lt;&gt;"","echo "&amp;L4&amp;" &gt;&gt; .\items\loottables\"&amp;$K4&amp;".dbr","")</f>
        <v>echo lootName2,DAIL/items/materia/class0027/Engineer2.dbr, &gt;&gt; .\items\loottables\dailoneskill0027.dbr</v>
      </c>
      <c r="X4" t="str">
        <f t="shared" si="8"/>
        <v>echo lootWeight2,1, &gt;&gt; .\items\loottables\dailoneskill0027.dbr</v>
      </c>
      <c r="Y4" s="5" t="s">
        <v>36</v>
      </c>
      <c r="Z4" s="10" t="str">
        <f t="shared" ref="Z4:Z67" si="9">IF(I3&lt;&gt;""," dailCompDesc"&amp;H4&amp;G4&amp;"=^p"&amp;H4&amp;"'s Gift of DAIL","")</f>
        <v xml:space="preserve"> dailCompDescEngineer2=^pEngineer's Gift of DAIL</v>
      </c>
      <c r="AA4" s="10" t="str">
        <f>IF(I3&lt;&gt;"","dailCompText"&amp;H4&amp;G4&amp;"=^oThis feels warm to the touch, almost familiar ^w(This component fits into the amulet only)","")</f>
        <v>dailCompTextEngineer2=^oThis feels warm to the touch, almost familiar ^w(This component fits into the amulet only)</v>
      </c>
      <c r="AB4" s="5" t="s">
        <v>36</v>
      </c>
      <c r="AD4">
        <v>3</v>
      </c>
      <c r="AE4" t="s">
        <v>43</v>
      </c>
      <c r="AF4" t="s">
        <v>46</v>
      </c>
    </row>
    <row r="5" spans="1:38" x14ac:dyDescent="0.25">
      <c r="A5" s="5" t="s">
        <v>39</v>
      </c>
      <c r="B5" s="5" t="s">
        <v>29</v>
      </c>
      <c r="C5" s="5" t="str">
        <f t="shared" si="0"/>
        <v>description,dailCompDescEngineer3,</v>
      </c>
      <c r="D5" s="5" t="str">
        <f t="shared" si="2"/>
        <v>itemText,dailCompTextEngineer3,</v>
      </c>
      <c r="E5" s="5" t="s">
        <v>25</v>
      </c>
      <c r="F5" s="5" t="str">
        <f t="shared" si="3"/>
        <v>augmentMasteryName1,records/skills/PlayerClassEngineer/_ClassTraining_ClassEngineer.dbr,</v>
      </c>
      <c r="G5" s="7">
        <f t="shared" ref="G5:G68" si="10">IF(I5&lt;&gt;"",G4+1,"")</f>
        <v>3</v>
      </c>
      <c r="H5" s="8" t="str">
        <f t="shared" ref="H5:H68" si="11">H4</f>
        <v>Engineer</v>
      </c>
      <c r="I5" s="3" t="s">
        <v>521</v>
      </c>
      <c r="J5" s="8" t="str">
        <f t="shared" ref="J5:K20" si="12">J4</f>
        <v>class0027</v>
      </c>
      <c r="K5" s="8" t="str">
        <f t="shared" si="12"/>
        <v>dailoneskill0027</v>
      </c>
      <c r="L5" s="5" t="str">
        <f t="shared" si="4"/>
        <v>lootName3,DAIL/items/materia/class0027/Engineer3.dbr,</v>
      </c>
      <c r="M5" s="5" t="str">
        <f t="shared" si="5"/>
        <v>lootWeight3,1,</v>
      </c>
      <c r="N5" t="str">
        <f t="shared" si="6"/>
        <v>3</v>
      </c>
      <c r="O5" s="5" t="str">
        <f>IF(I5&lt;&gt;"","copy .\dail_base2.dbr .\items\materia\"&amp;J5&amp;"\"&amp;H5&amp;G5&amp;".dbr /y"&amp;"","")</f>
        <v>copy .\dail_base2.dbr .\items\materia\class0027\Engineer3.dbr /y</v>
      </c>
      <c r="P5" t="str">
        <f t="shared" si="7"/>
        <v>echo relicBitmap,items/craftingparts/components/component_a52_bristlyfur_b.tex, &gt;&gt; .\items\materia\class0027\Engineer3.dbr</v>
      </c>
      <c r="Q5" t="str">
        <f t="shared" si="1"/>
        <v>echo itemCost,600000, &gt;&gt; .\items\materia\class0027\Engineer3.dbr</v>
      </c>
      <c r="R5" t="str">
        <f t="shared" si="1"/>
        <v>echo description,dailCompDescEngineer3, &gt;&gt; .\items\materia\class0027\Engineer3.dbr</v>
      </c>
      <c r="S5" t="str">
        <f t="shared" si="1"/>
        <v>echo itemText,dailCompTextEngineer3, &gt;&gt; .\items\materia\class0027\Engineer3.dbr</v>
      </c>
      <c r="T5" t="str">
        <f t="shared" si="1"/>
        <v>echo augmentMasteryLevel1,3, &gt;&gt; .\items\materia\class0027\Engineer3.dbr</v>
      </c>
      <c r="U5" t="str">
        <f t="shared" si="1"/>
        <v>echo augmentMasteryName1,records/skills/PlayerClassEngineer/_ClassTraining_ClassEngineer.dbr, &gt;&gt; .\items\materia\class0027\Engineer3.dbr</v>
      </c>
      <c r="V5" s="5" t="s">
        <v>36</v>
      </c>
      <c r="W5" t="str">
        <f t="shared" si="8"/>
        <v>echo lootName3,DAIL/items/materia/class0027/Engineer3.dbr, &gt;&gt; .\items\loottables\dailoneskill0027.dbr</v>
      </c>
      <c r="X5" t="str">
        <f t="shared" si="8"/>
        <v>echo lootWeight3,1, &gt;&gt; .\items\loottables\dailoneskill0027.dbr</v>
      </c>
      <c r="Y5" s="5" t="s">
        <v>36</v>
      </c>
      <c r="Z5" s="10" t="str">
        <f t="shared" si="9"/>
        <v xml:space="preserve"> dailCompDescEngineer3=^pEngineer's Gift of DAIL</v>
      </c>
      <c r="AA5" s="10" t="str">
        <f>IF(I4&lt;&gt;"","dailCompText"&amp;H5&amp;G5&amp;"=^oThis feels warm to the touch, almost familiar ^w(This component fits into the amulet only)","")</f>
        <v>dailCompTextEngineer3=^oThis feels warm to the touch, almost familiar ^w(This component fits into the amulet only)</v>
      </c>
      <c r="AB5" s="5" t="s">
        <v>36</v>
      </c>
      <c r="AD5">
        <v>5</v>
      </c>
      <c r="AE5" t="s">
        <v>43</v>
      </c>
      <c r="AF5" t="s">
        <v>46</v>
      </c>
      <c r="AI5" t="s">
        <v>61</v>
      </c>
    </row>
    <row r="6" spans="1:38" x14ac:dyDescent="0.25">
      <c r="A6" s="5" t="s">
        <v>39</v>
      </c>
      <c r="B6" s="5" t="s">
        <v>0</v>
      </c>
      <c r="C6" s="5" t="str">
        <f t="shared" si="0"/>
        <v>description,dailCompDescEngineer4,</v>
      </c>
      <c r="D6" s="5" t="str">
        <f t="shared" si="2"/>
        <v>itemText,dailCompTextEngineer4,</v>
      </c>
      <c r="E6" s="5" t="str">
        <f>"augmentSkillLevel1,"&amp;AJ6&amp;","</f>
        <v>augmentSkillLevel1,1,</v>
      </c>
      <c r="F6" s="5" t="str">
        <f>"augmentSkillName1,records/skills"&amp;I6&amp;","</f>
        <v>augmentSkillName1,records/skills/playerclassEngineer/shockshot3.dbr,</v>
      </c>
      <c r="G6" s="7">
        <f t="shared" si="10"/>
        <v>4</v>
      </c>
      <c r="H6" s="8" t="str">
        <f t="shared" si="11"/>
        <v>Engineer</v>
      </c>
      <c r="I6" s="3" t="s">
        <v>522</v>
      </c>
      <c r="J6" s="8" t="str">
        <f t="shared" si="12"/>
        <v>class0027</v>
      </c>
      <c r="K6" s="8" t="str">
        <f t="shared" si="12"/>
        <v>dailoneskill0027</v>
      </c>
      <c r="L6" s="5" t="str">
        <f t="shared" si="4"/>
        <v>lootName4,DAIL/items/materia/class0027/Engineer4.dbr,</v>
      </c>
      <c r="M6" s="5" t="str">
        <f t="shared" si="5"/>
        <v>lootWeight4,1,</v>
      </c>
      <c r="N6" t="str">
        <f t="shared" si="6"/>
        <v>1</v>
      </c>
      <c r="O6" t="str">
        <f>IF(I6&lt;&gt;"","copy .\"&amp;VLOOKUP(VALUE(N6),$AD$3:$AF$5,2,FALSE)&amp;" .\items\materia\"&amp;J6&amp;"\"&amp;H6&amp;G6&amp;".dbr /y"&amp;"","")</f>
        <v>copy .\dail_base.dbr .\items\materia\class0027\Engineer4.dbr /y</v>
      </c>
      <c r="P6" t="str">
        <f t="shared" si="7"/>
        <v>echo relicBitmap,items/craftingparts/components/component_a52_bristlyfur_b.tex, &gt;&gt; .\items\materia\class0027\Engineer4.dbr</v>
      </c>
      <c r="Q6" t="str">
        <f t="shared" si="1"/>
        <v>echo itemCost,100000, &gt;&gt; .\items\materia\class0027\Engineer4.dbr</v>
      </c>
      <c r="R6" t="str">
        <f t="shared" si="1"/>
        <v>echo description,dailCompDescEngineer4, &gt;&gt; .\items\materia\class0027\Engineer4.dbr</v>
      </c>
      <c r="S6" t="str">
        <f t="shared" si="1"/>
        <v>echo itemText,dailCompTextEngineer4, &gt;&gt; .\items\materia\class0027\Engineer4.dbr</v>
      </c>
      <c r="T6" t="str">
        <f t="shared" si="1"/>
        <v>echo augmentSkillLevel1,1, &gt;&gt; .\items\materia\class0027\Engineer4.dbr</v>
      </c>
      <c r="U6" t="str">
        <f t="shared" si="1"/>
        <v>echo augmentSkillName1,records/skills/playerclassEngineer/shockshot3.dbr, &gt;&gt; .\items\materia\class0027\Engineer4.dbr</v>
      </c>
      <c r="V6" s="5" t="s">
        <v>36</v>
      </c>
      <c r="W6" t="str">
        <f t="shared" si="8"/>
        <v>echo lootName4,DAIL/items/materia/class0027/Engineer4.dbr, &gt;&gt; .\items\loottables\dailoneskill0027.dbr</v>
      </c>
      <c r="X6" t="str">
        <f t="shared" si="8"/>
        <v>echo lootWeight4,1, &gt;&gt; .\items\loottables\dailoneskill0027.dbr</v>
      </c>
      <c r="Y6" s="5" t="s">
        <v>36</v>
      </c>
      <c r="Z6" t="str">
        <f t="shared" si="9"/>
        <v xml:space="preserve"> dailCompDescEngineer4=^pEngineer's Gift of DAIL</v>
      </c>
      <c r="AA6" t="str">
        <f>IF(I5&lt;&gt;"","dailCompText"&amp;H6&amp;G6&amp;"=^oThis feels warm to the touch, almost familiar ^w("&amp;VLOOKUP(VALUE(N6),$AD$3:$AF$5,3,FALSE)&amp;")","")</f>
        <v>dailCompTextEngineer4=^oThis feels warm to the touch, almost familiar ^w(This component fits into all Jewellery slots including the Belt And Shoulder)</v>
      </c>
      <c r="AB6" s="5" t="s">
        <v>36</v>
      </c>
      <c r="AH6">
        <v>1</v>
      </c>
      <c r="AI6">
        <f t="shared" ref="AI6:AI69" si="13">LEN(I6)</f>
        <v>35</v>
      </c>
      <c r="AJ6">
        <f>IF(AH6&lt;$AL$7,1,IF(AH6&lt;$AL$8,3,5))</f>
        <v>1</v>
      </c>
      <c r="AK6" s="1" t="s">
        <v>62</v>
      </c>
      <c r="AL6" s="1">
        <f>COUNTIF(AI:AI,"&gt;0")</f>
        <v>93</v>
      </c>
    </row>
    <row r="7" spans="1:38" x14ac:dyDescent="0.25">
      <c r="A7" s="5" t="s">
        <v>39</v>
      </c>
      <c r="B7" s="5" t="s">
        <v>0</v>
      </c>
      <c r="C7" s="5" t="str">
        <f t="shared" si="0"/>
        <v>description,dailCompDescEngineer5,</v>
      </c>
      <c r="D7" s="5" t="str">
        <f t="shared" si="2"/>
        <v>itemText,dailCompTextEngineer5,</v>
      </c>
      <c r="E7" s="5" t="str">
        <f t="shared" ref="E7:E70" si="14">"augmentSkillLevel1,"&amp;AJ7&amp;","</f>
        <v>augmentSkillLevel1,1,</v>
      </c>
      <c r="F7" s="5" t="str">
        <f t="shared" ref="F7:F70" si="15">"augmentSkillName1,records/skills"&amp;I7&amp;","</f>
        <v>augmentSkillName1,records/skills/playerclassEngineer/p_unarmedgadgetry.dbr,</v>
      </c>
      <c r="G7" s="7">
        <f t="shared" si="10"/>
        <v>5</v>
      </c>
      <c r="H7" s="8" t="str">
        <f t="shared" si="11"/>
        <v>Engineer</v>
      </c>
      <c r="I7" s="3" t="s">
        <v>523</v>
      </c>
      <c r="J7" s="8" t="str">
        <f t="shared" si="12"/>
        <v>class0027</v>
      </c>
      <c r="K7" s="8" t="str">
        <f t="shared" si="12"/>
        <v>dailoneskill0027</v>
      </c>
      <c r="L7" s="5" t="str">
        <f t="shared" si="4"/>
        <v>lootName5,DAIL/items/materia/class0027/Engineer5.dbr,</v>
      </c>
      <c r="M7" s="5" t="str">
        <f t="shared" si="5"/>
        <v>lootWeight5,1,</v>
      </c>
      <c r="N7" t="str">
        <f t="shared" si="6"/>
        <v>1</v>
      </c>
      <c r="O7" t="str">
        <f t="shared" ref="O7:O70" si="16">IF(I7&lt;&gt;"","copy .\"&amp;VLOOKUP(VALUE(N7),$AD$3:$AF$5,2,FALSE)&amp;" .\items\materia\"&amp;J7&amp;"\"&amp;H7&amp;G7&amp;".dbr /y"&amp;"","")</f>
        <v>copy .\dail_base.dbr .\items\materia\class0027\Engineer5.dbr /y</v>
      </c>
      <c r="P7" t="str">
        <f t="shared" si="7"/>
        <v>echo relicBitmap,items/craftingparts/components/component_a52_bristlyfur_b.tex, &gt;&gt; .\items\materia\class0027\Engineer5.dbr</v>
      </c>
      <c r="Q7" t="str">
        <f t="shared" si="1"/>
        <v>echo itemCost,100000, &gt;&gt; .\items\materia\class0027\Engineer5.dbr</v>
      </c>
      <c r="R7" t="str">
        <f t="shared" si="1"/>
        <v>echo description,dailCompDescEngineer5, &gt;&gt; .\items\materia\class0027\Engineer5.dbr</v>
      </c>
      <c r="S7" t="str">
        <f t="shared" si="1"/>
        <v>echo itemText,dailCompTextEngineer5, &gt;&gt; .\items\materia\class0027\Engineer5.dbr</v>
      </c>
      <c r="T7" t="str">
        <f t="shared" si="1"/>
        <v>echo augmentSkillLevel1,1, &gt;&gt; .\items\materia\class0027\Engineer5.dbr</v>
      </c>
      <c r="U7" t="str">
        <f t="shared" si="1"/>
        <v>echo augmentSkillName1,records/skills/playerclassEngineer/p_unarmedgadgetry.dbr, &gt;&gt; .\items\materia\class0027\Engineer5.dbr</v>
      </c>
      <c r="V7" s="5" t="s">
        <v>36</v>
      </c>
      <c r="W7" t="str">
        <f t="shared" si="8"/>
        <v>echo lootName5,DAIL/items/materia/class0027/Engineer5.dbr, &gt;&gt; .\items\loottables\dailoneskill0027.dbr</v>
      </c>
      <c r="X7" t="str">
        <f t="shared" si="8"/>
        <v>echo lootWeight5,1, &gt;&gt; .\items\loottables\dailoneskill0027.dbr</v>
      </c>
      <c r="Y7" s="5" t="s">
        <v>36</v>
      </c>
      <c r="Z7" t="str">
        <f t="shared" si="9"/>
        <v xml:space="preserve"> dailCompDescEngineer5=^pEngineer's Gift of DAIL</v>
      </c>
      <c r="AA7" t="str">
        <f t="shared" ref="AA7:AA70" si="17">IF(I6&lt;&gt;"","dailCompText"&amp;H7&amp;G7&amp;"=^oThis feels warm to the touch, almost familiar ^w("&amp;VLOOKUP(VALUE(N7),$AD$3:$AF$5,3,FALSE)&amp;")","")</f>
        <v>dailCompTextEngineer5=^oThis feels warm to the touch, almost familiar ^w(This component fits into all Jewellery slots including the Belt And Shoulder)</v>
      </c>
      <c r="AB7" s="5" t="s">
        <v>36</v>
      </c>
      <c r="AH7">
        <f>AH6+1</f>
        <v>2</v>
      </c>
      <c r="AI7">
        <f t="shared" si="13"/>
        <v>42</v>
      </c>
      <c r="AJ7">
        <f t="shared" ref="AJ7:AJ70" si="18">IF(AH7&lt;$AL$7,1,IF(AH7&lt;$AL$8,3,5))</f>
        <v>1</v>
      </c>
      <c r="AK7">
        <v>1</v>
      </c>
      <c r="AL7">
        <f>AL6/3</f>
        <v>31</v>
      </c>
    </row>
    <row r="8" spans="1:38" x14ac:dyDescent="0.25">
      <c r="A8" s="5" t="s">
        <v>39</v>
      </c>
      <c r="B8" s="5" t="s">
        <v>0</v>
      </c>
      <c r="C8" s="5" t="str">
        <f t="shared" si="0"/>
        <v>description,dailCompDescEngineer6,</v>
      </c>
      <c r="D8" s="5" t="str">
        <f t="shared" si="2"/>
        <v>itemText,dailCompTextEngineer6,</v>
      </c>
      <c r="E8" s="5" t="str">
        <f t="shared" si="14"/>
        <v>augmentSkillLevel1,1,</v>
      </c>
      <c r="F8" s="5" t="str">
        <f t="shared" si="15"/>
        <v>augmentSkillName1,records/skills/playerclassEngineer/summon_sentry.dbr,</v>
      </c>
      <c r="G8" s="7">
        <f t="shared" si="10"/>
        <v>6</v>
      </c>
      <c r="H8" s="8" t="str">
        <f t="shared" si="11"/>
        <v>Engineer</v>
      </c>
      <c r="I8" s="3" t="s">
        <v>524</v>
      </c>
      <c r="J8" s="8" t="str">
        <f t="shared" si="12"/>
        <v>class0027</v>
      </c>
      <c r="K8" s="8" t="str">
        <f t="shared" si="12"/>
        <v>dailoneskill0027</v>
      </c>
      <c r="L8" s="5" t="str">
        <f t="shared" si="4"/>
        <v>lootName6,DAIL/items/materia/class0027/Engineer6.dbr,</v>
      </c>
      <c r="M8" s="5" t="str">
        <f t="shared" si="5"/>
        <v>lootWeight6,1,</v>
      </c>
      <c r="N8" t="str">
        <f t="shared" si="6"/>
        <v>1</v>
      </c>
      <c r="O8" t="str">
        <f t="shared" si="16"/>
        <v>copy .\dail_base.dbr .\items\materia\class0027\Engineer6.dbr /y</v>
      </c>
      <c r="P8" t="str">
        <f t="shared" si="7"/>
        <v>echo relicBitmap,items/craftingparts/components/component_a52_bristlyfur_b.tex, &gt;&gt; .\items\materia\class0027\Engineer6.dbr</v>
      </c>
      <c r="Q8" t="str">
        <f t="shared" si="1"/>
        <v>echo itemCost,100000, &gt;&gt; .\items\materia\class0027\Engineer6.dbr</v>
      </c>
      <c r="R8" t="str">
        <f t="shared" si="1"/>
        <v>echo description,dailCompDescEngineer6, &gt;&gt; .\items\materia\class0027\Engineer6.dbr</v>
      </c>
      <c r="S8" t="str">
        <f t="shared" si="1"/>
        <v>echo itemText,dailCompTextEngineer6, &gt;&gt; .\items\materia\class0027\Engineer6.dbr</v>
      </c>
      <c r="T8" t="str">
        <f t="shared" si="1"/>
        <v>echo augmentSkillLevel1,1, &gt;&gt; .\items\materia\class0027\Engineer6.dbr</v>
      </c>
      <c r="U8" t="str">
        <f t="shared" si="1"/>
        <v>echo augmentSkillName1,records/skills/playerclassEngineer/summon_sentry.dbr, &gt;&gt; .\items\materia\class0027\Engineer6.dbr</v>
      </c>
      <c r="V8" s="5" t="s">
        <v>36</v>
      </c>
      <c r="W8" t="str">
        <f t="shared" si="8"/>
        <v>echo lootName6,DAIL/items/materia/class0027/Engineer6.dbr, &gt;&gt; .\items\loottables\dailoneskill0027.dbr</v>
      </c>
      <c r="X8" t="str">
        <f t="shared" si="8"/>
        <v>echo lootWeight6,1, &gt;&gt; .\items\loottables\dailoneskill0027.dbr</v>
      </c>
      <c r="Y8" s="5" t="s">
        <v>36</v>
      </c>
      <c r="Z8" t="str">
        <f t="shared" si="9"/>
        <v xml:space="preserve"> dailCompDescEngineer6=^pEngineer's Gift of DAIL</v>
      </c>
      <c r="AA8" t="str">
        <f t="shared" si="17"/>
        <v>dailCompTextEngineer6=^oThis feels warm to the touch, almost familiar ^w(This component fits into all Jewellery slots including the Belt And Shoulder)</v>
      </c>
      <c r="AB8" s="5" t="s">
        <v>36</v>
      </c>
      <c r="AH8">
        <f t="shared" ref="AH8:AH71" si="19">AH7+1</f>
        <v>3</v>
      </c>
      <c r="AI8">
        <f t="shared" si="13"/>
        <v>38</v>
      </c>
      <c r="AJ8">
        <f t="shared" si="18"/>
        <v>1</v>
      </c>
      <c r="AK8" s="1">
        <v>3</v>
      </c>
      <c r="AL8">
        <f>AL7*2</f>
        <v>62</v>
      </c>
    </row>
    <row r="9" spans="1:38" x14ac:dyDescent="0.25">
      <c r="A9" s="5" t="s">
        <v>39</v>
      </c>
      <c r="B9" s="5" t="s">
        <v>0</v>
      </c>
      <c r="C9" s="5" t="str">
        <f t="shared" si="0"/>
        <v>description,dailCompDescEngineer7,</v>
      </c>
      <c r="D9" s="5" t="str">
        <f t="shared" si="2"/>
        <v>itemText,dailCompTextEngineer7,</v>
      </c>
      <c r="E9" s="5" t="str">
        <f t="shared" si="14"/>
        <v>augmentSkillLevel1,1,</v>
      </c>
      <c r="F9" s="5" t="str">
        <f t="shared" si="15"/>
        <v>augmentSkillName1,records/skills/playerclassEngineer/p_sentrymastery.dbr,</v>
      </c>
      <c r="G9" s="7">
        <f t="shared" si="10"/>
        <v>7</v>
      </c>
      <c r="H9" s="8" t="str">
        <f t="shared" si="11"/>
        <v>Engineer</v>
      </c>
      <c r="I9" s="3" t="s">
        <v>525</v>
      </c>
      <c r="J9" s="8" t="str">
        <f t="shared" si="12"/>
        <v>class0027</v>
      </c>
      <c r="K9" s="8" t="str">
        <f t="shared" si="12"/>
        <v>dailoneskill0027</v>
      </c>
      <c r="L9" s="5" t="str">
        <f t="shared" si="4"/>
        <v>lootName7,DAIL/items/materia/class0027/Engineer7.dbr,</v>
      </c>
      <c r="M9" s="5" t="str">
        <f t="shared" si="5"/>
        <v>lootWeight7,1,</v>
      </c>
      <c r="N9" t="str">
        <f t="shared" si="6"/>
        <v>1</v>
      </c>
      <c r="O9" t="str">
        <f t="shared" si="16"/>
        <v>copy .\dail_base.dbr .\items\materia\class0027\Engineer7.dbr /y</v>
      </c>
      <c r="P9" t="str">
        <f t="shared" si="7"/>
        <v>echo relicBitmap,items/craftingparts/components/component_a52_bristlyfur_b.tex, &gt;&gt; .\items\materia\class0027\Engineer7.dbr</v>
      </c>
      <c r="Q9" t="str">
        <f t="shared" si="1"/>
        <v>echo itemCost,100000, &gt;&gt; .\items\materia\class0027\Engineer7.dbr</v>
      </c>
      <c r="R9" t="str">
        <f t="shared" si="1"/>
        <v>echo description,dailCompDescEngineer7, &gt;&gt; .\items\materia\class0027\Engineer7.dbr</v>
      </c>
      <c r="S9" t="str">
        <f t="shared" si="1"/>
        <v>echo itemText,dailCompTextEngineer7, &gt;&gt; .\items\materia\class0027\Engineer7.dbr</v>
      </c>
      <c r="T9" t="str">
        <f t="shared" si="1"/>
        <v>echo augmentSkillLevel1,1, &gt;&gt; .\items\materia\class0027\Engineer7.dbr</v>
      </c>
      <c r="U9" t="str">
        <f t="shared" si="1"/>
        <v>echo augmentSkillName1,records/skills/playerclassEngineer/p_sentrymastery.dbr, &gt;&gt; .\items\materia\class0027\Engineer7.dbr</v>
      </c>
      <c r="V9" s="5" t="s">
        <v>36</v>
      </c>
      <c r="W9" t="str">
        <f t="shared" si="8"/>
        <v>echo lootName7,DAIL/items/materia/class0027/Engineer7.dbr, &gt;&gt; .\items\loottables\dailoneskill0027.dbr</v>
      </c>
      <c r="X9" t="str">
        <f t="shared" si="8"/>
        <v>echo lootWeight7,1, &gt;&gt; .\items\loottables\dailoneskill0027.dbr</v>
      </c>
      <c r="Y9" s="5" t="s">
        <v>36</v>
      </c>
      <c r="Z9" t="str">
        <f t="shared" si="9"/>
        <v xml:space="preserve"> dailCompDescEngineer7=^pEngineer's Gift of DAIL</v>
      </c>
      <c r="AA9" t="str">
        <f t="shared" si="17"/>
        <v>dailCompTextEngineer7=^oThis feels warm to the touch, almost familiar ^w(This component fits into all Jewellery slots including the Belt And Shoulder)</v>
      </c>
      <c r="AB9" s="5" t="s">
        <v>36</v>
      </c>
      <c r="AH9">
        <f t="shared" si="19"/>
        <v>4</v>
      </c>
      <c r="AI9">
        <f t="shared" si="13"/>
        <v>40</v>
      </c>
      <c r="AJ9">
        <f t="shared" si="18"/>
        <v>1</v>
      </c>
      <c r="AK9" s="1">
        <v>5</v>
      </c>
      <c r="AL9">
        <f>AL6</f>
        <v>93</v>
      </c>
    </row>
    <row r="10" spans="1:38" x14ac:dyDescent="0.25">
      <c r="A10" s="5" t="s">
        <v>39</v>
      </c>
      <c r="B10" s="5" t="s">
        <v>0</v>
      </c>
      <c r="C10" s="5" t="str">
        <f t="shared" si="0"/>
        <v>description,dailCompDescEngineer8,</v>
      </c>
      <c r="D10" s="5" t="str">
        <f t="shared" si="2"/>
        <v>itemText,dailCompTextEngineer8,</v>
      </c>
      <c r="E10" s="5" t="str">
        <f t="shared" si="14"/>
        <v>augmentSkillLevel1,1,</v>
      </c>
      <c r="F10" s="5" t="str">
        <f t="shared" si="15"/>
        <v>augmentSkillName1,records/skills/playerclassEngineer/imitatesentry.dbr,</v>
      </c>
      <c r="G10" s="7">
        <f t="shared" si="10"/>
        <v>8</v>
      </c>
      <c r="H10" s="8" t="str">
        <f t="shared" si="11"/>
        <v>Engineer</v>
      </c>
      <c r="I10" s="3" t="s">
        <v>526</v>
      </c>
      <c r="J10" s="8" t="str">
        <f t="shared" si="12"/>
        <v>class0027</v>
      </c>
      <c r="K10" s="8" t="str">
        <f t="shared" si="12"/>
        <v>dailoneskill0027</v>
      </c>
      <c r="L10" s="5" t="str">
        <f t="shared" si="4"/>
        <v>lootName8,DAIL/items/materia/class0027/Engineer8.dbr,</v>
      </c>
      <c r="M10" s="5" t="str">
        <f t="shared" si="5"/>
        <v>lootWeight8,1,</v>
      </c>
      <c r="N10" t="str">
        <f t="shared" si="6"/>
        <v>1</v>
      </c>
      <c r="O10" t="str">
        <f t="shared" si="16"/>
        <v>copy .\dail_base.dbr .\items\materia\class0027\Engineer8.dbr /y</v>
      </c>
      <c r="P10" t="str">
        <f t="shared" si="7"/>
        <v>echo relicBitmap,items/craftingparts/components/component_a52_bristlyfur_b.tex, &gt;&gt; .\items\materia\class0027\Engineer8.dbr</v>
      </c>
      <c r="Q10" t="str">
        <f t="shared" si="1"/>
        <v>echo itemCost,100000, &gt;&gt; .\items\materia\class0027\Engineer8.dbr</v>
      </c>
      <c r="R10" t="str">
        <f t="shared" si="1"/>
        <v>echo description,dailCompDescEngineer8, &gt;&gt; .\items\materia\class0027\Engineer8.dbr</v>
      </c>
      <c r="S10" t="str">
        <f t="shared" si="1"/>
        <v>echo itemText,dailCompTextEngineer8, &gt;&gt; .\items\materia\class0027\Engineer8.dbr</v>
      </c>
      <c r="T10" t="str">
        <f t="shared" si="1"/>
        <v>echo augmentSkillLevel1,1, &gt;&gt; .\items\materia\class0027\Engineer8.dbr</v>
      </c>
      <c r="U10" t="str">
        <f t="shared" si="1"/>
        <v>echo augmentSkillName1,records/skills/playerclassEngineer/imitatesentry.dbr, &gt;&gt; .\items\materia\class0027\Engineer8.dbr</v>
      </c>
      <c r="V10" s="5" t="s">
        <v>36</v>
      </c>
      <c r="W10" t="str">
        <f t="shared" si="8"/>
        <v>echo lootName8,DAIL/items/materia/class0027/Engineer8.dbr, &gt;&gt; .\items\loottables\dailoneskill0027.dbr</v>
      </c>
      <c r="X10" t="str">
        <f t="shared" si="8"/>
        <v>echo lootWeight8,1, &gt;&gt; .\items\loottables\dailoneskill0027.dbr</v>
      </c>
      <c r="Y10" s="5" t="s">
        <v>36</v>
      </c>
      <c r="Z10" t="str">
        <f t="shared" si="9"/>
        <v xml:space="preserve"> dailCompDescEngineer8=^pEngineer's Gift of DAIL</v>
      </c>
      <c r="AA10" t="str">
        <f t="shared" si="17"/>
        <v>dailCompTextEngineer8=^oThis feels warm to the touch, almost familiar ^w(This component fits into all Jewellery slots including the Belt And Shoulder)</v>
      </c>
      <c r="AB10" s="5" t="s">
        <v>36</v>
      </c>
      <c r="AH10">
        <f t="shared" si="19"/>
        <v>5</v>
      </c>
      <c r="AI10">
        <f t="shared" si="13"/>
        <v>38</v>
      </c>
      <c r="AJ10">
        <f t="shared" si="18"/>
        <v>1</v>
      </c>
    </row>
    <row r="11" spans="1:38" x14ac:dyDescent="0.25">
      <c r="A11" s="5" t="s">
        <v>39</v>
      </c>
      <c r="B11" s="5" t="s">
        <v>0</v>
      </c>
      <c r="C11" s="5" t="str">
        <f t="shared" si="0"/>
        <v>description,dailCompDescEngineer9,</v>
      </c>
      <c r="D11" s="5" t="str">
        <f t="shared" si="2"/>
        <v>itemText,dailCompTextEngineer9,</v>
      </c>
      <c r="E11" s="5" t="str">
        <f t="shared" si="14"/>
        <v>augmentSkillLevel1,1,</v>
      </c>
      <c r="F11" s="5" t="str">
        <f t="shared" si="15"/>
        <v>augmentSkillName1,records/skills/playerclassEngineer/cannonshot1.dbr,</v>
      </c>
      <c r="G11" s="7">
        <f t="shared" si="10"/>
        <v>9</v>
      </c>
      <c r="H11" s="8" t="str">
        <f t="shared" si="11"/>
        <v>Engineer</v>
      </c>
      <c r="I11" s="3" t="s">
        <v>527</v>
      </c>
      <c r="J11" s="8" t="str">
        <f t="shared" si="12"/>
        <v>class0027</v>
      </c>
      <c r="K11" s="8" t="str">
        <f t="shared" si="12"/>
        <v>dailoneskill0027</v>
      </c>
      <c r="L11" s="5" t="str">
        <f t="shared" si="4"/>
        <v>lootName9,DAIL/items/materia/class0027/Engineer9.dbr,</v>
      </c>
      <c r="M11" s="5" t="str">
        <f t="shared" si="5"/>
        <v>lootWeight9,1,</v>
      </c>
      <c r="N11" t="str">
        <f t="shared" si="6"/>
        <v>1</v>
      </c>
      <c r="O11" t="str">
        <f t="shared" si="16"/>
        <v>copy .\dail_base.dbr .\items\materia\class0027\Engineer9.dbr /y</v>
      </c>
      <c r="P11" t="str">
        <f t="shared" si="7"/>
        <v>echo relicBitmap,items/craftingparts/components/component_a52_bristlyfur_b.tex, &gt;&gt; .\items\materia\class0027\Engineer9.dbr</v>
      </c>
      <c r="Q11" t="str">
        <f t="shared" si="1"/>
        <v>echo itemCost,100000, &gt;&gt; .\items\materia\class0027\Engineer9.dbr</v>
      </c>
      <c r="R11" t="str">
        <f t="shared" si="1"/>
        <v>echo description,dailCompDescEngineer9, &gt;&gt; .\items\materia\class0027\Engineer9.dbr</v>
      </c>
      <c r="S11" t="str">
        <f t="shared" si="1"/>
        <v>echo itemText,dailCompTextEngineer9, &gt;&gt; .\items\materia\class0027\Engineer9.dbr</v>
      </c>
      <c r="T11" t="str">
        <f t="shared" si="1"/>
        <v>echo augmentSkillLevel1,1, &gt;&gt; .\items\materia\class0027\Engineer9.dbr</v>
      </c>
      <c r="U11" t="str">
        <f t="shared" si="1"/>
        <v>echo augmentSkillName1,records/skills/playerclassEngineer/cannonshot1.dbr, &gt;&gt; .\items\materia\class0027\Engineer9.dbr</v>
      </c>
      <c r="V11" s="5" t="s">
        <v>36</v>
      </c>
      <c r="W11" t="str">
        <f t="shared" si="8"/>
        <v>echo lootName9,DAIL/items/materia/class0027/Engineer9.dbr, &gt;&gt; .\items\loottables\dailoneskill0027.dbr</v>
      </c>
      <c r="X11" t="str">
        <f t="shared" si="8"/>
        <v>echo lootWeight9,1, &gt;&gt; .\items\loottables\dailoneskill0027.dbr</v>
      </c>
      <c r="Y11" s="5" t="s">
        <v>36</v>
      </c>
      <c r="Z11" t="str">
        <f t="shared" si="9"/>
        <v xml:space="preserve"> dailCompDescEngineer9=^pEngineer's Gift of DAIL</v>
      </c>
      <c r="AA11" t="str">
        <f t="shared" si="17"/>
        <v>dailCompTextEngineer9=^oThis feels warm to the touch, almost familiar ^w(This component fits into all Jewellery slots including the Belt And Shoulder)</v>
      </c>
      <c r="AB11" s="5" t="s">
        <v>36</v>
      </c>
      <c r="AH11">
        <f t="shared" si="19"/>
        <v>6</v>
      </c>
      <c r="AI11">
        <f t="shared" si="13"/>
        <v>36</v>
      </c>
      <c r="AJ11">
        <f t="shared" si="18"/>
        <v>1</v>
      </c>
    </row>
    <row r="12" spans="1:38" x14ac:dyDescent="0.25">
      <c r="A12" s="5" t="s">
        <v>39</v>
      </c>
      <c r="B12" s="5" t="s">
        <v>0</v>
      </c>
      <c r="C12" s="5" t="str">
        <f t="shared" si="0"/>
        <v>description,dailCompDescEngineer10,</v>
      </c>
      <c r="D12" s="5" t="str">
        <f t="shared" si="2"/>
        <v>itemText,dailCompTextEngineer10,</v>
      </c>
      <c r="E12" s="5" t="str">
        <f t="shared" si="14"/>
        <v>augmentSkillLevel1,1,</v>
      </c>
      <c r="F12" s="5" t="str">
        <f t="shared" si="15"/>
        <v>augmentSkillName1,records/skills/playerclassEngineer/cannonshot1b.dbr,</v>
      </c>
      <c r="G12" s="7">
        <f t="shared" si="10"/>
        <v>10</v>
      </c>
      <c r="H12" s="8" t="str">
        <f t="shared" si="11"/>
        <v>Engineer</v>
      </c>
      <c r="I12" s="3" t="s">
        <v>528</v>
      </c>
      <c r="J12" s="8" t="str">
        <f t="shared" si="12"/>
        <v>class0027</v>
      </c>
      <c r="K12" s="8" t="str">
        <f t="shared" si="12"/>
        <v>dailoneskill0027</v>
      </c>
      <c r="L12" s="5" t="str">
        <f t="shared" si="4"/>
        <v>lootName10,DAIL/items/materia/class0027/Engineer10.dbr,</v>
      </c>
      <c r="M12" s="5" t="str">
        <f t="shared" si="5"/>
        <v>lootWeight10,1,</v>
      </c>
      <c r="N12" t="str">
        <f t="shared" si="6"/>
        <v>1</v>
      </c>
      <c r="O12" t="str">
        <f t="shared" si="16"/>
        <v>copy .\dail_base.dbr .\items\materia\class0027\Engineer10.dbr /y</v>
      </c>
      <c r="P12" t="str">
        <f t="shared" si="7"/>
        <v>echo relicBitmap,items/craftingparts/components/component_a52_bristlyfur_b.tex, &gt;&gt; .\items\materia\class0027\Engineer10.dbr</v>
      </c>
      <c r="Q12" t="str">
        <f t="shared" si="1"/>
        <v>echo itemCost,100000, &gt;&gt; .\items\materia\class0027\Engineer10.dbr</v>
      </c>
      <c r="R12" t="str">
        <f t="shared" si="1"/>
        <v>echo description,dailCompDescEngineer10, &gt;&gt; .\items\materia\class0027\Engineer10.dbr</v>
      </c>
      <c r="S12" t="str">
        <f t="shared" si="1"/>
        <v>echo itemText,dailCompTextEngineer10, &gt;&gt; .\items\materia\class0027\Engineer10.dbr</v>
      </c>
      <c r="T12" t="str">
        <f t="shared" si="1"/>
        <v>echo augmentSkillLevel1,1, &gt;&gt; .\items\materia\class0027\Engineer10.dbr</v>
      </c>
      <c r="U12" t="str">
        <f t="shared" si="1"/>
        <v>echo augmentSkillName1,records/skills/playerclassEngineer/cannonshot1b.dbr, &gt;&gt; .\items\materia\class0027\Engineer10.dbr</v>
      </c>
      <c r="V12" s="5" t="s">
        <v>36</v>
      </c>
      <c r="W12" t="str">
        <f t="shared" si="8"/>
        <v>echo lootName10,DAIL/items/materia/class0027/Engineer10.dbr, &gt;&gt; .\items\loottables\dailoneskill0027.dbr</v>
      </c>
      <c r="X12" t="str">
        <f t="shared" si="8"/>
        <v>echo lootWeight10,1, &gt;&gt; .\items\loottables\dailoneskill0027.dbr</v>
      </c>
      <c r="Y12" s="5" t="s">
        <v>36</v>
      </c>
      <c r="Z12" t="str">
        <f t="shared" si="9"/>
        <v xml:space="preserve"> dailCompDescEngineer10=^pEngineer's Gift of DAIL</v>
      </c>
      <c r="AA12" t="str">
        <f t="shared" si="17"/>
        <v>dailCompTextEngineer10=^oThis feels warm to the touch, almost familiar ^w(This component fits into all Jewellery slots including the Belt And Shoulder)</v>
      </c>
      <c r="AB12" s="5" t="s">
        <v>36</v>
      </c>
      <c r="AH12">
        <f t="shared" si="19"/>
        <v>7</v>
      </c>
      <c r="AI12">
        <f t="shared" si="13"/>
        <v>37</v>
      </c>
      <c r="AJ12">
        <f t="shared" si="18"/>
        <v>1</v>
      </c>
    </row>
    <row r="13" spans="1:38" x14ac:dyDescent="0.25">
      <c r="A13" s="5" t="s">
        <v>39</v>
      </c>
      <c r="B13" s="5" t="s">
        <v>0</v>
      </c>
      <c r="C13" s="5" t="str">
        <f t="shared" si="0"/>
        <v>description,dailCompDescEngineer11,</v>
      </c>
      <c r="D13" s="5" t="str">
        <f t="shared" si="2"/>
        <v>itemText,dailCompTextEngineer11,</v>
      </c>
      <c r="E13" s="5" t="str">
        <f t="shared" si="14"/>
        <v>augmentSkillLevel1,1,</v>
      </c>
      <c r="F13" s="5" t="str">
        <f t="shared" si="15"/>
        <v>augmentSkillName1,records/skills/playerclassEngineer/cannonshot2.dbr,</v>
      </c>
      <c r="G13" s="7">
        <f t="shared" si="10"/>
        <v>11</v>
      </c>
      <c r="H13" s="8" t="str">
        <f t="shared" si="11"/>
        <v>Engineer</v>
      </c>
      <c r="I13" s="3" t="s">
        <v>529</v>
      </c>
      <c r="J13" s="8" t="str">
        <f t="shared" si="12"/>
        <v>class0027</v>
      </c>
      <c r="K13" s="8" t="str">
        <f t="shared" si="12"/>
        <v>dailoneskill0027</v>
      </c>
      <c r="L13" s="5" t="str">
        <f t="shared" si="4"/>
        <v>lootName11,DAIL/items/materia/class0027/Engineer11.dbr,</v>
      </c>
      <c r="M13" s="5" t="str">
        <f t="shared" si="5"/>
        <v>lootWeight11,1,</v>
      </c>
      <c r="N13" t="str">
        <f t="shared" si="6"/>
        <v>1</v>
      </c>
      <c r="O13" t="str">
        <f t="shared" si="16"/>
        <v>copy .\dail_base.dbr .\items\materia\class0027\Engineer11.dbr /y</v>
      </c>
      <c r="P13" t="str">
        <f t="shared" si="7"/>
        <v>echo relicBitmap,items/craftingparts/components/component_a52_bristlyfur_b.tex, &gt;&gt; .\items\materia\class0027\Engineer11.dbr</v>
      </c>
      <c r="Q13" t="str">
        <f t="shared" si="1"/>
        <v>echo itemCost,100000, &gt;&gt; .\items\materia\class0027\Engineer11.dbr</v>
      </c>
      <c r="R13" t="str">
        <f t="shared" si="1"/>
        <v>echo description,dailCompDescEngineer11, &gt;&gt; .\items\materia\class0027\Engineer11.dbr</v>
      </c>
      <c r="S13" t="str">
        <f t="shared" si="1"/>
        <v>echo itemText,dailCompTextEngineer11, &gt;&gt; .\items\materia\class0027\Engineer11.dbr</v>
      </c>
      <c r="T13" t="str">
        <f t="shared" si="1"/>
        <v>echo augmentSkillLevel1,1, &gt;&gt; .\items\materia\class0027\Engineer11.dbr</v>
      </c>
      <c r="U13" t="str">
        <f t="shared" si="1"/>
        <v>echo augmentSkillName1,records/skills/playerclassEngineer/cannonshot2.dbr, &gt;&gt; .\items\materia\class0027\Engineer11.dbr</v>
      </c>
      <c r="V13" s="5" t="s">
        <v>36</v>
      </c>
      <c r="W13" t="str">
        <f t="shared" si="8"/>
        <v>echo lootName11,DAIL/items/materia/class0027/Engineer11.dbr, &gt;&gt; .\items\loottables\dailoneskill0027.dbr</v>
      </c>
      <c r="X13" t="str">
        <f t="shared" si="8"/>
        <v>echo lootWeight11,1, &gt;&gt; .\items\loottables\dailoneskill0027.dbr</v>
      </c>
      <c r="Y13" s="5" t="s">
        <v>36</v>
      </c>
      <c r="Z13" t="str">
        <f t="shared" si="9"/>
        <v xml:space="preserve"> dailCompDescEngineer11=^pEngineer's Gift of DAIL</v>
      </c>
      <c r="AA13" t="str">
        <f t="shared" si="17"/>
        <v>dailCompTextEngineer11=^oThis feels warm to the touch, almost familiar ^w(This component fits into all Jewellery slots including the Belt And Shoulder)</v>
      </c>
      <c r="AB13" s="5" t="s">
        <v>36</v>
      </c>
      <c r="AH13">
        <f t="shared" si="19"/>
        <v>8</v>
      </c>
      <c r="AI13">
        <f t="shared" si="13"/>
        <v>36</v>
      </c>
      <c r="AJ13">
        <f t="shared" si="18"/>
        <v>1</v>
      </c>
    </row>
    <row r="14" spans="1:38" x14ac:dyDescent="0.25">
      <c r="A14" s="5" t="s">
        <v>39</v>
      </c>
      <c r="B14" s="5" t="s">
        <v>0</v>
      </c>
      <c r="C14" s="5" t="str">
        <f t="shared" si="0"/>
        <v>description,dailCompDescEngineer12,</v>
      </c>
      <c r="D14" s="5" t="str">
        <f t="shared" si="2"/>
        <v>itemText,dailCompTextEngineer12,</v>
      </c>
      <c r="E14" s="5" t="str">
        <f t="shared" si="14"/>
        <v>augmentSkillLevel1,1,</v>
      </c>
      <c r="F14" s="5" t="str">
        <f t="shared" si="15"/>
        <v>augmentSkillName1,records/skills/playerclassEngineer/groundpound1.dbr,</v>
      </c>
      <c r="G14" s="7">
        <f t="shared" si="10"/>
        <v>12</v>
      </c>
      <c r="H14" s="8" t="str">
        <f t="shared" si="11"/>
        <v>Engineer</v>
      </c>
      <c r="I14" s="3" t="s">
        <v>530</v>
      </c>
      <c r="J14" s="8" t="str">
        <f t="shared" si="12"/>
        <v>class0027</v>
      </c>
      <c r="K14" s="8" t="str">
        <f t="shared" si="12"/>
        <v>dailoneskill0027</v>
      </c>
      <c r="L14" s="5" t="str">
        <f t="shared" si="4"/>
        <v>lootName12,DAIL/items/materia/class0027/Engineer12.dbr,</v>
      </c>
      <c r="M14" s="5" t="str">
        <f t="shared" si="5"/>
        <v>lootWeight12,1,</v>
      </c>
      <c r="N14" t="str">
        <f t="shared" si="6"/>
        <v>1</v>
      </c>
      <c r="O14" t="str">
        <f t="shared" si="16"/>
        <v>copy .\dail_base.dbr .\items\materia\class0027\Engineer12.dbr /y</v>
      </c>
      <c r="P14" t="str">
        <f t="shared" si="7"/>
        <v>echo relicBitmap,items/craftingparts/components/component_a52_bristlyfur_b.tex, &gt;&gt; .\items\materia\class0027\Engineer12.dbr</v>
      </c>
      <c r="Q14" t="str">
        <f t="shared" si="1"/>
        <v>echo itemCost,100000, &gt;&gt; .\items\materia\class0027\Engineer12.dbr</v>
      </c>
      <c r="R14" t="str">
        <f t="shared" si="1"/>
        <v>echo description,dailCompDescEngineer12, &gt;&gt; .\items\materia\class0027\Engineer12.dbr</v>
      </c>
      <c r="S14" t="str">
        <f t="shared" si="1"/>
        <v>echo itemText,dailCompTextEngineer12, &gt;&gt; .\items\materia\class0027\Engineer12.dbr</v>
      </c>
      <c r="T14" t="str">
        <f t="shared" si="1"/>
        <v>echo augmentSkillLevel1,1, &gt;&gt; .\items\materia\class0027\Engineer12.dbr</v>
      </c>
      <c r="U14" t="str">
        <f t="shared" si="1"/>
        <v>echo augmentSkillName1,records/skills/playerclassEngineer/groundpound1.dbr, &gt;&gt; .\items\materia\class0027\Engineer12.dbr</v>
      </c>
      <c r="V14" s="5" t="s">
        <v>36</v>
      </c>
      <c r="W14" t="str">
        <f t="shared" si="8"/>
        <v>echo lootName12,DAIL/items/materia/class0027/Engineer12.dbr, &gt;&gt; .\items\loottables\dailoneskill0027.dbr</v>
      </c>
      <c r="X14" t="str">
        <f t="shared" si="8"/>
        <v>echo lootWeight12,1, &gt;&gt; .\items\loottables\dailoneskill0027.dbr</v>
      </c>
      <c r="Y14" s="5" t="s">
        <v>36</v>
      </c>
      <c r="Z14" t="str">
        <f t="shared" si="9"/>
        <v xml:space="preserve"> dailCompDescEngineer12=^pEngineer's Gift of DAIL</v>
      </c>
      <c r="AA14" t="str">
        <f t="shared" si="17"/>
        <v>dailCompTextEngineer12=^oThis feels warm to the touch, almost familiar ^w(This component fits into all Jewellery slots including the Belt And Shoulder)</v>
      </c>
      <c r="AB14" s="5" t="s">
        <v>36</v>
      </c>
      <c r="AH14">
        <f t="shared" si="19"/>
        <v>9</v>
      </c>
      <c r="AI14">
        <f t="shared" si="13"/>
        <v>37</v>
      </c>
      <c r="AJ14">
        <f t="shared" si="18"/>
        <v>1</v>
      </c>
    </row>
    <row r="15" spans="1:38" x14ac:dyDescent="0.25">
      <c r="A15" s="5" t="s">
        <v>39</v>
      </c>
      <c r="B15" s="5" t="s">
        <v>0</v>
      </c>
      <c r="C15" s="5" t="str">
        <f t="shared" si="0"/>
        <v>description,dailCompDescEngineer13,</v>
      </c>
      <c r="D15" s="5" t="str">
        <f t="shared" si="2"/>
        <v>itemText,dailCompTextEngineer13,</v>
      </c>
      <c r="E15" s="5" t="str">
        <f t="shared" si="14"/>
        <v>augmentSkillLevel1,1,</v>
      </c>
      <c r="F15" s="5" t="str">
        <f t="shared" si="15"/>
        <v>augmentSkillName1,records/skills/playerclassEngineer/groundpound2.dbr,</v>
      </c>
      <c r="G15" s="7">
        <f t="shared" si="10"/>
        <v>13</v>
      </c>
      <c r="H15" s="8" t="str">
        <f t="shared" si="11"/>
        <v>Engineer</v>
      </c>
      <c r="I15" s="3" t="s">
        <v>531</v>
      </c>
      <c r="J15" s="8" t="str">
        <f t="shared" si="12"/>
        <v>class0027</v>
      </c>
      <c r="K15" s="8" t="str">
        <f t="shared" si="12"/>
        <v>dailoneskill0027</v>
      </c>
      <c r="L15" s="5" t="str">
        <f t="shared" si="4"/>
        <v>lootName13,DAIL/items/materia/class0027/Engineer13.dbr,</v>
      </c>
      <c r="M15" s="5" t="str">
        <f t="shared" si="5"/>
        <v>lootWeight13,1,</v>
      </c>
      <c r="N15" t="str">
        <f t="shared" si="6"/>
        <v>1</v>
      </c>
      <c r="O15" t="str">
        <f t="shared" si="16"/>
        <v>copy .\dail_base.dbr .\items\materia\class0027\Engineer13.dbr /y</v>
      </c>
      <c r="P15" t="str">
        <f t="shared" si="7"/>
        <v>echo relicBitmap,items/craftingparts/components/component_a52_bristlyfur_b.tex, &gt;&gt; .\items\materia\class0027\Engineer13.dbr</v>
      </c>
      <c r="Q15" t="str">
        <f t="shared" si="1"/>
        <v>echo itemCost,100000, &gt;&gt; .\items\materia\class0027\Engineer13.dbr</v>
      </c>
      <c r="R15" t="str">
        <f t="shared" si="1"/>
        <v>echo description,dailCompDescEngineer13, &gt;&gt; .\items\materia\class0027\Engineer13.dbr</v>
      </c>
      <c r="S15" t="str">
        <f t="shared" si="1"/>
        <v>echo itemText,dailCompTextEngineer13, &gt;&gt; .\items\materia\class0027\Engineer13.dbr</v>
      </c>
      <c r="T15" t="str">
        <f t="shared" si="1"/>
        <v>echo augmentSkillLevel1,1, &gt;&gt; .\items\materia\class0027\Engineer13.dbr</v>
      </c>
      <c r="U15" t="str">
        <f t="shared" si="1"/>
        <v>echo augmentSkillName1,records/skills/playerclassEngineer/groundpound2.dbr, &gt;&gt; .\items\materia\class0027\Engineer13.dbr</v>
      </c>
      <c r="V15" s="5" t="s">
        <v>36</v>
      </c>
      <c r="W15" t="str">
        <f t="shared" si="8"/>
        <v>echo lootName13,DAIL/items/materia/class0027/Engineer13.dbr, &gt;&gt; .\items\loottables\dailoneskill0027.dbr</v>
      </c>
      <c r="X15" t="str">
        <f t="shared" si="8"/>
        <v>echo lootWeight13,1, &gt;&gt; .\items\loottables\dailoneskill0027.dbr</v>
      </c>
      <c r="Y15" s="5" t="s">
        <v>36</v>
      </c>
      <c r="Z15" t="str">
        <f t="shared" si="9"/>
        <v xml:space="preserve"> dailCompDescEngineer13=^pEngineer's Gift of DAIL</v>
      </c>
      <c r="AA15" t="str">
        <f t="shared" si="17"/>
        <v>dailCompTextEngineer13=^oThis feels warm to the touch, almost familiar ^w(This component fits into all Jewellery slots including the Belt And Shoulder)</v>
      </c>
      <c r="AB15" s="5" t="s">
        <v>36</v>
      </c>
      <c r="AH15">
        <f t="shared" si="19"/>
        <v>10</v>
      </c>
      <c r="AI15">
        <f t="shared" si="13"/>
        <v>37</v>
      </c>
      <c r="AJ15">
        <f t="shared" si="18"/>
        <v>1</v>
      </c>
    </row>
    <row r="16" spans="1:38" x14ac:dyDescent="0.25">
      <c r="A16" s="5" t="s">
        <v>39</v>
      </c>
      <c r="B16" s="5" t="s">
        <v>0</v>
      </c>
      <c r="C16" s="5" t="str">
        <f t="shared" si="0"/>
        <v>description,dailCompDescEngineer14,</v>
      </c>
      <c r="D16" s="5" t="str">
        <f t="shared" si="2"/>
        <v>itemText,dailCompTextEngineer14,</v>
      </c>
      <c r="E16" s="5" t="str">
        <f t="shared" si="14"/>
        <v>augmentSkillLevel1,1,</v>
      </c>
      <c r="F16" s="5" t="str">
        <f t="shared" si="15"/>
        <v>augmentSkillName1,records/skills/playerclassEngineer/powerpalms1.dbr,</v>
      </c>
      <c r="G16" s="7">
        <f t="shared" si="10"/>
        <v>14</v>
      </c>
      <c r="H16" s="8" t="str">
        <f t="shared" si="11"/>
        <v>Engineer</v>
      </c>
      <c r="I16" s="3" t="s">
        <v>532</v>
      </c>
      <c r="J16" s="8" t="str">
        <f t="shared" si="12"/>
        <v>class0027</v>
      </c>
      <c r="K16" s="8" t="str">
        <f t="shared" si="12"/>
        <v>dailoneskill0027</v>
      </c>
      <c r="L16" s="5" t="str">
        <f t="shared" si="4"/>
        <v>lootName14,DAIL/items/materia/class0027/Engineer14.dbr,</v>
      </c>
      <c r="M16" s="5" t="str">
        <f t="shared" si="5"/>
        <v>lootWeight14,1,</v>
      </c>
      <c r="N16" t="str">
        <f t="shared" si="6"/>
        <v>1</v>
      </c>
      <c r="O16" t="str">
        <f t="shared" si="16"/>
        <v>copy .\dail_base.dbr .\items\materia\class0027\Engineer14.dbr /y</v>
      </c>
      <c r="P16" t="str">
        <f t="shared" si="7"/>
        <v>echo relicBitmap,items/craftingparts/components/component_a52_bristlyfur_b.tex, &gt;&gt; .\items\materia\class0027\Engineer14.dbr</v>
      </c>
      <c r="Q16" t="str">
        <f t="shared" si="1"/>
        <v>echo itemCost,100000, &gt;&gt; .\items\materia\class0027\Engineer14.dbr</v>
      </c>
      <c r="R16" t="str">
        <f t="shared" si="1"/>
        <v>echo description,dailCompDescEngineer14, &gt;&gt; .\items\materia\class0027\Engineer14.dbr</v>
      </c>
      <c r="S16" t="str">
        <f t="shared" si="1"/>
        <v>echo itemText,dailCompTextEngineer14, &gt;&gt; .\items\materia\class0027\Engineer14.dbr</v>
      </c>
      <c r="T16" t="str">
        <f t="shared" si="1"/>
        <v>echo augmentSkillLevel1,1, &gt;&gt; .\items\materia\class0027\Engineer14.dbr</v>
      </c>
      <c r="U16" t="str">
        <f t="shared" si="1"/>
        <v>echo augmentSkillName1,records/skills/playerclassEngineer/powerpalms1.dbr, &gt;&gt; .\items\materia\class0027\Engineer14.dbr</v>
      </c>
      <c r="V16" s="5" t="s">
        <v>36</v>
      </c>
      <c r="W16" t="str">
        <f t="shared" si="8"/>
        <v>echo lootName14,DAIL/items/materia/class0027/Engineer14.dbr, &gt;&gt; .\items\loottables\dailoneskill0027.dbr</v>
      </c>
      <c r="X16" t="str">
        <f t="shared" si="8"/>
        <v>echo lootWeight14,1, &gt;&gt; .\items\loottables\dailoneskill0027.dbr</v>
      </c>
      <c r="Y16" s="5" t="s">
        <v>36</v>
      </c>
      <c r="Z16" t="str">
        <f t="shared" si="9"/>
        <v xml:space="preserve"> dailCompDescEngineer14=^pEngineer's Gift of DAIL</v>
      </c>
      <c r="AA16" t="str">
        <f t="shared" si="17"/>
        <v>dailCompTextEngineer14=^oThis feels warm to the touch, almost familiar ^w(This component fits into all Jewellery slots including the Belt And Shoulder)</v>
      </c>
      <c r="AB16" s="5" t="s">
        <v>36</v>
      </c>
      <c r="AH16">
        <f t="shared" si="19"/>
        <v>11</v>
      </c>
      <c r="AI16">
        <f t="shared" si="13"/>
        <v>36</v>
      </c>
      <c r="AJ16">
        <f t="shared" si="18"/>
        <v>1</v>
      </c>
    </row>
    <row r="17" spans="1:36" x14ac:dyDescent="0.25">
      <c r="A17" s="5" t="s">
        <v>39</v>
      </c>
      <c r="B17" s="5" t="s">
        <v>0</v>
      </c>
      <c r="C17" s="5" t="str">
        <f t="shared" si="0"/>
        <v>description,dailCompDescEngineer15,</v>
      </c>
      <c r="D17" s="5" t="str">
        <f t="shared" si="2"/>
        <v>itemText,dailCompTextEngineer15,</v>
      </c>
      <c r="E17" s="5" t="str">
        <f t="shared" si="14"/>
        <v>augmentSkillLevel1,1,</v>
      </c>
      <c r="F17" s="5" t="str">
        <f t="shared" si="15"/>
        <v>augmentSkillName1,records/skills/playerclassEngineer/summon_safespacebot.dbr,</v>
      </c>
      <c r="G17" s="7">
        <f t="shared" si="10"/>
        <v>15</v>
      </c>
      <c r="H17" s="8" t="str">
        <f t="shared" si="11"/>
        <v>Engineer</v>
      </c>
      <c r="I17" s="3" t="s">
        <v>533</v>
      </c>
      <c r="J17" s="8" t="str">
        <f t="shared" si="12"/>
        <v>class0027</v>
      </c>
      <c r="K17" s="8" t="str">
        <f t="shared" si="12"/>
        <v>dailoneskill0027</v>
      </c>
      <c r="L17" s="5" t="str">
        <f t="shared" si="4"/>
        <v>lootName15,DAIL/items/materia/class0027/Engineer15.dbr,</v>
      </c>
      <c r="M17" s="5" t="str">
        <f t="shared" si="5"/>
        <v>lootWeight15,1,</v>
      </c>
      <c r="N17" t="str">
        <f t="shared" si="6"/>
        <v>1</v>
      </c>
      <c r="O17" t="str">
        <f t="shared" si="16"/>
        <v>copy .\dail_base.dbr .\items\materia\class0027\Engineer15.dbr /y</v>
      </c>
      <c r="P17" t="str">
        <f t="shared" si="7"/>
        <v>echo relicBitmap,items/craftingparts/components/component_a52_bristlyfur_b.tex, &gt;&gt; .\items\materia\class0027\Engineer15.dbr</v>
      </c>
      <c r="Q17" t="str">
        <f t="shared" si="1"/>
        <v>echo itemCost,100000, &gt;&gt; .\items\materia\class0027\Engineer15.dbr</v>
      </c>
      <c r="R17" t="str">
        <f t="shared" si="1"/>
        <v>echo description,dailCompDescEngineer15, &gt;&gt; .\items\materia\class0027\Engineer15.dbr</v>
      </c>
      <c r="S17" t="str">
        <f t="shared" si="1"/>
        <v>echo itemText,dailCompTextEngineer15, &gt;&gt; .\items\materia\class0027\Engineer15.dbr</v>
      </c>
      <c r="T17" t="str">
        <f t="shared" si="1"/>
        <v>echo augmentSkillLevel1,1, &gt;&gt; .\items\materia\class0027\Engineer15.dbr</v>
      </c>
      <c r="U17" t="str">
        <f t="shared" si="1"/>
        <v>echo augmentSkillName1,records/skills/playerclassEngineer/summon_safespacebot.dbr, &gt;&gt; .\items\materia\class0027\Engineer15.dbr</v>
      </c>
      <c r="V17" s="5" t="s">
        <v>36</v>
      </c>
      <c r="W17" t="str">
        <f t="shared" si="8"/>
        <v>echo lootName15,DAIL/items/materia/class0027/Engineer15.dbr, &gt;&gt; .\items\loottables\dailoneskill0027.dbr</v>
      </c>
      <c r="X17" t="str">
        <f t="shared" si="8"/>
        <v>echo lootWeight15,1, &gt;&gt; .\items\loottables\dailoneskill0027.dbr</v>
      </c>
      <c r="Y17" s="5" t="s">
        <v>36</v>
      </c>
      <c r="Z17" t="str">
        <f t="shared" si="9"/>
        <v xml:space="preserve"> dailCompDescEngineer15=^pEngineer's Gift of DAIL</v>
      </c>
      <c r="AA17" t="str">
        <f t="shared" si="17"/>
        <v>dailCompTextEngineer15=^oThis feels warm to the touch, almost familiar ^w(This component fits into all Jewellery slots including the Belt And Shoulder)</v>
      </c>
      <c r="AB17" s="5" t="s">
        <v>36</v>
      </c>
      <c r="AH17">
        <f t="shared" si="19"/>
        <v>12</v>
      </c>
      <c r="AI17">
        <f t="shared" si="13"/>
        <v>44</v>
      </c>
      <c r="AJ17">
        <f t="shared" si="18"/>
        <v>1</v>
      </c>
    </row>
    <row r="18" spans="1:36" x14ac:dyDescent="0.25">
      <c r="A18" s="5" t="s">
        <v>39</v>
      </c>
      <c r="B18" s="5" t="s">
        <v>0</v>
      </c>
      <c r="C18" s="5" t="str">
        <f t="shared" si="0"/>
        <v>description,dailCompDescEngineer16,</v>
      </c>
      <c r="D18" s="5" t="str">
        <f t="shared" si="2"/>
        <v>itemText,dailCompTextEngineer16,</v>
      </c>
      <c r="E18" s="5" t="str">
        <f t="shared" si="14"/>
        <v>augmentSkillLevel1,1,</v>
      </c>
      <c r="F18" s="5" t="str">
        <f t="shared" si="15"/>
        <v>augmentSkillName1,records/skills/playerclassEngineer/p_safespacemastery.dbr,</v>
      </c>
      <c r="G18" s="7">
        <f t="shared" si="10"/>
        <v>16</v>
      </c>
      <c r="H18" s="8" t="str">
        <f t="shared" si="11"/>
        <v>Engineer</v>
      </c>
      <c r="I18" s="3" t="s">
        <v>534</v>
      </c>
      <c r="J18" s="8" t="str">
        <f t="shared" si="12"/>
        <v>class0027</v>
      </c>
      <c r="K18" s="8" t="str">
        <f t="shared" si="12"/>
        <v>dailoneskill0027</v>
      </c>
      <c r="L18" s="5" t="str">
        <f t="shared" si="4"/>
        <v>lootName16,DAIL/items/materia/class0027/Engineer16.dbr,</v>
      </c>
      <c r="M18" s="5" t="str">
        <f t="shared" si="5"/>
        <v>lootWeight16,1,</v>
      </c>
      <c r="N18" t="str">
        <f t="shared" si="6"/>
        <v>1</v>
      </c>
      <c r="O18" t="str">
        <f t="shared" si="16"/>
        <v>copy .\dail_base.dbr .\items\materia\class0027\Engineer16.dbr /y</v>
      </c>
      <c r="P18" t="str">
        <f t="shared" si="7"/>
        <v>echo relicBitmap,items/craftingparts/components/component_a52_bristlyfur_b.tex, &gt;&gt; .\items\materia\class0027\Engineer16.dbr</v>
      </c>
      <c r="Q18" t="str">
        <f t="shared" si="1"/>
        <v>echo itemCost,100000, &gt;&gt; .\items\materia\class0027\Engineer16.dbr</v>
      </c>
      <c r="R18" t="str">
        <f t="shared" si="1"/>
        <v>echo description,dailCompDescEngineer16, &gt;&gt; .\items\materia\class0027\Engineer16.dbr</v>
      </c>
      <c r="S18" t="str">
        <f t="shared" si="1"/>
        <v>echo itemText,dailCompTextEngineer16, &gt;&gt; .\items\materia\class0027\Engineer16.dbr</v>
      </c>
      <c r="T18" t="str">
        <f t="shared" si="1"/>
        <v>echo augmentSkillLevel1,1, &gt;&gt; .\items\materia\class0027\Engineer16.dbr</v>
      </c>
      <c r="U18" t="str">
        <f t="shared" si="1"/>
        <v>echo augmentSkillName1,records/skills/playerclassEngineer/p_safespacemastery.dbr, &gt;&gt; .\items\materia\class0027\Engineer16.dbr</v>
      </c>
      <c r="V18" s="5" t="s">
        <v>36</v>
      </c>
      <c r="W18" t="str">
        <f t="shared" si="8"/>
        <v>echo lootName16,DAIL/items/materia/class0027/Engineer16.dbr, &gt;&gt; .\items\loottables\dailoneskill0027.dbr</v>
      </c>
      <c r="X18" t="str">
        <f t="shared" si="8"/>
        <v>echo lootWeight16,1, &gt;&gt; .\items\loottables\dailoneskill0027.dbr</v>
      </c>
      <c r="Y18" s="5" t="s">
        <v>36</v>
      </c>
      <c r="Z18" t="str">
        <f t="shared" si="9"/>
        <v xml:space="preserve"> dailCompDescEngineer16=^pEngineer's Gift of DAIL</v>
      </c>
      <c r="AA18" t="str">
        <f t="shared" si="17"/>
        <v>dailCompTextEngineer16=^oThis feels warm to the touch, almost familiar ^w(This component fits into all Jewellery slots including the Belt And Shoulder)</v>
      </c>
      <c r="AB18" s="5" t="s">
        <v>36</v>
      </c>
      <c r="AH18">
        <f t="shared" si="19"/>
        <v>13</v>
      </c>
      <c r="AI18">
        <f t="shared" si="13"/>
        <v>43</v>
      </c>
      <c r="AJ18">
        <f t="shared" si="18"/>
        <v>1</v>
      </c>
    </row>
    <row r="19" spans="1:36" x14ac:dyDescent="0.25">
      <c r="A19" s="5" t="s">
        <v>39</v>
      </c>
      <c r="B19" s="5" t="s">
        <v>28</v>
      </c>
      <c r="C19" s="5" t="str">
        <f t="shared" si="0"/>
        <v>description,dailCompDescEngineer17,</v>
      </c>
      <c r="D19" s="5" t="str">
        <f t="shared" si="2"/>
        <v>itemText,dailCompTextEngineer17,</v>
      </c>
      <c r="E19" s="5" t="str">
        <f t="shared" si="14"/>
        <v>augmentSkillLevel1,1,</v>
      </c>
      <c r="F19" s="5" t="str">
        <f t="shared" si="15"/>
        <v>augmentSkillName1,records/skills/playerclassEngineer/imitatesafespace.dbr,</v>
      </c>
      <c r="G19" s="7">
        <f t="shared" si="10"/>
        <v>17</v>
      </c>
      <c r="H19" s="8" t="str">
        <f t="shared" si="11"/>
        <v>Engineer</v>
      </c>
      <c r="I19" s="3" t="s">
        <v>535</v>
      </c>
      <c r="J19" s="8" t="str">
        <f t="shared" si="12"/>
        <v>class0027</v>
      </c>
      <c r="K19" s="8" t="str">
        <f t="shared" si="12"/>
        <v>dailoneskill0027</v>
      </c>
      <c r="L19" s="5" t="str">
        <f t="shared" si="4"/>
        <v>lootName17,DAIL/items/materia/class0027/Engineer17.dbr,</v>
      </c>
      <c r="M19" s="5" t="str">
        <f t="shared" si="5"/>
        <v>lootWeight17,1,</v>
      </c>
      <c r="N19" t="str">
        <f t="shared" si="6"/>
        <v>1</v>
      </c>
      <c r="O19" t="str">
        <f t="shared" si="16"/>
        <v>copy .\dail_base.dbr .\items\materia\class0027\Engineer17.dbr /y</v>
      </c>
      <c r="P19" t="str">
        <f t="shared" si="7"/>
        <v>echo relicBitmap,items/craftingparts/components/component_a52_bristlyfur_b.tex, &gt;&gt; .\items\materia\class0027\Engineer17.dbr</v>
      </c>
      <c r="Q19" t="str">
        <f t="shared" si="7"/>
        <v>echo itemCost,300000, &gt;&gt; .\items\materia\class0027\Engineer17.dbr</v>
      </c>
      <c r="R19" t="str">
        <f t="shared" si="7"/>
        <v>echo description,dailCompDescEngineer17, &gt;&gt; .\items\materia\class0027\Engineer17.dbr</v>
      </c>
      <c r="S19" t="str">
        <f t="shared" si="7"/>
        <v>echo itemText,dailCompTextEngineer17, &gt;&gt; .\items\materia\class0027\Engineer17.dbr</v>
      </c>
      <c r="T19" t="str">
        <f t="shared" si="7"/>
        <v>echo augmentSkillLevel1,1, &gt;&gt; .\items\materia\class0027\Engineer17.dbr</v>
      </c>
      <c r="U19" t="str">
        <f t="shared" si="7"/>
        <v>echo augmentSkillName1,records/skills/playerclassEngineer/imitatesafespace.dbr, &gt;&gt; .\items\materia\class0027\Engineer17.dbr</v>
      </c>
      <c r="V19" s="5" t="s">
        <v>36</v>
      </c>
      <c r="W19" t="str">
        <f t="shared" si="8"/>
        <v>echo lootName17,DAIL/items/materia/class0027/Engineer17.dbr, &gt;&gt; .\items\loottables\dailoneskill0027.dbr</v>
      </c>
      <c r="X19" t="str">
        <f t="shared" si="8"/>
        <v>echo lootWeight17,1, &gt;&gt; .\items\loottables\dailoneskill0027.dbr</v>
      </c>
      <c r="Y19" s="5" t="s">
        <v>36</v>
      </c>
      <c r="Z19" t="str">
        <f t="shared" si="9"/>
        <v xml:space="preserve"> dailCompDescEngineer17=^pEngineer's Gift of DAIL</v>
      </c>
      <c r="AA19" t="str">
        <f t="shared" si="17"/>
        <v>dailCompTextEngineer17=^oThis feels warm to the touch, almost familiar ^w(This component fits into all Jewellery slots including the Belt And Shoulder)</v>
      </c>
      <c r="AB19" s="5" t="s">
        <v>36</v>
      </c>
      <c r="AH19">
        <f t="shared" si="19"/>
        <v>14</v>
      </c>
      <c r="AI19">
        <f t="shared" si="13"/>
        <v>41</v>
      </c>
      <c r="AJ19">
        <f t="shared" si="18"/>
        <v>1</v>
      </c>
    </row>
    <row r="20" spans="1:36" x14ac:dyDescent="0.25">
      <c r="A20" s="5" t="s">
        <v>39</v>
      </c>
      <c r="B20" s="5" t="s">
        <v>28</v>
      </c>
      <c r="C20" s="5" t="str">
        <f t="shared" si="0"/>
        <v>description,dailCompDescEngineer18,</v>
      </c>
      <c r="D20" s="5" t="str">
        <f t="shared" si="2"/>
        <v>itemText,dailCompTextEngineer18,</v>
      </c>
      <c r="E20" s="5" t="str">
        <f t="shared" si="14"/>
        <v>augmentSkillLevel1,1,</v>
      </c>
      <c r="F20" s="5" t="str">
        <f t="shared" si="15"/>
        <v>augmentSkillName1,records/skills/playerclassEngineer/intensefocus1.dbr,</v>
      </c>
      <c r="G20" s="7">
        <f t="shared" si="10"/>
        <v>18</v>
      </c>
      <c r="H20" s="8" t="str">
        <f t="shared" si="11"/>
        <v>Engineer</v>
      </c>
      <c r="I20" s="3" t="s">
        <v>536</v>
      </c>
      <c r="J20" s="8" t="str">
        <f t="shared" si="12"/>
        <v>class0027</v>
      </c>
      <c r="K20" s="8" t="str">
        <f t="shared" si="12"/>
        <v>dailoneskill0027</v>
      </c>
      <c r="L20" s="5" t="str">
        <f t="shared" si="4"/>
        <v>lootName18,DAIL/items/materia/class0027/Engineer18.dbr,</v>
      </c>
      <c r="M20" s="5" t="str">
        <f t="shared" si="5"/>
        <v>lootWeight18,1,</v>
      </c>
      <c r="N20" t="str">
        <f t="shared" si="6"/>
        <v>1</v>
      </c>
      <c r="O20" t="str">
        <f t="shared" si="16"/>
        <v>copy .\dail_base.dbr .\items\materia\class0027\Engineer18.dbr /y</v>
      </c>
      <c r="P20" t="str">
        <f t="shared" si="7"/>
        <v>echo relicBitmap,items/craftingparts/components/component_a52_bristlyfur_b.tex, &gt;&gt; .\items\materia\class0027\Engineer18.dbr</v>
      </c>
      <c r="Q20" t="str">
        <f t="shared" si="7"/>
        <v>echo itemCost,300000, &gt;&gt; .\items\materia\class0027\Engineer18.dbr</v>
      </c>
      <c r="R20" t="str">
        <f t="shared" si="7"/>
        <v>echo description,dailCompDescEngineer18, &gt;&gt; .\items\materia\class0027\Engineer18.dbr</v>
      </c>
      <c r="S20" t="str">
        <f t="shared" si="7"/>
        <v>echo itemText,dailCompTextEngineer18, &gt;&gt; .\items\materia\class0027\Engineer18.dbr</v>
      </c>
      <c r="T20" t="str">
        <f t="shared" si="7"/>
        <v>echo augmentSkillLevel1,1, &gt;&gt; .\items\materia\class0027\Engineer18.dbr</v>
      </c>
      <c r="U20" t="str">
        <f t="shared" si="7"/>
        <v>echo augmentSkillName1,records/skills/playerclassEngineer/intensefocus1.dbr, &gt;&gt; .\items\materia\class0027\Engineer18.dbr</v>
      </c>
      <c r="V20" s="5" t="s">
        <v>36</v>
      </c>
      <c r="W20" t="str">
        <f t="shared" si="8"/>
        <v>echo lootName18,DAIL/items/materia/class0027/Engineer18.dbr, &gt;&gt; .\items\loottables\dailoneskill0027.dbr</v>
      </c>
      <c r="X20" t="str">
        <f t="shared" si="8"/>
        <v>echo lootWeight18,1, &gt;&gt; .\items\loottables\dailoneskill0027.dbr</v>
      </c>
      <c r="Y20" s="5" t="s">
        <v>36</v>
      </c>
      <c r="Z20" t="str">
        <f t="shared" si="9"/>
        <v xml:space="preserve"> dailCompDescEngineer18=^pEngineer's Gift of DAIL</v>
      </c>
      <c r="AA20" t="str">
        <f t="shared" si="17"/>
        <v>dailCompTextEngineer18=^oThis feels warm to the touch, almost familiar ^w(This component fits into all Jewellery slots including the Belt And Shoulder)</v>
      </c>
      <c r="AB20" s="5" t="s">
        <v>36</v>
      </c>
      <c r="AH20">
        <f t="shared" si="19"/>
        <v>15</v>
      </c>
      <c r="AI20">
        <f t="shared" si="13"/>
        <v>38</v>
      </c>
      <c r="AJ20">
        <f t="shared" si="18"/>
        <v>1</v>
      </c>
    </row>
    <row r="21" spans="1:36" x14ac:dyDescent="0.25">
      <c r="A21" s="5" t="s">
        <v>39</v>
      </c>
      <c r="B21" s="5" t="s">
        <v>28</v>
      </c>
      <c r="C21" s="5" t="str">
        <f t="shared" si="0"/>
        <v>description,dailCompDescEngineer19,</v>
      </c>
      <c r="D21" s="5" t="str">
        <f t="shared" si="2"/>
        <v>itemText,dailCompTextEngineer19,</v>
      </c>
      <c r="E21" s="5" t="str">
        <f t="shared" si="14"/>
        <v>augmentSkillLevel1,1,</v>
      </c>
      <c r="F21" s="5" t="str">
        <f t="shared" si="15"/>
        <v>augmentSkillName1,records/skills/playerclassEngineer/p_prevailingpunches.dbr,</v>
      </c>
      <c r="G21" s="7">
        <f t="shared" si="10"/>
        <v>19</v>
      </c>
      <c r="H21" s="8" t="str">
        <f t="shared" si="11"/>
        <v>Engineer</v>
      </c>
      <c r="I21" s="3" t="s">
        <v>537</v>
      </c>
      <c r="J21" s="8" t="str">
        <f t="shared" ref="J21:K36" si="20">J20</f>
        <v>class0027</v>
      </c>
      <c r="K21" s="8" t="str">
        <f t="shared" si="20"/>
        <v>dailoneskill0027</v>
      </c>
      <c r="L21" s="5" t="str">
        <f t="shared" si="4"/>
        <v>lootName19,DAIL/items/materia/class0027/Engineer19.dbr,</v>
      </c>
      <c r="M21" s="5" t="str">
        <f t="shared" si="5"/>
        <v>lootWeight19,1,</v>
      </c>
      <c r="N21" t="str">
        <f t="shared" si="6"/>
        <v>1</v>
      </c>
      <c r="O21" t="str">
        <f t="shared" si="16"/>
        <v>copy .\dail_base.dbr .\items\materia\class0027\Engineer19.dbr /y</v>
      </c>
      <c r="P21" t="str">
        <f t="shared" si="7"/>
        <v>echo relicBitmap,items/craftingparts/components/component_a52_bristlyfur_b.tex, &gt;&gt; .\items\materia\class0027\Engineer19.dbr</v>
      </c>
      <c r="Q21" t="str">
        <f t="shared" si="7"/>
        <v>echo itemCost,300000, &gt;&gt; .\items\materia\class0027\Engineer19.dbr</v>
      </c>
      <c r="R21" t="str">
        <f t="shared" si="7"/>
        <v>echo description,dailCompDescEngineer19, &gt;&gt; .\items\materia\class0027\Engineer19.dbr</v>
      </c>
      <c r="S21" t="str">
        <f t="shared" si="7"/>
        <v>echo itemText,dailCompTextEngineer19, &gt;&gt; .\items\materia\class0027\Engineer19.dbr</v>
      </c>
      <c r="T21" t="str">
        <f t="shared" si="7"/>
        <v>echo augmentSkillLevel1,1, &gt;&gt; .\items\materia\class0027\Engineer19.dbr</v>
      </c>
      <c r="U21" t="str">
        <f t="shared" si="7"/>
        <v>echo augmentSkillName1,records/skills/playerclassEngineer/p_prevailingpunches.dbr, &gt;&gt; .\items\materia\class0027\Engineer19.dbr</v>
      </c>
      <c r="V21" s="5" t="s">
        <v>36</v>
      </c>
      <c r="W21" t="str">
        <f t="shared" si="8"/>
        <v>echo lootName19,DAIL/items/materia/class0027/Engineer19.dbr, &gt;&gt; .\items\loottables\dailoneskill0027.dbr</v>
      </c>
      <c r="X21" t="str">
        <f t="shared" si="8"/>
        <v>echo lootWeight19,1, &gt;&gt; .\items\loottables\dailoneskill0027.dbr</v>
      </c>
      <c r="Y21" s="5" t="s">
        <v>36</v>
      </c>
      <c r="Z21" t="str">
        <f t="shared" si="9"/>
        <v xml:space="preserve"> dailCompDescEngineer19=^pEngineer's Gift of DAIL</v>
      </c>
      <c r="AA21" t="str">
        <f t="shared" si="17"/>
        <v>dailCompTextEngineer19=^oThis feels warm to the touch, almost familiar ^w(This component fits into all Jewellery slots including the Belt And Shoulder)</v>
      </c>
      <c r="AB21" s="5" t="s">
        <v>36</v>
      </c>
      <c r="AH21">
        <f t="shared" si="19"/>
        <v>16</v>
      </c>
      <c r="AI21">
        <f t="shared" si="13"/>
        <v>44</v>
      </c>
      <c r="AJ21">
        <f t="shared" si="18"/>
        <v>1</v>
      </c>
    </row>
    <row r="22" spans="1:36" x14ac:dyDescent="0.25">
      <c r="A22" s="5" t="s">
        <v>39</v>
      </c>
      <c r="B22" s="5" t="s">
        <v>28</v>
      </c>
      <c r="C22" s="5" t="str">
        <f t="shared" si="0"/>
        <v>description,dailCompDescEngineer20,</v>
      </c>
      <c r="D22" s="5" t="str">
        <f t="shared" si="2"/>
        <v>itemText,dailCompTextEngineer20,</v>
      </c>
      <c r="E22" s="5" t="str">
        <f t="shared" si="14"/>
        <v>augmentSkillLevel1,1,</v>
      </c>
      <c r="F22" s="5" t="str">
        <f t="shared" si="15"/>
        <v>augmentSkillName1,records/skills/playerclassEngineer/p_dirtydispatch.dbr,</v>
      </c>
      <c r="G22" s="7">
        <f t="shared" si="10"/>
        <v>20</v>
      </c>
      <c r="H22" s="8" t="str">
        <f t="shared" si="11"/>
        <v>Engineer</v>
      </c>
      <c r="I22" s="3" t="s">
        <v>538</v>
      </c>
      <c r="J22" s="8" t="str">
        <f t="shared" si="20"/>
        <v>class0027</v>
      </c>
      <c r="K22" s="8" t="str">
        <f t="shared" si="20"/>
        <v>dailoneskill0027</v>
      </c>
      <c r="L22" s="5" t="str">
        <f t="shared" si="4"/>
        <v>lootName20,DAIL/items/materia/class0027/Engineer20.dbr,</v>
      </c>
      <c r="M22" s="5" t="str">
        <f t="shared" si="5"/>
        <v>lootWeight20,1,</v>
      </c>
      <c r="N22" t="str">
        <f t="shared" si="6"/>
        <v>1</v>
      </c>
      <c r="O22" t="str">
        <f t="shared" si="16"/>
        <v>copy .\dail_base.dbr .\items\materia\class0027\Engineer20.dbr /y</v>
      </c>
      <c r="P22" t="str">
        <f t="shared" si="7"/>
        <v>echo relicBitmap,items/craftingparts/components/component_a52_bristlyfur_b.tex, &gt;&gt; .\items\materia\class0027\Engineer20.dbr</v>
      </c>
      <c r="Q22" t="str">
        <f t="shared" si="7"/>
        <v>echo itemCost,300000, &gt;&gt; .\items\materia\class0027\Engineer20.dbr</v>
      </c>
      <c r="R22" t="str">
        <f t="shared" si="7"/>
        <v>echo description,dailCompDescEngineer20, &gt;&gt; .\items\materia\class0027\Engineer20.dbr</v>
      </c>
      <c r="S22" t="str">
        <f t="shared" si="7"/>
        <v>echo itemText,dailCompTextEngineer20, &gt;&gt; .\items\materia\class0027\Engineer20.dbr</v>
      </c>
      <c r="T22" t="str">
        <f t="shared" si="7"/>
        <v>echo augmentSkillLevel1,1, &gt;&gt; .\items\materia\class0027\Engineer20.dbr</v>
      </c>
      <c r="U22" t="str">
        <f t="shared" si="7"/>
        <v>echo augmentSkillName1,records/skills/playerclassEngineer/p_dirtydispatch.dbr, &gt;&gt; .\items\materia\class0027\Engineer20.dbr</v>
      </c>
      <c r="V22" s="5" t="s">
        <v>36</v>
      </c>
      <c r="W22" t="str">
        <f t="shared" si="8"/>
        <v>echo lootName20,DAIL/items/materia/class0027/Engineer20.dbr, &gt;&gt; .\items\loottables\dailoneskill0027.dbr</v>
      </c>
      <c r="X22" t="str">
        <f t="shared" si="8"/>
        <v>echo lootWeight20,1, &gt;&gt; .\items\loottables\dailoneskill0027.dbr</v>
      </c>
      <c r="Y22" s="5" t="s">
        <v>36</v>
      </c>
      <c r="Z22" t="str">
        <f t="shared" si="9"/>
        <v xml:space="preserve"> dailCompDescEngineer20=^pEngineer's Gift of DAIL</v>
      </c>
      <c r="AA22" t="str">
        <f t="shared" si="17"/>
        <v>dailCompTextEngineer20=^oThis feels warm to the touch, almost familiar ^w(This component fits into all Jewellery slots including the Belt And Shoulder)</v>
      </c>
      <c r="AB22" s="5" t="s">
        <v>36</v>
      </c>
      <c r="AH22">
        <f t="shared" si="19"/>
        <v>17</v>
      </c>
      <c r="AI22">
        <f t="shared" si="13"/>
        <v>40</v>
      </c>
      <c r="AJ22">
        <f t="shared" si="18"/>
        <v>1</v>
      </c>
    </row>
    <row r="23" spans="1:36" x14ac:dyDescent="0.25">
      <c r="A23" s="5" t="s">
        <v>39</v>
      </c>
      <c r="B23" s="5" t="s">
        <v>28</v>
      </c>
      <c r="C23" s="5" t="str">
        <f t="shared" si="0"/>
        <v>description,dailCompDescEngineer21,</v>
      </c>
      <c r="D23" s="5" t="str">
        <f t="shared" si="2"/>
        <v>itemText,dailCompTextEngineer21,</v>
      </c>
      <c r="E23" s="5" t="str">
        <f t="shared" si="14"/>
        <v>augmentSkillLevel1,1,</v>
      </c>
      <c r="F23" s="5" t="str">
        <f t="shared" si="15"/>
        <v>augmentSkillName1,records/skills/playerclassEngineer/summon_flamer.dbr,</v>
      </c>
      <c r="G23" s="7">
        <f t="shared" si="10"/>
        <v>21</v>
      </c>
      <c r="H23" s="8" t="str">
        <f t="shared" si="11"/>
        <v>Engineer</v>
      </c>
      <c r="I23" s="3" t="s">
        <v>539</v>
      </c>
      <c r="J23" s="8" t="str">
        <f t="shared" si="20"/>
        <v>class0027</v>
      </c>
      <c r="K23" s="8" t="str">
        <f t="shared" si="20"/>
        <v>dailoneskill0027</v>
      </c>
      <c r="L23" s="5" t="str">
        <f t="shared" si="4"/>
        <v>lootName21,DAIL/items/materia/class0027/Engineer21.dbr,</v>
      </c>
      <c r="M23" s="5" t="str">
        <f t="shared" si="5"/>
        <v>lootWeight21,1,</v>
      </c>
      <c r="N23" t="str">
        <f t="shared" si="6"/>
        <v>1</v>
      </c>
      <c r="O23" t="str">
        <f t="shared" si="16"/>
        <v>copy .\dail_base.dbr .\items\materia\class0027\Engineer21.dbr /y</v>
      </c>
      <c r="P23" t="str">
        <f t="shared" si="7"/>
        <v>echo relicBitmap,items/craftingparts/components/component_a52_bristlyfur_b.tex, &gt;&gt; .\items\materia\class0027\Engineer21.dbr</v>
      </c>
      <c r="Q23" t="str">
        <f t="shared" si="7"/>
        <v>echo itemCost,300000, &gt;&gt; .\items\materia\class0027\Engineer21.dbr</v>
      </c>
      <c r="R23" t="str">
        <f t="shared" si="7"/>
        <v>echo description,dailCompDescEngineer21, &gt;&gt; .\items\materia\class0027\Engineer21.dbr</v>
      </c>
      <c r="S23" t="str">
        <f t="shared" si="7"/>
        <v>echo itemText,dailCompTextEngineer21, &gt;&gt; .\items\materia\class0027\Engineer21.dbr</v>
      </c>
      <c r="T23" t="str">
        <f t="shared" si="7"/>
        <v>echo augmentSkillLevel1,1, &gt;&gt; .\items\materia\class0027\Engineer21.dbr</v>
      </c>
      <c r="U23" t="str">
        <f t="shared" si="7"/>
        <v>echo augmentSkillName1,records/skills/playerclassEngineer/summon_flamer.dbr, &gt;&gt; .\items\materia\class0027\Engineer21.dbr</v>
      </c>
      <c r="V23" s="5" t="s">
        <v>36</v>
      </c>
      <c r="W23" t="str">
        <f t="shared" si="8"/>
        <v>echo lootName21,DAIL/items/materia/class0027/Engineer21.dbr, &gt;&gt; .\items\loottables\dailoneskill0027.dbr</v>
      </c>
      <c r="X23" t="str">
        <f t="shared" si="8"/>
        <v>echo lootWeight21,1, &gt;&gt; .\items\loottables\dailoneskill0027.dbr</v>
      </c>
      <c r="Y23" s="5" t="s">
        <v>36</v>
      </c>
      <c r="Z23" t="str">
        <f t="shared" si="9"/>
        <v xml:space="preserve"> dailCompDescEngineer21=^pEngineer's Gift of DAIL</v>
      </c>
      <c r="AA23" t="str">
        <f t="shared" si="17"/>
        <v>dailCompTextEngineer21=^oThis feels warm to the touch, almost familiar ^w(This component fits into all Jewellery slots including the Belt And Shoulder)</v>
      </c>
      <c r="AB23" s="5" t="s">
        <v>36</v>
      </c>
      <c r="AH23">
        <f t="shared" si="19"/>
        <v>18</v>
      </c>
      <c r="AI23">
        <f t="shared" si="13"/>
        <v>38</v>
      </c>
      <c r="AJ23">
        <f t="shared" si="18"/>
        <v>1</v>
      </c>
    </row>
    <row r="24" spans="1:36" x14ac:dyDescent="0.25">
      <c r="A24" s="5" t="s">
        <v>39</v>
      </c>
      <c r="B24" s="5" t="s">
        <v>28</v>
      </c>
      <c r="C24" s="5" t="str">
        <f t="shared" si="0"/>
        <v>description,dailCompDescEngineer22,</v>
      </c>
      <c r="D24" s="5" t="str">
        <f t="shared" si="2"/>
        <v>itemText,dailCompTextEngineer22,</v>
      </c>
      <c r="E24" s="5" t="str">
        <f t="shared" si="14"/>
        <v>augmentSkillLevel1,1,</v>
      </c>
      <c r="F24" s="5" t="str">
        <f t="shared" si="15"/>
        <v>augmentSkillName1,records/skills/playerclassEngineer/p_flamermastery.dbr,</v>
      </c>
      <c r="G24" s="7">
        <f t="shared" si="10"/>
        <v>22</v>
      </c>
      <c r="H24" s="8" t="str">
        <f t="shared" si="11"/>
        <v>Engineer</v>
      </c>
      <c r="I24" s="3" t="s">
        <v>540</v>
      </c>
      <c r="J24" s="8" t="str">
        <f t="shared" si="20"/>
        <v>class0027</v>
      </c>
      <c r="K24" s="8" t="str">
        <f t="shared" si="20"/>
        <v>dailoneskill0027</v>
      </c>
      <c r="L24" s="5" t="str">
        <f t="shared" si="4"/>
        <v>lootName22,DAIL/items/materia/class0027/Engineer22.dbr,</v>
      </c>
      <c r="M24" s="5" t="str">
        <f t="shared" si="5"/>
        <v>lootWeight22,1,</v>
      </c>
      <c r="N24" t="str">
        <f t="shared" si="6"/>
        <v>1</v>
      </c>
      <c r="O24" t="str">
        <f t="shared" si="16"/>
        <v>copy .\dail_base.dbr .\items\materia\class0027\Engineer22.dbr /y</v>
      </c>
      <c r="P24" t="str">
        <f t="shared" si="7"/>
        <v>echo relicBitmap,items/craftingparts/components/component_a52_bristlyfur_b.tex, &gt;&gt; .\items\materia\class0027\Engineer22.dbr</v>
      </c>
      <c r="Q24" t="str">
        <f t="shared" si="7"/>
        <v>echo itemCost,300000, &gt;&gt; .\items\materia\class0027\Engineer22.dbr</v>
      </c>
      <c r="R24" t="str">
        <f t="shared" si="7"/>
        <v>echo description,dailCompDescEngineer22, &gt;&gt; .\items\materia\class0027\Engineer22.dbr</v>
      </c>
      <c r="S24" t="str">
        <f t="shared" si="7"/>
        <v>echo itemText,dailCompTextEngineer22, &gt;&gt; .\items\materia\class0027\Engineer22.dbr</v>
      </c>
      <c r="T24" t="str">
        <f t="shared" si="7"/>
        <v>echo augmentSkillLevel1,1, &gt;&gt; .\items\materia\class0027\Engineer22.dbr</v>
      </c>
      <c r="U24" t="str">
        <f t="shared" si="7"/>
        <v>echo augmentSkillName1,records/skills/playerclassEngineer/p_flamermastery.dbr, &gt;&gt; .\items\materia\class0027\Engineer22.dbr</v>
      </c>
      <c r="V24" s="5" t="s">
        <v>36</v>
      </c>
      <c r="W24" t="str">
        <f t="shared" si="8"/>
        <v>echo lootName22,DAIL/items/materia/class0027/Engineer22.dbr, &gt;&gt; .\items\loottables\dailoneskill0027.dbr</v>
      </c>
      <c r="X24" t="str">
        <f t="shared" si="8"/>
        <v>echo lootWeight22,1, &gt;&gt; .\items\loottables\dailoneskill0027.dbr</v>
      </c>
      <c r="Y24" s="5" t="s">
        <v>36</v>
      </c>
      <c r="Z24" t="str">
        <f t="shared" si="9"/>
        <v xml:space="preserve"> dailCompDescEngineer22=^pEngineer's Gift of DAIL</v>
      </c>
      <c r="AA24" t="str">
        <f t="shared" si="17"/>
        <v>dailCompTextEngineer22=^oThis feels warm to the touch, almost familiar ^w(This component fits into all Jewellery slots including the Belt And Shoulder)</v>
      </c>
      <c r="AB24" s="5" t="s">
        <v>36</v>
      </c>
      <c r="AH24">
        <f t="shared" si="19"/>
        <v>19</v>
      </c>
      <c r="AI24">
        <f t="shared" si="13"/>
        <v>40</v>
      </c>
      <c r="AJ24">
        <f t="shared" si="18"/>
        <v>1</v>
      </c>
    </row>
    <row r="25" spans="1:36" x14ac:dyDescent="0.25">
      <c r="A25" s="5" t="s">
        <v>39</v>
      </c>
      <c r="B25" s="5" t="s">
        <v>28</v>
      </c>
      <c r="C25" s="5" t="str">
        <f t="shared" si="0"/>
        <v>description,dailCompDescEngineer23,</v>
      </c>
      <c r="D25" s="5" t="str">
        <f t="shared" si="2"/>
        <v>itemText,dailCompTextEngineer23,</v>
      </c>
      <c r="E25" s="5" t="str">
        <f t="shared" si="14"/>
        <v>augmentSkillLevel1,1,</v>
      </c>
      <c r="F25" s="5" t="str">
        <f t="shared" si="15"/>
        <v>augmentSkillName1,records/skills/playerclassEngineer/imitateflamer.dbr,</v>
      </c>
      <c r="G25" s="7">
        <f t="shared" si="10"/>
        <v>23</v>
      </c>
      <c r="H25" s="8" t="str">
        <f t="shared" si="11"/>
        <v>Engineer</v>
      </c>
      <c r="I25" s="3" t="s">
        <v>541</v>
      </c>
      <c r="J25" s="8" t="str">
        <f t="shared" si="20"/>
        <v>class0027</v>
      </c>
      <c r="K25" s="8" t="str">
        <f t="shared" si="20"/>
        <v>dailoneskill0027</v>
      </c>
      <c r="L25" s="5" t="str">
        <f t="shared" si="4"/>
        <v>lootName23,DAIL/items/materia/class0027/Engineer23.dbr,</v>
      </c>
      <c r="M25" s="5" t="str">
        <f t="shared" si="5"/>
        <v>lootWeight23,1,</v>
      </c>
      <c r="N25" t="str">
        <f t="shared" si="6"/>
        <v>1</v>
      </c>
      <c r="O25" t="str">
        <f t="shared" si="16"/>
        <v>copy .\dail_base.dbr .\items\materia\class0027\Engineer23.dbr /y</v>
      </c>
      <c r="P25" t="str">
        <f t="shared" si="7"/>
        <v>echo relicBitmap,items/craftingparts/components/component_a52_bristlyfur_b.tex, &gt;&gt; .\items\materia\class0027\Engineer23.dbr</v>
      </c>
      <c r="Q25" t="str">
        <f t="shared" si="7"/>
        <v>echo itemCost,300000, &gt;&gt; .\items\materia\class0027\Engineer23.dbr</v>
      </c>
      <c r="R25" t="str">
        <f t="shared" si="7"/>
        <v>echo description,dailCompDescEngineer23, &gt;&gt; .\items\materia\class0027\Engineer23.dbr</v>
      </c>
      <c r="S25" t="str">
        <f t="shared" si="7"/>
        <v>echo itemText,dailCompTextEngineer23, &gt;&gt; .\items\materia\class0027\Engineer23.dbr</v>
      </c>
      <c r="T25" t="str">
        <f t="shared" si="7"/>
        <v>echo augmentSkillLevel1,1, &gt;&gt; .\items\materia\class0027\Engineer23.dbr</v>
      </c>
      <c r="U25" t="str">
        <f t="shared" si="7"/>
        <v>echo augmentSkillName1,records/skills/playerclassEngineer/imitateflamer.dbr, &gt;&gt; .\items\materia\class0027\Engineer23.dbr</v>
      </c>
      <c r="V25" s="5" t="s">
        <v>36</v>
      </c>
      <c r="W25" t="str">
        <f t="shared" si="8"/>
        <v>echo lootName23,DAIL/items/materia/class0027/Engineer23.dbr, &gt;&gt; .\items\loottables\dailoneskill0027.dbr</v>
      </c>
      <c r="X25" t="str">
        <f t="shared" si="8"/>
        <v>echo lootWeight23,1, &gt;&gt; .\items\loottables\dailoneskill0027.dbr</v>
      </c>
      <c r="Y25" s="5" t="s">
        <v>36</v>
      </c>
      <c r="Z25" t="str">
        <f t="shared" si="9"/>
        <v xml:space="preserve"> dailCompDescEngineer23=^pEngineer's Gift of DAIL</v>
      </c>
      <c r="AA25" t="str">
        <f t="shared" si="17"/>
        <v>dailCompTextEngineer23=^oThis feels warm to the touch, almost familiar ^w(This component fits into all Jewellery slots including the Belt And Shoulder)</v>
      </c>
      <c r="AB25" s="5" t="s">
        <v>36</v>
      </c>
      <c r="AH25">
        <f t="shared" si="19"/>
        <v>20</v>
      </c>
      <c r="AI25">
        <f t="shared" si="13"/>
        <v>38</v>
      </c>
      <c r="AJ25">
        <f t="shared" si="18"/>
        <v>1</v>
      </c>
    </row>
    <row r="26" spans="1:36" x14ac:dyDescent="0.25">
      <c r="A26" s="5" t="s">
        <v>39</v>
      </c>
      <c r="B26" s="5" t="s">
        <v>28</v>
      </c>
      <c r="C26" s="5" t="str">
        <f t="shared" si="0"/>
        <v>description,dailCompDescEngineer24,</v>
      </c>
      <c r="D26" s="5" t="str">
        <f t="shared" si="2"/>
        <v>itemText,dailCompTextEngineer24,</v>
      </c>
      <c r="E26" s="5" t="str">
        <f t="shared" si="14"/>
        <v>augmentSkillLevel1,1,</v>
      </c>
      <c r="F26" s="5" t="str">
        <f t="shared" si="15"/>
        <v>augmentSkillName1,records/skills/playerclassEngineer/burstpunches1.dbr,</v>
      </c>
      <c r="G26" s="7">
        <f t="shared" si="10"/>
        <v>24</v>
      </c>
      <c r="H26" s="8" t="str">
        <f t="shared" si="11"/>
        <v>Engineer</v>
      </c>
      <c r="I26" s="3" t="s">
        <v>542</v>
      </c>
      <c r="J26" s="8" t="str">
        <f t="shared" si="20"/>
        <v>class0027</v>
      </c>
      <c r="K26" s="8" t="str">
        <f t="shared" si="20"/>
        <v>dailoneskill0027</v>
      </c>
      <c r="L26" s="5" t="str">
        <f t="shared" si="4"/>
        <v>lootName24,DAIL/items/materia/class0027/Engineer24.dbr,</v>
      </c>
      <c r="M26" s="5" t="str">
        <f t="shared" si="5"/>
        <v>lootWeight24,1,</v>
      </c>
      <c r="N26" t="str">
        <f t="shared" si="6"/>
        <v>1</v>
      </c>
      <c r="O26" t="str">
        <f t="shared" si="16"/>
        <v>copy .\dail_base.dbr .\items\materia\class0027\Engineer24.dbr /y</v>
      </c>
      <c r="P26" t="str">
        <f t="shared" si="7"/>
        <v>echo relicBitmap,items/craftingparts/components/component_a52_bristlyfur_b.tex, &gt;&gt; .\items\materia\class0027\Engineer24.dbr</v>
      </c>
      <c r="Q26" t="str">
        <f t="shared" si="7"/>
        <v>echo itemCost,300000, &gt;&gt; .\items\materia\class0027\Engineer24.dbr</v>
      </c>
      <c r="R26" t="str">
        <f t="shared" si="7"/>
        <v>echo description,dailCompDescEngineer24, &gt;&gt; .\items\materia\class0027\Engineer24.dbr</v>
      </c>
      <c r="S26" t="str">
        <f t="shared" si="7"/>
        <v>echo itemText,dailCompTextEngineer24, &gt;&gt; .\items\materia\class0027\Engineer24.dbr</v>
      </c>
      <c r="T26" t="str">
        <f t="shared" si="7"/>
        <v>echo augmentSkillLevel1,1, &gt;&gt; .\items\materia\class0027\Engineer24.dbr</v>
      </c>
      <c r="U26" t="str">
        <f t="shared" si="7"/>
        <v>echo augmentSkillName1,records/skills/playerclassEngineer/burstpunches1.dbr, &gt;&gt; .\items\materia\class0027\Engineer24.dbr</v>
      </c>
      <c r="V26" s="5" t="s">
        <v>36</v>
      </c>
      <c r="W26" t="str">
        <f t="shared" si="8"/>
        <v>echo lootName24,DAIL/items/materia/class0027/Engineer24.dbr, &gt;&gt; .\items\loottables\dailoneskill0027.dbr</v>
      </c>
      <c r="X26" t="str">
        <f t="shared" si="8"/>
        <v>echo lootWeight24,1, &gt;&gt; .\items\loottables\dailoneskill0027.dbr</v>
      </c>
      <c r="Y26" s="5" t="s">
        <v>36</v>
      </c>
      <c r="Z26" t="str">
        <f t="shared" si="9"/>
        <v xml:space="preserve"> dailCompDescEngineer24=^pEngineer's Gift of DAIL</v>
      </c>
      <c r="AA26" t="str">
        <f t="shared" si="17"/>
        <v>dailCompTextEngineer24=^oThis feels warm to the touch, almost familiar ^w(This component fits into all Jewellery slots including the Belt And Shoulder)</v>
      </c>
      <c r="AB26" s="5" t="s">
        <v>36</v>
      </c>
      <c r="AH26">
        <f t="shared" si="19"/>
        <v>21</v>
      </c>
      <c r="AI26">
        <f t="shared" si="13"/>
        <v>38</v>
      </c>
      <c r="AJ26">
        <f t="shared" si="18"/>
        <v>1</v>
      </c>
    </row>
    <row r="27" spans="1:36" x14ac:dyDescent="0.25">
      <c r="A27" s="5" t="s">
        <v>39</v>
      </c>
      <c r="B27" s="5" t="s">
        <v>28</v>
      </c>
      <c r="C27" s="5" t="str">
        <f t="shared" si="0"/>
        <v>description,dailCompDescEngineer25,</v>
      </c>
      <c r="D27" s="5" t="str">
        <f t="shared" si="2"/>
        <v>itemText,dailCompTextEngineer25,</v>
      </c>
      <c r="E27" s="5" t="str">
        <f t="shared" si="14"/>
        <v>augmentSkillLevel1,1,</v>
      </c>
      <c r="F27" s="5" t="str">
        <f t="shared" si="15"/>
        <v>augmentSkillName1,records/skills/playerclassEngineer/powerpalms1b.dbr,</v>
      </c>
      <c r="G27" s="7">
        <f t="shared" si="10"/>
        <v>25</v>
      </c>
      <c r="H27" s="8" t="str">
        <f t="shared" si="11"/>
        <v>Engineer</v>
      </c>
      <c r="I27" s="3" t="s">
        <v>543</v>
      </c>
      <c r="J27" s="8" t="str">
        <f t="shared" si="20"/>
        <v>class0027</v>
      </c>
      <c r="K27" s="8" t="str">
        <f t="shared" si="20"/>
        <v>dailoneskill0027</v>
      </c>
      <c r="L27" s="5" t="str">
        <f t="shared" si="4"/>
        <v>lootName25,DAIL/items/materia/class0027/Engineer25.dbr,</v>
      </c>
      <c r="M27" s="5" t="str">
        <f t="shared" si="5"/>
        <v>lootWeight25,1,</v>
      </c>
      <c r="N27" t="str">
        <f t="shared" si="6"/>
        <v>1</v>
      </c>
      <c r="O27" t="str">
        <f t="shared" si="16"/>
        <v>copy .\dail_base.dbr .\items\materia\class0027\Engineer25.dbr /y</v>
      </c>
      <c r="P27" t="str">
        <f t="shared" si="7"/>
        <v>echo relicBitmap,items/craftingparts/components/component_a52_bristlyfur_b.tex, &gt;&gt; .\items\materia\class0027\Engineer25.dbr</v>
      </c>
      <c r="Q27" t="str">
        <f t="shared" si="7"/>
        <v>echo itemCost,300000, &gt;&gt; .\items\materia\class0027\Engineer25.dbr</v>
      </c>
      <c r="R27" t="str">
        <f t="shared" si="7"/>
        <v>echo description,dailCompDescEngineer25, &gt;&gt; .\items\materia\class0027\Engineer25.dbr</v>
      </c>
      <c r="S27" t="str">
        <f t="shared" si="7"/>
        <v>echo itemText,dailCompTextEngineer25, &gt;&gt; .\items\materia\class0027\Engineer25.dbr</v>
      </c>
      <c r="T27" t="str">
        <f t="shared" si="7"/>
        <v>echo augmentSkillLevel1,1, &gt;&gt; .\items\materia\class0027\Engineer25.dbr</v>
      </c>
      <c r="U27" t="str">
        <f t="shared" si="7"/>
        <v>echo augmentSkillName1,records/skills/playerclassEngineer/powerpalms1b.dbr, &gt;&gt; .\items\materia\class0027\Engineer25.dbr</v>
      </c>
      <c r="V27" s="5" t="s">
        <v>36</v>
      </c>
      <c r="W27" t="str">
        <f t="shared" si="8"/>
        <v>echo lootName25,DAIL/items/materia/class0027/Engineer25.dbr, &gt;&gt; .\items\loottables\dailoneskill0027.dbr</v>
      </c>
      <c r="X27" t="str">
        <f t="shared" si="8"/>
        <v>echo lootWeight25,1, &gt;&gt; .\items\loottables\dailoneskill0027.dbr</v>
      </c>
      <c r="Y27" s="5" t="s">
        <v>36</v>
      </c>
      <c r="Z27" t="str">
        <f t="shared" si="9"/>
        <v xml:space="preserve"> dailCompDescEngineer25=^pEngineer's Gift of DAIL</v>
      </c>
      <c r="AA27" t="str">
        <f t="shared" si="17"/>
        <v>dailCompTextEngineer25=^oThis feels warm to the touch, almost familiar ^w(This component fits into all Jewellery slots including the Belt And Shoulder)</v>
      </c>
      <c r="AB27" s="5" t="s">
        <v>36</v>
      </c>
      <c r="AH27">
        <f t="shared" si="19"/>
        <v>22</v>
      </c>
      <c r="AI27">
        <f t="shared" si="13"/>
        <v>37</v>
      </c>
      <c r="AJ27">
        <f t="shared" si="18"/>
        <v>1</v>
      </c>
    </row>
    <row r="28" spans="1:36" x14ac:dyDescent="0.25">
      <c r="A28" s="5" t="s">
        <v>39</v>
      </c>
      <c r="B28" s="5" t="s">
        <v>28</v>
      </c>
      <c r="C28" s="5" t="str">
        <f t="shared" si="0"/>
        <v>description,dailCompDescEngineer26,</v>
      </c>
      <c r="D28" s="5" t="str">
        <f t="shared" si="2"/>
        <v>itemText,dailCompTextEngineer26,</v>
      </c>
      <c r="E28" s="5" t="str">
        <f t="shared" si="14"/>
        <v>augmentSkillLevel1,1,</v>
      </c>
      <c r="F28" s="5" t="str">
        <f t="shared" si="15"/>
        <v>augmentSkillName1,records/skills/playerclassEngineer/burstpunches2.dbr,</v>
      </c>
      <c r="G28" s="7">
        <f t="shared" si="10"/>
        <v>26</v>
      </c>
      <c r="H28" s="8" t="str">
        <f t="shared" si="11"/>
        <v>Engineer</v>
      </c>
      <c r="I28" s="3" t="s">
        <v>544</v>
      </c>
      <c r="J28" s="8" t="str">
        <f t="shared" si="20"/>
        <v>class0027</v>
      </c>
      <c r="K28" s="8" t="str">
        <f t="shared" si="20"/>
        <v>dailoneskill0027</v>
      </c>
      <c r="L28" s="5" t="str">
        <f t="shared" si="4"/>
        <v>lootName26,DAIL/items/materia/class0027/Engineer26.dbr,</v>
      </c>
      <c r="M28" s="5" t="str">
        <f t="shared" si="5"/>
        <v>lootWeight26,1,</v>
      </c>
      <c r="N28" t="str">
        <f t="shared" si="6"/>
        <v>1</v>
      </c>
      <c r="O28" t="str">
        <f t="shared" si="16"/>
        <v>copy .\dail_base.dbr .\items\materia\class0027\Engineer26.dbr /y</v>
      </c>
      <c r="P28" t="str">
        <f t="shared" si="7"/>
        <v>echo relicBitmap,items/craftingparts/components/component_a52_bristlyfur_b.tex, &gt;&gt; .\items\materia\class0027\Engineer26.dbr</v>
      </c>
      <c r="Q28" t="str">
        <f t="shared" si="7"/>
        <v>echo itemCost,300000, &gt;&gt; .\items\materia\class0027\Engineer26.dbr</v>
      </c>
      <c r="R28" t="str">
        <f t="shared" si="7"/>
        <v>echo description,dailCompDescEngineer26, &gt;&gt; .\items\materia\class0027\Engineer26.dbr</v>
      </c>
      <c r="S28" t="str">
        <f t="shared" si="7"/>
        <v>echo itemText,dailCompTextEngineer26, &gt;&gt; .\items\materia\class0027\Engineer26.dbr</v>
      </c>
      <c r="T28" t="str">
        <f t="shared" si="7"/>
        <v>echo augmentSkillLevel1,1, &gt;&gt; .\items\materia\class0027\Engineer26.dbr</v>
      </c>
      <c r="U28" t="str">
        <f t="shared" si="7"/>
        <v>echo augmentSkillName1,records/skills/playerclassEngineer/burstpunches2.dbr, &gt;&gt; .\items\materia\class0027\Engineer26.dbr</v>
      </c>
      <c r="V28" s="5" t="s">
        <v>36</v>
      </c>
      <c r="W28" t="str">
        <f t="shared" si="8"/>
        <v>echo lootName26,DAIL/items/materia/class0027/Engineer26.dbr, &gt;&gt; .\items\loottables\dailoneskill0027.dbr</v>
      </c>
      <c r="X28" t="str">
        <f t="shared" si="8"/>
        <v>echo lootWeight26,1, &gt;&gt; .\items\loottables\dailoneskill0027.dbr</v>
      </c>
      <c r="Y28" s="5" t="s">
        <v>36</v>
      </c>
      <c r="Z28" t="str">
        <f t="shared" si="9"/>
        <v xml:space="preserve"> dailCompDescEngineer26=^pEngineer's Gift of DAIL</v>
      </c>
      <c r="AA28" t="str">
        <f t="shared" si="17"/>
        <v>dailCompTextEngineer26=^oThis feels warm to the touch, almost familiar ^w(This component fits into all Jewellery slots including the Belt And Shoulder)</v>
      </c>
      <c r="AB28" s="5" t="s">
        <v>36</v>
      </c>
      <c r="AH28">
        <f t="shared" si="19"/>
        <v>23</v>
      </c>
      <c r="AI28">
        <f t="shared" si="13"/>
        <v>38</v>
      </c>
      <c r="AJ28">
        <f t="shared" si="18"/>
        <v>1</v>
      </c>
    </row>
    <row r="29" spans="1:36" x14ac:dyDescent="0.25">
      <c r="A29" s="5" t="s">
        <v>39</v>
      </c>
      <c r="B29" s="5" t="s">
        <v>28</v>
      </c>
      <c r="C29" s="5" t="str">
        <f t="shared" si="0"/>
        <v>description,dailCompDescEngineer27,</v>
      </c>
      <c r="D29" s="5" t="str">
        <f t="shared" si="2"/>
        <v>itemText,dailCompTextEngineer27,</v>
      </c>
      <c r="E29" s="5" t="str">
        <f t="shared" si="14"/>
        <v>augmentSkillLevel1,1,</v>
      </c>
      <c r="F29" s="5" t="str">
        <f t="shared" si="15"/>
        <v>augmentSkillName1,records/skills/playerclassEngineer/burstpunches3.dbr,</v>
      </c>
      <c r="G29" s="7">
        <f t="shared" si="10"/>
        <v>27</v>
      </c>
      <c r="H29" s="8" t="str">
        <f t="shared" si="11"/>
        <v>Engineer</v>
      </c>
      <c r="I29" s="3" t="s">
        <v>545</v>
      </c>
      <c r="J29" s="8" t="str">
        <f t="shared" si="20"/>
        <v>class0027</v>
      </c>
      <c r="K29" s="8" t="str">
        <f t="shared" si="20"/>
        <v>dailoneskill0027</v>
      </c>
      <c r="L29" s="5" t="str">
        <f t="shared" si="4"/>
        <v>lootName27,DAIL/items/materia/class0027/Engineer27.dbr,</v>
      </c>
      <c r="M29" s="5" t="str">
        <f t="shared" si="5"/>
        <v>lootWeight27,1,</v>
      </c>
      <c r="N29" t="str">
        <f t="shared" si="6"/>
        <v>1</v>
      </c>
      <c r="O29" t="str">
        <f t="shared" si="16"/>
        <v>copy .\dail_base.dbr .\items\materia\class0027\Engineer27.dbr /y</v>
      </c>
      <c r="P29" t="str">
        <f t="shared" si="7"/>
        <v>echo relicBitmap,items/craftingparts/components/component_a52_bristlyfur_b.tex, &gt;&gt; .\items\materia\class0027\Engineer27.dbr</v>
      </c>
      <c r="Q29" t="str">
        <f t="shared" si="7"/>
        <v>echo itemCost,300000, &gt;&gt; .\items\materia\class0027\Engineer27.dbr</v>
      </c>
      <c r="R29" t="str">
        <f t="shared" si="7"/>
        <v>echo description,dailCompDescEngineer27, &gt;&gt; .\items\materia\class0027\Engineer27.dbr</v>
      </c>
      <c r="S29" t="str">
        <f t="shared" si="7"/>
        <v>echo itemText,dailCompTextEngineer27, &gt;&gt; .\items\materia\class0027\Engineer27.dbr</v>
      </c>
      <c r="T29" t="str">
        <f t="shared" si="7"/>
        <v>echo augmentSkillLevel1,1, &gt;&gt; .\items\materia\class0027\Engineer27.dbr</v>
      </c>
      <c r="U29" t="str">
        <f t="shared" si="7"/>
        <v>echo augmentSkillName1,records/skills/playerclassEngineer/burstpunches3.dbr, &gt;&gt; .\items\materia\class0027\Engineer27.dbr</v>
      </c>
      <c r="V29" s="5" t="s">
        <v>36</v>
      </c>
      <c r="W29" t="str">
        <f t="shared" si="8"/>
        <v>echo lootName27,DAIL/items/materia/class0027/Engineer27.dbr, &gt;&gt; .\items\loottables\dailoneskill0027.dbr</v>
      </c>
      <c r="X29" t="str">
        <f t="shared" si="8"/>
        <v>echo lootWeight27,1, &gt;&gt; .\items\loottables\dailoneskill0027.dbr</v>
      </c>
      <c r="Y29" s="5" t="s">
        <v>36</v>
      </c>
      <c r="Z29" t="str">
        <f t="shared" si="9"/>
        <v xml:space="preserve"> dailCompDescEngineer27=^pEngineer's Gift of DAIL</v>
      </c>
      <c r="AA29" t="str">
        <f t="shared" si="17"/>
        <v>dailCompTextEngineer27=^oThis feels warm to the touch, almost familiar ^w(This component fits into all Jewellery slots including the Belt And Shoulder)</v>
      </c>
      <c r="AB29" s="5" t="s">
        <v>36</v>
      </c>
      <c r="AH29">
        <f t="shared" si="19"/>
        <v>24</v>
      </c>
      <c r="AI29">
        <f t="shared" si="13"/>
        <v>38</v>
      </c>
      <c r="AJ29">
        <f t="shared" si="18"/>
        <v>1</v>
      </c>
    </row>
    <row r="30" spans="1:36" x14ac:dyDescent="0.25">
      <c r="A30" s="5" t="s">
        <v>39</v>
      </c>
      <c r="B30" s="5" t="s">
        <v>28</v>
      </c>
      <c r="C30" s="5" t="str">
        <f t="shared" si="0"/>
        <v>description,dailCompDescEngineer28,</v>
      </c>
      <c r="D30" s="5" t="str">
        <f t="shared" si="2"/>
        <v>itemText,dailCompTextEngineer28,</v>
      </c>
      <c r="E30" s="5" t="str">
        <f t="shared" si="14"/>
        <v>augmentSkillLevel1,1,</v>
      </c>
      <c r="F30" s="5" t="str">
        <f t="shared" si="15"/>
        <v>augmentSkillName1,records/skills/playerclassEngineer/ultimateengineer.dbr,</v>
      </c>
      <c r="G30" s="7">
        <f t="shared" si="10"/>
        <v>28</v>
      </c>
      <c r="H30" s="8" t="str">
        <f t="shared" si="11"/>
        <v>Engineer</v>
      </c>
      <c r="I30" s="3" t="s">
        <v>546</v>
      </c>
      <c r="J30" s="8" t="str">
        <f t="shared" si="20"/>
        <v>class0027</v>
      </c>
      <c r="K30" s="8" t="str">
        <f t="shared" si="20"/>
        <v>dailoneskill0027</v>
      </c>
      <c r="L30" s="5" t="str">
        <f t="shared" si="4"/>
        <v>lootName28,DAIL/items/materia/class0027/Engineer28.dbr,</v>
      </c>
      <c r="M30" s="5" t="str">
        <f t="shared" si="5"/>
        <v>lootWeight28,1,</v>
      </c>
      <c r="N30" t="str">
        <f t="shared" si="6"/>
        <v>1</v>
      </c>
      <c r="O30" t="str">
        <f t="shared" si="16"/>
        <v>copy .\dail_base.dbr .\items\materia\class0027\Engineer28.dbr /y</v>
      </c>
      <c r="P30" t="str">
        <f t="shared" si="7"/>
        <v>echo relicBitmap,items/craftingparts/components/component_a52_bristlyfur_b.tex, &gt;&gt; .\items\materia\class0027\Engineer28.dbr</v>
      </c>
      <c r="Q30" t="str">
        <f t="shared" si="7"/>
        <v>echo itemCost,300000, &gt;&gt; .\items\materia\class0027\Engineer28.dbr</v>
      </c>
      <c r="R30" t="str">
        <f t="shared" si="7"/>
        <v>echo description,dailCompDescEngineer28, &gt;&gt; .\items\materia\class0027\Engineer28.dbr</v>
      </c>
      <c r="S30" t="str">
        <f t="shared" si="7"/>
        <v>echo itemText,dailCompTextEngineer28, &gt;&gt; .\items\materia\class0027\Engineer28.dbr</v>
      </c>
      <c r="T30" t="str">
        <f t="shared" si="7"/>
        <v>echo augmentSkillLevel1,1, &gt;&gt; .\items\materia\class0027\Engineer28.dbr</v>
      </c>
      <c r="U30" t="str">
        <f t="shared" si="7"/>
        <v>echo augmentSkillName1,records/skills/playerclassEngineer/ultimateengineer.dbr, &gt;&gt; .\items\materia\class0027\Engineer28.dbr</v>
      </c>
      <c r="V30" s="5" t="s">
        <v>36</v>
      </c>
      <c r="W30" t="str">
        <f t="shared" si="8"/>
        <v>echo lootName28,DAIL/items/materia/class0027/Engineer28.dbr, &gt;&gt; .\items\loottables\dailoneskill0027.dbr</v>
      </c>
      <c r="X30" t="str">
        <f t="shared" si="8"/>
        <v>echo lootWeight28,1, &gt;&gt; .\items\loottables\dailoneskill0027.dbr</v>
      </c>
      <c r="Y30" s="5" t="s">
        <v>36</v>
      </c>
      <c r="Z30" t="str">
        <f t="shared" si="9"/>
        <v xml:space="preserve"> dailCompDescEngineer28=^pEngineer's Gift of DAIL</v>
      </c>
      <c r="AA30" t="str">
        <f t="shared" si="17"/>
        <v>dailCompTextEngineer28=^oThis feels warm to the touch, almost familiar ^w(This component fits into all Jewellery slots including the Belt And Shoulder)</v>
      </c>
      <c r="AB30" s="5" t="s">
        <v>36</v>
      </c>
      <c r="AH30">
        <f t="shared" si="19"/>
        <v>25</v>
      </c>
      <c r="AI30">
        <f t="shared" si="13"/>
        <v>41</v>
      </c>
      <c r="AJ30">
        <f t="shared" si="18"/>
        <v>1</v>
      </c>
    </row>
    <row r="31" spans="1:36" x14ac:dyDescent="0.25">
      <c r="A31" s="5" t="s">
        <v>39</v>
      </c>
      <c r="B31" s="5" t="s">
        <v>28</v>
      </c>
      <c r="C31" s="5" t="str">
        <f t="shared" si="0"/>
        <v>description,dailCompDescEngineer29,</v>
      </c>
      <c r="D31" s="5" t="str">
        <f t="shared" si="2"/>
        <v>itemText,dailCompTextEngineer29,</v>
      </c>
      <c r="E31" s="5" t="str">
        <f t="shared" si="14"/>
        <v>augmentSkillLevel1,1,</v>
      </c>
      <c r="F31" s="5" t="str">
        <f t="shared" si="15"/>
        <v>augmentSkillName1,records/skills/playerclassEngineer/powerpalms1c.dbr,</v>
      </c>
      <c r="G31" s="7">
        <f t="shared" si="10"/>
        <v>29</v>
      </c>
      <c r="H31" s="8" t="str">
        <f t="shared" si="11"/>
        <v>Engineer</v>
      </c>
      <c r="I31" s="3" t="s">
        <v>547</v>
      </c>
      <c r="J31" s="8" t="str">
        <f t="shared" si="20"/>
        <v>class0027</v>
      </c>
      <c r="K31" s="8" t="str">
        <f t="shared" si="20"/>
        <v>dailoneskill0027</v>
      </c>
      <c r="L31" s="5" t="str">
        <f t="shared" si="4"/>
        <v>lootName29,DAIL/items/materia/class0027/Engineer29.dbr,</v>
      </c>
      <c r="M31" s="5" t="str">
        <f t="shared" si="5"/>
        <v>lootWeight29,1,</v>
      </c>
      <c r="N31" t="str">
        <f t="shared" si="6"/>
        <v>1</v>
      </c>
      <c r="O31" t="str">
        <f t="shared" si="16"/>
        <v>copy .\dail_base.dbr .\items\materia\class0027\Engineer29.dbr /y</v>
      </c>
      <c r="P31" t="str">
        <f t="shared" si="7"/>
        <v>echo relicBitmap,items/craftingparts/components/component_a52_bristlyfur_b.tex, &gt;&gt; .\items\materia\class0027\Engineer29.dbr</v>
      </c>
      <c r="Q31" t="str">
        <f t="shared" si="7"/>
        <v>echo itemCost,300000, &gt;&gt; .\items\materia\class0027\Engineer29.dbr</v>
      </c>
      <c r="R31" t="str">
        <f t="shared" si="7"/>
        <v>echo description,dailCompDescEngineer29, &gt;&gt; .\items\materia\class0027\Engineer29.dbr</v>
      </c>
      <c r="S31" t="str">
        <f t="shared" si="7"/>
        <v>echo itemText,dailCompTextEngineer29, &gt;&gt; .\items\materia\class0027\Engineer29.dbr</v>
      </c>
      <c r="T31" t="str">
        <f t="shared" si="7"/>
        <v>echo augmentSkillLevel1,1, &gt;&gt; .\items\materia\class0027\Engineer29.dbr</v>
      </c>
      <c r="U31" t="str">
        <f t="shared" si="7"/>
        <v>echo augmentSkillName1,records/skills/playerclassEngineer/powerpalms1c.dbr, &gt;&gt; .\items\materia\class0027\Engineer29.dbr</v>
      </c>
      <c r="V31" s="5" t="s">
        <v>36</v>
      </c>
      <c r="W31" t="str">
        <f t="shared" si="8"/>
        <v>echo lootName29,DAIL/items/materia/class0027/Engineer29.dbr, &gt;&gt; .\items\loottables\dailoneskill0027.dbr</v>
      </c>
      <c r="X31" t="str">
        <f t="shared" si="8"/>
        <v>echo lootWeight29,1, &gt;&gt; .\items\loottables\dailoneskill0027.dbr</v>
      </c>
      <c r="Y31" s="5" t="s">
        <v>36</v>
      </c>
      <c r="Z31" t="str">
        <f t="shared" si="9"/>
        <v xml:space="preserve"> dailCompDescEngineer29=^pEngineer's Gift of DAIL</v>
      </c>
      <c r="AA31" t="str">
        <f t="shared" si="17"/>
        <v>dailCompTextEngineer29=^oThis feels warm to the touch, almost familiar ^w(This component fits into all Jewellery slots including the Belt And Shoulder)</v>
      </c>
      <c r="AB31" s="5" t="s">
        <v>36</v>
      </c>
      <c r="AH31">
        <f t="shared" si="19"/>
        <v>26</v>
      </c>
      <c r="AI31">
        <f t="shared" si="13"/>
        <v>37</v>
      </c>
      <c r="AJ31">
        <f t="shared" si="18"/>
        <v>1</v>
      </c>
    </row>
    <row r="32" spans="1:36" x14ac:dyDescent="0.25">
      <c r="A32" s="5" t="s">
        <v>39</v>
      </c>
      <c r="B32" s="5" t="s">
        <v>30</v>
      </c>
      <c r="C32" s="5" t="str">
        <f t="shared" si="0"/>
        <v>description,dailCompDescEngineer30,</v>
      </c>
      <c r="D32" s="5" t="str">
        <f t="shared" si="2"/>
        <v>itemText,dailCompTextEngineer30,</v>
      </c>
      <c r="E32" s="5" t="str">
        <f t="shared" si="14"/>
        <v>augmentSkillLevel1,1,</v>
      </c>
      <c r="F32" s="5" t="str">
        <f t="shared" si="15"/>
        <v>augmentSkillName1,records/skills/playerclassEngineer/powerpalms2.dbr,</v>
      </c>
      <c r="G32" s="7">
        <f t="shared" si="10"/>
        <v>30</v>
      </c>
      <c r="H32" s="8" t="str">
        <f t="shared" si="11"/>
        <v>Engineer</v>
      </c>
      <c r="I32" s="3" t="s">
        <v>548</v>
      </c>
      <c r="J32" s="8" t="str">
        <f t="shared" si="20"/>
        <v>class0027</v>
      </c>
      <c r="K32" s="8" t="str">
        <f t="shared" si="20"/>
        <v>dailoneskill0027</v>
      </c>
      <c r="L32" s="5" t="str">
        <f t="shared" si="4"/>
        <v>lootName30,DAIL/items/materia/class0027/Engineer30.dbr,</v>
      </c>
      <c r="M32" s="5" t="str">
        <f t="shared" si="5"/>
        <v>lootWeight30,1,</v>
      </c>
      <c r="N32" t="str">
        <f t="shared" si="6"/>
        <v>1</v>
      </c>
      <c r="O32" t="str">
        <f t="shared" si="16"/>
        <v>copy .\dail_base.dbr .\items\materia\class0027\Engineer30.dbr /y</v>
      </c>
      <c r="P32" t="str">
        <f t="shared" si="7"/>
        <v>echo relicBitmap,items/craftingparts/components/component_a52_bristlyfur_b.tex, &gt;&gt; .\items\materia\class0027\Engineer30.dbr</v>
      </c>
      <c r="Q32" t="str">
        <f t="shared" si="7"/>
        <v>echo itemCost,500000, &gt;&gt; .\items\materia\class0027\Engineer30.dbr</v>
      </c>
      <c r="R32" t="str">
        <f t="shared" si="7"/>
        <v>echo description,dailCompDescEngineer30, &gt;&gt; .\items\materia\class0027\Engineer30.dbr</v>
      </c>
      <c r="S32" t="str">
        <f t="shared" si="7"/>
        <v>echo itemText,dailCompTextEngineer30, &gt;&gt; .\items\materia\class0027\Engineer30.dbr</v>
      </c>
      <c r="T32" t="str">
        <f t="shared" si="7"/>
        <v>echo augmentSkillLevel1,1, &gt;&gt; .\items\materia\class0027\Engineer30.dbr</v>
      </c>
      <c r="U32" t="str">
        <f t="shared" si="7"/>
        <v>echo augmentSkillName1,records/skills/playerclassEngineer/powerpalms2.dbr, &gt;&gt; .\items\materia\class0027\Engineer30.dbr</v>
      </c>
      <c r="V32" s="5" t="s">
        <v>36</v>
      </c>
      <c r="W32" t="str">
        <f t="shared" si="8"/>
        <v>echo lootName30,DAIL/items/materia/class0027/Engineer30.dbr, &gt;&gt; .\items\loottables\dailoneskill0027.dbr</v>
      </c>
      <c r="X32" t="str">
        <f t="shared" si="8"/>
        <v>echo lootWeight30,1, &gt;&gt; .\items\loottables\dailoneskill0027.dbr</v>
      </c>
      <c r="Y32" s="5" t="s">
        <v>36</v>
      </c>
      <c r="Z32" t="str">
        <f t="shared" si="9"/>
        <v xml:space="preserve"> dailCompDescEngineer30=^pEngineer's Gift of DAIL</v>
      </c>
      <c r="AA32" t="str">
        <f t="shared" si="17"/>
        <v>dailCompTextEngineer30=^oThis feels warm to the touch, almost familiar ^w(This component fits into all Jewellery slots including the Belt And Shoulder)</v>
      </c>
      <c r="AB32" s="5" t="s">
        <v>36</v>
      </c>
      <c r="AH32">
        <f t="shared" si="19"/>
        <v>27</v>
      </c>
      <c r="AI32">
        <f t="shared" si="13"/>
        <v>36</v>
      </c>
      <c r="AJ32">
        <f t="shared" si="18"/>
        <v>1</v>
      </c>
    </row>
    <row r="33" spans="1:36" x14ac:dyDescent="0.25">
      <c r="A33" s="5" t="s">
        <v>39</v>
      </c>
      <c r="B33" s="5" t="s">
        <v>30</v>
      </c>
      <c r="C33" s="5" t="str">
        <f t="shared" si="0"/>
        <v>description,dailCompDescEngineer31,</v>
      </c>
      <c r="D33" s="5" t="str">
        <f t="shared" si="2"/>
        <v>itemText,dailCompTextEngineer31,</v>
      </c>
      <c r="E33" s="5" t="str">
        <f t="shared" si="14"/>
        <v>augmentSkillLevel1,1,</v>
      </c>
      <c r="F33" s="5" t="str">
        <f t="shared" si="15"/>
        <v>augmentSkillName1,records/skills/playerclassEngineer/powerpalms3.dbr,</v>
      </c>
      <c r="G33" s="7">
        <f t="shared" si="10"/>
        <v>31</v>
      </c>
      <c r="H33" s="8" t="str">
        <f t="shared" si="11"/>
        <v>Engineer</v>
      </c>
      <c r="I33" s="3" t="s">
        <v>549</v>
      </c>
      <c r="J33" s="8" t="str">
        <f t="shared" si="20"/>
        <v>class0027</v>
      </c>
      <c r="K33" s="8" t="str">
        <f t="shared" si="20"/>
        <v>dailoneskill0027</v>
      </c>
      <c r="L33" s="5" t="str">
        <f t="shared" si="4"/>
        <v>lootName31,DAIL/items/materia/class0027/Engineer31.dbr,</v>
      </c>
      <c r="M33" s="5" t="str">
        <f t="shared" si="5"/>
        <v>lootWeight31,1,</v>
      </c>
      <c r="N33" t="str">
        <f t="shared" si="6"/>
        <v>1</v>
      </c>
      <c r="O33" t="str">
        <f t="shared" si="16"/>
        <v>copy .\dail_base.dbr .\items\materia\class0027\Engineer31.dbr /y</v>
      </c>
      <c r="P33" t="str">
        <f t="shared" si="7"/>
        <v>echo relicBitmap,items/craftingparts/components/component_a52_bristlyfur_b.tex, &gt;&gt; .\items\materia\class0027\Engineer31.dbr</v>
      </c>
      <c r="Q33" t="str">
        <f t="shared" si="7"/>
        <v>echo itemCost,500000, &gt;&gt; .\items\materia\class0027\Engineer31.dbr</v>
      </c>
      <c r="R33" t="str">
        <f t="shared" si="7"/>
        <v>echo description,dailCompDescEngineer31, &gt;&gt; .\items\materia\class0027\Engineer31.dbr</v>
      </c>
      <c r="S33" t="str">
        <f t="shared" si="7"/>
        <v>echo itemText,dailCompTextEngineer31, &gt;&gt; .\items\materia\class0027\Engineer31.dbr</v>
      </c>
      <c r="T33" t="str">
        <f t="shared" si="7"/>
        <v>echo augmentSkillLevel1,1, &gt;&gt; .\items\materia\class0027\Engineer31.dbr</v>
      </c>
      <c r="U33" t="str">
        <f t="shared" si="7"/>
        <v>echo augmentSkillName1,records/skills/playerclassEngineer/powerpalms3.dbr, &gt;&gt; .\items\materia\class0027\Engineer31.dbr</v>
      </c>
      <c r="V33" s="5" t="s">
        <v>36</v>
      </c>
      <c r="W33" t="str">
        <f t="shared" si="8"/>
        <v>echo lootName31,DAIL/items/materia/class0027/Engineer31.dbr, &gt;&gt; .\items\loottables\dailoneskill0027.dbr</v>
      </c>
      <c r="X33" t="str">
        <f t="shared" si="8"/>
        <v>echo lootWeight31,1, &gt;&gt; .\items\loottables\dailoneskill0027.dbr</v>
      </c>
      <c r="Y33" s="5" t="s">
        <v>36</v>
      </c>
      <c r="Z33" t="str">
        <f t="shared" si="9"/>
        <v xml:space="preserve"> dailCompDescEngineer31=^pEngineer's Gift of DAIL</v>
      </c>
      <c r="AA33" t="str">
        <f t="shared" si="17"/>
        <v>dailCompTextEngineer31=^oThis feels warm to the touch, almost familiar ^w(This component fits into all Jewellery slots including the Belt And Shoulder)</v>
      </c>
      <c r="AB33" s="5" t="s">
        <v>36</v>
      </c>
      <c r="AH33">
        <f t="shared" si="19"/>
        <v>28</v>
      </c>
      <c r="AI33">
        <f t="shared" si="13"/>
        <v>36</v>
      </c>
      <c r="AJ33">
        <f t="shared" si="18"/>
        <v>1</v>
      </c>
    </row>
    <row r="34" spans="1:36" x14ac:dyDescent="0.25">
      <c r="A34" s="5" t="s">
        <v>39</v>
      </c>
      <c r="B34" s="5" t="s">
        <v>30</v>
      </c>
      <c r="C34" s="5" t="str">
        <f t="shared" si="0"/>
        <v>description,dailCompDescEngineer32,</v>
      </c>
      <c r="D34" s="5" t="str">
        <f t="shared" si="2"/>
        <v>itemText,dailCompTextEngineer32,</v>
      </c>
      <c r="E34" s="5" t="str">
        <f t="shared" si="14"/>
        <v>augmentSkillLevel1,1,</v>
      </c>
      <c r="F34" s="5" t="str">
        <f t="shared" si="15"/>
        <v>augmentSkillName1,records/skills/playerclassEngineer/shockshot1.dbr,</v>
      </c>
      <c r="G34" s="7">
        <f t="shared" si="10"/>
        <v>32</v>
      </c>
      <c r="H34" s="8" t="str">
        <f t="shared" si="11"/>
        <v>Engineer</v>
      </c>
      <c r="I34" s="3" t="s">
        <v>550</v>
      </c>
      <c r="J34" s="8" t="str">
        <f t="shared" si="20"/>
        <v>class0027</v>
      </c>
      <c r="K34" s="8" t="str">
        <f t="shared" si="20"/>
        <v>dailoneskill0027</v>
      </c>
      <c r="L34" s="5" t="str">
        <f t="shared" si="4"/>
        <v>lootName32,DAIL/items/materia/class0027/Engineer32.dbr,</v>
      </c>
      <c r="M34" s="5" t="str">
        <f t="shared" si="5"/>
        <v>lootWeight32,1,</v>
      </c>
      <c r="N34" t="str">
        <f t="shared" si="6"/>
        <v>1</v>
      </c>
      <c r="O34" t="str">
        <f t="shared" si="16"/>
        <v>copy .\dail_base.dbr .\items\materia\class0027\Engineer32.dbr /y</v>
      </c>
      <c r="P34" t="str">
        <f t="shared" si="7"/>
        <v>echo relicBitmap,items/craftingparts/components/component_a52_bristlyfur_b.tex, &gt;&gt; .\items\materia\class0027\Engineer32.dbr</v>
      </c>
      <c r="Q34" t="str">
        <f t="shared" si="7"/>
        <v>echo itemCost,500000, &gt;&gt; .\items\materia\class0027\Engineer32.dbr</v>
      </c>
      <c r="R34" t="str">
        <f t="shared" si="7"/>
        <v>echo description,dailCompDescEngineer32, &gt;&gt; .\items\materia\class0027\Engineer32.dbr</v>
      </c>
      <c r="S34" t="str">
        <f t="shared" si="7"/>
        <v>echo itemText,dailCompTextEngineer32, &gt;&gt; .\items\materia\class0027\Engineer32.dbr</v>
      </c>
      <c r="T34" t="str">
        <f t="shared" si="7"/>
        <v>echo augmentSkillLevel1,1, &gt;&gt; .\items\materia\class0027\Engineer32.dbr</v>
      </c>
      <c r="U34" t="str">
        <f t="shared" si="7"/>
        <v>echo augmentSkillName1,records/skills/playerclassEngineer/shockshot1.dbr, &gt;&gt; .\items\materia\class0027\Engineer32.dbr</v>
      </c>
      <c r="V34" s="5" t="s">
        <v>36</v>
      </c>
      <c r="W34" t="str">
        <f t="shared" si="8"/>
        <v>echo lootName32,DAIL/items/materia/class0027/Engineer32.dbr, &gt;&gt; .\items\loottables\dailoneskill0027.dbr</v>
      </c>
      <c r="X34" t="str">
        <f t="shared" si="8"/>
        <v>echo lootWeight32,1, &gt;&gt; .\items\loottables\dailoneskill0027.dbr</v>
      </c>
      <c r="Y34" s="5" t="s">
        <v>36</v>
      </c>
      <c r="Z34" t="str">
        <f t="shared" si="9"/>
        <v xml:space="preserve"> dailCompDescEngineer32=^pEngineer's Gift of DAIL</v>
      </c>
      <c r="AA34" t="str">
        <f t="shared" si="17"/>
        <v>dailCompTextEngineer32=^oThis feels warm to the touch, almost familiar ^w(This component fits into all Jewellery slots including the Belt And Shoulder)</v>
      </c>
      <c r="AB34" s="5" t="s">
        <v>36</v>
      </c>
      <c r="AH34">
        <f t="shared" si="19"/>
        <v>29</v>
      </c>
      <c r="AI34">
        <f t="shared" si="13"/>
        <v>35</v>
      </c>
      <c r="AJ34">
        <f t="shared" si="18"/>
        <v>1</v>
      </c>
    </row>
    <row r="35" spans="1:36" x14ac:dyDescent="0.25">
      <c r="A35" s="5" t="s">
        <v>39</v>
      </c>
      <c r="B35" s="5" t="s">
        <v>30</v>
      </c>
      <c r="C35" s="5" t="str">
        <f t="shared" si="0"/>
        <v>description,dailCompDescEngineer33,</v>
      </c>
      <c r="D35" s="5" t="str">
        <f t="shared" si="2"/>
        <v>itemText,dailCompTextEngineer33,</v>
      </c>
      <c r="E35" s="5" t="str">
        <f t="shared" si="14"/>
        <v>augmentSkillLevel1,1,</v>
      </c>
      <c r="F35" s="5" t="str">
        <f t="shared" si="15"/>
        <v>augmentSkillName1,records/skills/playerclassEngineer/shockshot1b.dbr,</v>
      </c>
      <c r="G35" s="7">
        <f t="shared" si="10"/>
        <v>33</v>
      </c>
      <c r="H35" s="8" t="str">
        <f t="shared" si="11"/>
        <v>Engineer</v>
      </c>
      <c r="I35" s="3" t="s">
        <v>551</v>
      </c>
      <c r="J35" s="8" t="str">
        <f t="shared" si="20"/>
        <v>class0027</v>
      </c>
      <c r="K35" s="8" t="str">
        <f t="shared" si="20"/>
        <v>dailoneskill0027</v>
      </c>
      <c r="L35" s="5" t="str">
        <f t="shared" si="4"/>
        <v>lootName33,DAIL/items/materia/class0027/Engineer33.dbr,</v>
      </c>
      <c r="M35" s="5" t="str">
        <f t="shared" si="5"/>
        <v>lootWeight33,1,</v>
      </c>
      <c r="N35" t="str">
        <f t="shared" si="6"/>
        <v>1</v>
      </c>
      <c r="O35" t="str">
        <f t="shared" si="16"/>
        <v>copy .\dail_base.dbr .\items\materia\class0027\Engineer33.dbr /y</v>
      </c>
      <c r="P35" t="str">
        <f t="shared" si="7"/>
        <v>echo relicBitmap,items/craftingparts/components/component_a52_bristlyfur_b.tex, &gt;&gt; .\items\materia\class0027\Engineer33.dbr</v>
      </c>
      <c r="Q35" t="str">
        <f t="shared" si="7"/>
        <v>echo itemCost,500000, &gt;&gt; .\items\materia\class0027\Engineer33.dbr</v>
      </c>
      <c r="R35" t="str">
        <f t="shared" si="7"/>
        <v>echo description,dailCompDescEngineer33, &gt;&gt; .\items\materia\class0027\Engineer33.dbr</v>
      </c>
      <c r="S35" t="str">
        <f t="shared" si="7"/>
        <v>echo itemText,dailCompTextEngineer33, &gt;&gt; .\items\materia\class0027\Engineer33.dbr</v>
      </c>
      <c r="T35" t="str">
        <f t="shared" si="7"/>
        <v>echo augmentSkillLevel1,1, &gt;&gt; .\items\materia\class0027\Engineer33.dbr</v>
      </c>
      <c r="U35" t="str">
        <f t="shared" si="7"/>
        <v>echo augmentSkillName1,records/skills/playerclassEngineer/shockshot1b.dbr, &gt;&gt; .\items\materia\class0027\Engineer33.dbr</v>
      </c>
      <c r="V35" s="5" t="s">
        <v>36</v>
      </c>
      <c r="W35" t="str">
        <f t="shared" si="8"/>
        <v>echo lootName33,DAIL/items/materia/class0027/Engineer33.dbr, &gt;&gt; .\items\loottables\dailoneskill0027.dbr</v>
      </c>
      <c r="X35" t="str">
        <f t="shared" si="8"/>
        <v>echo lootWeight33,1, &gt;&gt; .\items\loottables\dailoneskill0027.dbr</v>
      </c>
      <c r="Y35" s="5" t="s">
        <v>36</v>
      </c>
      <c r="Z35" t="str">
        <f t="shared" si="9"/>
        <v xml:space="preserve"> dailCompDescEngineer33=^pEngineer's Gift of DAIL</v>
      </c>
      <c r="AA35" t="str">
        <f t="shared" si="17"/>
        <v>dailCompTextEngineer33=^oThis feels warm to the touch, almost familiar ^w(This component fits into all Jewellery slots including the Belt And Shoulder)</v>
      </c>
      <c r="AB35" s="5" t="s">
        <v>36</v>
      </c>
      <c r="AH35">
        <f t="shared" si="19"/>
        <v>30</v>
      </c>
      <c r="AI35">
        <f t="shared" si="13"/>
        <v>36</v>
      </c>
      <c r="AJ35">
        <f t="shared" si="18"/>
        <v>1</v>
      </c>
    </row>
    <row r="36" spans="1:36" x14ac:dyDescent="0.25">
      <c r="A36" s="5" t="s">
        <v>39</v>
      </c>
      <c r="B36" s="5" t="s">
        <v>30</v>
      </c>
      <c r="C36" s="5" t="str">
        <f t="shared" si="0"/>
        <v>description,dailCompDescEngineer34,</v>
      </c>
      <c r="D36" s="5" t="str">
        <f t="shared" si="2"/>
        <v>itemText,dailCompTextEngineer34,</v>
      </c>
      <c r="E36" s="5" t="str">
        <f t="shared" si="14"/>
        <v>augmentSkillLevel1,3,</v>
      </c>
      <c r="F36" s="5" t="str">
        <f t="shared" si="15"/>
        <v>augmentSkillName1,records/skills/playerclassEngineer/shockshot2.dbr,</v>
      </c>
      <c r="G36" s="7">
        <f t="shared" si="10"/>
        <v>34</v>
      </c>
      <c r="H36" s="8" t="str">
        <f t="shared" si="11"/>
        <v>Engineer</v>
      </c>
      <c r="I36" s="3" t="s">
        <v>552</v>
      </c>
      <c r="J36" s="8" t="str">
        <f t="shared" si="20"/>
        <v>class0027</v>
      </c>
      <c r="K36" s="8" t="str">
        <f t="shared" si="20"/>
        <v>dailoneskill0027</v>
      </c>
      <c r="L36" s="5" t="str">
        <f t="shared" si="4"/>
        <v>lootName34,DAIL/items/materia/class0027/Engineer34.dbr,</v>
      </c>
      <c r="M36" s="5" t="str">
        <f t="shared" si="5"/>
        <v>lootWeight34,1,</v>
      </c>
      <c r="N36" t="str">
        <f t="shared" si="6"/>
        <v>3</v>
      </c>
      <c r="O36" t="str">
        <f t="shared" si="16"/>
        <v>copy .\dail_base3.dbr .\items\materia\class0027\Engineer34.dbr /y</v>
      </c>
      <c r="P36" t="str">
        <f t="shared" si="7"/>
        <v>echo relicBitmap,items/craftingparts/components/component_a52_bristlyfur_b.tex, &gt;&gt; .\items\materia\class0027\Engineer34.dbr</v>
      </c>
      <c r="Q36" t="str">
        <f t="shared" si="7"/>
        <v>echo itemCost,500000, &gt;&gt; .\items\materia\class0027\Engineer34.dbr</v>
      </c>
      <c r="R36" t="str">
        <f t="shared" si="7"/>
        <v>echo description,dailCompDescEngineer34, &gt;&gt; .\items\materia\class0027\Engineer34.dbr</v>
      </c>
      <c r="S36" t="str">
        <f t="shared" si="7"/>
        <v>echo itemText,dailCompTextEngineer34, &gt;&gt; .\items\materia\class0027\Engineer34.dbr</v>
      </c>
      <c r="T36" t="str">
        <f t="shared" si="7"/>
        <v>echo augmentSkillLevel1,3, &gt;&gt; .\items\materia\class0027\Engineer34.dbr</v>
      </c>
      <c r="U36" t="str">
        <f t="shared" si="7"/>
        <v>echo augmentSkillName1,records/skills/playerclassEngineer/shockshot2.dbr, &gt;&gt; .\items\materia\class0027\Engineer34.dbr</v>
      </c>
      <c r="V36" s="5" t="s">
        <v>36</v>
      </c>
      <c r="W36" t="str">
        <f t="shared" si="8"/>
        <v>echo lootName34,DAIL/items/materia/class0027/Engineer34.dbr, &gt;&gt; .\items\loottables\dailoneskill0027.dbr</v>
      </c>
      <c r="X36" t="str">
        <f t="shared" si="8"/>
        <v>echo lootWeight34,1, &gt;&gt; .\items\loottables\dailoneskill0027.dbr</v>
      </c>
      <c r="Y36" s="5" t="s">
        <v>36</v>
      </c>
      <c r="Z36" t="str">
        <f t="shared" si="9"/>
        <v xml:space="preserve"> dailCompDescEngineer34=^pEngineer's Gift of DAIL</v>
      </c>
      <c r="AA36" t="str">
        <f t="shared" si="17"/>
        <v>dailCompTextEngineer34=^oThis feels warm to the touch, almost familiar ^w(This component only fits into the Medal Slot)</v>
      </c>
      <c r="AB36" s="5" t="s">
        <v>36</v>
      </c>
      <c r="AH36">
        <f t="shared" si="19"/>
        <v>31</v>
      </c>
      <c r="AI36">
        <f t="shared" si="13"/>
        <v>35</v>
      </c>
      <c r="AJ36">
        <f t="shared" si="18"/>
        <v>3</v>
      </c>
    </row>
    <row r="37" spans="1:36" x14ac:dyDescent="0.25">
      <c r="A37" s="5" t="s">
        <v>39</v>
      </c>
      <c r="B37" s="5" t="s">
        <v>30</v>
      </c>
      <c r="C37" s="5" t="str">
        <f t="shared" si="0"/>
        <v>description,dailCompDescEngineer35,</v>
      </c>
      <c r="D37" s="5" t="str">
        <f t="shared" si="2"/>
        <v>itemText,dailCompTextEngineer35,</v>
      </c>
      <c r="E37" s="5" t="str">
        <f t="shared" si="14"/>
        <v>augmentSkillLevel1,3,</v>
      </c>
      <c r="F37" s="5" t="str">
        <f t="shared" si="15"/>
        <v>augmentSkillName1,records/skills/playerclassEngineer/shockshot3.dbr,</v>
      </c>
      <c r="G37" s="7">
        <f t="shared" si="10"/>
        <v>35</v>
      </c>
      <c r="H37" s="8" t="str">
        <f t="shared" si="11"/>
        <v>Engineer</v>
      </c>
      <c r="I37" s="3" t="s">
        <v>522</v>
      </c>
      <c r="J37" s="8" t="str">
        <f t="shared" ref="J37:K52" si="21">J36</f>
        <v>class0027</v>
      </c>
      <c r="K37" s="8" t="str">
        <f t="shared" si="21"/>
        <v>dailoneskill0027</v>
      </c>
      <c r="L37" s="5" t="str">
        <f t="shared" si="4"/>
        <v>lootName35,DAIL/items/materia/class0027/Engineer35.dbr,</v>
      </c>
      <c r="M37" s="5" t="str">
        <f t="shared" si="5"/>
        <v>lootWeight35,1,</v>
      </c>
      <c r="N37" t="str">
        <f t="shared" si="6"/>
        <v>3</v>
      </c>
      <c r="O37" t="str">
        <f t="shared" si="16"/>
        <v>copy .\dail_base3.dbr .\items\materia\class0027\Engineer35.dbr /y</v>
      </c>
      <c r="P37" t="str">
        <f t="shared" si="7"/>
        <v>echo relicBitmap,items/craftingparts/components/component_a52_bristlyfur_b.tex, &gt;&gt; .\items\materia\class0027\Engineer35.dbr</v>
      </c>
      <c r="Q37" t="str">
        <f t="shared" si="7"/>
        <v>echo itemCost,500000, &gt;&gt; .\items\materia\class0027\Engineer35.dbr</v>
      </c>
      <c r="R37" t="str">
        <f t="shared" si="7"/>
        <v>echo description,dailCompDescEngineer35, &gt;&gt; .\items\materia\class0027\Engineer35.dbr</v>
      </c>
      <c r="S37" t="str">
        <f t="shared" si="7"/>
        <v>echo itemText,dailCompTextEngineer35, &gt;&gt; .\items\materia\class0027\Engineer35.dbr</v>
      </c>
      <c r="T37" t="str">
        <f t="shared" si="7"/>
        <v>echo augmentSkillLevel1,3, &gt;&gt; .\items\materia\class0027\Engineer35.dbr</v>
      </c>
      <c r="U37" t="str">
        <f t="shared" si="7"/>
        <v>echo augmentSkillName1,records/skills/playerclassEngineer/shockshot3.dbr, &gt;&gt; .\items\materia\class0027\Engineer35.dbr</v>
      </c>
      <c r="V37" s="5" t="s">
        <v>36</v>
      </c>
      <c r="W37" t="str">
        <f t="shared" si="8"/>
        <v>echo lootName35,DAIL/items/materia/class0027/Engineer35.dbr, &gt;&gt; .\items\loottables\dailoneskill0027.dbr</v>
      </c>
      <c r="X37" t="str">
        <f t="shared" si="8"/>
        <v>echo lootWeight35,1, &gt;&gt; .\items\loottables\dailoneskill0027.dbr</v>
      </c>
      <c r="Y37" s="5" t="s">
        <v>36</v>
      </c>
      <c r="Z37" t="str">
        <f t="shared" si="9"/>
        <v xml:space="preserve"> dailCompDescEngineer35=^pEngineer's Gift of DAIL</v>
      </c>
      <c r="AA37" t="str">
        <f t="shared" si="17"/>
        <v>dailCompTextEngineer35=^oThis feels warm to the touch, almost familiar ^w(This component only fits into the Medal Slot)</v>
      </c>
      <c r="AB37" s="5" t="s">
        <v>36</v>
      </c>
      <c r="AH37">
        <f t="shared" si="19"/>
        <v>32</v>
      </c>
      <c r="AI37">
        <f t="shared" si="13"/>
        <v>35</v>
      </c>
      <c r="AJ37">
        <f t="shared" si="18"/>
        <v>3</v>
      </c>
    </row>
    <row r="38" spans="1:36" x14ac:dyDescent="0.25">
      <c r="A38" s="5" t="s">
        <v>39</v>
      </c>
      <c r="B38" s="5" t="s">
        <v>30</v>
      </c>
      <c r="C38" s="5" t="str">
        <f t="shared" si="0"/>
        <v>description,dailCompDescEngineer36,</v>
      </c>
      <c r="D38" s="5" t="str">
        <f t="shared" si="2"/>
        <v>itemText,dailCompTextEngineer36,</v>
      </c>
      <c r="E38" s="5" t="str">
        <f t="shared" si="14"/>
        <v>augmentSkillLevel1,3,</v>
      </c>
      <c r="F38" s="5" t="str">
        <f t="shared" si="15"/>
        <v>augmentSkillName1,records/skills/playerclassEngineer/p_unarmedgadgetry.dbr,</v>
      </c>
      <c r="G38" s="7">
        <f t="shared" si="10"/>
        <v>36</v>
      </c>
      <c r="H38" s="8" t="str">
        <f t="shared" si="11"/>
        <v>Engineer</v>
      </c>
      <c r="I38" s="3" t="s">
        <v>523</v>
      </c>
      <c r="J38" s="8" t="str">
        <f t="shared" si="21"/>
        <v>class0027</v>
      </c>
      <c r="K38" s="8" t="str">
        <f t="shared" si="21"/>
        <v>dailoneskill0027</v>
      </c>
      <c r="L38" s="5" t="str">
        <f t="shared" si="4"/>
        <v>lootName36,DAIL/items/materia/class0027/Engineer36.dbr,</v>
      </c>
      <c r="M38" s="5" t="str">
        <f t="shared" si="5"/>
        <v>lootWeight36,1,</v>
      </c>
      <c r="N38" t="str">
        <f t="shared" si="6"/>
        <v>3</v>
      </c>
      <c r="O38" t="str">
        <f t="shared" si="16"/>
        <v>copy .\dail_base3.dbr .\items\materia\class0027\Engineer36.dbr /y</v>
      </c>
      <c r="P38" t="str">
        <f t="shared" si="7"/>
        <v>echo relicBitmap,items/craftingparts/components/component_a52_bristlyfur_b.tex, &gt;&gt; .\items\materia\class0027\Engineer36.dbr</v>
      </c>
      <c r="Q38" t="str">
        <f t="shared" si="7"/>
        <v>echo itemCost,500000, &gt;&gt; .\items\materia\class0027\Engineer36.dbr</v>
      </c>
      <c r="R38" t="str">
        <f t="shared" si="7"/>
        <v>echo description,dailCompDescEngineer36, &gt;&gt; .\items\materia\class0027\Engineer36.dbr</v>
      </c>
      <c r="S38" t="str">
        <f t="shared" si="7"/>
        <v>echo itemText,dailCompTextEngineer36, &gt;&gt; .\items\materia\class0027\Engineer36.dbr</v>
      </c>
      <c r="T38" t="str">
        <f t="shared" si="7"/>
        <v>echo augmentSkillLevel1,3, &gt;&gt; .\items\materia\class0027\Engineer36.dbr</v>
      </c>
      <c r="U38" t="str">
        <f t="shared" si="7"/>
        <v>echo augmentSkillName1,records/skills/playerclassEngineer/p_unarmedgadgetry.dbr, &gt;&gt; .\items\materia\class0027\Engineer36.dbr</v>
      </c>
      <c r="V38" s="5" t="s">
        <v>36</v>
      </c>
      <c r="W38" t="str">
        <f t="shared" si="8"/>
        <v>echo lootName36,DAIL/items/materia/class0027/Engineer36.dbr, &gt;&gt; .\items\loottables\dailoneskill0027.dbr</v>
      </c>
      <c r="X38" t="str">
        <f t="shared" si="8"/>
        <v>echo lootWeight36,1, &gt;&gt; .\items\loottables\dailoneskill0027.dbr</v>
      </c>
      <c r="Y38" s="5" t="s">
        <v>36</v>
      </c>
      <c r="Z38" t="str">
        <f t="shared" si="9"/>
        <v xml:space="preserve"> dailCompDescEngineer36=^pEngineer's Gift of DAIL</v>
      </c>
      <c r="AA38" t="str">
        <f t="shared" si="17"/>
        <v>dailCompTextEngineer36=^oThis feels warm to the touch, almost familiar ^w(This component only fits into the Medal Slot)</v>
      </c>
      <c r="AB38" s="5" t="s">
        <v>36</v>
      </c>
      <c r="AH38">
        <f t="shared" si="19"/>
        <v>33</v>
      </c>
      <c r="AI38">
        <f t="shared" si="13"/>
        <v>42</v>
      </c>
      <c r="AJ38">
        <f t="shared" si="18"/>
        <v>3</v>
      </c>
    </row>
    <row r="39" spans="1:36" x14ac:dyDescent="0.25">
      <c r="A39" s="5" t="s">
        <v>39</v>
      </c>
      <c r="B39" s="5" t="s">
        <v>30</v>
      </c>
      <c r="C39" s="5" t="str">
        <f t="shared" si="0"/>
        <v>description,dailCompDescEngineer37,</v>
      </c>
      <c r="D39" s="5" t="str">
        <f t="shared" si="2"/>
        <v>itemText,dailCompTextEngineer37,</v>
      </c>
      <c r="E39" s="5" t="str">
        <f t="shared" si="14"/>
        <v>augmentSkillLevel1,3,</v>
      </c>
      <c r="F39" s="5" t="str">
        <f t="shared" si="15"/>
        <v>augmentSkillName1,records/skills/playerclassEngineer/summon_sentry.dbr,</v>
      </c>
      <c r="G39" s="7">
        <f t="shared" si="10"/>
        <v>37</v>
      </c>
      <c r="H39" s="8" t="str">
        <f t="shared" si="11"/>
        <v>Engineer</v>
      </c>
      <c r="I39" s="3" t="s">
        <v>524</v>
      </c>
      <c r="J39" s="8" t="str">
        <f t="shared" si="21"/>
        <v>class0027</v>
      </c>
      <c r="K39" s="8" t="str">
        <f t="shared" si="21"/>
        <v>dailoneskill0027</v>
      </c>
      <c r="L39" s="5" t="str">
        <f t="shared" si="4"/>
        <v>lootName37,DAIL/items/materia/class0027/Engineer37.dbr,</v>
      </c>
      <c r="M39" s="5" t="str">
        <f t="shared" si="5"/>
        <v>lootWeight37,1,</v>
      </c>
      <c r="N39" t="str">
        <f t="shared" si="6"/>
        <v>3</v>
      </c>
      <c r="O39" t="str">
        <f t="shared" si="16"/>
        <v>copy .\dail_base3.dbr .\items\materia\class0027\Engineer37.dbr /y</v>
      </c>
      <c r="P39" t="str">
        <f t="shared" si="7"/>
        <v>echo relicBitmap,items/craftingparts/components/component_a52_bristlyfur_b.tex, &gt;&gt; .\items\materia\class0027\Engineer37.dbr</v>
      </c>
      <c r="Q39" t="str">
        <f t="shared" si="7"/>
        <v>echo itemCost,500000, &gt;&gt; .\items\materia\class0027\Engineer37.dbr</v>
      </c>
      <c r="R39" t="str">
        <f t="shared" si="7"/>
        <v>echo description,dailCompDescEngineer37, &gt;&gt; .\items\materia\class0027\Engineer37.dbr</v>
      </c>
      <c r="S39" t="str">
        <f t="shared" si="7"/>
        <v>echo itemText,dailCompTextEngineer37, &gt;&gt; .\items\materia\class0027\Engineer37.dbr</v>
      </c>
      <c r="T39" t="str">
        <f t="shared" si="7"/>
        <v>echo augmentSkillLevel1,3, &gt;&gt; .\items\materia\class0027\Engineer37.dbr</v>
      </c>
      <c r="U39" t="str">
        <f t="shared" si="7"/>
        <v>echo augmentSkillName1,records/skills/playerclassEngineer/summon_sentry.dbr, &gt;&gt; .\items\materia\class0027\Engineer37.dbr</v>
      </c>
      <c r="V39" s="5" t="s">
        <v>36</v>
      </c>
      <c r="W39" t="str">
        <f t="shared" si="8"/>
        <v>echo lootName37,DAIL/items/materia/class0027/Engineer37.dbr, &gt;&gt; .\items\loottables\dailoneskill0027.dbr</v>
      </c>
      <c r="X39" t="str">
        <f t="shared" si="8"/>
        <v>echo lootWeight37,1, &gt;&gt; .\items\loottables\dailoneskill0027.dbr</v>
      </c>
      <c r="Y39" s="5" t="s">
        <v>36</v>
      </c>
      <c r="Z39" t="str">
        <f t="shared" si="9"/>
        <v xml:space="preserve"> dailCompDescEngineer37=^pEngineer's Gift of DAIL</v>
      </c>
      <c r="AA39" t="str">
        <f t="shared" si="17"/>
        <v>dailCompTextEngineer37=^oThis feels warm to the touch, almost familiar ^w(This component only fits into the Medal Slot)</v>
      </c>
      <c r="AB39" s="5" t="s">
        <v>36</v>
      </c>
      <c r="AH39">
        <f t="shared" si="19"/>
        <v>34</v>
      </c>
      <c r="AI39">
        <f t="shared" si="13"/>
        <v>38</v>
      </c>
      <c r="AJ39">
        <f t="shared" si="18"/>
        <v>3</v>
      </c>
    </row>
    <row r="40" spans="1:36" x14ac:dyDescent="0.25">
      <c r="A40" s="5" t="s">
        <v>39</v>
      </c>
      <c r="B40" s="5" t="s">
        <v>30</v>
      </c>
      <c r="C40" s="5" t="str">
        <f t="shared" si="0"/>
        <v>description,dailCompDescEngineer38,</v>
      </c>
      <c r="D40" s="5" t="str">
        <f t="shared" si="2"/>
        <v>itemText,dailCompTextEngineer38,</v>
      </c>
      <c r="E40" s="5" t="str">
        <f t="shared" si="14"/>
        <v>augmentSkillLevel1,3,</v>
      </c>
      <c r="F40" s="5" t="str">
        <f t="shared" si="15"/>
        <v>augmentSkillName1,records/skills/playerclassEngineer/p_sentrymastery.dbr,</v>
      </c>
      <c r="G40" s="7">
        <f t="shared" si="10"/>
        <v>38</v>
      </c>
      <c r="H40" s="8" t="str">
        <f t="shared" si="11"/>
        <v>Engineer</v>
      </c>
      <c r="I40" s="3" t="s">
        <v>525</v>
      </c>
      <c r="J40" s="8" t="str">
        <f t="shared" si="21"/>
        <v>class0027</v>
      </c>
      <c r="K40" s="8" t="str">
        <f t="shared" si="21"/>
        <v>dailoneskill0027</v>
      </c>
      <c r="L40" s="5" t="str">
        <f t="shared" si="4"/>
        <v>lootName38,DAIL/items/materia/class0027/Engineer38.dbr,</v>
      </c>
      <c r="M40" s="5" t="str">
        <f t="shared" si="5"/>
        <v>lootWeight38,1,</v>
      </c>
      <c r="N40" t="str">
        <f t="shared" si="6"/>
        <v>3</v>
      </c>
      <c r="O40" t="str">
        <f t="shared" si="16"/>
        <v>copy .\dail_base3.dbr .\items\materia\class0027\Engineer38.dbr /y</v>
      </c>
      <c r="P40" t="str">
        <f t="shared" si="7"/>
        <v>echo relicBitmap,items/craftingparts/components/component_a52_bristlyfur_b.tex, &gt;&gt; .\items\materia\class0027\Engineer38.dbr</v>
      </c>
      <c r="Q40" t="str">
        <f t="shared" si="7"/>
        <v>echo itemCost,500000, &gt;&gt; .\items\materia\class0027\Engineer38.dbr</v>
      </c>
      <c r="R40" t="str">
        <f t="shared" si="7"/>
        <v>echo description,dailCompDescEngineer38, &gt;&gt; .\items\materia\class0027\Engineer38.dbr</v>
      </c>
      <c r="S40" t="str">
        <f t="shared" si="7"/>
        <v>echo itemText,dailCompTextEngineer38, &gt;&gt; .\items\materia\class0027\Engineer38.dbr</v>
      </c>
      <c r="T40" t="str">
        <f t="shared" si="7"/>
        <v>echo augmentSkillLevel1,3, &gt;&gt; .\items\materia\class0027\Engineer38.dbr</v>
      </c>
      <c r="U40" t="str">
        <f t="shared" si="7"/>
        <v>echo augmentSkillName1,records/skills/playerclassEngineer/p_sentrymastery.dbr, &gt;&gt; .\items\materia\class0027\Engineer38.dbr</v>
      </c>
      <c r="V40" s="5" t="s">
        <v>36</v>
      </c>
      <c r="W40" t="str">
        <f t="shared" si="8"/>
        <v>echo lootName38,DAIL/items/materia/class0027/Engineer38.dbr, &gt;&gt; .\items\loottables\dailoneskill0027.dbr</v>
      </c>
      <c r="X40" t="str">
        <f t="shared" si="8"/>
        <v>echo lootWeight38,1, &gt;&gt; .\items\loottables\dailoneskill0027.dbr</v>
      </c>
      <c r="Y40" s="5" t="s">
        <v>36</v>
      </c>
      <c r="Z40" t="str">
        <f t="shared" si="9"/>
        <v xml:space="preserve"> dailCompDescEngineer38=^pEngineer's Gift of DAIL</v>
      </c>
      <c r="AA40" t="str">
        <f t="shared" si="17"/>
        <v>dailCompTextEngineer38=^oThis feels warm to the touch, almost familiar ^w(This component only fits into the Medal Slot)</v>
      </c>
      <c r="AB40" s="5" t="s">
        <v>36</v>
      </c>
      <c r="AH40">
        <f t="shared" si="19"/>
        <v>35</v>
      </c>
      <c r="AI40">
        <f t="shared" si="13"/>
        <v>40</v>
      </c>
      <c r="AJ40">
        <f t="shared" si="18"/>
        <v>3</v>
      </c>
    </row>
    <row r="41" spans="1:36" x14ac:dyDescent="0.25">
      <c r="A41" s="5" t="s">
        <v>39</v>
      </c>
      <c r="B41" s="5" t="s">
        <v>30</v>
      </c>
      <c r="C41" s="5" t="str">
        <f t="shared" si="0"/>
        <v>description,dailCompDescEngineer39,</v>
      </c>
      <c r="D41" s="5" t="str">
        <f t="shared" si="2"/>
        <v>itemText,dailCompTextEngineer39,</v>
      </c>
      <c r="E41" s="5" t="str">
        <f t="shared" si="14"/>
        <v>augmentSkillLevel1,3,</v>
      </c>
      <c r="F41" s="5" t="str">
        <f t="shared" si="15"/>
        <v>augmentSkillName1,records/skills/playerclassEngineer/imitatesentry.dbr,</v>
      </c>
      <c r="G41" s="7">
        <f t="shared" si="10"/>
        <v>39</v>
      </c>
      <c r="H41" s="8" t="str">
        <f t="shared" si="11"/>
        <v>Engineer</v>
      </c>
      <c r="I41" s="3" t="s">
        <v>526</v>
      </c>
      <c r="J41" s="8" t="str">
        <f t="shared" si="21"/>
        <v>class0027</v>
      </c>
      <c r="K41" s="8" t="str">
        <f t="shared" si="21"/>
        <v>dailoneskill0027</v>
      </c>
      <c r="L41" s="5" t="str">
        <f t="shared" si="4"/>
        <v>lootName39,DAIL/items/materia/class0027/Engineer39.dbr,</v>
      </c>
      <c r="M41" s="5" t="str">
        <f t="shared" si="5"/>
        <v>lootWeight39,1,</v>
      </c>
      <c r="N41" t="str">
        <f t="shared" si="6"/>
        <v>3</v>
      </c>
      <c r="O41" t="str">
        <f t="shared" si="16"/>
        <v>copy .\dail_base3.dbr .\items\materia\class0027\Engineer39.dbr /y</v>
      </c>
      <c r="P41" t="str">
        <f t="shared" si="7"/>
        <v>echo relicBitmap,items/craftingparts/components/component_a52_bristlyfur_b.tex, &gt;&gt; .\items\materia\class0027\Engineer39.dbr</v>
      </c>
      <c r="Q41" t="str">
        <f t="shared" si="7"/>
        <v>echo itemCost,500000, &gt;&gt; .\items\materia\class0027\Engineer39.dbr</v>
      </c>
      <c r="R41" t="str">
        <f t="shared" si="7"/>
        <v>echo description,dailCompDescEngineer39, &gt;&gt; .\items\materia\class0027\Engineer39.dbr</v>
      </c>
      <c r="S41" t="str">
        <f t="shared" si="7"/>
        <v>echo itemText,dailCompTextEngineer39, &gt;&gt; .\items\materia\class0027\Engineer39.dbr</v>
      </c>
      <c r="T41" t="str">
        <f t="shared" si="7"/>
        <v>echo augmentSkillLevel1,3, &gt;&gt; .\items\materia\class0027\Engineer39.dbr</v>
      </c>
      <c r="U41" t="str">
        <f t="shared" si="7"/>
        <v>echo augmentSkillName1,records/skills/playerclassEngineer/imitatesentry.dbr, &gt;&gt; .\items\materia\class0027\Engineer39.dbr</v>
      </c>
      <c r="V41" s="5" t="s">
        <v>36</v>
      </c>
      <c r="W41" t="str">
        <f t="shared" si="8"/>
        <v>echo lootName39,DAIL/items/materia/class0027/Engineer39.dbr, &gt;&gt; .\items\loottables\dailoneskill0027.dbr</v>
      </c>
      <c r="X41" t="str">
        <f t="shared" si="8"/>
        <v>echo lootWeight39,1, &gt;&gt; .\items\loottables\dailoneskill0027.dbr</v>
      </c>
      <c r="Y41" s="5" t="s">
        <v>36</v>
      </c>
      <c r="Z41" t="str">
        <f t="shared" si="9"/>
        <v xml:space="preserve"> dailCompDescEngineer39=^pEngineer's Gift of DAIL</v>
      </c>
      <c r="AA41" t="str">
        <f t="shared" si="17"/>
        <v>dailCompTextEngineer39=^oThis feels warm to the touch, almost familiar ^w(This component only fits into the Medal Slot)</v>
      </c>
      <c r="AB41" s="5" t="s">
        <v>36</v>
      </c>
      <c r="AH41">
        <f t="shared" si="19"/>
        <v>36</v>
      </c>
      <c r="AI41">
        <f t="shared" si="13"/>
        <v>38</v>
      </c>
      <c r="AJ41">
        <f t="shared" si="18"/>
        <v>3</v>
      </c>
    </row>
    <row r="42" spans="1:36" x14ac:dyDescent="0.25">
      <c r="A42" s="5" t="s">
        <v>39</v>
      </c>
      <c r="B42" s="5" t="s">
        <v>30</v>
      </c>
      <c r="C42" s="5" t="str">
        <f t="shared" si="0"/>
        <v>description,dailCompDescEngineer40,</v>
      </c>
      <c r="D42" s="5" t="str">
        <f t="shared" si="2"/>
        <v>itemText,dailCompTextEngineer40,</v>
      </c>
      <c r="E42" s="5" t="str">
        <f t="shared" si="14"/>
        <v>augmentSkillLevel1,3,</v>
      </c>
      <c r="F42" s="5" t="str">
        <f t="shared" si="15"/>
        <v>augmentSkillName1,records/skills/playerclassEngineer/cannonshot1.dbr,</v>
      </c>
      <c r="G42" s="7">
        <f t="shared" si="10"/>
        <v>40</v>
      </c>
      <c r="H42" s="8" t="str">
        <f t="shared" si="11"/>
        <v>Engineer</v>
      </c>
      <c r="I42" s="3" t="s">
        <v>527</v>
      </c>
      <c r="J42" s="8" t="str">
        <f t="shared" si="21"/>
        <v>class0027</v>
      </c>
      <c r="K42" s="8" t="str">
        <f t="shared" si="21"/>
        <v>dailoneskill0027</v>
      </c>
      <c r="L42" s="5" t="str">
        <f t="shared" si="4"/>
        <v>lootName40,DAIL/items/materia/class0027/Engineer40.dbr,</v>
      </c>
      <c r="M42" s="5" t="str">
        <f t="shared" si="5"/>
        <v>lootWeight40,1,</v>
      </c>
      <c r="N42" t="str">
        <f t="shared" si="6"/>
        <v>3</v>
      </c>
      <c r="O42" t="str">
        <f t="shared" si="16"/>
        <v>copy .\dail_base3.dbr .\items\materia\class0027\Engineer40.dbr /y</v>
      </c>
      <c r="P42" t="str">
        <f t="shared" si="7"/>
        <v>echo relicBitmap,items/craftingparts/components/component_a52_bristlyfur_b.tex, &gt;&gt; .\items\materia\class0027\Engineer40.dbr</v>
      </c>
      <c r="Q42" t="str">
        <f t="shared" si="7"/>
        <v>echo itemCost,500000, &gt;&gt; .\items\materia\class0027\Engineer40.dbr</v>
      </c>
      <c r="R42" t="str">
        <f t="shared" si="7"/>
        <v>echo description,dailCompDescEngineer40, &gt;&gt; .\items\materia\class0027\Engineer40.dbr</v>
      </c>
      <c r="S42" t="str">
        <f t="shared" si="7"/>
        <v>echo itemText,dailCompTextEngineer40, &gt;&gt; .\items\materia\class0027\Engineer40.dbr</v>
      </c>
      <c r="T42" t="str">
        <f t="shared" si="7"/>
        <v>echo augmentSkillLevel1,3, &gt;&gt; .\items\materia\class0027\Engineer40.dbr</v>
      </c>
      <c r="U42" t="str">
        <f t="shared" si="7"/>
        <v>echo augmentSkillName1,records/skills/playerclassEngineer/cannonshot1.dbr, &gt;&gt; .\items\materia\class0027\Engineer40.dbr</v>
      </c>
      <c r="V42" s="5" t="s">
        <v>36</v>
      </c>
      <c r="W42" t="str">
        <f t="shared" si="8"/>
        <v>echo lootName40,DAIL/items/materia/class0027/Engineer40.dbr, &gt;&gt; .\items\loottables\dailoneskill0027.dbr</v>
      </c>
      <c r="X42" t="str">
        <f t="shared" si="8"/>
        <v>echo lootWeight40,1, &gt;&gt; .\items\loottables\dailoneskill0027.dbr</v>
      </c>
      <c r="Y42" s="5" t="s">
        <v>36</v>
      </c>
      <c r="Z42" t="str">
        <f t="shared" si="9"/>
        <v xml:space="preserve"> dailCompDescEngineer40=^pEngineer's Gift of DAIL</v>
      </c>
      <c r="AA42" t="str">
        <f t="shared" si="17"/>
        <v>dailCompTextEngineer40=^oThis feels warm to the touch, almost familiar ^w(This component only fits into the Medal Slot)</v>
      </c>
      <c r="AB42" s="5" t="s">
        <v>36</v>
      </c>
      <c r="AH42">
        <f t="shared" si="19"/>
        <v>37</v>
      </c>
      <c r="AI42">
        <f t="shared" si="13"/>
        <v>36</v>
      </c>
      <c r="AJ42">
        <f t="shared" si="18"/>
        <v>3</v>
      </c>
    </row>
    <row r="43" spans="1:36" x14ac:dyDescent="0.25">
      <c r="A43" s="5" t="s">
        <v>39</v>
      </c>
      <c r="B43" s="5" t="s">
        <v>30</v>
      </c>
      <c r="C43" s="5" t="str">
        <f t="shared" si="0"/>
        <v>description,dailCompDescEngineer41,</v>
      </c>
      <c r="D43" s="5" t="str">
        <f t="shared" si="2"/>
        <v>itemText,dailCompTextEngineer41,</v>
      </c>
      <c r="E43" s="5" t="str">
        <f t="shared" si="14"/>
        <v>augmentSkillLevel1,3,</v>
      </c>
      <c r="F43" s="5" t="str">
        <f t="shared" si="15"/>
        <v>augmentSkillName1,records/skills/playerclassEngineer/cannonshot1b.dbr,</v>
      </c>
      <c r="G43" s="7">
        <f t="shared" si="10"/>
        <v>41</v>
      </c>
      <c r="H43" s="8" t="str">
        <f t="shared" si="11"/>
        <v>Engineer</v>
      </c>
      <c r="I43" s="3" t="s">
        <v>528</v>
      </c>
      <c r="J43" s="8" t="str">
        <f t="shared" si="21"/>
        <v>class0027</v>
      </c>
      <c r="K43" s="8" t="str">
        <f t="shared" si="21"/>
        <v>dailoneskill0027</v>
      </c>
      <c r="L43" s="5" t="str">
        <f t="shared" si="4"/>
        <v>lootName41,DAIL/items/materia/class0027/Engineer41.dbr,</v>
      </c>
      <c r="M43" s="5" t="str">
        <f t="shared" si="5"/>
        <v>lootWeight41,1,</v>
      </c>
      <c r="N43" t="str">
        <f t="shared" si="6"/>
        <v>3</v>
      </c>
      <c r="O43" t="str">
        <f t="shared" si="16"/>
        <v>copy .\dail_base3.dbr .\items\materia\class0027\Engineer41.dbr /y</v>
      </c>
      <c r="P43" t="str">
        <f t="shared" si="7"/>
        <v>echo relicBitmap,items/craftingparts/components/component_a52_bristlyfur_b.tex, &gt;&gt; .\items\materia\class0027\Engineer41.dbr</v>
      </c>
      <c r="Q43" t="str">
        <f t="shared" si="7"/>
        <v>echo itemCost,500000, &gt;&gt; .\items\materia\class0027\Engineer41.dbr</v>
      </c>
      <c r="R43" t="str">
        <f t="shared" si="7"/>
        <v>echo description,dailCompDescEngineer41, &gt;&gt; .\items\materia\class0027\Engineer41.dbr</v>
      </c>
      <c r="S43" t="str">
        <f t="shared" si="7"/>
        <v>echo itemText,dailCompTextEngineer41, &gt;&gt; .\items\materia\class0027\Engineer41.dbr</v>
      </c>
      <c r="T43" t="str">
        <f t="shared" si="7"/>
        <v>echo augmentSkillLevel1,3, &gt;&gt; .\items\materia\class0027\Engineer41.dbr</v>
      </c>
      <c r="U43" t="str">
        <f t="shared" si="7"/>
        <v>echo augmentSkillName1,records/skills/playerclassEngineer/cannonshot1b.dbr, &gt;&gt; .\items\materia\class0027\Engineer41.dbr</v>
      </c>
      <c r="V43" s="5" t="s">
        <v>36</v>
      </c>
      <c r="W43" t="str">
        <f t="shared" si="8"/>
        <v>echo lootName41,DAIL/items/materia/class0027/Engineer41.dbr, &gt;&gt; .\items\loottables\dailoneskill0027.dbr</v>
      </c>
      <c r="X43" t="str">
        <f t="shared" si="8"/>
        <v>echo lootWeight41,1, &gt;&gt; .\items\loottables\dailoneskill0027.dbr</v>
      </c>
      <c r="Y43" s="5" t="s">
        <v>36</v>
      </c>
      <c r="Z43" t="str">
        <f t="shared" si="9"/>
        <v xml:space="preserve"> dailCompDescEngineer41=^pEngineer's Gift of DAIL</v>
      </c>
      <c r="AA43" t="str">
        <f t="shared" si="17"/>
        <v>dailCompTextEngineer41=^oThis feels warm to the touch, almost familiar ^w(This component only fits into the Medal Slot)</v>
      </c>
      <c r="AB43" s="5" t="s">
        <v>36</v>
      </c>
      <c r="AH43">
        <f t="shared" si="19"/>
        <v>38</v>
      </c>
      <c r="AI43">
        <f t="shared" si="13"/>
        <v>37</v>
      </c>
      <c r="AJ43">
        <f t="shared" si="18"/>
        <v>3</v>
      </c>
    </row>
    <row r="44" spans="1:36" x14ac:dyDescent="0.25">
      <c r="A44" s="5" t="s">
        <v>39</v>
      </c>
      <c r="B44" s="5" t="s">
        <v>30</v>
      </c>
      <c r="C44" s="5" t="str">
        <f t="shared" si="0"/>
        <v>description,dailCompDescEngineer42,</v>
      </c>
      <c r="D44" s="5" t="str">
        <f t="shared" si="2"/>
        <v>itemText,dailCompTextEngineer42,</v>
      </c>
      <c r="E44" s="5" t="str">
        <f t="shared" si="14"/>
        <v>augmentSkillLevel1,3,</v>
      </c>
      <c r="F44" s="5" t="str">
        <f t="shared" si="15"/>
        <v>augmentSkillName1,records/skills/playerclassEngineer/cannonshot2.dbr,</v>
      </c>
      <c r="G44" s="7">
        <f t="shared" si="10"/>
        <v>42</v>
      </c>
      <c r="H44" s="8" t="str">
        <f t="shared" si="11"/>
        <v>Engineer</v>
      </c>
      <c r="I44" s="3" t="s">
        <v>529</v>
      </c>
      <c r="J44" s="8" t="str">
        <f t="shared" si="21"/>
        <v>class0027</v>
      </c>
      <c r="K44" s="8" t="str">
        <f t="shared" si="21"/>
        <v>dailoneskill0027</v>
      </c>
      <c r="L44" s="5" t="str">
        <f t="shared" si="4"/>
        <v>lootName42,DAIL/items/materia/class0027/Engineer42.dbr,</v>
      </c>
      <c r="M44" s="5" t="str">
        <f t="shared" si="5"/>
        <v>lootWeight42,1,</v>
      </c>
      <c r="N44" t="str">
        <f t="shared" si="6"/>
        <v>3</v>
      </c>
      <c r="O44" t="str">
        <f t="shared" si="16"/>
        <v>copy .\dail_base3.dbr .\items\materia\class0027\Engineer42.dbr /y</v>
      </c>
      <c r="P44" t="str">
        <f t="shared" si="7"/>
        <v>echo relicBitmap,items/craftingparts/components/component_a52_bristlyfur_b.tex, &gt;&gt; .\items\materia\class0027\Engineer42.dbr</v>
      </c>
      <c r="Q44" t="str">
        <f t="shared" si="7"/>
        <v>echo itemCost,500000, &gt;&gt; .\items\materia\class0027\Engineer42.dbr</v>
      </c>
      <c r="R44" t="str">
        <f t="shared" si="7"/>
        <v>echo description,dailCompDescEngineer42, &gt;&gt; .\items\materia\class0027\Engineer42.dbr</v>
      </c>
      <c r="S44" t="str">
        <f t="shared" si="7"/>
        <v>echo itemText,dailCompTextEngineer42, &gt;&gt; .\items\materia\class0027\Engineer42.dbr</v>
      </c>
      <c r="T44" t="str">
        <f t="shared" si="7"/>
        <v>echo augmentSkillLevel1,3, &gt;&gt; .\items\materia\class0027\Engineer42.dbr</v>
      </c>
      <c r="U44" t="str">
        <f t="shared" si="7"/>
        <v>echo augmentSkillName1,records/skills/playerclassEngineer/cannonshot2.dbr, &gt;&gt; .\items\materia\class0027\Engineer42.dbr</v>
      </c>
      <c r="V44" s="5" t="s">
        <v>36</v>
      </c>
      <c r="W44" t="str">
        <f t="shared" si="8"/>
        <v>echo lootName42,DAIL/items/materia/class0027/Engineer42.dbr, &gt;&gt; .\items\loottables\dailoneskill0027.dbr</v>
      </c>
      <c r="X44" t="str">
        <f t="shared" si="8"/>
        <v>echo lootWeight42,1, &gt;&gt; .\items\loottables\dailoneskill0027.dbr</v>
      </c>
      <c r="Y44" s="5" t="s">
        <v>36</v>
      </c>
      <c r="Z44" t="str">
        <f t="shared" si="9"/>
        <v xml:space="preserve"> dailCompDescEngineer42=^pEngineer's Gift of DAIL</v>
      </c>
      <c r="AA44" t="str">
        <f t="shared" si="17"/>
        <v>dailCompTextEngineer42=^oThis feels warm to the touch, almost familiar ^w(This component only fits into the Medal Slot)</v>
      </c>
      <c r="AB44" s="5" t="s">
        <v>36</v>
      </c>
      <c r="AH44">
        <f t="shared" si="19"/>
        <v>39</v>
      </c>
      <c r="AI44">
        <f t="shared" si="13"/>
        <v>36</v>
      </c>
      <c r="AJ44">
        <f t="shared" si="18"/>
        <v>3</v>
      </c>
    </row>
    <row r="45" spans="1:36" x14ac:dyDescent="0.25">
      <c r="A45" s="5" t="s">
        <v>39</v>
      </c>
      <c r="B45" s="5" t="s">
        <v>30</v>
      </c>
      <c r="C45" s="5" t="str">
        <f t="shared" si="0"/>
        <v>description,dailCompDescEngineer43,</v>
      </c>
      <c r="D45" s="5" t="str">
        <f t="shared" si="2"/>
        <v>itemText,dailCompTextEngineer43,</v>
      </c>
      <c r="E45" s="5" t="str">
        <f t="shared" si="14"/>
        <v>augmentSkillLevel1,3,</v>
      </c>
      <c r="F45" s="5" t="str">
        <f t="shared" si="15"/>
        <v>augmentSkillName1,records/skills/playerclassEngineer/groundpound1.dbr,</v>
      </c>
      <c r="G45" s="7">
        <f t="shared" si="10"/>
        <v>43</v>
      </c>
      <c r="H45" s="8" t="str">
        <f t="shared" si="11"/>
        <v>Engineer</v>
      </c>
      <c r="I45" s="3" t="s">
        <v>530</v>
      </c>
      <c r="J45" s="8" t="str">
        <f t="shared" si="21"/>
        <v>class0027</v>
      </c>
      <c r="K45" s="8" t="str">
        <f t="shared" si="21"/>
        <v>dailoneskill0027</v>
      </c>
      <c r="L45" s="5" t="str">
        <f t="shared" si="4"/>
        <v>lootName43,DAIL/items/materia/class0027/Engineer43.dbr,</v>
      </c>
      <c r="M45" s="5" t="str">
        <f t="shared" si="5"/>
        <v>lootWeight43,1,</v>
      </c>
      <c r="N45" t="str">
        <f t="shared" si="6"/>
        <v>3</v>
      </c>
      <c r="O45" t="str">
        <f t="shared" si="16"/>
        <v>copy .\dail_base3.dbr .\items\materia\class0027\Engineer43.dbr /y</v>
      </c>
      <c r="P45" t="str">
        <f t="shared" si="7"/>
        <v>echo relicBitmap,items/craftingparts/components/component_a52_bristlyfur_b.tex, &gt;&gt; .\items\materia\class0027\Engineer43.dbr</v>
      </c>
      <c r="Q45" t="str">
        <f t="shared" si="7"/>
        <v>echo itemCost,500000, &gt;&gt; .\items\materia\class0027\Engineer43.dbr</v>
      </c>
      <c r="R45" t="str">
        <f t="shared" si="7"/>
        <v>echo description,dailCompDescEngineer43, &gt;&gt; .\items\materia\class0027\Engineer43.dbr</v>
      </c>
      <c r="S45" t="str">
        <f t="shared" si="7"/>
        <v>echo itemText,dailCompTextEngineer43, &gt;&gt; .\items\materia\class0027\Engineer43.dbr</v>
      </c>
      <c r="T45" t="str">
        <f t="shared" si="7"/>
        <v>echo augmentSkillLevel1,3, &gt;&gt; .\items\materia\class0027\Engineer43.dbr</v>
      </c>
      <c r="U45" t="str">
        <f t="shared" si="7"/>
        <v>echo augmentSkillName1,records/skills/playerclassEngineer/groundpound1.dbr, &gt;&gt; .\items\materia\class0027\Engineer43.dbr</v>
      </c>
      <c r="V45" s="5" t="s">
        <v>36</v>
      </c>
      <c r="W45" t="str">
        <f t="shared" si="8"/>
        <v>echo lootName43,DAIL/items/materia/class0027/Engineer43.dbr, &gt;&gt; .\items\loottables\dailoneskill0027.dbr</v>
      </c>
      <c r="X45" t="str">
        <f t="shared" si="8"/>
        <v>echo lootWeight43,1, &gt;&gt; .\items\loottables\dailoneskill0027.dbr</v>
      </c>
      <c r="Y45" s="5" t="s">
        <v>36</v>
      </c>
      <c r="Z45" t="str">
        <f t="shared" si="9"/>
        <v xml:space="preserve"> dailCompDescEngineer43=^pEngineer's Gift of DAIL</v>
      </c>
      <c r="AA45" t="str">
        <f t="shared" si="17"/>
        <v>dailCompTextEngineer43=^oThis feels warm to the touch, almost familiar ^w(This component only fits into the Medal Slot)</v>
      </c>
      <c r="AB45" s="5" t="s">
        <v>36</v>
      </c>
      <c r="AH45">
        <f t="shared" si="19"/>
        <v>40</v>
      </c>
      <c r="AI45">
        <f t="shared" si="13"/>
        <v>37</v>
      </c>
      <c r="AJ45">
        <f t="shared" si="18"/>
        <v>3</v>
      </c>
    </row>
    <row r="46" spans="1:36" x14ac:dyDescent="0.25">
      <c r="A46" s="5" t="s">
        <v>39</v>
      </c>
      <c r="B46" s="5" t="s">
        <v>30</v>
      </c>
      <c r="C46" s="5" t="str">
        <f t="shared" si="0"/>
        <v>description,dailCompDescEngineer44,</v>
      </c>
      <c r="D46" s="5" t="str">
        <f t="shared" si="2"/>
        <v>itemText,dailCompTextEngineer44,</v>
      </c>
      <c r="E46" s="5" t="str">
        <f t="shared" si="14"/>
        <v>augmentSkillLevel1,3,</v>
      </c>
      <c r="F46" s="5" t="str">
        <f t="shared" si="15"/>
        <v>augmentSkillName1,records/skills/playerclassEngineer/groundpound2.dbr,</v>
      </c>
      <c r="G46" s="7">
        <f t="shared" si="10"/>
        <v>44</v>
      </c>
      <c r="H46" s="8" t="str">
        <f t="shared" si="11"/>
        <v>Engineer</v>
      </c>
      <c r="I46" s="3" t="s">
        <v>531</v>
      </c>
      <c r="J46" s="8" t="str">
        <f t="shared" si="21"/>
        <v>class0027</v>
      </c>
      <c r="K46" s="8" t="str">
        <f t="shared" si="21"/>
        <v>dailoneskill0027</v>
      </c>
      <c r="L46" s="5" t="str">
        <f t="shared" si="4"/>
        <v>lootName44,DAIL/items/materia/class0027/Engineer44.dbr,</v>
      </c>
      <c r="M46" s="5" t="str">
        <f t="shared" si="5"/>
        <v>lootWeight44,1,</v>
      </c>
      <c r="N46" t="str">
        <f t="shared" si="6"/>
        <v>3</v>
      </c>
      <c r="O46" t="str">
        <f t="shared" si="16"/>
        <v>copy .\dail_base3.dbr .\items\materia\class0027\Engineer44.dbr /y</v>
      </c>
      <c r="P46" t="str">
        <f t="shared" si="7"/>
        <v>echo relicBitmap,items/craftingparts/components/component_a52_bristlyfur_b.tex, &gt;&gt; .\items\materia\class0027\Engineer44.dbr</v>
      </c>
      <c r="Q46" t="str">
        <f t="shared" si="7"/>
        <v>echo itemCost,500000, &gt;&gt; .\items\materia\class0027\Engineer44.dbr</v>
      </c>
      <c r="R46" t="str">
        <f t="shared" si="7"/>
        <v>echo description,dailCompDescEngineer44, &gt;&gt; .\items\materia\class0027\Engineer44.dbr</v>
      </c>
      <c r="S46" t="str">
        <f t="shared" si="7"/>
        <v>echo itemText,dailCompTextEngineer44, &gt;&gt; .\items\materia\class0027\Engineer44.dbr</v>
      </c>
      <c r="T46" t="str">
        <f t="shared" si="7"/>
        <v>echo augmentSkillLevel1,3, &gt;&gt; .\items\materia\class0027\Engineer44.dbr</v>
      </c>
      <c r="U46" t="str">
        <f t="shared" si="7"/>
        <v>echo augmentSkillName1,records/skills/playerclassEngineer/groundpound2.dbr, &gt;&gt; .\items\materia\class0027\Engineer44.dbr</v>
      </c>
      <c r="V46" s="5" t="s">
        <v>36</v>
      </c>
      <c r="W46" t="str">
        <f t="shared" si="8"/>
        <v>echo lootName44,DAIL/items/materia/class0027/Engineer44.dbr, &gt;&gt; .\items\loottables\dailoneskill0027.dbr</v>
      </c>
      <c r="X46" t="str">
        <f t="shared" si="8"/>
        <v>echo lootWeight44,1, &gt;&gt; .\items\loottables\dailoneskill0027.dbr</v>
      </c>
      <c r="Y46" s="5" t="s">
        <v>36</v>
      </c>
      <c r="Z46" t="str">
        <f t="shared" si="9"/>
        <v xml:space="preserve"> dailCompDescEngineer44=^pEngineer's Gift of DAIL</v>
      </c>
      <c r="AA46" t="str">
        <f t="shared" si="17"/>
        <v>dailCompTextEngineer44=^oThis feels warm to the touch, almost familiar ^w(This component only fits into the Medal Slot)</v>
      </c>
      <c r="AB46" s="5" t="s">
        <v>36</v>
      </c>
      <c r="AH46">
        <f t="shared" si="19"/>
        <v>41</v>
      </c>
      <c r="AI46">
        <f t="shared" si="13"/>
        <v>37</v>
      </c>
      <c r="AJ46">
        <f t="shared" si="18"/>
        <v>3</v>
      </c>
    </row>
    <row r="47" spans="1:36" x14ac:dyDescent="0.25">
      <c r="A47" s="5" t="s">
        <v>39</v>
      </c>
      <c r="B47" s="5" t="s">
        <v>30</v>
      </c>
      <c r="C47" s="5" t="str">
        <f t="shared" si="0"/>
        <v>description,dailCompDescEngineer45,</v>
      </c>
      <c r="D47" s="5" t="str">
        <f t="shared" si="2"/>
        <v>itemText,dailCompTextEngineer45,</v>
      </c>
      <c r="E47" s="5" t="str">
        <f t="shared" si="14"/>
        <v>augmentSkillLevel1,3,</v>
      </c>
      <c r="F47" s="5" t="str">
        <f t="shared" si="15"/>
        <v>augmentSkillName1,records/skills/playerclassEngineer/powerpalms1.dbr,</v>
      </c>
      <c r="G47" s="7">
        <f t="shared" si="10"/>
        <v>45</v>
      </c>
      <c r="H47" s="8" t="str">
        <f t="shared" si="11"/>
        <v>Engineer</v>
      </c>
      <c r="I47" s="3" t="s">
        <v>532</v>
      </c>
      <c r="J47" s="8" t="str">
        <f t="shared" si="21"/>
        <v>class0027</v>
      </c>
      <c r="K47" s="8" t="str">
        <f t="shared" si="21"/>
        <v>dailoneskill0027</v>
      </c>
      <c r="L47" s="5" t="str">
        <f t="shared" si="4"/>
        <v>lootName45,DAIL/items/materia/class0027/Engineer45.dbr,</v>
      </c>
      <c r="M47" s="5" t="str">
        <f t="shared" si="5"/>
        <v>lootWeight45,1,</v>
      </c>
      <c r="N47" t="str">
        <f t="shared" si="6"/>
        <v>3</v>
      </c>
      <c r="O47" t="str">
        <f t="shared" si="16"/>
        <v>copy .\dail_base3.dbr .\items\materia\class0027\Engineer45.dbr /y</v>
      </c>
      <c r="P47" t="str">
        <f t="shared" si="7"/>
        <v>echo relicBitmap,items/craftingparts/components/component_a52_bristlyfur_b.tex, &gt;&gt; .\items\materia\class0027\Engineer45.dbr</v>
      </c>
      <c r="Q47" t="str">
        <f t="shared" si="7"/>
        <v>echo itemCost,500000, &gt;&gt; .\items\materia\class0027\Engineer45.dbr</v>
      </c>
      <c r="R47" t="str">
        <f t="shared" si="7"/>
        <v>echo description,dailCompDescEngineer45, &gt;&gt; .\items\materia\class0027\Engineer45.dbr</v>
      </c>
      <c r="S47" t="str">
        <f t="shared" si="7"/>
        <v>echo itemText,dailCompTextEngineer45, &gt;&gt; .\items\materia\class0027\Engineer45.dbr</v>
      </c>
      <c r="T47" t="str">
        <f t="shared" si="7"/>
        <v>echo augmentSkillLevel1,3, &gt;&gt; .\items\materia\class0027\Engineer45.dbr</v>
      </c>
      <c r="U47" t="str">
        <f t="shared" si="7"/>
        <v>echo augmentSkillName1,records/skills/playerclassEngineer/powerpalms1.dbr, &gt;&gt; .\items\materia\class0027\Engineer45.dbr</v>
      </c>
      <c r="V47" s="5" t="s">
        <v>36</v>
      </c>
      <c r="W47" t="str">
        <f t="shared" si="8"/>
        <v>echo lootName45,DAIL/items/materia/class0027/Engineer45.dbr, &gt;&gt; .\items\loottables\dailoneskill0027.dbr</v>
      </c>
      <c r="X47" t="str">
        <f t="shared" si="8"/>
        <v>echo lootWeight45,1, &gt;&gt; .\items\loottables\dailoneskill0027.dbr</v>
      </c>
      <c r="Y47" s="5" t="s">
        <v>36</v>
      </c>
      <c r="Z47" t="str">
        <f t="shared" si="9"/>
        <v xml:space="preserve"> dailCompDescEngineer45=^pEngineer's Gift of DAIL</v>
      </c>
      <c r="AA47" t="str">
        <f t="shared" si="17"/>
        <v>dailCompTextEngineer45=^oThis feels warm to the touch, almost familiar ^w(This component only fits into the Medal Slot)</v>
      </c>
      <c r="AB47" s="5" t="s">
        <v>36</v>
      </c>
      <c r="AH47">
        <f t="shared" si="19"/>
        <v>42</v>
      </c>
      <c r="AI47">
        <f t="shared" si="13"/>
        <v>36</v>
      </c>
      <c r="AJ47">
        <f t="shared" si="18"/>
        <v>3</v>
      </c>
    </row>
    <row r="48" spans="1:36" x14ac:dyDescent="0.25">
      <c r="A48" s="5" t="s">
        <v>39</v>
      </c>
      <c r="B48" s="5" t="s">
        <v>30</v>
      </c>
      <c r="C48" s="5" t="str">
        <f t="shared" si="0"/>
        <v>description,dailCompDescEngineer46,</v>
      </c>
      <c r="D48" s="5" t="str">
        <f t="shared" si="2"/>
        <v>itemText,dailCompTextEngineer46,</v>
      </c>
      <c r="E48" s="5" t="str">
        <f t="shared" si="14"/>
        <v>augmentSkillLevel1,3,</v>
      </c>
      <c r="F48" s="5" t="str">
        <f t="shared" si="15"/>
        <v>augmentSkillName1,records/skills/playerclassEngineer/summon_safespacebot.dbr,</v>
      </c>
      <c r="G48" s="7">
        <f t="shared" si="10"/>
        <v>46</v>
      </c>
      <c r="H48" s="8" t="str">
        <f t="shared" si="11"/>
        <v>Engineer</v>
      </c>
      <c r="I48" s="3" t="s">
        <v>533</v>
      </c>
      <c r="J48" s="8" t="str">
        <f t="shared" si="21"/>
        <v>class0027</v>
      </c>
      <c r="K48" s="8" t="str">
        <f t="shared" si="21"/>
        <v>dailoneskill0027</v>
      </c>
      <c r="L48" s="5" t="str">
        <f t="shared" si="4"/>
        <v>lootName46,DAIL/items/materia/class0027/Engineer46.dbr,</v>
      </c>
      <c r="M48" s="5" t="str">
        <f t="shared" si="5"/>
        <v>lootWeight46,1,</v>
      </c>
      <c r="N48" t="str">
        <f t="shared" si="6"/>
        <v>3</v>
      </c>
      <c r="O48" t="str">
        <f t="shared" si="16"/>
        <v>copy .\dail_base3.dbr .\items\materia\class0027\Engineer46.dbr /y</v>
      </c>
      <c r="P48" t="str">
        <f t="shared" si="7"/>
        <v>echo relicBitmap,items/craftingparts/components/component_a52_bristlyfur_b.tex, &gt;&gt; .\items\materia\class0027\Engineer46.dbr</v>
      </c>
      <c r="Q48" t="str">
        <f t="shared" si="7"/>
        <v>echo itemCost,500000, &gt;&gt; .\items\materia\class0027\Engineer46.dbr</v>
      </c>
      <c r="R48" t="str">
        <f t="shared" si="7"/>
        <v>echo description,dailCompDescEngineer46, &gt;&gt; .\items\materia\class0027\Engineer46.dbr</v>
      </c>
      <c r="S48" t="str">
        <f t="shared" si="7"/>
        <v>echo itemText,dailCompTextEngineer46, &gt;&gt; .\items\materia\class0027\Engineer46.dbr</v>
      </c>
      <c r="T48" t="str">
        <f t="shared" si="7"/>
        <v>echo augmentSkillLevel1,3, &gt;&gt; .\items\materia\class0027\Engineer46.dbr</v>
      </c>
      <c r="U48" t="str">
        <f t="shared" si="7"/>
        <v>echo augmentSkillName1,records/skills/playerclassEngineer/summon_safespacebot.dbr, &gt;&gt; .\items\materia\class0027\Engineer46.dbr</v>
      </c>
      <c r="V48" s="5" t="s">
        <v>36</v>
      </c>
      <c r="W48" t="str">
        <f t="shared" si="8"/>
        <v>echo lootName46,DAIL/items/materia/class0027/Engineer46.dbr, &gt;&gt; .\items\loottables\dailoneskill0027.dbr</v>
      </c>
      <c r="X48" t="str">
        <f t="shared" si="8"/>
        <v>echo lootWeight46,1, &gt;&gt; .\items\loottables\dailoneskill0027.dbr</v>
      </c>
      <c r="Y48" s="5" t="s">
        <v>36</v>
      </c>
      <c r="Z48" t="str">
        <f t="shared" si="9"/>
        <v xml:space="preserve"> dailCompDescEngineer46=^pEngineer's Gift of DAIL</v>
      </c>
      <c r="AA48" t="str">
        <f t="shared" si="17"/>
        <v>dailCompTextEngineer46=^oThis feels warm to the touch, almost familiar ^w(This component only fits into the Medal Slot)</v>
      </c>
      <c r="AB48" s="5" t="s">
        <v>36</v>
      </c>
      <c r="AH48">
        <f t="shared" si="19"/>
        <v>43</v>
      </c>
      <c r="AI48">
        <f t="shared" si="13"/>
        <v>44</v>
      </c>
      <c r="AJ48">
        <f t="shared" si="18"/>
        <v>3</v>
      </c>
    </row>
    <row r="49" spans="1:36" x14ac:dyDescent="0.25">
      <c r="A49" s="5" t="s">
        <v>39</v>
      </c>
      <c r="B49" s="5" t="s">
        <v>30</v>
      </c>
      <c r="C49" s="5" t="str">
        <f t="shared" si="0"/>
        <v>description,dailCompDescEngineer47,</v>
      </c>
      <c r="D49" s="5" t="str">
        <f t="shared" si="2"/>
        <v>itemText,dailCompTextEngineer47,</v>
      </c>
      <c r="E49" s="5" t="str">
        <f t="shared" si="14"/>
        <v>augmentSkillLevel1,3,</v>
      </c>
      <c r="F49" s="5" t="str">
        <f t="shared" si="15"/>
        <v>augmentSkillName1,records/skills/playerclassEngineer/p_safespacemastery.dbr,</v>
      </c>
      <c r="G49" s="7">
        <f t="shared" si="10"/>
        <v>47</v>
      </c>
      <c r="H49" s="8" t="str">
        <f t="shared" si="11"/>
        <v>Engineer</v>
      </c>
      <c r="I49" s="3" t="s">
        <v>534</v>
      </c>
      <c r="J49" s="8" t="str">
        <f t="shared" si="21"/>
        <v>class0027</v>
      </c>
      <c r="K49" s="8" t="str">
        <f t="shared" si="21"/>
        <v>dailoneskill0027</v>
      </c>
      <c r="L49" s="5" t="str">
        <f t="shared" si="4"/>
        <v>lootName47,DAIL/items/materia/class0027/Engineer47.dbr,</v>
      </c>
      <c r="M49" s="5" t="str">
        <f t="shared" si="5"/>
        <v>lootWeight47,1,</v>
      </c>
      <c r="N49" t="str">
        <f t="shared" si="6"/>
        <v>3</v>
      </c>
      <c r="O49" t="str">
        <f t="shared" si="16"/>
        <v>copy .\dail_base3.dbr .\items\materia\class0027\Engineer47.dbr /y</v>
      </c>
      <c r="P49" t="str">
        <f t="shared" si="7"/>
        <v>echo relicBitmap,items/craftingparts/components/component_a52_bristlyfur_b.tex, &gt;&gt; .\items\materia\class0027\Engineer47.dbr</v>
      </c>
      <c r="Q49" t="str">
        <f t="shared" si="7"/>
        <v>echo itemCost,500000, &gt;&gt; .\items\materia\class0027\Engineer47.dbr</v>
      </c>
      <c r="R49" t="str">
        <f t="shared" si="7"/>
        <v>echo description,dailCompDescEngineer47, &gt;&gt; .\items\materia\class0027\Engineer47.dbr</v>
      </c>
      <c r="S49" t="str">
        <f t="shared" si="7"/>
        <v>echo itemText,dailCompTextEngineer47, &gt;&gt; .\items\materia\class0027\Engineer47.dbr</v>
      </c>
      <c r="T49" t="str">
        <f t="shared" si="7"/>
        <v>echo augmentSkillLevel1,3, &gt;&gt; .\items\materia\class0027\Engineer47.dbr</v>
      </c>
      <c r="U49" t="str">
        <f t="shared" si="7"/>
        <v>echo augmentSkillName1,records/skills/playerclassEngineer/p_safespacemastery.dbr, &gt;&gt; .\items\materia\class0027\Engineer47.dbr</v>
      </c>
      <c r="V49" s="5" t="s">
        <v>36</v>
      </c>
      <c r="W49" t="str">
        <f t="shared" si="8"/>
        <v>echo lootName47,DAIL/items/materia/class0027/Engineer47.dbr, &gt;&gt; .\items\loottables\dailoneskill0027.dbr</v>
      </c>
      <c r="X49" t="str">
        <f t="shared" si="8"/>
        <v>echo lootWeight47,1, &gt;&gt; .\items\loottables\dailoneskill0027.dbr</v>
      </c>
      <c r="Y49" s="5" t="s">
        <v>36</v>
      </c>
      <c r="Z49" t="str">
        <f t="shared" si="9"/>
        <v xml:space="preserve"> dailCompDescEngineer47=^pEngineer's Gift of DAIL</v>
      </c>
      <c r="AA49" t="str">
        <f t="shared" si="17"/>
        <v>dailCompTextEngineer47=^oThis feels warm to the touch, almost familiar ^w(This component only fits into the Medal Slot)</v>
      </c>
      <c r="AB49" s="5" t="s">
        <v>36</v>
      </c>
      <c r="AH49">
        <f t="shared" si="19"/>
        <v>44</v>
      </c>
      <c r="AI49">
        <f t="shared" si="13"/>
        <v>43</v>
      </c>
      <c r="AJ49">
        <f t="shared" si="18"/>
        <v>3</v>
      </c>
    </row>
    <row r="50" spans="1:36" x14ac:dyDescent="0.25">
      <c r="A50" s="5" t="s">
        <v>39</v>
      </c>
      <c r="B50" s="5" t="s">
        <v>30</v>
      </c>
      <c r="C50" s="5" t="str">
        <f t="shared" si="0"/>
        <v>description,dailCompDescEngineer48,</v>
      </c>
      <c r="D50" s="5" t="str">
        <f t="shared" si="2"/>
        <v>itemText,dailCompTextEngineer48,</v>
      </c>
      <c r="E50" s="5" t="str">
        <f t="shared" si="14"/>
        <v>augmentSkillLevel1,3,</v>
      </c>
      <c r="F50" s="5" t="str">
        <f t="shared" si="15"/>
        <v>augmentSkillName1,records/skills/playerclassEngineer/imitatesafespace.dbr,</v>
      </c>
      <c r="G50" s="7">
        <f t="shared" si="10"/>
        <v>48</v>
      </c>
      <c r="H50" s="8" t="str">
        <f t="shared" si="11"/>
        <v>Engineer</v>
      </c>
      <c r="I50" s="3" t="s">
        <v>535</v>
      </c>
      <c r="J50" s="8" t="str">
        <f t="shared" si="21"/>
        <v>class0027</v>
      </c>
      <c r="K50" s="8" t="str">
        <f t="shared" si="21"/>
        <v>dailoneskill0027</v>
      </c>
      <c r="L50" s="5" t="str">
        <f t="shared" si="4"/>
        <v>lootName48,DAIL/items/materia/class0027/Engineer48.dbr,</v>
      </c>
      <c r="M50" s="5" t="str">
        <f t="shared" si="5"/>
        <v>lootWeight48,1,</v>
      </c>
      <c r="N50" t="str">
        <f t="shared" si="6"/>
        <v>3</v>
      </c>
      <c r="O50" t="str">
        <f t="shared" si="16"/>
        <v>copy .\dail_base3.dbr .\items\materia\class0027\Engineer48.dbr /y</v>
      </c>
      <c r="P50" t="str">
        <f t="shared" si="7"/>
        <v>echo relicBitmap,items/craftingparts/components/component_a52_bristlyfur_b.tex, &gt;&gt; .\items\materia\class0027\Engineer48.dbr</v>
      </c>
      <c r="Q50" t="str">
        <f t="shared" si="7"/>
        <v>echo itemCost,500000, &gt;&gt; .\items\materia\class0027\Engineer48.dbr</v>
      </c>
      <c r="R50" t="str">
        <f t="shared" si="7"/>
        <v>echo description,dailCompDescEngineer48, &gt;&gt; .\items\materia\class0027\Engineer48.dbr</v>
      </c>
      <c r="S50" t="str">
        <f t="shared" si="7"/>
        <v>echo itemText,dailCompTextEngineer48, &gt;&gt; .\items\materia\class0027\Engineer48.dbr</v>
      </c>
      <c r="T50" t="str">
        <f t="shared" si="7"/>
        <v>echo augmentSkillLevel1,3, &gt;&gt; .\items\materia\class0027\Engineer48.dbr</v>
      </c>
      <c r="U50" t="str">
        <f t="shared" si="7"/>
        <v>echo augmentSkillName1,records/skills/playerclassEngineer/imitatesafespace.dbr, &gt;&gt; .\items\materia\class0027\Engineer48.dbr</v>
      </c>
      <c r="V50" s="5" t="s">
        <v>36</v>
      </c>
      <c r="W50" t="str">
        <f t="shared" si="8"/>
        <v>echo lootName48,DAIL/items/materia/class0027/Engineer48.dbr, &gt;&gt; .\items\loottables\dailoneskill0027.dbr</v>
      </c>
      <c r="X50" t="str">
        <f t="shared" si="8"/>
        <v>echo lootWeight48,1, &gt;&gt; .\items\loottables\dailoneskill0027.dbr</v>
      </c>
      <c r="Y50" s="5" t="s">
        <v>36</v>
      </c>
      <c r="Z50" t="str">
        <f t="shared" si="9"/>
        <v xml:space="preserve"> dailCompDescEngineer48=^pEngineer's Gift of DAIL</v>
      </c>
      <c r="AA50" t="str">
        <f t="shared" si="17"/>
        <v>dailCompTextEngineer48=^oThis feels warm to the touch, almost familiar ^w(This component only fits into the Medal Slot)</v>
      </c>
      <c r="AB50" s="5" t="s">
        <v>36</v>
      </c>
      <c r="AH50">
        <f t="shared" si="19"/>
        <v>45</v>
      </c>
      <c r="AI50">
        <f t="shared" si="13"/>
        <v>41</v>
      </c>
      <c r="AJ50">
        <f t="shared" si="18"/>
        <v>3</v>
      </c>
    </row>
    <row r="51" spans="1:36" x14ac:dyDescent="0.25">
      <c r="A51" s="5" t="s">
        <v>39</v>
      </c>
      <c r="B51" s="5" t="s">
        <v>30</v>
      </c>
      <c r="C51" s="5" t="str">
        <f t="shared" si="0"/>
        <v>description,dailCompDescEngineer49,</v>
      </c>
      <c r="D51" s="5" t="str">
        <f t="shared" si="2"/>
        <v>itemText,dailCompTextEngineer49,</v>
      </c>
      <c r="E51" s="5" t="str">
        <f t="shared" si="14"/>
        <v>augmentSkillLevel1,3,</v>
      </c>
      <c r="F51" s="5" t="str">
        <f t="shared" si="15"/>
        <v>augmentSkillName1,records/skills/playerclassEngineer/intensefocus1.dbr,</v>
      </c>
      <c r="G51" s="7">
        <f t="shared" si="10"/>
        <v>49</v>
      </c>
      <c r="H51" s="8" t="str">
        <f t="shared" si="11"/>
        <v>Engineer</v>
      </c>
      <c r="I51" s="3" t="s">
        <v>536</v>
      </c>
      <c r="J51" s="8" t="str">
        <f t="shared" si="21"/>
        <v>class0027</v>
      </c>
      <c r="K51" s="8" t="str">
        <f t="shared" si="21"/>
        <v>dailoneskill0027</v>
      </c>
      <c r="L51" s="5" t="str">
        <f t="shared" si="4"/>
        <v>lootName49,DAIL/items/materia/class0027/Engineer49.dbr,</v>
      </c>
      <c r="M51" s="5" t="str">
        <f t="shared" si="5"/>
        <v>lootWeight49,1,</v>
      </c>
      <c r="N51" t="str">
        <f t="shared" si="6"/>
        <v>3</v>
      </c>
      <c r="O51" t="str">
        <f t="shared" si="16"/>
        <v>copy .\dail_base3.dbr .\items\materia\class0027\Engineer49.dbr /y</v>
      </c>
      <c r="P51" t="str">
        <f t="shared" si="7"/>
        <v>echo relicBitmap,items/craftingparts/components/component_a52_bristlyfur_b.tex, &gt;&gt; .\items\materia\class0027\Engineer49.dbr</v>
      </c>
      <c r="Q51" t="str">
        <f t="shared" si="7"/>
        <v>echo itemCost,500000, &gt;&gt; .\items\materia\class0027\Engineer49.dbr</v>
      </c>
      <c r="R51" t="str">
        <f t="shared" si="7"/>
        <v>echo description,dailCompDescEngineer49, &gt;&gt; .\items\materia\class0027\Engineer49.dbr</v>
      </c>
      <c r="S51" t="str">
        <f t="shared" si="7"/>
        <v>echo itemText,dailCompTextEngineer49, &gt;&gt; .\items\materia\class0027\Engineer49.dbr</v>
      </c>
      <c r="T51" t="str">
        <f t="shared" si="7"/>
        <v>echo augmentSkillLevel1,3, &gt;&gt; .\items\materia\class0027\Engineer49.dbr</v>
      </c>
      <c r="U51" t="str">
        <f t="shared" si="7"/>
        <v>echo augmentSkillName1,records/skills/playerclassEngineer/intensefocus1.dbr, &gt;&gt; .\items\materia\class0027\Engineer49.dbr</v>
      </c>
      <c r="V51" s="5" t="s">
        <v>36</v>
      </c>
      <c r="W51" t="str">
        <f t="shared" si="8"/>
        <v>echo lootName49,DAIL/items/materia/class0027/Engineer49.dbr, &gt;&gt; .\items\loottables\dailoneskill0027.dbr</v>
      </c>
      <c r="X51" t="str">
        <f t="shared" si="8"/>
        <v>echo lootWeight49,1, &gt;&gt; .\items\loottables\dailoneskill0027.dbr</v>
      </c>
      <c r="Y51" s="5" t="s">
        <v>36</v>
      </c>
      <c r="Z51" t="str">
        <f t="shared" si="9"/>
        <v xml:space="preserve"> dailCompDescEngineer49=^pEngineer's Gift of DAIL</v>
      </c>
      <c r="AA51" t="str">
        <f t="shared" si="17"/>
        <v>dailCompTextEngineer49=^oThis feels warm to the touch, almost familiar ^w(This component only fits into the Medal Slot)</v>
      </c>
      <c r="AB51" s="5" t="s">
        <v>36</v>
      </c>
      <c r="AH51">
        <f t="shared" si="19"/>
        <v>46</v>
      </c>
      <c r="AI51">
        <f t="shared" si="13"/>
        <v>38</v>
      </c>
      <c r="AJ51">
        <f t="shared" si="18"/>
        <v>3</v>
      </c>
    </row>
    <row r="52" spans="1:36" x14ac:dyDescent="0.25">
      <c r="A52" s="5" t="s">
        <v>39</v>
      </c>
      <c r="B52" s="5" t="s">
        <v>30</v>
      </c>
      <c r="C52" s="5" t="str">
        <f t="shared" si="0"/>
        <v>description,dailCompDescEngineer50,</v>
      </c>
      <c r="D52" s="5" t="str">
        <f t="shared" si="2"/>
        <v>itemText,dailCompTextEngineer50,</v>
      </c>
      <c r="E52" s="5" t="str">
        <f t="shared" si="14"/>
        <v>augmentSkillLevel1,3,</v>
      </c>
      <c r="F52" s="5" t="str">
        <f t="shared" si="15"/>
        <v>augmentSkillName1,records/skills/playerclassEngineer/p_prevailingpunches.dbr,</v>
      </c>
      <c r="G52" s="7">
        <f t="shared" si="10"/>
        <v>50</v>
      </c>
      <c r="H52" s="8" t="str">
        <f t="shared" si="11"/>
        <v>Engineer</v>
      </c>
      <c r="I52" s="3" t="s">
        <v>537</v>
      </c>
      <c r="J52" s="8" t="str">
        <f t="shared" si="21"/>
        <v>class0027</v>
      </c>
      <c r="K52" s="8" t="str">
        <f t="shared" si="21"/>
        <v>dailoneskill0027</v>
      </c>
      <c r="L52" s="5" t="str">
        <f t="shared" si="4"/>
        <v>lootName50,DAIL/items/materia/class0027/Engineer50.dbr,</v>
      </c>
      <c r="M52" s="5" t="str">
        <f t="shared" si="5"/>
        <v>lootWeight50,1,</v>
      </c>
      <c r="N52" t="str">
        <f t="shared" si="6"/>
        <v>3</v>
      </c>
      <c r="O52" t="str">
        <f t="shared" si="16"/>
        <v>copy .\dail_base3.dbr .\items\materia\class0027\Engineer50.dbr /y</v>
      </c>
      <c r="P52" t="str">
        <f t="shared" si="7"/>
        <v>echo relicBitmap,items/craftingparts/components/component_a52_bristlyfur_b.tex, &gt;&gt; .\items\materia\class0027\Engineer50.dbr</v>
      </c>
      <c r="Q52" t="str">
        <f t="shared" si="7"/>
        <v>echo itemCost,500000, &gt;&gt; .\items\materia\class0027\Engineer50.dbr</v>
      </c>
      <c r="R52" t="str">
        <f t="shared" si="7"/>
        <v>echo description,dailCompDescEngineer50, &gt;&gt; .\items\materia\class0027\Engineer50.dbr</v>
      </c>
      <c r="S52" t="str">
        <f t="shared" si="7"/>
        <v>echo itemText,dailCompTextEngineer50, &gt;&gt; .\items\materia\class0027\Engineer50.dbr</v>
      </c>
      <c r="T52" t="str">
        <f t="shared" si="7"/>
        <v>echo augmentSkillLevel1,3, &gt;&gt; .\items\materia\class0027\Engineer50.dbr</v>
      </c>
      <c r="U52" t="str">
        <f t="shared" si="7"/>
        <v>echo augmentSkillName1,records/skills/playerclassEngineer/p_prevailingpunches.dbr, &gt;&gt; .\items\materia\class0027\Engineer50.dbr</v>
      </c>
      <c r="V52" s="5" t="s">
        <v>36</v>
      </c>
      <c r="W52" t="str">
        <f t="shared" si="8"/>
        <v>echo lootName50,DAIL/items/materia/class0027/Engineer50.dbr, &gt;&gt; .\items\loottables\dailoneskill0027.dbr</v>
      </c>
      <c r="X52" t="str">
        <f t="shared" si="8"/>
        <v>echo lootWeight50,1, &gt;&gt; .\items\loottables\dailoneskill0027.dbr</v>
      </c>
      <c r="Y52" s="5" t="s">
        <v>36</v>
      </c>
      <c r="Z52" t="str">
        <f t="shared" si="9"/>
        <v xml:space="preserve"> dailCompDescEngineer50=^pEngineer's Gift of DAIL</v>
      </c>
      <c r="AA52" t="str">
        <f t="shared" si="17"/>
        <v>dailCompTextEngineer50=^oThis feels warm to the touch, almost familiar ^w(This component only fits into the Medal Slot)</v>
      </c>
      <c r="AB52" s="5" t="s">
        <v>36</v>
      </c>
      <c r="AH52">
        <f t="shared" si="19"/>
        <v>47</v>
      </c>
      <c r="AI52">
        <f t="shared" si="13"/>
        <v>44</v>
      </c>
      <c r="AJ52">
        <f t="shared" si="18"/>
        <v>3</v>
      </c>
    </row>
    <row r="53" spans="1:36" x14ac:dyDescent="0.25">
      <c r="A53" s="5" t="s">
        <v>39</v>
      </c>
      <c r="B53" s="5" t="s">
        <v>30</v>
      </c>
      <c r="C53" s="5" t="str">
        <f t="shared" si="0"/>
        <v>description,dailCompDescEngineer51,</v>
      </c>
      <c r="D53" s="5" t="str">
        <f t="shared" si="2"/>
        <v>itemText,dailCompTextEngineer51,</v>
      </c>
      <c r="E53" s="5" t="str">
        <f t="shared" si="14"/>
        <v>augmentSkillLevel1,3,</v>
      </c>
      <c r="F53" s="5" t="str">
        <f t="shared" si="15"/>
        <v>augmentSkillName1,records/skills/playerclassEngineer/p_dirtydispatch.dbr,</v>
      </c>
      <c r="G53" s="7">
        <f t="shared" si="10"/>
        <v>51</v>
      </c>
      <c r="H53" s="8" t="str">
        <f t="shared" si="11"/>
        <v>Engineer</v>
      </c>
      <c r="I53" s="3" t="s">
        <v>538</v>
      </c>
      <c r="J53" s="8" t="str">
        <f t="shared" ref="J53:K68" si="22">J52</f>
        <v>class0027</v>
      </c>
      <c r="K53" s="8" t="str">
        <f t="shared" si="22"/>
        <v>dailoneskill0027</v>
      </c>
      <c r="L53" s="5" t="str">
        <f t="shared" si="4"/>
        <v>lootName51,DAIL/items/materia/class0027/Engineer51.dbr,</v>
      </c>
      <c r="M53" s="5" t="str">
        <f t="shared" si="5"/>
        <v>lootWeight51,1,</v>
      </c>
      <c r="N53" t="str">
        <f t="shared" si="6"/>
        <v>3</v>
      </c>
      <c r="O53" t="str">
        <f t="shared" si="16"/>
        <v>copy .\dail_base3.dbr .\items\materia\class0027\Engineer51.dbr /y</v>
      </c>
      <c r="P53" t="str">
        <f t="shared" si="7"/>
        <v>echo relicBitmap,items/craftingparts/components/component_a52_bristlyfur_b.tex, &gt;&gt; .\items\materia\class0027\Engineer51.dbr</v>
      </c>
      <c r="Q53" t="str">
        <f t="shared" si="7"/>
        <v>echo itemCost,500000, &gt;&gt; .\items\materia\class0027\Engineer51.dbr</v>
      </c>
      <c r="R53" t="str">
        <f t="shared" si="7"/>
        <v>echo description,dailCompDescEngineer51, &gt;&gt; .\items\materia\class0027\Engineer51.dbr</v>
      </c>
      <c r="S53" t="str">
        <f t="shared" si="7"/>
        <v>echo itemText,dailCompTextEngineer51, &gt;&gt; .\items\materia\class0027\Engineer51.dbr</v>
      </c>
      <c r="T53" t="str">
        <f t="shared" si="7"/>
        <v>echo augmentSkillLevel1,3, &gt;&gt; .\items\materia\class0027\Engineer51.dbr</v>
      </c>
      <c r="U53" t="str">
        <f t="shared" si="7"/>
        <v>echo augmentSkillName1,records/skills/playerclassEngineer/p_dirtydispatch.dbr, &gt;&gt; .\items\materia\class0027\Engineer51.dbr</v>
      </c>
      <c r="V53" s="5" t="s">
        <v>36</v>
      </c>
      <c r="W53" t="str">
        <f t="shared" si="8"/>
        <v>echo lootName51,DAIL/items/materia/class0027/Engineer51.dbr, &gt;&gt; .\items\loottables\dailoneskill0027.dbr</v>
      </c>
      <c r="X53" t="str">
        <f t="shared" si="8"/>
        <v>echo lootWeight51,1, &gt;&gt; .\items\loottables\dailoneskill0027.dbr</v>
      </c>
      <c r="Y53" s="5" t="s">
        <v>36</v>
      </c>
      <c r="Z53" t="str">
        <f t="shared" si="9"/>
        <v xml:space="preserve"> dailCompDescEngineer51=^pEngineer's Gift of DAIL</v>
      </c>
      <c r="AA53" t="str">
        <f t="shared" si="17"/>
        <v>dailCompTextEngineer51=^oThis feels warm to the touch, almost familiar ^w(This component only fits into the Medal Slot)</v>
      </c>
      <c r="AB53" s="5" t="s">
        <v>36</v>
      </c>
      <c r="AH53">
        <f t="shared" si="19"/>
        <v>48</v>
      </c>
      <c r="AI53">
        <f t="shared" si="13"/>
        <v>40</v>
      </c>
      <c r="AJ53">
        <f t="shared" si="18"/>
        <v>3</v>
      </c>
    </row>
    <row r="54" spans="1:36" x14ac:dyDescent="0.25">
      <c r="A54" s="5" t="s">
        <v>39</v>
      </c>
      <c r="B54" s="5" t="s">
        <v>30</v>
      </c>
      <c r="C54" s="5" t="str">
        <f t="shared" si="0"/>
        <v>description,dailCompDescEngineer52,</v>
      </c>
      <c r="D54" s="5" t="str">
        <f t="shared" si="2"/>
        <v>itemText,dailCompTextEngineer52,</v>
      </c>
      <c r="E54" s="5" t="str">
        <f t="shared" si="14"/>
        <v>augmentSkillLevel1,3,</v>
      </c>
      <c r="F54" s="5" t="str">
        <f t="shared" si="15"/>
        <v>augmentSkillName1,records/skills/playerclassEngineer/summon_flamer.dbr,</v>
      </c>
      <c r="G54" s="7">
        <f t="shared" si="10"/>
        <v>52</v>
      </c>
      <c r="H54" s="8" t="str">
        <f t="shared" si="11"/>
        <v>Engineer</v>
      </c>
      <c r="I54" s="3" t="s">
        <v>539</v>
      </c>
      <c r="J54" s="8" t="str">
        <f t="shared" si="22"/>
        <v>class0027</v>
      </c>
      <c r="K54" s="8" t="str">
        <f t="shared" si="22"/>
        <v>dailoneskill0027</v>
      </c>
      <c r="L54" s="5" t="str">
        <f t="shared" si="4"/>
        <v>lootName52,DAIL/items/materia/class0027/Engineer52.dbr,</v>
      </c>
      <c r="M54" s="5" t="str">
        <f t="shared" si="5"/>
        <v>lootWeight52,1,</v>
      </c>
      <c r="N54" t="str">
        <f t="shared" si="6"/>
        <v>3</v>
      </c>
      <c r="O54" t="str">
        <f t="shared" si="16"/>
        <v>copy .\dail_base3.dbr .\items\materia\class0027\Engineer52.dbr /y</v>
      </c>
      <c r="P54" t="str">
        <f t="shared" si="7"/>
        <v>echo relicBitmap,items/craftingparts/components/component_a52_bristlyfur_b.tex, &gt;&gt; .\items\materia\class0027\Engineer52.dbr</v>
      </c>
      <c r="Q54" t="str">
        <f t="shared" si="7"/>
        <v>echo itemCost,500000, &gt;&gt; .\items\materia\class0027\Engineer52.dbr</v>
      </c>
      <c r="R54" t="str">
        <f t="shared" si="7"/>
        <v>echo description,dailCompDescEngineer52, &gt;&gt; .\items\materia\class0027\Engineer52.dbr</v>
      </c>
      <c r="S54" t="str">
        <f t="shared" si="7"/>
        <v>echo itemText,dailCompTextEngineer52, &gt;&gt; .\items\materia\class0027\Engineer52.dbr</v>
      </c>
      <c r="T54" t="str">
        <f t="shared" si="7"/>
        <v>echo augmentSkillLevel1,3, &gt;&gt; .\items\materia\class0027\Engineer52.dbr</v>
      </c>
      <c r="U54" t="str">
        <f t="shared" si="7"/>
        <v>echo augmentSkillName1,records/skills/playerclassEngineer/summon_flamer.dbr, &gt;&gt; .\items\materia\class0027\Engineer52.dbr</v>
      </c>
      <c r="V54" s="5" t="s">
        <v>36</v>
      </c>
      <c r="W54" t="str">
        <f t="shared" si="8"/>
        <v>echo lootName52,DAIL/items/materia/class0027/Engineer52.dbr, &gt;&gt; .\items\loottables\dailoneskill0027.dbr</v>
      </c>
      <c r="X54" t="str">
        <f t="shared" si="8"/>
        <v>echo lootWeight52,1, &gt;&gt; .\items\loottables\dailoneskill0027.dbr</v>
      </c>
      <c r="Y54" s="5" t="s">
        <v>36</v>
      </c>
      <c r="Z54" t="str">
        <f t="shared" si="9"/>
        <v xml:space="preserve"> dailCompDescEngineer52=^pEngineer's Gift of DAIL</v>
      </c>
      <c r="AA54" t="str">
        <f t="shared" si="17"/>
        <v>dailCompTextEngineer52=^oThis feels warm to the touch, almost familiar ^w(This component only fits into the Medal Slot)</v>
      </c>
      <c r="AB54" s="5" t="s">
        <v>36</v>
      </c>
      <c r="AH54">
        <f t="shared" si="19"/>
        <v>49</v>
      </c>
      <c r="AI54">
        <f t="shared" si="13"/>
        <v>38</v>
      </c>
      <c r="AJ54">
        <f t="shared" si="18"/>
        <v>3</v>
      </c>
    </row>
    <row r="55" spans="1:36" x14ac:dyDescent="0.25">
      <c r="A55" s="5" t="s">
        <v>39</v>
      </c>
      <c r="B55" s="5" t="s">
        <v>30</v>
      </c>
      <c r="C55" s="5" t="str">
        <f t="shared" si="0"/>
        <v>description,dailCompDescEngineer53,</v>
      </c>
      <c r="D55" s="5" t="str">
        <f t="shared" si="2"/>
        <v>itemText,dailCompTextEngineer53,</v>
      </c>
      <c r="E55" s="5" t="str">
        <f t="shared" si="14"/>
        <v>augmentSkillLevel1,3,</v>
      </c>
      <c r="F55" s="5" t="str">
        <f t="shared" si="15"/>
        <v>augmentSkillName1,records/skills/playerclassEngineer/p_flamermastery.dbr,</v>
      </c>
      <c r="G55" s="7">
        <f t="shared" si="10"/>
        <v>53</v>
      </c>
      <c r="H55" s="8" t="str">
        <f t="shared" si="11"/>
        <v>Engineer</v>
      </c>
      <c r="I55" s="3" t="s">
        <v>540</v>
      </c>
      <c r="J55" s="8" t="str">
        <f t="shared" si="22"/>
        <v>class0027</v>
      </c>
      <c r="K55" s="8" t="str">
        <f t="shared" si="22"/>
        <v>dailoneskill0027</v>
      </c>
      <c r="L55" s="5" t="str">
        <f t="shared" si="4"/>
        <v>lootName53,DAIL/items/materia/class0027/Engineer53.dbr,</v>
      </c>
      <c r="M55" s="5" t="str">
        <f t="shared" si="5"/>
        <v>lootWeight53,1,</v>
      </c>
      <c r="N55" t="str">
        <f t="shared" si="6"/>
        <v>3</v>
      </c>
      <c r="O55" t="str">
        <f t="shared" si="16"/>
        <v>copy .\dail_base3.dbr .\items\materia\class0027\Engineer53.dbr /y</v>
      </c>
      <c r="P55" t="str">
        <f t="shared" si="7"/>
        <v>echo relicBitmap,items/craftingparts/components/component_a52_bristlyfur_b.tex, &gt;&gt; .\items\materia\class0027\Engineer53.dbr</v>
      </c>
      <c r="Q55" t="str">
        <f t="shared" si="7"/>
        <v>echo itemCost,500000, &gt;&gt; .\items\materia\class0027\Engineer53.dbr</v>
      </c>
      <c r="R55" t="str">
        <f t="shared" si="7"/>
        <v>echo description,dailCompDescEngineer53, &gt;&gt; .\items\materia\class0027\Engineer53.dbr</v>
      </c>
      <c r="S55" t="str">
        <f t="shared" si="7"/>
        <v>echo itemText,dailCompTextEngineer53, &gt;&gt; .\items\materia\class0027\Engineer53.dbr</v>
      </c>
      <c r="T55" t="str">
        <f t="shared" si="7"/>
        <v>echo augmentSkillLevel1,3, &gt;&gt; .\items\materia\class0027\Engineer53.dbr</v>
      </c>
      <c r="U55" t="str">
        <f t="shared" si="7"/>
        <v>echo augmentSkillName1,records/skills/playerclassEngineer/p_flamermastery.dbr, &gt;&gt; .\items\materia\class0027\Engineer53.dbr</v>
      </c>
      <c r="V55" s="5" t="s">
        <v>36</v>
      </c>
      <c r="W55" t="str">
        <f t="shared" si="8"/>
        <v>echo lootName53,DAIL/items/materia/class0027/Engineer53.dbr, &gt;&gt; .\items\loottables\dailoneskill0027.dbr</v>
      </c>
      <c r="X55" t="str">
        <f t="shared" si="8"/>
        <v>echo lootWeight53,1, &gt;&gt; .\items\loottables\dailoneskill0027.dbr</v>
      </c>
      <c r="Y55" s="5" t="s">
        <v>36</v>
      </c>
      <c r="Z55" t="str">
        <f t="shared" si="9"/>
        <v xml:space="preserve"> dailCompDescEngineer53=^pEngineer's Gift of DAIL</v>
      </c>
      <c r="AA55" t="str">
        <f t="shared" si="17"/>
        <v>dailCompTextEngineer53=^oThis feels warm to the touch, almost familiar ^w(This component only fits into the Medal Slot)</v>
      </c>
      <c r="AB55" s="5" t="s">
        <v>36</v>
      </c>
      <c r="AH55">
        <f t="shared" si="19"/>
        <v>50</v>
      </c>
      <c r="AI55">
        <f t="shared" si="13"/>
        <v>40</v>
      </c>
      <c r="AJ55">
        <f t="shared" si="18"/>
        <v>3</v>
      </c>
    </row>
    <row r="56" spans="1:36" x14ac:dyDescent="0.25">
      <c r="A56" s="5" t="s">
        <v>39</v>
      </c>
      <c r="B56" s="5" t="s">
        <v>30</v>
      </c>
      <c r="C56" s="5" t="str">
        <f t="shared" si="0"/>
        <v>description,dailCompDescEngineer54,</v>
      </c>
      <c r="D56" s="5" t="str">
        <f t="shared" si="2"/>
        <v>itemText,dailCompTextEngineer54,</v>
      </c>
      <c r="E56" s="5" t="str">
        <f t="shared" si="14"/>
        <v>augmentSkillLevel1,3,</v>
      </c>
      <c r="F56" s="5" t="str">
        <f t="shared" si="15"/>
        <v>augmentSkillName1,records/skills/playerclassEngineer/imitateflamer.dbr,</v>
      </c>
      <c r="G56" s="7">
        <f t="shared" si="10"/>
        <v>54</v>
      </c>
      <c r="H56" s="8" t="str">
        <f t="shared" si="11"/>
        <v>Engineer</v>
      </c>
      <c r="I56" s="3" t="s">
        <v>541</v>
      </c>
      <c r="J56" s="8" t="str">
        <f t="shared" si="22"/>
        <v>class0027</v>
      </c>
      <c r="K56" s="8" t="str">
        <f t="shared" si="22"/>
        <v>dailoneskill0027</v>
      </c>
      <c r="L56" s="5" t="str">
        <f t="shared" si="4"/>
        <v>lootName54,DAIL/items/materia/class0027/Engineer54.dbr,</v>
      </c>
      <c r="M56" s="5" t="str">
        <f t="shared" si="5"/>
        <v>lootWeight54,1,</v>
      </c>
      <c r="N56" t="str">
        <f t="shared" si="6"/>
        <v>3</v>
      </c>
      <c r="O56" t="str">
        <f t="shared" si="16"/>
        <v>copy .\dail_base3.dbr .\items\materia\class0027\Engineer54.dbr /y</v>
      </c>
      <c r="P56" t="str">
        <f t="shared" si="7"/>
        <v>echo relicBitmap,items/craftingparts/components/component_a52_bristlyfur_b.tex, &gt;&gt; .\items\materia\class0027\Engineer54.dbr</v>
      </c>
      <c r="Q56" t="str">
        <f t="shared" si="7"/>
        <v>echo itemCost,500000, &gt;&gt; .\items\materia\class0027\Engineer54.dbr</v>
      </c>
      <c r="R56" t="str">
        <f t="shared" si="7"/>
        <v>echo description,dailCompDescEngineer54, &gt;&gt; .\items\materia\class0027\Engineer54.dbr</v>
      </c>
      <c r="S56" t="str">
        <f t="shared" si="7"/>
        <v>echo itemText,dailCompTextEngineer54, &gt;&gt; .\items\materia\class0027\Engineer54.dbr</v>
      </c>
      <c r="T56" t="str">
        <f t="shared" si="7"/>
        <v>echo augmentSkillLevel1,3, &gt;&gt; .\items\materia\class0027\Engineer54.dbr</v>
      </c>
      <c r="U56" t="str">
        <f t="shared" si="7"/>
        <v>echo augmentSkillName1,records/skills/playerclassEngineer/imitateflamer.dbr, &gt;&gt; .\items\materia\class0027\Engineer54.dbr</v>
      </c>
      <c r="V56" s="5" t="s">
        <v>36</v>
      </c>
      <c r="W56" t="str">
        <f t="shared" si="8"/>
        <v>echo lootName54,DAIL/items/materia/class0027/Engineer54.dbr, &gt;&gt; .\items\loottables\dailoneskill0027.dbr</v>
      </c>
      <c r="X56" t="str">
        <f t="shared" si="8"/>
        <v>echo lootWeight54,1, &gt;&gt; .\items\loottables\dailoneskill0027.dbr</v>
      </c>
      <c r="Y56" s="5" t="s">
        <v>36</v>
      </c>
      <c r="Z56" t="str">
        <f t="shared" si="9"/>
        <v xml:space="preserve"> dailCompDescEngineer54=^pEngineer's Gift of DAIL</v>
      </c>
      <c r="AA56" t="str">
        <f t="shared" si="17"/>
        <v>dailCompTextEngineer54=^oThis feels warm to the touch, almost familiar ^w(This component only fits into the Medal Slot)</v>
      </c>
      <c r="AB56" s="5" t="s">
        <v>36</v>
      </c>
      <c r="AH56">
        <f t="shared" si="19"/>
        <v>51</v>
      </c>
      <c r="AI56">
        <f t="shared" si="13"/>
        <v>38</v>
      </c>
      <c r="AJ56">
        <f t="shared" si="18"/>
        <v>3</v>
      </c>
    </row>
    <row r="57" spans="1:36" x14ac:dyDescent="0.25">
      <c r="A57" s="5" t="s">
        <v>39</v>
      </c>
      <c r="B57" s="5" t="s">
        <v>30</v>
      </c>
      <c r="C57" s="5" t="str">
        <f t="shared" si="0"/>
        <v>description,dailCompDescEngineer55,</v>
      </c>
      <c r="D57" s="5" t="str">
        <f t="shared" si="2"/>
        <v>itemText,dailCompTextEngineer55,</v>
      </c>
      <c r="E57" s="5" t="str">
        <f t="shared" si="14"/>
        <v>augmentSkillLevel1,3,</v>
      </c>
      <c r="F57" s="5" t="str">
        <f t="shared" si="15"/>
        <v>augmentSkillName1,records/skills/playerclassEngineer/burstpunches1.dbr,</v>
      </c>
      <c r="G57" s="7">
        <f t="shared" si="10"/>
        <v>55</v>
      </c>
      <c r="H57" s="8" t="str">
        <f t="shared" si="11"/>
        <v>Engineer</v>
      </c>
      <c r="I57" s="3" t="s">
        <v>542</v>
      </c>
      <c r="J57" s="8" t="str">
        <f t="shared" si="22"/>
        <v>class0027</v>
      </c>
      <c r="K57" s="8" t="str">
        <f t="shared" si="22"/>
        <v>dailoneskill0027</v>
      </c>
      <c r="L57" s="5" t="str">
        <f t="shared" si="4"/>
        <v>lootName55,DAIL/items/materia/class0027/Engineer55.dbr,</v>
      </c>
      <c r="M57" s="5" t="str">
        <f t="shared" si="5"/>
        <v>lootWeight55,1,</v>
      </c>
      <c r="N57" t="str">
        <f t="shared" si="6"/>
        <v>3</v>
      </c>
      <c r="O57" t="str">
        <f t="shared" si="16"/>
        <v>copy .\dail_base3.dbr .\items\materia\class0027\Engineer55.dbr /y</v>
      </c>
      <c r="P57" t="str">
        <f t="shared" si="7"/>
        <v>echo relicBitmap,items/craftingparts/components/component_a52_bristlyfur_b.tex, &gt;&gt; .\items\materia\class0027\Engineer55.dbr</v>
      </c>
      <c r="Q57" t="str">
        <f t="shared" si="7"/>
        <v>echo itemCost,500000, &gt;&gt; .\items\materia\class0027\Engineer55.dbr</v>
      </c>
      <c r="R57" t="str">
        <f t="shared" si="7"/>
        <v>echo description,dailCompDescEngineer55, &gt;&gt; .\items\materia\class0027\Engineer55.dbr</v>
      </c>
      <c r="S57" t="str">
        <f t="shared" si="7"/>
        <v>echo itemText,dailCompTextEngineer55, &gt;&gt; .\items\materia\class0027\Engineer55.dbr</v>
      </c>
      <c r="T57" t="str">
        <f t="shared" si="7"/>
        <v>echo augmentSkillLevel1,3, &gt;&gt; .\items\materia\class0027\Engineer55.dbr</v>
      </c>
      <c r="U57" t="str">
        <f t="shared" si="7"/>
        <v>echo augmentSkillName1,records/skills/playerclassEngineer/burstpunches1.dbr, &gt;&gt; .\items\materia\class0027\Engineer55.dbr</v>
      </c>
      <c r="V57" s="5" t="s">
        <v>36</v>
      </c>
      <c r="W57" t="str">
        <f t="shared" si="8"/>
        <v>echo lootName55,DAIL/items/materia/class0027/Engineer55.dbr, &gt;&gt; .\items\loottables\dailoneskill0027.dbr</v>
      </c>
      <c r="X57" t="str">
        <f t="shared" si="8"/>
        <v>echo lootWeight55,1, &gt;&gt; .\items\loottables\dailoneskill0027.dbr</v>
      </c>
      <c r="Y57" s="5" t="s">
        <v>36</v>
      </c>
      <c r="Z57" t="str">
        <f t="shared" si="9"/>
        <v xml:space="preserve"> dailCompDescEngineer55=^pEngineer's Gift of DAIL</v>
      </c>
      <c r="AA57" t="str">
        <f t="shared" si="17"/>
        <v>dailCompTextEngineer55=^oThis feels warm to the touch, almost familiar ^w(This component only fits into the Medal Slot)</v>
      </c>
      <c r="AB57" s="5" t="s">
        <v>36</v>
      </c>
      <c r="AH57">
        <f t="shared" si="19"/>
        <v>52</v>
      </c>
      <c r="AI57">
        <f t="shared" si="13"/>
        <v>38</v>
      </c>
      <c r="AJ57">
        <f t="shared" si="18"/>
        <v>3</v>
      </c>
    </row>
    <row r="58" spans="1:36" x14ac:dyDescent="0.25">
      <c r="A58" s="5" t="s">
        <v>39</v>
      </c>
      <c r="B58" s="5" t="s">
        <v>30</v>
      </c>
      <c r="C58" s="5" t="str">
        <f t="shared" si="0"/>
        <v>description,dailCompDescEngineer56,</v>
      </c>
      <c r="D58" s="5" t="str">
        <f t="shared" si="2"/>
        <v>itemText,dailCompTextEngineer56,</v>
      </c>
      <c r="E58" s="5" t="str">
        <f t="shared" si="14"/>
        <v>augmentSkillLevel1,3,</v>
      </c>
      <c r="F58" s="5" t="str">
        <f t="shared" si="15"/>
        <v>augmentSkillName1,records/skills/playerclassEngineer/powerpalms1b.dbr,</v>
      </c>
      <c r="G58" s="7">
        <f t="shared" si="10"/>
        <v>56</v>
      </c>
      <c r="H58" s="8" t="str">
        <f t="shared" si="11"/>
        <v>Engineer</v>
      </c>
      <c r="I58" s="3" t="s">
        <v>543</v>
      </c>
      <c r="J58" s="8" t="str">
        <f t="shared" si="22"/>
        <v>class0027</v>
      </c>
      <c r="K58" s="8" t="str">
        <f t="shared" si="22"/>
        <v>dailoneskill0027</v>
      </c>
      <c r="L58" s="5" t="str">
        <f t="shared" si="4"/>
        <v>lootName56,DAIL/items/materia/class0027/Engineer56.dbr,</v>
      </c>
      <c r="M58" s="5" t="str">
        <f t="shared" si="5"/>
        <v>lootWeight56,1,</v>
      </c>
      <c r="N58" t="str">
        <f t="shared" si="6"/>
        <v>3</v>
      </c>
      <c r="O58" t="str">
        <f t="shared" si="16"/>
        <v>copy .\dail_base3.dbr .\items\materia\class0027\Engineer56.dbr /y</v>
      </c>
      <c r="P58" t="str">
        <f t="shared" si="7"/>
        <v>echo relicBitmap,items/craftingparts/components/component_a52_bristlyfur_b.tex, &gt;&gt; .\items\materia\class0027\Engineer56.dbr</v>
      </c>
      <c r="Q58" t="str">
        <f t="shared" si="7"/>
        <v>echo itemCost,500000, &gt;&gt; .\items\materia\class0027\Engineer56.dbr</v>
      </c>
      <c r="R58" t="str">
        <f t="shared" si="7"/>
        <v>echo description,dailCompDescEngineer56, &gt;&gt; .\items\materia\class0027\Engineer56.dbr</v>
      </c>
      <c r="S58" t="str">
        <f t="shared" si="7"/>
        <v>echo itemText,dailCompTextEngineer56, &gt;&gt; .\items\materia\class0027\Engineer56.dbr</v>
      </c>
      <c r="T58" t="str">
        <f t="shared" si="7"/>
        <v>echo augmentSkillLevel1,3, &gt;&gt; .\items\materia\class0027\Engineer56.dbr</v>
      </c>
      <c r="U58" t="str">
        <f t="shared" si="7"/>
        <v>echo augmentSkillName1,records/skills/playerclassEngineer/powerpalms1b.dbr, &gt;&gt; .\items\materia\class0027\Engineer56.dbr</v>
      </c>
      <c r="V58" s="5" t="s">
        <v>36</v>
      </c>
      <c r="W58" t="str">
        <f t="shared" si="8"/>
        <v>echo lootName56,DAIL/items/materia/class0027/Engineer56.dbr, &gt;&gt; .\items\loottables\dailoneskill0027.dbr</v>
      </c>
      <c r="X58" t="str">
        <f t="shared" si="8"/>
        <v>echo lootWeight56,1, &gt;&gt; .\items\loottables\dailoneskill0027.dbr</v>
      </c>
      <c r="Y58" s="5" t="s">
        <v>36</v>
      </c>
      <c r="Z58" t="str">
        <f t="shared" si="9"/>
        <v xml:space="preserve"> dailCompDescEngineer56=^pEngineer's Gift of DAIL</v>
      </c>
      <c r="AA58" t="str">
        <f t="shared" si="17"/>
        <v>dailCompTextEngineer56=^oThis feels warm to the touch, almost familiar ^w(This component only fits into the Medal Slot)</v>
      </c>
      <c r="AB58" s="5" t="s">
        <v>36</v>
      </c>
      <c r="AH58">
        <f t="shared" si="19"/>
        <v>53</v>
      </c>
      <c r="AI58">
        <f t="shared" si="13"/>
        <v>37</v>
      </c>
      <c r="AJ58">
        <f t="shared" si="18"/>
        <v>3</v>
      </c>
    </row>
    <row r="59" spans="1:36" x14ac:dyDescent="0.25">
      <c r="A59" s="5" t="s">
        <v>39</v>
      </c>
      <c r="B59" s="5" t="s">
        <v>30</v>
      </c>
      <c r="C59" s="5" t="str">
        <f t="shared" si="0"/>
        <v>description,dailCompDescEngineer57,</v>
      </c>
      <c r="D59" s="5" t="str">
        <f t="shared" si="2"/>
        <v>itemText,dailCompTextEngineer57,</v>
      </c>
      <c r="E59" s="5" t="str">
        <f t="shared" si="14"/>
        <v>augmentSkillLevel1,3,</v>
      </c>
      <c r="F59" s="5" t="str">
        <f t="shared" si="15"/>
        <v>augmentSkillName1,records/skills/playerclassEngineer/burstpunches2.dbr,</v>
      </c>
      <c r="G59" s="7">
        <f t="shared" si="10"/>
        <v>57</v>
      </c>
      <c r="H59" s="8" t="str">
        <f t="shared" si="11"/>
        <v>Engineer</v>
      </c>
      <c r="I59" s="3" t="s">
        <v>544</v>
      </c>
      <c r="J59" s="8" t="str">
        <f t="shared" si="22"/>
        <v>class0027</v>
      </c>
      <c r="K59" s="8" t="str">
        <f t="shared" si="22"/>
        <v>dailoneskill0027</v>
      </c>
      <c r="L59" s="5" t="str">
        <f t="shared" si="4"/>
        <v>lootName57,DAIL/items/materia/class0027/Engineer57.dbr,</v>
      </c>
      <c r="M59" s="5" t="str">
        <f t="shared" si="5"/>
        <v>lootWeight57,1,</v>
      </c>
      <c r="N59" t="str">
        <f t="shared" si="6"/>
        <v>3</v>
      </c>
      <c r="O59" t="str">
        <f t="shared" si="16"/>
        <v>copy .\dail_base3.dbr .\items\materia\class0027\Engineer57.dbr /y</v>
      </c>
      <c r="P59" t="str">
        <f t="shared" ref="P59:U101" si="23">IF($I59&lt;&gt;"","echo "&amp;A59&amp;" &gt;&gt; .\items\materia\"&amp;$J59&amp;"\"&amp;$H59&amp;$G59&amp;".dbr","")</f>
        <v>echo relicBitmap,items/craftingparts/components/component_a52_bristlyfur_b.tex, &gt;&gt; .\items\materia\class0027\Engineer57.dbr</v>
      </c>
      <c r="Q59" t="str">
        <f t="shared" si="23"/>
        <v>echo itemCost,500000, &gt;&gt; .\items\materia\class0027\Engineer57.dbr</v>
      </c>
      <c r="R59" t="str">
        <f t="shared" si="23"/>
        <v>echo description,dailCompDescEngineer57, &gt;&gt; .\items\materia\class0027\Engineer57.dbr</v>
      </c>
      <c r="S59" t="str">
        <f t="shared" si="23"/>
        <v>echo itemText,dailCompTextEngineer57, &gt;&gt; .\items\materia\class0027\Engineer57.dbr</v>
      </c>
      <c r="T59" t="str">
        <f t="shared" si="23"/>
        <v>echo augmentSkillLevel1,3, &gt;&gt; .\items\materia\class0027\Engineer57.dbr</v>
      </c>
      <c r="U59" t="str">
        <f t="shared" si="23"/>
        <v>echo augmentSkillName1,records/skills/playerclassEngineer/burstpunches2.dbr, &gt;&gt; .\items\materia\class0027\Engineer57.dbr</v>
      </c>
      <c r="V59" s="5" t="s">
        <v>36</v>
      </c>
      <c r="W59" t="str">
        <f t="shared" si="8"/>
        <v>echo lootName57,DAIL/items/materia/class0027/Engineer57.dbr, &gt;&gt; .\items\loottables\dailoneskill0027.dbr</v>
      </c>
      <c r="X59" t="str">
        <f t="shared" si="8"/>
        <v>echo lootWeight57,1, &gt;&gt; .\items\loottables\dailoneskill0027.dbr</v>
      </c>
      <c r="Y59" s="5" t="s">
        <v>36</v>
      </c>
      <c r="Z59" t="str">
        <f t="shared" si="9"/>
        <v xml:space="preserve"> dailCompDescEngineer57=^pEngineer's Gift of DAIL</v>
      </c>
      <c r="AA59" t="str">
        <f t="shared" si="17"/>
        <v>dailCompTextEngineer57=^oThis feels warm to the touch, almost familiar ^w(This component only fits into the Medal Slot)</v>
      </c>
      <c r="AB59" s="5" t="s">
        <v>36</v>
      </c>
      <c r="AH59">
        <f t="shared" si="19"/>
        <v>54</v>
      </c>
      <c r="AI59">
        <f t="shared" si="13"/>
        <v>38</v>
      </c>
      <c r="AJ59">
        <f t="shared" si="18"/>
        <v>3</v>
      </c>
    </row>
    <row r="60" spans="1:36" x14ac:dyDescent="0.25">
      <c r="A60" s="5" t="s">
        <v>39</v>
      </c>
      <c r="B60" s="5" t="s">
        <v>30</v>
      </c>
      <c r="C60" s="5" t="str">
        <f t="shared" si="0"/>
        <v>description,dailCompDescEngineer58,</v>
      </c>
      <c r="D60" s="5" t="str">
        <f t="shared" si="2"/>
        <v>itemText,dailCompTextEngineer58,</v>
      </c>
      <c r="E60" s="5" t="str">
        <f t="shared" si="14"/>
        <v>augmentSkillLevel1,3,</v>
      </c>
      <c r="F60" s="5" t="str">
        <f t="shared" si="15"/>
        <v>augmentSkillName1,records/skills/playerclassEngineer/burstpunches3.dbr,</v>
      </c>
      <c r="G60" s="7">
        <f t="shared" si="10"/>
        <v>58</v>
      </c>
      <c r="H60" s="8" t="str">
        <f t="shared" si="11"/>
        <v>Engineer</v>
      </c>
      <c r="I60" s="3" t="s">
        <v>545</v>
      </c>
      <c r="J60" s="8" t="str">
        <f t="shared" si="22"/>
        <v>class0027</v>
      </c>
      <c r="K60" s="8" t="str">
        <f t="shared" si="22"/>
        <v>dailoneskill0027</v>
      </c>
      <c r="L60" s="5" t="str">
        <f t="shared" si="4"/>
        <v>lootName58,DAIL/items/materia/class0027/Engineer58.dbr,</v>
      </c>
      <c r="M60" s="5" t="str">
        <f t="shared" si="5"/>
        <v>lootWeight58,1,</v>
      </c>
      <c r="N60" t="str">
        <f t="shared" si="6"/>
        <v>3</v>
      </c>
      <c r="O60" t="str">
        <f t="shared" si="16"/>
        <v>copy .\dail_base3.dbr .\items\materia\class0027\Engineer58.dbr /y</v>
      </c>
      <c r="P60" t="str">
        <f t="shared" si="23"/>
        <v>echo relicBitmap,items/craftingparts/components/component_a52_bristlyfur_b.tex, &gt;&gt; .\items\materia\class0027\Engineer58.dbr</v>
      </c>
      <c r="Q60" t="str">
        <f t="shared" si="23"/>
        <v>echo itemCost,500000, &gt;&gt; .\items\materia\class0027\Engineer58.dbr</v>
      </c>
      <c r="R60" t="str">
        <f t="shared" si="23"/>
        <v>echo description,dailCompDescEngineer58, &gt;&gt; .\items\materia\class0027\Engineer58.dbr</v>
      </c>
      <c r="S60" t="str">
        <f t="shared" si="23"/>
        <v>echo itemText,dailCompTextEngineer58, &gt;&gt; .\items\materia\class0027\Engineer58.dbr</v>
      </c>
      <c r="T60" t="str">
        <f t="shared" si="23"/>
        <v>echo augmentSkillLevel1,3, &gt;&gt; .\items\materia\class0027\Engineer58.dbr</v>
      </c>
      <c r="U60" t="str">
        <f t="shared" si="23"/>
        <v>echo augmentSkillName1,records/skills/playerclassEngineer/burstpunches3.dbr, &gt;&gt; .\items\materia\class0027\Engineer58.dbr</v>
      </c>
      <c r="V60" s="5" t="s">
        <v>36</v>
      </c>
      <c r="W60" t="str">
        <f t="shared" si="8"/>
        <v>echo lootName58,DAIL/items/materia/class0027/Engineer58.dbr, &gt;&gt; .\items\loottables\dailoneskill0027.dbr</v>
      </c>
      <c r="X60" t="str">
        <f t="shared" si="8"/>
        <v>echo lootWeight58,1, &gt;&gt; .\items\loottables\dailoneskill0027.dbr</v>
      </c>
      <c r="Y60" s="5" t="s">
        <v>36</v>
      </c>
      <c r="Z60" t="str">
        <f t="shared" si="9"/>
        <v xml:space="preserve"> dailCompDescEngineer58=^pEngineer's Gift of DAIL</v>
      </c>
      <c r="AA60" t="str">
        <f t="shared" si="17"/>
        <v>dailCompTextEngineer58=^oThis feels warm to the touch, almost familiar ^w(This component only fits into the Medal Slot)</v>
      </c>
      <c r="AB60" s="5" t="s">
        <v>36</v>
      </c>
      <c r="AH60">
        <f t="shared" si="19"/>
        <v>55</v>
      </c>
      <c r="AI60">
        <f t="shared" si="13"/>
        <v>38</v>
      </c>
      <c r="AJ60">
        <f t="shared" si="18"/>
        <v>3</v>
      </c>
    </row>
    <row r="61" spans="1:36" x14ac:dyDescent="0.25">
      <c r="A61" s="5" t="s">
        <v>39</v>
      </c>
      <c r="B61" s="5" t="s">
        <v>30</v>
      </c>
      <c r="C61" s="5" t="str">
        <f t="shared" si="0"/>
        <v>description,dailCompDescEngineer59,</v>
      </c>
      <c r="D61" s="5" t="str">
        <f t="shared" si="2"/>
        <v>itemText,dailCompTextEngineer59,</v>
      </c>
      <c r="E61" s="5" t="str">
        <f t="shared" si="14"/>
        <v>augmentSkillLevel1,3,</v>
      </c>
      <c r="F61" s="5" t="str">
        <f t="shared" si="15"/>
        <v>augmentSkillName1,records/skills/playerclassEngineer/ultimateengineer.dbr,</v>
      </c>
      <c r="G61" s="7">
        <f t="shared" si="10"/>
        <v>59</v>
      </c>
      <c r="H61" s="8" t="str">
        <f t="shared" si="11"/>
        <v>Engineer</v>
      </c>
      <c r="I61" s="3" t="s">
        <v>546</v>
      </c>
      <c r="J61" s="8" t="str">
        <f t="shared" si="22"/>
        <v>class0027</v>
      </c>
      <c r="K61" s="8" t="str">
        <f t="shared" si="22"/>
        <v>dailoneskill0027</v>
      </c>
      <c r="L61" s="5" t="str">
        <f t="shared" si="4"/>
        <v>lootName59,DAIL/items/materia/class0027/Engineer59.dbr,</v>
      </c>
      <c r="M61" s="5" t="str">
        <f t="shared" si="5"/>
        <v>lootWeight59,1,</v>
      </c>
      <c r="N61" t="str">
        <f t="shared" si="6"/>
        <v>3</v>
      </c>
      <c r="O61" t="str">
        <f t="shared" si="16"/>
        <v>copy .\dail_base3.dbr .\items\materia\class0027\Engineer59.dbr /y</v>
      </c>
      <c r="P61" t="str">
        <f t="shared" si="23"/>
        <v>echo relicBitmap,items/craftingparts/components/component_a52_bristlyfur_b.tex, &gt;&gt; .\items\materia\class0027\Engineer59.dbr</v>
      </c>
      <c r="Q61" t="str">
        <f t="shared" si="23"/>
        <v>echo itemCost,500000, &gt;&gt; .\items\materia\class0027\Engineer59.dbr</v>
      </c>
      <c r="R61" t="str">
        <f t="shared" si="23"/>
        <v>echo description,dailCompDescEngineer59, &gt;&gt; .\items\materia\class0027\Engineer59.dbr</v>
      </c>
      <c r="S61" t="str">
        <f t="shared" si="23"/>
        <v>echo itemText,dailCompTextEngineer59, &gt;&gt; .\items\materia\class0027\Engineer59.dbr</v>
      </c>
      <c r="T61" t="str">
        <f t="shared" si="23"/>
        <v>echo augmentSkillLevel1,3, &gt;&gt; .\items\materia\class0027\Engineer59.dbr</v>
      </c>
      <c r="U61" t="str">
        <f t="shared" si="23"/>
        <v>echo augmentSkillName1,records/skills/playerclassEngineer/ultimateengineer.dbr, &gt;&gt; .\items\materia\class0027\Engineer59.dbr</v>
      </c>
      <c r="V61" s="5" t="s">
        <v>36</v>
      </c>
      <c r="W61" t="str">
        <f t="shared" si="8"/>
        <v>echo lootName59,DAIL/items/materia/class0027/Engineer59.dbr, &gt;&gt; .\items\loottables\dailoneskill0027.dbr</v>
      </c>
      <c r="X61" t="str">
        <f t="shared" si="8"/>
        <v>echo lootWeight59,1, &gt;&gt; .\items\loottables\dailoneskill0027.dbr</v>
      </c>
      <c r="Y61" s="5" t="s">
        <v>36</v>
      </c>
      <c r="Z61" t="str">
        <f t="shared" si="9"/>
        <v xml:space="preserve"> dailCompDescEngineer59=^pEngineer's Gift of DAIL</v>
      </c>
      <c r="AA61" t="str">
        <f t="shared" si="17"/>
        <v>dailCompTextEngineer59=^oThis feels warm to the touch, almost familiar ^w(This component only fits into the Medal Slot)</v>
      </c>
      <c r="AB61" s="5" t="s">
        <v>36</v>
      </c>
      <c r="AH61">
        <f t="shared" si="19"/>
        <v>56</v>
      </c>
      <c r="AI61">
        <f t="shared" si="13"/>
        <v>41</v>
      </c>
      <c r="AJ61">
        <f t="shared" si="18"/>
        <v>3</v>
      </c>
    </row>
    <row r="62" spans="1:36" x14ac:dyDescent="0.25">
      <c r="A62" s="5" t="s">
        <v>39</v>
      </c>
      <c r="B62" s="5" t="s">
        <v>30</v>
      </c>
      <c r="C62" s="5" t="str">
        <f t="shared" si="0"/>
        <v>description,dailCompDescEngineer60,</v>
      </c>
      <c r="D62" s="5" t="str">
        <f t="shared" si="2"/>
        <v>itemText,dailCompTextEngineer60,</v>
      </c>
      <c r="E62" s="5" t="str">
        <f t="shared" si="14"/>
        <v>augmentSkillLevel1,3,</v>
      </c>
      <c r="F62" s="5" t="str">
        <f t="shared" si="15"/>
        <v>augmentSkillName1,records/skills/playerclassEngineer/powerpalms1c.dbr,</v>
      </c>
      <c r="G62" s="7">
        <f t="shared" si="10"/>
        <v>60</v>
      </c>
      <c r="H62" s="8" t="str">
        <f t="shared" si="11"/>
        <v>Engineer</v>
      </c>
      <c r="I62" s="3" t="s">
        <v>547</v>
      </c>
      <c r="J62" s="8" t="str">
        <f t="shared" si="22"/>
        <v>class0027</v>
      </c>
      <c r="K62" s="8" t="str">
        <f t="shared" si="22"/>
        <v>dailoneskill0027</v>
      </c>
      <c r="L62" s="5" t="str">
        <f t="shared" si="4"/>
        <v>lootName60,DAIL/items/materia/class0027/Engineer60.dbr,</v>
      </c>
      <c r="M62" s="5" t="str">
        <f t="shared" si="5"/>
        <v>lootWeight60,1,</v>
      </c>
      <c r="N62" t="str">
        <f t="shared" si="6"/>
        <v>3</v>
      </c>
      <c r="O62" t="str">
        <f t="shared" si="16"/>
        <v>copy .\dail_base3.dbr .\items\materia\class0027\Engineer60.dbr /y</v>
      </c>
      <c r="P62" t="str">
        <f t="shared" si="23"/>
        <v>echo relicBitmap,items/craftingparts/components/component_a52_bristlyfur_b.tex, &gt;&gt; .\items\materia\class0027\Engineer60.dbr</v>
      </c>
      <c r="Q62" t="str">
        <f t="shared" si="23"/>
        <v>echo itemCost,500000, &gt;&gt; .\items\materia\class0027\Engineer60.dbr</v>
      </c>
      <c r="R62" t="str">
        <f t="shared" si="23"/>
        <v>echo description,dailCompDescEngineer60, &gt;&gt; .\items\materia\class0027\Engineer60.dbr</v>
      </c>
      <c r="S62" t="str">
        <f t="shared" si="23"/>
        <v>echo itemText,dailCompTextEngineer60, &gt;&gt; .\items\materia\class0027\Engineer60.dbr</v>
      </c>
      <c r="T62" t="str">
        <f t="shared" si="23"/>
        <v>echo augmentSkillLevel1,3, &gt;&gt; .\items\materia\class0027\Engineer60.dbr</v>
      </c>
      <c r="U62" t="str">
        <f t="shared" si="23"/>
        <v>echo augmentSkillName1,records/skills/playerclassEngineer/powerpalms1c.dbr, &gt;&gt; .\items\materia\class0027\Engineer60.dbr</v>
      </c>
      <c r="V62" s="5" t="s">
        <v>36</v>
      </c>
      <c r="W62" t="str">
        <f t="shared" si="8"/>
        <v>echo lootName60,DAIL/items/materia/class0027/Engineer60.dbr, &gt;&gt; .\items\loottables\dailoneskill0027.dbr</v>
      </c>
      <c r="X62" t="str">
        <f t="shared" si="8"/>
        <v>echo lootWeight60,1, &gt;&gt; .\items\loottables\dailoneskill0027.dbr</v>
      </c>
      <c r="Y62" s="5" t="s">
        <v>36</v>
      </c>
      <c r="Z62" t="str">
        <f t="shared" si="9"/>
        <v xml:space="preserve"> dailCompDescEngineer60=^pEngineer's Gift of DAIL</v>
      </c>
      <c r="AA62" t="str">
        <f t="shared" si="17"/>
        <v>dailCompTextEngineer60=^oThis feels warm to the touch, almost familiar ^w(This component only fits into the Medal Slot)</v>
      </c>
      <c r="AB62" s="5" t="s">
        <v>36</v>
      </c>
      <c r="AH62">
        <f t="shared" si="19"/>
        <v>57</v>
      </c>
      <c r="AI62">
        <f t="shared" si="13"/>
        <v>37</v>
      </c>
      <c r="AJ62">
        <f t="shared" si="18"/>
        <v>3</v>
      </c>
    </row>
    <row r="63" spans="1:36" x14ac:dyDescent="0.25">
      <c r="A63" s="5" t="s">
        <v>39</v>
      </c>
      <c r="B63" s="5" t="s">
        <v>30</v>
      </c>
      <c r="C63" s="5" t="str">
        <f t="shared" si="0"/>
        <v>description,dailCompDescEngineer61,</v>
      </c>
      <c r="D63" s="5" t="str">
        <f t="shared" si="2"/>
        <v>itemText,dailCompTextEngineer61,</v>
      </c>
      <c r="E63" s="5" t="str">
        <f t="shared" si="14"/>
        <v>augmentSkillLevel1,3,</v>
      </c>
      <c r="F63" s="5" t="str">
        <f t="shared" si="15"/>
        <v>augmentSkillName1,records/skills/playerclassEngineer/powerpalms2.dbr,</v>
      </c>
      <c r="G63" s="7">
        <f t="shared" si="10"/>
        <v>61</v>
      </c>
      <c r="H63" s="8" t="str">
        <f t="shared" si="11"/>
        <v>Engineer</v>
      </c>
      <c r="I63" s="3" t="s">
        <v>548</v>
      </c>
      <c r="J63" s="8" t="str">
        <f t="shared" si="22"/>
        <v>class0027</v>
      </c>
      <c r="K63" s="8" t="str">
        <f t="shared" si="22"/>
        <v>dailoneskill0027</v>
      </c>
      <c r="L63" s="5" t="str">
        <f t="shared" si="4"/>
        <v>lootName61,DAIL/items/materia/class0027/Engineer61.dbr,</v>
      </c>
      <c r="M63" s="5" t="str">
        <f t="shared" si="5"/>
        <v>lootWeight61,1,</v>
      </c>
      <c r="N63" t="str">
        <f t="shared" si="6"/>
        <v>3</v>
      </c>
      <c r="O63" t="str">
        <f t="shared" si="16"/>
        <v>copy .\dail_base3.dbr .\items\materia\class0027\Engineer61.dbr /y</v>
      </c>
      <c r="P63" t="str">
        <f t="shared" si="23"/>
        <v>echo relicBitmap,items/craftingparts/components/component_a52_bristlyfur_b.tex, &gt;&gt; .\items\materia\class0027\Engineer61.dbr</v>
      </c>
      <c r="Q63" t="str">
        <f t="shared" si="23"/>
        <v>echo itemCost,500000, &gt;&gt; .\items\materia\class0027\Engineer61.dbr</v>
      </c>
      <c r="R63" t="str">
        <f t="shared" si="23"/>
        <v>echo description,dailCompDescEngineer61, &gt;&gt; .\items\materia\class0027\Engineer61.dbr</v>
      </c>
      <c r="S63" t="str">
        <f t="shared" si="23"/>
        <v>echo itemText,dailCompTextEngineer61, &gt;&gt; .\items\materia\class0027\Engineer61.dbr</v>
      </c>
      <c r="T63" t="str">
        <f t="shared" si="23"/>
        <v>echo augmentSkillLevel1,3, &gt;&gt; .\items\materia\class0027\Engineer61.dbr</v>
      </c>
      <c r="U63" t="str">
        <f t="shared" si="23"/>
        <v>echo augmentSkillName1,records/skills/playerclassEngineer/powerpalms2.dbr, &gt;&gt; .\items\materia\class0027\Engineer61.dbr</v>
      </c>
      <c r="V63" s="5" t="s">
        <v>36</v>
      </c>
      <c r="W63" t="str">
        <f t="shared" si="8"/>
        <v>echo lootName61,DAIL/items/materia/class0027/Engineer61.dbr, &gt;&gt; .\items\loottables\dailoneskill0027.dbr</v>
      </c>
      <c r="X63" t="str">
        <f t="shared" si="8"/>
        <v>echo lootWeight61,1, &gt;&gt; .\items\loottables\dailoneskill0027.dbr</v>
      </c>
      <c r="Y63" s="5" t="s">
        <v>36</v>
      </c>
      <c r="Z63" t="str">
        <f t="shared" si="9"/>
        <v xml:space="preserve"> dailCompDescEngineer61=^pEngineer's Gift of DAIL</v>
      </c>
      <c r="AA63" t="str">
        <f t="shared" si="17"/>
        <v>dailCompTextEngineer61=^oThis feels warm to the touch, almost familiar ^w(This component only fits into the Medal Slot)</v>
      </c>
      <c r="AB63" s="5" t="s">
        <v>36</v>
      </c>
      <c r="AH63">
        <f t="shared" si="19"/>
        <v>58</v>
      </c>
      <c r="AI63">
        <f t="shared" si="13"/>
        <v>36</v>
      </c>
      <c r="AJ63">
        <f t="shared" si="18"/>
        <v>3</v>
      </c>
    </row>
    <row r="64" spans="1:36" x14ac:dyDescent="0.25">
      <c r="A64" s="5" t="s">
        <v>39</v>
      </c>
      <c r="B64" s="5" t="s">
        <v>30</v>
      </c>
      <c r="C64" s="5" t="str">
        <f t="shared" si="0"/>
        <v>description,dailCompDescEngineer62,</v>
      </c>
      <c r="D64" s="5" t="str">
        <f t="shared" si="2"/>
        <v>itemText,dailCompTextEngineer62,</v>
      </c>
      <c r="E64" s="5" t="str">
        <f t="shared" si="14"/>
        <v>augmentSkillLevel1,3,</v>
      </c>
      <c r="F64" s="5" t="str">
        <f t="shared" si="15"/>
        <v>augmentSkillName1,records/skills/playerclassEngineer/powerpalms3.dbr,</v>
      </c>
      <c r="G64" s="7">
        <f t="shared" si="10"/>
        <v>62</v>
      </c>
      <c r="H64" s="8" t="str">
        <f t="shared" si="11"/>
        <v>Engineer</v>
      </c>
      <c r="I64" s="3" t="s">
        <v>549</v>
      </c>
      <c r="J64" s="8" t="str">
        <f t="shared" si="22"/>
        <v>class0027</v>
      </c>
      <c r="K64" s="8" t="str">
        <f t="shared" si="22"/>
        <v>dailoneskill0027</v>
      </c>
      <c r="L64" s="5" t="str">
        <f t="shared" si="4"/>
        <v>lootName62,DAIL/items/materia/class0027/Engineer62.dbr,</v>
      </c>
      <c r="M64" s="5" t="str">
        <f t="shared" si="5"/>
        <v>lootWeight62,1,</v>
      </c>
      <c r="N64" t="str">
        <f t="shared" si="6"/>
        <v>3</v>
      </c>
      <c r="O64" t="str">
        <f t="shared" si="16"/>
        <v>copy .\dail_base3.dbr .\items\materia\class0027\Engineer62.dbr /y</v>
      </c>
      <c r="P64" t="str">
        <f t="shared" si="23"/>
        <v>echo relicBitmap,items/craftingparts/components/component_a52_bristlyfur_b.tex, &gt;&gt; .\items\materia\class0027\Engineer62.dbr</v>
      </c>
      <c r="Q64" t="str">
        <f t="shared" si="23"/>
        <v>echo itemCost,500000, &gt;&gt; .\items\materia\class0027\Engineer62.dbr</v>
      </c>
      <c r="R64" t="str">
        <f t="shared" si="23"/>
        <v>echo description,dailCompDescEngineer62, &gt;&gt; .\items\materia\class0027\Engineer62.dbr</v>
      </c>
      <c r="S64" t="str">
        <f t="shared" si="23"/>
        <v>echo itemText,dailCompTextEngineer62, &gt;&gt; .\items\materia\class0027\Engineer62.dbr</v>
      </c>
      <c r="T64" t="str">
        <f t="shared" si="23"/>
        <v>echo augmentSkillLevel1,3, &gt;&gt; .\items\materia\class0027\Engineer62.dbr</v>
      </c>
      <c r="U64" t="str">
        <f t="shared" si="23"/>
        <v>echo augmentSkillName1,records/skills/playerclassEngineer/powerpalms3.dbr, &gt;&gt; .\items\materia\class0027\Engineer62.dbr</v>
      </c>
      <c r="V64" s="5" t="s">
        <v>36</v>
      </c>
      <c r="W64" t="str">
        <f t="shared" si="8"/>
        <v>echo lootName62,DAIL/items/materia/class0027/Engineer62.dbr, &gt;&gt; .\items\loottables\dailoneskill0027.dbr</v>
      </c>
      <c r="X64" t="str">
        <f t="shared" si="8"/>
        <v>echo lootWeight62,1, &gt;&gt; .\items\loottables\dailoneskill0027.dbr</v>
      </c>
      <c r="Y64" s="5" t="s">
        <v>36</v>
      </c>
      <c r="Z64" t="str">
        <f t="shared" si="9"/>
        <v xml:space="preserve"> dailCompDescEngineer62=^pEngineer's Gift of DAIL</v>
      </c>
      <c r="AA64" t="str">
        <f t="shared" si="17"/>
        <v>dailCompTextEngineer62=^oThis feels warm to the touch, almost familiar ^w(This component only fits into the Medal Slot)</v>
      </c>
      <c r="AB64" s="5" t="s">
        <v>36</v>
      </c>
      <c r="AH64">
        <f t="shared" si="19"/>
        <v>59</v>
      </c>
      <c r="AI64">
        <f t="shared" si="13"/>
        <v>36</v>
      </c>
      <c r="AJ64">
        <f t="shared" si="18"/>
        <v>3</v>
      </c>
    </row>
    <row r="65" spans="1:36" x14ac:dyDescent="0.25">
      <c r="A65" s="5" t="s">
        <v>39</v>
      </c>
      <c r="B65" s="5" t="s">
        <v>30</v>
      </c>
      <c r="C65" s="5" t="str">
        <f t="shared" si="0"/>
        <v>description,dailCompDescEngineer63,</v>
      </c>
      <c r="D65" s="5" t="str">
        <f t="shared" si="2"/>
        <v>itemText,dailCompTextEngineer63,</v>
      </c>
      <c r="E65" s="5" t="str">
        <f t="shared" si="14"/>
        <v>augmentSkillLevel1,3,</v>
      </c>
      <c r="F65" s="5" t="str">
        <f t="shared" si="15"/>
        <v>augmentSkillName1,records/skills/playerclassEngineer/shockshot1.dbr,</v>
      </c>
      <c r="G65" s="7">
        <f t="shared" si="10"/>
        <v>63</v>
      </c>
      <c r="H65" s="8" t="str">
        <f t="shared" si="11"/>
        <v>Engineer</v>
      </c>
      <c r="I65" s="3" t="s">
        <v>550</v>
      </c>
      <c r="J65" s="8" t="str">
        <f t="shared" si="22"/>
        <v>class0027</v>
      </c>
      <c r="K65" s="8" t="str">
        <f t="shared" si="22"/>
        <v>dailoneskill0027</v>
      </c>
      <c r="L65" s="5" t="str">
        <f t="shared" si="4"/>
        <v>lootName63,DAIL/items/materia/class0027/Engineer63.dbr,</v>
      </c>
      <c r="M65" s="5" t="str">
        <f t="shared" si="5"/>
        <v>lootWeight63,1,</v>
      </c>
      <c r="N65" t="str">
        <f t="shared" si="6"/>
        <v>3</v>
      </c>
      <c r="O65" t="str">
        <f t="shared" si="16"/>
        <v>copy .\dail_base3.dbr .\items\materia\class0027\Engineer63.dbr /y</v>
      </c>
      <c r="P65" t="str">
        <f t="shared" si="23"/>
        <v>echo relicBitmap,items/craftingparts/components/component_a52_bristlyfur_b.tex, &gt;&gt; .\items\materia\class0027\Engineer63.dbr</v>
      </c>
      <c r="Q65" t="str">
        <f t="shared" si="23"/>
        <v>echo itemCost,500000, &gt;&gt; .\items\materia\class0027\Engineer63.dbr</v>
      </c>
      <c r="R65" t="str">
        <f t="shared" si="23"/>
        <v>echo description,dailCompDescEngineer63, &gt;&gt; .\items\materia\class0027\Engineer63.dbr</v>
      </c>
      <c r="S65" t="str">
        <f t="shared" si="23"/>
        <v>echo itemText,dailCompTextEngineer63, &gt;&gt; .\items\materia\class0027\Engineer63.dbr</v>
      </c>
      <c r="T65" t="str">
        <f t="shared" si="23"/>
        <v>echo augmentSkillLevel1,3, &gt;&gt; .\items\materia\class0027\Engineer63.dbr</v>
      </c>
      <c r="U65" t="str">
        <f t="shared" si="23"/>
        <v>echo augmentSkillName1,records/skills/playerclassEngineer/shockshot1.dbr, &gt;&gt; .\items\materia\class0027\Engineer63.dbr</v>
      </c>
      <c r="V65" s="5" t="s">
        <v>36</v>
      </c>
      <c r="W65" t="str">
        <f t="shared" si="8"/>
        <v>echo lootName63,DAIL/items/materia/class0027/Engineer63.dbr, &gt;&gt; .\items\loottables\dailoneskill0027.dbr</v>
      </c>
      <c r="X65" t="str">
        <f t="shared" si="8"/>
        <v>echo lootWeight63,1, &gt;&gt; .\items\loottables\dailoneskill0027.dbr</v>
      </c>
      <c r="Y65" s="5" t="s">
        <v>36</v>
      </c>
      <c r="Z65" t="str">
        <f t="shared" si="9"/>
        <v xml:space="preserve"> dailCompDescEngineer63=^pEngineer's Gift of DAIL</v>
      </c>
      <c r="AA65" t="str">
        <f t="shared" si="17"/>
        <v>dailCompTextEngineer63=^oThis feels warm to the touch, almost familiar ^w(This component only fits into the Medal Slot)</v>
      </c>
      <c r="AB65" s="5" t="s">
        <v>36</v>
      </c>
      <c r="AH65">
        <f t="shared" si="19"/>
        <v>60</v>
      </c>
      <c r="AI65">
        <f t="shared" si="13"/>
        <v>35</v>
      </c>
      <c r="AJ65">
        <f t="shared" si="18"/>
        <v>3</v>
      </c>
    </row>
    <row r="66" spans="1:36" x14ac:dyDescent="0.25">
      <c r="A66" s="5" t="s">
        <v>39</v>
      </c>
      <c r="B66" s="5" t="s">
        <v>30</v>
      </c>
      <c r="C66" s="5" t="str">
        <f t="shared" si="0"/>
        <v>description,dailCompDescEngineer64,</v>
      </c>
      <c r="D66" s="5" t="str">
        <f t="shared" si="2"/>
        <v>itemText,dailCompTextEngineer64,</v>
      </c>
      <c r="E66" s="5" t="str">
        <f t="shared" si="14"/>
        <v>augmentSkillLevel1,3,</v>
      </c>
      <c r="F66" s="5" t="str">
        <f t="shared" si="15"/>
        <v>augmentSkillName1,records/skills/playerclassEngineer/shockshot1b.dbr,</v>
      </c>
      <c r="G66" s="7">
        <f t="shared" si="10"/>
        <v>64</v>
      </c>
      <c r="H66" s="8" t="str">
        <f t="shared" si="11"/>
        <v>Engineer</v>
      </c>
      <c r="I66" s="3" t="s">
        <v>551</v>
      </c>
      <c r="J66" s="8" t="str">
        <f t="shared" si="22"/>
        <v>class0027</v>
      </c>
      <c r="K66" s="8" t="str">
        <f t="shared" si="22"/>
        <v>dailoneskill0027</v>
      </c>
      <c r="L66" s="5" t="str">
        <f t="shared" si="4"/>
        <v>lootName64,DAIL/items/materia/class0027/Engineer64.dbr,</v>
      </c>
      <c r="M66" s="5" t="str">
        <f t="shared" si="5"/>
        <v>lootWeight64,1,</v>
      </c>
      <c r="N66" t="str">
        <f t="shared" si="6"/>
        <v>3</v>
      </c>
      <c r="O66" t="str">
        <f t="shared" si="16"/>
        <v>copy .\dail_base3.dbr .\items\materia\class0027\Engineer64.dbr /y</v>
      </c>
      <c r="P66" t="str">
        <f t="shared" si="23"/>
        <v>echo relicBitmap,items/craftingparts/components/component_a52_bristlyfur_b.tex, &gt;&gt; .\items\materia\class0027\Engineer64.dbr</v>
      </c>
      <c r="Q66" t="str">
        <f t="shared" si="23"/>
        <v>echo itemCost,500000, &gt;&gt; .\items\materia\class0027\Engineer64.dbr</v>
      </c>
      <c r="R66" t="str">
        <f t="shared" si="23"/>
        <v>echo description,dailCompDescEngineer64, &gt;&gt; .\items\materia\class0027\Engineer64.dbr</v>
      </c>
      <c r="S66" t="str">
        <f t="shared" si="23"/>
        <v>echo itemText,dailCompTextEngineer64, &gt;&gt; .\items\materia\class0027\Engineer64.dbr</v>
      </c>
      <c r="T66" t="str">
        <f t="shared" si="23"/>
        <v>echo augmentSkillLevel1,3, &gt;&gt; .\items\materia\class0027\Engineer64.dbr</v>
      </c>
      <c r="U66" t="str">
        <f t="shared" si="23"/>
        <v>echo augmentSkillName1,records/skills/playerclassEngineer/shockshot1b.dbr, &gt;&gt; .\items\materia\class0027\Engineer64.dbr</v>
      </c>
      <c r="V66" s="5" t="s">
        <v>36</v>
      </c>
      <c r="W66" t="str">
        <f t="shared" si="8"/>
        <v>echo lootName64,DAIL/items/materia/class0027/Engineer64.dbr, &gt;&gt; .\items\loottables\dailoneskill0027.dbr</v>
      </c>
      <c r="X66" t="str">
        <f t="shared" si="8"/>
        <v>echo lootWeight64,1, &gt;&gt; .\items\loottables\dailoneskill0027.dbr</v>
      </c>
      <c r="Y66" s="5" t="s">
        <v>36</v>
      </c>
      <c r="Z66" t="str">
        <f t="shared" si="9"/>
        <v xml:space="preserve"> dailCompDescEngineer64=^pEngineer's Gift of DAIL</v>
      </c>
      <c r="AA66" t="str">
        <f t="shared" si="17"/>
        <v>dailCompTextEngineer64=^oThis feels warm to the touch, almost familiar ^w(This component only fits into the Medal Slot)</v>
      </c>
      <c r="AB66" s="5" t="s">
        <v>36</v>
      </c>
      <c r="AH66">
        <f t="shared" si="19"/>
        <v>61</v>
      </c>
      <c r="AI66">
        <f t="shared" si="13"/>
        <v>36</v>
      </c>
      <c r="AJ66">
        <f t="shared" si="18"/>
        <v>3</v>
      </c>
    </row>
    <row r="67" spans="1:36" x14ac:dyDescent="0.25">
      <c r="A67" s="5" t="s">
        <v>39</v>
      </c>
      <c r="B67" s="5" t="s">
        <v>30</v>
      </c>
      <c r="C67" s="5" t="str">
        <f t="shared" ref="C67:C102" si="24">"description,dailCompDesc"&amp;H67&amp;G67&amp;","</f>
        <v>description,dailCompDescEngineer65,</v>
      </c>
      <c r="D67" s="5" t="str">
        <f t="shared" si="2"/>
        <v>itemText,dailCompTextEngineer65,</v>
      </c>
      <c r="E67" s="5" t="str">
        <f t="shared" si="14"/>
        <v>augmentSkillLevel1,5,</v>
      </c>
      <c r="F67" s="5" t="str">
        <f t="shared" si="15"/>
        <v>augmentSkillName1,records/skills/playerclassEngineer/shockshot2.dbr,</v>
      </c>
      <c r="G67" s="7">
        <f t="shared" si="10"/>
        <v>65</v>
      </c>
      <c r="H67" s="8" t="str">
        <f t="shared" si="11"/>
        <v>Engineer</v>
      </c>
      <c r="I67" s="3" t="s">
        <v>552</v>
      </c>
      <c r="J67" s="8" t="str">
        <f t="shared" si="22"/>
        <v>class0027</v>
      </c>
      <c r="K67" s="8" t="str">
        <f t="shared" si="22"/>
        <v>dailoneskill0027</v>
      </c>
      <c r="L67" s="5" t="str">
        <f t="shared" si="4"/>
        <v>lootName65,DAIL/items/materia/class0027/Engineer65.dbr,</v>
      </c>
      <c r="M67" s="5" t="str">
        <f t="shared" si="5"/>
        <v>lootWeight65,1,</v>
      </c>
      <c r="N67" t="str">
        <f t="shared" si="6"/>
        <v>5</v>
      </c>
      <c r="O67" t="str">
        <f t="shared" si="16"/>
        <v>copy .\dail_base3.dbr .\items\materia\class0027\Engineer65.dbr /y</v>
      </c>
      <c r="P67" t="str">
        <f t="shared" si="23"/>
        <v>echo relicBitmap,items/craftingparts/components/component_a52_bristlyfur_b.tex, &gt;&gt; .\items\materia\class0027\Engineer65.dbr</v>
      </c>
      <c r="Q67" t="str">
        <f t="shared" si="23"/>
        <v>echo itemCost,500000, &gt;&gt; .\items\materia\class0027\Engineer65.dbr</v>
      </c>
      <c r="R67" t="str">
        <f t="shared" si="23"/>
        <v>echo description,dailCompDescEngineer65, &gt;&gt; .\items\materia\class0027\Engineer65.dbr</v>
      </c>
      <c r="S67" t="str">
        <f t="shared" si="23"/>
        <v>echo itemText,dailCompTextEngineer65, &gt;&gt; .\items\materia\class0027\Engineer65.dbr</v>
      </c>
      <c r="T67" t="str">
        <f t="shared" si="23"/>
        <v>echo augmentSkillLevel1,5, &gt;&gt; .\items\materia\class0027\Engineer65.dbr</v>
      </c>
      <c r="U67" t="str">
        <f t="shared" si="23"/>
        <v>echo augmentSkillName1,records/skills/playerclassEngineer/shockshot2.dbr, &gt;&gt; .\items\materia\class0027\Engineer65.dbr</v>
      </c>
      <c r="V67" s="5" t="s">
        <v>36</v>
      </c>
      <c r="W67" t="str">
        <f t="shared" si="8"/>
        <v>echo lootName65,DAIL/items/materia/class0027/Engineer65.dbr, &gt;&gt; .\items\loottables\dailoneskill0027.dbr</v>
      </c>
      <c r="X67" t="str">
        <f t="shared" si="8"/>
        <v>echo lootWeight65,1, &gt;&gt; .\items\loottables\dailoneskill0027.dbr</v>
      </c>
      <c r="Y67" s="5" t="s">
        <v>36</v>
      </c>
      <c r="Z67" t="str">
        <f t="shared" si="9"/>
        <v xml:space="preserve"> dailCompDescEngineer65=^pEngineer's Gift of DAIL</v>
      </c>
      <c r="AA67" t="str">
        <f t="shared" si="17"/>
        <v>dailCompTextEngineer65=^oThis feels warm to the touch, almost familiar ^w(This component only fits into the Medal Slot)</v>
      </c>
      <c r="AB67" s="5" t="s">
        <v>36</v>
      </c>
      <c r="AH67">
        <f t="shared" si="19"/>
        <v>62</v>
      </c>
      <c r="AI67">
        <f t="shared" si="13"/>
        <v>35</v>
      </c>
      <c r="AJ67">
        <f t="shared" si="18"/>
        <v>5</v>
      </c>
    </row>
    <row r="68" spans="1:36" x14ac:dyDescent="0.25">
      <c r="A68" s="5" t="s">
        <v>39</v>
      </c>
      <c r="B68" s="5" t="s">
        <v>30</v>
      </c>
      <c r="C68" s="5" t="str">
        <f t="shared" si="24"/>
        <v>description,dailCompDescEngineer66,</v>
      </c>
      <c r="D68" s="5" t="str">
        <f t="shared" ref="D68:D102" si="25">"itemText,dailCompText"&amp;H68&amp;G68&amp;","</f>
        <v>itemText,dailCompTextEngineer66,</v>
      </c>
      <c r="E68" s="5" t="str">
        <f t="shared" si="14"/>
        <v>augmentSkillLevel1,5,</v>
      </c>
      <c r="F68" s="5" t="str">
        <f t="shared" si="15"/>
        <v>augmentSkillName1,records/skills/playerclassEngineer/shockshot3.dbr,</v>
      </c>
      <c r="G68" s="7">
        <f t="shared" si="10"/>
        <v>66</v>
      </c>
      <c r="H68" s="8" t="str">
        <f t="shared" si="11"/>
        <v>Engineer</v>
      </c>
      <c r="I68" s="3" t="s">
        <v>522</v>
      </c>
      <c r="J68" s="8" t="str">
        <f t="shared" si="22"/>
        <v>class0027</v>
      </c>
      <c r="K68" s="8" t="str">
        <f t="shared" si="22"/>
        <v>dailoneskill0027</v>
      </c>
      <c r="L68" s="5" t="str">
        <f t="shared" ref="L68:L102" si="26">"lootName"&amp;G68&amp;",DAIL/items/materia/"&amp;J68&amp;"/"&amp;H68&amp;G68&amp;".dbr"&amp;","</f>
        <v>lootName66,DAIL/items/materia/class0027/Engineer66.dbr,</v>
      </c>
      <c r="M68" s="5" t="str">
        <f t="shared" ref="M68:M102" si="27">"lootWeight"&amp;G68&amp;",1,"</f>
        <v>lootWeight66,1,</v>
      </c>
      <c r="N68" t="str">
        <f t="shared" ref="N68:N102" si="28">LEFT(RIGHT(E68,2),1)</f>
        <v>5</v>
      </c>
      <c r="O68" t="str">
        <f t="shared" si="16"/>
        <v>copy .\dail_base3.dbr .\items\materia\class0027\Engineer66.dbr /y</v>
      </c>
      <c r="P68" t="str">
        <f t="shared" si="23"/>
        <v>echo relicBitmap,items/craftingparts/components/component_a52_bristlyfur_b.tex, &gt;&gt; .\items\materia\class0027\Engineer66.dbr</v>
      </c>
      <c r="Q68" t="str">
        <f t="shared" si="23"/>
        <v>echo itemCost,500000, &gt;&gt; .\items\materia\class0027\Engineer66.dbr</v>
      </c>
      <c r="R68" t="str">
        <f t="shared" si="23"/>
        <v>echo description,dailCompDescEngineer66, &gt;&gt; .\items\materia\class0027\Engineer66.dbr</v>
      </c>
      <c r="S68" t="str">
        <f t="shared" si="23"/>
        <v>echo itemText,dailCompTextEngineer66, &gt;&gt; .\items\materia\class0027\Engineer66.dbr</v>
      </c>
      <c r="T68" t="str">
        <f t="shared" si="23"/>
        <v>echo augmentSkillLevel1,5, &gt;&gt; .\items\materia\class0027\Engineer66.dbr</v>
      </c>
      <c r="U68" t="str">
        <f t="shared" si="23"/>
        <v>echo augmentSkillName1,records/skills/playerclassEngineer/shockshot3.dbr, &gt;&gt; .\items\materia\class0027\Engineer66.dbr</v>
      </c>
      <c r="V68" s="5" t="s">
        <v>36</v>
      </c>
      <c r="W68" t="str">
        <f t="shared" ref="W68:X102" si="29">IF($I68&lt;&gt;"","echo "&amp;L68&amp;" &gt;&gt; .\items\loottables\"&amp;$K68&amp;".dbr","")</f>
        <v>echo lootName66,DAIL/items/materia/class0027/Engineer66.dbr, &gt;&gt; .\items\loottables\dailoneskill0027.dbr</v>
      </c>
      <c r="X68" t="str">
        <f t="shared" si="29"/>
        <v>echo lootWeight66,1, &gt;&gt; .\items\loottables\dailoneskill0027.dbr</v>
      </c>
      <c r="Y68" s="5" t="s">
        <v>36</v>
      </c>
      <c r="Z68" t="str">
        <f t="shared" ref="Z68:Z102" si="30">IF(I67&lt;&gt;""," dailCompDesc"&amp;H68&amp;G68&amp;"=^p"&amp;H68&amp;"'s Gift of DAIL","")</f>
        <v xml:space="preserve"> dailCompDescEngineer66=^pEngineer's Gift of DAIL</v>
      </c>
      <c r="AA68" t="str">
        <f t="shared" si="17"/>
        <v>dailCompTextEngineer66=^oThis feels warm to the touch, almost familiar ^w(This component only fits into the Medal Slot)</v>
      </c>
      <c r="AB68" s="5" t="s">
        <v>36</v>
      </c>
      <c r="AH68">
        <f t="shared" si="19"/>
        <v>63</v>
      </c>
      <c r="AI68">
        <f t="shared" si="13"/>
        <v>35</v>
      </c>
      <c r="AJ68">
        <f t="shared" si="18"/>
        <v>5</v>
      </c>
    </row>
    <row r="69" spans="1:36" x14ac:dyDescent="0.25">
      <c r="A69" s="5" t="s">
        <v>39</v>
      </c>
      <c r="B69" s="5" t="s">
        <v>30</v>
      </c>
      <c r="C69" s="5" t="str">
        <f t="shared" si="24"/>
        <v>description,dailCompDescEngineer67,</v>
      </c>
      <c r="D69" s="5" t="str">
        <f t="shared" si="25"/>
        <v>itemText,dailCompTextEngineer67,</v>
      </c>
      <c r="E69" s="5" t="str">
        <f t="shared" si="14"/>
        <v>augmentSkillLevel1,5,</v>
      </c>
      <c r="F69" s="5" t="str">
        <f t="shared" si="15"/>
        <v>augmentSkillName1,records/skills/playerclassEngineer/p_unarmedgadgetry.dbr,</v>
      </c>
      <c r="G69" s="7">
        <f t="shared" ref="G69:G102" si="31">IF(I69&lt;&gt;"",G68+1,"")</f>
        <v>67</v>
      </c>
      <c r="H69" s="8" t="str">
        <f t="shared" ref="H69:H102" si="32">H68</f>
        <v>Engineer</v>
      </c>
      <c r="I69" s="3" t="s">
        <v>523</v>
      </c>
      <c r="J69" s="8" t="str">
        <f t="shared" ref="J69:K84" si="33">J68</f>
        <v>class0027</v>
      </c>
      <c r="K69" s="8" t="str">
        <f t="shared" si="33"/>
        <v>dailoneskill0027</v>
      </c>
      <c r="L69" s="5" t="str">
        <f t="shared" si="26"/>
        <v>lootName67,DAIL/items/materia/class0027/Engineer67.dbr,</v>
      </c>
      <c r="M69" s="5" t="str">
        <f t="shared" si="27"/>
        <v>lootWeight67,1,</v>
      </c>
      <c r="N69" t="str">
        <f t="shared" si="28"/>
        <v>5</v>
      </c>
      <c r="O69" t="str">
        <f t="shared" si="16"/>
        <v>copy .\dail_base3.dbr .\items\materia\class0027\Engineer67.dbr /y</v>
      </c>
      <c r="P69" t="str">
        <f t="shared" si="23"/>
        <v>echo relicBitmap,items/craftingparts/components/component_a52_bristlyfur_b.tex, &gt;&gt; .\items\materia\class0027\Engineer67.dbr</v>
      </c>
      <c r="Q69" t="str">
        <f t="shared" si="23"/>
        <v>echo itemCost,500000, &gt;&gt; .\items\materia\class0027\Engineer67.dbr</v>
      </c>
      <c r="R69" t="str">
        <f t="shared" si="23"/>
        <v>echo description,dailCompDescEngineer67, &gt;&gt; .\items\materia\class0027\Engineer67.dbr</v>
      </c>
      <c r="S69" t="str">
        <f t="shared" si="23"/>
        <v>echo itemText,dailCompTextEngineer67, &gt;&gt; .\items\materia\class0027\Engineer67.dbr</v>
      </c>
      <c r="T69" t="str">
        <f t="shared" si="23"/>
        <v>echo augmentSkillLevel1,5, &gt;&gt; .\items\materia\class0027\Engineer67.dbr</v>
      </c>
      <c r="U69" t="str">
        <f t="shared" si="23"/>
        <v>echo augmentSkillName1,records/skills/playerclassEngineer/p_unarmedgadgetry.dbr, &gt;&gt; .\items\materia\class0027\Engineer67.dbr</v>
      </c>
      <c r="V69" s="5" t="s">
        <v>36</v>
      </c>
      <c r="W69" t="str">
        <f t="shared" si="29"/>
        <v>echo lootName67,DAIL/items/materia/class0027/Engineer67.dbr, &gt;&gt; .\items\loottables\dailoneskill0027.dbr</v>
      </c>
      <c r="X69" t="str">
        <f t="shared" si="29"/>
        <v>echo lootWeight67,1, &gt;&gt; .\items\loottables\dailoneskill0027.dbr</v>
      </c>
      <c r="Y69" s="5" t="s">
        <v>36</v>
      </c>
      <c r="Z69" t="str">
        <f t="shared" si="30"/>
        <v xml:space="preserve"> dailCompDescEngineer67=^pEngineer's Gift of DAIL</v>
      </c>
      <c r="AA69" t="str">
        <f t="shared" si="17"/>
        <v>dailCompTextEngineer67=^oThis feels warm to the touch, almost familiar ^w(This component only fits into the Medal Slot)</v>
      </c>
      <c r="AB69" s="5" t="s">
        <v>36</v>
      </c>
      <c r="AH69">
        <f t="shared" si="19"/>
        <v>64</v>
      </c>
      <c r="AI69">
        <f t="shared" si="13"/>
        <v>42</v>
      </c>
      <c r="AJ69">
        <f t="shared" si="18"/>
        <v>5</v>
      </c>
    </row>
    <row r="70" spans="1:36" x14ac:dyDescent="0.25">
      <c r="A70" s="5" t="s">
        <v>39</v>
      </c>
      <c r="B70" s="5" t="s">
        <v>30</v>
      </c>
      <c r="C70" s="5" t="str">
        <f t="shared" si="24"/>
        <v>description,dailCompDescEngineer68,</v>
      </c>
      <c r="D70" s="5" t="str">
        <f t="shared" si="25"/>
        <v>itemText,dailCompTextEngineer68,</v>
      </c>
      <c r="E70" s="5" t="str">
        <f t="shared" si="14"/>
        <v>augmentSkillLevel1,5,</v>
      </c>
      <c r="F70" s="5" t="str">
        <f t="shared" si="15"/>
        <v>augmentSkillName1,records/skills/playerclassEngineer/summon_sentry.dbr,</v>
      </c>
      <c r="G70" s="7">
        <f t="shared" si="31"/>
        <v>68</v>
      </c>
      <c r="H70" s="8" t="str">
        <f t="shared" si="32"/>
        <v>Engineer</v>
      </c>
      <c r="I70" s="3" t="s">
        <v>524</v>
      </c>
      <c r="J70" s="8" t="str">
        <f t="shared" si="33"/>
        <v>class0027</v>
      </c>
      <c r="K70" s="8" t="str">
        <f t="shared" si="33"/>
        <v>dailoneskill0027</v>
      </c>
      <c r="L70" s="5" t="str">
        <f t="shared" si="26"/>
        <v>lootName68,DAIL/items/materia/class0027/Engineer68.dbr,</v>
      </c>
      <c r="M70" s="5" t="str">
        <f t="shared" si="27"/>
        <v>lootWeight68,1,</v>
      </c>
      <c r="N70" t="str">
        <f t="shared" si="28"/>
        <v>5</v>
      </c>
      <c r="O70" t="str">
        <f t="shared" si="16"/>
        <v>copy .\dail_base3.dbr .\items\materia\class0027\Engineer68.dbr /y</v>
      </c>
      <c r="P70" t="str">
        <f t="shared" si="23"/>
        <v>echo relicBitmap,items/craftingparts/components/component_a52_bristlyfur_b.tex, &gt;&gt; .\items\materia\class0027\Engineer68.dbr</v>
      </c>
      <c r="Q70" t="str">
        <f t="shared" si="23"/>
        <v>echo itemCost,500000, &gt;&gt; .\items\materia\class0027\Engineer68.dbr</v>
      </c>
      <c r="R70" t="str">
        <f t="shared" si="23"/>
        <v>echo description,dailCompDescEngineer68, &gt;&gt; .\items\materia\class0027\Engineer68.dbr</v>
      </c>
      <c r="S70" t="str">
        <f t="shared" si="23"/>
        <v>echo itemText,dailCompTextEngineer68, &gt;&gt; .\items\materia\class0027\Engineer68.dbr</v>
      </c>
      <c r="T70" t="str">
        <f t="shared" si="23"/>
        <v>echo augmentSkillLevel1,5, &gt;&gt; .\items\materia\class0027\Engineer68.dbr</v>
      </c>
      <c r="U70" t="str">
        <f t="shared" si="23"/>
        <v>echo augmentSkillName1,records/skills/playerclassEngineer/summon_sentry.dbr, &gt;&gt; .\items\materia\class0027\Engineer68.dbr</v>
      </c>
      <c r="V70" s="5" t="s">
        <v>36</v>
      </c>
      <c r="W70" t="str">
        <f t="shared" si="29"/>
        <v>echo lootName68,DAIL/items/materia/class0027/Engineer68.dbr, &gt;&gt; .\items\loottables\dailoneskill0027.dbr</v>
      </c>
      <c r="X70" t="str">
        <f t="shared" si="29"/>
        <v>echo lootWeight68,1, &gt;&gt; .\items\loottables\dailoneskill0027.dbr</v>
      </c>
      <c r="Y70" s="5" t="s">
        <v>36</v>
      </c>
      <c r="Z70" t="str">
        <f t="shared" si="30"/>
        <v xml:space="preserve"> dailCompDescEngineer68=^pEngineer's Gift of DAIL</v>
      </c>
      <c r="AA70" t="str">
        <f t="shared" si="17"/>
        <v>dailCompTextEngineer68=^oThis feels warm to the touch, almost familiar ^w(This component only fits into the Medal Slot)</v>
      </c>
      <c r="AB70" s="5" t="s">
        <v>36</v>
      </c>
      <c r="AH70">
        <f t="shared" si="19"/>
        <v>65</v>
      </c>
      <c r="AI70">
        <f t="shared" ref="AI70:AI102" si="34">LEN(I70)</f>
        <v>38</v>
      </c>
      <c r="AJ70">
        <f t="shared" si="18"/>
        <v>5</v>
      </c>
    </row>
    <row r="71" spans="1:36" x14ac:dyDescent="0.25">
      <c r="A71" s="5" t="s">
        <v>39</v>
      </c>
      <c r="B71" s="5" t="s">
        <v>30</v>
      </c>
      <c r="C71" s="5" t="str">
        <f t="shared" si="24"/>
        <v>description,dailCompDescEngineer69,</v>
      </c>
      <c r="D71" s="5" t="str">
        <f t="shared" si="25"/>
        <v>itemText,dailCompTextEngineer69,</v>
      </c>
      <c r="E71" s="5" t="str">
        <f t="shared" ref="E71:E102" si="35">"augmentSkillLevel1,"&amp;AJ71&amp;","</f>
        <v>augmentSkillLevel1,5,</v>
      </c>
      <c r="F71" s="5" t="str">
        <f t="shared" ref="F71:F102" si="36">"augmentSkillName1,records/skills"&amp;I71&amp;","</f>
        <v>augmentSkillName1,records/skills/playerclassEngineer/p_sentrymastery.dbr,</v>
      </c>
      <c r="G71" s="7">
        <f t="shared" si="31"/>
        <v>69</v>
      </c>
      <c r="H71" s="8" t="str">
        <f t="shared" si="32"/>
        <v>Engineer</v>
      </c>
      <c r="I71" s="3" t="s">
        <v>525</v>
      </c>
      <c r="J71" s="8" t="str">
        <f t="shared" si="33"/>
        <v>class0027</v>
      </c>
      <c r="K71" s="8" t="str">
        <f t="shared" si="33"/>
        <v>dailoneskill0027</v>
      </c>
      <c r="L71" s="5" t="str">
        <f t="shared" si="26"/>
        <v>lootName69,DAIL/items/materia/class0027/Engineer69.dbr,</v>
      </c>
      <c r="M71" s="5" t="str">
        <f t="shared" si="27"/>
        <v>lootWeight69,1,</v>
      </c>
      <c r="N71" t="str">
        <f t="shared" si="28"/>
        <v>5</v>
      </c>
      <c r="O71" t="str">
        <f t="shared" ref="O71:O102" si="37">IF(I71&lt;&gt;"","copy .\"&amp;VLOOKUP(VALUE(N71),$AD$3:$AF$5,2,FALSE)&amp;" .\items\materia\"&amp;J71&amp;"\"&amp;H71&amp;G71&amp;".dbr /y"&amp;"","")</f>
        <v>copy .\dail_base3.dbr .\items\materia\class0027\Engineer69.dbr /y</v>
      </c>
      <c r="P71" t="str">
        <f t="shared" si="23"/>
        <v>echo relicBitmap,items/craftingparts/components/component_a52_bristlyfur_b.tex, &gt;&gt; .\items\materia\class0027\Engineer69.dbr</v>
      </c>
      <c r="Q71" t="str">
        <f t="shared" si="23"/>
        <v>echo itemCost,500000, &gt;&gt; .\items\materia\class0027\Engineer69.dbr</v>
      </c>
      <c r="R71" t="str">
        <f t="shared" si="23"/>
        <v>echo description,dailCompDescEngineer69, &gt;&gt; .\items\materia\class0027\Engineer69.dbr</v>
      </c>
      <c r="S71" t="str">
        <f t="shared" si="23"/>
        <v>echo itemText,dailCompTextEngineer69, &gt;&gt; .\items\materia\class0027\Engineer69.dbr</v>
      </c>
      <c r="T71" t="str">
        <f t="shared" si="23"/>
        <v>echo augmentSkillLevel1,5, &gt;&gt; .\items\materia\class0027\Engineer69.dbr</v>
      </c>
      <c r="U71" t="str">
        <f t="shared" si="23"/>
        <v>echo augmentSkillName1,records/skills/playerclassEngineer/p_sentrymastery.dbr, &gt;&gt; .\items\materia\class0027\Engineer69.dbr</v>
      </c>
      <c r="V71" s="5" t="s">
        <v>36</v>
      </c>
      <c r="W71" t="str">
        <f t="shared" si="29"/>
        <v>echo lootName69,DAIL/items/materia/class0027/Engineer69.dbr, &gt;&gt; .\items\loottables\dailoneskill0027.dbr</v>
      </c>
      <c r="X71" t="str">
        <f t="shared" si="29"/>
        <v>echo lootWeight69,1, &gt;&gt; .\items\loottables\dailoneskill0027.dbr</v>
      </c>
      <c r="Y71" s="5" t="s">
        <v>36</v>
      </c>
      <c r="Z71" t="str">
        <f t="shared" si="30"/>
        <v xml:space="preserve"> dailCompDescEngineer69=^pEngineer's Gift of DAIL</v>
      </c>
      <c r="AA71" t="str">
        <f t="shared" ref="AA71:AA102" si="38">IF(I70&lt;&gt;"","dailCompText"&amp;H71&amp;G71&amp;"=^oThis feels warm to the touch, almost familiar ^w("&amp;VLOOKUP(VALUE(N71),$AD$3:$AF$5,3,FALSE)&amp;")","")</f>
        <v>dailCompTextEngineer69=^oThis feels warm to the touch, almost familiar ^w(This component only fits into the Medal Slot)</v>
      </c>
      <c r="AB71" s="5" t="s">
        <v>36</v>
      </c>
      <c r="AH71">
        <f t="shared" si="19"/>
        <v>66</v>
      </c>
      <c r="AI71">
        <f t="shared" si="34"/>
        <v>40</v>
      </c>
      <c r="AJ71">
        <f t="shared" ref="AJ71:AJ102" si="39">IF(AH71&lt;$AL$7,1,IF(AH71&lt;$AL$8,3,5))</f>
        <v>5</v>
      </c>
    </row>
    <row r="72" spans="1:36" x14ac:dyDescent="0.25">
      <c r="A72" s="5" t="s">
        <v>39</v>
      </c>
      <c r="B72" s="5" t="s">
        <v>30</v>
      </c>
      <c r="C72" s="5" t="str">
        <f t="shared" si="24"/>
        <v>description,dailCompDescEngineer70,</v>
      </c>
      <c r="D72" s="5" t="str">
        <f t="shared" si="25"/>
        <v>itemText,dailCompTextEngineer70,</v>
      </c>
      <c r="E72" s="5" t="str">
        <f t="shared" si="35"/>
        <v>augmentSkillLevel1,5,</v>
      </c>
      <c r="F72" s="5" t="str">
        <f t="shared" si="36"/>
        <v>augmentSkillName1,records/skills/playerclassEngineer/imitatesentry.dbr,</v>
      </c>
      <c r="G72" s="7">
        <f t="shared" si="31"/>
        <v>70</v>
      </c>
      <c r="H72" s="8" t="str">
        <f t="shared" si="32"/>
        <v>Engineer</v>
      </c>
      <c r="I72" s="3" t="s">
        <v>526</v>
      </c>
      <c r="J72" s="8" t="str">
        <f t="shared" si="33"/>
        <v>class0027</v>
      </c>
      <c r="K72" s="8" t="str">
        <f t="shared" si="33"/>
        <v>dailoneskill0027</v>
      </c>
      <c r="L72" s="5" t="str">
        <f t="shared" si="26"/>
        <v>lootName70,DAIL/items/materia/class0027/Engineer70.dbr,</v>
      </c>
      <c r="M72" s="5" t="str">
        <f t="shared" si="27"/>
        <v>lootWeight70,1,</v>
      </c>
      <c r="N72" t="str">
        <f t="shared" si="28"/>
        <v>5</v>
      </c>
      <c r="O72" t="str">
        <f t="shared" si="37"/>
        <v>copy .\dail_base3.dbr .\items\materia\class0027\Engineer70.dbr /y</v>
      </c>
      <c r="P72" t="str">
        <f t="shared" si="23"/>
        <v>echo relicBitmap,items/craftingparts/components/component_a52_bristlyfur_b.tex, &gt;&gt; .\items\materia\class0027\Engineer70.dbr</v>
      </c>
      <c r="Q72" t="str">
        <f t="shared" si="23"/>
        <v>echo itemCost,500000, &gt;&gt; .\items\materia\class0027\Engineer70.dbr</v>
      </c>
      <c r="R72" t="str">
        <f t="shared" si="23"/>
        <v>echo description,dailCompDescEngineer70, &gt;&gt; .\items\materia\class0027\Engineer70.dbr</v>
      </c>
      <c r="S72" t="str">
        <f t="shared" si="23"/>
        <v>echo itemText,dailCompTextEngineer70, &gt;&gt; .\items\materia\class0027\Engineer70.dbr</v>
      </c>
      <c r="T72" t="str">
        <f t="shared" si="23"/>
        <v>echo augmentSkillLevel1,5, &gt;&gt; .\items\materia\class0027\Engineer70.dbr</v>
      </c>
      <c r="U72" t="str">
        <f t="shared" si="23"/>
        <v>echo augmentSkillName1,records/skills/playerclassEngineer/imitatesentry.dbr, &gt;&gt; .\items\materia\class0027\Engineer70.dbr</v>
      </c>
      <c r="V72" s="5" t="s">
        <v>36</v>
      </c>
      <c r="W72" t="str">
        <f t="shared" si="29"/>
        <v>echo lootName70,DAIL/items/materia/class0027/Engineer70.dbr, &gt;&gt; .\items\loottables\dailoneskill0027.dbr</v>
      </c>
      <c r="X72" t="str">
        <f t="shared" si="29"/>
        <v>echo lootWeight70,1, &gt;&gt; .\items\loottables\dailoneskill0027.dbr</v>
      </c>
      <c r="Y72" s="5" t="s">
        <v>36</v>
      </c>
      <c r="Z72" t="str">
        <f t="shared" si="30"/>
        <v xml:space="preserve"> dailCompDescEngineer70=^pEngineer's Gift of DAIL</v>
      </c>
      <c r="AA72" t="str">
        <f t="shared" si="38"/>
        <v>dailCompTextEngineer70=^oThis feels warm to the touch, almost familiar ^w(This component only fits into the Medal Slot)</v>
      </c>
      <c r="AB72" s="5" t="s">
        <v>36</v>
      </c>
      <c r="AH72">
        <f t="shared" ref="AH72:AH102" si="40">AH71+1</f>
        <v>67</v>
      </c>
      <c r="AI72">
        <f t="shared" si="34"/>
        <v>38</v>
      </c>
      <c r="AJ72">
        <f t="shared" si="39"/>
        <v>5</v>
      </c>
    </row>
    <row r="73" spans="1:36" x14ac:dyDescent="0.25">
      <c r="A73" s="5" t="s">
        <v>39</v>
      </c>
      <c r="B73" s="5" t="s">
        <v>30</v>
      </c>
      <c r="C73" s="5" t="str">
        <f t="shared" si="24"/>
        <v>description,dailCompDescEngineer71,</v>
      </c>
      <c r="D73" s="5" t="str">
        <f t="shared" si="25"/>
        <v>itemText,dailCompTextEngineer71,</v>
      </c>
      <c r="E73" s="5" t="str">
        <f t="shared" si="35"/>
        <v>augmentSkillLevel1,5,</v>
      </c>
      <c r="F73" s="5" t="str">
        <f t="shared" si="36"/>
        <v>augmentSkillName1,records/skills/playerclassEngineer/cannonshot1.dbr,</v>
      </c>
      <c r="G73" s="7">
        <f t="shared" si="31"/>
        <v>71</v>
      </c>
      <c r="H73" s="8" t="str">
        <f t="shared" si="32"/>
        <v>Engineer</v>
      </c>
      <c r="I73" s="3" t="s">
        <v>527</v>
      </c>
      <c r="J73" s="8" t="str">
        <f t="shared" si="33"/>
        <v>class0027</v>
      </c>
      <c r="K73" s="8" t="str">
        <f t="shared" si="33"/>
        <v>dailoneskill0027</v>
      </c>
      <c r="L73" s="5" t="str">
        <f t="shared" si="26"/>
        <v>lootName71,DAIL/items/materia/class0027/Engineer71.dbr,</v>
      </c>
      <c r="M73" s="5" t="str">
        <f t="shared" si="27"/>
        <v>lootWeight71,1,</v>
      </c>
      <c r="N73" t="str">
        <f t="shared" si="28"/>
        <v>5</v>
      </c>
      <c r="O73" t="str">
        <f t="shared" si="37"/>
        <v>copy .\dail_base3.dbr .\items\materia\class0027\Engineer71.dbr /y</v>
      </c>
      <c r="P73" t="str">
        <f t="shared" si="23"/>
        <v>echo relicBitmap,items/craftingparts/components/component_a52_bristlyfur_b.tex, &gt;&gt; .\items\materia\class0027\Engineer71.dbr</v>
      </c>
      <c r="Q73" t="str">
        <f t="shared" si="23"/>
        <v>echo itemCost,500000, &gt;&gt; .\items\materia\class0027\Engineer71.dbr</v>
      </c>
      <c r="R73" t="str">
        <f t="shared" si="23"/>
        <v>echo description,dailCompDescEngineer71, &gt;&gt; .\items\materia\class0027\Engineer71.dbr</v>
      </c>
      <c r="S73" t="str">
        <f t="shared" si="23"/>
        <v>echo itemText,dailCompTextEngineer71, &gt;&gt; .\items\materia\class0027\Engineer71.dbr</v>
      </c>
      <c r="T73" t="str">
        <f t="shared" si="23"/>
        <v>echo augmentSkillLevel1,5, &gt;&gt; .\items\materia\class0027\Engineer71.dbr</v>
      </c>
      <c r="U73" t="str">
        <f t="shared" si="23"/>
        <v>echo augmentSkillName1,records/skills/playerclassEngineer/cannonshot1.dbr, &gt;&gt; .\items\materia\class0027\Engineer71.dbr</v>
      </c>
      <c r="V73" s="5" t="s">
        <v>36</v>
      </c>
      <c r="W73" t="str">
        <f t="shared" si="29"/>
        <v>echo lootName71,DAIL/items/materia/class0027/Engineer71.dbr, &gt;&gt; .\items\loottables\dailoneskill0027.dbr</v>
      </c>
      <c r="X73" t="str">
        <f t="shared" si="29"/>
        <v>echo lootWeight71,1, &gt;&gt; .\items\loottables\dailoneskill0027.dbr</v>
      </c>
      <c r="Y73" s="5" t="s">
        <v>36</v>
      </c>
      <c r="Z73" t="str">
        <f t="shared" si="30"/>
        <v xml:space="preserve"> dailCompDescEngineer71=^pEngineer's Gift of DAIL</v>
      </c>
      <c r="AA73" t="str">
        <f t="shared" si="38"/>
        <v>dailCompTextEngineer71=^oThis feels warm to the touch, almost familiar ^w(This component only fits into the Medal Slot)</v>
      </c>
      <c r="AB73" s="5" t="s">
        <v>36</v>
      </c>
      <c r="AH73">
        <f t="shared" si="40"/>
        <v>68</v>
      </c>
      <c r="AI73">
        <f t="shared" si="34"/>
        <v>36</v>
      </c>
      <c r="AJ73">
        <f t="shared" si="39"/>
        <v>5</v>
      </c>
    </row>
    <row r="74" spans="1:36" x14ac:dyDescent="0.25">
      <c r="A74" s="5" t="s">
        <v>39</v>
      </c>
      <c r="B74" s="5" t="s">
        <v>30</v>
      </c>
      <c r="C74" s="5" t="str">
        <f t="shared" si="24"/>
        <v>description,dailCompDescEngineer72,</v>
      </c>
      <c r="D74" s="5" t="str">
        <f t="shared" si="25"/>
        <v>itemText,dailCompTextEngineer72,</v>
      </c>
      <c r="E74" s="5" t="str">
        <f t="shared" si="35"/>
        <v>augmentSkillLevel1,5,</v>
      </c>
      <c r="F74" s="5" t="str">
        <f t="shared" si="36"/>
        <v>augmentSkillName1,records/skills/playerclassEngineer/cannonshot1b.dbr,</v>
      </c>
      <c r="G74" s="7">
        <f t="shared" si="31"/>
        <v>72</v>
      </c>
      <c r="H74" s="8" t="str">
        <f t="shared" si="32"/>
        <v>Engineer</v>
      </c>
      <c r="I74" s="3" t="s">
        <v>528</v>
      </c>
      <c r="J74" s="8" t="str">
        <f t="shared" si="33"/>
        <v>class0027</v>
      </c>
      <c r="K74" s="8" t="str">
        <f t="shared" si="33"/>
        <v>dailoneskill0027</v>
      </c>
      <c r="L74" s="5" t="str">
        <f t="shared" si="26"/>
        <v>lootName72,DAIL/items/materia/class0027/Engineer72.dbr,</v>
      </c>
      <c r="M74" s="5" t="str">
        <f t="shared" si="27"/>
        <v>lootWeight72,1,</v>
      </c>
      <c r="N74" t="str">
        <f t="shared" si="28"/>
        <v>5</v>
      </c>
      <c r="O74" t="str">
        <f t="shared" si="37"/>
        <v>copy .\dail_base3.dbr .\items\materia\class0027\Engineer72.dbr /y</v>
      </c>
      <c r="P74" t="str">
        <f t="shared" si="23"/>
        <v>echo relicBitmap,items/craftingparts/components/component_a52_bristlyfur_b.tex, &gt;&gt; .\items\materia\class0027\Engineer72.dbr</v>
      </c>
      <c r="Q74" t="str">
        <f t="shared" si="23"/>
        <v>echo itemCost,500000, &gt;&gt; .\items\materia\class0027\Engineer72.dbr</v>
      </c>
      <c r="R74" t="str">
        <f t="shared" si="23"/>
        <v>echo description,dailCompDescEngineer72, &gt;&gt; .\items\materia\class0027\Engineer72.dbr</v>
      </c>
      <c r="S74" t="str">
        <f t="shared" si="23"/>
        <v>echo itemText,dailCompTextEngineer72, &gt;&gt; .\items\materia\class0027\Engineer72.dbr</v>
      </c>
      <c r="T74" t="str">
        <f t="shared" si="23"/>
        <v>echo augmentSkillLevel1,5, &gt;&gt; .\items\materia\class0027\Engineer72.dbr</v>
      </c>
      <c r="U74" t="str">
        <f t="shared" si="23"/>
        <v>echo augmentSkillName1,records/skills/playerclassEngineer/cannonshot1b.dbr, &gt;&gt; .\items\materia\class0027\Engineer72.dbr</v>
      </c>
      <c r="V74" s="5" t="s">
        <v>36</v>
      </c>
      <c r="W74" t="str">
        <f t="shared" si="29"/>
        <v>echo lootName72,DAIL/items/materia/class0027/Engineer72.dbr, &gt;&gt; .\items\loottables\dailoneskill0027.dbr</v>
      </c>
      <c r="X74" t="str">
        <f t="shared" si="29"/>
        <v>echo lootWeight72,1, &gt;&gt; .\items\loottables\dailoneskill0027.dbr</v>
      </c>
      <c r="Y74" s="5" t="s">
        <v>36</v>
      </c>
      <c r="Z74" t="str">
        <f t="shared" si="30"/>
        <v xml:space="preserve"> dailCompDescEngineer72=^pEngineer's Gift of DAIL</v>
      </c>
      <c r="AA74" t="str">
        <f t="shared" si="38"/>
        <v>dailCompTextEngineer72=^oThis feels warm to the touch, almost familiar ^w(This component only fits into the Medal Slot)</v>
      </c>
      <c r="AB74" s="5" t="s">
        <v>36</v>
      </c>
      <c r="AH74">
        <f t="shared" si="40"/>
        <v>69</v>
      </c>
      <c r="AI74">
        <f t="shared" si="34"/>
        <v>37</v>
      </c>
      <c r="AJ74">
        <f t="shared" si="39"/>
        <v>5</v>
      </c>
    </row>
    <row r="75" spans="1:36" x14ac:dyDescent="0.25">
      <c r="A75" s="5" t="s">
        <v>39</v>
      </c>
      <c r="B75" s="5" t="s">
        <v>30</v>
      </c>
      <c r="C75" s="5" t="str">
        <f t="shared" si="24"/>
        <v>description,dailCompDescEngineer73,</v>
      </c>
      <c r="D75" s="5" t="str">
        <f t="shared" si="25"/>
        <v>itemText,dailCompTextEngineer73,</v>
      </c>
      <c r="E75" s="5" t="str">
        <f t="shared" si="35"/>
        <v>augmentSkillLevel1,5,</v>
      </c>
      <c r="F75" s="5" t="str">
        <f t="shared" si="36"/>
        <v>augmentSkillName1,records/skills/playerclassEngineer/cannonshot2.dbr,</v>
      </c>
      <c r="G75" s="7">
        <f t="shared" si="31"/>
        <v>73</v>
      </c>
      <c r="H75" s="8" t="str">
        <f t="shared" si="32"/>
        <v>Engineer</v>
      </c>
      <c r="I75" s="3" t="s">
        <v>529</v>
      </c>
      <c r="J75" s="8" t="str">
        <f t="shared" si="33"/>
        <v>class0027</v>
      </c>
      <c r="K75" s="8" t="str">
        <f t="shared" si="33"/>
        <v>dailoneskill0027</v>
      </c>
      <c r="L75" s="5" t="str">
        <f t="shared" si="26"/>
        <v>lootName73,DAIL/items/materia/class0027/Engineer73.dbr,</v>
      </c>
      <c r="M75" s="5" t="str">
        <f t="shared" si="27"/>
        <v>lootWeight73,1,</v>
      </c>
      <c r="N75" t="str">
        <f t="shared" si="28"/>
        <v>5</v>
      </c>
      <c r="O75" t="str">
        <f t="shared" si="37"/>
        <v>copy .\dail_base3.dbr .\items\materia\class0027\Engineer73.dbr /y</v>
      </c>
      <c r="P75" t="str">
        <f t="shared" si="23"/>
        <v>echo relicBitmap,items/craftingparts/components/component_a52_bristlyfur_b.tex, &gt;&gt; .\items\materia\class0027\Engineer73.dbr</v>
      </c>
      <c r="Q75" t="str">
        <f t="shared" si="23"/>
        <v>echo itemCost,500000, &gt;&gt; .\items\materia\class0027\Engineer73.dbr</v>
      </c>
      <c r="R75" t="str">
        <f t="shared" si="23"/>
        <v>echo description,dailCompDescEngineer73, &gt;&gt; .\items\materia\class0027\Engineer73.dbr</v>
      </c>
      <c r="S75" t="str">
        <f t="shared" si="23"/>
        <v>echo itemText,dailCompTextEngineer73, &gt;&gt; .\items\materia\class0027\Engineer73.dbr</v>
      </c>
      <c r="T75" t="str">
        <f t="shared" si="23"/>
        <v>echo augmentSkillLevel1,5, &gt;&gt; .\items\materia\class0027\Engineer73.dbr</v>
      </c>
      <c r="U75" t="str">
        <f t="shared" si="23"/>
        <v>echo augmentSkillName1,records/skills/playerclassEngineer/cannonshot2.dbr, &gt;&gt; .\items\materia\class0027\Engineer73.dbr</v>
      </c>
      <c r="V75" s="5" t="s">
        <v>36</v>
      </c>
      <c r="W75" t="str">
        <f t="shared" si="29"/>
        <v>echo lootName73,DAIL/items/materia/class0027/Engineer73.dbr, &gt;&gt; .\items\loottables\dailoneskill0027.dbr</v>
      </c>
      <c r="X75" t="str">
        <f t="shared" si="29"/>
        <v>echo lootWeight73,1, &gt;&gt; .\items\loottables\dailoneskill0027.dbr</v>
      </c>
      <c r="Y75" s="5" t="s">
        <v>36</v>
      </c>
      <c r="Z75" t="str">
        <f t="shared" si="30"/>
        <v xml:space="preserve"> dailCompDescEngineer73=^pEngineer's Gift of DAIL</v>
      </c>
      <c r="AA75" t="str">
        <f t="shared" si="38"/>
        <v>dailCompTextEngineer73=^oThis feels warm to the touch, almost familiar ^w(This component only fits into the Medal Slot)</v>
      </c>
      <c r="AB75" s="5" t="s">
        <v>36</v>
      </c>
      <c r="AH75">
        <f t="shared" si="40"/>
        <v>70</v>
      </c>
      <c r="AI75">
        <f t="shared" si="34"/>
        <v>36</v>
      </c>
      <c r="AJ75">
        <f t="shared" si="39"/>
        <v>5</v>
      </c>
    </row>
    <row r="76" spans="1:36" x14ac:dyDescent="0.25">
      <c r="A76" s="5" t="s">
        <v>39</v>
      </c>
      <c r="B76" s="5" t="s">
        <v>30</v>
      </c>
      <c r="C76" s="5" t="str">
        <f t="shared" si="24"/>
        <v>description,dailCompDescEngineer74,</v>
      </c>
      <c r="D76" s="5" t="str">
        <f t="shared" si="25"/>
        <v>itemText,dailCompTextEngineer74,</v>
      </c>
      <c r="E76" s="5" t="str">
        <f t="shared" si="35"/>
        <v>augmentSkillLevel1,5,</v>
      </c>
      <c r="F76" s="5" t="str">
        <f t="shared" si="36"/>
        <v>augmentSkillName1,records/skills/playerclassEngineer/groundpound1.dbr,</v>
      </c>
      <c r="G76" s="7">
        <f t="shared" si="31"/>
        <v>74</v>
      </c>
      <c r="H76" s="8" t="str">
        <f t="shared" si="32"/>
        <v>Engineer</v>
      </c>
      <c r="I76" s="3" t="s">
        <v>530</v>
      </c>
      <c r="J76" s="8" t="str">
        <f t="shared" si="33"/>
        <v>class0027</v>
      </c>
      <c r="K76" s="8" t="str">
        <f t="shared" si="33"/>
        <v>dailoneskill0027</v>
      </c>
      <c r="L76" s="5" t="str">
        <f t="shared" si="26"/>
        <v>lootName74,DAIL/items/materia/class0027/Engineer74.dbr,</v>
      </c>
      <c r="M76" s="5" t="str">
        <f t="shared" si="27"/>
        <v>lootWeight74,1,</v>
      </c>
      <c r="N76" t="str">
        <f t="shared" si="28"/>
        <v>5</v>
      </c>
      <c r="O76" t="str">
        <f t="shared" si="37"/>
        <v>copy .\dail_base3.dbr .\items\materia\class0027\Engineer74.dbr /y</v>
      </c>
      <c r="P76" t="str">
        <f t="shared" si="23"/>
        <v>echo relicBitmap,items/craftingparts/components/component_a52_bristlyfur_b.tex, &gt;&gt; .\items\materia\class0027\Engineer74.dbr</v>
      </c>
      <c r="Q76" t="str">
        <f t="shared" si="23"/>
        <v>echo itemCost,500000, &gt;&gt; .\items\materia\class0027\Engineer74.dbr</v>
      </c>
      <c r="R76" t="str">
        <f t="shared" si="23"/>
        <v>echo description,dailCompDescEngineer74, &gt;&gt; .\items\materia\class0027\Engineer74.dbr</v>
      </c>
      <c r="S76" t="str">
        <f t="shared" si="23"/>
        <v>echo itemText,dailCompTextEngineer74, &gt;&gt; .\items\materia\class0027\Engineer74.dbr</v>
      </c>
      <c r="T76" t="str">
        <f t="shared" si="23"/>
        <v>echo augmentSkillLevel1,5, &gt;&gt; .\items\materia\class0027\Engineer74.dbr</v>
      </c>
      <c r="U76" t="str">
        <f t="shared" si="23"/>
        <v>echo augmentSkillName1,records/skills/playerclassEngineer/groundpound1.dbr, &gt;&gt; .\items\materia\class0027\Engineer74.dbr</v>
      </c>
      <c r="V76" s="5" t="s">
        <v>36</v>
      </c>
      <c r="W76" t="str">
        <f t="shared" si="29"/>
        <v>echo lootName74,DAIL/items/materia/class0027/Engineer74.dbr, &gt;&gt; .\items\loottables\dailoneskill0027.dbr</v>
      </c>
      <c r="X76" t="str">
        <f t="shared" si="29"/>
        <v>echo lootWeight74,1, &gt;&gt; .\items\loottables\dailoneskill0027.dbr</v>
      </c>
      <c r="Y76" s="5" t="s">
        <v>36</v>
      </c>
      <c r="Z76" t="str">
        <f t="shared" si="30"/>
        <v xml:space="preserve"> dailCompDescEngineer74=^pEngineer's Gift of DAIL</v>
      </c>
      <c r="AA76" t="str">
        <f t="shared" si="38"/>
        <v>dailCompTextEngineer74=^oThis feels warm to the touch, almost familiar ^w(This component only fits into the Medal Slot)</v>
      </c>
      <c r="AB76" s="5" t="s">
        <v>36</v>
      </c>
      <c r="AH76">
        <f t="shared" si="40"/>
        <v>71</v>
      </c>
      <c r="AI76">
        <f t="shared" si="34"/>
        <v>37</v>
      </c>
      <c r="AJ76">
        <f t="shared" si="39"/>
        <v>5</v>
      </c>
    </row>
    <row r="77" spans="1:36" x14ac:dyDescent="0.25">
      <c r="A77" s="5" t="s">
        <v>39</v>
      </c>
      <c r="B77" s="5" t="s">
        <v>30</v>
      </c>
      <c r="C77" s="5" t="str">
        <f t="shared" si="24"/>
        <v>description,dailCompDescEngineer75,</v>
      </c>
      <c r="D77" s="5" t="str">
        <f t="shared" si="25"/>
        <v>itemText,dailCompTextEngineer75,</v>
      </c>
      <c r="E77" s="5" t="str">
        <f t="shared" si="35"/>
        <v>augmentSkillLevel1,5,</v>
      </c>
      <c r="F77" s="5" t="str">
        <f t="shared" si="36"/>
        <v>augmentSkillName1,records/skills/playerclassEngineer/groundpound2.dbr,</v>
      </c>
      <c r="G77" s="7">
        <f t="shared" si="31"/>
        <v>75</v>
      </c>
      <c r="H77" s="8" t="str">
        <f t="shared" si="32"/>
        <v>Engineer</v>
      </c>
      <c r="I77" s="3" t="s">
        <v>531</v>
      </c>
      <c r="J77" s="8" t="str">
        <f t="shared" si="33"/>
        <v>class0027</v>
      </c>
      <c r="K77" s="8" t="str">
        <f t="shared" si="33"/>
        <v>dailoneskill0027</v>
      </c>
      <c r="L77" s="5" t="str">
        <f t="shared" si="26"/>
        <v>lootName75,DAIL/items/materia/class0027/Engineer75.dbr,</v>
      </c>
      <c r="M77" s="5" t="str">
        <f t="shared" si="27"/>
        <v>lootWeight75,1,</v>
      </c>
      <c r="N77" t="str">
        <f t="shared" si="28"/>
        <v>5</v>
      </c>
      <c r="O77" t="str">
        <f t="shared" si="37"/>
        <v>copy .\dail_base3.dbr .\items\materia\class0027\Engineer75.dbr /y</v>
      </c>
      <c r="P77" t="str">
        <f t="shared" si="23"/>
        <v>echo relicBitmap,items/craftingparts/components/component_a52_bristlyfur_b.tex, &gt;&gt; .\items\materia\class0027\Engineer75.dbr</v>
      </c>
      <c r="Q77" t="str">
        <f t="shared" si="23"/>
        <v>echo itemCost,500000, &gt;&gt; .\items\materia\class0027\Engineer75.dbr</v>
      </c>
      <c r="R77" t="str">
        <f t="shared" si="23"/>
        <v>echo description,dailCompDescEngineer75, &gt;&gt; .\items\materia\class0027\Engineer75.dbr</v>
      </c>
      <c r="S77" t="str">
        <f t="shared" si="23"/>
        <v>echo itemText,dailCompTextEngineer75, &gt;&gt; .\items\materia\class0027\Engineer75.dbr</v>
      </c>
      <c r="T77" t="str">
        <f t="shared" si="23"/>
        <v>echo augmentSkillLevel1,5, &gt;&gt; .\items\materia\class0027\Engineer75.dbr</v>
      </c>
      <c r="U77" t="str">
        <f t="shared" si="23"/>
        <v>echo augmentSkillName1,records/skills/playerclassEngineer/groundpound2.dbr, &gt;&gt; .\items\materia\class0027\Engineer75.dbr</v>
      </c>
      <c r="V77" s="5" t="s">
        <v>36</v>
      </c>
      <c r="W77" t="str">
        <f t="shared" si="29"/>
        <v>echo lootName75,DAIL/items/materia/class0027/Engineer75.dbr, &gt;&gt; .\items\loottables\dailoneskill0027.dbr</v>
      </c>
      <c r="X77" t="str">
        <f t="shared" si="29"/>
        <v>echo lootWeight75,1, &gt;&gt; .\items\loottables\dailoneskill0027.dbr</v>
      </c>
      <c r="Y77" s="5" t="s">
        <v>36</v>
      </c>
      <c r="Z77" t="str">
        <f t="shared" si="30"/>
        <v xml:space="preserve"> dailCompDescEngineer75=^pEngineer's Gift of DAIL</v>
      </c>
      <c r="AA77" t="str">
        <f t="shared" si="38"/>
        <v>dailCompTextEngineer75=^oThis feels warm to the touch, almost familiar ^w(This component only fits into the Medal Slot)</v>
      </c>
      <c r="AB77" s="5" t="s">
        <v>36</v>
      </c>
      <c r="AH77">
        <f t="shared" si="40"/>
        <v>72</v>
      </c>
      <c r="AI77">
        <f t="shared" si="34"/>
        <v>37</v>
      </c>
      <c r="AJ77">
        <f t="shared" si="39"/>
        <v>5</v>
      </c>
    </row>
    <row r="78" spans="1:36" x14ac:dyDescent="0.25">
      <c r="A78" s="5" t="s">
        <v>39</v>
      </c>
      <c r="B78" s="5" t="s">
        <v>30</v>
      </c>
      <c r="C78" s="5" t="str">
        <f t="shared" si="24"/>
        <v>description,dailCompDescEngineer76,</v>
      </c>
      <c r="D78" s="5" t="str">
        <f t="shared" si="25"/>
        <v>itemText,dailCompTextEngineer76,</v>
      </c>
      <c r="E78" s="5" t="str">
        <f t="shared" si="35"/>
        <v>augmentSkillLevel1,5,</v>
      </c>
      <c r="F78" s="5" t="str">
        <f t="shared" si="36"/>
        <v>augmentSkillName1,records/skills/playerclassEngineer/powerpalms1.dbr,</v>
      </c>
      <c r="G78" s="7">
        <f t="shared" si="31"/>
        <v>76</v>
      </c>
      <c r="H78" s="8" t="str">
        <f t="shared" si="32"/>
        <v>Engineer</v>
      </c>
      <c r="I78" s="3" t="s">
        <v>532</v>
      </c>
      <c r="J78" s="8" t="str">
        <f t="shared" si="33"/>
        <v>class0027</v>
      </c>
      <c r="K78" s="8" t="str">
        <f t="shared" si="33"/>
        <v>dailoneskill0027</v>
      </c>
      <c r="L78" s="5" t="str">
        <f t="shared" si="26"/>
        <v>lootName76,DAIL/items/materia/class0027/Engineer76.dbr,</v>
      </c>
      <c r="M78" s="5" t="str">
        <f t="shared" si="27"/>
        <v>lootWeight76,1,</v>
      </c>
      <c r="N78" t="str">
        <f t="shared" si="28"/>
        <v>5</v>
      </c>
      <c r="O78" t="str">
        <f t="shared" si="37"/>
        <v>copy .\dail_base3.dbr .\items\materia\class0027\Engineer76.dbr /y</v>
      </c>
      <c r="P78" t="str">
        <f t="shared" si="23"/>
        <v>echo relicBitmap,items/craftingparts/components/component_a52_bristlyfur_b.tex, &gt;&gt; .\items\materia\class0027\Engineer76.dbr</v>
      </c>
      <c r="Q78" t="str">
        <f t="shared" si="23"/>
        <v>echo itemCost,500000, &gt;&gt; .\items\materia\class0027\Engineer76.dbr</v>
      </c>
      <c r="R78" t="str">
        <f t="shared" si="23"/>
        <v>echo description,dailCompDescEngineer76, &gt;&gt; .\items\materia\class0027\Engineer76.dbr</v>
      </c>
      <c r="S78" t="str">
        <f t="shared" si="23"/>
        <v>echo itemText,dailCompTextEngineer76, &gt;&gt; .\items\materia\class0027\Engineer76.dbr</v>
      </c>
      <c r="T78" t="str">
        <f t="shared" si="23"/>
        <v>echo augmentSkillLevel1,5, &gt;&gt; .\items\materia\class0027\Engineer76.dbr</v>
      </c>
      <c r="U78" t="str">
        <f t="shared" si="23"/>
        <v>echo augmentSkillName1,records/skills/playerclassEngineer/powerpalms1.dbr, &gt;&gt; .\items\materia\class0027\Engineer76.dbr</v>
      </c>
      <c r="V78" s="5" t="s">
        <v>36</v>
      </c>
      <c r="W78" t="str">
        <f t="shared" si="29"/>
        <v>echo lootName76,DAIL/items/materia/class0027/Engineer76.dbr, &gt;&gt; .\items\loottables\dailoneskill0027.dbr</v>
      </c>
      <c r="X78" t="str">
        <f t="shared" si="29"/>
        <v>echo lootWeight76,1, &gt;&gt; .\items\loottables\dailoneskill0027.dbr</v>
      </c>
      <c r="Y78" s="5" t="s">
        <v>36</v>
      </c>
      <c r="Z78" t="str">
        <f t="shared" si="30"/>
        <v xml:space="preserve"> dailCompDescEngineer76=^pEngineer's Gift of DAIL</v>
      </c>
      <c r="AA78" t="str">
        <f t="shared" si="38"/>
        <v>dailCompTextEngineer76=^oThis feels warm to the touch, almost familiar ^w(This component only fits into the Medal Slot)</v>
      </c>
      <c r="AB78" s="5" t="s">
        <v>36</v>
      </c>
      <c r="AH78">
        <f t="shared" si="40"/>
        <v>73</v>
      </c>
      <c r="AI78">
        <f t="shared" si="34"/>
        <v>36</v>
      </c>
      <c r="AJ78">
        <f t="shared" si="39"/>
        <v>5</v>
      </c>
    </row>
    <row r="79" spans="1:36" x14ac:dyDescent="0.25">
      <c r="A79" s="5" t="s">
        <v>39</v>
      </c>
      <c r="B79" s="5" t="s">
        <v>30</v>
      </c>
      <c r="C79" s="5" t="str">
        <f t="shared" si="24"/>
        <v>description,dailCompDescEngineer77,</v>
      </c>
      <c r="D79" s="5" t="str">
        <f t="shared" si="25"/>
        <v>itemText,dailCompTextEngineer77,</v>
      </c>
      <c r="E79" s="5" t="str">
        <f t="shared" si="35"/>
        <v>augmentSkillLevel1,5,</v>
      </c>
      <c r="F79" s="5" t="str">
        <f t="shared" si="36"/>
        <v>augmentSkillName1,records/skills/playerclassEngineer/summon_safespacebot.dbr,</v>
      </c>
      <c r="G79" s="7">
        <f t="shared" si="31"/>
        <v>77</v>
      </c>
      <c r="H79" s="8" t="str">
        <f t="shared" si="32"/>
        <v>Engineer</v>
      </c>
      <c r="I79" s="3" t="s">
        <v>533</v>
      </c>
      <c r="J79" s="8" t="str">
        <f t="shared" si="33"/>
        <v>class0027</v>
      </c>
      <c r="K79" s="8" t="str">
        <f t="shared" si="33"/>
        <v>dailoneskill0027</v>
      </c>
      <c r="L79" s="5" t="str">
        <f t="shared" si="26"/>
        <v>lootName77,DAIL/items/materia/class0027/Engineer77.dbr,</v>
      </c>
      <c r="M79" s="5" t="str">
        <f t="shared" si="27"/>
        <v>lootWeight77,1,</v>
      </c>
      <c r="N79" t="str">
        <f t="shared" si="28"/>
        <v>5</v>
      </c>
      <c r="O79" t="str">
        <f t="shared" si="37"/>
        <v>copy .\dail_base3.dbr .\items\materia\class0027\Engineer77.dbr /y</v>
      </c>
      <c r="P79" t="str">
        <f t="shared" si="23"/>
        <v>echo relicBitmap,items/craftingparts/components/component_a52_bristlyfur_b.tex, &gt;&gt; .\items\materia\class0027\Engineer77.dbr</v>
      </c>
      <c r="Q79" t="str">
        <f t="shared" si="23"/>
        <v>echo itemCost,500000, &gt;&gt; .\items\materia\class0027\Engineer77.dbr</v>
      </c>
      <c r="R79" t="str">
        <f t="shared" si="23"/>
        <v>echo description,dailCompDescEngineer77, &gt;&gt; .\items\materia\class0027\Engineer77.dbr</v>
      </c>
      <c r="S79" t="str">
        <f t="shared" si="23"/>
        <v>echo itemText,dailCompTextEngineer77, &gt;&gt; .\items\materia\class0027\Engineer77.dbr</v>
      </c>
      <c r="T79" t="str">
        <f t="shared" si="23"/>
        <v>echo augmentSkillLevel1,5, &gt;&gt; .\items\materia\class0027\Engineer77.dbr</v>
      </c>
      <c r="U79" t="str">
        <f t="shared" si="23"/>
        <v>echo augmentSkillName1,records/skills/playerclassEngineer/summon_safespacebot.dbr, &gt;&gt; .\items\materia\class0027\Engineer77.dbr</v>
      </c>
      <c r="V79" s="5" t="s">
        <v>36</v>
      </c>
      <c r="W79" t="str">
        <f t="shared" si="29"/>
        <v>echo lootName77,DAIL/items/materia/class0027/Engineer77.dbr, &gt;&gt; .\items\loottables\dailoneskill0027.dbr</v>
      </c>
      <c r="X79" t="str">
        <f t="shared" si="29"/>
        <v>echo lootWeight77,1, &gt;&gt; .\items\loottables\dailoneskill0027.dbr</v>
      </c>
      <c r="Y79" s="5" t="s">
        <v>36</v>
      </c>
      <c r="Z79" t="str">
        <f t="shared" si="30"/>
        <v xml:space="preserve"> dailCompDescEngineer77=^pEngineer's Gift of DAIL</v>
      </c>
      <c r="AA79" t="str">
        <f t="shared" si="38"/>
        <v>dailCompTextEngineer77=^oThis feels warm to the touch, almost familiar ^w(This component only fits into the Medal Slot)</v>
      </c>
      <c r="AB79" s="5" t="s">
        <v>36</v>
      </c>
      <c r="AH79">
        <f t="shared" si="40"/>
        <v>74</v>
      </c>
      <c r="AI79">
        <f t="shared" si="34"/>
        <v>44</v>
      </c>
      <c r="AJ79">
        <f t="shared" si="39"/>
        <v>5</v>
      </c>
    </row>
    <row r="80" spans="1:36" x14ac:dyDescent="0.25">
      <c r="A80" s="5" t="s">
        <v>39</v>
      </c>
      <c r="B80" s="5" t="s">
        <v>30</v>
      </c>
      <c r="C80" s="5" t="str">
        <f t="shared" si="24"/>
        <v>description,dailCompDescEngineer78,</v>
      </c>
      <c r="D80" s="5" t="str">
        <f t="shared" si="25"/>
        <v>itemText,dailCompTextEngineer78,</v>
      </c>
      <c r="E80" s="5" t="str">
        <f t="shared" si="35"/>
        <v>augmentSkillLevel1,5,</v>
      </c>
      <c r="F80" s="5" t="str">
        <f t="shared" si="36"/>
        <v>augmentSkillName1,records/skills/playerclassEngineer/p_safespacemastery.dbr,</v>
      </c>
      <c r="G80" s="7">
        <f t="shared" si="31"/>
        <v>78</v>
      </c>
      <c r="H80" s="8" t="str">
        <f t="shared" si="32"/>
        <v>Engineer</v>
      </c>
      <c r="I80" s="3" t="s">
        <v>534</v>
      </c>
      <c r="J80" s="8" t="str">
        <f t="shared" si="33"/>
        <v>class0027</v>
      </c>
      <c r="K80" s="8" t="str">
        <f t="shared" si="33"/>
        <v>dailoneskill0027</v>
      </c>
      <c r="L80" s="5" t="str">
        <f t="shared" si="26"/>
        <v>lootName78,DAIL/items/materia/class0027/Engineer78.dbr,</v>
      </c>
      <c r="M80" s="5" t="str">
        <f t="shared" si="27"/>
        <v>lootWeight78,1,</v>
      </c>
      <c r="N80" t="str">
        <f t="shared" si="28"/>
        <v>5</v>
      </c>
      <c r="O80" t="str">
        <f t="shared" si="37"/>
        <v>copy .\dail_base3.dbr .\items\materia\class0027\Engineer78.dbr /y</v>
      </c>
      <c r="P80" t="str">
        <f t="shared" si="23"/>
        <v>echo relicBitmap,items/craftingparts/components/component_a52_bristlyfur_b.tex, &gt;&gt; .\items\materia\class0027\Engineer78.dbr</v>
      </c>
      <c r="Q80" t="str">
        <f t="shared" si="23"/>
        <v>echo itemCost,500000, &gt;&gt; .\items\materia\class0027\Engineer78.dbr</v>
      </c>
      <c r="R80" t="str">
        <f t="shared" si="23"/>
        <v>echo description,dailCompDescEngineer78, &gt;&gt; .\items\materia\class0027\Engineer78.dbr</v>
      </c>
      <c r="S80" t="str">
        <f t="shared" si="23"/>
        <v>echo itemText,dailCompTextEngineer78, &gt;&gt; .\items\materia\class0027\Engineer78.dbr</v>
      </c>
      <c r="T80" t="str">
        <f t="shared" si="23"/>
        <v>echo augmentSkillLevel1,5, &gt;&gt; .\items\materia\class0027\Engineer78.dbr</v>
      </c>
      <c r="U80" t="str">
        <f t="shared" si="23"/>
        <v>echo augmentSkillName1,records/skills/playerclassEngineer/p_safespacemastery.dbr, &gt;&gt; .\items\materia\class0027\Engineer78.dbr</v>
      </c>
      <c r="V80" s="5" t="s">
        <v>36</v>
      </c>
      <c r="W80" t="str">
        <f t="shared" si="29"/>
        <v>echo lootName78,DAIL/items/materia/class0027/Engineer78.dbr, &gt;&gt; .\items\loottables\dailoneskill0027.dbr</v>
      </c>
      <c r="X80" t="str">
        <f t="shared" si="29"/>
        <v>echo lootWeight78,1, &gt;&gt; .\items\loottables\dailoneskill0027.dbr</v>
      </c>
      <c r="Y80" s="5" t="s">
        <v>36</v>
      </c>
      <c r="Z80" t="str">
        <f t="shared" si="30"/>
        <v xml:space="preserve"> dailCompDescEngineer78=^pEngineer's Gift of DAIL</v>
      </c>
      <c r="AA80" t="str">
        <f t="shared" si="38"/>
        <v>dailCompTextEngineer78=^oThis feels warm to the touch, almost familiar ^w(This component only fits into the Medal Slot)</v>
      </c>
      <c r="AB80" s="5" t="s">
        <v>36</v>
      </c>
      <c r="AH80">
        <f t="shared" si="40"/>
        <v>75</v>
      </c>
      <c r="AI80">
        <f t="shared" si="34"/>
        <v>43</v>
      </c>
      <c r="AJ80">
        <f t="shared" si="39"/>
        <v>5</v>
      </c>
    </row>
    <row r="81" spans="1:36" x14ac:dyDescent="0.25">
      <c r="A81" s="5" t="s">
        <v>39</v>
      </c>
      <c r="B81" s="5" t="s">
        <v>30</v>
      </c>
      <c r="C81" s="5" t="str">
        <f t="shared" si="24"/>
        <v>description,dailCompDescEngineer79,</v>
      </c>
      <c r="D81" s="5" t="str">
        <f t="shared" si="25"/>
        <v>itemText,dailCompTextEngineer79,</v>
      </c>
      <c r="E81" s="5" t="str">
        <f t="shared" si="35"/>
        <v>augmentSkillLevel1,5,</v>
      </c>
      <c r="F81" s="5" t="str">
        <f t="shared" si="36"/>
        <v>augmentSkillName1,records/skills/playerclassEngineer/imitatesafespace.dbr,</v>
      </c>
      <c r="G81" s="7">
        <f t="shared" si="31"/>
        <v>79</v>
      </c>
      <c r="H81" s="8" t="str">
        <f t="shared" si="32"/>
        <v>Engineer</v>
      </c>
      <c r="I81" s="3" t="s">
        <v>535</v>
      </c>
      <c r="J81" s="8" t="str">
        <f t="shared" si="33"/>
        <v>class0027</v>
      </c>
      <c r="K81" s="8" t="str">
        <f t="shared" si="33"/>
        <v>dailoneskill0027</v>
      </c>
      <c r="L81" s="5" t="str">
        <f t="shared" si="26"/>
        <v>lootName79,DAIL/items/materia/class0027/Engineer79.dbr,</v>
      </c>
      <c r="M81" s="5" t="str">
        <f t="shared" si="27"/>
        <v>lootWeight79,1,</v>
      </c>
      <c r="N81" t="str">
        <f t="shared" si="28"/>
        <v>5</v>
      </c>
      <c r="O81" t="str">
        <f t="shared" si="37"/>
        <v>copy .\dail_base3.dbr .\items\materia\class0027\Engineer79.dbr /y</v>
      </c>
      <c r="P81" t="str">
        <f t="shared" si="23"/>
        <v>echo relicBitmap,items/craftingparts/components/component_a52_bristlyfur_b.tex, &gt;&gt; .\items\materia\class0027\Engineer79.dbr</v>
      </c>
      <c r="Q81" t="str">
        <f t="shared" si="23"/>
        <v>echo itemCost,500000, &gt;&gt; .\items\materia\class0027\Engineer79.dbr</v>
      </c>
      <c r="R81" t="str">
        <f t="shared" si="23"/>
        <v>echo description,dailCompDescEngineer79, &gt;&gt; .\items\materia\class0027\Engineer79.dbr</v>
      </c>
      <c r="S81" t="str">
        <f t="shared" si="23"/>
        <v>echo itemText,dailCompTextEngineer79, &gt;&gt; .\items\materia\class0027\Engineer79.dbr</v>
      </c>
      <c r="T81" t="str">
        <f t="shared" si="23"/>
        <v>echo augmentSkillLevel1,5, &gt;&gt; .\items\materia\class0027\Engineer79.dbr</v>
      </c>
      <c r="U81" t="str">
        <f t="shared" si="23"/>
        <v>echo augmentSkillName1,records/skills/playerclassEngineer/imitatesafespace.dbr, &gt;&gt; .\items\materia\class0027\Engineer79.dbr</v>
      </c>
      <c r="V81" s="5" t="s">
        <v>36</v>
      </c>
      <c r="W81" t="str">
        <f t="shared" si="29"/>
        <v>echo lootName79,DAIL/items/materia/class0027/Engineer79.dbr, &gt;&gt; .\items\loottables\dailoneskill0027.dbr</v>
      </c>
      <c r="X81" t="str">
        <f t="shared" si="29"/>
        <v>echo lootWeight79,1, &gt;&gt; .\items\loottables\dailoneskill0027.dbr</v>
      </c>
      <c r="Y81" s="5" t="s">
        <v>36</v>
      </c>
      <c r="Z81" t="str">
        <f t="shared" si="30"/>
        <v xml:space="preserve"> dailCompDescEngineer79=^pEngineer's Gift of DAIL</v>
      </c>
      <c r="AA81" t="str">
        <f t="shared" si="38"/>
        <v>dailCompTextEngineer79=^oThis feels warm to the touch, almost familiar ^w(This component only fits into the Medal Slot)</v>
      </c>
      <c r="AB81" s="5" t="s">
        <v>36</v>
      </c>
      <c r="AH81">
        <f t="shared" si="40"/>
        <v>76</v>
      </c>
      <c r="AI81">
        <f t="shared" si="34"/>
        <v>41</v>
      </c>
      <c r="AJ81">
        <f t="shared" si="39"/>
        <v>5</v>
      </c>
    </row>
    <row r="82" spans="1:36" x14ac:dyDescent="0.25">
      <c r="A82" s="5" t="s">
        <v>39</v>
      </c>
      <c r="B82" s="5" t="s">
        <v>30</v>
      </c>
      <c r="C82" s="5" t="str">
        <f t="shared" si="24"/>
        <v>description,dailCompDescEngineer80,</v>
      </c>
      <c r="D82" s="5" t="str">
        <f t="shared" si="25"/>
        <v>itemText,dailCompTextEngineer80,</v>
      </c>
      <c r="E82" s="5" t="str">
        <f t="shared" si="35"/>
        <v>augmentSkillLevel1,5,</v>
      </c>
      <c r="F82" s="5" t="str">
        <f t="shared" si="36"/>
        <v>augmentSkillName1,records/skills/playerclassEngineer/intensefocus1.dbr,</v>
      </c>
      <c r="G82" s="7">
        <f t="shared" si="31"/>
        <v>80</v>
      </c>
      <c r="H82" s="8" t="str">
        <f t="shared" si="32"/>
        <v>Engineer</v>
      </c>
      <c r="I82" s="3" t="s">
        <v>536</v>
      </c>
      <c r="J82" s="8" t="str">
        <f t="shared" si="33"/>
        <v>class0027</v>
      </c>
      <c r="K82" s="8" t="str">
        <f t="shared" si="33"/>
        <v>dailoneskill0027</v>
      </c>
      <c r="L82" s="5" t="str">
        <f t="shared" si="26"/>
        <v>lootName80,DAIL/items/materia/class0027/Engineer80.dbr,</v>
      </c>
      <c r="M82" s="5" t="str">
        <f t="shared" si="27"/>
        <v>lootWeight80,1,</v>
      </c>
      <c r="N82" t="str">
        <f t="shared" si="28"/>
        <v>5</v>
      </c>
      <c r="O82" t="str">
        <f t="shared" si="37"/>
        <v>copy .\dail_base3.dbr .\items\materia\class0027\Engineer80.dbr /y</v>
      </c>
      <c r="P82" t="str">
        <f t="shared" si="23"/>
        <v>echo relicBitmap,items/craftingparts/components/component_a52_bristlyfur_b.tex, &gt;&gt; .\items\materia\class0027\Engineer80.dbr</v>
      </c>
      <c r="Q82" t="str">
        <f t="shared" si="23"/>
        <v>echo itemCost,500000, &gt;&gt; .\items\materia\class0027\Engineer80.dbr</v>
      </c>
      <c r="R82" t="str">
        <f t="shared" si="23"/>
        <v>echo description,dailCompDescEngineer80, &gt;&gt; .\items\materia\class0027\Engineer80.dbr</v>
      </c>
      <c r="S82" t="str">
        <f t="shared" si="23"/>
        <v>echo itemText,dailCompTextEngineer80, &gt;&gt; .\items\materia\class0027\Engineer80.dbr</v>
      </c>
      <c r="T82" t="str">
        <f t="shared" si="23"/>
        <v>echo augmentSkillLevel1,5, &gt;&gt; .\items\materia\class0027\Engineer80.dbr</v>
      </c>
      <c r="U82" t="str">
        <f t="shared" si="23"/>
        <v>echo augmentSkillName1,records/skills/playerclassEngineer/intensefocus1.dbr, &gt;&gt; .\items\materia\class0027\Engineer80.dbr</v>
      </c>
      <c r="V82" s="5" t="s">
        <v>36</v>
      </c>
      <c r="W82" t="str">
        <f t="shared" si="29"/>
        <v>echo lootName80,DAIL/items/materia/class0027/Engineer80.dbr, &gt;&gt; .\items\loottables\dailoneskill0027.dbr</v>
      </c>
      <c r="X82" t="str">
        <f t="shared" si="29"/>
        <v>echo lootWeight80,1, &gt;&gt; .\items\loottables\dailoneskill0027.dbr</v>
      </c>
      <c r="Y82" s="5" t="s">
        <v>36</v>
      </c>
      <c r="Z82" t="str">
        <f t="shared" si="30"/>
        <v xml:space="preserve"> dailCompDescEngineer80=^pEngineer's Gift of DAIL</v>
      </c>
      <c r="AA82" t="str">
        <f t="shared" si="38"/>
        <v>dailCompTextEngineer80=^oThis feels warm to the touch, almost familiar ^w(This component only fits into the Medal Slot)</v>
      </c>
      <c r="AB82" s="5" t="s">
        <v>36</v>
      </c>
      <c r="AH82">
        <f t="shared" si="40"/>
        <v>77</v>
      </c>
      <c r="AI82">
        <f t="shared" si="34"/>
        <v>38</v>
      </c>
      <c r="AJ82">
        <f t="shared" si="39"/>
        <v>5</v>
      </c>
    </row>
    <row r="83" spans="1:36" x14ac:dyDescent="0.25">
      <c r="A83" s="5" t="s">
        <v>39</v>
      </c>
      <c r="B83" s="5" t="s">
        <v>30</v>
      </c>
      <c r="C83" s="5" t="str">
        <f t="shared" si="24"/>
        <v>description,dailCompDescEngineer81,</v>
      </c>
      <c r="D83" s="5" t="str">
        <f t="shared" si="25"/>
        <v>itemText,dailCompTextEngineer81,</v>
      </c>
      <c r="E83" s="5" t="str">
        <f t="shared" si="35"/>
        <v>augmentSkillLevel1,5,</v>
      </c>
      <c r="F83" s="5" t="str">
        <f t="shared" si="36"/>
        <v>augmentSkillName1,records/skills/playerclassEngineer/p_prevailingpunches.dbr,</v>
      </c>
      <c r="G83" s="7">
        <f t="shared" si="31"/>
        <v>81</v>
      </c>
      <c r="H83" s="8" t="str">
        <f t="shared" si="32"/>
        <v>Engineer</v>
      </c>
      <c r="I83" s="3" t="s">
        <v>537</v>
      </c>
      <c r="J83" s="8" t="str">
        <f t="shared" si="33"/>
        <v>class0027</v>
      </c>
      <c r="K83" s="8" t="str">
        <f t="shared" si="33"/>
        <v>dailoneskill0027</v>
      </c>
      <c r="L83" s="5" t="str">
        <f t="shared" si="26"/>
        <v>lootName81,DAIL/items/materia/class0027/Engineer81.dbr,</v>
      </c>
      <c r="M83" s="5" t="str">
        <f t="shared" si="27"/>
        <v>lootWeight81,1,</v>
      </c>
      <c r="N83" t="str">
        <f t="shared" si="28"/>
        <v>5</v>
      </c>
      <c r="O83" t="str">
        <f t="shared" si="37"/>
        <v>copy .\dail_base3.dbr .\items\materia\class0027\Engineer81.dbr /y</v>
      </c>
      <c r="P83" t="str">
        <f t="shared" si="23"/>
        <v>echo relicBitmap,items/craftingparts/components/component_a52_bristlyfur_b.tex, &gt;&gt; .\items\materia\class0027\Engineer81.dbr</v>
      </c>
      <c r="Q83" t="str">
        <f t="shared" si="23"/>
        <v>echo itemCost,500000, &gt;&gt; .\items\materia\class0027\Engineer81.dbr</v>
      </c>
      <c r="R83" t="str">
        <f t="shared" si="23"/>
        <v>echo description,dailCompDescEngineer81, &gt;&gt; .\items\materia\class0027\Engineer81.dbr</v>
      </c>
      <c r="S83" t="str">
        <f t="shared" si="23"/>
        <v>echo itemText,dailCompTextEngineer81, &gt;&gt; .\items\materia\class0027\Engineer81.dbr</v>
      </c>
      <c r="T83" t="str">
        <f t="shared" si="23"/>
        <v>echo augmentSkillLevel1,5, &gt;&gt; .\items\materia\class0027\Engineer81.dbr</v>
      </c>
      <c r="U83" t="str">
        <f t="shared" si="23"/>
        <v>echo augmentSkillName1,records/skills/playerclassEngineer/p_prevailingpunches.dbr, &gt;&gt; .\items\materia\class0027\Engineer81.dbr</v>
      </c>
      <c r="V83" s="5" t="s">
        <v>36</v>
      </c>
      <c r="W83" t="str">
        <f t="shared" si="29"/>
        <v>echo lootName81,DAIL/items/materia/class0027/Engineer81.dbr, &gt;&gt; .\items\loottables\dailoneskill0027.dbr</v>
      </c>
      <c r="X83" t="str">
        <f t="shared" si="29"/>
        <v>echo lootWeight81,1, &gt;&gt; .\items\loottables\dailoneskill0027.dbr</v>
      </c>
      <c r="Y83" s="5" t="s">
        <v>36</v>
      </c>
      <c r="Z83" t="str">
        <f t="shared" si="30"/>
        <v xml:space="preserve"> dailCompDescEngineer81=^pEngineer's Gift of DAIL</v>
      </c>
      <c r="AA83" t="str">
        <f t="shared" si="38"/>
        <v>dailCompTextEngineer81=^oThis feels warm to the touch, almost familiar ^w(This component only fits into the Medal Slot)</v>
      </c>
      <c r="AB83" s="5" t="s">
        <v>36</v>
      </c>
      <c r="AH83">
        <f t="shared" si="40"/>
        <v>78</v>
      </c>
      <c r="AI83">
        <f t="shared" si="34"/>
        <v>44</v>
      </c>
      <c r="AJ83">
        <f t="shared" si="39"/>
        <v>5</v>
      </c>
    </row>
    <row r="84" spans="1:36" x14ac:dyDescent="0.25">
      <c r="A84" s="5" t="s">
        <v>39</v>
      </c>
      <c r="B84" s="5" t="s">
        <v>30</v>
      </c>
      <c r="C84" s="5" t="str">
        <f t="shared" si="24"/>
        <v>description,dailCompDescEngineer82,</v>
      </c>
      <c r="D84" s="5" t="str">
        <f t="shared" si="25"/>
        <v>itemText,dailCompTextEngineer82,</v>
      </c>
      <c r="E84" s="5" t="str">
        <f t="shared" si="35"/>
        <v>augmentSkillLevel1,5,</v>
      </c>
      <c r="F84" s="5" t="str">
        <f t="shared" si="36"/>
        <v>augmentSkillName1,records/skills/playerclassEngineer/p_dirtydispatch.dbr,</v>
      </c>
      <c r="G84" s="7">
        <f t="shared" si="31"/>
        <v>82</v>
      </c>
      <c r="H84" s="8" t="str">
        <f t="shared" si="32"/>
        <v>Engineer</v>
      </c>
      <c r="I84" s="3" t="s">
        <v>538</v>
      </c>
      <c r="J84" s="8" t="str">
        <f t="shared" si="33"/>
        <v>class0027</v>
      </c>
      <c r="K84" s="8" t="str">
        <f t="shared" si="33"/>
        <v>dailoneskill0027</v>
      </c>
      <c r="L84" s="5" t="str">
        <f t="shared" si="26"/>
        <v>lootName82,DAIL/items/materia/class0027/Engineer82.dbr,</v>
      </c>
      <c r="M84" s="5" t="str">
        <f t="shared" si="27"/>
        <v>lootWeight82,1,</v>
      </c>
      <c r="N84" t="str">
        <f t="shared" si="28"/>
        <v>5</v>
      </c>
      <c r="O84" t="str">
        <f t="shared" si="37"/>
        <v>copy .\dail_base3.dbr .\items\materia\class0027\Engineer82.dbr /y</v>
      </c>
      <c r="P84" t="str">
        <f t="shared" si="23"/>
        <v>echo relicBitmap,items/craftingparts/components/component_a52_bristlyfur_b.tex, &gt;&gt; .\items\materia\class0027\Engineer82.dbr</v>
      </c>
      <c r="Q84" t="str">
        <f t="shared" si="23"/>
        <v>echo itemCost,500000, &gt;&gt; .\items\materia\class0027\Engineer82.dbr</v>
      </c>
      <c r="R84" t="str">
        <f t="shared" si="23"/>
        <v>echo description,dailCompDescEngineer82, &gt;&gt; .\items\materia\class0027\Engineer82.dbr</v>
      </c>
      <c r="S84" t="str">
        <f t="shared" si="23"/>
        <v>echo itemText,dailCompTextEngineer82, &gt;&gt; .\items\materia\class0027\Engineer82.dbr</v>
      </c>
      <c r="T84" t="str">
        <f t="shared" si="23"/>
        <v>echo augmentSkillLevel1,5, &gt;&gt; .\items\materia\class0027\Engineer82.dbr</v>
      </c>
      <c r="U84" t="str">
        <f t="shared" si="23"/>
        <v>echo augmentSkillName1,records/skills/playerclassEngineer/p_dirtydispatch.dbr, &gt;&gt; .\items\materia\class0027\Engineer82.dbr</v>
      </c>
      <c r="V84" s="5" t="s">
        <v>36</v>
      </c>
      <c r="W84" t="str">
        <f t="shared" si="29"/>
        <v>echo lootName82,DAIL/items/materia/class0027/Engineer82.dbr, &gt;&gt; .\items\loottables\dailoneskill0027.dbr</v>
      </c>
      <c r="X84" t="str">
        <f t="shared" si="29"/>
        <v>echo lootWeight82,1, &gt;&gt; .\items\loottables\dailoneskill0027.dbr</v>
      </c>
      <c r="Y84" s="5" t="s">
        <v>36</v>
      </c>
      <c r="Z84" t="str">
        <f t="shared" si="30"/>
        <v xml:space="preserve"> dailCompDescEngineer82=^pEngineer's Gift of DAIL</v>
      </c>
      <c r="AA84" t="str">
        <f t="shared" si="38"/>
        <v>dailCompTextEngineer82=^oThis feels warm to the touch, almost familiar ^w(This component only fits into the Medal Slot)</v>
      </c>
      <c r="AB84" s="5" t="s">
        <v>36</v>
      </c>
      <c r="AH84">
        <f t="shared" si="40"/>
        <v>79</v>
      </c>
      <c r="AI84">
        <f t="shared" si="34"/>
        <v>40</v>
      </c>
      <c r="AJ84">
        <f t="shared" si="39"/>
        <v>5</v>
      </c>
    </row>
    <row r="85" spans="1:36" x14ac:dyDescent="0.25">
      <c r="A85" s="5" t="s">
        <v>39</v>
      </c>
      <c r="B85" s="5" t="s">
        <v>30</v>
      </c>
      <c r="C85" s="5" t="str">
        <f t="shared" si="24"/>
        <v>description,dailCompDescEngineer83,</v>
      </c>
      <c r="D85" s="5" t="str">
        <f t="shared" si="25"/>
        <v>itemText,dailCompTextEngineer83,</v>
      </c>
      <c r="E85" s="5" t="str">
        <f t="shared" si="35"/>
        <v>augmentSkillLevel1,5,</v>
      </c>
      <c r="F85" s="5" t="str">
        <f t="shared" si="36"/>
        <v>augmentSkillName1,records/skills/playerclassEngineer/summon_flamer.dbr,</v>
      </c>
      <c r="G85" s="7">
        <f t="shared" si="31"/>
        <v>83</v>
      </c>
      <c r="H85" s="8" t="str">
        <f t="shared" si="32"/>
        <v>Engineer</v>
      </c>
      <c r="I85" s="3" t="s">
        <v>539</v>
      </c>
      <c r="J85" s="8" t="str">
        <f t="shared" ref="J85:K100" si="41">J84</f>
        <v>class0027</v>
      </c>
      <c r="K85" s="8" t="str">
        <f t="shared" si="41"/>
        <v>dailoneskill0027</v>
      </c>
      <c r="L85" s="5" t="str">
        <f t="shared" si="26"/>
        <v>lootName83,DAIL/items/materia/class0027/Engineer83.dbr,</v>
      </c>
      <c r="M85" s="5" t="str">
        <f t="shared" si="27"/>
        <v>lootWeight83,1,</v>
      </c>
      <c r="N85" t="str">
        <f t="shared" si="28"/>
        <v>5</v>
      </c>
      <c r="O85" t="str">
        <f t="shared" si="37"/>
        <v>copy .\dail_base3.dbr .\items\materia\class0027\Engineer83.dbr /y</v>
      </c>
      <c r="P85" t="str">
        <f t="shared" si="23"/>
        <v>echo relicBitmap,items/craftingparts/components/component_a52_bristlyfur_b.tex, &gt;&gt; .\items\materia\class0027\Engineer83.dbr</v>
      </c>
      <c r="Q85" t="str">
        <f t="shared" si="23"/>
        <v>echo itemCost,500000, &gt;&gt; .\items\materia\class0027\Engineer83.dbr</v>
      </c>
      <c r="R85" t="str">
        <f t="shared" si="23"/>
        <v>echo description,dailCompDescEngineer83, &gt;&gt; .\items\materia\class0027\Engineer83.dbr</v>
      </c>
      <c r="S85" t="str">
        <f t="shared" si="23"/>
        <v>echo itemText,dailCompTextEngineer83, &gt;&gt; .\items\materia\class0027\Engineer83.dbr</v>
      </c>
      <c r="T85" t="str">
        <f t="shared" si="23"/>
        <v>echo augmentSkillLevel1,5, &gt;&gt; .\items\materia\class0027\Engineer83.dbr</v>
      </c>
      <c r="U85" t="str">
        <f t="shared" si="23"/>
        <v>echo augmentSkillName1,records/skills/playerclassEngineer/summon_flamer.dbr, &gt;&gt; .\items\materia\class0027\Engineer83.dbr</v>
      </c>
      <c r="V85" s="5" t="s">
        <v>36</v>
      </c>
      <c r="W85" t="str">
        <f t="shared" si="29"/>
        <v>echo lootName83,DAIL/items/materia/class0027/Engineer83.dbr, &gt;&gt; .\items\loottables\dailoneskill0027.dbr</v>
      </c>
      <c r="X85" t="str">
        <f t="shared" si="29"/>
        <v>echo lootWeight83,1, &gt;&gt; .\items\loottables\dailoneskill0027.dbr</v>
      </c>
      <c r="Y85" s="5" t="s">
        <v>36</v>
      </c>
      <c r="Z85" t="str">
        <f t="shared" si="30"/>
        <v xml:space="preserve"> dailCompDescEngineer83=^pEngineer's Gift of DAIL</v>
      </c>
      <c r="AA85" t="str">
        <f t="shared" si="38"/>
        <v>dailCompTextEngineer83=^oThis feels warm to the touch, almost familiar ^w(This component only fits into the Medal Slot)</v>
      </c>
      <c r="AB85" s="5" t="s">
        <v>36</v>
      </c>
      <c r="AH85">
        <f t="shared" si="40"/>
        <v>80</v>
      </c>
      <c r="AI85">
        <f t="shared" si="34"/>
        <v>38</v>
      </c>
      <c r="AJ85">
        <f t="shared" si="39"/>
        <v>5</v>
      </c>
    </row>
    <row r="86" spans="1:36" x14ac:dyDescent="0.25">
      <c r="A86" s="5" t="s">
        <v>39</v>
      </c>
      <c r="B86" s="5" t="s">
        <v>30</v>
      </c>
      <c r="C86" s="5" t="str">
        <f t="shared" si="24"/>
        <v>description,dailCompDescEngineer84,</v>
      </c>
      <c r="D86" s="5" t="str">
        <f t="shared" si="25"/>
        <v>itemText,dailCompTextEngineer84,</v>
      </c>
      <c r="E86" s="5" t="str">
        <f t="shared" si="35"/>
        <v>augmentSkillLevel1,5,</v>
      </c>
      <c r="F86" s="5" t="str">
        <f t="shared" si="36"/>
        <v>augmentSkillName1,records/skills/playerclassEngineer/p_flamermastery.dbr,</v>
      </c>
      <c r="G86" s="7">
        <f t="shared" si="31"/>
        <v>84</v>
      </c>
      <c r="H86" s="8" t="str">
        <f t="shared" si="32"/>
        <v>Engineer</v>
      </c>
      <c r="I86" s="3" t="s">
        <v>540</v>
      </c>
      <c r="J86" s="8" t="str">
        <f t="shared" si="41"/>
        <v>class0027</v>
      </c>
      <c r="K86" s="8" t="str">
        <f t="shared" si="41"/>
        <v>dailoneskill0027</v>
      </c>
      <c r="L86" s="5" t="str">
        <f t="shared" si="26"/>
        <v>lootName84,DAIL/items/materia/class0027/Engineer84.dbr,</v>
      </c>
      <c r="M86" s="5" t="str">
        <f t="shared" si="27"/>
        <v>lootWeight84,1,</v>
      </c>
      <c r="N86" t="str">
        <f t="shared" si="28"/>
        <v>5</v>
      </c>
      <c r="O86" t="str">
        <f t="shared" si="37"/>
        <v>copy .\dail_base3.dbr .\items\materia\class0027\Engineer84.dbr /y</v>
      </c>
      <c r="P86" t="str">
        <f t="shared" si="23"/>
        <v>echo relicBitmap,items/craftingparts/components/component_a52_bristlyfur_b.tex, &gt;&gt; .\items\materia\class0027\Engineer84.dbr</v>
      </c>
      <c r="Q86" t="str">
        <f t="shared" si="23"/>
        <v>echo itemCost,500000, &gt;&gt; .\items\materia\class0027\Engineer84.dbr</v>
      </c>
      <c r="R86" t="str">
        <f t="shared" si="23"/>
        <v>echo description,dailCompDescEngineer84, &gt;&gt; .\items\materia\class0027\Engineer84.dbr</v>
      </c>
      <c r="S86" t="str">
        <f t="shared" si="23"/>
        <v>echo itemText,dailCompTextEngineer84, &gt;&gt; .\items\materia\class0027\Engineer84.dbr</v>
      </c>
      <c r="T86" t="str">
        <f t="shared" si="23"/>
        <v>echo augmentSkillLevel1,5, &gt;&gt; .\items\materia\class0027\Engineer84.dbr</v>
      </c>
      <c r="U86" t="str">
        <f t="shared" si="23"/>
        <v>echo augmentSkillName1,records/skills/playerclassEngineer/p_flamermastery.dbr, &gt;&gt; .\items\materia\class0027\Engineer84.dbr</v>
      </c>
      <c r="V86" s="5" t="s">
        <v>36</v>
      </c>
      <c r="W86" t="str">
        <f t="shared" si="29"/>
        <v>echo lootName84,DAIL/items/materia/class0027/Engineer84.dbr, &gt;&gt; .\items\loottables\dailoneskill0027.dbr</v>
      </c>
      <c r="X86" t="str">
        <f t="shared" si="29"/>
        <v>echo lootWeight84,1, &gt;&gt; .\items\loottables\dailoneskill0027.dbr</v>
      </c>
      <c r="Y86" s="5" t="s">
        <v>36</v>
      </c>
      <c r="Z86" t="str">
        <f t="shared" si="30"/>
        <v xml:space="preserve"> dailCompDescEngineer84=^pEngineer's Gift of DAIL</v>
      </c>
      <c r="AA86" t="str">
        <f t="shared" si="38"/>
        <v>dailCompTextEngineer84=^oThis feels warm to the touch, almost familiar ^w(This component only fits into the Medal Slot)</v>
      </c>
      <c r="AB86" s="5" t="s">
        <v>36</v>
      </c>
      <c r="AH86">
        <f t="shared" si="40"/>
        <v>81</v>
      </c>
      <c r="AI86">
        <f t="shared" si="34"/>
        <v>40</v>
      </c>
      <c r="AJ86">
        <f t="shared" si="39"/>
        <v>5</v>
      </c>
    </row>
    <row r="87" spans="1:36" x14ac:dyDescent="0.25">
      <c r="A87" s="5" t="s">
        <v>39</v>
      </c>
      <c r="B87" s="5" t="s">
        <v>30</v>
      </c>
      <c r="C87" s="5" t="str">
        <f t="shared" si="24"/>
        <v>description,dailCompDescEngineer85,</v>
      </c>
      <c r="D87" s="5" t="str">
        <f t="shared" si="25"/>
        <v>itemText,dailCompTextEngineer85,</v>
      </c>
      <c r="E87" s="5" t="str">
        <f t="shared" si="35"/>
        <v>augmentSkillLevel1,5,</v>
      </c>
      <c r="F87" s="5" t="str">
        <f t="shared" si="36"/>
        <v>augmentSkillName1,records/skills/playerclassEngineer/imitateflamer.dbr,</v>
      </c>
      <c r="G87" s="7">
        <f t="shared" si="31"/>
        <v>85</v>
      </c>
      <c r="H87" s="8" t="str">
        <f t="shared" si="32"/>
        <v>Engineer</v>
      </c>
      <c r="I87" s="3" t="s">
        <v>541</v>
      </c>
      <c r="J87" s="8" t="str">
        <f t="shared" si="41"/>
        <v>class0027</v>
      </c>
      <c r="K87" s="8" t="str">
        <f t="shared" si="41"/>
        <v>dailoneskill0027</v>
      </c>
      <c r="L87" s="5" t="str">
        <f t="shared" si="26"/>
        <v>lootName85,DAIL/items/materia/class0027/Engineer85.dbr,</v>
      </c>
      <c r="M87" s="5" t="str">
        <f t="shared" si="27"/>
        <v>lootWeight85,1,</v>
      </c>
      <c r="N87" t="str">
        <f t="shared" si="28"/>
        <v>5</v>
      </c>
      <c r="O87" t="str">
        <f t="shared" si="37"/>
        <v>copy .\dail_base3.dbr .\items\materia\class0027\Engineer85.dbr /y</v>
      </c>
      <c r="P87" t="str">
        <f t="shared" si="23"/>
        <v>echo relicBitmap,items/craftingparts/components/component_a52_bristlyfur_b.tex, &gt;&gt; .\items\materia\class0027\Engineer85.dbr</v>
      </c>
      <c r="Q87" t="str">
        <f t="shared" si="23"/>
        <v>echo itemCost,500000, &gt;&gt; .\items\materia\class0027\Engineer85.dbr</v>
      </c>
      <c r="R87" t="str">
        <f t="shared" si="23"/>
        <v>echo description,dailCompDescEngineer85, &gt;&gt; .\items\materia\class0027\Engineer85.dbr</v>
      </c>
      <c r="S87" t="str">
        <f t="shared" si="23"/>
        <v>echo itemText,dailCompTextEngineer85, &gt;&gt; .\items\materia\class0027\Engineer85.dbr</v>
      </c>
      <c r="T87" t="str">
        <f t="shared" si="23"/>
        <v>echo augmentSkillLevel1,5, &gt;&gt; .\items\materia\class0027\Engineer85.dbr</v>
      </c>
      <c r="U87" t="str">
        <f t="shared" si="23"/>
        <v>echo augmentSkillName1,records/skills/playerclassEngineer/imitateflamer.dbr, &gt;&gt; .\items\materia\class0027\Engineer85.dbr</v>
      </c>
      <c r="V87" s="5" t="s">
        <v>36</v>
      </c>
      <c r="W87" t="str">
        <f t="shared" si="29"/>
        <v>echo lootName85,DAIL/items/materia/class0027/Engineer85.dbr, &gt;&gt; .\items\loottables\dailoneskill0027.dbr</v>
      </c>
      <c r="X87" t="str">
        <f t="shared" si="29"/>
        <v>echo lootWeight85,1, &gt;&gt; .\items\loottables\dailoneskill0027.dbr</v>
      </c>
      <c r="Y87" s="5" t="s">
        <v>36</v>
      </c>
      <c r="Z87" t="str">
        <f t="shared" si="30"/>
        <v xml:space="preserve"> dailCompDescEngineer85=^pEngineer's Gift of DAIL</v>
      </c>
      <c r="AA87" t="str">
        <f t="shared" si="38"/>
        <v>dailCompTextEngineer85=^oThis feels warm to the touch, almost familiar ^w(This component only fits into the Medal Slot)</v>
      </c>
      <c r="AB87" s="5" t="s">
        <v>36</v>
      </c>
      <c r="AH87">
        <f t="shared" si="40"/>
        <v>82</v>
      </c>
      <c r="AI87">
        <f t="shared" si="34"/>
        <v>38</v>
      </c>
      <c r="AJ87">
        <f t="shared" si="39"/>
        <v>5</v>
      </c>
    </row>
    <row r="88" spans="1:36" x14ac:dyDescent="0.25">
      <c r="A88" s="5" t="s">
        <v>39</v>
      </c>
      <c r="B88" s="5" t="s">
        <v>30</v>
      </c>
      <c r="C88" s="5" t="str">
        <f t="shared" si="24"/>
        <v>description,dailCompDescEngineer86,</v>
      </c>
      <c r="D88" s="5" t="str">
        <f t="shared" si="25"/>
        <v>itemText,dailCompTextEngineer86,</v>
      </c>
      <c r="E88" s="5" t="str">
        <f t="shared" si="35"/>
        <v>augmentSkillLevel1,5,</v>
      </c>
      <c r="F88" s="5" t="str">
        <f t="shared" si="36"/>
        <v>augmentSkillName1,records/skills/playerclassEngineer/burstpunches1.dbr,</v>
      </c>
      <c r="G88" s="7">
        <f t="shared" si="31"/>
        <v>86</v>
      </c>
      <c r="H88" s="8" t="str">
        <f t="shared" si="32"/>
        <v>Engineer</v>
      </c>
      <c r="I88" s="3" t="s">
        <v>542</v>
      </c>
      <c r="J88" s="8" t="str">
        <f t="shared" si="41"/>
        <v>class0027</v>
      </c>
      <c r="K88" s="8" t="str">
        <f t="shared" si="41"/>
        <v>dailoneskill0027</v>
      </c>
      <c r="L88" s="5" t="str">
        <f t="shared" si="26"/>
        <v>lootName86,DAIL/items/materia/class0027/Engineer86.dbr,</v>
      </c>
      <c r="M88" s="5" t="str">
        <f t="shared" si="27"/>
        <v>lootWeight86,1,</v>
      </c>
      <c r="N88" t="str">
        <f t="shared" si="28"/>
        <v>5</v>
      </c>
      <c r="O88" t="str">
        <f t="shared" si="37"/>
        <v>copy .\dail_base3.dbr .\items\materia\class0027\Engineer86.dbr /y</v>
      </c>
      <c r="P88" t="str">
        <f t="shared" si="23"/>
        <v>echo relicBitmap,items/craftingparts/components/component_a52_bristlyfur_b.tex, &gt;&gt; .\items\materia\class0027\Engineer86.dbr</v>
      </c>
      <c r="Q88" t="str">
        <f t="shared" si="23"/>
        <v>echo itemCost,500000, &gt;&gt; .\items\materia\class0027\Engineer86.dbr</v>
      </c>
      <c r="R88" t="str">
        <f t="shared" si="23"/>
        <v>echo description,dailCompDescEngineer86, &gt;&gt; .\items\materia\class0027\Engineer86.dbr</v>
      </c>
      <c r="S88" t="str">
        <f t="shared" si="23"/>
        <v>echo itemText,dailCompTextEngineer86, &gt;&gt; .\items\materia\class0027\Engineer86.dbr</v>
      </c>
      <c r="T88" t="str">
        <f t="shared" si="23"/>
        <v>echo augmentSkillLevel1,5, &gt;&gt; .\items\materia\class0027\Engineer86.dbr</v>
      </c>
      <c r="U88" t="str">
        <f t="shared" si="23"/>
        <v>echo augmentSkillName1,records/skills/playerclassEngineer/burstpunches1.dbr, &gt;&gt; .\items\materia\class0027\Engineer86.dbr</v>
      </c>
      <c r="V88" s="5" t="s">
        <v>36</v>
      </c>
      <c r="W88" t="str">
        <f t="shared" si="29"/>
        <v>echo lootName86,DAIL/items/materia/class0027/Engineer86.dbr, &gt;&gt; .\items\loottables\dailoneskill0027.dbr</v>
      </c>
      <c r="X88" t="str">
        <f t="shared" si="29"/>
        <v>echo lootWeight86,1, &gt;&gt; .\items\loottables\dailoneskill0027.dbr</v>
      </c>
      <c r="Y88" s="5" t="s">
        <v>36</v>
      </c>
      <c r="Z88" t="str">
        <f t="shared" si="30"/>
        <v xml:space="preserve"> dailCompDescEngineer86=^pEngineer's Gift of DAIL</v>
      </c>
      <c r="AA88" t="str">
        <f t="shared" si="38"/>
        <v>dailCompTextEngineer86=^oThis feels warm to the touch, almost familiar ^w(This component only fits into the Medal Slot)</v>
      </c>
      <c r="AB88" s="5" t="s">
        <v>36</v>
      </c>
      <c r="AH88">
        <f t="shared" si="40"/>
        <v>83</v>
      </c>
      <c r="AI88">
        <f t="shared" si="34"/>
        <v>38</v>
      </c>
      <c r="AJ88">
        <f t="shared" si="39"/>
        <v>5</v>
      </c>
    </row>
    <row r="89" spans="1:36" x14ac:dyDescent="0.25">
      <c r="A89" s="5" t="s">
        <v>39</v>
      </c>
      <c r="B89" s="5" t="s">
        <v>30</v>
      </c>
      <c r="C89" s="5" t="str">
        <f t="shared" si="24"/>
        <v>description,dailCompDescEngineer87,</v>
      </c>
      <c r="D89" s="5" t="str">
        <f t="shared" si="25"/>
        <v>itemText,dailCompTextEngineer87,</v>
      </c>
      <c r="E89" s="5" t="str">
        <f t="shared" si="35"/>
        <v>augmentSkillLevel1,5,</v>
      </c>
      <c r="F89" s="5" t="str">
        <f t="shared" si="36"/>
        <v>augmentSkillName1,records/skills/playerclassEngineer/powerpalms1b.dbr,</v>
      </c>
      <c r="G89" s="7">
        <f t="shared" si="31"/>
        <v>87</v>
      </c>
      <c r="H89" s="8" t="str">
        <f t="shared" si="32"/>
        <v>Engineer</v>
      </c>
      <c r="I89" s="3" t="s">
        <v>543</v>
      </c>
      <c r="J89" s="8" t="str">
        <f t="shared" si="41"/>
        <v>class0027</v>
      </c>
      <c r="K89" s="8" t="str">
        <f t="shared" si="41"/>
        <v>dailoneskill0027</v>
      </c>
      <c r="L89" s="5" t="str">
        <f t="shared" si="26"/>
        <v>lootName87,DAIL/items/materia/class0027/Engineer87.dbr,</v>
      </c>
      <c r="M89" s="5" t="str">
        <f t="shared" si="27"/>
        <v>lootWeight87,1,</v>
      </c>
      <c r="N89" t="str">
        <f t="shared" si="28"/>
        <v>5</v>
      </c>
      <c r="O89" t="str">
        <f t="shared" si="37"/>
        <v>copy .\dail_base3.dbr .\items\materia\class0027\Engineer87.dbr /y</v>
      </c>
      <c r="P89" t="str">
        <f t="shared" si="23"/>
        <v>echo relicBitmap,items/craftingparts/components/component_a52_bristlyfur_b.tex, &gt;&gt; .\items\materia\class0027\Engineer87.dbr</v>
      </c>
      <c r="Q89" t="str">
        <f t="shared" si="23"/>
        <v>echo itemCost,500000, &gt;&gt; .\items\materia\class0027\Engineer87.dbr</v>
      </c>
      <c r="R89" t="str">
        <f t="shared" si="23"/>
        <v>echo description,dailCompDescEngineer87, &gt;&gt; .\items\materia\class0027\Engineer87.dbr</v>
      </c>
      <c r="S89" t="str">
        <f t="shared" si="23"/>
        <v>echo itemText,dailCompTextEngineer87, &gt;&gt; .\items\materia\class0027\Engineer87.dbr</v>
      </c>
      <c r="T89" t="str">
        <f t="shared" si="23"/>
        <v>echo augmentSkillLevel1,5, &gt;&gt; .\items\materia\class0027\Engineer87.dbr</v>
      </c>
      <c r="U89" t="str">
        <f t="shared" si="23"/>
        <v>echo augmentSkillName1,records/skills/playerclassEngineer/powerpalms1b.dbr, &gt;&gt; .\items\materia\class0027\Engineer87.dbr</v>
      </c>
      <c r="V89" s="5" t="s">
        <v>36</v>
      </c>
      <c r="W89" t="str">
        <f t="shared" si="29"/>
        <v>echo lootName87,DAIL/items/materia/class0027/Engineer87.dbr, &gt;&gt; .\items\loottables\dailoneskill0027.dbr</v>
      </c>
      <c r="X89" t="str">
        <f t="shared" si="29"/>
        <v>echo lootWeight87,1, &gt;&gt; .\items\loottables\dailoneskill0027.dbr</v>
      </c>
      <c r="Y89" s="5" t="s">
        <v>36</v>
      </c>
      <c r="Z89" t="str">
        <f t="shared" si="30"/>
        <v xml:space="preserve"> dailCompDescEngineer87=^pEngineer's Gift of DAIL</v>
      </c>
      <c r="AA89" t="str">
        <f t="shared" si="38"/>
        <v>dailCompTextEngineer87=^oThis feels warm to the touch, almost familiar ^w(This component only fits into the Medal Slot)</v>
      </c>
      <c r="AB89" s="5" t="s">
        <v>36</v>
      </c>
      <c r="AH89">
        <f t="shared" si="40"/>
        <v>84</v>
      </c>
      <c r="AI89">
        <f t="shared" si="34"/>
        <v>37</v>
      </c>
      <c r="AJ89">
        <f t="shared" si="39"/>
        <v>5</v>
      </c>
    </row>
    <row r="90" spans="1:36" x14ac:dyDescent="0.25">
      <c r="A90" s="5" t="s">
        <v>39</v>
      </c>
      <c r="B90" s="5" t="s">
        <v>30</v>
      </c>
      <c r="C90" s="5" t="str">
        <f t="shared" si="24"/>
        <v>description,dailCompDescEngineer88,</v>
      </c>
      <c r="D90" s="5" t="str">
        <f t="shared" si="25"/>
        <v>itemText,dailCompTextEngineer88,</v>
      </c>
      <c r="E90" s="5" t="str">
        <f t="shared" si="35"/>
        <v>augmentSkillLevel1,5,</v>
      </c>
      <c r="F90" s="5" t="str">
        <f t="shared" si="36"/>
        <v>augmentSkillName1,records/skills/playerclassEngineer/burstpunches2.dbr,</v>
      </c>
      <c r="G90" s="7">
        <f t="shared" si="31"/>
        <v>88</v>
      </c>
      <c r="H90" s="8" t="str">
        <f t="shared" si="32"/>
        <v>Engineer</v>
      </c>
      <c r="I90" s="3" t="s">
        <v>544</v>
      </c>
      <c r="J90" s="8" t="str">
        <f t="shared" si="41"/>
        <v>class0027</v>
      </c>
      <c r="K90" s="8" t="str">
        <f t="shared" si="41"/>
        <v>dailoneskill0027</v>
      </c>
      <c r="L90" s="5" t="str">
        <f t="shared" si="26"/>
        <v>lootName88,DAIL/items/materia/class0027/Engineer88.dbr,</v>
      </c>
      <c r="M90" s="5" t="str">
        <f t="shared" si="27"/>
        <v>lootWeight88,1,</v>
      </c>
      <c r="N90" t="str">
        <f t="shared" si="28"/>
        <v>5</v>
      </c>
      <c r="O90" t="str">
        <f t="shared" si="37"/>
        <v>copy .\dail_base3.dbr .\items\materia\class0027\Engineer88.dbr /y</v>
      </c>
      <c r="P90" t="str">
        <f t="shared" si="23"/>
        <v>echo relicBitmap,items/craftingparts/components/component_a52_bristlyfur_b.tex, &gt;&gt; .\items\materia\class0027\Engineer88.dbr</v>
      </c>
      <c r="Q90" t="str">
        <f t="shared" si="23"/>
        <v>echo itemCost,500000, &gt;&gt; .\items\materia\class0027\Engineer88.dbr</v>
      </c>
      <c r="R90" t="str">
        <f t="shared" si="23"/>
        <v>echo description,dailCompDescEngineer88, &gt;&gt; .\items\materia\class0027\Engineer88.dbr</v>
      </c>
      <c r="S90" t="str">
        <f t="shared" si="23"/>
        <v>echo itemText,dailCompTextEngineer88, &gt;&gt; .\items\materia\class0027\Engineer88.dbr</v>
      </c>
      <c r="T90" t="str">
        <f t="shared" si="23"/>
        <v>echo augmentSkillLevel1,5, &gt;&gt; .\items\materia\class0027\Engineer88.dbr</v>
      </c>
      <c r="U90" t="str">
        <f t="shared" si="23"/>
        <v>echo augmentSkillName1,records/skills/playerclassEngineer/burstpunches2.dbr, &gt;&gt; .\items\materia\class0027\Engineer88.dbr</v>
      </c>
      <c r="V90" s="5" t="s">
        <v>36</v>
      </c>
      <c r="W90" t="str">
        <f t="shared" si="29"/>
        <v>echo lootName88,DAIL/items/materia/class0027/Engineer88.dbr, &gt;&gt; .\items\loottables\dailoneskill0027.dbr</v>
      </c>
      <c r="X90" t="str">
        <f t="shared" si="29"/>
        <v>echo lootWeight88,1, &gt;&gt; .\items\loottables\dailoneskill0027.dbr</v>
      </c>
      <c r="Y90" s="5" t="s">
        <v>36</v>
      </c>
      <c r="Z90" t="str">
        <f t="shared" si="30"/>
        <v xml:space="preserve"> dailCompDescEngineer88=^pEngineer's Gift of DAIL</v>
      </c>
      <c r="AA90" t="str">
        <f t="shared" si="38"/>
        <v>dailCompTextEngineer88=^oThis feels warm to the touch, almost familiar ^w(This component only fits into the Medal Slot)</v>
      </c>
      <c r="AB90" s="5" t="s">
        <v>36</v>
      </c>
      <c r="AH90">
        <f t="shared" si="40"/>
        <v>85</v>
      </c>
      <c r="AI90">
        <f t="shared" si="34"/>
        <v>38</v>
      </c>
      <c r="AJ90">
        <f t="shared" si="39"/>
        <v>5</v>
      </c>
    </row>
    <row r="91" spans="1:36" x14ac:dyDescent="0.25">
      <c r="A91" s="5" t="s">
        <v>39</v>
      </c>
      <c r="B91" s="5" t="s">
        <v>30</v>
      </c>
      <c r="C91" s="5" t="str">
        <f t="shared" si="24"/>
        <v>description,dailCompDescEngineer89,</v>
      </c>
      <c r="D91" s="5" t="str">
        <f t="shared" si="25"/>
        <v>itemText,dailCompTextEngineer89,</v>
      </c>
      <c r="E91" s="5" t="str">
        <f t="shared" si="35"/>
        <v>augmentSkillLevel1,5,</v>
      </c>
      <c r="F91" s="5" t="str">
        <f t="shared" si="36"/>
        <v>augmentSkillName1,records/skills/playerclassEngineer/burstpunches3.dbr,</v>
      </c>
      <c r="G91" s="7">
        <f t="shared" si="31"/>
        <v>89</v>
      </c>
      <c r="H91" s="8" t="str">
        <f t="shared" si="32"/>
        <v>Engineer</v>
      </c>
      <c r="I91" s="3" t="s">
        <v>545</v>
      </c>
      <c r="J91" s="8" t="str">
        <f t="shared" si="41"/>
        <v>class0027</v>
      </c>
      <c r="K91" s="8" t="str">
        <f t="shared" si="41"/>
        <v>dailoneskill0027</v>
      </c>
      <c r="L91" s="5" t="str">
        <f t="shared" si="26"/>
        <v>lootName89,DAIL/items/materia/class0027/Engineer89.dbr,</v>
      </c>
      <c r="M91" s="5" t="str">
        <f t="shared" si="27"/>
        <v>lootWeight89,1,</v>
      </c>
      <c r="N91" t="str">
        <f t="shared" si="28"/>
        <v>5</v>
      </c>
      <c r="O91" t="str">
        <f t="shared" si="37"/>
        <v>copy .\dail_base3.dbr .\items\materia\class0027\Engineer89.dbr /y</v>
      </c>
      <c r="P91" t="str">
        <f t="shared" si="23"/>
        <v>echo relicBitmap,items/craftingparts/components/component_a52_bristlyfur_b.tex, &gt;&gt; .\items\materia\class0027\Engineer89.dbr</v>
      </c>
      <c r="Q91" t="str">
        <f t="shared" si="23"/>
        <v>echo itemCost,500000, &gt;&gt; .\items\materia\class0027\Engineer89.dbr</v>
      </c>
      <c r="R91" t="str">
        <f t="shared" si="23"/>
        <v>echo description,dailCompDescEngineer89, &gt;&gt; .\items\materia\class0027\Engineer89.dbr</v>
      </c>
      <c r="S91" t="str">
        <f t="shared" si="23"/>
        <v>echo itemText,dailCompTextEngineer89, &gt;&gt; .\items\materia\class0027\Engineer89.dbr</v>
      </c>
      <c r="T91" t="str">
        <f t="shared" si="23"/>
        <v>echo augmentSkillLevel1,5, &gt;&gt; .\items\materia\class0027\Engineer89.dbr</v>
      </c>
      <c r="U91" t="str">
        <f t="shared" si="23"/>
        <v>echo augmentSkillName1,records/skills/playerclassEngineer/burstpunches3.dbr, &gt;&gt; .\items\materia\class0027\Engineer89.dbr</v>
      </c>
      <c r="V91" s="5" t="s">
        <v>36</v>
      </c>
      <c r="W91" t="str">
        <f t="shared" si="29"/>
        <v>echo lootName89,DAIL/items/materia/class0027/Engineer89.dbr, &gt;&gt; .\items\loottables\dailoneskill0027.dbr</v>
      </c>
      <c r="X91" t="str">
        <f t="shared" si="29"/>
        <v>echo lootWeight89,1, &gt;&gt; .\items\loottables\dailoneskill0027.dbr</v>
      </c>
      <c r="Y91" s="5" t="s">
        <v>36</v>
      </c>
      <c r="Z91" t="str">
        <f t="shared" si="30"/>
        <v xml:space="preserve"> dailCompDescEngineer89=^pEngineer's Gift of DAIL</v>
      </c>
      <c r="AA91" t="str">
        <f t="shared" si="38"/>
        <v>dailCompTextEngineer89=^oThis feels warm to the touch, almost familiar ^w(This component only fits into the Medal Slot)</v>
      </c>
      <c r="AB91" s="5" t="s">
        <v>36</v>
      </c>
      <c r="AH91">
        <f t="shared" si="40"/>
        <v>86</v>
      </c>
      <c r="AI91">
        <f t="shared" si="34"/>
        <v>38</v>
      </c>
      <c r="AJ91">
        <f t="shared" si="39"/>
        <v>5</v>
      </c>
    </row>
    <row r="92" spans="1:36" x14ac:dyDescent="0.25">
      <c r="A92" s="5" t="s">
        <v>39</v>
      </c>
      <c r="B92" s="5" t="s">
        <v>30</v>
      </c>
      <c r="C92" s="5" t="str">
        <f t="shared" si="24"/>
        <v>description,dailCompDescEngineer90,</v>
      </c>
      <c r="D92" s="5" t="str">
        <f t="shared" si="25"/>
        <v>itemText,dailCompTextEngineer90,</v>
      </c>
      <c r="E92" s="5" t="str">
        <f t="shared" si="35"/>
        <v>augmentSkillLevel1,5,</v>
      </c>
      <c r="F92" s="5" t="str">
        <f t="shared" si="36"/>
        <v>augmentSkillName1,records/skills/playerclassEngineer/ultimateengineer.dbr,</v>
      </c>
      <c r="G92" s="7">
        <f t="shared" si="31"/>
        <v>90</v>
      </c>
      <c r="H92" s="8" t="str">
        <f t="shared" si="32"/>
        <v>Engineer</v>
      </c>
      <c r="I92" s="3" t="s">
        <v>546</v>
      </c>
      <c r="J92" s="8" t="str">
        <f t="shared" si="41"/>
        <v>class0027</v>
      </c>
      <c r="K92" s="8" t="str">
        <f t="shared" si="41"/>
        <v>dailoneskill0027</v>
      </c>
      <c r="L92" s="5" t="str">
        <f t="shared" si="26"/>
        <v>lootName90,DAIL/items/materia/class0027/Engineer90.dbr,</v>
      </c>
      <c r="M92" s="5" t="str">
        <f t="shared" si="27"/>
        <v>lootWeight90,1,</v>
      </c>
      <c r="N92" t="str">
        <f t="shared" si="28"/>
        <v>5</v>
      </c>
      <c r="O92" t="str">
        <f t="shared" si="37"/>
        <v>copy .\dail_base3.dbr .\items\materia\class0027\Engineer90.dbr /y</v>
      </c>
      <c r="P92" t="str">
        <f t="shared" si="23"/>
        <v>echo relicBitmap,items/craftingparts/components/component_a52_bristlyfur_b.tex, &gt;&gt; .\items\materia\class0027\Engineer90.dbr</v>
      </c>
      <c r="Q92" t="str">
        <f t="shared" si="23"/>
        <v>echo itemCost,500000, &gt;&gt; .\items\materia\class0027\Engineer90.dbr</v>
      </c>
      <c r="R92" t="str">
        <f t="shared" si="23"/>
        <v>echo description,dailCompDescEngineer90, &gt;&gt; .\items\materia\class0027\Engineer90.dbr</v>
      </c>
      <c r="S92" t="str">
        <f t="shared" si="23"/>
        <v>echo itemText,dailCompTextEngineer90, &gt;&gt; .\items\materia\class0027\Engineer90.dbr</v>
      </c>
      <c r="T92" t="str">
        <f t="shared" si="23"/>
        <v>echo augmentSkillLevel1,5, &gt;&gt; .\items\materia\class0027\Engineer90.dbr</v>
      </c>
      <c r="U92" t="str">
        <f t="shared" si="23"/>
        <v>echo augmentSkillName1,records/skills/playerclassEngineer/ultimateengineer.dbr, &gt;&gt; .\items\materia\class0027\Engineer90.dbr</v>
      </c>
      <c r="V92" s="5" t="s">
        <v>36</v>
      </c>
      <c r="W92" t="str">
        <f t="shared" si="29"/>
        <v>echo lootName90,DAIL/items/materia/class0027/Engineer90.dbr, &gt;&gt; .\items\loottables\dailoneskill0027.dbr</v>
      </c>
      <c r="X92" t="str">
        <f t="shared" si="29"/>
        <v>echo lootWeight90,1, &gt;&gt; .\items\loottables\dailoneskill0027.dbr</v>
      </c>
      <c r="Y92" s="5" t="s">
        <v>36</v>
      </c>
      <c r="Z92" t="str">
        <f t="shared" si="30"/>
        <v xml:space="preserve"> dailCompDescEngineer90=^pEngineer's Gift of DAIL</v>
      </c>
      <c r="AA92" t="str">
        <f t="shared" si="38"/>
        <v>dailCompTextEngineer90=^oThis feels warm to the touch, almost familiar ^w(This component only fits into the Medal Slot)</v>
      </c>
      <c r="AB92" s="5" t="s">
        <v>36</v>
      </c>
      <c r="AH92">
        <f t="shared" si="40"/>
        <v>87</v>
      </c>
      <c r="AI92">
        <f t="shared" si="34"/>
        <v>41</v>
      </c>
      <c r="AJ92">
        <f t="shared" si="39"/>
        <v>5</v>
      </c>
    </row>
    <row r="93" spans="1:36" x14ac:dyDescent="0.25">
      <c r="A93" s="5" t="s">
        <v>39</v>
      </c>
      <c r="B93" s="5" t="s">
        <v>30</v>
      </c>
      <c r="C93" s="5" t="str">
        <f t="shared" si="24"/>
        <v>description,dailCompDescEngineer91,</v>
      </c>
      <c r="D93" s="5" t="str">
        <f t="shared" si="25"/>
        <v>itemText,dailCompTextEngineer91,</v>
      </c>
      <c r="E93" s="5" t="str">
        <f t="shared" si="35"/>
        <v>augmentSkillLevel1,5,</v>
      </c>
      <c r="F93" s="5" t="str">
        <f t="shared" si="36"/>
        <v>augmentSkillName1,records/skills/playerclassEngineer/powerpalms1c.dbr,</v>
      </c>
      <c r="G93" s="7">
        <f t="shared" si="31"/>
        <v>91</v>
      </c>
      <c r="H93" s="8" t="str">
        <f t="shared" si="32"/>
        <v>Engineer</v>
      </c>
      <c r="I93" s="3" t="s">
        <v>547</v>
      </c>
      <c r="J93" s="8" t="str">
        <f t="shared" si="41"/>
        <v>class0027</v>
      </c>
      <c r="K93" s="8" t="str">
        <f t="shared" si="41"/>
        <v>dailoneskill0027</v>
      </c>
      <c r="L93" s="5" t="str">
        <f t="shared" si="26"/>
        <v>lootName91,DAIL/items/materia/class0027/Engineer91.dbr,</v>
      </c>
      <c r="M93" s="5" t="str">
        <f t="shared" si="27"/>
        <v>lootWeight91,1,</v>
      </c>
      <c r="N93" t="str">
        <f t="shared" si="28"/>
        <v>5</v>
      </c>
      <c r="O93" t="str">
        <f t="shared" si="37"/>
        <v>copy .\dail_base3.dbr .\items\materia\class0027\Engineer91.dbr /y</v>
      </c>
      <c r="P93" t="str">
        <f t="shared" si="23"/>
        <v>echo relicBitmap,items/craftingparts/components/component_a52_bristlyfur_b.tex, &gt;&gt; .\items\materia\class0027\Engineer91.dbr</v>
      </c>
      <c r="Q93" t="str">
        <f t="shared" si="23"/>
        <v>echo itemCost,500000, &gt;&gt; .\items\materia\class0027\Engineer91.dbr</v>
      </c>
      <c r="R93" t="str">
        <f t="shared" si="23"/>
        <v>echo description,dailCompDescEngineer91, &gt;&gt; .\items\materia\class0027\Engineer91.dbr</v>
      </c>
      <c r="S93" t="str">
        <f t="shared" si="23"/>
        <v>echo itemText,dailCompTextEngineer91, &gt;&gt; .\items\materia\class0027\Engineer91.dbr</v>
      </c>
      <c r="T93" t="str">
        <f t="shared" si="23"/>
        <v>echo augmentSkillLevel1,5, &gt;&gt; .\items\materia\class0027\Engineer91.dbr</v>
      </c>
      <c r="U93" t="str">
        <f t="shared" si="23"/>
        <v>echo augmentSkillName1,records/skills/playerclassEngineer/powerpalms1c.dbr, &gt;&gt; .\items\materia\class0027\Engineer91.dbr</v>
      </c>
      <c r="V93" s="5" t="s">
        <v>36</v>
      </c>
      <c r="W93" t="str">
        <f t="shared" si="29"/>
        <v>echo lootName91,DAIL/items/materia/class0027/Engineer91.dbr, &gt;&gt; .\items\loottables\dailoneskill0027.dbr</v>
      </c>
      <c r="X93" t="str">
        <f t="shared" si="29"/>
        <v>echo lootWeight91,1, &gt;&gt; .\items\loottables\dailoneskill0027.dbr</v>
      </c>
      <c r="Y93" s="5" t="s">
        <v>36</v>
      </c>
      <c r="Z93" t="str">
        <f t="shared" si="30"/>
        <v xml:space="preserve"> dailCompDescEngineer91=^pEngineer's Gift of DAIL</v>
      </c>
      <c r="AA93" t="str">
        <f t="shared" si="38"/>
        <v>dailCompTextEngineer91=^oThis feels warm to the touch, almost familiar ^w(This component only fits into the Medal Slot)</v>
      </c>
      <c r="AB93" s="5" t="s">
        <v>36</v>
      </c>
      <c r="AH93">
        <f t="shared" si="40"/>
        <v>88</v>
      </c>
      <c r="AI93">
        <f t="shared" si="34"/>
        <v>37</v>
      </c>
      <c r="AJ93">
        <f t="shared" si="39"/>
        <v>5</v>
      </c>
    </row>
    <row r="94" spans="1:36" x14ac:dyDescent="0.25">
      <c r="A94" s="5" t="s">
        <v>39</v>
      </c>
      <c r="B94" s="5" t="s">
        <v>30</v>
      </c>
      <c r="C94" s="5" t="str">
        <f t="shared" si="24"/>
        <v>description,dailCompDescEngineer92,</v>
      </c>
      <c r="D94" s="5" t="str">
        <f t="shared" si="25"/>
        <v>itemText,dailCompTextEngineer92,</v>
      </c>
      <c r="E94" s="5" t="str">
        <f t="shared" si="35"/>
        <v>augmentSkillLevel1,5,</v>
      </c>
      <c r="F94" s="5" t="str">
        <f t="shared" si="36"/>
        <v>augmentSkillName1,records/skills/playerclassEngineer/powerpalms2.dbr,</v>
      </c>
      <c r="G94" s="7">
        <f t="shared" si="31"/>
        <v>92</v>
      </c>
      <c r="H94" s="8" t="str">
        <f t="shared" si="32"/>
        <v>Engineer</v>
      </c>
      <c r="I94" s="3" t="s">
        <v>548</v>
      </c>
      <c r="J94" s="8" t="str">
        <f t="shared" si="41"/>
        <v>class0027</v>
      </c>
      <c r="K94" s="8" t="str">
        <f t="shared" si="41"/>
        <v>dailoneskill0027</v>
      </c>
      <c r="L94" s="5" t="str">
        <f t="shared" si="26"/>
        <v>lootName92,DAIL/items/materia/class0027/Engineer92.dbr,</v>
      </c>
      <c r="M94" s="5" t="str">
        <f t="shared" si="27"/>
        <v>lootWeight92,1,</v>
      </c>
      <c r="N94" t="str">
        <f t="shared" si="28"/>
        <v>5</v>
      </c>
      <c r="O94" t="str">
        <f t="shared" si="37"/>
        <v>copy .\dail_base3.dbr .\items\materia\class0027\Engineer92.dbr /y</v>
      </c>
      <c r="P94" t="str">
        <f t="shared" si="23"/>
        <v>echo relicBitmap,items/craftingparts/components/component_a52_bristlyfur_b.tex, &gt;&gt; .\items\materia\class0027\Engineer92.dbr</v>
      </c>
      <c r="Q94" t="str">
        <f t="shared" si="23"/>
        <v>echo itemCost,500000, &gt;&gt; .\items\materia\class0027\Engineer92.dbr</v>
      </c>
      <c r="R94" t="str">
        <f t="shared" si="23"/>
        <v>echo description,dailCompDescEngineer92, &gt;&gt; .\items\materia\class0027\Engineer92.dbr</v>
      </c>
      <c r="S94" t="str">
        <f t="shared" si="23"/>
        <v>echo itemText,dailCompTextEngineer92, &gt;&gt; .\items\materia\class0027\Engineer92.dbr</v>
      </c>
      <c r="T94" t="str">
        <f t="shared" si="23"/>
        <v>echo augmentSkillLevel1,5, &gt;&gt; .\items\materia\class0027\Engineer92.dbr</v>
      </c>
      <c r="U94" t="str">
        <f t="shared" si="23"/>
        <v>echo augmentSkillName1,records/skills/playerclassEngineer/powerpalms2.dbr, &gt;&gt; .\items\materia\class0027\Engineer92.dbr</v>
      </c>
      <c r="V94" s="5" t="s">
        <v>36</v>
      </c>
      <c r="W94" t="str">
        <f t="shared" si="29"/>
        <v>echo lootName92,DAIL/items/materia/class0027/Engineer92.dbr, &gt;&gt; .\items\loottables\dailoneskill0027.dbr</v>
      </c>
      <c r="X94" t="str">
        <f t="shared" si="29"/>
        <v>echo lootWeight92,1, &gt;&gt; .\items\loottables\dailoneskill0027.dbr</v>
      </c>
      <c r="Y94" s="5" t="s">
        <v>36</v>
      </c>
      <c r="Z94" t="str">
        <f t="shared" si="30"/>
        <v xml:space="preserve"> dailCompDescEngineer92=^pEngineer's Gift of DAIL</v>
      </c>
      <c r="AA94" t="str">
        <f t="shared" si="38"/>
        <v>dailCompTextEngineer92=^oThis feels warm to the touch, almost familiar ^w(This component only fits into the Medal Slot)</v>
      </c>
      <c r="AB94" s="5" t="s">
        <v>36</v>
      </c>
      <c r="AH94">
        <f t="shared" si="40"/>
        <v>89</v>
      </c>
      <c r="AI94">
        <f t="shared" si="34"/>
        <v>36</v>
      </c>
      <c r="AJ94">
        <f t="shared" si="39"/>
        <v>5</v>
      </c>
    </row>
    <row r="95" spans="1:36" x14ac:dyDescent="0.25">
      <c r="A95" s="5" t="s">
        <v>39</v>
      </c>
      <c r="B95" s="5" t="s">
        <v>30</v>
      </c>
      <c r="C95" s="5" t="str">
        <f t="shared" si="24"/>
        <v>description,dailCompDescEngineer93,</v>
      </c>
      <c r="D95" s="5" t="str">
        <f t="shared" si="25"/>
        <v>itemText,dailCompTextEngineer93,</v>
      </c>
      <c r="E95" s="5" t="str">
        <f t="shared" si="35"/>
        <v>augmentSkillLevel1,5,</v>
      </c>
      <c r="F95" s="5" t="str">
        <f t="shared" si="36"/>
        <v>augmentSkillName1,records/skills/playerclassEngineer/powerpalms3.dbr,</v>
      </c>
      <c r="G95" s="7">
        <f t="shared" si="31"/>
        <v>93</v>
      </c>
      <c r="H95" s="8" t="str">
        <f t="shared" si="32"/>
        <v>Engineer</v>
      </c>
      <c r="I95" s="3" t="s">
        <v>549</v>
      </c>
      <c r="J95" s="8" t="str">
        <f t="shared" si="41"/>
        <v>class0027</v>
      </c>
      <c r="K95" s="8" t="str">
        <f t="shared" si="41"/>
        <v>dailoneskill0027</v>
      </c>
      <c r="L95" s="5" t="str">
        <f t="shared" si="26"/>
        <v>lootName93,DAIL/items/materia/class0027/Engineer93.dbr,</v>
      </c>
      <c r="M95" s="5" t="str">
        <f t="shared" si="27"/>
        <v>lootWeight93,1,</v>
      </c>
      <c r="N95" t="str">
        <f t="shared" si="28"/>
        <v>5</v>
      </c>
      <c r="O95" t="str">
        <f t="shared" si="37"/>
        <v>copy .\dail_base3.dbr .\items\materia\class0027\Engineer93.dbr /y</v>
      </c>
      <c r="P95" t="str">
        <f t="shared" si="23"/>
        <v>echo relicBitmap,items/craftingparts/components/component_a52_bristlyfur_b.tex, &gt;&gt; .\items\materia\class0027\Engineer93.dbr</v>
      </c>
      <c r="Q95" t="str">
        <f t="shared" si="23"/>
        <v>echo itemCost,500000, &gt;&gt; .\items\materia\class0027\Engineer93.dbr</v>
      </c>
      <c r="R95" t="str">
        <f t="shared" si="23"/>
        <v>echo description,dailCompDescEngineer93, &gt;&gt; .\items\materia\class0027\Engineer93.dbr</v>
      </c>
      <c r="S95" t="str">
        <f t="shared" si="23"/>
        <v>echo itemText,dailCompTextEngineer93, &gt;&gt; .\items\materia\class0027\Engineer93.dbr</v>
      </c>
      <c r="T95" t="str">
        <f t="shared" si="23"/>
        <v>echo augmentSkillLevel1,5, &gt;&gt; .\items\materia\class0027\Engineer93.dbr</v>
      </c>
      <c r="U95" t="str">
        <f t="shared" si="23"/>
        <v>echo augmentSkillName1,records/skills/playerclassEngineer/powerpalms3.dbr, &gt;&gt; .\items\materia\class0027\Engineer93.dbr</v>
      </c>
      <c r="V95" s="5" t="s">
        <v>36</v>
      </c>
      <c r="W95" t="str">
        <f t="shared" si="29"/>
        <v>echo lootName93,DAIL/items/materia/class0027/Engineer93.dbr, &gt;&gt; .\items\loottables\dailoneskill0027.dbr</v>
      </c>
      <c r="X95" t="str">
        <f t="shared" si="29"/>
        <v>echo lootWeight93,1, &gt;&gt; .\items\loottables\dailoneskill0027.dbr</v>
      </c>
      <c r="Y95" s="5" t="s">
        <v>36</v>
      </c>
      <c r="Z95" t="str">
        <f t="shared" si="30"/>
        <v xml:space="preserve"> dailCompDescEngineer93=^pEngineer's Gift of DAIL</v>
      </c>
      <c r="AA95" t="str">
        <f t="shared" si="38"/>
        <v>dailCompTextEngineer93=^oThis feels warm to the touch, almost familiar ^w(This component only fits into the Medal Slot)</v>
      </c>
      <c r="AB95" s="5" t="s">
        <v>36</v>
      </c>
      <c r="AH95">
        <f t="shared" si="40"/>
        <v>90</v>
      </c>
      <c r="AI95">
        <f t="shared" si="34"/>
        <v>36</v>
      </c>
      <c r="AJ95">
        <f t="shared" si="39"/>
        <v>5</v>
      </c>
    </row>
    <row r="96" spans="1:36" x14ac:dyDescent="0.25">
      <c r="A96" s="5" t="s">
        <v>39</v>
      </c>
      <c r="B96" s="5" t="s">
        <v>30</v>
      </c>
      <c r="C96" s="5" t="str">
        <f t="shared" si="24"/>
        <v>description,dailCompDescEngineer94,</v>
      </c>
      <c r="D96" s="5" t="str">
        <f t="shared" si="25"/>
        <v>itemText,dailCompTextEngineer94,</v>
      </c>
      <c r="E96" s="5" t="str">
        <f t="shared" si="35"/>
        <v>augmentSkillLevel1,5,</v>
      </c>
      <c r="F96" s="5" t="str">
        <f t="shared" si="36"/>
        <v>augmentSkillName1,records/skills/playerclassEngineer/shockshot1.dbr,</v>
      </c>
      <c r="G96" s="7">
        <f t="shared" si="31"/>
        <v>94</v>
      </c>
      <c r="H96" s="8" t="str">
        <f t="shared" si="32"/>
        <v>Engineer</v>
      </c>
      <c r="I96" s="3" t="s">
        <v>550</v>
      </c>
      <c r="J96" s="8" t="str">
        <f t="shared" si="41"/>
        <v>class0027</v>
      </c>
      <c r="K96" s="8" t="str">
        <f t="shared" si="41"/>
        <v>dailoneskill0027</v>
      </c>
      <c r="L96" s="5" t="str">
        <f t="shared" si="26"/>
        <v>lootName94,DAIL/items/materia/class0027/Engineer94.dbr,</v>
      </c>
      <c r="M96" s="5" t="str">
        <f t="shared" si="27"/>
        <v>lootWeight94,1,</v>
      </c>
      <c r="N96" t="str">
        <f t="shared" si="28"/>
        <v>5</v>
      </c>
      <c r="O96" t="str">
        <f t="shared" si="37"/>
        <v>copy .\dail_base3.dbr .\items\materia\class0027\Engineer94.dbr /y</v>
      </c>
      <c r="P96" t="str">
        <f t="shared" si="23"/>
        <v>echo relicBitmap,items/craftingparts/components/component_a52_bristlyfur_b.tex, &gt;&gt; .\items\materia\class0027\Engineer94.dbr</v>
      </c>
      <c r="Q96" t="str">
        <f t="shared" si="23"/>
        <v>echo itemCost,500000, &gt;&gt; .\items\materia\class0027\Engineer94.dbr</v>
      </c>
      <c r="R96" t="str">
        <f t="shared" si="23"/>
        <v>echo description,dailCompDescEngineer94, &gt;&gt; .\items\materia\class0027\Engineer94.dbr</v>
      </c>
      <c r="S96" t="str">
        <f t="shared" si="23"/>
        <v>echo itemText,dailCompTextEngineer94, &gt;&gt; .\items\materia\class0027\Engineer94.dbr</v>
      </c>
      <c r="T96" t="str">
        <f t="shared" si="23"/>
        <v>echo augmentSkillLevel1,5, &gt;&gt; .\items\materia\class0027\Engineer94.dbr</v>
      </c>
      <c r="U96" t="str">
        <f t="shared" si="23"/>
        <v>echo augmentSkillName1,records/skills/playerclassEngineer/shockshot1.dbr, &gt;&gt; .\items\materia\class0027\Engineer94.dbr</v>
      </c>
      <c r="V96" s="5" t="s">
        <v>36</v>
      </c>
      <c r="W96" t="str">
        <f t="shared" si="29"/>
        <v>echo lootName94,DAIL/items/materia/class0027/Engineer94.dbr, &gt;&gt; .\items\loottables\dailoneskill0027.dbr</v>
      </c>
      <c r="X96" t="str">
        <f t="shared" si="29"/>
        <v>echo lootWeight94,1, &gt;&gt; .\items\loottables\dailoneskill0027.dbr</v>
      </c>
      <c r="Y96" s="5" t="s">
        <v>36</v>
      </c>
      <c r="Z96" t="str">
        <f t="shared" si="30"/>
        <v xml:space="preserve"> dailCompDescEngineer94=^pEngineer's Gift of DAIL</v>
      </c>
      <c r="AA96" t="str">
        <f t="shared" si="38"/>
        <v>dailCompTextEngineer94=^oThis feels warm to the touch, almost familiar ^w(This component only fits into the Medal Slot)</v>
      </c>
      <c r="AB96" s="5" t="s">
        <v>36</v>
      </c>
      <c r="AH96">
        <f t="shared" si="40"/>
        <v>91</v>
      </c>
      <c r="AI96">
        <f t="shared" si="34"/>
        <v>35</v>
      </c>
      <c r="AJ96">
        <f t="shared" si="39"/>
        <v>5</v>
      </c>
    </row>
    <row r="97" spans="1:36" x14ac:dyDescent="0.25">
      <c r="A97" s="5" t="s">
        <v>39</v>
      </c>
      <c r="B97" s="5" t="s">
        <v>30</v>
      </c>
      <c r="C97" s="5" t="str">
        <f t="shared" si="24"/>
        <v>description,dailCompDescEngineer95,</v>
      </c>
      <c r="D97" s="5" t="str">
        <f t="shared" si="25"/>
        <v>itemText,dailCompTextEngineer95,</v>
      </c>
      <c r="E97" s="5" t="str">
        <f t="shared" si="35"/>
        <v>augmentSkillLevel1,5,</v>
      </c>
      <c r="F97" s="5" t="str">
        <f t="shared" si="36"/>
        <v>augmentSkillName1,records/skills/playerclassEngineer/shockshot1b.dbr,</v>
      </c>
      <c r="G97" s="7">
        <f t="shared" si="31"/>
        <v>95</v>
      </c>
      <c r="H97" s="8" t="str">
        <f t="shared" si="32"/>
        <v>Engineer</v>
      </c>
      <c r="I97" s="3" t="s">
        <v>551</v>
      </c>
      <c r="J97" s="8" t="str">
        <f t="shared" si="41"/>
        <v>class0027</v>
      </c>
      <c r="K97" s="8" t="str">
        <f t="shared" si="41"/>
        <v>dailoneskill0027</v>
      </c>
      <c r="L97" s="5" t="str">
        <f t="shared" si="26"/>
        <v>lootName95,DAIL/items/materia/class0027/Engineer95.dbr,</v>
      </c>
      <c r="M97" s="5" t="str">
        <f t="shared" si="27"/>
        <v>lootWeight95,1,</v>
      </c>
      <c r="N97" t="str">
        <f t="shared" si="28"/>
        <v>5</v>
      </c>
      <c r="O97" t="str">
        <f t="shared" si="37"/>
        <v>copy .\dail_base3.dbr .\items\materia\class0027\Engineer95.dbr /y</v>
      </c>
      <c r="P97" t="str">
        <f t="shared" si="23"/>
        <v>echo relicBitmap,items/craftingparts/components/component_a52_bristlyfur_b.tex, &gt;&gt; .\items\materia\class0027\Engineer95.dbr</v>
      </c>
      <c r="Q97" t="str">
        <f t="shared" si="23"/>
        <v>echo itemCost,500000, &gt;&gt; .\items\materia\class0027\Engineer95.dbr</v>
      </c>
      <c r="R97" t="str">
        <f t="shared" si="23"/>
        <v>echo description,dailCompDescEngineer95, &gt;&gt; .\items\materia\class0027\Engineer95.dbr</v>
      </c>
      <c r="S97" t="str">
        <f t="shared" si="23"/>
        <v>echo itemText,dailCompTextEngineer95, &gt;&gt; .\items\materia\class0027\Engineer95.dbr</v>
      </c>
      <c r="T97" t="str">
        <f t="shared" si="23"/>
        <v>echo augmentSkillLevel1,5, &gt;&gt; .\items\materia\class0027\Engineer95.dbr</v>
      </c>
      <c r="U97" t="str">
        <f t="shared" si="23"/>
        <v>echo augmentSkillName1,records/skills/playerclassEngineer/shockshot1b.dbr, &gt;&gt; .\items\materia\class0027\Engineer95.dbr</v>
      </c>
      <c r="V97" s="5" t="s">
        <v>36</v>
      </c>
      <c r="W97" t="str">
        <f t="shared" si="29"/>
        <v>echo lootName95,DAIL/items/materia/class0027/Engineer95.dbr, &gt;&gt; .\items\loottables\dailoneskill0027.dbr</v>
      </c>
      <c r="X97" t="str">
        <f t="shared" si="29"/>
        <v>echo lootWeight95,1, &gt;&gt; .\items\loottables\dailoneskill0027.dbr</v>
      </c>
      <c r="Y97" s="5" t="s">
        <v>36</v>
      </c>
      <c r="Z97" t="str">
        <f t="shared" si="30"/>
        <v xml:space="preserve"> dailCompDescEngineer95=^pEngineer's Gift of DAIL</v>
      </c>
      <c r="AA97" t="str">
        <f t="shared" si="38"/>
        <v>dailCompTextEngineer95=^oThis feels warm to the touch, almost familiar ^w(This component only fits into the Medal Slot)</v>
      </c>
      <c r="AB97" s="5" t="s">
        <v>36</v>
      </c>
      <c r="AH97">
        <f t="shared" si="40"/>
        <v>92</v>
      </c>
      <c r="AI97">
        <f t="shared" si="34"/>
        <v>36</v>
      </c>
      <c r="AJ97">
        <f t="shared" si="39"/>
        <v>5</v>
      </c>
    </row>
    <row r="98" spans="1:36" x14ac:dyDescent="0.25">
      <c r="A98" s="5" t="s">
        <v>39</v>
      </c>
      <c r="B98" s="5" t="s">
        <v>30</v>
      </c>
      <c r="C98" s="5" t="str">
        <f t="shared" si="24"/>
        <v>description,dailCompDescEngineer96,</v>
      </c>
      <c r="D98" s="5" t="str">
        <f t="shared" si="25"/>
        <v>itemText,dailCompTextEngineer96,</v>
      </c>
      <c r="E98" s="5" t="str">
        <f t="shared" si="35"/>
        <v>augmentSkillLevel1,5,</v>
      </c>
      <c r="F98" s="5" t="str">
        <f t="shared" si="36"/>
        <v>augmentSkillName1,records/skills/playerclassEngineer/shockshot2.dbr,</v>
      </c>
      <c r="G98" s="7">
        <f t="shared" si="31"/>
        <v>96</v>
      </c>
      <c r="H98" s="8" t="str">
        <f t="shared" si="32"/>
        <v>Engineer</v>
      </c>
      <c r="I98" s="3" t="s">
        <v>552</v>
      </c>
      <c r="J98" s="8" t="str">
        <f t="shared" si="41"/>
        <v>class0027</v>
      </c>
      <c r="K98" s="8" t="str">
        <f t="shared" si="41"/>
        <v>dailoneskill0027</v>
      </c>
      <c r="L98" s="5" t="str">
        <f t="shared" si="26"/>
        <v>lootName96,DAIL/items/materia/class0027/Engineer96.dbr,</v>
      </c>
      <c r="M98" s="5" t="str">
        <f t="shared" si="27"/>
        <v>lootWeight96,1,</v>
      </c>
      <c r="N98" t="str">
        <f t="shared" si="28"/>
        <v>5</v>
      </c>
      <c r="O98" t="str">
        <f t="shared" si="37"/>
        <v>copy .\dail_base3.dbr .\items\materia\class0027\Engineer96.dbr /y</v>
      </c>
      <c r="P98" t="str">
        <f t="shared" si="23"/>
        <v>echo relicBitmap,items/craftingparts/components/component_a52_bristlyfur_b.tex, &gt;&gt; .\items\materia\class0027\Engineer96.dbr</v>
      </c>
      <c r="Q98" t="str">
        <f t="shared" si="23"/>
        <v>echo itemCost,500000, &gt;&gt; .\items\materia\class0027\Engineer96.dbr</v>
      </c>
      <c r="R98" t="str">
        <f t="shared" si="23"/>
        <v>echo description,dailCompDescEngineer96, &gt;&gt; .\items\materia\class0027\Engineer96.dbr</v>
      </c>
      <c r="S98" t="str">
        <f t="shared" si="23"/>
        <v>echo itemText,dailCompTextEngineer96, &gt;&gt; .\items\materia\class0027\Engineer96.dbr</v>
      </c>
      <c r="T98" t="str">
        <f t="shared" si="23"/>
        <v>echo augmentSkillLevel1,5, &gt;&gt; .\items\materia\class0027\Engineer96.dbr</v>
      </c>
      <c r="U98" t="str">
        <f t="shared" si="23"/>
        <v>echo augmentSkillName1,records/skills/playerclassEngineer/shockshot2.dbr, &gt;&gt; .\items\materia\class0027\Engineer96.dbr</v>
      </c>
      <c r="V98" s="5" t="s">
        <v>36</v>
      </c>
      <c r="W98" t="str">
        <f t="shared" si="29"/>
        <v>echo lootName96,DAIL/items/materia/class0027/Engineer96.dbr, &gt;&gt; .\items\loottables\dailoneskill0027.dbr</v>
      </c>
      <c r="X98" t="str">
        <f t="shared" si="29"/>
        <v>echo lootWeight96,1, &gt;&gt; .\items\loottables\dailoneskill0027.dbr</v>
      </c>
      <c r="Y98" s="5" t="s">
        <v>36</v>
      </c>
      <c r="Z98" t="str">
        <f t="shared" si="30"/>
        <v xml:space="preserve"> dailCompDescEngineer96=^pEngineer's Gift of DAIL</v>
      </c>
      <c r="AA98" t="str">
        <f t="shared" si="38"/>
        <v>dailCompTextEngineer96=^oThis feels warm to the touch, almost familiar ^w(This component only fits into the Medal Slot)</v>
      </c>
      <c r="AB98" s="5" t="s">
        <v>36</v>
      </c>
      <c r="AH98">
        <f t="shared" si="40"/>
        <v>93</v>
      </c>
      <c r="AI98">
        <f t="shared" si="34"/>
        <v>35</v>
      </c>
      <c r="AJ98">
        <f t="shared" si="39"/>
        <v>5</v>
      </c>
    </row>
    <row r="99" spans="1:36" x14ac:dyDescent="0.25">
      <c r="A99" s="5" t="s">
        <v>39</v>
      </c>
      <c r="B99" s="5" t="s">
        <v>30</v>
      </c>
      <c r="C99" s="5" t="str">
        <f t="shared" si="24"/>
        <v>description,dailCompDescEngineer,</v>
      </c>
      <c r="D99" s="5" t="str">
        <f t="shared" si="25"/>
        <v>itemText,dailCompTextEngineer,</v>
      </c>
      <c r="E99" s="5" t="str">
        <f t="shared" si="35"/>
        <v>augmentSkillLevel1,5,</v>
      </c>
      <c r="F99" s="5" t="str">
        <f t="shared" si="36"/>
        <v>augmentSkillName1,records/skills,</v>
      </c>
      <c r="G99" s="7" t="str">
        <f t="shared" si="31"/>
        <v/>
      </c>
      <c r="H99" s="8" t="str">
        <f t="shared" si="32"/>
        <v>Engineer</v>
      </c>
      <c r="J99" s="8" t="str">
        <f t="shared" si="41"/>
        <v>class0027</v>
      </c>
      <c r="K99" s="8" t="str">
        <f t="shared" si="41"/>
        <v>dailoneskill0027</v>
      </c>
      <c r="L99" s="5" t="str">
        <f t="shared" si="26"/>
        <v>lootName,DAIL/items/materia/class0027/Engineer.dbr,</v>
      </c>
      <c r="M99" s="5" t="str">
        <f t="shared" si="27"/>
        <v>lootWeight,1,</v>
      </c>
      <c r="N99" t="str">
        <f t="shared" si="28"/>
        <v>5</v>
      </c>
      <c r="O99" t="str">
        <f t="shared" si="37"/>
        <v/>
      </c>
      <c r="P99" t="str">
        <f t="shared" si="23"/>
        <v/>
      </c>
      <c r="Q99" t="str">
        <f t="shared" si="23"/>
        <v/>
      </c>
      <c r="R99" t="str">
        <f t="shared" si="23"/>
        <v/>
      </c>
      <c r="S99" t="str">
        <f t="shared" si="23"/>
        <v/>
      </c>
      <c r="T99" t="str">
        <f t="shared" si="23"/>
        <v/>
      </c>
      <c r="U99" t="str">
        <f t="shared" si="23"/>
        <v/>
      </c>
      <c r="V99" s="5" t="s">
        <v>36</v>
      </c>
      <c r="W99" t="str">
        <f t="shared" si="29"/>
        <v/>
      </c>
      <c r="X99" t="str">
        <f t="shared" si="29"/>
        <v/>
      </c>
      <c r="Y99" s="5" t="s">
        <v>36</v>
      </c>
      <c r="Z99" t="str">
        <f t="shared" si="30"/>
        <v xml:space="preserve"> dailCompDescEngineer=^pEngineer's Gift of DAIL</v>
      </c>
      <c r="AA99" t="str">
        <f t="shared" si="38"/>
        <v>dailCompTextEngineer=^oThis feels warm to the touch, almost familiar ^w(This component only fits into the Medal Slot)</v>
      </c>
      <c r="AB99" s="5" t="s">
        <v>36</v>
      </c>
      <c r="AH99">
        <f t="shared" si="40"/>
        <v>94</v>
      </c>
      <c r="AI99">
        <f t="shared" si="34"/>
        <v>0</v>
      </c>
      <c r="AJ99">
        <f t="shared" si="39"/>
        <v>5</v>
      </c>
    </row>
    <row r="100" spans="1:36" x14ac:dyDescent="0.25">
      <c r="A100" s="5" t="s">
        <v>39</v>
      </c>
      <c r="B100" s="5" t="s">
        <v>30</v>
      </c>
      <c r="C100" s="5" t="str">
        <f t="shared" si="24"/>
        <v>description,dailCompDescEngineer,</v>
      </c>
      <c r="D100" s="5" t="str">
        <f t="shared" si="25"/>
        <v>itemText,dailCompTextEngineer,</v>
      </c>
      <c r="E100" s="5" t="str">
        <f t="shared" si="35"/>
        <v>augmentSkillLevel1,5,</v>
      </c>
      <c r="F100" s="5" t="str">
        <f t="shared" si="36"/>
        <v>augmentSkillName1,records/skills,</v>
      </c>
      <c r="G100" s="7" t="str">
        <f t="shared" si="31"/>
        <v/>
      </c>
      <c r="H100" s="8" t="str">
        <f t="shared" si="32"/>
        <v>Engineer</v>
      </c>
      <c r="J100" s="8" t="str">
        <f t="shared" si="41"/>
        <v>class0027</v>
      </c>
      <c r="K100" s="8" t="str">
        <f t="shared" si="41"/>
        <v>dailoneskill0027</v>
      </c>
      <c r="L100" s="5" t="str">
        <f t="shared" si="26"/>
        <v>lootName,DAIL/items/materia/class0027/Engineer.dbr,</v>
      </c>
      <c r="M100" s="5" t="str">
        <f t="shared" si="27"/>
        <v>lootWeight,1,</v>
      </c>
      <c r="N100" t="str">
        <f t="shared" si="28"/>
        <v>5</v>
      </c>
      <c r="O100" t="str">
        <f t="shared" si="37"/>
        <v/>
      </c>
      <c r="P100" t="str">
        <f t="shared" si="23"/>
        <v/>
      </c>
      <c r="Q100" t="str">
        <f t="shared" si="23"/>
        <v/>
      </c>
      <c r="R100" t="str">
        <f t="shared" si="23"/>
        <v/>
      </c>
      <c r="S100" t="str">
        <f t="shared" si="23"/>
        <v/>
      </c>
      <c r="T100" t="str">
        <f t="shared" si="23"/>
        <v/>
      </c>
      <c r="U100" t="str">
        <f t="shared" si="23"/>
        <v/>
      </c>
      <c r="V100" s="5" t="s">
        <v>36</v>
      </c>
      <c r="W100" t="str">
        <f t="shared" si="29"/>
        <v/>
      </c>
      <c r="X100" t="str">
        <f t="shared" si="29"/>
        <v/>
      </c>
      <c r="Y100" s="5" t="s">
        <v>36</v>
      </c>
      <c r="Z100" t="str">
        <f t="shared" si="30"/>
        <v/>
      </c>
      <c r="AA100" t="str">
        <f t="shared" si="38"/>
        <v/>
      </c>
      <c r="AB100" s="5" t="s">
        <v>36</v>
      </c>
      <c r="AH100">
        <f t="shared" si="40"/>
        <v>95</v>
      </c>
      <c r="AI100">
        <f t="shared" si="34"/>
        <v>0</v>
      </c>
      <c r="AJ100">
        <f t="shared" si="39"/>
        <v>5</v>
      </c>
    </row>
    <row r="101" spans="1:36" x14ac:dyDescent="0.25">
      <c r="A101" s="5" t="s">
        <v>39</v>
      </c>
      <c r="B101" s="5" t="s">
        <v>30</v>
      </c>
      <c r="C101" s="5" t="str">
        <f t="shared" si="24"/>
        <v>description,dailCompDescEngineer,</v>
      </c>
      <c r="D101" s="5" t="str">
        <f t="shared" si="25"/>
        <v>itemText,dailCompTextEngineer,</v>
      </c>
      <c r="E101" s="5" t="str">
        <f t="shared" si="35"/>
        <v>augmentSkillLevel1,5,</v>
      </c>
      <c r="F101" s="5" t="str">
        <f t="shared" si="36"/>
        <v>augmentSkillName1,records/skills,</v>
      </c>
      <c r="G101" s="7" t="str">
        <f t="shared" si="31"/>
        <v/>
      </c>
      <c r="H101" s="8" t="str">
        <f t="shared" si="32"/>
        <v>Engineer</v>
      </c>
      <c r="J101" s="8" t="str">
        <f t="shared" ref="J101:K102" si="42">J100</f>
        <v>class0027</v>
      </c>
      <c r="K101" s="8" t="str">
        <f t="shared" si="42"/>
        <v>dailoneskill0027</v>
      </c>
      <c r="L101" s="5" t="str">
        <f t="shared" si="26"/>
        <v>lootName,DAIL/items/materia/class0027/Engineer.dbr,</v>
      </c>
      <c r="M101" s="5" t="str">
        <f t="shared" si="27"/>
        <v>lootWeight,1,</v>
      </c>
      <c r="N101" t="str">
        <f t="shared" si="28"/>
        <v>5</v>
      </c>
      <c r="O101" t="str">
        <f t="shared" si="37"/>
        <v/>
      </c>
      <c r="P101" t="str">
        <f t="shared" si="23"/>
        <v/>
      </c>
      <c r="Q101" t="str">
        <f t="shared" si="23"/>
        <v/>
      </c>
      <c r="R101" t="str">
        <f t="shared" si="23"/>
        <v/>
      </c>
      <c r="S101" t="str">
        <f t="shared" ref="S101:U102" si="43">IF($I101&lt;&gt;"","echo "&amp;D101&amp;" &gt;&gt; .\items\materia\"&amp;$J101&amp;"\"&amp;$H101&amp;$G101&amp;".dbr","")</f>
        <v/>
      </c>
      <c r="T101" t="str">
        <f t="shared" si="43"/>
        <v/>
      </c>
      <c r="U101" t="str">
        <f t="shared" si="43"/>
        <v/>
      </c>
      <c r="V101" s="5" t="s">
        <v>36</v>
      </c>
      <c r="W101" t="str">
        <f t="shared" si="29"/>
        <v/>
      </c>
      <c r="X101" t="str">
        <f t="shared" si="29"/>
        <v/>
      </c>
      <c r="Y101" s="5" t="s">
        <v>36</v>
      </c>
      <c r="Z101" t="str">
        <f t="shared" si="30"/>
        <v/>
      </c>
      <c r="AA101" t="str">
        <f t="shared" si="38"/>
        <v/>
      </c>
      <c r="AB101" s="5" t="s">
        <v>36</v>
      </c>
      <c r="AH101">
        <f t="shared" si="40"/>
        <v>96</v>
      </c>
      <c r="AI101">
        <f t="shared" si="34"/>
        <v>0</v>
      </c>
      <c r="AJ101">
        <f t="shared" si="39"/>
        <v>5</v>
      </c>
    </row>
    <row r="102" spans="1:36" x14ac:dyDescent="0.25">
      <c r="A102" s="5" t="s">
        <v>39</v>
      </c>
      <c r="B102" s="5" t="s">
        <v>30</v>
      </c>
      <c r="C102" s="5" t="str">
        <f t="shared" si="24"/>
        <v>description,dailCompDescEngineer,</v>
      </c>
      <c r="D102" s="5" t="str">
        <f t="shared" si="25"/>
        <v>itemText,dailCompTextEngineer,</v>
      </c>
      <c r="E102" s="5" t="str">
        <f t="shared" si="35"/>
        <v>augmentSkillLevel1,5,</v>
      </c>
      <c r="F102" s="5" t="str">
        <f t="shared" si="36"/>
        <v>augmentSkillName1,records/skills,</v>
      </c>
      <c r="G102" s="7" t="str">
        <f t="shared" si="31"/>
        <v/>
      </c>
      <c r="H102" s="8" t="str">
        <f t="shared" si="32"/>
        <v>Engineer</v>
      </c>
      <c r="J102" s="8" t="str">
        <f t="shared" si="42"/>
        <v>class0027</v>
      </c>
      <c r="K102" s="8" t="str">
        <f t="shared" si="42"/>
        <v>dailoneskill0027</v>
      </c>
      <c r="L102" s="5" t="str">
        <f t="shared" si="26"/>
        <v>lootName,DAIL/items/materia/class0027/Engineer.dbr,</v>
      </c>
      <c r="M102" s="5" t="str">
        <f t="shared" si="27"/>
        <v>lootWeight,1,</v>
      </c>
      <c r="N102" t="str">
        <f t="shared" si="28"/>
        <v>5</v>
      </c>
      <c r="O102" t="str">
        <f t="shared" si="37"/>
        <v/>
      </c>
      <c r="P102" t="str">
        <f t="shared" ref="P102:R102" si="44">IF($I102&lt;&gt;"","echo "&amp;A102&amp;" &gt;&gt; .\items\materia\"&amp;$J102&amp;"\"&amp;$H102&amp;$G102&amp;".dbr","")</f>
        <v/>
      </c>
      <c r="Q102" t="str">
        <f t="shared" si="44"/>
        <v/>
      </c>
      <c r="R102" t="str">
        <f t="shared" si="44"/>
        <v/>
      </c>
      <c r="S102" t="str">
        <f t="shared" si="43"/>
        <v/>
      </c>
      <c r="T102" t="str">
        <f t="shared" si="43"/>
        <v/>
      </c>
      <c r="U102" t="str">
        <f t="shared" si="43"/>
        <v/>
      </c>
      <c r="V102" s="5" t="s">
        <v>36</v>
      </c>
      <c r="W102" t="str">
        <f t="shared" si="29"/>
        <v/>
      </c>
      <c r="X102" t="str">
        <f t="shared" si="29"/>
        <v/>
      </c>
      <c r="Y102" s="5" t="s">
        <v>36</v>
      </c>
      <c r="Z102" t="str">
        <f t="shared" si="30"/>
        <v/>
      </c>
      <c r="AA102" t="str">
        <f t="shared" si="38"/>
        <v/>
      </c>
      <c r="AB102" s="5" t="s">
        <v>36</v>
      </c>
      <c r="AH102">
        <f t="shared" si="40"/>
        <v>97</v>
      </c>
      <c r="AI102">
        <f t="shared" si="34"/>
        <v>0</v>
      </c>
      <c r="AJ102">
        <f t="shared" si="39"/>
        <v>5</v>
      </c>
    </row>
  </sheetData>
  <mergeCells count="1">
    <mergeCell ref="O2:U2"/>
  </mergeCells>
  <pageMargins left="0.7" right="0.7" top="0.75" bottom="0.75" header="0.3" footer="0.3"/>
  <pageSetup orientation="portrait"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AL102"/>
  <sheetViews>
    <sheetView topLeftCell="J1" zoomScaleNormal="100" workbookViewId="0">
      <selection activeCell="U3" sqref="U3:U102"/>
    </sheetView>
  </sheetViews>
  <sheetFormatPr defaultRowHeight="15" x14ac:dyDescent="0.25"/>
  <cols>
    <col min="1" max="1" width="73.85546875" style="5" bestFit="1" customWidth="1"/>
    <col min="2" max="2" width="16.28515625" style="5" bestFit="1" customWidth="1"/>
    <col min="3" max="3" width="32.7109375" style="5" bestFit="1" customWidth="1"/>
    <col min="4" max="4" width="31.42578125" style="5" bestFit="1" customWidth="1"/>
    <col min="5" max="5" width="24.28515625" style="5" bestFit="1" customWidth="1"/>
    <col min="6" max="6" width="73.5703125" style="5" bestFit="1" customWidth="1"/>
    <col min="7" max="7" width="5.85546875" style="8" bestFit="1" customWidth="1"/>
    <col min="8" max="8" width="7.85546875" style="3" bestFit="1" customWidth="1"/>
    <col min="9" max="9" width="38.140625" style="3" bestFit="1" customWidth="1"/>
    <col min="10" max="10" width="9.140625" style="3" bestFit="1" customWidth="1"/>
    <col min="11" max="11" width="18.140625" style="3" customWidth="1"/>
    <col min="12" max="12" width="51.85546875" style="5" bestFit="1" customWidth="1"/>
    <col min="13" max="13" width="21.28515625" style="5" customWidth="1"/>
    <col min="15" max="15" width="10.5703125" customWidth="1"/>
    <col min="22" max="22" width="1.5703125" style="5" customWidth="1"/>
    <col min="23" max="23" width="9.5703125" customWidth="1"/>
    <col min="25" max="25" width="1.5703125" style="5" bestFit="1" customWidth="1"/>
    <col min="26" max="26" width="46.7109375" bestFit="1" customWidth="1"/>
    <col min="27" max="27" width="29.140625" customWidth="1"/>
    <col min="28" max="28" width="1.5703125" style="5" bestFit="1" customWidth="1"/>
    <col min="31" max="31" width="14.140625" bestFit="1" customWidth="1"/>
  </cols>
  <sheetData>
    <row r="1" spans="1:38" x14ac:dyDescent="0.25">
      <c r="G1" s="5"/>
      <c r="H1" s="5"/>
      <c r="I1" s="5"/>
      <c r="J1" s="5"/>
      <c r="K1" s="5"/>
      <c r="N1" s="5"/>
      <c r="O1" s="9"/>
      <c r="P1" s="9"/>
      <c r="Q1" s="9"/>
      <c r="R1" s="9"/>
      <c r="S1" s="9"/>
      <c r="T1" s="9"/>
      <c r="U1" s="9"/>
      <c r="W1" s="9"/>
      <c r="X1" s="9"/>
      <c r="Z1" s="9"/>
      <c r="AA1" s="9"/>
    </row>
    <row r="2" spans="1:38" x14ac:dyDescent="0.25">
      <c r="A2" s="4" t="s">
        <v>2</v>
      </c>
      <c r="B2" s="4" t="s">
        <v>3</v>
      </c>
      <c r="C2" s="4" t="s">
        <v>4</v>
      </c>
      <c r="D2" s="4" t="s">
        <v>5</v>
      </c>
      <c r="E2" s="4" t="s">
        <v>6</v>
      </c>
      <c r="F2" s="4" t="s">
        <v>7</v>
      </c>
      <c r="G2" s="6" t="s">
        <v>9</v>
      </c>
      <c r="H2" s="2" t="s">
        <v>26</v>
      </c>
      <c r="I2" s="2" t="s">
        <v>8</v>
      </c>
      <c r="J2" s="2" t="s">
        <v>33</v>
      </c>
      <c r="K2" s="2" t="s">
        <v>38</v>
      </c>
      <c r="L2" s="4" t="s">
        <v>31</v>
      </c>
      <c r="M2" s="4" t="s">
        <v>32</v>
      </c>
      <c r="O2" s="11" t="str">
        <f>"Copy from N to T Into the files named "&amp;H3&amp;G3&amp;" etc"</f>
        <v>Copy from N to T Into the files named Cenobite1 etc</v>
      </c>
      <c r="P2" s="11"/>
      <c r="Q2" s="11"/>
      <c r="R2" s="11"/>
      <c r="S2" s="11"/>
      <c r="T2" s="11"/>
      <c r="U2" s="11"/>
      <c r="W2" s="1" t="s">
        <v>35</v>
      </c>
      <c r="Z2" s="1" t="s">
        <v>40</v>
      </c>
      <c r="AD2" t="s">
        <v>44</v>
      </c>
    </row>
    <row r="3" spans="1:38" x14ac:dyDescent="0.25">
      <c r="A3" s="5" t="s">
        <v>39</v>
      </c>
      <c r="B3" s="5" t="s">
        <v>0</v>
      </c>
      <c r="C3" s="5" t="str">
        <f t="shared" ref="C3:C66" si="0">"description,dailCompDesc"&amp;H3&amp;G3&amp;","</f>
        <v>description,dailCompDescCenobite1,</v>
      </c>
      <c r="D3" s="5" t="str">
        <f>"itemText,dailCompText"&amp;H3&amp;G3&amp;","</f>
        <v>itemText,dailCompTextCenobite1,</v>
      </c>
      <c r="E3" s="5" t="s">
        <v>24</v>
      </c>
      <c r="F3" s="5" t="str">
        <f>"augmentMasteryName1,records/skills"&amp;I3&amp;","</f>
        <v>augmentMasteryName1,records/skills/playerclass28/_classtraining_class28.dbr,</v>
      </c>
      <c r="G3" s="7">
        <f>IF(I3&lt;&gt;"",1,"")</f>
        <v>1</v>
      </c>
      <c r="H3" s="3" t="s">
        <v>97</v>
      </c>
      <c r="I3" s="3" t="s">
        <v>230</v>
      </c>
      <c r="J3" s="3" t="s">
        <v>98</v>
      </c>
      <c r="K3" s="3" t="s">
        <v>99</v>
      </c>
      <c r="L3" s="5" t="str">
        <f>"lootName"&amp;G3&amp;",DAIL/items/materia/"&amp;J3&amp;"/"&amp;H3&amp;G3&amp;".dbr"&amp;","</f>
        <v>lootName1,DAIL/items/materia/class0028/Cenobite1.dbr,</v>
      </c>
      <c r="M3" s="5" t="str">
        <f>"lootWeight"&amp;G3&amp;",1,"</f>
        <v>lootWeight1,1,</v>
      </c>
      <c r="N3" t="str">
        <f>LEFT(RIGHT(E3,2),1)</f>
        <v>1</v>
      </c>
      <c r="O3" s="5" t="str">
        <f>IF(I3&lt;&gt;"","copy .\dail_base2.dbr .\items\materia\"&amp;J3&amp;"\"&amp;H3&amp;G3&amp;".dbr /y"&amp;"","")</f>
        <v>copy .\dail_base2.dbr .\items\materia\class0028\Cenobite1.dbr /y</v>
      </c>
      <c r="P3" t="str">
        <f>IF($I3&lt;&gt;"","echo "&amp;A3&amp;" &gt;&gt; .\items\materia\"&amp;$J3&amp;"\"&amp;$H3&amp;$G3&amp;".dbr","")</f>
        <v>echo relicBitmap,items/craftingparts/components/component_a52_bristlyfur_b.tex, &gt;&gt; .\items\materia\class0028\Cenobite1.dbr</v>
      </c>
      <c r="Q3" t="str">
        <f t="shared" ref="Q3:U18" si="1">IF($I3&lt;&gt;"","echo "&amp;B3&amp;" &gt;&gt; .\items\materia\"&amp;$J3&amp;"\"&amp;$H3&amp;$G3&amp;".dbr","")</f>
        <v>echo itemCost,100000, &gt;&gt; .\items\materia\class0028\Cenobite1.dbr</v>
      </c>
      <c r="R3" t="str">
        <f t="shared" si="1"/>
        <v>echo description,dailCompDescCenobite1, &gt;&gt; .\items\materia\class0028\Cenobite1.dbr</v>
      </c>
      <c r="S3" t="str">
        <f t="shared" si="1"/>
        <v>echo itemText,dailCompTextCenobite1, &gt;&gt; .\items\materia\class0028\Cenobite1.dbr</v>
      </c>
      <c r="T3" t="str">
        <f t="shared" si="1"/>
        <v>echo augmentMasteryLevel1,1, &gt;&gt; .\items\materia\class0028\Cenobite1.dbr</v>
      </c>
      <c r="U3" t="str">
        <f t="shared" si="1"/>
        <v>echo augmentMasteryName1,records/skills/playerclass28/_classtraining_class28.dbr, &gt;&gt; .\items\materia\class0028\Cenobite1.dbr</v>
      </c>
      <c r="V3" s="5" t="s">
        <v>36</v>
      </c>
      <c r="W3" t="str">
        <f>IF($I3&lt;&gt;"","echo "&amp;L3&amp;" &gt;&gt; .\items\loottables\"&amp;$K3&amp;".dbr","")</f>
        <v>echo lootName1,DAIL/items/materia/class0028/Cenobite1.dbr, &gt;&gt; .\items\loottables\dailoneskill0028.dbr</v>
      </c>
      <c r="X3" t="str">
        <f>IF($I3&lt;&gt;"","echo "&amp;M3&amp;" &gt;&gt; .\items\loottables\"&amp;$K3&amp;".dbr","")</f>
        <v>echo lootWeight1,1, &gt;&gt; .\items\loottables\dailoneskill0028.dbr</v>
      </c>
      <c r="Y3" s="5" t="s">
        <v>36</v>
      </c>
      <c r="Z3" s="10" t="str">
        <f>IF(I2&lt;&gt;""," dailCompDesc"&amp;H3&amp;G3&amp;"=^p"&amp;H3&amp;"'s Gift of DAIL","")</f>
        <v xml:space="preserve"> dailCompDescCenobite1=^pCenobite's Gift of DAIL</v>
      </c>
      <c r="AA3" s="10" t="str">
        <f>IF(I2&lt;&gt;"","dailCompText"&amp;H3&amp;G3&amp;"=^oThis feels warm to the touch, almost familiar ^w(This component fits into the amulet only)","")</f>
        <v>dailCompTextCenobite1=^oThis feels warm to the touch, almost familiar ^w(This component fits into the amulet only)</v>
      </c>
      <c r="AB3" s="5" t="s">
        <v>36</v>
      </c>
      <c r="AD3">
        <v>1</v>
      </c>
      <c r="AE3" t="s">
        <v>42</v>
      </c>
      <c r="AF3" t="s">
        <v>45</v>
      </c>
    </row>
    <row r="4" spans="1:38" x14ac:dyDescent="0.25">
      <c r="A4" s="5" t="s">
        <v>39</v>
      </c>
      <c r="B4" s="5" t="s">
        <v>28</v>
      </c>
      <c r="C4" s="5" t="str">
        <f t="shared" si="0"/>
        <v>description,dailCompDescCenobite2,</v>
      </c>
      <c r="D4" s="5" t="str">
        <f t="shared" ref="D4:D67" si="2">"itemText,dailCompText"&amp;H4&amp;G4&amp;","</f>
        <v>itemText,dailCompTextCenobite2,</v>
      </c>
      <c r="E4" s="5" t="s">
        <v>1</v>
      </c>
      <c r="F4" s="5" t="str">
        <f t="shared" ref="F4:F5" si="3">"augmentMasteryName1,records/skills"&amp;I4&amp;","</f>
        <v>augmentMasteryName1,records/skills/playerclass28/_classtraining_class28.dbr,</v>
      </c>
      <c r="G4" s="7">
        <f>IF(I4&lt;&gt;"",G3+1,"")</f>
        <v>2</v>
      </c>
      <c r="H4" s="8" t="str">
        <f>H3</f>
        <v>Cenobite</v>
      </c>
      <c r="I4" s="3" t="s">
        <v>230</v>
      </c>
      <c r="J4" s="8" t="str">
        <f>J3</f>
        <v>class0028</v>
      </c>
      <c r="K4" s="8" t="str">
        <f>K3</f>
        <v>dailoneskill0028</v>
      </c>
      <c r="L4" s="5" t="str">
        <f t="shared" ref="L4:L67" si="4">"lootName"&amp;G4&amp;",DAIL/items/materia/"&amp;J4&amp;"/"&amp;H4&amp;G4&amp;".dbr"&amp;","</f>
        <v>lootName2,DAIL/items/materia/class0028/Cenobite2.dbr,</v>
      </c>
      <c r="M4" s="5" t="str">
        <f t="shared" ref="M4:M67" si="5">"lootWeight"&amp;G4&amp;",1,"</f>
        <v>lootWeight2,1,</v>
      </c>
      <c r="N4" t="str">
        <f t="shared" ref="N4:N67" si="6">LEFT(RIGHT(E4,2),1)</f>
        <v>2</v>
      </c>
      <c r="O4" s="5" t="str">
        <f>IF(I4&lt;&gt;"","copy .\dail_base2.dbr .\items\materia\"&amp;J4&amp;"\"&amp;H4&amp;G4&amp;".dbr /y"&amp;"","")</f>
        <v>copy .\dail_base2.dbr .\items\materia\class0028\Cenobite2.dbr /y</v>
      </c>
      <c r="P4" t="str">
        <f t="shared" ref="P4:U58" si="7">IF($I4&lt;&gt;"","echo "&amp;A4&amp;" &gt;&gt; .\items\materia\"&amp;$J4&amp;"\"&amp;$H4&amp;$G4&amp;".dbr","")</f>
        <v>echo relicBitmap,items/craftingparts/components/component_a52_bristlyfur_b.tex, &gt;&gt; .\items\materia\class0028\Cenobite2.dbr</v>
      </c>
      <c r="Q4" t="str">
        <f t="shared" si="1"/>
        <v>echo itemCost,300000, &gt;&gt; .\items\materia\class0028\Cenobite2.dbr</v>
      </c>
      <c r="R4" t="str">
        <f t="shared" si="1"/>
        <v>echo description,dailCompDescCenobite2, &gt;&gt; .\items\materia\class0028\Cenobite2.dbr</v>
      </c>
      <c r="S4" t="str">
        <f t="shared" si="1"/>
        <v>echo itemText,dailCompTextCenobite2, &gt;&gt; .\items\materia\class0028\Cenobite2.dbr</v>
      </c>
      <c r="T4" t="str">
        <f t="shared" si="1"/>
        <v>echo augmentMasteryLevel1,2, &gt;&gt; .\items\materia\class0028\Cenobite2.dbr</v>
      </c>
      <c r="U4" t="str">
        <f t="shared" si="1"/>
        <v>echo augmentMasteryName1,records/skills/playerclass28/_classtraining_class28.dbr, &gt;&gt; .\items\materia\class0028\Cenobite2.dbr</v>
      </c>
      <c r="V4" s="5" t="s">
        <v>36</v>
      </c>
      <c r="W4" t="str">
        <f t="shared" ref="W4:X67" si="8">IF($I4&lt;&gt;"","echo "&amp;L4&amp;" &gt;&gt; .\items\loottables\"&amp;$K4&amp;".dbr","")</f>
        <v>echo lootName2,DAIL/items/materia/class0028/Cenobite2.dbr, &gt;&gt; .\items\loottables\dailoneskill0028.dbr</v>
      </c>
      <c r="X4" t="str">
        <f t="shared" si="8"/>
        <v>echo lootWeight2,1, &gt;&gt; .\items\loottables\dailoneskill0028.dbr</v>
      </c>
      <c r="Y4" s="5" t="s">
        <v>36</v>
      </c>
      <c r="Z4" s="10" t="str">
        <f t="shared" ref="Z4:Z67" si="9">IF(I3&lt;&gt;""," dailCompDesc"&amp;H4&amp;G4&amp;"=^p"&amp;H4&amp;"'s Gift of DAIL","")</f>
        <v xml:space="preserve"> dailCompDescCenobite2=^pCenobite's Gift of DAIL</v>
      </c>
      <c r="AA4" s="10" t="str">
        <f>IF(I3&lt;&gt;"","dailCompText"&amp;H4&amp;G4&amp;"=^oThis feels warm to the touch, almost familiar ^w(This component fits into the amulet only)","")</f>
        <v>dailCompTextCenobite2=^oThis feels warm to the touch, almost familiar ^w(This component fits into the amulet only)</v>
      </c>
      <c r="AB4" s="5" t="s">
        <v>36</v>
      </c>
      <c r="AD4">
        <v>3</v>
      </c>
      <c r="AE4" t="s">
        <v>43</v>
      </c>
      <c r="AF4" t="s">
        <v>46</v>
      </c>
    </row>
    <row r="5" spans="1:38" x14ac:dyDescent="0.25">
      <c r="A5" s="5" t="s">
        <v>39</v>
      </c>
      <c r="B5" s="5" t="s">
        <v>29</v>
      </c>
      <c r="C5" s="5" t="str">
        <f t="shared" si="0"/>
        <v>description,dailCompDescCenobite3,</v>
      </c>
      <c r="D5" s="5" t="str">
        <f t="shared" si="2"/>
        <v>itemText,dailCompTextCenobite3,</v>
      </c>
      <c r="E5" s="5" t="s">
        <v>25</v>
      </c>
      <c r="F5" s="5" t="str">
        <f t="shared" si="3"/>
        <v>augmentMasteryName1,records/skills/playerclass28/_classtraining_class28.dbr,</v>
      </c>
      <c r="G5" s="7">
        <f t="shared" ref="G5:G68" si="10">IF(I5&lt;&gt;"",G4+1,"")</f>
        <v>3</v>
      </c>
      <c r="H5" s="8" t="str">
        <f t="shared" ref="H5:H68" si="11">H4</f>
        <v>Cenobite</v>
      </c>
      <c r="I5" s="3" t="s">
        <v>230</v>
      </c>
      <c r="J5" s="8" t="str">
        <f t="shared" ref="J5:K20" si="12">J4</f>
        <v>class0028</v>
      </c>
      <c r="K5" s="8" t="str">
        <f t="shared" si="12"/>
        <v>dailoneskill0028</v>
      </c>
      <c r="L5" s="5" t="str">
        <f t="shared" si="4"/>
        <v>lootName3,DAIL/items/materia/class0028/Cenobite3.dbr,</v>
      </c>
      <c r="M5" s="5" t="str">
        <f t="shared" si="5"/>
        <v>lootWeight3,1,</v>
      </c>
      <c r="N5" t="str">
        <f t="shared" si="6"/>
        <v>3</v>
      </c>
      <c r="O5" s="5" t="str">
        <f>IF(I5&lt;&gt;"","copy .\dail_base2.dbr .\items\materia\"&amp;J5&amp;"\"&amp;H5&amp;G5&amp;".dbr /y"&amp;"","")</f>
        <v>copy .\dail_base2.dbr .\items\materia\class0028\Cenobite3.dbr /y</v>
      </c>
      <c r="P5" t="str">
        <f t="shared" si="7"/>
        <v>echo relicBitmap,items/craftingparts/components/component_a52_bristlyfur_b.tex, &gt;&gt; .\items\materia\class0028\Cenobite3.dbr</v>
      </c>
      <c r="Q5" t="str">
        <f t="shared" si="1"/>
        <v>echo itemCost,600000, &gt;&gt; .\items\materia\class0028\Cenobite3.dbr</v>
      </c>
      <c r="R5" t="str">
        <f t="shared" si="1"/>
        <v>echo description,dailCompDescCenobite3, &gt;&gt; .\items\materia\class0028\Cenobite3.dbr</v>
      </c>
      <c r="S5" t="str">
        <f t="shared" si="1"/>
        <v>echo itemText,dailCompTextCenobite3, &gt;&gt; .\items\materia\class0028\Cenobite3.dbr</v>
      </c>
      <c r="T5" t="str">
        <f t="shared" si="1"/>
        <v>echo augmentMasteryLevel1,3, &gt;&gt; .\items\materia\class0028\Cenobite3.dbr</v>
      </c>
      <c r="U5" t="str">
        <f t="shared" si="1"/>
        <v>echo augmentMasteryName1,records/skills/playerclass28/_classtraining_class28.dbr, &gt;&gt; .\items\materia\class0028\Cenobite3.dbr</v>
      </c>
      <c r="V5" s="5" t="s">
        <v>36</v>
      </c>
      <c r="W5" t="str">
        <f t="shared" si="8"/>
        <v>echo lootName3,DAIL/items/materia/class0028/Cenobite3.dbr, &gt;&gt; .\items\loottables\dailoneskill0028.dbr</v>
      </c>
      <c r="X5" t="str">
        <f t="shared" si="8"/>
        <v>echo lootWeight3,1, &gt;&gt; .\items\loottables\dailoneskill0028.dbr</v>
      </c>
      <c r="Y5" s="5" t="s">
        <v>36</v>
      </c>
      <c r="Z5" s="10" t="str">
        <f t="shared" si="9"/>
        <v xml:space="preserve"> dailCompDescCenobite3=^pCenobite's Gift of DAIL</v>
      </c>
      <c r="AA5" s="10" t="str">
        <f>IF(I4&lt;&gt;"","dailCompText"&amp;H5&amp;G5&amp;"=^oThis feels warm to the touch, almost familiar ^w(This component fits into the amulet only)","")</f>
        <v>dailCompTextCenobite3=^oThis feels warm to the touch, almost familiar ^w(This component fits into the amulet only)</v>
      </c>
      <c r="AB5" s="5" t="s">
        <v>36</v>
      </c>
      <c r="AD5">
        <v>5</v>
      </c>
      <c r="AE5" t="s">
        <v>43</v>
      </c>
      <c r="AF5" t="s">
        <v>46</v>
      </c>
      <c r="AI5" t="s">
        <v>61</v>
      </c>
    </row>
    <row r="6" spans="1:38" x14ac:dyDescent="0.25">
      <c r="A6" s="5" t="s">
        <v>39</v>
      </c>
      <c r="B6" s="5" t="s">
        <v>0</v>
      </c>
      <c r="C6" s="5" t="str">
        <f t="shared" si="0"/>
        <v>description,dailCompDescCenobite4,</v>
      </c>
      <c r="D6" s="5" t="str">
        <f t="shared" si="2"/>
        <v>itemText,dailCompTextCenobite4,</v>
      </c>
      <c r="E6" s="5" t="str">
        <f>"augmentSkillLevel1,"&amp;AJ6&amp;","</f>
        <v>augmentSkillLevel1,1,</v>
      </c>
      <c r="F6" s="5" t="str">
        <f>"augmentSkillName1,records/skills"&amp;I6&amp;","</f>
        <v>augmentSkillName1,records/skills/playerclass28/sunnyray_tra.dbr,</v>
      </c>
      <c r="G6" s="7">
        <f t="shared" si="10"/>
        <v>4</v>
      </c>
      <c r="H6" s="8" t="str">
        <f t="shared" si="11"/>
        <v>Cenobite</v>
      </c>
      <c r="I6" s="3" t="s">
        <v>243</v>
      </c>
      <c r="J6" s="8" t="str">
        <f t="shared" si="12"/>
        <v>class0028</v>
      </c>
      <c r="K6" s="8" t="str">
        <f t="shared" si="12"/>
        <v>dailoneskill0028</v>
      </c>
      <c r="L6" s="5" t="str">
        <f t="shared" si="4"/>
        <v>lootName4,DAIL/items/materia/class0028/Cenobite4.dbr,</v>
      </c>
      <c r="M6" s="5" t="str">
        <f t="shared" si="5"/>
        <v>lootWeight4,1,</v>
      </c>
      <c r="N6" t="str">
        <f t="shared" si="6"/>
        <v>1</v>
      </c>
      <c r="O6" t="str">
        <f>IF(I6&lt;&gt;"","copy .\"&amp;VLOOKUP(VALUE(N6),$AD$3:$AF$5,2,FALSE)&amp;" .\items\materia\"&amp;J6&amp;"\"&amp;H6&amp;G6&amp;".dbr /y"&amp;"","")</f>
        <v>copy .\dail_base.dbr .\items\materia\class0028\Cenobite4.dbr /y</v>
      </c>
      <c r="P6" t="str">
        <f t="shared" si="7"/>
        <v>echo relicBitmap,items/craftingparts/components/component_a52_bristlyfur_b.tex, &gt;&gt; .\items\materia\class0028\Cenobite4.dbr</v>
      </c>
      <c r="Q6" t="str">
        <f t="shared" si="1"/>
        <v>echo itemCost,100000, &gt;&gt; .\items\materia\class0028\Cenobite4.dbr</v>
      </c>
      <c r="R6" t="str">
        <f t="shared" si="1"/>
        <v>echo description,dailCompDescCenobite4, &gt;&gt; .\items\materia\class0028\Cenobite4.dbr</v>
      </c>
      <c r="S6" t="str">
        <f t="shared" si="1"/>
        <v>echo itemText,dailCompTextCenobite4, &gt;&gt; .\items\materia\class0028\Cenobite4.dbr</v>
      </c>
      <c r="T6" t="str">
        <f t="shared" si="1"/>
        <v>echo augmentSkillLevel1,1, &gt;&gt; .\items\materia\class0028\Cenobite4.dbr</v>
      </c>
      <c r="U6" t="str">
        <f t="shared" si="1"/>
        <v>echo augmentSkillName1,records/skills/playerclass28/sunnyray_tra.dbr, &gt;&gt; .\items\materia\class0028\Cenobite4.dbr</v>
      </c>
      <c r="V6" s="5" t="s">
        <v>36</v>
      </c>
      <c r="W6" t="str">
        <f t="shared" si="8"/>
        <v>echo lootName4,DAIL/items/materia/class0028/Cenobite4.dbr, &gt;&gt; .\items\loottables\dailoneskill0028.dbr</v>
      </c>
      <c r="X6" t="str">
        <f t="shared" si="8"/>
        <v>echo lootWeight4,1, &gt;&gt; .\items\loottables\dailoneskill0028.dbr</v>
      </c>
      <c r="Y6" s="5" t="s">
        <v>36</v>
      </c>
      <c r="Z6" t="str">
        <f t="shared" si="9"/>
        <v xml:space="preserve"> dailCompDescCenobite4=^pCenobite's Gift of DAIL</v>
      </c>
      <c r="AA6" t="str">
        <f>IF(I5&lt;&gt;"","dailCompText"&amp;H6&amp;G6&amp;"=^oThis feels warm to the touch, almost familiar ^w("&amp;VLOOKUP(VALUE(N6),$AD$3:$AF$5,3,FALSE)&amp;")","")</f>
        <v>dailCompTextCenobite4=^oThis feels warm to the touch, almost familiar ^w(This component fits into all Jewellery slots including the Belt And Shoulder)</v>
      </c>
      <c r="AB6" s="5" t="s">
        <v>36</v>
      </c>
      <c r="AH6">
        <v>1</v>
      </c>
      <c r="AI6">
        <f t="shared" ref="AI6:AI37" si="13">LEN(I6)</f>
        <v>31</v>
      </c>
      <c r="AJ6">
        <f>IF(AH6&lt;$AL$7,1,IF(AH6&lt;$AL$8,3,5))</f>
        <v>1</v>
      </c>
      <c r="AK6" s="1" t="s">
        <v>62</v>
      </c>
      <c r="AL6" s="1">
        <f>COUNTIF(AI:AI,"&gt;0")</f>
        <v>96</v>
      </c>
    </row>
    <row r="7" spans="1:38" x14ac:dyDescent="0.25">
      <c r="A7" s="5" t="s">
        <v>39</v>
      </c>
      <c r="B7" s="5" t="s">
        <v>0</v>
      </c>
      <c r="C7" s="5" t="str">
        <f t="shared" si="0"/>
        <v>description,dailCompDescCenobite5,</v>
      </c>
      <c r="D7" s="5" t="str">
        <f t="shared" si="2"/>
        <v>itemText,dailCompTextCenobite5,</v>
      </c>
      <c r="E7" s="5" t="str">
        <f t="shared" ref="E7:E70" si="14">"augmentSkillLevel1,"&amp;AJ7&amp;","</f>
        <v>augmentSkillLevel1,1,</v>
      </c>
      <c r="F7" s="5" t="str">
        <f t="shared" ref="F7:F70" si="15">"augmentSkillName1,records/skills"&amp;I7&amp;","</f>
        <v>augmentSkillName1,records/skills/playerclass28/holy_spike.dbr,</v>
      </c>
      <c r="G7" s="7">
        <f t="shared" si="10"/>
        <v>5</v>
      </c>
      <c r="H7" s="8" t="str">
        <f t="shared" si="11"/>
        <v>Cenobite</v>
      </c>
      <c r="I7" s="3" t="s">
        <v>234</v>
      </c>
      <c r="J7" s="8" t="str">
        <f t="shared" si="12"/>
        <v>class0028</v>
      </c>
      <c r="K7" s="8" t="str">
        <f t="shared" si="12"/>
        <v>dailoneskill0028</v>
      </c>
      <c r="L7" s="5" t="str">
        <f t="shared" si="4"/>
        <v>lootName5,DAIL/items/materia/class0028/Cenobite5.dbr,</v>
      </c>
      <c r="M7" s="5" t="str">
        <f t="shared" si="5"/>
        <v>lootWeight5,1,</v>
      </c>
      <c r="N7" t="str">
        <f t="shared" si="6"/>
        <v>1</v>
      </c>
      <c r="O7" t="str">
        <f t="shared" ref="O7:O70" si="16">IF(I7&lt;&gt;"","copy .\"&amp;VLOOKUP(VALUE(N7),$AD$3:$AF$5,2,FALSE)&amp;" .\items\materia\"&amp;J7&amp;"\"&amp;H7&amp;G7&amp;".dbr /y"&amp;"","")</f>
        <v>copy .\dail_base.dbr .\items\materia\class0028\Cenobite5.dbr /y</v>
      </c>
      <c r="P7" t="str">
        <f t="shared" si="7"/>
        <v>echo relicBitmap,items/craftingparts/components/component_a52_bristlyfur_b.tex, &gt;&gt; .\items\materia\class0028\Cenobite5.dbr</v>
      </c>
      <c r="Q7" t="str">
        <f t="shared" si="1"/>
        <v>echo itemCost,100000, &gt;&gt; .\items\materia\class0028\Cenobite5.dbr</v>
      </c>
      <c r="R7" t="str">
        <f t="shared" si="1"/>
        <v>echo description,dailCompDescCenobite5, &gt;&gt; .\items\materia\class0028\Cenobite5.dbr</v>
      </c>
      <c r="S7" t="str">
        <f t="shared" si="1"/>
        <v>echo itemText,dailCompTextCenobite5, &gt;&gt; .\items\materia\class0028\Cenobite5.dbr</v>
      </c>
      <c r="T7" t="str">
        <f t="shared" si="1"/>
        <v>echo augmentSkillLevel1,1, &gt;&gt; .\items\materia\class0028\Cenobite5.dbr</v>
      </c>
      <c r="U7" t="str">
        <f t="shared" si="1"/>
        <v>echo augmentSkillName1,records/skills/playerclass28/holy_spike.dbr, &gt;&gt; .\items\materia\class0028\Cenobite5.dbr</v>
      </c>
      <c r="V7" s="5" t="s">
        <v>36</v>
      </c>
      <c r="W7" t="str">
        <f t="shared" si="8"/>
        <v>echo lootName5,DAIL/items/materia/class0028/Cenobite5.dbr, &gt;&gt; .\items\loottables\dailoneskill0028.dbr</v>
      </c>
      <c r="X7" t="str">
        <f t="shared" si="8"/>
        <v>echo lootWeight5,1, &gt;&gt; .\items\loottables\dailoneskill0028.dbr</v>
      </c>
      <c r="Y7" s="5" t="s">
        <v>36</v>
      </c>
      <c r="Z7" t="str">
        <f t="shared" si="9"/>
        <v xml:space="preserve"> dailCompDescCenobite5=^pCenobite's Gift of DAIL</v>
      </c>
      <c r="AA7" t="str">
        <f t="shared" ref="AA7:AA70" si="17">IF(I6&lt;&gt;"","dailCompText"&amp;H7&amp;G7&amp;"=^oThis feels warm to the touch, almost familiar ^w("&amp;VLOOKUP(VALUE(N7),$AD$3:$AF$5,3,FALSE)&amp;")","")</f>
        <v>dailCompTextCenobite5=^oThis feels warm to the touch, almost familiar ^w(This component fits into all Jewellery slots including the Belt And Shoulder)</v>
      </c>
      <c r="AB7" s="5" t="s">
        <v>36</v>
      </c>
      <c r="AH7">
        <f>AH6+1</f>
        <v>2</v>
      </c>
      <c r="AI7">
        <f t="shared" si="13"/>
        <v>29</v>
      </c>
      <c r="AJ7">
        <f t="shared" ref="AJ7:AJ70" si="18">IF(AH7&lt;$AL$7,1,IF(AH7&lt;$AL$8,3,5))</f>
        <v>1</v>
      </c>
      <c r="AK7">
        <v>1</v>
      </c>
      <c r="AL7">
        <f>AL6/3</f>
        <v>32</v>
      </c>
    </row>
    <row r="8" spans="1:38" x14ac:dyDescent="0.25">
      <c r="A8" s="5" t="s">
        <v>39</v>
      </c>
      <c r="B8" s="5" t="s">
        <v>0</v>
      </c>
      <c r="C8" s="5" t="str">
        <f t="shared" si="0"/>
        <v>description,dailCompDescCenobite6,</v>
      </c>
      <c r="D8" s="5" t="str">
        <f t="shared" si="2"/>
        <v>itemText,dailCompTextCenobite6,</v>
      </c>
      <c r="E8" s="5" t="str">
        <f t="shared" si="14"/>
        <v>augmentSkillLevel1,1,</v>
      </c>
      <c r="F8" s="5" t="str">
        <f t="shared" si="15"/>
        <v>augmentSkillName1,records/skills/playerclass28/holy_spike_mod.dbr,</v>
      </c>
      <c r="G8" s="7">
        <f t="shared" si="10"/>
        <v>6</v>
      </c>
      <c r="H8" s="8" t="str">
        <f t="shared" si="11"/>
        <v>Cenobite</v>
      </c>
      <c r="I8" s="3" t="s">
        <v>471</v>
      </c>
      <c r="J8" s="8" t="str">
        <f t="shared" si="12"/>
        <v>class0028</v>
      </c>
      <c r="K8" s="8" t="str">
        <f t="shared" si="12"/>
        <v>dailoneskill0028</v>
      </c>
      <c r="L8" s="5" t="str">
        <f t="shared" si="4"/>
        <v>lootName6,DAIL/items/materia/class0028/Cenobite6.dbr,</v>
      </c>
      <c r="M8" s="5" t="str">
        <f t="shared" si="5"/>
        <v>lootWeight6,1,</v>
      </c>
      <c r="N8" t="str">
        <f t="shared" si="6"/>
        <v>1</v>
      </c>
      <c r="O8" t="str">
        <f t="shared" si="16"/>
        <v>copy .\dail_base.dbr .\items\materia\class0028\Cenobite6.dbr /y</v>
      </c>
      <c r="P8" t="str">
        <f t="shared" si="7"/>
        <v>echo relicBitmap,items/craftingparts/components/component_a52_bristlyfur_b.tex, &gt;&gt; .\items\materia\class0028\Cenobite6.dbr</v>
      </c>
      <c r="Q8" t="str">
        <f t="shared" si="1"/>
        <v>echo itemCost,100000, &gt;&gt; .\items\materia\class0028\Cenobite6.dbr</v>
      </c>
      <c r="R8" t="str">
        <f t="shared" si="1"/>
        <v>echo description,dailCompDescCenobite6, &gt;&gt; .\items\materia\class0028\Cenobite6.dbr</v>
      </c>
      <c r="S8" t="str">
        <f t="shared" si="1"/>
        <v>echo itemText,dailCompTextCenobite6, &gt;&gt; .\items\materia\class0028\Cenobite6.dbr</v>
      </c>
      <c r="T8" t="str">
        <f t="shared" si="1"/>
        <v>echo augmentSkillLevel1,1, &gt;&gt; .\items\materia\class0028\Cenobite6.dbr</v>
      </c>
      <c r="U8" t="str">
        <f t="shared" si="1"/>
        <v>echo augmentSkillName1,records/skills/playerclass28/holy_spike_mod.dbr, &gt;&gt; .\items\materia\class0028\Cenobite6.dbr</v>
      </c>
      <c r="V8" s="5" t="s">
        <v>36</v>
      </c>
      <c r="W8" t="str">
        <f t="shared" si="8"/>
        <v>echo lootName6,DAIL/items/materia/class0028/Cenobite6.dbr, &gt;&gt; .\items\loottables\dailoneskill0028.dbr</v>
      </c>
      <c r="X8" t="str">
        <f t="shared" si="8"/>
        <v>echo lootWeight6,1, &gt;&gt; .\items\loottables\dailoneskill0028.dbr</v>
      </c>
      <c r="Y8" s="5" t="s">
        <v>36</v>
      </c>
      <c r="Z8" t="str">
        <f t="shared" si="9"/>
        <v xml:space="preserve"> dailCompDescCenobite6=^pCenobite's Gift of DAIL</v>
      </c>
      <c r="AA8" t="str">
        <f t="shared" si="17"/>
        <v>dailCompTextCenobite6=^oThis feels warm to the touch, almost familiar ^w(This component fits into all Jewellery slots including the Belt And Shoulder)</v>
      </c>
      <c r="AB8" s="5" t="s">
        <v>36</v>
      </c>
      <c r="AH8">
        <f t="shared" ref="AH8:AH71" si="19">AH7+1</f>
        <v>3</v>
      </c>
      <c r="AI8">
        <f t="shared" si="13"/>
        <v>33</v>
      </c>
      <c r="AJ8">
        <f t="shared" si="18"/>
        <v>1</v>
      </c>
      <c r="AK8" s="1">
        <v>3</v>
      </c>
      <c r="AL8">
        <f>AL7*2</f>
        <v>64</v>
      </c>
    </row>
    <row r="9" spans="1:38" x14ac:dyDescent="0.25">
      <c r="A9" s="5" t="s">
        <v>39</v>
      </c>
      <c r="B9" s="5" t="s">
        <v>0</v>
      </c>
      <c r="C9" s="5" t="str">
        <f t="shared" si="0"/>
        <v>description,dailCompDescCenobite7,</v>
      </c>
      <c r="D9" s="5" t="str">
        <f t="shared" si="2"/>
        <v>itemText,dailCompTextCenobite7,</v>
      </c>
      <c r="E9" s="5" t="str">
        <f t="shared" si="14"/>
        <v>augmentSkillLevel1,1,</v>
      </c>
      <c r="F9" s="5" t="str">
        <f t="shared" si="15"/>
        <v>augmentSkillName1,records/skills/playerclass28/passive02.dbr,</v>
      </c>
      <c r="G9" s="7">
        <f t="shared" si="10"/>
        <v>7</v>
      </c>
      <c r="H9" s="8" t="str">
        <f t="shared" si="11"/>
        <v>Cenobite</v>
      </c>
      <c r="I9" s="3" t="s">
        <v>236</v>
      </c>
      <c r="J9" s="8" t="str">
        <f t="shared" si="12"/>
        <v>class0028</v>
      </c>
      <c r="K9" s="8" t="str">
        <f t="shared" si="12"/>
        <v>dailoneskill0028</v>
      </c>
      <c r="L9" s="5" t="str">
        <f t="shared" si="4"/>
        <v>lootName7,DAIL/items/materia/class0028/Cenobite7.dbr,</v>
      </c>
      <c r="M9" s="5" t="str">
        <f t="shared" si="5"/>
        <v>lootWeight7,1,</v>
      </c>
      <c r="N9" t="str">
        <f t="shared" si="6"/>
        <v>1</v>
      </c>
      <c r="O9" t="str">
        <f t="shared" si="16"/>
        <v>copy .\dail_base.dbr .\items\materia\class0028\Cenobite7.dbr /y</v>
      </c>
      <c r="P9" t="str">
        <f t="shared" si="7"/>
        <v>echo relicBitmap,items/craftingparts/components/component_a52_bristlyfur_b.tex, &gt;&gt; .\items\materia\class0028\Cenobite7.dbr</v>
      </c>
      <c r="Q9" t="str">
        <f t="shared" si="1"/>
        <v>echo itemCost,100000, &gt;&gt; .\items\materia\class0028\Cenobite7.dbr</v>
      </c>
      <c r="R9" t="str">
        <f t="shared" si="1"/>
        <v>echo description,dailCompDescCenobite7, &gt;&gt; .\items\materia\class0028\Cenobite7.dbr</v>
      </c>
      <c r="S9" t="str">
        <f t="shared" si="1"/>
        <v>echo itemText,dailCompTextCenobite7, &gt;&gt; .\items\materia\class0028\Cenobite7.dbr</v>
      </c>
      <c r="T9" t="str">
        <f t="shared" si="1"/>
        <v>echo augmentSkillLevel1,1, &gt;&gt; .\items\materia\class0028\Cenobite7.dbr</v>
      </c>
      <c r="U9" t="str">
        <f t="shared" si="1"/>
        <v>echo augmentSkillName1,records/skills/playerclass28/passive02.dbr, &gt;&gt; .\items\materia\class0028\Cenobite7.dbr</v>
      </c>
      <c r="V9" s="5" t="s">
        <v>36</v>
      </c>
      <c r="W9" t="str">
        <f t="shared" si="8"/>
        <v>echo lootName7,DAIL/items/materia/class0028/Cenobite7.dbr, &gt;&gt; .\items\loottables\dailoneskill0028.dbr</v>
      </c>
      <c r="X9" t="str">
        <f t="shared" si="8"/>
        <v>echo lootWeight7,1, &gt;&gt; .\items\loottables\dailoneskill0028.dbr</v>
      </c>
      <c r="Y9" s="5" t="s">
        <v>36</v>
      </c>
      <c r="Z9" t="str">
        <f t="shared" si="9"/>
        <v xml:space="preserve"> dailCompDescCenobite7=^pCenobite's Gift of DAIL</v>
      </c>
      <c r="AA9" t="str">
        <f t="shared" si="17"/>
        <v>dailCompTextCenobite7=^oThis feels warm to the touch, almost familiar ^w(This component fits into all Jewellery slots including the Belt And Shoulder)</v>
      </c>
      <c r="AB9" s="5" t="s">
        <v>36</v>
      </c>
      <c r="AH9">
        <f t="shared" si="19"/>
        <v>4</v>
      </c>
      <c r="AI9">
        <f t="shared" si="13"/>
        <v>28</v>
      </c>
      <c r="AJ9">
        <f t="shared" si="18"/>
        <v>1</v>
      </c>
      <c r="AK9" s="1">
        <v>5</v>
      </c>
      <c r="AL9">
        <f>AL6</f>
        <v>96</v>
      </c>
    </row>
    <row r="10" spans="1:38" x14ac:dyDescent="0.25">
      <c r="A10" s="5" t="s">
        <v>39</v>
      </c>
      <c r="B10" s="5" t="s">
        <v>0</v>
      </c>
      <c r="C10" s="5" t="str">
        <f t="shared" si="0"/>
        <v>description,dailCompDescCenobite8,</v>
      </c>
      <c r="D10" s="5" t="str">
        <f t="shared" si="2"/>
        <v>itemText,dailCompTextCenobite8,</v>
      </c>
      <c r="E10" s="5" t="str">
        <f t="shared" si="14"/>
        <v>augmentSkillLevel1,1,</v>
      </c>
      <c r="F10" s="5" t="str">
        <f t="shared" si="15"/>
        <v>augmentSkillName1,records/skills/playerclass28/passive02_mod.dbr,</v>
      </c>
      <c r="G10" s="7">
        <f t="shared" si="10"/>
        <v>8</v>
      </c>
      <c r="H10" s="8" t="str">
        <f t="shared" si="11"/>
        <v>Cenobite</v>
      </c>
      <c r="I10" s="3" t="s">
        <v>472</v>
      </c>
      <c r="J10" s="8" t="str">
        <f t="shared" si="12"/>
        <v>class0028</v>
      </c>
      <c r="K10" s="8" t="str">
        <f t="shared" si="12"/>
        <v>dailoneskill0028</v>
      </c>
      <c r="L10" s="5" t="str">
        <f t="shared" si="4"/>
        <v>lootName8,DAIL/items/materia/class0028/Cenobite8.dbr,</v>
      </c>
      <c r="M10" s="5" t="str">
        <f t="shared" si="5"/>
        <v>lootWeight8,1,</v>
      </c>
      <c r="N10" t="str">
        <f t="shared" si="6"/>
        <v>1</v>
      </c>
      <c r="O10" t="str">
        <f t="shared" si="16"/>
        <v>copy .\dail_base.dbr .\items\materia\class0028\Cenobite8.dbr /y</v>
      </c>
      <c r="P10" t="str">
        <f t="shared" si="7"/>
        <v>echo relicBitmap,items/craftingparts/components/component_a52_bristlyfur_b.tex, &gt;&gt; .\items\materia\class0028\Cenobite8.dbr</v>
      </c>
      <c r="Q10" t="str">
        <f t="shared" si="1"/>
        <v>echo itemCost,100000, &gt;&gt; .\items\materia\class0028\Cenobite8.dbr</v>
      </c>
      <c r="R10" t="str">
        <f t="shared" si="1"/>
        <v>echo description,dailCompDescCenobite8, &gt;&gt; .\items\materia\class0028\Cenobite8.dbr</v>
      </c>
      <c r="S10" t="str">
        <f t="shared" si="1"/>
        <v>echo itemText,dailCompTextCenobite8, &gt;&gt; .\items\materia\class0028\Cenobite8.dbr</v>
      </c>
      <c r="T10" t="str">
        <f t="shared" si="1"/>
        <v>echo augmentSkillLevel1,1, &gt;&gt; .\items\materia\class0028\Cenobite8.dbr</v>
      </c>
      <c r="U10" t="str">
        <f t="shared" si="1"/>
        <v>echo augmentSkillName1,records/skills/playerclass28/passive02_mod.dbr, &gt;&gt; .\items\materia\class0028\Cenobite8.dbr</v>
      </c>
      <c r="V10" s="5" t="s">
        <v>36</v>
      </c>
      <c r="W10" t="str">
        <f t="shared" si="8"/>
        <v>echo lootName8,DAIL/items/materia/class0028/Cenobite8.dbr, &gt;&gt; .\items\loottables\dailoneskill0028.dbr</v>
      </c>
      <c r="X10" t="str">
        <f t="shared" si="8"/>
        <v>echo lootWeight8,1, &gt;&gt; .\items\loottables\dailoneskill0028.dbr</v>
      </c>
      <c r="Y10" s="5" t="s">
        <v>36</v>
      </c>
      <c r="Z10" t="str">
        <f t="shared" si="9"/>
        <v xml:space="preserve"> dailCompDescCenobite8=^pCenobite's Gift of DAIL</v>
      </c>
      <c r="AA10" t="str">
        <f t="shared" si="17"/>
        <v>dailCompTextCenobite8=^oThis feels warm to the touch, almost familiar ^w(This component fits into all Jewellery slots including the Belt And Shoulder)</v>
      </c>
      <c r="AB10" s="5" t="s">
        <v>36</v>
      </c>
      <c r="AH10">
        <f t="shared" si="19"/>
        <v>5</v>
      </c>
      <c r="AI10">
        <f t="shared" si="13"/>
        <v>32</v>
      </c>
      <c r="AJ10">
        <f t="shared" si="18"/>
        <v>1</v>
      </c>
    </row>
    <row r="11" spans="1:38" x14ac:dyDescent="0.25">
      <c r="A11" s="5" t="s">
        <v>39</v>
      </c>
      <c r="B11" s="5" t="s">
        <v>0</v>
      </c>
      <c r="C11" s="5" t="str">
        <f t="shared" si="0"/>
        <v>description,dailCompDescCenobite9,</v>
      </c>
      <c r="D11" s="5" t="str">
        <f t="shared" si="2"/>
        <v>itemText,dailCompTextCenobite9,</v>
      </c>
      <c r="E11" s="5" t="str">
        <f t="shared" si="14"/>
        <v>augmentSkillLevel1,1,</v>
      </c>
      <c r="F11" s="5" t="str">
        <f t="shared" si="15"/>
        <v>augmentSkillName1,records/skills/playerclass28/ringofflame.dbr,</v>
      </c>
      <c r="G11" s="7">
        <f t="shared" si="10"/>
        <v>9</v>
      </c>
      <c r="H11" s="8" t="str">
        <f t="shared" si="11"/>
        <v>Cenobite</v>
      </c>
      <c r="I11" s="3" t="s">
        <v>239</v>
      </c>
      <c r="J11" s="8" t="str">
        <f t="shared" si="12"/>
        <v>class0028</v>
      </c>
      <c r="K11" s="8" t="str">
        <f t="shared" si="12"/>
        <v>dailoneskill0028</v>
      </c>
      <c r="L11" s="5" t="str">
        <f t="shared" si="4"/>
        <v>lootName9,DAIL/items/materia/class0028/Cenobite9.dbr,</v>
      </c>
      <c r="M11" s="5" t="str">
        <f t="shared" si="5"/>
        <v>lootWeight9,1,</v>
      </c>
      <c r="N11" t="str">
        <f t="shared" si="6"/>
        <v>1</v>
      </c>
      <c r="O11" t="str">
        <f t="shared" si="16"/>
        <v>copy .\dail_base.dbr .\items\materia\class0028\Cenobite9.dbr /y</v>
      </c>
      <c r="P11" t="str">
        <f t="shared" si="7"/>
        <v>echo relicBitmap,items/craftingparts/components/component_a52_bristlyfur_b.tex, &gt;&gt; .\items\materia\class0028\Cenobite9.dbr</v>
      </c>
      <c r="Q11" t="str">
        <f t="shared" si="1"/>
        <v>echo itemCost,100000, &gt;&gt; .\items\materia\class0028\Cenobite9.dbr</v>
      </c>
      <c r="R11" t="str">
        <f t="shared" si="1"/>
        <v>echo description,dailCompDescCenobite9, &gt;&gt; .\items\materia\class0028\Cenobite9.dbr</v>
      </c>
      <c r="S11" t="str">
        <f t="shared" si="1"/>
        <v>echo itemText,dailCompTextCenobite9, &gt;&gt; .\items\materia\class0028\Cenobite9.dbr</v>
      </c>
      <c r="T11" t="str">
        <f t="shared" si="1"/>
        <v>echo augmentSkillLevel1,1, &gt;&gt; .\items\materia\class0028\Cenobite9.dbr</v>
      </c>
      <c r="U11" t="str">
        <f t="shared" si="1"/>
        <v>echo augmentSkillName1,records/skills/playerclass28/ringofflame.dbr, &gt;&gt; .\items\materia\class0028\Cenobite9.dbr</v>
      </c>
      <c r="V11" s="5" t="s">
        <v>36</v>
      </c>
      <c r="W11" t="str">
        <f t="shared" si="8"/>
        <v>echo lootName9,DAIL/items/materia/class0028/Cenobite9.dbr, &gt;&gt; .\items\loottables\dailoneskill0028.dbr</v>
      </c>
      <c r="X11" t="str">
        <f t="shared" si="8"/>
        <v>echo lootWeight9,1, &gt;&gt; .\items\loottables\dailoneskill0028.dbr</v>
      </c>
      <c r="Y11" s="5" t="s">
        <v>36</v>
      </c>
      <c r="Z11" t="str">
        <f t="shared" si="9"/>
        <v xml:space="preserve"> dailCompDescCenobite9=^pCenobite's Gift of DAIL</v>
      </c>
      <c r="AA11" t="str">
        <f t="shared" si="17"/>
        <v>dailCompTextCenobite9=^oThis feels warm to the touch, almost familiar ^w(This component fits into all Jewellery slots including the Belt And Shoulder)</v>
      </c>
      <c r="AB11" s="5" t="s">
        <v>36</v>
      </c>
      <c r="AH11">
        <f t="shared" si="19"/>
        <v>6</v>
      </c>
      <c r="AI11">
        <f t="shared" si="13"/>
        <v>30</v>
      </c>
      <c r="AJ11">
        <f t="shared" si="18"/>
        <v>1</v>
      </c>
    </row>
    <row r="12" spans="1:38" x14ac:dyDescent="0.25">
      <c r="A12" s="5" t="s">
        <v>39</v>
      </c>
      <c r="B12" s="5" t="s">
        <v>0</v>
      </c>
      <c r="C12" s="5" t="str">
        <f t="shared" si="0"/>
        <v>description,dailCompDescCenobite10,</v>
      </c>
      <c r="D12" s="5" t="str">
        <f t="shared" si="2"/>
        <v>itemText,dailCompTextCenobite10,</v>
      </c>
      <c r="E12" s="5" t="str">
        <f t="shared" si="14"/>
        <v>augmentSkillLevel1,1,</v>
      </c>
      <c r="F12" s="5" t="str">
        <f t="shared" si="15"/>
        <v>augmentSkillName1,records/skills/playerclass28/ringofflame_tra.dbr,</v>
      </c>
      <c r="G12" s="7">
        <f t="shared" si="10"/>
        <v>10</v>
      </c>
      <c r="H12" s="8" t="str">
        <f t="shared" si="11"/>
        <v>Cenobite</v>
      </c>
      <c r="I12" s="3" t="s">
        <v>473</v>
      </c>
      <c r="J12" s="8" t="str">
        <f t="shared" si="12"/>
        <v>class0028</v>
      </c>
      <c r="K12" s="8" t="str">
        <f t="shared" si="12"/>
        <v>dailoneskill0028</v>
      </c>
      <c r="L12" s="5" t="str">
        <f t="shared" si="4"/>
        <v>lootName10,DAIL/items/materia/class0028/Cenobite10.dbr,</v>
      </c>
      <c r="M12" s="5" t="str">
        <f t="shared" si="5"/>
        <v>lootWeight10,1,</v>
      </c>
      <c r="N12" t="str">
        <f t="shared" si="6"/>
        <v>1</v>
      </c>
      <c r="O12" t="str">
        <f t="shared" si="16"/>
        <v>copy .\dail_base.dbr .\items\materia\class0028\Cenobite10.dbr /y</v>
      </c>
      <c r="P12" t="str">
        <f t="shared" si="7"/>
        <v>echo relicBitmap,items/craftingparts/components/component_a52_bristlyfur_b.tex, &gt;&gt; .\items\materia\class0028\Cenobite10.dbr</v>
      </c>
      <c r="Q12" t="str">
        <f t="shared" si="1"/>
        <v>echo itemCost,100000, &gt;&gt; .\items\materia\class0028\Cenobite10.dbr</v>
      </c>
      <c r="R12" t="str">
        <f t="shared" si="1"/>
        <v>echo description,dailCompDescCenobite10, &gt;&gt; .\items\materia\class0028\Cenobite10.dbr</v>
      </c>
      <c r="S12" t="str">
        <f t="shared" si="1"/>
        <v>echo itemText,dailCompTextCenobite10, &gt;&gt; .\items\materia\class0028\Cenobite10.dbr</v>
      </c>
      <c r="T12" t="str">
        <f t="shared" si="1"/>
        <v>echo augmentSkillLevel1,1, &gt;&gt; .\items\materia\class0028\Cenobite10.dbr</v>
      </c>
      <c r="U12" t="str">
        <f t="shared" si="1"/>
        <v>echo augmentSkillName1,records/skills/playerclass28/ringofflame_tra.dbr, &gt;&gt; .\items\materia\class0028\Cenobite10.dbr</v>
      </c>
      <c r="V12" s="5" t="s">
        <v>36</v>
      </c>
      <c r="W12" t="str">
        <f t="shared" si="8"/>
        <v>echo lootName10,DAIL/items/materia/class0028/Cenobite10.dbr, &gt;&gt; .\items\loottables\dailoneskill0028.dbr</v>
      </c>
      <c r="X12" t="str">
        <f t="shared" si="8"/>
        <v>echo lootWeight10,1, &gt;&gt; .\items\loottables\dailoneskill0028.dbr</v>
      </c>
      <c r="Y12" s="5" t="s">
        <v>36</v>
      </c>
      <c r="Z12" t="str">
        <f t="shared" si="9"/>
        <v xml:space="preserve"> dailCompDescCenobite10=^pCenobite's Gift of DAIL</v>
      </c>
      <c r="AA12" t="str">
        <f t="shared" si="17"/>
        <v>dailCompTextCenobite10=^oThis feels warm to the touch, almost familiar ^w(This component fits into all Jewellery slots including the Belt And Shoulder)</v>
      </c>
      <c r="AB12" s="5" t="s">
        <v>36</v>
      </c>
      <c r="AH12">
        <f t="shared" si="19"/>
        <v>7</v>
      </c>
      <c r="AI12">
        <f t="shared" si="13"/>
        <v>34</v>
      </c>
      <c r="AJ12">
        <f t="shared" si="18"/>
        <v>1</v>
      </c>
    </row>
    <row r="13" spans="1:38" x14ac:dyDescent="0.25">
      <c r="A13" s="5" t="s">
        <v>39</v>
      </c>
      <c r="B13" s="5" t="s">
        <v>0</v>
      </c>
      <c r="C13" s="5" t="str">
        <f t="shared" si="0"/>
        <v>description,dailCompDescCenobite11,</v>
      </c>
      <c r="D13" s="5" t="str">
        <f t="shared" si="2"/>
        <v>itemText,dailCompTextCenobite11,</v>
      </c>
      <c r="E13" s="5" t="str">
        <f t="shared" si="14"/>
        <v>augmentSkillLevel1,1,</v>
      </c>
      <c r="F13" s="5" t="str">
        <f t="shared" si="15"/>
        <v>augmentSkillName1,records/skills/playerclass28/ringofflame_mod.dbr,</v>
      </c>
      <c r="G13" s="7">
        <f t="shared" si="10"/>
        <v>11</v>
      </c>
      <c r="H13" s="8" t="str">
        <f t="shared" si="11"/>
        <v>Cenobite</v>
      </c>
      <c r="I13" s="3" t="s">
        <v>474</v>
      </c>
      <c r="J13" s="8" t="str">
        <f t="shared" si="12"/>
        <v>class0028</v>
      </c>
      <c r="K13" s="8" t="str">
        <f t="shared" si="12"/>
        <v>dailoneskill0028</v>
      </c>
      <c r="L13" s="5" t="str">
        <f t="shared" si="4"/>
        <v>lootName11,DAIL/items/materia/class0028/Cenobite11.dbr,</v>
      </c>
      <c r="M13" s="5" t="str">
        <f t="shared" si="5"/>
        <v>lootWeight11,1,</v>
      </c>
      <c r="N13" t="str">
        <f t="shared" si="6"/>
        <v>1</v>
      </c>
      <c r="O13" t="str">
        <f t="shared" si="16"/>
        <v>copy .\dail_base.dbr .\items\materia\class0028\Cenobite11.dbr /y</v>
      </c>
      <c r="P13" t="str">
        <f t="shared" si="7"/>
        <v>echo relicBitmap,items/craftingparts/components/component_a52_bristlyfur_b.tex, &gt;&gt; .\items\materia\class0028\Cenobite11.dbr</v>
      </c>
      <c r="Q13" t="str">
        <f t="shared" si="1"/>
        <v>echo itemCost,100000, &gt;&gt; .\items\materia\class0028\Cenobite11.dbr</v>
      </c>
      <c r="R13" t="str">
        <f t="shared" si="1"/>
        <v>echo description,dailCompDescCenobite11, &gt;&gt; .\items\materia\class0028\Cenobite11.dbr</v>
      </c>
      <c r="S13" t="str">
        <f t="shared" si="1"/>
        <v>echo itemText,dailCompTextCenobite11, &gt;&gt; .\items\materia\class0028\Cenobite11.dbr</v>
      </c>
      <c r="T13" t="str">
        <f t="shared" si="1"/>
        <v>echo augmentSkillLevel1,1, &gt;&gt; .\items\materia\class0028\Cenobite11.dbr</v>
      </c>
      <c r="U13" t="str">
        <f t="shared" si="1"/>
        <v>echo augmentSkillName1,records/skills/playerclass28/ringofflame_mod.dbr, &gt;&gt; .\items\materia\class0028\Cenobite11.dbr</v>
      </c>
      <c r="V13" s="5" t="s">
        <v>36</v>
      </c>
      <c r="W13" t="str">
        <f t="shared" si="8"/>
        <v>echo lootName11,DAIL/items/materia/class0028/Cenobite11.dbr, &gt;&gt; .\items\loottables\dailoneskill0028.dbr</v>
      </c>
      <c r="X13" t="str">
        <f t="shared" si="8"/>
        <v>echo lootWeight11,1, &gt;&gt; .\items\loottables\dailoneskill0028.dbr</v>
      </c>
      <c r="Y13" s="5" t="s">
        <v>36</v>
      </c>
      <c r="Z13" t="str">
        <f t="shared" si="9"/>
        <v xml:space="preserve"> dailCompDescCenobite11=^pCenobite's Gift of DAIL</v>
      </c>
      <c r="AA13" t="str">
        <f t="shared" si="17"/>
        <v>dailCompTextCenobite11=^oThis feels warm to the touch, almost familiar ^w(This component fits into all Jewellery slots including the Belt And Shoulder)</v>
      </c>
      <c r="AB13" s="5" t="s">
        <v>36</v>
      </c>
      <c r="AH13">
        <f t="shared" si="19"/>
        <v>8</v>
      </c>
      <c r="AI13">
        <f t="shared" si="13"/>
        <v>34</v>
      </c>
      <c r="AJ13">
        <f t="shared" si="18"/>
        <v>1</v>
      </c>
    </row>
    <row r="14" spans="1:38" x14ac:dyDescent="0.25">
      <c r="A14" s="5" t="s">
        <v>39</v>
      </c>
      <c r="B14" s="5" t="s">
        <v>0</v>
      </c>
      <c r="C14" s="5" t="str">
        <f t="shared" si="0"/>
        <v>description,dailCompDescCenobite12,</v>
      </c>
      <c r="D14" s="5" t="str">
        <f t="shared" si="2"/>
        <v>itemText,dailCompTextCenobite12,</v>
      </c>
      <c r="E14" s="5" t="str">
        <f t="shared" si="14"/>
        <v>augmentSkillLevel1,1,</v>
      </c>
      <c r="F14" s="5" t="str">
        <f t="shared" si="15"/>
        <v>augmentSkillName1,records/skills/playerclass28/ringofflame_mod2.dbr,</v>
      </c>
      <c r="G14" s="7">
        <f t="shared" si="10"/>
        <v>12</v>
      </c>
      <c r="H14" s="8" t="str">
        <f t="shared" si="11"/>
        <v>Cenobite</v>
      </c>
      <c r="I14" s="3" t="s">
        <v>475</v>
      </c>
      <c r="J14" s="8" t="str">
        <f t="shared" si="12"/>
        <v>class0028</v>
      </c>
      <c r="K14" s="8" t="str">
        <f t="shared" si="12"/>
        <v>dailoneskill0028</v>
      </c>
      <c r="L14" s="5" t="str">
        <f t="shared" si="4"/>
        <v>lootName12,DAIL/items/materia/class0028/Cenobite12.dbr,</v>
      </c>
      <c r="M14" s="5" t="str">
        <f t="shared" si="5"/>
        <v>lootWeight12,1,</v>
      </c>
      <c r="N14" t="str">
        <f t="shared" si="6"/>
        <v>1</v>
      </c>
      <c r="O14" t="str">
        <f t="shared" si="16"/>
        <v>copy .\dail_base.dbr .\items\materia\class0028\Cenobite12.dbr /y</v>
      </c>
      <c r="P14" t="str">
        <f t="shared" si="7"/>
        <v>echo relicBitmap,items/craftingparts/components/component_a52_bristlyfur_b.tex, &gt;&gt; .\items\materia\class0028\Cenobite12.dbr</v>
      </c>
      <c r="Q14" t="str">
        <f t="shared" si="1"/>
        <v>echo itemCost,100000, &gt;&gt; .\items\materia\class0028\Cenobite12.dbr</v>
      </c>
      <c r="R14" t="str">
        <f t="shared" si="1"/>
        <v>echo description,dailCompDescCenobite12, &gt;&gt; .\items\materia\class0028\Cenobite12.dbr</v>
      </c>
      <c r="S14" t="str">
        <f t="shared" si="1"/>
        <v>echo itemText,dailCompTextCenobite12, &gt;&gt; .\items\materia\class0028\Cenobite12.dbr</v>
      </c>
      <c r="T14" t="str">
        <f t="shared" si="1"/>
        <v>echo augmentSkillLevel1,1, &gt;&gt; .\items\materia\class0028\Cenobite12.dbr</v>
      </c>
      <c r="U14" t="str">
        <f t="shared" si="1"/>
        <v>echo augmentSkillName1,records/skills/playerclass28/ringofflame_mod2.dbr, &gt;&gt; .\items\materia\class0028\Cenobite12.dbr</v>
      </c>
      <c r="V14" s="5" t="s">
        <v>36</v>
      </c>
      <c r="W14" t="str">
        <f t="shared" si="8"/>
        <v>echo lootName12,DAIL/items/materia/class0028/Cenobite12.dbr, &gt;&gt; .\items\loottables\dailoneskill0028.dbr</v>
      </c>
      <c r="X14" t="str">
        <f t="shared" si="8"/>
        <v>echo lootWeight12,1, &gt;&gt; .\items\loottables\dailoneskill0028.dbr</v>
      </c>
      <c r="Y14" s="5" t="s">
        <v>36</v>
      </c>
      <c r="Z14" t="str">
        <f t="shared" si="9"/>
        <v xml:space="preserve"> dailCompDescCenobite12=^pCenobite's Gift of DAIL</v>
      </c>
      <c r="AA14" t="str">
        <f t="shared" si="17"/>
        <v>dailCompTextCenobite12=^oThis feels warm to the touch, almost familiar ^w(This component fits into all Jewellery slots including the Belt And Shoulder)</v>
      </c>
      <c r="AB14" s="5" t="s">
        <v>36</v>
      </c>
      <c r="AH14">
        <f t="shared" si="19"/>
        <v>9</v>
      </c>
      <c r="AI14">
        <f t="shared" si="13"/>
        <v>35</v>
      </c>
      <c r="AJ14">
        <f t="shared" si="18"/>
        <v>1</v>
      </c>
    </row>
    <row r="15" spans="1:38" x14ac:dyDescent="0.25">
      <c r="A15" s="5" t="s">
        <v>39</v>
      </c>
      <c r="B15" s="5" t="s">
        <v>0</v>
      </c>
      <c r="C15" s="5" t="str">
        <f t="shared" si="0"/>
        <v>description,dailCompDescCenobite13,</v>
      </c>
      <c r="D15" s="5" t="str">
        <f t="shared" si="2"/>
        <v>itemText,dailCompTextCenobite13,</v>
      </c>
      <c r="E15" s="5" t="str">
        <f t="shared" si="14"/>
        <v>augmentSkillLevel1,1,</v>
      </c>
      <c r="F15" s="5" t="str">
        <f t="shared" si="15"/>
        <v>augmentSkillName1,records/skills/playerclass28/ringofflame_mod3.dbr,</v>
      </c>
      <c r="G15" s="7">
        <f t="shared" si="10"/>
        <v>13</v>
      </c>
      <c r="H15" s="8" t="str">
        <f t="shared" si="11"/>
        <v>Cenobite</v>
      </c>
      <c r="I15" s="3" t="s">
        <v>476</v>
      </c>
      <c r="J15" s="8" t="str">
        <f t="shared" si="12"/>
        <v>class0028</v>
      </c>
      <c r="K15" s="8" t="str">
        <f t="shared" si="12"/>
        <v>dailoneskill0028</v>
      </c>
      <c r="L15" s="5" t="str">
        <f t="shared" si="4"/>
        <v>lootName13,DAIL/items/materia/class0028/Cenobite13.dbr,</v>
      </c>
      <c r="M15" s="5" t="str">
        <f t="shared" si="5"/>
        <v>lootWeight13,1,</v>
      </c>
      <c r="N15" t="str">
        <f t="shared" si="6"/>
        <v>1</v>
      </c>
      <c r="O15" t="str">
        <f t="shared" si="16"/>
        <v>copy .\dail_base.dbr .\items\materia\class0028\Cenobite13.dbr /y</v>
      </c>
      <c r="P15" t="str">
        <f t="shared" si="7"/>
        <v>echo relicBitmap,items/craftingparts/components/component_a52_bristlyfur_b.tex, &gt;&gt; .\items\materia\class0028\Cenobite13.dbr</v>
      </c>
      <c r="Q15" t="str">
        <f t="shared" si="1"/>
        <v>echo itemCost,100000, &gt;&gt; .\items\materia\class0028\Cenobite13.dbr</v>
      </c>
      <c r="R15" t="str">
        <f t="shared" si="1"/>
        <v>echo description,dailCompDescCenobite13, &gt;&gt; .\items\materia\class0028\Cenobite13.dbr</v>
      </c>
      <c r="S15" t="str">
        <f t="shared" si="1"/>
        <v>echo itemText,dailCompTextCenobite13, &gt;&gt; .\items\materia\class0028\Cenobite13.dbr</v>
      </c>
      <c r="T15" t="str">
        <f t="shared" si="1"/>
        <v>echo augmentSkillLevel1,1, &gt;&gt; .\items\materia\class0028\Cenobite13.dbr</v>
      </c>
      <c r="U15" t="str">
        <f t="shared" si="1"/>
        <v>echo augmentSkillName1,records/skills/playerclass28/ringofflame_mod3.dbr, &gt;&gt; .\items\materia\class0028\Cenobite13.dbr</v>
      </c>
      <c r="V15" s="5" t="s">
        <v>36</v>
      </c>
      <c r="W15" t="str">
        <f t="shared" si="8"/>
        <v>echo lootName13,DAIL/items/materia/class0028/Cenobite13.dbr, &gt;&gt; .\items\loottables\dailoneskill0028.dbr</v>
      </c>
      <c r="X15" t="str">
        <f t="shared" si="8"/>
        <v>echo lootWeight13,1, &gt;&gt; .\items\loottables\dailoneskill0028.dbr</v>
      </c>
      <c r="Y15" s="5" t="s">
        <v>36</v>
      </c>
      <c r="Z15" t="str">
        <f t="shared" si="9"/>
        <v xml:space="preserve"> dailCompDescCenobite13=^pCenobite's Gift of DAIL</v>
      </c>
      <c r="AA15" t="str">
        <f t="shared" si="17"/>
        <v>dailCompTextCenobite13=^oThis feels warm to the touch, almost familiar ^w(This component fits into all Jewellery slots including the Belt And Shoulder)</v>
      </c>
      <c r="AB15" s="5" t="s">
        <v>36</v>
      </c>
      <c r="AH15">
        <f t="shared" si="19"/>
        <v>10</v>
      </c>
      <c r="AI15">
        <f t="shared" si="13"/>
        <v>35</v>
      </c>
      <c r="AJ15">
        <f t="shared" si="18"/>
        <v>1</v>
      </c>
    </row>
    <row r="16" spans="1:38" x14ac:dyDescent="0.25">
      <c r="A16" s="5" t="s">
        <v>39</v>
      </c>
      <c r="B16" s="5" t="s">
        <v>0</v>
      </c>
      <c r="C16" s="5" t="str">
        <f t="shared" si="0"/>
        <v>description,dailCompDescCenobite14,</v>
      </c>
      <c r="D16" s="5" t="str">
        <f t="shared" si="2"/>
        <v>itemText,dailCompTextCenobite14,</v>
      </c>
      <c r="E16" s="5" t="str">
        <f t="shared" si="14"/>
        <v>augmentSkillLevel1,1,</v>
      </c>
      <c r="F16" s="5" t="str">
        <f t="shared" si="15"/>
        <v>augmentSkillName1,records/skills/playerclass28/hammer.dbr,</v>
      </c>
      <c r="G16" s="7">
        <f t="shared" si="10"/>
        <v>14</v>
      </c>
      <c r="H16" s="8" t="str">
        <f t="shared" si="11"/>
        <v>Cenobite</v>
      </c>
      <c r="I16" s="3" t="s">
        <v>232</v>
      </c>
      <c r="J16" s="8" t="str">
        <f t="shared" si="12"/>
        <v>class0028</v>
      </c>
      <c r="K16" s="8" t="str">
        <f t="shared" si="12"/>
        <v>dailoneskill0028</v>
      </c>
      <c r="L16" s="5" t="str">
        <f t="shared" si="4"/>
        <v>lootName14,DAIL/items/materia/class0028/Cenobite14.dbr,</v>
      </c>
      <c r="M16" s="5" t="str">
        <f t="shared" si="5"/>
        <v>lootWeight14,1,</v>
      </c>
      <c r="N16" t="str">
        <f t="shared" si="6"/>
        <v>1</v>
      </c>
      <c r="O16" t="str">
        <f t="shared" si="16"/>
        <v>copy .\dail_base.dbr .\items\materia\class0028\Cenobite14.dbr /y</v>
      </c>
      <c r="P16" t="str">
        <f t="shared" si="7"/>
        <v>echo relicBitmap,items/craftingparts/components/component_a52_bristlyfur_b.tex, &gt;&gt; .\items\materia\class0028\Cenobite14.dbr</v>
      </c>
      <c r="Q16" t="str">
        <f t="shared" si="1"/>
        <v>echo itemCost,100000, &gt;&gt; .\items\materia\class0028\Cenobite14.dbr</v>
      </c>
      <c r="R16" t="str">
        <f t="shared" si="1"/>
        <v>echo description,dailCompDescCenobite14, &gt;&gt; .\items\materia\class0028\Cenobite14.dbr</v>
      </c>
      <c r="S16" t="str">
        <f t="shared" si="1"/>
        <v>echo itemText,dailCompTextCenobite14, &gt;&gt; .\items\materia\class0028\Cenobite14.dbr</v>
      </c>
      <c r="T16" t="str">
        <f t="shared" si="1"/>
        <v>echo augmentSkillLevel1,1, &gt;&gt; .\items\materia\class0028\Cenobite14.dbr</v>
      </c>
      <c r="U16" t="str">
        <f t="shared" si="1"/>
        <v>echo augmentSkillName1,records/skills/playerclass28/hammer.dbr, &gt;&gt; .\items\materia\class0028\Cenobite14.dbr</v>
      </c>
      <c r="V16" s="5" t="s">
        <v>36</v>
      </c>
      <c r="W16" t="str">
        <f t="shared" si="8"/>
        <v>echo lootName14,DAIL/items/materia/class0028/Cenobite14.dbr, &gt;&gt; .\items\loottables\dailoneskill0028.dbr</v>
      </c>
      <c r="X16" t="str">
        <f t="shared" si="8"/>
        <v>echo lootWeight14,1, &gt;&gt; .\items\loottables\dailoneskill0028.dbr</v>
      </c>
      <c r="Y16" s="5" t="s">
        <v>36</v>
      </c>
      <c r="Z16" t="str">
        <f t="shared" si="9"/>
        <v xml:space="preserve"> dailCompDescCenobite14=^pCenobite's Gift of DAIL</v>
      </c>
      <c r="AA16" t="str">
        <f t="shared" si="17"/>
        <v>dailCompTextCenobite14=^oThis feels warm to the touch, almost familiar ^w(This component fits into all Jewellery slots including the Belt And Shoulder)</v>
      </c>
      <c r="AB16" s="5" t="s">
        <v>36</v>
      </c>
      <c r="AH16">
        <f t="shared" si="19"/>
        <v>11</v>
      </c>
      <c r="AI16">
        <f t="shared" si="13"/>
        <v>25</v>
      </c>
      <c r="AJ16">
        <f t="shared" si="18"/>
        <v>1</v>
      </c>
    </row>
    <row r="17" spans="1:36" x14ac:dyDescent="0.25">
      <c r="A17" s="5" t="s">
        <v>39</v>
      </c>
      <c r="B17" s="5" t="s">
        <v>0</v>
      </c>
      <c r="C17" s="5" t="str">
        <f t="shared" si="0"/>
        <v>description,dailCompDescCenobite15,</v>
      </c>
      <c r="D17" s="5" t="str">
        <f t="shared" si="2"/>
        <v>itemText,dailCompTextCenobite15,</v>
      </c>
      <c r="E17" s="5" t="str">
        <f t="shared" si="14"/>
        <v>augmentSkillLevel1,1,</v>
      </c>
      <c r="F17" s="5" t="str">
        <f t="shared" si="15"/>
        <v>augmentSkillName1,records/skills/playerclass28/shieldattack.dbr,</v>
      </c>
      <c r="G17" s="7">
        <f t="shared" si="10"/>
        <v>15</v>
      </c>
      <c r="H17" s="8" t="str">
        <f t="shared" si="11"/>
        <v>Cenobite</v>
      </c>
      <c r="I17" s="3" t="s">
        <v>240</v>
      </c>
      <c r="J17" s="8" t="str">
        <f t="shared" si="12"/>
        <v>class0028</v>
      </c>
      <c r="K17" s="8" t="str">
        <f t="shared" si="12"/>
        <v>dailoneskill0028</v>
      </c>
      <c r="L17" s="5" t="str">
        <f t="shared" si="4"/>
        <v>lootName15,DAIL/items/materia/class0028/Cenobite15.dbr,</v>
      </c>
      <c r="M17" s="5" t="str">
        <f t="shared" si="5"/>
        <v>lootWeight15,1,</v>
      </c>
      <c r="N17" t="str">
        <f t="shared" si="6"/>
        <v>1</v>
      </c>
      <c r="O17" t="str">
        <f t="shared" si="16"/>
        <v>copy .\dail_base.dbr .\items\materia\class0028\Cenobite15.dbr /y</v>
      </c>
      <c r="P17" t="str">
        <f t="shared" si="7"/>
        <v>echo relicBitmap,items/craftingparts/components/component_a52_bristlyfur_b.tex, &gt;&gt; .\items\materia\class0028\Cenobite15.dbr</v>
      </c>
      <c r="Q17" t="str">
        <f t="shared" si="1"/>
        <v>echo itemCost,100000, &gt;&gt; .\items\materia\class0028\Cenobite15.dbr</v>
      </c>
      <c r="R17" t="str">
        <f t="shared" si="1"/>
        <v>echo description,dailCompDescCenobite15, &gt;&gt; .\items\materia\class0028\Cenobite15.dbr</v>
      </c>
      <c r="S17" t="str">
        <f t="shared" si="1"/>
        <v>echo itemText,dailCompTextCenobite15, &gt;&gt; .\items\materia\class0028\Cenobite15.dbr</v>
      </c>
      <c r="T17" t="str">
        <f t="shared" si="1"/>
        <v>echo augmentSkillLevel1,1, &gt;&gt; .\items\materia\class0028\Cenobite15.dbr</v>
      </c>
      <c r="U17" t="str">
        <f t="shared" si="1"/>
        <v>echo augmentSkillName1,records/skills/playerclass28/shieldattack.dbr, &gt;&gt; .\items\materia\class0028\Cenobite15.dbr</v>
      </c>
      <c r="V17" s="5" t="s">
        <v>36</v>
      </c>
      <c r="W17" t="str">
        <f t="shared" si="8"/>
        <v>echo lootName15,DAIL/items/materia/class0028/Cenobite15.dbr, &gt;&gt; .\items\loottables\dailoneskill0028.dbr</v>
      </c>
      <c r="X17" t="str">
        <f t="shared" si="8"/>
        <v>echo lootWeight15,1, &gt;&gt; .\items\loottables\dailoneskill0028.dbr</v>
      </c>
      <c r="Y17" s="5" t="s">
        <v>36</v>
      </c>
      <c r="Z17" t="str">
        <f t="shared" si="9"/>
        <v xml:space="preserve"> dailCompDescCenobite15=^pCenobite's Gift of DAIL</v>
      </c>
      <c r="AA17" t="str">
        <f t="shared" si="17"/>
        <v>dailCompTextCenobite15=^oThis feels warm to the touch, almost familiar ^w(This component fits into all Jewellery slots including the Belt And Shoulder)</v>
      </c>
      <c r="AB17" s="5" t="s">
        <v>36</v>
      </c>
      <c r="AH17">
        <f t="shared" si="19"/>
        <v>12</v>
      </c>
      <c r="AI17">
        <f t="shared" si="13"/>
        <v>31</v>
      </c>
      <c r="AJ17">
        <f t="shared" si="18"/>
        <v>1</v>
      </c>
    </row>
    <row r="18" spans="1:36" x14ac:dyDescent="0.25">
      <c r="A18" s="5" t="s">
        <v>39</v>
      </c>
      <c r="B18" s="5" t="s">
        <v>0</v>
      </c>
      <c r="C18" s="5" t="str">
        <f t="shared" si="0"/>
        <v>description,dailCompDescCenobite16,</v>
      </c>
      <c r="D18" s="5" t="str">
        <f t="shared" si="2"/>
        <v>itemText,dailCompTextCenobite16,</v>
      </c>
      <c r="E18" s="5" t="str">
        <f t="shared" si="14"/>
        <v>augmentSkillLevel1,1,</v>
      </c>
      <c r="F18" s="5" t="str">
        <f t="shared" si="15"/>
        <v>augmentSkillName1,records/skills/playerclass28/shieldattack_mod2.dbr,</v>
      </c>
      <c r="G18" s="7">
        <f t="shared" si="10"/>
        <v>16</v>
      </c>
      <c r="H18" s="8" t="str">
        <f t="shared" si="11"/>
        <v>Cenobite</v>
      </c>
      <c r="I18" s="3" t="s">
        <v>477</v>
      </c>
      <c r="J18" s="8" t="str">
        <f t="shared" si="12"/>
        <v>class0028</v>
      </c>
      <c r="K18" s="8" t="str">
        <f t="shared" si="12"/>
        <v>dailoneskill0028</v>
      </c>
      <c r="L18" s="5" t="str">
        <f t="shared" si="4"/>
        <v>lootName16,DAIL/items/materia/class0028/Cenobite16.dbr,</v>
      </c>
      <c r="M18" s="5" t="str">
        <f t="shared" si="5"/>
        <v>lootWeight16,1,</v>
      </c>
      <c r="N18" t="str">
        <f t="shared" si="6"/>
        <v>1</v>
      </c>
      <c r="O18" t="str">
        <f t="shared" si="16"/>
        <v>copy .\dail_base.dbr .\items\materia\class0028\Cenobite16.dbr /y</v>
      </c>
      <c r="P18" t="str">
        <f t="shared" si="7"/>
        <v>echo relicBitmap,items/craftingparts/components/component_a52_bristlyfur_b.tex, &gt;&gt; .\items\materia\class0028\Cenobite16.dbr</v>
      </c>
      <c r="Q18" t="str">
        <f t="shared" si="1"/>
        <v>echo itemCost,100000, &gt;&gt; .\items\materia\class0028\Cenobite16.dbr</v>
      </c>
      <c r="R18" t="str">
        <f t="shared" si="1"/>
        <v>echo description,dailCompDescCenobite16, &gt;&gt; .\items\materia\class0028\Cenobite16.dbr</v>
      </c>
      <c r="S18" t="str">
        <f t="shared" si="1"/>
        <v>echo itemText,dailCompTextCenobite16, &gt;&gt; .\items\materia\class0028\Cenobite16.dbr</v>
      </c>
      <c r="T18" t="str">
        <f t="shared" si="1"/>
        <v>echo augmentSkillLevel1,1, &gt;&gt; .\items\materia\class0028\Cenobite16.dbr</v>
      </c>
      <c r="U18" t="str">
        <f t="shared" si="1"/>
        <v>echo augmentSkillName1,records/skills/playerclass28/shieldattack_mod2.dbr, &gt;&gt; .\items\materia\class0028\Cenobite16.dbr</v>
      </c>
      <c r="V18" s="5" t="s">
        <v>36</v>
      </c>
      <c r="W18" t="str">
        <f t="shared" si="8"/>
        <v>echo lootName16,DAIL/items/materia/class0028/Cenobite16.dbr, &gt;&gt; .\items\loottables\dailoneskill0028.dbr</v>
      </c>
      <c r="X18" t="str">
        <f t="shared" si="8"/>
        <v>echo lootWeight16,1, &gt;&gt; .\items\loottables\dailoneskill0028.dbr</v>
      </c>
      <c r="Y18" s="5" t="s">
        <v>36</v>
      </c>
      <c r="Z18" t="str">
        <f t="shared" si="9"/>
        <v xml:space="preserve"> dailCompDescCenobite16=^pCenobite's Gift of DAIL</v>
      </c>
      <c r="AA18" t="str">
        <f t="shared" si="17"/>
        <v>dailCompTextCenobite16=^oThis feels warm to the touch, almost familiar ^w(This component fits into all Jewellery slots including the Belt And Shoulder)</v>
      </c>
      <c r="AB18" s="5" t="s">
        <v>36</v>
      </c>
      <c r="AH18">
        <f t="shared" si="19"/>
        <v>13</v>
      </c>
      <c r="AI18">
        <f t="shared" si="13"/>
        <v>36</v>
      </c>
      <c r="AJ18">
        <f t="shared" si="18"/>
        <v>1</v>
      </c>
    </row>
    <row r="19" spans="1:36" x14ac:dyDescent="0.25">
      <c r="A19" s="5" t="s">
        <v>39</v>
      </c>
      <c r="B19" s="5" t="s">
        <v>28</v>
      </c>
      <c r="C19" s="5" t="str">
        <f t="shared" si="0"/>
        <v>description,dailCompDescCenobite17,</v>
      </c>
      <c r="D19" s="5" t="str">
        <f t="shared" si="2"/>
        <v>itemText,dailCompTextCenobite17,</v>
      </c>
      <c r="E19" s="5" t="str">
        <f t="shared" si="14"/>
        <v>augmentSkillLevel1,1,</v>
      </c>
      <c r="F19" s="5" t="str">
        <f t="shared" si="15"/>
        <v>augmentSkillName1,records/skills/playerclass28/shieldattack_mod1.dbr,</v>
      </c>
      <c r="G19" s="7">
        <f t="shared" si="10"/>
        <v>17</v>
      </c>
      <c r="H19" s="8" t="str">
        <f t="shared" si="11"/>
        <v>Cenobite</v>
      </c>
      <c r="I19" s="3" t="s">
        <v>478</v>
      </c>
      <c r="J19" s="8" t="str">
        <f t="shared" si="12"/>
        <v>class0028</v>
      </c>
      <c r="K19" s="8" t="str">
        <f t="shared" si="12"/>
        <v>dailoneskill0028</v>
      </c>
      <c r="L19" s="5" t="str">
        <f t="shared" si="4"/>
        <v>lootName17,DAIL/items/materia/class0028/Cenobite17.dbr,</v>
      </c>
      <c r="M19" s="5" t="str">
        <f t="shared" si="5"/>
        <v>lootWeight17,1,</v>
      </c>
      <c r="N19" t="str">
        <f t="shared" si="6"/>
        <v>1</v>
      </c>
      <c r="O19" t="str">
        <f t="shared" si="16"/>
        <v>copy .\dail_base.dbr .\items\materia\class0028\Cenobite17.dbr /y</v>
      </c>
      <c r="P19" t="str">
        <f t="shared" si="7"/>
        <v>echo relicBitmap,items/craftingparts/components/component_a52_bristlyfur_b.tex, &gt;&gt; .\items\materia\class0028\Cenobite17.dbr</v>
      </c>
      <c r="Q19" t="str">
        <f t="shared" si="7"/>
        <v>echo itemCost,300000, &gt;&gt; .\items\materia\class0028\Cenobite17.dbr</v>
      </c>
      <c r="R19" t="str">
        <f t="shared" si="7"/>
        <v>echo description,dailCompDescCenobite17, &gt;&gt; .\items\materia\class0028\Cenobite17.dbr</v>
      </c>
      <c r="S19" t="str">
        <f t="shared" si="7"/>
        <v>echo itemText,dailCompTextCenobite17, &gt;&gt; .\items\materia\class0028\Cenobite17.dbr</v>
      </c>
      <c r="T19" t="str">
        <f t="shared" si="7"/>
        <v>echo augmentSkillLevel1,1, &gt;&gt; .\items\materia\class0028\Cenobite17.dbr</v>
      </c>
      <c r="U19" t="str">
        <f t="shared" si="7"/>
        <v>echo augmentSkillName1,records/skills/playerclass28/shieldattack_mod1.dbr, &gt;&gt; .\items\materia\class0028\Cenobite17.dbr</v>
      </c>
      <c r="V19" s="5" t="s">
        <v>36</v>
      </c>
      <c r="W19" t="str">
        <f t="shared" si="8"/>
        <v>echo lootName17,DAIL/items/materia/class0028/Cenobite17.dbr, &gt;&gt; .\items\loottables\dailoneskill0028.dbr</v>
      </c>
      <c r="X19" t="str">
        <f t="shared" si="8"/>
        <v>echo lootWeight17,1, &gt;&gt; .\items\loottables\dailoneskill0028.dbr</v>
      </c>
      <c r="Y19" s="5" t="s">
        <v>36</v>
      </c>
      <c r="Z19" t="str">
        <f t="shared" si="9"/>
        <v xml:space="preserve"> dailCompDescCenobite17=^pCenobite's Gift of DAIL</v>
      </c>
      <c r="AA19" t="str">
        <f t="shared" si="17"/>
        <v>dailCompTextCenobite17=^oThis feels warm to the touch, almost familiar ^w(This component fits into all Jewellery slots including the Belt And Shoulder)</v>
      </c>
      <c r="AB19" s="5" t="s">
        <v>36</v>
      </c>
      <c r="AH19">
        <f t="shared" si="19"/>
        <v>14</v>
      </c>
      <c r="AI19">
        <f t="shared" si="13"/>
        <v>36</v>
      </c>
      <c r="AJ19">
        <f t="shared" si="18"/>
        <v>1</v>
      </c>
    </row>
    <row r="20" spans="1:36" x14ac:dyDescent="0.25">
      <c r="A20" s="5" t="s">
        <v>39</v>
      </c>
      <c r="B20" s="5" t="s">
        <v>28</v>
      </c>
      <c r="C20" s="5" t="str">
        <f t="shared" si="0"/>
        <v>description,dailCompDescCenobite18,</v>
      </c>
      <c r="D20" s="5" t="str">
        <f t="shared" si="2"/>
        <v>itemText,dailCompTextCenobite18,</v>
      </c>
      <c r="E20" s="5" t="str">
        <f t="shared" si="14"/>
        <v>augmentSkillLevel1,1,</v>
      </c>
      <c r="F20" s="5" t="str">
        <f t="shared" si="15"/>
        <v>augmentSkillName1,records/skills/playerclass28/shieldattack_tra.dbr,</v>
      </c>
      <c r="G20" s="7">
        <f t="shared" si="10"/>
        <v>18</v>
      </c>
      <c r="H20" s="8" t="str">
        <f t="shared" si="11"/>
        <v>Cenobite</v>
      </c>
      <c r="I20" s="3" t="s">
        <v>479</v>
      </c>
      <c r="J20" s="8" t="str">
        <f t="shared" si="12"/>
        <v>class0028</v>
      </c>
      <c r="K20" s="8" t="str">
        <f t="shared" si="12"/>
        <v>dailoneskill0028</v>
      </c>
      <c r="L20" s="5" t="str">
        <f t="shared" si="4"/>
        <v>lootName18,DAIL/items/materia/class0028/Cenobite18.dbr,</v>
      </c>
      <c r="M20" s="5" t="str">
        <f t="shared" si="5"/>
        <v>lootWeight18,1,</v>
      </c>
      <c r="N20" t="str">
        <f t="shared" si="6"/>
        <v>1</v>
      </c>
      <c r="O20" t="str">
        <f t="shared" si="16"/>
        <v>copy .\dail_base.dbr .\items\materia\class0028\Cenobite18.dbr /y</v>
      </c>
      <c r="P20" t="str">
        <f t="shared" si="7"/>
        <v>echo relicBitmap,items/craftingparts/components/component_a52_bristlyfur_b.tex, &gt;&gt; .\items\materia\class0028\Cenobite18.dbr</v>
      </c>
      <c r="Q20" t="str">
        <f t="shared" si="7"/>
        <v>echo itemCost,300000, &gt;&gt; .\items\materia\class0028\Cenobite18.dbr</v>
      </c>
      <c r="R20" t="str">
        <f t="shared" si="7"/>
        <v>echo description,dailCompDescCenobite18, &gt;&gt; .\items\materia\class0028\Cenobite18.dbr</v>
      </c>
      <c r="S20" t="str">
        <f t="shared" si="7"/>
        <v>echo itemText,dailCompTextCenobite18, &gt;&gt; .\items\materia\class0028\Cenobite18.dbr</v>
      </c>
      <c r="T20" t="str">
        <f t="shared" si="7"/>
        <v>echo augmentSkillLevel1,1, &gt;&gt; .\items\materia\class0028\Cenobite18.dbr</v>
      </c>
      <c r="U20" t="str">
        <f t="shared" si="7"/>
        <v>echo augmentSkillName1,records/skills/playerclass28/shieldattack_tra.dbr, &gt;&gt; .\items\materia\class0028\Cenobite18.dbr</v>
      </c>
      <c r="V20" s="5" t="s">
        <v>36</v>
      </c>
      <c r="W20" t="str">
        <f t="shared" si="8"/>
        <v>echo lootName18,DAIL/items/materia/class0028/Cenobite18.dbr, &gt;&gt; .\items\loottables\dailoneskill0028.dbr</v>
      </c>
      <c r="X20" t="str">
        <f t="shared" si="8"/>
        <v>echo lootWeight18,1, &gt;&gt; .\items\loottables\dailoneskill0028.dbr</v>
      </c>
      <c r="Y20" s="5" t="s">
        <v>36</v>
      </c>
      <c r="Z20" t="str">
        <f t="shared" si="9"/>
        <v xml:space="preserve"> dailCompDescCenobite18=^pCenobite's Gift of DAIL</v>
      </c>
      <c r="AA20" t="str">
        <f t="shared" si="17"/>
        <v>dailCompTextCenobite18=^oThis feels warm to the touch, almost familiar ^w(This component fits into all Jewellery slots including the Belt And Shoulder)</v>
      </c>
      <c r="AB20" s="5" t="s">
        <v>36</v>
      </c>
      <c r="AH20">
        <f t="shared" si="19"/>
        <v>15</v>
      </c>
      <c r="AI20">
        <f t="shared" si="13"/>
        <v>35</v>
      </c>
      <c r="AJ20">
        <f t="shared" si="18"/>
        <v>1</v>
      </c>
    </row>
    <row r="21" spans="1:36" x14ac:dyDescent="0.25">
      <c r="A21" s="5" t="s">
        <v>39</v>
      </c>
      <c r="B21" s="5" t="s">
        <v>28</v>
      </c>
      <c r="C21" s="5" t="str">
        <f t="shared" si="0"/>
        <v>description,dailCompDescCenobite19,</v>
      </c>
      <c r="D21" s="5" t="str">
        <f t="shared" si="2"/>
        <v>itemText,dailCompTextCenobite19,</v>
      </c>
      <c r="E21" s="5" t="str">
        <f t="shared" si="14"/>
        <v>augmentSkillLevel1,1,</v>
      </c>
      <c r="F21" s="5" t="str">
        <f t="shared" si="15"/>
        <v>augmentSkillName1,records/skills/playerclass28/perfectdefend.dbr,</v>
      </c>
      <c r="G21" s="7">
        <f t="shared" si="10"/>
        <v>19</v>
      </c>
      <c r="H21" s="8" t="str">
        <f t="shared" si="11"/>
        <v>Cenobite</v>
      </c>
      <c r="I21" s="3" t="s">
        <v>237</v>
      </c>
      <c r="J21" s="8" t="str">
        <f t="shared" ref="J21:K36" si="20">J20</f>
        <v>class0028</v>
      </c>
      <c r="K21" s="8" t="str">
        <f t="shared" si="20"/>
        <v>dailoneskill0028</v>
      </c>
      <c r="L21" s="5" t="str">
        <f t="shared" si="4"/>
        <v>lootName19,DAIL/items/materia/class0028/Cenobite19.dbr,</v>
      </c>
      <c r="M21" s="5" t="str">
        <f t="shared" si="5"/>
        <v>lootWeight19,1,</v>
      </c>
      <c r="N21" t="str">
        <f t="shared" si="6"/>
        <v>1</v>
      </c>
      <c r="O21" t="str">
        <f t="shared" si="16"/>
        <v>copy .\dail_base.dbr .\items\materia\class0028\Cenobite19.dbr /y</v>
      </c>
      <c r="P21" t="str">
        <f t="shared" si="7"/>
        <v>echo relicBitmap,items/craftingparts/components/component_a52_bristlyfur_b.tex, &gt;&gt; .\items\materia\class0028\Cenobite19.dbr</v>
      </c>
      <c r="Q21" t="str">
        <f t="shared" si="7"/>
        <v>echo itemCost,300000, &gt;&gt; .\items\materia\class0028\Cenobite19.dbr</v>
      </c>
      <c r="R21" t="str">
        <f t="shared" si="7"/>
        <v>echo description,dailCompDescCenobite19, &gt;&gt; .\items\materia\class0028\Cenobite19.dbr</v>
      </c>
      <c r="S21" t="str">
        <f t="shared" si="7"/>
        <v>echo itemText,dailCompTextCenobite19, &gt;&gt; .\items\materia\class0028\Cenobite19.dbr</v>
      </c>
      <c r="T21" t="str">
        <f t="shared" si="7"/>
        <v>echo augmentSkillLevel1,1, &gt;&gt; .\items\materia\class0028\Cenobite19.dbr</v>
      </c>
      <c r="U21" t="str">
        <f t="shared" si="7"/>
        <v>echo augmentSkillName1,records/skills/playerclass28/perfectdefend.dbr, &gt;&gt; .\items\materia\class0028\Cenobite19.dbr</v>
      </c>
      <c r="V21" s="5" t="s">
        <v>36</v>
      </c>
      <c r="W21" t="str">
        <f t="shared" si="8"/>
        <v>echo lootName19,DAIL/items/materia/class0028/Cenobite19.dbr, &gt;&gt; .\items\loottables\dailoneskill0028.dbr</v>
      </c>
      <c r="X21" t="str">
        <f t="shared" si="8"/>
        <v>echo lootWeight19,1, &gt;&gt; .\items\loottables\dailoneskill0028.dbr</v>
      </c>
      <c r="Y21" s="5" t="s">
        <v>36</v>
      </c>
      <c r="Z21" t="str">
        <f t="shared" si="9"/>
        <v xml:space="preserve"> dailCompDescCenobite19=^pCenobite's Gift of DAIL</v>
      </c>
      <c r="AA21" t="str">
        <f t="shared" si="17"/>
        <v>dailCompTextCenobite19=^oThis feels warm to the touch, almost familiar ^w(This component fits into all Jewellery slots including the Belt And Shoulder)</v>
      </c>
      <c r="AB21" s="5" t="s">
        <v>36</v>
      </c>
      <c r="AH21">
        <f t="shared" si="19"/>
        <v>16</v>
      </c>
      <c r="AI21">
        <f t="shared" si="13"/>
        <v>32</v>
      </c>
      <c r="AJ21">
        <f t="shared" si="18"/>
        <v>1</v>
      </c>
    </row>
    <row r="22" spans="1:36" x14ac:dyDescent="0.25">
      <c r="A22" s="5" t="s">
        <v>39</v>
      </c>
      <c r="B22" s="5" t="s">
        <v>28</v>
      </c>
      <c r="C22" s="5" t="str">
        <f t="shared" si="0"/>
        <v>description,dailCompDescCenobite20,</v>
      </c>
      <c r="D22" s="5" t="str">
        <f t="shared" si="2"/>
        <v>itemText,dailCompTextCenobite20,</v>
      </c>
      <c r="E22" s="5" t="str">
        <f t="shared" si="14"/>
        <v>augmentSkillLevel1,1,</v>
      </c>
      <c r="F22" s="5" t="str">
        <f t="shared" si="15"/>
        <v>augmentSkillName1,records/skills/playerclass28/shielddefense_01.dbr,</v>
      </c>
      <c r="G22" s="7">
        <f t="shared" si="10"/>
        <v>20</v>
      </c>
      <c r="H22" s="8" t="str">
        <f t="shared" si="11"/>
        <v>Cenobite</v>
      </c>
      <c r="I22" s="3" t="s">
        <v>480</v>
      </c>
      <c r="J22" s="8" t="str">
        <f t="shared" si="20"/>
        <v>class0028</v>
      </c>
      <c r="K22" s="8" t="str">
        <f t="shared" si="20"/>
        <v>dailoneskill0028</v>
      </c>
      <c r="L22" s="5" t="str">
        <f t="shared" si="4"/>
        <v>lootName20,DAIL/items/materia/class0028/Cenobite20.dbr,</v>
      </c>
      <c r="M22" s="5" t="str">
        <f t="shared" si="5"/>
        <v>lootWeight20,1,</v>
      </c>
      <c r="N22" t="str">
        <f t="shared" si="6"/>
        <v>1</v>
      </c>
      <c r="O22" t="str">
        <f t="shared" si="16"/>
        <v>copy .\dail_base.dbr .\items\materia\class0028\Cenobite20.dbr /y</v>
      </c>
      <c r="P22" t="str">
        <f t="shared" si="7"/>
        <v>echo relicBitmap,items/craftingparts/components/component_a52_bristlyfur_b.tex, &gt;&gt; .\items\materia\class0028\Cenobite20.dbr</v>
      </c>
      <c r="Q22" t="str">
        <f t="shared" si="7"/>
        <v>echo itemCost,300000, &gt;&gt; .\items\materia\class0028\Cenobite20.dbr</v>
      </c>
      <c r="R22" t="str">
        <f t="shared" si="7"/>
        <v>echo description,dailCompDescCenobite20, &gt;&gt; .\items\materia\class0028\Cenobite20.dbr</v>
      </c>
      <c r="S22" t="str">
        <f t="shared" si="7"/>
        <v>echo itemText,dailCompTextCenobite20, &gt;&gt; .\items\materia\class0028\Cenobite20.dbr</v>
      </c>
      <c r="T22" t="str">
        <f t="shared" si="7"/>
        <v>echo augmentSkillLevel1,1, &gt;&gt; .\items\materia\class0028\Cenobite20.dbr</v>
      </c>
      <c r="U22" t="str">
        <f t="shared" si="7"/>
        <v>echo augmentSkillName1,records/skills/playerclass28/shielddefense_01.dbr, &gt;&gt; .\items\materia\class0028\Cenobite20.dbr</v>
      </c>
      <c r="V22" s="5" t="s">
        <v>36</v>
      </c>
      <c r="W22" t="str">
        <f t="shared" si="8"/>
        <v>echo lootName20,DAIL/items/materia/class0028/Cenobite20.dbr, &gt;&gt; .\items\loottables\dailoneskill0028.dbr</v>
      </c>
      <c r="X22" t="str">
        <f t="shared" si="8"/>
        <v>echo lootWeight20,1, &gt;&gt; .\items\loottables\dailoneskill0028.dbr</v>
      </c>
      <c r="Y22" s="5" t="s">
        <v>36</v>
      </c>
      <c r="Z22" t="str">
        <f t="shared" si="9"/>
        <v xml:space="preserve"> dailCompDescCenobite20=^pCenobite's Gift of DAIL</v>
      </c>
      <c r="AA22" t="str">
        <f t="shared" si="17"/>
        <v>dailCompTextCenobite20=^oThis feels warm to the touch, almost familiar ^w(This component fits into all Jewellery slots including the Belt And Shoulder)</v>
      </c>
      <c r="AB22" s="5" t="s">
        <v>36</v>
      </c>
      <c r="AH22">
        <f t="shared" si="19"/>
        <v>17</v>
      </c>
      <c r="AI22">
        <f t="shared" si="13"/>
        <v>35</v>
      </c>
      <c r="AJ22">
        <f t="shared" si="18"/>
        <v>1</v>
      </c>
    </row>
    <row r="23" spans="1:36" x14ac:dyDescent="0.25">
      <c r="A23" s="5" t="s">
        <v>39</v>
      </c>
      <c r="B23" s="5" t="s">
        <v>28</v>
      </c>
      <c r="C23" s="5" t="str">
        <f t="shared" si="0"/>
        <v>description,dailCompDescCenobite21,</v>
      </c>
      <c r="D23" s="5" t="str">
        <f t="shared" si="2"/>
        <v>itemText,dailCompTextCenobite21,</v>
      </c>
      <c r="E23" s="5" t="str">
        <f t="shared" si="14"/>
        <v>augmentSkillLevel1,1,</v>
      </c>
      <c r="F23" s="5" t="str">
        <f t="shared" si="15"/>
        <v>augmentSkillName1,records/skills/playerclass28/shielddefense.dbr,</v>
      </c>
      <c r="G23" s="7">
        <f t="shared" si="10"/>
        <v>21</v>
      </c>
      <c r="H23" s="8" t="str">
        <f t="shared" si="11"/>
        <v>Cenobite</v>
      </c>
      <c r="I23" s="3" t="s">
        <v>241</v>
      </c>
      <c r="J23" s="8" t="str">
        <f t="shared" si="20"/>
        <v>class0028</v>
      </c>
      <c r="K23" s="8" t="str">
        <f t="shared" si="20"/>
        <v>dailoneskill0028</v>
      </c>
      <c r="L23" s="5" t="str">
        <f t="shared" si="4"/>
        <v>lootName21,DAIL/items/materia/class0028/Cenobite21.dbr,</v>
      </c>
      <c r="M23" s="5" t="str">
        <f t="shared" si="5"/>
        <v>lootWeight21,1,</v>
      </c>
      <c r="N23" t="str">
        <f t="shared" si="6"/>
        <v>1</v>
      </c>
      <c r="O23" t="str">
        <f t="shared" si="16"/>
        <v>copy .\dail_base.dbr .\items\materia\class0028\Cenobite21.dbr /y</v>
      </c>
      <c r="P23" t="str">
        <f t="shared" si="7"/>
        <v>echo relicBitmap,items/craftingparts/components/component_a52_bristlyfur_b.tex, &gt;&gt; .\items\materia\class0028\Cenobite21.dbr</v>
      </c>
      <c r="Q23" t="str">
        <f t="shared" si="7"/>
        <v>echo itemCost,300000, &gt;&gt; .\items\materia\class0028\Cenobite21.dbr</v>
      </c>
      <c r="R23" t="str">
        <f t="shared" si="7"/>
        <v>echo description,dailCompDescCenobite21, &gt;&gt; .\items\materia\class0028\Cenobite21.dbr</v>
      </c>
      <c r="S23" t="str">
        <f t="shared" si="7"/>
        <v>echo itemText,dailCompTextCenobite21, &gt;&gt; .\items\materia\class0028\Cenobite21.dbr</v>
      </c>
      <c r="T23" t="str">
        <f t="shared" si="7"/>
        <v>echo augmentSkillLevel1,1, &gt;&gt; .\items\materia\class0028\Cenobite21.dbr</v>
      </c>
      <c r="U23" t="str">
        <f t="shared" si="7"/>
        <v>echo augmentSkillName1,records/skills/playerclass28/shielddefense.dbr, &gt;&gt; .\items\materia\class0028\Cenobite21.dbr</v>
      </c>
      <c r="V23" s="5" t="s">
        <v>36</v>
      </c>
      <c r="W23" t="str">
        <f t="shared" si="8"/>
        <v>echo lootName21,DAIL/items/materia/class0028/Cenobite21.dbr, &gt;&gt; .\items\loottables\dailoneskill0028.dbr</v>
      </c>
      <c r="X23" t="str">
        <f t="shared" si="8"/>
        <v>echo lootWeight21,1, &gt;&gt; .\items\loottables\dailoneskill0028.dbr</v>
      </c>
      <c r="Y23" s="5" t="s">
        <v>36</v>
      </c>
      <c r="Z23" t="str">
        <f t="shared" si="9"/>
        <v xml:space="preserve"> dailCompDescCenobite21=^pCenobite's Gift of DAIL</v>
      </c>
      <c r="AA23" t="str">
        <f t="shared" si="17"/>
        <v>dailCompTextCenobite21=^oThis feels warm to the touch, almost familiar ^w(This component fits into all Jewellery slots including the Belt And Shoulder)</v>
      </c>
      <c r="AB23" s="5" t="s">
        <v>36</v>
      </c>
      <c r="AH23">
        <f t="shared" si="19"/>
        <v>18</v>
      </c>
      <c r="AI23">
        <f t="shared" si="13"/>
        <v>32</v>
      </c>
      <c r="AJ23">
        <f t="shared" si="18"/>
        <v>1</v>
      </c>
    </row>
    <row r="24" spans="1:36" x14ac:dyDescent="0.25">
      <c r="A24" s="5" t="s">
        <v>39</v>
      </c>
      <c r="B24" s="5" t="s">
        <v>28</v>
      </c>
      <c r="C24" s="5" t="str">
        <f t="shared" si="0"/>
        <v>description,dailCompDescCenobite22,</v>
      </c>
      <c r="D24" s="5" t="str">
        <f t="shared" si="2"/>
        <v>itemText,dailCompTextCenobite22,</v>
      </c>
      <c r="E24" s="5" t="str">
        <f t="shared" si="14"/>
        <v>augmentSkillLevel1,1,</v>
      </c>
      <c r="F24" s="5" t="str">
        <f t="shared" si="15"/>
        <v>augmentSkillName1,records/skills/playerclass28/shiled_tra.dbr,</v>
      </c>
      <c r="G24" s="7">
        <f t="shared" si="10"/>
        <v>22</v>
      </c>
      <c r="H24" s="8" t="str">
        <f t="shared" si="11"/>
        <v>Cenobite</v>
      </c>
      <c r="I24" s="3" t="s">
        <v>242</v>
      </c>
      <c r="J24" s="8" t="str">
        <f t="shared" si="20"/>
        <v>class0028</v>
      </c>
      <c r="K24" s="8" t="str">
        <f t="shared" si="20"/>
        <v>dailoneskill0028</v>
      </c>
      <c r="L24" s="5" t="str">
        <f t="shared" si="4"/>
        <v>lootName22,DAIL/items/materia/class0028/Cenobite22.dbr,</v>
      </c>
      <c r="M24" s="5" t="str">
        <f t="shared" si="5"/>
        <v>lootWeight22,1,</v>
      </c>
      <c r="N24" t="str">
        <f t="shared" si="6"/>
        <v>1</v>
      </c>
      <c r="O24" t="str">
        <f t="shared" si="16"/>
        <v>copy .\dail_base.dbr .\items\materia\class0028\Cenobite22.dbr /y</v>
      </c>
      <c r="P24" t="str">
        <f t="shared" si="7"/>
        <v>echo relicBitmap,items/craftingparts/components/component_a52_bristlyfur_b.tex, &gt;&gt; .\items\materia\class0028\Cenobite22.dbr</v>
      </c>
      <c r="Q24" t="str">
        <f t="shared" si="7"/>
        <v>echo itemCost,300000, &gt;&gt; .\items\materia\class0028\Cenobite22.dbr</v>
      </c>
      <c r="R24" t="str">
        <f t="shared" si="7"/>
        <v>echo description,dailCompDescCenobite22, &gt;&gt; .\items\materia\class0028\Cenobite22.dbr</v>
      </c>
      <c r="S24" t="str">
        <f t="shared" si="7"/>
        <v>echo itemText,dailCompTextCenobite22, &gt;&gt; .\items\materia\class0028\Cenobite22.dbr</v>
      </c>
      <c r="T24" t="str">
        <f t="shared" si="7"/>
        <v>echo augmentSkillLevel1,1, &gt;&gt; .\items\materia\class0028\Cenobite22.dbr</v>
      </c>
      <c r="U24" t="str">
        <f t="shared" si="7"/>
        <v>echo augmentSkillName1,records/skills/playerclass28/shiled_tra.dbr, &gt;&gt; .\items\materia\class0028\Cenobite22.dbr</v>
      </c>
      <c r="V24" s="5" t="s">
        <v>36</v>
      </c>
      <c r="W24" t="str">
        <f t="shared" si="8"/>
        <v>echo lootName22,DAIL/items/materia/class0028/Cenobite22.dbr, &gt;&gt; .\items\loottables\dailoneskill0028.dbr</v>
      </c>
      <c r="X24" t="str">
        <f t="shared" si="8"/>
        <v>echo lootWeight22,1, &gt;&gt; .\items\loottables\dailoneskill0028.dbr</v>
      </c>
      <c r="Y24" s="5" t="s">
        <v>36</v>
      </c>
      <c r="Z24" t="str">
        <f t="shared" si="9"/>
        <v xml:space="preserve"> dailCompDescCenobite22=^pCenobite's Gift of DAIL</v>
      </c>
      <c r="AA24" t="str">
        <f t="shared" si="17"/>
        <v>dailCompTextCenobite22=^oThis feels warm to the touch, almost familiar ^w(This component fits into all Jewellery slots including the Belt And Shoulder)</v>
      </c>
      <c r="AB24" s="5" t="s">
        <v>36</v>
      </c>
      <c r="AH24">
        <f t="shared" si="19"/>
        <v>19</v>
      </c>
      <c r="AI24">
        <f t="shared" si="13"/>
        <v>29</v>
      </c>
      <c r="AJ24">
        <f t="shared" si="18"/>
        <v>1</v>
      </c>
    </row>
    <row r="25" spans="1:36" x14ac:dyDescent="0.25">
      <c r="A25" s="5" t="s">
        <v>39</v>
      </c>
      <c r="B25" s="5" t="s">
        <v>28</v>
      </c>
      <c r="C25" s="5" t="str">
        <f t="shared" si="0"/>
        <v>description,dailCompDescCenobite23,</v>
      </c>
      <c r="D25" s="5" t="str">
        <f t="shared" si="2"/>
        <v>itemText,dailCompTextCenobite23,</v>
      </c>
      <c r="E25" s="5" t="str">
        <f t="shared" si="14"/>
        <v>augmentSkillLevel1,1,</v>
      </c>
      <c r="F25" s="5" t="str">
        <f t="shared" si="15"/>
        <v>augmentSkillName1,records/skills/playerclass28/angel.dbr,</v>
      </c>
      <c r="G25" s="7">
        <f t="shared" si="10"/>
        <v>23</v>
      </c>
      <c r="H25" s="8" t="str">
        <f t="shared" si="11"/>
        <v>Cenobite</v>
      </c>
      <c r="I25" s="3" t="s">
        <v>231</v>
      </c>
      <c r="J25" s="8" t="str">
        <f t="shared" si="20"/>
        <v>class0028</v>
      </c>
      <c r="K25" s="8" t="str">
        <f t="shared" si="20"/>
        <v>dailoneskill0028</v>
      </c>
      <c r="L25" s="5" t="str">
        <f t="shared" si="4"/>
        <v>lootName23,DAIL/items/materia/class0028/Cenobite23.dbr,</v>
      </c>
      <c r="M25" s="5" t="str">
        <f t="shared" si="5"/>
        <v>lootWeight23,1,</v>
      </c>
      <c r="N25" t="str">
        <f t="shared" si="6"/>
        <v>1</v>
      </c>
      <c r="O25" t="str">
        <f t="shared" si="16"/>
        <v>copy .\dail_base.dbr .\items\materia\class0028\Cenobite23.dbr /y</v>
      </c>
      <c r="P25" t="str">
        <f t="shared" si="7"/>
        <v>echo relicBitmap,items/craftingparts/components/component_a52_bristlyfur_b.tex, &gt;&gt; .\items\materia\class0028\Cenobite23.dbr</v>
      </c>
      <c r="Q25" t="str">
        <f t="shared" si="7"/>
        <v>echo itemCost,300000, &gt;&gt; .\items\materia\class0028\Cenobite23.dbr</v>
      </c>
      <c r="R25" t="str">
        <f t="shared" si="7"/>
        <v>echo description,dailCompDescCenobite23, &gt;&gt; .\items\materia\class0028\Cenobite23.dbr</v>
      </c>
      <c r="S25" t="str">
        <f t="shared" si="7"/>
        <v>echo itemText,dailCompTextCenobite23, &gt;&gt; .\items\materia\class0028\Cenobite23.dbr</v>
      </c>
      <c r="T25" t="str">
        <f t="shared" si="7"/>
        <v>echo augmentSkillLevel1,1, &gt;&gt; .\items\materia\class0028\Cenobite23.dbr</v>
      </c>
      <c r="U25" t="str">
        <f t="shared" si="7"/>
        <v>echo augmentSkillName1,records/skills/playerclass28/angel.dbr, &gt;&gt; .\items\materia\class0028\Cenobite23.dbr</v>
      </c>
      <c r="V25" s="5" t="s">
        <v>36</v>
      </c>
      <c r="W25" t="str">
        <f t="shared" si="8"/>
        <v>echo lootName23,DAIL/items/materia/class0028/Cenobite23.dbr, &gt;&gt; .\items\loottables\dailoneskill0028.dbr</v>
      </c>
      <c r="X25" t="str">
        <f t="shared" si="8"/>
        <v>echo lootWeight23,1, &gt;&gt; .\items\loottables\dailoneskill0028.dbr</v>
      </c>
      <c r="Y25" s="5" t="s">
        <v>36</v>
      </c>
      <c r="Z25" t="str">
        <f t="shared" si="9"/>
        <v xml:space="preserve"> dailCompDescCenobite23=^pCenobite's Gift of DAIL</v>
      </c>
      <c r="AA25" t="str">
        <f t="shared" si="17"/>
        <v>dailCompTextCenobite23=^oThis feels warm to the touch, almost familiar ^w(This component fits into all Jewellery slots including the Belt And Shoulder)</v>
      </c>
      <c r="AB25" s="5" t="s">
        <v>36</v>
      </c>
      <c r="AH25">
        <f t="shared" si="19"/>
        <v>20</v>
      </c>
      <c r="AI25">
        <f t="shared" si="13"/>
        <v>24</v>
      </c>
      <c r="AJ25">
        <f t="shared" si="18"/>
        <v>1</v>
      </c>
    </row>
    <row r="26" spans="1:36" x14ac:dyDescent="0.25">
      <c r="A26" s="5" t="s">
        <v>39</v>
      </c>
      <c r="B26" s="5" t="s">
        <v>28</v>
      </c>
      <c r="C26" s="5" t="str">
        <f t="shared" si="0"/>
        <v>description,dailCompDescCenobite24,</v>
      </c>
      <c r="D26" s="5" t="str">
        <f t="shared" si="2"/>
        <v>itemText,dailCompTextCenobite24,</v>
      </c>
      <c r="E26" s="5" t="str">
        <f t="shared" si="14"/>
        <v>augmentSkillLevel1,1,</v>
      </c>
      <c r="F26" s="5" t="str">
        <f t="shared" si="15"/>
        <v>augmentSkillName1,records/skills/playerclass28/healing.dbr,</v>
      </c>
      <c r="G26" s="7">
        <f t="shared" si="10"/>
        <v>24</v>
      </c>
      <c r="H26" s="8" t="str">
        <f t="shared" si="11"/>
        <v>Cenobite</v>
      </c>
      <c r="I26" s="3" t="s">
        <v>233</v>
      </c>
      <c r="J26" s="8" t="str">
        <f t="shared" si="20"/>
        <v>class0028</v>
      </c>
      <c r="K26" s="8" t="str">
        <f t="shared" si="20"/>
        <v>dailoneskill0028</v>
      </c>
      <c r="L26" s="5" t="str">
        <f t="shared" si="4"/>
        <v>lootName24,DAIL/items/materia/class0028/Cenobite24.dbr,</v>
      </c>
      <c r="M26" s="5" t="str">
        <f t="shared" si="5"/>
        <v>lootWeight24,1,</v>
      </c>
      <c r="N26" t="str">
        <f t="shared" si="6"/>
        <v>1</v>
      </c>
      <c r="O26" t="str">
        <f t="shared" si="16"/>
        <v>copy .\dail_base.dbr .\items\materia\class0028\Cenobite24.dbr /y</v>
      </c>
      <c r="P26" t="str">
        <f t="shared" si="7"/>
        <v>echo relicBitmap,items/craftingparts/components/component_a52_bristlyfur_b.tex, &gt;&gt; .\items\materia\class0028\Cenobite24.dbr</v>
      </c>
      <c r="Q26" t="str">
        <f t="shared" si="7"/>
        <v>echo itemCost,300000, &gt;&gt; .\items\materia\class0028\Cenobite24.dbr</v>
      </c>
      <c r="R26" t="str">
        <f t="shared" si="7"/>
        <v>echo description,dailCompDescCenobite24, &gt;&gt; .\items\materia\class0028\Cenobite24.dbr</v>
      </c>
      <c r="S26" t="str">
        <f t="shared" si="7"/>
        <v>echo itemText,dailCompTextCenobite24, &gt;&gt; .\items\materia\class0028\Cenobite24.dbr</v>
      </c>
      <c r="T26" t="str">
        <f t="shared" si="7"/>
        <v>echo augmentSkillLevel1,1, &gt;&gt; .\items\materia\class0028\Cenobite24.dbr</v>
      </c>
      <c r="U26" t="str">
        <f t="shared" si="7"/>
        <v>echo augmentSkillName1,records/skills/playerclass28/healing.dbr, &gt;&gt; .\items\materia\class0028\Cenobite24.dbr</v>
      </c>
      <c r="V26" s="5" t="s">
        <v>36</v>
      </c>
      <c r="W26" t="str">
        <f t="shared" si="8"/>
        <v>echo lootName24,DAIL/items/materia/class0028/Cenobite24.dbr, &gt;&gt; .\items\loottables\dailoneskill0028.dbr</v>
      </c>
      <c r="X26" t="str">
        <f t="shared" si="8"/>
        <v>echo lootWeight24,1, &gt;&gt; .\items\loottables\dailoneskill0028.dbr</v>
      </c>
      <c r="Y26" s="5" t="s">
        <v>36</v>
      </c>
      <c r="Z26" t="str">
        <f t="shared" si="9"/>
        <v xml:space="preserve"> dailCompDescCenobite24=^pCenobite's Gift of DAIL</v>
      </c>
      <c r="AA26" t="str">
        <f t="shared" si="17"/>
        <v>dailCompTextCenobite24=^oThis feels warm to the touch, almost familiar ^w(This component fits into all Jewellery slots including the Belt And Shoulder)</v>
      </c>
      <c r="AB26" s="5" t="s">
        <v>36</v>
      </c>
      <c r="AH26">
        <f t="shared" si="19"/>
        <v>21</v>
      </c>
      <c r="AI26">
        <f t="shared" si="13"/>
        <v>26</v>
      </c>
      <c r="AJ26">
        <f t="shared" si="18"/>
        <v>1</v>
      </c>
    </row>
    <row r="27" spans="1:36" x14ac:dyDescent="0.25">
      <c r="A27" s="5" t="s">
        <v>39</v>
      </c>
      <c r="B27" s="5" t="s">
        <v>28</v>
      </c>
      <c r="C27" s="5" t="str">
        <f t="shared" si="0"/>
        <v>description,dailCompDescCenobite25,</v>
      </c>
      <c r="D27" s="5" t="str">
        <f t="shared" si="2"/>
        <v>itemText,dailCompTextCenobite25,</v>
      </c>
      <c r="E27" s="5" t="str">
        <f t="shared" si="14"/>
        <v>augmentSkillLevel1,1,</v>
      </c>
      <c r="F27" s="5" t="str">
        <f t="shared" si="15"/>
        <v>augmentSkillName1,records/skills/playerclass28/hammer_tra.dbr,</v>
      </c>
      <c r="G27" s="7">
        <f t="shared" si="10"/>
        <v>25</v>
      </c>
      <c r="H27" s="8" t="str">
        <f t="shared" si="11"/>
        <v>Cenobite</v>
      </c>
      <c r="I27" s="3" t="s">
        <v>481</v>
      </c>
      <c r="J27" s="8" t="str">
        <f t="shared" si="20"/>
        <v>class0028</v>
      </c>
      <c r="K27" s="8" t="str">
        <f t="shared" si="20"/>
        <v>dailoneskill0028</v>
      </c>
      <c r="L27" s="5" t="str">
        <f t="shared" si="4"/>
        <v>lootName25,DAIL/items/materia/class0028/Cenobite25.dbr,</v>
      </c>
      <c r="M27" s="5" t="str">
        <f t="shared" si="5"/>
        <v>lootWeight25,1,</v>
      </c>
      <c r="N27" t="str">
        <f t="shared" si="6"/>
        <v>1</v>
      </c>
      <c r="O27" t="str">
        <f t="shared" si="16"/>
        <v>copy .\dail_base.dbr .\items\materia\class0028\Cenobite25.dbr /y</v>
      </c>
      <c r="P27" t="str">
        <f t="shared" si="7"/>
        <v>echo relicBitmap,items/craftingparts/components/component_a52_bristlyfur_b.tex, &gt;&gt; .\items\materia\class0028\Cenobite25.dbr</v>
      </c>
      <c r="Q27" t="str">
        <f t="shared" si="7"/>
        <v>echo itemCost,300000, &gt;&gt; .\items\materia\class0028\Cenobite25.dbr</v>
      </c>
      <c r="R27" t="str">
        <f t="shared" si="7"/>
        <v>echo description,dailCompDescCenobite25, &gt;&gt; .\items\materia\class0028\Cenobite25.dbr</v>
      </c>
      <c r="S27" t="str">
        <f t="shared" si="7"/>
        <v>echo itemText,dailCompTextCenobite25, &gt;&gt; .\items\materia\class0028\Cenobite25.dbr</v>
      </c>
      <c r="T27" t="str">
        <f t="shared" si="7"/>
        <v>echo augmentSkillLevel1,1, &gt;&gt; .\items\materia\class0028\Cenobite25.dbr</v>
      </c>
      <c r="U27" t="str">
        <f t="shared" si="7"/>
        <v>echo augmentSkillName1,records/skills/playerclass28/hammer_tra.dbr, &gt;&gt; .\items\materia\class0028\Cenobite25.dbr</v>
      </c>
      <c r="V27" s="5" t="s">
        <v>36</v>
      </c>
      <c r="W27" t="str">
        <f t="shared" si="8"/>
        <v>echo lootName25,DAIL/items/materia/class0028/Cenobite25.dbr, &gt;&gt; .\items\loottables\dailoneskill0028.dbr</v>
      </c>
      <c r="X27" t="str">
        <f t="shared" si="8"/>
        <v>echo lootWeight25,1, &gt;&gt; .\items\loottables\dailoneskill0028.dbr</v>
      </c>
      <c r="Y27" s="5" t="s">
        <v>36</v>
      </c>
      <c r="Z27" t="str">
        <f t="shared" si="9"/>
        <v xml:space="preserve"> dailCompDescCenobite25=^pCenobite's Gift of DAIL</v>
      </c>
      <c r="AA27" t="str">
        <f t="shared" si="17"/>
        <v>dailCompTextCenobite25=^oThis feels warm to the touch, almost familiar ^w(This component fits into all Jewellery slots including the Belt And Shoulder)</v>
      </c>
      <c r="AB27" s="5" t="s">
        <v>36</v>
      </c>
      <c r="AH27">
        <f t="shared" si="19"/>
        <v>22</v>
      </c>
      <c r="AI27">
        <f t="shared" si="13"/>
        <v>29</v>
      </c>
      <c r="AJ27">
        <f t="shared" si="18"/>
        <v>1</v>
      </c>
    </row>
    <row r="28" spans="1:36" x14ac:dyDescent="0.25">
      <c r="A28" s="5" t="s">
        <v>39</v>
      </c>
      <c r="B28" s="5" t="s">
        <v>28</v>
      </c>
      <c r="C28" s="5" t="str">
        <f t="shared" si="0"/>
        <v>description,dailCompDescCenobite26,</v>
      </c>
      <c r="D28" s="5" t="str">
        <f t="shared" si="2"/>
        <v>itemText,dailCompTextCenobite26,</v>
      </c>
      <c r="E28" s="5" t="str">
        <f t="shared" si="14"/>
        <v>augmentSkillLevel1,1,</v>
      </c>
      <c r="F28" s="5" t="str">
        <f t="shared" si="15"/>
        <v>augmentSkillName1,records/skills/playerclass28/healing_mod1.dbr,</v>
      </c>
      <c r="G28" s="7">
        <f t="shared" si="10"/>
        <v>26</v>
      </c>
      <c r="H28" s="8" t="str">
        <f t="shared" si="11"/>
        <v>Cenobite</v>
      </c>
      <c r="I28" s="3" t="s">
        <v>482</v>
      </c>
      <c r="J28" s="8" t="str">
        <f t="shared" si="20"/>
        <v>class0028</v>
      </c>
      <c r="K28" s="8" t="str">
        <f t="shared" si="20"/>
        <v>dailoneskill0028</v>
      </c>
      <c r="L28" s="5" t="str">
        <f t="shared" si="4"/>
        <v>lootName26,DAIL/items/materia/class0028/Cenobite26.dbr,</v>
      </c>
      <c r="M28" s="5" t="str">
        <f t="shared" si="5"/>
        <v>lootWeight26,1,</v>
      </c>
      <c r="N28" t="str">
        <f t="shared" si="6"/>
        <v>1</v>
      </c>
      <c r="O28" t="str">
        <f t="shared" si="16"/>
        <v>copy .\dail_base.dbr .\items\materia\class0028\Cenobite26.dbr /y</v>
      </c>
      <c r="P28" t="str">
        <f t="shared" si="7"/>
        <v>echo relicBitmap,items/craftingparts/components/component_a52_bristlyfur_b.tex, &gt;&gt; .\items\materia\class0028\Cenobite26.dbr</v>
      </c>
      <c r="Q28" t="str">
        <f t="shared" si="7"/>
        <v>echo itemCost,300000, &gt;&gt; .\items\materia\class0028\Cenobite26.dbr</v>
      </c>
      <c r="R28" t="str">
        <f t="shared" si="7"/>
        <v>echo description,dailCompDescCenobite26, &gt;&gt; .\items\materia\class0028\Cenobite26.dbr</v>
      </c>
      <c r="S28" t="str">
        <f t="shared" si="7"/>
        <v>echo itemText,dailCompTextCenobite26, &gt;&gt; .\items\materia\class0028\Cenobite26.dbr</v>
      </c>
      <c r="T28" t="str">
        <f t="shared" si="7"/>
        <v>echo augmentSkillLevel1,1, &gt;&gt; .\items\materia\class0028\Cenobite26.dbr</v>
      </c>
      <c r="U28" t="str">
        <f t="shared" si="7"/>
        <v>echo augmentSkillName1,records/skills/playerclass28/healing_mod1.dbr, &gt;&gt; .\items\materia\class0028\Cenobite26.dbr</v>
      </c>
      <c r="V28" s="5" t="s">
        <v>36</v>
      </c>
      <c r="W28" t="str">
        <f t="shared" si="8"/>
        <v>echo lootName26,DAIL/items/materia/class0028/Cenobite26.dbr, &gt;&gt; .\items\loottables\dailoneskill0028.dbr</v>
      </c>
      <c r="X28" t="str">
        <f t="shared" si="8"/>
        <v>echo lootWeight26,1, &gt;&gt; .\items\loottables\dailoneskill0028.dbr</v>
      </c>
      <c r="Y28" s="5" t="s">
        <v>36</v>
      </c>
      <c r="Z28" t="str">
        <f t="shared" si="9"/>
        <v xml:space="preserve"> dailCompDescCenobite26=^pCenobite's Gift of DAIL</v>
      </c>
      <c r="AA28" t="str">
        <f t="shared" si="17"/>
        <v>dailCompTextCenobite26=^oThis feels warm to the touch, almost familiar ^w(This component fits into all Jewellery slots including the Belt And Shoulder)</v>
      </c>
      <c r="AB28" s="5" t="s">
        <v>36</v>
      </c>
      <c r="AH28">
        <f t="shared" si="19"/>
        <v>23</v>
      </c>
      <c r="AI28">
        <f t="shared" si="13"/>
        <v>31</v>
      </c>
      <c r="AJ28">
        <f t="shared" si="18"/>
        <v>1</v>
      </c>
    </row>
    <row r="29" spans="1:36" x14ac:dyDescent="0.25">
      <c r="A29" s="5" t="s">
        <v>39</v>
      </c>
      <c r="B29" s="5" t="s">
        <v>28</v>
      </c>
      <c r="C29" s="5" t="str">
        <f t="shared" si="0"/>
        <v>description,dailCompDescCenobite27,</v>
      </c>
      <c r="D29" s="5" t="str">
        <f t="shared" si="2"/>
        <v>itemText,dailCompTextCenobite27,</v>
      </c>
      <c r="E29" s="5" t="str">
        <f t="shared" si="14"/>
        <v>augmentSkillLevel1,1,</v>
      </c>
      <c r="F29" s="5" t="str">
        <f t="shared" si="15"/>
        <v>augmentSkillName1,records/skills/playerclass28/healing_mod2.dbr,</v>
      </c>
      <c r="G29" s="7">
        <f t="shared" si="10"/>
        <v>27</v>
      </c>
      <c r="H29" s="8" t="str">
        <f t="shared" si="11"/>
        <v>Cenobite</v>
      </c>
      <c r="I29" s="3" t="s">
        <v>483</v>
      </c>
      <c r="J29" s="8" t="str">
        <f t="shared" si="20"/>
        <v>class0028</v>
      </c>
      <c r="K29" s="8" t="str">
        <f t="shared" si="20"/>
        <v>dailoneskill0028</v>
      </c>
      <c r="L29" s="5" t="str">
        <f t="shared" si="4"/>
        <v>lootName27,DAIL/items/materia/class0028/Cenobite27.dbr,</v>
      </c>
      <c r="M29" s="5" t="str">
        <f t="shared" si="5"/>
        <v>lootWeight27,1,</v>
      </c>
      <c r="N29" t="str">
        <f t="shared" si="6"/>
        <v>1</v>
      </c>
      <c r="O29" t="str">
        <f t="shared" si="16"/>
        <v>copy .\dail_base.dbr .\items\materia\class0028\Cenobite27.dbr /y</v>
      </c>
      <c r="P29" t="str">
        <f t="shared" si="7"/>
        <v>echo relicBitmap,items/craftingparts/components/component_a52_bristlyfur_b.tex, &gt;&gt; .\items\materia\class0028\Cenobite27.dbr</v>
      </c>
      <c r="Q29" t="str">
        <f t="shared" si="7"/>
        <v>echo itemCost,300000, &gt;&gt; .\items\materia\class0028\Cenobite27.dbr</v>
      </c>
      <c r="R29" t="str">
        <f t="shared" si="7"/>
        <v>echo description,dailCompDescCenobite27, &gt;&gt; .\items\materia\class0028\Cenobite27.dbr</v>
      </c>
      <c r="S29" t="str">
        <f t="shared" si="7"/>
        <v>echo itemText,dailCompTextCenobite27, &gt;&gt; .\items\materia\class0028\Cenobite27.dbr</v>
      </c>
      <c r="T29" t="str">
        <f t="shared" si="7"/>
        <v>echo augmentSkillLevel1,1, &gt;&gt; .\items\materia\class0028\Cenobite27.dbr</v>
      </c>
      <c r="U29" t="str">
        <f t="shared" si="7"/>
        <v>echo augmentSkillName1,records/skills/playerclass28/healing_mod2.dbr, &gt;&gt; .\items\materia\class0028\Cenobite27.dbr</v>
      </c>
      <c r="V29" s="5" t="s">
        <v>36</v>
      </c>
      <c r="W29" t="str">
        <f t="shared" si="8"/>
        <v>echo lootName27,DAIL/items/materia/class0028/Cenobite27.dbr, &gt;&gt; .\items\loottables\dailoneskill0028.dbr</v>
      </c>
      <c r="X29" t="str">
        <f t="shared" si="8"/>
        <v>echo lootWeight27,1, &gt;&gt; .\items\loottables\dailoneskill0028.dbr</v>
      </c>
      <c r="Y29" s="5" t="s">
        <v>36</v>
      </c>
      <c r="Z29" t="str">
        <f t="shared" si="9"/>
        <v xml:space="preserve"> dailCompDescCenobite27=^pCenobite's Gift of DAIL</v>
      </c>
      <c r="AA29" t="str">
        <f t="shared" si="17"/>
        <v>dailCompTextCenobite27=^oThis feels warm to the touch, almost familiar ^w(This component fits into all Jewellery slots including the Belt And Shoulder)</v>
      </c>
      <c r="AB29" s="5" t="s">
        <v>36</v>
      </c>
      <c r="AH29">
        <f t="shared" si="19"/>
        <v>24</v>
      </c>
      <c r="AI29">
        <f t="shared" si="13"/>
        <v>31</v>
      </c>
      <c r="AJ29">
        <f t="shared" si="18"/>
        <v>1</v>
      </c>
    </row>
    <row r="30" spans="1:36" x14ac:dyDescent="0.25">
      <c r="A30" s="5" t="s">
        <v>39</v>
      </c>
      <c r="B30" s="5" t="s">
        <v>28</v>
      </c>
      <c r="C30" s="5" t="str">
        <f t="shared" si="0"/>
        <v>description,dailCompDescCenobite28,</v>
      </c>
      <c r="D30" s="5" t="str">
        <f t="shared" si="2"/>
        <v>itemText,dailCompTextCenobite28,</v>
      </c>
      <c r="E30" s="5" t="str">
        <f t="shared" si="14"/>
        <v>augmentSkillLevel1,1,</v>
      </c>
      <c r="F30" s="5" t="str">
        <f t="shared" si="15"/>
        <v>augmentSkillName1,records/skills/playerclass28/punishment.dbr,</v>
      </c>
      <c r="G30" s="7">
        <f t="shared" si="10"/>
        <v>28</v>
      </c>
      <c r="H30" s="8" t="str">
        <f t="shared" si="11"/>
        <v>Cenobite</v>
      </c>
      <c r="I30" s="3" t="s">
        <v>238</v>
      </c>
      <c r="J30" s="8" t="str">
        <f t="shared" si="20"/>
        <v>class0028</v>
      </c>
      <c r="K30" s="8" t="str">
        <f t="shared" si="20"/>
        <v>dailoneskill0028</v>
      </c>
      <c r="L30" s="5" t="str">
        <f t="shared" si="4"/>
        <v>lootName28,DAIL/items/materia/class0028/Cenobite28.dbr,</v>
      </c>
      <c r="M30" s="5" t="str">
        <f t="shared" si="5"/>
        <v>lootWeight28,1,</v>
      </c>
      <c r="N30" t="str">
        <f t="shared" si="6"/>
        <v>1</v>
      </c>
      <c r="O30" t="str">
        <f t="shared" si="16"/>
        <v>copy .\dail_base.dbr .\items\materia\class0028\Cenobite28.dbr /y</v>
      </c>
      <c r="P30" t="str">
        <f t="shared" si="7"/>
        <v>echo relicBitmap,items/craftingparts/components/component_a52_bristlyfur_b.tex, &gt;&gt; .\items\materia\class0028\Cenobite28.dbr</v>
      </c>
      <c r="Q30" t="str">
        <f t="shared" si="7"/>
        <v>echo itemCost,300000, &gt;&gt; .\items\materia\class0028\Cenobite28.dbr</v>
      </c>
      <c r="R30" t="str">
        <f t="shared" si="7"/>
        <v>echo description,dailCompDescCenobite28, &gt;&gt; .\items\materia\class0028\Cenobite28.dbr</v>
      </c>
      <c r="S30" t="str">
        <f t="shared" si="7"/>
        <v>echo itemText,dailCompTextCenobite28, &gt;&gt; .\items\materia\class0028\Cenobite28.dbr</v>
      </c>
      <c r="T30" t="str">
        <f t="shared" si="7"/>
        <v>echo augmentSkillLevel1,1, &gt;&gt; .\items\materia\class0028\Cenobite28.dbr</v>
      </c>
      <c r="U30" t="str">
        <f t="shared" si="7"/>
        <v>echo augmentSkillName1,records/skills/playerclass28/punishment.dbr, &gt;&gt; .\items\materia\class0028\Cenobite28.dbr</v>
      </c>
      <c r="V30" s="5" t="s">
        <v>36</v>
      </c>
      <c r="W30" t="str">
        <f t="shared" si="8"/>
        <v>echo lootName28,DAIL/items/materia/class0028/Cenobite28.dbr, &gt;&gt; .\items\loottables\dailoneskill0028.dbr</v>
      </c>
      <c r="X30" t="str">
        <f t="shared" si="8"/>
        <v>echo lootWeight28,1, &gt;&gt; .\items\loottables\dailoneskill0028.dbr</v>
      </c>
      <c r="Y30" s="5" t="s">
        <v>36</v>
      </c>
      <c r="Z30" t="str">
        <f t="shared" si="9"/>
        <v xml:space="preserve"> dailCompDescCenobite28=^pCenobite's Gift of DAIL</v>
      </c>
      <c r="AA30" t="str">
        <f t="shared" si="17"/>
        <v>dailCompTextCenobite28=^oThis feels warm to the touch, almost familiar ^w(This component fits into all Jewellery slots including the Belt And Shoulder)</v>
      </c>
      <c r="AB30" s="5" t="s">
        <v>36</v>
      </c>
      <c r="AH30">
        <f t="shared" si="19"/>
        <v>25</v>
      </c>
      <c r="AI30">
        <f t="shared" si="13"/>
        <v>29</v>
      </c>
      <c r="AJ30">
        <f t="shared" si="18"/>
        <v>1</v>
      </c>
    </row>
    <row r="31" spans="1:36" x14ac:dyDescent="0.25">
      <c r="A31" s="5" t="s">
        <v>39</v>
      </c>
      <c r="B31" s="5" t="s">
        <v>28</v>
      </c>
      <c r="C31" s="5" t="str">
        <f t="shared" si="0"/>
        <v>description,dailCompDescCenobite29,</v>
      </c>
      <c r="D31" s="5" t="str">
        <f t="shared" si="2"/>
        <v>itemText,dailCompTextCenobite29,</v>
      </c>
      <c r="E31" s="5" t="str">
        <f t="shared" si="14"/>
        <v>augmentSkillLevel1,1,</v>
      </c>
      <c r="F31" s="5" t="str">
        <f t="shared" si="15"/>
        <v>augmentSkillName1,records/skills/playerclass28/punishment_mod.dbr,</v>
      </c>
      <c r="G31" s="7">
        <f t="shared" si="10"/>
        <v>29</v>
      </c>
      <c r="H31" s="8" t="str">
        <f t="shared" si="11"/>
        <v>Cenobite</v>
      </c>
      <c r="I31" s="3" t="s">
        <v>484</v>
      </c>
      <c r="J31" s="8" t="str">
        <f t="shared" si="20"/>
        <v>class0028</v>
      </c>
      <c r="K31" s="8" t="str">
        <f t="shared" si="20"/>
        <v>dailoneskill0028</v>
      </c>
      <c r="L31" s="5" t="str">
        <f t="shared" si="4"/>
        <v>lootName29,DAIL/items/materia/class0028/Cenobite29.dbr,</v>
      </c>
      <c r="M31" s="5" t="str">
        <f t="shared" si="5"/>
        <v>lootWeight29,1,</v>
      </c>
      <c r="N31" t="str">
        <f t="shared" si="6"/>
        <v>1</v>
      </c>
      <c r="O31" t="str">
        <f t="shared" si="16"/>
        <v>copy .\dail_base.dbr .\items\materia\class0028\Cenobite29.dbr /y</v>
      </c>
      <c r="P31" t="str">
        <f t="shared" si="7"/>
        <v>echo relicBitmap,items/craftingparts/components/component_a52_bristlyfur_b.tex, &gt;&gt; .\items\materia\class0028\Cenobite29.dbr</v>
      </c>
      <c r="Q31" t="str">
        <f t="shared" si="7"/>
        <v>echo itemCost,300000, &gt;&gt; .\items\materia\class0028\Cenobite29.dbr</v>
      </c>
      <c r="R31" t="str">
        <f t="shared" si="7"/>
        <v>echo description,dailCompDescCenobite29, &gt;&gt; .\items\materia\class0028\Cenobite29.dbr</v>
      </c>
      <c r="S31" t="str">
        <f t="shared" si="7"/>
        <v>echo itemText,dailCompTextCenobite29, &gt;&gt; .\items\materia\class0028\Cenobite29.dbr</v>
      </c>
      <c r="T31" t="str">
        <f t="shared" si="7"/>
        <v>echo augmentSkillLevel1,1, &gt;&gt; .\items\materia\class0028\Cenobite29.dbr</v>
      </c>
      <c r="U31" t="str">
        <f t="shared" si="7"/>
        <v>echo augmentSkillName1,records/skills/playerclass28/punishment_mod.dbr, &gt;&gt; .\items\materia\class0028\Cenobite29.dbr</v>
      </c>
      <c r="V31" s="5" t="s">
        <v>36</v>
      </c>
      <c r="W31" t="str">
        <f t="shared" si="8"/>
        <v>echo lootName29,DAIL/items/materia/class0028/Cenobite29.dbr, &gt;&gt; .\items\loottables\dailoneskill0028.dbr</v>
      </c>
      <c r="X31" t="str">
        <f t="shared" si="8"/>
        <v>echo lootWeight29,1, &gt;&gt; .\items\loottables\dailoneskill0028.dbr</v>
      </c>
      <c r="Y31" s="5" t="s">
        <v>36</v>
      </c>
      <c r="Z31" t="str">
        <f t="shared" si="9"/>
        <v xml:space="preserve"> dailCompDescCenobite29=^pCenobite's Gift of DAIL</v>
      </c>
      <c r="AA31" t="str">
        <f t="shared" si="17"/>
        <v>dailCompTextCenobite29=^oThis feels warm to the touch, almost familiar ^w(This component fits into all Jewellery slots including the Belt And Shoulder)</v>
      </c>
      <c r="AB31" s="5" t="s">
        <v>36</v>
      </c>
      <c r="AH31">
        <f t="shared" si="19"/>
        <v>26</v>
      </c>
      <c r="AI31">
        <f t="shared" si="13"/>
        <v>33</v>
      </c>
      <c r="AJ31">
        <f t="shared" si="18"/>
        <v>1</v>
      </c>
    </row>
    <row r="32" spans="1:36" x14ac:dyDescent="0.25">
      <c r="A32" s="5" t="s">
        <v>39</v>
      </c>
      <c r="B32" s="5" t="s">
        <v>30</v>
      </c>
      <c r="C32" s="5" t="str">
        <f t="shared" si="0"/>
        <v>description,dailCompDescCenobite30,</v>
      </c>
      <c r="D32" s="5" t="str">
        <f t="shared" si="2"/>
        <v>itemText,dailCompTextCenobite30,</v>
      </c>
      <c r="E32" s="5" t="str">
        <f t="shared" si="14"/>
        <v>augmentSkillLevel1,1,</v>
      </c>
      <c r="F32" s="5" t="str">
        <f t="shared" si="15"/>
        <v>augmentSkillName1,records/skills/playerclass28/hammer_mod1.dbr,</v>
      </c>
      <c r="G32" s="7">
        <f t="shared" si="10"/>
        <v>30</v>
      </c>
      <c r="H32" s="8" t="str">
        <f t="shared" si="11"/>
        <v>Cenobite</v>
      </c>
      <c r="I32" s="3" t="s">
        <v>485</v>
      </c>
      <c r="J32" s="8" t="str">
        <f t="shared" si="20"/>
        <v>class0028</v>
      </c>
      <c r="K32" s="8" t="str">
        <f t="shared" si="20"/>
        <v>dailoneskill0028</v>
      </c>
      <c r="L32" s="5" t="str">
        <f t="shared" si="4"/>
        <v>lootName30,DAIL/items/materia/class0028/Cenobite30.dbr,</v>
      </c>
      <c r="M32" s="5" t="str">
        <f t="shared" si="5"/>
        <v>lootWeight30,1,</v>
      </c>
      <c r="N32" t="str">
        <f t="shared" si="6"/>
        <v>1</v>
      </c>
      <c r="O32" t="str">
        <f t="shared" si="16"/>
        <v>copy .\dail_base.dbr .\items\materia\class0028\Cenobite30.dbr /y</v>
      </c>
      <c r="P32" t="str">
        <f t="shared" si="7"/>
        <v>echo relicBitmap,items/craftingparts/components/component_a52_bristlyfur_b.tex, &gt;&gt; .\items\materia\class0028\Cenobite30.dbr</v>
      </c>
      <c r="Q32" t="str">
        <f t="shared" si="7"/>
        <v>echo itemCost,500000, &gt;&gt; .\items\materia\class0028\Cenobite30.dbr</v>
      </c>
      <c r="R32" t="str">
        <f t="shared" si="7"/>
        <v>echo description,dailCompDescCenobite30, &gt;&gt; .\items\materia\class0028\Cenobite30.dbr</v>
      </c>
      <c r="S32" t="str">
        <f t="shared" si="7"/>
        <v>echo itemText,dailCompTextCenobite30, &gt;&gt; .\items\materia\class0028\Cenobite30.dbr</v>
      </c>
      <c r="T32" t="str">
        <f t="shared" si="7"/>
        <v>echo augmentSkillLevel1,1, &gt;&gt; .\items\materia\class0028\Cenobite30.dbr</v>
      </c>
      <c r="U32" t="str">
        <f t="shared" si="7"/>
        <v>echo augmentSkillName1,records/skills/playerclass28/hammer_mod1.dbr, &gt;&gt; .\items\materia\class0028\Cenobite30.dbr</v>
      </c>
      <c r="V32" s="5" t="s">
        <v>36</v>
      </c>
      <c r="W32" t="str">
        <f t="shared" si="8"/>
        <v>echo lootName30,DAIL/items/materia/class0028/Cenobite30.dbr, &gt;&gt; .\items\loottables\dailoneskill0028.dbr</v>
      </c>
      <c r="X32" t="str">
        <f t="shared" si="8"/>
        <v>echo lootWeight30,1, &gt;&gt; .\items\loottables\dailoneskill0028.dbr</v>
      </c>
      <c r="Y32" s="5" t="s">
        <v>36</v>
      </c>
      <c r="Z32" t="str">
        <f t="shared" si="9"/>
        <v xml:space="preserve"> dailCompDescCenobite30=^pCenobite's Gift of DAIL</v>
      </c>
      <c r="AA32" t="str">
        <f t="shared" si="17"/>
        <v>dailCompTextCenobite30=^oThis feels warm to the touch, almost familiar ^w(This component fits into all Jewellery slots including the Belt And Shoulder)</v>
      </c>
      <c r="AB32" s="5" t="s">
        <v>36</v>
      </c>
      <c r="AH32">
        <f t="shared" si="19"/>
        <v>27</v>
      </c>
      <c r="AI32">
        <f t="shared" si="13"/>
        <v>30</v>
      </c>
      <c r="AJ32">
        <f t="shared" si="18"/>
        <v>1</v>
      </c>
    </row>
    <row r="33" spans="1:36" x14ac:dyDescent="0.25">
      <c r="A33" s="5" t="s">
        <v>39</v>
      </c>
      <c r="B33" s="5" t="s">
        <v>30</v>
      </c>
      <c r="C33" s="5" t="str">
        <f t="shared" si="0"/>
        <v>description,dailCompDescCenobite31,</v>
      </c>
      <c r="D33" s="5" t="str">
        <f t="shared" si="2"/>
        <v>itemText,dailCompTextCenobite31,</v>
      </c>
      <c r="E33" s="5" t="str">
        <f t="shared" si="14"/>
        <v>augmentSkillLevel1,1,</v>
      </c>
      <c r="F33" s="5" t="str">
        <f t="shared" si="15"/>
        <v>augmentSkillName1,records/skills/playerclass28/hammer_mod2.dbr,</v>
      </c>
      <c r="G33" s="7">
        <f t="shared" si="10"/>
        <v>31</v>
      </c>
      <c r="H33" s="8" t="str">
        <f t="shared" si="11"/>
        <v>Cenobite</v>
      </c>
      <c r="I33" s="3" t="s">
        <v>486</v>
      </c>
      <c r="J33" s="8" t="str">
        <f t="shared" si="20"/>
        <v>class0028</v>
      </c>
      <c r="K33" s="8" t="str">
        <f t="shared" si="20"/>
        <v>dailoneskill0028</v>
      </c>
      <c r="L33" s="5" t="str">
        <f t="shared" si="4"/>
        <v>lootName31,DAIL/items/materia/class0028/Cenobite31.dbr,</v>
      </c>
      <c r="M33" s="5" t="str">
        <f t="shared" si="5"/>
        <v>lootWeight31,1,</v>
      </c>
      <c r="N33" t="str">
        <f t="shared" si="6"/>
        <v>1</v>
      </c>
      <c r="O33" t="str">
        <f t="shared" si="16"/>
        <v>copy .\dail_base.dbr .\items\materia\class0028\Cenobite31.dbr /y</v>
      </c>
      <c r="P33" t="str">
        <f t="shared" si="7"/>
        <v>echo relicBitmap,items/craftingparts/components/component_a52_bristlyfur_b.tex, &gt;&gt; .\items\materia\class0028\Cenobite31.dbr</v>
      </c>
      <c r="Q33" t="str">
        <f t="shared" si="7"/>
        <v>echo itemCost,500000, &gt;&gt; .\items\materia\class0028\Cenobite31.dbr</v>
      </c>
      <c r="R33" t="str">
        <f t="shared" si="7"/>
        <v>echo description,dailCompDescCenobite31, &gt;&gt; .\items\materia\class0028\Cenobite31.dbr</v>
      </c>
      <c r="S33" t="str">
        <f t="shared" si="7"/>
        <v>echo itemText,dailCompTextCenobite31, &gt;&gt; .\items\materia\class0028\Cenobite31.dbr</v>
      </c>
      <c r="T33" t="str">
        <f t="shared" si="7"/>
        <v>echo augmentSkillLevel1,1, &gt;&gt; .\items\materia\class0028\Cenobite31.dbr</v>
      </c>
      <c r="U33" t="str">
        <f t="shared" si="7"/>
        <v>echo augmentSkillName1,records/skills/playerclass28/hammer_mod2.dbr, &gt;&gt; .\items\materia\class0028\Cenobite31.dbr</v>
      </c>
      <c r="V33" s="5" t="s">
        <v>36</v>
      </c>
      <c r="W33" t="str">
        <f t="shared" si="8"/>
        <v>echo lootName31,DAIL/items/materia/class0028/Cenobite31.dbr, &gt;&gt; .\items\loottables\dailoneskill0028.dbr</v>
      </c>
      <c r="X33" t="str">
        <f t="shared" si="8"/>
        <v>echo lootWeight31,1, &gt;&gt; .\items\loottables\dailoneskill0028.dbr</v>
      </c>
      <c r="Y33" s="5" t="s">
        <v>36</v>
      </c>
      <c r="Z33" t="str">
        <f t="shared" si="9"/>
        <v xml:space="preserve"> dailCompDescCenobite31=^pCenobite's Gift of DAIL</v>
      </c>
      <c r="AA33" t="str">
        <f t="shared" si="17"/>
        <v>dailCompTextCenobite31=^oThis feels warm to the touch, almost familiar ^w(This component fits into all Jewellery slots including the Belt And Shoulder)</v>
      </c>
      <c r="AB33" s="5" t="s">
        <v>36</v>
      </c>
      <c r="AH33">
        <f t="shared" si="19"/>
        <v>28</v>
      </c>
      <c r="AI33">
        <f t="shared" si="13"/>
        <v>30</v>
      </c>
      <c r="AJ33">
        <f t="shared" si="18"/>
        <v>1</v>
      </c>
    </row>
    <row r="34" spans="1:36" x14ac:dyDescent="0.25">
      <c r="A34" s="5" t="s">
        <v>39</v>
      </c>
      <c r="B34" s="5" t="s">
        <v>30</v>
      </c>
      <c r="C34" s="5" t="str">
        <f t="shared" si="0"/>
        <v>description,dailCompDescCenobite32,</v>
      </c>
      <c r="D34" s="5" t="str">
        <f t="shared" si="2"/>
        <v>itemText,dailCompTextCenobite32,</v>
      </c>
      <c r="E34" s="5" t="str">
        <f t="shared" si="14"/>
        <v>augmentSkillLevel1,1,</v>
      </c>
      <c r="F34" s="5" t="str">
        <f t="shared" si="15"/>
        <v>augmentSkillName1,records/skills/playerclass28/passive01.dbr,</v>
      </c>
      <c r="G34" s="7">
        <f t="shared" si="10"/>
        <v>32</v>
      </c>
      <c r="H34" s="8" t="str">
        <f t="shared" si="11"/>
        <v>Cenobite</v>
      </c>
      <c r="I34" s="3" t="s">
        <v>235</v>
      </c>
      <c r="J34" s="8" t="str">
        <f t="shared" si="20"/>
        <v>class0028</v>
      </c>
      <c r="K34" s="8" t="str">
        <f t="shared" si="20"/>
        <v>dailoneskill0028</v>
      </c>
      <c r="L34" s="5" t="str">
        <f t="shared" si="4"/>
        <v>lootName32,DAIL/items/materia/class0028/Cenobite32.dbr,</v>
      </c>
      <c r="M34" s="5" t="str">
        <f t="shared" si="5"/>
        <v>lootWeight32,1,</v>
      </c>
      <c r="N34" t="str">
        <f t="shared" si="6"/>
        <v>1</v>
      </c>
      <c r="O34" t="str">
        <f t="shared" si="16"/>
        <v>copy .\dail_base.dbr .\items\materia\class0028\Cenobite32.dbr /y</v>
      </c>
      <c r="P34" t="str">
        <f t="shared" si="7"/>
        <v>echo relicBitmap,items/craftingparts/components/component_a52_bristlyfur_b.tex, &gt;&gt; .\items\materia\class0028\Cenobite32.dbr</v>
      </c>
      <c r="Q34" t="str">
        <f t="shared" si="7"/>
        <v>echo itemCost,500000, &gt;&gt; .\items\materia\class0028\Cenobite32.dbr</v>
      </c>
      <c r="R34" t="str">
        <f t="shared" si="7"/>
        <v>echo description,dailCompDescCenobite32, &gt;&gt; .\items\materia\class0028\Cenobite32.dbr</v>
      </c>
      <c r="S34" t="str">
        <f t="shared" si="7"/>
        <v>echo itemText,dailCompTextCenobite32, &gt;&gt; .\items\materia\class0028\Cenobite32.dbr</v>
      </c>
      <c r="T34" t="str">
        <f t="shared" si="7"/>
        <v>echo augmentSkillLevel1,1, &gt;&gt; .\items\materia\class0028\Cenobite32.dbr</v>
      </c>
      <c r="U34" t="str">
        <f t="shared" si="7"/>
        <v>echo augmentSkillName1,records/skills/playerclass28/passive01.dbr, &gt;&gt; .\items\materia\class0028\Cenobite32.dbr</v>
      </c>
      <c r="V34" s="5" t="s">
        <v>36</v>
      </c>
      <c r="W34" t="str">
        <f t="shared" si="8"/>
        <v>echo lootName32,DAIL/items/materia/class0028/Cenobite32.dbr, &gt;&gt; .\items\loottables\dailoneskill0028.dbr</v>
      </c>
      <c r="X34" t="str">
        <f t="shared" si="8"/>
        <v>echo lootWeight32,1, &gt;&gt; .\items\loottables\dailoneskill0028.dbr</v>
      </c>
      <c r="Y34" s="5" t="s">
        <v>36</v>
      </c>
      <c r="Z34" t="str">
        <f t="shared" si="9"/>
        <v xml:space="preserve"> dailCompDescCenobite32=^pCenobite's Gift of DAIL</v>
      </c>
      <c r="AA34" t="str">
        <f t="shared" si="17"/>
        <v>dailCompTextCenobite32=^oThis feels warm to the touch, almost familiar ^w(This component fits into all Jewellery slots including the Belt And Shoulder)</v>
      </c>
      <c r="AB34" s="5" t="s">
        <v>36</v>
      </c>
      <c r="AH34">
        <f t="shared" si="19"/>
        <v>29</v>
      </c>
      <c r="AI34">
        <f t="shared" si="13"/>
        <v>28</v>
      </c>
      <c r="AJ34">
        <f t="shared" si="18"/>
        <v>1</v>
      </c>
    </row>
    <row r="35" spans="1:36" x14ac:dyDescent="0.25">
      <c r="A35" s="5" t="s">
        <v>39</v>
      </c>
      <c r="B35" s="5" t="s">
        <v>30</v>
      </c>
      <c r="C35" s="5" t="str">
        <f t="shared" si="0"/>
        <v>description,dailCompDescCenobite33,</v>
      </c>
      <c r="D35" s="5" t="str">
        <f t="shared" si="2"/>
        <v>itemText,dailCompTextCenobite33,</v>
      </c>
      <c r="E35" s="5" t="str">
        <f t="shared" si="14"/>
        <v>augmentSkillLevel1,1,</v>
      </c>
      <c r="F35" s="5" t="str">
        <f t="shared" si="15"/>
        <v>augmentSkillName1,records/skills/playerclass28/sunray.dbr,</v>
      </c>
      <c r="G35" s="7">
        <f t="shared" si="10"/>
        <v>33</v>
      </c>
      <c r="H35" s="8" t="str">
        <f t="shared" si="11"/>
        <v>Cenobite</v>
      </c>
      <c r="I35" s="3" t="s">
        <v>244</v>
      </c>
      <c r="J35" s="8" t="str">
        <f t="shared" si="20"/>
        <v>class0028</v>
      </c>
      <c r="K35" s="8" t="str">
        <f t="shared" si="20"/>
        <v>dailoneskill0028</v>
      </c>
      <c r="L35" s="5" t="str">
        <f t="shared" si="4"/>
        <v>lootName33,DAIL/items/materia/class0028/Cenobite33.dbr,</v>
      </c>
      <c r="M35" s="5" t="str">
        <f t="shared" si="5"/>
        <v>lootWeight33,1,</v>
      </c>
      <c r="N35" t="str">
        <f t="shared" si="6"/>
        <v>1</v>
      </c>
      <c r="O35" t="str">
        <f t="shared" si="16"/>
        <v>copy .\dail_base.dbr .\items\materia\class0028\Cenobite33.dbr /y</v>
      </c>
      <c r="P35" t="str">
        <f t="shared" si="7"/>
        <v>echo relicBitmap,items/craftingparts/components/component_a52_bristlyfur_b.tex, &gt;&gt; .\items\materia\class0028\Cenobite33.dbr</v>
      </c>
      <c r="Q35" t="str">
        <f t="shared" si="7"/>
        <v>echo itemCost,500000, &gt;&gt; .\items\materia\class0028\Cenobite33.dbr</v>
      </c>
      <c r="R35" t="str">
        <f t="shared" si="7"/>
        <v>echo description,dailCompDescCenobite33, &gt;&gt; .\items\materia\class0028\Cenobite33.dbr</v>
      </c>
      <c r="S35" t="str">
        <f t="shared" si="7"/>
        <v>echo itemText,dailCompTextCenobite33, &gt;&gt; .\items\materia\class0028\Cenobite33.dbr</v>
      </c>
      <c r="T35" t="str">
        <f t="shared" si="7"/>
        <v>echo augmentSkillLevel1,1, &gt;&gt; .\items\materia\class0028\Cenobite33.dbr</v>
      </c>
      <c r="U35" t="str">
        <f t="shared" si="7"/>
        <v>echo augmentSkillName1,records/skills/playerclass28/sunray.dbr, &gt;&gt; .\items\materia\class0028\Cenobite33.dbr</v>
      </c>
      <c r="V35" s="5" t="s">
        <v>36</v>
      </c>
      <c r="W35" t="str">
        <f t="shared" si="8"/>
        <v>echo lootName33,DAIL/items/materia/class0028/Cenobite33.dbr, &gt;&gt; .\items\loottables\dailoneskill0028.dbr</v>
      </c>
      <c r="X35" t="str">
        <f t="shared" si="8"/>
        <v>echo lootWeight33,1, &gt;&gt; .\items\loottables\dailoneskill0028.dbr</v>
      </c>
      <c r="Y35" s="5" t="s">
        <v>36</v>
      </c>
      <c r="Z35" t="str">
        <f t="shared" si="9"/>
        <v xml:space="preserve"> dailCompDescCenobite33=^pCenobite's Gift of DAIL</v>
      </c>
      <c r="AA35" t="str">
        <f t="shared" si="17"/>
        <v>dailCompTextCenobite33=^oThis feels warm to the touch, almost familiar ^w(This component fits into all Jewellery slots including the Belt And Shoulder)</v>
      </c>
      <c r="AB35" s="5" t="s">
        <v>36</v>
      </c>
      <c r="AH35">
        <f t="shared" si="19"/>
        <v>30</v>
      </c>
      <c r="AI35">
        <f t="shared" si="13"/>
        <v>25</v>
      </c>
      <c r="AJ35">
        <f t="shared" si="18"/>
        <v>1</v>
      </c>
    </row>
    <row r="36" spans="1:36" x14ac:dyDescent="0.25">
      <c r="A36" s="5" t="s">
        <v>39</v>
      </c>
      <c r="B36" s="5" t="s">
        <v>30</v>
      </c>
      <c r="C36" s="5" t="str">
        <f t="shared" si="0"/>
        <v>description,dailCompDescCenobite34,</v>
      </c>
      <c r="D36" s="5" t="str">
        <f t="shared" si="2"/>
        <v>itemText,dailCompTextCenobite34,</v>
      </c>
      <c r="E36" s="5" t="str">
        <f t="shared" si="14"/>
        <v>augmentSkillLevel1,1,</v>
      </c>
      <c r="F36" s="5" t="str">
        <f t="shared" si="15"/>
        <v>augmentSkillName1,records/skills/playerclass28/sunray_mod1.dbr,</v>
      </c>
      <c r="G36" s="7">
        <f t="shared" si="10"/>
        <v>34</v>
      </c>
      <c r="H36" s="8" t="str">
        <f t="shared" si="11"/>
        <v>Cenobite</v>
      </c>
      <c r="I36" s="3" t="s">
        <v>487</v>
      </c>
      <c r="J36" s="8" t="str">
        <f t="shared" si="20"/>
        <v>class0028</v>
      </c>
      <c r="K36" s="8" t="str">
        <f t="shared" si="20"/>
        <v>dailoneskill0028</v>
      </c>
      <c r="L36" s="5" t="str">
        <f t="shared" si="4"/>
        <v>lootName34,DAIL/items/materia/class0028/Cenobite34.dbr,</v>
      </c>
      <c r="M36" s="5" t="str">
        <f t="shared" si="5"/>
        <v>lootWeight34,1,</v>
      </c>
      <c r="N36" t="str">
        <f t="shared" si="6"/>
        <v>1</v>
      </c>
      <c r="O36" t="str">
        <f t="shared" si="16"/>
        <v>copy .\dail_base.dbr .\items\materia\class0028\Cenobite34.dbr /y</v>
      </c>
      <c r="P36" t="str">
        <f t="shared" si="7"/>
        <v>echo relicBitmap,items/craftingparts/components/component_a52_bristlyfur_b.tex, &gt;&gt; .\items\materia\class0028\Cenobite34.dbr</v>
      </c>
      <c r="Q36" t="str">
        <f t="shared" si="7"/>
        <v>echo itemCost,500000, &gt;&gt; .\items\materia\class0028\Cenobite34.dbr</v>
      </c>
      <c r="R36" t="str">
        <f t="shared" si="7"/>
        <v>echo description,dailCompDescCenobite34, &gt;&gt; .\items\materia\class0028\Cenobite34.dbr</v>
      </c>
      <c r="S36" t="str">
        <f t="shared" si="7"/>
        <v>echo itemText,dailCompTextCenobite34, &gt;&gt; .\items\materia\class0028\Cenobite34.dbr</v>
      </c>
      <c r="T36" t="str">
        <f t="shared" si="7"/>
        <v>echo augmentSkillLevel1,1, &gt;&gt; .\items\materia\class0028\Cenobite34.dbr</v>
      </c>
      <c r="U36" t="str">
        <f t="shared" si="7"/>
        <v>echo augmentSkillName1,records/skills/playerclass28/sunray_mod1.dbr, &gt;&gt; .\items\materia\class0028\Cenobite34.dbr</v>
      </c>
      <c r="V36" s="5" t="s">
        <v>36</v>
      </c>
      <c r="W36" t="str">
        <f t="shared" si="8"/>
        <v>echo lootName34,DAIL/items/materia/class0028/Cenobite34.dbr, &gt;&gt; .\items\loottables\dailoneskill0028.dbr</v>
      </c>
      <c r="X36" t="str">
        <f t="shared" si="8"/>
        <v>echo lootWeight34,1, &gt;&gt; .\items\loottables\dailoneskill0028.dbr</v>
      </c>
      <c r="Y36" s="5" t="s">
        <v>36</v>
      </c>
      <c r="Z36" t="str">
        <f t="shared" si="9"/>
        <v xml:space="preserve"> dailCompDescCenobite34=^pCenobite's Gift of DAIL</v>
      </c>
      <c r="AA36" t="str">
        <f t="shared" si="17"/>
        <v>dailCompTextCenobite34=^oThis feels warm to the touch, almost familiar ^w(This component fits into all Jewellery slots including the Belt And Shoulder)</v>
      </c>
      <c r="AB36" s="5" t="s">
        <v>36</v>
      </c>
      <c r="AH36">
        <f t="shared" si="19"/>
        <v>31</v>
      </c>
      <c r="AI36">
        <f t="shared" si="13"/>
        <v>30</v>
      </c>
      <c r="AJ36">
        <f t="shared" si="18"/>
        <v>1</v>
      </c>
    </row>
    <row r="37" spans="1:36" x14ac:dyDescent="0.25">
      <c r="A37" s="5" t="s">
        <v>39</v>
      </c>
      <c r="B37" s="5" t="s">
        <v>30</v>
      </c>
      <c r="C37" s="5" t="str">
        <f t="shared" si="0"/>
        <v>description,dailCompDescCenobite35,</v>
      </c>
      <c r="D37" s="5" t="str">
        <f t="shared" si="2"/>
        <v>itemText,dailCompTextCenobite35,</v>
      </c>
      <c r="E37" s="5" t="str">
        <f t="shared" si="14"/>
        <v>augmentSkillLevel1,3,</v>
      </c>
      <c r="F37" s="5" t="str">
        <f t="shared" si="15"/>
        <v>augmentSkillName1,records/skills/playerclass28/sunray_mod2.dbr,</v>
      </c>
      <c r="G37" s="7">
        <f t="shared" si="10"/>
        <v>35</v>
      </c>
      <c r="H37" s="8" t="str">
        <f t="shared" si="11"/>
        <v>Cenobite</v>
      </c>
      <c r="I37" s="3" t="s">
        <v>488</v>
      </c>
      <c r="J37" s="8" t="str">
        <f t="shared" ref="J37:K52" si="21">J36</f>
        <v>class0028</v>
      </c>
      <c r="K37" s="8" t="str">
        <f t="shared" si="21"/>
        <v>dailoneskill0028</v>
      </c>
      <c r="L37" s="5" t="str">
        <f t="shared" si="4"/>
        <v>lootName35,DAIL/items/materia/class0028/Cenobite35.dbr,</v>
      </c>
      <c r="M37" s="5" t="str">
        <f t="shared" si="5"/>
        <v>lootWeight35,1,</v>
      </c>
      <c r="N37" t="str">
        <f t="shared" si="6"/>
        <v>3</v>
      </c>
      <c r="O37" t="str">
        <f t="shared" si="16"/>
        <v>copy .\dail_base3.dbr .\items\materia\class0028\Cenobite35.dbr /y</v>
      </c>
      <c r="P37" t="str">
        <f t="shared" si="7"/>
        <v>echo relicBitmap,items/craftingparts/components/component_a52_bristlyfur_b.tex, &gt;&gt; .\items\materia\class0028\Cenobite35.dbr</v>
      </c>
      <c r="Q37" t="str">
        <f t="shared" si="7"/>
        <v>echo itemCost,500000, &gt;&gt; .\items\materia\class0028\Cenobite35.dbr</v>
      </c>
      <c r="R37" t="str">
        <f t="shared" si="7"/>
        <v>echo description,dailCompDescCenobite35, &gt;&gt; .\items\materia\class0028\Cenobite35.dbr</v>
      </c>
      <c r="S37" t="str">
        <f t="shared" si="7"/>
        <v>echo itemText,dailCompTextCenobite35, &gt;&gt; .\items\materia\class0028\Cenobite35.dbr</v>
      </c>
      <c r="T37" t="str">
        <f t="shared" si="7"/>
        <v>echo augmentSkillLevel1,3, &gt;&gt; .\items\materia\class0028\Cenobite35.dbr</v>
      </c>
      <c r="U37" t="str">
        <f t="shared" si="7"/>
        <v>echo augmentSkillName1,records/skills/playerclass28/sunray_mod2.dbr, &gt;&gt; .\items\materia\class0028\Cenobite35.dbr</v>
      </c>
      <c r="V37" s="5" t="s">
        <v>36</v>
      </c>
      <c r="W37" t="str">
        <f t="shared" si="8"/>
        <v>echo lootName35,DAIL/items/materia/class0028/Cenobite35.dbr, &gt;&gt; .\items\loottables\dailoneskill0028.dbr</v>
      </c>
      <c r="X37" t="str">
        <f t="shared" si="8"/>
        <v>echo lootWeight35,1, &gt;&gt; .\items\loottables\dailoneskill0028.dbr</v>
      </c>
      <c r="Y37" s="5" t="s">
        <v>36</v>
      </c>
      <c r="Z37" t="str">
        <f t="shared" si="9"/>
        <v xml:space="preserve"> dailCompDescCenobite35=^pCenobite's Gift of DAIL</v>
      </c>
      <c r="AA37" t="str">
        <f t="shared" si="17"/>
        <v>dailCompTextCenobite35=^oThis feels warm to the touch, almost familiar ^w(This component only fits into the Medal Slot)</v>
      </c>
      <c r="AB37" s="5" t="s">
        <v>36</v>
      </c>
      <c r="AH37">
        <f t="shared" si="19"/>
        <v>32</v>
      </c>
      <c r="AI37">
        <f t="shared" si="13"/>
        <v>30</v>
      </c>
      <c r="AJ37">
        <f t="shared" si="18"/>
        <v>3</v>
      </c>
    </row>
    <row r="38" spans="1:36" x14ac:dyDescent="0.25">
      <c r="A38" s="5" t="s">
        <v>39</v>
      </c>
      <c r="B38" s="5" t="s">
        <v>30</v>
      </c>
      <c r="C38" s="5" t="str">
        <f t="shared" si="0"/>
        <v>description,dailCompDescCenobite36,</v>
      </c>
      <c r="D38" s="5" t="str">
        <f t="shared" si="2"/>
        <v>itemText,dailCompTextCenobite36,</v>
      </c>
      <c r="E38" s="5" t="str">
        <f t="shared" si="14"/>
        <v>augmentSkillLevel1,3,</v>
      </c>
      <c r="F38" s="5" t="str">
        <f t="shared" si="15"/>
        <v>augmentSkillName1,records/skills/playerclass28/sunnyray_tra.dbr,</v>
      </c>
      <c r="G38" s="7">
        <f t="shared" si="10"/>
        <v>36</v>
      </c>
      <c r="H38" s="8" t="str">
        <f t="shared" si="11"/>
        <v>Cenobite</v>
      </c>
      <c r="I38" s="3" t="s">
        <v>243</v>
      </c>
      <c r="J38" s="8" t="str">
        <f t="shared" si="21"/>
        <v>class0028</v>
      </c>
      <c r="K38" s="8" t="str">
        <f t="shared" si="21"/>
        <v>dailoneskill0028</v>
      </c>
      <c r="L38" s="5" t="str">
        <f t="shared" si="4"/>
        <v>lootName36,DAIL/items/materia/class0028/Cenobite36.dbr,</v>
      </c>
      <c r="M38" s="5" t="str">
        <f t="shared" si="5"/>
        <v>lootWeight36,1,</v>
      </c>
      <c r="N38" t="str">
        <f t="shared" si="6"/>
        <v>3</v>
      </c>
      <c r="O38" t="str">
        <f t="shared" si="16"/>
        <v>copy .\dail_base3.dbr .\items\materia\class0028\Cenobite36.dbr /y</v>
      </c>
      <c r="P38" t="str">
        <f t="shared" si="7"/>
        <v>echo relicBitmap,items/craftingparts/components/component_a52_bristlyfur_b.tex, &gt;&gt; .\items\materia\class0028\Cenobite36.dbr</v>
      </c>
      <c r="Q38" t="str">
        <f t="shared" si="7"/>
        <v>echo itemCost,500000, &gt;&gt; .\items\materia\class0028\Cenobite36.dbr</v>
      </c>
      <c r="R38" t="str">
        <f t="shared" si="7"/>
        <v>echo description,dailCompDescCenobite36, &gt;&gt; .\items\materia\class0028\Cenobite36.dbr</v>
      </c>
      <c r="S38" t="str">
        <f t="shared" si="7"/>
        <v>echo itemText,dailCompTextCenobite36, &gt;&gt; .\items\materia\class0028\Cenobite36.dbr</v>
      </c>
      <c r="T38" t="str">
        <f t="shared" si="7"/>
        <v>echo augmentSkillLevel1,3, &gt;&gt; .\items\materia\class0028\Cenobite36.dbr</v>
      </c>
      <c r="U38" t="str">
        <f t="shared" si="7"/>
        <v>echo augmentSkillName1,records/skills/playerclass28/sunnyray_tra.dbr, &gt;&gt; .\items\materia\class0028\Cenobite36.dbr</v>
      </c>
      <c r="V38" s="5" t="s">
        <v>36</v>
      </c>
      <c r="W38" t="str">
        <f t="shared" si="8"/>
        <v>echo lootName36,DAIL/items/materia/class0028/Cenobite36.dbr, &gt;&gt; .\items\loottables\dailoneskill0028.dbr</v>
      </c>
      <c r="X38" t="str">
        <f t="shared" si="8"/>
        <v>echo lootWeight36,1, &gt;&gt; .\items\loottables\dailoneskill0028.dbr</v>
      </c>
      <c r="Y38" s="5" t="s">
        <v>36</v>
      </c>
      <c r="Z38" t="str">
        <f t="shared" si="9"/>
        <v xml:space="preserve"> dailCompDescCenobite36=^pCenobite's Gift of DAIL</v>
      </c>
      <c r="AA38" t="str">
        <f t="shared" si="17"/>
        <v>dailCompTextCenobite36=^oThis feels warm to the touch, almost familiar ^w(This component only fits into the Medal Slot)</v>
      </c>
      <c r="AB38" s="5" t="s">
        <v>36</v>
      </c>
      <c r="AH38">
        <f t="shared" si="19"/>
        <v>33</v>
      </c>
      <c r="AI38">
        <f t="shared" ref="AI38:AI69" si="22">LEN(I38)</f>
        <v>31</v>
      </c>
      <c r="AJ38">
        <f t="shared" si="18"/>
        <v>3</v>
      </c>
    </row>
    <row r="39" spans="1:36" x14ac:dyDescent="0.25">
      <c r="A39" s="5" t="s">
        <v>39</v>
      </c>
      <c r="B39" s="5" t="s">
        <v>30</v>
      </c>
      <c r="C39" s="5" t="str">
        <f t="shared" si="0"/>
        <v>description,dailCompDescCenobite37,</v>
      </c>
      <c r="D39" s="5" t="str">
        <f t="shared" si="2"/>
        <v>itemText,dailCompTextCenobite37,</v>
      </c>
      <c r="E39" s="5" t="str">
        <f t="shared" si="14"/>
        <v>augmentSkillLevel1,3,</v>
      </c>
      <c r="F39" s="5" t="str">
        <f t="shared" si="15"/>
        <v>augmentSkillName1,records/skills/playerclass28/holy_spike.dbr,</v>
      </c>
      <c r="G39" s="7">
        <f t="shared" si="10"/>
        <v>37</v>
      </c>
      <c r="H39" s="8" t="str">
        <f t="shared" si="11"/>
        <v>Cenobite</v>
      </c>
      <c r="I39" s="3" t="s">
        <v>234</v>
      </c>
      <c r="J39" s="8" t="str">
        <f t="shared" si="21"/>
        <v>class0028</v>
      </c>
      <c r="K39" s="8" t="str">
        <f t="shared" si="21"/>
        <v>dailoneskill0028</v>
      </c>
      <c r="L39" s="5" t="str">
        <f t="shared" si="4"/>
        <v>lootName37,DAIL/items/materia/class0028/Cenobite37.dbr,</v>
      </c>
      <c r="M39" s="5" t="str">
        <f t="shared" si="5"/>
        <v>lootWeight37,1,</v>
      </c>
      <c r="N39" t="str">
        <f t="shared" si="6"/>
        <v>3</v>
      </c>
      <c r="O39" t="str">
        <f t="shared" si="16"/>
        <v>copy .\dail_base3.dbr .\items\materia\class0028\Cenobite37.dbr /y</v>
      </c>
      <c r="P39" t="str">
        <f t="shared" si="7"/>
        <v>echo relicBitmap,items/craftingparts/components/component_a52_bristlyfur_b.tex, &gt;&gt; .\items\materia\class0028\Cenobite37.dbr</v>
      </c>
      <c r="Q39" t="str">
        <f t="shared" si="7"/>
        <v>echo itemCost,500000, &gt;&gt; .\items\materia\class0028\Cenobite37.dbr</v>
      </c>
      <c r="R39" t="str">
        <f t="shared" si="7"/>
        <v>echo description,dailCompDescCenobite37, &gt;&gt; .\items\materia\class0028\Cenobite37.dbr</v>
      </c>
      <c r="S39" t="str">
        <f t="shared" si="7"/>
        <v>echo itemText,dailCompTextCenobite37, &gt;&gt; .\items\materia\class0028\Cenobite37.dbr</v>
      </c>
      <c r="T39" t="str">
        <f t="shared" si="7"/>
        <v>echo augmentSkillLevel1,3, &gt;&gt; .\items\materia\class0028\Cenobite37.dbr</v>
      </c>
      <c r="U39" t="str">
        <f t="shared" si="7"/>
        <v>echo augmentSkillName1,records/skills/playerclass28/holy_spike.dbr, &gt;&gt; .\items\materia\class0028\Cenobite37.dbr</v>
      </c>
      <c r="V39" s="5" t="s">
        <v>36</v>
      </c>
      <c r="W39" t="str">
        <f t="shared" si="8"/>
        <v>echo lootName37,DAIL/items/materia/class0028/Cenobite37.dbr, &gt;&gt; .\items\loottables\dailoneskill0028.dbr</v>
      </c>
      <c r="X39" t="str">
        <f t="shared" si="8"/>
        <v>echo lootWeight37,1, &gt;&gt; .\items\loottables\dailoneskill0028.dbr</v>
      </c>
      <c r="Y39" s="5" t="s">
        <v>36</v>
      </c>
      <c r="Z39" t="str">
        <f t="shared" si="9"/>
        <v xml:space="preserve"> dailCompDescCenobite37=^pCenobite's Gift of DAIL</v>
      </c>
      <c r="AA39" t="str">
        <f t="shared" si="17"/>
        <v>dailCompTextCenobite37=^oThis feels warm to the touch, almost familiar ^w(This component only fits into the Medal Slot)</v>
      </c>
      <c r="AB39" s="5" t="s">
        <v>36</v>
      </c>
      <c r="AH39">
        <f t="shared" si="19"/>
        <v>34</v>
      </c>
      <c r="AI39">
        <f t="shared" si="22"/>
        <v>29</v>
      </c>
      <c r="AJ39">
        <f t="shared" si="18"/>
        <v>3</v>
      </c>
    </row>
    <row r="40" spans="1:36" x14ac:dyDescent="0.25">
      <c r="A40" s="5" t="s">
        <v>39</v>
      </c>
      <c r="B40" s="5" t="s">
        <v>30</v>
      </c>
      <c r="C40" s="5" t="str">
        <f t="shared" si="0"/>
        <v>description,dailCompDescCenobite38,</v>
      </c>
      <c r="D40" s="5" t="str">
        <f t="shared" si="2"/>
        <v>itemText,dailCompTextCenobite38,</v>
      </c>
      <c r="E40" s="5" t="str">
        <f t="shared" si="14"/>
        <v>augmentSkillLevel1,3,</v>
      </c>
      <c r="F40" s="5" t="str">
        <f t="shared" si="15"/>
        <v>augmentSkillName1,records/skills/playerclass28/holy_spike_mod.dbr,</v>
      </c>
      <c r="G40" s="7">
        <f t="shared" si="10"/>
        <v>38</v>
      </c>
      <c r="H40" s="8" t="str">
        <f t="shared" si="11"/>
        <v>Cenobite</v>
      </c>
      <c r="I40" s="3" t="s">
        <v>471</v>
      </c>
      <c r="J40" s="8" t="str">
        <f t="shared" si="21"/>
        <v>class0028</v>
      </c>
      <c r="K40" s="8" t="str">
        <f t="shared" si="21"/>
        <v>dailoneskill0028</v>
      </c>
      <c r="L40" s="5" t="str">
        <f t="shared" si="4"/>
        <v>lootName38,DAIL/items/materia/class0028/Cenobite38.dbr,</v>
      </c>
      <c r="M40" s="5" t="str">
        <f t="shared" si="5"/>
        <v>lootWeight38,1,</v>
      </c>
      <c r="N40" t="str">
        <f t="shared" si="6"/>
        <v>3</v>
      </c>
      <c r="O40" t="str">
        <f t="shared" si="16"/>
        <v>copy .\dail_base3.dbr .\items\materia\class0028\Cenobite38.dbr /y</v>
      </c>
      <c r="P40" t="str">
        <f t="shared" si="7"/>
        <v>echo relicBitmap,items/craftingparts/components/component_a52_bristlyfur_b.tex, &gt;&gt; .\items\materia\class0028\Cenobite38.dbr</v>
      </c>
      <c r="Q40" t="str">
        <f t="shared" si="7"/>
        <v>echo itemCost,500000, &gt;&gt; .\items\materia\class0028\Cenobite38.dbr</v>
      </c>
      <c r="R40" t="str">
        <f t="shared" si="7"/>
        <v>echo description,dailCompDescCenobite38, &gt;&gt; .\items\materia\class0028\Cenobite38.dbr</v>
      </c>
      <c r="S40" t="str">
        <f t="shared" si="7"/>
        <v>echo itemText,dailCompTextCenobite38, &gt;&gt; .\items\materia\class0028\Cenobite38.dbr</v>
      </c>
      <c r="T40" t="str">
        <f t="shared" si="7"/>
        <v>echo augmentSkillLevel1,3, &gt;&gt; .\items\materia\class0028\Cenobite38.dbr</v>
      </c>
      <c r="U40" t="str">
        <f t="shared" si="7"/>
        <v>echo augmentSkillName1,records/skills/playerclass28/holy_spike_mod.dbr, &gt;&gt; .\items\materia\class0028\Cenobite38.dbr</v>
      </c>
      <c r="V40" s="5" t="s">
        <v>36</v>
      </c>
      <c r="W40" t="str">
        <f t="shared" si="8"/>
        <v>echo lootName38,DAIL/items/materia/class0028/Cenobite38.dbr, &gt;&gt; .\items\loottables\dailoneskill0028.dbr</v>
      </c>
      <c r="X40" t="str">
        <f t="shared" si="8"/>
        <v>echo lootWeight38,1, &gt;&gt; .\items\loottables\dailoneskill0028.dbr</v>
      </c>
      <c r="Y40" s="5" t="s">
        <v>36</v>
      </c>
      <c r="Z40" t="str">
        <f t="shared" si="9"/>
        <v xml:space="preserve"> dailCompDescCenobite38=^pCenobite's Gift of DAIL</v>
      </c>
      <c r="AA40" t="str">
        <f t="shared" si="17"/>
        <v>dailCompTextCenobite38=^oThis feels warm to the touch, almost familiar ^w(This component only fits into the Medal Slot)</v>
      </c>
      <c r="AB40" s="5" t="s">
        <v>36</v>
      </c>
      <c r="AH40">
        <f t="shared" si="19"/>
        <v>35</v>
      </c>
      <c r="AI40">
        <f t="shared" si="22"/>
        <v>33</v>
      </c>
      <c r="AJ40">
        <f t="shared" si="18"/>
        <v>3</v>
      </c>
    </row>
    <row r="41" spans="1:36" x14ac:dyDescent="0.25">
      <c r="A41" s="5" t="s">
        <v>39</v>
      </c>
      <c r="B41" s="5" t="s">
        <v>30</v>
      </c>
      <c r="C41" s="5" t="str">
        <f t="shared" si="0"/>
        <v>description,dailCompDescCenobite39,</v>
      </c>
      <c r="D41" s="5" t="str">
        <f t="shared" si="2"/>
        <v>itemText,dailCompTextCenobite39,</v>
      </c>
      <c r="E41" s="5" t="str">
        <f t="shared" si="14"/>
        <v>augmentSkillLevel1,3,</v>
      </c>
      <c r="F41" s="5" t="str">
        <f t="shared" si="15"/>
        <v>augmentSkillName1,records/skills/playerclass28/passive02.dbr,</v>
      </c>
      <c r="G41" s="7">
        <f t="shared" si="10"/>
        <v>39</v>
      </c>
      <c r="H41" s="8" t="str">
        <f t="shared" si="11"/>
        <v>Cenobite</v>
      </c>
      <c r="I41" s="3" t="s">
        <v>236</v>
      </c>
      <c r="J41" s="8" t="str">
        <f t="shared" si="21"/>
        <v>class0028</v>
      </c>
      <c r="K41" s="8" t="str">
        <f t="shared" si="21"/>
        <v>dailoneskill0028</v>
      </c>
      <c r="L41" s="5" t="str">
        <f t="shared" si="4"/>
        <v>lootName39,DAIL/items/materia/class0028/Cenobite39.dbr,</v>
      </c>
      <c r="M41" s="5" t="str">
        <f t="shared" si="5"/>
        <v>lootWeight39,1,</v>
      </c>
      <c r="N41" t="str">
        <f t="shared" si="6"/>
        <v>3</v>
      </c>
      <c r="O41" t="str">
        <f t="shared" si="16"/>
        <v>copy .\dail_base3.dbr .\items\materia\class0028\Cenobite39.dbr /y</v>
      </c>
      <c r="P41" t="str">
        <f t="shared" si="7"/>
        <v>echo relicBitmap,items/craftingparts/components/component_a52_bristlyfur_b.tex, &gt;&gt; .\items\materia\class0028\Cenobite39.dbr</v>
      </c>
      <c r="Q41" t="str">
        <f t="shared" si="7"/>
        <v>echo itemCost,500000, &gt;&gt; .\items\materia\class0028\Cenobite39.dbr</v>
      </c>
      <c r="R41" t="str">
        <f t="shared" si="7"/>
        <v>echo description,dailCompDescCenobite39, &gt;&gt; .\items\materia\class0028\Cenobite39.dbr</v>
      </c>
      <c r="S41" t="str">
        <f t="shared" si="7"/>
        <v>echo itemText,dailCompTextCenobite39, &gt;&gt; .\items\materia\class0028\Cenobite39.dbr</v>
      </c>
      <c r="T41" t="str">
        <f t="shared" si="7"/>
        <v>echo augmentSkillLevel1,3, &gt;&gt; .\items\materia\class0028\Cenobite39.dbr</v>
      </c>
      <c r="U41" t="str">
        <f t="shared" si="7"/>
        <v>echo augmentSkillName1,records/skills/playerclass28/passive02.dbr, &gt;&gt; .\items\materia\class0028\Cenobite39.dbr</v>
      </c>
      <c r="V41" s="5" t="s">
        <v>36</v>
      </c>
      <c r="W41" t="str">
        <f t="shared" si="8"/>
        <v>echo lootName39,DAIL/items/materia/class0028/Cenobite39.dbr, &gt;&gt; .\items\loottables\dailoneskill0028.dbr</v>
      </c>
      <c r="X41" t="str">
        <f t="shared" si="8"/>
        <v>echo lootWeight39,1, &gt;&gt; .\items\loottables\dailoneskill0028.dbr</v>
      </c>
      <c r="Y41" s="5" t="s">
        <v>36</v>
      </c>
      <c r="Z41" t="str">
        <f t="shared" si="9"/>
        <v xml:space="preserve"> dailCompDescCenobite39=^pCenobite's Gift of DAIL</v>
      </c>
      <c r="AA41" t="str">
        <f t="shared" si="17"/>
        <v>dailCompTextCenobite39=^oThis feels warm to the touch, almost familiar ^w(This component only fits into the Medal Slot)</v>
      </c>
      <c r="AB41" s="5" t="s">
        <v>36</v>
      </c>
      <c r="AH41">
        <f t="shared" si="19"/>
        <v>36</v>
      </c>
      <c r="AI41">
        <f t="shared" si="22"/>
        <v>28</v>
      </c>
      <c r="AJ41">
        <f t="shared" si="18"/>
        <v>3</v>
      </c>
    </row>
    <row r="42" spans="1:36" x14ac:dyDescent="0.25">
      <c r="A42" s="5" t="s">
        <v>39</v>
      </c>
      <c r="B42" s="5" t="s">
        <v>30</v>
      </c>
      <c r="C42" s="5" t="str">
        <f t="shared" si="0"/>
        <v>description,dailCompDescCenobite40,</v>
      </c>
      <c r="D42" s="5" t="str">
        <f t="shared" si="2"/>
        <v>itemText,dailCompTextCenobite40,</v>
      </c>
      <c r="E42" s="5" t="str">
        <f t="shared" si="14"/>
        <v>augmentSkillLevel1,3,</v>
      </c>
      <c r="F42" s="5" t="str">
        <f t="shared" si="15"/>
        <v>augmentSkillName1,records/skills/playerclass28/passive02_mod.dbr,</v>
      </c>
      <c r="G42" s="7">
        <f t="shared" si="10"/>
        <v>40</v>
      </c>
      <c r="H42" s="8" t="str">
        <f t="shared" si="11"/>
        <v>Cenobite</v>
      </c>
      <c r="I42" s="3" t="s">
        <v>472</v>
      </c>
      <c r="J42" s="8" t="str">
        <f t="shared" si="21"/>
        <v>class0028</v>
      </c>
      <c r="K42" s="8" t="str">
        <f t="shared" si="21"/>
        <v>dailoneskill0028</v>
      </c>
      <c r="L42" s="5" t="str">
        <f t="shared" si="4"/>
        <v>lootName40,DAIL/items/materia/class0028/Cenobite40.dbr,</v>
      </c>
      <c r="M42" s="5" t="str">
        <f t="shared" si="5"/>
        <v>lootWeight40,1,</v>
      </c>
      <c r="N42" t="str">
        <f t="shared" si="6"/>
        <v>3</v>
      </c>
      <c r="O42" t="str">
        <f t="shared" si="16"/>
        <v>copy .\dail_base3.dbr .\items\materia\class0028\Cenobite40.dbr /y</v>
      </c>
      <c r="P42" t="str">
        <f t="shared" si="7"/>
        <v>echo relicBitmap,items/craftingparts/components/component_a52_bristlyfur_b.tex, &gt;&gt; .\items\materia\class0028\Cenobite40.dbr</v>
      </c>
      <c r="Q42" t="str">
        <f t="shared" si="7"/>
        <v>echo itemCost,500000, &gt;&gt; .\items\materia\class0028\Cenobite40.dbr</v>
      </c>
      <c r="R42" t="str">
        <f t="shared" si="7"/>
        <v>echo description,dailCompDescCenobite40, &gt;&gt; .\items\materia\class0028\Cenobite40.dbr</v>
      </c>
      <c r="S42" t="str">
        <f t="shared" si="7"/>
        <v>echo itemText,dailCompTextCenobite40, &gt;&gt; .\items\materia\class0028\Cenobite40.dbr</v>
      </c>
      <c r="T42" t="str">
        <f t="shared" si="7"/>
        <v>echo augmentSkillLevel1,3, &gt;&gt; .\items\materia\class0028\Cenobite40.dbr</v>
      </c>
      <c r="U42" t="str">
        <f t="shared" si="7"/>
        <v>echo augmentSkillName1,records/skills/playerclass28/passive02_mod.dbr, &gt;&gt; .\items\materia\class0028\Cenobite40.dbr</v>
      </c>
      <c r="V42" s="5" t="s">
        <v>36</v>
      </c>
      <c r="W42" t="str">
        <f t="shared" si="8"/>
        <v>echo lootName40,DAIL/items/materia/class0028/Cenobite40.dbr, &gt;&gt; .\items\loottables\dailoneskill0028.dbr</v>
      </c>
      <c r="X42" t="str">
        <f t="shared" si="8"/>
        <v>echo lootWeight40,1, &gt;&gt; .\items\loottables\dailoneskill0028.dbr</v>
      </c>
      <c r="Y42" s="5" t="s">
        <v>36</v>
      </c>
      <c r="Z42" t="str">
        <f t="shared" si="9"/>
        <v xml:space="preserve"> dailCompDescCenobite40=^pCenobite's Gift of DAIL</v>
      </c>
      <c r="AA42" t="str">
        <f t="shared" si="17"/>
        <v>dailCompTextCenobite40=^oThis feels warm to the touch, almost familiar ^w(This component only fits into the Medal Slot)</v>
      </c>
      <c r="AB42" s="5" t="s">
        <v>36</v>
      </c>
      <c r="AH42">
        <f t="shared" si="19"/>
        <v>37</v>
      </c>
      <c r="AI42">
        <f t="shared" si="22"/>
        <v>32</v>
      </c>
      <c r="AJ42">
        <f t="shared" si="18"/>
        <v>3</v>
      </c>
    </row>
    <row r="43" spans="1:36" x14ac:dyDescent="0.25">
      <c r="A43" s="5" t="s">
        <v>39</v>
      </c>
      <c r="B43" s="5" t="s">
        <v>30</v>
      </c>
      <c r="C43" s="5" t="str">
        <f t="shared" si="0"/>
        <v>description,dailCompDescCenobite41,</v>
      </c>
      <c r="D43" s="5" t="str">
        <f t="shared" si="2"/>
        <v>itemText,dailCompTextCenobite41,</v>
      </c>
      <c r="E43" s="5" t="str">
        <f t="shared" si="14"/>
        <v>augmentSkillLevel1,3,</v>
      </c>
      <c r="F43" s="5" t="str">
        <f t="shared" si="15"/>
        <v>augmentSkillName1,records/skills/playerclass28/ringofflame.dbr,</v>
      </c>
      <c r="G43" s="7">
        <f t="shared" si="10"/>
        <v>41</v>
      </c>
      <c r="H43" s="8" t="str">
        <f t="shared" si="11"/>
        <v>Cenobite</v>
      </c>
      <c r="I43" s="3" t="s">
        <v>239</v>
      </c>
      <c r="J43" s="8" t="str">
        <f t="shared" si="21"/>
        <v>class0028</v>
      </c>
      <c r="K43" s="8" t="str">
        <f t="shared" si="21"/>
        <v>dailoneskill0028</v>
      </c>
      <c r="L43" s="5" t="str">
        <f t="shared" si="4"/>
        <v>lootName41,DAIL/items/materia/class0028/Cenobite41.dbr,</v>
      </c>
      <c r="M43" s="5" t="str">
        <f t="shared" si="5"/>
        <v>lootWeight41,1,</v>
      </c>
      <c r="N43" t="str">
        <f t="shared" si="6"/>
        <v>3</v>
      </c>
      <c r="O43" t="str">
        <f t="shared" si="16"/>
        <v>copy .\dail_base3.dbr .\items\materia\class0028\Cenobite41.dbr /y</v>
      </c>
      <c r="P43" t="str">
        <f t="shared" si="7"/>
        <v>echo relicBitmap,items/craftingparts/components/component_a52_bristlyfur_b.tex, &gt;&gt; .\items\materia\class0028\Cenobite41.dbr</v>
      </c>
      <c r="Q43" t="str">
        <f t="shared" si="7"/>
        <v>echo itemCost,500000, &gt;&gt; .\items\materia\class0028\Cenobite41.dbr</v>
      </c>
      <c r="R43" t="str">
        <f t="shared" si="7"/>
        <v>echo description,dailCompDescCenobite41, &gt;&gt; .\items\materia\class0028\Cenobite41.dbr</v>
      </c>
      <c r="S43" t="str">
        <f t="shared" si="7"/>
        <v>echo itemText,dailCompTextCenobite41, &gt;&gt; .\items\materia\class0028\Cenobite41.dbr</v>
      </c>
      <c r="T43" t="str">
        <f t="shared" si="7"/>
        <v>echo augmentSkillLevel1,3, &gt;&gt; .\items\materia\class0028\Cenobite41.dbr</v>
      </c>
      <c r="U43" t="str">
        <f t="shared" si="7"/>
        <v>echo augmentSkillName1,records/skills/playerclass28/ringofflame.dbr, &gt;&gt; .\items\materia\class0028\Cenobite41.dbr</v>
      </c>
      <c r="V43" s="5" t="s">
        <v>36</v>
      </c>
      <c r="W43" t="str">
        <f t="shared" si="8"/>
        <v>echo lootName41,DAIL/items/materia/class0028/Cenobite41.dbr, &gt;&gt; .\items\loottables\dailoneskill0028.dbr</v>
      </c>
      <c r="X43" t="str">
        <f t="shared" si="8"/>
        <v>echo lootWeight41,1, &gt;&gt; .\items\loottables\dailoneskill0028.dbr</v>
      </c>
      <c r="Y43" s="5" t="s">
        <v>36</v>
      </c>
      <c r="Z43" t="str">
        <f t="shared" si="9"/>
        <v xml:space="preserve"> dailCompDescCenobite41=^pCenobite's Gift of DAIL</v>
      </c>
      <c r="AA43" t="str">
        <f t="shared" si="17"/>
        <v>dailCompTextCenobite41=^oThis feels warm to the touch, almost familiar ^w(This component only fits into the Medal Slot)</v>
      </c>
      <c r="AB43" s="5" t="s">
        <v>36</v>
      </c>
      <c r="AH43">
        <f t="shared" si="19"/>
        <v>38</v>
      </c>
      <c r="AI43">
        <f t="shared" si="22"/>
        <v>30</v>
      </c>
      <c r="AJ43">
        <f t="shared" si="18"/>
        <v>3</v>
      </c>
    </row>
    <row r="44" spans="1:36" x14ac:dyDescent="0.25">
      <c r="A44" s="5" t="s">
        <v>39</v>
      </c>
      <c r="B44" s="5" t="s">
        <v>30</v>
      </c>
      <c r="C44" s="5" t="str">
        <f t="shared" si="0"/>
        <v>description,dailCompDescCenobite42,</v>
      </c>
      <c r="D44" s="5" t="str">
        <f t="shared" si="2"/>
        <v>itemText,dailCompTextCenobite42,</v>
      </c>
      <c r="E44" s="5" t="str">
        <f t="shared" si="14"/>
        <v>augmentSkillLevel1,3,</v>
      </c>
      <c r="F44" s="5" t="str">
        <f t="shared" si="15"/>
        <v>augmentSkillName1,records/skills/playerclass28/ringofflame_tra.dbr,</v>
      </c>
      <c r="G44" s="7">
        <f t="shared" si="10"/>
        <v>42</v>
      </c>
      <c r="H44" s="8" t="str">
        <f t="shared" si="11"/>
        <v>Cenobite</v>
      </c>
      <c r="I44" s="3" t="s">
        <v>473</v>
      </c>
      <c r="J44" s="8" t="str">
        <f t="shared" si="21"/>
        <v>class0028</v>
      </c>
      <c r="K44" s="8" t="str">
        <f t="shared" si="21"/>
        <v>dailoneskill0028</v>
      </c>
      <c r="L44" s="5" t="str">
        <f t="shared" si="4"/>
        <v>lootName42,DAIL/items/materia/class0028/Cenobite42.dbr,</v>
      </c>
      <c r="M44" s="5" t="str">
        <f t="shared" si="5"/>
        <v>lootWeight42,1,</v>
      </c>
      <c r="N44" t="str">
        <f t="shared" si="6"/>
        <v>3</v>
      </c>
      <c r="O44" t="str">
        <f t="shared" si="16"/>
        <v>copy .\dail_base3.dbr .\items\materia\class0028\Cenobite42.dbr /y</v>
      </c>
      <c r="P44" t="str">
        <f t="shared" si="7"/>
        <v>echo relicBitmap,items/craftingparts/components/component_a52_bristlyfur_b.tex, &gt;&gt; .\items\materia\class0028\Cenobite42.dbr</v>
      </c>
      <c r="Q44" t="str">
        <f t="shared" si="7"/>
        <v>echo itemCost,500000, &gt;&gt; .\items\materia\class0028\Cenobite42.dbr</v>
      </c>
      <c r="R44" t="str">
        <f t="shared" si="7"/>
        <v>echo description,dailCompDescCenobite42, &gt;&gt; .\items\materia\class0028\Cenobite42.dbr</v>
      </c>
      <c r="S44" t="str">
        <f t="shared" si="7"/>
        <v>echo itemText,dailCompTextCenobite42, &gt;&gt; .\items\materia\class0028\Cenobite42.dbr</v>
      </c>
      <c r="T44" t="str">
        <f t="shared" si="7"/>
        <v>echo augmentSkillLevel1,3, &gt;&gt; .\items\materia\class0028\Cenobite42.dbr</v>
      </c>
      <c r="U44" t="str">
        <f t="shared" si="7"/>
        <v>echo augmentSkillName1,records/skills/playerclass28/ringofflame_tra.dbr, &gt;&gt; .\items\materia\class0028\Cenobite42.dbr</v>
      </c>
      <c r="V44" s="5" t="s">
        <v>36</v>
      </c>
      <c r="W44" t="str">
        <f t="shared" si="8"/>
        <v>echo lootName42,DAIL/items/materia/class0028/Cenobite42.dbr, &gt;&gt; .\items\loottables\dailoneskill0028.dbr</v>
      </c>
      <c r="X44" t="str">
        <f t="shared" si="8"/>
        <v>echo lootWeight42,1, &gt;&gt; .\items\loottables\dailoneskill0028.dbr</v>
      </c>
      <c r="Y44" s="5" t="s">
        <v>36</v>
      </c>
      <c r="Z44" t="str">
        <f t="shared" si="9"/>
        <v xml:space="preserve"> dailCompDescCenobite42=^pCenobite's Gift of DAIL</v>
      </c>
      <c r="AA44" t="str">
        <f t="shared" si="17"/>
        <v>dailCompTextCenobite42=^oThis feels warm to the touch, almost familiar ^w(This component only fits into the Medal Slot)</v>
      </c>
      <c r="AB44" s="5" t="s">
        <v>36</v>
      </c>
      <c r="AH44">
        <f t="shared" si="19"/>
        <v>39</v>
      </c>
      <c r="AI44">
        <f t="shared" si="22"/>
        <v>34</v>
      </c>
      <c r="AJ44">
        <f t="shared" si="18"/>
        <v>3</v>
      </c>
    </row>
    <row r="45" spans="1:36" x14ac:dyDescent="0.25">
      <c r="A45" s="5" t="s">
        <v>39</v>
      </c>
      <c r="B45" s="5" t="s">
        <v>30</v>
      </c>
      <c r="C45" s="5" t="str">
        <f t="shared" si="0"/>
        <v>description,dailCompDescCenobite43,</v>
      </c>
      <c r="D45" s="5" t="str">
        <f t="shared" si="2"/>
        <v>itemText,dailCompTextCenobite43,</v>
      </c>
      <c r="E45" s="5" t="str">
        <f t="shared" si="14"/>
        <v>augmentSkillLevel1,3,</v>
      </c>
      <c r="F45" s="5" t="str">
        <f t="shared" si="15"/>
        <v>augmentSkillName1,records/skills/playerclass28/ringofflame_mod.dbr,</v>
      </c>
      <c r="G45" s="7">
        <f t="shared" si="10"/>
        <v>43</v>
      </c>
      <c r="H45" s="8" t="str">
        <f t="shared" si="11"/>
        <v>Cenobite</v>
      </c>
      <c r="I45" s="3" t="s">
        <v>474</v>
      </c>
      <c r="J45" s="8" t="str">
        <f t="shared" si="21"/>
        <v>class0028</v>
      </c>
      <c r="K45" s="8" t="str">
        <f t="shared" si="21"/>
        <v>dailoneskill0028</v>
      </c>
      <c r="L45" s="5" t="str">
        <f t="shared" si="4"/>
        <v>lootName43,DAIL/items/materia/class0028/Cenobite43.dbr,</v>
      </c>
      <c r="M45" s="5" t="str">
        <f t="shared" si="5"/>
        <v>lootWeight43,1,</v>
      </c>
      <c r="N45" t="str">
        <f t="shared" si="6"/>
        <v>3</v>
      </c>
      <c r="O45" t="str">
        <f t="shared" si="16"/>
        <v>copy .\dail_base3.dbr .\items\materia\class0028\Cenobite43.dbr /y</v>
      </c>
      <c r="P45" t="str">
        <f t="shared" si="7"/>
        <v>echo relicBitmap,items/craftingparts/components/component_a52_bristlyfur_b.tex, &gt;&gt; .\items\materia\class0028\Cenobite43.dbr</v>
      </c>
      <c r="Q45" t="str">
        <f t="shared" si="7"/>
        <v>echo itemCost,500000, &gt;&gt; .\items\materia\class0028\Cenobite43.dbr</v>
      </c>
      <c r="R45" t="str">
        <f t="shared" si="7"/>
        <v>echo description,dailCompDescCenobite43, &gt;&gt; .\items\materia\class0028\Cenobite43.dbr</v>
      </c>
      <c r="S45" t="str">
        <f t="shared" si="7"/>
        <v>echo itemText,dailCompTextCenobite43, &gt;&gt; .\items\materia\class0028\Cenobite43.dbr</v>
      </c>
      <c r="T45" t="str">
        <f t="shared" si="7"/>
        <v>echo augmentSkillLevel1,3, &gt;&gt; .\items\materia\class0028\Cenobite43.dbr</v>
      </c>
      <c r="U45" t="str">
        <f t="shared" si="7"/>
        <v>echo augmentSkillName1,records/skills/playerclass28/ringofflame_mod.dbr, &gt;&gt; .\items\materia\class0028\Cenobite43.dbr</v>
      </c>
      <c r="V45" s="5" t="s">
        <v>36</v>
      </c>
      <c r="W45" t="str">
        <f t="shared" si="8"/>
        <v>echo lootName43,DAIL/items/materia/class0028/Cenobite43.dbr, &gt;&gt; .\items\loottables\dailoneskill0028.dbr</v>
      </c>
      <c r="X45" t="str">
        <f t="shared" si="8"/>
        <v>echo lootWeight43,1, &gt;&gt; .\items\loottables\dailoneskill0028.dbr</v>
      </c>
      <c r="Y45" s="5" t="s">
        <v>36</v>
      </c>
      <c r="Z45" t="str">
        <f t="shared" si="9"/>
        <v xml:space="preserve"> dailCompDescCenobite43=^pCenobite's Gift of DAIL</v>
      </c>
      <c r="AA45" t="str">
        <f t="shared" si="17"/>
        <v>dailCompTextCenobite43=^oThis feels warm to the touch, almost familiar ^w(This component only fits into the Medal Slot)</v>
      </c>
      <c r="AB45" s="5" t="s">
        <v>36</v>
      </c>
      <c r="AH45">
        <f t="shared" si="19"/>
        <v>40</v>
      </c>
      <c r="AI45">
        <f t="shared" si="22"/>
        <v>34</v>
      </c>
      <c r="AJ45">
        <f t="shared" si="18"/>
        <v>3</v>
      </c>
    </row>
    <row r="46" spans="1:36" x14ac:dyDescent="0.25">
      <c r="A46" s="5" t="s">
        <v>39</v>
      </c>
      <c r="B46" s="5" t="s">
        <v>30</v>
      </c>
      <c r="C46" s="5" t="str">
        <f t="shared" si="0"/>
        <v>description,dailCompDescCenobite44,</v>
      </c>
      <c r="D46" s="5" t="str">
        <f t="shared" si="2"/>
        <v>itemText,dailCompTextCenobite44,</v>
      </c>
      <c r="E46" s="5" t="str">
        <f t="shared" si="14"/>
        <v>augmentSkillLevel1,3,</v>
      </c>
      <c r="F46" s="5" t="str">
        <f t="shared" si="15"/>
        <v>augmentSkillName1,records/skills/playerclass28/ringofflame_mod2.dbr,</v>
      </c>
      <c r="G46" s="7">
        <f t="shared" si="10"/>
        <v>44</v>
      </c>
      <c r="H46" s="8" t="str">
        <f t="shared" si="11"/>
        <v>Cenobite</v>
      </c>
      <c r="I46" s="3" t="s">
        <v>475</v>
      </c>
      <c r="J46" s="8" t="str">
        <f t="shared" si="21"/>
        <v>class0028</v>
      </c>
      <c r="K46" s="8" t="str">
        <f t="shared" si="21"/>
        <v>dailoneskill0028</v>
      </c>
      <c r="L46" s="5" t="str">
        <f t="shared" si="4"/>
        <v>lootName44,DAIL/items/materia/class0028/Cenobite44.dbr,</v>
      </c>
      <c r="M46" s="5" t="str">
        <f t="shared" si="5"/>
        <v>lootWeight44,1,</v>
      </c>
      <c r="N46" t="str">
        <f t="shared" si="6"/>
        <v>3</v>
      </c>
      <c r="O46" t="str">
        <f t="shared" si="16"/>
        <v>copy .\dail_base3.dbr .\items\materia\class0028\Cenobite44.dbr /y</v>
      </c>
      <c r="P46" t="str">
        <f t="shared" si="7"/>
        <v>echo relicBitmap,items/craftingparts/components/component_a52_bristlyfur_b.tex, &gt;&gt; .\items\materia\class0028\Cenobite44.dbr</v>
      </c>
      <c r="Q46" t="str">
        <f t="shared" si="7"/>
        <v>echo itemCost,500000, &gt;&gt; .\items\materia\class0028\Cenobite44.dbr</v>
      </c>
      <c r="R46" t="str">
        <f t="shared" si="7"/>
        <v>echo description,dailCompDescCenobite44, &gt;&gt; .\items\materia\class0028\Cenobite44.dbr</v>
      </c>
      <c r="S46" t="str">
        <f t="shared" si="7"/>
        <v>echo itemText,dailCompTextCenobite44, &gt;&gt; .\items\materia\class0028\Cenobite44.dbr</v>
      </c>
      <c r="T46" t="str">
        <f t="shared" si="7"/>
        <v>echo augmentSkillLevel1,3, &gt;&gt; .\items\materia\class0028\Cenobite44.dbr</v>
      </c>
      <c r="U46" t="str">
        <f t="shared" si="7"/>
        <v>echo augmentSkillName1,records/skills/playerclass28/ringofflame_mod2.dbr, &gt;&gt; .\items\materia\class0028\Cenobite44.dbr</v>
      </c>
      <c r="V46" s="5" t="s">
        <v>36</v>
      </c>
      <c r="W46" t="str">
        <f t="shared" si="8"/>
        <v>echo lootName44,DAIL/items/materia/class0028/Cenobite44.dbr, &gt;&gt; .\items\loottables\dailoneskill0028.dbr</v>
      </c>
      <c r="X46" t="str">
        <f t="shared" si="8"/>
        <v>echo lootWeight44,1, &gt;&gt; .\items\loottables\dailoneskill0028.dbr</v>
      </c>
      <c r="Y46" s="5" t="s">
        <v>36</v>
      </c>
      <c r="Z46" t="str">
        <f t="shared" si="9"/>
        <v xml:space="preserve"> dailCompDescCenobite44=^pCenobite's Gift of DAIL</v>
      </c>
      <c r="AA46" t="str">
        <f t="shared" si="17"/>
        <v>dailCompTextCenobite44=^oThis feels warm to the touch, almost familiar ^w(This component only fits into the Medal Slot)</v>
      </c>
      <c r="AB46" s="5" t="s">
        <v>36</v>
      </c>
      <c r="AH46">
        <f t="shared" si="19"/>
        <v>41</v>
      </c>
      <c r="AI46">
        <f t="shared" si="22"/>
        <v>35</v>
      </c>
      <c r="AJ46">
        <f t="shared" si="18"/>
        <v>3</v>
      </c>
    </row>
    <row r="47" spans="1:36" x14ac:dyDescent="0.25">
      <c r="A47" s="5" t="s">
        <v>39</v>
      </c>
      <c r="B47" s="5" t="s">
        <v>30</v>
      </c>
      <c r="C47" s="5" t="str">
        <f t="shared" si="0"/>
        <v>description,dailCompDescCenobite45,</v>
      </c>
      <c r="D47" s="5" t="str">
        <f t="shared" si="2"/>
        <v>itemText,dailCompTextCenobite45,</v>
      </c>
      <c r="E47" s="5" t="str">
        <f t="shared" si="14"/>
        <v>augmentSkillLevel1,3,</v>
      </c>
      <c r="F47" s="5" t="str">
        <f t="shared" si="15"/>
        <v>augmentSkillName1,records/skills/playerclass28/ringofflame_mod3.dbr,</v>
      </c>
      <c r="G47" s="7">
        <f t="shared" si="10"/>
        <v>45</v>
      </c>
      <c r="H47" s="8" t="str">
        <f t="shared" si="11"/>
        <v>Cenobite</v>
      </c>
      <c r="I47" s="3" t="s">
        <v>476</v>
      </c>
      <c r="J47" s="8" t="str">
        <f t="shared" si="21"/>
        <v>class0028</v>
      </c>
      <c r="K47" s="8" t="str">
        <f t="shared" si="21"/>
        <v>dailoneskill0028</v>
      </c>
      <c r="L47" s="5" t="str">
        <f t="shared" si="4"/>
        <v>lootName45,DAIL/items/materia/class0028/Cenobite45.dbr,</v>
      </c>
      <c r="M47" s="5" t="str">
        <f t="shared" si="5"/>
        <v>lootWeight45,1,</v>
      </c>
      <c r="N47" t="str">
        <f t="shared" si="6"/>
        <v>3</v>
      </c>
      <c r="O47" t="str">
        <f t="shared" si="16"/>
        <v>copy .\dail_base3.dbr .\items\materia\class0028\Cenobite45.dbr /y</v>
      </c>
      <c r="P47" t="str">
        <f t="shared" si="7"/>
        <v>echo relicBitmap,items/craftingparts/components/component_a52_bristlyfur_b.tex, &gt;&gt; .\items\materia\class0028\Cenobite45.dbr</v>
      </c>
      <c r="Q47" t="str">
        <f t="shared" si="7"/>
        <v>echo itemCost,500000, &gt;&gt; .\items\materia\class0028\Cenobite45.dbr</v>
      </c>
      <c r="R47" t="str">
        <f t="shared" si="7"/>
        <v>echo description,dailCompDescCenobite45, &gt;&gt; .\items\materia\class0028\Cenobite45.dbr</v>
      </c>
      <c r="S47" t="str">
        <f t="shared" si="7"/>
        <v>echo itemText,dailCompTextCenobite45, &gt;&gt; .\items\materia\class0028\Cenobite45.dbr</v>
      </c>
      <c r="T47" t="str">
        <f t="shared" si="7"/>
        <v>echo augmentSkillLevel1,3, &gt;&gt; .\items\materia\class0028\Cenobite45.dbr</v>
      </c>
      <c r="U47" t="str">
        <f t="shared" si="7"/>
        <v>echo augmentSkillName1,records/skills/playerclass28/ringofflame_mod3.dbr, &gt;&gt; .\items\materia\class0028\Cenobite45.dbr</v>
      </c>
      <c r="V47" s="5" t="s">
        <v>36</v>
      </c>
      <c r="W47" t="str">
        <f t="shared" si="8"/>
        <v>echo lootName45,DAIL/items/materia/class0028/Cenobite45.dbr, &gt;&gt; .\items\loottables\dailoneskill0028.dbr</v>
      </c>
      <c r="X47" t="str">
        <f t="shared" si="8"/>
        <v>echo lootWeight45,1, &gt;&gt; .\items\loottables\dailoneskill0028.dbr</v>
      </c>
      <c r="Y47" s="5" t="s">
        <v>36</v>
      </c>
      <c r="Z47" t="str">
        <f t="shared" si="9"/>
        <v xml:space="preserve"> dailCompDescCenobite45=^pCenobite's Gift of DAIL</v>
      </c>
      <c r="AA47" t="str">
        <f t="shared" si="17"/>
        <v>dailCompTextCenobite45=^oThis feels warm to the touch, almost familiar ^w(This component only fits into the Medal Slot)</v>
      </c>
      <c r="AB47" s="5" t="s">
        <v>36</v>
      </c>
      <c r="AH47">
        <f t="shared" si="19"/>
        <v>42</v>
      </c>
      <c r="AI47">
        <f t="shared" si="22"/>
        <v>35</v>
      </c>
      <c r="AJ47">
        <f t="shared" si="18"/>
        <v>3</v>
      </c>
    </row>
    <row r="48" spans="1:36" x14ac:dyDescent="0.25">
      <c r="A48" s="5" t="s">
        <v>39</v>
      </c>
      <c r="B48" s="5" t="s">
        <v>30</v>
      </c>
      <c r="C48" s="5" t="str">
        <f t="shared" si="0"/>
        <v>description,dailCompDescCenobite46,</v>
      </c>
      <c r="D48" s="5" t="str">
        <f t="shared" si="2"/>
        <v>itemText,dailCompTextCenobite46,</v>
      </c>
      <c r="E48" s="5" t="str">
        <f t="shared" si="14"/>
        <v>augmentSkillLevel1,3,</v>
      </c>
      <c r="F48" s="5" t="str">
        <f t="shared" si="15"/>
        <v>augmentSkillName1,records/skills/playerclass28/hammer.dbr,</v>
      </c>
      <c r="G48" s="7">
        <f t="shared" si="10"/>
        <v>46</v>
      </c>
      <c r="H48" s="8" t="str">
        <f t="shared" si="11"/>
        <v>Cenobite</v>
      </c>
      <c r="I48" s="3" t="s">
        <v>232</v>
      </c>
      <c r="J48" s="8" t="str">
        <f t="shared" si="21"/>
        <v>class0028</v>
      </c>
      <c r="K48" s="8" t="str">
        <f t="shared" si="21"/>
        <v>dailoneskill0028</v>
      </c>
      <c r="L48" s="5" t="str">
        <f t="shared" si="4"/>
        <v>lootName46,DAIL/items/materia/class0028/Cenobite46.dbr,</v>
      </c>
      <c r="M48" s="5" t="str">
        <f t="shared" si="5"/>
        <v>lootWeight46,1,</v>
      </c>
      <c r="N48" t="str">
        <f t="shared" si="6"/>
        <v>3</v>
      </c>
      <c r="O48" t="str">
        <f t="shared" si="16"/>
        <v>copy .\dail_base3.dbr .\items\materia\class0028\Cenobite46.dbr /y</v>
      </c>
      <c r="P48" t="str">
        <f t="shared" si="7"/>
        <v>echo relicBitmap,items/craftingparts/components/component_a52_bristlyfur_b.tex, &gt;&gt; .\items\materia\class0028\Cenobite46.dbr</v>
      </c>
      <c r="Q48" t="str">
        <f t="shared" si="7"/>
        <v>echo itemCost,500000, &gt;&gt; .\items\materia\class0028\Cenobite46.dbr</v>
      </c>
      <c r="R48" t="str">
        <f t="shared" si="7"/>
        <v>echo description,dailCompDescCenobite46, &gt;&gt; .\items\materia\class0028\Cenobite46.dbr</v>
      </c>
      <c r="S48" t="str">
        <f t="shared" si="7"/>
        <v>echo itemText,dailCompTextCenobite46, &gt;&gt; .\items\materia\class0028\Cenobite46.dbr</v>
      </c>
      <c r="T48" t="str">
        <f t="shared" si="7"/>
        <v>echo augmentSkillLevel1,3, &gt;&gt; .\items\materia\class0028\Cenobite46.dbr</v>
      </c>
      <c r="U48" t="str">
        <f t="shared" si="7"/>
        <v>echo augmentSkillName1,records/skills/playerclass28/hammer.dbr, &gt;&gt; .\items\materia\class0028\Cenobite46.dbr</v>
      </c>
      <c r="V48" s="5" t="s">
        <v>36</v>
      </c>
      <c r="W48" t="str">
        <f t="shared" si="8"/>
        <v>echo lootName46,DAIL/items/materia/class0028/Cenobite46.dbr, &gt;&gt; .\items\loottables\dailoneskill0028.dbr</v>
      </c>
      <c r="X48" t="str">
        <f t="shared" si="8"/>
        <v>echo lootWeight46,1, &gt;&gt; .\items\loottables\dailoneskill0028.dbr</v>
      </c>
      <c r="Y48" s="5" t="s">
        <v>36</v>
      </c>
      <c r="Z48" t="str">
        <f t="shared" si="9"/>
        <v xml:space="preserve"> dailCompDescCenobite46=^pCenobite's Gift of DAIL</v>
      </c>
      <c r="AA48" t="str">
        <f t="shared" si="17"/>
        <v>dailCompTextCenobite46=^oThis feels warm to the touch, almost familiar ^w(This component only fits into the Medal Slot)</v>
      </c>
      <c r="AB48" s="5" t="s">
        <v>36</v>
      </c>
      <c r="AH48">
        <f t="shared" si="19"/>
        <v>43</v>
      </c>
      <c r="AI48">
        <f t="shared" si="22"/>
        <v>25</v>
      </c>
      <c r="AJ48">
        <f t="shared" si="18"/>
        <v>3</v>
      </c>
    </row>
    <row r="49" spans="1:36" x14ac:dyDescent="0.25">
      <c r="A49" s="5" t="s">
        <v>39</v>
      </c>
      <c r="B49" s="5" t="s">
        <v>30</v>
      </c>
      <c r="C49" s="5" t="str">
        <f t="shared" si="0"/>
        <v>description,dailCompDescCenobite47,</v>
      </c>
      <c r="D49" s="5" t="str">
        <f t="shared" si="2"/>
        <v>itemText,dailCompTextCenobite47,</v>
      </c>
      <c r="E49" s="5" t="str">
        <f t="shared" si="14"/>
        <v>augmentSkillLevel1,3,</v>
      </c>
      <c r="F49" s="5" t="str">
        <f t="shared" si="15"/>
        <v>augmentSkillName1,records/skills/playerclass28/shieldattack.dbr,</v>
      </c>
      <c r="G49" s="7">
        <f t="shared" si="10"/>
        <v>47</v>
      </c>
      <c r="H49" s="8" t="str">
        <f t="shared" si="11"/>
        <v>Cenobite</v>
      </c>
      <c r="I49" s="3" t="s">
        <v>240</v>
      </c>
      <c r="J49" s="8" t="str">
        <f t="shared" si="21"/>
        <v>class0028</v>
      </c>
      <c r="K49" s="8" t="str">
        <f t="shared" si="21"/>
        <v>dailoneskill0028</v>
      </c>
      <c r="L49" s="5" t="str">
        <f t="shared" si="4"/>
        <v>lootName47,DAIL/items/materia/class0028/Cenobite47.dbr,</v>
      </c>
      <c r="M49" s="5" t="str">
        <f t="shared" si="5"/>
        <v>lootWeight47,1,</v>
      </c>
      <c r="N49" t="str">
        <f t="shared" si="6"/>
        <v>3</v>
      </c>
      <c r="O49" t="str">
        <f t="shared" si="16"/>
        <v>copy .\dail_base3.dbr .\items\materia\class0028\Cenobite47.dbr /y</v>
      </c>
      <c r="P49" t="str">
        <f t="shared" si="7"/>
        <v>echo relicBitmap,items/craftingparts/components/component_a52_bristlyfur_b.tex, &gt;&gt; .\items\materia\class0028\Cenobite47.dbr</v>
      </c>
      <c r="Q49" t="str">
        <f t="shared" si="7"/>
        <v>echo itemCost,500000, &gt;&gt; .\items\materia\class0028\Cenobite47.dbr</v>
      </c>
      <c r="R49" t="str">
        <f t="shared" si="7"/>
        <v>echo description,dailCompDescCenobite47, &gt;&gt; .\items\materia\class0028\Cenobite47.dbr</v>
      </c>
      <c r="S49" t="str">
        <f t="shared" si="7"/>
        <v>echo itemText,dailCompTextCenobite47, &gt;&gt; .\items\materia\class0028\Cenobite47.dbr</v>
      </c>
      <c r="T49" t="str">
        <f t="shared" si="7"/>
        <v>echo augmentSkillLevel1,3, &gt;&gt; .\items\materia\class0028\Cenobite47.dbr</v>
      </c>
      <c r="U49" t="str">
        <f t="shared" si="7"/>
        <v>echo augmentSkillName1,records/skills/playerclass28/shieldattack.dbr, &gt;&gt; .\items\materia\class0028\Cenobite47.dbr</v>
      </c>
      <c r="V49" s="5" t="s">
        <v>36</v>
      </c>
      <c r="W49" t="str">
        <f t="shared" si="8"/>
        <v>echo lootName47,DAIL/items/materia/class0028/Cenobite47.dbr, &gt;&gt; .\items\loottables\dailoneskill0028.dbr</v>
      </c>
      <c r="X49" t="str">
        <f t="shared" si="8"/>
        <v>echo lootWeight47,1, &gt;&gt; .\items\loottables\dailoneskill0028.dbr</v>
      </c>
      <c r="Y49" s="5" t="s">
        <v>36</v>
      </c>
      <c r="Z49" t="str">
        <f t="shared" si="9"/>
        <v xml:space="preserve"> dailCompDescCenobite47=^pCenobite's Gift of DAIL</v>
      </c>
      <c r="AA49" t="str">
        <f t="shared" si="17"/>
        <v>dailCompTextCenobite47=^oThis feels warm to the touch, almost familiar ^w(This component only fits into the Medal Slot)</v>
      </c>
      <c r="AB49" s="5" t="s">
        <v>36</v>
      </c>
      <c r="AH49">
        <f t="shared" si="19"/>
        <v>44</v>
      </c>
      <c r="AI49">
        <f t="shared" si="22"/>
        <v>31</v>
      </c>
      <c r="AJ49">
        <f t="shared" si="18"/>
        <v>3</v>
      </c>
    </row>
    <row r="50" spans="1:36" x14ac:dyDescent="0.25">
      <c r="A50" s="5" t="s">
        <v>39</v>
      </c>
      <c r="B50" s="5" t="s">
        <v>30</v>
      </c>
      <c r="C50" s="5" t="str">
        <f t="shared" si="0"/>
        <v>description,dailCompDescCenobite48,</v>
      </c>
      <c r="D50" s="5" t="str">
        <f t="shared" si="2"/>
        <v>itemText,dailCompTextCenobite48,</v>
      </c>
      <c r="E50" s="5" t="str">
        <f t="shared" si="14"/>
        <v>augmentSkillLevel1,3,</v>
      </c>
      <c r="F50" s="5" t="str">
        <f t="shared" si="15"/>
        <v>augmentSkillName1,records/skills/playerclass28/shieldattack_mod2.dbr,</v>
      </c>
      <c r="G50" s="7">
        <f t="shared" si="10"/>
        <v>48</v>
      </c>
      <c r="H50" s="8" t="str">
        <f t="shared" si="11"/>
        <v>Cenobite</v>
      </c>
      <c r="I50" s="3" t="s">
        <v>477</v>
      </c>
      <c r="J50" s="8" t="str">
        <f t="shared" si="21"/>
        <v>class0028</v>
      </c>
      <c r="K50" s="8" t="str">
        <f t="shared" si="21"/>
        <v>dailoneskill0028</v>
      </c>
      <c r="L50" s="5" t="str">
        <f t="shared" si="4"/>
        <v>lootName48,DAIL/items/materia/class0028/Cenobite48.dbr,</v>
      </c>
      <c r="M50" s="5" t="str">
        <f t="shared" si="5"/>
        <v>lootWeight48,1,</v>
      </c>
      <c r="N50" t="str">
        <f t="shared" si="6"/>
        <v>3</v>
      </c>
      <c r="O50" t="str">
        <f t="shared" si="16"/>
        <v>copy .\dail_base3.dbr .\items\materia\class0028\Cenobite48.dbr /y</v>
      </c>
      <c r="P50" t="str">
        <f t="shared" si="7"/>
        <v>echo relicBitmap,items/craftingparts/components/component_a52_bristlyfur_b.tex, &gt;&gt; .\items\materia\class0028\Cenobite48.dbr</v>
      </c>
      <c r="Q50" t="str">
        <f t="shared" si="7"/>
        <v>echo itemCost,500000, &gt;&gt; .\items\materia\class0028\Cenobite48.dbr</v>
      </c>
      <c r="R50" t="str">
        <f t="shared" si="7"/>
        <v>echo description,dailCompDescCenobite48, &gt;&gt; .\items\materia\class0028\Cenobite48.dbr</v>
      </c>
      <c r="S50" t="str">
        <f t="shared" si="7"/>
        <v>echo itemText,dailCompTextCenobite48, &gt;&gt; .\items\materia\class0028\Cenobite48.dbr</v>
      </c>
      <c r="T50" t="str">
        <f t="shared" si="7"/>
        <v>echo augmentSkillLevel1,3, &gt;&gt; .\items\materia\class0028\Cenobite48.dbr</v>
      </c>
      <c r="U50" t="str">
        <f t="shared" si="7"/>
        <v>echo augmentSkillName1,records/skills/playerclass28/shieldattack_mod2.dbr, &gt;&gt; .\items\materia\class0028\Cenobite48.dbr</v>
      </c>
      <c r="V50" s="5" t="s">
        <v>36</v>
      </c>
      <c r="W50" t="str">
        <f t="shared" si="8"/>
        <v>echo lootName48,DAIL/items/materia/class0028/Cenobite48.dbr, &gt;&gt; .\items\loottables\dailoneskill0028.dbr</v>
      </c>
      <c r="X50" t="str">
        <f t="shared" si="8"/>
        <v>echo lootWeight48,1, &gt;&gt; .\items\loottables\dailoneskill0028.dbr</v>
      </c>
      <c r="Y50" s="5" t="s">
        <v>36</v>
      </c>
      <c r="Z50" t="str">
        <f t="shared" si="9"/>
        <v xml:space="preserve"> dailCompDescCenobite48=^pCenobite's Gift of DAIL</v>
      </c>
      <c r="AA50" t="str">
        <f t="shared" si="17"/>
        <v>dailCompTextCenobite48=^oThis feels warm to the touch, almost familiar ^w(This component only fits into the Medal Slot)</v>
      </c>
      <c r="AB50" s="5" t="s">
        <v>36</v>
      </c>
      <c r="AH50">
        <f t="shared" si="19"/>
        <v>45</v>
      </c>
      <c r="AI50">
        <f t="shared" si="22"/>
        <v>36</v>
      </c>
      <c r="AJ50">
        <f t="shared" si="18"/>
        <v>3</v>
      </c>
    </row>
    <row r="51" spans="1:36" x14ac:dyDescent="0.25">
      <c r="A51" s="5" t="s">
        <v>39</v>
      </c>
      <c r="B51" s="5" t="s">
        <v>30</v>
      </c>
      <c r="C51" s="5" t="str">
        <f t="shared" si="0"/>
        <v>description,dailCompDescCenobite49,</v>
      </c>
      <c r="D51" s="5" t="str">
        <f t="shared" si="2"/>
        <v>itemText,dailCompTextCenobite49,</v>
      </c>
      <c r="E51" s="5" t="str">
        <f t="shared" si="14"/>
        <v>augmentSkillLevel1,3,</v>
      </c>
      <c r="F51" s="5" t="str">
        <f t="shared" si="15"/>
        <v>augmentSkillName1,records/skills/playerclass28/shieldattack_mod1.dbr,</v>
      </c>
      <c r="G51" s="7">
        <f t="shared" si="10"/>
        <v>49</v>
      </c>
      <c r="H51" s="8" t="str">
        <f t="shared" si="11"/>
        <v>Cenobite</v>
      </c>
      <c r="I51" s="3" t="s">
        <v>478</v>
      </c>
      <c r="J51" s="8" t="str">
        <f t="shared" si="21"/>
        <v>class0028</v>
      </c>
      <c r="K51" s="8" t="str">
        <f t="shared" si="21"/>
        <v>dailoneskill0028</v>
      </c>
      <c r="L51" s="5" t="str">
        <f t="shared" si="4"/>
        <v>lootName49,DAIL/items/materia/class0028/Cenobite49.dbr,</v>
      </c>
      <c r="M51" s="5" t="str">
        <f t="shared" si="5"/>
        <v>lootWeight49,1,</v>
      </c>
      <c r="N51" t="str">
        <f t="shared" si="6"/>
        <v>3</v>
      </c>
      <c r="O51" t="str">
        <f t="shared" si="16"/>
        <v>copy .\dail_base3.dbr .\items\materia\class0028\Cenobite49.dbr /y</v>
      </c>
      <c r="P51" t="str">
        <f t="shared" si="7"/>
        <v>echo relicBitmap,items/craftingparts/components/component_a52_bristlyfur_b.tex, &gt;&gt; .\items\materia\class0028\Cenobite49.dbr</v>
      </c>
      <c r="Q51" t="str">
        <f t="shared" si="7"/>
        <v>echo itemCost,500000, &gt;&gt; .\items\materia\class0028\Cenobite49.dbr</v>
      </c>
      <c r="R51" t="str">
        <f t="shared" si="7"/>
        <v>echo description,dailCompDescCenobite49, &gt;&gt; .\items\materia\class0028\Cenobite49.dbr</v>
      </c>
      <c r="S51" t="str">
        <f t="shared" si="7"/>
        <v>echo itemText,dailCompTextCenobite49, &gt;&gt; .\items\materia\class0028\Cenobite49.dbr</v>
      </c>
      <c r="T51" t="str">
        <f t="shared" si="7"/>
        <v>echo augmentSkillLevel1,3, &gt;&gt; .\items\materia\class0028\Cenobite49.dbr</v>
      </c>
      <c r="U51" t="str">
        <f t="shared" si="7"/>
        <v>echo augmentSkillName1,records/skills/playerclass28/shieldattack_mod1.dbr, &gt;&gt; .\items\materia\class0028\Cenobite49.dbr</v>
      </c>
      <c r="V51" s="5" t="s">
        <v>36</v>
      </c>
      <c r="W51" t="str">
        <f t="shared" si="8"/>
        <v>echo lootName49,DAIL/items/materia/class0028/Cenobite49.dbr, &gt;&gt; .\items\loottables\dailoneskill0028.dbr</v>
      </c>
      <c r="X51" t="str">
        <f t="shared" si="8"/>
        <v>echo lootWeight49,1, &gt;&gt; .\items\loottables\dailoneskill0028.dbr</v>
      </c>
      <c r="Y51" s="5" t="s">
        <v>36</v>
      </c>
      <c r="Z51" t="str">
        <f t="shared" si="9"/>
        <v xml:space="preserve"> dailCompDescCenobite49=^pCenobite's Gift of DAIL</v>
      </c>
      <c r="AA51" t="str">
        <f t="shared" si="17"/>
        <v>dailCompTextCenobite49=^oThis feels warm to the touch, almost familiar ^w(This component only fits into the Medal Slot)</v>
      </c>
      <c r="AB51" s="5" t="s">
        <v>36</v>
      </c>
      <c r="AH51">
        <f t="shared" si="19"/>
        <v>46</v>
      </c>
      <c r="AI51">
        <f t="shared" si="22"/>
        <v>36</v>
      </c>
      <c r="AJ51">
        <f t="shared" si="18"/>
        <v>3</v>
      </c>
    </row>
    <row r="52" spans="1:36" x14ac:dyDescent="0.25">
      <c r="A52" s="5" t="s">
        <v>39</v>
      </c>
      <c r="B52" s="5" t="s">
        <v>30</v>
      </c>
      <c r="C52" s="5" t="str">
        <f t="shared" si="0"/>
        <v>description,dailCompDescCenobite50,</v>
      </c>
      <c r="D52" s="5" t="str">
        <f t="shared" si="2"/>
        <v>itemText,dailCompTextCenobite50,</v>
      </c>
      <c r="E52" s="5" t="str">
        <f t="shared" si="14"/>
        <v>augmentSkillLevel1,3,</v>
      </c>
      <c r="F52" s="5" t="str">
        <f t="shared" si="15"/>
        <v>augmentSkillName1,records/skills/playerclass28/shieldattack_tra.dbr,</v>
      </c>
      <c r="G52" s="7">
        <f t="shared" si="10"/>
        <v>50</v>
      </c>
      <c r="H52" s="8" t="str">
        <f t="shared" si="11"/>
        <v>Cenobite</v>
      </c>
      <c r="I52" s="3" t="s">
        <v>479</v>
      </c>
      <c r="J52" s="8" t="str">
        <f t="shared" si="21"/>
        <v>class0028</v>
      </c>
      <c r="K52" s="8" t="str">
        <f t="shared" si="21"/>
        <v>dailoneskill0028</v>
      </c>
      <c r="L52" s="5" t="str">
        <f t="shared" si="4"/>
        <v>lootName50,DAIL/items/materia/class0028/Cenobite50.dbr,</v>
      </c>
      <c r="M52" s="5" t="str">
        <f t="shared" si="5"/>
        <v>lootWeight50,1,</v>
      </c>
      <c r="N52" t="str">
        <f t="shared" si="6"/>
        <v>3</v>
      </c>
      <c r="O52" t="str">
        <f t="shared" si="16"/>
        <v>copy .\dail_base3.dbr .\items\materia\class0028\Cenobite50.dbr /y</v>
      </c>
      <c r="P52" t="str">
        <f t="shared" si="7"/>
        <v>echo relicBitmap,items/craftingparts/components/component_a52_bristlyfur_b.tex, &gt;&gt; .\items\materia\class0028\Cenobite50.dbr</v>
      </c>
      <c r="Q52" t="str">
        <f t="shared" si="7"/>
        <v>echo itemCost,500000, &gt;&gt; .\items\materia\class0028\Cenobite50.dbr</v>
      </c>
      <c r="R52" t="str">
        <f t="shared" si="7"/>
        <v>echo description,dailCompDescCenobite50, &gt;&gt; .\items\materia\class0028\Cenobite50.dbr</v>
      </c>
      <c r="S52" t="str">
        <f t="shared" si="7"/>
        <v>echo itemText,dailCompTextCenobite50, &gt;&gt; .\items\materia\class0028\Cenobite50.dbr</v>
      </c>
      <c r="T52" t="str">
        <f t="shared" si="7"/>
        <v>echo augmentSkillLevel1,3, &gt;&gt; .\items\materia\class0028\Cenobite50.dbr</v>
      </c>
      <c r="U52" t="str">
        <f t="shared" si="7"/>
        <v>echo augmentSkillName1,records/skills/playerclass28/shieldattack_tra.dbr, &gt;&gt; .\items\materia\class0028\Cenobite50.dbr</v>
      </c>
      <c r="V52" s="5" t="s">
        <v>36</v>
      </c>
      <c r="W52" t="str">
        <f t="shared" si="8"/>
        <v>echo lootName50,DAIL/items/materia/class0028/Cenobite50.dbr, &gt;&gt; .\items\loottables\dailoneskill0028.dbr</v>
      </c>
      <c r="X52" t="str">
        <f t="shared" si="8"/>
        <v>echo lootWeight50,1, &gt;&gt; .\items\loottables\dailoneskill0028.dbr</v>
      </c>
      <c r="Y52" s="5" t="s">
        <v>36</v>
      </c>
      <c r="Z52" t="str">
        <f t="shared" si="9"/>
        <v xml:space="preserve"> dailCompDescCenobite50=^pCenobite's Gift of DAIL</v>
      </c>
      <c r="AA52" t="str">
        <f t="shared" si="17"/>
        <v>dailCompTextCenobite50=^oThis feels warm to the touch, almost familiar ^w(This component only fits into the Medal Slot)</v>
      </c>
      <c r="AB52" s="5" t="s">
        <v>36</v>
      </c>
      <c r="AH52">
        <f t="shared" si="19"/>
        <v>47</v>
      </c>
      <c r="AI52">
        <f t="shared" si="22"/>
        <v>35</v>
      </c>
      <c r="AJ52">
        <f t="shared" si="18"/>
        <v>3</v>
      </c>
    </row>
    <row r="53" spans="1:36" x14ac:dyDescent="0.25">
      <c r="A53" s="5" t="s">
        <v>39</v>
      </c>
      <c r="B53" s="5" t="s">
        <v>30</v>
      </c>
      <c r="C53" s="5" t="str">
        <f t="shared" si="0"/>
        <v>description,dailCompDescCenobite51,</v>
      </c>
      <c r="D53" s="5" t="str">
        <f t="shared" si="2"/>
        <v>itemText,dailCompTextCenobite51,</v>
      </c>
      <c r="E53" s="5" t="str">
        <f t="shared" si="14"/>
        <v>augmentSkillLevel1,3,</v>
      </c>
      <c r="F53" s="5" t="str">
        <f t="shared" si="15"/>
        <v>augmentSkillName1,records/skills/playerclass28/perfectdefend.dbr,</v>
      </c>
      <c r="G53" s="7">
        <f t="shared" si="10"/>
        <v>51</v>
      </c>
      <c r="H53" s="8" t="str">
        <f t="shared" si="11"/>
        <v>Cenobite</v>
      </c>
      <c r="I53" s="3" t="s">
        <v>237</v>
      </c>
      <c r="J53" s="8" t="str">
        <f t="shared" ref="J53:K68" si="23">J52</f>
        <v>class0028</v>
      </c>
      <c r="K53" s="8" t="str">
        <f t="shared" si="23"/>
        <v>dailoneskill0028</v>
      </c>
      <c r="L53" s="5" t="str">
        <f t="shared" si="4"/>
        <v>lootName51,DAIL/items/materia/class0028/Cenobite51.dbr,</v>
      </c>
      <c r="M53" s="5" t="str">
        <f t="shared" si="5"/>
        <v>lootWeight51,1,</v>
      </c>
      <c r="N53" t="str">
        <f t="shared" si="6"/>
        <v>3</v>
      </c>
      <c r="O53" t="str">
        <f t="shared" si="16"/>
        <v>copy .\dail_base3.dbr .\items\materia\class0028\Cenobite51.dbr /y</v>
      </c>
      <c r="P53" t="str">
        <f t="shared" si="7"/>
        <v>echo relicBitmap,items/craftingparts/components/component_a52_bristlyfur_b.tex, &gt;&gt; .\items\materia\class0028\Cenobite51.dbr</v>
      </c>
      <c r="Q53" t="str">
        <f t="shared" si="7"/>
        <v>echo itemCost,500000, &gt;&gt; .\items\materia\class0028\Cenobite51.dbr</v>
      </c>
      <c r="R53" t="str">
        <f t="shared" si="7"/>
        <v>echo description,dailCompDescCenobite51, &gt;&gt; .\items\materia\class0028\Cenobite51.dbr</v>
      </c>
      <c r="S53" t="str">
        <f t="shared" si="7"/>
        <v>echo itemText,dailCompTextCenobite51, &gt;&gt; .\items\materia\class0028\Cenobite51.dbr</v>
      </c>
      <c r="T53" t="str">
        <f t="shared" si="7"/>
        <v>echo augmentSkillLevel1,3, &gt;&gt; .\items\materia\class0028\Cenobite51.dbr</v>
      </c>
      <c r="U53" t="str">
        <f t="shared" si="7"/>
        <v>echo augmentSkillName1,records/skills/playerclass28/perfectdefend.dbr, &gt;&gt; .\items\materia\class0028\Cenobite51.dbr</v>
      </c>
      <c r="V53" s="5" t="s">
        <v>36</v>
      </c>
      <c r="W53" t="str">
        <f t="shared" si="8"/>
        <v>echo lootName51,DAIL/items/materia/class0028/Cenobite51.dbr, &gt;&gt; .\items\loottables\dailoneskill0028.dbr</v>
      </c>
      <c r="X53" t="str">
        <f t="shared" si="8"/>
        <v>echo lootWeight51,1, &gt;&gt; .\items\loottables\dailoneskill0028.dbr</v>
      </c>
      <c r="Y53" s="5" t="s">
        <v>36</v>
      </c>
      <c r="Z53" t="str">
        <f t="shared" si="9"/>
        <v xml:space="preserve"> dailCompDescCenobite51=^pCenobite's Gift of DAIL</v>
      </c>
      <c r="AA53" t="str">
        <f t="shared" si="17"/>
        <v>dailCompTextCenobite51=^oThis feels warm to the touch, almost familiar ^w(This component only fits into the Medal Slot)</v>
      </c>
      <c r="AB53" s="5" t="s">
        <v>36</v>
      </c>
      <c r="AH53">
        <f t="shared" si="19"/>
        <v>48</v>
      </c>
      <c r="AI53">
        <f t="shared" si="22"/>
        <v>32</v>
      </c>
      <c r="AJ53">
        <f t="shared" si="18"/>
        <v>3</v>
      </c>
    </row>
    <row r="54" spans="1:36" x14ac:dyDescent="0.25">
      <c r="A54" s="5" t="s">
        <v>39</v>
      </c>
      <c r="B54" s="5" t="s">
        <v>30</v>
      </c>
      <c r="C54" s="5" t="str">
        <f t="shared" si="0"/>
        <v>description,dailCompDescCenobite52,</v>
      </c>
      <c r="D54" s="5" t="str">
        <f t="shared" si="2"/>
        <v>itemText,dailCompTextCenobite52,</v>
      </c>
      <c r="E54" s="5" t="str">
        <f t="shared" si="14"/>
        <v>augmentSkillLevel1,3,</v>
      </c>
      <c r="F54" s="5" t="str">
        <f t="shared" si="15"/>
        <v>augmentSkillName1,records/skills/playerclass28/shielddefense_01.dbr,</v>
      </c>
      <c r="G54" s="7">
        <f t="shared" si="10"/>
        <v>52</v>
      </c>
      <c r="H54" s="8" t="str">
        <f t="shared" si="11"/>
        <v>Cenobite</v>
      </c>
      <c r="I54" s="3" t="s">
        <v>480</v>
      </c>
      <c r="J54" s="8" t="str">
        <f t="shared" si="23"/>
        <v>class0028</v>
      </c>
      <c r="K54" s="8" t="str">
        <f t="shared" si="23"/>
        <v>dailoneskill0028</v>
      </c>
      <c r="L54" s="5" t="str">
        <f t="shared" si="4"/>
        <v>lootName52,DAIL/items/materia/class0028/Cenobite52.dbr,</v>
      </c>
      <c r="M54" s="5" t="str">
        <f t="shared" si="5"/>
        <v>lootWeight52,1,</v>
      </c>
      <c r="N54" t="str">
        <f t="shared" si="6"/>
        <v>3</v>
      </c>
      <c r="O54" t="str">
        <f t="shared" si="16"/>
        <v>copy .\dail_base3.dbr .\items\materia\class0028\Cenobite52.dbr /y</v>
      </c>
      <c r="P54" t="str">
        <f t="shared" si="7"/>
        <v>echo relicBitmap,items/craftingparts/components/component_a52_bristlyfur_b.tex, &gt;&gt; .\items\materia\class0028\Cenobite52.dbr</v>
      </c>
      <c r="Q54" t="str">
        <f t="shared" si="7"/>
        <v>echo itemCost,500000, &gt;&gt; .\items\materia\class0028\Cenobite52.dbr</v>
      </c>
      <c r="R54" t="str">
        <f t="shared" si="7"/>
        <v>echo description,dailCompDescCenobite52, &gt;&gt; .\items\materia\class0028\Cenobite52.dbr</v>
      </c>
      <c r="S54" t="str">
        <f t="shared" si="7"/>
        <v>echo itemText,dailCompTextCenobite52, &gt;&gt; .\items\materia\class0028\Cenobite52.dbr</v>
      </c>
      <c r="T54" t="str">
        <f t="shared" si="7"/>
        <v>echo augmentSkillLevel1,3, &gt;&gt; .\items\materia\class0028\Cenobite52.dbr</v>
      </c>
      <c r="U54" t="str">
        <f t="shared" si="7"/>
        <v>echo augmentSkillName1,records/skills/playerclass28/shielddefense_01.dbr, &gt;&gt; .\items\materia\class0028\Cenobite52.dbr</v>
      </c>
      <c r="V54" s="5" t="s">
        <v>36</v>
      </c>
      <c r="W54" t="str">
        <f t="shared" si="8"/>
        <v>echo lootName52,DAIL/items/materia/class0028/Cenobite52.dbr, &gt;&gt; .\items\loottables\dailoneskill0028.dbr</v>
      </c>
      <c r="X54" t="str">
        <f t="shared" si="8"/>
        <v>echo lootWeight52,1, &gt;&gt; .\items\loottables\dailoneskill0028.dbr</v>
      </c>
      <c r="Y54" s="5" t="s">
        <v>36</v>
      </c>
      <c r="Z54" t="str">
        <f t="shared" si="9"/>
        <v xml:space="preserve"> dailCompDescCenobite52=^pCenobite's Gift of DAIL</v>
      </c>
      <c r="AA54" t="str">
        <f t="shared" si="17"/>
        <v>dailCompTextCenobite52=^oThis feels warm to the touch, almost familiar ^w(This component only fits into the Medal Slot)</v>
      </c>
      <c r="AB54" s="5" t="s">
        <v>36</v>
      </c>
      <c r="AH54">
        <f t="shared" si="19"/>
        <v>49</v>
      </c>
      <c r="AI54">
        <f t="shared" si="22"/>
        <v>35</v>
      </c>
      <c r="AJ54">
        <f t="shared" si="18"/>
        <v>3</v>
      </c>
    </row>
    <row r="55" spans="1:36" x14ac:dyDescent="0.25">
      <c r="A55" s="5" t="s">
        <v>39</v>
      </c>
      <c r="B55" s="5" t="s">
        <v>30</v>
      </c>
      <c r="C55" s="5" t="str">
        <f t="shared" si="0"/>
        <v>description,dailCompDescCenobite53,</v>
      </c>
      <c r="D55" s="5" t="str">
        <f t="shared" si="2"/>
        <v>itemText,dailCompTextCenobite53,</v>
      </c>
      <c r="E55" s="5" t="str">
        <f t="shared" si="14"/>
        <v>augmentSkillLevel1,3,</v>
      </c>
      <c r="F55" s="5" t="str">
        <f t="shared" si="15"/>
        <v>augmentSkillName1,records/skills/playerclass28/shielddefense.dbr,</v>
      </c>
      <c r="G55" s="7">
        <f t="shared" si="10"/>
        <v>53</v>
      </c>
      <c r="H55" s="8" t="str">
        <f t="shared" si="11"/>
        <v>Cenobite</v>
      </c>
      <c r="I55" s="3" t="s">
        <v>241</v>
      </c>
      <c r="J55" s="8" t="str">
        <f t="shared" si="23"/>
        <v>class0028</v>
      </c>
      <c r="K55" s="8" t="str">
        <f t="shared" si="23"/>
        <v>dailoneskill0028</v>
      </c>
      <c r="L55" s="5" t="str">
        <f t="shared" si="4"/>
        <v>lootName53,DAIL/items/materia/class0028/Cenobite53.dbr,</v>
      </c>
      <c r="M55" s="5" t="str">
        <f t="shared" si="5"/>
        <v>lootWeight53,1,</v>
      </c>
      <c r="N55" t="str">
        <f t="shared" si="6"/>
        <v>3</v>
      </c>
      <c r="O55" t="str">
        <f t="shared" si="16"/>
        <v>copy .\dail_base3.dbr .\items\materia\class0028\Cenobite53.dbr /y</v>
      </c>
      <c r="P55" t="str">
        <f t="shared" si="7"/>
        <v>echo relicBitmap,items/craftingparts/components/component_a52_bristlyfur_b.tex, &gt;&gt; .\items\materia\class0028\Cenobite53.dbr</v>
      </c>
      <c r="Q55" t="str">
        <f t="shared" si="7"/>
        <v>echo itemCost,500000, &gt;&gt; .\items\materia\class0028\Cenobite53.dbr</v>
      </c>
      <c r="R55" t="str">
        <f t="shared" si="7"/>
        <v>echo description,dailCompDescCenobite53, &gt;&gt; .\items\materia\class0028\Cenobite53.dbr</v>
      </c>
      <c r="S55" t="str">
        <f t="shared" si="7"/>
        <v>echo itemText,dailCompTextCenobite53, &gt;&gt; .\items\materia\class0028\Cenobite53.dbr</v>
      </c>
      <c r="T55" t="str">
        <f t="shared" si="7"/>
        <v>echo augmentSkillLevel1,3, &gt;&gt; .\items\materia\class0028\Cenobite53.dbr</v>
      </c>
      <c r="U55" t="str">
        <f t="shared" si="7"/>
        <v>echo augmentSkillName1,records/skills/playerclass28/shielddefense.dbr, &gt;&gt; .\items\materia\class0028\Cenobite53.dbr</v>
      </c>
      <c r="V55" s="5" t="s">
        <v>36</v>
      </c>
      <c r="W55" t="str">
        <f t="shared" si="8"/>
        <v>echo lootName53,DAIL/items/materia/class0028/Cenobite53.dbr, &gt;&gt; .\items\loottables\dailoneskill0028.dbr</v>
      </c>
      <c r="X55" t="str">
        <f t="shared" si="8"/>
        <v>echo lootWeight53,1, &gt;&gt; .\items\loottables\dailoneskill0028.dbr</v>
      </c>
      <c r="Y55" s="5" t="s">
        <v>36</v>
      </c>
      <c r="Z55" t="str">
        <f t="shared" si="9"/>
        <v xml:space="preserve"> dailCompDescCenobite53=^pCenobite's Gift of DAIL</v>
      </c>
      <c r="AA55" t="str">
        <f t="shared" si="17"/>
        <v>dailCompTextCenobite53=^oThis feels warm to the touch, almost familiar ^w(This component only fits into the Medal Slot)</v>
      </c>
      <c r="AB55" s="5" t="s">
        <v>36</v>
      </c>
      <c r="AH55">
        <f t="shared" si="19"/>
        <v>50</v>
      </c>
      <c r="AI55">
        <f t="shared" si="22"/>
        <v>32</v>
      </c>
      <c r="AJ55">
        <f t="shared" si="18"/>
        <v>3</v>
      </c>
    </row>
    <row r="56" spans="1:36" x14ac:dyDescent="0.25">
      <c r="A56" s="5" t="s">
        <v>39</v>
      </c>
      <c r="B56" s="5" t="s">
        <v>30</v>
      </c>
      <c r="C56" s="5" t="str">
        <f t="shared" si="0"/>
        <v>description,dailCompDescCenobite54,</v>
      </c>
      <c r="D56" s="5" t="str">
        <f t="shared" si="2"/>
        <v>itemText,dailCompTextCenobite54,</v>
      </c>
      <c r="E56" s="5" t="str">
        <f t="shared" si="14"/>
        <v>augmentSkillLevel1,3,</v>
      </c>
      <c r="F56" s="5" t="str">
        <f t="shared" si="15"/>
        <v>augmentSkillName1,records/skills/playerclass28/shiled_tra.dbr,</v>
      </c>
      <c r="G56" s="7">
        <f t="shared" si="10"/>
        <v>54</v>
      </c>
      <c r="H56" s="8" t="str">
        <f t="shared" si="11"/>
        <v>Cenobite</v>
      </c>
      <c r="I56" s="3" t="s">
        <v>242</v>
      </c>
      <c r="J56" s="8" t="str">
        <f t="shared" si="23"/>
        <v>class0028</v>
      </c>
      <c r="K56" s="8" t="str">
        <f t="shared" si="23"/>
        <v>dailoneskill0028</v>
      </c>
      <c r="L56" s="5" t="str">
        <f t="shared" si="4"/>
        <v>lootName54,DAIL/items/materia/class0028/Cenobite54.dbr,</v>
      </c>
      <c r="M56" s="5" t="str">
        <f t="shared" si="5"/>
        <v>lootWeight54,1,</v>
      </c>
      <c r="N56" t="str">
        <f t="shared" si="6"/>
        <v>3</v>
      </c>
      <c r="O56" t="str">
        <f t="shared" si="16"/>
        <v>copy .\dail_base3.dbr .\items\materia\class0028\Cenobite54.dbr /y</v>
      </c>
      <c r="P56" t="str">
        <f t="shared" si="7"/>
        <v>echo relicBitmap,items/craftingparts/components/component_a52_bristlyfur_b.tex, &gt;&gt; .\items\materia\class0028\Cenobite54.dbr</v>
      </c>
      <c r="Q56" t="str">
        <f t="shared" si="7"/>
        <v>echo itemCost,500000, &gt;&gt; .\items\materia\class0028\Cenobite54.dbr</v>
      </c>
      <c r="R56" t="str">
        <f t="shared" si="7"/>
        <v>echo description,dailCompDescCenobite54, &gt;&gt; .\items\materia\class0028\Cenobite54.dbr</v>
      </c>
      <c r="S56" t="str">
        <f t="shared" si="7"/>
        <v>echo itemText,dailCompTextCenobite54, &gt;&gt; .\items\materia\class0028\Cenobite54.dbr</v>
      </c>
      <c r="T56" t="str">
        <f t="shared" si="7"/>
        <v>echo augmentSkillLevel1,3, &gt;&gt; .\items\materia\class0028\Cenobite54.dbr</v>
      </c>
      <c r="U56" t="str">
        <f t="shared" si="7"/>
        <v>echo augmentSkillName1,records/skills/playerclass28/shiled_tra.dbr, &gt;&gt; .\items\materia\class0028\Cenobite54.dbr</v>
      </c>
      <c r="V56" s="5" t="s">
        <v>36</v>
      </c>
      <c r="W56" t="str">
        <f t="shared" si="8"/>
        <v>echo lootName54,DAIL/items/materia/class0028/Cenobite54.dbr, &gt;&gt; .\items\loottables\dailoneskill0028.dbr</v>
      </c>
      <c r="X56" t="str">
        <f t="shared" si="8"/>
        <v>echo lootWeight54,1, &gt;&gt; .\items\loottables\dailoneskill0028.dbr</v>
      </c>
      <c r="Y56" s="5" t="s">
        <v>36</v>
      </c>
      <c r="Z56" t="str">
        <f t="shared" si="9"/>
        <v xml:space="preserve"> dailCompDescCenobite54=^pCenobite's Gift of DAIL</v>
      </c>
      <c r="AA56" t="str">
        <f t="shared" si="17"/>
        <v>dailCompTextCenobite54=^oThis feels warm to the touch, almost familiar ^w(This component only fits into the Medal Slot)</v>
      </c>
      <c r="AB56" s="5" t="s">
        <v>36</v>
      </c>
      <c r="AH56">
        <f t="shared" si="19"/>
        <v>51</v>
      </c>
      <c r="AI56">
        <f t="shared" si="22"/>
        <v>29</v>
      </c>
      <c r="AJ56">
        <f t="shared" si="18"/>
        <v>3</v>
      </c>
    </row>
    <row r="57" spans="1:36" x14ac:dyDescent="0.25">
      <c r="A57" s="5" t="s">
        <v>39</v>
      </c>
      <c r="B57" s="5" t="s">
        <v>30</v>
      </c>
      <c r="C57" s="5" t="str">
        <f t="shared" si="0"/>
        <v>description,dailCompDescCenobite55,</v>
      </c>
      <c r="D57" s="5" t="str">
        <f t="shared" si="2"/>
        <v>itemText,dailCompTextCenobite55,</v>
      </c>
      <c r="E57" s="5" t="str">
        <f t="shared" si="14"/>
        <v>augmentSkillLevel1,3,</v>
      </c>
      <c r="F57" s="5" t="str">
        <f t="shared" si="15"/>
        <v>augmentSkillName1,records/skills/playerclass28/angel.dbr,</v>
      </c>
      <c r="G57" s="7">
        <f t="shared" si="10"/>
        <v>55</v>
      </c>
      <c r="H57" s="8" t="str">
        <f t="shared" si="11"/>
        <v>Cenobite</v>
      </c>
      <c r="I57" s="3" t="s">
        <v>231</v>
      </c>
      <c r="J57" s="8" t="str">
        <f t="shared" si="23"/>
        <v>class0028</v>
      </c>
      <c r="K57" s="8" t="str">
        <f t="shared" si="23"/>
        <v>dailoneskill0028</v>
      </c>
      <c r="L57" s="5" t="str">
        <f t="shared" si="4"/>
        <v>lootName55,DAIL/items/materia/class0028/Cenobite55.dbr,</v>
      </c>
      <c r="M57" s="5" t="str">
        <f t="shared" si="5"/>
        <v>lootWeight55,1,</v>
      </c>
      <c r="N57" t="str">
        <f t="shared" si="6"/>
        <v>3</v>
      </c>
      <c r="O57" t="str">
        <f t="shared" si="16"/>
        <v>copy .\dail_base3.dbr .\items\materia\class0028\Cenobite55.dbr /y</v>
      </c>
      <c r="P57" t="str">
        <f t="shared" si="7"/>
        <v>echo relicBitmap,items/craftingparts/components/component_a52_bristlyfur_b.tex, &gt;&gt; .\items\materia\class0028\Cenobite55.dbr</v>
      </c>
      <c r="Q57" t="str">
        <f t="shared" si="7"/>
        <v>echo itemCost,500000, &gt;&gt; .\items\materia\class0028\Cenobite55.dbr</v>
      </c>
      <c r="R57" t="str">
        <f t="shared" si="7"/>
        <v>echo description,dailCompDescCenobite55, &gt;&gt; .\items\materia\class0028\Cenobite55.dbr</v>
      </c>
      <c r="S57" t="str">
        <f t="shared" si="7"/>
        <v>echo itemText,dailCompTextCenobite55, &gt;&gt; .\items\materia\class0028\Cenobite55.dbr</v>
      </c>
      <c r="T57" t="str">
        <f t="shared" si="7"/>
        <v>echo augmentSkillLevel1,3, &gt;&gt; .\items\materia\class0028\Cenobite55.dbr</v>
      </c>
      <c r="U57" t="str">
        <f t="shared" si="7"/>
        <v>echo augmentSkillName1,records/skills/playerclass28/angel.dbr, &gt;&gt; .\items\materia\class0028\Cenobite55.dbr</v>
      </c>
      <c r="V57" s="5" t="s">
        <v>36</v>
      </c>
      <c r="W57" t="str">
        <f t="shared" si="8"/>
        <v>echo lootName55,DAIL/items/materia/class0028/Cenobite55.dbr, &gt;&gt; .\items\loottables\dailoneskill0028.dbr</v>
      </c>
      <c r="X57" t="str">
        <f t="shared" si="8"/>
        <v>echo lootWeight55,1, &gt;&gt; .\items\loottables\dailoneskill0028.dbr</v>
      </c>
      <c r="Y57" s="5" t="s">
        <v>36</v>
      </c>
      <c r="Z57" t="str">
        <f t="shared" si="9"/>
        <v xml:space="preserve"> dailCompDescCenobite55=^pCenobite's Gift of DAIL</v>
      </c>
      <c r="AA57" t="str">
        <f t="shared" si="17"/>
        <v>dailCompTextCenobite55=^oThis feels warm to the touch, almost familiar ^w(This component only fits into the Medal Slot)</v>
      </c>
      <c r="AB57" s="5" t="s">
        <v>36</v>
      </c>
      <c r="AH57">
        <f t="shared" si="19"/>
        <v>52</v>
      </c>
      <c r="AI57">
        <f t="shared" si="22"/>
        <v>24</v>
      </c>
      <c r="AJ57">
        <f t="shared" si="18"/>
        <v>3</v>
      </c>
    </row>
    <row r="58" spans="1:36" x14ac:dyDescent="0.25">
      <c r="A58" s="5" t="s">
        <v>39</v>
      </c>
      <c r="B58" s="5" t="s">
        <v>30</v>
      </c>
      <c r="C58" s="5" t="str">
        <f t="shared" si="0"/>
        <v>description,dailCompDescCenobite56,</v>
      </c>
      <c r="D58" s="5" t="str">
        <f t="shared" si="2"/>
        <v>itemText,dailCompTextCenobite56,</v>
      </c>
      <c r="E58" s="5" t="str">
        <f t="shared" si="14"/>
        <v>augmentSkillLevel1,3,</v>
      </c>
      <c r="F58" s="5" t="str">
        <f t="shared" si="15"/>
        <v>augmentSkillName1,records/skills/playerclass28/healing.dbr,</v>
      </c>
      <c r="G58" s="7">
        <f t="shared" si="10"/>
        <v>56</v>
      </c>
      <c r="H58" s="8" t="str">
        <f t="shared" si="11"/>
        <v>Cenobite</v>
      </c>
      <c r="I58" s="3" t="s">
        <v>233</v>
      </c>
      <c r="J58" s="8" t="str">
        <f t="shared" si="23"/>
        <v>class0028</v>
      </c>
      <c r="K58" s="8" t="str">
        <f t="shared" si="23"/>
        <v>dailoneskill0028</v>
      </c>
      <c r="L58" s="5" t="str">
        <f t="shared" si="4"/>
        <v>lootName56,DAIL/items/materia/class0028/Cenobite56.dbr,</v>
      </c>
      <c r="M58" s="5" t="str">
        <f t="shared" si="5"/>
        <v>lootWeight56,1,</v>
      </c>
      <c r="N58" t="str">
        <f t="shared" si="6"/>
        <v>3</v>
      </c>
      <c r="O58" t="str">
        <f t="shared" si="16"/>
        <v>copy .\dail_base3.dbr .\items\materia\class0028\Cenobite56.dbr /y</v>
      </c>
      <c r="P58" t="str">
        <f t="shared" si="7"/>
        <v>echo relicBitmap,items/craftingparts/components/component_a52_bristlyfur_b.tex, &gt;&gt; .\items\materia\class0028\Cenobite56.dbr</v>
      </c>
      <c r="Q58" t="str">
        <f t="shared" si="7"/>
        <v>echo itemCost,500000, &gt;&gt; .\items\materia\class0028\Cenobite56.dbr</v>
      </c>
      <c r="R58" t="str">
        <f t="shared" si="7"/>
        <v>echo description,dailCompDescCenobite56, &gt;&gt; .\items\materia\class0028\Cenobite56.dbr</v>
      </c>
      <c r="S58" t="str">
        <f t="shared" si="7"/>
        <v>echo itemText,dailCompTextCenobite56, &gt;&gt; .\items\materia\class0028\Cenobite56.dbr</v>
      </c>
      <c r="T58" t="str">
        <f t="shared" si="7"/>
        <v>echo augmentSkillLevel1,3, &gt;&gt; .\items\materia\class0028\Cenobite56.dbr</v>
      </c>
      <c r="U58" t="str">
        <f t="shared" si="7"/>
        <v>echo augmentSkillName1,records/skills/playerclass28/healing.dbr, &gt;&gt; .\items\materia\class0028\Cenobite56.dbr</v>
      </c>
      <c r="V58" s="5" t="s">
        <v>36</v>
      </c>
      <c r="W58" t="str">
        <f t="shared" si="8"/>
        <v>echo lootName56,DAIL/items/materia/class0028/Cenobite56.dbr, &gt;&gt; .\items\loottables\dailoneskill0028.dbr</v>
      </c>
      <c r="X58" t="str">
        <f t="shared" si="8"/>
        <v>echo lootWeight56,1, &gt;&gt; .\items\loottables\dailoneskill0028.dbr</v>
      </c>
      <c r="Y58" s="5" t="s">
        <v>36</v>
      </c>
      <c r="Z58" t="str">
        <f t="shared" si="9"/>
        <v xml:space="preserve"> dailCompDescCenobite56=^pCenobite's Gift of DAIL</v>
      </c>
      <c r="AA58" t="str">
        <f t="shared" si="17"/>
        <v>dailCompTextCenobite56=^oThis feels warm to the touch, almost familiar ^w(This component only fits into the Medal Slot)</v>
      </c>
      <c r="AB58" s="5" t="s">
        <v>36</v>
      </c>
      <c r="AH58">
        <f t="shared" si="19"/>
        <v>53</v>
      </c>
      <c r="AI58">
        <f t="shared" si="22"/>
        <v>26</v>
      </c>
      <c r="AJ58">
        <f t="shared" si="18"/>
        <v>3</v>
      </c>
    </row>
    <row r="59" spans="1:36" x14ac:dyDescent="0.25">
      <c r="A59" s="5" t="s">
        <v>39</v>
      </c>
      <c r="B59" s="5" t="s">
        <v>30</v>
      </c>
      <c r="C59" s="5" t="str">
        <f t="shared" si="0"/>
        <v>description,dailCompDescCenobite57,</v>
      </c>
      <c r="D59" s="5" t="str">
        <f t="shared" si="2"/>
        <v>itemText,dailCompTextCenobite57,</v>
      </c>
      <c r="E59" s="5" t="str">
        <f t="shared" si="14"/>
        <v>augmentSkillLevel1,3,</v>
      </c>
      <c r="F59" s="5" t="str">
        <f t="shared" si="15"/>
        <v>augmentSkillName1,records/skills/playerclass28/hammer_tra.dbr,</v>
      </c>
      <c r="G59" s="7">
        <f t="shared" si="10"/>
        <v>57</v>
      </c>
      <c r="H59" s="8" t="str">
        <f t="shared" si="11"/>
        <v>Cenobite</v>
      </c>
      <c r="I59" s="3" t="s">
        <v>481</v>
      </c>
      <c r="J59" s="8" t="str">
        <f t="shared" si="23"/>
        <v>class0028</v>
      </c>
      <c r="K59" s="8" t="str">
        <f t="shared" si="23"/>
        <v>dailoneskill0028</v>
      </c>
      <c r="L59" s="5" t="str">
        <f t="shared" si="4"/>
        <v>lootName57,DAIL/items/materia/class0028/Cenobite57.dbr,</v>
      </c>
      <c r="M59" s="5" t="str">
        <f t="shared" si="5"/>
        <v>lootWeight57,1,</v>
      </c>
      <c r="N59" t="str">
        <f t="shared" si="6"/>
        <v>3</v>
      </c>
      <c r="O59" t="str">
        <f t="shared" si="16"/>
        <v>copy .\dail_base3.dbr .\items\materia\class0028\Cenobite57.dbr /y</v>
      </c>
      <c r="P59" t="str">
        <f t="shared" ref="P59:U101" si="24">IF($I59&lt;&gt;"","echo "&amp;A59&amp;" &gt;&gt; .\items\materia\"&amp;$J59&amp;"\"&amp;$H59&amp;$G59&amp;".dbr","")</f>
        <v>echo relicBitmap,items/craftingparts/components/component_a52_bristlyfur_b.tex, &gt;&gt; .\items\materia\class0028\Cenobite57.dbr</v>
      </c>
      <c r="Q59" t="str">
        <f t="shared" si="24"/>
        <v>echo itemCost,500000, &gt;&gt; .\items\materia\class0028\Cenobite57.dbr</v>
      </c>
      <c r="R59" t="str">
        <f t="shared" si="24"/>
        <v>echo description,dailCompDescCenobite57, &gt;&gt; .\items\materia\class0028\Cenobite57.dbr</v>
      </c>
      <c r="S59" t="str">
        <f t="shared" si="24"/>
        <v>echo itemText,dailCompTextCenobite57, &gt;&gt; .\items\materia\class0028\Cenobite57.dbr</v>
      </c>
      <c r="T59" t="str">
        <f t="shared" si="24"/>
        <v>echo augmentSkillLevel1,3, &gt;&gt; .\items\materia\class0028\Cenobite57.dbr</v>
      </c>
      <c r="U59" t="str">
        <f t="shared" si="24"/>
        <v>echo augmentSkillName1,records/skills/playerclass28/hammer_tra.dbr, &gt;&gt; .\items\materia\class0028\Cenobite57.dbr</v>
      </c>
      <c r="V59" s="5" t="s">
        <v>36</v>
      </c>
      <c r="W59" t="str">
        <f t="shared" si="8"/>
        <v>echo lootName57,DAIL/items/materia/class0028/Cenobite57.dbr, &gt;&gt; .\items\loottables\dailoneskill0028.dbr</v>
      </c>
      <c r="X59" t="str">
        <f t="shared" si="8"/>
        <v>echo lootWeight57,1, &gt;&gt; .\items\loottables\dailoneskill0028.dbr</v>
      </c>
      <c r="Y59" s="5" t="s">
        <v>36</v>
      </c>
      <c r="Z59" t="str">
        <f t="shared" si="9"/>
        <v xml:space="preserve"> dailCompDescCenobite57=^pCenobite's Gift of DAIL</v>
      </c>
      <c r="AA59" t="str">
        <f t="shared" si="17"/>
        <v>dailCompTextCenobite57=^oThis feels warm to the touch, almost familiar ^w(This component only fits into the Medal Slot)</v>
      </c>
      <c r="AB59" s="5" t="s">
        <v>36</v>
      </c>
      <c r="AH59">
        <f t="shared" si="19"/>
        <v>54</v>
      </c>
      <c r="AI59">
        <f t="shared" si="22"/>
        <v>29</v>
      </c>
      <c r="AJ59">
        <f t="shared" si="18"/>
        <v>3</v>
      </c>
    </row>
    <row r="60" spans="1:36" x14ac:dyDescent="0.25">
      <c r="A60" s="5" t="s">
        <v>39</v>
      </c>
      <c r="B60" s="5" t="s">
        <v>30</v>
      </c>
      <c r="C60" s="5" t="str">
        <f t="shared" si="0"/>
        <v>description,dailCompDescCenobite58,</v>
      </c>
      <c r="D60" s="5" t="str">
        <f t="shared" si="2"/>
        <v>itemText,dailCompTextCenobite58,</v>
      </c>
      <c r="E60" s="5" t="str">
        <f t="shared" si="14"/>
        <v>augmentSkillLevel1,3,</v>
      </c>
      <c r="F60" s="5" t="str">
        <f t="shared" si="15"/>
        <v>augmentSkillName1,records/skills/playerclass28/healing_mod1.dbr,</v>
      </c>
      <c r="G60" s="7">
        <f t="shared" si="10"/>
        <v>58</v>
      </c>
      <c r="H60" s="8" t="str">
        <f t="shared" si="11"/>
        <v>Cenobite</v>
      </c>
      <c r="I60" s="3" t="s">
        <v>482</v>
      </c>
      <c r="J60" s="8" t="str">
        <f t="shared" si="23"/>
        <v>class0028</v>
      </c>
      <c r="K60" s="8" t="str">
        <f t="shared" si="23"/>
        <v>dailoneskill0028</v>
      </c>
      <c r="L60" s="5" t="str">
        <f t="shared" si="4"/>
        <v>lootName58,DAIL/items/materia/class0028/Cenobite58.dbr,</v>
      </c>
      <c r="M60" s="5" t="str">
        <f t="shared" si="5"/>
        <v>lootWeight58,1,</v>
      </c>
      <c r="N60" t="str">
        <f t="shared" si="6"/>
        <v>3</v>
      </c>
      <c r="O60" t="str">
        <f t="shared" si="16"/>
        <v>copy .\dail_base3.dbr .\items\materia\class0028\Cenobite58.dbr /y</v>
      </c>
      <c r="P60" t="str">
        <f t="shared" si="24"/>
        <v>echo relicBitmap,items/craftingparts/components/component_a52_bristlyfur_b.tex, &gt;&gt; .\items\materia\class0028\Cenobite58.dbr</v>
      </c>
      <c r="Q60" t="str">
        <f t="shared" si="24"/>
        <v>echo itemCost,500000, &gt;&gt; .\items\materia\class0028\Cenobite58.dbr</v>
      </c>
      <c r="R60" t="str">
        <f t="shared" si="24"/>
        <v>echo description,dailCompDescCenobite58, &gt;&gt; .\items\materia\class0028\Cenobite58.dbr</v>
      </c>
      <c r="S60" t="str">
        <f t="shared" si="24"/>
        <v>echo itemText,dailCompTextCenobite58, &gt;&gt; .\items\materia\class0028\Cenobite58.dbr</v>
      </c>
      <c r="T60" t="str">
        <f t="shared" si="24"/>
        <v>echo augmentSkillLevel1,3, &gt;&gt; .\items\materia\class0028\Cenobite58.dbr</v>
      </c>
      <c r="U60" t="str">
        <f t="shared" si="24"/>
        <v>echo augmentSkillName1,records/skills/playerclass28/healing_mod1.dbr, &gt;&gt; .\items\materia\class0028\Cenobite58.dbr</v>
      </c>
      <c r="V60" s="5" t="s">
        <v>36</v>
      </c>
      <c r="W60" t="str">
        <f t="shared" si="8"/>
        <v>echo lootName58,DAIL/items/materia/class0028/Cenobite58.dbr, &gt;&gt; .\items\loottables\dailoneskill0028.dbr</v>
      </c>
      <c r="X60" t="str">
        <f t="shared" si="8"/>
        <v>echo lootWeight58,1, &gt;&gt; .\items\loottables\dailoneskill0028.dbr</v>
      </c>
      <c r="Y60" s="5" t="s">
        <v>36</v>
      </c>
      <c r="Z60" t="str">
        <f t="shared" si="9"/>
        <v xml:space="preserve"> dailCompDescCenobite58=^pCenobite's Gift of DAIL</v>
      </c>
      <c r="AA60" t="str">
        <f t="shared" si="17"/>
        <v>dailCompTextCenobite58=^oThis feels warm to the touch, almost familiar ^w(This component only fits into the Medal Slot)</v>
      </c>
      <c r="AB60" s="5" t="s">
        <v>36</v>
      </c>
      <c r="AH60">
        <f t="shared" si="19"/>
        <v>55</v>
      </c>
      <c r="AI60">
        <f t="shared" si="22"/>
        <v>31</v>
      </c>
      <c r="AJ60">
        <f t="shared" si="18"/>
        <v>3</v>
      </c>
    </row>
    <row r="61" spans="1:36" x14ac:dyDescent="0.25">
      <c r="A61" s="5" t="s">
        <v>39</v>
      </c>
      <c r="B61" s="5" t="s">
        <v>30</v>
      </c>
      <c r="C61" s="5" t="str">
        <f t="shared" si="0"/>
        <v>description,dailCompDescCenobite59,</v>
      </c>
      <c r="D61" s="5" t="str">
        <f t="shared" si="2"/>
        <v>itemText,dailCompTextCenobite59,</v>
      </c>
      <c r="E61" s="5" t="str">
        <f t="shared" si="14"/>
        <v>augmentSkillLevel1,3,</v>
      </c>
      <c r="F61" s="5" t="str">
        <f t="shared" si="15"/>
        <v>augmentSkillName1,records/skills/playerclass28/healing_mod2.dbr,</v>
      </c>
      <c r="G61" s="7">
        <f t="shared" si="10"/>
        <v>59</v>
      </c>
      <c r="H61" s="8" t="str">
        <f t="shared" si="11"/>
        <v>Cenobite</v>
      </c>
      <c r="I61" s="3" t="s">
        <v>483</v>
      </c>
      <c r="J61" s="8" t="str">
        <f t="shared" si="23"/>
        <v>class0028</v>
      </c>
      <c r="K61" s="8" t="str">
        <f t="shared" si="23"/>
        <v>dailoneskill0028</v>
      </c>
      <c r="L61" s="5" t="str">
        <f t="shared" si="4"/>
        <v>lootName59,DAIL/items/materia/class0028/Cenobite59.dbr,</v>
      </c>
      <c r="M61" s="5" t="str">
        <f t="shared" si="5"/>
        <v>lootWeight59,1,</v>
      </c>
      <c r="N61" t="str">
        <f t="shared" si="6"/>
        <v>3</v>
      </c>
      <c r="O61" t="str">
        <f t="shared" si="16"/>
        <v>copy .\dail_base3.dbr .\items\materia\class0028\Cenobite59.dbr /y</v>
      </c>
      <c r="P61" t="str">
        <f t="shared" si="24"/>
        <v>echo relicBitmap,items/craftingparts/components/component_a52_bristlyfur_b.tex, &gt;&gt; .\items\materia\class0028\Cenobite59.dbr</v>
      </c>
      <c r="Q61" t="str">
        <f t="shared" si="24"/>
        <v>echo itemCost,500000, &gt;&gt; .\items\materia\class0028\Cenobite59.dbr</v>
      </c>
      <c r="R61" t="str">
        <f t="shared" si="24"/>
        <v>echo description,dailCompDescCenobite59, &gt;&gt; .\items\materia\class0028\Cenobite59.dbr</v>
      </c>
      <c r="S61" t="str">
        <f t="shared" si="24"/>
        <v>echo itemText,dailCompTextCenobite59, &gt;&gt; .\items\materia\class0028\Cenobite59.dbr</v>
      </c>
      <c r="T61" t="str">
        <f t="shared" si="24"/>
        <v>echo augmentSkillLevel1,3, &gt;&gt; .\items\materia\class0028\Cenobite59.dbr</v>
      </c>
      <c r="U61" t="str">
        <f t="shared" si="24"/>
        <v>echo augmentSkillName1,records/skills/playerclass28/healing_mod2.dbr, &gt;&gt; .\items\materia\class0028\Cenobite59.dbr</v>
      </c>
      <c r="V61" s="5" t="s">
        <v>36</v>
      </c>
      <c r="W61" t="str">
        <f t="shared" si="8"/>
        <v>echo lootName59,DAIL/items/materia/class0028/Cenobite59.dbr, &gt;&gt; .\items\loottables\dailoneskill0028.dbr</v>
      </c>
      <c r="X61" t="str">
        <f t="shared" si="8"/>
        <v>echo lootWeight59,1, &gt;&gt; .\items\loottables\dailoneskill0028.dbr</v>
      </c>
      <c r="Y61" s="5" t="s">
        <v>36</v>
      </c>
      <c r="Z61" t="str">
        <f t="shared" si="9"/>
        <v xml:space="preserve"> dailCompDescCenobite59=^pCenobite's Gift of DAIL</v>
      </c>
      <c r="AA61" t="str">
        <f t="shared" si="17"/>
        <v>dailCompTextCenobite59=^oThis feels warm to the touch, almost familiar ^w(This component only fits into the Medal Slot)</v>
      </c>
      <c r="AB61" s="5" t="s">
        <v>36</v>
      </c>
      <c r="AH61">
        <f t="shared" si="19"/>
        <v>56</v>
      </c>
      <c r="AI61">
        <f t="shared" si="22"/>
        <v>31</v>
      </c>
      <c r="AJ61">
        <f t="shared" si="18"/>
        <v>3</v>
      </c>
    </row>
    <row r="62" spans="1:36" x14ac:dyDescent="0.25">
      <c r="A62" s="5" t="s">
        <v>39</v>
      </c>
      <c r="B62" s="5" t="s">
        <v>30</v>
      </c>
      <c r="C62" s="5" t="str">
        <f t="shared" si="0"/>
        <v>description,dailCompDescCenobite60,</v>
      </c>
      <c r="D62" s="5" t="str">
        <f t="shared" si="2"/>
        <v>itemText,dailCompTextCenobite60,</v>
      </c>
      <c r="E62" s="5" t="str">
        <f t="shared" si="14"/>
        <v>augmentSkillLevel1,3,</v>
      </c>
      <c r="F62" s="5" t="str">
        <f t="shared" si="15"/>
        <v>augmentSkillName1,records/skills/playerclass28/punishment.dbr,</v>
      </c>
      <c r="G62" s="7">
        <f t="shared" si="10"/>
        <v>60</v>
      </c>
      <c r="H62" s="8" t="str">
        <f t="shared" si="11"/>
        <v>Cenobite</v>
      </c>
      <c r="I62" s="3" t="s">
        <v>238</v>
      </c>
      <c r="J62" s="8" t="str">
        <f t="shared" si="23"/>
        <v>class0028</v>
      </c>
      <c r="K62" s="8" t="str">
        <f t="shared" si="23"/>
        <v>dailoneskill0028</v>
      </c>
      <c r="L62" s="5" t="str">
        <f t="shared" si="4"/>
        <v>lootName60,DAIL/items/materia/class0028/Cenobite60.dbr,</v>
      </c>
      <c r="M62" s="5" t="str">
        <f t="shared" si="5"/>
        <v>lootWeight60,1,</v>
      </c>
      <c r="N62" t="str">
        <f t="shared" si="6"/>
        <v>3</v>
      </c>
      <c r="O62" t="str">
        <f t="shared" si="16"/>
        <v>copy .\dail_base3.dbr .\items\materia\class0028\Cenobite60.dbr /y</v>
      </c>
      <c r="P62" t="str">
        <f t="shared" si="24"/>
        <v>echo relicBitmap,items/craftingparts/components/component_a52_bristlyfur_b.tex, &gt;&gt; .\items\materia\class0028\Cenobite60.dbr</v>
      </c>
      <c r="Q62" t="str">
        <f t="shared" si="24"/>
        <v>echo itemCost,500000, &gt;&gt; .\items\materia\class0028\Cenobite60.dbr</v>
      </c>
      <c r="R62" t="str">
        <f t="shared" si="24"/>
        <v>echo description,dailCompDescCenobite60, &gt;&gt; .\items\materia\class0028\Cenobite60.dbr</v>
      </c>
      <c r="S62" t="str">
        <f t="shared" si="24"/>
        <v>echo itemText,dailCompTextCenobite60, &gt;&gt; .\items\materia\class0028\Cenobite60.dbr</v>
      </c>
      <c r="T62" t="str">
        <f t="shared" si="24"/>
        <v>echo augmentSkillLevel1,3, &gt;&gt; .\items\materia\class0028\Cenobite60.dbr</v>
      </c>
      <c r="U62" t="str">
        <f t="shared" si="24"/>
        <v>echo augmentSkillName1,records/skills/playerclass28/punishment.dbr, &gt;&gt; .\items\materia\class0028\Cenobite60.dbr</v>
      </c>
      <c r="V62" s="5" t="s">
        <v>36</v>
      </c>
      <c r="W62" t="str">
        <f t="shared" si="8"/>
        <v>echo lootName60,DAIL/items/materia/class0028/Cenobite60.dbr, &gt;&gt; .\items\loottables\dailoneskill0028.dbr</v>
      </c>
      <c r="X62" t="str">
        <f t="shared" si="8"/>
        <v>echo lootWeight60,1, &gt;&gt; .\items\loottables\dailoneskill0028.dbr</v>
      </c>
      <c r="Y62" s="5" t="s">
        <v>36</v>
      </c>
      <c r="Z62" t="str">
        <f t="shared" si="9"/>
        <v xml:space="preserve"> dailCompDescCenobite60=^pCenobite's Gift of DAIL</v>
      </c>
      <c r="AA62" t="str">
        <f t="shared" si="17"/>
        <v>dailCompTextCenobite60=^oThis feels warm to the touch, almost familiar ^w(This component only fits into the Medal Slot)</v>
      </c>
      <c r="AB62" s="5" t="s">
        <v>36</v>
      </c>
      <c r="AH62">
        <f t="shared" si="19"/>
        <v>57</v>
      </c>
      <c r="AI62">
        <f t="shared" si="22"/>
        <v>29</v>
      </c>
      <c r="AJ62">
        <f t="shared" si="18"/>
        <v>3</v>
      </c>
    </row>
    <row r="63" spans="1:36" x14ac:dyDescent="0.25">
      <c r="A63" s="5" t="s">
        <v>39</v>
      </c>
      <c r="B63" s="5" t="s">
        <v>30</v>
      </c>
      <c r="C63" s="5" t="str">
        <f t="shared" si="0"/>
        <v>description,dailCompDescCenobite61,</v>
      </c>
      <c r="D63" s="5" t="str">
        <f t="shared" si="2"/>
        <v>itemText,dailCompTextCenobite61,</v>
      </c>
      <c r="E63" s="5" t="str">
        <f t="shared" si="14"/>
        <v>augmentSkillLevel1,3,</v>
      </c>
      <c r="F63" s="5" t="str">
        <f t="shared" si="15"/>
        <v>augmentSkillName1,records/skills/playerclass28/punishment_mod.dbr,</v>
      </c>
      <c r="G63" s="7">
        <f t="shared" si="10"/>
        <v>61</v>
      </c>
      <c r="H63" s="8" t="str">
        <f t="shared" si="11"/>
        <v>Cenobite</v>
      </c>
      <c r="I63" s="3" t="s">
        <v>484</v>
      </c>
      <c r="J63" s="8" t="str">
        <f t="shared" si="23"/>
        <v>class0028</v>
      </c>
      <c r="K63" s="8" t="str">
        <f t="shared" si="23"/>
        <v>dailoneskill0028</v>
      </c>
      <c r="L63" s="5" t="str">
        <f t="shared" si="4"/>
        <v>lootName61,DAIL/items/materia/class0028/Cenobite61.dbr,</v>
      </c>
      <c r="M63" s="5" t="str">
        <f t="shared" si="5"/>
        <v>lootWeight61,1,</v>
      </c>
      <c r="N63" t="str">
        <f t="shared" si="6"/>
        <v>3</v>
      </c>
      <c r="O63" t="str">
        <f t="shared" si="16"/>
        <v>copy .\dail_base3.dbr .\items\materia\class0028\Cenobite61.dbr /y</v>
      </c>
      <c r="P63" t="str">
        <f t="shared" si="24"/>
        <v>echo relicBitmap,items/craftingparts/components/component_a52_bristlyfur_b.tex, &gt;&gt; .\items\materia\class0028\Cenobite61.dbr</v>
      </c>
      <c r="Q63" t="str">
        <f t="shared" si="24"/>
        <v>echo itemCost,500000, &gt;&gt; .\items\materia\class0028\Cenobite61.dbr</v>
      </c>
      <c r="R63" t="str">
        <f t="shared" si="24"/>
        <v>echo description,dailCompDescCenobite61, &gt;&gt; .\items\materia\class0028\Cenobite61.dbr</v>
      </c>
      <c r="S63" t="str">
        <f t="shared" si="24"/>
        <v>echo itemText,dailCompTextCenobite61, &gt;&gt; .\items\materia\class0028\Cenobite61.dbr</v>
      </c>
      <c r="T63" t="str">
        <f t="shared" si="24"/>
        <v>echo augmentSkillLevel1,3, &gt;&gt; .\items\materia\class0028\Cenobite61.dbr</v>
      </c>
      <c r="U63" t="str">
        <f t="shared" si="24"/>
        <v>echo augmentSkillName1,records/skills/playerclass28/punishment_mod.dbr, &gt;&gt; .\items\materia\class0028\Cenobite61.dbr</v>
      </c>
      <c r="V63" s="5" t="s">
        <v>36</v>
      </c>
      <c r="W63" t="str">
        <f t="shared" si="8"/>
        <v>echo lootName61,DAIL/items/materia/class0028/Cenobite61.dbr, &gt;&gt; .\items\loottables\dailoneskill0028.dbr</v>
      </c>
      <c r="X63" t="str">
        <f t="shared" si="8"/>
        <v>echo lootWeight61,1, &gt;&gt; .\items\loottables\dailoneskill0028.dbr</v>
      </c>
      <c r="Y63" s="5" t="s">
        <v>36</v>
      </c>
      <c r="Z63" t="str">
        <f t="shared" si="9"/>
        <v xml:space="preserve"> dailCompDescCenobite61=^pCenobite's Gift of DAIL</v>
      </c>
      <c r="AA63" t="str">
        <f t="shared" si="17"/>
        <v>dailCompTextCenobite61=^oThis feels warm to the touch, almost familiar ^w(This component only fits into the Medal Slot)</v>
      </c>
      <c r="AB63" s="5" t="s">
        <v>36</v>
      </c>
      <c r="AH63">
        <f t="shared" si="19"/>
        <v>58</v>
      </c>
      <c r="AI63">
        <f t="shared" si="22"/>
        <v>33</v>
      </c>
      <c r="AJ63">
        <f t="shared" si="18"/>
        <v>3</v>
      </c>
    </row>
    <row r="64" spans="1:36" x14ac:dyDescent="0.25">
      <c r="A64" s="5" t="s">
        <v>39</v>
      </c>
      <c r="B64" s="5" t="s">
        <v>30</v>
      </c>
      <c r="C64" s="5" t="str">
        <f t="shared" si="0"/>
        <v>description,dailCompDescCenobite62,</v>
      </c>
      <c r="D64" s="5" t="str">
        <f t="shared" si="2"/>
        <v>itemText,dailCompTextCenobite62,</v>
      </c>
      <c r="E64" s="5" t="str">
        <f t="shared" si="14"/>
        <v>augmentSkillLevel1,3,</v>
      </c>
      <c r="F64" s="5" t="str">
        <f t="shared" si="15"/>
        <v>augmentSkillName1,records/skills/playerclass28/hammer_mod1.dbr,</v>
      </c>
      <c r="G64" s="7">
        <f t="shared" si="10"/>
        <v>62</v>
      </c>
      <c r="H64" s="8" t="str">
        <f t="shared" si="11"/>
        <v>Cenobite</v>
      </c>
      <c r="I64" s="3" t="s">
        <v>485</v>
      </c>
      <c r="J64" s="8" t="str">
        <f t="shared" si="23"/>
        <v>class0028</v>
      </c>
      <c r="K64" s="8" t="str">
        <f t="shared" si="23"/>
        <v>dailoneskill0028</v>
      </c>
      <c r="L64" s="5" t="str">
        <f t="shared" si="4"/>
        <v>lootName62,DAIL/items/materia/class0028/Cenobite62.dbr,</v>
      </c>
      <c r="M64" s="5" t="str">
        <f t="shared" si="5"/>
        <v>lootWeight62,1,</v>
      </c>
      <c r="N64" t="str">
        <f t="shared" si="6"/>
        <v>3</v>
      </c>
      <c r="O64" t="str">
        <f t="shared" si="16"/>
        <v>copy .\dail_base3.dbr .\items\materia\class0028\Cenobite62.dbr /y</v>
      </c>
      <c r="P64" t="str">
        <f t="shared" si="24"/>
        <v>echo relicBitmap,items/craftingparts/components/component_a52_bristlyfur_b.tex, &gt;&gt; .\items\materia\class0028\Cenobite62.dbr</v>
      </c>
      <c r="Q64" t="str">
        <f t="shared" si="24"/>
        <v>echo itemCost,500000, &gt;&gt; .\items\materia\class0028\Cenobite62.dbr</v>
      </c>
      <c r="R64" t="str">
        <f t="shared" si="24"/>
        <v>echo description,dailCompDescCenobite62, &gt;&gt; .\items\materia\class0028\Cenobite62.dbr</v>
      </c>
      <c r="S64" t="str">
        <f t="shared" si="24"/>
        <v>echo itemText,dailCompTextCenobite62, &gt;&gt; .\items\materia\class0028\Cenobite62.dbr</v>
      </c>
      <c r="T64" t="str">
        <f t="shared" si="24"/>
        <v>echo augmentSkillLevel1,3, &gt;&gt; .\items\materia\class0028\Cenobite62.dbr</v>
      </c>
      <c r="U64" t="str">
        <f t="shared" si="24"/>
        <v>echo augmentSkillName1,records/skills/playerclass28/hammer_mod1.dbr, &gt;&gt; .\items\materia\class0028\Cenobite62.dbr</v>
      </c>
      <c r="V64" s="5" t="s">
        <v>36</v>
      </c>
      <c r="W64" t="str">
        <f t="shared" si="8"/>
        <v>echo lootName62,DAIL/items/materia/class0028/Cenobite62.dbr, &gt;&gt; .\items\loottables\dailoneskill0028.dbr</v>
      </c>
      <c r="X64" t="str">
        <f t="shared" si="8"/>
        <v>echo lootWeight62,1, &gt;&gt; .\items\loottables\dailoneskill0028.dbr</v>
      </c>
      <c r="Y64" s="5" t="s">
        <v>36</v>
      </c>
      <c r="Z64" t="str">
        <f t="shared" si="9"/>
        <v xml:space="preserve"> dailCompDescCenobite62=^pCenobite's Gift of DAIL</v>
      </c>
      <c r="AA64" t="str">
        <f t="shared" si="17"/>
        <v>dailCompTextCenobite62=^oThis feels warm to the touch, almost familiar ^w(This component only fits into the Medal Slot)</v>
      </c>
      <c r="AB64" s="5" t="s">
        <v>36</v>
      </c>
      <c r="AH64">
        <f t="shared" si="19"/>
        <v>59</v>
      </c>
      <c r="AI64">
        <f t="shared" si="22"/>
        <v>30</v>
      </c>
      <c r="AJ64">
        <f t="shared" si="18"/>
        <v>3</v>
      </c>
    </row>
    <row r="65" spans="1:36" x14ac:dyDescent="0.25">
      <c r="A65" s="5" t="s">
        <v>39</v>
      </c>
      <c r="B65" s="5" t="s">
        <v>30</v>
      </c>
      <c r="C65" s="5" t="str">
        <f t="shared" si="0"/>
        <v>description,dailCompDescCenobite63,</v>
      </c>
      <c r="D65" s="5" t="str">
        <f t="shared" si="2"/>
        <v>itemText,dailCompTextCenobite63,</v>
      </c>
      <c r="E65" s="5" t="str">
        <f t="shared" si="14"/>
        <v>augmentSkillLevel1,3,</v>
      </c>
      <c r="F65" s="5" t="str">
        <f t="shared" si="15"/>
        <v>augmentSkillName1,records/skills/playerclass28/hammer_mod2.dbr,</v>
      </c>
      <c r="G65" s="7">
        <f t="shared" si="10"/>
        <v>63</v>
      </c>
      <c r="H65" s="8" t="str">
        <f t="shared" si="11"/>
        <v>Cenobite</v>
      </c>
      <c r="I65" s="3" t="s">
        <v>486</v>
      </c>
      <c r="J65" s="8" t="str">
        <f t="shared" si="23"/>
        <v>class0028</v>
      </c>
      <c r="K65" s="8" t="str">
        <f t="shared" si="23"/>
        <v>dailoneskill0028</v>
      </c>
      <c r="L65" s="5" t="str">
        <f t="shared" si="4"/>
        <v>lootName63,DAIL/items/materia/class0028/Cenobite63.dbr,</v>
      </c>
      <c r="M65" s="5" t="str">
        <f t="shared" si="5"/>
        <v>lootWeight63,1,</v>
      </c>
      <c r="N65" t="str">
        <f t="shared" si="6"/>
        <v>3</v>
      </c>
      <c r="O65" t="str">
        <f t="shared" si="16"/>
        <v>copy .\dail_base3.dbr .\items\materia\class0028\Cenobite63.dbr /y</v>
      </c>
      <c r="P65" t="str">
        <f t="shared" si="24"/>
        <v>echo relicBitmap,items/craftingparts/components/component_a52_bristlyfur_b.tex, &gt;&gt; .\items\materia\class0028\Cenobite63.dbr</v>
      </c>
      <c r="Q65" t="str">
        <f t="shared" si="24"/>
        <v>echo itemCost,500000, &gt;&gt; .\items\materia\class0028\Cenobite63.dbr</v>
      </c>
      <c r="R65" t="str">
        <f t="shared" si="24"/>
        <v>echo description,dailCompDescCenobite63, &gt;&gt; .\items\materia\class0028\Cenobite63.dbr</v>
      </c>
      <c r="S65" t="str">
        <f t="shared" si="24"/>
        <v>echo itemText,dailCompTextCenobite63, &gt;&gt; .\items\materia\class0028\Cenobite63.dbr</v>
      </c>
      <c r="T65" t="str">
        <f t="shared" si="24"/>
        <v>echo augmentSkillLevel1,3, &gt;&gt; .\items\materia\class0028\Cenobite63.dbr</v>
      </c>
      <c r="U65" t="str">
        <f t="shared" si="24"/>
        <v>echo augmentSkillName1,records/skills/playerclass28/hammer_mod2.dbr, &gt;&gt; .\items\materia\class0028\Cenobite63.dbr</v>
      </c>
      <c r="V65" s="5" t="s">
        <v>36</v>
      </c>
      <c r="W65" t="str">
        <f t="shared" si="8"/>
        <v>echo lootName63,DAIL/items/materia/class0028/Cenobite63.dbr, &gt;&gt; .\items\loottables\dailoneskill0028.dbr</v>
      </c>
      <c r="X65" t="str">
        <f t="shared" si="8"/>
        <v>echo lootWeight63,1, &gt;&gt; .\items\loottables\dailoneskill0028.dbr</v>
      </c>
      <c r="Y65" s="5" t="s">
        <v>36</v>
      </c>
      <c r="Z65" t="str">
        <f t="shared" si="9"/>
        <v xml:space="preserve"> dailCompDescCenobite63=^pCenobite's Gift of DAIL</v>
      </c>
      <c r="AA65" t="str">
        <f t="shared" si="17"/>
        <v>dailCompTextCenobite63=^oThis feels warm to the touch, almost familiar ^w(This component only fits into the Medal Slot)</v>
      </c>
      <c r="AB65" s="5" t="s">
        <v>36</v>
      </c>
      <c r="AH65">
        <f t="shared" si="19"/>
        <v>60</v>
      </c>
      <c r="AI65">
        <f t="shared" si="22"/>
        <v>30</v>
      </c>
      <c r="AJ65">
        <f t="shared" si="18"/>
        <v>3</v>
      </c>
    </row>
    <row r="66" spans="1:36" x14ac:dyDescent="0.25">
      <c r="A66" s="5" t="s">
        <v>39</v>
      </c>
      <c r="B66" s="5" t="s">
        <v>30</v>
      </c>
      <c r="C66" s="5" t="str">
        <f t="shared" si="0"/>
        <v>description,dailCompDescCenobite64,</v>
      </c>
      <c r="D66" s="5" t="str">
        <f t="shared" si="2"/>
        <v>itemText,dailCompTextCenobite64,</v>
      </c>
      <c r="E66" s="5" t="str">
        <f t="shared" si="14"/>
        <v>augmentSkillLevel1,3,</v>
      </c>
      <c r="F66" s="5" t="str">
        <f t="shared" si="15"/>
        <v>augmentSkillName1,records/skills/playerclass28/passive01.dbr,</v>
      </c>
      <c r="G66" s="7">
        <f t="shared" si="10"/>
        <v>64</v>
      </c>
      <c r="H66" s="8" t="str">
        <f t="shared" si="11"/>
        <v>Cenobite</v>
      </c>
      <c r="I66" s="3" t="s">
        <v>235</v>
      </c>
      <c r="J66" s="8" t="str">
        <f t="shared" si="23"/>
        <v>class0028</v>
      </c>
      <c r="K66" s="8" t="str">
        <f t="shared" si="23"/>
        <v>dailoneskill0028</v>
      </c>
      <c r="L66" s="5" t="str">
        <f t="shared" si="4"/>
        <v>lootName64,DAIL/items/materia/class0028/Cenobite64.dbr,</v>
      </c>
      <c r="M66" s="5" t="str">
        <f t="shared" si="5"/>
        <v>lootWeight64,1,</v>
      </c>
      <c r="N66" t="str">
        <f t="shared" si="6"/>
        <v>3</v>
      </c>
      <c r="O66" t="str">
        <f t="shared" si="16"/>
        <v>copy .\dail_base3.dbr .\items\materia\class0028\Cenobite64.dbr /y</v>
      </c>
      <c r="P66" t="str">
        <f t="shared" si="24"/>
        <v>echo relicBitmap,items/craftingparts/components/component_a52_bristlyfur_b.tex, &gt;&gt; .\items\materia\class0028\Cenobite64.dbr</v>
      </c>
      <c r="Q66" t="str">
        <f t="shared" si="24"/>
        <v>echo itemCost,500000, &gt;&gt; .\items\materia\class0028\Cenobite64.dbr</v>
      </c>
      <c r="R66" t="str">
        <f t="shared" si="24"/>
        <v>echo description,dailCompDescCenobite64, &gt;&gt; .\items\materia\class0028\Cenobite64.dbr</v>
      </c>
      <c r="S66" t="str">
        <f t="shared" si="24"/>
        <v>echo itemText,dailCompTextCenobite64, &gt;&gt; .\items\materia\class0028\Cenobite64.dbr</v>
      </c>
      <c r="T66" t="str">
        <f t="shared" si="24"/>
        <v>echo augmentSkillLevel1,3, &gt;&gt; .\items\materia\class0028\Cenobite64.dbr</v>
      </c>
      <c r="U66" t="str">
        <f t="shared" si="24"/>
        <v>echo augmentSkillName1,records/skills/playerclass28/passive01.dbr, &gt;&gt; .\items\materia\class0028\Cenobite64.dbr</v>
      </c>
      <c r="V66" s="5" t="s">
        <v>36</v>
      </c>
      <c r="W66" t="str">
        <f t="shared" si="8"/>
        <v>echo lootName64,DAIL/items/materia/class0028/Cenobite64.dbr, &gt;&gt; .\items\loottables\dailoneskill0028.dbr</v>
      </c>
      <c r="X66" t="str">
        <f t="shared" si="8"/>
        <v>echo lootWeight64,1, &gt;&gt; .\items\loottables\dailoneskill0028.dbr</v>
      </c>
      <c r="Y66" s="5" t="s">
        <v>36</v>
      </c>
      <c r="Z66" t="str">
        <f t="shared" si="9"/>
        <v xml:space="preserve"> dailCompDescCenobite64=^pCenobite's Gift of DAIL</v>
      </c>
      <c r="AA66" t="str">
        <f t="shared" si="17"/>
        <v>dailCompTextCenobite64=^oThis feels warm to the touch, almost familiar ^w(This component only fits into the Medal Slot)</v>
      </c>
      <c r="AB66" s="5" t="s">
        <v>36</v>
      </c>
      <c r="AH66">
        <f t="shared" si="19"/>
        <v>61</v>
      </c>
      <c r="AI66">
        <f t="shared" si="22"/>
        <v>28</v>
      </c>
      <c r="AJ66">
        <f t="shared" si="18"/>
        <v>3</v>
      </c>
    </row>
    <row r="67" spans="1:36" x14ac:dyDescent="0.25">
      <c r="A67" s="5" t="s">
        <v>39</v>
      </c>
      <c r="B67" s="5" t="s">
        <v>30</v>
      </c>
      <c r="C67" s="5" t="str">
        <f t="shared" ref="C67:C102" si="25">"description,dailCompDesc"&amp;H67&amp;G67&amp;","</f>
        <v>description,dailCompDescCenobite65,</v>
      </c>
      <c r="D67" s="5" t="str">
        <f t="shared" si="2"/>
        <v>itemText,dailCompTextCenobite65,</v>
      </c>
      <c r="E67" s="5" t="str">
        <f t="shared" si="14"/>
        <v>augmentSkillLevel1,3,</v>
      </c>
      <c r="F67" s="5" t="str">
        <f t="shared" si="15"/>
        <v>augmentSkillName1,records/skills/playerclass28/sunray.dbr,</v>
      </c>
      <c r="G67" s="7">
        <f t="shared" si="10"/>
        <v>65</v>
      </c>
      <c r="H67" s="8" t="str">
        <f t="shared" si="11"/>
        <v>Cenobite</v>
      </c>
      <c r="I67" s="3" t="s">
        <v>244</v>
      </c>
      <c r="J67" s="8" t="str">
        <f t="shared" si="23"/>
        <v>class0028</v>
      </c>
      <c r="K67" s="8" t="str">
        <f t="shared" si="23"/>
        <v>dailoneskill0028</v>
      </c>
      <c r="L67" s="5" t="str">
        <f t="shared" si="4"/>
        <v>lootName65,DAIL/items/materia/class0028/Cenobite65.dbr,</v>
      </c>
      <c r="M67" s="5" t="str">
        <f t="shared" si="5"/>
        <v>lootWeight65,1,</v>
      </c>
      <c r="N67" t="str">
        <f t="shared" si="6"/>
        <v>3</v>
      </c>
      <c r="O67" t="str">
        <f t="shared" si="16"/>
        <v>copy .\dail_base3.dbr .\items\materia\class0028\Cenobite65.dbr /y</v>
      </c>
      <c r="P67" t="str">
        <f t="shared" si="24"/>
        <v>echo relicBitmap,items/craftingparts/components/component_a52_bristlyfur_b.tex, &gt;&gt; .\items\materia\class0028\Cenobite65.dbr</v>
      </c>
      <c r="Q67" t="str">
        <f t="shared" si="24"/>
        <v>echo itemCost,500000, &gt;&gt; .\items\materia\class0028\Cenobite65.dbr</v>
      </c>
      <c r="R67" t="str">
        <f t="shared" si="24"/>
        <v>echo description,dailCompDescCenobite65, &gt;&gt; .\items\materia\class0028\Cenobite65.dbr</v>
      </c>
      <c r="S67" t="str">
        <f t="shared" si="24"/>
        <v>echo itemText,dailCompTextCenobite65, &gt;&gt; .\items\materia\class0028\Cenobite65.dbr</v>
      </c>
      <c r="T67" t="str">
        <f t="shared" si="24"/>
        <v>echo augmentSkillLevel1,3, &gt;&gt; .\items\materia\class0028\Cenobite65.dbr</v>
      </c>
      <c r="U67" t="str">
        <f t="shared" si="24"/>
        <v>echo augmentSkillName1,records/skills/playerclass28/sunray.dbr, &gt;&gt; .\items\materia\class0028\Cenobite65.dbr</v>
      </c>
      <c r="V67" s="5" t="s">
        <v>36</v>
      </c>
      <c r="W67" t="str">
        <f t="shared" si="8"/>
        <v>echo lootName65,DAIL/items/materia/class0028/Cenobite65.dbr, &gt;&gt; .\items\loottables\dailoneskill0028.dbr</v>
      </c>
      <c r="X67" t="str">
        <f t="shared" si="8"/>
        <v>echo lootWeight65,1, &gt;&gt; .\items\loottables\dailoneskill0028.dbr</v>
      </c>
      <c r="Y67" s="5" t="s">
        <v>36</v>
      </c>
      <c r="Z67" t="str">
        <f t="shared" si="9"/>
        <v xml:space="preserve"> dailCompDescCenobite65=^pCenobite's Gift of DAIL</v>
      </c>
      <c r="AA67" t="str">
        <f t="shared" si="17"/>
        <v>dailCompTextCenobite65=^oThis feels warm to the touch, almost familiar ^w(This component only fits into the Medal Slot)</v>
      </c>
      <c r="AB67" s="5" t="s">
        <v>36</v>
      </c>
      <c r="AH67">
        <f t="shared" si="19"/>
        <v>62</v>
      </c>
      <c r="AI67">
        <f t="shared" si="22"/>
        <v>25</v>
      </c>
      <c r="AJ67">
        <f t="shared" si="18"/>
        <v>3</v>
      </c>
    </row>
    <row r="68" spans="1:36" x14ac:dyDescent="0.25">
      <c r="A68" s="5" t="s">
        <v>39</v>
      </c>
      <c r="B68" s="5" t="s">
        <v>30</v>
      </c>
      <c r="C68" s="5" t="str">
        <f t="shared" si="25"/>
        <v>description,dailCompDescCenobite66,</v>
      </c>
      <c r="D68" s="5" t="str">
        <f t="shared" ref="D68:D102" si="26">"itemText,dailCompText"&amp;H68&amp;G68&amp;","</f>
        <v>itemText,dailCompTextCenobite66,</v>
      </c>
      <c r="E68" s="5" t="str">
        <f t="shared" si="14"/>
        <v>augmentSkillLevel1,3,</v>
      </c>
      <c r="F68" s="5" t="str">
        <f t="shared" si="15"/>
        <v>augmentSkillName1,records/skills/playerclass28/sunray_mod1.dbr,</v>
      </c>
      <c r="G68" s="7">
        <f t="shared" si="10"/>
        <v>66</v>
      </c>
      <c r="H68" s="8" t="str">
        <f t="shared" si="11"/>
        <v>Cenobite</v>
      </c>
      <c r="I68" s="3" t="s">
        <v>487</v>
      </c>
      <c r="J68" s="8" t="str">
        <f t="shared" si="23"/>
        <v>class0028</v>
      </c>
      <c r="K68" s="8" t="str">
        <f t="shared" si="23"/>
        <v>dailoneskill0028</v>
      </c>
      <c r="L68" s="5" t="str">
        <f t="shared" ref="L68:L102" si="27">"lootName"&amp;G68&amp;",DAIL/items/materia/"&amp;J68&amp;"/"&amp;H68&amp;G68&amp;".dbr"&amp;","</f>
        <v>lootName66,DAIL/items/materia/class0028/Cenobite66.dbr,</v>
      </c>
      <c r="M68" s="5" t="str">
        <f t="shared" ref="M68:M102" si="28">"lootWeight"&amp;G68&amp;",1,"</f>
        <v>lootWeight66,1,</v>
      </c>
      <c r="N68" t="str">
        <f t="shared" ref="N68:N102" si="29">LEFT(RIGHT(E68,2),1)</f>
        <v>3</v>
      </c>
      <c r="O68" t="str">
        <f t="shared" si="16"/>
        <v>copy .\dail_base3.dbr .\items\materia\class0028\Cenobite66.dbr /y</v>
      </c>
      <c r="P68" t="str">
        <f t="shared" si="24"/>
        <v>echo relicBitmap,items/craftingparts/components/component_a52_bristlyfur_b.tex, &gt;&gt; .\items\materia\class0028\Cenobite66.dbr</v>
      </c>
      <c r="Q68" t="str">
        <f t="shared" si="24"/>
        <v>echo itemCost,500000, &gt;&gt; .\items\materia\class0028\Cenobite66.dbr</v>
      </c>
      <c r="R68" t="str">
        <f t="shared" si="24"/>
        <v>echo description,dailCompDescCenobite66, &gt;&gt; .\items\materia\class0028\Cenobite66.dbr</v>
      </c>
      <c r="S68" t="str">
        <f t="shared" si="24"/>
        <v>echo itemText,dailCompTextCenobite66, &gt;&gt; .\items\materia\class0028\Cenobite66.dbr</v>
      </c>
      <c r="T68" t="str">
        <f t="shared" si="24"/>
        <v>echo augmentSkillLevel1,3, &gt;&gt; .\items\materia\class0028\Cenobite66.dbr</v>
      </c>
      <c r="U68" t="str">
        <f t="shared" si="24"/>
        <v>echo augmentSkillName1,records/skills/playerclass28/sunray_mod1.dbr, &gt;&gt; .\items\materia\class0028\Cenobite66.dbr</v>
      </c>
      <c r="V68" s="5" t="s">
        <v>36</v>
      </c>
      <c r="W68" t="str">
        <f t="shared" ref="W68:X102" si="30">IF($I68&lt;&gt;"","echo "&amp;L68&amp;" &gt;&gt; .\items\loottables\"&amp;$K68&amp;".dbr","")</f>
        <v>echo lootName66,DAIL/items/materia/class0028/Cenobite66.dbr, &gt;&gt; .\items\loottables\dailoneskill0028.dbr</v>
      </c>
      <c r="X68" t="str">
        <f t="shared" si="30"/>
        <v>echo lootWeight66,1, &gt;&gt; .\items\loottables\dailoneskill0028.dbr</v>
      </c>
      <c r="Y68" s="5" t="s">
        <v>36</v>
      </c>
      <c r="Z68" t="str">
        <f t="shared" ref="Z68:Z102" si="31">IF(I67&lt;&gt;""," dailCompDesc"&amp;H68&amp;G68&amp;"=^p"&amp;H68&amp;"'s Gift of DAIL","")</f>
        <v xml:space="preserve"> dailCompDescCenobite66=^pCenobite's Gift of DAIL</v>
      </c>
      <c r="AA68" t="str">
        <f t="shared" si="17"/>
        <v>dailCompTextCenobite66=^oThis feels warm to the touch, almost familiar ^w(This component only fits into the Medal Slot)</v>
      </c>
      <c r="AB68" s="5" t="s">
        <v>36</v>
      </c>
      <c r="AH68">
        <f t="shared" si="19"/>
        <v>63</v>
      </c>
      <c r="AI68">
        <f t="shared" si="22"/>
        <v>30</v>
      </c>
      <c r="AJ68">
        <f t="shared" si="18"/>
        <v>3</v>
      </c>
    </row>
    <row r="69" spans="1:36" x14ac:dyDescent="0.25">
      <c r="A69" s="5" t="s">
        <v>39</v>
      </c>
      <c r="B69" s="5" t="s">
        <v>30</v>
      </c>
      <c r="C69" s="5" t="str">
        <f t="shared" si="25"/>
        <v>description,dailCompDescCenobite67,</v>
      </c>
      <c r="D69" s="5" t="str">
        <f t="shared" si="26"/>
        <v>itemText,dailCompTextCenobite67,</v>
      </c>
      <c r="E69" s="5" t="str">
        <f t="shared" si="14"/>
        <v>augmentSkillLevel1,5,</v>
      </c>
      <c r="F69" s="5" t="str">
        <f t="shared" si="15"/>
        <v>augmentSkillName1,records/skills/playerclass28/sunray_mod2.dbr,</v>
      </c>
      <c r="G69" s="7">
        <f t="shared" ref="G69:G102" si="32">IF(I69&lt;&gt;"",G68+1,"")</f>
        <v>67</v>
      </c>
      <c r="H69" s="8" t="str">
        <f t="shared" ref="H69:H102" si="33">H68</f>
        <v>Cenobite</v>
      </c>
      <c r="I69" s="3" t="s">
        <v>488</v>
      </c>
      <c r="J69" s="8" t="str">
        <f t="shared" ref="J69:K84" si="34">J68</f>
        <v>class0028</v>
      </c>
      <c r="K69" s="8" t="str">
        <f t="shared" si="34"/>
        <v>dailoneskill0028</v>
      </c>
      <c r="L69" s="5" t="str">
        <f t="shared" si="27"/>
        <v>lootName67,DAIL/items/materia/class0028/Cenobite67.dbr,</v>
      </c>
      <c r="M69" s="5" t="str">
        <f t="shared" si="28"/>
        <v>lootWeight67,1,</v>
      </c>
      <c r="N69" t="str">
        <f t="shared" si="29"/>
        <v>5</v>
      </c>
      <c r="O69" t="str">
        <f t="shared" si="16"/>
        <v>copy .\dail_base3.dbr .\items\materia\class0028\Cenobite67.dbr /y</v>
      </c>
      <c r="P69" t="str">
        <f t="shared" si="24"/>
        <v>echo relicBitmap,items/craftingparts/components/component_a52_bristlyfur_b.tex, &gt;&gt; .\items\materia\class0028\Cenobite67.dbr</v>
      </c>
      <c r="Q69" t="str">
        <f t="shared" si="24"/>
        <v>echo itemCost,500000, &gt;&gt; .\items\materia\class0028\Cenobite67.dbr</v>
      </c>
      <c r="R69" t="str">
        <f t="shared" si="24"/>
        <v>echo description,dailCompDescCenobite67, &gt;&gt; .\items\materia\class0028\Cenobite67.dbr</v>
      </c>
      <c r="S69" t="str">
        <f t="shared" si="24"/>
        <v>echo itemText,dailCompTextCenobite67, &gt;&gt; .\items\materia\class0028\Cenobite67.dbr</v>
      </c>
      <c r="T69" t="str">
        <f t="shared" si="24"/>
        <v>echo augmentSkillLevel1,5, &gt;&gt; .\items\materia\class0028\Cenobite67.dbr</v>
      </c>
      <c r="U69" t="str">
        <f t="shared" si="24"/>
        <v>echo augmentSkillName1,records/skills/playerclass28/sunray_mod2.dbr, &gt;&gt; .\items\materia\class0028\Cenobite67.dbr</v>
      </c>
      <c r="V69" s="5" t="s">
        <v>36</v>
      </c>
      <c r="W69" t="str">
        <f t="shared" si="30"/>
        <v>echo lootName67,DAIL/items/materia/class0028/Cenobite67.dbr, &gt;&gt; .\items\loottables\dailoneskill0028.dbr</v>
      </c>
      <c r="X69" t="str">
        <f t="shared" si="30"/>
        <v>echo lootWeight67,1, &gt;&gt; .\items\loottables\dailoneskill0028.dbr</v>
      </c>
      <c r="Y69" s="5" t="s">
        <v>36</v>
      </c>
      <c r="Z69" t="str">
        <f t="shared" si="31"/>
        <v xml:space="preserve"> dailCompDescCenobite67=^pCenobite's Gift of DAIL</v>
      </c>
      <c r="AA69" t="str">
        <f t="shared" si="17"/>
        <v>dailCompTextCenobite67=^oThis feels warm to the touch, almost familiar ^w(This component only fits into the Medal Slot)</v>
      </c>
      <c r="AB69" s="5" t="s">
        <v>36</v>
      </c>
      <c r="AH69">
        <f t="shared" si="19"/>
        <v>64</v>
      </c>
      <c r="AI69">
        <f t="shared" si="22"/>
        <v>30</v>
      </c>
      <c r="AJ69">
        <f t="shared" si="18"/>
        <v>5</v>
      </c>
    </row>
    <row r="70" spans="1:36" x14ac:dyDescent="0.25">
      <c r="A70" s="5" t="s">
        <v>39</v>
      </c>
      <c r="B70" s="5" t="s">
        <v>30</v>
      </c>
      <c r="C70" s="5" t="str">
        <f t="shared" si="25"/>
        <v>description,dailCompDescCenobite68,</v>
      </c>
      <c r="D70" s="5" t="str">
        <f t="shared" si="26"/>
        <v>itemText,dailCompTextCenobite68,</v>
      </c>
      <c r="E70" s="5" t="str">
        <f t="shared" si="14"/>
        <v>augmentSkillLevel1,5,</v>
      </c>
      <c r="F70" s="5" t="str">
        <f t="shared" si="15"/>
        <v>augmentSkillName1,records/skills/playerclass28/sunnyray_tra.dbr,</v>
      </c>
      <c r="G70" s="7">
        <f t="shared" si="32"/>
        <v>68</v>
      </c>
      <c r="H70" s="8" t="str">
        <f t="shared" si="33"/>
        <v>Cenobite</v>
      </c>
      <c r="I70" s="3" t="s">
        <v>243</v>
      </c>
      <c r="J70" s="8" t="str">
        <f t="shared" si="34"/>
        <v>class0028</v>
      </c>
      <c r="K70" s="8" t="str">
        <f t="shared" si="34"/>
        <v>dailoneskill0028</v>
      </c>
      <c r="L70" s="5" t="str">
        <f t="shared" si="27"/>
        <v>lootName68,DAIL/items/materia/class0028/Cenobite68.dbr,</v>
      </c>
      <c r="M70" s="5" t="str">
        <f t="shared" si="28"/>
        <v>lootWeight68,1,</v>
      </c>
      <c r="N70" t="str">
        <f t="shared" si="29"/>
        <v>5</v>
      </c>
      <c r="O70" t="str">
        <f t="shared" si="16"/>
        <v>copy .\dail_base3.dbr .\items\materia\class0028\Cenobite68.dbr /y</v>
      </c>
      <c r="P70" t="str">
        <f t="shared" si="24"/>
        <v>echo relicBitmap,items/craftingparts/components/component_a52_bristlyfur_b.tex, &gt;&gt; .\items\materia\class0028\Cenobite68.dbr</v>
      </c>
      <c r="Q70" t="str">
        <f t="shared" si="24"/>
        <v>echo itemCost,500000, &gt;&gt; .\items\materia\class0028\Cenobite68.dbr</v>
      </c>
      <c r="R70" t="str">
        <f t="shared" si="24"/>
        <v>echo description,dailCompDescCenobite68, &gt;&gt; .\items\materia\class0028\Cenobite68.dbr</v>
      </c>
      <c r="S70" t="str">
        <f t="shared" si="24"/>
        <v>echo itemText,dailCompTextCenobite68, &gt;&gt; .\items\materia\class0028\Cenobite68.dbr</v>
      </c>
      <c r="T70" t="str">
        <f t="shared" si="24"/>
        <v>echo augmentSkillLevel1,5, &gt;&gt; .\items\materia\class0028\Cenobite68.dbr</v>
      </c>
      <c r="U70" t="str">
        <f t="shared" si="24"/>
        <v>echo augmentSkillName1,records/skills/playerclass28/sunnyray_tra.dbr, &gt;&gt; .\items\materia\class0028\Cenobite68.dbr</v>
      </c>
      <c r="V70" s="5" t="s">
        <v>36</v>
      </c>
      <c r="W70" t="str">
        <f t="shared" si="30"/>
        <v>echo lootName68,DAIL/items/materia/class0028/Cenobite68.dbr, &gt;&gt; .\items\loottables\dailoneskill0028.dbr</v>
      </c>
      <c r="X70" t="str">
        <f t="shared" si="30"/>
        <v>echo lootWeight68,1, &gt;&gt; .\items\loottables\dailoneskill0028.dbr</v>
      </c>
      <c r="Y70" s="5" t="s">
        <v>36</v>
      </c>
      <c r="Z70" t="str">
        <f t="shared" si="31"/>
        <v xml:space="preserve"> dailCompDescCenobite68=^pCenobite's Gift of DAIL</v>
      </c>
      <c r="AA70" t="str">
        <f t="shared" si="17"/>
        <v>dailCompTextCenobite68=^oThis feels warm to the touch, almost familiar ^w(This component only fits into the Medal Slot)</v>
      </c>
      <c r="AB70" s="5" t="s">
        <v>36</v>
      </c>
      <c r="AH70">
        <f t="shared" si="19"/>
        <v>65</v>
      </c>
      <c r="AI70">
        <f t="shared" ref="AI70:AI102" si="35">LEN(I70)</f>
        <v>31</v>
      </c>
      <c r="AJ70">
        <f t="shared" si="18"/>
        <v>5</v>
      </c>
    </row>
    <row r="71" spans="1:36" x14ac:dyDescent="0.25">
      <c r="A71" s="5" t="s">
        <v>39</v>
      </c>
      <c r="B71" s="5" t="s">
        <v>30</v>
      </c>
      <c r="C71" s="5" t="str">
        <f t="shared" si="25"/>
        <v>description,dailCompDescCenobite69,</v>
      </c>
      <c r="D71" s="5" t="str">
        <f t="shared" si="26"/>
        <v>itemText,dailCompTextCenobite69,</v>
      </c>
      <c r="E71" s="5" t="str">
        <f t="shared" ref="E71:E102" si="36">"augmentSkillLevel1,"&amp;AJ71&amp;","</f>
        <v>augmentSkillLevel1,5,</v>
      </c>
      <c r="F71" s="5" t="str">
        <f t="shared" ref="F71:F102" si="37">"augmentSkillName1,records/skills"&amp;I71&amp;","</f>
        <v>augmentSkillName1,records/skills/playerclass28/holy_spike.dbr,</v>
      </c>
      <c r="G71" s="7">
        <f t="shared" si="32"/>
        <v>69</v>
      </c>
      <c r="H71" s="8" t="str">
        <f t="shared" si="33"/>
        <v>Cenobite</v>
      </c>
      <c r="I71" s="3" t="s">
        <v>234</v>
      </c>
      <c r="J71" s="8" t="str">
        <f t="shared" si="34"/>
        <v>class0028</v>
      </c>
      <c r="K71" s="8" t="str">
        <f t="shared" si="34"/>
        <v>dailoneskill0028</v>
      </c>
      <c r="L71" s="5" t="str">
        <f t="shared" si="27"/>
        <v>lootName69,DAIL/items/materia/class0028/Cenobite69.dbr,</v>
      </c>
      <c r="M71" s="5" t="str">
        <f t="shared" si="28"/>
        <v>lootWeight69,1,</v>
      </c>
      <c r="N71" t="str">
        <f t="shared" si="29"/>
        <v>5</v>
      </c>
      <c r="O71" t="str">
        <f t="shared" ref="O71:O102" si="38">IF(I71&lt;&gt;"","copy .\"&amp;VLOOKUP(VALUE(N71),$AD$3:$AF$5,2,FALSE)&amp;" .\items\materia\"&amp;J71&amp;"\"&amp;H71&amp;G71&amp;".dbr /y"&amp;"","")</f>
        <v>copy .\dail_base3.dbr .\items\materia\class0028\Cenobite69.dbr /y</v>
      </c>
      <c r="P71" t="str">
        <f t="shared" si="24"/>
        <v>echo relicBitmap,items/craftingparts/components/component_a52_bristlyfur_b.tex, &gt;&gt; .\items\materia\class0028\Cenobite69.dbr</v>
      </c>
      <c r="Q71" t="str">
        <f t="shared" si="24"/>
        <v>echo itemCost,500000, &gt;&gt; .\items\materia\class0028\Cenobite69.dbr</v>
      </c>
      <c r="R71" t="str">
        <f t="shared" si="24"/>
        <v>echo description,dailCompDescCenobite69, &gt;&gt; .\items\materia\class0028\Cenobite69.dbr</v>
      </c>
      <c r="S71" t="str">
        <f t="shared" si="24"/>
        <v>echo itemText,dailCompTextCenobite69, &gt;&gt; .\items\materia\class0028\Cenobite69.dbr</v>
      </c>
      <c r="T71" t="str">
        <f t="shared" si="24"/>
        <v>echo augmentSkillLevel1,5, &gt;&gt; .\items\materia\class0028\Cenobite69.dbr</v>
      </c>
      <c r="U71" t="str">
        <f t="shared" si="24"/>
        <v>echo augmentSkillName1,records/skills/playerclass28/holy_spike.dbr, &gt;&gt; .\items\materia\class0028\Cenobite69.dbr</v>
      </c>
      <c r="V71" s="5" t="s">
        <v>36</v>
      </c>
      <c r="W71" t="str">
        <f t="shared" si="30"/>
        <v>echo lootName69,DAIL/items/materia/class0028/Cenobite69.dbr, &gt;&gt; .\items\loottables\dailoneskill0028.dbr</v>
      </c>
      <c r="X71" t="str">
        <f t="shared" si="30"/>
        <v>echo lootWeight69,1, &gt;&gt; .\items\loottables\dailoneskill0028.dbr</v>
      </c>
      <c r="Y71" s="5" t="s">
        <v>36</v>
      </c>
      <c r="Z71" t="str">
        <f t="shared" si="31"/>
        <v xml:space="preserve"> dailCompDescCenobite69=^pCenobite's Gift of DAIL</v>
      </c>
      <c r="AA71" t="str">
        <f t="shared" ref="AA71:AA102" si="39">IF(I70&lt;&gt;"","dailCompText"&amp;H71&amp;G71&amp;"=^oThis feels warm to the touch, almost familiar ^w("&amp;VLOOKUP(VALUE(N71),$AD$3:$AF$5,3,FALSE)&amp;")","")</f>
        <v>dailCompTextCenobite69=^oThis feels warm to the touch, almost familiar ^w(This component only fits into the Medal Slot)</v>
      </c>
      <c r="AB71" s="5" t="s">
        <v>36</v>
      </c>
      <c r="AH71">
        <f t="shared" si="19"/>
        <v>66</v>
      </c>
      <c r="AI71">
        <f t="shared" si="35"/>
        <v>29</v>
      </c>
      <c r="AJ71">
        <f t="shared" ref="AJ71:AJ102" si="40">IF(AH71&lt;$AL$7,1,IF(AH71&lt;$AL$8,3,5))</f>
        <v>5</v>
      </c>
    </row>
    <row r="72" spans="1:36" x14ac:dyDescent="0.25">
      <c r="A72" s="5" t="s">
        <v>39</v>
      </c>
      <c r="B72" s="5" t="s">
        <v>30</v>
      </c>
      <c r="C72" s="5" t="str">
        <f t="shared" si="25"/>
        <v>description,dailCompDescCenobite70,</v>
      </c>
      <c r="D72" s="5" t="str">
        <f t="shared" si="26"/>
        <v>itemText,dailCompTextCenobite70,</v>
      </c>
      <c r="E72" s="5" t="str">
        <f t="shared" si="36"/>
        <v>augmentSkillLevel1,5,</v>
      </c>
      <c r="F72" s="5" t="str">
        <f t="shared" si="37"/>
        <v>augmentSkillName1,records/skills/playerclass28/holy_spike_mod.dbr,</v>
      </c>
      <c r="G72" s="7">
        <f t="shared" si="32"/>
        <v>70</v>
      </c>
      <c r="H72" s="8" t="str">
        <f t="shared" si="33"/>
        <v>Cenobite</v>
      </c>
      <c r="I72" s="3" t="s">
        <v>471</v>
      </c>
      <c r="J72" s="8" t="str">
        <f t="shared" si="34"/>
        <v>class0028</v>
      </c>
      <c r="K72" s="8" t="str">
        <f t="shared" si="34"/>
        <v>dailoneskill0028</v>
      </c>
      <c r="L72" s="5" t="str">
        <f t="shared" si="27"/>
        <v>lootName70,DAIL/items/materia/class0028/Cenobite70.dbr,</v>
      </c>
      <c r="M72" s="5" t="str">
        <f t="shared" si="28"/>
        <v>lootWeight70,1,</v>
      </c>
      <c r="N72" t="str">
        <f t="shared" si="29"/>
        <v>5</v>
      </c>
      <c r="O72" t="str">
        <f t="shared" si="38"/>
        <v>copy .\dail_base3.dbr .\items\materia\class0028\Cenobite70.dbr /y</v>
      </c>
      <c r="P72" t="str">
        <f t="shared" si="24"/>
        <v>echo relicBitmap,items/craftingparts/components/component_a52_bristlyfur_b.tex, &gt;&gt; .\items\materia\class0028\Cenobite70.dbr</v>
      </c>
      <c r="Q72" t="str">
        <f t="shared" si="24"/>
        <v>echo itemCost,500000, &gt;&gt; .\items\materia\class0028\Cenobite70.dbr</v>
      </c>
      <c r="R72" t="str">
        <f t="shared" si="24"/>
        <v>echo description,dailCompDescCenobite70, &gt;&gt; .\items\materia\class0028\Cenobite70.dbr</v>
      </c>
      <c r="S72" t="str">
        <f t="shared" si="24"/>
        <v>echo itemText,dailCompTextCenobite70, &gt;&gt; .\items\materia\class0028\Cenobite70.dbr</v>
      </c>
      <c r="T72" t="str">
        <f t="shared" si="24"/>
        <v>echo augmentSkillLevel1,5, &gt;&gt; .\items\materia\class0028\Cenobite70.dbr</v>
      </c>
      <c r="U72" t="str">
        <f t="shared" si="24"/>
        <v>echo augmentSkillName1,records/skills/playerclass28/holy_spike_mod.dbr, &gt;&gt; .\items\materia\class0028\Cenobite70.dbr</v>
      </c>
      <c r="V72" s="5" t="s">
        <v>36</v>
      </c>
      <c r="W72" t="str">
        <f t="shared" si="30"/>
        <v>echo lootName70,DAIL/items/materia/class0028/Cenobite70.dbr, &gt;&gt; .\items\loottables\dailoneskill0028.dbr</v>
      </c>
      <c r="X72" t="str">
        <f t="shared" si="30"/>
        <v>echo lootWeight70,1, &gt;&gt; .\items\loottables\dailoneskill0028.dbr</v>
      </c>
      <c r="Y72" s="5" t="s">
        <v>36</v>
      </c>
      <c r="Z72" t="str">
        <f t="shared" si="31"/>
        <v xml:space="preserve"> dailCompDescCenobite70=^pCenobite's Gift of DAIL</v>
      </c>
      <c r="AA72" t="str">
        <f t="shared" si="39"/>
        <v>dailCompTextCenobite70=^oThis feels warm to the touch, almost familiar ^w(This component only fits into the Medal Slot)</v>
      </c>
      <c r="AB72" s="5" t="s">
        <v>36</v>
      </c>
      <c r="AH72">
        <f t="shared" ref="AH72:AH102" si="41">AH71+1</f>
        <v>67</v>
      </c>
      <c r="AI72">
        <f t="shared" si="35"/>
        <v>33</v>
      </c>
      <c r="AJ72">
        <f t="shared" si="40"/>
        <v>5</v>
      </c>
    </row>
    <row r="73" spans="1:36" x14ac:dyDescent="0.25">
      <c r="A73" s="5" t="s">
        <v>39</v>
      </c>
      <c r="B73" s="5" t="s">
        <v>30</v>
      </c>
      <c r="C73" s="5" t="str">
        <f t="shared" si="25"/>
        <v>description,dailCompDescCenobite71,</v>
      </c>
      <c r="D73" s="5" t="str">
        <f t="shared" si="26"/>
        <v>itemText,dailCompTextCenobite71,</v>
      </c>
      <c r="E73" s="5" t="str">
        <f t="shared" si="36"/>
        <v>augmentSkillLevel1,5,</v>
      </c>
      <c r="F73" s="5" t="str">
        <f t="shared" si="37"/>
        <v>augmentSkillName1,records/skills/playerclass28/passive02.dbr,</v>
      </c>
      <c r="G73" s="7">
        <f t="shared" si="32"/>
        <v>71</v>
      </c>
      <c r="H73" s="8" t="str">
        <f t="shared" si="33"/>
        <v>Cenobite</v>
      </c>
      <c r="I73" s="3" t="s">
        <v>236</v>
      </c>
      <c r="J73" s="8" t="str">
        <f t="shared" si="34"/>
        <v>class0028</v>
      </c>
      <c r="K73" s="8" t="str">
        <f t="shared" si="34"/>
        <v>dailoneskill0028</v>
      </c>
      <c r="L73" s="5" t="str">
        <f t="shared" si="27"/>
        <v>lootName71,DAIL/items/materia/class0028/Cenobite71.dbr,</v>
      </c>
      <c r="M73" s="5" t="str">
        <f t="shared" si="28"/>
        <v>lootWeight71,1,</v>
      </c>
      <c r="N73" t="str">
        <f t="shared" si="29"/>
        <v>5</v>
      </c>
      <c r="O73" t="str">
        <f t="shared" si="38"/>
        <v>copy .\dail_base3.dbr .\items\materia\class0028\Cenobite71.dbr /y</v>
      </c>
      <c r="P73" t="str">
        <f t="shared" si="24"/>
        <v>echo relicBitmap,items/craftingparts/components/component_a52_bristlyfur_b.tex, &gt;&gt; .\items\materia\class0028\Cenobite71.dbr</v>
      </c>
      <c r="Q73" t="str">
        <f t="shared" si="24"/>
        <v>echo itemCost,500000, &gt;&gt; .\items\materia\class0028\Cenobite71.dbr</v>
      </c>
      <c r="R73" t="str">
        <f t="shared" si="24"/>
        <v>echo description,dailCompDescCenobite71, &gt;&gt; .\items\materia\class0028\Cenobite71.dbr</v>
      </c>
      <c r="S73" t="str">
        <f t="shared" si="24"/>
        <v>echo itemText,dailCompTextCenobite71, &gt;&gt; .\items\materia\class0028\Cenobite71.dbr</v>
      </c>
      <c r="T73" t="str">
        <f t="shared" si="24"/>
        <v>echo augmentSkillLevel1,5, &gt;&gt; .\items\materia\class0028\Cenobite71.dbr</v>
      </c>
      <c r="U73" t="str">
        <f t="shared" si="24"/>
        <v>echo augmentSkillName1,records/skills/playerclass28/passive02.dbr, &gt;&gt; .\items\materia\class0028\Cenobite71.dbr</v>
      </c>
      <c r="V73" s="5" t="s">
        <v>36</v>
      </c>
      <c r="W73" t="str">
        <f t="shared" si="30"/>
        <v>echo lootName71,DAIL/items/materia/class0028/Cenobite71.dbr, &gt;&gt; .\items\loottables\dailoneskill0028.dbr</v>
      </c>
      <c r="X73" t="str">
        <f t="shared" si="30"/>
        <v>echo lootWeight71,1, &gt;&gt; .\items\loottables\dailoneskill0028.dbr</v>
      </c>
      <c r="Y73" s="5" t="s">
        <v>36</v>
      </c>
      <c r="Z73" t="str">
        <f t="shared" si="31"/>
        <v xml:space="preserve"> dailCompDescCenobite71=^pCenobite's Gift of DAIL</v>
      </c>
      <c r="AA73" t="str">
        <f t="shared" si="39"/>
        <v>dailCompTextCenobite71=^oThis feels warm to the touch, almost familiar ^w(This component only fits into the Medal Slot)</v>
      </c>
      <c r="AB73" s="5" t="s">
        <v>36</v>
      </c>
      <c r="AH73">
        <f t="shared" si="41"/>
        <v>68</v>
      </c>
      <c r="AI73">
        <f t="shared" si="35"/>
        <v>28</v>
      </c>
      <c r="AJ73">
        <f t="shared" si="40"/>
        <v>5</v>
      </c>
    </row>
    <row r="74" spans="1:36" x14ac:dyDescent="0.25">
      <c r="A74" s="5" t="s">
        <v>39</v>
      </c>
      <c r="B74" s="5" t="s">
        <v>30</v>
      </c>
      <c r="C74" s="5" t="str">
        <f t="shared" si="25"/>
        <v>description,dailCompDescCenobite72,</v>
      </c>
      <c r="D74" s="5" t="str">
        <f t="shared" si="26"/>
        <v>itemText,dailCompTextCenobite72,</v>
      </c>
      <c r="E74" s="5" t="str">
        <f t="shared" si="36"/>
        <v>augmentSkillLevel1,5,</v>
      </c>
      <c r="F74" s="5" t="str">
        <f t="shared" si="37"/>
        <v>augmentSkillName1,records/skills/playerclass28/passive02_mod.dbr,</v>
      </c>
      <c r="G74" s="7">
        <f t="shared" si="32"/>
        <v>72</v>
      </c>
      <c r="H74" s="8" t="str">
        <f t="shared" si="33"/>
        <v>Cenobite</v>
      </c>
      <c r="I74" s="3" t="s">
        <v>472</v>
      </c>
      <c r="J74" s="8" t="str">
        <f t="shared" si="34"/>
        <v>class0028</v>
      </c>
      <c r="K74" s="8" t="str">
        <f t="shared" si="34"/>
        <v>dailoneskill0028</v>
      </c>
      <c r="L74" s="5" t="str">
        <f t="shared" si="27"/>
        <v>lootName72,DAIL/items/materia/class0028/Cenobite72.dbr,</v>
      </c>
      <c r="M74" s="5" t="str">
        <f t="shared" si="28"/>
        <v>lootWeight72,1,</v>
      </c>
      <c r="N74" t="str">
        <f t="shared" si="29"/>
        <v>5</v>
      </c>
      <c r="O74" t="str">
        <f t="shared" si="38"/>
        <v>copy .\dail_base3.dbr .\items\materia\class0028\Cenobite72.dbr /y</v>
      </c>
      <c r="P74" t="str">
        <f t="shared" si="24"/>
        <v>echo relicBitmap,items/craftingparts/components/component_a52_bristlyfur_b.tex, &gt;&gt; .\items\materia\class0028\Cenobite72.dbr</v>
      </c>
      <c r="Q74" t="str">
        <f t="shared" si="24"/>
        <v>echo itemCost,500000, &gt;&gt; .\items\materia\class0028\Cenobite72.dbr</v>
      </c>
      <c r="R74" t="str">
        <f t="shared" si="24"/>
        <v>echo description,dailCompDescCenobite72, &gt;&gt; .\items\materia\class0028\Cenobite72.dbr</v>
      </c>
      <c r="S74" t="str">
        <f t="shared" si="24"/>
        <v>echo itemText,dailCompTextCenobite72, &gt;&gt; .\items\materia\class0028\Cenobite72.dbr</v>
      </c>
      <c r="T74" t="str">
        <f t="shared" si="24"/>
        <v>echo augmentSkillLevel1,5, &gt;&gt; .\items\materia\class0028\Cenobite72.dbr</v>
      </c>
      <c r="U74" t="str">
        <f t="shared" si="24"/>
        <v>echo augmentSkillName1,records/skills/playerclass28/passive02_mod.dbr, &gt;&gt; .\items\materia\class0028\Cenobite72.dbr</v>
      </c>
      <c r="V74" s="5" t="s">
        <v>36</v>
      </c>
      <c r="W74" t="str">
        <f t="shared" si="30"/>
        <v>echo lootName72,DAIL/items/materia/class0028/Cenobite72.dbr, &gt;&gt; .\items\loottables\dailoneskill0028.dbr</v>
      </c>
      <c r="X74" t="str">
        <f t="shared" si="30"/>
        <v>echo lootWeight72,1, &gt;&gt; .\items\loottables\dailoneskill0028.dbr</v>
      </c>
      <c r="Y74" s="5" t="s">
        <v>36</v>
      </c>
      <c r="Z74" t="str">
        <f t="shared" si="31"/>
        <v xml:space="preserve"> dailCompDescCenobite72=^pCenobite's Gift of DAIL</v>
      </c>
      <c r="AA74" t="str">
        <f t="shared" si="39"/>
        <v>dailCompTextCenobite72=^oThis feels warm to the touch, almost familiar ^w(This component only fits into the Medal Slot)</v>
      </c>
      <c r="AB74" s="5" t="s">
        <v>36</v>
      </c>
      <c r="AH74">
        <f t="shared" si="41"/>
        <v>69</v>
      </c>
      <c r="AI74">
        <f t="shared" si="35"/>
        <v>32</v>
      </c>
      <c r="AJ74">
        <f t="shared" si="40"/>
        <v>5</v>
      </c>
    </row>
    <row r="75" spans="1:36" x14ac:dyDescent="0.25">
      <c r="A75" s="5" t="s">
        <v>39</v>
      </c>
      <c r="B75" s="5" t="s">
        <v>30</v>
      </c>
      <c r="C75" s="5" t="str">
        <f t="shared" si="25"/>
        <v>description,dailCompDescCenobite73,</v>
      </c>
      <c r="D75" s="5" t="str">
        <f t="shared" si="26"/>
        <v>itemText,dailCompTextCenobite73,</v>
      </c>
      <c r="E75" s="5" t="str">
        <f t="shared" si="36"/>
        <v>augmentSkillLevel1,5,</v>
      </c>
      <c r="F75" s="5" t="str">
        <f t="shared" si="37"/>
        <v>augmentSkillName1,records/skills/playerclass28/ringofflame.dbr,</v>
      </c>
      <c r="G75" s="7">
        <f t="shared" si="32"/>
        <v>73</v>
      </c>
      <c r="H75" s="8" t="str">
        <f t="shared" si="33"/>
        <v>Cenobite</v>
      </c>
      <c r="I75" s="3" t="s">
        <v>239</v>
      </c>
      <c r="J75" s="8" t="str">
        <f t="shared" si="34"/>
        <v>class0028</v>
      </c>
      <c r="K75" s="8" t="str">
        <f t="shared" si="34"/>
        <v>dailoneskill0028</v>
      </c>
      <c r="L75" s="5" t="str">
        <f t="shared" si="27"/>
        <v>lootName73,DAIL/items/materia/class0028/Cenobite73.dbr,</v>
      </c>
      <c r="M75" s="5" t="str">
        <f t="shared" si="28"/>
        <v>lootWeight73,1,</v>
      </c>
      <c r="N75" t="str">
        <f t="shared" si="29"/>
        <v>5</v>
      </c>
      <c r="O75" t="str">
        <f t="shared" si="38"/>
        <v>copy .\dail_base3.dbr .\items\materia\class0028\Cenobite73.dbr /y</v>
      </c>
      <c r="P75" t="str">
        <f t="shared" si="24"/>
        <v>echo relicBitmap,items/craftingparts/components/component_a52_bristlyfur_b.tex, &gt;&gt; .\items\materia\class0028\Cenobite73.dbr</v>
      </c>
      <c r="Q75" t="str">
        <f t="shared" si="24"/>
        <v>echo itemCost,500000, &gt;&gt; .\items\materia\class0028\Cenobite73.dbr</v>
      </c>
      <c r="R75" t="str">
        <f t="shared" si="24"/>
        <v>echo description,dailCompDescCenobite73, &gt;&gt; .\items\materia\class0028\Cenobite73.dbr</v>
      </c>
      <c r="S75" t="str">
        <f t="shared" si="24"/>
        <v>echo itemText,dailCompTextCenobite73, &gt;&gt; .\items\materia\class0028\Cenobite73.dbr</v>
      </c>
      <c r="T75" t="str">
        <f t="shared" si="24"/>
        <v>echo augmentSkillLevel1,5, &gt;&gt; .\items\materia\class0028\Cenobite73.dbr</v>
      </c>
      <c r="U75" t="str">
        <f t="shared" si="24"/>
        <v>echo augmentSkillName1,records/skills/playerclass28/ringofflame.dbr, &gt;&gt; .\items\materia\class0028\Cenobite73.dbr</v>
      </c>
      <c r="V75" s="5" t="s">
        <v>36</v>
      </c>
      <c r="W75" t="str">
        <f t="shared" si="30"/>
        <v>echo lootName73,DAIL/items/materia/class0028/Cenobite73.dbr, &gt;&gt; .\items\loottables\dailoneskill0028.dbr</v>
      </c>
      <c r="X75" t="str">
        <f t="shared" si="30"/>
        <v>echo lootWeight73,1, &gt;&gt; .\items\loottables\dailoneskill0028.dbr</v>
      </c>
      <c r="Y75" s="5" t="s">
        <v>36</v>
      </c>
      <c r="Z75" t="str">
        <f t="shared" si="31"/>
        <v xml:space="preserve"> dailCompDescCenobite73=^pCenobite's Gift of DAIL</v>
      </c>
      <c r="AA75" t="str">
        <f t="shared" si="39"/>
        <v>dailCompTextCenobite73=^oThis feels warm to the touch, almost familiar ^w(This component only fits into the Medal Slot)</v>
      </c>
      <c r="AB75" s="5" t="s">
        <v>36</v>
      </c>
      <c r="AH75">
        <f t="shared" si="41"/>
        <v>70</v>
      </c>
      <c r="AI75">
        <f t="shared" si="35"/>
        <v>30</v>
      </c>
      <c r="AJ75">
        <f t="shared" si="40"/>
        <v>5</v>
      </c>
    </row>
    <row r="76" spans="1:36" x14ac:dyDescent="0.25">
      <c r="A76" s="5" t="s">
        <v>39</v>
      </c>
      <c r="B76" s="5" t="s">
        <v>30</v>
      </c>
      <c r="C76" s="5" t="str">
        <f t="shared" si="25"/>
        <v>description,dailCompDescCenobite74,</v>
      </c>
      <c r="D76" s="5" t="str">
        <f t="shared" si="26"/>
        <v>itemText,dailCompTextCenobite74,</v>
      </c>
      <c r="E76" s="5" t="str">
        <f t="shared" si="36"/>
        <v>augmentSkillLevel1,5,</v>
      </c>
      <c r="F76" s="5" t="str">
        <f t="shared" si="37"/>
        <v>augmentSkillName1,records/skills/playerclass28/ringofflame_tra.dbr,</v>
      </c>
      <c r="G76" s="7">
        <f t="shared" si="32"/>
        <v>74</v>
      </c>
      <c r="H76" s="8" t="str">
        <f t="shared" si="33"/>
        <v>Cenobite</v>
      </c>
      <c r="I76" s="3" t="s">
        <v>473</v>
      </c>
      <c r="J76" s="8" t="str">
        <f t="shared" si="34"/>
        <v>class0028</v>
      </c>
      <c r="K76" s="8" t="str">
        <f t="shared" si="34"/>
        <v>dailoneskill0028</v>
      </c>
      <c r="L76" s="5" t="str">
        <f t="shared" si="27"/>
        <v>lootName74,DAIL/items/materia/class0028/Cenobite74.dbr,</v>
      </c>
      <c r="M76" s="5" t="str">
        <f t="shared" si="28"/>
        <v>lootWeight74,1,</v>
      </c>
      <c r="N76" t="str">
        <f t="shared" si="29"/>
        <v>5</v>
      </c>
      <c r="O76" t="str">
        <f t="shared" si="38"/>
        <v>copy .\dail_base3.dbr .\items\materia\class0028\Cenobite74.dbr /y</v>
      </c>
      <c r="P76" t="str">
        <f t="shared" si="24"/>
        <v>echo relicBitmap,items/craftingparts/components/component_a52_bristlyfur_b.tex, &gt;&gt; .\items\materia\class0028\Cenobite74.dbr</v>
      </c>
      <c r="Q76" t="str">
        <f t="shared" si="24"/>
        <v>echo itemCost,500000, &gt;&gt; .\items\materia\class0028\Cenobite74.dbr</v>
      </c>
      <c r="R76" t="str">
        <f t="shared" si="24"/>
        <v>echo description,dailCompDescCenobite74, &gt;&gt; .\items\materia\class0028\Cenobite74.dbr</v>
      </c>
      <c r="S76" t="str">
        <f t="shared" si="24"/>
        <v>echo itemText,dailCompTextCenobite74, &gt;&gt; .\items\materia\class0028\Cenobite74.dbr</v>
      </c>
      <c r="T76" t="str">
        <f t="shared" si="24"/>
        <v>echo augmentSkillLevel1,5, &gt;&gt; .\items\materia\class0028\Cenobite74.dbr</v>
      </c>
      <c r="U76" t="str">
        <f t="shared" si="24"/>
        <v>echo augmentSkillName1,records/skills/playerclass28/ringofflame_tra.dbr, &gt;&gt; .\items\materia\class0028\Cenobite74.dbr</v>
      </c>
      <c r="V76" s="5" t="s">
        <v>36</v>
      </c>
      <c r="W76" t="str">
        <f t="shared" si="30"/>
        <v>echo lootName74,DAIL/items/materia/class0028/Cenobite74.dbr, &gt;&gt; .\items\loottables\dailoneskill0028.dbr</v>
      </c>
      <c r="X76" t="str">
        <f t="shared" si="30"/>
        <v>echo lootWeight74,1, &gt;&gt; .\items\loottables\dailoneskill0028.dbr</v>
      </c>
      <c r="Y76" s="5" t="s">
        <v>36</v>
      </c>
      <c r="Z76" t="str">
        <f t="shared" si="31"/>
        <v xml:space="preserve"> dailCompDescCenobite74=^pCenobite's Gift of DAIL</v>
      </c>
      <c r="AA76" t="str">
        <f t="shared" si="39"/>
        <v>dailCompTextCenobite74=^oThis feels warm to the touch, almost familiar ^w(This component only fits into the Medal Slot)</v>
      </c>
      <c r="AB76" s="5" t="s">
        <v>36</v>
      </c>
      <c r="AH76">
        <f t="shared" si="41"/>
        <v>71</v>
      </c>
      <c r="AI76">
        <f t="shared" si="35"/>
        <v>34</v>
      </c>
      <c r="AJ76">
        <f t="shared" si="40"/>
        <v>5</v>
      </c>
    </row>
    <row r="77" spans="1:36" x14ac:dyDescent="0.25">
      <c r="A77" s="5" t="s">
        <v>39</v>
      </c>
      <c r="B77" s="5" t="s">
        <v>30</v>
      </c>
      <c r="C77" s="5" t="str">
        <f t="shared" si="25"/>
        <v>description,dailCompDescCenobite75,</v>
      </c>
      <c r="D77" s="5" t="str">
        <f t="shared" si="26"/>
        <v>itemText,dailCompTextCenobite75,</v>
      </c>
      <c r="E77" s="5" t="str">
        <f t="shared" si="36"/>
        <v>augmentSkillLevel1,5,</v>
      </c>
      <c r="F77" s="5" t="str">
        <f t="shared" si="37"/>
        <v>augmentSkillName1,records/skills/playerclass28/ringofflame_mod.dbr,</v>
      </c>
      <c r="G77" s="7">
        <f t="shared" si="32"/>
        <v>75</v>
      </c>
      <c r="H77" s="8" t="str">
        <f t="shared" si="33"/>
        <v>Cenobite</v>
      </c>
      <c r="I77" s="3" t="s">
        <v>474</v>
      </c>
      <c r="J77" s="8" t="str">
        <f t="shared" si="34"/>
        <v>class0028</v>
      </c>
      <c r="K77" s="8" t="str">
        <f t="shared" si="34"/>
        <v>dailoneskill0028</v>
      </c>
      <c r="L77" s="5" t="str">
        <f t="shared" si="27"/>
        <v>lootName75,DAIL/items/materia/class0028/Cenobite75.dbr,</v>
      </c>
      <c r="M77" s="5" t="str">
        <f t="shared" si="28"/>
        <v>lootWeight75,1,</v>
      </c>
      <c r="N77" t="str">
        <f t="shared" si="29"/>
        <v>5</v>
      </c>
      <c r="O77" t="str">
        <f t="shared" si="38"/>
        <v>copy .\dail_base3.dbr .\items\materia\class0028\Cenobite75.dbr /y</v>
      </c>
      <c r="P77" t="str">
        <f t="shared" si="24"/>
        <v>echo relicBitmap,items/craftingparts/components/component_a52_bristlyfur_b.tex, &gt;&gt; .\items\materia\class0028\Cenobite75.dbr</v>
      </c>
      <c r="Q77" t="str">
        <f t="shared" si="24"/>
        <v>echo itemCost,500000, &gt;&gt; .\items\materia\class0028\Cenobite75.dbr</v>
      </c>
      <c r="R77" t="str">
        <f t="shared" si="24"/>
        <v>echo description,dailCompDescCenobite75, &gt;&gt; .\items\materia\class0028\Cenobite75.dbr</v>
      </c>
      <c r="S77" t="str">
        <f t="shared" si="24"/>
        <v>echo itemText,dailCompTextCenobite75, &gt;&gt; .\items\materia\class0028\Cenobite75.dbr</v>
      </c>
      <c r="T77" t="str">
        <f t="shared" si="24"/>
        <v>echo augmentSkillLevel1,5, &gt;&gt; .\items\materia\class0028\Cenobite75.dbr</v>
      </c>
      <c r="U77" t="str">
        <f t="shared" si="24"/>
        <v>echo augmentSkillName1,records/skills/playerclass28/ringofflame_mod.dbr, &gt;&gt; .\items\materia\class0028\Cenobite75.dbr</v>
      </c>
      <c r="V77" s="5" t="s">
        <v>36</v>
      </c>
      <c r="W77" t="str">
        <f t="shared" si="30"/>
        <v>echo lootName75,DAIL/items/materia/class0028/Cenobite75.dbr, &gt;&gt; .\items\loottables\dailoneskill0028.dbr</v>
      </c>
      <c r="X77" t="str">
        <f t="shared" si="30"/>
        <v>echo lootWeight75,1, &gt;&gt; .\items\loottables\dailoneskill0028.dbr</v>
      </c>
      <c r="Y77" s="5" t="s">
        <v>36</v>
      </c>
      <c r="Z77" t="str">
        <f t="shared" si="31"/>
        <v xml:space="preserve"> dailCompDescCenobite75=^pCenobite's Gift of DAIL</v>
      </c>
      <c r="AA77" t="str">
        <f t="shared" si="39"/>
        <v>dailCompTextCenobite75=^oThis feels warm to the touch, almost familiar ^w(This component only fits into the Medal Slot)</v>
      </c>
      <c r="AB77" s="5" t="s">
        <v>36</v>
      </c>
      <c r="AH77">
        <f t="shared" si="41"/>
        <v>72</v>
      </c>
      <c r="AI77">
        <f t="shared" si="35"/>
        <v>34</v>
      </c>
      <c r="AJ77">
        <f t="shared" si="40"/>
        <v>5</v>
      </c>
    </row>
    <row r="78" spans="1:36" x14ac:dyDescent="0.25">
      <c r="A78" s="5" t="s">
        <v>39</v>
      </c>
      <c r="B78" s="5" t="s">
        <v>30</v>
      </c>
      <c r="C78" s="5" t="str">
        <f t="shared" si="25"/>
        <v>description,dailCompDescCenobite76,</v>
      </c>
      <c r="D78" s="5" t="str">
        <f t="shared" si="26"/>
        <v>itemText,dailCompTextCenobite76,</v>
      </c>
      <c r="E78" s="5" t="str">
        <f t="shared" si="36"/>
        <v>augmentSkillLevel1,5,</v>
      </c>
      <c r="F78" s="5" t="str">
        <f t="shared" si="37"/>
        <v>augmentSkillName1,records/skills/playerclass28/ringofflame_mod2.dbr,</v>
      </c>
      <c r="G78" s="7">
        <f t="shared" si="32"/>
        <v>76</v>
      </c>
      <c r="H78" s="8" t="str">
        <f t="shared" si="33"/>
        <v>Cenobite</v>
      </c>
      <c r="I78" s="3" t="s">
        <v>475</v>
      </c>
      <c r="J78" s="8" t="str">
        <f t="shared" si="34"/>
        <v>class0028</v>
      </c>
      <c r="K78" s="8" t="str">
        <f t="shared" si="34"/>
        <v>dailoneskill0028</v>
      </c>
      <c r="L78" s="5" t="str">
        <f t="shared" si="27"/>
        <v>lootName76,DAIL/items/materia/class0028/Cenobite76.dbr,</v>
      </c>
      <c r="M78" s="5" t="str">
        <f t="shared" si="28"/>
        <v>lootWeight76,1,</v>
      </c>
      <c r="N78" t="str">
        <f t="shared" si="29"/>
        <v>5</v>
      </c>
      <c r="O78" t="str">
        <f t="shared" si="38"/>
        <v>copy .\dail_base3.dbr .\items\materia\class0028\Cenobite76.dbr /y</v>
      </c>
      <c r="P78" t="str">
        <f t="shared" si="24"/>
        <v>echo relicBitmap,items/craftingparts/components/component_a52_bristlyfur_b.tex, &gt;&gt; .\items\materia\class0028\Cenobite76.dbr</v>
      </c>
      <c r="Q78" t="str">
        <f t="shared" si="24"/>
        <v>echo itemCost,500000, &gt;&gt; .\items\materia\class0028\Cenobite76.dbr</v>
      </c>
      <c r="R78" t="str">
        <f t="shared" si="24"/>
        <v>echo description,dailCompDescCenobite76, &gt;&gt; .\items\materia\class0028\Cenobite76.dbr</v>
      </c>
      <c r="S78" t="str">
        <f t="shared" si="24"/>
        <v>echo itemText,dailCompTextCenobite76, &gt;&gt; .\items\materia\class0028\Cenobite76.dbr</v>
      </c>
      <c r="T78" t="str">
        <f t="shared" si="24"/>
        <v>echo augmentSkillLevel1,5, &gt;&gt; .\items\materia\class0028\Cenobite76.dbr</v>
      </c>
      <c r="U78" t="str">
        <f t="shared" si="24"/>
        <v>echo augmentSkillName1,records/skills/playerclass28/ringofflame_mod2.dbr, &gt;&gt; .\items\materia\class0028\Cenobite76.dbr</v>
      </c>
      <c r="V78" s="5" t="s">
        <v>36</v>
      </c>
      <c r="W78" t="str">
        <f t="shared" si="30"/>
        <v>echo lootName76,DAIL/items/materia/class0028/Cenobite76.dbr, &gt;&gt; .\items\loottables\dailoneskill0028.dbr</v>
      </c>
      <c r="X78" t="str">
        <f t="shared" si="30"/>
        <v>echo lootWeight76,1, &gt;&gt; .\items\loottables\dailoneskill0028.dbr</v>
      </c>
      <c r="Y78" s="5" t="s">
        <v>36</v>
      </c>
      <c r="Z78" t="str">
        <f t="shared" si="31"/>
        <v xml:space="preserve"> dailCompDescCenobite76=^pCenobite's Gift of DAIL</v>
      </c>
      <c r="AA78" t="str">
        <f t="shared" si="39"/>
        <v>dailCompTextCenobite76=^oThis feels warm to the touch, almost familiar ^w(This component only fits into the Medal Slot)</v>
      </c>
      <c r="AB78" s="5" t="s">
        <v>36</v>
      </c>
      <c r="AH78">
        <f t="shared" si="41"/>
        <v>73</v>
      </c>
      <c r="AI78">
        <f t="shared" si="35"/>
        <v>35</v>
      </c>
      <c r="AJ78">
        <f t="shared" si="40"/>
        <v>5</v>
      </c>
    </row>
    <row r="79" spans="1:36" x14ac:dyDescent="0.25">
      <c r="A79" s="5" t="s">
        <v>39</v>
      </c>
      <c r="B79" s="5" t="s">
        <v>30</v>
      </c>
      <c r="C79" s="5" t="str">
        <f t="shared" si="25"/>
        <v>description,dailCompDescCenobite77,</v>
      </c>
      <c r="D79" s="5" t="str">
        <f t="shared" si="26"/>
        <v>itemText,dailCompTextCenobite77,</v>
      </c>
      <c r="E79" s="5" t="str">
        <f t="shared" si="36"/>
        <v>augmentSkillLevel1,5,</v>
      </c>
      <c r="F79" s="5" t="str">
        <f t="shared" si="37"/>
        <v>augmentSkillName1,records/skills/playerclass28/ringofflame_mod3.dbr,</v>
      </c>
      <c r="G79" s="7">
        <f t="shared" si="32"/>
        <v>77</v>
      </c>
      <c r="H79" s="8" t="str">
        <f t="shared" si="33"/>
        <v>Cenobite</v>
      </c>
      <c r="I79" s="3" t="s">
        <v>476</v>
      </c>
      <c r="J79" s="8" t="str">
        <f t="shared" si="34"/>
        <v>class0028</v>
      </c>
      <c r="K79" s="8" t="str">
        <f t="shared" si="34"/>
        <v>dailoneskill0028</v>
      </c>
      <c r="L79" s="5" t="str">
        <f t="shared" si="27"/>
        <v>lootName77,DAIL/items/materia/class0028/Cenobite77.dbr,</v>
      </c>
      <c r="M79" s="5" t="str">
        <f t="shared" si="28"/>
        <v>lootWeight77,1,</v>
      </c>
      <c r="N79" t="str">
        <f t="shared" si="29"/>
        <v>5</v>
      </c>
      <c r="O79" t="str">
        <f t="shared" si="38"/>
        <v>copy .\dail_base3.dbr .\items\materia\class0028\Cenobite77.dbr /y</v>
      </c>
      <c r="P79" t="str">
        <f t="shared" si="24"/>
        <v>echo relicBitmap,items/craftingparts/components/component_a52_bristlyfur_b.tex, &gt;&gt; .\items\materia\class0028\Cenobite77.dbr</v>
      </c>
      <c r="Q79" t="str">
        <f t="shared" si="24"/>
        <v>echo itemCost,500000, &gt;&gt; .\items\materia\class0028\Cenobite77.dbr</v>
      </c>
      <c r="R79" t="str">
        <f t="shared" si="24"/>
        <v>echo description,dailCompDescCenobite77, &gt;&gt; .\items\materia\class0028\Cenobite77.dbr</v>
      </c>
      <c r="S79" t="str">
        <f t="shared" si="24"/>
        <v>echo itemText,dailCompTextCenobite77, &gt;&gt; .\items\materia\class0028\Cenobite77.dbr</v>
      </c>
      <c r="T79" t="str">
        <f t="shared" si="24"/>
        <v>echo augmentSkillLevel1,5, &gt;&gt; .\items\materia\class0028\Cenobite77.dbr</v>
      </c>
      <c r="U79" t="str">
        <f t="shared" si="24"/>
        <v>echo augmentSkillName1,records/skills/playerclass28/ringofflame_mod3.dbr, &gt;&gt; .\items\materia\class0028\Cenobite77.dbr</v>
      </c>
      <c r="V79" s="5" t="s">
        <v>36</v>
      </c>
      <c r="W79" t="str">
        <f t="shared" si="30"/>
        <v>echo lootName77,DAIL/items/materia/class0028/Cenobite77.dbr, &gt;&gt; .\items\loottables\dailoneskill0028.dbr</v>
      </c>
      <c r="X79" t="str">
        <f t="shared" si="30"/>
        <v>echo lootWeight77,1, &gt;&gt; .\items\loottables\dailoneskill0028.dbr</v>
      </c>
      <c r="Y79" s="5" t="s">
        <v>36</v>
      </c>
      <c r="Z79" t="str">
        <f t="shared" si="31"/>
        <v xml:space="preserve"> dailCompDescCenobite77=^pCenobite's Gift of DAIL</v>
      </c>
      <c r="AA79" t="str">
        <f t="shared" si="39"/>
        <v>dailCompTextCenobite77=^oThis feels warm to the touch, almost familiar ^w(This component only fits into the Medal Slot)</v>
      </c>
      <c r="AB79" s="5" t="s">
        <v>36</v>
      </c>
      <c r="AH79">
        <f t="shared" si="41"/>
        <v>74</v>
      </c>
      <c r="AI79">
        <f t="shared" si="35"/>
        <v>35</v>
      </c>
      <c r="AJ79">
        <f t="shared" si="40"/>
        <v>5</v>
      </c>
    </row>
    <row r="80" spans="1:36" x14ac:dyDescent="0.25">
      <c r="A80" s="5" t="s">
        <v>39</v>
      </c>
      <c r="B80" s="5" t="s">
        <v>30</v>
      </c>
      <c r="C80" s="5" t="str">
        <f t="shared" si="25"/>
        <v>description,dailCompDescCenobite78,</v>
      </c>
      <c r="D80" s="5" t="str">
        <f t="shared" si="26"/>
        <v>itemText,dailCompTextCenobite78,</v>
      </c>
      <c r="E80" s="5" t="str">
        <f t="shared" si="36"/>
        <v>augmentSkillLevel1,5,</v>
      </c>
      <c r="F80" s="5" t="str">
        <f t="shared" si="37"/>
        <v>augmentSkillName1,records/skills/playerclass28/hammer.dbr,</v>
      </c>
      <c r="G80" s="7">
        <f t="shared" si="32"/>
        <v>78</v>
      </c>
      <c r="H80" s="8" t="str">
        <f t="shared" si="33"/>
        <v>Cenobite</v>
      </c>
      <c r="I80" s="3" t="s">
        <v>232</v>
      </c>
      <c r="J80" s="8" t="str">
        <f t="shared" si="34"/>
        <v>class0028</v>
      </c>
      <c r="K80" s="8" t="str">
        <f t="shared" si="34"/>
        <v>dailoneskill0028</v>
      </c>
      <c r="L80" s="5" t="str">
        <f t="shared" si="27"/>
        <v>lootName78,DAIL/items/materia/class0028/Cenobite78.dbr,</v>
      </c>
      <c r="M80" s="5" t="str">
        <f t="shared" si="28"/>
        <v>lootWeight78,1,</v>
      </c>
      <c r="N80" t="str">
        <f t="shared" si="29"/>
        <v>5</v>
      </c>
      <c r="O80" t="str">
        <f t="shared" si="38"/>
        <v>copy .\dail_base3.dbr .\items\materia\class0028\Cenobite78.dbr /y</v>
      </c>
      <c r="P80" t="str">
        <f t="shared" si="24"/>
        <v>echo relicBitmap,items/craftingparts/components/component_a52_bristlyfur_b.tex, &gt;&gt; .\items\materia\class0028\Cenobite78.dbr</v>
      </c>
      <c r="Q80" t="str">
        <f t="shared" si="24"/>
        <v>echo itemCost,500000, &gt;&gt; .\items\materia\class0028\Cenobite78.dbr</v>
      </c>
      <c r="R80" t="str">
        <f t="shared" si="24"/>
        <v>echo description,dailCompDescCenobite78, &gt;&gt; .\items\materia\class0028\Cenobite78.dbr</v>
      </c>
      <c r="S80" t="str">
        <f t="shared" si="24"/>
        <v>echo itemText,dailCompTextCenobite78, &gt;&gt; .\items\materia\class0028\Cenobite78.dbr</v>
      </c>
      <c r="T80" t="str">
        <f t="shared" si="24"/>
        <v>echo augmentSkillLevel1,5, &gt;&gt; .\items\materia\class0028\Cenobite78.dbr</v>
      </c>
      <c r="U80" t="str">
        <f t="shared" si="24"/>
        <v>echo augmentSkillName1,records/skills/playerclass28/hammer.dbr, &gt;&gt; .\items\materia\class0028\Cenobite78.dbr</v>
      </c>
      <c r="V80" s="5" t="s">
        <v>36</v>
      </c>
      <c r="W80" t="str">
        <f t="shared" si="30"/>
        <v>echo lootName78,DAIL/items/materia/class0028/Cenobite78.dbr, &gt;&gt; .\items\loottables\dailoneskill0028.dbr</v>
      </c>
      <c r="X80" t="str">
        <f t="shared" si="30"/>
        <v>echo lootWeight78,1, &gt;&gt; .\items\loottables\dailoneskill0028.dbr</v>
      </c>
      <c r="Y80" s="5" t="s">
        <v>36</v>
      </c>
      <c r="Z80" t="str">
        <f t="shared" si="31"/>
        <v xml:space="preserve"> dailCompDescCenobite78=^pCenobite's Gift of DAIL</v>
      </c>
      <c r="AA80" t="str">
        <f t="shared" si="39"/>
        <v>dailCompTextCenobite78=^oThis feels warm to the touch, almost familiar ^w(This component only fits into the Medal Slot)</v>
      </c>
      <c r="AB80" s="5" t="s">
        <v>36</v>
      </c>
      <c r="AH80">
        <f t="shared" si="41"/>
        <v>75</v>
      </c>
      <c r="AI80">
        <f t="shared" si="35"/>
        <v>25</v>
      </c>
      <c r="AJ80">
        <f t="shared" si="40"/>
        <v>5</v>
      </c>
    </row>
    <row r="81" spans="1:36" x14ac:dyDescent="0.25">
      <c r="A81" s="5" t="s">
        <v>39</v>
      </c>
      <c r="B81" s="5" t="s">
        <v>30</v>
      </c>
      <c r="C81" s="5" t="str">
        <f t="shared" si="25"/>
        <v>description,dailCompDescCenobite79,</v>
      </c>
      <c r="D81" s="5" t="str">
        <f t="shared" si="26"/>
        <v>itemText,dailCompTextCenobite79,</v>
      </c>
      <c r="E81" s="5" t="str">
        <f t="shared" si="36"/>
        <v>augmentSkillLevel1,5,</v>
      </c>
      <c r="F81" s="5" t="str">
        <f t="shared" si="37"/>
        <v>augmentSkillName1,records/skills/playerclass28/shieldattack.dbr,</v>
      </c>
      <c r="G81" s="7">
        <f t="shared" si="32"/>
        <v>79</v>
      </c>
      <c r="H81" s="8" t="str">
        <f t="shared" si="33"/>
        <v>Cenobite</v>
      </c>
      <c r="I81" s="3" t="s">
        <v>240</v>
      </c>
      <c r="J81" s="8" t="str">
        <f t="shared" si="34"/>
        <v>class0028</v>
      </c>
      <c r="K81" s="8" t="str">
        <f t="shared" si="34"/>
        <v>dailoneskill0028</v>
      </c>
      <c r="L81" s="5" t="str">
        <f t="shared" si="27"/>
        <v>lootName79,DAIL/items/materia/class0028/Cenobite79.dbr,</v>
      </c>
      <c r="M81" s="5" t="str">
        <f t="shared" si="28"/>
        <v>lootWeight79,1,</v>
      </c>
      <c r="N81" t="str">
        <f t="shared" si="29"/>
        <v>5</v>
      </c>
      <c r="O81" t="str">
        <f t="shared" si="38"/>
        <v>copy .\dail_base3.dbr .\items\materia\class0028\Cenobite79.dbr /y</v>
      </c>
      <c r="P81" t="str">
        <f t="shared" si="24"/>
        <v>echo relicBitmap,items/craftingparts/components/component_a52_bristlyfur_b.tex, &gt;&gt; .\items\materia\class0028\Cenobite79.dbr</v>
      </c>
      <c r="Q81" t="str">
        <f t="shared" si="24"/>
        <v>echo itemCost,500000, &gt;&gt; .\items\materia\class0028\Cenobite79.dbr</v>
      </c>
      <c r="R81" t="str">
        <f t="shared" si="24"/>
        <v>echo description,dailCompDescCenobite79, &gt;&gt; .\items\materia\class0028\Cenobite79.dbr</v>
      </c>
      <c r="S81" t="str">
        <f t="shared" si="24"/>
        <v>echo itemText,dailCompTextCenobite79, &gt;&gt; .\items\materia\class0028\Cenobite79.dbr</v>
      </c>
      <c r="T81" t="str">
        <f t="shared" si="24"/>
        <v>echo augmentSkillLevel1,5, &gt;&gt; .\items\materia\class0028\Cenobite79.dbr</v>
      </c>
      <c r="U81" t="str">
        <f t="shared" si="24"/>
        <v>echo augmentSkillName1,records/skills/playerclass28/shieldattack.dbr, &gt;&gt; .\items\materia\class0028\Cenobite79.dbr</v>
      </c>
      <c r="V81" s="5" t="s">
        <v>36</v>
      </c>
      <c r="W81" t="str">
        <f t="shared" si="30"/>
        <v>echo lootName79,DAIL/items/materia/class0028/Cenobite79.dbr, &gt;&gt; .\items\loottables\dailoneskill0028.dbr</v>
      </c>
      <c r="X81" t="str">
        <f t="shared" si="30"/>
        <v>echo lootWeight79,1, &gt;&gt; .\items\loottables\dailoneskill0028.dbr</v>
      </c>
      <c r="Y81" s="5" t="s">
        <v>36</v>
      </c>
      <c r="Z81" t="str">
        <f t="shared" si="31"/>
        <v xml:space="preserve"> dailCompDescCenobite79=^pCenobite's Gift of DAIL</v>
      </c>
      <c r="AA81" t="str">
        <f t="shared" si="39"/>
        <v>dailCompTextCenobite79=^oThis feels warm to the touch, almost familiar ^w(This component only fits into the Medal Slot)</v>
      </c>
      <c r="AB81" s="5" t="s">
        <v>36</v>
      </c>
      <c r="AH81">
        <f t="shared" si="41"/>
        <v>76</v>
      </c>
      <c r="AI81">
        <f t="shared" si="35"/>
        <v>31</v>
      </c>
      <c r="AJ81">
        <f t="shared" si="40"/>
        <v>5</v>
      </c>
    </row>
    <row r="82" spans="1:36" x14ac:dyDescent="0.25">
      <c r="A82" s="5" t="s">
        <v>39</v>
      </c>
      <c r="B82" s="5" t="s">
        <v>30</v>
      </c>
      <c r="C82" s="5" t="str">
        <f t="shared" si="25"/>
        <v>description,dailCompDescCenobite80,</v>
      </c>
      <c r="D82" s="5" t="str">
        <f t="shared" si="26"/>
        <v>itemText,dailCompTextCenobite80,</v>
      </c>
      <c r="E82" s="5" t="str">
        <f t="shared" si="36"/>
        <v>augmentSkillLevel1,5,</v>
      </c>
      <c r="F82" s="5" t="str">
        <f t="shared" si="37"/>
        <v>augmentSkillName1,records/skills/playerclass28/shieldattack_mod2.dbr,</v>
      </c>
      <c r="G82" s="7">
        <f t="shared" si="32"/>
        <v>80</v>
      </c>
      <c r="H82" s="8" t="str">
        <f t="shared" si="33"/>
        <v>Cenobite</v>
      </c>
      <c r="I82" s="3" t="s">
        <v>477</v>
      </c>
      <c r="J82" s="8" t="str">
        <f t="shared" si="34"/>
        <v>class0028</v>
      </c>
      <c r="K82" s="8" t="str">
        <f t="shared" si="34"/>
        <v>dailoneskill0028</v>
      </c>
      <c r="L82" s="5" t="str">
        <f t="shared" si="27"/>
        <v>lootName80,DAIL/items/materia/class0028/Cenobite80.dbr,</v>
      </c>
      <c r="M82" s="5" t="str">
        <f t="shared" si="28"/>
        <v>lootWeight80,1,</v>
      </c>
      <c r="N82" t="str">
        <f t="shared" si="29"/>
        <v>5</v>
      </c>
      <c r="O82" t="str">
        <f t="shared" si="38"/>
        <v>copy .\dail_base3.dbr .\items\materia\class0028\Cenobite80.dbr /y</v>
      </c>
      <c r="P82" t="str">
        <f t="shared" si="24"/>
        <v>echo relicBitmap,items/craftingparts/components/component_a52_bristlyfur_b.tex, &gt;&gt; .\items\materia\class0028\Cenobite80.dbr</v>
      </c>
      <c r="Q82" t="str">
        <f t="shared" si="24"/>
        <v>echo itemCost,500000, &gt;&gt; .\items\materia\class0028\Cenobite80.dbr</v>
      </c>
      <c r="R82" t="str">
        <f t="shared" si="24"/>
        <v>echo description,dailCompDescCenobite80, &gt;&gt; .\items\materia\class0028\Cenobite80.dbr</v>
      </c>
      <c r="S82" t="str">
        <f t="shared" si="24"/>
        <v>echo itemText,dailCompTextCenobite80, &gt;&gt; .\items\materia\class0028\Cenobite80.dbr</v>
      </c>
      <c r="T82" t="str">
        <f t="shared" si="24"/>
        <v>echo augmentSkillLevel1,5, &gt;&gt; .\items\materia\class0028\Cenobite80.dbr</v>
      </c>
      <c r="U82" t="str">
        <f t="shared" si="24"/>
        <v>echo augmentSkillName1,records/skills/playerclass28/shieldattack_mod2.dbr, &gt;&gt; .\items\materia\class0028\Cenobite80.dbr</v>
      </c>
      <c r="V82" s="5" t="s">
        <v>36</v>
      </c>
      <c r="W82" t="str">
        <f t="shared" si="30"/>
        <v>echo lootName80,DAIL/items/materia/class0028/Cenobite80.dbr, &gt;&gt; .\items\loottables\dailoneskill0028.dbr</v>
      </c>
      <c r="X82" t="str">
        <f t="shared" si="30"/>
        <v>echo lootWeight80,1, &gt;&gt; .\items\loottables\dailoneskill0028.dbr</v>
      </c>
      <c r="Y82" s="5" t="s">
        <v>36</v>
      </c>
      <c r="Z82" t="str">
        <f t="shared" si="31"/>
        <v xml:space="preserve"> dailCompDescCenobite80=^pCenobite's Gift of DAIL</v>
      </c>
      <c r="AA82" t="str">
        <f t="shared" si="39"/>
        <v>dailCompTextCenobite80=^oThis feels warm to the touch, almost familiar ^w(This component only fits into the Medal Slot)</v>
      </c>
      <c r="AB82" s="5" t="s">
        <v>36</v>
      </c>
      <c r="AH82">
        <f t="shared" si="41"/>
        <v>77</v>
      </c>
      <c r="AI82">
        <f t="shared" si="35"/>
        <v>36</v>
      </c>
      <c r="AJ82">
        <f t="shared" si="40"/>
        <v>5</v>
      </c>
    </row>
    <row r="83" spans="1:36" x14ac:dyDescent="0.25">
      <c r="A83" s="5" t="s">
        <v>39</v>
      </c>
      <c r="B83" s="5" t="s">
        <v>30</v>
      </c>
      <c r="C83" s="5" t="str">
        <f t="shared" si="25"/>
        <v>description,dailCompDescCenobite81,</v>
      </c>
      <c r="D83" s="5" t="str">
        <f t="shared" si="26"/>
        <v>itemText,dailCompTextCenobite81,</v>
      </c>
      <c r="E83" s="5" t="str">
        <f t="shared" si="36"/>
        <v>augmentSkillLevel1,5,</v>
      </c>
      <c r="F83" s="5" t="str">
        <f t="shared" si="37"/>
        <v>augmentSkillName1,records/skills/playerclass28/shieldattack_mod1.dbr,</v>
      </c>
      <c r="G83" s="7">
        <f t="shared" si="32"/>
        <v>81</v>
      </c>
      <c r="H83" s="8" t="str">
        <f t="shared" si="33"/>
        <v>Cenobite</v>
      </c>
      <c r="I83" s="3" t="s">
        <v>478</v>
      </c>
      <c r="J83" s="8" t="str">
        <f t="shared" si="34"/>
        <v>class0028</v>
      </c>
      <c r="K83" s="8" t="str">
        <f t="shared" si="34"/>
        <v>dailoneskill0028</v>
      </c>
      <c r="L83" s="5" t="str">
        <f t="shared" si="27"/>
        <v>lootName81,DAIL/items/materia/class0028/Cenobite81.dbr,</v>
      </c>
      <c r="M83" s="5" t="str">
        <f t="shared" si="28"/>
        <v>lootWeight81,1,</v>
      </c>
      <c r="N83" t="str">
        <f t="shared" si="29"/>
        <v>5</v>
      </c>
      <c r="O83" t="str">
        <f t="shared" si="38"/>
        <v>copy .\dail_base3.dbr .\items\materia\class0028\Cenobite81.dbr /y</v>
      </c>
      <c r="P83" t="str">
        <f t="shared" si="24"/>
        <v>echo relicBitmap,items/craftingparts/components/component_a52_bristlyfur_b.tex, &gt;&gt; .\items\materia\class0028\Cenobite81.dbr</v>
      </c>
      <c r="Q83" t="str">
        <f t="shared" si="24"/>
        <v>echo itemCost,500000, &gt;&gt; .\items\materia\class0028\Cenobite81.dbr</v>
      </c>
      <c r="R83" t="str">
        <f t="shared" si="24"/>
        <v>echo description,dailCompDescCenobite81, &gt;&gt; .\items\materia\class0028\Cenobite81.dbr</v>
      </c>
      <c r="S83" t="str">
        <f t="shared" si="24"/>
        <v>echo itemText,dailCompTextCenobite81, &gt;&gt; .\items\materia\class0028\Cenobite81.dbr</v>
      </c>
      <c r="T83" t="str">
        <f t="shared" si="24"/>
        <v>echo augmentSkillLevel1,5, &gt;&gt; .\items\materia\class0028\Cenobite81.dbr</v>
      </c>
      <c r="U83" t="str">
        <f t="shared" si="24"/>
        <v>echo augmentSkillName1,records/skills/playerclass28/shieldattack_mod1.dbr, &gt;&gt; .\items\materia\class0028\Cenobite81.dbr</v>
      </c>
      <c r="V83" s="5" t="s">
        <v>36</v>
      </c>
      <c r="W83" t="str">
        <f t="shared" si="30"/>
        <v>echo lootName81,DAIL/items/materia/class0028/Cenobite81.dbr, &gt;&gt; .\items\loottables\dailoneskill0028.dbr</v>
      </c>
      <c r="X83" t="str">
        <f t="shared" si="30"/>
        <v>echo lootWeight81,1, &gt;&gt; .\items\loottables\dailoneskill0028.dbr</v>
      </c>
      <c r="Y83" s="5" t="s">
        <v>36</v>
      </c>
      <c r="Z83" t="str">
        <f t="shared" si="31"/>
        <v xml:space="preserve"> dailCompDescCenobite81=^pCenobite's Gift of DAIL</v>
      </c>
      <c r="AA83" t="str">
        <f t="shared" si="39"/>
        <v>dailCompTextCenobite81=^oThis feels warm to the touch, almost familiar ^w(This component only fits into the Medal Slot)</v>
      </c>
      <c r="AB83" s="5" t="s">
        <v>36</v>
      </c>
      <c r="AH83">
        <f t="shared" si="41"/>
        <v>78</v>
      </c>
      <c r="AI83">
        <f t="shared" si="35"/>
        <v>36</v>
      </c>
      <c r="AJ83">
        <f t="shared" si="40"/>
        <v>5</v>
      </c>
    </row>
    <row r="84" spans="1:36" x14ac:dyDescent="0.25">
      <c r="A84" s="5" t="s">
        <v>39</v>
      </c>
      <c r="B84" s="5" t="s">
        <v>30</v>
      </c>
      <c r="C84" s="5" t="str">
        <f t="shared" si="25"/>
        <v>description,dailCompDescCenobite82,</v>
      </c>
      <c r="D84" s="5" t="str">
        <f t="shared" si="26"/>
        <v>itemText,dailCompTextCenobite82,</v>
      </c>
      <c r="E84" s="5" t="str">
        <f t="shared" si="36"/>
        <v>augmentSkillLevel1,5,</v>
      </c>
      <c r="F84" s="5" t="str">
        <f t="shared" si="37"/>
        <v>augmentSkillName1,records/skills/playerclass28/shieldattack_tra.dbr,</v>
      </c>
      <c r="G84" s="7">
        <f t="shared" si="32"/>
        <v>82</v>
      </c>
      <c r="H84" s="8" t="str">
        <f t="shared" si="33"/>
        <v>Cenobite</v>
      </c>
      <c r="I84" s="3" t="s">
        <v>479</v>
      </c>
      <c r="J84" s="8" t="str">
        <f t="shared" si="34"/>
        <v>class0028</v>
      </c>
      <c r="K84" s="8" t="str">
        <f t="shared" si="34"/>
        <v>dailoneskill0028</v>
      </c>
      <c r="L84" s="5" t="str">
        <f t="shared" si="27"/>
        <v>lootName82,DAIL/items/materia/class0028/Cenobite82.dbr,</v>
      </c>
      <c r="M84" s="5" t="str">
        <f t="shared" si="28"/>
        <v>lootWeight82,1,</v>
      </c>
      <c r="N84" t="str">
        <f t="shared" si="29"/>
        <v>5</v>
      </c>
      <c r="O84" t="str">
        <f t="shared" si="38"/>
        <v>copy .\dail_base3.dbr .\items\materia\class0028\Cenobite82.dbr /y</v>
      </c>
      <c r="P84" t="str">
        <f t="shared" si="24"/>
        <v>echo relicBitmap,items/craftingparts/components/component_a52_bristlyfur_b.tex, &gt;&gt; .\items\materia\class0028\Cenobite82.dbr</v>
      </c>
      <c r="Q84" t="str">
        <f t="shared" si="24"/>
        <v>echo itemCost,500000, &gt;&gt; .\items\materia\class0028\Cenobite82.dbr</v>
      </c>
      <c r="R84" t="str">
        <f t="shared" si="24"/>
        <v>echo description,dailCompDescCenobite82, &gt;&gt; .\items\materia\class0028\Cenobite82.dbr</v>
      </c>
      <c r="S84" t="str">
        <f t="shared" si="24"/>
        <v>echo itemText,dailCompTextCenobite82, &gt;&gt; .\items\materia\class0028\Cenobite82.dbr</v>
      </c>
      <c r="T84" t="str">
        <f t="shared" si="24"/>
        <v>echo augmentSkillLevel1,5, &gt;&gt; .\items\materia\class0028\Cenobite82.dbr</v>
      </c>
      <c r="U84" t="str">
        <f t="shared" si="24"/>
        <v>echo augmentSkillName1,records/skills/playerclass28/shieldattack_tra.dbr, &gt;&gt; .\items\materia\class0028\Cenobite82.dbr</v>
      </c>
      <c r="V84" s="5" t="s">
        <v>36</v>
      </c>
      <c r="W84" t="str">
        <f t="shared" si="30"/>
        <v>echo lootName82,DAIL/items/materia/class0028/Cenobite82.dbr, &gt;&gt; .\items\loottables\dailoneskill0028.dbr</v>
      </c>
      <c r="X84" t="str">
        <f t="shared" si="30"/>
        <v>echo lootWeight82,1, &gt;&gt; .\items\loottables\dailoneskill0028.dbr</v>
      </c>
      <c r="Y84" s="5" t="s">
        <v>36</v>
      </c>
      <c r="Z84" t="str">
        <f t="shared" si="31"/>
        <v xml:space="preserve"> dailCompDescCenobite82=^pCenobite's Gift of DAIL</v>
      </c>
      <c r="AA84" t="str">
        <f t="shared" si="39"/>
        <v>dailCompTextCenobite82=^oThis feels warm to the touch, almost familiar ^w(This component only fits into the Medal Slot)</v>
      </c>
      <c r="AB84" s="5" t="s">
        <v>36</v>
      </c>
      <c r="AH84">
        <f t="shared" si="41"/>
        <v>79</v>
      </c>
      <c r="AI84">
        <f t="shared" si="35"/>
        <v>35</v>
      </c>
      <c r="AJ84">
        <f t="shared" si="40"/>
        <v>5</v>
      </c>
    </row>
    <row r="85" spans="1:36" x14ac:dyDescent="0.25">
      <c r="A85" s="5" t="s">
        <v>39</v>
      </c>
      <c r="B85" s="5" t="s">
        <v>30</v>
      </c>
      <c r="C85" s="5" t="str">
        <f t="shared" si="25"/>
        <v>description,dailCompDescCenobite83,</v>
      </c>
      <c r="D85" s="5" t="str">
        <f t="shared" si="26"/>
        <v>itemText,dailCompTextCenobite83,</v>
      </c>
      <c r="E85" s="5" t="str">
        <f t="shared" si="36"/>
        <v>augmentSkillLevel1,5,</v>
      </c>
      <c r="F85" s="5" t="str">
        <f t="shared" si="37"/>
        <v>augmentSkillName1,records/skills/playerclass28/perfectdefend.dbr,</v>
      </c>
      <c r="G85" s="7">
        <f t="shared" si="32"/>
        <v>83</v>
      </c>
      <c r="H85" s="8" t="str">
        <f t="shared" si="33"/>
        <v>Cenobite</v>
      </c>
      <c r="I85" s="3" t="s">
        <v>237</v>
      </c>
      <c r="J85" s="8" t="str">
        <f t="shared" ref="J85:K100" si="42">J84</f>
        <v>class0028</v>
      </c>
      <c r="K85" s="8" t="str">
        <f t="shared" si="42"/>
        <v>dailoneskill0028</v>
      </c>
      <c r="L85" s="5" t="str">
        <f t="shared" si="27"/>
        <v>lootName83,DAIL/items/materia/class0028/Cenobite83.dbr,</v>
      </c>
      <c r="M85" s="5" t="str">
        <f t="shared" si="28"/>
        <v>lootWeight83,1,</v>
      </c>
      <c r="N85" t="str">
        <f t="shared" si="29"/>
        <v>5</v>
      </c>
      <c r="O85" t="str">
        <f t="shared" si="38"/>
        <v>copy .\dail_base3.dbr .\items\materia\class0028\Cenobite83.dbr /y</v>
      </c>
      <c r="P85" t="str">
        <f t="shared" si="24"/>
        <v>echo relicBitmap,items/craftingparts/components/component_a52_bristlyfur_b.tex, &gt;&gt; .\items\materia\class0028\Cenobite83.dbr</v>
      </c>
      <c r="Q85" t="str">
        <f t="shared" si="24"/>
        <v>echo itemCost,500000, &gt;&gt; .\items\materia\class0028\Cenobite83.dbr</v>
      </c>
      <c r="R85" t="str">
        <f t="shared" si="24"/>
        <v>echo description,dailCompDescCenobite83, &gt;&gt; .\items\materia\class0028\Cenobite83.dbr</v>
      </c>
      <c r="S85" t="str">
        <f t="shared" si="24"/>
        <v>echo itemText,dailCompTextCenobite83, &gt;&gt; .\items\materia\class0028\Cenobite83.dbr</v>
      </c>
      <c r="T85" t="str">
        <f t="shared" si="24"/>
        <v>echo augmentSkillLevel1,5, &gt;&gt; .\items\materia\class0028\Cenobite83.dbr</v>
      </c>
      <c r="U85" t="str">
        <f t="shared" si="24"/>
        <v>echo augmentSkillName1,records/skills/playerclass28/perfectdefend.dbr, &gt;&gt; .\items\materia\class0028\Cenobite83.dbr</v>
      </c>
      <c r="V85" s="5" t="s">
        <v>36</v>
      </c>
      <c r="W85" t="str">
        <f t="shared" si="30"/>
        <v>echo lootName83,DAIL/items/materia/class0028/Cenobite83.dbr, &gt;&gt; .\items\loottables\dailoneskill0028.dbr</v>
      </c>
      <c r="X85" t="str">
        <f t="shared" si="30"/>
        <v>echo lootWeight83,1, &gt;&gt; .\items\loottables\dailoneskill0028.dbr</v>
      </c>
      <c r="Y85" s="5" t="s">
        <v>36</v>
      </c>
      <c r="Z85" t="str">
        <f t="shared" si="31"/>
        <v xml:space="preserve"> dailCompDescCenobite83=^pCenobite's Gift of DAIL</v>
      </c>
      <c r="AA85" t="str">
        <f t="shared" si="39"/>
        <v>dailCompTextCenobite83=^oThis feels warm to the touch, almost familiar ^w(This component only fits into the Medal Slot)</v>
      </c>
      <c r="AB85" s="5" t="s">
        <v>36</v>
      </c>
      <c r="AH85">
        <f t="shared" si="41"/>
        <v>80</v>
      </c>
      <c r="AI85">
        <f t="shared" si="35"/>
        <v>32</v>
      </c>
      <c r="AJ85">
        <f t="shared" si="40"/>
        <v>5</v>
      </c>
    </row>
    <row r="86" spans="1:36" x14ac:dyDescent="0.25">
      <c r="A86" s="5" t="s">
        <v>39</v>
      </c>
      <c r="B86" s="5" t="s">
        <v>30</v>
      </c>
      <c r="C86" s="5" t="str">
        <f t="shared" si="25"/>
        <v>description,dailCompDescCenobite84,</v>
      </c>
      <c r="D86" s="5" t="str">
        <f t="shared" si="26"/>
        <v>itemText,dailCompTextCenobite84,</v>
      </c>
      <c r="E86" s="5" t="str">
        <f t="shared" si="36"/>
        <v>augmentSkillLevel1,5,</v>
      </c>
      <c r="F86" s="5" t="str">
        <f t="shared" si="37"/>
        <v>augmentSkillName1,records/skills/playerclass28/shielddefense_01.dbr,</v>
      </c>
      <c r="G86" s="7">
        <f t="shared" si="32"/>
        <v>84</v>
      </c>
      <c r="H86" s="8" t="str">
        <f t="shared" si="33"/>
        <v>Cenobite</v>
      </c>
      <c r="I86" s="3" t="s">
        <v>480</v>
      </c>
      <c r="J86" s="8" t="str">
        <f t="shared" si="42"/>
        <v>class0028</v>
      </c>
      <c r="K86" s="8" t="str">
        <f t="shared" si="42"/>
        <v>dailoneskill0028</v>
      </c>
      <c r="L86" s="5" t="str">
        <f t="shared" si="27"/>
        <v>lootName84,DAIL/items/materia/class0028/Cenobite84.dbr,</v>
      </c>
      <c r="M86" s="5" t="str">
        <f t="shared" si="28"/>
        <v>lootWeight84,1,</v>
      </c>
      <c r="N86" t="str">
        <f t="shared" si="29"/>
        <v>5</v>
      </c>
      <c r="O86" t="str">
        <f t="shared" si="38"/>
        <v>copy .\dail_base3.dbr .\items\materia\class0028\Cenobite84.dbr /y</v>
      </c>
      <c r="P86" t="str">
        <f t="shared" si="24"/>
        <v>echo relicBitmap,items/craftingparts/components/component_a52_bristlyfur_b.tex, &gt;&gt; .\items\materia\class0028\Cenobite84.dbr</v>
      </c>
      <c r="Q86" t="str">
        <f t="shared" si="24"/>
        <v>echo itemCost,500000, &gt;&gt; .\items\materia\class0028\Cenobite84.dbr</v>
      </c>
      <c r="R86" t="str">
        <f t="shared" si="24"/>
        <v>echo description,dailCompDescCenobite84, &gt;&gt; .\items\materia\class0028\Cenobite84.dbr</v>
      </c>
      <c r="S86" t="str">
        <f t="shared" si="24"/>
        <v>echo itemText,dailCompTextCenobite84, &gt;&gt; .\items\materia\class0028\Cenobite84.dbr</v>
      </c>
      <c r="T86" t="str">
        <f t="shared" si="24"/>
        <v>echo augmentSkillLevel1,5, &gt;&gt; .\items\materia\class0028\Cenobite84.dbr</v>
      </c>
      <c r="U86" t="str">
        <f t="shared" si="24"/>
        <v>echo augmentSkillName1,records/skills/playerclass28/shielddefense_01.dbr, &gt;&gt; .\items\materia\class0028\Cenobite84.dbr</v>
      </c>
      <c r="V86" s="5" t="s">
        <v>36</v>
      </c>
      <c r="W86" t="str">
        <f t="shared" si="30"/>
        <v>echo lootName84,DAIL/items/materia/class0028/Cenobite84.dbr, &gt;&gt; .\items\loottables\dailoneskill0028.dbr</v>
      </c>
      <c r="X86" t="str">
        <f t="shared" si="30"/>
        <v>echo lootWeight84,1, &gt;&gt; .\items\loottables\dailoneskill0028.dbr</v>
      </c>
      <c r="Y86" s="5" t="s">
        <v>36</v>
      </c>
      <c r="Z86" t="str">
        <f t="shared" si="31"/>
        <v xml:space="preserve"> dailCompDescCenobite84=^pCenobite's Gift of DAIL</v>
      </c>
      <c r="AA86" t="str">
        <f t="shared" si="39"/>
        <v>dailCompTextCenobite84=^oThis feels warm to the touch, almost familiar ^w(This component only fits into the Medal Slot)</v>
      </c>
      <c r="AB86" s="5" t="s">
        <v>36</v>
      </c>
      <c r="AH86">
        <f t="shared" si="41"/>
        <v>81</v>
      </c>
      <c r="AI86">
        <f t="shared" si="35"/>
        <v>35</v>
      </c>
      <c r="AJ86">
        <f t="shared" si="40"/>
        <v>5</v>
      </c>
    </row>
    <row r="87" spans="1:36" x14ac:dyDescent="0.25">
      <c r="A87" s="5" t="s">
        <v>39</v>
      </c>
      <c r="B87" s="5" t="s">
        <v>30</v>
      </c>
      <c r="C87" s="5" t="str">
        <f t="shared" si="25"/>
        <v>description,dailCompDescCenobite85,</v>
      </c>
      <c r="D87" s="5" t="str">
        <f t="shared" si="26"/>
        <v>itemText,dailCompTextCenobite85,</v>
      </c>
      <c r="E87" s="5" t="str">
        <f t="shared" si="36"/>
        <v>augmentSkillLevel1,5,</v>
      </c>
      <c r="F87" s="5" t="str">
        <f t="shared" si="37"/>
        <v>augmentSkillName1,records/skills/playerclass28/shielddefense.dbr,</v>
      </c>
      <c r="G87" s="7">
        <f t="shared" si="32"/>
        <v>85</v>
      </c>
      <c r="H87" s="8" t="str">
        <f t="shared" si="33"/>
        <v>Cenobite</v>
      </c>
      <c r="I87" s="3" t="s">
        <v>241</v>
      </c>
      <c r="J87" s="8" t="str">
        <f t="shared" si="42"/>
        <v>class0028</v>
      </c>
      <c r="K87" s="8" t="str">
        <f t="shared" si="42"/>
        <v>dailoneskill0028</v>
      </c>
      <c r="L87" s="5" t="str">
        <f t="shared" si="27"/>
        <v>lootName85,DAIL/items/materia/class0028/Cenobite85.dbr,</v>
      </c>
      <c r="M87" s="5" t="str">
        <f t="shared" si="28"/>
        <v>lootWeight85,1,</v>
      </c>
      <c r="N87" t="str">
        <f t="shared" si="29"/>
        <v>5</v>
      </c>
      <c r="O87" t="str">
        <f t="shared" si="38"/>
        <v>copy .\dail_base3.dbr .\items\materia\class0028\Cenobite85.dbr /y</v>
      </c>
      <c r="P87" t="str">
        <f t="shared" si="24"/>
        <v>echo relicBitmap,items/craftingparts/components/component_a52_bristlyfur_b.tex, &gt;&gt; .\items\materia\class0028\Cenobite85.dbr</v>
      </c>
      <c r="Q87" t="str">
        <f t="shared" si="24"/>
        <v>echo itemCost,500000, &gt;&gt; .\items\materia\class0028\Cenobite85.dbr</v>
      </c>
      <c r="R87" t="str">
        <f t="shared" si="24"/>
        <v>echo description,dailCompDescCenobite85, &gt;&gt; .\items\materia\class0028\Cenobite85.dbr</v>
      </c>
      <c r="S87" t="str">
        <f t="shared" si="24"/>
        <v>echo itemText,dailCompTextCenobite85, &gt;&gt; .\items\materia\class0028\Cenobite85.dbr</v>
      </c>
      <c r="T87" t="str">
        <f t="shared" si="24"/>
        <v>echo augmentSkillLevel1,5, &gt;&gt; .\items\materia\class0028\Cenobite85.dbr</v>
      </c>
      <c r="U87" t="str">
        <f t="shared" si="24"/>
        <v>echo augmentSkillName1,records/skills/playerclass28/shielddefense.dbr, &gt;&gt; .\items\materia\class0028\Cenobite85.dbr</v>
      </c>
      <c r="V87" s="5" t="s">
        <v>36</v>
      </c>
      <c r="W87" t="str">
        <f t="shared" si="30"/>
        <v>echo lootName85,DAIL/items/materia/class0028/Cenobite85.dbr, &gt;&gt; .\items\loottables\dailoneskill0028.dbr</v>
      </c>
      <c r="X87" t="str">
        <f t="shared" si="30"/>
        <v>echo lootWeight85,1, &gt;&gt; .\items\loottables\dailoneskill0028.dbr</v>
      </c>
      <c r="Y87" s="5" t="s">
        <v>36</v>
      </c>
      <c r="Z87" t="str">
        <f t="shared" si="31"/>
        <v xml:space="preserve"> dailCompDescCenobite85=^pCenobite's Gift of DAIL</v>
      </c>
      <c r="AA87" t="str">
        <f t="shared" si="39"/>
        <v>dailCompTextCenobite85=^oThis feels warm to the touch, almost familiar ^w(This component only fits into the Medal Slot)</v>
      </c>
      <c r="AB87" s="5" t="s">
        <v>36</v>
      </c>
      <c r="AH87">
        <f t="shared" si="41"/>
        <v>82</v>
      </c>
      <c r="AI87">
        <f t="shared" si="35"/>
        <v>32</v>
      </c>
      <c r="AJ87">
        <f t="shared" si="40"/>
        <v>5</v>
      </c>
    </row>
    <row r="88" spans="1:36" x14ac:dyDescent="0.25">
      <c r="A88" s="5" t="s">
        <v>39</v>
      </c>
      <c r="B88" s="5" t="s">
        <v>30</v>
      </c>
      <c r="C88" s="5" t="str">
        <f t="shared" si="25"/>
        <v>description,dailCompDescCenobite86,</v>
      </c>
      <c r="D88" s="5" t="str">
        <f t="shared" si="26"/>
        <v>itemText,dailCompTextCenobite86,</v>
      </c>
      <c r="E88" s="5" t="str">
        <f t="shared" si="36"/>
        <v>augmentSkillLevel1,5,</v>
      </c>
      <c r="F88" s="5" t="str">
        <f t="shared" si="37"/>
        <v>augmentSkillName1,records/skills/playerclass28/shiled_tra.dbr,</v>
      </c>
      <c r="G88" s="7">
        <f t="shared" si="32"/>
        <v>86</v>
      </c>
      <c r="H88" s="8" t="str">
        <f t="shared" si="33"/>
        <v>Cenobite</v>
      </c>
      <c r="I88" s="3" t="s">
        <v>242</v>
      </c>
      <c r="J88" s="8" t="str">
        <f t="shared" si="42"/>
        <v>class0028</v>
      </c>
      <c r="K88" s="8" t="str">
        <f t="shared" si="42"/>
        <v>dailoneskill0028</v>
      </c>
      <c r="L88" s="5" t="str">
        <f t="shared" si="27"/>
        <v>lootName86,DAIL/items/materia/class0028/Cenobite86.dbr,</v>
      </c>
      <c r="M88" s="5" t="str">
        <f t="shared" si="28"/>
        <v>lootWeight86,1,</v>
      </c>
      <c r="N88" t="str">
        <f t="shared" si="29"/>
        <v>5</v>
      </c>
      <c r="O88" t="str">
        <f t="shared" si="38"/>
        <v>copy .\dail_base3.dbr .\items\materia\class0028\Cenobite86.dbr /y</v>
      </c>
      <c r="P88" t="str">
        <f t="shared" si="24"/>
        <v>echo relicBitmap,items/craftingparts/components/component_a52_bristlyfur_b.tex, &gt;&gt; .\items\materia\class0028\Cenobite86.dbr</v>
      </c>
      <c r="Q88" t="str">
        <f t="shared" si="24"/>
        <v>echo itemCost,500000, &gt;&gt; .\items\materia\class0028\Cenobite86.dbr</v>
      </c>
      <c r="R88" t="str">
        <f t="shared" si="24"/>
        <v>echo description,dailCompDescCenobite86, &gt;&gt; .\items\materia\class0028\Cenobite86.dbr</v>
      </c>
      <c r="S88" t="str">
        <f t="shared" si="24"/>
        <v>echo itemText,dailCompTextCenobite86, &gt;&gt; .\items\materia\class0028\Cenobite86.dbr</v>
      </c>
      <c r="T88" t="str">
        <f t="shared" si="24"/>
        <v>echo augmentSkillLevel1,5, &gt;&gt; .\items\materia\class0028\Cenobite86.dbr</v>
      </c>
      <c r="U88" t="str">
        <f t="shared" si="24"/>
        <v>echo augmentSkillName1,records/skills/playerclass28/shiled_tra.dbr, &gt;&gt; .\items\materia\class0028\Cenobite86.dbr</v>
      </c>
      <c r="V88" s="5" t="s">
        <v>36</v>
      </c>
      <c r="W88" t="str">
        <f t="shared" si="30"/>
        <v>echo lootName86,DAIL/items/materia/class0028/Cenobite86.dbr, &gt;&gt; .\items\loottables\dailoneskill0028.dbr</v>
      </c>
      <c r="X88" t="str">
        <f t="shared" si="30"/>
        <v>echo lootWeight86,1, &gt;&gt; .\items\loottables\dailoneskill0028.dbr</v>
      </c>
      <c r="Y88" s="5" t="s">
        <v>36</v>
      </c>
      <c r="Z88" t="str">
        <f t="shared" si="31"/>
        <v xml:space="preserve"> dailCompDescCenobite86=^pCenobite's Gift of DAIL</v>
      </c>
      <c r="AA88" t="str">
        <f t="shared" si="39"/>
        <v>dailCompTextCenobite86=^oThis feels warm to the touch, almost familiar ^w(This component only fits into the Medal Slot)</v>
      </c>
      <c r="AB88" s="5" t="s">
        <v>36</v>
      </c>
      <c r="AH88">
        <f t="shared" si="41"/>
        <v>83</v>
      </c>
      <c r="AI88">
        <f t="shared" si="35"/>
        <v>29</v>
      </c>
      <c r="AJ88">
        <f t="shared" si="40"/>
        <v>5</v>
      </c>
    </row>
    <row r="89" spans="1:36" x14ac:dyDescent="0.25">
      <c r="A89" s="5" t="s">
        <v>39</v>
      </c>
      <c r="B89" s="5" t="s">
        <v>30</v>
      </c>
      <c r="C89" s="5" t="str">
        <f t="shared" si="25"/>
        <v>description,dailCompDescCenobite87,</v>
      </c>
      <c r="D89" s="5" t="str">
        <f t="shared" si="26"/>
        <v>itemText,dailCompTextCenobite87,</v>
      </c>
      <c r="E89" s="5" t="str">
        <f t="shared" si="36"/>
        <v>augmentSkillLevel1,5,</v>
      </c>
      <c r="F89" s="5" t="str">
        <f t="shared" si="37"/>
        <v>augmentSkillName1,records/skills/playerclass28/angel.dbr,</v>
      </c>
      <c r="G89" s="7">
        <f t="shared" si="32"/>
        <v>87</v>
      </c>
      <c r="H89" s="8" t="str">
        <f t="shared" si="33"/>
        <v>Cenobite</v>
      </c>
      <c r="I89" s="3" t="s">
        <v>231</v>
      </c>
      <c r="J89" s="8" t="str">
        <f t="shared" si="42"/>
        <v>class0028</v>
      </c>
      <c r="K89" s="8" t="str">
        <f t="shared" si="42"/>
        <v>dailoneskill0028</v>
      </c>
      <c r="L89" s="5" t="str">
        <f t="shared" si="27"/>
        <v>lootName87,DAIL/items/materia/class0028/Cenobite87.dbr,</v>
      </c>
      <c r="M89" s="5" t="str">
        <f t="shared" si="28"/>
        <v>lootWeight87,1,</v>
      </c>
      <c r="N89" t="str">
        <f t="shared" si="29"/>
        <v>5</v>
      </c>
      <c r="O89" t="str">
        <f t="shared" si="38"/>
        <v>copy .\dail_base3.dbr .\items\materia\class0028\Cenobite87.dbr /y</v>
      </c>
      <c r="P89" t="str">
        <f t="shared" si="24"/>
        <v>echo relicBitmap,items/craftingparts/components/component_a52_bristlyfur_b.tex, &gt;&gt; .\items\materia\class0028\Cenobite87.dbr</v>
      </c>
      <c r="Q89" t="str">
        <f t="shared" si="24"/>
        <v>echo itemCost,500000, &gt;&gt; .\items\materia\class0028\Cenobite87.dbr</v>
      </c>
      <c r="R89" t="str">
        <f t="shared" si="24"/>
        <v>echo description,dailCompDescCenobite87, &gt;&gt; .\items\materia\class0028\Cenobite87.dbr</v>
      </c>
      <c r="S89" t="str">
        <f t="shared" si="24"/>
        <v>echo itemText,dailCompTextCenobite87, &gt;&gt; .\items\materia\class0028\Cenobite87.dbr</v>
      </c>
      <c r="T89" t="str">
        <f t="shared" si="24"/>
        <v>echo augmentSkillLevel1,5, &gt;&gt; .\items\materia\class0028\Cenobite87.dbr</v>
      </c>
      <c r="U89" t="str">
        <f t="shared" si="24"/>
        <v>echo augmentSkillName1,records/skills/playerclass28/angel.dbr, &gt;&gt; .\items\materia\class0028\Cenobite87.dbr</v>
      </c>
      <c r="V89" s="5" t="s">
        <v>36</v>
      </c>
      <c r="W89" t="str">
        <f t="shared" si="30"/>
        <v>echo lootName87,DAIL/items/materia/class0028/Cenobite87.dbr, &gt;&gt; .\items\loottables\dailoneskill0028.dbr</v>
      </c>
      <c r="X89" t="str">
        <f t="shared" si="30"/>
        <v>echo lootWeight87,1, &gt;&gt; .\items\loottables\dailoneskill0028.dbr</v>
      </c>
      <c r="Y89" s="5" t="s">
        <v>36</v>
      </c>
      <c r="Z89" t="str">
        <f t="shared" si="31"/>
        <v xml:space="preserve"> dailCompDescCenobite87=^pCenobite's Gift of DAIL</v>
      </c>
      <c r="AA89" t="str">
        <f t="shared" si="39"/>
        <v>dailCompTextCenobite87=^oThis feels warm to the touch, almost familiar ^w(This component only fits into the Medal Slot)</v>
      </c>
      <c r="AB89" s="5" t="s">
        <v>36</v>
      </c>
      <c r="AH89">
        <f t="shared" si="41"/>
        <v>84</v>
      </c>
      <c r="AI89">
        <f t="shared" si="35"/>
        <v>24</v>
      </c>
      <c r="AJ89">
        <f t="shared" si="40"/>
        <v>5</v>
      </c>
    </row>
    <row r="90" spans="1:36" x14ac:dyDescent="0.25">
      <c r="A90" s="5" t="s">
        <v>39</v>
      </c>
      <c r="B90" s="5" t="s">
        <v>30</v>
      </c>
      <c r="C90" s="5" t="str">
        <f t="shared" si="25"/>
        <v>description,dailCompDescCenobite88,</v>
      </c>
      <c r="D90" s="5" t="str">
        <f t="shared" si="26"/>
        <v>itemText,dailCompTextCenobite88,</v>
      </c>
      <c r="E90" s="5" t="str">
        <f t="shared" si="36"/>
        <v>augmentSkillLevel1,5,</v>
      </c>
      <c r="F90" s="5" t="str">
        <f t="shared" si="37"/>
        <v>augmentSkillName1,records/skills/playerclass28/healing.dbr,</v>
      </c>
      <c r="G90" s="7">
        <f t="shared" si="32"/>
        <v>88</v>
      </c>
      <c r="H90" s="8" t="str">
        <f t="shared" si="33"/>
        <v>Cenobite</v>
      </c>
      <c r="I90" s="3" t="s">
        <v>233</v>
      </c>
      <c r="J90" s="8" t="str">
        <f t="shared" si="42"/>
        <v>class0028</v>
      </c>
      <c r="K90" s="8" t="str">
        <f t="shared" si="42"/>
        <v>dailoneskill0028</v>
      </c>
      <c r="L90" s="5" t="str">
        <f t="shared" si="27"/>
        <v>lootName88,DAIL/items/materia/class0028/Cenobite88.dbr,</v>
      </c>
      <c r="M90" s="5" t="str">
        <f t="shared" si="28"/>
        <v>lootWeight88,1,</v>
      </c>
      <c r="N90" t="str">
        <f t="shared" si="29"/>
        <v>5</v>
      </c>
      <c r="O90" t="str">
        <f t="shared" si="38"/>
        <v>copy .\dail_base3.dbr .\items\materia\class0028\Cenobite88.dbr /y</v>
      </c>
      <c r="P90" t="str">
        <f t="shared" si="24"/>
        <v>echo relicBitmap,items/craftingparts/components/component_a52_bristlyfur_b.tex, &gt;&gt; .\items\materia\class0028\Cenobite88.dbr</v>
      </c>
      <c r="Q90" t="str">
        <f t="shared" si="24"/>
        <v>echo itemCost,500000, &gt;&gt; .\items\materia\class0028\Cenobite88.dbr</v>
      </c>
      <c r="R90" t="str">
        <f t="shared" si="24"/>
        <v>echo description,dailCompDescCenobite88, &gt;&gt; .\items\materia\class0028\Cenobite88.dbr</v>
      </c>
      <c r="S90" t="str">
        <f t="shared" si="24"/>
        <v>echo itemText,dailCompTextCenobite88, &gt;&gt; .\items\materia\class0028\Cenobite88.dbr</v>
      </c>
      <c r="T90" t="str">
        <f t="shared" si="24"/>
        <v>echo augmentSkillLevel1,5, &gt;&gt; .\items\materia\class0028\Cenobite88.dbr</v>
      </c>
      <c r="U90" t="str">
        <f t="shared" si="24"/>
        <v>echo augmentSkillName1,records/skills/playerclass28/healing.dbr, &gt;&gt; .\items\materia\class0028\Cenobite88.dbr</v>
      </c>
      <c r="V90" s="5" t="s">
        <v>36</v>
      </c>
      <c r="W90" t="str">
        <f t="shared" si="30"/>
        <v>echo lootName88,DAIL/items/materia/class0028/Cenobite88.dbr, &gt;&gt; .\items\loottables\dailoneskill0028.dbr</v>
      </c>
      <c r="X90" t="str">
        <f t="shared" si="30"/>
        <v>echo lootWeight88,1, &gt;&gt; .\items\loottables\dailoneskill0028.dbr</v>
      </c>
      <c r="Y90" s="5" t="s">
        <v>36</v>
      </c>
      <c r="Z90" t="str">
        <f t="shared" si="31"/>
        <v xml:space="preserve"> dailCompDescCenobite88=^pCenobite's Gift of DAIL</v>
      </c>
      <c r="AA90" t="str">
        <f t="shared" si="39"/>
        <v>dailCompTextCenobite88=^oThis feels warm to the touch, almost familiar ^w(This component only fits into the Medal Slot)</v>
      </c>
      <c r="AB90" s="5" t="s">
        <v>36</v>
      </c>
      <c r="AH90">
        <f t="shared" si="41"/>
        <v>85</v>
      </c>
      <c r="AI90">
        <f t="shared" si="35"/>
        <v>26</v>
      </c>
      <c r="AJ90">
        <f t="shared" si="40"/>
        <v>5</v>
      </c>
    </row>
    <row r="91" spans="1:36" x14ac:dyDescent="0.25">
      <c r="A91" s="5" t="s">
        <v>39</v>
      </c>
      <c r="B91" s="5" t="s">
        <v>30</v>
      </c>
      <c r="C91" s="5" t="str">
        <f t="shared" si="25"/>
        <v>description,dailCompDescCenobite89,</v>
      </c>
      <c r="D91" s="5" t="str">
        <f t="shared" si="26"/>
        <v>itemText,dailCompTextCenobite89,</v>
      </c>
      <c r="E91" s="5" t="str">
        <f t="shared" si="36"/>
        <v>augmentSkillLevel1,5,</v>
      </c>
      <c r="F91" s="5" t="str">
        <f t="shared" si="37"/>
        <v>augmentSkillName1,records/skills/playerclass28/hammer_tra.dbr,</v>
      </c>
      <c r="G91" s="7">
        <f t="shared" si="32"/>
        <v>89</v>
      </c>
      <c r="H91" s="8" t="str">
        <f t="shared" si="33"/>
        <v>Cenobite</v>
      </c>
      <c r="I91" s="3" t="s">
        <v>481</v>
      </c>
      <c r="J91" s="8" t="str">
        <f t="shared" si="42"/>
        <v>class0028</v>
      </c>
      <c r="K91" s="8" t="str">
        <f t="shared" si="42"/>
        <v>dailoneskill0028</v>
      </c>
      <c r="L91" s="5" t="str">
        <f t="shared" si="27"/>
        <v>lootName89,DAIL/items/materia/class0028/Cenobite89.dbr,</v>
      </c>
      <c r="M91" s="5" t="str">
        <f t="shared" si="28"/>
        <v>lootWeight89,1,</v>
      </c>
      <c r="N91" t="str">
        <f t="shared" si="29"/>
        <v>5</v>
      </c>
      <c r="O91" t="str">
        <f t="shared" si="38"/>
        <v>copy .\dail_base3.dbr .\items\materia\class0028\Cenobite89.dbr /y</v>
      </c>
      <c r="P91" t="str">
        <f t="shared" si="24"/>
        <v>echo relicBitmap,items/craftingparts/components/component_a52_bristlyfur_b.tex, &gt;&gt; .\items\materia\class0028\Cenobite89.dbr</v>
      </c>
      <c r="Q91" t="str">
        <f t="shared" si="24"/>
        <v>echo itemCost,500000, &gt;&gt; .\items\materia\class0028\Cenobite89.dbr</v>
      </c>
      <c r="R91" t="str">
        <f t="shared" si="24"/>
        <v>echo description,dailCompDescCenobite89, &gt;&gt; .\items\materia\class0028\Cenobite89.dbr</v>
      </c>
      <c r="S91" t="str">
        <f t="shared" si="24"/>
        <v>echo itemText,dailCompTextCenobite89, &gt;&gt; .\items\materia\class0028\Cenobite89.dbr</v>
      </c>
      <c r="T91" t="str">
        <f t="shared" si="24"/>
        <v>echo augmentSkillLevel1,5, &gt;&gt; .\items\materia\class0028\Cenobite89.dbr</v>
      </c>
      <c r="U91" t="str">
        <f t="shared" si="24"/>
        <v>echo augmentSkillName1,records/skills/playerclass28/hammer_tra.dbr, &gt;&gt; .\items\materia\class0028\Cenobite89.dbr</v>
      </c>
      <c r="V91" s="5" t="s">
        <v>36</v>
      </c>
      <c r="W91" t="str">
        <f t="shared" si="30"/>
        <v>echo lootName89,DAIL/items/materia/class0028/Cenobite89.dbr, &gt;&gt; .\items\loottables\dailoneskill0028.dbr</v>
      </c>
      <c r="X91" t="str">
        <f t="shared" si="30"/>
        <v>echo lootWeight89,1, &gt;&gt; .\items\loottables\dailoneskill0028.dbr</v>
      </c>
      <c r="Y91" s="5" t="s">
        <v>36</v>
      </c>
      <c r="Z91" t="str">
        <f t="shared" si="31"/>
        <v xml:space="preserve"> dailCompDescCenobite89=^pCenobite's Gift of DAIL</v>
      </c>
      <c r="AA91" t="str">
        <f t="shared" si="39"/>
        <v>dailCompTextCenobite89=^oThis feels warm to the touch, almost familiar ^w(This component only fits into the Medal Slot)</v>
      </c>
      <c r="AB91" s="5" t="s">
        <v>36</v>
      </c>
      <c r="AH91">
        <f t="shared" si="41"/>
        <v>86</v>
      </c>
      <c r="AI91">
        <f t="shared" si="35"/>
        <v>29</v>
      </c>
      <c r="AJ91">
        <f t="shared" si="40"/>
        <v>5</v>
      </c>
    </row>
    <row r="92" spans="1:36" x14ac:dyDescent="0.25">
      <c r="A92" s="5" t="s">
        <v>39</v>
      </c>
      <c r="B92" s="5" t="s">
        <v>30</v>
      </c>
      <c r="C92" s="5" t="str">
        <f t="shared" si="25"/>
        <v>description,dailCompDescCenobite90,</v>
      </c>
      <c r="D92" s="5" t="str">
        <f t="shared" si="26"/>
        <v>itemText,dailCompTextCenobite90,</v>
      </c>
      <c r="E92" s="5" t="str">
        <f t="shared" si="36"/>
        <v>augmentSkillLevel1,5,</v>
      </c>
      <c r="F92" s="5" t="str">
        <f t="shared" si="37"/>
        <v>augmentSkillName1,records/skills/playerclass28/healing_mod1.dbr,</v>
      </c>
      <c r="G92" s="7">
        <f t="shared" si="32"/>
        <v>90</v>
      </c>
      <c r="H92" s="8" t="str">
        <f t="shared" si="33"/>
        <v>Cenobite</v>
      </c>
      <c r="I92" s="3" t="s">
        <v>482</v>
      </c>
      <c r="J92" s="8" t="str">
        <f t="shared" si="42"/>
        <v>class0028</v>
      </c>
      <c r="K92" s="8" t="str">
        <f t="shared" si="42"/>
        <v>dailoneskill0028</v>
      </c>
      <c r="L92" s="5" t="str">
        <f t="shared" si="27"/>
        <v>lootName90,DAIL/items/materia/class0028/Cenobite90.dbr,</v>
      </c>
      <c r="M92" s="5" t="str">
        <f t="shared" si="28"/>
        <v>lootWeight90,1,</v>
      </c>
      <c r="N92" t="str">
        <f t="shared" si="29"/>
        <v>5</v>
      </c>
      <c r="O92" t="str">
        <f t="shared" si="38"/>
        <v>copy .\dail_base3.dbr .\items\materia\class0028\Cenobite90.dbr /y</v>
      </c>
      <c r="P92" t="str">
        <f t="shared" si="24"/>
        <v>echo relicBitmap,items/craftingparts/components/component_a52_bristlyfur_b.tex, &gt;&gt; .\items\materia\class0028\Cenobite90.dbr</v>
      </c>
      <c r="Q92" t="str">
        <f t="shared" si="24"/>
        <v>echo itemCost,500000, &gt;&gt; .\items\materia\class0028\Cenobite90.dbr</v>
      </c>
      <c r="R92" t="str">
        <f t="shared" si="24"/>
        <v>echo description,dailCompDescCenobite90, &gt;&gt; .\items\materia\class0028\Cenobite90.dbr</v>
      </c>
      <c r="S92" t="str">
        <f t="shared" si="24"/>
        <v>echo itemText,dailCompTextCenobite90, &gt;&gt; .\items\materia\class0028\Cenobite90.dbr</v>
      </c>
      <c r="T92" t="str">
        <f t="shared" si="24"/>
        <v>echo augmentSkillLevel1,5, &gt;&gt; .\items\materia\class0028\Cenobite90.dbr</v>
      </c>
      <c r="U92" t="str">
        <f t="shared" si="24"/>
        <v>echo augmentSkillName1,records/skills/playerclass28/healing_mod1.dbr, &gt;&gt; .\items\materia\class0028\Cenobite90.dbr</v>
      </c>
      <c r="V92" s="5" t="s">
        <v>36</v>
      </c>
      <c r="W92" t="str">
        <f t="shared" si="30"/>
        <v>echo lootName90,DAIL/items/materia/class0028/Cenobite90.dbr, &gt;&gt; .\items\loottables\dailoneskill0028.dbr</v>
      </c>
      <c r="X92" t="str">
        <f t="shared" si="30"/>
        <v>echo lootWeight90,1, &gt;&gt; .\items\loottables\dailoneskill0028.dbr</v>
      </c>
      <c r="Y92" s="5" t="s">
        <v>36</v>
      </c>
      <c r="Z92" t="str">
        <f t="shared" si="31"/>
        <v xml:space="preserve"> dailCompDescCenobite90=^pCenobite's Gift of DAIL</v>
      </c>
      <c r="AA92" t="str">
        <f t="shared" si="39"/>
        <v>dailCompTextCenobite90=^oThis feels warm to the touch, almost familiar ^w(This component only fits into the Medal Slot)</v>
      </c>
      <c r="AB92" s="5" t="s">
        <v>36</v>
      </c>
      <c r="AH92">
        <f t="shared" si="41"/>
        <v>87</v>
      </c>
      <c r="AI92">
        <f t="shared" si="35"/>
        <v>31</v>
      </c>
      <c r="AJ92">
        <f t="shared" si="40"/>
        <v>5</v>
      </c>
    </row>
    <row r="93" spans="1:36" x14ac:dyDescent="0.25">
      <c r="A93" s="5" t="s">
        <v>39</v>
      </c>
      <c r="B93" s="5" t="s">
        <v>30</v>
      </c>
      <c r="C93" s="5" t="str">
        <f t="shared" si="25"/>
        <v>description,dailCompDescCenobite91,</v>
      </c>
      <c r="D93" s="5" t="str">
        <f t="shared" si="26"/>
        <v>itemText,dailCompTextCenobite91,</v>
      </c>
      <c r="E93" s="5" t="str">
        <f t="shared" si="36"/>
        <v>augmentSkillLevel1,5,</v>
      </c>
      <c r="F93" s="5" t="str">
        <f t="shared" si="37"/>
        <v>augmentSkillName1,records/skills/playerclass28/healing_mod2.dbr,</v>
      </c>
      <c r="G93" s="7">
        <f t="shared" si="32"/>
        <v>91</v>
      </c>
      <c r="H93" s="8" t="str">
        <f t="shared" si="33"/>
        <v>Cenobite</v>
      </c>
      <c r="I93" s="3" t="s">
        <v>483</v>
      </c>
      <c r="J93" s="8" t="str">
        <f t="shared" si="42"/>
        <v>class0028</v>
      </c>
      <c r="K93" s="8" t="str">
        <f t="shared" si="42"/>
        <v>dailoneskill0028</v>
      </c>
      <c r="L93" s="5" t="str">
        <f t="shared" si="27"/>
        <v>lootName91,DAIL/items/materia/class0028/Cenobite91.dbr,</v>
      </c>
      <c r="M93" s="5" t="str">
        <f t="shared" si="28"/>
        <v>lootWeight91,1,</v>
      </c>
      <c r="N93" t="str">
        <f t="shared" si="29"/>
        <v>5</v>
      </c>
      <c r="O93" t="str">
        <f t="shared" si="38"/>
        <v>copy .\dail_base3.dbr .\items\materia\class0028\Cenobite91.dbr /y</v>
      </c>
      <c r="P93" t="str">
        <f t="shared" si="24"/>
        <v>echo relicBitmap,items/craftingparts/components/component_a52_bristlyfur_b.tex, &gt;&gt; .\items\materia\class0028\Cenobite91.dbr</v>
      </c>
      <c r="Q93" t="str">
        <f t="shared" si="24"/>
        <v>echo itemCost,500000, &gt;&gt; .\items\materia\class0028\Cenobite91.dbr</v>
      </c>
      <c r="R93" t="str">
        <f t="shared" si="24"/>
        <v>echo description,dailCompDescCenobite91, &gt;&gt; .\items\materia\class0028\Cenobite91.dbr</v>
      </c>
      <c r="S93" t="str">
        <f t="shared" si="24"/>
        <v>echo itemText,dailCompTextCenobite91, &gt;&gt; .\items\materia\class0028\Cenobite91.dbr</v>
      </c>
      <c r="T93" t="str">
        <f t="shared" si="24"/>
        <v>echo augmentSkillLevel1,5, &gt;&gt; .\items\materia\class0028\Cenobite91.dbr</v>
      </c>
      <c r="U93" t="str">
        <f t="shared" si="24"/>
        <v>echo augmentSkillName1,records/skills/playerclass28/healing_mod2.dbr, &gt;&gt; .\items\materia\class0028\Cenobite91.dbr</v>
      </c>
      <c r="V93" s="5" t="s">
        <v>36</v>
      </c>
      <c r="W93" t="str">
        <f t="shared" si="30"/>
        <v>echo lootName91,DAIL/items/materia/class0028/Cenobite91.dbr, &gt;&gt; .\items\loottables\dailoneskill0028.dbr</v>
      </c>
      <c r="X93" t="str">
        <f t="shared" si="30"/>
        <v>echo lootWeight91,1, &gt;&gt; .\items\loottables\dailoneskill0028.dbr</v>
      </c>
      <c r="Y93" s="5" t="s">
        <v>36</v>
      </c>
      <c r="Z93" t="str">
        <f t="shared" si="31"/>
        <v xml:space="preserve"> dailCompDescCenobite91=^pCenobite's Gift of DAIL</v>
      </c>
      <c r="AA93" t="str">
        <f t="shared" si="39"/>
        <v>dailCompTextCenobite91=^oThis feels warm to the touch, almost familiar ^w(This component only fits into the Medal Slot)</v>
      </c>
      <c r="AB93" s="5" t="s">
        <v>36</v>
      </c>
      <c r="AH93">
        <f t="shared" si="41"/>
        <v>88</v>
      </c>
      <c r="AI93">
        <f t="shared" si="35"/>
        <v>31</v>
      </c>
      <c r="AJ93">
        <f t="shared" si="40"/>
        <v>5</v>
      </c>
    </row>
    <row r="94" spans="1:36" x14ac:dyDescent="0.25">
      <c r="A94" s="5" t="s">
        <v>39</v>
      </c>
      <c r="B94" s="5" t="s">
        <v>30</v>
      </c>
      <c r="C94" s="5" t="str">
        <f t="shared" si="25"/>
        <v>description,dailCompDescCenobite92,</v>
      </c>
      <c r="D94" s="5" t="str">
        <f t="shared" si="26"/>
        <v>itemText,dailCompTextCenobite92,</v>
      </c>
      <c r="E94" s="5" t="str">
        <f t="shared" si="36"/>
        <v>augmentSkillLevel1,5,</v>
      </c>
      <c r="F94" s="5" t="str">
        <f t="shared" si="37"/>
        <v>augmentSkillName1,records/skills/playerclass28/punishment.dbr,</v>
      </c>
      <c r="G94" s="7">
        <f t="shared" si="32"/>
        <v>92</v>
      </c>
      <c r="H94" s="8" t="str">
        <f t="shared" si="33"/>
        <v>Cenobite</v>
      </c>
      <c r="I94" s="3" t="s">
        <v>238</v>
      </c>
      <c r="J94" s="8" t="str">
        <f t="shared" si="42"/>
        <v>class0028</v>
      </c>
      <c r="K94" s="8" t="str">
        <f t="shared" si="42"/>
        <v>dailoneskill0028</v>
      </c>
      <c r="L94" s="5" t="str">
        <f t="shared" si="27"/>
        <v>lootName92,DAIL/items/materia/class0028/Cenobite92.dbr,</v>
      </c>
      <c r="M94" s="5" t="str">
        <f t="shared" si="28"/>
        <v>lootWeight92,1,</v>
      </c>
      <c r="N94" t="str">
        <f t="shared" si="29"/>
        <v>5</v>
      </c>
      <c r="O94" t="str">
        <f t="shared" si="38"/>
        <v>copy .\dail_base3.dbr .\items\materia\class0028\Cenobite92.dbr /y</v>
      </c>
      <c r="P94" t="str">
        <f t="shared" si="24"/>
        <v>echo relicBitmap,items/craftingparts/components/component_a52_bristlyfur_b.tex, &gt;&gt; .\items\materia\class0028\Cenobite92.dbr</v>
      </c>
      <c r="Q94" t="str">
        <f t="shared" si="24"/>
        <v>echo itemCost,500000, &gt;&gt; .\items\materia\class0028\Cenobite92.dbr</v>
      </c>
      <c r="R94" t="str">
        <f t="shared" si="24"/>
        <v>echo description,dailCompDescCenobite92, &gt;&gt; .\items\materia\class0028\Cenobite92.dbr</v>
      </c>
      <c r="S94" t="str">
        <f t="shared" si="24"/>
        <v>echo itemText,dailCompTextCenobite92, &gt;&gt; .\items\materia\class0028\Cenobite92.dbr</v>
      </c>
      <c r="T94" t="str">
        <f t="shared" si="24"/>
        <v>echo augmentSkillLevel1,5, &gt;&gt; .\items\materia\class0028\Cenobite92.dbr</v>
      </c>
      <c r="U94" t="str">
        <f t="shared" si="24"/>
        <v>echo augmentSkillName1,records/skills/playerclass28/punishment.dbr, &gt;&gt; .\items\materia\class0028\Cenobite92.dbr</v>
      </c>
      <c r="V94" s="5" t="s">
        <v>36</v>
      </c>
      <c r="W94" t="str">
        <f t="shared" si="30"/>
        <v>echo lootName92,DAIL/items/materia/class0028/Cenobite92.dbr, &gt;&gt; .\items\loottables\dailoneskill0028.dbr</v>
      </c>
      <c r="X94" t="str">
        <f t="shared" si="30"/>
        <v>echo lootWeight92,1, &gt;&gt; .\items\loottables\dailoneskill0028.dbr</v>
      </c>
      <c r="Y94" s="5" t="s">
        <v>36</v>
      </c>
      <c r="Z94" t="str">
        <f t="shared" si="31"/>
        <v xml:space="preserve"> dailCompDescCenobite92=^pCenobite's Gift of DAIL</v>
      </c>
      <c r="AA94" t="str">
        <f t="shared" si="39"/>
        <v>dailCompTextCenobite92=^oThis feels warm to the touch, almost familiar ^w(This component only fits into the Medal Slot)</v>
      </c>
      <c r="AB94" s="5" t="s">
        <v>36</v>
      </c>
      <c r="AH94">
        <f t="shared" si="41"/>
        <v>89</v>
      </c>
      <c r="AI94">
        <f t="shared" si="35"/>
        <v>29</v>
      </c>
      <c r="AJ94">
        <f t="shared" si="40"/>
        <v>5</v>
      </c>
    </row>
    <row r="95" spans="1:36" x14ac:dyDescent="0.25">
      <c r="A95" s="5" t="s">
        <v>39</v>
      </c>
      <c r="B95" s="5" t="s">
        <v>30</v>
      </c>
      <c r="C95" s="5" t="str">
        <f t="shared" si="25"/>
        <v>description,dailCompDescCenobite93,</v>
      </c>
      <c r="D95" s="5" t="str">
        <f t="shared" si="26"/>
        <v>itemText,dailCompTextCenobite93,</v>
      </c>
      <c r="E95" s="5" t="str">
        <f t="shared" si="36"/>
        <v>augmentSkillLevel1,5,</v>
      </c>
      <c r="F95" s="5" t="str">
        <f t="shared" si="37"/>
        <v>augmentSkillName1,records/skills/playerclass28/punishment_mod.dbr,</v>
      </c>
      <c r="G95" s="7">
        <f t="shared" si="32"/>
        <v>93</v>
      </c>
      <c r="H95" s="8" t="str">
        <f t="shared" si="33"/>
        <v>Cenobite</v>
      </c>
      <c r="I95" s="3" t="s">
        <v>484</v>
      </c>
      <c r="J95" s="8" t="str">
        <f t="shared" si="42"/>
        <v>class0028</v>
      </c>
      <c r="K95" s="8" t="str">
        <f t="shared" si="42"/>
        <v>dailoneskill0028</v>
      </c>
      <c r="L95" s="5" t="str">
        <f t="shared" si="27"/>
        <v>lootName93,DAIL/items/materia/class0028/Cenobite93.dbr,</v>
      </c>
      <c r="M95" s="5" t="str">
        <f t="shared" si="28"/>
        <v>lootWeight93,1,</v>
      </c>
      <c r="N95" t="str">
        <f t="shared" si="29"/>
        <v>5</v>
      </c>
      <c r="O95" t="str">
        <f t="shared" si="38"/>
        <v>copy .\dail_base3.dbr .\items\materia\class0028\Cenobite93.dbr /y</v>
      </c>
      <c r="P95" t="str">
        <f t="shared" si="24"/>
        <v>echo relicBitmap,items/craftingparts/components/component_a52_bristlyfur_b.tex, &gt;&gt; .\items\materia\class0028\Cenobite93.dbr</v>
      </c>
      <c r="Q95" t="str">
        <f t="shared" si="24"/>
        <v>echo itemCost,500000, &gt;&gt; .\items\materia\class0028\Cenobite93.dbr</v>
      </c>
      <c r="R95" t="str">
        <f t="shared" si="24"/>
        <v>echo description,dailCompDescCenobite93, &gt;&gt; .\items\materia\class0028\Cenobite93.dbr</v>
      </c>
      <c r="S95" t="str">
        <f t="shared" si="24"/>
        <v>echo itemText,dailCompTextCenobite93, &gt;&gt; .\items\materia\class0028\Cenobite93.dbr</v>
      </c>
      <c r="T95" t="str">
        <f t="shared" si="24"/>
        <v>echo augmentSkillLevel1,5, &gt;&gt; .\items\materia\class0028\Cenobite93.dbr</v>
      </c>
      <c r="U95" t="str">
        <f t="shared" si="24"/>
        <v>echo augmentSkillName1,records/skills/playerclass28/punishment_mod.dbr, &gt;&gt; .\items\materia\class0028\Cenobite93.dbr</v>
      </c>
      <c r="V95" s="5" t="s">
        <v>36</v>
      </c>
      <c r="W95" t="str">
        <f t="shared" si="30"/>
        <v>echo lootName93,DAIL/items/materia/class0028/Cenobite93.dbr, &gt;&gt; .\items\loottables\dailoneskill0028.dbr</v>
      </c>
      <c r="X95" t="str">
        <f t="shared" si="30"/>
        <v>echo lootWeight93,1, &gt;&gt; .\items\loottables\dailoneskill0028.dbr</v>
      </c>
      <c r="Y95" s="5" t="s">
        <v>36</v>
      </c>
      <c r="Z95" t="str">
        <f t="shared" si="31"/>
        <v xml:space="preserve"> dailCompDescCenobite93=^pCenobite's Gift of DAIL</v>
      </c>
      <c r="AA95" t="str">
        <f t="shared" si="39"/>
        <v>dailCompTextCenobite93=^oThis feels warm to the touch, almost familiar ^w(This component only fits into the Medal Slot)</v>
      </c>
      <c r="AB95" s="5" t="s">
        <v>36</v>
      </c>
      <c r="AH95">
        <f t="shared" si="41"/>
        <v>90</v>
      </c>
      <c r="AI95">
        <f t="shared" si="35"/>
        <v>33</v>
      </c>
      <c r="AJ95">
        <f t="shared" si="40"/>
        <v>5</v>
      </c>
    </row>
    <row r="96" spans="1:36" x14ac:dyDescent="0.25">
      <c r="A96" s="5" t="s">
        <v>39</v>
      </c>
      <c r="B96" s="5" t="s">
        <v>30</v>
      </c>
      <c r="C96" s="5" t="str">
        <f t="shared" si="25"/>
        <v>description,dailCompDescCenobite94,</v>
      </c>
      <c r="D96" s="5" t="str">
        <f t="shared" si="26"/>
        <v>itemText,dailCompTextCenobite94,</v>
      </c>
      <c r="E96" s="5" t="str">
        <f t="shared" si="36"/>
        <v>augmentSkillLevel1,5,</v>
      </c>
      <c r="F96" s="5" t="str">
        <f t="shared" si="37"/>
        <v>augmentSkillName1,records/skills/playerclass28/hammer_mod1.dbr,</v>
      </c>
      <c r="G96" s="7">
        <f t="shared" si="32"/>
        <v>94</v>
      </c>
      <c r="H96" s="8" t="str">
        <f t="shared" si="33"/>
        <v>Cenobite</v>
      </c>
      <c r="I96" s="3" t="s">
        <v>485</v>
      </c>
      <c r="J96" s="8" t="str">
        <f t="shared" si="42"/>
        <v>class0028</v>
      </c>
      <c r="K96" s="8" t="str">
        <f t="shared" si="42"/>
        <v>dailoneskill0028</v>
      </c>
      <c r="L96" s="5" t="str">
        <f t="shared" si="27"/>
        <v>lootName94,DAIL/items/materia/class0028/Cenobite94.dbr,</v>
      </c>
      <c r="M96" s="5" t="str">
        <f t="shared" si="28"/>
        <v>lootWeight94,1,</v>
      </c>
      <c r="N96" t="str">
        <f t="shared" si="29"/>
        <v>5</v>
      </c>
      <c r="O96" t="str">
        <f t="shared" si="38"/>
        <v>copy .\dail_base3.dbr .\items\materia\class0028\Cenobite94.dbr /y</v>
      </c>
      <c r="P96" t="str">
        <f t="shared" si="24"/>
        <v>echo relicBitmap,items/craftingparts/components/component_a52_bristlyfur_b.tex, &gt;&gt; .\items\materia\class0028\Cenobite94.dbr</v>
      </c>
      <c r="Q96" t="str">
        <f t="shared" si="24"/>
        <v>echo itemCost,500000, &gt;&gt; .\items\materia\class0028\Cenobite94.dbr</v>
      </c>
      <c r="R96" t="str">
        <f t="shared" si="24"/>
        <v>echo description,dailCompDescCenobite94, &gt;&gt; .\items\materia\class0028\Cenobite94.dbr</v>
      </c>
      <c r="S96" t="str">
        <f t="shared" si="24"/>
        <v>echo itemText,dailCompTextCenobite94, &gt;&gt; .\items\materia\class0028\Cenobite94.dbr</v>
      </c>
      <c r="T96" t="str">
        <f t="shared" si="24"/>
        <v>echo augmentSkillLevel1,5, &gt;&gt; .\items\materia\class0028\Cenobite94.dbr</v>
      </c>
      <c r="U96" t="str">
        <f t="shared" si="24"/>
        <v>echo augmentSkillName1,records/skills/playerclass28/hammer_mod1.dbr, &gt;&gt; .\items\materia\class0028\Cenobite94.dbr</v>
      </c>
      <c r="V96" s="5" t="s">
        <v>36</v>
      </c>
      <c r="W96" t="str">
        <f t="shared" si="30"/>
        <v>echo lootName94,DAIL/items/materia/class0028/Cenobite94.dbr, &gt;&gt; .\items\loottables\dailoneskill0028.dbr</v>
      </c>
      <c r="X96" t="str">
        <f t="shared" si="30"/>
        <v>echo lootWeight94,1, &gt;&gt; .\items\loottables\dailoneskill0028.dbr</v>
      </c>
      <c r="Y96" s="5" t="s">
        <v>36</v>
      </c>
      <c r="Z96" t="str">
        <f t="shared" si="31"/>
        <v xml:space="preserve"> dailCompDescCenobite94=^pCenobite's Gift of DAIL</v>
      </c>
      <c r="AA96" t="str">
        <f t="shared" si="39"/>
        <v>dailCompTextCenobite94=^oThis feels warm to the touch, almost familiar ^w(This component only fits into the Medal Slot)</v>
      </c>
      <c r="AB96" s="5" t="s">
        <v>36</v>
      </c>
      <c r="AH96">
        <f t="shared" si="41"/>
        <v>91</v>
      </c>
      <c r="AI96">
        <f t="shared" si="35"/>
        <v>30</v>
      </c>
      <c r="AJ96">
        <f t="shared" si="40"/>
        <v>5</v>
      </c>
    </row>
    <row r="97" spans="1:36" x14ac:dyDescent="0.25">
      <c r="A97" s="5" t="s">
        <v>39</v>
      </c>
      <c r="B97" s="5" t="s">
        <v>30</v>
      </c>
      <c r="C97" s="5" t="str">
        <f t="shared" si="25"/>
        <v>description,dailCompDescCenobite95,</v>
      </c>
      <c r="D97" s="5" t="str">
        <f t="shared" si="26"/>
        <v>itemText,dailCompTextCenobite95,</v>
      </c>
      <c r="E97" s="5" t="str">
        <f t="shared" si="36"/>
        <v>augmentSkillLevel1,5,</v>
      </c>
      <c r="F97" s="5" t="str">
        <f t="shared" si="37"/>
        <v>augmentSkillName1,records/skills/playerclass28/hammer_mod2.dbr,</v>
      </c>
      <c r="G97" s="7">
        <f t="shared" si="32"/>
        <v>95</v>
      </c>
      <c r="H97" s="8" t="str">
        <f t="shared" si="33"/>
        <v>Cenobite</v>
      </c>
      <c r="I97" s="3" t="s">
        <v>486</v>
      </c>
      <c r="J97" s="8" t="str">
        <f t="shared" si="42"/>
        <v>class0028</v>
      </c>
      <c r="K97" s="8" t="str">
        <f t="shared" si="42"/>
        <v>dailoneskill0028</v>
      </c>
      <c r="L97" s="5" t="str">
        <f t="shared" si="27"/>
        <v>lootName95,DAIL/items/materia/class0028/Cenobite95.dbr,</v>
      </c>
      <c r="M97" s="5" t="str">
        <f t="shared" si="28"/>
        <v>lootWeight95,1,</v>
      </c>
      <c r="N97" t="str">
        <f t="shared" si="29"/>
        <v>5</v>
      </c>
      <c r="O97" t="str">
        <f t="shared" si="38"/>
        <v>copy .\dail_base3.dbr .\items\materia\class0028\Cenobite95.dbr /y</v>
      </c>
      <c r="P97" t="str">
        <f t="shared" si="24"/>
        <v>echo relicBitmap,items/craftingparts/components/component_a52_bristlyfur_b.tex, &gt;&gt; .\items\materia\class0028\Cenobite95.dbr</v>
      </c>
      <c r="Q97" t="str">
        <f t="shared" si="24"/>
        <v>echo itemCost,500000, &gt;&gt; .\items\materia\class0028\Cenobite95.dbr</v>
      </c>
      <c r="R97" t="str">
        <f t="shared" si="24"/>
        <v>echo description,dailCompDescCenobite95, &gt;&gt; .\items\materia\class0028\Cenobite95.dbr</v>
      </c>
      <c r="S97" t="str">
        <f t="shared" si="24"/>
        <v>echo itemText,dailCompTextCenobite95, &gt;&gt; .\items\materia\class0028\Cenobite95.dbr</v>
      </c>
      <c r="T97" t="str">
        <f t="shared" si="24"/>
        <v>echo augmentSkillLevel1,5, &gt;&gt; .\items\materia\class0028\Cenobite95.dbr</v>
      </c>
      <c r="U97" t="str">
        <f t="shared" si="24"/>
        <v>echo augmentSkillName1,records/skills/playerclass28/hammer_mod2.dbr, &gt;&gt; .\items\materia\class0028\Cenobite95.dbr</v>
      </c>
      <c r="V97" s="5" t="s">
        <v>36</v>
      </c>
      <c r="W97" t="str">
        <f t="shared" si="30"/>
        <v>echo lootName95,DAIL/items/materia/class0028/Cenobite95.dbr, &gt;&gt; .\items\loottables\dailoneskill0028.dbr</v>
      </c>
      <c r="X97" t="str">
        <f t="shared" si="30"/>
        <v>echo lootWeight95,1, &gt;&gt; .\items\loottables\dailoneskill0028.dbr</v>
      </c>
      <c r="Y97" s="5" t="s">
        <v>36</v>
      </c>
      <c r="Z97" t="str">
        <f t="shared" si="31"/>
        <v xml:space="preserve"> dailCompDescCenobite95=^pCenobite's Gift of DAIL</v>
      </c>
      <c r="AA97" t="str">
        <f t="shared" si="39"/>
        <v>dailCompTextCenobite95=^oThis feels warm to the touch, almost familiar ^w(This component only fits into the Medal Slot)</v>
      </c>
      <c r="AB97" s="5" t="s">
        <v>36</v>
      </c>
      <c r="AH97">
        <f t="shared" si="41"/>
        <v>92</v>
      </c>
      <c r="AI97">
        <f t="shared" si="35"/>
        <v>30</v>
      </c>
      <c r="AJ97">
        <f t="shared" si="40"/>
        <v>5</v>
      </c>
    </row>
    <row r="98" spans="1:36" x14ac:dyDescent="0.25">
      <c r="A98" s="5" t="s">
        <v>39</v>
      </c>
      <c r="B98" s="5" t="s">
        <v>30</v>
      </c>
      <c r="C98" s="5" t="str">
        <f t="shared" si="25"/>
        <v>description,dailCompDescCenobite96,</v>
      </c>
      <c r="D98" s="5" t="str">
        <f t="shared" si="26"/>
        <v>itemText,dailCompTextCenobite96,</v>
      </c>
      <c r="E98" s="5" t="str">
        <f t="shared" si="36"/>
        <v>augmentSkillLevel1,5,</v>
      </c>
      <c r="F98" s="5" t="str">
        <f t="shared" si="37"/>
        <v>augmentSkillName1,records/skills/playerclass28/passive01.dbr,</v>
      </c>
      <c r="G98" s="7">
        <f t="shared" si="32"/>
        <v>96</v>
      </c>
      <c r="H98" s="8" t="str">
        <f t="shared" si="33"/>
        <v>Cenobite</v>
      </c>
      <c r="I98" s="3" t="s">
        <v>235</v>
      </c>
      <c r="J98" s="8" t="str">
        <f t="shared" si="42"/>
        <v>class0028</v>
      </c>
      <c r="K98" s="8" t="str">
        <f t="shared" si="42"/>
        <v>dailoneskill0028</v>
      </c>
      <c r="L98" s="5" t="str">
        <f t="shared" si="27"/>
        <v>lootName96,DAIL/items/materia/class0028/Cenobite96.dbr,</v>
      </c>
      <c r="M98" s="5" t="str">
        <f t="shared" si="28"/>
        <v>lootWeight96,1,</v>
      </c>
      <c r="N98" t="str">
        <f t="shared" si="29"/>
        <v>5</v>
      </c>
      <c r="O98" t="str">
        <f t="shared" si="38"/>
        <v>copy .\dail_base3.dbr .\items\materia\class0028\Cenobite96.dbr /y</v>
      </c>
      <c r="P98" t="str">
        <f t="shared" si="24"/>
        <v>echo relicBitmap,items/craftingparts/components/component_a52_bristlyfur_b.tex, &gt;&gt; .\items\materia\class0028\Cenobite96.dbr</v>
      </c>
      <c r="Q98" t="str">
        <f t="shared" si="24"/>
        <v>echo itemCost,500000, &gt;&gt; .\items\materia\class0028\Cenobite96.dbr</v>
      </c>
      <c r="R98" t="str">
        <f t="shared" si="24"/>
        <v>echo description,dailCompDescCenobite96, &gt;&gt; .\items\materia\class0028\Cenobite96.dbr</v>
      </c>
      <c r="S98" t="str">
        <f t="shared" si="24"/>
        <v>echo itemText,dailCompTextCenobite96, &gt;&gt; .\items\materia\class0028\Cenobite96.dbr</v>
      </c>
      <c r="T98" t="str">
        <f t="shared" si="24"/>
        <v>echo augmentSkillLevel1,5, &gt;&gt; .\items\materia\class0028\Cenobite96.dbr</v>
      </c>
      <c r="U98" t="str">
        <f t="shared" si="24"/>
        <v>echo augmentSkillName1,records/skills/playerclass28/passive01.dbr, &gt;&gt; .\items\materia\class0028\Cenobite96.dbr</v>
      </c>
      <c r="V98" s="5" t="s">
        <v>36</v>
      </c>
      <c r="W98" t="str">
        <f t="shared" si="30"/>
        <v>echo lootName96,DAIL/items/materia/class0028/Cenobite96.dbr, &gt;&gt; .\items\loottables\dailoneskill0028.dbr</v>
      </c>
      <c r="X98" t="str">
        <f t="shared" si="30"/>
        <v>echo lootWeight96,1, &gt;&gt; .\items\loottables\dailoneskill0028.dbr</v>
      </c>
      <c r="Y98" s="5" t="s">
        <v>36</v>
      </c>
      <c r="Z98" t="str">
        <f t="shared" si="31"/>
        <v xml:space="preserve"> dailCompDescCenobite96=^pCenobite's Gift of DAIL</v>
      </c>
      <c r="AA98" t="str">
        <f t="shared" si="39"/>
        <v>dailCompTextCenobite96=^oThis feels warm to the touch, almost familiar ^w(This component only fits into the Medal Slot)</v>
      </c>
      <c r="AB98" s="5" t="s">
        <v>36</v>
      </c>
      <c r="AH98">
        <f t="shared" si="41"/>
        <v>93</v>
      </c>
      <c r="AI98">
        <f t="shared" si="35"/>
        <v>28</v>
      </c>
      <c r="AJ98">
        <f t="shared" si="40"/>
        <v>5</v>
      </c>
    </row>
    <row r="99" spans="1:36" x14ac:dyDescent="0.25">
      <c r="A99" s="5" t="s">
        <v>39</v>
      </c>
      <c r="B99" s="5" t="s">
        <v>30</v>
      </c>
      <c r="C99" s="5" t="str">
        <f t="shared" si="25"/>
        <v>description,dailCompDescCenobite97,</v>
      </c>
      <c r="D99" s="5" t="str">
        <f t="shared" si="26"/>
        <v>itemText,dailCompTextCenobite97,</v>
      </c>
      <c r="E99" s="5" t="str">
        <f t="shared" si="36"/>
        <v>augmentSkillLevel1,5,</v>
      </c>
      <c r="F99" s="5" t="str">
        <f t="shared" si="37"/>
        <v>augmentSkillName1,records/skills/playerclass28/sunray.dbr,</v>
      </c>
      <c r="G99" s="7">
        <f t="shared" si="32"/>
        <v>97</v>
      </c>
      <c r="H99" s="8" t="str">
        <f t="shared" si="33"/>
        <v>Cenobite</v>
      </c>
      <c r="I99" s="3" t="s">
        <v>244</v>
      </c>
      <c r="J99" s="8" t="str">
        <f t="shared" si="42"/>
        <v>class0028</v>
      </c>
      <c r="K99" s="8" t="str">
        <f t="shared" si="42"/>
        <v>dailoneskill0028</v>
      </c>
      <c r="L99" s="5" t="str">
        <f t="shared" si="27"/>
        <v>lootName97,DAIL/items/materia/class0028/Cenobite97.dbr,</v>
      </c>
      <c r="M99" s="5" t="str">
        <f t="shared" si="28"/>
        <v>lootWeight97,1,</v>
      </c>
      <c r="N99" t="str">
        <f t="shared" si="29"/>
        <v>5</v>
      </c>
      <c r="O99" t="str">
        <f t="shared" si="38"/>
        <v>copy .\dail_base3.dbr .\items\materia\class0028\Cenobite97.dbr /y</v>
      </c>
      <c r="P99" t="str">
        <f t="shared" si="24"/>
        <v>echo relicBitmap,items/craftingparts/components/component_a52_bristlyfur_b.tex, &gt;&gt; .\items\materia\class0028\Cenobite97.dbr</v>
      </c>
      <c r="Q99" t="str">
        <f t="shared" si="24"/>
        <v>echo itemCost,500000, &gt;&gt; .\items\materia\class0028\Cenobite97.dbr</v>
      </c>
      <c r="R99" t="str">
        <f t="shared" si="24"/>
        <v>echo description,dailCompDescCenobite97, &gt;&gt; .\items\materia\class0028\Cenobite97.dbr</v>
      </c>
      <c r="S99" t="str">
        <f t="shared" si="24"/>
        <v>echo itemText,dailCompTextCenobite97, &gt;&gt; .\items\materia\class0028\Cenobite97.dbr</v>
      </c>
      <c r="T99" t="str">
        <f t="shared" si="24"/>
        <v>echo augmentSkillLevel1,5, &gt;&gt; .\items\materia\class0028\Cenobite97.dbr</v>
      </c>
      <c r="U99" t="str">
        <f t="shared" si="24"/>
        <v>echo augmentSkillName1,records/skills/playerclass28/sunray.dbr, &gt;&gt; .\items\materia\class0028\Cenobite97.dbr</v>
      </c>
      <c r="V99" s="5" t="s">
        <v>36</v>
      </c>
      <c r="W99" t="str">
        <f t="shared" si="30"/>
        <v>echo lootName97,DAIL/items/materia/class0028/Cenobite97.dbr, &gt;&gt; .\items\loottables\dailoneskill0028.dbr</v>
      </c>
      <c r="X99" t="str">
        <f t="shared" si="30"/>
        <v>echo lootWeight97,1, &gt;&gt; .\items\loottables\dailoneskill0028.dbr</v>
      </c>
      <c r="Y99" s="5" t="s">
        <v>36</v>
      </c>
      <c r="Z99" t="str">
        <f t="shared" si="31"/>
        <v xml:space="preserve"> dailCompDescCenobite97=^pCenobite's Gift of DAIL</v>
      </c>
      <c r="AA99" t="str">
        <f t="shared" si="39"/>
        <v>dailCompTextCenobite97=^oThis feels warm to the touch, almost familiar ^w(This component only fits into the Medal Slot)</v>
      </c>
      <c r="AB99" s="5" t="s">
        <v>36</v>
      </c>
      <c r="AH99">
        <f t="shared" si="41"/>
        <v>94</v>
      </c>
      <c r="AI99">
        <f t="shared" si="35"/>
        <v>25</v>
      </c>
      <c r="AJ99">
        <f t="shared" si="40"/>
        <v>5</v>
      </c>
    </row>
    <row r="100" spans="1:36" x14ac:dyDescent="0.25">
      <c r="A100" s="5" t="s">
        <v>39</v>
      </c>
      <c r="B100" s="5" t="s">
        <v>30</v>
      </c>
      <c r="C100" s="5" t="str">
        <f t="shared" si="25"/>
        <v>description,dailCompDescCenobite98,</v>
      </c>
      <c r="D100" s="5" t="str">
        <f t="shared" si="26"/>
        <v>itemText,dailCompTextCenobite98,</v>
      </c>
      <c r="E100" s="5" t="str">
        <f t="shared" si="36"/>
        <v>augmentSkillLevel1,5,</v>
      </c>
      <c r="F100" s="5" t="str">
        <f t="shared" si="37"/>
        <v>augmentSkillName1,records/skills/playerclass28/sunray_mod1.dbr,</v>
      </c>
      <c r="G100" s="7">
        <f t="shared" si="32"/>
        <v>98</v>
      </c>
      <c r="H100" s="8" t="str">
        <f t="shared" si="33"/>
        <v>Cenobite</v>
      </c>
      <c r="I100" s="3" t="s">
        <v>487</v>
      </c>
      <c r="J100" s="8" t="str">
        <f t="shared" si="42"/>
        <v>class0028</v>
      </c>
      <c r="K100" s="8" t="str">
        <f t="shared" si="42"/>
        <v>dailoneskill0028</v>
      </c>
      <c r="L100" s="5" t="str">
        <f t="shared" si="27"/>
        <v>lootName98,DAIL/items/materia/class0028/Cenobite98.dbr,</v>
      </c>
      <c r="M100" s="5" t="str">
        <f t="shared" si="28"/>
        <v>lootWeight98,1,</v>
      </c>
      <c r="N100" t="str">
        <f t="shared" si="29"/>
        <v>5</v>
      </c>
      <c r="O100" t="str">
        <f t="shared" si="38"/>
        <v>copy .\dail_base3.dbr .\items\materia\class0028\Cenobite98.dbr /y</v>
      </c>
      <c r="P100" t="str">
        <f t="shared" si="24"/>
        <v>echo relicBitmap,items/craftingparts/components/component_a52_bristlyfur_b.tex, &gt;&gt; .\items\materia\class0028\Cenobite98.dbr</v>
      </c>
      <c r="Q100" t="str">
        <f t="shared" si="24"/>
        <v>echo itemCost,500000, &gt;&gt; .\items\materia\class0028\Cenobite98.dbr</v>
      </c>
      <c r="R100" t="str">
        <f t="shared" si="24"/>
        <v>echo description,dailCompDescCenobite98, &gt;&gt; .\items\materia\class0028\Cenobite98.dbr</v>
      </c>
      <c r="S100" t="str">
        <f t="shared" si="24"/>
        <v>echo itemText,dailCompTextCenobite98, &gt;&gt; .\items\materia\class0028\Cenobite98.dbr</v>
      </c>
      <c r="T100" t="str">
        <f t="shared" si="24"/>
        <v>echo augmentSkillLevel1,5, &gt;&gt; .\items\materia\class0028\Cenobite98.dbr</v>
      </c>
      <c r="U100" t="str">
        <f t="shared" si="24"/>
        <v>echo augmentSkillName1,records/skills/playerclass28/sunray_mod1.dbr, &gt;&gt; .\items\materia\class0028\Cenobite98.dbr</v>
      </c>
      <c r="V100" s="5" t="s">
        <v>36</v>
      </c>
      <c r="W100" t="str">
        <f t="shared" si="30"/>
        <v>echo lootName98,DAIL/items/materia/class0028/Cenobite98.dbr, &gt;&gt; .\items\loottables\dailoneskill0028.dbr</v>
      </c>
      <c r="X100" t="str">
        <f t="shared" si="30"/>
        <v>echo lootWeight98,1, &gt;&gt; .\items\loottables\dailoneskill0028.dbr</v>
      </c>
      <c r="Y100" s="5" t="s">
        <v>36</v>
      </c>
      <c r="Z100" t="str">
        <f t="shared" si="31"/>
        <v xml:space="preserve"> dailCompDescCenobite98=^pCenobite's Gift of DAIL</v>
      </c>
      <c r="AA100" t="str">
        <f t="shared" si="39"/>
        <v>dailCompTextCenobite98=^oThis feels warm to the touch, almost familiar ^w(This component only fits into the Medal Slot)</v>
      </c>
      <c r="AB100" s="5" t="s">
        <v>36</v>
      </c>
      <c r="AH100">
        <f t="shared" si="41"/>
        <v>95</v>
      </c>
      <c r="AI100">
        <f t="shared" si="35"/>
        <v>30</v>
      </c>
      <c r="AJ100">
        <f t="shared" si="40"/>
        <v>5</v>
      </c>
    </row>
    <row r="101" spans="1:36" x14ac:dyDescent="0.25">
      <c r="A101" s="5" t="s">
        <v>39</v>
      </c>
      <c r="B101" s="5" t="s">
        <v>30</v>
      </c>
      <c r="C101" s="5" t="str">
        <f t="shared" si="25"/>
        <v>description,dailCompDescCenobite99,</v>
      </c>
      <c r="D101" s="5" t="str">
        <f t="shared" si="26"/>
        <v>itemText,dailCompTextCenobite99,</v>
      </c>
      <c r="E101" s="5" t="str">
        <f t="shared" si="36"/>
        <v>augmentSkillLevel1,5,</v>
      </c>
      <c r="F101" s="5" t="str">
        <f t="shared" si="37"/>
        <v>augmentSkillName1,records/skills/playerclass28/sunray_mod2.dbr,</v>
      </c>
      <c r="G101" s="7">
        <f t="shared" si="32"/>
        <v>99</v>
      </c>
      <c r="H101" s="8" t="str">
        <f t="shared" si="33"/>
        <v>Cenobite</v>
      </c>
      <c r="I101" s="3" t="s">
        <v>488</v>
      </c>
      <c r="J101" s="8" t="str">
        <f t="shared" ref="J101:K102" si="43">J100</f>
        <v>class0028</v>
      </c>
      <c r="K101" s="8" t="str">
        <f t="shared" si="43"/>
        <v>dailoneskill0028</v>
      </c>
      <c r="L101" s="5" t="str">
        <f t="shared" si="27"/>
        <v>lootName99,DAIL/items/materia/class0028/Cenobite99.dbr,</v>
      </c>
      <c r="M101" s="5" t="str">
        <f t="shared" si="28"/>
        <v>lootWeight99,1,</v>
      </c>
      <c r="N101" t="str">
        <f t="shared" si="29"/>
        <v>5</v>
      </c>
      <c r="O101" t="str">
        <f t="shared" si="38"/>
        <v>copy .\dail_base3.dbr .\items\materia\class0028\Cenobite99.dbr /y</v>
      </c>
      <c r="P101" t="str">
        <f t="shared" si="24"/>
        <v>echo relicBitmap,items/craftingparts/components/component_a52_bristlyfur_b.tex, &gt;&gt; .\items\materia\class0028\Cenobite99.dbr</v>
      </c>
      <c r="Q101" t="str">
        <f t="shared" si="24"/>
        <v>echo itemCost,500000, &gt;&gt; .\items\materia\class0028\Cenobite99.dbr</v>
      </c>
      <c r="R101" t="str">
        <f t="shared" si="24"/>
        <v>echo description,dailCompDescCenobite99, &gt;&gt; .\items\materia\class0028\Cenobite99.dbr</v>
      </c>
      <c r="S101" t="str">
        <f t="shared" ref="S101:U102" si="44">IF($I101&lt;&gt;"","echo "&amp;D101&amp;" &gt;&gt; .\items\materia\"&amp;$J101&amp;"\"&amp;$H101&amp;$G101&amp;".dbr","")</f>
        <v>echo itemText,dailCompTextCenobite99, &gt;&gt; .\items\materia\class0028\Cenobite99.dbr</v>
      </c>
      <c r="T101" t="str">
        <f t="shared" si="44"/>
        <v>echo augmentSkillLevel1,5, &gt;&gt; .\items\materia\class0028\Cenobite99.dbr</v>
      </c>
      <c r="U101" t="str">
        <f t="shared" si="44"/>
        <v>echo augmentSkillName1,records/skills/playerclass28/sunray_mod2.dbr, &gt;&gt; .\items\materia\class0028\Cenobite99.dbr</v>
      </c>
      <c r="V101" s="5" t="s">
        <v>36</v>
      </c>
      <c r="W101" t="str">
        <f t="shared" si="30"/>
        <v>echo lootName99,DAIL/items/materia/class0028/Cenobite99.dbr, &gt;&gt; .\items\loottables\dailoneskill0028.dbr</v>
      </c>
      <c r="X101" t="str">
        <f t="shared" si="30"/>
        <v>echo lootWeight99,1, &gt;&gt; .\items\loottables\dailoneskill0028.dbr</v>
      </c>
      <c r="Y101" s="5" t="s">
        <v>36</v>
      </c>
      <c r="Z101" t="str">
        <f t="shared" si="31"/>
        <v xml:space="preserve"> dailCompDescCenobite99=^pCenobite's Gift of DAIL</v>
      </c>
      <c r="AA101" t="str">
        <f t="shared" si="39"/>
        <v>dailCompTextCenobite99=^oThis feels warm to the touch, almost familiar ^w(This component only fits into the Medal Slot)</v>
      </c>
      <c r="AB101" s="5" t="s">
        <v>36</v>
      </c>
      <c r="AH101">
        <f t="shared" si="41"/>
        <v>96</v>
      </c>
      <c r="AI101">
        <f t="shared" si="35"/>
        <v>30</v>
      </c>
      <c r="AJ101">
        <f t="shared" si="40"/>
        <v>5</v>
      </c>
    </row>
    <row r="102" spans="1:36" x14ac:dyDescent="0.25">
      <c r="A102" s="5" t="s">
        <v>39</v>
      </c>
      <c r="B102" s="5" t="s">
        <v>30</v>
      </c>
      <c r="C102" s="5" t="str">
        <f t="shared" si="25"/>
        <v>description,dailCompDescCenobite,</v>
      </c>
      <c r="D102" s="5" t="str">
        <f t="shared" si="26"/>
        <v>itemText,dailCompTextCenobite,</v>
      </c>
      <c r="E102" s="5" t="str">
        <f t="shared" si="36"/>
        <v>augmentSkillLevel1,5,</v>
      </c>
      <c r="F102" s="5" t="str">
        <f t="shared" si="37"/>
        <v>augmentSkillName1,records/skills,</v>
      </c>
      <c r="G102" s="7" t="str">
        <f t="shared" si="32"/>
        <v/>
      </c>
      <c r="H102" s="8" t="str">
        <f t="shared" si="33"/>
        <v>Cenobite</v>
      </c>
      <c r="J102" s="8" t="str">
        <f t="shared" si="43"/>
        <v>class0028</v>
      </c>
      <c r="K102" s="8" t="str">
        <f t="shared" si="43"/>
        <v>dailoneskill0028</v>
      </c>
      <c r="L102" s="5" t="str">
        <f t="shared" si="27"/>
        <v>lootName,DAIL/items/materia/class0028/Cenobite.dbr,</v>
      </c>
      <c r="M102" s="5" t="str">
        <f t="shared" si="28"/>
        <v>lootWeight,1,</v>
      </c>
      <c r="N102" t="str">
        <f t="shared" si="29"/>
        <v>5</v>
      </c>
      <c r="O102" t="str">
        <f t="shared" si="38"/>
        <v/>
      </c>
      <c r="P102" t="str">
        <f t="shared" ref="P102:R102" si="45">IF($I102&lt;&gt;"","echo "&amp;A102&amp;" &gt;&gt; .\items\materia\"&amp;$J102&amp;"\"&amp;$H102&amp;$G102&amp;".dbr","")</f>
        <v/>
      </c>
      <c r="Q102" t="str">
        <f t="shared" si="45"/>
        <v/>
      </c>
      <c r="R102" t="str">
        <f t="shared" si="45"/>
        <v/>
      </c>
      <c r="S102" t="str">
        <f t="shared" si="44"/>
        <v/>
      </c>
      <c r="T102" t="str">
        <f t="shared" si="44"/>
        <v/>
      </c>
      <c r="U102" t="str">
        <f t="shared" si="44"/>
        <v/>
      </c>
      <c r="V102" s="5" t="s">
        <v>36</v>
      </c>
      <c r="W102" t="str">
        <f t="shared" si="30"/>
        <v/>
      </c>
      <c r="X102" t="str">
        <f t="shared" si="30"/>
        <v/>
      </c>
      <c r="Y102" s="5" t="s">
        <v>36</v>
      </c>
      <c r="Z102" t="str">
        <f t="shared" si="31"/>
        <v xml:space="preserve"> dailCompDescCenobite=^pCenobite's Gift of DAIL</v>
      </c>
      <c r="AA102" t="str">
        <f t="shared" si="39"/>
        <v>dailCompTextCenobite=^oThis feels warm to the touch, almost familiar ^w(This component only fits into the Medal Slot)</v>
      </c>
      <c r="AB102" s="5" t="s">
        <v>36</v>
      </c>
      <c r="AH102">
        <f t="shared" si="41"/>
        <v>97</v>
      </c>
      <c r="AI102">
        <f t="shared" si="35"/>
        <v>0</v>
      </c>
      <c r="AJ102">
        <f t="shared" si="40"/>
        <v>5</v>
      </c>
    </row>
  </sheetData>
  <mergeCells count="1">
    <mergeCell ref="O2:U2"/>
  </mergeCells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26</vt:i4>
      </vt:variant>
    </vt:vector>
  </HeadingPairs>
  <TitlesOfParts>
    <vt:vector size="26" baseType="lpstr">
      <vt:lpstr>x</vt:lpstr>
      <vt:lpstr>x0001</vt:lpstr>
      <vt:lpstr>x0002</vt:lpstr>
      <vt:lpstr>x0003</vt:lpstr>
      <vt:lpstr>x0004</vt:lpstr>
      <vt:lpstr>x0005</vt:lpstr>
      <vt:lpstr>x0006</vt:lpstr>
      <vt:lpstr>x0007</vt:lpstr>
      <vt:lpstr>x0008</vt:lpstr>
      <vt:lpstr>x0009</vt:lpstr>
      <vt:lpstr>x0010</vt:lpstr>
      <vt:lpstr>x0011</vt:lpstr>
      <vt:lpstr>x0012</vt:lpstr>
      <vt:lpstr>x0013</vt:lpstr>
      <vt:lpstr>x0016</vt:lpstr>
      <vt:lpstr>x0017</vt:lpstr>
      <vt:lpstr>x0018</vt:lpstr>
      <vt:lpstr>x0019</vt:lpstr>
      <vt:lpstr>x0020</vt:lpstr>
      <vt:lpstr>x0021</vt:lpstr>
      <vt:lpstr>x0022</vt:lpstr>
      <vt:lpstr>x0023</vt:lpstr>
      <vt:lpstr>x0024</vt:lpstr>
      <vt:lpstr>x0026</vt:lpstr>
      <vt:lpstr>x0027</vt:lpstr>
      <vt:lpstr>x0028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2016-07-01T04:11:44Z</dcterms:modified>
</cp:coreProperties>
</file>